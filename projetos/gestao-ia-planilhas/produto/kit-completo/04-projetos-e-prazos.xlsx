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Linha do tempo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Etapas" sheetId="5" state="visible" r:id="rId5"/>
  </sheets>
  <definedNames>
    <definedName name="_xlnm._FilterDatabase" localSheetId="4" hidden="1">'Etapas'!$A$4:$J$304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21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7A1F1F"/>
      <sz val="10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FFFFFF"/>
      <sz val="8"/>
    </font>
    <font>
      <name val="Arial"/>
      <color rgb="00FFFFFF"/>
      <sz val="8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DDF3E7"/>
      </patternFill>
    </fill>
  </fills>
  <borders count="3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 style="thin">
        <color rgb="00EEE9F6"/>
      </left>
      <right style="thin">
        <color rgb="00EEE9F6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9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0" fontId="12" fillId="7" borderId="0" applyAlignment="1" pivotButton="0" quotePrefix="0" xfId="0">
      <alignment horizontal="center"/>
    </xf>
    <xf numFmtId="0" fontId="0" fillId="7" borderId="0" pivotButton="0" quotePrefix="0" xfId="0"/>
    <xf numFmtId="3" fontId="1" fillId="4" borderId="0" applyAlignment="1" pivotButton="0" quotePrefix="0" xfId="0">
      <alignment horizontal="center"/>
    </xf>
    <xf numFmtId="3" fontId="11" fillId="5" borderId="0" applyAlignment="1" pivotButton="0" quotePrefix="0" xfId="0">
      <alignment horizontal="center"/>
    </xf>
    <xf numFmtId="3" fontId="1" fillId="6" borderId="0" applyAlignment="1" pivotButton="0" quotePrefix="0" xfId="0">
      <alignment horizontal="center"/>
    </xf>
    <xf numFmtId="9" fontId="13" fillId="7" borderId="0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14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3" fillId="0" borderId="0" pivotButton="0" quotePrefix="0" xfId="0"/>
    <xf numFmtId="166" fontId="15" fillId="3" borderId="1" applyAlignment="1" pivotButton="0" quotePrefix="0" xfId="0">
      <alignment horizontal="center" vertical="center" textRotation="90"/>
    </xf>
    <xf numFmtId="0" fontId="16" fillId="0" borderId="2" applyAlignment="1" pivotButton="0" quotePrefix="0" xfId="0">
      <alignment horizontal="center"/>
    </xf>
    <xf numFmtId="0" fontId="2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65" fontId="4" fillId="2" borderId="1" applyAlignment="1" applyProtection="1" pivotButton="0" quotePrefix="0" xfId="0">
      <alignment horizontal="center"/>
      <protection locked="0" hidden="0"/>
    </xf>
    <xf numFmtId="9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9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8A86A0"/>
        <sz val="10"/>
      </font>
    </dxf>
    <dxf>
      <font>
        <name val="Arial"/>
        <b val="1"/>
        <color rgb="00C8402E"/>
        <sz val="10"/>
      </font>
    </dxf>
    <dxf>
      <fill>
        <patternFill patternType="solid">
          <fgColor rgb="00FFF4CC"/>
        </patternFill>
      </fill>
    </dxf>
    <dxf>
      <font>
        <name val="Arial"/>
        <color rgb="00CFC6E0"/>
        <sz val="8"/>
      </font>
      <fill>
        <patternFill patternType="solid">
          <fgColor rgb="00CFC6E0"/>
        </patternFill>
      </fill>
    </dxf>
    <dxf>
      <font>
        <name val="Arial"/>
        <color rgb="007A5AA8"/>
        <sz val="8"/>
      </font>
      <fill>
        <patternFill patternType="solid">
          <fgColor rgb="007A5AA8"/>
        </patternFill>
      </fill>
    </dxf>
    <dxf>
      <font>
        <name val="Arial"/>
        <color rgb="00C8402E"/>
        <sz val="8"/>
      </font>
      <fill>
        <patternFill patternType="solid">
          <fgColor rgb="00C8402E"/>
        </patternFill>
      </fill>
    </dxf>
    <dxf>
      <font>
        <name val="Arial"/>
        <b val="1"/>
        <color rgb="003B1F5E"/>
        <sz val="8"/>
      </font>
      <fill>
        <patternFill patternType="solid">
          <fgColor rgb="00FFC83D"/>
        </patternFill>
      </fill>
    </dxf>
    <dxf>
      <font>
        <name val="Arial"/>
        <color rgb="008A86A0"/>
        <sz val="10"/>
      </font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Projetos e Prazos</t>
        </is>
      </c>
    </row>
    <row r="2">
      <c r="A2" s="2" t="inlineStr">
        <is>
          <t>Kit IA no Trabalho · Completo · Seu Sócio Gestor · versão 1.0 (setembro de 2026)</t>
        </is>
      </c>
    </row>
    <row r="3"/>
    <row r="4" ht="46" customHeight="1">
      <c r="A4" s="3" t="inlineStr">
        <is>
          <t>O que esta planilha faz</t>
        </is>
      </c>
      <c r="B4" s="4" t="inlineStr">
        <is>
          <t>Você cadastra os projetos e as etapas de cada um; ela diz o que está atrasado, o que vence em breve, quanto cada projeto avançou, quem está sobrecarregado e desenha a linha do tempo por semanas.</t>
        </is>
      </c>
    </row>
    <row r="5" ht="46" customHeight="1">
      <c r="A5" s="3" t="inlineStr">
        <is>
          <t>Passo 1</t>
        </is>
      </c>
      <c r="B5" s="4" t="inlineStr">
        <is>
          <t>Em Config, preencha o nome da equipe, troque a data de referência por =HOJE() (no exemplo ela está congelada em 14/09/2026), cadastre até 10 projetos (nome, cliente, responsável, início e prazo final) e as pessoas da equipe.</t>
        </is>
      </c>
    </row>
    <row r="6" ht="46" customHeight="1">
      <c r="A6" s="3" t="inlineStr">
        <is>
          <t>Passo 2</t>
        </is>
      </c>
      <c r="B6" s="4" t="inlineStr">
        <is>
          <t>Em Etapas, uma linha por etapa: projeto (lista), etapa, responsável (lista), início, fim previsto e % concluído. Quando terminar, marque 100% ou preencha o fim real.</t>
        </is>
      </c>
    </row>
    <row r="7" ht="46" customHeight="1">
      <c r="A7" s="3" t="inlineStr">
        <is>
          <t>Passo 3</t>
        </is>
      </c>
      <c r="B7" s="4" t="inlineStr">
        <is>
          <t>Em Painel, veja os projetos com atraso, a lista do que fazer primeiro e a carga por pessoa. Em Linha do tempo, veja as próximas 14 semanas.</t>
        </is>
      </c>
    </row>
    <row r="8" ht="46" customHeight="1">
      <c r="A8" s="3" t="inlineStr">
        <is>
          <t>Rotina</t>
        </is>
      </c>
      <c r="B8" s="4" t="inlineStr">
        <is>
          <t>Segunda-feira, 10 minutos: atualize o % das etapas em andamento e olhe o Painel. Sexta: registre o que fechou.</t>
        </is>
      </c>
    </row>
    <row r="9" ht="46" customHeight="1">
      <c r="A9" s="3" t="inlineStr">
        <is>
          <t>Com a IA</t>
        </is>
      </c>
      <c r="B9" s="4" t="inlineStr">
        <is>
          <t>Copie a tabela "O que fazer primeiro" e use o prompt "Organizar 03: prioridade quando tudo parece urgente". Para o cliente, copie "Por projeto" e use "Escrever 04: justificativa" ou "Escrever 07: resumo para quem não foi".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Não é preciso mexer em nada fora do amarelo.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Requisitos</t>
        </is>
      </c>
      <c r="B12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3" ht="46" customHeight="1">
      <c r="A13" s="3" t="inlineStr">
        <is>
          <t>Google Sheets</t>
        </is>
      </c>
      <c r="B13" s="4" t="inlineStr">
        <is>
          <t>Faça upload no Google Drive e abra com o Google Sheets. Fórmulas, listas, cores e semáforos funcionam: as regras de cor que dependem do mês escolhido em Config usam INDIRECT, que é a forma que o Sheets aceita para regra condicional apontar para outra aba.</t>
        </is>
      </c>
    </row>
    <row r="14" ht="46" customHeight="1">
      <c r="A14" s="3" t="inlineStr">
        <is>
          <t>Data de referência</t>
        </is>
      </c>
      <c r="B14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5" ht="46" customHeight="1">
      <c r="A15" s="3" t="inlineStr">
        <is>
          <t>Exemplos</t>
        </is>
      </c>
      <c r="B15" s="4" t="inlineStr">
        <is>
          <t>Prisma Comunicação é uma empresa fictícia. Nomes e valores são inventados. Apague-os antes de começar.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5" t="str">
        <f>Config!B4&amp;" · painel de "&amp;TEXT(DAY(Config!B5),"00")&amp;"/"&amp;TEXT(MONTH(Config!B5),"00")&amp;"/"&amp;YEAR(Config!B5)</f>
        <v>Prisma Comunicação (exemplo fictício) · painel de 14/09/2026</v>
      </c>
    </row>
    <row r="2">
      <c r="A2" s="6" t="inlineStr">
        <is>
          <t>Nada para preencher aqui: tudo vem de Config e Etapas.</t>
        </is>
      </c>
    </row>
    <row r="4">
      <c r="A4" s="7" t="inlineStr">
        <is>
          <t>Projetos ativos</t>
        </is>
      </c>
      <c r="B4" s="8" t="n"/>
      <c r="C4" s="9" t="inlineStr">
        <is>
          <t>Etapas atrasadas</t>
        </is>
      </c>
      <c r="D4" s="10" t="n"/>
      <c r="E4" s="11" t="inlineStr">
        <is>
          <t>Vencem em breve</t>
        </is>
      </c>
      <c r="F4" s="12" t="n"/>
      <c r="G4" s="13" t="inlineStr">
        <is>
          <t>Concluído (média)</t>
        </is>
      </c>
      <c r="H4" s="14" t="n"/>
    </row>
    <row r="5" ht="30" customHeight="1">
      <c r="A5" s="15">
        <f>COUNTIFS(Config!$F$10:$F$19,"No prazo")+COUNTIFS(Config!$F$10:$F$19,"Com atraso")</f>
        <v>4</v>
      </c>
      <c r="B5" s="8" t="n"/>
      <c r="C5" s="16">
        <f>COUNTIFS(Etapas!$G$5:$G$304,"Atrasada")</f>
        <v>2</v>
      </c>
      <c r="D5" s="10" t="n"/>
      <c r="E5" s="17">
        <f>COUNTIFS(Etapas!$G$5:$G$304,"Vence em breve")</f>
        <v>3</v>
      </c>
      <c r="F5" s="12" t="n"/>
      <c r="G5" s="18">
        <f>IFERROR(AVERAGEIFS(Etapas!$L$5:$L$304,Etapas!$B$5:$B$304,"&lt;&gt;"),0)</f>
        <v>0.545</v>
      </c>
      <c r="H5" s="14" t="n"/>
    </row>
    <row r="6">
      <c r="A6" s="19">
        <f>IF(COUNTIF(Etapas!$G$5:$G$304,"Falta o prazo")=0,"","Atenção: "&amp;COUNTIF(Etapas!$G$5:$G$304,"Falta o prazo")&amp;" etapa(s) sem fim previsto na aba Etapas (em cinza lá). Elas não entram em atrasadas nem em 'vence em breve' até você preencher o prazo.")</f>
        <v/>
      </c>
    </row>
    <row r="7">
      <c r="A7" s="20" t="inlineStr">
        <is>
          <t>Por projeto</t>
        </is>
      </c>
    </row>
    <row r="8" ht="26" customHeight="1">
      <c r="A8" s="21" t="inlineStr">
        <is>
          <t>Projeto</t>
        </is>
      </c>
      <c r="B8" s="21" t="inlineStr">
        <is>
          <t>Responsável</t>
        </is>
      </c>
      <c r="C8" s="21" t="inlineStr">
        <is>
          <t>Prazo final</t>
        </is>
      </c>
      <c r="D8" s="21" t="inlineStr">
        <is>
          <t>Etapas</t>
        </is>
      </c>
      <c r="E8" s="21" t="inlineStr">
        <is>
          <t>Concluídas</t>
        </is>
      </c>
      <c r="F8" s="21" t="inlineStr">
        <is>
          <t>Atrasadas</t>
        </is>
      </c>
      <c r="G8" s="21" t="inlineStr">
        <is>
          <t>% médio</t>
        </is>
      </c>
      <c r="H8" s="21" t="inlineStr">
        <is>
          <t>Situação</t>
        </is>
      </c>
    </row>
    <row r="9">
      <c r="A9" s="22" t="str">
        <f>IF(Config!$A$10="","",Config!$A$10)</f>
        <v>Site novo · Loja Verde</v>
      </c>
      <c r="B9" s="23" t="str">
        <f>IF(Config!$A$10="","",Config!$C$10)</f>
        <v>Ana</v>
      </c>
      <c r="C9" s="24">
        <f>IF(Config!$A$10="","",Config!$E$10)</f>
        <v>46304.0</v>
      </c>
      <c r="D9" s="23">
        <f>IF(Config!$A$10="","",COUNTIFS(Etapas!$A$5:$A$304,Config!$A$10))</f>
        <v>7</v>
      </c>
      <c r="E9" s="23">
        <f>IF(Config!$A$10="","",COUNTIFS(Etapas!$A$5:$A$304,Config!$A$10,Etapas!$G$5:$G$304,"Concluída"))</f>
        <v>3</v>
      </c>
      <c r="F9" s="23">
        <f>IF(Config!$A$10="","",COUNTIFS(Etapas!$A$5:$A$304,Config!$A$10,Etapas!$G$5:$G$304,"Atrasada"))</f>
        <v>1</v>
      </c>
      <c r="G9" s="25">
        <f>IF(OR(Config!$A$10="",D9=0),"",AVERAGEIFS(Etapas!$L$5:$L$304,Etapas!$A$5:$A$304,Config!$A$10))</f>
        <v>0.614285714285714</v>
      </c>
      <c r="H9" s="23" t="str">
        <f>IF(Config!$A$10="","",Config!$F$10)</f>
        <v>Com atraso</v>
      </c>
    </row>
    <row r="10">
      <c r="A10" s="22" t="str">
        <f>IF(Config!$A$11="","",Config!$A$11)</f>
        <v>Campanha de fim de ano · Bistrô 42</v>
      </c>
      <c r="B10" s="23" t="str">
        <f>IF(Config!$A$11="","",Config!$C$11)</f>
        <v>Carla</v>
      </c>
      <c r="C10" s="24">
        <f>IF(Config!$A$11="","",Config!$E$11)</f>
        <v>46346.0</v>
      </c>
      <c r="D10" s="23">
        <f>IF(Config!$A$11="","",COUNTIFS(Etapas!$A$5:$A$304,Config!$A$11))</f>
        <v>5</v>
      </c>
      <c r="E10" s="23">
        <f>IF(Config!$A$11="","",COUNTIFS(Etapas!$A$5:$A$304,Config!$A$11,Etapas!$G$5:$G$304,"Concluída"))</f>
        <v>1</v>
      </c>
      <c r="F10" s="23">
        <f>IF(Config!$A$11="","",COUNTIFS(Etapas!$A$5:$A$304,Config!$A$11,Etapas!$G$5:$G$304,"Atrasada"))</f>
        <v>0</v>
      </c>
      <c r="G10" s="25">
        <f>IF(OR(Config!$A$11="",D10=0),"",AVERAGEIFS(Etapas!$L$5:$L$304,Etapas!$A$5:$A$304,Config!$A$11))</f>
        <v>0.3</v>
      </c>
      <c r="H10" s="23" t="str">
        <f>IF(Config!$A$11="","",Config!$F$11)</f>
        <v>No prazo</v>
      </c>
    </row>
    <row r="11">
      <c r="A11" s="22" t="str">
        <f>IF(Config!$A$12="","",Config!$A$12)</f>
        <v>Relatório anual · Horizonte</v>
      </c>
      <c r="B11" s="23" t="str">
        <f>IF(Config!$A$12="","",Config!$C$12)</f>
        <v>Ana</v>
      </c>
      <c r="C11" s="24">
        <f>IF(Config!$A$12="","",Config!$E$12)</f>
        <v>46295.0</v>
      </c>
      <c r="D11" s="23">
        <f>IF(Config!$A$12="","",COUNTIFS(Etapas!$A$5:$A$304,Config!$A$12))</f>
        <v>4</v>
      </c>
      <c r="E11" s="23">
        <f>IF(Config!$A$12="","",COUNTIFS(Etapas!$A$5:$A$304,Config!$A$12,Etapas!$G$5:$G$304,"Concluída"))</f>
        <v>1</v>
      </c>
      <c r="F11" s="23">
        <f>IF(Config!$A$12="","",COUNTIFS(Etapas!$A$5:$A$304,Config!$A$12,Etapas!$G$5:$G$304,"Atrasada"))</f>
        <v>0</v>
      </c>
      <c r="G11" s="25">
        <f>IF(OR(Config!$A$12="",D11=0),"",AVERAGEIFS(Etapas!$L$5:$L$304,Etapas!$A$5:$A$304,Config!$A$12))</f>
        <v>0.325</v>
      </c>
      <c r="H11" s="23" t="str">
        <f>IF(Config!$A$12="","",Config!$F$12)</f>
        <v>No prazo</v>
      </c>
    </row>
    <row r="12">
      <c r="A12" s="22" t="str">
        <f>IF(Config!$A$13="","",Config!$A$13)</f>
        <v>Identidade visual · Padaria do Sol</v>
      </c>
      <c r="B12" s="23" t="str">
        <f>IF(Config!$A$13="","",Config!$C$13)</f>
        <v>Bruno</v>
      </c>
      <c r="C12" s="24">
        <f>IF(Config!$A$13="","",Config!$E$13)</f>
        <v>46270.0</v>
      </c>
      <c r="D12" s="23">
        <f>IF(Config!$A$13="","",COUNTIFS(Etapas!$A$5:$A$304,Config!$A$13))</f>
        <v>4</v>
      </c>
      <c r="E12" s="23">
        <f>IF(Config!$A$13="","",COUNTIFS(Etapas!$A$5:$A$304,Config!$A$13,Etapas!$G$5:$G$304,"Concluída"))</f>
        <v>3</v>
      </c>
      <c r="F12" s="23">
        <f>IF(Config!$A$13="","",COUNTIFS(Etapas!$A$5:$A$304,Config!$A$13,Etapas!$G$5:$G$304,"Atrasada"))</f>
        <v>1</v>
      </c>
      <c r="G12" s="25">
        <f>IF(OR(Config!$A$13="",D12=0),"",AVERAGEIFS(Etapas!$L$5:$L$304,Etapas!$A$5:$A$304,Config!$A$13))</f>
        <v>0.95</v>
      </c>
      <c r="H12" s="23" t="str">
        <f>IF(Config!$A$13="","",Config!$F$13)</f>
        <v>Com atraso</v>
      </c>
    </row>
    <row r="13">
      <c r="A13" s="22">
        <f>IF(Config!$A$14="","",Config!$A$14)</f>
        <v/>
      </c>
      <c r="B13" s="23">
        <f>IF(Config!$A$14="","",Config!$C$14)</f>
        <v/>
      </c>
      <c r="C13" s="24">
        <f>IF(Config!$A$14="","",Config!$E$14)</f>
        <v/>
      </c>
      <c r="D13" s="23">
        <f>IF(Config!$A$14="","",COUNTIFS(Etapas!$A$5:$A$304,Config!$A$14))</f>
        <v/>
      </c>
      <c r="E13" s="23">
        <f>IF(Config!$A$14="","",COUNTIFS(Etapas!$A$5:$A$304,Config!$A$14,Etapas!$G$5:$G$304,"Concluída"))</f>
        <v/>
      </c>
      <c r="F13" s="23">
        <f>IF(Config!$A$14="","",COUNTIFS(Etapas!$A$5:$A$304,Config!$A$14,Etapas!$G$5:$G$304,"Atrasada"))</f>
        <v/>
      </c>
      <c r="G13" s="25">
        <f>IF(OR(Config!$A$14="",D13=0),"",AVERAGEIFS(Etapas!$L$5:$L$304,Etapas!$A$5:$A$304,Config!$A$14))</f>
        <v/>
      </c>
      <c r="H13" s="23">
        <f>IF(Config!$A$14="","",Config!$F$14)</f>
        <v/>
      </c>
    </row>
    <row r="14">
      <c r="A14" s="22">
        <f>IF(Config!$A$15="","",Config!$A$15)</f>
        <v/>
      </c>
      <c r="B14" s="23">
        <f>IF(Config!$A$15="","",Config!$C$15)</f>
        <v/>
      </c>
      <c r="C14" s="24">
        <f>IF(Config!$A$15="","",Config!$E$15)</f>
        <v/>
      </c>
      <c r="D14" s="23">
        <f>IF(Config!$A$15="","",COUNTIFS(Etapas!$A$5:$A$304,Config!$A$15))</f>
        <v/>
      </c>
      <c r="E14" s="23">
        <f>IF(Config!$A$15="","",COUNTIFS(Etapas!$A$5:$A$304,Config!$A$15,Etapas!$G$5:$G$304,"Concluída"))</f>
        <v/>
      </c>
      <c r="F14" s="23">
        <f>IF(Config!$A$15="","",COUNTIFS(Etapas!$A$5:$A$304,Config!$A$15,Etapas!$G$5:$G$304,"Atrasada"))</f>
        <v/>
      </c>
      <c r="G14" s="25">
        <f>IF(OR(Config!$A$15="",D14=0),"",AVERAGEIFS(Etapas!$L$5:$L$304,Etapas!$A$5:$A$304,Config!$A$15))</f>
        <v/>
      </c>
      <c r="H14" s="23">
        <f>IF(Config!$A$15="","",Config!$F$15)</f>
        <v/>
      </c>
    </row>
    <row r="15">
      <c r="A15" s="22">
        <f>IF(Config!$A$16="","",Config!$A$16)</f>
        <v/>
      </c>
      <c r="B15" s="23">
        <f>IF(Config!$A$16="","",Config!$C$16)</f>
        <v/>
      </c>
      <c r="C15" s="24">
        <f>IF(Config!$A$16="","",Config!$E$16)</f>
        <v/>
      </c>
      <c r="D15" s="23">
        <f>IF(Config!$A$16="","",COUNTIFS(Etapas!$A$5:$A$304,Config!$A$16))</f>
        <v/>
      </c>
      <c r="E15" s="23">
        <f>IF(Config!$A$16="","",COUNTIFS(Etapas!$A$5:$A$304,Config!$A$16,Etapas!$G$5:$G$304,"Concluída"))</f>
        <v/>
      </c>
      <c r="F15" s="23">
        <f>IF(Config!$A$16="","",COUNTIFS(Etapas!$A$5:$A$304,Config!$A$16,Etapas!$G$5:$G$304,"Atrasada"))</f>
        <v/>
      </c>
      <c r="G15" s="25">
        <f>IF(OR(Config!$A$16="",D15=0),"",AVERAGEIFS(Etapas!$L$5:$L$304,Etapas!$A$5:$A$304,Config!$A$16))</f>
        <v/>
      </c>
      <c r="H15" s="23">
        <f>IF(Config!$A$16="","",Config!$F$16)</f>
        <v/>
      </c>
    </row>
    <row r="16">
      <c r="A16" s="22">
        <f>IF(Config!$A$17="","",Config!$A$17)</f>
        <v/>
      </c>
      <c r="B16" s="23">
        <f>IF(Config!$A$17="","",Config!$C$17)</f>
        <v/>
      </c>
      <c r="C16" s="24">
        <f>IF(Config!$A$17="","",Config!$E$17)</f>
        <v/>
      </c>
      <c r="D16" s="23">
        <f>IF(Config!$A$17="","",COUNTIFS(Etapas!$A$5:$A$304,Config!$A$17))</f>
        <v/>
      </c>
      <c r="E16" s="23">
        <f>IF(Config!$A$17="","",COUNTIFS(Etapas!$A$5:$A$304,Config!$A$17,Etapas!$G$5:$G$304,"Concluída"))</f>
        <v/>
      </c>
      <c r="F16" s="23">
        <f>IF(Config!$A$17="","",COUNTIFS(Etapas!$A$5:$A$304,Config!$A$17,Etapas!$G$5:$G$304,"Atrasada"))</f>
        <v/>
      </c>
      <c r="G16" s="25">
        <f>IF(OR(Config!$A$17="",D16=0),"",AVERAGEIFS(Etapas!$L$5:$L$304,Etapas!$A$5:$A$304,Config!$A$17))</f>
        <v/>
      </c>
      <c r="H16" s="23">
        <f>IF(Config!$A$17="","",Config!$F$17)</f>
        <v/>
      </c>
    </row>
    <row r="17">
      <c r="A17" s="22">
        <f>IF(Config!$A$18="","",Config!$A$18)</f>
        <v/>
      </c>
      <c r="B17" s="23">
        <f>IF(Config!$A$18="","",Config!$C$18)</f>
        <v/>
      </c>
      <c r="C17" s="24">
        <f>IF(Config!$A$18="","",Config!$E$18)</f>
        <v/>
      </c>
      <c r="D17" s="23">
        <f>IF(Config!$A$18="","",COUNTIFS(Etapas!$A$5:$A$304,Config!$A$18))</f>
        <v/>
      </c>
      <c r="E17" s="23">
        <f>IF(Config!$A$18="","",COUNTIFS(Etapas!$A$5:$A$304,Config!$A$18,Etapas!$G$5:$G$304,"Concluída"))</f>
        <v/>
      </c>
      <c r="F17" s="23">
        <f>IF(Config!$A$18="","",COUNTIFS(Etapas!$A$5:$A$304,Config!$A$18,Etapas!$G$5:$G$304,"Atrasada"))</f>
        <v/>
      </c>
      <c r="G17" s="25">
        <f>IF(OR(Config!$A$18="",D17=0),"",AVERAGEIFS(Etapas!$L$5:$L$304,Etapas!$A$5:$A$304,Config!$A$18))</f>
        <v/>
      </c>
      <c r="H17" s="23">
        <f>IF(Config!$A$18="","",Config!$F$18)</f>
        <v/>
      </c>
    </row>
    <row r="18">
      <c r="A18" s="22">
        <f>IF(Config!$A$19="","",Config!$A$19)</f>
        <v/>
      </c>
      <c r="B18" s="23">
        <f>IF(Config!$A$19="","",Config!$C$19)</f>
        <v/>
      </c>
      <c r="C18" s="24">
        <f>IF(Config!$A$19="","",Config!$E$19)</f>
        <v/>
      </c>
      <c r="D18" s="23">
        <f>IF(Config!$A$19="","",COUNTIFS(Etapas!$A$5:$A$304,Config!$A$19))</f>
        <v/>
      </c>
      <c r="E18" s="23">
        <f>IF(Config!$A$19="","",COUNTIFS(Etapas!$A$5:$A$304,Config!$A$19,Etapas!$G$5:$G$304,"Concluída"))</f>
        <v/>
      </c>
      <c r="F18" s="23">
        <f>IF(Config!$A$19="","",COUNTIFS(Etapas!$A$5:$A$304,Config!$A$19,Etapas!$G$5:$G$304,"Atrasada"))</f>
        <v/>
      </c>
      <c r="G18" s="25">
        <f>IF(OR(Config!$A$19="",D18=0),"",AVERAGEIFS(Etapas!$L$5:$L$304,Etapas!$A$5:$A$304,Config!$A$19))</f>
        <v/>
      </c>
      <c r="H18" s="23">
        <f>IF(Config!$A$19="","",Config!$F$19)</f>
        <v/>
      </c>
    </row>
    <row r="20">
      <c r="A20" s="20" t="inlineStr">
        <is>
          <t>O que fazer primeiro</t>
        </is>
      </c>
    </row>
    <row r="21">
      <c r="A21" s="6" t="inlineStr">
        <is>
          <t>Ordem: atrasadas (mais tempo de atraso primeiro), depois as que vencem em breve, depois em andamento.</t>
        </is>
      </c>
    </row>
    <row r="22" ht="26" customHeight="1">
      <c r="A22" s="21" t="inlineStr">
        <is>
          <t>#</t>
        </is>
      </c>
      <c r="B22" s="21" t="inlineStr">
        <is>
          <t>Projeto</t>
        </is>
      </c>
      <c r="C22" s="21" t="inlineStr">
        <is>
          <t>Etapa</t>
        </is>
      </c>
      <c r="D22" s="21" t="inlineStr">
        <is>
          <t>Responsável</t>
        </is>
      </c>
      <c r="E22" s="21" t="inlineStr">
        <is>
          <t>Fim previsto</t>
        </is>
      </c>
      <c r="F22" s="21" t="inlineStr">
        <is>
          <t>Situação</t>
        </is>
      </c>
      <c r="G22" s="21" t="inlineStr">
        <is>
          <t>Dias</t>
        </is>
      </c>
      <c r="H22" s="21" t="inlineStr">
        <is>
          <t>% feito</t>
        </is>
      </c>
    </row>
    <row r="23">
      <c r="A23" s="23" t="n">
        <v>1</v>
      </c>
      <c r="B23" s="22" t="str">
        <f>IFERROR(IF(LARGE(Etapas!$K$5:$K$304,1)&gt;0,INDEX(Etapas!$A$5:$A$304,MATCH(LARGE(Etapas!$K$5:$K$304,1),Etapas!$K$5:$K$304,0)),""),"")</f>
        <v>Identidade visual · Padaria do Sol</v>
      </c>
      <c r="C23" s="22" t="str">
        <f>IFERROR(IF(LARGE(Etapas!$K$5:$K$304,1)&gt;0,INDEX(Etapas!$B$5:$B$304,MATCH(LARGE(Etapas!$K$5:$K$304,1),Etapas!$K$5:$K$304,0)),""),"")</f>
        <v>Manual da marca</v>
      </c>
      <c r="D23" s="23" t="str">
        <f>IFERROR(IF(LARGE(Etapas!$K$5:$K$304,1)&gt;0,INDEX(Etapas!$C$5:$C$304,MATCH(LARGE(Etapas!$K$5:$K$304,1),Etapas!$K$5:$K$304,0)),""),"")</f>
        <v>Carla</v>
      </c>
      <c r="E23" s="24">
        <f>IFERROR(IF(LARGE(Etapas!$K$5:$K$304,1)&gt;0,INDEX(Etapas!$E$5:$E$304,MATCH(LARGE(Etapas!$K$5:$K$304,1),Etapas!$K$5:$K$304,0)),""),"")</f>
        <v>46270.0</v>
      </c>
      <c r="F23" s="23" t="str">
        <f>IFERROR(IF(LARGE(Etapas!$K$5:$K$304,1)&gt;0,INDEX(Etapas!$G$5:$G$304,MATCH(LARGE(Etapas!$K$5:$K$304,1),Etapas!$K$5:$K$304,0)),""),"")</f>
        <v>Atrasada</v>
      </c>
      <c r="G23" s="26">
        <f>IFERROR(IF(LARGE(Etapas!$K$5:$K$304,1)&gt;0,INDEX(Etapas!$H$5:$H$304,MATCH(LARGE(Etapas!$K$5:$K$304,1),Etapas!$K$5:$K$304,0)),""),"")</f>
        <v>-9</v>
      </c>
      <c r="H23" s="25">
        <f>IFERROR(IF(LARGE(Etapas!$K$5:$K$304,1)&gt;0,INDEX(Etapas!$F$5:$F$304,MATCH(LARGE(Etapas!$K$5:$K$304,1),Etapas!$K$5:$K$304,0)),""),"")</f>
        <v>0.8</v>
      </c>
    </row>
    <row r="24">
      <c r="A24" s="23" t="n">
        <v>2</v>
      </c>
      <c r="B24" s="22" t="str">
        <f>IFERROR(IF(LARGE(Etapas!$K$5:$K$304,2)&gt;0,INDEX(Etapas!$A$5:$A$304,MATCH(LARGE(Etapas!$K$5:$K$304,2),Etapas!$K$5:$K$304,0)),""),"")</f>
        <v>Site novo · Loja Verde</v>
      </c>
      <c r="C24" s="22" t="str">
        <f>IFERROR(IF(LARGE(Etapas!$K$5:$K$304,2)&gt;0,INDEX(Etapas!$B$5:$B$304,MATCH(LARGE(Etapas!$K$5:$K$304,2),Etapas!$K$5:$K$304,0)),""),"")</f>
        <v>Textos das páginas</v>
      </c>
      <c r="D24" s="23" t="str">
        <f>IFERROR(IF(LARGE(Etapas!$K$5:$K$304,2)&gt;0,INDEX(Etapas!$C$5:$C$304,MATCH(LARGE(Etapas!$K$5:$K$304,2),Etapas!$K$5:$K$304,0)),""),"")</f>
        <v>Carla</v>
      </c>
      <c r="E24" s="24">
        <f>IFERROR(IF(LARGE(Etapas!$K$5:$K$304,2)&gt;0,INDEX(Etapas!$E$5:$E$304,MATCH(LARGE(Etapas!$K$5:$K$304,2),Etapas!$K$5:$K$304,0)),""),"")</f>
        <v>46277.0</v>
      </c>
      <c r="F24" s="23" t="str">
        <f>IFERROR(IF(LARGE(Etapas!$K$5:$K$304,2)&gt;0,INDEX(Etapas!$G$5:$G$304,MATCH(LARGE(Etapas!$K$5:$K$304,2),Etapas!$K$5:$K$304,0)),""),"")</f>
        <v>Atrasada</v>
      </c>
      <c r="G24" s="26">
        <f>IFERROR(IF(LARGE(Etapas!$K$5:$K$304,2)&gt;0,INDEX(Etapas!$H$5:$H$304,MATCH(LARGE(Etapas!$K$5:$K$304,2),Etapas!$K$5:$K$304,0)),""),"")</f>
        <v>-2</v>
      </c>
      <c r="H24" s="25">
        <f>IFERROR(IF(LARGE(Etapas!$K$5:$K$304,2)&gt;0,INDEX(Etapas!$F$5:$F$304,MATCH(LARGE(Etapas!$K$5:$K$304,2),Etapas!$K$5:$K$304,0)),""),"")</f>
        <v>0.7</v>
      </c>
    </row>
    <row r="25">
      <c r="A25" s="23" t="n">
        <v>3</v>
      </c>
      <c r="B25" s="22" t="str">
        <f>IFERROR(IF(LARGE(Etapas!$K$5:$K$304,3)&gt;0,INDEX(Etapas!$A$5:$A$304,MATCH(LARGE(Etapas!$K$5:$K$304,3),Etapas!$K$5:$K$304,0)),""),"")</f>
        <v>Campanha de fim de ano · Bistrô 42</v>
      </c>
      <c r="C25" s="22" t="str">
        <f>IFERROR(IF(LARGE(Etapas!$K$5:$K$304,3)&gt;0,INDEX(Etapas!$B$5:$B$304,MATCH(LARGE(Etapas!$K$5:$K$304,3),Etapas!$K$5:$K$304,0)),""),"")</f>
        <v>Aprovação do cliente</v>
      </c>
      <c r="D25" s="23" t="str">
        <f>IFERROR(IF(LARGE(Etapas!$K$5:$K$304,3)&gt;0,INDEX(Etapas!$C$5:$C$304,MATCH(LARGE(Etapas!$K$5:$K$304,3),Etapas!$K$5:$K$304,0)),""),"")</f>
        <v>Carla</v>
      </c>
      <c r="E25" s="24">
        <f>IFERROR(IF(LARGE(Etapas!$K$5:$K$304,3)&gt;0,INDEX(Etapas!$E$5:$E$304,MATCH(LARGE(Etapas!$K$5:$K$304,3),Etapas!$K$5:$K$304,0)),""),"")</f>
        <v>46282.0</v>
      </c>
      <c r="F25" s="23" t="str">
        <f>IFERROR(IF(LARGE(Etapas!$K$5:$K$304,3)&gt;0,INDEX(Etapas!$G$5:$G$304,MATCH(LARGE(Etapas!$K$5:$K$304,3),Etapas!$K$5:$K$304,0)),""),"")</f>
        <v>Vence em breve</v>
      </c>
      <c r="G25" s="26">
        <f>IFERROR(IF(LARGE(Etapas!$K$5:$K$304,3)&gt;0,INDEX(Etapas!$H$5:$H$304,MATCH(LARGE(Etapas!$K$5:$K$304,3),Etapas!$K$5:$K$304,0)),""),"")</f>
        <v>3</v>
      </c>
      <c r="H25" s="25">
        <f>IFERROR(IF(LARGE(Etapas!$K$5:$K$304,3)&gt;0,INDEX(Etapas!$F$5:$F$304,MATCH(LARGE(Etapas!$K$5:$K$304,3),Etapas!$K$5:$K$304,0)),""),"")</f>
        <v>0.5</v>
      </c>
    </row>
    <row r="26">
      <c r="A26" s="23" t="n">
        <v>4</v>
      </c>
      <c r="B26" s="22" t="str">
        <f>IFERROR(IF(LARGE(Etapas!$K$5:$K$304,4)&gt;0,INDEX(Etapas!$A$5:$A$304,MATCH(LARGE(Etapas!$K$5:$K$304,4),Etapas!$K$5:$K$304,0)),""),"")</f>
        <v>Site novo · Loja Verde</v>
      </c>
      <c r="C26" s="22" t="str">
        <f>IFERROR(IF(LARGE(Etapas!$K$5:$K$304,4)&gt;0,INDEX(Etapas!$B$5:$B$304,MATCH(LARGE(Etapas!$K$5:$K$304,4),Etapas!$K$5:$K$304,0)),""),"")</f>
        <v>Layout das páginas internas</v>
      </c>
      <c r="D26" s="23" t="str">
        <f>IFERROR(IF(LARGE(Etapas!$K$5:$K$304,4)&gt;0,INDEX(Etapas!$C$5:$C$304,MATCH(LARGE(Etapas!$K$5:$K$304,4),Etapas!$K$5:$K$304,0)),""),"")</f>
        <v>Bruno</v>
      </c>
      <c r="E26" s="24">
        <f>IFERROR(IF(LARGE(Etapas!$K$5:$K$304,4)&gt;0,INDEX(Etapas!$E$5:$E$304,MATCH(LARGE(Etapas!$K$5:$K$304,4),Etapas!$K$5:$K$304,0)),""),"")</f>
        <v>46284.0</v>
      </c>
      <c r="F26" s="23" t="str">
        <f>IFERROR(IF(LARGE(Etapas!$K$5:$K$304,4)&gt;0,INDEX(Etapas!$G$5:$G$304,MATCH(LARGE(Etapas!$K$5:$K$304,4),Etapas!$K$5:$K$304,0)),""),"")</f>
        <v>Vence em breve</v>
      </c>
      <c r="G26" s="26">
        <f>IFERROR(IF(LARGE(Etapas!$K$5:$K$304,4)&gt;0,INDEX(Etapas!$H$5:$H$304,MATCH(LARGE(Etapas!$K$5:$K$304,4),Etapas!$K$5:$K$304,0)),""),"")</f>
        <v>5</v>
      </c>
      <c r="H26" s="25">
        <f>IFERROR(IF(LARGE(Etapas!$K$5:$K$304,4)&gt;0,INDEX(Etapas!$F$5:$F$304,MATCH(LARGE(Etapas!$K$5:$K$304,4),Etapas!$K$5:$K$304,0)),""),"")</f>
        <v>0.6</v>
      </c>
    </row>
    <row r="27">
      <c r="A27" s="23" t="n">
        <v>5</v>
      </c>
      <c r="B27" s="22" t="str">
        <f>IFERROR(IF(LARGE(Etapas!$K$5:$K$304,5)&gt;0,INDEX(Etapas!$A$5:$A$304,MATCH(LARGE(Etapas!$K$5:$K$304,5),Etapas!$K$5:$K$304,0)),""),"")</f>
        <v>Relatório anual · Horizonte</v>
      </c>
      <c r="C27" s="22" t="str">
        <f>IFERROR(IF(LARGE(Etapas!$K$5:$K$304,5)&gt;0,INDEX(Etapas!$B$5:$B$304,MATCH(LARGE(Etapas!$K$5:$K$304,5),Etapas!$K$5:$K$304,0)),""),"")</f>
        <v>Redação</v>
      </c>
      <c r="D27" s="23" t="str">
        <f>IFERROR(IF(LARGE(Etapas!$K$5:$K$304,5)&gt;0,INDEX(Etapas!$C$5:$C$304,MATCH(LARGE(Etapas!$K$5:$K$304,5),Etapas!$K$5:$K$304,0)),""),"")</f>
        <v>Ana</v>
      </c>
      <c r="E27" s="24">
        <f>IFERROR(IF(LARGE(Etapas!$K$5:$K$304,5)&gt;0,INDEX(Etapas!$E$5:$E$304,MATCH(LARGE(Etapas!$K$5:$K$304,5),Etapas!$K$5:$K$304,0)),""),"")</f>
        <v>46284.0</v>
      </c>
      <c r="F27" s="23" t="str">
        <f>IFERROR(IF(LARGE(Etapas!$K$5:$K$304,5)&gt;0,INDEX(Etapas!$G$5:$G$304,MATCH(LARGE(Etapas!$K$5:$K$304,5),Etapas!$K$5:$K$304,0)),""),"")</f>
        <v>Vence em breve</v>
      </c>
      <c r="G27" s="26">
        <f>IFERROR(IF(LARGE(Etapas!$K$5:$K$304,5)&gt;0,INDEX(Etapas!$H$5:$H$304,MATCH(LARGE(Etapas!$K$5:$K$304,5),Etapas!$K$5:$K$304,0)),""),"")</f>
        <v>5</v>
      </c>
      <c r="H27" s="25">
        <f>IFERROR(IF(LARGE(Etapas!$K$5:$K$304,5)&gt;0,INDEX(Etapas!$F$5:$F$304,MATCH(LARGE(Etapas!$K$5:$K$304,5),Etapas!$K$5:$K$304,0)),""),"")</f>
        <v>0.3</v>
      </c>
    </row>
    <row r="28">
      <c r="A28" s="23" t="n">
        <v>6</v>
      </c>
      <c r="B28" s="22" t="str">
        <f>IFERROR(IF(LARGE(Etapas!$K$5:$K$304,6)&gt;0,INDEX(Etapas!$A$5:$A$304,MATCH(LARGE(Etapas!$K$5:$K$304,6),Etapas!$K$5:$K$304,0)),""),"")</f>
        <v>Site novo · Loja Verde</v>
      </c>
      <c r="C28" s="22" t="str">
        <f>IFERROR(IF(LARGE(Etapas!$K$5:$K$304,6)&gt;0,INDEX(Etapas!$B$5:$B$304,MATCH(LARGE(Etapas!$K$5:$K$304,6),Etapas!$K$5:$K$304,0)),""),"")</f>
        <v>Implementação</v>
      </c>
      <c r="D28" s="23" t="str">
        <f>IFERROR(IF(LARGE(Etapas!$K$5:$K$304,6)&gt;0,INDEX(Etapas!$C$5:$C$304,MATCH(LARGE(Etapas!$K$5:$K$304,6),Etapas!$K$5:$K$304,0)),""),"")</f>
        <v>Diego</v>
      </c>
      <c r="E28" s="24">
        <f>IFERROR(IF(LARGE(Etapas!$K$5:$K$304,6)&gt;0,INDEX(Etapas!$E$5:$E$304,MATCH(LARGE(Etapas!$K$5:$K$304,6),Etapas!$K$5:$K$304,0)),""),"")</f>
        <v>46298.0</v>
      </c>
      <c r="F28" s="23" t="str">
        <f>IFERROR(IF(LARGE(Etapas!$K$5:$K$304,6)&gt;0,INDEX(Etapas!$G$5:$G$304,MATCH(LARGE(Etapas!$K$5:$K$304,6),Etapas!$K$5:$K$304,0)),""),"")</f>
        <v>A iniciar</v>
      </c>
      <c r="G28" s="26">
        <f>IFERROR(IF(LARGE(Etapas!$K$5:$K$304,6)&gt;0,INDEX(Etapas!$H$5:$H$304,MATCH(LARGE(Etapas!$K$5:$K$304,6),Etapas!$K$5:$K$304,0)),""),"")</f>
        <v>19</v>
      </c>
      <c r="H28" s="25">
        <f>IFERROR(IF(LARGE(Etapas!$K$5:$K$304,6)&gt;0,INDEX(Etapas!$F$5:$F$304,MATCH(LARGE(Etapas!$K$5:$K$304,6),Etapas!$K$5:$K$304,0)),""),"")</f>
        <v>0</v>
      </c>
    </row>
    <row r="29">
      <c r="A29" s="23" t="n">
        <v>7</v>
      </c>
      <c r="B29" s="22" t="str">
        <f>IFERROR(IF(LARGE(Etapas!$K$5:$K$304,7)&gt;0,INDEX(Etapas!$A$5:$A$304,MATCH(LARGE(Etapas!$K$5:$K$304,7),Etapas!$K$5:$K$304,0)),""),"")</f>
        <v>Site novo · Loja Verde</v>
      </c>
      <c r="C29" s="22" t="str">
        <f>IFERROR(IF(LARGE(Etapas!$K$5:$K$304,7)&gt;0,INDEX(Etapas!$B$5:$B$304,MATCH(LARGE(Etapas!$K$5:$K$304,7),Etapas!$K$5:$K$304,0)),""),"")</f>
        <v>Revisão e publicação</v>
      </c>
      <c r="D29" s="23" t="str">
        <f>IFERROR(IF(LARGE(Etapas!$K$5:$K$304,7)&gt;0,INDEX(Etapas!$C$5:$C$304,MATCH(LARGE(Etapas!$K$5:$K$304,7),Etapas!$K$5:$K$304,0)),""),"")</f>
        <v>Ana</v>
      </c>
      <c r="E29" s="24">
        <f>IFERROR(IF(LARGE(Etapas!$K$5:$K$304,7)&gt;0,INDEX(Etapas!$E$5:$E$304,MATCH(LARGE(Etapas!$K$5:$K$304,7),Etapas!$K$5:$K$304,0)),""),"")</f>
        <v>46304.0</v>
      </c>
      <c r="F29" s="23" t="str">
        <f>IFERROR(IF(LARGE(Etapas!$K$5:$K$304,7)&gt;0,INDEX(Etapas!$G$5:$G$304,MATCH(LARGE(Etapas!$K$5:$K$304,7),Etapas!$K$5:$K$304,0)),""),"")</f>
        <v>A iniciar</v>
      </c>
      <c r="G29" s="26">
        <f>IFERROR(IF(LARGE(Etapas!$K$5:$K$304,7)&gt;0,INDEX(Etapas!$H$5:$H$304,MATCH(LARGE(Etapas!$K$5:$K$304,7),Etapas!$K$5:$K$304,0)),""),"")</f>
        <v>25</v>
      </c>
      <c r="H29" s="25">
        <f>IFERROR(IF(LARGE(Etapas!$K$5:$K$304,7)&gt;0,INDEX(Etapas!$F$5:$F$304,MATCH(LARGE(Etapas!$K$5:$K$304,7),Etapas!$K$5:$K$304,0)),""),"")</f>
        <v>0</v>
      </c>
    </row>
    <row r="30">
      <c r="A30" s="23" t="n">
        <v>8</v>
      </c>
      <c r="B30" s="22" t="str">
        <f>IFERROR(IF(LARGE(Etapas!$K$5:$K$304,8)&gt;0,INDEX(Etapas!$A$5:$A$304,MATCH(LARGE(Etapas!$K$5:$K$304,8),Etapas!$K$5:$K$304,0)),""),"")</f>
        <v>Campanha de fim de ano · Bistrô 42</v>
      </c>
      <c r="C30" s="22" t="str">
        <f>IFERROR(IF(LARGE(Etapas!$K$5:$K$304,8)&gt;0,INDEX(Etapas!$B$5:$B$304,MATCH(LARGE(Etapas!$K$5:$K$304,8),Etapas!$K$5:$K$304,0)),""),"")</f>
        <v>Produção das peças</v>
      </c>
      <c r="D30" s="23" t="str">
        <f>IFERROR(IF(LARGE(Etapas!$K$5:$K$304,8)&gt;0,INDEX(Etapas!$C$5:$C$304,MATCH(LARGE(Etapas!$K$5:$K$304,8),Etapas!$K$5:$K$304,0)),""),"")</f>
        <v>Bruno</v>
      </c>
      <c r="E30" s="24">
        <f>IFERROR(IF(LARGE(Etapas!$K$5:$K$304,8)&gt;0,INDEX(Etapas!$E$5:$E$304,MATCH(LARGE(Etapas!$K$5:$K$304,8),Etapas!$K$5:$K$304,0)),""),"")</f>
        <v>46310.0</v>
      </c>
      <c r="F30" s="23" t="str">
        <f>IFERROR(IF(LARGE(Etapas!$K$5:$K$304,8)&gt;0,INDEX(Etapas!$G$5:$G$304,MATCH(LARGE(Etapas!$K$5:$K$304,8),Etapas!$K$5:$K$304,0)),""),"")</f>
        <v>A iniciar</v>
      </c>
      <c r="G30" s="26">
        <f>IFERROR(IF(LARGE(Etapas!$K$5:$K$304,8)&gt;0,INDEX(Etapas!$H$5:$H$304,MATCH(LARGE(Etapas!$K$5:$K$304,8),Etapas!$K$5:$K$304,0)),""),"")</f>
        <v>31</v>
      </c>
      <c r="H30" s="25">
        <f>IFERROR(IF(LARGE(Etapas!$K$5:$K$304,8)&gt;0,INDEX(Etapas!$F$5:$F$304,MATCH(LARGE(Etapas!$K$5:$K$304,8),Etapas!$K$5:$K$304,0)),""),"")</f>
        <v>0</v>
      </c>
    </row>
    <row r="31">
      <c r="A31" s="23" t="n">
        <v>9</v>
      </c>
      <c r="B31" s="22" t="str">
        <f>IFERROR(IF(LARGE(Etapas!$K$5:$K$304,9)&gt;0,INDEX(Etapas!$A$5:$A$304,MATCH(LARGE(Etapas!$K$5:$K$304,9),Etapas!$K$5:$K$304,0)),""),"")</f>
        <v>Campanha de fim de ano · Bistrô 42</v>
      </c>
      <c r="C31" s="22" t="str">
        <f>IFERROR(IF(LARGE(Etapas!$K$5:$K$304,9)&gt;0,INDEX(Etapas!$B$5:$B$304,MATCH(LARGE(Etapas!$K$5:$K$304,9),Etapas!$K$5:$K$304,0)),""),"")</f>
        <v>Plano de mídia</v>
      </c>
      <c r="D31" s="23" t="str">
        <f>IFERROR(IF(LARGE(Etapas!$K$5:$K$304,9)&gt;0,INDEX(Etapas!$C$5:$C$304,MATCH(LARGE(Etapas!$K$5:$K$304,9),Etapas!$K$5:$K$304,0)),""),"")</f>
        <v>Ana</v>
      </c>
      <c r="E31" s="24">
        <f>IFERROR(IF(LARGE(Etapas!$K$5:$K$304,9)&gt;0,INDEX(Etapas!$E$5:$E$304,MATCH(LARGE(Etapas!$K$5:$K$304,9),Etapas!$K$5:$K$304,0)),""),"")</f>
        <v>46315.0</v>
      </c>
      <c r="F31" s="23" t="str">
        <f>IFERROR(IF(LARGE(Etapas!$K$5:$K$304,9)&gt;0,INDEX(Etapas!$G$5:$G$304,MATCH(LARGE(Etapas!$K$5:$K$304,9),Etapas!$K$5:$K$304,0)),""),"")</f>
        <v>A iniciar</v>
      </c>
      <c r="G31" s="26">
        <f>IFERROR(IF(LARGE(Etapas!$K$5:$K$304,9)&gt;0,INDEX(Etapas!$H$5:$H$304,MATCH(LARGE(Etapas!$K$5:$K$304,9),Etapas!$K$5:$K$304,0)),""),"")</f>
        <v>36</v>
      </c>
      <c r="H31" s="25">
        <f>IFERROR(IF(LARGE(Etapas!$K$5:$K$304,9)&gt;0,INDEX(Etapas!$F$5:$F$304,MATCH(LARGE(Etapas!$K$5:$K$304,9),Etapas!$K$5:$K$304,0)),""),"")</f>
        <v>0</v>
      </c>
    </row>
    <row r="32">
      <c r="A32" s="23" t="n">
        <v>10</v>
      </c>
      <c r="B32" s="22" t="str">
        <f>IFERROR(IF(LARGE(Etapas!$K$5:$K$304,10)&gt;0,INDEX(Etapas!$A$5:$A$304,MATCH(LARGE(Etapas!$K$5:$K$304,10),Etapas!$K$5:$K$304,0)),""),"")</f>
        <v>Campanha de fim de ano · Bistrô 42</v>
      </c>
      <c r="C32" s="22" t="str">
        <f>IFERROR(IF(LARGE(Etapas!$K$5:$K$304,10)&gt;0,INDEX(Etapas!$B$5:$B$304,MATCH(LARGE(Etapas!$K$5:$K$304,10),Etapas!$K$5:$K$304,0)),""),"")</f>
        <v>Veiculação</v>
      </c>
      <c r="D32" s="23" t="str">
        <f>IFERROR(IF(LARGE(Etapas!$K$5:$K$304,10)&gt;0,INDEX(Etapas!$C$5:$C$304,MATCH(LARGE(Etapas!$K$5:$K$304,10),Etapas!$K$5:$K$304,0)),""),"")</f>
        <v>Diego</v>
      </c>
      <c r="E32" s="24">
        <f>IFERROR(IF(LARGE(Etapas!$K$5:$K$304,10)&gt;0,INDEX(Etapas!$E$5:$E$304,MATCH(LARGE(Etapas!$K$5:$K$304,10),Etapas!$K$5:$K$304,0)),""),"")</f>
        <v>46346.0</v>
      </c>
      <c r="F32" s="23" t="str">
        <f>IFERROR(IF(LARGE(Etapas!$K$5:$K$304,10)&gt;0,INDEX(Etapas!$G$5:$G$304,MATCH(LARGE(Etapas!$K$5:$K$304,10),Etapas!$K$5:$K$304,0)),""),"")</f>
        <v>A iniciar</v>
      </c>
      <c r="G32" s="26">
        <f>IFERROR(IF(LARGE(Etapas!$K$5:$K$304,10)&gt;0,INDEX(Etapas!$H$5:$H$304,MATCH(LARGE(Etapas!$K$5:$K$304,10),Etapas!$K$5:$K$304,0)),""),"")</f>
        <v>67</v>
      </c>
      <c r="H32" s="25">
        <f>IFERROR(IF(LARGE(Etapas!$K$5:$K$304,10)&gt;0,INDEX(Etapas!$F$5:$F$304,MATCH(LARGE(Etapas!$K$5:$K$304,10),Etapas!$K$5:$K$304,0)),""),"")</f>
        <v>0</v>
      </c>
    </row>
    <row r="33">
      <c r="A33" s="23" t="n">
        <v>11</v>
      </c>
      <c r="B33" s="22" t="str">
        <f>IFERROR(IF(LARGE(Etapas!$K$5:$K$304,11)&gt;0,INDEX(Etapas!$A$5:$A$304,MATCH(LARGE(Etapas!$K$5:$K$304,11),Etapas!$K$5:$K$304,0)),""),"")</f>
        <v>Relatório anual · Horizonte</v>
      </c>
      <c r="C33" s="22" t="str">
        <f>IFERROR(IF(LARGE(Etapas!$K$5:$K$304,11)&gt;0,INDEX(Etapas!$B$5:$B$304,MATCH(LARGE(Etapas!$K$5:$K$304,11),Etapas!$K$5:$K$304,0)),""),"")</f>
        <v>Diagramação</v>
      </c>
      <c r="D33" s="23" t="str">
        <f>IFERROR(IF(LARGE(Etapas!$K$5:$K$304,11)&gt;0,INDEX(Etapas!$C$5:$C$304,MATCH(LARGE(Etapas!$K$5:$K$304,11),Etapas!$K$5:$K$304,0)),""),"")</f>
        <v>Bruno</v>
      </c>
      <c r="E33" s="24">
        <f>IFERROR(IF(LARGE(Etapas!$K$5:$K$304,11)&gt;0,INDEX(Etapas!$E$5:$E$304,MATCH(LARGE(Etapas!$K$5:$K$304,11),Etapas!$K$5:$K$304,0)),""),"")</f>
        <v>46291.0</v>
      </c>
      <c r="F33" s="23" t="str">
        <f>IFERROR(IF(LARGE(Etapas!$K$5:$K$304,11)&gt;0,INDEX(Etapas!$G$5:$G$304,MATCH(LARGE(Etapas!$K$5:$K$304,11),Etapas!$K$5:$K$304,0)),""),"")</f>
        <v>A iniciar</v>
      </c>
      <c r="G33" s="26">
        <f>IFERROR(IF(LARGE(Etapas!$K$5:$K$304,11)&gt;0,INDEX(Etapas!$H$5:$H$304,MATCH(LARGE(Etapas!$K$5:$K$304,11),Etapas!$K$5:$K$304,0)),""),"")</f>
        <v>12</v>
      </c>
      <c r="H33" s="25">
        <f>IFERROR(IF(LARGE(Etapas!$K$5:$K$304,11)&gt;0,INDEX(Etapas!$F$5:$F$304,MATCH(LARGE(Etapas!$K$5:$K$304,11),Etapas!$K$5:$K$304,0)),""),"")</f>
        <v>0</v>
      </c>
    </row>
    <row r="34">
      <c r="A34" s="23" t="n">
        <v>12</v>
      </c>
      <c r="B34" s="22" t="str">
        <f>IFERROR(IF(LARGE(Etapas!$K$5:$K$304,12)&gt;0,INDEX(Etapas!$A$5:$A$304,MATCH(LARGE(Etapas!$K$5:$K$304,12),Etapas!$K$5:$K$304,0)),""),"")</f>
        <v>Relatório anual · Horizonte</v>
      </c>
      <c r="C34" s="22" t="str">
        <f>IFERROR(IF(LARGE(Etapas!$K$5:$K$304,12)&gt;0,INDEX(Etapas!$B$5:$B$304,MATCH(LARGE(Etapas!$K$5:$K$304,12),Etapas!$K$5:$K$304,0)),""),"")</f>
        <v>Revisão final e entrega</v>
      </c>
      <c r="D34" s="23" t="str">
        <f>IFERROR(IF(LARGE(Etapas!$K$5:$K$304,12)&gt;0,INDEX(Etapas!$C$5:$C$304,MATCH(LARGE(Etapas!$K$5:$K$304,12),Etapas!$K$5:$K$304,0)),""),"")</f>
        <v>Ana</v>
      </c>
      <c r="E34" s="24">
        <f>IFERROR(IF(LARGE(Etapas!$K$5:$K$304,12)&gt;0,INDEX(Etapas!$E$5:$E$304,MATCH(LARGE(Etapas!$K$5:$K$304,12),Etapas!$K$5:$K$304,0)),""),"")</f>
        <v>46295.0</v>
      </c>
      <c r="F34" s="23" t="str">
        <f>IFERROR(IF(LARGE(Etapas!$K$5:$K$304,12)&gt;0,INDEX(Etapas!$G$5:$G$304,MATCH(LARGE(Etapas!$K$5:$K$304,12),Etapas!$K$5:$K$304,0)),""),"")</f>
        <v>A iniciar</v>
      </c>
      <c r="G34" s="26">
        <f>IFERROR(IF(LARGE(Etapas!$K$5:$K$304,12)&gt;0,INDEX(Etapas!$H$5:$H$304,MATCH(LARGE(Etapas!$K$5:$K$304,12),Etapas!$K$5:$K$304,0)),""),"")</f>
        <v>16</v>
      </c>
      <c r="H34" s="25">
        <f>IFERROR(IF(LARGE(Etapas!$K$5:$K$304,12)&gt;0,INDEX(Etapas!$F$5:$F$304,MATCH(LARGE(Etapas!$K$5:$K$304,12),Etapas!$K$5:$K$304,0)),""),"")</f>
        <v>0</v>
      </c>
    </row>
    <row r="36">
      <c r="A36" s="20" t="inlineStr">
        <is>
          <t>Carga por responsável</t>
        </is>
      </c>
    </row>
    <row r="37" ht="26" customHeight="1">
      <c r="A37" s="21" t="inlineStr">
        <is>
          <t>Responsável</t>
        </is>
      </c>
      <c r="B37" s="21" t="inlineStr">
        <is>
          <t>Etapas abertas</t>
        </is>
      </c>
      <c r="C37" s="21" t="inlineStr">
        <is>
          <t>Atrasadas</t>
        </is>
      </c>
      <c r="D37" s="21" t="inlineStr">
        <is>
          <t>Vencem em breve</t>
        </is>
      </c>
      <c r="E37" s="21" t="inlineStr">
        <is>
          <t>Próximo fim</t>
        </is>
      </c>
    </row>
    <row r="38">
      <c r="A38" s="22" t="str">
        <f>IF(Config!$A$22="","",Config!$A$22)</f>
        <v>Ana</v>
      </c>
      <c r="B38" s="23">
        <f>IF(Config!$A$22="","",COUNTIFS(Etapas!$C$5:$C$304,Config!$A$22,Etapas!$B$5:$B$304,"&lt;&gt;")-COUNTIFS(Etapas!$C$5:$C$304,Config!$A$22,Etapas!$G$5:$G$304,"Concluída"))</f>
        <v>4</v>
      </c>
      <c r="C38" s="23">
        <f>IF(Config!$A$22="","",COUNTIFS(Etapas!$C$5:$C$304,Config!$A$22,Etapas!$G$5:$G$304,"Atrasada"))</f>
        <v>0</v>
      </c>
      <c r="D38" s="23">
        <f>IF(Config!$A$22="","",COUNTIFS(Etapas!$C$5:$C$304,Config!$A$22,Etapas!$G$5:$G$304,"Vence em breve"))</f>
        <v>1</v>
      </c>
      <c r="E38" s="24">
        <f>IF(Config!$A$22="","",IFERROR(IF(OR(SUMPRODUCT(MIN((Etapas!$C$5:$C$304=Config!$A$22)*(Etapas!$G$5:$G$304&lt;&gt;"Concluída")*(Etapas!$B$5:$B$304&lt;&gt;"")*(Etapas!$E$5:$E$304&lt;&gt;"")*Etapas!$E$5:$E$304+(1-(Etapas!$C$5:$C$304=Config!$A$22)*(Etapas!$G$5:$G$304&lt;&gt;"Concluída")*(Etapas!$B$5:$B$304&lt;&gt;"")*(Etapas!$E$5:$E$304&lt;&gt;""))*1E+10))=0,SUMPRODUCT(MIN((Etapas!$C$5:$C$304=Config!$A$22)*(Etapas!$G$5:$G$304&lt;&gt;"Concluída")*(Etapas!$B$5:$B$304&lt;&gt;"")*(Etapas!$E$5:$E$304&lt;&gt;"")*Etapas!$E$5:$E$304+(1-(Etapas!$C$5:$C$304=Config!$A$22)*(Etapas!$G$5:$G$304&lt;&gt;"Concluída")*(Etapas!$B$5:$B$304&lt;&gt;"")*(Etapas!$E$5:$E$304&lt;&gt;""))*1E+10))&gt;=1E+10),"",SUMPRODUCT(MIN((Etapas!$C$5:$C$304=Config!$A$22)*(Etapas!$G$5:$G$304&lt;&gt;"Concluída")*(Etapas!$B$5:$B$304&lt;&gt;"")*(Etapas!$E$5:$E$304&lt;&gt;"")*Etapas!$E$5:$E$304+(1-(Etapas!$C$5:$C$304=Config!$A$22)*(Etapas!$G$5:$G$304&lt;&gt;"Concluída")*(Etapas!$B$5:$B$304&lt;&gt;"")*(Etapas!$E$5:$E$304&lt;&gt;""))*1E+10))),""))</f>
        <v>46284.0</v>
      </c>
    </row>
    <row r="39">
      <c r="A39" s="22" t="str">
        <f>IF(Config!$A$23="","",Config!$A$23)</f>
        <v>Bruno</v>
      </c>
      <c r="B39" s="23">
        <f>IF(Config!$A$23="","",COUNTIFS(Etapas!$C$5:$C$304,Config!$A$23,Etapas!$B$5:$B$304,"&lt;&gt;")-COUNTIFS(Etapas!$C$5:$C$304,Config!$A$23,Etapas!$G$5:$G$304,"Concluída"))</f>
        <v>3</v>
      </c>
      <c r="C39" s="23">
        <f>IF(Config!$A$23="","",COUNTIFS(Etapas!$C$5:$C$304,Config!$A$23,Etapas!$G$5:$G$304,"Atrasada"))</f>
        <v>0</v>
      </c>
      <c r="D39" s="23">
        <f>IF(Config!$A$23="","",COUNTIFS(Etapas!$C$5:$C$304,Config!$A$23,Etapas!$G$5:$G$304,"Vence em breve"))</f>
        <v>1</v>
      </c>
      <c r="E39" s="24">
        <f>IF(Config!$A$23="","",IFERROR(IF(OR(SUMPRODUCT(MIN((Etapas!$C$5:$C$304=Config!$A$23)*(Etapas!$G$5:$G$304&lt;&gt;"Concluída")*(Etapas!$B$5:$B$304&lt;&gt;"")*(Etapas!$E$5:$E$304&lt;&gt;"")*Etapas!$E$5:$E$304+(1-(Etapas!$C$5:$C$304=Config!$A$23)*(Etapas!$G$5:$G$304&lt;&gt;"Concluída")*(Etapas!$B$5:$B$304&lt;&gt;"")*(Etapas!$E$5:$E$304&lt;&gt;""))*1E+10))=0,SUMPRODUCT(MIN((Etapas!$C$5:$C$304=Config!$A$23)*(Etapas!$G$5:$G$304&lt;&gt;"Concluída")*(Etapas!$B$5:$B$304&lt;&gt;"")*(Etapas!$E$5:$E$304&lt;&gt;"")*Etapas!$E$5:$E$304+(1-(Etapas!$C$5:$C$304=Config!$A$23)*(Etapas!$G$5:$G$304&lt;&gt;"Concluída")*(Etapas!$B$5:$B$304&lt;&gt;"")*(Etapas!$E$5:$E$304&lt;&gt;""))*1E+10))&gt;=1E+10),"",SUMPRODUCT(MIN((Etapas!$C$5:$C$304=Config!$A$23)*(Etapas!$G$5:$G$304&lt;&gt;"Concluída")*(Etapas!$B$5:$B$304&lt;&gt;"")*(Etapas!$E$5:$E$304&lt;&gt;"")*Etapas!$E$5:$E$304+(1-(Etapas!$C$5:$C$304=Config!$A$23)*(Etapas!$G$5:$G$304&lt;&gt;"Concluída")*(Etapas!$B$5:$B$304&lt;&gt;"")*(Etapas!$E$5:$E$304&lt;&gt;""))*1E+10))),""))</f>
        <v>46284.0</v>
      </c>
    </row>
    <row r="40">
      <c r="A40" s="22" t="str">
        <f>IF(Config!$A$24="","",Config!$A$24)</f>
        <v>Carla</v>
      </c>
      <c r="B40" s="23">
        <f>IF(Config!$A$24="","",COUNTIFS(Etapas!$C$5:$C$304,Config!$A$24,Etapas!$B$5:$B$304,"&lt;&gt;")-COUNTIFS(Etapas!$C$5:$C$304,Config!$A$24,Etapas!$G$5:$G$304,"Concluída"))</f>
        <v>3</v>
      </c>
      <c r="C40" s="23">
        <f>IF(Config!$A$24="","",COUNTIFS(Etapas!$C$5:$C$304,Config!$A$24,Etapas!$G$5:$G$304,"Atrasada"))</f>
        <v>2</v>
      </c>
      <c r="D40" s="23">
        <f>IF(Config!$A$24="","",COUNTIFS(Etapas!$C$5:$C$304,Config!$A$24,Etapas!$G$5:$G$304,"Vence em breve"))</f>
        <v>1</v>
      </c>
      <c r="E40" s="24">
        <f>IF(Config!$A$24="","",IFERROR(IF(OR(SUMPRODUCT(MIN((Etapas!$C$5:$C$304=Config!$A$24)*(Etapas!$G$5:$G$304&lt;&gt;"Concluída")*(Etapas!$B$5:$B$304&lt;&gt;"")*(Etapas!$E$5:$E$304&lt;&gt;"")*Etapas!$E$5:$E$304+(1-(Etapas!$C$5:$C$304=Config!$A$24)*(Etapas!$G$5:$G$304&lt;&gt;"Concluída")*(Etapas!$B$5:$B$304&lt;&gt;"")*(Etapas!$E$5:$E$304&lt;&gt;""))*1E+10))=0,SUMPRODUCT(MIN((Etapas!$C$5:$C$304=Config!$A$24)*(Etapas!$G$5:$G$304&lt;&gt;"Concluída")*(Etapas!$B$5:$B$304&lt;&gt;"")*(Etapas!$E$5:$E$304&lt;&gt;"")*Etapas!$E$5:$E$304+(1-(Etapas!$C$5:$C$304=Config!$A$24)*(Etapas!$G$5:$G$304&lt;&gt;"Concluída")*(Etapas!$B$5:$B$304&lt;&gt;"")*(Etapas!$E$5:$E$304&lt;&gt;""))*1E+10))&gt;=1E+10),"",SUMPRODUCT(MIN((Etapas!$C$5:$C$304=Config!$A$24)*(Etapas!$G$5:$G$304&lt;&gt;"Concluída")*(Etapas!$B$5:$B$304&lt;&gt;"")*(Etapas!$E$5:$E$304&lt;&gt;"")*Etapas!$E$5:$E$304+(1-(Etapas!$C$5:$C$304=Config!$A$24)*(Etapas!$G$5:$G$304&lt;&gt;"Concluída")*(Etapas!$B$5:$B$304&lt;&gt;"")*(Etapas!$E$5:$E$304&lt;&gt;""))*1E+10))),""))</f>
        <v>46270.0</v>
      </c>
    </row>
    <row r="41">
      <c r="A41" s="22" t="str">
        <f>IF(Config!$A$25="","",Config!$A$25)</f>
        <v>Diego</v>
      </c>
      <c r="B41" s="23">
        <f>IF(Config!$A$25="","",COUNTIFS(Etapas!$C$5:$C$304,Config!$A$25,Etapas!$B$5:$B$304,"&lt;&gt;")-COUNTIFS(Etapas!$C$5:$C$304,Config!$A$25,Etapas!$G$5:$G$304,"Concluída"))</f>
        <v>2</v>
      </c>
      <c r="C41" s="23">
        <f>IF(Config!$A$25="","",COUNTIFS(Etapas!$C$5:$C$304,Config!$A$25,Etapas!$G$5:$G$304,"Atrasada"))</f>
        <v>0</v>
      </c>
      <c r="D41" s="23">
        <f>IF(Config!$A$25="","",COUNTIFS(Etapas!$C$5:$C$304,Config!$A$25,Etapas!$G$5:$G$304,"Vence em breve"))</f>
        <v>0</v>
      </c>
      <c r="E41" s="24">
        <f>IF(Config!$A$25="","",IFERROR(IF(OR(SUMPRODUCT(MIN((Etapas!$C$5:$C$304=Config!$A$25)*(Etapas!$G$5:$G$304&lt;&gt;"Concluída")*(Etapas!$B$5:$B$304&lt;&gt;"")*(Etapas!$E$5:$E$304&lt;&gt;"")*Etapas!$E$5:$E$304+(1-(Etapas!$C$5:$C$304=Config!$A$25)*(Etapas!$G$5:$G$304&lt;&gt;"Concluída")*(Etapas!$B$5:$B$304&lt;&gt;"")*(Etapas!$E$5:$E$304&lt;&gt;""))*1E+10))=0,SUMPRODUCT(MIN((Etapas!$C$5:$C$304=Config!$A$25)*(Etapas!$G$5:$G$304&lt;&gt;"Concluída")*(Etapas!$B$5:$B$304&lt;&gt;"")*(Etapas!$E$5:$E$304&lt;&gt;"")*Etapas!$E$5:$E$304+(1-(Etapas!$C$5:$C$304=Config!$A$25)*(Etapas!$G$5:$G$304&lt;&gt;"Concluída")*(Etapas!$B$5:$B$304&lt;&gt;"")*(Etapas!$E$5:$E$304&lt;&gt;""))*1E+10))&gt;=1E+10),"",SUMPRODUCT(MIN((Etapas!$C$5:$C$304=Config!$A$25)*(Etapas!$G$5:$G$304&lt;&gt;"Concluída")*(Etapas!$B$5:$B$304&lt;&gt;"")*(Etapas!$E$5:$E$304&lt;&gt;"")*Etapas!$E$5:$E$304+(1-(Etapas!$C$5:$C$304=Config!$A$25)*(Etapas!$G$5:$G$304&lt;&gt;"Concluída")*(Etapas!$B$5:$B$304&lt;&gt;"")*(Etapas!$E$5:$E$304&lt;&gt;""))*1E+10))),""))</f>
        <v>46298.0</v>
      </c>
    </row>
    <row r="42">
      <c r="A42" s="22">
        <f>IF(Config!$A$26="","",Config!$A$26)</f>
        <v/>
      </c>
      <c r="B42" s="23">
        <f>IF(Config!$A$26="","",COUNTIFS(Etapas!$C$5:$C$304,Config!$A$26,Etapas!$B$5:$B$304,"&lt;&gt;")-COUNTIFS(Etapas!$C$5:$C$304,Config!$A$26,Etapas!$G$5:$G$304,"Concluída"))</f>
        <v/>
      </c>
      <c r="C42" s="23">
        <f>IF(Config!$A$26="","",COUNTIFS(Etapas!$C$5:$C$304,Config!$A$26,Etapas!$G$5:$G$304,"Atrasada"))</f>
        <v/>
      </c>
      <c r="D42" s="23">
        <f>IF(Config!$A$26="","",COUNTIFS(Etapas!$C$5:$C$304,Config!$A$26,Etapas!$G$5:$G$304,"Vence em breve"))</f>
        <v/>
      </c>
      <c r="E42" s="24">
        <f>IF(Config!$A$26="","",IFERROR(IF(OR(SUMPRODUCT(MIN((Etapas!$C$5:$C$304=Config!$A$26)*(Etapas!$G$5:$G$304&lt;&gt;"Concluída")*(Etapas!$B$5:$B$304&lt;&gt;"")*(Etapas!$E$5:$E$304&lt;&gt;"")*Etapas!$E$5:$E$304+(1-(Etapas!$C$5:$C$304=Config!$A$26)*(Etapas!$G$5:$G$304&lt;&gt;"Concluída")*(Etapas!$B$5:$B$304&lt;&gt;"")*(Etapas!$E$5:$E$304&lt;&gt;""))*1E+10))=0,SUMPRODUCT(MIN((Etapas!$C$5:$C$304=Config!$A$26)*(Etapas!$G$5:$G$304&lt;&gt;"Concluída")*(Etapas!$B$5:$B$304&lt;&gt;"")*(Etapas!$E$5:$E$304&lt;&gt;"")*Etapas!$E$5:$E$304+(1-(Etapas!$C$5:$C$304=Config!$A$26)*(Etapas!$G$5:$G$304&lt;&gt;"Concluída")*(Etapas!$B$5:$B$304&lt;&gt;"")*(Etapas!$E$5:$E$304&lt;&gt;""))*1E+10))&gt;=1E+10),"",SUMPRODUCT(MIN((Etapas!$C$5:$C$304=Config!$A$26)*(Etapas!$G$5:$G$304&lt;&gt;"Concluída")*(Etapas!$B$5:$B$304&lt;&gt;"")*(Etapas!$E$5:$E$304&lt;&gt;"")*Etapas!$E$5:$E$304+(1-(Etapas!$C$5:$C$304=Config!$A$26)*(Etapas!$G$5:$G$304&lt;&gt;"Concluída")*(Etapas!$B$5:$B$304&lt;&gt;"")*(Etapas!$E$5:$E$304&lt;&gt;""))*1E+10))),""))</f>
        <v/>
      </c>
    </row>
    <row r="43">
      <c r="A43" s="22">
        <f>IF(Config!$A$27="","",Config!$A$27)</f>
        <v/>
      </c>
      <c r="B43" s="23">
        <f>IF(Config!$A$27="","",COUNTIFS(Etapas!$C$5:$C$304,Config!$A$27,Etapas!$B$5:$B$304,"&lt;&gt;")-COUNTIFS(Etapas!$C$5:$C$304,Config!$A$27,Etapas!$G$5:$G$304,"Concluída"))</f>
        <v/>
      </c>
      <c r="C43" s="23">
        <f>IF(Config!$A$27="","",COUNTIFS(Etapas!$C$5:$C$304,Config!$A$27,Etapas!$G$5:$G$304,"Atrasada"))</f>
        <v/>
      </c>
      <c r="D43" s="23">
        <f>IF(Config!$A$27="","",COUNTIFS(Etapas!$C$5:$C$304,Config!$A$27,Etapas!$G$5:$G$304,"Vence em breve"))</f>
        <v/>
      </c>
      <c r="E43" s="24">
        <f>IF(Config!$A$27="","",IFERROR(IF(OR(SUMPRODUCT(MIN((Etapas!$C$5:$C$304=Config!$A$27)*(Etapas!$G$5:$G$304&lt;&gt;"Concluída")*(Etapas!$B$5:$B$304&lt;&gt;"")*(Etapas!$E$5:$E$304&lt;&gt;"")*Etapas!$E$5:$E$304+(1-(Etapas!$C$5:$C$304=Config!$A$27)*(Etapas!$G$5:$G$304&lt;&gt;"Concluída")*(Etapas!$B$5:$B$304&lt;&gt;"")*(Etapas!$E$5:$E$304&lt;&gt;""))*1E+10))=0,SUMPRODUCT(MIN((Etapas!$C$5:$C$304=Config!$A$27)*(Etapas!$G$5:$G$304&lt;&gt;"Concluída")*(Etapas!$B$5:$B$304&lt;&gt;"")*(Etapas!$E$5:$E$304&lt;&gt;"")*Etapas!$E$5:$E$304+(1-(Etapas!$C$5:$C$304=Config!$A$27)*(Etapas!$G$5:$G$304&lt;&gt;"Concluída")*(Etapas!$B$5:$B$304&lt;&gt;"")*(Etapas!$E$5:$E$304&lt;&gt;""))*1E+10))&gt;=1E+10),"",SUMPRODUCT(MIN((Etapas!$C$5:$C$304=Config!$A$27)*(Etapas!$G$5:$G$304&lt;&gt;"Concluída")*(Etapas!$B$5:$B$304&lt;&gt;"")*(Etapas!$E$5:$E$304&lt;&gt;"")*Etapas!$E$5:$E$304+(1-(Etapas!$C$5:$C$304=Config!$A$27)*(Etapas!$G$5:$G$304&lt;&gt;"Concluída")*(Etapas!$B$5:$B$304&lt;&gt;"")*(Etapas!$E$5:$E$304&lt;&gt;""))*1E+10))),""))</f>
        <v/>
      </c>
    </row>
    <row r="44">
      <c r="A44" s="22">
        <f>IF(Config!$A$28="","",Config!$A$28)</f>
        <v/>
      </c>
      <c r="B44" s="23">
        <f>IF(Config!$A$28="","",COUNTIFS(Etapas!$C$5:$C$304,Config!$A$28,Etapas!$B$5:$B$304,"&lt;&gt;")-COUNTIFS(Etapas!$C$5:$C$304,Config!$A$28,Etapas!$G$5:$G$304,"Concluída"))</f>
        <v/>
      </c>
      <c r="C44" s="23">
        <f>IF(Config!$A$28="","",COUNTIFS(Etapas!$C$5:$C$304,Config!$A$28,Etapas!$G$5:$G$304,"Atrasada"))</f>
        <v/>
      </c>
      <c r="D44" s="23">
        <f>IF(Config!$A$28="","",COUNTIFS(Etapas!$C$5:$C$304,Config!$A$28,Etapas!$G$5:$G$304,"Vence em breve"))</f>
        <v/>
      </c>
      <c r="E44" s="24">
        <f>IF(Config!$A$28="","",IFERROR(IF(OR(SUMPRODUCT(MIN((Etapas!$C$5:$C$304=Config!$A$28)*(Etapas!$G$5:$G$304&lt;&gt;"Concluída")*(Etapas!$B$5:$B$304&lt;&gt;"")*(Etapas!$E$5:$E$304&lt;&gt;"")*Etapas!$E$5:$E$304+(1-(Etapas!$C$5:$C$304=Config!$A$28)*(Etapas!$G$5:$G$304&lt;&gt;"Concluída")*(Etapas!$B$5:$B$304&lt;&gt;"")*(Etapas!$E$5:$E$304&lt;&gt;""))*1E+10))=0,SUMPRODUCT(MIN((Etapas!$C$5:$C$304=Config!$A$28)*(Etapas!$G$5:$G$304&lt;&gt;"Concluída")*(Etapas!$B$5:$B$304&lt;&gt;"")*(Etapas!$E$5:$E$304&lt;&gt;"")*Etapas!$E$5:$E$304+(1-(Etapas!$C$5:$C$304=Config!$A$28)*(Etapas!$G$5:$G$304&lt;&gt;"Concluída")*(Etapas!$B$5:$B$304&lt;&gt;"")*(Etapas!$E$5:$E$304&lt;&gt;""))*1E+10))&gt;=1E+10),"",SUMPRODUCT(MIN((Etapas!$C$5:$C$304=Config!$A$28)*(Etapas!$G$5:$G$304&lt;&gt;"Concluída")*(Etapas!$B$5:$B$304&lt;&gt;"")*(Etapas!$E$5:$E$304&lt;&gt;"")*Etapas!$E$5:$E$304+(1-(Etapas!$C$5:$C$304=Config!$A$28)*(Etapas!$G$5:$G$304&lt;&gt;"Concluída")*(Etapas!$B$5:$B$304&lt;&gt;"")*(Etapas!$E$5:$E$304&lt;&gt;""))*1E+10))),""))</f>
        <v/>
      </c>
    </row>
    <row r="45">
      <c r="A45" s="22">
        <f>IF(Config!$A$29="","",Config!$A$29)</f>
        <v/>
      </c>
      <c r="B45" s="23">
        <f>IF(Config!$A$29="","",COUNTIFS(Etapas!$C$5:$C$304,Config!$A$29,Etapas!$B$5:$B$304,"&lt;&gt;")-COUNTIFS(Etapas!$C$5:$C$304,Config!$A$29,Etapas!$G$5:$G$304,"Concluída"))</f>
        <v/>
      </c>
      <c r="C45" s="23">
        <f>IF(Config!$A$29="","",COUNTIFS(Etapas!$C$5:$C$304,Config!$A$29,Etapas!$G$5:$G$304,"Atrasada"))</f>
        <v/>
      </c>
      <c r="D45" s="23">
        <f>IF(Config!$A$29="","",COUNTIFS(Etapas!$C$5:$C$304,Config!$A$29,Etapas!$G$5:$G$304,"Vence em breve"))</f>
        <v/>
      </c>
      <c r="E45" s="24">
        <f>IF(Config!$A$29="","",IFERROR(IF(OR(SUMPRODUCT(MIN((Etapas!$C$5:$C$304=Config!$A$29)*(Etapas!$G$5:$G$304&lt;&gt;"Concluída")*(Etapas!$B$5:$B$304&lt;&gt;"")*(Etapas!$E$5:$E$304&lt;&gt;"")*Etapas!$E$5:$E$304+(1-(Etapas!$C$5:$C$304=Config!$A$29)*(Etapas!$G$5:$G$304&lt;&gt;"Concluída")*(Etapas!$B$5:$B$304&lt;&gt;"")*(Etapas!$E$5:$E$304&lt;&gt;""))*1E+10))=0,SUMPRODUCT(MIN((Etapas!$C$5:$C$304=Config!$A$29)*(Etapas!$G$5:$G$304&lt;&gt;"Concluída")*(Etapas!$B$5:$B$304&lt;&gt;"")*(Etapas!$E$5:$E$304&lt;&gt;"")*Etapas!$E$5:$E$304+(1-(Etapas!$C$5:$C$304=Config!$A$29)*(Etapas!$G$5:$G$304&lt;&gt;"Concluída")*(Etapas!$B$5:$B$304&lt;&gt;"")*(Etapas!$E$5:$E$304&lt;&gt;""))*1E+10))&gt;=1E+10),"",SUMPRODUCT(MIN((Etapas!$C$5:$C$304=Config!$A$29)*(Etapas!$G$5:$G$304&lt;&gt;"Concluída")*(Etapas!$B$5:$B$304&lt;&gt;"")*(Etapas!$E$5:$E$304&lt;&gt;"")*Etapas!$E$5:$E$304+(1-(Etapas!$C$5:$C$304=Config!$A$29)*(Etapas!$G$5:$G$304&lt;&gt;"Concluída")*(Etapas!$B$5:$B$304&lt;&gt;"")*(Etapas!$E$5:$E$304&lt;&gt;""))*1E+10))),""))</f>
        <v/>
      </c>
    </row>
    <row r="46">
      <c r="A46" s="22">
        <f>IF(Config!$A$30="","",Config!$A$30)</f>
        <v/>
      </c>
      <c r="B46" s="23">
        <f>IF(Config!$A$30="","",COUNTIFS(Etapas!$C$5:$C$304,Config!$A$30,Etapas!$B$5:$B$304,"&lt;&gt;")-COUNTIFS(Etapas!$C$5:$C$304,Config!$A$30,Etapas!$G$5:$G$304,"Concluída"))</f>
        <v/>
      </c>
      <c r="C46" s="23">
        <f>IF(Config!$A$30="","",COUNTIFS(Etapas!$C$5:$C$304,Config!$A$30,Etapas!$G$5:$G$304,"Atrasada"))</f>
        <v/>
      </c>
      <c r="D46" s="23">
        <f>IF(Config!$A$30="","",COUNTIFS(Etapas!$C$5:$C$304,Config!$A$30,Etapas!$G$5:$G$304,"Vence em breve"))</f>
        <v/>
      </c>
      <c r="E46" s="24">
        <f>IF(Config!$A$30="","",IFERROR(IF(OR(SUMPRODUCT(MIN((Etapas!$C$5:$C$304=Config!$A$30)*(Etapas!$G$5:$G$304&lt;&gt;"Concluída")*(Etapas!$B$5:$B$304&lt;&gt;"")*(Etapas!$E$5:$E$304&lt;&gt;"")*Etapas!$E$5:$E$304+(1-(Etapas!$C$5:$C$304=Config!$A$30)*(Etapas!$G$5:$G$304&lt;&gt;"Concluída")*(Etapas!$B$5:$B$304&lt;&gt;"")*(Etapas!$E$5:$E$304&lt;&gt;""))*1E+10))=0,SUMPRODUCT(MIN((Etapas!$C$5:$C$304=Config!$A$30)*(Etapas!$G$5:$G$304&lt;&gt;"Concluída")*(Etapas!$B$5:$B$304&lt;&gt;"")*(Etapas!$E$5:$E$304&lt;&gt;"")*Etapas!$E$5:$E$304+(1-(Etapas!$C$5:$C$304=Config!$A$30)*(Etapas!$G$5:$G$304&lt;&gt;"Concluída")*(Etapas!$B$5:$B$304&lt;&gt;"")*(Etapas!$E$5:$E$304&lt;&gt;""))*1E+10))&gt;=1E+10),"",SUMPRODUCT(MIN((Etapas!$C$5:$C$304=Config!$A$30)*(Etapas!$G$5:$G$304&lt;&gt;"Concluída")*(Etapas!$B$5:$B$304&lt;&gt;"")*(Etapas!$E$5:$E$304&lt;&gt;"")*Etapas!$E$5:$E$304+(1-(Etapas!$C$5:$C$304=Config!$A$30)*(Etapas!$G$5:$G$304&lt;&gt;"Concluída")*(Etapas!$B$5:$B$304&lt;&gt;"")*(Etapas!$E$5:$E$304&lt;&gt;""))*1E+10))),""))</f>
        <v/>
      </c>
    </row>
    <row r="47">
      <c r="A47" s="22">
        <f>IF(Config!$A$31="","",Config!$A$31)</f>
        <v/>
      </c>
      <c r="B47" s="23">
        <f>IF(Config!$A$31="","",COUNTIFS(Etapas!$C$5:$C$304,Config!$A$31,Etapas!$B$5:$B$304,"&lt;&gt;")-COUNTIFS(Etapas!$C$5:$C$304,Config!$A$31,Etapas!$G$5:$G$304,"Concluída"))</f>
        <v/>
      </c>
      <c r="C47" s="23">
        <f>IF(Config!$A$31="","",COUNTIFS(Etapas!$C$5:$C$304,Config!$A$31,Etapas!$G$5:$G$304,"Atrasada"))</f>
        <v/>
      </c>
      <c r="D47" s="23">
        <f>IF(Config!$A$31="","",COUNTIFS(Etapas!$C$5:$C$304,Config!$A$31,Etapas!$G$5:$G$304,"Vence em breve"))</f>
        <v/>
      </c>
      <c r="E47" s="24">
        <f>IF(Config!$A$31="","",IFERROR(IF(OR(SUMPRODUCT(MIN((Etapas!$C$5:$C$304=Config!$A$31)*(Etapas!$G$5:$G$304&lt;&gt;"Concluída")*(Etapas!$B$5:$B$304&lt;&gt;"")*(Etapas!$E$5:$E$304&lt;&gt;"")*Etapas!$E$5:$E$304+(1-(Etapas!$C$5:$C$304=Config!$A$31)*(Etapas!$G$5:$G$304&lt;&gt;"Concluída")*(Etapas!$B$5:$B$304&lt;&gt;"")*(Etapas!$E$5:$E$304&lt;&gt;""))*1E+10))=0,SUMPRODUCT(MIN((Etapas!$C$5:$C$304=Config!$A$31)*(Etapas!$G$5:$G$304&lt;&gt;"Concluída")*(Etapas!$B$5:$B$304&lt;&gt;"")*(Etapas!$E$5:$E$304&lt;&gt;"")*Etapas!$E$5:$E$304+(1-(Etapas!$C$5:$C$304=Config!$A$31)*(Etapas!$G$5:$G$304&lt;&gt;"Concluída")*(Etapas!$B$5:$B$304&lt;&gt;"")*(Etapas!$E$5:$E$304&lt;&gt;""))*1E+10))&gt;=1E+10),"",SUMPRODUCT(MIN((Etapas!$C$5:$C$304=Config!$A$31)*(Etapas!$G$5:$G$304&lt;&gt;"Concluída")*(Etapas!$B$5:$B$304&lt;&gt;"")*(Etapas!$E$5:$E$304&lt;&gt;"")*Etapas!$E$5:$E$304+(1-(Etapas!$C$5:$C$304=Config!$A$31)*(Etapas!$G$5:$G$304&lt;&gt;"Concluída")*(Etapas!$B$5:$B$304&lt;&gt;"")*(Etapas!$E$5:$E$304&lt;&gt;""))*1E+10))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6:H6"/>
    <mergeCell ref="C4:D4"/>
  </mergeCells>
  <conditionalFormatting sqref="A9:H18">
    <cfRule type="expression" priority="1" dxfId="0">
      <formula>$H9="Com atraso"</formula>
    </cfRule>
    <cfRule type="expression" priority="2" dxfId="1">
      <formula>$H9="Concluído"</formula>
    </cfRule>
  </conditionalFormatting>
  <conditionalFormatting sqref="F9:F18">
    <cfRule type="expression" priority="3" dxfId="2">
      <formula>F9&gt;0</formula>
    </cfRule>
  </conditionalFormatting>
  <conditionalFormatting sqref="A23:H34">
    <cfRule type="expression" priority="4" dxfId="0">
      <formula>$F23="Atrasada"</formula>
    </cfRule>
    <cfRule type="expression" priority="5" dxfId="3">
      <formula>$F23="Vence em breve"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8" customWidth="1" min="3" max="3"/>
    <col width="10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</cols>
  <sheetData>
    <row r="1">
      <c r="A1" s="5" t="inlineStr">
        <is>
          <t>Linha do tempo (semanas)</t>
        </is>
      </c>
    </row>
    <row r="2">
      <c r="A2" s="6" t="inlineStr">
        <is>
          <t>As 40 primeiras etapas da aba Etapas, semana a semana, a partir da segunda-feira da data de referência. Barra roxa: etapa em curso; cinza: concluída; vermelha: atrasada.</t>
        </is>
      </c>
    </row>
    <row r="3">
      <c r="A3" s="27" t="inlineStr">
        <is>
          <t>Começar em</t>
        </is>
      </c>
      <c r="B3" s="24">
        <f>Config!$B$5-WEEKDAY(Config!$B$5,3)-7</f>
        <v>46272.0</v>
      </c>
      <c r="C3" s="6" t="inlineStr">
        <is>
          <t>(uma semana antes da data de referência; mude a data em Config para navegar)</t>
        </is>
      </c>
    </row>
    <row r="4" ht="42" customHeight="1">
      <c r="A4" s="21" t="inlineStr">
        <is>
          <t>Projeto</t>
        </is>
      </c>
      <c r="B4" s="21" t="inlineStr">
        <is>
          <t>Etapa</t>
        </is>
      </c>
      <c r="C4" s="21" t="inlineStr">
        <is>
          <t>Resp.</t>
        </is>
      </c>
      <c r="D4" s="21" t="inlineStr">
        <is>
          <t>Fim</t>
        </is>
      </c>
      <c r="E4" s="28">
        <f>$B$3+0</f>
        <v>46272.0</v>
      </c>
      <c r="F4" s="28">
        <f>$B$3+7</f>
        <v>46279.0</v>
      </c>
      <c r="G4" s="28">
        <f>$B$3+14</f>
        <v>46286.0</v>
      </c>
      <c r="H4" s="28">
        <f>$B$3+21</f>
        <v>46293.0</v>
      </c>
      <c r="I4" s="28">
        <f>$B$3+28</f>
        <v>46300.0</v>
      </c>
      <c r="J4" s="28">
        <f>$B$3+35</f>
        <v>46307.0</v>
      </c>
      <c r="K4" s="28">
        <f>$B$3+42</f>
        <v>46314.0</v>
      </c>
      <c r="L4" s="28">
        <f>$B$3+49</f>
        <v>46321.0</v>
      </c>
      <c r="M4" s="28">
        <f>$B$3+56</f>
        <v>46328.0</v>
      </c>
      <c r="N4" s="28">
        <f>$B$3+63</f>
        <v>46335.0</v>
      </c>
      <c r="O4" s="28">
        <f>$B$3+70</f>
        <v>46342.0</v>
      </c>
      <c r="P4" s="28">
        <f>$B$3+77</f>
        <v>46349.0</v>
      </c>
      <c r="Q4" s="28">
        <f>$B$3+84</f>
        <v>46356.0</v>
      </c>
      <c r="R4" s="28">
        <f>$B$3+91</f>
        <v>46363.0</v>
      </c>
    </row>
    <row r="5">
      <c r="A5" s="22" t="str">
        <f>IF(Etapas!B5="","",Etapas!A5)</f>
        <v>Site novo · Loja Verde</v>
      </c>
      <c r="B5" s="22" t="str">
        <f>IF(Etapas!B5="","",Etapas!B5)</f>
        <v>Briefing e mapa do site</v>
      </c>
      <c r="C5" s="23" t="str">
        <f>IF(Etapas!B5="","",Etapas!C5)</f>
        <v>Ana</v>
      </c>
      <c r="D5" s="24">
        <f>IF(Etapas!B5="","",Etapas!E5)</f>
        <v>46249.0</v>
      </c>
      <c r="E5" s="29">
        <f>IF(Etapas!$B5="","",IF(AND(E$4&lt;=Etapas!$E5,E$4+6&gt;=Etapas!$D5),IF(Etapas!$G5="Concluída",1,IF(Etapas!$G5="Atrasada",3,2)),""))</f>
        <v/>
      </c>
      <c r="F5" s="29">
        <f>IF(Etapas!$B5="","",IF(AND(F$4&lt;=Etapas!$E5,F$4+6&gt;=Etapas!$D5),IF(Etapas!$G5="Concluída",1,IF(Etapas!$G5="Atrasada",3,2)),""))</f>
        <v/>
      </c>
      <c r="G5" s="29">
        <f>IF(Etapas!$B5="","",IF(AND(G$4&lt;=Etapas!$E5,G$4+6&gt;=Etapas!$D5),IF(Etapas!$G5="Concluída",1,IF(Etapas!$G5="Atrasada",3,2)),""))</f>
        <v/>
      </c>
      <c r="H5" s="29">
        <f>IF(Etapas!$B5="","",IF(AND(H$4&lt;=Etapas!$E5,H$4+6&gt;=Etapas!$D5),IF(Etapas!$G5="Concluída",1,IF(Etapas!$G5="Atrasada",3,2)),""))</f>
        <v/>
      </c>
      <c r="I5" s="29">
        <f>IF(Etapas!$B5="","",IF(AND(I$4&lt;=Etapas!$E5,I$4+6&gt;=Etapas!$D5),IF(Etapas!$G5="Concluída",1,IF(Etapas!$G5="Atrasada",3,2)),""))</f>
        <v/>
      </c>
      <c r="J5" s="29">
        <f>IF(Etapas!$B5="","",IF(AND(J$4&lt;=Etapas!$E5,J$4+6&gt;=Etapas!$D5),IF(Etapas!$G5="Concluída",1,IF(Etapas!$G5="Atrasada",3,2)),""))</f>
        <v/>
      </c>
      <c r="K5" s="29">
        <f>IF(Etapas!$B5="","",IF(AND(K$4&lt;=Etapas!$E5,K$4+6&gt;=Etapas!$D5),IF(Etapas!$G5="Concluída",1,IF(Etapas!$G5="Atrasada",3,2)),""))</f>
        <v/>
      </c>
      <c r="L5" s="29">
        <f>IF(Etapas!$B5="","",IF(AND(L$4&lt;=Etapas!$E5,L$4+6&gt;=Etapas!$D5),IF(Etapas!$G5="Concluída",1,IF(Etapas!$G5="Atrasada",3,2)),""))</f>
        <v/>
      </c>
      <c r="M5" s="29">
        <f>IF(Etapas!$B5="","",IF(AND(M$4&lt;=Etapas!$E5,M$4+6&gt;=Etapas!$D5),IF(Etapas!$G5="Concluída",1,IF(Etapas!$G5="Atrasada",3,2)),""))</f>
        <v/>
      </c>
      <c r="N5" s="29">
        <f>IF(Etapas!$B5="","",IF(AND(N$4&lt;=Etapas!$E5,N$4+6&gt;=Etapas!$D5),IF(Etapas!$G5="Concluída",1,IF(Etapas!$G5="Atrasada",3,2)),""))</f>
        <v/>
      </c>
      <c r="O5" s="29">
        <f>IF(Etapas!$B5="","",IF(AND(O$4&lt;=Etapas!$E5,O$4+6&gt;=Etapas!$D5),IF(Etapas!$G5="Concluída",1,IF(Etapas!$G5="Atrasada",3,2)),""))</f>
        <v/>
      </c>
      <c r="P5" s="29">
        <f>IF(Etapas!$B5="","",IF(AND(P$4&lt;=Etapas!$E5,P$4+6&gt;=Etapas!$D5),IF(Etapas!$G5="Concluída",1,IF(Etapas!$G5="Atrasada",3,2)),""))</f>
        <v/>
      </c>
      <c r="Q5" s="29">
        <f>IF(Etapas!$B5="","",IF(AND(Q$4&lt;=Etapas!$E5,Q$4+6&gt;=Etapas!$D5),IF(Etapas!$G5="Concluída",1,IF(Etapas!$G5="Atrasada",3,2)),""))</f>
        <v/>
      </c>
      <c r="R5" s="29">
        <f>IF(Etapas!$B5="","",IF(AND(R$4&lt;=Etapas!$E5,R$4+6&gt;=Etapas!$D5),IF(Etapas!$G5="Concluída",1,IF(Etapas!$G5="Atrasada",3,2)),""))</f>
        <v/>
      </c>
    </row>
    <row r="6">
      <c r="A6" s="22" t="str">
        <f>IF(Etapas!B6="","",Etapas!A6)</f>
        <v>Site novo · Loja Verde</v>
      </c>
      <c r="B6" s="22" t="str">
        <f>IF(Etapas!B6="","",Etapas!B6)</f>
        <v>Wireframes das 5 páginas</v>
      </c>
      <c r="C6" s="23" t="str">
        <f>IF(Etapas!B6="","",Etapas!C6)</f>
        <v>Ana</v>
      </c>
      <c r="D6" s="24">
        <f>IF(Etapas!B6="","",Etapas!E6)</f>
        <v>46260.0</v>
      </c>
      <c r="E6" s="29">
        <f>IF(Etapas!$B6="","",IF(AND(E$4&lt;=Etapas!$E6,E$4+6&gt;=Etapas!$D6),IF(Etapas!$G6="Concluída",1,IF(Etapas!$G6="Atrasada",3,2)),""))</f>
        <v/>
      </c>
      <c r="F6" s="29">
        <f>IF(Etapas!$B6="","",IF(AND(F$4&lt;=Etapas!$E6,F$4+6&gt;=Etapas!$D6),IF(Etapas!$G6="Concluída",1,IF(Etapas!$G6="Atrasada",3,2)),""))</f>
        <v/>
      </c>
      <c r="G6" s="29">
        <f>IF(Etapas!$B6="","",IF(AND(G$4&lt;=Etapas!$E6,G$4+6&gt;=Etapas!$D6),IF(Etapas!$G6="Concluída",1,IF(Etapas!$G6="Atrasada",3,2)),""))</f>
        <v/>
      </c>
      <c r="H6" s="29">
        <f>IF(Etapas!$B6="","",IF(AND(H$4&lt;=Etapas!$E6,H$4+6&gt;=Etapas!$D6),IF(Etapas!$G6="Concluída",1,IF(Etapas!$G6="Atrasada",3,2)),""))</f>
        <v/>
      </c>
      <c r="I6" s="29">
        <f>IF(Etapas!$B6="","",IF(AND(I$4&lt;=Etapas!$E6,I$4+6&gt;=Etapas!$D6),IF(Etapas!$G6="Concluída",1,IF(Etapas!$G6="Atrasada",3,2)),""))</f>
        <v/>
      </c>
      <c r="J6" s="29">
        <f>IF(Etapas!$B6="","",IF(AND(J$4&lt;=Etapas!$E6,J$4+6&gt;=Etapas!$D6),IF(Etapas!$G6="Concluída",1,IF(Etapas!$G6="Atrasada",3,2)),""))</f>
        <v/>
      </c>
      <c r="K6" s="29">
        <f>IF(Etapas!$B6="","",IF(AND(K$4&lt;=Etapas!$E6,K$4+6&gt;=Etapas!$D6),IF(Etapas!$G6="Concluída",1,IF(Etapas!$G6="Atrasada",3,2)),""))</f>
        <v/>
      </c>
      <c r="L6" s="29">
        <f>IF(Etapas!$B6="","",IF(AND(L$4&lt;=Etapas!$E6,L$4+6&gt;=Etapas!$D6),IF(Etapas!$G6="Concluída",1,IF(Etapas!$G6="Atrasada",3,2)),""))</f>
        <v/>
      </c>
      <c r="M6" s="29">
        <f>IF(Etapas!$B6="","",IF(AND(M$4&lt;=Etapas!$E6,M$4+6&gt;=Etapas!$D6),IF(Etapas!$G6="Concluída",1,IF(Etapas!$G6="Atrasada",3,2)),""))</f>
        <v/>
      </c>
      <c r="N6" s="29">
        <f>IF(Etapas!$B6="","",IF(AND(N$4&lt;=Etapas!$E6,N$4+6&gt;=Etapas!$D6),IF(Etapas!$G6="Concluída",1,IF(Etapas!$G6="Atrasada",3,2)),""))</f>
        <v/>
      </c>
      <c r="O6" s="29">
        <f>IF(Etapas!$B6="","",IF(AND(O$4&lt;=Etapas!$E6,O$4+6&gt;=Etapas!$D6),IF(Etapas!$G6="Concluída",1,IF(Etapas!$G6="Atrasada",3,2)),""))</f>
        <v/>
      </c>
      <c r="P6" s="29">
        <f>IF(Etapas!$B6="","",IF(AND(P$4&lt;=Etapas!$E6,P$4+6&gt;=Etapas!$D6),IF(Etapas!$G6="Concluída",1,IF(Etapas!$G6="Atrasada",3,2)),""))</f>
        <v/>
      </c>
      <c r="Q6" s="29">
        <f>IF(Etapas!$B6="","",IF(AND(Q$4&lt;=Etapas!$E6,Q$4+6&gt;=Etapas!$D6),IF(Etapas!$G6="Concluída",1,IF(Etapas!$G6="Atrasada",3,2)),""))</f>
        <v/>
      </c>
      <c r="R6" s="29">
        <f>IF(Etapas!$B6="","",IF(AND(R$4&lt;=Etapas!$E6,R$4+6&gt;=Etapas!$D6),IF(Etapas!$G6="Concluída",1,IF(Etapas!$G6="Atrasada",3,2)),""))</f>
        <v/>
      </c>
    </row>
    <row r="7">
      <c r="A7" s="22" t="str">
        <f>IF(Etapas!B7="","",Etapas!A7)</f>
        <v>Site novo · Loja Verde</v>
      </c>
      <c r="B7" s="22" t="str">
        <f>IF(Etapas!B7="","",Etapas!B7)</f>
        <v>Layout da home</v>
      </c>
      <c r="C7" s="23" t="str">
        <f>IF(Etapas!B7="","",Etapas!C7)</f>
        <v>Bruno</v>
      </c>
      <c r="D7" s="24">
        <f>IF(Etapas!B7="","",Etapas!E7)</f>
        <v>46273.0</v>
      </c>
      <c r="E7" s="29">
        <f>IF(Etapas!$B7="","",IF(AND(E$4&lt;=Etapas!$E7,E$4+6&gt;=Etapas!$D7),IF(Etapas!$G7="Concluída",1,IF(Etapas!$G7="Atrasada",3,2)),""))</f>
        <v>1</v>
      </c>
      <c r="F7" s="29">
        <f>IF(Etapas!$B7="","",IF(AND(F$4&lt;=Etapas!$E7,F$4+6&gt;=Etapas!$D7),IF(Etapas!$G7="Concluída",1,IF(Etapas!$G7="Atrasada",3,2)),""))</f>
        <v/>
      </c>
      <c r="G7" s="29">
        <f>IF(Etapas!$B7="","",IF(AND(G$4&lt;=Etapas!$E7,G$4+6&gt;=Etapas!$D7),IF(Etapas!$G7="Concluída",1,IF(Etapas!$G7="Atrasada",3,2)),""))</f>
        <v/>
      </c>
      <c r="H7" s="29">
        <f>IF(Etapas!$B7="","",IF(AND(H$4&lt;=Etapas!$E7,H$4+6&gt;=Etapas!$D7),IF(Etapas!$G7="Concluída",1,IF(Etapas!$G7="Atrasada",3,2)),""))</f>
        <v/>
      </c>
      <c r="I7" s="29">
        <f>IF(Etapas!$B7="","",IF(AND(I$4&lt;=Etapas!$E7,I$4+6&gt;=Etapas!$D7),IF(Etapas!$G7="Concluída",1,IF(Etapas!$G7="Atrasada",3,2)),""))</f>
        <v/>
      </c>
      <c r="J7" s="29">
        <f>IF(Etapas!$B7="","",IF(AND(J$4&lt;=Etapas!$E7,J$4+6&gt;=Etapas!$D7),IF(Etapas!$G7="Concluída",1,IF(Etapas!$G7="Atrasada",3,2)),""))</f>
        <v/>
      </c>
      <c r="K7" s="29">
        <f>IF(Etapas!$B7="","",IF(AND(K$4&lt;=Etapas!$E7,K$4+6&gt;=Etapas!$D7),IF(Etapas!$G7="Concluída",1,IF(Etapas!$G7="Atrasada",3,2)),""))</f>
        <v/>
      </c>
      <c r="L7" s="29">
        <f>IF(Etapas!$B7="","",IF(AND(L$4&lt;=Etapas!$E7,L$4+6&gt;=Etapas!$D7),IF(Etapas!$G7="Concluída",1,IF(Etapas!$G7="Atrasada",3,2)),""))</f>
        <v/>
      </c>
      <c r="M7" s="29">
        <f>IF(Etapas!$B7="","",IF(AND(M$4&lt;=Etapas!$E7,M$4+6&gt;=Etapas!$D7),IF(Etapas!$G7="Concluída",1,IF(Etapas!$G7="Atrasada",3,2)),""))</f>
        <v/>
      </c>
      <c r="N7" s="29">
        <f>IF(Etapas!$B7="","",IF(AND(N$4&lt;=Etapas!$E7,N$4+6&gt;=Etapas!$D7),IF(Etapas!$G7="Concluída",1,IF(Etapas!$G7="Atrasada",3,2)),""))</f>
        <v/>
      </c>
      <c r="O7" s="29">
        <f>IF(Etapas!$B7="","",IF(AND(O$4&lt;=Etapas!$E7,O$4+6&gt;=Etapas!$D7),IF(Etapas!$G7="Concluída",1,IF(Etapas!$G7="Atrasada",3,2)),""))</f>
        <v/>
      </c>
      <c r="P7" s="29">
        <f>IF(Etapas!$B7="","",IF(AND(P$4&lt;=Etapas!$E7,P$4+6&gt;=Etapas!$D7),IF(Etapas!$G7="Concluída",1,IF(Etapas!$G7="Atrasada",3,2)),""))</f>
        <v/>
      </c>
      <c r="Q7" s="29">
        <f>IF(Etapas!$B7="","",IF(AND(Q$4&lt;=Etapas!$E7,Q$4+6&gt;=Etapas!$D7),IF(Etapas!$G7="Concluída",1,IF(Etapas!$G7="Atrasada",3,2)),""))</f>
        <v/>
      </c>
      <c r="R7" s="29">
        <f>IF(Etapas!$B7="","",IF(AND(R$4&lt;=Etapas!$E7,R$4+6&gt;=Etapas!$D7),IF(Etapas!$G7="Concluída",1,IF(Etapas!$G7="Atrasada",3,2)),""))</f>
        <v/>
      </c>
    </row>
    <row r="8">
      <c r="A8" s="22" t="str">
        <f>IF(Etapas!B8="","",Etapas!A8)</f>
        <v>Site novo · Loja Verde</v>
      </c>
      <c r="B8" s="22" t="str">
        <f>IF(Etapas!B8="","",Etapas!B8)</f>
        <v>Layout das páginas internas</v>
      </c>
      <c r="C8" s="23" t="str">
        <f>IF(Etapas!B8="","",Etapas!C8)</f>
        <v>Bruno</v>
      </c>
      <c r="D8" s="24">
        <f>IF(Etapas!B8="","",Etapas!E8)</f>
        <v>46284.0</v>
      </c>
      <c r="E8" s="29">
        <f>IF(Etapas!$B8="","",IF(AND(E$4&lt;=Etapas!$E8,E$4+6&gt;=Etapas!$D8),IF(Etapas!$G8="Concluída",1,IF(Etapas!$G8="Atrasada",3,2)),""))</f>
        <v>2</v>
      </c>
      <c r="F8" s="29">
        <f>IF(Etapas!$B8="","",IF(AND(F$4&lt;=Etapas!$E8,F$4+6&gt;=Etapas!$D8),IF(Etapas!$G8="Concluída",1,IF(Etapas!$G8="Atrasada",3,2)),""))</f>
        <v>2</v>
      </c>
      <c r="G8" s="29">
        <f>IF(Etapas!$B8="","",IF(AND(G$4&lt;=Etapas!$E8,G$4+6&gt;=Etapas!$D8),IF(Etapas!$G8="Concluída",1,IF(Etapas!$G8="Atrasada",3,2)),""))</f>
        <v/>
      </c>
      <c r="H8" s="29">
        <f>IF(Etapas!$B8="","",IF(AND(H$4&lt;=Etapas!$E8,H$4+6&gt;=Etapas!$D8),IF(Etapas!$G8="Concluída",1,IF(Etapas!$G8="Atrasada",3,2)),""))</f>
        <v/>
      </c>
      <c r="I8" s="29">
        <f>IF(Etapas!$B8="","",IF(AND(I$4&lt;=Etapas!$E8,I$4+6&gt;=Etapas!$D8),IF(Etapas!$G8="Concluída",1,IF(Etapas!$G8="Atrasada",3,2)),""))</f>
        <v/>
      </c>
      <c r="J8" s="29">
        <f>IF(Etapas!$B8="","",IF(AND(J$4&lt;=Etapas!$E8,J$4+6&gt;=Etapas!$D8),IF(Etapas!$G8="Concluída",1,IF(Etapas!$G8="Atrasada",3,2)),""))</f>
        <v/>
      </c>
      <c r="K8" s="29">
        <f>IF(Etapas!$B8="","",IF(AND(K$4&lt;=Etapas!$E8,K$4+6&gt;=Etapas!$D8),IF(Etapas!$G8="Concluída",1,IF(Etapas!$G8="Atrasada",3,2)),""))</f>
        <v/>
      </c>
      <c r="L8" s="29">
        <f>IF(Etapas!$B8="","",IF(AND(L$4&lt;=Etapas!$E8,L$4+6&gt;=Etapas!$D8),IF(Etapas!$G8="Concluída",1,IF(Etapas!$G8="Atrasada",3,2)),""))</f>
        <v/>
      </c>
      <c r="M8" s="29">
        <f>IF(Etapas!$B8="","",IF(AND(M$4&lt;=Etapas!$E8,M$4+6&gt;=Etapas!$D8),IF(Etapas!$G8="Concluída",1,IF(Etapas!$G8="Atrasada",3,2)),""))</f>
        <v/>
      </c>
      <c r="N8" s="29">
        <f>IF(Etapas!$B8="","",IF(AND(N$4&lt;=Etapas!$E8,N$4+6&gt;=Etapas!$D8),IF(Etapas!$G8="Concluída",1,IF(Etapas!$G8="Atrasada",3,2)),""))</f>
        <v/>
      </c>
      <c r="O8" s="29">
        <f>IF(Etapas!$B8="","",IF(AND(O$4&lt;=Etapas!$E8,O$4+6&gt;=Etapas!$D8),IF(Etapas!$G8="Concluída",1,IF(Etapas!$G8="Atrasada",3,2)),""))</f>
        <v/>
      </c>
      <c r="P8" s="29">
        <f>IF(Etapas!$B8="","",IF(AND(P$4&lt;=Etapas!$E8,P$4+6&gt;=Etapas!$D8),IF(Etapas!$G8="Concluída",1,IF(Etapas!$G8="Atrasada",3,2)),""))</f>
        <v/>
      </c>
      <c r="Q8" s="29">
        <f>IF(Etapas!$B8="","",IF(AND(Q$4&lt;=Etapas!$E8,Q$4+6&gt;=Etapas!$D8),IF(Etapas!$G8="Concluída",1,IF(Etapas!$G8="Atrasada",3,2)),""))</f>
        <v/>
      </c>
      <c r="R8" s="29">
        <f>IF(Etapas!$B8="","",IF(AND(R$4&lt;=Etapas!$E8,R$4+6&gt;=Etapas!$D8),IF(Etapas!$G8="Concluída",1,IF(Etapas!$G8="Atrasada",3,2)),""))</f>
        <v/>
      </c>
    </row>
    <row r="9">
      <c r="A9" s="22" t="str">
        <f>IF(Etapas!B9="","",Etapas!A9)</f>
        <v>Site novo · Loja Verde</v>
      </c>
      <c r="B9" s="22" t="str">
        <f>IF(Etapas!B9="","",Etapas!B9)</f>
        <v>Textos das páginas</v>
      </c>
      <c r="C9" s="23" t="str">
        <f>IF(Etapas!B9="","",Etapas!C9)</f>
        <v>Carla</v>
      </c>
      <c r="D9" s="24">
        <f>IF(Etapas!B9="","",Etapas!E9)</f>
        <v>46277.0</v>
      </c>
      <c r="E9" s="29">
        <f>IF(Etapas!$B9="","",IF(AND(E$4&lt;=Etapas!$E9,E$4+6&gt;=Etapas!$D9),IF(Etapas!$G9="Concluída",1,IF(Etapas!$G9="Atrasada",3,2)),""))</f>
        <v>3</v>
      </c>
      <c r="F9" s="29">
        <f>IF(Etapas!$B9="","",IF(AND(F$4&lt;=Etapas!$E9,F$4+6&gt;=Etapas!$D9),IF(Etapas!$G9="Concluída",1,IF(Etapas!$G9="Atrasada",3,2)),""))</f>
        <v/>
      </c>
      <c r="G9" s="29">
        <f>IF(Etapas!$B9="","",IF(AND(G$4&lt;=Etapas!$E9,G$4+6&gt;=Etapas!$D9),IF(Etapas!$G9="Concluída",1,IF(Etapas!$G9="Atrasada",3,2)),""))</f>
        <v/>
      </c>
      <c r="H9" s="29">
        <f>IF(Etapas!$B9="","",IF(AND(H$4&lt;=Etapas!$E9,H$4+6&gt;=Etapas!$D9),IF(Etapas!$G9="Concluída",1,IF(Etapas!$G9="Atrasada",3,2)),""))</f>
        <v/>
      </c>
      <c r="I9" s="29">
        <f>IF(Etapas!$B9="","",IF(AND(I$4&lt;=Etapas!$E9,I$4+6&gt;=Etapas!$D9),IF(Etapas!$G9="Concluída",1,IF(Etapas!$G9="Atrasada",3,2)),""))</f>
        <v/>
      </c>
      <c r="J9" s="29">
        <f>IF(Etapas!$B9="","",IF(AND(J$4&lt;=Etapas!$E9,J$4+6&gt;=Etapas!$D9),IF(Etapas!$G9="Concluída",1,IF(Etapas!$G9="Atrasada",3,2)),""))</f>
        <v/>
      </c>
      <c r="K9" s="29">
        <f>IF(Etapas!$B9="","",IF(AND(K$4&lt;=Etapas!$E9,K$4+6&gt;=Etapas!$D9),IF(Etapas!$G9="Concluída",1,IF(Etapas!$G9="Atrasada",3,2)),""))</f>
        <v/>
      </c>
      <c r="L9" s="29">
        <f>IF(Etapas!$B9="","",IF(AND(L$4&lt;=Etapas!$E9,L$4+6&gt;=Etapas!$D9),IF(Etapas!$G9="Concluída",1,IF(Etapas!$G9="Atrasada",3,2)),""))</f>
        <v/>
      </c>
      <c r="M9" s="29">
        <f>IF(Etapas!$B9="","",IF(AND(M$4&lt;=Etapas!$E9,M$4+6&gt;=Etapas!$D9),IF(Etapas!$G9="Concluída",1,IF(Etapas!$G9="Atrasada",3,2)),""))</f>
        <v/>
      </c>
      <c r="N9" s="29">
        <f>IF(Etapas!$B9="","",IF(AND(N$4&lt;=Etapas!$E9,N$4+6&gt;=Etapas!$D9),IF(Etapas!$G9="Concluída",1,IF(Etapas!$G9="Atrasada",3,2)),""))</f>
        <v/>
      </c>
      <c r="O9" s="29">
        <f>IF(Etapas!$B9="","",IF(AND(O$4&lt;=Etapas!$E9,O$4+6&gt;=Etapas!$D9),IF(Etapas!$G9="Concluída",1,IF(Etapas!$G9="Atrasada",3,2)),""))</f>
        <v/>
      </c>
      <c r="P9" s="29">
        <f>IF(Etapas!$B9="","",IF(AND(P$4&lt;=Etapas!$E9,P$4+6&gt;=Etapas!$D9),IF(Etapas!$G9="Concluída",1,IF(Etapas!$G9="Atrasada",3,2)),""))</f>
        <v/>
      </c>
      <c r="Q9" s="29">
        <f>IF(Etapas!$B9="","",IF(AND(Q$4&lt;=Etapas!$E9,Q$4+6&gt;=Etapas!$D9),IF(Etapas!$G9="Concluída",1,IF(Etapas!$G9="Atrasada",3,2)),""))</f>
        <v/>
      </c>
      <c r="R9" s="29">
        <f>IF(Etapas!$B9="","",IF(AND(R$4&lt;=Etapas!$E9,R$4+6&gt;=Etapas!$D9),IF(Etapas!$G9="Concluída",1,IF(Etapas!$G9="Atrasada",3,2)),""))</f>
        <v/>
      </c>
    </row>
    <row r="10">
      <c r="A10" s="22" t="str">
        <f>IF(Etapas!B10="","",Etapas!A10)</f>
        <v>Site novo · Loja Verde</v>
      </c>
      <c r="B10" s="22" t="str">
        <f>IF(Etapas!B10="","",Etapas!B10)</f>
        <v>Implementação</v>
      </c>
      <c r="C10" s="23" t="str">
        <f>IF(Etapas!B10="","",Etapas!C10)</f>
        <v>Diego</v>
      </c>
      <c r="D10" s="24">
        <f>IF(Etapas!B10="","",Etapas!E10)</f>
        <v>46298.0</v>
      </c>
      <c r="E10" s="29">
        <f>IF(Etapas!$B10="","",IF(AND(E$4&lt;=Etapas!$E10,E$4+6&gt;=Etapas!$D10),IF(Etapas!$G10="Concluída",1,IF(Etapas!$G10="Atrasada",3,2)),""))</f>
        <v/>
      </c>
      <c r="F10" s="29">
        <f>IF(Etapas!$B10="","",IF(AND(F$4&lt;=Etapas!$E10,F$4+6&gt;=Etapas!$D10),IF(Etapas!$G10="Concluída",1,IF(Etapas!$G10="Atrasada",3,2)),""))</f>
        <v>2</v>
      </c>
      <c r="G10" s="29">
        <f>IF(Etapas!$B10="","",IF(AND(G$4&lt;=Etapas!$E10,G$4+6&gt;=Etapas!$D10),IF(Etapas!$G10="Concluída",1,IF(Etapas!$G10="Atrasada",3,2)),""))</f>
        <v>2</v>
      </c>
      <c r="H10" s="29">
        <f>IF(Etapas!$B10="","",IF(AND(H$4&lt;=Etapas!$E10,H$4+6&gt;=Etapas!$D10),IF(Etapas!$G10="Concluída",1,IF(Etapas!$G10="Atrasada",3,2)),""))</f>
        <v>2</v>
      </c>
      <c r="I10" s="29">
        <f>IF(Etapas!$B10="","",IF(AND(I$4&lt;=Etapas!$E10,I$4+6&gt;=Etapas!$D10),IF(Etapas!$G10="Concluída",1,IF(Etapas!$G10="Atrasada",3,2)),""))</f>
        <v/>
      </c>
      <c r="J10" s="29">
        <f>IF(Etapas!$B10="","",IF(AND(J$4&lt;=Etapas!$E10,J$4+6&gt;=Etapas!$D10),IF(Etapas!$G10="Concluída",1,IF(Etapas!$G10="Atrasada",3,2)),""))</f>
        <v/>
      </c>
      <c r="K10" s="29">
        <f>IF(Etapas!$B10="","",IF(AND(K$4&lt;=Etapas!$E10,K$4+6&gt;=Etapas!$D10),IF(Etapas!$G10="Concluída",1,IF(Etapas!$G10="Atrasada",3,2)),""))</f>
        <v/>
      </c>
      <c r="L10" s="29">
        <f>IF(Etapas!$B10="","",IF(AND(L$4&lt;=Etapas!$E10,L$4+6&gt;=Etapas!$D10),IF(Etapas!$G10="Concluída",1,IF(Etapas!$G10="Atrasada",3,2)),""))</f>
        <v/>
      </c>
      <c r="M10" s="29">
        <f>IF(Etapas!$B10="","",IF(AND(M$4&lt;=Etapas!$E10,M$4+6&gt;=Etapas!$D10),IF(Etapas!$G10="Concluída",1,IF(Etapas!$G10="Atrasada",3,2)),""))</f>
        <v/>
      </c>
      <c r="N10" s="29">
        <f>IF(Etapas!$B10="","",IF(AND(N$4&lt;=Etapas!$E10,N$4+6&gt;=Etapas!$D10),IF(Etapas!$G10="Concluída",1,IF(Etapas!$G10="Atrasada",3,2)),""))</f>
        <v/>
      </c>
      <c r="O10" s="29">
        <f>IF(Etapas!$B10="","",IF(AND(O$4&lt;=Etapas!$E10,O$4+6&gt;=Etapas!$D10),IF(Etapas!$G10="Concluída",1,IF(Etapas!$G10="Atrasada",3,2)),""))</f>
        <v/>
      </c>
      <c r="P10" s="29">
        <f>IF(Etapas!$B10="","",IF(AND(P$4&lt;=Etapas!$E10,P$4+6&gt;=Etapas!$D10),IF(Etapas!$G10="Concluída",1,IF(Etapas!$G10="Atrasada",3,2)),""))</f>
        <v/>
      </c>
      <c r="Q10" s="29">
        <f>IF(Etapas!$B10="","",IF(AND(Q$4&lt;=Etapas!$E10,Q$4+6&gt;=Etapas!$D10),IF(Etapas!$G10="Concluída",1,IF(Etapas!$G10="Atrasada",3,2)),""))</f>
        <v/>
      </c>
      <c r="R10" s="29">
        <f>IF(Etapas!$B10="","",IF(AND(R$4&lt;=Etapas!$E10,R$4+6&gt;=Etapas!$D10),IF(Etapas!$G10="Concluída",1,IF(Etapas!$G10="Atrasada",3,2)),""))</f>
        <v/>
      </c>
    </row>
    <row r="11">
      <c r="A11" s="22" t="str">
        <f>IF(Etapas!B11="","",Etapas!A11)</f>
        <v>Site novo · Loja Verde</v>
      </c>
      <c r="B11" s="22" t="str">
        <f>IF(Etapas!B11="","",Etapas!B11)</f>
        <v>Revisão e publicação</v>
      </c>
      <c r="C11" s="23" t="str">
        <f>IF(Etapas!B11="","",Etapas!C11)</f>
        <v>Ana</v>
      </c>
      <c r="D11" s="24">
        <f>IF(Etapas!B11="","",Etapas!E11)</f>
        <v>46304.0</v>
      </c>
      <c r="E11" s="29">
        <f>IF(Etapas!$B11="","",IF(AND(E$4&lt;=Etapas!$E11,E$4+6&gt;=Etapas!$D11),IF(Etapas!$G11="Concluída",1,IF(Etapas!$G11="Atrasada",3,2)),""))</f>
        <v/>
      </c>
      <c r="F11" s="29">
        <f>IF(Etapas!$B11="","",IF(AND(F$4&lt;=Etapas!$E11,F$4+6&gt;=Etapas!$D11),IF(Etapas!$G11="Concluída",1,IF(Etapas!$G11="Atrasada",3,2)),""))</f>
        <v/>
      </c>
      <c r="G11" s="29">
        <f>IF(Etapas!$B11="","",IF(AND(G$4&lt;=Etapas!$E11,G$4+6&gt;=Etapas!$D11),IF(Etapas!$G11="Concluída",1,IF(Etapas!$G11="Atrasada",3,2)),""))</f>
        <v/>
      </c>
      <c r="H11" s="29">
        <f>IF(Etapas!$B11="","",IF(AND(H$4&lt;=Etapas!$E11,H$4+6&gt;=Etapas!$D11),IF(Etapas!$G11="Concluída",1,IF(Etapas!$G11="Atrasada",3,2)),""))</f>
        <v>2</v>
      </c>
      <c r="I11" s="29">
        <f>IF(Etapas!$B11="","",IF(AND(I$4&lt;=Etapas!$E11,I$4+6&gt;=Etapas!$D11),IF(Etapas!$G11="Concluída",1,IF(Etapas!$G11="Atrasada",3,2)),""))</f>
        <v>2</v>
      </c>
      <c r="J11" s="29">
        <f>IF(Etapas!$B11="","",IF(AND(J$4&lt;=Etapas!$E11,J$4+6&gt;=Etapas!$D11),IF(Etapas!$G11="Concluída",1,IF(Etapas!$G11="Atrasada",3,2)),""))</f>
        <v/>
      </c>
      <c r="K11" s="29">
        <f>IF(Etapas!$B11="","",IF(AND(K$4&lt;=Etapas!$E11,K$4+6&gt;=Etapas!$D11),IF(Etapas!$G11="Concluída",1,IF(Etapas!$G11="Atrasada",3,2)),""))</f>
        <v/>
      </c>
      <c r="L11" s="29">
        <f>IF(Etapas!$B11="","",IF(AND(L$4&lt;=Etapas!$E11,L$4+6&gt;=Etapas!$D11),IF(Etapas!$G11="Concluída",1,IF(Etapas!$G11="Atrasada",3,2)),""))</f>
        <v/>
      </c>
      <c r="M11" s="29">
        <f>IF(Etapas!$B11="","",IF(AND(M$4&lt;=Etapas!$E11,M$4+6&gt;=Etapas!$D11),IF(Etapas!$G11="Concluída",1,IF(Etapas!$G11="Atrasada",3,2)),""))</f>
        <v/>
      </c>
      <c r="N11" s="29">
        <f>IF(Etapas!$B11="","",IF(AND(N$4&lt;=Etapas!$E11,N$4+6&gt;=Etapas!$D11),IF(Etapas!$G11="Concluída",1,IF(Etapas!$G11="Atrasada",3,2)),""))</f>
        <v/>
      </c>
      <c r="O11" s="29">
        <f>IF(Etapas!$B11="","",IF(AND(O$4&lt;=Etapas!$E11,O$4+6&gt;=Etapas!$D11),IF(Etapas!$G11="Concluída",1,IF(Etapas!$G11="Atrasada",3,2)),""))</f>
        <v/>
      </c>
      <c r="P11" s="29">
        <f>IF(Etapas!$B11="","",IF(AND(P$4&lt;=Etapas!$E11,P$4+6&gt;=Etapas!$D11),IF(Etapas!$G11="Concluída",1,IF(Etapas!$G11="Atrasada",3,2)),""))</f>
        <v/>
      </c>
      <c r="Q11" s="29">
        <f>IF(Etapas!$B11="","",IF(AND(Q$4&lt;=Etapas!$E11,Q$4+6&gt;=Etapas!$D11),IF(Etapas!$G11="Concluída",1,IF(Etapas!$G11="Atrasada",3,2)),""))</f>
        <v/>
      </c>
      <c r="R11" s="29">
        <f>IF(Etapas!$B11="","",IF(AND(R$4&lt;=Etapas!$E11,R$4+6&gt;=Etapas!$D11),IF(Etapas!$G11="Concluída",1,IF(Etapas!$G11="Atrasada",3,2)),""))</f>
        <v/>
      </c>
    </row>
    <row r="12">
      <c r="A12" s="22" t="str">
        <f>IF(Etapas!B12="","",Etapas!A12)</f>
        <v>Campanha de fim de ano · Bistrô 42</v>
      </c>
      <c r="B12" s="22" t="str">
        <f>IF(Etapas!B12="","",Etapas!B12)</f>
        <v>Conceito criativo</v>
      </c>
      <c r="C12" s="23" t="str">
        <f>IF(Etapas!B12="","",Etapas!C12)</f>
        <v>Carla</v>
      </c>
      <c r="D12" s="24">
        <f>IF(Etapas!B12="","",Etapas!E12)</f>
        <v>46277.0</v>
      </c>
      <c r="E12" s="29">
        <f>IF(Etapas!$B12="","",IF(AND(E$4&lt;=Etapas!$E12,E$4+6&gt;=Etapas!$D12),IF(Etapas!$G12="Concluída",1,IF(Etapas!$G12="Atrasada",3,2)),""))</f>
        <v>1</v>
      </c>
      <c r="F12" s="29">
        <f>IF(Etapas!$B12="","",IF(AND(F$4&lt;=Etapas!$E12,F$4+6&gt;=Etapas!$D12),IF(Etapas!$G12="Concluída",1,IF(Etapas!$G12="Atrasada",3,2)),""))</f>
        <v/>
      </c>
      <c r="G12" s="29">
        <f>IF(Etapas!$B12="","",IF(AND(G$4&lt;=Etapas!$E12,G$4+6&gt;=Etapas!$D12),IF(Etapas!$G12="Concluída",1,IF(Etapas!$G12="Atrasada",3,2)),""))</f>
        <v/>
      </c>
      <c r="H12" s="29">
        <f>IF(Etapas!$B12="","",IF(AND(H$4&lt;=Etapas!$E12,H$4+6&gt;=Etapas!$D12),IF(Etapas!$G12="Concluída",1,IF(Etapas!$G12="Atrasada",3,2)),""))</f>
        <v/>
      </c>
      <c r="I12" s="29">
        <f>IF(Etapas!$B12="","",IF(AND(I$4&lt;=Etapas!$E12,I$4+6&gt;=Etapas!$D12),IF(Etapas!$G12="Concluída",1,IF(Etapas!$G12="Atrasada",3,2)),""))</f>
        <v/>
      </c>
      <c r="J12" s="29">
        <f>IF(Etapas!$B12="","",IF(AND(J$4&lt;=Etapas!$E12,J$4+6&gt;=Etapas!$D12),IF(Etapas!$G12="Concluída",1,IF(Etapas!$G12="Atrasada",3,2)),""))</f>
        <v/>
      </c>
      <c r="K12" s="29">
        <f>IF(Etapas!$B12="","",IF(AND(K$4&lt;=Etapas!$E12,K$4+6&gt;=Etapas!$D12),IF(Etapas!$G12="Concluída",1,IF(Etapas!$G12="Atrasada",3,2)),""))</f>
        <v/>
      </c>
      <c r="L12" s="29">
        <f>IF(Etapas!$B12="","",IF(AND(L$4&lt;=Etapas!$E12,L$4+6&gt;=Etapas!$D12),IF(Etapas!$G12="Concluída",1,IF(Etapas!$G12="Atrasada",3,2)),""))</f>
        <v/>
      </c>
      <c r="M12" s="29">
        <f>IF(Etapas!$B12="","",IF(AND(M$4&lt;=Etapas!$E12,M$4+6&gt;=Etapas!$D12),IF(Etapas!$G12="Concluída",1,IF(Etapas!$G12="Atrasada",3,2)),""))</f>
        <v/>
      </c>
      <c r="N12" s="29">
        <f>IF(Etapas!$B12="","",IF(AND(N$4&lt;=Etapas!$E12,N$4+6&gt;=Etapas!$D12),IF(Etapas!$G12="Concluída",1,IF(Etapas!$G12="Atrasada",3,2)),""))</f>
        <v/>
      </c>
      <c r="O12" s="29">
        <f>IF(Etapas!$B12="","",IF(AND(O$4&lt;=Etapas!$E12,O$4+6&gt;=Etapas!$D12),IF(Etapas!$G12="Concluída",1,IF(Etapas!$G12="Atrasada",3,2)),""))</f>
        <v/>
      </c>
      <c r="P12" s="29">
        <f>IF(Etapas!$B12="","",IF(AND(P$4&lt;=Etapas!$E12,P$4+6&gt;=Etapas!$D12),IF(Etapas!$G12="Concluída",1,IF(Etapas!$G12="Atrasada",3,2)),""))</f>
        <v/>
      </c>
      <c r="Q12" s="29">
        <f>IF(Etapas!$B12="","",IF(AND(Q$4&lt;=Etapas!$E12,Q$4+6&gt;=Etapas!$D12),IF(Etapas!$G12="Concluída",1,IF(Etapas!$G12="Atrasada",3,2)),""))</f>
        <v/>
      </c>
      <c r="R12" s="29">
        <f>IF(Etapas!$B12="","",IF(AND(R$4&lt;=Etapas!$E12,R$4+6&gt;=Etapas!$D12),IF(Etapas!$G12="Concluída",1,IF(Etapas!$G12="Atrasada",3,2)),""))</f>
        <v/>
      </c>
    </row>
    <row r="13">
      <c r="A13" s="22" t="str">
        <f>IF(Etapas!B13="","",Etapas!A13)</f>
        <v>Campanha de fim de ano · Bistrô 42</v>
      </c>
      <c r="B13" s="22" t="str">
        <f>IF(Etapas!B13="","",Etapas!B13)</f>
        <v>Aprovação do cliente</v>
      </c>
      <c r="C13" s="23" t="str">
        <f>IF(Etapas!B13="","",Etapas!C13)</f>
        <v>Carla</v>
      </c>
      <c r="D13" s="24">
        <f>IF(Etapas!B13="","",Etapas!E13)</f>
        <v>46282.0</v>
      </c>
      <c r="E13" s="29">
        <f>IF(Etapas!$B13="","",IF(AND(E$4&lt;=Etapas!$E13,E$4+6&gt;=Etapas!$D13),IF(Etapas!$G13="Concluída",1,IF(Etapas!$G13="Atrasada",3,2)),""))</f>
        <v>2</v>
      </c>
      <c r="F13" s="29">
        <f>IF(Etapas!$B13="","",IF(AND(F$4&lt;=Etapas!$E13,F$4+6&gt;=Etapas!$D13),IF(Etapas!$G13="Concluída",1,IF(Etapas!$G13="Atrasada",3,2)),""))</f>
        <v>2</v>
      </c>
      <c r="G13" s="29">
        <f>IF(Etapas!$B13="","",IF(AND(G$4&lt;=Etapas!$E13,G$4+6&gt;=Etapas!$D13),IF(Etapas!$G13="Concluída",1,IF(Etapas!$G13="Atrasada",3,2)),""))</f>
        <v/>
      </c>
      <c r="H13" s="29">
        <f>IF(Etapas!$B13="","",IF(AND(H$4&lt;=Etapas!$E13,H$4+6&gt;=Etapas!$D13),IF(Etapas!$G13="Concluída",1,IF(Etapas!$G13="Atrasada",3,2)),""))</f>
        <v/>
      </c>
      <c r="I13" s="29">
        <f>IF(Etapas!$B13="","",IF(AND(I$4&lt;=Etapas!$E13,I$4+6&gt;=Etapas!$D13),IF(Etapas!$G13="Concluída",1,IF(Etapas!$G13="Atrasada",3,2)),""))</f>
        <v/>
      </c>
      <c r="J13" s="29">
        <f>IF(Etapas!$B13="","",IF(AND(J$4&lt;=Etapas!$E13,J$4+6&gt;=Etapas!$D13),IF(Etapas!$G13="Concluída",1,IF(Etapas!$G13="Atrasada",3,2)),""))</f>
        <v/>
      </c>
      <c r="K13" s="29">
        <f>IF(Etapas!$B13="","",IF(AND(K$4&lt;=Etapas!$E13,K$4+6&gt;=Etapas!$D13),IF(Etapas!$G13="Concluída",1,IF(Etapas!$G13="Atrasada",3,2)),""))</f>
        <v/>
      </c>
      <c r="L13" s="29">
        <f>IF(Etapas!$B13="","",IF(AND(L$4&lt;=Etapas!$E13,L$4+6&gt;=Etapas!$D13),IF(Etapas!$G13="Concluída",1,IF(Etapas!$G13="Atrasada",3,2)),""))</f>
        <v/>
      </c>
      <c r="M13" s="29">
        <f>IF(Etapas!$B13="","",IF(AND(M$4&lt;=Etapas!$E13,M$4+6&gt;=Etapas!$D13),IF(Etapas!$G13="Concluída",1,IF(Etapas!$G13="Atrasada",3,2)),""))</f>
        <v/>
      </c>
      <c r="N13" s="29">
        <f>IF(Etapas!$B13="","",IF(AND(N$4&lt;=Etapas!$E13,N$4+6&gt;=Etapas!$D13),IF(Etapas!$G13="Concluída",1,IF(Etapas!$G13="Atrasada",3,2)),""))</f>
        <v/>
      </c>
      <c r="O13" s="29">
        <f>IF(Etapas!$B13="","",IF(AND(O$4&lt;=Etapas!$E13,O$4+6&gt;=Etapas!$D13),IF(Etapas!$G13="Concluída",1,IF(Etapas!$G13="Atrasada",3,2)),""))</f>
        <v/>
      </c>
      <c r="P13" s="29">
        <f>IF(Etapas!$B13="","",IF(AND(P$4&lt;=Etapas!$E13,P$4+6&gt;=Etapas!$D13),IF(Etapas!$G13="Concluída",1,IF(Etapas!$G13="Atrasada",3,2)),""))</f>
        <v/>
      </c>
      <c r="Q13" s="29">
        <f>IF(Etapas!$B13="","",IF(AND(Q$4&lt;=Etapas!$E13,Q$4+6&gt;=Etapas!$D13),IF(Etapas!$G13="Concluída",1,IF(Etapas!$G13="Atrasada",3,2)),""))</f>
        <v/>
      </c>
      <c r="R13" s="29">
        <f>IF(Etapas!$B13="","",IF(AND(R$4&lt;=Etapas!$E13,R$4+6&gt;=Etapas!$D13),IF(Etapas!$G13="Concluída",1,IF(Etapas!$G13="Atrasada",3,2)),""))</f>
        <v/>
      </c>
    </row>
    <row r="14">
      <c r="A14" s="22" t="str">
        <f>IF(Etapas!B14="","",Etapas!A14)</f>
        <v>Campanha de fim de ano · Bistrô 42</v>
      </c>
      <c r="B14" s="22" t="str">
        <f>IF(Etapas!B14="","",Etapas!B14)</f>
        <v>Produção das peças</v>
      </c>
      <c r="C14" s="23" t="str">
        <f>IF(Etapas!B14="","",Etapas!C14)</f>
        <v>Bruno</v>
      </c>
      <c r="D14" s="24">
        <f>IF(Etapas!B14="","",Etapas!E14)</f>
        <v>46310.0</v>
      </c>
      <c r="E14" s="29">
        <f>IF(Etapas!$B14="","",IF(AND(E$4&lt;=Etapas!$E14,E$4+6&gt;=Etapas!$D14),IF(Etapas!$G14="Concluída",1,IF(Etapas!$G14="Atrasada",3,2)),""))</f>
        <v/>
      </c>
      <c r="F14" s="29">
        <f>IF(Etapas!$B14="","",IF(AND(F$4&lt;=Etapas!$E14,F$4+6&gt;=Etapas!$D14),IF(Etapas!$G14="Concluída",1,IF(Etapas!$G14="Atrasada",3,2)),""))</f>
        <v>2</v>
      </c>
      <c r="G14" s="29">
        <f>IF(Etapas!$B14="","",IF(AND(G$4&lt;=Etapas!$E14,G$4+6&gt;=Etapas!$D14),IF(Etapas!$G14="Concluída",1,IF(Etapas!$G14="Atrasada",3,2)),""))</f>
        <v>2</v>
      </c>
      <c r="H14" s="29">
        <f>IF(Etapas!$B14="","",IF(AND(H$4&lt;=Etapas!$E14,H$4+6&gt;=Etapas!$D14),IF(Etapas!$G14="Concluída",1,IF(Etapas!$G14="Atrasada",3,2)),""))</f>
        <v>2</v>
      </c>
      <c r="I14" s="29">
        <f>IF(Etapas!$B14="","",IF(AND(I$4&lt;=Etapas!$E14,I$4+6&gt;=Etapas!$D14),IF(Etapas!$G14="Concluída",1,IF(Etapas!$G14="Atrasada",3,2)),""))</f>
        <v>2</v>
      </c>
      <c r="J14" s="29">
        <f>IF(Etapas!$B14="","",IF(AND(J$4&lt;=Etapas!$E14,J$4+6&gt;=Etapas!$D14),IF(Etapas!$G14="Concluída",1,IF(Etapas!$G14="Atrasada",3,2)),""))</f>
        <v>2</v>
      </c>
      <c r="K14" s="29">
        <f>IF(Etapas!$B14="","",IF(AND(K$4&lt;=Etapas!$E14,K$4+6&gt;=Etapas!$D14),IF(Etapas!$G14="Concluída",1,IF(Etapas!$G14="Atrasada",3,2)),""))</f>
        <v/>
      </c>
      <c r="L14" s="29">
        <f>IF(Etapas!$B14="","",IF(AND(L$4&lt;=Etapas!$E14,L$4+6&gt;=Etapas!$D14),IF(Etapas!$G14="Concluída",1,IF(Etapas!$G14="Atrasada",3,2)),""))</f>
        <v/>
      </c>
      <c r="M14" s="29">
        <f>IF(Etapas!$B14="","",IF(AND(M$4&lt;=Etapas!$E14,M$4+6&gt;=Etapas!$D14),IF(Etapas!$G14="Concluída",1,IF(Etapas!$G14="Atrasada",3,2)),""))</f>
        <v/>
      </c>
      <c r="N14" s="29">
        <f>IF(Etapas!$B14="","",IF(AND(N$4&lt;=Etapas!$E14,N$4+6&gt;=Etapas!$D14),IF(Etapas!$G14="Concluída",1,IF(Etapas!$G14="Atrasada",3,2)),""))</f>
        <v/>
      </c>
      <c r="O14" s="29">
        <f>IF(Etapas!$B14="","",IF(AND(O$4&lt;=Etapas!$E14,O$4+6&gt;=Etapas!$D14),IF(Etapas!$G14="Concluída",1,IF(Etapas!$G14="Atrasada",3,2)),""))</f>
        <v/>
      </c>
      <c r="P14" s="29">
        <f>IF(Etapas!$B14="","",IF(AND(P$4&lt;=Etapas!$E14,P$4+6&gt;=Etapas!$D14),IF(Etapas!$G14="Concluída",1,IF(Etapas!$G14="Atrasada",3,2)),""))</f>
        <v/>
      </c>
      <c r="Q14" s="29">
        <f>IF(Etapas!$B14="","",IF(AND(Q$4&lt;=Etapas!$E14,Q$4+6&gt;=Etapas!$D14),IF(Etapas!$G14="Concluída",1,IF(Etapas!$G14="Atrasada",3,2)),""))</f>
        <v/>
      </c>
      <c r="R14" s="29">
        <f>IF(Etapas!$B14="","",IF(AND(R$4&lt;=Etapas!$E14,R$4+6&gt;=Etapas!$D14),IF(Etapas!$G14="Concluída",1,IF(Etapas!$G14="Atrasada",3,2)),""))</f>
        <v/>
      </c>
    </row>
    <row r="15">
      <c r="A15" s="22" t="str">
        <f>IF(Etapas!B15="","",Etapas!A15)</f>
        <v>Campanha de fim de ano · Bistrô 42</v>
      </c>
      <c r="B15" s="22" t="str">
        <f>IF(Etapas!B15="","",Etapas!B15)</f>
        <v>Plano de mídia</v>
      </c>
      <c r="C15" s="23" t="str">
        <f>IF(Etapas!B15="","",Etapas!C15)</f>
        <v>Ana</v>
      </c>
      <c r="D15" s="24">
        <f>IF(Etapas!B15="","",Etapas!E15)</f>
        <v>46315.0</v>
      </c>
      <c r="E15" s="29">
        <f>IF(Etapas!$B15="","",IF(AND(E$4&lt;=Etapas!$E15,E$4+6&gt;=Etapas!$D15),IF(Etapas!$G15="Concluída",1,IF(Etapas!$G15="Atrasada",3,2)),""))</f>
        <v/>
      </c>
      <c r="F15" s="29">
        <f>IF(Etapas!$B15="","",IF(AND(F$4&lt;=Etapas!$E15,F$4+6&gt;=Etapas!$D15),IF(Etapas!$G15="Concluída",1,IF(Etapas!$G15="Atrasada",3,2)),""))</f>
        <v/>
      </c>
      <c r="G15" s="29">
        <f>IF(Etapas!$B15="","",IF(AND(G$4&lt;=Etapas!$E15,G$4+6&gt;=Etapas!$D15),IF(Etapas!$G15="Concluída",1,IF(Etapas!$G15="Atrasada",3,2)),""))</f>
        <v/>
      </c>
      <c r="H15" s="29">
        <f>IF(Etapas!$B15="","",IF(AND(H$4&lt;=Etapas!$E15,H$4+6&gt;=Etapas!$D15),IF(Etapas!$G15="Concluída",1,IF(Etapas!$G15="Atrasada",3,2)),""))</f>
        <v>2</v>
      </c>
      <c r="I15" s="29">
        <f>IF(Etapas!$B15="","",IF(AND(I$4&lt;=Etapas!$E15,I$4+6&gt;=Etapas!$D15),IF(Etapas!$G15="Concluída",1,IF(Etapas!$G15="Atrasada",3,2)),""))</f>
        <v>2</v>
      </c>
      <c r="J15" s="29">
        <f>IF(Etapas!$B15="","",IF(AND(J$4&lt;=Etapas!$E15,J$4+6&gt;=Etapas!$D15),IF(Etapas!$G15="Concluída",1,IF(Etapas!$G15="Atrasada",3,2)),""))</f>
        <v>2</v>
      </c>
      <c r="K15" s="29">
        <f>IF(Etapas!$B15="","",IF(AND(K$4&lt;=Etapas!$E15,K$4+6&gt;=Etapas!$D15),IF(Etapas!$G15="Concluída",1,IF(Etapas!$G15="Atrasada",3,2)),""))</f>
        <v>2</v>
      </c>
      <c r="L15" s="29">
        <f>IF(Etapas!$B15="","",IF(AND(L$4&lt;=Etapas!$E15,L$4+6&gt;=Etapas!$D15),IF(Etapas!$G15="Concluída",1,IF(Etapas!$G15="Atrasada",3,2)),""))</f>
        <v/>
      </c>
      <c r="M15" s="29">
        <f>IF(Etapas!$B15="","",IF(AND(M$4&lt;=Etapas!$E15,M$4+6&gt;=Etapas!$D15),IF(Etapas!$G15="Concluída",1,IF(Etapas!$G15="Atrasada",3,2)),""))</f>
        <v/>
      </c>
      <c r="N15" s="29">
        <f>IF(Etapas!$B15="","",IF(AND(N$4&lt;=Etapas!$E15,N$4+6&gt;=Etapas!$D15),IF(Etapas!$G15="Concluída",1,IF(Etapas!$G15="Atrasada",3,2)),""))</f>
        <v/>
      </c>
      <c r="O15" s="29">
        <f>IF(Etapas!$B15="","",IF(AND(O$4&lt;=Etapas!$E15,O$4+6&gt;=Etapas!$D15),IF(Etapas!$G15="Concluída",1,IF(Etapas!$G15="Atrasada",3,2)),""))</f>
        <v/>
      </c>
      <c r="P15" s="29">
        <f>IF(Etapas!$B15="","",IF(AND(P$4&lt;=Etapas!$E15,P$4+6&gt;=Etapas!$D15),IF(Etapas!$G15="Concluída",1,IF(Etapas!$G15="Atrasada",3,2)),""))</f>
        <v/>
      </c>
      <c r="Q15" s="29">
        <f>IF(Etapas!$B15="","",IF(AND(Q$4&lt;=Etapas!$E15,Q$4+6&gt;=Etapas!$D15),IF(Etapas!$G15="Concluída",1,IF(Etapas!$G15="Atrasada",3,2)),""))</f>
        <v/>
      </c>
      <c r="R15" s="29">
        <f>IF(Etapas!$B15="","",IF(AND(R$4&lt;=Etapas!$E15,R$4+6&gt;=Etapas!$D15),IF(Etapas!$G15="Concluída",1,IF(Etapas!$G15="Atrasada",3,2)),""))</f>
        <v/>
      </c>
    </row>
    <row r="16">
      <c r="A16" s="22" t="str">
        <f>IF(Etapas!B16="","",Etapas!A16)</f>
        <v>Campanha de fim de ano · Bistrô 42</v>
      </c>
      <c r="B16" s="22" t="str">
        <f>IF(Etapas!B16="","",Etapas!B16)</f>
        <v>Veiculação</v>
      </c>
      <c r="C16" s="23" t="str">
        <f>IF(Etapas!B16="","",Etapas!C16)</f>
        <v>Diego</v>
      </c>
      <c r="D16" s="24">
        <f>IF(Etapas!B16="","",Etapas!E16)</f>
        <v>46346.0</v>
      </c>
      <c r="E16" s="29">
        <f>IF(Etapas!$B16="","",IF(AND(E$4&lt;=Etapas!$E16,E$4+6&gt;=Etapas!$D16),IF(Etapas!$G16="Concluída",1,IF(Etapas!$G16="Atrasada",3,2)),""))</f>
        <v/>
      </c>
      <c r="F16" s="29">
        <f>IF(Etapas!$B16="","",IF(AND(F$4&lt;=Etapas!$E16,F$4+6&gt;=Etapas!$D16),IF(Etapas!$G16="Concluída",1,IF(Etapas!$G16="Atrasada",3,2)),""))</f>
        <v/>
      </c>
      <c r="G16" s="29">
        <f>IF(Etapas!$B16="","",IF(AND(G$4&lt;=Etapas!$E16,G$4+6&gt;=Etapas!$D16),IF(Etapas!$G16="Concluída",1,IF(Etapas!$G16="Atrasada",3,2)),""))</f>
        <v/>
      </c>
      <c r="H16" s="29">
        <f>IF(Etapas!$B16="","",IF(AND(H$4&lt;=Etapas!$E16,H$4+6&gt;=Etapas!$D16),IF(Etapas!$G16="Concluída",1,IF(Etapas!$G16="Atrasada",3,2)),""))</f>
        <v/>
      </c>
      <c r="I16" s="29">
        <f>IF(Etapas!$B16="","",IF(AND(I$4&lt;=Etapas!$E16,I$4+6&gt;=Etapas!$D16),IF(Etapas!$G16="Concluída",1,IF(Etapas!$G16="Atrasada",3,2)),""))</f>
        <v/>
      </c>
      <c r="J16" s="29">
        <f>IF(Etapas!$B16="","",IF(AND(J$4&lt;=Etapas!$E16,J$4+6&gt;=Etapas!$D16),IF(Etapas!$G16="Concluída",1,IF(Etapas!$G16="Atrasada",3,2)),""))</f>
        <v/>
      </c>
      <c r="K16" s="29">
        <f>IF(Etapas!$B16="","",IF(AND(K$4&lt;=Etapas!$E16,K$4+6&gt;=Etapas!$D16),IF(Etapas!$G16="Concluída",1,IF(Etapas!$G16="Atrasada",3,2)),""))</f>
        <v/>
      </c>
      <c r="L16" s="29">
        <f>IF(Etapas!$B16="","",IF(AND(L$4&lt;=Etapas!$E16,L$4+6&gt;=Etapas!$D16),IF(Etapas!$G16="Concluída",1,IF(Etapas!$G16="Atrasada",3,2)),""))</f>
        <v>2</v>
      </c>
      <c r="M16" s="29">
        <f>IF(Etapas!$B16="","",IF(AND(M$4&lt;=Etapas!$E16,M$4+6&gt;=Etapas!$D16),IF(Etapas!$G16="Concluída",1,IF(Etapas!$G16="Atrasada",3,2)),""))</f>
        <v>2</v>
      </c>
      <c r="N16" s="29">
        <f>IF(Etapas!$B16="","",IF(AND(N$4&lt;=Etapas!$E16,N$4+6&gt;=Etapas!$D16),IF(Etapas!$G16="Concluída",1,IF(Etapas!$G16="Atrasada",3,2)),""))</f>
        <v>2</v>
      </c>
      <c r="O16" s="29">
        <f>IF(Etapas!$B16="","",IF(AND(O$4&lt;=Etapas!$E16,O$4+6&gt;=Etapas!$D16),IF(Etapas!$G16="Concluída",1,IF(Etapas!$G16="Atrasada",3,2)),""))</f>
        <v>2</v>
      </c>
      <c r="P16" s="29">
        <f>IF(Etapas!$B16="","",IF(AND(P$4&lt;=Etapas!$E16,P$4+6&gt;=Etapas!$D16),IF(Etapas!$G16="Concluída",1,IF(Etapas!$G16="Atrasada",3,2)),""))</f>
        <v/>
      </c>
      <c r="Q16" s="29">
        <f>IF(Etapas!$B16="","",IF(AND(Q$4&lt;=Etapas!$E16,Q$4+6&gt;=Etapas!$D16),IF(Etapas!$G16="Concluída",1,IF(Etapas!$G16="Atrasada",3,2)),""))</f>
        <v/>
      </c>
      <c r="R16" s="29">
        <f>IF(Etapas!$B16="","",IF(AND(R$4&lt;=Etapas!$E16,R$4+6&gt;=Etapas!$D16),IF(Etapas!$G16="Concluída",1,IF(Etapas!$G16="Atrasada",3,2)),""))</f>
        <v/>
      </c>
    </row>
    <row r="17">
      <c r="A17" s="22" t="str">
        <f>IF(Etapas!B17="","",Etapas!A17)</f>
        <v>Relatório anual · Horizonte</v>
      </c>
      <c r="B17" s="22" t="str">
        <f>IF(Etapas!B17="","",Etapas!B17)</f>
        <v>Coleta dos números</v>
      </c>
      <c r="C17" s="23" t="str">
        <f>IF(Etapas!B17="","",Etapas!C17)</f>
        <v>Ana</v>
      </c>
      <c r="D17" s="24">
        <f>IF(Etapas!B17="","",Etapas!E17)</f>
        <v>46277.0</v>
      </c>
      <c r="E17" s="29">
        <f>IF(Etapas!$B17="","",IF(AND(E$4&lt;=Etapas!$E17,E$4+6&gt;=Etapas!$D17),IF(Etapas!$G17="Concluída",1,IF(Etapas!$G17="Atrasada",3,2)),""))</f>
        <v>1</v>
      </c>
      <c r="F17" s="29">
        <f>IF(Etapas!$B17="","",IF(AND(F$4&lt;=Etapas!$E17,F$4+6&gt;=Etapas!$D17),IF(Etapas!$G17="Concluída",1,IF(Etapas!$G17="Atrasada",3,2)),""))</f>
        <v/>
      </c>
      <c r="G17" s="29">
        <f>IF(Etapas!$B17="","",IF(AND(G$4&lt;=Etapas!$E17,G$4+6&gt;=Etapas!$D17),IF(Etapas!$G17="Concluída",1,IF(Etapas!$G17="Atrasada",3,2)),""))</f>
        <v/>
      </c>
      <c r="H17" s="29">
        <f>IF(Etapas!$B17="","",IF(AND(H$4&lt;=Etapas!$E17,H$4+6&gt;=Etapas!$D17),IF(Etapas!$G17="Concluída",1,IF(Etapas!$G17="Atrasada",3,2)),""))</f>
        <v/>
      </c>
      <c r="I17" s="29">
        <f>IF(Etapas!$B17="","",IF(AND(I$4&lt;=Etapas!$E17,I$4+6&gt;=Etapas!$D17),IF(Etapas!$G17="Concluída",1,IF(Etapas!$G17="Atrasada",3,2)),""))</f>
        <v/>
      </c>
      <c r="J17" s="29">
        <f>IF(Etapas!$B17="","",IF(AND(J$4&lt;=Etapas!$E17,J$4+6&gt;=Etapas!$D17),IF(Etapas!$G17="Concluída",1,IF(Etapas!$G17="Atrasada",3,2)),""))</f>
        <v/>
      </c>
      <c r="K17" s="29">
        <f>IF(Etapas!$B17="","",IF(AND(K$4&lt;=Etapas!$E17,K$4+6&gt;=Etapas!$D17),IF(Etapas!$G17="Concluída",1,IF(Etapas!$G17="Atrasada",3,2)),""))</f>
        <v/>
      </c>
      <c r="L17" s="29">
        <f>IF(Etapas!$B17="","",IF(AND(L$4&lt;=Etapas!$E17,L$4+6&gt;=Etapas!$D17),IF(Etapas!$G17="Concluída",1,IF(Etapas!$G17="Atrasada",3,2)),""))</f>
        <v/>
      </c>
      <c r="M17" s="29">
        <f>IF(Etapas!$B17="","",IF(AND(M$4&lt;=Etapas!$E17,M$4+6&gt;=Etapas!$D17),IF(Etapas!$G17="Concluída",1,IF(Etapas!$G17="Atrasada",3,2)),""))</f>
        <v/>
      </c>
      <c r="N17" s="29">
        <f>IF(Etapas!$B17="","",IF(AND(N$4&lt;=Etapas!$E17,N$4+6&gt;=Etapas!$D17),IF(Etapas!$G17="Concluída",1,IF(Etapas!$G17="Atrasada",3,2)),""))</f>
        <v/>
      </c>
      <c r="O17" s="29">
        <f>IF(Etapas!$B17="","",IF(AND(O$4&lt;=Etapas!$E17,O$4+6&gt;=Etapas!$D17),IF(Etapas!$G17="Concluída",1,IF(Etapas!$G17="Atrasada",3,2)),""))</f>
        <v/>
      </c>
      <c r="P17" s="29">
        <f>IF(Etapas!$B17="","",IF(AND(P$4&lt;=Etapas!$E17,P$4+6&gt;=Etapas!$D17),IF(Etapas!$G17="Concluída",1,IF(Etapas!$G17="Atrasada",3,2)),""))</f>
        <v/>
      </c>
      <c r="Q17" s="29">
        <f>IF(Etapas!$B17="","",IF(AND(Q$4&lt;=Etapas!$E17,Q$4+6&gt;=Etapas!$D17),IF(Etapas!$G17="Concluída",1,IF(Etapas!$G17="Atrasada",3,2)),""))</f>
        <v/>
      </c>
      <c r="R17" s="29">
        <f>IF(Etapas!$B17="","",IF(AND(R$4&lt;=Etapas!$E17,R$4+6&gt;=Etapas!$D17),IF(Etapas!$G17="Concluída",1,IF(Etapas!$G17="Atrasada",3,2)),""))</f>
        <v/>
      </c>
    </row>
    <row r="18">
      <c r="A18" s="22" t="str">
        <f>IF(Etapas!B18="","",Etapas!A18)</f>
        <v>Relatório anual · Horizonte</v>
      </c>
      <c r="B18" s="22" t="str">
        <f>IF(Etapas!B18="","",Etapas!B18)</f>
        <v>Redação</v>
      </c>
      <c r="C18" s="23" t="str">
        <f>IF(Etapas!B18="","",Etapas!C18)</f>
        <v>Ana</v>
      </c>
      <c r="D18" s="24">
        <f>IF(Etapas!B18="","",Etapas!E18)</f>
        <v>46284.0</v>
      </c>
      <c r="E18" s="29">
        <f>IF(Etapas!$B18="","",IF(AND(E$4&lt;=Etapas!$E18,E$4+6&gt;=Etapas!$D18),IF(Etapas!$G18="Concluída",1,IF(Etapas!$G18="Atrasada",3,2)),""))</f>
        <v>2</v>
      </c>
      <c r="F18" s="29">
        <f>IF(Etapas!$B18="","",IF(AND(F$4&lt;=Etapas!$E18,F$4+6&gt;=Etapas!$D18),IF(Etapas!$G18="Concluída",1,IF(Etapas!$G18="Atrasada",3,2)),""))</f>
        <v>2</v>
      </c>
      <c r="G18" s="29">
        <f>IF(Etapas!$B18="","",IF(AND(G$4&lt;=Etapas!$E18,G$4+6&gt;=Etapas!$D18),IF(Etapas!$G18="Concluída",1,IF(Etapas!$G18="Atrasada",3,2)),""))</f>
        <v/>
      </c>
      <c r="H18" s="29">
        <f>IF(Etapas!$B18="","",IF(AND(H$4&lt;=Etapas!$E18,H$4+6&gt;=Etapas!$D18),IF(Etapas!$G18="Concluída",1,IF(Etapas!$G18="Atrasada",3,2)),""))</f>
        <v/>
      </c>
      <c r="I18" s="29">
        <f>IF(Etapas!$B18="","",IF(AND(I$4&lt;=Etapas!$E18,I$4+6&gt;=Etapas!$D18),IF(Etapas!$G18="Concluída",1,IF(Etapas!$G18="Atrasada",3,2)),""))</f>
        <v/>
      </c>
      <c r="J18" s="29">
        <f>IF(Etapas!$B18="","",IF(AND(J$4&lt;=Etapas!$E18,J$4+6&gt;=Etapas!$D18),IF(Etapas!$G18="Concluída",1,IF(Etapas!$G18="Atrasada",3,2)),""))</f>
        <v/>
      </c>
      <c r="K18" s="29">
        <f>IF(Etapas!$B18="","",IF(AND(K$4&lt;=Etapas!$E18,K$4+6&gt;=Etapas!$D18),IF(Etapas!$G18="Concluída",1,IF(Etapas!$G18="Atrasada",3,2)),""))</f>
        <v/>
      </c>
      <c r="L18" s="29">
        <f>IF(Etapas!$B18="","",IF(AND(L$4&lt;=Etapas!$E18,L$4+6&gt;=Etapas!$D18),IF(Etapas!$G18="Concluída",1,IF(Etapas!$G18="Atrasada",3,2)),""))</f>
        <v/>
      </c>
      <c r="M18" s="29">
        <f>IF(Etapas!$B18="","",IF(AND(M$4&lt;=Etapas!$E18,M$4+6&gt;=Etapas!$D18),IF(Etapas!$G18="Concluída",1,IF(Etapas!$G18="Atrasada",3,2)),""))</f>
        <v/>
      </c>
      <c r="N18" s="29">
        <f>IF(Etapas!$B18="","",IF(AND(N$4&lt;=Etapas!$E18,N$4+6&gt;=Etapas!$D18),IF(Etapas!$G18="Concluída",1,IF(Etapas!$G18="Atrasada",3,2)),""))</f>
        <v/>
      </c>
      <c r="O18" s="29">
        <f>IF(Etapas!$B18="","",IF(AND(O$4&lt;=Etapas!$E18,O$4+6&gt;=Etapas!$D18),IF(Etapas!$G18="Concluída",1,IF(Etapas!$G18="Atrasada",3,2)),""))</f>
        <v/>
      </c>
      <c r="P18" s="29">
        <f>IF(Etapas!$B18="","",IF(AND(P$4&lt;=Etapas!$E18,P$4+6&gt;=Etapas!$D18),IF(Etapas!$G18="Concluída",1,IF(Etapas!$G18="Atrasada",3,2)),""))</f>
        <v/>
      </c>
      <c r="Q18" s="29">
        <f>IF(Etapas!$B18="","",IF(AND(Q$4&lt;=Etapas!$E18,Q$4+6&gt;=Etapas!$D18),IF(Etapas!$G18="Concluída",1,IF(Etapas!$G18="Atrasada",3,2)),""))</f>
        <v/>
      </c>
      <c r="R18" s="29">
        <f>IF(Etapas!$B18="","",IF(AND(R$4&lt;=Etapas!$E18,R$4+6&gt;=Etapas!$D18),IF(Etapas!$G18="Concluída",1,IF(Etapas!$G18="Atrasada",3,2)),""))</f>
        <v/>
      </c>
    </row>
    <row r="19">
      <c r="A19" s="22" t="str">
        <f>IF(Etapas!B19="","",Etapas!A19)</f>
        <v>Relatório anual · Horizonte</v>
      </c>
      <c r="B19" s="22" t="str">
        <f>IF(Etapas!B19="","",Etapas!B19)</f>
        <v>Diagramação</v>
      </c>
      <c r="C19" s="23" t="str">
        <f>IF(Etapas!B19="","",Etapas!C19)</f>
        <v>Bruno</v>
      </c>
      <c r="D19" s="24">
        <f>IF(Etapas!B19="","",Etapas!E19)</f>
        <v>46291.0</v>
      </c>
      <c r="E19" s="29">
        <f>IF(Etapas!$B19="","",IF(AND(E$4&lt;=Etapas!$E19,E$4+6&gt;=Etapas!$D19),IF(Etapas!$G19="Concluída",1,IF(Etapas!$G19="Atrasada",3,2)),""))</f>
        <v/>
      </c>
      <c r="F19" s="29">
        <f>IF(Etapas!$B19="","",IF(AND(F$4&lt;=Etapas!$E19,F$4+6&gt;=Etapas!$D19),IF(Etapas!$G19="Concluída",1,IF(Etapas!$G19="Atrasada",3,2)),""))</f>
        <v>2</v>
      </c>
      <c r="G19" s="29">
        <f>IF(Etapas!$B19="","",IF(AND(G$4&lt;=Etapas!$E19,G$4+6&gt;=Etapas!$D19),IF(Etapas!$G19="Concluída",1,IF(Etapas!$G19="Atrasada",3,2)),""))</f>
        <v>2</v>
      </c>
      <c r="H19" s="29">
        <f>IF(Etapas!$B19="","",IF(AND(H$4&lt;=Etapas!$E19,H$4+6&gt;=Etapas!$D19),IF(Etapas!$G19="Concluída",1,IF(Etapas!$G19="Atrasada",3,2)),""))</f>
        <v/>
      </c>
      <c r="I19" s="29">
        <f>IF(Etapas!$B19="","",IF(AND(I$4&lt;=Etapas!$E19,I$4+6&gt;=Etapas!$D19),IF(Etapas!$G19="Concluída",1,IF(Etapas!$G19="Atrasada",3,2)),""))</f>
        <v/>
      </c>
      <c r="J19" s="29">
        <f>IF(Etapas!$B19="","",IF(AND(J$4&lt;=Etapas!$E19,J$4+6&gt;=Etapas!$D19),IF(Etapas!$G19="Concluída",1,IF(Etapas!$G19="Atrasada",3,2)),""))</f>
        <v/>
      </c>
      <c r="K19" s="29">
        <f>IF(Etapas!$B19="","",IF(AND(K$4&lt;=Etapas!$E19,K$4+6&gt;=Etapas!$D19),IF(Etapas!$G19="Concluída",1,IF(Etapas!$G19="Atrasada",3,2)),""))</f>
        <v/>
      </c>
      <c r="L19" s="29">
        <f>IF(Etapas!$B19="","",IF(AND(L$4&lt;=Etapas!$E19,L$4+6&gt;=Etapas!$D19),IF(Etapas!$G19="Concluída",1,IF(Etapas!$G19="Atrasada",3,2)),""))</f>
        <v/>
      </c>
      <c r="M19" s="29">
        <f>IF(Etapas!$B19="","",IF(AND(M$4&lt;=Etapas!$E19,M$4+6&gt;=Etapas!$D19),IF(Etapas!$G19="Concluída",1,IF(Etapas!$G19="Atrasada",3,2)),""))</f>
        <v/>
      </c>
      <c r="N19" s="29">
        <f>IF(Etapas!$B19="","",IF(AND(N$4&lt;=Etapas!$E19,N$4+6&gt;=Etapas!$D19),IF(Etapas!$G19="Concluída",1,IF(Etapas!$G19="Atrasada",3,2)),""))</f>
        <v/>
      </c>
      <c r="O19" s="29">
        <f>IF(Etapas!$B19="","",IF(AND(O$4&lt;=Etapas!$E19,O$4+6&gt;=Etapas!$D19),IF(Etapas!$G19="Concluída",1,IF(Etapas!$G19="Atrasada",3,2)),""))</f>
        <v/>
      </c>
      <c r="P19" s="29">
        <f>IF(Etapas!$B19="","",IF(AND(P$4&lt;=Etapas!$E19,P$4+6&gt;=Etapas!$D19),IF(Etapas!$G19="Concluída",1,IF(Etapas!$G19="Atrasada",3,2)),""))</f>
        <v/>
      </c>
      <c r="Q19" s="29">
        <f>IF(Etapas!$B19="","",IF(AND(Q$4&lt;=Etapas!$E19,Q$4+6&gt;=Etapas!$D19),IF(Etapas!$G19="Concluída",1,IF(Etapas!$G19="Atrasada",3,2)),""))</f>
        <v/>
      </c>
      <c r="R19" s="29">
        <f>IF(Etapas!$B19="","",IF(AND(R$4&lt;=Etapas!$E19,R$4+6&gt;=Etapas!$D19),IF(Etapas!$G19="Concluída",1,IF(Etapas!$G19="Atrasada",3,2)),""))</f>
        <v/>
      </c>
    </row>
    <row r="20">
      <c r="A20" s="22" t="str">
        <f>IF(Etapas!B20="","",Etapas!A20)</f>
        <v>Relatório anual · Horizonte</v>
      </c>
      <c r="B20" s="22" t="str">
        <f>IF(Etapas!B20="","",Etapas!B20)</f>
        <v>Revisão final e entrega</v>
      </c>
      <c r="C20" s="23" t="str">
        <f>IF(Etapas!B20="","",Etapas!C20)</f>
        <v>Ana</v>
      </c>
      <c r="D20" s="24">
        <f>IF(Etapas!B20="","",Etapas!E20)</f>
        <v>46295.0</v>
      </c>
      <c r="E20" s="29">
        <f>IF(Etapas!$B20="","",IF(AND(E$4&lt;=Etapas!$E20,E$4+6&gt;=Etapas!$D20),IF(Etapas!$G20="Concluída",1,IF(Etapas!$G20="Atrasada",3,2)),""))</f>
        <v/>
      </c>
      <c r="F20" s="29">
        <f>IF(Etapas!$B20="","",IF(AND(F$4&lt;=Etapas!$E20,F$4+6&gt;=Etapas!$D20),IF(Etapas!$G20="Concluída",1,IF(Etapas!$G20="Atrasada",3,2)),""))</f>
        <v/>
      </c>
      <c r="G20" s="29">
        <f>IF(Etapas!$B20="","",IF(AND(G$4&lt;=Etapas!$E20,G$4+6&gt;=Etapas!$D20),IF(Etapas!$G20="Concluída",1,IF(Etapas!$G20="Atrasada",3,2)),""))</f>
        <v>2</v>
      </c>
      <c r="H20" s="29">
        <f>IF(Etapas!$B20="","",IF(AND(H$4&lt;=Etapas!$E20,H$4+6&gt;=Etapas!$D20),IF(Etapas!$G20="Concluída",1,IF(Etapas!$G20="Atrasada",3,2)),""))</f>
        <v>2</v>
      </c>
      <c r="I20" s="29">
        <f>IF(Etapas!$B20="","",IF(AND(I$4&lt;=Etapas!$E20,I$4+6&gt;=Etapas!$D20),IF(Etapas!$G20="Concluída",1,IF(Etapas!$G20="Atrasada",3,2)),""))</f>
        <v/>
      </c>
      <c r="J20" s="29">
        <f>IF(Etapas!$B20="","",IF(AND(J$4&lt;=Etapas!$E20,J$4+6&gt;=Etapas!$D20),IF(Etapas!$G20="Concluída",1,IF(Etapas!$G20="Atrasada",3,2)),""))</f>
        <v/>
      </c>
      <c r="K20" s="29">
        <f>IF(Etapas!$B20="","",IF(AND(K$4&lt;=Etapas!$E20,K$4+6&gt;=Etapas!$D20),IF(Etapas!$G20="Concluída",1,IF(Etapas!$G20="Atrasada",3,2)),""))</f>
        <v/>
      </c>
      <c r="L20" s="29">
        <f>IF(Etapas!$B20="","",IF(AND(L$4&lt;=Etapas!$E20,L$4+6&gt;=Etapas!$D20),IF(Etapas!$G20="Concluída",1,IF(Etapas!$G20="Atrasada",3,2)),""))</f>
        <v/>
      </c>
      <c r="M20" s="29">
        <f>IF(Etapas!$B20="","",IF(AND(M$4&lt;=Etapas!$E20,M$4+6&gt;=Etapas!$D20),IF(Etapas!$G20="Concluída",1,IF(Etapas!$G20="Atrasada",3,2)),""))</f>
        <v/>
      </c>
      <c r="N20" s="29">
        <f>IF(Etapas!$B20="","",IF(AND(N$4&lt;=Etapas!$E20,N$4+6&gt;=Etapas!$D20),IF(Etapas!$G20="Concluída",1,IF(Etapas!$G20="Atrasada",3,2)),""))</f>
        <v/>
      </c>
      <c r="O20" s="29">
        <f>IF(Etapas!$B20="","",IF(AND(O$4&lt;=Etapas!$E20,O$4+6&gt;=Etapas!$D20),IF(Etapas!$G20="Concluída",1,IF(Etapas!$G20="Atrasada",3,2)),""))</f>
        <v/>
      </c>
      <c r="P20" s="29">
        <f>IF(Etapas!$B20="","",IF(AND(P$4&lt;=Etapas!$E20,P$4+6&gt;=Etapas!$D20),IF(Etapas!$G20="Concluída",1,IF(Etapas!$G20="Atrasada",3,2)),""))</f>
        <v/>
      </c>
      <c r="Q20" s="29">
        <f>IF(Etapas!$B20="","",IF(AND(Q$4&lt;=Etapas!$E20,Q$4+6&gt;=Etapas!$D20),IF(Etapas!$G20="Concluída",1,IF(Etapas!$G20="Atrasada",3,2)),""))</f>
        <v/>
      </c>
      <c r="R20" s="29">
        <f>IF(Etapas!$B20="","",IF(AND(R$4&lt;=Etapas!$E20,R$4+6&gt;=Etapas!$D20),IF(Etapas!$G20="Concluída",1,IF(Etapas!$G20="Atrasada",3,2)),""))</f>
        <v/>
      </c>
    </row>
    <row r="21">
      <c r="A21" s="22" t="str">
        <f>IF(Etapas!B21="","",Etapas!A21)</f>
        <v>Identidade visual · Padaria do Sol</v>
      </c>
      <c r="B21" s="22" t="str">
        <f>IF(Etapas!B21="","",Etapas!B21)</f>
        <v>Pesquisa e painel de referências</v>
      </c>
      <c r="C21" s="23" t="str">
        <f>IF(Etapas!B21="","",Etapas!C21)</f>
        <v>Bruno</v>
      </c>
      <c r="D21" s="24">
        <f>IF(Etapas!B21="","",Etapas!E21)</f>
        <v>46228.0</v>
      </c>
      <c r="E21" s="29">
        <f>IF(Etapas!$B21="","",IF(AND(E$4&lt;=Etapas!$E21,E$4+6&gt;=Etapas!$D21),IF(Etapas!$G21="Concluída",1,IF(Etapas!$G21="Atrasada",3,2)),""))</f>
        <v/>
      </c>
      <c r="F21" s="29">
        <f>IF(Etapas!$B21="","",IF(AND(F$4&lt;=Etapas!$E21,F$4+6&gt;=Etapas!$D21),IF(Etapas!$G21="Concluída",1,IF(Etapas!$G21="Atrasada",3,2)),""))</f>
        <v/>
      </c>
      <c r="G21" s="29">
        <f>IF(Etapas!$B21="","",IF(AND(G$4&lt;=Etapas!$E21,G$4+6&gt;=Etapas!$D21),IF(Etapas!$G21="Concluída",1,IF(Etapas!$G21="Atrasada",3,2)),""))</f>
        <v/>
      </c>
      <c r="H21" s="29">
        <f>IF(Etapas!$B21="","",IF(AND(H$4&lt;=Etapas!$E21,H$4+6&gt;=Etapas!$D21),IF(Etapas!$G21="Concluída",1,IF(Etapas!$G21="Atrasada",3,2)),""))</f>
        <v/>
      </c>
      <c r="I21" s="29">
        <f>IF(Etapas!$B21="","",IF(AND(I$4&lt;=Etapas!$E21,I$4+6&gt;=Etapas!$D21),IF(Etapas!$G21="Concluída",1,IF(Etapas!$G21="Atrasada",3,2)),""))</f>
        <v/>
      </c>
      <c r="J21" s="29">
        <f>IF(Etapas!$B21="","",IF(AND(J$4&lt;=Etapas!$E21,J$4+6&gt;=Etapas!$D21),IF(Etapas!$G21="Concluída",1,IF(Etapas!$G21="Atrasada",3,2)),""))</f>
        <v/>
      </c>
      <c r="K21" s="29">
        <f>IF(Etapas!$B21="","",IF(AND(K$4&lt;=Etapas!$E21,K$4+6&gt;=Etapas!$D21),IF(Etapas!$G21="Concluída",1,IF(Etapas!$G21="Atrasada",3,2)),""))</f>
        <v/>
      </c>
      <c r="L21" s="29">
        <f>IF(Etapas!$B21="","",IF(AND(L$4&lt;=Etapas!$E21,L$4+6&gt;=Etapas!$D21),IF(Etapas!$G21="Concluída",1,IF(Etapas!$G21="Atrasada",3,2)),""))</f>
        <v/>
      </c>
      <c r="M21" s="29">
        <f>IF(Etapas!$B21="","",IF(AND(M$4&lt;=Etapas!$E21,M$4+6&gt;=Etapas!$D21),IF(Etapas!$G21="Concluída",1,IF(Etapas!$G21="Atrasada",3,2)),""))</f>
        <v/>
      </c>
      <c r="N21" s="29">
        <f>IF(Etapas!$B21="","",IF(AND(N$4&lt;=Etapas!$E21,N$4+6&gt;=Etapas!$D21),IF(Etapas!$G21="Concluída",1,IF(Etapas!$G21="Atrasada",3,2)),""))</f>
        <v/>
      </c>
      <c r="O21" s="29">
        <f>IF(Etapas!$B21="","",IF(AND(O$4&lt;=Etapas!$E21,O$4+6&gt;=Etapas!$D21),IF(Etapas!$G21="Concluída",1,IF(Etapas!$G21="Atrasada",3,2)),""))</f>
        <v/>
      </c>
      <c r="P21" s="29">
        <f>IF(Etapas!$B21="","",IF(AND(P$4&lt;=Etapas!$E21,P$4+6&gt;=Etapas!$D21),IF(Etapas!$G21="Concluída",1,IF(Etapas!$G21="Atrasada",3,2)),""))</f>
        <v/>
      </c>
      <c r="Q21" s="29">
        <f>IF(Etapas!$B21="","",IF(AND(Q$4&lt;=Etapas!$E21,Q$4+6&gt;=Etapas!$D21),IF(Etapas!$G21="Concluída",1,IF(Etapas!$G21="Atrasada",3,2)),""))</f>
        <v/>
      </c>
      <c r="R21" s="29">
        <f>IF(Etapas!$B21="","",IF(AND(R$4&lt;=Etapas!$E21,R$4+6&gt;=Etapas!$D21),IF(Etapas!$G21="Concluída",1,IF(Etapas!$G21="Atrasada",3,2)),""))</f>
        <v/>
      </c>
    </row>
    <row r="22">
      <c r="A22" s="22" t="str">
        <f>IF(Etapas!B22="","",Etapas!A22)</f>
        <v>Identidade visual · Padaria do Sol</v>
      </c>
      <c r="B22" s="22" t="str">
        <f>IF(Etapas!B22="","",Etapas!B22)</f>
        <v>Logo: 3 caminhos</v>
      </c>
      <c r="C22" s="23" t="str">
        <f>IF(Etapas!B22="","",Etapas!C22)</f>
        <v>Bruno</v>
      </c>
      <c r="D22" s="24">
        <f>IF(Etapas!B22="","",Etapas!E22)</f>
        <v>46246.0</v>
      </c>
      <c r="E22" s="29">
        <f>IF(Etapas!$B22="","",IF(AND(E$4&lt;=Etapas!$E22,E$4+6&gt;=Etapas!$D22),IF(Etapas!$G22="Concluída",1,IF(Etapas!$G22="Atrasada",3,2)),""))</f>
        <v/>
      </c>
      <c r="F22" s="29">
        <f>IF(Etapas!$B22="","",IF(AND(F$4&lt;=Etapas!$E22,F$4+6&gt;=Etapas!$D22),IF(Etapas!$G22="Concluída",1,IF(Etapas!$G22="Atrasada",3,2)),""))</f>
        <v/>
      </c>
      <c r="G22" s="29">
        <f>IF(Etapas!$B22="","",IF(AND(G$4&lt;=Etapas!$E22,G$4+6&gt;=Etapas!$D22),IF(Etapas!$G22="Concluída",1,IF(Etapas!$G22="Atrasada",3,2)),""))</f>
        <v/>
      </c>
      <c r="H22" s="29">
        <f>IF(Etapas!$B22="","",IF(AND(H$4&lt;=Etapas!$E22,H$4+6&gt;=Etapas!$D22),IF(Etapas!$G22="Concluída",1,IF(Etapas!$G22="Atrasada",3,2)),""))</f>
        <v/>
      </c>
      <c r="I22" s="29">
        <f>IF(Etapas!$B22="","",IF(AND(I$4&lt;=Etapas!$E22,I$4+6&gt;=Etapas!$D22),IF(Etapas!$G22="Concluída",1,IF(Etapas!$G22="Atrasada",3,2)),""))</f>
        <v/>
      </c>
      <c r="J22" s="29">
        <f>IF(Etapas!$B22="","",IF(AND(J$4&lt;=Etapas!$E22,J$4+6&gt;=Etapas!$D22),IF(Etapas!$G22="Concluída",1,IF(Etapas!$G22="Atrasada",3,2)),""))</f>
        <v/>
      </c>
      <c r="K22" s="29">
        <f>IF(Etapas!$B22="","",IF(AND(K$4&lt;=Etapas!$E22,K$4+6&gt;=Etapas!$D22),IF(Etapas!$G22="Concluída",1,IF(Etapas!$G22="Atrasada",3,2)),""))</f>
        <v/>
      </c>
      <c r="L22" s="29">
        <f>IF(Etapas!$B22="","",IF(AND(L$4&lt;=Etapas!$E22,L$4+6&gt;=Etapas!$D22),IF(Etapas!$G22="Concluída",1,IF(Etapas!$G22="Atrasada",3,2)),""))</f>
        <v/>
      </c>
      <c r="M22" s="29">
        <f>IF(Etapas!$B22="","",IF(AND(M$4&lt;=Etapas!$E22,M$4+6&gt;=Etapas!$D22),IF(Etapas!$G22="Concluída",1,IF(Etapas!$G22="Atrasada",3,2)),""))</f>
        <v/>
      </c>
      <c r="N22" s="29">
        <f>IF(Etapas!$B22="","",IF(AND(N$4&lt;=Etapas!$E22,N$4+6&gt;=Etapas!$D22),IF(Etapas!$G22="Concluída",1,IF(Etapas!$G22="Atrasada",3,2)),""))</f>
        <v/>
      </c>
      <c r="O22" s="29">
        <f>IF(Etapas!$B22="","",IF(AND(O$4&lt;=Etapas!$E22,O$4+6&gt;=Etapas!$D22),IF(Etapas!$G22="Concluída",1,IF(Etapas!$G22="Atrasada",3,2)),""))</f>
        <v/>
      </c>
      <c r="P22" s="29">
        <f>IF(Etapas!$B22="","",IF(AND(P$4&lt;=Etapas!$E22,P$4+6&gt;=Etapas!$D22),IF(Etapas!$G22="Concluída",1,IF(Etapas!$G22="Atrasada",3,2)),""))</f>
        <v/>
      </c>
      <c r="Q22" s="29">
        <f>IF(Etapas!$B22="","",IF(AND(Q$4&lt;=Etapas!$E22,Q$4+6&gt;=Etapas!$D22),IF(Etapas!$G22="Concluída",1,IF(Etapas!$G22="Atrasada",3,2)),""))</f>
        <v/>
      </c>
      <c r="R22" s="29">
        <f>IF(Etapas!$B22="","",IF(AND(R$4&lt;=Etapas!$E22,R$4+6&gt;=Etapas!$D22),IF(Etapas!$G22="Concluída",1,IF(Etapas!$G22="Atrasada",3,2)),""))</f>
        <v/>
      </c>
    </row>
    <row r="23">
      <c r="A23" s="22" t="str">
        <f>IF(Etapas!B23="","",Etapas!A23)</f>
        <v>Identidade visual · Padaria do Sol</v>
      </c>
      <c r="B23" s="22" t="str">
        <f>IF(Etapas!B23="","",Etapas!B23)</f>
        <v>Refino e aplicações</v>
      </c>
      <c r="C23" s="23" t="str">
        <f>IF(Etapas!B23="","",Etapas!C23)</f>
        <v>Bruno</v>
      </c>
      <c r="D23" s="24">
        <f>IF(Etapas!B23="","",Etapas!E23)</f>
        <v>46263.0</v>
      </c>
      <c r="E23" s="29">
        <f>IF(Etapas!$B23="","",IF(AND(E$4&lt;=Etapas!$E23,E$4+6&gt;=Etapas!$D23),IF(Etapas!$G23="Concluída",1,IF(Etapas!$G23="Atrasada",3,2)),""))</f>
        <v/>
      </c>
      <c r="F23" s="29">
        <f>IF(Etapas!$B23="","",IF(AND(F$4&lt;=Etapas!$E23,F$4+6&gt;=Etapas!$D23),IF(Etapas!$G23="Concluída",1,IF(Etapas!$G23="Atrasada",3,2)),""))</f>
        <v/>
      </c>
      <c r="G23" s="29">
        <f>IF(Etapas!$B23="","",IF(AND(G$4&lt;=Etapas!$E23,G$4+6&gt;=Etapas!$D23),IF(Etapas!$G23="Concluída",1,IF(Etapas!$G23="Atrasada",3,2)),""))</f>
        <v/>
      </c>
      <c r="H23" s="29">
        <f>IF(Etapas!$B23="","",IF(AND(H$4&lt;=Etapas!$E23,H$4+6&gt;=Etapas!$D23),IF(Etapas!$G23="Concluída",1,IF(Etapas!$G23="Atrasada",3,2)),""))</f>
        <v/>
      </c>
      <c r="I23" s="29">
        <f>IF(Etapas!$B23="","",IF(AND(I$4&lt;=Etapas!$E23,I$4+6&gt;=Etapas!$D23),IF(Etapas!$G23="Concluída",1,IF(Etapas!$G23="Atrasada",3,2)),""))</f>
        <v/>
      </c>
      <c r="J23" s="29">
        <f>IF(Etapas!$B23="","",IF(AND(J$4&lt;=Etapas!$E23,J$4+6&gt;=Etapas!$D23),IF(Etapas!$G23="Concluída",1,IF(Etapas!$G23="Atrasada",3,2)),""))</f>
        <v/>
      </c>
      <c r="K23" s="29">
        <f>IF(Etapas!$B23="","",IF(AND(K$4&lt;=Etapas!$E23,K$4+6&gt;=Etapas!$D23),IF(Etapas!$G23="Concluída",1,IF(Etapas!$G23="Atrasada",3,2)),""))</f>
        <v/>
      </c>
      <c r="L23" s="29">
        <f>IF(Etapas!$B23="","",IF(AND(L$4&lt;=Etapas!$E23,L$4+6&gt;=Etapas!$D23),IF(Etapas!$G23="Concluída",1,IF(Etapas!$G23="Atrasada",3,2)),""))</f>
        <v/>
      </c>
      <c r="M23" s="29">
        <f>IF(Etapas!$B23="","",IF(AND(M$4&lt;=Etapas!$E23,M$4+6&gt;=Etapas!$D23),IF(Etapas!$G23="Concluída",1,IF(Etapas!$G23="Atrasada",3,2)),""))</f>
        <v/>
      </c>
      <c r="N23" s="29">
        <f>IF(Etapas!$B23="","",IF(AND(N$4&lt;=Etapas!$E23,N$4+6&gt;=Etapas!$D23),IF(Etapas!$G23="Concluída",1,IF(Etapas!$G23="Atrasada",3,2)),""))</f>
        <v/>
      </c>
      <c r="O23" s="29">
        <f>IF(Etapas!$B23="","",IF(AND(O$4&lt;=Etapas!$E23,O$4+6&gt;=Etapas!$D23),IF(Etapas!$G23="Concluída",1,IF(Etapas!$G23="Atrasada",3,2)),""))</f>
        <v/>
      </c>
      <c r="P23" s="29">
        <f>IF(Etapas!$B23="","",IF(AND(P$4&lt;=Etapas!$E23,P$4+6&gt;=Etapas!$D23),IF(Etapas!$G23="Concluída",1,IF(Etapas!$G23="Atrasada",3,2)),""))</f>
        <v/>
      </c>
      <c r="Q23" s="29">
        <f>IF(Etapas!$B23="","",IF(AND(Q$4&lt;=Etapas!$E23,Q$4+6&gt;=Etapas!$D23),IF(Etapas!$G23="Concluída",1,IF(Etapas!$G23="Atrasada",3,2)),""))</f>
        <v/>
      </c>
      <c r="R23" s="29">
        <f>IF(Etapas!$B23="","",IF(AND(R$4&lt;=Etapas!$E23,R$4+6&gt;=Etapas!$D23),IF(Etapas!$G23="Concluída",1,IF(Etapas!$G23="Atrasada",3,2)),""))</f>
        <v/>
      </c>
    </row>
    <row r="24">
      <c r="A24" s="22" t="str">
        <f>IF(Etapas!B24="","",Etapas!A24)</f>
        <v>Identidade visual · Padaria do Sol</v>
      </c>
      <c r="B24" s="22" t="str">
        <f>IF(Etapas!B24="","",Etapas!B24)</f>
        <v>Manual da marca</v>
      </c>
      <c r="C24" s="23" t="str">
        <f>IF(Etapas!B24="","",Etapas!C24)</f>
        <v>Carla</v>
      </c>
      <c r="D24" s="24">
        <f>IF(Etapas!B24="","",Etapas!E24)</f>
        <v>46270.0</v>
      </c>
      <c r="E24" s="29">
        <f>IF(Etapas!$B24="","",IF(AND(E$4&lt;=Etapas!$E24,E$4+6&gt;=Etapas!$D24),IF(Etapas!$G24="Concluída",1,IF(Etapas!$G24="Atrasada",3,2)),""))</f>
        <v/>
      </c>
      <c r="F24" s="29">
        <f>IF(Etapas!$B24="","",IF(AND(F$4&lt;=Etapas!$E24,F$4+6&gt;=Etapas!$D24),IF(Etapas!$G24="Concluída",1,IF(Etapas!$G24="Atrasada",3,2)),""))</f>
        <v/>
      </c>
      <c r="G24" s="29">
        <f>IF(Etapas!$B24="","",IF(AND(G$4&lt;=Etapas!$E24,G$4+6&gt;=Etapas!$D24),IF(Etapas!$G24="Concluída",1,IF(Etapas!$G24="Atrasada",3,2)),""))</f>
        <v/>
      </c>
      <c r="H24" s="29">
        <f>IF(Etapas!$B24="","",IF(AND(H$4&lt;=Etapas!$E24,H$4+6&gt;=Etapas!$D24),IF(Etapas!$G24="Concluída",1,IF(Etapas!$G24="Atrasada",3,2)),""))</f>
        <v/>
      </c>
      <c r="I24" s="29">
        <f>IF(Etapas!$B24="","",IF(AND(I$4&lt;=Etapas!$E24,I$4+6&gt;=Etapas!$D24),IF(Etapas!$G24="Concluída",1,IF(Etapas!$G24="Atrasada",3,2)),""))</f>
        <v/>
      </c>
      <c r="J24" s="29">
        <f>IF(Etapas!$B24="","",IF(AND(J$4&lt;=Etapas!$E24,J$4+6&gt;=Etapas!$D24),IF(Etapas!$G24="Concluída",1,IF(Etapas!$G24="Atrasada",3,2)),""))</f>
        <v/>
      </c>
      <c r="K24" s="29">
        <f>IF(Etapas!$B24="","",IF(AND(K$4&lt;=Etapas!$E24,K$4+6&gt;=Etapas!$D24),IF(Etapas!$G24="Concluída",1,IF(Etapas!$G24="Atrasada",3,2)),""))</f>
        <v/>
      </c>
      <c r="L24" s="29">
        <f>IF(Etapas!$B24="","",IF(AND(L$4&lt;=Etapas!$E24,L$4+6&gt;=Etapas!$D24),IF(Etapas!$G24="Concluída",1,IF(Etapas!$G24="Atrasada",3,2)),""))</f>
        <v/>
      </c>
      <c r="M24" s="29">
        <f>IF(Etapas!$B24="","",IF(AND(M$4&lt;=Etapas!$E24,M$4+6&gt;=Etapas!$D24),IF(Etapas!$G24="Concluída",1,IF(Etapas!$G24="Atrasada",3,2)),""))</f>
        <v/>
      </c>
      <c r="N24" s="29">
        <f>IF(Etapas!$B24="","",IF(AND(N$4&lt;=Etapas!$E24,N$4+6&gt;=Etapas!$D24),IF(Etapas!$G24="Concluída",1,IF(Etapas!$G24="Atrasada",3,2)),""))</f>
        <v/>
      </c>
      <c r="O24" s="29">
        <f>IF(Etapas!$B24="","",IF(AND(O$4&lt;=Etapas!$E24,O$4+6&gt;=Etapas!$D24),IF(Etapas!$G24="Concluída",1,IF(Etapas!$G24="Atrasada",3,2)),""))</f>
        <v/>
      </c>
      <c r="P24" s="29">
        <f>IF(Etapas!$B24="","",IF(AND(P$4&lt;=Etapas!$E24,P$4+6&gt;=Etapas!$D24),IF(Etapas!$G24="Concluída",1,IF(Etapas!$G24="Atrasada",3,2)),""))</f>
        <v/>
      </c>
      <c r="Q24" s="29">
        <f>IF(Etapas!$B24="","",IF(AND(Q$4&lt;=Etapas!$E24,Q$4+6&gt;=Etapas!$D24),IF(Etapas!$G24="Concluída",1,IF(Etapas!$G24="Atrasada",3,2)),""))</f>
        <v/>
      </c>
      <c r="R24" s="29">
        <f>IF(Etapas!$B24="","",IF(AND(R$4&lt;=Etapas!$E24,R$4+6&gt;=Etapas!$D24),IF(Etapas!$G24="Concluída",1,IF(Etapas!$G24="Atrasada",3,2)),""))</f>
        <v/>
      </c>
    </row>
    <row r="25">
      <c r="A25" s="22">
        <f>IF(Etapas!B25="","",Etapas!A25)</f>
        <v/>
      </c>
      <c r="B25" s="22">
        <f>IF(Etapas!B25="","",Etapas!B25)</f>
        <v/>
      </c>
      <c r="C25" s="23">
        <f>IF(Etapas!B25="","",Etapas!C25)</f>
        <v/>
      </c>
      <c r="D25" s="24">
        <f>IF(Etapas!B25="","",Etapas!E25)</f>
        <v/>
      </c>
      <c r="E25" s="29">
        <f>IF(Etapas!$B25="","",IF(AND(E$4&lt;=Etapas!$E25,E$4+6&gt;=Etapas!$D25),IF(Etapas!$G25="Concluída",1,IF(Etapas!$G25="Atrasada",3,2)),""))</f>
        <v/>
      </c>
      <c r="F25" s="29">
        <f>IF(Etapas!$B25="","",IF(AND(F$4&lt;=Etapas!$E25,F$4+6&gt;=Etapas!$D25),IF(Etapas!$G25="Concluída",1,IF(Etapas!$G25="Atrasada",3,2)),""))</f>
        <v/>
      </c>
      <c r="G25" s="29">
        <f>IF(Etapas!$B25="","",IF(AND(G$4&lt;=Etapas!$E25,G$4+6&gt;=Etapas!$D25),IF(Etapas!$G25="Concluída",1,IF(Etapas!$G25="Atrasada",3,2)),""))</f>
        <v/>
      </c>
      <c r="H25" s="29">
        <f>IF(Etapas!$B25="","",IF(AND(H$4&lt;=Etapas!$E25,H$4+6&gt;=Etapas!$D25),IF(Etapas!$G25="Concluída",1,IF(Etapas!$G25="Atrasada",3,2)),""))</f>
        <v/>
      </c>
      <c r="I25" s="29">
        <f>IF(Etapas!$B25="","",IF(AND(I$4&lt;=Etapas!$E25,I$4+6&gt;=Etapas!$D25),IF(Etapas!$G25="Concluída",1,IF(Etapas!$G25="Atrasada",3,2)),""))</f>
        <v/>
      </c>
      <c r="J25" s="29">
        <f>IF(Etapas!$B25="","",IF(AND(J$4&lt;=Etapas!$E25,J$4+6&gt;=Etapas!$D25),IF(Etapas!$G25="Concluída",1,IF(Etapas!$G25="Atrasada",3,2)),""))</f>
        <v/>
      </c>
      <c r="K25" s="29">
        <f>IF(Etapas!$B25="","",IF(AND(K$4&lt;=Etapas!$E25,K$4+6&gt;=Etapas!$D25),IF(Etapas!$G25="Concluída",1,IF(Etapas!$G25="Atrasada",3,2)),""))</f>
        <v/>
      </c>
      <c r="L25" s="29">
        <f>IF(Etapas!$B25="","",IF(AND(L$4&lt;=Etapas!$E25,L$4+6&gt;=Etapas!$D25),IF(Etapas!$G25="Concluída",1,IF(Etapas!$G25="Atrasada",3,2)),""))</f>
        <v/>
      </c>
      <c r="M25" s="29">
        <f>IF(Etapas!$B25="","",IF(AND(M$4&lt;=Etapas!$E25,M$4+6&gt;=Etapas!$D25),IF(Etapas!$G25="Concluída",1,IF(Etapas!$G25="Atrasada",3,2)),""))</f>
        <v/>
      </c>
      <c r="N25" s="29">
        <f>IF(Etapas!$B25="","",IF(AND(N$4&lt;=Etapas!$E25,N$4+6&gt;=Etapas!$D25),IF(Etapas!$G25="Concluída",1,IF(Etapas!$G25="Atrasada",3,2)),""))</f>
        <v/>
      </c>
      <c r="O25" s="29">
        <f>IF(Etapas!$B25="","",IF(AND(O$4&lt;=Etapas!$E25,O$4+6&gt;=Etapas!$D25),IF(Etapas!$G25="Concluída",1,IF(Etapas!$G25="Atrasada",3,2)),""))</f>
        <v/>
      </c>
      <c r="P25" s="29">
        <f>IF(Etapas!$B25="","",IF(AND(P$4&lt;=Etapas!$E25,P$4+6&gt;=Etapas!$D25),IF(Etapas!$G25="Concluída",1,IF(Etapas!$G25="Atrasada",3,2)),""))</f>
        <v/>
      </c>
      <c r="Q25" s="29">
        <f>IF(Etapas!$B25="","",IF(AND(Q$4&lt;=Etapas!$E25,Q$4+6&gt;=Etapas!$D25),IF(Etapas!$G25="Concluída",1,IF(Etapas!$G25="Atrasada",3,2)),""))</f>
        <v/>
      </c>
      <c r="R25" s="29">
        <f>IF(Etapas!$B25="","",IF(AND(R$4&lt;=Etapas!$E25,R$4+6&gt;=Etapas!$D25),IF(Etapas!$G25="Concluída",1,IF(Etapas!$G25="Atrasada",3,2)),""))</f>
        <v/>
      </c>
    </row>
    <row r="26">
      <c r="A26" s="22">
        <f>IF(Etapas!B26="","",Etapas!A26)</f>
        <v/>
      </c>
      <c r="B26" s="22">
        <f>IF(Etapas!B26="","",Etapas!B26)</f>
        <v/>
      </c>
      <c r="C26" s="23">
        <f>IF(Etapas!B26="","",Etapas!C26)</f>
        <v/>
      </c>
      <c r="D26" s="24">
        <f>IF(Etapas!B26="","",Etapas!E26)</f>
        <v/>
      </c>
      <c r="E26" s="29">
        <f>IF(Etapas!$B26="","",IF(AND(E$4&lt;=Etapas!$E26,E$4+6&gt;=Etapas!$D26),IF(Etapas!$G26="Concluída",1,IF(Etapas!$G26="Atrasada",3,2)),""))</f>
        <v/>
      </c>
      <c r="F26" s="29">
        <f>IF(Etapas!$B26="","",IF(AND(F$4&lt;=Etapas!$E26,F$4+6&gt;=Etapas!$D26),IF(Etapas!$G26="Concluída",1,IF(Etapas!$G26="Atrasada",3,2)),""))</f>
        <v/>
      </c>
      <c r="G26" s="29">
        <f>IF(Etapas!$B26="","",IF(AND(G$4&lt;=Etapas!$E26,G$4+6&gt;=Etapas!$D26),IF(Etapas!$G26="Concluída",1,IF(Etapas!$G26="Atrasada",3,2)),""))</f>
        <v/>
      </c>
      <c r="H26" s="29">
        <f>IF(Etapas!$B26="","",IF(AND(H$4&lt;=Etapas!$E26,H$4+6&gt;=Etapas!$D26),IF(Etapas!$G26="Concluída",1,IF(Etapas!$G26="Atrasada",3,2)),""))</f>
        <v/>
      </c>
      <c r="I26" s="29">
        <f>IF(Etapas!$B26="","",IF(AND(I$4&lt;=Etapas!$E26,I$4+6&gt;=Etapas!$D26),IF(Etapas!$G26="Concluída",1,IF(Etapas!$G26="Atrasada",3,2)),""))</f>
        <v/>
      </c>
      <c r="J26" s="29">
        <f>IF(Etapas!$B26="","",IF(AND(J$4&lt;=Etapas!$E26,J$4+6&gt;=Etapas!$D26),IF(Etapas!$G26="Concluída",1,IF(Etapas!$G26="Atrasada",3,2)),""))</f>
        <v/>
      </c>
      <c r="K26" s="29">
        <f>IF(Etapas!$B26="","",IF(AND(K$4&lt;=Etapas!$E26,K$4+6&gt;=Etapas!$D26),IF(Etapas!$G26="Concluída",1,IF(Etapas!$G26="Atrasada",3,2)),""))</f>
        <v/>
      </c>
      <c r="L26" s="29">
        <f>IF(Etapas!$B26="","",IF(AND(L$4&lt;=Etapas!$E26,L$4+6&gt;=Etapas!$D26),IF(Etapas!$G26="Concluída",1,IF(Etapas!$G26="Atrasada",3,2)),""))</f>
        <v/>
      </c>
      <c r="M26" s="29">
        <f>IF(Etapas!$B26="","",IF(AND(M$4&lt;=Etapas!$E26,M$4+6&gt;=Etapas!$D26),IF(Etapas!$G26="Concluída",1,IF(Etapas!$G26="Atrasada",3,2)),""))</f>
        <v/>
      </c>
      <c r="N26" s="29">
        <f>IF(Etapas!$B26="","",IF(AND(N$4&lt;=Etapas!$E26,N$4+6&gt;=Etapas!$D26),IF(Etapas!$G26="Concluída",1,IF(Etapas!$G26="Atrasada",3,2)),""))</f>
        <v/>
      </c>
      <c r="O26" s="29">
        <f>IF(Etapas!$B26="","",IF(AND(O$4&lt;=Etapas!$E26,O$4+6&gt;=Etapas!$D26),IF(Etapas!$G26="Concluída",1,IF(Etapas!$G26="Atrasada",3,2)),""))</f>
        <v/>
      </c>
      <c r="P26" s="29">
        <f>IF(Etapas!$B26="","",IF(AND(P$4&lt;=Etapas!$E26,P$4+6&gt;=Etapas!$D26),IF(Etapas!$G26="Concluída",1,IF(Etapas!$G26="Atrasada",3,2)),""))</f>
        <v/>
      </c>
      <c r="Q26" s="29">
        <f>IF(Etapas!$B26="","",IF(AND(Q$4&lt;=Etapas!$E26,Q$4+6&gt;=Etapas!$D26),IF(Etapas!$G26="Concluída",1,IF(Etapas!$G26="Atrasada",3,2)),""))</f>
        <v/>
      </c>
      <c r="R26" s="29">
        <f>IF(Etapas!$B26="","",IF(AND(R$4&lt;=Etapas!$E26,R$4+6&gt;=Etapas!$D26),IF(Etapas!$G26="Concluída",1,IF(Etapas!$G26="Atrasada",3,2)),""))</f>
        <v/>
      </c>
    </row>
    <row r="27">
      <c r="A27" s="22">
        <f>IF(Etapas!B27="","",Etapas!A27)</f>
        <v/>
      </c>
      <c r="B27" s="22">
        <f>IF(Etapas!B27="","",Etapas!B27)</f>
        <v/>
      </c>
      <c r="C27" s="23">
        <f>IF(Etapas!B27="","",Etapas!C27)</f>
        <v/>
      </c>
      <c r="D27" s="24">
        <f>IF(Etapas!B27="","",Etapas!E27)</f>
        <v/>
      </c>
      <c r="E27" s="29">
        <f>IF(Etapas!$B27="","",IF(AND(E$4&lt;=Etapas!$E27,E$4+6&gt;=Etapas!$D27),IF(Etapas!$G27="Concluída",1,IF(Etapas!$G27="Atrasada",3,2)),""))</f>
        <v/>
      </c>
      <c r="F27" s="29">
        <f>IF(Etapas!$B27="","",IF(AND(F$4&lt;=Etapas!$E27,F$4+6&gt;=Etapas!$D27),IF(Etapas!$G27="Concluída",1,IF(Etapas!$G27="Atrasada",3,2)),""))</f>
        <v/>
      </c>
      <c r="G27" s="29">
        <f>IF(Etapas!$B27="","",IF(AND(G$4&lt;=Etapas!$E27,G$4+6&gt;=Etapas!$D27),IF(Etapas!$G27="Concluída",1,IF(Etapas!$G27="Atrasada",3,2)),""))</f>
        <v/>
      </c>
      <c r="H27" s="29">
        <f>IF(Etapas!$B27="","",IF(AND(H$4&lt;=Etapas!$E27,H$4+6&gt;=Etapas!$D27),IF(Etapas!$G27="Concluída",1,IF(Etapas!$G27="Atrasada",3,2)),""))</f>
        <v/>
      </c>
      <c r="I27" s="29">
        <f>IF(Etapas!$B27="","",IF(AND(I$4&lt;=Etapas!$E27,I$4+6&gt;=Etapas!$D27),IF(Etapas!$G27="Concluída",1,IF(Etapas!$G27="Atrasada",3,2)),""))</f>
        <v/>
      </c>
      <c r="J27" s="29">
        <f>IF(Etapas!$B27="","",IF(AND(J$4&lt;=Etapas!$E27,J$4+6&gt;=Etapas!$D27),IF(Etapas!$G27="Concluída",1,IF(Etapas!$G27="Atrasada",3,2)),""))</f>
        <v/>
      </c>
      <c r="K27" s="29">
        <f>IF(Etapas!$B27="","",IF(AND(K$4&lt;=Etapas!$E27,K$4+6&gt;=Etapas!$D27),IF(Etapas!$G27="Concluída",1,IF(Etapas!$G27="Atrasada",3,2)),""))</f>
        <v/>
      </c>
      <c r="L27" s="29">
        <f>IF(Etapas!$B27="","",IF(AND(L$4&lt;=Etapas!$E27,L$4+6&gt;=Etapas!$D27),IF(Etapas!$G27="Concluída",1,IF(Etapas!$G27="Atrasada",3,2)),""))</f>
        <v/>
      </c>
      <c r="M27" s="29">
        <f>IF(Etapas!$B27="","",IF(AND(M$4&lt;=Etapas!$E27,M$4+6&gt;=Etapas!$D27),IF(Etapas!$G27="Concluída",1,IF(Etapas!$G27="Atrasada",3,2)),""))</f>
        <v/>
      </c>
      <c r="N27" s="29">
        <f>IF(Etapas!$B27="","",IF(AND(N$4&lt;=Etapas!$E27,N$4+6&gt;=Etapas!$D27),IF(Etapas!$G27="Concluída",1,IF(Etapas!$G27="Atrasada",3,2)),""))</f>
        <v/>
      </c>
      <c r="O27" s="29">
        <f>IF(Etapas!$B27="","",IF(AND(O$4&lt;=Etapas!$E27,O$4+6&gt;=Etapas!$D27),IF(Etapas!$G27="Concluída",1,IF(Etapas!$G27="Atrasada",3,2)),""))</f>
        <v/>
      </c>
      <c r="P27" s="29">
        <f>IF(Etapas!$B27="","",IF(AND(P$4&lt;=Etapas!$E27,P$4+6&gt;=Etapas!$D27),IF(Etapas!$G27="Concluída",1,IF(Etapas!$G27="Atrasada",3,2)),""))</f>
        <v/>
      </c>
      <c r="Q27" s="29">
        <f>IF(Etapas!$B27="","",IF(AND(Q$4&lt;=Etapas!$E27,Q$4+6&gt;=Etapas!$D27),IF(Etapas!$G27="Concluída",1,IF(Etapas!$G27="Atrasada",3,2)),""))</f>
        <v/>
      </c>
      <c r="R27" s="29">
        <f>IF(Etapas!$B27="","",IF(AND(R$4&lt;=Etapas!$E27,R$4+6&gt;=Etapas!$D27),IF(Etapas!$G27="Concluída",1,IF(Etapas!$G27="Atrasada",3,2)),""))</f>
        <v/>
      </c>
    </row>
    <row r="28">
      <c r="A28" s="22">
        <f>IF(Etapas!B28="","",Etapas!A28)</f>
        <v/>
      </c>
      <c r="B28" s="22">
        <f>IF(Etapas!B28="","",Etapas!B28)</f>
        <v/>
      </c>
      <c r="C28" s="23">
        <f>IF(Etapas!B28="","",Etapas!C28)</f>
        <v/>
      </c>
      <c r="D28" s="24">
        <f>IF(Etapas!B28="","",Etapas!E28)</f>
        <v/>
      </c>
      <c r="E28" s="29">
        <f>IF(Etapas!$B28="","",IF(AND(E$4&lt;=Etapas!$E28,E$4+6&gt;=Etapas!$D28),IF(Etapas!$G28="Concluída",1,IF(Etapas!$G28="Atrasada",3,2)),""))</f>
        <v/>
      </c>
      <c r="F28" s="29">
        <f>IF(Etapas!$B28="","",IF(AND(F$4&lt;=Etapas!$E28,F$4+6&gt;=Etapas!$D28),IF(Etapas!$G28="Concluída",1,IF(Etapas!$G28="Atrasada",3,2)),""))</f>
        <v/>
      </c>
      <c r="G28" s="29">
        <f>IF(Etapas!$B28="","",IF(AND(G$4&lt;=Etapas!$E28,G$4+6&gt;=Etapas!$D28),IF(Etapas!$G28="Concluída",1,IF(Etapas!$G28="Atrasada",3,2)),""))</f>
        <v/>
      </c>
      <c r="H28" s="29">
        <f>IF(Etapas!$B28="","",IF(AND(H$4&lt;=Etapas!$E28,H$4+6&gt;=Etapas!$D28),IF(Etapas!$G28="Concluída",1,IF(Etapas!$G28="Atrasada",3,2)),""))</f>
        <v/>
      </c>
      <c r="I28" s="29">
        <f>IF(Etapas!$B28="","",IF(AND(I$4&lt;=Etapas!$E28,I$4+6&gt;=Etapas!$D28),IF(Etapas!$G28="Concluída",1,IF(Etapas!$G28="Atrasada",3,2)),""))</f>
        <v/>
      </c>
      <c r="J28" s="29">
        <f>IF(Etapas!$B28="","",IF(AND(J$4&lt;=Etapas!$E28,J$4+6&gt;=Etapas!$D28),IF(Etapas!$G28="Concluída",1,IF(Etapas!$G28="Atrasada",3,2)),""))</f>
        <v/>
      </c>
      <c r="K28" s="29">
        <f>IF(Etapas!$B28="","",IF(AND(K$4&lt;=Etapas!$E28,K$4+6&gt;=Etapas!$D28),IF(Etapas!$G28="Concluída",1,IF(Etapas!$G28="Atrasada",3,2)),""))</f>
        <v/>
      </c>
      <c r="L28" s="29">
        <f>IF(Etapas!$B28="","",IF(AND(L$4&lt;=Etapas!$E28,L$4+6&gt;=Etapas!$D28),IF(Etapas!$G28="Concluída",1,IF(Etapas!$G28="Atrasada",3,2)),""))</f>
        <v/>
      </c>
      <c r="M28" s="29">
        <f>IF(Etapas!$B28="","",IF(AND(M$4&lt;=Etapas!$E28,M$4+6&gt;=Etapas!$D28),IF(Etapas!$G28="Concluída",1,IF(Etapas!$G28="Atrasada",3,2)),""))</f>
        <v/>
      </c>
      <c r="N28" s="29">
        <f>IF(Etapas!$B28="","",IF(AND(N$4&lt;=Etapas!$E28,N$4+6&gt;=Etapas!$D28),IF(Etapas!$G28="Concluída",1,IF(Etapas!$G28="Atrasada",3,2)),""))</f>
        <v/>
      </c>
      <c r="O28" s="29">
        <f>IF(Etapas!$B28="","",IF(AND(O$4&lt;=Etapas!$E28,O$4+6&gt;=Etapas!$D28),IF(Etapas!$G28="Concluída",1,IF(Etapas!$G28="Atrasada",3,2)),""))</f>
        <v/>
      </c>
      <c r="P28" s="29">
        <f>IF(Etapas!$B28="","",IF(AND(P$4&lt;=Etapas!$E28,P$4+6&gt;=Etapas!$D28),IF(Etapas!$G28="Concluída",1,IF(Etapas!$G28="Atrasada",3,2)),""))</f>
        <v/>
      </c>
      <c r="Q28" s="29">
        <f>IF(Etapas!$B28="","",IF(AND(Q$4&lt;=Etapas!$E28,Q$4+6&gt;=Etapas!$D28),IF(Etapas!$G28="Concluída",1,IF(Etapas!$G28="Atrasada",3,2)),""))</f>
        <v/>
      </c>
      <c r="R28" s="29">
        <f>IF(Etapas!$B28="","",IF(AND(R$4&lt;=Etapas!$E28,R$4+6&gt;=Etapas!$D28),IF(Etapas!$G28="Concluída",1,IF(Etapas!$G28="Atrasada",3,2)),""))</f>
        <v/>
      </c>
    </row>
    <row r="29">
      <c r="A29" s="22">
        <f>IF(Etapas!B29="","",Etapas!A29)</f>
        <v/>
      </c>
      <c r="B29" s="22">
        <f>IF(Etapas!B29="","",Etapas!B29)</f>
        <v/>
      </c>
      <c r="C29" s="23">
        <f>IF(Etapas!B29="","",Etapas!C29)</f>
        <v/>
      </c>
      <c r="D29" s="24">
        <f>IF(Etapas!B29="","",Etapas!E29)</f>
        <v/>
      </c>
      <c r="E29" s="29">
        <f>IF(Etapas!$B29="","",IF(AND(E$4&lt;=Etapas!$E29,E$4+6&gt;=Etapas!$D29),IF(Etapas!$G29="Concluída",1,IF(Etapas!$G29="Atrasada",3,2)),""))</f>
        <v/>
      </c>
      <c r="F29" s="29">
        <f>IF(Etapas!$B29="","",IF(AND(F$4&lt;=Etapas!$E29,F$4+6&gt;=Etapas!$D29),IF(Etapas!$G29="Concluída",1,IF(Etapas!$G29="Atrasada",3,2)),""))</f>
        <v/>
      </c>
      <c r="G29" s="29">
        <f>IF(Etapas!$B29="","",IF(AND(G$4&lt;=Etapas!$E29,G$4+6&gt;=Etapas!$D29),IF(Etapas!$G29="Concluída",1,IF(Etapas!$G29="Atrasada",3,2)),""))</f>
        <v/>
      </c>
      <c r="H29" s="29">
        <f>IF(Etapas!$B29="","",IF(AND(H$4&lt;=Etapas!$E29,H$4+6&gt;=Etapas!$D29),IF(Etapas!$G29="Concluída",1,IF(Etapas!$G29="Atrasada",3,2)),""))</f>
        <v/>
      </c>
      <c r="I29" s="29">
        <f>IF(Etapas!$B29="","",IF(AND(I$4&lt;=Etapas!$E29,I$4+6&gt;=Etapas!$D29),IF(Etapas!$G29="Concluída",1,IF(Etapas!$G29="Atrasada",3,2)),""))</f>
        <v/>
      </c>
      <c r="J29" s="29">
        <f>IF(Etapas!$B29="","",IF(AND(J$4&lt;=Etapas!$E29,J$4+6&gt;=Etapas!$D29),IF(Etapas!$G29="Concluída",1,IF(Etapas!$G29="Atrasada",3,2)),""))</f>
        <v/>
      </c>
      <c r="K29" s="29">
        <f>IF(Etapas!$B29="","",IF(AND(K$4&lt;=Etapas!$E29,K$4+6&gt;=Etapas!$D29),IF(Etapas!$G29="Concluída",1,IF(Etapas!$G29="Atrasada",3,2)),""))</f>
        <v/>
      </c>
      <c r="L29" s="29">
        <f>IF(Etapas!$B29="","",IF(AND(L$4&lt;=Etapas!$E29,L$4+6&gt;=Etapas!$D29),IF(Etapas!$G29="Concluída",1,IF(Etapas!$G29="Atrasada",3,2)),""))</f>
        <v/>
      </c>
      <c r="M29" s="29">
        <f>IF(Etapas!$B29="","",IF(AND(M$4&lt;=Etapas!$E29,M$4+6&gt;=Etapas!$D29),IF(Etapas!$G29="Concluída",1,IF(Etapas!$G29="Atrasada",3,2)),""))</f>
        <v/>
      </c>
      <c r="N29" s="29">
        <f>IF(Etapas!$B29="","",IF(AND(N$4&lt;=Etapas!$E29,N$4+6&gt;=Etapas!$D29),IF(Etapas!$G29="Concluída",1,IF(Etapas!$G29="Atrasada",3,2)),""))</f>
        <v/>
      </c>
      <c r="O29" s="29">
        <f>IF(Etapas!$B29="","",IF(AND(O$4&lt;=Etapas!$E29,O$4+6&gt;=Etapas!$D29),IF(Etapas!$G29="Concluída",1,IF(Etapas!$G29="Atrasada",3,2)),""))</f>
        <v/>
      </c>
      <c r="P29" s="29">
        <f>IF(Etapas!$B29="","",IF(AND(P$4&lt;=Etapas!$E29,P$4+6&gt;=Etapas!$D29),IF(Etapas!$G29="Concluída",1,IF(Etapas!$G29="Atrasada",3,2)),""))</f>
        <v/>
      </c>
      <c r="Q29" s="29">
        <f>IF(Etapas!$B29="","",IF(AND(Q$4&lt;=Etapas!$E29,Q$4+6&gt;=Etapas!$D29),IF(Etapas!$G29="Concluída",1,IF(Etapas!$G29="Atrasada",3,2)),""))</f>
        <v/>
      </c>
      <c r="R29" s="29">
        <f>IF(Etapas!$B29="","",IF(AND(R$4&lt;=Etapas!$E29,R$4+6&gt;=Etapas!$D29),IF(Etapas!$G29="Concluída",1,IF(Etapas!$G29="Atrasada",3,2)),""))</f>
        <v/>
      </c>
    </row>
    <row r="30">
      <c r="A30" s="22">
        <f>IF(Etapas!B30="","",Etapas!A30)</f>
        <v/>
      </c>
      <c r="B30" s="22">
        <f>IF(Etapas!B30="","",Etapas!B30)</f>
        <v/>
      </c>
      <c r="C30" s="23">
        <f>IF(Etapas!B30="","",Etapas!C30)</f>
        <v/>
      </c>
      <c r="D30" s="24">
        <f>IF(Etapas!B30="","",Etapas!E30)</f>
        <v/>
      </c>
      <c r="E30" s="29">
        <f>IF(Etapas!$B30="","",IF(AND(E$4&lt;=Etapas!$E30,E$4+6&gt;=Etapas!$D30),IF(Etapas!$G30="Concluída",1,IF(Etapas!$G30="Atrasada",3,2)),""))</f>
        <v/>
      </c>
      <c r="F30" s="29">
        <f>IF(Etapas!$B30="","",IF(AND(F$4&lt;=Etapas!$E30,F$4+6&gt;=Etapas!$D30),IF(Etapas!$G30="Concluída",1,IF(Etapas!$G30="Atrasada",3,2)),""))</f>
        <v/>
      </c>
      <c r="G30" s="29">
        <f>IF(Etapas!$B30="","",IF(AND(G$4&lt;=Etapas!$E30,G$4+6&gt;=Etapas!$D30),IF(Etapas!$G30="Concluída",1,IF(Etapas!$G30="Atrasada",3,2)),""))</f>
        <v/>
      </c>
      <c r="H30" s="29">
        <f>IF(Etapas!$B30="","",IF(AND(H$4&lt;=Etapas!$E30,H$4+6&gt;=Etapas!$D30),IF(Etapas!$G30="Concluída",1,IF(Etapas!$G30="Atrasada",3,2)),""))</f>
        <v/>
      </c>
      <c r="I30" s="29">
        <f>IF(Etapas!$B30="","",IF(AND(I$4&lt;=Etapas!$E30,I$4+6&gt;=Etapas!$D30),IF(Etapas!$G30="Concluída",1,IF(Etapas!$G30="Atrasada",3,2)),""))</f>
        <v/>
      </c>
      <c r="J30" s="29">
        <f>IF(Etapas!$B30="","",IF(AND(J$4&lt;=Etapas!$E30,J$4+6&gt;=Etapas!$D30),IF(Etapas!$G30="Concluída",1,IF(Etapas!$G30="Atrasada",3,2)),""))</f>
        <v/>
      </c>
      <c r="K30" s="29">
        <f>IF(Etapas!$B30="","",IF(AND(K$4&lt;=Etapas!$E30,K$4+6&gt;=Etapas!$D30),IF(Etapas!$G30="Concluída",1,IF(Etapas!$G30="Atrasada",3,2)),""))</f>
        <v/>
      </c>
      <c r="L30" s="29">
        <f>IF(Etapas!$B30="","",IF(AND(L$4&lt;=Etapas!$E30,L$4+6&gt;=Etapas!$D30),IF(Etapas!$G30="Concluída",1,IF(Etapas!$G30="Atrasada",3,2)),""))</f>
        <v/>
      </c>
      <c r="M30" s="29">
        <f>IF(Etapas!$B30="","",IF(AND(M$4&lt;=Etapas!$E30,M$4+6&gt;=Etapas!$D30),IF(Etapas!$G30="Concluída",1,IF(Etapas!$G30="Atrasada",3,2)),""))</f>
        <v/>
      </c>
      <c r="N30" s="29">
        <f>IF(Etapas!$B30="","",IF(AND(N$4&lt;=Etapas!$E30,N$4+6&gt;=Etapas!$D30),IF(Etapas!$G30="Concluída",1,IF(Etapas!$G30="Atrasada",3,2)),""))</f>
        <v/>
      </c>
      <c r="O30" s="29">
        <f>IF(Etapas!$B30="","",IF(AND(O$4&lt;=Etapas!$E30,O$4+6&gt;=Etapas!$D30),IF(Etapas!$G30="Concluída",1,IF(Etapas!$G30="Atrasada",3,2)),""))</f>
        <v/>
      </c>
      <c r="P30" s="29">
        <f>IF(Etapas!$B30="","",IF(AND(P$4&lt;=Etapas!$E30,P$4+6&gt;=Etapas!$D30),IF(Etapas!$G30="Concluída",1,IF(Etapas!$G30="Atrasada",3,2)),""))</f>
        <v/>
      </c>
      <c r="Q30" s="29">
        <f>IF(Etapas!$B30="","",IF(AND(Q$4&lt;=Etapas!$E30,Q$4+6&gt;=Etapas!$D30),IF(Etapas!$G30="Concluída",1,IF(Etapas!$G30="Atrasada",3,2)),""))</f>
        <v/>
      </c>
      <c r="R30" s="29">
        <f>IF(Etapas!$B30="","",IF(AND(R$4&lt;=Etapas!$E30,R$4+6&gt;=Etapas!$D30),IF(Etapas!$G30="Concluída",1,IF(Etapas!$G30="Atrasada",3,2)),""))</f>
        <v/>
      </c>
    </row>
    <row r="31">
      <c r="A31" s="22">
        <f>IF(Etapas!B31="","",Etapas!A31)</f>
        <v/>
      </c>
      <c r="B31" s="22">
        <f>IF(Etapas!B31="","",Etapas!B31)</f>
        <v/>
      </c>
      <c r="C31" s="23">
        <f>IF(Etapas!B31="","",Etapas!C31)</f>
        <v/>
      </c>
      <c r="D31" s="24">
        <f>IF(Etapas!B31="","",Etapas!E31)</f>
        <v/>
      </c>
      <c r="E31" s="29">
        <f>IF(Etapas!$B31="","",IF(AND(E$4&lt;=Etapas!$E31,E$4+6&gt;=Etapas!$D31),IF(Etapas!$G31="Concluída",1,IF(Etapas!$G31="Atrasada",3,2)),""))</f>
        <v/>
      </c>
      <c r="F31" s="29">
        <f>IF(Etapas!$B31="","",IF(AND(F$4&lt;=Etapas!$E31,F$4+6&gt;=Etapas!$D31),IF(Etapas!$G31="Concluída",1,IF(Etapas!$G31="Atrasada",3,2)),""))</f>
        <v/>
      </c>
      <c r="G31" s="29">
        <f>IF(Etapas!$B31="","",IF(AND(G$4&lt;=Etapas!$E31,G$4+6&gt;=Etapas!$D31),IF(Etapas!$G31="Concluída",1,IF(Etapas!$G31="Atrasada",3,2)),""))</f>
        <v/>
      </c>
      <c r="H31" s="29">
        <f>IF(Etapas!$B31="","",IF(AND(H$4&lt;=Etapas!$E31,H$4+6&gt;=Etapas!$D31),IF(Etapas!$G31="Concluída",1,IF(Etapas!$G31="Atrasada",3,2)),""))</f>
        <v/>
      </c>
      <c r="I31" s="29">
        <f>IF(Etapas!$B31="","",IF(AND(I$4&lt;=Etapas!$E31,I$4+6&gt;=Etapas!$D31),IF(Etapas!$G31="Concluída",1,IF(Etapas!$G31="Atrasada",3,2)),""))</f>
        <v/>
      </c>
      <c r="J31" s="29">
        <f>IF(Etapas!$B31="","",IF(AND(J$4&lt;=Etapas!$E31,J$4+6&gt;=Etapas!$D31),IF(Etapas!$G31="Concluída",1,IF(Etapas!$G31="Atrasada",3,2)),""))</f>
        <v/>
      </c>
      <c r="K31" s="29">
        <f>IF(Etapas!$B31="","",IF(AND(K$4&lt;=Etapas!$E31,K$4+6&gt;=Etapas!$D31),IF(Etapas!$G31="Concluída",1,IF(Etapas!$G31="Atrasada",3,2)),""))</f>
        <v/>
      </c>
      <c r="L31" s="29">
        <f>IF(Etapas!$B31="","",IF(AND(L$4&lt;=Etapas!$E31,L$4+6&gt;=Etapas!$D31),IF(Etapas!$G31="Concluída",1,IF(Etapas!$G31="Atrasada",3,2)),""))</f>
        <v/>
      </c>
      <c r="M31" s="29">
        <f>IF(Etapas!$B31="","",IF(AND(M$4&lt;=Etapas!$E31,M$4+6&gt;=Etapas!$D31),IF(Etapas!$G31="Concluída",1,IF(Etapas!$G31="Atrasada",3,2)),""))</f>
        <v/>
      </c>
      <c r="N31" s="29">
        <f>IF(Etapas!$B31="","",IF(AND(N$4&lt;=Etapas!$E31,N$4+6&gt;=Etapas!$D31),IF(Etapas!$G31="Concluída",1,IF(Etapas!$G31="Atrasada",3,2)),""))</f>
        <v/>
      </c>
      <c r="O31" s="29">
        <f>IF(Etapas!$B31="","",IF(AND(O$4&lt;=Etapas!$E31,O$4+6&gt;=Etapas!$D31),IF(Etapas!$G31="Concluída",1,IF(Etapas!$G31="Atrasada",3,2)),""))</f>
        <v/>
      </c>
      <c r="P31" s="29">
        <f>IF(Etapas!$B31="","",IF(AND(P$4&lt;=Etapas!$E31,P$4+6&gt;=Etapas!$D31),IF(Etapas!$G31="Concluída",1,IF(Etapas!$G31="Atrasada",3,2)),""))</f>
        <v/>
      </c>
      <c r="Q31" s="29">
        <f>IF(Etapas!$B31="","",IF(AND(Q$4&lt;=Etapas!$E31,Q$4+6&gt;=Etapas!$D31),IF(Etapas!$G31="Concluída",1,IF(Etapas!$G31="Atrasada",3,2)),""))</f>
        <v/>
      </c>
      <c r="R31" s="29">
        <f>IF(Etapas!$B31="","",IF(AND(R$4&lt;=Etapas!$E31,R$4+6&gt;=Etapas!$D31),IF(Etapas!$G31="Concluída",1,IF(Etapas!$G31="Atrasada",3,2)),""))</f>
        <v/>
      </c>
    </row>
    <row r="32">
      <c r="A32" s="22">
        <f>IF(Etapas!B32="","",Etapas!A32)</f>
        <v/>
      </c>
      <c r="B32" s="22">
        <f>IF(Etapas!B32="","",Etapas!B32)</f>
        <v/>
      </c>
      <c r="C32" s="23">
        <f>IF(Etapas!B32="","",Etapas!C32)</f>
        <v/>
      </c>
      <c r="D32" s="24">
        <f>IF(Etapas!B32="","",Etapas!E32)</f>
        <v/>
      </c>
      <c r="E32" s="29">
        <f>IF(Etapas!$B32="","",IF(AND(E$4&lt;=Etapas!$E32,E$4+6&gt;=Etapas!$D32),IF(Etapas!$G32="Concluída",1,IF(Etapas!$G32="Atrasada",3,2)),""))</f>
        <v/>
      </c>
      <c r="F32" s="29">
        <f>IF(Etapas!$B32="","",IF(AND(F$4&lt;=Etapas!$E32,F$4+6&gt;=Etapas!$D32),IF(Etapas!$G32="Concluída",1,IF(Etapas!$G32="Atrasada",3,2)),""))</f>
        <v/>
      </c>
      <c r="G32" s="29">
        <f>IF(Etapas!$B32="","",IF(AND(G$4&lt;=Etapas!$E32,G$4+6&gt;=Etapas!$D32),IF(Etapas!$G32="Concluída",1,IF(Etapas!$G32="Atrasada",3,2)),""))</f>
        <v/>
      </c>
      <c r="H32" s="29">
        <f>IF(Etapas!$B32="","",IF(AND(H$4&lt;=Etapas!$E32,H$4+6&gt;=Etapas!$D32),IF(Etapas!$G32="Concluída",1,IF(Etapas!$G32="Atrasada",3,2)),""))</f>
        <v/>
      </c>
      <c r="I32" s="29">
        <f>IF(Etapas!$B32="","",IF(AND(I$4&lt;=Etapas!$E32,I$4+6&gt;=Etapas!$D32),IF(Etapas!$G32="Concluída",1,IF(Etapas!$G32="Atrasada",3,2)),""))</f>
        <v/>
      </c>
      <c r="J32" s="29">
        <f>IF(Etapas!$B32="","",IF(AND(J$4&lt;=Etapas!$E32,J$4+6&gt;=Etapas!$D32),IF(Etapas!$G32="Concluída",1,IF(Etapas!$G32="Atrasada",3,2)),""))</f>
        <v/>
      </c>
      <c r="K32" s="29">
        <f>IF(Etapas!$B32="","",IF(AND(K$4&lt;=Etapas!$E32,K$4+6&gt;=Etapas!$D32),IF(Etapas!$G32="Concluída",1,IF(Etapas!$G32="Atrasada",3,2)),""))</f>
        <v/>
      </c>
      <c r="L32" s="29">
        <f>IF(Etapas!$B32="","",IF(AND(L$4&lt;=Etapas!$E32,L$4+6&gt;=Etapas!$D32),IF(Etapas!$G32="Concluída",1,IF(Etapas!$G32="Atrasada",3,2)),""))</f>
        <v/>
      </c>
      <c r="M32" s="29">
        <f>IF(Etapas!$B32="","",IF(AND(M$4&lt;=Etapas!$E32,M$4+6&gt;=Etapas!$D32),IF(Etapas!$G32="Concluída",1,IF(Etapas!$G32="Atrasada",3,2)),""))</f>
        <v/>
      </c>
      <c r="N32" s="29">
        <f>IF(Etapas!$B32="","",IF(AND(N$4&lt;=Etapas!$E32,N$4+6&gt;=Etapas!$D32),IF(Etapas!$G32="Concluída",1,IF(Etapas!$G32="Atrasada",3,2)),""))</f>
        <v/>
      </c>
      <c r="O32" s="29">
        <f>IF(Etapas!$B32="","",IF(AND(O$4&lt;=Etapas!$E32,O$4+6&gt;=Etapas!$D32),IF(Etapas!$G32="Concluída",1,IF(Etapas!$G32="Atrasada",3,2)),""))</f>
        <v/>
      </c>
      <c r="P32" s="29">
        <f>IF(Etapas!$B32="","",IF(AND(P$4&lt;=Etapas!$E32,P$4+6&gt;=Etapas!$D32),IF(Etapas!$G32="Concluída",1,IF(Etapas!$G32="Atrasada",3,2)),""))</f>
        <v/>
      </c>
      <c r="Q32" s="29">
        <f>IF(Etapas!$B32="","",IF(AND(Q$4&lt;=Etapas!$E32,Q$4+6&gt;=Etapas!$D32),IF(Etapas!$G32="Concluída",1,IF(Etapas!$G32="Atrasada",3,2)),""))</f>
        <v/>
      </c>
      <c r="R32" s="29">
        <f>IF(Etapas!$B32="","",IF(AND(R$4&lt;=Etapas!$E32,R$4+6&gt;=Etapas!$D32),IF(Etapas!$G32="Concluída",1,IF(Etapas!$G32="Atrasada",3,2)),""))</f>
        <v/>
      </c>
    </row>
    <row r="33">
      <c r="A33" s="22">
        <f>IF(Etapas!B33="","",Etapas!A33)</f>
        <v/>
      </c>
      <c r="B33" s="22">
        <f>IF(Etapas!B33="","",Etapas!B33)</f>
        <v/>
      </c>
      <c r="C33" s="23">
        <f>IF(Etapas!B33="","",Etapas!C33)</f>
        <v/>
      </c>
      <c r="D33" s="24">
        <f>IF(Etapas!B33="","",Etapas!E33)</f>
        <v/>
      </c>
      <c r="E33" s="29">
        <f>IF(Etapas!$B33="","",IF(AND(E$4&lt;=Etapas!$E33,E$4+6&gt;=Etapas!$D33),IF(Etapas!$G33="Concluída",1,IF(Etapas!$G33="Atrasada",3,2)),""))</f>
        <v/>
      </c>
      <c r="F33" s="29">
        <f>IF(Etapas!$B33="","",IF(AND(F$4&lt;=Etapas!$E33,F$4+6&gt;=Etapas!$D33),IF(Etapas!$G33="Concluída",1,IF(Etapas!$G33="Atrasada",3,2)),""))</f>
        <v/>
      </c>
      <c r="G33" s="29">
        <f>IF(Etapas!$B33="","",IF(AND(G$4&lt;=Etapas!$E33,G$4+6&gt;=Etapas!$D33),IF(Etapas!$G33="Concluída",1,IF(Etapas!$G33="Atrasada",3,2)),""))</f>
        <v/>
      </c>
      <c r="H33" s="29">
        <f>IF(Etapas!$B33="","",IF(AND(H$4&lt;=Etapas!$E33,H$4+6&gt;=Etapas!$D33),IF(Etapas!$G33="Concluída",1,IF(Etapas!$G33="Atrasada",3,2)),""))</f>
        <v/>
      </c>
      <c r="I33" s="29">
        <f>IF(Etapas!$B33="","",IF(AND(I$4&lt;=Etapas!$E33,I$4+6&gt;=Etapas!$D33),IF(Etapas!$G33="Concluída",1,IF(Etapas!$G33="Atrasada",3,2)),""))</f>
        <v/>
      </c>
      <c r="J33" s="29">
        <f>IF(Etapas!$B33="","",IF(AND(J$4&lt;=Etapas!$E33,J$4+6&gt;=Etapas!$D33),IF(Etapas!$G33="Concluída",1,IF(Etapas!$G33="Atrasada",3,2)),""))</f>
        <v/>
      </c>
      <c r="K33" s="29">
        <f>IF(Etapas!$B33="","",IF(AND(K$4&lt;=Etapas!$E33,K$4+6&gt;=Etapas!$D33),IF(Etapas!$G33="Concluída",1,IF(Etapas!$G33="Atrasada",3,2)),""))</f>
        <v/>
      </c>
      <c r="L33" s="29">
        <f>IF(Etapas!$B33="","",IF(AND(L$4&lt;=Etapas!$E33,L$4+6&gt;=Etapas!$D33),IF(Etapas!$G33="Concluída",1,IF(Etapas!$G33="Atrasada",3,2)),""))</f>
        <v/>
      </c>
      <c r="M33" s="29">
        <f>IF(Etapas!$B33="","",IF(AND(M$4&lt;=Etapas!$E33,M$4+6&gt;=Etapas!$D33),IF(Etapas!$G33="Concluída",1,IF(Etapas!$G33="Atrasada",3,2)),""))</f>
        <v/>
      </c>
      <c r="N33" s="29">
        <f>IF(Etapas!$B33="","",IF(AND(N$4&lt;=Etapas!$E33,N$4+6&gt;=Etapas!$D33),IF(Etapas!$G33="Concluída",1,IF(Etapas!$G33="Atrasada",3,2)),""))</f>
        <v/>
      </c>
      <c r="O33" s="29">
        <f>IF(Etapas!$B33="","",IF(AND(O$4&lt;=Etapas!$E33,O$4+6&gt;=Etapas!$D33),IF(Etapas!$G33="Concluída",1,IF(Etapas!$G33="Atrasada",3,2)),""))</f>
        <v/>
      </c>
      <c r="P33" s="29">
        <f>IF(Etapas!$B33="","",IF(AND(P$4&lt;=Etapas!$E33,P$4+6&gt;=Etapas!$D33),IF(Etapas!$G33="Concluída",1,IF(Etapas!$G33="Atrasada",3,2)),""))</f>
        <v/>
      </c>
      <c r="Q33" s="29">
        <f>IF(Etapas!$B33="","",IF(AND(Q$4&lt;=Etapas!$E33,Q$4+6&gt;=Etapas!$D33),IF(Etapas!$G33="Concluída",1,IF(Etapas!$G33="Atrasada",3,2)),""))</f>
        <v/>
      </c>
      <c r="R33" s="29">
        <f>IF(Etapas!$B33="","",IF(AND(R$4&lt;=Etapas!$E33,R$4+6&gt;=Etapas!$D33),IF(Etapas!$G33="Concluída",1,IF(Etapas!$G33="Atrasada",3,2)),""))</f>
        <v/>
      </c>
    </row>
    <row r="34">
      <c r="A34" s="22">
        <f>IF(Etapas!B34="","",Etapas!A34)</f>
        <v/>
      </c>
      <c r="B34" s="22">
        <f>IF(Etapas!B34="","",Etapas!B34)</f>
        <v/>
      </c>
      <c r="C34" s="23">
        <f>IF(Etapas!B34="","",Etapas!C34)</f>
        <v/>
      </c>
      <c r="D34" s="24">
        <f>IF(Etapas!B34="","",Etapas!E34)</f>
        <v/>
      </c>
      <c r="E34" s="29">
        <f>IF(Etapas!$B34="","",IF(AND(E$4&lt;=Etapas!$E34,E$4+6&gt;=Etapas!$D34),IF(Etapas!$G34="Concluída",1,IF(Etapas!$G34="Atrasada",3,2)),""))</f>
        <v/>
      </c>
      <c r="F34" s="29">
        <f>IF(Etapas!$B34="","",IF(AND(F$4&lt;=Etapas!$E34,F$4+6&gt;=Etapas!$D34),IF(Etapas!$G34="Concluída",1,IF(Etapas!$G34="Atrasada",3,2)),""))</f>
        <v/>
      </c>
      <c r="G34" s="29">
        <f>IF(Etapas!$B34="","",IF(AND(G$4&lt;=Etapas!$E34,G$4+6&gt;=Etapas!$D34),IF(Etapas!$G34="Concluída",1,IF(Etapas!$G34="Atrasada",3,2)),""))</f>
        <v/>
      </c>
      <c r="H34" s="29">
        <f>IF(Etapas!$B34="","",IF(AND(H$4&lt;=Etapas!$E34,H$4+6&gt;=Etapas!$D34),IF(Etapas!$G34="Concluída",1,IF(Etapas!$G34="Atrasada",3,2)),""))</f>
        <v/>
      </c>
      <c r="I34" s="29">
        <f>IF(Etapas!$B34="","",IF(AND(I$4&lt;=Etapas!$E34,I$4+6&gt;=Etapas!$D34),IF(Etapas!$G34="Concluída",1,IF(Etapas!$G34="Atrasada",3,2)),""))</f>
        <v/>
      </c>
      <c r="J34" s="29">
        <f>IF(Etapas!$B34="","",IF(AND(J$4&lt;=Etapas!$E34,J$4+6&gt;=Etapas!$D34),IF(Etapas!$G34="Concluída",1,IF(Etapas!$G34="Atrasada",3,2)),""))</f>
        <v/>
      </c>
      <c r="K34" s="29">
        <f>IF(Etapas!$B34="","",IF(AND(K$4&lt;=Etapas!$E34,K$4+6&gt;=Etapas!$D34),IF(Etapas!$G34="Concluída",1,IF(Etapas!$G34="Atrasada",3,2)),""))</f>
        <v/>
      </c>
      <c r="L34" s="29">
        <f>IF(Etapas!$B34="","",IF(AND(L$4&lt;=Etapas!$E34,L$4+6&gt;=Etapas!$D34),IF(Etapas!$G34="Concluída",1,IF(Etapas!$G34="Atrasada",3,2)),""))</f>
        <v/>
      </c>
      <c r="M34" s="29">
        <f>IF(Etapas!$B34="","",IF(AND(M$4&lt;=Etapas!$E34,M$4+6&gt;=Etapas!$D34),IF(Etapas!$G34="Concluída",1,IF(Etapas!$G34="Atrasada",3,2)),""))</f>
        <v/>
      </c>
      <c r="N34" s="29">
        <f>IF(Etapas!$B34="","",IF(AND(N$4&lt;=Etapas!$E34,N$4+6&gt;=Etapas!$D34),IF(Etapas!$G34="Concluída",1,IF(Etapas!$G34="Atrasada",3,2)),""))</f>
        <v/>
      </c>
      <c r="O34" s="29">
        <f>IF(Etapas!$B34="","",IF(AND(O$4&lt;=Etapas!$E34,O$4+6&gt;=Etapas!$D34),IF(Etapas!$G34="Concluída",1,IF(Etapas!$G34="Atrasada",3,2)),""))</f>
        <v/>
      </c>
      <c r="P34" s="29">
        <f>IF(Etapas!$B34="","",IF(AND(P$4&lt;=Etapas!$E34,P$4+6&gt;=Etapas!$D34),IF(Etapas!$G34="Concluída",1,IF(Etapas!$G34="Atrasada",3,2)),""))</f>
        <v/>
      </c>
      <c r="Q34" s="29">
        <f>IF(Etapas!$B34="","",IF(AND(Q$4&lt;=Etapas!$E34,Q$4+6&gt;=Etapas!$D34),IF(Etapas!$G34="Concluída",1,IF(Etapas!$G34="Atrasada",3,2)),""))</f>
        <v/>
      </c>
      <c r="R34" s="29">
        <f>IF(Etapas!$B34="","",IF(AND(R$4&lt;=Etapas!$E34,R$4+6&gt;=Etapas!$D34),IF(Etapas!$G34="Concluída",1,IF(Etapas!$G34="Atrasada",3,2)),""))</f>
        <v/>
      </c>
    </row>
    <row r="35">
      <c r="A35" s="22">
        <f>IF(Etapas!B35="","",Etapas!A35)</f>
        <v/>
      </c>
      <c r="B35" s="22">
        <f>IF(Etapas!B35="","",Etapas!B35)</f>
        <v/>
      </c>
      <c r="C35" s="23">
        <f>IF(Etapas!B35="","",Etapas!C35)</f>
        <v/>
      </c>
      <c r="D35" s="24">
        <f>IF(Etapas!B35="","",Etapas!E35)</f>
        <v/>
      </c>
      <c r="E35" s="29">
        <f>IF(Etapas!$B35="","",IF(AND(E$4&lt;=Etapas!$E35,E$4+6&gt;=Etapas!$D35),IF(Etapas!$G35="Concluída",1,IF(Etapas!$G35="Atrasada",3,2)),""))</f>
        <v/>
      </c>
      <c r="F35" s="29">
        <f>IF(Etapas!$B35="","",IF(AND(F$4&lt;=Etapas!$E35,F$4+6&gt;=Etapas!$D35),IF(Etapas!$G35="Concluída",1,IF(Etapas!$G35="Atrasada",3,2)),""))</f>
        <v/>
      </c>
      <c r="G35" s="29">
        <f>IF(Etapas!$B35="","",IF(AND(G$4&lt;=Etapas!$E35,G$4+6&gt;=Etapas!$D35),IF(Etapas!$G35="Concluída",1,IF(Etapas!$G35="Atrasada",3,2)),""))</f>
        <v/>
      </c>
      <c r="H35" s="29">
        <f>IF(Etapas!$B35="","",IF(AND(H$4&lt;=Etapas!$E35,H$4+6&gt;=Etapas!$D35),IF(Etapas!$G35="Concluída",1,IF(Etapas!$G35="Atrasada",3,2)),""))</f>
        <v/>
      </c>
      <c r="I35" s="29">
        <f>IF(Etapas!$B35="","",IF(AND(I$4&lt;=Etapas!$E35,I$4+6&gt;=Etapas!$D35),IF(Etapas!$G35="Concluída",1,IF(Etapas!$G35="Atrasada",3,2)),""))</f>
        <v/>
      </c>
      <c r="J35" s="29">
        <f>IF(Etapas!$B35="","",IF(AND(J$4&lt;=Etapas!$E35,J$4+6&gt;=Etapas!$D35),IF(Etapas!$G35="Concluída",1,IF(Etapas!$G35="Atrasada",3,2)),""))</f>
        <v/>
      </c>
      <c r="K35" s="29">
        <f>IF(Etapas!$B35="","",IF(AND(K$4&lt;=Etapas!$E35,K$4+6&gt;=Etapas!$D35),IF(Etapas!$G35="Concluída",1,IF(Etapas!$G35="Atrasada",3,2)),""))</f>
        <v/>
      </c>
      <c r="L35" s="29">
        <f>IF(Etapas!$B35="","",IF(AND(L$4&lt;=Etapas!$E35,L$4+6&gt;=Etapas!$D35),IF(Etapas!$G35="Concluída",1,IF(Etapas!$G35="Atrasada",3,2)),""))</f>
        <v/>
      </c>
      <c r="M35" s="29">
        <f>IF(Etapas!$B35="","",IF(AND(M$4&lt;=Etapas!$E35,M$4+6&gt;=Etapas!$D35),IF(Etapas!$G35="Concluída",1,IF(Etapas!$G35="Atrasada",3,2)),""))</f>
        <v/>
      </c>
      <c r="N35" s="29">
        <f>IF(Etapas!$B35="","",IF(AND(N$4&lt;=Etapas!$E35,N$4+6&gt;=Etapas!$D35),IF(Etapas!$G35="Concluída",1,IF(Etapas!$G35="Atrasada",3,2)),""))</f>
        <v/>
      </c>
      <c r="O35" s="29">
        <f>IF(Etapas!$B35="","",IF(AND(O$4&lt;=Etapas!$E35,O$4+6&gt;=Etapas!$D35),IF(Etapas!$G35="Concluída",1,IF(Etapas!$G35="Atrasada",3,2)),""))</f>
        <v/>
      </c>
      <c r="P35" s="29">
        <f>IF(Etapas!$B35="","",IF(AND(P$4&lt;=Etapas!$E35,P$4+6&gt;=Etapas!$D35),IF(Etapas!$G35="Concluída",1,IF(Etapas!$G35="Atrasada",3,2)),""))</f>
        <v/>
      </c>
      <c r="Q35" s="29">
        <f>IF(Etapas!$B35="","",IF(AND(Q$4&lt;=Etapas!$E35,Q$4+6&gt;=Etapas!$D35),IF(Etapas!$G35="Concluída",1,IF(Etapas!$G35="Atrasada",3,2)),""))</f>
        <v/>
      </c>
      <c r="R35" s="29">
        <f>IF(Etapas!$B35="","",IF(AND(R$4&lt;=Etapas!$E35,R$4+6&gt;=Etapas!$D35),IF(Etapas!$G35="Concluída",1,IF(Etapas!$G35="Atrasada",3,2)),""))</f>
        <v/>
      </c>
    </row>
    <row r="36">
      <c r="A36" s="22">
        <f>IF(Etapas!B36="","",Etapas!A36)</f>
        <v/>
      </c>
      <c r="B36" s="22">
        <f>IF(Etapas!B36="","",Etapas!B36)</f>
        <v/>
      </c>
      <c r="C36" s="23">
        <f>IF(Etapas!B36="","",Etapas!C36)</f>
        <v/>
      </c>
      <c r="D36" s="24">
        <f>IF(Etapas!B36="","",Etapas!E36)</f>
        <v/>
      </c>
      <c r="E36" s="29">
        <f>IF(Etapas!$B36="","",IF(AND(E$4&lt;=Etapas!$E36,E$4+6&gt;=Etapas!$D36),IF(Etapas!$G36="Concluída",1,IF(Etapas!$G36="Atrasada",3,2)),""))</f>
        <v/>
      </c>
      <c r="F36" s="29">
        <f>IF(Etapas!$B36="","",IF(AND(F$4&lt;=Etapas!$E36,F$4+6&gt;=Etapas!$D36),IF(Etapas!$G36="Concluída",1,IF(Etapas!$G36="Atrasada",3,2)),""))</f>
        <v/>
      </c>
      <c r="G36" s="29">
        <f>IF(Etapas!$B36="","",IF(AND(G$4&lt;=Etapas!$E36,G$4+6&gt;=Etapas!$D36),IF(Etapas!$G36="Concluída",1,IF(Etapas!$G36="Atrasada",3,2)),""))</f>
        <v/>
      </c>
      <c r="H36" s="29">
        <f>IF(Etapas!$B36="","",IF(AND(H$4&lt;=Etapas!$E36,H$4+6&gt;=Etapas!$D36),IF(Etapas!$G36="Concluída",1,IF(Etapas!$G36="Atrasada",3,2)),""))</f>
        <v/>
      </c>
      <c r="I36" s="29">
        <f>IF(Etapas!$B36="","",IF(AND(I$4&lt;=Etapas!$E36,I$4+6&gt;=Etapas!$D36),IF(Etapas!$G36="Concluída",1,IF(Etapas!$G36="Atrasada",3,2)),""))</f>
        <v/>
      </c>
      <c r="J36" s="29">
        <f>IF(Etapas!$B36="","",IF(AND(J$4&lt;=Etapas!$E36,J$4+6&gt;=Etapas!$D36),IF(Etapas!$G36="Concluída",1,IF(Etapas!$G36="Atrasada",3,2)),""))</f>
        <v/>
      </c>
      <c r="K36" s="29">
        <f>IF(Etapas!$B36="","",IF(AND(K$4&lt;=Etapas!$E36,K$4+6&gt;=Etapas!$D36),IF(Etapas!$G36="Concluída",1,IF(Etapas!$G36="Atrasada",3,2)),""))</f>
        <v/>
      </c>
      <c r="L36" s="29">
        <f>IF(Etapas!$B36="","",IF(AND(L$4&lt;=Etapas!$E36,L$4+6&gt;=Etapas!$D36),IF(Etapas!$G36="Concluída",1,IF(Etapas!$G36="Atrasada",3,2)),""))</f>
        <v/>
      </c>
      <c r="M36" s="29">
        <f>IF(Etapas!$B36="","",IF(AND(M$4&lt;=Etapas!$E36,M$4+6&gt;=Etapas!$D36),IF(Etapas!$G36="Concluída",1,IF(Etapas!$G36="Atrasada",3,2)),""))</f>
        <v/>
      </c>
      <c r="N36" s="29">
        <f>IF(Etapas!$B36="","",IF(AND(N$4&lt;=Etapas!$E36,N$4+6&gt;=Etapas!$D36),IF(Etapas!$G36="Concluída",1,IF(Etapas!$G36="Atrasada",3,2)),""))</f>
        <v/>
      </c>
      <c r="O36" s="29">
        <f>IF(Etapas!$B36="","",IF(AND(O$4&lt;=Etapas!$E36,O$4+6&gt;=Etapas!$D36),IF(Etapas!$G36="Concluída",1,IF(Etapas!$G36="Atrasada",3,2)),""))</f>
        <v/>
      </c>
      <c r="P36" s="29">
        <f>IF(Etapas!$B36="","",IF(AND(P$4&lt;=Etapas!$E36,P$4+6&gt;=Etapas!$D36),IF(Etapas!$G36="Concluída",1,IF(Etapas!$G36="Atrasada",3,2)),""))</f>
        <v/>
      </c>
      <c r="Q36" s="29">
        <f>IF(Etapas!$B36="","",IF(AND(Q$4&lt;=Etapas!$E36,Q$4+6&gt;=Etapas!$D36),IF(Etapas!$G36="Concluída",1,IF(Etapas!$G36="Atrasada",3,2)),""))</f>
        <v/>
      </c>
      <c r="R36" s="29">
        <f>IF(Etapas!$B36="","",IF(AND(R$4&lt;=Etapas!$E36,R$4+6&gt;=Etapas!$D36),IF(Etapas!$G36="Concluída",1,IF(Etapas!$G36="Atrasada",3,2)),""))</f>
        <v/>
      </c>
    </row>
    <row r="37">
      <c r="A37" s="22">
        <f>IF(Etapas!B37="","",Etapas!A37)</f>
        <v/>
      </c>
      <c r="B37" s="22">
        <f>IF(Etapas!B37="","",Etapas!B37)</f>
        <v/>
      </c>
      <c r="C37" s="23">
        <f>IF(Etapas!B37="","",Etapas!C37)</f>
        <v/>
      </c>
      <c r="D37" s="24">
        <f>IF(Etapas!B37="","",Etapas!E37)</f>
        <v/>
      </c>
      <c r="E37" s="29">
        <f>IF(Etapas!$B37="","",IF(AND(E$4&lt;=Etapas!$E37,E$4+6&gt;=Etapas!$D37),IF(Etapas!$G37="Concluída",1,IF(Etapas!$G37="Atrasada",3,2)),""))</f>
        <v/>
      </c>
      <c r="F37" s="29">
        <f>IF(Etapas!$B37="","",IF(AND(F$4&lt;=Etapas!$E37,F$4+6&gt;=Etapas!$D37),IF(Etapas!$G37="Concluída",1,IF(Etapas!$G37="Atrasada",3,2)),""))</f>
        <v/>
      </c>
      <c r="G37" s="29">
        <f>IF(Etapas!$B37="","",IF(AND(G$4&lt;=Etapas!$E37,G$4+6&gt;=Etapas!$D37),IF(Etapas!$G37="Concluída",1,IF(Etapas!$G37="Atrasada",3,2)),""))</f>
        <v/>
      </c>
      <c r="H37" s="29">
        <f>IF(Etapas!$B37="","",IF(AND(H$4&lt;=Etapas!$E37,H$4+6&gt;=Etapas!$D37),IF(Etapas!$G37="Concluída",1,IF(Etapas!$G37="Atrasada",3,2)),""))</f>
        <v/>
      </c>
      <c r="I37" s="29">
        <f>IF(Etapas!$B37="","",IF(AND(I$4&lt;=Etapas!$E37,I$4+6&gt;=Etapas!$D37),IF(Etapas!$G37="Concluída",1,IF(Etapas!$G37="Atrasada",3,2)),""))</f>
        <v/>
      </c>
      <c r="J37" s="29">
        <f>IF(Etapas!$B37="","",IF(AND(J$4&lt;=Etapas!$E37,J$4+6&gt;=Etapas!$D37),IF(Etapas!$G37="Concluída",1,IF(Etapas!$G37="Atrasada",3,2)),""))</f>
        <v/>
      </c>
      <c r="K37" s="29">
        <f>IF(Etapas!$B37="","",IF(AND(K$4&lt;=Etapas!$E37,K$4+6&gt;=Etapas!$D37),IF(Etapas!$G37="Concluída",1,IF(Etapas!$G37="Atrasada",3,2)),""))</f>
        <v/>
      </c>
      <c r="L37" s="29">
        <f>IF(Etapas!$B37="","",IF(AND(L$4&lt;=Etapas!$E37,L$4+6&gt;=Etapas!$D37),IF(Etapas!$G37="Concluída",1,IF(Etapas!$G37="Atrasada",3,2)),""))</f>
        <v/>
      </c>
      <c r="M37" s="29">
        <f>IF(Etapas!$B37="","",IF(AND(M$4&lt;=Etapas!$E37,M$4+6&gt;=Etapas!$D37),IF(Etapas!$G37="Concluída",1,IF(Etapas!$G37="Atrasada",3,2)),""))</f>
        <v/>
      </c>
      <c r="N37" s="29">
        <f>IF(Etapas!$B37="","",IF(AND(N$4&lt;=Etapas!$E37,N$4+6&gt;=Etapas!$D37),IF(Etapas!$G37="Concluída",1,IF(Etapas!$G37="Atrasada",3,2)),""))</f>
        <v/>
      </c>
      <c r="O37" s="29">
        <f>IF(Etapas!$B37="","",IF(AND(O$4&lt;=Etapas!$E37,O$4+6&gt;=Etapas!$D37),IF(Etapas!$G37="Concluída",1,IF(Etapas!$G37="Atrasada",3,2)),""))</f>
        <v/>
      </c>
      <c r="P37" s="29">
        <f>IF(Etapas!$B37="","",IF(AND(P$4&lt;=Etapas!$E37,P$4+6&gt;=Etapas!$D37),IF(Etapas!$G37="Concluída",1,IF(Etapas!$G37="Atrasada",3,2)),""))</f>
        <v/>
      </c>
      <c r="Q37" s="29">
        <f>IF(Etapas!$B37="","",IF(AND(Q$4&lt;=Etapas!$E37,Q$4+6&gt;=Etapas!$D37),IF(Etapas!$G37="Concluída",1,IF(Etapas!$G37="Atrasada",3,2)),""))</f>
        <v/>
      </c>
      <c r="R37" s="29">
        <f>IF(Etapas!$B37="","",IF(AND(R$4&lt;=Etapas!$E37,R$4+6&gt;=Etapas!$D37),IF(Etapas!$G37="Concluída",1,IF(Etapas!$G37="Atrasada",3,2)),""))</f>
        <v/>
      </c>
    </row>
    <row r="38">
      <c r="A38" s="22">
        <f>IF(Etapas!B38="","",Etapas!A38)</f>
        <v/>
      </c>
      <c r="B38" s="22">
        <f>IF(Etapas!B38="","",Etapas!B38)</f>
        <v/>
      </c>
      <c r="C38" s="23">
        <f>IF(Etapas!B38="","",Etapas!C38)</f>
        <v/>
      </c>
      <c r="D38" s="24">
        <f>IF(Etapas!B38="","",Etapas!E38)</f>
        <v/>
      </c>
      <c r="E38" s="29">
        <f>IF(Etapas!$B38="","",IF(AND(E$4&lt;=Etapas!$E38,E$4+6&gt;=Etapas!$D38),IF(Etapas!$G38="Concluída",1,IF(Etapas!$G38="Atrasada",3,2)),""))</f>
        <v/>
      </c>
      <c r="F38" s="29">
        <f>IF(Etapas!$B38="","",IF(AND(F$4&lt;=Etapas!$E38,F$4+6&gt;=Etapas!$D38),IF(Etapas!$G38="Concluída",1,IF(Etapas!$G38="Atrasada",3,2)),""))</f>
        <v/>
      </c>
      <c r="G38" s="29">
        <f>IF(Etapas!$B38="","",IF(AND(G$4&lt;=Etapas!$E38,G$4+6&gt;=Etapas!$D38),IF(Etapas!$G38="Concluída",1,IF(Etapas!$G38="Atrasada",3,2)),""))</f>
        <v/>
      </c>
      <c r="H38" s="29">
        <f>IF(Etapas!$B38="","",IF(AND(H$4&lt;=Etapas!$E38,H$4+6&gt;=Etapas!$D38),IF(Etapas!$G38="Concluída",1,IF(Etapas!$G38="Atrasada",3,2)),""))</f>
        <v/>
      </c>
      <c r="I38" s="29">
        <f>IF(Etapas!$B38="","",IF(AND(I$4&lt;=Etapas!$E38,I$4+6&gt;=Etapas!$D38),IF(Etapas!$G38="Concluída",1,IF(Etapas!$G38="Atrasada",3,2)),""))</f>
        <v/>
      </c>
      <c r="J38" s="29">
        <f>IF(Etapas!$B38="","",IF(AND(J$4&lt;=Etapas!$E38,J$4+6&gt;=Etapas!$D38),IF(Etapas!$G38="Concluída",1,IF(Etapas!$G38="Atrasada",3,2)),""))</f>
        <v/>
      </c>
      <c r="K38" s="29">
        <f>IF(Etapas!$B38="","",IF(AND(K$4&lt;=Etapas!$E38,K$4+6&gt;=Etapas!$D38),IF(Etapas!$G38="Concluída",1,IF(Etapas!$G38="Atrasada",3,2)),""))</f>
        <v/>
      </c>
      <c r="L38" s="29">
        <f>IF(Etapas!$B38="","",IF(AND(L$4&lt;=Etapas!$E38,L$4+6&gt;=Etapas!$D38),IF(Etapas!$G38="Concluída",1,IF(Etapas!$G38="Atrasada",3,2)),""))</f>
        <v/>
      </c>
      <c r="M38" s="29">
        <f>IF(Etapas!$B38="","",IF(AND(M$4&lt;=Etapas!$E38,M$4+6&gt;=Etapas!$D38),IF(Etapas!$G38="Concluída",1,IF(Etapas!$G38="Atrasada",3,2)),""))</f>
        <v/>
      </c>
      <c r="N38" s="29">
        <f>IF(Etapas!$B38="","",IF(AND(N$4&lt;=Etapas!$E38,N$4+6&gt;=Etapas!$D38),IF(Etapas!$G38="Concluída",1,IF(Etapas!$G38="Atrasada",3,2)),""))</f>
        <v/>
      </c>
      <c r="O38" s="29">
        <f>IF(Etapas!$B38="","",IF(AND(O$4&lt;=Etapas!$E38,O$4+6&gt;=Etapas!$D38),IF(Etapas!$G38="Concluída",1,IF(Etapas!$G38="Atrasada",3,2)),""))</f>
        <v/>
      </c>
      <c r="P38" s="29">
        <f>IF(Etapas!$B38="","",IF(AND(P$4&lt;=Etapas!$E38,P$4+6&gt;=Etapas!$D38),IF(Etapas!$G38="Concluída",1,IF(Etapas!$G38="Atrasada",3,2)),""))</f>
        <v/>
      </c>
      <c r="Q38" s="29">
        <f>IF(Etapas!$B38="","",IF(AND(Q$4&lt;=Etapas!$E38,Q$4+6&gt;=Etapas!$D38),IF(Etapas!$G38="Concluída",1,IF(Etapas!$G38="Atrasada",3,2)),""))</f>
        <v/>
      </c>
      <c r="R38" s="29">
        <f>IF(Etapas!$B38="","",IF(AND(R$4&lt;=Etapas!$E38,R$4+6&gt;=Etapas!$D38),IF(Etapas!$G38="Concluída",1,IF(Etapas!$G38="Atrasada",3,2)),""))</f>
        <v/>
      </c>
    </row>
    <row r="39">
      <c r="A39" s="22">
        <f>IF(Etapas!B39="","",Etapas!A39)</f>
        <v/>
      </c>
      <c r="B39" s="22">
        <f>IF(Etapas!B39="","",Etapas!B39)</f>
        <v/>
      </c>
      <c r="C39" s="23">
        <f>IF(Etapas!B39="","",Etapas!C39)</f>
        <v/>
      </c>
      <c r="D39" s="24">
        <f>IF(Etapas!B39="","",Etapas!E39)</f>
        <v/>
      </c>
      <c r="E39" s="29">
        <f>IF(Etapas!$B39="","",IF(AND(E$4&lt;=Etapas!$E39,E$4+6&gt;=Etapas!$D39),IF(Etapas!$G39="Concluída",1,IF(Etapas!$G39="Atrasada",3,2)),""))</f>
        <v/>
      </c>
      <c r="F39" s="29">
        <f>IF(Etapas!$B39="","",IF(AND(F$4&lt;=Etapas!$E39,F$4+6&gt;=Etapas!$D39),IF(Etapas!$G39="Concluída",1,IF(Etapas!$G39="Atrasada",3,2)),""))</f>
        <v/>
      </c>
      <c r="G39" s="29">
        <f>IF(Etapas!$B39="","",IF(AND(G$4&lt;=Etapas!$E39,G$4+6&gt;=Etapas!$D39),IF(Etapas!$G39="Concluída",1,IF(Etapas!$G39="Atrasada",3,2)),""))</f>
        <v/>
      </c>
      <c r="H39" s="29">
        <f>IF(Etapas!$B39="","",IF(AND(H$4&lt;=Etapas!$E39,H$4+6&gt;=Etapas!$D39),IF(Etapas!$G39="Concluída",1,IF(Etapas!$G39="Atrasada",3,2)),""))</f>
        <v/>
      </c>
      <c r="I39" s="29">
        <f>IF(Etapas!$B39="","",IF(AND(I$4&lt;=Etapas!$E39,I$4+6&gt;=Etapas!$D39),IF(Etapas!$G39="Concluída",1,IF(Etapas!$G39="Atrasada",3,2)),""))</f>
        <v/>
      </c>
      <c r="J39" s="29">
        <f>IF(Etapas!$B39="","",IF(AND(J$4&lt;=Etapas!$E39,J$4+6&gt;=Etapas!$D39),IF(Etapas!$G39="Concluída",1,IF(Etapas!$G39="Atrasada",3,2)),""))</f>
        <v/>
      </c>
      <c r="K39" s="29">
        <f>IF(Etapas!$B39="","",IF(AND(K$4&lt;=Etapas!$E39,K$4+6&gt;=Etapas!$D39),IF(Etapas!$G39="Concluída",1,IF(Etapas!$G39="Atrasada",3,2)),""))</f>
        <v/>
      </c>
      <c r="L39" s="29">
        <f>IF(Etapas!$B39="","",IF(AND(L$4&lt;=Etapas!$E39,L$4+6&gt;=Etapas!$D39),IF(Etapas!$G39="Concluída",1,IF(Etapas!$G39="Atrasada",3,2)),""))</f>
        <v/>
      </c>
      <c r="M39" s="29">
        <f>IF(Etapas!$B39="","",IF(AND(M$4&lt;=Etapas!$E39,M$4+6&gt;=Etapas!$D39),IF(Etapas!$G39="Concluída",1,IF(Etapas!$G39="Atrasada",3,2)),""))</f>
        <v/>
      </c>
      <c r="N39" s="29">
        <f>IF(Etapas!$B39="","",IF(AND(N$4&lt;=Etapas!$E39,N$4+6&gt;=Etapas!$D39),IF(Etapas!$G39="Concluída",1,IF(Etapas!$G39="Atrasada",3,2)),""))</f>
        <v/>
      </c>
      <c r="O39" s="29">
        <f>IF(Etapas!$B39="","",IF(AND(O$4&lt;=Etapas!$E39,O$4+6&gt;=Etapas!$D39),IF(Etapas!$G39="Concluída",1,IF(Etapas!$G39="Atrasada",3,2)),""))</f>
        <v/>
      </c>
      <c r="P39" s="29">
        <f>IF(Etapas!$B39="","",IF(AND(P$4&lt;=Etapas!$E39,P$4+6&gt;=Etapas!$D39),IF(Etapas!$G39="Concluída",1,IF(Etapas!$G39="Atrasada",3,2)),""))</f>
        <v/>
      </c>
      <c r="Q39" s="29">
        <f>IF(Etapas!$B39="","",IF(AND(Q$4&lt;=Etapas!$E39,Q$4+6&gt;=Etapas!$D39),IF(Etapas!$G39="Concluída",1,IF(Etapas!$G39="Atrasada",3,2)),""))</f>
        <v/>
      </c>
      <c r="R39" s="29">
        <f>IF(Etapas!$B39="","",IF(AND(R$4&lt;=Etapas!$E39,R$4+6&gt;=Etapas!$D39),IF(Etapas!$G39="Concluída",1,IF(Etapas!$G39="Atrasada",3,2)),""))</f>
        <v/>
      </c>
    </row>
    <row r="40">
      <c r="A40" s="22">
        <f>IF(Etapas!B40="","",Etapas!A40)</f>
        <v/>
      </c>
      <c r="B40" s="22">
        <f>IF(Etapas!B40="","",Etapas!B40)</f>
        <v/>
      </c>
      <c r="C40" s="23">
        <f>IF(Etapas!B40="","",Etapas!C40)</f>
        <v/>
      </c>
      <c r="D40" s="24">
        <f>IF(Etapas!B40="","",Etapas!E40)</f>
        <v/>
      </c>
      <c r="E40" s="29">
        <f>IF(Etapas!$B40="","",IF(AND(E$4&lt;=Etapas!$E40,E$4+6&gt;=Etapas!$D40),IF(Etapas!$G40="Concluída",1,IF(Etapas!$G40="Atrasada",3,2)),""))</f>
        <v/>
      </c>
      <c r="F40" s="29">
        <f>IF(Etapas!$B40="","",IF(AND(F$4&lt;=Etapas!$E40,F$4+6&gt;=Etapas!$D40),IF(Etapas!$G40="Concluída",1,IF(Etapas!$G40="Atrasada",3,2)),""))</f>
        <v/>
      </c>
      <c r="G40" s="29">
        <f>IF(Etapas!$B40="","",IF(AND(G$4&lt;=Etapas!$E40,G$4+6&gt;=Etapas!$D40),IF(Etapas!$G40="Concluída",1,IF(Etapas!$G40="Atrasada",3,2)),""))</f>
        <v/>
      </c>
      <c r="H40" s="29">
        <f>IF(Etapas!$B40="","",IF(AND(H$4&lt;=Etapas!$E40,H$4+6&gt;=Etapas!$D40),IF(Etapas!$G40="Concluída",1,IF(Etapas!$G40="Atrasada",3,2)),""))</f>
        <v/>
      </c>
      <c r="I40" s="29">
        <f>IF(Etapas!$B40="","",IF(AND(I$4&lt;=Etapas!$E40,I$4+6&gt;=Etapas!$D40),IF(Etapas!$G40="Concluída",1,IF(Etapas!$G40="Atrasada",3,2)),""))</f>
        <v/>
      </c>
      <c r="J40" s="29">
        <f>IF(Etapas!$B40="","",IF(AND(J$4&lt;=Etapas!$E40,J$4+6&gt;=Etapas!$D40),IF(Etapas!$G40="Concluída",1,IF(Etapas!$G40="Atrasada",3,2)),""))</f>
        <v/>
      </c>
      <c r="K40" s="29">
        <f>IF(Etapas!$B40="","",IF(AND(K$4&lt;=Etapas!$E40,K$4+6&gt;=Etapas!$D40),IF(Etapas!$G40="Concluída",1,IF(Etapas!$G40="Atrasada",3,2)),""))</f>
        <v/>
      </c>
      <c r="L40" s="29">
        <f>IF(Etapas!$B40="","",IF(AND(L$4&lt;=Etapas!$E40,L$4+6&gt;=Etapas!$D40),IF(Etapas!$G40="Concluída",1,IF(Etapas!$G40="Atrasada",3,2)),""))</f>
        <v/>
      </c>
      <c r="M40" s="29">
        <f>IF(Etapas!$B40="","",IF(AND(M$4&lt;=Etapas!$E40,M$4+6&gt;=Etapas!$D40),IF(Etapas!$G40="Concluída",1,IF(Etapas!$G40="Atrasada",3,2)),""))</f>
        <v/>
      </c>
      <c r="N40" s="29">
        <f>IF(Etapas!$B40="","",IF(AND(N$4&lt;=Etapas!$E40,N$4+6&gt;=Etapas!$D40),IF(Etapas!$G40="Concluída",1,IF(Etapas!$G40="Atrasada",3,2)),""))</f>
        <v/>
      </c>
      <c r="O40" s="29">
        <f>IF(Etapas!$B40="","",IF(AND(O$4&lt;=Etapas!$E40,O$4+6&gt;=Etapas!$D40),IF(Etapas!$G40="Concluída",1,IF(Etapas!$G40="Atrasada",3,2)),""))</f>
        <v/>
      </c>
      <c r="P40" s="29">
        <f>IF(Etapas!$B40="","",IF(AND(P$4&lt;=Etapas!$E40,P$4+6&gt;=Etapas!$D40),IF(Etapas!$G40="Concluída",1,IF(Etapas!$G40="Atrasada",3,2)),""))</f>
        <v/>
      </c>
      <c r="Q40" s="29">
        <f>IF(Etapas!$B40="","",IF(AND(Q$4&lt;=Etapas!$E40,Q$4+6&gt;=Etapas!$D40),IF(Etapas!$G40="Concluída",1,IF(Etapas!$G40="Atrasada",3,2)),""))</f>
        <v/>
      </c>
      <c r="R40" s="29">
        <f>IF(Etapas!$B40="","",IF(AND(R$4&lt;=Etapas!$E40,R$4+6&gt;=Etapas!$D40),IF(Etapas!$G40="Concluída",1,IF(Etapas!$G40="Atrasada",3,2)),""))</f>
        <v/>
      </c>
    </row>
    <row r="41">
      <c r="A41" s="22">
        <f>IF(Etapas!B41="","",Etapas!A41)</f>
        <v/>
      </c>
      <c r="B41" s="22">
        <f>IF(Etapas!B41="","",Etapas!B41)</f>
        <v/>
      </c>
      <c r="C41" s="23">
        <f>IF(Etapas!B41="","",Etapas!C41)</f>
        <v/>
      </c>
      <c r="D41" s="24">
        <f>IF(Etapas!B41="","",Etapas!E41)</f>
        <v/>
      </c>
      <c r="E41" s="29">
        <f>IF(Etapas!$B41="","",IF(AND(E$4&lt;=Etapas!$E41,E$4+6&gt;=Etapas!$D41),IF(Etapas!$G41="Concluída",1,IF(Etapas!$G41="Atrasada",3,2)),""))</f>
        <v/>
      </c>
      <c r="F41" s="29">
        <f>IF(Etapas!$B41="","",IF(AND(F$4&lt;=Etapas!$E41,F$4+6&gt;=Etapas!$D41),IF(Etapas!$G41="Concluída",1,IF(Etapas!$G41="Atrasada",3,2)),""))</f>
        <v/>
      </c>
      <c r="G41" s="29">
        <f>IF(Etapas!$B41="","",IF(AND(G$4&lt;=Etapas!$E41,G$4+6&gt;=Etapas!$D41),IF(Etapas!$G41="Concluída",1,IF(Etapas!$G41="Atrasada",3,2)),""))</f>
        <v/>
      </c>
      <c r="H41" s="29">
        <f>IF(Etapas!$B41="","",IF(AND(H$4&lt;=Etapas!$E41,H$4+6&gt;=Etapas!$D41),IF(Etapas!$G41="Concluída",1,IF(Etapas!$G41="Atrasada",3,2)),""))</f>
        <v/>
      </c>
      <c r="I41" s="29">
        <f>IF(Etapas!$B41="","",IF(AND(I$4&lt;=Etapas!$E41,I$4+6&gt;=Etapas!$D41),IF(Etapas!$G41="Concluída",1,IF(Etapas!$G41="Atrasada",3,2)),""))</f>
        <v/>
      </c>
      <c r="J41" s="29">
        <f>IF(Etapas!$B41="","",IF(AND(J$4&lt;=Etapas!$E41,J$4+6&gt;=Etapas!$D41),IF(Etapas!$G41="Concluída",1,IF(Etapas!$G41="Atrasada",3,2)),""))</f>
        <v/>
      </c>
      <c r="K41" s="29">
        <f>IF(Etapas!$B41="","",IF(AND(K$4&lt;=Etapas!$E41,K$4+6&gt;=Etapas!$D41),IF(Etapas!$G41="Concluída",1,IF(Etapas!$G41="Atrasada",3,2)),""))</f>
        <v/>
      </c>
      <c r="L41" s="29">
        <f>IF(Etapas!$B41="","",IF(AND(L$4&lt;=Etapas!$E41,L$4+6&gt;=Etapas!$D41),IF(Etapas!$G41="Concluída",1,IF(Etapas!$G41="Atrasada",3,2)),""))</f>
        <v/>
      </c>
      <c r="M41" s="29">
        <f>IF(Etapas!$B41="","",IF(AND(M$4&lt;=Etapas!$E41,M$4+6&gt;=Etapas!$D41),IF(Etapas!$G41="Concluída",1,IF(Etapas!$G41="Atrasada",3,2)),""))</f>
        <v/>
      </c>
      <c r="N41" s="29">
        <f>IF(Etapas!$B41="","",IF(AND(N$4&lt;=Etapas!$E41,N$4+6&gt;=Etapas!$D41),IF(Etapas!$G41="Concluída",1,IF(Etapas!$G41="Atrasada",3,2)),""))</f>
        <v/>
      </c>
      <c r="O41" s="29">
        <f>IF(Etapas!$B41="","",IF(AND(O$4&lt;=Etapas!$E41,O$4+6&gt;=Etapas!$D41),IF(Etapas!$G41="Concluída",1,IF(Etapas!$G41="Atrasada",3,2)),""))</f>
        <v/>
      </c>
      <c r="P41" s="29">
        <f>IF(Etapas!$B41="","",IF(AND(P$4&lt;=Etapas!$E41,P$4+6&gt;=Etapas!$D41),IF(Etapas!$G41="Concluída",1,IF(Etapas!$G41="Atrasada",3,2)),""))</f>
        <v/>
      </c>
      <c r="Q41" s="29">
        <f>IF(Etapas!$B41="","",IF(AND(Q$4&lt;=Etapas!$E41,Q$4+6&gt;=Etapas!$D41),IF(Etapas!$G41="Concluída",1,IF(Etapas!$G41="Atrasada",3,2)),""))</f>
        <v/>
      </c>
      <c r="R41" s="29">
        <f>IF(Etapas!$B41="","",IF(AND(R$4&lt;=Etapas!$E41,R$4+6&gt;=Etapas!$D41),IF(Etapas!$G41="Concluída",1,IF(Etapas!$G41="Atrasada",3,2)),""))</f>
        <v/>
      </c>
    </row>
    <row r="42">
      <c r="A42" s="22">
        <f>IF(Etapas!B42="","",Etapas!A42)</f>
        <v/>
      </c>
      <c r="B42" s="22">
        <f>IF(Etapas!B42="","",Etapas!B42)</f>
        <v/>
      </c>
      <c r="C42" s="23">
        <f>IF(Etapas!B42="","",Etapas!C42)</f>
        <v/>
      </c>
      <c r="D42" s="24">
        <f>IF(Etapas!B42="","",Etapas!E42)</f>
        <v/>
      </c>
      <c r="E42" s="29">
        <f>IF(Etapas!$B42="","",IF(AND(E$4&lt;=Etapas!$E42,E$4+6&gt;=Etapas!$D42),IF(Etapas!$G42="Concluída",1,IF(Etapas!$G42="Atrasada",3,2)),""))</f>
        <v/>
      </c>
      <c r="F42" s="29">
        <f>IF(Etapas!$B42="","",IF(AND(F$4&lt;=Etapas!$E42,F$4+6&gt;=Etapas!$D42),IF(Etapas!$G42="Concluída",1,IF(Etapas!$G42="Atrasada",3,2)),""))</f>
        <v/>
      </c>
      <c r="G42" s="29">
        <f>IF(Etapas!$B42="","",IF(AND(G$4&lt;=Etapas!$E42,G$4+6&gt;=Etapas!$D42),IF(Etapas!$G42="Concluída",1,IF(Etapas!$G42="Atrasada",3,2)),""))</f>
        <v/>
      </c>
      <c r="H42" s="29">
        <f>IF(Etapas!$B42="","",IF(AND(H$4&lt;=Etapas!$E42,H$4+6&gt;=Etapas!$D42),IF(Etapas!$G42="Concluída",1,IF(Etapas!$G42="Atrasada",3,2)),""))</f>
        <v/>
      </c>
      <c r="I42" s="29">
        <f>IF(Etapas!$B42="","",IF(AND(I$4&lt;=Etapas!$E42,I$4+6&gt;=Etapas!$D42),IF(Etapas!$G42="Concluída",1,IF(Etapas!$G42="Atrasada",3,2)),""))</f>
        <v/>
      </c>
      <c r="J42" s="29">
        <f>IF(Etapas!$B42="","",IF(AND(J$4&lt;=Etapas!$E42,J$4+6&gt;=Etapas!$D42),IF(Etapas!$G42="Concluída",1,IF(Etapas!$G42="Atrasada",3,2)),""))</f>
        <v/>
      </c>
      <c r="K42" s="29">
        <f>IF(Etapas!$B42="","",IF(AND(K$4&lt;=Etapas!$E42,K$4+6&gt;=Etapas!$D42),IF(Etapas!$G42="Concluída",1,IF(Etapas!$G42="Atrasada",3,2)),""))</f>
        <v/>
      </c>
      <c r="L42" s="29">
        <f>IF(Etapas!$B42="","",IF(AND(L$4&lt;=Etapas!$E42,L$4+6&gt;=Etapas!$D42),IF(Etapas!$G42="Concluída",1,IF(Etapas!$G42="Atrasada",3,2)),""))</f>
        <v/>
      </c>
      <c r="M42" s="29">
        <f>IF(Etapas!$B42="","",IF(AND(M$4&lt;=Etapas!$E42,M$4+6&gt;=Etapas!$D42),IF(Etapas!$G42="Concluída",1,IF(Etapas!$G42="Atrasada",3,2)),""))</f>
        <v/>
      </c>
      <c r="N42" s="29">
        <f>IF(Etapas!$B42="","",IF(AND(N$4&lt;=Etapas!$E42,N$4+6&gt;=Etapas!$D42),IF(Etapas!$G42="Concluída",1,IF(Etapas!$G42="Atrasada",3,2)),""))</f>
        <v/>
      </c>
      <c r="O42" s="29">
        <f>IF(Etapas!$B42="","",IF(AND(O$4&lt;=Etapas!$E42,O$4+6&gt;=Etapas!$D42),IF(Etapas!$G42="Concluída",1,IF(Etapas!$G42="Atrasada",3,2)),""))</f>
        <v/>
      </c>
      <c r="P42" s="29">
        <f>IF(Etapas!$B42="","",IF(AND(P$4&lt;=Etapas!$E42,P$4+6&gt;=Etapas!$D42),IF(Etapas!$G42="Concluída",1,IF(Etapas!$G42="Atrasada",3,2)),""))</f>
        <v/>
      </c>
      <c r="Q42" s="29">
        <f>IF(Etapas!$B42="","",IF(AND(Q$4&lt;=Etapas!$E42,Q$4+6&gt;=Etapas!$D42),IF(Etapas!$G42="Concluída",1,IF(Etapas!$G42="Atrasada",3,2)),""))</f>
        <v/>
      </c>
      <c r="R42" s="29">
        <f>IF(Etapas!$B42="","",IF(AND(R$4&lt;=Etapas!$E42,R$4+6&gt;=Etapas!$D42),IF(Etapas!$G42="Concluída",1,IF(Etapas!$G42="Atrasada",3,2)),""))</f>
        <v/>
      </c>
    </row>
    <row r="43">
      <c r="A43" s="22">
        <f>IF(Etapas!B43="","",Etapas!A43)</f>
        <v/>
      </c>
      <c r="B43" s="22">
        <f>IF(Etapas!B43="","",Etapas!B43)</f>
        <v/>
      </c>
      <c r="C43" s="23">
        <f>IF(Etapas!B43="","",Etapas!C43)</f>
        <v/>
      </c>
      <c r="D43" s="24">
        <f>IF(Etapas!B43="","",Etapas!E43)</f>
        <v/>
      </c>
      <c r="E43" s="29">
        <f>IF(Etapas!$B43="","",IF(AND(E$4&lt;=Etapas!$E43,E$4+6&gt;=Etapas!$D43),IF(Etapas!$G43="Concluída",1,IF(Etapas!$G43="Atrasada",3,2)),""))</f>
        <v/>
      </c>
      <c r="F43" s="29">
        <f>IF(Etapas!$B43="","",IF(AND(F$4&lt;=Etapas!$E43,F$4+6&gt;=Etapas!$D43),IF(Etapas!$G43="Concluída",1,IF(Etapas!$G43="Atrasada",3,2)),""))</f>
        <v/>
      </c>
      <c r="G43" s="29">
        <f>IF(Etapas!$B43="","",IF(AND(G$4&lt;=Etapas!$E43,G$4+6&gt;=Etapas!$D43),IF(Etapas!$G43="Concluída",1,IF(Etapas!$G43="Atrasada",3,2)),""))</f>
        <v/>
      </c>
      <c r="H43" s="29">
        <f>IF(Etapas!$B43="","",IF(AND(H$4&lt;=Etapas!$E43,H$4+6&gt;=Etapas!$D43),IF(Etapas!$G43="Concluída",1,IF(Etapas!$G43="Atrasada",3,2)),""))</f>
        <v/>
      </c>
      <c r="I43" s="29">
        <f>IF(Etapas!$B43="","",IF(AND(I$4&lt;=Etapas!$E43,I$4+6&gt;=Etapas!$D43),IF(Etapas!$G43="Concluída",1,IF(Etapas!$G43="Atrasada",3,2)),""))</f>
        <v/>
      </c>
      <c r="J43" s="29">
        <f>IF(Etapas!$B43="","",IF(AND(J$4&lt;=Etapas!$E43,J$4+6&gt;=Etapas!$D43),IF(Etapas!$G43="Concluída",1,IF(Etapas!$G43="Atrasada",3,2)),""))</f>
        <v/>
      </c>
      <c r="K43" s="29">
        <f>IF(Etapas!$B43="","",IF(AND(K$4&lt;=Etapas!$E43,K$4+6&gt;=Etapas!$D43),IF(Etapas!$G43="Concluída",1,IF(Etapas!$G43="Atrasada",3,2)),""))</f>
        <v/>
      </c>
      <c r="L43" s="29">
        <f>IF(Etapas!$B43="","",IF(AND(L$4&lt;=Etapas!$E43,L$4+6&gt;=Etapas!$D43),IF(Etapas!$G43="Concluída",1,IF(Etapas!$G43="Atrasada",3,2)),""))</f>
        <v/>
      </c>
      <c r="M43" s="29">
        <f>IF(Etapas!$B43="","",IF(AND(M$4&lt;=Etapas!$E43,M$4+6&gt;=Etapas!$D43),IF(Etapas!$G43="Concluída",1,IF(Etapas!$G43="Atrasada",3,2)),""))</f>
        <v/>
      </c>
      <c r="N43" s="29">
        <f>IF(Etapas!$B43="","",IF(AND(N$4&lt;=Etapas!$E43,N$4+6&gt;=Etapas!$D43),IF(Etapas!$G43="Concluída",1,IF(Etapas!$G43="Atrasada",3,2)),""))</f>
        <v/>
      </c>
      <c r="O43" s="29">
        <f>IF(Etapas!$B43="","",IF(AND(O$4&lt;=Etapas!$E43,O$4+6&gt;=Etapas!$D43),IF(Etapas!$G43="Concluída",1,IF(Etapas!$G43="Atrasada",3,2)),""))</f>
        <v/>
      </c>
      <c r="P43" s="29">
        <f>IF(Etapas!$B43="","",IF(AND(P$4&lt;=Etapas!$E43,P$4+6&gt;=Etapas!$D43),IF(Etapas!$G43="Concluída",1,IF(Etapas!$G43="Atrasada",3,2)),""))</f>
        <v/>
      </c>
      <c r="Q43" s="29">
        <f>IF(Etapas!$B43="","",IF(AND(Q$4&lt;=Etapas!$E43,Q$4+6&gt;=Etapas!$D43),IF(Etapas!$G43="Concluída",1,IF(Etapas!$G43="Atrasada",3,2)),""))</f>
        <v/>
      </c>
      <c r="R43" s="29">
        <f>IF(Etapas!$B43="","",IF(AND(R$4&lt;=Etapas!$E43,R$4+6&gt;=Etapas!$D43),IF(Etapas!$G43="Concluída",1,IF(Etapas!$G43="Atrasada",3,2)),""))</f>
        <v/>
      </c>
    </row>
    <row r="44">
      <c r="A44" s="22">
        <f>IF(Etapas!B44="","",Etapas!A44)</f>
        <v/>
      </c>
      <c r="B44" s="22">
        <f>IF(Etapas!B44="","",Etapas!B44)</f>
        <v/>
      </c>
      <c r="C44" s="23">
        <f>IF(Etapas!B44="","",Etapas!C44)</f>
        <v/>
      </c>
      <c r="D44" s="24">
        <f>IF(Etapas!B44="","",Etapas!E44)</f>
        <v/>
      </c>
      <c r="E44" s="29">
        <f>IF(Etapas!$B44="","",IF(AND(E$4&lt;=Etapas!$E44,E$4+6&gt;=Etapas!$D44),IF(Etapas!$G44="Concluída",1,IF(Etapas!$G44="Atrasada",3,2)),""))</f>
        <v/>
      </c>
      <c r="F44" s="29">
        <f>IF(Etapas!$B44="","",IF(AND(F$4&lt;=Etapas!$E44,F$4+6&gt;=Etapas!$D44),IF(Etapas!$G44="Concluída",1,IF(Etapas!$G44="Atrasada",3,2)),""))</f>
        <v/>
      </c>
      <c r="G44" s="29">
        <f>IF(Etapas!$B44="","",IF(AND(G$4&lt;=Etapas!$E44,G$4+6&gt;=Etapas!$D44),IF(Etapas!$G44="Concluída",1,IF(Etapas!$G44="Atrasada",3,2)),""))</f>
        <v/>
      </c>
      <c r="H44" s="29">
        <f>IF(Etapas!$B44="","",IF(AND(H$4&lt;=Etapas!$E44,H$4+6&gt;=Etapas!$D44),IF(Etapas!$G44="Concluída",1,IF(Etapas!$G44="Atrasada",3,2)),""))</f>
        <v/>
      </c>
      <c r="I44" s="29">
        <f>IF(Etapas!$B44="","",IF(AND(I$4&lt;=Etapas!$E44,I$4+6&gt;=Etapas!$D44),IF(Etapas!$G44="Concluída",1,IF(Etapas!$G44="Atrasada",3,2)),""))</f>
        <v/>
      </c>
      <c r="J44" s="29">
        <f>IF(Etapas!$B44="","",IF(AND(J$4&lt;=Etapas!$E44,J$4+6&gt;=Etapas!$D44),IF(Etapas!$G44="Concluída",1,IF(Etapas!$G44="Atrasada",3,2)),""))</f>
        <v/>
      </c>
      <c r="K44" s="29">
        <f>IF(Etapas!$B44="","",IF(AND(K$4&lt;=Etapas!$E44,K$4+6&gt;=Etapas!$D44),IF(Etapas!$G44="Concluída",1,IF(Etapas!$G44="Atrasada",3,2)),""))</f>
        <v/>
      </c>
      <c r="L44" s="29">
        <f>IF(Etapas!$B44="","",IF(AND(L$4&lt;=Etapas!$E44,L$4+6&gt;=Etapas!$D44),IF(Etapas!$G44="Concluída",1,IF(Etapas!$G44="Atrasada",3,2)),""))</f>
        <v/>
      </c>
      <c r="M44" s="29">
        <f>IF(Etapas!$B44="","",IF(AND(M$4&lt;=Etapas!$E44,M$4+6&gt;=Etapas!$D44),IF(Etapas!$G44="Concluída",1,IF(Etapas!$G44="Atrasada",3,2)),""))</f>
        <v/>
      </c>
      <c r="N44" s="29">
        <f>IF(Etapas!$B44="","",IF(AND(N$4&lt;=Etapas!$E44,N$4+6&gt;=Etapas!$D44),IF(Etapas!$G44="Concluída",1,IF(Etapas!$G44="Atrasada",3,2)),""))</f>
        <v/>
      </c>
      <c r="O44" s="29">
        <f>IF(Etapas!$B44="","",IF(AND(O$4&lt;=Etapas!$E44,O$4+6&gt;=Etapas!$D44),IF(Etapas!$G44="Concluída",1,IF(Etapas!$G44="Atrasada",3,2)),""))</f>
        <v/>
      </c>
      <c r="P44" s="29">
        <f>IF(Etapas!$B44="","",IF(AND(P$4&lt;=Etapas!$E44,P$4+6&gt;=Etapas!$D44),IF(Etapas!$G44="Concluída",1,IF(Etapas!$G44="Atrasada",3,2)),""))</f>
        <v/>
      </c>
      <c r="Q44" s="29">
        <f>IF(Etapas!$B44="","",IF(AND(Q$4&lt;=Etapas!$E44,Q$4+6&gt;=Etapas!$D44),IF(Etapas!$G44="Concluída",1,IF(Etapas!$G44="Atrasada",3,2)),""))</f>
        <v/>
      </c>
      <c r="R44" s="29">
        <f>IF(Etapas!$B44="","",IF(AND(R$4&lt;=Etapas!$E44,R$4+6&gt;=Etapas!$D44),IF(Etapas!$G44="Concluída",1,IF(Etapas!$G44="Atrasada",3,2)),""))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R2"/>
  </mergeCells>
  <conditionalFormatting sqref="E5:R44">
    <cfRule type="expression" priority="1" dxfId="4">
      <formula>E5=1</formula>
    </cfRule>
    <cfRule type="expression" priority="2" dxfId="5">
      <formula>E5=2</formula>
    </cfRule>
    <cfRule type="expression" priority="3" dxfId="6">
      <formula>E5=3</formula>
    </cfRule>
  </conditionalFormatting>
  <conditionalFormatting sqref="E4:R4">
    <cfRule type="expression" priority="4" dxfId="7">
      <formula>AND(E$4&lt;=INDIRECT("Config!$B$5"),E$4+6&gt;=INDIRECT("Config!$B$5"))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12" customWidth="1" min="4" max="4"/>
    <col width="12" customWidth="1" min="5" max="5"/>
    <col width="14" customWidth="1" min="6" max="6"/>
    <col width="3" customWidth="1" min="7" max="7"/>
    <col width="3" customWidth="1" min="8" max="8"/>
  </cols>
  <sheetData>
    <row r="1">
      <c r="A1" s="5" t="inlineStr">
        <is>
          <t>Configurações</t>
        </is>
      </c>
    </row>
    <row r="2">
      <c r="A2" s="30" t="inlineStr">
        <is>
          <t>Células amarelas: você preenche. Os projetos cadastrados aqui aparecem nas listas da aba Etapas.</t>
        </is>
      </c>
    </row>
    <row r="4">
      <c r="A4" s="27" t="inlineStr">
        <is>
          <t>Equipe ou empresa</t>
        </is>
      </c>
      <c r="B4" s="31" t="inlineStr">
        <is>
          <t>Prisma Comunicação (exemplo fictício)</t>
        </is>
      </c>
    </row>
    <row r="5">
      <c r="A5" s="27" t="inlineStr">
        <is>
          <t>Data de referência (hoje)</t>
        </is>
      </c>
      <c r="B5" s="32" t="n">
        <v>46279</v>
      </c>
      <c r="C5" s="6" t="inlineStr">
        <is>
          <t>O exemplo está congelado em 14/09/2026, para os arquivos do kit mostrarem a mesma foto. Ao usar com os seus dados, troque por =HOJE().</t>
        </is>
      </c>
    </row>
    <row r="6">
      <c r="A6" s="27" t="inlineStr">
        <is>
          <t>Avisar entregas nos próximos (dias)</t>
        </is>
      </c>
      <c r="B6" s="31" t="n">
        <v>7</v>
      </c>
    </row>
    <row r="8">
      <c r="A8" s="27" t="inlineStr">
        <is>
          <t>Projetos (até 10)</t>
        </is>
      </c>
    </row>
    <row r="9" ht="26" customHeight="1">
      <c r="A9" s="21" t="inlineStr">
        <is>
          <t>Projeto</t>
        </is>
      </c>
      <c r="B9" s="21" t="inlineStr">
        <is>
          <t>Cliente ou área</t>
        </is>
      </c>
      <c r="C9" s="21" t="inlineStr">
        <is>
          <t>Responsável</t>
        </is>
      </c>
      <c r="D9" s="21" t="inlineStr">
        <is>
          <t>Início</t>
        </is>
      </c>
      <c r="E9" s="21" t="inlineStr">
        <is>
          <t>Prazo final</t>
        </is>
      </c>
      <c r="F9" s="21" t="inlineStr">
        <is>
          <t>Situação</t>
        </is>
      </c>
    </row>
    <row r="10">
      <c r="A10" s="31" t="inlineStr">
        <is>
          <t>Site novo · Loja Verde</t>
        </is>
      </c>
      <c r="B10" s="31" t="inlineStr">
        <is>
          <t>Loja Verde</t>
        </is>
      </c>
      <c r="C10" s="31" t="inlineStr">
        <is>
          <t>Ana</t>
        </is>
      </c>
      <c r="D10" s="32" t="n">
        <v>46244</v>
      </c>
      <c r="E10" s="32" t="n">
        <v>46304</v>
      </c>
      <c r="F10" s="23" t="str">
        <f>IF(A10="","",IF(COUNTIFS(Etapas!$A$5:$A$304,A10)=0,"Sem etapas",IF(COUNTIFS(Etapas!$A$5:$A$304,A10,Etapas!$G$5:$G$304,"Atrasada")&gt;0,"Com atraso",IF(COUNTIFS(Etapas!$A$5:$A$304,A10,Etapas!$G$5:$G$304,"Concluída")=COUNTIFS(Etapas!$A$5:$A$304,A10),"Concluído","No prazo"))))</f>
        <v>Com atraso</v>
      </c>
    </row>
    <row r="11">
      <c r="A11" s="31" t="inlineStr">
        <is>
          <t>Campanha de fim de ano · Bistrô 42</t>
        </is>
      </c>
      <c r="B11" s="31" t="inlineStr">
        <is>
          <t>Bistrô 42</t>
        </is>
      </c>
      <c r="C11" s="31" t="inlineStr">
        <is>
          <t>Carla</t>
        </is>
      </c>
      <c r="D11" s="32" t="n">
        <v>46266</v>
      </c>
      <c r="E11" s="32" t="n">
        <v>46346</v>
      </c>
      <c r="F11" s="23" t="str">
        <f>IF(A11="","",IF(COUNTIFS(Etapas!$A$5:$A$304,A11)=0,"Sem etapas",IF(COUNTIFS(Etapas!$A$5:$A$304,A11,Etapas!$G$5:$G$304,"Atrasada")&gt;0,"Com atraso",IF(COUNTIFS(Etapas!$A$5:$A$304,A11,Etapas!$G$5:$G$304,"Concluída")=COUNTIFS(Etapas!$A$5:$A$304,A11),"Concluído","No prazo"))))</f>
        <v>No prazo</v>
      </c>
    </row>
    <row r="12">
      <c r="A12" s="31" t="inlineStr">
        <is>
          <t>Relatório anual · Horizonte</t>
        </is>
      </c>
      <c r="B12" s="31" t="inlineStr">
        <is>
          <t>Horizonte</t>
        </is>
      </c>
      <c r="C12" s="31" t="inlineStr">
        <is>
          <t>Ana</t>
        </is>
      </c>
      <c r="D12" s="32" t="n">
        <v>46273</v>
      </c>
      <c r="E12" s="32" t="n">
        <v>46295</v>
      </c>
      <c r="F12" s="23" t="str">
        <f>IF(A12="","",IF(COUNTIFS(Etapas!$A$5:$A$304,A12)=0,"Sem etapas",IF(COUNTIFS(Etapas!$A$5:$A$304,A12,Etapas!$G$5:$G$304,"Atrasada")&gt;0,"Com atraso",IF(COUNTIFS(Etapas!$A$5:$A$304,A12,Etapas!$G$5:$G$304,"Concluída")=COUNTIFS(Etapas!$A$5:$A$304,A12),"Concluído","No prazo"))))</f>
        <v>No prazo</v>
      </c>
    </row>
    <row r="13">
      <c r="A13" s="31" t="inlineStr">
        <is>
          <t>Identidade visual · Padaria do Sol</t>
        </is>
      </c>
      <c r="B13" s="31" t="inlineStr">
        <is>
          <t>Padaria do Sol</t>
        </is>
      </c>
      <c r="C13" s="31" t="inlineStr">
        <is>
          <t>Bruno</t>
        </is>
      </c>
      <c r="D13" s="32" t="n">
        <v>46218</v>
      </c>
      <c r="E13" s="32" t="n">
        <v>46270</v>
      </c>
      <c r="F13" s="23" t="str">
        <f>IF(A13="","",IF(COUNTIFS(Etapas!$A$5:$A$304,A13)=0,"Sem etapas",IF(COUNTIFS(Etapas!$A$5:$A$304,A13,Etapas!$G$5:$G$304,"Atrasada")&gt;0,"Com atraso",IF(COUNTIFS(Etapas!$A$5:$A$304,A13,Etapas!$G$5:$G$304,"Concluída")=COUNTIFS(Etapas!$A$5:$A$304,A13),"Concluído","No prazo"))))</f>
        <v>Com atraso</v>
      </c>
    </row>
    <row r="14">
      <c r="A14" s="31" t="n"/>
      <c r="B14" s="31" t="n"/>
      <c r="C14" s="31" t="n"/>
      <c r="D14" s="32" t="n"/>
      <c r="E14" s="32" t="n"/>
      <c r="F14" s="23">
        <f>IF(A14="","",IF(COUNTIFS(Etapas!$A$5:$A$304,A14)=0,"Sem etapas",IF(COUNTIFS(Etapas!$A$5:$A$304,A14,Etapas!$G$5:$G$304,"Atrasada")&gt;0,"Com atraso",IF(COUNTIFS(Etapas!$A$5:$A$304,A14,Etapas!$G$5:$G$304,"Concluída")=COUNTIFS(Etapas!$A$5:$A$304,A14),"Concluído","No prazo"))))</f>
        <v/>
      </c>
    </row>
    <row r="15">
      <c r="A15" s="31" t="n"/>
      <c r="B15" s="31" t="n"/>
      <c r="C15" s="31" t="n"/>
      <c r="D15" s="32" t="n"/>
      <c r="E15" s="32" t="n"/>
      <c r="F15" s="23">
        <f>IF(A15="","",IF(COUNTIFS(Etapas!$A$5:$A$304,A15)=0,"Sem etapas",IF(COUNTIFS(Etapas!$A$5:$A$304,A15,Etapas!$G$5:$G$304,"Atrasada")&gt;0,"Com atraso",IF(COUNTIFS(Etapas!$A$5:$A$304,A15,Etapas!$G$5:$G$304,"Concluída")=COUNTIFS(Etapas!$A$5:$A$304,A15),"Concluído","No prazo"))))</f>
        <v/>
      </c>
    </row>
    <row r="16">
      <c r="A16" s="31" t="n"/>
      <c r="B16" s="31" t="n"/>
      <c r="C16" s="31" t="n"/>
      <c r="D16" s="32" t="n"/>
      <c r="E16" s="32" t="n"/>
      <c r="F16" s="23">
        <f>IF(A16="","",IF(COUNTIFS(Etapas!$A$5:$A$304,A16)=0,"Sem etapas",IF(COUNTIFS(Etapas!$A$5:$A$304,A16,Etapas!$G$5:$G$304,"Atrasada")&gt;0,"Com atraso",IF(COUNTIFS(Etapas!$A$5:$A$304,A16,Etapas!$G$5:$G$304,"Concluída")=COUNTIFS(Etapas!$A$5:$A$304,A16),"Concluído","No prazo"))))</f>
        <v/>
      </c>
    </row>
    <row r="17">
      <c r="A17" s="31" t="n"/>
      <c r="B17" s="31" t="n"/>
      <c r="C17" s="31" t="n"/>
      <c r="D17" s="32" t="n"/>
      <c r="E17" s="32" t="n"/>
      <c r="F17" s="23">
        <f>IF(A17="","",IF(COUNTIFS(Etapas!$A$5:$A$304,A17)=0,"Sem etapas",IF(COUNTIFS(Etapas!$A$5:$A$304,A17,Etapas!$G$5:$G$304,"Atrasada")&gt;0,"Com atraso",IF(COUNTIFS(Etapas!$A$5:$A$304,A17,Etapas!$G$5:$G$304,"Concluída")=COUNTIFS(Etapas!$A$5:$A$304,A17),"Concluído","No prazo"))))</f>
        <v/>
      </c>
    </row>
    <row r="18">
      <c r="A18" s="31" t="n"/>
      <c r="B18" s="31" t="n"/>
      <c r="C18" s="31" t="n"/>
      <c r="D18" s="32" t="n"/>
      <c r="E18" s="32" t="n"/>
      <c r="F18" s="23">
        <f>IF(A18="","",IF(COUNTIFS(Etapas!$A$5:$A$304,A18)=0,"Sem etapas",IF(COUNTIFS(Etapas!$A$5:$A$304,A18,Etapas!$G$5:$G$304,"Atrasada")&gt;0,"Com atraso",IF(COUNTIFS(Etapas!$A$5:$A$304,A18,Etapas!$G$5:$G$304,"Concluída")=COUNTIFS(Etapas!$A$5:$A$304,A18),"Concluído","No prazo"))))</f>
        <v/>
      </c>
    </row>
    <row r="19">
      <c r="A19" s="31" t="n"/>
      <c r="B19" s="31" t="n"/>
      <c r="C19" s="31" t="n"/>
      <c r="D19" s="32" t="n"/>
      <c r="E19" s="32" t="n"/>
      <c r="F19" s="23">
        <f>IF(A19="","",IF(COUNTIFS(Etapas!$A$5:$A$304,A19)=0,"Sem etapas",IF(COUNTIFS(Etapas!$A$5:$A$304,A19,Etapas!$G$5:$G$304,"Atrasada")&gt;0,"Com atraso",IF(COUNTIFS(Etapas!$A$5:$A$304,A19,Etapas!$G$5:$G$304,"Concluída")=COUNTIFS(Etapas!$A$5:$A$304,A19),"Concluído","No prazo"))))</f>
        <v/>
      </c>
    </row>
    <row r="21">
      <c r="A21" s="27" t="inlineStr">
        <is>
          <t>Responsáveis (até 10)</t>
        </is>
      </c>
    </row>
    <row r="22">
      <c r="A22" s="31" t="inlineStr">
        <is>
          <t>Ana</t>
        </is>
      </c>
    </row>
    <row r="23">
      <c r="A23" s="31" t="inlineStr">
        <is>
          <t>Bruno</t>
        </is>
      </c>
    </row>
    <row r="24">
      <c r="A24" s="31" t="inlineStr">
        <is>
          <t>Carla</t>
        </is>
      </c>
    </row>
    <row r="25">
      <c r="A25" s="31" t="inlineStr">
        <is>
          <t>Diego</t>
        </is>
      </c>
    </row>
    <row r="26">
      <c r="A26" s="31" t="n"/>
    </row>
    <row r="27">
      <c r="A27" s="31" t="n"/>
    </row>
    <row r="28">
      <c r="A28" s="31" t="n"/>
    </row>
    <row r="29">
      <c r="A29" s="31" t="n"/>
    </row>
    <row r="30">
      <c r="A30" s="31" t="n"/>
    </row>
    <row r="31">
      <c r="A31" s="3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16" customWidth="1" min="3" max="3"/>
    <col width="12" customWidth="1" min="4" max="4"/>
    <col width="12" customWidth="1" min="5" max="5"/>
    <col width="11" customWidth="1" min="6" max="6"/>
    <col width="15" customWidth="1" min="7" max="7"/>
    <col width="12" customWidth="1" min="8" max="8"/>
    <col width="12" customWidth="1" min="9" max="9"/>
    <col width="30" customWidth="1" min="10" max="10"/>
    <col hidden="1" width="6" customWidth="1" min="11" max="11"/>
    <col hidden="1" width="13" customWidth="1" min="12" max="12"/>
  </cols>
  <sheetData>
    <row r="1">
      <c r="A1" s="5" t="inlineStr">
        <is>
          <t>Etapas</t>
        </is>
      </c>
    </row>
    <row r="2">
      <c r="A2" s="30" t="inlineStr">
        <is>
          <t>Uma linha por etapa. Preencha as colunas amarelas; situação e dias são calculados. Apague os exemplos e comece o seu.</t>
        </is>
      </c>
    </row>
    <row r="4" ht="26" customHeight="1">
      <c r="A4" s="21" t="inlineStr">
        <is>
          <t>Projeto</t>
        </is>
      </c>
      <c r="B4" s="21" t="inlineStr">
        <is>
          <t>Etapa</t>
        </is>
      </c>
      <c r="C4" s="21" t="inlineStr">
        <is>
          <t>Responsável</t>
        </is>
      </c>
      <c r="D4" s="21" t="inlineStr">
        <is>
          <t>Início</t>
        </is>
      </c>
      <c r="E4" s="21" t="inlineStr">
        <is>
          <t>Fim previsto</t>
        </is>
      </c>
      <c r="F4" s="21" t="inlineStr">
        <is>
          <t>% concluído</t>
        </is>
      </c>
      <c r="G4" s="21" t="inlineStr">
        <is>
          <t>Situação</t>
        </is>
      </c>
      <c r="H4" s="21" t="inlineStr">
        <is>
          <t>Dias para o fim</t>
        </is>
      </c>
      <c r="I4" s="21" t="inlineStr">
        <is>
          <t>Fim real</t>
        </is>
      </c>
      <c r="J4" s="21" t="inlineStr">
        <is>
          <t>Observação</t>
        </is>
      </c>
      <c r="K4" s="21" t="inlineStr">
        <is>
          <t>Chave</t>
        </is>
      </c>
    </row>
    <row r="5">
      <c r="A5" s="33" t="inlineStr">
        <is>
          <t>Site novo · Loja Verde</t>
        </is>
      </c>
      <c r="B5" s="31" t="inlineStr">
        <is>
          <t>Briefing e mapa do site</t>
        </is>
      </c>
      <c r="C5" s="33" t="inlineStr">
        <is>
          <t>Ana</t>
        </is>
      </c>
      <c r="D5" s="34" t="n">
        <v>46244</v>
      </c>
      <c r="E5" s="34" t="n">
        <v>46249</v>
      </c>
      <c r="F5" s="35" t="n">
        <v>1</v>
      </c>
      <c r="G5" s="23" t="str">
        <f>IF(B5="","",IF(OR(F5&gt;=1,I5&lt;&gt;""),"Concluída",IF(E5="","Falta o prazo",IF(E5&lt;Config!$B$5,"Atrasada",IF(E5-Config!$B$5&lt;=Config!$B$6,"Vence em breve",IF(D5&lt;=Config!$B$5,"Em andamento","A iniciar"))))))</f>
        <v>Concluída</v>
      </c>
      <c r="H5" s="26">
        <f>IF(OR(B5="",G5="Concluída",E5=""),"",E5-Config!$B$5)</f>
        <v/>
      </c>
      <c r="I5" s="34" t="n">
        <v>46248</v>
      </c>
      <c r="J5" s="31" t="n"/>
      <c r="K5" s="36">
        <f>IF(OR(B5="",G5="Concluída"),0,IF(G5="Atrasada",3000+MIN(Config!$B$5-E5,60),IF(G5="Vence em breve",2000-(E5-Config!$B$5),IF(G5="Em andamento",1000-MIN(E5-Config!$B$5,900),100)))-ROW()/100000)</f>
        <v>0</v>
      </c>
      <c r="L5" s="36">
        <f>IF(B5="","",IF(I5&lt;&gt;"",1,N(F5)))</f>
        <v>1</v>
      </c>
    </row>
    <row r="6">
      <c r="A6" s="33" t="inlineStr">
        <is>
          <t>Site novo · Loja Verde</t>
        </is>
      </c>
      <c r="B6" s="31" t="inlineStr">
        <is>
          <t>Wireframes das 5 páginas</t>
        </is>
      </c>
      <c r="C6" s="33" t="inlineStr">
        <is>
          <t>Ana</t>
        </is>
      </c>
      <c r="D6" s="34" t="n">
        <v>46250</v>
      </c>
      <c r="E6" s="34" t="n">
        <v>46260</v>
      </c>
      <c r="F6" s="35" t="n">
        <v>1</v>
      </c>
      <c r="G6" s="23" t="str">
        <f>IF(B6="","",IF(OR(F6&gt;=1,I6&lt;&gt;""),"Concluída",IF(E6="","Falta o prazo",IF(E6&lt;Config!$B$5,"Atrasada",IF(E6-Config!$B$5&lt;=Config!$B$6,"Vence em breve",IF(D6&lt;=Config!$B$5,"Em andamento","A iniciar"))))))</f>
        <v>Concluída</v>
      </c>
      <c r="H6" s="26">
        <f>IF(OR(B6="",G6="Concluída",E6=""),"",E6-Config!$B$5)</f>
        <v/>
      </c>
      <c r="I6" s="34" t="n">
        <v>46261</v>
      </c>
      <c r="J6" s="31" t="n"/>
      <c r="K6" s="36">
        <f>IF(OR(B6="",G6="Concluída"),0,IF(G6="Atrasada",3000+MIN(Config!$B$5-E6,60),IF(G6="Vence em breve",2000-(E6-Config!$B$5),IF(G6="Em andamento",1000-MIN(E6-Config!$B$5,900),100)))-ROW()/100000)</f>
        <v>0</v>
      </c>
      <c r="L6" s="36">
        <f>IF(B6="","",IF(I6&lt;&gt;"",1,N(F6)))</f>
        <v>1</v>
      </c>
    </row>
    <row r="7">
      <c r="A7" s="33" t="inlineStr">
        <is>
          <t>Site novo · Loja Verde</t>
        </is>
      </c>
      <c r="B7" s="31" t="inlineStr">
        <is>
          <t>Layout da home</t>
        </is>
      </c>
      <c r="C7" s="33" t="inlineStr">
        <is>
          <t>Bruno</t>
        </is>
      </c>
      <c r="D7" s="34" t="n">
        <v>46261</v>
      </c>
      <c r="E7" s="34" t="n">
        <v>46273</v>
      </c>
      <c r="F7" s="35" t="n">
        <v>1</v>
      </c>
      <c r="G7" s="23" t="str">
        <f>IF(B7="","",IF(OR(F7&gt;=1,I7&lt;&gt;""),"Concluída",IF(E7="","Falta o prazo",IF(E7&lt;Config!$B$5,"Atrasada",IF(E7-Config!$B$5&lt;=Config!$B$6,"Vence em breve",IF(D7&lt;=Config!$B$5,"Em andamento","A iniciar"))))))</f>
        <v>Concluída</v>
      </c>
      <c r="H7" s="26">
        <f>IF(OR(B7="",G7="Concluída",E7=""),"",E7-Config!$B$5)</f>
        <v/>
      </c>
      <c r="I7" s="34" t="n">
        <v>46273</v>
      </c>
      <c r="J7" s="31" t="n"/>
      <c r="K7" s="36">
        <f>IF(OR(B7="",G7="Concluída"),0,IF(G7="Atrasada",3000+MIN(Config!$B$5-E7,60),IF(G7="Vence em breve",2000-(E7-Config!$B$5),IF(G7="Em andamento",1000-MIN(E7-Config!$B$5,900),100)))-ROW()/100000)</f>
        <v>0</v>
      </c>
      <c r="L7" s="36">
        <f>IF(B7="","",IF(I7&lt;&gt;"",1,N(F7)))</f>
        <v>1</v>
      </c>
    </row>
    <row r="8">
      <c r="A8" s="33" t="inlineStr">
        <is>
          <t>Site novo · Loja Verde</t>
        </is>
      </c>
      <c r="B8" s="31" t="inlineStr">
        <is>
          <t>Layout das páginas internas</t>
        </is>
      </c>
      <c r="C8" s="33" t="inlineStr">
        <is>
          <t>Bruno</t>
        </is>
      </c>
      <c r="D8" s="34" t="n">
        <v>46274</v>
      </c>
      <c r="E8" s="34" t="n">
        <v>46284</v>
      </c>
      <c r="F8" s="35" t="n">
        <v>0.6</v>
      </c>
      <c r="G8" s="23" t="str">
        <f>IF(B8="","",IF(OR(F8&gt;=1,I8&lt;&gt;""),"Concluída",IF(E8="","Falta o prazo",IF(E8&lt;Config!$B$5,"Atrasada",IF(E8-Config!$B$5&lt;=Config!$B$6,"Vence em breve",IF(D8&lt;=Config!$B$5,"Em andamento","A iniciar"))))))</f>
        <v>Vence em breve</v>
      </c>
      <c r="H8" s="26">
        <f>IF(OR(B8="",G8="Concluída",E8=""),"",E8-Config!$B$5)</f>
        <v>5</v>
      </c>
      <c r="I8" s="34" t="n"/>
      <c r="J8" s="31" t="n"/>
      <c r="K8" s="36">
        <f>IF(OR(B8="",G8="Concluída"),0,IF(G8="Atrasada",3000+MIN(Config!$B$5-E8,60),IF(G8="Vence em breve",2000-(E8-Config!$B$5),IF(G8="Em andamento",1000-MIN(E8-Config!$B$5,900),100)))-ROW()/100000)</f>
        <v>1994.99992</v>
      </c>
      <c r="L8" s="36">
        <f>IF(B8="","",IF(I8&lt;&gt;"",1,N(F8)))</f>
        <v>0.6</v>
      </c>
    </row>
    <row r="9">
      <c r="A9" s="33" t="inlineStr">
        <is>
          <t>Site novo · Loja Verde</t>
        </is>
      </c>
      <c r="B9" s="31" t="inlineStr">
        <is>
          <t>Textos das páginas</t>
        </is>
      </c>
      <c r="C9" s="33" t="inlineStr">
        <is>
          <t>Carla</t>
        </is>
      </c>
      <c r="D9" s="34" t="n">
        <v>46267</v>
      </c>
      <c r="E9" s="34" t="n">
        <v>46277</v>
      </c>
      <c r="F9" s="35" t="n">
        <v>0.7</v>
      </c>
      <c r="G9" s="23" t="str">
        <f>IF(B9="","",IF(OR(F9&gt;=1,I9&lt;&gt;""),"Concluída",IF(E9="","Falta o prazo",IF(E9&lt;Config!$B$5,"Atrasada",IF(E9-Config!$B$5&lt;=Config!$B$6,"Vence em breve",IF(D9&lt;=Config!$B$5,"Em andamento","A iniciar"))))))</f>
        <v>Atrasada</v>
      </c>
      <c r="H9" s="26">
        <f>IF(OR(B9="",G9="Concluída",E9=""),"",E9-Config!$B$5)</f>
        <v>-2</v>
      </c>
      <c r="I9" s="34" t="n"/>
      <c r="J9" s="31" t="n"/>
      <c r="K9" s="36">
        <f>IF(OR(B9="",G9="Concluída"),0,IF(G9="Atrasada",3000+MIN(Config!$B$5-E9,60),IF(G9="Vence em breve",2000-(E9-Config!$B$5),IF(G9="Em andamento",1000-MIN(E9-Config!$B$5,900),100)))-ROW()/100000)</f>
        <v>3001.99991</v>
      </c>
      <c r="L9" s="36">
        <f>IF(B9="","",IF(I9&lt;&gt;"",1,N(F9)))</f>
        <v>0.7</v>
      </c>
    </row>
    <row r="10">
      <c r="A10" s="33" t="inlineStr">
        <is>
          <t>Site novo · Loja Verde</t>
        </is>
      </c>
      <c r="B10" s="31" t="inlineStr">
        <is>
          <t>Implementação</t>
        </is>
      </c>
      <c r="C10" s="33" t="inlineStr">
        <is>
          <t>Diego</t>
        </is>
      </c>
      <c r="D10" s="34" t="n">
        <v>46285</v>
      </c>
      <c r="E10" s="34" t="n">
        <v>46298</v>
      </c>
      <c r="F10" s="35" t="n">
        <v>0</v>
      </c>
      <c r="G10" s="23" t="str">
        <f>IF(B10="","",IF(OR(F10&gt;=1,I10&lt;&gt;""),"Concluída",IF(E10="","Falta o prazo",IF(E10&lt;Config!$B$5,"Atrasada",IF(E10-Config!$B$5&lt;=Config!$B$6,"Vence em breve",IF(D10&lt;=Config!$B$5,"Em andamento","A iniciar"))))))</f>
        <v>A iniciar</v>
      </c>
      <c r="H10" s="26">
        <f>IF(OR(B10="",G10="Concluída",E10=""),"",E10-Config!$B$5)</f>
        <v>19</v>
      </c>
      <c r="I10" s="34" t="n"/>
      <c r="J10" s="31" t="n"/>
      <c r="K10" s="36">
        <f>IF(OR(B10="",G10="Concluída"),0,IF(G10="Atrasada",3000+MIN(Config!$B$5-E10,60),IF(G10="Vence em breve",2000-(E10-Config!$B$5),IF(G10="Em andamento",1000-MIN(E10-Config!$B$5,900),100)))-ROW()/100000)</f>
        <v>99.9999</v>
      </c>
      <c r="L10" s="36">
        <f>IF(B10="","",IF(I10&lt;&gt;"",1,N(F10)))</f>
        <v>0</v>
      </c>
    </row>
    <row r="11">
      <c r="A11" s="33" t="inlineStr">
        <is>
          <t>Site novo · Loja Verde</t>
        </is>
      </c>
      <c r="B11" s="31" t="inlineStr">
        <is>
          <t>Revisão e publicação</t>
        </is>
      </c>
      <c r="C11" s="33" t="inlineStr">
        <is>
          <t>Ana</t>
        </is>
      </c>
      <c r="D11" s="34" t="n">
        <v>46299</v>
      </c>
      <c r="E11" s="34" t="n">
        <v>46304</v>
      </c>
      <c r="F11" s="35" t="n">
        <v>0</v>
      </c>
      <c r="G11" s="23" t="str">
        <f>IF(B11="","",IF(OR(F11&gt;=1,I11&lt;&gt;""),"Concluída",IF(E11="","Falta o prazo",IF(E11&lt;Config!$B$5,"Atrasada",IF(E11-Config!$B$5&lt;=Config!$B$6,"Vence em breve",IF(D11&lt;=Config!$B$5,"Em andamento","A iniciar"))))))</f>
        <v>A iniciar</v>
      </c>
      <c r="H11" s="26">
        <f>IF(OR(B11="",G11="Concluída",E11=""),"",E11-Config!$B$5)</f>
        <v>25</v>
      </c>
      <c r="I11" s="34" t="n"/>
      <c r="J11" s="31" t="n"/>
      <c r="K11" s="36">
        <f>IF(OR(B11="",G11="Concluída"),0,IF(G11="Atrasada",3000+MIN(Config!$B$5-E11,60),IF(G11="Vence em breve",2000-(E11-Config!$B$5),IF(G11="Em andamento",1000-MIN(E11-Config!$B$5,900),100)))-ROW()/100000)</f>
        <v>99.99989</v>
      </c>
      <c r="L11" s="36">
        <f>IF(B11="","",IF(I11&lt;&gt;"",1,N(F11)))</f>
        <v>0</v>
      </c>
    </row>
    <row r="12">
      <c r="A12" s="33" t="inlineStr">
        <is>
          <t>Campanha de fim de ano · Bistrô 42</t>
        </is>
      </c>
      <c r="B12" s="31" t="inlineStr">
        <is>
          <t>Conceito criativo</t>
        </is>
      </c>
      <c r="C12" s="33" t="inlineStr">
        <is>
          <t>Carla</t>
        </is>
      </c>
      <c r="D12" s="34" t="n">
        <v>46266</v>
      </c>
      <c r="E12" s="34" t="n">
        <v>46277</v>
      </c>
      <c r="F12" s="35" t="n">
        <v>1</v>
      </c>
      <c r="G12" s="23" t="str">
        <f>IF(B12="","",IF(OR(F12&gt;=1,I12&lt;&gt;""),"Concluída",IF(E12="","Falta o prazo",IF(E12&lt;Config!$B$5,"Atrasada",IF(E12-Config!$B$5&lt;=Config!$B$6,"Vence em breve",IF(D12&lt;=Config!$B$5,"Em andamento","A iniciar"))))))</f>
        <v>Concluída</v>
      </c>
      <c r="H12" s="26">
        <f>IF(OR(B12="",G12="Concluída",E12=""),"",E12-Config!$B$5)</f>
        <v/>
      </c>
      <c r="I12" s="34" t="n">
        <v>46276</v>
      </c>
      <c r="J12" s="31" t="n"/>
      <c r="K12" s="36">
        <f>IF(OR(B12="",G12="Concluída"),0,IF(G12="Atrasada",3000+MIN(Config!$B$5-E12,60),IF(G12="Vence em breve",2000-(E12-Config!$B$5),IF(G12="Em andamento",1000-MIN(E12-Config!$B$5,900),100)))-ROW()/100000)</f>
        <v>0</v>
      </c>
      <c r="L12" s="36">
        <f>IF(B12="","",IF(I12&lt;&gt;"",1,N(F12)))</f>
        <v>1</v>
      </c>
    </row>
    <row r="13">
      <c r="A13" s="33" t="inlineStr">
        <is>
          <t>Campanha de fim de ano · Bistrô 42</t>
        </is>
      </c>
      <c r="B13" s="31" t="inlineStr">
        <is>
          <t>Aprovação do cliente</t>
        </is>
      </c>
      <c r="C13" s="33" t="inlineStr">
        <is>
          <t>Carla</t>
        </is>
      </c>
      <c r="D13" s="34" t="n">
        <v>46278</v>
      </c>
      <c r="E13" s="34" t="n">
        <v>46282</v>
      </c>
      <c r="F13" s="35" t="n">
        <v>0.5</v>
      </c>
      <c r="G13" s="23" t="str">
        <f>IF(B13="","",IF(OR(F13&gt;=1,I13&lt;&gt;""),"Concluída",IF(E13="","Falta o prazo",IF(E13&lt;Config!$B$5,"Atrasada",IF(E13-Config!$B$5&lt;=Config!$B$6,"Vence em breve",IF(D13&lt;=Config!$B$5,"Em andamento","A iniciar"))))))</f>
        <v>Vence em breve</v>
      </c>
      <c r="H13" s="26">
        <f>IF(OR(B13="",G13="Concluída",E13=""),"",E13-Config!$B$5)</f>
        <v>3</v>
      </c>
      <c r="I13" s="34" t="n"/>
      <c r="J13" s="31" t="n"/>
      <c r="K13" s="36">
        <f>IF(OR(B13="",G13="Concluída"),0,IF(G13="Atrasada",3000+MIN(Config!$B$5-E13,60),IF(G13="Vence em breve",2000-(E13-Config!$B$5),IF(G13="Em andamento",1000-MIN(E13-Config!$B$5,900),100)))-ROW()/100000)</f>
        <v>1996.99987</v>
      </c>
      <c r="L13" s="36">
        <f>IF(B13="","",IF(I13&lt;&gt;"",1,N(F13)))</f>
        <v>0.5</v>
      </c>
    </row>
    <row r="14">
      <c r="A14" s="33" t="inlineStr">
        <is>
          <t>Campanha de fim de ano · Bistrô 42</t>
        </is>
      </c>
      <c r="B14" s="31" t="inlineStr">
        <is>
          <t>Produção das peças</t>
        </is>
      </c>
      <c r="C14" s="33" t="inlineStr">
        <is>
          <t>Bruno</t>
        </is>
      </c>
      <c r="D14" s="34" t="n">
        <v>46283</v>
      </c>
      <c r="E14" s="34" t="n">
        <v>46310</v>
      </c>
      <c r="F14" s="35" t="n">
        <v>0</v>
      </c>
      <c r="G14" s="23" t="str">
        <f>IF(B14="","",IF(OR(F14&gt;=1,I14&lt;&gt;""),"Concluída",IF(E14="","Falta o prazo",IF(E14&lt;Config!$B$5,"Atrasada",IF(E14-Config!$B$5&lt;=Config!$B$6,"Vence em breve",IF(D14&lt;=Config!$B$5,"Em andamento","A iniciar"))))))</f>
        <v>A iniciar</v>
      </c>
      <c r="H14" s="26">
        <f>IF(OR(B14="",G14="Concluída",E14=""),"",E14-Config!$B$5)</f>
        <v>31</v>
      </c>
      <c r="I14" s="34" t="n"/>
      <c r="J14" s="31" t="n"/>
      <c r="K14" s="36">
        <f>IF(OR(B14="",G14="Concluída"),0,IF(G14="Atrasada",3000+MIN(Config!$B$5-E14,60),IF(G14="Vence em breve",2000-(E14-Config!$B$5),IF(G14="Em andamento",1000-MIN(E14-Config!$B$5,900),100)))-ROW()/100000)</f>
        <v>99.99986</v>
      </c>
      <c r="L14" s="36">
        <f>IF(B14="","",IF(I14&lt;&gt;"",1,N(F14)))</f>
        <v>0</v>
      </c>
    </row>
    <row r="15">
      <c r="A15" s="33" t="inlineStr">
        <is>
          <t>Campanha de fim de ano · Bistrô 42</t>
        </is>
      </c>
      <c r="B15" s="31" t="inlineStr">
        <is>
          <t>Plano de mídia</t>
        </is>
      </c>
      <c r="C15" s="33" t="inlineStr">
        <is>
          <t>Ana</t>
        </is>
      </c>
      <c r="D15" s="34" t="n">
        <v>46296</v>
      </c>
      <c r="E15" s="34" t="n">
        <v>46315</v>
      </c>
      <c r="F15" s="35" t="n">
        <v>0</v>
      </c>
      <c r="G15" s="23" t="str">
        <f>IF(B15="","",IF(OR(F15&gt;=1,I15&lt;&gt;""),"Concluída",IF(E15="","Falta o prazo",IF(E15&lt;Config!$B$5,"Atrasada",IF(E15-Config!$B$5&lt;=Config!$B$6,"Vence em breve",IF(D15&lt;=Config!$B$5,"Em andamento","A iniciar"))))))</f>
        <v>A iniciar</v>
      </c>
      <c r="H15" s="26">
        <f>IF(OR(B15="",G15="Concluída",E15=""),"",E15-Config!$B$5)</f>
        <v>36</v>
      </c>
      <c r="I15" s="34" t="n"/>
      <c r="J15" s="31" t="n"/>
      <c r="K15" s="36">
        <f>IF(OR(B15="",G15="Concluída"),0,IF(G15="Atrasada",3000+MIN(Config!$B$5-E15,60),IF(G15="Vence em breve",2000-(E15-Config!$B$5),IF(G15="Em andamento",1000-MIN(E15-Config!$B$5,900),100)))-ROW()/100000)</f>
        <v>99.99985</v>
      </c>
      <c r="L15" s="36">
        <f>IF(B15="","",IF(I15&lt;&gt;"",1,N(F15)))</f>
        <v>0</v>
      </c>
    </row>
    <row r="16">
      <c r="A16" s="33" t="inlineStr">
        <is>
          <t>Campanha de fim de ano · Bistrô 42</t>
        </is>
      </c>
      <c r="B16" s="31" t="inlineStr">
        <is>
          <t>Veiculação</t>
        </is>
      </c>
      <c r="C16" s="33" t="inlineStr">
        <is>
          <t>Diego</t>
        </is>
      </c>
      <c r="D16" s="34" t="n">
        <v>46327</v>
      </c>
      <c r="E16" s="34" t="n">
        <v>46346</v>
      </c>
      <c r="F16" s="35" t="n">
        <v>0</v>
      </c>
      <c r="G16" s="23" t="str">
        <f>IF(B16="","",IF(OR(F16&gt;=1,I16&lt;&gt;""),"Concluída",IF(E16="","Falta o prazo",IF(E16&lt;Config!$B$5,"Atrasada",IF(E16-Config!$B$5&lt;=Config!$B$6,"Vence em breve",IF(D16&lt;=Config!$B$5,"Em andamento","A iniciar"))))))</f>
        <v>A iniciar</v>
      </c>
      <c r="H16" s="26">
        <f>IF(OR(B16="",G16="Concluída",E16=""),"",E16-Config!$B$5)</f>
        <v>67</v>
      </c>
      <c r="I16" s="34" t="n"/>
      <c r="J16" s="31" t="n"/>
      <c r="K16" s="36">
        <f>IF(OR(B16="",G16="Concluída"),0,IF(G16="Atrasada",3000+MIN(Config!$B$5-E16,60),IF(G16="Vence em breve",2000-(E16-Config!$B$5),IF(G16="Em andamento",1000-MIN(E16-Config!$B$5,900),100)))-ROW()/100000)</f>
        <v>99.99984</v>
      </c>
      <c r="L16" s="36">
        <f>IF(B16="","",IF(I16&lt;&gt;"",1,N(F16)))</f>
        <v>0</v>
      </c>
    </row>
    <row r="17">
      <c r="A17" s="33" t="inlineStr">
        <is>
          <t>Relatório anual · Horizonte</t>
        </is>
      </c>
      <c r="B17" s="31" t="inlineStr">
        <is>
          <t>Coleta dos números</t>
        </is>
      </c>
      <c r="C17" s="33" t="inlineStr">
        <is>
          <t>Ana</t>
        </is>
      </c>
      <c r="D17" s="34" t="n">
        <v>46273</v>
      </c>
      <c r="E17" s="34" t="n">
        <v>46277</v>
      </c>
      <c r="F17" s="35" t="n">
        <v>1</v>
      </c>
      <c r="G17" s="23" t="str">
        <f>IF(B17="","",IF(OR(F17&gt;=1,I17&lt;&gt;""),"Concluída",IF(E17="","Falta o prazo",IF(E17&lt;Config!$B$5,"Atrasada",IF(E17-Config!$B$5&lt;=Config!$B$6,"Vence em breve",IF(D17&lt;=Config!$B$5,"Em andamento","A iniciar"))))))</f>
        <v>Concluída</v>
      </c>
      <c r="H17" s="26">
        <f>IF(OR(B17="",G17="Concluída",E17=""),"",E17-Config!$B$5)</f>
        <v/>
      </c>
      <c r="I17" s="34" t="n">
        <v>46277</v>
      </c>
      <c r="J17" s="31" t="n"/>
      <c r="K17" s="36">
        <f>IF(OR(B17="",G17="Concluída"),0,IF(G17="Atrasada",3000+MIN(Config!$B$5-E17,60),IF(G17="Vence em breve",2000-(E17-Config!$B$5),IF(G17="Em andamento",1000-MIN(E17-Config!$B$5,900),100)))-ROW()/100000)</f>
        <v>0</v>
      </c>
      <c r="L17" s="36">
        <f>IF(B17="","",IF(I17&lt;&gt;"",1,N(F17)))</f>
        <v>1</v>
      </c>
    </row>
    <row r="18">
      <c r="A18" s="33" t="inlineStr">
        <is>
          <t>Relatório anual · Horizonte</t>
        </is>
      </c>
      <c r="B18" s="31" t="inlineStr">
        <is>
          <t>Redação</t>
        </is>
      </c>
      <c r="C18" s="33" t="inlineStr">
        <is>
          <t>Ana</t>
        </is>
      </c>
      <c r="D18" s="34" t="n">
        <v>46278</v>
      </c>
      <c r="E18" s="34" t="n">
        <v>46284</v>
      </c>
      <c r="F18" s="35" t="n">
        <v>0.3</v>
      </c>
      <c r="G18" s="23" t="str">
        <f>IF(B18="","",IF(OR(F18&gt;=1,I18&lt;&gt;""),"Concluída",IF(E18="","Falta o prazo",IF(E18&lt;Config!$B$5,"Atrasada",IF(E18-Config!$B$5&lt;=Config!$B$6,"Vence em breve",IF(D18&lt;=Config!$B$5,"Em andamento","A iniciar"))))))</f>
        <v>Vence em breve</v>
      </c>
      <c r="H18" s="26">
        <f>IF(OR(B18="",G18="Concluída",E18=""),"",E18-Config!$B$5)</f>
        <v>5</v>
      </c>
      <c r="I18" s="34" t="n"/>
      <c r="J18" s="31" t="n"/>
      <c r="K18" s="36">
        <f>IF(OR(B18="",G18="Concluída"),0,IF(G18="Atrasada",3000+MIN(Config!$B$5-E18,60),IF(G18="Vence em breve",2000-(E18-Config!$B$5),IF(G18="Em andamento",1000-MIN(E18-Config!$B$5,900),100)))-ROW()/100000)</f>
        <v>1994.99982</v>
      </c>
      <c r="L18" s="36">
        <f>IF(B18="","",IF(I18&lt;&gt;"",1,N(F18)))</f>
        <v>0.3</v>
      </c>
    </row>
    <row r="19">
      <c r="A19" s="33" t="inlineStr">
        <is>
          <t>Relatório anual · Horizonte</t>
        </is>
      </c>
      <c r="B19" s="31" t="inlineStr">
        <is>
          <t>Diagramação</t>
        </is>
      </c>
      <c r="C19" s="33" t="inlineStr">
        <is>
          <t>Bruno</t>
        </is>
      </c>
      <c r="D19" s="34" t="n">
        <v>46285</v>
      </c>
      <c r="E19" s="34" t="n">
        <v>46291</v>
      </c>
      <c r="F19" s="35" t="n">
        <v>0</v>
      </c>
      <c r="G19" s="23" t="str">
        <f>IF(B19="","",IF(OR(F19&gt;=1,I19&lt;&gt;""),"Concluída",IF(E19="","Falta o prazo",IF(E19&lt;Config!$B$5,"Atrasada",IF(E19-Config!$B$5&lt;=Config!$B$6,"Vence em breve",IF(D19&lt;=Config!$B$5,"Em andamento","A iniciar"))))))</f>
        <v>A iniciar</v>
      </c>
      <c r="H19" s="26">
        <f>IF(OR(B19="",G19="Concluída",E19=""),"",E19-Config!$B$5)</f>
        <v>12</v>
      </c>
      <c r="I19" s="34" t="n"/>
      <c r="J19" s="31" t="n"/>
      <c r="K19" s="36">
        <f>IF(OR(B19="",G19="Concluída"),0,IF(G19="Atrasada",3000+MIN(Config!$B$5-E19,60),IF(G19="Vence em breve",2000-(E19-Config!$B$5),IF(G19="Em andamento",1000-MIN(E19-Config!$B$5,900),100)))-ROW()/100000)</f>
        <v>99.99981</v>
      </c>
      <c r="L19" s="36">
        <f>IF(B19="","",IF(I19&lt;&gt;"",1,N(F19)))</f>
        <v>0</v>
      </c>
    </row>
    <row r="20">
      <c r="A20" s="33" t="inlineStr">
        <is>
          <t>Relatório anual · Horizonte</t>
        </is>
      </c>
      <c r="B20" s="31" t="inlineStr">
        <is>
          <t>Revisão final e entrega</t>
        </is>
      </c>
      <c r="C20" s="33" t="inlineStr">
        <is>
          <t>Ana</t>
        </is>
      </c>
      <c r="D20" s="34" t="n">
        <v>46292</v>
      </c>
      <c r="E20" s="34" t="n">
        <v>46295</v>
      </c>
      <c r="F20" s="35" t="n">
        <v>0</v>
      </c>
      <c r="G20" s="23" t="str">
        <f>IF(B20="","",IF(OR(F20&gt;=1,I20&lt;&gt;""),"Concluída",IF(E20="","Falta o prazo",IF(E20&lt;Config!$B$5,"Atrasada",IF(E20-Config!$B$5&lt;=Config!$B$6,"Vence em breve",IF(D20&lt;=Config!$B$5,"Em andamento","A iniciar"))))))</f>
        <v>A iniciar</v>
      </c>
      <c r="H20" s="26">
        <f>IF(OR(B20="",G20="Concluída",E20=""),"",E20-Config!$B$5)</f>
        <v>16</v>
      </c>
      <c r="I20" s="34" t="n"/>
      <c r="J20" s="31" t="n"/>
      <c r="K20" s="36">
        <f>IF(OR(B20="",G20="Concluída"),0,IF(G20="Atrasada",3000+MIN(Config!$B$5-E20,60),IF(G20="Vence em breve",2000-(E20-Config!$B$5),IF(G20="Em andamento",1000-MIN(E20-Config!$B$5,900),100)))-ROW()/100000)</f>
        <v>99.9998</v>
      </c>
      <c r="L20" s="36">
        <f>IF(B20="","",IF(I20&lt;&gt;"",1,N(F20)))</f>
        <v>0</v>
      </c>
    </row>
    <row r="21">
      <c r="A21" s="33" t="inlineStr">
        <is>
          <t>Identidade visual · Padaria do Sol</t>
        </is>
      </c>
      <c r="B21" s="31" t="inlineStr">
        <is>
          <t>Pesquisa e painel de referências</t>
        </is>
      </c>
      <c r="C21" s="33" t="inlineStr">
        <is>
          <t>Bruno</t>
        </is>
      </c>
      <c r="D21" s="34" t="n">
        <v>46218</v>
      </c>
      <c r="E21" s="34" t="n">
        <v>46228</v>
      </c>
      <c r="F21" s="35" t="n">
        <v>1</v>
      </c>
      <c r="G21" s="23" t="str">
        <f>IF(B21="","",IF(OR(F21&gt;=1,I21&lt;&gt;""),"Concluída",IF(E21="","Falta o prazo",IF(E21&lt;Config!$B$5,"Atrasada",IF(E21-Config!$B$5&lt;=Config!$B$6,"Vence em breve",IF(D21&lt;=Config!$B$5,"Em andamento","A iniciar"))))))</f>
        <v>Concluída</v>
      </c>
      <c r="H21" s="26">
        <f>IF(OR(B21="",G21="Concluída",E21=""),"",E21-Config!$B$5)</f>
        <v/>
      </c>
      <c r="I21" s="34" t="n">
        <v>46228</v>
      </c>
      <c r="J21" s="31" t="n"/>
      <c r="K21" s="36">
        <f>IF(OR(B21="",G21="Concluída"),0,IF(G21="Atrasada",3000+MIN(Config!$B$5-E21,60),IF(G21="Vence em breve",2000-(E21-Config!$B$5),IF(G21="Em andamento",1000-MIN(E21-Config!$B$5,900),100)))-ROW()/100000)</f>
        <v>0</v>
      </c>
      <c r="L21" s="36">
        <f>IF(B21="","",IF(I21&lt;&gt;"",1,N(F21)))</f>
        <v>1</v>
      </c>
    </row>
    <row r="22">
      <c r="A22" s="33" t="inlineStr">
        <is>
          <t>Identidade visual · Padaria do Sol</t>
        </is>
      </c>
      <c r="B22" s="31" t="inlineStr">
        <is>
          <t>Logo: 3 caminhos</t>
        </is>
      </c>
      <c r="C22" s="33" t="inlineStr">
        <is>
          <t>Bruno</t>
        </is>
      </c>
      <c r="D22" s="34" t="n">
        <v>46229</v>
      </c>
      <c r="E22" s="34" t="n">
        <v>46246</v>
      </c>
      <c r="F22" s="35" t="n">
        <v>1</v>
      </c>
      <c r="G22" s="23" t="str">
        <f>IF(B22="","",IF(OR(F22&gt;=1,I22&lt;&gt;""),"Concluída",IF(E22="","Falta o prazo",IF(E22&lt;Config!$B$5,"Atrasada",IF(E22-Config!$B$5&lt;=Config!$B$6,"Vence em breve",IF(D22&lt;=Config!$B$5,"Em andamento","A iniciar"))))))</f>
        <v>Concluída</v>
      </c>
      <c r="H22" s="26">
        <f>IF(OR(B22="",G22="Concluída",E22=""),"",E22-Config!$B$5)</f>
        <v/>
      </c>
      <c r="I22" s="34" t="n">
        <v>46249</v>
      </c>
      <c r="J22" s="31" t="n"/>
      <c r="K22" s="36">
        <f>IF(OR(B22="",G22="Concluída"),0,IF(G22="Atrasada",3000+MIN(Config!$B$5-E22,60),IF(G22="Vence em breve",2000-(E22-Config!$B$5),IF(G22="Em andamento",1000-MIN(E22-Config!$B$5,900),100)))-ROW()/100000)</f>
        <v>0</v>
      </c>
      <c r="L22" s="36">
        <f>IF(B22="","",IF(I22&lt;&gt;"",1,N(F22)))</f>
        <v>1</v>
      </c>
    </row>
    <row r="23">
      <c r="A23" s="33" t="inlineStr">
        <is>
          <t>Identidade visual · Padaria do Sol</t>
        </is>
      </c>
      <c r="B23" s="31" t="inlineStr">
        <is>
          <t>Refino e aplicações</t>
        </is>
      </c>
      <c r="C23" s="33" t="inlineStr">
        <is>
          <t>Bruno</t>
        </is>
      </c>
      <c r="D23" s="34" t="n">
        <v>46247</v>
      </c>
      <c r="E23" s="34" t="n">
        <v>46263</v>
      </c>
      <c r="F23" s="35" t="n">
        <v>1</v>
      </c>
      <c r="G23" s="23" t="str">
        <f>IF(B23="","",IF(OR(F23&gt;=1,I23&lt;&gt;""),"Concluída",IF(E23="","Falta o prazo",IF(E23&lt;Config!$B$5,"Atrasada",IF(E23-Config!$B$5&lt;=Config!$B$6,"Vence em breve",IF(D23&lt;=Config!$B$5,"Em andamento","A iniciar"))))))</f>
        <v>Concluída</v>
      </c>
      <c r="H23" s="26">
        <f>IF(OR(B23="",G23="Concluída",E23=""),"",E23-Config!$B$5)</f>
        <v/>
      </c>
      <c r="I23" s="34" t="n">
        <v>46267</v>
      </c>
      <c r="J23" s="31" t="n"/>
      <c r="K23" s="36">
        <f>IF(OR(B23="",G23="Concluída"),0,IF(G23="Atrasada",3000+MIN(Config!$B$5-E23,60),IF(G23="Vence em breve",2000-(E23-Config!$B$5),IF(G23="Em andamento",1000-MIN(E23-Config!$B$5,900),100)))-ROW()/100000)</f>
        <v>0</v>
      </c>
      <c r="L23" s="36">
        <f>IF(B23="","",IF(I23&lt;&gt;"",1,N(F23)))</f>
        <v>1</v>
      </c>
    </row>
    <row r="24">
      <c r="A24" s="33" t="inlineStr">
        <is>
          <t>Identidade visual · Padaria do Sol</t>
        </is>
      </c>
      <c r="B24" s="31" t="inlineStr">
        <is>
          <t>Manual da marca</t>
        </is>
      </c>
      <c r="C24" s="33" t="inlineStr">
        <is>
          <t>Carla</t>
        </is>
      </c>
      <c r="D24" s="34" t="n">
        <v>46264</v>
      </c>
      <c r="E24" s="34" t="n">
        <v>46270</v>
      </c>
      <c r="F24" s="35" t="n">
        <v>0.8</v>
      </c>
      <c r="G24" s="23" t="str">
        <f>IF(B24="","",IF(OR(F24&gt;=1,I24&lt;&gt;""),"Concluída",IF(E24="","Falta o prazo",IF(E24&lt;Config!$B$5,"Atrasada",IF(E24-Config!$B$5&lt;=Config!$B$6,"Vence em breve",IF(D24&lt;=Config!$B$5,"Em andamento","A iniciar"))))))</f>
        <v>Atrasada</v>
      </c>
      <c r="H24" s="26">
        <f>IF(OR(B24="",G24="Concluída",E24=""),"",E24-Config!$B$5)</f>
        <v>-9</v>
      </c>
      <c r="I24" s="34" t="n"/>
      <c r="J24" s="31" t="n"/>
      <c r="K24" s="36">
        <f>IF(OR(B24="",G24="Concluída"),0,IF(G24="Atrasada",3000+MIN(Config!$B$5-E24,60),IF(G24="Vence em breve",2000-(E24-Config!$B$5),IF(G24="Em andamento",1000-MIN(E24-Config!$B$5,900),100)))-ROW()/100000)</f>
        <v>3008.99976</v>
      </c>
      <c r="L24" s="36">
        <f>IF(B24="","",IF(I24&lt;&gt;"",1,N(F24)))</f>
        <v>0.8</v>
      </c>
    </row>
    <row r="25">
      <c r="A25" s="33" t="n"/>
      <c r="B25" s="31" t="n"/>
      <c r="C25" s="33" t="n"/>
      <c r="D25" s="34" t="n"/>
      <c r="E25" s="34" t="n"/>
      <c r="F25" s="35" t="n"/>
      <c r="G25" s="23">
        <f>IF(B25="","",IF(OR(F25&gt;=1,I25&lt;&gt;""),"Concluída",IF(E25="","Falta o prazo",IF(E25&lt;Config!$B$5,"Atrasada",IF(E25-Config!$B$5&lt;=Config!$B$6,"Vence em breve",IF(D25&lt;=Config!$B$5,"Em andamento","A iniciar"))))))</f>
        <v/>
      </c>
      <c r="H25" s="26">
        <f>IF(OR(B25="",G25="Concluída",E25=""),"",E25-Config!$B$5)</f>
        <v/>
      </c>
      <c r="I25" s="34" t="n"/>
      <c r="J25" s="31" t="n"/>
      <c r="K25" s="36">
        <f>IF(OR(B25="",G25="Concluída"),0,IF(G25="Atrasada",3000+MIN(Config!$B$5-E25,60),IF(G25="Vence em breve",2000-(E25-Config!$B$5),IF(G25="Em andamento",1000-MIN(E25-Config!$B$5,900),100)))-ROW()/100000)</f>
        <v>0</v>
      </c>
      <c r="L25" s="36">
        <f>IF(B25="","",IF(I25&lt;&gt;"",1,N(F25)))</f>
        <v/>
      </c>
    </row>
    <row r="26">
      <c r="A26" s="33" t="n"/>
      <c r="B26" s="31" t="n"/>
      <c r="C26" s="33" t="n"/>
      <c r="D26" s="34" t="n"/>
      <c r="E26" s="34" t="n"/>
      <c r="F26" s="35" t="n"/>
      <c r="G26" s="23">
        <f>IF(B26="","",IF(OR(F26&gt;=1,I26&lt;&gt;""),"Concluída",IF(E26="","Falta o prazo",IF(E26&lt;Config!$B$5,"Atrasada",IF(E26-Config!$B$5&lt;=Config!$B$6,"Vence em breve",IF(D26&lt;=Config!$B$5,"Em andamento","A iniciar"))))))</f>
        <v/>
      </c>
      <c r="H26" s="26">
        <f>IF(OR(B26="",G26="Concluída",E26=""),"",E26-Config!$B$5)</f>
        <v/>
      </c>
      <c r="I26" s="34" t="n"/>
      <c r="J26" s="31" t="n"/>
      <c r="K26" s="36">
        <f>IF(OR(B26="",G26="Concluída"),0,IF(G26="Atrasada",3000+MIN(Config!$B$5-E26,60),IF(G26="Vence em breve",2000-(E26-Config!$B$5),IF(G26="Em andamento",1000-MIN(E26-Config!$B$5,900),100)))-ROW()/100000)</f>
        <v>0</v>
      </c>
      <c r="L26" s="36">
        <f>IF(B26="","",IF(I26&lt;&gt;"",1,N(F26)))</f>
        <v/>
      </c>
    </row>
    <row r="27">
      <c r="A27" s="33" t="n"/>
      <c r="B27" s="31" t="n"/>
      <c r="C27" s="33" t="n"/>
      <c r="D27" s="34" t="n"/>
      <c r="E27" s="34" t="n"/>
      <c r="F27" s="35" t="n"/>
      <c r="G27" s="23">
        <f>IF(B27="","",IF(OR(F27&gt;=1,I27&lt;&gt;""),"Concluída",IF(E27="","Falta o prazo",IF(E27&lt;Config!$B$5,"Atrasada",IF(E27-Config!$B$5&lt;=Config!$B$6,"Vence em breve",IF(D27&lt;=Config!$B$5,"Em andamento","A iniciar"))))))</f>
        <v/>
      </c>
      <c r="H27" s="26">
        <f>IF(OR(B27="",G27="Concluída",E27=""),"",E27-Config!$B$5)</f>
        <v/>
      </c>
      <c r="I27" s="34" t="n"/>
      <c r="J27" s="31" t="n"/>
      <c r="K27" s="36">
        <f>IF(OR(B27="",G27="Concluída"),0,IF(G27="Atrasada",3000+MIN(Config!$B$5-E27,60),IF(G27="Vence em breve",2000-(E27-Config!$B$5),IF(G27="Em andamento",1000-MIN(E27-Config!$B$5,900),100)))-ROW()/100000)</f>
        <v>0</v>
      </c>
      <c r="L27" s="36">
        <f>IF(B27="","",IF(I27&lt;&gt;"",1,N(F27)))</f>
        <v/>
      </c>
    </row>
    <row r="28">
      <c r="A28" s="33" t="n"/>
      <c r="B28" s="31" t="n"/>
      <c r="C28" s="33" t="n"/>
      <c r="D28" s="34" t="n"/>
      <c r="E28" s="34" t="n"/>
      <c r="F28" s="35" t="n"/>
      <c r="G28" s="23">
        <f>IF(B28="","",IF(OR(F28&gt;=1,I28&lt;&gt;""),"Concluída",IF(E28="","Falta o prazo",IF(E28&lt;Config!$B$5,"Atrasada",IF(E28-Config!$B$5&lt;=Config!$B$6,"Vence em breve",IF(D28&lt;=Config!$B$5,"Em andamento","A iniciar"))))))</f>
        <v/>
      </c>
      <c r="H28" s="26">
        <f>IF(OR(B28="",G28="Concluída",E28=""),"",E28-Config!$B$5)</f>
        <v/>
      </c>
      <c r="I28" s="34" t="n"/>
      <c r="J28" s="31" t="n"/>
      <c r="K28" s="36">
        <f>IF(OR(B28="",G28="Concluída"),0,IF(G28="Atrasada",3000+MIN(Config!$B$5-E28,60),IF(G28="Vence em breve",2000-(E28-Config!$B$5),IF(G28="Em andamento",1000-MIN(E28-Config!$B$5,900),100)))-ROW()/100000)</f>
        <v>0</v>
      </c>
      <c r="L28" s="36">
        <f>IF(B28="","",IF(I28&lt;&gt;"",1,N(F28)))</f>
        <v/>
      </c>
    </row>
    <row r="29">
      <c r="A29" s="33" t="n"/>
      <c r="B29" s="31" t="n"/>
      <c r="C29" s="33" t="n"/>
      <c r="D29" s="34" t="n"/>
      <c r="E29" s="34" t="n"/>
      <c r="F29" s="35" t="n"/>
      <c r="G29" s="23">
        <f>IF(B29="","",IF(OR(F29&gt;=1,I29&lt;&gt;""),"Concluída",IF(E29="","Falta o prazo",IF(E29&lt;Config!$B$5,"Atrasada",IF(E29-Config!$B$5&lt;=Config!$B$6,"Vence em breve",IF(D29&lt;=Config!$B$5,"Em andamento","A iniciar"))))))</f>
        <v/>
      </c>
      <c r="H29" s="26">
        <f>IF(OR(B29="",G29="Concluída",E29=""),"",E29-Config!$B$5)</f>
        <v/>
      </c>
      <c r="I29" s="34" t="n"/>
      <c r="J29" s="31" t="n"/>
      <c r="K29" s="36">
        <f>IF(OR(B29="",G29="Concluída"),0,IF(G29="Atrasada",3000+MIN(Config!$B$5-E29,60),IF(G29="Vence em breve",2000-(E29-Config!$B$5),IF(G29="Em andamento",1000-MIN(E29-Config!$B$5,900),100)))-ROW()/100000)</f>
        <v>0</v>
      </c>
      <c r="L29" s="36">
        <f>IF(B29="","",IF(I29&lt;&gt;"",1,N(F29)))</f>
        <v/>
      </c>
    </row>
    <row r="30">
      <c r="A30" s="33" t="n"/>
      <c r="B30" s="31" t="n"/>
      <c r="C30" s="33" t="n"/>
      <c r="D30" s="34" t="n"/>
      <c r="E30" s="34" t="n"/>
      <c r="F30" s="35" t="n"/>
      <c r="G30" s="23">
        <f>IF(B30="","",IF(OR(F30&gt;=1,I30&lt;&gt;""),"Concluída",IF(E30="","Falta o prazo",IF(E30&lt;Config!$B$5,"Atrasada",IF(E30-Config!$B$5&lt;=Config!$B$6,"Vence em breve",IF(D30&lt;=Config!$B$5,"Em andamento","A iniciar"))))))</f>
        <v/>
      </c>
      <c r="H30" s="26">
        <f>IF(OR(B30="",G30="Concluída",E30=""),"",E30-Config!$B$5)</f>
        <v/>
      </c>
      <c r="I30" s="34" t="n"/>
      <c r="J30" s="31" t="n"/>
      <c r="K30" s="36">
        <f>IF(OR(B30="",G30="Concluída"),0,IF(G30="Atrasada",3000+MIN(Config!$B$5-E30,60),IF(G30="Vence em breve",2000-(E30-Config!$B$5),IF(G30="Em andamento",1000-MIN(E30-Config!$B$5,900),100)))-ROW()/100000)</f>
        <v>0</v>
      </c>
      <c r="L30" s="36">
        <f>IF(B30="","",IF(I30&lt;&gt;"",1,N(F30)))</f>
        <v/>
      </c>
    </row>
    <row r="31">
      <c r="A31" s="33" t="n"/>
      <c r="B31" s="31" t="n"/>
      <c r="C31" s="33" t="n"/>
      <c r="D31" s="34" t="n"/>
      <c r="E31" s="34" t="n"/>
      <c r="F31" s="35" t="n"/>
      <c r="G31" s="23">
        <f>IF(B31="","",IF(OR(F31&gt;=1,I31&lt;&gt;""),"Concluída",IF(E31="","Falta o prazo",IF(E31&lt;Config!$B$5,"Atrasada",IF(E31-Config!$B$5&lt;=Config!$B$6,"Vence em breve",IF(D31&lt;=Config!$B$5,"Em andamento","A iniciar"))))))</f>
        <v/>
      </c>
      <c r="H31" s="26">
        <f>IF(OR(B31="",G31="Concluída",E31=""),"",E31-Config!$B$5)</f>
        <v/>
      </c>
      <c r="I31" s="34" t="n"/>
      <c r="J31" s="31" t="n"/>
      <c r="K31" s="36">
        <f>IF(OR(B31="",G31="Concluída"),0,IF(G31="Atrasada",3000+MIN(Config!$B$5-E31,60),IF(G31="Vence em breve",2000-(E31-Config!$B$5),IF(G31="Em andamento",1000-MIN(E31-Config!$B$5,900),100)))-ROW()/100000)</f>
        <v>0</v>
      </c>
      <c r="L31" s="36">
        <f>IF(B31="","",IF(I31&lt;&gt;"",1,N(F31)))</f>
        <v/>
      </c>
    </row>
    <row r="32">
      <c r="A32" s="33" t="n"/>
      <c r="B32" s="31" t="n"/>
      <c r="C32" s="33" t="n"/>
      <c r="D32" s="34" t="n"/>
      <c r="E32" s="34" t="n"/>
      <c r="F32" s="35" t="n"/>
      <c r="G32" s="23">
        <f>IF(B32="","",IF(OR(F32&gt;=1,I32&lt;&gt;""),"Concluída",IF(E32="","Falta o prazo",IF(E32&lt;Config!$B$5,"Atrasada",IF(E32-Config!$B$5&lt;=Config!$B$6,"Vence em breve",IF(D32&lt;=Config!$B$5,"Em andamento","A iniciar"))))))</f>
        <v/>
      </c>
      <c r="H32" s="26">
        <f>IF(OR(B32="",G32="Concluída",E32=""),"",E32-Config!$B$5)</f>
        <v/>
      </c>
      <c r="I32" s="34" t="n"/>
      <c r="J32" s="31" t="n"/>
      <c r="K32" s="36">
        <f>IF(OR(B32="",G32="Concluída"),0,IF(G32="Atrasada",3000+MIN(Config!$B$5-E32,60),IF(G32="Vence em breve",2000-(E32-Config!$B$5),IF(G32="Em andamento",1000-MIN(E32-Config!$B$5,900),100)))-ROW()/100000)</f>
        <v>0</v>
      </c>
      <c r="L32" s="36">
        <f>IF(B32="","",IF(I32&lt;&gt;"",1,N(F32)))</f>
        <v/>
      </c>
    </row>
    <row r="33">
      <c r="A33" s="33" t="n"/>
      <c r="B33" s="31" t="n"/>
      <c r="C33" s="33" t="n"/>
      <c r="D33" s="34" t="n"/>
      <c r="E33" s="34" t="n"/>
      <c r="F33" s="35" t="n"/>
      <c r="G33" s="23">
        <f>IF(B33="","",IF(OR(F33&gt;=1,I33&lt;&gt;""),"Concluída",IF(E33="","Falta o prazo",IF(E33&lt;Config!$B$5,"Atrasada",IF(E33-Config!$B$5&lt;=Config!$B$6,"Vence em breve",IF(D33&lt;=Config!$B$5,"Em andamento","A iniciar"))))))</f>
        <v/>
      </c>
      <c r="H33" s="26">
        <f>IF(OR(B33="",G33="Concluída",E33=""),"",E33-Config!$B$5)</f>
        <v/>
      </c>
      <c r="I33" s="34" t="n"/>
      <c r="J33" s="31" t="n"/>
      <c r="K33" s="36">
        <f>IF(OR(B33="",G33="Concluída"),0,IF(G33="Atrasada",3000+MIN(Config!$B$5-E33,60),IF(G33="Vence em breve",2000-(E33-Config!$B$5),IF(G33="Em andamento",1000-MIN(E33-Config!$B$5,900),100)))-ROW()/100000)</f>
        <v>0</v>
      </c>
      <c r="L33" s="36">
        <f>IF(B33="","",IF(I33&lt;&gt;"",1,N(F33)))</f>
        <v/>
      </c>
    </row>
    <row r="34">
      <c r="A34" s="33" t="n"/>
      <c r="B34" s="31" t="n"/>
      <c r="C34" s="33" t="n"/>
      <c r="D34" s="34" t="n"/>
      <c r="E34" s="34" t="n"/>
      <c r="F34" s="35" t="n"/>
      <c r="G34" s="23">
        <f>IF(B34="","",IF(OR(F34&gt;=1,I34&lt;&gt;""),"Concluída",IF(E34="","Falta o prazo",IF(E34&lt;Config!$B$5,"Atrasada",IF(E34-Config!$B$5&lt;=Config!$B$6,"Vence em breve",IF(D34&lt;=Config!$B$5,"Em andamento","A iniciar"))))))</f>
        <v/>
      </c>
      <c r="H34" s="26">
        <f>IF(OR(B34="",G34="Concluída",E34=""),"",E34-Config!$B$5)</f>
        <v/>
      </c>
      <c r="I34" s="34" t="n"/>
      <c r="J34" s="31" t="n"/>
      <c r="K34" s="36">
        <f>IF(OR(B34="",G34="Concluída"),0,IF(G34="Atrasada",3000+MIN(Config!$B$5-E34,60),IF(G34="Vence em breve",2000-(E34-Config!$B$5),IF(G34="Em andamento",1000-MIN(E34-Config!$B$5,900),100)))-ROW()/100000)</f>
        <v>0</v>
      </c>
      <c r="L34" s="36">
        <f>IF(B34="","",IF(I34&lt;&gt;"",1,N(F34)))</f>
        <v/>
      </c>
    </row>
    <row r="35">
      <c r="A35" s="33" t="n"/>
      <c r="B35" s="31" t="n"/>
      <c r="C35" s="33" t="n"/>
      <c r="D35" s="34" t="n"/>
      <c r="E35" s="34" t="n"/>
      <c r="F35" s="35" t="n"/>
      <c r="G35" s="23">
        <f>IF(B35="","",IF(OR(F35&gt;=1,I35&lt;&gt;""),"Concluída",IF(E35="","Falta o prazo",IF(E35&lt;Config!$B$5,"Atrasada",IF(E35-Config!$B$5&lt;=Config!$B$6,"Vence em breve",IF(D35&lt;=Config!$B$5,"Em andamento","A iniciar"))))))</f>
        <v/>
      </c>
      <c r="H35" s="26">
        <f>IF(OR(B35="",G35="Concluída",E35=""),"",E35-Config!$B$5)</f>
        <v/>
      </c>
      <c r="I35" s="34" t="n"/>
      <c r="J35" s="31" t="n"/>
      <c r="K35" s="36">
        <f>IF(OR(B35="",G35="Concluída"),0,IF(G35="Atrasada",3000+MIN(Config!$B$5-E35,60),IF(G35="Vence em breve",2000-(E35-Config!$B$5),IF(G35="Em andamento",1000-MIN(E35-Config!$B$5,900),100)))-ROW()/100000)</f>
        <v>0</v>
      </c>
      <c r="L35" s="36">
        <f>IF(B35="","",IF(I35&lt;&gt;"",1,N(F35)))</f>
        <v/>
      </c>
    </row>
    <row r="36">
      <c r="A36" s="33" t="n"/>
      <c r="B36" s="31" t="n"/>
      <c r="C36" s="33" t="n"/>
      <c r="D36" s="34" t="n"/>
      <c r="E36" s="34" t="n"/>
      <c r="F36" s="35" t="n"/>
      <c r="G36" s="23">
        <f>IF(B36="","",IF(OR(F36&gt;=1,I36&lt;&gt;""),"Concluída",IF(E36="","Falta o prazo",IF(E36&lt;Config!$B$5,"Atrasada",IF(E36-Config!$B$5&lt;=Config!$B$6,"Vence em breve",IF(D36&lt;=Config!$B$5,"Em andamento","A iniciar"))))))</f>
        <v/>
      </c>
      <c r="H36" s="26">
        <f>IF(OR(B36="",G36="Concluída",E36=""),"",E36-Config!$B$5)</f>
        <v/>
      </c>
      <c r="I36" s="34" t="n"/>
      <c r="J36" s="31" t="n"/>
      <c r="K36" s="36">
        <f>IF(OR(B36="",G36="Concluída"),0,IF(G36="Atrasada",3000+MIN(Config!$B$5-E36,60),IF(G36="Vence em breve",2000-(E36-Config!$B$5),IF(G36="Em andamento",1000-MIN(E36-Config!$B$5,900),100)))-ROW()/100000)</f>
        <v>0</v>
      </c>
      <c r="L36" s="36">
        <f>IF(B36="","",IF(I36&lt;&gt;"",1,N(F36)))</f>
        <v/>
      </c>
    </row>
    <row r="37">
      <c r="A37" s="33" t="n"/>
      <c r="B37" s="31" t="n"/>
      <c r="C37" s="33" t="n"/>
      <c r="D37" s="34" t="n"/>
      <c r="E37" s="34" t="n"/>
      <c r="F37" s="35" t="n"/>
      <c r="G37" s="23">
        <f>IF(B37="","",IF(OR(F37&gt;=1,I37&lt;&gt;""),"Concluída",IF(E37="","Falta o prazo",IF(E37&lt;Config!$B$5,"Atrasada",IF(E37-Config!$B$5&lt;=Config!$B$6,"Vence em breve",IF(D37&lt;=Config!$B$5,"Em andamento","A iniciar"))))))</f>
        <v/>
      </c>
      <c r="H37" s="26">
        <f>IF(OR(B37="",G37="Concluída",E37=""),"",E37-Config!$B$5)</f>
        <v/>
      </c>
      <c r="I37" s="34" t="n"/>
      <c r="J37" s="31" t="n"/>
      <c r="K37" s="36">
        <f>IF(OR(B37="",G37="Concluída"),0,IF(G37="Atrasada",3000+MIN(Config!$B$5-E37,60),IF(G37="Vence em breve",2000-(E37-Config!$B$5),IF(G37="Em andamento",1000-MIN(E37-Config!$B$5,900),100)))-ROW()/100000)</f>
        <v>0</v>
      </c>
      <c r="L37" s="36">
        <f>IF(B37="","",IF(I37&lt;&gt;"",1,N(F37)))</f>
        <v/>
      </c>
    </row>
    <row r="38">
      <c r="A38" s="33" t="n"/>
      <c r="B38" s="31" t="n"/>
      <c r="C38" s="33" t="n"/>
      <c r="D38" s="34" t="n"/>
      <c r="E38" s="34" t="n"/>
      <c r="F38" s="35" t="n"/>
      <c r="G38" s="23">
        <f>IF(B38="","",IF(OR(F38&gt;=1,I38&lt;&gt;""),"Concluída",IF(E38="","Falta o prazo",IF(E38&lt;Config!$B$5,"Atrasada",IF(E38-Config!$B$5&lt;=Config!$B$6,"Vence em breve",IF(D38&lt;=Config!$B$5,"Em andamento","A iniciar"))))))</f>
        <v/>
      </c>
      <c r="H38" s="26">
        <f>IF(OR(B38="",G38="Concluída",E38=""),"",E38-Config!$B$5)</f>
        <v/>
      </c>
      <c r="I38" s="34" t="n"/>
      <c r="J38" s="31" t="n"/>
      <c r="K38" s="36">
        <f>IF(OR(B38="",G38="Concluída"),0,IF(G38="Atrasada",3000+MIN(Config!$B$5-E38,60),IF(G38="Vence em breve",2000-(E38-Config!$B$5),IF(G38="Em andamento",1000-MIN(E38-Config!$B$5,900),100)))-ROW()/100000)</f>
        <v>0</v>
      </c>
      <c r="L38" s="36">
        <f>IF(B38="","",IF(I38&lt;&gt;"",1,N(F38)))</f>
        <v/>
      </c>
    </row>
    <row r="39">
      <c r="A39" s="33" t="n"/>
      <c r="B39" s="31" t="n"/>
      <c r="C39" s="33" t="n"/>
      <c r="D39" s="34" t="n"/>
      <c r="E39" s="34" t="n"/>
      <c r="F39" s="35" t="n"/>
      <c r="G39" s="23">
        <f>IF(B39="","",IF(OR(F39&gt;=1,I39&lt;&gt;""),"Concluída",IF(E39="","Falta o prazo",IF(E39&lt;Config!$B$5,"Atrasada",IF(E39-Config!$B$5&lt;=Config!$B$6,"Vence em breve",IF(D39&lt;=Config!$B$5,"Em andamento","A iniciar"))))))</f>
        <v/>
      </c>
      <c r="H39" s="26">
        <f>IF(OR(B39="",G39="Concluída",E39=""),"",E39-Config!$B$5)</f>
        <v/>
      </c>
      <c r="I39" s="34" t="n"/>
      <c r="J39" s="31" t="n"/>
      <c r="K39" s="36">
        <f>IF(OR(B39="",G39="Concluída"),0,IF(G39="Atrasada",3000+MIN(Config!$B$5-E39,60),IF(G39="Vence em breve",2000-(E39-Config!$B$5),IF(G39="Em andamento",1000-MIN(E39-Config!$B$5,900),100)))-ROW()/100000)</f>
        <v>0</v>
      </c>
      <c r="L39" s="36">
        <f>IF(B39="","",IF(I39&lt;&gt;"",1,N(F39)))</f>
        <v/>
      </c>
    </row>
    <row r="40">
      <c r="A40" s="33" t="n"/>
      <c r="B40" s="31" t="n"/>
      <c r="C40" s="33" t="n"/>
      <c r="D40" s="34" t="n"/>
      <c r="E40" s="34" t="n"/>
      <c r="F40" s="35" t="n"/>
      <c r="G40" s="23">
        <f>IF(B40="","",IF(OR(F40&gt;=1,I40&lt;&gt;""),"Concluída",IF(E40="","Falta o prazo",IF(E40&lt;Config!$B$5,"Atrasada",IF(E40-Config!$B$5&lt;=Config!$B$6,"Vence em breve",IF(D40&lt;=Config!$B$5,"Em andamento","A iniciar"))))))</f>
        <v/>
      </c>
      <c r="H40" s="26">
        <f>IF(OR(B40="",G40="Concluída",E40=""),"",E40-Config!$B$5)</f>
        <v/>
      </c>
      <c r="I40" s="34" t="n"/>
      <c r="J40" s="31" t="n"/>
      <c r="K40" s="36">
        <f>IF(OR(B40="",G40="Concluída"),0,IF(G40="Atrasada",3000+MIN(Config!$B$5-E40,60),IF(G40="Vence em breve",2000-(E40-Config!$B$5),IF(G40="Em andamento",1000-MIN(E40-Config!$B$5,900),100)))-ROW()/100000)</f>
        <v>0</v>
      </c>
      <c r="L40" s="36">
        <f>IF(B40="","",IF(I40&lt;&gt;"",1,N(F40)))</f>
        <v/>
      </c>
    </row>
    <row r="41">
      <c r="A41" s="33" t="n"/>
      <c r="B41" s="31" t="n"/>
      <c r="C41" s="33" t="n"/>
      <c r="D41" s="34" t="n"/>
      <c r="E41" s="34" t="n"/>
      <c r="F41" s="35" t="n"/>
      <c r="G41" s="23">
        <f>IF(B41="","",IF(OR(F41&gt;=1,I41&lt;&gt;""),"Concluída",IF(E41="","Falta o prazo",IF(E41&lt;Config!$B$5,"Atrasada",IF(E41-Config!$B$5&lt;=Config!$B$6,"Vence em breve",IF(D41&lt;=Config!$B$5,"Em andamento","A iniciar"))))))</f>
        <v/>
      </c>
      <c r="H41" s="26">
        <f>IF(OR(B41="",G41="Concluída",E41=""),"",E41-Config!$B$5)</f>
        <v/>
      </c>
      <c r="I41" s="34" t="n"/>
      <c r="J41" s="31" t="n"/>
      <c r="K41" s="36">
        <f>IF(OR(B41="",G41="Concluída"),0,IF(G41="Atrasada",3000+MIN(Config!$B$5-E41,60),IF(G41="Vence em breve",2000-(E41-Config!$B$5),IF(G41="Em andamento",1000-MIN(E41-Config!$B$5,900),100)))-ROW()/100000)</f>
        <v>0</v>
      </c>
      <c r="L41" s="36">
        <f>IF(B41="","",IF(I41&lt;&gt;"",1,N(F41)))</f>
        <v/>
      </c>
    </row>
    <row r="42">
      <c r="A42" s="33" t="n"/>
      <c r="B42" s="31" t="n"/>
      <c r="C42" s="33" t="n"/>
      <c r="D42" s="34" t="n"/>
      <c r="E42" s="34" t="n"/>
      <c r="F42" s="35" t="n"/>
      <c r="G42" s="23">
        <f>IF(B42="","",IF(OR(F42&gt;=1,I42&lt;&gt;""),"Concluída",IF(E42="","Falta o prazo",IF(E42&lt;Config!$B$5,"Atrasada",IF(E42-Config!$B$5&lt;=Config!$B$6,"Vence em breve",IF(D42&lt;=Config!$B$5,"Em andamento","A iniciar"))))))</f>
        <v/>
      </c>
      <c r="H42" s="26">
        <f>IF(OR(B42="",G42="Concluída",E42=""),"",E42-Config!$B$5)</f>
        <v/>
      </c>
      <c r="I42" s="34" t="n"/>
      <c r="J42" s="31" t="n"/>
      <c r="K42" s="36">
        <f>IF(OR(B42="",G42="Concluída"),0,IF(G42="Atrasada",3000+MIN(Config!$B$5-E42,60),IF(G42="Vence em breve",2000-(E42-Config!$B$5),IF(G42="Em andamento",1000-MIN(E42-Config!$B$5,900),100)))-ROW()/100000)</f>
        <v>0</v>
      </c>
      <c r="L42" s="36">
        <f>IF(B42="","",IF(I42&lt;&gt;"",1,N(F42)))</f>
        <v/>
      </c>
    </row>
    <row r="43">
      <c r="A43" s="33" t="n"/>
      <c r="B43" s="31" t="n"/>
      <c r="C43" s="33" t="n"/>
      <c r="D43" s="34" t="n"/>
      <c r="E43" s="34" t="n"/>
      <c r="F43" s="35" t="n"/>
      <c r="G43" s="23">
        <f>IF(B43="","",IF(OR(F43&gt;=1,I43&lt;&gt;""),"Concluída",IF(E43="","Falta o prazo",IF(E43&lt;Config!$B$5,"Atrasada",IF(E43-Config!$B$5&lt;=Config!$B$6,"Vence em breve",IF(D43&lt;=Config!$B$5,"Em andamento","A iniciar"))))))</f>
        <v/>
      </c>
      <c r="H43" s="26">
        <f>IF(OR(B43="",G43="Concluída",E43=""),"",E43-Config!$B$5)</f>
        <v/>
      </c>
      <c r="I43" s="34" t="n"/>
      <c r="J43" s="31" t="n"/>
      <c r="K43" s="36">
        <f>IF(OR(B43="",G43="Concluída"),0,IF(G43="Atrasada",3000+MIN(Config!$B$5-E43,60),IF(G43="Vence em breve",2000-(E43-Config!$B$5),IF(G43="Em andamento",1000-MIN(E43-Config!$B$5,900),100)))-ROW()/100000)</f>
        <v>0</v>
      </c>
      <c r="L43" s="36">
        <f>IF(B43="","",IF(I43&lt;&gt;"",1,N(F43)))</f>
        <v/>
      </c>
    </row>
    <row r="44">
      <c r="A44" s="33" t="n"/>
      <c r="B44" s="31" t="n"/>
      <c r="C44" s="33" t="n"/>
      <c r="D44" s="34" t="n"/>
      <c r="E44" s="34" t="n"/>
      <c r="F44" s="35" t="n"/>
      <c r="G44" s="23">
        <f>IF(B44="","",IF(OR(F44&gt;=1,I44&lt;&gt;""),"Concluída",IF(E44="","Falta o prazo",IF(E44&lt;Config!$B$5,"Atrasada",IF(E44-Config!$B$5&lt;=Config!$B$6,"Vence em breve",IF(D44&lt;=Config!$B$5,"Em andamento","A iniciar"))))))</f>
        <v/>
      </c>
      <c r="H44" s="26">
        <f>IF(OR(B44="",G44="Concluída",E44=""),"",E44-Config!$B$5)</f>
        <v/>
      </c>
      <c r="I44" s="34" t="n"/>
      <c r="J44" s="31" t="n"/>
      <c r="K44" s="36">
        <f>IF(OR(B44="",G44="Concluída"),0,IF(G44="Atrasada",3000+MIN(Config!$B$5-E44,60),IF(G44="Vence em breve",2000-(E44-Config!$B$5),IF(G44="Em andamento",1000-MIN(E44-Config!$B$5,900),100)))-ROW()/100000)</f>
        <v>0</v>
      </c>
      <c r="L44" s="36">
        <f>IF(B44="","",IF(I44&lt;&gt;"",1,N(F44)))</f>
        <v/>
      </c>
    </row>
    <row r="45">
      <c r="A45" s="33" t="n"/>
      <c r="B45" s="31" t="n"/>
      <c r="C45" s="33" t="n"/>
      <c r="D45" s="34" t="n"/>
      <c r="E45" s="34" t="n"/>
      <c r="F45" s="35" t="n"/>
      <c r="G45" s="23">
        <f>IF(B45="","",IF(OR(F45&gt;=1,I45&lt;&gt;""),"Concluída",IF(E45="","Falta o prazo",IF(E45&lt;Config!$B$5,"Atrasada",IF(E45-Config!$B$5&lt;=Config!$B$6,"Vence em breve",IF(D45&lt;=Config!$B$5,"Em andamento","A iniciar"))))))</f>
        <v/>
      </c>
      <c r="H45" s="26">
        <f>IF(OR(B45="",G45="Concluída",E45=""),"",E45-Config!$B$5)</f>
        <v/>
      </c>
      <c r="I45" s="34" t="n"/>
      <c r="J45" s="31" t="n"/>
      <c r="K45" s="36">
        <f>IF(OR(B45="",G45="Concluída"),0,IF(G45="Atrasada",3000+MIN(Config!$B$5-E45,60),IF(G45="Vence em breve",2000-(E45-Config!$B$5),IF(G45="Em andamento",1000-MIN(E45-Config!$B$5,900),100)))-ROW()/100000)</f>
        <v>0</v>
      </c>
      <c r="L45" s="36">
        <f>IF(B45="","",IF(I45&lt;&gt;"",1,N(F45)))</f>
        <v/>
      </c>
    </row>
    <row r="46">
      <c r="A46" s="33" t="n"/>
      <c r="B46" s="31" t="n"/>
      <c r="C46" s="33" t="n"/>
      <c r="D46" s="34" t="n"/>
      <c r="E46" s="34" t="n"/>
      <c r="F46" s="35" t="n"/>
      <c r="G46" s="23">
        <f>IF(B46="","",IF(OR(F46&gt;=1,I46&lt;&gt;""),"Concluída",IF(E46="","Falta o prazo",IF(E46&lt;Config!$B$5,"Atrasada",IF(E46-Config!$B$5&lt;=Config!$B$6,"Vence em breve",IF(D46&lt;=Config!$B$5,"Em andamento","A iniciar"))))))</f>
        <v/>
      </c>
      <c r="H46" s="26">
        <f>IF(OR(B46="",G46="Concluída",E46=""),"",E46-Config!$B$5)</f>
        <v/>
      </c>
      <c r="I46" s="34" t="n"/>
      <c r="J46" s="31" t="n"/>
      <c r="K46" s="36">
        <f>IF(OR(B46="",G46="Concluída"),0,IF(G46="Atrasada",3000+MIN(Config!$B$5-E46,60),IF(G46="Vence em breve",2000-(E46-Config!$B$5),IF(G46="Em andamento",1000-MIN(E46-Config!$B$5,900),100)))-ROW()/100000)</f>
        <v>0</v>
      </c>
      <c r="L46" s="36">
        <f>IF(B46="","",IF(I46&lt;&gt;"",1,N(F46)))</f>
        <v/>
      </c>
    </row>
    <row r="47">
      <c r="A47" s="33" t="n"/>
      <c r="B47" s="31" t="n"/>
      <c r="C47" s="33" t="n"/>
      <c r="D47" s="34" t="n"/>
      <c r="E47" s="34" t="n"/>
      <c r="F47" s="35" t="n"/>
      <c r="G47" s="23">
        <f>IF(B47="","",IF(OR(F47&gt;=1,I47&lt;&gt;""),"Concluída",IF(E47="","Falta o prazo",IF(E47&lt;Config!$B$5,"Atrasada",IF(E47-Config!$B$5&lt;=Config!$B$6,"Vence em breve",IF(D47&lt;=Config!$B$5,"Em andamento","A iniciar"))))))</f>
        <v/>
      </c>
      <c r="H47" s="26">
        <f>IF(OR(B47="",G47="Concluída",E47=""),"",E47-Config!$B$5)</f>
        <v/>
      </c>
      <c r="I47" s="34" t="n"/>
      <c r="J47" s="31" t="n"/>
      <c r="K47" s="36">
        <f>IF(OR(B47="",G47="Concluída"),0,IF(G47="Atrasada",3000+MIN(Config!$B$5-E47,60),IF(G47="Vence em breve",2000-(E47-Config!$B$5),IF(G47="Em andamento",1000-MIN(E47-Config!$B$5,900),100)))-ROW()/100000)</f>
        <v>0</v>
      </c>
      <c r="L47" s="36">
        <f>IF(B47="","",IF(I47&lt;&gt;"",1,N(F47)))</f>
        <v/>
      </c>
    </row>
    <row r="48">
      <c r="A48" s="33" t="n"/>
      <c r="B48" s="31" t="n"/>
      <c r="C48" s="33" t="n"/>
      <c r="D48" s="34" t="n"/>
      <c r="E48" s="34" t="n"/>
      <c r="F48" s="35" t="n"/>
      <c r="G48" s="23">
        <f>IF(B48="","",IF(OR(F48&gt;=1,I48&lt;&gt;""),"Concluída",IF(E48="","Falta o prazo",IF(E48&lt;Config!$B$5,"Atrasada",IF(E48-Config!$B$5&lt;=Config!$B$6,"Vence em breve",IF(D48&lt;=Config!$B$5,"Em andamento","A iniciar"))))))</f>
        <v/>
      </c>
      <c r="H48" s="26">
        <f>IF(OR(B48="",G48="Concluída",E48=""),"",E48-Config!$B$5)</f>
        <v/>
      </c>
      <c r="I48" s="34" t="n"/>
      <c r="J48" s="31" t="n"/>
      <c r="K48" s="36">
        <f>IF(OR(B48="",G48="Concluída"),0,IF(G48="Atrasada",3000+MIN(Config!$B$5-E48,60),IF(G48="Vence em breve",2000-(E48-Config!$B$5),IF(G48="Em andamento",1000-MIN(E48-Config!$B$5,900),100)))-ROW()/100000)</f>
        <v>0</v>
      </c>
      <c r="L48" s="36">
        <f>IF(B48="","",IF(I48&lt;&gt;"",1,N(F48)))</f>
        <v/>
      </c>
    </row>
    <row r="49">
      <c r="A49" s="33" t="n"/>
      <c r="B49" s="31" t="n"/>
      <c r="C49" s="33" t="n"/>
      <c r="D49" s="34" t="n"/>
      <c r="E49" s="34" t="n"/>
      <c r="F49" s="35" t="n"/>
      <c r="G49" s="23">
        <f>IF(B49="","",IF(OR(F49&gt;=1,I49&lt;&gt;""),"Concluída",IF(E49="","Falta o prazo",IF(E49&lt;Config!$B$5,"Atrasada",IF(E49-Config!$B$5&lt;=Config!$B$6,"Vence em breve",IF(D49&lt;=Config!$B$5,"Em andamento","A iniciar"))))))</f>
        <v/>
      </c>
      <c r="H49" s="26">
        <f>IF(OR(B49="",G49="Concluída",E49=""),"",E49-Config!$B$5)</f>
        <v/>
      </c>
      <c r="I49" s="34" t="n"/>
      <c r="J49" s="31" t="n"/>
      <c r="K49" s="36">
        <f>IF(OR(B49="",G49="Concluída"),0,IF(G49="Atrasada",3000+MIN(Config!$B$5-E49,60),IF(G49="Vence em breve",2000-(E49-Config!$B$5),IF(G49="Em andamento",1000-MIN(E49-Config!$B$5,900),100)))-ROW()/100000)</f>
        <v>0</v>
      </c>
      <c r="L49" s="36">
        <f>IF(B49="","",IF(I49&lt;&gt;"",1,N(F49)))</f>
        <v/>
      </c>
    </row>
    <row r="50">
      <c r="A50" s="33" t="n"/>
      <c r="B50" s="31" t="n"/>
      <c r="C50" s="33" t="n"/>
      <c r="D50" s="34" t="n"/>
      <c r="E50" s="34" t="n"/>
      <c r="F50" s="35" t="n"/>
      <c r="G50" s="23">
        <f>IF(B50="","",IF(OR(F50&gt;=1,I50&lt;&gt;""),"Concluída",IF(E50="","Falta o prazo",IF(E50&lt;Config!$B$5,"Atrasada",IF(E50-Config!$B$5&lt;=Config!$B$6,"Vence em breve",IF(D50&lt;=Config!$B$5,"Em andamento","A iniciar"))))))</f>
        <v/>
      </c>
      <c r="H50" s="26">
        <f>IF(OR(B50="",G50="Concluída",E50=""),"",E50-Config!$B$5)</f>
        <v/>
      </c>
      <c r="I50" s="34" t="n"/>
      <c r="J50" s="31" t="n"/>
      <c r="K50" s="36">
        <f>IF(OR(B50="",G50="Concluída"),0,IF(G50="Atrasada",3000+MIN(Config!$B$5-E50,60),IF(G50="Vence em breve",2000-(E50-Config!$B$5),IF(G50="Em andamento",1000-MIN(E50-Config!$B$5,900),100)))-ROW()/100000)</f>
        <v>0</v>
      </c>
      <c r="L50" s="36">
        <f>IF(B50="","",IF(I50&lt;&gt;"",1,N(F50)))</f>
        <v/>
      </c>
    </row>
    <row r="51">
      <c r="A51" s="33" t="n"/>
      <c r="B51" s="31" t="n"/>
      <c r="C51" s="33" t="n"/>
      <c r="D51" s="34" t="n"/>
      <c r="E51" s="34" t="n"/>
      <c r="F51" s="35" t="n"/>
      <c r="G51" s="23">
        <f>IF(B51="","",IF(OR(F51&gt;=1,I51&lt;&gt;""),"Concluída",IF(E51="","Falta o prazo",IF(E51&lt;Config!$B$5,"Atrasada",IF(E51-Config!$B$5&lt;=Config!$B$6,"Vence em breve",IF(D51&lt;=Config!$B$5,"Em andamento","A iniciar"))))))</f>
        <v/>
      </c>
      <c r="H51" s="26">
        <f>IF(OR(B51="",G51="Concluída",E51=""),"",E51-Config!$B$5)</f>
        <v/>
      </c>
      <c r="I51" s="34" t="n"/>
      <c r="J51" s="31" t="n"/>
      <c r="K51" s="36">
        <f>IF(OR(B51="",G51="Concluída"),0,IF(G51="Atrasada",3000+MIN(Config!$B$5-E51,60),IF(G51="Vence em breve",2000-(E51-Config!$B$5),IF(G51="Em andamento",1000-MIN(E51-Config!$B$5,900),100)))-ROW()/100000)</f>
        <v>0</v>
      </c>
      <c r="L51" s="36">
        <f>IF(B51="","",IF(I51&lt;&gt;"",1,N(F51)))</f>
        <v/>
      </c>
    </row>
    <row r="52">
      <c r="A52" s="33" t="n"/>
      <c r="B52" s="31" t="n"/>
      <c r="C52" s="33" t="n"/>
      <c r="D52" s="34" t="n"/>
      <c r="E52" s="34" t="n"/>
      <c r="F52" s="35" t="n"/>
      <c r="G52" s="23">
        <f>IF(B52="","",IF(OR(F52&gt;=1,I52&lt;&gt;""),"Concluída",IF(E52="","Falta o prazo",IF(E52&lt;Config!$B$5,"Atrasada",IF(E52-Config!$B$5&lt;=Config!$B$6,"Vence em breve",IF(D52&lt;=Config!$B$5,"Em andamento","A iniciar"))))))</f>
        <v/>
      </c>
      <c r="H52" s="26">
        <f>IF(OR(B52="",G52="Concluída",E52=""),"",E52-Config!$B$5)</f>
        <v/>
      </c>
      <c r="I52" s="34" t="n"/>
      <c r="J52" s="31" t="n"/>
      <c r="K52" s="36">
        <f>IF(OR(B52="",G52="Concluída"),0,IF(G52="Atrasada",3000+MIN(Config!$B$5-E52,60),IF(G52="Vence em breve",2000-(E52-Config!$B$5),IF(G52="Em andamento",1000-MIN(E52-Config!$B$5,900),100)))-ROW()/100000)</f>
        <v>0</v>
      </c>
      <c r="L52" s="36">
        <f>IF(B52="","",IF(I52&lt;&gt;"",1,N(F52)))</f>
        <v/>
      </c>
    </row>
    <row r="53">
      <c r="A53" s="33" t="n"/>
      <c r="B53" s="31" t="n"/>
      <c r="C53" s="33" t="n"/>
      <c r="D53" s="34" t="n"/>
      <c r="E53" s="34" t="n"/>
      <c r="F53" s="35" t="n"/>
      <c r="G53" s="23">
        <f>IF(B53="","",IF(OR(F53&gt;=1,I53&lt;&gt;""),"Concluída",IF(E53="","Falta o prazo",IF(E53&lt;Config!$B$5,"Atrasada",IF(E53-Config!$B$5&lt;=Config!$B$6,"Vence em breve",IF(D53&lt;=Config!$B$5,"Em andamento","A iniciar"))))))</f>
        <v/>
      </c>
      <c r="H53" s="26">
        <f>IF(OR(B53="",G53="Concluída",E53=""),"",E53-Config!$B$5)</f>
        <v/>
      </c>
      <c r="I53" s="34" t="n"/>
      <c r="J53" s="31" t="n"/>
      <c r="K53" s="36">
        <f>IF(OR(B53="",G53="Concluída"),0,IF(G53="Atrasada",3000+MIN(Config!$B$5-E53,60),IF(G53="Vence em breve",2000-(E53-Config!$B$5),IF(G53="Em andamento",1000-MIN(E53-Config!$B$5,900),100)))-ROW()/100000)</f>
        <v>0</v>
      </c>
      <c r="L53" s="36">
        <f>IF(B53="","",IF(I53&lt;&gt;"",1,N(F53)))</f>
        <v/>
      </c>
    </row>
    <row r="54">
      <c r="A54" s="33" t="n"/>
      <c r="B54" s="31" t="n"/>
      <c r="C54" s="33" t="n"/>
      <c r="D54" s="34" t="n"/>
      <c r="E54" s="34" t="n"/>
      <c r="F54" s="35" t="n"/>
      <c r="G54" s="23">
        <f>IF(B54="","",IF(OR(F54&gt;=1,I54&lt;&gt;""),"Concluída",IF(E54="","Falta o prazo",IF(E54&lt;Config!$B$5,"Atrasada",IF(E54-Config!$B$5&lt;=Config!$B$6,"Vence em breve",IF(D54&lt;=Config!$B$5,"Em andamento","A iniciar"))))))</f>
        <v/>
      </c>
      <c r="H54" s="26">
        <f>IF(OR(B54="",G54="Concluída",E54=""),"",E54-Config!$B$5)</f>
        <v/>
      </c>
      <c r="I54" s="34" t="n"/>
      <c r="J54" s="31" t="n"/>
      <c r="K54" s="36">
        <f>IF(OR(B54="",G54="Concluída"),0,IF(G54="Atrasada",3000+MIN(Config!$B$5-E54,60),IF(G54="Vence em breve",2000-(E54-Config!$B$5),IF(G54="Em andamento",1000-MIN(E54-Config!$B$5,900),100)))-ROW()/100000)</f>
        <v>0</v>
      </c>
      <c r="L54" s="36">
        <f>IF(B54="","",IF(I54&lt;&gt;"",1,N(F54)))</f>
        <v/>
      </c>
    </row>
    <row r="55">
      <c r="A55" s="33" t="n"/>
      <c r="B55" s="31" t="n"/>
      <c r="C55" s="33" t="n"/>
      <c r="D55" s="34" t="n"/>
      <c r="E55" s="34" t="n"/>
      <c r="F55" s="35" t="n"/>
      <c r="G55" s="23">
        <f>IF(B55="","",IF(OR(F55&gt;=1,I55&lt;&gt;""),"Concluída",IF(E55="","Falta o prazo",IF(E55&lt;Config!$B$5,"Atrasada",IF(E55-Config!$B$5&lt;=Config!$B$6,"Vence em breve",IF(D55&lt;=Config!$B$5,"Em andamento","A iniciar"))))))</f>
        <v/>
      </c>
      <c r="H55" s="26">
        <f>IF(OR(B55="",G55="Concluída",E55=""),"",E55-Config!$B$5)</f>
        <v/>
      </c>
      <c r="I55" s="34" t="n"/>
      <c r="J55" s="31" t="n"/>
      <c r="K55" s="36">
        <f>IF(OR(B55="",G55="Concluída"),0,IF(G55="Atrasada",3000+MIN(Config!$B$5-E55,60),IF(G55="Vence em breve",2000-(E55-Config!$B$5),IF(G55="Em andamento",1000-MIN(E55-Config!$B$5,900),100)))-ROW()/100000)</f>
        <v>0</v>
      </c>
      <c r="L55" s="36">
        <f>IF(B55="","",IF(I55&lt;&gt;"",1,N(F55)))</f>
        <v/>
      </c>
    </row>
    <row r="56">
      <c r="A56" s="33" t="n"/>
      <c r="B56" s="31" t="n"/>
      <c r="C56" s="33" t="n"/>
      <c r="D56" s="34" t="n"/>
      <c r="E56" s="34" t="n"/>
      <c r="F56" s="35" t="n"/>
      <c r="G56" s="23">
        <f>IF(B56="","",IF(OR(F56&gt;=1,I56&lt;&gt;""),"Concluída",IF(E56="","Falta o prazo",IF(E56&lt;Config!$B$5,"Atrasada",IF(E56-Config!$B$5&lt;=Config!$B$6,"Vence em breve",IF(D56&lt;=Config!$B$5,"Em andamento","A iniciar"))))))</f>
        <v/>
      </c>
      <c r="H56" s="26">
        <f>IF(OR(B56="",G56="Concluída",E56=""),"",E56-Config!$B$5)</f>
        <v/>
      </c>
      <c r="I56" s="34" t="n"/>
      <c r="J56" s="31" t="n"/>
      <c r="K56" s="36">
        <f>IF(OR(B56="",G56="Concluída"),0,IF(G56="Atrasada",3000+MIN(Config!$B$5-E56,60),IF(G56="Vence em breve",2000-(E56-Config!$B$5),IF(G56="Em andamento",1000-MIN(E56-Config!$B$5,900),100)))-ROW()/100000)</f>
        <v>0</v>
      </c>
      <c r="L56" s="36">
        <f>IF(B56="","",IF(I56&lt;&gt;"",1,N(F56)))</f>
        <v/>
      </c>
    </row>
    <row r="57">
      <c r="A57" s="33" t="n"/>
      <c r="B57" s="31" t="n"/>
      <c r="C57" s="33" t="n"/>
      <c r="D57" s="34" t="n"/>
      <c r="E57" s="34" t="n"/>
      <c r="F57" s="35" t="n"/>
      <c r="G57" s="23">
        <f>IF(B57="","",IF(OR(F57&gt;=1,I57&lt;&gt;""),"Concluída",IF(E57="","Falta o prazo",IF(E57&lt;Config!$B$5,"Atrasada",IF(E57-Config!$B$5&lt;=Config!$B$6,"Vence em breve",IF(D57&lt;=Config!$B$5,"Em andamento","A iniciar"))))))</f>
        <v/>
      </c>
      <c r="H57" s="26">
        <f>IF(OR(B57="",G57="Concluída",E57=""),"",E57-Config!$B$5)</f>
        <v/>
      </c>
      <c r="I57" s="34" t="n"/>
      <c r="J57" s="31" t="n"/>
      <c r="K57" s="36">
        <f>IF(OR(B57="",G57="Concluída"),0,IF(G57="Atrasada",3000+MIN(Config!$B$5-E57,60),IF(G57="Vence em breve",2000-(E57-Config!$B$5),IF(G57="Em andamento",1000-MIN(E57-Config!$B$5,900),100)))-ROW()/100000)</f>
        <v>0</v>
      </c>
      <c r="L57" s="36">
        <f>IF(B57="","",IF(I57&lt;&gt;"",1,N(F57)))</f>
        <v/>
      </c>
    </row>
    <row r="58">
      <c r="A58" s="33" t="n"/>
      <c r="B58" s="31" t="n"/>
      <c r="C58" s="33" t="n"/>
      <c r="D58" s="34" t="n"/>
      <c r="E58" s="34" t="n"/>
      <c r="F58" s="35" t="n"/>
      <c r="G58" s="23">
        <f>IF(B58="","",IF(OR(F58&gt;=1,I58&lt;&gt;""),"Concluída",IF(E58="","Falta o prazo",IF(E58&lt;Config!$B$5,"Atrasada",IF(E58-Config!$B$5&lt;=Config!$B$6,"Vence em breve",IF(D58&lt;=Config!$B$5,"Em andamento","A iniciar"))))))</f>
        <v/>
      </c>
      <c r="H58" s="26">
        <f>IF(OR(B58="",G58="Concluída",E58=""),"",E58-Config!$B$5)</f>
        <v/>
      </c>
      <c r="I58" s="34" t="n"/>
      <c r="J58" s="31" t="n"/>
      <c r="K58" s="36">
        <f>IF(OR(B58="",G58="Concluída"),0,IF(G58="Atrasada",3000+MIN(Config!$B$5-E58,60),IF(G58="Vence em breve",2000-(E58-Config!$B$5),IF(G58="Em andamento",1000-MIN(E58-Config!$B$5,900),100)))-ROW()/100000)</f>
        <v>0</v>
      </c>
      <c r="L58" s="36">
        <f>IF(B58="","",IF(I58&lt;&gt;"",1,N(F58)))</f>
        <v/>
      </c>
    </row>
    <row r="59">
      <c r="A59" s="33" t="n"/>
      <c r="B59" s="31" t="n"/>
      <c r="C59" s="33" t="n"/>
      <c r="D59" s="34" t="n"/>
      <c r="E59" s="34" t="n"/>
      <c r="F59" s="35" t="n"/>
      <c r="G59" s="23">
        <f>IF(B59="","",IF(OR(F59&gt;=1,I59&lt;&gt;""),"Concluída",IF(E59="","Falta o prazo",IF(E59&lt;Config!$B$5,"Atrasada",IF(E59-Config!$B$5&lt;=Config!$B$6,"Vence em breve",IF(D59&lt;=Config!$B$5,"Em andamento","A iniciar"))))))</f>
        <v/>
      </c>
      <c r="H59" s="26">
        <f>IF(OR(B59="",G59="Concluída",E59=""),"",E59-Config!$B$5)</f>
        <v/>
      </c>
      <c r="I59" s="34" t="n"/>
      <c r="J59" s="31" t="n"/>
      <c r="K59" s="36">
        <f>IF(OR(B59="",G59="Concluída"),0,IF(G59="Atrasada",3000+MIN(Config!$B$5-E59,60),IF(G59="Vence em breve",2000-(E59-Config!$B$5),IF(G59="Em andamento",1000-MIN(E59-Config!$B$5,900),100)))-ROW()/100000)</f>
        <v>0</v>
      </c>
      <c r="L59" s="36">
        <f>IF(B59="","",IF(I59&lt;&gt;"",1,N(F59)))</f>
        <v/>
      </c>
    </row>
    <row r="60">
      <c r="A60" s="33" t="n"/>
      <c r="B60" s="31" t="n"/>
      <c r="C60" s="33" t="n"/>
      <c r="D60" s="34" t="n"/>
      <c r="E60" s="34" t="n"/>
      <c r="F60" s="35" t="n"/>
      <c r="G60" s="23">
        <f>IF(B60="","",IF(OR(F60&gt;=1,I60&lt;&gt;""),"Concluída",IF(E60="","Falta o prazo",IF(E60&lt;Config!$B$5,"Atrasada",IF(E60-Config!$B$5&lt;=Config!$B$6,"Vence em breve",IF(D60&lt;=Config!$B$5,"Em andamento","A iniciar"))))))</f>
        <v/>
      </c>
      <c r="H60" s="26">
        <f>IF(OR(B60="",G60="Concluída",E60=""),"",E60-Config!$B$5)</f>
        <v/>
      </c>
      <c r="I60" s="34" t="n"/>
      <c r="J60" s="31" t="n"/>
      <c r="K60" s="36">
        <f>IF(OR(B60="",G60="Concluída"),0,IF(G60="Atrasada",3000+MIN(Config!$B$5-E60,60),IF(G60="Vence em breve",2000-(E60-Config!$B$5),IF(G60="Em andamento",1000-MIN(E60-Config!$B$5,900),100)))-ROW()/100000)</f>
        <v>0</v>
      </c>
      <c r="L60" s="36">
        <f>IF(B60="","",IF(I60&lt;&gt;"",1,N(F60)))</f>
        <v/>
      </c>
    </row>
    <row r="61">
      <c r="A61" s="33" t="n"/>
      <c r="B61" s="31" t="n"/>
      <c r="C61" s="33" t="n"/>
      <c r="D61" s="34" t="n"/>
      <c r="E61" s="34" t="n"/>
      <c r="F61" s="35" t="n"/>
      <c r="G61" s="23">
        <f>IF(B61="","",IF(OR(F61&gt;=1,I61&lt;&gt;""),"Concluída",IF(E61="","Falta o prazo",IF(E61&lt;Config!$B$5,"Atrasada",IF(E61-Config!$B$5&lt;=Config!$B$6,"Vence em breve",IF(D61&lt;=Config!$B$5,"Em andamento","A iniciar"))))))</f>
        <v/>
      </c>
      <c r="H61" s="26">
        <f>IF(OR(B61="",G61="Concluída",E61=""),"",E61-Config!$B$5)</f>
        <v/>
      </c>
      <c r="I61" s="34" t="n"/>
      <c r="J61" s="31" t="n"/>
      <c r="K61" s="36">
        <f>IF(OR(B61="",G61="Concluída"),0,IF(G61="Atrasada",3000+MIN(Config!$B$5-E61,60),IF(G61="Vence em breve",2000-(E61-Config!$B$5),IF(G61="Em andamento",1000-MIN(E61-Config!$B$5,900),100)))-ROW()/100000)</f>
        <v>0</v>
      </c>
      <c r="L61" s="36">
        <f>IF(B61="","",IF(I61&lt;&gt;"",1,N(F61)))</f>
        <v/>
      </c>
    </row>
    <row r="62">
      <c r="A62" s="33" t="n"/>
      <c r="B62" s="31" t="n"/>
      <c r="C62" s="33" t="n"/>
      <c r="D62" s="34" t="n"/>
      <c r="E62" s="34" t="n"/>
      <c r="F62" s="35" t="n"/>
      <c r="G62" s="23">
        <f>IF(B62="","",IF(OR(F62&gt;=1,I62&lt;&gt;""),"Concluída",IF(E62="","Falta o prazo",IF(E62&lt;Config!$B$5,"Atrasada",IF(E62-Config!$B$5&lt;=Config!$B$6,"Vence em breve",IF(D62&lt;=Config!$B$5,"Em andamento","A iniciar"))))))</f>
        <v/>
      </c>
      <c r="H62" s="26">
        <f>IF(OR(B62="",G62="Concluída",E62=""),"",E62-Config!$B$5)</f>
        <v/>
      </c>
      <c r="I62" s="34" t="n"/>
      <c r="J62" s="31" t="n"/>
      <c r="K62" s="36">
        <f>IF(OR(B62="",G62="Concluída"),0,IF(G62="Atrasada",3000+MIN(Config!$B$5-E62,60),IF(G62="Vence em breve",2000-(E62-Config!$B$5),IF(G62="Em andamento",1000-MIN(E62-Config!$B$5,900),100)))-ROW()/100000)</f>
        <v>0</v>
      </c>
      <c r="L62" s="36">
        <f>IF(B62="","",IF(I62&lt;&gt;"",1,N(F62)))</f>
        <v/>
      </c>
    </row>
    <row r="63">
      <c r="A63" s="33" t="n"/>
      <c r="B63" s="31" t="n"/>
      <c r="C63" s="33" t="n"/>
      <c r="D63" s="34" t="n"/>
      <c r="E63" s="34" t="n"/>
      <c r="F63" s="35" t="n"/>
      <c r="G63" s="23">
        <f>IF(B63="","",IF(OR(F63&gt;=1,I63&lt;&gt;""),"Concluída",IF(E63="","Falta o prazo",IF(E63&lt;Config!$B$5,"Atrasada",IF(E63-Config!$B$5&lt;=Config!$B$6,"Vence em breve",IF(D63&lt;=Config!$B$5,"Em andamento","A iniciar"))))))</f>
        <v/>
      </c>
      <c r="H63" s="26">
        <f>IF(OR(B63="",G63="Concluída",E63=""),"",E63-Config!$B$5)</f>
        <v/>
      </c>
      <c r="I63" s="34" t="n"/>
      <c r="J63" s="31" t="n"/>
      <c r="K63" s="36">
        <f>IF(OR(B63="",G63="Concluída"),0,IF(G63="Atrasada",3000+MIN(Config!$B$5-E63,60),IF(G63="Vence em breve",2000-(E63-Config!$B$5),IF(G63="Em andamento",1000-MIN(E63-Config!$B$5,900),100)))-ROW()/100000)</f>
        <v>0</v>
      </c>
      <c r="L63" s="36">
        <f>IF(B63="","",IF(I63&lt;&gt;"",1,N(F63)))</f>
        <v/>
      </c>
    </row>
    <row r="64">
      <c r="A64" s="33" t="n"/>
      <c r="B64" s="31" t="n"/>
      <c r="C64" s="33" t="n"/>
      <c r="D64" s="34" t="n"/>
      <c r="E64" s="34" t="n"/>
      <c r="F64" s="35" t="n"/>
      <c r="G64" s="23">
        <f>IF(B64="","",IF(OR(F64&gt;=1,I64&lt;&gt;""),"Concluída",IF(E64="","Falta o prazo",IF(E64&lt;Config!$B$5,"Atrasada",IF(E64-Config!$B$5&lt;=Config!$B$6,"Vence em breve",IF(D64&lt;=Config!$B$5,"Em andamento","A iniciar"))))))</f>
        <v/>
      </c>
      <c r="H64" s="26">
        <f>IF(OR(B64="",G64="Concluída",E64=""),"",E64-Config!$B$5)</f>
        <v/>
      </c>
      <c r="I64" s="34" t="n"/>
      <c r="J64" s="31" t="n"/>
      <c r="K64" s="36">
        <f>IF(OR(B64="",G64="Concluída"),0,IF(G64="Atrasada",3000+MIN(Config!$B$5-E64,60),IF(G64="Vence em breve",2000-(E64-Config!$B$5),IF(G64="Em andamento",1000-MIN(E64-Config!$B$5,900),100)))-ROW()/100000)</f>
        <v>0</v>
      </c>
      <c r="L64" s="36">
        <f>IF(B64="","",IF(I64&lt;&gt;"",1,N(F64)))</f>
        <v/>
      </c>
    </row>
    <row r="65">
      <c r="A65" s="33" t="n"/>
      <c r="B65" s="31" t="n"/>
      <c r="C65" s="33" t="n"/>
      <c r="D65" s="34" t="n"/>
      <c r="E65" s="34" t="n"/>
      <c r="F65" s="35" t="n"/>
      <c r="G65" s="23">
        <f>IF(B65="","",IF(OR(F65&gt;=1,I65&lt;&gt;""),"Concluída",IF(E65="","Falta o prazo",IF(E65&lt;Config!$B$5,"Atrasada",IF(E65-Config!$B$5&lt;=Config!$B$6,"Vence em breve",IF(D65&lt;=Config!$B$5,"Em andamento","A iniciar"))))))</f>
        <v/>
      </c>
      <c r="H65" s="26">
        <f>IF(OR(B65="",G65="Concluída",E65=""),"",E65-Config!$B$5)</f>
        <v/>
      </c>
      <c r="I65" s="34" t="n"/>
      <c r="J65" s="31" t="n"/>
      <c r="K65" s="36">
        <f>IF(OR(B65="",G65="Concluída"),0,IF(G65="Atrasada",3000+MIN(Config!$B$5-E65,60),IF(G65="Vence em breve",2000-(E65-Config!$B$5),IF(G65="Em andamento",1000-MIN(E65-Config!$B$5,900),100)))-ROW()/100000)</f>
        <v>0</v>
      </c>
      <c r="L65" s="36">
        <f>IF(B65="","",IF(I65&lt;&gt;"",1,N(F65)))</f>
        <v/>
      </c>
    </row>
    <row r="66">
      <c r="A66" s="33" t="n"/>
      <c r="B66" s="31" t="n"/>
      <c r="C66" s="33" t="n"/>
      <c r="D66" s="34" t="n"/>
      <c r="E66" s="34" t="n"/>
      <c r="F66" s="35" t="n"/>
      <c r="G66" s="23">
        <f>IF(B66="","",IF(OR(F66&gt;=1,I66&lt;&gt;""),"Concluída",IF(E66="","Falta o prazo",IF(E66&lt;Config!$B$5,"Atrasada",IF(E66-Config!$B$5&lt;=Config!$B$6,"Vence em breve",IF(D66&lt;=Config!$B$5,"Em andamento","A iniciar"))))))</f>
        <v/>
      </c>
      <c r="H66" s="26">
        <f>IF(OR(B66="",G66="Concluída",E66=""),"",E66-Config!$B$5)</f>
        <v/>
      </c>
      <c r="I66" s="34" t="n"/>
      <c r="J66" s="31" t="n"/>
      <c r="K66" s="36">
        <f>IF(OR(B66="",G66="Concluída"),0,IF(G66="Atrasada",3000+MIN(Config!$B$5-E66,60),IF(G66="Vence em breve",2000-(E66-Config!$B$5),IF(G66="Em andamento",1000-MIN(E66-Config!$B$5,900),100)))-ROW()/100000)</f>
        <v>0</v>
      </c>
      <c r="L66" s="36">
        <f>IF(B66="","",IF(I66&lt;&gt;"",1,N(F66)))</f>
        <v/>
      </c>
    </row>
    <row r="67">
      <c r="A67" s="33" t="n"/>
      <c r="B67" s="31" t="n"/>
      <c r="C67" s="33" t="n"/>
      <c r="D67" s="34" t="n"/>
      <c r="E67" s="34" t="n"/>
      <c r="F67" s="35" t="n"/>
      <c r="G67" s="23">
        <f>IF(B67="","",IF(OR(F67&gt;=1,I67&lt;&gt;""),"Concluída",IF(E67="","Falta o prazo",IF(E67&lt;Config!$B$5,"Atrasada",IF(E67-Config!$B$5&lt;=Config!$B$6,"Vence em breve",IF(D67&lt;=Config!$B$5,"Em andamento","A iniciar"))))))</f>
        <v/>
      </c>
      <c r="H67" s="26">
        <f>IF(OR(B67="",G67="Concluída",E67=""),"",E67-Config!$B$5)</f>
        <v/>
      </c>
      <c r="I67" s="34" t="n"/>
      <c r="J67" s="31" t="n"/>
      <c r="K67" s="36">
        <f>IF(OR(B67="",G67="Concluída"),0,IF(G67="Atrasada",3000+MIN(Config!$B$5-E67,60),IF(G67="Vence em breve",2000-(E67-Config!$B$5),IF(G67="Em andamento",1000-MIN(E67-Config!$B$5,900),100)))-ROW()/100000)</f>
        <v>0</v>
      </c>
      <c r="L67" s="36">
        <f>IF(B67="","",IF(I67&lt;&gt;"",1,N(F67)))</f>
        <v/>
      </c>
    </row>
    <row r="68">
      <c r="A68" s="33" t="n"/>
      <c r="B68" s="31" t="n"/>
      <c r="C68" s="33" t="n"/>
      <c r="D68" s="34" t="n"/>
      <c r="E68" s="34" t="n"/>
      <c r="F68" s="35" t="n"/>
      <c r="G68" s="23">
        <f>IF(B68="","",IF(OR(F68&gt;=1,I68&lt;&gt;""),"Concluída",IF(E68="","Falta o prazo",IF(E68&lt;Config!$B$5,"Atrasada",IF(E68-Config!$B$5&lt;=Config!$B$6,"Vence em breve",IF(D68&lt;=Config!$B$5,"Em andamento","A iniciar"))))))</f>
        <v/>
      </c>
      <c r="H68" s="26">
        <f>IF(OR(B68="",G68="Concluída",E68=""),"",E68-Config!$B$5)</f>
        <v/>
      </c>
      <c r="I68" s="34" t="n"/>
      <c r="J68" s="31" t="n"/>
      <c r="K68" s="36">
        <f>IF(OR(B68="",G68="Concluída"),0,IF(G68="Atrasada",3000+MIN(Config!$B$5-E68,60),IF(G68="Vence em breve",2000-(E68-Config!$B$5),IF(G68="Em andamento",1000-MIN(E68-Config!$B$5,900),100)))-ROW()/100000)</f>
        <v>0</v>
      </c>
      <c r="L68" s="36">
        <f>IF(B68="","",IF(I68&lt;&gt;"",1,N(F68)))</f>
        <v/>
      </c>
    </row>
    <row r="69">
      <c r="A69" s="33" t="n"/>
      <c r="B69" s="31" t="n"/>
      <c r="C69" s="33" t="n"/>
      <c r="D69" s="34" t="n"/>
      <c r="E69" s="34" t="n"/>
      <c r="F69" s="35" t="n"/>
      <c r="G69" s="23">
        <f>IF(B69="","",IF(OR(F69&gt;=1,I69&lt;&gt;""),"Concluída",IF(E69="","Falta o prazo",IF(E69&lt;Config!$B$5,"Atrasada",IF(E69-Config!$B$5&lt;=Config!$B$6,"Vence em breve",IF(D69&lt;=Config!$B$5,"Em andamento","A iniciar"))))))</f>
        <v/>
      </c>
      <c r="H69" s="26">
        <f>IF(OR(B69="",G69="Concluída",E69=""),"",E69-Config!$B$5)</f>
        <v/>
      </c>
      <c r="I69" s="34" t="n"/>
      <c r="J69" s="31" t="n"/>
      <c r="K69" s="36">
        <f>IF(OR(B69="",G69="Concluída"),0,IF(G69="Atrasada",3000+MIN(Config!$B$5-E69,60),IF(G69="Vence em breve",2000-(E69-Config!$B$5),IF(G69="Em andamento",1000-MIN(E69-Config!$B$5,900),100)))-ROW()/100000)</f>
        <v>0</v>
      </c>
      <c r="L69" s="36">
        <f>IF(B69="","",IF(I69&lt;&gt;"",1,N(F69)))</f>
        <v/>
      </c>
    </row>
    <row r="70">
      <c r="A70" s="33" t="n"/>
      <c r="B70" s="31" t="n"/>
      <c r="C70" s="33" t="n"/>
      <c r="D70" s="34" t="n"/>
      <c r="E70" s="34" t="n"/>
      <c r="F70" s="35" t="n"/>
      <c r="G70" s="23">
        <f>IF(B70="","",IF(OR(F70&gt;=1,I70&lt;&gt;""),"Concluída",IF(E70="","Falta o prazo",IF(E70&lt;Config!$B$5,"Atrasada",IF(E70-Config!$B$5&lt;=Config!$B$6,"Vence em breve",IF(D70&lt;=Config!$B$5,"Em andamento","A iniciar"))))))</f>
        <v/>
      </c>
      <c r="H70" s="26">
        <f>IF(OR(B70="",G70="Concluída",E70=""),"",E70-Config!$B$5)</f>
        <v/>
      </c>
      <c r="I70" s="34" t="n"/>
      <c r="J70" s="31" t="n"/>
      <c r="K70" s="36">
        <f>IF(OR(B70="",G70="Concluída"),0,IF(G70="Atrasada",3000+MIN(Config!$B$5-E70,60),IF(G70="Vence em breve",2000-(E70-Config!$B$5),IF(G70="Em andamento",1000-MIN(E70-Config!$B$5,900),100)))-ROW()/100000)</f>
        <v>0</v>
      </c>
      <c r="L70" s="36">
        <f>IF(B70="","",IF(I70&lt;&gt;"",1,N(F70)))</f>
        <v/>
      </c>
    </row>
    <row r="71">
      <c r="A71" s="33" t="n"/>
      <c r="B71" s="31" t="n"/>
      <c r="C71" s="33" t="n"/>
      <c r="D71" s="34" t="n"/>
      <c r="E71" s="34" t="n"/>
      <c r="F71" s="35" t="n"/>
      <c r="G71" s="23">
        <f>IF(B71="","",IF(OR(F71&gt;=1,I71&lt;&gt;""),"Concluída",IF(E71="","Falta o prazo",IF(E71&lt;Config!$B$5,"Atrasada",IF(E71-Config!$B$5&lt;=Config!$B$6,"Vence em breve",IF(D71&lt;=Config!$B$5,"Em andamento","A iniciar"))))))</f>
        <v/>
      </c>
      <c r="H71" s="26">
        <f>IF(OR(B71="",G71="Concluída",E71=""),"",E71-Config!$B$5)</f>
        <v/>
      </c>
      <c r="I71" s="34" t="n"/>
      <c r="J71" s="31" t="n"/>
      <c r="K71" s="36">
        <f>IF(OR(B71="",G71="Concluída"),0,IF(G71="Atrasada",3000+MIN(Config!$B$5-E71,60),IF(G71="Vence em breve",2000-(E71-Config!$B$5),IF(G71="Em andamento",1000-MIN(E71-Config!$B$5,900),100)))-ROW()/100000)</f>
        <v>0</v>
      </c>
      <c r="L71" s="36">
        <f>IF(B71="","",IF(I71&lt;&gt;"",1,N(F71)))</f>
        <v/>
      </c>
    </row>
    <row r="72">
      <c r="A72" s="33" t="n"/>
      <c r="B72" s="31" t="n"/>
      <c r="C72" s="33" t="n"/>
      <c r="D72" s="34" t="n"/>
      <c r="E72" s="34" t="n"/>
      <c r="F72" s="35" t="n"/>
      <c r="G72" s="23">
        <f>IF(B72="","",IF(OR(F72&gt;=1,I72&lt;&gt;""),"Concluída",IF(E72="","Falta o prazo",IF(E72&lt;Config!$B$5,"Atrasada",IF(E72-Config!$B$5&lt;=Config!$B$6,"Vence em breve",IF(D72&lt;=Config!$B$5,"Em andamento","A iniciar"))))))</f>
        <v/>
      </c>
      <c r="H72" s="26">
        <f>IF(OR(B72="",G72="Concluída",E72=""),"",E72-Config!$B$5)</f>
        <v/>
      </c>
      <c r="I72" s="34" t="n"/>
      <c r="J72" s="31" t="n"/>
      <c r="K72" s="36">
        <f>IF(OR(B72="",G72="Concluída"),0,IF(G72="Atrasada",3000+MIN(Config!$B$5-E72,60),IF(G72="Vence em breve",2000-(E72-Config!$B$5),IF(G72="Em andamento",1000-MIN(E72-Config!$B$5,900),100)))-ROW()/100000)</f>
        <v>0</v>
      </c>
      <c r="L72" s="36">
        <f>IF(B72="","",IF(I72&lt;&gt;"",1,N(F72)))</f>
        <v/>
      </c>
    </row>
    <row r="73">
      <c r="A73" s="33" t="n"/>
      <c r="B73" s="31" t="n"/>
      <c r="C73" s="33" t="n"/>
      <c r="D73" s="34" t="n"/>
      <c r="E73" s="34" t="n"/>
      <c r="F73" s="35" t="n"/>
      <c r="G73" s="23">
        <f>IF(B73="","",IF(OR(F73&gt;=1,I73&lt;&gt;""),"Concluída",IF(E73="","Falta o prazo",IF(E73&lt;Config!$B$5,"Atrasada",IF(E73-Config!$B$5&lt;=Config!$B$6,"Vence em breve",IF(D73&lt;=Config!$B$5,"Em andamento","A iniciar"))))))</f>
        <v/>
      </c>
      <c r="H73" s="26">
        <f>IF(OR(B73="",G73="Concluída",E73=""),"",E73-Config!$B$5)</f>
        <v/>
      </c>
      <c r="I73" s="34" t="n"/>
      <c r="J73" s="31" t="n"/>
      <c r="K73" s="36">
        <f>IF(OR(B73="",G73="Concluída"),0,IF(G73="Atrasada",3000+MIN(Config!$B$5-E73,60),IF(G73="Vence em breve",2000-(E73-Config!$B$5),IF(G73="Em andamento",1000-MIN(E73-Config!$B$5,900),100)))-ROW()/100000)</f>
        <v>0</v>
      </c>
      <c r="L73" s="36">
        <f>IF(B73="","",IF(I73&lt;&gt;"",1,N(F73)))</f>
        <v/>
      </c>
    </row>
    <row r="74">
      <c r="A74" s="33" t="n"/>
      <c r="B74" s="31" t="n"/>
      <c r="C74" s="33" t="n"/>
      <c r="D74" s="34" t="n"/>
      <c r="E74" s="34" t="n"/>
      <c r="F74" s="35" t="n"/>
      <c r="G74" s="23">
        <f>IF(B74="","",IF(OR(F74&gt;=1,I74&lt;&gt;""),"Concluída",IF(E74="","Falta o prazo",IF(E74&lt;Config!$B$5,"Atrasada",IF(E74-Config!$B$5&lt;=Config!$B$6,"Vence em breve",IF(D74&lt;=Config!$B$5,"Em andamento","A iniciar"))))))</f>
        <v/>
      </c>
      <c r="H74" s="26">
        <f>IF(OR(B74="",G74="Concluída",E74=""),"",E74-Config!$B$5)</f>
        <v/>
      </c>
      <c r="I74" s="34" t="n"/>
      <c r="J74" s="31" t="n"/>
      <c r="K74" s="36">
        <f>IF(OR(B74="",G74="Concluída"),0,IF(G74="Atrasada",3000+MIN(Config!$B$5-E74,60),IF(G74="Vence em breve",2000-(E74-Config!$B$5),IF(G74="Em andamento",1000-MIN(E74-Config!$B$5,900),100)))-ROW()/100000)</f>
        <v>0</v>
      </c>
      <c r="L74" s="36">
        <f>IF(B74="","",IF(I74&lt;&gt;"",1,N(F74)))</f>
        <v/>
      </c>
    </row>
    <row r="75">
      <c r="A75" s="33" t="n"/>
      <c r="B75" s="31" t="n"/>
      <c r="C75" s="33" t="n"/>
      <c r="D75" s="34" t="n"/>
      <c r="E75" s="34" t="n"/>
      <c r="F75" s="35" t="n"/>
      <c r="G75" s="23">
        <f>IF(B75="","",IF(OR(F75&gt;=1,I75&lt;&gt;""),"Concluída",IF(E75="","Falta o prazo",IF(E75&lt;Config!$B$5,"Atrasada",IF(E75-Config!$B$5&lt;=Config!$B$6,"Vence em breve",IF(D75&lt;=Config!$B$5,"Em andamento","A iniciar"))))))</f>
        <v/>
      </c>
      <c r="H75" s="26">
        <f>IF(OR(B75="",G75="Concluída",E75=""),"",E75-Config!$B$5)</f>
        <v/>
      </c>
      <c r="I75" s="34" t="n"/>
      <c r="J75" s="31" t="n"/>
      <c r="K75" s="36">
        <f>IF(OR(B75="",G75="Concluída"),0,IF(G75="Atrasada",3000+MIN(Config!$B$5-E75,60),IF(G75="Vence em breve",2000-(E75-Config!$B$5),IF(G75="Em andamento",1000-MIN(E75-Config!$B$5,900),100)))-ROW()/100000)</f>
        <v>0</v>
      </c>
      <c r="L75" s="36">
        <f>IF(B75="","",IF(I75&lt;&gt;"",1,N(F75)))</f>
        <v/>
      </c>
    </row>
    <row r="76">
      <c r="A76" s="33" t="n"/>
      <c r="B76" s="31" t="n"/>
      <c r="C76" s="33" t="n"/>
      <c r="D76" s="34" t="n"/>
      <c r="E76" s="34" t="n"/>
      <c r="F76" s="35" t="n"/>
      <c r="G76" s="23">
        <f>IF(B76="","",IF(OR(F76&gt;=1,I76&lt;&gt;""),"Concluída",IF(E76="","Falta o prazo",IF(E76&lt;Config!$B$5,"Atrasada",IF(E76-Config!$B$5&lt;=Config!$B$6,"Vence em breve",IF(D76&lt;=Config!$B$5,"Em andamento","A iniciar"))))))</f>
        <v/>
      </c>
      <c r="H76" s="26">
        <f>IF(OR(B76="",G76="Concluída",E76=""),"",E76-Config!$B$5)</f>
        <v/>
      </c>
      <c r="I76" s="34" t="n"/>
      <c r="J76" s="31" t="n"/>
      <c r="K76" s="36">
        <f>IF(OR(B76="",G76="Concluída"),0,IF(G76="Atrasada",3000+MIN(Config!$B$5-E76,60),IF(G76="Vence em breve",2000-(E76-Config!$B$5),IF(G76="Em andamento",1000-MIN(E76-Config!$B$5,900),100)))-ROW()/100000)</f>
        <v>0</v>
      </c>
      <c r="L76" s="36">
        <f>IF(B76="","",IF(I76&lt;&gt;"",1,N(F76)))</f>
        <v/>
      </c>
    </row>
    <row r="77">
      <c r="A77" s="33" t="n"/>
      <c r="B77" s="31" t="n"/>
      <c r="C77" s="33" t="n"/>
      <c r="D77" s="34" t="n"/>
      <c r="E77" s="34" t="n"/>
      <c r="F77" s="35" t="n"/>
      <c r="G77" s="23">
        <f>IF(B77="","",IF(OR(F77&gt;=1,I77&lt;&gt;""),"Concluída",IF(E77="","Falta o prazo",IF(E77&lt;Config!$B$5,"Atrasada",IF(E77-Config!$B$5&lt;=Config!$B$6,"Vence em breve",IF(D77&lt;=Config!$B$5,"Em andamento","A iniciar"))))))</f>
        <v/>
      </c>
      <c r="H77" s="26">
        <f>IF(OR(B77="",G77="Concluída",E77=""),"",E77-Config!$B$5)</f>
        <v/>
      </c>
      <c r="I77" s="34" t="n"/>
      <c r="J77" s="31" t="n"/>
      <c r="K77" s="36">
        <f>IF(OR(B77="",G77="Concluída"),0,IF(G77="Atrasada",3000+MIN(Config!$B$5-E77,60),IF(G77="Vence em breve",2000-(E77-Config!$B$5),IF(G77="Em andamento",1000-MIN(E77-Config!$B$5,900),100)))-ROW()/100000)</f>
        <v>0</v>
      </c>
      <c r="L77" s="36">
        <f>IF(B77="","",IF(I77&lt;&gt;"",1,N(F77)))</f>
        <v/>
      </c>
    </row>
    <row r="78">
      <c r="A78" s="33" t="n"/>
      <c r="B78" s="31" t="n"/>
      <c r="C78" s="33" t="n"/>
      <c r="D78" s="34" t="n"/>
      <c r="E78" s="34" t="n"/>
      <c r="F78" s="35" t="n"/>
      <c r="G78" s="23">
        <f>IF(B78="","",IF(OR(F78&gt;=1,I78&lt;&gt;""),"Concluída",IF(E78="","Falta o prazo",IF(E78&lt;Config!$B$5,"Atrasada",IF(E78-Config!$B$5&lt;=Config!$B$6,"Vence em breve",IF(D78&lt;=Config!$B$5,"Em andamento","A iniciar"))))))</f>
        <v/>
      </c>
      <c r="H78" s="26">
        <f>IF(OR(B78="",G78="Concluída",E78=""),"",E78-Config!$B$5)</f>
        <v/>
      </c>
      <c r="I78" s="34" t="n"/>
      <c r="J78" s="31" t="n"/>
      <c r="K78" s="36">
        <f>IF(OR(B78="",G78="Concluída"),0,IF(G78="Atrasada",3000+MIN(Config!$B$5-E78,60),IF(G78="Vence em breve",2000-(E78-Config!$B$5),IF(G78="Em andamento",1000-MIN(E78-Config!$B$5,900),100)))-ROW()/100000)</f>
        <v>0</v>
      </c>
      <c r="L78" s="36">
        <f>IF(B78="","",IF(I78&lt;&gt;"",1,N(F78)))</f>
        <v/>
      </c>
    </row>
    <row r="79">
      <c r="A79" s="33" t="n"/>
      <c r="B79" s="31" t="n"/>
      <c r="C79" s="33" t="n"/>
      <c r="D79" s="34" t="n"/>
      <c r="E79" s="34" t="n"/>
      <c r="F79" s="35" t="n"/>
      <c r="G79" s="23">
        <f>IF(B79="","",IF(OR(F79&gt;=1,I79&lt;&gt;""),"Concluída",IF(E79="","Falta o prazo",IF(E79&lt;Config!$B$5,"Atrasada",IF(E79-Config!$B$5&lt;=Config!$B$6,"Vence em breve",IF(D79&lt;=Config!$B$5,"Em andamento","A iniciar"))))))</f>
        <v/>
      </c>
      <c r="H79" s="26">
        <f>IF(OR(B79="",G79="Concluída",E79=""),"",E79-Config!$B$5)</f>
        <v/>
      </c>
      <c r="I79" s="34" t="n"/>
      <c r="J79" s="31" t="n"/>
      <c r="K79" s="36">
        <f>IF(OR(B79="",G79="Concluída"),0,IF(G79="Atrasada",3000+MIN(Config!$B$5-E79,60),IF(G79="Vence em breve",2000-(E79-Config!$B$5),IF(G79="Em andamento",1000-MIN(E79-Config!$B$5,900),100)))-ROW()/100000)</f>
        <v>0</v>
      </c>
      <c r="L79" s="36">
        <f>IF(B79="","",IF(I79&lt;&gt;"",1,N(F79)))</f>
        <v/>
      </c>
    </row>
    <row r="80">
      <c r="A80" s="33" t="n"/>
      <c r="B80" s="31" t="n"/>
      <c r="C80" s="33" t="n"/>
      <c r="D80" s="34" t="n"/>
      <c r="E80" s="34" t="n"/>
      <c r="F80" s="35" t="n"/>
      <c r="G80" s="23">
        <f>IF(B80="","",IF(OR(F80&gt;=1,I80&lt;&gt;""),"Concluída",IF(E80="","Falta o prazo",IF(E80&lt;Config!$B$5,"Atrasada",IF(E80-Config!$B$5&lt;=Config!$B$6,"Vence em breve",IF(D80&lt;=Config!$B$5,"Em andamento","A iniciar"))))))</f>
        <v/>
      </c>
      <c r="H80" s="26">
        <f>IF(OR(B80="",G80="Concluída",E80=""),"",E80-Config!$B$5)</f>
        <v/>
      </c>
      <c r="I80" s="34" t="n"/>
      <c r="J80" s="31" t="n"/>
      <c r="K80" s="36">
        <f>IF(OR(B80="",G80="Concluída"),0,IF(G80="Atrasada",3000+MIN(Config!$B$5-E80,60),IF(G80="Vence em breve",2000-(E80-Config!$B$5),IF(G80="Em andamento",1000-MIN(E80-Config!$B$5,900),100)))-ROW()/100000)</f>
        <v>0</v>
      </c>
      <c r="L80" s="36">
        <f>IF(B80="","",IF(I80&lt;&gt;"",1,N(F80)))</f>
        <v/>
      </c>
    </row>
    <row r="81">
      <c r="A81" s="33" t="n"/>
      <c r="B81" s="31" t="n"/>
      <c r="C81" s="33" t="n"/>
      <c r="D81" s="34" t="n"/>
      <c r="E81" s="34" t="n"/>
      <c r="F81" s="35" t="n"/>
      <c r="G81" s="23">
        <f>IF(B81="","",IF(OR(F81&gt;=1,I81&lt;&gt;""),"Concluída",IF(E81="","Falta o prazo",IF(E81&lt;Config!$B$5,"Atrasada",IF(E81-Config!$B$5&lt;=Config!$B$6,"Vence em breve",IF(D81&lt;=Config!$B$5,"Em andamento","A iniciar"))))))</f>
        <v/>
      </c>
      <c r="H81" s="26">
        <f>IF(OR(B81="",G81="Concluída",E81=""),"",E81-Config!$B$5)</f>
        <v/>
      </c>
      <c r="I81" s="34" t="n"/>
      <c r="J81" s="31" t="n"/>
      <c r="K81" s="36">
        <f>IF(OR(B81="",G81="Concluída"),0,IF(G81="Atrasada",3000+MIN(Config!$B$5-E81,60),IF(G81="Vence em breve",2000-(E81-Config!$B$5),IF(G81="Em andamento",1000-MIN(E81-Config!$B$5,900),100)))-ROW()/100000)</f>
        <v>0</v>
      </c>
      <c r="L81" s="36">
        <f>IF(B81="","",IF(I81&lt;&gt;"",1,N(F81)))</f>
        <v/>
      </c>
    </row>
    <row r="82">
      <c r="A82" s="33" t="n"/>
      <c r="B82" s="31" t="n"/>
      <c r="C82" s="33" t="n"/>
      <c r="D82" s="34" t="n"/>
      <c r="E82" s="34" t="n"/>
      <c r="F82" s="35" t="n"/>
      <c r="G82" s="23">
        <f>IF(B82="","",IF(OR(F82&gt;=1,I82&lt;&gt;""),"Concluída",IF(E82="","Falta o prazo",IF(E82&lt;Config!$B$5,"Atrasada",IF(E82-Config!$B$5&lt;=Config!$B$6,"Vence em breve",IF(D82&lt;=Config!$B$5,"Em andamento","A iniciar"))))))</f>
        <v/>
      </c>
      <c r="H82" s="26">
        <f>IF(OR(B82="",G82="Concluída",E82=""),"",E82-Config!$B$5)</f>
        <v/>
      </c>
      <c r="I82" s="34" t="n"/>
      <c r="J82" s="31" t="n"/>
      <c r="K82" s="36">
        <f>IF(OR(B82="",G82="Concluída"),0,IF(G82="Atrasada",3000+MIN(Config!$B$5-E82,60),IF(G82="Vence em breve",2000-(E82-Config!$B$5),IF(G82="Em andamento",1000-MIN(E82-Config!$B$5,900),100)))-ROW()/100000)</f>
        <v>0</v>
      </c>
      <c r="L82" s="36">
        <f>IF(B82="","",IF(I82&lt;&gt;"",1,N(F82)))</f>
        <v/>
      </c>
    </row>
    <row r="83">
      <c r="A83" s="33" t="n"/>
      <c r="B83" s="31" t="n"/>
      <c r="C83" s="33" t="n"/>
      <c r="D83" s="34" t="n"/>
      <c r="E83" s="34" t="n"/>
      <c r="F83" s="35" t="n"/>
      <c r="G83" s="23">
        <f>IF(B83="","",IF(OR(F83&gt;=1,I83&lt;&gt;""),"Concluída",IF(E83="","Falta o prazo",IF(E83&lt;Config!$B$5,"Atrasada",IF(E83-Config!$B$5&lt;=Config!$B$6,"Vence em breve",IF(D83&lt;=Config!$B$5,"Em andamento","A iniciar"))))))</f>
        <v/>
      </c>
      <c r="H83" s="26">
        <f>IF(OR(B83="",G83="Concluída",E83=""),"",E83-Config!$B$5)</f>
        <v/>
      </c>
      <c r="I83" s="34" t="n"/>
      <c r="J83" s="31" t="n"/>
      <c r="K83" s="36">
        <f>IF(OR(B83="",G83="Concluída"),0,IF(G83="Atrasada",3000+MIN(Config!$B$5-E83,60),IF(G83="Vence em breve",2000-(E83-Config!$B$5),IF(G83="Em andamento",1000-MIN(E83-Config!$B$5,900),100)))-ROW()/100000)</f>
        <v>0</v>
      </c>
      <c r="L83" s="36">
        <f>IF(B83="","",IF(I83&lt;&gt;"",1,N(F83)))</f>
        <v/>
      </c>
    </row>
    <row r="84">
      <c r="A84" s="33" t="n"/>
      <c r="B84" s="31" t="n"/>
      <c r="C84" s="33" t="n"/>
      <c r="D84" s="34" t="n"/>
      <c r="E84" s="34" t="n"/>
      <c r="F84" s="35" t="n"/>
      <c r="G84" s="23">
        <f>IF(B84="","",IF(OR(F84&gt;=1,I84&lt;&gt;""),"Concluída",IF(E84="","Falta o prazo",IF(E84&lt;Config!$B$5,"Atrasada",IF(E84-Config!$B$5&lt;=Config!$B$6,"Vence em breve",IF(D84&lt;=Config!$B$5,"Em andamento","A iniciar"))))))</f>
        <v/>
      </c>
      <c r="H84" s="26">
        <f>IF(OR(B84="",G84="Concluída",E84=""),"",E84-Config!$B$5)</f>
        <v/>
      </c>
      <c r="I84" s="34" t="n"/>
      <c r="J84" s="31" t="n"/>
      <c r="K84" s="36">
        <f>IF(OR(B84="",G84="Concluída"),0,IF(G84="Atrasada",3000+MIN(Config!$B$5-E84,60),IF(G84="Vence em breve",2000-(E84-Config!$B$5),IF(G84="Em andamento",1000-MIN(E84-Config!$B$5,900),100)))-ROW()/100000)</f>
        <v>0</v>
      </c>
      <c r="L84" s="36">
        <f>IF(B84="","",IF(I84&lt;&gt;"",1,N(F84)))</f>
        <v/>
      </c>
    </row>
    <row r="85">
      <c r="A85" s="33" t="n"/>
      <c r="B85" s="31" t="n"/>
      <c r="C85" s="33" t="n"/>
      <c r="D85" s="34" t="n"/>
      <c r="E85" s="34" t="n"/>
      <c r="F85" s="35" t="n"/>
      <c r="G85" s="23">
        <f>IF(B85="","",IF(OR(F85&gt;=1,I85&lt;&gt;""),"Concluída",IF(E85="","Falta o prazo",IF(E85&lt;Config!$B$5,"Atrasada",IF(E85-Config!$B$5&lt;=Config!$B$6,"Vence em breve",IF(D85&lt;=Config!$B$5,"Em andamento","A iniciar"))))))</f>
        <v/>
      </c>
      <c r="H85" s="26">
        <f>IF(OR(B85="",G85="Concluída",E85=""),"",E85-Config!$B$5)</f>
        <v/>
      </c>
      <c r="I85" s="34" t="n"/>
      <c r="J85" s="31" t="n"/>
      <c r="K85" s="36">
        <f>IF(OR(B85="",G85="Concluída"),0,IF(G85="Atrasada",3000+MIN(Config!$B$5-E85,60),IF(G85="Vence em breve",2000-(E85-Config!$B$5),IF(G85="Em andamento",1000-MIN(E85-Config!$B$5,900),100)))-ROW()/100000)</f>
        <v>0</v>
      </c>
      <c r="L85" s="36">
        <f>IF(B85="","",IF(I85&lt;&gt;"",1,N(F85)))</f>
        <v/>
      </c>
    </row>
    <row r="86">
      <c r="A86" s="33" t="n"/>
      <c r="B86" s="31" t="n"/>
      <c r="C86" s="33" t="n"/>
      <c r="D86" s="34" t="n"/>
      <c r="E86" s="34" t="n"/>
      <c r="F86" s="35" t="n"/>
      <c r="G86" s="23">
        <f>IF(B86="","",IF(OR(F86&gt;=1,I86&lt;&gt;""),"Concluída",IF(E86="","Falta o prazo",IF(E86&lt;Config!$B$5,"Atrasada",IF(E86-Config!$B$5&lt;=Config!$B$6,"Vence em breve",IF(D86&lt;=Config!$B$5,"Em andamento","A iniciar"))))))</f>
        <v/>
      </c>
      <c r="H86" s="26">
        <f>IF(OR(B86="",G86="Concluída",E86=""),"",E86-Config!$B$5)</f>
        <v/>
      </c>
      <c r="I86" s="34" t="n"/>
      <c r="J86" s="31" t="n"/>
      <c r="K86" s="36">
        <f>IF(OR(B86="",G86="Concluída"),0,IF(G86="Atrasada",3000+MIN(Config!$B$5-E86,60),IF(G86="Vence em breve",2000-(E86-Config!$B$5),IF(G86="Em andamento",1000-MIN(E86-Config!$B$5,900),100)))-ROW()/100000)</f>
        <v>0</v>
      </c>
      <c r="L86" s="36">
        <f>IF(B86="","",IF(I86&lt;&gt;"",1,N(F86)))</f>
        <v/>
      </c>
    </row>
    <row r="87">
      <c r="A87" s="33" t="n"/>
      <c r="B87" s="31" t="n"/>
      <c r="C87" s="33" t="n"/>
      <c r="D87" s="34" t="n"/>
      <c r="E87" s="34" t="n"/>
      <c r="F87" s="35" t="n"/>
      <c r="G87" s="23">
        <f>IF(B87="","",IF(OR(F87&gt;=1,I87&lt;&gt;""),"Concluída",IF(E87="","Falta o prazo",IF(E87&lt;Config!$B$5,"Atrasada",IF(E87-Config!$B$5&lt;=Config!$B$6,"Vence em breve",IF(D87&lt;=Config!$B$5,"Em andamento","A iniciar"))))))</f>
        <v/>
      </c>
      <c r="H87" s="26">
        <f>IF(OR(B87="",G87="Concluída",E87=""),"",E87-Config!$B$5)</f>
        <v/>
      </c>
      <c r="I87" s="34" t="n"/>
      <c r="J87" s="31" t="n"/>
      <c r="K87" s="36">
        <f>IF(OR(B87="",G87="Concluída"),0,IF(G87="Atrasada",3000+MIN(Config!$B$5-E87,60),IF(G87="Vence em breve",2000-(E87-Config!$B$5),IF(G87="Em andamento",1000-MIN(E87-Config!$B$5,900),100)))-ROW()/100000)</f>
        <v>0</v>
      </c>
      <c r="L87" s="36">
        <f>IF(B87="","",IF(I87&lt;&gt;"",1,N(F87)))</f>
        <v/>
      </c>
    </row>
    <row r="88">
      <c r="A88" s="33" t="n"/>
      <c r="B88" s="31" t="n"/>
      <c r="C88" s="33" t="n"/>
      <c r="D88" s="34" t="n"/>
      <c r="E88" s="34" t="n"/>
      <c r="F88" s="35" t="n"/>
      <c r="G88" s="23">
        <f>IF(B88="","",IF(OR(F88&gt;=1,I88&lt;&gt;""),"Concluída",IF(E88="","Falta o prazo",IF(E88&lt;Config!$B$5,"Atrasada",IF(E88-Config!$B$5&lt;=Config!$B$6,"Vence em breve",IF(D88&lt;=Config!$B$5,"Em andamento","A iniciar"))))))</f>
        <v/>
      </c>
      <c r="H88" s="26">
        <f>IF(OR(B88="",G88="Concluída",E88=""),"",E88-Config!$B$5)</f>
        <v/>
      </c>
      <c r="I88" s="34" t="n"/>
      <c r="J88" s="31" t="n"/>
      <c r="K88" s="36">
        <f>IF(OR(B88="",G88="Concluída"),0,IF(G88="Atrasada",3000+MIN(Config!$B$5-E88,60),IF(G88="Vence em breve",2000-(E88-Config!$B$5),IF(G88="Em andamento",1000-MIN(E88-Config!$B$5,900),100)))-ROW()/100000)</f>
        <v>0</v>
      </c>
      <c r="L88" s="36">
        <f>IF(B88="","",IF(I88&lt;&gt;"",1,N(F88)))</f>
        <v/>
      </c>
    </row>
    <row r="89">
      <c r="A89" s="33" t="n"/>
      <c r="B89" s="31" t="n"/>
      <c r="C89" s="33" t="n"/>
      <c r="D89" s="34" t="n"/>
      <c r="E89" s="34" t="n"/>
      <c r="F89" s="35" t="n"/>
      <c r="G89" s="23">
        <f>IF(B89="","",IF(OR(F89&gt;=1,I89&lt;&gt;""),"Concluída",IF(E89="","Falta o prazo",IF(E89&lt;Config!$B$5,"Atrasada",IF(E89-Config!$B$5&lt;=Config!$B$6,"Vence em breve",IF(D89&lt;=Config!$B$5,"Em andamento","A iniciar"))))))</f>
        <v/>
      </c>
      <c r="H89" s="26">
        <f>IF(OR(B89="",G89="Concluída",E89=""),"",E89-Config!$B$5)</f>
        <v/>
      </c>
      <c r="I89" s="34" t="n"/>
      <c r="J89" s="31" t="n"/>
      <c r="K89" s="36">
        <f>IF(OR(B89="",G89="Concluída"),0,IF(G89="Atrasada",3000+MIN(Config!$B$5-E89,60),IF(G89="Vence em breve",2000-(E89-Config!$B$5),IF(G89="Em andamento",1000-MIN(E89-Config!$B$5,900),100)))-ROW()/100000)</f>
        <v>0</v>
      </c>
      <c r="L89" s="36">
        <f>IF(B89="","",IF(I89&lt;&gt;"",1,N(F89)))</f>
        <v/>
      </c>
    </row>
    <row r="90">
      <c r="A90" s="33" t="n"/>
      <c r="B90" s="31" t="n"/>
      <c r="C90" s="33" t="n"/>
      <c r="D90" s="34" t="n"/>
      <c r="E90" s="34" t="n"/>
      <c r="F90" s="35" t="n"/>
      <c r="G90" s="23">
        <f>IF(B90="","",IF(OR(F90&gt;=1,I90&lt;&gt;""),"Concluída",IF(E90="","Falta o prazo",IF(E90&lt;Config!$B$5,"Atrasada",IF(E90-Config!$B$5&lt;=Config!$B$6,"Vence em breve",IF(D90&lt;=Config!$B$5,"Em andamento","A iniciar"))))))</f>
        <v/>
      </c>
      <c r="H90" s="26">
        <f>IF(OR(B90="",G90="Concluída",E90=""),"",E90-Config!$B$5)</f>
        <v/>
      </c>
      <c r="I90" s="34" t="n"/>
      <c r="J90" s="31" t="n"/>
      <c r="K90" s="36">
        <f>IF(OR(B90="",G90="Concluída"),0,IF(G90="Atrasada",3000+MIN(Config!$B$5-E90,60),IF(G90="Vence em breve",2000-(E90-Config!$B$5),IF(G90="Em andamento",1000-MIN(E90-Config!$B$5,900),100)))-ROW()/100000)</f>
        <v>0</v>
      </c>
      <c r="L90" s="36">
        <f>IF(B90="","",IF(I90&lt;&gt;"",1,N(F90)))</f>
        <v/>
      </c>
    </row>
    <row r="91">
      <c r="A91" s="33" t="n"/>
      <c r="B91" s="31" t="n"/>
      <c r="C91" s="33" t="n"/>
      <c r="D91" s="34" t="n"/>
      <c r="E91" s="34" t="n"/>
      <c r="F91" s="35" t="n"/>
      <c r="G91" s="23">
        <f>IF(B91="","",IF(OR(F91&gt;=1,I91&lt;&gt;""),"Concluída",IF(E91="","Falta o prazo",IF(E91&lt;Config!$B$5,"Atrasada",IF(E91-Config!$B$5&lt;=Config!$B$6,"Vence em breve",IF(D91&lt;=Config!$B$5,"Em andamento","A iniciar"))))))</f>
        <v/>
      </c>
      <c r="H91" s="26">
        <f>IF(OR(B91="",G91="Concluída",E91=""),"",E91-Config!$B$5)</f>
        <v/>
      </c>
      <c r="I91" s="34" t="n"/>
      <c r="J91" s="31" t="n"/>
      <c r="K91" s="36">
        <f>IF(OR(B91="",G91="Concluída"),0,IF(G91="Atrasada",3000+MIN(Config!$B$5-E91,60),IF(G91="Vence em breve",2000-(E91-Config!$B$5),IF(G91="Em andamento",1000-MIN(E91-Config!$B$5,900),100)))-ROW()/100000)</f>
        <v>0</v>
      </c>
      <c r="L91" s="36">
        <f>IF(B91="","",IF(I91&lt;&gt;"",1,N(F91)))</f>
        <v/>
      </c>
    </row>
    <row r="92">
      <c r="A92" s="33" t="n"/>
      <c r="B92" s="31" t="n"/>
      <c r="C92" s="33" t="n"/>
      <c r="D92" s="34" t="n"/>
      <c r="E92" s="34" t="n"/>
      <c r="F92" s="35" t="n"/>
      <c r="G92" s="23">
        <f>IF(B92="","",IF(OR(F92&gt;=1,I92&lt;&gt;""),"Concluída",IF(E92="","Falta o prazo",IF(E92&lt;Config!$B$5,"Atrasada",IF(E92-Config!$B$5&lt;=Config!$B$6,"Vence em breve",IF(D92&lt;=Config!$B$5,"Em andamento","A iniciar"))))))</f>
        <v/>
      </c>
      <c r="H92" s="26">
        <f>IF(OR(B92="",G92="Concluída",E92=""),"",E92-Config!$B$5)</f>
        <v/>
      </c>
      <c r="I92" s="34" t="n"/>
      <c r="J92" s="31" t="n"/>
      <c r="K92" s="36">
        <f>IF(OR(B92="",G92="Concluída"),0,IF(G92="Atrasada",3000+MIN(Config!$B$5-E92,60),IF(G92="Vence em breve",2000-(E92-Config!$B$5),IF(G92="Em andamento",1000-MIN(E92-Config!$B$5,900),100)))-ROW()/100000)</f>
        <v>0</v>
      </c>
      <c r="L92" s="36">
        <f>IF(B92="","",IF(I92&lt;&gt;"",1,N(F92)))</f>
        <v/>
      </c>
    </row>
    <row r="93">
      <c r="A93" s="33" t="n"/>
      <c r="B93" s="31" t="n"/>
      <c r="C93" s="33" t="n"/>
      <c r="D93" s="34" t="n"/>
      <c r="E93" s="34" t="n"/>
      <c r="F93" s="35" t="n"/>
      <c r="G93" s="23">
        <f>IF(B93="","",IF(OR(F93&gt;=1,I93&lt;&gt;""),"Concluída",IF(E93="","Falta o prazo",IF(E93&lt;Config!$B$5,"Atrasada",IF(E93-Config!$B$5&lt;=Config!$B$6,"Vence em breve",IF(D93&lt;=Config!$B$5,"Em andamento","A iniciar"))))))</f>
        <v/>
      </c>
      <c r="H93" s="26">
        <f>IF(OR(B93="",G93="Concluída",E93=""),"",E93-Config!$B$5)</f>
        <v/>
      </c>
      <c r="I93" s="34" t="n"/>
      <c r="J93" s="31" t="n"/>
      <c r="K93" s="36">
        <f>IF(OR(B93="",G93="Concluída"),0,IF(G93="Atrasada",3000+MIN(Config!$B$5-E93,60),IF(G93="Vence em breve",2000-(E93-Config!$B$5),IF(G93="Em andamento",1000-MIN(E93-Config!$B$5,900),100)))-ROW()/100000)</f>
        <v>0</v>
      </c>
      <c r="L93" s="36">
        <f>IF(B93="","",IF(I93&lt;&gt;"",1,N(F93)))</f>
        <v/>
      </c>
    </row>
    <row r="94">
      <c r="A94" s="33" t="n"/>
      <c r="B94" s="31" t="n"/>
      <c r="C94" s="33" t="n"/>
      <c r="D94" s="34" t="n"/>
      <c r="E94" s="34" t="n"/>
      <c r="F94" s="35" t="n"/>
      <c r="G94" s="23">
        <f>IF(B94="","",IF(OR(F94&gt;=1,I94&lt;&gt;""),"Concluída",IF(E94="","Falta o prazo",IF(E94&lt;Config!$B$5,"Atrasada",IF(E94-Config!$B$5&lt;=Config!$B$6,"Vence em breve",IF(D94&lt;=Config!$B$5,"Em andamento","A iniciar"))))))</f>
        <v/>
      </c>
      <c r="H94" s="26">
        <f>IF(OR(B94="",G94="Concluída",E94=""),"",E94-Config!$B$5)</f>
        <v/>
      </c>
      <c r="I94" s="34" t="n"/>
      <c r="J94" s="31" t="n"/>
      <c r="K94" s="36">
        <f>IF(OR(B94="",G94="Concluída"),0,IF(G94="Atrasada",3000+MIN(Config!$B$5-E94,60),IF(G94="Vence em breve",2000-(E94-Config!$B$5),IF(G94="Em andamento",1000-MIN(E94-Config!$B$5,900),100)))-ROW()/100000)</f>
        <v>0</v>
      </c>
      <c r="L94" s="36">
        <f>IF(B94="","",IF(I94&lt;&gt;"",1,N(F94)))</f>
        <v/>
      </c>
    </row>
    <row r="95">
      <c r="A95" s="33" t="n"/>
      <c r="B95" s="31" t="n"/>
      <c r="C95" s="33" t="n"/>
      <c r="D95" s="34" t="n"/>
      <c r="E95" s="34" t="n"/>
      <c r="F95" s="35" t="n"/>
      <c r="G95" s="23">
        <f>IF(B95="","",IF(OR(F95&gt;=1,I95&lt;&gt;""),"Concluída",IF(E95="","Falta o prazo",IF(E95&lt;Config!$B$5,"Atrasada",IF(E95-Config!$B$5&lt;=Config!$B$6,"Vence em breve",IF(D95&lt;=Config!$B$5,"Em andamento","A iniciar"))))))</f>
        <v/>
      </c>
      <c r="H95" s="26">
        <f>IF(OR(B95="",G95="Concluída",E95=""),"",E95-Config!$B$5)</f>
        <v/>
      </c>
      <c r="I95" s="34" t="n"/>
      <c r="J95" s="31" t="n"/>
      <c r="K95" s="36">
        <f>IF(OR(B95="",G95="Concluída"),0,IF(G95="Atrasada",3000+MIN(Config!$B$5-E95,60),IF(G95="Vence em breve",2000-(E95-Config!$B$5),IF(G95="Em andamento",1000-MIN(E95-Config!$B$5,900),100)))-ROW()/100000)</f>
        <v>0</v>
      </c>
      <c r="L95" s="36">
        <f>IF(B95="","",IF(I95&lt;&gt;"",1,N(F95)))</f>
        <v/>
      </c>
    </row>
    <row r="96">
      <c r="A96" s="33" t="n"/>
      <c r="B96" s="31" t="n"/>
      <c r="C96" s="33" t="n"/>
      <c r="D96" s="34" t="n"/>
      <c r="E96" s="34" t="n"/>
      <c r="F96" s="35" t="n"/>
      <c r="G96" s="23">
        <f>IF(B96="","",IF(OR(F96&gt;=1,I96&lt;&gt;""),"Concluída",IF(E96="","Falta o prazo",IF(E96&lt;Config!$B$5,"Atrasada",IF(E96-Config!$B$5&lt;=Config!$B$6,"Vence em breve",IF(D96&lt;=Config!$B$5,"Em andamento","A iniciar"))))))</f>
        <v/>
      </c>
      <c r="H96" s="26">
        <f>IF(OR(B96="",G96="Concluída",E96=""),"",E96-Config!$B$5)</f>
        <v/>
      </c>
      <c r="I96" s="34" t="n"/>
      <c r="J96" s="31" t="n"/>
      <c r="K96" s="36">
        <f>IF(OR(B96="",G96="Concluída"),0,IF(G96="Atrasada",3000+MIN(Config!$B$5-E96,60),IF(G96="Vence em breve",2000-(E96-Config!$B$5),IF(G96="Em andamento",1000-MIN(E96-Config!$B$5,900),100)))-ROW()/100000)</f>
        <v>0</v>
      </c>
      <c r="L96" s="36">
        <f>IF(B96="","",IF(I96&lt;&gt;"",1,N(F96)))</f>
        <v/>
      </c>
    </row>
    <row r="97">
      <c r="A97" s="33" t="n"/>
      <c r="B97" s="31" t="n"/>
      <c r="C97" s="33" t="n"/>
      <c r="D97" s="34" t="n"/>
      <c r="E97" s="34" t="n"/>
      <c r="F97" s="35" t="n"/>
      <c r="G97" s="23">
        <f>IF(B97="","",IF(OR(F97&gt;=1,I97&lt;&gt;""),"Concluída",IF(E97="","Falta o prazo",IF(E97&lt;Config!$B$5,"Atrasada",IF(E97-Config!$B$5&lt;=Config!$B$6,"Vence em breve",IF(D97&lt;=Config!$B$5,"Em andamento","A iniciar"))))))</f>
        <v/>
      </c>
      <c r="H97" s="26">
        <f>IF(OR(B97="",G97="Concluída",E97=""),"",E97-Config!$B$5)</f>
        <v/>
      </c>
      <c r="I97" s="34" t="n"/>
      <c r="J97" s="31" t="n"/>
      <c r="K97" s="36">
        <f>IF(OR(B97="",G97="Concluída"),0,IF(G97="Atrasada",3000+MIN(Config!$B$5-E97,60),IF(G97="Vence em breve",2000-(E97-Config!$B$5),IF(G97="Em andamento",1000-MIN(E97-Config!$B$5,900),100)))-ROW()/100000)</f>
        <v>0</v>
      </c>
      <c r="L97" s="36">
        <f>IF(B97="","",IF(I97&lt;&gt;"",1,N(F97)))</f>
        <v/>
      </c>
    </row>
    <row r="98">
      <c r="A98" s="33" t="n"/>
      <c r="B98" s="31" t="n"/>
      <c r="C98" s="33" t="n"/>
      <c r="D98" s="34" t="n"/>
      <c r="E98" s="34" t="n"/>
      <c r="F98" s="35" t="n"/>
      <c r="G98" s="23">
        <f>IF(B98="","",IF(OR(F98&gt;=1,I98&lt;&gt;""),"Concluída",IF(E98="","Falta o prazo",IF(E98&lt;Config!$B$5,"Atrasada",IF(E98-Config!$B$5&lt;=Config!$B$6,"Vence em breve",IF(D98&lt;=Config!$B$5,"Em andamento","A iniciar"))))))</f>
        <v/>
      </c>
      <c r="H98" s="26">
        <f>IF(OR(B98="",G98="Concluída",E98=""),"",E98-Config!$B$5)</f>
        <v/>
      </c>
      <c r="I98" s="34" t="n"/>
      <c r="J98" s="31" t="n"/>
      <c r="K98" s="36">
        <f>IF(OR(B98="",G98="Concluída"),0,IF(G98="Atrasada",3000+MIN(Config!$B$5-E98,60),IF(G98="Vence em breve",2000-(E98-Config!$B$5),IF(G98="Em andamento",1000-MIN(E98-Config!$B$5,900),100)))-ROW()/100000)</f>
        <v>0</v>
      </c>
      <c r="L98" s="36">
        <f>IF(B98="","",IF(I98&lt;&gt;"",1,N(F98)))</f>
        <v/>
      </c>
    </row>
    <row r="99">
      <c r="A99" s="33" t="n"/>
      <c r="B99" s="31" t="n"/>
      <c r="C99" s="33" t="n"/>
      <c r="D99" s="34" t="n"/>
      <c r="E99" s="34" t="n"/>
      <c r="F99" s="35" t="n"/>
      <c r="G99" s="23">
        <f>IF(B99="","",IF(OR(F99&gt;=1,I99&lt;&gt;""),"Concluída",IF(E99="","Falta o prazo",IF(E99&lt;Config!$B$5,"Atrasada",IF(E99-Config!$B$5&lt;=Config!$B$6,"Vence em breve",IF(D99&lt;=Config!$B$5,"Em andamento","A iniciar"))))))</f>
        <v/>
      </c>
      <c r="H99" s="26">
        <f>IF(OR(B99="",G99="Concluída",E99=""),"",E99-Config!$B$5)</f>
        <v/>
      </c>
      <c r="I99" s="34" t="n"/>
      <c r="J99" s="31" t="n"/>
      <c r="K99" s="36">
        <f>IF(OR(B99="",G99="Concluída"),0,IF(G99="Atrasada",3000+MIN(Config!$B$5-E99,60),IF(G99="Vence em breve",2000-(E99-Config!$B$5),IF(G99="Em andamento",1000-MIN(E99-Config!$B$5,900),100)))-ROW()/100000)</f>
        <v>0</v>
      </c>
      <c r="L99" s="36">
        <f>IF(B99="","",IF(I99&lt;&gt;"",1,N(F99)))</f>
        <v/>
      </c>
    </row>
    <row r="100">
      <c r="A100" s="33" t="n"/>
      <c r="B100" s="31" t="n"/>
      <c r="C100" s="33" t="n"/>
      <c r="D100" s="34" t="n"/>
      <c r="E100" s="34" t="n"/>
      <c r="F100" s="35" t="n"/>
      <c r="G100" s="23">
        <f>IF(B100="","",IF(OR(F100&gt;=1,I100&lt;&gt;""),"Concluída",IF(E100="","Falta o prazo",IF(E100&lt;Config!$B$5,"Atrasada",IF(E100-Config!$B$5&lt;=Config!$B$6,"Vence em breve",IF(D100&lt;=Config!$B$5,"Em andamento","A iniciar"))))))</f>
        <v/>
      </c>
      <c r="H100" s="26">
        <f>IF(OR(B100="",G100="Concluída",E100=""),"",E100-Config!$B$5)</f>
        <v/>
      </c>
      <c r="I100" s="34" t="n"/>
      <c r="J100" s="31" t="n"/>
      <c r="K100" s="36">
        <f>IF(OR(B100="",G100="Concluída"),0,IF(G100="Atrasada",3000+MIN(Config!$B$5-E100,60),IF(G100="Vence em breve",2000-(E100-Config!$B$5),IF(G100="Em andamento",1000-MIN(E100-Config!$B$5,900),100)))-ROW()/100000)</f>
        <v>0</v>
      </c>
      <c r="L100" s="36">
        <f>IF(B100="","",IF(I100&lt;&gt;"",1,N(F100)))</f>
        <v/>
      </c>
    </row>
    <row r="101">
      <c r="A101" s="33" t="n"/>
      <c r="B101" s="31" t="n"/>
      <c r="C101" s="33" t="n"/>
      <c r="D101" s="34" t="n"/>
      <c r="E101" s="34" t="n"/>
      <c r="F101" s="35" t="n"/>
      <c r="G101" s="23">
        <f>IF(B101="","",IF(OR(F101&gt;=1,I101&lt;&gt;""),"Concluída",IF(E101="","Falta o prazo",IF(E101&lt;Config!$B$5,"Atrasada",IF(E101-Config!$B$5&lt;=Config!$B$6,"Vence em breve",IF(D101&lt;=Config!$B$5,"Em andamento","A iniciar"))))))</f>
        <v/>
      </c>
      <c r="H101" s="26">
        <f>IF(OR(B101="",G101="Concluída",E101=""),"",E101-Config!$B$5)</f>
        <v/>
      </c>
      <c r="I101" s="34" t="n"/>
      <c r="J101" s="31" t="n"/>
      <c r="K101" s="36">
        <f>IF(OR(B101="",G101="Concluída"),0,IF(G101="Atrasada",3000+MIN(Config!$B$5-E101,60),IF(G101="Vence em breve",2000-(E101-Config!$B$5),IF(G101="Em andamento",1000-MIN(E101-Config!$B$5,900),100)))-ROW()/100000)</f>
        <v>0</v>
      </c>
      <c r="L101" s="36">
        <f>IF(B101="","",IF(I101&lt;&gt;"",1,N(F101)))</f>
        <v/>
      </c>
    </row>
    <row r="102">
      <c r="A102" s="33" t="n"/>
      <c r="B102" s="31" t="n"/>
      <c r="C102" s="33" t="n"/>
      <c r="D102" s="34" t="n"/>
      <c r="E102" s="34" t="n"/>
      <c r="F102" s="35" t="n"/>
      <c r="G102" s="23">
        <f>IF(B102="","",IF(OR(F102&gt;=1,I102&lt;&gt;""),"Concluída",IF(E102="","Falta o prazo",IF(E102&lt;Config!$B$5,"Atrasada",IF(E102-Config!$B$5&lt;=Config!$B$6,"Vence em breve",IF(D102&lt;=Config!$B$5,"Em andamento","A iniciar"))))))</f>
        <v/>
      </c>
      <c r="H102" s="26">
        <f>IF(OR(B102="",G102="Concluída",E102=""),"",E102-Config!$B$5)</f>
        <v/>
      </c>
      <c r="I102" s="34" t="n"/>
      <c r="J102" s="31" t="n"/>
      <c r="K102" s="36">
        <f>IF(OR(B102="",G102="Concluída"),0,IF(G102="Atrasada",3000+MIN(Config!$B$5-E102,60),IF(G102="Vence em breve",2000-(E102-Config!$B$5),IF(G102="Em andamento",1000-MIN(E102-Config!$B$5,900),100)))-ROW()/100000)</f>
        <v>0</v>
      </c>
      <c r="L102" s="36">
        <f>IF(B102="","",IF(I102&lt;&gt;"",1,N(F102)))</f>
        <v/>
      </c>
    </row>
    <row r="103">
      <c r="A103" s="33" t="n"/>
      <c r="B103" s="31" t="n"/>
      <c r="C103" s="33" t="n"/>
      <c r="D103" s="34" t="n"/>
      <c r="E103" s="34" t="n"/>
      <c r="F103" s="35" t="n"/>
      <c r="G103" s="23">
        <f>IF(B103="","",IF(OR(F103&gt;=1,I103&lt;&gt;""),"Concluída",IF(E103="","Falta o prazo",IF(E103&lt;Config!$B$5,"Atrasada",IF(E103-Config!$B$5&lt;=Config!$B$6,"Vence em breve",IF(D103&lt;=Config!$B$5,"Em andamento","A iniciar"))))))</f>
        <v/>
      </c>
      <c r="H103" s="26">
        <f>IF(OR(B103="",G103="Concluída",E103=""),"",E103-Config!$B$5)</f>
        <v/>
      </c>
      <c r="I103" s="34" t="n"/>
      <c r="J103" s="31" t="n"/>
      <c r="K103" s="36">
        <f>IF(OR(B103="",G103="Concluída"),0,IF(G103="Atrasada",3000+MIN(Config!$B$5-E103,60),IF(G103="Vence em breve",2000-(E103-Config!$B$5),IF(G103="Em andamento",1000-MIN(E103-Config!$B$5,900),100)))-ROW()/100000)</f>
        <v>0</v>
      </c>
      <c r="L103" s="36">
        <f>IF(B103="","",IF(I103&lt;&gt;"",1,N(F103)))</f>
        <v/>
      </c>
    </row>
    <row r="104">
      <c r="A104" s="33" t="n"/>
      <c r="B104" s="31" t="n"/>
      <c r="C104" s="33" t="n"/>
      <c r="D104" s="34" t="n"/>
      <c r="E104" s="34" t="n"/>
      <c r="F104" s="35" t="n"/>
      <c r="G104" s="23">
        <f>IF(B104="","",IF(OR(F104&gt;=1,I104&lt;&gt;""),"Concluída",IF(E104="","Falta o prazo",IF(E104&lt;Config!$B$5,"Atrasada",IF(E104-Config!$B$5&lt;=Config!$B$6,"Vence em breve",IF(D104&lt;=Config!$B$5,"Em andamento","A iniciar"))))))</f>
        <v/>
      </c>
      <c r="H104" s="26">
        <f>IF(OR(B104="",G104="Concluída",E104=""),"",E104-Config!$B$5)</f>
        <v/>
      </c>
      <c r="I104" s="34" t="n"/>
      <c r="J104" s="31" t="n"/>
      <c r="K104" s="36">
        <f>IF(OR(B104="",G104="Concluída"),0,IF(G104="Atrasada",3000+MIN(Config!$B$5-E104,60),IF(G104="Vence em breve",2000-(E104-Config!$B$5),IF(G104="Em andamento",1000-MIN(E104-Config!$B$5,900),100)))-ROW()/100000)</f>
        <v>0</v>
      </c>
      <c r="L104" s="36">
        <f>IF(B104="","",IF(I104&lt;&gt;"",1,N(F104)))</f>
        <v/>
      </c>
    </row>
    <row r="105">
      <c r="A105" s="33" t="n"/>
      <c r="B105" s="31" t="n"/>
      <c r="C105" s="33" t="n"/>
      <c r="D105" s="34" t="n"/>
      <c r="E105" s="34" t="n"/>
      <c r="F105" s="35" t="n"/>
      <c r="G105" s="23">
        <f>IF(B105="","",IF(OR(F105&gt;=1,I105&lt;&gt;""),"Concluída",IF(E105="","Falta o prazo",IF(E105&lt;Config!$B$5,"Atrasada",IF(E105-Config!$B$5&lt;=Config!$B$6,"Vence em breve",IF(D105&lt;=Config!$B$5,"Em andamento","A iniciar"))))))</f>
        <v/>
      </c>
      <c r="H105" s="26">
        <f>IF(OR(B105="",G105="Concluída",E105=""),"",E105-Config!$B$5)</f>
        <v/>
      </c>
      <c r="I105" s="34" t="n"/>
      <c r="J105" s="31" t="n"/>
      <c r="K105" s="36">
        <f>IF(OR(B105="",G105="Concluída"),0,IF(G105="Atrasada",3000+MIN(Config!$B$5-E105,60),IF(G105="Vence em breve",2000-(E105-Config!$B$5),IF(G105="Em andamento",1000-MIN(E105-Config!$B$5,900),100)))-ROW()/100000)</f>
        <v>0</v>
      </c>
      <c r="L105" s="36">
        <f>IF(B105="","",IF(I105&lt;&gt;"",1,N(F105)))</f>
        <v/>
      </c>
    </row>
    <row r="106">
      <c r="A106" s="33" t="n"/>
      <c r="B106" s="31" t="n"/>
      <c r="C106" s="33" t="n"/>
      <c r="D106" s="34" t="n"/>
      <c r="E106" s="34" t="n"/>
      <c r="F106" s="35" t="n"/>
      <c r="G106" s="23">
        <f>IF(B106="","",IF(OR(F106&gt;=1,I106&lt;&gt;""),"Concluída",IF(E106="","Falta o prazo",IF(E106&lt;Config!$B$5,"Atrasada",IF(E106-Config!$B$5&lt;=Config!$B$6,"Vence em breve",IF(D106&lt;=Config!$B$5,"Em andamento","A iniciar"))))))</f>
        <v/>
      </c>
      <c r="H106" s="26">
        <f>IF(OR(B106="",G106="Concluída",E106=""),"",E106-Config!$B$5)</f>
        <v/>
      </c>
      <c r="I106" s="34" t="n"/>
      <c r="J106" s="31" t="n"/>
      <c r="K106" s="36">
        <f>IF(OR(B106="",G106="Concluída"),0,IF(G106="Atrasada",3000+MIN(Config!$B$5-E106,60),IF(G106="Vence em breve",2000-(E106-Config!$B$5),IF(G106="Em andamento",1000-MIN(E106-Config!$B$5,900),100)))-ROW()/100000)</f>
        <v>0</v>
      </c>
      <c r="L106" s="36">
        <f>IF(B106="","",IF(I106&lt;&gt;"",1,N(F106)))</f>
        <v/>
      </c>
    </row>
    <row r="107">
      <c r="A107" s="33" t="n"/>
      <c r="B107" s="31" t="n"/>
      <c r="C107" s="33" t="n"/>
      <c r="D107" s="34" t="n"/>
      <c r="E107" s="34" t="n"/>
      <c r="F107" s="35" t="n"/>
      <c r="G107" s="23">
        <f>IF(B107="","",IF(OR(F107&gt;=1,I107&lt;&gt;""),"Concluída",IF(E107="","Falta o prazo",IF(E107&lt;Config!$B$5,"Atrasada",IF(E107-Config!$B$5&lt;=Config!$B$6,"Vence em breve",IF(D107&lt;=Config!$B$5,"Em andamento","A iniciar"))))))</f>
        <v/>
      </c>
      <c r="H107" s="26">
        <f>IF(OR(B107="",G107="Concluída",E107=""),"",E107-Config!$B$5)</f>
        <v/>
      </c>
      <c r="I107" s="34" t="n"/>
      <c r="J107" s="31" t="n"/>
      <c r="K107" s="36">
        <f>IF(OR(B107="",G107="Concluída"),0,IF(G107="Atrasada",3000+MIN(Config!$B$5-E107,60),IF(G107="Vence em breve",2000-(E107-Config!$B$5),IF(G107="Em andamento",1000-MIN(E107-Config!$B$5,900),100)))-ROW()/100000)</f>
        <v>0</v>
      </c>
      <c r="L107" s="36">
        <f>IF(B107="","",IF(I107&lt;&gt;"",1,N(F107)))</f>
        <v/>
      </c>
    </row>
    <row r="108">
      <c r="A108" s="33" t="n"/>
      <c r="B108" s="31" t="n"/>
      <c r="C108" s="33" t="n"/>
      <c r="D108" s="34" t="n"/>
      <c r="E108" s="34" t="n"/>
      <c r="F108" s="35" t="n"/>
      <c r="G108" s="23">
        <f>IF(B108="","",IF(OR(F108&gt;=1,I108&lt;&gt;""),"Concluída",IF(E108="","Falta o prazo",IF(E108&lt;Config!$B$5,"Atrasada",IF(E108-Config!$B$5&lt;=Config!$B$6,"Vence em breve",IF(D108&lt;=Config!$B$5,"Em andamento","A iniciar"))))))</f>
        <v/>
      </c>
      <c r="H108" s="26">
        <f>IF(OR(B108="",G108="Concluída",E108=""),"",E108-Config!$B$5)</f>
        <v/>
      </c>
      <c r="I108" s="34" t="n"/>
      <c r="J108" s="31" t="n"/>
      <c r="K108" s="36">
        <f>IF(OR(B108="",G108="Concluída"),0,IF(G108="Atrasada",3000+MIN(Config!$B$5-E108,60),IF(G108="Vence em breve",2000-(E108-Config!$B$5),IF(G108="Em andamento",1000-MIN(E108-Config!$B$5,900),100)))-ROW()/100000)</f>
        <v>0</v>
      </c>
      <c r="L108" s="36">
        <f>IF(B108="","",IF(I108&lt;&gt;"",1,N(F108)))</f>
        <v/>
      </c>
    </row>
    <row r="109">
      <c r="A109" s="33" t="n"/>
      <c r="B109" s="31" t="n"/>
      <c r="C109" s="33" t="n"/>
      <c r="D109" s="34" t="n"/>
      <c r="E109" s="34" t="n"/>
      <c r="F109" s="35" t="n"/>
      <c r="G109" s="23">
        <f>IF(B109="","",IF(OR(F109&gt;=1,I109&lt;&gt;""),"Concluída",IF(E109="","Falta o prazo",IF(E109&lt;Config!$B$5,"Atrasada",IF(E109-Config!$B$5&lt;=Config!$B$6,"Vence em breve",IF(D109&lt;=Config!$B$5,"Em andamento","A iniciar"))))))</f>
        <v/>
      </c>
      <c r="H109" s="26">
        <f>IF(OR(B109="",G109="Concluída",E109=""),"",E109-Config!$B$5)</f>
        <v/>
      </c>
      <c r="I109" s="34" t="n"/>
      <c r="J109" s="31" t="n"/>
      <c r="K109" s="36">
        <f>IF(OR(B109="",G109="Concluída"),0,IF(G109="Atrasada",3000+MIN(Config!$B$5-E109,60),IF(G109="Vence em breve",2000-(E109-Config!$B$5),IF(G109="Em andamento",1000-MIN(E109-Config!$B$5,900),100)))-ROW()/100000)</f>
        <v>0</v>
      </c>
      <c r="L109" s="36">
        <f>IF(B109="","",IF(I109&lt;&gt;"",1,N(F109)))</f>
        <v/>
      </c>
    </row>
    <row r="110">
      <c r="A110" s="33" t="n"/>
      <c r="B110" s="31" t="n"/>
      <c r="C110" s="33" t="n"/>
      <c r="D110" s="34" t="n"/>
      <c r="E110" s="34" t="n"/>
      <c r="F110" s="35" t="n"/>
      <c r="G110" s="23">
        <f>IF(B110="","",IF(OR(F110&gt;=1,I110&lt;&gt;""),"Concluída",IF(E110="","Falta o prazo",IF(E110&lt;Config!$B$5,"Atrasada",IF(E110-Config!$B$5&lt;=Config!$B$6,"Vence em breve",IF(D110&lt;=Config!$B$5,"Em andamento","A iniciar"))))))</f>
        <v/>
      </c>
      <c r="H110" s="26">
        <f>IF(OR(B110="",G110="Concluída",E110=""),"",E110-Config!$B$5)</f>
        <v/>
      </c>
      <c r="I110" s="34" t="n"/>
      <c r="J110" s="31" t="n"/>
      <c r="K110" s="36">
        <f>IF(OR(B110="",G110="Concluída"),0,IF(G110="Atrasada",3000+MIN(Config!$B$5-E110,60),IF(G110="Vence em breve",2000-(E110-Config!$B$5),IF(G110="Em andamento",1000-MIN(E110-Config!$B$5,900),100)))-ROW()/100000)</f>
        <v>0</v>
      </c>
      <c r="L110" s="36">
        <f>IF(B110="","",IF(I110&lt;&gt;"",1,N(F110)))</f>
        <v/>
      </c>
    </row>
    <row r="111">
      <c r="A111" s="33" t="n"/>
      <c r="B111" s="31" t="n"/>
      <c r="C111" s="33" t="n"/>
      <c r="D111" s="34" t="n"/>
      <c r="E111" s="34" t="n"/>
      <c r="F111" s="35" t="n"/>
      <c r="G111" s="23">
        <f>IF(B111="","",IF(OR(F111&gt;=1,I111&lt;&gt;""),"Concluída",IF(E111="","Falta o prazo",IF(E111&lt;Config!$B$5,"Atrasada",IF(E111-Config!$B$5&lt;=Config!$B$6,"Vence em breve",IF(D111&lt;=Config!$B$5,"Em andamento","A iniciar"))))))</f>
        <v/>
      </c>
      <c r="H111" s="26">
        <f>IF(OR(B111="",G111="Concluída",E111=""),"",E111-Config!$B$5)</f>
        <v/>
      </c>
      <c r="I111" s="34" t="n"/>
      <c r="J111" s="31" t="n"/>
      <c r="K111" s="36">
        <f>IF(OR(B111="",G111="Concluída"),0,IF(G111="Atrasada",3000+MIN(Config!$B$5-E111,60),IF(G111="Vence em breve",2000-(E111-Config!$B$5),IF(G111="Em andamento",1000-MIN(E111-Config!$B$5,900),100)))-ROW()/100000)</f>
        <v>0</v>
      </c>
      <c r="L111" s="36">
        <f>IF(B111="","",IF(I111&lt;&gt;"",1,N(F111)))</f>
        <v/>
      </c>
    </row>
    <row r="112">
      <c r="A112" s="33" t="n"/>
      <c r="B112" s="31" t="n"/>
      <c r="C112" s="33" t="n"/>
      <c r="D112" s="34" t="n"/>
      <c r="E112" s="34" t="n"/>
      <c r="F112" s="35" t="n"/>
      <c r="G112" s="23">
        <f>IF(B112="","",IF(OR(F112&gt;=1,I112&lt;&gt;""),"Concluída",IF(E112="","Falta o prazo",IF(E112&lt;Config!$B$5,"Atrasada",IF(E112-Config!$B$5&lt;=Config!$B$6,"Vence em breve",IF(D112&lt;=Config!$B$5,"Em andamento","A iniciar"))))))</f>
        <v/>
      </c>
      <c r="H112" s="26">
        <f>IF(OR(B112="",G112="Concluída",E112=""),"",E112-Config!$B$5)</f>
        <v/>
      </c>
      <c r="I112" s="34" t="n"/>
      <c r="J112" s="31" t="n"/>
      <c r="K112" s="36">
        <f>IF(OR(B112="",G112="Concluída"),0,IF(G112="Atrasada",3000+MIN(Config!$B$5-E112,60),IF(G112="Vence em breve",2000-(E112-Config!$B$5),IF(G112="Em andamento",1000-MIN(E112-Config!$B$5,900),100)))-ROW()/100000)</f>
        <v>0</v>
      </c>
      <c r="L112" s="36">
        <f>IF(B112="","",IF(I112&lt;&gt;"",1,N(F112)))</f>
        <v/>
      </c>
    </row>
    <row r="113">
      <c r="A113" s="33" t="n"/>
      <c r="B113" s="31" t="n"/>
      <c r="C113" s="33" t="n"/>
      <c r="D113" s="34" t="n"/>
      <c r="E113" s="34" t="n"/>
      <c r="F113" s="35" t="n"/>
      <c r="G113" s="23">
        <f>IF(B113="","",IF(OR(F113&gt;=1,I113&lt;&gt;""),"Concluída",IF(E113="","Falta o prazo",IF(E113&lt;Config!$B$5,"Atrasada",IF(E113-Config!$B$5&lt;=Config!$B$6,"Vence em breve",IF(D113&lt;=Config!$B$5,"Em andamento","A iniciar"))))))</f>
        <v/>
      </c>
      <c r="H113" s="26">
        <f>IF(OR(B113="",G113="Concluída",E113=""),"",E113-Config!$B$5)</f>
        <v/>
      </c>
      <c r="I113" s="34" t="n"/>
      <c r="J113" s="31" t="n"/>
      <c r="K113" s="36">
        <f>IF(OR(B113="",G113="Concluída"),0,IF(G113="Atrasada",3000+MIN(Config!$B$5-E113,60),IF(G113="Vence em breve",2000-(E113-Config!$B$5),IF(G113="Em andamento",1000-MIN(E113-Config!$B$5,900),100)))-ROW()/100000)</f>
        <v>0</v>
      </c>
      <c r="L113" s="36">
        <f>IF(B113="","",IF(I113&lt;&gt;"",1,N(F113)))</f>
        <v/>
      </c>
    </row>
    <row r="114">
      <c r="A114" s="33" t="n"/>
      <c r="B114" s="31" t="n"/>
      <c r="C114" s="33" t="n"/>
      <c r="D114" s="34" t="n"/>
      <c r="E114" s="34" t="n"/>
      <c r="F114" s="35" t="n"/>
      <c r="G114" s="23">
        <f>IF(B114="","",IF(OR(F114&gt;=1,I114&lt;&gt;""),"Concluída",IF(E114="","Falta o prazo",IF(E114&lt;Config!$B$5,"Atrasada",IF(E114-Config!$B$5&lt;=Config!$B$6,"Vence em breve",IF(D114&lt;=Config!$B$5,"Em andamento","A iniciar"))))))</f>
        <v/>
      </c>
      <c r="H114" s="26">
        <f>IF(OR(B114="",G114="Concluída",E114=""),"",E114-Config!$B$5)</f>
        <v/>
      </c>
      <c r="I114" s="34" t="n"/>
      <c r="J114" s="31" t="n"/>
      <c r="K114" s="36">
        <f>IF(OR(B114="",G114="Concluída"),0,IF(G114="Atrasada",3000+MIN(Config!$B$5-E114,60),IF(G114="Vence em breve",2000-(E114-Config!$B$5),IF(G114="Em andamento",1000-MIN(E114-Config!$B$5,900),100)))-ROW()/100000)</f>
        <v>0</v>
      </c>
      <c r="L114" s="36">
        <f>IF(B114="","",IF(I114&lt;&gt;"",1,N(F114)))</f>
        <v/>
      </c>
    </row>
    <row r="115">
      <c r="A115" s="33" t="n"/>
      <c r="B115" s="31" t="n"/>
      <c r="C115" s="33" t="n"/>
      <c r="D115" s="34" t="n"/>
      <c r="E115" s="34" t="n"/>
      <c r="F115" s="35" t="n"/>
      <c r="G115" s="23">
        <f>IF(B115="","",IF(OR(F115&gt;=1,I115&lt;&gt;""),"Concluída",IF(E115="","Falta o prazo",IF(E115&lt;Config!$B$5,"Atrasada",IF(E115-Config!$B$5&lt;=Config!$B$6,"Vence em breve",IF(D115&lt;=Config!$B$5,"Em andamento","A iniciar"))))))</f>
        <v/>
      </c>
      <c r="H115" s="26">
        <f>IF(OR(B115="",G115="Concluída",E115=""),"",E115-Config!$B$5)</f>
        <v/>
      </c>
      <c r="I115" s="34" t="n"/>
      <c r="J115" s="31" t="n"/>
      <c r="K115" s="36">
        <f>IF(OR(B115="",G115="Concluída"),0,IF(G115="Atrasada",3000+MIN(Config!$B$5-E115,60),IF(G115="Vence em breve",2000-(E115-Config!$B$5),IF(G115="Em andamento",1000-MIN(E115-Config!$B$5,900),100)))-ROW()/100000)</f>
        <v>0</v>
      </c>
      <c r="L115" s="36">
        <f>IF(B115="","",IF(I115&lt;&gt;"",1,N(F115)))</f>
        <v/>
      </c>
    </row>
    <row r="116">
      <c r="A116" s="33" t="n"/>
      <c r="B116" s="31" t="n"/>
      <c r="C116" s="33" t="n"/>
      <c r="D116" s="34" t="n"/>
      <c r="E116" s="34" t="n"/>
      <c r="F116" s="35" t="n"/>
      <c r="G116" s="23">
        <f>IF(B116="","",IF(OR(F116&gt;=1,I116&lt;&gt;""),"Concluída",IF(E116="","Falta o prazo",IF(E116&lt;Config!$B$5,"Atrasada",IF(E116-Config!$B$5&lt;=Config!$B$6,"Vence em breve",IF(D116&lt;=Config!$B$5,"Em andamento","A iniciar"))))))</f>
        <v/>
      </c>
      <c r="H116" s="26">
        <f>IF(OR(B116="",G116="Concluída",E116=""),"",E116-Config!$B$5)</f>
        <v/>
      </c>
      <c r="I116" s="34" t="n"/>
      <c r="J116" s="31" t="n"/>
      <c r="K116" s="36">
        <f>IF(OR(B116="",G116="Concluída"),0,IF(G116="Atrasada",3000+MIN(Config!$B$5-E116,60),IF(G116="Vence em breve",2000-(E116-Config!$B$5),IF(G116="Em andamento",1000-MIN(E116-Config!$B$5,900),100)))-ROW()/100000)</f>
        <v>0</v>
      </c>
      <c r="L116" s="36">
        <f>IF(B116="","",IF(I116&lt;&gt;"",1,N(F116)))</f>
        <v/>
      </c>
    </row>
    <row r="117">
      <c r="A117" s="33" t="n"/>
      <c r="B117" s="31" t="n"/>
      <c r="C117" s="33" t="n"/>
      <c r="D117" s="34" t="n"/>
      <c r="E117" s="34" t="n"/>
      <c r="F117" s="35" t="n"/>
      <c r="G117" s="23">
        <f>IF(B117="","",IF(OR(F117&gt;=1,I117&lt;&gt;""),"Concluída",IF(E117="","Falta o prazo",IF(E117&lt;Config!$B$5,"Atrasada",IF(E117-Config!$B$5&lt;=Config!$B$6,"Vence em breve",IF(D117&lt;=Config!$B$5,"Em andamento","A iniciar"))))))</f>
        <v/>
      </c>
      <c r="H117" s="26">
        <f>IF(OR(B117="",G117="Concluída",E117=""),"",E117-Config!$B$5)</f>
        <v/>
      </c>
      <c r="I117" s="34" t="n"/>
      <c r="J117" s="31" t="n"/>
      <c r="K117" s="36">
        <f>IF(OR(B117="",G117="Concluída"),0,IF(G117="Atrasada",3000+MIN(Config!$B$5-E117,60),IF(G117="Vence em breve",2000-(E117-Config!$B$5),IF(G117="Em andamento",1000-MIN(E117-Config!$B$5,900),100)))-ROW()/100000)</f>
        <v>0</v>
      </c>
      <c r="L117" s="36">
        <f>IF(B117="","",IF(I117&lt;&gt;"",1,N(F117)))</f>
        <v/>
      </c>
    </row>
    <row r="118">
      <c r="A118" s="33" t="n"/>
      <c r="B118" s="31" t="n"/>
      <c r="C118" s="33" t="n"/>
      <c r="D118" s="34" t="n"/>
      <c r="E118" s="34" t="n"/>
      <c r="F118" s="35" t="n"/>
      <c r="G118" s="23">
        <f>IF(B118="","",IF(OR(F118&gt;=1,I118&lt;&gt;""),"Concluída",IF(E118="","Falta o prazo",IF(E118&lt;Config!$B$5,"Atrasada",IF(E118-Config!$B$5&lt;=Config!$B$6,"Vence em breve",IF(D118&lt;=Config!$B$5,"Em andamento","A iniciar"))))))</f>
        <v/>
      </c>
      <c r="H118" s="26">
        <f>IF(OR(B118="",G118="Concluída",E118=""),"",E118-Config!$B$5)</f>
        <v/>
      </c>
      <c r="I118" s="34" t="n"/>
      <c r="J118" s="31" t="n"/>
      <c r="K118" s="36">
        <f>IF(OR(B118="",G118="Concluída"),0,IF(G118="Atrasada",3000+MIN(Config!$B$5-E118,60),IF(G118="Vence em breve",2000-(E118-Config!$B$5),IF(G118="Em andamento",1000-MIN(E118-Config!$B$5,900),100)))-ROW()/100000)</f>
        <v>0</v>
      </c>
      <c r="L118" s="36">
        <f>IF(B118="","",IF(I118&lt;&gt;"",1,N(F118)))</f>
        <v/>
      </c>
    </row>
    <row r="119">
      <c r="A119" s="33" t="n"/>
      <c r="B119" s="31" t="n"/>
      <c r="C119" s="33" t="n"/>
      <c r="D119" s="34" t="n"/>
      <c r="E119" s="34" t="n"/>
      <c r="F119" s="35" t="n"/>
      <c r="G119" s="23">
        <f>IF(B119="","",IF(OR(F119&gt;=1,I119&lt;&gt;""),"Concluída",IF(E119="","Falta o prazo",IF(E119&lt;Config!$B$5,"Atrasada",IF(E119-Config!$B$5&lt;=Config!$B$6,"Vence em breve",IF(D119&lt;=Config!$B$5,"Em andamento","A iniciar"))))))</f>
        <v/>
      </c>
      <c r="H119" s="26">
        <f>IF(OR(B119="",G119="Concluída",E119=""),"",E119-Config!$B$5)</f>
        <v/>
      </c>
      <c r="I119" s="34" t="n"/>
      <c r="J119" s="31" t="n"/>
      <c r="K119" s="36">
        <f>IF(OR(B119="",G119="Concluída"),0,IF(G119="Atrasada",3000+MIN(Config!$B$5-E119,60),IF(G119="Vence em breve",2000-(E119-Config!$B$5),IF(G119="Em andamento",1000-MIN(E119-Config!$B$5,900),100)))-ROW()/100000)</f>
        <v>0</v>
      </c>
      <c r="L119" s="36">
        <f>IF(B119="","",IF(I119&lt;&gt;"",1,N(F119)))</f>
        <v/>
      </c>
    </row>
    <row r="120">
      <c r="A120" s="33" t="n"/>
      <c r="B120" s="31" t="n"/>
      <c r="C120" s="33" t="n"/>
      <c r="D120" s="34" t="n"/>
      <c r="E120" s="34" t="n"/>
      <c r="F120" s="35" t="n"/>
      <c r="G120" s="23">
        <f>IF(B120="","",IF(OR(F120&gt;=1,I120&lt;&gt;""),"Concluída",IF(E120="","Falta o prazo",IF(E120&lt;Config!$B$5,"Atrasada",IF(E120-Config!$B$5&lt;=Config!$B$6,"Vence em breve",IF(D120&lt;=Config!$B$5,"Em andamento","A iniciar"))))))</f>
        <v/>
      </c>
      <c r="H120" s="26">
        <f>IF(OR(B120="",G120="Concluída",E120=""),"",E120-Config!$B$5)</f>
        <v/>
      </c>
      <c r="I120" s="34" t="n"/>
      <c r="J120" s="31" t="n"/>
      <c r="K120" s="36">
        <f>IF(OR(B120="",G120="Concluída"),0,IF(G120="Atrasada",3000+MIN(Config!$B$5-E120,60),IF(G120="Vence em breve",2000-(E120-Config!$B$5),IF(G120="Em andamento",1000-MIN(E120-Config!$B$5,900),100)))-ROW()/100000)</f>
        <v>0</v>
      </c>
      <c r="L120" s="36">
        <f>IF(B120="","",IF(I120&lt;&gt;"",1,N(F120)))</f>
        <v/>
      </c>
    </row>
    <row r="121">
      <c r="A121" s="33" t="n"/>
      <c r="B121" s="31" t="n"/>
      <c r="C121" s="33" t="n"/>
      <c r="D121" s="34" t="n"/>
      <c r="E121" s="34" t="n"/>
      <c r="F121" s="35" t="n"/>
      <c r="G121" s="23">
        <f>IF(B121="","",IF(OR(F121&gt;=1,I121&lt;&gt;""),"Concluída",IF(E121="","Falta o prazo",IF(E121&lt;Config!$B$5,"Atrasada",IF(E121-Config!$B$5&lt;=Config!$B$6,"Vence em breve",IF(D121&lt;=Config!$B$5,"Em andamento","A iniciar"))))))</f>
        <v/>
      </c>
      <c r="H121" s="26">
        <f>IF(OR(B121="",G121="Concluída",E121=""),"",E121-Config!$B$5)</f>
        <v/>
      </c>
      <c r="I121" s="34" t="n"/>
      <c r="J121" s="31" t="n"/>
      <c r="K121" s="36">
        <f>IF(OR(B121="",G121="Concluída"),0,IF(G121="Atrasada",3000+MIN(Config!$B$5-E121,60),IF(G121="Vence em breve",2000-(E121-Config!$B$5),IF(G121="Em andamento",1000-MIN(E121-Config!$B$5,900),100)))-ROW()/100000)</f>
        <v>0</v>
      </c>
      <c r="L121" s="36">
        <f>IF(B121="","",IF(I121&lt;&gt;"",1,N(F121)))</f>
        <v/>
      </c>
    </row>
    <row r="122">
      <c r="A122" s="33" t="n"/>
      <c r="B122" s="31" t="n"/>
      <c r="C122" s="33" t="n"/>
      <c r="D122" s="34" t="n"/>
      <c r="E122" s="34" t="n"/>
      <c r="F122" s="35" t="n"/>
      <c r="G122" s="23">
        <f>IF(B122="","",IF(OR(F122&gt;=1,I122&lt;&gt;""),"Concluída",IF(E122="","Falta o prazo",IF(E122&lt;Config!$B$5,"Atrasada",IF(E122-Config!$B$5&lt;=Config!$B$6,"Vence em breve",IF(D122&lt;=Config!$B$5,"Em andamento","A iniciar"))))))</f>
        <v/>
      </c>
      <c r="H122" s="26">
        <f>IF(OR(B122="",G122="Concluída",E122=""),"",E122-Config!$B$5)</f>
        <v/>
      </c>
      <c r="I122" s="34" t="n"/>
      <c r="J122" s="31" t="n"/>
      <c r="K122" s="36">
        <f>IF(OR(B122="",G122="Concluída"),0,IF(G122="Atrasada",3000+MIN(Config!$B$5-E122,60),IF(G122="Vence em breve",2000-(E122-Config!$B$5),IF(G122="Em andamento",1000-MIN(E122-Config!$B$5,900),100)))-ROW()/100000)</f>
        <v>0</v>
      </c>
      <c r="L122" s="36">
        <f>IF(B122="","",IF(I122&lt;&gt;"",1,N(F122)))</f>
        <v/>
      </c>
    </row>
    <row r="123">
      <c r="A123" s="33" t="n"/>
      <c r="B123" s="31" t="n"/>
      <c r="C123" s="33" t="n"/>
      <c r="D123" s="34" t="n"/>
      <c r="E123" s="34" t="n"/>
      <c r="F123" s="35" t="n"/>
      <c r="G123" s="23">
        <f>IF(B123="","",IF(OR(F123&gt;=1,I123&lt;&gt;""),"Concluída",IF(E123="","Falta o prazo",IF(E123&lt;Config!$B$5,"Atrasada",IF(E123-Config!$B$5&lt;=Config!$B$6,"Vence em breve",IF(D123&lt;=Config!$B$5,"Em andamento","A iniciar"))))))</f>
        <v/>
      </c>
      <c r="H123" s="26">
        <f>IF(OR(B123="",G123="Concluída",E123=""),"",E123-Config!$B$5)</f>
        <v/>
      </c>
      <c r="I123" s="34" t="n"/>
      <c r="J123" s="31" t="n"/>
      <c r="K123" s="36">
        <f>IF(OR(B123="",G123="Concluída"),0,IF(G123="Atrasada",3000+MIN(Config!$B$5-E123,60),IF(G123="Vence em breve",2000-(E123-Config!$B$5),IF(G123="Em andamento",1000-MIN(E123-Config!$B$5,900),100)))-ROW()/100000)</f>
        <v>0</v>
      </c>
      <c r="L123" s="36">
        <f>IF(B123="","",IF(I123&lt;&gt;"",1,N(F123)))</f>
        <v/>
      </c>
    </row>
    <row r="124">
      <c r="A124" s="33" t="n"/>
      <c r="B124" s="31" t="n"/>
      <c r="C124" s="33" t="n"/>
      <c r="D124" s="34" t="n"/>
      <c r="E124" s="34" t="n"/>
      <c r="F124" s="35" t="n"/>
      <c r="G124" s="23">
        <f>IF(B124="","",IF(OR(F124&gt;=1,I124&lt;&gt;""),"Concluída",IF(E124="","Falta o prazo",IF(E124&lt;Config!$B$5,"Atrasada",IF(E124-Config!$B$5&lt;=Config!$B$6,"Vence em breve",IF(D124&lt;=Config!$B$5,"Em andamento","A iniciar"))))))</f>
        <v/>
      </c>
      <c r="H124" s="26">
        <f>IF(OR(B124="",G124="Concluída",E124=""),"",E124-Config!$B$5)</f>
        <v/>
      </c>
      <c r="I124" s="34" t="n"/>
      <c r="J124" s="31" t="n"/>
      <c r="K124" s="36">
        <f>IF(OR(B124="",G124="Concluída"),0,IF(G124="Atrasada",3000+MIN(Config!$B$5-E124,60),IF(G124="Vence em breve",2000-(E124-Config!$B$5),IF(G124="Em andamento",1000-MIN(E124-Config!$B$5,900),100)))-ROW()/100000)</f>
        <v>0</v>
      </c>
      <c r="L124" s="36">
        <f>IF(B124="","",IF(I124&lt;&gt;"",1,N(F124)))</f>
        <v/>
      </c>
    </row>
    <row r="125">
      <c r="A125" s="33" t="n"/>
      <c r="B125" s="31" t="n"/>
      <c r="C125" s="33" t="n"/>
      <c r="D125" s="34" t="n"/>
      <c r="E125" s="34" t="n"/>
      <c r="F125" s="35" t="n"/>
      <c r="G125" s="23">
        <f>IF(B125="","",IF(OR(F125&gt;=1,I125&lt;&gt;""),"Concluída",IF(E125="","Falta o prazo",IF(E125&lt;Config!$B$5,"Atrasada",IF(E125-Config!$B$5&lt;=Config!$B$6,"Vence em breve",IF(D125&lt;=Config!$B$5,"Em andamento","A iniciar"))))))</f>
        <v/>
      </c>
      <c r="H125" s="26">
        <f>IF(OR(B125="",G125="Concluída",E125=""),"",E125-Config!$B$5)</f>
        <v/>
      </c>
      <c r="I125" s="34" t="n"/>
      <c r="J125" s="31" t="n"/>
      <c r="K125" s="36">
        <f>IF(OR(B125="",G125="Concluída"),0,IF(G125="Atrasada",3000+MIN(Config!$B$5-E125,60),IF(G125="Vence em breve",2000-(E125-Config!$B$5),IF(G125="Em andamento",1000-MIN(E125-Config!$B$5,900),100)))-ROW()/100000)</f>
        <v>0</v>
      </c>
      <c r="L125" s="36">
        <f>IF(B125="","",IF(I125&lt;&gt;"",1,N(F125)))</f>
        <v/>
      </c>
    </row>
    <row r="126">
      <c r="A126" s="33" t="n"/>
      <c r="B126" s="31" t="n"/>
      <c r="C126" s="33" t="n"/>
      <c r="D126" s="34" t="n"/>
      <c r="E126" s="34" t="n"/>
      <c r="F126" s="35" t="n"/>
      <c r="G126" s="23">
        <f>IF(B126="","",IF(OR(F126&gt;=1,I126&lt;&gt;""),"Concluída",IF(E126="","Falta o prazo",IF(E126&lt;Config!$B$5,"Atrasada",IF(E126-Config!$B$5&lt;=Config!$B$6,"Vence em breve",IF(D126&lt;=Config!$B$5,"Em andamento","A iniciar"))))))</f>
        <v/>
      </c>
      <c r="H126" s="26">
        <f>IF(OR(B126="",G126="Concluída",E126=""),"",E126-Config!$B$5)</f>
        <v/>
      </c>
      <c r="I126" s="34" t="n"/>
      <c r="J126" s="31" t="n"/>
      <c r="K126" s="36">
        <f>IF(OR(B126="",G126="Concluída"),0,IF(G126="Atrasada",3000+MIN(Config!$B$5-E126,60),IF(G126="Vence em breve",2000-(E126-Config!$B$5),IF(G126="Em andamento",1000-MIN(E126-Config!$B$5,900),100)))-ROW()/100000)</f>
        <v>0</v>
      </c>
      <c r="L126" s="36">
        <f>IF(B126="","",IF(I126&lt;&gt;"",1,N(F126)))</f>
        <v/>
      </c>
    </row>
    <row r="127">
      <c r="A127" s="33" t="n"/>
      <c r="B127" s="31" t="n"/>
      <c r="C127" s="33" t="n"/>
      <c r="D127" s="34" t="n"/>
      <c r="E127" s="34" t="n"/>
      <c r="F127" s="35" t="n"/>
      <c r="G127" s="23">
        <f>IF(B127="","",IF(OR(F127&gt;=1,I127&lt;&gt;""),"Concluída",IF(E127="","Falta o prazo",IF(E127&lt;Config!$B$5,"Atrasada",IF(E127-Config!$B$5&lt;=Config!$B$6,"Vence em breve",IF(D127&lt;=Config!$B$5,"Em andamento","A iniciar"))))))</f>
        <v/>
      </c>
      <c r="H127" s="26">
        <f>IF(OR(B127="",G127="Concluída",E127=""),"",E127-Config!$B$5)</f>
        <v/>
      </c>
      <c r="I127" s="34" t="n"/>
      <c r="J127" s="31" t="n"/>
      <c r="K127" s="36">
        <f>IF(OR(B127="",G127="Concluída"),0,IF(G127="Atrasada",3000+MIN(Config!$B$5-E127,60),IF(G127="Vence em breve",2000-(E127-Config!$B$5),IF(G127="Em andamento",1000-MIN(E127-Config!$B$5,900),100)))-ROW()/100000)</f>
        <v>0</v>
      </c>
      <c r="L127" s="36">
        <f>IF(B127="","",IF(I127&lt;&gt;"",1,N(F127)))</f>
        <v/>
      </c>
    </row>
    <row r="128">
      <c r="A128" s="33" t="n"/>
      <c r="B128" s="31" t="n"/>
      <c r="C128" s="33" t="n"/>
      <c r="D128" s="34" t="n"/>
      <c r="E128" s="34" t="n"/>
      <c r="F128" s="35" t="n"/>
      <c r="G128" s="23">
        <f>IF(B128="","",IF(OR(F128&gt;=1,I128&lt;&gt;""),"Concluída",IF(E128="","Falta o prazo",IF(E128&lt;Config!$B$5,"Atrasada",IF(E128-Config!$B$5&lt;=Config!$B$6,"Vence em breve",IF(D128&lt;=Config!$B$5,"Em andamento","A iniciar"))))))</f>
        <v/>
      </c>
      <c r="H128" s="26">
        <f>IF(OR(B128="",G128="Concluída",E128=""),"",E128-Config!$B$5)</f>
        <v/>
      </c>
      <c r="I128" s="34" t="n"/>
      <c r="J128" s="31" t="n"/>
      <c r="K128" s="36">
        <f>IF(OR(B128="",G128="Concluída"),0,IF(G128="Atrasada",3000+MIN(Config!$B$5-E128,60),IF(G128="Vence em breve",2000-(E128-Config!$B$5),IF(G128="Em andamento",1000-MIN(E128-Config!$B$5,900),100)))-ROW()/100000)</f>
        <v>0</v>
      </c>
      <c r="L128" s="36">
        <f>IF(B128="","",IF(I128&lt;&gt;"",1,N(F128)))</f>
        <v/>
      </c>
    </row>
    <row r="129">
      <c r="A129" s="33" t="n"/>
      <c r="B129" s="31" t="n"/>
      <c r="C129" s="33" t="n"/>
      <c r="D129" s="34" t="n"/>
      <c r="E129" s="34" t="n"/>
      <c r="F129" s="35" t="n"/>
      <c r="G129" s="23">
        <f>IF(B129="","",IF(OR(F129&gt;=1,I129&lt;&gt;""),"Concluída",IF(E129="","Falta o prazo",IF(E129&lt;Config!$B$5,"Atrasada",IF(E129-Config!$B$5&lt;=Config!$B$6,"Vence em breve",IF(D129&lt;=Config!$B$5,"Em andamento","A iniciar"))))))</f>
        <v/>
      </c>
      <c r="H129" s="26">
        <f>IF(OR(B129="",G129="Concluída",E129=""),"",E129-Config!$B$5)</f>
        <v/>
      </c>
      <c r="I129" s="34" t="n"/>
      <c r="J129" s="31" t="n"/>
      <c r="K129" s="36">
        <f>IF(OR(B129="",G129="Concluída"),0,IF(G129="Atrasada",3000+MIN(Config!$B$5-E129,60),IF(G129="Vence em breve",2000-(E129-Config!$B$5),IF(G129="Em andamento",1000-MIN(E129-Config!$B$5,900),100)))-ROW()/100000)</f>
        <v>0</v>
      </c>
      <c r="L129" s="36">
        <f>IF(B129="","",IF(I129&lt;&gt;"",1,N(F129)))</f>
        <v/>
      </c>
    </row>
    <row r="130">
      <c r="A130" s="33" t="n"/>
      <c r="B130" s="31" t="n"/>
      <c r="C130" s="33" t="n"/>
      <c r="D130" s="34" t="n"/>
      <c r="E130" s="34" t="n"/>
      <c r="F130" s="35" t="n"/>
      <c r="G130" s="23">
        <f>IF(B130="","",IF(OR(F130&gt;=1,I130&lt;&gt;""),"Concluída",IF(E130="","Falta o prazo",IF(E130&lt;Config!$B$5,"Atrasada",IF(E130-Config!$B$5&lt;=Config!$B$6,"Vence em breve",IF(D130&lt;=Config!$B$5,"Em andamento","A iniciar"))))))</f>
        <v/>
      </c>
      <c r="H130" s="26">
        <f>IF(OR(B130="",G130="Concluída",E130=""),"",E130-Config!$B$5)</f>
        <v/>
      </c>
      <c r="I130" s="34" t="n"/>
      <c r="J130" s="31" t="n"/>
      <c r="K130" s="36">
        <f>IF(OR(B130="",G130="Concluída"),0,IF(G130="Atrasada",3000+MIN(Config!$B$5-E130,60),IF(G130="Vence em breve",2000-(E130-Config!$B$5),IF(G130="Em andamento",1000-MIN(E130-Config!$B$5,900),100)))-ROW()/100000)</f>
        <v>0</v>
      </c>
      <c r="L130" s="36">
        <f>IF(B130="","",IF(I130&lt;&gt;"",1,N(F130)))</f>
        <v/>
      </c>
    </row>
    <row r="131">
      <c r="A131" s="33" t="n"/>
      <c r="B131" s="31" t="n"/>
      <c r="C131" s="33" t="n"/>
      <c r="D131" s="34" t="n"/>
      <c r="E131" s="34" t="n"/>
      <c r="F131" s="35" t="n"/>
      <c r="G131" s="23">
        <f>IF(B131="","",IF(OR(F131&gt;=1,I131&lt;&gt;""),"Concluída",IF(E131="","Falta o prazo",IF(E131&lt;Config!$B$5,"Atrasada",IF(E131-Config!$B$5&lt;=Config!$B$6,"Vence em breve",IF(D131&lt;=Config!$B$5,"Em andamento","A iniciar"))))))</f>
        <v/>
      </c>
      <c r="H131" s="26">
        <f>IF(OR(B131="",G131="Concluída",E131=""),"",E131-Config!$B$5)</f>
        <v/>
      </c>
      <c r="I131" s="34" t="n"/>
      <c r="J131" s="31" t="n"/>
      <c r="K131" s="36">
        <f>IF(OR(B131="",G131="Concluída"),0,IF(G131="Atrasada",3000+MIN(Config!$B$5-E131,60),IF(G131="Vence em breve",2000-(E131-Config!$B$5),IF(G131="Em andamento",1000-MIN(E131-Config!$B$5,900),100)))-ROW()/100000)</f>
        <v>0</v>
      </c>
      <c r="L131" s="36">
        <f>IF(B131="","",IF(I131&lt;&gt;"",1,N(F131)))</f>
        <v/>
      </c>
    </row>
    <row r="132">
      <c r="A132" s="33" t="n"/>
      <c r="B132" s="31" t="n"/>
      <c r="C132" s="33" t="n"/>
      <c r="D132" s="34" t="n"/>
      <c r="E132" s="34" t="n"/>
      <c r="F132" s="35" t="n"/>
      <c r="G132" s="23">
        <f>IF(B132="","",IF(OR(F132&gt;=1,I132&lt;&gt;""),"Concluída",IF(E132="","Falta o prazo",IF(E132&lt;Config!$B$5,"Atrasada",IF(E132-Config!$B$5&lt;=Config!$B$6,"Vence em breve",IF(D132&lt;=Config!$B$5,"Em andamento","A iniciar"))))))</f>
        <v/>
      </c>
      <c r="H132" s="26">
        <f>IF(OR(B132="",G132="Concluída",E132=""),"",E132-Config!$B$5)</f>
        <v/>
      </c>
      <c r="I132" s="34" t="n"/>
      <c r="J132" s="31" t="n"/>
      <c r="K132" s="36">
        <f>IF(OR(B132="",G132="Concluída"),0,IF(G132="Atrasada",3000+MIN(Config!$B$5-E132,60),IF(G132="Vence em breve",2000-(E132-Config!$B$5),IF(G132="Em andamento",1000-MIN(E132-Config!$B$5,900),100)))-ROW()/100000)</f>
        <v>0</v>
      </c>
      <c r="L132" s="36">
        <f>IF(B132="","",IF(I132&lt;&gt;"",1,N(F132)))</f>
        <v/>
      </c>
    </row>
    <row r="133">
      <c r="A133" s="33" t="n"/>
      <c r="B133" s="31" t="n"/>
      <c r="C133" s="33" t="n"/>
      <c r="D133" s="34" t="n"/>
      <c r="E133" s="34" t="n"/>
      <c r="F133" s="35" t="n"/>
      <c r="G133" s="23">
        <f>IF(B133="","",IF(OR(F133&gt;=1,I133&lt;&gt;""),"Concluída",IF(E133="","Falta o prazo",IF(E133&lt;Config!$B$5,"Atrasada",IF(E133-Config!$B$5&lt;=Config!$B$6,"Vence em breve",IF(D133&lt;=Config!$B$5,"Em andamento","A iniciar"))))))</f>
        <v/>
      </c>
      <c r="H133" s="26">
        <f>IF(OR(B133="",G133="Concluída",E133=""),"",E133-Config!$B$5)</f>
        <v/>
      </c>
      <c r="I133" s="34" t="n"/>
      <c r="J133" s="31" t="n"/>
      <c r="K133" s="36">
        <f>IF(OR(B133="",G133="Concluída"),0,IF(G133="Atrasada",3000+MIN(Config!$B$5-E133,60),IF(G133="Vence em breve",2000-(E133-Config!$B$5),IF(G133="Em andamento",1000-MIN(E133-Config!$B$5,900),100)))-ROW()/100000)</f>
        <v>0</v>
      </c>
      <c r="L133" s="36">
        <f>IF(B133="","",IF(I133&lt;&gt;"",1,N(F133)))</f>
        <v/>
      </c>
    </row>
    <row r="134">
      <c r="A134" s="33" t="n"/>
      <c r="B134" s="31" t="n"/>
      <c r="C134" s="33" t="n"/>
      <c r="D134" s="34" t="n"/>
      <c r="E134" s="34" t="n"/>
      <c r="F134" s="35" t="n"/>
      <c r="G134" s="23">
        <f>IF(B134="","",IF(OR(F134&gt;=1,I134&lt;&gt;""),"Concluída",IF(E134="","Falta o prazo",IF(E134&lt;Config!$B$5,"Atrasada",IF(E134-Config!$B$5&lt;=Config!$B$6,"Vence em breve",IF(D134&lt;=Config!$B$5,"Em andamento","A iniciar"))))))</f>
        <v/>
      </c>
      <c r="H134" s="26">
        <f>IF(OR(B134="",G134="Concluída",E134=""),"",E134-Config!$B$5)</f>
        <v/>
      </c>
      <c r="I134" s="34" t="n"/>
      <c r="J134" s="31" t="n"/>
      <c r="K134" s="36">
        <f>IF(OR(B134="",G134="Concluída"),0,IF(G134="Atrasada",3000+MIN(Config!$B$5-E134,60),IF(G134="Vence em breve",2000-(E134-Config!$B$5),IF(G134="Em andamento",1000-MIN(E134-Config!$B$5,900),100)))-ROW()/100000)</f>
        <v>0</v>
      </c>
      <c r="L134" s="36">
        <f>IF(B134="","",IF(I134&lt;&gt;"",1,N(F134)))</f>
        <v/>
      </c>
    </row>
    <row r="135">
      <c r="A135" s="33" t="n"/>
      <c r="B135" s="31" t="n"/>
      <c r="C135" s="33" t="n"/>
      <c r="D135" s="34" t="n"/>
      <c r="E135" s="34" t="n"/>
      <c r="F135" s="35" t="n"/>
      <c r="G135" s="23">
        <f>IF(B135="","",IF(OR(F135&gt;=1,I135&lt;&gt;""),"Concluída",IF(E135="","Falta o prazo",IF(E135&lt;Config!$B$5,"Atrasada",IF(E135-Config!$B$5&lt;=Config!$B$6,"Vence em breve",IF(D135&lt;=Config!$B$5,"Em andamento","A iniciar"))))))</f>
        <v/>
      </c>
      <c r="H135" s="26">
        <f>IF(OR(B135="",G135="Concluída",E135=""),"",E135-Config!$B$5)</f>
        <v/>
      </c>
      <c r="I135" s="34" t="n"/>
      <c r="J135" s="31" t="n"/>
      <c r="K135" s="36">
        <f>IF(OR(B135="",G135="Concluída"),0,IF(G135="Atrasada",3000+MIN(Config!$B$5-E135,60),IF(G135="Vence em breve",2000-(E135-Config!$B$5),IF(G135="Em andamento",1000-MIN(E135-Config!$B$5,900),100)))-ROW()/100000)</f>
        <v>0</v>
      </c>
      <c r="L135" s="36">
        <f>IF(B135="","",IF(I135&lt;&gt;"",1,N(F135)))</f>
        <v/>
      </c>
    </row>
    <row r="136">
      <c r="A136" s="33" t="n"/>
      <c r="B136" s="31" t="n"/>
      <c r="C136" s="33" t="n"/>
      <c r="D136" s="34" t="n"/>
      <c r="E136" s="34" t="n"/>
      <c r="F136" s="35" t="n"/>
      <c r="G136" s="23">
        <f>IF(B136="","",IF(OR(F136&gt;=1,I136&lt;&gt;""),"Concluída",IF(E136="","Falta o prazo",IF(E136&lt;Config!$B$5,"Atrasada",IF(E136-Config!$B$5&lt;=Config!$B$6,"Vence em breve",IF(D136&lt;=Config!$B$5,"Em andamento","A iniciar"))))))</f>
        <v/>
      </c>
      <c r="H136" s="26">
        <f>IF(OR(B136="",G136="Concluída",E136=""),"",E136-Config!$B$5)</f>
        <v/>
      </c>
      <c r="I136" s="34" t="n"/>
      <c r="J136" s="31" t="n"/>
      <c r="K136" s="36">
        <f>IF(OR(B136="",G136="Concluída"),0,IF(G136="Atrasada",3000+MIN(Config!$B$5-E136,60),IF(G136="Vence em breve",2000-(E136-Config!$B$5),IF(G136="Em andamento",1000-MIN(E136-Config!$B$5,900),100)))-ROW()/100000)</f>
        <v>0</v>
      </c>
      <c r="L136" s="36">
        <f>IF(B136="","",IF(I136&lt;&gt;"",1,N(F136)))</f>
        <v/>
      </c>
    </row>
    <row r="137">
      <c r="A137" s="33" t="n"/>
      <c r="B137" s="31" t="n"/>
      <c r="C137" s="33" t="n"/>
      <c r="D137" s="34" t="n"/>
      <c r="E137" s="34" t="n"/>
      <c r="F137" s="35" t="n"/>
      <c r="G137" s="23">
        <f>IF(B137="","",IF(OR(F137&gt;=1,I137&lt;&gt;""),"Concluída",IF(E137="","Falta o prazo",IF(E137&lt;Config!$B$5,"Atrasada",IF(E137-Config!$B$5&lt;=Config!$B$6,"Vence em breve",IF(D137&lt;=Config!$B$5,"Em andamento","A iniciar"))))))</f>
        <v/>
      </c>
      <c r="H137" s="26">
        <f>IF(OR(B137="",G137="Concluída",E137=""),"",E137-Config!$B$5)</f>
        <v/>
      </c>
      <c r="I137" s="34" t="n"/>
      <c r="J137" s="31" t="n"/>
      <c r="K137" s="36">
        <f>IF(OR(B137="",G137="Concluída"),0,IF(G137="Atrasada",3000+MIN(Config!$B$5-E137,60),IF(G137="Vence em breve",2000-(E137-Config!$B$5),IF(G137="Em andamento",1000-MIN(E137-Config!$B$5,900),100)))-ROW()/100000)</f>
        <v>0</v>
      </c>
      <c r="L137" s="36">
        <f>IF(B137="","",IF(I137&lt;&gt;"",1,N(F137)))</f>
        <v/>
      </c>
    </row>
    <row r="138">
      <c r="A138" s="33" t="n"/>
      <c r="B138" s="31" t="n"/>
      <c r="C138" s="33" t="n"/>
      <c r="D138" s="34" t="n"/>
      <c r="E138" s="34" t="n"/>
      <c r="F138" s="35" t="n"/>
      <c r="G138" s="23">
        <f>IF(B138="","",IF(OR(F138&gt;=1,I138&lt;&gt;""),"Concluída",IF(E138="","Falta o prazo",IF(E138&lt;Config!$B$5,"Atrasada",IF(E138-Config!$B$5&lt;=Config!$B$6,"Vence em breve",IF(D138&lt;=Config!$B$5,"Em andamento","A iniciar"))))))</f>
        <v/>
      </c>
      <c r="H138" s="26">
        <f>IF(OR(B138="",G138="Concluída",E138=""),"",E138-Config!$B$5)</f>
        <v/>
      </c>
      <c r="I138" s="34" t="n"/>
      <c r="J138" s="31" t="n"/>
      <c r="K138" s="36">
        <f>IF(OR(B138="",G138="Concluída"),0,IF(G138="Atrasada",3000+MIN(Config!$B$5-E138,60),IF(G138="Vence em breve",2000-(E138-Config!$B$5),IF(G138="Em andamento",1000-MIN(E138-Config!$B$5,900),100)))-ROW()/100000)</f>
        <v>0</v>
      </c>
      <c r="L138" s="36">
        <f>IF(B138="","",IF(I138&lt;&gt;"",1,N(F138)))</f>
        <v/>
      </c>
    </row>
    <row r="139">
      <c r="A139" s="33" t="n"/>
      <c r="B139" s="31" t="n"/>
      <c r="C139" s="33" t="n"/>
      <c r="D139" s="34" t="n"/>
      <c r="E139" s="34" t="n"/>
      <c r="F139" s="35" t="n"/>
      <c r="G139" s="23">
        <f>IF(B139="","",IF(OR(F139&gt;=1,I139&lt;&gt;""),"Concluída",IF(E139="","Falta o prazo",IF(E139&lt;Config!$B$5,"Atrasada",IF(E139-Config!$B$5&lt;=Config!$B$6,"Vence em breve",IF(D139&lt;=Config!$B$5,"Em andamento","A iniciar"))))))</f>
        <v/>
      </c>
      <c r="H139" s="26">
        <f>IF(OR(B139="",G139="Concluída",E139=""),"",E139-Config!$B$5)</f>
        <v/>
      </c>
      <c r="I139" s="34" t="n"/>
      <c r="J139" s="31" t="n"/>
      <c r="K139" s="36">
        <f>IF(OR(B139="",G139="Concluída"),0,IF(G139="Atrasada",3000+MIN(Config!$B$5-E139,60),IF(G139="Vence em breve",2000-(E139-Config!$B$5),IF(G139="Em andamento",1000-MIN(E139-Config!$B$5,900),100)))-ROW()/100000)</f>
        <v>0</v>
      </c>
      <c r="L139" s="36">
        <f>IF(B139="","",IF(I139&lt;&gt;"",1,N(F139)))</f>
        <v/>
      </c>
    </row>
    <row r="140">
      <c r="A140" s="33" t="n"/>
      <c r="B140" s="31" t="n"/>
      <c r="C140" s="33" t="n"/>
      <c r="D140" s="34" t="n"/>
      <c r="E140" s="34" t="n"/>
      <c r="F140" s="35" t="n"/>
      <c r="G140" s="23">
        <f>IF(B140="","",IF(OR(F140&gt;=1,I140&lt;&gt;""),"Concluída",IF(E140="","Falta o prazo",IF(E140&lt;Config!$B$5,"Atrasada",IF(E140-Config!$B$5&lt;=Config!$B$6,"Vence em breve",IF(D140&lt;=Config!$B$5,"Em andamento","A iniciar"))))))</f>
        <v/>
      </c>
      <c r="H140" s="26">
        <f>IF(OR(B140="",G140="Concluída",E140=""),"",E140-Config!$B$5)</f>
        <v/>
      </c>
      <c r="I140" s="34" t="n"/>
      <c r="J140" s="31" t="n"/>
      <c r="K140" s="36">
        <f>IF(OR(B140="",G140="Concluída"),0,IF(G140="Atrasada",3000+MIN(Config!$B$5-E140,60),IF(G140="Vence em breve",2000-(E140-Config!$B$5),IF(G140="Em andamento",1000-MIN(E140-Config!$B$5,900),100)))-ROW()/100000)</f>
        <v>0</v>
      </c>
      <c r="L140" s="36">
        <f>IF(B140="","",IF(I140&lt;&gt;"",1,N(F140)))</f>
        <v/>
      </c>
    </row>
    <row r="141">
      <c r="A141" s="33" t="n"/>
      <c r="B141" s="31" t="n"/>
      <c r="C141" s="33" t="n"/>
      <c r="D141" s="34" t="n"/>
      <c r="E141" s="34" t="n"/>
      <c r="F141" s="35" t="n"/>
      <c r="G141" s="23">
        <f>IF(B141="","",IF(OR(F141&gt;=1,I141&lt;&gt;""),"Concluída",IF(E141="","Falta o prazo",IF(E141&lt;Config!$B$5,"Atrasada",IF(E141-Config!$B$5&lt;=Config!$B$6,"Vence em breve",IF(D141&lt;=Config!$B$5,"Em andamento","A iniciar"))))))</f>
        <v/>
      </c>
      <c r="H141" s="26">
        <f>IF(OR(B141="",G141="Concluída",E141=""),"",E141-Config!$B$5)</f>
        <v/>
      </c>
      <c r="I141" s="34" t="n"/>
      <c r="J141" s="31" t="n"/>
      <c r="K141" s="36">
        <f>IF(OR(B141="",G141="Concluída"),0,IF(G141="Atrasada",3000+MIN(Config!$B$5-E141,60),IF(G141="Vence em breve",2000-(E141-Config!$B$5),IF(G141="Em andamento",1000-MIN(E141-Config!$B$5,900),100)))-ROW()/100000)</f>
        <v>0</v>
      </c>
      <c r="L141" s="36">
        <f>IF(B141="","",IF(I141&lt;&gt;"",1,N(F141)))</f>
        <v/>
      </c>
    </row>
    <row r="142">
      <c r="A142" s="33" t="n"/>
      <c r="B142" s="31" t="n"/>
      <c r="C142" s="33" t="n"/>
      <c r="D142" s="34" t="n"/>
      <c r="E142" s="34" t="n"/>
      <c r="F142" s="35" t="n"/>
      <c r="G142" s="23">
        <f>IF(B142="","",IF(OR(F142&gt;=1,I142&lt;&gt;""),"Concluída",IF(E142="","Falta o prazo",IF(E142&lt;Config!$B$5,"Atrasada",IF(E142-Config!$B$5&lt;=Config!$B$6,"Vence em breve",IF(D142&lt;=Config!$B$5,"Em andamento","A iniciar"))))))</f>
        <v/>
      </c>
      <c r="H142" s="26">
        <f>IF(OR(B142="",G142="Concluída",E142=""),"",E142-Config!$B$5)</f>
        <v/>
      </c>
      <c r="I142" s="34" t="n"/>
      <c r="J142" s="31" t="n"/>
      <c r="K142" s="36">
        <f>IF(OR(B142="",G142="Concluída"),0,IF(G142="Atrasada",3000+MIN(Config!$B$5-E142,60),IF(G142="Vence em breve",2000-(E142-Config!$B$5),IF(G142="Em andamento",1000-MIN(E142-Config!$B$5,900),100)))-ROW()/100000)</f>
        <v>0</v>
      </c>
      <c r="L142" s="36">
        <f>IF(B142="","",IF(I142&lt;&gt;"",1,N(F142)))</f>
        <v/>
      </c>
    </row>
    <row r="143">
      <c r="A143" s="33" t="n"/>
      <c r="B143" s="31" t="n"/>
      <c r="C143" s="33" t="n"/>
      <c r="D143" s="34" t="n"/>
      <c r="E143" s="34" t="n"/>
      <c r="F143" s="35" t="n"/>
      <c r="G143" s="23">
        <f>IF(B143="","",IF(OR(F143&gt;=1,I143&lt;&gt;""),"Concluída",IF(E143="","Falta o prazo",IF(E143&lt;Config!$B$5,"Atrasada",IF(E143-Config!$B$5&lt;=Config!$B$6,"Vence em breve",IF(D143&lt;=Config!$B$5,"Em andamento","A iniciar"))))))</f>
        <v/>
      </c>
      <c r="H143" s="26">
        <f>IF(OR(B143="",G143="Concluída",E143=""),"",E143-Config!$B$5)</f>
        <v/>
      </c>
      <c r="I143" s="34" t="n"/>
      <c r="J143" s="31" t="n"/>
      <c r="K143" s="36">
        <f>IF(OR(B143="",G143="Concluída"),0,IF(G143="Atrasada",3000+MIN(Config!$B$5-E143,60),IF(G143="Vence em breve",2000-(E143-Config!$B$5),IF(G143="Em andamento",1000-MIN(E143-Config!$B$5,900),100)))-ROW()/100000)</f>
        <v>0</v>
      </c>
      <c r="L143" s="36">
        <f>IF(B143="","",IF(I143&lt;&gt;"",1,N(F143)))</f>
        <v/>
      </c>
    </row>
    <row r="144">
      <c r="A144" s="33" t="n"/>
      <c r="B144" s="31" t="n"/>
      <c r="C144" s="33" t="n"/>
      <c r="D144" s="34" t="n"/>
      <c r="E144" s="34" t="n"/>
      <c r="F144" s="35" t="n"/>
      <c r="G144" s="23">
        <f>IF(B144="","",IF(OR(F144&gt;=1,I144&lt;&gt;""),"Concluída",IF(E144="","Falta o prazo",IF(E144&lt;Config!$B$5,"Atrasada",IF(E144-Config!$B$5&lt;=Config!$B$6,"Vence em breve",IF(D144&lt;=Config!$B$5,"Em andamento","A iniciar"))))))</f>
        <v/>
      </c>
      <c r="H144" s="26">
        <f>IF(OR(B144="",G144="Concluída",E144=""),"",E144-Config!$B$5)</f>
        <v/>
      </c>
      <c r="I144" s="34" t="n"/>
      <c r="J144" s="31" t="n"/>
      <c r="K144" s="36">
        <f>IF(OR(B144="",G144="Concluída"),0,IF(G144="Atrasada",3000+MIN(Config!$B$5-E144,60),IF(G144="Vence em breve",2000-(E144-Config!$B$5),IF(G144="Em andamento",1000-MIN(E144-Config!$B$5,900),100)))-ROW()/100000)</f>
        <v>0</v>
      </c>
      <c r="L144" s="36">
        <f>IF(B144="","",IF(I144&lt;&gt;"",1,N(F144)))</f>
        <v/>
      </c>
    </row>
    <row r="145">
      <c r="A145" s="33" t="n"/>
      <c r="B145" s="31" t="n"/>
      <c r="C145" s="33" t="n"/>
      <c r="D145" s="34" t="n"/>
      <c r="E145" s="34" t="n"/>
      <c r="F145" s="35" t="n"/>
      <c r="G145" s="23">
        <f>IF(B145="","",IF(OR(F145&gt;=1,I145&lt;&gt;""),"Concluída",IF(E145="","Falta o prazo",IF(E145&lt;Config!$B$5,"Atrasada",IF(E145-Config!$B$5&lt;=Config!$B$6,"Vence em breve",IF(D145&lt;=Config!$B$5,"Em andamento","A iniciar"))))))</f>
        <v/>
      </c>
      <c r="H145" s="26">
        <f>IF(OR(B145="",G145="Concluída",E145=""),"",E145-Config!$B$5)</f>
        <v/>
      </c>
      <c r="I145" s="34" t="n"/>
      <c r="J145" s="31" t="n"/>
      <c r="K145" s="36">
        <f>IF(OR(B145="",G145="Concluída"),0,IF(G145="Atrasada",3000+MIN(Config!$B$5-E145,60),IF(G145="Vence em breve",2000-(E145-Config!$B$5),IF(G145="Em andamento",1000-MIN(E145-Config!$B$5,900),100)))-ROW()/100000)</f>
        <v>0</v>
      </c>
      <c r="L145" s="36">
        <f>IF(B145="","",IF(I145&lt;&gt;"",1,N(F145)))</f>
        <v/>
      </c>
    </row>
    <row r="146">
      <c r="A146" s="33" t="n"/>
      <c r="B146" s="31" t="n"/>
      <c r="C146" s="33" t="n"/>
      <c r="D146" s="34" t="n"/>
      <c r="E146" s="34" t="n"/>
      <c r="F146" s="35" t="n"/>
      <c r="G146" s="23">
        <f>IF(B146="","",IF(OR(F146&gt;=1,I146&lt;&gt;""),"Concluída",IF(E146="","Falta o prazo",IF(E146&lt;Config!$B$5,"Atrasada",IF(E146-Config!$B$5&lt;=Config!$B$6,"Vence em breve",IF(D146&lt;=Config!$B$5,"Em andamento","A iniciar"))))))</f>
        <v/>
      </c>
      <c r="H146" s="26">
        <f>IF(OR(B146="",G146="Concluída",E146=""),"",E146-Config!$B$5)</f>
        <v/>
      </c>
      <c r="I146" s="34" t="n"/>
      <c r="J146" s="31" t="n"/>
      <c r="K146" s="36">
        <f>IF(OR(B146="",G146="Concluída"),0,IF(G146="Atrasada",3000+MIN(Config!$B$5-E146,60),IF(G146="Vence em breve",2000-(E146-Config!$B$5),IF(G146="Em andamento",1000-MIN(E146-Config!$B$5,900),100)))-ROW()/100000)</f>
        <v>0</v>
      </c>
      <c r="L146" s="36">
        <f>IF(B146="","",IF(I146&lt;&gt;"",1,N(F146)))</f>
        <v/>
      </c>
    </row>
    <row r="147">
      <c r="A147" s="33" t="n"/>
      <c r="B147" s="31" t="n"/>
      <c r="C147" s="33" t="n"/>
      <c r="D147" s="34" t="n"/>
      <c r="E147" s="34" t="n"/>
      <c r="F147" s="35" t="n"/>
      <c r="G147" s="23">
        <f>IF(B147="","",IF(OR(F147&gt;=1,I147&lt;&gt;""),"Concluída",IF(E147="","Falta o prazo",IF(E147&lt;Config!$B$5,"Atrasada",IF(E147-Config!$B$5&lt;=Config!$B$6,"Vence em breve",IF(D147&lt;=Config!$B$5,"Em andamento","A iniciar"))))))</f>
        <v/>
      </c>
      <c r="H147" s="26">
        <f>IF(OR(B147="",G147="Concluída",E147=""),"",E147-Config!$B$5)</f>
        <v/>
      </c>
      <c r="I147" s="34" t="n"/>
      <c r="J147" s="31" t="n"/>
      <c r="K147" s="36">
        <f>IF(OR(B147="",G147="Concluída"),0,IF(G147="Atrasada",3000+MIN(Config!$B$5-E147,60),IF(G147="Vence em breve",2000-(E147-Config!$B$5),IF(G147="Em andamento",1000-MIN(E147-Config!$B$5,900),100)))-ROW()/100000)</f>
        <v>0</v>
      </c>
      <c r="L147" s="36">
        <f>IF(B147="","",IF(I147&lt;&gt;"",1,N(F147)))</f>
        <v/>
      </c>
    </row>
    <row r="148">
      <c r="A148" s="33" t="n"/>
      <c r="B148" s="31" t="n"/>
      <c r="C148" s="33" t="n"/>
      <c r="D148" s="34" t="n"/>
      <c r="E148" s="34" t="n"/>
      <c r="F148" s="35" t="n"/>
      <c r="G148" s="23">
        <f>IF(B148="","",IF(OR(F148&gt;=1,I148&lt;&gt;""),"Concluída",IF(E148="","Falta o prazo",IF(E148&lt;Config!$B$5,"Atrasada",IF(E148-Config!$B$5&lt;=Config!$B$6,"Vence em breve",IF(D148&lt;=Config!$B$5,"Em andamento","A iniciar"))))))</f>
        <v/>
      </c>
      <c r="H148" s="26">
        <f>IF(OR(B148="",G148="Concluída",E148=""),"",E148-Config!$B$5)</f>
        <v/>
      </c>
      <c r="I148" s="34" t="n"/>
      <c r="J148" s="31" t="n"/>
      <c r="K148" s="36">
        <f>IF(OR(B148="",G148="Concluída"),0,IF(G148="Atrasada",3000+MIN(Config!$B$5-E148,60),IF(G148="Vence em breve",2000-(E148-Config!$B$5),IF(G148="Em andamento",1000-MIN(E148-Config!$B$5,900),100)))-ROW()/100000)</f>
        <v>0</v>
      </c>
      <c r="L148" s="36">
        <f>IF(B148="","",IF(I148&lt;&gt;"",1,N(F148)))</f>
        <v/>
      </c>
    </row>
    <row r="149">
      <c r="A149" s="33" t="n"/>
      <c r="B149" s="31" t="n"/>
      <c r="C149" s="33" t="n"/>
      <c r="D149" s="34" t="n"/>
      <c r="E149" s="34" t="n"/>
      <c r="F149" s="35" t="n"/>
      <c r="G149" s="23">
        <f>IF(B149="","",IF(OR(F149&gt;=1,I149&lt;&gt;""),"Concluída",IF(E149="","Falta o prazo",IF(E149&lt;Config!$B$5,"Atrasada",IF(E149-Config!$B$5&lt;=Config!$B$6,"Vence em breve",IF(D149&lt;=Config!$B$5,"Em andamento","A iniciar"))))))</f>
        <v/>
      </c>
      <c r="H149" s="26">
        <f>IF(OR(B149="",G149="Concluída",E149=""),"",E149-Config!$B$5)</f>
        <v/>
      </c>
      <c r="I149" s="34" t="n"/>
      <c r="J149" s="31" t="n"/>
      <c r="K149" s="36">
        <f>IF(OR(B149="",G149="Concluída"),0,IF(G149="Atrasada",3000+MIN(Config!$B$5-E149,60),IF(G149="Vence em breve",2000-(E149-Config!$B$5),IF(G149="Em andamento",1000-MIN(E149-Config!$B$5,900),100)))-ROW()/100000)</f>
        <v>0</v>
      </c>
      <c r="L149" s="36">
        <f>IF(B149="","",IF(I149&lt;&gt;"",1,N(F149)))</f>
        <v/>
      </c>
    </row>
    <row r="150">
      <c r="A150" s="33" t="n"/>
      <c r="B150" s="31" t="n"/>
      <c r="C150" s="33" t="n"/>
      <c r="D150" s="34" t="n"/>
      <c r="E150" s="34" t="n"/>
      <c r="F150" s="35" t="n"/>
      <c r="G150" s="23">
        <f>IF(B150="","",IF(OR(F150&gt;=1,I150&lt;&gt;""),"Concluída",IF(E150="","Falta o prazo",IF(E150&lt;Config!$B$5,"Atrasada",IF(E150-Config!$B$5&lt;=Config!$B$6,"Vence em breve",IF(D150&lt;=Config!$B$5,"Em andamento","A iniciar"))))))</f>
        <v/>
      </c>
      <c r="H150" s="26">
        <f>IF(OR(B150="",G150="Concluída",E150=""),"",E150-Config!$B$5)</f>
        <v/>
      </c>
      <c r="I150" s="34" t="n"/>
      <c r="J150" s="31" t="n"/>
      <c r="K150" s="36">
        <f>IF(OR(B150="",G150="Concluída"),0,IF(G150="Atrasada",3000+MIN(Config!$B$5-E150,60),IF(G150="Vence em breve",2000-(E150-Config!$B$5),IF(G150="Em andamento",1000-MIN(E150-Config!$B$5,900),100)))-ROW()/100000)</f>
        <v>0</v>
      </c>
      <c r="L150" s="36">
        <f>IF(B150="","",IF(I150&lt;&gt;"",1,N(F150)))</f>
        <v/>
      </c>
    </row>
    <row r="151">
      <c r="A151" s="33" t="n"/>
      <c r="B151" s="31" t="n"/>
      <c r="C151" s="33" t="n"/>
      <c r="D151" s="34" t="n"/>
      <c r="E151" s="34" t="n"/>
      <c r="F151" s="35" t="n"/>
      <c r="G151" s="23">
        <f>IF(B151="","",IF(OR(F151&gt;=1,I151&lt;&gt;""),"Concluída",IF(E151="","Falta o prazo",IF(E151&lt;Config!$B$5,"Atrasada",IF(E151-Config!$B$5&lt;=Config!$B$6,"Vence em breve",IF(D151&lt;=Config!$B$5,"Em andamento","A iniciar"))))))</f>
        <v/>
      </c>
      <c r="H151" s="26">
        <f>IF(OR(B151="",G151="Concluída",E151=""),"",E151-Config!$B$5)</f>
        <v/>
      </c>
      <c r="I151" s="34" t="n"/>
      <c r="J151" s="31" t="n"/>
      <c r="K151" s="36">
        <f>IF(OR(B151="",G151="Concluída"),0,IF(G151="Atrasada",3000+MIN(Config!$B$5-E151,60),IF(G151="Vence em breve",2000-(E151-Config!$B$5),IF(G151="Em andamento",1000-MIN(E151-Config!$B$5,900),100)))-ROW()/100000)</f>
        <v>0</v>
      </c>
      <c r="L151" s="36">
        <f>IF(B151="","",IF(I151&lt;&gt;"",1,N(F151)))</f>
        <v/>
      </c>
    </row>
    <row r="152">
      <c r="A152" s="33" t="n"/>
      <c r="B152" s="31" t="n"/>
      <c r="C152" s="33" t="n"/>
      <c r="D152" s="34" t="n"/>
      <c r="E152" s="34" t="n"/>
      <c r="F152" s="35" t="n"/>
      <c r="G152" s="23">
        <f>IF(B152="","",IF(OR(F152&gt;=1,I152&lt;&gt;""),"Concluída",IF(E152="","Falta o prazo",IF(E152&lt;Config!$B$5,"Atrasada",IF(E152-Config!$B$5&lt;=Config!$B$6,"Vence em breve",IF(D152&lt;=Config!$B$5,"Em andamento","A iniciar"))))))</f>
        <v/>
      </c>
      <c r="H152" s="26">
        <f>IF(OR(B152="",G152="Concluída",E152=""),"",E152-Config!$B$5)</f>
        <v/>
      </c>
      <c r="I152" s="34" t="n"/>
      <c r="J152" s="31" t="n"/>
      <c r="K152" s="36">
        <f>IF(OR(B152="",G152="Concluída"),0,IF(G152="Atrasada",3000+MIN(Config!$B$5-E152,60),IF(G152="Vence em breve",2000-(E152-Config!$B$5),IF(G152="Em andamento",1000-MIN(E152-Config!$B$5,900),100)))-ROW()/100000)</f>
        <v>0</v>
      </c>
      <c r="L152" s="36">
        <f>IF(B152="","",IF(I152&lt;&gt;"",1,N(F152)))</f>
        <v/>
      </c>
    </row>
    <row r="153">
      <c r="A153" s="33" t="n"/>
      <c r="B153" s="31" t="n"/>
      <c r="C153" s="33" t="n"/>
      <c r="D153" s="34" t="n"/>
      <c r="E153" s="34" t="n"/>
      <c r="F153" s="35" t="n"/>
      <c r="G153" s="23">
        <f>IF(B153="","",IF(OR(F153&gt;=1,I153&lt;&gt;""),"Concluída",IF(E153="","Falta o prazo",IF(E153&lt;Config!$B$5,"Atrasada",IF(E153-Config!$B$5&lt;=Config!$B$6,"Vence em breve",IF(D153&lt;=Config!$B$5,"Em andamento","A iniciar"))))))</f>
        <v/>
      </c>
      <c r="H153" s="26">
        <f>IF(OR(B153="",G153="Concluída",E153=""),"",E153-Config!$B$5)</f>
        <v/>
      </c>
      <c r="I153" s="34" t="n"/>
      <c r="J153" s="31" t="n"/>
      <c r="K153" s="36">
        <f>IF(OR(B153="",G153="Concluída"),0,IF(G153="Atrasada",3000+MIN(Config!$B$5-E153,60),IF(G153="Vence em breve",2000-(E153-Config!$B$5),IF(G153="Em andamento",1000-MIN(E153-Config!$B$5,900),100)))-ROW()/100000)</f>
        <v>0</v>
      </c>
      <c r="L153" s="36">
        <f>IF(B153="","",IF(I153&lt;&gt;"",1,N(F153)))</f>
        <v/>
      </c>
    </row>
    <row r="154">
      <c r="A154" s="33" t="n"/>
      <c r="B154" s="31" t="n"/>
      <c r="C154" s="33" t="n"/>
      <c r="D154" s="34" t="n"/>
      <c r="E154" s="34" t="n"/>
      <c r="F154" s="35" t="n"/>
      <c r="G154" s="23">
        <f>IF(B154="","",IF(OR(F154&gt;=1,I154&lt;&gt;""),"Concluída",IF(E154="","Falta o prazo",IF(E154&lt;Config!$B$5,"Atrasada",IF(E154-Config!$B$5&lt;=Config!$B$6,"Vence em breve",IF(D154&lt;=Config!$B$5,"Em andamento","A iniciar"))))))</f>
        <v/>
      </c>
      <c r="H154" s="26">
        <f>IF(OR(B154="",G154="Concluída",E154=""),"",E154-Config!$B$5)</f>
        <v/>
      </c>
      <c r="I154" s="34" t="n"/>
      <c r="J154" s="31" t="n"/>
      <c r="K154" s="36">
        <f>IF(OR(B154="",G154="Concluída"),0,IF(G154="Atrasada",3000+MIN(Config!$B$5-E154,60),IF(G154="Vence em breve",2000-(E154-Config!$B$5),IF(G154="Em andamento",1000-MIN(E154-Config!$B$5,900),100)))-ROW()/100000)</f>
        <v>0</v>
      </c>
      <c r="L154" s="36">
        <f>IF(B154="","",IF(I154&lt;&gt;"",1,N(F154)))</f>
        <v/>
      </c>
    </row>
    <row r="155">
      <c r="A155" s="33" t="n"/>
      <c r="B155" s="31" t="n"/>
      <c r="C155" s="33" t="n"/>
      <c r="D155" s="34" t="n"/>
      <c r="E155" s="34" t="n"/>
      <c r="F155" s="35" t="n"/>
      <c r="G155" s="23">
        <f>IF(B155="","",IF(OR(F155&gt;=1,I155&lt;&gt;""),"Concluída",IF(E155="","Falta o prazo",IF(E155&lt;Config!$B$5,"Atrasada",IF(E155-Config!$B$5&lt;=Config!$B$6,"Vence em breve",IF(D155&lt;=Config!$B$5,"Em andamento","A iniciar"))))))</f>
        <v/>
      </c>
      <c r="H155" s="26">
        <f>IF(OR(B155="",G155="Concluída",E155=""),"",E155-Config!$B$5)</f>
        <v/>
      </c>
      <c r="I155" s="34" t="n"/>
      <c r="J155" s="31" t="n"/>
      <c r="K155" s="36">
        <f>IF(OR(B155="",G155="Concluída"),0,IF(G155="Atrasada",3000+MIN(Config!$B$5-E155,60),IF(G155="Vence em breve",2000-(E155-Config!$B$5),IF(G155="Em andamento",1000-MIN(E155-Config!$B$5,900),100)))-ROW()/100000)</f>
        <v>0</v>
      </c>
      <c r="L155" s="36">
        <f>IF(B155="","",IF(I155&lt;&gt;"",1,N(F155)))</f>
        <v/>
      </c>
    </row>
    <row r="156">
      <c r="A156" s="33" t="n"/>
      <c r="B156" s="31" t="n"/>
      <c r="C156" s="33" t="n"/>
      <c r="D156" s="34" t="n"/>
      <c r="E156" s="34" t="n"/>
      <c r="F156" s="35" t="n"/>
      <c r="G156" s="23">
        <f>IF(B156="","",IF(OR(F156&gt;=1,I156&lt;&gt;""),"Concluída",IF(E156="","Falta o prazo",IF(E156&lt;Config!$B$5,"Atrasada",IF(E156-Config!$B$5&lt;=Config!$B$6,"Vence em breve",IF(D156&lt;=Config!$B$5,"Em andamento","A iniciar"))))))</f>
        <v/>
      </c>
      <c r="H156" s="26">
        <f>IF(OR(B156="",G156="Concluída",E156=""),"",E156-Config!$B$5)</f>
        <v/>
      </c>
      <c r="I156" s="34" t="n"/>
      <c r="J156" s="31" t="n"/>
      <c r="K156" s="36">
        <f>IF(OR(B156="",G156="Concluída"),0,IF(G156="Atrasada",3000+MIN(Config!$B$5-E156,60),IF(G156="Vence em breve",2000-(E156-Config!$B$5),IF(G156="Em andamento",1000-MIN(E156-Config!$B$5,900),100)))-ROW()/100000)</f>
        <v>0</v>
      </c>
      <c r="L156" s="36">
        <f>IF(B156="","",IF(I156&lt;&gt;"",1,N(F156)))</f>
        <v/>
      </c>
    </row>
    <row r="157">
      <c r="A157" s="33" t="n"/>
      <c r="B157" s="31" t="n"/>
      <c r="C157" s="33" t="n"/>
      <c r="D157" s="34" t="n"/>
      <c r="E157" s="34" t="n"/>
      <c r="F157" s="35" t="n"/>
      <c r="G157" s="23">
        <f>IF(B157="","",IF(OR(F157&gt;=1,I157&lt;&gt;""),"Concluída",IF(E157="","Falta o prazo",IF(E157&lt;Config!$B$5,"Atrasada",IF(E157-Config!$B$5&lt;=Config!$B$6,"Vence em breve",IF(D157&lt;=Config!$B$5,"Em andamento","A iniciar"))))))</f>
        <v/>
      </c>
      <c r="H157" s="26">
        <f>IF(OR(B157="",G157="Concluída",E157=""),"",E157-Config!$B$5)</f>
        <v/>
      </c>
      <c r="I157" s="34" t="n"/>
      <c r="J157" s="31" t="n"/>
      <c r="K157" s="36">
        <f>IF(OR(B157="",G157="Concluída"),0,IF(G157="Atrasada",3000+MIN(Config!$B$5-E157,60),IF(G157="Vence em breve",2000-(E157-Config!$B$5),IF(G157="Em andamento",1000-MIN(E157-Config!$B$5,900),100)))-ROW()/100000)</f>
        <v>0</v>
      </c>
      <c r="L157" s="36">
        <f>IF(B157="","",IF(I157&lt;&gt;"",1,N(F157)))</f>
        <v/>
      </c>
    </row>
    <row r="158">
      <c r="A158" s="33" t="n"/>
      <c r="B158" s="31" t="n"/>
      <c r="C158" s="33" t="n"/>
      <c r="D158" s="34" t="n"/>
      <c r="E158" s="34" t="n"/>
      <c r="F158" s="35" t="n"/>
      <c r="G158" s="23">
        <f>IF(B158="","",IF(OR(F158&gt;=1,I158&lt;&gt;""),"Concluída",IF(E158="","Falta o prazo",IF(E158&lt;Config!$B$5,"Atrasada",IF(E158-Config!$B$5&lt;=Config!$B$6,"Vence em breve",IF(D158&lt;=Config!$B$5,"Em andamento","A iniciar"))))))</f>
        <v/>
      </c>
      <c r="H158" s="26">
        <f>IF(OR(B158="",G158="Concluída",E158=""),"",E158-Config!$B$5)</f>
        <v/>
      </c>
      <c r="I158" s="34" t="n"/>
      <c r="J158" s="31" t="n"/>
      <c r="K158" s="36">
        <f>IF(OR(B158="",G158="Concluída"),0,IF(G158="Atrasada",3000+MIN(Config!$B$5-E158,60),IF(G158="Vence em breve",2000-(E158-Config!$B$5),IF(G158="Em andamento",1000-MIN(E158-Config!$B$5,900),100)))-ROW()/100000)</f>
        <v>0</v>
      </c>
      <c r="L158" s="36">
        <f>IF(B158="","",IF(I158&lt;&gt;"",1,N(F158)))</f>
        <v/>
      </c>
    </row>
    <row r="159">
      <c r="A159" s="33" t="n"/>
      <c r="B159" s="31" t="n"/>
      <c r="C159" s="33" t="n"/>
      <c r="D159" s="34" t="n"/>
      <c r="E159" s="34" t="n"/>
      <c r="F159" s="35" t="n"/>
      <c r="G159" s="23">
        <f>IF(B159="","",IF(OR(F159&gt;=1,I159&lt;&gt;""),"Concluída",IF(E159="","Falta o prazo",IF(E159&lt;Config!$B$5,"Atrasada",IF(E159-Config!$B$5&lt;=Config!$B$6,"Vence em breve",IF(D159&lt;=Config!$B$5,"Em andamento","A iniciar"))))))</f>
        <v/>
      </c>
      <c r="H159" s="26">
        <f>IF(OR(B159="",G159="Concluída",E159=""),"",E159-Config!$B$5)</f>
        <v/>
      </c>
      <c r="I159" s="34" t="n"/>
      <c r="J159" s="31" t="n"/>
      <c r="K159" s="36">
        <f>IF(OR(B159="",G159="Concluída"),0,IF(G159="Atrasada",3000+MIN(Config!$B$5-E159,60),IF(G159="Vence em breve",2000-(E159-Config!$B$5),IF(G159="Em andamento",1000-MIN(E159-Config!$B$5,900),100)))-ROW()/100000)</f>
        <v>0</v>
      </c>
      <c r="L159" s="36">
        <f>IF(B159="","",IF(I159&lt;&gt;"",1,N(F159)))</f>
        <v/>
      </c>
    </row>
    <row r="160">
      <c r="A160" s="33" t="n"/>
      <c r="B160" s="31" t="n"/>
      <c r="C160" s="33" t="n"/>
      <c r="D160" s="34" t="n"/>
      <c r="E160" s="34" t="n"/>
      <c r="F160" s="35" t="n"/>
      <c r="G160" s="23">
        <f>IF(B160="","",IF(OR(F160&gt;=1,I160&lt;&gt;""),"Concluída",IF(E160="","Falta o prazo",IF(E160&lt;Config!$B$5,"Atrasada",IF(E160-Config!$B$5&lt;=Config!$B$6,"Vence em breve",IF(D160&lt;=Config!$B$5,"Em andamento","A iniciar"))))))</f>
        <v/>
      </c>
      <c r="H160" s="26">
        <f>IF(OR(B160="",G160="Concluída",E160=""),"",E160-Config!$B$5)</f>
        <v/>
      </c>
      <c r="I160" s="34" t="n"/>
      <c r="J160" s="31" t="n"/>
      <c r="K160" s="36">
        <f>IF(OR(B160="",G160="Concluída"),0,IF(G160="Atrasada",3000+MIN(Config!$B$5-E160,60),IF(G160="Vence em breve",2000-(E160-Config!$B$5),IF(G160="Em andamento",1000-MIN(E160-Config!$B$5,900),100)))-ROW()/100000)</f>
        <v>0</v>
      </c>
      <c r="L160" s="36">
        <f>IF(B160="","",IF(I160&lt;&gt;"",1,N(F160)))</f>
        <v/>
      </c>
    </row>
    <row r="161">
      <c r="A161" s="33" t="n"/>
      <c r="B161" s="31" t="n"/>
      <c r="C161" s="33" t="n"/>
      <c r="D161" s="34" t="n"/>
      <c r="E161" s="34" t="n"/>
      <c r="F161" s="35" t="n"/>
      <c r="G161" s="23">
        <f>IF(B161="","",IF(OR(F161&gt;=1,I161&lt;&gt;""),"Concluída",IF(E161="","Falta o prazo",IF(E161&lt;Config!$B$5,"Atrasada",IF(E161-Config!$B$5&lt;=Config!$B$6,"Vence em breve",IF(D161&lt;=Config!$B$5,"Em andamento","A iniciar"))))))</f>
        <v/>
      </c>
      <c r="H161" s="26">
        <f>IF(OR(B161="",G161="Concluída",E161=""),"",E161-Config!$B$5)</f>
        <v/>
      </c>
      <c r="I161" s="34" t="n"/>
      <c r="J161" s="31" t="n"/>
      <c r="K161" s="36">
        <f>IF(OR(B161="",G161="Concluída"),0,IF(G161="Atrasada",3000+MIN(Config!$B$5-E161,60),IF(G161="Vence em breve",2000-(E161-Config!$B$5),IF(G161="Em andamento",1000-MIN(E161-Config!$B$5,900),100)))-ROW()/100000)</f>
        <v>0</v>
      </c>
      <c r="L161" s="36">
        <f>IF(B161="","",IF(I161&lt;&gt;"",1,N(F161)))</f>
        <v/>
      </c>
    </row>
    <row r="162">
      <c r="A162" s="33" t="n"/>
      <c r="B162" s="31" t="n"/>
      <c r="C162" s="33" t="n"/>
      <c r="D162" s="34" t="n"/>
      <c r="E162" s="34" t="n"/>
      <c r="F162" s="35" t="n"/>
      <c r="G162" s="23">
        <f>IF(B162="","",IF(OR(F162&gt;=1,I162&lt;&gt;""),"Concluída",IF(E162="","Falta o prazo",IF(E162&lt;Config!$B$5,"Atrasada",IF(E162-Config!$B$5&lt;=Config!$B$6,"Vence em breve",IF(D162&lt;=Config!$B$5,"Em andamento","A iniciar"))))))</f>
        <v/>
      </c>
      <c r="H162" s="26">
        <f>IF(OR(B162="",G162="Concluída",E162=""),"",E162-Config!$B$5)</f>
        <v/>
      </c>
      <c r="I162" s="34" t="n"/>
      <c r="J162" s="31" t="n"/>
      <c r="K162" s="36">
        <f>IF(OR(B162="",G162="Concluída"),0,IF(G162="Atrasada",3000+MIN(Config!$B$5-E162,60),IF(G162="Vence em breve",2000-(E162-Config!$B$5),IF(G162="Em andamento",1000-MIN(E162-Config!$B$5,900),100)))-ROW()/100000)</f>
        <v>0</v>
      </c>
      <c r="L162" s="36">
        <f>IF(B162="","",IF(I162&lt;&gt;"",1,N(F162)))</f>
        <v/>
      </c>
    </row>
    <row r="163">
      <c r="A163" s="33" t="n"/>
      <c r="B163" s="31" t="n"/>
      <c r="C163" s="33" t="n"/>
      <c r="D163" s="34" t="n"/>
      <c r="E163" s="34" t="n"/>
      <c r="F163" s="35" t="n"/>
      <c r="G163" s="23">
        <f>IF(B163="","",IF(OR(F163&gt;=1,I163&lt;&gt;""),"Concluída",IF(E163="","Falta o prazo",IF(E163&lt;Config!$B$5,"Atrasada",IF(E163-Config!$B$5&lt;=Config!$B$6,"Vence em breve",IF(D163&lt;=Config!$B$5,"Em andamento","A iniciar"))))))</f>
        <v/>
      </c>
      <c r="H163" s="26">
        <f>IF(OR(B163="",G163="Concluída",E163=""),"",E163-Config!$B$5)</f>
        <v/>
      </c>
      <c r="I163" s="34" t="n"/>
      <c r="J163" s="31" t="n"/>
      <c r="K163" s="36">
        <f>IF(OR(B163="",G163="Concluída"),0,IF(G163="Atrasada",3000+MIN(Config!$B$5-E163,60),IF(G163="Vence em breve",2000-(E163-Config!$B$5),IF(G163="Em andamento",1000-MIN(E163-Config!$B$5,900),100)))-ROW()/100000)</f>
        <v>0</v>
      </c>
      <c r="L163" s="36">
        <f>IF(B163="","",IF(I163&lt;&gt;"",1,N(F163)))</f>
        <v/>
      </c>
    </row>
    <row r="164">
      <c r="A164" s="33" t="n"/>
      <c r="B164" s="31" t="n"/>
      <c r="C164" s="33" t="n"/>
      <c r="D164" s="34" t="n"/>
      <c r="E164" s="34" t="n"/>
      <c r="F164" s="35" t="n"/>
      <c r="G164" s="23">
        <f>IF(B164="","",IF(OR(F164&gt;=1,I164&lt;&gt;""),"Concluída",IF(E164="","Falta o prazo",IF(E164&lt;Config!$B$5,"Atrasada",IF(E164-Config!$B$5&lt;=Config!$B$6,"Vence em breve",IF(D164&lt;=Config!$B$5,"Em andamento","A iniciar"))))))</f>
        <v/>
      </c>
      <c r="H164" s="26">
        <f>IF(OR(B164="",G164="Concluída",E164=""),"",E164-Config!$B$5)</f>
        <v/>
      </c>
      <c r="I164" s="34" t="n"/>
      <c r="J164" s="31" t="n"/>
      <c r="K164" s="36">
        <f>IF(OR(B164="",G164="Concluída"),0,IF(G164="Atrasada",3000+MIN(Config!$B$5-E164,60),IF(G164="Vence em breve",2000-(E164-Config!$B$5),IF(G164="Em andamento",1000-MIN(E164-Config!$B$5,900),100)))-ROW()/100000)</f>
        <v>0</v>
      </c>
      <c r="L164" s="36">
        <f>IF(B164="","",IF(I164&lt;&gt;"",1,N(F164)))</f>
        <v/>
      </c>
    </row>
    <row r="165">
      <c r="A165" s="33" t="n"/>
      <c r="B165" s="31" t="n"/>
      <c r="C165" s="33" t="n"/>
      <c r="D165" s="34" t="n"/>
      <c r="E165" s="34" t="n"/>
      <c r="F165" s="35" t="n"/>
      <c r="G165" s="23">
        <f>IF(B165="","",IF(OR(F165&gt;=1,I165&lt;&gt;""),"Concluída",IF(E165="","Falta o prazo",IF(E165&lt;Config!$B$5,"Atrasada",IF(E165-Config!$B$5&lt;=Config!$B$6,"Vence em breve",IF(D165&lt;=Config!$B$5,"Em andamento","A iniciar"))))))</f>
        <v/>
      </c>
      <c r="H165" s="26">
        <f>IF(OR(B165="",G165="Concluída",E165=""),"",E165-Config!$B$5)</f>
        <v/>
      </c>
      <c r="I165" s="34" t="n"/>
      <c r="J165" s="31" t="n"/>
      <c r="K165" s="36">
        <f>IF(OR(B165="",G165="Concluída"),0,IF(G165="Atrasada",3000+MIN(Config!$B$5-E165,60),IF(G165="Vence em breve",2000-(E165-Config!$B$5),IF(G165="Em andamento",1000-MIN(E165-Config!$B$5,900),100)))-ROW()/100000)</f>
        <v>0</v>
      </c>
      <c r="L165" s="36">
        <f>IF(B165="","",IF(I165&lt;&gt;"",1,N(F165)))</f>
        <v/>
      </c>
    </row>
    <row r="166">
      <c r="A166" s="33" t="n"/>
      <c r="B166" s="31" t="n"/>
      <c r="C166" s="33" t="n"/>
      <c r="D166" s="34" t="n"/>
      <c r="E166" s="34" t="n"/>
      <c r="F166" s="35" t="n"/>
      <c r="G166" s="23">
        <f>IF(B166="","",IF(OR(F166&gt;=1,I166&lt;&gt;""),"Concluída",IF(E166="","Falta o prazo",IF(E166&lt;Config!$B$5,"Atrasada",IF(E166-Config!$B$5&lt;=Config!$B$6,"Vence em breve",IF(D166&lt;=Config!$B$5,"Em andamento","A iniciar"))))))</f>
        <v/>
      </c>
      <c r="H166" s="26">
        <f>IF(OR(B166="",G166="Concluída",E166=""),"",E166-Config!$B$5)</f>
        <v/>
      </c>
      <c r="I166" s="34" t="n"/>
      <c r="J166" s="31" t="n"/>
      <c r="K166" s="36">
        <f>IF(OR(B166="",G166="Concluída"),0,IF(G166="Atrasada",3000+MIN(Config!$B$5-E166,60),IF(G166="Vence em breve",2000-(E166-Config!$B$5),IF(G166="Em andamento",1000-MIN(E166-Config!$B$5,900),100)))-ROW()/100000)</f>
        <v>0</v>
      </c>
      <c r="L166" s="36">
        <f>IF(B166="","",IF(I166&lt;&gt;"",1,N(F166)))</f>
        <v/>
      </c>
    </row>
    <row r="167">
      <c r="A167" s="33" t="n"/>
      <c r="B167" s="31" t="n"/>
      <c r="C167" s="33" t="n"/>
      <c r="D167" s="34" t="n"/>
      <c r="E167" s="34" t="n"/>
      <c r="F167" s="35" t="n"/>
      <c r="G167" s="23">
        <f>IF(B167="","",IF(OR(F167&gt;=1,I167&lt;&gt;""),"Concluída",IF(E167="","Falta o prazo",IF(E167&lt;Config!$B$5,"Atrasada",IF(E167-Config!$B$5&lt;=Config!$B$6,"Vence em breve",IF(D167&lt;=Config!$B$5,"Em andamento","A iniciar"))))))</f>
        <v/>
      </c>
      <c r="H167" s="26">
        <f>IF(OR(B167="",G167="Concluída",E167=""),"",E167-Config!$B$5)</f>
        <v/>
      </c>
      <c r="I167" s="34" t="n"/>
      <c r="J167" s="31" t="n"/>
      <c r="K167" s="36">
        <f>IF(OR(B167="",G167="Concluída"),0,IF(G167="Atrasada",3000+MIN(Config!$B$5-E167,60),IF(G167="Vence em breve",2000-(E167-Config!$B$5),IF(G167="Em andamento",1000-MIN(E167-Config!$B$5,900),100)))-ROW()/100000)</f>
        <v>0</v>
      </c>
      <c r="L167" s="36">
        <f>IF(B167="","",IF(I167&lt;&gt;"",1,N(F167)))</f>
        <v/>
      </c>
    </row>
    <row r="168">
      <c r="A168" s="33" t="n"/>
      <c r="B168" s="31" t="n"/>
      <c r="C168" s="33" t="n"/>
      <c r="D168" s="34" t="n"/>
      <c r="E168" s="34" t="n"/>
      <c r="F168" s="35" t="n"/>
      <c r="G168" s="23">
        <f>IF(B168="","",IF(OR(F168&gt;=1,I168&lt;&gt;""),"Concluída",IF(E168="","Falta o prazo",IF(E168&lt;Config!$B$5,"Atrasada",IF(E168-Config!$B$5&lt;=Config!$B$6,"Vence em breve",IF(D168&lt;=Config!$B$5,"Em andamento","A iniciar"))))))</f>
        <v/>
      </c>
      <c r="H168" s="26">
        <f>IF(OR(B168="",G168="Concluída",E168=""),"",E168-Config!$B$5)</f>
        <v/>
      </c>
      <c r="I168" s="34" t="n"/>
      <c r="J168" s="31" t="n"/>
      <c r="K168" s="36">
        <f>IF(OR(B168="",G168="Concluída"),0,IF(G168="Atrasada",3000+MIN(Config!$B$5-E168,60),IF(G168="Vence em breve",2000-(E168-Config!$B$5),IF(G168="Em andamento",1000-MIN(E168-Config!$B$5,900),100)))-ROW()/100000)</f>
        <v>0</v>
      </c>
      <c r="L168" s="36">
        <f>IF(B168="","",IF(I168&lt;&gt;"",1,N(F168)))</f>
        <v/>
      </c>
    </row>
    <row r="169">
      <c r="A169" s="33" t="n"/>
      <c r="B169" s="31" t="n"/>
      <c r="C169" s="33" t="n"/>
      <c r="D169" s="34" t="n"/>
      <c r="E169" s="34" t="n"/>
      <c r="F169" s="35" t="n"/>
      <c r="G169" s="23">
        <f>IF(B169="","",IF(OR(F169&gt;=1,I169&lt;&gt;""),"Concluída",IF(E169="","Falta o prazo",IF(E169&lt;Config!$B$5,"Atrasada",IF(E169-Config!$B$5&lt;=Config!$B$6,"Vence em breve",IF(D169&lt;=Config!$B$5,"Em andamento","A iniciar"))))))</f>
        <v/>
      </c>
      <c r="H169" s="26">
        <f>IF(OR(B169="",G169="Concluída",E169=""),"",E169-Config!$B$5)</f>
        <v/>
      </c>
      <c r="I169" s="34" t="n"/>
      <c r="J169" s="31" t="n"/>
      <c r="K169" s="36">
        <f>IF(OR(B169="",G169="Concluída"),0,IF(G169="Atrasada",3000+MIN(Config!$B$5-E169,60),IF(G169="Vence em breve",2000-(E169-Config!$B$5),IF(G169="Em andamento",1000-MIN(E169-Config!$B$5,900),100)))-ROW()/100000)</f>
        <v>0</v>
      </c>
      <c r="L169" s="36">
        <f>IF(B169="","",IF(I169&lt;&gt;"",1,N(F169)))</f>
        <v/>
      </c>
    </row>
    <row r="170">
      <c r="A170" s="33" t="n"/>
      <c r="B170" s="31" t="n"/>
      <c r="C170" s="33" t="n"/>
      <c r="D170" s="34" t="n"/>
      <c r="E170" s="34" t="n"/>
      <c r="F170" s="35" t="n"/>
      <c r="G170" s="23">
        <f>IF(B170="","",IF(OR(F170&gt;=1,I170&lt;&gt;""),"Concluída",IF(E170="","Falta o prazo",IF(E170&lt;Config!$B$5,"Atrasada",IF(E170-Config!$B$5&lt;=Config!$B$6,"Vence em breve",IF(D170&lt;=Config!$B$5,"Em andamento","A iniciar"))))))</f>
        <v/>
      </c>
      <c r="H170" s="26">
        <f>IF(OR(B170="",G170="Concluída",E170=""),"",E170-Config!$B$5)</f>
        <v/>
      </c>
      <c r="I170" s="34" t="n"/>
      <c r="J170" s="31" t="n"/>
      <c r="K170" s="36">
        <f>IF(OR(B170="",G170="Concluída"),0,IF(G170="Atrasada",3000+MIN(Config!$B$5-E170,60),IF(G170="Vence em breve",2000-(E170-Config!$B$5),IF(G170="Em andamento",1000-MIN(E170-Config!$B$5,900),100)))-ROW()/100000)</f>
        <v>0</v>
      </c>
      <c r="L170" s="36">
        <f>IF(B170="","",IF(I170&lt;&gt;"",1,N(F170)))</f>
        <v/>
      </c>
    </row>
    <row r="171">
      <c r="A171" s="33" t="n"/>
      <c r="B171" s="31" t="n"/>
      <c r="C171" s="33" t="n"/>
      <c r="D171" s="34" t="n"/>
      <c r="E171" s="34" t="n"/>
      <c r="F171" s="35" t="n"/>
      <c r="G171" s="23">
        <f>IF(B171="","",IF(OR(F171&gt;=1,I171&lt;&gt;""),"Concluída",IF(E171="","Falta o prazo",IF(E171&lt;Config!$B$5,"Atrasada",IF(E171-Config!$B$5&lt;=Config!$B$6,"Vence em breve",IF(D171&lt;=Config!$B$5,"Em andamento","A iniciar"))))))</f>
        <v/>
      </c>
      <c r="H171" s="26">
        <f>IF(OR(B171="",G171="Concluída",E171=""),"",E171-Config!$B$5)</f>
        <v/>
      </c>
      <c r="I171" s="34" t="n"/>
      <c r="J171" s="31" t="n"/>
      <c r="K171" s="36">
        <f>IF(OR(B171="",G171="Concluída"),0,IF(G171="Atrasada",3000+MIN(Config!$B$5-E171,60),IF(G171="Vence em breve",2000-(E171-Config!$B$5),IF(G171="Em andamento",1000-MIN(E171-Config!$B$5,900),100)))-ROW()/100000)</f>
        <v>0</v>
      </c>
      <c r="L171" s="36">
        <f>IF(B171="","",IF(I171&lt;&gt;"",1,N(F171)))</f>
        <v/>
      </c>
    </row>
    <row r="172">
      <c r="A172" s="33" t="n"/>
      <c r="B172" s="31" t="n"/>
      <c r="C172" s="33" t="n"/>
      <c r="D172" s="34" t="n"/>
      <c r="E172" s="34" t="n"/>
      <c r="F172" s="35" t="n"/>
      <c r="G172" s="23">
        <f>IF(B172="","",IF(OR(F172&gt;=1,I172&lt;&gt;""),"Concluída",IF(E172="","Falta o prazo",IF(E172&lt;Config!$B$5,"Atrasada",IF(E172-Config!$B$5&lt;=Config!$B$6,"Vence em breve",IF(D172&lt;=Config!$B$5,"Em andamento","A iniciar"))))))</f>
        <v/>
      </c>
      <c r="H172" s="26">
        <f>IF(OR(B172="",G172="Concluída",E172=""),"",E172-Config!$B$5)</f>
        <v/>
      </c>
      <c r="I172" s="34" t="n"/>
      <c r="J172" s="31" t="n"/>
      <c r="K172" s="36">
        <f>IF(OR(B172="",G172="Concluída"),0,IF(G172="Atrasada",3000+MIN(Config!$B$5-E172,60),IF(G172="Vence em breve",2000-(E172-Config!$B$5),IF(G172="Em andamento",1000-MIN(E172-Config!$B$5,900),100)))-ROW()/100000)</f>
        <v>0</v>
      </c>
      <c r="L172" s="36">
        <f>IF(B172="","",IF(I172&lt;&gt;"",1,N(F172)))</f>
        <v/>
      </c>
    </row>
    <row r="173">
      <c r="A173" s="33" t="n"/>
      <c r="B173" s="31" t="n"/>
      <c r="C173" s="33" t="n"/>
      <c r="D173" s="34" t="n"/>
      <c r="E173" s="34" t="n"/>
      <c r="F173" s="35" t="n"/>
      <c r="G173" s="23">
        <f>IF(B173="","",IF(OR(F173&gt;=1,I173&lt;&gt;""),"Concluída",IF(E173="","Falta o prazo",IF(E173&lt;Config!$B$5,"Atrasada",IF(E173-Config!$B$5&lt;=Config!$B$6,"Vence em breve",IF(D173&lt;=Config!$B$5,"Em andamento","A iniciar"))))))</f>
        <v/>
      </c>
      <c r="H173" s="26">
        <f>IF(OR(B173="",G173="Concluída",E173=""),"",E173-Config!$B$5)</f>
        <v/>
      </c>
      <c r="I173" s="34" t="n"/>
      <c r="J173" s="31" t="n"/>
      <c r="K173" s="36">
        <f>IF(OR(B173="",G173="Concluída"),0,IF(G173="Atrasada",3000+MIN(Config!$B$5-E173,60),IF(G173="Vence em breve",2000-(E173-Config!$B$5),IF(G173="Em andamento",1000-MIN(E173-Config!$B$5,900),100)))-ROW()/100000)</f>
        <v>0</v>
      </c>
      <c r="L173" s="36">
        <f>IF(B173="","",IF(I173&lt;&gt;"",1,N(F173)))</f>
        <v/>
      </c>
    </row>
    <row r="174">
      <c r="A174" s="33" t="n"/>
      <c r="B174" s="31" t="n"/>
      <c r="C174" s="33" t="n"/>
      <c r="D174" s="34" t="n"/>
      <c r="E174" s="34" t="n"/>
      <c r="F174" s="35" t="n"/>
      <c r="G174" s="23">
        <f>IF(B174="","",IF(OR(F174&gt;=1,I174&lt;&gt;""),"Concluída",IF(E174="","Falta o prazo",IF(E174&lt;Config!$B$5,"Atrasada",IF(E174-Config!$B$5&lt;=Config!$B$6,"Vence em breve",IF(D174&lt;=Config!$B$5,"Em andamento","A iniciar"))))))</f>
        <v/>
      </c>
      <c r="H174" s="26">
        <f>IF(OR(B174="",G174="Concluída",E174=""),"",E174-Config!$B$5)</f>
        <v/>
      </c>
      <c r="I174" s="34" t="n"/>
      <c r="J174" s="31" t="n"/>
      <c r="K174" s="36">
        <f>IF(OR(B174="",G174="Concluída"),0,IF(G174="Atrasada",3000+MIN(Config!$B$5-E174,60),IF(G174="Vence em breve",2000-(E174-Config!$B$5),IF(G174="Em andamento",1000-MIN(E174-Config!$B$5,900),100)))-ROW()/100000)</f>
        <v>0</v>
      </c>
      <c r="L174" s="36">
        <f>IF(B174="","",IF(I174&lt;&gt;"",1,N(F174)))</f>
        <v/>
      </c>
    </row>
    <row r="175">
      <c r="A175" s="33" t="n"/>
      <c r="B175" s="31" t="n"/>
      <c r="C175" s="33" t="n"/>
      <c r="D175" s="34" t="n"/>
      <c r="E175" s="34" t="n"/>
      <c r="F175" s="35" t="n"/>
      <c r="G175" s="23">
        <f>IF(B175="","",IF(OR(F175&gt;=1,I175&lt;&gt;""),"Concluída",IF(E175="","Falta o prazo",IF(E175&lt;Config!$B$5,"Atrasada",IF(E175-Config!$B$5&lt;=Config!$B$6,"Vence em breve",IF(D175&lt;=Config!$B$5,"Em andamento","A iniciar"))))))</f>
        <v/>
      </c>
      <c r="H175" s="26">
        <f>IF(OR(B175="",G175="Concluída",E175=""),"",E175-Config!$B$5)</f>
        <v/>
      </c>
      <c r="I175" s="34" t="n"/>
      <c r="J175" s="31" t="n"/>
      <c r="K175" s="36">
        <f>IF(OR(B175="",G175="Concluída"),0,IF(G175="Atrasada",3000+MIN(Config!$B$5-E175,60),IF(G175="Vence em breve",2000-(E175-Config!$B$5),IF(G175="Em andamento",1000-MIN(E175-Config!$B$5,900),100)))-ROW()/100000)</f>
        <v>0</v>
      </c>
      <c r="L175" s="36">
        <f>IF(B175="","",IF(I175&lt;&gt;"",1,N(F175)))</f>
        <v/>
      </c>
    </row>
    <row r="176">
      <c r="A176" s="33" t="n"/>
      <c r="B176" s="31" t="n"/>
      <c r="C176" s="33" t="n"/>
      <c r="D176" s="34" t="n"/>
      <c r="E176" s="34" t="n"/>
      <c r="F176" s="35" t="n"/>
      <c r="G176" s="23">
        <f>IF(B176="","",IF(OR(F176&gt;=1,I176&lt;&gt;""),"Concluída",IF(E176="","Falta o prazo",IF(E176&lt;Config!$B$5,"Atrasada",IF(E176-Config!$B$5&lt;=Config!$B$6,"Vence em breve",IF(D176&lt;=Config!$B$5,"Em andamento","A iniciar"))))))</f>
        <v/>
      </c>
      <c r="H176" s="26">
        <f>IF(OR(B176="",G176="Concluída",E176=""),"",E176-Config!$B$5)</f>
        <v/>
      </c>
      <c r="I176" s="34" t="n"/>
      <c r="J176" s="31" t="n"/>
      <c r="K176" s="36">
        <f>IF(OR(B176="",G176="Concluída"),0,IF(G176="Atrasada",3000+MIN(Config!$B$5-E176,60),IF(G176="Vence em breve",2000-(E176-Config!$B$5),IF(G176="Em andamento",1000-MIN(E176-Config!$B$5,900),100)))-ROW()/100000)</f>
        <v>0</v>
      </c>
      <c r="L176" s="36">
        <f>IF(B176="","",IF(I176&lt;&gt;"",1,N(F176)))</f>
        <v/>
      </c>
    </row>
    <row r="177">
      <c r="A177" s="33" t="n"/>
      <c r="B177" s="31" t="n"/>
      <c r="C177" s="33" t="n"/>
      <c r="D177" s="34" t="n"/>
      <c r="E177" s="34" t="n"/>
      <c r="F177" s="35" t="n"/>
      <c r="G177" s="23">
        <f>IF(B177="","",IF(OR(F177&gt;=1,I177&lt;&gt;""),"Concluída",IF(E177="","Falta o prazo",IF(E177&lt;Config!$B$5,"Atrasada",IF(E177-Config!$B$5&lt;=Config!$B$6,"Vence em breve",IF(D177&lt;=Config!$B$5,"Em andamento","A iniciar"))))))</f>
        <v/>
      </c>
      <c r="H177" s="26">
        <f>IF(OR(B177="",G177="Concluída",E177=""),"",E177-Config!$B$5)</f>
        <v/>
      </c>
      <c r="I177" s="34" t="n"/>
      <c r="J177" s="31" t="n"/>
      <c r="K177" s="36">
        <f>IF(OR(B177="",G177="Concluída"),0,IF(G177="Atrasada",3000+MIN(Config!$B$5-E177,60),IF(G177="Vence em breve",2000-(E177-Config!$B$5),IF(G177="Em andamento",1000-MIN(E177-Config!$B$5,900),100)))-ROW()/100000)</f>
        <v>0</v>
      </c>
      <c r="L177" s="36">
        <f>IF(B177="","",IF(I177&lt;&gt;"",1,N(F177)))</f>
        <v/>
      </c>
    </row>
    <row r="178">
      <c r="A178" s="33" t="n"/>
      <c r="B178" s="31" t="n"/>
      <c r="C178" s="33" t="n"/>
      <c r="D178" s="34" t="n"/>
      <c r="E178" s="34" t="n"/>
      <c r="F178" s="35" t="n"/>
      <c r="G178" s="23">
        <f>IF(B178="","",IF(OR(F178&gt;=1,I178&lt;&gt;""),"Concluída",IF(E178="","Falta o prazo",IF(E178&lt;Config!$B$5,"Atrasada",IF(E178-Config!$B$5&lt;=Config!$B$6,"Vence em breve",IF(D178&lt;=Config!$B$5,"Em andamento","A iniciar"))))))</f>
        <v/>
      </c>
      <c r="H178" s="26">
        <f>IF(OR(B178="",G178="Concluída",E178=""),"",E178-Config!$B$5)</f>
        <v/>
      </c>
      <c r="I178" s="34" t="n"/>
      <c r="J178" s="31" t="n"/>
      <c r="K178" s="36">
        <f>IF(OR(B178="",G178="Concluída"),0,IF(G178="Atrasada",3000+MIN(Config!$B$5-E178,60),IF(G178="Vence em breve",2000-(E178-Config!$B$5),IF(G178="Em andamento",1000-MIN(E178-Config!$B$5,900),100)))-ROW()/100000)</f>
        <v>0</v>
      </c>
      <c r="L178" s="36">
        <f>IF(B178="","",IF(I178&lt;&gt;"",1,N(F178)))</f>
        <v/>
      </c>
    </row>
    <row r="179">
      <c r="A179" s="33" t="n"/>
      <c r="B179" s="31" t="n"/>
      <c r="C179" s="33" t="n"/>
      <c r="D179" s="34" t="n"/>
      <c r="E179" s="34" t="n"/>
      <c r="F179" s="35" t="n"/>
      <c r="G179" s="23">
        <f>IF(B179="","",IF(OR(F179&gt;=1,I179&lt;&gt;""),"Concluída",IF(E179="","Falta o prazo",IF(E179&lt;Config!$B$5,"Atrasada",IF(E179-Config!$B$5&lt;=Config!$B$6,"Vence em breve",IF(D179&lt;=Config!$B$5,"Em andamento","A iniciar"))))))</f>
        <v/>
      </c>
      <c r="H179" s="26">
        <f>IF(OR(B179="",G179="Concluída",E179=""),"",E179-Config!$B$5)</f>
        <v/>
      </c>
      <c r="I179" s="34" t="n"/>
      <c r="J179" s="31" t="n"/>
      <c r="K179" s="36">
        <f>IF(OR(B179="",G179="Concluída"),0,IF(G179="Atrasada",3000+MIN(Config!$B$5-E179,60),IF(G179="Vence em breve",2000-(E179-Config!$B$5),IF(G179="Em andamento",1000-MIN(E179-Config!$B$5,900),100)))-ROW()/100000)</f>
        <v>0</v>
      </c>
      <c r="L179" s="36">
        <f>IF(B179="","",IF(I179&lt;&gt;"",1,N(F179)))</f>
        <v/>
      </c>
    </row>
    <row r="180">
      <c r="A180" s="33" t="n"/>
      <c r="B180" s="31" t="n"/>
      <c r="C180" s="33" t="n"/>
      <c r="D180" s="34" t="n"/>
      <c r="E180" s="34" t="n"/>
      <c r="F180" s="35" t="n"/>
      <c r="G180" s="23">
        <f>IF(B180="","",IF(OR(F180&gt;=1,I180&lt;&gt;""),"Concluída",IF(E180="","Falta o prazo",IF(E180&lt;Config!$B$5,"Atrasada",IF(E180-Config!$B$5&lt;=Config!$B$6,"Vence em breve",IF(D180&lt;=Config!$B$5,"Em andamento","A iniciar"))))))</f>
        <v/>
      </c>
      <c r="H180" s="26">
        <f>IF(OR(B180="",G180="Concluída",E180=""),"",E180-Config!$B$5)</f>
        <v/>
      </c>
      <c r="I180" s="34" t="n"/>
      <c r="J180" s="31" t="n"/>
      <c r="K180" s="36">
        <f>IF(OR(B180="",G180="Concluída"),0,IF(G180="Atrasada",3000+MIN(Config!$B$5-E180,60),IF(G180="Vence em breve",2000-(E180-Config!$B$5),IF(G180="Em andamento",1000-MIN(E180-Config!$B$5,900),100)))-ROW()/100000)</f>
        <v>0</v>
      </c>
      <c r="L180" s="36">
        <f>IF(B180="","",IF(I180&lt;&gt;"",1,N(F180)))</f>
        <v/>
      </c>
    </row>
    <row r="181">
      <c r="A181" s="33" t="n"/>
      <c r="B181" s="31" t="n"/>
      <c r="C181" s="33" t="n"/>
      <c r="D181" s="34" t="n"/>
      <c r="E181" s="34" t="n"/>
      <c r="F181" s="35" t="n"/>
      <c r="G181" s="23">
        <f>IF(B181="","",IF(OR(F181&gt;=1,I181&lt;&gt;""),"Concluída",IF(E181="","Falta o prazo",IF(E181&lt;Config!$B$5,"Atrasada",IF(E181-Config!$B$5&lt;=Config!$B$6,"Vence em breve",IF(D181&lt;=Config!$B$5,"Em andamento","A iniciar"))))))</f>
        <v/>
      </c>
      <c r="H181" s="26">
        <f>IF(OR(B181="",G181="Concluída",E181=""),"",E181-Config!$B$5)</f>
        <v/>
      </c>
      <c r="I181" s="34" t="n"/>
      <c r="J181" s="31" t="n"/>
      <c r="K181" s="36">
        <f>IF(OR(B181="",G181="Concluída"),0,IF(G181="Atrasada",3000+MIN(Config!$B$5-E181,60),IF(G181="Vence em breve",2000-(E181-Config!$B$5),IF(G181="Em andamento",1000-MIN(E181-Config!$B$5,900),100)))-ROW()/100000)</f>
        <v>0</v>
      </c>
      <c r="L181" s="36">
        <f>IF(B181="","",IF(I181&lt;&gt;"",1,N(F181)))</f>
        <v/>
      </c>
    </row>
    <row r="182">
      <c r="A182" s="33" t="n"/>
      <c r="B182" s="31" t="n"/>
      <c r="C182" s="33" t="n"/>
      <c r="D182" s="34" t="n"/>
      <c r="E182" s="34" t="n"/>
      <c r="F182" s="35" t="n"/>
      <c r="G182" s="23">
        <f>IF(B182="","",IF(OR(F182&gt;=1,I182&lt;&gt;""),"Concluída",IF(E182="","Falta o prazo",IF(E182&lt;Config!$B$5,"Atrasada",IF(E182-Config!$B$5&lt;=Config!$B$6,"Vence em breve",IF(D182&lt;=Config!$B$5,"Em andamento","A iniciar"))))))</f>
        <v/>
      </c>
      <c r="H182" s="26">
        <f>IF(OR(B182="",G182="Concluída",E182=""),"",E182-Config!$B$5)</f>
        <v/>
      </c>
      <c r="I182" s="34" t="n"/>
      <c r="J182" s="31" t="n"/>
      <c r="K182" s="36">
        <f>IF(OR(B182="",G182="Concluída"),0,IF(G182="Atrasada",3000+MIN(Config!$B$5-E182,60),IF(G182="Vence em breve",2000-(E182-Config!$B$5),IF(G182="Em andamento",1000-MIN(E182-Config!$B$5,900),100)))-ROW()/100000)</f>
        <v>0</v>
      </c>
      <c r="L182" s="36">
        <f>IF(B182="","",IF(I182&lt;&gt;"",1,N(F182)))</f>
        <v/>
      </c>
    </row>
    <row r="183">
      <c r="A183" s="33" t="n"/>
      <c r="B183" s="31" t="n"/>
      <c r="C183" s="33" t="n"/>
      <c r="D183" s="34" t="n"/>
      <c r="E183" s="34" t="n"/>
      <c r="F183" s="35" t="n"/>
      <c r="G183" s="23">
        <f>IF(B183="","",IF(OR(F183&gt;=1,I183&lt;&gt;""),"Concluída",IF(E183="","Falta o prazo",IF(E183&lt;Config!$B$5,"Atrasada",IF(E183-Config!$B$5&lt;=Config!$B$6,"Vence em breve",IF(D183&lt;=Config!$B$5,"Em andamento","A iniciar"))))))</f>
        <v/>
      </c>
      <c r="H183" s="26">
        <f>IF(OR(B183="",G183="Concluída",E183=""),"",E183-Config!$B$5)</f>
        <v/>
      </c>
      <c r="I183" s="34" t="n"/>
      <c r="J183" s="31" t="n"/>
      <c r="K183" s="36">
        <f>IF(OR(B183="",G183="Concluída"),0,IF(G183="Atrasada",3000+MIN(Config!$B$5-E183,60),IF(G183="Vence em breve",2000-(E183-Config!$B$5),IF(G183="Em andamento",1000-MIN(E183-Config!$B$5,900),100)))-ROW()/100000)</f>
        <v>0</v>
      </c>
      <c r="L183" s="36">
        <f>IF(B183="","",IF(I183&lt;&gt;"",1,N(F183)))</f>
        <v/>
      </c>
    </row>
    <row r="184">
      <c r="A184" s="33" t="n"/>
      <c r="B184" s="31" t="n"/>
      <c r="C184" s="33" t="n"/>
      <c r="D184" s="34" t="n"/>
      <c r="E184" s="34" t="n"/>
      <c r="F184" s="35" t="n"/>
      <c r="G184" s="23">
        <f>IF(B184="","",IF(OR(F184&gt;=1,I184&lt;&gt;""),"Concluída",IF(E184="","Falta o prazo",IF(E184&lt;Config!$B$5,"Atrasada",IF(E184-Config!$B$5&lt;=Config!$B$6,"Vence em breve",IF(D184&lt;=Config!$B$5,"Em andamento","A iniciar"))))))</f>
        <v/>
      </c>
      <c r="H184" s="26">
        <f>IF(OR(B184="",G184="Concluída",E184=""),"",E184-Config!$B$5)</f>
        <v/>
      </c>
      <c r="I184" s="34" t="n"/>
      <c r="J184" s="31" t="n"/>
      <c r="K184" s="36">
        <f>IF(OR(B184="",G184="Concluída"),0,IF(G184="Atrasada",3000+MIN(Config!$B$5-E184,60),IF(G184="Vence em breve",2000-(E184-Config!$B$5),IF(G184="Em andamento",1000-MIN(E184-Config!$B$5,900),100)))-ROW()/100000)</f>
        <v>0</v>
      </c>
      <c r="L184" s="36">
        <f>IF(B184="","",IF(I184&lt;&gt;"",1,N(F184)))</f>
        <v/>
      </c>
    </row>
    <row r="185">
      <c r="A185" s="33" t="n"/>
      <c r="B185" s="31" t="n"/>
      <c r="C185" s="33" t="n"/>
      <c r="D185" s="34" t="n"/>
      <c r="E185" s="34" t="n"/>
      <c r="F185" s="35" t="n"/>
      <c r="G185" s="23">
        <f>IF(B185="","",IF(OR(F185&gt;=1,I185&lt;&gt;""),"Concluída",IF(E185="","Falta o prazo",IF(E185&lt;Config!$B$5,"Atrasada",IF(E185-Config!$B$5&lt;=Config!$B$6,"Vence em breve",IF(D185&lt;=Config!$B$5,"Em andamento","A iniciar"))))))</f>
        <v/>
      </c>
      <c r="H185" s="26">
        <f>IF(OR(B185="",G185="Concluída",E185=""),"",E185-Config!$B$5)</f>
        <v/>
      </c>
      <c r="I185" s="34" t="n"/>
      <c r="J185" s="31" t="n"/>
      <c r="K185" s="36">
        <f>IF(OR(B185="",G185="Concluída"),0,IF(G185="Atrasada",3000+MIN(Config!$B$5-E185,60),IF(G185="Vence em breve",2000-(E185-Config!$B$5),IF(G185="Em andamento",1000-MIN(E185-Config!$B$5,900),100)))-ROW()/100000)</f>
        <v>0</v>
      </c>
      <c r="L185" s="36">
        <f>IF(B185="","",IF(I185&lt;&gt;"",1,N(F185)))</f>
        <v/>
      </c>
    </row>
    <row r="186">
      <c r="A186" s="33" t="n"/>
      <c r="B186" s="31" t="n"/>
      <c r="C186" s="33" t="n"/>
      <c r="D186" s="34" t="n"/>
      <c r="E186" s="34" t="n"/>
      <c r="F186" s="35" t="n"/>
      <c r="G186" s="23">
        <f>IF(B186="","",IF(OR(F186&gt;=1,I186&lt;&gt;""),"Concluída",IF(E186="","Falta o prazo",IF(E186&lt;Config!$B$5,"Atrasada",IF(E186-Config!$B$5&lt;=Config!$B$6,"Vence em breve",IF(D186&lt;=Config!$B$5,"Em andamento","A iniciar"))))))</f>
        <v/>
      </c>
      <c r="H186" s="26">
        <f>IF(OR(B186="",G186="Concluída",E186=""),"",E186-Config!$B$5)</f>
        <v/>
      </c>
      <c r="I186" s="34" t="n"/>
      <c r="J186" s="31" t="n"/>
      <c r="K186" s="36">
        <f>IF(OR(B186="",G186="Concluída"),0,IF(G186="Atrasada",3000+MIN(Config!$B$5-E186,60),IF(G186="Vence em breve",2000-(E186-Config!$B$5),IF(G186="Em andamento",1000-MIN(E186-Config!$B$5,900),100)))-ROW()/100000)</f>
        <v>0</v>
      </c>
      <c r="L186" s="36">
        <f>IF(B186="","",IF(I186&lt;&gt;"",1,N(F186)))</f>
        <v/>
      </c>
    </row>
    <row r="187">
      <c r="A187" s="33" t="n"/>
      <c r="B187" s="31" t="n"/>
      <c r="C187" s="33" t="n"/>
      <c r="D187" s="34" t="n"/>
      <c r="E187" s="34" t="n"/>
      <c r="F187" s="35" t="n"/>
      <c r="G187" s="23">
        <f>IF(B187="","",IF(OR(F187&gt;=1,I187&lt;&gt;""),"Concluída",IF(E187="","Falta o prazo",IF(E187&lt;Config!$B$5,"Atrasada",IF(E187-Config!$B$5&lt;=Config!$B$6,"Vence em breve",IF(D187&lt;=Config!$B$5,"Em andamento","A iniciar"))))))</f>
        <v/>
      </c>
      <c r="H187" s="26">
        <f>IF(OR(B187="",G187="Concluída",E187=""),"",E187-Config!$B$5)</f>
        <v/>
      </c>
      <c r="I187" s="34" t="n"/>
      <c r="J187" s="31" t="n"/>
      <c r="K187" s="36">
        <f>IF(OR(B187="",G187="Concluída"),0,IF(G187="Atrasada",3000+MIN(Config!$B$5-E187,60),IF(G187="Vence em breve",2000-(E187-Config!$B$5),IF(G187="Em andamento",1000-MIN(E187-Config!$B$5,900),100)))-ROW()/100000)</f>
        <v>0</v>
      </c>
      <c r="L187" s="36">
        <f>IF(B187="","",IF(I187&lt;&gt;"",1,N(F187)))</f>
        <v/>
      </c>
    </row>
    <row r="188">
      <c r="A188" s="33" t="n"/>
      <c r="B188" s="31" t="n"/>
      <c r="C188" s="33" t="n"/>
      <c r="D188" s="34" t="n"/>
      <c r="E188" s="34" t="n"/>
      <c r="F188" s="35" t="n"/>
      <c r="G188" s="23">
        <f>IF(B188="","",IF(OR(F188&gt;=1,I188&lt;&gt;""),"Concluída",IF(E188="","Falta o prazo",IF(E188&lt;Config!$B$5,"Atrasada",IF(E188-Config!$B$5&lt;=Config!$B$6,"Vence em breve",IF(D188&lt;=Config!$B$5,"Em andamento","A iniciar"))))))</f>
        <v/>
      </c>
      <c r="H188" s="26">
        <f>IF(OR(B188="",G188="Concluída",E188=""),"",E188-Config!$B$5)</f>
        <v/>
      </c>
      <c r="I188" s="34" t="n"/>
      <c r="J188" s="31" t="n"/>
      <c r="K188" s="36">
        <f>IF(OR(B188="",G188="Concluída"),0,IF(G188="Atrasada",3000+MIN(Config!$B$5-E188,60),IF(G188="Vence em breve",2000-(E188-Config!$B$5),IF(G188="Em andamento",1000-MIN(E188-Config!$B$5,900),100)))-ROW()/100000)</f>
        <v>0</v>
      </c>
      <c r="L188" s="36">
        <f>IF(B188="","",IF(I188&lt;&gt;"",1,N(F188)))</f>
        <v/>
      </c>
    </row>
    <row r="189">
      <c r="A189" s="33" t="n"/>
      <c r="B189" s="31" t="n"/>
      <c r="C189" s="33" t="n"/>
      <c r="D189" s="34" t="n"/>
      <c r="E189" s="34" t="n"/>
      <c r="F189" s="35" t="n"/>
      <c r="G189" s="23">
        <f>IF(B189="","",IF(OR(F189&gt;=1,I189&lt;&gt;""),"Concluída",IF(E189="","Falta o prazo",IF(E189&lt;Config!$B$5,"Atrasada",IF(E189-Config!$B$5&lt;=Config!$B$6,"Vence em breve",IF(D189&lt;=Config!$B$5,"Em andamento","A iniciar"))))))</f>
        <v/>
      </c>
      <c r="H189" s="26">
        <f>IF(OR(B189="",G189="Concluída",E189=""),"",E189-Config!$B$5)</f>
        <v/>
      </c>
      <c r="I189" s="34" t="n"/>
      <c r="J189" s="31" t="n"/>
      <c r="K189" s="36">
        <f>IF(OR(B189="",G189="Concluída"),0,IF(G189="Atrasada",3000+MIN(Config!$B$5-E189,60),IF(G189="Vence em breve",2000-(E189-Config!$B$5),IF(G189="Em andamento",1000-MIN(E189-Config!$B$5,900),100)))-ROW()/100000)</f>
        <v>0</v>
      </c>
      <c r="L189" s="36">
        <f>IF(B189="","",IF(I189&lt;&gt;"",1,N(F189)))</f>
        <v/>
      </c>
    </row>
    <row r="190">
      <c r="A190" s="33" t="n"/>
      <c r="B190" s="31" t="n"/>
      <c r="C190" s="33" t="n"/>
      <c r="D190" s="34" t="n"/>
      <c r="E190" s="34" t="n"/>
      <c r="F190" s="35" t="n"/>
      <c r="G190" s="23">
        <f>IF(B190="","",IF(OR(F190&gt;=1,I190&lt;&gt;""),"Concluída",IF(E190="","Falta o prazo",IF(E190&lt;Config!$B$5,"Atrasada",IF(E190-Config!$B$5&lt;=Config!$B$6,"Vence em breve",IF(D190&lt;=Config!$B$5,"Em andamento","A iniciar"))))))</f>
        <v/>
      </c>
      <c r="H190" s="26">
        <f>IF(OR(B190="",G190="Concluída",E190=""),"",E190-Config!$B$5)</f>
        <v/>
      </c>
      <c r="I190" s="34" t="n"/>
      <c r="J190" s="31" t="n"/>
      <c r="K190" s="36">
        <f>IF(OR(B190="",G190="Concluída"),0,IF(G190="Atrasada",3000+MIN(Config!$B$5-E190,60),IF(G190="Vence em breve",2000-(E190-Config!$B$5),IF(G190="Em andamento",1000-MIN(E190-Config!$B$5,900),100)))-ROW()/100000)</f>
        <v>0</v>
      </c>
      <c r="L190" s="36">
        <f>IF(B190="","",IF(I190&lt;&gt;"",1,N(F190)))</f>
        <v/>
      </c>
    </row>
    <row r="191">
      <c r="A191" s="33" t="n"/>
      <c r="B191" s="31" t="n"/>
      <c r="C191" s="33" t="n"/>
      <c r="D191" s="34" t="n"/>
      <c r="E191" s="34" t="n"/>
      <c r="F191" s="35" t="n"/>
      <c r="G191" s="23">
        <f>IF(B191="","",IF(OR(F191&gt;=1,I191&lt;&gt;""),"Concluída",IF(E191="","Falta o prazo",IF(E191&lt;Config!$B$5,"Atrasada",IF(E191-Config!$B$5&lt;=Config!$B$6,"Vence em breve",IF(D191&lt;=Config!$B$5,"Em andamento","A iniciar"))))))</f>
        <v/>
      </c>
      <c r="H191" s="26">
        <f>IF(OR(B191="",G191="Concluída",E191=""),"",E191-Config!$B$5)</f>
        <v/>
      </c>
      <c r="I191" s="34" t="n"/>
      <c r="J191" s="31" t="n"/>
      <c r="K191" s="36">
        <f>IF(OR(B191="",G191="Concluída"),0,IF(G191="Atrasada",3000+MIN(Config!$B$5-E191,60),IF(G191="Vence em breve",2000-(E191-Config!$B$5),IF(G191="Em andamento",1000-MIN(E191-Config!$B$5,900),100)))-ROW()/100000)</f>
        <v>0</v>
      </c>
      <c r="L191" s="36">
        <f>IF(B191="","",IF(I191&lt;&gt;"",1,N(F191)))</f>
        <v/>
      </c>
    </row>
    <row r="192">
      <c r="A192" s="33" t="n"/>
      <c r="B192" s="31" t="n"/>
      <c r="C192" s="33" t="n"/>
      <c r="D192" s="34" t="n"/>
      <c r="E192" s="34" t="n"/>
      <c r="F192" s="35" t="n"/>
      <c r="G192" s="23">
        <f>IF(B192="","",IF(OR(F192&gt;=1,I192&lt;&gt;""),"Concluída",IF(E192="","Falta o prazo",IF(E192&lt;Config!$B$5,"Atrasada",IF(E192-Config!$B$5&lt;=Config!$B$6,"Vence em breve",IF(D192&lt;=Config!$B$5,"Em andamento","A iniciar"))))))</f>
        <v/>
      </c>
      <c r="H192" s="26">
        <f>IF(OR(B192="",G192="Concluída",E192=""),"",E192-Config!$B$5)</f>
        <v/>
      </c>
      <c r="I192" s="34" t="n"/>
      <c r="J192" s="31" t="n"/>
      <c r="K192" s="36">
        <f>IF(OR(B192="",G192="Concluída"),0,IF(G192="Atrasada",3000+MIN(Config!$B$5-E192,60),IF(G192="Vence em breve",2000-(E192-Config!$B$5),IF(G192="Em andamento",1000-MIN(E192-Config!$B$5,900),100)))-ROW()/100000)</f>
        <v>0</v>
      </c>
      <c r="L192" s="36">
        <f>IF(B192="","",IF(I192&lt;&gt;"",1,N(F192)))</f>
        <v/>
      </c>
    </row>
    <row r="193">
      <c r="A193" s="33" t="n"/>
      <c r="B193" s="31" t="n"/>
      <c r="C193" s="33" t="n"/>
      <c r="D193" s="34" t="n"/>
      <c r="E193" s="34" t="n"/>
      <c r="F193" s="35" t="n"/>
      <c r="G193" s="23">
        <f>IF(B193="","",IF(OR(F193&gt;=1,I193&lt;&gt;""),"Concluída",IF(E193="","Falta o prazo",IF(E193&lt;Config!$B$5,"Atrasada",IF(E193-Config!$B$5&lt;=Config!$B$6,"Vence em breve",IF(D193&lt;=Config!$B$5,"Em andamento","A iniciar"))))))</f>
        <v/>
      </c>
      <c r="H193" s="26">
        <f>IF(OR(B193="",G193="Concluída",E193=""),"",E193-Config!$B$5)</f>
        <v/>
      </c>
      <c r="I193" s="34" t="n"/>
      <c r="J193" s="31" t="n"/>
      <c r="K193" s="36">
        <f>IF(OR(B193="",G193="Concluída"),0,IF(G193="Atrasada",3000+MIN(Config!$B$5-E193,60),IF(G193="Vence em breve",2000-(E193-Config!$B$5),IF(G193="Em andamento",1000-MIN(E193-Config!$B$5,900),100)))-ROW()/100000)</f>
        <v>0</v>
      </c>
      <c r="L193" s="36">
        <f>IF(B193="","",IF(I193&lt;&gt;"",1,N(F193)))</f>
        <v/>
      </c>
    </row>
    <row r="194">
      <c r="A194" s="33" t="n"/>
      <c r="B194" s="31" t="n"/>
      <c r="C194" s="33" t="n"/>
      <c r="D194" s="34" t="n"/>
      <c r="E194" s="34" t="n"/>
      <c r="F194" s="35" t="n"/>
      <c r="G194" s="23">
        <f>IF(B194="","",IF(OR(F194&gt;=1,I194&lt;&gt;""),"Concluída",IF(E194="","Falta o prazo",IF(E194&lt;Config!$B$5,"Atrasada",IF(E194-Config!$B$5&lt;=Config!$B$6,"Vence em breve",IF(D194&lt;=Config!$B$5,"Em andamento","A iniciar"))))))</f>
        <v/>
      </c>
      <c r="H194" s="26">
        <f>IF(OR(B194="",G194="Concluída",E194=""),"",E194-Config!$B$5)</f>
        <v/>
      </c>
      <c r="I194" s="34" t="n"/>
      <c r="J194" s="31" t="n"/>
      <c r="K194" s="36">
        <f>IF(OR(B194="",G194="Concluída"),0,IF(G194="Atrasada",3000+MIN(Config!$B$5-E194,60),IF(G194="Vence em breve",2000-(E194-Config!$B$5),IF(G194="Em andamento",1000-MIN(E194-Config!$B$5,900),100)))-ROW()/100000)</f>
        <v>0</v>
      </c>
      <c r="L194" s="36">
        <f>IF(B194="","",IF(I194&lt;&gt;"",1,N(F194)))</f>
        <v/>
      </c>
    </row>
    <row r="195">
      <c r="A195" s="33" t="n"/>
      <c r="B195" s="31" t="n"/>
      <c r="C195" s="33" t="n"/>
      <c r="D195" s="34" t="n"/>
      <c r="E195" s="34" t="n"/>
      <c r="F195" s="35" t="n"/>
      <c r="G195" s="23">
        <f>IF(B195="","",IF(OR(F195&gt;=1,I195&lt;&gt;""),"Concluída",IF(E195="","Falta o prazo",IF(E195&lt;Config!$B$5,"Atrasada",IF(E195-Config!$B$5&lt;=Config!$B$6,"Vence em breve",IF(D195&lt;=Config!$B$5,"Em andamento","A iniciar"))))))</f>
        <v/>
      </c>
      <c r="H195" s="26">
        <f>IF(OR(B195="",G195="Concluída",E195=""),"",E195-Config!$B$5)</f>
        <v/>
      </c>
      <c r="I195" s="34" t="n"/>
      <c r="J195" s="31" t="n"/>
      <c r="K195" s="36">
        <f>IF(OR(B195="",G195="Concluída"),0,IF(G195="Atrasada",3000+MIN(Config!$B$5-E195,60),IF(G195="Vence em breve",2000-(E195-Config!$B$5),IF(G195="Em andamento",1000-MIN(E195-Config!$B$5,900),100)))-ROW()/100000)</f>
        <v>0</v>
      </c>
      <c r="L195" s="36">
        <f>IF(B195="","",IF(I195&lt;&gt;"",1,N(F195)))</f>
        <v/>
      </c>
    </row>
    <row r="196">
      <c r="A196" s="33" t="n"/>
      <c r="B196" s="31" t="n"/>
      <c r="C196" s="33" t="n"/>
      <c r="D196" s="34" t="n"/>
      <c r="E196" s="34" t="n"/>
      <c r="F196" s="35" t="n"/>
      <c r="G196" s="23">
        <f>IF(B196="","",IF(OR(F196&gt;=1,I196&lt;&gt;""),"Concluída",IF(E196="","Falta o prazo",IF(E196&lt;Config!$B$5,"Atrasada",IF(E196-Config!$B$5&lt;=Config!$B$6,"Vence em breve",IF(D196&lt;=Config!$B$5,"Em andamento","A iniciar"))))))</f>
        <v/>
      </c>
      <c r="H196" s="26">
        <f>IF(OR(B196="",G196="Concluída",E196=""),"",E196-Config!$B$5)</f>
        <v/>
      </c>
      <c r="I196" s="34" t="n"/>
      <c r="J196" s="31" t="n"/>
      <c r="K196" s="36">
        <f>IF(OR(B196="",G196="Concluída"),0,IF(G196="Atrasada",3000+MIN(Config!$B$5-E196,60),IF(G196="Vence em breve",2000-(E196-Config!$B$5),IF(G196="Em andamento",1000-MIN(E196-Config!$B$5,900),100)))-ROW()/100000)</f>
        <v>0</v>
      </c>
      <c r="L196" s="36">
        <f>IF(B196="","",IF(I196&lt;&gt;"",1,N(F196)))</f>
        <v/>
      </c>
    </row>
    <row r="197">
      <c r="A197" s="33" t="n"/>
      <c r="B197" s="31" t="n"/>
      <c r="C197" s="33" t="n"/>
      <c r="D197" s="34" t="n"/>
      <c r="E197" s="34" t="n"/>
      <c r="F197" s="35" t="n"/>
      <c r="G197" s="23">
        <f>IF(B197="","",IF(OR(F197&gt;=1,I197&lt;&gt;""),"Concluída",IF(E197="","Falta o prazo",IF(E197&lt;Config!$B$5,"Atrasada",IF(E197-Config!$B$5&lt;=Config!$B$6,"Vence em breve",IF(D197&lt;=Config!$B$5,"Em andamento","A iniciar"))))))</f>
        <v/>
      </c>
      <c r="H197" s="26">
        <f>IF(OR(B197="",G197="Concluída",E197=""),"",E197-Config!$B$5)</f>
        <v/>
      </c>
      <c r="I197" s="34" t="n"/>
      <c r="J197" s="31" t="n"/>
      <c r="K197" s="36">
        <f>IF(OR(B197="",G197="Concluída"),0,IF(G197="Atrasada",3000+MIN(Config!$B$5-E197,60),IF(G197="Vence em breve",2000-(E197-Config!$B$5),IF(G197="Em andamento",1000-MIN(E197-Config!$B$5,900),100)))-ROW()/100000)</f>
        <v>0</v>
      </c>
      <c r="L197" s="36">
        <f>IF(B197="","",IF(I197&lt;&gt;"",1,N(F197)))</f>
        <v/>
      </c>
    </row>
    <row r="198">
      <c r="A198" s="33" t="n"/>
      <c r="B198" s="31" t="n"/>
      <c r="C198" s="33" t="n"/>
      <c r="D198" s="34" t="n"/>
      <c r="E198" s="34" t="n"/>
      <c r="F198" s="35" t="n"/>
      <c r="G198" s="23">
        <f>IF(B198="","",IF(OR(F198&gt;=1,I198&lt;&gt;""),"Concluída",IF(E198="","Falta o prazo",IF(E198&lt;Config!$B$5,"Atrasada",IF(E198-Config!$B$5&lt;=Config!$B$6,"Vence em breve",IF(D198&lt;=Config!$B$5,"Em andamento","A iniciar"))))))</f>
        <v/>
      </c>
      <c r="H198" s="26">
        <f>IF(OR(B198="",G198="Concluída",E198=""),"",E198-Config!$B$5)</f>
        <v/>
      </c>
      <c r="I198" s="34" t="n"/>
      <c r="J198" s="31" t="n"/>
      <c r="K198" s="36">
        <f>IF(OR(B198="",G198="Concluída"),0,IF(G198="Atrasada",3000+MIN(Config!$B$5-E198,60),IF(G198="Vence em breve",2000-(E198-Config!$B$5),IF(G198="Em andamento",1000-MIN(E198-Config!$B$5,900),100)))-ROW()/100000)</f>
        <v>0</v>
      </c>
      <c r="L198" s="36">
        <f>IF(B198="","",IF(I198&lt;&gt;"",1,N(F198)))</f>
        <v/>
      </c>
    </row>
    <row r="199">
      <c r="A199" s="33" t="n"/>
      <c r="B199" s="31" t="n"/>
      <c r="C199" s="33" t="n"/>
      <c r="D199" s="34" t="n"/>
      <c r="E199" s="34" t="n"/>
      <c r="F199" s="35" t="n"/>
      <c r="G199" s="23">
        <f>IF(B199="","",IF(OR(F199&gt;=1,I199&lt;&gt;""),"Concluída",IF(E199="","Falta o prazo",IF(E199&lt;Config!$B$5,"Atrasada",IF(E199-Config!$B$5&lt;=Config!$B$6,"Vence em breve",IF(D199&lt;=Config!$B$5,"Em andamento","A iniciar"))))))</f>
        <v/>
      </c>
      <c r="H199" s="26">
        <f>IF(OR(B199="",G199="Concluída",E199=""),"",E199-Config!$B$5)</f>
        <v/>
      </c>
      <c r="I199" s="34" t="n"/>
      <c r="J199" s="31" t="n"/>
      <c r="K199" s="36">
        <f>IF(OR(B199="",G199="Concluída"),0,IF(G199="Atrasada",3000+MIN(Config!$B$5-E199,60),IF(G199="Vence em breve",2000-(E199-Config!$B$5),IF(G199="Em andamento",1000-MIN(E199-Config!$B$5,900),100)))-ROW()/100000)</f>
        <v>0</v>
      </c>
      <c r="L199" s="36">
        <f>IF(B199="","",IF(I199&lt;&gt;"",1,N(F199)))</f>
        <v/>
      </c>
    </row>
    <row r="200">
      <c r="A200" s="33" t="n"/>
      <c r="B200" s="31" t="n"/>
      <c r="C200" s="33" t="n"/>
      <c r="D200" s="34" t="n"/>
      <c r="E200" s="34" t="n"/>
      <c r="F200" s="35" t="n"/>
      <c r="G200" s="23">
        <f>IF(B200="","",IF(OR(F200&gt;=1,I200&lt;&gt;""),"Concluída",IF(E200="","Falta o prazo",IF(E200&lt;Config!$B$5,"Atrasada",IF(E200-Config!$B$5&lt;=Config!$B$6,"Vence em breve",IF(D200&lt;=Config!$B$5,"Em andamento","A iniciar"))))))</f>
        <v/>
      </c>
      <c r="H200" s="26">
        <f>IF(OR(B200="",G200="Concluída",E200=""),"",E200-Config!$B$5)</f>
        <v/>
      </c>
      <c r="I200" s="34" t="n"/>
      <c r="J200" s="31" t="n"/>
      <c r="K200" s="36">
        <f>IF(OR(B200="",G200="Concluída"),0,IF(G200="Atrasada",3000+MIN(Config!$B$5-E200,60),IF(G200="Vence em breve",2000-(E200-Config!$B$5),IF(G200="Em andamento",1000-MIN(E200-Config!$B$5,900),100)))-ROW()/100000)</f>
        <v>0</v>
      </c>
      <c r="L200" s="36">
        <f>IF(B200="","",IF(I200&lt;&gt;"",1,N(F200)))</f>
        <v/>
      </c>
    </row>
    <row r="201">
      <c r="A201" s="33" t="n"/>
      <c r="B201" s="31" t="n"/>
      <c r="C201" s="33" t="n"/>
      <c r="D201" s="34" t="n"/>
      <c r="E201" s="34" t="n"/>
      <c r="F201" s="35" t="n"/>
      <c r="G201" s="23">
        <f>IF(B201="","",IF(OR(F201&gt;=1,I201&lt;&gt;""),"Concluída",IF(E201="","Falta o prazo",IF(E201&lt;Config!$B$5,"Atrasada",IF(E201-Config!$B$5&lt;=Config!$B$6,"Vence em breve",IF(D201&lt;=Config!$B$5,"Em andamento","A iniciar"))))))</f>
        <v/>
      </c>
      <c r="H201" s="26">
        <f>IF(OR(B201="",G201="Concluída",E201=""),"",E201-Config!$B$5)</f>
        <v/>
      </c>
      <c r="I201" s="34" t="n"/>
      <c r="J201" s="31" t="n"/>
      <c r="K201" s="36">
        <f>IF(OR(B201="",G201="Concluída"),0,IF(G201="Atrasada",3000+MIN(Config!$B$5-E201,60),IF(G201="Vence em breve",2000-(E201-Config!$B$5),IF(G201="Em andamento",1000-MIN(E201-Config!$B$5,900),100)))-ROW()/100000)</f>
        <v>0</v>
      </c>
      <c r="L201" s="36">
        <f>IF(B201="","",IF(I201&lt;&gt;"",1,N(F201)))</f>
        <v/>
      </c>
    </row>
    <row r="202">
      <c r="A202" s="33" t="n"/>
      <c r="B202" s="31" t="n"/>
      <c r="C202" s="33" t="n"/>
      <c r="D202" s="34" t="n"/>
      <c r="E202" s="34" t="n"/>
      <c r="F202" s="35" t="n"/>
      <c r="G202" s="23">
        <f>IF(B202="","",IF(OR(F202&gt;=1,I202&lt;&gt;""),"Concluída",IF(E202="","Falta o prazo",IF(E202&lt;Config!$B$5,"Atrasada",IF(E202-Config!$B$5&lt;=Config!$B$6,"Vence em breve",IF(D202&lt;=Config!$B$5,"Em andamento","A iniciar"))))))</f>
        <v/>
      </c>
      <c r="H202" s="26">
        <f>IF(OR(B202="",G202="Concluída",E202=""),"",E202-Config!$B$5)</f>
        <v/>
      </c>
      <c r="I202" s="34" t="n"/>
      <c r="J202" s="31" t="n"/>
      <c r="K202" s="36">
        <f>IF(OR(B202="",G202="Concluída"),0,IF(G202="Atrasada",3000+MIN(Config!$B$5-E202,60),IF(G202="Vence em breve",2000-(E202-Config!$B$5),IF(G202="Em andamento",1000-MIN(E202-Config!$B$5,900),100)))-ROW()/100000)</f>
        <v>0</v>
      </c>
      <c r="L202" s="36">
        <f>IF(B202="","",IF(I202&lt;&gt;"",1,N(F202)))</f>
        <v/>
      </c>
    </row>
    <row r="203">
      <c r="A203" s="33" t="n"/>
      <c r="B203" s="31" t="n"/>
      <c r="C203" s="33" t="n"/>
      <c r="D203" s="34" t="n"/>
      <c r="E203" s="34" t="n"/>
      <c r="F203" s="35" t="n"/>
      <c r="G203" s="23">
        <f>IF(B203="","",IF(OR(F203&gt;=1,I203&lt;&gt;""),"Concluída",IF(E203="","Falta o prazo",IF(E203&lt;Config!$B$5,"Atrasada",IF(E203-Config!$B$5&lt;=Config!$B$6,"Vence em breve",IF(D203&lt;=Config!$B$5,"Em andamento","A iniciar"))))))</f>
        <v/>
      </c>
      <c r="H203" s="26">
        <f>IF(OR(B203="",G203="Concluída",E203=""),"",E203-Config!$B$5)</f>
        <v/>
      </c>
      <c r="I203" s="34" t="n"/>
      <c r="J203" s="31" t="n"/>
      <c r="K203" s="36">
        <f>IF(OR(B203="",G203="Concluída"),0,IF(G203="Atrasada",3000+MIN(Config!$B$5-E203,60),IF(G203="Vence em breve",2000-(E203-Config!$B$5),IF(G203="Em andamento",1000-MIN(E203-Config!$B$5,900),100)))-ROW()/100000)</f>
        <v>0</v>
      </c>
      <c r="L203" s="36">
        <f>IF(B203="","",IF(I203&lt;&gt;"",1,N(F203)))</f>
        <v/>
      </c>
    </row>
    <row r="204">
      <c r="A204" s="33" t="n"/>
      <c r="B204" s="31" t="n"/>
      <c r="C204" s="33" t="n"/>
      <c r="D204" s="34" t="n"/>
      <c r="E204" s="34" t="n"/>
      <c r="F204" s="35" t="n"/>
      <c r="G204" s="23">
        <f>IF(B204="","",IF(OR(F204&gt;=1,I204&lt;&gt;""),"Concluída",IF(E204="","Falta o prazo",IF(E204&lt;Config!$B$5,"Atrasada",IF(E204-Config!$B$5&lt;=Config!$B$6,"Vence em breve",IF(D204&lt;=Config!$B$5,"Em andamento","A iniciar"))))))</f>
        <v/>
      </c>
      <c r="H204" s="26">
        <f>IF(OR(B204="",G204="Concluída",E204=""),"",E204-Config!$B$5)</f>
        <v/>
      </c>
      <c r="I204" s="34" t="n"/>
      <c r="J204" s="31" t="n"/>
      <c r="K204" s="36">
        <f>IF(OR(B204="",G204="Concluída"),0,IF(G204="Atrasada",3000+MIN(Config!$B$5-E204,60),IF(G204="Vence em breve",2000-(E204-Config!$B$5),IF(G204="Em andamento",1000-MIN(E204-Config!$B$5,900),100)))-ROW()/100000)</f>
        <v>0</v>
      </c>
      <c r="L204" s="36">
        <f>IF(B204="","",IF(I204&lt;&gt;"",1,N(F204)))</f>
        <v/>
      </c>
    </row>
    <row r="205">
      <c r="A205" s="33" t="n"/>
      <c r="B205" s="31" t="n"/>
      <c r="C205" s="33" t="n"/>
      <c r="D205" s="34" t="n"/>
      <c r="E205" s="34" t="n"/>
      <c r="F205" s="35" t="n"/>
      <c r="G205" s="23">
        <f>IF(B205="","",IF(OR(F205&gt;=1,I205&lt;&gt;""),"Concluída",IF(E205="","Falta o prazo",IF(E205&lt;Config!$B$5,"Atrasada",IF(E205-Config!$B$5&lt;=Config!$B$6,"Vence em breve",IF(D205&lt;=Config!$B$5,"Em andamento","A iniciar"))))))</f>
        <v/>
      </c>
      <c r="H205" s="26">
        <f>IF(OR(B205="",G205="Concluída",E205=""),"",E205-Config!$B$5)</f>
        <v/>
      </c>
      <c r="I205" s="34" t="n"/>
      <c r="J205" s="31" t="n"/>
      <c r="K205" s="36">
        <f>IF(OR(B205="",G205="Concluída"),0,IF(G205="Atrasada",3000+MIN(Config!$B$5-E205,60),IF(G205="Vence em breve",2000-(E205-Config!$B$5),IF(G205="Em andamento",1000-MIN(E205-Config!$B$5,900),100)))-ROW()/100000)</f>
        <v>0</v>
      </c>
      <c r="L205" s="36">
        <f>IF(B205="","",IF(I205&lt;&gt;"",1,N(F205)))</f>
        <v/>
      </c>
    </row>
    <row r="206">
      <c r="A206" s="33" t="n"/>
      <c r="B206" s="31" t="n"/>
      <c r="C206" s="33" t="n"/>
      <c r="D206" s="34" t="n"/>
      <c r="E206" s="34" t="n"/>
      <c r="F206" s="35" t="n"/>
      <c r="G206" s="23">
        <f>IF(B206="","",IF(OR(F206&gt;=1,I206&lt;&gt;""),"Concluída",IF(E206="","Falta o prazo",IF(E206&lt;Config!$B$5,"Atrasada",IF(E206-Config!$B$5&lt;=Config!$B$6,"Vence em breve",IF(D206&lt;=Config!$B$5,"Em andamento","A iniciar"))))))</f>
        <v/>
      </c>
      <c r="H206" s="26">
        <f>IF(OR(B206="",G206="Concluída",E206=""),"",E206-Config!$B$5)</f>
        <v/>
      </c>
      <c r="I206" s="34" t="n"/>
      <c r="J206" s="31" t="n"/>
      <c r="K206" s="36">
        <f>IF(OR(B206="",G206="Concluída"),0,IF(G206="Atrasada",3000+MIN(Config!$B$5-E206,60),IF(G206="Vence em breve",2000-(E206-Config!$B$5),IF(G206="Em andamento",1000-MIN(E206-Config!$B$5,900),100)))-ROW()/100000)</f>
        <v>0</v>
      </c>
      <c r="L206" s="36">
        <f>IF(B206="","",IF(I206&lt;&gt;"",1,N(F206)))</f>
        <v/>
      </c>
    </row>
    <row r="207">
      <c r="A207" s="33" t="n"/>
      <c r="B207" s="31" t="n"/>
      <c r="C207" s="33" t="n"/>
      <c r="D207" s="34" t="n"/>
      <c r="E207" s="34" t="n"/>
      <c r="F207" s="35" t="n"/>
      <c r="G207" s="23">
        <f>IF(B207="","",IF(OR(F207&gt;=1,I207&lt;&gt;""),"Concluída",IF(E207="","Falta o prazo",IF(E207&lt;Config!$B$5,"Atrasada",IF(E207-Config!$B$5&lt;=Config!$B$6,"Vence em breve",IF(D207&lt;=Config!$B$5,"Em andamento","A iniciar"))))))</f>
        <v/>
      </c>
      <c r="H207" s="26">
        <f>IF(OR(B207="",G207="Concluída",E207=""),"",E207-Config!$B$5)</f>
        <v/>
      </c>
      <c r="I207" s="34" t="n"/>
      <c r="J207" s="31" t="n"/>
      <c r="K207" s="36">
        <f>IF(OR(B207="",G207="Concluída"),0,IF(G207="Atrasada",3000+MIN(Config!$B$5-E207,60),IF(G207="Vence em breve",2000-(E207-Config!$B$5),IF(G207="Em andamento",1000-MIN(E207-Config!$B$5,900),100)))-ROW()/100000)</f>
        <v>0</v>
      </c>
      <c r="L207" s="36">
        <f>IF(B207="","",IF(I207&lt;&gt;"",1,N(F207)))</f>
        <v/>
      </c>
    </row>
    <row r="208">
      <c r="A208" s="33" t="n"/>
      <c r="B208" s="31" t="n"/>
      <c r="C208" s="33" t="n"/>
      <c r="D208" s="34" t="n"/>
      <c r="E208" s="34" t="n"/>
      <c r="F208" s="35" t="n"/>
      <c r="G208" s="23">
        <f>IF(B208="","",IF(OR(F208&gt;=1,I208&lt;&gt;""),"Concluída",IF(E208="","Falta o prazo",IF(E208&lt;Config!$B$5,"Atrasada",IF(E208-Config!$B$5&lt;=Config!$B$6,"Vence em breve",IF(D208&lt;=Config!$B$5,"Em andamento","A iniciar"))))))</f>
        <v/>
      </c>
      <c r="H208" s="26">
        <f>IF(OR(B208="",G208="Concluída",E208=""),"",E208-Config!$B$5)</f>
        <v/>
      </c>
      <c r="I208" s="34" t="n"/>
      <c r="J208" s="31" t="n"/>
      <c r="K208" s="36">
        <f>IF(OR(B208="",G208="Concluída"),0,IF(G208="Atrasada",3000+MIN(Config!$B$5-E208,60),IF(G208="Vence em breve",2000-(E208-Config!$B$5),IF(G208="Em andamento",1000-MIN(E208-Config!$B$5,900),100)))-ROW()/100000)</f>
        <v>0</v>
      </c>
      <c r="L208" s="36">
        <f>IF(B208="","",IF(I208&lt;&gt;"",1,N(F208)))</f>
        <v/>
      </c>
    </row>
    <row r="209">
      <c r="A209" s="33" t="n"/>
      <c r="B209" s="31" t="n"/>
      <c r="C209" s="33" t="n"/>
      <c r="D209" s="34" t="n"/>
      <c r="E209" s="34" t="n"/>
      <c r="F209" s="35" t="n"/>
      <c r="G209" s="23">
        <f>IF(B209="","",IF(OR(F209&gt;=1,I209&lt;&gt;""),"Concluída",IF(E209="","Falta o prazo",IF(E209&lt;Config!$B$5,"Atrasada",IF(E209-Config!$B$5&lt;=Config!$B$6,"Vence em breve",IF(D209&lt;=Config!$B$5,"Em andamento","A iniciar"))))))</f>
        <v/>
      </c>
      <c r="H209" s="26">
        <f>IF(OR(B209="",G209="Concluída",E209=""),"",E209-Config!$B$5)</f>
        <v/>
      </c>
      <c r="I209" s="34" t="n"/>
      <c r="J209" s="31" t="n"/>
      <c r="K209" s="36">
        <f>IF(OR(B209="",G209="Concluída"),0,IF(G209="Atrasada",3000+MIN(Config!$B$5-E209,60),IF(G209="Vence em breve",2000-(E209-Config!$B$5),IF(G209="Em andamento",1000-MIN(E209-Config!$B$5,900),100)))-ROW()/100000)</f>
        <v>0</v>
      </c>
      <c r="L209" s="36">
        <f>IF(B209="","",IF(I209&lt;&gt;"",1,N(F209)))</f>
        <v/>
      </c>
    </row>
    <row r="210">
      <c r="A210" s="33" t="n"/>
      <c r="B210" s="31" t="n"/>
      <c r="C210" s="33" t="n"/>
      <c r="D210" s="34" t="n"/>
      <c r="E210" s="34" t="n"/>
      <c r="F210" s="35" t="n"/>
      <c r="G210" s="23">
        <f>IF(B210="","",IF(OR(F210&gt;=1,I210&lt;&gt;""),"Concluída",IF(E210="","Falta o prazo",IF(E210&lt;Config!$B$5,"Atrasada",IF(E210-Config!$B$5&lt;=Config!$B$6,"Vence em breve",IF(D210&lt;=Config!$B$5,"Em andamento","A iniciar"))))))</f>
        <v/>
      </c>
      <c r="H210" s="26">
        <f>IF(OR(B210="",G210="Concluída",E210=""),"",E210-Config!$B$5)</f>
        <v/>
      </c>
      <c r="I210" s="34" t="n"/>
      <c r="J210" s="31" t="n"/>
      <c r="K210" s="36">
        <f>IF(OR(B210="",G210="Concluída"),0,IF(G210="Atrasada",3000+MIN(Config!$B$5-E210,60),IF(G210="Vence em breve",2000-(E210-Config!$B$5),IF(G210="Em andamento",1000-MIN(E210-Config!$B$5,900),100)))-ROW()/100000)</f>
        <v>0</v>
      </c>
      <c r="L210" s="36">
        <f>IF(B210="","",IF(I210&lt;&gt;"",1,N(F210)))</f>
        <v/>
      </c>
    </row>
    <row r="211">
      <c r="A211" s="33" t="n"/>
      <c r="B211" s="31" t="n"/>
      <c r="C211" s="33" t="n"/>
      <c r="D211" s="34" t="n"/>
      <c r="E211" s="34" t="n"/>
      <c r="F211" s="35" t="n"/>
      <c r="G211" s="23">
        <f>IF(B211="","",IF(OR(F211&gt;=1,I211&lt;&gt;""),"Concluída",IF(E211="","Falta o prazo",IF(E211&lt;Config!$B$5,"Atrasada",IF(E211-Config!$B$5&lt;=Config!$B$6,"Vence em breve",IF(D211&lt;=Config!$B$5,"Em andamento","A iniciar"))))))</f>
        <v/>
      </c>
      <c r="H211" s="26">
        <f>IF(OR(B211="",G211="Concluída",E211=""),"",E211-Config!$B$5)</f>
        <v/>
      </c>
      <c r="I211" s="34" t="n"/>
      <c r="J211" s="31" t="n"/>
      <c r="K211" s="36">
        <f>IF(OR(B211="",G211="Concluída"),0,IF(G211="Atrasada",3000+MIN(Config!$B$5-E211,60),IF(G211="Vence em breve",2000-(E211-Config!$B$5),IF(G211="Em andamento",1000-MIN(E211-Config!$B$5,900),100)))-ROW()/100000)</f>
        <v>0</v>
      </c>
      <c r="L211" s="36">
        <f>IF(B211="","",IF(I211&lt;&gt;"",1,N(F211)))</f>
        <v/>
      </c>
    </row>
    <row r="212">
      <c r="A212" s="33" t="n"/>
      <c r="B212" s="31" t="n"/>
      <c r="C212" s="33" t="n"/>
      <c r="D212" s="34" t="n"/>
      <c r="E212" s="34" t="n"/>
      <c r="F212" s="35" t="n"/>
      <c r="G212" s="23">
        <f>IF(B212="","",IF(OR(F212&gt;=1,I212&lt;&gt;""),"Concluída",IF(E212="","Falta o prazo",IF(E212&lt;Config!$B$5,"Atrasada",IF(E212-Config!$B$5&lt;=Config!$B$6,"Vence em breve",IF(D212&lt;=Config!$B$5,"Em andamento","A iniciar"))))))</f>
        <v/>
      </c>
      <c r="H212" s="26">
        <f>IF(OR(B212="",G212="Concluída",E212=""),"",E212-Config!$B$5)</f>
        <v/>
      </c>
      <c r="I212" s="34" t="n"/>
      <c r="J212" s="31" t="n"/>
      <c r="K212" s="36">
        <f>IF(OR(B212="",G212="Concluída"),0,IF(G212="Atrasada",3000+MIN(Config!$B$5-E212,60),IF(G212="Vence em breve",2000-(E212-Config!$B$5),IF(G212="Em andamento",1000-MIN(E212-Config!$B$5,900),100)))-ROW()/100000)</f>
        <v>0</v>
      </c>
      <c r="L212" s="36">
        <f>IF(B212="","",IF(I212&lt;&gt;"",1,N(F212)))</f>
        <v/>
      </c>
    </row>
    <row r="213">
      <c r="A213" s="33" t="n"/>
      <c r="B213" s="31" t="n"/>
      <c r="C213" s="33" t="n"/>
      <c r="D213" s="34" t="n"/>
      <c r="E213" s="34" t="n"/>
      <c r="F213" s="35" t="n"/>
      <c r="G213" s="23">
        <f>IF(B213="","",IF(OR(F213&gt;=1,I213&lt;&gt;""),"Concluída",IF(E213="","Falta o prazo",IF(E213&lt;Config!$B$5,"Atrasada",IF(E213-Config!$B$5&lt;=Config!$B$6,"Vence em breve",IF(D213&lt;=Config!$B$5,"Em andamento","A iniciar"))))))</f>
        <v/>
      </c>
      <c r="H213" s="26">
        <f>IF(OR(B213="",G213="Concluída",E213=""),"",E213-Config!$B$5)</f>
        <v/>
      </c>
      <c r="I213" s="34" t="n"/>
      <c r="J213" s="31" t="n"/>
      <c r="K213" s="36">
        <f>IF(OR(B213="",G213="Concluída"),0,IF(G213="Atrasada",3000+MIN(Config!$B$5-E213,60),IF(G213="Vence em breve",2000-(E213-Config!$B$5),IF(G213="Em andamento",1000-MIN(E213-Config!$B$5,900),100)))-ROW()/100000)</f>
        <v>0</v>
      </c>
      <c r="L213" s="36">
        <f>IF(B213="","",IF(I213&lt;&gt;"",1,N(F213)))</f>
        <v/>
      </c>
    </row>
    <row r="214">
      <c r="A214" s="33" t="n"/>
      <c r="B214" s="31" t="n"/>
      <c r="C214" s="33" t="n"/>
      <c r="D214" s="34" t="n"/>
      <c r="E214" s="34" t="n"/>
      <c r="F214" s="35" t="n"/>
      <c r="G214" s="23">
        <f>IF(B214="","",IF(OR(F214&gt;=1,I214&lt;&gt;""),"Concluída",IF(E214="","Falta o prazo",IF(E214&lt;Config!$B$5,"Atrasada",IF(E214-Config!$B$5&lt;=Config!$B$6,"Vence em breve",IF(D214&lt;=Config!$B$5,"Em andamento","A iniciar"))))))</f>
        <v/>
      </c>
      <c r="H214" s="26">
        <f>IF(OR(B214="",G214="Concluída",E214=""),"",E214-Config!$B$5)</f>
        <v/>
      </c>
      <c r="I214" s="34" t="n"/>
      <c r="J214" s="31" t="n"/>
      <c r="K214" s="36">
        <f>IF(OR(B214="",G214="Concluída"),0,IF(G214="Atrasada",3000+MIN(Config!$B$5-E214,60),IF(G214="Vence em breve",2000-(E214-Config!$B$5),IF(G214="Em andamento",1000-MIN(E214-Config!$B$5,900),100)))-ROW()/100000)</f>
        <v>0</v>
      </c>
      <c r="L214" s="36">
        <f>IF(B214="","",IF(I214&lt;&gt;"",1,N(F214)))</f>
        <v/>
      </c>
    </row>
    <row r="215">
      <c r="A215" s="33" t="n"/>
      <c r="B215" s="31" t="n"/>
      <c r="C215" s="33" t="n"/>
      <c r="D215" s="34" t="n"/>
      <c r="E215" s="34" t="n"/>
      <c r="F215" s="35" t="n"/>
      <c r="G215" s="23">
        <f>IF(B215="","",IF(OR(F215&gt;=1,I215&lt;&gt;""),"Concluída",IF(E215="","Falta o prazo",IF(E215&lt;Config!$B$5,"Atrasada",IF(E215-Config!$B$5&lt;=Config!$B$6,"Vence em breve",IF(D215&lt;=Config!$B$5,"Em andamento","A iniciar"))))))</f>
        <v/>
      </c>
      <c r="H215" s="26">
        <f>IF(OR(B215="",G215="Concluída",E215=""),"",E215-Config!$B$5)</f>
        <v/>
      </c>
      <c r="I215" s="34" t="n"/>
      <c r="J215" s="31" t="n"/>
      <c r="K215" s="36">
        <f>IF(OR(B215="",G215="Concluída"),0,IF(G215="Atrasada",3000+MIN(Config!$B$5-E215,60),IF(G215="Vence em breve",2000-(E215-Config!$B$5),IF(G215="Em andamento",1000-MIN(E215-Config!$B$5,900),100)))-ROW()/100000)</f>
        <v>0</v>
      </c>
      <c r="L215" s="36">
        <f>IF(B215="","",IF(I215&lt;&gt;"",1,N(F215)))</f>
        <v/>
      </c>
    </row>
    <row r="216">
      <c r="A216" s="33" t="n"/>
      <c r="B216" s="31" t="n"/>
      <c r="C216" s="33" t="n"/>
      <c r="D216" s="34" t="n"/>
      <c r="E216" s="34" t="n"/>
      <c r="F216" s="35" t="n"/>
      <c r="G216" s="23">
        <f>IF(B216="","",IF(OR(F216&gt;=1,I216&lt;&gt;""),"Concluída",IF(E216="","Falta o prazo",IF(E216&lt;Config!$B$5,"Atrasada",IF(E216-Config!$B$5&lt;=Config!$B$6,"Vence em breve",IF(D216&lt;=Config!$B$5,"Em andamento","A iniciar"))))))</f>
        <v/>
      </c>
      <c r="H216" s="26">
        <f>IF(OR(B216="",G216="Concluída",E216=""),"",E216-Config!$B$5)</f>
        <v/>
      </c>
      <c r="I216" s="34" t="n"/>
      <c r="J216" s="31" t="n"/>
      <c r="K216" s="36">
        <f>IF(OR(B216="",G216="Concluída"),0,IF(G216="Atrasada",3000+MIN(Config!$B$5-E216,60),IF(G216="Vence em breve",2000-(E216-Config!$B$5),IF(G216="Em andamento",1000-MIN(E216-Config!$B$5,900),100)))-ROW()/100000)</f>
        <v>0</v>
      </c>
      <c r="L216" s="36">
        <f>IF(B216="","",IF(I216&lt;&gt;"",1,N(F216)))</f>
        <v/>
      </c>
    </row>
    <row r="217">
      <c r="A217" s="33" t="n"/>
      <c r="B217" s="31" t="n"/>
      <c r="C217" s="33" t="n"/>
      <c r="D217" s="34" t="n"/>
      <c r="E217" s="34" t="n"/>
      <c r="F217" s="35" t="n"/>
      <c r="G217" s="23">
        <f>IF(B217="","",IF(OR(F217&gt;=1,I217&lt;&gt;""),"Concluída",IF(E217="","Falta o prazo",IF(E217&lt;Config!$B$5,"Atrasada",IF(E217-Config!$B$5&lt;=Config!$B$6,"Vence em breve",IF(D217&lt;=Config!$B$5,"Em andamento","A iniciar"))))))</f>
        <v/>
      </c>
      <c r="H217" s="26">
        <f>IF(OR(B217="",G217="Concluída",E217=""),"",E217-Config!$B$5)</f>
        <v/>
      </c>
      <c r="I217" s="34" t="n"/>
      <c r="J217" s="31" t="n"/>
      <c r="K217" s="36">
        <f>IF(OR(B217="",G217="Concluída"),0,IF(G217="Atrasada",3000+MIN(Config!$B$5-E217,60),IF(G217="Vence em breve",2000-(E217-Config!$B$5),IF(G217="Em andamento",1000-MIN(E217-Config!$B$5,900),100)))-ROW()/100000)</f>
        <v>0</v>
      </c>
      <c r="L217" s="36">
        <f>IF(B217="","",IF(I217&lt;&gt;"",1,N(F217)))</f>
        <v/>
      </c>
    </row>
    <row r="218">
      <c r="A218" s="33" t="n"/>
      <c r="B218" s="31" t="n"/>
      <c r="C218" s="33" t="n"/>
      <c r="D218" s="34" t="n"/>
      <c r="E218" s="34" t="n"/>
      <c r="F218" s="35" t="n"/>
      <c r="G218" s="23">
        <f>IF(B218="","",IF(OR(F218&gt;=1,I218&lt;&gt;""),"Concluída",IF(E218="","Falta o prazo",IF(E218&lt;Config!$B$5,"Atrasada",IF(E218-Config!$B$5&lt;=Config!$B$6,"Vence em breve",IF(D218&lt;=Config!$B$5,"Em andamento","A iniciar"))))))</f>
        <v/>
      </c>
      <c r="H218" s="26">
        <f>IF(OR(B218="",G218="Concluída",E218=""),"",E218-Config!$B$5)</f>
        <v/>
      </c>
      <c r="I218" s="34" t="n"/>
      <c r="J218" s="31" t="n"/>
      <c r="K218" s="36">
        <f>IF(OR(B218="",G218="Concluída"),0,IF(G218="Atrasada",3000+MIN(Config!$B$5-E218,60),IF(G218="Vence em breve",2000-(E218-Config!$B$5),IF(G218="Em andamento",1000-MIN(E218-Config!$B$5,900),100)))-ROW()/100000)</f>
        <v>0</v>
      </c>
      <c r="L218" s="36">
        <f>IF(B218="","",IF(I218&lt;&gt;"",1,N(F218)))</f>
        <v/>
      </c>
    </row>
    <row r="219">
      <c r="A219" s="33" t="n"/>
      <c r="B219" s="31" t="n"/>
      <c r="C219" s="33" t="n"/>
      <c r="D219" s="34" t="n"/>
      <c r="E219" s="34" t="n"/>
      <c r="F219" s="35" t="n"/>
      <c r="G219" s="23">
        <f>IF(B219="","",IF(OR(F219&gt;=1,I219&lt;&gt;""),"Concluída",IF(E219="","Falta o prazo",IF(E219&lt;Config!$B$5,"Atrasada",IF(E219-Config!$B$5&lt;=Config!$B$6,"Vence em breve",IF(D219&lt;=Config!$B$5,"Em andamento","A iniciar"))))))</f>
        <v/>
      </c>
      <c r="H219" s="26">
        <f>IF(OR(B219="",G219="Concluída",E219=""),"",E219-Config!$B$5)</f>
        <v/>
      </c>
      <c r="I219" s="34" t="n"/>
      <c r="J219" s="31" t="n"/>
      <c r="K219" s="36">
        <f>IF(OR(B219="",G219="Concluída"),0,IF(G219="Atrasada",3000+MIN(Config!$B$5-E219,60),IF(G219="Vence em breve",2000-(E219-Config!$B$5),IF(G219="Em andamento",1000-MIN(E219-Config!$B$5,900),100)))-ROW()/100000)</f>
        <v>0</v>
      </c>
      <c r="L219" s="36">
        <f>IF(B219="","",IF(I219&lt;&gt;"",1,N(F219)))</f>
        <v/>
      </c>
    </row>
    <row r="220">
      <c r="A220" s="33" t="n"/>
      <c r="B220" s="31" t="n"/>
      <c r="C220" s="33" t="n"/>
      <c r="D220" s="34" t="n"/>
      <c r="E220" s="34" t="n"/>
      <c r="F220" s="35" t="n"/>
      <c r="G220" s="23">
        <f>IF(B220="","",IF(OR(F220&gt;=1,I220&lt;&gt;""),"Concluída",IF(E220="","Falta o prazo",IF(E220&lt;Config!$B$5,"Atrasada",IF(E220-Config!$B$5&lt;=Config!$B$6,"Vence em breve",IF(D220&lt;=Config!$B$5,"Em andamento","A iniciar"))))))</f>
        <v/>
      </c>
      <c r="H220" s="26">
        <f>IF(OR(B220="",G220="Concluída",E220=""),"",E220-Config!$B$5)</f>
        <v/>
      </c>
      <c r="I220" s="34" t="n"/>
      <c r="J220" s="31" t="n"/>
      <c r="K220" s="36">
        <f>IF(OR(B220="",G220="Concluída"),0,IF(G220="Atrasada",3000+MIN(Config!$B$5-E220,60),IF(G220="Vence em breve",2000-(E220-Config!$B$5),IF(G220="Em andamento",1000-MIN(E220-Config!$B$5,900),100)))-ROW()/100000)</f>
        <v>0</v>
      </c>
      <c r="L220" s="36">
        <f>IF(B220="","",IF(I220&lt;&gt;"",1,N(F220)))</f>
        <v/>
      </c>
    </row>
    <row r="221">
      <c r="A221" s="33" t="n"/>
      <c r="B221" s="31" t="n"/>
      <c r="C221" s="33" t="n"/>
      <c r="D221" s="34" t="n"/>
      <c r="E221" s="34" t="n"/>
      <c r="F221" s="35" t="n"/>
      <c r="G221" s="23">
        <f>IF(B221="","",IF(OR(F221&gt;=1,I221&lt;&gt;""),"Concluída",IF(E221="","Falta o prazo",IF(E221&lt;Config!$B$5,"Atrasada",IF(E221-Config!$B$5&lt;=Config!$B$6,"Vence em breve",IF(D221&lt;=Config!$B$5,"Em andamento","A iniciar"))))))</f>
        <v/>
      </c>
      <c r="H221" s="26">
        <f>IF(OR(B221="",G221="Concluída",E221=""),"",E221-Config!$B$5)</f>
        <v/>
      </c>
      <c r="I221" s="34" t="n"/>
      <c r="J221" s="31" t="n"/>
      <c r="K221" s="36">
        <f>IF(OR(B221="",G221="Concluída"),0,IF(G221="Atrasada",3000+MIN(Config!$B$5-E221,60),IF(G221="Vence em breve",2000-(E221-Config!$B$5),IF(G221="Em andamento",1000-MIN(E221-Config!$B$5,900),100)))-ROW()/100000)</f>
        <v>0</v>
      </c>
      <c r="L221" s="36">
        <f>IF(B221="","",IF(I221&lt;&gt;"",1,N(F221)))</f>
        <v/>
      </c>
    </row>
    <row r="222">
      <c r="A222" s="33" t="n"/>
      <c r="B222" s="31" t="n"/>
      <c r="C222" s="33" t="n"/>
      <c r="D222" s="34" t="n"/>
      <c r="E222" s="34" t="n"/>
      <c r="F222" s="35" t="n"/>
      <c r="G222" s="23">
        <f>IF(B222="","",IF(OR(F222&gt;=1,I222&lt;&gt;""),"Concluída",IF(E222="","Falta o prazo",IF(E222&lt;Config!$B$5,"Atrasada",IF(E222-Config!$B$5&lt;=Config!$B$6,"Vence em breve",IF(D222&lt;=Config!$B$5,"Em andamento","A iniciar"))))))</f>
        <v/>
      </c>
      <c r="H222" s="26">
        <f>IF(OR(B222="",G222="Concluída",E222=""),"",E222-Config!$B$5)</f>
        <v/>
      </c>
      <c r="I222" s="34" t="n"/>
      <c r="J222" s="31" t="n"/>
      <c r="K222" s="36">
        <f>IF(OR(B222="",G222="Concluída"),0,IF(G222="Atrasada",3000+MIN(Config!$B$5-E222,60),IF(G222="Vence em breve",2000-(E222-Config!$B$5),IF(G222="Em andamento",1000-MIN(E222-Config!$B$5,900),100)))-ROW()/100000)</f>
        <v>0</v>
      </c>
      <c r="L222" s="36">
        <f>IF(B222="","",IF(I222&lt;&gt;"",1,N(F222)))</f>
        <v/>
      </c>
    </row>
    <row r="223">
      <c r="A223" s="33" t="n"/>
      <c r="B223" s="31" t="n"/>
      <c r="C223" s="33" t="n"/>
      <c r="D223" s="34" t="n"/>
      <c r="E223" s="34" t="n"/>
      <c r="F223" s="35" t="n"/>
      <c r="G223" s="23">
        <f>IF(B223="","",IF(OR(F223&gt;=1,I223&lt;&gt;""),"Concluída",IF(E223="","Falta o prazo",IF(E223&lt;Config!$B$5,"Atrasada",IF(E223-Config!$B$5&lt;=Config!$B$6,"Vence em breve",IF(D223&lt;=Config!$B$5,"Em andamento","A iniciar"))))))</f>
        <v/>
      </c>
      <c r="H223" s="26">
        <f>IF(OR(B223="",G223="Concluída",E223=""),"",E223-Config!$B$5)</f>
        <v/>
      </c>
      <c r="I223" s="34" t="n"/>
      <c r="J223" s="31" t="n"/>
      <c r="K223" s="36">
        <f>IF(OR(B223="",G223="Concluída"),0,IF(G223="Atrasada",3000+MIN(Config!$B$5-E223,60),IF(G223="Vence em breve",2000-(E223-Config!$B$5),IF(G223="Em andamento",1000-MIN(E223-Config!$B$5,900),100)))-ROW()/100000)</f>
        <v>0</v>
      </c>
      <c r="L223" s="36">
        <f>IF(B223="","",IF(I223&lt;&gt;"",1,N(F223)))</f>
        <v/>
      </c>
    </row>
    <row r="224">
      <c r="A224" s="33" t="n"/>
      <c r="B224" s="31" t="n"/>
      <c r="C224" s="33" t="n"/>
      <c r="D224" s="34" t="n"/>
      <c r="E224" s="34" t="n"/>
      <c r="F224" s="35" t="n"/>
      <c r="G224" s="23">
        <f>IF(B224="","",IF(OR(F224&gt;=1,I224&lt;&gt;""),"Concluída",IF(E224="","Falta o prazo",IF(E224&lt;Config!$B$5,"Atrasada",IF(E224-Config!$B$5&lt;=Config!$B$6,"Vence em breve",IF(D224&lt;=Config!$B$5,"Em andamento","A iniciar"))))))</f>
        <v/>
      </c>
      <c r="H224" s="26">
        <f>IF(OR(B224="",G224="Concluída",E224=""),"",E224-Config!$B$5)</f>
        <v/>
      </c>
      <c r="I224" s="34" t="n"/>
      <c r="J224" s="31" t="n"/>
      <c r="K224" s="36">
        <f>IF(OR(B224="",G224="Concluída"),0,IF(G224="Atrasada",3000+MIN(Config!$B$5-E224,60),IF(G224="Vence em breve",2000-(E224-Config!$B$5),IF(G224="Em andamento",1000-MIN(E224-Config!$B$5,900),100)))-ROW()/100000)</f>
        <v>0</v>
      </c>
      <c r="L224" s="36">
        <f>IF(B224="","",IF(I224&lt;&gt;"",1,N(F224)))</f>
        <v/>
      </c>
    </row>
    <row r="225">
      <c r="A225" s="33" t="n"/>
      <c r="B225" s="31" t="n"/>
      <c r="C225" s="33" t="n"/>
      <c r="D225" s="34" t="n"/>
      <c r="E225" s="34" t="n"/>
      <c r="F225" s="35" t="n"/>
      <c r="G225" s="23">
        <f>IF(B225="","",IF(OR(F225&gt;=1,I225&lt;&gt;""),"Concluída",IF(E225="","Falta o prazo",IF(E225&lt;Config!$B$5,"Atrasada",IF(E225-Config!$B$5&lt;=Config!$B$6,"Vence em breve",IF(D225&lt;=Config!$B$5,"Em andamento","A iniciar"))))))</f>
        <v/>
      </c>
      <c r="H225" s="26">
        <f>IF(OR(B225="",G225="Concluída",E225=""),"",E225-Config!$B$5)</f>
        <v/>
      </c>
      <c r="I225" s="34" t="n"/>
      <c r="J225" s="31" t="n"/>
      <c r="K225" s="36">
        <f>IF(OR(B225="",G225="Concluída"),0,IF(G225="Atrasada",3000+MIN(Config!$B$5-E225,60),IF(G225="Vence em breve",2000-(E225-Config!$B$5),IF(G225="Em andamento",1000-MIN(E225-Config!$B$5,900),100)))-ROW()/100000)</f>
        <v>0</v>
      </c>
      <c r="L225" s="36">
        <f>IF(B225="","",IF(I225&lt;&gt;"",1,N(F225)))</f>
        <v/>
      </c>
    </row>
    <row r="226">
      <c r="A226" s="33" t="n"/>
      <c r="B226" s="31" t="n"/>
      <c r="C226" s="33" t="n"/>
      <c r="D226" s="34" t="n"/>
      <c r="E226" s="34" t="n"/>
      <c r="F226" s="35" t="n"/>
      <c r="G226" s="23">
        <f>IF(B226="","",IF(OR(F226&gt;=1,I226&lt;&gt;""),"Concluída",IF(E226="","Falta o prazo",IF(E226&lt;Config!$B$5,"Atrasada",IF(E226-Config!$B$5&lt;=Config!$B$6,"Vence em breve",IF(D226&lt;=Config!$B$5,"Em andamento","A iniciar"))))))</f>
        <v/>
      </c>
      <c r="H226" s="26">
        <f>IF(OR(B226="",G226="Concluída",E226=""),"",E226-Config!$B$5)</f>
        <v/>
      </c>
      <c r="I226" s="34" t="n"/>
      <c r="J226" s="31" t="n"/>
      <c r="K226" s="36">
        <f>IF(OR(B226="",G226="Concluída"),0,IF(G226="Atrasada",3000+MIN(Config!$B$5-E226,60),IF(G226="Vence em breve",2000-(E226-Config!$B$5),IF(G226="Em andamento",1000-MIN(E226-Config!$B$5,900),100)))-ROW()/100000)</f>
        <v>0</v>
      </c>
      <c r="L226" s="36">
        <f>IF(B226="","",IF(I226&lt;&gt;"",1,N(F226)))</f>
        <v/>
      </c>
    </row>
    <row r="227">
      <c r="A227" s="33" t="n"/>
      <c r="B227" s="31" t="n"/>
      <c r="C227" s="33" t="n"/>
      <c r="D227" s="34" t="n"/>
      <c r="E227" s="34" t="n"/>
      <c r="F227" s="35" t="n"/>
      <c r="G227" s="23">
        <f>IF(B227="","",IF(OR(F227&gt;=1,I227&lt;&gt;""),"Concluída",IF(E227="","Falta o prazo",IF(E227&lt;Config!$B$5,"Atrasada",IF(E227-Config!$B$5&lt;=Config!$B$6,"Vence em breve",IF(D227&lt;=Config!$B$5,"Em andamento","A iniciar"))))))</f>
        <v/>
      </c>
      <c r="H227" s="26">
        <f>IF(OR(B227="",G227="Concluída",E227=""),"",E227-Config!$B$5)</f>
        <v/>
      </c>
      <c r="I227" s="34" t="n"/>
      <c r="J227" s="31" t="n"/>
      <c r="K227" s="36">
        <f>IF(OR(B227="",G227="Concluída"),0,IF(G227="Atrasada",3000+MIN(Config!$B$5-E227,60),IF(G227="Vence em breve",2000-(E227-Config!$B$5),IF(G227="Em andamento",1000-MIN(E227-Config!$B$5,900),100)))-ROW()/100000)</f>
        <v>0</v>
      </c>
      <c r="L227" s="36">
        <f>IF(B227="","",IF(I227&lt;&gt;"",1,N(F227)))</f>
        <v/>
      </c>
    </row>
    <row r="228">
      <c r="A228" s="33" t="n"/>
      <c r="B228" s="31" t="n"/>
      <c r="C228" s="33" t="n"/>
      <c r="D228" s="34" t="n"/>
      <c r="E228" s="34" t="n"/>
      <c r="F228" s="35" t="n"/>
      <c r="G228" s="23">
        <f>IF(B228="","",IF(OR(F228&gt;=1,I228&lt;&gt;""),"Concluída",IF(E228="","Falta o prazo",IF(E228&lt;Config!$B$5,"Atrasada",IF(E228-Config!$B$5&lt;=Config!$B$6,"Vence em breve",IF(D228&lt;=Config!$B$5,"Em andamento","A iniciar"))))))</f>
        <v/>
      </c>
      <c r="H228" s="26">
        <f>IF(OR(B228="",G228="Concluída",E228=""),"",E228-Config!$B$5)</f>
        <v/>
      </c>
      <c r="I228" s="34" t="n"/>
      <c r="J228" s="31" t="n"/>
      <c r="K228" s="36">
        <f>IF(OR(B228="",G228="Concluída"),0,IF(G228="Atrasada",3000+MIN(Config!$B$5-E228,60),IF(G228="Vence em breve",2000-(E228-Config!$B$5),IF(G228="Em andamento",1000-MIN(E228-Config!$B$5,900),100)))-ROW()/100000)</f>
        <v>0</v>
      </c>
      <c r="L228" s="36">
        <f>IF(B228="","",IF(I228&lt;&gt;"",1,N(F228)))</f>
        <v/>
      </c>
    </row>
    <row r="229">
      <c r="A229" s="33" t="n"/>
      <c r="B229" s="31" t="n"/>
      <c r="C229" s="33" t="n"/>
      <c r="D229" s="34" t="n"/>
      <c r="E229" s="34" t="n"/>
      <c r="F229" s="35" t="n"/>
      <c r="G229" s="23">
        <f>IF(B229="","",IF(OR(F229&gt;=1,I229&lt;&gt;""),"Concluída",IF(E229="","Falta o prazo",IF(E229&lt;Config!$B$5,"Atrasada",IF(E229-Config!$B$5&lt;=Config!$B$6,"Vence em breve",IF(D229&lt;=Config!$B$5,"Em andamento","A iniciar"))))))</f>
        <v/>
      </c>
      <c r="H229" s="26">
        <f>IF(OR(B229="",G229="Concluída",E229=""),"",E229-Config!$B$5)</f>
        <v/>
      </c>
      <c r="I229" s="34" t="n"/>
      <c r="J229" s="31" t="n"/>
      <c r="K229" s="36">
        <f>IF(OR(B229="",G229="Concluída"),0,IF(G229="Atrasada",3000+MIN(Config!$B$5-E229,60),IF(G229="Vence em breve",2000-(E229-Config!$B$5),IF(G229="Em andamento",1000-MIN(E229-Config!$B$5,900),100)))-ROW()/100000)</f>
        <v>0</v>
      </c>
      <c r="L229" s="36">
        <f>IF(B229="","",IF(I229&lt;&gt;"",1,N(F229)))</f>
        <v/>
      </c>
    </row>
    <row r="230">
      <c r="A230" s="33" t="n"/>
      <c r="B230" s="31" t="n"/>
      <c r="C230" s="33" t="n"/>
      <c r="D230" s="34" t="n"/>
      <c r="E230" s="34" t="n"/>
      <c r="F230" s="35" t="n"/>
      <c r="G230" s="23">
        <f>IF(B230="","",IF(OR(F230&gt;=1,I230&lt;&gt;""),"Concluída",IF(E230="","Falta o prazo",IF(E230&lt;Config!$B$5,"Atrasada",IF(E230-Config!$B$5&lt;=Config!$B$6,"Vence em breve",IF(D230&lt;=Config!$B$5,"Em andamento","A iniciar"))))))</f>
        <v/>
      </c>
      <c r="H230" s="26">
        <f>IF(OR(B230="",G230="Concluída",E230=""),"",E230-Config!$B$5)</f>
        <v/>
      </c>
      <c r="I230" s="34" t="n"/>
      <c r="J230" s="31" t="n"/>
      <c r="K230" s="36">
        <f>IF(OR(B230="",G230="Concluída"),0,IF(G230="Atrasada",3000+MIN(Config!$B$5-E230,60),IF(G230="Vence em breve",2000-(E230-Config!$B$5),IF(G230="Em andamento",1000-MIN(E230-Config!$B$5,900),100)))-ROW()/100000)</f>
        <v>0</v>
      </c>
      <c r="L230" s="36">
        <f>IF(B230="","",IF(I230&lt;&gt;"",1,N(F230)))</f>
        <v/>
      </c>
    </row>
    <row r="231">
      <c r="A231" s="33" t="n"/>
      <c r="B231" s="31" t="n"/>
      <c r="C231" s="33" t="n"/>
      <c r="D231" s="34" t="n"/>
      <c r="E231" s="34" t="n"/>
      <c r="F231" s="35" t="n"/>
      <c r="G231" s="23">
        <f>IF(B231="","",IF(OR(F231&gt;=1,I231&lt;&gt;""),"Concluída",IF(E231="","Falta o prazo",IF(E231&lt;Config!$B$5,"Atrasada",IF(E231-Config!$B$5&lt;=Config!$B$6,"Vence em breve",IF(D231&lt;=Config!$B$5,"Em andamento","A iniciar"))))))</f>
        <v/>
      </c>
      <c r="H231" s="26">
        <f>IF(OR(B231="",G231="Concluída",E231=""),"",E231-Config!$B$5)</f>
        <v/>
      </c>
      <c r="I231" s="34" t="n"/>
      <c r="J231" s="31" t="n"/>
      <c r="K231" s="36">
        <f>IF(OR(B231="",G231="Concluída"),0,IF(G231="Atrasada",3000+MIN(Config!$B$5-E231,60),IF(G231="Vence em breve",2000-(E231-Config!$B$5),IF(G231="Em andamento",1000-MIN(E231-Config!$B$5,900),100)))-ROW()/100000)</f>
        <v>0</v>
      </c>
      <c r="L231" s="36">
        <f>IF(B231="","",IF(I231&lt;&gt;"",1,N(F231)))</f>
        <v/>
      </c>
    </row>
    <row r="232">
      <c r="A232" s="33" t="n"/>
      <c r="B232" s="31" t="n"/>
      <c r="C232" s="33" t="n"/>
      <c r="D232" s="34" t="n"/>
      <c r="E232" s="34" t="n"/>
      <c r="F232" s="35" t="n"/>
      <c r="G232" s="23">
        <f>IF(B232="","",IF(OR(F232&gt;=1,I232&lt;&gt;""),"Concluída",IF(E232="","Falta o prazo",IF(E232&lt;Config!$B$5,"Atrasada",IF(E232-Config!$B$5&lt;=Config!$B$6,"Vence em breve",IF(D232&lt;=Config!$B$5,"Em andamento","A iniciar"))))))</f>
        <v/>
      </c>
      <c r="H232" s="26">
        <f>IF(OR(B232="",G232="Concluída",E232=""),"",E232-Config!$B$5)</f>
        <v/>
      </c>
      <c r="I232" s="34" t="n"/>
      <c r="J232" s="31" t="n"/>
      <c r="K232" s="36">
        <f>IF(OR(B232="",G232="Concluída"),0,IF(G232="Atrasada",3000+MIN(Config!$B$5-E232,60),IF(G232="Vence em breve",2000-(E232-Config!$B$5),IF(G232="Em andamento",1000-MIN(E232-Config!$B$5,900),100)))-ROW()/100000)</f>
        <v>0</v>
      </c>
      <c r="L232" s="36">
        <f>IF(B232="","",IF(I232&lt;&gt;"",1,N(F232)))</f>
        <v/>
      </c>
    </row>
    <row r="233">
      <c r="A233" s="33" t="n"/>
      <c r="B233" s="31" t="n"/>
      <c r="C233" s="33" t="n"/>
      <c r="D233" s="34" t="n"/>
      <c r="E233" s="34" t="n"/>
      <c r="F233" s="35" t="n"/>
      <c r="G233" s="23">
        <f>IF(B233="","",IF(OR(F233&gt;=1,I233&lt;&gt;""),"Concluída",IF(E233="","Falta o prazo",IF(E233&lt;Config!$B$5,"Atrasada",IF(E233-Config!$B$5&lt;=Config!$B$6,"Vence em breve",IF(D233&lt;=Config!$B$5,"Em andamento","A iniciar"))))))</f>
        <v/>
      </c>
      <c r="H233" s="26">
        <f>IF(OR(B233="",G233="Concluída",E233=""),"",E233-Config!$B$5)</f>
        <v/>
      </c>
      <c r="I233" s="34" t="n"/>
      <c r="J233" s="31" t="n"/>
      <c r="K233" s="36">
        <f>IF(OR(B233="",G233="Concluída"),0,IF(G233="Atrasada",3000+MIN(Config!$B$5-E233,60),IF(G233="Vence em breve",2000-(E233-Config!$B$5),IF(G233="Em andamento",1000-MIN(E233-Config!$B$5,900),100)))-ROW()/100000)</f>
        <v>0</v>
      </c>
      <c r="L233" s="36">
        <f>IF(B233="","",IF(I233&lt;&gt;"",1,N(F233)))</f>
        <v/>
      </c>
    </row>
    <row r="234">
      <c r="A234" s="33" t="n"/>
      <c r="B234" s="31" t="n"/>
      <c r="C234" s="33" t="n"/>
      <c r="D234" s="34" t="n"/>
      <c r="E234" s="34" t="n"/>
      <c r="F234" s="35" t="n"/>
      <c r="G234" s="23">
        <f>IF(B234="","",IF(OR(F234&gt;=1,I234&lt;&gt;""),"Concluída",IF(E234="","Falta o prazo",IF(E234&lt;Config!$B$5,"Atrasada",IF(E234-Config!$B$5&lt;=Config!$B$6,"Vence em breve",IF(D234&lt;=Config!$B$5,"Em andamento","A iniciar"))))))</f>
        <v/>
      </c>
      <c r="H234" s="26">
        <f>IF(OR(B234="",G234="Concluída",E234=""),"",E234-Config!$B$5)</f>
        <v/>
      </c>
      <c r="I234" s="34" t="n"/>
      <c r="J234" s="31" t="n"/>
      <c r="K234" s="36">
        <f>IF(OR(B234="",G234="Concluída"),0,IF(G234="Atrasada",3000+MIN(Config!$B$5-E234,60),IF(G234="Vence em breve",2000-(E234-Config!$B$5),IF(G234="Em andamento",1000-MIN(E234-Config!$B$5,900),100)))-ROW()/100000)</f>
        <v>0</v>
      </c>
      <c r="L234" s="36">
        <f>IF(B234="","",IF(I234&lt;&gt;"",1,N(F234)))</f>
        <v/>
      </c>
    </row>
    <row r="235">
      <c r="A235" s="33" t="n"/>
      <c r="B235" s="31" t="n"/>
      <c r="C235" s="33" t="n"/>
      <c r="D235" s="34" t="n"/>
      <c r="E235" s="34" t="n"/>
      <c r="F235" s="35" t="n"/>
      <c r="G235" s="23">
        <f>IF(B235="","",IF(OR(F235&gt;=1,I235&lt;&gt;""),"Concluída",IF(E235="","Falta o prazo",IF(E235&lt;Config!$B$5,"Atrasada",IF(E235-Config!$B$5&lt;=Config!$B$6,"Vence em breve",IF(D235&lt;=Config!$B$5,"Em andamento","A iniciar"))))))</f>
        <v/>
      </c>
      <c r="H235" s="26">
        <f>IF(OR(B235="",G235="Concluída",E235=""),"",E235-Config!$B$5)</f>
        <v/>
      </c>
      <c r="I235" s="34" t="n"/>
      <c r="J235" s="31" t="n"/>
      <c r="K235" s="36">
        <f>IF(OR(B235="",G235="Concluída"),0,IF(G235="Atrasada",3000+MIN(Config!$B$5-E235,60),IF(G235="Vence em breve",2000-(E235-Config!$B$5),IF(G235="Em andamento",1000-MIN(E235-Config!$B$5,900),100)))-ROW()/100000)</f>
        <v>0</v>
      </c>
      <c r="L235" s="36">
        <f>IF(B235="","",IF(I235&lt;&gt;"",1,N(F235)))</f>
        <v/>
      </c>
    </row>
    <row r="236">
      <c r="A236" s="33" t="n"/>
      <c r="B236" s="31" t="n"/>
      <c r="C236" s="33" t="n"/>
      <c r="D236" s="34" t="n"/>
      <c r="E236" s="34" t="n"/>
      <c r="F236" s="35" t="n"/>
      <c r="G236" s="23">
        <f>IF(B236="","",IF(OR(F236&gt;=1,I236&lt;&gt;""),"Concluída",IF(E236="","Falta o prazo",IF(E236&lt;Config!$B$5,"Atrasada",IF(E236-Config!$B$5&lt;=Config!$B$6,"Vence em breve",IF(D236&lt;=Config!$B$5,"Em andamento","A iniciar"))))))</f>
        <v/>
      </c>
      <c r="H236" s="26">
        <f>IF(OR(B236="",G236="Concluída",E236=""),"",E236-Config!$B$5)</f>
        <v/>
      </c>
      <c r="I236" s="34" t="n"/>
      <c r="J236" s="31" t="n"/>
      <c r="K236" s="36">
        <f>IF(OR(B236="",G236="Concluída"),0,IF(G236="Atrasada",3000+MIN(Config!$B$5-E236,60),IF(G236="Vence em breve",2000-(E236-Config!$B$5),IF(G236="Em andamento",1000-MIN(E236-Config!$B$5,900),100)))-ROW()/100000)</f>
        <v>0</v>
      </c>
      <c r="L236" s="36">
        <f>IF(B236="","",IF(I236&lt;&gt;"",1,N(F236)))</f>
        <v/>
      </c>
    </row>
    <row r="237">
      <c r="A237" s="33" t="n"/>
      <c r="B237" s="31" t="n"/>
      <c r="C237" s="33" t="n"/>
      <c r="D237" s="34" t="n"/>
      <c r="E237" s="34" t="n"/>
      <c r="F237" s="35" t="n"/>
      <c r="G237" s="23">
        <f>IF(B237="","",IF(OR(F237&gt;=1,I237&lt;&gt;""),"Concluída",IF(E237="","Falta o prazo",IF(E237&lt;Config!$B$5,"Atrasada",IF(E237-Config!$B$5&lt;=Config!$B$6,"Vence em breve",IF(D237&lt;=Config!$B$5,"Em andamento","A iniciar"))))))</f>
        <v/>
      </c>
      <c r="H237" s="26">
        <f>IF(OR(B237="",G237="Concluída",E237=""),"",E237-Config!$B$5)</f>
        <v/>
      </c>
      <c r="I237" s="34" t="n"/>
      <c r="J237" s="31" t="n"/>
      <c r="K237" s="36">
        <f>IF(OR(B237="",G237="Concluída"),0,IF(G237="Atrasada",3000+MIN(Config!$B$5-E237,60),IF(G237="Vence em breve",2000-(E237-Config!$B$5),IF(G237="Em andamento",1000-MIN(E237-Config!$B$5,900),100)))-ROW()/100000)</f>
        <v>0</v>
      </c>
      <c r="L237" s="36">
        <f>IF(B237="","",IF(I237&lt;&gt;"",1,N(F237)))</f>
        <v/>
      </c>
    </row>
    <row r="238">
      <c r="A238" s="33" t="n"/>
      <c r="B238" s="31" t="n"/>
      <c r="C238" s="33" t="n"/>
      <c r="D238" s="34" t="n"/>
      <c r="E238" s="34" t="n"/>
      <c r="F238" s="35" t="n"/>
      <c r="G238" s="23">
        <f>IF(B238="","",IF(OR(F238&gt;=1,I238&lt;&gt;""),"Concluída",IF(E238="","Falta o prazo",IF(E238&lt;Config!$B$5,"Atrasada",IF(E238-Config!$B$5&lt;=Config!$B$6,"Vence em breve",IF(D238&lt;=Config!$B$5,"Em andamento","A iniciar"))))))</f>
        <v/>
      </c>
      <c r="H238" s="26">
        <f>IF(OR(B238="",G238="Concluída",E238=""),"",E238-Config!$B$5)</f>
        <v/>
      </c>
      <c r="I238" s="34" t="n"/>
      <c r="J238" s="31" t="n"/>
      <c r="K238" s="36">
        <f>IF(OR(B238="",G238="Concluída"),0,IF(G238="Atrasada",3000+MIN(Config!$B$5-E238,60),IF(G238="Vence em breve",2000-(E238-Config!$B$5),IF(G238="Em andamento",1000-MIN(E238-Config!$B$5,900),100)))-ROW()/100000)</f>
        <v>0</v>
      </c>
      <c r="L238" s="36">
        <f>IF(B238="","",IF(I238&lt;&gt;"",1,N(F238)))</f>
        <v/>
      </c>
    </row>
    <row r="239">
      <c r="A239" s="33" t="n"/>
      <c r="B239" s="31" t="n"/>
      <c r="C239" s="33" t="n"/>
      <c r="D239" s="34" t="n"/>
      <c r="E239" s="34" t="n"/>
      <c r="F239" s="35" t="n"/>
      <c r="G239" s="23">
        <f>IF(B239="","",IF(OR(F239&gt;=1,I239&lt;&gt;""),"Concluída",IF(E239="","Falta o prazo",IF(E239&lt;Config!$B$5,"Atrasada",IF(E239-Config!$B$5&lt;=Config!$B$6,"Vence em breve",IF(D239&lt;=Config!$B$5,"Em andamento","A iniciar"))))))</f>
        <v/>
      </c>
      <c r="H239" s="26">
        <f>IF(OR(B239="",G239="Concluída",E239=""),"",E239-Config!$B$5)</f>
        <v/>
      </c>
      <c r="I239" s="34" t="n"/>
      <c r="J239" s="31" t="n"/>
      <c r="K239" s="36">
        <f>IF(OR(B239="",G239="Concluída"),0,IF(G239="Atrasada",3000+MIN(Config!$B$5-E239,60),IF(G239="Vence em breve",2000-(E239-Config!$B$5),IF(G239="Em andamento",1000-MIN(E239-Config!$B$5,900),100)))-ROW()/100000)</f>
        <v>0</v>
      </c>
      <c r="L239" s="36">
        <f>IF(B239="","",IF(I239&lt;&gt;"",1,N(F239)))</f>
        <v/>
      </c>
    </row>
    <row r="240">
      <c r="A240" s="33" t="n"/>
      <c r="B240" s="31" t="n"/>
      <c r="C240" s="33" t="n"/>
      <c r="D240" s="34" t="n"/>
      <c r="E240" s="34" t="n"/>
      <c r="F240" s="35" t="n"/>
      <c r="G240" s="23">
        <f>IF(B240="","",IF(OR(F240&gt;=1,I240&lt;&gt;""),"Concluída",IF(E240="","Falta o prazo",IF(E240&lt;Config!$B$5,"Atrasada",IF(E240-Config!$B$5&lt;=Config!$B$6,"Vence em breve",IF(D240&lt;=Config!$B$5,"Em andamento","A iniciar"))))))</f>
        <v/>
      </c>
      <c r="H240" s="26">
        <f>IF(OR(B240="",G240="Concluída",E240=""),"",E240-Config!$B$5)</f>
        <v/>
      </c>
      <c r="I240" s="34" t="n"/>
      <c r="J240" s="31" t="n"/>
      <c r="K240" s="36">
        <f>IF(OR(B240="",G240="Concluída"),0,IF(G240="Atrasada",3000+MIN(Config!$B$5-E240,60),IF(G240="Vence em breve",2000-(E240-Config!$B$5),IF(G240="Em andamento",1000-MIN(E240-Config!$B$5,900),100)))-ROW()/100000)</f>
        <v>0</v>
      </c>
      <c r="L240" s="36">
        <f>IF(B240="","",IF(I240&lt;&gt;"",1,N(F240)))</f>
        <v/>
      </c>
    </row>
    <row r="241">
      <c r="A241" s="33" t="n"/>
      <c r="B241" s="31" t="n"/>
      <c r="C241" s="33" t="n"/>
      <c r="D241" s="34" t="n"/>
      <c r="E241" s="34" t="n"/>
      <c r="F241" s="35" t="n"/>
      <c r="G241" s="23">
        <f>IF(B241="","",IF(OR(F241&gt;=1,I241&lt;&gt;""),"Concluída",IF(E241="","Falta o prazo",IF(E241&lt;Config!$B$5,"Atrasada",IF(E241-Config!$B$5&lt;=Config!$B$6,"Vence em breve",IF(D241&lt;=Config!$B$5,"Em andamento","A iniciar"))))))</f>
        <v/>
      </c>
      <c r="H241" s="26">
        <f>IF(OR(B241="",G241="Concluída",E241=""),"",E241-Config!$B$5)</f>
        <v/>
      </c>
      <c r="I241" s="34" t="n"/>
      <c r="J241" s="31" t="n"/>
      <c r="K241" s="36">
        <f>IF(OR(B241="",G241="Concluída"),0,IF(G241="Atrasada",3000+MIN(Config!$B$5-E241,60),IF(G241="Vence em breve",2000-(E241-Config!$B$5),IF(G241="Em andamento",1000-MIN(E241-Config!$B$5,900),100)))-ROW()/100000)</f>
        <v>0</v>
      </c>
      <c r="L241" s="36">
        <f>IF(B241="","",IF(I241&lt;&gt;"",1,N(F241)))</f>
        <v/>
      </c>
    </row>
    <row r="242">
      <c r="A242" s="33" t="n"/>
      <c r="B242" s="31" t="n"/>
      <c r="C242" s="33" t="n"/>
      <c r="D242" s="34" t="n"/>
      <c r="E242" s="34" t="n"/>
      <c r="F242" s="35" t="n"/>
      <c r="G242" s="23">
        <f>IF(B242="","",IF(OR(F242&gt;=1,I242&lt;&gt;""),"Concluída",IF(E242="","Falta o prazo",IF(E242&lt;Config!$B$5,"Atrasada",IF(E242-Config!$B$5&lt;=Config!$B$6,"Vence em breve",IF(D242&lt;=Config!$B$5,"Em andamento","A iniciar"))))))</f>
        <v/>
      </c>
      <c r="H242" s="26">
        <f>IF(OR(B242="",G242="Concluída",E242=""),"",E242-Config!$B$5)</f>
        <v/>
      </c>
      <c r="I242" s="34" t="n"/>
      <c r="J242" s="31" t="n"/>
      <c r="K242" s="36">
        <f>IF(OR(B242="",G242="Concluída"),0,IF(G242="Atrasada",3000+MIN(Config!$B$5-E242,60),IF(G242="Vence em breve",2000-(E242-Config!$B$5),IF(G242="Em andamento",1000-MIN(E242-Config!$B$5,900),100)))-ROW()/100000)</f>
        <v>0</v>
      </c>
      <c r="L242" s="36">
        <f>IF(B242="","",IF(I242&lt;&gt;"",1,N(F242)))</f>
        <v/>
      </c>
    </row>
    <row r="243">
      <c r="A243" s="33" t="n"/>
      <c r="B243" s="31" t="n"/>
      <c r="C243" s="33" t="n"/>
      <c r="D243" s="34" t="n"/>
      <c r="E243" s="34" t="n"/>
      <c r="F243" s="35" t="n"/>
      <c r="G243" s="23">
        <f>IF(B243="","",IF(OR(F243&gt;=1,I243&lt;&gt;""),"Concluída",IF(E243="","Falta o prazo",IF(E243&lt;Config!$B$5,"Atrasada",IF(E243-Config!$B$5&lt;=Config!$B$6,"Vence em breve",IF(D243&lt;=Config!$B$5,"Em andamento","A iniciar"))))))</f>
        <v/>
      </c>
      <c r="H243" s="26">
        <f>IF(OR(B243="",G243="Concluída",E243=""),"",E243-Config!$B$5)</f>
        <v/>
      </c>
      <c r="I243" s="34" t="n"/>
      <c r="J243" s="31" t="n"/>
      <c r="K243" s="36">
        <f>IF(OR(B243="",G243="Concluída"),0,IF(G243="Atrasada",3000+MIN(Config!$B$5-E243,60),IF(G243="Vence em breve",2000-(E243-Config!$B$5),IF(G243="Em andamento",1000-MIN(E243-Config!$B$5,900),100)))-ROW()/100000)</f>
        <v>0</v>
      </c>
      <c r="L243" s="36">
        <f>IF(B243="","",IF(I243&lt;&gt;"",1,N(F243)))</f>
        <v/>
      </c>
    </row>
    <row r="244">
      <c r="A244" s="33" t="n"/>
      <c r="B244" s="31" t="n"/>
      <c r="C244" s="33" t="n"/>
      <c r="D244" s="34" t="n"/>
      <c r="E244" s="34" t="n"/>
      <c r="F244" s="35" t="n"/>
      <c r="G244" s="23">
        <f>IF(B244="","",IF(OR(F244&gt;=1,I244&lt;&gt;""),"Concluída",IF(E244="","Falta o prazo",IF(E244&lt;Config!$B$5,"Atrasada",IF(E244-Config!$B$5&lt;=Config!$B$6,"Vence em breve",IF(D244&lt;=Config!$B$5,"Em andamento","A iniciar"))))))</f>
        <v/>
      </c>
      <c r="H244" s="26">
        <f>IF(OR(B244="",G244="Concluída",E244=""),"",E244-Config!$B$5)</f>
        <v/>
      </c>
      <c r="I244" s="34" t="n"/>
      <c r="J244" s="31" t="n"/>
      <c r="K244" s="36">
        <f>IF(OR(B244="",G244="Concluída"),0,IF(G244="Atrasada",3000+MIN(Config!$B$5-E244,60),IF(G244="Vence em breve",2000-(E244-Config!$B$5),IF(G244="Em andamento",1000-MIN(E244-Config!$B$5,900),100)))-ROW()/100000)</f>
        <v>0</v>
      </c>
      <c r="L244" s="36">
        <f>IF(B244="","",IF(I244&lt;&gt;"",1,N(F244)))</f>
        <v/>
      </c>
    </row>
    <row r="245">
      <c r="A245" s="33" t="n"/>
      <c r="B245" s="31" t="n"/>
      <c r="C245" s="33" t="n"/>
      <c r="D245" s="34" t="n"/>
      <c r="E245" s="34" t="n"/>
      <c r="F245" s="35" t="n"/>
      <c r="G245" s="23">
        <f>IF(B245="","",IF(OR(F245&gt;=1,I245&lt;&gt;""),"Concluída",IF(E245="","Falta o prazo",IF(E245&lt;Config!$B$5,"Atrasada",IF(E245-Config!$B$5&lt;=Config!$B$6,"Vence em breve",IF(D245&lt;=Config!$B$5,"Em andamento","A iniciar"))))))</f>
        <v/>
      </c>
      <c r="H245" s="26">
        <f>IF(OR(B245="",G245="Concluída",E245=""),"",E245-Config!$B$5)</f>
        <v/>
      </c>
      <c r="I245" s="34" t="n"/>
      <c r="J245" s="31" t="n"/>
      <c r="K245" s="36">
        <f>IF(OR(B245="",G245="Concluída"),0,IF(G245="Atrasada",3000+MIN(Config!$B$5-E245,60),IF(G245="Vence em breve",2000-(E245-Config!$B$5),IF(G245="Em andamento",1000-MIN(E245-Config!$B$5,900),100)))-ROW()/100000)</f>
        <v>0</v>
      </c>
      <c r="L245" s="36">
        <f>IF(B245="","",IF(I245&lt;&gt;"",1,N(F245)))</f>
        <v/>
      </c>
    </row>
    <row r="246">
      <c r="A246" s="33" t="n"/>
      <c r="B246" s="31" t="n"/>
      <c r="C246" s="33" t="n"/>
      <c r="D246" s="34" t="n"/>
      <c r="E246" s="34" t="n"/>
      <c r="F246" s="35" t="n"/>
      <c r="G246" s="23">
        <f>IF(B246="","",IF(OR(F246&gt;=1,I246&lt;&gt;""),"Concluída",IF(E246="","Falta o prazo",IF(E246&lt;Config!$B$5,"Atrasada",IF(E246-Config!$B$5&lt;=Config!$B$6,"Vence em breve",IF(D246&lt;=Config!$B$5,"Em andamento","A iniciar"))))))</f>
        <v/>
      </c>
      <c r="H246" s="26">
        <f>IF(OR(B246="",G246="Concluída",E246=""),"",E246-Config!$B$5)</f>
        <v/>
      </c>
      <c r="I246" s="34" t="n"/>
      <c r="J246" s="31" t="n"/>
      <c r="K246" s="36">
        <f>IF(OR(B246="",G246="Concluída"),0,IF(G246="Atrasada",3000+MIN(Config!$B$5-E246,60),IF(G246="Vence em breve",2000-(E246-Config!$B$5),IF(G246="Em andamento",1000-MIN(E246-Config!$B$5,900),100)))-ROW()/100000)</f>
        <v>0</v>
      </c>
      <c r="L246" s="36">
        <f>IF(B246="","",IF(I246&lt;&gt;"",1,N(F246)))</f>
        <v/>
      </c>
    </row>
    <row r="247">
      <c r="A247" s="33" t="n"/>
      <c r="B247" s="31" t="n"/>
      <c r="C247" s="33" t="n"/>
      <c r="D247" s="34" t="n"/>
      <c r="E247" s="34" t="n"/>
      <c r="F247" s="35" t="n"/>
      <c r="G247" s="23">
        <f>IF(B247="","",IF(OR(F247&gt;=1,I247&lt;&gt;""),"Concluída",IF(E247="","Falta o prazo",IF(E247&lt;Config!$B$5,"Atrasada",IF(E247-Config!$B$5&lt;=Config!$B$6,"Vence em breve",IF(D247&lt;=Config!$B$5,"Em andamento","A iniciar"))))))</f>
        <v/>
      </c>
      <c r="H247" s="26">
        <f>IF(OR(B247="",G247="Concluída",E247=""),"",E247-Config!$B$5)</f>
        <v/>
      </c>
      <c r="I247" s="34" t="n"/>
      <c r="J247" s="31" t="n"/>
      <c r="K247" s="36">
        <f>IF(OR(B247="",G247="Concluída"),0,IF(G247="Atrasada",3000+MIN(Config!$B$5-E247,60),IF(G247="Vence em breve",2000-(E247-Config!$B$5),IF(G247="Em andamento",1000-MIN(E247-Config!$B$5,900),100)))-ROW()/100000)</f>
        <v>0</v>
      </c>
      <c r="L247" s="36">
        <f>IF(B247="","",IF(I247&lt;&gt;"",1,N(F247)))</f>
        <v/>
      </c>
    </row>
    <row r="248">
      <c r="A248" s="33" t="n"/>
      <c r="B248" s="31" t="n"/>
      <c r="C248" s="33" t="n"/>
      <c r="D248" s="34" t="n"/>
      <c r="E248" s="34" t="n"/>
      <c r="F248" s="35" t="n"/>
      <c r="G248" s="23">
        <f>IF(B248="","",IF(OR(F248&gt;=1,I248&lt;&gt;""),"Concluída",IF(E248="","Falta o prazo",IF(E248&lt;Config!$B$5,"Atrasada",IF(E248-Config!$B$5&lt;=Config!$B$6,"Vence em breve",IF(D248&lt;=Config!$B$5,"Em andamento","A iniciar"))))))</f>
        <v/>
      </c>
      <c r="H248" s="26">
        <f>IF(OR(B248="",G248="Concluída",E248=""),"",E248-Config!$B$5)</f>
        <v/>
      </c>
      <c r="I248" s="34" t="n"/>
      <c r="J248" s="31" t="n"/>
      <c r="K248" s="36">
        <f>IF(OR(B248="",G248="Concluída"),0,IF(G248="Atrasada",3000+MIN(Config!$B$5-E248,60),IF(G248="Vence em breve",2000-(E248-Config!$B$5),IF(G248="Em andamento",1000-MIN(E248-Config!$B$5,900),100)))-ROW()/100000)</f>
        <v>0</v>
      </c>
      <c r="L248" s="36">
        <f>IF(B248="","",IF(I248&lt;&gt;"",1,N(F248)))</f>
        <v/>
      </c>
    </row>
    <row r="249">
      <c r="A249" s="33" t="n"/>
      <c r="B249" s="31" t="n"/>
      <c r="C249" s="33" t="n"/>
      <c r="D249" s="34" t="n"/>
      <c r="E249" s="34" t="n"/>
      <c r="F249" s="35" t="n"/>
      <c r="G249" s="23">
        <f>IF(B249="","",IF(OR(F249&gt;=1,I249&lt;&gt;""),"Concluída",IF(E249="","Falta o prazo",IF(E249&lt;Config!$B$5,"Atrasada",IF(E249-Config!$B$5&lt;=Config!$B$6,"Vence em breve",IF(D249&lt;=Config!$B$5,"Em andamento","A iniciar"))))))</f>
        <v/>
      </c>
      <c r="H249" s="26">
        <f>IF(OR(B249="",G249="Concluída",E249=""),"",E249-Config!$B$5)</f>
        <v/>
      </c>
      <c r="I249" s="34" t="n"/>
      <c r="J249" s="31" t="n"/>
      <c r="K249" s="36">
        <f>IF(OR(B249="",G249="Concluída"),0,IF(G249="Atrasada",3000+MIN(Config!$B$5-E249,60),IF(G249="Vence em breve",2000-(E249-Config!$B$5),IF(G249="Em andamento",1000-MIN(E249-Config!$B$5,900),100)))-ROW()/100000)</f>
        <v>0</v>
      </c>
      <c r="L249" s="36">
        <f>IF(B249="","",IF(I249&lt;&gt;"",1,N(F249)))</f>
        <v/>
      </c>
    </row>
    <row r="250">
      <c r="A250" s="33" t="n"/>
      <c r="B250" s="31" t="n"/>
      <c r="C250" s="33" t="n"/>
      <c r="D250" s="34" t="n"/>
      <c r="E250" s="34" t="n"/>
      <c r="F250" s="35" t="n"/>
      <c r="G250" s="23">
        <f>IF(B250="","",IF(OR(F250&gt;=1,I250&lt;&gt;""),"Concluída",IF(E250="","Falta o prazo",IF(E250&lt;Config!$B$5,"Atrasada",IF(E250-Config!$B$5&lt;=Config!$B$6,"Vence em breve",IF(D250&lt;=Config!$B$5,"Em andamento","A iniciar"))))))</f>
        <v/>
      </c>
      <c r="H250" s="26">
        <f>IF(OR(B250="",G250="Concluída",E250=""),"",E250-Config!$B$5)</f>
        <v/>
      </c>
      <c r="I250" s="34" t="n"/>
      <c r="J250" s="31" t="n"/>
      <c r="K250" s="36">
        <f>IF(OR(B250="",G250="Concluída"),0,IF(G250="Atrasada",3000+MIN(Config!$B$5-E250,60),IF(G250="Vence em breve",2000-(E250-Config!$B$5),IF(G250="Em andamento",1000-MIN(E250-Config!$B$5,900),100)))-ROW()/100000)</f>
        <v>0</v>
      </c>
      <c r="L250" s="36">
        <f>IF(B250="","",IF(I250&lt;&gt;"",1,N(F250)))</f>
        <v/>
      </c>
    </row>
    <row r="251">
      <c r="A251" s="33" t="n"/>
      <c r="B251" s="31" t="n"/>
      <c r="C251" s="33" t="n"/>
      <c r="D251" s="34" t="n"/>
      <c r="E251" s="34" t="n"/>
      <c r="F251" s="35" t="n"/>
      <c r="G251" s="23">
        <f>IF(B251="","",IF(OR(F251&gt;=1,I251&lt;&gt;""),"Concluída",IF(E251="","Falta o prazo",IF(E251&lt;Config!$B$5,"Atrasada",IF(E251-Config!$B$5&lt;=Config!$B$6,"Vence em breve",IF(D251&lt;=Config!$B$5,"Em andamento","A iniciar"))))))</f>
        <v/>
      </c>
      <c r="H251" s="26">
        <f>IF(OR(B251="",G251="Concluída",E251=""),"",E251-Config!$B$5)</f>
        <v/>
      </c>
      <c r="I251" s="34" t="n"/>
      <c r="J251" s="31" t="n"/>
      <c r="K251" s="36">
        <f>IF(OR(B251="",G251="Concluída"),0,IF(G251="Atrasada",3000+MIN(Config!$B$5-E251,60),IF(G251="Vence em breve",2000-(E251-Config!$B$5),IF(G251="Em andamento",1000-MIN(E251-Config!$B$5,900),100)))-ROW()/100000)</f>
        <v>0</v>
      </c>
      <c r="L251" s="36">
        <f>IF(B251="","",IF(I251&lt;&gt;"",1,N(F251)))</f>
        <v/>
      </c>
    </row>
    <row r="252">
      <c r="A252" s="33" t="n"/>
      <c r="B252" s="31" t="n"/>
      <c r="C252" s="33" t="n"/>
      <c r="D252" s="34" t="n"/>
      <c r="E252" s="34" t="n"/>
      <c r="F252" s="35" t="n"/>
      <c r="G252" s="23">
        <f>IF(B252="","",IF(OR(F252&gt;=1,I252&lt;&gt;""),"Concluída",IF(E252="","Falta o prazo",IF(E252&lt;Config!$B$5,"Atrasada",IF(E252-Config!$B$5&lt;=Config!$B$6,"Vence em breve",IF(D252&lt;=Config!$B$5,"Em andamento","A iniciar"))))))</f>
        <v/>
      </c>
      <c r="H252" s="26">
        <f>IF(OR(B252="",G252="Concluída",E252=""),"",E252-Config!$B$5)</f>
        <v/>
      </c>
      <c r="I252" s="34" t="n"/>
      <c r="J252" s="31" t="n"/>
      <c r="K252" s="36">
        <f>IF(OR(B252="",G252="Concluída"),0,IF(G252="Atrasada",3000+MIN(Config!$B$5-E252,60),IF(G252="Vence em breve",2000-(E252-Config!$B$5),IF(G252="Em andamento",1000-MIN(E252-Config!$B$5,900),100)))-ROW()/100000)</f>
        <v>0</v>
      </c>
      <c r="L252" s="36">
        <f>IF(B252="","",IF(I252&lt;&gt;"",1,N(F252)))</f>
        <v/>
      </c>
    </row>
    <row r="253">
      <c r="A253" s="33" t="n"/>
      <c r="B253" s="31" t="n"/>
      <c r="C253" s="33" t="n"/>
      <c r="D253" s="34" t="n"/>
      <c r="E253" s="34" t="n"/>
      <c r="F253" s="35" t="n"/>
      <c r="G253" s="23">
        <f>IF(B253="","",IF(OR(F253&gt;=1,I253&lt;&gt;""),"Concluída",IF(E253="","Falta o prazo",IF(E253&lt;Config!$B$5,"Atrasada",IF(E253-Config!$B$5&lt;=Config!$B$6,"Vence em breve",IF(D253&lt;=Config!$B$5,"Em andamento","A iniciar"))))))</f>
        <v/>
      </c>
      <c r="H253" s="26">
        <f>IF(OR(B253="",G253="Concluída",E253=""),"",E253-Config!$B$5)</f>
        <v/>
      </c>
      <c r="I253" s="34" t="n"/>
      <c r="J253" s="31" t="n"/>
      <c r="K253" s="36">
        <f>IF(OR(B253="",G253="Concluída"),0,IF(G253="Atrasada",3000+MIN(Config!$B$5-E253,60),IF(G253="Vence em breve",2000-(E253-Config!$B$5),IF(G253="Em andamento",1000-MIN(E253-Config!$B$5,900),100)))-ROW()/100000)</f>
        <v>0</v>
      </c>
      <c r="L253" s="36">
        <f>IF(B253="","",IF(I253&lt;&gt;"",1,N(F253)))</f>
        <v/>
      </c>
    </row>
    <row r="254">
      <c r="A254" s="33" t="n"/>
      <c r="B254" s="31" t="n"/>
      <c r="C254" s="33" t="n"/>
      <c r="D254" s="34" t="n"/>
      <c r="E254" s="34" t="n"/>
      <c r="F254" s="35" t="n"/>
      <c r="G254" s="23">
        <f>IF(B254="","",IF(OR(F254&gt;=1,I254&lt;&gt;""),"Concluída",IF(E254="","Falta o prazo",IF(E254&lt;Config!$B$5,"Atrasada",IF(E254-Config!$B$5&lt;=Config!$B$6,"Vence em breve",IF(D254&lt;=Config!$B$5,"Em andamento","A iniciar"))))))</f>
        <v/>
      </c>
      <c r="H254" s="26">
        <f>IF(OR(B254="",G254="Concluída",E254=""),"",E254-Config!$B$5)</f>
        <v/>
      </c>
      <c r="I254" s="34" t="n"/>
      <c r="J254" s="31" t="n"/>
      <c r="K254" s="36">
        <f>IF(OR(B254="",G254="Concluída"),0,IF(G254="Atrasada",3000+MIN(Config!$B$5-E254,60),IF(G254="Vence em breve",2000-(E254-Config!$B$5),IF(G254="Em andamento",1000-MIN(E254-Config!$B$5,900),100)))-ROW()/100000)</f>
        <v>0</v>
      </c>
      <c r="L254" s="36">
        <f>IF(B254="","",IF(I254&lt;&gt;"",1,N(F254)))</f>
        <v/>
      </c>
    </row>
    <row r="255">
      <c r="A255" s="33" t="n"/>
      <c r="B255" s="31" t="n"/>
      <c r="C255" s="33" t="n"/>
      <c r="D255" s="34" t="n"/>
      <c r="E255" s="34" t="n"/>
      <c r="F255" s="35" t="n"/>
      <c r="G255" s="23">
        <f>IF(B255="","",IF(OR(F255&gt;=1,I255&lt;&gt;""),"Concluída",IF(E255="","Falta o prazo",IF(E255&lt;Config!$B$5,"Atrasada",IF(E255-Config!$B$5&lt;=Config!$B$6,"Vence em breve",IF(D255&lt;=Config!$B$5,"Em andamento","A iniciar"))))))</f>
        <v/>
      </c>
      <c r="H255" s="26">
        <f>IF(OR(B255="",G255="Concluída",E255=""),"",E255-Config!$B$5)</f>
        <v/>
      </c>
      <c r="I255" s="34" t="n"/>
      <c r="J255" s="31" t="n"/>
      <c r="K255" s="36">
        <f>IF(OR(B255="",G255="Concluída"),0,IF(G255="Atrasada",3000+MIN(Config!$B$5-E255,60),IF(G255="Vence em breve",2000-(E255-Config!$B$5),IF(G255="Em andamento",1000-MIN(E255-Config!$B$5,900),100)))-ROW()/100000)</f>
        <v>0</v>
      </c>
      <c r="L255" s="36">
        <f>IF(B255="","",IF(I255&lt;&gt;"",1,N(F255)))</f>
        <v/>
      </c>
    </row>
    <row r="256">
      <c r="A256" s="33" t="n"/>
      <c r="B256" s="31" t="n"/>
      <c r="C256" s="33" t="n"/>
      <c r="D256" s="34" t="n"/>
      <c r="E256" s="34" t="n"/>
      <c r="F256" s="35" t="n"/>
      <c r="G256" s="23">
        <f>IF(B256="","",IF(OR(F256&gt;=1,I256&lt;&gt;""),"Concluída",IF(E256="","Falta o prazo",IF(E256&lt;Config!$B$5,"Atrasada",IF(E256-Config!$B$5&lt;=Config!$B$6,"Vence em breve",IF(D256&lt;=Config!$B$5,"Em andamento","A iniciar"))))))</f>
        <v/>
      </c>
      <c r="H256" s="26">
        <f>IF(OR(B256="",G256="Concluída",E256=""),"",E256-Config!$B$5)</f>
        <v/>
      </c>
      <c r="I256" s="34" t="n"/>
      <c r="J256" s="31" t="n"/>
      <c r="K256" s="36">
        <f>IF(OR(B256="",G256="Concluída"),0,IF(G256="Atrasada",3000+MIN(Config!$B$5-E256,60),IF(G256="Vence em breve",2000-(E256-Config!$B$5),IF(G256="Em andamento",1000-MIN(E256-Config!$B$5,900),100)))-ROW()/100000)</f>
        <v>0</v>
      </c>
      <c r="L256" s="36">
        <f>IF(B256="","",IF(I256&lt;&gt;"",1,N(F256)))</f>
        <v/>
      </c>
    </row>
    <row r="257">
      <c r="A257" s="33" t="n"/>
      <c r="B257" s="31" t="n"/>
      <c r="C257" s="33" t="n"/>
      <c r="D257" s="34" t="n"/>
      <c r="E257" s="34" t="n"/>
      <c r="F257" s="35" t="n"/>
      <c r="G257" s="23">
        <f>IF(B257="","",IF(OR(F257&gt;=1,I257&lt;&gt;""),"Concluída",IF(E257="","Falta o prazo",IF(E257&lt;Config!$B$5,"Atrasada",IF(E257-Config!$B$5&lt;=Config!$B$6,"Vence em breve",IF(D257&lt;=Config!$B$5,"Em andamento","A iniciar"))))))</f>
        <v/>
      </c>
      <c r="H257" s="26">
        <f>IF(OR(B257="",G257="Concluída",E257=""),"",E257-Config!$B$5)</f>
        <v/>
      </c>
      <c r="I257" s="34" t="n"/>
      <c r="J257" s="31" t="n"/>
      <c r="K257" s="36">
        <f>IF(OR(B257="",G257="Concluída"),0,IF(G257="Atrasada",3000+MIN(Config!$B$5-E257,60),IF(G257="Vence em breve",2000-(E257-Config!$B$5),IF(G257="Em andamento",1000-MIN(E257-Config!$B$5,900),100)))-ROW()/100000)</f>
        <v>0</v>
      </c>
      <c r="L257" s="36">
        <f>IF(B257="","",IF(I257&lt;&gt;"",1,N(F257)))</f>
        <v/>
      </c>
    </row>
    <row r="258">
      <c r="A258" s="33" t="n"/>
      <c r="B258" s="31" t="n"/>
      <c r="C258" s="33" t="n"/>
      <c r="D258" s="34" t="n"/>
      <c r="E258" s="34" t="n"/>
      <c r="F258" s="35" t="n"/>
      <c r="G258" s="23">
        <f>IF(B258="","",IF(OR(F258&gt;=1,I258&lt;&gt;""),"Concluída",IF(E258="","Falta o prazo",IF(E258&lt;Config!$B$5,"Atrasada",IF(E258-Config!$B$5&lt;=Config!$B$6,"Vence em breve",IF(D258&lt;=Config!$B$5,"Em andamento","A iniciar"))))))</f>
        <v/>
      </c>
      <c r="H258" s="26">
        <f>IF(OR(B258="",G258="Concluída",E258=""),"",E258-Config!$B$5)</f>
        <v/>
      </c>
      <c r="I258" s="34" t="n"/>
      <c r="J258" s="31" t="n"/>
      <c r="K258" s="36">
        <f>IF(OR(B258="",G258="Concluída"),0,IF(G258="Atrasada",3000+MIN(Config!$B$5-E258,60),IF(G258="Vence em breve",2000-(E258-Config!$B$5),IF(G258="Em andamento",1000-MIN(E258-Config!$B$5,900),100)))-ROW()/100000)</f>
        <v>0</v>
      </c>
      <c r="L258" s="36">
        <f>IF(B258="","",IF(I258&lt;&gt;"",1,N(F258)))</f>
        <v/>
      </c>
    </row>
    <row r="259">
      <c r="A259" s="33" t="n"/>
      <c r="B259" s="31" t="n"/>
      <c r="C259" s="33" t="n"/>
      <c r="D259" s="34" t="n"/>
      <c r="E259" s="34" t="n"/>
      <c r="F259" s="35" t="n"/>
      <c r="G259" s="23">
        <f>IF(B259="","",IF(OR(F259&gt;=1,I259&lt;&gt;""),"Concluída",IF(E259="","Falta o prazo",IF(E259&lt;Config!$B$5,"Atrasada",IF(E259-Config!$B$5&lt;=Config!$B$6,"Vence em breve",IF(D259&lt;=Config!$B$5,"Em andamento","A iniciar"))))))</f>
        <v/>
      </c>
      <c r="H259" s="26">
        <f>IF(OR(B259="",G259="Concluída",E259=""),"",E259-Config!$B$5)</f>
        <v/>
      </c>
      <c r="I259" s="34" t="n"/>
      <c r="J259" s="31" t="n"/>
      <c r="K259" s="36">
        <f>IF(OR(B259="",G259="Concluída"),0,IF(G259="Atrasada",3000+MIN(Config!$B$5-E259,60),IF(G259="Vence em breve",2000-(E259-Config!$B$5),IF(G259="Em andamento",1000-MIN(E259-Config!$B$5,900),100)))-ROW()/100000)</f>
        <v>0</v>
      </c>
      <c r="L259" s="36">
        <f>IF(B259="","",IF(I259&lt;&gt;"",1,N(F259)))</f>
        <v/>
      </c>
    </row>
    <row r="260">
      <c r="A260" s="33" t="n"/>
      <c r="B260" s="31" t="n"/>
      <c r="C260" s="33" t="n"/>
      <c r="D260" s="34" t="n"/>
      <c r="E260" s="34" t="n"/>
      <c r="F260" s="35" t="n"/>
      <c r="G260" s="23">
        <f>IF(B260="","",IF(OR(F260&gt;=1,I260&lt;&gt;""),"Concluída",IF(E260="","Falta o prazo",IF(E260&lt;Config!$B$5,"Atrasada",IF(E260-Config!$B$5&lt;=Config!$B$6,"Vence em breve",IF(D260&lt;=Config!$B$5,"Em andamento","A iniciar"))))))</f>
        <v/>
      </c>
      <c r="H260" s="26">
        <f>IF(OR(B260="",G260="Concluída",E260=""),"",E260-Config!$B$5)</f>
        <v/>
      </c>
      <c r="I260" s="34" t="n"/>
      <c r="J260" s="31" t="n"/>
      <c r="K260" s="36">
        <f>IF(OR(B260="",G260="Concluída"),0,IF(G260="Atrasada",3000+MIN(Config!$B$5-E260,60),IF(G260="Vence em breve",2000-(E260-Config!$B$5),IF(G260="Em andamento",1000-MIN(E260-Config!$B$5,900),100)))-ROW()/100000)</f>
        <v>0</v>
      </c>
      <c r="L260" s="36">
        <f>IF(B260="","",IF(I260&lt;&gt;"",1,N(F260)))</f>
        <v/>
      </c>
    </row>
    <row r="261">
      <c r="A261" s="33" t="n"/>
      <c r="B261" s="31" t="n"/>
      <c r="C261" s="33" t="n"/>
      <c r="D261" s="34" t="n"/>
      <c r="E261" s="34" t="n"/>
      <c r="F261" s="35" t="n"/>
      <c r="G261" s="23">
        <f>IF(B261="","",IF(OR(F261&gt;=1,I261&lt;&gt;""),"Concluída",IF(E261="","Falta o prazo",IF(E261&lt;Config!$B$5,"Atrasada",IF(E261-Config!$B$5&lt;=Config!$B$6,"Vence em breve",IF(D261&lt;=Config!$B$5,"Em andamento","A iniciar"))))))</f>
        <v/>
      </c>
      <c r="H261" s="26">
        <f>IF(OR(B261="",G261="Concluída",E261=""),"",E261-Config!$B$5)</f>
        <v/>
      </c>
      <c r="I261" s="34" t="n"/>
      <c r="J261" s="31" t="n"/>
      <c r="K261" s="36">
        <f>IF(OR(B261="",G261="Concluída"),0,IF(G261="Atrasada",3000+MIN(Config!$B$5-E261,60),IF(G261="Vence em breve",2000-(E261-Config!$B$5),IF(G261="Em andamento",1000-MIN(E261-Config!$B$5,900),100)))-ROW()/100000)</f>
        <v>0</v>
      </c>
      <c r="L261" s="36">
        <f>IF(B261="","",IF(I261&lt;&gt;"",1,N(F261)))</f>
        <v/>
      </c>
    </row>
    <row r="262">
      <c r="A262" s="33" t="n"/>
      <c r="B262" s="31" t="n"/>
      <c r="C262" s="33" t="n"/>
      <c r="D262" s="34" t="n"/>
      <c r="E262" s="34" t="n"/>
      <c r="F262" s="35" t="n"/>
      <c r="G262" s="23">
        <f>IF(B262="","",IF(OR(F262&gt;=1,I262&lt;&gt;""),"Concluída",IF(E262="","Falta o prazo",IF(E262&lt;Config!$B$5,"Atrasada",IF(E262-Config!$B$5&lt;=Config!$B$6,"Vence em breve",IF(D262&lt;=Config!$B$5,"Em andamento","A iniciar"))))))</f>
        <v/>
      </c>
      <c r="H262" s="26">
        <f>IF(OR(B262="",G262="Concluída",E262=""),"",E262-Config!$B$5)</f>
        <v/>
      </c>
      <c r="I262" s="34" t="n"/>
      <c r="J262" s="31" t="n"/>
      <c r="K262" s="36">
        <f>IF(OR(B262="",G262="Concluída"),0,IF(G262="Atrasada",3000+MIN(Config!$B$5-E262,60),IF(G262="Vence em breve",2000-(E262-Config!$B$5),IF(G262="Em andamento",1000-MIN(E262-Config!$B$5,900),100)))-ROW()/100000)</f>
        <v>0</v>
      </c>
      <c r="L262" s="36">
        <f>IF(B262="","",IF(I262&lt;&gt;"",1,N(F262)))</f>
        <v/>
      </c>
    </row>
    <row r="263">
      <c r="A263" s="33" t="n"/>
      <c r="B263" s="31" t="n"/>
      <c r="C263" s="33" t="n"/>
      <c r="D263" s="34" t="n"/>
      <c r="E263" s="34" t="n"/>
      <c r="F263" s="35" t="n"/>
      <c r="G263" s="23">
        <f>IF(B263="","",IF(OR(F263&gt;=1,I263&lt;&gt;""),"Concluída",IF(E263="","Falta o prazo",IF(E263&lt;Config!$B$5,"Atrasada",IF(E263-Config!$B$5&lt;=Config!$B$6,"Vence em breve",IF(D263&lt;=Config!$B$5,"Em andamento","A iniciar"))))))</f>
        <v/>
      </c>
      <c r="H263" s="26">
        <f>IF(OR(B263="",G263="Concluída",E263=""),"",E263-Config!$B$5)</f>
        <v/>
      </c>
      <c r="I263" s="34" t="n"/>
      <c r="J263" s="31" t="n"/>
      <c r="K263" s="36">
        <f>IF(OR(B263="",G263="Concluída"),0,IF(G263="Atrasada",3000+MIN(Config!$B$5-E263,60),IF(G263="Vence em breve",2000-(E263-Config!$B$5),IF(G263="Em andamento",1000-MIN(E263-Config!$B$5,900),100)))-ROW()/100000)</f>
        <v>0</v>
      </c>
      <c r="L263" s="36">
        <f>IF(B263="","",IF(I263&lt;&gt;"",1,N(F263)))</f>
        <v/>
      </c>
    </row>
    <row r="264">
      <c r="A264" s="33" t="n"/>
      <c r="B264" s="31" t="n"/>
      <c r="C264" s="33" t="n"/>
      <c r="D264" s="34" t="n"/>
      <c r="E264" s="34" t="n"/>
      <c r="F264" s="35" t="n"/>
      <c r="G264" s="23">
        <f>IF(B264="","",IF(OR(F264&gt;=1,I264&lt;&gt;""),"Concluída",IF(E264="","Falta o prazo",IF(E264&lt;Config!$B$5,"Atrasada",IF(E264-Config!$B$5&lt;=Config!$B$6,"Vence em breve",IF(D264&lt;=Config!$B$5,"Em andamento","A iniciar"))))))</f>
        <v/>
      </c>
      <c r="H264" s="26">
        <f>IF(OR(B264="",G264="Concluída",E264=""),"",E264-Config!$B$5)</f>
        <v/>
      </c>
      <c r="I264" s="34" t="n"/>
      <c r="J264" s="31" t="n"/>
      <c r="K264" s="36">
        <f>IF(OR(B264="",G264="Concluída"),0,IF(G264="Atrasada",3000+MIN(Config!$B$5-E264,60),IF(G264="Vence em breve",2000-(E264-Config!$B$5),IF(G264="Em andamento",1000-MIN(E264-Config!$B$5,900),100)))-ROW()/100000)</f>
        <v>0</v>
      </c>
      <c r="L264" s="36">
        <f>IF(B264="","",IF(I264&lt;&gt;"",1,N(F264)))</f>
        <v/>
      </c>
    </row>
    <row r="265">
      <c r="A265" s="33" t="n"/>
      <c r="B265" s="31" t="n"/>
      <c r="C265" s="33" t="n"/>
      <c r="D265" s="34" t="n"/>
      <c r="E265" s="34" t="n"/>
      <c r="F265" s="35" t="n"/>
      <c r="G265" s="23">
        <f>IF(B265="","",IF(OR(F265&gt;=1,I265&lt;&gt;""),"Concluída",IF(E265="","Falta o prazo",IF(E265&lt;Config!$B$5,"Atrasada",IF(E265-Config!$B$5&lt;=Config!$B$6,"Vence em breve",IF(D265&lt;=Config!$B$5,"Em andamento","A iniciar"))))))</f>
        <v/>
      </c>
      <c r="H265" s="26">
        <f>IF(OR(B265="",G265="Concluída",E265=""),"",E265-Config!$B$5)</f>
        <v/>
      </c>
      <c r="I265" s="34" t="n"/>
      <c r="J265" s="31" t="n"/>
      <c r="K265" s="36">
        <f>IF(OR(B265="",G265="Concluída"),0,IF(G265="Atrasada",3000+MIN(Config!$B$5-E265,60),IF(G265="Vence em breve",2000-(E265-Config!$B$5),IF(G265="Em andamento",1000-MIN(E265-Config!$B$5,900),100)))-ROW()/100000)</f>
        <v>0</v>
      </c>
      <c r="L265" s="36">
        <f>IF(B265="","",IF(I265&lt;&gt;"",1,N(F265)))</f>
        <v/>
      </c>
    </row>
    <row r="266">
      <c r="A266" s="33" t="n"/>
      <c r="B266" s="31" t="n"/>
      <c r="C266" s="33" t="n"/>
      <c r="D266" s="34" t="n"/>
      <c r="E266" s="34" t="n"/>
      <c r="F266" s="35" t="n"/>
      <c r="G266" s="23">
        <f>IF(B266="","",IF(OR(F266&gt;=1,I266&lt;&gt;""),"Concluída",IF(E266="","Falta o prazo",IF(E266&lt;Config!$B$5,"Atrasada",IF(E266-Config!$B$5&lt;=Config!$B$6,"Vence em breve",IF(D266&lt;=Config!$B$5,"Em andamento","A iniciar"))))))</f>
        <v/>
      </c>
      <c r="H266" s="26">
        <f>IF(OR(B266="",G266="Concluída",E266=""),"",E266-Config!$B$5)</f>
        <v/>
      </c>
      <c r="I266" s="34" t="n"/>
      <c r="J266" s="31" t="n"/>
      <c r="K266" s="36">
        <f>IF(OR(B266="",G266="Concluída"),0,IF(G266="Atrasada",3000+MIN(Config!$B$5-E266,60),IF(G266="Vence em breve",2000-(E266-Config!$B$5),IF(G266="Em andamento",1000-MIN(E266-Config!$B$5,900),100)))-ROW()/100000)</f>
        <v>0</v>
      </c>
      <c r="L266" s="36">
        <f>IF(B266="","",IF(I266&lt;&gt;"",1,N(F266)))</f>
        <v/>
      </c>
    </row>
    <row r="267">
      <c r="A267" s="33" t="n"/>
      <c r="B267" s="31" t="n"/>
      <c r="C267" s="33" t="n"/>
      <c r="D267" s="34" t="n"/>
      <c r="E267" s="34" t="n"/>
      <c r="F267" s="35" t="n"/>
      <c r="G267" s="23">
        <f>IF(B267="","",IF(OR(F267&gt;=1,I267&lt;&gt;""),"Concluída",IF(E267="","Falta o prazo",IF(E267&lt;Config!$B$5,"Atrasada",IF(E267-Config!$B$5&lt;=Config!$B$6,"Vence em breve",IF(D267&lt;=Config!$B$5,"Em andamento","A iniciar"))))))</f>
        <v/>
      </c>
      <c r="H267" s="26">
        <f>IF(OR(B267="",G267="Concluída",E267=""),"",E267-Config!$B$5)</f>
        <v/>
      </c>
      <c r="I267" s="34" t="n"/>
      <c r="J267" s="31" t="n"/>
      <c r="K267" s="36">
        <f>IF(OR(B267="",G267="Concluída"),0,IF(G267="Atrasada",3000+MIN(Config!$B$5-E267,60),IF(G267="Vence em breve",2000-(E267-Config!$B$5),IF(G267="Em andamento",1000-MIN(E267-Config!$B$5,900),100)))-ROW()/100000)</f>
        <v>0</v>
      </c>
      <c r="L267" s="36">
        <f>IF(B267="","",IF(I267&lt;&gt;"",1,N(F267)))</f>
        <v/>
      </c>
    </row>
    <row r="268">
      <c r="A268" s="33" t="n"/>
      <c r="B268" s="31" t="n"/>
      <c r="C268" s="33" t="n"/>
      <c r="D268" s="34" t="n"/>
      <c r="E268" s="34" t="n"/>
      <c r="F268" s="35" t="n"/>
      <c r="G268" s="23">
        <f>IF(B268="","",IF(OR(F268&gt;=1,I268&lt;&gt;""),"Concluída",IF(E268="","Falta o prazo",IF(E268&lt;Config!$B$5,"Atrasada",IF(E268-Config!$B$5&lt;=Config!$B$6,"Vence em breve",IF(D268&lt;=Config!$B$5,"Em andamento","A iniciar"))))))</f>
        <v/>
      </c>
      <c r="H268" s="26">
        <f>IF(OR(B268="",G268="Concluída",E268=""),"",E268-Config!$B$5)</f>
        <v/>
      </c>
      <c r="I268" s="34" t="n"/>
      <c r="J268" s="31" t="n"/>
      <c r="K268" s="36">
        <f>IF(OR(B268="",G268="Concluída"),0,IF(G268="Atrasada",3000+MIN(Config!$B$5-E268,60),IF(G268="Vence em breve",2000-(E268-Config!$B$5),IF(G268="Em andamento",1000-MIN(E268-Config!$B$5,900),100)))-ROW()/100000)</f>
        <v>0</v>
      </c>
      <c r="L268" s="36">
        <f>IF(B268="","",IF(I268&lt;&gt;"",1,N(F268)))</f>
        <v/>
      </c>
    </row>
    <row r="269">
      <c r="A269" s="33" t="n"/>
      <c r="B269" s="31" t="n"/>
      <c r="C269" s="33" t="n"/>
      <c r="D269" s="34" t="n"/>
      <c r="E269" s="34" t="n"/>
      <c r="F269" s="35" t="n"/>
      <c r="G269" s="23">
        <f>IF(B269="","",IF(OR(F269&gt;=1,I269&lt;&gt;""),"Concluída",IF(E269="","Falta o prazo",IF(E269&lt;Config!$B$5,"Atrasada",IF(E269-Config!$B$5&lt;=Config!$B$6,"Vence em breve",IF(D269&lt;=Config!$B$5,"Em andamento","A iniciar"))))))</f>
        <v/>
      </c>
      <c r="H269" s="26">
        <f>IF(OR(B269="",G269="Concluída",E269=""),"",E269-Config!$B$5)</f>
        <v/>
      </c>
      <c r="I269" s="34" t="n"/>
      <c r="J269" s="31" t="n"/>
      <c r="K269" s="36">
        <f>IF(OR(B269="",G269="Concluída"),0,IF(G269="Atrasada",3000+MIN(Config!$B$5-E269,60),IF(G269="Vence em breve",2000-(E269-Config!$B$5),IF(G269="Em andamento",1000-MIN(E269-Config!$B$5,900),100)))-ROW()/100000)</f>
        <v>0</v>
      </c>
      <c r="L269" s="36">
        <f>IF(B269="","",IF(I269&lt;&gt;"",1,N(F269)))</f>
        <v/>
      </c>
    </row>
    <row r="270">
      <c r="A270" s="33" t="n"/>
      <c r="B270" s="31" t="n"/>
      <c r="C270" s="33" t="n"/>
      <c r="D270" s="34" t="n"/>
      <c r="E270" s="34" t="n"/>
      <c r="F270" s="35" t="n"/>
      <c r="G270" s="23">
        <f>IF(B270="","",IF(OR(F270&gt;=1,I270&lt;&gt;""),"Concluída",IF(E270="","Falta o prazo",IF(E270&lt;Config!$B$5,"Atrasada",IF(E270-Config!$B$5&lt;=Config!$B$6,"Vence em breve",IF(D270&lt;=Config!$B$5,"Em andamento","A iniciar"))))))</f>
        <v/>
      </c>
      <c r="H270" s="26">
        <f>IF(OR(B270="",G270="Concluída",E270=""),"",E270-Config!$B$5)</f>
        <v/>
      </c>
      <c r="I270" s="34" t="n"/>
      <c r="J270" s="31" t="n"/>
      <c r="K270" s="36">
        <f>IF(OR(B270="",G270="Concluída"),0,IF(G270="Atrasada",3000+MIN(Config!$B$5-E270,60),IF(G270="Vence em breve",2000-(E270-Config!$B$5),IF(G270="Em andamento",1000-MIN(E270-Config!$B$5,900),100)))-ROW()/100000)</f>
        <v>0</v>
      </c>
      <c r="L270" s="36">
        <f>IF(B270="","",IF(I270&lt;&gt;"",1,N(F270)))</f>
        <v/>
      </c>
    </row>
    <row r="271">
      <c r="A271" s="33" t="n"/>
      <c r="B271" s="31" t="n"/>
      <c r="C271" s="33" t="n"/>
      <c r="D271" s="34" t="n"/>
      <c r="E271" s="34" t="n"/>
      <c r="F271" s="35" t="n"/>
      <c r="G271" s="23">
        <f>IF(B271="","",IF(OR(F271&gt;=1,I271&lt;&gt;""),"Concluída",IF(E271="","Falta o prazo",IF(E271&lt;Config!$B$5,"Atrasada",IF(E271-Config!$B$5&lt;=Config!$B$6,"Vence em breve",IF(D271&lt;=Config!$B$5,"Em andamento","A iniciar"))))))</f>
        <v/>
      </c>
      <c r="H271" s="26">
        <f>IF(OR(B271="",G271="Concluída",E271=""),"",E271-Config!$B$5)</f>
        <v/>
      </c>
      <c r="I271" s="34" t="n"/>
      <c r="J271" s="31" t="n"/>
      <c r="K271" s="36">
        <f>IF(OR(B271="",G271="Concluída"),0,IF(G271="Atrasada",3000+MIN(Config!$B$5-E271,60),IF(G271="Vence em breve",2000-(E271-Config!$B$5),IF(G271="Em andamento",1000-MIN(E271-Config!$B$5,900),100)))-ROW()/100000)</f>
        <v>0</v>
      </c>
      <c r="L271" s="36">
        <f>IF(B271="","",IF(I271&lt;&gt;"",1,N(F271)))</f>
        <v/>
      </c>
    </row>
    <row r="272">
      <c r="A272" s="33" t="n"/>
      <c r="B272" s="31" t="n"/>
      <c r="C272" s="33" t="n"/>
      <c r="D272" s="34" t="n"/>
      <c r="E272" s="34" t="n"/>
      <c r="F272" s="35" t="n"/>
      <c r="G272" s="23">
        <f>IF(B272="","",IF(OR(F272&gt;=1,I272&lt;&gt;""),"Concluída",IF(E272="","Falta o prazo",IF(E272&lt;Config!$B$5,"Atrasada",IF(E272-Config!$B$5&lt;=Config!$B$6,"Vence em breve",IF(D272&lt;=Config!$B$5,"Em andamento","A iniciar"))))))</f>
        <v/>
      </c>
      <c r="H272" s="26">
        <f>IF(OR(B272="",G272="Concluída",E272=""),"",E272-Config!$B$5)</f>
        <v/>
      </c>
      <c r="I272" s="34" t="n"/>
      <c r="J272" s="31" t="n"/>
      <c r="K272" s="36">
        <f>IF(OR(B272="",G272="Concluída"),0,IF(G272="Atrasada",3000+MIN(Config!$B$5-E272,60),IF(G272="Vence em breve",2000-(E272-Config!$B$5),IF(G272="Em andamento",1000-MIN(E272-Config!$B$5,900),100)))-ROW()/100000)</f>
        <v>0</v>
      </c>
      <c r="L272" s="36">
        <f>IF(B272="","",IF(I272&lt;&gt;"",1,N(F272)))</f>
        <v/>
      </c>
    </row>
    <row r="273">
      <c r="A273" s="33" t="n"/>
      <c r="B273" s="31" t="n"/>
      <c r="C273" s="33" t="n"/>
      <c r="D273" s="34" t="n"/>
      <c r="E273" s="34" t="n"/>
      <c r="F273" s="35" t="n"/>
      <c r="G273" s="23">
        <f>IF(B273="","",IF(OR(F273&gt;=1,I273&lt;&gt;""),"Concluída",IF(E273="","Falta o prazo",IF(E273&lt;Config!$B$5,"Atrasada",IF(E273-Config!$B$5&lt;=Config!$B$6,"Vence em breve",IF(D273&lt;=Config!$B$5,"Em andamento","A iniciar"))))))</f>
        <v/>
      </c>
      <c r="H273" s="26">
        <f>IF(OR(B273="",G273="Concluída",E273=""),"",E273-Config!$B$5)</f>
        <v/>
      </c>
      <c r="I273" s="34" t="n"/>
      <c r="J273" s="31" t="n"/>
      <c r="K273" s="36">
        <f>IF(OR(B273="",G273="Concluída"),0,IF(G273="Atrasada",3000+MIN(Config!$B$5-E273,60),IF(G273="Vence em breve",2000-(E273-Config!$B$5),IF(G273="Em andamento",1000-MIN(E273-Config!$B$5,900),100)))-ROW()/100000)</f>
        <v>0</v>
      </c>
      <c r="L273" s="36">
        <f>IF(B273="","",IF(I273&lt;&gt;"",1,N(F273)))</f>
        <v/>
      </c>
    </row>
    <row r="274">
      <c r="A274" s="33" t="n"/>
      <c r="B274" s="31" t="n"/>
      <c r="C274" s="33" t="n"/>
      <c r="D274" s="34" t="n"/>
      <c r="E274" s="34" t="n"/>
      <c r="F274" s="35" t="n"/>
      <c r="G274" s="23">
        <f>IF(B274="","",IF(OR(F274&gt;=1,I274&lt;&gt;""),"Concluída",IF(E274="","Falta o prazo",IF(E274&lt;Config!$B$5,"Atrasada",IF(E274-Config!$B$5&lt;=Config!$B$6,"Vence em breve",IF(D274&lt;=Config!$B$5,"Em andamento","A iniciar"))))))</f>
        <v/>
      </c>
      <c r="H274" s="26">
        <f>IF(OR(B274="",G274="Concluída",E274=""),"",E274-Config!$B$5)</f>
        <v/>
      </c>
      <c r="I274" s="34" t="n"/>
      <c r="J274" s="31" t="n"/>
      <c r="K274" s="36">
        <f>IF(OR(B274="",G274="Concluída"),0,IF(G274="Atrasada",3000+MIN(Config!$B$5-E274,60),IF(G274="Vence em breve",2000-(E274-Config!$B$5),IF(G274="Em andamento",1000-MIN(E274-Config!$B$5,900),100)))-ROW()/100000)</f>
        <v>0</v>
      </c>
      <c r="L274" s="36">
        <f>IF(B274="","",IF(I274&lt;&gt;"",1,N(F274)))</f>
        <v/>
      </c>
    </row>
    <row r="275">
      <c r="A275" s="33" t="n"/>
      <c r="B275" s="31" t="n"/>
      <c r="C275" s="33" t="n"/>
      <c r="D275" s="34" t="n"/>
      <c r="E275" s="34" t="n"/>
      <c r="F275" s="35" t="n"/>
      <c r="G275" s="23">
        <f>IF(B275="","",IF(OR(F275&gt;=1,I275&lt;&gt;""),"Concluída",IF(E275="","Falta o prazo",IF(E275&lt;Config!$B$5,"Atrasada",IF(E275-Config!$B$5&lt;=Config!$B$6,"Vence em breve",IF(D275&lt;=Config!$B$5,"Em andamento","A iniciar"))))))</f>
        <v/>
      </c>
      <c r="H275" s="26">
        <f>IF(OR(B275="",G275="Concluída",E275=""),"",E275-Config!$B$5)</f>
        <v/>
      </c>
      <c r="I275" s="34" t="n"/>
      <c r="J275" s="31" t="n"/>
      <c r="K275" s="36">
        <f>IF(OR(B275="",G275="Concluída"),0,IF(G275="Atrasada",3000+MIN(Config!$B$5-E275,60),IF(G275="Vence em breve",2000-(E275-Config!$B$5),IF(G275="Em andamento",1000-MIN(E275-Config!$B$5,900),100)))-ROW()/100000)</f>
        <v>0</v>
      </c>
      <c r="L275" s="36">
        <f>IF(B275="","",IF(I275&lt;&gt;"",1,N(F275)))</f>
        <v/>
      </c>
    </row>
    <row r="276">
      <c r="A276" s="33" t="n"/>
      <c r="B276" s="31" t="n"/>
      <c r="C276" s="33" t="n"/>
      <c r="D276" s="34" t="n"/>
      <c r="E276" s="34" t="n"/>
      <c r="F276" s="35" t="n"/>
      <c r="G276" s="23">
        <f>IF(B276="","",IF(OR(F276&gt;=1,I276&lt;&gt;""),"Concluída",IF(E276="","Falta o prazo",IF(E276&lt;Config!$B$5,"Atrasada",IF(E276-Config!$B$5&lt;=Config!$B$6,"Vence em breve",IF(D276&lt;=Config!$B$5,"Em andamento","A iniciar"))))))</f>
        <v/>
      </c>
      <c r="H276" s="26">
        <f>IF(OR(B276="",G276="Concluída",E276=""),"",E276-Config!$B$5)</f>
        <v/>
      </c>
      <c r="I276" s="34" t="n"/>
      <c r="J276" s="31" t="n"/>
      <c r="K276" s="36">
        <f>IF(OR(B276="",G276="Concluída"),0,IF(G276="Atrasada",3000+MIN(Config!$B$5-E276,60),IF(G276="Vence em breve",2000-(E276-Config!$B$5),IF(G276="Em andamento",1000-MIN(E276-Config!$B$5,900),100)))-ROW()/100000)</f>
        <v>0</v>
      </c>
      <c r="L276" s="36">
        <f>IF(B276="","",IF(I276&lt;&gt;"",1,N(F276)))</f>
        <v/>
      </c>
    </row>
    <row r="277">
      <c r="A277" s="33" t="n"/>
      <c r="B277" s="31" t="n"/>
      <c r="C277" s="33" t="n"/>
      <c r="D277" s="34" t="n"/>
      <c r="E277" s="34" t="n"/>
      <c r="F277" s="35" t="n"/>
      <c r="G277" s="23">
        <f>IF(B277="","",IF(OR(F277&gt;=1,I277&lt;&gt;""),"Concluída",IF(E277="","Falta o prazo",IF(E277&lt;Config!$B$5,"Atrasada",IF(E277-Config!$B$5&lt;=Config!$B$6,"Vence em breve",IF(D277&lt;=Config!$B$5,"Em andamento","A iniciar"))))))</f>
        <v/>
      </c>
      <c r="H277" s="26">
        <f>IF(OR(B277="",G277="Concluída",E277=""),"",E277-Config!$B$5)</f>
        <v/>
      </c>
      <c r="I277" s="34" t="n"/>
      <c r="J277" s="31" t="n"/>
      <c r="K277" s="36">
        <f>IF(OR(B277="",G277="Concluída"),0,IF(G277="Atrasada",3000+MIN(Config!$B$5-E277,60),IF(G277="Vence em breve",2000-(E277-Config!$B$5),IF(G277="Em andamento",1000-MIN(E277-Config!$B$5,900),100)))-ROW()/100000)</f>
        <v>0</v>
      </c>
      <c r="L277" s="36">
        <f>IF(B277="","",IF(I277&lt;&gt;"",1,N(F277)))</f>
        <v/>
      </c>
    </row>
    <row r="278">
      <c r="A278" s="33" t="n"/>
      <c r="B278" s="31" t="n"/>
      <c r="C278" s="33" t="n"/>
      <c r="D278" s="34" t="n"/>
      <c r="E278" s="34" t="n"/>
      <c r="F278" s="35" t="n"/>
      <c r="G278" s="23">
        <f>IF(B278="","",IF(OR(F278&gt;=1,I278&lt;&gt;""),"Concluída",IF(E278="","Falta o prazo",IF(E278&lt;Config!$B$5,"Atrasada",IF(E278-Config!$B$5&lt;=Config!$B$6,"Vence em breve",IF(D278&lt;=Config!$B$5,"Em andamento","A iniciar"))))))</f>
        <v/>
      </c>
      <c r="H278" s="26">
        <f>IF(OR(B278="",G278="Concluída",E278=""),"",E278-Config!$B$5)</f>
        <v/>
      </c>
      <c r="I278" s="34" t="n"/>
      <c r="J278" s="31" t="n"/>
      <c r="K278" s="36">
        <f>IF(OR(B278="",G278="Concluída"),0,IF(G278="Atrasada",3000+MIN(Config!$B$5-E278,60),IF(G278="Vence em breve",2000-(E278-Config!$B$5),IF(G278="Em andamento",1000-MIN(E278-Config!$B$5,900),100)))-ROW()/100000)</f>
        <v>0</v>
      </c>
      <c r="L278" s="36">
        <f>IF(B278="","",IF(I278&lt;&gt;"",1,N(F278)))</f>
        <v/>
      </c>
    </row>
    <row r="279">
      <c r="A279" s="33" t="n"/>
      <c r="B279" s="31" t="n"/>
      <c r="C279" s="33" t="n"/>
      <c r="D279" s="34" t="n"/>
      <c r="E279" s="34" t="n"/>
      <c r="F279" s="35" t="n"/>
      <c r="G279" s="23">
        <f>IF(B279="","",IF(OR(F279&gt;=1,I279&lt;&gt;""),"Concluída",IF(E279="","Falta o prazo",IF(E279&lt;Config!$B$5,"Atrasada",IF(E279-Config!$B$5&lt;=Config!$B$6,"Vence em breve",IF(D279&lt;=Config!$B$5,"Em andamento","A iniciar"))))))</f>
        <v/>
      </c>
      <c r="H279" s="26">
        <f>IF(OR(B279="",G279="Concluída",E279=""),"",E279-Config!$B$5)</f>
        <v/>
      </c>
      <c r="I279" s="34" t="n"/>
      <c r="J279" s="31" t="n"/>
      <c r="K279" s="36">
        <f>IF(OR(B279="",G279="Concluída"),0,IF(G279="Atrasada",3000+MIN(Config!$B$5-E279,60),IF(G279="Vence em breve",2000-(E279-Config!$B$5),IF(G279="Em andamento",1000-MIN(E279-Config!$B$5,900),100)))-ROW()/100000)</f>
        <v>0</v>
      </c>
      <c r="L279" s="36">
        <f>IF(B279="","",IF(I279&lt;&gt;"",1,N(F279)))</f>
        <v/>
      </c>
    </row>
    <row r="280">
      <c r="A280" s="33" t="n"/>
      <c r="B280" s="31" t="n"/>
      <c r="C280" s="33" t="n"/>
      <c r="D280" s="34" t="n"/>
      <c r="E280" s="34" t="n"/>
      <c r="F280" s="35" t="n"/>
      <c r="G280" s="23">
        <f>IF(B280="","",IF(OR(F280&gt;=1,I280&lt;&gt;""),"Concluída",IF(E280="","Falta o prazo",IF(E280&lt;Config!$B$5,"Atrasada",IF(E280-Config!$B$5&lt;=Config!$B$6,"Vence em breve",IF(D280&lt;=Config!$B$5,"Em andamento","A iniciar"))))))</f>
        <v/>
      </c>
      <c r="H280" s="26">
        <f>IF(OR(B280="",G280="Concluída",E280=""),"",E280-Config!$B$5)</f>
        <v/>
      </c>
      <c r="I280" s="34" t="n"/>
      <c r="J280" s="31" t="n"/>
      <c r="K280" s="36">
        <f>IF(OR(B280="",G280="Concluída"),0,IF(G280="Atrasada",3000+MIN(Config!$B$5-E280,60),IF(G280="Vence em breve",2000-(E280-Config!$B$5),IF(G280="Em andamento",1000-MIN(E280-Config!$B$5,900),100)))-ROW()/100000)</f>
        <v>0</v>
      </c>
      <c r="L280" s="36">
        <f>IF(B280="","",IF(I280&lt;&gt;"",1,N(F280)))</f>
        <v/>
      </c>
    </row>
    <row r="281">
      <c r="A281" s="33" t="n"/>
      <c r="B281" s="31" t="n"/>
      <c r="C281" s="33" t="n"/>
      <c r="D281" s="34" t="n"/>
      <c r="E281" s="34" t="n"/>
      <c r="F281" s="35" t="n"/>
      <c r="G281" s="23">
        <f>IF(B281="","",IF(OR(F281&gt;=1,I281&lt;&gt;""),"Concluída",IF(E281="","Falta o prazo",IF(E281&lt;Config!$B$5,"Atrasada",IF(E281-Config!$B$5&lt;=Config!$B$6,"Vence em breve",IF(D281&lt;=Config!$B$5,"Em andamento","A iniciar"))))))</f>
        <v/>
      </c>
      <c r="H281" s="26">
        <f>IF(OR(B281="",G281="Concluída",E281=""),"",E281-Config!$B$5)</f>
        <v/>
      </c>
      <c r="I281" s="34" t="n"/>
      <c r="J281" s="31" t="n"/>
      <c r="K281" s="36">
        <f>IF(OR(B281="",G281="Concluída"),0,IF(G281="Atrasada",3000+MIN(Config!$B$5-E281,60),IF(G281="Vence em breve",2000-(E281-Config!$B$5),IF(G281="Em andamento",1000-MIN(E281-Config!$B$5,900),100)))-ROW()/100000)</f>
        <v>0</v>
      </c>
      <c r="L281" s="36">
        <f>IF(B281="","",IF(I281&lt;&gt;"",1,N(F281)))</f>
        <v/>
      </c>
    </row>
    <row r="282">
      <c r="A282" s="33" t="n"/>
      <c r="B282" s="31" t="n"/>
      <c r="C282" s="33" t="n"/>
      <c r="D282" s="34" t="n"/>
      <c r="E282" s="34" t="n"/>
      <c r="F282" s="35" t="n"/>
      <c r="G282" s="23">
        <f>IF(B282="","",IF(OR(F282&gt;=1,I282&lt;&gt;""),"Concluída",IF(E282="","Falta o prazo",IF(E282&lt;Config!$B$5,"Atrasada",IF(E282-Config!$B$5&lt;=Config!$B$6,"Vence em breve",IF(D282&lt;=Config!$B$5,"Em andamento","A iniciar"))))))</f>
        <v/>
      </c>
      <c r="H282" s="26">
        <f>IF(OR(B282="",G282="Concluída",E282=""),"",E282-Config!$B$5)</f>
        <v/>
      </c>
      <c r="I282" s="34" t="n"/>
      <c r="J282" s="31" t="n"/>
      <c r="K282" s="36">
        <f>IF(OR(B282="",G282="Concluída"),0,IF(G282="Atrasada",3000+MIN(Config!$B$5-E282,60),IF(G282="Vence em breve",2000-(E282-Config!$B$5),IF(G282="Em andamento",1000-MIN(E282-Config!$B$5,900),100)))-ROW()/100000)</f>
        <v>0</v>
      </c>
      <c r="L282" s="36">
        <f>IF(B282="","",IF(I282&lt;&gt;"",1,N(F282)))</f>
        <v/>
      </c>
    </row>
    <row r="283">
      <c r="A283" s="33" t="n"/>
      <c r="B283" s="31" t="n"/>
      <c r="C283" s="33" t="n"/>
      <c r="D283" s="34" t="n"/>
      <c r="E283" s="34" t="n"/>
      <c r="F283" s="35" t="n"/>
      <c r="G283" s="23">
        <f>IF(B283="","",IF(OR(F283&gt;=1,I283&lt;&gt;""),"Concluída",IF(E283="","Falta o prazo",IF(E283&lt;Config!$B$5,"Atrasada",IF(E283-Config!$B$5&lt;=Config!$B$6,"Vence em breve",IF(D283&lt;=Config!$B$5,"Em andamento","A iniciar"))))))</f>
        <v/>
      </c>
      <c r="H283" s="26">
        <f>IF(OR(B283="",G283="Concluída",E283=""),"",E283-Config!$B$5)</f>
        <v/>
      </c>
      <c r="I283" s="34" t="n"/>
      <c r="J283" s="31" t="n"/>
      <c r="K283" s="36">
        <f>IF(OR(B283="",G283="Concluída"),0,IF(G283="Atrasada",3000+MIN(Config!$B$5-E283,60),IF(G283="Vence em breve",2000-(E283-Config!$B$5),IF(G283="Em andamento",1000-MIN(E283-Config!$B$5,900),100)))-ROW()/100000)</f>
        <v>0</v>
      </c>
      <c r="L283" s="36">
        <f>IF(B283="","",IF(I283&lt;&gt;"",1,N(F283)))</f>
        <v/>
      </c>
    </row>
    <row r="284">
      <c r="A284" s="33" t="n"/>
      <c r="B284" s="31" t="n"/>
      <c r="C284" s="33" t="n"/>
      <c r="D284" s="34" t="n"/>
      <c r="E284" s="34" t="n"/>
      <c r="F284" s="35" t="n"/>
      <c r="G284" s="23">
        <f>IF(B284="","",IF(OR(F284&gt;=1,I284&lt;&gt;""),"Concluída",IF(E284="","Falta o prazo",IF(E284&lt;Config!$B$5,"Atrasada",IF(E284-Config!$B$5&lt;=Config!$B$6,"Vence em breve",IF(D284&lt;=Config!$B$5,"Em andamento","A iniciar"))))))</f>
        <v/>
      </c>
      <c r="H284" s="26">
        <f>IF(OR(B284="",G284="Concluída",E284=""),"",E284-Config!$B$5)</f>
        <v/>
      </c>
      <c r="I284" s="34" t="n"/>
      <c r="J284" s="31" t="n"/>
      <c r="K284" s="36">
        <f>IF(OR(B284="",G284="Concluída"),0,IF(G284="Atrasada",3000+MIN(Config!$B$5-E284,60),IF(G284="Vence em breve",2000-(E284-Config!$B$5),IF(G284="Em andamento",1000-MIN(E284-Config!$B$5,900),100)))-ROW()/100000)</f>
        <v>0</v>
      </c>
      <c r="L284" s="36">
        <f>IF(B284="","",IF(I284&lt;&gt;"",1,N(F284)))</f>
        <v/>
      </c>
    </row>
    <row r="285">
      <c r="A285" s="33" t="n"/>
      <c r="B285" s="31" t="n"/>
      <c r="C285" s="33" t="n"/>
      <c r="D285" s="34" t="n"/>
      <c r="E285" s="34" t="n"/>
      <c r="F285" s="35" t="n"/>
      <c r="G285" s="23">
        <f>IF(B285="","",IF(OR(F285&gt;=1,I285&lt;&gt;""),"Concluída",IF(E285="","Falta o prazo",IF(E285&lt;Config!$B$5,"Atrasada",IF(E285-Config!$B$5&lt;=Config!$B$6,"Vence em breve",IF(D285&lt;=Config!$B$5,"Em andamento","A iniciar"))))))</f>
        <v/>
      </c>
      <c r="H285" s="26">
        <f>IF(OR(B285="",G285="Concluída",E285=""),"",E285-Config!$B$5)</f>
        <v/>
      </c>
      <c r="I285" s="34" t="n"/>
      <c r="J285" s="31" t="n"/>
      <c r="K285" s="36">
        <f>IF(OR(B285="",G285="Concluída"),0,IF(G285="Atrasada",3000+MIN(Config!$B$5-E285,60),IF(G285="Vence em breve",2000-(E285-Config!$B$5),IF(G285="Em andamento",1000-MIN(E285-Config!$B$5,900),100)))-ROW()/100000)</f>
        <v>0</v>
      </c>
      <c r="L285" s="36">
        <f>IF(B285="","",IF(I285&lt;&gt;"",1,N(F285)))</f>
        <v/>
      </c>
    </row>
    <row r="286">
      <c r="A286" s="33" t="n"/>
      <c r="B286" s="31" t="n"/>
      <c r="C286" s="33" t="n"/>
      <c r="D286" s="34" t="n"/>
      <c r="E286" s="34" t="n"/>
      <c r="F286" s="35" t="n"/>
      <c r="G286" s="23">
        <f>IF(B286="","",IF(OR(F286&gt;=1,I286&lt;&gt;""),"Concluída",IF(E286="","Falta o prazo",IF(E286&lt;Config!$B$5,"Atrasada",IF(E286-Config!$B$5&lt;=Config!$B$6,"Vence em breve",IF(D286&lt;=Config!$B$5,"Em andamento","A iniciar"))))))</f>
        <v/>
      </c>
      <c r="H286" s="26">
        <f>IF(OR(B286="",G286="Concluída",E286=""),"",E286-Config!$B$5)</f>
        <v/>
      </c>
      <c r="I286" s="34" t="n"/>
      <c r="J286" s="31" t="n"/>
      <c r="K286" s="36">
        <f>IF(OR(B286="",G286="Concluída"),0,IF(G286="Atrasada",3000+MIN(Config!$B$5-E286,60),IF(G286="Vence em breve",2000-(E286-Config!$B$5),IF(G286="Em andamento",1000-MIN(E286-Config!$B$5,900),100)))-ROW()/100000)</f>
        <v>0</v>
      </c>
      <c r="L286" s="36">
        <f>IF(B286="","",IF(I286&lt;&gt;"",1,N(F286)))</f>
        <v/>
      </c>
    </row>
    <row r="287">
      <c r="A287" s="33" t="n"/>
      <c r="B287" s="31" t="n"/>
      <c r="C287" s="33" t="n"/>
      <c r="D287" s="34" t="n"/>
      <c r="E287" s="34" t="n"/>
      <c r="F287" s="35" t="n"/>
      <c r="G287" s="23">
        <f>IF(B287="","",IF(OR(F287&gt;=1,I287&lt;&gt;""),"Concluída",IF(E287="","Falta o prazo",IF(E287&lt;Config!$B$5,"Atrasada",IF(E287-Config!$B$5&lt;=Config!$B$6,"Vence em breve",IF(D287&lt;=Config!$B$5,"Em andamento","A iniciar"))))))</f>
        <v/>
      </c>
      <c r="H287" s="26">
        <f>IF(OR(B287="",G287="Concluída",E287=""),"",E287-Config!$B$5)</f>
        <v/>
      </c>
      <c r="I287" s="34" t="n"/>
      <c r="J287" s="31" t="n"/>
      <c r="K287" s="36">
        <f>IF(OR(B287="",G287="Concluída"),0,IF(G287="Atrasada",3000+MIN(Config!$B$5-E287,60),IF(G287="Vence em breve",2000-(E287-Config!$B$5),IF(G287="Em andamento",1000-MIN(E287-Config!$B$5,900),100)))-ROW()/100000)</f>
        <v>0</v>
      </c>
      <c r="L287" s="36">
        <f>IF(B287="","",IF(I287&lt;&gt;"",1,N(F287)))</f>
        <v/>
      </c>
    </row>
    <row r="288">
      <c r="A288" s="33" t="n"/>
      <c r="B288" s="31" t="n"/>
      <c r="C288" s="33" t="n"/>
      <c r="D288" s="34" t="n"/>
      <c r="E288" s="34" t="n"/>
      <c r="F288" s="35" t="n"/>
      <c r="G288" s="23">
        <f>IF(B288="","",IF(OR(F288&gt;=1,I288&lt;&gt;""),"Concluída",IF(E288="","Falta o prazo",IF(E288&lt;Config!$B$5,"Atrasada",IF(E288-Config!$B$5&lt;=Config!$B$6,"Vence em breve",IF(D288&lt;=Config!$B$5,"Em andamento","A iniciar"))))))</f>
        <v/>
      </c>
      <c r="H288" s="26">
        <f>IF(OR(B288="",G288="Concluída",E288=""),"",E288-Config!$B$5)</f>
        <v/>
      </c>
      <c r="I288" s="34" t="n"/>
      <c r="J288" s="31" t="n"/>
      <c r="K288" s="36">
        <f>IF(OR(B288="",G288="Concluída"),0,IF(G288="Atrasada",3000+MIN(Config!$B$5-E288,60),IF(G288="Vence em breve",2000-(E288-Config!$B$5),IF(G288="Em andamento",1000-MIN(E288-Config!$B$5,900),100)))-ROW()/100000)</f>
        <v>0</v>
      </c>
      <c r="L288" s="36">
        <f>IF(B288="","",IF(I288&lt;&gt;"",1,N(F288)))</f>
        <v/>
      </c>
    </row>
    <row r="289">
      <c r="A289" s="33" t="n"/>
      <c r="B289" s="31" t="n"/>
      <c r="C289" s="33" t="n"/>
      <c r="D289" s="34" t="n"/>
      <c r="E289" s="34" t="n"/>
      <c r="F289" s="35" t="n"/>
      <c r="G289" s="23">
        <f>IF(B289="","",IF(OR(F289&gt;=1,I289&lt;&gt;""),"Concluída",IF(E289="","Falta o prazo",IF(E289&lt;Config!$B$5,"Atrasada",IF(E289-Config!$B$5&lt;=Config!$B$6,"Vence em breve",IF(D289&lt;=Config!$B$5,"Em andamento","A iniciar"))))))</f>
        <v/>
      </c>
      <c r="H289" s="26">
        <f>IF(OR(B289="",G289="Concluída",E289=""),"",E289-Config!$B$5)</f>
        <v/>
      </c>
      <c r="I289" s="34" t="n"/>
      <c r="J289" s="31" t="n"/>
      <c r="K289" s="36">
        <f>IF(OR(B289="",G289="Concluída"),0,IF(G289="Atrasada",3000+MIN(Config!$B$5-E289,60),IF(G289="Vence em breve",2000-(E289-Config!$B$5),IF(G289="Em andamento",1000-MIN(E289-Config!$B$5,900),100)))-ROW()/100000)</f>
        <v>0</v>
      </c>
      <c r="L289" s="36">
        <f>IF(B289="","",IF(I289&lt;&gt;"",1,N(F289)))</f>
        <v/>
      </c>
    </row>
    <row r="290">
      <c r="A290" s="33" t="n"/>
      <c r="B290" s="31" t="n"/>
      <c r="C290" s="33" t="n"/>
      <c r="D290" s="34" t="n"/>
      <c r="E290" s="34" t="n"/>
      <c r="F290" s="35" t="n"/>
      <c r="G290" s="23">
        <f>IF(B290="","",IF(OR(F290&gt;=1,I290&lt;&gt;""),"Concluída",IF(E290="","Falta o prazo",IF(E290&lt;Config!$B$5,"Atrasada",IF(E290-Config!$B$5&lt;=Config!$B$6,"Vence em breve",IF(D290&lt;=Config!$B$5,"Em andamento","A iniciar"))))))</f>
        <v/>
      </c>
      <c r="H290" s="26">
        <f>IF(OR(B290="",G290="Concluída",E290=""),"",E290-Config!$B$5)</f>
        <v/>
      </c>
      <c r="I290" s="34" t="n"/>
      <c r="J290" s="31" t="n"/>
      <c r="K290" s="36">
        <f>IF(OR(B290="",G290="Concluída"),0,IF(G290="Atrasada",3000+MIN(Config!$B$5-E290,60),IF(G290="Vence em breve",2000-(E290-Config!$B$5),IF(G290="Em andamento",1000-MIN(E290-Config!$B$5,900),100)))-ROW()/100000)</f>
        <v>0</v>
      </c>
      <c r="L290" s="36">
        <f>IF(B290="","",IF(I290&lt;&gt;"",1,N(F290)))</f>
        <v/>
      </c>
    </row>
    <row r="291">
      <c r="A291" s="33" t="n"/>
      <c r="B291" s="31" t="n"/>
      <c r="C291" s="33" t="n"/>
      <c r="D291" s="34" t="n"/>
      <c r="E291" s="34" t="n"/>
      <c r="F291" s="35" t="n"/>
      <c r="G291" s="23">
        <f>IF(B291="","",IF(OR(F291&gt;=1,I291&lt;&gt;""),"Concluída",IF(E291="","Falta o prazo",IF(E291&lt;Config!$B$5,"Atrasada",IF(E291-Config!$B$5&lt;=Config!$B$6,"Vence em breve",IF(D291&lt;=Config!$B$5,"Em andamento","A iniciar"))))))</f>
        <v/>
      </c>
      <c r="H291" s="26">
        <f>IF(OR(B291="",G291="Concluída",E291=""),"",E291-Config!$B$5)</f>
        <v/>
      </c>
      <c r="I291" s="34" t="n"/>
      <c r="J291" s="31" t="n"/>
      <c r="K291" s="36">
        <f>IF(OR(B291="",G291="Concluída"),0,IF(G291="Atrasada",3000+MIN(Config!$B$5-E291,60),IF(G291="Vence em breve",2000-(E291-Config!$B$5),IF(G291="Em andamento",1000-MIN(E291-Config!$B$5,900),100)))-ROW()/100000)</f>
        <v>0</v>
      </c>
      <c r="L291" s="36">
        <f>IF(B291="","",IF(I291&lt;&gt;"",1,N(F291)))</f>
        <v/>
      </c>
    </row>
    <row r="292">
      <c r="A292" s="33" t="n"/>
      <c r="B292" s="31" t="n"/>
      <c r="C292" s="33" t="n"/>
      <c r="D292" s="34" t="n"/>
      <c r="E292" s="34" t="n"/>
      <c r="F292" s="35" t="n"/>
      <c r="G292" s="23">
        <f>IF(B292="","",IF(OR(F292&gt;=1,I292&lt;&gt;""),"Concluída",IF(E292="","Falta o prazo",IF(E292&lt;Config!$B$5,"Atrasada",IF(E292-Config!$B$5&lt;=Config!$B$6,"Vence em breve",IF(D292&lt;=Config!$B$5,"Em andamento","A iniciar"))))))</f>
        <v/>
      </c>
      <c r="H292" s="26">
        <f>IF(OR(B292="",G292="Concluída",E292=""),"",E292-Config!$B$5)</f>
        <v/>
      </c>
      <c r="I292" s="34" t="n"/>
      <c r="J292" s="31" t="n"/>
      <c r="K292" s="36">
        <f>IF(OR(B292="",G292="Concluída"),0,IF(G292="Atrasada",3000+MIN(Config!$B$5-E292,60),IF(G292="Vence em breve",2000-(E292-Config!$B$5),IF(G292="Em andamento",1000-MIN(E292-Config!$B$5,900),100)))-ROW()/100000)</f>
        <v>0</v>
      </c>
      <c r="L292" s="36">
        <f>IF(B292="","",IF(I292&lt;&gt;"",1,N(F292)))</f>
        <v/>
      </c>
    </row>
    <row r="293">
      <c r="A293" s="33" t="n"/>
      <c r="B293" s="31" t="n"/>
      <c r="C293" s="33" t="n"/>
      <c r="D293" s="34" t="n"/>
      <c r="E293" s="34" t="n"/>
      <c r="F293" s="35" t="n"/>
      <c r="G293" s="23">
        <f>IF(B293="","",IF(OR(F293&gt;=1,I293&lt;&gt;""),"Concluída",IF(E293="","Falta o prazo",IF(E293&lt;Config!$B$5,"Atrasada",IF(E293-Config!$B$5&lt;=Config!$B$6,"Vence em breve",IF(D293&lt;=Config!$B$5,"Em andamento","A iniciar"))))))</f>
        <v/>
      </c>
      <c r="H293" s="26">
        <f>IF(OR(B293="",G293="Concluída",E293=""),"",E293-Config!$B$5)</f>
        <v/>
      </c>
      <c r="I293" s="34" t="n"/>
      <c r="J293" s="31" t="n"/>
      <c r="K293" s="36">
        <f>IF(OR(B293="",G293="Concluída"),0,IF(G293="Atrasada",3000+MIN(Config!$B$5-E293,60),IF(G293="Vence em breve",2000-(E293-Config!$B$5),IF(G293="Em andamento",1000-MIN(E293-Config!$B$5,900),100)))-ROW()/100000)</f>
        <v>0</v>
      </c>
      <c r="L293" s="36">
        <f>IF(B293="","",IF(I293&lt;&gt;"",1,N(F293)))</f>
        <v/>
      </c>
    </row>
    <row r="294">
      <c r="A294" s="33" t="n"/>
      <c r="B294" s="31" t="n"/>
      <c r="C294" s="33" t="n"/>
      <c r="D294" s="34" t="n"/>
      <c r="E294" s="34" t="n"/>
      <c r="F294" s="35" t="n"/>
      <c r="G294" s="23">
        <f>IF(B294="","",IF(OR(F294&gt;=1,I294&lt;&gt;""),"Concluída",IF(E294="","Falta o prazo",IF(E294&lt;Config!$B$5,"Atrasada",IF(E294-Config!$B$5&lt;=Config!$B$6,"Vence em breve",IF(D294&lt;=Config!$B$5,"Em andamento","A iniciar"))))))</f>
        <v/>
      </c>
      <c r="H294" s="26">
        <f>IF(OR(B294="",G294="Concluída",E294=""),"",E294-Config!$B$5)</f>
        <v/>
      </c>
      <c r="I294" s="34" t="n"/>
      <c r="J294" s="31" t="n"/>
      <c r="K294" s="36">
        <f>IF(OR(B294="",G294="Concluída"),0,IF(G294="Atrasada",3000+MIN(Config!$B$5-E294,60),IF(G294="Vence em breve",2000-(E294-Config!$B$5),IF(G294="Em andamento",1000-MIN(E294-Config!$B$5,900),100)))-ROW()/100000)</f>
        <v>0</v>
      </c>
      <c r="L294" s="36">
        <f>IF(B294="","",IF(I294&lt;&gt;"",1,N(F294)))</f>
        <v/>
      </c>
    </row>
    <row r="295">
      <c r="A295" s="33" t="n"/>
      <c r="B295" s="31" t="n"/>
      <c r="C295" s="33" t="n"/>
      <c r="D295" s="34" t="n"/>
      <c r="E295" s="34" t="n"/>
      <c r="F295" s="35" t="n"/>
      <c r="G295" s="23">
        <f>IF(B295="","",IF(OR(F295&gt;=1,I295&lt;&gt;""),"Concluída",IF(E295="","Falta o prazo",IF(E295&lt;Config!$B$5,"Atrasada",IF(E295-Config!$B$5&lt;=Config!$B$6,"Vence em breve",IF(D295&lt;=Config!$B$5,"Em andamento","A iniciar"))))))</f>
        <v/>
      </c>
      <c r="H295" s="26">
        <f>IF(OR(B295="",G295="Concluída",E295=""),"",E295-Config!$B$5)</f>
        <v/>
      </c>
      <c r="I295" s="34" t="n"/>
      <c r="J295" s="31" t="n"/>
      <c r="K295" s="36">
        <f>IF(OR(B295="",G295="Concluída"),0,IF(G295="Atrasada",3000+MIN(Config!$B$5-E295,60),IF(G295="Vence em breve",2000-(E295-Config!$B$5),IF(G295="Em andamento",1000-MIN(E295-Config!$B$5,900),100)))-ROW()/100000)</f>
        <v>0</v>
      </c>
      <c r="L295" s="36">
        <f>IF(B295="","",IF(I295&lt;&gt;"",1,N(F295)))</f>
        <v/>
      </c>
    </row>
    <row r="296">
      <c r="A296" s="33" t="n"/>
      <c r="B296" s="31" t="n"/>
      <c r="C296" s="33" t="n"/>
      <c r="D296" s="34" t="n"/>
      <c r="E296" s="34" t="n"/>
      <c r="F296" s="35" t="n"/>
      <c r="G296" s="23">
        <f>IF(B296="","",IF(OR(F296&gt;=1,I296&lt;&gt;""),"Concluída",IF(E296="","Falta o prazo",IF(E296&lt;Config!$B$5,"Atrasada",IF(E296-Config!$B$5&lt;=Config!$B$6,"Vence em breve",IF(D296&lt;=Config!$B$5,"Em andamento","A iniciar"))))))</f>
        <v/>
      </c>
      <c r="H296" s="26">
        <f>IF(OR(B296="",G296="Concluída",E296=""),"",E296-Config!$B$5)</f>
        <v/>
      </c>
      <c r="I296" s="34" t="n"/>
      <c r="J296" s="31" t="n"/>
      <c r="K296" s="36">
        <f>IF(OR(B296="",G296="Concluída"),0,IF(G296="Atrasada",3000+MIN(Config!$B$5-E296,60),IF(G296="Vence em breve",2000-(E296-Config!$B$5),IF(G296="Em andamento",1000-MIN(E296-Config!$B$5,900),100)))-ROW()/100000)</f>
        <v>0</v>
      </c>
      <c r="L296" s="36">
        <f>IF(B296="","",IF(I296&lt;&gt;"",1,N(F296)))</f>
        <v/>
      </c>
    </row>
    <row r="297">
      <c r="A297" s="33" t="n"/>
      <c r="B297" s="31" t="n"/>
      <c r="C297" s="33" t="n"/>
      <c r="D297" s="34" t="n"/>
      <c r="E297" s="34" t="n"/>
      <c r="F297" s="35" t="n"/>
      <c r="G297" s="23">
        <f>IF(B297="","",IF(OR(F297&gt;=1,I297&lt;&gt;""),"Concluída",IF(E297="","Falta o prazo",IF(E297&lt;Config!$B$5,"Atrasada",IF(E297-Config!$B$5&lt;=Config!$B$6,"Vence em breve",IF(D297&lt;=Config!$B$5,"Em andamento","A iniciar"))))))</f>
        <v/>
      </c>
      <c r="H297" s="26">
        <f>IF(OR(B297="",G297="Concluída",E297=""),"",E297-Config!$B$5)</f>
        <v/>
      </c>
      <c r="I297" s="34" t="n"/>
      <c r="J297" s="31" t="n"/>
      <c r="K297" s="36">
        <f>IF(OR(B297="",G297="Concluída"),0,IF(G297="Atrasada",3000+MIN(Config!$B$5-E297,60),IF(G297="Vence em breve",2000-(E297-Config!$B$5),IF(G297="Em andamento",1000-MIN(E297-Config!$B$5,900),100)))-ROW()/100000)</f>
        <v>0</v>
      </c>
      <c r="L297" s="36">
        <f>IF(B297="","",IF(I297&lt;&gt;"",1,N(F297)))</f>
        <v/>
      </c>
    </row>
    <row r="298">
      <c r="A298" s="33" t="n"/>
      <c r="B298" s="31" t="n"/>
      <c r="C298" s="33" t="n"/>
      <c r="D298" s="34" t="n"/>
      <c r="E298" s="34" t="n"/>
      <c r="F298" s="35" t="n"/>
      <c r="G298" s="23">
        <f>IF(B298="","",IF(OR(F298&gt;=1,I298&lt;&gt;""),"Concluída",IF(E298="","Falta o prazo",IF(E298&lt;Config!$B$5,"Atrasada",IF(E298-Config!$B$5&lt;=Config!$B$6,"Vence em breve",IF(D298&lt;=Config!$B$5,"Em andamento","A iniciar"))))))</f>
        <v/>
      </c>
      <c r="H298" s="26">
        <f>IF(OR(B298="",G298="Concluída",E298=""),"",E298-Config!$B$5)</f>
        <v/>
      </c>
      <c r="I298" s="34" t="n"/>
      <c r="J298" s="31" t="n"/>
      <c r="K298" s="36">
        <f>IF(OR(B298="",G298="Concluída"),0,IF(G298="Atrasada",3000+MIN(Config!$B$5-E298,60),IF(G298="Vence em breve",2000-(E298-Config!$B$5),IF(G298="Em andamento",1000-MIN(E298-Config!$B$5,900),100)))-ROW()/100000)</f>
        <v>0</v>
      </c>
      <c r="L298" s="36">
        <f>IF(B298="","",IF(I298&lt;&gt;"",1,N(F298)))</f>
        <v/>
      </c>
    </row>
    <row r="299">
      <c r="A299" s="33" t="n"/>
      <c r="B299" s="31" t="n"/>
      <c r="C299" s="33" t="n"/>
      <c r="D299" s="34" t="n"/>
      <c r="E299" s="34" t="n"/>
      <c r="F299" s="35" t="n"/>
      <c r="G299" s="23">
        <f>IF(B299="","",IF(OR(F299&gt;=1,I299&lt;&gt;""),"Concluída",IF(E299="","Falta o prazo",IF(E299&lt;Config!$B$5,"Atrasada",IF(E299-Config!$B$5&lt;=Config!$B$6,"Vence em breve",IF(D299&lt;=Config!$B$5,"Em andamento","A iniciar"))))))</f>
        <v/>
      </c>
      <c r="H299" s="26">
        <f>IF(OR(B299="",G299="Concluída",E299=""),"",E299-Config!$B$5)</f>
        <v/>
      </c>
      <c r="I299" s="34" t="n"/>
      <c r="J299" s="31" t="n"/>
      <c r="K299" s="36">
        <f>IF(OR(B299="",G299="Concluída"),0,IF(G299="Atrasada",3000+MIN(Config!$B$5-E299,60),IF(G299="Vence em breve",2000-(E299-Config!$B$5),IF(G299="Em andamento",1000-MIN(E299-Config!$B$5,900),100)))-ROW()/100000)</f>
        <v>0</v>
      </c>
      <c r="L299" s="36">
        <f>IF(B299="","",IF(I299&lt;&gt;"",1,N(F299)))</f>
        <v/>
      </c>
    </row>
    <row r="300">
      <c r="A300" s="33" t="n"/>
      <c r="B300" s="31" t="n"/>
      <c r="C300" s="33" t="n"/>
      <c r="D300" s="34" t="n"/>
      <c r="E300" s="34" t="n"/>
      <c r="F300" s="35" t="n"/>
      <c r="G300" s="23">
        <f>IF(B300="","",IF(OR(F300&gt;=1,I300&lt;&gt;""),"Concluída",IF(E300="","Falta o prazo",IF(E300&lt;Config!$B$5,"Atrasada",IF(E300-Config!$B$5&lt;=Config!$B$6,"Vence em breve",IF(D300&lt;=Config!$B$5,"Em andamento","A iniciar"))))))</f>
        <v/>
      </c>
      <c r="H300" s="26">
        <f>IF(OR(B300="",G300="Concluída",E300=""),"",E300-Config!$B$5)</f>
        <v/>
      </c>
      <c r="I300" s="34" t="n"/>
      <c r="J300" s="31" t="n"/>
      <c r="K300" s="36">
        <f>IF(OR(B300="",G300="Concluída"),0,IF(G300="Atrasada",3000+MIN(Config!$B$5-E300,60),IF(G300="Vence em breve",2000-(E300-Config!$B$5),IF(G300="Em andamento",1000-MIN(E300-Config!$B$5,900),100)))-ROW()/100000)</f>
        <v>0</v>
      </c>
      <c r="L300" s="36">
        <f>IF(B300="","",IF(I300&lt;&gt;"",1,N(F300)))</f>
        <v/>
      </c>
    </row>
    <row r="301">
      <c r="A301" s="33" t="n"/>
      <c r="B301" s="31" t="n"/>
      <c r="C301" s="33" t="n"/>
      <c r="D301" s="34" t="n"/>
      <c r="E301" s="34" t="n"/>
      <c r="F301" s="35" t="n"/>
      <c r="G301" s="23">
        <f>IF(B301="","",IF(OR(F301&gt;=1,I301&lt;&gt;""),"Concluída",IF(E301="","Falta o prazo",IF(E301&lt;Config!$B$5,"Atrasada",IF(E301-Config!$B$5&lt;=Config!$B$6,"Vence em breve",IF(D301&lt;=Config!$B$5,"Em andamento","A iniciar"))))))</f>
        <v/>
      </c>
      <c r="H301" s="26">
        <f>IF(OR(B301="",G301="Concluída",E301=""),"",E301-Config!$B$5)</f>
        <v/>
      </c>
      <c r="I301" s="34" t="n"/>
      <c r="J301" s="31" t="n"/>
      <c r="K301" s="36">
        <f>IF(OR(B301="",G301="Concluída"),0,IF(G301="Atrasada",3000+MIN(Config!$B$5-E301,60),IF(G301="Vence em breve",2000-(E301-Config!$B$5),IF(G301="Em andamento",1000-MIN(E301-Config!$B$5,900),100)))-ROW()/100000)</f>
        <v>0</v>
      </c>
      <c r="L301" s="36">
        <f>IF(B301="","",IF(I301&lt;&gt;"",1,N(F301)))</f>
        <v/>
      </c>
    </row>
    <row r="302">
      <c r="A302" s="33" t="n"/>
      <c r="B302" s="31" t="n"/>
      <c r="C302" s="33" t="n"/>
      <c r="D302" s="34" t="n"/>
      <c r="E302" s="34" t="n"/>
      <c r="F302" s="35" t="n"/>
      <c r="G302" s="23">
        <f>IF(B302="","",IF(OR(F302&gt;=1,I302&lt;&gt;""),"Concluída",IF(E302="","Falta o prazo",IF(E302&lt;Config!$B$5,"Atrasada",IF(E302-Config!$B$5&lt;=Config!$B$6,"Vence em breve",IF(D302&lt;=Config!$B$5,"Em andamento","A iniciar"))))))</f>
        <v/>
      </c>
      <c r="H302" s="26">
        <f>IF(OR(B302="",G302="Concluída",E302=""),"",E302-Config!$B$5)</f>
        <v/>
      </c>
      <c r="I302" s="34" t="n"/>
      <c r="J302" s="31" t="n"/>
      <c r="K302" s="36">
        <f>IF(OR(B302="",G302="Concluída"),0,IF(G302="Atrasada",3000+MIN(Config!$B$5-E302,60),IF(G302="Vence em breve",2000-(E302-Config!$B$5),IF(G302="Em andamento",1000-MIN(E302-Config!$B$5,900),100)))-ROW()/100000)</f>
        <v>0</v>
      </c>
      <c r="L302" s="36">
        <f>IF(B302="","",IF(I302&lt;&gt;"",1,N(F302)))</f>
        <v/>
      </c>
    </row>
    <row r="303">
      <c r="A303" s="33" t="n"/>
      <c r="B303" s="31" t="n"/>
      <c r="C303" s="33" t="n"/>
      <c r="D303" s="34" t="n"/>
      <c r="E303" s="34" t="n"/>
      <c r="F303" s="35" t="n"/>
      <c r="G303" s="23">
        <f>IF(B303="","",IF(OR(F303&gt;=1,I303&lt;&gt;""),"Concluída",IF(E303="","Falta o prazo",IF(E303&lt;Config!$B$5,"Atrasada",IF(E303-Config!$B$5&lt;=Config!$B$6,"Vence em breve",IF(D303&lt;=Config!$B$5,"Em andamento","A iniciar"))))))</f>
        <v/>
      </c>
      <c r="H303" s="26">
        <f>IF(OR(B303="",G303="Concluída",E303=""),"",E303-Config!$B$5)</f>
        <v/>
      </c>
      <c r="I303" s="34" t="n"/>
      <c r="J303" s="31" t="n"/>
      <c r="K303" s="36">
        <f>IF(OR(B303="",G303="Concluída"),0,IF(G303="Atrasada",3000+MIN(Config!$B$5-E303,60),IF(G303="Vence em breve",2000-(E303-Config!$B$5),IF(G303="Em andamento",1000-MIN(E303-Config!$B$5,900),100)))-ROW()/100000)</f>
        <v>0</v>
      </c>
      <c r="L303" s="36">
        <f>IF(B303="","",IF(I303&lt;&gt;"",1,N(F303)))</f>
        <v/>
      </c>
    </row>
    <row r="304">
      <c r="A304" s="33" t="n"/>
      <c r="B304" s="31" t="n"/>
      <c r="C304" s="33" t="n"/>
      <c r="D304" s="34" t="n"/>
      <c r="E304" s="34" t="n"/>
      <c r="F304" s="35" t="n"/>
      <c r="G304" s="23">
        <f>IF(B304="","",IF(OR(F304&gt;=1,I304&lt;&gt;""),"Concluída",IF(E304="","Falta o prazo",IF(E304&lt;Config!$B$5,"Atrasada",IF(E304-Config!$B$5&lt;=Config!$B$6,"Vence em breve",IF(D304&lt;=Config!$B$5,"Em andamento","A iniciar"))))))</f>
        <v/>
      </c>
      <c r="H304" s="26">
        <f>IF(OR(B304="",G304="Concluída",E304=""),"",E304-Config!$B$5)</f>
        <v/>
      </c>
      <c r="I304" s="34" t="n"/>
      <c r="J304" s="31" t="n"/>
      <c r="K304" s="36">
        <f>IF(OR(B304="",G304="Concluída"),0,IF(G304="Atrasada",3000+MIN(Config!$B$5-E304,60),IF(G304="Vence em breve",2000-(E304-Config!$B$5),IF(G304="Em andamento",1000-MIN(E304-Config!$B$5,900),100)))-ROW()/100000)</f>
        <v>0</v>
      </c>
      <c r="L304" s="36">
        <f>IF(B304="","",IF(I304&lt;&gt;"",1,N(F304)))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J304"/>
  <mergeCells count="1">
    <mergeCell ref="A2:K2"/>
  </mergeCells>
  <conditionalFormatting sqref="A5:J304">
    <cfRule type="expression" priority="1" dxfId="0">
      <formula>$G5="Atrasada"</formula>
    </cfRule>
    <cfRule type="expression" priority="3" dxfId="3">
      <formula>$G5="Vence em breve"</formula>
    </cfRule>
    <cfRule type="expression" priority="4" dxfId="1">
      <formula>$G5="Concluída"</formula>
    </cfRule>
  </conditionalFormatting>
  <conditionalFormatting sqref="E5:G304">
    <cfRule type="expression" priority="2" dxfId="8">
      <formula>$G5="Falta o prazo"</formula>
    </cfRule>
  </conditionalFormatting>
  <dataValidations count="4">
    <dataValidation sqref="A5:A304" showDropDown="0" showInputMessage="0" showErrorMessage="1" allowBlank="1" type="list">
      <formula1>=Config!$A$10:$A$19</formula1>
    </dataValidation>
    <dataValidation sqref="C5:C304" showDropDown="0" showInputMessage="0" showErrorMessage="1" allowBlank="1" type="list">
      <formula1>=Config!$A$22:$A$31</formula1>
    </dataValidation>
    <dataValidation sqref="D5:E304 I5:I304" showDropDown="0" showInputMessage="0" showErrorMessage="1" allowBlank="1" type="date" operator="greaterThan">
      <formula1>1</formula1>
    </dataValidation>
    <dataValidation sqref="F5:F304" showDropDown="0" showInputMessage="0" showErrorMessage="1" allowBlank="1" error="Digite entre 0% e 100%" type="decimal" operator="between">
      <formula1>0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Projetos e Prazos · Kit IA no Trabalho Completo</dc:title>
  <dcterms:created xmlns:dcterms="http://purl.org/dc/terms/" xmlns:xsi="http://www.w3.org/2001/XMLSchema-instance" xsi:type="dcterms:W3CDTF">2026-09-24T11:42:09Z</dcterms:created>
  <dcterms:modified xmlns:dcterms="http://purl.org/dc/terms/" xmlns:xsi="http://www.w3.org/2001/XMLSchema-instance" xsi:type="dcterms:W3CDTF">2026-09-24T11:42:09Z</dcterms:modified>
</cp:coreProperties>
</file>