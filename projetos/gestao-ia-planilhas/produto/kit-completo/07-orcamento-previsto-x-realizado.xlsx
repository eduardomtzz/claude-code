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inel" sheetId="2" state="visible" r:id="rId4"/>
    <sheet name="Config" sheetId="3" state="visible" r:id="rId5"/>
    <sheet name="Previsto" sheetId="4" state="visible" r:id="rId6"/>
    <sheet name="Realizado" sheetId="5" state="visible" r:id="rId7"/>
  </sheets>
  <definedNames>
    <definedName function="false" hidden="true" localSheetId="4" name="_xlnm._FilterDatabase" vbProcedure="false">Realizado!$A$4:$H$604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<sst xmlns="http://schemas.openxmlformats.org/spreadsheetml/2006/main" count="377" uniqueCount="124">
  <si>
    <t xml:space="preserve">Orçamento Previsto × Realizado</t>
  </si>
  <si>
    <t xml:space="preserve">Kit IA no Trabalho · Completo · Seu Sócio Gestor · versão 1.0 (setembro de 2026)</t>
  </si>
  <si>
    <t xml:space="preserve">O que esta planilha faz</t>
  </si>
  <si>
    <t xml:space="preserve">Você planeja o ano por categoria (previsto) e lança o que aconteceu (realizado). Ela mostra, mês a mês, o desvio em reais e em %, o que estourou, o acumulado do ano e o resultado previsto contra o real.</t>
  </si>
  <si>
    <t xml:space="preserve">Passo 1</t>
  </si>
  <si>
    <t xml:space="preserve">Em Config, preencha o ano, o mês do painel, o limite de alerta (10% é um bom padrão) e as categorias com tipo (receita ou despesa).</t>
  </si>
  <si>
    <t xml:space="preserve">Passo 2</t>
  </si>
  <si>
    <t xml:space="preserve">Em Previsto, digite o valor planejado de cada categoria em cada mês. Pode ser o mesmo número o ano inteiro.</t>
  </si>
  <si>
    <t xml:space="preserve">Passo 3</t>
  </si>
  <si>
    <t xml:space="preserve">Em Realizado, uma linha por lançamento, ou uma linha por categoria com o total do mês. A categoria vem da lista.</t>
  </si>
  <si>
    <t xml:space="preserve">Passo 4</t>
  </si>
  <si>
    <t xml:space="preserve">Em Painel, escolha o mês em Config: por categoria com situação (dentro, acima, estourou) e o ano completo com gráfico.</t>
  </si>
  <si>
    <t xml:space="preserve">Rotina</t>
  </si>
  <si>
    <t xml:space="preserve">Uma vez por semana, 10 minutos de lançamentos. Dia 5 de cada mês: fechar o mês anterior e olhar o painel antes de decidir gasto novo.</t>
  </si>
  <si>
    <t xml:space="preserve">Com a IA</t>
  </si>
  <si>
    <t xml:space="preserve">Copie "Por categoria no mês" e use "Analisar 03: onde cortar gastos" ou "Escrever 05: explicar o mês financeiro". Para a reunião com o sócio, "Apresentar 01: roteiro de 8 slides".</t>
  </si>
  <si>
    <t xml:space="preserve">Legenda</t>
  </si>
  <si>
    <t xml:space="preserve">Células amarelas: você preenche. Brancas: calculadas. Não é preciso mexer em nada fora do amarelo.</t>
  </si>
  <si>
    <t xml:space="preserve">Proteção</t>
  </si>
  <si>
    <t xml:space="preserve">Fórmulas protegidas sem senha. Para editar: Revisar &gt; Desproteger planilha (Excel) ou Dados &gt; Proteger intervalos (Google Sheets).</t>
  </si>
  <si>
    <t xml:space="preserve">Google Sheets</t>
  </si>
  <si>
    <t xml:space="preserve">Faça upload no Google Drive e abra com o Google Sheets. Fórmulas, listas, cores e gráficos funcionam.</t>
  </si>
  <si>
    <t xml:space="preserve">Exemplos</t>
  </si>
  <si>
    <t xml:space="preserve">Prisma Comunicação é uma empresa fictícia. Nomes e valores são inventados. Apague-os antes de começar.</t>
  </si>
  <si>
    <t xml:space="preserve">Suporte</t>
  </si>
  <si>
    <t xml:space="preserve">suporte@seusociogestor.com.br · resposta em até 5 dias úteis · reembolso em até 7 dias pelo mesmo canal.</t>
  </si>
  <si>
    <t xml:space="preserve">Nada para preencher aqui. Escolha o mês em Config; previsto vem da aba Previsto, realizado da aba Realizado.</t>
  </si>
  <si>
    <t xml:space="preserve">Receita prevista</t>
  </si>
  <si>
    <t xml:space="preserve">Receita realizada</t>
  </si>
  <si>
    <t xml:space="preserve">Despesa prevista</t>
  </si>
  <si>
    <t xml:space="preserve">Despesa realizada</t>
  </si>
  <si>
    <t xml:space="preserve">Resultado do mês</t>
  </si>
  <si>
    <t xml:space="preserve">Por categoria no mês</t>
  </si>
  <si>
    <t xml:space="preserve">Categoria</t>
  </si>
  <si>
    <t xml:space="preserve">Tipo</t>
  </si>
  <si>
    <t xml:space="preserve">Previsto</t>
  </si>
  <si>
    <t xml:space="preserve">Realizado</t>
  </si>
  <si>
    <t xml:space="preserve">Desvio (R$)</t>
  </si>
  <si>
    <t xml:space="preserve">Desvio (%)</t>
  </si>
  <si>
    <t xml:space="preserve">Situação</t>
  </si>
  <si>
    <t xml:space="preserve">Acumulado previsto</t>
  </si>
  <si>
    <t xml:space="preserve">Acumulado realizado</t>
  </si>
  <si>
    <t xml:space="preserve">O ano, mês a mês</t>
  </si>
  <si>
    <t xml:space="preserve">Mês</t>
  </si>
  <si>
    <t xml:space="preserve">Resultado previsto</t>
  </si>
  <si>
    <t xml:space="preserve">Resultado realizado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</si>
  <si>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</si>
  <si>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</si>
  <si>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</si>
  <si>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</si>
  <si>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</si>
  <si>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</si>
  <si>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</si>
  <si>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</si>
  <si>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</si>
  <si>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</si>
  <si>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</si>
  <si>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</si>
  <si>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Meses sem lançamento aparecem zerados no realizado. Compare só os meses fechados.</t>
  </si>
  <si>
    <t xml:space="preserve">Configurações</t>
  </si>
  <si>
    <t xml:space="preserve">Células amarelas: você preenche. As categorias aqui alimentam a aba Previsto e a lista de Realizado.</t>
  </si>
  <si>
    <t xml:space="preserve">Empresa ou área</t>
  </si>
  <si>
    <t xml:space="preserve">Prisma Comunicação (exemplo fictício)</t>
  </si>
  <si>
    <t xml:space="preserve">Meses</t>
  </si>
  <si>
    <t xml:space="preserve">Ano</t>
  </si>
  <si>
    <t xml:space="preserve">Mês do painel</t>
  </si>
  <si>
    <t xml:space="preserve">Número do mês</t>
  </si>
  <si>
    <t xml:space="preserve">Alerta de estouro acima de (%)</t>
  </si>
  <si>
    <t xml:space="preserve">Categorias (até 20)</t>
  </si>
  <si>
    <t xml:space="preserve">Responsável</t>
  </si>
  <si>
    <t xml:space="preserve">Serviços · projetos</t>
  </si>
  <si>
    <t xml:space="preserve">Receita</t>
  </si>
  <si>
    <t xml:space="preserve">Ana</t>
  </si>
  <si>
    <t xml:space="preserve">Serviços · mensalidades</t>
  </si>
  <si>
    <t xml:space="preserve">Produtos digitais</t>
  </si>
  <si>
    <t xml:space="preserve">Carla</t>
  </si>
  <si>
    <t xml:space="preserve">Salários e pró-labore</t>
  </si>
  <si>
    <t xml:space="preserve">Despesa</t>
  </si>
  <si>
    <t xml:space="preserve">Freelancers</t>
  </si>
  <si>
    <t xml:space="preserve">Bruno</t>
  </si>
  <si>
    <t xml:space="preserve">Escritório e contas</t>
  </si>
  <si>
    <t xml:space="preserve">Softwares e assinaturas</t>
  </si>
  <si>
    <t xml:space="preserve">Diego</t>
  </si>
  <si>
    <t xml:space="preserve">Marketing e mídia</t>
  </si>
  <si>
    <t xml:space="preserve">Impostos</t>
  </si>
  <si>
    <t xml:space="preserve">Equipamentos</t>
  </si>
  <si>
    <t xml:space="preserve">Treinamento</t>
  </si>
  <si>
    <t xml:space="preserve">Viagens e eventos</t>
  </si>
  <si>
    <t xml:space="preserve">Reserva</t>
  </si>
  <si>
    <t xml:space="preserve">Orçamento previsto</t>
  </si>
  <si>
    <t xml:space="preserve">Quanto você planeja receber ou gastar em cada categoria, mês a mês. Preencha o amarelo; total é calculado.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</si>
  <si>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</si>
  <si>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</si>
  <si>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</si>
  <si>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</si>
  <si>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</si>
  <si>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</si>
  <si>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</si>
  <si>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</si>
  <si>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</si>
  <si>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</si>
  <si>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</si>
  <si>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</si>
  <si>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</si>
  <si>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Receitas previstas</t>
  </si>
  <si>
    <t xml:space="preserve">Despesas previstas</t>
  </si>
  <si>
    <t xml:space="preserve">Uma linha por lançamento real (ou o total do mês por categoria, se preferir). Mês e ano são calculados.</t>
  </si>
  <si>
    <t xml:space="preserve">Data</t>
  </si>
  <si>
    <t xml:space="preserve">Descrição</t>
  </si>
  <si>
    <t xml:space="preserve">Valor</t>
  </si>
  <si>
    <t xml:space="preserve">Observação</t>
  </si>
  <si>
    <t xml:space="preserve">Projetos faturados no mês</t>
  </si>
  <si>
    <t xml:space="preserve">Contratos mensais</t>
  </si>
  <si>
    <t xml:space="preserve">Vendas de templates</t>
  </si>
  <si>
    <t xml:space="preserve">Folha do mês</t>
  </si>
  <si>
    <t xml:space="preserve">Freelas de motion e redação</t>
  </si>
  <si>
    <t xml:space="preserve">Aluguel, luz, internet</t>
  </si>
  <si>
    <t xml:space="preserve">Adobe, Google, Notion, hospedagem</t>
  </si>
  <si>
    <t xml:space="preserve">Impulsionamento e mídia paga</t>
  </si>
  <si>
    <t xml:space="preserve">DAS e retenções</t>
  </si>
  <si>
    <t xml:space="preserve">Curso online</t>
  </si>
  <si>
    <t xml:space="preserve">Deslocamentos a clientes</t>
  </si>
  <si>
    <t xml:space="preserve">Transferência para a reserva</t>
  </si>
  <si>
    <t xml:space="preserve">Monitor e notebook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</si>
</sst>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[RED]&quot;-R$ &quot;#,##0"/>
    <numFmt numFmtId="166" formatCode="0%"/>
    <numFmt numFmtId="167" formatCode="dd/mm/yyyy"/>
    <numFmt numFmtId="168" formatCode="&quot;R$ &quot;#,##0.00;[RED]&quot;-R$ &quot;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B1F5E"/>
      <name val="Arial"/>
      <family val="0"/>
      <charset val="1"/>
    </font>
    <font>
      <sz val="10"/>
      <color rgb="FF7A5AA8"/>
      <name val="Arial"/>
      <family val="0"/>
      <charset val="1"/>
    </font>
    <font>
      <b val="true"/>
      <sz val="11"/>
      <color rgb="FF3B1F5E"/>
      <name val="Arial"/>
      <family val="0"/>
      <charset val="1"/>
    </font>
    <font>
      <sz val="11"/>
      <color rgb="FF1F1235"/>
      <name val="Arial"/>
      <family val="0"/>
      <charset val="1"/>
    </font>
    <font>
      <b val="true"/>
      <sz val="16"/>
      <color rgb="FF3B1F5E"/>
      <name val="Arial"/>
      <family val="0"/>
      <charset val="1"/>
    </font>
    <font>
      <sz val="9"/>
      <color rgb="FF7A5AA8"/>
      <name val="Arial"/>
      <family val="0"/>
      <charset val="1"/>
    </font>
    <font>
      <b val="true"/>
      <sz val="9"/>
      <color rgb="FF3B1F5E"/>
      <name val="Arial"/>
      <family val="0"/>
      <charset val="1"/>
    </font>
    <font>
      <b val="true"/>
      <sz val="9"/>
      <color rgb="FF155E3C"/>
      <name val="Arial"/>
      <family val="0"/>
      <charset val="1"/>
    </font>
    <font>
      <b val="true"/>
      <sz val="9"/>
      <color rgb="FF7A1F1F"/>
      <name val="Arial"/>
      <family val="0"/>
      <charset val="1"/>
    </font>
    <font>
      <b val="true"/>
      <sz val="16"/>
      <color rgb="FF155E3C"/>
      <name val="Arial"/>
      <family val="0"/>
      <charset val="1"/>
    </font>
    <font>
      <b val="true"/>
      <sz val="16"/>
      <color rgb="FF7A1F1F"/>
      <name val="Arial"/>
      <family val="0"/>
      <charset val="1"/>
    </font>
    <font>
      <b val="true"/>
      <sz val="13"/>
      <color rgb="FF3B1F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23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7A5AA8"/>
      <name val="Arial"/>
      <family val="0"/>
      <charset val="1"/>
    </font>
    <font>
      <b val="true"/>
      <sz val="10"/>
      <color rgb="FF3B1F5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3EEFB"/>
        <bgColor rgb="FFFBE4E4"/>
      </patternFill>
    </fill>
    <fill>
      <patternFill patternType="solid">
        <fgColor rgb="FFDDF3E7"/>
        <bgColor rgb="FFF3EEFB"/>
      </patternFill>
    </fill>
    <fill>
      <patternFill patternType="solid">
        <fgColor rgb="FFFBE4E4"/>
        <bgColor rgb="FFF3EEFB"/>
      </patternFill>
    </fill>
    <fill>
      <patternFill patternType="solid">
        <fgColor rgb="FFFFC83D"/>
        <bgColor rgb="FFFF9900"/>
      </patternFill>
    </fill>
    <fill>
      <patternFill patternType="solid">
        <fgColor rgb="FF3B1F5E"/>
        <bgColor rgb="FF1F1235"/>
      </patternFill>
    </fill>
    <fill>
      <patternFill patternType="solid">
        <fgColor rgb="FFFFF4CC"/>
        <bgColor rgb="FFFB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2EC"/>
      </left>
      <right style="thin">
        <color rgb="FFDCD2EC"/>
      </right>
      <top style="thin">
        <color rgb="FFDCD2EC"/>
      </top>
      <bottom style="thin">
        <color rgb="FFDCD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7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7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7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7A1F1F"/>
        <sz val="10"/>
      </font>
      <fill>
        <patternFill>
          <bgColor rgb="FFFBE4E4"/>
        </patternFill>
      </fill>
    </dxf>
    <dxf>
      <fill>
        <patternFill>
          <bgColor rgb="FFFFF4CC"/>
        </patternFill>
      </fill>
    </dxf>
    <dxf>
      <font>
        <name val="Arial"/>
        <charset val="1"/>
        <family val="0"/>
        <color rgb="FF155E3C"/>
        <sz val="10"/>
      </font>
      <fill>
        <patternFill>
          <bgColor rgb="FFDDF3E7"/>
        </patternFill>
      </fill>
    </dxf>
    <dxf>
      <font>
        <name val="Arial"/>
        <charset val="1"/>
        <family val="0"/>
        <b val="1"/>
        <color rgb="FFC8402E"/>
        <sz val="10"/>
      </font>
    </dxf>
    <dxf>
      <fill>
        <patternFill patternType="solid">
          <fgColor rgb="FF3B1F5E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55E3C"/>
          <bgColor rgb="FF000000"/>
        </patternFill>
      </fill>
    </dxf>
    <dxf>
      <fill>
        <patternFill patternType="solid">
          <fgColor rgb="FF1F12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color rgb="FF155E3C"/>
        <sz val="10"/>
      </font>
    </dxf>
    <dxf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5E3C"/>
      <rgbColor rgb="FF000080"/>
      <rgbColor rgb="FF808000"/>
      <rgbColor rgb="FF800080"/>
      <rgbColor rgb="FF008080"/>
      <rgbColor rgb="FFD9D9D9"/>
      <rgbColor rgb="FF878787"/>
      <rgbColor rgb="FF9999FF"/>
      <rgbColor rgb="FFC8402E"/>
      <rgbColor rgb="FFFFF4CC"/>
      <rgbColor rgb="FFDDF3E7"/>
      <rgbColor rgb="FF660066"/>
      <rgbColor rgb="FFFF8080"/>
      <rgbColor rgb="FF0066CC"/>
      <rgbColor rgb="FFDCD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B"/>
      <rgbColor rgb="FFCCFFCC"/>
      <rgbColor rgb="FFFFFF99"/>
      <rgbColor rgb="FF99CCFF"/>
      <rgbColor rgb="FFFF99CC"/>
      <rgbColor rgb="FFB89BE0"/>
      <rgbColor rgb="FFFBE4E4"/>
      <rgbColor rgb="FF3366FF"/>
      <rgbColor rgb="FF33CCCC"/>
      <rgbColor rgb="FF99CC00"/>
      <rgbColor rgb="FFFFC83D"/>
      <rgbColor rgb="FFFF9900"/>
      <rgbColor rgb="FFFF6600"/>
      <rgbColor rgb="FF7A5AA8"/>
      <rgbColor rgb="FF969696"/>
      <rgbColor rgb="FF003366"/>
      <rgbColor rgb="FF339966"/>
      <rgbColor rgb="FF003300"/>
      <rgbColor rgb="FF1F1235"/>
      <rgbColor rgb="FF7A1F1F"/>
      <rgbColor rgb="FF993366"/>
      <rgbColor rgb="FF333399"/>
      <rgbColor rgb="FF3B1F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Despesas: previsto × realizado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Painel!D31</c:f>
              <c:strCache>
                <c:ptCount val="1"/>
                <c:pt idx="0">
                  <c:v>Despesa prevista</c:v>
                </c:pt>
              </c:strCache>
            </c:strRef>
          </c:tx>
          <c:spPr>
            <a:solidFill>
              <a:srgbClr val="b89be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Painel!$A$32:$A$43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Painel!$D$32:$D$43</c:f>
              <c:numCache>
                <c:formatCode>"R$ "#,##0;[RED]"-R$ "#,##0</c:formatCode>
                <c:ptCount val="12"/>
                <c:pt idx="0">
                  <c:v>65900</c:v>
                </c:pt>
                <c:pt idx="1">
                  <c:v>66100</c:v>
                </c:pt>
                <c:pt idx="2">
                  <c:v>71900</c:v>
                </c:pt>
                <c:pt idx="3">
                  <c:v>69800</c:v>
                </c:pt>
                <c:pt idx="4">
                  <c:v>69800</c:v>
                </c:pt>
                <c:pt idx="5">
                  <c:v>70000</c:v>
                </c:pt>
                <c:pt idx="6">
                  <c:v>76800</c:v>
                </c:pt>
                <c:pt idx="7">
                  <c:v>74800</c:v>
                </c:pt>
                <c:pt idx="8">
                  <c:v>77800</c:v>
                </c:pt>
                <c:pt idx="9">
                  <c:v>78100</c:v>
                </c:pt>
                <c:pt idx="10">
                  <c:v>78400</c:v>
                </c:pt>
                <c:pt idx="11">
                  <c:v>70400</c:v>
                </c:pt>
              </c:numCache>
            </c:numRef>
          </c:val>
        </c:ser>
        <c:ser>
          <c:idx val="1"/>
          <c:order val="1"/>
          <c:tx>
            <c:strRef>
              <c:f>Painel!E31</c:f>
              <c:strCache>
                <c:ptCount val="1"/>
                <c:pt idx="0">
                  <c:v>Despesa realizada</c:v>
                </c:pt>
              </c:strCache>
            </c:strRef>
          </c:tx>
          <c:spPr>
            <a:solidFill>
              <a:srgbClr val="3b1f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Painel!$A$32:$A$43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Painel!$E$32:$E$43</c:f>
              <c:numCache>
                <c:formatCode>"R$ "#,##0;[RED]"-R$ "#,##0</c:formatCode>
                <c:ptCount val="12"/>
                <c:pt idx="0">
                  <c:v>68195.56</c:v>
                </c:pt>
                <c:pt idx="1">
                  <c:v>68512.13</c:v>
                </c:pt>
                <c:pt idx="2">
                  <c:v>75904.68</c:v>
                </c:pt>
                <c:pt idx="3">
                  <c:v>72484.05</c:v>
                </c:pt>
                <c:pt idx="4">
                  <c:v>72272.98</c:v>
                </c:pt>
                <c:pt idx="5">
                  <c:v>71740.09</c:v>
                </c:pt>
                <c:pt idx="6">
                  <c:v>81289.98</c:v>
                </c:pt>
                <c:pt idx="7">
                  <c:v>77944.7</c:v>
                </c:pt>
                <c:pt idx="8">
                  <c:v>81387.49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7777473"/>
        <c:axId val="60771681"/>
      </c:barChart>
      <c:catAx>
        <c:axId val="97777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71681"/>
        <c:crosses val="autoZero"/>
        <c:auto val="1"/>
        <c:lblAlgn val="ctr"/>
        <c:lblOffset val="100"/>
        <c:noMultiLvlLbl val="0"/>
      </c:catAx>
      <c:valAx>
        <c:axId val="60771681"/>
        <c:scaling>
          <c:orientation val="minMax"/>
        </c:scaling>
        <c:delete val="0"/>
        <c:axPos val="l"/>
        <c:numFmt formatCode="&quot;R$ &quot;#,##0;[RED]&quot;-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774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28</xdr:row>
      <xdr:rowOff>115920</xdr:rowOff>
    </xdr:from>
    <xdr:to>
      <xdr:col>16</xdr:col>
      <xdr:colOff>465480</xdr:colOff>
      <xdr:row>42</xdr:row>
      <xdr:rowOff>720</xdr:rowOff>
    </xdr:to>
    <xdr:graphicFrame>
      <xdr:nvGraphicFramePr>
        <xdr:cNvPr id="0" name="Chart 1"/>
        <xdr:cNvGraphicFramePr/>
      </xdr:nvGraphicFramePr>
      <xdr:xfrm>
        <a:off x="11290320" y="5848200"/>
        <a:ext cx="71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9" customFormat="false" ht="45.75" hidden="false" customHeight="true" outlineLevel="0" collapsed="false">
      <c r="A9" s="3" t="s">
        <v>12</v>
      </c>
      <c r="B9" s="4" t="s">
        <v>13</v>
      </c>
    </row>
    <row r="10" customFormat="false" ht="45.75" hidden="false" customHeight="true" outlineLevel="0" collapsed="false">
      <c r="A10" s="3" t="s">
        <v>14</v>
      </c>
      <c r="B10" s="4" t="s">
        <v>15</v>
      </c>
    </row>
    <row r="11" customFormat="false" ht="45.75" hidden="false" customHeight="true" outlineLevel="0" collapsed="false">
      <c r="A11" s="3" t="s">
        <v>16</v>
      </c>
      <c r="B11" s="4" t="s">
        <v>17</v>
      </c>
    </row>
    <row r="12" customFormat="false" ht="45.75" hidden="false" customHeight="true" outlineLevel="0" collapsed="false">
      <c r="A12" s="3" t="s">
        <v>18</v>
      </c>
      <c r="B12" s="4" t="s">
        <v>19</v>
      </c>
    </row>
    <row r="13" customFormat="false" ht="45.75" hidden="false" customHeight="true" outlineLevel="0" collapsed="false">
      <c r="A13" s="3" t="s">
        <v>20</v>
      </c>
      <c r="B13" s="4" t="s">
        <v>21</v>
      </c>
    </row>
    <row r="14" customFormat="false" ht="45.75" hidden="false" customHeight="true" outlineLevel="0" collapsed="false">
      <c r="A14" s="3" t="s">
        <v>22</v>
      </c>
      <c r="B14" s="4" t="s">
        <v>23</v>
      </c>
    </row>
    <row r="15" customFormat="false" ht="45.75" hidden="false" customHeight="true" outlineLevel="0" collapsed="false">
      <c r="A15" s="3" t="s">
        <v>24</v>
      </c>
      <c r="B15" s="4" t="s">
        <v>25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6"/>
  </cols>
  <sheetData>
    <row r="1" customFormat="false" ht="19.7" hidden="false" customHeight="false" outlineLevel="0" collapsed="false">
      <c r="A1" s="5" t="str">
        <f aca="false">Config!B4&amp;" · "&amp;Config!B6&amp;" de "&amp;Config!B5</f>
        <v>Prisma Comunicação (exemplo fictício) · Setembro de 2026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7" t="s">
        <v>27</v>
      </c>
      <c r="B4" s="7"/>
      <c r="C4" s="8" t="s">
        <v>28</v>
      </c>
      <c r="D4" s="8"/>
      <c r="E4" s="7" t="s">
        <v>29</v>
      </c>
      <c r="F4" s="7"/>
      <c r="G4" s="9" t="s">
        <v>30</v>
      </c>
      <c r="H4" s="9"/>
      <c r="I4" s="10" t="s">
        <v>31</v>
      </c>
      <c r="J4" s="10"/>
    </row>
    <row r="5" customFormat="false" ht="30" hidden="false" customHeight="true" outlineLevel="0" collapsed="false">
      <c r="A5" s="11" t="n">
        <f aca="false">SUMIFS(INDEX(Previsto!$B$5:$M$24,0,Config!$B$7),Config!$B$12:$B$31,"Receita")</f>
        <v>95000</v>
      </c>
      <c r="B5" s="11"/>
      <c r="C5" s="12" t="n">
        <f aca="false">SUMIFS(Realizado!$D$5:$D$604,Realizado!$H$5:$H$604,"Receita",Realizado!$F$5:$F$604,Config!$B$7,Realizado!$G$5:$G$604,Config!$B$5)</f>
        <v>95559.34</v>
      </c>
      <c r="D5" s="12"/>
      <c r="E5" s="11" t="n">
        <f aca="false">SUMIFS(INDEX(Previsto!$B$5:$M$24,0,Config!$B$7),Config!$B$12:$B$31,"Despesa")</f>
        <v>77800</v>
      </c>
      <c r="F5" s="11"/>
      <c r="G5" s="13" t="n">
        <f aca="false">SUMIFS(Realizado!$D$5:$D$604,Realizado!$H$5:$H$604,"Despesa",Realizado!$F$5:$F$604,Config!$B$7,Realizado!$G$5:$G$604,Config!$B$5)</f>
        <v>81387.49</v>
      </c>
      <c r="H5" s="13"/>
      <c r="I5" s="14" t="n">
        <f aca="false">C5-G5</f>
        <v>14171.85</v>
      </c>
      <c r="J5" s="14"/>
    </row>
    <row r="7" customFormat="false" ht="16.15" hidden="false" customHeight="false" outlineLevel="0" collapsed="false">
      <c r="A7" s="15" t="s">
        <v>32</v>
      </c>
    </row>
    <row r="8" customFormat="false" ht="25.5" hidden="false" customHeight="true" outlineLevel="0" collapsed="false">
      <c r="A8" s="16" t="s">
        <v>33</v>
      </c>
      <c r="B8" s="16" t="s">
        <v>34</v>
      </c>
      <c r="C8" s="16" t="s">
        <v>35</v>
      </c>
      <c r="D8" s="16" t="s">
        <v>36</v>
      </c>
      <c r="E8" s="16" t="s">
        <v>37</v>
      </c>
      <c r="F8" s="16" t="s">
        <v>38</v>
      </c>
      <c r="G8" s="16" t="s">
        <v>39</v>
      </c>
      <c r="H8" s="16" t="s">
        <v>40</v>
      </c>
      <c r="I8" s="16" t="s">
        <v>41</v>
      </c>
    </row>
    <row r="9" customFormat="false" ht="15" hidden="false" customHeight="false" outlineLevel="0" collapsed="false">
      <c r="A9" s="17" t="str">
        <f aca="false">IF(Config!$A$12="","",Config!$A$12)</f>
        <v>Serviços · projetos</v>
      </c>
      <c r="B9" s="18" t="str">
        <f aca="false">IF(Config!$A$12="","",Config!$B$12)</f>
        <v>Receita</v>
      </c>
      <c r="C9" s="19" t="n">
        <f aca="false">IF(Config!$A$12="","",INDEX(Previsto!$B$5:$M$5,1,Config!$B$7))</f>
        <v>66000</v>
      </c>
      <c r="D9" s="19" t="n">
        <f aca="false">IF(Config!$A$12="","",SUMIFS(Realizado!$D$5:$D$604,Realizado!$B$5:$B$604,Config!$A$12,Realizado!$F$5:$F$604,Config!$B$7,Realizado!$G$5:$G$604,Config!$B$5))</f>
        <v>65593.42</v>
      </c>
      <c r="E9" s="19" t="n">
        <f aca="false">IF(Config!$A$12="","",D9-C9)</f>
        <v>-406.580000000002</v>
      </c>
      <c r="F9" s="20" t="n">
        <f aca="false">IF(OR(Config!$A$12="",C9=0),"",E9/C9)</f>
        <v>-0.00616030303030306</v>
      </c>
      <c r="G9" s="18" t="str">
        <f aca="false">IF(Config!$A$12="","",IF(B9="Despesa",IF(AND(C9&gt;0,F9&gt;Config!$B$8),"Estourou",IF(D9&gt;C9,"Acima","Dentro")),IF(AND(C9&gt;0,F9&lt;-Config!$B$8),"Abaixo da meta",IF(D9&gt;=C9,"Meta batida","Perto da meta"))))</f>
        <v>Perto da meta</v>
      </c>
      <c r="H9" s="19" t="n">
        <f aca="false">IF(Config!$A$12="","",SUM(INDEX(Previsto!$B$5:$M$5,1,1):INDEX(Previsto!$B$5:$M$5,1,Config!$B$7)))</f>
        <v>541000</v>
      </c>
      <c r="I9" s="19" t="n">
        <f aca="false">IF(Config!$A$12="","",SUMIFS(Realizado!$D$5:$D$604,Realizado!$B$5:$B$604,Config!$A$12,Realizado!$F$5:$F$604,"&lt;="&amp;Config!$B$7,Realizado!$G$5:$G$604,Config!$B$5))</f>
        <v>519718.65</v>
      </c>
    </row>
    <row r="10" customFormat="false" ht="15" hidden="false" customHeight="false" outlineLevel="0" collapsed="false">
      <c r="A10" s="17" t="str">
        <f aca="false">IF(Config!$A$13="","",Config!$A$13)</f>
        <v>Serviços · mensalidades</v>
      </c>
      <c r="B10" s="18" t="str">
        <f aca="false">IF(Config!$A$13="","",Config!$B$13)</f>
        <v>Receita</v>
      </c>
      <c r="C10" s="19" t="n">
        <f aca="false">IF(Config!$A$13="","",INDEX(Previsto!$B$6:$M$6,1,Config!$B$7))</f>
        <v>26000</v>
      </c>
      <c r="D10" s="19" t="n">
        <f aca="false">IF(Config!$A$13="","",SUMIFS(Realizado!$D$5:$D$604,Realizado!$B$5:$B$604,Config!$A$13,Realizado!$F$5:$F$604,Config!$B$7,Realizado!$G$5:$G$604,Config!$B$5))</f>
        <v>26534.91</v>
      </c>
      <c r="E10" s="19" t="n">
        <f aca="false">IF(Config!$A$13="","",D10-C10)</f>
        <v>534.91</v>
      </c>
      <c r="F10" s="20" t="n">
        <f aca="false">IF(OR(Config!$A$13="",C10=0),"",E10/C10)</f>
        <v>0.0205734615384615</v>
      </c>
      <c r="G10" s="18" t="str">
        <f aca="false">IF(Config!$A$13="","",IF(B10="Despesa",IF(AND(C10&gt;0,F10&gt;Config!$B$8),"Estourou",IF(D10&gt;C10,"Acima","Dentro")),IF(AND(C10&gt;0,F10&lt;-Config!$B$8),"Abaixo da meta",IF(D10&gt;=C10,"Meta batida","Perto da meta"))))</f>
        <v>Meta batida</v>
      </c>
      <c r="H10" s="19" t="n">
        <f aca="false">IF(Config!$A$13="","",SUM(INDEX(Previsto!$B$6:$M$6,1,1):INDEX(Previsto!$B$6:$M$6,1,Config!$B$7)))</f>
        <v>194000</v>
      </c>
      <c r="I10" s="19" t="n">
        <f aca="false">IF(Config!$A$13="","",SUMIFS(Realizado!$D$5:$D$604,Realizado!$B$5:$B$604,Config!$A$13,Realizado!$F$5:$F$604,"&lt;="&amp;Config!$B$7,Realizado!$G$5:$G$604,Config!$B$5))</f>
        <v>199168.99</v>
      </c>
    </row>
    <row r="11" customFormat="false" ht="15" hidden="false" customHeight="false" outlineLevel="0" collapsed="false">
      <c r="A11" s="17" t="str">
        <f aca="false">IF(Config!$A$14="","",Config!$A$14)</f>
        <v>Produtos digitais</v>
      </c>
      <c r="B11" s="18" t="str">
        <f aca="false">IF(Config!$A$14="","",Config!$B$14)</f>
        <v>Receita</v>
      </c>
      <c r="C11" s="19" t="n">
        <f aca="false">IF(Config!$A$14="","",INDEX(Previsto!$B$7:$M$7,1,Config!$B$7))</f>
        <v>3000</v>
      </c>
      <c r="D11" s="19" t="n">
        <f aca="false">IF(Config!$A$14="","",SUMIFS(Realizado!$D$5:$D$604,Realizado!$B$5:$B$604,Config!$A$14,Realizado!$F$5:$F$604,Config!$B$7,Realizado!$G$5:$G$604,Config!$B$5))</f>
        <v>3431.01</v>
      </c>
      <c r="E11" s="19" t="n">
        <f aca="false">IF(Config!$A$14="","",D11-C11)</f>
        <v>431.01</v>
      </c>
      <c r="F11" s="20" t="n">
        <f aca="false">IF(OR(Config!$A$14="",C11=0),"",E11/C11)</f>
        <v>0.14367</v>
      </c>
      <c r="G11" s="18" t="str">
        <f aca="false">IF(Config!$A$14="","",IF(B11="Despesa",IF(AND(C11&gt;0,F11&gt;Config!$B$8),"Estourou",IF(D11&gt;C11,"Acima","Dentro")),IF(AND(C11&gt;0,F11&lt;-Config!$B$8),"Abaixo da meta",IF(D11&gt;=C11,"Meta batida","Perto da meta"))))</f>
        <v>Meta batida</v>
      </c>
      <c r="H11" s="19" t="n">
        <f aca="false">IF(Config!$A$14="","",SUM(INDEX(Previsto!$B$7:$M$7,1,1):INDEX(Previsto!$B$7:$M$7,1,Config!$B$7)))</f>
        <v>17000</v>
      </c>
      <c r="I11" s="19" t="n">
        <f aca="false">IF(Config!$A$14="","",SUMIFS(Realizado!$D$5:$D$604,Realizado!$B$5:$B$604,Config!$A$14,Realizado!$F$5:$F$604,"&lt;="&amp;Config!$B$7,Realizado!$G$5:$G$604,Config!$B$5))</f>
        <v>19802.13</v>
      </c>
    </row>
    <row r="12" customFormat="false" ht="15" hidden="false" customHeight="false" outlineLevel="0" collapsed="false">
      <c r="A12" s="17" t="str">
        <f aca="false">IF(Config!$A$15="","",Config!$A$15)</f>
        <v>Salários e pró-labore</v>
      </c>
      <c r="B12" s="18" t="str">
        <f aca="false">IF(Config!$A$15="","",Config!$B$15)</f>
        <v>Despesa</v>
      </c>
      <c r="C12" s="19" t="n">
        <f aca="false">IF(Config!$A$15="","",INDEX(Previsto!$B$8:$M$8,1,Config!$B$7))</f>
        <v>41000</v>
      </c>
      <c r="D12" s="19" t="n">
        <f aca="false">IF(Config!$A$15="","",SUMIFS(Realizado!$D$5:$D$604,Realizado!$B$5:$B$604,Config!$A$15,Realizado!$F$5:$F$604,Config!$B$7,Realizado!$G$5:$G$604,Config!$B$5))</f>
        <v>41722.62</v>
      </c>
      <c r="E12" s="19" t="n">
        <f aca="false">IF(Config!$A$15="","",D12-C12)</f>
        <v>722.620000000003</v>
      </c>
      <c r="F12" s="20" t="n">
        <f aca="false">IF(OR(Config!$A$15="",C12=0),"",E12/C12)</f>
        <v>0.0176248780487806</v>
      </c>
      <c r="G12" s="18" t="str">
        <f aca="false">IF(Config!$A$15="","",IF(B12="Despesa",IF(AND(C12&gt;0,F12&gt;Config!$B$8),"Estourou",IF(D12&gt;C12,"Acima","Dentro")),IF(AND(C12&gt;0,F12&lt;-Config!$B$8),"Abaixo da meta",IF(D12&gt;=C12,"Meta batida","Perto da meta"))))</f>
        <v>Acima</v>
      </c>
      <c r="H12" s="19" t="n">
        <f aca="false">IF(Config!$A$15="","",SUM(INDEX(Previsto!$B$8:$M$8,1,1):INDEX(Previsto!$B$8:$M$8,1,Config!$B$7)))</f>
        <v>351000</v>
      </c>
      <c r="I12" s="19" t="n">
        <f aca="false">IF(Config!$A$15="","",SUMIFS(Realizado!$D$5:$D$604,Realizado!$B$5:$B$604,Config!$A$15,Realizado!$F$5:$F$604,"&lt;="&amp;Config!$B$7,Realizado!$G$5:$G$604,Config!$B$5))</f>
        <v>352675.89</v>
      </c>
    </row>
    <row r="13" customFormat="false" ht="15" hidden="false" customHeight="false" outlineLevel="0" collapsed="false">
      <c r="A13" s="17" t="str">
        <f aca="false">IF(Config!$A$16="","",Config!$A$16)</f>
        <v>Freelancers</v>
      </c>
      <c r="B13" s="18" t="str">
        <f aca="false">IF(Config!$A$16="","",Config!$B$16)</f>
        <v>Despesa</v>
      </c>
      <c r="C13" s="19" t="n">
        <f aca="false">IF(Config!$A$16="","",INDEX(Previsto!$B$9:$M$9,1,Config!$B$7))</f>
        <v>9000</v>
      </c>
      <c r="D13" s="19" t="n">
        <f aca="false">IF(Config!$A$16="","",SUMIFS(Realizado!$D$5:$D$604,Realizado!$B$5:$B$604,Config!$A$16,Realizado!$F$5:$F$604,Config!$B$7,Realizado!$G$5:$G$604,Config!$B$5))</f>
        <v>10749.54</v>
      </c>
      <c r="E13" s="19" t="n">
        <f aca="false">IF(Config!$A$16="","",D13-C13)</f>
        <v>1749.54</v>
      </c>
      <c r="F13" s="20" t="n">
        <f aca="false">IF(OR(Config!$A$16="",C13=0),"",E13/C13)</f>
        <v>0.194393333333333</v>
      </c>
      <c r="G13" s="18" t="str">
        <f aca="false">IF(Config!$A$16="","",IF(B13="Despesa",IF(AND(C13&gt;0,F13&gt;Config!$B$8),"Estourou",IF(D13&gt;C13,"Acima","Dentro")),IF(AND(C13&gt;0,F13&lt;-Config!$B$8),"Abaixo da meta",IF(D13&gt;=C13,"Meta batida","Perto da meta"))))</f>
        <v>Estourou</v>
      </c>
      <c r="H13" s="19" t="n">
        <f aca="false">IF(Config!$A$16="","",SUM(INDEX(Previsto!$B$9:$M$9,1,1):INDEX(Previsto!$B$9:$M$9,1,Config!$B$7)))</f>
        <v>68000</v>
      </c>
      <c r="I13" s="19" t="n">
        <f aca="false">IF(Config!$A$16="","",SUMIFS(Realizado!$D$5:$D$604,Realizado!$B$5:$B$604,Config!$A$16,Realizado!$F$5:$F$604,"&lt;="&amp;Config!$B$7,Realizado!$G$5:$G$604,Config!$B$5))</f>
        <v>83952.45</v>
      </c>
    </row>
    <row r="14" customFormat="false" ht="15" hidden="false" customHeight="false" outlineLevel="0" collapsed="false">
      <c r="A14" s="17" t="str">
        <f aca="false">IF(Config!$A$17="","",Config!$A$17)</f>
        <v>Escritório e contas</v>
      </c>
      <c r="B14" s="18" t="str">
        <f aca="false">IF(Config!$A$17="","",Config!$B$17)</f>
        <v>Despesa</v>
      </c>
      <c r="C14" s="19" t="n">
        <f aca="false">IF(Config!$A$17="","",INDEX(Previsto!$B$10:$M$10,1,Config!$B$7))</f>
        <v>4200</v>
      </c>
      <c r="D14" s="19" t="n">
        <f aca="false">IF(Config!$A$17="","",SUMIFS(Realizado!$D$5:$D$604,Realizado!$B$5:$B$604,Config!$A$17,Realizado!$F$5:$F$604,Config!$B$7,Realizado!$G$5:$G$604,Config!$B$5))</f>
        <v>4257.16</v>
      </c>
      <c r="E14" s="19" t="n">
        <f aca="false">IF(Config!$A$17="","",D14-C14)</f>
        <v>57.1599999999999</v>
      </c>
      <c r="F14" s="20" t="n">
        <f aca="false">IF(OR(Config!$A$17="",C14=0),"",E14/C14)</f>
        <v>0.0136095238095238</v>
      </c>
      <c r="G14" s="18" t="str">
        <f aca="false">IF(Config!$A$17="","",IF(B14="Despesa",IF(AND(C14&gt;0,F14&gt;Config!$B$8),"Estourou",IF(D14&gt;C14,"Acima","Dentro")),IF(AND(C14&gt;0,F14&lt;-Config!$B$8),"Abaixo da meta",IF(D14&gt;=C14,"Meta batida","Perto da meta"))))</f>
        <v>Acima</v>
      </c>
      <c r="H14" s="19" t="n">
        <f aca="false">IF(Config!$A$17="","",SUM(INDEX(Previsto!$B$10:$M$10,1,1):INDEX(Previsto!$B$10:$M$10,1,Config!$B$7)))</f>
        <v>37800</v>
      </c>
      <c r="I14" s="19" t="n">
        <f aca="false">IF(Config!$A$17="","",SUMIFS(Realizado!$D$5:$D$604,Realizado!$B$5:$B$604,Config!$A$17,Realizado!$F$5:$F$604,"&lt;="&amp;Config!$B$7,Realizado!$G$5:$G$604,Config!$B$5))</f>
        <v>39310.67</v>
      </c>
    </row>
    <row r="15" customFormat="false" ht="15" hidden="false" customHeight="false" outlineLevel="0" collapsed="false">
      <c r="A15" s="17" t="str">
        <f aca="false">IF(Config!$A$18="","",Config!$A$18)</f>
        <v>Softwares e assinaturas</v>
      </c>
      <c r="B15" s="18" t="str">
        <f aca="false">IF(Config!$A$18="","",Config!$B$18)</f>
        <v>Despesa</v>
      </c>
      <c r="C15" s="19" t="n">
        <f aca="false">IF(Config!$A$18="","",INDEX(Previsto!$B$11:$M$11,1,Config!$B$7))</f>
        <v>1900</v>
      </c>
      <c r="D15" s="19" t="n">
        <f aca="false">IF(Config!$A$18="","",SUMIFS(Realizado!$D$5:$D$604,Realizado!$B$5:$B$604,Config!$A$18,Realizado!$F$5:$F$604,Config!$B$7,Realizado!$G$5:$G$604,Config!$B$5))</f>
        <v>2209.34</v>
      </c>
      <c r="E15" s="19" t="n">
        <f aca="false">IF(Config!$A$18="","",D15-C15)</f>
        <v>309.34</v>
      </c>
      <c r="F15" s="20" t="n">
        <f aca="false">IF(OR(Config!$A$18="",C15=0),"",E15/C15)</f>
        <v>0.16281052631579</v>
      </c>
      <c r="G15" s="18" t="str">
        <f aca="false">IF(Config!$A$18="","",IF(B15="Despesa",IF(AND(C15&gt;0,F15&gt;Config!$B$8),"Estourou",IF(D15&gt;C15,"Acima","Dentro")),IF(AND(C15&gt;0,F15&lt;-Config!$B$8),"Abaixo da meta",IF(D15&gt;=C15,"Meta batida","Perto da meta"))))</f>
        <v>Estourou</v>
      </c>
      <c r="H15" s="19" t="n">
        <f aca="false">IF(Config!$A$18="","",SUM(INDEX(Previsto!$B$11:$M$11,1,1):INDEX(Previsto!$B$11:$M$11,1,Config!$B$7)))</f>
        <v>17100</v>
      </c>
      <c r="I15" s="19" t="n">
        <f aca="false">IF(Config!$A$18="","",SUMIFS(Realizado!$D$5:$D$604,Realizado!$B$5:$B$604,Config!$A$18,Realizado!$F$5:$F$604,"&lt;="&amp;Config!$B$7,Realizado!$G$5:$G$604,Config!$B$5))</f>
        <v>19110.46</v>
      </c>
    </row>
    <row r="16" customFormat="false" ht="15" hidden="false" customHeight="false" outlineLevel="0" collapsed="false">
      <c r="A16" s="17" t="str">
        <f aca="false">IF(Config!$A$19="","",Config!$A$19)</f>
        <v>Marketing e mídia</v>
      </c>
      <c r="B16" s="18" t="str">
        <f aca="false">IF(Config!$A$19="","",Config!$B$19)</f>
        <v>Despesa</v>
      </c>
      <c r="C16" s="19" t="n">
        <f aca="false">IF(Config!$A$19="","",INDEX(Previsto!$B$12:$M$12,1,Config!$B$7))</f>
        <v>5000</v>
      </c>
      <c r="D16" s="19" t="n">
        <f aca="false">IF(Config!$A$19="","",SUMIFS(Realizado!$D$5:$D$604,Realizado!$B$5:$B$604,Config!$A$19,Realizado!$F$5:$F$604,Config!$B$7,Realizado!$G$5:$G$604,Config!$B$5))</f>
        <v>6510.99</v>
      </c>
      <c r="E16" s="19" t="n">
        <f aca="false">IF(Config!$A$19="","",D16-C16)</f>
        <v>1510.99</v>
      </c>
      <c r="F16" s="20" t="n">
        <f aca="false">IF(OR(Config!$A$19="",C16=0),"",E16/C16)</f>
        <v>0.302198</v>
      </c>
      <c r="G16" s="18" t="str">
        <f aca="false">IF(Config!$A$19="","",IF(B16="Despesa",IF(AND(C16&gt;0,F16&gt;Config!$B$8),"Estourou",IF(D16&gt;C16,"Acima","Dentro")),IF(AND(C16&gt;0,F16&lt;-Config!$B$8),"Abaixo da meta",IF(D16&gt;=C16,"Meta batida","Perto da meta"))))</f>
        <v>Estourou</v>
      </c>
      <c r="H16" s="19" t="n">
        <f aca="false">IF(Config!$A$19="","",SUM(INDEX(Previsto!$B$12:$M$12,1,1):INDEX(Previsto!$B$12:$M$12,1,Config!$B$7)))</f>
        <v>35000</v>
      </c>
      <c r="I16" s="19" t="n">
        <f aca="false">IF(Config!$A$19="","",SUMIFS(Realizado!$D$5:$D$604,Realizado!$B$5:$B$604,Config!$A$19,Realizado!$F$5:$F$604,"&lt;="&amp;Config!$B$7,Realizado!$G$5:$G$604,Config!$B$5))</f>
        <v>45451.52</v>
      </c>
    </row>
    <row r="17" customFormat="false" ht="15" hidden="false" customHeight="false" outlineLevel="0" collapsed="false">
      <c r="A17" s="17" t="str">
        <f aca="false">IF(Config!$A$20="","",Config!$A$20)</f>
        <v>Impostos</v>
      </c>
      <c r="B17" s="18" t="str">
        <f aca="false">IF(Config!$A$20="","",Config!$B$20)</f>
        <v>Despesa</v>
      </c>
      <c r="C17" s="19" t="n">
        <f aca="false">IF(Config!$A$20="","",INDEX(Previsto!$B$13:$M$13,1,Config!$B$7))</f>
        <v>10200</v>
      </c>
      <c r="D17" s="19" t="n">
        <f aca="false">IF(Config!$A$20="","",SUMIFS(Realizado!$D$5:$D$604,Realizado!$B$5:$B$604,Config!$A$20,Realizado!$F$5:$F$604,Config!$B$7,Realizado!$G$5:$G$604,Config!$B$5))</f>
        <v>10137.12</v>
      </c>
      <c r="E17" s="19" t="n">
        <f aca="false">IF(Config!$A$20="","",D17-C17)</f>
        <v>-62.8799999999992</v>
      </c>
      <c r="F17" s="20" t="n">
        <f aca="false">IF(OR(Config!$A$20="",C17=0),"",E17/C17)</f>
        <v>-0.00616470588235286</v>
      </c>
      <c r="G17" s="18" t="str">
        <f aca="false">IF(Config!$A$20="","",IF(B17="Despesa",IF(AND(C17&gt;0,F17&gt;Config!$B$8),"Estourou",IF(D17&gt;C17,"Acima","Dentro")),IF(AND(C17&gt;0,F17&lt;-Config!$B$8),"Abaixo da meta",IF(D17&gt;=C17,"Meta batida","Perto da meta"))))</f>
        <v>Dentro</v>
      </c>
      <c r="H17" s="19" t="n">
        <f aca="false">IF(Config!$A$20="","",SUM(INDEX(Previsto!$B$13:$M$13,1,1):INDEX(Previsto!$B$13:$M$13,1,Config!$B$7)))</f>
        <v>84400</v>
      </c>
      <c r="I17" s="19" t="n">
        <f aca="false">IF(Config!$A$20="","",SUMIFS(Realizado!$D$5:$D$604,Realizado!$B$5:$B$604,Config!$A$20,Realizado!$F$5:$F$604,"&lt;="&amp;Config!$B$7,Realizado!$G$5:$G$604,Config!$B$5))</f>
        <v>83612.75</v>
      </c>
    </row>
    <row r="18" customFormat="false" ht="15" hidden="false" customHeight="false" outlineLevel="0" collapsed="false">
      <c r="A18" s="17" t="str">
        <f aca="false">IF(Config!$A$21="","",Config!$A$21)</f>
        <v>Equipamentos</v>
      </c>
      <c r="B18" s="18" t="str">
        <f aca="false">IF(Config!$A$21="","",Config!$B$21)</f>
        <v>Despesa</v>
      </c>
      <c r="C18" s="19" t="n">
        <f aca="false">IF(Config!$A$21="","",INDEX(Previsto!$B$14:$M$14,1,Config!$B$7))</f>
        <v>0</v>
      </c>
      <c r="D18" s="19" t="n">
        <f aca="false">IF(Config!$A$21="","",SUMIFS(Realizado!$D$5:$D$604,Realizado!$B$5:$B$604,Config!$A$21,Realizado!$F$5:$F$604,Config!$B$7,Realizado!$G$5:$G$604,Config!$B$5))</f>
        <v>0</v>
      </c>
      <c r="E18" s="19" t="n">
        <f aca="false">IF(Config!$A$21="","",D18-C18)</f>
        <v>0</v>
      </c>
      <c r="F18" s="20" t="str">
        <f aca="false">IF(OR(Config!$A$21="",C18=0),"",E18/C18)</f>
        <v/>
      </c>
      <c r="G18" s="18" t="str">
        <f aca="false">IF(Config!$A$21="","",IF(B18="Despesa",IF(AND(C18&gt;0,F18&gt;Config!$B$8),"Estourou",IF(D18&gt;C18,"Acima","Dentro")),IF(AND(C18&gt;0,F18&lt;-Config!$B$8),"Abaixo da meta",IF(D18&gt;=C18,"Meta batida","Perto da meta"))))</f>
        <v>Dentro</v>
      </c>
      <c r="H18" s="19" t="n">
        <f aca="false">IF(Config!$A$21="","",SUM(INDEX(Previsto!$B$14:$M$14,1,1):INDEX(Previsto!$B$14:$M$14,1,Config!$B$7)))</f>
        <v>7000</v>
      </c>
      <c r="I18" s="19" t="n">
        <f aca="false">IF(Config!$A$21="","",SUMIFS(Realizado!$D$5:$D$604,Realizado!$B$5:$B$604,Config!$A$21,Realizado!$F$5:$F$604,"&lt;="&amp;Config!$B$7,Realizado!$G$5:$G$604,Config!$B$5))</f>
        <v>7026.92</v>
      </c>
    </row>
    <row r="19" customFormat="false" ht="15" hidden="false" customHeight="false" outlineLevel="0" collapsed="false">
      <c r="A19" s="17" t="str">
        <f aca="false">IF(Config!$A$22="","",Config!$A$22)</f>
        <v>Treinamento</v>
      </c>
      <c r="B19" s="18" t="str">
        <f aca="false">IF(Config!$A$22="","",Config!$B$22)</f>
        <v>Despesa</v>
      </c>
      <c r="C19" s="19" t="n">
        <f aca="false">IF(Config!$A$22="","",INDEX(Previsto!$B$15:$M$15,1,Config!$B$7))</f>
        <v>500</v>
      </c>
      <c r="D19" s="19" t="n">
        <f aca="false">IF(Config!$A$22="","",SUMIFS(Realizado!$D$5:$D$604,Realizado!$B$5:$B$604,Config!$A$22,Realizado!$F$5:$F$604,Config!$B$7,Realizado!$G$5:$G$604,Config!$B$5))</f>
        <v>198.64</v>
      </c>
      <c r="E19" s="19" t="n">
        <f aca="false">IF(Config!$A$22="","",D19-C19)</f>
        <v>-301.36</v>
      </c>
      <c r="F19" s="20" t="n">
        <f aca="false">IF(OR(Config!$A$22="",C19=0),"",E19/C19)</f>
        <v>-0.60272</v>
      </c>
      <c r="G19" s="18" t="str">
        <f aca="false">IF(Config!$A$22="","",IF(B19="Despesa",IF(AND(C19&gt;0,F19&gt;Config!$B$8),"Estourou",IF(D19&gt;C19,"Acima","Dentro")),IF(AND(C19&gt;0,F19&lt;-Config!$B$8),"Abaixo da meta",IF(D19&gt;=C19,"Meta batida","Perto da meta"))))</f>
        <v>Dentro</v>
      </c>
      <c r="H19" s="19" t="n">
        <f aca="false">IF(Config!$A$22="","",SUM(INDEX(Previsto!$B$15:$M$15,1,1):INDEX(Previsto!$B$15:$M$15,1,Config!$B$7)))</f>
        <v>4500</v>
      </c>
      <c r="I19" s="19" t="n">
        <f aca="false">IF(Config!$A$22="","",SUMIFS(Realizado!$D$5:$D$604,Realizado!$B$5:$B$604,Config!$A$22,Realizado!$F$5:$F$604,"&lt;="&amp;Config!$B$7,Realizado!$G$5:$G$604,Config!$B$5))</f>
        <v>1815.27</v>
      </c>
    </row>
    <row r="20" customFormat="false" ht="15" hidden="false" customHeight="false" outlineLevel="0" collapsed="false">
      <c r="A20" s="17" t="str">
        <f aca="false">IF(Config!$A$23="","",Config!$A$23)</f>
        <v>Viagens e eventos</v>
      </c>
      <c r="B20" s="18" t="str">
        <f aca="false">IF(Config!$A$23="","",Config!$B$23)</f>
        <v>Despesa</v>
      </c>
      <c r="C20" s="19" t="n">
        <f aca="false">IF(Config!$A$23="","",INDEX(Previsto!$B$16:$M$16,1,Config!$B$7))</f>
        <v>3000</v>
      </c>
      <c r="D20" s="19" t="n">
        <f aca="false">IF(Config!$A$23="","",SUMIFS(Realizado!$D$5:$D$604,Realizado!$B$5:$B$604,Config!$A$23,Realizado!$F$5:$F$604,Config!$B$7,Realizado!$G$5:$G$604,Config!$B$5))</f>
        <v>2717.27</v>
      </c>
      <c r="E20" s="19" t="n">
        <f aca="false">IF(Config!$A$23="","",D20-C20)</f>
        <v>-282.73</v>
      </c>
      <c r="F20" s="20" t="n">
        <f aca="false">IF(OR(Config!$A$23="",C20=0),"",E20/C20)</f>
        <v>-0.0942433333333334</v>
      </c>
      <c r="G20" s="18" t="str">
        <f aca="false">IF(Config!$A$23="","",IF(B20="Despesa",IF(AND(C20&gt;0,F20&gt;Config!$B$8),"Estourou",IF(D20&gt;C20,"Acima","Dentro")),IF(AND(C20&gt;0,F20&lt;-Config!$B$8),"Abaixo da meta",IF(D20&gt;=C20,"Meta batida","Perto da meta"))))</f>
        <v>Dentro</v>
      </c>
      <c r="H20" s="19" t="n">
        <f aca="false">IF(Config!$A$23="","",SUM(INDEX(Previsto!$B$16:$M$16,1,1):INDEX(Previsto!$B$16:$M$16,1,Config!$B$7)))</f>
        <v>11100</v>
      </c>
      <c r="I20" s="19" t="n">
        <f aca="false">IF(Config!$A$23="","",SUMIFS(Realizado!$D$5:$D$604,Realizado!$B$5:$B$604,Config!$A$23,Realizado!$F$5:$F$604,"&lt;="&amp;Config!$B$7,Realizado!$G$5:$G$604,Config!$B$5))</f>
        <v>10012.63</v>
      </c>
    </row>
    <row r="21" customFormat="false" ht="15" hidden="false" customHeight="false" outlineLevel="0" collapsed="false">
      <c r="A21" s="17" t="str">
        <f aca="false">IF(Config!$A$24="","",Config!$A$24)</f>
        <v>Reserva</v>
      </c>
      <c r="B21" s="18" t="str">
        <f aca="false">IF(Config!$A$24="","",Config!$B$24)</f>
        <v>Despesa</v>
      </c>
      <c r="C21" s="19" t="n">
        <f aca="false">IF(Config!$A$24="","",INDEX(Previsto!$B$17:$M$17,1,Config!$B$7))</f>
        <v>3000</v>
      </c>
      <c r="D21" s="19" t="n">
        <f aca="false">IF(Config!$A$24="","",SUMIFS(Realizado!$D$5:$D$604,Realizado!$B$5:$B$604,Config!$A$24,Realizado!$F$5:$F$604,Config!$B$7,Realizado!$G$5:$G$604,Config!$B$5))</f>
        <v>2884.81</v>
      </c>
      <c r="E21" s="19" t="n">
        <f aca="false">IF(Config!$A$24="","",D21-C21)</f>
        <v>-115.19</v>
      </c>
      <c r="F21" s="20" t="n">
        <f aca="false">IF(OR(Config!$A$24="",C21=0),"",E21/C21)</f>
        <v>-0.0383966666666667</v>
      </c>
      <c r="G21" s="18" t="str">
        <f aca="false">IF(Config!$A$24="","",IF(B21="Despesa",IF(AND(C21&gt;0,F21&gt;Config!$B$8),"Estourou",IF(D21&gt;C21,"Acima","Dentro")),IF(AND(C21&gt;0,F21&lt;-Config!$B$8),"Abaixo da meta",IF(D21&gt;=C21,"Meta batida","Perto da meta"))))</f>
        <v>Dentro</v>
      </c>
      <c r="H21" s="19" t="n">
        <f aca="false">IF(Config!$A$24="","",SUM(INDEX(Previsto!$B$17:$M$17,1,1):INDEX(Previsto!$B$17:$M$17,1,Config!$B$7)))</f>
        <v>27000</v>
      </c>
      <c r="I21" s="19" t="n">
        <f aca="false">IF(Config!$A$24="","",SUMIFS(Realizado!$D$5:$D$604,Realizado!$B$5:$B$604,Config!$A$24,Realizado!$F$5:$F$604,"&lt;="&amp;Config!$B$7,Realizado!$G$5:$G$604,Config!$B$5))</f>
        <v>26763.1</v>
      </c>
    </row>
    <row r="22" customFormat="false" ht="15" hidden="false" customHeight="false" outlineLevel="0" collapsed="false">
      <c r="A22" s="17" t="str">
        <f aca="false">IF(Config!$A$25="","",Config!$A$25)</f>
        <v/>
      </c>
      <c r="B22" s="18" t="str">
        <f aca="false">IF(Config!$A$25="","",Config!$B$25)</f>
        <v/>
      </c>
      <c r="C22" s="19" t="str">
        <f aca="false">IF(Config!$A$25="","",INDEX(Previsto!$B$18:$M$18,1,Config!$B$7))</f>
        <v/>
      </c>
      <c r="D22" s="19" t="str">
        <f aca="false">IF(Config!$A$25="","",SUMIFS(Realizado!$D$5:$D$604,Realizado!$B$5:$B$604,Config!$A$25,Realizado!$F$5:$F$604,Config!$B$7,Realizado!$G$5:$G$604,Config!$B$5))</f>
        <v/>
      </c>
      <c r="E22" s="19" t="str">
        <f aca="false">IF(Config!$A$25="","",D22-C22)</f>
        <v/>
      </c>
      <c r="F22" s="20" t="str">
        <f aca="false">IF(OR(Config!$A$25="",C22=0),"",E22/C22)</f>
        <v/>
      </c>
      <c r="G22" s="18" t="str">
        <f aca="false">IF(Config!$A$25="","",IF(B22="Despesa",IF(AND(C22&gt;0,F22&gt;Config!$B$8),"Estourou",IF(D22&gt;C22,"Acima","Dentro")),IF(AND(C22&gt;0,F22&lt;-Config!$B$8),"Abaixo da meta",IF(D22&gt;=C22,"Meta batida","Perto da meta"))))</f>
        <v/>
      </c>
      <c r="H22" s="19" t="str">
        <f aca="false">IF(Config!$A$25="","",SUM(INDEX(Previsto!$B$18:$M$18,1,1):INDEX(Previsto!$B$18:$M$18,1,Config!$B$7)))</f>
        <v/>
      </c>
      <c r="I22" s="19" t="str">
        <f aca="false">IF(Config!$A$25="","",SUMIFS(Realizado!$D$5:$D$604,Realizado!$B$5:$B$604,Config!$A$25,Realizado!$F$5:$F$604,"&lt;="&amp;Config!$B$7,Realizado!$G$5:$G$604,Config!$B$5))</f>
        <v/>
      </c>
    </row>
    <row r="23" customFormat="false" ht="15" hidden="false" customHeight="false" outlineLevel="0" collapsed="false">
      <c r="A23" s="17" t="str">
        <f aca="false">IF(Config!$A$26="","",Config!$A$26)</f>
        <v/>
      </c>
      <c r="B23" s="18" t="str">
        <f aca="false">IF(Config!$A$26="","",Config!$B$26)</f>
        <v/>
      </c>
      <c r="C23" s="19" t="str">
        <f aca="false">IF(Config!$A$26="","",INDEX(Previsto!$B$19:$M$19,1,Config!$B$7))</f>
        <v/>
      </c>
      <c r="D23" s="19" t="str">
        <f aca="false">IF(Config!$A$26="","",SUMIFS(Realizado!$D$5:$D$604,Realizado!$B$5:$B$604,Config!$A$26,Realizado!$F$5:$F$604,Config!$B$7,Realizado!$G$5:$G$604,Config!$B$5))</f>
        <v/>
      </c>
      <c r="E23" s="19" t="str">
        <f aca="false">IF(Config!$A$26="","",D23-C23)</f>
        <v/>
      </c>
      <c r="F23" s="20" t="str">
        <f aca="false">IF(OR(Config!$A$26="",C23=0),"",E23/C23)</f>
        <v/>
      </c>
      <c r="G23" s="18" t="str">
        <f aca="false">IF(Config!$A$26="","",IF(B23="Despesa",IF(AND(C23&gt;0,F23&gt;Config!$B$8),"Estourou",IF(D23&gt;C23,"Acima","Dentro")),IF(AND(C23&gt;0,F23&lt;-Config!$B$8),"Abaixo da meta",IF(D23&gt;=C23,"Meta batida","Perto da meta"))))</f>
        <v/>
      </c>
      <c r="H23" s="19" t="str">
        <f aca="false">IF(Config!$A$26="","",SUM(INDEX(Previsto!$B$19:$M$19,1,1):INDEX(Previsto!$B$19:$M$19,1,Config!$B$7)))</f>
        <v/>
      </c>
      <c r="I23" s="19" t="str">
        <f aca="false">IF(Config!$A$26="","",SUMIFS(Realizado!$D$5:$D$604,Realizado!$B$5:$B$604,Config!$A$26,Realizado!$F$5:$F$604,"&lt;="&amp;Config!$B$7,Realizado!$G$5:$G$604,Config!$B$5))</f>
        <v/>
      </c>
    </row>
    <row r="24" customFormat="false" ht="15" hidden="false" customHeight="false" outlineLevel="0" collapsed="false">
      <c r="A24" s="17" t="str">
        <f aca="false">IF(Config!$A$27="","",Config!$A$27)</f>
        <v/>
      </c>
      <c r="B24" s="18" t="str">
        <f aca="false">IF(Config!$A$27="","",Config!$B$27)</f>
        <v/>
      </c>
      <c r="C24" s="19" t="str">
        <f aca="false">IF(Config!$A$27="","",INDEX(Previsto!$B$20:$M$20,1,Config!$B$7))</f>
        <v/>
      </c>
      <c r="D24" s="19" t="str">
        <f aca="false">IF(Config!$A$27="","",SUMIFS(Realizado!$D$5:$D$604,Realizado!$B$5:$B$604,Config!$A$27,Realizado!$F$5:$F$604,Config!$B$7,Realizado!$G$5:$G$604,Config!$B$5))</f>
        <v/>
      </c>
      <c r="E24" s="19" t="str">
        <f aca="false">IF(Config!$A$27="","",D24-C24)</f>
        <v/>
      </c>
      <c r="F24" s="20" t="str">
        <f aca="false">IF(OR(Config!$A$27="",C24=0),"",E24/C24)</f>
        <v/>
      </c>
      <c r="G24" s="18" t="str">
        <f aca="false">IF(Config!$A$27="","",IF(B24="Despesa",IF(AND(C24&gt;0,F24&gt;Config!$B$8),"Estourou",IF(D24&gt;C24,"Acima","Dentro")),IF(AND(C24&gt;0,F24&lt;-Config!$B$8),"Abaixo da meta",IF(D24&gt;=C24,"Meta batida","Perto da meta"))))</f>
        <v/>
      </c>
      <c r="H24" s="19" t="str">
        <f aca="false">IF(Config!$A$27="","",SUM(INDEX(Previsto!$B$20:$M$20,1,1):INDEX(Previsto!$B$20:$M$20,1,Config!$B$7)))</f>
        <v/>
      </c>
      <c r="I24" s="19" t="str">
        <f aca="false">IF(Config!$A$27="","",SUMIFS(Realizado!$D$5:$D$604,Realizado!$B$5:$B$604,Config!$A$27,Realizado!$F$5:$F$604,"&lt;="&amp;Config!$B$7,Realizado!$G$5:$G$604,Config!$B$5))</f>
        <v/>
      </c>
    </row>
    <row r="25" customFormat="false" ht="15" hidden="false" customHeight="false" outlineLevel="0" collapsed="false">
      <c r="A25" s="17" t="str">
        <f aca="false">IF(Config!$A$28="","",Config!$A$28)</f>
        <v/>
      </c>
      <c r="B25" s="18" t="str">
        <f aca="false">IF(Config!$A$28="","",Config!$B$28)</f>
        <v/>
      </c>
      <c r="C25" s="19" t="str">
        <f aca="false">IF(Config!$A$28="","",INDEX(Previsto!$B$21:$M$21,1,Config!$B$7))</f>
        <v/>
      </c>
      <c r="D25" s="19" t="str">
        <f aca="false">IF(Config!$A$28="","",SUMIFS(Realizado!$D$5:$D$604,Realizado!$B$5:$B$604,Config!$A$28,Realizado!$F$5:$F$604,Config!$B$7,Realizado!$G$5:$G$604,Config!$B$5))</f>
        <v/>
      </c>
      <c r="E25" s="19" t="str">
        <f aca="false">IF(Config!$A$28="","",D25-C25)</f>
        <v/>
      </c>
      <c r="F25" s="20" t="str">
        <f aca="false">IF(OR(Config!$A$28="",C25=0),"",E25/C25)</f>
        <v/>
      </c>
      <c r="G25" s="18" t="str">
        <f aca="false">IF(Config!$A$28="","",IF(B25="Despesa",IF(AND(C25&gt;0,F25&gt;Config!$B$8),"Estourou",IF(D25&gt;C25,"Acima","Dentro")),IF(AND(C25&gt;0,F25&lt;-Config!$B$8),"Abaixo da meta",IF(D25&gt;=C25,"Meta batida","Perto da meta"))))</f>
        <v/>
      </c>
      <c r="H25" s="19" t="str">
        <f aca="false">IF(Config!$A$28="","",SUM(INDEX(Previsto!$B$21:$M$21,1,1):INDEX(Previsto!$B$21:$M$21,1,Config!$B$7)))</f>
        <v/>
      </c>
      <c r="I25" s="19" t="str">
        <f aca="false">IF(Config!$A$28="","",SUMIFS(Realizado!$D$5:$D$604,Realizado!$B$5:$B$604,Config!$A$28,Realizado!$F$5:$F$604,"&lt;="&amp;Config!$B$7,Realizado!$G$5:$G$604,Config!$B$5))</f>
        <v/>
      </c>
    </row>
    <row r="26" customFormat="false" ht="15" hidden="false" customHeight="false" outlineLevel="0" collapsed="false">
      <c r="A26" s="17" t="str">
        <f aca="false">IF(Config!$A$29="","",Config!$A$29)</f>
        <v/>
      </c>
      <c r="B26" s="18" t="str">
        <f aca="false">IF(Config!$A$29="","",Config!$B$29)</f>
        <v/>
      </c>
      <c r="C26" s="19" t="str">
        <f aca="false">IF(Config!$A$29="","",INDEX(Previsto!$B$22:$M$22,1,Config!$B$7))</f>
        <v/>
      </c>
      <c r="D26" s="19" t="str">
        <f aca="false">IF(Config!$A$29="","",SUMIFS(Realizado!$D$5:$D$604,Realizado!$B$5:$B$604,Config!$A$29,Realizado!$F$5:$F$604,Config!$B$7,Realizado!$G$5:$G$604,Config!$B$5))</f>
        <v/>
      </c>
      <c r="E26" s="19" t="str">
        <f aca="false">IF(Config!$A$29="","",D26-C26)</f>
        <v/>
      </c>
      <c r="F26" s="20" t="str">
        <f aca="false">IF(OR(Config!$A$29="",C26=0),"",E26/C26)</f>
        <v/>
      </c>
      <c r="G26" s="18" t="str">
        <f aca="false">IF(Config!$A$29="","",IF(B26="Despesa",IF(AND(C26&gt;0,F26&gt;Config!$B$8),"Estourou",IF(D26&gt;C26,"Acima","Dentro")),IF(AND(C26&gt;0,F26&lt;-Config!$B$8),"Abaixo da meta",IF(D26&gt;=C26,"Meta batida","Perto da meta"))))</f>
        <v/>
      </c>
      <c r="H26" s="19" t="str">
        <f aca="false">IF(Config!$A$29="","",SUM(INDEX(Previsto!$B$22:$M$22,1,1):INDEX(Previsto!$B$22:$M$22,1,Config!$B$7)))</f>
        <v/>
      </c>
      <c r="I26" s="19" t="str">
        <f aca="false">IF(Config!$A$29="","",SUMIFS(Realizado!$D$5:$D$604,Realizado!$B$5:$B$604,Config!$A$29,Realizado!$F$5:$F$604,"&lt;="&amp;Config!$B$7,Realizado!$G$5:$G$604,Config!$B$5))</f>
        <v/>
      </c>
    </row>
    <row r="27" customFormat="false" ht="15" hidden="false" customHeight="false" outlineLevel="0" collapsed="false">
      <c r="A27" s="17" t="str">
        <f aca="false">IF(Config!$A$30="","",Config!$A$30)</f>
        <v/>
      </c>
      <c r="B27" s="18" t="str">
        <f aca="false">IF(Config!$A$30="","",Config!$B$30)</f>
        <v/>
      </c>
      <c r="C27" s="19" t="str">
        <f aca="false">IF(Config!$A$30="","",INDEX(Previsto!$B$23:$M$23,1,Config!$B$7))</f>
        <v/>
      </c>
      <c r="D27" s="19" t="str">
        <f aca="false">IF(Config!$A$30="","",SUMIFS(Realizado!$D$5:$D$604,Realizado!$B$5:$B$604,Config!$A$30,Realizado!$F$5:$F$604,Config!$B$7,Realizado!$G$5:$G$604,Config!$B$5))</f>
        <v/>
      </c>
      <c r="E27" s="19" t="str">
        <f aca="false">IF(Config!$A$30="","",D27-C27)</f>
        <v/>
      </c>
      <c r="F27" s="20" t="str">
        <f aca="false">IF(OR(Config!$A$30="",C27=0),"",E27/C27)</f>
        <v/>
      </c>
      <c r="G27" s="18" t="str">
        <f aca="false">IF(Config!$A$30="","",IF(B27="Despesa",IF(AND(C27&gt;0,F27&gt;Config!$B$8),"Estourou",IF(D27&gt;C27,"Acima","Dentro")),IF(AND(C27&gt;0,F27&lt;-Config!$B$8),"Abaixo da meta",IF(D27&gt;=C27,"Meta batida","Perto da meta"))))</f>
        <v/>
      </c>
      <c r="H27" s="19" t="str">
        <f aca="false">IF(Config!$A$30="","",SUM(INDEX(Previsto!$B$23:$M$23,1,1):INDEX(Previsto!$B$23:$M$23,1,Config!$B$7)))</f>
        <v/>
      </c>
      <c r="I27" s="19" t="str">
        <f aca="false">IF(Config!$A$30="","",SUMIFS(Realizado!$D$5:$D$604,Realizado!$B$5:$B$604,Config!$A$30,Realizado!$F$5:$F$604,"&lt;="&amp;Config!$B$7,Realizado!$G$5:$G$604,Config!$B$5))</f>
        <v/>
      </c>
    </row>
    <row r="28" customFormat="false" ht="15" hidden="false" customHeight="false" outlineLevel="0" collapsed="false">
      <c r="A28" s="17" t="str">
        <f aca="false">IF(Config!$A$31="","",Config!$A$31)</f>
        <v/>
      </c>
      <c r="B28" s="18" t="str">
        <f aca="false">IF(Config!$A$31="","",Config!$B$31)</f>
        <v/>
      </c>
      <c r="C28" s="19" t="str">
        <f aca="false">IF(Config!$A$31="","",INDEX(Previsto!$B$24:$M$24,1,Config!$B$7))</f>
        <v/>
      </c>
      <c r="D28" s="19" t="str">
        <f aca="false">IF(Config!$A$31="","",SUMIFS(Realizado!$D$5:$D$604,Realizado!$B$5:$B$604,Config!$A$31,Realizado!$F$5:$F$604,Config!$B$7,Realizado!$G$5:$G$604,Config!$B$5))</f>
        <v/>
      </c>
      <c r="E28" s="19" t="str">
        <f aca="false">IF(Config!$A$31="","",D28-C28)</f>
        <v/>
      </c>
      <c r="F28" s="20" t="str">
        <f aca="false">IF(OR(Config!$A$31="",C28=0),"",E28/C28)</f>
        <v/>
      </c>
      <c r="G28" s="18" t="str">
        <f aca="false">IF(Config!$A$31="","",IF(B28="Despesa",IF(AND(C28&gt;0,F28&gt;Config!$B$8),"Estourou",IF(D28&gt;C28,"Acima","Dentro")),IF(AND(C28&gt;0,F28&lt;-Config!$B$8),"Abaixo da meta",IF(D28&gt;=C28,"Meta batida","Perto da meta"))))</f>
        <v/>
      </c>
      <c r="H28" s="19" t="str">
        <f aca="false">IF(Config!$A$31="","",SUM(INDEX(Previsto!$B$24:$M$24,1,1):INDEX(Previsto!$B$24:$M$24,1,Config!$B$7)))</f>
        <v/>
      </c>
      <c r="I28" s="19" t="str">
        <f aca="false">IF(Config!$A$31="","",SUMIFS(Realizado!$D$5:$D$604,Realizado!$B$5:$B$604,Config!$A$31,Realizado!$F$5:$F$604,"&lt;="&amp;Config!$B$7,Realizado!$G$5:$G$604,Config!$B$5))</f>
        <v/>
      </c>
    </row>
    <row r="30" customFormat="false" ht="16.15" hidden="false" customHeight="false" outlineLevel="0" collapsed="false">
      <c r="A30" s="15" t="s">
        <v>42</v>
      </c>
    </row>
    <row r="31" customFormat="false" ht="25.5" hidden="false" customHeight="true" outlineLevel="0" collapsed="false">
      <c r="A31" s="16" t="s">
        <v>43</v>
      </c>
      <c r="B31" s="16" t="s">
        <v>27</v>
      </c>
      <c r="C31" s="16" t="s">
        <v>28</v>
      </c>
      <c r="D31" s="16" t="s">
        <v>29</v>
      </c>
      <c r="E31" s="16" t="s">
        <v>30</v>
      </c>
      <c r="F31" s="16" t="s">
        <v>44</v>
      </c>
      <c r="G31" s="16" t="s">
        <v>45</v>
      </c>
    </row>
    <row r="32" customFormat="false" ht="15" hidden="false" customHeight="false" outlineLevel="0" collapsed="false">
      <c r="A32" s="17" t="s">
        <v>46</v>
      </c>
      <c r="B32" s="19" t="n">
        <f aca="false">SUMIFS(INDEX(Previsto!$B$5:$M$24,0,1),Config!$B$12:$B$31,"Receita")</f>
        <v>71000</v>
      </c>
      <c r="C32" s="19" t="n">
        <f aca="false">SUMIFS(Realizado!$D$5:$D$604,Realizado!$H$5:$H$604,"Receita",Realizado!$F$5:$F$604,1,Realizado!$G$5:$G$604,Config!$B$5)</f>
        <v>68436.54</v>
      </c>
      <c r="D32" s="19" t="n">
        <f aca="false">SUMIFS(INDEX(Previsto!$B$5:$M$24,0,1),Config!$B$12:$B$31,"Despesa")</f>
        <v>65900</v>
      </c>
      <c r="E32" s="19" t="n">
        <f aca="false">SUMIFS(Realizado!$D$5:$D$604,Realizado!$H$5:$H$604,"Despesa",Realizado!$F$5:$F$604,1,Realizado!$G$5:$G$604,Config!$B$5)</f>
        <v>68195.56</v>
      </c>
      <c r="F32" s="19" t="n">
        <f aca="false">B32-D32</f>
        <v>5100</v>
      </c>
      <c r="G32" s="19" t="n">
        <f aca="false">C32-E32</f>
        <v>240.979999999996</v>
      </c>
    </row>
    <row r="33" customFormat="false" ht="15" hidden="false" customHeight="false" outlineLevel="0" collapsed="false">
      <c r="A33" s="17" t="s">
        <v>47</v>
      </c>
      <c r="B33" s="19" t="n">
        <f aca="false">SUMIFS(INDEX(Previsto!$B$5:$M$24,0,2),Config!$B$12:$B$31,"Receita")</f>
        <v>74000</v>
      </c>
      <c r="C33" s="19" t="n">
        <f aca="false">SUMIFS(Realizado!$D$5:$D$604,Realizado!$H$5:$H$604,"Receita",Realizado!$F$5:$F$604,2,Realizado!$G$5:$G$604,Config!$B$5)</f>
        <v>72382.24</v>
      </c>
      <c r="D33" s="19" t="n">
        <f aca="false">SUMIFS(INDEX(Previsto!$B$5:$M$24,0,2),Config!$B$12:$B$31,"Despesa")</f>
        <v>66100</v>
      </c>
      <c r="E33" s="19" t="n">
        <f aca="false">SUMIFS(Realizado!$D$5:$D$604,Realizado!$H$5:$H$604,"Despesa",Realizado!$F$5:$F$604,2,Realizado!$G$5:$G$604,Config!$B$5)</f>
        <v>68512.13</v>
      </c>
      <c r="F33" s="19" t="n">
        <f aca="false">B33-D33</f>
        <v>7900</v>
      </c>
      <c r="G33" s="19" t="n">
        <f aca="false">C33-E33</f>
        <v>3870.11</v>
      </c>
    </row>
    <row r="34" customFormat="false" ht="15" hidden="false" customHeight="false" outlineLevel="0" collapsed="false">
      <c r="A34" s="17" t="s">
        <v>48</v>
      </c>
      <c r="B34" s="19" t="n">
        <f aca="false">SUMIFS(INDEX(Previsto!$B$5:$M$24,0,3),Config!$B$12:$B$31,"Receita")</f>
        <v>79500</v>
      </c>
      <c r="C34" s="19" t="n">
        <f aca="false">SUMIFS(Realizado!$D$5:$D$604,Realizado!$H$5:$H$604,"Receita",Realizado!$F$5:$F$604,3,Realizado!$G$5:$G$604,Config!$B$5)</f>
        <v>79418.93</v>
      </c>
      <c r="D34" s="19" t="n">
        <f aca="false">SUMIFS(INDEX(Previsto!$B$5:$M$24,0,3),Config!$B$12:$B$31,"Despesa")</f>
        <v>71900</v>
      </c>
      <c r="E34" s="19" t="n">
        <f aca="false">SUMIFS(Realizado!$D$5:$D$604,Realizado!$H$5:$H$604,"Despesa",Realizado!$F$5:$F$604,3,Realizado!$G$5:$G$604,Config!$B$5)</f>
        <v>75904.68</v>
      </c>
      <c r="F34" s="19" t="n">
        <f aca="false">B34-D34</f>
        <v>7600</v>
      </c>
      <c r="G34" s="19" t="n">
        <f aca="false">C34-E34</f>
        <v>3514.25</v>
      </c>
    </row>
    <row r="35" customFormat="false" ht="15" hidden="false" customHeight="false" outlineLevel="0" collapsed="false">
      <c r="A35" s="17" t="s">
        <v>49</v>
      </c>
      <c r="B35" s="19" t="n">
        <f aca="false">SUMIFS(INDEX(Previsto!$B$5:$M$24,0,4),Config!$B$12:$B$31,"Receita")</f>
        <v>81500</v>
      </c>
      <c r="C35" s="19" t="n">
        <f aca="false">SUMIFS(Realizado!$D$5:$D$604,Realizado!$H$5:$H$604,"Receita",Realizado!$F$5:$F$604,4,Realizado!$G$5:$G$604,Config!$B$5)</f>
        <v>79171.73</v>
      </c>
      <c r="D35" s="19" t="n">
        <f aca="false">SUMIFS(INDEX(Previsto!$B$5:$M$24,0,4),Config!$B$12:$B$31,"Despesa")</f>
        <v>69800</v>
      </c>
      <c r="E35" s="19" t="n">
        <f aca="false">SUMIFS(Realizado!$D$5:$D$604,Realizado!$H$5:$H$604,"Despesa",Realizado!$F$5:$F$604,4,Realizado!$G$5:$G$604,Config!$B$5)</f>
        <v>72484.05</v>
      </c>
      <c r="F35" s="19" t="n">
        <f aca="false">B35-D35</f>
        <v>11700</v>
      </c>
      <c r="G35" s="19" t="n">
        <f aca="false">C35-E35</f>
        <v>6687.67999999999</v>
      </c>
    </row>
    <row r="36" customFormat="false" ht="15" hidden="false" customHeight="false" outlineLevel="0" collapsed="false">
      <c r="A36" s="17" t="s">
        <v>50</v>
      </c>
      <c r="B36" s="19" t="n">
        <f aca="false">SUMIFS(INDEX(Previsto!$B$5:$M$24,0,5),Config!$B$12:$B$31,"Receita")</f>
        <v>84000</v>
      </c>
      <c r="C36" s="19" t="n">
        <f aca="false">SUMIFS(Realizado!$D$5:$D$604,Realizado!$H$5:$H$604,"Receita",Realizado!$F$5:$F$604,5,Realizado!$G$5:$G$604,Config!$B$5)</f>
        <v>84895.22</v>
      </c>
      <c r="D36" s="19" t="n">
        <f aca="false">SUMIFS(INDEX(Previsto!$B$5:$M$24,0,5),Config!$B$12:$B$31,"Despesa")</f>
        <v>69800</v>
      </c>
      <c r="E36" s="19" t="n">
        <f aca="false">SUMIFS(Realizado!$D$5:$D$604,Realizado!$H$5:$H$604,"Despesa",Realizado!$F$5:$F$604,5,Realizado!$G$5:$G$604,Config!$B$5)</f>
        <v>72272.98</v>
      </c>
      <c r="F36" s="19" t="n">
        <f aca="false">B36-D36</f>
        <v>14200</v>
      </c>
      <c r="G36" s="19" t="n">
        <f aca="false">C36-E36</f>
        <v>12622.24</v>
      </c>
    </row>
    <row r="37" customFormat="false" ht="15" hidden="false" customHeight="false" outlineLevel="0" collapsed="false">
      <c r="A37" s="17" t="s">
        <v>51</v>
      </c>
      <c r="B37" s="19" t="n">
        <f aca="false">SUMIFS(INDEX(Previsto!$B$5:$M$24,0,6),Config!$B$12:$B$31,"Receita")</f>
        <v>86000</v>
      </c>
      <c r="C37" s="19" t="n">
        <f aca="false">SUMIFS(Realizado!$D$5:$D$604,Realizado!$H$5:$H$604,"Receita",Realizado!$F$5:$F$604,6,Realizado!$G$5:$G$604,Config!$B$5)</f>
        <v>82906.89</v>
      </c>
      <c r="D37" s="19" t="n">
        <f aca="false">SUMIFS(INDEX(Previsto!$B$5:$M$24,0,6),Config!$B$12:$B$31,"Despesa")</f>
        <v>70000</v>
      </c>
      <c r="E37" s="19" t="n">
        <f aca="false">SUMIFS(Realizado!$D$5:$D$604,Realizado!$H$5:$H$604,"Despesa",Realizado!$F$5:$F$604,6,Realizado!$G$5:$G$604,Config!$B$5)</f>
        <v>71740.09</v>
      </c>
      <c r="F37" s="19" t="n">
        <f aca="false">B37-D37</f>
        <v>16000</v>
      </c>
      <c r="G37" s="19" t="n">
        <f aca="false">C37-E37</f>
        <v>11166.8</v>
      </c>
    </row>
    <row r="38" customFormat="false" ht="15" hidden="false" customHeight="false" outlineLevel="0" collapsed="false">
      <c r="A38" s="17" t="s">
        <v>52</v>
      </c>
      <c r="B38" s="19" t="n">
        <f aca="false">SUMIFS(INDEX(Previsto!$B$5:$M$24,0,7),Config!$B$12:$B$31,"Receita")</f>
        <v>90500</v>
      </c>
      <c r="C38" s="19" t="n">
        <f aca="false">SUMIFS(Realizado!$D$5:$D$604,Realizado!$H$5:$H$604,"Receita",Realizado!$F$5:$F$604,7,Realizado!$G$5:$G$604,Config!$B$5)</f>
        <v>89625.23</v>
      </c>
      <c r="D38" s="19" t="n">
        <f aca="false">SUMIFS(INDEX(Previsto!$B$5:$M$24,0,7),Config!$B$12:$B$31,"Despesa")</f>
        <v>76800</v>
      </c>
      <c r="E38" s="19" t="n">
        <f aca="false">SUMIFS(Realizado!$D$5:$D$604,Realizado!$H$5:$H$604,"Despesa",Realizado!$F$5:$F$604,7,Realizado!$G$5:$G$604,Config!$B$5)</f>
        <v>81289.98</v>
      </c>
      <c r="F38" s="19" t="n">
        <f aca="false">B38-D38</f>
        <v>13700</v>
      </c>
      <c r="G38" s="19" t="n">
        <f aca="false">C38-E38</f>
        <v>8335.25</v>
      </c>
    </row>
    <row r="39" customFormat="false" ht="15" hidden="false" customHeight="false" outlineLevel="0" collapsed="false">
      <c r="A39" s="17" t="s">
        <v>53</v>
      </c>
      <c r="B39" s="19" t="n">
        <f aca="false">SUMIFS(INDEX(Previsto!$B$5:$M$24,0,8),Config!$B$12:$B$31,"Receita")</f>
        <v>90500</v>
      </c>
      <c r="C39" s="19" t="n">
        <f aca="false">SUMIFS(Realizado!$D$5:$D$604,Realizado!$H$5:$H$604,"Receita",Realizado!$F$5:$F$604,8,Realizado!$G$5:$G$604,Config!$B$5)</f>
        <v>86293.65</v>
      </c>
      <c r="D39" s="19" t="n">
        <f aca="false">SUMIFS(INDEX(Previsto!$B$5:$M$24,0,8),Config!$B$12:$B$31,"Despesa")</f>
        <v>74800</v>
      </c>
      <c r="E39" s="19" t="n">
        <f aca="false">SUMIFS(Realizado!$D$5:$D$604,Realizado!$H$5:$H$604,"Despesa",Realizado!$F$5:$F$604,8,Realizado!$G$5:$G$604,Config!$B$5)</f>
        <v>77944.7</v>
      </c>
      <c r="F39" s="19" t="n">
        <f aca="false">B39-D39</f>
        <v>15700</v>
      </c>
      <c r="G39" s="19" t="n">
        <f aca="false">C39-E39</f>
        <v>8348.95</v>
      </c>
    </row>
    <row r="40" customFormat="false" ht="15" hidden="false" customHeight="false" outlineLevel="0" collapsed="false">
      <c r="A40" s="17" t="s">
        <v>54</v>
      </c>
      <c r="B40" s="19" t="n">
        <f aca="false">SUMIFS(INDEX(Previsto!$B$5:$M$24,0,9),Config!$B$12:$B$31,"Receita")</f>
        <v>95000</v>
      </c>
      <c r="C40" s="19" t="n">
        <f aca="false">SUMIFS(Realizado!$D$5:$D$604,Realizado!$H$5:$H$604,"Receita",Realizado!$F$5:$F$604,9,Realizado!$G$5:$G$604,Config!$B$5)</f>
        <v>95559.34</v>
      </c>
      <c r="D40" s="19" t="n">
        <f aca="false">SUMIFS(INDEX(Previsto!$B$5:$M$24,0,9),Config!$B$12:$B$31,"Despesa")</f>
        <v>77800</v>
      </c>
      <c r="E40" s="19" t="n">
        <f aca="false">SUMIFS(Realizado!$D$5:$D$604,Realizado!$H$5:$H$604,"Despesa",Realizado!$F$5:$F$604,9,Realizado!$G$5:$G$604,Config!$B$5)</f>
        <v>81387.49</v>
      </c>
      <c r="F40" s="19" t="n">
        <f aca="false">B40-D40</f>
        <v>17200</v>
      </c>
      <c r="G40" s="19" t="n">
        <f aca="false">C40-E40</f>
        <v>14171.85</v>
      </c>
    </row>
    <row r="41" customFormat="false" ht="15" hidden="false" customHeight="false" outlineLevel="0" collapsed="false">
      <c r="A41" s="17" t="s">
        <v>55</v>
      </c>
      <c r="B41" s="19" t="n">
        <f aca="false">SUMIFS(INDEX(Previsto!$B$5:$M$24,0,10),Config!$B$12:$B$31,"Receita")</f>
        <v>99000</v>
      </c>
      <c r="C41" s="19" t="n">
        <f aca="false">SUMIFS(Realizado!$D$5:$D$604,Realizado!$H$5:$H$604,"Receita",Realizado!$F$5:$F$604,10,Realizado!$G$5:$G$604,Config!$B$5)</f>
        <v>0</v>
      </c>
      <c r="D41" s="19" t="n">
        <f aca="false">SUMIFS(INDEX(Previsto!$B$5:$M$24,0,10),Config!$B$12:$B$31,"Despesa")</f>
        <v>78100</v>
      </c>
      <c r="E41" s="19" t="n">
        <f aca="false">SUMIFS(Realizado!$D$5:$D$604,Realizado!$H$5:$H$604,"Despesa",Realizado!$F$5:$F$604,10,Realizado!$G$5:$G$604,Config!$B$5)</f>
        <v>0</v>
      </c>
      <c r="F41" s="19" t="n">
        <f aca="false">B41-D41</f>
        <v>20900</v>
      </c>
      <c r="G41" s="19" t="n">
        <f aca="false">C41-E41</f>
        <v>0</v>
      </c>
    </row>
    <row r="42" customFormat="false" ht="15" hidden="false" customHeight="false" outlineLevel="0" collapsed="false">
      <c r="A42" s="17" t="s">
        <v>56</v>
      </c>
      <c r="B42" s="19" t="n">
        <f aca="false">SUMIFS(INDEX(Previsto!$B$5:$M$24,0,11),Config!$B$12:$B$31,"Receita")</f>
        <v>103500</v>
      </c>
      <c r="C42" s="19" t="n">
        <f aca="false">SUMIFS(Realizado!$D$5:$D$604,Realizado!$H$5:$H$604,"Receita",Realizado!$F$5:$F$604,11,Realizado!$G$5:$G$604,Config!$B$5)</f>
        <v>0</v>
      </c>
      <c r="D42" s="19" t="n">
        <f aca="false">SUMIFS(INDEX(Previsto!$B$5:$M$24,0,11),Config!$B$12:$B$31,"Despesa")</f>
        <v>78400</v>
      </c>
      <c r="E42" s="19" t="n">
        <f aca="false">SUMIFS(Realizado!$D$5:$D$604,Realizado!$H$5:$H$604,"Despesa",Realizado!$F$5:$F$604,11,Realizado!$G$5:$G$604,Config!$B$5)</f>
        <v>0</v>
      </c>
      <c r="F42" s="19" t="n">
        <f aca="false">B42-D42</f>
        <v>25100</v>
      </c>
      <c r="G42" s="19" t="n">
        <f aca="false">C42-E42</f>
        <v>0</v>
      </c>
    </row>
    <row r="43" customFormat="false" ht="15" hidden="false" customHeight="false" outlineLevel="0" collapsed="false">
      <c r="A43" s="17" t="s">
        <v>57</v>
      </c>
      <c r="B43" s="19" t="n">
        <f aca="false">SUMIFS(INDEX(Previsto!$B$5:$M$24,0,12),Config!$B$12:$B$31,"Receita")</f>
        <v>92000</v>
      </c>
      <c r="C43" s="19" t="n">
        <f aca="false">SUMIFS(Realizado!$D$5:$D$604,Realizado!$H$5:$H$604,"Receita",Realizado!$F$5:$F$604,12,Realizado!$G$5:$G$604,Config!$B$5)</f>
        <v>0</v>
      </c>
      <c r="D43" s="19" t="n">
        <f aca="false">SUMIFS(INDEX(Previsto!$B$5:$M$24,0,12),Config!$B$12:$B$31,"Despesa")</f>
        <v>70400</v>
      </c>
      <c r="E43" s="19" t="n">
        <f aca="false">SUMIFS(Realizado!$D$5:$D$604,Realizado!$H$5:$H$604,"Despesa",Realizado!$F$5:$F$604,12,Realizado!$G$5:$G$604,Config!$B$5)</f>
        <v>0</v>
      </c>
      <c r="F43" s="19" t="n">
        <f aca="false">B43-D43</f>
        <v>21600</v>
      </c>
      <c r="G43" s="19" t="n">
        <f aca="false">C43-E43</f>
        <v>0</v>
      </c>
    </row>
    <row r="44" customFormat="false" ht="15" hidden="false" customHeight="false" outlineLevel="0" collapsed="false">
      <c r="A44" s="21" t="s">
        <v>58</v>
      </c>
    </row>
  </sheetData>
  <sheetProtection sheet="true" formatColumns="false" formatRows="false" sort="false" autoFilter="false"/>
  <mergeCells count="12">
    <mergeCell ref="A1:I1"/>
    <mergeCell ref="A2:I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conditionalFormatting sqref="G9:G28">
    <cfRule type="expression" priority="2" aboveAverage="0" equalAverage="0" bottom="0" percent="0" rank="0" text="" dxfId="0">
      <formula>G9="Estourou"</formula>
    </cfRule>
    <cfRule type="expression" priority="3" aboveAverage="0" equalAverage="0" bottom="0" percent="0" rank="0" text="" dxfId="0">
      <formula>G9="Abaixo da meta"</formula>
    </cfRule>
    <cfRule type="expression" priority="4" aboveAverage="0" equalAverage="0" bottom="0" percent="0" rank="0" text="" dxfId="1">
      <formula>OR(G9="Acima",G9="Perto da meta")</formula>
    </cfRule>
    <cfRule type="expression" priority="5" aboveAverage="0" equalAverage="0" bottom="0" percent="0" rank="0" text="" dxfId="2">
      <formula>OR(G9="Dentro",G9="Meta batida")</formula>
    </cfRule>
  </conditionalFormatting>
  <conditionalFormatting sqref="G32:G43">
    <cfRule type="expression" priority="6" aboveAverage="0" equalAverage="0" bottom="0" percent="0" rank="0" text="" dxfId="3">
      <formula>G32&lt;0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22" t="s">
        <v>59</v>
      </c>
    </row>
    <row r="2" customFormat="false" ht="15" hidden="false" customHeight="false" outlineLevel="0" collapsed="false">
      <c r="A2" s="23" t="s">
        <v>60</v>
      </c>
      <c r="B2" s="23"/>
      <c r="C2" s="23"/>
      <c r="D2" s="23"/>
      <c r="E2" s="23"/>
      <c r="F2" s="23"/>
      <c r="G2" s="23"/>
      <c r="H2" s="23"/>
    </row>
    <row r="4" customFormat="false" ht="15" hidden="false" customHeight="false" outlineLevel="0" collapsed="false">
      <c r="A4" s="24" t="s">
        <v>61</v>
      </c>
      <c r="B4" s="25" t="s">
        <v>62</v>
      </c>
      <c r="E4" s="24" t="s">
        <v>63</v>
      </c>
    </row>
    <row r="5" customFormat="false" ht="15" hidden="false" customHeight="false" outlineLevel="0" collapsed="false">
      <c r="A5" s="24" t="s">
        <v>64</v>
      </c>
      <c r="B5" s="25" t="n">
        <v>2026</v>
      </c>
      <c r="E5" s="26" t="s">
        <v>46</v>
      </c>
    </row>
    <row r="6" customFormat="false" ht="15" hidden="false" customHeight="false" outlineLevel="0" collapsed="false">
      <c r="A6" s="24" t="s">
        <v>65</v>
      </c>
      <c r="B6" s="27" t="s">
        <v>54</v>
      </c>
      <c r="E6" s="26" t="s">
        <v>47</v>
      </c>
    </row>
    <row r="7" customFormat="false" ht="15" hidden="false" customHeight="false" outlineLevel="0" collapsed="false">
      <c r="A7" s="24" t="s">
        <v>66</v>
      </c>
      <c r="B7" s="18" t="n">
        <f aca="false">MATCH(B6,$E$5:$E$16,0)</f>
        <v>9</v>
      </c>
      <c r="E7" s="26" t="s">
        <v>48</v>
      </c>
    </row>
    <row r="8" customFormat="false" ht="15" hidden="false" customHeight="false" outlineLevel="0" collapsed="false">
      <c r="A8" s="24" t="s">
        <v>67</v>
      </c>
      <c r="B8" s="28" t="n">
        <v>0.1</v>
      </c>
      <c r="E8" s="26" t="s">
        <v>49</v>
      </c>
    </row>
    <row r="9" customFormat="false" ht="15" hidden="false" customHeight="false" outlineLevel="0" collapsed="false">
      <c r="E9" s="26" t="s">
        <v>50</v>
      </c>
    </row>
    <row r="10" customFormat="false" ht="15" hidden="false" customHeight="false" outlineLevel="0" collapsed="false">
      <c r="A10" s="24" t="s">
        <v>68</v>
      </c>
      <c r="E10" s="26" t="s">
        <v>51</v>
      </c>
    </row>
    <row r="11" customFormat="false" ht="25.5" hidden="false" customHeight="true" outlineLevel="0" collapsed="false">
      <c r="A11" s="16" t="s">
        <v>33</v>
      </c>
      <c r="B11" s="16" t="s">
        <v>34</v>
      </c>
      <c r="C11" s="16" t="s">
        <v>69</v>
      </c>
      <c r="E11" s="26" t="s">
        <v>52</v>
      </c>
    </row>
    <row r="12" customFormat="false" ht="15" hidden="false" customHeight="false" outlineLevel="0" collapsed="false">
      <c r="A12" s="25" t="s">
        <v>70</v>
      </c>
      <c r="B12" s="27" t="s">
        <v>71</v>
      </c>
      <c r="C12" s="25" t="s">
        <v>72</v>
      </c>
      <c r="E12" s="26" t="s">
        <v>53</v>
      </c>
    </row>
    <row r="13" customFormat="false" ht="15" hidden="false" customHeight="false" outlineLevel="0" collapsed="false">
      <c r="A13" s="25" t="s">
        <v>73</v>
      </c>
      <c r="B13" s="27" t="s">
        <v>71</v>
      </c>
      <c r="C13" s="25" t="s">
        <v>72</v>
      </c>
      <c r="E13" s="26" t="s">
        <v>54</v>
      </c>
    </row>
    <row r="14" customFormat="false" ht="15" hidden="false" customHeight="false" outlineLevel="0" collapsed="false">
      <c r="A14" s="25" t="s">
        <v>74</v>
      </c>
      <c r="B14" s="27" t="s">
        <v>71</v>
      </c>
      <c r="C14" s="25" t="s">
        <v>75</v>
      </c>
      <c r="E14" s="26" t="s">
        <v>55</v>
      </c>
    </row>
    <row r="15" customFormat="false" ht="15" hidden="false" customHeight="false" outlineLevel="0" collapsed="false">
      <c r="A15" s="25" t="s">
        <v>76</v>
      </c>
      <c r="B15" s="27" t="s">
        <v>77</v>
      </c>
      <c r="C15" s="25" t="s">
        <v>72</v>
      </c>
      <c r="E15" s="26" t="s">
        <v>56</v>
      </c>
    </row>
    <row r="16" customFormat="false" ht="15" hidden="false" customHeight="false" outlineLevel="0" collapsed="false">
      <c r="A16" s="25" t="s">
        <v>78</v>
      </c>
      <c r="B16" s="27" t="s">
        <v>77</v>
      </c>
      <c r="C16" s="25" t="s">
        <v>79</v>
      </c>
      <c r="E16" s="26" t="s">
        <v>57</v>
      </c>
    </row>
    <row r="17" customFormat="false" ht="15" hidden="false" customHeight="false" outlineLevel="0" collapsed="false">
      <c r="A17" s="25" t="s">
        <v>80</v>
      </c>
      <c r="B17" s="27" t="s">
        <v>77</v>
      </c>
      <c r="C17" s="25" t="s">
        <v>72</v>
      </c>
    </row>
    <row r="18" customFormat="false" ht="15" hidden="false" customHeight="false" outlineLevel="0" collapsed="false">
      <c r="A18" s="25" t="s">
        <v>81</v>
      </c>
      <c r="B18" s="27" t="s">
        <v>77</v>
      </c>
      <c r="C18" s="25" t="s">
        <v>82</v>
      </c>
    </row>
    <row r="19" customFormat="false" ht="15" hidden="false" customHeight="false" outlineLevel="0" collapsed="false">
      <c r="A19" s="25" t="s">
        <v>83</v>
      </c>
      <c r="B19" s="27" t="s">
        <v>77</v>
      </c>
      <c r="C19" s="25" t="s">
        <v>75</v>
      </c>
    </row>
    <row r="20" customFormat="false" ht="15" hidden="false" customHeight="false" outlineLevel="0" collapsed="false">
      <c r="A20" s="25" t="s">
        <v>84</v>
      </c>
      <c r="B20" s="27" t="s">
        <v>77</v>
      </c>
      <c r="C20" s="25" t="s">
        <v>72</v>
      </c>
    </row>
    <row r="21" customFormat="false" ht="15" hidden="false" customHeight="false" outlineLevel="0" collapsed="false">
      <c r="A21" s="25" t="s">
        <v>85</v>
      </c>
      <c r="B21" s="27" t="s">
        <v>77</v>
      </c>
      <c r="C21" s="25" t="s">
        <v>82</v>
      </c>
    </row>
    <row r="22" customFormat="false" ht="15" hidden="false" customHeight="false" outlineLevel="0" collapsed="false">
      <c r="A22" s="25" t="s">
        <v>86</v>
      </c>
      <c r="B22" s="27" t="s">
        <v>77</v>
      </c>
      <c r="C22" s="25" t="s">
        <v>72</v>
      </c>
    </row>
    <row r="23" customFormat="false" ht="15" hidden="false" customHeight="false" outlineLevel="0" collapsed="false">
      <c r="A23" s="25" t="s">
        <v>87</v>
      </c>
      <c r="B23" s="27" t="s">
        <v>77</v>
      </c>
      <c r="C23" s="25" t="s">
        <v>75</v>
      </c>
    </row>
    <row r="24" customFormat="false" ht="15" hidden="false" customHeight="false" outlineLevel="0" collapsed="false">
      <c r="A24" s="25" t="s">
        <v>88</v>
      </c>
      <c r="B24" s="27" t="s">
        <v>77</v>
      </c>
      <c r="C24" s="25" t="s">
        <v>72</v>
      </c>
    </row>
    <row r="25" customFormat="false" ht="15" hidden="false" customHeight="false" outlineLevel="0" collapsed="false">
      <c r="A25" s="25"/>
      <c r="B25" s="27"/>
      <c r="C25" s="25"/>
    </row>
    <row r="26" customFormat="false" ht="15" hidden="false" customHeight="false" outlineLevel="0" collapsed="false">
      <c r="A26" s="25"/>
      <c r="B26" s="27"/>
      <c r="C26" s="25"/>
    </row>
    <row r="27" customFormat="false" ht="15" hidden="false" customHeight="false" outlineLevel="0" collapsed="false">
      <c r="A27" s="25"/>
      <c r="B27" s="27"/>
      <c r="C27" s="25"/>
    </row>
    <row r="28" customFormat="false" ht="15" hidden="false" customHeight="false" outlineLevel="0" collapsed="false">
      <c r="A28" s="25"/>
      <c r="B28" s="27"/>
      <c r="C28" s="25"/>
    </row>
    <row r="29" customFormat="false" ht="15" hidden="false" customHeight="false" outlineLevel="0" collapsed="false">
      <c r="A29" s="25"/>
      <c r="B29" s="27"/>
      <c r="C29" s="25"/>
    </row>
    <row r="30" customFormat="false" ht="15" hidden="false" customHeight="false" outlineLevel="0" collapsed="false">
      <c r="A30" s="25"/>
      <c r="B30" s="27"/>
      <c r="C30" s="25"/>
    </row>
    <row r="31" customFormat="false" ht="15" hidden="false" customHeight="false" outlineLevel="0" collapsed="false">
      <c r="A31" s="25"/>
      <c r="B31" s="27"/>
      <c r="C31" s="25"/>
    </row>
  </sheetData>
  <sheetProtection sheet="true" formatColumns="false" formatRows="false" sort="false" autoFilter="false"/>
  <mergeCells count="1">
    <mergeCell ref="A2:H2"/>
  </mergeCells>
  <dataValidations count="2">
    <dataValidation allowBlank="true" errorStyle="stop" operator="between" showDropDown="false" showErrorMessage="true" showInputMessage="false" sqref="B6" type="list">
      <formula1>Config!$E$5:$E$16</formula1>
      <formula2>0</formula2>
    </dataValidation>
    <dataValidation allowBlank="true" errorStyle="stop" operator="between" showDropDown="false" showErrorMessage="true" showInputMessage="false" sqref="B12:B31" type="list">
      <formula1>"Receita,Despesa"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22" t="s">
        <v>89</v>
      </c>
    </row>
    <row r="2" customFormat="false" ht="15" hidden="false" customHeight="false" outlineLevel="0" collapsed="false">
      <c r="A2" s="23" t="s">
        <v>90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customFormat="false" ht="25.5" hidden="false" customHeight="true" outlineLevel="0" collapsed="false">
      <c r="A4" s="16" t="s">
        <v>33</v>
      </c>
      <c r="B4" s="16" t="s">
        <v>91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96</v>
      </c>
      <c r="H4" s="16" t="s">
        <v>97</v>
      </c>
      <c r="I4" s="16" t="s">
        <v>98</v>
      </c>
      <c r="J4" s="16" t="s">
        <v>99</v>
      </c>
      <c r="K4" s="16" t="s">
        <v>100</v>
      </c>
      <c r="L4" s="16" t="s">
        <v>101</v>
      </c>
      <c r="M4" s="16" t="s">
        <v>102</v>
      </c>
      <c r="N4" s="16" t="s">
        <v>103</v>
      </c>
    </row>
    <row r="5" customFormat="false" ht="15" hidden="false" customHeight="false" outlineLevel="0" collapsed="false">
      <c r="A5" s="17" t="str">
        <f aca="false">IF(Config!$A$12="","",Config!$A$12)</f>
        <v>Serviços · projetos</v>
      </c>
      <c r="B5" s="29" t="n">
        <v>52000</v>
      </c>
      <c r="C5" s="29" t="n">
        <v>55000</v>
      </c>
      <c r="D5" s="29" t="n">
        <v>58000</v>
      </c>
      <c r="E5" s="29" t="n">
        <v>60000</v>
      </c>
      <c r="F5" s="29" t="n">
        <v>60000</v>
      </c>
      <c r="G5" s="29" t="n">
        <v>62000</v>
      </c>
      <c r="H5" s="29" t="n">
        <v>64000</v>
      </c>
      <c r="I5" s="29" t="n">
        <v>64000</v>
      </c>
      <c r="J5" s="29" t="n">
        <v>66000</v>
      </c>
      <c r="K5" s="29" t="n">
        <v>70000</v>
      </c>
      <c r="L5" s="29" t="n">
        <v>72000</v>
      </c>
      <c r="M5" s="29" t="n">
        <v>60000</v>
      </c>
      <c r="N5" s="19" t="n">
        <f aca="false">IF(A5="","",SUM(B5:M5))</f>
        <v>743000</v>
      </c>
    </row>
    <row r="6" customFormat="false" ht="15" hidden="false" customHeight="false" outlineLevel="0" collapsed="false">
      <c r="A6" s="17" t="str">
        <f aca="false">IF(Config!$A$13="","",Config!$A$13)</f>
        <v>Serviços · mensalidades</v>
      </c>
      <c r="B6" s="29" t="n">
        <v>18000</v>
      </c>
      <c r="C6" s="29" t="n">
        <v>18000</v>
      </c>
      <c r="D6" s="29" t="n">
        <v>20000</v>
      </c>
      <c r="E6" s="29" t="n">
        <v>20000</v>
      </c>
      <c r="F6" s="29" t="n">
        <v>22000</v>
      </c>
      <c r="G6" s="29" t="n">
        <v>22000</v>
      </c>
      <c r="H6" s="29" t="n">
        <v>24000</v>
      </c>
      <c r="I6" s="29" t="n">
        <v>24000</v>
      </c>
      <c r="J6" s="29" t="n">
        <v>26000</v>
      </c>
      <c r="K6" s="29" t="n">
        <v>26000</v>
      </c>
      <c r="L6" s="29" t="n">
        <v>28000</v>
      </c>
      <c r="M6" s="29" t="n">
        <v>28000</v>
      </c>
      <c r="N6" s="19" t="n">
        <f aca="false">IF(A6="","",SUM(B6:M6))</f>
        <v>276000</v>
      </c>
    </row>
    <row r="7" customFormat="false" ht="15" hidden="false" customHeight="false" outlineLevel="0" collapsed="false">
      <c r="A7" s="17" t="str">
        <f aca="false">IF(Config!$A$14="","",Config!$A$14)</f>
        <v>Produtos digitais</v>
      </c>
      <c r="B7" s="29" t="n">
        <v>1000</v>
      </c>
      <c r="C7" s="29" t="n">
        <v>1000</v>
      </c>
      <c r="D7" s="29" t="n">
        <v>1500</v>
      </c>
      <c r="E7" s="29" t="n">
        <v>1500</v>
      </c>
      <c r="F7" s="29" t="n">
        <v>2000</v>
      </c>
      <c r="G7" s="29" t="n">
        <v>2000</v>
      </c>
      <c r="H7" s="29" t="n">
        <v>2500</v>
      </c>
      <c r="I7" s="29" t="n">
        <v>2500</v>
      </c>
      <c r="J7" s="29" t="n">
        <v>3000</v>
      </c>
      <c r="K7" s="29" t="n">
        <v>3000</v>
      </c>
      <c r="L7" s="29" t="n">
        <v>3500</v>
      </c>
      <c r="M7" s="29" t="n">
        <v>4000</v>
      </c>
      <c r="N7" s="19" t="n">
        <f aca="false">IF(A7="","",SUM(B7:M7))</f>
        <v>27500</v>
      </c>
    </row>
    <row r="8" customFormat="false" ht="15" hidden="false" customHeight="false" outlineLevel="0" collapsed="false">
      <c r="A8" s="17" t="str">
        <f aca="false">IF(Config!$A$15="","",Config!$A$15)</f>
        <v>Salários e pró-labore</v>
      </c>
      <c r="B8" s="29" t="n">
        <v>38000</v>
      </c>
      <c r="C8" s="29" t="n">
        <v>38000</v>
      </c>
      <c r="D8" s="29" t="n">
        <v>38000</v>
      </c>
      <c r="E8" s="29" t="n">
        <v>38000</v>
      </c>
      <c r="F8" s="29" t="n">
        <v>38000</v>
      </c>
      <c r="G8" s="29" t="n">
        <v>38000</v>
      </c>
      <c r="H8" s="29" t="n">
        <v>41000</v>
      </c>
      <c r="I8" s="29" t="n">
        <v>41000</v>
      </c>
      <c r="J8" s="29" t="n">
        <v>41000</v>
      </c>
      <c r="K8" s="29" t="n">
        <v>41000</v>
      </c>
      <c r="L8" s="29" t="n">
        <v>41000</v>
      </c>
      <c r="M8" s="29" t="n">
        <v>41000</v>
      </c>
      <c r="N8" s="19" t="n">
        <f aca="false">IF(A8="","",SUM(B8:M8))</f>
        <v>474000</v>
      </c>
    </row>
    <row r="9" customFormat="false" ht="15" hidden="false" customHeight="false" outlineLevel="0" collapsed="false">
      <c r="A9" s="17" t="str">
        <f aca="false">IF(Config!$A$16="","",Config!$A$16)</f>
        <v>Freelancers</v>
      </c>
      <c r="B9" s="29" t="n">
        <v>6000</v>
      </c>
      <c r="C9" s="29" t="n">
        <v>6000</v>
      </c>
      <c r="D9" s="29" t="n">
        <v>7000</v>
      </c>
      <c r="E9" s="29" t="n">
        <v>7000</v>
      </c>
      <c r="F9" s="29" t="n">
        <v>8000</v>
      </c>
      <c r="G9" s="29" t="n">
        <v>8000</v>
      </c>
      <c r="H9" s="29" t="n">
        <v>8000</v>
      </c>
      <c r="I9" s="29" t="n">
        <v>9000</v>
      </c>
      <c r="J9" s="29" t="n">
        <v>9000</v>
      </c>
      <c r="K9" s="29" t="n">
        <v>10000</v>
      </c>
      <c r="L9" s="29" t="n">
        <v>10000</v>
      </c>
      <c r="M9" s="29" t="n">
        <v>6000</v>
      </c>
      <c r="N9" s="19" t="n">
        <f aca="false">IF(A9="","",SUM(B9:M9))</f>
        <v>94000</v>
      </c>
    </row>
    <row r="10" customFormat="false" ht="15" hidden="false" customHeight="false" outlineLevel="0" collapsed="false">
      <c r="A10" s="17" t="str">
        <f aca="false">IF(Config!$A$17="","",Config!$A$17)</f>
        <v>Escritório e contas</v>
      </c>
      <c r="B10" s="29" t="n">
        <v>4200</v>
      </c>
      <c r="C10" s="29" t="n">
        <v>4200</v>
      </c>
      <c r="D10" s="29" t="n">
        <v>4200</v>
      </c>
      <c r="E10" s="29" t="n">
        <v>4200</v>
      </c>
      <c r="F10" s="29" t="n">
        <v>4200</v>
      </c>
      <c r="G10" s="29" t="n">
        <v>4200</v>
      </c>
      <c r="H10" s="29" t="n">
        <v>4200</v>
      </c>
      <c r="I10" s="29" t="n">
        <v>4200</v>
      </c>
      <c r="J10" s="29" t="n">
        <v>4200</v>
      </c>
      <c r="K10" s="29" t="n">
        <v>4200</v>
      </c>
      <c r="L10" s="29" t="n">
        <v>4200</v>
      </c>
      <c r="M10" s="29" t="n">
        <v>4200</v>
      </c>
      <c r="N10" s="19" t="n">
        <f aca="false">IF(A10="","",SUM(B10:M10))</f>
        <v>50400</v>
      </c>
    </row>
    <row r="11" customFormat="false" ht="15" hidden="false" customHeight="false" outlineLevel="0" collapsed="false">
      <c r="A11" s="17" t="str">
        <f aca="false">IF(Config!$A$18="","",Config!$A$18)</f>
        <v>Softwares e assinaturas</v>
      </c>
      <c r="B11" s="29" t="n">
        <v>1900</v>
      </c>
      <c r="C11" s="29" t="n">
        <v>1900</v>
      </c>
      <c r="D11" s="29" t="n">
        <v>1900</v>
      </c>
      <c r="E11" s="29" t="n">
        <v>1900</v>
      </c>
      <c r="F11" s="29" t="n">
        <v>1900</v>
      </c>
      <c r="G11" s="29" t="n">
        <v>1900</v>
      </c>
      <c r="H11" s="29" t="n">
        <v>1900</v>
      </c>
      <c r="I11" s="29" t="n">
        <v>1900</v>
      </c>
      <c r="J11" s="29" t="n">
        <v>1900</v>
      </c>
      <c r="K11" s="29" t="n">
        <v>1900</v>
      </c>
      <c r="L11" s="29" t="n">
        <v>1900</v>
      </c>
      <c r="M11" s="29" t="n">
        <v>1900</v>
      </c>
      <c r="N11" s="19" t="n">
        <f aca="false">IF(A11="","",SUM(B11:M11))</f>
        <v>22800</v>
      </c>
    </row>
    <row r="12" customFormat="false" ht="15" hidden="false" customHeight="false" outlineLevel="0" collapsed="false">
      <c r="A12" s="17" t="str">
        <f aca="false">IF(Config!$A$19="","",Config!$A$19)</f>
        <v>Marketing e mídia</v>
      </c>
      <c r="B12" s="29" t="n">
        <v>3000</v>
      </c>
      <c r="C12" s="29" t="n">
        <v>3000</v>
      </c>
      <c r="D12" s="29" t="n">
        <v>3500</v>
      </c>
      <c r="E12" s="29" t="n">
        <v>3500</v>
      </c>
      <c r="F12" s="29" t="n">
        <v>4000</v>
      </c>
      <c r="G12" s="29" t="n">
        <v>4000</v>
      </c>
      <c r="H12" s="29" t="n">
        <v>4500</v>
      </c>
      <c r="I12" s="29" t="n">
        <v>4500</v>
      </c>
      <c r="J12" s="29" t="n">
        <v>5000</v>
      </c>
      <c r="K12" s="29" t="n">
        <v>6000</v>
      </c>
      <c r="L12" s="29" t="n">
        <v>6000</v>
      </c>
      <c r="M12" s="29" t="n">
        <v>3000</v>
      </c>
      <c r="N12" s="19" t="n">
        <f aca="false">IF(A12="","",SUM(B12:M12))</f>
        <v>50000</v>
      </c>
    </row>
    <row r="13" customFormat="false" ht="15" hidden="false" customHeight="false" outlineLevel="0" collapsed="false">
      <c r="A13" s="17" t="str">
        <f aca="false">IF(Config!$A$20="","",Config!$A$20)</f>
        <v>Impostos</v>
      </c>
      <c r="B13" s="29" t="n">
        <v>8500</v>
      </c>
      <c r="C13" s="29" t="n">
        <v>8700</v>
      </c>
      <c r="D13" s="29" t="n">
        <v>9000</v>
      </c>
      <c r="E13" s="29" t="n">
        <v>9200</v>
      </c>
      <c r="F13" s="29" t="n">
        <v>9400</v>
      </c>
      <c r="G13" s="29" t="n">
        <v>9600</v>
      </c>
      <c r="H13" s="29" t="n">
        <v>9900</v>
      </c>
      <c r="I13" s="29" t="n">
        <v>9900</v>
      </c>
      <c r="J13" s="29" t="n">
        <v>10200</v>
      </c>
      <c r="K13" s="29" t="n">
        <v>10700</v>
      </c>
      <c r="L13" s="29" t="n">
        <v>11000</v>
      </c>
      <c r="M13" s="29" t="n">
        <v>10000</v>
      </c>
      <c r="N13" s="19" t="n">
        <f aca="false">IF(A13="","",SUM(B13:M13))</f>
        <v>116100</v>
      </c>
    </row>
    <row r="14" customFormat="false" ht="15" hidden="false" customHeight="false" outlineLevel="0" collapsed="false">
      <c r="A14" s="17" t="str">
        <f aca="false">IF(Config!$A$21="","",Config!$A$21)</f>
        <v>Equipamentos</v>
      </c>
      <c r="B14" s="29" t="n">
        <v>0</v>
      </c>
      <c r="C14" s="29" t="n">
        <v>0</v>
      </c>
      <c r="D14" s="29" t="n">
        <v>4000</v>
      </c>
      <c r="E14" s="29" t="n">
        <v>0</v>
      </c>
      <c r="F14" s="29" t="n">
        <v>0</v>
      </c>
      <c r="G14" s="29" t="n">
        <v>0</v>
      </c>
      <c r="H14" s="29" t="n">
        <v>3000</v>
      </c>
      <c r="I14" s="29" t="n">
        <v>0</v>
      </c>
      <c r="J14" s="29" t="n">
        <v>0</v>
      </c>
      <c r="K14" s="29" t="n">
        <v>0</v>
      </c>
      <c r="L14" s="29" t="n">
        <v>0</v>
      </c>
      <c r="M14" s="29" t="n">
        <v>0</v>
      </c>
      <c r="N14" s="19" t="n">
        <f aca="false">IF(A14="","",SUM(B14:M14))</f>
        <v>7000</v>
      </c>
    </row>
    <row r="15" customFormat="false" ht="15" hidden="false" customHeight="false" outlineLevel="0" collapsed="false">
      <c r="A15" s="17" t="str">
        <f aca="false">IF(Config!$A$22="","",Config!$A$22)</f>
        <v>Treinamento</v>
      </c>
      <c r="B15" s="29" t="n">
        <v>500</v>
      </c>
      <c r="C15" s="29" t="n">
        <v>500</v>
      </c>
      <c r="D15" s="29" t="n">
        <v>500</v>
      </c>
      <c r="E15" s="29" t="n">
        <v>500</v>
      </c>
      <c r="F15" s="29" t="n">
        <v>500</v>
      </c>
      <c r="G15" s="29" t="n">
        <v>500</v>
      </c>
      <c r="H15" s="29" t="n">
        <v>500</v>
      </c>
      <c r="I15" s="29" t="n">
        <v>500</v>
      </c>
      <c r="J15" s="29" t="n">
        <v>500</v>
      </c>
      <c r="K15" s="29" t="n">
        <v>500</v>
      </c>
      <c r="L15" s="29" t="n">
        <v>500</v>
      </c>
      <c r="M15" s="29" t="n">
        <v>500</v>
      </c>
      <c r="N15" s="19" t="n">
        <f aca="false">IF(A15="","",SUM(B15:M15))</f>
        <v>6000</v>
      </c>
    </row>
    <row r="16" customFormat="false" ht="15" hidden="false" customHeight="false" outlineLevel="0" collapsed="false">
      <c r="A16" s="17" t="str">
        <f aca="false">IF(Config!$A$23="","",Config!$A$23)</f>
        <v>Viagens e eventos</v>
      </c>
      <c r="B16" s="29" t="n">
        <v>800</v>
      </c>
      <c r="C16" s="29" t="n">
        <v>800</v>
      </c>
      <c r="D16" s="29" t="n">
        <v>800</v>
      </c>
      <c r="E16" s="29" t="n">
        <v>2500</v>
      </c>
      <c r="F16" s="29" t="n">
        <v>800</v>
      </c>
      <c r="G16" s="29" t="n">
        <v>800</v>
      </c>
      <c r="H16" s="29" t="n">
        <v>800</v>
      </c>
      <c r="I16" s="29" t="n">
        <v>800</v>
      </c>
      <c r="J16" s="29" t="n">
        <v>3000</v>
      </c>
      <c r="K16" s="29" t="n">
        <v>800</v>
      </c>
      <c r="L16" s="29" t="n">
        <v>800</v>
      </c>
      <c r="M16" s="29" t="n">
        <v>800</v>
      </c>
      <c r="N16" s="19" t="n">
        <f aca="false">IF(A16="","",SUM(B16:M16))</f>
        <v>13500</v>
      </c>
    </row>
    <row r="17" customFormat="false" ht="15" hidden="false" customHeight="false" outlineLevel="0" collapsed="false">
      <c r="A17" s="17" t="str">
        <f aca="false">IF(Config!$A$24="","",Config!$A$24)</f>
        <v>Reserva</v>
      </c>
      <c r="B17" s="29" t="n">
        <v>3000</v>
      </c>
      <c r="C17" s="29" t="n">
        <v>3000</v>
      </c>
      <c r="D17" s="29" t="n">
        <v>3000</v>
      </c>
      <c r="E17" s="29" t="n">
        <v>3000</v>
      </c>
      <c r="F17" s="29" t="n">
        <v>3000</v>
      </c>
      <c r="G17" s="29" t="n">
        <v>3000</v>
      </c>
      <c r="H17" s="29" t="n">
        <v>3000</v>
      </c>
      <c r="I17" s="29" t="n">
        <v>3000</v>
      </c>
      <c r="J17" s="29" t="n">
        <v>3000</v>
      </c>
      <c r="K17" s="29" t="n">
        <v>3000</v>
      </c>
      <c r="L17" s="29" t="n">
        <v>3000</v>
      </c>
      <c r="M17" s="29" t="n">
        <v>3000</v>
      </c>
      <c r="N17" s="19" t="n">
        <f aca="false">IF(A17="","",SUM(B17:M17))</f>
        <v>36000</v>
      </c>
    </row>
    <row r="18" customFormat="false" ht="15" hidden="false" customHeight="false" outlineLevel="0" collapsed="false">
      <c r="A18" s="17" t="str">
        <f aca="false">IF(Config!$A$25="","",Config!$A$25)</f>
        <v/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9" t="str">
        <f aca="false">IF(A18="","",SUM(B18:M18))</f>
        <v/>
      </c>
    </row>
    <row r="19" customFormat="false" ht="15" hidden="false" customHeight="false" outlineLevel="0" collapsed="false">
      <c r="A19" s="17" t="str">
        <f aca="false">IF(Config!$A$26="","",Config!$A$26)</f>
        <v/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19" t="str">
        <f aca="false">IF(A19="","",SUM(B19:M19))</f>
        <v/>
      </c>
    </row>
    <row r="20" customFormat="false" ht="15" hidden="false" customHeight="false" outlineLevel="0" collapsed="false">
      <c r="A20" s="17" t="str">
        <f aca="false">IF(Config!$A$27="","",Config!$A$27)</f>
        <v/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19" t="str">
        <f aca="false">IF(A20="","",SUM(B20:M20))</f>
        <v/>
      </c>
    </row>
    <row r="21" customFormat="false" ht="15" hidden="false" customHeight="false" outlineLevel="0" collapsed="false">
      <c r="A21" s="17" t="str">
        <f aca="false">IF(Config!$A$28="","",Config!$A$28)</f>
        <v/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9" t="str">
        <f aca="false">IF(A21="","",SUM(B21:M21))</f>
        <v/>
      </c>
    </row>
    <row r="22" customFormat="false" ht="15" hidden="false" customHeight="false" outlineLevel="0" collapsed="false">
      <c r="A22" s="17" t="str">
        <f aca="false">IF(Config!$A$29="","",Config!$A$29)</f>
        <v/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19" t="str">
        <f aca="false">IF(A22="","",SUM(B22:M22))</f>
        <v/>
      </c>
    </row>
    <row r="23" customFormat="false" ht="15" hidden="false" customHeight="false" outlineLevel="0" collapsed="false">
      <c r="A23" s="17" t="str">
        <f aca="false">IF(Config!$A$30="","",Config!$A$30)</f>
        <v/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19" t="str">
        <f aca="false">IF(A23="","",SUM(B23:M23))</f>
        <v/>
      </c>
    </row>
    <row r="24" customFormat="false" ht="15" hidden="false" customHeight="false" outlineLevel="0" collapsed="false">
      <c r="A24" s="17" t="str">
        <f aca="false">IF(Config!$A$31="","",Config!$A$31)</f>
        <v/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19" t="str">
        <f aca="false">IF(A24="","",SUM(B24:M24))</f>
        <v/>
      </c>
    </row>
    <row r="25" customFormat="false" ht="15" hidden="false" customHeight="false" outlineLevel="0" collapsed="false">
      <c r="A25" s="30" t="s">
        <v>104</v>
      </c>
      <c r="B25" s="31" t="n">
        <f aca="false">SUMIFS(B5:B24,Config!$B$12:$B$31,"Receita")</f>
        <v>71000</v>
      </c>
      <c r="C25" s="31" t="n">
        <f aca="false">SUMIFS(C5:C24,Config!$B$12:$B$31,"Receita")</f>
        <v>74000</v>
      </c>
      <c r="D25" s="31" t="n">
        <f aca="false">SUMIFS(D5:D24,Config!$B$12:$B$31,"Receita")</f>
        <v>79500</v>
      </c>
      <c r="E25" s="31" t="n">
        <f aca="false">SUMIFS(E5:E24,Config!$B$12:$B$31,"Receita")</f>
        <v>81500</v>
      </c>
      <c r="F25" s="31" t="n">
        <f aca="false">SUMIFS(F5:F24,Config!$B$12:$B$31,"Receita")</f>
        <v>84000</v>
      </c>
      <c r="G25" s="31" t="n">
        <f aca="false">SUMIFS(G5:G24,Config!$B$12:$B$31,"Receita")</f>
        <v>86000</v>
      </c>
      <c r="H25" s="31" t="n">
        <f aca="false">SUMIFS(H5:H24,Config!$B$12:$B$31,"Receita")</f>
        <v>90500</v>
      </c>
      <c r="I25" s="31" t="n">
        <f aca="false">SUMIFS(I5:I24,Config!$B$12:$B$31,"Receita")</f>
        <v>90500</v>
      </c>
      <c r="J25" s="31" t="n">
        <f aca="false">SUMIFS(J5:J24,Config!$B$12:$B$31,"Receita")</f>
        <v>95000</v>
      </c>
      <c r="K25" s="31" t="n">
        <f aca="false">SUMIFS(K5:K24,Config!$B$12:$B$31,"Receita")</f>
        <v>99000</v>
      </c>
      <c r="L25" s="31" t="n">
        <f aca="false">SUMIFS(L5:L24,Config!$B$12:$B$31,"Receita")</f>
        <v>103500</v>
      </c>
      <c r="M25" s="31" t="n">
        <f aca="false">SUMIFS(M5:M24,Config!$B$12:$B$31,"Receita")</f>
        <v>92000</v>
      </c>
      <c r="N25" s="31" t="n">
        <f aca="false">SUMIFS(N5:N24,Config!$B$12:$B$31,"Receita")</f>
        <v>1046500</v>
      </c>
    </row>
    <row r="26" customFormat="false" ht="15" hidden="false" customHeight="false" outlineLevel="0" collapsed="false">
      <c r="A26" s="30" t="s">
        <v>105</v>
      </c>
      <c r="B26" s="31" t="n">
        <f aca="false">SUMIFS(B5:B24,Config!$B$12:$B$31,"Despesa")</f>
        <v>65900</v>
      </c>
      <c r="C26" s="31" t="n">
        <f aca="false">SUMIFS(C5:C24,Config!$B$12:$B$31,"Despesa")</f>
        <v>66100</v>
      </c>
      <c r="D26" s="31" t="n">
        <f aca="false">SUMIFS(D5:D24,Config!$B$12:$B$31,"Despesa")</f>
        <v>71900</v>
      </c>
      <c r="E26" s="31" t="n">
        <f aca="false">SUMIFS(E5:E24,Config!$B$12:$B$31,"Despesa")</f>
        <v>69800</v>
      </c>
      <c r="F26" s="31" t="n">
        <f aca="false">SUMIFS(F5:F24,Config!$B$12:$B$31,"Despesa")</f>
        <v>69800</v>
      </c>
      <c r="G26" s="31" t="n">
        <f aca="false">SUMIFS(G5:G24,Config!$B$12:$B$31,"Despesa")</f>
        <v>70000</v>
      </c>
      <c r="H26" s="31" t="n">
        <f aca="false">SUMIFS(H5:H24,Config!$B$12:$B$31,"Despesa")</f>
        <v>76800</v>
      </c>
      <c r="I26" s="31" t="n">
        <f aca="false">SUMIFS(I5:I24,Config!$B$12:$B$31,"Despesa")</f>
        <v>74800</v>
      </c>
      <c r="J26" s="31" t="n">
        <f aca="false">SUMIFS(J5:J24,Config!$B$12:$B$31,"Despesa")</f>
        <v>77800</v>
      </c>
      <c r="K26" s="31" t="n">
        <f aca="false">SUMIFS(K5:K24,Config!$B$12:$B$31,"Despesa")</f>
        <v>78100</v>
      </c>
      <c r="L26" s="31" t="n">
        <f aca="false">SUMIFS(L5:L24,Config!$B$12:$B$31,"Despesa")</f>
        <v>78400</v>
      </c>
      <c r="M26" s="31" t="n">
        <f aca="false">SUMIFS(M5:M24,Config!$B$12:$B$31,"Despesa")</f>
        <v>70400</v>
      </c>
      <c r="N26" s="31" t="n">
        <f aca="false">SUMIFS(N5:N24,Config!$B$12:$B$31,"Despesa")</f>
        <v>869800</v>
      </c>
    </row>
    <row r="27" customFormat="false" ht="15" hidden="false" customHeight="false" outlineLevel="0" collapsed="false">
      <c r="A27" s="30" t="s">
        <v>44</v>
      </c>
      <c r="B27" s="31" t="n">
        <f aca="false">B25-B26</f>
        <v>5100</v>
      </c>
      <c r="C27" s="31" t="n">
        <f aca="false">C25-C26</f>
        <v>7900</v>
      </c>
      <c r="D27" s="31" t="n">
        <f aca="false">D25-D26</f>
        <v>7600</v>
      </c>
      <c r="E27" s="31" t="n">
        <f aca="false">E25-E26</f>
        <v>11700</v>
      </c>
      <c r="F27" s="31" t="n">
        <f aca="false">F25-F26</f>
        <v>14200</v>
      </c>
      <c r="G27" s="31" t="n">
        <f aca="false">G25-G26</f>
        <v>16000</v>
      </c>
      <c r="H27" s="31" t="n">
        <f aca="false">H25-H26</f>
        <v>13700</v>
      </c>
      <c r="I27" s="31" t="n">
        <f aca="false">I25-I26</f>
        <v>15700</v>
      </c>
      <c r="J27" s="31" t="n">
        <f aca="false">J25-J26</f>
        <v>17200</v>
      </c>
      <c r="K27" s="31" t="n">
        <f aca="false">K25-K26</f>
        <v>20900</v>
      </c>
      <c r="L27" s="31" t="n">
        <f aca="false">L25-L26</f>
        <v>25100</v>
      </c>
      <c r="M27" s="31" t="n">
        <f aca="false">M25-M26</f>
        <v>21600</v>
      </c>
      <c r="N27" s="31" t="n">
        <f aca="false">N25-N26</f>
        <v>176700</v>
      </c>
    </row>
  </sheetData>
  <sheetProtection sheet="true" formatColumns="false" formatRows="false" sort="false" autoFilter="false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22" t="s">
        <v>36</v>
      </c>
    </row>
    <row r="2" customFormat="false" ht="15" hidden="false" customHeight="false" outlineLevel="0" collapsed="false">
      <c r="A2" s="23" t="s">
        <v>106</v>
      </c>
      <c r="B2" s="23"/>
      <c r="C2" s="23"/>
      <c r="D2" s="23"/>
      <c r="E2" s="23"/>
      <c r="F2" s="23"/>
      <c r="G2" s="23"/>
      <c r="H2" s="23"/>
    </row>
    <row r="4" customFormat="false" ht="25.5" hidden="false" customHeight="true" outlineLevel="0" collapsed="false">
      <c r="A4" s="16" t="s">
        <v>107</v>
      </c>
      <c r="B4" s="16" t="s">
        <v>33</v>
      </c>
      <c r="C4" s="16" t="s">
        <v>108</v>
      </c>
      <c r="D4" s="16" t="s">
        <v>109</v>
      </c>
      <c r="E4" s="16" t="s">
        <v>110</v>
      </c>
      <c r="F4" s="16" t="s">
        <v>43</v>
      </c>
      <c r="G4" s="16" t="s">
        <v>64</v>
      </c>
      <c r="H4" s="16" t="s">
        <v>34</v>
      </c>
    </row>
    <row r="5" customFormat="false" ht="15" hidden="false" customHeight="false" outlineLevel="0" collapsed="false">
      <c r="A5" s="32" t="n">
        <v>46027</v>
      </c>
      <c r="B5" s="25" t="s">
        <v>70</v>
      </c>
      <c r="C5" s="25" t="s">
        <v>111</v>
      </c>
      <c r="D5" s="33" t="n">
        <v>48873.54</v>
      </c>
      <c r="E5" s="25"/>
      <c r="F5" s="18" t="n">
        <f aca="false">IF(A5="","",MONTH(A5))</f>
        <v>1</v>
      </c>
      <c r="G5" s="18" t="n">
        <f aca="false">IF(A5="","",YEAR(A5))</f>
        <v>2026</v>
      </c>
      <c r="H5" s="18" t="str">
        <f aca="false">IF(B5="","",IFERROR(INDEX(Config!$B$12:$B$31,MATCH(B5,Config!$A$12:$A$31,0)),"?"))</f>
        <v>Receita</v>
      </c>
    </row>
    <row r="6" customFormat="false" ht="15" hidden="false" customHeight="false" outlineLevel="0" collapsed="false">
      <c r="A6" s="32" t="n">
        <v>46029</v>
      </c>
      <c r="B6" s="25" t="s">
        <v>73</v>
      </c>
      <c r="C6" s="25" t="s">
        <v>112</v>
      </c>
      <c r="D6" s="33" t="n">
        <v>18424.96</v>
      </c>
      <c r="E6" s="25"/>
      <c r="F6" s="18" t="n">
        <f aca="false">IF(A6="","",MONTH(A6))</f>
        <v>1</v>
      </c>
      <c r="G6" s="18" t="n">
        <f aca="false">IF(A6="","",YEAR(A6))</f>
        <v>2026</v>
      </c>
      <c r="H6" s="18" t="str">
        <f aca="false">IF(B6="","",IFERROR(INDEX(Config!$B$12:$B$31,MATCH(B6,Config!$A$12:$A$31,0)),"?"))</f>
        <v>Receita</v>
      </c>
    </row>
    <row r="7" customFormat="false" ht="15" hidden="false" customHeight="false" outlineLevel="0" collapsed="false">
      <c r="A7" s="32" t="n">
        <v>46031</v>
      </c>
      <c r="B7" s="25" t="s">
        <v>74</v>
      </c>
      <c r="C7" s="25" t="s">
        <v>113</v>
      </c>
      <c r="D7" s="33" t="n">
        <v>1138.04</v>
      </c>
      <c r="E7" s="25"/>
      <c r="F7" s="18" t="n">
        <f aca="false">IF(A7="","",MONTH(A7))</f>
        <v>1</v>
      </c>
      <c r="G7" s="18" t="n">
        <f aca="false">IF(A7="","",YEAR(A7))</f>
        <v>2026</v>
      </c>
      <c r="H7" s="18" t="str">
        <f aca="false">IF(B7="","",IFERROR(INDEX(Config!$B$12:$B$31,MATCH(B7,Config!$A$12:$A$31,0)),"?"))</f>
        <v>Receita</v>
      </c>
    </row>
    <row r="8" customFormat="false" ht="15" hidden="false" customHeight="false" outlineLevel="0" collapsed="false">
      <c r="A8" s="32" t="n">
        <v>46033</v>
      </c>
      <c r="B8" s="25" t="s">
        <v>76</v>
      </c>
      <c r="C8" s="25" t="s">
        <v>114</v>
      </c>
      <c r="D8" s="33" t="n">
        <v>38315.92</v>
      </c>
      <c r="E8" s="25"/>
      <c r="F8" s="18" t="n">
        <f aca="false">IF(A8="","",MONTH(A8))</f>
        <v>1</v>
      </c>
      <c r="G8" s="18" t="n">
        <f aca="false">IF(A8="","",YEAR(A8))</f>
        <v>2026</v>
      </c>
      <c r="H8" s="18" t="str">
        <f aca="false">IF(B8="","",IFERROR(INDEX(Config!$B$12:$B$31,MATCH(B8,Config!$A$12:$A$31,0)),"?"))</f>
        <v>Despesa</v>
      </c>
    </row>
    <row r="9" customFormat="false" ht="15" hidden="false" customHeight="false" outlineLevel="0" collapsed="false">
      <c r="A9" s="32" t="n">
        <v>46035</v>
      </c>
      <c r="B9" s="25" t="s">
        <v>78</v>
      </c>
      <c r="C9" s="25" t="s">
        <v>115</v>
      </c>
      <c r="D9" s="33" t="n">
        <v>7393.62</v>
      </c>
      <c r="E9" s="25"/>
      <c r="F9" s="18" t="n">
        <f aca="false">IF(A9="","",MONTH(A9))</f>
        <v>1</v>
      </c>
      <c r="G9" s="18" t="n">
        <f aca="false">IF(A9="","",YEAR(A9))</f>
        <v>2026</v>
      </c>
      <c r="H9" s="18" t="str">
        <f aca="false">IF(B9="","",IFERROR(INDEX(Config!$B$12:$B$31,MATCH(B9,Config!$A$12:$A$31,0)),"?"))</f>
        <v>Despesa</v>
      </c>
    </row>
    <row r="10" customFormat="false" ht="15" hidden="false" customHeight="false" outlineLevel="0" collapsed="false">
      <c r="A10" s="32" t="n">
        <v>46037</v>
      </c>
      <c r="B10" s="25" t="s">
        <v>80</v>
      </c>
      <c r="C10" s="25" t="s">
        <v>116</v>
      </c>
      <c r="D10" s="33" t="n">
        <v>4175.64</v>
      </c>
      <c r="E10" s="25"/>
      <c r="F10" s="18" t="n">
        <f aca="false">IF(A10="","",MONTH(A10))</f>
        <v>1</v>
      </c>
      <c r="G10" s="18" t="n">
        <f aca="false">IF(A10="","",YEAR(A10))</f>
        <v>2026</v>
      </c>
      <c r="H10" s="18" t="str">
        <f aca="false">IF(B10="","",IFERROR(INDEX(Config!$B$12:$B$31,MATCH(B10,Config!$A$12:$A$31,0)),"?"))</f>
        <v>Despesa</v>
      </c>
    </row>
    <row r="11" customFormat="false" ht="15" hidden="false" customHeight="false" outlineLevel="0" collapsed="false">
      <c r="A11" s="32" t="n">
        <v>46039</v>
      </c>
      <c r="B11" s="25" t="s">
        <v>81</v>
      </c>
      <c r="C11" s="25" t="s">
        <v>117</v>
      </c>
      <c r="D11" s="33" t="n">
        <v>2045.12</v>
      </c>
      <c r="E11" s="25"/>
      <c r="F11" s="18" t="n">
        <f aca="false">IF(A11="","",MONTH(A11))</f>
        <v>1</v>
      </c>
      <c r="G11" s="18" t="n">
        <f aca="false">IF(A11="","",YEAR(A11))</f>
        <v>2026</v>
      </c>
      <c r="H11" s="18" t="str">
        <f aca="false">IF(B11="","",IFERROR(INDEX(Config!$B$12:$B$31,MATCH(B11,Config!$A$12:$A$31,0)),"?"))</f>
        <v>Despesa</v>
      </c>
    </row>
    <row r="12" customFormat="false" ht="15" hidden="false" customHeight="false" outlineLevel="0" collapsed="false">
      <c r="A12" s="32" t="n">
        <v>46041</v>
      </c>
      <c r="B12" s="25" t="s">
        <v>83</v>
      </c>
      <c r="C12" s="25" t="s">
        <v>118</v>
      </c>
      <c r="D12" s="33" t="n">
        <v>4005.29</v>
      </c>
      <c r="E12" s="25"/>
      <c r="F12" s="18" t="n">
        <f aca="false">IF(A12="","",MONTH(A12))</f>
        <v>1</v>
      </c>
      <c r="G12" s="18" t="n">
        <f aca="false">IF(A12="","",YEAR(A12))</f>
        <v>2026</v>
      </c>
      <c r="H12" s="18" t="str">
        <f aca="false">IF(B12="","",IFERROR(INDEX(Config!$B$12:$B$31,MATCH(B12,Config!$A$12:$A$31,0)),"?"))</f>
        <v>Despesa</v>
      </c>
    </row>
    <row r="13" customFormat="false" ht="15" hidden="false" customHeight="false" outlineLevel="0" collapsed="false">
      <c r="A13" s="32" t="n">
        <v>46043</v>
      </c>
      <c r="B13" s="25" t="s">
        <v>84</v>
      </c>
      <c r="C13" s="25" t="s">
        <v>119</v>
      </c>
      <c r="D13" s="33" t="n">
        <v>8253</v>
      </c>
      <c r="E13" s="25"/>
      <c r="F13" s="18" t="n">
        <f aca="false">IF(A13="","",MONTH(A13))</f>
        <v>1</v>
      </c>
      <c r="G13" s="18" t="n">
        <f aca="false">IF(A13="","",YEAR(A13))</f>
        <v>2026</v>
      </c>
      <c r="H13" s="18" t="str">
        <f aca="false">IF(B13="","",IFERROR(INDEX(Config!$B$12:$B$31,MATCH(B13,Config!$A$12:$A$31,0)),"?"))</f>
        <v>Despesa</v>
      </c>
    </row>
    <row r="14" customFormat="false" ht="15" hidden="false" customHeight="false" outlineLevel="0" collapsed="false">
      <c r="A14" s="32" t="n">
        <v>46047</v>
      </c>
      <c r="B14" s="25" t="s">
        <v>86</v>
      </c>
      <c r="C14" s="25" t="s">
        <v>120</v>
      </c>
      <c r="D14" s="33" t="n">
        <v>207.93</v>
      </c>
      <c r="E14" s="25"/>
      <c r="F14" s="18" t="n">
        <f aca="false">IF(A14="","",MONTH(A14))</f>
        <v>1</v>
      </c>
      <c r="G14" s="18" t="n">
        <f aca="false">IF(A14="","",YEAR(A14))</f>
        <v>2026</v>
      </c>
      <c r="H14" s="18" t="str">
        <f aca="false">IF(B14="","",IFERROR(INDEX(Config!$B$12:$B$31,MATCH(B14,Config!$A$12:$A$31,0)),"?"))</f>
        <v>Despesa</v>
      </c>
    </row>
    <row r="15" customFormat="false" ht="15" hidden="false" customHeight="false" outlineLevel="0" collapsed="false">
      <c r="A15" s="32" t="n">
        <v>46049</v>
      </c>
      <c r="B15" s="25" t="s">
        <v>87</v>
      </c>
      <c r="C15" s="25" t="s">
        <v>121</v>
      </c>
      <c r="D15" s="33" t="n">
        <v>718.29</v>
      </c>
      <c r="E15" s="25"/>
      <c r="F15" s="18" t="n">
        <f aca="false">IF(A15="","",MONTH(A15))</f>
        <v>1</v>
      </c>
      <c r="G15" s="18" t="n">
        <f aca="false">IF(A15="","",YEAR(A15))</f>
        <v>2026</v>
      </c>
      <c r="H15" s="18" t="str">
        <f aca="false">IF(B15="","",IFERROR(INDEX(Config!$B$12:$B$31,MATCH(B15,Config!$A$12:$A$31,0)),"?"))</f>
        <v>Despesa</v>
      </c>
    </row>
    <row r="16" customFormat="false" ht="15" hidden="false" customHeight="false" outlineLevel="0" collapsed="false">
      <c r="A16" s="32" t="n">
        <v>46050</v>
      </c>
      <c r="B16" s="25" t="s">
        <v>88</v>
      </c>
      <c r="C16" s="25" t="s">
        <v>122</v>
      </c>
      <c r="D16" s="33" t="n">
        <v>3080.75</v>
      </c>
      <c r="E16" s="25"/>
      <c r="F16" s="18" t="n">
        <f aca="false">IF(A16="","",MONTH(A16))</f>
        <v>1</v>
      </c>
      <c r="G16" s="18" t="n">
        <f aca="false">IF(A16="","",YEAR(A16))</f>
        <v>2026</v>
      </c>
      <c r="H16" s="18" t="str">
        <f aca="false">IF(B16="","",IFERROR(INDEX(Config!$B$12:$B$31,MATCH(B16,Config!$A$12:$A$31,0)),"?"))</f>
        <v>Despesa</v>
      </c>
    </row>
    <row r="17" customFormat="false" ht="15" hidden="false" customHeight="false" outlineLevel="0" collapsed="false">
      <c r="A17" s="32" t="n">
        <v>46058</v>
      </c>
      <c r="B17" s="25" t="s">
        <v>70</v>
      </c>
      <c r="C17" s="25" t="s">
        <v>111</v>
      </c>
      <c r="D17" s="33" t="n">
        <v>52700.12</v>
      </c>
      <c r="E17" s="25"/>
      <c r="F17" s="18" t="n">
        <f aca="false">IF(A17="","",MONTH(A17))</f>
        <v>2</v>
      </c>
      <c r="G17" s="18" t="n">
        <f aca="false">IF(A17="","",YEAR(A17))</f>
        <v>2026</v>
      </c>
      <c r="H17" s="18" t="str">
        <f aca="false">IF(B17="","",IFERROR(INDEX(Config!$B$12:$B$31,MATCH(B17,Config!$A$12:$A$31,0)),"?"))</f>
        <v>Receita</v>
      </c>
    </row>
    <row r="18" customFormat="false" ht="15" hidden="false" customHeight="false" outlineLevel="0" collapsed="false">
      <c r="A18" s="32" t="n">
        <v>46060</v>
      </c>
      <c r="B18" s="25" t="s">
        <v>73</v>
      </c>
      <c r="C18" s="25" t="s">
        <v>112</v>
      </c>
      <c r="D18" s="33" t="n">
        <v>18564.26</v>
      </c>
      <c r="E18" s="25"/>
      <c r="F18" s="18" t="n">
        <f aca="false">IF(A18="","",MONTH(A18))</f>
        <v>2</v>
      </c>
      <c r="G18" s="18" t="n">
        <f aca="false">IF(A18="","",YEAR(A18))</f>
        <v>2026</v>
      </c>
      <c r="H18" s="18" t="str">
        <f aca="false">IF(B18="","",IFERROR(INDEX(Config!$B$12:$B$31,MATCH(B18,Config!$A$12:$A$31,0)),"?"))</f>
        <v>Receita</v>
      </c>
    </row>
    <row r="19" customFormat="false" ht="15" hidden="false" customHeight="false" outlineLevel="0" collapsed="false">
      <c r="A19" s="32" t="n">
        <v>46062</v>
      </c>
      <c r="B19" s="25" t="s">
        <v>74</v>
      </c>
      <c r="C19" s="25" t="s">
        <v>113</v>
      </c>
      <c r="D19" s="33" t="n">
        <v>1117.86</v>
      </c>
      <c r="E19" s="25"/>
      <c r="F19" s="18" t="n">
        <f aca="false">IF(A19="","",MONTH(A19))</f>
        <v>2</v>
      </c>
      <c r="G19" s="18" t="n">
        <f aca="false">IF(A19="","",YEAR(A19))</f>
        <v>2026</v>
      </c>
      <c r="H19" s="18" t="str">
        <f aca="false">IF(B19="","",IFERROR(INDEX(Config!$B$12:$B$31,MATCH(B19,Config!$A$12:$A$31,0)),"?"))</f>
        <v>Receita</v>
      </c>
    </row>
    <row r="20" customFormat="false" ht="15" hidden="false" customHeight="false" outlineLevel="0" collapsed="false">
      <c r="A20" s="32" t="n">
        <v>46064</v>
      </c>
      <c r="B20" s="25" t="s">
        <v>76</v>
      </c>
      <c r="C20" s="25" t="s">
        <v>114</v>
      </c>
      <c r="D20" s="33" t="n">
        <v>38409.98</v>
      </c>
      <c r="E20" s="25"/>
      <c r="F20" s="18" t="n">
        <f aca="false">IF(A20="","",MONTH(A20))</f>
        <v>2</v>
      </c>
      <c r="G20" s="18" t="n">
        <f aca="false">IF(A20="","",YEAR(A20))</f>
        <v>2026</v>
      </c>
      <c r="H20" s="18" t="str">
        <f aca="false">IF(B20="","",IFERROR(INDEX(Config!$B$12:$B$31,MATCH(B20,Config!$A$12:$A$31,0)),"?"))</f>
        <v>Despesa</v>
      </c>
    </row>
    <row r="21" customFormat="false" ht="15" hidden="false" customHeight="false" outlineLevel="0" collapsed="false">
      <c r="A21" s="32" t="n">
        <v>46066</v>
      </c>
      <c r="B21" s="25" t="s">
        <v>78</v>
      </c>
      <c r="C21" s="25" t="s">
        <v>115</v>
      </c>
      <c r="D21" s="33" t="n">
        <v>7535.53</v>
      </c>
      <c r="E21" s="25"/>
      <c r="F21" s="18" t="n">
        <f aca="false">IF(A21="","",MONTH(A21))</f>
        <v>2</v>
      </c>
      <c r="G21" s="18" t="n">
        <f aca="false">IF(A21="","",YEAR(A21))</f>
        <v>2026</v>
      </c>
      <c r="H21" s="18" t="str">
        <f aca="false">IF(B21="","",IFERROR(INDEX(Config!$B$12:$B$31,MATCH(B21,Config!$A$12:$A$31,0)),"?"))</f>
        <v>Despesa</v>
      </c>
    </row>
    <row r="22" customFormat="false" ht="15" hidden="false" customHeight="false" outlineLevel="0" collapsed="false">
      <c r="A22" s="32" t="n">
        <v>46068</v>
      </c>
      <c r="B22" s="25" t="s">
        <v>80</v>
      </c>
      <c r="C22" s="25" t="s">
        <v>116</v>
      </c>
      <c r="D22" s="33" t="n">
        <v>4334.02</v>
      </c>
      <c r="E22" s="25"/>
      <c r="F22" s="18" t="n">
        <f aca="false">IF(A22="","",MONTH(A22))</f>
        <v>2</v>
      </c>
      <c r="G22" s="18" t="n">
        <f aca="false">IF(A22="","",YEAR(A22))</f>
        <v>2026</v>
      </c>
      <c r="H22" s="18" t="str">
        <f aca="false">IF(B22="","",IFERROR(INDEX(Config!$B$12:$B$31,MATCH(B22,Config!$A$12:$A$31,0)),"?"))</f>
        <v>Despesa</v>
      </c>
    </row>
    <row r="23" customFormat="false" ht="15" hidden="false" customHeight="false" outlineLevel="0" collapsed="false">
      <c r="A23" s="32" t="n">
        <v>46070</v>
      </c>
      <c r="B23" s="25" t="s">
        <v>81</v>
      </c>
      <c r="C23" s="25" t="s">
        <v>117</v>
      </c>
      <c r="D23" s="33" t="n">
        <v>2169.07</v>
      </c>
      <c r="E23" s="25"/>
      <c r="F23" s="18" t="n">
        <f aca="false">IF(A23="","",MONTH(A23))</f>
        <v>2</v>
      </c>
      <c r="G23" s="18" t="n">
        <f aca="false">IF(A23="","",YEAR(A23))</f>
        <v>2026</v>
      </c>
      <c r="H23" s="18" t="str">
        <f aca="false">IF(B23="","",IFERROR(INDEX(Config!$B$12:$B$31,MATCH(B23,Config!$A$12:$A$31,0)),"?"))</f>
        <v>Despesa</v>
      </c>
    </row>
    <row r="24" customFormat="false" ht="15" hidden="false" customHeight="false" outlineLevel="0" collapsed="false">
      <c r="A24" s="32" t="n">
        <v>46072</v>
      </c>
      <c r="B24" s="25" t="s">
        <v>83</v>
      </c>
      <c r="C24" s="25" t="s">
        <v>118</v>
      </c>
      <c r="D24" s="33" t="n">
        <v>3953.48</v>
      </c>
      <c r="E24" s="25"/>
      <c r="F24" s="18" t="n">
        <f aca="false">IF(A24="","",MONTH(A24))</f>
        <v>2</v>
      </c>
      <c r="G24" s="18" t="n">
        <f aca="false">IF(A24="","",YEAR(A24))</f>
        <v>2026</v>
      </c>
      <c r="H24" s="18" t="str">
        <f aca="false">IF(B24="","",IFERROR(INDEX(Config!$B$12:$B$31,MATCH(B24,Config!$A$12:$A$31,0)),"?"))</f>
        <v>Despesa</v>
      </c>
    </row>
    <row r="25" customFormat="false" ht="15" hidden="false" customHeight="false" outlineLevel="0" collapsed="false">
      <c r="A25" s="32" t="n">
        <v>46074</v>
      </c>
      <c r="B25" s="25" t="s">
        <v>84</v>
      </c>
      <c r="C25" s="25" t="s">
        <v>119</v>
      </c>
      <c r="D25" s="33" t="n">
        <v>8312.6</v>
      </c>
      <c r="E25" s="25"/>
      <c r="F25" s="18" t="n">
        <f aca="false">IF(A25="","",MONTH(A25))</f>
        <v>2</v>
      </c>
      <c r="G25" s="18" t="n">
        <f aca="false">IF(A25="","",YEAR(A25))</f>
        <v>2026</v>
      </c>
      <c r="H25" s="18" t="str">
        <f aca="false">IF(B25="","",IFERROR(INDEX(Config!$B$12:$B$31,MATCH(B25,Config!$A$12:$A$31,0)),"?"))</f>
        <v>Despesa</v>
      </c>
    </row>
    <row r="26" customFormat="false" ht="15" hidden="false" customHeight="false" outlineLevel="0" collapsed="false">
      <c r="A26" s="32" t="n">
        <v>46078</v>
      </c>
      <c r="B26" s="25" t="s">
        <v>86</v>
      </c>
      <c r="C26" s="25" t="s">
        <v>120</v>
      </c>
      <c r="D26" s="33" t="n">
        <v>201.46</v>
      </c>
      <c r="E26" s="25"/>
      <c r="F26" s="18" t="n">
        <f aca="false">IF(A26="","",MONTH(A26))</f>
        <v>2</v>
      </c>
      <c r="G26" s="18" t="n">
        <f aca="false">IF(A26="","",YEAR(A26))</f>
        <v>2026</v>
      </c>
      <c r="H26" s="18" t="str">
        <f aca="false">IF(B26="","",IFERROR(INDEX(Config!$B$12:$B$31,MATCH(B26,Config!$A$12:$A$31,0)),"?"))</f>
        <v>Despesa</v>
      </c>
    </row>
    <row r="27" customFormat="false" ht="15" hidden="false" customHeight="false" outlineLevel="0" collapsed="false">
      <c r="A27" s="32" t="n">
        <v>46080</v>
      </c>
      <c r="B27" s="25" t="s">
        <v>87</v>
      </c>
      <c r="C27" s="25" t="s">
        <v>121</v>
      </c>
      <c r="D27" s="33" t="n">
        <v>708.55</v>
      </c>
      <c r="E27" s="25"/>
      <c r="F27" s="18" t="n">
        <f aca="false">IF(A27="","",MONTH(A27))</f>
        <v>2</v>
      </c>
      <c r="G27" s="18" t="n">
        <f aca="false">IF(A27="","",YEAR(A27))</f>
        <v>2026</v>
      </c>
      <c r="H27" s="18" t="str">
        <f aca="false">IF(B27="","",IFERROR(INDEX(Config!$B$12:$B$31,MATCH(B27,Config!$A$12:$A$31,0)),"?"))</f>
        <v>Despesa</v>
      </c>
    </row>
    <row r="28" customFormat="false" ht="15" hidden="false" customHeight="false" outlineLevel="0" collapsed="false">
      <c r="A28" s="32" t="n">
        <v>46081</v>
      </c>
      <c r="B28" s="25" t="s">
        <v>88</v>
      </c>
      <c r="C28" s="25" t="s">
        <v>122</v>
      </c>
      <c r="D28" s="33" t="n">
        <v>2887.44</v>
      </c>
      <c r="E28" s="25"/>
      <c r="F28" s="18" t="n">
        <f aca="false">IF(A28="","",MONTH(A28))</f>
        <v>2</v>
      </c>
      <c r="G28" s="18" t="n">
        <f aca="false">IF(A28="","",YEAR(A28))</f>
        <v>2026</v>
      </c>
      <c r="H28" s="18" t="str">
        <f aca="false">IF(B28="","",IFERROR(INDEX(Config!$B$12:$B$31,MATCH(B28,Config!$A$12:$A$31,0)),"?"))</f>
        <v>Despesa</v>
      </c>
    </row>
    <row r="29" customFormat="false" ht="15" hidden="false" customHeight="false" outlineLevel="0" collapsed="false">
      <c r="A29" s="32" t="n">
        <v>46086</v>
      </c>
      <c r="B29" s="25" t="s">
        <v>70</v>
      </c>
      <c r="C29" s="25" t="s">
        <v>111</v>
      </c>
      <c r="D29" s="33" t="n">
        <v>57308.2</v>
      </c>
      <c r="E29" s="25"/>
      <c r="F29" s="18" t="n">
        <f aca="false">IF(A29="","",MONTH(A29))</f>
        <v>3</v>
      </c>
      <c r="G29" s="18" t="n">
        <f aca="false">IF(A29="","",YEAR(A29))</f>
        <v>2026</v>
      </c>
      <c r="H29" s="18" t="str">
        <f aca="false">IF(B29="","",IFERROR(INDEX(Config!$B$12:$B$31,MATCH(B29,Config!$A$12:$A$31,0)),"?"))</f>
        <v>Receita</v>
      </c>
    </row>
    <row r="30" customFormat="false" ht="15" hidden="false" customHeight="false" outlineLevel="0" collapsed="false">
      <c r="A30" s="32" t="n">
        <v>46088</v>
      </c>
      <c r="B30" s="25" t="s">
        <v>73</v>
      </c>
      <c r="C30" s="25" t="s">
        <v>112</v>
      </c>
      <c r="D30" s="33" t="n">
        <v>20355.53</v>
      </c>
      <c r="E30" s="25"/>
      <c r="F30" s="18" t="n">
        <f aca="false">IF(A30="","",MONTH(A30))</f>
        <v>3</v>
      </c>
      <c r="G30" s="18" t="n">
        <f aca="false">IF(A30="","",YEAR(A30))</f>
        <v>2026</v>
      </c>
      <c r="H30" s="18" t="str">
        <f aca="false">IF(B30="","",IFERROR(INDEX(Config!$B$12:$B$31,MATCH(B30,Config!$A$12:$A$31,0)),"?"))</f>
        <v>Receita</v>
      </c>
    </row>
    <row r="31" customFormat="false" ht="15" hidden="false" customHeight="false" outlineLevel="0" collapsed="false">
      <c r="A31" s="32" t="n">
        <v>46090</v>
      </c>
      <c r="B31" s="25" t="s">
        <v>74</v>
      </c>
      <c r="C31" s="25" t="s">
        <v>113</v>
      </c>
      <c r="D31" s="33" t="n">
        <v>1755.2</v>
      </c>
      <c r="E31" s="25"/>
      <c r="F31" s="18" t="n">
        <f aca="false">IF(A31="","",MONTH(A31))</f>
        <v>3</v>
      </c>
      <c r="G31" s="18" t="n">
        <f aca="false">IF(A31="","",YEAR(A31))</f>
        <v>2026</v>
      </c>
      <c r="H31" s="18" t="str">
        <f aca="false">IF(B31="","",IFERROR(INDEX(Config!$B$12:$B$31,MATCH(B31,Config!$A$12:$A$31,0)),"?"))</f>
        <v>Receita</v>
      </c>
    </row>
    <row r="32" customFormat="false" ht="15" hidden="false" customHeight="false" outlineLevel="0" collapsed="false">
      <c r="A32" s="32" t="n">
        <v>46092</v>
      </c>
      <c r="B32" s="25" t="s">
        <v>76</v>
      </c>
      <c r="C32" s="25" t="s">
        <v>114</v>
      </c>
      <c r="D32" s="33" t="n">
        <v>39151.59</v>
      </c>
      <c r="E32" s="25"/>
      <c r="F32" s="18" t="n">
        <f aca="false">IF(A32="","",MONTH(A32))</f>
        <v>3</v>
      </c>
      <c r="G32" s="18" t="n">
        <f aca="false">IF(A32="","",YEAR(A32))</f>
        <v>2026</v>
      </c>
      <c r="H32" s="18" t="str">
        <f aca="false">IF(B32="","",IFERROR(INDEX(Config!$B$12:$B$31,MATCH(B32,Config!$A$12:$A$31,0)),"?"))</f>
        <v>Despesa</v>
      </c>
    </row>
    <row r="33" customFormat="false" ht="15" hidden="false" customHeight="false" outlineLevel="0" collapsed="false">
      <c r="A33" s="32" t="n">
        <v>46094</v>
      </c>
      <c r="B33" s="25" t="s">
        <v>78</v>
      </c>
      <c r="C33" s="25" t="s">
        <v>115</v>
      </c>
      <c r="D33" s="33" t="n">
        <v>8686.29</v>
      </c>
      <c r="E33" s="25"/>
      <c r="F33" s="18" t="n">
        <f aca="false">IF(A33="","",MONTH(A33))</f>
        <v>3</v>
      </c>
      <c r="G33" s="18" t="n">
        <f aca="false">IF(A33="","",YEAR(A33))</f>
        <v>2026</v>
      </c>
      <c r="H33" s="18" t="str">
        <f aca="false">IF(B33="","",IFERROR(INDEX(Config!$B$12:$B$31,MATCH(B33,Config!$A$12:$A$31,0)),"?"))</f>
        <v>Despesa</v>
      </c>
    </row>
    <row r="34" customFormat="false" ht="15" hidden="false" customHeight="false" outlineLevel="0" collapsed="false">
      <c r="A34" s="32" t="n">
        <v>46096</v>
      </c>
      <c r="B34" s="25" t="s">
        <v>80</v>
      </c>
      <c r="C34" s="25" t="s">
        <v>116</v>
      </c>
      <c r="D34" s="33" t="n">
        <v>4471.73</v>
      </c>
      <c r="E34" s="25"/>
      <c r="F34" s="18" t="n">
        <f aca="false">IF(A34="","",MONTH(A34))</f>
        <v>3</v>
      </c>
      <c r="G34" s="18" t="n">
        <f aca="false">IF(A34="","",YEAR(A34))</f>
        <v>2026</v>
      </c>
      <c r="H34" s="18" t="str">
        <f aca="false">IF(B34="","",IFERROR(INDEX(Config!$B$12:$B$31,MATCH(B34,Config!$A$12:$A$31,0)),"?"))</f>
        <v>Despesa</v>
      </c>
    </row>
    <row r="35" customFormat="false" ht="15" hidden="false" customHeight="false" outlineLevel="0" collapsed="false">
      <c r="A35" s="32" t="n">
        <v>46098</v>
      </c>
      <c r="B35" s="25" t="s">
        <v>81</v>
      </c>
      <c r="C35" s="25" t="s">
        <v>117</v>
      </c>
      <c r="D35" s="33" t="n">
        <v>2110.12</v>
      </c>
      <c r="E35" s="25"/>
      <c r="F35" s="18" t="n">
        <f aca="false">IF(A35="","",MONTH(A35))</f>
        <v>3</v>
      </c>
      <c r="G35" s="18" t="n">
        <f aca="false">IF(A35="","",YEAR(A35))</f>
        <v>2026</v>
      </c>
      <c r="H35" s="18" t="str">
        <f aca="false">IF(B35="","",IFERROR(INDEX(Config!$B$12:$B$31,MATCH(B35,Config!$A$12:$A$31,0)),"?"))</f>
        <v>Despesa</v>
      </c>
    </row>
    <row r="36" customFormat="false" ht="15" hidden="false" customHeight="false" outlineLevel="0" collapsed="false">
      <c r="A36" s="32" t="n">
        <v>46100</v>
      </c>
      <c r="B36" s="25" t="s">
        <v>83</v>
      </c>
      <c r="C36" s="25" t="s">
        <v>118</v>
      </c>
      <c r="D36" s="33" t="n">
        <v>4659.53</v>
      </c>
      <c r="E36" s="25"/>
      <c r="F36" s="18" t="n">
        <f aca="false">IF(A36="","",MONTH(A36))</f>
        <v>3</v>
      </c>
      <c r="G36" s="18" t="n">
        <f aca="false">IF(A36="","",YEAR(A36))</f>
        <v>2026</v>
      </c>
      <c r="H36" s="18" t="str">
        <f aca="false">IF(B36="","",IFERROR(INDEX(Config!$B$12:$B$31,MATCH(B36,Config!$A$12:$A$31,0)),"?"))</f>
        <v>Despesa</v>
      </c>
    </row>
    <row r="37" customFormat="false" ht="15" hidden="false" customHeight="false" outlineLevel="0" collapsed="false">
      <c r="A37" s="32" t="n">
        <v>46102</v>
      </c>
      <c r="B37" s="25" t="s">
        <v>84</v>
      </c>
      <c r="C37" s="25" t="s">
        <v>119</v>
      </c>
      <c r="D37" s="33" t="n">
        <v>8870.53</v>
      </c>
      <c r="E37" s="25"/>
      <c r="F37" s="18" t="n">
        <f aca="false">IF(A37="","",MONTH(A37))</f>
        <v>3</v>
      </c>
      <c r="G37" s="18" t="n">
        <f aca="false">IF(A37="","",YEAR(A37))</f>
        <v>2026</v>
      </c>
      <c r="H37" s="18" t="str">
        <f aca="false">IF(B37="","",IFERROR(INDEX(Config!$B$12:$B$31,MATCH(B37,Config!$A$12:$A$31,0)),"?"))</f>
        <v>Despesa</v>
      </c>
    </row>
    <row r="38" customFormat="false" ht="15" hidden="false" customHeight="false" outlineLevel="0" collapsed="false">
      <c r="A38" s="32" t="n">
        <v>46104</v>
      </c>
      <c r="B38" s="25" t="s">
        <v>85</v>
      </c>
      <c r="C38" s="25" t="s">
        <v>123</v>
      </c>
      <c r="D38" s="33" t="n">
        <v>4139.39</v>
      </c>
      <c r="E38" s="25"/>
      <c r="F38" s="18" t="n">
        <f aca="false">IF(A38="","",MONTH(A38))</f>
        <v>3</v>
      </c>
      <c r="G38" s="18" t="n">
        <f aca="false">IF(A38="","",YEAR(A38))</f>
        <v>2026</v>
      </c>
      <c r="H38" s="18" t="str">
        <f aca="false">IF(B38="","",IFERROR(INDEX(Config!$B$12:$B$31,MATCH(B38,Config!$A$12:$A$31,0)),"?"))</f>
        <v>Despesa</v>
      </c>
    </row>
    <row r="39" customFormat="false" ht="15" hidden="false" customHeight="false" outlineLevel="0" collapsed="false">
      <c r="A39" s="32" t="n">
        <v>46106</v>
      </c>
      <c r="B39" s="25" t="s">
        <v>86</v>
      </c>
      <c r="C39" s="25" t="s">
        <v>120</v>
      </c>
      <c r="D39" s="33" t="n">
        <v>206.06</v>
      </c>
      <c r="E39" s="25"/>
      <c r="F39" s="18" t="n">
        <f aca="false">IF(A39="","",MONTH(A39))</f>
        <v>3</v>
      </c>
      <c r="G39" s="18" t="n">
        <f aca="false">IF(A39="","",YEAR(A39))</f>
        <v>2026</v>
      </c>
      <c r="H39" s="18" t="str">
        <f aca="false">IF(B39="","",IFERROR(INDEX(Config!$B$12:$B$31,MATCH(B39,Config!$A$12:$A$31,0)),"?"))</f>
        <v>Despesa</v>
      </c>
    </row>
    <row r="40" customFormat="false" ht="15" hidden="false" customHeight="false" outlineLevel="0" collapsed="false">
      <c r="A40" s="32" t="n">
        <v>46108</v>
      </c>
      <c r="B40" s="25" t="s">
        <v>87</v>
      </c>
      <c r="C40" s="25" t="s">
        <v>121</v>
      </c>
      <c r="D40" s="33" t="n">
        <v>696.81</v>
      </c>
      <c r="E40" s="25"/>
      <c r="F40" s="18" t="n">
        <f aca="false">IF(A40="","",MONTH(A40))</f>
        <v>3</v>
      </c>
      <c r="G40" s="18" t="n">
        <f aca="false">IF(A40="","",YEAR(A40))</f>
        <v>2026</v>
      </c>
      <c r="H40" s="18" t="str">
        <f aca="false">IF(B40="","",IFERROR(INDEX(Config!$B$12:$B$31,MATCH(B40,Config!$A$12:$A$31,0)),"?"))</f>
        <v>Despesa</v>
      </c>
    </row>
    <row r="41" customFormat="false" ht="15" hidden="false" customHeight="false" outlineLevel="0" collapsed="false">
      <c r="A41" s="32" t="n">
        <v>46109</v>
      </c>
      <c r="B41" s="25" t="s">
        <v>88</v>
      </c>
      <c r="C41" s="25" t="s">
        <v>122</v>
      </c>
      <c r="D41" s="33" t="n">
        <v>2912.63</v>
      </c>
      <c r="E41" s="25"/>
      <c r="F41" s="18" t="n">
        <f aca="false">IF(A41="","",MONTH(A41))</f>
        <v>3</v>
      </c>
      <c r="G41" s="18" t="n">
        <f aca="false">IF(A41="","",YEAR(A41))</f>
        <v>2026</v>
      </c>
      <c r="H41" s="18" t="str">
        <f aca="false">IF(B41="","",IFERROR(INDEX(Config!$B$12:$B$31,MATCH(B41,Config!$A$12:$A$31,0)),"?"))</f>
        <v>Despesa</v>
      </c>
    </row>
    <row r="42" customFormat="false" ht="15" hidden="false" customHeight="false" outlineLevel="0" collapsed="false">
      <c r="A42" s="32" t="n">
        <v>46117</v>
      </c>
      <c r="B42" s="25" t="s">
        <v>70</v>
      </c>
      <c r="C42" s="25" t="s">
        <v>111</v>
      </c>
      <c r="D42" s="33" t="n">
        <v>56295.88</v>
      </c>
      <c r="E42" s="25"/>
      <c r="F42" s="18" t="n">
        <f aca="false">IF(A42="","",MONTH(A42))</f>
        <v>4</v>
      </c>
      <c r="G42" s="18" t="n">
        <f aca="false">IF(A42="","",YEAR(A42))</f>
        <v>2026</v>
      </c>
      <c r="H42" s="18" t="str">
        <f aca="false">IF(B42="","",IFERROR(INDEX(Config!$B$12:$B$31,MATCH(B42,Config!$A$12:$A$31,0)),"?"))</f>
        <v>Receita</v>
      </c>
    </row>
    <row r="43" customFormat="false" ht="15" hidden="false" customHeight="false" outlineLevel="0" collapsed="false">
      <c r="A43" s="32" t="n">
        <v>46119</v>
      </c>
      <c r="B43" s="25" t="s">
        <v>73</v>
      </c>
      <c r="C43" s="25" t="s">
        <v>112</v>
      </c>
      <c r="D43" s="33" t="n">
        <v>21159.66</v>
      </c>
      <c r="E43" s="25"/>
      <c r="F43" s="18" t="n">
        <f aca="false">IF(A43="","",MONTH(A43))</f>
        <v>4</v>
      </c>
      <c r="G43" s="18" t="n">
        <f aca="false">IF(A43="","",YEAR(A43))</f>
        <v>2026</v>
      </c>
      <c r="H43" s="18" t="str">
        <f aca="false">IF(B43="","",IFERROR(INDEX(Config!$B$12:$B$31,MATCH(B43,Config!$A$12:$A$31,0)),"?"))</f>
        <v>Receita</v>
      </c>
    </row>
    <row r="44" customFormat="false" ht="15" hidden="false" customHeight="false" outlineLevel="0" collapsed="false">
      <c r="A44" s="32" t="n">
        <v>46121</v>
      </c>
      <c r="B44" s="25" t="s">
        <v>74</v>
      </c>
      <c r="C44" s="25" t="s">
        <v>113</v>
      </c>
      <c r="D44" s="33" t="n">
        <v>1716.19</v>
      </c>
      <c r="E44" s="25"/>
      <c r="F44" s="18" t="n">
        <f aca="false">IF(A44="","",MONTH(A44))</f>
        <v>4</v>
      </c>
      <c r="G44" s="18" t="n">
        <f aca="false">IF(A44="","",YEAR(A44))</f>
        <v>2026</v>
      </c>
      <c r="H44" s="18" t="str">
        <f aca="false">IF(B44="","",IFERROR(INDEX(Config!$B$12:$B$31,MATCH(B44,Config!$A$12:$A$31,0)),"?"))</f>
        <v>Receita</v>
      </c>
    </row>
    <row r="45" customFormat="false" ht="15" hidden="false" customHeight="false" outlineLevel="0" collapsed="false">
      <c r="A45" s="32" t="n">
        <v>46123</v>
      </c>
      <c r="B45" s="25" t="s">
        <v>76</v>
      </c>
      <c r="C45" s="25" t="s">
        <v>114</v>
      </c>
      <c r="D45" s="33" t="n">
        <v>38385.01</v>
      </c>
      <c r="E45" s="25"/>
      <c r="F45" s="18" t="n">
        <f aca="false">IF(A45="","",MONTH(A45))</f>
        <v>4</v>
      </c>
      <c r="G45" s="18" t="n">
        <f aca="false">IF(A45="","",YEAR(A45))</f>
        <v>2026</v>
      </c>
      <c r="H45" s="18" t="str">
        <f aca="false">IF(B45="","",IFERROR(INDEX(Config!$B$12:$B$31,MATCH(B45,Config!$A$12:$A$31,0)),"?"))</f>
        <v>Despesa</v>
      </c>
    </row>
    <row r="46" customFormat="false" ht="15" hidden="false" customHeight="false" outlineLevel="0" collapsed="false">
      <c r="A46" s="32" t="n">
        <v>46125</v>
      </c>
      <c r="B46" s="25" t="s">
        <v>78</v>
      </c>
      <c r="C46" s="25" t="s">
        <v>115</v>
      </c>
      <c r="D46" s="33" t="n">
        <v>8404.06</v>
      </c>
      <c r="E46" s="25"/>
      <c r="F46" s="18" t="n">
        <f aca="false">IF(A46="","",MONTH(A46))</f>
        <v>4</v>
      </c>
      <c r="G46" s="18" t="n">
        <f aca="false">IF(A46="","",YEAR(A46))</f>
        <v>2026</v>
      </c>
      <c r="H46" s="18" t="str">
        <f aca="false">IF(B46="","",IFERROR(INDEX(Config!$B$12:$B$31,MATCH(B46,Config!$A$12:$A$31,0)),"?"))</f>
        <v>Despesa</v>
      </c>
    </row>
    <row r="47" customFormat="false" ht="15" hidden="false" customHeight="false" outlineLevel="0" collapsed="false">
      <c r="A47" s="32" t="n">
        <v>46127</v>
      </c>
      <c r="B47" s="25" t="s">
        <v>80</v>
      </c>
      <c r="C47" s="25" t="s">
        <v>116</v>
      </c>
      <c r="D47" s="33" t="n">
        <v>4328.51</v>
      </c>
      <c r="E47" s="25"/>
      <c r="F47" s="18" t="n">
        <f aca="false">IF(A47="","",MONTH(A47))</f>
        <v>4</v>
      </c>
      <c r="G47" s="18" t="n">
        <f aca="false">IF(A47="","",YEAR(A47))</f>
        <v>2026</v>
      </c>
      <c r="H47" s="18" t="str">
        <f aca="false">IF(B47="","",IFERROR(INDEX(Config!$B$12:$B$31,MATCH(B47,Config!$A$12:$A$31,0)),"?"))</f>
        <v>Despesa</v>
      </c>
    </row>
    <row r="48" customFormat="false" ht="15" hidden="false" customHeight="false" outlineLevel="0" collapsed="false">
      <c r="A48" s="32" t="n">
        <v>46129</v>
      </c>
      <c r="B48" s="25" t="s">
        <v>81</v>
      </c>
      <c r="C48" s="25" t="s">
        <v>117</v>
      </c>
      <c r="D48" s="33" t="n">
        <v>2108.57</v>
      </c>
      <c r="E48" s="25"/>
      <c r="F48" s="18" t="n">
        <f aca="false">IF(A48="","",MONTH(A48))</f>
        <v>4</v>
      </c>
      <c r="G48" s="18" t="n">
        <f aca="false">IF(A48="","",YEAR(A48))</f>
        <v>2026</v>
      </c>
      <c r="H48" s="18" t="str">
        <f aca="false">IF(B48="","",IFERROR(INDEX(Config!$B$12:$B$31,MATCH(B48,Config!$A$12:$A$31,0)),"?"))</f>
        <v>Despesa</v>
      </c>
    </row>
    <row r="49" customFormat="false" ht="15" hidden="false" customHeight="false" outlineLevel="0" collapsed="false">
      <c r="A49" s="32" t="n">
        <v>46131</v>
      </c>
      <c r="B49" s="25" t="s">
        <v>83</v>
      </c>
      <c r="C49" s="25" t="s">
        <v>118</v>
      </c>
      <c r="D49" s="33" t="n">
        <v>4495.73</v>
      </c>
      <c r="E49" s="25"/>
      <c r="F49" s="18" t="n">
        <f aca="false">IF(A49="","",MONTH(A49))</f>
        <v>4</v>
      </c>
      <c r="G49" s="18" t="n">
        <f aca="false">IF(A49="","",YEAR(A49))</f>
        <v>2026</v>
      </c>
      <c r="H49" s="18" t="str">
        <f aca="false">IF(B49="","",IFERROR(INDEX(Config!$B$12:$B$31,MATCH(B49,Config!$A$12:$A$31,0)),"?"))</f>
        <v>Despesa</v>
      </c>
    </row>
    <row r="50" customFormat="false" ht="15" hidden="false" customHeight="false" outlineLevel="0" collapsed="false">
      <c r="A50" s="32" t="n">
        <v>46133</v>
      </c>
      <c r="B50" s="25" t="s">
        <v>84</v>
      </c>
      <c r="C50" s="25" t="s">
        <v>119</v>
      </c>
      <c r="D50" s="33" t="n">
        <v>9169.99</v>
      </c>
      <c r="E50" s="25"/>
      <c r="F50" s="18" t="n">
        <f aca="false">IF(A50="","",MONTH(A50))</f>
        <v>4</v>
      </c>
      <c r="G50" s="18" t="n">
        <f aca="false">IF(A50="","",YEAR(A50))</f>
        <v>2026</v>
      </c>
      <c r="H50" s="18" t="str">
        <f aca="false">IF(B50="","",IFERROR(INDEX(Config!$B$12:$B$31,MATCH(B50,Config!$A$12:$A$31,0)),"?"))</f>
        <v>Despesa</v>
      </c>
    </row>
    <row r="51" customFormat="false" ht="15" hidden="false" customHeight="false" outlineLevel="0" collapsed="false">
      <c r="A51" s="32" t="n">
        <v>46137</v>
      </c>
      <c r="B51" s="25" t="s">
        <v>86</v>
      </c>
      <c r="C51" s="25" t="s">
        <v>120</v>
      </c>
      <c r="D51" s="33" t="n">
        <v>206.47</v>
      </c>
      <c r="E51" s="25"/>
      <c r="F51" s="18" t="n">
        <f aca="false">IF(A51="","",MONTH(A51))</f>
        <v>4</v>
      </c>
      <c r="G51" s="18" t="n">
        <f aca="false">IF(A51="","",YEAR(A51))</f>
        <v>2026</v>
      </c>
      <c r="H51" s="18" t="str">
        <f aca="false">IF(B51="","",IFERROR(INDEX(Config!$B$12:$B$31,MATCH(B51,Config!$A$12:$A$31,0)),"?"))</f>
        <v>Despesa</v>
      </c>
    </row>
    <row r="52" customFormat="false" ht="15" hidden="false" customHeight="false" outlineLevel="0" collapsed="false">
      <c r="A52" s="32" t="n">
        <v>46139</v>
      </c>
      <c r="B52" s="25" t="s">
        <v>87</v>
      </c>
      <c r="C52" s="25" t="s">
        <v>121</v>
      </c>
      <c r="D52" s="33" t="n">
        <v>2282.76</v>
      </c>
      <c r="E52" s="25"/>
      <c r="F52" s="18" t="n">
        <f aca="false">IF(A52="","",MONTH(A52))</f>
        <v>4</v>
      </c>
      <c r="G52" s="18" t="n">
        <f aca="false">IF(A52="","",YEAR(A52))</f>
        <v>2026</v>
      </c>
      <c r="H52" s="18" t="str">
        <f aca="false">IF(B52="","",IFERROR(INDEX(Config!$B$12:$B$31,MATCH(B52,Config!$A$12:$A$31,0)),"?"))</f>
        <v>Despesa</v>
      </c>
    </row>
    <row r="53" customFormat="false" ht="15" hidden="false" customHeight="false" outlineLevel="0" collapsed="false">
      <c r="A53" s="32" t="n">
        <v>46140</v>
      </c>
      <c r="B53" s="25" t="s">
        <v>88</v>
      </c>
      <c r="C53" s="25" t="s">
        <v>122</v>
      </c>
      <c r="D53" s="33" t="n">
        <v>3102.95</v>
      </c>
      <c r="E53" s="25"/>
      <c r="F53" s="18" t="n">
        <f aca="false">IF(A53="","",MONTH(A53))</f>
        <v>4</v>
      </c>
      <c r="G53" s="18" t="n">
        <f aca="false">IF(A53="","",YEAR(A53))</f>
        <v>2026</v>
      </c>
      <c r="H53" s="18" t="str">
        <f aca="false">IF(B53="","",IFERROR(INDEX(Config!$B$12:$B$31,MATCH(B53,Config!$A$12:$A$31,0)),"?"))</f>
        <v>Despesa</v>
      </c>
    </row>
    <row r="54" customFormat="false" ht="15" hidden="false" customHeight="false" outlineLevel="0" collapsed="false">
      <c r="A54" s="32" t="n">
        <v>46147</v>
      </c>
      <c r="B54" s="25" t="s">
        <v>70</v>
      </c>
      <c r="C54" s="25" t="s">
        <v>111</v>
      </c>
      <c r="D54" s="33" t="n">
        <v>59242.29</v>
      </c>
      <c r="E54" s="25"/>
      <c r="F54" s="18" t="n">
        <f aca="false">IF(A54="","",MONTH(A54))</f>
        <v>5</v>
      </c>
      <c r="G54" s="18" t="n">
        <f aca="false">IF(A54="","",YEAR(A54))</f>
        <v>2026</v>
      </c>
      <c r="H54" s="18" t="str">
        <f aca="false">IF(B54="","",IFERROR(INDEX(Config!$B$12:$B$31,MATCH(B54,Config!$A$12:$A$31,0)),"?"))</f>
        <v>Receita</v>
      </c>
    </row>
    <row r="55" customFormat="false" ht="15" hidden="false" customHeight="false" outlineLevel="0" collapsed="false">
      <c r="A55" s="32" t="n">
        <v>46149</v>
      </c>
      <c r="B55" s="25" t="s">
        <v>73</v>
      </c>
      <c r="C55" s="25" t="s">
        <v>112</v>
      </c>
      <c r="D55" s="33" t="n">
        <v>23321.42</v>
      </c>
      <c r="E55" s="25"/>
      <c r="F55" s="18" t="n">
        <f aca="false">IF(A55="","",MONTH(A55))</f>
        <v>5</v>
      </c>
      <c r="G55" s="18" t="n">
        <f aca="false">IF(A55="","",YEAR(A55))</f>
        <v>2026</v>
      </c>
      <c r="H55" s="18" t="str">
        <f aca="false">IF(B55="","",IFERROR(INDEX(Config!$B$12:$B$31,MATCH(B55,Config!$A$12:$A$31,0)),"?"))</f>
        <v>Receita</v>
      </c>
    </row>
    <row r="56" customFormat="false" ht="15" hidden="false" customHeight="false" outlineLevel="0" collapsed="false">
      <c r="A56" s="32" t="n">
        <v>46151</v>
      </c>
      <c r="B56" s="25" t="s">
        <v>74</v>
      </c>
      <c r="C56" s="25" t="s">
        <v>113</v>
      </c>
      <c r="D56" s="33" t="n">
        <v>2331.51</v>
      </c>
      <c r="E56" s="25"/>
      <c r="F56" s="18" t="n">
        <f aca="false">IF(A56="","",MONTH(A56))</f>
        <v>5</v>
      </c>
      <c r="G56" s="18" t="n">
        <f aca="false">IF(A56="","",YEAR(A56))</f>
        <v>2026</v>
      </c>
      <c r="H56" s="18" t="str">
        <f aca="false">IF(B56="","",IFERROR(INDEX(Config!$B$12:$B$31,MATCH(B56,Config!$A$12:$A$31,0)),"?"))</f>
        <v>Receita</v>
      </c>
    </row>
    <row r="57" customFormat="false" ht="15" hidden="false" customHeight="false" outlineLevel="0" collapsed="false">
      <c r="A57" s="32" t="n">
        <v>46153</v>
      </c>
      <c r="B57" s="25" t="s">
        <v>76</v>
      </c>
      <c r="C57" s="25" t="s">
        <v>114</v>
      </c>
      <c r="D57" s="33" t="n">
        <v>36975.82</v>
      </c>
      <c r="E57" s="25"/>
      <c r="F57" s="18" t="n">
        <f aca="false">IF(A57="","",MONTH(A57))</f>
        <v>5</v>
      </c>
      <c r="G57" s="18" t="n">
        <f aca="false">IF(A57="","",YEAR(A57))</f>
        <v>2026</v>
      </c>
      <c r="H57" s="18" t="str">
        <f aca="false">IF(B57="","",IFERROR(INDEX(Config!$B$12:$B$31,MATCH(B57,Config!$A$12:$A$31,0)),"?"))</f>
        <v>Despesa</v>
      </c>
    </row>
    <row r="58" customFormat="false" ht="15" hidden="false" customHeight="false" outlineLevel="0" collapsed="false">
      <c r="A58" s="32" t="n">
        <v>46155</v>
      </c>
      <c r="B58" s="25" t="s">
        <v>78</v>
      </c>
      <c r="C58" s="25" t="s">
        <v>115</v>
      </c>
      <c r="D58" s="33" t="n">
        <v>10041.59</v>
      </c>
      <c r="E58" s="25"/>
      <c r="F58" s="18" t="n">
        <f aca="false">IF(A58="","",MONTH(A58))</f>
        <v>5</v>
      </c>
      <c r="G58" s="18" t="n">
        <f aca="false">IF(A58="","",YEAR(A58))</f>
        <v>2026</v>
      </c>
      <c r="H58" s="18" t="str">
        <f aca="false">IF(B58="","",IFERROR(INDEX(Config!$B$12:$B$31,MATCH(B58,Config!$A$12:$A$31,0)),"?"))</f>
        <v>Despesa</v>
      </c>
    </row>
    <row r="59" customFormat="false" ht="15" hidden="false" customHeight="false" outlineLevel="0" collapsed="false">
      <c r="A59" s="32" t="n">
        <v>46157</v>
      </c>
      <c r="B59" s="25" t="s">
        <v>80</v>
      </c>
      <c r="C59" s="25" t="s">
        <v>116</v>
      </c>
      <c r="D59" s="33" t="n">
        <v>4486.8</v>
      </c>
      <c r="E59" s="25"/>
      <c r="F59" s="18" t="n">
        <f aca="false">IF(A59="","",MONTH(A59))</f>
        <v>5</v>
      </c>
      <c r="G59" s="18" t="n">
        <f aca="false">IF(A59="","",YEAR(A59))</f>
        <v>2026</v>
      </c>
      <c r="H59" s="18" t="str">
        <f aca="false">IF(B59="","",IFERROR(INDEX(Config!$B$12:$B$31,MATCH(B59,Config!$A$12:$A$31,0)),"?"))</f>
        <v>Despesa</v>
      </c>
    </row>
    <row r="60" customFormat="false" ht="15" hidden="false" customHeight="false" outlineLevel="0" collapsed="false">
      <c r="A60" s="32" t="n">
        <v>46159</v>
      </c>
      <c r="B60" s="25" t="s">
        <v>81</v>
      </c>
      <c r="C60" s="25" t="s">
        <v>117</v>
      </c>
      <c r="D60" s="33" t="n">
        <v>2196.9</v>
      </c>
      <c r="E60" s="25"/>
      <c r="F60" s="18" t="n">
        <f aca="false">IF(A60="","",MONTH(A60))</f>
        <v>5</v>
      </c>
      <c r="G60" s="18" t="n">
        <f aca="false">IF(A60="","",YEAR(A60))</f>
        <v>2026</v>
      </c>
      <c r="H60" s="18" t="str">
        <f aca="false">IF(B60="","",IFERROR(INDEX(Config!$B$12:$B$31,MATCH(B60,Config!$A$12:$A$31,0)),"?"))</f>
        <v>Despesa</v>
      </c>
    </row>
    <row r="61" customFormat="false" ht="15" hidden="false" customHeight="false" outlineLevel="0" collapsed="false">
      <c r="A61" s="32" t="n">
        <v>46161</v>
      </c>
      <c r="B61" s="25" t="s">
        <v>83</v>
      </c>
      <c r="C61" s="25" t="s">
        <v>118</v>
      </c>
      <c r="D61" s="33" t="n">
        <v>5228.75</v>
      </c>
      <c r="E61" s="25"/>
      <c r="F61" s="18" t="n">
        <f aca="false">IF(A61="","",MONTH(A61))</f>
        <v>5</v>
      </c>
      <c r="G61" s="18" t="n">
        <f aca="false">IF(A61="","",YEAR(A61))</f>
        <v>2026</v>
      </c>
      <c r="H61" s="18" t="str">
        <f aca="false">IF(B61="","",IFERROR(INDEX(Config!$B$12:$B$31,MATCH(B61,Config!$A$12:$A$31,0)),"?"))</f>
        <v>Despesa</v>
      </c>
    </row>
    <row r="62" customFormat="false" ht="15" hidden="false" customHeight="false" outlineLevel="0" collapsed="false">
      <c r="A62" s="32" t="n">
        <v>46163</v>
      </c>
      <c r="B62" s="25" t="s">
        <v>84</v>
      </c>
      <c r="C62" s="25" t="s">
        <v>119</v>
      </c>
      <c r="D62" s="33" t="n">
        <v>9465.18</v>
      </c>
      <c r="E62" s="25"/>
      <c r="F62" s="18" t="n">
        <f aca="false">IF(A62="","",MONTH(A62))</f>
        <v>5</v>
      </c>
      <c r="G62" s="18" t="n">
        <f aca="false">IF(A62="","",YEAR(A62))</f>
        <v>2026</v>
      </c>
      <c r="H62" s="18" t="str">
        <f aca="false">IF(B62="","",IFERROR(INDEX(Config!$B$12:$B$31,MATCH(B62,Config!$A$12:$A$31,0)),"?"))</f>
        <v>Despesa</v>
      </c>
    </row>
    <row r="63" customFormat="false" ht="15" hidden="false" customHeight="false" outlineLevel="0" collapsed="false">
      <c r="A63" s="32" t="n">
        <v>46167</v>
      </c>
      <c r="B63" s="25" t="s">
        <v>86</v>
      </c>
      <c r="C63" s="25" t="s">
        <v>120</v>
      </c>
      <c r="D63" s="33" t="n">
        <v>205.31</v>
      </c>
      <c r="E63" s="25"/>
      <c r="F63" s="18" t="n">
        <f aca="false">IF(A63="","",MONTH(A63))</f>
        <v>5</v>
      </c>
      <c r="G63" s="18" t="n">
        <f aca="false">IF(A63="","",YEAR(A63))</f>
        <v>2026</v>
      </c>
      <c r="H63" s="18" t="str">
        <f aca="false">IF(B63="","",IFERROR(INDEX(Config!$B$12:$B$31,MATCH(B63,Config!$A$12:$A$31,0)),"?"))</f>
        <v>Despesa</v>
      </c>
    </row>
    <row r="64" customFormat="false" ht="15" hidden="false" customHeight="false" outlineLevel="0" collapsed="false">
      <c r="A64" s="32" t="n">
        <v>46169</v>
      </c>
      <c r="B64" s="25" t="s">
        <v>87</v>
      </c>
      <c r="C64" s="25" t="s">
        <v>121</v>
      </c>
      <c r="D64" s="33" t="n">
        <v>724.24</v>
      </c>
      <c r="E64" s="25"/>
      <c r="F64" s="18" t="n">
        <f aca="false">IF(A64="","",MONTH(A64))</f>
        <v>5</v>
      </c>
      <c r="G64" s="18" t="n">
        <f aca="false">IF(A64="","",YEAR(A64))</f>
        <v>2026</v>
      </c>
      <c r="H64" s="18" t="str">
        <f aca="false">IF(B64="","",IFERROR(INDEX(Config!$B$12:$B$31,MATCH(B64,Config!$A$12:$A$31,0)),"?"))</f>
        <v>Despesa</v>
      </c>
    </row>
    <row r="65" customFormat="false" ht="15" hidden="false" customHeight="false" outlineLevel="0" collapsed="false">
      <c r="A65" s="32" t="n">
        <v>46170</v>
      </c>
      <c r="B65" s="25" t="s">
        <v>88</v>
      </c>
      <c r="C65" s="25" t="s">
        <v>122</v>
      </c>
      <c r="D65" s="33" t="n">
        <v>2948.39</v>
      </c>
      <c r="E65" s="25"/>
      <c r="F65" s="18" t="n">
        <f aca="false">IF(A65="","",MONTH(A65))</f>
        <v>5</v>
      </c>
      <c r="G65" s="18" t="n">
        <f aca="false">IF(A65="","",YEAR(A65))</f>
        <v>2026</v>
      </c>
      <c r="H65" s="18" t="str">
        <f aca="false">IF(B65="","",IFERROR(INDEX(Config!$B$12:$B$31,MATCH(B65,Config!$A$12:$A$31,0)),"?"))</f>
        <v>Despesa</v>
      </c>
    </row>
    <row r="66" customFormat="false" ht="15" hidden="false" customHeight="false" outlineLevel="0" collapsed="false">
      <c r="A66" s="32" t="n">
        <v>46178</v>
      </c>
      <c r="B66" s="25" t="s">
        <v>70</v>
      </c>
      <c r="C66" s="25" t="s">
        <v>111</v>
      </c>
      <c r="D66" s="33" t="n">
        <v>57441.37</v>
      </c>
      <c r="E66" s="25"/>
      <c r="F66" s="18" t="n">
        <f aca="false">IF(A66="","",MONTH(A66))</f>
        <v>6</v>
      </c>
      <c r="G66" s="18" t="n">
        <f aca="false">IF(A66="","",YEAR(A66))</f>
        <v>2026</v>
      </c>
      <c r="H66" s="18" t="str">
        <f aca="false">IF(B66="","",IFERROR(INDEX(Config!$B$12:$B$31,MATCH(B66,Config!$A$12:$A$31,0)),"?"))</f>
        <v>Receita</v>
      </c>
    </row>
    <row r="67" customFormat="false" ht="15" hidden="false" customHeight="false" outlineLevel="0" collapsed="false">
      <c r="A67" s="32" t="n">
        <v>46180</v>
      </c>
      <c r="B67" s="25" t="s">
        <v>73</v>
      </c>
      <c r="C67" s="25" t="s">
        <v>112</v>
      </c>
      <c r="D67" s="33" t="n">
        <v>23075.4</v>
      </c>
      <c r="E67" s="25"/>
      <c r="F67" s="18" t="n">
        <f aca="false">IF(A67="","",MONTH(A67))</f>
        <v>6</v>
      </c>
      <c r="G67" s="18" t="n">
        <f aca="false">IF(A67="","",YEAR(A67))</f>
        <v>2026</v>
      </c>
      <c r="H67" s="18" t="str">
        <f aca="false">IF(B67="","",IFERROR(INDEX(Config!$B$12:$B$31,MATCH(B67,Config!$A$12:$A$31,0)),"?"))</f>
        <v>Receita</v>
      </c>
    </row>
    <row r="68" customFormat="false" ht="15" hidden="false" customHeight="false" outlineLevel="0" collapsed="false">
      <c r="A68" s="32" t="n">
        <v>46182</v>
      </c>
      <c r="B68" s="25" t="s">
        <v>74</v>
      </c>
      <c r="C68" s="25" t="s">
        <v>113</v>
      </c>
      <c r="D68" s="33" t="n">
        <v>2390.12</v>
      </c>
      <c r="E68" s="25"/>
      <c r="F68" s="18" t="n">
        <f aca="false">IF(A68="","",MONTH(A68))</f>
        <v>6</v>
      </c>
      <c r="G68" s="18" t="n">
        <f aca="false">IF(A68="","",YEAR(A68))</f>
        <v>2026</v>
      </c>
      <c r="H68" s="18" t="str">
        <f aca="false">IF(B68="","",IFERROR(INDEX(Config!$B$12:$B$31,MATCH(B68,Config!$A$12:$A$31,0)),"?"))</f>
        <v>Receita</v>
      </c>
    </row>
    <row r="69" customFormat="false" ht="15" hidden="false" customHeight="false" outlineLevel="0" collapsed="false">
      <c r="A69" s="32" t="n">
        <v>46184</v>
      </c>
      <c r="B69" s="25" t="s">
        <v>76</v>
      </c>
      <c r="C69" s="25" t="s">
        <v>114</v>
      </c>
      <c r="D69" s="33" t="n">
        <v>36749.1</v>
      </c>
      <c r="E69" s="25"/>
      <c r="F69" s="18" t="n">
        <f aca="false">IF(A69="","",MONTH(A69))</f>
        <v>6</v>
      </c>
      <c r="G69" s="18" t="n">
        <f aca="false">IF(A69="","",YEAR(A69))</f>
        <v>2026</v>
      </c>
      <c r="H69" s="18" t="str">
        <f aca="false">IF(B69="","",IFERROR(INDEX(Config!$B$12:$B$31,MATCH(B69,Config!$A$12:$A$31,0)),"?"))</f>
        <v>Despesa</v>
      </c>
    </row>
    <row r="70" customFormat="false" ht="15" hidden="false" customHeight="false" outlineLevel="0" collapsed="false">
      <c r="A70" s="32" t="n">
        <v>46186</v>
      </c>
      <c r="B70" s="25" t="s">
        <v>78</v>
      </c>
      <c r="C70" s="25" t="s">
        <v>115</v>
      </c>
      <c r="D70" s="33" t="n">
        <v>9994.7</v>
      </c>
      <c r="E70" s="25"/>
      <c r="F70" s="18" t="n">
        <f aca="false">IF(A70="","",MONTH(A70))</f>
        <v>6</v>
      </c>
      <c r="G70" s="18" t="n">
        <f aca="false">IF(A70="","",YEAR(A70))</f>
        <v>2026</v>
      </c>
      <c r="H70" s="18" t="str">
        <f aca="false">IF(B70="","",IFERROR(INDEX(Config!$B$12:$B$31,MATCH(B70,Config!$A$12:$A$31,0)),"?"))</f>
        <v>Despesa</v>
      </c>
    </row>
    <row r="71" customFormat="false" ht="15" hidden="false" customHeight="false" outlineLevel="0" collapsed="false">
      <c r="A71" s="32" t="n">
        <v>46188</v>
      </c>
      <c r="B71" s="25" t="s">
        <v>80</v>
      </c>
      <c r="C71" s="25" t="s">
        <v>116</v>
      </c>
      <c r="D71" s="33" t="n">
        <v>4295.01</v>
      </c>
      <c r="E71" s="25"/>
      <c r="F71" s="18" t="n">
        <f aca="false">IF(A71="","",MONTH(A71))</f>
        <v>6</v>
      </c>
      <c r="G71" s="18" t="n">
        <f aca="false">IF(A71="","",YEAR(A71))</f>
        <v>2026</v>
      </c>
      <c r="H71" s="18" t="str">
        <f aca="false">IF(B71="","",IFERROR(INDEX(Config!$B$12:$B$31,MATCH(B71,Config!$A$12:$A$31,0)),"?"))</f>
        <v>Despesa</v>
      </c>
    </row>
    <row r="72" customFormat="false" ht="15" hidden="false" customHeight="false" outlineLevel="0" collapsed="false">
      <c r="A72" s="32" t="n">
        <v>46190</v>
      </c>
      <c r="B72" s="25" t="s">
        <v>81</v>
      </c>
      <c r="C72" s="25" t="s">
        <v>117</v>
      </c>
      <c r="D72" s="33" t="n">
        <v>2068.55</v>
      </c>
      <c r="E72" s="25"/>
      <c r="F72" s="18" t="n">
        <f aca="false">IF(A72="","",MONTH(A72))</f>
        <v>6</v>
      </c>
      <c r="G72" s="18" t="n">
        <f aca="false">IF(A72="","",YEAR(A72))</f>
        <v>2026</v>
      </c>
      <c r="H72" s="18" t="str">
        <f aca="false">IF(B72="","",IFERROR(INDEX(Config!$B$12:$B$31,MATCH(B72,Config!$A$12:$A$31,0)),"?"))</f>
        <v>Despesa</v>
      </c>
    </row>
    <row r="73" customFormat="false" ht="15" hidden="false" customHeight="false" outlineLevel="0" collapsed="false">
      <c r="A73" s="32" t="n">
        <v>46192</v>
      </c>
      <c r="B73" s="25" t="s">
        <v>83</v>
      </c>
      <c r="C73" s="25" t="s">
        <v>118</v>
      </c>
      <c r="D73" s="33" t="n">
        <v>5114.26</v>
      </c>
      <c r="E73" s="25"/>
      <c r="F73" s="18" t="n">
        <f aca="false">IF(A73="","",MONTH(A73))</f>
        <v>6</v>
      </c>
      <c r="G73" s="18" t="n">
        <f aca="false">IF(A73="","",YEAR(A73))</f>
        <v>2026</v>
      </c>
      <c r="H73" s="18" t="str">
        <f aca="false">IF(B73="","",IFERROR(INDEX(Config!$B$12:$B$31,MATCH(B73,Config!$A$12:$A$31,0)),"?"))</f>
        <v>Despesa</v>
      </c>
    </row>
    <row r="74" customFormat="false" ht="15" hidden="false" customHeight="false" outlineLevel="0" collapsed="false">
      <c r="A74" s="32" t="n">
        <v>46194</v>
      </c>
      <c r="B74" s="25" t="s">
        <v>84</v>
      </c>
      <c r="C74" s="25" t="s">
        <v>119</v>
      </c>
      <c r="D74" s="33" t="n">
        <v>9708.37</v>
      </c>
      <c r="E74" s="25"/>
      <c r="F74" s="18" t="n">
        <f aca="false">IF(A74="","",MONTH(A74))</f>
        <v>6</v>
      </c>
      <c r="G74" s="18" t="n">
        <f aca="false">IF(A74="","",YEAR(A74))</f>
        <v>2026</v>
      </c>
      <c r="H74" s="18" t="str">
        <f aca="false">IF(B74="","",IFERROR(INDEX(Config!$B$12:$B$31,MATCH(B74,Config!$A$12:$A$31,0)),"?"))</f>
        <v>Despesa</v>
      </c>
    </row>
    <row r="75" customFormat="false" ht="15" hidden="false" customHeight="false" outlineLevel="0" collapsed="false">
      <c r="A75" s="32" t="n">
        <v>46198</v>
      </c>
      <c r="B75" s="25" t="s">
        <v>86</v>
      </c>
      <c r="C75" s="25" t="s">
        <v>120</v>
      </c>
      <c r="D75" s="33" t="n">
        <v>192.71</v>
      </c>
      <c r="E75" s="25"/>
      <c r="F75" s="18" t="n">
        <f aca="false">IF(A75="","",MONTH(A75))</f>
        <v>6</v>
      </c>
      <c r="G75" s="18" t="n">
        <f aca="false">IF(A75="","",YEAR(A75))</f>
        <v>2026</v>
      </c>
      <c r="H75" s="18" t="str">
        <f aca="false">IF(B75="","",IFERROR(INDEX(Config!$B$12:$B$31,MATCH(B75,Config!$A$12:$A$31,0)),"?"))</f>
        <v>Despesa</v>
      </c>
    </row>
    <row r="76" customFormat="false" ht="15" hidden="false" customHeight="false" outlineLevel="0" collapsed="false">
      <c r="A76" s="32" t="n">
        <v>46200</v>
      </c>
      <c r="B76" s="25" t="s">
        <v>87</v>
      </c>
      <c r="C76" s="25" t="s">
        <v>121</v>
      </c>
      <c r="D76" s="33" t="n">
        <v>726.6</v>
      </c>
      <c r="E76" s="25"/>
      <c r="F76" s="18" t="n">
        <f aca="false">IF(A76="","",MONTH(A76))</f>
        <v>6</v>
      </c>
      <c r="G76" s="18" t="n">
        <f aca="false">IF(A76="","",YEAR(A76))</f>
        <v>2026</v>
      </c>
      <c r="H76" s="18" t="str">
        <f aca="false">IF(B76="","",IFERROR(INDEX(Config!$B$12:$B$31,MATCH(B76,Config!$A$12:$A$31,0)),"?"))</f>
        <v>Despesa</v>
      </c>
    </row>
    <row r="77" customFormat="false" ht="15" hidden="false" customHeight="false" outlineLevel="0" collapsed="false">
      <c r="A77" s="32" t="n">
        <v>46201</v>
      </c>
      <c r="B77" s="25" t="s">
        <v>88</v>
      </c>
      <c r="C77" s="25" t="s">
        <v>122</v>
      </c>
      <c r="D77" s="33" t="n">
        <v>2890.79</v>
      </c>
      <c r="E77" s="25"/>
      <c r="F77" s="18" t="n">
        <f aca="false">IF(A77="","",MONTH(A77))</f>
        <v>6</v>
      </c>
      <c r="G77" s="18" t="n">
        <f aca="false">IF(A77="","",YEAR(A77))</f>
        <v>2026</v>
      </c>
      <c r="H77" s="18" t="str">
        <f aca="false">IF(B77="","",IFERROR(INDEX(Config!$B$12:$B$31,MATCH(B77,Config!$A$12:$A$31,0)),"?"))</f>
        <v>Despesa</v>
      </c>
    </row>
    <row r="78" customFormat="false" ht="15" hidden="false" customHeight="false" outlineLevel="0" collapsed="false">
      <c r="A78" s="32" t="n">
        <v>46208</v>
      </c>
      <c r="B78" s="25" t="s">
        <v>70</v>
      </c>
      <c r="C78" s="25" t="s">
        <v>111</v>
      </c>
      <c r="D78" s="33" t="n">
        <v>62513.68</v>
      </c>
      <c r="E78" s="25"/>
      <c r="F78" s="18" t="n">
        <f aca="false">IF(A78="","",MONTH(A78))</f>
        <v>7</v>
      </c>
      <c r="G78" s="18" t="n">
        <f aca="false">IF(A78="","",YEAR(A78))</f>
        <v>2026</v>
      </c>
      <c r="H78" s="18" t="str">
        <f aca="false">IF(B78="","",IFERROR(INDEX(Config!$B$12:$B$31,MATCH(B78,Config!$A$12:$A$31,0)),"?"))</f>
        <v>Receita</v>
      </c>
    </row>
    <row r="79" customFormat="false" ht="15" hidden="false" customHeight="false" outlineLevel="0" collapsed="false">
      <c r="A79" s="32" t="n">
        <v>46210</v>
      </c>
      <c r="B79" s="25" t="s">
        <v>73</v>
      </c>
      <c r="C79" s="25" t="s">
        <v>112</v>
      </c>
      <c r="D79" s="33" t="n">
        <v>24148.94</v>
      </c>
      <c r="E79" s="25"/>
      <c r="F79" s="18" t="n">
        <f aca="false">IF(A79="","",MONTH(A79))</f>
        <v>7</v>
      </c>
      <c r="G79" s="18" t="n">
        <f aca="false">IF(A79="","",YEAR(A79))</f>
        <v>2026</v>
      </c>
      <c r="H79" s="18" t="str">
        <f aca="false">IF(B79="","",IFERROR(INDEX(Config!$B$12:$B$31,MATCH(B79,Config!$A$12:$A$31,0)),"?"))</f>
        <v>Receita</v>
      </c>
    </row>
    <row r="80" customFormat="false" ht="15" hidden="false" customHeight="false" outlineLevel="0" collapsed="false">
      <c r="A80" s="32" t="n">
        <v>46212</v>
      </c>
      <c r="B80" s="25" t="s">
        <v>74</v>
      </c>
      <c r="C80" s="25" t="s">
        <v>113</v>
      </c>
      <c r="D80" s="33" t="n">
        <v>2962.61</v>
      </c>
      <c r="E80" s="25"/>
      <c r="F80" s="18" t="n">
        <f aca="false">IF(A80="","",MONTH(A80))</f>
        <v>7</v>
      </c>
      <c r="G80" s="18" t="n">
        <f aca="false">IF(A80="","",YEAR(A80))</f>
        <v>2026</v>
      </c>
      <c r="H80" s="18" t="str">
        <f aca="false">IF(B80="","",IFERROR(INDEX(Config!$B$12:$B$31,MATCH(B80,Config!$A$12:$A$31,0)),"?"))</f>
        <v>Receita</v>
      </c>
    </row>
    <row r="81" customFormat="false" ht="15" hidden="false" customHeight="false" outlineLevel="0" collapsed="false">
      <c r="A81" s="32" t="n">
        <v>46214</v>
      </c>
      <c r="B81" s="25" t="s">
        <v>76</v>
      </c>
      <c r="C81" s="25" t="s">
        <v>114</v>
      </c>
      <c r="D81" s="33" t="n">
        <v>42576.49</v>
      </c>
      <c r="E81" s="25"/>
      <c r="F81" s="18" t="n">
        <f aca="false">IF(A81="","",MONTH(A81))</f>
        <v>7</v>
      </c>
      <c r="G81" s="18" t="n">
        <f aca="false">IF(A81="","",YEAR(A81))</f>
        <v>2026</v>
      </c>
      <c r="H81" s="18" t="str">
        <f aca="false">IF(B81="","",IFERROR(INDEX(Config!$B$12:$B$31,MATCH(B81,Config!$A$12:$A$31,0)),"?"))</f>
        <v>Despesa</v>
      </c>
    </row>
    <row r="82" customFormat="false" ht="15" hidden="false" customHeight="false" outlineLevel="0" collapsed="false">
      <c r="A82" s="32" t="n">
        <v>46216</v>
      </c>
      <c r="B82" s="25" t="s">
        <v>78</v>
      </c>
      <c r="C82" s="25" t="s">
        <v>115</v>
      </c>
      <c r="D82" s="33" t="n">
        <v>9764.23</v>
      </c>
      <c r="E82" s="25"/>
      <c r="F82" s="18" t="n">
        <f aca="false">IF(A82="","",MONTH(A82))</f>
        <v>7</v>
      </c>
      <c r="G82" s="18" t="n">
        <f aca="false">IF(A82="","",YEAR(A82))</f>
        <v>2026</v>
      </c>
      <c r="H82" s="18" t="str">
        <f aca="false">IF(B82="","",IFERROR(INDEX(Config!$B$12:$B$31,MATCH(B82,Config!$A$12:$A$31,0)),"?"))</f>
        <v>Despesa</v>
      </c>
    </row>
    <row r="83" customFormat="false" ht="15" hidden="false" customHeight="false" outlineLevel="0" collapsed="false">
      <c r="A83" s="32" t="n">
        <v>46218</v>
      </c>
      <c r="B83" s="25" t="s">
        <v>80</v>
      </c>
      <c r="C83" s="25" t="s">
        <v>116</v>
      </c>
      <c r="D83" s="33" t="n">
        <v>4498.52</v>
      </c>
      <c r="E83" s="25"/>
      <c r="F83" s="18" t="n">
        <f aca="false">IF(A83="","",MONTH(A83))</f>
        <v>7</v>
      </c>
      <c r="G83" s="18" t="n">
        <f aca="false">IF(A83="","",YEAR(A83))</f>
        <v>2026</v>
      </c>
      <c r="H83" s="18" t="str">
        <f aca="false">IF(B83="","",IFERROR(INDEX(Config!$B$12:$B$31,MATCH(B83,Config!$A$12:$A$31,0)),"?"))</f>
        <v>Despesa</v>
      </c>
    </row>
    <row r="84" customFormat="false" ht="15" hidden="false" customHeight="false" outlineLevel="0" collapsed="false">
      <c r="A84" s="32" t="n">
        <v>46220</v>
      </c>
      <c r="B84" s="25" t="s">
        <v>81</v>
      </c>
      <c r="C84" s="25" t="s">
        <v>117</v>
      </c>
      <c r="D84" s="33" t="n">
        <v>2095.6</v>
      </c>
      <c r="E84" s="25"/>
      <c r="F84" s="18" t="n">
        <f aca="false">IF(A84="","",MONTH(A84))</f>
        <v>7</v>
      </c>
      <c r="G84" s="18" t="n">
        <f aca="false">IF(A84="","",YEAR(A84))</f>
        <v>2026</v>
      </c>
      <c r="H84" s="18" t="str">
        <f aca="false">IF(B84="","",IFERROR(INDEX(Config!$B$12:$B$31,MATCH(B84,Config!$A$12:$A$31,0)),"?"))</f>
        <v>Despesa</v>
      </c>
    </row>
    <row r="85" customFormat="false" ht="15" hidden="false" customHeight="false" outlineLevel="0" collapsed="false">
      <c r="A85" s="32" t="n">
        <v>46222</v>
      </c>
      <c r="B85" s="25" t="s">
        <v>83</v>
      </c>
      <c r="C85" s="25" t="s">
        <v>118</v>
      </c>
      <c r="D85" s="33" t="n">
        <v>5652.02</v>
      </c>
      <c r="E85" s="25"/>
      <c r="F85" s="18" t="n">
        <f aca="false">IF(A85="","",MONTH(A85))</f>
        <v>7</v>
      </c>
      <c r="G85" s="18" t="n">
        <f aca="false">IF(A85="","",YEAR(A85))</f>
        <v>2026</v>
      </c>
      <c r="H85" s="18" t="str">
        <f aca="false">IF(B85="","",IFERROR(INDEX(Config!$B$12:$B$31,MATCH(B85,Config!$A$12:$A$31,0)),"?"))</f>
        <v>Despesa</v>
      </c>
    </row>
    <row r="86" customFormat="false" ht="15" hidden="false" customHeight="false" outlineLevel="0" collapsed="false">
      <c r="A86" s="32" t="n">
        <v>46224</v>
      </c>
      <c r="B86" s="25" t="s">
        <v>84</v>
      </c>
      <c r="C86" s="25" t="s">
        <v>119</v>
      </c>
      <c r="D86" s="33" t="n">
        <v>9879.22</v>
      </c>
      <c r="E86" s="25"/>
      <c r="F86" s="18" t="n">
        <f aca="false">IF(A86="","",MONTH(A86))</f>
        <v>7</v>
      </c>
      <c r="G86" s="18" t="n">
        <f aca="false">IF(A86="","",YEAR(A86))</f>
        <v>2026</v>
      </c>
      <c r="H86" s="18" t="str">
        <f aca="false">IF(B86="","",IFERROR(INDEX(Config!$B$12:$B$31,MATCH(B86,Config!$A$12:$A$31,0)),"?"))</f>
        <v>Despesa</v>
      </c>
    </row>
    <row r="87" customFormat="false" ht="15" hidden="false" customHeight="false" outlineLevel="0" collapsed="false">
      <c r="A87" s="32" t="n">
        <v>46226</v>
      </c>
      <c r="B87" s="25" t="s">
        <v>85</v>
      </c>
      <c r="C87" s="25" t="s">
        <v>123</v>
      </c>
      <c r="D87" s="33" t="n">
        <v>2887.53</v>
      </c>
      <c r="E87" s="25"/>
      <c r="F87" s="18" t="n">
        <f aca="false">IF(A87="","",MONTH(A87))</f>
        <v>7</v>
      </c>
      <c r="G87" s="18" t="n">
        <f aca="false">IF(A87="","",YEAR(A87))</f>
        <v>2026</v>
      </c>
      <c r="H87" s="18" t="str">
        <f aca="false">IF(B87="","",IFERROR(INDEX(Config!$B$12:$B$31,MATCH(B87,Config!$A$12:$A$31,0)),"?"))</f>
        <v>Despesa</v>
      </c>
    </row>
    <row r="88" customFormat="false" ht="15" hidden="false" customHeight="false" outlineLevel="0" collapsed="false">
      <c r="A88" s="32" t="n">
        <v>46228</v>
      </c>
      <c r="B88" s="25" t="s">
        <v>86</v>
      </c>
      <c r="C88" s="25" t="s">
        <v>120</v>
      </c>
      <c r="D88" s="33" t="n">
        <v>195.16</v>
      </c>
      <c r="E88" s="25"/>
      <c r="F88" s="18" t="n">
        <f aca="false">IF(A88="","",MONTH(A88))</f>
        <v>7</v>
      </c>
      <c r="G88" s="18" t="n">
        <f aca="false">IF(A88="","",YEAR(A88))</f>
        <v>2026</v>
      </c>
      <c r="H88" s="18" t="str">
        <f aca="false">IF(B88="","",IFERROR(INDEX(Config!$B$12:$B$31,MATCH(B88,Config!$A$12:$A$31,0)),"?"))</f>
        <v>Despesa</v>
      </c>
    </row>
    <row r="89" customFormat="false" ht="15" hidden="false" customHeight="false" outlineLevel="0" collapsed="false">
      <c r="A89" s="32" t="n">
        <v>46230</v>
      </c>
      <c r="B89" s="25" t="s">
        <v>87</v>
      </c>
      <c r="C89" s="25" t="s">
        <v>121</v>
      </c>
      <c r="D89" s="33" t="n">
        <v>714.7</v>
      </c>
      <c r="E89" s="25"/>
      <c r="F89" s="18" t="n">
        <f aca="false">IF(A89="","",MONTH(A89))</f>
        <v>7</v>
      </c>
      <c r="G89" s="18" t="n">
        <f aca="false">IF(A89="","",YEAR(A89))</f>
        <v>2026</v>
      </c>
      <c r="H89" s="18" t="str">
        <f aca="false">IF(B89="","",IFERROR(INDEX(Config!$B$12:$B$31,MATCH(B89,Config!$A$12:$A$31,0)),"?"))</f>
        <v>Despesa</v>
      </c>
    </row>
    <row r="90" customFormat="false" ht="15" hidden="false" customHeight="false" outlineLevel="0" collapsed="false">
      <c r="A90" s="32" t="n">
        <v>46231</v>
      </c>
      <c r="B90" s="25" t="s">
        <v>88</v>
      </c>
      <c r="C90" s="25" t="s">
        <v>122</v>
      </c>
      <c r="D90" s="33" t="n">
        <v>3026.51</v>
      </c>
      <c r="E90" s="25"/>
      <c r="F90" s="18" t="n">
        <f aca="false">IF(A90="","",MONTH(A90))</f>
        <v>7</v>
      </c>
      <c r="G90" s="18" t="n">
        <f aca="false">IF(A90="","",YEAR(A90))</f>
        <v>2026</v>
      </c>
      <c r="H90" s="18" t="str">
        <f aca="false">IF(B90="","",IFERROR(INDEX(Config!$B$12:$B$31,MATCH(B90,Config!$A$12:$A$31,0)),"?"))</f>
        <v>Despesa</v>
      </c>
    </row>
    <row r="91" customFormat="false" ht="15" hidden="false" customHeight="false" outlineLevel="0" collapsed="false">
      <c r="A91" s="32" t="n">
        <v>46239</v>
      </c>
      <c r="B91" s="25" t="s">
        <v>70</v>
      </c>
      <c r="C91" s="25" t="s">
        <v>111</v>
      </c>
      <c r="D91" s="33" t="n">
        <v>59750.15</v>
      </c>
      <c r="E91" s="25"/>
      <c r="F91" s="18" t="n">
        <f aca="false">IF(A91="","",MONTH(A91))</f>
        <v>8</v>
      </c>
      <c r="G91" s="18" t="n">
        <f aca="false">IF(A91="","",YEAR(A91))</f>
        <v>2026</v>
      </c>
      <c r="H91" s="18" t="str">
        <f aca="false">IF(B91="","",IFERROR(INDEX(Config!$B$12:$B$31,MATCH(B91,Config!$A$12:$A$31,0)),"?"))</f>
        <v>Receita</v>
      </c>
    </row>
    <row r="92" customFormat="false" ht="15" hidden="false" customHeight="false" outlineLevel="0" collapsed="false">
      <c r="A92" s="32" t="n">
        <v>46241</v>
      </c>
      <c r="B92" s="25" t="s">
        <v>73</v>
      </c>
      <c r="C92" s="25" t="s">
        <v>112</v>
      </c>
      <c r="D92" s="33" t="n">
        <v>23583.91</v>
      </c>
      <c r="E92" s="25"/>
      <c r="F92" s="18" t="n">
        <f aca="false">IF(A92="","",MONTH(A92))</f>
        <v>8</v>
      </c>
      <c r="G92" s="18" t="n">
        <f aca="false">IF(A92="","",YEAR(A92))</f>
        <v>2026</v>
      </c>
      <c r="H92" s="18" t="str">
        <f aca="false">IF(B92="","",IFERROR(INDEX(Config!$B$12:$B$31,MATCH(B92,Config!$A$12:$A$31,0)),"?"))</f>
        <v>Receita</v>
      </c>
    </row>
    <row r="93" customFormat="false" ht="15" hidden="false" customHeight="false" outlineLevel="0" collapsed="false">
      <c r="A93" s="32" t="n">
        <v>46243</v>
      </c>
      <c r="B93" s="25" t="s">
        <v>74</v>
      </c>
      <c r="C93" s="25" t="s">
        <v>113</v>
      </c>
      <c r="D93" s="33" t="n">
        <v>2959.59</v>
      </c>
      <c r="E93" s="25"/>
      <c r="F93" s="18" t="n">
        <f aca="false">IF(A93="","",MONTH(A93))</f>
        <v>8</v>
      </c>
      <c r="G93" s="18" t="n">
        <f aca="false">IF(A93="","",YEAR(A93))</f>
        <v>2026</v>
      </c>
      <c r="H93" s="18" t="str">
        <f aca="false">IF(B93="","",IFERROR(INDEX(Config!$B$12:$B$31,MATCH(B93,Config!$A$12:$A$31,0)),"?"))</f>
        <v>Receita</v>
      </c>
    </row>
    <row r="94" customFormat="false" ht="15" hidden="false" customHeight="false" outlineLevel="0" collapsed="false">
      <c r="A94" s="32" t="n">
        <v>46245</v>
      </c>
      <c r="B94" s="25" t="s">
        <v>76</v>
      </c>
      <c r="C94" s="25" t="s">
        <v>114</v>
      </c>
      <c r="D94" s="33" t="n">
        <v>40389.36</v>
      </c>
      <c r="E94" s="25"/>
      <c r="F94" s="18" t="n">
        <f aca="false">IF(A94="","",MONTH(A94))</f>
        <v>8</v>
      </c>
      <c r="G94" s="18" t="n">
        <f aca="false">IF(A94="","",YEAR(A94))</f>
        <v>2026</v>
      </c>
      <c r="H94" s="18" t="str">
        <f aca="false">IF(B94="","",IFERROR(INDEX(Config!$B$12:$B$31,MATCH(B94,Config!$A$12:$A$31,0)),"?"))</f>
        <v>Despesa</v>
      </c>
    </row>
    <row r="95" customFormat="false" ht="15" hidden="false" customHeight="false" outlineLevel="0" collapsed="false">
      <c r="A95" s="32" t="n">
        <v>46247</v>
      </c>
      <c r="B95" s="25" t="s">
        <v>78</v>
      </c>
      <c r="C95" s="25" t="s">
        <v>115</v>
      </c>
      <c r="D95" s="33" t="n">
        <v>11382.89</v>
      </c>
      <c r="E95" s="25"/>
      <c r="F95" s="18" t="n">
        <f aca="false">IF(A95="","",MONTH(A95))</f>
        <v>8</v>
      </c>
      <c r="G95" s="18" t="n">
        <f aca="false">IF(A95="","",YEAR(A95))</f>
        <v>2026</v>
      </c>
      <c r="H95" s="18" t="str">
        <f aca="false">IF(B95="","",IFERROR(INDEX(Config!$B$12:$B$31,MATCH(B95,Config!$A$12:$A$31,0)),"?"))</f>
        <v>Despesa</v>
      </c>
    </row>
    <row r="96" customFormat="false" ht="15" hidden="false" customHeight="false" outlineLevel="0" collapsed="false">
      <c r="A96" s="32" t="n">
        <v>46249</v>
      </c>
      <c r="B96" s="25" t="s">
        <v>80</v>
      </c>
      <c r="C96" s="25" t="s">
        <v>116</v>
      </c>
      <c r="D96" s="33" t="n">
        <v>4463.28</v>
      </c>
      <c r="E96" s="25"/>
      <c r="F96" s="18" t="n">
        <f aca="false">IF(A96="","",MONTH(A96))</f>
        <v>8</v>
      </c>
      <c r="G96" s="18" t="n">
        <f aca="false">IF(A96="","",YEAR(A96))</f>
        <v>2026</v>
      </c>
      <c r="H96" s="18" t="str">
        <f aca="false">IF(B96="","",IFERROR(INDEX(Config!$B$12:$B$31,MATCH(B96,Config!$A$12:$A$31,0)),"?"))</f>
        <v>Despesa</v>
      </c>
    </row>
    <row r="97" customFormat="false" ht="15" hidden="false" customHeight="false" outlineLevel="0" collapsed="false">
      <c r="A97" s="32" t="n">
        <v>46251</v>
      </c>
      <c r="B97" s="25" t="s">
        <v>81</v>
      </c>
      <c r="C97" s="25" t="s">
        <v>117</v>
      </c>
      <c r="D97" s="33" t="n">
        <v>2107.19</v>
      </c>
      <c r="E97" s="25"/>
      <c r="F97" s="18" t="n">
        <f aca="false">IF(A97="","",MONTH(A97))</f>
        <v>8</v>
      </c>
      <c r="G97" s="18" t="n">
        <f aca="false">IF(A97="","",YEAR(A97))</f>
        <v>2026</v>
      </c>
      <c r="H97" s="18" t="str">
        <f aca="false">IF(B97="","",IFERROR(INDEX(Config!$B$12:$B$31,MATCH(B97,Config!$A$12:$A$31,0)),"?"))</f>
        <v>Despesa</v>
      </c>
    </row>
    <row r="98" customFormat="false" ht="15" hidden="false" customHeight="false" outlineLevel="0" collapsed="false">
      <c r="A98" s="32" t="n">
        <v>46253</v>
      </c>
      <c r="B98" s="25" t="s">
        <v>83</v>
      </c>
      <c r="C98" s="25" t="s">
        <v>118</v>
      </c>
      <c r="D98" s="33" t="n">
        <v>5831.47</v>
      </c>
      <c r="E98" s="25"/>
      <c r="F98" s="18" t="n">
        <f aca="false">IF(A98="","",MONTH(A98))</f>
        <v>8</v>
      </c>
      <c r="G98" s="18" t="n">
        <f aca="false">IF(A98="","",YEAR(A98))</f>
        <v>2026</v>
      </c>
      <c r="H98" s="18" t="str">
        <f aca="false">IF(B98="","",IFERROR(INDEX(Config!$B$12:$B$31,MATCH(B98,Config!$A$12:$A$31,0)),"?"))</f>
        <v>Despesa</v>
      </c>
    </row>
    <row r="99" customFormat="false" ht="15" hidden="false" customHeight="false" outlineLevel="0" collapsed="false">
      <c r="A99" s="32" t="n">
        <v>46255</v>
      </c>
      <c r="B99" s="25" t="s">
        <v>84</v>
      </c>
      <c r="C99" s="25" t="s">
        <v>119</v>
      </c>
      <c r="D99" s="33" t="n">
        <v>9816.74</v>
      </c>
      <c r="E99" s="25"/>
      <c r="F99" s="18" t="n">
        <f aca="false">IF(A99="","",MONTH(A99))</f>
        <v>8</v>
      </c>
      <c r="G99" s="18" t="n">
        <f aca="false">IF(A99="","",YEAR(A99))</f>
        <v>2026</v>
      </c>
      <c r="H99" s="18" t="str">
        <f aca="false">IF(B99="","",IFERROR(INDEX(Config!$B$12:$B$31,MATCH(B99,Config!$A$12:$A$31,0)),"?"))</f>
        <v>Despesa</v>
      </c>
    </row>
    <row r="100" customFormat="false" ht="15" hidden="false" customHeight="false" outlineLevel="0" collapsed="false">
      <c r="A100" s="32" t="n">
        <v>46259</v>
      </c>
      <c r="B100" s="25" t="s">
        <v>86</v>
      </c>
      <c r="C100" s="25" t="s">
        <v>120</v>
      </c>
      <c r="D100" s="33" t="n">
        <v>201.53</v>
      </c>
      <c r="E100" s="25"/>
      <c r="F100" s="18" t="n">
        <f aca="false">IF(A100="","",MONTH(A100))</f>
        <v>8</v>
      </c>
      <c r="G100" s="18" t="n">
        <f aca="false">IF(A100="","",YEAR(A100))</f>
        <v>2026</v>
      </c>
      <c r="H100" s="18" t="str">
        <f aca="false">IF(B100="","",IFERROR(INDEX(Config!$B$12:$B$31,MATCH(B100,Config!$A$12:$A$31,0)),"?"))</f>
        <v>Despesa</v>
      </c>
    </row>
    <row r="101" customFormat="false" ht="15" hidden="false" customHeight="false" outlineLevel="0" collapsed="false">
      <c r="A101" s="32" t="n">
        <v>46261</v>
      </c>
      <c r="B101" s="25" t="s">
        <v>87</v>
      </c>
      <c r="C101" s="25" t="s">
        <v>121</v>
      </c>
      <c r="D101" s="33" t="n">
        <v>723.41</v>
      </c>
      <c r="E101" s="25"/>
      <c r="F101" s="18" t="n">
        <f aca="false">IF(A101="","",MONTH(A101))</f>
        <v>8</v>
      </c>
      <c r="G101" s="18" t="n">
        <f aca="false">IF(A101="","",YEAR(A101))</f>
        <v>2026</v>
      </c>
      <c r="H101" s="18" t="str">
        <f aca="false">IF(B101="","",IFERROR(INDEX(Config!$B$12:$B$31,MATCH(B101,Config!$A$12:$A$31,0)),"?"))</f>
        <v>Despesa</v>
      </c>
    </row>
    <row r="102" customFormat="false" ht="15" hidden="false" customHeight="false" outlineLevel="0" collapsed="false">
      <c r="A102" s="32" t="n">
        <v>46262</v>
      </c>
      <c r="B102" s="25" t="s">
        <v>88</v>
      </c>
      <c r="C102" s="25" t="s">
        <v>122</v>
      </c>
      <c r="D102" s="33" t="n">
        <v>3028.83</v>
      </c>
      <c r="E102" s="25"/>
      <c r="F102" s="18" t="n">
        <f aca="false">IF(A102="","",MONTH(A102))</f>
        <v>8</v>
      </c>
      <c r="G102" s="18" t="n">
        <f aca="false">IF(A102="","",YEAR(A102))</f>
        <v>2026</v>
      </c>
      <c r="H102" s="18" t="str">
        <f aca="false">IF(B102="","",IFERROR(INDEX(Config!$B$12:$B$31,MATCH(B102,Config!$A$12:$A$31,0)),"?"))</f>
        <v>Despesa</v>
      </c>
    </row>
    <row r="103" customFormat="false" ht="15" hidden="false" customHeight="false" outlineLevel="0" collapsed="false">
      <c r="A103" s="32" t="n">
        <v>46270</v>
      </c>
      <c r="B103" s="25" t="s">
        <v>70</v>
      </c>
      <c r="C103" s="25" t="s">
        <v>111</v>
      </c>
      <c r="D103" s="33" t="n">
        <v>65593.42</v>
      </c>
      <c r="E103" s="25"/>
      <c r="F103" s="18" t="n">
        <f aca="false">IF(A103="","",MONTH(A103))</f>
        <v>9</v>
      </c>
      <c r="G103" s="18" t="n">
        <f aca="false">IF(A103="","",YEAR(A103))</f>
        <v>2026</v>
      </c>
      <c r="H103" s="18" t="str">
        <f aca="false">IF(B103="","",IFERROR(INDEX(Config!$B$12:$B$31,MATCH(B103,Config!$A$12:$A$31,0)),"?"))</f>
        <v>Receita</v>
      </c>
    </row>
    <row r="104" customFormat="false" ht="15" hidden="false" customHeight="false" outlineLevel="0" collapsed="false">
      <c r="A104" s="32" t="n">
        <v>46272</v>
      </c>
      <c r="B104" s="25" t="s">
        <v>73</v>
      </c>
      <c r="C104" s="25" t="s">
        <v>112</v>
      </c>
      <c r="D104" s="33" t="n">
        <v>26534.91</v>
      </c>
      <c r="E104" s="25"/>
      <c r="F104" s="18" t="n">
        <f aca="false">IF(A104="","",MONTH(A104))</f>
        <v>9</v>
      </c>
      <c r="G104" s="18" t="n">
        <f aca="false">IF(A104="","",YEAR(A104))</f>
        <v>2026</v>
      </c>
      <c r="H104" s="18" t="str">
        <f aca="false">IF(B104="","",IFERROR(INDEX(Config!$B$12:$B$31,MATCH(B104,Config!$A$12:$A$31,0)),"?"))</f>
        <v>Receita</v>
      </c>
    </row>
    <row r="105" customFormat="false" ht="15" hidden="false" customHeight="false" outlineLevel="0" collapsed="false">
      <c r="A105" s="32" t="n">
        <v>46274</v>
      </c>
      <c r="B105" s="25" t="s">
        <v>74</v>
      </c>
      <c r="C105" s="25" t="s">
        <v>113</v>
      </c>
      <c r="D105" s="33" t="n">
        <v>3431.01</v>
      </c>
      <c r="E105" s="25"/>
      <c r="F105" s="18" t="n">
        <f aca="false">IF(A105="","",MONTH(A105))</f>
        <v>9</v>
      </c>
      <c r="G105" s="18" t="n">
        <f aca="false">IF(A105="","",YEAR(A105))</f>
        <v>2026</v>
      </c>
      <c r="H105" s="18" t="str">
        <f aca="false">IF(B105="","",IFERROR(INDEX(Config!$B$12:$B$31,MATCH(B105,Config!$A$12:$A$31,0)),"?"))</f>
        <v>Receita</v>
      </c>
    </row>
    <row r="106" customFormat="false" ht="15" hidden="false" customHeight="false" outlineLevel="0" collapsed="false">
      <c r="A106" s="32" t="n">
        <v>46276</v>
      </c>
      <c r="B106" s="25" t="s">
        <v>76</v>
      </c>
      <c r="C106" s="25" t="s">
        <v>114</v>
      </c>
      <c r="D106" s="33" t="n">
        <v>41722.62</v>
      </c>
      <c r="E106" s="25"/>
      <c r="F106" s="18" t="n">
        <f aca="false">IF(A106="","",MONTH(A106))</f>
        <v>9</v>
      </c>
      <c r="G106" s="18" t="n">
        <f aca="false">IF(A106="","",YEAR(A106))</f>
        <v>2026</v>
      </c>
      <c r="H106" s="18" t="str">
        <f aca="false">IF(B106="","",IFERROR(INDEX(Config!$B$12:$B$31,MATCH(B106,Config!$A$12:$A$31,0)),"?"))</f>
        <v>Despesa</v>
      </c>
    </row>
    <row r="107" customFormat="false" ht="15" hidden="false" customHeight="false" outlineLevel="0" collapsed="false">
      <c r="A107" s="32" t="n">
        <v>46278</v>
      </c>
      <c r="B107" s="25" t="s">
        <v>78</v>
      </c>
      <c r="C107" s="25" t="s">
        <v>115</v>
      </c>
      <c r="D107" s="33" t="n">
        <v>10749.54</v>
      </c>
      <c r="E107" s="25"/>
      <c r="F107" s="18" t="n">
        <f aca="false">IF(A107="","",MONTH(A107))</f>
        <v>9</v>
      </c>
      <c r="G107" s="18" t="n">
        <f aca="false">IF(A107="","",YEAR(A107))</f>
        <v>2026</v>
      </c>
      <c r="H107" s="18" t="str">
        <f aca="false">IF(B107="","",IFERROR(INDEX(Config!$B$12:$B$31,MATCH(B107,Config!$A$12:$A$31,0)),"?"))</f>
        <v>Despesa</v>
      </c>
    </row>
    <row r="108" customFormat="false" ht="15" hidden="false" customHeight="false" outlineLevel="0" collapsed="false">
      <c r="A108" s="32" t="n">
        <v>46280</v>
      </c>
      <c r="B108" s="25" t="s">
        <v>80</v>
      </c>
      <c r="C108" s="25" t="s">
        <v>116</v>
      </c>
      <c r="D108" s="33" t="n">
        <v>4257.16</v>
      </c>
      <c r="E108" s="25"/>
      <c r="F108" s="18" t="n">
        <f aca="false">IF(A108="","",MONTH(A108))</f>
        <v>9</v>
      </c>
      <c r="G108" s="18" t="n">
        <f aca="false">IF(A108="","",YEAR(A108))</f>
        <v>2026</v>
      </c>
      <c r="H108" s="18" t="str">
        <f aca="false">IF(B108="","",IFERROR(INDEX(Config!$B$12:$B$31,MATCH(B108,Config!$A$12:$A$31,0)),"?"))</f>
        <v>Despesa</v>
      </c>
    </row>
    <row r="109" customFormat="false" ht="15" hidden="false" customHeight="false" outlineLevel="0" collapsed="false">
      <c r="A109" s="32" t="n">
        <v>46282</v>
      </c>
      <c r="B109" s="25" t="s">
        <v>81</v>
      </c>
      <c r="C109" s="25" t="s">
        <v>117</v>
      </c>
      <c r="D109" s="33" t="n">
        <v>2209.34</v>
      </c>
      <c r="E109" s="25"/>
      <c r="F109" s="18" t="n">
        <f aca="false">IF(A109="","",MONTH(A109))</f>
        <v>9</v>
      </c>
      <c r="G109" s="18" t="n">
        <f aca="false">IF(A109="","",YEAR(A109))</f>
        <v>2026</v>
      </c>
      <c r="H109" s="18" t="str">
        <f aca="false">IF(B109="","",IFERROR(INDEX(Config!$B$12:$B$31,MATCH(B109,Config!$A$12:$A$31,0)),"?"))</f>
        <v>Despesa</v>
      </c>
    </row>
    <row r="110" customFormat="false" ht="15" hidden="false" customHeight="false" outlineLevel="0" collapsed="false">
      <c r="A110" s="32" t="n">
        <v>46284</v>
      </c>
      <c r="B110" s="25" t="s">
        <v>83</v>
      </c>
      <c r="C110" s="25" t="s">
        <v>118</v>
      </c>
      <c r="D110" s="33" t="n">
        <v>6510.99</v>
      </c>
      <c r="E110" s="25"/>
      <c r="F110" s="18" t="n">
        <f aca="false">IF(A110="","",MONTH(A110))</f>
        <v>9</v>
      </c>
      <c r="G110" s="18" t="n">
        <f aca="false">IF(A110="","",YEAR(A110))</f>
        <v>2026</v>
      </c>
      <c r="H110" s="18" t="str">
        <f aca="false">IF(B110="","",IFERROR(INDEX(Config!$B$12:$B$31,MATCH(B110,Config!$A$12:$A$31,0)),"?"))</f>
        <v>Despesa</v>
      </c>
    </row>
    <row r="111" customFormat="false" ht="15" hidden="false" customHeight="false" outlineLevel="0" collapsed="false">
      <c r="A111" s="32" t="n">
        <v>46286</v>
      </c>
      <c r="B111" s="25" t="s">
        <v>84</v>
      </c>
      <c r="C111" s="25" t="s">
        <v>119</v>
      </c>
      <c r="D111" s="33" t="n">
        <v>10137.12</v>
      </c>
      <c r="E111" s="25"/>
      <c r="F111" s="18" t="n">
        <f aca="false">IF(A111="","",MONTH(A111))</f>
        <v>9</v>
      </c>
      <c r="G111" s="18" t="n">
        <f aca="false">IF(A111="","",YEAR(A111))</f>
        <v>2026</v>
      </c>
      <c r="H111" s="18" t="str">
        <f aca="false">IF(B111="","",IFERROR(INDEX(Config!$B$12:$B$31,MATCH(B111,Config!$A$12:$A$31,0)),"?"))</f>
        <v>Despesa</v>
      </c>
    </row>
    <row r="112" customFormat="false" ht="15" hidden="false" customHeight="false" outlineLevel="0" collapsed="false">
      <c r="A112" s="32" t="n">
        <v>46290</v>
      </c>
      <c r="B112" s="25" t="s">
        <v>86</v>
      </c>
      <c r="C112" s="25" t="s">
        <v>120</v>
      </c>
      <c r="D112" s="33" t="n">
        <v>198.64</v>
      </c>
      <c r="E112" s="25"/>
      <c r="F112" s="18" t="n">
        <f aca="false">IF(A112="","",MONTH(A112))</f>
        <v>9</v>
      </c>
      <c r="G112" s="18" t="n">
        <f aca="false">IF(A112="","",YEAR(A112))</f>
        <v>2026</v>
      </c>
      <c r="H112" s="18" t="str">
        <f aca="false">IF(B112="","",IFERROR(INDEX(Config!$B$12:$B$31,MATCH(B112,Config!$A$12:$A$31,0)),"?"))</f>
        <v>Despesa</v>
      </c>
    </row>
    <row r="113" customFormat="false" ht="15" hidden="false" customHeight="false" outlineLevel="0" collapsed="false">
      <c r="A113" s="32" t="n">
        <v>46292</v>
      </c>
      <c r="B113" s="25" t="s">
        <v>87</v>
      </c>
      <c r="C113" s="25" t="s">
        <v>121</v>
      </c>
      <c r="D113" s="33" t="n">
        <v>2717.27</v>
      </c>
      <c r="E113" s="25"/>
      <c r="F113" s="18" t="n">
        <f aca="false">IF(A113="","",MONTH(A113))</f>
        <v>9</v>
      </c>
      <c r="G113" s="18" t="n">
        <f aca="false">IF(A113="","",YEAR(A113))</f>
        <v>2026</v>
      </c>
      <c r="H113" s="18" t="str">
        <f aca="false">IF(B113="","",IFERROR(INDEX(Config!$B$12:$B$31,MATCH(B113,Config!$A$12:$A$31,0)),"?"))</f>
        <v>Despesa</v>
      </c>
    </row>
    <row r="114" customFormat="false" ht="15" hidden="false" customHeight="false" outlineLevel="0" collapsed="false">
      <c r="A114" s="32" t="n">
        <v>46293</v>
      </c>
      <c r="B114" s="25" t="s">
        <v>88</v>
      </c>
      <c r="C114" s="25" t="s">
        <v>122</v>
      </c>
      <c r="D114" s="33" t="n">
        <v>2884.81</v>
      </c>
      <c r="E114" s="25"/>
      <c r="F114" s="18" t="n">
        <f aca="false">IF(A114="","",MONTH(A114))</f>
        <v>9</v>
      </c>
      <c r="G114" s="18" t="n">
        <f aca="false">IF(A114="","",YEAR(A114))</f>
        <v>2026</v>
      </c>
      <c r="H114" s="18" t="str">
        <f aca="false">IF(B114="","",IFERROR(INDEX(Config!$B$12:$B$31,MATCH(B114,Config!$A$12:$A$31,0)),"?"))</f>
        <v>Despesa</v>
      </c>
    </row>
    <row r="115" customFormat="false" ht="15" hidden="false" customHeight="false" outlineLevel="0" collapsed="false">
      <c r="A115" s="32"/>
      <c r="B115" s="25"/>
      <c r="C115" s="25"/>
      <c r="D115" s="33"/>
      <c r="E115" s="25"/>
      <c r="F115" s="18" t="str">
        <f aca="false">IF(A115="","",MONTH(A115))</f>
        <v/>
      </c>
      <c r="G115" s="18" t="str">
        <f aca="false">IF(A115="","",YEAR(A115))</f>
        <v/>
      </c>
      <c r="H115" s="18" t="str">
        <f aca="false">IF(B115="","",IFERROR(INDEX(Config!$B$12:$B$31,MATCH(B115,Config!$A$12:$A$31,0)),"?"))</f>
        <v/>
      </c>
    </row>
    <row r="116" customFormat="false" ht="15" hidden="false" customHeight="false" outlineLevel="0" collapsed="false">
      <c r="A116" s="32"/>
      <c r="B116" s="25"/>
      <c r="C116" s="25"/>
      <c r="D116" s="33"/>
      <c r="E116" s="25"/>
      <c r="F116" s="18" t="str">
        <f aca="false">IF(A116="","",MONTH(A116))</f>
        <v/>
      </c>
      <c r="G116" s="18" t="str">
        <f aca="false">IF(A116="","",YEAR(A116))</f>
        <v/>
      </c>
      <c r="H116" s="18" t="str">
        <f aca="false">IF(B116="","",IFERROR(INDEX(Config!$B$12:$B$31,MATCH(B116,Config!$A$12:$A$31,0)),"?"))</f>
        <v/>
      </c>
    </row>
    <row r="117" customFormat="false" ht="15" hidden="false" customHeight="false" outlineLevel="0" collapsed="false">
      <c r="A117" s="32"/>
      <c r="B117" s="25"/>
      <c r="C117" s="25"/>
      <c r="D117" s="33"/>
      <c r="E117" s="25"/>
      <c r="F117" s="18" t="str">
        <f aca="false">IF(A117="","",MONTH(A117))</f>
        <v/>
      </c>
      <c r="G117" s="18" t="str">
        <f aca="false">IF(A117="","",YEAR(A117))</f>
        <v/>
      </c>
      <c r="H117" s="18" t="str">
        <f aca="false">IF(B117="","",IFERROR(INDEX(Config!$B$12:$B$31,MATCH(B117,Config!$A$12:$A$31,0)),"?"))</f>
        <v/>
      </c>
    </row>
    <row r="118" customFormat="false" ht="15" hidden="false" customHeight="false" outlineLevel="0" collapsed="false">
      <c r="A118" s="32"/>
      <c r="B118" s="25"/>
      <c r="C118" s="25"/>
      <c r="D118" s="33"/>
      <c r="E118" s="25"/>
      <c r="F118" s="18" t="str">
        <f aca="false">IF(A118="","",MONTH(A118))</f>
        <v/>
      </c>
      <c r="G118" s="18" t="str">
        <f aca="false">IF(A118="","",YEAR(A118))</f>
        <v/>
      </c>
      <c r="H118" s="18" t="str">
        <f aca="false">IF(B118="","",IFERROR(INDEX(Config!$B$12:$B$31,MATCH(B118,Config!$A$12:$A$31,0)),"?"))</f>
        <v/>
      </c>
    </row>
    <row r="119" customFormat="false" ht="15" hidden="false" customHeight="false" outlineLevel="0" collapsed="false">
      <c r="A119" s="32"/>
      <c r="B119" s="25"/>
      <c r="C119" s="25"/>
      <c r="D119" s="33"/>
      <c r="E119" s="25"/>
      <c r="F119" s="18" t="str">
        <f aca="false">IF(A119="","",MONTH(A119))</f>
        <v/>
      </c>
      <c r="G119" s="18" t="str">
        <f aca="false">IF(A119="","",YEAR(A119))</f>
        <v/>
      </c>
      <c r="H119" s="18" t="str">
        <f aca="false">IF(B119="","",IFERROR(INDEX(Config!$B$12:$B$31,MATCH(B119,Config!$A$12:$A$31,0)),"?"))</f>
        <v/>
      </c>
    </row>
    <row r="120" customFormat="false" ht="15" hidden="false" customHeight="false" outlineLevel="0" collapsed="false">
      <c r="A120" s="32"/>
      <c r="B120" s="25"/>
      <c r="C120" s="25"/>
      <c r="D120" s="33"/>
      <c r="E120" s="25"/>
      <c r="F120" s="18" t="str">
        <f aca="false">IF(A120="","",MONTH(A120))</f>
        <v/>
      </c>
      <c r="G120" s="18" t="str">
        <f aca="false">IF(A120="","",YEAR(A120))</f>
        <v/>
      </c>
      <c r="H120" s="18" t="str">
        <f aca="false">IF(B120="","",IFERROR(INDEX(Config!$B$12:$B$31,MATCH(B120,Config!$A$12:$A$31,0)),"?"))</f>
        <v/>
      </c>
    </row>
    <row r="121" customFormat="false" ht="15" hidden="false" customHeight="false" outlineLevel="0" collapsed="false">
      <c r="A121" s="32"/>
      <c r="B121" s="25"/>
      <c r="C121" s="25"/>
      <c r="D121" s="33"/>
      <c r="E121" s="25"/>
      <c r="F121" s="18" t="str">
        <f aca="false">IF(A121="","",MONTH(A121))</f>
        <v/>
      </c>
      <c r="G121" s="18" t="str">
        <f aca="false">IF(A121="","",YEAR(A121))</f>
        <v/>
      </c>
      <c r="H121" s="18" t="str">
        <f aca="false">IF(B121="","",IFERROR(INDEX(Config!$B$12:$B$31,MATCH(B121,Config!$A$12:$A$31,0)),"?"))</f>
        <v/>
      </c>
    </row>
    <row r="122" customFormat="false" ht="15" hidden="false" customHeight="false" outlineLevel="0" collapsed="false">
      <c r="A122" s="32"/>
      <c r="B122" s="25"/>
      <c r="C122" s="25"/>
      <c r="D122" s="33"/>
      <c r="E122" s="25"/>
      <c r="F122" s="18" t="str">
        <f aca="false">IF(A122="","",MONTH(A122))</f>
        <v/>
      </c>
      <c r="G122" s="18" t="str">
        <f aca="false">IF(A122="","",YEAR(A122))</f>
        <v/>
      </c>
      <c r="H122" s="18" t="str">
        <f aca="false">IF(B122="","",IFERROR(INDEX(Config!$B$12:$B$31,MATCH(B122,Config!$A$12:$A$31,0)),"?"))</f>
        <v/>
      </c>
    </row>
    <row r="123" customFormat="false" ht="15" hidden="false" customHeight="false" outlineLevel="0" collapsed="false">
      <c r="A123" s="32"/>
      <c r="B123" s="25"/>
      <c r="C123" s="25"/>
      <c r="D123" s="33"/>
      <c r="E123" s="25"/>
      <c r="F123" s="18" t="str">
        <f aca="false">IF(A123="","",MONTH(A123))</f>
        <v/>
      </c>
      <c r="G123" s="18" t="str">
        <f aca="false">IF(A123="","",YEAR(A123))</f>
        <v/>
      </c>
      <c r="H123" s="18" t="str">
        <f aca="false">IF(B123="","",IFERROR(INDEX(Config!$B$12:$B$31,MATCH(B123,Config!$A$12:$A$31,0)),"?"))</f>
        <v/>
      </c>
    </row>
    <row r="124" customFormat="false" ht="15" hidden="false" customHeight="false" outlineLevel="0" collapsed="false">
      <c r="A124" s="32"/>
      <c r="B124" s="25"/>
      <c r="C124" s="25"/>
      <c r="D124" s="33"/>
      <c r="E124" s="25"/>
      <c r="F124" s="18" t="str">
        <f aca="false">IF(A124="","",MONTH(A124))</f>
        <v/>
      </c>
      <c r="G124" s="18" t="str">
        <f aca="false">IF(A124="","",YEAR(A124))</f>
        <v/>
      </c>
      <c r="H124" s="18" t="str">
        <f aca="false">IF(B124="","",IFERROR(INDEX(Config!$B$12:$B$31,MATCH(B124,Config!$A$12:$A$31,0)),"?"))</f>
        <v/>
      </c>
    </row>
    <row r="125" customFormat="false" ht="15" hidden="false" customHeight="false" outlineLevel="0" collapsed="false">
      <c r="A125" s="32"/>
      <c r="B125" s="25"/>
      <c r="C125" s="25"/>
      <c r="D125" s="33"/>
      <c r="E125" s="25"/>
      <c r="F125" s="18" t="str">
        <f aca="false">IF(A125="","",MONTH(A125))</f>
        <v/>
      </c>
      <c r="G125" s="18" t="str">
        <f aca="false">IF(A125="","",YEAR(A125))</f>
        <v/>
      </c>
      <c r="H125" s="18" t="str">
        <f aca="false">IF(B125="","",IFERROR(INDEX(Config!$B$12:$B$31,MATCH(B125,Config!$A$12:$A$31,0)),"?"))</f>
        <v/>
      </c>
    </row>
    <row r="126" customFormat="false" ht="15" hidden="false" customHeight="false" outlineLevel="0" collapsed="false">
      <c r="A126" s="32"/>
      <c r="B126" s="25"/>
      <c r="C126" s="25"/>
      <c r="D126" s="33"/>
      <c r="E126" s="25"/>
      <c r="F126" s="18" t="str">
        <f aca="false">IF(A126="","",MONTH(A126))</f>
        <v/>
      </c>
      <c r="G126" s="18" t="str">
        <f aca="false">IF(A126="","",YEAR(A126))</f>
        <v/>
      </c>
      <c r="H126" s="18" t="str">
        <f aca="false">IF(B126="","",IFERROR(INDEX(Config!$B$12:$B$31,MATCH(B126,Config!$A$12:$A$31,0)),"?"))</f>
        <v/>
      </c>
    </row>
    <row r="127" customFormat="false" ht="15" hidden="false" customHeight="false" outlineLevel="0" collapsed="false">
      <c r="A127" s="32"/>
      <c r="B127" s="25"/>
      <c r="C127" s="25"/>
      <c r="D127" s="33"/>
      <c r="E127" s="25"/>
      <c r="F127" s="18" t="str">
        <f aca="false">IF(A127="","",MONTH(A127))</f>
        <v/>
      </c>
      <c r="G127" s="18" t="str">
        <f aca="false">IF(A127="","",YEAR(A127))</f>
        <v/>
      </c>
      <c r="H127" s="18" t="str">
        <f aca="false">IF(B127="","",IFERROR(INDEX(Config!$B$12:$B$31,MATCH(B127,Config!$A$12:$A$31,0)),"?"))</f>
        <v/>
      </c>
    </row>
    <row r="128" customFormat="false" ht="15" hidden="false" customHeight="false" outlineLevel="0" collapsed="false">
      <c r="A128" s="32"/>
      <c r="B128" s="25"/>
      <c r="C128" s="25"/>
      <c r="D128" s="33"/>
      <c r="E128" s="25"/>
      <c r="F128" s="18" t="str">
        <f aca="false">IF(A128="","",MONTH(A128))</f>
        <v/>
      </c>
      <c r="G128" s="18" t="str">
        <f aca="false">IF(A128="","",YEAR(A128))</f>
        <v/>
      </c>
      <c r="H128" s="18" t="str">
        <f aca="false">IF(B128="","",IFERROR(INDEX(Config!$B$12:$B$31,MATCH(B128,Config!$A$12:$A$31,0)),"?"))</f>
        <v/>
      </c>
    </row>
    <row r="129" customFormat="false" ht="15" hidden="false" customHeight="false" outlineLevel="0" collapsed="false">
      <c r="A129" s="32"/>
      <c r="B129" s="25"/>
      <c r="C129" s="25"/>
      <c r="D129" s="33"/>
      <c r="E129" s="25"/>
      <c r="F129" s="18" t="str">
        <f aca="false">IF(A129="","",MONTH(A129))</f>
        <v/>
      </c>
      <c r="G129" s="18" t="str">
        <f aca="false">IF(A129="","",YEAR(A129))</f>
        <v/>
      </c>
      <c r="H129" s="18" t="str">
        <f aca="false">IF(B129="","",IFERROR(INDEX(Config!$B$12:$B$31,MATCH(B129,Config!$A$12:$A$31,0)),"?"))</f>
        <v/>
      </c>
    </row>
    <row r="130" customFormat="false" ht="15" hidden="false" customHeight="false" outlineLevel="0" collapsed="false">
      <c r="A130" s="32"/>
      <c r="B130" s="25"/>
      <c r="C130" s="25"/>
      <c r="D130" s="33"/>
      <c r="E130" s="25"/>
      <c r="F130" s="18" t="str">
        <f aca="false">IF(A130="","",MONTH(A130))</f>
        <v/>
      </c>
      <c r="G130" s="18" t="str">
        <f aca="false">IF(A130="","",YEAR(A130))</f>
        <v/>
      </c>
      <c r="H130" s="18" t="str">
        <f aca="false">IF(B130="","",IFERROR(INDEX(Config!$B$12:$B$31,MATCH(B130,Config!$A$12:$A$31,0)),"?"))</f>
        <v/>
      </c>
    </row>
    <row r="131" customFormat="false" ht="15" hidden="false" customHeight="false" outlineLevel="0" collapsed="false">
      <c r="A131" s="32"/>
      <c r="B131" s="25"/>
      <c r="C131" s="25"/>
      <c r="D131" s="33"/>
      <c r="E131" s="25"/>
      <c r="F131" s="18" t="str">
        <f aca="false">IF(A131="","",MONTH(A131))</f>
        <v/>
      </c>
      <c r="G131" s="18" t="str">
        <f aca="false">IF(A131="","",YEAR(A131))</f>
        <v/>
      </c>
      <c r="H131" s="18" t="str">
        <f aca="false">IF(B131="","",IFERROR(INDEX(Config!$B$12:$B$31,MATCH(B131,Config!$A$12:$A$31,0)),"?"))</f>
        <v/>
      </c>
    </row>
    <row r="132" customFormat="false" ht="15" hidden="false" customHeight="false" outlineLevel="0" collapsed="false">
      <c r="A132" s="32"/>
      <c r="B132" s="25"/>
      <c r="C132" s="25"/>
      <c r="D132" s="33"/>
      <c r="E132" s="25"/>
      <c r="F132" s="18" t="str">
        <f aca="false">IF(A132="","",MONTH(A132))</f>
        <v/>
      </c>
      <c r="G132" s="18" t="str">
        <f aca="false">IF(A132="","",YEAR(A132))</f>
        <v/>
      </c>
      <c r="H132" s="18" t="str">
        <f aca="false">IF(B132="","",IFERROR(INDEX(Config!$B$12:$B$31,MATCH(B132,Config!$A$12:$A$31,0)),"?"))</f>
        <v/>
      </c>
    </row>
    <row r="133" customFormat="false" ht="15" hidden="false" customHeight="false" outlineLevel="0" collapsed="false">
      <c r="A133" s="32"/>
      <c r="B133" s="25"/>
      <c r="C133" s="25"/>
      <c r="D133" s="33"/>
      <c r="E133" s="25"/>
      <c r="F133" s="18" t="str">
        <f aca="false">IF(A133="","",MONTH(A133))</f>
        <v/>
      </c>
      <c r="G133" s="18" t="str">
        <f aca="false">IF(A133="","",YEAR(A133))</f>
        <v/>
      </c>
      <c r="H133" s="18" t="str">
        <f aca="false">IF(B133="","",IFERROR(INDEX(Config!$B$12:$B$31,MATCH(B133,Config!$A$12:$A$31,0)),"?"))</f>
        <v/>
      </c>
    </row>
    <row r="134" customFormat="false" ht="15" hidden="false" customHeight="false" outlineLevel="0" collapsed="false">
      <c r="A134" s="32"/>
      <c r="B134" s="25"/>
      <c r="C134" s="25"/>
      <c r="D134" s="33"/>
      <c r="E134" s="25"/>
      <c r="F134" s="18" t="str">
        <f aca="false">IF(A134="","",MONTH(A134))</f>
        <v/>
      </c>
      <c r="G134" s="18" t="str">
        <f aca="false">IF(A134="","",YEAR(A134))</f>
        <v/>
      </c>
      <c r="H134" s="18" t="str">
        <f aca="false">IF(B134="","",IFERROR(INDEX(Config!$B$12:$B$31,MATCH(B134,Config!$A$12:$A$31,0)),"?"))</f>
        <v/>
      </c>
    </row>
    <row r="135" customFormat="false" ht="15" hidden="false" customHeight="false" outlineLevel="0" collapsed="false">
      <c r="A135" s="32"/>
      <c r="B135" s="25"/>
      <c r="C135" s="25"/>
      <c r="D135" s="33"/>
      <c r="E135" s="25"/>
      <c r="F135" s="18" t="str">
        <f aca="false">IF(A135="","",MONTH(A135))</f>
        <v/>
      </c>
      <c r="G135" s="18" t="str">
        <f aca="false">IF(A135="","",YEAR(A135))</f>
        <v/>
      </c>
      <c r="H135" s="18" t="str">
        <f aca="false">IF(B135="","",IFERROR(INDEX(Config!$B$12:$B$31,MATCH(B135,Config!$A$12:$A$31,0)),"?"))</f>
        <v/>
      </c>
    </row>
    <row r="136" customFormat="false" ht="15" hidden="false" customHeight="false" outlineLevel="0" collapsed="false">
      <c r="A136" s="32"/>
      <c r="B136" s="25"/>
      <c r="C136" s="25"/>
      <c r="D136" s="33"/>
      <c r="E136" s="25"/>
      <c r="F136" s="18" t="str">
        <f aca="false">IF(A136="","",MONTH(A136))</f>
        <v/>
      </c>
      <c r="G136" s="18" t="str">
        <f aca="false">IF(A136="","",YEAR(A136))</f>
        <v/>
      </c>
      <c r="H136" s="18" t="str">
        <f aca="false">IF(B136="","",IFERROR(INDEX(Config!$B$12:$B$31,MATCH(B136,Config!$A$12:$A$31,0)),"?"))</f>
        <v/>
      </c>
    </row>
    <row r="137" customFormat="false" ht="15" hidden="false" customHeight="false" outlineLevel="0" collapsed="false">
      <c r="A137" s="32"/>
      <c r="B137" s="25"/>
      <c r="C137" s="25"/>
      <c r="D137" s="33"/>
      <c r="E137" s="25"/>
      <c r="F137" s="18" t="str">
        <f aca="false">IF(A137="","",MONTH(A137))</f>
        <v/>
      </c>
      <c r="G137" s="18" t="str">
        <f aca="false">IF(A137="","",YEAR(A137))</f>
        <v/>
      </c>
      <c r="H137" s="18" t="str">
        <f aca="false">IF(B137="","",IFERROR(INDEX(Config!$B$12:$B$31,MATCH(B137,Config!$A$12:$A$31,0)),"?"))</f>
        <v/>
      </c>
    </row>
    <row r="138" customFormat="false" ht="15" hidden="false" customHeight="false" outlineLevel="0" collapsed="false">
      <c r="A138" s="32"/>
      <c r="B138" s="25"/>
      <c r="C138" s="25"/>
      <c r="D138" s="33"/>
      <c r="E138" s="25"/>
      <c r="F138" s="18" t="str">
        <f aca="false">IF(A138="","",MONTH(A138))</f>
        <v/>
      </c>
      <c r="G138" s="18" t="str">
        <f aca="false">IF(A138="","",YEAR(A138))</f>
        <v/>
      </c>
      <c r="H138" s="18" t="str">
        <f aca="false">IF(B138="","",IFERROR(INDEX(Config!$B$12:$B$31,MATCH(B138,Config!$A$12:$A$31,0)),"?"))</f>
        <v/>
      </c>
    </row>
    <row r="139" customFormat="false" ht="15" hidden="false" customHeight="false" outlineLevel="0" collapsed="false">
      <c r="A139" s="32"/>
      <c r="B139" s="25"/>
      <c r="C139" s="25"/>
      <c r="D139" s="33"/>
      <c r="E139" s="25"/>
      <c r="F139" s="18" t="str">
        <f aca="false">IF(A139="","",MONTH(A139))</f>
        <v/>
      </c>
      <c r="G139" s="18" t="str">
        <f aca="false">IF(A139="","",YEAR(A139))</f>
        <v/>
      </c>
      <c r="H139" s="18" t="str">
        <f aca="false">IF(B139="","",IFERROR(INDEX(Config!$B$12:$B$31,MATCH(B139,Config!$A$12:$A$31,0)),"?"))</f>
        <v/>
      </c>
    </row>
    <row r="140" customFormat="false" ht="15" hidden="false" customHeight="false" outlineLevel="0" collapsed="false">
      <c r="A140" s="32"/>
      <c r="B140" s="25"/>
      <c r="C140" s="25"/>
      <c r="D140" s="33"/>
      <c r="E140" s="25"/>
      <c r="F140" s="18" t="str">
        <f aca="false">IF(A140="","",MONTH(A140))</f>
        <v/>
      </c>
      <c r="G140" s="18" t="str">
        <f aca="false">IF(A140="","",YEAR(A140))</f>
        <v/>
      </c>
      <c r="H140" s="18" t="str">
        <f aca="false">IF(B140="","",IFERROR(INDEX(Config!$B$12:$B$31,MATCH(B140,Config!$A$12:$A$31,0)),"?"))</f>
        <v/>
      </c>
    </row>
    <row r="141" customFormat="false" ht="15" hidden="false" customHeight="false" outlineLevel="0" collapsed="false">
      <c r="A141" s="32"/>
      <c r="B141" s="25"/>
      <c r="C141" s="25"/>
      <c r="D141" s="33"/>
      <c r="E141" s="25"/>
      <c r="F141" s="18" t="str">
        <f aca="false">IF(A141="","",MONTH(A141))</f>
        <v/>
      </c>
      <c r="G141" s="18" t="str">
        <f aca="false">IF(A141="","",YEAR(A141))</f>
        <v/>
      </c>
      <c r="H141" s="18" t="str">
        <f aca="false">IF(B141="","",IFERROR(INDEX(Config!$B$12:$B$31,MATCH(B141,Config!$A$12:$A$31,0)),"?"))</f>
        <v/>
      </c>
    </row>
    <row r="142" customFormat="false" ht="15" hidden="false" customHeight="false" outlineLevel="0" collapsed="false">
      <c r="A142" s="32"/>
      <c r="B142" s="25"/>
      <c r="C142" s="25"/>
      <c r="D142" s="33"/>
      <c r="E142" s="25"/>
      <c r="F142" s="18" t="str">
        <f aca="false">IF(A142="","",MONTH(A142))</f>
        <v/>
      </c>
      <c r="G142" s="18" t="str">
        <f aca="false">IF(A142="","",YEAR(A142))</f>
        <v/>
      </c>
      <c r="H142" s="18" t="str">
        <f aca="false">IF(B142="","",IFERROR(INDEX(Config!$B$12:$B$31,MATCH(B142,Config!$A$12:$A$31,0)),"?"))</f>
        <v/>
      </c>
    </row>
    <row r="143" customFormat="false" ht="15" hidden="false" customHeight="false" outlineLevel="0" collapsed="false">
      <c r="A143" s="32"/>
      <c r="B143" s="25"/>
      <c r="C143" s="25"/>
      <c r="D143" s="33"/>
      <c r="E143" s="25"/>
      <c r="F143" s="18" t="str">
        <f aca="false">IF(A143="","",MONTH(A143))</f>
        <v/>
      </c>
      <c r="G143" s="18" t="str">
        <f aca="false">IF(A143="","",YEAR(A143))</f>
        <v/>
      </c>
      <c r="H143" s="18" t="str">
        <f aca="false">IF(B143="","",IFERROR(INDEX(Config!$B$12:$B$31,MATCH(B143,Config!$A$12:$A$31,0)),"?"))</f>
        <v/>
      </c>
    </row>
    <row r="144" customFormat="false" ht="15" hidden="false" customHeight="false" outlineLevel="0" collapsed="false">
      <c r="A144" s="32"/>
      <c r="B144" s="25"/>
      <c r="C144" s="25"/>
      <c r="D144" s="33"/>
      <c r="E144" s="25"/>
      <c r="F144" s="18" t="str">
        <f aca="false">IF(A144="","",MONTH(A144))</f>
        <v/>
      </c>
      <c r="G144" s="18" t="str">
        <f aca="false">IF(A144="","",YEAR(A144))</f>
        <v/>
      </c>
      <c r="H144" s="18" t="str">
        <f aca="false">IF(B144="","",IFERROR(INDEX(Config!$B$12:$B$31,MATCH(B144,Config!$A$12:$A$31,0)),"?"))</f>
        <v/>
      </c>
    </row>
    <row r="145" customFormat="false" ht="15" hidden="false" customHeight="false" outlineLevel="0" collapsed="false">
      <c r="A145" s="32"/>
      <c r="B145" s="25"/>
      <c r="C145" s="25"/>
      <c r="D145" s="33"/>
      <c r="E145" s="25"/>
      <c r="F145" s="18" t="str">
        <f aca="false">IF(A145="","",MONTH(A145))</f>
        <v/>
      </c>
      <c r="G145" s="18" t="str">
        <f aca="false">IF(A145="","",YEAR(A145))</f>
        <v/>
      </c>
      <c r="H145" s="18" t="str">
        <f aca="false">IF(B145="","",IFERROR(INDEX(Config!$B$12:$B$31,MATCH(B145,Config!$A$12:$A$31,0)),"?"))</f>
        <v/>
      </c>
    </row>
    <row r="146" customFormat="false" ht="15" hidden="false" customHeight="false" outlineLevel="0" collapsed="false">
      <c r="A146" s="32"/>
      <c r="B146" s="25"/>
      <c r="C146" s="25"/>
      <c r="D146" s="33"/>
      <c r="E146" s="25"/>
      <c r="F146" s="18" t="str">
        <f aca="false">IF(A146="","",MONTH(A146))</f>
        <v/>
      </c>
      <c r="G146" s="18" t="str">
        <f aca="false">IF(A146="","",YEAR(A146))</f>
        <v/>
      </c>
      <c r="H146" s="18" t="str">
        <f aca="false">IF(B146="","",IFERROR(INDEX(Config!$B$12:$B$31,MATCH(B146,Config!$A$12:$A$31,0)),"?"))</f>
        <v/>
      </c>
    </row>
    <row r="147" customFormat="false" ht="15" hidden="false" customHeight="false" outlineLevel="0" collapsed="false">
      <c r="A147" s="32"/>
      <c r="B147" s="25"/>
      <c r="C147" s="25"/>
      <c r="D147" s="33"/>
      <c r="E147" s="25"/>
      <c r="F147" s="18" t="str">
        <f aca="false">IF(A147="","",MONTH(A147))</f>
        <v/>
      </c>
      <c r="G147" s="18" t="str">
        <f aca="false">IF(A147="","",YEAR(A147))</f>
        <v/>
      </c>
      <c r="H147" s="18" t="str">
        <f aca="false">IF(B147="","",IFERROR(INDEX(Config!$B$12:$B$31,MATCH(B147,Config!$A$12:$A$31,0)),"?"))</f>
        <v/>
      </c>
    </row>
    <row r="148" customFormat="false" ht="15" hidden="false" customHeight="false" outlineLevel="0" collapsed="false">
      <c r="A148" s="32"/>
      <c r="B148" s="25"/>
      <c r="C148" s="25"/>
      <c r="D148" s="33"/>
      <c r="E148" s="25"/>
      <c r="F148" s="18" t="str">
        <f aca="false">IF(A148="","",MONTH(A148))</f>
        <v/>
      </c>
      <c r="G148" s="18" t="str">
        <f aca="false">IF(A148="","",YEAR(A148))</f>
        <v/>
      </c>
      <c r="H148" s="18" t="str">
        <f aca="false">IF(B148="","",IFERROR(INDEX(Config!$B$12:$B$31,MATCH(B148,Config!$A$12:$A$31,0)),"?"))</f>
        <v/>
      </c>
    </row>
    <row r="149" customFormat="false" ht="15" hidden="false" customHeight="false" outlineLevel="0" collapsed="false">
      <c r="A149" s="32"/>
      <c r="B149" s="25"/>
      <c r="C149" s="25"/>
      <c r="D149" s="33"/>
      <c r="E149" s="25"/>
      <c r="F149" s="18" t="str">
        <f aca="false">IF(A149="","",MONTH(A149))</f>
        <v/>
      </c>
      <c r="G149" s="18" t="str">
        <f aca="false">IF(A149="","",YEAR(A149))</f>
        <v/>
      </c>
      <c r="H149" s="18" t="str">
        <f aca="false">IF(B149="","",IFERROR(INDEX(Config!$B$12:$B$31,MATCH(B149,Config!$A$12:$A$31,0)),"?"))</f>
        <v/>
      </c>
    </row>
    <row r="150" customFormat="false" ht="15" hidden="false" customHeight="false" outlineLevel="0" collapsed="false">
      <c r="A150" s="32"/>
      <c r="B150" s="25"/>
      <c r="C150" s="25"/>
      <c r="D150" s="33"/>
      <c r="E150" s="25"/>
      <c r="F150" s="18" t="str">
        <f aca="false">IF(A150="","",MONTH(A150))</f>
        <v/>
      </c>
      <c r="G150" s="18" t="str">
        <f aca="false">IF(A150="","",YEAR(A150))</f>
        <v/>
      </c>
      <c r="H150" s="18" t="str">
        <f aca="false">IF(B150="","",IFERROR(INDEX(Config!$B$12:$B$31,MATCH(B150,Config!$A$12:$A$31,0)),"?"))</f>
        <v/>
      </c>
    </row>
    <row r="151" customFormat="false" ht="15" hidden="false" customHeight="false" outlineLevel="0" collapsed="false">
      <c r="A151" s="32"/>
      <c r="B151" s="25"/>
      <c r="C151" s="25"/>
      <c r="D151" s="33"/>
      <c r="E151" s="25"/>
      <c r="F151" s="18" t="str">
        <f aca="false">IF(A151="","",MONTH(A151))</f>
        <v/>
      </c>
      <c r="G151" s="18" t="str">
        <f aca="false">IF(A151="","",YEAR(A151))</f>
        <v/>
      </c>
      <c r="H151" s="18" t="str">
        <f aca="false">IF(B151="","",IFERROR(INDEX(Config!$B$12:$B$31,MATCH(B151,Config!$A$12:$A$31,0)),"?"))</f>
        <v/>
      </c>
    </row>
    <row r="152" customFormat="false" ht="15" hidden="false" customHeight="false" outlineLevel="0" collapsed="false">
      <c r="A152" s="32"/>
      <c r="B152" s="25"/>
      <c r="C152" s="25"/>
      <c r="D152" s="33"/>
      <c r="E152" s="25"/>
      <c r="F152" s="18" t="str">
        <f aca="false">IF(A152="","",MONTH(A152))</f>
        <v/>
      </c>
      <c r="G152" s="18" t="str">
        <f aca="false">IF(A152="","",YEAR(A152))</f>
        <v/>
      </c>
      <c r="H152" s="18" t="str">
        <f aca="false">IF(B152="","",IFERROR(INDEX(Config!$B$12:$B$31,MATCH(B152,Config!$A$12:$A$31,0)),"?"))</f>
        <v/>
      </c>
    </row>
    <row r="153" customFormat="false" ht="15" hidden="false" customHeight="false" outlineLevel="0" collapsed="false">
      <c r="A153" s="32"/>
      <c r="B153" s="25"/>
      <c r="C153" s="25"/>
      <c r="D153" s="33"/>
      <c r="E153" s="25"/>
      <c r="F153" s="18" t="str">
        <f aca="false">IF(A153="","",MONTH(A153))</f>
        <v/>
      </c>
      <c r="G153" s="18" t="str">
        <f aca="false">IF(A153="","",YEAR(A153))</f>
        <v/>
      </c>
      <c r="H153" s="18" t="str">
        <f aca="false">IF(B153="","",IFERROR(INDEX(Config!$B$12:$B$31,MATCH(B153,Config!$A$12:$A$31,0)),"?"))</f>
        <v/>
      </c>
    </row>
    <row r="154" customFormat="false" ht="15" hidden="false" customHeight="false" outlineLevel="0" collapsed="false">
      <c r="A154" s="32"/>
      <c r="B154" s="25"/>
      <c r="C154" s="25"/>
      <c r="D154" s="33"/>
      <c r="E154" s="25"/>
      <c r="F154" s="18" t="str">
        <f aca="false">IF(A154="","",MONTH(A154))</f>
        <v/>
      </c>
      <c r="G154" s="18" t="str">
        <f aca="false">IF(A154="","",YEAR(A154))</f>
        <v/>
      </c>
      <c r="H154" s="18" t="str">
        <f aca="false">IF(B154="","",IFERROR(INDEX(Config!$B$12:$B$31,MATCH(B154,Config!$A$12:$A$31,0)),"?"))</f>
        <v/>
      </c>
    </row>
    <row r="155" customFormat="false" ht="15" hidden="false" customHeight="false" outlineLevel="0" collapsed="false">
      <c r="A155" s="32"/>
      <c r="B155" s="25"/>
      <c r="C155" s="25"/>
      <c r="D155" s="33"/>
      <c r="E155" s="25"/>
      <c r="F155" s="18" t="str">
        <f aca="false">IF(A155="","",MONTH(A155))</f>
        <v/>
      </c>
      <c r="G155" s="18" t="str">
        <f aca="false">IF(A155="","",YEAR(A155))</f>
        <v/>
      </c>
      <c r="H155" s="18" t="str">
        <f aca="false">IF(B155="","",IFERROR(INDEX(Config!$B$12:$B$31,MATCH(B155,Config!$A$12:$A$31,0)),"?"))</f>
        <v/>
      </c>
    </row>
    <row r="156" customFormat="false" ht="15" hidden="false" customHeight="false" outlineLevel="0" collapsed="false">
      <c r="A156" s="32"/>
      <c r="B156" s="25"/>
      <c r="C156" s="25"/>
      <c r="D156" s="33"/>
      <c r="E156" s="25"/>
      <c r="F156" s="18" t="str">
        <f aca="false">IF(A156="","",MONTH(A156))</f>
        <v/>
      </c>
      <c r="G156" s="18" t="str">
        <f aca="false">IF(A156="","",YEAR(A156))</f>
        <v/>
      </c>
      <c r="H156" s="18" t="str">
        <f aca="false">IF(B156="","",IFERROR(INDEX(Config!$B$12:$B$31,MATCH(B156,Config!$A$12:$A$31,0)),"?"))</f>
        <v/>
      </c>
    </row>
    <row r="157" customFormat="false" ht="15" hidden="false" customHeight="false" outlineLevel="0" collapsed="false">
      <c r="A157" s="32"/>
      <c r="B157" s="25"/>
      <c r="C157" s="25"/>
      <c r="D157" s="33"/>
      <c r="E157" s="25"/>
      <c r="F157" s="18" t="str">
        <f aca="false">IF(A157="","",MONTH(A157))</f>
        <v/>
      </c>
      <c r="G157" s="18" t="str">
        <f aca="false">IF(A157="","",YEAR(A157))</f>
        <v/>
      </c>
      <c r="H157" s="18" t="str">
        <f aca="false">IF(B157="","",IFERROR(INDEX(Config!$B$12:$B$31,MATCH(B157,Config!$A$12:$A$31,0)),"?"))</f>
        <v/>
      </c>
    </row>
    <row r="158" customFormat="false" ht="15" hidden="false" customHeight="false" outlineLevel="0" collapsed="false">
      <c r="A158" s="32"/>
      <c r="B158" s="25"/>
      <c r="C158" s="25"/>
      <c r="D158" s="33"/>
      <c r="E158" s="25"/>
      <c r="F158" s="18" t="str">
        <f aca="false">IF(A158="","",MONTH(A158))</f>
        <v/>
      </c>
      <c r="G158" s="18" t="str">
        <f aca="false">IF(A158="","",YEAR(A158))</f>
        <v/>
      </c>
      <c r="H158" s="18" t="str">
        <f aca="false">IF(B158="","",IFERROR(INDEX(Config!$B$12:$B$31,MATCH(B158,Config!$A$12:$A$31,0)),"?"))</f>
        <v/>
      </c>
    </row>
    <row r="159" customFormat="false" ht="15" hidden="false" customHeight="false" outlineLevel="0" collapsed="false">
      <c r="A159" s="32"/>
      <c r="B159" s="25"/>
      <c r="C159" s="25"/>
      <c r="D159" s="33"/>
      <c r="E159" s="25"/>
      <c r="F159" s="18" t="str">
        <f aca="false">IF(A159="","",MONTH(A159))</f>
        <v/>
      </c>
      <c r="G159" s="18" t="str">
        <f aca="false">IF(A159="","",YEAR(A159))</f>
        <v/>
      </c>
      <c r="H159" s="18" t="str">
        <f aca="false">IF(B159="","",IFERROR(INDEX(Config!$B$12:$B$31,MATCH(B159,Config!$A$12:$A$31,0)),"?"))</f>
        <v/>
      </c>
    </row>
    <row r="160" customFormat="false" ht="15" hidden="false" customHeight="false" outlineLevel="0" collapsed="false">
      <c r="A160" s="32"/>
      <c r="B160" s="25"/>
      <c r="C160" s="25"/>
      <c r="D160" s="33"/>
      <c r="E160" s="25"/>
      <c r="F160" s="18" t="str">
        <f aca="false">IF(A160="","",MONTH(A160))</f>
        <v/>
      </c>
      <c r="G160" s="18" t="str">
        <f aca="false">IF(A160="","",YEAR(A160))</f>
        <v/>
      </c>
      <c r="H160" s="18" t="str">
        <f aca="false">IF(B160="","",IFERROR(INDEX(Config!$B$12:$B$31,MATCH(B160,Config!$A$12:$A$31,0)),"?"))</f>
        <v/>
      </c>
    </row>
    <row r="161" customFormat="false" ht="15" hidden="false" customHeight="false" outlineLevel="0" collapsed="false">
      <c r="A161" s="32"/>
      <c r="B161" s="25"/>
      <c r="C161" s="25"/>
      <c r="D161" s="33"/>
      <c r="E161" s="25"/>
      <c r="F161" s="18" t="str">
        <f aca="false">IF(A161="","",MONTH(A161))</f>
        <v/>
      </c>
      <c r="G161" s="18" t="str">
        <f aca="false">IF(A161="","",YEAR(A161))</f>
        <v/>
      </c>
      <c r="H161" s="18" t="str">
        <f aca="false">IF(B161="","",IFERROR(INDEX(Config!$B$12:$B$31,MATCH(B161,Config!$A$12:$A$31,0)),"?"))</f>
        <v/>
      </c>
    </row>
    <row r="162" customFormat="false" ht="15" hidden="false" customHeight="false" outlineLevel="0" collapsed="false">
      <c r="A162" s="32"/>
      <c r="B162" s="25"/>
      <c r="C162" s="25"/>
      <c r="D162" s="33"/>
      <c r="E162" s="25"/>
      <c r="F162" s="18" t="str">
        <f aca="false">IF(A162="","",MONTH(A162))</f>
        <v/>
      </c>
      <c r="G162" s="18" t="str">
        <f aca="false">IF(A162="","",YEAR(A162))</f>
        <v/>
      </c>
      <c r="H162" s="18" t="str">
        <f aca="false">IF(B162="","",IFERROR(INDEX(Config!$B$12:$B$31,MATCH(B162,Config!$A$12:$A$31,0)),"?"))</f>
        <v/>
      </c>
    </row>
    <row r="163" customFormat="false" ht="15" hidden="false" customHeight="false" outlineLevel="0" collapsed="false">
      <c r="A163" s="32"/>
      <c r="B163" s="25"/>
      <c r="C163" s="25"/>
      <c r="D163" s="33"/>
      <c r="E163" s="25"/>
      <c r="F163" s="18" t="str">
        <f aca="false">IF(A163="","",MONTH(A163))</f>
        <v/>
      </c>
      <c r="G163" s="18" t="str">
        <f aca="false">IF(A163="","",YEAR(A163))</f>
        <v/>
      </c>
      <c r="H163" s="18" t="str">
        <f aca="false">IF(B163="","",IFERROR(INDEX(Config!$B$12:$B$31,MATCH(B163,Config!$A$12:$A$31,0)),"?"))</f>
        <v/>
      </c>
    </row>
    <row r="164" customFormat="false" ht="15" hidden="false" customHeight="false" outlineLevel="0" collapsed="false">
      <c r="A164" s="32"/>
      <c r="B164" s="25"/>
      <c r="C164" s="25"/>
      <c r="D164" s="33"/>
      <c r="E164" s="25"/>
      <c r="F164" s="18" t="str">
        <f aca="false">IF(A164="","",MONTH(A164))</f>
        <v/>
      </c>
      <c r="G164" s="18" t="str">
        <f aca="false">IF(A164="","",YEAR(A164))</f>
        <v/>
      </c>
      <c r="H164" s="18" t="str">
        <f aca="false">IF(B164="","",IFERROR(INDEX(Config!$B$12:$B$31,MATCH(B164,Config!$A$12:$A$31,0)),"?"))</f>
        <v/>
      </c>
    </row>
    <row r="165" customFormat="false" ht="15" hidden="false" customHeight="false" outlineLevel="0" collapsed="false">
      <c r="A165" s="32"/>
      <c r="B165" s="25"/>
      <c r="C165" s="25"/>
      <c r="D165" s="33"/>
      <c r="E165" s="25"/>
      <c r="F165" s="18" t="str">
        <f aca="false">IF(A165="","",MONTH(A165))</f>
        <v/>
      </c>
      <c r="G165" s="18" t="str">
        <f aca="false">IF(A165="","",YEAR(A165))</f>
        <v/>
      </c>
      <c r="H165" s="18" t="str">
        <f aca="false">IF(B165="","",IFERROR(INDEX(Config!$B$12:$B$31,MATCH(B165,Config!$A$12:$A$31,0)),"?"))</f>
        <v/>
      </c>
    </row>
    <row r="166" customFormat="false" ht="15" hidden="false" customHeight="false" outlineLevel="0" collapsed="false">
      <c r="A166" s="32"/>
      <c r="B166" s="25"/>
      <c r="C166" s="25"/>
      <c r="D166" s="33"/>
      <c r="E166" s="25"/>
      <c r="F166" s="18" t="str">
        <f aca="false">IF(A166="","",MONTH(A166))</f>
        <v/>
      </c>
      <c r="G166" s="18" t="str">
        <f aca="false">IF(A166="","",YEAR(A166))</f>
        <v/>
      </c>
      <c r="H166" s="18" t="str">
        <f aca="false">IF(B166="","",IFERROR(INDEX(Config!$B$12:$B$31,MATCH(B166,Config!$A$12:$A$31,0)),"?"))</f>
        <v/>
      </c>
    </row>
    <row r="167" customFormat="false" ht="15" hidden="false" customHeight="false" outlineLevel="0" collapsed="false">
      <c r="A167" s="32"/>
      <c r="B167" s="25"/>
      <c r="C167" s="25"/>
      <c r="D167" s="33"/>
      <c r="E167" s="25"/>
      <c r="F167" s="18" t="str">
        <f aca="false">IF(A167="","",MONTH(A167))</f>
        <v/>
      </c>
      <c r="G167" s="18" t="str">
        <f aca="false">IF(A167="","",YEAR(A167))</f>
        <v/>
      </c>
      <c r="H167" s="18" t="str">
        <f aca="false">IF(B167="","",IFERROR(INDEX(Config!$B$12:$B$31,MATCH(B167,Config!$A$12:$A$31,0)),"?"))</f>
        <v/>
      </c>
    </row>
    <row r="168" customFormat="false" ht="15" hidden="false" customHeight="false" outlineLevel="0" collapsed="false">
      <c r="A168" s="32"/>
      <c r="B168" s="25"/>
      <c r="C168" s="25"/>
      <c r="D168" s="33"/>
      <c r="E168" s="25"/>
      <c r="F168" s="18" t="str">
        <f aca="false">IF(A168="","",MONTH(A168))</f>
        <v/>
      </c>
      <c r="G168" s="18" t="str">
        <f aca="false">IF(A168="","",YEAR(A168))</f>
        <v/>
      </c>
      <c r="H168" s="18" t="str">
        <f aca="false">IF(B168="","",IFERROR(INDEX(Config!$B$12:$B$31,MATCH(B168,Config!$A$12:$A$31,0)),"?"))</f>
        <v/>
      </c>
    </row>
    <row r="169" customFormat="false" ht="15" hidden="false" customHeight="false" outlineLevel="0" collapsed="false">
      <c r="A169" s="32"/>
      <c r="B169" s="25"/>
      <c r="C169" s="25"/>
      <c r="D169" s="33"/>
      <c r="E169" s="25"/>
      <c r="F169" s="18" t="str">
        <f aca="false">IF(A169="","",MONTH(A169))</f>
        <v/>
      </c>
      <c r="G169" s="18" t="str">
        <f aca="false">IF(A169="","",YEAR(A169))</f>
        <v/>
      </c>
      <c r="H169" s="18" t="str">
        <f aca="false">IF(B169="","",IFERROR(INDEX(Config!$B$12:$B$31,MATCH(B169,Config!$A$12:$A$31,0)),"?"))</f>
        <v/>
      </c>
    </row>
    <row r="170" customFormat="false" ht="15" hidden="false" customHeight="false" outlineLevel="0" collapsed="false">
      <c r="A170" s="32"/>
      <c r="B170" s="25"/>
      <c r="C170" s="25"/>
      <c r="D170" s="33"/>
      <c r="E170" s="25"/>
      <c r="F170" s="18" t="str">
        <f aca="false">IF(A170="","",MONTH(A170))</f>
        <v/>
      </c>
      <c r="G170" s="18" t="str">
        <f aca="false">IF(A170="","",YEAR(A170))</f>
        <v/>
      </c>
      <c r="H170" s="18" t="str">
        <f aca="false">IF(B170="","",IFERROR(INDEX(Config!$B$12:$B$31,MATCH(B170,Config!$A$12:$A$31,0)),"?"))</f>
        <v/>
      </c>
    </row>
    <row r="171" customFormat="false" ht="15" hidden="false" customHeight="false" outlineLevel="0" collapsed="false">
      <c r="A171" s="32"/>
      <c r="B171" s="25"/>
      <c r="C171" s="25"/>
      <c r="D171" s="33"/>
      <c r="E171" s="25"/>
      <c r="F171" s="18" t="str">
        <f aca="false">IF(A171="","",MONTH(A171))</f>
        <v/>
      </c>
      <c r="G171" s="18" t="str">
        <f aca="false">IF(A171="","",YEAR(A171))</f>
        <v/>
      </c>
      <c r="H171" s="18" t="str">
        <f aca="false">IF(B171="","",IFERROR(INDEX(Config!$B$12:$B$31,MATCH(B171,Config!$A$12:$A$31,0)),"?"))</f>
        <v/>
      </c>
    </row>
    <row r="172" customFormat="false" ht="15" hidden="false" customHeight="false" outlineLevel="0" collapsed="false">
      <c r="A172" s="32"/>
      <c r="B172" s="25"/>
      <c r="C172" s="25"/>
      <c r="D172" s="33"/>
      <c r="E172" s="25"/>
      <c r="F172" s="18" t="str">
        <f aca="false">IF(A172="","",MONTH(A172))</f>
        <v/>
      </c>
      <c r="G172" s="18" t="str">
        <f aca="false">IF(A172="","",YEAR(A172))</f>
        <v/>
      </c>
      <c r="H172" s="18" t="str">
        <f aca="false">IF(B172="","",IFERROR(INDEX(Config!$B$12:$B$31,MATCH(B172,Config!$A$12:$A$31,0)),"?"))</f>
        <v/>
      </c>
    </row>
    <row r="173" customFormat="false" ht="15" hidden="false" customHeight="false" outlineLevel="0" collapsed="false">
      <c r="A173" s="32"/>
      <c r="B173" s="25"/>
      <c r="C173" s="25"/>
      <c r="D173" s="33"/>
      <c r="E173" s="25"/>
      <c r="F173" s="18" t="str">
        <f aca="false">IF(A173="","",MONTH(A173))</f>
        <v/>
      </c>
      <c r="G173" s="18" t="str">
        <f aca="false">IF(A173="","",YEAR(A173))</f>
        <v/>
      </c>
      <c r="H173" s="18" t="str">
        <f aca="false">IF(B173="","",IFERROR(INDEX(Config!$B$12:$B$31,MATCH(B173,Config!$A$12:$A$31,0)),"?"))</f>
        <v/>
      </c>
    </row>
    <row r="174" customFormat="false" ht="15" hidden="false" customHeight="false" outlineLevel="0" collapsed="false">
      <c r="A174" s="32"/>
      <c r="B174" s="25"/>
      <c r="C174" s="25"/>
      <c r="D174" s="33"/>
      <c r="E174" s="25"/>
      <c r="F174" s="18" t="str">
        <f aca="false">IF(A174="","",MONTH(A174))</f>
        <v/>
      </c>
      <c r="G174" s="18" t="str">
        <f aca="false">IF(A174="","",YEAR(A174))</f>
        <v/>
      </c>
      <c r="H174" s="18" t="str">
        <f aca="false">IF(B174="","",IFERROR(INDEX(Config!$B$12:$B$31,MATCH(B174,Config!$A$12:$A$31,0)),"?"))</f>
        <v/>
      </c>
    </row>
    <row r="175" customFormat="false" ht="15" hidden="false" customHeight="false" outlineLevel="0" collapsed="false">
      <c r="A175" s="32"/>
      <c r="B175" s="25"/>
      <c r="C175" s="25"/>
      <c r="D175" s="33"/>
      <c r="E175" s="25"/>
      <c r="F175" s="18" t="str">
        <f aca="false">IF(A175="","",MONTH(A175))</f>
        <v/>
      </c>
      <c r="G175" s="18" t="str">
        <f aca="false">IF(A175="","",YEAR(A175))</f>
        <v/>
      </c>
      <c r="H175" s="18" t="str">
        <f aca="false">IF(B175="","",IFERROR(INDEX(Config!$B$12:$B$31,MATCH(B175,Config!$A$12:$A$31,0)),"?"))</f>
        <v/>
      </c>
    </row>
    <row r="176" customFormat="false" ht="15" hidden="false" customHeight="false" outlineLevel="0" collapsed="false">
      <c r="A176" s="32"/>
      <c r="B176" s="25"/>
      <c r="C176" s="25"/>
      <c r="D176" s="33"/>
      <c r="E176" s="25"/>
      <c r="F176" s="18" t="str">
        <f aca="false">IF(A176="","",MONTH(A176))</f>
        <v/>
      </c>
      <c r="G176" s="18" t="str">
        <f aca="false">IF(A176="","",YEAR(A176))</f>
        <v/>
      </c>
      <c r="H176" s="18" t="str">
        <f aca="false">IF(B176="","",IFERROR(INDEX(Config!$B$12:$B$31,MATCH(B176,Config!$A$12:$A$31,0)),"?"))</f>
        <v/>
      </c>
    </row>
    <row r="177" customFormat="false" ht="15" hidden="false" customHeight="false" outlineLevel="0" collapsed="false">
      <c r="A177" s="32"/>
      <c r="B177" s="25"/>
      <c r="C177" s="25"/>
      <c r="D177" s="33"/>
      <c r="E177" s="25"/>
      <c r="F177" s="18" t="str">
        <f aca="false">IF(A177="","",MONTH(A177))</f>
        <v/>
      </c>
      <c r="G177" s="18" t="str">
        <f aca="false">IF(A177="","",YEAR(A177))</f>
        <v/>
      </c>
      <c r="H177" s="18" t="str">
        <f aca="false">IF(B177="","",IFERROR(INDEX(Config!$B$12:$B$31,MATCH(B177,Config!$A$12:$A$31,0)),"?"))</f>
        <v/>
      </c>
    </row>
    <row r="178" customFormat="false" ht="15" hidden="false" customHeight="false" outlineLevel="0" collapsed="false">
      <c r="A178" s="32"/>
      <c r="B178" s="25"/>
      <c r="C178" s="25"/>
      <c r="D178" s="33"/>
      <c r="E178" s="25"/>
      <c r="F178" s="18" t="str">
        <f aca="false">IF(A178="","",MONTH(A178))</f>
        <v/>
      </c>
      <c r="G178" s="18" t="str">
        <f aca="false">IF(A178="","",YEAR(A178))</f>
        <v/>
      </c>
      <c r="H178" s="18" t="str">
        <f aca="false">IF(B178="","",IFERROR(INDEX(Config!$B$12:$B$31,MATCH(B178,Config!$A$12:$A$31,0)),"?"))</f>
        <v/>
      </c>
    </row>
    <row r="179" customFormat="false" ht="15" hidden="false" customHeight="false" outlineLevel="0" collapsed="false">
      <c r="A179" s="32"/>
      <c r="B179" s="25"/>
      <c r="C179" s="25"/>
      <c r="D179" s="33"/>
      <c r="E179" s="25"/>
      <c r="F179" s="18" t="str">
        <f aca="false">IF(A179="","",MONTH(A179))</f>
        <v/>
      </c>
      <c r="G179" s="18" t="str">
        <f aca="false">IF(A179="","",YEAR(A179))</f>
        <v/>
      </c>
      <c r="H179" s="18" t="str">
        <f aca="false">IF(B179="","",IFERROR(INDEX(Config!$B$12:$B$31,MATCH(B179,Config!$A$12:$A$31,0)),"?"))</f>
        <v/>
      </c>
    </row>
    <row r="180" customFormat="false" ht="15" hidden="false" customHeight="false" outlineLevel="0" collapsed="false">
      <c r="A180" s="32"/>
      <c r="B180" s="25"/>
      <c r="C180" s="25"/>
      <c r="D180" s="33"/>
      <c r="E180" s="25"/>
      <c r="F180" s="18" t="str">
        <f aca="false">IF(A180="","",MONTH(A180))</f>
        <v/>
      </c>
      <c r="G180" s="18" t="str">
        <f aca="false">IF(A180="","",YEAR(A180))</f>
        <v/>
      </c>
      <c r="H180" s="18" t="str">
        <f aca="false">IF(B180="","",IFERROR(INDEX(Config!$B$12:$B$31,MATCH(B180,Config!$A$12:$A$31,0)),"?"))</f>
        <v/>
      </c>
    </row>
    <row r="181" customFormat="false" ht="15" hidden="false" customHeight="false" outlineLevel="0" collapsed="false">
      <c r="A181" s="32"/>
      <c r="B181" s="25"/>
      <c r="C181" s="25"/>
      <c r="D181" s="33"/>
      <c r="E181" s="25"/>
      <c r="F181" s="18" t="str">
        <f aca="false">IF(A181="","",MONTH(A181))</f>
        <v/>
      </c>
      <c r="G181" s="18" t="str">
        <f aca="false">IF(A181="","",YEAR(A181))</f>
        <v/>
      </c>
      <c r="H181" s="18" t="str">
        <f aca="false">IF(B181="","",IFERROR(INDEX(Config!$B$12:$B$31,MATCH(B181,Config!$A$12:$A$31,0)),"?"))</f>
        <v/>
      </c>
    </row>
    <row r="182" customFormat="false" ht="15" hidden="false" customHeight="false" outlineLevel="0" collapsed="false">
      <c r="A182" s="32"/>
      <c r="B182" s="25"/>
      <c r="C182" s="25"/>
      <c r="D182" s="33"/>
      <c r="E182" s="25"/>
      <c r="F182" s="18" t="str">
        <f aca="false">IF(A182="","",MONTH(A182))</f>
        <v/>
      </c>
      <c r="G182" s="18" t="str">
        <f aca="false">IF(A182="","",YEAR(A182))</f>
        <v/>
      </c>
      <c r="H182" s="18" t="str">
        <f aca="false">IF(B182="","",IFERROR(INDEX(Config!$B$12:$B$31,MATCH(B182,Config!$A$12:$A$31,0)),"?"))</f>
        <v/>
      </c>
    </row>
    <row r="183" customFormat="false" ht="15" hidden="false" customHeight="false" outlineLevel="0" collapsed="false">
      <c r="A183" s="32"/>
      <c r="B183" s="25"/>
      <c r="C183" s="25"/>
      <c r="D183" s="33"/>
      <c r="E183" s="25"/>
      <c r="F183" s="18" t="str">
        <f aca="false">IF(A183="","",MONTH(A183))</f>
        <v/>
      </c>
      <c r="G183" s="18" t="str">
        <f aca="false">IF(A183="","",YEAR(A183))</f>
        <v/>
      </c>
      <c r="H183" s="18" t="str">
        <f aca="false">IF(B183="","",IFERROR(INDEX(Config!$B$12:$B$31,MATCH(B183,Config!$A$12:$A$31,0)),"?"))</f>
        <v/>
      </c>
    </row>
    <row r="184" customFormat="false" ht="15" hidden="false" customHeight="false" outlineLevel="0" collapsed="false">
      <c r="A184" s="32"/>
      <c r="B184" s="25"/>
      <c r="C184" s="25"/>
      <c r="D184" s="33"/>
      <c r="E184" s="25"/>
      <c r="F184" s="18" t="str">
        <f aca="false">IF(A184="","",MONTH(A184))</f>
        <v/>
      </c>
      <c r="G184" s="18" t="str">
        <f aca="false">IF(A184="","",YEAR(A184))</f>
        <v/>
      </c>
      <c r="H184" s="18" t="str">
        <f aca="false">IF(B184="","",IFERROR(INDEX(Config!$B$12:$B$31,MATCH(B184,Config!$A$12:$A$31,0)),"?"))</f>
        <v/>
      </c>
    </row>
    <row r="185" customFormat="false" ht="15" hidden="false" customHeight="false" outlineLevel="0" collapsed="false">
      <c r="A185" s="32"/>
      <c r="B185" s="25"/>
      <c r="C185" s="25"/>
      <c r="D185" s="33"/>
      <c r="E185" s="25"/>
      <c r="F185" s="18" t="str">
        <f aca="false">IF(A185="","",MONTH(A185))</f>
        <v/>
      </c>
      <c r="G185" s="18" t="str">
        <f aca="false">IF(A185="","",YEAR(A185))</f>
        <v/>
      </c>
      <c r="H185" s="18" t="str">
        <f aca="false">IF(B185="","",IFERROR(INDEX(Config!$B$12:$B$31,MATCH(B185,Config!$A$12:$A$31,0)),"?"))</f>
        <v/>
      </c>
    </row>
    <row r="186" customFormat="false" ht="15" hidden="false" customHeight="false" outlineLevel="0" collapsed="false">
      <c r="A186" s="32"/>
      <c r="B186" s="25"/>
      <c r="C186" s="25"/>
      <c r="D186" s="33"/>
      <c r="E186" s="25"/>
      <c r="F186" s="18" t="str">
        <f aca="false">IF(A186="","",MONTH(A186))</f>
        <v/>
      </c>
      <c r="G186" s="18" t="str">
        <f aca="false">IF(A186="","",YEAR(A186))</f>
        <v/>
      </c>
      <c r="H186" s="18" t="str">
        <f aca="false">IF(B186="","",IFERROR(INDEX(Config!$B$12:$B$31,MATCH(B186,Config!$A$12:$A$31,0)),"?"))</f>
        <v/>
      </c>
    </row>
    <row r="187" customFormat="false" ht="15" hidden="false" customHeight="false" outlineLevel="0" collapsed="false">
      <c r="A187" s="32"/>
      <c r="B187" s="25"/>
      <c r="C187" s="25"/>
      <c r="D187" s="33"/>
      <c r="E187" s="25"/>
      <c r="F187" s="18" t="str">
        <f aca="false">IF(A187="","",MONTH(A187))</f>
        <v/>
      </c>
      <c r="G187" s="18" t="str">
        <f aca="false">IF(A187="","",YEAR(A187))</f>
        <v/>
      </c>
      <c r="H187" s="18" t="str">
        <f aca="false">IF(B187="","",IFERROR(INDEX(Config!$B$12:$B$31,MATCH(B187,Config!$A$12:$A$31,0)),"?"))</f>
        <v/>
      </c>
    </row>
    <row r="188" customFormat="false" ht="15" hidden="false" customHeight="false" outlineLevel="0" collapsed="false">
      <c r="A188" s="32"/>
      <c r="B188" s="25"/>
      <c r="C188" s="25"/>
      <c r="D188" s="33"/>
      <c r="E188" s="25"/>
      <c r="F188" s="18" t="str">
        <f aca="false">IF(A188="","",MONTH(A188))</f>
        <v/>
      </c>
      <c r="G188" s="18" t="str">
        <f aca="false">IF(A188="","",YEAR(A188))</f>
        <v/>
      </c>
      <c r="H188" s="18" t="str">
        <f aca="false">IF(B188="","",IFERROR(INDEX(Config!$B$12:$B$31,MATCH(B188,Config!$A$12:$A$31,0)),"?"))</f>
        <v/>
      </c>
    </row>
    <row r="189" customFormat="false" ht="15" hidden="false" customHeight="false" outlineLevel="0" collapsed="false">
      <c r="A189" s="32"/>
      <c r="B189" s="25"/>
      <c r="C189" s="25"/>
      <c r="D189" s="33"/>
      <c r="E189" s="25"/>
      <c r="F189" s="18" t="str">
        <f aca="false">IF(A189="","",MONTH(A189))</f>
        <v/>
      </c>
      <c r="G189" s="18" t="str">
        <f aca="false">IF(A189="","",YEAR(A189))</f>
        <v/>
      </c>
      <c r="H189" s="18" t="str">
        <f aca="false">IF(B189="","",IFERROR(INDEX(Config!$B$12:$B$31,MATCH(B189,Config!$A$12:$A$31,0)),"?"))</f>
        <v/>
      </c>
    </row>
    <row r="190" customFormat="false" ht="15" hidden="false" customHeight="false" outlineLevel="0" collapsed="false">
      <c r="A190" s="32"/>
      <c r="B190" s="25"/>
      <c r="C190" s="25"/>
      <c r="D190" s="33"/>
      <c r="E190" s="25"/>
      <c r="F190" s="18" t="str">
        <f aca="false">IF(A190="","",MONTH(A190))</f>
        <v/>
      </c>
      <c r="G190" s="18" t="str">
        <f aca="false">IF(A190="","",YEAR(A190))</f>
        <v/>
      </c>
      <c r="H190" s="18" t="str">
        <f aca="false">IF(B190="","",IFERROR(INDEX(Config!$B$12:$B$31,MATCH(B190,Config!$A$12:$A$31,0)),"?"))</f>
        <v/>
      </c>
    </row>
    <row r="191" customFormat="false" ht="15" hidden="false" customHeight="false" outlineLevel="0" collapsed="false">
      <c r="A191" s="32"/>
      <c r="B191" s="25"/>
      <c r="C191" s="25"/>
      <c r="D191" s="33"/>
      <c r="E191" s="25"/>
      <c r="F191" s="18" t="str">
        <f aca="false">IF(A191="","",MONTH(A191))</f>
        <v/>
      </c>
      <c r="G191" s="18" t="str">
        <f aca="false">IF(A191="","",YEAR(A191))</f>
        <v/>
      </c>
      <c r="H191" s="18" t="str">
        <f aca="false">IF(B191="","",IFERROR(INDEX(Config!$B$12:$B$31,MATCH(B191,Config!$A$12:$A$31,0)),"?"))</f>
        <v/>
      </c>
    </row>
    <row r="192" customFormat="false" ht="15" hidden="false" customHeight="false" outlineLevel="0" collapsed="false">
      <c r="A192" s="32"/>
      <c r="B192" s="25"/>
      <c r="C192" s="25"/>
      <c r="D192" s="33"/>
      <c r="E192" s="25"/>
      <c r="F192" s="18" t="str">
        <f aca="false">IF(A192="","",MONTH(A192))</f>
        <v/>
      </c>
      <c r="G192" s="18" t="str">
        <f aca="false">IF(A192="","",YEAR(A192))</f>
        <v/>
      </c>
      <c r="H192" s="18" t="str">
        <f aca="false">IF(B192="","",IFERROR(INDEX(Config!$B$12:$B$31,MATCH(B192,Config!$A$12:$A$31,0)),"?"))</f>
        <v/>
      </c>
    </row>
    <row r="193" customFormat="false" ht="15" hidden="false" customHeight="false" outlineLevel="0" collapsed="false">
      <c r="A193" s="32"/>
      <c r="B193" s="25"/>
      <c r="C193" s="25"/>
      <c r="D193" s="33"/>
      <c r="E193" s="25"/>
      <c r="F193" s="18" t="str">
        <f aca="false">IF(A193="","",MONTH(A193))</f>
        <v/>
      </c>
      <c r="G193" s="18" t="str">
        <f aca="false">IF(A193="","",YEAR(A193))</f>
        <v/>
      </c>
      <c r="H193" s="18" t="str">
        <f aca="false">IF(B193="","",IFERROR(INDEX(Config!$B$12:$B$31,MATCH(B193,Config!$A$12:$A$31,0)),"?"))</f>
        <v/>
      </c>
    </row>
    <row r="194" customFormat="false" ht="15" hidden="false" customHeight="false" outlineLevel="0" collapsed="false">
      <c r="A194" s="32"/>
      <c r="B194" s="25"/>
      <c r="C194" s="25"/>
      <c r="D194" s="33"/>
      <c r="E194" s="25"/>
      <c r="F194" s="18" t="str">
        <f aca="false">IF(A194="","",MONTH(A194))</f>
        <v/>
      </c>
      <c r="G194" s="18" t="str">
        <f aca="false">IF(A194="","",YEAR(A194))</f>
        <v/>
      </c>
      <c r="H194" s="18" t="str">
        <f aca="false">IF(B194="","",IFERROR(INDEX(Config!$B$12:$B$31,MATCH(B194,Config!$A$12:$A$31,0)),"?"))</f>
        <v/>
      </c>
    </row>
    <row r="195" customFormat="false" ht="15" hidden="false" customHeight="false" outlineLevel="0" collapsed="false">
      <c r="A195" s="32"/>
      <c r="B195" s="25"/>
      <c r="C195" s="25"/>
      <c r="D195" s="33"/>
      <c r="E195" s="25"/>
      <c r="F195" s="18" t="str">
        <f aca="false">IF(A195="","",MONTH(A195))</f>
        <v/>
      </c>
      <c r="G195" s="18" t="str">
        <f aca="false">IF(A195="","",YEAR(A195))</f>
        <v/>
      </c>
      <c r="H195" s="18" t="str">
        <f aca="false">IF(B195="","",IFERROR(INDEX(Config!$B$12:$B$31,MATCH(B195,Config!$A$12:$A$31,0)),"?"))</f>
        <v/>
      </c>
    </row>
    <row r="196" customFormat="false" ht="15" hidden="false" customHeight="false" outlineLevel="0" collapsed="false">
      <c r="A196" s="32"/>
      <c r="B196" s="25"/>
      <c r="C196" s="25"/>
      <c r="D196" s="33"/>
      <c r="E196" s="25"/>
      <c r="F196" s="18" t="str">
        <f aca="false">IF(A196="","",MONTH(A196))</f>
        <v/>
      </c>
      <c r="G196" s="18" t="str">
        <f aca="false">IF(A196="","",YEAR(A196))</f>
        <v/>
      </c>
      <c r="H196" s="18" t="str">
        <f aca="false">IF(B196="","",IFERROR(INDEX(Config!$B$12:$B$31,MATCH(B196,Config!$A$12:$A$31,0)),"?"))</f>
        <v/>
      </c>
    </row>
    <row r="197" customFormat="false" ht="15" hidden="false" customHeight="false" outlineLevel="0" collapsed="false">
      <c r="A197" s="32"/>
      <c r="B197" s="25"/>
      <c r="C197" s="25"/>
      <c r="D197" s="33"/>
      <c r="E197" s="25"/>
      <c r="F197" s="18" t="str">
        <f aca="false">IF(A197="","",MONTH(A197))</f>
        <v/>
      </c>
      <c r="G197" s="18" t="str">
        <f aca="false">IF(A197="","",YEAR(A197))</f>
        <v/>
      </c>
      <c r="H197" s="18" t="str">
        <f aca="false">IF(B197="","",IFERROR(INDEX(Config!$B$12:$B$31,MATCH(B197,Config!$A$12:$A$31,0)),"?"))</f>
        <v/>
      </c>
    </row>
    <row r="198" customFormat="false" ht="15" hidden="false" customHeight="false" outlineLevel="0" collapsed="false">
      <c r="A198" s="32"/>
      <c r="B198" s="25"/>
      <c r="C198" s="25"/>
      <c r="D198" s="33"/>
      <c r="E198" s="25"/>
      <c r="F198" s="18" t="str">
        <f aca="false">IF(A198="","",MONTH(A198))</f>
        <v/>
      </c>
      <c r="G198" s="18" t="str">
        <f aca="false">IF(A198="","",YEAR(A198))</f>
        <v/>
      </c>
      <c r="H198" s="18" t="str">
        <f aca="false">IF(B198="","",IFERROR(INDEX(Config!$B$12:$B$31,MATCH(B198,Config!$A$12:$A$31,0)),"?"))</f>
        <v/>
      </c>
    </row>
    <row r="199" customFormat="false" ht="15" hidden="false" customHeight="false" outlineLevel="0" collapsed="false">
      <c r="A199" s="32"/>
      <c r="B199" s="25"/>
      <c r="C199" s="25"/>
      <c r="D199" s="33"/>
      <c r="E199" s="25"/>
      <c r="F199" s="18" t="str">
        <f aca="false">IF(A199="","",MONTH(A199))</f>
        <v/>
      </c>
      <c r="G199" s="18" t="str">
        <f aca="false">IF(A199="","",YEAR(A199))</f>
        <v/>
      </c>
      <c r="H199" s="18" t="str">
        <f aca="false">IF(B199="","",IFERROR(INDEX(Config!$B$12:$B$31,MATCH(B199,Config!$A$12:$A$31,0)),"?"))</f>
        <v/>
      </c>
    </row>
    <row r="200" customFormat="false" ht="15" hidden="false" customHeight="false" outlineLevel="0" collapsed="false">
      <c r="A200" s="32"/>
      <c r="B200" s="25"/>
      <c r="C200" s="25"/>
      <c r="D200" s="33"/>
      <c r="E200" s="25"/>
      <c r="F200" s="18" t="str">
        <f aca="false">IF(A200="","",MONTH(A200))</f>
        <v/>
      </c>
      <c r="G200" s="18" t="str">
        <f aca="false">IF(A200="","",YEAR(A200))</f>
        <v/>
      </c>
      <c r="H200" s="18" t="str">
        <f aca="false">IF(B200="","",IFERROR(INDEX(Config!$B$12:$B$31,MATCH(B200,Config!$A$12:$A$31,0)),"?"))</f>
        <v/>
      </c>
    </row>
    <row r="201" customFormat="false" ht="15" hidden="false" customHeight="false" outlineLevel="0" collapsed="false">
      <c r="A201" s="32"/>
      <c r="B201" s="25"/>
      <c r="C201" s="25"/>
      <c r="D201" s="33"/>
      <c r="E201" s="25"/>
      <c r="F201" s="18" t="str">
        <f aca="false">IF(A201="","",MONTH(A201))</f>
        <v/>
      </c>
      <c r="G201" s="18" t="str">
        <f aca="false">IF(A201="","",YEAR(A201))</f>
        <v/>
      </c>
      <c r="H201" s="18" t="str">
        <f aca="false">IF(B201="","",IFERROR(INDEX(Config!$B$12:$B$31,MATCH(B201,Config!$A$12:$A$31,0)),"?"))</f>
        <v/>
      </c>
    </row>
    <row r="202" customFormat="false" ht="15" hidden="false" customHeight="false" outlineLevel="0" collapsed="false">
      <c r="A202" s="32"/>
      <c r="B202" s="25"/>
      <c r="C202" s="25"/>
      <c r="D202" s="33"/>
      <c r="E202" s="25"/>
      <c r="F202" s="18" t="str">
        <f aca="false">IF(A202="","",MONTH(A202))</f>
        <v/>
      </c>
      <c r="G202" s="18" t="str">
        <f aca="false">IF(A202="","",YEAR(A202))</f>
        <v/>
      </c>
      <c r="H202" s="18" t="str">
        <f aca="false">IF(B202="","",IFERROR(INDEX(Config!$B$12:$B$31,MATCH(B202,Config!$A$12:$A$31,0)),"?"))</f>
        <v/>
      </c>
    </row>
    <row r="203" customFormat="false" ht="15" hidden="false" customHeight="false" outlineLevel="0" collapsed="false">
      <c r="A203" s="32"/>
      <c r="B203" s="25"/>
      <c r="C203" s="25"/>
      <c r="D203" s="33"/>
      <c r="E203" s="25"/>
      <c r="F203" s="18" t="str">
        <f aca="false">IF(A203="","",MONTH(A203))</f>
        <v/>
      </c>
      <c r="G203" s="18" t="str">
        <f aca="false">IF(A203="","",YEAR(A203))</f>
        <v/>
      </c>
      <c r="H203" s="18" t="str">
        <f aca="false">IF(B203="","",IFERROR(INDEX(Config!$B$12:$B$31,MATCH(B203,Config!$A$12:$A$31,0)),"?"))</f>
        <v/>
      </c>
    </row>
    <row r="204" customFormat="false" ht="15" hidden="false" customHeight="false" outlineLevel="0" collapsed="false">
      <c r="A204" s="32"/>
      <c r="B204" s="25"/>
      <c r="C204" s="25"/>
      <c r="D204" s="33"/>
      <c r="E204" s="25"/>
      <c r="F204" s="18" t="str">
        <f aca="false">IF(A204="","",MONTH(A204))</f>
        <v/>
      </c>
      <c r="G204" s="18" t="str">
        <f aca="false">IF(A204="","",YEAR(A204))</f>
        <v/>
      </c>
      <c r="H204" s="18" t="str">
        <f aca="false">IF(B204="","",IFERROR(INDEX(Config!$B$12:$B$31,MATCH(B204,Config!$A$12:$A$31,0)),"?"))</f>
        <v/>
      </c>
    </row>
    <row r="205" customFormat="false" ht="15" hidden="false" customHeight="false" outlineLevel="0" collapsed="false">
      <c r="A205" s="32"/>
      <c r="B205" s="25"/>
      <c r="C205" s="25"/>
      <c r="D205" s="33"/>
      <c r="E205" s="25"/>
      <c r="F205" s="18" t="str">
        <f aca="false">IF(A205="","",MONTH(A205))</f>
        <v/>
      </c>
      <c r="G205" s="18" t="str">
        <f aca="false">IF(A205="","",YEAR(A205))</f>
        <v/>
      </c>
      <c r="H205" s="18" t="str">
        <f aca="false">IF(B205="","",IFERROR(INDEX(Config!$B$12:$B$31,MATCH(B205,Config!$A$12:$A$31,0)),"?"))</f>
        <v/>
      </c>
    </row>
    <row r="206" customFormat="false" ht="15" hidden="false" customHeight="false" outlineLevel="0" collapsed="false">
      <c r="A206" s="32"/>
      <c r="B206" s="25"/>
      <c r="C206" s="25"/>
      <c r="D206" s="33"/>
      <c r="E206" s="25"/>
      <c r="F206" s="18" t="str">
        <f aca="false">IF(A206="","",MONTH(A206))</f>
        <v/>
      </c>
      <c r="G206" s="18" t="str">
        <f aca="false">IF(A206="","",YEAR(A206))</f>
        <v/>
      </c>
      <c r="H206" s="18" t="str">
        <f aca="false">IF(B206="","",IFERROR(INDEX(Config!$B$12:$B$31,MATCH(B206,Config!$A$12:$A$31,0)),"?"))</f>
        <v/>
      </c>
    </row>
    <row r="207" customFormat="false" ht="15" hidden="false" customHeight="false" outlineLevel="0" collapsed="false">
      <c r="A207" s="32"/>
      <c r="B207" s="25"/>
      <c r="C207" s="25"/>
      <c r="D207" s="33"/>
      <c r="E207" s="25"/>
      <c r="F207" s="18" t="str">
        <f aca="false">IF(A207="","",MONTH(A207))</f>
        <v/>
      </c>
      <c r="G207" s="18" t="str">
        <f aca="false">IF(A207="","",YEAR(A207))</f>
        <v/>
      </c>
      <c r="H207" s="18" t="str">
        <f aca="false">IF(B207="","",IFERROR(INDEX(Config!$B$12:$B$31,MATCH(B207,Config!$A$12:$A$31,0)),"?"))</f>
        <v/>
      </c>
    </row>
    <row r="208" customFormat="false" ht="15" hidden="false" customHeight="false" outlineLevel="0" collapsed="false">
      <c r="A208" s="32"/>
      <c r="B208" s="25"/>
      <c r="C208" s="25"/>
      <c r="D208" s="33"/>
      <c r="E208" s="25"/>
      <c r="F208" s="18" t="str">
        <f aca="false">IF(A208="","",MONTH(A208))</f>
        <v/>
      </c>
      <c r="G208" s="18" t="str">
        <f aca="false">IF(A208="","",YEAR(A208))</f>
        <v/>
      </c>
      <c r="H208" s="18" t="str">
        <f aca="false">IF(B208="","",IFERROR(INDEX(Config!$B$12:$B$31,MATCH(B208,Config!$A$12:$A$31,0)),"?"))</f>
        <v/>
      </c>
    </row>
    <row r="209" customFormat="false" ht="15" hidden="false" customHeight="false" outlineLevel="0" collapsed="false">
      <c r="A209" s="32"/>
      <c r="B209" s="25"/>
      <c r="C209" s="25"/>
      <c r="D209" s="33"/>
      <c r="E209" s="25"/>
      <c r="F209" s="18" t="str">
        <f aca="false">IF(A209="","",MONTH(A209))</f>
        <v/>
      </c>
      <c r="G209" s="18" t="str">
        <f aca="false">IF(A209="","",YEAR(A209))</f>
        <v/>
      </c>
      <c r="H209" s="18" t="str">
        <f aca="false">IF(B209="","",IFERROR(INDEX(Config!$B$12:$B$31,MATCH(B209,Config!$A$12:$A$31,0)),"?"))</f>
        <v/>
      </c>
    </row>
    <row r="210" customFormat="false" ht="15" hidden="false" customHeight="false" outlineLevel="0" collapsed="false">
      <c r="A210" s="32"/>
      <c r="B210" s="25"/>
      <c r="C210" s="25"/>
      <c r="D210" s="33"/>
      <c r="E210" s="25"/>
      <c r="F210" s="18" t="str">
        <f aca="false">IF(A210="","",MONTH(A210))</f>
        <v/>
      </c>
      <c r="G210" s="18" t="str">
        <f aca="false">IF(A210="","",YEAR(A210))</f>
        <v/>
      </c>
      <c r="H210" s="18" t="str">
        <f aca="false">IF(B210="","",IFERROR(INDEX(Config!$B$12:$B$31,MATCH(B210,Config!$A$12:$A$31,0)),"?"))</f>
        <v/>
      </c>
    </row>
    <row r="211" customFormat="false" ht="15" hidden="false" customHeight="false" outlineLevel="0" collapsed="false">
      <c r="A211" s="32"/>
      <c r="B211" s="25"/>
      <c r="C211" s="25"/>
      <c r="D211" s="33"/>
      <c r="E211" s="25"/>
      <c r="F211" s="18" t="str">
        <f aca="false">IF(A211="","",MONTH(A211))</f>
        <v/>
      </c>
      <c r="G211" s="18" t="str">
        <f aca="false">IF(A211="","",YEAR(A211))</f>
        <v/>
      </c>
      <c r="H211" s="18" t="str">
        <f aca="false">IF(B211="","",IFERROR(INDEX(Config!$B$12:$B$31,MATCH(B211,Config!$A$12:$A$31,0)),"?"))</f>
        <v/>
      </c>
    </row>
    <row r="212" customFormat="false" ht="15" hidden="false" customHeight="false" outlineLevel="0" collapsed="false">
      <c r="A212" s="32"/>
      <c r="B212" s="25"/>
      <c r="C212" s="25"/>
      <c r="D212" s="33"/>
      <c r="E212" s="25"/>
      <c r="F212" s="18" t="str">
        <f aca="false">IF(A212="","",MONTH(A212))</f>
        <v/>
      </c>
      <c r="G212" s="18" t="str">
        <f aca="false">IF(A212="","",YEAR(A212))</f>
        <v/>
      </c>
      <c r="H212" s="18" t="str">
        <f aca="false">IF(B212="","",IFERROR(INDEX(Config!$B$12:$B$31,MATCH(B212,Config!$A$12:$A$31,0)),"?"))</f>
        <v/>
      </c>
    </row>
    <row r="213" customFormat="false" ht="15" hidden="false" customHeight="false" outlineLevel="0" collapsed="false">
      <c r="A213" s="32"/>
      <c r="B213" s="25"/>
      <c r="C213" s="25"/>
      <c r="D213" s="33"/>
      <c r="E213" s="25"/>
      <c r="F213" s="18" t="str">
        <f aca="false">IF(A213="","",MONTH(A213))</f>
        <v/>
      </c>
      <c r="G213" s="18" t="str">
        <f aca="false">IF(A213="","",YEAR(A213))</f>
        <v/>
      </c>
      <c r="H213" s="18" t="str">
        <f aca="false">IF(B213="","",IFERROR(INDEX(Config!$B$12:$B$31,MATCH(B213,Config!$A$12:$A$31,0)),"?"))</f>
        <v/>
      </c>
    </row>
    <row r="214" customFormat="false" ht="15" hidden="false" customHeight="false" outlineLevel="0" collapsed="false">
      <c r="A214" s="32"/>
      <c r="B214" s="25"/>
      <c r="C214" s="25"/>
      <c r="D214" s="33"/>
      <c r="E214" s="25"/>
      <c r="F214" s="18" t="str">
        <f aca="false">IF(A214="","",MONTH(A214))</f>
        <v/>
      </c>
      <c r="G214" s="18" t="str">
        <f aca="false">IF(A214="","",YEAR(A214))</f>
        <v/>
      </c>
      <c r="H214" s="18" t="str">
        <f aca="false">IF(B214="","",IFERROR(INDEX(Config!$B$12:$B$31,MATCH(B214,Config!$A$12:$A$31,0)),"?"))</f>
        <v/>
      </c>
    </row>
    <row r="215" customFormat="false" ht="15" hidden="false" customHeight="false" outlineLevel="0" collapsed="false">
      <c r="A215" s="32"/>
      <c r="B215" s="25"/>
      <c r="C215" s="25"/>
      <c r="D215" s="33"/>
      <c r="E215" s="25"/>
      <c r="F215" s="18" t="str">
        <f aca="false">IF(A215="","",MONTH(A215))</f>
        <v/>
      </c>
      <c r="G215" s="18" t="str">
        <f aca="false">IF(A215="","",YEAR(A215))</f>
        <v/>
      </c>
      <c r="H215" s="18" t="str">
        <f aca="false">IF(B215="","",IFERROR(INDEX(Config!$B$12:$B$31,MATCH(B215,Config!$A$12:$A$31,0)),"?"))</f>
        <v/>
      </c>
    </row>
    <row r="216" customFormat="false" ht="15" hidden="false" customHeight="false" outlineLevel="0" collapsed="false">
      <c r="A216" s="32"/>
      <c r="B216" s="25"/>
      <c r="C216" s="25"/>
      <c r="D216" s="33"/>
      <c r="E216" s="25"/>
      <c r="F216" s="18" t="str">
        <f aca="false">IF(A216="","",MONTH(A216))</f>
        <v/>
      </c>
      <c r="G216" s="18" t="str">
        <f aca="false">IF(A216="","",YEAR(A216))</f>
        <v/>
      </c>
      <c r="H216" s="18" t="str">
        <f aca="false">IF(B216="","",IFERROR(INDEX(Config!$B$12:$B$31,MATCH(B216,Config!$A$12:$A$31,0)),"?"))</f>
        <v/>
      </c>
    </row>
    <row r="217" customFormat="false" ht="15" hidden="false" customHeight="false" outlineLevel="0" collapsed="false">
      <c r="A217" s="32"/>
      <c r="B217" s="25"/>
      <c r="C217" s="25"/>
      <c r="D217" s="33"/>
      <c r="E217" s="25"/>
      <c r="F217" s="18" t="str">
        <f aca="false">IF(A217="","",MONTH(A217))</f>
        <v/>
      </c>
      <c r="G217" s="18" t="str">
        <f aca="false">IF(A217="","",YEAR(A217))</f>
        <v/>
      </c>
      <c r="H217" s="18" t="str">
        <f aca="false">IF(B217="","",IFERROR(INDEX(Config!$B$12:$B$31,MATCH(B217,Config!$A$12:$A$31,0)),"?"))</f>
        <v/>
      </c>
    </row>
    <row r="218" customFormat="false" ht="15" hidden="false" customHeight="false" outlineLevel="0" collapsed="false">
      <c r="A218" s="32"/>
      <c r="B218" s="25"/>
      <c r="C218" s="25"/>
      <c r="D218" s="33"/>
      <c r="E218" s="25"/>
      <c r="F218" s="18" t="str">
        <f aca="false">IF(A218="","",MONTH(A218))</f>
        <v/>
      </c>
      <c r="G218" s="18" t="str">
        <f aca="false">IF(A218="","",YEAR(A218))</f>
        <v/>
      </c>
      <c r="H218" s="18" t="str">
        <f aca="false">IF(B218="","",IFERROR(INDEX(Config!$B$12:$B$31,MATCH(B218,Config!$A$12:$A$31,0)),"?"))</f>
        <v/>
      </c>
    </row>
    <row r="219" customFormat="false" ht="15" hidden="false" customHeight="false" outlineLevel="0" collapsed="false">
      <c r="A219" s="32"/>
      <c r="B219" s="25"/>
      <c r="C219" s="25"/>
      <c r="D219" s="33"/>
      <c r="E219" s="25"/>
      <c r="F219" s="18" t="str">
        <f aca="false">IF(A219="","",MONTH(A219))</f>
        <v/>
      </c>
      <c r="G219" s="18" t="str">
        <f aca="false">IF(A219="","",YEAR(A219))</f>
        <v/>
      </c>
      <c r="H219" s="18" t="str">
        <f aca="false">IF(B219="","",IFERROR(INDEX(Config!$B$12:$B$31,MATCH(B219,Config!$A$12:$A$31,0)),"?"))</f>
        <v/>
      </c>
    </row>
    <row r="220" customFormat="false" ht="15" hidden="false" customHeight="false" outlineLevel="0" collapsed="false">
      <c r="A220" s="32"/>
      <c r="B220" s="25"/>
      <c r="C220" s="25"/>
      <c r="D220" s="33"/>
      <c r="E220" s="25"/>
      <c r="F220" s="18" t="str">
        <f aca="false">IF(A220="","",MONTH(A220))</f>
        <v/>
      </c>
      <c r="G220" s="18" t="str">
        <f aca="false">IF(A220="","",YEAR(A220))</f>
        <v/>
      </c>
      <c r="H220" s="18" t="str">
        <f aca="false">IF(B220="","",IFERROR(INDEX(Config!$B$12:$B$31,MATCH(B220,Config!$A$12:$A$31,0)),"?"))</f>
        <v/>
      </c>
    </row>
    <row r="221" customFormat="false" ht="15" hidden="false" customHeight="false" outlineLevel="0" collapsed="false">
      <c r="A221" s="32"/>
      <c r="B221" s="25"/>
      <c r="C221" s="25"/>
      <c r="D221" s="33"/>
      <c r="E221" s="25"/>
      <c r="F221" s="18" t="str">
        <f aca="false">IF(A221="","",MONTH(A221))</f>
        <v/>
      </c>
      <c r="G221" s="18" t="str">
        <f aca="false">IF(A221="","",YEAR(A221))</f>
        <v/>
      </c>
      <c r="H221" s="18" t="str">
        <f aca="false">IF(B221="","",IFERROR(INDEX(Config!$B$12:$B$31,MATCH(B221,Config!$A$12:$A$31,0)),"?"))</f>
        <v/>
      </c>
    </row>
    <row r="222" customFormat="false" ht="15" hidden="false" customHeight="false" outlineLevel="0" collapsed="false">
      <c r="A222" s="32"/>
      <c r="B222" s="25"/>
      <c r="C222" s="25"/>
      <c r="D222" s="33"/>
      <c r="E222" s="25"/>
      <c r="F222" s="18" t="str">
        <f aca="false">IF(A222="","",MONTH(A222))</f>
        <v/>
      </c>
      <c r="G222" s="18" t="str">
        <f aca="false">IF(A222="","",YEAR(A222))</f>
        <v/>
      </c>
      <c r="H222" s="18" t="str">
        <f aca="false">IF(B222="","",IFERROR(INDEX(Config!$B$12:$B$31,MATCH(B222,Config!$A$12:$A$31,0)),"?"))</f>
        <v/>
      </c>
    </row>
    <row r="223" customFormat="false" ht="15" hidden="false" customHeight="false" outlineLevel="0" collapsed="false">
      <c r="A223" s="32"/>
      <c r="B223" s="25"/>
      <c r="C223" s="25"/>
      <c r="D223" s="33"/>
      <c r="E223" s="25"/>
      <c r="F223" s="18" t="str">
        <f aca="false">IF(A223="","",MONTH(A223))</f>
        <v/>
      </c>
      <c r="G223" s="18" t="str">
        <f aca="false">IF(A223="","",YEAR(A223))</f>
        <v/>
      </c>
      <c r="H223" s="18" t="str">
        <f aca="false">IF(B223="","",IFERROR(INDEX(Config!$B$12:$B$31,MATCH(B223,Config!$A$12:$A$31,0)),"?"))</f>
        <v/>
      </c>
    </row>
    <row r="224" customFormat="false" ht="15" hidden="false" customHeight="false" outlineLevel="0" collapsed="false">
      <c r="A224" s="32"/>
      <c r="B224" s="25"/>
      <c r="C224" s="25"/>
      <c r="D224" s="33"/>
      <c r="E224" s="25"/>
      <c r="F224" s="18" t="str">
        <f aca="false">IF(A224="","",MONTH(A224))</f>
        <v/>
      </c>
      <c r="G224" s="18" t="str">
        <f aca="false">IF(A224="","",YEAR(A224))</f>
        <v/>
      </c>
      <c r="H224" s="18" t="str">
        <f aca="false">IF(B224="","",IFERROR(INDEX(Config!$B$12:$B$31,MATCH(B224,Config!$A$12:$A$31,0)),"?"))</f>
        <v/>
      </c>
    </row>
    <row r="225" customFormat="false" ht="15" hidden="false" customHeight="false" outlineLevel="0" collapsed="false">
      <c r="A225" s="32"/>
      <c r="B225" s="25"/>
      <c r="C225" s="25"/>
      <c r="D225" s="33"/>
      <c r="E225" s="25"/>
      <c r="F225" s="18" t="str">
        <f aca="false">IF(A225="","",MONTH(A225))</f>
        <v/>
      </c>
      <c r="G225" s="18" t="str">
        <f aca="false">IF(A225="","",YEAR(A225))</f>
        <v/>
      </c>
      <c r="H225" s="18" t="str">
        <f aca="false">IF(B225="","",IFERROR(INDEX(Config!$B$12:$B$31,MATCH(B225,Config!$A$12:$A$31,0)),"?"))</f>
        <v/>
      </c>
    </row>
    <row r="226" customFormat="false" ht="15" hidden="false" customHeight="false" outlineLevel="0" collapsed="false">
      <c r="A226" s="32"/>
      <c r="B226" s="25"/>
      <c r="C226" s="25"/>
      <c r="D226" s="33"/>
      <c r="E226" s="25"/>
      <c r="F226" s="18" t="str">
        <f aca="false">IF(A226="","",MONTH(A226))</f>
        <v/>
      </c>
      <c r="G226" s="18" t="str">
        <f aca="false">IF(A226="","",YEAR(A226))</f>
        <v/>
      </c>
      <c r="H226" s="18" t="str">
        <f aca="false">IF(B226="","",IFERROR(INDEX(Config!$B$12:$B$31,MATCH(B226,Config!$A$12:$A$31,0)),"?"))</f>
        <v/>
      </c>
    </row>
    <row r="227" customFormat="false" ht="15" hidden="false" customHeight="false" outlineLevel="0" collapsed="false">
      <c r="A227" s="32"/>
      <c r="B227" s="25"/>
      <c r="C227" s="25"/>
      <c r="D227" s="33"/>
      <c r="E227" s="25"/>
      <c r="F227" s="18" t="str">
        <f aca="false">IF(A227="","",MONTH(A227))</f>
        <v/>
      </c>
      <c r="G227" s="18" t="str">
        <f aca="false">IF(A227="","",YEAR(A227))</f>
        <v/>
      </c>
      <c r="H227" s="18" t="str">
        <f aca="false">IF(B227="","",IFERROR(INDEX(Config!$B$12:$B$31,MATCH(B227,Config!$A$12:$A$31,0)),"?"))</f>
        <v/>
      </c>
    </row>
    <row r="228" customFormat="false" ht="15" hidden="false" customHeight="false" outlineLevel="0" collapsed="false">
      <c r="A228" s="32"/>
      <c r="B228" s="25"/>
      <c r="C228" s="25"/>
      <c r="D228" s="33"/>
      <c r="E228" s="25"/>
      <c r="F228" s="18" t="str">
        <f aca="false">IF(A228="","",MONTH(A228))</f>
        <v/>
      </c>
      <c r="G228" s="18" t="str">
        <f aca="false">IF(A228="","",YEAR(A228))</f>
        <v/>
      </c>
      <c r="H228" s="18" t="str">
        <f aca="false">IF(B228="","",IFERROR(INDEX(Config!$B$12:$B$31,MATCH(B228,Config!$A$12:$A$31,0)),"?"))</f>
        <v/>
      </c>
    </row>
    <row r="229" customFormat="false" ht="15" hidden="false" customHeight="false" outlineLevel="0" collapsed="false">
      <c r="A229" s="32"/>
      <c r="B229" s="25"/>
      <c r="C229" s="25"/>
      <c r="D229" s="33"/>
      <c r="E229" s="25"/>
      <c r="F229" s="18" t="str">
        <f aca="false">IF(A229="","",MONTH(A229))</f>
        <v/>
      </c>
      <c r="G229" s="18" t="str">
        <f aca="false">IF(A229="","",YEAR(A229))</f>
        <v/>
      </c>
      <c r="H229" s="18" t="str">
        <f aca="false">IF(B229="","",IFERROR(INDEX(Config!$B$12:$B$31,MATCH(B229,Config!$A$12:$A$31,0)),"?"))</f>
        <v/>
      </c>
    </row>
    <row r="230" customFormat="false" ht="15" hidden="false" customHeight="false" outlineLevel="0" collapsed="false">
      <c r="A230" s="32"/>
      <c r="B230" s="25"/>
      <c r="C230" s="25"/>
      <c r="D230" s="33"/>
      <c r="E230" s="25"/>
      <c r="F230" s="18" t="str">
        <f aca="false">IF(A230="","",MONTH(A230))</f>
        <v/>
      </c>
      <c r="G230" s="18" t="str">
        <f aca="false">IF(A230="","",YEAR(A230))</f>
        <v/>
      </c>
      <c r="H230" s="18" t="str">
        <f aca="false">IF(B230="","",IFERROR(INDEX(Config!$B$12:$B$31,MATCH(B230,Config!$A$12:$A$31,0)),"?"))</f>
        <v/>
      </c>
    </row>
    <row r="231" customFormat="false" ht="15" hidden="false" customHeight="false" outlineLevel="0" collapsed="false">
      <c r="A231" s="32"/>
      <c r="B231" s="25"/>
      <c r="C231" s="25"/>
      <c r="D231" s="33"/>
      <c r="E231" s="25"/>
      <c r="F231" s="18" t="str">
        <f aca="false">IF(A231="","",MONTH(A231))</f>
        <v/>
      </c>
      <c r="G231" s="18" t="str">
        <f aca="false">IF(A231="","",YEAR(A231))</f>
        <v/>
      </c>
      <c r="H231" s="18" t="str">
        <f aca="false">IF(B231="","",IFERROR(INDEX(Config!$B$12:$B$31,MATCH(B231,Config!$A$12:$A$31,0)),"?"))</f>
        <v/>
      </c>
    </row>
    <row r="232" customFormat="false" ht="15" hidden="false" customHeight="false" outlineLevel="0" collapsed="false">
      <c r="A232" s="32"/>
      <c r="B232" s="25"/>
      <c r="C232" s="25"/>
      <c r="D232" s="33"/>
      <c r="E232" s="25"/>
      <c r="F232" s="18" t="str">
        <f aca="false">IF(A232="","",MONTH(A232))</f>
        <v/>
      </c>
      <c r="G232" s="18" t="str">
        <f aca="false">IF(A232="","",YEAR(A232))</f>
        <v/>
      </c>
      <c r="H232" s="18" t="str">
        <f aca="false">IF(B232="","",IFERROR(INDEX(Config!$B$12:$B$31,MATCH(B232,Config!$A$12:$A$31,0)),"?"))</f>
        <v/>
      </c>
    </row>
    <row r="233" customFormat="false" ht="15" hidden="false" customHeight="false" outlineLevel="0" collapsed="false">
      <c r="A233" s="32"/>
      <c r="B233" s="25"/>
      <c r="C233" s="25"/>
      <c r="D233" s="33"/>
      <c r="E233" s="25"/>
      <c r="F233" s="18" t="str">
        <f aca="false">IF(A233="","",MONTH(A233))</f>
        <v/>
      </c>
      <c r="G233" s="18" t="str">
        <f aca="false">IF(A233="","",YEAR(A233))</f>
        <v/>
      </c>
      <c r="H233" s="18" t="str">
        <f aca="false">IF(B233="","",IFERROR(INDEX(Config!$B$12:$B$31,MATCH(B233,Config!$A$12:$A$31,0)),"?"))</f>
        <v/>
      </c>
    </row>
    <row r="234" customFormat="false" ht="15" hidden="false" customHeight="false" outlineLevel="0" collapsed="false">
      <c r="A234" s="32"/>
      <c r="B234" s="25"/>
      <c r="C234" s="25"/>
      <c r="D234" s="33"/>
      <c r="E234" s="25"/>
      <c r="F234" s="18" t="str">
        <f aca="false">IF(A234="","",MONTH(A234))</f>
        <v/>
      </c>
      <c r="G234" s="18" t="str">
        <f aca="false">IF(A234="","",YEAR(A234))</f>
        <v/>
      </c>
      <c r="H234" s="18" t="str">
        <f aca="false">IF(B234="","",IFERROR(INDEX(Config!$B$12:$B$31,MATCH(B234,Config!$A$12:$A$31,0)),"?"))</f>
        <v/>
      </c>
    </row>
    <row r="235" customFormat="false" ht="15" hidden="false" customHeight="false" outlineLevel="0" collapsed="false">
      <c r="A235" s="32"/>
      <c r="B235" s="25"/>
      <c r="C235" s="25"/>
      <c r="D235" s="33"/>
      <c r="E235" s="25"/>
      <c r="F235" s="18" t="str">
        <f aca="false">IF(A235="","",MONTH(A235))</f>
        <v/>
      </c>
      <c r="G235" s="18" t="str">
        <f aca="false">IF(A235="","",YEAR(A235))</f>
        <v/>
      </c>
      <c r="H235" s="18" t="str">
        <f aca="false">IF(B235="","",IFERROR(INDEX(Config!$B$12:$B$31,MATCH(B235,Config!$A$12:$A$31,0)),"?"))</f>
        <v/>
      </c>
    </row>
    <row r="236" customFormat="false" ht="15" hidden="false" customHeight="false" outlineLevel="0" collapsed="false">
      <c r="A236" s="32"/>
      <c r="B236" s="25"/>
      <c r="C236" s="25"/>
      <c r="D236" s="33"/>
      <c r="E236" s="25"/>
      <c r="F236" s="18" t="str">
        <f aca="false">IF(A236="","",MONTH(A236))</f>
        <v/>
      </c>
      <c r="G236" s="18" t="str">
        <f aca="false">IF(A236="","",YEAR(A236))</f>
        <v/>
      </c>
      <c r="H236" s="18" t="str">
        <f aca="false">IF(B236="","",IFERROR(INDEX(Config!$B$12:$B$31,MATCH(B236,Config!$A$12:$A$31,0)),"?"))</f>
        <v/>
      </c>
    </row>
    <row r="237" customFormat="false" ht="15" hidden="false" customHeight="false" outlineLevel="0" collapsed="false">
      <c r="A237" s="32"/>
      <c r="B237" s="25"/>
      <c r="C237" s="25"/>
      <c r="D237" s="33"/>
      <c r="E237" s="25"/>
      <c r="F237" s="18" t="str">
        <f aca="false">IF(A237="","",MONTH(A237))</f>
        <v/>
      </c>
      <c r="G237" s="18" t="str">
        <f aca="false">IF(A237="","",YEAR(A237))</f>
        <v/>
      </c>
      <c r="H237" s="18" t="str">
        <f aca="false">IF(B237="","",IFERROR(INDEX(Config!$B$12:$B$31,MATCH(B237,Config!$A$12:$A$31,0)),"?"))</f>
        <v/>
      </c>
    </row>
    <row r="238" customFormat="false" ht="15" hidden="false" customHeight="false" outlineLevel="0" collapsed="false">
      <c r="A238" s="32"/>
      <c r="B238" s="25"/>
      <c r="C238" s="25"/>
      <c r="D238" s="33"/>
      <c r="E238" s="25"/>
      <c r="F238" s="18" t="str">
        <f aca="false">IF(A238="","",MONTH(A238))</f>
        <v/>
      </c>
      <c r="G238" s="18" t="str">
        <f aca="false">IF(A238="","",YEAR(A238))</f>
        <v/>
      </c>
      <c r="H238" s="18" t="str">
        <f aca="false">IF(B238="","",IFERROR(INDEX(Config!$B$12:$B$31,MATCH(B238,Config!$A$12:$A$31,0)),"?"))</f>
        <v/>
      </c>
    </row>
    <row r="239" customFormat="false" ht="15" hidden="false" customHeight="false" outlineLevel="0" collapsed="false">
      <c r="A239" s="32"/>
      <c r="B239" s="25"/>
      <c r="C239" s="25"/>
      <c r="D239" s="33"/>
      <c r="E239" s="25"/>
      <c r="F239" s="18" t="str">
        <f aca="false">IF(A239="","",MONTH(A239))</f>
        <v/>
      </c>
      <c r="G239" s="18" t="str">
        <f aca="false">IF(A239="","",YEAR(A239))</f>
        <v/>
      </c>
      <c r="H239" s="18" t="str">
        <f aca="false">IF(B239="","",IFERROR(INDEX(Config!$B$12:$B$31,MATCH(B239,Config!$A$12:$A$31,0)),"?"))</f>
        <v/>
      </c>
    </row>
    <row r="240" customFormat="false" ht="15" hidden="false" customHeight="false" outlineLevel="0" collapsed="false">
      <c r="A240" s="32"/>
      <c r="B240" s="25"/>
      <c r="C240" s="25"/>
      <c r="D240" s="33"/>
      <c r="E240" s="25"/>
      <c r="F240" s="18" t="str">
        <f aca="false">IF(A240="","",MONTH(A240))</f>
        <v/>
      </c>
      <c r="G240" s="18" t="str">
        <f aca="false">IF(A240="","",YEAR(A240))</f>
        <v/>
      </c>
      <c r="H240" s="18" t="str">
        <f aca="false">IF(B240="","",IFERROR(INDEX(Config!$B$12:$B$31,MATCH(B240,Config!$A$12:$A$31,0)),"?"))</f>
        <v/>
      </c>
    </row>
    <row r="241" customFormat="false" ht="15" hidden="false" customHeight="false" outlineLevel="0" collapsed="false">
      <c r="A241" s="32"/>
      <c r="B241" s="25"/>
      <c r="C241" s="25"/>
      <c r="D241" s="33"/>
      <c r="E241" s="25"/>
      <c r="F241" s="18" t="str">
        <f aca="false">IF(A241="","",MONTH(A241))</f>
        <v/>
      </c>
      <c r="G241" s="18" t="str">
        <f aca="false">IF(A241="","",YEAR(A241))</f>
        <v/>
      </c>
      <c r="H241" s="18" t="str">
        <f aca="false">IF(B241="","",IFERROR(INDEX(Config!$B$12:$B$31,MATCH(B241,Config!$A$12:$A$31,0)),"?"))</f>
        <v/>
      </c>
    </row>
    <row r="242" customFormat="false" ht="15" hidden="false" customHeight="false" outlineLevel="0" collapsed="false">
      <c r="A242" s="32"/>
      <c r="B242" s="25"/>
      <c r="C242" s="25"/>
      <c r="D242" s="33"/>
      <c r="E242" s="25"/>
      <c r="F242" s="18" t="str">
        <f aca="false">IF(A242="","",MONTH(A242))</f>
        <v/>
      </c>
      <c r="G242" s="18" t="str">
        <f aca="false">IF(A242="","",YEAR(A242))</f>
        <v/>
      </c>
      <c r="H242" s="18" t="str">
        <f aca="false">IF(B242="","",IFERROR(INDEX(Config!$B$12:$B$31,MATCH(B242,Config!$A$12:$A$31,0)),"?"))</f>
        <v/>
      </c>
    </row>
    <row r="243" customFormat="false" ht="15" hidden="false" customHeight="false" outlineLevel="0" collapsed="false">
      <c r="A243" s="32"/>
      <c r="B243" s="25"/>
      <c r="C243" s="25"/>
      <c r="D243" s="33"/>
      <c r="E243" s="25"/>
      <c r="F243" s="18" t="str">
        <f aca="false">IF(A243="","",MONTH(A243))</f>
        <v/>
      </c>
      <c r="G243" s="18" t="str">
        <f aca="false">IF(A243="","",YEAR(A243))</f>
        <v/>
      </c>
      <c r="H243" s="18" t="str">
        <f aca="false">IF(B243="","",IFERROR(INDEX(Config!$B$12:$B$31,MATCH(B243,Config!$A$12:$A$31,0)),"?"))</f>
        <v/>
      </c>
    </row>
    <row r="244" customFormat="false" ht="15" hidden="false" customHeight="false" outlineLevel="0" collapsed="false">
      <c r="A244" s="32"/>
      <c r="B244" s="25"/>
      <c r="C244" s="25"/>
      <c r="D244" s="33"/>
      <c r="E244" s="25"/>
      <c r="F244" s="18" t="str">
        <f aca="false">IF(A244="","",MONTH(A244))</f>
        <v/>
      </c>
      <c r="G244" s="18" t="str">
        <f aca="false">IF(A244="","",YEAR(A244))</f>
        <v/>
      </c>
      <c r="H244" s="18" t="str">
        <f aca="false">IF(B244="","",IFERROR(INDEX(Config!$B$12:$B$31,MATCH(B244,Config!$A$12:$A$31,0)),"?"))</f>
        <v/>
      </c>
    </row>
    <row r="245" customFormat="false" ht="15" hidden="false" customHeight="false" outlineLevel="0" collapsed="false">
      <c r="A245" s="32"/>
      <c r="B245" s="25"/>
      <c r="C245" s="25"/>
      <c r="D245" s="33"/>
      <c r="E245" s="25"/>
      <c r="F245" s="18" t="str">
        <f aca="false">IF(A245="","",MONTH(A245))</f>
        <v/>
      </c>
      <c r="G245" s="18" t="str">
        <f aca="false">IF(A245="","",YEAR(A245))</f>
        <v/>
      </c>
      <c r="H245" s="18" t="str">
        <f aca="false">IF(B245="","",IFERROR(INDEX(Config!$B$12:$B$31,MATCH(B245,Config!$A$12:$A$31,0)),"?"))</f>
        <v/>
      </c>
    </row>
    <row r="246" customFormat="false" ht="15" hidden="false" customHeight="false" outlineLevel="0" collapsed="false">
      <c r="A246" s="32"/>
      <c r="B246" s="25"/>
      <c r="C246" s="25"/>
      <c r="D246" s="33"/>
      <c r="E246" s="25"/>
      <c r="F246" s="18" t="str">
        <f aca="false">IF(A246="","",MONTH(A246))</f>
        <v/>
      </c>
      <c r="G246" s="18" t="str">
        <f aca="false">IF(A246="","",YEAR(A246))</f>
        <v/>
      </c>
      <c r="H246" s="18" t="str">
        <f aca="false">IF(B246="","",IFERROR(INDEX(Config!$B$12:$B$31,MATCH(B246,Config!$A$12:$A$31,0)),"?"))</f>
        <v/>
      </c>
    </row>
    <row r="247" customFormat="false" ht="15" hidden="false" customHeight="false" outlineLevel="0" collapsed="false">
      <c r="A247" s="32"/>
      <c r="B247" s="25"/>
      <c r="C247" s="25"/>
      <c r="D247" s="33"/>
      <c r="E247" s="25"/>
      <c r="F247" s="18" t="str">
        <f aca="false">IF(A247="","",MONTH(A247))</f>
        <v/>
      </c>
      <c r="G247" s="18" t="str">
        <f aca="false">IF(A247="","",YEAR(A247))</f>
        <v/>
      </c>
      <c r="H247" s="18" t="str">
        <f aca="false">IF(B247="","",IFERROR(INDEX(Config!$B$12:$B$31,MATCH(B247,Config!$A$12:$A$31,0)),"?"))</f>
        <v/>
      </c>
    </row>
    <row r="248" customFormat="false" ht="15" hidden="false" customHeight="false" outlineLevel="0" collapsed="false">
      <c r="A248" s="32"/>
      <c r="B248" s="25"/>
      <c r="C248" s="25"/>
      <c r="D248" s="33"/>
      <c r="E248" s="25"/>
      <c r="F248" s="18" t="str">
        <f aca="false">IF(A248="","",MONTH(A248))</f>
        <v/>
      </c>
      <c r="G248" s="18" t="str">
        <f aca="false">IF(A248="","",YEAR(A248))</f>
        <v/>
      </c>
      <c r="H248" s="18" t="str">
        <f aca="false">IF(B248="","",IFERROR(INDEX(Config!$B$12:$B$31,MATCH(B248,Config!$A$12:$A$31,0)),"?"))</f>
        <v/>
      </c>
    </row>
    <row r="249" customFormat="false" ht="15" hidden="false" customHeight="false" outlineLevel="0" collapsed="false">
      <c r="A249" s="32"/>
      <c r="B249" s="25"/>
      <c r="C249" s="25"/>
      <c r="D249" s="33"/>
      <c r="E249" s="25"/>
      <c r="F249" s="18" t="str">
        <f aca="false">IF(A249="","",MONTH(A249))</f>
        <v/>
      </c>
      <c r="G249" s="18" t="str">
        <f aca="false">IF(A249="","",YEAR(A249))</f>
        <v/>
      </c>
      <c r="H249" s="18" t="str">
        <f aca="false">IF(B249="","",IFERROR(INDEX(Config!$B$12:$B$31,MATCH(B249,Config!$A$12:$A$31,0)),"?"))</f>
        <v/>
      </c>
    </row>
    <row r="250" customFormat="false" ht="15" hidden="false" customHeight="false" outlineLevel="0" collapsed="false">
      <c r="A250" s="32"/>
      <c r="B250" s="25"/>
      <c r="C250" s="25"/>
      <c r="D250" s="33"/>
      <c r="E250" s="25"/>
      <c r="F250" s="18" t="str">
        <f aca="false">IF(A250="","",MONTH(A250))</f>
        <v/>
      </c>
      <c r="G250" s="18" t="str">
        <f aca="false">IF(A250="","",YEAR(A250))</f>
        <v/>
      </c>
      <c r="H250" s="18" t="str">
        <f aca="false">IF(B250="","",IFERROR(INDEX(Config!$B$12:$B$31,MATCH(B250,Config!$A$12:$A$31,0)),"?"))</f>
        <v/>
      </c>
    </row>
    <row r="251" customFormat="false" ht="15" hidden="false" customHeight="false" outlineLevel="0" collapsed="false">
      <c r="A251" s="32"/>
      <c r="B251" s="25"/>
      <c r="C251" s="25"/>
      <c r="D251" s="33"/>
      <c r="E251" s="25"/>
      <c r="F251" s="18" t="str">
        <f aca="false">IF(A251="","",MONTH(A251))</f>
        <v/>
      </c>
      <c r="G251" s="18" t="str">
        <f aca="false">IF(A251="","",YEAR(A251))</f>
        <v/>
      </c>
      <c r="H251" s="18" t="str">
        <f aca="false">IF(B251="","",IFERROR(INDEX(Config!$B$12:$B$31,MATCH(B251,Config!$A$12:$A$31,0)),"?"))</f>
        <v/>
      </c>
    </row>
    <row r="252" customFormat="false" ht="15" hidden="false" customHeight="false" outlineLevel="0" collapsed="false">
      <c r="A252" s="32"/>
      <c r="B252" s="25"/>
      <c r="C252" s="25"/>
      <c r="D252" s="33"/>
      <c r="E252" s="25"/>
      <c r="F252" s="18" t="str">
        <f aca="false">IF(A252="","",MONTH(A252))</f>
        <v/>
      </c>
      <c r="G252" s="18" t="str">
        <f aca="false">IF(A252="","",YEAR(A252))</f>
        <v/>
      </c>
      <c r="H252" s="18" t="str">
        <f aca="false">IF(B252="","",IFERROR(INDEX(Config!$B$12:$B$31,MATCH(B252,Config!$A$12:$A$31,0)),"?"))</f>
        <v/>
      </c>
    </row>
    <row r="253" customFormat="false" ht="15" hidden="false" customHeight="false" outlineLevel="0" collapsed="false">
      <c r="A253" s="32"/>
      <c r="B253" s="25"/>
      <c r="C253" s="25"/>
      <c r="D253" s="33"/>
      <c r="E253" s="25"/>
      <c r="F253" s="18" t="str">
        <f aca="false">IF(A253="","",MONTH(A253))</f>
        <v/>
      </c>
      <c r="G253" s="18" t="str">
        <f aca="false">IF(A253="","",YEAR(A253))</f>
        <v/>
      </c>
      <c r="H253" s="18" t="str">
        <f aca="false">IF(B253="","",IFERROR(INDEX(Config!$B$12:$B$31,MATCH(B253,Config!$A$12:$A$31,0)),"?"))</f>
        <v/>
      </c>
    </row>
    <row r="254" customFormat="false" ht="15" hidden="false" customHeight="false" outlineLevel="0" collapsed="false">
      <c r="A254" s="32"/>
      <c r="B254" s="25"/>
      <c r="C254" s="25"/>
      <c r="D254" s="33"/>
      <c r="E254" s="25"/>
      <c r="F254" s="18" t="str">
        <f aca="false">IF(A254="","",MONTH(A254))</f>
        <v/>
      </c>
      <c r="G254" s="18" t="str">
        <f aca="false">IF(A254="","",YEAR(A254))</f>
        <v/>
      </c>
      <c r="H254" s="18" t="str">
        <f aca="false">IF(B254="","",IFERROR(INDEX(Config!$B$12:$B$31,MATCH(B254,Config!$A$12:$A$31,0)),"?"))</f>
        <v/>
      </c>
    </row>
    <row r="255" customFormat="false" ht="15" hidden="false" customHeight="false" outlineLevel="0" collapsed="false">
      <c r="A255" s="32"/>
      <c r="B255" s="25"/>
      <c r="C255" s="25"/>
      <c r="D255" s="33"/>
      <c r="E255" s="25"/>
      <c r="F255" s="18" t="str">
        <f aca="false">IF(A255="","",MONTH(A255))</f>
        <v/>
      </c>
      <c r="G255" s="18" t="str">
        <f aca="false">IF(A255="","",YEAR(A255))</f>
        <v/>
      </c>
      <c r="H255" s="18" t="str">
        <f aca="false">IF(B255="","",IFERROR(INDEX(Config!$B$12:$B$31,MATCH(B255,Config!$A$12:$A$31,0)),"?"))</f>
        <v/>
      </c>
    </row>
    <row r="256" customFormat="false" ht="15" hidden="false" customHeight="false" outlineLevel="0" collapsed="false">
      <c r="A256" s="32"/>
      <c r="B256" s="25"/>
      <c r="C256" s="25"/>
      <c r="D256" s="33"/>
      <c r="E256" s="25"/>
      <c r="F256" s="18" t="str">
        <f aca="false">IF(A256="","",MONTH(A256))</f>
        <v/>
      </c>
      <c r="G256" s="18" t="str">
        <f aca="false">IF(A256="","",YEAR(A256))</f>
        <v/>
      </c>
      <c r="H256" s="18" t="str">
        <f aca="false">IF(B256="","",IFERROR(INDEX(Config!$B$12:$B$31,MATCH(B256,Config!$A$12:$A$31,0)),"?"))</f>
        <v/>
      </c>
    </row>
    <row r="257" customFormat="false" ht="15" hidden="false" customHeight="false" outlineLevel="0" collapsed="false">
      <c r="A257" s="32"/>
      <c r="B257" s="25"/>
      <c r="C257" s="25"/>
      <c r="D257" s="33"/>
      <c r="E257" s="25"/>
      <c r="F257" s="18" t="str">
        <f aca="false">IF(A257="","",MONTH(A257))</f>
        <v/>
      </c>
      <c r="G257" s="18" t="str">
        <f aca="false">IF(A257="","",YEAR(A257))</f>
        <v/>
      </c>
      <c r="H257" s="18" t="str">
        <f aca="false">IF(B257="","",IFERROR(INDEX(Config!$B$12:$B$31,MATCH(B257,Config!$A$12:$A$31,0)),"?"))</f>
        <v/>
      </c>
    </row>
    <row r="258" customFormat="false" ht="15" hidden="false" customHeight="false" outlineLevel="0" collapsed="false">
      <c r="A258" s="32"/>
      <c r="B258" s="25"/>
      <c r="C258" s="25"/>
      <c r="D258" s="33"/>
      <c r="E258" s="25"/>
      <c r="F258" s="18" t="str">
        <f aca="false">IF(A258="","",MONTH(A258))</f>
        <v/>
      </c>
      <c r="G258" s="18" t="str">
        <f aca="false">IF(A258="","",YEAR(A258))</f>
        <v/>
      </c>
      <c r="H258" s="18" t="str">
        <f aca="false">IF(B258="","",IFERROR(INDEX(Config!$B$12:$B$31,MATCH(B258,Config!$A$12:$A$31,0)),"?"))</f>
        <v/>
      </c>
    </row>
    <row r="259" customFormat="false" ht="15" hidden="false" customHeight="false" outlineLevel="0" collapsed="false">
      <c r="A259" s="32"/>
      <c r="B259" s="25"/>
      <c r="C259" s="25"/>
      <c r="D259" s="33"/>
      <c r="E259" s="25"/>
      <c r="F259" s="18" t="str">
        <f aca="false">IF(A259="","",MONTH(A259))</f>
        <v/>
      </c>
      <c r="G259" s="18" t="str">
        <f aca="false">IF(A259="","",YEAR(A259))</f>
        <v/>
      </c>
      <c r="H259" s="18" t="str">
        <f aca="false">IF(B259="","",IFERROR(INDEX(Config!$B$12:$B$31,MATCH(B259,Config!$A$12:$A$31,0)),"?"))</f>
        <v/>
      </c>
    </row>
    <row r="260" customFormat="false" ht="15" hidden="false" customHeight="false" outlineLevel="0" collapsed="false">
      <c r="A260" s="32"/>
      <c r="B260" s="25"/>
      <c r="C260" s="25"/>
      <c r="D260" s="33"/>
      <c r="E260" s="25"/>
      <c r="F260" s="18" t="str">
        <f aca="false">IF(A260="","",MONTH(A260))</f>
        <v/>
      </c>
      <c r="G260" s="18" t="str">
        <f aca="false">IF(A260="","",YEAR(A260))</f>
        <v/>
      </c>
      <c r="H260" s="18" t="str">
        <f aca="false">IF(B260="","",IFERROR(INDEX(Config!$B$12:$B$31,MATCH(B260,Config!$A$12:$A$31,0)),"?"))</f>
        <v/>
      </c>
    </row>
    <row r="261" customFormat="false" ht="15" hidden="false" customHeight="false" outlineLevel="0" collapsed="false">
      <c r="A261" s="32"/>
      <c r="B261" s="25"/>
      <c r="C261" s="25"/>
      <c r="D261" s="33"/>
      <c r="E261" s="25"/>
      <c r="F261" s="18" t="str">
        <f aca="false">IF(A261="","",MONTH(A261))</f>
        <v/>
      </c>
      <c r="G261" s="18" t="str">
        <f aca="false">IF(A261="","",YEAR(A261))</f>
        <v/>
      </c>
      <c r="H261" s="18" t="str">
        <f aca="false">IF(B261="","",IFERROR(INDEX(Config!$B$12:$B$31,MATCH(B261,Config!$A$12:$A$31,0)),"?"))</f>
        <v/>
      </c>
    </row>
    <row r="262" customFormat="false" ht="15" hidden="false" customHeight="false" outlineLevel="0" collapsed="false">
      <c r="A262" s="32"/>
      <c r="B262" s="25"/>
      <c r="C262" s="25"/>
      <c r="D262" s="33"/>
      <c r="E262" s="25"/>
      <c r="F262" s="18" t="str">
        <f aca="false">IF(A262="","",MONTH(A262))</f>
        <v/>
      </c>
      <c r="G262" s="18" t="str">
        <f aca="false">IF(A262="","",YEAR(A262))</f>
        <v/>
      </c>
      <c r="H262" s="18" t="str">
        <f aca="false">IF(B262="","",IFERROR(INDEX(Config!$B$12:$B$31,MATCH(B262,Config!$A$12:$A$31,0)),"?"))</f>
        <v/>
      </c>
    </row>
    <row r="263" customFormat="false" ht="15" hidden="false" customHeight="false" outlineLevel="0" collapsed="false">
      <c r="A263" s="32"/>
      <c r="B263" s="25"/>
      <c r="C263" s="25"/>
      <c r="D263" s="33"/>
      <c r="E263" s="25"/>
      <c r="F263" s="18" t="str">
        <f aca="false">IF(A263="","",MONTH(A263))</f>
        <v/>
      </c>
      <c r="G263" s="18" t="str">
        <f aca="false">IF(A263="","",YEAR(A263))</f>
        <v/>
      </c>
      <c r="H263" s="18" t="str">
        <f aca="false">IF(B263="","",IFERROR(INDEX(Config!$B$12:$B$31,MATCH(B263,Config!$A$12:$A$31,0)),"?"))</f>
        <v/>
      </c>
    </row>
    <row r="264" customFormat="false" ht="15" hidden="false" customHeight="false" outlineLevel="0" collapsed="false">
      <c r="A264" s="32"/>
      <c r="B264" s="25"/>
      <c r="C264" s="25"/>
      <c r="D264" s="33"/>
      <c r="E264" s="25"/>
      <c r="F264" s="18" t="str">
        <f aca="false">IF(A264="","",MONTH(A264))</f>
        <v/>
      </c>
      <c r="G264" s="18" t="str">
        <f aca="false">IF(A264="","",YEAR(A264))</f>
        <v/>
      </c>
      <c r="H264" s="18" t="str">
        <f aca="false">IF(B264="","",IFERROR(INDEX(Config!$B$12:$B$31,MATCH(B264,Config!$A$12:$A$31,0)),"?"))</f>
        <v/>
      </c>
    </row>
    <row r="265" customFormat="false" ht="15" hidden="false" customHeight="false" outlineLevel="0" collapsed="false">
      <c r="A265" s="32"/>
      <c r="B265" s="25"/>
      <c r="C265" s="25"/>
      <c r="D265" s="33"/>
      <c r="E265" s="25"/>
      <c r="F265" s="18" t="str">
        <f aca="false">IF(A265="","",MONTH(A265))</f>
        <v/>
      </c>
      <c r="G265" s="18" t="str">
        <f aca="false">IF(A265="","",YEAR(A265))</f>
        <v/>
      </c>
      <c r="H265" s="18" t="str">
        <f aca="false">IF(B265="","",IFERROR(INDEX(Config!$B$12:$B$31,MATCH(B265,Config!$A$12:$A$31,0)),"?"))</f>
        <v/>
      </c>
    </row>
    <row r="266" customFormat="false" ht="15" hidden="false" customHeight="false" outlineLevel="0" collapsed="false">
      <c r="A266" s="32"/>
      <c r="B266" s="25"/>
      <c r="C266" s="25"/>
      <c r="D266" s="33"/>
      <c r="E266" s="25"/>
      <c r="F266" s="18" t="str">
        <f aca="false">IF(A266="","",MONTH(A266))</f>
        <v/>
      </c>
      <c r="G266" s="18" t="str">
        <f aca="false">IF(A266="","",YEAR(A266))</f>
        <v/>
      </c>
      <c r="H266" s="18" t="str">
        <f aca="false">IF(B266="","",IFERROR(INDEX(Config!$B$12:$B$31,MATCH(B266,Config!$A$12:$A$31,0)),"?"))</f>
        <v/>
      </c>
    </row>
    <row r="267" customFormat="false" ht="15" hidden="false" customHeight="false" outlineLevel="0" collapsed="false">
      <c r="A267" s="32"/>
      <c r="B267" s="25"/>
      <c r="C267" s="25"/>
      <c r="D267" s="33"/>
      <c r="E267" s="25"/>
      <c r="F267" s="18" t="str">
        <f aca="false">IF(A267="","",MONTH(A267))</f>
        <v/>
      </c>
      <c r="G267" s="18" t="str">
        <f aca="false">IF(A267="","",YEAR(A267))</f>
        <v/>
      </c>
      <c r="H267" s="18" t="str">
        <f aca="false">IF(B267="","",IFERROR(INDEX(Config!$B$12:$B$31,MATCH(B267,Config!$A$12:$A$31,0)),"?"))</f>
        <v/>
      </c>
    </row>
    <row r="268" customFormat="false" ht="15" hidden="false" customHeight="false" outlineLevel="0" collapsed="false">
      <c r="A268" s="32"/>
      <c r="B268" s="25"/>
      <c r="C268" s="25"/>
      <c r="D268" s="33"/>
      <c r="E268" s="25"/>
      <c r="F268" s="18" t="str">
        <f aca="false">IF(A268="","",MONTH(A268))</f>
        <v/>
      </c>
      <c r="G268" s="18" t="str">
        <f aca="false">IF(A268="","",YEAR(A268))</f>
        <v/>
      </c>
      <c r="H268" s="18" t="str">
        <f aca="false">IF(B268="","",IFERROR(INDEX(Config!$B$12:$B$31,MATCH(B268,Config!$A$12:$A$31,0)),"?"))</f>
        <v/>
      </c>
    </row>
    <row r="269" customFormat="false" ht="15" hidden="false" customHeight="false" outlineLevel="0" collapsed="false">
      <c r="A269" s="32"/>
      <c r="B269" s="25"/>
      <c r="C269" s="25"/>
      <c r="D269" s="33"/>
      <c r="E269" s="25"/>
      <c r="F269" s="18" t="str">
        <f aca="false">IF(A269="","",MONTH(A269))</f>
        <v/>
      </c>
      <c r="G269" s="18" t="str">
        <f aca="false">IF(A269="","",YEAR(A269))</f>
        <v/>
      </c>
      <c r="H269" s="18" t="str">
        <f aca="false">IF(B269="","",IFERROR(INDEX(Config!$B$12:$B$31,MATCH(B269,Config!$A$12:$A$31,0)),"?"))</f>
        <v/>
      </c>
    </row>
    <row r="270" customFormat="false" ht="15" hidden="false" customHeight="false" outlineLevel="0" collapsed="false">
      <c r="A270" s="32"/>
      <c r="B270" s="25"/>
      <c r="C270" s="25"/>
      <c r="D270" s="33"/>
      <c r="E270" s="25"/>
      <c r="F270" s="18" t="str">
        <f aca="false">IF(A270="","",MONTH(A270))</f>
        <v/>
      </c>
      <c r="G270" s="18" t="str">
        <f aca="false">IF(A270="","",YEAR(A270))</f>
        <v/>
      </c>
      <c r="H270" s="18" t="str">
        <f aca="false">IF(B270="","",IFERROR(INDEX(Config!$B$12:$B$31,MATCH(B270,Config!$A$12:$A$31,0)),"?"))</f>
        <v/>
      </c>
    </row>
    <row r="271" customFormat="false" ht="15" hidden="false" customHeight="false" outlineLevel="0" collapsed="false">
      <c r="A271" s="32"/>
      <c r="B271" s="25"/>
      <c r="C271" s="25"/>
      <c r="D271" s="33"/>
      <c r="E271" s="25"/>
      <c r="F271" s="18" t="str">
        <f aca="false">IF(A271="","",MONTH(A271))</f>
        <v/>
      </c>
      <c r="G271" s="18" t="str">
        <f aca="false">IF(A271="","",YEAR(A271))</f>
        <v/>
      </c>
      <c r="H271" s="18" t="str">
        <f aca="false">IF(B271="","",IFERROR(INDEX(Config!$B$12:$B$31,MATCH(B271,Config!$A$12:$A$31,0)),"?"))</f>
        <v/>
      </c>
    </row>
    <row r="272" customFormat="false" ht="15" hidden="false" customHeight="false" outlineLevel="0" collapsed="false">
      <c r="A272" s="32"/>
      <c r="B272" s="25"/>
      <c r="C272" s="25"/>
      <c r="D272" s="33"/>
      <c r="E272" s="25"/>
      <c r="F272" s="18" t="str">
        <f aca="false">IF(A272="","",MONTH(A272))</f>
        <v/>
      </c>
      <c r="G272" s="18" t="str">
        <f aca="false">IF(A272="","",YEAR(A272))</f>
        <v/>
      </c>
      <c r="H272" s="18" t="str">
        <f aca="false">IF(B272="","",IFERROR(INDEX(Config!$B$12:$B$31,MATCH(B272,Config!$A$12:$A$31,0)),"?"))</f>
        <v/>
      </c>
    </row>
    <row r="273" customFormat="false" ht="15" hidden="false" customHeight="false" outlineLevel="0" collapsed="false">
      <c r="A273" s="32"/>
      <c r="B273" s="25"/>
      <c r="C273" s="25"/>
      <c r="D273" s="33"/>
      <c r="E273" s="25"/>
      <c r="F273" s="18" t="str">
        <f aca="false">IF(A273="","",MONTH(A273))</f>
        <v/>
      </c>
      <c r="G273" s="18" t="str">
        <f aca="false">IF(A273="","",YEAR(A273))</f>
        <v/>
      </c>
      <c r="H273" s="18" t="str">
        <f aca="false">IF(B273="","",IFERROR(INDEX(Config!$B$12:$B$31,MATCH(B273,Config!$A$12:$A$31,0)),"?"))</f>
        <v/>
      </c>
    </row>
    <row r="274" customFormat="false" ht="15" hidden="false" customHeight="false" outlineLevel="0" collapsed="false">
      <c r="A274" s="32"/>
      <c r="B274" s="25"/>
      <c r="C274" s="25"/>
      <c r="D274" s="33"/>
      <c r="E274" s="25"/>
      <c r="F274" s="18" t="str">
        <f aca="false">IF(A274="","",MONTH(A274))</f>
        <v/>
      </c>
      <c r="G274" s="18" t="str">
        <f aca="false">IF(A274="","",YEAR(A274))</f>
        <v/>
      </c>
      <c r="H274" s="18" t="str">
        <f aca="false">IF(B274="","",IFERROR(INDEX(Config!$B$12:$B$31,MATCH(B274,Config!$A$12:$A$31,0)),"?"))</f>
        <v/>
      </c>
    </row>
    <row r="275" customFormat="false" ht="15" hidden="false" customHeight="false" outlineLevel="0" collapsed="false">
      <c r="A275" s="32"/>
      <c r="B275" s="25"/>
      <c r="C275" s="25"/>
      <c r="D275" s="33"/>
      <c r="E275" s="25"/>
      <c r="F275" s="18" t="str">
        <f aca="false">IF(A275="","",MONTH(A275))</f>
        <v/>
      </c>
      <c r="G275" s="18" t="str">
        <f aca="false">IF(A275="","",YEAR(A275))</f>
        <v/>
      </c>
      <c r="H275" s="18" t="str">
        <f aca="false">IF(B275="","",IFERROR(INDEX(Config!$B$12:$B$31,MATCH(B275,Config!$A$12:$A$31,0)),"?"))</f>
        <v/>
      </c>
    </row>
    <row r="276" customFormat="false" ht="15" hidden="false" customHeight="false" outlineLevel="0" collapsed="false">
      <c r="A276" s="32"/>
      <c r="B276" s="25"/>
      <c r="C276" s="25"/>
      <c r="D276" s="33"/>
      <c r="E276" s="25"/>
      <c r="F276" s="18" t="str">
        <f aca="false">IF(A276="","",MONTH(A276))</f>
        <v/>
      </c>
      <c r="G276" s="18" t="str">
        <f aca="false">IF(A276="","",YEAR(A276))</f>
        <v/>
      </c>
      <c r="H276" s="18" t="str">
        <f aca="false">IF(B276="","",IFERROR(INDEX(Config!$B$12:$B$31,MATCH(B276,Config!$A$12:$A$31,0)),"?"))</f>
        <v/>
      </c>
    </row>
    <row r="277" customFormat="false" ht="15" hidden="false" customHeight="false" outlineLevel="0" collapsed="false">
      <c r="A277" s="32"/>
      <c r="B277" s="25"/>
      <c r="C277" s="25"/>
      <c r="D277" s="33"/>
      <c r="E277" s="25"/>
      <c r="F277" s="18" t="str">
        <f aca="false">IF(A277="","",MONTH(A277))</f>
        <v/>
      </c>
      <c r="G277" s="18" t="str">
        <f aca="false">IF(A277="","",YEAR(A277))</f>
        <v/>
      </c>
      <c r="H277" s="18" t="str">
        <f aca="false">IF(B277="","",IFERROR(INDEX(Config!$B$12:$B$31,MATCH(B277,Config!$A$12:$A$31,0)),"?"))</f>
        <v/>
      </c>
    </row>
    <row r="278" customFormat="false" ht="15" hidden="false" customHeight="false" outlineLevel="0" collapsed="false">
      <c r="A278" s="32"/>
      <c r="B278" s="25"/>
      <c r="C278" s="25"/>
      <c r="D278" s="33"/>
      <c r="E278" s="25"/>
      <c r="F278" s="18" t="str">
        <f aca="false">IF(A278="","",MONTH(A278))</f>
        <v/>
      </c>
      <c r="G278" s="18" t="str">
        <f aca="false">IF(A278="","",YEAR(A278))</f>
        <v/>
      </c>
      <c r="H278" s="18" t="str">
        <f aca="false">IF(B278="","",IFERROR(INDEX(Config!$B$12:$B$31,MATCH(B278,Config!$A$12:$A$31,0)),"?"))</f>
        <v/>
      </c>
    </row>
    <row r="279" customFormat="false" ht="15" hidden="false" customHeight="false" outlineLevel="0" collapsed="false">
      <c r="A279" s="32"/>
      <c r="B279" s="25"/>
      <c r="C279" s="25"/>
      <c r="D279" s="33"/>
      <c r="E279" s="25"/>
      <c r="F279" s="18" t="str">
        <f aca="false">IF(A279="","",MONTH(A279))</f>
        <v/>
      </c>
      <c r="G279" s="18" t="str">
        <f aca="false">IF(A279="","",YEAR(A279))</f>
        <v/>
      </c>
      <c r="H279" s="18" t="str">
        <f aca="false">IF(B279="","",IFERROR(INDEX(Config!$B$12:$B$31,MATCH(B279,Config!$A$12:$A$31,0)),"?"))</f>
        <v/>
      </c>
    </row>
    <row r="280" customFormat="false" ht="15" hidden="false" customHeight="false" outlineLevel="0" collapsed="false">
      <c r="A280" s="32"/>
      <c r="B280" s="25"/>
      <c r="C280" s="25"/>
      <c r="D280" s="33"/>
      <c r="E280" s="25"/>
      <c r="F280" s="18" t="str">
        <f aca="false">IF(A280="","",MONTH(A280))</f>
        <v/>
      </c>
      <c r="G280" s="18" t="str">
        <f aca="false">IF(A280="","",YEAR(A280))</f>
        <v/>
      </c>
      <c r="H280" s="18" t="str">
        <f aca="false">IF(B280="","",IFERROR(INDEX(Config!$B$12:$B$31,MATCH(B280,Config!$A$12:$A$31,0)),"?"))</f>
        <v/>
      </c>
    </row>
    <row r="281" customFormat="false" ht="15" hidden="false" customHeight="false" outlineLevel="0" collapsed="false">
      <c r="A281" s="32"/>
      <c r="B281" s="25"/>
      <c r="C281" s="25"/>
      <c r="D281" s="33"/>
      <c r="E281" s="25"/>
      <c r="F281" s="18" t="str">
        <f aca="false">IF(A281="","",MONTH(A281))</f>
        <v/>
      </c>
      <c r="G281" s="18" t="str">
        <f aca="false">IF(A281="","",YEAR(A281))</f>
        <v/>
      </c>
      <c r="H281" s="18" t="str">
        <f aca="false">IF(B281="","",IFERROR(INDEX(Config!$B$12:$B$31,MATCH(B281,Config!$A$12:$A$31,0)),"?"))</f>
        <v/>
      </c>
    </row>
    <row r="282" customFormat="false" ht="15" hidden="false" customHeight="false" outlineLevel="0" collapsed="false">
      <c r="A282" s="32"/>
      <c r="B282" s="25"/>
      <c r="C282" s="25"/>
      <c r="D282" s="33"/>
      <c r="E282" s="25"/>
      <c r="F282" s="18" t="str">
        <f aca="false">IF(A282="","",MONTH(A282))</f>
        <v/>
      </c>
      <c r="G282" s="18" t="str">
        <f aca="false">IF(A282="","",YEAR(A282))</f>
        <v/>
      </c>
      <c r="H282" s="18" t="str">
        <f aca="false">IF(B282="","",IFERROR(INDEX(Config!$B$12:$B$31,MATCH(B282,Config!$A$12:$A$31,0)),"?"))</f>
        <v/>
      </c>
    </row>
    <row r="283" customFormat="false" ht="15" hidden="false" customHeight="false" outlineLevel="0" collapsed="false">
      <c r="A283" s="32"/>
      <c r="B283" s="25"/>
      <c r="C283" s="25"/>
      <c r="D283" s="33"/>
      <c r="E283" s="25"/>
      <c r="F283" s="18" t="str">
        <f aca="false">IF(A283="","",MONTH(A283))</f>
        <v/>
      </c>
      <c r="G283" s="18" t="str">
        <f aca="false">IF(A283="","",YEAR(A283))</f>
        <v/>
      </c>
      <c r="H283" s="18" t="str">
        <f aca="false">IF(B283="","",IFERROR(INDEX(Config!$B$12:$B$31,MATCH(B283,Config!$A$12:$A$31,0)),"?"))</f>
        <v/>
      </c>
    </row>
    <row r="284" customFormat="false" ht="15" hidden="false" customHeight="false" outlineLevel="0" collapsed="false">
      <c r="A284" s="32"/>
      <c r="B284" s="25"/>
      <c r="C284" s="25"/>
      <c r="D284" s="33"/>
      <c r="E284" s="25"/>
      <c r="F284" s="18" t="str">
        <f aca="false">IF(A284="","",MONTH(A284))</f>
        <v/>
      </c>
      <c r="G284" s="18" t="str">
        <f aca="false">IF(A284="","",YEAR(A284))</f>
        <v/>
      </c>
      <c r="H284" s="18" t="str">
        <f aca="false">IF(B284="","",IFERROR(INDEX(Config!$B$12:$B$31,MATCH(B284,Config!$A$12:$A$31,0)),"?"))</f>
        <v/>
      </c>
    </row>
    <row r="285" customFormat="false" ht="15" hidden="false" customHeight="false" outlineLevel="0" collapsed="false">
      <c r="A285" s="32"/>
      <c r="B285" s="25"/>
      <c r="C285" s="25"/>
      <c r="D285" s="33"/>
      <c r="E285" s="25"/>
      <c r="F285" s="18" t="str">
        <f aca="false">IF(A285="","",MONTH(A285))</f>
        <v/>
      </c>
      <c r="G285" s="18" t="str">
        <f aca="false">IF(A285="","",YEAR(A285))</f>
        <v/>
      </c>
      <c r="H285" s="18" t="str">
        <f aca="false">IF(B285="","",IFERROR(INDEX(Config!$B$12:$B$31,MATCH(B285,Config!$A$12:$A$31,0)),"?"))</f>
        <v/>
      </c>
    </row>
    <row r="286" customFormat="false" ht="15" hidden="false" customHeight="false" outlineLevel="0" collapsed="false">
      <c r="A286" s="32"/>
      <c r="B286" s="25"/>
      <c r="C286" s="25"/>
      <c r="D286" s="33"/>
      <c r="E286" s="25"/>
      <c r="F286" s="18" t="str">
        <f aca="false">IF(A286="","",MONTH(A286))</f>
        <v/>
      </c>
      <c r="G286" s="18" t="str">
        <f aca="false">IF(A286="","",YEAR(A286))</f>
        <v/>
      </c>
      <c r="H286" s="18" t="str">
        <f aca="false">IF(B286="","",IFERROR(INDEX(Config!$B$12:$B$31,MATCH(B286,Config!$A$12:$A$31,0)),"?"))</f>
        <v/>
      </c>
    </row>
    <row r="287" customFormat="false" ht="15" hidden="false" customHeight="false" outlineLevel="0" collapsed="false">
      <c r="A287" s="32"/>
      <c r="B287" s="25"/>
      <c r="C287" s="25"/>
      <c r="D287" s="33"/>
      <c r="E287" s="25"/>
      <c r="F287" s="18" t="str">
        <f aca="false">IF(A287="","",MONTH(A287))</f>
        <v/>
      </c>
      <c r="G287" s="18" t="str">
        <f aca="false">IF(A287="","",YEAR(A287))</f>
        <v/>
      </c>
      <c r="H287" s="18" t="str">
        <f aca="false">IF(B287="","",IFERROR(INDEX(Config!$B$12:$B$31,MATCH(B287,Config!$A$12:$A$31,0)),"?"))</f>
        <v/>
      </c>
    </row>
    <row r="288" customFormat="false" ht="15" hidden="false" customHeight="false" outlineLevel="0" collapsed="false">
      <c r="A288" s="32"/>
      <c r="B288" s="25"/>
      <c r="C288" s="25"/>
      <c r="D288" s="33"/>
      <c r="E288" s="25"/>
      <c r="F288" s="18" t="str">
        <f aca="false">IF(A288="","",MONTH(A288))</f>
        <v/>
      </c>
      <c r="G288" s="18" t="str">
        <f aca="false">IF(A288="","",YEAR(A288))</f>
        <v/>
      </c>
      <c r="H288" s="18" t="str">
        <f aca="false">IF(B288="","",IFERROR(INDEX(Config!$B$12:$B$31,MATCH(B288,Config!$A$12:$A$31,0)),"?"))</f>
        <v/>
      </c>
    </row>
    <row r="289" customFormat="false" ht="15" hidden="false" customHeight="false" outlineLevel="0" collapsed="false">
      <c r="A289" s="32"/>
      <c r="B289" s="25"/>
      <c r="C289" s="25"/>
      <c r="D289" s="33"/>
      <c r="E289" s="25"/>
      <c r="F289" s="18" t="str">
        <f aca="false">IF(A289="","",MONTH(A289))</f>
        <v/>
      </c>
      <c r="G289" s="18" t="str">
        <f aca="false">IF(A289="","",YEAR(A289))</f>
        <v/>
      </c>
      <c r="H289" s="18" t="str">
        <f aca="false">IF(B289="","",IFERROR(INDEX(Config!$B$12:$B$31,MATCH(B289,Config!$A$12:$A$31,0)),"?"))</f>
        <v/>
      </c>
    </row>
    <row r="290" customFormat="false" ht="15" hidden="false" customHeight="false" outlineLevel="0" collapsed="false">
      <c r="A290" s="32"/>
      <c r="B290" s="25"/>
      <c r="C290" s="25"/>
      <c r="D290" s="33"/>
      <c r="E290" s="25"/>
      <c r="F290" s="18" t="str">
        <f aca="false">IF(A290="","",MONTH(A290))</f>
        <v/>
      </c>
      <c r="G290" s="18" t="str">
        <f aca="false">IF(A290="","",YEAR(A290))</f>
        <v/>
      </c>
      <c r="H290" s="18" t="str">
        <f aca="false">IF(B290="","",IFERROR(INDEX(Config!$B$12:$B$31,MATCH(B290,Config!$A$12:$A$31,0)),"?"))</f>
        <v/>
      </c>
    </row>
    <row r="291" customFormat="false" ht="15" hidden="false" customHeight="false" outlineLevel="0" collapsed="false">
      <c r="A291" s="32"/>
      <c r="B291" s="25"/>
      <c r="C291" s="25"/>
      <c r="D291" s="33"/>
      <c r="E291" s="25"/>
      <c r="F291" s="18" t="str">
        <f aca="false">IF(A291="","",MONTH(A291))</f>
        <v/>
      </c>
      <c r="G291" s="18" t="str">
        <f aca="false">IF(A291="","",YEAR(A291))</f>
        <v/>
      </c>
      <c r="H291" s="18" t="str">
        <f aca="false">IF(B291="","",IFERROR(INDEX(Config!$B$12:$B$31,MATCH(B291,Config!$A$12:$A$31,0)),"?"))</f>
        <v/>
      </c>
    </row>
    <row r="292" customFormat="false" ht="15" hidden="false" customHeight="false" outlineLevel="0" collapsed="false">
      <c r="A292" s="32"/>
      <c r="B292" s="25"/>
      <c r="C292" s="25"/>
      <c r="D292" s="33"/>
      <c r="E292" s="25"/>
      <c r="F292" s="18" t="str">
        <f aca="false">IF(A292="","",MONTH(A292))</f>
        <v/>
      </c>
      <c r="G292" s="18" t="str">
        <f aca="false">IF(A292="","",YEAR(A292))</f>
        <v/>
      </c>
      <c r="H292" s="18" t="str">
        <f aca="false">IF(B292="","",IFERROR(INDEX(Config!$B$12:$B$31,MATCH(B292,Config!$A$12:$A$31,0)),"?"))</f>
        <v/>
      </c>
    </row>
    <row r="293" customFormat="false" ht="15" hidden="false" customHeight="false" outlineLevel="0" collapsed="false">
      <c r="A293" s="32"/>
      <c r="B293" s="25"/>
      <c r="C293" s="25"/>
      <c r="D293" s="33"/>
      <c r="E293" s="25"/>
      <c r="F293" s="18" t="str">
        <f aca="false">IF(A293="","",MONTH(A293))</f>
        <v/>
      </c>
      <c r="G293" s="18" t="str">
        <f aca="false">IF(A293="","",YEAR(A293))</f>
        <v/>
      </c>
      <c r="H293" s="18" t="str">
        <f aca="false">IF(B293="","",IFERROR(INDEX(Config!$B$12:$B$31,MATCH(B293,Config!$A$12:$A$31,0)),"?"))</f>
        <v/>
      </c>
    </row>
    <row r="294" customFormat="false" ht="15" hidden="false" customHeight="false" outlineLevel="0" collapsed="false">
      <c r="A294" s="32"/>
      <c r="B294" s="25"/>
      <c r="C294" s="25"/>
      <c r="D294" s="33"/>
      <c r="E294" s="25"/>
      <c r="F294" s="18" t="str">
        <f aca="false">IF(A294="","",MONTH(A294))</f>
        <v/>
      </c>
      <c r="G294" s="18" t="str">
        <f aca="false">IF(A294="","",YEAR(A294))</f>
        <v/>
      </c>
      <c r="H294" s="18" t="str">
        <f aca="false">IF(B294="","",IFERROR(INDEX(Config!$B$12:$B$31,MATCH(B294,Config!$A$12:$A$31,0)),"?"))</f>
        <v/>
      </c>
    </row>
    <row r="295" customFormat="false" ht="15" hidden="false" customHeight="false" outlineLevel="0" collapsed="false">
      <c r="A295" s="32"/>
      <c r="B295" s="25"/>
      <c r="C295" s="25"/>
      <c r="D295" s="33"/>
      <c r="E295" s="25"/>
      <c r="F295" s="18" t="str">
        <f aca="false">IF(A295="","",MONTH(A295))</f>
        <v/>
      </c>
      <c r="G295" s="18" t="str">
        <f aca="false">IF(A295="","",YEAR(A295))</f>
        <v/>
      </c>
      <c r="H295" s="18" t="str">
        <f aca="false">IF(B295="","",IFERROR(INDEX(Config!$B$12:$B$31,MATCH(B295,Config!$A$12:$A$31,0)),"?"))</f>
        <v/>
      </c>
    </row>
    <row r="296" customFormat="false" ht="15" hidden="false" customHeight="false" outlineLevel="0" collapsed="false">
      <c r="A296" s="32"/>
      <c r="B296" s="25"/>
      <c r="C296" s="25"/>
      <c r="D296" s="33"/>
      <c r="E296" s="25"/>
      <c r="F296" s="18" t="str">
        <f aca="false">IF(A296="","",MONTH(A296))</f>
        <v/>
      </c>
      <c r="G296" s="18" t="str">
        <f aca="false">IF(A296="","",YEAR(A296))</f>
        <v/>
      </c>
      <c r="H296" s="18" t="str">
        <f aca="false">IF(B296="","",IFERROR(INDEX(Config!$B$12:$B$31,MATCH(B296,Config!$A$12:$A$31,0)),"?"))</f>
        <v/>
      </c>
    </row>
    <row r="297" customFormat="false" ht="15" hidden="false" customHeight="false" outlineLevel="0" collapsed="false">
      <c r="A297" s="32"/>
      <c r="B297" s="25"/>
      <c r="C297" s="25"/>
      <c r="D297" s="33"/>
      <c r="E297" s="25"/>
      <c r="F297" s="18" t="str">
        <f aca="false">IF(A297="","",MONTH(A297))</f>
        <v/>
      </c>
      <c r="G297" s="18" t="str">
        <f aca="false">IF(A297="","",YEAR(A297))</f>
        <v/>
      </c>
      <c r="H297" s="18" t="str">
        <f aca="false">IF(B297="","",IFERROR(INDEX(Config!$B$12:$B$31,MATCH(B297,Config!$A$12:$A$31,0)),"?"))</f>
        <v/>
      </c>
    </row>
    <row r="298" customFormat="false" ht="15" hidden="false" customHeight="false" outlineLevel="0" collapsed="false">
      <c r="A298" s="32"/>
      <c r="B298" s="25"/>
      <c r="C298" s="25"/>
      <c r="D298" s="33"/>
      <c r="E298" s="25"/>
      <c r="F298" s="18" t="str">
        <f aca="false">IF(A298="","",MONTH(A298))</f>
        <v/>
      </c>
      <c r="G298" s="18" t="str">
        <f aca="false">IF(A298="","",YEAR(A298))</f>
        <v/>
      </c>
      <c r="H298" s="18" t="str">
        <f aca="false">IF(B298="","",IFERROR(INDEX(Config!$B$12:$B$31,MATCH(B298,Config!$A$12:$A$31,0)),"?"))</f>
        <v/>
      </c>
    </row>
    <row r="299" customFormat="false" ht="15" hidden="false" customHeight="false" outlineLevel="0" collapsed="false">
      <c r="A299" s="32"/>
      <c r="B299" s="25"/>
      <c r="C299" s="25"/>
      <c r="D299" s="33"/>
      <c r="E299" s="25"/>
      <c r="F299" s="18" t="str">
        <f aca="false">IF(A299="","",MONTH(A299))</f>
        <v/>
      </c>
      <c r="G299" s="18" t="str">
        <f aca="false">IF(A299="","",YEAR(A299))</f>
        <v/>
      </c>
      <c r="H299" s="18" t="str">
        <f aca="false">IF(B299="","",IFERROR(INDEX(Config!$B$12:$B$31,MATCH(B299,Config!$A$12:$A$31,0)),"?"))</f>
        <v/>
      </c>
    </row>
    <row r="300" customFormat="false" ht="15" hidden="false" customHeight="false" outlineLevel="0" collapsed="false">
      <c r="A300" s="32"/>
      <c r="B300" s="25"/>
      <c r="C300" s="25"/>
      <c r="D300" s="33"/>
      <c r="E300" s="25"/>
      <c r="F300" s="18" t="str">
        <f aca="false">IF(A300="","",MONTH(A300))</f>
        <v/>
      </c>
      <c r="G300" s="18" t="str">
        <f aca="false">IF(A300="","",YEAR(A300))</f>
        <v/>
      </c>
      <c r="H300" s="18" t="str">
        <f aca="false">IF(B300="","",IFERROR(INDEX(Config!$B$12:$B$31,MATCH(B300,Config!$A$12:$A$31,0)),"?"))</f>
        <v/>
      </c>
    </row>
    <row r="301" customFormat="false" ht="15" hidden="false" customHeight="false" outlineLevel="0" collapsed="false">
      <c r="A301" s="32"/>
      <c r="B301" s="25"/>
      <c r="C301" s="25"/>
      <c r="D301" s="33"/>
      <c r="E301" s="25"/>
      <c r="F301" s="18" t="str">
        <f aca="false">IF(A301="","",MONTH(A301))</f>
        <v/>
      </c>
      <c r="G301" s="18" t="str">
        <f aca="false">IF(A301="","",YEAR(A301))</f>
        <v/>
      </c>
      <c r="H301" s="18" t="str">
        <f aca="false">IF(B301="","",IFERROR(INDEX(Config!$B$12:$B$31,MATCH(B301,Config!$A$12:$A$31,0)),"?"))</f>
        <v/>
      </c>
    </row>
    <row r="302" customFormat="false" ht="15" hidden="false" customHeight="false" outlineLevel="0" collapsed="false">
      <c r="A302" s="32"/>
      <c r="B302" s="25"/>
      <c r="C302" s="25"/>
      <c r="D302" s="33"/>
      <c r="E302" s="25"/>
      <c r="F302" s="18" t="str">
        <f aca="false">IF(A302="","",MONTH(A302))</f>
        <v/>
      </c>
      <c r="G302" s="18" t="str">
        <f aca="false">IF(A302="","",YEAR(A302))</f>
        <v/>
      </c>
      <c r="H302" s="18" t="str">
        <f aca="false">IF(B302="","",IFERROR(INDEX(Config!$B$12:$B$31,MATCH(B302,Config!$A$12:$A$31,0)),"?"))</f>
        <v/>
      </c>
    </row>
    <row r="303" customFormat="false" ht="15" hidden="false" customHeight="false" outlineLevel="0" collapsed="false">
      <c r="A303" s="32"/>
      <c r="B303" s="25"/>
      <c r="C303" s="25"/>
      <c r="D303" s="33"/>
      <c r="E303" s="25"/>
      <c r="F303" s="18" t="str">
        <f aca="false">IF(A303="","",MONTH(A303))</f>
        <v/>
      </c>
      <c r="G303" s="18" t="str">
        <f aca="false">IF(A303="","",YEAR(A303))</f>
        <v/>
      </c>
      <c r="H303" s="18" t="str">
        <f aca="false">IF(B303="","",IFERROR(INDEX(Config!$B$12:$B$31,MATCH(B303,Config!$A$12:$A$31,0)),"?"))</f>
        <v/>
      </c>
    </row>
    <row r="304" customFormat="false" ht="15" hidden="false" customHeight="false" outlineLevel="0" collapsed="false">
      <c r="A304" s="32"/>
      <c r="B304" s="25"/>
      <c r="C304" s="25"/>
      <c r="D304" s="33"/>
      <c r="E304" s="25"/>
      <c r="F304" s="18" t="str">
        <f aca="false">IF(A304="","",MONTH(A304))</f>
        <v/>
      </c>
      <c r="G304" s="18" t="str">
        <f aca="false">IF(A304="","",YEAR(A304))</f>
        <v/>
      </c>
      <c r="H304" s="18" t="str">
        <f aca="false">IF(B304="","",IFERROR(INDEX(Config!$B$12:$B$31,MATCH(B304,Config!$A$12:$A$31,0)),"?"))</f>
        <v/>
      </c>
    </row>
    <row r="305" customFormat="false" ht="15" hidden="false" customHeight="false" outlineLevel="0" collapsed="false">
      <c r="A305" s="32"/>
      <c r="B305" s="25"/>
      <c r="C305" s="25"/>
      <c r="D305" s="33"/>
      <c r="E305" s="25"/>
      <c r="F305" s="18" t="str">
        <f aca="false">IF(A305="","",MONTH(A305))</f>
        <v/>
      </c>
      <c r="G305" s="18" t="str">
        <f aca="false">IF(A305="","",YEAR(A305))</f>
        <v/>
      </c>
      <c r="H305" s="18" t="str">
        <f aca="false">IF(B305="","",IFERROR(INDEX(Config!$B$12:$B$31,MATCH(B305,Config!$A$12:$A$31,0)),"?"))</f>
        <v/>
      </c>
    </row>
    <row r="306" customFormat="false" ht="15" hidden="false" customHeight="false" outlineLevel="0" collapsed="false">
      <c r="A306" s="32"/>
      <c r="B306" s="25"/>
      <c r="C306" s="25"/>
      <c r="D306" s="33"/>
      <c r="E306" s="25"/>
      <c r="F306" s="18" t="str">
        <f aca="false">IF(A306="","",MONTH(A306))</f>
        <v/>
      </c>
      <c r="G306" s="18" t="str">
        <f aca="false">IF(A306="","",YEAR(A306))</f>
        <v/>
      </c>
      <c r="H306" s="18" t="str">
        <f aca="false">IF(B306="","",IFERROR(INDEX(Config!$B$12:$B$31,MATCH(B306,Config!$A$12:$A$31,0)),"?"))</f>
        <v/>
      </c>
    </row>
    <row r="307" customFormat="false" ht="15" hidden="false" customHeight="false" outlineLevel="0" collapsed="false">
      <c r="A307" s="32"/>
      <c r="B307" s="25"/>
      <c r="C307" s="25"/>
      <c r="D307" s="33"/>
      <c r="E307" s="25"/>
      <c r="F307" s="18" t="str">
        <f aca="false">IF(A307="","",MONTH(A307))</f>
        <v/>
      </c>
      <c r="G307" s="18" t="str">
        <f aca="false">IF(A307="","",YEAR(A307))</f>
        <v/>
      </c>
      <c r="H307" s="18" t="str">
        <f aca="false">IF(B307="","",IFERROR(INDEX(Config!$B$12:$B$31,MATCH(B307,Config!$A$12:$A$31,0)),"?"))</f>
        <v/>
      </c>
    </row>
    <row r="308" customFormat="false" ht="15" hidden="false" customHeight="false" outlineLevel="0" collapsed="false">
      <c r="A308" s="32"/>
      <c r="B308" s="25"/>
      <c r="C308" s="25"/>
      <c r="D308" s="33"/>
      <c r="E308" s="25"/>
      <c r="F308" s="18" t="str">
        <f aca="false">IF(A308="","",MONTH(A308))</f>
        <v/>
      </c>
      <c r="G308" s="18" t="str">
        <f aca="false">IF(A308="","",YEAR(A308))</f>
        <v/>
      </c>
      <c r="H308" s="18" t="str">
        <f aca="false">IF(B308="","",IFERROR(INDEX(Config!$B$12:$B$31,MATCH(B308,Config!$A$12:$A$31,0)),"?"))</f>
        <v/>
      </c>
    </row>
    <row r="309" customFormat="false" ht="15" hidden="false" customHeight="false" outlineLevel="0" collapsed="false">
      <c r="A309" s="32"/>
      <c r="B309" s="25"/>
      <c r="C309" s="25"/>
      <c r="D309" s="33"/>
      <c r="E309" s="25"/>
      <c r="F309" s="18" t="str">
        <f aca="false">IF(A309="","",MONTH(A309))</f>
        <v/>
      </c>
      <c r="G309" s="18" t="str">
        <f aca="false">IF(A309="","",YEAR(A309))</f>
        <v/>
      </c>
      <c r="H309" s="18" t="str">
        <f aca="false">IF(B309="","",IFERROR(INDEX(Config!$B$12:$B$31,MATCH(B309,Config!$A$12:$A$31,0)),"?"))</f>
        <v/>
      </c>
    </row>
    <row r="310" customFormat="false" ht="15" hidden="false" customHeight="false" outlineLevel="0" collapsed="false">
      <c r="A310" s="32"/>
      <c r="B310" s="25"/>
      <c r="C310" s="25"/>
      <c r="D310" s="33"/>
      <c r="E310" s="25"/>
      <c r="F310" s="18" t="str">
        <f aca="false">IF(A310="","",MONTH(A310))</f>
        <v/>
      </c>
      <c r="G310" s="18" t="str">
        <f aca="false">IF(A310="","",YEAR(A310))</f>
        <v/>
      </c>
      <c r="H310" s="18" t="str">
        <f aca="false">IF(B310="","",IFERROR(INDEX(Config!$B$12:$B$31,MATCH(B310,Config!$A$12:$A$31,0)),"?"))</f>
        <v/>
      </c>
    </row>
    <row r="311" customFormat="false" ht="15" hidden="false" customHeight="false" outlineLevel="0" collapsed="false">
      <c r="A311" s="32"/>
      <c r="B311" s="25"/>
      <c r="C311" s="25"/>
      <c r="D311" s="33"/>
      <c r="E311" s="25"/>
      <c r="F311" s="18" t="str">
        <f aca="false">IF(A311="","",MONTH(A311))</f>
        <v/>
      </c>
      <c r="G311" s="18" t="str">
        <f aca="false">IF(A311="","",YEAR(A311))</f>
        <v/>
      </c>
      <c r="H311" s="18" t="str">
        <f aca="false">IF(B311="","",IFERROR(INDEX(Config!$B$12:$B$31,MATCH(B311,Config!$A$12:$A$31,0)),"?"))</f>
        <v/>
      </c>
    </row>
    <row r="312" customFormat="false" ht="15" hidden="false" customHeight="false" outlineLevel="0" collapsed="false">
      <c r="A312" s="32"/>
      <c r="B312" s="25"/>
      <c r="C312" s="25"/>
      <c r="D312" s="33"/>
      <c r="E312" s="25"/>
      <c r="F312" s="18" t="str">
        <f aca="false">IF(A312="","",MONTH(A312))</f>
        <v/>
      </c>
      <c r="G312" s="18" t="str">
        <f aca="false">IF(A312="","",YEAR(A312))</f>
        <v/>
      </c>
      <c r="H312" s="18" t="str">
        <f aca="false">IF(B312="","",IFERROR(INDEX(Config!$B$12:$B$31,MATCH(B312,Config!$A$12:$A$31,0)),"?"))</f>
        <v/>
      </c>
    </row>
    <row r="313" customFormat="false" ht="15" hidden="false" customHeight="false" outlineLevel="0" collapsed="false">
      <c r="A313" s="32"/>
      <c r="B313" s="25"/>
      <c r="C313" s="25"/>
      <c r="D313" s="33"/>
      <c r="E313" s="25"/>
      <c r="F313" s="18" t="str">
        <f aca="false">IF(A313="","",MONTH(A313))</f>
        <v/>
      </c>
      <c r="G313" s="18" t="str">
        <f aca="false">IF(A313="","",YEAR(A313))</f>
        <v/>
      </c>
      <c r="H313" s="18" t="str">
        <f aca="false">IF(B313="","",IFERROR(INDEX(Config!$B$12:$B$31,MATCH(B313,Config!$A$12:$A$31,0)),"?"))</f>
        <v/>
      </c>
    </row>
    <row r="314" customFormat="false" ht="15" hidden="false" customHeight="false" outlineLevel="0" collapsed="false">
      <c r="A314" s="32"/>
      <c r="B314" s="25"/>
      <c r="C314" s="25"/>
      <c r="D314" s="33"/>
      <c r="E314" s="25"/>
      <c r="F314" s="18" t="str">
        <f aca="false">IF(A314="","",MONTH(A314))</f>
        <v/>
      </c>
      <c r="G314" s="18" t="str">
        <f aca="false">IF(A314="","",YEAR(A314))</f>
        <v/>
      </c>
      <c r="H314" s="18" t="str">
        <f aca="false">IF(B314="","",IFERROR(INDEX(Config!$B$12:$B$31,MATCH(B314,Config!$A$12:$A$31,0)),"?"))</f>
        <v/>
      </c>
    </row>
    <row r="315" customFormat="false" ht="15" hidden="false" customHeight="false" outlineLevel="0" collapsed="false">
      <c r="A315" s="32"/>
      <c r="B315" s="25"/>
      <c r="C315" s="25"/>
      <c r="D315" s="33"/>
      <c r="E315" s="25"/>
      <c r="F315" s="18" t="str">
        <f aca="false">IF(A315="","",MONTH(A315))</f>
        <v/>
      </c>
      <c r="G315" s="18" t="str">
        <f aca="false">IF(A315="","",YEAR(A315))</f>
        <v/>
      </c>
      <c r="H315" s="18" t="str">
        <f aca="false">IF(B315="","",IFERROR(INDEX(Config!$B$12:$B$31,MATCH(B315,Config!$A$12:$A$31,0)),"?"))</f>
        <v/>
      </c>
    </row>
    <row r="316" customFormat="false" ht="15" hidden="false" customHeight="false" outlineLevel="0" collapsed="false">
      <c r="A316" s="32"/>
      <c r="B316" s="25"/>
      <c r="C316" s="25"/>
      <c r="D316" s="33"/>
      <c r="E316" s="25"/>
      <c r="F316" s="18" t="str">
        <f aca="false">IF(A316="","",MONTH(A316))</f>
        <v/>
      </c>
      <c r="G316" s="18" t="str">
        <f aca="false">IF(A316="","",YEAR(A316))</f>
        <v/>
      </c>
      <c r="H316" s="18" t="str">
        <f aca="false">IF(B316="","",IFERROR(INDEX(Config!$B$12:$B$31,MATCH(B316,Config!$A$12:$A$31,0)),"?"))</f>
        <v/>
      </c>
    </row>
    <row r="317" customFormat="false" ht="15" hidden="false" customHeight="false" outlineLevel="0" collapsed="false">
      <c r="A317" s="32"/>
      <c r="B317" s="25"/>
      <c r="C317" s="25"/>
      <c r="D317" s="33"/>
      <c r="E317" s="25"/>
      <c r="F317" s="18" t="str">
        <f aca="false">IF(A317="","",MONTH(A317))</f>
        <v/>
      </c>
      <c r="G317" s="18" t="str">
        <f aca="false">IF(A317="","",YEAR(A317))</f>
        <v/>
      </c>
      <c r="H317" s="18" t="str">
        <f aca="false">IF(B317="","",IFERROR(INDEX(Config!$B$12:$B$31,MATCH(B317,Config!$A$12:$A$31,0)),"?"))</f>
        <v/>
      </c>
    </row>
    <row r="318" customFormat="false" ht="15" hidden="false" customHeight="false" outlineLevel="0" collapsed="false">
      <c r="A318" s="32"/>
      <c r="B318" s="25"/>
      <c r="C318" s="25"/>
      <c r="D318" s="33"/>
      <c r="E318" s="25"/>
      <c r="F318" s="18" t="str">
        <f aca="false">IF(A318="","",MONTH(A318))</f>
        <v/>
      </c>
      <c r="G318" s="18" t="str">
        <f aca="false">IF(A318="","",YEAR(A318))</f>
        <v/>
      </c>
      <c r="H318" s="18" t="str">
        <f aca="false">IF(B318="","",IFERROR(INDEX(Config!$B$12:$B$31,MATCH(B318,Config!$A$12:$A$31,0)),"?"))</f>
        <v/>
      </c>
    </row>
    <row r="319" customFormat="false" ht="15" hidden="false" customHeight="false" outlineLevel="0" collapsed="false">
      <c r="A319" s="32"/>
      <c r="B319" s="25"/>
      <c r="C319" s="25"/>
      <c r="D319" s="33"/>
      <c r="E319" s="25"/>
      <c r="F319" s="18" t="str">
        <f aca="false">IF(A319="","",MONTH(A319))</f>
        <v/>
      </c>
      <c r="G319" s="18" t="str">
        <f aca="false">IF(A319="","",YEAR(A319))</f>
        <v/>
      </c>
      <c r="H319" s="18" t="str">
        <f aca="false">IF(B319="","",IFERROR(INDEX(Config!$B$12:$B$31,MATCH(B319,Config!$A$12:$A$31,0)),"?"))</f>
        <v/>
      </c>
    </row>
    <row r="320" customFormat="false" ht="15" hidden="false" customHeight="false" outlineLevel="0" collapsed="false">
      <c r="A320" s="32"/>
      <c r="B320" s="25"/>
      <c r="C320" s="25"/>
      <c r="D320" s="33"/>
      <c r="E320" s="25"/>
      <c r="F320" s="18" t="str">
        <f aca="false">IF(A320="","",MONTH(A320))</f>
        <v/>
      </c>
      <c r="G320" s="18" t="str">
        <f aca="false">IF(A320="","",YEAR(A320))</f>
        <v/>
      </c>
      <c r="H320" s="18" t="str">
        <f aca="false">IF(B320="","",IFERROR(INDEX(Config!$B$12:$B$31,MATCH(B320,Config!$A$12:$A$31,0)),"?"))</f>
        <v/>
      </c>
    </row>
    <row r="321" customFormat="false" ht="15" hidden="false" customHeight="false" outlineLevel="0" collapsed="false">
      <c r="A321" s="32"/>
      <c r="B321" s="25"/>
      <c r="C321" s="25"/>
      <c r="D321" s="33"/>
      <c r="E321" s="25"/>
      <c r="F321" s="18" t="str">
        <f aca="false">IF(A321="","",MONTH(A321))</f>
        <v/>
      </c>
      <c r="G321" s="18" t="str">
        <f aca="false">IF(A321="","",YEAR(A321))</f>
        <v/>
      </c>
      <c r="H321" s="18" t="str">
        <f aca="false">IF(B321="","",IFERROR(INDEX(Config!$B$12:$B$31,MATCH(B321,Config!$A$12:$A$31,0)),"?"))</f>
        <v/>
      </c>
    </row>
    <row r="322" customFormat="false" ht="15" hidden="false" customHeight="false" outlineLevel="0" collapsed="false">
      <c r="A322" s="32"/>
      <c r="B322" s="25"/>
      <c r="C322" s="25"/>
      <c r="D322" s="33"/>
      <c r="E322" s="25"/>
      <c r="F322" s="18" t="str">
        <f aca="false">IF(A322="","",MONTH(A322))</f>
        <v/>
      </c>
      <c r="G322" s="18" t="str">
        <f aca="false">IF(A322="","",YEAR(A322))</f>
        <v/>
      </c>
      <c r="H322" s="18" t="str">
        <f aca="false">IF(B322="","",IFERROR(INDEX(Config!$B$12:$B$31,MATCH(B322,Config!$A$12:$A$31,0)),"?"))</f>
        <v/>
      </c>
    </row>
    <row r="323" customFormat="false" ht="15" hidden="false" customHeight="false" outlineLevel="0" collapsed="false">
      <c r="A323" s="32"/>
      <c r="B323" s="25"/>
      <c r="C323" s="25"/>
      <c r="D323" s="33"/>
      <c r="E323" s="25"/>
      <c r="F323" s="18" t="str">
        <f aca="false">IF(A323="","",MONTH(A323))</f>
        <v/>
      </c>
      <c r="G323" s="18" t="str">
        <f aca="false">IF(A323="","",YEAR(A323))</f>
        <v/>
      </c>
      <c r="H323" s="18" t="str">
        <f aca="false">IF(B323="","",IFERROR(INDEX(Config!$B$12:$B$31,MATCH(B323,Config!$A$12:$A$31,0)),"?"))</f>
        <v/>
      </c>
    </row>
    <row r="324" customFormat="false" ht="15" hidden="false" customHeight="false" outlineLevel="0" collapsed="false">
      <c r="A324" s="32"/>
      <c r="B324" s="25"/>
      <c r="C324" s="25"/>
      <c r="D324" s="33"/>
      <c r="E324" s="25"/>
      <c r="F324" s="18" t="str">
        <f aca="false">IF(A324="","",MONTH(A324))</f>
        <v/>
      </c>
      <c r="G324" s="18" t="str">
        <f aca="false">IF(A324="","",YEAR(A324))</f>
        <v/>
      </c>
      <c r="H324" s="18" t="str">
        <f aca="false">IF(B324="","",IFERROR(INDEX(Config!$B$12:$B$31,MATCH(B324,Config!$A$12:$A$31,0)),"?"))</f>
        <v/>
      </c>
    </row>
    <row r="325" customFormat="false" ht="15" hidden="false" customHeight="false" outlineLevel="0" collapsed="false">
      <c r="A325" s="32"/>
      <c r="B325" s="25"/>
      <c r="C325" s="25"/>
      <c r="D325" s="33"/>
      <c r="E325" s="25"/>
      <c r="F325" s="18" t="str">
        <f aca="false">IF(A325="","",MONTH(A325))</f>
        <v/>
      </c>
      <c r="G325" s="18" t="str">
        <f aca="false">IF(A325="","",YEAR(A325))</f>
        <v/>
      </c>
      <c r="H325" s="18" t="str">
        <f aca="false">IF(B325="","",IFERROR(INDEX(Config!$B$12:$B$31,MATCH(B325,Config!$A$12:$A$31,0)),"?"))</f>
        <v/>
      </c>
    </row>
    <row r="326" customFormat="false" ht="15" hidden="false" customHeight="false" outlineLevel="0" collapsed="false">
      <c r="A326" s="32"/>
      <c r="B326" s="25"/>
      <c r="C326" s="25"/>
      <c r="D326" s="33"/>
      <c r="E326" s="25"/>
      <c r="F326" s="18" t="str">
        <f aca="false">IF(A326="","",MONTH(A326))</f>
        <v/>
      </c>
      <c r="G326" s="18" t="str">
        <f aca="false">IF(A326="","",YEAR(A326))</f>
        <v/>
      </c>
      <c r="H326" s="18" t="str">
        <f aca="false">IF(B326="","",IFERROR(INDEX(Config!$B$12:$B$31,MATCH(B326,Config!$A$12:$A$31,0)),"?"))</f>
        <v/>
      </c>
    </row>
    <row r="327" customFormat="false" ht="15" hidden="false" customHeight="false" outlineLevel="0" collapsed="false">
      <c r="A327" s="32"/>
      <c r="B327" s="25"/>
      <c r="C327" s="25"/>
      <c r="D327" s="33"/>
      <c r="E327" s="25"/>
      <c r="F327" s="18" t="str">
        <f aca="false">IF(A327="","",MONTH(A327))</f>
        <v/>
      </c>
      <c r="G327" s="18" t="str">
        <f aca="false">IF(A327="","",YEAR(A327))</f>
        <v/>
      </c>
      <c r="H327" s="18" t="str">
        <f aca="false">IF(B327="","",IFERROR(INDEX(Config!$B$12:$B$31,MATCH(B327,Config!$A$12:$A$31,0)),"?"))</f>
        <v/>
      </c>
    </row>
    <row r="328" customFormat="false" ht="15" hidden="false" customHeight="false" outlineLevel="0" collapsed="false">
      <c r="A328" s="32"/>
      <c r="B328" s="25"/>
      <c r="C328" s="25"/>
      <c r="D328" s="33"/>
      <c r="E328" s="25"/>
      <c r="F328" s="18" t="str">
        <f aca="false">IF(A328="","",MONTH(A328))</f>
        <v/>
      </c>
      <c r="G328" s="18" t="str">
        <f aca="false">IF(A328="","",YEAR(A328))</f>
        <v/>
      </c>
      <c r="H328" s="18" t="str">
        <f aca="false">IF(B328="","",IFERROR(INDEX(Config!$B$12:$B$31,MATCH(B328,Config!$A$12:$A$31,0)),"?"))</f>
        <v/>
      </c>
    </row>
    <row r="329" customFormat="false" ht="15" hidden="false" customHeight="false" outlineLevel="0" collapsed="false">
      <c r="A329" s="32"/>
      <c r="B329" s="25"/>
      <c r="C329" s="25"/>
      <c r="D329" s="33"/>
      <c r="E329" s="25"/>
      <c r="F329" s="18" t="str">
        <f aca="false">IF(A329="","",MONTH(A329))</f>
        <v/>
      </c>
      <c r="G329" s="18" t="str">
        <f aca="false">IF(A329="","",YEAR(A329))</f>
        <v/>
      </c>
      <c r="H329" s="18" t="str">
        <f aca="false">IF(B329="","",IFERROR(INDEX(Config!$B$12:$B$31,MATCH(B329,Config!$A$12:$A$31,0)),"?"))</f>
        <v/>
      </c>
    </row>
    <row r="330" customFormat="false" ht="15" hidden="false" customHeight="false" outlineLevel="0" collapsed="false">
      <c r="A330" s="32"/>
      <c r="B330" s="25"/>
      <c r="C330" s="25"/>
      <c r="D330" s="33"/>
      <c r="E330" s="25"/>
      <c r="F330" s="18" t="str">
        <f aca="false">IF(A330="","",MONTH(A330))</f>
        <v/>
      </c>
      <c r="G330" s="18" t="str">
        <f aca="false">IF(A330="","",YEAR(A330))</f>
        <v/>
      </c>
      <c r="H330" s="18" t="str">
        <f aca="false">IF(B330="","",IFERROR(INDEX(Config!$B$12:$B$31,MATCH(B330,Config!$A$12:$A$31,0)),"?"))</f>
        <v/>
      </c>
    </row>
    <row r="331" customFormat="false" ht="15" hidden="false" customHeight="false" outlineLevel="0" collapsed="false">
      <c r="A331" s="32"/>
      <c r="B331" s="25"/>
      <c r="C331" s="25"/>
      <c r="D331" s="33"/>
      <c r="E331" s="25"/>
      <c r="F331" s="18" t="str">
        <f aca="false">IF(A331="","",MONTH(A331))</f>
        <v/>
      </c>
      <c r="G331" s="18" t="str">
        <f aca="false">IF(A331="","",YEAR(A331))</f>
        <v/>
      </c>
      <c r="H331" s="18" t="str">
        <f aca="false">IF(B331="","",IFERROR(INDEX(Config!$B$12:$B$31,MATCH(B331,Config!$A$12:$A$31,0)),"?"))</f>
        <v/>
      </c>
    </row>
    <row r="332" customFormat="false" ht="15" hidden="false" customHeight="false" outlineLevel="0" collapsed="false">
      <c r="A332" s="32"/>
      <c r="B332" s="25"/>
      <c r="C332" s="25"/>
      <c r="D332" s="33"/>
      <c r="E332" s="25"/>
      <c r="F332" s="18" t="str">
        <f aca="false">IF(A332="","",MONTH(A332))</f>
        <v/>
      </c>
      <c r="G332" s="18" t="str">
        <f aca="false">IF(A332="","",YEAR(A332))</f>
        <v/>
      </c>
      <c r="H332" s="18" t="str">
        <f aca="false">IF(B332="","",IFERROR(INDEX(Config!$B$12:$B$31,MATCH(B332,Config!$A$12:$A$31,0)),"?"))</f>
        <v/>
      </c>
    </row>
    <row r="333" customFormat="false" ht="15" hidden="false" customHeight="false" outlineLevel="0" collapsed="false">
      <c r="A333" s="32"/>
      <c r="B333" s="25"/>
      <c r="C333" s="25"/>
      <c r="D333" s="33"/>
      <c r="E333" s="25"/>
      <c r="F333" s="18" t="str">
        <f aca="false">IF(A333="","",MONTH(A333))</f>
        <v/>
      </c>
      <c r="G333" s="18" t="str">
        <f aca="false">IF(A333="","",YEAR(A333))</f>
        <v/>
      </c>
      <c r="H333" s="18" t="str">
        <f aca="false">IF(B333="","",IFERROR(INDEX(Config!$B$12:$B$31,MATCH(B333,Config!$A$12:$A$31,0)),"?"))</f>
        <v/>
      </c>
    </row>
    <row r="334" customFormat="false" ht="15" hidden="false" customHeight="false" outlineLevel="0" collapsed="false">
      <c r="A334" s="32"/>
      <c r="B334" s="25"/>
      <c r="C334" s="25"/>
      <c r="D334" s="33"/>
      <c r="E334" s="25"/>
      <c r="F334" s="18" t="str">
        <f aca="false">IF(A334="","",MONTH(A334))</f>
        <v/>
      </c>
      <c r="G334" s="18" t="str">
        <f aca="false">IF(A334="","",YEAR(A334))</f>
        <v/>
      </c>
      <c r="H334" s="18" t="str">
        <f aca="false">IF(B334="","",IFERROR(INDEX(Config!$B$12:$B$31,MATCH(B334,Config!$A$12:$A$31,0)),"?"))</f>
        <v/>
      </c>
    </row>
    <row r="335" customFormat="false" ht="15" hidden="false" customHeight="false" outlineLevel="0" collapsed="false">
      <c r="A335" s="32"/>
      <c r="B335" s="25"/>
      <c r="C335" s="25"/>
      <c r="D335" s="33"/>
      <c r="E335" s="25"/>
      <c r="F335" s="18" t="str">
        <f aca="false">IF(A335="","",MONTH(A335))</f>
        <v/>
      </c>
      <c r="G335" s="18" t="str">
        <f aca="false">IF(A335="","",YEAR(A335))</f>
        <v/>
      </c>
      <c r="H335" s="18" t="str">
        <f aca="false">IF(B335="","",IFERROR(INDEX(Config!$B$12:$B$31,MATCH(B335,Config!$A$12:$A$31,0)),"?"))</f>
        <v/>
      </c>
    </row>
    <row r="336" customFormat="false" ht="15" hidden="false" customHeight="false" outlineLevel="0" collapsed="false">
      <c r="A336" s="32"/>
      <c r="B336" s="25"/>
      <c r="C336" s="25"/>
      <c r="D336" s="33"/>
      <c r="E336" s="25"/>
      <c r="F336" s="18" t="str">
        <f aca="false">IF(A336="","",MONTH(A336))</f>
        <v/>
      </c>
      <c r="G336" s="18" t="str">
        <f aca="false">IF(A336="","",YEAR(A336))</f>
        <v/>
      </c>
      <c r="H336" s="18" t="str">
        <f aca="false">IF(B336="","",IFERROR(INDEX(Config!$B$12:$B$31,MATCH(B336,Config!$A$12:$A$31,0)),"?"))</f>
        <v/>
      </c>
    </row>
    <row r="337" customFormat="false" ht="15" hidden="false" customHeight="false" outlineLevel="0" collapsed="false">
      <c r="A337" s="32"/>
      <c r="B337" s="25"/>
      <c r="C337" s="25"/>
      <c r="D337" s="33"/>
      <c r="E337" s="25"/>
      <c r="F337" s="18" t="str">
        <f aca="false">IF(A337="","",MONTH(A337))</f>
        <v/>
      </c>
      <c r="G337" s="18" t="str">
        <f aca="false">IF(A337="","",YEAR(A337))</f>
        <v/>
      </c>
      <c r="H337" s="18" t="str">
        <f aca="false">IF(B337="","",IFERROR(INDEX(Config!$B$12:$B$31,MATCH(B337,Config!$A$12:$A$31,0)),"?"))</f>
        <v/>
      </c>
    </row>
    <row r="338" customFormat="false" ht="15" hidden="false" customHeight="false" outlineLevel="0" collapsed="false">
      <c r="A338" s="32"/>
      <c r="B338" s="25"/>
      <c r="C338" s="25"/>
      <c r="D338" s="33"/>
      <c r="E338" s="25"/>
      <c r="F338" s="18" t="str">
        <f aca="false">IF(A338="","",MONTH(A338))</f>
        <v/>
      </c>
      <c r="G338" s="18" t="str">
        <f aca="false">IF(A338="","",YEAR(A338))</f>
        <v/>
      </c>
      <c r="H338" s="18" t="str">
        <f aca="false">IF(B338="","",IFERROR(INDEX(Config!$B$12:$B$31,MATCH(B338,Config!$A$12:$A$31,0)),"?"))</f>
        <v/>
      </c>
    </row>
    <row r="339" customFormat="false" ht="15" hidden="false" customHeight="false" outlineLevel="0" collapsed="false">
      <c r="A339" s="32"/>
      <c r="B339" s="25"/>
      <c r="C339" s="25"/>
      <c r="D339" s="33"/>
      <c r="E339" s="25"/>
      <c r="F339" s="18" t="str">
        <f aca="false">IF(A339="","",MONTH(A339))</f>
        <v/>
      </c>
      <c r="G339" s="18" t="str">
        <f aca="false">IF(A339="","",YEAR(A339))</f>
        <v/>
      </c>
      <c r="H339" s="18" t="str">
        <f aca="false">IF(B339="","",IFERROR(INDEX(Config!$B$12:$B$31,MATCH(B339,Config!$A$12:$A$31,0)),"?"))</f>
        <v/>
      </c>
    </row>
    <row r="340" customFormat="false" ht="15" hidden="false" customHeight="false" outlineLevel="0" collapsed="false">
      <c r="A340" s="32"/>
      <c r="B340" s="25"/>
      <c r="C340" s="25"/>
      <c r="D340" s="33"/>
      <c r="E340" s="25"/>
      <c r="F340" s="18" t="str">
        <f aca="false">IF(A340="","",MONTH(A340))</f>
        <v/>
      </c>
      <c r="G340" s="18" t="str">
        <f aca="false">IF(A340="","",YEAR(A340))</f>
        <v/>
      </c>
      <c r="H340" s="18" t="str">
        <f aca="false">IF(B340="","",IFERROR(INDEX(Config!$B$12:$B$31,MATCH(B340,Config!$A$12:$A$31,0)),"?"))</f>
        <v/>
      </c>
    </row>
    <row r="341" customFormat="false" ht="15" hidden="false" customHeight="false" outlineLevel="0" collapsed="false">
      <c r="A341" s="32"/>
      <c r="B341" s="25"/>
      <c r="C341" s="25"/>
      <c r="D341" s="33"/>
      <c r="E341" s="25"/>
      <c r="F341" s="18" t="str">
        <f aca="false">IF(A341="","",MONTH(A341))</f>
        <v/>
      </c>
      <c r="G341" s="18" t="str">
        <f aca="false">IF(A341="","",YEAR(A341))</f>
        <v/>
      </c>
      <c r="H341" s="18" t="str">
        <f aca="false">IF(B341="","",IFERROR(INDEX(Config!$B$12:$B$31,MATCH(B341,Config!$A$12:$A$31,0)),"?"))</f>
        <v/>
      </c>
    </row>
    <row r="342" customFormat="false" ht="15" hidden="false" customHeight="false" outlineLevel="0" collapsed="false">
      <c r="A342" s="32"/>
      <c r="B342" s="25"/>
      <c r="C342" s="25"/>
      <c r="D342" s="33"/>
      <c r="E342" s="25"/>
      <c r="F342" s="18" t="str">
        <f aca="false">IF(A342="","",MONTH(A342))</f>
        <v/>
      </c>
      <c r="G342" s="18" t="str">
        <f aca="false">IF(A342="","",YEAR(A342))</f>
        <v/>
      </c>
      <c r="H342" s="18" t="str">
        <f aca="false">IF(B342="","",IFERROR(INDEX(Config!$B$12:$B$31,MATCH(B342,Config!$A$12:$A$31,0)),"?"))</f>
        <v/>
      </c>
    </row>
    <row r="343" customFormat="false" ht="15" hidden="false" customHeight="false" outlineLevel="0" collapsed="false">
      <c r="A343" s="32"/>
      <c r="B343" s="25"/>
      <c r="C343" s="25"/>
      <c r="D343" s="33"/>
      <c r="E343" s="25"/>
      <c r="F343" s="18" t="str">
        <f aca="false">IF(A343="","",MONTH(A343))</f>
        <v/>
      </c>
      <c r="G343" s="18" t="str">
        <f aca="false">IF(A343="","",YEAR(A343))</f>
        <v/>
      </c>
      <c r="H343" s="18" t="str">
        <f aca="false">IF(B343="","",IFERROR(INDEX(Config!$B$12:$B$31,MATCH(B343,Config!$A$12:$A$31,0)),"?"))</f>
        <v/>
      </c>
    </row>
    <row r="344" customFormat="false" ht="15" hidden="false" customHeight="false" outlineLevel="0" collapsed="false">
      <c r="A344" s="32"/>
      <c r="B344" s="25"/>
      <c r="C344" s="25"/>
      <c r="D344" s="33"/>
      <c r="E344" s="25"/>
      <c r="F344" s="18" t="str">
        <f aca="false">IF(A344="","",MONTH(A344))</f>
        <v/>
      </c>
      <c r="G344" s="18" t="str">
        <f aca="false">IF(A344="","",YEAR(A344))</f>
        <v/>
      </c>
      <c r="H344" s="18" t="str">
        <f aca="false">IF(B344="","",IFERROR(INDEX(Config!$B$12:$B$31,MATCH(B344,Config!$A$12:$A$31,0)),"?"))</f>
        <v/>
      </c>
    </row>
    <row r="345" customFormat="false" ht="15" hidden="false" customHeight="false" outlineLevel="0" collapsed="false">
      <c r="A345" s="32"/>
      <c r="B345" s="25"/>
      <c r="C345" s="25"/>
      <c r="D345" s="33"/>
      <c r="E345" s="25"/>
      <c r="F345" s="18" t="str">
        <f aca="false">IF(A345="","",MONTH(A345))</f>
        <v/>
      </c>
      <c r="G345" s="18" t="str">
        <f aca="false">IF(A345="","",YEAR(A345))</f>
        <v/>
      </c>
      <c r="H345" s="18" t="str">
        <f aca="false">IF(B345="","",IFERROR(INDEX(Config!$B$12:$B$31,MATCH(B345,Config!$A$12:$A$31,0)),"?"))</f>
        <v/>
      </c>
    </row>
    <row r="346" customFormat="false" ht="15" hidden="false" customHeight="false" outlineLevel="0" collapsed="false">
      <c r="A346" s="32"/>
      <c r="B346" s="25"/>
      <c r="C346" s="25"/>
      <c r="D346" s="33"/>
      <c r="E346" s="25"/>
      <c r="F346" s="18" t="str">
        <f aca="false">IF(A346="","",MONTH(A346))</f>
        <v/>
      </c>
      <c r="G346" s="18" t="str">
        <f aca="false">IF(A346="","",YEAR(A346))</f>
        <v/>
      </c>
      <c r="H346" s="18" t="str">
        <f aca="false">IF(B346="","",IFERROR(INDEX(Config!$B$12:$B$31,MATCH(B346,Config!$A$12:$A$31,0)),"?"))</f>
        <v/>
      </c>
    </row>
    <row r="347" customFormat="false" ht="15" hidden="false" customHeight="false" outlineLevel="0" collapsed="false">
      <c r="A347" s="32"/>
      <c r="B347" s="25"/>
      <c r="C347" s="25"/>
      <c r="D347" s="33"/>
      <c r="E347" s="25"/>
      <c r="F347" s="18" t="str">
        <f aca="false">IF(A347="","",MONTH(A347))</f>
        <v/>
      </c>
      <c r="G347" s="18" t="str">
        <f aca="false">IF(A347="","",YEAR(A347))</f>
        <v/>
      </c>
      <c r="H347" s="18" t="str">
        <f aca="false">IF(B347="","",IFERROR(INDEX(Config!$B$12:$B$31,MATCH(B347,Config!$A$12:$A$31,0)),"?"))</f>
        <v/>
      </c>
    </row>
    <row r="348" customFormat="false" ht="15" hidden="false" customHeight="false" outlineLevel="0" collapsed="false">
      <c r="A348" s="32"/>
      <c r="B348" s="25"/>
      <c r="C348" s="25"/>
      <c r="D348" s="33"/>
      <c r="E348" s="25"/>
      <c r="F348" s="18" t="str">
        <f aca="false">IF(A348="","",MONTH(A348))</f>
        <v/>
      </c>
      <c r="G348" s="18" t="str">
        <f aca="false">IF(A348="","",YEAR(A348))</f>
        <v/>
      </c>
      <c r="H348" s="18" t="str">
        <f aca="false">IF(B348="","",IFERROR(INDEX(Config!$B$12:$B$31,MATCH(B348,Config!$A$12:$A$31,0)),"?"))</f>
        <v/>
      </c>
    </row>
    <row r="349" customFormat="false" ht="15" hidden="false" customHeight="false" outlineLevel="0" collapsed="false">
      <c r="A349" s="32"/>
      <c r="B349" s="25"/>
      <c r="C349" s="25"/>
      <c r="D349" s="33"/>
      <c r="E349" s="25"/>
      <c r="F349" s="18" t="str">
        <f aca="false">IF(A349="","",MONTH(A349))</f>
        <v/>
      </c>
      <c r="G349" s="18" t="str">
        <f aca="false">IF(A349="","",YEAR(A349))</f>
        <v/>
      </c>
      <c r="H349" s="18" t="str">
        <f aca="false">IF(B349="","",IFERROR(INDEX(Config!$B$12:$B$31,MATCH(B349,Config!$A$12:$A$31,0)),"?"))</f>
        <v/>
      </c>
    </row>
    <row r="350" customFormat="false" ht="15" hidden="false" customHeight="false" outlineLevel="0" collapsed="false">
      <c r="A350" s="32"/>
      <c r="B350" s="25"/>
      <c r="C350" s="25"/>
      <c r="D350" s="33"/>
      <c r="E350" s="25"/>
      <c r="F350" s="18" t="str">
        <f aca="false">IF(A350="","",MONTH(A350))</f>
        <v/>
      </c>
      <c r="G350" s="18" t="str">
        <f aca="false">IF(A350="","",YEAR(A350))</f>
        <v/>
      </c>
      <c r="H350" s="18" t="str">
        <f aca="false">IF(B350="","",IFERROR(INDEX(Config!$B$12:$B$31,MATCH(B350,Config!$A$12:$A$31,0)),"?"))</f>
        <v/>
      </c>
    </row>
    <row r="351" customFormat="false" ht="15" hidden="false" customHeight="false" outlineLevel="0" collapsed="false">
      <c r="A351" s="32"/>
      <c r="B351" s="25"/>
      <c r="C351" s="25"/>
      <c r="D351" s="33"/>
      <c r="E351" s="25"/>
      <c r="F351" s="18" t="str">
        <f aca="false">IF(A351="","",MONTH(A351))</f>
        <v/>
      </c>
      <c r="G351" s="18" t="str">
        <f aca="false">IF(A351="","",YEAR(A351))</f>
        <v/>
      </c>
      <c r="H351" s="18" t="str">
        <f aca="false">IF(B351="","",IFERROR(INDEX(Config!$B$12:$B$31,MATCH(B351,Config!$A$12:$A$31,0)),"?"))</f>
        <v/>
      </c>
    </row>
    <row r="352" customFormat="false" ht="15" hidden="false" customHeight="false" outlineLevel="0" collapsed="false">
      <c r="A352" s="32"/>
      <c r="B352" s="25"/>
      <c r="C352" s="25"/>
      <c r="D352" s="33"/>
      <c r="E352" s="25"/>
      <c r="F352" s="18" t="str">
        <f aca="false">IF(A352="","",MONTH(A352))</f>
        <v/>
      </c>
      <c r="G352" s="18" t="str">
        <f aca="false">IF(A352="","",YEAR(A352))</f>
        <v/>
      </c>
      <c r="H352" s="18" t="str">
        <f aca="false">IF(B352="","",IFERROR(INDEX(Config!$B$12:$B$31,MATCH(B352,Config!$A$12:$A$31,0)),"?"))</f>
        <v/>
      </c>
    </row>
    <row r="353" customFormat="false" ht="15" hidden="false" customHeight="false" outlineLevel="0" collapsed="false">
      <c r="A353" s="32"/>
      <c r="B353" s="25"/>
      <c r="C353" s="25"/>
      <c r="D353" s="33"/>
      <c r="E353" s="25"/>
      <c r="F353" s="18" t="str">
        <f aca="false">IF(A353="","",MONTH(A353))</f>
        <v/>
      </c>
      <c r="G353" s="18" t="str">
        <f aca="false">IF(A353="","",YEAR(A353))</f>
        <v/>
      </c>
      <c r="H353" s="18" t="str">
        <f aca="false">IF(B353="","",IFERROR(INDEX(Config!$B$12:$B$31,MATCH(B353,Config!$A$12:$A$31,0)),"?"))</f>
        <v/>
      </c>
    </row>
    <row r="354" customFormat="false" ht="15" hidden="false" customHeight="false" outlineLevel="0" collapsed="false">
      <c r="A354" s="32"/>
      <c r="B354" s="25"/>
      <c r="C354" s="25"/>
      <c r="D354" s="33"/>
      <c r="E354" s="25"/>
      <c r="F354" s="18" t="str">
        <f aca="false">IF(A354="","",MONTH(A354))</f>
        <v/>
      </c>
      <c r="G354" s="18" t="str">
        <f aca="false">IF(A354="","",YEAR(A354))</f>
        <v/>
      </c>
      <c r="H354" s="18" t="str">
        <f aca="false">IF(B354="","",IFERROR(INDEX(Config!$B$12:$B$31,MATCH(B354,Config!$A$12:$A$31,0)),"?"))</f>
        <v/>
      </c>
    </row>
    <row r="355" customFormat="false" ht="15" hidden="false" customHeight="false" outlineLevel="0" collapsed="false">
      <c r="A355" s="32"/>
      <c r="B355" s="25"/>
      <c r="C355" s="25"/>
      <c r="D355" s="33"/>
      <c r="E355" s="25"/>
      <c r="F355" s="18" t="str">
        <f aca="false">IF(A355="","",MONTH(A355))</f>
        <v/>
      </c>
      <c r="G355" s="18" t="str">
        <f aca="false">IF(A355="","",YEAR(A355))</f>
        <v/>
      </c>
      <c r="H355" s="18" t="str">
        <f aca="false">IF(B355="","",IFERROR(INDEX(Config!$B$12:$B$31,MATCH(B355,Config!$A$12:$A$31,0)),"?"))</f>
        <v/>
      </c>
    </row>
    <row r="356" customFormat="false" ht="15" hidden="false" customHeight="false" outlineLevel="0" collapsed="false">
      <c r="A356" s="32"/>
      <c r="B356" s="25"/>
      <c r="C356" s="25"/>
      <c r="D356" s="33"/>
      <c r="E356" s="25"/>
      <c r="F356" s="18" t="str">
        <f aca="false">IF(A356="","",MONTH(A356))</f>
        <v/>
      </c>
      <c r="G356" s="18" t="str">
        <f aca="false">IF(A356="","",YEAR(A356))</f>
        <v/>
      </c>
      <c r="H356" s="18" t="str">
        <f aca="false">IF(B356="","",IFERROR(INDEX(Config!$B$12:$B$31,MATCH(B356,Config!$A$12:$A$31,0)),"?"))</f>
        <v/>
      </c>
    </row>
    <row r="357" customFormat="false" ht="15" hidden="false" customHeight="false" outlineLevel="0" collapsed="false">
      <c r="A357" s="32"/>
      <c r="B357" s="25"/>
      <c r="C357" s="25"/>
      <c r="D357" s="33"/>
      <c r="E357" s="25"/>
      <c r="F357" s="18" t="str">
        <f aca="false">IF(A357="","",MONTH(A357))</f>
        <v/>
      </c>
      <c r="G357" s="18" t="str">
        <f aca="false">IF(A357="","",YEAR(A357))</f>
        <v/>
      </c>
      <c r="H357" s="18" t="str">
        <f aca="false">IF(B357="","",IFERROR(INDEX(Config!$B$12:$B$31,MATCH(B357,Config!$A$12:$A$31,0)),"?"))</f>
        <v/>
      </c>
    </row>
    <row r="358" customFormat="false" ht="15" hidden="false" customHeight="false" outlineLevel="0" collapsed="false">
      <c r="A358" s="32"/>
      <c r="B358" s="25"/>
      <c r="C358" s="25"/>
      <c r="D358" s="33"/>
      <c r="E358" s="25"/>
      <c r="F358" s="18" t="str">
        <f aca="false">IF(A358="","",MONTH(A358))</f>
        <v/>
      </c>
      <c r="G358" s="18" t="str">
        <f aca="false">IF(A358="","",YEAR(A358))</f>
        <v/>
      </c>
      <c r="H358" s="18" t="str">
        <f aca="false">IF(B358="","",IFERROR(INDEX(Config!$B$12:$B$31,MATCH(B358,Config!$A$12:$A$31,0)),"?"))</f>
        <v/>
      </c>
    </row>
    <row r="359" customFormat="false" ht="15" hidden="false" customHeight="false" outlineLevel="0" collapsed="false">
      <c r="A359" s="32"/>
      <c r="B359" s="25"/>
      <c r="C359" s="25"/>
      <c r="D359" s="33"/>
      <c r="E359" s="25"/>
      <c r="F359" s="18" t="str">
        <f aca="false">IF(A359="","",MONTH(A359))</f>
        <v/>
      </c>
      <c r="G359" s="18" t="str">
        <f aca="false">IF(A359="","",YEAR(A359))</f>
        <v/>
      </c>
      <c r="H359" s="18" t="str">
        <f aca="false">IF(B359="","",IFERROR(INDEX(Config!$B$12:$B$31,MATCH(B359,Config!$A$12:$A$31,0)),"?"))</f>
        <v/>
      </c>
    </row>
    <row r="360" customFormat="false" ht="15" hidden="false" customHeight="false" outlineLevel="0" collapsed="false">
      <c r="A360" s="32"/>
      <c r="B360" s="25"/>
      <c r="C360" s="25"/>
      <c r="D360" s="33"/>
      <c r="E360" s="25"/>
      <c r="F360" s="18" t="str">
        <f aca="false">IF(A360="","",MONTH(A360))</f>
        <v/>
      </c>
      <c r="G360" s="18" t="str">
        <f aca="false">IF(A360="","",YEAR(A360))</f>
        <v/>
      </c>
      <c r="H360" s="18" t="str">
        <f aca="false">IF(B360="","",IFERROR(INDEX(Config!$B$12:$B$31,MATCH(B360,Config!$A$12:$A$31,0)),"?"))</f>
        <v/>
      </c>
    </row>
    <row r="361" customFormat="false" ht="15" hidden="false" customHeight="false" outlineLevel="0" collapsed="false">
      <c r="A361" s="32"/>
      <c r="B361" s="25"/>
      <c r="C361" s="25"/>
      <c r="D361" s="33"/>
      <c r="E361" s="25"/>
      <c r="F361" s="18" t="str">
        <f aca="false">IF(A361="","",MONTH(A361))</f>
        <v/>
      </c>
      <c r="G361" s="18" t="str">
        <f aca="false">IF(A361="","",YEAR(A361))</f>
        <v/>
      </c>
      <c r="H361" s="18" t="str">
        <f aca="false">IF(B361="","",IFERROR(INDEX(Config!$B$12:$B$31,MATCH(B361,Config!$A$12:$A$31,0)),"?"))</f>
        <v/>
      </c>
    </row>
    <row r="362" customFormat="false" ht="15" hidden="false" customHeight="false" outlineLevel="0" collapsed="false">
      <c r="A362" s="32"/>
      <c r="B362" s="25"/>
      <c r="C362" s="25"/>
      <c r="D362" s="33"/>
      <c r="E362" s="25"/>
      <c r="F362" s="18" t="str">
        <f aca="false">IF(A362="","",MONTH(A362))</f>
        <v/>
      </c>
      <c r="G362" s="18" t="str">
        <f aca="false">IF(A362="","",YEAR(A362))</f>
        <v/>
      </c>
      <c r="H362" s="18" t="str">
        <f aca="false">IF(B362="","",IFERROR(INDEX(Config!$B$12:$B$31,MATCH(B362,Config!$A$12:$A$31,0)),"?"))</f>
        <v/>
      </c>
    </row>
    <row r="363" customFormat="false" ht="15" hidden="false" customHeight="false" outlineLevel="0" collapsed="false">
      <c r="A363" s="32"/>
      <c r="B363" s="25"/>
      <c r="C363" s="25"/>
      <c r="D363" s="33"/>
      <c r="E363" s="25"/>
      <c r="F363" s="18" t="str">
        <f aca="false">IF(A363="","",MONTH(A363))</f>
        <v/>
      </c>
      <c r="G363" s="18" t="str">
        <f aca="false">IF(A363="","",YEAR(A363))</f>
        <v/>
      </c>
      <c r="H363" s="18" t="str">
        <f aca="false">IF(B363="","",IFERROR(INDEX(Config!$B$12:$B$31,MATCH(B363,Config!$A$12:$A$31,0)),"?"))</f>
        <v/>
      </c>
    </row>
    <row r="364" customFormat="false" ht="15" hidden="false" customHeight="false" outlineLevel="0" collapsed="false">
      <c r="A364" s="32"/>
      <c r="B364" s="25"/>
      <c r="C364" s="25"/>
      <c r="D364" s="33"/>
      <c r="E364" s="25"/>
      <c r="F364" s="18" t="str">
        <f aca="false">IF(A364="","",MONTH(A364))</f>
        <v/>
      </c>
      <c r="G364" s="18" t="str">
        <f aca="false">IF(A364="","",YEAR(A364))</f>
        <v/>
      </c>
      <c r="H364" s="18" t="str">
        <f aca="false">IF(B364="","",IFERROR(INDEX(Config!$B$12:$B$31,MATCH(B364,Config!$A$12:$A$31,0)),"?"))</f>
        <v/>
      </c>
    </row>
    <row r="365" customFormat="false" ht="15" hidden="false" customHeight="false" outlineLevel="0" collapsed="false">
      <c r="A365" s="32"/>
      <c r="B365" s="25"/>
      <c r="C365" s="25"/>
      <c r="D365" s="33"/>
      <c r="E365" s="25"/>
      <c r="F365" s="18" t="str">
        <f aca="false">IF(A365="","",MONTH(A365))</f>
        <v/>
      </c>
      <c r="G365" s="18" t="str">
        <f aca="false">IF(A365="","",YEAR(A365))</f>
        <v/>
      </c>
      <c r="H365" s="18" t="str">
        <f aca="false">IF(B365="","",IFERROR(INDEX(Config!$B$12:$B$31,MATCH(B365,Config!$A$12:$A$31,0)),"?"))</f>
        <v/>
      </c>
    </row>
    <row r="366" customFormat="false" ht="15" hidden="false" customHeight="false" outlineLevel="0" collapsed="false">
      <c r="A366" s="32"/>
      <c r="B366" s="25"/>
      <c r="C366" s="25"/>
      <c r="D366" s="33"/>
      <c r="E366" s="25"/>
      <c r="F366" s="18" t="str">
        <f aca="false">IF(A366="","",MONTH(A366))</f>
        <v/>
      </c>
      <c r="G366" s="18" t="str">
        <f aca="false">IF(A366="","",YEAR(A366))</f>
        <v/>
      </c>
      <c r="H366" s="18" t="str">
        <f aca="false">IF(B366="","",IFERROR(INDEX(Config!$B$12:$B$31,MATCH(B366,Config!$A$12:$A$31,0)),"?"))</f>
        <v/>
      </c>
    </row>
    <row r="367" customFormat="false" ht="15" hidden="false" customHeight="false" outlineLevel="0" collapsed="false">
      <c r="A367" s="32"/>
      <c r="B367" s="25"/>
      <c r="C367" s="25"/>
      <c r="D367" s="33"/>
      <c r="E367" s="25"/>
      <c r="F367" s="18" t="str">
        <f aca="false">IF(A367="","",MONTH(A367))</f>
        <v/>
      </c>
      <c r="G367" s="18" t="str">
        <f aca="false">IF(A367="","",YEAR(A367))</f>
        <v/>
      </c>
      <c r="H367" s="18" t="str">
        <f aca="false">IF(B367="","",IFERROR(INDEX(Config!$B$12:$B$31,MATCH(B367,Config!$A$12:$A$31,0)),"?"))</f>
        <v/>
      </c>
    </row>
    <row r="368" customFormat="false" ht="15" hidden="false" customHeight="false" outlineLevel="0" collapsed="false">
      <c r="A368" s="32"/>
      <c r="B368" s="25"/>
      <c r="C368" s="25"/>
      <c r="D368" s="33"/>
      <c r="E368" s="25"/>
      <c r="F368" s="18" t="str">
        <f aca="false">IF(A368="","",MONTH(A368))</f>
        <v/>
      </c>
      <c r="G368" s="18" t="str">
        <f aca="false">IF(A368="","",YEAR(A368))</f>
        <v/>
      </c>
      <c r="H368" s="18" t="str">
        <f aca="false">IF(B368="","",IFERROR(INDEX(Config!$B$12:$B$31,MATCH(B368,Config!$A$12:$A$31,0)),"?"))</f>
        <v/>
      </c>
    </row>
    <row r="369" customFormat="false" ht="15" hidden="false" customHeight="false" outlineLevel="0" collapsed="false">
      <c r="A369" s="32"/>
      <c r="B369" s="25"/>
      <c r="C369" s="25"/>
      <c r="D369" s="33"/>
      <c r="E369" s="25"/>
      <c r="F369" s="18" t="str">
        <f aca="false">IF(A369="","",MONTH(A369))</f>
        <v/>
      </c>
      <c r="G369" s="18" t="str">
        <f aca="false">IF(A369="","",YEAR(A369))</f>
        <v/>
      </c>
      <c r="H369" s="18" t="str">
        <f aca="false">IF(B369="","",IFERROR(INDEX(Config!$B$12:$B$31,MATCH(B369,Config!$A$12:$A$31,0)),"?"))</f>
        <v/>
      </c>
    </row>
    <row r="370" customFormat="false" ht="15" hidden="false" customHeight="false" outlineLevel="0" collapsed="false">
      <c r="A370" s="32"/>
      <c r="B370" s="25"/>
      <c r="C370" s="25"/>
      <c r="D370" s="33"/>
      <c r="E370" s="25"/>
      <c r="F370" s="18" t="str">
        <f aca="false">IF(A370="","",MONTH(A370))</f>
        <v/>
      </c>
      <c r="G370" s="18" t="str">
        <f aca="false">IF(A370="","",YEAR(A370))</f>
        <v/>
      </c>
      <c r="H370" s="18" t="str">
        <f aca="false">IF(B370="","",IFERROR(INDEX(Config!$B$12:$B$31,MATCH(B370,Config!$A$12:$A$31,0)),"?"))</f>
        <v/>
      </c>
    </row>
    <row r="371" customFormat="false" ht="15" hidden="false" customHeight="false" outlineLevel="0" collapsed="false">
      <c r="A371" s="32"/>
      <c r="B371" s="25"/>
      <c r="C371" s="25"/>
      <c r="D371" s="33"/>
      <c r="E371" s="25"/>
      <c r="F371" s="18" t="str">
        <f aca="false">IF(A371="","",MONTH(A371))</f>
        <v/>
      </c>
      <c r="G371" s="18" t="str">
        <f aca="false">IF(A371="","",YEAR(A371))</f>
        <v/>
      </c>
      <c r="H371" s="18" t="str">
        <f aca="false">IF(B371="","",IFERROR(INDEX(Config!$B$12:$B$31,MATCH(B371,Config!$A$12:$A$31,0)),"?"))</f>
        <v/>
      </c>
    </row>
    <row r="372" customFormat="false" ht="15" hidden="false" customHeight="false" outlineLevel="0" collapsed="false">
      <c r="A372" s="32"/>
      <c r="B372" s="25"/>
      <c r="C372" s="25"/>
      <c r="D372" s="33"/>
      <c r="E372" s="25"/>
      <c r="F372" s="18" t="str">
        <f aca="false">IF(A372="","",MONTH(A372))</f>
        <v/>
      </c>
      <c r="G372" s="18" t="str">
        <f aca="false">IF(A372="","",YEAR(A372))</f>
        <v/>
      </c>
      <c r="H372" s="18" t="str">
        <f aca="false">IF(B372="","",IFERROR(INDEX(Config!$B$12:$B$31,MATCH(B372,Config!$A$12:$A$31,0)),"?"))</f>
        <v/>
      </c>
    </row>
    <row r="373" customFormat="false" ht="15" hidden="false" customHeight="false" outlineLevel="0" collapsed="false">
      <c r="A373" s="32"/>
      <c r="B373" s="25"/>
      <c r="C373" s="25"/>
      <c r="D373" s="33"/>
      <c r="E373" s="25"/>
      <c r="F373" s="18" t="str">
        <f aca="false">IF(A373="","",MONTH(A373))</f>
        <v/>
      </c>
      <c r="G373" s="18" t="str">
        <f aca="false">IF(A373="","",YEAR(A373))</f>
        <v/>
      </c>
      <c r="H373" s="18" t="str">
        <f aca="false">IF(B373="","",IFERROR(INDEX(Config!$B$12:$B$31,MATCH(B373,Config!$A$12:$A$31,0)),"?"))</f>
        <v/>
      </c>
    </row>
    <row r="374" customFormat="false" ht="15" hidden="false" customHeight="false" outlineLevel="0" collapsed="false">
      <c r="A374" s="32"/>
      <c r="B374" s="25"/>
      <c r="C374" s="25"/>
      <c r="D374" s="33"/>
      <c r="E374" s="25"/>
      <c r="F374" s="18" t="str">
        <f aca="false">IF(A374="","",MONTH(A374))</f>
        <v/>
      </c>
      <c r="G374" s="18" t="str">
        <f aca="false">IF(A374="","",YEAR(A374))</f>
        <v/>
      </c>
      <c r="H374" s="18" t="str">
        <f aca="false">IF(B374="","",IFERROR(INDEX(Config!$B$12:$B$31,MATCH(B374,Config!$A$12:$A$31,0)),"?"))</f>
        <v/>
      </c>
    </row>
    <row r="375" customFormat="false" ht="15" hidden="false" customHeight="false" outlineLevel="0" collapsed="false">
      <c r="A375" s="32"/>
      <c r="B375" s="25"/>
      <c r="C375" s="25"/>
      <c r="D375" s="33"/>
      <c r="E375" s="25"/>
      <c r="F375" s="18" t="str">
        <f aca="false">IF(A375="","",MONTH(A375))</f>
        <v/>
      </c>
      <c r="G375" s="18" t="str">
        <f aca="false">IF(A375="","",YEAR(A375))</f>
        <v/>
      </c>
      <c r="H375" s="18" t="str">
        <f aca="false">IF(B375="","",IFERROR(INDEX(Config!$B$12:$B$31,MATCH(B375,Config!$A$12:$A$31,0)),"?"))</f>
        <v/>
      </c>
    </row>
    <row r="376" customFormat="false" ht="15" hidden="false" customHeight="false" outlineLevel="0" collapsed="false">
      <c r="A376" s="32"/>
      <c r="B376" s="25"/>
      <c r="C376" s="25"/>
      <c r="D376" s="33"/>
      <c r="E376" s="25"/>
      <c r="F376" s="18" t="str">
        <f aca="false">IF(A376="","",MONTH(A376))</f>
        <v/>
      </c>
      <c r="G376" s="18" t="str">
        <f aca="false">IF(A376="","",YEAR(A376))</f>
        <v/>
      </c>
      <c r="H376" s="18" t="str">
        <f aca="false">IF(B376="","",IFERROR(INDEX(Config!$B$12:$B$31,MATCH(B376,Config!$A$12:$A$31,0)),"?"))</f>
        <v/>
      </c>
    </row>
    <row r="377" customFormat="false" ht="15" hidden="false" customHeight="false" outlineLevel="0" collapsed="false">
      <c r="A377" s="32"/>
      <c r="B377" s="25"/>
      <c r="C377" s="25"/>
      <c r="D377" s="33"/>
      <c r="E377" s="25"/>
      <c r="F377" s="18" t="str">
        <f aca="false">IF(A377="","",MONTH(A377))</f>
        <v/>
      </c>
      <c r="G377" s="18" t="str">
        <f aca="false">IF(A377="","",YEAR(A377))</f>
        <v/>
      </c>
      <c r="H377" s="18" t="str">
        <f aca="false">IF(B377="","",IFERROR(INDEX(Config!$B$12:$B$31,MATCH(B377,Config!$A$12:$A$31,0)),"?"))</f>
        <v/>
      </c>
    </row>
    <row r="378" customFormat="false" ht="15" hidden="false" customHeight="false" outlineLevel="0" collapsed="false">
      <c r="A378" s="32"/>
      <c r="B378" s="25"/>
      <c r="C378" s="25"/>
      <c r="D378" s="33"/>
      <c r="E378" s="25"/>
      <c r="F378" s="18" t="str">
        <f aca="false">IF(A378="","",MONTH(A378))</f>
        <v/>
      </c>
      <c r="G378" s="18" t="str">
        <f aca="false">IF(A378="","",YEAR(A378))</f>
        <v/>
      </c>
      <c r="H378" s="18" t="str">
        <f aca="false">IF(B378="","",IFERROR(INDEX(Config!$B$12:$B$31,MATCH(B378,Config!$A$12:$A$31,0)),"?"))</f>
        <v/>
      </c>
    </row>
    <row r="379" customFormat="false" ht="15" hidden="false" customHeight="false" outlineLevel="0" collapsed="false">
      <c r="A379" s="32"/>
      <c r="B379" s="25"/>
      <c r="C379" s="25"/>
      <c r="D379" s="33"/>
      <c r="E379" s="25"/>
      <c r="F379" s="18" t="str">
        <f aca="false">IF(A379="","",MONTH(A379))</f>
        <v/>
      </c>
      <c r="G379" s="18" t="str">
        <f aca="false">IF(A379="","",YEAR(A379))</f>
        <v/>
      </c>
      <c r="H379" s="18" t="str">
        <f aca="false">IF(B379="","",IFERROR(INDEX(Config!$B$12:$B$31,MATCH(B379,Config!$A$12:$A$31,0)),"?"))</f>
        <v/>
      </c>
    </row>
    <row r="380" customFormat="false" ht="15" hidden="false" customHeight="false" outlineLevel="0" collapsed="false">
      <c r="A380" s="32"/>
      <c r="B380" s="25"/>
      <c r="C380" s="25"/>
      <c r="D380" s="33"/>
      <c r="E380" s="25"/>
      <c r="F380" s="18" t="str">
        <f aca="false">IF(A380="","",MONTH(A380))</f>
        <v/>
      </c>
      <c r="G380" s="18" t="str">
        <f aca="false">IF(A380="","",YEAR(A380))</f>
        <v/>
      </c>
      <c r="H380" s="18" t="str">
        <f aca="false">IF(B380="","",IFERROR(INDEX(Config!$B$12:$B$31,MATCH(B380,Config!$A$12:$A$31,0)),"?"))</f>
        <v/>
      </c>
    </row>
    <row r="381" customFormat="false" ht="15" hidden="false" customHeight="false" outlineLevel="0" collapsed="false">
      <c r="A381" s="32"/>
      <c r="B381" s="25"/>
      <c r="C381" s="25"/>
      <c r="D381" s="33"/>
      <c r="E381" s="25"/>
      <c r="F381" s="18" t="str">
        <f aca="false">IF(A381="","",MONTH(A381))</f>
        <v/>
      </c>
      <c r="G381" s="18" t="str">
        <f aca="false">IF(A381="","",YEAR(A381))</f>
        <v/>
      </c>
      <c r="H381" s="18" t="str">
        <f aca="false">IF(B381="","",IFERROR(INDEX(Config!$B$12:$B$31,MATCH(B381,Config!$A$12:$A$31,0)),"?"))</f>
        <v/>
      </c>
    </row>
    <row r="382" customFormat="false" ht="15" hidden="false" customHeight="false" outlineLevel="0" collapsed="false">
      <c r="A382" s="32"/>
      <c r="B382" s="25"/>
      <c r="C382" s="25"/>
      <c r="D382" s="33"/>
      <c r="E382" s="25"/>
      <c r="F382" s="18" t="str">
        <f aca="false">IF(A382="","",MONTH(A382))</f>
        <v/>
      </c>
      <c r="G382" s="18" t="str">
        <f aca="false">IF(A382="","",YEAR(A382))</f>
        <v/>
      </c>
      <c r="H382" s="18" t="str">
        <f aca="false">IF(B382="","",IFERROR(INDEX(Config!$B$12:$B$31,MATCH(B382,Config!$A$12:$A$31,0)),"?"))</f>
        <v/>
      </c>
    </row>
    <row r="383" customFormat="false" ht="15" hidden="false" customHeight="false" outlineLevel="0" collapsed="false">
      <c r="A383" s="32"/>
      <c r="B383" s="25"/>
      <c r="C383" s="25"/>
      <c r="D383" s="33"/>
      <c r="E383" s="25"/>
      <c r="F383" s="18" t="str">
        <f aca="false">IF(A383="","",MONTH(A383))</f>
        <v/>
      </c>
      <c r="G383" s="18" t="str">
        <f aca="false">IF(A383="","",YEAR(A383))</f>
        <v/>
      </c>
      <c r="H383" s="18" t="str">
        <f aca="false">IF(B383="","",IFERROR(INDEX(Config!$B$12:$B$31,MATCH(B383,Config!$A$12:$A$31,0)),"?"))</f>
        <v/>
      </c>
    </row>
    <row r="384" customFormat="false" ht="15" hidden="false" customHeight="false" outlineLevel="0" collapsed="false">
      <c r="A384" s="32"/>
      <c r="B384" s="25"/>
      <c r="C384" s="25"/>
      <c r="D384" s="33"/>
      <c r="E384" s="25"/>
      <c r="F384" s="18" t="str">
        <f aca="false">IF(A384="","",MONTH(A384))</f>
        <v/>
      </c>
      <c r="G384" s="18" t="str">
        <f aca="false">IF(A384="","",YEAR(A384))</f>
        <v/>
      </c>
      <c r="H384" s="18" t="str">
        <f aca="false">IF(B384="","",IFERROR(INDEX(Config!$B$12:$B$31,MATCH(B384,Config!$A$12:$A$31,0)),"?"))</f>
        <v/>
      </c>
    </row>
    <row r="385" customFormat="false" ht="15" hidden="false" customHeight="false" outlineLevel="0" collapsed="false">
      <c r="A385" s="32"/>
      <c r="B385" s="25"/>
      <c r="C385" s="25"/>
      <c r="D385" s="33"/>
      <c r="E385" s="25"/>
      <c r="F385" s="18" t="str">
        <f aca="false">IF(A385="","",MONTH(A385))</f>
        <v/>
      </c>
      <c r="G385" s="18" t="str">
        <f aca="false">IF(A385="","",YEAR(A385))</f>
        <v/>
      </c>
      <c r="H385" s="18" t="str">
        <f aca="false">IF(B385="","",IFERROR(INDEX(Config!$B$12:$B$31,MATCH(B385,Config!$A$12:$A$31,0)),"?"))</f>
        <v/>
      </c>
    </row>
    <row r="386" customFormat="false" ht="15" hidden="false" customHeight="false" outlineLevel="0" collapsed="false">
      <c r="A386" s="32"/>
      <c r="B386" s="25"/>
      <c r="C386" s="25"/>
      <c r="D386" s="33"/>
      <c r="E386" s="25"/>
      <c r="F386" s="18" t="str">
        <f aca="false">IF(A386="","",MONTH(A386))</f>
        <v/>
      </c>
      <c r="G386" s="18" t="str">
        <f aca="false">IF(A386="","",YEAR(A386))</f>
        <v/>
      </c>
      <c r="H386" s="18" t="str">
        <f aca="false">IF(B386="","",IFERROR(INDEX(Config!$B$12:$B$31,MATCH(B386,Config!$A$12:$A$31,0)),"?"))</f>
        <v/>
      </c>
    </row>
    <row r="387" customFormat="false" ht="15" hidden="false" customHeight="false" outlineLevel="0" collapsed="false">
      <c r="A387" s="32"/>
      <c r="B387" s="25"/>
      <c r="C387" s="25"/>
      <c r="D387" s="33"/>
      <c r="E387" s="25"/>
      <c r="F387" s="18" t="str">
        <f aca="false">IF(A387="","",MONTH(A387))</f>
        <v/>
      </c>
      <c r="G387" s="18" t="str">
        <f aca="false">IF(A387="","",YEAR(A387))</f>
        <v/>
      </c>
      <c r="H387" s="18" t="str">
        <f aca="false">IF(B387="","",IFERROR(INDEX(Config!$B$12:$B$31,MATCH(B387,Config!$A$12:$A$31,0)),"?"))</f>
        <v/>
      </c>
    </row>
    <row r="388" customFormat="false" ht="15" hidden="false" customHeight="false" outlineLevel="0" collapsed="false">
      <c r="A388" s="32"/>
      <c r="B388" s="25"/>
      <c r="C388" s="25"/>
      <c r="D388" s="33"/>
      <c r="E388" s="25"/>
      <c r="F388" s="18" t="str">
        <f aca="false">IF(A388="","",MONTH(A388))</f>
        <v/>
      </c>
      <c r="G388" s="18" t="str">
        <f aca="false">IF(A388="","",YEAR(A388))</f>
        <v/>
      </c>
      <c r="H388" s="18" t="str">
        <f aca="false">IF(B388="","",IFERROR(INDEX(Config!$B$12:$B$31,MATCH(B388,Config!$A$12:$A$31,0)),"?"))</f>
        <v/>
      </c>
    </row>
    <row r="389" customFormat="false" ht="15" hidden="false" customHeight="false" outlineLevel="0" collapsed="false">
      <c r="A389" s="32"/>
      <c r="B389" s="25"/>
      <c r="C389" s="25"/>
      <c r="D389" s="33"/>
      <c r="E389" s="25"/>
      <c r="F389" s="18" t="str">
        <f aca="false">IF(A389="","",MONTH(A389))</f>
        <v/>
      </c>
      <c r="G389" s="18" t="str">
        <f aca="false">IF(A389="","",YEAR(A389))</f>
        <v/>
      </c>
      <c r="H389" s="18" t="str">
        <f aca="false">IF(B389="","",IFERROR(INDEX(Config!$B$12:$B$31,MATCH(B389,Config!$A$12:$A$31,0)),"?"))</f>
        <v/>
      </c>
    </row>
    <row r="390" customFormat="false" ht="15" hidden="false" customHeight="false" outlineLevel="0" collapsed="false">
      <c r="A390" s="32"/>
      <c r="B390" s="25"/>
      <c r="C390" s="25"/>
      <c r="D390" s="33"/>
      <c r="E390" s="25"/>
      <c r="F390" s="18" t="str">
        <f aca="false">IF(A390="","",MONTH(A390))</f>
        <v/>
      </c>
      <c r="G390" s="18" t="str">
        <f aca="false">IF(A390="","",YEAR(A390))</f>
        <v/>
      </c>
      <c r="H390" s="18" t="str">
        <f aca="false">IF(B390="","",IFERROR(INDEX(Config!$B$12:$B$31,MATCH(B390,Config!$A$12:$A$31,0)),"?"))</f>
        <v/>
      </c>
    </row>
    <row r="391" customFormat="false" ht="15" hidden="false" customHeight="false" outlineLevel="0" collapsed="false">
      <c r="A391" s="32"/>
      <c r="B391" s="25"/>
      <c r="C391" s="25"/>
      <c r="D391" s="33"/>
      <c r="E391" s="25"/>
      <c r="F391" s="18" t="str">
        <f aca="false">IF(A391="","",MONTH(A391))</f>
        <v/>
      </c>
      <c r="G391" s="18" t="str">
        <f aca="false">IF(A391="","",YEAR(A391))</f>
        <v/>
      </c>
      <c r="H391" s="18" t="str">
        <f aca="false">IF(B391="","",IFERROR(INDEX(Config!$B$12:$B$31,MATCH(B391,Config!$A$12:$A$31,0)),"?"))</f>
        <v/>
      </c>
    </row>
    <row r="392" customFormat="false" ht="15" hidden="false" customHeight="false" outlineLevel="0" collapsed="false">
      <c r="A392" s="32"/>
      <c r="B392" s="25"/>
      <c r="C392" s="25"/>
      <c r="D392" s="33"/>
      <c r="E392" s="25"/>
      <c r="F392" s="18" t="str">
        <f aca="false">IF(A392="","",MONTH(A392))</f>
        <v/>
      </c>
      <c r="G392" s="18" t="str">
        <f aca="false">IF(A392="","",YEAR(A392))</f>
        <v/>
      </c>
      <c r="H392" s="18" t="str">
        <f aca="false">IF(B392="","",IFERROR(INDEX(Config!$B$12:$B$31,MATCH(B392,Config!$A$12:$A$31,0)),"?"))</f>
        <v/>
      </c>
    </row>
    <row r="393" customFormat="false" ht="15" hidden="false" customHeight="false" outlineLevel="0" collapsed="false">
      <c r="A393" s="32"/>
      <c r="B393" s="25"/>
      <c r="C393" s="25"/>
      <c r="D393" s="33"/>
      <c r="E393" s="25"/>
      <c r="F393" s="18" t="str">
        <f aca="false">IF(A393="","",MONTH(A393))</f>
        <v/>
      </c>
      <c r="G393" s="18" t="str">
        <f aca="false">IF(A393="","",YEAR(A393))</f>
        <v/>
      </c>
      <c r="H393" s="18" t="str">
        <f aca="false">IF(B393="","",IFERROR(INDEX(Config!$B$12:$B$31,MATCH(B393,Config!$A$12:$A$31,0)),"?"))</f>
        <v/>
      </c>
    </row>
    <row r="394" customFormat="false" ht="15" hidden="false" customHeight="false" outlineLevel="0" collapsed="false">
      <c r="A394" s="32"/>
      <c r="B394" s="25"/>
      <c r="C394" s="25"/>
      <c r="D394" s="33"/>
      <c r="E394" s="25"/>
      <c r="F394" s="18" t="str">
        <f aca="false">IF(A394="","",MONTH(A394))</f>
        <v/>
      </c>
      <c r="G394" s="18" t="str">
        <f aca="false">IF(A394="","",YEAR(A394))</f>
        <v/>
      </c>
      <c r="H394" s="18" t="str">
        <f aca="false">IF(B394="","",IFERROR(INDEX(Config!$B$12:$B$31,MATCH(B394,Config!$A$12:$A$31,0)),"?"))</f>
        <v/>
      </c>
    </row>
    <row r="395" customFormat="false" ht="15" hidden="false" customHeight="false" outlineLevel="0" collapsed="false">
      <c r="A395" s="32"/>
      <c r="B395" s="25"/>
      <c r="C395" s="25"/>
      <c r="D395" s="33"/>
      <c r="E395" s="25"/>
      <c r="F395" s="18" t="str">
        <f aca="false">IF(A395="","",MONTH(A395))</f>
        <v/>
      </c>
      <c r="G395" s="18" t="str">
        <f aca="false">IF(A395="","",YEAR(A395))</f>
        <v/>
      </c>
      <c r="H395" s="18" t="str">
        <f aca="false">IF(B395="","",IFERROR(INDEX(Config!$B$12:$B$31,MATCH(B395,Config!$A$12:$A$31,0)),"?"))</f>
        <v/>
      </c>
    </row>
    <row r="396" customFormat="false" ht="15" hidden="false" customHeight="false" outlineLevel="0" collapsed="false">
      <c r="A396" s="32"/>
      <c r="B396" s="25"/>
      <c r="C396" s="25"/>
      <c r="D396" s="33"/>
      <c r="E396" s="25"/>
      <c r="F396" s="18" t="str">
        <f aca="false">IF(A396="","",MONTH(A396))</f>
        <v/>
      </c>
      <c r="G396" s="18" t="str">
        <f aca="false">IF(A396="","",YEAR(A396))</f>
        <v/>
      </c>
      <c r="H396" s="18" t="str">
        <f aca="false">IF(B396="","",IFERROR(INDEX(Config!$B$12:$B$31,MATCH(B396,Config!$A$12:$A$31,0)),"?"))</f>
        <v/>
      </c>
    </row>
    <row r="397" customFormat="false" ht="15" hidden="false" customHeight="false" outlineLevel="0" collapsed="false">
      <c r="A397" s="32"/>
      <c r="B397" s="25"/>
      <c r="C397" s="25"/>
      <c r="D397" s="33"/>
      <c r="E397" s="25"/>
      <c r="F397" s="18" t="str">
        <f aca="false">IF(A397="","",MONTH(A397))</f>
        <v/>
      </c>
      <c r="G397" s="18" t="str">
        <f aca="false">IF(A397="","",YEAR(A397))</f>
        <v/>
      </c>
      <c r="H397" s="18" t="str">
        <f aca="false">IF(B397="","",IFERROR(INDEX(Config!$B$12:$B$31,MATCH(B397,Config!$A$12:$A$31,0)),"?"))</f>
        <v/>
      </c>
    </row>
    <row r="398" customFormat="false" ht="15" hidden="false" customHeight="false" outlineLevel="0" collapsed="false">
      <c r="A398" s="32"/>
      <c r="B398" s="25"/>
      <c r="C398" s="25"/>
      <c r="D398" s="33"/>
      <c r="E398" s="25"/>
      <c r="F398" s="18" t="str">
        <f aca="false">IF(A398="","",MONTH(A398))</f>
        <v/>
      </c>
      <c r="G398" s="18" t="str">
        <f aca="false">IF(A398="","",YEAR(A398))</f>
        <v/>
      </c>
      <c r="H398" s="18" t="str">
        <f aca="false">IF(B398="","",IFERROR(INDEX(Config!$B$12:$B$31,MATCH(B398,Config!$A$12:$A$31,0)),"?"))</f>
        <v/>
      </c>
    </row>
    <row r="399" customFormat="false" ht="15" hidden="false" customHeight="false" outlineLevel="0" collapsed="false">
      <c r="A399" s="32"/>
      <c r="B399" s="25"/>
      <c r="C399" s="25"/>
      <c r="D399" s="33"/>
      <c r="E399" s="25"/>
      <c r="F399" s="18" t="str">
        <f aca="false">IF(A399="","",MONTH(A399))</f>
        <v/>
      </c>
      <c r="G399" s="18" t="str">
        <f aca="false">IF(A399="","",YEAR(A399))</f>
        <v/>
      </c>
      <c r="H399" s="18" t="str">
        <f aca="false">IF(B399="","",IFERROR(INDEX(Config!$B$12:$B$31,MATCH(B399,Config!$A$12:$A$31,0)),"?"))</f>
        <v/>
      </c>
    </row>
    <row r="400" customFormat="false" ht="15" hidden="false" customHeight="false" outlineLevel="0" collapsed="false">
      <c r="A400" s="32"/>
      <c r="B400" s="25"/>
      <c r="C400" s="25"/>
      <c r="D400" s="33"/>
      <c r="E400" s="25"/>
      <c r="F400" s="18" t="str">
        <f aca="false">IF(A400="","",MONTH(A400))</f>
        <v/>
      </c>
      <c r="G400" s="18" t="str">
        <f aca="false">IF(A400="","",YEAR(A400))</f>
        <v/>
      </c>
      <c r="H400" s="18" t="str">
        <f aca="false">IF(B400="","",IFERROR(INDEX(Config!$B$12:$B$31,MATCH(B400,Config!$A$12:$A$31,0)),"?"))</f>
        <v/>
      </c>
    </row>
    <row r="401" customFormat="false" ht="15" hidden="false" customHeight="false" outlineLevel="0" collapsed="false">
      <c r="A401" s="32"/>
      <c r="B401" s="25"/>
      <c r="C401" s="25"/>
      <c r="D401" s="33"/>
      <c r="E401" s="25"/>
      <c r="F401" s="18" t="str">
        <f aca="false">IF(A401="","",MONTH(A401))</f>
        <v/>
      </c>
      <c r="G401" s="18" t="str">
        <f aca="false">IF(A401="","",YEAR(A401))</f>
        <v/>
      </c>
      <c r="H401" s="18" t="str">
        <f aca="false">IF(B401="","",IFERROR(INDEX(Config!$B$12:$B$31,MATCH(B401,Config!$A$12:$A$31,0)),"?"))</f>
        <v/>
      </c>
    </row>
    <row r="402" customFormat="false" ht="15" hidden="false" customHeight="false" outlineLevel="0" collapsed="false">
      <c r="A402" s="32"/>
      <c r="B402" s="25"/>
      <c r="C402" s="25"/>
      <c r="D402" s="33"/>
      <c r="E402" s="25"/>
      <c r="F402" s="18" t="str">
        <f aca="false">IF(A402="","",MONTH(A402))</f>
        <v/>
      </c>
      <c r="G402" s="18" t="str">
        <f aca="false">IF(A402="","",YEAR(A402))</f>
        <v/>
      </c>
      <c r="H402" s="18" t="str">
        <f aca="false">IF(B402="","",IFERROR(INDEX(Config!$B$12:$B$31,MATCH(B402,Config!$A$12:$A$31,0)),"?"))</f>
        <v/>
      </c>
    </row>
    <row r="403" customFormat="false" ht="15" hidden="false" customHeight="false" outlineLevel="0" collapsed="false">
      <c r="A403" s="32"/>
      <c r="B403" s="25"/>
      <c r="C403" s="25"/>
      <c r="D403" s="33"/>
      <c r="E403" s="25"/>
      <c r="F403" s="18" t="str">
        <f aca="false">IF(A403="","",MONTH(A403))</f>
        <v/>
      </c>
      <c r="G403" s="18" t="str">
        <f aca="false">IF(A403="","",YEAR(A403))</f>
        <v/>
      </c>
      <c r="H403" s="18" t="str">
        <f aca="false">IF(B403="","",IFERROR(INDEX(Config!$B$12:$B$31,MATCH(B403,Config!$A$12:$A$31,0)),"?"))</f>
        <v/>
      </c>
    </row>
    <row r="404" customFormat="false" ht="15" hidden="false" customHeight="false" outlineLevel="0" collapsed="false">
      <c r="A404" s="32"/>
      <c r="B404" s="25"/>
      <c r="C404" s="25"/>
      <c r="D404" s="33"/>
      <c r="E404" s="25"/>
      <c r="F404" s="18" t="str">
        <f aca="false">IF(A404="","",MONTH(A404))</f>
        <v/>
      </c>
      <c r="G404" s="18" t="str">
        <f aca="false">IF(A404="","",YEAR(A404))</f>
        <v/>
      </c>
      <c r="H404" s="18" t="str">
        <f aca="false">IF(B404="","",IFERROR(INDEX(Config!$B$12:$B$31,MATCH(B404,Config!$A$12:$A$31,0)),"?"))</f>
        <v/>
      </c>
    </row>
    <row r="405" customFormat="false" ht="15" hidden="false" customHeight="false" outlineLevel="0" collapsed="false">
      <c r="A405" s="32"/>
      <c r="B405" s="25"/>
      <c r="C405" s="25"/>
      <c r="D405" s="33"/>
      <c r="E405" s="25"/>
      <c r="F405" s="18" t="str">
        <f aca="false">IF(A405="","",MONTH(A405))</f>
        <v/>
      </c>
      <c r="G405" s="18" t="str">
        <f aca="false">IF(A405="","",YEAR(A405))</f>
        <v/>
      </c>
      <c r="H405" s="18" t="str">
        <f aca="false">IF(B405="","",IFERROR(INDEX(Config!$B$12:$B$31,MATCH(B405,Config!$A$12:$A$31,0)),"?"))</f>
        <v/>
      </c>
    </row>
    <row r="406" customFormat="false" ht="15" hidden="false" customHeight="false" outlineLevel="0" collapsed="false">
      <c r="A406" s="32"/>
      <c r="B406" s="25"/>
      <c r="C406" s="25"/>
      <c r="D406" s="33"/>
      <c r="E406" s="25"/>
      <c r="F406" s="18" t="str">
        <f aca="false">IF(A406="","",MONTH(A406))</f>
        <v/>
      </c>
      <c r="G406" s="18" t="str">
        <f aca="false">IF(A406="","",YEAR(A406))</f>
        <v/>
      </c>
      <c r="H406" s="18" t="str">
        <f aca="false">IF(B406="","",IFERROR(INDEX(Config!$B$12:$B$31,MATCH(B406,Config!$A$12:$A$31,0)),"?"))</f>
        <v/>
      </c>
    </row>
    <row r="407" customFormat="false" ht="15" hidden="false" customHeight="false" outlineLevel="0" collapsed="false">
      <c r="A407" s="32"/>
      <c r="B407" s="25"/>
      <c r="C407" s="25"/>
      <c r="D407" s="33"/>
      <c r="E407" s="25"/>
      <c r="F407" s="18" t="str">
        <f aca="false">IF(A407="","",MONTH(A407))</f>
        <v/>
      </c>
      <c r="G407" s="18" t="str">
        <f aca="false">IF(A407="","",YEAR(A407))</f>
        <v/>
      </c>
      <c r="H407" s="18" t="str">
        <f aca="false">IF(B407="","",IFERROR(INDEX(Config!$B$12:$B$31,MATCH(B407,Config!$A$12:$A$31,0)),"?"))</f>
        <v/>
      </c>
    </row>
    <row r="408" customFormat="false" ht="15" hidden="false" customHeight="false" outlineLevel="0" collapsed="false">
      <c r="A408" s="32"/>
      <c r="B408" s="25"/>
      <c r="C408" s="25"/>
      <c r="D408" s="33"/>
      <c r="E408" s="25"/>
      <c r="F408" s="18" t="str">
        <f aca="false">IF(A408="","",MONTH(A408))</f>
        <v/>
      </c>
      <c r="G408" s="18" t="str">
        <f aca="false">IF(A408="","",YEAR(A408))</f>
        <v/>
      </c>
      <c r="H408" s="18" t="str">
        <f aca="false">IF(B408="","",IFERROR(INDEX(Config!$B$12:$B$31,MATCH(B408,Config!$A$12:$A$31,0)),"?"))</f>
        <v/>
      </c>
    </row>
    <row r="409" customFormat="false" ht="15" hidden="false" customHeight="false" outlineLevel="0" collapsed="false">
      <c r="A409" s="32"/>
      <c r="B409" s="25"/>
      <c r="C409" s="25"/>
      <c r="D409" s="33"/>
      <c r="E409" s="25"/>
      <c r="F409" s="18" t="str">
        <f aca="false">IF(A409="","",MONTH(A409))</f>
        <v/>
      </c>
      <c r="G409" s="18" t="str">
        <f aca="false">IF(A409="","",YEAR(A409))</f>
        <v/>
      </c>
      <c r="H409" s="18" t="str">
        <f aca="false">IF(B409="","",IFERROR(INDEX(Config!$B$12:$B$31,MATCH(B409,Config!$A$12:$A$31,0)),"?"))</f>
        <v/>
      </c>
    </row>
    <row r="410" customFormat="false" ht="15" hidden="false" customHeight="false" outlineLevel="0" collapsed="false">
      <c r="A410" s="32"/>
      <c r="B410" s="25"/>
      <c r="C410" s="25"/>
      <c r="D410" s="33"/>
      <c r="E410" s="25"/>
      <c r="F410" s="18" t="str">
        <f aca="false">IF(A410="","",MONTH(A410))</f>
        <v/>
      </c>
      <c r="G410" s="18" t="str">
        <f aca="false">IF(A410="","",YEAR(A410))</f>
        <v/>
      </c>
      <c r="H410" s="18" t="str">
        <f aca="false">IF(B410="","",IFERROR(INDEX(Config!$B$12:$B$31,MATCH(B410,Config!$A$12:$A$31,0)),"?"))</f>
        <v/>
      </c>
    </row>
    <row r="411" customFormat="false" ht="15" hidden="false" customHeight="false" outlineLevel="0" collapsed="false">
      <c r="A411" s="32"/>
      <c r="B411" s="25"/>
      <c r="C411" s="25"/>
      <c r="D411" s="33"/>
      <c r="E411" s="25"/>
      <c r="F411" s="18" t="str">
        <f aca="false">IF(A411="","",MONTH(A411))</f>
        <v/>
      </c>
      <c r="G411" s="18" t="str">
        <f aca="false">IF(A411="","",YEAR(A411))</f>
        <v/>
      </c>
      <c r="H411" s="18" t="str">
        <f aca="false">IF(B411="","",IFERROR(INDEX(Config!$B$12:$B$31,MATCH(B411,Config!$A$12:$A$31,0)),"?"))</f>
        <v/>
      </c>
    </row>
    <row r="412" customFormat="false" ht="15" hidden="false" customHeight="false" outlineLevel="0" collapsed="false">
      <c r="A412" s="32"/>
      <c r="B412" s="25"/>
      <c r="C412" s="25"/>
      <c r="D412" s="33"/>
      <c r="E412" s="25"/>
      <c r="F412" s="18" t="str">
        <f aca="false">IF(A412="","",MONTH(A412))</f>
        <v/>
      </c>
      <c r="G412" s="18" t="str">
        <f aca="false">IF(A412="","",YEAR(A412))</f>
        <v/>
      </c>
      <c r="H412" s="18" t="str">
        <f aca="false">IF(B412="","",IFERROR(INDEX(Config!$B$12:$B$31,MATCH(B412,Config!$A$12:$A$31,0)),"?"))</f>
        <v/>
      </c>
    </row>
    <row r="413" customFormat="false" ht="15" hidden="false" customHeight="false" outlineLevel="0" collapsed="false">
      <c r="A413" s="32"/>
      <c r="B413" s="25"/>
      <c r="C413" s="25"/>
      <c r="D413" s="33"/>
      <c r="E413" s="25"/>
      <c r="F413" s="18" t="str">
        <f aca="false">IF(A413="","",MONTH(A413))</f>
        <v/>
      </c>
      <c r="G413" s="18" t="str">
        <f aca="false">IF(A413="","",YEAR(A413))</f>
        <v/>
      </c>
      <c r="H413" s="18" t="str">
        <f aca="false">IF(B413="","",IFERROR(INDEX(Config!$B$12:$B$31,MATCH(B413,Config!$A$12:$A$31,0)),"?"))</f>
        <v/>
      </c>
    </row>
    <row r="414" customFormat="false" ht="15" hidden="false" customHeight="false" outlineLevel="0" collapsed="false">
      <c r="A414" s="32"/>
      <c r="B414" s="25"/>
      <c r="C414" s="25"/>
      <c r="D414" s="33"/>
      <c r="E414" s="25"/>
      <c r="F414" s="18" t="str">
        <f aca="false">IF(A414="","",MONTH(A414))</f>
        <v/>
      </c>
      <c r="G414" s="18" t="str">
        <f aca="false">IF(A414="","",YEAR(A414))</f>
        <v/>
      </c>
      <c r="H414" s="18" t="str">
        <f aca="false">IF(B414="","",IFERROR(INDEX(Config!$B$12:$B$31,MATCH(B414,Config!$A$12:$A$31,0)),"?"))</f>
        <v/>
      </c>
    </row>
    <row r="415" customFormat="false" ht="15" hidden="false" customHeight="false" outlineLevel="0" collapsed="false">
      <c r="A415" s="32"/>
      <c r="B415" s="25"/>
      <c r="C415" s="25"/>
      <c r="D415" s="33"/>
      <c r="E415" s="25"/>
      <c r="F415" s="18" t="str">
        <f aca="false">IF(A415="","",MONTH(A415))</f>
        <v/>
      </c>
      <c r="G415" s="18" t="str">
        <f aca="false">IF(A415="","",YEAR(A415))</f>
        <v/>
      </c>
      <c r="H415" s="18" t="str">
        <f aca="false">IF(B415="","",IFERROR(INDEX(Config!$B$12:$B$31,MATCH(B415,Config!$A$12:$A$31,0)),"?"))</f>
        <v/>
      </c>
    </row>
    <row r="416" customFormat="false" ht="15" hidden="false" customHeight="false" outlineLevel="0" collapsed="false">
      <c r="A416" s="32"/>
      <c r="B416" s="25"/>
      <c r="C416" s="25"/>
      <c r="D416" s="33"/>
      <c r="E416" s="25"/>
      <c r="F416" s="18" t="str">
        <f aca="false">IF(A416="","",MONTH(A416))</f>
        <v/>
      </c>
      <c r="G416" s="18" t="str">
        <f aca="false">IF(A416="","",YEAR(A416))</f>
        <v/>
      </c>
      <c r="H416" s="18" t="str">
        <f aca="false">IF(B416="","",IFERROR(INDEX(Config!$B$12:$B$31,MATCH(B416,Config!$A$12:$A$31,0)),"?"))</f>
        <v/>
      </c>
    </row>
    <row r="417" customFormat="false" ht="15" hidden="false" customHeight="false" outlineLevel="0" collapsed="false">
      <c r="A417" s="32"/>
      <c r="B417" s="25"/>
      <c r="C417" s="25"/>
      <c r="D417" s="33"/>
      <c r="E417" s="25"/>
      <c r="F417" s="18" t="str">
        <f aca="false">IF(A417="","",MONTH(A417))</f>
        <v/>
      </c>
      <c r="G417" s="18" t="str">
        <f aca="false">IF(A417="","",YEAR(A417))</f>
        <v/>
      </c>
      <c r="H417" s="18" t="str">
        <f aca="false">IF(B417="","",IFERROR(INDEX(Config!$B$12:$B$31,MATCH(B417,Config!$A$12:$A$31,0)),"?"))</f>
        <v/>
      </c>
    </row>
    <row r="418" customFormat="false" ht="15" hidden="false" customHeight="false" outlineLevel="0" collapsed="false">
      <c r="A418" s="32"/>
      <c r="B418" s="25"/>
      <c r="C418" s="25"/>
      <c r="D418" s="33"/>
      <c r="E418" s="25"/>
      <c r="F418" s="18" t="str">
        <f aca="false">IF(A418="","",MONTH(A418))</f>
        <v/>
      </c>
      <c r="G418" s="18" t="str">
        <f aca="false">IF(A418="","",YEAR(A418))</f>
        <v/>
      </c>
      <c r="H418" s="18" t="str">
        <f aca="false">IF(B418="","",IFERROR(INDEX(Config!$B$12:$B$31,MATCH(B418,Config!$A$12:$A$31,0)),"?"))</f>
        <v/>
      </c>
    </row>
    <row r="419" customFormat="false" ht="15" hidden="false" customHeight="false" outlineLevel="0" collapsed="false">
      <c r="A419" s="32"/>
      <c r="B419" s="25"/>
      <c r="C419" s="25"/>
      <c r="D419" s="33"/>
      <c r="E419" s="25"/>
      <c r="F419" s="18" t="str">
        <f aca="false">IF(A419="","",MONTH(A419))</f>
        <v/>
      </c>
      <c r="G419" s="18" t="str">
        <f aca="false">IF(A419="","",YEAR(A419))</f>
        <v/>
      </c>
      <c r="H419" s="18" t="str">
        <f aca="false">IF(B419="","",IFERROR(INDEX(Config!$B$12:$B$31,MATCH(B419,Config!$A$12:$A$31,0)),"?"))</f>
        <v/>
      </c>
    </row>
    <row r="420" customFormat="false" ht="15" hidden="false" customHeight="false" outlineLevel="0" collapsed="false">
      <c r="A420" s="32"/>
      <c r="B420" s="25"/>
      <c r="C420" s="25"/>
      <c r="D420" s="33"/>
      <c r="E420" s="25"/>
      <c r="F420" s="18" t="str">
        <f aca="false">IF(A420="","",MONTH(A420))</f>
        <v/>
      </c>
      <c r="G420" s="18" t="str">
        <f aca="false">IF(A420="","",YEAR(A420))</f>
        <v/>
      </c>
      <c r="H420" s="18" t="str">
        <f aca="false">IF(B420="","",IFERROR(INDEX(Config!$B$12:$B$31,MATCH(B420,Config!$A$12:$A$31,0)),"?"))</f>
        <v/>
      </c>
    </row>
    <row r="421" customFormat="false" ht="15" hidden="false" customHeight="false" outlineLevel="0" collapsed="false">
      <c r="A421" s="32"/>
      <c r="B421" s="25"/>
      <c r="C421" s="25"/>
      <c r="D421" s="33"/>
      <c r="E421" s="25"/>
      <c r="F421" s="18" t="str">
        <f aca="false">IF(A421="","",MONTH(A421))</f>
        <v/>
      </c>
      <c r="G421" s="18" t="str">
        <f aca="false">IF(A421="","",YEAR(A421))</f>
        <v/>
      </c>
      <c r="H421" s="18" t="str">
        <f aca="false">IF(B421="","",IFERROR(INDEX(Config!$B$12:$B$31,MATCH(B421,Config!$A$12:$A$31,0)),"?"))</f>
        <v/>
      </c>
    </row>
    <row r="422" customFormat="false" ht="15" hidden="false" customHeight="false" outlineLevel="0" collapsed="false">
      <c r="A422" s="32"/>
      <c r="B422" s="25"/>
      <c r="C422" s="25"/>
      <c r="D422" s="33"/>
      <c r="E422" s="25"/>
      <c r="F422" s="18" t="str">
        <f aca="false">IF(A422="","",MONTH(A422))</f>
        <v/>
      </c>
      <c r="G422" s="18" t="str">
        <f aca="false">IF(A422="","",YEAR(A422))</f>
        <v/>
      </c>
      <c r="H422" s="18" t="str">
        <f aca="false">IF(B422="","",IFERROR(INDEX(Config!$B$12:$B$31,MATCH(B422,Config!$A$12:$A$31,0)),"?"))</f>
        <v/>
      </c>
    </row>
    <row r="423" customFormat="false" ht="15" hidden="false" customHeight="false" outlineLevel="0" collapsed="false">
      <c r="A423" s="32"/>
      <c r="B423" s="25"/>
      <c r="C423" s="25"/>
      <c r="D423" s="33"/>
      <c r="E423" s="25"/>
      <c r="F423" s="18" t="str">
        <f aca="false">IF(A423="","",MONTH(A423))</f>
        <v/>
      </c>
      <c r="G423" s="18" t="str">
        <f aca="false">IF(A423="","",YEAR(A423))</f>
        <v/>
      </c>
      <c r="H423" s="18" t="str">
        <f aca="false">IF(B423="","",IFERROR(INDEX(Config!$B$12:$B$31,MATCH(B423,Config!$A$12:$A$31,0)),"?"))</f>
        <v/>
      </c>
    </row>
    <row r="424" customFormat="false" ht="15" hidden="false" customHeight="false" outlineLevel="0" collapsed="false">
      <c r="A424" s="32"/>
      <c r="B424" s="25"/>
      <c r="C424" s="25"/>
      <c r="D424" s="33"/>
      <c r="E424" s="25"/>
      <c r="F424" s="18" t="str">
        <f aca="false">IF(A424="","",MONTH(A424))</f>
        <v/>
      </c>
      <c r="G424" s="18" t="str">
        <f aca="false">IF(A424="","",YEAR(A424))</f>
        <v/>
      </c>
      <c r="H424" s="18" t="str">
        <f aca="false">IF(B424="","",IFERROR(INDEX(Config!$B$12:$B$31,MATCH(B424,Config!$A$12:$A$31,0)),"?"))</f>
        <v/>
      </c>
    </row>
    <row r="425" customFormat="false" ht="15" hidden="false" customHeight="false" outlineLevel="0" collapsed="false">
      <c r="A425" s="32"/>
      <c r="B425" s="25"/>
      <c r="C425" s="25"/>
      <c r="D425" s="33"/>
      <c r="E425" s="25"/>
      <c r="F425" s="18" t="str">
        <f aca="false">IF(A425="","",MONTH(A425))</f>
        <v/>
      </c>
      <c r="G425" s="18" t="str">
        <f aca="false">IF(A425="","",YEAR(A425))</f>
        <v/>
      </c>
      <c r="H425" s="18" t="str">
        <f aca="false">IF(B425="","",IFERROR(INDEX(Config!$B$12:$B$31,MATCH(B425,Config!$A$12:$A$31,0)),"?"))</f>
        <v/>
      </c>
    </row>
    <row r="426" customFormat="false" ht="15" hidden="false" customHeight="false" outlineLevel="0" collapsed="false">
      <c r="A426" s="32"/>
      <c r="B426" s="25"/>
      <c r="C426" s="25"/>
      <c r="D426" s="33"/>
      <c r="E426" s="25"/>
      <c r="F426" s="18" t="str">
        <f aca="false">IF(A426="","",MONTH(A426))</f>
        <v/>
      </c>
      <c r="G426" s="18" t="str">
        <f aca="false">IF(A426="","",YEAR(A426))</f>
        <v/>
      </c>
      <c r="H426" s="18" t="str">
        <f aca="false">IF(B426="","",IFERROR(INDEX(Config!$B$12:$B$31,MATCH(B426,Config!$A$12:$A$31,0)),"?"))</f>
        <v/>
      </c>
    </row>
    <row r="427" customFormat="false" ht="15" hidden="false" customHeight="false" outlineLevel="0" collapsed="false">
      <c r="A427" s="32"/>
      <c r="B427" s="25"/>
      <c r="C427" s="25"/>
      <c r="D427" s="33"/>
      <c r="E427" s="25"/>
      <c r="F427" s="18" t="str">
        <f aca="false">IF(A427="","",MONTH(A427))</f>
        <v/>
      </c>
      <c r="G427" s="18" t="str">
        <f aca="false">IF(A427="","",YEAR(A427))</f>
        <v/>
      </c>
      <c r="H427" s="18" t="str">
        <f aca="false">IF(B427="","",IFERROR(INDEX(Config!$B$12:$B$31,MATCH(B427,Config!$A$12:$A$31,0)),"?"))</f>
        <v/>
      </c>
    </row>
    <row r="428" customFormat="false" ht="15" hidden="false" customHeight="false" outlineLevel="0" collapsed="false">
      <c r="A428" s="32"/>
      <c r="B428" s="25"/>
      <c r="C428" s="25"/>
      <c r="D428" s="33"/>
      <c r="E428" s="25"/>
      <c r="F428" s="18" t="str">
        <f aca="false">IF(A428="","",MONTH(A428))</f>
        <v/>
      </c>
      <c r="G428" s="18" t="str">
        <f aca="false">IF(A428="","",YEAR(A428))</f>
        <v/>
      </c>
      <c r="H428" s="18" t="str">
        <f aca="false">IF(B428="","",IFERROR(INDEX(Config!$B$12:$B$31,MATCH(B428,Config!$A$12:$A$31,0)),"?"))</f>
        <v/>
      </c>
    </row>
    <row r="429" customFormat="false" ht="15" hidden="false" customHeight="false" outlineLevel="0" collapsed="false">
      <c r="A429" s="32"/>
      <c r="B429" s="25"/>
      <c r="C429" s="25"/>
      <c r="D429" s="33"/>
      <c r="E429" s="25"/>
      <c r="F429" s="18" t="str">
        <f aca="false">IF(A429="","",MONTH(A429))</f>
        <v/>
      </c>
      <c r="G429" s="18" t="str">
        <f aca="false">IF(A429="","",YEAR(A429))</f>
        <v/>
      </c>
      <c r="H429" s="18" t="str">
        <f aca="false">IF(B429="","",IFERROR(INDEX(Config!$B$12:$B$31,MATCH(B429,Config!$A$12:$A$31,0)),"?"))</f>
        <v/>
      </c>
    </row>
    <row r="430" customFormat="false" ht="15" hidden="false" customHeight="false" outlineLevel="0" collapsed="false">
      <c r="A430" s="32"/>
      <c r="B430" s="25"/>
      <c r="C430" s="25"/>
      <c r="D430" s="33"/>
      <c r="E430" s="25"/>
      <c r="F430" s="18" t="str">
        <f aca="false">IF(A430="","",MONTH(A430))</f>
        <v/>
      </c>
      <c r="G430" s="18" t="str">
        <f aca="false">IF(A430="","",YEAR(A430))</f>
        <v/>
      </c>
      <c r="H430" s="18" t="str">
        <f aca="false">IF(B430="","",IFERROR(INDEX(Config!$B$12:$B$31,MATCH(B430,Config!$A$12:$A$31,0)),"?"))</f>
        <v/>
      </c>
    </row>
    <row r="431" customFormat="false" ht="15" hidden="false" customHeight="false" outlineLevel="0" collapsed="false">
      <c r="A431" s="32"/>
      <c r="B431" s="25"/>
      <c r="C431" s="25"/>
      <c r="D431" s="33"/>
      <c r="E431" s="25"/>
      <c r="F431" s="18" t="str">
        <f aca="false">IF(A431="","",MONTH(A431))</f>
        <v/>
      </c>
      <c r="G431" s="18" t="str">
        <f aca="false">IF(A431="","",YEAR(A431))</f>
        <v/>
      </c>
      <c r="H431" s="18" t="str">
        <f aca="false">IF(B431="","",IFERROR(INDEX(Config!$B$12:$B$31,MATCH(B431,Config!$A$12:$A$31,0)),"?"))</f>
        <v/>
      </c>
    </row>
    <row r="432" customFormat="false" ht="15" hidden="false" customHeight="false" outlineLevel="0" collapsed="false">
      <c r="A432" s="32"/>
      <c r="B432" s="25"/>
      <c r="C432" s="25"/>
      <c r="D432" s="33"/>
      <c r="E432" s="25"/>
      <c r="F432" s="18" t="str">
        <f aca="false">IF(A432="","",MONTH(A432))</f>
        <v/>
      </c>
      <c r="G432" s="18" t="str">
        <f aca="false">IF(A432="","",YEAR(A432))</f>
        <v/>
      </c>
      <c r="H432" s="18" t="str">
        <f aca="false">IF(B432="","",IFERROR(INDEX(Config!$B$12:$B$31,MATCH(B432,Config!$A$12:$A$31,0)),"?"))</f>
        <v/>
      </c>
    </row>
    <row r="433" customFormat="false" ht="15" hidden="false" customHeight="false" outlineLevel="0" collapsed="false">
      <c r="A433" s="32"/>
      <c r="B433" s="25"/>
      <c r="C433" s="25"/>
      <c r="D433" s="33"/>
      <c r="E433" s="25"/>
      <c r="F433" s="18" t="str">
        <f aca="false">IF(A433="","",MONTH(A433))</f>
        <v/>
      </c>
      <c r="G433" s="18" t="str">
        <f aca="false">IF(A433="","",YEAR(A433))</f>
        <v/>
      </c>
      <c r="H433" s="18" t="str">
        <f aca="false">IF(B433="","",IFERROR(INDEX(Config!$B$12:$B$31,MATCH(B433,Config!$A$12:$A$31,0)),"?"))</f>
        <v/>
      </c>
    </row>
    <row r="434" customFormat="false" ht="15" hidden="false" customHeight="false" outlineLevel="0" collapsed="false">
      <c r="A434" s="32"/>
      <c r="B434" s="25"/>
      <c r="C434" s="25"/>
      <c r="D434" s="33"/>
      <c r="E434" s="25"/>
      <c r="F434" s="18" t="str">
        <f aca="false">IF(A434="","",MONTH(A434))</f>
        <v/>
      </c>
      <c r="G434" s="18" t="str">
        <f aca="false">IF(A434="","",YEAR(A434))</f>
        <v/>
      </c>
      <c r="H434" s="18" t="str">
        <f aca="false">IF(B434="","",IFERROR(INDEX(Config!$B$12:$B$31,MATCH(B434,Config!$A$12:$A$31,0)),"?"))</f>
        <v/>
      </c>
    </row>
    <row r="435" customFormat="false" ht="15" hidden="false" customHeight="false" outlineLevel="0" collapsed="false">
      <c r="A435" s="32"/>
      <c r="B435" s="25"/>
      <c r="C435" s="25"/>
      <c r="D435" s="33"/>
      <c r="E435" s="25"/>
      <c r="F435" s="18" t="str">
        <f aca="false">IF(A435="","",MONTH(A435))</f>
        <v/>
      </c>
      <c r="G435" s="18" t="str">
        <f aca="false">IF(A435="","",YEAR(A435))</f>
        <v/>
      </c>
      <c r="H435" s="18" t="str">
        <f aca="false">IF(B435="","",IFERROR(INDEX(Config!$B$12:$B$31,MATCH(B435,Config!$A$12:$A$31,0)),"?"))</f>
        <v/>
      </c>
    </row>
    <row r="436" customFormat="false" ht="15" hidden="false" customHeight="false" outlineLevel="0" collapsed="false">
      <c r="A436" s="32"/>
      <c r="B436" s="25"/>
      <c r="C436" s="25"/>
      <c r="D436" s="33"/>
      <c r="E436" s="25"/>
      <c r="F436" s="18" t="str">
        <f aca="false">IF(A436="","",MONTH(A436))</f>
        <v/>
      </c>
      <c r="G436" s="18" t="str">
        <f aca="false">IF(A436="","",YEAR(A436))</f>
        <v/>
      </c>
      <c r="H436" s="18" t="str">
        <f aca="false">IF(B436="","",IFERROR(INDEX(Config!$B$12:$B$31,MATCH(B436,Config!$A$12:$A$31,0)),"?"))</f>
        <v/>
      </c>
    </row>
    <row r="437" customFormat="false" ht="15" hidden="false" customHeight="false" outlineLevel="0" collapsed="false">
      <c r="A437" s="32"/>
      <c r="B437" s="25"/>
      <c r="C437" s="25"/>
      <c r="D437" s="33"/>
      <c r="E437" s="25"/>
      <c r="F437" s="18" t="str">
        <f aca="false">IF(A437="","",MONTH(A437))</f>
        <v/>
      </c>
      <c r="G437" s="18" t="str">
        <f aca="false">IF(A437="","",YEAR(A437))</f>
        <v/>
      </c>
      <c r="H437" s="18" t="str">
        <f aca="false">IF(B437="","",IFERROR(INDEX(Config!$B$12:$B$31,MATCH(B437,Config!$A$12:$A$31,0)),"?"))</f>
        <v/>
      </c>
    </row>
    <row r="438" customFormat="false" ht="15" hidden="false" customHeight="false" outlineLevel="0" collapsed="false">
      <c r="A438" s="32"/>
      <c r="B438" s="25"/>
      <c r="C438" s="25"/>
      <c r="D438" s="33"/>
      <c r="E438" s="25"/>
      <c r="F438" s="18" t="str">
        <f aca="false">IF(A438="","",MONTH(A438))</f>
        <v/>
      </c>
      <c r="G438" s="18" t="str">
        <f aca="false">IF(A438="","",YEAR(A438))</f>
        <v/>
      </c>
      <c r="H438" s="18" t="str">
        <f aca="false">IF(B438="","",IFERROR(INDEX(Config!$B$12:$B$31,MATCH(B438,Config!$A$12:$A$31,0)),"?"))</f>
        <v/>
      </c>
    </row>
    <row r="439" customFormat="false" ht="15" hidden="false" customHeight="false" outlineLevel="0" collapsed="false">
      <c r="A439" s="32"/>
      <c r="B439" s="25"/>
      <c r="C439" s="25"/>
      <c r="D439" s="33"/>
      <c r="E439" s="25"/>
      <c r="F439" s="18" t="str">
        <f aca="false">IF(A439="","",MONTH(A439))</f>
        <v/>
      </c>
      <c r="G439" s="18" t="str">
        <f aca="false">IF(A439="","",YEAR(A439))</f>
        <v/>
      </c>
      <c r="H439" s="18" t="str">
        <f aca="false">IF(B439="","",IFERROR(INDEX(Config!$B$12:$B$31,MATCH(B439,Config!$A$12:$A$31,0)),"?"))</f>
        <v/>
      </c>
    </row>
    <row r="440" customFormat="false" ht="15" hidden="false" customHeight="false" outlineLevel="0" collapsed="false">
      <c r="A440" s="32"/>
      <c r="B440" s="25"/>
      <c r="C440" s="25"/>
      <c r="D440" s="33"/>
      <c r="E440" s="25"/>
      <c r="F440" s="18" t="str">
        <f aca="false">IF(A440="","",MONTH(A440))</f>
        <v/>
      </c>
      <c r="G440" s="18" t="str">
        <f aca="false">IF(A440="","",YEAR(A440))</f>
        <v/>
      </c>
      <c r="H440" s="18" t="str">
        <f aca="false">IF(B440="","",IFERROR(INDEX(Config!$B$12:$B$31,MATCH(B440,Config!$A$12:$A$31,0)),"?"))</f>
        <v/>
      </c>
    </row>
    <row r="441" customFormat="false" ht="15" hidden="false" customHeight="false" outlineLevel="0" collapsed="false">
      <c r="A441" s="32"/>
      <c r="B441" s="25"/>
      <c r="C441" s="25"/>
      <c r="D441" s="33"/>
      <c r="E441" s="25"/>
      <c r="F441" s="18" t="str">
        <f aca="false">IF(A441="","",MONTH(A441))</f>
        <v/>
      </c>
      <c r="G441" s="18" t="str">
        <f aca="false">IF(A441="","",YEAR(A441))</f>
        <v/>
      </c>
      <c r="H441" s="18" t="str">
        <f aca="false">IF(B441="","",IFERROR(INDEX(Config!$B$12:$B$31,MATCH(B441,Config!$A$12:$A$31,0)),"?"))</f>
        <v/>
      </c>
    </row>
    <row r="442" customFormat="false" ht="15" hidden="false" customHeight="false" outlineLevel="0" collapsed="false">
      <c r="A442" s="32"/>
      <c r="B442" s="25"/>
      <c r="C442" s="25"/>
      <c r="D442" s="33"/>
      <c r="E442" s="25"/>
      <c r="F442" s="18" t="str">
        <f aca="false">IF(A442="","",MONTH(A442))</f>
        <v/>
      </c>
      <c r="G442" s="18" t="str">
        <f aca="false">IF(A442="","",YEAR(A442))</f>
        <v/>
      </c>
      <c r="H442" s="18" t="str">
        <f aca="false">IF(B442="","",IFERROR(INDEX(Config!$B$12:$B$31,MATCH(B442,Config!$A$12:$A$31,0)),"?"))</f>
        <v/>
      </c>
    </row>
    <row r="443" customFormat="false" ht="15" hidden="false" customHeight="false" outlineLevel="0" collapsed="false">
      <c r="A443" s="32"/>
      <c r="B443" s="25"/>
      <c r="C443" s="25"/>
      <c r="D443" s="33"/>
      <c r="E443" s="25"/>
      <c r="F443" s="18" t="str">
        <f aca="false">IF(A443="","",MONTH(A443))</f>
        <v/>
      </c>
      <c r="G443" s="18" t="str">
        <f aca="false">IF(A443="","",YEAR(A443))</f>
        <v/>
      </c>
      <c r="H443" s="18" t="str">
        <f aca="false">IF(B443="","",IFERROR(INDEX(Config!$B$12:$B$31,MATCH(B443,Config!$A$12:$A$31,0)),"?"))</f>
        <v/>
      </c>
    </row>
    <row r="444" customFormat="false" ht="15" hidden="false" customHeight="false" outlineLevel="0" collapsed="false">
      <c r="A444" s="32"/>
      <c r="B444" s="25"/>
      <c r="C444" s="25"/>
      <c r="D444" s="33"/>
      <c r="E444" s="25"/>
      <c r="F444" s="18" t="str">
        <f aca="false">IF(A444="","",MONTH(A444))</f>
        <v/>
      </c>
      <c r="G444" s="18" t="str">
        <f aca="false">IF(A444="","",YEAR(A444))</f>
        <v/>
      </c>
      <c r="H444" s="18" t="str">
        <f aca="false">IF(B444="","",IFERROR(INDEX(Config!$B$12:$B$31,MATCH(B444,Config!$A$12:$A$31,0)),"?"))</f>
        <v/>
      </c>
    </row>
    <row r="445" customFormat="false" ht="15" hidden="false" customHeight="false" outlineLevel="0" collapsed="false">
      <c r="A445" s="32"/>
      <c r="B445" s="25"/>
      <c r="C445" s="25"/>
      <c r="D445" s="33"/>
      <c r="E445" s="25"/>
      <c r="F445" s="18" t="str">
        <f aca="false">IF(A445="","",MONTH(A445))</f>
        <v/>
      </c>
      <c r="G445" s="18" t="str">
        <f aca="false">IF(A445="","",YEAR(A445))</f>
        <v/>
      </c>
      <c r="H445" s="18" t="str">
        <f aca="false">IF(B445="","",IFERROR(INDEX(Config!$B$12:$B$31,MATCH(B445,Config!$A$12:$A$31,0)),"?"))</f>
        <v/>
      </c>
    </row>
    <row r="446" customFormat="false" ht="15" hidden="false" customHeight="false" outlineLevel="0" collapsed="false">
      <c r="A446" s="32"/>
      <c r="B446" s="25"/>
      <c r="C446" s="25"/>
      <c r="D446" s="33"/>
      <c r="E446" s="25"/>
      <c r="F446" s="18" t="str">
        <f aca="false">IF(A446="","",MONTH(A446))</f>
        <v/>
      </c>
      <c r="G446" s="18" t="str">
        <f aca="false">IF(A446="","",YEAR(A446))</f>
        <v/>
      </c>
      <c r="H446" s="18" t="str">
        <f aca="false">IF(B446="","",IFERROR(INDEX(Config!$B$12:$B$31,MATCH(B446,Config!$A$12:$A$31,0)),"?"))</f>
        <v/>
      </c>
    </row>
    <row r="447" customFormat="false" ht="15" hidden="false" customHeight="false" outlineLevel="0" collapsed="false">
      <c r="A447" s="32"/>
      <c r="B447" s="25"/>
      <c r="C447" s="25"/>
      <c r="D447" s="33"/>
      <c r="E447" s="25"/>
      <c r="F447" s="18" t="str">
        <f aca="false">IF(A447="","",MONTH(A447))</f>
        <v/>
      </c>
      <c r="G447" s="18" t="str">
        <f aca="false">IF(A447="","",YEAR(A447))</f>
        <v/>
      </c>
      <c r="H447" s="18" t="str">
        <f aca="false">IF(B447="","",IFERROR(INDEX(Config!$B$12:$B$31,MATCH(B447,Config!$A$12:$A$31,0)),"?"))</f>
        <v/>
      </c>
    </row>
    <row r="448" customFormat="false" ht="15" hidden="false" customHeight="false" outlineLevel="0" collapsed="false">
      <c r="A448" s="32"/>
      <c r="B448" s="25"/>
      <c r="C448" s="25"/>
      <c r="D448" s="33"/>
      <c r="E448" s="25"/>
      <c r="F448" s="18" t="str">
        <f aca="false">IF(A448="","",MONTH(A448))</f>
        <v/>
      </c>
      <c r="G448" s="18" t="str">
        <f aca="false">IF(A448="","",YEAR(A448))</f>
        <v/>
      </c>
      <c r="H448" s="18" t="str">
        <f aca="false">IF(B448="","",IFERROR(INDEX(Config!$B$12:$B$31,MATCH(B448,Config!$A$12:$A$31,0)),"?"))</f>
        <v/>
      </c>
    </row>
    <row r="449" customFormat="false" ht="15" hidden="false" customHeight="false" outlineLevel="0" collapsed="false">
      <c r="A449" s="32"/>
      <c r="B449" s="25"/>
      <c r="C449" s="25"/>
      <c r="D449" s="33"/>
      <c r="E449" s="25"/>
      <c r="F449" s="18" t="str">
        <f aca="false">IF(A449="","",MONTH(A449))</f>
        <v/>
      </c>
      <c r="G449" s="18" t="str">
        <f aca="false">IF(A449="","",YEAR(A449))</f>
        <v/>
      </c>
      <c r="H449" s="18" t="str">
        <f aca="false">IF(B449="","",IFERROR(INDEX(Config!$B$12:$B$31,MATCH(B449,Config!$A$12:$A$31,0)),"?"))</f>
        <v/>
      </c>
    </row>
    <row r="450" customFormat="false" ht="15" hidden="false" customHeight="false" outlineLevel="0" collapsed="false">
      <c r="A450" s="32"/>
      <c r="B450" s="25"/>
      <c r="C450" s="25"/>
      <c r="D450" s="33"/>
      <c r="E450" s="25"/>
      <c r="F450" s="18" t="str">
        <f aca="false">IF(A450="","",MONTH(A450))</f>
        <v/>
      </c>
      <c r="G450" s="18" t="str">
        <f aca="false">IF(A450="","",YEAR(A450))</f>
        <v/>
      </c>
      <c r="H450" s="18" t="str">
        <f aca="false">IF(B450="","",IFERROR(INDEX(Config!$B$12:$B$31,MATCH(B450,Config!$A$12:$A$31,0)),"?"))</f>
        <v/>
      </c>
    </row>
    <row r="451" customFormat="false" ht="15" hidden="false" customHeight="false" outlineLevel="0" collapsed="false">
      <c r="A451" s="32"/>
      <c r="B451" s="25"/>
      <c r="C451" s="25"/>
      <c r="D451" s="33"/>
      <c r="E451" s="25"/>
      <c r="F451" s="18" t="str">
        <f aca="false">IF(A451="","",MONTH(A451))</f>
        <v/>
      </c>
      <c r="G451" s="18" t="str">
        <f aca="false">IF(A451="","",YEAR(A451))</f>
        <v/>
      </c>
      <c r="H451" s="18" t="str">
        <f aca="false">IF(B451="","",IFERROR(INDEX(Config!$B$12:$B$31,MATCH(B451,Config!$A$12:$A$31,0)),"?"))</f>
        <v/>
      </c>
    </row>
    <row r="452" customFormat="false" ht="15" hidden="false" customHeight="false" outlineLevel="0" collapsed="false">
      <c r="A452" s="32"/>
      <c r="B452" s="25"/>
      <c r="C452" s="25"/>
      <c r="D452" s="33"/>
      <c r="E452" s="25"/>
      <c r="F452" s="18" t="str">
        <f aca="false">IF(A452="","",MONTH(A452))</f>
        <v/>
      </c>
      <c r="G452" s="18" t="str">
        <f aca="false">IF(A452="","",YEAR(A452))</f>
        <v/>
      </c>
      <c r="H452" s="18" t="str">
        <f aca="false">IF(B452="","",IFERROR(INDEX(Config!$B$12:$B$31,MATCH(B452,Config!$A$12:$A$31,0)),"?"))</f>
        <v/>
      </c>
    </row>
    <row r="453" customFormat="false" ht="15" hidden="false" customHeight="false" outlineLevel="0" collapsed="false">
      <c r="A453" s="32"/>
      <c r="B453" s="25"/>
      <c r="C453" s="25"/>
      <c r="D453" s="33"/>
      <c r="E453" s="25"/>
      <c r="F453" s="18" t="str">
        <f aca="false">IF(A453="","",MONTH(A453))</f>
        <v/>
      </c>
      <c r="G453" s="18" t="str">
        <f aca="false">IF(A453="","",YEAR(A453))</f>
        <v/>
      </c>
      <c r="H453" s="18" t="str">
        <f aca="false">IF(B453="","",IFERROR(INDEX(Config!$B$12:$B$31,MATCH(B453,Config!$A$12:$A$31,0)),"?"))</f>
        <v/>
      </c>
    </row>
    <row r="454" customFormat="false" ht="15" hidden="false" customHeight="false" outlineLevel="0" collapsed="false">
      <c r="A454" s="32"/>
      <c r="B454" s="25"/>
      <c r="C454" s="25"/>
      <c r="D454" s="33"/>
      <c r="E454" s="25"/>
      <c r="F454" s="18" t="str">
        <f aca="false">IF(A454="","",MONTH(A454))</f>
        <v/>
      </c>
      <c r="G454" s="18" t="str">
        <f aca="false">IF(A454="","",YEAR(A454))</f>
        <v/>
      </c>
      <c r="H454" s="18" t="str">
        <f aca="false">IF(B454="","",IFERROR(INDEX(Config!$B$12:$B$31,MATCH(B454,Config!$A$12:$A$31,0)),"?"))</f>
        <v/>
      </c>
    </row>
    <row r="455" customFormat="false" ht="15" hidden="false" customHeight="false" outlineLevel="0" collapsed="false">
      <c r="A455" s="32"/>
      <c r="B455" s="25"/>
      <c r="C455" s="25"/>
      <c r="D455" s="33"/>
      <c r="E455" s="25"/>
      <c r="F455" s="18" t="str">
        <f aca="false">IF(A455="","",MONTH(A455))</f>
        <v/>
      </c>
      <c r="G455" s="18" t="str">
        <f aca="false">IF(A455="","",YEAR(A455))</f>
        <v/>
      </c>
      <c r="H455" s="18" t="str">
        <f aca="false">IF(B455="","",IFERROR(INDEX(Config!$B$12:$B$31,MATCH(B455,Config!$A$12:$A$31,0)),"?"))</f>
        <v/>
      </c>
    </row>
    <row r="456" customFormat="false" ht="15" hidden="false" customHeight="false" outlineLevel="0" collapsed="false">
      <c r="A456" s="32"/>
      <c r="B456" s="25"/>
      <c r="C456" s="25"/>
      <c r="D456" s="33"/>
      <c r="E456" s="25"/>
      <c r="F456" s="18" t="str">
        <f aca="false">IF(A456="","",MONTH(A456))</f>
        <v/>
      </c>
      <c r="G456" s="18" t="str">
        <f aca="false">IF(A456="","",YEAR(A456))</f>
        <v/>
      </c>
      <c r="H456" s="18" t="str">
        <f aca="false">IF(B456="","",IFERROR(INDEX(Config!$B$12:$B$31,MATCH(B456,Config!$A$12:$A$31,0)),"?"))</f>
        <v/>
      </c>
    </row>
    <row r="457" customFormat="false" ht="15" hidden="false" customHeight="false" outlineLevel="0" collapsed="false">
      <c r="A457" s="32"/>
      <c r="B457" s="25"/>
      <c r="C457" s="25"/>
      <c r="D457" s="33"/>
      <c r="E457" s="25"/>
      <c r="F457" s="18" t="str">
        <f aca="false">IF(A457="","",MONTH(A457))</f>
        <v/>
      </c>
      <c r="G457" s="18" t="str">
        <f aca="false">IF(A457="","",YEAR(A457))</f>
        <v/>
      </c>
      <c r="H457" s="18" t="str">
        <f aca="false">IF(B457="","",IFERROR(INDEX(Config!$B$12:$B$31,MATCH(B457,Config!$A$12:$A$31,0)),"?"))</f>
        <v/>
      </c>
    </row>
    <row r="458" customFormat="false" ht="15" hidden="false" customHeight="false" outlineLevel="0" collapsed="false">
      <c r="A458" s="32"/>
      <c r="B458" s="25"/>
      <c r="C458" s="25"/>
      <c r="D458" s="33"/>
      <c r="E458" s="25"/>
      <c r="F458" s="18" t="str">
        <f aca="false">IF(A458="","",MONTH(A458))</f>
        <v/>
      </c>
      <c r="G458" s="18" t="str">
        <f aca="false">IF(A458="","",YEAR(A458))</f>
        <v/>
      </c>
      <c r="H458" s="18" t="str">
        <f aca="false">IF(B458="","",IFERROR(INDEX(Config!$B$12:$B$31,MATCH(B458,Config!$A$12:$A$31,0)),"?"))</f>
        <v/>
      </c>
    </row>
    <row r="459" customFormat="false" ht="15" hidden="false" customHeight="false" outlineLevel="0" collapsed="false">
      <c r="A459" s="32"/>
      <c r="B459" s="25"/>
      <c r="C459" s="25"/>
      <c r="D459" s="33"/>
      <c r="E459" s="25"/>
      <c r="F459" s="18" t="str">
        <f aca="false">IF(A459="","",MONTH(A459))</f>
        <v/>
      </c>
      <c r="G459" s="18" t="str">
        <f aca="false">IF(A459="","",YEAR(A459))</f>
        <v/>
      </c>
      <c r="H459" s="18" t="str">
        <f aca="false">IF(B459="","",IFERROR(INDEX(Config!$B$12:$B$31,MATCH(B459,Config!$A$12:$A$31,0)),"?"))</f>
        <v/>
      </c>
    </row>
    <row r="460" customFormat="false" ht="15" hidden="false" customHeight="false" outlineLevel="0" collapsed="false">
      <c r="A460" s="32"/>
      <c r="B460" s="25"/>
      <c r="C460" s="25"/>
      <c r="D460" s="33"/>
      <c r="E460" s="25"/>
      <c r="F460" s="18" t="str">
        <f aca="false">IF(A460="","",MONTH(A460))</f>
        <v/>
      </c>
      <c r="G460" s="18" t="str">
        <f aca="false">IF(A460="","",YEAR(A460))</f>
        <v/>
      </c>
      <c r="H460" s="18" t="str">
        <f aca="false">IF(B460="","",IFERROR(INDEX(Config!$B$12:$B$31,MATCH(B460,Config!$A$12:$A$31,0)),"?"))</f>
        <v/>
      </c>
    </row>
    <row r="461" customFormat="false" ht="15" hidden="false" customHeight="false" outlineLevel="0" collapsed="false">
      <c r="A461" s="32"/>
      <c r="B461" s="25"/>
      <c r="C461" s="25"/>
      <c r="D461" s="33"/>
      <c r="E461" s="25"/>
      <c r="F461" s="18" t="str">
        <f aca="false">IF(A461="","",MONTH(A461))</f>
        <v/>
      </c>
      <c r="G461" s="18" t="str">
        <f aca="false">IF(A461="","",YEAR(A461))</f>
        <v/>
      </c>
      <c r="H461" s="18" t="str">
        <f aca="false">IF(B461="","",IFERROR(INDEX(Config!$B$12:$B$31,MATCH(B461,Config!$A$12:$A$31,0)),"?"))</f>
        <v/>
      </c>
    </row>
    <row r="462" customFormat="false" ht="15" hidden="false" customHeight="false" outlineLevel="0" collapsed="false">
      <c r="A462" s="32"/>
      <c r="B462" s="25"/>
      <c r="C462" s="25"/>
      <c r="D462" s="33"/>
      <c r="E462" s="25"/>
      <c r="F462" s="18" t="str">
        <f aca="false">IF(A462="","",MONTH(A462))</f>
        <v/>
      </c>
      <c r="G462" s="18" t="str">
        <f aca="false">IF(A462="","",YEAR(A462))</f>
        <v/>
      </c>
      <c r="H462" s="18" t="str">
        <f aca="false">IF(B462="","",IFERROR(INDEX(Config!$B$12:$B$31,MATCH(B462,Config!$A$12:$A$31,0)),"?"))</f>
        <v/>
      </c>
    </row>
    <row r="463" customFormat="false" ht="15" hidden="false" customHeight="false" outlineLevel="0" collapsed="false">
      <c r="A463" s="32"/>
      <c r="B463" s="25"/>
      <c r="C463" s="25"/>
      <c r="D463" s="33"/>
      <c r="E463" s="25"/>
      <c r="F463" s="18" t="str">
        <f aca="false">IF(A463="","",MONTH(A463))</f>
        <v/>
      </c>
      <c r="G463" s="18" t="str">
        <f aca="false">IF(A463="","",YEAR(A463))</f>
        <v/>
      </c>
      <c r="H463" s="18" t="str">
        <f aca="false">IF(B463="","",IFERROR(INDEX(Config!$B$12:$B$31,MATCH(B463,Config!$A$12:$A$31,0)),"?"))</f>
        <v/>
      </c>
    </row>
    <row r="464" customFormat="false" ht="15" hidden="false" customHeight="false" outlineLevel="0" collapsed="false">
      <c r="A464" s="32"/>
      <c r="B464" s="25"/>
      <c r="C464" s="25"/>
      <c r="D464" s="33"/>
      <c r="E464" s="25"/>
      <c r="F464" s="18" t="str">
        <f aca="false">IF(A464="","",MONTH(A464))</f>
        <v/>
      </c>
      <c r="G464" s="18" t="str">
        <f aca="false">IF(A464="","",YEAR(A464))</f>
        <v/>
      </c>
      <c r="H464" s="18" t="str">
        <f aca="false">IF(B464="","",IFERROR(INDEX(Config!$B$12:$B$31,MATCH(B464,Config!$A$12:$A$31,0)),"?"))</f>
        <v/>
      </c>
    </row>
    <row r="465" customFormat="false" ht="15" hidden="false" customHeight="false" outlineLevel="0" collapsed="false">
      <c r="A465" s="32"/>
      <c r="B465" s="25"/>
      <c r="C465" s="25"/>
      <c r="D465" s="33"/>
      <c r="E465" s="25"/>
      <c r="F465" s="18" t="str">
        <f aca="false">IF(A465="","",MONTH(A465))</f>
        <v/>
      </c>
      <c r="G465" s="18" t="str">
        <f aca="false">IF(A465="","",YEAR(A465))</f>
        <v/>
      </c>
      <c r="H465" s="18" t="str">
        <f aca="false">IF(B465="","",IFERROR(INDEX(Config!$B$12:$B$31,MATCH(B465,Config!$A$12:$A$31,0)),"?"))</f>
        <v/>
      </c>
    </row>
    <row r="466" customFormat="false" ht="15" hidden="false" customHeight="false" outlineLevel="0" collapsed="false">
      <c r="A466" s="32"/>
      <c r="B466" s="25"/>
      <c r="C466" s="25"/>
      <c r="D466" s="33"/>
      <c r="E466" s="25"/>
      <c r="F466" s="18" t="str">
        <f aca="false">IF(A466="","",MONTH(A466))</f>
        <v/>
      </c>
      <c r="G466" s="18" t="str">
        <f aca="false">IF(A466="","",YEAR(A466))</f>
        <v/>
      </c>
      <c r="H466" s="18" t="str">
        <f aca="false">IF(B466="","",IFERROR(INDEX(Config!$B$12:$B$31,MATCH(B466,Config!$A$12:$A$31,0)),"?"))</f>
        <v/>
      </c>
    </row>
    <row r="467" customFormat="false" ht="15" hidden="false" customHeight="false" outlineLevel="0" collapsed="false">
      <c r="A467" s="32"/>
      <c r="B467" s="25"/>
      <c r="C467" s="25"/>
      <c r="D467" s="33"/>
      <c r="E467" s="25"/>
      <c r="F467" s="18" t="str">
        <f aca="false">IF(A467="","",MONTH(A467))</f>
        <v/>
      </c>
      <c r="G467" s="18" t="str">
        <f aca="false">IF(A467="","",YEAR(A467))</f>
        <v/>
      </c>
      <c r="H467" s="18" t="str">
        <f aca="false">IF(B467="","",IFERROR(INDEX(Config!$B$12:$B$31,MATCH(B467,Config!$A$12:$A$31,0)),"?"))</f>
        <v/>
      </c>
    </row>
    <row r="468" customFormat="false" ht="15" hidden="false" customHeight="false" outlineLevel="0" collapsed="false">
      <c r="A468" s="32"/>
      <c r="B468" s="25"/>
      <c r="C468" s="25"/>
      <c r="D468" s="33"/>
      <c r="E468" s="25"/>
      <c r="F468" s="18" t="str">
        <f aca="false">IF(A468="","",MONTH(A468))</f>
        <v/>
      </c>
      <c r="G468" s="18" t="str">
        <f aca="false">IF(A468="","",YEAR(A468))</f>
        <v/>
      </c>
      <c r="H468" s="18" t="str">
        <f aca="false">IF(B468="","",IFERROR(INDEX(Config!$B$12:$B$31,MATCH(B468,Config!$A$12:$A$31,0)),"?"))</f>
        <v/>
      </c>
    </row>
    <row r="469" customFormat="false" ht="15" hidden="false" customHeight="false" outlineLevel="0" collapsed="false">
      <c r="A469" s="32"/>
      <c r="B469" s="25"/>
      <c r="C469" s="25"/>
      <c r="D469" s="33"/>
      <c r="E469" s="25"/>
      <c r="F469" s="18" t="str">
        <f aca="false">IF(A469="","",MONTH(A469))</f>
        <v/>
      </c>
      <c r="G469" s="18" t="str">
        <f aca="false">IF(A469="","",YEAR(A469))</f>
        <v/>
      </c>
      <c r="H469" s="18" t="str">
        <f aca="false">IF(B469="","",IFERROR(INDEX(Config!$B$12:$B$31,MATCH(B469,Config!$A$12:$A$31,0)),"?"))</f>
        <v/>
      </c>
    </row>
    <row r="470" customFormat="false" ht="15" hidden="false" customHeight="false" outlineLevel="0" collapsed="false">
      <c r="A470" s="32"/>
      <c r="B470" s="25"/>
      <c r="C470" s="25"/>
      <c r="D470" s="33"/>
      <c r="E470" s="25"/>
      <c r="F470" s="18" t="str">
        <f aca="false">IF(A470="","",MONTH(A470))</f>
        <v/>
      </c>
      <c r="G470" s="18" t="str">
        <f aca="false">IF(A470="","",YEAR(A470))</f>
        <v/>
      </c>
      <c r="H470" s="18" t="str">
        <f aca="false">IF(B470="","",IFERROR(INDEX(Config!$B$12:$B$31,MATCH(B470,Config!$A$12:$A$31,0)),"?"))</f>
        <v/>
      </c>
    </row>
    <row r="471" customFormat="false" ht="15" hidden="false" customHeight="false" outlineLevel="0" collapsed="false">
      <c r="A471" s="32"/>
      <c r="B471" s="25"/>
      <c r="C471" s="25"/>
      <c r="D471" s="33"/>
      <c r="E471" s="25"/>
      <c r="F471" s="18" t="str">
        <f aca="false">IF(A471="","",MONTH(A471))</f>
        <v/>
      </c>
      <c r="G471" s="18" t="str">
        <f aca="false">IF(A471="","",YEAR(A471))</f>
        <v/>
      </c>
      <c r="H471" s="18" t="str">
        <f aca="false">IF(B471="","",IFERROR(INDEX(Config!$B$12:$B$31,MATCH(B471,Config!$A$12:$A$31,0)),"?"))</f>
        <v/>
      </c>
    </row>
    <row r="472" customFormat="false" ht="15" hidden="false" customHeight="false" outlineLevel="0" collapsed="false">
      <c r="A472" s="32"/>
      <c r="B472" s="25"/>
      <c r="C472" s="25"/>
      <c r="D472" s="33"/>
      <c r="E472" s="25"/>
      <c r="F472" s="18" t="str">
        <f aca="false">IF(A472="","",MONTH(A472))</f>
        <v/>
      </c>
      <c r="G472" s="18" t="str">
        <f aca="false">IF(A472="","",YEAR(A472))</f>
        <v/>
      </c>
      <c r="H472" s="18" t="str">
        <f aca="false">IF(B472="","",IFERROR(INDEX(Config!$B$12:$B$31,MATCH(B472,Config!$A$12:$A$31,0)),"?"))</f>
        <v/>
      </c>
    </row>
    <row r="473" customFormat="false" ht="15" hidden="false" customHeight="false" outlineLevel="0" collapsed="false">
      <c r="A473" s="32"/>
      <c r="B473" s="25"/>
      <c r="C473" s="25"/>
      <c r="D473" s="33"/>
      <c r="E473" s="25"/>
      <c r="F473" s="18" t="str">
        <f aca="false">IF(A473="","",MONTH(A473))</f>
        <v/>
      </c>
      <c r="G473" s="18" t="str">
        <f aca="false">IF(A473="","",YEAR(A473))</f>
        <v/>
      </c>
      <c r="H473" s="18" t="str">
        <f aca="false">IF(B473="","",IFERROR(INDEX(Config!$B$12:$B$31,MATCH(B473,Config!$A$12:$A$31,0)),"?"))</f>
        <v/>
      </c>
    </row>
    <row r="474" customFormat="false" ht="15" hidden="false" customHeight="false" outlineLevel="0" collapsed="false">
      <c r="A474" s="32"/>
      <c r="B474" s="25"/>
      <c r="C474" s="25"/>
      <c r="D474" s="33"/>
      <c r="E474" s="25"/>
      <c r="F474" s="18" t="str">
        <f aca="false">IF(A474="","",MONTH(A474))</f>
        <v/>
      </c>
      <c r="G474" s="18" t="str">
        <f aca="false">IF(A474="","",YEAR(A474))</f>
        <v/>
      </c>
      <c r="H474" s="18" t="str">
        <f aca="false">IF(B474="","",IFERROR(INDEX(Config!$B$12:$B$31,MATCH(B474,Config!$A$12:$A$31,0)),"?"))</f>
        <v/>
      </c>
    </row>
    <row r="475" customFormat="false" ht="15" hidden="false" customHeight="false" outlineLevel="0" collapsed="false">
      <c r="A475" s="32"/>
      <c r="B475" s="25"/>
      <c r="C475" s="25"/>
      <c r="D475" s="33"/>
      <c r="E475" s="25"/>
      <c r="F475" s="18" t="str">
        <f aca="false">IF(A475="","",MONTH(A475))</f>
        <v/>
      </c>
      <c r="G475" s="18" t="str">
        <f aca="false">IF(A475="","",YEAR(A475))</f>
        <v/>
      </c>
      <c r="H475" s="18" t="str">
        <f aca="false">IF(B475="","",IFERROR(INDEX(Config!$B$12:$B$31,MATCH(B475,Config!$A$12:$A$31,0)),"?"))</f>
        <v/>
      </c>
    </row>
    <row r="476" customFormat="false" ht="15" hidden="false" customHeight="false" outlineLevel="0" collapsed="false">
      <c r="A476" s="32"/>
      <c r="B476" s="25"/>
      <c r="C476" s="25"/>
      <c r="D476" s="33"/>
      <c r="E476" s="25"/>
      <c r="F476" s="18" t="str">
        <f aca="false">IF(A476="","",MONTH(A476))</f>
        <v/>
      </c>
      <c r="G476" s="18" t="str">
        <f aca="false">IF(A476="","",YEAR(A476))</f>
        <v/>
      </c>
      <c r="H476" s="18" t="str">
        <f aca="false">IF(B476="","",IFERROR(INDEX(Config!$B$12:$B$31,MATCH(B476,Config!$A$12:$A$31,0)),"?"))</f>
        <v/>
      </c>
    </row>
    <row r="477" customFormat="false" ht="15" hidden="false" customHeight="false" outlineLevel="0" collapsed="false">
      <c r="A477" s="32"/>
      <c r="B477" s="25"/>
      <c r="C477" s="25"/>
      <c r="D477" s="33"/>
      <c r="E477" s="25"/>
      <c r="F477" s="18" t="str">
        <f aca="false">IF(A477="","",MONTH(A477))</f>
        <v/>
      </c>
      <c r="G477" s="18" t="str">
        <f aca="false">IF(A477="","",YEAR(A477))</f>
        <v/>
      </c>
      <c r="H477" s="18" t="str">
        <f aca="false">IF(B477="","",IFERROR(INDEX(Config!$B$12:$B$31,MATCH(B477,Config!$A$12:$A$31,0)),"?"))</f>
        <v/>
      </c>
    </row>
    <row r="478" customFormat="false" ht="15" hidden="false" customHeight="false" outlineLevel="0" collapsed="false">
      <c r="A478" s="32"/>
      <c r="B478" s="25"/>
      <c r="C478" s="25"/>
      <c r="D478" s="33"/>
      <c r="E478" s="25"/>
      <c r="F478" s="18" t="str">
        <f aca="false">IF(A478="","",MONTH(A478))</f>
        <v/>
      </c>
      <c r="G478" s="18" t="str">
        <f aca="false">IF(A478="","",YEAR(A478))</f>
        <v/>
      </c>
      <c r="H478" s="18" t="str">
        <f aca="false">IF(B478="","",IFERROR(INDEX(Config!$B$12:$B$31,MATCH(B478,Config!$A$12:$A$31,0)),"?"))</f>
        <v/>
      </c>
    </row>
    <row r="479" customFormat="false" ht="15" hidden="false" customHeight="false" outlineLevel="0" collapsed="false">
      <c r="A479" s="32"/>
      <c r="B479" s="25"/>
      <c r="C479" s="25"/>
      <c r="D479" s="33"/>
      <c r="E479" s="25"/>
      <c r="F479" s="18" t="str">
        <f aca="false">IF(A479="","",MONTH(A479))</f>
        <v/>
      </c>
      <c r="G479" s="18" t="str">
        <f aca="false">IF(A479="","",YEAR(A479))</f>
        <v/>
      </c>
      <c r="H479" s="18" t="str">
        <f aca="false">IF(B479="","",IFERROR(INDEX(Config!$B$12:$B$31,MATCH(B479,Config!$A$12:$A$31,0)),"?"))</f>
        <v/>
      </c>
    </row>
    <row r="480" customFormat="false" ht="15" hidden="false" customHeight="false" outlineLevel="0" collapsed="false">
      <c r="A480" s="32"/>
      <c r="B480" s="25"/>
      <c r="C480" s="25"/>
      <c r="D480" s="33"/>
      <c r="E480" s="25"/>
      <c r="F480" s="18" t="str">
        <f aca="false">IF(A480="","",MONTH(A480))</f>
        <v/>
      </c>
      <c r="G480" s="18" t="str">
        <f aca="false">IF(A480="","",YEAR(A480))</f>
        <v/>
      </c>
      <c r="H480" s="18" t="str">
        <f aca="false">IF(B480="","",IFERROR(INDEX(Config!$B$12:$B$31,MATCH(B480,Config!$A$12:$A$31,0)),"?"))</f>
        <v/>
      </c>
    </row>
    <row r="481" customFormat="false" ht="15" hidden="false" customHeight="false" outlineLevel="0" collapsed="false">
      <c r="A481" s="32"/>
      <c r="B481" s="25"/>
      <c r="C481" s="25"/>
      <c r="D481" s="33"/>
      <c r="E481" s="25"/>
      <c r="F481" s="18" t="str">
        <f aca="false">IF(A481="","",MONTH(A481))</f>
        <v/>
      </c>
      <c r="G481" s="18" t="str">
        <f aca="false">IF(A481="","",YEAR(A481))</f>
        <v/>
      </c>
      <c r="H481" s="18" t="str">
        <f aca="false">IF(B481="","",IFERROR(INDEX(Config!$B$12:$B$31,MATCH(B481,Config!$A$12:$A$31,0)),"?"))</f>
        <v/>
      </c>
    </row>
    <row r="482" customFormat="false" ht="15" hidden="false" customHeight="false" outlineLevel="0" collapsed="false">
      <c r="A482" s="32"/>
      <c r="B482" s="25"/>
      <c r="C482" s="25"/>
      <c r="D482" s="33"/>
      <c r="E482" s="25"/>
      <c r="F482" s="18" t="str">
        <f aca="false">IF(A482="","",MONTH(A482))</f>
        <v/>
      </c>
      <c r="G482" s="18" t="str">
        <f aca="false">IF(A482="","",YEAR(A482))</f>
        <v/>
      </c>
      <c r="H482" s="18" t="str">
        <f aca="false">IF(B482="","",IFERROR(INDEX(Config!$B$12:$B$31,MATCH(B482,Config!$A$12:$A$31,0)),"?"))</f>
        <v/>
      </c>
    </row>
    <row r="483" customFormat="false" ht="15" hidden="false" customHeight="false" outlineLevel="0" collapsed="false">
      <c r="A483" s="32"/>
      <c r="B483" s="25"/>
      <c r="C483" s="25"/>
      <c r="D483" s="33"/>
      <c r="E483" s="25"/>
      <c r="F483" s="18" t="str">
        <f aca="false">IF(A483="","",MONTH(A483))</f>
        <v/>
      </c>
      <c r="G483" s="18" t="str">
        <f aca="false">IF(A483="","",YEAR(A483))</f>
        <v/>
      </c>
      <c r="H483" s="18" t="str">
        <f aca="false">IF(B483="","",IFERROR(INDEX(Config!$B$12:$B$31,MATCH(B483,Config!$A$12:$A$31,0)),"?"))</f>
        <v/>
      </c>
    </row>
    <row r="484" customFormat="false" ht="15" hidden="false" customHeight="false" outlineLevel="0" collapsed="false">
      <c r="A484" s="32"/>
      <c r="B484" s="25"/>
      <c r="C484" s="25"/>
      <c r="D484" s="33"/>
      <c r="E484" s="25"/>
      <c r="F484" s="18" t="str">
        <f aca="false">IF(A484="","",MONTH(A484))</f>
        <v/>
      </c>
      <c r="G484" s="18" t="str">
        <f aca="false">IF(A484="","",YEAR(A484))</f>
        <v/>
      </c>
      <c r="H484" s="18" t="str">
        <f aca="false">IF(B484="","",IFERROR(INDEX(Config!$B$12:$B$31,MATCH(B484,Config!$A$12:$A$31,0)),"?"))</f>
        <v/>
      </c>
    </row>
    <row r="485" customFormat="false" ht="15" hidden="false" customHeight="false" outlineLevel="0" collapsed="false">
      <c r="A485" s="32"/>
      <c r="B485" s="25"/>
      <c r="C485" s="25"/>
      <c r="D485" s="33"/>
      <c r="E485" s="25"/>
      <c r="F485" s="18" t="str">
        <f aca="false">IF(A485="","",MONTH(A485))</f>
        <v/>
      </c>
      <c r="G485" s="18" t="str">
        <f aca="false">IF(A485="","",YEAR(A485))</f>
        <v/>
      </c>
      <c r="H485" s="18" t="str">
        <f aca="false">IF(B485="","",IFERROR(INDEX(Config!$B$12:$B$31,MATCH(B485,Config!$A$12:$A$31,0)),"?"))</f>
        <v/>
      </c>
    </row>
    <row r="486" customFormat="false" ht="15" hidden="false" customHeight="false" outlineLevel="0" collapsed="false">
      <c r="A486" s="32"/>
      <c r="B486" s="25"/>
      <c r="C486" s="25"/>
      <c r="D486" s="33"/>
      <c r="E486" s="25"/>
      <c r="F486" s="18" t="str">
        <f aca="false">IF(A486="","",MONTH(A486))</f>
        <v/>
      </c>
      <c r="G486" s="18" t="str">
        <f aca="false">IF(A486="","",YEAR(A486))</f>
        <v/>
      </c>
      <c r="H486" s="18" t="str">
        <f aca="false">IF(B486="","",IFERROR(INDEX(Config!$B$12:$B$31,MATCH(B486,Config!$A$12:$A$31,0)),"?"))</f>
        <v/>
      </c>
    </row>
    <row r="487" customFormat="false" ht="15" hidden="false" customHeight="false" outlineLevel="0" collapsed="false">
      <c r="A487" s="32"/>
      <c r="B487" s="25"/>
      <c r="C487" s="25"/>
      <c r="D487" s="33"/>
      <c r="E487" s="25"/>
      <c r="F487" s="18" t="str">
        <f aca="false">IF(A487="","",MONTH(A487))</f>
        <v/>
      </c>
      <c r="G487" s="18" t="str">
        <f aca="false">IF(A487="","",YEAR(A487))</f>
        <v/>
      </c>
      <c r="H487" s="18" t="str">
        <f aca="false">IF(B487="","",IFERROR(INDEX(Config!$B$12:$B$31,MATCH(B487,Config!$A$12:$A$31,0)),"?"))</f>
        <v/>
      </c>
    </row>
    <row r="488" customFormat="false" ht="15" hidden="false" customHeight="false" outlineLevel="0" collapsed="false">
      <c r="A488" s="32"/>
      <c r="B488" s="25"/>
      <c r="C488" s="25"/>
      <c r="D488" s="33"/>
      <c r="E488" s="25"/>
      <c r="F488" s="18" t="str">
        <f aca="false">IF(A488="","",MONTH(A488))</f>
        <v/>
      </c>
      <c r="G488" s="18" t="str">
        <f aca="false">IF(A488="","",YEAR(A488))</f>
        <v/>
      </c>
      <c r="H488" s="18" t="str">
        <f aca="false">IF(B488="","",IFERROR(INDEX(Config!$B$12:$B$31,MATCH(B488,Config!$A$12:$A$31,0)),"?"))</f>
        <v/>
      </c>
    </row>
    <row r="489" customFormat="false" ht="15" hidden="false" customHeight="false" outlineLevel="0" collapsed="false">
      <c r="A489" s="32"/>
      <c r="B489" s="25"/>
      <c r="C489" s="25"/>
      <c r="D489" s="33"/>
      <c r="E489" s="25"/>
      <c r="F489" s="18" t="str">
        <f aca="false">IF(A489="","",MONTH(A489))</f>
        <v/>
      </c>
      <c r="G489" s="18" t="str">
        <f aca="false">IF(A489="","",YEAR(A489))</f>
        <v/>
      </c>
      <c r="H489" s="18" t="str">
        <f aca="false">IF(B489="","",IFERROR(INDEX(Config!$B$12:$B$31,MATCH(B489,Config!$A$12:$A$31,0)),"?"))</f>
        <v/>
      </c>
    </row>
    <row r="490" customFormat="false" ht="15" hidden="false" customHeight="false" outlineLevel="0" collapsed="false">
      <c r="A490" s="32"/>
      <c r="B490" s="25"/>
      <c r="C490" s="25"/>
      <c r="D490" s="33"/>
      <c r="E490" s="25"/>
      <c r="F490" s="18" t="str">
        <f aca="false">IF(A490="","",MONTH(A490))</f>
        <v/>
      </c>
      <c r="G490" s="18" t="str">
        <f aca="false">IF(A490="","",YEAR(A490))</f>
        <v/>
      </c>
      <c r="H490" s="18" t="str">
        <f aca="false">IF(B490="","",IFERROR(INDEX(Config!$B$12:$B$31,MATCH(B490,Config!$A$12:$A$31,0)),"?"))</f>
        <v/>
      </c>
    </row>
    <row r="491" customFormat="false" ht="15" hidden="false" customHeight="false" outlineLevel="0" collapsed="false">
      <c r="A491" s="32"/>
      <c r="B491" s="25"/>
      <c r="C491" s="25"/>
      <c r="D491" s="33"/>
      <c r="E491" s="25"/>
      <c r="F491" s="18" t="str">
        <f aca="false">IF(A491="","",MONTH(A491))</f>
        <v/>
      </c>
      <c r="G491" s="18" t="str">
        <f aca="false">IF(A491="","",YEAR(A491))</f>
        <v/>
      </c>
      <c r="H491" s="18" t="str">
        <f aca="false">IF(B491="","",IFERROR(INDEX(Config!$B$12:$B$31,MATCH(B491,Config!$A$12:$A$31,0)),"?"))</f>
        <v/>
      </c>
    </row>
    <row r="492" customFormat="false" ht="15" hidden="false" customHeight="false" outlineLevel="0" collapsed="false">
      <c r="A492" s="32"/>
      <c r="B492" s="25"/>
      <c r="C492" s="25"/>
      <c r="D492" s="33"/>
      <c r="E492" s="25"/>
      <c r="F492" s="18" t="str">
        <f aca="false">IF(A492="","",MONTH(A492))</f>
        <v/>
      </c>
      <c r="G492" s="18" t="str">
        <f aca="false">IF(A492="","",YEAR(A492))</f>
        <v/>
      </c>
      <c r="H492" s="18" t="str">
        <f aca="false">IF(B492="","",IFERROR(INDEX(Config!$B$12:$B$31,MATCH(B492,Config!$A$12:$A$31,0)),"?"))</f>
        <v/>
      </c>
    </row>
    <row r="493" customFormat="false" ht="15" hidden="false" customHeight="false" outlineLevel="0" collapsed="false">
      <c r="A493" s="32"/>
      <c r="B493" s="25"/>
      <c r="C493" s="25"/>
      <c r="D493" s="33"/>
      <c r="E493" s="25"/>
      <c r="F493" s="18" t="str">
        <f aca="false">IF(A493="","",MONTH(A493))</f>
        <v/>
      </c>
      <c r="G493" s="18" t="str">
        <f aca="false">IF(A493="","",YEAR(A493))</f>
        <v/>
      </c>
      <c r="H493" s="18" t="str">
        <f aca="false">IF(B493="","",IFERROR(INDEX(Config!$B$12:$B$31,MATCH(B493,Config!$A$12:$A$31,0)),"?"))</f>
        <v/>
      </c>
    </row>
    <row r="494" customFormat="false" ht="15" hidden="false" customHeight="false" outlineLevel="0" collapsed="false">
      <c r="A494" s="32"/>
      <c r="B494" s="25"/>
      <c r="C494" s="25"/>
      <c r="D494" s="33"/>
      <c r="E494" s="25"/>
      <c r="F494" s="18" t="str">
        <f aca="false">IF(A494="","",MONTH(A494))</f>
        <v/>
      </c>
      <c r="G494" s="18" t="str">
        <f aca="false">IF(A494="","",YEAR(A494))</f>
        <v/>
      </c>
      <c r="H494" s="18" t="str">
        <f aca="false">IF(B494="","",IFERROR(INDEX(Config!$B$12:$B$31,MATCH(B494,Config!$A$12:$A$31,0)),"?"))</f>
        <v/>
      </c>
    </row>
    <row r="495" customFormat="false" ht="15" hidden="false" customHeight="false" outlineLevel="0" collapsed="false">
      <c r="A495" s="32"/>
      <c r="B495" s="25"/>
      <c r="C495" s="25"/>
      <c r="D495" s="33"/>
      <c r="E495" s="25"/>
      <c r="F495" s="18" t="str">
        <f aca="false">IF(A495="","",MONTH(A495))</f>
        <v/>
      </c>
      <c r="G495" s="18" t="str">
        <f aca="false">IF(A495="","",YEAR(A495))</f>
        <v/>
      </c>
      <c r="H495" s="18" t="str">
        <f aca="false">IF(B495="","",IFERROR(INDEX(Config!$B$12:$B$31,MATCH(B495,Config!$A$12:$A$31,0)),"?"))</f>
        <v/>
      </c>
    </row>
    <row r="496" customFormat="false" ht="15" hidden="false" customHeight="false" outlineLevel="0" collapsed="false">
      <c r="A496" s="32"/>
      <c r="B496" s="25"/>
      <c r="C496" s="25"/>
      <c r="D496" s="33"/>
      <c r="E496" s="25"/>
      <c r="F496" s="18" t="str">
        <f aca="false">IF(A496="","",MONTH(A496))</f>
        <v/>
      </c>
      <c r="G496" s="18" t="str">
        <f aca="false">IF(A496="","",YEAR(A496))</f>
        <v/>
      </c>
      <c r="H496" s="18" t="str">
        <f aca="false">IF(B496="","",IFERROR(INDEX(Config!$B$12:$B$31,MATCH(B496,Config!$A$12:$A$31,0)),"?"))</f>
        <v/>
      </c>
    </row>
    <row r="497" customFormat="false" ht="15" hidden="false" customHeight="false" outlineLevel="0" collapsed="false">
      <c r="A497" s="32"/>
      <c r="B497" s="25"/>
      <c r="C497" s="25"/>
      <c r="D497" s="33"/>
      <c r="E497" s="25"/>
      <c r="F497" s="18" t="str">
        <f aca="false">IF(A497="","",MONTH(A497))</f>
        <v/>
      </c>
      <c r="G497" s="18" t="str">
        <f aca="false">IF(A497="","",YEAR(A497))</f>
        <v/>
      </c>
      <c r="H497" s="18" t="str">
        <f aca="false">IF(B497="","",IFERROR(INDEX(Config!$B$12:$B$31,MATCH(B497,Config!$A$12:$A$31,0)),"?"))</f>
        <v/>
      </c>
    </row>
    <row r="498" customFormat="false" ht="15" hidden="false" customHeight="false" outlineLevel="0" collapsed="false">
      <c r="A498" s="32"/>
      <c r="B498" s="25"/>
      <c r="C498" s="25"/>
      <c r="D498" s="33"/>
      <c r="E498" s="25"/>
      <c r="F498" s="18" t="str">
        <f aca="false">IF(A498="","",MONTH(A498))</f>
        <v/>
      </c>
      <c r="G498" s="18" t="str">
        <f aca="false">IF(A498="","",YEAR(A498))</f>
        <v/>
      </c>
      <c r="H498" s="18" t="str">
        <f aca="false">IF(B498="","",IFERROR(INDEX(Config!$B$12:$B$31,MATCH(B498,Config!$A$12:$A$31,0)),"?"))</f>
        <v/>
      </c>
    </row>
    <row r="499" customFormat="false" ht="15" hidden="false" customHeight="false" outlineLevel="0" collapsed="false">
      <c r="A499" s="32"/>
      <c r="B499" s="25"/>
      <c r="C499" s="25"/>
      <c r="D499" s="33"/>
      <c r="E499" s="25"/>
      <c r="F499" s="18" t="str">
        <f aca="false">IF(A499="","",MONTH(A499))</f>
        <v/>
      </c>
      <c r="G499" s="18" t="str">
        <f aca="false">IF(A499="","",YEAR(A499))</f>
        <v/>
      </c>
      <c r="H499" s="18" t="str">
        <f aca="false">IF(B499="","",IFERROR(INDEX(Config!$B$12:$B$31,MATCH(B499,Config!$A$12:$A$31,0)),"?"))</f>
        <v/>
      </c>
    </row>
    <row r="500" customFormat="false" ht="15" hidden="false" customHeight="false" outlineLevel="0" collapsed="false">
      <c r="A500" s="32"/>
      <c r="B500" s="25"/>
      <c r="C500" s="25"/>
      <c r="D500" s="33"/>
      <c r="E500" s="25"/>
      <c r="F500" s="18" t="str">
        <f aca="false">IF(A500="","",MONTH(A500))</f>
        <v/>
      </c>
      <c r="G500" s="18" t="str">
        <f aca="false">IF(A500="","",YEAR(A500))</f>
        <v/>
      </c>
      <c r="H500" s="18" t="str">
        <f aca="false">IF(B500="","",IFERROR(INDEX(Config!$B$12:$B$31,MATCH(B500,Config!$A$12:$A$31,0)),"?"))</f>
        <v/>
      </c>
    </row>
    <row r="501" customFormat="false" ht="15" hidden="false" customHeight="false" outlineLevel="0" collapsed="false">
      <c r="A501" s="32"/>
      <c r="B501" s="25"/>
      <c r="C501" s="25"/>
      <c r="D501" s="33"/>
      <c r="E501" s="25"/>
      <c r="F501" s="18" t="str">
        <f aca="false">IF(A501="","",MONTH(A501))</f>
        <v/>
      </c>
      <c r="G501" s="18" t="str">
        <f aca="false">IF(A501="","",YEAR(A501))</f>
        <v/>
      </c>
      <c r="H501" s="18" t="str">
        <f aca="false">IF(B501="","",IFERROR(INDEX(Config!$B$12:$B$31,MATCH(B501,Config!$A$12:$A$31,0)),"?"))</f>
        <v/>
      </c>
    </row>
    <row r="502" customFormat="false" ht="15" hidden="false" customHeight="false" outlineLevel="0" collapsed="false">
      <c r="A502" s="32"/>
      <c r="B502" s="25"/>
      <c r="C502" s="25"/>
      <c r="D502" s="33"/>
      <c r="E502" s="25"/>
      <c r="F502" s="18" t="str">
        <f aca="false">IF(A502="","",MONTH(A502))</f>
        <v/>
      </c>
      <c r="G502" s="18" t="str">
        <f aca="false">IF(A502="","",YEAR(A502))</f>
        <v/>
      </c>
      <c r="H502" s="18" t="str">
        <f aca="false">IF(B502="","",IFERROR(INDEX(Config!$B$12:$B$31,MATCH(B502,Config!$A$12:$A$31,0)),"?"))</f>
        <v/>
      </c>
    </row>
    <row r="503" customFormat="false" ht="15" hidden="false" customHeight="false" outlineLevel="0" collapsed="false">
      <c r="A503" s="32"/>
      <c r="B503" s="25"/>
      <c r="C503" s="25"/>
      <c r="D503" s="33"/>
      <c r="E503" s="25"/>
      <c r="F503" s="18" t="str">
        <f aca="false">IF(A503="","",MONTH(A503))</f>
        <v/>
      </c>
      <c r="G503" s="18" t="str">
        <f aca="false">IF(A503="","",YEAR(A503))</f>
        <v/>
      </c>
      <c r="H503" s="18" t="str">
        <f aca="false">IF(B503="","",IFERROR(INDEX(Config!$B$12:$B$31,MATCH(B503,Config!$A$12:$A$31,0)),"?"))</f>
        <v/>
      </c>
    </row>
    <row r="504" customFormat="false" ht="15" hidden="false" customHeight="false" outlineLevel="0" collapsed="false">
      <c r="A504" s="32"/>
      <c r="B504" s="25"/>
      <c r="C504" s="25"/>
      <c r="D504" s="33"/>
      <c r="E504" s="25"/>
      <c r="F504" s="18" t="str">
        <f aca="false">IF(A504="","",MONTH(A504))</f>
        <v/>
      </c>
      <c r="G504" s="18" t="str">
        <f aca="false">IF(A504="","",YEAR(A504))</f>
        <v/>
      </c>
      <c r="H504" s="18" t="str">
        <f aca="false">IF(B504="","",IFERROR(INDEX(Config!$B$12:$B$31,MATCH(B504,Config!$A$12:$A$31,0)),"?"))</f>
        <v/>
      </c>
    </row>
    <row r="505" customFormat="false" ht="15" hidden="false" customHeight="false" outlineLevel="0" collapsed="false">
      <c r="A505" s="32"/>
      <c r="B505" s="25"/>
      <c r="C505" s="25"/>
      <c r="D505" s="33"/>
      <c r="E505" s="25"/>
      <c r="F505" s="18" t="str">
        <f aca="false">IF(A505="","",MONTH(A505))</f>
        <v/>
      </c>
      <c r="G505" s="18" t="str">
        <f aca="false">IF(A505="","",YEAR(A505))</f>
        <v/>
      </c>
      <c r="H505" s="18" t="str">
        <f aca="false">IF(B505="","",IFERROR(INDEX(Config!$B$12:$B$31,MATCH(B505,Config!$A$12:$A$31,0)),"?"))</f>
        <v/>
      </c>
    </row>
    <row r="506" customFormat="false" ht="15" hidden="false" customHeight="false" outlineLevel="0" collapsed="false">
      <c r="A506" s="32"/>
      <c r="B506" s="25"/>
      <c r="C506" s="25"/>
      <c r="D506" s="33"/>
      <c r="E506" s="25"/>
      <c r="F506" s="18" t="str">
        <f aca="false">IF(A506="","",MONTH(A506))</f>
        <v/>
      </c>
      <c r="G506" s="18" t="str">
        <f aca="false">IF(A506="","",YEAR(A506))</f>
        <v/>
      </c>
      <c r="H506" s="18" t="str">
        <f aca="false">IF(B506="","",IFERROR(INDEX(Config!$B$12:$B$31,MATCH(B506,Config!$A$12:$A$31,0)),"?"))</f>
        <v/>
      </c>
    </row>
    <row r="507" customFormat="false" ht="15" hidden="false" customHeight="false" outlineLevel="0" collapsed="false">
      <c r="A507" s="32"/>
      <c r="B507" s="25"/>
      <c r="C507" s="25"/>
      <c r="D507" s="33"/>
      <c r="E507" s="25"/>
      <c r="F507" s="18" t="str">
        <f aca="false">IF(A507="","",MONTH(A507))</f>
        <v/>
      </c>
      <c r="G507" s="18" t="str">
        <f aca="false">IF(A507="","",YEAR(A507))</f>
        <v/>
      </c>
      <c r="H507" s="18" t="str">
        <f aca="false">IF(B507="","",IFERROR(INDEX(Config!$B$12:$B$31,MATCH(B507,Config!$A$12:$A$31,0)),"?"))</f>
        <v/>
      </c>
    </row>
    <row r="508" customFormat="false" ht="15" hidden="false" customHeight="false" outlineLevel="0" collapsed="false">
      <c r="A508" s="32"/>
      <c r="B508" s="25"/>
      <c r="C508" s="25"/>
      <c r="D508" s="33"/>
      <c r="E508" s="25"/>
      <c r="F508" s="18" t="str">
        <f aca="false">IF(A508="","",MONTH(A508))</f>
        <v/>
      </c>
      <c r="G508" s="18" t="str">
        <f aca="false">IF(A508="","",YEAR(A508))</f>
        <v/>
      </c>
      <c r="H508" s="18" t="str">
        <f aca="false">IF(B508="","",IFERROR(INDEX(Config!$B$12:$B$31,MATCH(B508,Config!$A$12:$A$31,0)),"?"))</f>
        <v/>
      </c>
    </row>
    <row r="509" customFormat="false" ht="15" hidden="false" customHeight="false" outlineLevel="0" collapsed="false">
      <c r="A509" s="32"/>
      <c r="B509" s="25"/>
      <c r="C509" s="25"/>
      <c r="D509" s="33"/>
      <c r="E509" s="25"/>
      <c r="F509" s="18" t="str">
        <f aca="false">IF(A509="","",MONTH(A509))</f>
        <v/>
      </c>
      <c r="G509" s="18" t="str">
        <f aca="false">IF(A509="","",YEAR(A509))</f>
        <v/>
      </c>
      <c r="H509" s="18" t="str">
        <f aca="false">IF(B509="","",IFERROR(INDEX(Config!$B$12:$B$31,MATCH(B509,Config!$A$12:$A$31,0)),"?"))</f>
        <v/>
      </c>
    </row>
    <row r="510" customFormat="false" ht="15" hidden="false" customHeight="false" outlineLevel="0" collapsed="false">
      <c r="A510" s="32"/>
      <c r="B510" s="25"/>
      <c r="C510" s="25"/>
      <c r="D510" s="33"/>
      <c r="E510" s="25"/>
      <c r="F510" s="18" t="str">
        <f aca="false">IF(A510="","",MONTH(A510))</f>
        <v/>
      </c>
      <c r="G510" s="18" t="str">
        <f aca="false">IF(A510="","",YEAR(A510))</f>
        <v/>
      </c>
      <c r="H510" s="18" t="str">
        <f aca="false">IF(B510="","",IFERROR(INDEX(Config!$B$12:$B$31,MATCH(B510,Config!$A$12:$A$31,0)),"?"))</f>
        <v/>
      </c>
    </row>
    <row r="511" customFormat="false" ht="15" hidden="false" customHeight="false" outlineLevel="0" collapsed="false">
      <c r="A511" s="32"/>
      <c r="B511" s="25"/>
      <c r="C511" s="25"/>
      <c r="D511" s="33"/>
      <c r="E511" s="25"/>
      <c r="F511" s="18" t="str">
        <f aca="false">IF(A511="","",MONTH(A511))</f>
        <v/>
      </c>
      <c r="G511" s="18" t="str">
        <f aca="false">IF(A511="","",YEAR(A511))</f>
        <v/>
      </c>
      <c r="H511" s="18" t="str">
        <f aca="false">IF(B511="","",IFERROR(INDEX(Config!$B$12:$B$31,MATCH(B511,Config!$A$12:$A$31,0)),"?"))</f>
        <v/>
      </c>
    </row>
    <row r="512" customFormat="false" ht="15" hidden="false" customHeight="false" outlineLevel="0" collapsed="false">
      <c r="A512" s="32"/>
      <c r="B512" s="25"/>
      <c r="C512" s="25"/>
      <c r="D512" s="33"/>
      <c r="E512" s="25"/>
      <c r="F512" s="18" t="str">
        <f aca="false">IF(A512="","",MONTH(A512))</f>
        <v/>
      </c>
      <c r="G512" s="18" t="str">
        <f aca="false">IF(A512="","",YEAR(A512))</f>
        <v/>
      </c>
      <c r="H512" s="18" t="str">
        <f aca="false">IF(B512="","",IFERROR(INDEX(Config!$B$12:$B$31,MATCH(B512,Config!$A$12:$A$31,0)),"?"))</f>
        <v/>
      </c>
    </row>
    <row r="513" customFormat="false" ht="15" hidden="false" customHeight="false" outlineLevel="0" collapsed="false">
      <c r="A513" s="32"/>
      <c r="B513" s="25"/>
      <c r="C513" s="25"/>
      <c r="D513" s="33"/>
      <c r="E513" s="25"/>
      <c r="F513" s="18" t="str">
        <f aca="false">IF(A513="","",MONTH(A513))</f>
        <v/>
      </c>
      <c r="G513" s="18" t="str">
        <f aca="false">IF(A513="","",YEAR(A513))</f>
        <v/>
      </c>
      <c r="H513" s="18" t="str">
        <f aca="false">IF(B513="","",IFERROR(INDEX(Config!$B$12:$B$31,MATCH(B513,Config!$A$12:$A$31,0)),"?"))</f>
        <v/>
      </c>
    </row>
    <row r="514" customFormat="false" ht="15" hidden="false" customHeight="false" outlineLevel="0" collapsed="false">
      <c r="A514" s="32"/>
      <c r="B514" s="25"/>
      <c r="C514" s="25"/>
      <c r="D514" s="33"/>
      <c r="E514" s="25"/>
      <c r="F514" s="18" t="str">
        <f aca="false">IF(A514="","",MONTH(A514))</f>
        <v/>
      </c>
      <c r="G514" s="18" t="str">
        <f aca="false">IF(A514="","",YEAR(A514))</f>
        <v/>
      </c>
      <c r="H514" s="18" t="str">
        <f aca="false">IF(B514="","",IFERROR(INDEX(Config!$B$12:$B$31,MATCH(B514,Config!$A$12:$A$31,0)),"?"))</f>
        <v/>
      </c>
    </row>
    <row r="515" customFormat="false" ht="15" hidden="false" customHeight="false" outlineLevel="0" collapsed="false">
      <c r="A515" s="32"/>
      <c r="B515" s="25"/>
      <c r="C515" s="25"/>
      <c r="D515" s="33"/>
      <c r="E515" s="25"/>
      <c r="F515" s="18" t="str">
        <f aca="false">IF(A515="","",MONTH(A515))</f>
        <v/>
      </c>
      <c r="G515" s="18" t="str">
        <f aca="false">IF(A515="","",YEAR(A515))</f>
        <v/>
      </c>
      <c r="H515" s="18" t="str">
        <f aca="false">IF(B515="","",IFERROR(INDEX(Config!$B$12:$B$31,MATCH(B515,Config!$A$12:$A$31,0)),"?"))</f>
        <v/>
      </c>
    </row>
    <row r="516" customFormat="false" ht="15" hidden="false" customHeight="false" outlineLevel="0" collapsed="false">
      <c r="A516" s="32"/>
      <c r="B516" s="25"/>
      <c r="C516" s="25"/>
      <c r="D516" s="33"/>
      <c r="E516" s="25"/>
      <c r="F516" s="18" t="str">
        <f aca="false">IF(A516="","",MONTH(A516))</f>
        <v/>
      </c>
      <c r="G516" s="18" t="str">
        <f aca="false">IF(A516="","",YEAR(A516))</f>
        <v/>
      </c>
      <c r="H516" s="18" t="str">
        <f aca="false">IF(B516="","",IFERROR(INDEX(Config!$B$12:$B$31,MATCH(B516,Config!$A$12:$A$31,0)),"?"))</f>
        <v/>
      </c>
    </row>
    <row r="517" customFormat="false" ht="15" hidden="false" customHeight="false" outlineLevel="0" collapsed="false">
      <c r="A517" s="32"/>
      <c r="B517" s="25"/>
      <c r="C517" s="25"/>
      <c r="D517" s="33"/>
      <c r="E517" s="25"/>
      <c r="F517" s="18" t="str">
        <f aca="false">IF(A517="","",MONTH(A517))</f>
        <v/>
      </c>
      <c r="G517" s="18" t="str">
        <f aca="false">IF(A517="","",YEAR(A517))</f>
        <v/>
      </c>
      <c r="H517" s="18" t="str">
        <f aca="false">IF(B517="","",IFERROR(INDEX(Config!$B$12:$B$31,MATCH(B517,Config!$A$12:$A$31,0)),"?"))</f>
        <v/>
      </c>
    </row>
    <row r="518" customFormat="false" ht="15" hidden="false" customHeight="false" outlineLevel="0" collapsed="false">
      <c r="A518" s="32"/>
      <c r="B518" s="25"/>
      <c r="C518" s="25"/>
      <c r="D518" s="33"/>
      <c r="E518" s="25"/>
      <c r="F518" s="18" t="str">
        <f aca="false">IF(A518="","",MONTH(A518))</f>
        <v/>
      </c>
      <c r="G518" s="18" t="str">
        <f aca="false">IF(A518="","",YEAR(A518))</f>
        <v/>
      </c>
      <c r="H518" s="18" t="str">
        <f aca="false">IF(B518="","",IFERROR(INDEX(Config!$B$12:$B$31,MATCH(B518,Config!$A$12:$A$31,0)),"?"))</f>
        <v/>
      </c>
    </row>
    <row r="519" customFormat="false" ht="15" hidden="false" customHeight="false" outlineLevel="0" collapsed="false">
      <c r="A519" s="32"/>
      <c r="B519" s="25"/>
      <c r="C519" s="25"/>
      <c r="D519" s="33"/>
      <c r="E519" s="25"/>
      <c r="F519" s="18" t="str">
        <f aca="false">IF(A519="","",MONTH(A519))</f>
        <v/>
      </c>
      <c r="G519" s="18" t="str">
        <f aca="false">IF(A519="","",YEAR(A519))</f>
        <v/>
      </c>
      <c r="H519" s="18" t="str">
        <f aca="false">IF(B519="","",IFERROR(INDEX(Config!$B$12:$B$31,MATCH(B519,Config!$A$12:$A$31,0)),"?"))</f>
        <v/>
      </c>
    </row>
    <row r="520" customFormat="false" ht="15" hidden="false" customHeight="false" outlineLevel="0" collapsed="false">
      <c r="A520" s="32"/>
      <c r="B520" s="25"/>
      <c r="C520" s="25"/>
      <c r="D520" s="33"/>
      <c r="E520" s="25"/>
      <c r="F520" s="18" t="str">
        <f aca="false">IF(A520="","",MONTH(A520))</f>
        <v/>
      </c>
      <c r="G520" s="18" t="str">
        <f aca="false">IF(A520="","",YEAR(A520))</f>
        <v/>
      </c>
      <c r="H520" s="18" t="str">
        <f aca="false">IF(B520="","",IFERROR(INDEX(Config!$B$12:$B$31,MATCH(B520,Config!$A$12:$A$31,0)),"?"))</f>
        <v/>
      </c>
    </row>
    <row r="521" customFormat="false" ht="15" hidden="false" customHeight="false" outlineLevel="0" collapsed="false">
      <c r="A521" s="32"/>
      <c r="B521" s="25"/>
      <c r="C521" s="25"/>
      <c r="D521" s="33"/>
      <c r="E521" s="25"/>
      <c r="F521" s="18" t="str">
        <f aca="false">IF(A521="","",MONTH(A521))</f>
        <v/>
      </c>
      <c r="G521" s="18" t="str">
        <f aca="false">IF(A521="","",YEAR(A521))</f>
        <v/>
      </c>
      <c r="H521" s="18" t="str">
        <f aca="false">IF(B521="","",IFERROR(INDEX(Config!$B$12:$B$31,MATCH(B521,Config!$A$12:$A$31,0)),"?"))</f>
        <v/>
      </c>
    </row>
    <row r="522" customFormat="false" ht="15" hidden="false" customHeight="false" outlineLevel="0" collapsed="false">
      <c r="A522" s="32"/>
      <c r="B522" s="25"/>
      <c r="C522" s="25"/>
      <c r="D522" s="33"/>
      <c r="E522" s="25"/>
      <c r="F522" s="18" t="str">
        <f aca="false">IF(A522="","",MONTH(A522))</f>
        <v/>
      </c>
      <c r="G522" s="18" t="str">
        <f aca="false">IF(A522="","",YEAR(A522))</f>
        <v/>
      </c>
      <c r="H522" s="18" t="str">
        <f aca="false">IF(B522="","",IFERROR(INDEX(Config!$B$12:$B$31,MATCH(B522,Config!$A$12:$A$31,0)),"?"))</f>
        <v/>
      </c>
    </row>
    <row r="523" customFormat="false" ht="15" hidden="false" customHeight="false" outlineLevel="0" collapsed="false">
      <c r="A523" s="32"/>
      <c r="B523" s="25"/>
      <c r="C523" s="25"/>
      <c r="D523" s="33"/>
      <c r="E523" s="25"/>
      <c r="F523" s="18" t="str">
        <f aca="false">IF(A523="","",MONTH(A523))</f>
        <v/>
      </c>
      <c r="G523" s="18" t="str">
        <f aca="false">IF(A523="","",YEAR(A523))</f>
        <v/>
      </c>
      <c r="H523" s="18" t="str">
        <f aca="false">IF(B523="","",IFERROR(INDEX(Config!$B$12:$B$31,MATCH(B523,Config!$A$12:$A$31,0)),"?"))</f>
        <v/>
      </c>
    </row>
    <row r="524" customFormat="false" ht="15" hidden="false" customHeight="false" outlineLevel="0" collapsed="false">
      <c r="A524" s="32"/>
      <c r="B524" s="25"/>
      <c r="C524" s="25"/>
      <c r="D524" s="33"/>
      <c r="E524" s="25"/>
      <c r="F524" s="18" t="str">
        <f aca="false">IF(A524="","",MONTH(A524))</f>
        <v/>
      </c>
      <c r="G524" s="18" t="str">
        <f aca="false">IF(A524="","",YEAR(A524))</f>
        <v/>
      </c>
      <c r="H524" s="18" t="str">
        <f aca="false">IF(B524="","",IFERROR(INDEX(Config!$B$12:$B$31,MATCH(B524,Config!$A$12:$A$31,0)),"?"))</f>
        <v/>
      </c>
    </row>
    <row r="525" customFormat="false" ht="15" hidden="false" customHeight="false" outlineLevel="0" collapsed="false">
      <c r="A525" s="32"/>
      <c r="B525" s="25"/>
      <c r="C525" s="25"/>
      <c r="D525" s="33"/>
      <c r="E525" s="25"/>
      <c r="F525" s="18" t="str">
        <f aca="false">IF(A525="","",MONTH(A525))</f>
        <v/>
      </c>
      <c r="G525" s="18" t="str">
        <f aca="false">IF(A525="","",YEAR(A525))</f>
        <v/>
      </c>
      <c r="H525" s="18" t="str">
        <f aca="false">IF(B525="","",IFERROR(INDEX(Config!$B$12:$B$31,MATCH(B525,Config!$A$12:$A$31,0)),"?"))</f>
        <v/>
      </c>
    </row>
    <row r="526" customFormat="false" ht="15" hidden="false" customHeight="false" outlineLevel="0" collapsed="false">
      <c r="A526" s="32"/>
      <c r="B526" s="25"/>
      <c r="C526" s="25"/>
      <c r="D526" s="33"/>
      <c r="E526" s="25"/>
      <c r="F526" s="18" t="str">
        <f aca="false">IF(A526="","",MONTH(A526))</f>
        <v/>
      </c>
      <c r="G526" s="18" t="str">
        <f aca="false">IF(A526="","",YEAR(A526))</f>
        <v/>
      </c>
      <c r="H526" s="18" t="str">
        <f aca="false">IF(B526="","",IFERROR(INDEX(Config!$B$12:$B$31,MATCH(B526,Config!$A$12:$A$31,0)),"?"))</f>
        <v/>
      </c>
    </row>
    <row r="527" customFormat="false" ht="15" hidden="false" customHeight="false" outlineLevel="0" collapsed="false">
      <c r="A527" s="32"/>
      <c r="B527" s="25"/>
      <c r="C527" s="25"/>
      <c r="D527" s="33"/>
      <c r="E527" s="25"/>
      <c r="F527" s="18" t="str">
        <f aca="false">IF(A527="","",MONTH(A527))</f>
        <v/>
      </c>
      <c r="G527" s="18" t="str">
        <f aca="false">IF(A527="","",YEAR(A527))</f>
        <v/>
      </c>
      <c r="H527" s="18" t="str">
        <f aca="false">IF(B527="","",IFERROR(INDEX(Config!$B$12:$B$31,MATCH(B527,Config!$A$12:$A$31,0)),"?"))</f>
        <v/>
      </c>
    </row>
    <row r="528" customFormat="false" ht="15" hidden="false" customHeight="false" outlineLevel="0" collapsed="false">
      <c r="A528" s="32"/>
      <c r="B528" s="25"/>
      <c r="C528" s="25"/>
      <c r="D528" s="33"/>
      <c r="E528" s="25"/>
      <c r="F528" s="18" t="str">
        <f aca="false">IF(A528="","",MONTH(A528))</f>
        <v/>
      </c>
      <c r="G528" s="18" t="str">
        <f aca="false">IF(A528="","",YEAR(A528))</f>
        <v/>
      </c>
      <c r="H528" s="18" t="str">
        <f aca="false">IF(B528="","",IFERROR(INDEX(Config!$B$12:$B$31,MATCH(B528,Config!$A$12:$A$31,0)),"?"))</f>
        <v/>
      </c>
    </row>
    <row r="529" customFormat="false" ht="15" hidden="false" customHeight="false" outlineLevel="0" collapsed="false">
      <c r="A529" s="32"/>
      <c r="B529" s="25"/>
      <c r="C529" s="25"/>
      <c r="D529" s="33"/>
      <c r="E529" s="25"/>
      <c r="F529" s="18" t="str">
        <f aca="false">IF(A529="","",MONTH(A529))</f>
        <v/>
      </c>
      <c r="G529" s="18" t="str">
        <f aca="false">IF(A529="","",YEAR(A529))</f>
        <v/>
      </c>
      <c r="H529" s="18" t="str">
        <f aca="false">IF(B529="","",IFERROR(INDEX(Config!$B$12:$B$31,MATCH(B529,Config!$A$12:$A$31,0)),"?"))</f>
        <v/>
      </c>
    </row>
    <row r="530" customFormat="false" ht="15" hidden="false" customHeight="false" outlineLevel="0" collapsed="false">
      <c r="A530" s="32"/>
      <c r="B530" s="25"/>
      <c r="C530" s="25"/>
      <c r="D530" s="33"/>
      <c r="E530" s="25"/>
      <c r="F530" s="18" t="str">
        <f aca="false">IF(A530="","",MONTH(A530))</f>
        <v/>
      </c>
      <c r="G530" s="18" t="str">
        <f aca="false">IF(A530="","",YEAR(A530))</f>
        <v/>
      </c>
      <c r="H530" s="18" t="str">
        <f aca="false">IF(B530="","",IFERROR(INDEX(Config!$B$12:$B$31,MATCH(B530,Config!$A$12:$A$31,0)),"?"))</f>
        <v/>
      </c>
    </row>
    <row r="531" customFormat="false" ht="15" hidden="false" customHeight="false" outlineLevel="0" collapsed="false">
      <c r="A531" s="32"/>
      <c r="B531" s="25"/>
      <c r="C531" s="25"/>
      <c r="D531" s="33"/>
      <c r="E531" s="25"/>
      <c r="F531" s="18" t="str">
        <f aca="false">IF(A531="","",MONTH(A531))</f>
        <v/>
      </c>
      <c r="G531" s="18" t="str">
        <f aca="false">IF(A531="","",YEAR(A531))</f>
        <v/>
      </c>
      <c r="H531" s="18" t="str">
        <f aca="false">IF(B531="","",IFERROR(INDEX(Config!$B$12:$B$31,MATCH(B531,Config!$A$12:$A$31,0)),"?"))</f>
        <v/>
      </c>
    </row>
    <row r="532" customFormat="false" ht="15" hidden="false" customHeight="false" outlineLevel="0" collapsed="false">
      <c r="A532" s="32"/>
      <c r="B532" s="25"/>
      <c r="C532" s="25"/>
      <c r="D532" s="33"/>
      <c r="E532" s="25"/>
      <c r="F532" s="18" t="str">
        <f aca="false">IF(A532="","",MONTH(A532))</f>
        <v/>
      </c>
      <c r="G532" s="18" t="str">
        <f aca="false">IF(A532="","",YEAR(A532))</f>
        <v/>
      </c>
      <c r="H532" s="18" t="str">
        <f aca="false">IF(B532="","",IFERROR(INDEX(Config!$B$12:$B$31,MATCH(B532,Config!$A$12:$A$31,0)),"?"))</f>
        <v/>
      </c>
    </row>
    <row r="533" customFormat="false" ht="15" hidden="false" customHeight="false" outlineLevel="0" collapsed="false">
      <c r="A533" s="32"/>
      <c r="B533" s="25"/>
      <c r="C533" s="25"/>
      <c r="D533" s="33"/>
      <c r="E533" s="25"/>
      <c r="F533" s="18" t="str">
        <f aca="false">IF(A533="","",MONTH(A533))</f>
        <v/>
      </c>
      <c r="G533" s="18" t="str">
        <f aca="false">IF(A533="","",YEAR(A533))</f>
        <v/>
      </c>
      <c r="H533" s="18" t="str">
        <f aca="false">IF(B533="","",IFERROR(INDEX(Config!$B$12:$B$31,MATCH(B533,Config!$A$12:$A$31,0)),"?"))</f>
        <v/>
      </c>
    </row>
    <row r="534" customFormat="false" ht="15" hidden="false" customHeight="false" outlineLevel="0" collapsed="false">
      <c r="A534" s="32"/>
      <c r="B534" s="25"/>
      <c r="C534" s="25"/>
      <c r="D534" s="33"/>
      <c r="E534" s="25"/>
      <c r="F534" s="18" t="str">
        <f aca="false">IF(A534="","",MONTH(A534))</f>
        <v/>
      </c>
      <c r="G534" s="18" t="str">
        <f aca="false">IF(A534="","",YEAR(A534))</f>
        <v/>
      </c>
      <c r="H534" s="18" t="str">
        <f aca="false">IF(B534="","",IFERROR(INDEX(Config!$B$12:$B$31,MATCH(B534,Config!$A$12:$A$31,0)),"?"))</f>
        <v/>
      </c>
    </row>
    <row r="535" customFormat="false" ht="15" hidden="false" customHeight="false" outlineLevel="0" collapsed="false">
      <c r="A535" s="32"/>
      <c r="B535" s="25"/>
      <c r="C535" s="25"/>
      <c r="D535" s="33"/>
      <c r="E535" s="25"/>
      <c r="F535" s="18" t="str">
        <f aca="false">IF(A535="","",MONTH(A535))</f>
        <v/>
      </c>
      <c r="G535" s="18" t="str">
        <f aca="false">IF(A535="","",YEAR(A535))</f>
        <v/>
      </c>
      <c r="H535" s="18" t="str">
        <f aca="false">IF(B535="","",IFERROR(INDEX(Config!$B$12:$B$31,MATCH(B535,Config!$A$12:$A$31,0)),"?"))</f>
        <v/>
      </c>
    </row>
    <row r="536" customFormat="false" ht="15" hidden="false" customHeight="false" outlineLevel="0" collapsed="false">
      <c r="A536" s="32"/>
      <c r="B536" s="25"/>
      <c r="C536" s="25"/>
      <c r="D536" s="33"/>
      <c r="E536" s="25"/>
      <c r="F536" s="18" t="str">
        <f aca="false">IF(A536="","",MONTH(A536))</f>
        <v/>
      </c>
      <c r="G536" s="18" t="str">
        <f aca="false">IF(A536="","",YEAR(A536))</f>
        <v/>
      </c>
      <c r="H536" s="18" t="str">
        <f aca="false">IF(B536="","",IFERROR(INDEX(Config!$B$12:$B$31,MATCH(B536,Config!$A$12:$A$31,0)),"?"))</f>
        <v/>
      </c>
    </row>
    <row r="537" customFormat="false" ht="15" hidden="false" customHeight="false" outlineLevel="0" collapsed="false">
      <c r="A537" s="32"/>
      <c r="B537" s="25"/>
      <c r="C537" s="25"/>
      <c r="D537" s="33"/>
      <c r="E537" s="25"/>
      <c r="F537" s="18" t="str">
        <f aca="false">IF(A537="","",MONTH(A537))</f>
        <v/>
      </c>
      <c r="G537" s="18" t="str">
        <f aca="false">IF(A537="","",YEAR(A537))</f>
        <v/>
      </c>
      <c r="H537" s="18" t="str">
        <f aca="false">IF(B537="","",IFERROR(INDEX(Config!$B$12:$B$31,MATCH(B537,Config!$A$12:$A$31,0)),"?"))</f>
        <v/>
      </c>
    </row>
    <row r="538" customFormat="false" ht="15" hidden="false" customHeight="false" outlineLevel="0" collapsed="false">
      <c r="A538" s="32"/>
      <c r="B538" s="25"/>
      <c r="C538" s="25"/>
      <c r="D538" s="33"/>
      <c r="E538" s="25"/>
      <c r="F538" s="18" t="str">
        <f aca="false">IF(A538="","",MONTH(A538))</f>
        <v/>
      </c>
      <c r="G538" s="18" t="str">
        <f aca="false">IF(A538="","",YEAR(A538))</f>
        <v/>
      </c>
      <c r="H538" s="18" t="str">
        <f aca="false">IF(B538="","",IFERROR(INDEX(Config!$B$12:$B$31,MATCH(B538,Config!$A$12:$A$31,0)),"?"))</f>
        <v/>
      </c>
    </row>
    <row r="539" customFormat="false" ht="15" hidden="false" customHeight="false" outlineLevel="0" collapsed="false">
      <c r="A539" s="32"/>
      <c r="B539" s="25"/>
      <c r="C539" s="25"/>
      <c r="D539" s="33"/>
      <c r="E539" s="25"/>
      <c r="F539" s="18" t="str">
        <f aca="false">IF(A539="","",MONTH(A539))</f>
        <v/>
      </c>
      <c r="G539" s="18" t="str">
        <f aca="false">IF(A539="","",YEAR(A539))</f>
        <v/>
      </c>
      <c r="H539" s="18" t="str">
        <f aca="false">IF(B539="","",IFERROR(INDEX(Config!$B$12:$B$31,MATCH(B539,Config!$A$12:$A$31,0)),"?"))</f>
        <v/>
      </c>
    </row>
    <row r="540" customFormat="false" ht="15" hidden="false" customHeight="false" outlineLevel="0" collapsed="false">
      <c r="A540" s="32"/>
      <c r="B540" s="25"/>
      <c r="C540" s="25"/>
      <c r="D540" s="33"/>
      <c r="E540" s="25"/>
      <c r="F540" s="18" t="str">
        <f aca="false">IF(A540="","",MONTH(A540))</f>
        <v/>
      </c>
      <c r="G540" s="18" t="str">
        <f aca="false">IF(A540="","",YEAR(A540))</f>
        <v/>
      </c>
      <c r="H540" s="18" t="str">
        <f aca="false">IF(B540="","",IFERROR(INDEX(Config!$B$12:$B$31,MATCH(B540,Config!$A$12:$A$31,0)),"?"))</f>
        <v/>
      </c>
    </row>
    <row r="541" customFormat="false" ht="15" hidden="false" customHeight="false" outlineLevel="0" collapsed="false">
      <c r="A541" s="32"/>
      <c r="B541" s="25"/>
      <c r="C541" s="25"/>
      <c r="D541" s="33"/>
      <c r="E541" s="25"/>
      <c r="F541" s="18" t="str">
        <f aca="false">IF(A541="","",MONTH(A541))</f>
        <v/>
      </c>
      <c r="G541" s="18" t="str">
        <f aca="false">IF(A541="","",YEAR(A541))</f>
        <v/>
      </c>
      <c r="H541" s="18" t="str">
        <f aca="false">IF(B541="","",IFERROR(INDEX(Config!$B$12:$B$31,MATCH(B541,Config!$A$12:$A$31,0)),"?"))</f>
        <v/>
      </c>
    </row>
    <row r="542" customFormat="false" ht="15" hidden="false" customHeight="false" outlineLevel="0" collapsed="false">
      <c r="A542" s="32"/>
      <c r="B542" s="25"/>
      <c r="C542" s="25"/>
      <c r="D542" s="33"/>
      <c r="E542" s="25"/>
      <c r="F542" s="18" t="str">
        <f aca="false">IF(A542="","",MONTH(A542))</f>
        <v/>
      </c>
      <c r="G542" s="18" t="str">
        <f aca="false">IF(A542="","",YEAR(A542))</f>
        <v/>
      </c>
      <c r="H542" s="18" t="str">
        <f aca="false">IF(B542="","",IFERROR(INDEX(Config!$B$12:$B$31,MATCH(B542,Config!$A$12:$A$31,0)),"?"))</f>
        <v/>
      </c>
    </row>
    <row r="543" customFormat="false" ht="15" hidden="false" customHeight="false" outlineLevel="0" collapsed="false">
      <c r="A543" s="32"/>
      <c r="B543" s="25"/>
      <c r="C543" s="25"/>
      <c r="D543" s="33"/>
      <c r="E543" s="25"/>
      <c r="F543" s="18" t="str">
        <f aca="false">IF(A543="","",MONTH(A543))</f>
        <v/>
      </c>
      <c r="G543" s="18" t="str">
        <f aca="false">IF(A543="","",YEAR(A543))</f>
        <v/>
      </c>
      <c r="H543" s="18" t="str">
        <f aca="false">IF(B543="","",IFERROR(INDEX(Config!$B$12:$B$31,MATCH(B543,Config!$A$12:$A$31,0)),"?"))</f>
        <v/>
      </c>
    </row>
    <row r="544" customFormat="false" ht="15" hidden="false" customHeight="false" outlineLevel="0" collapsed="false">
      <c r="A544" s="32"/>
      <c r="B544" s="25"/>
      <c r="C544" s="25"/>
      <c r="D544" s="33"/>
      <c r="E544" s="25"/>
      <c r="F544" s="18" t="str">
        <f aca="false">IF(A544="","",MONTH(A544))</f>
        <v/>
      </c>
      <c r="G544" s="18" t="str">
        <f aca="false">IF(A544="","",YEAR(A544))</f>
        <v/>
      </c>
      <c r="H544" s="18" t="str">
        <f aca="false">IF(B544="","",IFERROR(INDEX(Config!$B$12:$B$31,MATCH(B544,Config!$A$12:$A$31,0)),"?"))</f>
        <v/>
      </c>
    </row>
    <row r="545" customFormat="false" ht="15" hidden="false" customHeight="false" outlineLevel="0" collapsed="false">
      <c r="A545" s="32"/>
      <c r="B545" s="25"/>
      <c r="C545" s="25"/>
      <c r="D545" s="33"/>
      <c r="E545" s="25"/>
      <c r="F545" s="18" t="str">
        <f aca="false">IF(A545="","",MONTH(A545))</f>
        <v/>
      </c>
      <c r="G545" s="18" t="str">
        <f aca="false">IF(A545="","",YEAR(A545))</f>
        <v/>
      </c>
      <c r="H545" s="18" t="str">
        <f aca="false">IF(B545="","",IFERROR(INDEX(Config!$B$12:$B$31,MATCH(B545,Config!$A$12:$A$31,0)),"?"))</f>
        <v/>
      </c>
    </row>
    <row r="546" customFormat="false" ht="15" hidden="false" customHeight="false" outlineLevel="0" collapsed="false">
      <c r="A546" s="32"/>
      <c r="B546" s="25"/>
      <c r="C546" s="25"/>
      <c r="D546" s="33"/>
      <c r="E546" s="25"/>
      <c r="F546" s="18" t="str">
        <f aca="false">IF(A546="","",MONTH(A546))</f>
        <v/>
      </c>
      <c r="G546" s="18" t="str">
        <f aca="false">IF(A546="","",YEAR(A546))</f>
        <v/>
      </c>
      <c r="H546" s="18" t="str">
        <f aca="false">IF(B546="","",IFERROR(INDEX(Config!$B$12:$B$31,MATCH(B546,Config!$A$12:$A$31,0)),"?"))</f>
        <v/>
      </c>
    </row>
    <row r="547" customFormat="false" ht="15" hidden="false" customHeight="false" outlineLevel="0" collapsed="false">
      <c r="A547" s="32"/>
      <c r="B547" s="25"/>
      <c r="C547" s="25"/>
      <c r="D547" s="33"/>
      <c r="E547" s="25"/>
      <c r="F547" s="18" t="str">
        <f aca="false">IF(A547="","",MONTH(A547))</f>
        <v/>
      </c>
      <c r="G547" s="18" t="str">
        <f aca="false">IF(A547="","",YEAR(A547))</f>
        <v/>
      </c>
      <c r="H547" s="18" t="str">
        <f aca="false">IF(B547="","",IFERROR(INDEX(Config!$B$12:$B$31,MATCH(B547,Config!$A$12:$A$31,0)),"?"))</f>
        <v/>
      </c>
    </row>
    <row r="548" customFormat="false" ht="15" hidden="false" customHeight="false" outlineLevel="0" collapsed="false">
      <c r="A548" s="32"/>
      <c r="B548" s="25"/>
      <c r="C548" s="25"/>
      <c r="D548" s="33"/>
      <c r="E548" s="25"/>
      <c r="F548" s="18" t="str">
        <f aca="false">IF(A548="","",MONTH(A548))</f>
        <v/>
      </c>
      <c r="G548" s="18" t="str">
        <f aca="false">IF(A548="","",YEAR(A548))</f>
        <v/>
      </c>
      <c r="H548" s="18" t="str">
        <f aca="false">IF(B548="","",IFERROR(INDEX(Config!$B$12:$B$31,MATCH(B548,Config!$A$12:$A$31,0)),"?"))</f>
        <v/>
      </c>
    </row>
    <row r="549" customFormat="false" ht="15" hidden="false" customHeight="false" outlineLevel="0" collapsed="false">
      <c r="A549" s="32"/>
      <c r="B549" s="25"/>
      <c r="C549" s="25"/>
      <c r="D549" s="33"/>
      <c r="E549" s="25"/>
      <c r="F549" s="18" t="str">
        <f aca="false">IF(A549="","",MONTH(A549))</f>
        <v/>
      </c>
      <c r="G549" s="18" t="str">
        <f aca="false">IF(A549="","",YEAR(A549))</f>
        <v/>
      </c>
      <c r="H549" s="18" t="str">
        <f aca="false">IF(B549="","",IFERROR(INDEX(Config!$B$12:$B$31,MATCH(B549,Config!$A$12:$A$31,0)),"?"))</f>
        <v/>
      </c>
    </row>
    <row r="550" customFormat="false" ht="15" hidden="false" customHeight="false" outlineLevel="0" collapsed="false">
      <c r="A550" s="32"/>
      <c r="B550" s="25"/>
      <c r="C550" s="25"/>
      <c r="D550" s="33"/>
      <c r="E550" s="25"/>
      <c r="F550" s="18" t="str">
        <f aca="false">IF(A550="","",MONTH(A550))</f>
        <v/>
      </c>
      <c r="G550" s="18" t="str">
        <f aca="false">IF(A550="","",YEAR(A550))</f>
        <v/>
      </c>
      <c r="H550" s="18" t="str">
        <f aca="false">IF(B550="","",IFERROR(INDEX(Config!$B$12:$B$31,MATCH(B550,Config!$A$12:$A$31,0)),"?"))</f>
        <v/>
      </c>
    </row>
    <row r="551" customFormat="false" ht="15" hidden="false" customHeight="false" outlineLevel="0" collapsed="false">
      <c r="A551" s="32"/>
      <c r="B551" s="25"/>
      <c r="C551" s="25"/>
      <c r="D551" s="33"/>
      <c r="E551" s="25"/>
      <c r="F551" s="18" t="str">
        <f aca="false">IF(A551="","",MONTH(A551))</f>
        <v/>
      </c>
      <c r="G551" s="18" t="str">
        <f aca="false">IF(A551="","",YEAR(A551))</f>
        <v/>
      </c>
      <c r="H551" s="18" t="str">
        <f aca="false">IF(B551="","",IFERROR(INDEX(Config!$B$12:$B$31,MATCH(B551,Config!$A$12:$A$31,0)),"?"))</f>
        <v/>
      </c>
    </row>
    <row r="552" customFormat="false" ht="15" hidden="false" customHeight="false" outlineLevel="0" collapsed="false">
      <c r="A552" s="32"/>
      <c r="B552" s="25"/>
      <c r="C552" s="25"/>
      <c r="D552" s="33"/>
      <c r="E552" s="25"/>
      <c r="F552" s="18" t="str">
        <f aca="false">IF(A552="","",MONTH(A552))</f>
        <v/>
      </c>
      <c r="G552" s="18" t="str">
        <f aca="false">IF(A552="","",YEAR(A552))</f>
        <v/>
      </c>
      <c r="H552" s="18" t="str">
        <f aca="false">IF(B552="","",IFERROR(INDEX(Config!$B$12:$B$31,MATCH(B552,Config!$A$12:$A$31,0)),"?"))</f>
        <v/>
      </c>
    </row>
    <row r="553" customFormat="false" ht="15" hidden="false" customHeight="false" outlineLevel="0" collapsed="false">
      <c r="A553" s="32"/>
      <c r="B553" s="25"/>
      <c r="C553" s="25"/>
      <c r="D553" s="33"/>
      <c r="E553" s="25"/>
      <c r="F553" s="18" t="str">
        <f aca="false">IF(A553="","",MONTH(A553))</f>
        <v/>
      </c>
      <c r="G553" s="18" t="str">
        <f aca="false">IF(A553="","",YEAR(A553))</f>
        <v/>
      </c>
      <c r="H553" s="18" t="str">
        <f aca="false">IF(B553="","",IFERROR(INDEX(Config!$B$12:$B$31,MATCH(B553,Config!$A$12:$A$31,0)),"?"))</f>
        <v/>
      </c>
    </row>
    <row r="554" customFormat="false" ht="15" hidden="false" customHeight="false" outlineLevel="0" collapsed="false">
      <c r="A554" s="32"/>
      <c r="B554" s="25"/>
      <c r="C554" s="25"/>
      <c r="D554" s="33"/>
      <c r="E554" s="25"/>
      <c r="F554" s="18" t="str">
        <f aca="false">IF(A554="","",MONTH(A554))</f>
        <v/>
      </c>
      <c r="G554" s="18" t="str">
        <f aca="false">IF(A554="","",YEAR(A554))</f>
        <v/>
      </c>
      <c r="H554" s="18" t="str">
        <f aca="false">IF(B554="","",IFERROR(INDEX(Config!$B$12:$B$31,MATCH(B554,Config!$A$12:$A$31,0)),"?"))</f>
        <v/>
      </c>
    </row>
    <row r="555" customFormat="false" ht="15" hidden="false" customHeight="false" outlineLevel="0" collapsed="false">
      <c r="A555" s="32"/>
      <c r="B555" s="25"/>
      <c r="C555" s="25"/>
      <c r="D555" s="33"/>
      <c r="E555" s="25"/>
      <c r="F555" s="18" t="str">
        <f aca="false">IF(A555="","",MONTH(A555))</f>
        <v/>
      </c>
      <c r="G555" s="18" t="str">
        <f aca="false">IF(A555="","",YEAR(A555))</f>
        <v/>
      </c>
      <c r="H555" s="18" t="str">
        <f aca="false">IF(B555="","",IFERROR(INDEX(Config!$B$12:$B$31,MATCH(B555,Config!$A$12:$A$31,0)),"?"))</f>
        <v/>
      </c>
    </row>
    <row r="556" customFormat="false" ht="15" hidden="false" customHeight="false" outlineLevel="0" collapsed="false">
      <c r="A556" s="32"/>
      <c r="B556" s="25"/>
      <c r="C556" s="25"/>
      <c r="D556" s="33"/>
      <c r="E556" s="25"/>
      <c r="F556" s="18" t="str">
        <f aca="false">IF(A556="","",MONTH(A556))</f>
        <v/>
      </c>
      <c r="G556" s="18" t="str">
        <f aca="false">IF(A556="","",YEAR(A556))</f>
        <v/>
      </c>
      <c r="H556" s="18" t="str">
        <f aca="false">IF(B556="","",IFERROR(INDEX(Config!$B$12:$B$31,MATCH(B556,Config!$A$12:$A$31,0)),"?"))</f>
        <v/>
      </c>
    </row>
    <row r="557" customFormat="false" ht="15" hidden="false" customHeight="false" outlineLevel="0" collapsed="false">
      <c r="A557" s="32"/>
      <c r="B557" s="25"/>
      <c r="C557" s="25"/>
      <c r="D557" s="33"/>
      <c r="E557" s="25"/>
      <c r="F557" s="18" t="str">
        <f aca="false">IF(A557="","",MONTH(A557))</f>
        <v/>
      </c>
      <c r="G557" s="18" t="str">
        <f aca="false">IF(A557="","",YEAR(A557))</f>
        <v/>
      </c>
      <c r="H557" s="18" t="str">
        <f aca="false">IF(B557="","",IFERROR(INDEX(Config!$B$12:$B$31,MATCH(B557,Config!$A$12:$A$31,0)),"?"))</f>
        <v/>
      </c>
    </row>
    <row r="558" customFormat="false" ht="15" hidden="false" customHeight="false" outlineLevel="0" collapsed="false">
      <c r="A558" s="32"/>
      <c r="B558" s="25"/>
      <c r="C558" s="25"/>
      <c r="D558" s="33"/>
      <c r="E558" s="25"/>
      <c r="F558" s="18" t="str">
        <f aca="false">IF(A558="","",MONTH(A558))</f>
        <v/>
      </c>
      <c r="G558" s="18" t="str">
        <f aca="false">IF(A558="","",YEAR(A558))</f>
        <v/>
      </c>
      <c r="H558" s="18" t="str">
        <f aca="false">IF(B558="","",IFERROR(INDEX(Config!$B$12:$B$31,MATCH(B558,Config!$A$12:$A$31,0)),"?"))</f>
        <v/>
      </c>
    </row>
    <row r="559" customFormat="false" ht="15" hidden="false" customHeight="false" outlineLevel="0" collapsed="false">
      <c r="A559" s="32"/>
      <c r="B559" s="25"/>
      <c r="C559" s="25"/>
      <c r="D559" s="33"/>
      <c r="E559" s="25"/>
      <c r="F559" s="18" t="str">
        <f aca="false">IF(A559="","",MONTH(A559))</f>
        <v/>
      </c>
      <c r="G559" s="18" t="str">
        <f aca="false">IF(A559="","",YEAR(A559))</f>
        <v/>
      </c>
      <c r="H559" s="18" t="str">
        <f aca="false">IF(B559="","",IFERROR(INDEX(Config!$B$12:$B$31,MATCH(B559,Config!$A$12:$A$31,0)),"?"))</f>
        <v/>
      </c>
    </row>
    <row r="560" customFormat="false" ht="15" hidden="false" customHeight="false" outlineLevel="0" collapsed="false">
      <c r="A560" s="32"/>
      <c r="B560" s="25"/>
      <c r="C560" s="25"/>
      <c r="D560" s="33"/>
      <c r="E560" s="25"/>
      <c r="F560" s="18" t="str">
        <f aca="false">IF(A560="","",MONTH(A560))</f>
        <v/>
      </c>
      <c r="G560" s="18" t="str">
        <f aca="false">IF(A560="","",YEAR(A560))</f>
        <v/>
      </c>
      <c r="H560" s="18" t="str">
        <f aca="false">IF(B560="","",IFERROR(INDEX(Config!$B$12:$B$31,MATCH(B560,Config!$A$12:$A$31,0)),"?"))</f>
        <v/>
      </c>
    </row>
    <row r="561" customFormat="false" ht="15" hidden="false" customHeight="false" outlineLevel="0" collapsed="false">
      <c r="A561" s="32"/>
      <c r="B561" s="25"/>
      <c r="C561" s="25"/>
      <c r="D561" s="33"/>
      <c r="E561" s="25"/>
      <c r="F561" s="18" t="str">
        <f aca="false">IF(A561="","",MONTH(A561))</f>
        <v/>
      </c>
      <c r="G561" s="18" t="str">
        <f aca="false">IF(A561="","",YEAR(A561))</f>
        <v/>
      </c>
      <c r="H561" s="18" t="str">
        <f aca="false">IF(B561="","",IFERROR(INDEX(Config!$B$12:$B$31,MATCH(B561,Config!$A$12:$A$31,0)),"?"))</f>
        <v/>
      </c>
    </row>
    <row r="562" customFormat="false" ht="15" hidden="false" customHeight="false" outlineLevel="0" collapsed="false">
      <c r="A562" s="32"/>
      <c r="B562" s="25"/>
      <c r="C562" s="25"/>
      <c r="D562" s="33"/>
      <c r="E562" s="25"/>
      <c r="F562" s="18" t="str">
        <f aca="false">IF(A562="","",MONTH(A562))</f>
        <v/>
      </c>
      <c r="G562" s="18" t="str">
        <f aca="false">IF(A562="","",YEAR(A562))</f>
        <v/>
      </c>
      <c r="H562" s="18" t="str">
        <f aca="false">IF(B562="","",IFERROR(INDEX(Config!$B$12:$B$31,MATCH(B562,Config!$A$12:$A$31,0)),"?"))</f>
        <v/>
      </c>
    </row>
    <row r="563" customFormat="false" ht="15" hidden="false" customHeight="false" outlineLevel="0" collapsed="false">
      <c r="A563" s="32"/>
      <c r="B563" s="25"/>
      <c r="C563" s="25"/>
      <c r="D563" s="33"/>
      <c r="E563" s="25"/>
      <c r="F563" s="18" t="str">
        <f aca="false">IF(A563="","",MONTH(A563))</f>
        <v/>
      </c>
      <c r="G563" s="18" t="str">
        <f aca="false">IF(A563="","",YEAR(A563))</f>
        <v/>
      </c>
      <c r="H563" s="18" t="str">
        <f aca="false">IF(B563="","",IFERROR(INDEX(Config!$B$12:$B$31,MATCH(B563,Config!$A$12:$A$31,0)),"?"))</f>
        <v/>
      </c>
    </row>
    <row r="564" customFormat="false" ht="15" hidden="false" customHeight="false" outlineLevel="0" collapsed="false">
      <c r="A564" s="32"/>
      <c r="B564" s="25"/>
      <c r="C564" s="25"/>
      <c r="D564" s="33"/>
      <c r="E564" s="25"/>
      <c r="F564" s="18" t="str">
        <f aca="false">IF(A564="","",MONTH(A564))</f>
        <v/>
      </c>
      <c r="G564" s="18" t="str">
        <f aca="false">IF(A564="","",YEAR(A564))</f>
        <v/>
      </c>
      <c r="H564" s="18" t="str">
        <f aca="false">IF(B564="","",IFERROR(INDEX(Config!$B$12:$B$31,MATCH(B564,Config!$A$12:$A$31,0)),"?"))</f>
        <v/>
      </c>
    </row>
    <row r="565" customFormat="false" ht="15" hidden="false" customHeight="false" outlineLevel="0" collapsed="false">
      <c r="A565" s="32"/>
      <c r="B565" s="25"/>
      <c r="C565" s="25"/>
      <c r="D565" s="33"/>
      <c r="E565" s="25"/>
      <c r="F565" s="18" t="str">
        <f aca="false">IF(A565="","",MONTH(A565))</f>
        <v/>
      </c>
      <c r="G565" s="18" t="str">
        <f aca="false">IF(A565="","",YEAR(A565))</f>
        <v/>
      </c>
      <c r="H565" s="18" t="str">
        <f aca="false">IF(B565="","",IFERROR(INDEX(Config!$B$12:$B$31,MATCH(B565,Config!$A$12:$A$31,0)),"?"))</f>
        <v/>
      </c>
    </row>
    <row r="566" customFormat="false" ht="15" hidden="false" customHeight="false" outlineLevel="0" collapsed="false">
      <c r="A566" s="32"/>
      <c r="B566" s="25"/>
      <c r="C566" s="25"/>
      <c r="D566" s="33"/>
      <c r="E566" s="25"/>
      <c r="F566" s="18" t="str">
        <f aca="false">IF(A566="","",MONTH(A566))</f>
        <v/>
      </c>
      <c r="G566" s="18" t="str">
        <f aca="false">IF(A566="","",YEAR(A566))</f>
        <v/>
      </c>
      <c r="H566" s="18" t="str">
        <f aca="false">IF(B566="","",IFERROR(INDEX(Config!$B$12:$B$31,MATCH(B566,Config!$A$12:$A$31,0)),"?"))</f>
        <v/>
      </c>
    </row>
    <row r="567" customFormat="false" ht="15" hidden="false" customHeight="false" outlineLevel="0" collapsed="false">
      <c r="A567" s="32"/>
      <c r="B567" s="25"/>
      <c r="C567" s="25"/>
      <c r="D567" s="33"/>
      <c r="E567" s="25"/>
      <c r="F567" s="18" t="str">
        <f aca="false">IF(A567="","",MONTH(A567))</f>
        <v/>
      </c>
      <c r="G567" s="18" t="str">
        <f aca="false">IF(A567="","",YEAR(A567))</f>
        <v/>
      </c>
      <c r="H567" s="18" t="str">
        <f aca="false">IF(B567="","",IFERROR(INDEX(Config!$B$12:$B$31,MATCH(B567,Config!$A$12:$A$31,0)),"?"))</f>
        <v/>
      </c>
    </row>
    <row r="568" customFormat="false" ht="15" hidden="false" customHeight="false" outlineLevel="0" collapsed="false">
      <c r="A568" s="32"/>
      <c r="B568" s="25"/>
      <c r="C568" s="25"/>
      <c r="D568" s="33"/>
      <c r="E568" s="25"/>
      <c r="F568" s="18" t="str">
        <f aca="false">IF(A568="","",MONTH(A568))</f>
        <v/>
      </c>
      <c r="G568" s="18" t="str">
        <f aca="false">IF(A568="","",YEAR(A568))</f>
        <v/>
      </c>
      <c r="H568" s="18" t="str">
        <f aca="false">IF(B568="","",IFERROR(INDEX(Config!$B$12:$B$31,MATCH(B568,Config!$A$12:$A$31,0)),"?"))</f>
        <v/>
      </c>
    </row>
    <row r="569" customFormat="false" ht="15" hidden="false" customHeight="false" outlineLevel="0" collapsed="false">
      <c r="A569" s="32"/>
      <c r="B569" s="25"/>
      <c r="C569" s="25"/>
      <c r="D569" s="33"/>
      <c r="E569" s="25"/>
      <c r="F569" s="18" t="str">
        <f aca="false">IF(A569="","",MONTH(A569))</f>
        <v/>
      </c>
      <c r="G569" s="18" t="str">
        <f aca="false">IF(A569="","",YEAR(A569))</f>
        <v/>
      </c>
      <c r="H569" s="18" t="str">
        <f aca="false">IF(B569="","",IFERROR(INDEX(Config!$B$12:$B$31,MATCH(B569,Config!$A$12:$A$31,0)),"?"))</f>
        <v/>
      </c>
    </row>
    <row r="570" customFormat="false" ht="15" hidden="false" customHeight="false" outlineLevel="0" collapsed="false">
      <c r="A570" s="32"/>
      <c r="B570" s="25"/>
      <c r="C570" s="25"/>
      <c r="D570" s="33"/>
      <c r="E570" s="25"/>
      <c r="F570" s="18" t="str">
        <f aca="false">IF(A570="","",MONTH(A570))</f>
        <v/>
      </c>
      <c r="G570" s="18" t="str">
        <f aca="false">IF(A570="","",YEAR(A570))</f>
        <v/>
      </c>
      <c r="H570" s="18" t="str">
        <f aca="false">IF(B570="","",IFERROR(INDEX(Config!$B$12:$B$31,MATCH(B570,Config!$A$12:$A$31,0)),"?"))</f>
        <v/>
      </c>
    </row>
    <row r="571" customFormat="false" ht="15" hidden="false" customHeight="false" outlineLevel="0" collapsed="false">
      <c r="A571" s="32"/>
      <c r="B571" s="25"/>
      <c r="C571" s="25"/>
      <c r="D571" s="33"/>
      <c r="E571" s="25"/>
      <c r="F571" s="18" t="str">
        <f aca="false">IF(A571="","",MONTH(A571))</f>
        <v/>
      </c>
      <c r="G571" s="18" t="str">
        <f aca="false">IF(A571="","",YEAR(A571))</f>
        <v/>
      </c>
      <c r="H571" s="18" t="str">
        <f aca="false">IF(B571="","",IFERROR(INDEX(Config!$B$12:$B$31,MATCH(B571,Config!$A$12:$A$31,0)),"?"))</f>
        <v/>
      </c>
    </row>
    <row r="572" customFormat="false" ht="15" hidden="false" customHeight="false" outlineLevel="0" collapsed="false">
      <c r="A572" s="32"/>
      <c r="B572" s="25"/>
      <c r="C572" s="25"/>
      <c r="D572" s="33"/>
      <c r="E572" s="25"/>
      <c r="F572" s="18" t="str">
        <f aca="false">IF(A572="","",MONTH(A572))</f>
        <v/>
      </c>
      <c r="G572" s="18" t="str">
        <f aca="false">IF(A572="","",YEAR(A572))</f>
        <v/>
      </c>
      <c r="H572" s="18" t="str">
        <f aca="false">IF(B572="","",IFERROR(INDEX(Config!$B$12:$B$31,MATCH(B572,Config!$A$12:$A$31,0)),"?"))</f>
        <v/>
      </c>
    </row>
    <row r="573" customFormat="false" ht="15" hidden="false" customHeight="false" outlineLevel="0" collapsed="false">
      <c r="A573" s="32"/>
      <c r="B573" s="25"/>
      <c r="C573" s="25"/>
      <c r="D573" s="33"/>
      <c r="E573" s="25"/>
      <c r="F573" s="18" t="str">
        <f aca="false">IF(A573="","",MONTH(A573))</f>
        <v/>
      </c>
      <c r="G573" s="18" t="str">
        <f aca="false">IF(A573="","",YEAR(A573))</f>
        <v/>
      </c>
      <c r="H573" s="18" t="str">
        <f aca="false">IF(B573="","",IFERROR(INDEX(Config!$B$12:$B$31,MATCH(B573,Config!$A$12:$A$31,0)),"?"))</f>
        <v/>
      </c>
    </row>
    <row r="574" customFormat="false" ht="15" hidden="false" customHeight="false" outlineLevel="0" collapsed="false">
      <c r="A574" s="32"/>
      <c r="B574" s="25"/>
      <c r="C574" s="25"/>
      <c r="D574" s="33"/>
      <c r="E574" s="25"/>
      <c r="F574" s="18" t="str">
        <f aca="false">IF(A574="","",MONTH(A574))</f>
        <v/>
      </c>
      <c r="G574" s="18" t="str">
        <f aca="false">IF(A574="","",YEAR(A574))</f>
        <v/>
      </c>
      <c r="H574" s="18" t="str">
        <f aca="false">IF(B574="","",IFERROR(INDEX(Config!$B$12:$B$31,MATCH(B574,Config!$A$12:$A$31,0)),"?"))</f>
        <v/>
      </c>
    </row>
    <row r="575" customFormat="false" ht="15" hidden="false" customHeight="false" outlineLevel="0" collapsed="false">
      <c r="A575" s="32"/>
      <c r="B575" s="25"/>
      <c r="C575" s="25"/>
      <c r="D575" s="33"/>
      <c r="E575" s="25"/>
      <c r="F575" s="18" t="str">
        <f aca="false">IF(A575="","",MONTH(A575))</f>
        <v/>
      </c>
      <c r="G575" s="18" t="str">
        <f aca="false">IF(A575="","",YEAR(A575))</f>
        <v/>
      </c>
      <c r="H575" s="18" t="str">
        <f aca="false">IF(B575="","",IFERROR(INDEX(Config!$B$12:$B$31,MATCH(B575,Config!$A$12:$A$31,0)),"?"))</f>
        <v/>
      </c>
    </row>
    <row r="576" customFormat="false" ht="15" hidden="false" customHeight="false" outlineLevel="0" collapsed="false">
      <c r="A576" s="32"/>
      <c r="B576" s="25"/>
      <c r="C576" s="25"/>
      <c r="D576" s="33"/>
      <c r="E576" s="25"/>
      <c r="F576" s="18" t="str">
        <f aca="false">IF(A576="","",MONTH(A576))</f>
        <v/>
      </c>
      <c r="G576" s="18" t="str">
        <f aca="false">IF(A576="","",YEAR(A576))</f>
        <v/>
      </c>
      <c r="H576" s="18" t="str">
        <f aca="false">IF(B576="","",IFERROR(INDEX(Config!$B$12:$B$31,MATCH(B576,Config!$A$12:$A$31,0)),"?"))</f>
        <v/>
      </c>
    </row>
    <row r="577" customFormat="false" ht="15" hidden="false" customHeight="false" outlineLevel="0" collapsed="false">
      <c r="A577" s="32"/>
      <c r="B577" s="25"/>
      <c r="C577" s="25"/>
      <c r="D577" s="33"/>
      <c r="E577" s="25"/>
      <c r="F577" s="18" t="str">
        <f aca="false">IF(A577="","",MONTH(A577))</f>
        <v/>
      </c>
      <c r="G577" s="18" t="str">
        <f aca="false">IF(A577="","",YEAR(A577))</f>
        <v/>
      </c>
      <c r="H577" s="18" t="str">
        <f aca="false">IF(B577="","",IFERROR(INDEX(Config!$B$12:$B$31,MATCH(B577,Config!$A$12:$A$31,0)),"?"))</f>
        <v/>
      </c>
    </row>
    <row r="578" customFormat="false" ht="15" hidden="false" customHeight="false" outlineLevel="0" collapsed="false">
      <c r="A578" s="32"/>
      <c r="B578" s="25"/>
      <c r="C578" s="25"/>
      <c r="D578" s="33"/>
      <c r="E578" s="25"/>
      <c r="F578" s="18" t="str">
        <f aca="false">IF(A578="","",MONTH(A578))</f>
        <v/>
      </c>
      <c r="G578" s="18" t="str">
        <f aca="false">IF(A578="","",YEAR(A578))</f>
        <v/>
      </c>
      <c r="H578" s="18" t="str">
        <f aca="false">IF(B578="","",IFERROR(INDEX(Config!$B$12:$B$31,MATCH(B578,Config!$A$12:$A$31,0)),"?"))</f>
        <v/>
      </c>
    </row>
    <row r="579" customFormat="false" ht="15" hidden="false" customHeight="false" outlineLevel="0" collapsed="false">
      <c r="A579" s="32"/>
      <c r="B579" s="25"/>
      <c r="C579" s="25"/>
      <c r="D579" s="33"/>
      <c r="E579" s="25"/>
      <c r="F579" s="18" t="str">
        <f aca="false">IF(A579="","",MONTH(A579))</f>
        <v/>
      </c>
      <c r="G579" s="18" t="str">
        <f aca="false">IF(A579="","",YEAR(A579))</f>
        <v/>
      </c>
      <c r="H579" s="18" t="str">
        <f aca="false">IF(B579="","",IFERROR(INDEX(Config!$B$12:$B$31,MATCH(B579,Config!$A$12:$A$31,0)),"?"))</f>
        <v/>
      </c>
    </row>
    <row r="580" customFormat="false" ht="15" hidden="false" customHeight="false" outlineLevel="0" collapsed="false">
      <c r="A580" s="32"/>
      <c r="B580" s="25"/>
      <c r="C580" s="25"/>
      <c r="D580" s="33"/>
      <c r="E580" s="25"/>
      <c r="F580" s="18" t="str">
        <f aca="false">IF(A580="","",MONTH(A580))</f>
        <v/>
      </c>
      <c r="G580" s="18" t="str">
        <f aca="false">IF(A580="","",YEAR(A580))</f>
        <v/>
      </c>
      <c r="H580" s="18" t="str">
        <f aca="false">IF(B580="","",IFERROR(INDEX(Config!$B$12:$B$31,MATCH(B580,Config!$A$12:$A$31,0)),"?"))</f>
        <v/>
      </c>
    </row>
    <row r="581" customFormat="false" ht="15" hidden="false" customHeight="false" outlineLevel="0" collapsed="false">
      <c r="A581" s="32"/>
      <c r="B581" s="25"/>
      <c r="C581" s="25"/>
      <c r="D581" s="33"/>
      <c r="E581" s="25"/>
      <c r="F581" s="18" t="str">
        <f aca="false">IF(A581="","",MONTH(A581))</f>
        <v/>
      </c>
      <c r="G581" s="18" t="str">
        <f aca="false">IF(A581="","",YEAR(A581))</f>
        <v/>
      </c>
      <c r="H581" s="18" t="str">
        <f aca="false">IF(B581="","",IFERROR(INDEX(Config!$B$12:$B$31,MATCH(B581,Config!$A$12:$A$31,0)),"?"))</f>
        <v/>
      </c>
    </row>
    <row r="582" customFormat="false" ht="15" hidden="false" customHeight="false" outlineLevel="0" collapsed="false">
      <c r="A582" s="32"/>
      <c r="B582" s="25"/>
      <c r="C582" s="25"/>
      <c r="D582" s="33"/>
      <c r="E582" s="25"/>
      <c r="F582" s="18" t="str">
        <f aca="false">IF(A582="","",MONTH(A582))</f>
        <v/>
      </c>
      <c r="G582" s="18" t="str">
        <f aca="false">IF(A582="","",YEAR(A582))</f>
        <v/>
      </c>
      <c r="H582" s="18" t="str">
        <f aca="false">IF(B582="","",IFERROR(INDEX(Config!$B$12:$B$31,MATCH(B582,Config!$A$12:$A$31,0)),"?"))</f>
        <v/>
      </c>
    </row>
    <row r="583" customFormat="false" ht="15" hidden="false" customHeight="false" outlineLevel="0" collapsed="false">
      <c r="A583" s="32"/>
      <c r="B583" s="25"/>
      <c r="C583" s="25"/>
      <c r="D583" s="33"/>
      <c r="E583" s="25"/>
      <c r="F583" s="18" t="str">
        <f aca="false">IF(A583="","",MONTH(A583))</f>
        <v/>
      </c>
      <c r="G583" s="18" t="str">
        <f aca="false">IF(A583="","",YEAR(A583))</f>
        <v/>
      </c>
      <c r="H583" s="18" t="str">
        <f aca="false">IF(B583="","",IFERROR(INDEX(Config!$B$12:$B$31,MATCH(B583,Config!$A$12:$A$31,0)),"?"))</f>
        <v/>
      </c>
    </row>
    <row r="584" customFormat="false" ht="15" hidden="false" customHeight="false" outlineLevel="0" collapsed="false">
      <c r="A584" s="32"/>
      <c r="B584" s="25"/>
      <c r="C584" s="25"/>
      <c r="D584" s="33"/>
      <c r="E584" s="25"/>
      <c r="F584" s="18" t="str">
        <f aca="false">IF(A584="","",MONTH(A584))</f>
        <v/>
      </c>
      <c r="G584" s="18" t="str">
        <f aca="false">IF(A584="","",YEAR(A584))</f>
        <v/>
      </c>
      <c r="H584" s="18" t="str">
        <f aca="false">IF(B584="","",IFERROR(INDEX(Config!$B$12:$B$31,MATCH(B584,Config!$A$12:$A$31,0)),"?"))</f>
        <v/>
      </c>
    </row>
    <row r="585" customFormat="false" ht="15" hidden="false" customHeight="false" outlineLevel="0" collapsed="false">
      <c r="A585" s="32"/>
      <c r="B585" s="25"/>
      <c r="C585" s="25"/>
      <c r="D585" s="33"/>
      <c r="E585" s="25"/>
      <c r="F585" s="18" t="str">
        <f aca="false">IF(A585="","",MONTH(A585))</f>
        <v/>
      </c>
      <c r="G585" s="18" t="str">
        <f aca="false">IF(A585="","",YEAR(A585))</f>
        <v/>
      </c>
      <c r="H585" s="18" t="str">
        <f aca="false">IF(B585="","",IFERROR(INDEX(Config!$B$12:$B$31,MATCH(B585,Config!$A$12:$A$31,0)),"?"))</f>
        <v/>
      </c>
    </row>
    <row r="586" customFormat="false" ht="15" hidden="false" customHeight="false" outlineLevel="0" collapsed="false">
      <c r="A586" s="32"/>
      <c r="B586" s="25"/>
      <c r="C586" s="25"/>
      <c r="D586" s="33"/>
      <c r="E586" s="25"/>
      <c r="F586" s="18" t="str">
        <f aca="false">IF(A586="","",MONTH(A586))</f>
        <v/>
      </c>
      <c r="G586" s="18" t="str">
        <f aca="false">IF(A586="","",YEAR(A586))</f>
        <v/>
      </c>
      <c r="H586" s="18" t="str">
        <f aca="false">IF(B586="","",IFERROR(INDEX(Config!$B$12:$B$31,MATCH(B586,Config!$A$12:$A$31,0)),"?"))</f>
        <v/>
      </c>
    </row>
    <row r="587" customFormat="false" ht="15" hidden="false" customHeight="false" outlineLevel="0" collapsed="false">
      <c r="A587" s="32"/>
      <c r="B587" s="25"/>
      <c r="C587" s="25"/>
      <c r="D587" s="33"/>
      <c r="E587" s="25"/>
      <c r="F587" s="18" t="str">
        <f aca="false">IF(A587="","",MONTH(A587))</f>
        <v/>
      </c>
      <c r="G587" s="18" t="str">
        <f aca="false">IF(A587="","",YEAR(A587))</f>
        <v/>
      </c>
      <c r="H587" s="18" t="str">
        <f aca="false">IF(B587="","",IFERROR(INDEX(Config!$B$12:$B$31,MATCH(B587,Config!$A$12:$A$31,0)),"?"))</f>
        <v/>
      </c>
    </row>
    <row r="588" customFormat="false" ht="15" hidden="false" customHeight="false" outlineLevel="0" collapsed="false">
      <c r="A588" s="32"/>
      <c r="B588" s="25"/>
      <c r="C588" s="25"/>
      <c r="D588" s="33"/>
      <c r="E588" s="25"/>
      <c r="F588" s="18" t="str">
        <f aca="false">IF(A588="","",MONTH(A588))</f>
        <v/>
      </c>
      <c r="G588" s="18" t="str">
        <f aca="false">IF(A588="","",YEAR(A588))</f>
        <v/>
      </c>
      <c r="H588" s="18" t="str">
        <f aca="false">IF(B588="","",IFERROR(INDEX(Config!$B$12:$B$31,MATCH(B588,Config!$A$12:$A$31,0)),"?"))</f>
        <v/>
      </c>
    </row>
    <row r="589" customFormat="false" ht="15" hidden="false" customHeight="false" outlineLevel="0" collapsed="false">
      <c r="A589" s="32"/>
      <c r="B589" s="25"/>
      <c r="C589" s="25"/>
      <c r="D589" s="33"/>
      <c r="E589" s="25"/>
      <c r="F589" s="18" t="str">
        <f aca="false">IF(A589="","",MONTH(A589))</f>
        <v/>
      </c>
      <c r="G589" s="18" t="str">
        <f aca="false">IF(A589="","",YEAR(A589))</f>
        <v/>
      </c>
      <c r="H589" s="18" t="str">
        <f aca="false">IF(B589="","",IFERROR(INDEX(Config!$B$12:$B$31,MATCH(B589,Config!$A$12:$A$31,0)),"?"))</f>
        <v/>
      </c>
    </row>
    <row r="590" customFormat="false" ht="15" hidden="false" customHeight="false" outlineLevel="0" collapsed="false">
      <c r="A590" s="32"/>
      <c r="B590" s="25"/>
      <c r="C590" s="25"/>
      <c r="D590" s="33"/>
      <c r="E590" s="25"/>
      <c r="F590" s="18" t="str">
        <f aca="false">IF(A590="","",MONTH(A590))</f>
        <v/>
      </c>
      <c r="G590" s="18" t="str">
        <f aca="false">IF(A590="","",YEAR(A590))</f>
        <v/>
      </c>
      <c r="H590" s="18" t="str">
        <f aca="false">IF(B590="","",IFERROR(INDEX(Config!$B$12:$B$31,MATCH(B590,Config!$A$12:$A$31,0)),"?"))</f>
        <v/>
      </c>
    </row>
    <row r="591" customFormat="false" ht="15" hidden="false" customHeight="false" outlineLevel="0" collapsed="false">
      <c r="A591" s="32"/>
      <c r="B591" s="25"/>
      <c r="C591" s="25"/>
      <c r="D591" s="33"/>
      <c r="E591" s="25"/>
      <c r="F591" s="18" t="str">
        <f aca="false">IF(A591="","",MONTH(A591))</f>
        <v/>
      </c>
      <c r="G591" s="18" t="str">
        <f aca="false">IF(A591="","",YEAR(A591))</f>
        <v/>
      </c>
      <c r="H591" s="18" t="str">
        <f aca="false">IF(B591="","",IFERROR(INDEX(Config!$B$12:$B$31,MATCH(B591,Config!$A$12:$A$31,0)),"?"))</f>
        <v/>
      </c>
    </row>
    <row r="592" customFormat="false" ht="15" hidden="false" customHeight="false" outlineLevel="0" collapsed="false">
      <c r="A592" s="32"/>
      <c r="B592" s="25"/>
      <c r="C592" s="25"/>
      <c r="D592" s="33"/>
      <c r="E592" s="25"/>
      <c r="F592" s="18" t="str">
        <f aca="false">IF(A592="","",MONTH(A592))</f>
        <v/>
      </c>
      <c r="G592" s="18" t="str">
        <f aca="false">IF(A592="","",YEAR(A592))</f>
        <v/>
      </c>
      <c r="H592" s="18" t="str">
        <f aca="false">IF(B592="","",IFERROR(INDEX(Config!$B$12:$B$31,MATCH(B592,Config!$A$12:$A$31,0)),"?"))</f>
        <v/>
      </c>
    </row>
    <row r="593" customFormat="false" ht="15" hidden="false" customHeight="false" outlineLevel="0" collapsed="false">
      <c r="A593" s="32"/>
      <c r="B593" s="25"/>
      <c r="C593" s="25"/>
      <c r="D593" s="33"/>
      <c r="E593" s="25"/>
      <c r="F593" s="18" t="str">
        <f aca="false">IF(A593="","",MONTH(A593))</f>
        <v/>
      </c>
      <c r="G593" s="18" t="str">
        <f aca="false">IF(A593="","",YEAR(A593))</f>
        <v/>
      </c>
      <c r="H593" s="18" t="str">
        <f aca="false">IF(B593="","",IFERROR(INDEX(Config!$B$12:$B$31,MATCH(B593,Config!$A$12:$A$31,0)),"?"))</f>
        <v/>
      </c>
    </row>
    <row r="594" customFormat="false" ht="15" hidden="false" customHeight="false" outlineLevel="0" collapsed="false">
      <c r="A594" s="32"/>
      <c r="B594" s="25"/>
      <c r="C594" s="25"/>
      <c r="D594" s="33"/>
      <c r="E594" s="25"/>
      <c r="F594" s="18" t="str">
        <f aca="false">IF(A594="","",MONTH(A594))</f>
        <v/>
      </c>
      <c r="G594" s="18" t="str">
        <f aca="false">IF(A594="","",YEAR(A594))</f>
        <v/>
      </c>
      <c r="H594" s="18" t="str">
        <f aca="false">IF(B594="","",IFERROR(INDEX(Config!$B$12:$B$31,MATCH(B594,Config!$A$12:$A$31,0)),"?"))</f>
        <v/>
      </c>
    </row>
    <row r="595" customFormat="false" ht="15" hidden="false" customHeight="false" outlineLevel="0" collapsed="false">
      <c r="A595" s="32"/>
      <c r="B595" s="25"/>
      <c r="C595" s="25"/>
      <c r="D595" s="33"/>
      <c r="E595" s="25"/>
      <c r="F595" s="18" t="str">
        <f aca="false">IF(A595="","",MONTH(A595))</f>
        <v/>
      </c>
      <c r="G595" s="18" t="str">
        <f aca="false">IF(A595="","",YEAR(A595))</f>
        <v/>
      </c>
      <c r="H595" s="18" t="str">
        <f aca="false">IF(B595="","",IFERROR(INDEX(Config!$B$12:$B$31,MATCH(B595,Config!$A$12:$A$31,0)),"?"))</f>
        <v/>
      </c>
    </row>
    <row r="596" customFormat="false" ht="15" hidden="false" customHeight="false" outlineLevel="0" collapsed="false">
      <c r="A596" s="32"/>
      <c r="B596" s="25"/>
      <c r="C596" s="25"/>
      <c r="D596" s="33"/>
      <c r="E596" s="25"/>
      <c r="F596" s="18" t="str">
        <f aca="false">IF(A596="","",MONTH(A596))</f>
        <v/>
      </c>
      <c r="G596" s="18" t="str">
        <f aca="false">IF(A596="","",YEAR(A596))</f>
        <v/>
      </c>
      <c r="H596" s="18" t="str">
        <f aca="false">IF(B596="","",IFERROR(INDEX(Config!$B$12:$B$31,MATCH(B596,Config!$A$12:$A$31,0)),"?"))</f>
        <v/>
      </c>
    </row>
    <row r="597" customFormat="false" ht="15" hidden="false" customHeight="false" outlineLevel="0" collapsed="false">
      <c r="A597" s="32"/>
      <c r="B597" s="25"/>
      <c r="C597" s="25"/>
      <c r="D597" s="33"/>
      <c r="E597" s="25"/>
      <c r="F597" s="18" t="str">
        <f aca="false">IF(A597="","",MONTH(A597))</f>
        <v/>
      </c>
      <c r="G597" s="18" t="str">
        <f aca="false">IF(A597="","",YEAR(A597))</f>
        <v/>
      </c>
      <c r="H597" s="18" t="str">
        <f aca="false">IF(B597="","",IFERROR(INDEX(Config!$B$12:$B$31,MATCH(B597,Config!$A$12:$A$31,0)),"?"))</f>
        <v/>
      </c>
    </row>
    <row r="598" customFormat="false" ht="15" hidden="false" customHeight="false" outlineLevel="0" collapsed="false">
      <c r="A598" s="32"/>
      <c r="B598" s="25"/>
      <c r="C598" s="25"/>
      <c r="D598" s="33"/>
      <c r="E598" s="25"/>
      <c r="F598" s="18" t="str">
        <f aca="false">IF(A598="","",MONTH(A598))</f>
        <v/>
      </c>
      <c r="G598" s="18" t="str">
        <f aca="false">IF(A598="","",YEAR(A598))</f>
        <v/>
      </c>
      <c r="H598" s="18" t="str">
        <f aca="false">IF(B598="","",IFERROR(INDEX(Config!$B$12:$B$31,MATCH(B598,Config!$A$12:$A$31,0)),"?"))</f>
        <v/>
      </c>
    </row>
    <row r="599" customFormat="false" ht="15" hidden="false" customHeight="false" outlineLevel="0" collapsed="false">
      <c r="A599" s="32"/>
      <c r="B599" s="25"/>
      <c r="C599" s="25"/>
      <c r="D599" s="33"/>
      <c r="E599" s="25"/>
      <c r="F599" s="18" t="str">
        <f aca="false">IF(A599="","",MONTH(A599))</f>
        <v/>
      </c>
      <c r="G599" s="18" t="str">
        <f aca="false">IF(A599="","",YEAR(A599))</f>
        <v/>
      </c>
      <c r="H599" s="18" t="str">
        <f aca="false">IF(B599="","",IFERROR(INDEX(Config!$B$12:$B$31,MATCH(B599,Config!$A$12:$A$31,0)),"?"))</f>
        <v/>
      </c>
    </row>
    <row r="600" customFormat="false" ht="15" hidden="false" customHeight="false" outlineLevel="0" collapsed="false">
      <c r="A600" s="32"/>
      <c r="B600" s="25"/>
      <c r="C600" s="25"/>
      <c r="D600" s="33"/>
      <c r="E600" s="25"/>
      <c r="F600" s="18" t="str">
        <f aca="false">IF(A600="","",MONTH(A600))</f>
        <v/>
      </c>
      <c r="G600" s="18" t="str">
        <f aca="false">IF(A600="","",YEAR(A600))</f>
        <v/>
      </c>
      <c r="H600" s="18" t="str">
        <f aca="false">IF(B600="","",IFERROR(INDEX(Config!$B$12:$B$31,MATCH(B600,Config!$A$12:$A$31,0)),"?"))</f>
        <v/>
      </c>
    </row>
    <row r="601" customFormat="false" ht="15" hidden="false" customHeight="false" outlineLevel="0" collapsed="false">
      <c r="A601" s="32"/>
      <c r="B601" s="25"/>
      <c r="C601" s="25"/>
      <c r="D601" s="33"/>
      <c r="E601" s="25"/>
      <c r="F601" s="18" t="str">
        <f aca="false">IF(A601="","",MONTH(A601))</f>
        <v/>
      </c>
      <c r="G601" s="18" t="str">
        <f aca="false">IF(A601="","",YEAR(A601))</f>
        <v/>
      </c>
      <c r="H601" s="18" t="str">
        <f aca="false">IF(B601="","",IFERROR(INDEX(Config!$B$12:$B$31,MATCH(B601,Config!$A$12:$A$31,0)),"?"))</f>
        <v/>
      </c>
    </row>
    <row r="602" customFormat="false" ht="15" hidden="false" customHeight="false" outlineLevel="0" collapsed="false">
      <c r="A602" s="32"/>
      <c r="B602" s="25"/>
      <c r="C602" s="25"/>
      <c r="D602" s="33"/>
      <c r="E602" s="25"/>
      <c r="F602" s="18" t="str">
        <f aca="false">IF(A602="","",MONTH(A602))</f>
        <v/>
      </c>
      <c r="G602" s="18" t="str">
        <f aca="false">IF(A602="","",YEAR(A602))</f>
        <v/>
      </c>
      <c r="H602" s="18" t="str">
        <f aca="false">IF(B602="","",IFERROR(INDEX(Config!$B$12:$B$31,MATCH(B602,Config!$A$12:$A$31,0)),"?"))</f>
        <v/>
      </c>
    </row>
    <row r="603" customFormat="false" ht="15" hidden="false" customHeight="false" outlineLevel="0" collapsed="false">
      <c r="A603" s="32"/>
      <c r="B603" s="25"/>
      <c r="C603" s="25"/>
      <c r="D603" s="33"/>
      <c r="E603" s="25"/>
      <c r="F603" s="18" t="str">
        <f aca="false">IF(A603="","",MONTH(A603))</f>
        <v/>
      </c>
      <c r="G603" s="18" t="str">
        <f aca="false">IF(A603="","",YEAR(A603))</f>
        <v/>
      </c>
      <c r="H603" s="18" t="str">
        <f aca="false">IF(B603="","",IFERROR(INDEX(Config!$B$12:$B$31,MATCH(B603,Config!$A$12:$A$31,0)),"?"))</f>
        <v/>
      </c>
    </row>
    <row r="604" customFormat="false" ht="15" hidden="false" customHeight="false" outlineLevel="0" collapsed="false">
      <c r="A604" s="32"/>
      <c r="B604" s="25"/>
      <c r="C604" s="25"/>
      <c r="D604" s="33"/>
      <c r="E604" s="25"/>
      <c r="F604" s="18" t="str">
        <f aca="false">IF(A604="","",MONTH(A604))</f>
        <v/>
      </c>
      <c r="G604" s="18" t="str">
        <f aca="false">IF(A604="","",YEAR(A604))</f>
        <v/>
      </c>
      <c r="H604" s="18" t="str">
        <f aca="false">IF(B604="","",IFERROR(INDEX(Config!$B$12:$B$31,MATCH(B604,Config!$A$12:$A$31,0)),"?"))</f>
        <v/>
      </c>
    </row>
  </sheetData>
  <sheetProtection sheet="true" formatColumns="false" formatRows="false" sort="false" autoFilter="false"/>
  <autoFilter ref="A4:H604"/>
  <mergeCells count="1">
    <mergeCell ref="A2:H2"/>
  </mergeCells>
  <conditionalFormatting sqref="A5:H604">
    <cfRule type="expression" priority="2" aboveAverage="0" equalAverage="0" bottom="0" percent="0" rank="0" text="" dxfId="10">
      <formula>$H5="Receita"</formula>
    </cfRule>
  </conditionalFormatting>
  <conditionalFormatting sqref="B5:B604">
    <cfRule type="expression" priority="3" aboveAverage="0" equalAverage="0" bottom="0" percent="0" rank="0" text="" dxfId="11">
      <formula>$H5="?"</formula>
    </cfRule>
  </conditionalFormatting>
  <dataValidations count="2">
    <dataValidation allowBlank="true" errorStyle="stop" operator="between" showDropDown="false" showErrorMessage="false" showInputMessage="false" sqref="B5:B604" type="list">
      <formula1>Config!$A$12:$A$31</formula1>
      <formula2>0</formula2>
    </dataValidation>
    <dataValidation allowBlank="true" errorStyle="stop" operator="greaterThan" showDropDown="false" showErrorMessage="false" showInputMessage="false" sqref="A5:A60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2026-09-13T17:58:42Z</dcterms:created>
  <dc:creator>Seu Sócio Gestor</dc:creator>
  <dc:description/>
  <dc:language>en-US</dc:language>
  <cp:lastModifiedBy/>
  <dcterms:modified xsi:type="dcterms:W3CDTF">2026-09-13T17:58:45Z</dcterms:modified>
  <cp:revision>1</cp:revision>
  <dc:subject/>
  <dc:title>Orçamento Previsto × Realizado · Kit IA no Trabalho Completo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