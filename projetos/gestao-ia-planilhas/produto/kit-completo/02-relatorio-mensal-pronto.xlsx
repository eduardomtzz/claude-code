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Resumo" sheetId="3" state="visible" r:id="rId3"/>
    <sheet xmlns:r="http://schemas.openxmlformats.org/officeDocument/2006/relationships" name="Config" sheetId="4" state="visible" r:id="rId4"/>
    <sheet xmlns:r="http://schemas.openxmlformats.org/officeDocument/2006/relationships" name="Indicado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%;-0.0%;0.0%"/>
  </numFmts>
  <fonts count="12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</font>
    <font>
      <name val="Arial"/>
      <color rgb="001F1235"/>
      <sz val="10"/>
    </font>
    <font>
      <name val="Arial"/>
      <color rgb="007A5AA8"/>
      <sz val="10"/>
    </font>
    <font>
      <name val="Arial"/>
      <b val="1"/>
      <color rgb="00FFFFFF"/>
      <sz val="10"/>
    </font>
    <font>
      <name val="Arial"/>
      <color rgb="00B0A6C4"/>
      <sz val="9"/>
    </font>
    <font>
      <name val="Arial"/>
      <color rgb="00FFFFFF"/>
      <sz val="9"/>
    </font>
    <font>
      <name val="Arial"/>
      <color rgb="007A5AA8"/>
      <sz val="9"/>
    </font>
    <font>
      <name val="Arial"/>
      <b val="1"/>
      <color rgb="003B1F5E"/>
      <sz val="20"/>
    </font>
    <font>
      <name val="Arial"/>
      <color rgb="001F1235"/>
    </font>
  </fonts>
  <fills count="5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</fills>
  <borders count="6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/>
      <top style="thin">
        <color rgb="00DCD2EC"/>
      </top>
      <bottom style="thin">
        <color rgb="00DCD2EC"/>
      </bottom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vertical="top"/>
    </xf>
    <xf numFmtId="0" fontId="11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4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7" fillId="0" borderId="0" pivotButton="0" quotePrefix="0" xfId="0"/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9" fillId="0" borderId="0" pivotButton="0" quotePrefix="0" xfId="0"/>
    <xf numFmtId="0" fontId="8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0" borderId="0" pivotButton="0" quotePrefix="0" xfId="0"/>
    <xf numFmtId="0" fontId="4" fillId="2" borderId="1" applyAlignment="1" applyProtection="1" pivotButton="0" quotePrefix="0" xfId="0">
      <alignment horizontal="left"/>
      <protection locked="0" hidden="0"/>
    </xf>
    <xf numFmtId="4" fontId="4" fillId="2" borderId="1" applyProtection="1" pivotButton="0" quotePrefix="0" xfId="0">
      <protection locked="0" hidden="0"/>
    </xf>
  </cellXfs>
  <cellStyles count="1">
    <cellStyle name="Normal" xfId="0" builtinId="0" hidden="0"/>
  </cellStyles>
  <dxfs count="4">
    <dxf>
      <font>
        <name val="Arial"/>
        <color rgb="007A1F1F"/>
        <sz val="10"/>
      </font>
      <fill>
        <patternFill patternType="solid">
          <fgColor rgb="00FBE4E4"/>
        </patternFill>
      </fill>
    </dxf>
    <dxf>
      <fill>
        <patternFill patternType="solid">
          <fgColor rgb="00DDF3E7"/>
        </patternFill>
      </fill>
    </dxf>
    <dxf>
      <numFmt numFmtId="3" formatCode="#,##0"/>
    </dxf>
    <dxf>
      <numFmt numFmtId="201" formatCode="#,##0.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tx>
            <strRef>
              <f>'Painel'!A39</f>
            </strRef>
          </tx>
          <spPr>
            <a:ln xmlns:a="http://schemas.openxmlformats.org/drawingml/2006/main" w="28000">
              <a:solidFill>
                <a:srgbClr val="3B1F5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'Painel'!$B$38:$M$38</f>
            </numRef>
          </cat>
          <val>
            <numRef>
              <f>'Painel'!$B$39:$M$39</f>
            </numRef>
          </val>
          <smooth val="0"/>
        </ser>
        <ser>
          <idx val="1"/>
          <order val="1"/>
          <tx>
            <strRef>
              <f>'Painel'!A40</f>
            </strRef>
          </tx>
          <spPr>
            <a:ln xmlns:a="http://schemas.openxmlformats.org/drawingml/2006/main">
              <a:solidFill>
                <a:srgbClr val="FFC83D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'Painel'!$B$38:$M$38</f>
            </numRef>
          </cat>
          <val>
            <numRef>
              <f>'Painel'!$B$40:$M$40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20</row>
      <rowOff>0</rowOff>
    </from>
    <ext cx="64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Relatório Mensal Pronto</t>
        </is>
      </c>
    </row>
    <row r="2">
      <c r="A2" s="2" t="inlineStr">
        <is>
          <t>Kit IA no Trabalho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Você digita até 12 indicadores por mês; ela calcula variação contra o mês anterior, comparação com a meta, acumulado, média, monta o painel e escreve as frases-base do relatório para você colar na IA.</t>
        </is>
      </c>
    </row>
    <row r="5" ht="46" customHeight="1">
      <c r="A5" s="3" t="inlineStr">
        <is>
          <t>Como acumular</t>
        </is>
      </c>
      <c r="B5" s="4" t="inlineStr">
        <is>
          <t>Cada indicador tem a sua regra, escolhida na última coluna da aba Indicadores: "Soma" para o que se empilha (receita, despesa, quantidade, horas) e "Média" para razão (ticket médio, custo por lead, taxa de conversão, inadimplência, NPS) — inclusive quando a razão está em reais. Somar razão não significa nada: doze meses de ticket médio somados não são o ticket do ano. A Média usa só os meses preenchidos; um mês com zero digitado ENTRA na conta, um mês em branco não.</t>
        </is>
      </c>
    </row>
    <row r="6" ht="46" customHeight="1">
      <c r="A6" s="3" t="inlineStr">
        <is>
          <t>Passo 1</t>
        </is>
      </c>
      <c r="B6" s="4" t="inlineStr">
        <is>
          <t>Em Config, preencha o nome da empresa ou área, o ano e escolha o mês do relatório.</t>
        </is>
      </c>
    </row>
    <row r="7" ht="46" customHeight="1">
      <c r="A7" s="3" t="inlineStr">
        <is>
          <t>Passo 2</t>
        </is>
      </c>
      <c r="B7" s="4" t="inlineStr">
        <is>
          <t>Em Indicadores, troque os exemplos pelos seus (de cima para baixo, sem pular linha): nome, unidade (R$, %, un, h, pts), casas decimais, meta mensal e se maior é melhor. Depois, o valor de cada mês. Em %, digite 4,5 e não 0,045.</t>
        </is>
      </c>
    </row>
    <row r="8" ht="46" customHeight="1">
      <c r="A8" s="3" t="inlineStr">
        <is>
          <t>Passo 3</t>
        </is>
      </c>
      <c r="B8" s="4" t="inlineStr">
        <is>
          <t>Abra Painel: cada indicador com mês, mês anterior, variação, meta e situação (verde no alvo, vermelho fora). Escolha um indicador para o gráfico de evolução.</t>
        </is>
      </c>
    </row>
    <row r="9" ht="46" customHeight="1">
      <c r="A9" s="3" t="inlineStr">
        <is>
          <t>Passo 4</t>
        </is>
      </c>
      <c r="B9" s="4" t="inlineStr">
        <is>
          <t>Abra Resumo: as frases do mês já estão escritas. Copie o bloco único e cole no prompt "Escrever 01" (relatório executivo) ou "Apresentar 01" (roteiro de 8 slides) da biblioteca do kit, junto com os seus comentários sobre o porquê dos números.</t>
        </is>
      </c>
    </row>
    <row r="10" ht="46" customHeight="1">
      <c r="A10" s="3" t="inlineStr">
        <is>
          <t>Todo mês</t>
        </is>
      </c>
      <c r="B10" s="4" t="inlineStr">
        <is>
          <t>Digite os valores do novo mês em Indicadores e troque o mês em Config. O resto se refaz sozinho.</t>
        </is>
      </c>
    </row>
    <row r="11" ht="46" customHeight="1">
      <c r="A11" s="3" t="inlineStr">
        <is>
          <t>Legenda</t>
        </is>
      </c>
      <c r="B11" s="4" t="inlineStr">
        <is>
          <t>Células amarelas: você preenche. Células brancas: calculadas. Verde: no alvo. Vermelho: fora da meta.</t>
        </is>
      </c>
    </row>
    <row r="12" ht="46" customHeight="1">
      <c r="A12" s="3" t="inlineStr">
        <is>
          <t>Proteção</t>
        </is>
      </c>
      <c r="B12" s="4" t="inlineStr">
        <is>
          <t>Fórmulas protegidas sem senha. Para editar: Revisar &gt; Desproteger planilha (Excel) ou Dados &gt; Proteger intervalos (Google Sheets).</t>
        </is>
      </c>
    </row>
    <row r="13" ht="46" customHeight="1">
      <c r="A13" s="3" t="inlineStr">
        <is>
          <t>Google Sheets</t>
        </is>
      </c>
      <c r="B13" s="4" t="inlineStr">
        <is>
          <t>Faça upload no Google Drive e abra com o Google Sheets. Fórmulas, listas, cores e gráfico funcionam.</t>
        </is>
      </c>
    </row>
    <row r="14" ht="46" customHeight="1">
      <c r="A14" s="3" t="inlineStr">
        <is>
          <t>Exemplos</t>
        </is>
      </c>
      <c r="B14" s="4" t="inlineStr">
        <is>
          <t>A Prisma Comunicação é uma empresa fictícia. Os números são inventados. Apague-os antes de começar. A planilha Ganhos e Gastos do kit usa outro exemplo, de uma autônoma, porque ela serve também para o dinheiro pessoal — não é descuido, é o uso previsto.</t>
        </is>
      </c>
    </row>
    <row r="15" ht="46" customHeight="1">
      <c r="A15" s="3" t="inlineStr">
        <is>
          <t>Suporte</t>
        </is>
      </c>
      <c r="B15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0" customWidth="1" min="4" max="4"/>
    <col width="12" customWidth="1" min="5" max="5"/>
    <col width="10" customWidth="1" min="6" max="6"/>
    <col width="15" customWidth="1" min="7" max="7"/>
    <col width="1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hidden="1" width="13" customWidth="1" min="14" max="14"/>
    <col hidden="1" width="13" customWidth="1" min="15" max="15"/>
  </cols>
  <sheetData>
    <row r="1">
      <c r="A1" s="5" t="str">
        <f>Config!B4&amp;" · Relatório de "&amp;Config!B6&amp;" de "&amp;Config!B5</f>
        <v>Prisma Comunicação (exemplo fictício) · Relatório de Setembro de 2026</v>
      </c>
    </row>
    <row r="2">
      <c r="A2" s="6" t="inlineStr">
        <is>
          <t>Nada para digitar aqui, exceto o indicador do gráfico em B18. Escolha o mês em Config; os números vêm de Indicadores.</t>
        </is>
      </c>
    </row>
    <row r="4" ht="28" customHeight="1">
      <c r="A4" s="7" t="inlineStr">
        <is>
          <t>Indicador</t>
        </is>
      </c>
      <c r="B4" s="7" t="inlineStr">
        <is>
          <t>Mês</t>
        </is>
      </c>
      <c r="C4" s="7" t="inlineStr">
        <is>
          <t>Mês anterior</t>
        </is>
      </c>
      <c r="D4" s="7" t="inlineStr">
        <is>
          <t>Variação</t>
        </is>
      </c>
      <c r="E4" s="7" t="inlineStr">
        <is>
          <t>Meta</t>
        </is>
      </c>
      <c r="F4" s="7" t="inlineStr">
        <is>
          <t>Vs. meta</t>
        </is>
      </c>
      <c r="G4" s="7" t="inlineStr">
        <is>
          <t>Situação</t>
        </is>
      </c>
      <c r="H4" s="7" t="inlineStr">
        <is>
          <t>Acumulado (soma; média p/ % e pts)</t>
        </is>
      </c>
      <c r="I4" s="7" t="inlineStr">
        <is>
          <t>Unidade</t>
        </is>
      </c>
    </row>
    <row r="5">
      <c r="A5" s="8" t="str">
        <f>IF(Indicadores!A5="","",Indicadores!A5)</f>
        <v>Receita</v>
      </c>
      <c r="B5" s="9">
        <f>IF(Indicadores!A5="","",IF(INDEX(Indicadores!$F5:$Q5,Config!$B$7)="","",INDEX(Indicadores!$F5:$Q5,Config!$B$7)))</f>
        <v>131200</v>
      </c>
      <c r="C5" s="9">
        <f>IF(OR(Indicadores!A5="",Config!$B$7=1),"",IF(INDEX(Indicadores!$F5:$Q5,Config!$B$7-1)="","",INDEX(Indicadores!$F5:$Q5,Config!$B$7-1)))</f>
        <v>124600</v>
      </c>
      <c r="D5" s="10">
        <f>IF(OR(B5="",C5="",C5=0),"",(B5-C5)/ABS(C5))</f>
        <v>0.0529695024077047</v>
      </c>
      <c r="E5" s="9">
        <f>IF(OR(Indicadores!A5="",Indicadores!D5=""),"",Indicadores!D5)</f>
        <v>120000</v>
      </c>
      <c r="F5" s="10">
        <f>IF(OR(B5="",E5="",E5=0),"",(B5-E5)/ABS(E5))</f>
        <v>0.0933333333333333</v>
      </c>
      <c r="G5" s="11" t="str">
        <f>IF(OR(B5="",E5=""),"",IF(Indicadores!E5="Não",IF(B5&lt;=E5,"No alvo","Acima da meta"),IF(B5&gt;=E5,"No alvo","Abaixo da meta")))</f>
        <v>No alvo</v>
      </c>
      <c r="H5" s="9">
        <f>IF(Indicadores!A5="","",Indicadores!R5)</f>
        <v>1033600</v>
      </c>
      <c r="I5" s="11" t="str">
        <f>IF(Indicadores!A5="","",Indicadores!B5)</f>
        <v>R$</v>
      </c>
      <c r="N5" s="12">
        <f>IF(Indicadores!C5="",2,Indicadores!C5)</f>
        <v>0</v>
      </c>
      <c r="O5" s="12">
        <f>IF(OR(F5="",G5="",G5="No alvo"),"",IF(Indicadores!E5="Não",F5,-F5))</f>
        <v/>
      </c>
    </row>
    <row r="6">
      <c r="A6" s="8" t="str">
        <f>IF(Indicadores!A6="","",Indicadores!A6)</f>
        <v>Despesas</v>
      </c>
      <c r="B6" s="9">
        <f>IF(Indicadores!A6="","",IF(INDEX(Indicadores!$F6:$Q6,Config!$B$7)="","",INDEX(Indicadores!$F6:$Q6,Config!$B$7)))</f>
        <v>89800</v>
      </c>
      <c r="C6" s="9">
        <f>IF(OR(Indicadores!A6="",Config!$B$7=1),"",IF(INDEX(Indicadores!$F6:$Q6,Config!$B$7-1)="","",INDEX(Indicadores!$F6:$Q6,Config!$B$7-1)))</f>
        <v>87300</v>
      </c>
      <c r="D6" s="10">
        <f>IF(OR(B6="",C6="",C6=0),"",(B6-C6)/ABS(C6))</f>
        <v>0.0286368843069874</v>
      </c>
      <c r="E6" s="9">
        <f>IF(OR(Indicadores!A6="",Indicadores!D6=""),"",Indicadores!D6)</f>
        <v>85000</v>
      </c>
      <c r="F6" s="10">
        <f>IF(OR(B6="",E6="",E6=0),"",(B6-E6)/ABS(E6))</f>
        <v>0.0564705882352941</v>
      </c>
      <c r="G6" s="11" t="str">
        <f>IF(OR(B6="",E6=""),"",IF(Indicadores!E6="Não",IF(B6&lt;=E6,"No alvo","Acima da meta"),IF(B6&gt;=E6,"No alvo","Abaixo da meta")))</f>
        <v>Acima da meta</v>
      </c>
      <c r="H6" s="9">
        <f>IF(Indicadores!A6="","",Indicadores!R6)</f>
        <v>766600</v>
      </c>
      <c r="I6" s="11" t="str">
        <f>IF(Indicadores!A6="","",Indicadores!B6)</f>
        <v>R$</v>
      </c>
      <c r="N6" s="12">
        <f>IF(Indicadores!C6="",2,Indicadores!C6)</f>
        <v>0</v>
      </c>
      <c r="O6" s="12">
        <f>IF(OR(F6="",G6="",G6="No alvo"),"",IF(Indicadores!E6="Não",F6,-F6))</f>
        <v>0.0564705882352941</v>
      </c>
    </row>
    <row r="7">
      <c r="A7" s="8" t="str">
        <f>IF(Indicadores!A7="","",Indicadores!A7)</f>
        <v>Resultado (receita - despesas)</v>
      </c>
      <c r="B7" s="9">
        <f>IF(Indicadores!A7="","",IF(INDEX(Indicadores!$F7:$Q7,Config!$B$7)="","",INDEX(Indicadores!$F7:$Q7,Config!$B$7)))</f>
        <v>41400</v>
      </c>
      <c r="C7" s="9">
        <f>IF(OR(Indicadores!A7="",Config!$B$7=1),"",IF(INDEX(Indicadores!$F7:$Q7,Config!$B$7-1)="","",INDEX(Indicadores!$F7:$Q7,Config!$B$7-1)))</f>
        <v>37300</v>
      </c>
      <c r="D7" s="10">
        <f>IF(OR(B7="",C7="",C7=0),"",(B7-C7)/ABS(C7))</f>
        <v>0.109919571045576</v>
      </c>
      <c r="E7" s="9">
        <f>IF(OR(Indicadores!A7="",Indicadores!D7=""),"",Indicadores!D7)</f>
        <v>35000</v>
      </c>
      <c r="F7" s="10">
        <f>IF(OR(B7="",E7="",E7=0),"",(B7-E7)/ABS(E7))</f>
        <v>0.182857142857143</v>
      </c>
      <c r="G7" s="11" t="str">
        <f>IF(OR(B7="",E7=""),"",IF(Indicadores!E7="Não",IF(B7&lt;=E7,"No alvo","Acima da meta"),IF(B7&gt;=E7,"No alvo","Abaixo da meta")))</f>
        <v>No alvo</v>
      </c>
      <c r="H7" s="9">
        <f>IF(Indicadores!A7="","",Indicadores!R7)</f>
        <v>267000</v>
      </c>
      <c r="I7" s="11" t="str">
        <f>IF(Indicadores!A7="","",Indicadores!B7)</f>
        <v>R$</v>
      </c>
      <c r="N7" s="12">
        <f>IF(Indicadores!C7="",2,Indicadores!C7)</f>
        <v>0</v>
      </c>
      <c r="O7" s="12">
        <f>IF(OR(F7="",G7="",G7="No alvo"),"",IF(Indicadores!E7="Não",F7,-F7))</f>
        <v/>
      </c>
    </row>
    <row r="8">
      <c r="A8" s="8" t="str">
        <f>IF(Indicadores!A8="","",Indicadores!A8)</f>
        <v>Novos clientes</v>
      </c>
      <c r="B8" s="9">
        <f>IF(Indicadores!A8="","",IF(INDEX(Indicadores!$F8:$Q8,Config!$B$7)="","",INDEX(Indicadores!$F8:$Q8,Config!$B$7)))</f>
        <v>6</v>
      </c>
      <c r="C8" s="9">
        <f>IF(OR(Indicadores!A8="",Config!$B$7=1),"",IF(INDEX(Indicadores!$F8:$Q8,Config!$B$7-1)="","",INDEX(Indicadores!$F8:$Q8,Config!$B$7-1)))</f>
        <v>7</v>
      </c>
      <c r="D8" s="10">
        <f>IF(OR(B8="",C8="",C8=0),"",(B8-C8)/ABS(C8))</f>
        <v>-0.142857142857143</v>
      </c>
      <c r="E8" s="9">
        <f>IF(OR(Indicadores!A8="",Indicadores!D8=""),"",Indicadores!D8)</f>
        <v>6</v>
      </c>
      <c r="F8" s="10">
        <f>IF(OR(B8="",E8="",E8=0),"",(B8-E8)/ABS(E8))</f>
        <v>0</v>
      </c>
      <c r="G8" s="11" t="str">
        <f>IF(OR(B8="",E8=""),"",IF(Indicadores!E8="Não",IF(B8&lt;=E8,"No alvo","Acima da meta"),IF(B8&gt;=E8,"No alvo","Abaixo da meta")))</f>
        <v>No alvo</v>
      </c>
      <c r="H8" s="9">
        <f>IF(Indicadores!A8="","",Indicadores!R8)</f>
        <v>44</v>
      </c>
      <c r="I8" s="11" t="str">
        <f>IF(Indicadores!A8="","",Indicadores!B8)</f>
        <v>un</v>
      </c>
      <c r="N8" s="12">
        <f>IF(Indicadores!C8="",2,Indicadores!C8)</f>
        <v>0</v>
      </c>
      <c r="O8" s="12">
        <f>IF(OR(F8="",G8="",G8="No alvo"),"",IF(Indicadores!E8="Não",F8,-F8))</f>
        <v/>
      </c>
    </row>
    <row r="9">
      <c r="A9" s="8" t="str">
        <f>IF(Indicadores!A9="","",Indicadores!A9)</f>
        <v>Leads recebidos</v>
      </c>
      <c r="B9" s="9">
        <f>IF(Indicadores!A9="","",IF(INDEX(Indicadores!$F9:$Q9,Config!$B$7)="","",INDEX(Indicadores!$F9:$Q9,Config!$B$7)))</f>
        <v>137</v>
      </c>
      <c r="C9" s="9">
        <f>IF(OR(Indicadores!A9="",Config!$B$7=1),"",IF(INDEX(Indicadores!$F9:$Q9,Config!$B$7-1)="","",INDEX(Indicadores!$F9:$Q9,Config!$B$7-1)))</f>
        <v>142</v>
      </c>
      <c r="D9" s="10">
        <f>IF(OR(B9="",C9="",C9=0),"",(B9-C9)/ABS(C9))</f>
        <v>-0.0352112676056338</v>
      </c>
      <c r="E9" s="9">
        <f>IF(OR(Indicadores!A9="",Indicadores!D9=""),"",Indicadores!D9)</f>
        <v>120</v>
      </c>
      <c r="F9" s="10">
        <f>IF(OR(B9="",E9="",E9=0),"",(B9-E9)/ABS(E9))</f>
        <v>0.141666666666667</v>
      </c>
      <c r="G9" s="11" t="str">
        <f>IF(OR(B9="",E9=""),"",IF(Indicadores!E9="Não",IF(B9&lt;=E9,"No alvo","Acima da meta"),IF(B9&gt;=E9,"No alvo","Abaixo da meta")))</f>
        <v>No alvo</v>
      </c>
      <c r="H9" s="9">
        <f>IF(Indicadores!A9="","",Indicadores!R9)</f>
        <v>1032</v>
      </c>
      <c r="I9" s="11" t="str">
        <f>IF(Indicadores!A9="","",Indicadores!B9)</f>
        <v>un</v>
      </c>
      <c r="N9" s="12">
        <f>IF(Indicadores!C9="",2,Indicadores!C9)</f>
        <v>0</v>
      </c>
      <c r="O9" s="12">
        <f>IF(OR(F9="",G9="",G9="No alvo"),"",IF(Indicadores!E9="Não",F9,-F9))</f>
        <v/>
      </c>
    </row>
    <row r="10">
      <c r="A10" s="8" t="str">
        <f>IF(Indicadores!A10="","",Indicadores!A10)</f>
        <v>Taxa de conversão de leads</v>
      </c>
      <c r="B10" s="9">
        <f>IF(Indicadores!A10="","",IF(INDEX(Indicadores!$F10:$Q10,Config!$B$7)="","",INDEX(Indicadores!$F10:$Q10,Config!$B$7)))</f>
        <v>4.4</v>
      </c>
      <c r="C10" s="9">
        <f>IF(OR(Indicadores!A10="",Config!$B$7=1),"",IF(INDEX(Indicadores!$F10:$Q10,Config!$B$7-1)="","",INDEX(Indicadores!$F10:$Q10,Config!$B$7-1)))</f>
        <v>4.9</v>
      </c>
      <c r="D10" s="10">
        <f>IF(OR(B10="",C10="",C10=0),"",(B10-C10)/ABS(C10))</f>
        <v>-0.102040816326531</v>
      </c>
      <c r="E10" s="9">
        <f>IF(OR(Indicadores!A10="",Indicadores!D10=""),"",Indicadores!D10)</f>
        <v>5</v>
      </c>
      <c r="F10" s="10">
        <f>IF(OR(B10="",E10="",E10=0),"",(B10-E10)/ABS(E10))</f>
        <v>-0.12</v>
      </c>
      <c r="G10" s="11" t="str">
        <f>IF(OR(B10="",E10=""),"",IF(Indicadores!E10="Não",IF(B10&lt;=E10,"No alvo","Acima da meta"),IF(B10&gt;=E10,"No alvo","Abaixo da meta")))</f>
        <v>Abaixo da meta</v>
      </c>
      <c r="H10" s="9">
        <f>IF(Indicadores!A10="","",Indicadores!R10)</f>
        <v>4.2</v>
      </c>
      <c r="I10" s="11" t="str">
        <f>IF(Indicadores!A10="","",Indicadores!B10)</f>
        <v>%</v>
      </c>
      <c r="N10" s="12">
        <f>IF(Indicadores!C10="",2,Indicadores!C10)</f>
        <v>1</v>
      </c>
      <c r="O10" s="12">
        <f>IF(OR(F10="",G10="",G10="No alvo"),"",IF(Indicadores!E10="Não",F10,-F10))</f>
        <v>0.12</v>
      </c>
    </row>
    <row r="11">
      <c r="A11" s="8" t="str">
        <f>IF(Indicadores!A11="","",Indicadores!A11)</f>
        <v>Ticket médio</v>
      </c>
      <c r="B11" s="9">
        <f>IF(Indicadores!A11="","",IF(INDEX(Indicadores!$F11:$Q11,Config!$B$7)="","",INDEX(Indicadores!$F11:$Q11,Config!$B$7)))</f>
        <v>9700</v>
      </c>
      <c r="C11" s="9">
        <f>IF(OR(Indicadores!A11="",Config!$B$7=1),"",IF(INDEX(Indicadores!$F11:$Q11,Config!$B$7-1)="","",INDEX(Indicadores!$F11:$Q11,Config!$B$7-1)))</f>
        <v>9400</v>
      </c>
      <c r="D11" s="10">
        <f>IF(OR(B11="",C11="",C11=0),"",(B11-C11)/ABS(C11))</f>
        <v>0.0319148936170213</v>
      </c>
      <c r="E11" s="9">
        <f>IF(OR(Indicadores!A11="",Indicadores!D11=""),"",Indicadores!D11)</f>
        <v>9000</v>
      </c>
      <c r="F11" s="10">
        <f>IF(OR(B11="",E11="",E11=0),"",(B11-E11)/ABS(E11))</f>
        <v>0.0777777777777778</v>
      </c>
      <c r="G11" s="11" t="str">
        <f>IF(OR(B11="",E11=""),"",IF(Indicadores!E11="Não",IF(B11&lt;=E11,"No alvo","Acima da meta"),IF(B11&gt;=E11,"No alvo","Abaixo da meta")))</f>
        <v>No alvo</v>
      </c>
      <c r="H11" s="9">
        <f>IF(Indicadores!A11="","",Indicadores!R11)</f>
        <v>8966.66666666667</v>
      </c>
      <c r="I11" s="11" t="str">
        <f>IF(Indicadores!A11="","",Indicadores!B11)</f>
        <v>R$</v>
      </c>
      <c r="N11" s="12">
        <f>IF(Indicadores!C11="",2,Indicadores!C11)</f>
        <v>0</v>
      </c>
      <c r="O11" s="12">
        <f>IF(OR(F11="",G11="",G11="No alvo"),"",IF(Indicadores!E11="Não",F11,-F11))</f>
        <v/>
      </c>
    </row>
    <row r="12">
      <c r="A12" s="8" t="str">
        <f>IF(Indicadores!A12="","",Indicadores!A12)</f>
        <v>Inadimplência</v>
      </c>
      <c r="B12" s="9">
        <f>IF(Indicadores!A12="","",IF(INDEX(Indicadores!$F12:$Q12,Config!$B$7)="","",INDEX(Indicadores!$F12:$Q12,Config!$B$7)))</f>
        <v>2.4</v>
      </c>
      <c r="C12" s="9">
        <f>IF(OR(Indicadores!A12="",Config!$B$7=1),"",IF(INDEX(Indicadores!$F12:$Q12,Config!$B$7-1)="","",INDEX(Indicadores!$F12:$Q12,Config!$B$7-1)))</f>
        <v>2.6</v>
      </c>
      <c r="D12" s="10">
        <f>IF(OR(B12="",C12="",C12=0),"",(B12-C12)/ABS(C12))</f>
        <v>-0.076923076923077</v>
      </c>
      <c r="E12" s="9">
        <f>IF(OR(Indicadores!A12="",Indicadores!D12=""),"",Indicadores!D12)</f>
        <v>3</v>
      </c>
      <c r="F12" s="10">
        <f>IF(OR(B12="",E12="",E12=0),"",(B12-E12)/ABS(E12))</f>
        <v>-0.2</v>
      </c>
      <c r="G12" s="11" t="str">
        <f>IF(OR(B12="",E12=""),"",IF(Indicadores!E12="Não",IF(B12&lt;=E12,"No alvo","Acima da meta"),IF(B12&gt;=E12,"No alvo","Abaixo da meta")))</f>
        <v>No alvo</v>
      </c>
      <c r="H12" s="9">
        <f>IF(Indicadores!A12="","",Indicadores!R12)</f>
        <v>3.22222222222222</v>
      </c>
      <c r="I12" s="11" t="str">
        <f>IF(Indicadores!A12="","",Indicadores!B12)</f>
        <v>%</v>
      </c>
      <c r="N12" s="12">
        <f>IF(Indicadores!C12="",2,Indicadores!C12)</f>
        <v>1</v>
      </c>
      <c r="O12" s="12">
        <f>IF(OR(F12="",G12="",G12="No alvo"),"",IF(Indicadores!E12="Não",F12,-F12))</f>
        <v/>
      </c>
    </row>
    <row r="13">
      <c r="A13" s="8" t="str">
        <f>IF(Indicadores!A13="","",Indicadores!A13)</f>
        <v>Atendimentos realizados</v>
      </c>
      <c r="B13" s="9">
        <f>IF(Indicadores!A13="","",IF(INDEX(Indicadores!$F13:$Q13,Config!$B$7)="","",INDEX(Indicadores!$F13:$Q13,Config!$B$7)))</f>
        <v>63</v>
      </c>
      <c r="C13" s="9">
        <f>IF(OR(Indicadores!A13="",Config!$B$7=1),"",IF(INDEX(Indicadores!$F13:$Q13,Config!$B$7-1)="","",INDEX(Indicadores!$F13:$Q13,Config!$B$7-1)))</f>
        <v>66</v>
      </c>
      <c r="D13" s="10">
        <f>IF(OR(B13="",C13="",C13=0),"",(B13-C13)/ABS(C13))</f>
        <v>-0.0454545454545455</v>
      </c>
      <c r="E13" s="9">
        <f>IF(OR(Indicadores!A13="",Indicadores!D13=""),"",Indicadores!D13)</f>
        <v>60</v>
      </c>
      <c r="F13" s="10">
        <f>IF(OR(B13="",E13="",E13=0),"",(B13-E13)/ABS(E13))</f>
        <v>0.05</v>
      </c>
      <c r="G13" s="11" t="str">
        <f>IF(OR(B13="",E13=""),"",IF(Indicadores!E13="Não",IF(B13&lt;=E13,"No alvo","Acima da meta"),IF(B13&gt;=E13,"No alvo","Abaixo da meta")))</f>
        <v>No alvo</v>
      </c>
      <c r="H13" s="9">
        <f>IF(Indicadores!A13="","",Indicadores!R13)</f>
        <v>536</v>
      </c>
      <c r="I13" s="11" t="str">
        <f>IF(Indicadores!A13="","",Indicadores!B13)</f>
        <v>un</v>
      </c>
      <c r="N13" s="12">
        <f>IF(Indicadores!C13="",2,Indicadores!C13)</f>
        <v>0</v>
      </c>
      <c r="O13" s="12">
        <f>IF(OR(F13="",G13="",G13="No alvo"),"",IF(Indicadores!E13="Não",F13,-F13))</f>
        <v/>
      </c>
    </row>
    <row r="14">
      <c r="A14" s="8" t="str">
        <f>IF(Indicadores!A14="","",Indicadores!A14)</f>
        <v>NPS</v>
      </c>
      <c r="B14" s="9">
        <f>IF(Indicadores!A14="","",IF(INDEX(Indicadores!$F14:$Q14,Config!$B$7)="","",INDEX(Indicadores!$F14:$Q14,Config!$B$7)))</f>
        <v>72</v>
      </c>
      <c r="C14" s="9">
        <f>IF(OR(Indicadores!A14="",Config!$B$7=1),"",IF(INDEX(Indicadores!$F14:$Q14,Config!$B$7-1)="","",INDEX(Indicadores!$F14:$Q14,Config!$B$7-1)))</f>
        <v>73</v>
      </c>
      <c r="D14" s="10">
        <f>IF(OR(B14="",C14="",C14=0),"",(B14-C14)/ABS(C14))</f>
        <v>-0.0136986301369863</v>
      </c>
      <c r="E14" s="9">
        <f>IF(OR(Indicadores!A14="",Indicadores!D14=""),"",Indicadores!D14)</f>
        <v>70</v>
      </c>
      <c r="F14" s="10">
        <f>IF(OR(B14="",E14="",E14=0),"",(B14-E14)/ABS(E14))</f>
        <v>0.0285714285714286</v>
      </c>
      <c r="G14" s="11" t="str">
        <f>IF(OR(B14="",E14=""),"",IF(Indicadores!E14="Não",IF(B14&lt;=E14,"No alvo","Acima da meta"),IF(B14&gt;=E14,"No alvo","Abaixo da meta")))</f>
        <v>No alvo</v>
      </c>
      <c r="H14" s="9">
        <f>IF(Indicadores!A14="","",Indicadores!R14)</f>
        <v>68.8888888888889</v>
      </c>
      <c r="I14" s="11" t="str">
        <f>IF(Indicadores!A14="","",Indicadores!B14)</f>
        <v>pts</v>
      </c>
      <c r="N14" s="12">
        <f>IF(Indicadores!C14="",2,Indicadores!C14)</f>
        <v>0</v>
      </c>
      <c r="O14" s="12">
        <f>IF(OR(F14="",G14="",G14="No alvo"),"",IF(Indicadores!E14="Não",F14,-F14))</f>
        <v/>
      </c>
    </row>
    <row r="15">
      <c r="A15" s="8" t="str">
        <f>IF(Indicadores!A15="","",Indicadores!A15)</f>
        <v>Horas extras da equipe</v>
      </c>
      <c r="B15" s="9">
        <f>IF(Indicadores!A15="","",IF(INDEX(Indicadores!$F15:$Q15,Config!$B$7)="","",INDEX(Indicadores!$F15:$Q15,Config!$B$7)))</f>
        <v>12</v>
      </c>
      <c r="C15" s="9">
        <f>IF(OR(Indicadores!A15="",Config!$B$7=1),"",IF(INDEX(Indicadores!$F15:$Q15,Config!$B$7-1)="","",INDEX(Indicadores!$F15:$Q15,Config!$B$7-1)))</f>
        <v>14</v>
      </c>
      <c r="D15" s="10">
        <f>IF(OR(B15="",C15="",C15=0),"",(B15-C15)/ABS(C15))</f>
        <v>-0.142857142857143</v>
      </c>
      <c r="E15" s="9">
        <f>IF(OR(Indicadores!A15="",Indicadores!D15=""),"",Indicadores!D15)</f>
        <v>20</v>
      </c>
      <c r="F15" s="10">
        <f>IF(OR(B15="",E15="",E15=0),"",(B15-E15)/ABS(E15))</f>
        <v>-0.4</v>
      </c>
      <c r="G15" s="11" t="str">
        <f>IF(OR(B15="",E15=""),"",IF(Indicadores!E15="Não",IF(B15&lt;=E15,"No alvo","Acima da meta"),IF(B15&gt;=E15,"No alvo","Abaixo da meta")))</f>
        <v>No alvo</v>
      </c>
      <c r="H15" s="9">
        <f>IF(Indicadores!A15="","",Indicadores!R15)</f>
        <v>173</v>
      </c>
      <c r="I15" s="11" t="str">
        <f>IF(Indicadores!A15="","",Indicadores!B15)</f>
        <v>h</v>
      </c>
      <c r="N15" s="12">
        <f>IF(Indicadores!C15="",2,Indicadores!C15)</f>
        <v>0</v>
      </c>
      <c r="O15" s="12">
        <f>IF(OR(F15="",G15="",G15="No alvo"),"",IF(Indicadores!E15="Não",F15,-F15))</f>
        <v/>
      </c>
    </row>
    <row r="16">
      <c r="A16" s="8" t="str">
        <f>IF(Indicadores!A16="","",Indicadores!A16)</f>
        <v>Custo por lead</v>
      </c>
      <c r="B16" s="9">
        <f>IF(Indicadores!A16="","",IF(INDEX(Indicadores!$F16:$Q16,Config!$B$7)="","",INDEX(Indicadores!$F16:$Q16,Config!$B$7)))</f>
        <v>40.7</v>
      </c>
      <c r="C16" s="9">
        <f>IF(OR(Indicadores!A16="",Config!$B$7=1),"",IF(INDEX(Indicadores!$F16:$Q16,Config!$B$7-1)="","",INDEX(Indicadores!$F16:$Q16,Config!$B$7-1)))</f>
        <v>39.5</v>
      </c>
      <c r="D16" s="10">
        <f>IF(OR(B16="",C16="",C16=0),"",(B16-C16)/ABS(C16))</f>
        <v>0.0303797468354431</v>
      </c>
      <c r="E16" s="9">
        <f>IF(OR(Indicadores!A16="",Indicadores!D16=""),"",Indicadores!D16)</f>
        <v>45</v>
      </c>
      <c r="F16" s="10">
        <f>IF(OR(B16="",E16="",E16=0),"",(B16-E16)/ABS(E16))</f>
        <v>-0.0955555555555555</v>
      </c>
      <c r="G16" s="11" t="str">
        <f>IF(OR(B16="",E16=""),"",IF(Indicadores!E16="Não",IF(B16&lt;=E16,"No alvo","Acima da meta"),IF(B16&gt;=E16,"No alvo","Abaixo da meta")))</f>
        <v>No alvo</v>
      </c>
      <c r="H16" s="9">
        <f>IF(Indicadores!A16="","",Indicadores!R16)</f>
        <v>45.0888888888889</v>
      </c>
      <c r="I16" s="11" t="str">
        <f>IF(Indicadores!A16="","",Indicadores!B16)</f>
        <v>R$</v>
      </c>
      <c r="N16" s="12">
        <f>IF(Indicadores!C16="",2,Indicadores!C16)</f>
        <v>2</v>
      </c>
      <c r="O16" s="12">
        <f>IF(OR(F16="",G16="",G16="No alvo"),"",IF(Indicadores!E16="Não",F16,-F16))</f>
        <v/>
      </c>
    </row>
    <row r="18">
      <c r="A18" s="13" t="inlineStr">
        <is>
          <t>Indicador do gráfico</t>
        </is>
      </c>
      <c r="B18" s="14" t="inlineStr">
        <is>
          <t>Receita</t>
        </is>
      </c>
      <c r="C18" s="15" t="n"/>
      <c r="D18" s="16" t="n"/>
    </row>
    <row r="20">
      <c r="A20" s="17" t="inlineStr">
        <is>
          <t>Evolução no ano do indicador escolhido (linha cheia) e sua meta (tracejada).</t>
        </is>
      </c>
    </row>
    <row r="37">
      <c r="A37" s="12" t="inlineStr">
        <is>
          <t>Dados do gráfico ficam nas linhas 38 a 40, em fonte branca, de propósito: meses sem valor dão #N/D para o gráfico deixar a lacuna em vez de cair a zero.</t>
        </is>
      </c>
    </row>
    <row r="38">
      <c r="A38" s="18" t="inlineStr">
        <is>
          <t>Mês</t>
        </is>
      </c>
      <c r="B38" s="18" t="inlineStr">
        <is>
          <t>Jan</t>
        </is>
      </c>
      <c r="C38" s="18" t="inlineStr">
        <is>
          <t>Fev</t>
        </is>
      </c>
      <c r="D38" s="18" t="inlineStr">
        <is>
          <t>Mar</t>
        </is>
      </c>
      <c r="E38" s="18" t="inlineStr">
        <is>
          <t>Abr</t>
        </is>
      </c>
      <c r="F38" s="18" t="inlineStr">
        <is>
          <t>Mai</t>
        </is>
      </c>
      <c r="G38" s="18" t="inlineStr">
        <is>
          <t>Jun</t>
        </is>
      </c>
      <c r="H38" s="18" t="inlineStr">
        <is>
          <t>Jul</t>
        </is>
      </c>
      <c r="I38" s="18" t="inlineStr">
        <is>
          <t>Ago</t>
        </is>
      </c>
      <c r="J38" s="18" t="inlineStr">
        <is>
          <t>Set</t>
        </is>
      </c>
      <c r="K38" s="18" t="inlineStr">
        <is>
          <t>Out</t>
        </is>
      </c>
      <c r="L38" s="18" t="inlineStr">
        <is>
          <t>Nov</t>
        </is>
      </c>
      <c r="M38" s="18" t="inlineStr">
        <is>
          <t>Dez</t>
        </is>
      </c>
    </row>
    <row r="39">
      <c r="A39" s="18" t="inlineStr">
        <is>
          <t>Valor</t>
        </is>
      </c>
      <c r="B39" s="18">
        <f>IFERROR(IF(INDEX(Indicadores!$F$5:$Q$16,MATCH($B$18,Indicadores!$A$5:$A$16,0),1)="",NA(),INDEX(Indicadores!$F$5:$Q$16,MATCH($B$18,Indicadores!$A$5:$A$16,0),1)),NA())</f>
        <v>98500</v>
      </c>
      <c r="C39" s="18">
        <f>IFERROR(IF(INDEX(Indicadores!$F$5:$Q$16,MATCH($B$18,Indicadores!$A$5:$A$16,0),2)="",NA(),INDEX(Indicadores!$F$5:$Q$16,MATCH($B$18,Indicadores!$A$5:$A$16,0),2)),NA())</f>
        <v>101200</v>
      </c>
      <c r="D39" s="18">
        <f>IFERROR(IF(INDEX(Indicadores!$F$5:$Q$16,MATCH($B$18,Indicadores!$A$5:$A$16,0),3)="",NA(),INDEX(Indicadores!$F$5:$Q$16,MATCH($B$18,Indicadores!$A$5:$A$16,0),3)),NA())</f>
        <v>112400</v>
      </c>
      <c r="E39" s="18">
        <f>IFERROR(IF(INDEX(Indicadores!$F$5:$Q$16,MATCH($B$18,Indicadores!$A$5:$A$16,0),4)="",NA(),INDEX(Indicadores!$F$5:$Q$16,MATCH($B$18,Indicadores!$A$5:$A$16,0),4)),NA())</f>
        <v>109800</v>
      </c>
      <c r="F39" s="18">
        <f>IFERROR(IF(INDEX(Indicadores!$F$5:$Q$16,MATCH($B$18,Indicadores!$A$5:$A$16,0),5)="",NA(),INDEX(Indicadores!$F$5:$Q$16,MATCH($B$18,Indicadores!$A$5:$A$16,0),5)),NA())</f>
        <v>118300</v>
      </c>
      <c r="G39" s="18">
        <f>IFERROR(IF(INDEX(Indicadores!$F$5:$Q$16,MATCH($B$18,Indicadores!$A$5:$A$16,0),6)="",NA(),INDEX(Indicadores!$F$5:$Q$16,MATCH($B$18,Indicadores!$A$5:$A$16,0),6)),NA())</f>
        <v>121900</v>
      </c>
      <c r="H39" s="18">
        <f>IFERROR(IF(INDEX(Indicadores!$F$5:$Q$16,MATCH($B$18,Indicadores!$A$5:$A$16,0),7)="",NA(),INDEX(Indicadores!$F$5:$Q$16,MATCH($B$18,Indicadores!$A$5:$A$16,0),7)),NA())</f>
        <v>115700</v>
      </c>
      <c r="I39" s="18">
        <f>IFERROR(IF(INDEX(Indicadores!$F$5:$Q$16,MATCH($B$18,Indicadores!$A$5:$A$16,0),8)="",NA(),INDEX(Indicadores!$F$5:$Q$16,MATCH($B$18,Indicadores!$A$5:$A$16,0),8)),NA())</f>
        <v>124600</v>
      </c>
      <c r="J39" s="18">
        <f>IFERROR(IF(INDEX(Indicadores!$F$5:$Q$16,MATCH($B$18,Indicadores!$A$5:$A$16,0),9)="",NA(),INDEX(Indicadores!$F$5:$Q$16,MATCH($B$18,Indicadores!$A$5:$A$16,0),9)),NA())</f>
        <v>131200</v>
      </c>
      <c r="K39" s="18" t="e">
        <f>IFERROR(IF(INDEX(Indicadores!$F$5:$Q$16,MATCH($B$18,Indicadores!$A$5:$A$16,0),10)="",NA(),INDEX(Indicadores!$F$5:$Q$16,MATCH($B$18,Indicadores!$A$5:$A$16,0),10)),NA())</f>
        <v>#N/A</v>
      </c>
      <c r="L39" s="18" t="e">
        <f>IFERROR(IF(INDEX(Indicadores!$F$5:$Q$16,MATCH($B$18,Indicadores!$A$5:$A$16,0),11)="",NA(),INDEX(Indicadores!$F$5:$Q$16,MATCH($B$18,Indicadores!$A$5:$A$16,0),11)),NA())</f>
        <v>#N/A</v>
      </c>
      <c r="M39" s="18" t="e">
        <f>IFERROR(IF(INDEX(Indicadores!$F$5:$Q$16,MATCH($B$18,Indicadores!$A$5:$A$16,0),12)="",NA(),INDEX(Indicadores!$F$5:$Q$16,MATCH($B$18,Indicadores!$A$5:$A$16,0),12)),NA())</f>
        <v>#N/A</v>
      </c>
    </row>
    <row r="40">
      <c r="A40" s="18" t="inlineStr">
        <is>
          <t>Meta</t>
        </is>
      </c>
      <c r="B40" s="18">
        <f>IFERROR(INDEX(Indicadores!$D$5:$D$16,MATCH($B$18,Indicadores!$A$5:$A$16,0)),NA())</f>
        <v>120000</v>
      </c>
      <c r="C40" s="18">
        <f>IFERROR(INDEX(Indicadores!$D$5:$D$16,MATCH($B$18,Indicadores!$A$5:$A$16,0)),NA())</f>
        <v>120000</v>
      </c>
      <c r="D40" s="18">
        <f>IFERROR(INDEX(Indicadores!$D$5:$D$16,MATCH($B$18,Indicadores!$A$5:$A$16,0)),NA())</f>
        <v>120000</v>
      </c>
      <c r="E40" s="18">
        <f>IFERROR(INDEX(Indicadores!$D$5:$D$16,MATCH($B$18,Indicadores!$A$5:$A$16,0)),NA())</f>
        <v>120000</v>
      </c>
      <c r="F40" s="18">
        <f>IFERROR(INDEX(Indicadores!$D$5:$D$16,MATCH($B$18,Indicadores!$A$5:$A$16,0)),NA())</f>
        <v>120000</v>
      </c>
      <c r="G40" s="18">
        <f>IFERROR(INDEX(Indicadores!$D$5:$D$16,MATCH($B$18,Indicadores!$A$5:$A$16,0)),NA())</f>
        <v>120000</v>
      </c>
      <c r="H40" s="18">
        <f>IFERROR(INDEX(Indicadores!$D$5:$D$16,MATCH($B$18,Indicadores!$A$5:$A$16,0)),NA())</f>
        <v>120000</v>
      </c>
      <c r="I40" s="18">
        <f>IFERROR(INDEX(Indicadores!$D$5:$D$16,MATCH($B$18,Indicadores!$A$5:$A$16,0)),NA())</f>
        <v>120000</v>
      </c>
      <c r="J40" s="18">
        <f>IFERROR(INDEX(Indicadores!$D$5:$D$16,MATCH($B$18,Indicadores!$A$5:$A$16,0)),NA())</f>
        <v>120000</v>
      </c>
      <c r="K40" s="18">
        <f>IFERROR(INDEX(Indicadores!$D$5:$D$16,MATCH($B$18,Indicadores!$A$5:$A$16,0)),NA())</f>
        <v>120000</v>
      </c>
      <c r="L40" s="18">
        <f>IFERROR(INDEX(Indicadores!$D$5:$D$16,MATCH($B$18,Indicadores!$A$5:$A$16,0)),NA())</f>
        <v>120000</v>
      </c>
      <c r="M40" s="18">
        <f>IFERROR(INDEX(Indicadores!$D$5:$D$16,MATCH($B$18,Indicadores!$A$5:$A$16,0)),NA())</f>
        <v>120000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3">
    <mergeCell ref="A1:I1"/>
    <mergeCell ref="B18:D18"/>
    <mergeCell ref="A2:I2"/>
  </mergeCells>
  <conditionalFormatting sqref="A5:I16">
    <cfRule type="expression" priority="1" dxfId="0">
      <formula>OR($G5="Abaixo da meta",$G5="Acima da meta")</formula>
    </cfRule>
    <cfRule type="expression" priority="2" dxfId="1">
      <formula>$G5="No alvo"</formula>
    </cfRule>
  </conditionalFormatting>
  <conditionalFormatting sqref="B5:C16 E5:E16 H5:H16">
    <cfRule type="expression" priority="3" dxfId="2">
      <formula>$N5=0</formula>
    </cfRule>
    <cfRule type="expression" priority="4" dxfId="3">
      <formula>$N5=1</formula>
    </cfRule>
  </conditionalFormatting>
  <dataValidations count="1">
    <dataValidation sqref="B18" showDropDown="0" showInputMessage="0" showErrorMessage="1" allowBlank="0" type="list">
      <formula1>=OFFSET(Indicadores!$A$5,0,0,MAX(1,COUNTA(Indicadores!$A$5:$A$16)),1)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  <col width="30" customWidth="1" min="4" max="4"/>
  </cols>
  <sheetData>
    <row r="1">
      <c r="A1" s="5" t="inlineStr">
        <is>
          <t>Resumo do mês, pronto para a IA</t>
        </is>
      </c>
    </row>
    <row r="2">
      <c r="A2" s="6" t="inlineStr">
        <is>
          <t>Copie o bloco abaixo e cole no prompt "Escrever 01: relatório executivo" ou "Apresentar 01: roteiro de 8 slides" da biblioteca do kit.</t>
        </is>
      </c>
    </row>
    <row r="4">
      <c r="A4" s="13" t="str">
        <f>"Relatório de "&amp;Config!B6&amp;" de "&amp;Config!B5&amp;" · "&amp;Config!B4</f>
        <v>Relatório de Setembro de 2026 · Prisma Comunicação (exemplo fictício)</v>
      </c>
    </row>
    <row r="6">
      <c r="A6" s="19" t="str">
        <f>IF(OR(Indicadores!A5="",Painel!B5=""),"","• "&amp;Indicadores!A5&amp;": "&amp;IF(Indicadores!B5="R$","R$ ","")&amp;FIXED(Painel!B5,IF(Indicadores!C5="",0,Indicadores!C5))&amp;IF(OR(Indicadores!B5="R$",Indicadores!B5=""),""," "&amp;Indicadores!B5)&amp;IF(Painel!C5="","",IF(AND(Painel!C5=0,Painel!B5&lt;&gt;0)," (sem base de comparação: "&amp;Config!$B$8&amp;" foi zero)",IF(Painel!D5="","",IF(Painel!D5&gt;=0," (+"," (")&amp;FIXED(Painel!D5*100,0)&amp;"% em relação a "&amp;Config!$B$8&amp;")")))&amp;IF(Painel!E5&lt;&gt;"","; meta "&amp;IF(Indicadores!B5="R$","R$ ","")&amp;FIXED(Painel!E5,IF(Indicadores!C5="",0,Indicadores!C5))&amp;IF(OR(Indicadores!B5="R$",Indicadores!B5=""),""," "&amp;Indicadores!B5)&amp;", "&amp;LOWER(Painel!G5),"")&amp;".")</f>
        <v>• Receita: R$ 131.200 (+5% em relação a Agosto); meta R$ 120.000, no alvo.</v>
      </c>
    </row>
    <row r="7">
      <c r="A7" s="19" t="str">
        <f>IF(OR(Indicadores!A6="",Painel!B6=""),"","• "&amp;Indicadores!A6&amp;": "&amp;IF(Indicadores!B6="R$","R$ ","")&amp;FIXED(Painel!B6,IF(Indicadores!C6="",0,Indicadores!C6))&amp;IF(OR(Indicadores!B6="R$",Indicadores!B6=""),""," "&amp;Indicadores!B6)&amp;IF(Painel!C6="","",IF(AND(Painel!C6=0,Painel!B6&lt;&gt;0)," (sem base de comparação: "&amp;Config!$B$8&amp;" foi zero)",IF(Painel!D6="","",IF(Painel!D6&gt;=0," (+"," (")&amp;FIXED(Painel!D6*100,0)&amp;"% em relação a "&amp;Config!$B$8&amp;")")))&amp;IF(Painel!E6&lt;&gt;"","; meta "&amp;IF(Indicadores!B6="R$","R$ ","")&amp;FIXED(Painel!E6,IF(Indicadores!C6="",0,Indicadores!C6))&amp;IF(OR(Indicadores!B6="R$",Indicadores!B6=""),""," "&amp;Indicadores!B6)&amp;", "&amp;LOWER(Painel!G6),"")&amp;".")</f>
        <v>• Despesas: R$ 89.800 (+3% em relação a Agosto); meta R$ 85.000, acima da meta.</v>
      </c>
    </row>
    <row r="8">
      <c r="A8" s="19" t="str">
        <f>IF(OR(Indicadores!A7="",Painel!B7=""),"","• "&amp;Indicadores!A7&amp;": "&amp;IF(Indicadores!B7="R$","R$ ","")&amp;FIXED(Painel!B7,IF(Indicadores!C7="",0,Indicadores!C7))&amp;IF(OR(Indicadores!B7="R$",Indicadores!B7=""),""," "&amp;Indicadores!B7)&amp;IF(Painel!C7="","",IF(AND(Painel!C7=0,Painel!B7&lt;&gt;0)," (sem base de comparação: "&amp;Config!$B$8&amp;" foi zero)",IF(Painel!D7="","",IF(Painel!D7&gt;=0," (+"," (")&amp;FIXED(Painel!D7*100,0)&amp;"% em relação a "&amp;Config!$B$8&amp;")")))&amp;IF(Painel!E7&lt;&gt;"","; meta "&amp;IF(Indicadores!B7="R$","R$ ","")&amp;FIXED(Painel!E7,IF(Indicadores!C7="",0,Indicadores!C7))&amp;IF(OR(Indicadores!B7="R$",Indicadores!B7=""),""," "&amp;Indicadores!B7)&amp;", "&amp;LOWER(Painel!G7),"")&amp;".")</f>
        <v>• Resultado (receita - despesas): R$ 41.400 (+11% em relação a Agosto); meta R$ 35.000, no alvo.</v>
      </c>
    </row>
    <row r="9">
      <c r="A9" s="19" t="str">
        <f>IF(OR(Indicadores!A8="",Painel!B8=""),"","• "&amp;Indicadores!A8&amp;": "&amp;IF(Indicadores!B8="R$","R$ ","")&amp;FIXED(Painel!B8,IF(Indicadores!C8="",0,Indicadores!C8))&amp;IF(OR(Indicadores!B8="R$",Indicadores!B8=""),""," "&amp;Indicadores!B8)&amp;IF(Painel!C8="","",IF(AND(Painel!C8=0,Painel!B8&lt;&gt;0)," (sem base de comparação: "&amp;Config!$B$8&amp;" foi zero)",IF(Painel!D8="","",IF(Painel!D8&gt;=0," (+"," (")&amp;FIXED(Painel!D8*100,0)&amp;"% em relação a "&amp;Config!$B$8&amp;")")))&amp;IF(Painel!E8&lt;&gt;"","; meta "&amp;IF(Indicadores!B8="R$","R$ ","")&amp;FIXED(Painel!E8,IF(Indicadores!C8="",0,Indicadores!C8))&amp;IF(OR(Indicadores!B8="R$",Indicadores!B8=""),""," "&amp;Indicadores!B8)&amp;", "&amp;LOWER(Painel!G8),"")&amp;".")</f>
        <v>• Novos clientes: 6 un (-14% em relação a Agosto); meta 6 un, no alvo.</v>
      </c>
    </row>
    <row r="10">
      <c r="A10" s="19" t="str">
        <f>IF(OR(Indicadores!A9="",Painel!B9=""),"","• "&amp;Indicadores!A9&amp;": "&amp;IF(Indicadores!B9="R$","R$ ","")&amp;FIXED(Painel!B9,IF(Indicadores!C9="",0,Indicadores!C9))&amp;IF(OR(Indicadores!B9="R$",Indicadores!B9=""),""," "&amp;Indicadores!B9)&amp;IF(Painel!C9="","",IF(AND(Painel!C9=0,Painel!B9&lt;&gt;0)," (sem base de comparação: "&amp;Config!$B$8&amp;" foi zero)",IF(Painel!D9="","",IF(Painel!D9&gt;=0," (+"," (")&amp;FIXED(Painel!D9*100,0)&amp;"% em relação a "&amp;Config!$B$8&amp;")")))&amp;IF(Painel!E9&lt;&gt;"","; meta "&amp;IF(Indicadores!B9="R$","R$ ","")&amp;FIXED(Painel!E9,IF(Indicadores!C9="",0,Indicadores!C9))&amp;IF(OR(Indicadores!B9="R$",Indicadores!B9=""),""," "&amp;Indicadores!B9)&amp;", "&amp;LOWER(Painel!G9),"")&amp;".")</f>
        <v>• Leads recebidos: 137 un (-4% em relação a Agosto); meta 120 un, no alvo.</v>
      </c>
    </row>
    <row r="11">
      <c r="A11" s="19" t="str">
        <f>IF(OR(Indicadores!A10="",Painel!B10=""),"","• "&amp;Indicadores!A10&amp;": "&amp;IF(Indicadores!B10="R$","R$ ","")&amp;FIXED(Painel!B10,IF(Indicadores!C10="",0,Indicadores!C10))&amp;IF(OR(Indicadores!B10="R$",Indicadores!B10=""),""," "&amp;Indicadores!B10)&amp;IF(Painel!C10="","",IF(AND(Painel!C10=0,Painel!B10&lt;&gt;0)," (sem base de comparação: "&amp;Config!$B$8&amp;" foi zero)",IF(Painel!D10="","",IF(Painel!D10&gt;=0," (+"," (")&amp;FIXED(Painel!D10*100,0)&amp;"% em relação a "&amp;Config!$B$8&amp;")")))&amp;IF(Painel!E10&lt;&gt;"","; meta "&amp;IF(Indicadores!B10="R$","R$ ","")&amp;FIXED(Painel!E10,IF(Indicadores!C10="",0,Indicadores!C10))&amp;IF(OR(Indicadores!B10="R$",Indicadores!B10=""),""," "&amp;Indicadores!B10)&amp;", "&amp;LOWER(Painel!G10),"")&amp;".")</f>
        <v>• Taxa de conversão de leads: 4,4 % (-10% em relação a Agosto); meta 5,0 %, abaixo da meta.</v>
      </c>
    </row>
    <row r="12">
      <c r="A12" s="19" t="str">
        <f>IF(OR(Indicadores!A11="",Painel!B11=""),"","• "&amp;Indicadores!A11&amp;": "&amp;IF(Indicadores!B11="R$","R$ ","")&amp;FIXED(Painel!B11,IF(Indicadores!C11="",0,Indicadores!C11))&amp;IF(OR(Indicadores!B11="R$",Indicadores!B11=""),""," "&amp;Indicadores!B11)&amp;IF(Painel!C11="","",IF(AND(Painel!C11=0,Painel!B11&lt;&gt;0)," (sem base de comparação: "&amp;Config!$B$8&amp;" foi zero)",IF(Painel!D11="","",IF(Painel!D11&gt;=0," (+"," (")&amp;FIXED(Painel!D11*100,0)&amp;"% em relação a "&amp;Config!$B$8&amp;")")))&amp;IF(Painel!E11&lt;&gt;"","; meta "&amp;IF(Indicadores!B11="R$","R$ ","")&amp;FIXED(Painel!E11,IF(Indicadores!C11="",0,Indicadores!C11))&amp;IF(OR(Indicadores!B11="R$",Indicadores!B11=""),""," "&amp;Indicadores!B11)&amp;", "&amp;LOWER(Painel!G11),"")&amp;".")</f>
        <v>• Ticket médio: R$ 9.700 (+3% em relação a Agosto); meta R$ 9.000, no alvo.</v>
      </c>
    </row>
    <row r="13">
      <c r="A13" s="19" t="str">
        <f>IF(OR(Indicadores!A12="",Painel!B12=""),"","• "&amp;Indicadores!A12&amp;": "&amp;IF(Indicadores!B12="R$","R$ ","")&amp;FIXED(Painel!B12,IF(Indicadores!C12="",0,Indicadores!C12))&amp;IF(OR(Indicadores!B12="R$",Indicadores!B12=""),""," "&amp;Indicadores!B12)&amp;IF(Painel!C12="","",IF(AND(Painel!C12=0,Painel!B12&lt;&gt;0)," (sem base de comparação: "&amp;Config!$B$8&amp;" foi zero)",IF(Painel!D12="","",IF(Painel!D12&gt;=0," (+"," (")&amp;FIXED(Painel!D12*100,0)&amp;"% em relação a "&amp;Config!$B$8&amp;")")))&amp;IF(Painel!E12&lt;&gt;"","; meta "&amp;IF(Indicadores!B12="R$","R$ ","")&amp;FIXED(Painel!E12,IF(Indicadores!C12="",0,Indicadores!C12))&amp;IF(OR(Indicadores!B12="R$",Indicadores!B12=""),""," "&amp;Indicadores!B12)&amp;", "&amp;LOWER(Painel!G12),"")&amp;".")</f>
        <v>• Inadimplência: 2,4 % (-8% em relação a Agosto); meta 3,0 %, no alvo.</v>
      </c>
    </row>
    <row r="14">
      <c r="A14" s="19" t="str">
        <f>IF(OR(Indicadores!A13="",Painel!B13=""),"","• "&amp;Indicadores!A13&amp;": "&amp;IF(Indicadores!B13="R$","R$ ","")&amp;FIXED(Painel!B13,IF(Indicadores!C13="",0,Indicadores!C13))&amp;IF(OR(Indicadores!B13="R$",Indicadores!B13=""),""," "&amp;Indicadores!B13)&amp;IF(Painel!C13="","",IF(AND(Painel!C13=0,Painel!B13&lt;&gt;0)," (sem base de comparação: "&amp;Config!$B$8&amp;" foi zero)",IF(Painel!D13="","",IF(Painel!D13&gt;=0," (+"," (")&amp;FIXED(Painel!D13*100,0)&amp;"% em relação a "&amp;Config!$B$8&amp;")")))&amp;IF(Painel!E13&lt;&gt;"","; meta "&amp;IF(Indicadores!B13="R$","R$ ","")&amp;FIXED(Painel!E13,IF(Indicadores!C13="",0,Indicadores!C13))&amp;IF(OR(Indicadores!B13="R$",Indicadores!B13=""),""," "&amp;Indicadores!B13)&amp;", "&amp;LOWER(Painel!G13),"")&amp;".")</f>
        <v>• Atendimentos realizados: 63 un (-5% em relação a Agosto); meta 60 un, no alvo.</v>
      </c>
    </row>
    <row r="15">
      <c r="A15" s="19" t="str">
        <f>IF(OR(Indicadores!A14="",Painel!B14=""),"","• "&amp;Indicadores!A14&amp;": "&amp;IF(Indicadores!B14="R$","R$ ","")&amp;FIXED(Painel!B14,IF(Indicadores!C14="",0,Indicadores!C14))&amp;IF(OR(Indicadores!B14="R$",Indicadores!B14=""),""," "&amp;Indicadores!B14)&amp;IF(Painel!C14="","",IF(AND(Painel!C14=0,Painel!B14&lt;&gt;0)," (sem base de comparação: "&amp;Config!$B$8&amp;" foi zero)",IF(Painel!D14="","",IF(Painel!D14&gt;=0," (+"," (")&amp;FIXED(Painel!D14*100,0)&amp;"% em relação a "&amp;Config!$B$8&amp;")")))&amp;IF(Painel!E14&lt;&gt;"","; meta "&amp;IF(Indicadores!B14="R$","R$ ","")&amp;FIXED(Painel!E14,IF(Indicadores!C14="",0,Indicadores!C14))&amp;IF(OR(Indicadores!B14="R$",Indicadores!B14=""),""," "&amp;Indicadores!B14)&amp;", "&amp;LOWER(Painel!G14),"")&amp;".")</f>
        <v>• NPS: 72 pts (-1% em relação a Agosto); meta 70 pts, no alvo.</v>
      </c>
    </row>
    <row r="16">
      <c r="A16" s="19" t="str">
        <f>IF(OR(Indicadores!A15="",Painel!B15=""),"","• "&amp;Indicadores!A15&amp;": "&amp;IF(Indicadores!B15="R$","R$ ","")&amp;FIXED(Painel!B15,IF(Indicadores!C15="",0,Indicadores!C15))&amp;IF(OR(Indicadores!B15="R$",Indicadores!B15=""),""," "&amp;Indicadores!B15)&amp;IF(Painel!C15="","",IF(AND(Painel!C15=0,Painel!B15&lt;&gt;0)," (sem base de comparação: "&amp;Config!$B$8&amp;" foi zero)",IF(Painel!D15="","",IF(Painel!D15&gt;=0," (+"," (")&amp;FIXED(Painel!D15*100,0)&amp;"% em relação a "&amp;Config!$B$8&amp;")")))&amp;IF(Painel!E15&lt;&gt;"","; meta "&amp;IF(Indicadores!B15="R$","R$ ","")&amp;FIXED(Painel!E15,IF(Indicadores!C15="",0,Indicadores!C15))&amp;IF(OR(Indicadores!B15="R$",Indicadores!B15=""),""," "&amp;Indicadores!B15)&amp;", "&amp;LOWER(Painel!G15),"")&amp;".")</f>
        <v>• Horas extras da equipe: 12 h (-14% em relação a Agosto); meta 20 h, no alvo.</v>
      </c>
    </row>
    <row r="17">
      <c r="A17" s="19" t="str">
        <f>IF(OR(Indicadores!A16="",Painel!B16=""),"","• "&amp;Indicadores!A16&amp;": "&amp;IF(Indicadores!B16="R$","R$ ","")&amp;FIXED(Painel!B16,IF(Indicadores!C16="",0,Indicadores!C16))&amp;IF(OR(Indicadores!B16="R$",Indicadores!B16=""),""," "&amp;Indicadores!B16)&amp;IF(Painel!C16="","",IF(AND(Painel!C16=0,Painel!B16&lt;&gt;0)," (sem base de comparação: "&amp;Config!$B$8&amp;" foi zero)",IF(Painel!D16="","",IF(Painel!D16&gt;=0," (+"," (")&amp;FIXED(Painel!D16*100,0)&amp;"% em relação a "&amp;Config!$B$8&amp;")")))&amp;IF(Painel!E16&lt;&gt;"","; meta "&amp;IF(Indicadores!B16="R$","R$ ","")&amp;FIXED(Painel!E16,IF(Indicadores!C16="",0,Indicadores!C16))&amp;IF(OR(Indicadores!B16="R$",Indicadores!B16=""),""," "&amp;Indicadores!B16)&amp;", "&amp;LOWER(Painel!G16),"")&amp;".")</f>
        <v>• Custo por lead: R$ 40,70 (+3% em relação a Agosto); meta R$ 45,00, no alvo.</v>
      </c>
    </row>
    <row r="19">
      <c r="A19" s="13" t="inlineStr">
        <is>
          <t>Destaques automáticos</t>
        </is>
      </c>
    </row>
    <row r="20">
      <c r="A20" s="19" t="str">
        <f>IFERROR("• Maior alta contra o mês anterior: "&amp;INDEX(Painel!$A$5:$A$16,MATCH(MAX(Painel!$D$5:$D$16),Painel!$D$5:$D$16,0))&amp;" ("&amp;IF(MAX(Painel!$D$5:$D$16)&gt;=0,"+","")&amp;FIXED(MAX(Painel!$D$5:$D$16)*100,0)&amp;"%).","• Maior alta: preencha ao menos dois meses.")</f>
        <v>• Maior alta contra o mês anterior: Resultado (receita - despesas) (+11%).</v>
      </c>
    </row>
    <row r="21">
      <c r="A21" s="19" t="str">
        <f>IFERROR("• Maior queda contra o mês anterior: "&amp;INDEX(Painel!$A$5:$A$16,MATCH(MIN(Painel!$D$5:$D$16),Painel!$D$5:$D$16,0))&amp;" ("&amp;FIXED(MIN(Painel!$D$5:$D$16)*100,0)&amp;"%).","")</f>
        <v>• Maior queda contra o mês anterior: Novos clientes (-14%).</v>
      </c>
    </row>
    <row r="22">
      <c r="A22" s="19" t="str">
        <f>IF((COUNTIF(Painel!$G$5:$G$16,"Acima da meta")+COUNTIF(Painel!$G$5:$G$16,"Abaixo da meta"))=0,"• Nenhum indicador fora da meta.",IF(COUNT(Painel!$O$5:$O$16)=0,"• "&amp;(COUNTIF(Painel!$G$5:$G$16,"Acima da meta")+COUNTIF(Painel!$G$5:$G$16,"Abaixo da meta"))&amp;" indicador(es) fora da meta (sem percentual: a meta é zero).",IFERROR("• Mais longe da meta: "&amp;INDEX(Painel!$A$5:$A$16,MATCH(MAX(Painel!$O$5:$O$16),Painel!$O$5:$O$16,0))&amp;" ("&amp;IF(INDEX(Painel!$F$5:$F$16,MATCH(MAX(Painel!$O$5:$O$16),Painel!$O$5:$O$16,0))&gt;=0,"+","")&amp;FIXED(INDEX(Painel!$F$5:$F$16,MATCH(MAX(Painel!$O$5:$O$16),Painel!$O$5:$O$16,0))*100,0)&amp;"% da meta, "&amp;LOWER(INDEX(Painel!$G$5:$G$16,MATCH(MAX(Painel!$O$5:$O$16),Painel!$O$5:$O$16,0)))&amp;").","")))</f>
        <v>• Mais longe da meta: Taxa de conversão de leads (-12% da meta, abaixo da meta).</v>
      </c>
    </row>
    <row r="23">
      <c r="A23" s="19" t="str">
        <f>IFERROR("• Indicadores no alvo: "&amp;COUNTIF(Painel!$G$5:$G$16,"No alvo")&amp;" de "&amp;COUNTIF(Painel!$G$5:$G$16,"&lt;&gt;")&amp;".","")</f>
        <v>• Indicadores no alvo: 10 de 12.</v>
      </c>
    </row>
    <row r="25">
      <c r="A25" s="13" t="inlineStr">
        <is>
          <t>Bloco único para copiar</t>
        </is>
      </c>
    </row>
    <row r="26" ht="300" customHeight="1">
      <c r="A26" s="20" t="str">
        <f>A4&amp;CHAR(10)&amp;IF(A6="","",A6&amp;CHAR(10)) &amp; IF(A7="","",A7&amp;CHAR(10)) &amp; IF(A8="","",A8&amp;CHAR(10)) &amp; IF(A9="","",A9&amp;CHAR(10)) &amp; IF(A10="","",A10&amp;CHAR(10)) &amp; IF(A11="","",A11&amp;CHAR(10)) &amp; IF(A12="","",A12&amp;CHAR(10)) &amp; IF(A13="","",A13&amp;CHAR(10)) &amp; IF(A14="","",A14&amp;CHAR(10)) &amp; IF(A15="","",A15&amp;CHAR(10)) &amp; IF(A16="","",A16&amp;CHAR(10)) &amp; IF(A17="","",A17&amp;CHAR(10))&amp;CHAR(10)&amp;A20&amp;CHAR(10)&amp;A21&amp;CHAR(10)&amp;A22&amp;CHAR(10)&amp;A23</f>
        <v>Relatório de Setembro de 2026 · Prisma Comunicação (exemplo fictício)
• Receita: R$ 131.200 (+5% em relação a Agosto); meta R$ 120.000, no alvo.
• Despesas: R$ 89.800 (+3% em relação a Agosto); meta R$ 85.000, acima da meta.
• Resultado (receita - despesas): R$ 41.400 (+11% em relação a Agosto); meta R$ 35.000, no alvo.
• Novos clientes: 6 un (-14% em relação a Agosto); meta 6 un, no alvo.
• Leads recebidos: 137 un (-4% em relação a Agosto); meta 120 un, no alvo.
• Taxa de conversão de leads: 4,4 % (-10% em relação a Agosto); meta 5,0 %, abaixo da meta.
• Ticket médio: R$ 9.700 (+3% em relação a Agosto); meta R$ 9.000, no alvo.
• Inadimplência: 2,4 % (-8% em relação a Agosto); meta 3,0 %, no alvo.
• Atendimentos realizados: 63 un (-5% em relação a Agosto); meta 60 un, no alvo.
• NPS: 72 pts (-1% em relação a Agosto); meta 70 pts, no alvo.
• Horas extras da equipe: 12 h (-14% em relação a Agosto); meta 20 h, no alvo.
• Custo por lead: R$ 40,70 (+3% em relação a Agosto); meta R$ 45,00, no alvo.
• Maior alta contra o mês anterior: Resultado (receita - despesas) (+11%).
• Maior queda contra o mês anterior: Novos clientes (-14%).
• Mais longe da meta: Taxa de conversão de leads (-12% da meta, abaixo da meta).
• Indicadores no alvo: 10 de 12.</v>
      </c>
    </row>
    <row r="28">
      <c r="A28" s="17" t="inlineStr">
        <is>
          <t>Os textos são gerados por fórmula. Revise antes de enviar; a IA precisa dos seus comentários sobre o porquê dos números.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0">
    <mergeCell ref="A17:D17"/>
    <mergeCell ref="A23:D23"/>
    <mergeCell ref="A8:D8"/>
    <mergeCell ref="A22:D22"/>
    <mergeCell ref="A4:D4"/>
    <mergeCell ref="A20:D20"/>
    <mergeCell ref="A10:D10"/>
    <mergeCell ref="A28:D28"/>
    <mergeCell ref="A13:D13"/>
    <mergeCell ref="A9:D9"/>
    <mergeCell ref="A15:D15"/>
    <mergeCell ref="A11:D11"/>
    <mergeCell ref="A6:D6"/>
    <mergeCell ref="A7:D7"/>
    <mergeCell ref="A16:D16"/>
    <mergeCell ref="A12:D12"/>
    <mergeCell ref="A26:D26"/>
    <mergeCell ref="A21:D21"/>
    <mergeCell ref="A2:D2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14" customWidth="1" min="4" max="4"/>
  </cols>
  <sheetData>
    <row r="1">
      <c r="A1" s="5" t="inlineStr">
        <is>
          <t>Configurações</t>
        </is>
      </c>
    </row>
    <row r="2">
      <c r="A2" s="6" t="inlineStr">
        <is>
          <t>Células amarelas: você preenche.</t>
        </is>
      </c>
    </row>
    <row r="4">
      <c r="A4" s="13" t="inlineStr">
        <is>
          <t>Nome da empresa ou área</t>
        </is>
      </c>
      <c r="B4" s="14" t="inlineStr">
        <is>
          <t>Prisma Comunicação (exemplo fictício)</t>
        </is>
      </c>
      <c r="D4" s="13" t="inlineStr">
        <is>
          <t>Meses</t>
        </is>
      </c>
    </row>
    <row r="5">
      <c r="A5" s="13" t="inlineStr">
        <is>
          <t>Ano</t>
        </is>
      </c>
      <c r="B5" s="14" t="n">
        <v>2026</v>
      </c>
      <c r="D5" s="21" t="inlineStr">
        <is>
          <t>Janeiro</t>
        </is>
      </c>
    </row>
    <row r="6">
      <c r="A6" s="13" t="inlineStr">
        <is>
          <t>Mês do relatório</t>
        </is>
      </c>
      <c r="B6" s="14" t="inlineStr">
        <is>
          <t>Setembro</t>
        </is>
      </c>
      <c r="D6" s="21" t="inlineStr">
        <is>
          <t>Fevereiro</t>
        </is>
      </c>
    </row>
    <row r="7">
      <c r="A7" s="13" t="inlineStr">
        <is>
          <t>Número do mês</t>
        </is>
      </c>
      <c r="B7" s="8">
        <f>MATCH(B6,Config!$D$5:$D$16,0)</f>
        <v>9</v>
      </c>
      <c r="D7" s="21" t="inlineStr">
        <is>
          <t>Março</t>
        </is>
      </c>
    </row>
    <row r="8">
      <c r="A8" s="13" t="inlineStr">
        <is>
          <t>Mês anterior</t>
        </is>
      </c>
      <c r="B8" s="8" t="str">
        <f>IF(B7&gt;1,INDEX($D$5:$D$16,B7-1),"")</f>
        <v>Agosto</v>
      </c>
      <c r="D8" s="21" t="inlineStr">
        <is>
          <t>Abril</t>
        </is>
      </c>
    </row>
    <row r="9">
      <c r="D9" s="21" t="inlineStr">
        <is>
          <t>Maio</t>
        </is>
      </c>
    </row>
    <row r="10">
      <c r="A10" s="2" t="inlineStr">
        <is>
          <t>Use a mesma planilha o ano inteiro: só troque o mês do relatório.</t>
        </is>
      </c>
      <c r="D10" s="21" t="inlineStr">
        <is>
          <t>Junho</t>
        </is>
      </c>
    </row>
    <row r="11">
      <c r="D11" s="21" t="inlineStr">
        <is>
          <t>Julho</t>
        </is>
      </c>
    </row>
    <row r="12">
      <c r="D12" s="21" t="inlineStr">
        <is>
          <t>Agosto</t>
        </is>
      </c>
    </row>
    <row r="13">
      <c r="D13" s="21" t="inlineStr">
        <is>
          <t>Setembro</t>
        </is>
      </c>
    </row>
    <row r="14">
      <c r="D14" s="21" t="inlineStr">
        <is>
          <t>Outubro</t>
        </is>
      </c>
    </row>
    <row r="15">
      <c r="D15" s="21" t="inlineStr">
        <is>
          <t>Novembro</t>
        </is>
      </c>
    </row>
    <row r="16">
      <c r="D16" s="21" t="inlineStr">
        <is>
          <t>Dezembro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dataValidations count="1">
    <dataValidation sqref="B6" showDropDown="0" showInputMessage="0" showErrorMessage="1" allowBlank="0" type="list">
      <formula1>=Config!$D$5:$D$16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8" customWidth="1" min="2" max="2"/>
    <col width="9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6" customWidth="1" min="18" max="18"/>
    <col width="10" customWidth="1" min="19" max="19"/>
  </cols>
  <sheetData>
    <row r="1">
      <c r="A1" s="5" t="inlineStr">
        <is>
          <t>Indicadores do ano</t>
        </is>
      </c>
    </row>
    <row r="2">
      <c r="A2" s="6" t="inlineStr">
        <is>
          <t>Preencha o nome, a unidade, a meta mensal, se maior é melhor, e o valor de cada mês. Deixe em branco o que ainda não aconteceu.</t>
        </is>
      </c>
    </row>
    <row r="4" ht="30" customHeight="1">
      <c r="A4" s="7" t="inlineStr">
        <is>
          <t>Indicador</t>
        </is>
      </c>
      <c r="B4" s="7" t="inlineStr">
        <is>
          <t>Unidade</t>
        </is>
      </c>
      <c r="C4" s="7" t="inlineStr">
        <is>
          <t>Casas decimais</t>
        </is>
      </c>
      <c r="D4" s="7" t="inlineStr">
        <is>
          <t>Meta mensal</t>
        </is>
      </c>
      <c r="E4" s="7" t="inlineStr">
        <is>
          <t>Maior é melhor?</t>
        </is>
      </c>
      <c r="F4" s="7" t="inlineStr">
        <is>
          <t>Jan</t>
        </is>
      </c>
      <c r="G4" s="7" t="inlineStr">
        <is>
          <t>Fev</t>
        </is>
      </c>
      <c r="H4" s="7" t="inlineStr">
        <is>
          <t>Mar</t>
        </is>
      </c>
      <c r="I4" s="7" t="inlineStr">
        <is>
          <t>Abr</t>
        </is>
      </c>
      <c r="J4" s="7" t="inlineStr">
        <is>
          <t>Mai</t>
        </is>
      </c>
      <c r="K4" s="7" t="inlineStr">
        <is>
          <t>Jun</t>
        </is>
      </c>
      <c r="L4" s="7" t="inlineStr">
        <is>
          <t>Jul</t>
        </is>
      </c>
      <c r="M4" s="7" t="inlineStr">
        <is>
          <t>Ago</t>
        </is>
      </c>
      <c r="N4" s="7" t="inlineStr">
        <is>
          <t>Set</t>
        </is>
      </c>
      <c r="O4" s="7" t="inlineStr">
        <is>
          <t>Out</t>
        </is>
      </c>
      <c r="P4" s="7" t="inlineStr">
        <is>
          <t>Nov</t>
        </is>
      </c>
      <c r="Q4" s="7" t="inlineStr">
        <is>
          <t>Dez</t>
        </is>
      </c>
      <c r="R4" s="7" t="inlineStr">
        <is>
          <t>Acumulado</t>
        </is>
      </c>
      <c r="S4" s="7" t="inlineStr">
        <is>
          <t>Média</t>
        </is>
      </c>
      <c r="T4" s="7" t="inlineStr">
        <is>
          <t>Como acumular</t>
        </is>
      </c>
    </row>
    <row r="5">
      <c r="A5" s="22" t="inlineStr">
        <is>
          <t>Receita</t>
        </is>
      </c>
      <c r="B5" s="14" t="inlineStr">
        <is>
          <t>R$</t>
        </is>
      </c>
      <c r="C5" s="14" t="n">
        <v>0</v>
      </c>
      <c r="D5" s="14" t="n">
        <v>120000</v>
      </c>
      <c r="E5" s="14" t="inlineStr">
        <is>
          <t>Sim</t>
        </is>
      </c>
      <c r="F5" s="23" t="n">
        <v>98500</v>
      </c>
      <c r="G5" s="23" t="n">
        <v>101200</v>
      </c>
      <c r="H5" s="23" t="n">
        <v>112400</v>
      </c>
      <c r="I5" s="23" t="n">
        <v>109800</v>
      </c>
      <c r="J5" s="23" t="n">
        <v>118300</v>
      </c>
      <c r="K5" s="23" t="n">
        <v>121900</v>
      </c>
      <c r="L5" s="23" t="n">
        <v>115700</v>
      </c>
      <c r="M5" s="23" t="n">
        <v>124600</v>
      </c>
      <c r="N5" s="23" t="n">
        <v>131200</v>
      </c>
      <c r="O5" s="23" t="n"/>
      <c r="P5" s="23" t="n"/>
      <c r="Q5" s="23" t="n"/>
      <c r="R5" s="9">
        <f>IF(COUNT(F5:Q5)=0,"",IF(T5="Média",AVERAGE(F5:Q5),SUM(F5:Q5)))</f>
        <v>1033600</v>
      </c>
      <c r="S5" s="9">
        <f>IF(COUNT(F5:Q5)=0,"",AVERAGE(F5:Q5))</f>
        <v>114844.444444444</v>
      </c>
      <c r="T5" s="14" t="inlineStr">
        <is>
          <t>Soma</t>
        </is>
      </c>
    </row>
    <row r="6">
      <c r="A6" s="22" t="inlineStr">
        <is>
          <t>Despesas</t>
        </is>
      </c>
      <c r="B6" s="14" t="inlineStr">
        <is>
          <t>R$</t>
        </is>
      </c>
      <c r="C6" s="14" t="n">
        <v>0</v>
      </c>
      <c r="D6" s="14" t="n">
        <v>85000</v>
      </c>
      <c r="E6" s="14" t="inlineStr">
        <is>
          <t>Não</t>
        </is>
      </c>
      <c r="F6" s="23" t="n">
        <v>80200</v>
      </c>
      <c r="G6" s="23" t="n">
        <v>81900</v>
      </c>
      <c r="H6" s="23" t="n">
        <v>84100</v>
      </c>
      <c r="I6" s="23" t="n">
        <v>86500</v>
      </c>
      <c r="J6" s="23" t="n">
        <v>83700</v>
      </c>
      <c r="K6" s="23" t="n">
        <v>88200</v>
      </c>
      <c r="L6" s="23" t="n">
        <v>84900</v>
      </c>
      <c r="M6" s="23" t="n">
        <v>87300</v>
      </c>
      <c r="N6" s="23" t="n">
        <v>89800</v>
      </c>
      <c r="O6" s="23" t="n"/>
      <c r="P6" s="23" t="n"/>
      <c r="Q6" s="23" t="n"/>
      <c r="R6" s="9">
        <f>IF(COUNT(F6:Q6)=0,"",IF(T6="Média",AVERAGE(F6:Q6),SUM(F6:Q6)))</f>
        <v>766600</v>
      </c>
      <c r="S6" s="9">
        <f>IF(COUNT(F6:Q6)=0,"",AVERAGE(F6:Q6))</f>
        <v>85177.7777777778</v>
      </c>
      <c r="T6" s="14" t="inlineStr">
        <is>
          <t>Soma</t>
        </is>
      </c>
    </row>
    <row r="7">
      <c r="A7" s="22" t="inlineStr">
        <is>
          <t>Resultado (receita - despesas)</t>
        </is>
      </c>
      <c r="B7" s="14" t="inlineStr">
        <is>
          <t>R$</t>
        </is>
      </c>
      <c r="C7" s="14" t="n">
        <v>0</v>
      </c>
      <c r="D7" s="14" t="n">
        <v>35000</v>
      </c>
      <c r="E7" s="14" t="inlineStr">
        <is>
          <t>Sim</t>
        </is>
      </c>
      <c r="F7" s="23" t="n">
        <v>18300</v>
      </c>
      <c r="G7" s="23" t="n">
        <v>19300</v>
      </c>
      <c r="H7" s="23" t="n">
        <v>28300</v>
      </c>
      <c r="I7" s="23" t="n">
        <v>23300</v>
      </c>
      <c r="J7" s="23" t="n">
        <v>34600</v>
      </c>
      <c r="K7" s="23" t="n">
        <v>33700</v>
      </c>
      <c r="L7" s="23" t="n">
        <v>30800</v>
      </c>
      <c r="M7" s="23" t="n">
        <v>37300</v>
      </c>
      <c r="N7" s="23" t="n">
        <v>41400</v>
      </c>
      <c r="O7" s="23" t="n"/>
      <c r="P7" s="23" t="n"/>
      <c r="Q7" s="23" t="n"/>
      <c r="R7" s="9">
        <f>IF(COUNT(F7:Q7)=0,"",IF(T7="Média",AVERAGE(F7:Q7),SUM(F7:Q7)))</f>
        <v>267000</v>
      </c>
      <c r="S7" s="9">
        <f>IF(COUNT(F7:Q7)=0,"",AVERAGE(F7:Q7))</f>
        <v>29666.6666666667</v>
      </c>
      <c r="T7" s="14" t="inlineStr">
        <is>
          <t>Soma</t>
        </is>
      </c>
    </row>
    <row r="8">
      <c r="A8" s="22" t="inlineStr">
        <is>
          <t>Novos clientes</t>
        </is>
      </c>
      <c r="B8" s="14" t="inlineStr">
        <is>
          <t>un</t>
        </is>
      </c>
      <c r="C8" s="14" t="n">
        <v>0</v>
      </c>
      <c r="D8" s="14" t="n">
        <v>6</v>
      </c>
      <c r="E8" s="14" t="inlineStr">
        <is>
          <t>Sim</t>
        </is>
      </c>
      <c r="F8" s="23" t="n">
        <v>3</v>
      </c>
      <c r="G8" s="23" t="n">
        <v>4</v>
      </c>
      <c r="H8" s="23" t="n">
        <v>5</v>
      </c>
      <c r="I8" s="23" t="n">
        <v>4</v>
      </c>
      <c r="J8" s="23" t="n">
        <v>6</v>
      </c>
      <c r="K8" s="23" t="n">
        <v>5</v>
      </c>
      <c r="L8" s="23" t="n">
        <v>4</v>
      </c>
      <c r="M8" s="23" t="n">
        <v>7</v>
      </c>
      <c r="N8" s="23" t="n">
        <v>6</v>
      </c>
      <c r="O8" s="23" t="n"/>
      <c r="P8" s="23" t="n"/>
      <c r="Q8" s="23" t="n"/>
      <c r="R8" s="9">
        <f>IF(COUNT(F8:Q8)=0,"",IF(T8="Média",AVERAGE(F8:Q8),SUM(F8:Q8)))</f>
        <v>44</v>
      </c>
      <c r="S8" s="9">
        <f>IF(COUNT(F8:Q8)=0,"",AVERAGE(F8:Q8))</f>
        <v>4.88888888888889</v>
      </c>
      <c r="T8" s="14" t="inlineStr">
        <is>
          <t>Soma</t>
        </is>
      </c>
    </row>
    <row r="9">
      <c r="A9" s="22" t="inlineStr">
        <is>
          <t>Leads recebidos</t>
        </is>
      </c>
      <c r="B9" s="14" t="inlineStr">
        <is>
          <t>un</t>
        </is>
      </c>
      <c r="C9" s="14" t="n">
        <v>0</v>
      </c>
      <c r="D9" s="14" t="n">
        <v>120</v>
      </c>
      <c r="E9" s="14" t="inlineStr">
        <is>
          <t>Sim</t>
        </is>
      </c>
      <c r="F9" s="23" t="n">
        <v>88</v>
      </c>
      <c r="G9" s="23" t="n">
        <v>95</v>
      </c>
      <c r="H9" s="23" t="n">
        <v>110</v>
      </c>
      <c r="I9" s="23" t="n">
        <v>102</v>
      </c>
      <c r="J9" s="23" t="n">
        <v>131</v>
      </c>
      <c r="K9" s="23" t="n">
        <v>118</v>
      </c>
      <c r="L9" s="23" t="n">
        <v>109</v>
      </c>
      <c r="M9" s="23" t="n">
        <v>142</v>
      </c>
      <c r="N9" s="23" t="n">
        <v>137</v>
      </c>
      <c r="O9" s="23" t="n"/>
      <c r="P9" s="23" t="n"/>
      <c r="Q9" s="23" t="n"/>
      <c r="R9" s="9">
        <f>IF(COUNT(F9:Q9)=0,"",IF(T9="Média",AVERAGE(F9:Q9),SUM(F9:Q9)))</f>
        <v>1032</v>
      </c>
      <c r="S9" s="9">
        <f>IF(COUNT(F9:Q9)=0,"",AVERAGE(F9:Q9))</f>
        <v>114.666666666667</v>
      </c>
      <c r="T9" s="14" t="inlineStr">
        <is>
          <t>Soma</t>
        </is>
      </c>
    </row>
    <row r="10">
      <c r="A10" s="22" t="inlineStr">
        <is>
          <t>Taxa de conversão de leads</t>
        </is>
      </c>
      <c r="B10" s="14" t="inlineStr">
        <is>
          <t>%</t>
        </is>
      </c>
      <c r="C10" s="14" t="n">
        <v>1</v>
      </c>
      <c r="D10" s="14" t="n">
        <v>5</v>
      </c>
      <c r="E10" s="14" t="inlineStr">
        <is>
          <t>Sim</t>
        </is>
      </c>
      <c r="F10" s="23" t="n">
        <v>3.4</v>
      </c>
      <c r="G10" s="23" t="n">
        <v>4.2</v>
      </c>
      <c r="H10" s="23" t="n">
        <v>4.5</v>
      </c>
      <c r="I10" s="23" t="n">
        <v>3.9</v>
      </c>
      <c r="J10" s="23" t="n">
        <v>4.6</v>
      </c>
      <c r="K10" s="23" t="n">
        <v>4.2</v>
      </c>
      <c r="L10" s="23" t="n">
        <v>3.7</v>
      </c>
      <c r="M10" s="23" t="n">
        <v>4.9</v>
      </c>
      <c r="N10" s="23" t="n">
        <v>4.4</v>
      </c>
      <c r="O10" s="23" t="n"/>
      <c r="P10" s="23" t="n"/>
      <c r="Q10" s="23" t="n"/>
      <c r="R10" s="9">
        <f>IF(COUNT(F10:Q10)=0,"",IF(T10="Média",AVERAGE(F10:Q10),SUM(F10:Q10)))</f>
        <v>4.2</v>
      </c>
      <c r="S10" s="9">
        <f>IF(COUNT(F10:Q10)=0,"",AVERAGE(F10:Q10))</f>
        <v>4.2</v>
      </c>
      <c r="T10" s="14" t="inlineStr">
        <is>
          <t>Média</t>
        </is>
      </c>
    </row>
    <row r="11">
      <c r="A11" s="22" t="inlineStr">
        <is>
          <t>Ticket médio</t>
        </is>
      </c>
      <c r="B11" s="14" t="inlineStr">
        <is>
          <t>R$</t>
        </is>
      </c>
      <c r="C11" s="14" t="n">
        <v>0</v>
      </c>
      <c r="D11" s="14" t="n">
        <v>9000</v>
      </c>
      <c r="E11" s="14" t="inlineStr">
        <is>
          <t>Sim</t>
        </is>
      </c>
      <c r="F11" s="23" t="n">
        <v>8200</v>
      </c>
      <c r="G11" s="23" t="n">
        <v>8400</v>
      </c>
      <c r="H11" s="23" t="n">
        <v>8900</v>
      </c>
      <c r="I11" s="23" t="n">
        <v>8700</v>
      </c>
      <c r="J11" s="23" t="n">
        <v>9100</v>
      </c>
      <c r="K11" s="23" t="n">
        <v>9300</v>
      </c>
      <c r="L11" s="23" t="n">
        <v>9000</v>
      </c>
      <c r="M11" s="23" t="n">
        <v>9400</v>
      </c>
      <c r="N11" s="23" t="n">
        <v>9700</v>
      </c>
      <c r="O11" s="23" t="n"/>
      <c r="P11" s="23" t="n"/>
      <c r="Q11" s="23" t="n"/>
      <c r="R11" s="9">
        <f>IF(COUNT(F11:Q11)=0,"",IF(T11="Média",AVERAGE(F11:Q11),SUM(F11:Q11)))</f>
        <v>8966.66666666667</v>
      </c>
      <c r="S11" s="9">
        <f>IF(COUNT(F11:Q11)=0,"",AVERAGE(F11:Q11))</f>
        <v>8966.66666666667</v>
      </c>
      <c r="T11" s="14" t="inlineStr">
        <is>
          <t>Média</t>
        </is>
      </c>
    </row>
    <row r="12">
      <c r="A12" s="22" t="inlineStr">
        <is>
          <t>Inadimplência</t>
        </is>
      </c>
      <c r="B12" s="14" t="inlineStr">
        <is>
          <t>%</t>
        </is>
      </c>
      <c r="C12" s="14" t="n">
        <v>1</v>
      </c>
      <c r="D12" s="14" t="n">
        <v>3</v>
      </c>
      <c r="E12" s="14" t="inlineStr">
        <is>
          <t>Não</t>
        </is>
      </c>
      <c r="F12" s="23" t="n">
        <v>4.1</v>
      </c>
      <c r="G12" s="23" t="n">
        <v>3.8</v>
      </c>
      <c r="H12" s="23" t="n">
        <v>3.2</v>
      </c>
      <c r="I12" s="23" t="n">
        <v>3.5</v>
      </c>
      <c r="J12" s="23" t="n">
        <v>2.9</v>
      </c>
      <c r="K12" s="23" t="n">
        <v>3.1</v>
      </c>
      <c r="L12" s="23" t="n">
        <v>3.4</v>
      </c>
      <c r="M12" s="23" t="n">
        <v>2.6</v>
      </c>
      <c r="N12" s="23" t="n">
        <v>2.4</v>
      </c>
      <c r="O12" s="23" t="n"/>
      <c r="P12" s="23" t="n"/>
      <c r="Q12" s="23" t="n"/>
      <c r="R12" s="9">
        <f>IF(COUNT(F12:Q12)=0,"",IF(T12="Média",AVERAGE(F12:Q12),SUM(F12:Q12)))</f>
        <v>3.22222222222222</v>
      </c>
      <c r="S12" s="9">
        <f>IF(COUNT(F12:Q12)=0,"",AVERAGE(F12:Q12))</f>
        <v>3.22222222222222</v>
      </c>
      <c r="T12" s="14" t="inlineStr">
        <is>
          <t>Média</t>
        </is>
      </c>
    </row>
    <row r="13">
      <c r="A13" s="22" t="inlineStr">
        <is>
          <t>Atendimentos realizados</t>
        </is>
      </c>
      <c r="B13" s="14" t="inlineStr">
        <is>
          <t>un</t>
        </is>
      </c>
      <c r="C13" s="14" t="n">
        <v>0</v>
      </c>
      <c r="D13" s="14" t="n">
        <v>60</v>
      </c>
      <c r="E13" s="14" t="inlineStr">
        <is>
          <t>Sim</t>
        </is>
      </c>
      <c r="F13" s="23" t="n">
        <v>52</v>
      </c>
      <c r="G13" s="23" t="n">
        <v>55</v>
      </c>
      <c r="H13" s="23" t="n">
        <v>61</v>
      </c>
      <c r="I13" s="23" t="n">
        <v>58</v>
      </c>
      <c r="J13" s="23" t="n">
        <v>64</v>
      </c>
      <c r="K13" s="23" t="n">
        <v>60</v>
      </c>
      <c r="L13" s="23" t="n">
        <v>57</v>
      </c>
      <c r="M13" s="23" t="n">
        <v>66</v>
      </c>
      <c r="N13" s="23" t="n">
        <v>63</v>
      </c>
      <c r="O13" s="23" t="n"/>
      <c r="P13" s="23" t="n"/>
      <c r="Q13" s="23" t="n"/>
      <c r="R13" s="9">
        <f>IF(COUNT(F13:Q13)=0,"",IF(T13="Média",AVERAGE(F13:Q13),SUM(F13:Q13)))</f>
        <v>536</v>
      </c>
      <c r="S13" s="9">
        <f>IF(COUNT(F13:Q13)=0,"",AVERAGE(F13:Q13))</f>
        <v>59.5555555555556</v>
      </c>
      <c r="T13" s="14" t="inlineStr">
        <is>
          <t>Soma</t>
        </is>
      </c>
    </row>
    <row r="14">
      <c r="A14" s="22" t="inlineStr">
        <is>
          <t>NPS</t>
        </is>
      </c>
      <c r="B14" s="14" t="inlineStr">
        <is>
          <t>pts</t>
        </is>
      </c>
      <c r="C14" s="14" t="n">
        <v>0</v>
      </c>
      <c r="D14" s="14" t="n">
        <v>70</v>
      </c>
      <c r="E14" s="14" t="inlineStr">
        <is>
          <t>Sim</t>
        </is>
      </c>
      <c r="F14" s="23" t="n">
        <v>64</v>
      </c>
      <c r="G14" s="23" t="n">
        <v>66</v>
      </c>
      <c r="H14" s="23" t="n">
        <v>69</v>
      </c>
      <c r="I14" s="23" t="n">
        <v>67</v>
      </c>
      <c r="J14" s="23" t="n">
        <v>71</v>
      </c>
      <c r="K14" s="23" t="n">
        <v>70</v>
      </c>
      <c r="L14" s="23" t="n">
        <v>68</v>
      </c>
      <c r="M14" s="23" t="n">
        <v>73</v>
      </c>
      <c r="N14" s="23" t="n">
        <v>72</v>
      </c>
      <c r="O14" s="23" t="n"/>
      <c r="P14" s="23" t="n"/>
      <c r="Q14" s="23" t="n"/>
      <c r="R14" s="9">
        <f>IF(COUNT(F14:Q14)=0,"",IF(T14="Média",AVERAGE(F14:Q14),SUM(F14:Q14)))</f>
        <v>68.8888888888889</v>
      </c>
      <c r="S14" s="9">
        <f>IF(COUNT(F14:Q14)=0,"",AVERAGE(F14:Q14))</f>
        <v>68.8888888888889</v>
      </c>
      <c r="T14" s="14" t="inlineStr">
        <is>
          <t>Média</t>
        </is>
      </c>
    </row>
    <row r="15">
      <c r="A15" s="22" t="inlineStr">
        <is>
          <t>Horas extras da equipe</t>
        </is>
      </c>
      <c r="B15" s="14" t="inlineStr">
        <is>
          <t>h</t>
        </is>
      </c>
      <c r="C15" s="14" t="n">
        <v>0</v>
      </c>
      <c r="D15" s="14" t="n">
        <v>20</v>
      </c>
      <c r="E15" s="14" t="inlineStr">
        <is>
          <t>Não</t>
        </is>
      </c>
      <c r="F15" s="23" t="n">
        <v>26</v>
      </c>
      <c r="G15" s="23" t="n">
        <v>24</v>
      </c>
      <c r="H15" s="23" t="n">
        <v>18</v>
      </c>
      <c r="I15" s="23" t="n">
        <v>22</v>
      </c>
      <c r="J15" s="23" t="n">
        <v>15</v>
      </c>
      <c r="K15" s="23" t="n">
        <v>19</v>
      </c>
      <c r="L15" s="23" t="n">
        <v>23</v>
      </c>
      <c r="M15" s="23" t="n">
        <v>14</v>
      </c>
      <c r="N15" s="23" t="n">
        <v>12</v>
      </c>
      <c r="O15" s="23" t="n"/>
      <c r="P15" s="23" t="n"/>
      <c r="Q15" s="23" t="n"/>
      <c r="R15" s="9">
        <f>IF(COUNT(F15:Q15)=0,"",IF(T15="Média",AVERAGE(F15:Q15),SUM(F15:Q15)))</f>
        <v>173</v>
      </c>
      <c r="S15" s="9">
        <f>IF(COUNT(F15:Q15)=0,"",AVERAGE(F15:Q15))</f>
        <v>19.2222222222222</v>
      </c>
      <c r="T15" s="14" t="inlineStr">
        <is>
          <t>Soma</t>
        </is>
      </c>
    </row>
    <row r="16">
      <c r="A16" s="22" t="inlineStr">
        <is>
          <t>Custo por lead</t>
        </is>
      </c>
      <c r="B16" s="14" t="inlineStr">
        <is>
          <t>R$</t>
        </is>
      </c>
      <c r="C16" s="14" t="n">
        <v>2</v>
      </c>
      <c r="D16" s="14" t="n">
        <v>45</v>
      </c>
      <c r="E16" s="14" t="inlineStr">
        <is>
          <t>Não</t>
        </is>
      </c>
      <c r="F16" s="23" t="n">
        <v>52.3</v>
      </c>
      <c r="G16" s="23" t="n">
        <v>49.8</v>
      </c>
      <c r="H16" s="23" t="n">
        <v>44.1</v>
      </c>
      <c r="I16" s="23" t="n">
        <v>47.5</v>
      </c>
      <c r="J16" s="23" t="n">
        <v>41.2</v>
      </c>
      <c r="K16" s="23" t="n">
        <v>43.9</v>
      </c>
      <c r="L16" s="23" t="n">
        <v>46.8</v>
      </c>
      <c r="M16" s="23" t="n">
        <v>39.5</v>
      </c>
      <c r="N16" s="23" t="n">
        <v>40.7</v>
      </c>
      <c r="O16" s="23" t="n"/>
      <c r="P16" s="23" t="n"/>
      <c r="Q16" s="23" t="n"/>
      <c r="R16" s="9">
        <f>IF(COUNT(F16:Q16)=0,"",IF(T16="Média",AVERAGE(F16:Q16),SUM(F16:Q16)))</f>
        <v>45.0888888888889</v>
      </c>
      <c r="S16" s="9">
        <f>IF(COUNT(F16:Q16)=0,"",AVERAGE(F16:Q16))</f>
        <v>45.0888888888889</v>
      </c>
      <c r="T16" s="14" t="inlineStr">
        <is>
          <t>Média</t>
        </is>
      </c>
    </row>
    <row r="18">
      <c r="A18" s="2" t="inlineStr">
        <is>
          <t>"Como acumular" decide o que o Acumulado mostra: Soma para o que se empilha (receita, despesa, quantidade, horas) e Média para razão (ticket médio, custo por lead, taxa, nota). Somar razão não significa nada: doze meses de ticket médio somados não são o ticket do ano. "Média" é sempre a média dos meses preenchidos. Para indicadores em %, digite 4,5 (não 0,045).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8:T18"/>
    <mergeCell ref="A2:R2"/>
  </mergeCells>
  <dataValidations count="4">
    <dataValidation sqref="E5:E16" showDropDown="0" showInputMessage="0" showErrorMessage="1" allowBlank="1" type="list">
      <formula1>"Sim,Não"</formula1>
    </dataValidation>
    <dataValidation sqref="C5:C16" showDropDown="0" showInputMessage="0" showErrorMessage="1" allowBlank="1" type="list">
      <formula1>"0,1,2"</formula1>
    </dataValidation>
    <dataValidation sqref="B5:B16" showDropDown="0" showInputMessage="0" showErrorMessage="1" allowBlank="1" type="list">
      <formula1>"R$,%,un,h,pts"</formula1>
    </dataValidation>
    <dataValidation sqref="T5:T16" showDropDown="0" showInputMessage="0" showErrorMessage="1" allowBlank="0" errorTitle="Como acumular" error="Escolha Soma (empilha) ou Média (razão)." type="list">
      <formula1>"Soma,Média"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Relatório Mensal Pronto · Kit IA no Trabalho</dc:title>
  <dcterms:created xmlns:dcterms="http://purl.org/dc/terms/" xmlns:xsi="http://www.w3.org/2001/XMLSchema-instance" xsi:type="dcterms:W3CDTF">2026-09-19T15:21:14Z</dcterms:created>
  <dcterms:modified xmlns:dcterms="http://purl.org/dc/terms/" xmlns:xsi="http://www.w3.org/2001/XMLSchema-instance" xsi:type="dcterms:W3CDTF">2026-09-19T15:21:14Z</dcterms:modified>
</cp:coreProperties>
</file>