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Painel" sheetId="2" state="visible" r:id="rId4"/>
    <sheet name="Config" sheetId="3" state="visible" r:id="rId5"/>
    <sheet name="Metas" sheetId="4" state="visible" r:id="rId6"/>
    <sheet name="Semana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<sst xmlns="http://schemas.openxmlformats.org/spreadsheetml/2006/main" count="127" uniqueCount="100">
  <si>
    <t xml:space="preserve">Metas do Trimestre</t>
  </si>
  <si>
    <t xml:space="preserve">Kit IA no Trabalho · Completo · Seu Sócio Gestor · versão 1.0 (setembro de 2026)</t>
  </si>
  <si>
    <t xml:space="preserve">O que esta planilha faz</t>
  </si>
  <si>
    <t xml:space="preserve">Você define até 5 objetivos com até 4 resultados-chave cada (ponto de partida, meta, valor atual). Ela calcula o progresso, compara com o tempo já decorrido e acende o semáforo: atingido, no ritmo, atenção ou em risco.</t>
  </si>
  <si>
    <t xml:space="preserve">Passo 1</t>
  </si>
  <si>
    <t xml:space="preserve">Em Config, preencha o trimestre, as datas de início e fim e deixe a data de referência em =HOJE().</t>
  </si>
  <si>
    <t xml:space="preserve">Passo 2</t>
  </si>
  <si>
    <t xml:space="preserve">Em Metas, escreva cada objetivo e seus resultados-chave. Ponto de partida é o valor no dia 1; meta é onde quer chegar; valor atual é o número de hoje. Diga se maior ou menor é melhor.</t>
  </si>
  <si>
    <t xml:space="preserve">Passo 3</t>
  </si>
  <si>
    <t xml:space="preserve">Toda semana, atualize o valor atual e copie para a coluna da semana em Semanas. O Painel mostra o resumo por objetivo e a lista completa com semáforo.</t>
  </si>
  <si>
    <t xml:space="preserve">Rotina</t>
  </si>
  <si>
    <t xml:space="preserve">Sexta-feira, 10 minutos: atualizar os valores. Primeira segunda do mês: reunião de 20 minutos olhando o Painel.</t>
  </si>
  <si>
    <t xml:space="preserve">Com a IA</t>
  </si>
  <si>
    <t xml:space="preserve">Copie a tabela "Todos os resultados-chave" e use o prompt "Analisar 04: meta realista" ou "Escrever 04: justificativa para chefe ou cliente". No fim do trimestre, "Apresentar 01: roteiro de 8 slides".</t>
  </si>
  <si>
    <t xml:space="preserve">Legenda</t>
  </si>
  <si>
    <t xml:space="preserve">Células amarelas: você preenche. Brancas: calculadas. Não é preciso mexer em nada fora do amarelo.</t>
  </si>
  <si>
    <t xml:space="preserve">Proteção</t>
  </si>
  <si>
    <t xml:space="preserve">Fórmulas protegidas sem senha. Para editar: Revisar &gt; Desproteger planilha (Excel) ou Dados &gt; Proteger intervalos (Google Sheets).</t>
  </si>
  <si>
    <t xml:space="preserve">Google Sheets</t>
  </si>
  <si>
    <t xml:space="preserve">Faça upload no Google Drive e abra com o Google Sheets. Fórmulas, listas, cores e gráficos funcionam.</t>
  </si>
  <si>
    <t xml:space="preserve">Exemplos</t>
  </si>
  <si>
    <t xml:space="preserve">Prisma Comunicação é uma empresa fictícia. Nomes e valores são inventados. Apague-os antes de começar.</t>
  </si>
  <si>
    <t xml:space="preserve">Suporte</t>
  </si>
  <si>
    <t xml:space="preserve">suporte@seusociogestor.com.br · resposta em até 5 dias úteis · reembolso em até 7 dias pelo mesmo canal.</t>
  </si>
  <si>
    <t xml:space="preserve">Resultados-chave</t>
  </si>
  <si>
    <t xml:space="preserve">Atingidos</t>
  </si>
  <si>
    <t xml:space="preserve">Em risco</t>
  </si>
  <si>
    <t xml:space="preserve">Progresso médio</t>
  </si>
  <si>
    <t xml:space="preserve">Por objetivo</t>
  </si>
  <si>
    <t xml:space="preserve">Objetivo</t>
  </si>
  <si>
    <t xml:space="preserve">Barra</t>
  </si>
  <si>
    <t xml:space="preserve">Todos os resultados-chave</t>
  </si>
  <si>
    <t xml:space="preserve">Resultado-chave</t>
  </si>
  <si>
    <t xml:space="preserve">Dono</t>
  </si>
  <si>
    <t xml:space="preserve">Atual</t>
  </si>
  <si>
    <t xml:space="preserve">Meta</t>
  </si>
  <si>
    <t xml:space="preserve">Progresso</t>
  </si>
  <si>
    <t xml:space="preserve">Esperado</t>
  </si>
  <si>
    <t xml:space="preserve">Semáforo</t>
  </si>
  <si>
    <t xml:space="preserve">Configurações</t>
  </si>
  <si>
    <t xml:space="preserve">Células amarelas: você preenche.</t>
  </si>
  <si>
    <t xml:space="preserve">Equipe ou empresa</t>
  </si>
  <si>
    <t xml:space="preserve">Prisma Comunicação (exemplo fictício)</t>
  </si>
  <si>
    <t xml:space="preserve">Trimestre</t>
  </si>
  <si>
    <t xml:space="preserve">3º trimestre de 2026</t>
  </si>
  <si>
    <t xml:space="preserve">Início do trimestre</t>
  </si>
  <si>
    <t xml:space="preserve">Fim do trimestre</t>
  </si>
  <si>
    <t xml:space="preserve">Data de referência (hoje)</t>
  </si>
  <si>
    <t xml:space="preserve">Para simular o fim do trimestre, troque por uma data.</t>
  </si>
  <si>
    <t xml:space="preserve">Semana atual do trimestre</t>
  </si>
  <si>
    <t xml:space="preserve">% do trimestre decorrido</t>
  </si>
  <si>
    <t xml:space="preserve">Metas do trimestre</t>
  </si>
  <si>
    <t xml:space="preserve">Até 5 objetivos com até 4 resultados-chave cada. Preencha o amarelo; progresso e semáforo são calculados. Atualize o valor atual toda semana.</t>
  </si>
  <si>
    <t xml:space="preserve">Unidade</t>
  </si>
  <si>
    <t xml:space="preserve">Ponto de partida</t>
  </si>
  <si>
    <t xml:space="preserve">Valor atual</t>
  </si>
  <si>
    <t xml:space="preserve">Esperado até hoje</t>
  </si>
  <si>
    <t xml:space="preserve">Sentido</t>
  </si>
  <si>
    <t xml:space="preserve">Observação</t>
  </si>
  <si>
    <t xml:space="preserve">Crescer a receita recorrente</t>
  </si>
  <si>
    <t xml:space="preserve">Fechar 3 contratos mensais novos</t>
  </si>
  <si>
    <t xml:space="preserve">Ana</t>
  </si>
  <si>
    <t xml:space="preserve">contratos</t>
  </si>
  <si>
    <t xml:space="preserve">Maior é melhor</t>
  </si>
  <si>
    <t xml:space="preserve">Receita recorrente mensal de R$ 30 mil</t>
  </si>
  <si>
    <t xml:space="preserve">R$</t>
  </si>
  <si>
    <t xml:space="preserve">Propostas enviadas no trimestre</t>
  </si>
  <si>
    <t xml:space="preserve">Carla</t>
  </si>
  <si>
    <t xml:space="preserve">propostas</t>
  </si>
  <si>
    <t xml:space="preserve">Entregar no prazo</t>
  </si>
  <si>
    <t xml:space="preserve">Etapas atrasadas por semana (média)</t>
  </si>
  <si>
    <t xml:space="preserve">etapas</t>
  </si>
  <si>
    <t xml:space="preserve">Menor é melhor</t>
  </si>
  <si>
    <t xml:space="preserve">Projetos entregues na data combinada</t>
  </si>
  <si>
    <t xml:space="preserve">Bruno</t>
  </si>
  <si>
    <t xml:space="preserve">%</t>
  </si>
  <si>
    <t xml:space="preserve">Reduzir retrabalho</t>
  </si>
  <si>
    <t xml:space="preserve">Rodadas de revisão por peça (média)</t>
  </si>
  <si>
    <t xml:space="preserve">rodadas</t>
  </si>
  <si>
    <t xml:space="preserve">Peças aprovadas de primeira</t>
  </si>
  <si>
    <t xml:space="preserve">Organizar a casa</t>
  </si>
  <si>
    <t xml:space="preserve">Relatório mensal enviado até o dia 5</t>
  </si>
  <si>
    <t xml:space="preserve">meses</t>
  </si>
  <si>
    <t xml:space="preserve">Horas extras da equipe no mês</t>
  </si>
  <si>
    <t xml:space="preserve">horas</t>
  </si>
  <si>
    <t xml:space="preserve">Acompanhamento semanal</t>
  </si>
  <si>
    <t xml:space="preserve">Toda semana, copie o valor atual de cada resultado-chave para a coluna da semana. A linha fica com o histórico do trimestre.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</si>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</sst>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%"/>
    <numFmt numFmtId="167" formatCode="General"/>
    <numFmt numFmtId="168" formatCode="#,##0.##"/>
    <numFmt numFmtId="169" formatCode="dd/mm/yyyy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3B1F5E"/>
      <name val="Arial"/>
      <family val="0"/>
      <charset val="1"/>
    </font>
    <font>
      <sz val="10"/>
      <color rgb="FF7A5AA8"/>
      <name val="Arial"/>
      <family val="0"/>
      <charset val="1"/>
    </font>
    <font>
      <b val="true"/>
      <sz val="11"/>
      <color rgb="FF3B1F5E"/>
      <name val="Arial"/>
      <family val="0"/>
      <charset val="1"/>
    </font>
    <font>
      <sz val="11"/>
      <color rgb="FF1F1235"/>
      <name val="Arial"/>
      <family val="0"/>
      <charset val="1"/>
    </font>
    <font>
      <b val="true"/>
      <sz val="16"/>
      <color rgb="FF3B1F5E"/>
      <name val="Arial"/>
      <family val="0"/>
      <charset val="1"/>
    </font>
    <font>
      <sz val="9"/>
      <color rgb="FF7A5AA8"/>
      <name val="Arial"/>
      <family val="0"/>
      <charset val="1"/>
    </font>
    <font>
      <b val="true"/>
      <sz val="9"/>
      <color rgb="FF3B1F5E"/>
      <name val="Arial"/>
      <family val="0"/>
      <charset val="1"/>
    </font>
    <font>
      <b val="true"/>
      <sz val="9"/>
      <color rgb="FF155E3C"/>
      <name val="Arial"/>
      <family val="0"/>
      <charset val="1"/>
    </font>
    <font>
      <b val="true"/>
      <sz val="9"/>
      <color rgb="FF7A1F1F"/>
      <name val="Arial"/>
      <family val="0"/>
      <charset val="1"/>
    </font>
    <font>
      <b val="true"/>
      <sz val="16"/>
      <color rgb="FF155E3C"/>
      <name val="Arial"/>
      <family val="0"/>
      <charset val="1"/>
    </font>
    <font>
      <b val="true"/>
      <sz val="16"/>
      <color rgb="FF7A1F1F"/>
      <name val="Arial"/>
      <family val="0"/>
      <charset val="1"/>
    </font>
    <font>
      <b val="true"/>
      <sz val="13"/>
      <color rgb="FF3B1F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235"/>
      <name val="Arial"/>
      <family val="0"/>
      <charset val="1"/>
    </font>
    <font>
      <i val="true"/>
      <sz val="10"/>
      <color rgb="FF7A5AA8"/>
      <name val="Arial"/>
      <family val="0"/>
      <charset val="1"/>
    </font>
    <font>
      <b val="true"/>
      <sz val="10"/>
      <color rgb="FF3B1F5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3EEFB"/>
        <bgColor rgb="FFE6F4EA"/>
      </patternFill>
    </fill>
    <fill>
      <patternFill patternType="solid">
        <fgColor rgb="FFDDF3E7"/>
        <bgColor rgb="FFE6F4EA"/>
      </patternFill>
    </fill>
    <fill>
      <patternFill patternType="solid">
        <fgColor rgb="FFFBE4E4"/>
        <bgColor rgb="FFF3EEFB"/>
      </patternFill>
    </fill>
    <fill>
      <patternFill patternType="solid">
        <fgColor rgb="FFFFC83D"/>
        <bgColor rgb="FFFF9900"/>
      </patternFill>
    </fill>
    <fill>
      <patternFill patternType="solid">
        <fgColor rgb="FF3B1F5E"/>
        <bgColor rgb="FF1F1235"/>
      </patternFill>
    </fill>
    <fill>
      <patternFill patternType="solid">
        <fgColor rgb="FFFFF4CC"/>
        <bgColor rgb="FFFBE4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2EC"/>
      </left>
      <right style="thin">
        <color rgb="FFDCD2EC"/>
      </right>
      <top style="thin">
        <color rgb="FFDCD2EC"/>
      </top>
      <bottom style="thin">
        <color rgb="FFDCD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9" fontId="17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17" fillId="7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7" borderId="1" xfId="0" applyFont="true" applyBorder="true" applyAlignment="true" applyProtection="true">
      <alignment horizontal="general" vertical="bottom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155E3C"/>
        <sz val="10"/>
      </font>
      <fill>
        <patternFill>
          <bgColor rgb="FFDDF3E7"/>
        </patternFill>
      </fill>
    </dxf>
    <dxf>
      <font>
        <name val="Arial"/>
        <charset val="1"/>
        <family val="0"/>
        <color rgb="FF155E3C"/>
        <sz val="10"/>
      </font>
      <fill>
        <patternFill>
          <bgColor rgb="FFE6F4EA"/>
        </patternFill>
      </fill>
    </dxf>
    <dxf>
      <font>
        <name val="Arial"/>
        <charset val="1"/>
        <family val="0"/>
        <color rgb="FF7A5200"/>
        <sz val="10"/>
      </font>
      <fill>
        <patternFill>
          <bgColor rgb="FFFFF4CC"/>
        </patternFill>
      </fill>
    </dxf>
    <dxf>
      <font>
        <name val="Arial"/>
        <charset val="1"/>
        <family val="0"/>
        <b val="1"/>
        <color rgb="FF7A1F1F"/>
        <sz val="10"/>
      </font>
      <fill>
        <patternFill>
          <bgColor rgb="FFFBE4E4"/>
        </patternFill>
      </fill>
    </dxf>
    <dxf>
      <font>
        <name val="Arial"/>
        <charset val="1"/>
        <family val="0"/>
        <b val="1"/>
        <color rgb="FF3B1F5E"/>
        <sz val="10"/>
      </font>
      <fill>
        <patternFill>
          <bgColor rgb="FFFFC83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5E3C"/>
      <rgbColor rgb="FF000080"/>
      <rgbColor rgb="FF7A5200"/>
      <rgbColor rgb="FF800080"/>
      <rgbColor rgb="FF008080"/>
      <rgbColor rgb="FFC0C0C0"/>
      <rgbColor rgb="FF808080"/>
      <rgbColor rgb="FF9999FF"/>
      <rgbColor rgb="FF993366"/>
      <rgbColor rgb="FFFFF4CC"/>
      <rgbColor rgb="FFDDF3E7"/>
      <rgbColor rgb="FF660066"/>
      <rgbColor rgb="FFFF8080"/>
      <rgbColor rgb="FF0066CC"/>
      <rgbColor rgb="FFDCD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4EA"/>
      <rgbColor rgb="FFF3EEFB"/>
      <rgbColor rgb="FFFFFF99"/>
      <rgbColor rgb="FF99CCFF"/>
      <rgbColor rgb="FFFF99CC"/>
      <rgbColor rgb="FFCC99FF"/>
      <rgbColor rgb="FFFBE4E4"/>
      <rgbColor rgb="FF3366FF"/>
      <rgbColor rgb="FF33CCCC"/>
      <rgbColor rgb="FF99CC00"/>
      <rgbColor rgb="FFFFC83D"/>
      <rgbColor rgb="FFFF9900"/>
      <rgbColor rgb="FFFF6600"/>
      <rgbColor rgb="FF7A5AA8"/>
      <rgbColor rgb="FF969696"/>
      <rgbColor rgb="FF003366"/>
      <rgbColor rgb="FF339966"/>
      <rgbColor rgb="FF003300"/>
      <rgbColor rgb="FF1F1235"/>
      <rgbColor rgb="FF7A1F1F"/>
      <rgbColor rgb="FF993366"/>
      <rgbColor rgb="FF333399"/>
      <rgbColor rgb="FF3B1F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.75" hidden="false" customHeight="true" outlineLevel="0" collapsed="false">
      <c r="A4" s="3" t="s">
        <v>2</v>
      </c>
      <c r="B4" s="4" t="s">
        <v>3</v>
      </c>
    </row>
    <row r="5" customFormat="false" ht="45.75" hidden="false" customHeight="true" outlineLevel="0" collapsed="false">
      <c r="A5" s="3" t="s">
        <v>4</v>
      </c>
      <c r="B5" s="4" t="s">
        <v>5</v>
      </c>
    </row>
    <row r="6" customFormat="false" ht="45.75" hidden="false" customHeight="true" outlineLevel="0" collapsed="false">
      <c r="A6" s="3" t="s">
        <v>6</v>
      </c>
      <c r="B6" s="4" t="s">
        <v>7</v>
      </c>
    </row>
    <row r="7" customFormat="false" ht="45.75" hidden="false" customHeight="true" outlineLevel="0" collapsed="false">
      <c r="A7" s="3" t="s">
        <v>8</v>
      </c>
      <c r="B7" s="4" t="s">
        <v>9</v>
      </c>
    </row>
    <row r="8" customFormat="false" ht="45.75" hidden="false" customHeight="true" outlineLevel="0" collapsed="false">
      <c r="A8" s="3" t="s">
        <v>10</v>
      </c>
      <c r="B8" s="4" t="s">
        <v>11</v>
      </c>
    </row>
    <row r="9" customFormat="false" ht="45.75" hidden="false" customHeight="true" outlineLevel="0" collapsed="false">
      <c r="A9" s="3" t="s">
        <v>12</v>
      </c>
      <c r="B9" s="4" t="s">
        <v>13</v>
      </c>
    </row>
    <row r="10" customFormat="false" ht="45.75" hidden="false" customHeight="true" outlineLevel="0" collapsed="false">
      <c r="A10" s="3" t="s">
        <v>14</v>
      </c>
      <c r="B10" s="4" t="s">
        <v>15</v>
      </c>
    </row>
    <row r="11" customFormat="false" ht="45.75" hidden="false" customHeight="true" outlineLevel="0" collapsed="false">
      <c r="A11" s="3" t="s">
        <v>16</v>
      </c>
      <c r="B11" s="4" t="s">
        <v>17</v>
      </c>
    </row>
    <row r="12" customFormat="false" ht="45.75" hidden="false" customHeight="true" outlineLevel="0" collapsed="false">
      <c r="A12" s="3" t="s">
        <v>18</v>
      </c>
      <c r="B12" s="4" t="s">
        <v>19</v>
      </c>
    </row>
    <row r="13" customFormat="false" ht="45.75" hidden="false" customHeight="true" outlineLevel="0" collapsed="false">
      <c r="A13" s="3" t="s">
        <v>20</v>
      </c>
      <c r="B13" s="4" t="s">
        <v>21</v>
      </c>
    </row>
    <row r="14" customFormat="false" ht="45.75" hidden="false" customHeight="true" outlineLevel="0" collapsed="false">
      <c r="A14" s="3" t="s">
        <v>22</v>
      </c>
      <c r="B14" s="4" t="s">
        <v>23</v>
      </c>
    </row>
  </sheetData>
  <sheetProtection sheet="true" formatColumns="false" formatRows="false" sort="fals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24"/>
  </cols>
  <sheetData>
    <row r="1" customFormat="false" ht="19.7" hidden="false" customHeight="false" outlineLevel="0" collapsed="false">
      <c r="A1" s="5" t="str">
        <f aca="false">Config!B4&amp;" · "&amp;Config!B5</f>
        <v>Prisma Comunicação (exemplo fictício) · 3º trimestre de 2026</v>
      </c>
      <c r="B1" s="5"/>
      <c r="C1" s="5"/>
      <c r="D1" s="5"/>
      <c r="E1" s="5"/>
      <c r="F1" s="5"/>
      <c r="G1" s="5"/>
      <c r="H1" s="5"/>
    </row>
    <row r="2" customFormat="false" ht="15" hidden="false" customHeight="false" outlineLevel="0" collapsed="false">
      <c r="A2" s="6" t="str">
        <f aca="false">"Semana "&amp;Config!B9&amp;" de 13 · "&amp;TEXT(Config!B10,"0%")&amp;" do trimestre decorrido. Nada para preencher aqui."</f>
        <v>Semana 11 de 13 · 81% do trimestre decorrido. Nada para preencher aqui.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24</v>
      </c>
      <c r="B4" s="7"/>
      <c r="C4" s="8" t="s">
        <v>25</v>
      </c>
      <c r="D4" s="8"/>
      <c r="E4" s="9" t="s">
        <v>26</v>
      </c>
      <c r="F4" s="9"/>
      <c r="G4" s="10" t="s">
        <v>27</v>
      </c>
      <c r="H4" s="10"/>
    </row>
    <row r="5" customFormat="false" ht="30" hidden="false" customHeight="true" outlineLevel="0" collapsed="false">
      <c r="A5" s="11" t="n">
        <f aca="false">COUNTIFS(Metas!$B$5:$B$24,"&lt;&gt;")</f>
        <v>9</v>
      </c>
      <c r="B5" s="11"/>
      <c r="C5" s="12" t="n">
        <f aca="false">COUNTIFS(Metas!$J$5:$J$24,"Atingido")</f>
        <v>1</v>
      </c>
      <c r="D5" s="12"/>
      <c r="E5" s="13" t="n">
        <f aca="false">COUNTIFS(Metas!$J$5:$J$24,"Em risco")</f>
        <v>3</v>
      </c>
      <c r="F5" s="13"/>
      <c r="G5" s="14" t="n">
        <f aca="false">IFERROR(AVERAGEIFS(Metas!$H$5:$H$24,Metas!$B$5:$B$24,"&lt;&gt;"),0)</f>
        <v>0.646296296296296</v>
      </c>
      <c r="H5" s="14"/>
    </row>
    <row r="7" customFormat="false" ht="16.15" hidden="false" customHeight="false" outlineLevel="0" collapsed="false">
      <c r="A7" s="15" t="s">
        <v>28</v>
      </c>
    </row>
    <row r="8" customFormat="false" ht="25.5" hidden="false" customHeight="true" outlineLevel="0" collapsed="false">
      <c r="A8" s="16" t="s">
        <v>29</v>
      </c>
      <c r="B8" s="16" t="s">
        <v>24</v>
      </c>
      <c r="C8" s="16" t="s">
        <v>27</v>
      </c>
      <c r="D8" s="16" t="s">
        <v>25</v>
      </c>
      <c r="E8" s="16" t="s">
        <v>26</v>
      </c>
      <c r="F8" s="16" t="s">
        <v>30</v>
      </c>
      <c r="G8" s="16"/>
      <c r="H8" s="16"/>
    </row>
    <row r="9" customFormat="false" ht="15" hidden="false" customHeight="false" outlineLevel="0" collapsed="false">
      <c r="A9" s="17" t="str">
        <f aca="false">IF(Metas!$A$5="","",Metas!$A$5)</f>
        <v>Crescer a receita recorrente</v>
      </c>
      <c r="B9" s="18" t="n">
        <f aca="false">IF(Metas!$A$5="","",COUNTIFS(Metas!$B$5:$B$8,"&lt;&gt;"))</f>
        <v>3</v>
      </c>
      <c r="C9" s="19" t="n">
        <f aca="false">IF(OR(Metas!$A$5="",B9=0),"",AVERAGEIFS(Metas!$H$5:$H$8,Metas!$B$5:$B$8,"&lt;&gt;"))</f>
        <v>0.816666666666667</v>
      </c>
      <c r="D9" s="18" t="n">
        <f aca="false">IF(Metas!$A$5="","",COUNTIFS(Metas!$J$5:$J$8,"Atingido"))</f>
        <v>1</v>
      </c>
      <c r="E9" s="18" t="n">
        <f aca="false">IF(Metas!$A$5="","",COUNTIFS(Metas!$J$5:$J$8,"Em risco"))</f>
        <v>0</v>
      </c>
      <c r="F9" s="20" t="str">
        <f aca="false">IF(C9="","",REPT("█",ROUND(C9*30,0)))</f>
        <v>█████████████████████████</v>
      </c>
      <c r="G9" s="20"/>
      <c r="H9" s="20"/>
    </row>
    <row r="10" customFormat="false" ht="15" hidden="false" customHeight="false" outlineLevel="0" collapsed="false">
      <c r="A10" s="17" t="str">
        <f aca="false">IF(Metas!$A$9="","",Metas!$A$9)</f>
        <v>Entregar no prazo</v>
      </c>
      <c r="B10" s="18" t="n">
        <f aca="false">IF(Metas!$A$9="","",COUNTIFS(Metas!$B$9:$B$12,"&lt;&gt;"))</f>
        <v>2</v>
      </c>
      <c r="C10" s="19" t="n">
        <f aca="false">IF(OR(Metas!$A$9="",B10=0),"",AVERAGEIFS(Metas!$H$9:$H$12,Metas!$B$9:$B$12,"&lt;&gt;"))</f>
        <v>0.533333333333333</v>
      </c>
      <c r="D10" s="18" t="n">
        <f aca="false">IF(Metas!$A$9="","",COUNTIFS(Metas!$J$9:$J$12,"Atingido"))</f>
        <v>0</v>
      </c>
      <c r="E10" s="18" t="n">
        <f aca="false">IF(Metas!$A$9="","",COUNTIFS(Metas!$J$9:$J$12,"Em risco"))</f>
        <v>1</v>
      </c>
      <c r="F10" s="20" t="str">
        <f aca="false">IF(C10="","",REPT("█",ROUND(C10*30,0)))</f>
        <v>████████████████</v>
      </c>
      <c r="G10" s="20"/>
      <c r="H10" s="20"/>
    </row>
    <row r="11" customFormat="false" ht="15" hidden="false" customHeight="false" outlineLevel="0" collapsed="false">
      <c r="A11" s="17" t="str">
        <f aca="false">IF(Metas!$A$13="","",Metas!$A$13)</f>
        <v>Reduzir retrabalho</v>
      </c>
      <c r="B11" s="18" t="n">
        <f aca="false">IF(Metas!$A$13="","",COUNTIFS(Metas!$B$13:$B$16,"&lt;&gt;"))</f>
        <v>2</v>
      </c>
      <c r="C11" s="19" t="n">
        <f aca="false">IF(OR(Metas!$A$13="",B11=0),"",AVERAGEIFS(Metas!$H$13:$H$16,Metas!$B$13:$B$16,"&lt;&gt;"))</f>
        <v>0.566666666666667</v>
      </c>
      <c r="D11" s="18" t="n">
        <f aca="false">IF(Metas!$A$13="","",COUNTIFS(Metas!$J$13:$J$16,"Atingido"))</f>
        <v>0</v>
      </c>
      <c r="E11" s="18" t="n">
        <f aca="false">IF(Metas!$A$13="","",COUNTIFS(Metas!$J$13:$J$16,"Em risco"))</f>
        <v>1</v>
      </c>
      <c r="F11" s="20" t="str">
        <f aca="false">IF(C11="","",REPT("█",ROUND(C11*30,0)))</f>
        <v>█████████████████</v>
      </c>
      <c r="G11" s="20"/>
      <c r="H11" s="20"/>
    </row>
    <row r="12" customFormat="false" ht="15" hidden="false" customHeight="false" outlineLevel="0" collapsed="false">
      <c r="A12" s="17" t="str">
        <f aca="false">IF(Metas!$A$17="","",Metas!$A$17)</f>
        <v>Organizar a casa</v>
      </c>
      <c r="B12" s="18" t="n">
        <f aca="false">IF(Metas!$A$17="","",COUNTIFS(Metas!$B$17:$B$20,"&lt;&gt;"))</f>
        <v>2</v>
      </c>
      <c r="C12" s="19" t="n">
        <f aca="false">IF(OR(Metas!$A$17="",B12=0),"",AVERAGEIFS(Metas!$H$17:$H$20,Metas!$B$17:$B$20,"&lt;&gt;"))</f>
        <v>0.583333333333333</v>
      </c>
      <c r="D12" s="18" t="n">
        <f aca="false">IF(Metas!$A$17="","",COUNTIFS(Metas!$J$17:$J$20,"Atingido"))</f>
        <v>0</v>
      </c>
      <c r="E12" s="18" t="n">
        <f aca="false">IF(Metas!$A$17="","",COUNTIFS(Metas!$J$17:$J$20,"Em risco"))</f>
        <v>1</v>
      </c>
      <c r="F12" s="20" t="str">
        <f aca="false">IF(C12="","",REPT("█",ROUND(C12*30,0)))</f>
        <v>█████████████████</v>
      </c>
      <c r="G12" s="20"/>
      <c r="H12" s="20"/>
    </row>
    <row r="13" customFormat="false" ht="15" hidden="false" customHeight="false" outlineLevel="0" collapsed="false">
      <c r="A13" s="17" t="str">
        <f aca="false">IF(Metas!$A$21="","",Metas!$A$21)</f>
        <v/>
      </c>
      <c r="B13" s="18" t="str">
        <f aca="false">IF(Metas!$A$21="","",COUNTIFS(Metas!$B$21:$B$24,"&lt;&gt;"))</f>
        <v/>
      </c>
      <c r="C13" s="19" t="str">
        <f aca="false">IF(OR(Metas!$A$21="",B13=0),"",AVERAGEIFS(Metas!$H$21:$H$24,Metas!$B$21:$B$24,"&lt;&gt;"))</f>
        <v/>
      </c>
      <c r="D13" s="18" t="str">
        <f aca="false">IF(Metas!$A$21="","",COUNTIFS(Metas!$J$21:$J$24,"Atingido"))</f>
        <v/>
      </c>
      <c r="E13" s="18" t="str">
        <f aca="false">IF(Metas!$A$21="","",COUNTIFS(Metas!$J$21:$J$24,"Em risco"))</f>
        <v/>
      </c>
      <c r="F13" s="20" t="str">
        <f aca="false">IF(C13="","",REPT("█",ROUND(C13*30,0)))</f>
        <v/>
      </c>
      <c r="G13" s="20"/>
      <c r="H13" s="20"/>
    </row>
    <row r="15" customFormat="false" ht="16.15" hidden="false" customHeight="false" outlineLevel="0" collapsed="false">
      <c r="A15" s="15" t="s">
        <v>31</v>
      </c>
    </row>
    <row r="16" customFormat="false" ht="25.5" hidden="false" customHeight="true" outlineLevel="0" collapsed="false">
      <c r="A16" s="16" t="s">
        <v>32</v>
      </c>
      <c r="B16" s="16" t="s">
        <v>33</v>
      </c>
      <c r="C16" s="16" t="s">
        <v>34</v>
      </c>
      <c r="D16" s="16" t="s">
        <v>35</v>
      </c>
      <c r="E16" s="16" t="s">
        <v>36</v>
      </c>
      <c r="F16" s="16" t="s">
        <v>37</v>
      </c>
      <c r="G16" s="16" t="s">
        <v>38</v>
      </c>
      <c r="H16" s="16" t="s">
        <v>30</v>
      </c>
    </row>
    <row r="17" customFormat="false" ht="15" hidden="false" customHeight="false" outlineLevel="0" collapsed="false">
      <c r="A17" s="17" t="str">
        <f aca="false">IF(Metas!B5="","",Metas!B5)</f>
        <v>Fechar 3 contratos mensais novos</v>
      </c>
      <c r="B17" s="18" t="str">
        <f aca="false">IF(Metas!B5="","",Metas!C5)</f>
        <v>Ana</v>
      </c>
      <c r="C17" s="21" t="n">
        <f aca="false">IF(Metas!B5="","",Metas!G5)</f>
        <v>2</v>
      </c>
      <c r="D17" s="21" t="n">
        <f aca="false">IF(Metas!B5="","",Metas!F5)</f>
        <v>3</v>
      </c>
      <c r="E17" s="19" t="n">
        <f aca="false">IF(Metas!B5="","",Metas!H5)</f>
        <v>0.666666666666667</v>
      </c>
      <c r="F17" s="19" t="n">
        <f aca="false">IF(Metas!B5="","",Metas!I5)</f>
        <v>0.813186813186813</v>
      </c>
      <c r="G17" s="22" t="str">
        <f aca="false">IF(Metas!B5="","",Metas!J5)</f>
        <v>Atenção</v>
      </c>
      <c r="H17" s="20" t="str">
        <f aca="false">IF(E17="","",REPT("█",ROUND(E17*20,0)))</f>
        <v>█████████████</v>
      </c>
    </row>
    <row r="18" customFormat="false" ht="15" hidden="false" customHeight="false" outlineLevel="0" collapsed="false">
      <c r="A18" s="17" t="str">
        <f aca="false">IF(Metas!B6="","",Metas!B6)</f>
        <v>Receita recorrente mensal de R$ 30 mil</v>
      </c>
      <c r="B18" s="18" t="str">
        <f aca="false">IF(Metas!B6="","",Metas!C6)</f>
        <v>Ana</v>
      </c>
      <c r="C18" s="21" t="n">
        <f aca="false">IF(Metas!B6="","",Metas!G6)</f>
        <v>27400</v>
      </c>
      <c r="D18" s="21" t="n">
        <f aca="false">IF(Metas!B6="","",Metas!F6)</f>
        <v>30000</v>
      </c>
      <c r="E18" s="19" t="n">
        <f aca="false">IF(Metas!B6="","",Metas!H6)</f>
        <v>0.783333333333333</v>
      </c>
      <c r="F18" s="19" t="n">
        <f aca="false">IF(Metas!B6="","",Metas!I6)</f>
        <v>0.813186813186813</v>
      </c>
      <c r="G18" s="22" t="str">
        <f aca="false">IF(Metas!B6="","",Metas!J6)</f>
        <v>No ritmo</v>
      </c>
      <c r="H18" s="20" t="str">
        <f aca="false">IF(E18="","",REPT("█",ROUND(E18*20,0)))</f>
        <v>████████████████</v>
      </c>
    </row>
    <row r="19" customFormat="false" ht="15" hidden="false" customHeight="false" outlineLevel="0" collapsed="false">
      <c r="A19" s="17" t="str">
        <f aca="false">IF(Metas!B7="","",Metas!B7)</f>
        <v>Propostas enviadas no trimestre</v>
      </c>
      <c r="B19" s="18" t="str">
        <f aca="false">IF(Metas!B7="","",Metas!C7)</f>
        <v>Carla</v>
      </c>
      <c r="C19" s="21" t="n">
        <f aca="false">IF(Metas!B7="","",Metas!G7)</f>
        <v>24</v>
      </c>
      <c r="D19" s="21" t="n">
        <f aca="false">IF(Metas!B7="","",Metas!F7)</f>
        <v>24</v>
      </c>
      <c r="E19" s="19" t="n">
        <f aca="false">IF(Metas!B7="","",Metas!H7)</f>
        <v>1</v>
      </c>
      <c r="F19" s="19" t="n">
        <f aca="false">IF(Metas!B7="","",Metas!I7)</f>
        <v>0.813186813186813</v>
      </c>
      <c r="G19" s="22" t="str">
        <f aca="false">IF(Metas!B7="","",Metas!J7)</f>
        <v>Atingido</v>
      </c>
      <c r="H19" s="20" t="str">
        <f aca="false">IF(E19="","",REPT("█",ROUND(E19*20,0)))</f>
        <v>████████████████████</v>
      </c>
    </row>
    <row r="20" customFormat="false" ht="15" hidden="false" customHeight="false" outlineLevel="0" collapsed="false">
      <c r="A20" s="17" t="str">
        <f aca="false">IF(Metas!B8="","",Metas!B8)</f>
        <v/>
      </c>
      <c r="B20" s="18" t="str">
        <f aca="false">IF(Metas!B8="","",Metas!C8)</f>
        <v/>
      </c>
      <c r="C20" s="21" t="str">
        <f aca="false">IF(Metas!B8="","",Metas!G8)</f>
        <v/>
      </c>
      <c r="D20" s="21" t="str">
        <f aca="false">IF(Metas!B8="","",Metas!F8)</f>
        <v/>
      </c>
      <c r="E20" s="19" t="str">
        <f aca="false">IF(Metas!B8="","",Metas!H8)</f>
        <v/>
      </c>
      <c r="F20" s="19" t="str">
        <f aca="false">IF(Metas!B8="","",Metas!I8)</f>
        <v/>
      </c>
      <c r="G20" s="22" t="str">
        <f aca="false">IF(Metas!B8="","",Metas!J8)</f>
        <v/>
      </c>
      <c r="H20" s="20" t="str">
        <f aca="false">IF(E20="","",REPT("█",ROUND(E20*20,0)))</f>
        <v/>
      </c>
    </row>
    <row r="21" customFormat="false" ht="15" hidden="false" customHeight="false" outlineLevel="0" collapsed="false">
      <c r="A21" s="17" t="str">
        <f aca="false">IF(Metas!B9="","",Metas!B9)</f>
        <v>Etapas atrasadas por semana (média)</v>
      </c>
      <c r="B21" s="18" t="str">
        <f aca="false">IF(Metas!B9="","",Metas!C9)</f>
        <v>Ana</v>
      </c>
      <c r="C21" s="21" t="n">
        <f aca="false">IF(Metas!B9="","",Metas!G9)</f>
        <v>3</v>
      </c>
      <c r="D21" s="21" t="n">
        <f aca="false">IF(Metas!B9="","",Metas!F9)</f>
        <v>1</v>
      </c>
      <c r="E21" s="19" t="n">
        <f aca="false">IF(Metas!B9="","",Metas!H9)</f>
        <v>0.333333333333333</v>
      </c>
      <c r="F21" s="19" t="n">
        <f aca="false">IF(Metas!B9="","",Metas!I9)</f>
        <v>0.813186813186813</v>
      </c>
      <c r="G21" s="22" t="str">
        <f aca="false">IF(Metas!B9="","",Metas!J9)</f>
        <v>Em risco</v>
      </c>
      <c r="H21" s="20" t="str">
        <f aca="false">IF(E21="","",REPT("█",ROUND(E21*20,0)))</f>
        <v>███████</v>
      </c>
    </row>
    <row r="22" customFormat="false" ht="15" hidden="false" customHeight="false" outlineLevel="0" collapsed="false">
      <c r="A22" s="17" t="str">
        <f aca="false">IF(Metas!B10="","",Metas!B10)</f>
        <v>Projetos entregues na data combinada</v>
      </c>
      <c r="B22" s="18" t="str">
        <f aca="false">IF(Metas!B10="","",Metas!C10)</f>
        <v>Bruno</v>
      </c>
      <c r="C22" s="21" t="n">
        <f aca="false">IF(Metas!B10="","",Metas!G10)</f>
        <v>82</v>
      </c>
      <c r="D22" s="21" t="n">
        <f aca="false">IF(Metas!B10="","",Metas!F10)</f>
        <v>90</v>
      </c>
      <c r="E22" s="19" t="n">
        <f aca="false">IF(Metas!B10="","",Metas!H10)</f>
        <v>0.733333333333333</v>
      </c>
      <c r="F22" s="19" t="n">
        <f aca="false">IF(Metas!B10="","",Metas!I10)</f>
        <v>0.813186813186813</v>
      </c>
      <c r="G22" s="22" t="str">
        <f aca="false">IF(Metas!B10="","",Metas!J10)</f>
        <v>No ritmo</v>
      </c>
      <c r="H22" s="20" t="str">
        <f aca="false">IF(E22="","",REPT("█",ROUND(E22*20,0)))</f>
        <v>███████████████</v>
      </c>
    </row>
    <row r="23" customFormat="false" ht="15" hidden="false" customHeight="false" outlineLevel="0" collapsed="false">
      <c r="A23" s="17" t="str">
        <f aca="false">IF(Metas!B11="","",Metas!B11)</f>
        <v/>
      </c>
      <c r="B23" s="18" t="str">
        <f aca="false">IF(Metas!B11="","",Metas!C11)</f>
        <v/>
      </c>
      <c r="C23" s="21" t="str">
        <f aca="false">IF(Metas!B11="","",Metas!G11)</f>
        <v/>
      </c>
      <c r="D23" s="21" t="str">
        <f aca="false">IF(Metas!B11="","",Metas!F11)</f>
        <v/>
      </c>
      <c r="E23" s="19" t="str">
        <f aca="false">IF(Metas!B11="","",Metas!H11)</f>
        <v/>
      </c>
      <c r="F23" s="19" t="str">
        <f aca="false">IF(Metas!B11="","",Metas!I11)</f>
        <v/>
      </c>
      <c r="G23" s="22" t="str">
        <f aca="false">IF(Metas!B11="","",Metas!J11)</f>
        <v/>
      </c>
      <c r="H23" s="20" t="str">
        <f aca="false">IF(E23="","",REPT("█",ROUND(E23*20,0)))</f>
        <v/>
      </c>
    </row>
    <row r="24" customFormat="false" ht="15" hidden="false" customHeight="false" outlineLevel="0" collapsed="false">
      <c r="A24" s="17" t="str">
        <f aca="false">IF(Metas!B12="","",Metas!B12)</f>
        <v/>
      </c>
      <c r="B24" s="18" t="str">
        <f aca="false">IF(Metas!B12="","",Metas!C12)</f>
        <v/>
      </c>
      <c r="C24" s="21" t="str">
        <f aca="false">IF(Metas!B12="","",Metas!G12)</f>
        <v/>
      </c>
      <c r="D24" s="21" t="str">
        <f aca="false">IF(Metas!B12="","",Metas!F12)</f>
        <v/>
      </c>
      <c r="E24" s="19" t="str">
        <f aca="false">IF(Metas!B12="","",Metas!H12)</f>
        <v/>
      </c>
      <c r="F24" s="19" t="str">
        <f aca="false">IF(Metas!B12="","",Metas!I12)</f>
        <v/>
      </c>
      <c r="G24" s="22" t="str">
        <f aca="false">IF(Metas!B12="","",Metas!J12)</f>
        <v/>
      </c>
      <c r="H24" s="20" t="str">
        <f aca="false">IF(E24="","",REPT("█",ROUND(E24*20,0)))</f>
        <v/>
      </c>
    </row>
    <row r="25" customFormat="false" ht="15" hidden="false" customHeight="false" outlineLevel="0" collapsed="false">
      <c r="A25" s="17" t="str">
        <f aca="false">IF(Metas!B13="","",Metas!B13)</f>
        <v>Rodadas de revisão por peça (média)</v>
      </c>
      <c r="B25" s="18" t="str">
        <f aca="false">IF(Metas!B13="","",Metas!C13)</f>
        <v>Bruno</v>
      </c>
      <c r="C25" s="21" t="n">
        <f aca="false">IF(Metas!B13="","",Metas!G13)</f>
        <v>2.8</v>
      </c>
      <c r="D25" s="21" t="n">
        <f aca="false">IF(Metas!B13="","",Metas!F13)</f>
        <v>2</v>
      </c>
      <c r="E25" s="19" t="n">
        <f aca="false">IF(Metas!B13="","",Metas!H13)</f>
        <v>0.333333333333334</v>
      </c>
      <c r="F25" s="19" t="n">
        <f aca="false">IF(Metas!B13="","",Metas!I13)</f>
        <v>0.813186813186813</v>
      </c>
      <c r="G25" s="22" t="str">
        <f aca="false">IF(Metas!B13="","",Metas!J13)</f>
        <v>Em risco</v>
      </c>
      <c r="H25" s="20" t="str">
        <f aca="false">IF(E25="","",REPT("█",ROUND(E25*20,0)))</f>
        <v>███████</v>
      </c>
    </row>
    <row r="26" customFormat="false" ht="15" hidden="false" customHeight="false" outlineLevel="0" collapsed="false">
      <c r="A26" s="17" t="str">
        <f aca="false">IF(Metas!B14="","",Metas!B14)</f>
        <v>Peças aprovadas de primeira</v>
      </c>
      <c r="B26" s="18" t="str">
        <f aca="false">IF(Metas!B14="","",Metas!C14)</f>
        <v>Carla</v>
      </c>
      <c r="C26" s="21" t="n">
        <f aca="false">IF(Metas!B14="","",Metas!G14)</f>
        <v>60</v>
      </c>
      <c r="D26" s="21" t="n">
        <f aca="false">IF(Metas!B14="","",Metas!F14)</f>
        <v>65</v>
      </c>
      <c r="E26" s="19" t="n">
        <f aca="false">IF(Metas!B14="","",Metas!H14)</f>
        <v>0.8</v>
      </c>
      <c r="F26" s="19" t="n">
        <f aca="false">IF(Metas!B14="","",Metas!I14)</f>
        <v>0.813186813186813</v>
      </c>
      <c r="G26" s="22" t="str">
        <f aca="false">IF(Metas!B14="","",Metas!J14)</f>
        <v>No ritmo</v>
      </c>
      <c r="H26" s="20" t="str">
        <f aca="false">IF(E26="","",REPT("█",ROUND(E26*20,0)))</f>
        <v>████████████████</v>
      </c>
    </row>
    <row r="27" customFormat="false" ht="15" hidden="false" customHeight="false" outlineLevel="0" collapsed="false">
      <c r="A27" s="17" t="str">
        <f aca="false">IF(Metas!B15="","",Metas!B15)</f>
        <v/>
      </c>
      <c r="B27" s="18" t="str">
        <f aca="false">IF(Metas!B15="","",Metas!C15)</f>
        <v/>
      </c>
      <c r="C27" s="21" t="str">
        <f aca="false">IF(Metas!B15="","",Metas!G15)</f>
        <v/>
      </c>
      <c r="D27" s="21" t="str">
        <f aca="false">IF(Metas!B15="","",Metas!F15)</f>
        <v/>
      </c>
      <c r="E27" s="19" t="str">
        <f aca="false">IF(Metas!B15="","",Metas!H15)</f>
        <v/>
      </c>
      <c r="F27" s="19" t="str">
        <f aca="false">IF(Metas!B15="","",Metas!I15)</f>
        <v/>
      </c>
      <c r="G27" s="22" t="str">
        <f aca="false">IF(Metas!B15="","",Metas!J15)</f>
        <v/>
      </c>
      <c r="H27" s="20" t="str">
        <f aca="false">IF(E27="","",REPT("█",ROUND(E27*20,0)))</f>
        <v/>
      </c>
    </row>
    <row r="28" customFormat="false" ht="15" hidden="false" customHeight="false" outlineLevel="0" collapsed="false">
      <c r="A28" s="17" t="str">
        <f aca="false">IF(Metas!B16="","",Metas!B16)</f>
        <v/>
      </c>
      <c r="B28" s="18" t="str">
        <f aca="false">IF(Metas!B16="","",Metas!C16)</f>
        <v/>
      </c>
      <c r="C28" s="21" t="str">
        <f aca="false">IF(Metas!B16="","",Metas!G16)</f>
        <v/>
      </c>
      <c r="D28" s="21" t="str">
        <f aca="false">IF(Metas!B16="","",Metas!F16)</f>
        <v/>
      </c>
      <c r="E28" s="19" t="str">
        <f aca="false">IF(Metas!B16="","",Metas!H16)</f>
        <v/>
      </c>
      <c r="F28" s="19" t="str">
        <f aca="false">IF(Metas!B16="","",Metas!I16)</f>
        <v/>
      </c>
      <c r="G28" s="22" t="str">
        <f aca="false">IF(Metas!B16="","",Metas!J16)</f>
        <v/>
      </c>
      <c r="H28" s="20" t="str">
        <f aca="false">IF(E28="","",REPT("█",ROUND(E28*20,0)))</f>
        <v/>
      </c>
    </row>
    <row r="29" customFormat="false" ht="15" hidden="false" customHeight="false" outlineLevel="0" collapsed="false">
      <c r="A29" s="17" t="str">
        <f aca="false">IF(Metas!B17="","",Metas!B17)</f>
        <v>Relatório mensal enviado até o dia 5</v>
      </c>
      <c r="B29" s="18" t="str">
        <f aca="false">IF(Metas!B17="","",Metas!C17)</f>
        <v>Ana</v>
      </c>
      <c r="C29" s="21" t="n">
        <f aca="false">IF(Metas!B17="","",Metas!G17)</f>
        <v>2</v>
      </c>
      <c r="D29" s="21" t="n">
        <f aca="false">IF(Metas!B17="","",Metas!F17)</f>
        <v>3</v>
      </c>
      <c r="E29" s="19" t="n">
        <f aca="false">IF(Metas!B17="","",Metas!H17)</f>
        <v>0.666666666666667</v>
      </c>
      <c r="F29" s="19" t="n">
        <f aca="false">IF(Metas!B17="","",Metas!I17)</f>
        <v>0.813186813186813</v>
      </c>
      <c r="G29" s="22" t="str">
        <f aca="false">IF(Metas!B17="","",Metas!J17)</f>
        <v>Atenção</v>
      </c>
      <c r="H29" s="20" t="str">
        <f aca="false">IF(E29="","",REPT("█",ROUND(E29*20,0)))</f>
        <v>█████████████</v>
      </c>
    </row>
    <row r="30" customFormat="false" ht="15" hidden="false" customHeight="false" outlineLevel="0" collapsed="false">
      <c r="A30" s="17" t="str">
        <f aca="false">IF(Metas!B18="","",Metas!B18)</f>
        <v>Horas extras da equipe no mês</v>
      </c>
      <c r="B30" s="18" t="str">
        <f aca="false">IF(Metas!B18="","",Metas!C18)</f>
        <v>Ana</v>
      </c>
      <c r="C30" s="21" t="n">
        <f aca="false">IF(Metas!B18="","",Metas!G18)</f>
        <v>14</v>
      </c>
      <c r="D30" s="21" t="n">
        <f aca="false">IF(Metas!B18="","",Metas!F18)</f>
        <v>8</v>
      </c>
      <c r="E30" s="19" t="n">
        <f aca="false">IF(Metas!B18="","",Metas!H18)</f>
        <v>0.5</v>
      </c>
      <c r="F30" s="19" t="n">
        <f aca="false">IF(Metas!B18="","",Metas!I18)</f>
        <v>0.813186813186813</v>
      </c>
      <c r="G30" s="22" t="str">
        <f aca="false">IF(Metas!B18="","",Metas!J18)</f>
        <v>Em risco</v>
      </c>
      <c r="H30" s="20" t="str">
        <f aca="false">IF(E30="","",REPT("█",ROUND(E30*20,0)))</f>
        <v>██████████</v>
      </c>
    </row>
    <row r="31" customFormat="false" ht="15" hidden="false" customHeight="false" outlineLevel="0" collapsed="false">
      <c r="A31" s="17" t="str">
        <f aca="false">IF(Metas!B19="","",Metas!B19)</f>
        <v/>
      </c>
      <c r="B31" s="18" t="str">
        <f aca="false">IF(Metas!B19="","",Metas!C19)</f>
        <v/>
      </c>
      <c r="C31" s="21" t="str">
        <f aca="false">IF(Metas!B19="","",Metas!G19)</f>
        <v/>
      </c>
      <c r="D31" s="21" t="str">
        <f aca="false">IF(Metas!B19="","",Metas!F19)</f>
        <v/>
      </c>
      <c r="E31" s="19" t="str">
        <f aca="false">IF(Metas!B19="","",Metas!H19)</f>
        <v/>
      </c>
      <c r="F31" s="19" t="str">
        <f aca="false">IF(Metas!B19="","",Metas!I19)</f>
        <v/>
      </c>
      <c r="G31" s="22" t="str">
        <f aca="false">IF(Metas!B19="","",Metas!J19)</f>
        <v/>
      </c>
      <c r="H31" s="20" t="str">
        <f aca="false">IF(E31="","",REPT("█",ROUND(E31*20,0)))</f>
        <v/>
      </c>
    </row>
    <row r="32" customFormat="false" ht="15" hidden="false" customHeight="false" outlineLevel="0" collapsed="false">
      <c r="A32" s="17" t="str">
        <f aca="false">IF(Metas!B20="","",Metas!B20)</f>
        <v/>
      </c>
      <c r="B32" s="18" t="str">
        <f aca="false">IF(Metas!B20="","",Metas!C20)</f>
        <v/>
      </c>
      <c r="C32" s="21" t="str">
        <f aca="false">IF(Metas!B20="","",Metas!G20)</f>
        <v/>
      </c>
      <c r="D32" s="21" t="str">
        <f aca="false">IF(Metas!B20="","",Metas!F20)</f>
        <v/>
      </c>
      <c r="E32" s="19" t="str">
        <f aca="false">IF(Metas!B20="","",Metas!H20)</f>
        <v/>
      </c>
      <c r="F32" s="19" t="str">
        <f aca="false">IF(Metas!B20="","",Metas!I20)</f>
        <v/>
      </c>
      <c r="G32" s="22" t="str">
        <f aca="false">IF(Metas!B20="","",Metas!J20)</f>
        <v/>
      </c>
      <c r="H32" s="20" t="str">
        <f aca="false">IF(E32="","",REPT("█",ROUND(E32*20,0)))</f>
        <v/>
      </c>
    </row>
    <row r="33" customFormat="false" ht="15" hidden="false" customHeight="false" outlineLevel="0" collapsed="false">
      <c r="A33" s="17" t="str">
        <f aca="false">IF(Metas!B21="","",Metas!B21)</f>
        <v/>
      </c>
      <c r="B33" s="18" t="str">
        <f aca="false">IF(Metas!B21="","",Metas!C21)</f>
        <v/>
      </c>
      <c r="C33" s="21" t="str">
        <f aca="false">IF(Metas!B21="","",Metas!G21)</f>
        <v/>
      </c>
      <c r="D33" s="21" t="str">
        <f aca="false">IF(Metas!B21="","",Metas!F21)</f>
        <v/>
      </c>
      <c r="E33" s="19" t="str">
        <f aca="false">IF(Metas!B21="","",Metas!H21)</f>
        <v/>
      </c>
      <c r="F33" s="19" t="str">
        <f aca="false">IF(Metas!B21="","",Metas!I21)</f>
        <v/>
      </c>
      <c r="G33" s="22" t="str">
        <f aca="false">IF(Metas!B21="","",Metas!J21)</f>
        <v/>
      </c>
      <c r="H33" s="20" t="str">
        <f aca="false">IF(E33="","",REPT("█",ROUND(E33*20,0)))</f>
        <v/>
      </c>
    </row>
    <row r="34" customFormat="false" ht="15" hidden="false" customHeight="false" outlineLevel="0" collapsed="false">
      <c r="A34" s="17" t="str">
        <f aca="false">IF(Metas!B22="","",Metas!B22)</f>
        <v/>
      </c>
      <c r="B34" s="18" t="str">
        <f aca="false">IF(Metas!B22="","",Metas!C22)</f>
        <v/>
      </c>
      <c r="C34" s="21" t="str">
        <f aca="false">IF(Metas!B22="","",Metas!G22)</f>
        <v/>
      </c>
      <c r="D34" s="21" t="str">
        <f aca="false">IF(Metas!B22="","",Metas!F22)</f>
        <v/>
      </c>
      <c r="E34" s="19" t="str">
        <f aca="false">IF(Metas!B22="","",Metas!H22)</f>
        <v/>
      </c>
      <c r="F34" s="19" t="str">
        <f aca="false">IF(Metas!B22="","",Metas!I22)</f>
        <v/>
      </c>
      <c r="G34" s="22" t="str">
        <f aca="false">IF(Metas!B22="","",Metas!J22)</f>
        <v/>
      </c>
      <c r="H34" s="20" t="str">
        <f aca="false">IF(E34="","",REPT("█",ROUND(E34*20,0)))</f>
        <v/>
      </c>
    </row>
    <row r="35" customFormat="false" ht="15" hidden="false" customHeight="false" outlineLevel="0" collapsed="false">
      <c r="A35" s="17" t="str">
        <f aca="false">IF(Metas!B23="","",Metas!B23)</f>
        <v/>
      </c>
      <c r="B35" s="18" t="str">
        <f aca="false">IF(Metas!B23="","",Metas!C23)</f>
        <v/>
      </c>
      <c r="C35" s="21" t="str">
        <f aca="false">IF(Metas!B23="","",Metas!G23)</f>
        <v/>
      </c>
      <c r="D35" s="21" t="str">
        <f aca="false">IF(Metas!B23="","",Metas!F23)</f>
        <v/>
      </c>
      <c r="E35" s="19" t="str">
        <f aca="false">IF(Metas!B23="","",Metas!H23)</f>
        <v/>
      </c>
      <c r="F35" s="19" t="str">
        <f aca="false">IF(Metas!B23="","",Metas!I23)</f>
        <v/>
      </c>
      <c r="G35" s="22" t="str">
        <f aca="false">IF(Metas!B23="","",Metas!J23)</f>
        <v/>
      </c>
      <c r="H35" s="20" t="str">
        <f aca="false">IF(E35="","",REPT("█",ROUND(E35*20,0)))</f>
        <v/>
      </c>
    </row>
    <row r="36" customFormat="false" ht="15" hidden="false" customHeight="false" outlineLevel="0" collapsed="false">
      <c r="A36" s="17" t="str">
        <f aca="false">IF(Metas!B24="","",Metas!B24)</f>
        <v/>
      </c>
      <c r="B36" s="18" t="str">
        <f aca="false">IF(Metas!B24="","",Metas!C24)</f>
        <v/>
      </c>
      <c r="C36" s="21" t="str">
        <f aca="false">IF(Metas!B24="","",Metas!G24)</f>
        <v/>
      </c>
      <c r="D36" s="21" t="str">
        <f aca="false">IF(Metas!B24="","",Metas!F24)</f>
        <v/>
      </c>
      <c r="E36" s="19" t="str">
        <f aca="false">IF(Metas!B24="","",Metas!H24)</f>
        <v/>
      </c>
      <c r="F36" s="19" t="str">
        <f aca="false">IF(Metas!B24="","",Metas!I24)</f>
        <v/>
      </c>
      <c r="G36" s="22" t="str">
        <f aca="false">IF(Metas!B24="","",Metas!J24)</f>
        <v/>
      </c>
      <c r="H36" s="20" t="str">
        <f aca="false">IF(E36="","",REPT("█",ROUND(E36*20,0)))</f>
        <v/>
      </c>
    </row>
  </sheetData>
  <sheetProtection sheet="true" formatColumns="false" formatRows="false" sort="false" autoFilter="false"/>
  <mergeCells count="16">
    <mergeCell ref="A1:H1"/>
    <mergeCell ref="A2:H2"/>
    <mergeCell ref="A4:B4"/>
    <mergeCell ref="C4:D4"/>
    <mergeCell ref="E4:F4"/>
    <mergeCell ref="G4:H4"/>
    <mergeCell ref="A5:B5"/>
    <mergeCell ref="C5:D5"/>
    <mergeCell ref="E5:F5"/>
    <mergeCell ref="G5:H5"/>
    <mergeCell ref="F8:H8"/>
    <mergeCell ref="F9:H9"/>
    <mergeCell ref="F10:H10"/>
    <mergeCell ref="F11:H11"/>
    <mergeCell ref="F12:H12"/>
    <mergeCell ref="F13:H13"/>
  </mergeCells>
  <conditionalFormatting sqref="G17:G36">
    <cfRule type="expression" priority="2" aboveAverage="0" equalAverage="0" bottom="0" percent="0" rank="0" text="" dxfId="0">
      <formula>G17="Atingido"</formula>
    </cfRule>
    <cfRule type="expression" priority="3" aboveAverage="0" equalAverage="0" bottom="0" percent="0" rank="0" text="" dxfId="1">
      <formula>G17="No ritmo"</formula>
    </cfRule>
    <cfRule type="expression" priority="4" aboveAverage="0" equalAverage="0" bottom="0" percent="0" rank="0" text="" dxfId="2">
      <formula>G17="Atenção"</formula>
    </cfRule>
    <cfRule type="expression" priority="5" aboveAverage="0" equalAverage="0" bottom="0" percent="0" rank="0" text="" dxfId="3">
      <formula>G17="Em risco"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23" t="s">
        <v>39</v>
      </c>
    </row>
    <row r="2" customFormat="false" ht="15" hidden="false" customHeight="false" outlineLevel="0" collapsed="false">
      <c r="A2" s="24" t="s">
        <v>40</v>
      </c>
      <c r="B2" s="24"/>
      <c r="C2" s="24"/>
      <c r="D2" s="24"/>
      <c r="E2" s="24"/>
      <c r="F2" s="24"/>
    </row>
    <row r="4" customFormat="false" ht="15" hidden="false" customHeight="false" outlineLevel="0" collapsed="false">
      <c r="A4" s="25" t="s">
        <v>41</v>
      </c>
      <c r="B4" s="26" t="s">
        <v>42</v>
      </c>
    </row>
    <row r="5" customFormat="false" ht="15" hidden="false" customHeight="false" outlineLevel="0" collapsed="false">
      <c r="A5" s="25" t="s">
        <v>43</v>
      </c>
      <c r="B5" s="26" t="s">
        <v>44</v>
      </c>
    </row>
    <row r="6" customFormat="false" ht="15" hidden="false" customHeight="false" outlineLevel="0" collapsed="false">
      <c r="A6" s="25" t="s">
        <v>45</v>
      </c>
      <c r="B6" s="27" t="n">
        <v>46204</v>
      </c>
    </row>
    <row r="7" customFormat="false" ht="15" hidden="false" customHeight="false" outlineLevel="0" collapsed="false">
      <c r="A7" s="25" t="s">
        <v>46</v>
      </c>
      <c r="B7" s="27" t="n">
        <v>46295</v>
      </c>
    </row>
    <row r="8" customFormat="false" ht="15" hidden="false" customHeight="false" outlineLevel="0" collapsed="false">
      <c r="A8" s="25" t="s">
        <v>47</v>
      </c>
      <c r="B8" s="27" t="n">
        <f aca="true">TODAY()</f>
        <v>46278</v>
      </c>
      <c r="C8" s="28" t="s">
        <v>48</v>
      </c>
    </row>
    <row r="9" customFormat="false" ht="15" hidden="false" customHeight="false" outlineLevel="0" collapsed="false">
      <c r="A9" s="25" t="s">
        <v>49</v>
      </c>
      <c r="B9" s="18" t="n">
        <f aca="false">IF(B8&lt;B6,0,MIN(13,INT((B8-B6)/7)+1))</f>
        <v>11</v>
      </c>
    </row>
    <row r="10" customFormat="false" ht="15" hidden="false" customHeight="false" outlineLevel="0" collapsed="false">
      <c r="A10" s="25" t="s">
        <v>50</v>
      </c>
      <c r="B10" s="19" t="n">
        <f aca="false">MAX(0,MIN(1,(B8-B6)/(B7-B6)))</f>
        <v>0.813186813186813</v>
      </c>
    </row>
  </sheetData>
  <sheetProtection sheet="true" formatColumns="false" formatRows="false" sort="false" autoFilter="false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6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23" t="s">
        <v>51</v>
      </c>
    </row>
    <row r="2" customFormat="false" ht="15" hidden="false" customHeight="false" outlineLevel="0" collapsed="false">
      <c r="A2" s="24" t="s">
        <v>52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</row>
    <row r="4" customFormat="false" ht="25.5" hidden="false" customHeight="true" outlineLevel="0" collapsed="false">
      <c r="A4" s="16" t="s">
        <v>29</v>
      </c>
      <c r="B4" s="16" t="s">
        <v>32</v>
      </c>
      <c r="C4" s="16" t="s">
        <v>33</v>
      </c>
      <c r="D4" s="16" t="s">
        <v>53</v>
      </c>
      <c r="E4" s="16" t="s">
        <v>54</v>
      </c>
      <c r="F4" s="16" t="s">
        <v>35</v>
      </c>
      <c r="G4" s="16" t="s">
        <v>55</v>
      </c>
      <c r="H4" s="16" t="s">
        <v>36</v>
      </c>
      <c r="I4" s="16" t="s">
        <v>56</v>
      </c>
      <c r="J4" s="16" t="s">
        <v>38</v>
      </c>
      <c r="K4" s="16" t="s">
        <v>57</v>
      </c>
      <c r="L4" s="16" t="s">
        <v>58</v>
      </c>
    </row>
    <row r="5" customFormat="false" ht="18" hidden="false" customHeight="true" outlineLevel="0" collapsed="false">
      <c r="A5" s="29" t="s">
        <v>59</v>
      </c>
      <c r="B5" s="26" t="s">
        <v>60</v>
      </c>
      <c r="C5" s="30" t="s">
        <v>61</v>
      </c>
      <c r="D5" s="30" t="s">
        <v>62</v>
      </c>
      <c r="E5" s="30" t="n">
        <v>0</v>
      </c>
      <c r="F5" s="30" t="n">
        <v>3</v>
      </c>
      <c r="G5" s="30" t="n">
        <v>2</v>
      </c>
      <c r="H5" s="19" t="n">
        <f aca="false">IF(B5="","",IF(F5=E5,"",IF(K5="Menor é melhor",MAX(0,MIN(1,(E5-G5)/(E5-F5))),MAX(0,MIN(1,(G5-E5)/(F5-E5))))))</f>
        <v>0.666666666666667</v>
      </c>
      <c r="I5" s="19" t="n">
        <f aca="false">IF(B5="","",Config!$B$10)</f>
        <v>0.813186813186813</v>
      </c>
      <c r="J5" s="22" t="str">
        <f aca="false">IF(OR(B5="",H5=""),"",IF(H5&gt;=1,"Atingido",IF(H5&gt;=I5-0.1,"No ritmo",IF(H5&gt;=I5-0.25,"Atenção","Em risco"))))</f>
        <v>Atenção</v>
      </c>
      <c r="K5" s="30" t="s">
        <v>63</v>
      </c>
      <c r="L5" s="31"/>
    </row>
    <row r="6" customFormat="false" ht="15" hidden="false" customHeight="false" outlineLevel="0" collapsed="false">
      <c r="A6" s="29"/>
      <c r="B6" s="26" t="s">
        <v>64</v>
      </c>
      <c r="C6" s="30" t="s">
        <v>61</v>
      </c>
      <c r="D6" s="30" t="s">
        <v>65</v>
      </c>
      <c r="E6" s="30" t="n">
        <v>18000</v>
      </c>
      <c r="F6" s="30" t="n">
        <v>30000</v>
      </c>
      <c r="G6" s="30" t="n">
        <v>27400</v>
      </c>
      <c r="H6" s="19" t="n">
        <f aca="false">IF(B6="","",IF(F6=E6,"",IF(K6="Menor é melhor",MAX(0,MIN(1,(E6-G6)/(E6-F6))),MAX(0,MIN(1,(G6-E6)/(F6-E6))))))</f>
        <v>0.783333333333333</v>
      </c>
      <c r="I6" s="19" t="n">
        <f aca="false">IF(B6="","",Config!$B$10)</f>
        <v>0.813186813186813</v>
      </c>
      <c r="J6" s="22" t="str">
        <f aca="false">IF(OR(B6="",H6=""),"",IF(H6&gt;=1,"Atingido",IF(H6&gt;=I6-0.1,"No ritmo",IF(H6&gt;=I6-0.25,"Atenção","Em risco"))))</f>
        <v>No ritmo</v>
      </c>
      <c r="K6" s="30" t="s">
        <v>63</v>
      </c>
      <c r="L6" s="31"/>
    </row>
    <row r="7" customFormat="false" ht="15" hidden="false" customHeight="false" outlineLevel="0" collapsed="false">
      <c r="A7" s="29"/>
      <c r="B7" s="26" t="s">
        <v>66</v>
      </c>
      <c r="C7" s="30" t="s">
        <v>67</v>
      </c>
      <c r="D7" s="30" t="s">
        <v>68</v>
      </c>
      <c r="E7" s="30" t="n">
        <v>0</v>
      </c>
      <c r="F7" s="30" t="n">
        <v>24</v>
      </c>
      <c r="G7" s="30" t="n">
        <v>24</v>
      </c>
      <c r="H7" s="19" t="n">
        <f aca="false">IF(B7="","",IF(F7=E7,"",IF(K7="Menor é melhor",MAX(0,MIN(1,(E7-G7)/(E7-F7))),MAX(0,MIN(1,(G7-E7)/(F7-E7))))))</f>
        <v>1</v>
      </c>
      <c r="I7" s="19" t="n">
        <f aca="false">IF(B7="","",Config!$B$10)</f>
        <v>0.813186813186813</v>
      </c>
      <c r="J7" s="22" t="str">
        <f aca="false">IF(OR(B7="",H7=""),"",IF(H7&gt;=1,"Atingido",IF(H7&gt;=I7-0.1,"No ritmo",IF(H7&gt;=I7-0.25,"Atenção","Em risco"))))</f>
        <v>Atingido</v>
      </c>
      <c r="K7" s="30" t="s">
        <v>63</v>
      </c>
      <c r="L7" s="31"/>
    </row>
    <row r="8" customFormat="false" ht="15" hidden="false" customHeight="false" outlineLevel="0" collapsed="false">
      <c r="A8" s="29"/>
      <c r="B8" s="26"/>
      <c r="C8" s="30"/>
      <c r="D8" s="30"/>
      <c r="E8" s="30"/>
      <c r="F8" s="30"/>
      <c r="G8" s="30"/>
      <c r="H8" s="19" t="str">
        <f aca="false">IF(B8="","",IF(F8=E8,"",IF(K8="Menor é melhor",MAX(0,MIN(1,(E8-G8)/(E8-F8))),MAX(0,MIN(1,(G8-E8)/(F8-E8))))))</f>
        <v/>
      </c>
      <c r="I8" s="19" t="str">
        <f aca="false">IF(B8="","",Config!$B$10)</f>
        <v/>
      </c>
      <c r="J8" s="22" t="str">
        <f aca="false">IF(OR(B8="",H8=""),"",IF(H8&gt;=1,"Atingido",IF(H8&gt;=I8-0.1,"No ritmo",IF(H8&gt;=I8-0.25,"Atenção","Em risco"))))</f>
        <v/>
      </c>
      <c r="K8" s="30"/>
      <c r="L8" s="31"/>
    </row>
    <row r="9" customFormat="false" ht="18" hidden="false" customHeight="true" outlineLevel="0" collapsed="false">
      <c r="A9" s="29" t="s">
        <v>69</v>
      </c>
      <c r="B9" s="26" t="s">
        <v>70</v>
      </c>
      <c r="C9" s="30" t="s">
        <v>61</v>
      </c>
      <c r="D9" s="30" t="s">
        <v>71</v>
      </c>
      <c r="E9" s="30" t="n">
        <v>4</v>
      </c>
      <c r="F9" s="30" t="n">
        <v>1</v>
      </c>
      <c r="G9" s="30" t="n">
        <v>3</v>
      </c>
      <c r="H9" s="19" t="n">
        <f aca="false">IF(B9="","",IF(F9=E9,"",IF(K9="Menor é melhor",MAX(0,MIN(1,(E9-G9)/(E9-F9))),MAX(0,MIN(1,(G9-E9)/(F9-E9))))))</f>
        <v>0.333333333333333</v>
      </c>
      <c r="I9" s="19" t="n">
        <f aca="false">IF(B9="","",Config!$B$10)</f>
        <v>0.813186813186813</v>
      </c>
      <c r="J9" s="22" t="str">
        <f aca="false">IF(OR(B9="",H9=""),"",IF(H9&gt;=1,"Atingido",IF(H9&gt;=I9-0.1,"No ritmo",IF(H9&gt;=I9-0.25,"Atenção","Em risco"))))</f>
        <v>Em risco</v>
      </c>
      <c r="K9" s="30" t="s">
        <v>72</v>
      </c>
      <c r="L9" s="31"/>
    </row>
    <row r="10" customFormat="false" ht="15" hidden="false" customHeight="false" outlineLevel="0" collapsed="false">
      <c r="A10" s="29"/>
      <c r="B10" s="26" t="s">
        <v>73</v>
      </c>
      <c r="C10" s="30" t="s">
        <v>74</v>
      </c>
      <c r="D10" s="30" t="s">
        <v>75</v>
      </c>
      <c r="E10" s="30" t="n">
        <v>60</v>
      </c>
      <c r="F10" s="30" t="n">
        <v>90</v>
      </c>
      <c r="G10" s="30" t="n">
        <v>82</v>
      </c>
      <c r="H10" s="19" t="n">
        <f aca="false">IF(B10="","",IF(F10=E10,"",IF(K10="Menor é melhor",MAX(0,MIN(1,(E10-G10)/(E10-F10))),MAX(0,MIN(1,(G10-E10)/(F10-E10))))))</f>
        <v>0.733333333333333</v>
      </c>
      <c r="I10" s="19" t="n">
        <f aca="false">IF(B10="","",Config!$B$10)</f>
        <v>0.813186813186813</v>
      </c>
      <c r="J10" s="22" t="str">
        <f aca="false">IF(OR(B10="",H10=""),"",IF(H10&gt;=1,"Atingido",IF(H10&gt;=I10-0.1,"No ritmo",IF(H10&gt;=I10-0.25,"Atenção","Em risco"))))</f>
        <v>No ritmo</v>
      </c>
      <c r="K10" s="30" t="s">
        <v>63</v>
      </c>
      <c r="L10" s="31"/>
    </row>
    <row r="11" customFormat="false" ht="15" hidden="false" customHeight="false" outlineLevel="0" collapsed="false">
      <c r="A11" s="29"/>
      <c r="B11" s="26"/>
      <c r="C11" s="30"/>
      <c r="D11" s="30"/>
      <c r="E11" s="30"/>
      <c r="F11" s="30"/>
      <c r="G11" s="30"/>
      <c r="H11" s="19" t="str">
        <f aca="false">IF(B11="","",IF(F11=E11,"",IF(K11="Menor é melhor",MAX(0,MIN(1,(E11-G11)/(E11-F11))),MAX(0,MIN(1,(G11-E11)/(F11-E11))))))</f>
        <v/>
      </c>
      <c r="I11" s="19" t="str">
        <f aca="false">IF(B11="","",Config!$B$10)</f>
        <v/>
      </c>
      <c r="J11" s="22" t="str">
        <f aca="false">IF(OR(B11="",H11=""),"",IF(H11&gt;=1,"Atingido",IF(H11&gt;=I11-0.1,"No ritmo",IF(H11&gt;=I11-0.25,"Atenção","Em risco"))))</f>
        <v/>
      </c>
      <c r="K11" s="30"/>
      <c r="L11" s="31"/>
    </row>
    <row r="12" customFormat="false" ht="15" hidden="false" customHeight="false" outlineLevel="0" collapsed="false">
      <c r="A12" s="29"/>
      <c r="B12" s="26"/>
      <c r="C12" s="30"/>
      <c r="D12" s="30"/>
      <c r="E12" s="30"/>
      <c r="F12" s="30"/>
      <c r="G12" s="30"/>
      <c r="H12" s="19" t="str">
        <f aca="false">IF(B12="","",IF(F12=E12,"",IF(K12="Menor é melhor",MAX(0,MIN(1,(E12-G12)/(E12-F12))),MAX(0,MIN(1,(G12-E12)/(F12-E12))))))</f>
        <v/>
      </c>
      <c r="I12" s="19" t="str">
        <f aca="false">IF(B12="","",Config!$B$10)</f>
        <v/>
      </c>
      <c r="J12" s="22" t="str">
        <f aca="false">IF(OR(B12="",H12=""),"",IF(H12&gt;=1,"Atingido",IF(H12&gt;=I12-0.1,"No ritmo",IF(H12&gt;=I12-0.25,"Atenção","Em risco"))))</f>
        <v/>
      </c>
      <c r="K12" s="30"/>
      <c r="L12" s="31"/>
    </row>
    <row r="13" customFormat="false" ht="18" hidden="false" customHeight="true" outlineLevel="0" collapsed="false">
      <c r="A13" s="29" t="s">
        <v>76</v>
      </c>
      <c r="B13" s="26" t="s">
        <v>77</v>
      </c>
      <c r="C13" s="30" t="s">
        <v>74</v>
      </c>
      <c r="D13" s="30" t="s">
        <v>78</v>
      </c>
      <c r="E13" s="30" t="n">
        <v>3.2</v>
      </c>
      <c r="F13" s="30" t="n">
        <v>2</v>
      </c>
      <c r="G13" s="30" t="n">
        <v>2.8</v>
      </c>
      <c r="H13" s="19" t="n">
        <f aca="false">IF(B13="","",IF(F13=E13,"",IF(K13="Menor é melhor",MAX(0,MIN(1,(E13-G13)/(E13-F13))),MAX(0,MIN(1,(G13-E13)/(F13-E13))))))</f>
        <v>0.333333333333334</v>
      </c>
      <c r="I13" s="19" t="n">
        <f aca="false">IF(B13="","",Config!$B$10)</f>
        <v>0.813186813186813</v>
      </c>
      <c r="J13" s="22" t="str">
        <f aca="false">IF(OR(B13="",H13=""),"",IF(H13&gt;=1,"Atingido",IF(H13&gt;=I13-0.1,"No ritmo",IF(H13&gt;=I13-0.25,"Atenção","Em risco"))))</f>
        <v>Em risco</v>
      </c>
      <c r="K13" s="30" t="s">
        <v>72</v>
      </c>
      <c r="L13" s="31"/>
    </row>
    <row r="14" customFormat="false" ht="15" hidden="false" customHeight="false" outlineLevel="0" collapsed="false">
      <c r="A14" s="29"/>
      <c r="B14" s="26" t="s">
        <v>79</v>
      </c>
      <c r="C14" s="30" t="s">
        <v>67</v>
      </c>
      <c r="D14" s="30" t="s">
        <v>75</v>
      </c>
      <c r="E14" s="30" t="n">
        <v>40</v>
      </c>
      <c r="F14" s="30" t="n">
        <v>65</v>
      </c>
      <c r="G14" s="30" t="n">
        <v>60</v>
      </c>
      <c r="H14" s="19" t="n">
        <f aca="false">IF(B14="","",IF(F14=E14,"",IF(K14="Menor é melhor",MAX(0,MIN(1,(E14-G14)/(E14-F14))),MAX(0,MIN(1,(G14-E14)/(F14-E14))))))</f>
        <v>0.8</v>
      </c>
      <c r="I14" s="19" t="n">
        <f aca="false">IF(B14="","",Config!$B$10)</f>
        <v>0.813186813186813</v>
      </c>
      <c r="J14" s="22" t="str">
        <f aca="false">IF(OR(B14="",H14=""),"",IF(H14&gt;=1,"Atingido",IF(H14&gt;=I14-0.1,"No ritmo",IF(H14&gt;=I14-0.25,"Atenção","Em risco"))))</f>
        <v>No ritmo</v>
      </c>
      <c r="K14" s="30" t="s">
        <v>63</v>
      </c>
      <c r="L14" s="31"/>
    </row>
    <row r="15" customFormat="false" ht="15" hidden="false" customHeight="false" outlineLevel="0" collapsed="false">
      <c r="A15" s="29"/>
      <c r="B15" s="26"/>
      <c r="C15" s="30"/>
      <c r="D15" s="30"/>
      <c r="E15" s="30"/>
      <c r="F15" s="30"/>
      <c r="G15" s="30"/>
      <c r="H15" s="19" t="str">
        <f aca="false">IF(B15="","",IF(F15=E15,"",IF(K15="Menor é melhor",MAX(0,MIN(1,(E15-G15)/(E15-F15))),MAX(0,MIN(1,(G15-E15)/(F15-E15))))))</f>
        <v/>
      </c>
      <c r="I15" s="19" t="str">
        <f aca="false">IF(B15="","",Config!$B$10)</f>
        <v/>
      </c>
      <c r="J15" s="22" t="str">
        <f aca="false">IF(OR(B15="",H15=""),"",IF(H15&gt;=1,"Atingido",IF(H15&gt;=I15-0.1,"No ritmo",IF(H15&gt;=I15-0.25,"Atenção","Em risco"))))</f>
        <v/>
      </c>
      <c r="K15" s="30"/>
      <c r="L15" s="31"/>
    </row>
    <row r="16" customFormat="false" ht="15" hidden="false" customHeight="false" outlineLevel="0" collapsed="false">
      <c r="A16" s="29"/>
      <c r="B16" s="26"/>
      <c r="C16" s="30"/>
      <c r="D16" s="30"/>
      <c r="E16" s="30"/>
      <c r="F16" s="30"/>
      <c r="G16" s="30"/>
      <c r="H16" s="19" t="str">
        <f aca="false">IF(B16="","",IF(F16=E16,"",IF(K16="Menor é melhor",MAX(0,MIN(1,(E16-G16)/(E16-F16))),MAX(0,MIN(1,(G16-E16)/(F16-E16))))))</f>
        <v/>
      </c>
      <c r="I16" s="19" t="str">
        <f aca="false">IF(B16="","",Config!$B$10)</f>
        <v/>
      </c>
      <c r="J16" s="22" t="str">
        <f aca="false">IF(OR(B16="",H16=""),"",IF(H16&gt;=1,"Atingido",IF(H16&gt;=I16-0.1,"No ritmo",IF(H16&gt;=I16-0.25,"Atenção","Em risco"))))</f>
        <v/>
      </c>
      <c r="K16" s="30"/>
      <c r="L16" s="31"/>
    </row>
    <row r="17" customFormat="false" ht="18" hidden="false" customHeight="true" outlineLevel="0" collapsed="false">
      <c r="A17" s="29" t="s">
        <v>80</v>
      </c>
      <c r="B17" s="26" t="s">
        <v>81</v>
      </c>
      <c r="C17" s="30" t="s">
        <v>61</v>
      </c>
      <c r="D17" s="30" t="s">
        <v>82</v>
      </c>
      <c r="E17" s="30" t="n">
        <v>0</v>
      </c>
      <c r="F17" s="30" t="n">
        <v>3</v>
      </c>
      <c r="G17" s="30" t="n">
        <v>2</v>
      </c>
      <c r="H17" s="19" t="n">
        <f aca="false">IF(B17="","",IF(F17=E17,"",IF(K17="Menor é melhor",MAX(0,MIN(1,(E17-G17)/(E17-F17))),MAX(0,MIN(1,(G17-E17)/(F17-E17))))))</f>
        <v>0.666666666666667</v>
      </c>
      <c r="I17" s="19" t="n">
        <f aca="false">IF(B17="","",Config!$B$10)</f>
        <v>0.813186813186813</v>
      </c>
      <c r="J17" s="22" t="str">
        <f aca="false">IF(OR(B17="",H17=""),"",IF(H17&gt;=1,"Atingido",IF(H17&gt;=I17-0.1,"No ritmo",IF(H17&gt;=I17-0.25,"Atenção","Em risco"))))</f>
        <v>Atenção</v>
      </c>
      <c r="K17" s="30" t="s">
        <v>63</v>
      </c>
      <c r="L17" s="31"/>
    </row>
    <row r="18" customFormat="false" ht="15" hidden="false" customHeight="false" outlineLevel="0" collapsed="false">
      <c r="A18" s="29"/>
      <c r="B18" s="26" t="s">
        <v>83</v>
      </c>
      <c r="C18" s="30" t="s">
        <v>61</v>
      </c>
      <c r="D18" s="30" t="s">
        <v>84</v>
      </c>
      <c r="E18" s="30" t="n">
        <v>20</v>
      </c>
      <c r="F18" s="30" t="n">
        <v>8</v>
      </c>
      <c r="G18" s="30" t="n">
        <v>14</v>
      </c>
      <c r="H18" s="19" t="n">
        <f aca="false">IF(B18="","",IF(F18=E18,"",IF(K18="Menor é melhor",MAX(0,MIN(1,(E18-G18)/(E18-F18))),MAX(0,MIN(1,(G18-E18)/(F18-E18))))))</f>
        <v>0.5</v>
      </c>
      <c r="I18" s="19" t="n">
        <f aca="false">IF(B18="","",Config!$B$10)</f>
        <v>0.813186813186813</v>
      </c>
      <c r="J18" s="22" t="str">
        <f aca="false">IF(OR(B18="",H18=""),"",IF(H18&gt;=1,"Atingido",IF(H18&gt;=I18-0.1,"No ritmo",IF(H18&gt;=I18-0.25,"Atenção","Em risco"))))</f>
        <v>Em risco</v>
      </c>
      <c r="K18" s="30" t="s">
        <v>72</v>
      </c>
      <c r="L18" s="31"/>
    </row>
    <row r="19" customFormat="false" ht="15" hidden="false" customHeight="false" outlineLevel="0" collapsed="false">
      <c r="A19" s="29"/>
      <c r="B19" s="26"/>
      <c r="C19" s="30"/>
      <c r="D19" s="30"/>
      <c r="E19" s="30"/>
      <c r="F19" s="30"/>
      <c r="G19" s="30"/>
      <c r="H19" s="19" t="str">
        <f aca="false">IF(B19="","",IF(F19=E19,"",IF(K19="Menor é melhor",MAX(0,MIN(1,(E19-G19)/(E19-F19))),MAX(0,MIN(1,(G19-E19)/(F19-E19))))))</f>
        <v/>
      </c>
      <c r="I19" s="19" t="str">
        <f aca="false">IF(B19="","",Config!$B$10)</f>
        <v/>
      </c>
      <c r="J19" s="22" t="str">
        <f aca="false">IF(OR(B19="",H19=""),"",IF(H19&gt;=1,"Atingido",IF(H19&gt;=I19-0.1,"No ritmo",IF(H19&gt;=I19-0.25,"Atenção","Em risco"))))</f>
        <v/>
      </c>
      <c r="K19" s="30"/>
      <c r="L19" s="31"/>
    </row>
    <row r="20" customFormat="false" ht="15" hidden="false" customHeight="false" outlineLevel="0" collapsed="false">
      <c r="A20" s="29"/>
      <c r="B20" s="26"/>
      <c r="C20" s="30"/>
      <c r="D20" s="30"/>
      <c r="E20" s="30"/>
      <c r="F20" s="30"/>
      <c r="G20" s="30"/>
      <c r="H20" s="19" t="str">
        <f aca="false">IF(B20="","",IF(F20=E20,"",IF(K20="Menor é melhor",MAX(0,MIN(1,(E20-G20)/(E20-F20))),MAX(0,MIN(1,(G20-E20)/(F20-E20))))))</f>
        <v/>
      </c>
      <c r="I20" s="19" t="str">
        <f aca="false">IF(B20="","",Config!$B$10)</f>
        <v/>
      </c>
      <c r="J20" s="22" t="str">
        <f aca="false">IF(OR(B20="",H20=""),"",IF(H20&gt;=1,"Atingido",IF(H20&gt;=I20-0.1,"No ritmo",IF(H20&gt;=I20-0.25,"Atenção","Em risco"))))</f>
        <v/>
      </c>
      <c r="K20" s="30"/>
      <c r="L20" s="31"/>
    </row>
    <row r="21" customFormat="false" ht="18" hidden="false" customHeight="true" outlineLevel="0" collapsed="false">
      <c r="A21" s="29"/>
      <c r="B21" s="26"/>
      <c r="C21" s="30"/>
      <c r="D21" s="30"/>
      <c r="E21" s="30"/>
      <c r="F21" s="30"/>
      <c r="G21" s="30"/>
      <c r="H21" s="19" t="str">
        <f aca="false">IF(B21="","",IF(F21=E21,"",IF(K21="Menor é melhor",MAX(0,MIN(1,(E21-G21)/(E21-F21))),MAX(0,MIN(1,(G21-E21)/(F21-E21))))))</f>
        <v/>
      </c>
      <c r="I21" s="19" t="str">
        <f aca="false">IF(B21="","",Config!$B$10)</f>
        <v/>
      </c>
      <c r="J21" s="22" t="str">
        <f aca="false">IF(OR(B21="",H21=""),"",IF(H21&gt;=1,"Atingido",IF(H21&gt;=I21-0.1,"No ritmo",IF(H21&gt;=I21-0.25,"Atenção","Em risco"))))</f>
        <v/>
      </c>
      <c r="K21" s="30"/>
      <c r="L21" s="31"/>
    </row>
    <row r="22" customFormat="false" ht="15" hidden="false" customHeight="false" outlineLevel="0" collapsed="false">
      <c r="A22" s="29"/>
      <c r="B22" s="26"/>
      <c r="C22" s="30"/>
      <c r="D22" s="30"/>
      <c r="E22" s="30"/>
      <c r="F22" s="30"/>
      <c r="G22" s="30"/>
      <c r="H22" s="19" t="str">
        <f aca="false">IF(B22="","",IF(F22=E22,"",IF(K22="Menor é melhor",MAX(0,MIN(1,(E22-G22)/(E22-F22))),MAX(0,MIN(1,(G22-E22)/(F22-E22))))))</f>
        <v/>
      </c>
      <c r="I22" s="19" t="str">
        <f aca="false">IF(B22="","",Config!$B$10)</f>
        <v/>
      </c>
      <c r="J22" s="22" t="str">
        <f aca="false">IF(OR(B22="",H22=""),"",IF(H22&gt;=1,"Atingido",IF(H22&gt;=I22-0.1,"No ritmo",IF(H22&gt;=I22-0.25,"Atenção","Em risco"))))</f>
        <v/>
      </c>
      <c r="K22" s="30"/>
      <c r="L22" s="31"/>
    </row>
    <row r="23" customFormat="false" ht="15" hidden="false" customHeight="false" outlineLevel="0" collapsed="false">
      <c r="A23" s="29"/>
      <c r="B23" s="26"/>
      <c r="C23" s="30"/>
      <c r="D23" s="30"/>
      <c r="E23" s="30"/>
      <c r="F23" s="30"/>
      <c r="G23" s="30"/>
      <c r="H23" s="19" t="str">
        <f aca="false">IF(B23="","",IF(F23=E23,"",IF(K23="Menor é melhor",MAX(0,MIN(1,(E23-G23)/(E23-F23))),MAX(0,MIN(1,(G23-E23)/(F23-E23))))))</f>
        <v/>
      </c>
      <c r="I23" s="19" t="str">
        <f aca="false">IF(B23="","",Config!$B$10)</f>
        <v/>
      </c>
      <c r="J23" s="22" t="str">
        <f aca="false">IF(OR(B23="",H23=""),"",IF(H23&gt;=1,"Atingido",IF(H23&gt;=I23-0.1,"No ritmo",IF(H23&gt;=I23-0.25,"Atenção","Em risco"))))</f>
        <v/>
      </c>
      <c r="K23" s="30"/>
      <c r="L23" s="31"/>
    </row>
    <row r="24" customFormat="false" ht="15" hidden="false" customHeight="false" outlineLevel="0" collapsed="false">
      <c r="A24" s="29"/>
      <c r="B24" s="26"/>
      <c r="C24" s="30"/>
      <c r="D24" s="30"/>
      <c r="E24" s="30"/>
      <c r="F24" s="30"/>
      <c r="G24" s="30"/>
      <c r="H24" s="19" t="str">
        <f aca="false">IF(B24="","",IF(F24=E24,"",IF(K24="Menor é melhor",MAX(0,MIN(1,(E24-G24)/(E24-F24))),MAX(0,MIN(1,(G24-E24)/(F24-E24))))))</f>
        <v/>
      </c>
      <c r="I24" s="19" t="str">
        <f aca="false">IF(B24="","",Config!$B$10)</f>
        <v/>
      </c>
      <c r="J24" s="22" t="str">
        <f aca="false">IF(OR(B24="",H24=""),"",IF(H24&gt;=1,"Atingido",IF(H24&gt;=I24-0.1,"No ritmo",IF(H24&gt;=I24-0.25,"Atenção","Em risco"))))</f>
        <v/>
      </c>
      <c r="K24" s="30"/>
      <c r="L24" s="31"/>
    </row>
  </sheetData>
  <sheetProtection sheet="true" formatColumns="false" formatRows="false" sort="false" autoFilter="false"/>
  <mergeCells count="6">
    <mergeCell ref="A2:M2"/>
    <mergeCell ref="A5:A8"/>
    <mergeCell ref="A9:A12"/>
    <mergeCell ref="A13:A16"/>
    <mergeCell ref="A17:A20"/>
    <mergeCell ref="A21:A24"/>
  </mergeCells>
  <conditionalFormatting sqref="J5:J24">
    <cfRule type="expression" priority="2" aboveAverage="0" equalAverage="0" bottom="0" percent="0" rank="0" text="" dxfId="0">
      <formula>J5="Atingido"</formula>
    </cfRule>
    <cfRule type="expression" priority="3" aboveAverage="0" equalAverage="0" bottom="0" percent="0" rank="0" text="" dxfId="1">
      <formula>J5="No ritmo"</formula>
    </cfRule>
    <cfRule type="expression" priority="4" aboveAverage="0" equalAverage="0" bottom="0" percent="0" rank="0" text="" dxfId="2">
      <formula>J5="Atenção"</formula>
    </cfRule>
    <cfRule type="expression" priority="5" aboveAverage="0" equalAverage="0" bottom="0" percent="0" rank="0" text="" dxfId="3">
      <formula>J5="Em risco"</formula>
    </cfRule>
  </conditionalFormatting>
  <dataValidations count="2">
    <dataValidation allowBlank="true" errorStyle="stop" operator="between" showDropDown="false" showErrorMessage="true" showInputMessage="false" sqref="K5:K24" type="list">
      <formula1>"Maior é melhor,Menor é melhor"</formula1>
      <formula2>0</formula2>
    </dataValidation>
    <dataValidation allowBlank="true" errorStyle="stop" operator="between" showDropDown="false" showErrorMessage="false" showInputMessage="false" sqref="E5:G2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15" min="3" style="0" width="7"/>
  </cols>
  <sheetData>
    <row r="1" customFormat="false" ht="19.7" hidden="false" customHeight="false" outlineLevel="0" collapsed="false">
      <c r="A1" s="23" t="s">
        <v>85</v>
      </c>
    </row>
    <row r="2" customFormat="false" ht="15" hidden="false" customHeight="false" outlineLevel="0" collapsed="false">
      <c r="A2" s="24" t="s">
        <v>86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</row>
    <row r="4" customFormat="false" ht="25.5" hidden="false" customHeight="true" outlineLevel="0" collapsed="false">
      <c r="A4" s="16" t="s">
        <v>32</v>
      </c>
      <c r="B4" s="16" t="s">
        <v>35</v>
      </c>
      <c r="C4" s="16" t="s">
        <v>87</v>
      </c>
      <c r="D4" s="16" t="s">
        <v>88</v>
      </c>
      <c r="E4" s="16" t="s">
        <v>89</v>
      </c>
      <c r="F4" s="16" t="s">
        <v>90</v>
      </c>
      <c r="G4" s="16" t="s">
        <v>91</v>
      </c>
      <c r="H4" s="16" t="s">
        <v>92</v>
      </c>
      <c r="I4" s="16" t="s">
        <v>93</v>
      </c>
      <c r="J4" s="16" t="s">
        <v>94</v>
      </c>
      <c r="K4" s="16" t="s">
        <v>95</v>
      </c>
      <c r="L4" s="16" t="s">
        <v>96</v>
      </c>
      <c r="M4" s="16" t="s">
        <v>97</v>
      </c>
      <c r="N4" s="16" t="s">
        <v>98</v>
      </c>
      <c r="O4" s="16" t="s">
        <v>99</v>
      </c>
    </row>
    <row r="5" customFormat="false" ht="15" hidden="false" customHeight="false" outlineLevel="0" collapsed="false">
      <c r="A5" s="17" t="str">
        <f aca="false">IF(Metas!B5="","",Metas!B5)</f>
        <v>Fechar 3 contratos mensais novos</v>
      </c>
      <c r="B5" s="18" t="n">
        <f aca="false">IF(Metas!B5="","",Metas!F5)</f>
        <v>3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</row>
    <row r="6" customFormat="false" ht="15" hidden="false" customHeight="false" outlineLevel="0" collapsed="false">
      <c r="A6" s="17" t="str">
        <f aca="false">IF(Metas!B6="","",Metas!B6)</f>
        <v>Receita recorrente mensal de R$ 30 mil</v>
      </c>
      <c r="B6" s="18" t="n">
        <f aca="false">IF(Metas!B6="","",Metas!F6)</f>
        <v>30000</v>
      </c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</row>
    <row r="7" customFormat="false" ht="15" hidden="false" customHeight="false" outlineLevel="0" collapsed="false">
      <c r="A7" s="17" t="str">
        <f aca="false">IF(Metas!B7="","",Metas!B7)</f>
        <v>Propostas enviadas no trimestre</v>
      </c>
      <c r="B7" s="18" t="n">
        <f aca="false">IF(Metas!B7="","",Metas!F7)</f>
        <v>24</v>
      </c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</row>
    <row r="8" customFormat="false" ht="15" hidden="false" customHeight="false" outlineLevel="0" collapsed="false">
      <c r="A8" s="17" t="str">
        <f aca="false">IF(Metas!B8="","",Metas!B8)</f>
        <v/>
      </c>
      <c r="B8" s="18" t="str">
        <f aca="false">IF(Metas!B8="","",Metas!F8)</f>
        <v/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</row>
    <row r="9" customFormat="false" ht="15" hidden="false" customHeight="false" outlineLevel="0" collapsed="false">
      <c r="A9" s="17" t="str">
        <f aca="false">IF(Metas!B9="","",Metas!B9)</f>
        <v>Etapas atrasadas por semana (média)</v>
      </c>
      <c r="B9" s="18" t="n">
        <f aca="false">IF(Metas!B9="","",Metas!F9)</f>
        <v>1</v>
      </c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</row>
    <row r="10" customFormat="false" ht="15" hidden="false" customHeight="false" outlineLevel="0" collapsed="false">
      <c r="A10" s="17" t="str">
        <f aca="false">IF(Metas!B10="","",Metas!B10)</f>
        <v>Projetos entregues na data combinada</v>
      </c>
      <c r="B10" s="18" t="n">
        <f aca="false">IF(Metas!B10="","",Metas!F10)</f>
        <v>90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</row>
    <row r="11" customFormat="false" ht="15" hidden="false" customHeight="false" outlineLevel="0" collapsed="false">
      <c r="A11" s="17" t="str">
        <f aca="false">IF(Metas!B11="","",Metas!B11)</f>
        <v/>
      </c>
      <c r="B11" s="18" t="str">
        <f aca="false">IF(Metas!B11="","",Metas!F11)</f>
        <v/>
      </c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</row>
    <row r="12" customFormat="false" ht="15" hidden="false" customHeight="false" outlineLevel="0" collapsed="false">
      <c r="A12" s="17" t="str">
        <f aca="false">IF(Metas!B12="","",Metas!B12)</f>
        <v/>
      </c>
      <c r="B12" s="18" t="str">
        <f aca="false">IF(Metas!B12="","",Metas!F12)</f>
        <v/>
      </c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</row>
    <row r="13" customFormat="false" ht="15" hidden="false" customHeight="false" outlineLevel="0" collapsed="false">
      <c r="A13" s="17" t="str">
        <f aca="false">IF(Metas!B13="","",Metas!B13)</f>
        <v>Rodadas de revisão por peça (média)</v>
      </c>
      <c r="B13" s="18" t="n">
        <f aca="false">IF(Metas!B13="","",Metas!F13)</f>
        <v>2</v>
      </c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</row>
    <row r="14" customFormat="false" ht="15" hidden="false" customHeight="false" outlineLevel="0" collapsed="false">
      <c r="A14" s="17" t="str">
        <f aca="false">IF(Metas!B14="","",Metas!B14)</f>
        <v>Peças aprovadas de primeira</v>
      </c>
      <c r="B14" s="18" t="n">
        <f aca="false">IF(Metas!B14="","",Metas!F14)</f>
        <v>65</v>
      </c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</row>
    <row r="15" customFormat="false" ht="15" hidden="false" customHeight="false" outlineLevel="0" collapsed="false">
      <c r="A15" s="17" t="str">
        <f aca="false">IF(Metas!B15="","",Metas!B15)</f>
        <v/>
      </c>
      <c r="B15" s="18" t="str">
        <f aca="false">IF(Metas!B15="","",Metas!F15)</f>
        <v/>
      </c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</row>
    <row r="16" customFormat="false" ht="15" hidden="false" customHeight="false" outlineLevel="0" collapsed="false">
      <c r="A16" s="17" t="str">
        <f aca="false">IF(Metas!B16="","",Metas!B16)</f>
        <v/>
      </c>
      <c r="B16" s="18" t="str">
        <f aca="false">IF(Metas!B16="","",Metas!F16)</f>
        <v/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</row>
    <row r="17" customFormat="false" ht="15" hidden="false" customHeight="false" outlineLevel="0" collapsed="false">
      <c r="A17" s="17" t="str">
        <f aca="false">IF(Metas!B17="","",Metas!B17)</f>
        <v>Relatório mensal enviado até o dia 5</v>
      </c>
      <c r="B17" s="18" t="n">
        <f aca="false">IF(Metas!B17="","",Metas!F17)</f>
        <v>3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</row>
    <row r="18" customFormat="false" ht="15" hidden="false" customHeight="false" outlineLevel="0" collapsed="false">
      <c r="A18" s="17" t="str">
        <f aca="false">IF(Metas!B18="","",Metas!B18)</f>
        <v>Horas extras da equipe no mês</v>
      </c>
      <c r="B18" s="18" t="n">
        <f aca="false">IF(Metas!B18="","",Metas!F18)</f>
        <v>8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</row>
    <row r="19" customFormat="false" ht="15" hidden="false" customHeight="false" outlineLevel="0" collapsed="false">
      <c r="A19" s="17" t="str">
        <f aca="false">IF(Metas!B19="","",Metas!B19)</f>
        <v/>
      </c>
      <c r="B19" s="18" t="str">
        <f aca="false">IF(Metas!B19="","",Metas!F19)</f>
        <v/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</row>
    <row r="20" customFormat="false" ht="15" hidden="false" customHeight="false" outlineLevel="0" collapsed="false">
      <c r="A20" s="17" t="str">
        <f aca="false">IF(Metas!B20="","",Metas!B20)</f>
        <v/>
      </c>
      <c r="B20" s="18" t="str">
        <f aca="false">IF(Metas!B20="","",Metas!F20)</f>
        <v/>
      </c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</row>
    <row r="21" customFormat="false" ht="15" hidden="false" customHeight="false" outlineLevel="0" collapsed="false">
      <c r="A21" s="17" t="str">
        <f aca="false">IF(Metas!B21="","",Metas!B21)</f>
        <v/>
      </c>
      <c r="B21" s="18" t="str">
        <f aca="false">IF(Metas!B21="","",Metas!F21)</f>
        <v/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</row>
    <row r="22" customFormat="false" ht="15" hidden="false" customHeight="false" outlineLevel="0" collapsed="false">
      <c r="A22" s="17" t="str">
        <f aca="false">IF(Metas!B22="","",Metas!B22)</f>
        <v/>
      </c>
      <c r="B22" s="18" t="str">
        <f aca="false">IF(Metas!B22="","",Metas!F22)</f>
        <v/>
      </c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</row>
    <row r="23" customFormat="false" ht="15" hidden="false" customHeight="false" outlineLevel="0" collapsed="false">
      <c r="A23" s="17" t="str">
        <f aca="false">IF(Metas!B23="","",Metas!B23)</f>
        <v/>
      </c>
      <c r="B23" s="18" t="str">
        <f aca="false">IF(Metas!B23="","",Metas!F23)</f>
        <v/>
      </c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</row>
    <row r="24" customFormat="false" ht="15" hidden="false" customHeight="false" outlineLevel="0" collapsed="false">
      <c r="A24" s="17" t="str">
        <f aca="false">IF(Metas!B24="","",Metas!B24)</f>
        <v/>
      </c>
      <c r="B24" s="18" t="str">
        <f aca="false">IF(Metas!B24="","",Metas!F24)</f>
        <v/>
      </c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</row>
  </sheetData>
  <sheetProtection sheet="true" formatColumns="false" formatRows="false" sort="false" autoFilter="false"/>
  <mergeCells count="1">
    <mergeCell ref="A2:P2"/>
  </mergeCells>
  <conditionalFormatting sqref="C4:O4">
    <cfRule type="expression" priority="2" aboveAverage="0" equalAverage="0" bottom="0" percent="0" rank="0" text="" dxfId="4">
      <formula>COLUMN()-2=Config!$B$9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2026-09-13T17:55:51Z</dcterms:created>
  <dc:creator>Seu Sócio Gestor</dc:creator>
  <dc:description/>
  <dc:language>en-US</dc:language>
  <cp:lastModifiedBy/>
  <dcterms:modified xsi:type="dcterms:W3CDTF">2026-09-13T17:55:51Z</dcterms:modified>
  <cp:revision>0</cp:revision>
  <dc:subject/>
  <dc:title>Metas do Trimestre · Kit IA no Trabalho Completo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