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IFERROR(AVERAGEIFS(Metas!$H$5:$H$24,Metas!$B$5:$B$24,"&lt;&gt;"),0)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IF(OR(Metas!$A$5="",B9=0),"",AVERAGEIFS(Metas!$H$5:$H$8,Metas!$B$5:$B$8,"&lt;&gt;"))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IF(C9="","",REPT("█",ROUND(C9*30,0)))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IF(OR(Metas!$A$9="",B10=0),"",AVERAGEIFS(Metas!$H$9:$H$12,Metas!$B$9:$B$12,"&lt;&gt;"))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IF(C10="","",REPT("█",ROUND(C10*30,0)))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IF(OR(Metas!$A$13="",B11=0),"",AVERAGEIFS(Metas!$H$13:$H$16,Metas!$B$13:$B$16,"&lt;&gt;"))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IF(C11="","",REPT("█",ROUND(C11*30,0)))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IF(OR(Metas!$A$17="",B12=0),"",AVERAGEIFS(Metas!$H$17:$H$20,Metas!$B$17:$B$20,"&lt;&gt;"))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IF(C12="","",REPT("█",ROUND(C12*30,0)))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IF(OR(Metas!$A$21="",B13=0),"",AVERAGEIFS(Metas!$H$21:$H$24,Metas!$B$21:$B$24,"&lt;&gt;"))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IF(C13="","",REPT("█",ROUND(C13*30,0)))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IF(Metas!B5="","",Metas!G5)</f>
        <v>2</v>
      </c>
      <c r="D17" s="27">
        <f>IF(Metas!B5="","",Metas!F5)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IF(Metas!B6="","",Metas!G6)</f>
        <v>27400</v>
      </c>
      <c r="D18" s="27">
        <f>IF(Metas!B6="","",Metas!F6)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IF(Metas!B7="","",Metas!G7)</f>
        <v>24</v>
      </c>
      <c r="D19" s="27">
        <f>IF(Metas!B7="","",Metas!F7)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IF(Metas!B9="","",Metas!G9)</f>
        <v>3</v>
      </c>
      <c r="D21" s="27">
        <f>IF(Metas!B9="","",Metas!F9)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IF(Metas!B10="","",Metas!G10)</f>
        <v>82</v>
      </c>
      <c r="D22" s="27">
        <f>IF(Metas!B10="","",Metas!F10)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IF(Metas!B13="","",Metas!G13)</f>
        <v>2.8</v>
      </c>
      <c r="D25" s="27">
        <f>IF(Metas!B13="","",Metas!F13)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IF(Metas!B14="","",Metas!G14)</f>
        <v>60</v>
      </c>
      <c r="D26" s="27">
        <f>IF(Metas!B14="","",Metas!F14)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IF(Metas!B17="","",Metas!G17)</f>
        <v>2</v>
      </c>
      <c r="D29" s="27">
        <f>IF(Metas!B17="","",Metas!F17)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IF(Metas!B18="","",Metas!G18)</f>
        <v>14</v>
      </c>
      <c r="D30" s="27">
        <f>IF(Metas!B18="","",Metas!F18)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G17="Atingido"</formula>
    </cfRule>
    <cfRule type="expression" priority="2" dxfId="1">
      <formula>G17="No ritmo"</formula>
    </cfRule>
    <cfRule type="expression" priority="3" dxfId="2">
      <formula>G17="Atenção"</formula>
    </cfRule>
    <cfRule type="expression" priority="4" dxfId="3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IF(B5="","",IF(F5=E5,"",IF(K5="Menor é melhor",MAX(0,MIN(1,(E5-G5)/(E5-F5))),MAX(0,MIN(1,(G5-E5)/(F5-E5))))))</f>
        <v>0.666666666666667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IF(B6="","",IF(F6=E6,"",IF(K6="Menor é melhor",MAX(0,MIN(1,(E6-G6)/(E6-F6))),MAX(0,MIN(1,(G6-E6)/(F6-E6))))))</f>
        <v>0.783333333333333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IF(B8="","",IF(F8=E8,"",IF(K8="Menor é melhor",MAX(0,MIN(1,(E8-G8)/(E8-F8))),MAX(0,MIN(1,(G8-E8)/(F8-E8))))))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IF(B9="","",IF(F9=E9,"",IF(K9="Menor é melhor",MAX(0,MIN(1,(E9-G9)/(E9-F9))),MAX(0,MIN(1,(G9-E9)/(F9-E9))))))</f>
        <v>0.333333333333333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IF(B10="","",IF(F10=E10,"",IF(K10="Menor é melhor",MAX(0,MIN(1,(E10-G10)/(E10-F10))),MAX(0,MIN(1,(G10-E10)/(F10-E10))))))</f>
        <v>0.733333333333333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IF(B11="","",IF(F11=E11,"",IF(K11="Menor é melhor",MAX(0,MIN(1,(E11-G11)/(E11-F11))),MAX(0,MIN(1,(G11-E11)/(F11-E11))))))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IF(B12="","",IF(F12=E12,"",IF(K12="Menor é melhor",MAX(0,MIN(1,(E12-G12)/(E12-F12))),MAX(0,MIN(1,(G12-E12)/(F12-E12))))))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IF(B13="","",IF(F13=E13,"",IF(K13="Menor é melhor",MAX(0,MIN(1,(E13-G13)/(E13-F13))),MAX(0,MIN(1,(G13-E13)/(F13-E13))))))</f>
        <v>0.333333333333334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IF(B14="","",IF(F14=E14,"",IF(K14="Menor é melhor",MAX(0,MIN(1,(E14-G14)/(E14-F14))),MAX(0,MIN(1,(G14-E14)/(F14-E14))))))</f>
        <v>0.8</v>
      </c>
      <c r="I14" s="25">
        <f>IF(B14="","",Config!$B$10)</f>
        <v>0.824175824175824</v>
      </c>
      <c r="J14" s="24" t="str">
        <f>IF(OR(B14="",H14=""),"",IF(H14&gt;=1,"Atingido",IF(H14&gt;=I14-0.1,"No ritmo",IF(H14&gt;=I14-0.25,"Atenção","Em risco"))))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IF(B15="","",IF(F15=E15,"",IF(K15="Menor é melhor",MAX(0,MIN(1,(E15-G15)/(E15-F15))),MAX(0,MIN(1,(G15-E15)/(F15-E15))))))</f>
        <v/>
      </c>
      <c r="I15" s="25">
        <f>IF(B15="","",Config!$B$10)</f>
        <v/>
      </c>
      <c r="J15" s="24">
        <f>IF(OR(B15="",H15=""),"",IF(H15&gt;=1,"Atingido",IF(H15&gt;=I15-0.1,"No ritmo",IF(H15&gt;=I15-0.25,"Atenção","Em risco"))))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IF(B16="","",IF(F16=E16,"",IF(K16="Menor é melhor",MAX(0,MIN(1,(E16-G16)/(E16-F16))),MAX(0,MIN(1,(G16-E16)/(F16-E16))))))</f>
        <v/>
      </c>
      <c r="I16" s="25">
        <f>IF(B16="","",Config!$B$10)</f>
        <v/>
      </c>
      <c r="J16" s="24">
        <f>IF(OR(B16="",H16=""),"",IF(H16&gt;=1,"Atingido",IF(H16&gt;=I16-0.1,"No ritmo",IF(H16&gt;=I16-0.25,"Atenção","Em risco"))))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IF(B17="","",IF(F17=E17,"",IF(K17="Menor é melhor",MAX(0,MIN(1,(E17-G17)/(E17-F17))),MAX(0,MIN(1,(G17-E17)/(F17-E17))))))</f>
        <v>0.666666666666667</v>
      </c>
      <c r="I17" s="25">
        <f>IF(B17="","",Config!$B$10)</f>
        <v>0.824175824175824</v>
      </c>
      <c r="J17" s="24" t="str">
        <f>IF(OR(B17="",H17=""),"",IF(H17&gt;=1,"Atingido",IF(H17&gt;=I17-0.1,"No ritmo",IF(H17&gt;=I17-0.25,"Atenção","Em risco"))))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IF(B18="","",IF(F18=E18,"",IF(K18="Menor é melhor",MAX(0,MIN(1,(E18-G18)/(E18-F18))),MAX(0,MIN(1,(G18-E18)/(F18-E18))))))</f>
        <v>0.5</v>
      </c>
      <c r="I18" s="25">
        <f>IF(B18="","",Config!$B$10)</f>
        <v>0.824175824175824</v>
      </c>
      <c r="J18" s="24" t="str">
        <f>IF(OR(B18="",H18=""),"",IF(H18&gt;=1,"Atingido",IF(H18&gt;=I18-0.1,"No ritmo",IF(H18&gt;=I18-0.25,"Atenção","Em risco"))))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IF(B19="","",IF(F19=E19,"",IF(K19="Menor é melhor",MAX(0,MIN(1,(E19-G19)/(E19-F19))),MAX(0,MIN(1,(G19-E19)/(F19-E19))))))</f>
        <v/>
      </c>
      <c r="I19" s="25">
        <f>IF(B19="","",Config!$B$10)</f>
        <v/>
      </c>
      <c r="J19" s="24">
        <f>IF(OR(B19="",H19=""),"",IF(H19&gt;=1,"Atingido",IF(H19&gt;=I19-0.1,"No ritmo",IF(H19&gt;=I19-0.25,"Atenção","Em risco"))))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IF(B20="","",IF(F20=E20,"",IF(K20="Menor é melhor",MAX(0,MIN(1,(E20-G20)/(E20-F20))),MAX(0,MIN(1,(G20-E20)/(F20-E20))))))</f>
        <v/>
      </c>
      <c r="I20" s="25">
        <f>IF(B20="","",Config!$B$10)</f>
        <v/>
      </c>
      <c r="J20" s="24">
        <f>IF(OR(B20="",H20=""),"",IF(H20&gt;=1,"Atingido",IF(H20&gt;=I20-0.1,"No ritmo",IF(H20&gt;=I20-0.25,"Atenção","Em risco"))))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IF(B21="","",IF(F21=E21,"",IF(K21="Menor é melhor",MAX(0,MIN(1,(E21-G21)/(E21-F21))),MAX(0,MIN(1,(G21-E21)/(F21-E21))))))</f>
        <v/>
      </c>
      <c r="I21" s="25">
        <f>IF(B21="","",Config!$B$10)</f>
        <v/>
      </c>
      <c r="J21" s="24">
        <f>IF(OR(B21="",H21=""),"",IF(H21&gt;=1,"Atingido",IF(H21&gt;=I21-0.1,"No ritmo",IF(H21&gt;=I21-0.25,"Atenção","Em risco"))))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IF(B22="","",IF(F22=E22,"",IF(K22="Menor é melhor",MAX(0,MIN(1,(E22-G22)/(E22-F22))),MAX(0,MIN(1,(G22-E22)/(F22-E22))))))</f>
        <v/>
      </c>
      <c r="I22" s="25">
        <f>IF(B22="","",Config!$B$10)</f>
        <v/>
      </c>
      <c r="J22" s="24">
        <f>IF(OR(B22="",H22=""),"",IF(H22&gt;=1,"Atingido",IF(H22&gt;=I22-0.1,"No ritmo",IF(H22&gt;=I22-0.25,"Atenção","Em risco"))))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IF(B23="","",IF(F23=E23,"",IF(K23="Menor é melhor",MAX(0,MIN(1,(E23-G23)/(E23-F23))),MAX(0,MIN(1,(G23-E23)/(F23-E23))))))</f>
        <v/>
      </c>
      <c r="I23" s="25">
        <f>IF(B23="","",Config!$B$10)</f>
        <v/>
      </c>
      <c r="J23" s="24">
        <f>IF(OR(B23="",H23=""),"",IF(H23&gt;=1,"Atingido",IF(H23&gt;=I23-0.1,"No ritmo",IF(H23&gt;=I23-0.25,"Atenção","Em risco"))))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IF(B24="","",IF(F24=E24,"",IF(K24="Menor é melhor",MAX(0,MIN(1,(E24-G24)/(E24-F24))),MAX(0,MIN(1,(G24-E24)/(F24-E24))))))</f>
        <v/>
      </c>
      <c r="I24" s="25">
        <f>IF(B24="","",Config!$B$10)</f>
        <v/>
      </c>
      <c r="J24" s="24">
        <f>IF(OR(B24="",H24=""),"",IF(H24&gt;=1,"Atingido",IF(H24&gt;=I24-0.1,"No ritmo",IF(H24&gt;=I24-0.25,"Atenção","Em risco"))))</f>
        <v/>
      </c>
      <c r="K24" s="33" t="n"/>
      <c r="L24" s="3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IF(Metas!B7="","",Metas!F7)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4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IF(OR(Metas!B5="",E5=""),"",E5-IFERROR(Metas!E5,0))</f>
        <v>2</v>
      </c>
      <c r="G5" s="24">
        <f>IF(OR(Metas!B5="",E5=""),"",Metas!F5-E5)</f>
        <v>1</v>
      </c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IF(OR(Metas!B6="",E6=""),"",E6-IFERROR(Metas!E6,0))</f>
        <v>9400</v>
      </c>
      <c r="G6" s="24">
        <f>IF(OR(Metas!B6="",E6=""),"",Metas!F6-E6)</f>
        <v>2600</v>
      </c>
    </row>
    <row r="7">
      <c r="A7" s="23" t="str">
        <f>IF(Metas!B7="","",Metas!B7)</f>
        <v>Propostas enviadas no trimestre</v>
      </c>
      <c r="B7" s="24">
        <f>IF(Metas!B7="","",Metas!F7)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IF(OR(Metas!B7="",E7=""),"",E7-IFERROR(Metas!E7,0))</f>
        <v>24</v>
      </c>
      <c r="G7" s="24">
        <f>IF(OR(Metas!B7="",E7=""),"",Metas!F7-E7)</f>
        <v>0</v>
      </c>
    </row>
    <row r="8">
      <c r="A8" s="23">
        <f>IF(Metas!B8="","",Metas!B8)</f>
        <v/>
      </c>
      <c r="B8" s="24">
        <f>IF(Metas!B8="","",Metas!F8)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IF(OR(Metas!B8="",E8=""),"",E8-IFERROR(Metas!E8,0))</f>
        <v/>
      </c>
      <c r="G8" s="24">
        <f>IF(OR(Metas!B8="",E8=""),"",Metas!F8-E8)</f>
        <v/>
      </c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IF(OR(Metas!B9="",E9=""),"",E9-IFERROR(Metas!E9,0))</f>
        <v>-1</v>
      </c>
      <c r="G9" s="24">
        <f>IF(OR(Metas!B9="",E9=""),"",Metas!F9-E9)</f>
        <v>-2</v>
      </c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IF(OR(Metas!B10="",E10=""),"",E10-IFERROR(Metas!E10,0))</f>
        <v>22</v>
      </c>
      <c r="G10" s="24">
        <f>IF(OR(Metas!B10="",E10=""),"",Metas!F10-E10)</f>
        <v>8</v>
      </c>
    </row>
    <row r="11">
      <c r="A11" s="23">
        <f>IF(Metas!B11="","",Metas!B11)</f>
        <v/>
      </c>
      <c r="B11" s="24">
        <f>IF(Metas!B11="","",Metas!F11)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IF(OR(Metas!B11="",E11=""),"",E11-IFERROR(Metas!E11,0))</f>
        <v/>
      </c>
      <c r="G11" s="24">
        <f>IF(OR(Metas!B11="",E11=""),"",Metas!F11-E11)</f>
        <v/>
      </c>
    </row>
    <row r="12">
      <c r="A12" s="23">
        <f>IF(Metas!B12="","",Metas!B12)</f>
        <v/>
      </c>
      <c r="B12" s="24">
        <f>IF(Metas!B12="","",Metas!F12)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IF(OR(Metas!B12="",E12=""),"",E12-IFERROR(Metas!E12,0))</f>
        <v/>
      </c>
      <c r="G12" s="24">
        <f>IF(OR(Metas!B12="",E12=""),"",Metas!F12-E12)</f>
        <v/>
      </c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IF(OR(Metas!B13="",E13=""),"",E13-IFERROR(Metas!E13,0))</f>
        <v>-0.4</v>
      </c>
      <c r="G13" s="24">
        <f>IF(OR(Metas!B13="",E13=""),"",Metas!F13-E13)</f>
        <v>-0.8</v>
      </c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IF(OR(Metas!B14="",E14=""),"",E14-IFERROR(Metas!E14,0))</f>
        <v>20</v>
      </c>
      <c r="G14" s="24">
        <f>IF(OR(Metas!B14="",E14=""),"",Metas!F14-E14)</f>
        <v>5</v>
      </c>
    </row>
    <row r="15">
      <c r="A15" s="23">
        <f>IF(Metas!B15="","",Metas!B15)</f>
        <v/>
      </c>
      <c r="B15" s="24">
        <f>IF(Metas!B15="","",Metas!F15)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IF(OR(Metas!B15="",E15=""),"",E15-IFERROR(Metas!E15,0))</f>
        <v/>
      </c>
      <c r="G15" s="24">
        <f>IF(OR(Metas!B15="",E15=""),"",Metas!F15-E15)</f>
        <v/>
      </c>
    </row>
    <row r="16">
      <c r="A16" s="23">
        <f>IF(Metas!B16="","",Metas!B16)</f>
        <v/>
      </c>
      <c r="B16" s="24">
        <f>IF(Metas!B16="","",Metas!F16)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IF(OR(Metas!B16="",E16=""),"",E16-IFERROR(Metas!E16,0))</f>
        <v/>
      </c>
      <c r="G16" s="24">
        <f>IF(OR(Metas!B16="",E16=""),"",Metas!F16-E16)</f>
        <v/>
      </c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IF(OR(Metas!B17="",E17=""),"",E17-IFERROR(Metas!E17,0))</f>
        <v>2</v>
      </c>
      <c r="G17" s="24">
        <f>IF(OR(Metas!B17="",E17=""),"",Metas!F17-E17)</f>
        <v>1</v>
      </c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IF(OR(Metas!B18="",E18=""),"",E18-IFERROR(Metas!E18,0))</f>
        <v>-6</v>
      </c>
      <c r="G18" s="24">
        <f>IF(OR(Metas!B18="",E18=""),"",Metas!F18-E18)</f>
        <v>-6</v>
      </c>
    </row>
    <row r="19">
      <c r="A19" s="23">
        <f>IF(Metas!B19="","",Metas!B19)</f>
        <v/>
      </c>
      <c r="B19" s="24">
        <f>IF(Metas!B19="","",Metas!F19)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IF(OR(Metas!B19="",E19=""),"",E19-IFERROR(Metas!E19,0))</f>
        <v/>
      </c>
      <c r="G19" s="24">
        <f>IF(OR(Metas!B19="",E19=""),"",Metas!F19-E19)</f>
        <v/>
      </c>
    </row>
    <row r="20">
      <c r="A20" s="23">
        <f>IF(Metas!B20="","",Metas!B20)</f>
        <v/>
      </c>
      <c r="B20" s="24">
        <f>IF(Metas!B20="","",Metas!F20)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IF(OR(Metas!B20="",E20=""),"",E20-IFERROR(Metas!E20,0))</f>
        <v/>
      </c>
      <c r="G20" s="24">
        <f>IF(OR(Metas!B20="",E20=""),"",Metas!F20-E20)</f>
        <v/>
      </c>
    </row>
    <row r="21">
      <c r="A21" s="23">
        <f>IF(Metas!B21="","",Metas!B21)</f>
        <v/>
      </c>
      <c r="B21" s="24">
        <f>IF(Metas!B21="","",Metas!F21)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IF(OR(Metas!B21="",E21=""),"",E21-IFERROR(Metas!E21,0))</f>
        <v/>
      </c>
      <c r="G21" s="24">
        <f>IF(OR(Metas!B21="",E21=""),"",Metas!F21-E21)</f>
        <v/>
      </c>
    </row>
    <row r="22">
      <c r="A22" s="23">
        <f>IF(Metas!B22="","",Metas!B22)</f>
        <v/>
      </c>
      <c r="B22" s="24">
        <f>IF(Metas!B22="","",Metas!F22)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IF(OR(Metas!B22="",E22=""),"",E22-IFERROR(Metas!E22,0))</f>
        <v/>
      </c>
      <c r="G22" s="24">
        <f>IF(OR(Metas!B22="",E22=""),"",Metas!F22-E22)</f>
        <v/>
      </c>
    </row>
    <row r="23">
      <c r="A23" s="23">
        <f>IF(Metas!B23="","",Metas!B23)</f>
        <v/>
      </c>
      <c r="B23" s="24">
        <f>IF(Metas!B23="","",Metas!F23)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IF(OR(Metas!B23="",E23=""),"",E23-IFERROR(Metas!E23,0))</f>
        <v/>
      </c>
      <c r="G23" s="24">
        <f>IF(OR(Metas!B23="",E23=""),"",Metas!F23-E23)</f>
        <v/>
      </c>
    </row>
    <row r="24">
      <c r="A24" s="23">
        <f>IF(Metas!B24="","",Metas!B24)</f>
        <v/>
      </c>
      <c r="B24" s="24">
        <f>IF(Metas!B24="","",Metas!F24)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IF(OR(Metas!B24="",E24=""),"",E24-IFERROR(Metas!E24,0))</f>
        <v/>
      </c>
      <c r="G24" s="24">
        <f>IF(OR(Metas!B24="",E24=""),"",Metas!F24-E24)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2026-09-18T15:06:36Z</dcterms:created>
  <dcterms:modified xmlns:dcterms="http://purl.org/dc/terms/" xmlns:xsi="http://www.w3.org/2001/XMLSchema-instance" xsi:type="dcterms:W3CDTF">2026-09-18T15:06:36Z</dcterms:modified>
</cp:coreProperties>
</file>