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troque a data de referência por =HOJE() (no exemplo ela está congelada em 14/09/2026, semana 11 de 13).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IFERROR(AVERAGEIFS(Metas!$H$5:$H$24,Metas!$B$5:$B$24,"&lt;&gt;"),0)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IF(OR(Metas!$A$5="",B9=0),"",AVERAGEIFS(Metas!$H$5:$H$8,Metas!$B$5:$B$8,"&lt;&gt;"))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IF(C9="","",REPT("█",ROUND(C9*30,0)))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IF(OR(Metas!$A$9="",B10=0),"",AVERAGEIFS(Metas!$H$9:$H$12,Metas!$B$9:$B$12,"&lt;&gt;"))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IF(C10="","",REPT("█",ROUND(C10*30,0)))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IF(OR(Metas!$A$13="",B11=0),"",AVERAGEIFS(Metas!$H$13:$H$16,Metas!$B$13:$B$16,"&lt;&gt;"))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IF(C11="","",REPT("█",ROUND(C11*30,0)))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IF(OR(Metas!$A$17="",B12=0),"",AVERAGEIFS(Metas!$H$17:$H$20,Metas!$B$17:$B$20,"&lt;&gt;"))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IF(C12="","",REPT("█",ROUND(C12*30,0)))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IF(OR(Metas!$A$21="",B13=0),"",AVERAGEIFS(Metas!$H$21:$H$24,Metas!$B$21:$B$24,"&lt;&gt;"))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IF(C13="","",REPT("█",ROUND(C13*30,0)))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IF(Metas!B5="","",Metas!C5)</f>
        <v>Ana</v>
      </c>
      <c r="C17" s="27">
        <f>IF(Metas!B5="","",Metas!G5)</f>
        <v>2</v>
      </c>
      <c r="D17" s="27">
        <f>IF(Metas!B5="","",Metas!F5)</f>
        <v>3</v>
      </c>
      <c r="E17" s="25">
        <f>IF(Metas!B5="","",Metas!H5)</f>
        <v>0.666666666666667</v>
      </c>
      <c r="F17" s="25">
        <f>IF(Metas!B5="","",Metas!I5)</f>
        <v>0.824175824175824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IF(Metas!B6="","",Metas!C6)</f>
        <v>Ana</v>
      </c>
      <c r="C18" s="27">
        <f>IF(Metas!B6="","",Metas!G6)</f>
        <v>27400</v>
      </c>
      <c r="D18" s="27">
        <f>IF(Metas!B6="","",Metas!F6)</f>
        <v>30000</v>
      </c>
      <c r="E18" s="25">
        <f>IF(Metas!B6="","",Metas!H6)</f>
        <v>0.783333333333333</v>
      </c>
      <c r="F18" s="25">
        <f>IF(Metas!B6="","",Metas!I6)</f>
        <v>0.824175824175824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IF(Metas!B7="","",Metas!C7)</f>
        <v>Carla</v>
      </c>
      <c r="C19" s="27">
        <f>IF(Metas!B7="","",Metas!G7)</f>
        <v>24</v>
      </c>
      <c r="D19" s="27">
        <f>IF(Metas!B7="","",Metas!F7)</f>
        <v>24</v>
      </c>
      <c r="E19" s="25">
        <f>IF(Metas!B7="","",Metas!H7)</f>
        <v>1</v>
      </c>
      <c r="F19" s="25">
        <f>IF(Metas!B7="","",Metas!I7)</f>
        <v>0.824175824175824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IF(Metas!B8="","",Metas!C8)</f>
        <v/>
      </c>
      <c r="C20" s="27">
        <f>IF(Metas!B8="","",Metas!G8)</f>
        <v/>
      </c>
      <c r="D20" s="27">
        <f>IF(Metas!B8="","",Metas!F8)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IF(Metas!B9="","",Metas!C9)</f>
        <v>Ana</v>
      </c>
      <c r="C21" s="27">
        <f>IF(Metas!B9="","",Metas!G9)</f>
        <v>3</v>
      </c>
      <c r="D21" s="27">
        <f>IF(Metas!B9="","",Metas!F9)</f>
        <v>1</v>
      </c>
      <c r="E21" s="25">
        <f>IF(Metas!B9="","",Metas!H9)</f>
        <v>0.333333333333333</v>
      </c>
      <c r="F21" s="25">
        <f>IF(Metas!B9="","",Metas!I9)</f>
        <v>0.824175824175824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IF(Metas!B10="","",Metas!C10)</f>
        <v>Bruno</v>
      </c>
      <c r="C22" s="27">
        <f>IF(Metas!B10="","",Metas!G10)</f>
        <v>82</v>
      </c>
      <c r="D22" s="27">
        <f>IF(Metas!B10="","",Metas!F10)</f>
        <v>90</v>
      </c>
      <c r="E22" s="25">
        <f>IF(Metas!B10="","",Metas!H10)</f>
        <v>0.733333333333333</v>
      </c>
      <c r="F22" s="25">
        <f>IF(Metas!B10="","",Metas!I10)</f>
        <v>0.824175824175824</v>
      </c>
      <c r="G22" s="24" t="str">
        <f>IF(Metas!B10="","",Metas!J10)</f>
        <v>No ritmo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IF(Metas!B11="","",Metas!C11)</f>
        <v/>
      </c>
      <c r="C23" s="27">
        <f>IF(Metas!B11="","",Metas!G11)</f>
        <v/>
      </c>
      <c r="D23" s="27">
        <f>IF(Metas!B11="","",Metas!F11)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IF(Metas!B12="","",Metas!G12)</f>
        <v/>
      </c>
      <c r="D24" s="27">
        <f>IF(Metas!B12="","",Metas!F12)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IF(Metas!B13="","",Metas!C13)</f>
        <v>Bruno</v>
      </c>
      <c r="C25" s="27">
        <f>IF(Metas!B13="","",Metas!G13)</f>
        <v>2.8</v>
      </c>
      <c r="D25" s="27">
        <f>IF(Metas!B13="","",Metas!F13)</f>
        <v>2</v>
      </c>
      <c r="E25" s="25">
        <f>IF(Metas!B13="","",Metas!H13)</f>
        <v>0.333333333333334</v>
      </c>
      <c r="F25" s="25">
        <f>IF(Metas!B13="","",Metas!I13)</f>
        <v>0.824175824175824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IF(Metas!B14="","",Metas!C14)</f>
        <v>Carla</v>
      </c>
      <c r="C26" s="27">
        <f>IF(Metas!B14="","",Metas!G14)</f>
        <v>60</v>
      </c>
      <c r="D26" s="27">
        <f>IF(Metas!B14="","",Metas!F14)</f>
        <v>65</v>
      </c>
      <c r="E26" s="25">
        <f>IF(Metas!B14="","",Metas!H14)</f>
        <v>0.8</v>
      </c>
      <c r="F26" s="25">
        <f>IF(Metas!B14="","",Metas!I14)</f>
        <v>0.824175824175824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IF(Metas!B15="","",Metas!C15)</f>
        <v/>
      </c>
      <c r="C27" s="27">
        <f>IF(Metas!B15="","",Metas!G15)</f>
        <v/>
      </c>
      <c r="D27" s="27">
        <f>IF(Metas!B15="","",Metas!F15)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IF(Metas!B16="","",Metas!G16)</f>
        <v/>
      </c>
      <c r="D28" s="27">
        <f>IF(Metas!B16="","",Metas!F16)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IF(Metas!B17="","",Metas!C17)</f>
        <v>Ana</v>
      </c>
      <c r="C29" s="27">
        <f>IF(Metas!B17="","",Metas!G17)</f>
        <v>2</v>
      </c>
      <c r="D29" s="27">
        <f>IF(Metas!B17="","",Metas!F17)</f>
        <v>3</v>
      </c>
      <c r="E29" s="25">
        <f>IF(Metas!B17="","",Metas!H17)</f>
        <v>0.666666666666667</v>
      </c>
      <c r="F29" s="25">
        <f>IF(Metas!B17="","",Metas!I17)</f>
        <v>0.824175824175824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IF(Metas!B18="","",Metas!C18)</f>
        <v>Ana</v>
      </c>
      <c r="C30" s="27">
        <f>IF(Metas!B18="","",Metas!G18)</f>
        <v>14</v>
      </c>
      <c r="D30" s="27">
        <f>IF(Metas!B18="","",Metas!F18)</f>
        <v>8</v>
      </c>
      <c r="E30" s="25">
        <f>IF(Metas!B18="","",Metas!H18)</f>
        <v>0.5</v>
      </c>
      <c r="F30" s="25">
        <f>IF(Metas!B18="","",Metas!I18)</f>
        <v>0.824175824175824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IF(Metas!B19="","",Metas!C19)</f>
        <v/>
      </c>
      <c r="C31" s="27">
        <f>IF(Metas!B19="","",Metas!G19)</f>
        <v/>
      </c>
      <c r="D31" s="27">
        <f>IF(Metas!B19="","",Metas!F19)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IF(Metas!B20="","",Metas!G20)</f>
        <v/>
      </c>
      <c r="D32" s="27">
        <f>IF(Metas!B20="","",Metas!F20)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IF(Metas!B21="","",Metas!G21)</f>
        <v/>
      </c>
      <c r="D33" s="27">
        <f>IF(Metas!B21="","",Metas!F21)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IF(Metas!B22="","",Metas!G22)</f>
        <v/>
      </c>
      <c r="D34" s="27">
        <f>IF(Metas!B22="","",Metas!F22)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IF(Metas!B23="","",Metas!G23)</f>
        <v/>
      </c>
      <c r="D35" s="27">
        <f>IF(Metas!B23="","",Metas!F23)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IF(Metas!B24="","",Metas!G24)</f>
        <v/>
      </c>
      <c r="D36" s="27">
        <f>IF(Metas!B24="","",Metas!F24)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G17="Faltam dados"</formula>
    </cfRule>
    <cfRule type="expression" priority="2" dxfId="1">
      <formula>G17="Atingido"</formula>
    </cfRule>
    <cfRule type="expression" priority="3" dxfId="2">
      <formula>G17="No ritmo"</formula>
    </cfRule>
    <cfRule type="expression" priority="4" dxfId="3">
      <formula>G17="Atenção"</formula>
    </cfRule>
    <cfRule type="expression" priority="5" dxfId="4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 t="n">
        <v>46279</v>
      </c>
      <c r="C8" s="6" t="inlineStr">
        <is>
          <t>O exemplo está congelado em 14/09/2026, para os arquivos do kit mostrarem a mesma foto. Ao usar com os seus dados, troque por =HOJE().</t>
        </is>
      </c>
    </row>
    <row r="9">
      <c r="A9" s="29" t="inlineStr">
        <is>
          <t>Semana atual do trimestre</t>
        </is>
      </c>
      <c r="B9" s="24">
        <f>IF(B8&lt;B6,0,MIN(13,INT((B8-B6)/7)+1))</f>
        <v>11</v>
      </c>
    </row>
    <row r="10">
      <c r="A10" s="29" t="inlineStr">
        <is>
          <t>% do trimestre decorrido</t>
        </is>
      </c>
      <c r="B10" s="25">
        <f>MAX(0,MIN(1,(B8-B6)/(B7-B6)))</f>
        <v>0.824175824175824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IF(B5="","",IF(OR(NOT(ISNUMBER(E5)),NOT(ISNUMBER(F5)),NOT(ISNUMBER(G5))),"",IF(K5="Menor é melhor",IF(G5&lt;=F5,1,IF(E5&gt;F5,MAX(0,(E5-G5)/(E5-F5)),MAX(0,1-(G5-F5)/MAX(ABS(F5),ABS(G5))))),IF(G5&gt;=F5,1,IF(E5&lt;F5,MAX(0,(G5-E5)/(F5-E5)),MAX(0,1-(F5-G5)/MAX(ABS(F5),ABS(G5))))))))</f>
        <v>0.666666666666667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IF(B6="","",IF(OR(NOT(ISNUMBER(E6)),NOT(ISNUMBER(F6)),NOT(ISNUMBER(G6))),"",IF(K6="Menor é melhor",IF(G6&lt;=F6,1,IF(E6&gt;F6,MAX(0,(E6-G6)/(E6-F6)),MAX(0,1-(G6-F6)/MAX(ABS(F6),ABS(G6))))),IF(G6&gt;=F6,1,IF(E6&lt;F6,MAX(0,(G6-E6)/(F6-E6)),MAX(0,1-(F6-G6)/MAX(ABS(F6),ABS(G6))))))))</f>
        <v>0.783333333333333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IF(B7="","",IF(OR(NOT(ISNUMBER(E7)),NOT(ISNUMBER(F7)),NOT(ISNUMBER(G7))),"",IF(K7="Menor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IF(B8="","",IF(OR(NOT(ISNUMBER(E8)),NOT(ISNUMBER(F8)),NOT(ISNUMBER(G8))),"",IF(K8="Menor é melhor",IF(G8&lt;=F8,1,IF(E8&gt;F8,MAX(0,(E8-G8)/(E8-F8)),MAX(0,1-(G8-F8)/MAX(ABS(F8),ABS(G8))))),IF(G8&gt;=F8,1,IF(E8&lt;F8,MAX(0,(G8-E8)/(F8-E8)),MAX(0,1-(F8-G8)/MAX(ABS(F8),ABS(G8))))))))</f>
        <v/>
      </c>
      <c r="I8" s="25">
        <f>IF(B8="","",Config!$B$10)</f>
        <v/>
      </c>
      <c r="J8" s="24">
        <f>IF(B8="","",IF(H8="","Faltam dados",IF(H8&gt;=1,"Atingido",IF(H8&gt;=I8-0.1,"No ritmo",IF(H8&gt;=I8-0.25,"Atenção","Em risco")))))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IF(B9="","",IF(OR(NOT(ISNUMBER(E9)),NOT(ISNUMBER(F9)),NOT(ISNUMBER(G9))),"",IF(K9="Menor é melhor",IF(G9&lt;=F9,1,IF(E9&gt;F9,MAX(0,(E9-G9)/(E9-F9)),MAX(0,1-(G9-F9)/MAX(ABS(F9),ABS(G9))))),IF(G9&gt;=F9,1,IF(E9&lt;F9,MAX(0,(G9-E9)/(F9-E9)),MAX(0,1-(F9-G9)/MAX(ABS(F9),ABS(G9))))))))</f>
        <v>0.333333333333333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IF(B10="","",IF(OR(NOT(ISNUMBER(E10)),NOT(ISNUMBER(F10)),NOT(ISNUMBER(G10))),"",IF(K10="Menor é melhor",IF(G10&lt;=F10,1,IF(E10&gt;F10,MAX(0,(E10-G10)/(E10-F10)),MAX(0,1-(G10-F10)/MAX(ABS(F10),ABS(G10))))),IF(G10&gt;=F10,1,IF(E10&lt;F10,MAX(0,(G10-E10)/(F10-E10)),MAX(0,1-(F10-G10)/MAX(ABS(F10),ABS(G10))))))))</f>
        <v>0.733333333333333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No ritmo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IF(B11="","",IF(OR(NOT(ISNUMBER(E11)),NOT(ISNUMBER(F11)),NOT(ISNUMBER(G11))),"",IF(K11="Menor é melhor",IF(G11&lt;=F11,1,IF(E11&gt;F11,MAX(0,(E11-G11)/(E11-F11)),MAX(0,1-(G11-F11)/MAX(ABS(F11),ABS(G11))))),IF(G11&gt;=F11,1,IF(E11&lt;F11,MAX(0,(G11-E11)/(F11-E11)),MAX(0,1-(F11-G11)/MAX(ABS(F11),ABS(G11))))))))</f>
        <v/>
      </c>
      <c r="I11" s="25">
        <f>IF(B11="","",Config!$B$10)</f>
        <v/>
      </c>
      <c r="J11" s="24">
        <f>IF(B11="","",IF(H11="","Faltam dados",IF(H11&gt;=1,"Atingido",IF(H11&gt;=I11-0.1,"No ritmo",IF(H11&gt;=I11-0.25,"Atenção","Em risco")))))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IF(B12="","",IF(OR(NOT(ISNUMBER(E12)),NOT(ISNUMBER(F12)),NOT(ISNUMBER(G12))),"",IF(K12="Menor é melhor",IF(G12&lt;=F12,1,IF(E12&gt;F12,MAX(0,(E12-G12)/(E12-F12)),MAX(0,1-(G12-F12)/MAX(ABS(F12),ABS(G12))))),IF(G12&gt;=F12,1,IF(E12&lt;F12,MAX(0,(G12-E12)/(F12-E12)),MAX(0,1-(F12-G12)/MAX(ABS(F12),ABS(G12))))))))</f>
        <v/>
      </c>
      <c r="I12" s="25">
        <f>IF(B12="","",Config!$B$10)</f>
        <v/>
      </c>
      <c r="J12" s="24">
        <f>IF(B12="","",IF(H12="","Faltam dados",IF(H12&gt;=1,"Atingido",IF(H12&gt;=I12-0.1,"No ritmo",IF(H12&gt;=I12-0.25,"Atenção","Em risco")))))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IF(B13="","",IF(OR(NOT(ISNUMBER(E13)),NOT(ISNUMBER(F13)),NOT(ISNUMBER(G13))),"",IF(K13="Menor é melhor",IF(G13&lt;=F13,1,IF(E13&gt;F13,MAX(0,(E13-G13)/(E13-F13)),MAX(0,1-(G13-F13)/MAX(ABS(F13),ABS(G13))))),IF(G13&gt;=F13,1,IF(E13&lt;F13,MAX(0,(G13-E13)/(F13-E13)),MAX(0,1-(F13-G13)/MAX(ABS(F13),ABS(G13))))))))</f>
        <v>0.333333333333334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IF(B14="","",IF(OR(NOT(ISNUMBER(E14)),NOT(ISNUMBER(F14)),NOT(ISNUMBER(G14))),"",IF(K14="Menor é melhor",IF(G14&lt;=F14,1,IF(E14&gt;F14,MAX(0,(E14-G14)/(E14-F14)),MAX(0,1-(G14-F14)/MAX(ABS(F14),ABS(G14))))),IF(G14&gt;=F14,1,IF(E14&lt;F14,MAX(0,(G14-E14)/(F14-E14)),MAX(0,1-(F14-G14)/MAX(ABS(F14),ABS(G14))))))))</f>
        <v>0.8</v>
      </c>
      <c r="I14" s="25">
        <f>IF(B14="","",Config!$B$10)</f>
        <v>0.824175824175824</v>
      </c>
      <c r="J14" s="24" t="str">
        <f>IF(B14="","",IF(H14="","Faltam dados",IF(H14&gt;=1,"Atingido",IF(H14&gt;=I14-0.1,"No ritmo",IF(H14&gt;=I14-0.25,"Atenção","Em risco")))))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IF(B15="","",IF(OR(NOT(ISNUMBER(E15)),NOT(ISNUMBER(F15)),NOT(ISNUMBER(G15))),"",IF(K15="Menor é melhor",IF(G15&lt;=F15,1,IF(E15&gt;F15,MAX(0,(E15-G15)/(E15-F15)),MAX(0,1-(G15-F15)/MAX(ABS(F15),ABS(G15))))),IF(G15&gt;=F15,1,IF(E15&lt;F15,MAX(0,(G15-E15)/(F15-E15)),MAX(0,1-(F15-G15)/MAX(ABS(F15),ABS(G15))))))))</f>
        <v/>
      </c>
      <c r="I15" s="25">
        <f>IF(B15="","",Config!$B$10)</f>
        <v/>
      </c>
      <c r="J15" s="24">
        <f>IF(B15="","",IF(H15="","Faltam dados",IF(H15&gt;=1,"Atingido",IF(H15&gt;=I15-0.1,"No ritmo",IF(H15&gt;=I15-0.25,"Atenção","Em risco")))))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IF(B16="","",IF(OR(NOT(ISNUMBER(E16)),NOT(ISNUMBER(F16)),NOT(ISNUMBER(G16))),"",IF(K16="Menor é melhor",IF(G16&lt;=F16,1,IF(E16&gt;F16,MAX(0,(E16-G16)/(E16-F16)),MAX(0,1-(G16-F16)/MAX(ABS(F16),ABS(G16))))),IF(G16&gt;=F16,1,IF(E16&lt;F16,MAX(0,(G16-E16)/(F16-E16)),MAX(0,1-(F16-G16)/MAX(ABS(F16),ABS(G16))))))))</f>
        <v/>
      </c>
      <c r="I16" s="25">
        <f>IF(B16="","",Config!$B$10)</f>
        <v/>
      </c>
      <c r="J16" s="24">
        <f>IF(B16="","",IF(H16="","Faltam dados",IF(H16&gt;=1,"Atingido",IF(H16&gt;=I16-0.1,"No ritmo",IF(H16&gt;=I16-0.25,"Atenção","Em risco")))))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IF(B17="","",IF(OR(NOT(ISNUMBER(E17)),NOT(ISNUMBER(F17)),NOT(ISNUMBER(G17))),"",IF(K17="Menor é melhor",IF(G17&lt;=F17,1,IF(E17&gt;F17,MAX(0,(E17-G17)/(E17-F17)),MAX(0,1-(G17-F17)/MAX(ABS(F17),ABS(G17))))),IF(G17&gt;=F17,1,IF(E17&lt;F17,MAX(0,(G17-E17)/(F17-E17)),MAX(0,1-(F17-G17)/MAX(ABS(F17),ABS(G17))))))))</f>
        <v>0.666666666666667</v>
      </c>
      <c r="I17" s="25">
        <f>IF(B17="","",Config!$B$10)</f>
        <v>0.824175824175824</v>
      </c>
      <c r="J17" s="24" t="str">
        <f>IF(B17="","",IF(H17="","Faltam dados",IF(H17&gt;=1,"Atingido",IF(H17&gt;=I17-0.1,"No ritmo",IF(H17&gt;=I17-0.25,"Atenção","Em risco")))))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IF(B18="","",IF(OR(NOT(ISNUMBER(E18)),NOT(ISNUMBER(F18)),NOT(ISNUMBER(G18))),"",IF(K18="Menor é melhor",IF(G18&lt;=F18,1,IF(E18&gt;F18,MAX(0,(E18-G18)/(E18-F18)),MAX(0,1-(G18-F18)/MAX(ABS(F18),ABS(G18))))),IF(G18&gt;=F18,1,IF(E18&lt;F18,MAX(0,(G18-E18)/(F18-E18)),MAX(0,1-(F18-G18)/MAX(ABS(F18),ABS(G18))))))))</f>
        <v>0.5</v>
      </c>
      <c r="I18" s="25">
        <f>IF(B18="","",Config!$B$10)</f>
        <v>0.824175824175824</v>
      </c>
      <c r="J18" s="24" t="str">
        <f>IF(B18="","",IF(H18="","Faltam dados",IF(H18&gt;=1,"Atingido",IF(H18&gt;=I18-0.1,"No ritmo",IF(H18&gt;=I18-0.25,"Atenção","Em risco")))))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IF(B19="","",IF(OR(NOT(ISNUMBER(E19)),NOT(ISNUMBER(F19)),NOT(ISNUMBER(G19))),"",IF(K19="Menor é melhor",IF(G19&lt;=F19,1,IF(E19&gt;F19,MAX(0,(E19-G19)/(E19-F19)),MAX(0,1-(G19-F19)/MAX(ABS(F19),ABS(G19))))),IF(G19&gt;=F19,1,IF(E19&lt;F19,MAX(0,(G19-E19)/(F19-E19)),MAX(0,1-(F19-G19)/MAX(ABS(F19),ABS(G19))))))))</f>
        <v/>
      </c>
      <c r="I19" s="25">
        <f>IF(B19="","",Config!$B$10)</f>
        <v/>
      </c>
      <c r="J19" s="24">
        <f>IF(B19="","",IF(H19="","Faltam dados",IF(H19&gt;=1,"Atingido",IF(H19&gt;=I19-0.1,"No ritmo",IF(H19&gt;=I19-0.25,"Atenção","Em risco")))))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IF(B20="","",IF(OR(NOT(ISNUMBER(E20)),NOT(ISNUMBER(F20)),NOT(ISNUMBER(G20))),"",IF(K20="Menor é melhor",IF(G20&lt;=F20,1,IF(E20&gt;F20,MAX(0,(E20-G20)/(E20-F20)),MAX(0,1-(G20-F20)/MAX(ABS(F20),ABS(G20))))),IF(G20&gt;=F20,1,IF(E20&lt;F20,MAX(0,(G20-E20)/(F20-E20)),MAX(0,1-(F20-G20)/MAX(ABS(F20),ABS(G20))))))))</f>
        <v/>
      </c>
      <c r="I20" s="25">
        <f>IF(B20="","",Config!$B$10)</f>
        <v/>
      </c>
      <c r="J20" s="24">
        <f>IF(B20="","",IF(H20="","Faltam dados",IF(H20&gt;=1,"Atingido",IF(H20&gt;=I20-0.1,"No ritmo",IF(H20&gt;=I20-0.25,"Atenção","Em risco")))))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IF(B21="","",IF(OR(NOT(ISNUMBER(E21)),NOT(ISNUMBER(F21)),NOT(ISNUMBER(G21))),"",IF(K21="Menor é melhor",IF(G21&lt;=F21,1,IF(E21&gt;F21,MAX(0,(E21-G21)/(E21-F21)),MAX(0,1-(G21-F21)/MAX(ABS(F21),ABS(G21))))),IF(G21&gt;=F21,1,IF(E21&lt;F21,MAX(0,(G21-E21)/(F21-E21)),MAX(0,1-(F21-G21)/MAX(ABS(F21),ABS(G21))))))))</f>
        <v/>
      </c>
      <c r="I21" s="25">
        <f>IF(B21="","",Config!$B$10)</f>
        <v/>
      </c>
      <c r="J21" s="24">
        <f>IF(B21="","",IF(H21="","Faltam dados",IF(H21&gt;=1,"Atingido",IF(H21&gt;=I21-0.1,"No ritmo",IF(H21&gt;=I21-0.25,"Atenção","Em risco")))))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IF(B22="","",IF(OR(NOT(ISNUMBER(E22)),NOT(ISNUMBER(F22)),NOT(ISNUMBER(G22))),"",IF(K22="Menor é melhor",IF(G22&lt;=F22,1,IF(E22&gt;F22,MAX(0,(E22-G22)/(E22-F22)),MAX(0,1-(G22-F22)/MAX(ABS(F22),ABS(G22))))),IF(G22&gt;=F22,1,IF(E22&lt;F22,MAX(0,(G22-E22)/(F22-E22)),MAX(0,1-(F22-G22)/MAX(ABS(F22),ABS(G22))))))))</f>
        <v/>
      </c>
      <c r="I22" s="25">
        <f>IF(B22="","",Config!$B$10)</f>
        <v/>
      </c>
      <c r="J22" s="24">
        <f>IF(B22="","",IF(H22="","Faltam dados",IF(H22&gt;=1,"Atingido",IF(H22&gt;=I22-0.1,"No ritmo",IF(H22&gt;=I22-0.25,"Atenção","Em risco")))))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IF(B23="","",IF(OR(NOT(ISNUMBER(E23)),NOT(ISNUMBER(F23)),NOT(ISNUMBER(G23))),"",IF(K23="Menor é melhor",IF(G23&lt;=F23,1,IF(E23&gt;F23,MAX(0,(E23-G23)/(E23-F23)),MAX(0,1-(G23-F23)/MAX(ABS(F23),ABS(G23))))),IF(G23&gt;=F23,1,IF(E23&lt;F23,MAX(0,(G23-E23)/(F23-E23)),MAX(0,1-(F23-G23)/MAX(ABS(F23),ABS(G23))))))))</f>
        <v/>
      </c>
      <c r="I23" s="25">
        <f>IF(B23="","",Config!$B$10)</f>
        <v/>
      </c>
      <c r="J23" s="24">
        <f>IF(B23="","",IF(H23="","Faltam dados",IF(H23&gt;=1,"Atingido",IF(H23&gt;=I23-0.1,"No ritmo",IF(H23&gt;=I23-0.25,"Atenção","Em risco")))))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IF(B24="","",IF(OR(NOT(ISNUMBER(E24)),NOT(ISNUMBER(F24)),NOT(ISNUMBER(G24))),"",IF(K24="Menor é melhor",IF(G24&lt;=F24,1,IF(E24&gt;F24,MAX(0,(E24-G24)/(E24-F24)),MAX(0,1-(G24-F24)/MAX(ABS(F24),ABS(G24))))),IF(G24&gt;=F24,1,IF(E24&lt;F24,MAX(0,(G24-E24)/(F24-E24)),MAX(0,1-(F24-G24)/MAX(ABS(F24),ABS(G24))))))))</f>
        <v/>
      </c>
      <c r="I24" s="25">
        <f>IF(B24="","",Config!$B$10)</f>
        <v/>
      </c>
      <c r="J24" s="24">
        <f>IF(B24="","",IF(H24="","Faltam dados",IF(H24&gt;=1,"Atingido",IF(H24&gt;=I24-0.1,"No ritmo",IF(H24&gt;=I24-0.25,"Atenção","Em risco")))))</f>
        <v/>
      </c>
      <c r="K24" s="33" t="n"/>
      <c r="L24" s="34" t="n"/>
    </row>
    <row r="26">
      <c r="A26" s="6" t="inlineStr">
        <is>
          <t>Progresso: só é calculado com ponto de partida, meta e valor atual preenchidos (zero vale; vazio vira "Faltam dados" e fica fora das contagens).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1">
      <formula>J5="Atingido"</formula>
    </cfRule>
    <cfRule type="expression" priority="2" dxfId="2">
      <formula>J5="No ritmo"</formula>
    </cfRule>
    <cfRule type="expression" priority="3" dxfId="3">
      <formula>J5="Atenção"</formula>
    </cfRule>
    <cfRule type="expression" priority="4" dxfId="4">
      <formula>J5="Em risco"</formula>
    </cfRule>
    <cfRule type="expression" priority="5" dxfId="0">
      <formula>J5="Faltam dados"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IF(Metas!B7="","",Metas!F7)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IF(Metas!B8="","",Metas!F8)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IF(Metas!B11="","",Metas!F11)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IF(Metas!B12="","",Metas!F12)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IF(Metas!B15="","",Metas!F15)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IF(Metas!B16="","",Metas!F16)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IF(Metas!B19="","",Metas!F19)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IF(Metas!B20="","",Metas!F20)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IF(Metas!B21="","",Metas!F21)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IF(Metas!B22="","",Metas!F22)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IF(Metas!B23="","",Metas!F23)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IF(Metas!B24="","",Metas!F24)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IF(OR(Metas!B5="",E5=""),"",E5-IFERROR(Metas!E5,0))</f>
        <v>2</v>
      </c>
      <c r="G5" s="24">
        <f>IF(OR(Metas!B5="",E5=""),"",Metas!F5-E5)</f>
        <v>1</v>
      </c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IF(OR(Metas!B6="",E6=""),"",E6-IFERROR(Metas!E6,0))</f>
        <v>9400</v>
      </c>
      <c r="G6" s="24">
        <f>IF(OR(Metas!B6="",E6=""),"",Metas!F6-E6)</f>
        <v>2600</v>
      </c>
    </row>
    <row r="7">
      <c r="A7" s="23" t="str">
        <f>IF(Metas!B7="","",Metas!B7)</f>
        <v>Propostas enviadas no trimestre</v>
      </c>
      <c r="B7" s="24">
        <f>IF(Metas!B7="","",Metas!F7)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IF(OR(Metas!B7="",E7=""),"",E7-IFERROR(Metas!E7,0))</f>
        <v>24</v>
      </c>
      <c r="G7" s="24">
        <f>IF(OR(Metas!B7="",E7=""),"",Metas!F7-E7)</f>
        <v>0</v>
      </c>
    </row>
    <row r="8">
      <c r="A8" s="23">
        <f>IF(Metas!B8="","",Metas!B8)</f>
        <v/>
      </c>
      <c r="B8" s="24">
        <f>IF(Metas!B8="","",Metas!F8)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IF(OR(Metas!B8="",E8=""),"",E8-IFERROR(Metas!E8,0))</f>
        <v/>
      </c>
      <c r="G8" s="24">
        <f>IF(OR(Metas!B8="",E8=""),"",Metas!F8-E8)</f>
        <v/>
      </c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IF(OR(Metas!B9="",E9=""),"",E9-IFERROR(Metas!E9,0))</f>
        <v>-1</v>
      </c>
      <c r="G9" s="24">
        <f>IF(OR(Metas!B9="",E9=""),"",Metas!F9-E9)</f>
        <v>-2</v>
      </c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IF(OR(Metas!B10="",E10=""),"",E10-IFERROR(Metas!E10,0))</f>
        <v>22</v>
      </c>
      <c r="G10" s="24">
        <f>IF(OR(Metas!B10="",E10=""),"",Metas!F10-E10)</f>
        <v>8</v>
      </c>
    </row>
    <row r="11">
      <c r="A11" s="23">
        <f>IF(Metas!B11="","",Metas!B11)</f>
        <v/>
      </c>
      <c r="B11" s="24">
        <f>IF(Metas!B11="","",Metas!F11)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IF(OR(Metas!B11="",E11=""),"",E11-IFERROR(Metas!E11,0))</f>
        <v/>
      </c>
      <c r="G11" s="24">
        <f>IF(OR(Metas!B11="",E11=""),"",Metas!F11-E11)</f>
        <v/>
      </c>
    </row>
    <row r="12">
      <c r="A12" s="23">
        <f>IF(Metas!B12="","",Metas!B12)</f>
        <v/>
      </c>
      <c r="B12" s="24">
        <f>IF(Metas!B12="","",Metas!F12)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IF(OR(Metas!B12="",E12=""),"",E12-IFERROR(Metas!E12,0))</f>
        <v/>
      </c>
      <c r="G12" s="24">
        <f>IF(OR(Metas!B12="",E12=""),"",Metas!F12-E12)</f>
        <v/>
      </c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IF(OR(Metas!B13="",E13=""),"",E13-IFERROR(Metas!E13,0))</f>
        <v>-0.4</v>
      </c>
      <c r="G13" s="24">
        <f>IF(OR(Metas!B13="",E13=""),"",Metas!F13-E13)</f>
        <v>-0.8</v>
      </c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IF(OR(Metas!B14="",E14=""),"",E14-IFERROR(Metas!E14,0))</f>
        <v>20</v>
      </c>
      <c r="G14" s="24">
        <f>IF(OR(Metas!B14="",E14=""),"",Metas!F14-E14)</f>
        <v>5</v>
      </c>
    </row>
    <row r="15">
      <c r="A15" s="23">
        <f>IF(Metas!B15="","",Metas!B15)</f>
        <v/>
      </c>
      <c r="B15" s="24">
        <f>IF(Metas!B15="","",Metas!F15)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IF(OR(Metas!B15="",E15=""),"",E15-IFERROR(Metas!E15,0))</f>
        <v/>
      </c>
      <c r="G15" s="24">
        <f>IF(OR(Metas!B15="",E15=""),"",Metas!F15-E15)</f>
        <v/>
      </c>
    </row>
    <row r="16">
      <c r="A16" s="23">
        <f>IF(Metas!B16="","",Metas!B16)</f>
        <v/>
      </c>
      <c r="B16" s="24">
        <f>IF(Metas!B16="","",Metas!F16)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IF(OR(Metas!B16="",E16=""),"",E16-IFERROR(Metas!E16,0))</f>
        <v/>
      </c>
      <c r="G16" s="24">
        <f>IF(OR(Metas!B16="",E16=""),"",Metas!F16-E16)</f>
        <v/>
      </c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IF(OR(Metas!B17="",E17=""),"",E17-IFERROR(Metas!E17,0))</f>
        <v>2</v>
      </c>
      <c r="G17" s="24">
        <f>IF(OR(Metas!B17="",E17=""),"",Metas!F17-E17)</f>
        <v>1</v>
      </c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IF(OR(Metas!B18="",E18=""),"",E18-IFERROR(Metas!E18,0))</f>
        <v>-6</v>
      </c>
      <c r="G18" s="24">
        <f>IF(OR(Metas!B18="",E18=""),"",Metas!F18-E18)</f>
        <v>-6</v>
      </c>
    </row>
    <row r="19">
      <c r="A19" s="23">
        <f>IF(Metas!B19="","",Metas!B19)</f>
        <v/>
      </c>
      <c r="B19" s="24">
        <f>IF(Metas!B19="","",Metas!F19)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IF(OR(Metas!B19="",E19=""),"",E19-IFERROR(Metas!E19,0))</f>
        <v/>
      </c>
      <c r="G19" s="24">
        <f>IF(OR(Metas!B19="",E19=""),"",Metas!F19-E19)</f>
        <v/>
      </c>
    </row>
    <row r="20">
      <c r="A20" s="23">
        <f>IF(Metas!B20="","",Metas!B20)</f>
        <v/>
      </c>
      <c r="B20" s="24">
        <f>IF(Metas!B20="","",Metas!F20)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IF(OR(Metas!B20="",E20=""),"",E20-IFERROR(Metas!E20,0))</f>
        <v/>
      </c>
      <c r="G20" s="24">
        <f>IF(OR(Metas!B20="",E20=""),"",Metas!F20-E20)</f>
        <v/>
      </c>
    </row>
    <row r="21">
      <c r="A21" s="23">
        <f>IF(Metas!B21="","",Metas!B21)</f>
        <v/>
      </c>
      <c r="B21" s="24">
        <f>IF(Metas!B21="","",Metas!F21)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IF(OR(Metas!B21="",E21=""),"",E21-IFERROR(Metas!E21,0))</f>
        <v/>
      </c>
      <c r="G21" s="24">
        <f>IF(OR(Metas!B21="",E21=""),"",Metas!F21-E21)</f>
        <v/>
      </c>
    </row>
    <row r="22">
      <c r="A22" s="23">
        <f>IF(Metas!B22="","",Metas!B22)</f>
        <v/>
      </c>
      <c r="B22" s="24">
        <f>IF(Metas!B22="","",Metas!F22)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IF(OR(Metas!B22="",E22=""),"",E22-IFERROR(Metas!E22,0))</f>
        <v/>
      </c>
      <c r="G22" s="24">
        <f>IF(OR(Metas!B22="",E22=""),"",Metas!F22-E22)</f>
        <v/>
      </c>
    </row>
    <row r="23">
      <c r="A23" s="23">
        <f>IF(Metas!B23="","",Metas!B23)</f>
        <v/>
      </c>
      <c r="B23" s="24">
        <f>IF(Metas!B23="","",Metas!F23)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IF(OR(Metas!B23="",E23=""),"",E23-IFERROR(Metas!E23,0))</f>
        <v/>
      </c>
      <c r="G23" s="24">
        <f>IF(OR(Metas!B23="",E23=""),"",Metas!F23-E23)</f>
        <v/>
      </c>
    </row>
    <row r="24">
      <c r="A24" s="23">
        <f>IF(Metas!B24="","",Metas!B24)</f>
        <v/>
      </c>
      <c r="B24" s="24">
        <f>IF(Metas!B24="","",Metas!F24)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IF(OR(Metas!B24="",E24=""),"",E24-IFERROR(Metas!E24,0))</f>
        <v/>
      </c>
      <c r="G24" s="24">
        <f>IF(OR(Metas!B24="",E24=""),"",Metas!F24-E24)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2026-09-19T03:32:33Z</dcterms:created>
  <dcterms:modified xmlns:dcterms="http://purl.org/dc/terms/" xmlns:xsi="http://www.w3.org/2001/XMLSchema-instance" xsi:type="dcterms:W3CDTF">2026-09-19T03:32:33Z</dcterms:modified>
</cp:coreProperties>
</file>