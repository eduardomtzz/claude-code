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IF(COUNT(Metas!$H$5:$H$24)=0,"Faltam dados",AVERAGEIFS(Metas!$H$5:$H$24,Metas!$B$5:$B$24,"&lt;&gt;"))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IF(OR(Metas!$A$5="",B9=0),"",IF(COUNT(Metas!$H$5:$H$8)=0,"Faltam dados",AVERAGEIFS(Metas!$H$5:$H$8,Metas!$B$5:$B$8,"&lt;&gt;")))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IF(ISNUMBER(C9),REPT("█",ROUND(C9*30,0)),"")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IF(OR(Metas!$A$9="",B10=0),"",IF(COUNT(Metas!$H$9:$H$12)=0,"Faltam dados",AVERAGEIFS(Metas!$H$9:$H$12,Metas!$B$9:$B$12,"&lt;&gt;")))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IF(ISNUMBER(C10),REPT("█",ROUND(C10*30,0)),"")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IF(OR(Metas!$A$13="",B11=0),"",IF(COUNT(Metas!$H$13:$H$16)=0,"Faltam dados",AVERAGEIFS(Metas!$H$13:$H$16,Metas!$B$13:$B$16,"&lt;&gt;")))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IF(ISNUMBER(C11),REPT("█",ROUND(C11*30,0)),"")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IF(OR(Metas!$A$17="",B12=0),"",IF(COUNT(Metas!$H$17:$H$20)=0,"Faltam dados",AVERAGEIFS(Metas!$H$17:$H$20,Metas!$B$17:$B$20,"&lt;&gt;")))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IF(ISNUMBER(C12),REPT("█",ROUND(C12*30,0)),"")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IF(OR(Metas!$A$21="",B13=0),"",IF(COUNT(Metas!$H$21:$H$24)=0,"Faltam dados",AVERAGEIFS(Metas!$H$21:$H$24,Metas!$B$21:$B$24,"&lt;&gt;")))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IF(ISNUMBER(C13),REPT("█",ROUND(C13*30,0)),"")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IF(OR(Metas!B5="",NOT(ISNUMBER(Metas!G5))),"",Metas!G5)</f>
        <v>2</v>
      </c>
      <c r="D17" s="27">
        <f>IF(OR(Metas!B5="",NOT(ISNUMBER(Metas!F5))),"",Metas!F5)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IF(OR(Metas!B6="",NOT(ISNUMBER(Metas!G6))),"",Metas!G6)</f>
        <v>27400</v>
      </c>
      <c r="D18" s="27">
        <f>IF(OR(Metas!B6="",NOT(ISNUMBER(Metas!F6))),"",Metas!F6)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IF(OR(Metas!B7="",NOT(ISNUMBER(Metas!G7))),"",Metas!G7)</f>
        <v>24</v>
      </c>
      <c r="D19" s="27">
        <f>IF(OR(Metas!B7="",NOT(ISNUMBER(Metas!F7))),"",Metas!F7)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IF(OR(Metas!B8="",NOT(ISNUMBER(Metas!G8))),"",Metas!G8)</f>
        <v/>
      </c>
      <c r="D20" s="27">
        <f>IF(OR(Metas!B8="",NOT(ISNUMBER(Metas!F8))),"",Metas!F8)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IF(OR(Metas!B9="",NOT(ISNUMBER(Metas!G9))),"",Metas!G9)</f>
        <v>3</v>
      </c>
      <c r="D21" s="27">
        <f>IF(OR(Metas!B9="",NOT(ISNUMBER(Metas!F9))),"",Metas!F9)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IF(OR(Metas!B10="",NOT(ISNUMBER(Metas!G10))),"",Metas!G10)</f>
        <v>82</v>
      </c>
      <c r="D22" s="27">
        <f>IF(OR(Metas!B10="",NOT(ISNUMBER(Metas!F10))),"",Metas!F10)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IF(OR(Metas!B11="",NOT(ISNUMBER(Metas!G11))),"",Metas!G11)</f>
        <v/>
      </c>
      <c r="D23" s="27">
        <f>IF(OR(Metas!B11="",NOT(ISNUMBER(Metas!F11))),"",Metas!F11)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IF(OR(Metas!B12="",NOT(ISNUMBER(Metas!G12))),"",Metas!G12)</f>
        <v/>
      </c>
      <c r="D24" s="27">
        <f>IF(OR(Metas!B12="",NOT(ISNUMBER(Metas!F12))),"",Metas!F12)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IF(OR(Metas!B13="",NOT(ISNUMBER(Metas!G13))),"",Metas!G13)</f>
        <v>2.8</v>
      </c>
      <c r="D25" s="27">
        <f>IF(OR(Metas!B13="",NOT(ISNUMBER(Metas!F13))),"",Metas!F13)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IF(OR(Metas!B14="",NOT(ISNUMBER(Metas!G14))),"",Metas!G14)</f>
        <v>60</v>
      </c>
      <c r="D26" s="27">
        <f>IF(OR(Metas!B14="",NOT(ISNUMBER(Metas!F14))),"",Metas!F14)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IF(OR(Metas!B15="",NOT(ISNUMBER(Metas!G15))),"",Metas!G15)</f>
        <v/>
      </c>
      <c r="D27" s="27">
        <f>IF(OR(Metas!B15="",NOT(ISNUMBER(Metas!F15))),"",Metas!F15)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IF(OR(Metas!B16="",NOT(ISNUMBER(Metas!G16))),"",Metas!G16)</f>
        <v/>
      </c>
      <c r="D28" s="27">
        <f>IF(OR(Metas!B16="",NOT(ISNUMBER(Metas!F16))),"",Metas!F16)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IF(OR(Metas!B17="",NOT(ISNUMBER(Metas!G17))),"",Metas!G17)</f>
        <v>2</v>
      </c>
      <c r="D29" s="27">
        <f>IF(OR(Metas!B17="",NOT(ISNUMBER(Metas!F17))),"",Metas!F17)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IF(OR(Metas!B18="",NOT(ISNUMBER(Metas!G18))),"",Metas!G18)</f>
        <v>14</v>
      </c>
      <c r="D30" s="27">
        <f>IF(OR(Metas!B18="",NOT(ISNUMBER(Metas!F18))),"",Metas!F18)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IF(OR(Metas!B19="",NOT(ISNUMBER(Metas!G19))),"",Metas!G19)</f>
        <v/>
      </c>
      <c r="D31" s="27">
        <f>IF(OR(Metas!B19="",NOT(ISNUMBER(Metas!F19))),"",Metas!F19)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IF(OR(Metas!B20="",NOT(ISNUMBER(Metas!G20))),"",Metas!G20)</f>
        <v/>
      </c>
      <c r="D32" s="27">
        <f>IF(OR(Metas!B20="",NOT(ISNUMBER(Metas!F20))),"",Metas!F20)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IF(OR(Metas!B21="",NOT(ISNUMBER(Metas!G21))),"",Metas!G21)</f>
        <v/>
      </c>
      <c r="D33" s="27">
        <f>IF(OR(Metas!B21="",NOT(ISNUMBER(Metas!F21))),"",Metas!F21)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IF(OR(Metas!B22="",NOT(ISNUMBER(Metas!G22))),"",Metas!G22)</f>
        <v/>
      </c>
      <c r="D34" s="27">
        <f>IF(OR(Metas!B22="",NOT(ISNUMBER(Metas!F22))),"",Metas!F22)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IF(OR(Metas!B23="",NOT(ISNUMBER(Metas!G23))),"",Metas!G23)</f>
        <v/>
      </c>
      <c r="D35" s="27">
        <f>IF(OR(Metas!B23="",NOT(ISNUMBER(Metas!F23))),"",Metas!F23)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IF(OR(Metas!B24="",NOT(ISNUMBER(Metas!G24))),"",Metas!G24)</f>
        <v/>
      </c>
      <c r="D36" s="27">
        <f>IF(OR(Metas!B24="",NOT(ISNUMBER(Metas!F24))),"",Metas!F24)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G17="Faltam dados"</formula>
    </cfRule>
    <cfRule type="expression" priority="2" dxfId="1">
      <formula>G17="Atingido"</formula>
    </cfRule>
    <cfRule type="expression" priority="3" dxfId="2">
      <formula>G17="No ritmo"</formula>
    </cfRule>
    <cfRule type="expression" priority="4" dxfId="3">
      <formula>G17="Atenção"</formula>
    </cfRule>
    <cfRule type="expression" priority="5" dxfId="4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0.666666666666667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0.783333333333333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/>
      </c>
      <c r="I8" s="25">
        <f>IF(B8="","",Config!$B$10)</f>
        <v/>
      </c>
      <c r="J8" s="24">
        <f>IF(B8="","",IF(H8="","Faltam dados",IF(H8&gt;=1,"Atingido",IF(H8&gt;=I8-0.1,"No ritmo",IF(H8&gt;=I8-0.25,"Atenção","Em risco")))))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0.333333333333333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0.733333333333333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/>
      </c>
      <c r="I11" s="25">
        <f>IF(B11="","",Config!$B$10)</f>
        <v/>
      </c>
      <c r="J11" s="24">
        <f>IF(B11="","",IF(H11="","Faltam dados",IF(H11&gt;=1,"Atingido",IF(H11&gt;=I11-0.1,"No ritmo",IF(H11&gt;=I11-0.25,"Atenção","Em risco")))))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/>
      </c>
      <c r="I12" s="25">
        <f>IF(B12="","",Config!$B$10)</f>
        <v/>
      </c>
      <c r="J12" s="24">
        <f>IF(B12="","",IF(H12="","Faltam dados",IF(H12&gt;=1,"Atingido",IF(H12&gt;=I12-0.1,"No ritmo",IF(H12&gt;=I12-0.25,"Atenção","Em risco")))))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0.333333333333334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IF(B14="","",IF(OR(NOT(ISNUMBER(E14)),NOT(ISNUMBER(F14)),NOT(ISNUMBER(G14)),AND(K14&lt;&gt;"Menor é melhor",K14&lt;&gt;"Maior é melhor")),"",IF(K14="Menor é melhor",IF(G14&lt;=F14,1,IF(E14&gt;F14,MAX(0,(E14-G14)/(E14-F14)),MAX(0,1-(G14-F14)/MAX(ABS(F14),ABS(G14))))),IF(G14&gt;=F14,1,IF(E14&lt;F14,MAX(0,(G14-E14)/(F14-E14)),MAX(0,1-(F14-G14)/MAX(ABS(F14),ABS(G14))))))))</f>
        <v>0.8</v>
      </c>
      <c r="I14" s="25">
        <f>IF(B14="","",Config!$B$10)</f>
        <v>0.824175824175824</v>
      </c>
      <c r="J14" s="24" t="str">
        <f>IF(B14="","",IF(H14="","Faltam dados",IF(H14&gt;=1,"Atingido",IF(H14&gt;=I14-0.1,"No ritmo",IF(H14&gt;=I14-0.25,"Atenção","Em risco")))))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IF(B15="","",IF(OR(NOT(ISNUMBER(E15)),NOT(ISNUMBER(F15)),NOT(ISNUMBER(G15)),AND(K15&lt;&gt;"Menor é melhor",K15&lt;&gt;"Maior é melhor")),"",IF(K15="Menor é melhor",IF(G15&lt;=F15,1,IF(E15&gt;F15,MAX(0,(E15-G15)/(E15-F15)),MAX(0,1-(G15-F15)/MAX(ABS(F15),ABS(G15))))),IF(G15&gt;=F15,1,IF(E15&lt;F15,MAX(0,(G15-E15)/(F15-E15)),MAX(0,1-(F15-G15)/MAX(ABS(F15),ABS(G15))))))))</f>
        <v/>
      </c>
      <c r="I15" s="25">
        <f>IF(B15="","",Config!$B$10)</f>
        <v/>
      </c>
      <c r="J15" s="24">
        <f>IF(B15="","",IF(H15="","Faltam dados",IF(H15&gt;=1,"Atingido",IF(H15&gt;=I15-0.1,"No ritmo",IF(H15&gt;=I15-0.25,"Atenção","Em risco")))))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IF(B16="","",IF(OR(NOT(ISNUMBER(E16)),NOT(ISNUMBER(F16)),NOT(ISNUMBER(G16)),AND(K16&lt;&gt;"Menor é melhor",K16&lt;&gt;"Maior é melhor")),"",IF(K16="Menor é melhor",IF(G16&lt;=F16,1,IF(E16&gt;F16,MAX(0,(E16-G16)/(E16-F16)),MAX(0,1-(G16-F16)/MAX(ABS(F16),ABS(G16))))),IF(G16&gt;=F16,1,IF(E16&lt;F16,MAX(0,(G16-E16)/(F16-E16)),MAX(0,1-(F16-G16)/MAX(ABS(F16),ABS(G16))))))))</f>
        <v/>
      </c>
      <c r="I16" s="25">
        <f>IF(B16="","",Config!$B$10)</f>
        <v/>
      </c>
      <c r="J16" s="24">
        <f>IF(B16="","",IF(H16="","Faltam dados",IF(H16&gt;=1,"Atingido",IF(H16&gt;=I16-0.1,"No ritmo",IF(H16&gt;=I16-0.25,"Atenção","Em risco")))))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IF(B17="","",IF(OR(NOT(ISNUMBER(E17)),NOT(ISNUMBER(F17)),NOT(ISNUMBER(G17)),AND(K17&lt;&gt;"Menor é melhor",K17&lt;&gt;"Maior é melhor")),"",IF(K17="Menor é melhor",IF(G17&lt;=F17,1,IF(E17&gt;F17,MAX(0,(E17-G17)/(E17-F17)),MAX(0,1-(G17-F17)/MAX(ABS(F17),ABS(G17))))),IF(G17&gt;=F17,1,IF(E17&lt;F17,MAX(0,(G17-E17)/(F17-E17)),MAX(0,1-(F17-G17)/MAX(ABS(F17),ABS(G17))))))))</f>
        <v>0.666666666666667</v>
      </c>
      <c r="I17" s="25">
        <f>IF(B17="","",Config!$B$10)</f>
        <v>0.824175824175824</v>
      </c>
      <c r="J17" s="24" t="str">
        <f>IF(B17="","",IF(H17="","Faltam dados",IF(H17&gt;=1,"Atingido",IF(H17&gt;=I17-0.1,"No ritmo",IF(H17&gt;=I17-0.25,"Atenção","Em risco")))))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IF(B18="","",IF(OR(NOT(ISNUMBER(E18)),NOT(ISNUMBER(F18)),NOT(ISNUMBER(G18)),AND(K18&lt;&gt;"Menor é melhor",K18&lt;&gt;"Maior é melhor")),"",IF(K18="Menor é melhor",IF(G18&lt;=F18,1,IF(E18&gt;F18,MAX(0,(E18-G18)/(E18-F18)),MAX(0,1-(G18-F18)/MAX(ABS(F18),ABS(G18))))),IF(G18&gt;=F18,1,IF(E18&lt;F18,MAX(0,(G18-E18)/(F18-E18)),MAX(0,1-(F18-G18)/MAX(ABS(F18),ABS(G18))))))))</f>
        <v>0.5</v>
      </c>
      <c r="I18" s="25">
        <f>IF(B18="","",Config!$B$10)</f>
        <v>0.824175824175824</v>
      </c>
      <c r="J18" s="24" t="str">
        <f>IF(B18="","",IF(H18="","Faltam dados",IF(H18&gt;=1,"Atingido",IF(H18&gt;=I18-0.1,"No ritmo",IF(H18&gt;=I18-0.25,"Atenção","Em risco")))))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IF(B19="","",IF(OR(NOT(ISNUMBER(E19)),NOT(ISNUMBER(F19)),NOT(ISNUMBER(G19)),AND(K19&lt;&gt;"Menor é melhor",K19&lt;&gt;"Maior é melhor")),"",IF(K19="Menor é melhor",IF(G19&lt;=F19,1,IF(E19&gt;F19,MAX(0,(E19-G19)/(E19-F19)),MAX(0,1-(G19-F19)/MAX(ABS(F19),ABS(G19))))),IF(G19&gt;=F19,1,IF(E19&lt;F19,MAX(0,(G19-E19)/(F19-E19)),MAX(0,1-(F19-G19)/MAX(ABS(F19),ABS(G19))))))))</f>
        <v/>
      </c>
      <c r="I19" s="25">
        <f>IF(B19="","",Config!$B$10)</f>
        <v/>
      </c>
      <c r="J19" s="24">
        <f>IF(B19="","",IF(H19="","Faltam dados",IF(H19&gt;=1,"Atingido",IF(H19&gt;=I19-0.1,"No ritmo",IF(H19&gt;=I19-0.25,"Atenção","Em risco")))))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IF(B20="","",IF(OR(NOT(ISNUMBER(E20)),NOT(ISNUMBER(F20)),NOT(ISNUMBER(G20)),AND(K20&lt;&gt;"Menor é melhor",K20&lt;&gt;"Maior é melhor")),"",IF(K20="Menor é melhor",IF(G20&lt;=F20,1,IF(E20&gt;F20,MAX(0,(E20-G20)/(E20-F20)),MAX(0,1-(G20-F20)/MAX(ABS(F20),ABS(G20))))),IF(G20&gt;=F20,1,IF(E20&lt;F20,MAX(0,(G20-E20)/(F20-E20)),MAX(0,1-(F20-G20)/MAX(ABS(F20),ABS(G20))))))))</f>
        <v/>
      </c>
      <c r="I20" s="25">
        <f>IF(B20="","",Config!$B$10)</f>
        <v/>
      </c>
      <c r="J20" s="24">
        <f>IF(B20="","",IF(H20="","Faltam dados",IF(H20&gt;=1,"Atingido",IF(H20&gt;=I20-0.1,"No ritmo",IF(H20&gt;=I20-0.25,"Atenção","Em risco")))))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IF(B21="","",IF(OR(NOT(ISNUMBER(E21)),NOT(ISNUMBER(F21)),NOT(ISNUMBER(G21)),AND(K21&lt;&gt;"Menor é melhor",K21&lt;&gt;"Maior é melhor")),"",IF(K21="Menor é melhor",IF(G21&lt;=F21,1,IF(E21&gt;F21,MAX(0,(E21-G21)/(E21-F21)),MAX(0,1-(G21-F21)/MAX(ABS(F21),ABS(G21))))),IF(G21&gt;=F21,1,IF(E21&lt;F21,MAX(0,(G21-E21)/(F21-E21)),MAX(0,1-(F21-G21)/MAX(ABS(F21),ABS(G21))))))))</f>
        <v/>
      </c>
      <c r="I21" s="25">
        <f>IF(B21="","",Config!$B$10)</f>
        <v/>
      </c>
      <c r="J21" s="24">
        <f>IF(B21="","",IF(H21="","Faltam dados",IF(H21&gt;=1,"Atingido",IF(H21&gt;=I21-0.1,"No ritmo",IF(H21&gt;=I21-0.25,"Atenção","Em risco")))))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IF(B22="","",IF(OR(NOT(ISNUMBER(E22)),NOT(ISNUMBER(F22)),NOT(ISNUMBER(G22)),AND(K22&lt;&gt;"Menor é melhor",K22&lt;&gt;"Maior é melhor")),"",IF(K22="Menor é melhor",IF(G22&lt;=F22,1,IF(E22&gt;F22,MAX(0,(E22-G22)/(E22-F22)),MAX(0,1-(G22-F22)/MAX(ABS(F22),ABS(G22))))),IF(G22&gt;=F22,1,IF(E22&lt;F22,MAX(0,(G22-E22)/(F22-E22)),MAX(0,1-(F22-G22)/MAX(ABS(F22),ABS(G22))))))))</f>
        <v/>
      </c>
      <c r="I22" s="25">
        <f>IF(B22="","",Config!$B$10)</f>
        <v/>
      </c>
      <c r="J22" s="24">
        <f>IF(B22="","",IF(H22="","Faltam dados",IF(H22&gt;=1,"Atingido",IF(H22&gt;=I22-0.1,"No ritmo",IF(H22&gt;=I22-0.25,"Atenção","Em risco")))))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IF(B23="","",IF(OR(NOT(ISNUMBER(E23)),NOT(ISNUMBER(F23)),NOT(ISNUMBER(G23)),AND(K23&lt;&gt;"Menor é melhor",K23&lt;&gt;"Maior é melhor")),"",IF(K23="Menor é melhor",IF(G23&lt;=F23,1,IF(E23&gt;F23,MAX(0,(E23-G23)/(E23-F23)),MAX(0,1-(G23-F23)/MAX(ABS(F23),ABS(G23))))),IF(G23&gt;=F23,1,IF(E23&lt;F23,MAX(0,(G23-E23)/(F23-E23)),MAX(0,1-(F23-G23)/MAX(ABS(F23),ABS(G23))))))))</f>
        <v/>
      </c>
      <c r="I23" s="25">
        <f>IF(B23="","",Config!$B$10)</f>
        <v/>
      </c>
      <c r="J23" s="24">
        <f>IF(B23="","",IF(H23="","Faltam dados",IF(H23&gt;=1,"Atingido",IF(H23&gt;=I23-0.1,"No ritmo",IF(H23&gt;=I23-0.25,"Atenção","Em risco")))))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IF(B24="","",IF(OR(NOT(ISNUMBER(E24)),NOT(ISNUMBER(F24)),NOT(ISNUMBER(G24)),AND(K24&lt;&gt;"Menor é melhor",K24&lt;&gt;"Maior é melhor")),"",IF(K24="Menor é melhor",IF(G24&lt;=F24,1,IF(E24&gt;F24,MAX(0,(E24-G24)/(E24-F24)),MAX(0,1-(G24-F24)/MAX(ABS(F24),ABS(G24))))),IF(G24&gt;=F24,1,IF(E24&lt;F24,MAX(0,(G24-E24)/(F24-E24)),MAX(0,1-(F24-G24)/MAX(ABS(F24),ABS(G24))))))))</f>
        <v/>
      </c>
      <c r="I24" s="25">
        <f>IF(B24="","",Config!$B$10)</f>
        <v/>
      </c>
      <c r="J24" s="24">
        <f>IF(B24="","",IF(H24="","Faltam dados",IF(H24&gt;=1,"Atingido",IF(H24&gt;=I24-0.1,"No ritmo",IF(H24&gt;=I24-0.25,"Atenção","Em risco")))))</f>
        <v/>
      </c>
      <c r="K24" s="33" t="n"/>
      <c r="L24" s="34" t="n"/>
    </row>
    <row r="26">
      <c r="A26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1">
      <formula>J5="Atingido"</formula>
    </cfRule>
    <cfRule type="expression" priority="2" dxfId="2">
      <formula>J5="No ritmo"</formula>
    </cfRule>
    <cfRule type="expression" priority="3" dxfId="3">
      <formula>J5="Atenção"</formula>
    </cfRule>
    <cfRule type="expression" priority="4" dxfId="4">
      <formula>J5="Em risco"</formula>
    </cfRule>
    <cfRule type="expression" priority="5" dxfId="0">
      <formula>J5="Faltam dados"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IF(OR(Metas!B8="",NOT(ISNUMBER(Metas!F8))),"",Metas!F8)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IF(OR(Metas!B11="",NOT(ISNUMBER(Metas!F11))),"",Metas!F11)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IF(OR(Metas!B12="",NOT(ISNUMBER(Metas!F12))),"",Metas!F12)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IF(OR(Metas!B15="",NOT(ISNUMBER(Metas!F15))),"",Metas!F15)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IF(OR(Metas!B16="",NOT(ISNUMBER(Metas!F16))),"",Metas!F16)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IF(OR(Metas!B19="",NOT(ISNUMBER(Metas!F19))),"",Metas!F19)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IF(OR(Metas!B20="",NOT(ISNUMBER(Metas!F20))),"",Metas!F20)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IF(OR(Metas!B21="",NOT(ISNUMBER(Metas!F21))),"",Metas!F21)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IF(OR(Metas!B22="",NOT(ISNUMBER(Metas!F22))),"",Metas!F22)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IF(OR(Metas!B23="",NOT(ISNUMBER(Metas!F23))),"",Metas!F23)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IF(OR(Metas!B24="",NOT(ISNUMBER(Metas!F24))),"",Metas!F24)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IF(OR(Metas!B5="",NOT(ISNUMBER(E5)),NOT(ISNUMBER(Metas!E5))),"",E5-Metas!E5)</f>
        <v>2</v>
      </c>
      <c r="G5" s="24">
        <f>IF(OR(Metas!B5="",NOT(ISNUMBER(E5)),NOT(ISNUMBER(Metas!F5))),"",Metas!F5-E5)</f>
        <v>1</v>
      </c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IF(OR(Metas!B6="",NOT(ISNUMBER(E6)),NOT(ISNUMBER(Metas!E6))),"",E6-Metas!E6)</f>
        <v>9400</v>
      </c>
      <c r="G6" s="24">
        <f>IF(OR(Metas!B6="",NOT(ISNUMBER(E6)),NOT(ISNUMBER(Metas!F6))),"",Metas!F6-E6)</f>
        <v>2600</v>
      </c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IF(OR(Metas!B7="",NOT(ISNUMBER(E7)),NOT(ISNUMBER(Metas!E7))),"",E7-Metas!E7)</f>
        <v>24</v>
      </c>
      <c r="G7" s="24">
        <f>IF(OR(Metas!B7="",NOT(ISNUMBER(E7)),NOT(ISNUMBER(Metas!F7))),"",Metas!F7-E7)</f>
        <v>0</v>
      </c>
    </row>
    <row r="8">
      <c r="A8" s="23">
        <f>IF(Metas!B8="","",Metas!B8)</f>
        <v/>
      </c>
      <c r="B8" s="24">
        <f>IF(OR(Metas!B8="",NOT(ISNUMBER(Metas!F8))),"",Metas!F8)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IF(OR(Metas!B8="",NOT(ISNUMBER(E8)),NOT(ISNUMBER(Metas!E8))),"",E8-Metas!E8)</f>
        <v/>
      </c>
      <c r="G8" s="24">
        <f>IF(OR(Metas!B8="",NOT(ISNUMBER(E8)),NOT(ISNUMBER(Metas!F8))),"",Metas!F8-E8)</f>
        <v/>
      </c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IF(OR(Metas!B9="",NOT(ISNUMBER(E9)),NOT(ISNUMBER(Metas!E9))),"",E9-Metas!E9)</f>
        <v>-1</v>
      </c>
      <c r="G9" s="24">
        <f>IF(OR(Metas!B9="",NOT(ISNUMBER(E9)),NOT(ISNUMBER(Metas!F9))),"",Metas!F9-E9)</f>
        <v>-2</v>
      </c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IF(OR(Metas!B10="",NOT(ISNUMBER(E10)),NOT(ISNUMBER(Metas!E10))),"",E10-Metas!E10)</f>
        <v>22</v>
      </c>
      <c r="G10" s="24">
        <f>IF(OR(Metas!B10="",NOT(ISNUMBER(E10)),NOT(ISNUMBER(Metas!F10))),"",Metas!F10-E10)</f>
        <v>8</v>
      </c>
    </row>
    <row r="11">
      <c r="A11" s="23">
        <f>IF(Metas!B11="","",Metas!B11)</f>
        <v/>
      </c>
      <c r="B11" s="24">
        <f>IF(OR(Metas!B11="",NOT(ISNUMBER(Metas!F11))),"",Metas!F11)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IF(OR(Metas!B11="",NOT(ISNUMBER(E11)),NOT(ISNUMBER(Metas!E11))),"",E11-Metas!E11)</f>
        <v/>
      </c>
      <c r="G11" s="24">
        <f>IF(OR(Metas!B11="",NOT(ISNUMBER(E11)),NOT(ISNUMBER(Metas!F11))),"",Metas!F11-E11)</f>
        <v/>
      </c>
    </row>
    <row r="12">
      <c r="A12" s="23">
        <f>IF(Metas!B12="","",Metas!B12)</f>
        <v/>
      </c>
      <c r="B12" s="24">
        <f>IF(OR(Metas!B12="",NOT(ISNUMBER(Metas!F12))),"",Metas!F12)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IF(OR(Metas!B12="",NOT(ISNUMBER(E12)),NOT(ISNUMBER(Metas!E12))),"",E12-Metas!E12)</f>
        <v/>
      </c>
      <c r="G12" s="24">
        <f>IF(OR(Metas!B12="",NOT(ISNUMBER(E12)),NOT(ISNUMBER(Metas!F12))),"",Metas!F12-E12)</f>
        <v/>
      </c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IF(OR(Metas!B13="",NOT(ISNUMBER(E13)),NOT(ISNUMBER(Metas!E13))),"",E13-Metas!E13)</f>
        <v>-0.4</v>
      </c>
      <c r="G13" s="24">
        <f>IF(OR(Metas!B13="",NOT(ISNUMBER(E13)),NOT(ISNUMBER(Metas!F13))),"",Metas!F13-E13)</f>
        <v>-0.8</v>
      </c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IF(OR(Metas!B14="",NOT(ISNUMBER(E14)),NOT(ISNUMBER(Metas!E14))),"",E14-Metas!E14)</f>
        <v>20</v>
      </c>
      <c r="G14" s="24">
        <f>IF(OR(Metas!B14="",NOT(ISNUMBER(E14)),NOT(ISNUMBER(Metas!F14))),"",Metas!F14-E14)</f>
        <v>5</v>
      </c>
    </row>
    <row r="15">
      <c r="A15" s="23">
        <f>IF(Metas!B15="","",Metas!B15)</f>
        <v/>
      </c>
      <c r="B15" s="24">
        <f>IF(OR(Metas!B15="",NOT(ISNUMBER(Metas!F15))),"",Metas!F15)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IF(OR(Metas!B15="",NOT(ISNUMBER(E15)),NOT(ISNUMBER(Metas!E15))),"",E15-Metas!E15)</f>
        <v/>
      </c>
      <c r="G15" s="24">
        <f>IF(OR(Metas!B15="",NOT(ISNUMBER(E15)),NOT(ISNUMBER(Metas!F15))),"",Metas!F15-E15)</f>
        <v/>
      </c>
    </row>
    <row r="16">
      <c r="A16" s="23">
        <f>IF(Metas!B16="","",Metas!B16)</f>
        <v/>
      </c>
      <c r="B16" s="24">
        <f>IF(OR(Metas!B16="",NOT(ISNUMBER(Metas!F16))),"",Metas!F16)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IF(OR(Metas!B16="",NOT(ISNUMBER(E16)),NOT(ISNUMBER(Metas!E16))),"",E16-Metas!E16)</f>
        <v/>
      </c>
      <c r="G16" s="24">
        <f>IF(OR(Metas!B16="",NOT(ISNUMBER(E16)),NOT(ISNUMBER(Metas!F16))),"",Metas!F16-E16)</f>
        <v/>
      </c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IF(OR(Metas!B17="",NOT(ISNUMBER(E17)),NOT(ISNUMBER(Metas!E17))),"",E17-Metas!E17)</f>
        <v>2</v>
      </c>
      <c r="G17" s="24">
        <f>IF(OR(Metas!B17="",NOT(ISNUMBER(E17)),NOT(ISNUMBER(Metas!F17))),"",Metas!F17-E17)</f>
        <v>1</v>
      </c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IF(OR(Metas!B18="",NOT(ISNUMBER(E18)),NOT(ISNUMBER(Metas!E18))),"",E18-Metas!E18)</f>
        <v>-6</v>
      </c>
      <c r="G18" s="24">
        <f>IF(OR(Metas!B18="",NOT(ISNUMBER(E18)),NOT(ISNUMBER(Metas!F18))),"",Metas!F18-E18)</f>
        <v>-6</v>
      </c>
    </row>
    <row r="19">
      <c r="A19" s="23">
        <f>IF(Metas!B19="","",Metas!B19)</f>
        <v/>
      </c>
      <c r="B19" s="24">
        <f>IF(OR(Metas!B19="",NOT(ISNUMBER(Metas!F19))),"",Metas!F19)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IF(OR(Metas!B19="",NOT(ISNUMBER(E19)),NOT(ISNUMBER(Metas!E19))),"",E19-Metas!E19)</f>
        <v/>
      </c>
      <c r="G19" s="24">
        <f>IF(OR(Metas!B19="",NOT(ISNUMBER(E19)),NOT(ISNUMBER(Metas!F19))),"",Metas!F19-E19)</f>
        <v/>
      </c>
    </row>
    <row r="20">
      <c r="A20" s="23">
        <f>IF(Metas!B20="","",Metas!B20)</f>
        <v/>
      </c>
      <c r="B20" s="24">
        <f>IF(OR(Metas!B20="",NOT(ISNUMBER(Metas!F20))),"",Metas!F20)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IF(OR(Metas!B20="",NOT(ISNUMBER(E20)),NOT(ISNUMBER(Metas!E20))),"",E20-Metas!E20)</f>
        <v/>
      </c>
      <c r="G20" s="24">
        <f>IF(OR(Metas!B20="",NOT(ISNUMBER(E20)),NOT(ISNUMBER(Metas!F20))),"",Metas!F20-E20)</f>
        <v/>
      </c>
    </row>
    <row r="21">
      <c r="A21" s="23">
        <f>IF(Metas!B21="","",Metas!B21)</f>
        <v/>
      </c>
      <c r="B21" s="24">
        <f>IF(OR(Metas!B21="",NOT(ISNUMBER(Metas!F21))),"",Metas!F21)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IF(OR(Metas!B21="",NOT(ISNUMBER(E21)),NOT(ISNUMBER(Metas!E21))),"",E21-Metas!E21)</f>
        <v/>
      </c>
      <c r="G21" s="24">
        <f>IF(OR(Metas!B21="",NOT(ISNUMBER(E21)),NOT(ISNUMBER(Metas!F21))),"",Metas!F21-E21)</f>
        <v/>
      </c>
    </row>
    <row r="22">
      <c r="A22" s="23">
        <f>IF(Metas!B22="","",Metas!B22)</f>
        <v/>
      </c>
      <c r="B22" s="24">
        <f>IF(OR(Metas!B22="",NOT(ISNUMBER(Metas!F22))),"",Metas!F22)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IF(OR(Metas!B22="",NOT(ISNUMBER(E22)),NOT(ISNUMBER(Metas!E22))),"",E22-Metas!E22)</f>
        <v/>
      </c>
      <c r="G22" s="24">
        <f>IF(OR(Metas!B22="",NOT(ISNUMBER(E22)),NOT(ISNUMBER(Metas!F22))),"",Metas!F22-E22)</f>
        <v/>
      </c>
    </row>
    <row r="23">
      <c r="A23" s="23">
        <f>IF(Metas!B23="","",Metas!B23)</f>
        <v/>
      </c>
      <c r="B23" s="24">
        <f>IF(OR(Metas!B23="",NOT(ISNUMBER(Metas!F23))),"",Metas!F23)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IF(OR(Metas!B23="",NOT(ISNUMBER(E23)),NOT(ISNUMBER(Metas!E23))),"",E23-Metas!E23)</f>
        <v/>
      </c>
      <c r="G23" s="24">
        <f>IF(OR(Metas!B23="",NOT(ISNUMBER(E23)),NOT(ISNUMBER(Metas!F23))),"",Metas!F23-E23)</f>
        <v/>
      </c>
    </row>
    <row r="24">
      <c r="A24" s="23">
        <f>IF(Metas!B24="","",Metas!B24)</f>
        <v/>
      </c>
      <c r="B24" s="24">
        <f>IF(OR(Metas!B24="",NOT(ISNUMBER(Metas!F24))),"",Metas!F24)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IF(OR(Metas!B24="",NOT(ISNUMBER(E24)),NOT(ISNUMBER(Metas!E24))),"",E24-Metas!E24)</f>
        <v/>
      </c>
      <c r="G24" s="24">
        <f>IF(OR(Metas!B24="",NOT(ISNUMBER(E24)),NOT(ISNUMBER(Metas!F24))),"",Metas!F24-E24)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2026-09-19T05:27:14Z</dcterms:created>
  <dcterms:modified xmlns:dcterms="http://purl.org/dc/terms/" xmlns:xsi="http://www.w3.org/2001/XMLSchema-instance" xsi:type="dcterms:W3CDTF">2026-09-19T05:27:14Z</dcterms:modified>
</cp:coreProperties>
</file>