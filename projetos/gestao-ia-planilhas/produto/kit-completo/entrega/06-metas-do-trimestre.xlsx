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Metas" sheetId="4" state="visible" r:id="rId4"/>
    <sheet xmlns:r="http://schemas.openxmlformats.org/officeDocument/2006/relationships" name="Semanas" sheetId="5" state="visible" r:id="rId5"/>
    <sheet xmlns:r="http://schemas.openxmlformats.org/officeDocument/2006/relationships" name="Me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##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</fills>
  <borders count="9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 style="thin">
        <color rgb="00DCD2EC"/>
      </left>
      <right/>
      <top/>
      <bottom/>
      <diagonal/>
    </border>
    <border>
      <left style="thin">
        <color rgb="00DCD2EC"/>
      </left>
      <right style="thin">
        <color rgb="00DCD2EC"/>
      </right>
      <top/>
      <bottom/>
      <diagonal/>
    </border>
    <border>
      <left style="thin">
        <color rgb="00DCD2EC"/>
      </left>
      <right style="thin">
        <color rgb="00DCD2EC"/>
      </right>
      <top/>
      <bottom style="thin">
        <color rgb="00DCD2EC"/>
      </bottom>
      <diagonal/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4" fillId="0" borderId="0" pivotButton="0" quotePrefix="0" xfId="0"/>
    <xf numFmtId="0" fontId="13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10" fillId="6" borderId="0" applyAlignment="1" pivotButton="0" quotePrefix="0" xfId="0">
      <alignment horizontal="center"/>
    </xf>
    <xf numFmtId="0" fontId="0" fillId="6" borderId="0" pivotButton="0" quotePrefix="0" xfId="0"/>
    <xf numFmtId="0" fontId="7" fillId="7" borderId="0" applyAlignment="1" pivotButton="0" quotePrefix="0" xfId="0">
      <alignment horizontal="center"/>
    </xf>
    <xf numFmtId="0" fontId="0" fillId="7" borderId="0" pivotButton="0" quotePrefix="0" xfId="0"/>
    <xf numFmtId="3" fontId="1" fillId="4" borderId="0" applyAlignment="1" pivotButton="0" quotePrefix="0" xfId="0">
      <alignment horizontal="center"/>
    </xf>
    <xf numFmtId="3" fontId="9" fillId="5" borderId="0" applyAlignment="1" pivotButton="0" quotePrefix="0" xfId="0">
      <alignment horizontal="center"/>
    </xf>
    <xf numFmtId="3" fontId="11" fillId="6" borderId="0" applyAlignment="1" pivotButton="0" quotePrefix="0" xfId="0">
      <alignment horizontal="center"/>
    </xf>
    <xf numFmtId="9" fontId="1" fillId="7" borderId="0" applyAlignment="1" pivotButton="0" quotePrefix="0" xfId="0">
      <alignment horizontal="center"/>
    </xf>
    <xf numFmtId="0" fontId="1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3" fillId="0" borderId="1" pivotButton="0" quotePrefix="0" xfId="0"/>
    <xf numFmtId="166" fontId="4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vertical="top" wrapText="1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wrapText="1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</cellXfs>
  <cellStyles count="1">
    <cellStyle name="Normal" xfId="0" builtinId="0" hidden="0"/>
  </cellStyles>
  <dxfs count="6">
    <dxf>
      <font>
        <name val="Arial"/>
        <color rgb="008A86A0"/>
        <sz val="10"/>
      </font>
      <fill>
        <patternFill patternType="solid">
          <fgColor rgb="00EDEDED"/>
        </patternFill>
      </fill>
    </dxf>
    <dxf>
      <font>
        <name val="Arial"/>
        <b val="1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155E3C"/>
        <sz val="10"/>
      </font>
      <fill>
        <patternFill patternType="solid">
          <fgColor rgb="00E6F4EA"/>
        </patternFill>
      </fill>
    </dxf>
    <dxf>
      <font>
        <name val="Arial"/>
        <color rgb="007A5200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Metas do Trimestre</t>
        </is>
      </c>
    </row>
    <row r="2">
      <c r="A2" s="2" t="inlineStr">
        <is>
          <t>Kit IA no Trabalho · Completo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define até 5 objetivos com até 4 resultados-chave cada (ponto de partida, meta, valor atual). Ela calcula o progresso, compara com o tempo já decorrido e acende o semáforo: atingido, no ritmo, atenção ou em risco.</t>
        </is>
      </c>
    </row>
    <row r="5" ht="46" customHeight="1">
      <c r="A5" s="3" t="inlineStr">
        <is>
          <t>Passo 1</t>
        </is>
      </c>
      <c r="B5" s="4" t="inlineStr">
        <is>
          <t>Em Config, preencha o trimestre, as datas de início e fim e troque a data de referência por =HOJE() (no exemplo ela está congelada em 14/09/2026, semana 11 de 13).</t>
        </is>
      </c>
    </row>
    <row r="6" ht="46" customHeight="1">
      <c r="A6" s="3" t="inlineStr">
        <is>
          <t>Passo 2</t>
        </is>
      </c>
      <c r="B6" s="4" t="inlineStr">
        <is>
          <t>Em Metas, escreva cada objetivo e seus resultados-chave. Ponto de partida é o valor no dia 1; meta é onde quer chegar; valor atual é o número de hoje. Diga se maior ou menor é melhor.</t>
        </is>
      </c>
    </row>
    <row r="7" ht="46" customHeight="1">
      <c r="A7" s="3" t="inlineStr">
        <is>
          <t>Passo 3</t>
        </is>
      </c>
      <c r="B7" s="4" t="inlineStr">
        <is>
          <t>Toda semana, atualize o valor atual e copie para a coluna da semana em Semanas. O Painel mostra o resumo por objetivo e a lista completa com semáforo; a aba Meses fecha cada mês do trimestre a partir das semanas, para a reunião mensal.</t>
        </is>
      </c>
    </row>
    <row r="8" ht="46" customHeight="1">
      <c r="A8" s="3" t="inlineStr">
        <is>
          <t>Rotina</t>
        </is>
      </c>
      <c r="B8" s="4" t="inlineStr">
        <is>
          <t>Sexta-feira, 10 minutos: atualizar os valores. Primeira segunda do mês: reunião de 20 minutos olhando o Painel.</t>
        </is>
      </c>
    </row>
    <row r="9" ht="46" customHeight="1">
      <c r="A9" s="3" t="inlineStr">
        <is>
          <t>Com a IA</t>
        </is>
      </c>
      <c r="B9" s="4" t="inlineStr">
        <is>
          <t>Copie a tabela "Todos os resultados-chave" e use o prompt "Analisar 04: meta realista" ou "Escrever 04: justificativa para chefe ou cliente". No fim do trimestre, "Apresentar 01: roteiro de 8 slides".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Não é preciso mexer em nada fora do amarelo.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Requisitos</t>
        </is>
      </c>
      <c r="B12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3" ht="46" customHeight="1">
      <c r="A13" s="3" t="inlineStr">
        <is>
          <t>Google Sheets</t>
        </is>
      </c>
      <c r="B13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4" ht="46" customHeight="1">
      <c r="A14" s="3" t="inlineStr">
        <is>
          <t>Data de referência</t>
        </is>
      </c>
      <c r="B14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5" ht="46" customHeight="1">
      <c r="A15" s="3" t="inlineStr">
        <is>
          <t>Exemplos</t>
        </is>
      </c>
      <c r="B15" s="4" t="inlineStr">
        <is>
          <t>Prisma Comunicação é uma empresa fictícia. Nomes e valores são inventados. Apague-os antes de começar.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1" customWidth="1" min="7" max="7"/>
    <col width="24" customWidth="1" min="8" max="8"/>
  </cols>
  <sheetData>
    <row r="1">
      <c r="A1" s="5" t="str">
        <f>Config!B4&amp;" · "&amp;Config!B5</f>
        <v>Prisma Comunicação (exemplo fictício) · 3º trimestre de 2026</v>
      </c>
    </row>
    <row r="2">
      <c r="A2" s="6" t="str">
        <f>"Semana "&amp;Config!B9&amp;" de 13 · "&amp;TEXT(Config!B10,"0%")&amp;" do trimestre decorrido. Nada para preencher aqui."</f>
        <v>Semana 11 de 13 · 82% do trimestre decorrido. Nada para preencher aqui.</v>
      </c>
    </row>
    <row r="4">
      <c r="A4" s="7" t="inlineStr">
        <is>
          <t>Resultados-chave</t>
        </is>
      </c>
      <c r="B4" s="8" t="n"/>
      <c r="C4" s="9" t="inlineStr">
        <is>
          <t>Atingidos</t>
        </is>
      </c>
      <c r="D4" s="10" t="n"/>
      <c r="E4" s="11" t="inlineStr">
        <is>
          <t>Em risco</t>
        </is>
      </c>
      <c r="F4" s="12" t="n"/>
      <c r="G4" s="13" t="inlineStr">
        <is>
          <t>Progresso médio</t>
        </is>
      </c>
      <c r="H4" s="14" t="n"/>
    </row>
    <row r="5" ht="30" customHeight="1">
      <c r="A5" s="15">
        <f>COUNTIFS(Metas!$B$5:$B$24,"&lt;&gt;")</f>
        <v>9</v>
      </c>
      <c r="B5" s="8" t="n"/>
      <c r="C5" s="16">
        <f>COUNTIFS(Metas!$J$5:$J$24,"Atingido")</f>
        <v>1</v>
      </c>
      <c r="D5" s="10" t="n"/>
      <c r="E5" s="17">
        <f>COUNTIFS(Metas!$J$5:$J$24,"Em risco")</f>
        <v>3</v>
      </c>
      <c r="F5" s="12" t="n"/>
      <c r="G5" s="18">
        <f>IF(COUNT(Metas!$H$5:$H$24)=0,"Faltam dados",AVERAGEIFS(Metas!$H$5:$H$24,Metas!$B$5:$B$24,"&lt;&gt;"))</f>
        <v>0.646296296296296</v>
      </c>
      <c r="H5" s="14" t="n"/>
    </row>
    <row r="7">
      <c r="A7" s="19" t="inlineStr">
        <is>
          <t>Por objetivo</t>
        </is>
      </c>
    </row>
    <row r="8" ht="26" customHeight="1">
      <c r="A8" s="20" t="inlineStr">
        <is>
          <t>Objetivo</t>
        </is>
      </c>
      <c r="B8" s="20" t="inlineStr">
        <is>
          <t>Resultados-chave</t>
        </is>
      </c>
      <c r="C8" s="20" t="inlineStr">
        <is>
          <t>Progresso médio</t>
        </is>
      </c>
      <c r="D8" s="20" t="inlineStr">
        <is>
          <t>Atingidos</t>
        </is>
      </c>
      <c r="E8" s="20" t="inlineStr">
        <is>
          <t>Em risco</t>
        </is>
      </c>
      <c r="F8" s="20" t="inlineStr">
        <is>
          <t>Barra</t>
        </is>
      </c>
      <c r="G8" s="21" t="n"/>
      <c r="H8" s="22" t="n"/>
    </row>
    <row r="9">
      <c r="A9" s="23" t="str">
        <f>IF(Metas!$A$5="","",Metas!$A$5)</f>
        <v>Crescer a receita recorrente</v>
      </c>
      <c r="B9" s="24">
        <f>IF(Metas!$A$5="","",COUNTIFS(Metas!$B$5:$B$8,"&lt;&gt;"))</f>
        <v>3</v>
      </c>
      <c r="C9" s="25">
        <f>IF(OR(Metas!$A$5="",B9=0),"",IF(COUNT(Metas!$H$5:$H$8)=0,"Faltam dados",AVERAGEIFS(Metas!$H$5:$H$8,Metas!$B$5:$B$8,"&lt;&gt;")))</f>
        <v>0.816666666666667</v>
      </c>
      <c r="D9" s="24">
        <f>IF(Metas!$A$5="","",COUNTIFS(Metas!$J$5:$J$8,"Atingido"))</f>
        <v>1</v>
      </c>
      <c r="E9" s="24">
        <f>IF(Metas!$A$5="","",COUNTIFS(Metas!$J$5:$J$8,"Em risco"))</f>
        <v>0</v>
      </c>
      <c r="F9" s="26" t="str">
        <f>IF(ISNUMBER(C9),REPT("█",ROUND(C9*30,0)),"")</f>
        <v>█████████████████████████</v>
      </c>
      <c r="G9" s="21" t="n"/>
      <c r="H9" s="22" t="n"/>
    </row>
    <row r="10">
      <c r="A10" s="23" t="str">
        <f>IF(Metas!$A$9="","",Metas!$A$9)</f>
        <v>Entregar no prazo</v>
      </c>
      <c r="B10" s="24">
        <f>IF(Metas!$A$9="","",COUNTIFS(Metas!$B$9:$B$12,"&lt;&gt;"))</f>
        <v>2</v>
      </c>
      <c r="C10" s="25">
        <f>IF(OR(Metas!$A$9="",B10=0),"",IF(COUNT(Metas!$H$9:$H$12)=0,"Faltam dados",AVERAGEIFS(Metas!$H$9:$H$12,Metas!$B$9:$B$12,"&lt;&gt;")))</f>
        <v>0.533333333333333</v>
      </c>
      <c r="D10" s="24">
        <f>IF(Metas!$A$9="","",COUNTIFS(Metas!$J$9:$J$12,"Atingido"))</f>
        <v>0</v>
      </c>
      <c r="E10" s="24">
        <f>IF(Metas!$A$9="","",COUNTIFS(Metas!$J$9:$J$12,"Em risco"))</f>
        <v>1</v>
      </c>
      <c r="F10" s="26" t="str">
        <f>IF(ISNUMBER(C10),REPT("█",ROUND(C10*30,0)),"")</f>
        <v>████████████████</v>
      </c>
      <c r="G10" s="21" t="n"/>
      <c r="H10" s="22" t="n"/>
    </row>
    <row r="11">
      <c r="A11" s="23" t="str">
        <f>IF(Metas!$A$13="","",Metas!$A$13)</f>
        <v>Reduzir retrabalho</v>
      </c>
      <c r="B11" s="24">
        <f>IF(Metas!$A$13="","",COUNTIFS(Metas!$B$13:$B$16,"&lt;&gt;"))</f>
        <v>2</v>
      </c>
      <c r="C11" s="25">
        <f>IF(OR(Metas!$A$13="",B11=0),"",IF(COUNT(Metas!$H$13:$H$16)=0,"Faltam dados",AVERAGEIFS(Metas!$H$13:$H$16,Metas!$B$13:$B$16,"&lt;&gt;")))</f>
        <v>0.566666666666667</v>
      </c>
      <c r="D11" s="24">
        <f>IF(Metas!$A$13="","",COUNTIFS(Metas!$J$13:$J$16,"Atingido"))</f>
        <v>0</v>
      </c>
      <c r="E11" s="24">
        <f>IF(Metas!$A$13="","",COUNTIFS(Metas!$J$13:$J$16,"Em risco"))</f>
        <v>1</v>
      </c>
      <c r="F11" s="26" t="str">
        <f>IF(ISNUMBER(C11),REPT("█",ROUND(C11*30,0)),"")</f>
        <v>█████████████████</v>
      </c>
      <c r="G11" s="21" t="n"/>
      <c r="H11" s="22" t="n"/>
    </row>
    <row r="12">
      <c r="A12" s="23" t="str">
        <f>IF(Metas!$A$17="","",Metas!$A$17)</f>
        <v>Organizar a casa</v>
      </c>
      <c r="B12" s="24">
        <f>IF(Metas!$A$17="","",COUNTIFS(Metas!$B$17:$B$20,"&lt;&gt;"))</f>
        <v>2</v>
      </c>
      <c r="C12" s="25">
        <f>IF(OR(Metas!$A$17="",B12=0),"",IF(COUNT(Metas!$H$17:$H$20)=0,"Faltam dados",AVERAGEIFS(Metas!$H$17:$H$20,Metas!$B$17:$B$20,"&lt;&gt;")))</f>
        <v>0.583333333333333</v>
      </c>
      <c r="D12" s="24">
        <f>IF(Metas!$A$17="","",COUNTIFS(Metas!$J$17:$J$20,"Atingido"))</f>
        <v>0</v>
      </c>
      <c r="E12" s="24">
        <f>IF(Metas!$A$17="","",COUNTIFS(Metas!$J$17:$J$20,"Em risco"))</f>
        <v>1</v>
      </c>
      <c r="F12" s="26" t="str">
        <f>IF(ISNUMBER(C12),REPT("█",ROUND(C12*30,0)),"")</f>
        <v>█████████████████</v>
      </c>
      <c r="G12" s="21" t="n"/>
      <c r="H12" s="22" t="n"/>
    </row>
    <row r="13">
      <c r="A13" s="23">
        <f>IF(Metas!$A$21="","",Metas!$A$21)</f>
        <v/>
      </c>
      <c r="B13" s="24">
        <f>IF(Metas!$A$21="","",COUNTIFS(Metas!$B$21:$B$24,"&lt;&gt;"))</f>
        <v/>
      </c>
      <c r="C13" s="25">
        <f>IF(OR(Metas!$A$21="",B13=0),"",IF(COUNT(Metas!$H$21:$H$24)=0,"Faltam dados",AVERAGEIFS(Metas!$H$21:$H$24,Metas!$B$21:$B$24,"&lt;&gt;")))</f>
        <v/>
      </c>
      <c r="D13" s="24">
        <f>IF(Metas!$A$21="","",COUNTIFS(Metas!$J$21:$J$24,"Atingido"))</f>
        <v/>
      </c>
      <c r="E13" s="24">
        <f>IF(Metas!$A$21="","",COUNTIFS(Metas!$J$21:$J$24,"Em risco"))</f>
        <v/>
      </c>
      <c r="F13" s="26">
        <f>IF(ISNUMBER(C13),REPT("█",ROUND(C13*30,0)),"")</f>
        <v/>
      </c>
      <c r="G13" s="21" t="n"/>
      <c r="H13" s="22" t="n"/>
    </row>
    <row r="15">
      <c r="A15" s="19" t="inlineStr">
        <is>
          <t>Todos os resultados-chave</t>
        </is>
      </c>
    </row>
    <row r="16" ht="26" customHeight="1">
      <c r="A16" s="20" t="inlineStr">
        <is>
          <t>Resultado-chave</t>
        </is>
      </c>
      <c r="B16" s="20" t="inlineStr">
        <is>
          <t>Dono</t>
        </is>
      </c>
      <c r="C16" s="20" t="inlineStr">
        <is>
          <t>Atual</t>
        </is>
      </c>
      <c r="D16" s="20" t="inlineStr">
        <is>
          <t>Meta</t>
        </is>
      </c>
      <c r="E16" s="20" t="inlineStr">
        <is>
          <t>Progresso</t>
        </is>
      </c>
      <c r="F16" s="20" t="inlineStr">
        <is>
          <t>Esperado</t>
        </is>
      </c>
      <c r="G16" s="20" t="inlineStr">
        <is>
          <t>Semáforo</t>
        </is>
      </c>
      <c r="H16" s="20" t="inlineStr">
        <is>
          <t>Barra</t>
        </is>
      </c>
    </row>
    <row r="17">
      <c r="A17" s="23" t="str">
        <f>IF(Metas!B5="","",Metas!B5)</f>
        <v>Fechar 3 contratos mensais novos</v>
      </c>
      <c r="B17" s="24" t="str">
        <f>IF(OR(Metas!B5="",Metas!C5=""),"",Metas!C5)</f>
        <v>Ana</v>
      </c>
      <c r="C17" s="27">
        <f>IF(OR(Metas!B5="",NOT(ISNUMBER(Metas!G5))),"",Metas!G5)</f>
        <v>2</v>
      </c>
      <c r="D17" s="27">
        <f>IF(OR(Metas!B5="",NOT(ISNUMBER(Metas!F5))),"",Metas!F5)</f>
        <v>3</v>
      </c>
      <c r="E17" s="25">
        <f>IF(Metas!B5="","",Metas!H5)</f>
        <v>0.666666666666667</v>
      </c>
      <c r="F17" s="25">
        <f>IF(Metas!B5="","",Metas!I5)</f>
        <v>0.824175824175824</v>
      </c>
      <c r="G17" s="24" t="str">
        <f>IF(Metas!B5="","",Metas!J5)</f>
        <v>Atenção</v>
      </c>
      <c r="H17" s="26" t="str">
        <f>IF(E17="","",REPT("█",ROUND(E17*20,0)))</f>
        <v>█████████████</v>
      </c>
    </row>
    <row r="18">
      <c r="A18" s="23" t="str">
        <f>IF(Metas!B6="","",Metas!B6)</f>
        <v>Receita recorrente mensal de R$ 30 mil</v>
      </c>
      <c r="B18" s="24" t="str">
        <f>IF(OR(Metas!B6="",Metas!C6=""),"",Metas!C6)</f>
        <v>Ana</v>
      </c>
      <c r="C18" s="27">
        <f>IF(OR(Metas!B6="",NOT(ISNUMBER(Metas!G6))),"",Metas!G6)</f>
        <v>27400</v>
      </c>
      <c r="D18" s="27">
        <f>IF(OR(Metas!B6="",NOT(ISNUMBER(Metas!F6))),"",Metas!F6)</f>
        <v>30000</v>
      </c>
      <c r="E18" s="25">
        <f>IF(Metas!B6="","",Metas!H6)</f>
        <v>0.783333333333333</v>
      </c>
      <c r="F18" s="25">
        <f>IF(Metas!B6="","",Metas!I6)</f>
        <v>0.824175824175824</v>
      </c>
      <c r="G18" s="24" t="str">
        <f>IF(Metas!B6="","",Metas!J6)</f>
        <v>No ritmo</v>
      </c>
      <c r="H18" s="26" t="str">
        <f>IF(E18="","",REPT("█",ROUND(E18*20,0)))</f>
        <v>████████████████</v>
      </c>
    </row>
    <row r="19">
      <c r="A19" s="23" t="str">
        <f>IF(Metas!B7="","",Metas!B7)</f>
        <v>Propostas enviadas no trimestre</v>
      </c>
      <c r="B19" s="24" t="str">
        <f>IF(OR(Metas!B7="",Metas!C7=""),"",Metas!C7)</f>
        <v>Carla</v>
      </c>
      <c r="C19" s="27">
        <f>IF(OR(Metas!B7="",NOT(ISNUMBER(Metas!G7))),"",Metas!G7)</f>
        <v>24</v>
      </c>
      <c r="D19" s="27">
        <f>IF(OR(Metas!B7="",NOT(ISNUMBER(Metas!F7))),"",Metas!F7)</f>
        <v>24</v>
      </c>
      <c r="E19" s="25">
        <f>IF(Metas!B7="","",Metas!H7)</f>
        <v>1</v>
      </c>
      <c r="F19" s="25">
        <f>IF(Metas!B7="","",Metas!I7)</f>
        <v>0.824175824175824</v>
      </c>
      <c r="G19" s="24" t="str">
        <f>IF(Metas!B7="","",Metas!J7)</f>
        <v>Atingido</v>
      </c>
      <c r="H19" s="26" t="str">
        <f>IF(E19="","",REPT("█",ROUND(E19*20,0)))</f>
        <v>████████████████████</v>
      </c>
    </row>
    <row r="20">
      <c r="A20" s="23">
        <f>IF(Metas!B8="","",Metas!B8)</f>
        <v/>
      </c>
      <c r="B20" s="24">
        <f>IF(OR(Metas!B8="",Metas!C8=""),"",Metas!C8)</f>
        <v/>
      </c>
      <c r="C20" s="27">
        <f>IF(OR(Metas!B8="",NOT(ISNUMBER(Metas!G8))),"",Metas!G8)</f>
        <v/>
      </c>
      <c r="D20" s="27">
        <f>IF(OR(Metas!B8="",NOT(ISNUMBER(Metas!F8))),"",Metas!F8)</f>
        <v/>
      </c>
      <c r="E20" s="25">
        <f>IF(Metas!B8="","",Metas!H8)</f>
        <v/>
      </c>
      <c r="F20" s="25">
        <f>IF(Metas!B8="","",Metas!I8)</f>
        <v/>
      </c>
      <c r="G20" s="24">
        <f>IF(Metas!B8="","",Metas!J8)</f>
        <v/>
      </c>
      <c r="H20" s="26">
        <f>IF(E20="","",REPT("█",ROUND(E20*20,0)))</f>
        <v/>
      </c>
    </row>
    <row r="21">
      <c r="A21" s="23" t="str">
        <f>IF(Metas!B9="","",Metas!B9)</f>
        <v>Etapas atrasadas por semana (média)</v>
      </c>
      <c r="B21" s="24" t="str">
        <f>IF(OR(Metas!B9="",Metas!C9=""),"",Metas!C9)</f>
        <v>Ana</v>
      </c>
      <c r="C21" s="27">
        <f>IF(OR(Metas!B9="",NOT(ISNUMBER(Metas!G9))),"",Metas!G9)</f>
        <v>3</v>
      </c>
      <c r="D21" s="27">
        <f>IF(OR(Metas!B9="",NOT(ISNUMBER(Metas!F9))),"",Metas!F9)</f>
        <v>1</v>
      </c>
      <c r="E21" s="25">
        <f>IF(Metas!B9="","",Metas!H9)</f>
        <v>0.333333333333333</v>
      </c>
      <c r="F21" s="25">
        <f>IF(Metas!B9="","",Metas!I9)</f>
        <v>0.824175824175824</v>
      </c>
      <c r="G21" s="24" t="str">
        <f>IF(Metas!B9="","",Metas!J9)</f>
        <v>Em risco</v>
      </c>
      <c r="H21" s="26" t="str">
        <f>IF(E21="","",REPT("█",ROUND(E21*20,0)))</f>
        <v>███████</v>
      </c>
    </row>
    <row r="22">
      <c r="A22" s="23" t="str">
        <f>IF(Metas!B10="","",Metas!B10)</f>
        <v>Projetos entregues na data combinada</v>
      </c>
      <c r="B22" s="24" t="str">
        <f>IF(OR(Metas!B10="",Metas!C10=""),"",Metas!C10)</f>
        <v>Bruno</v>
      </c>
      <c r="C22" s="27">
        <f>IF(OR(Metas!B10="",NOT(ISNUMBER(Metas!G10))),"",Metas!G10)</f>
        <v>82</v>
      </c>
      <c r="D22" s="27">
        <f>IF(OR(Metas!B10="",NOT(ISNUMBER(Metas!F10))),"",Metas!F10)</f>
        <v>90</v>
      </c>
      <c r="E22" s="25">
        <f>IF(Metas!B10="","",Metas!H10)</f>
        <v>0.733333333333333</v>
      </c>
      <c r="F22" s="25">
        <f>IF(Metas!B10="","",Metas!I10)</f>
        <v>0.824175824175824</v>
      </c>
      <c r="G22" s="24" t="str">
        <f>IF(Metas!B10="","",Metas!J10)</f>
        <v>No ritmo</v>
      </c>
      <c r="H22" s="26" t="str">
        <f>IF(E22="","",REPT("█",ROUND(E22*20,0)))</f>
        <v>███████████████</v>
      </c>
    </row>
    <row r="23">
      <c r="A23" s="23">
        <f>IF(Metas!B11="","",Metas!B11)</f>
        <v/>
      </c>
      <c r="B23" s="24">
        <f>IF(OR(Metas!B11="",Metas!C11=""),"",Metas!C11)</f>
        <v/>
      </c>
      <c r="C23" s="27">
        <f>IF(OR(Metas!B11="",NOT(ISNUMBER(Metas!G11))),"",Metas!G11)</f>
        <v/>
      </c>
      <c r="D23" s="27">
        <f>IF(OR(Metas!B11="",NOT(ISNUMBER(Metas!F11))),"",Metas!F11)</f>
        <v/>
      </c>
      <c r="E23" s="25">
        <f>IF(Metas!B11="","",Metas!H11)</f>
        <v/>
      </c>
      <c r="F23" s="25">
        <f>IF(Metas!B11="","",Metas!I11)</f>
        <v/>
      </c>
      <c r="G23" s="24">
        <f>IF(Metas!B11="","",Metas!J11)</f>
        <v/>
      </c>
      <c r="H23" s="26">
        <f>IF(E23="","",REPT("█",ROUND(E23*20,0)))</f>
        <v/>
      </c>
    </row>
    <row r="24">
      <c r="A24" s="23">
        <f>IF(Metas!B12="","",Metas!B12)</f>
        <v/>
      </c>
      <c r="B24" s="24">
        <f>IF(OR(Metas!B12="",Metas!C12=""),"",Metas!C12)</f>
        <v/>
      </c>
      <c r="C24" s="27">
        <f>IF(OR(Metas!B12="",NOT(ISNUMBER(Metas!G12))),"",Metas!G12)</f>
        <v/>
      </c>
      <c r="D24" s="27">
        <f>IF(OR(Metas!B12="",NOT(ISNUMBER(Metas!F12))),"",Metas!F12)</f>
        <v/>
      </c>
      <c r="E24" s="25">
        <f>IF(Metas!B12="","",Metas!H12)</f>
        <v/>
      </c>
      <c r="F24" s="25">
        <f>IF(Metas!B12="","",Metas!I12)</f>
        <v/>
      </c>
      <c r="G24" s="24">
        <f>IF(Metas!B12="","",Metas!J12)</f>
        <v/>
      </c>
      <c r="H24" s="26">
        <f>IF(E24="","",REPT("█",ROUND(E24*20,0)))</f>
        <v/>
      </c>
    </row>
    <row r="25">
      <c r="A25" s="23" t="str">
        <f>IF(Metas!B13="","",Metas!B13)</f>
        <v>Rodadas de revisão por peça (média)</v>
      </c>
      <c r="B25" s="24" t="str">
        <f>IF(OR(Metas!B13="",Metas!C13=""),"",Metas!C13)</f>
        <v>Bruno</v>
      </c>
      <c r="C25" s="27">
        <f>IF(OR(Metas!B13="",NOT(ISNUMBER(Metas!G13))),"",Metas!G13)</f>
        <v>2.8</v>
      </c>
      <c r="D25" s="27">
        <f>IF(OR(Metas!B13="",NOT(ISNUMBER(Metas!F13))),"",Metas!F13)</f>
        <v>2</v>
      </c>
      <c r="E25" s="25">
        <f>IF(Metas!B13="","",Metas!H13)</f>
        <v>0.333333333333334</v>
      </c>
      <c r="F25" s="25">
        <f>IF(Metas!B13="","",Metas!I13)</f>
        <v>0.824175824175824</v>
      </c>
      <c r="G25" s="24" t="str">
        <f>IF(Metas!B13="","",Metas!J13)</f>
        <v>Em risco</v>
      </c>
      <c r="H25" s="26" t="str">
        <f>IF(E25="","",REPT("█",ROUND(E25*20,0)))</f>
        <v>███████</v>
      </c>
    </row>
    <row r="26">
      <c r="A26" s="23" t="str">
        <f>IF(Metas!B14="","",Metas!B14)</f>
        <v>Peças aprovadas de primeira</v>
      </c>
      <c r="B26" s="24" t="str">
        <f>IF(OR(Metas!B14="",Metas!C14=""),"",Metas!C14)</f>
        <v>Carla</v>
      </c>
      <c r="C26" s="27">
        <f>IF(OR(Metas!B14="",NOT(ISNUMBER(Metas!G14))),"",Metas!G14)</f>
        <v>60</v>
      </c>
      <c r="D26" s="27">
        <f>IF(OR(Metas!B14="",NOT(ISNUMBER(Metas!F14))),"",Metas!F14)</f>
        <v>65</v>
      </c>
      <c r="E26" s="25">
        <f>IF(Metas!B14="","",Metas!H14)</f>
        <v>0.8</v>
      </c>
      <c r="F26" s="25">
        <f>IF(Metas!B14="","",Metas!I14)</f>
        <v>0.824175824175824</v>
      </c>
      <c r="G26" s="24" t="str">
        <f>IF(Metas!B14="","",Metas!J14)</f>
        <v>No ritmo</v>
      </c>
      <c r="H26" s="26" t="str">
        <f>IF(E26="","",REPT("█",ROUND(E26*20,0)))</f>
        <v>████████████████</v>
      </c>
    </row>
    <row r="27">
      <c r="A27" s="23">
        <f>IF(Metas!B15="","",Metas!B15)</f>
        <v/>
      </c>
      <c r="B27" s="24">
        <f>IF(OR(Metas!B15="",Metas!C15=""),"",Metas!C15)</f>
        <v/>
      </c>
      <c r="C27" s="27">
        <f>IF(OR(Metas!B15="",NOT(ISNUMBER(Metas!G15))),"",Metas!G15)</f>
        <v/>
      </c>
      <c r="D27" s="27">
        <f>IF(OR(Metas!B15="",NOT(ISNUMBER(Metas!F15))),"",Metas!F15)</f>
        <v/>
      </c>
      <c r="E27" s="25">
        <f>IF(Metas!B15="","",Metas!H15)</f>
        <v/>
      </c>
      <c r="F27" s="25">
        <f>IF(Metas!B15="","",Metas!I15)</f>
        <v/>
      </c>
      <c r="G27" s="24">
        <f>IF(Metas!B15="","",Metas!J15)</f>
        <v/>
      </c>
      <c r="H27" s="26">
        <f>IF(E27="","",REPT("█",ROUND(E27*20,0)))</f>
        <v/>
      </c>
    </row>
    <row r="28">
      <c r="A28" s="23">
        <f>IF(Metas!B16="","",Metas!B16)</f>
        <v/>
      </c>
      <c r="B28" s="24">
        <f>IF(OR(Metas!B16="",Metas!C16=""),"",Metas!C16)</f>
        <v/>
      </c>
      <c r="C28" s="27">
        <f>IF(OR(Metas!B16="",NOT(ISNUMBER(Metas!G16))),"",Metas!G16)</f>
        <v/>
      </c>
      <c r="D28" s="27">
        <f>IF(OR(Metas!B16="",NOT(ISNUMBER(Metas!F16))),"",Metas!F16)</f>
        <v/>
      </c>
      <c r="E28" s="25">
        <f>IF(Metas!B16="","",Metas!H16)</f>
        <v/>
      </c>
      <c r="F28" s="25">
        <f>IF(Metas!B16="","",Metas!I16)</f>
        <v/>
      </c>
      <c r="G28" s="24">
        <f>IF(Metas!B16="","",Metas!J16)</f>
        <v/>
      </c>
      <c r="H28" s="26">
        <f>IF(E28="","",REPT("█",ROUND(E28*20,0)))</f>
        <v/>
      </c>
    </row>
    <row r="29">
      <c r="A29" s="23" t="str">
        <f>IF(Metas!B17="","",Metas!B17)</f>
        <v>Relatório mensal enviado até o dia 5</v>
      </c>
      <c r="B29" s="24" t="str">
        <f>IF(OR(Metas!B17="",Metas!C17=""),"",Metas!C17)</f>
        <v>Ana</v>
      </c>
      <c r="C29" s="27">
        <f>IF(OR(Metas!B17="",NOT(ISNUMBER(Metas!G17))),"",Metas!G17)</f>
        <v>2</v>
      </c>
      <c r="D29" s="27">
        <f>IF(OR(Metas!B17="",NOT(ISNUMBER(Metas!F17))),"",Metas!F17)</f>
        <v>3</v>
      </c>
      <c r="E29" s="25">
        <f>IF(Metas!B17="","",Metas!H17)</f>
        <v>0.666666666666667</v>
      </c>
      <c r="F29" s="25">
        <f>IF(Metas!B17="","",Metas!I17)</f>
        <v>0.824175824175824</v>
      </c>
      <c r="G29" s="24" t="str">
        <f>IF(Metas!B17="","",Metas!J17)</f>
        <v>Atenção</v>
      </c>
      <c r="H29" s="26" t="str">
        <f>IF(E29="","",REPT("█",ROUND(E29*20,0)))</f>
        <v>█████████████</v>
      </c>
    </row>
    <row r="30">
      <c r="A30" s="23" t="str">
        <f>IF(Metas!B18="","",Metas!B18)</f>
        <v>Horas extras da equipe no mês</v>
      </c>
      <c r="B30" s="24" t="str">
        <f>IF(OR(Metas!B18="",Metas!C18=""),"",Metas!C18)</f>
        <v>Ana</v>
      </c>
      <c r="C30" s="27">
        <f>IF(OR(Metas!B18="",NOT(ISNUMBER(Metas!G18))),"",Metas!G18)</f>
        <v>14</v>
      </c>
      <c r="D30" s="27">
        <f>IF(OR(Metas!B18="",NOT(ISNUMBER(Metas!F18))),"",Metas!F18)</f>
        <v>8</v>
      </c>
      <c r="E30" s="25">
        <f>IF(Metas!B18="","",Metas!H18)</f>
        <v>0.5</v>
      </c>
      <c r="F30" s="25">
        <f>IF(Metas!B18="","",Metas!I18)</f>
        <v>0.824175824175824</v>
      </c>
      <c r="G30" s="24" t="str">
        <f>IF(Metas!B18="","",Metas!J18)</f>
        <v>Em risco</v>
      </c>
      <c r="H30" s="26" t="str">
        <f>IF(E30="","",REPT("█",ROUND(E30*20,0)))</f>
        <v>██████████</v>
      </c>
    </row>
    <row r="31">
      <c r="A31" s="23">
        <f>IF(Metas!B19="","",Metas!B19)</f>
        <v/>
      </c>
      <c r="B31" s="24">
        <f>IF(OR(Metas!B19="",Metas!C19=""),"",Metas!C19)</f>
        <v/>
      </c>
      <c r="C31" s="27">
        <f>IF(OR(Metas!B19="",NOT(ISNUMBER(Metas!G19))),"",Metas!G19)</f>
        <v/>
      </c>
      <c r="D31" s="27">
        <f>IF(OR(Metas!B19="",NOT(ISNUMBER(Metas!F19))),"",Metas!F19)</f>
        <v/>
      </c>
      <c r="E31" s="25">
        <f>IF(Metas!B19="","",Metas!H19)</f>
        <v/>
      </c>
      <c r="F31" s="25">
        <f>IF(Metas!B19="","",Metas!I19)</f>
        <v/>
      </c>
      <c r="G31" s="24">
        <f>IF(Metas!B19="","",Metas!J19)</f>
        <v/>
      </c>
      <c r="H31" s="26">
        <f>IF(E31="","",REPT("█",ROUND(E31*20,0)))</f>
        <v/>
      </c>
    </row>
    <row r="32">
      <c r="A32" s="23">
        <f>IF(Metas!B20="","",Metas!B20)</f>
        <v/>
      </c>
      <c r="B32" s="24">
        <f>IF(OR(Metas!B20="",Metas!C20=""),"",Metas!C20)</f>
        <v/>
      </c>
      <c r="C32" s="27">
        <f>IF(OR(Metas!B20="",NOT(ISNUMBER(Metas!G20))),"",Metas!G20)</f>
        <v/>
      </c>
      <c r="D32" s="27">
        <f>IF(OR(Metas!B20="",NOT(ISNUMBER(Metas!F20))),"",Metas!F20)</f>
        <v/>
      </c>
      <c r="E32" s="25">
        <f>IF(Metas!B20="","",Metas!H20)</f>
        <v/>
      </c>
      <c r="F32" s="25">
        <f>IF(Metas!B20="","",Metas!I20)</f>
        <v/>
      </c>
      <c r="G32" s="24">
        <f>IF(Metas!B20="","",Metas!J20)</f>
        <v/>
      </c>
      <c r="H32" s="26">
        <f>IF(E32="","",REPT("█",ROUND(E32*20,0)))</f>
        <v/>
      </c>
    </row>
    <row r="33">
      <c r="A33" s="23">
        <f>IF(Metas!B21="","",Metas!B21)</f>
        <v/>
      </c>
      <c r="B33" s="24">
        <f>IF(OR(Metas!B21="",Metas!C21=""),"",Metas!C21)</f>
        <v/>
      </c>
      <c r="C33" s="27">
        <f>IF(OR(Metas!B21="",NOT(ISNUMBER(Metas!G21))),"",Metas!G21)</f>
        <v/>
      </c>
      <c r="D33" s="27">
        <f>IF(OR(Metas!B21="",NOT(ISNUMBER(Metas!F21))),"",Metas!F21)</f>
        <v/>
      </c>
      <c r="E33" s="25">
        <f>IF(Metas!B21="","",Metas!H21)</f>
        <v/>
      </c>
      <c r="F33" s="25">
        <f>IF(Metas!B21="","",Metas!I21)</f>
        <v/>
      </c>
      <c r="G33" s="24">
        <f>IF(Metas!B21="","",Metas!J21)</f>
        <v/>
      </c>
      <c r="H33" s="26">
        <f>IF(E33="","",REPT("█",ROUND(E33*20,0)))</f>
        <v/>
      </c>
    </row>
    <row r="34">
      <c r="A34" s="23">
        <f>IF(Metas!B22="","",Metas!B22)</f>
        <v/>
      </c>
      <c r="B34" s="24">
        <f>IF(OR(Metas!B22="",Metas!C22=""),"",Metas!C22)</f>
        <v/>
      </c>
      <c r="C34" s="27">
        <f>IF(OR(Metas!B22="",NOT(ISNUMBER(Metas!G22))),"",Metas!G22)</f>
        <v/>
      </c>
      <c r="D34" s="27">
        <f>IF(OR(Metas!B22="",NOT(ISNUMBER(Metas!F22))),"",Metas!F22)</f>
        <v/>
      </c>
      <c r="E34" s="25">
        <f>IF(Metas!B22="","",Metas!H22)</f>
        <v/>
      </c>
      <c r="F34" s="25">
        <f>IF(Metas!B22="","",Metas!I22)</f>
        <v/>
      </c>
      <c r="G34" s="24">
        <f>IF(Metas!B22="","",Metas!J22)</f>
        <v/>
      </c>
      <c r="H34" s="26">
        <f>IF(E34="","",REPT("█",ROUND(E34*20,0)))</f>
        <v/>
      </c>
    </row>
    <row r="35">
      <c r="A35" s="23">
        <f>IF(Metas!B23="","",Metas!B23)</f>
        <v/>
      </c>
      <c r="B35" s="24">
        <f>IF(OR(Metas!B23="",Metas!C23=""),"",Metas!C23)</f>
        <v/>
      </c>
      <c r="C35" s="27">
        <f>IF(OR(Metas!B23="",NOT(ISNUMBER(Metas!G23))),"",Metas!G23)</f>
        <v/>
      </c>
      <c r="D35" s="27">
        <f>IF(OR(Metas!B23="",NOT(ISNUMBER(Metas!F23))),"",Metas!F23)</f>
        <v/>
      </c>
      <c r="E35" s="25">
        <f>IF(Metas!B23="","",Metas!H23)</f>
        <v/>
      </c>
      <c r="F35" s="25">
        <f>IF(Metas!B23="","",Metas!I23)</f>
        <v/>
      </c>
      <c r="G35" s="24">
        <f>IF(Metas!B23="","",Metas!J23)</f>
        <v/>
      </c>
      <c r="H35" s="26">
        <f>IF(E35="","",REPT("█",ROUND(E35*20,0)))</f>
        <v/>
      </c>
    </row>
    <row r="36">
      <c r="A36" s="23">
        <f>IF(Metas!B24="","",Metas!B24)</f>
        <v/>
      </c>
      <c r="B36" s="24">
        <f>IF(OR(Metas!B24="",Metas!C24=""),"",Metas!C24)</f>
        <v/>
      </c>
      <c r="C36" s="27">
        <f>IF(OR(Metas!B24="",NOT(ISNUMBER(Metas!G24))),"",Metas!G24)</f>
        <v/>
      </c>
      <c r="D36" s="27">
        <f>IF(OR(Metas!B24="",NOT(ISNUMBER(Metas!F24))),"",Metas!F24)</f>
        <v/>
      </c>
      <c r="E36" s="25">
        <f>IF(Metas!B24="","",Metas!H24)</f>
        <v/>
      </c>
      <c r="F36" s="25">
        <f>IF(Metas!B24="","",Metas!I24)</f>
        <v/>
      </c>
      <c r="G36" s="24">
        <f>IF(Metas!B24="","",Metas!J24)</f>
        <v/>
      </c>
      <c r="H36" s="26">
        <f>IF(E36="","",REPT("█",ROUND(E36*20,0)))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6">
    <mergeCell ref="A4:B4"/>
    <mergeCell ref="G4:H4"/>
    <mergeCell ref="E4:F4"/>
    <mergeCell ref="F10:H10"/>
    <mergeCell ref="F13:H13"/>
    <mergeCell ref="A2:H2"/>
    <mergeCell ref="C5:D5"/>
    <mergeCell ref="A5:B5"/>
    <mergeCell ref="G5:H5"/>
    <mergeCell ref="E5:F5"/>
    <mergeCell ref="F8:H8"/>
    <mergeCell ref="F9:H9"/>
    <mergeCell ref="A1:H1"/>
    <mergeCell ref="F12:H12"/>
    <mergeCell ref="F11:H11"/>
    <mergeCell ref="C4:D4"/>
  </mergeCells>
  <conditionalFormatting sqref="G17:G36">
    <cfRule type="expression" priority="1" dxfId="0">
      <formula>G17="Faltam dados"</formula>
    </cfRule>
    <cfRule type="expression" priority="2" dxfId="1">
      <formula>G17="Atingido"</formula>
    </cfRule>
    <cfRule type="expression" priority="3" dxfId="2">
      <formula>G17="No ritmo"</formula>
    </cfRule>
    <cfRule type="expression" priority="4" dxfId="3">
      <formula>G17="Atenção"</formula>
    </cfRule>
    <cfRule type="expression" priority="5" dxfId="4">
      <formula>G17="Em risco"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50" customWidth="1" min="3" max="3"/>
  </cols>
  <sheetData>
    <row r="1">
      <c r="A1" s="5" t="inlineStr">
        <is>
          <t>Configurações</t>
        </is>
      </c>
    </row>
    <row r="2">
      <c r="A2" s="28" t="inlineStr">
        <is>
          <t>Células amarelas: você preenche.</t>
        </is>
      </c>
    </row>
    <row r="4">
      <c r="A4" s="29" t="inlineStr">
        <is>
          <t>Equipe ou empresa</t>
        </is>
      </c>
      <c r="B4" s="30" t="inlineStr">
        <is>
          <t>Prisma Comunicação (exemplo fictício)</t>
        </is>
      </c>
    </row>
    <row r="5">
      <c r="A5" s="29" t="inlineStr">
        <is>
          <t>Trimestre</t>
        </is>
      </c>
      <c r="B5" s="30" t="inlineStr">
        <is>
          <t>3º trimestre de 2026</t>
        </is>
      </c>
    </row>
    <row r="6">
      <c r="A6" s="29" t="inlineStr">
        <is>
          <t>Início do trimestre</t>
        </is>
      </c>
      <c r="B6" s="31" t="n">
        <v>46204</v>
      </c>
    </row>
    <row r="7">
      <c r="A7" s="29" t="inlineStr">
        <is>
          <t>Fim do trimestre</t>
        </is>
      </c>
      <c r="B7" s="31" t="n">
        <v>46295</v>
      </c>
    </row>
    <row r="8">
      <c r="A8" s="29" t="inlineStr">
        <is>
          <t>Data de referência (hoje)</t>
        </is>
      </c>
      <c r="B8" s="31" t="n">
        <v>46279</v>
      </c>
      <c r="C8" s="6" t="inlineStr">
        <is>
          <t>O exemplo está congelado em 14/09/2026, para os arquivos do kit mostrarem a mesma foto. Ao usar com os seus dados, troque por =HOJE().</t>
        </is>
      </c>
    </row>
    <row r="9">
      <c r="A9" s="29" t="inlineStr">
        <is>
          <t>Semana atual do trimestre</t>
        </is>
      </c>
      <c r="B9" s="24">
        <f>IF(B8&lt;B6,0,MIN(13,INT((B8-B6)/7)+1))</f>
        <v>11</v>
      </c>
    </row>
    <row r="10">
      <c r="A10" s="29" t="inlineStr">
        <is>
          <t>% do trimestre decorrido</t>
        </is>
      </c>
      <c r="B10" s="25">
        <f>MAX(0,MIN(1,(B8-B6)/(B7-B6)))</f>
        <v>0.824175824175824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10" customWidth="1" min="4" max="4"/>
    <col width="12" customWidth="1" min="5" max="5"/>
    <col width="10" customWidth="1" min="6" max="6"/>
    <col width="11" customWidth="1" min="7" max="7"/>
    <col width="11" customWidth="1" min="8" max="8"/>
    <col width="12" customWidth="1" min="9" max="9"/>
    <col width="11" customWidth="1" min="10" max="10"/>
    <col width="16" customWidth="1" min="11" max="11"/>
    <col width="30" customWidth="1" min="12" max="12"/>
  </cols>
  <sheetData>
    <row r="1">
      <c r="A1" s="5" t="inlineStr">
        <is>
          <t>Metas do trimestre</t>
        </is>
      </c>
    </row>
    <row r="2">
      <c r="A2" s="28" t="inlineStr">
        <is>
          <t>Até 5 objetivos com até 4 resultados-chave cada. Preencha o amarelo; progresso e semáforo são calculados. Atualize o valor atual toda semana.</t>
        </is>
      </c>
    </row>
    <row r="4" ht="26" customHeight="1">
      <c r="A4" s="20" t="inlineStr">
        <is>
          <t>Objetivo</t>
        </is>
      </c>
      <c r="B4" s="20" t="inlineStr">
        <is>
          <t>Resultado-chave</t>
        </is>
      </c>
      <c r="C4" s="20" t="inlineStr">
        <is>
          <t>Dono</t>
        </is>
      </c>
      <c r="D4" s="20" t="inlineStr">
        <is>
          <t>Unidade</t>
        </is>
      </c>
      <c r="E4" s="20" t="inlineStr">
        <is>
          <t>Ponto de partida</t>
        </is>
      </c>
      <c r="F4" s="20" t="inlineStr">
        <is>
          <t>Meta</t>
        </is>
      </c>
      <c r="G4" s="20" t="inlineStr">
        <is>
          <t>Valor atual</t>
        </is>
      </c>
      <c r="H4" s="20" t="inlineStr">
        <is>
          <t>Progresso</t>
        </is>
      </c>
      <c r="I4" s="20" t="inlineStr">
        <is>
          <t>Esperado até hoje</t>
        </is>
      </c>
      <c r="J4" s="20" t="inlineStr">
        <is>
          <t>Semáforo</t>
        </is>
      </c>
      <c r="K4" s="20" t="inlineStr">
        <is>
          <t>Sentido</t>
        </is>
      </c>
      <c r="L4" s="20" t="inlineStr">
        <is>
          <t>Observação</t>
        </is>
      </c>
    </row>
    <row r="5" ht="18" customHeight="1">
      <c r="A5" s="32" t="inlineStr">
        <is>
          <t>Crescer a receita recorrente</t>
        </is>
      </c>
      <c r="B5" s="30" t="inlineStr">
        <is>
          <t>Fechar 3 contratos mensais novos</t>
        </is>
      </c>
      <c r="C5" s="33" t="inlineStr">
        <is>
          <t>Ana</t>
        </is>
      </c>
      <c r="D5" s="33" t="inlineStr">
        <is>
          <t>contratos</t>
        </is>
      </c>
      <c r="E5" s="33" t="n">
        <v>0</v>
      </c>
      <c r="F5" s="33" t="n">
        <v>3</v>
      </c>
      <c r="G5" s="33" t="n">
        <v>2</v>
      </c>
      <c r="H5" s="25">
        <f>IF(B5="","",IF(OR(NOT(ISNUMBER(E5)),NOT(ISNUMBER(F5)),NOT(ISNUMBER(G5)),AND(K5&lt;&gt;"Menor é melhor",K5&lt;&gt;"Maior é melhor")),"",IF(K5="Menor é melhor",IF(G5&lt;=F5,1,IF(E5&gt;F5,MAX(0,(E5-G5)/(E5-F5)),MAX(0,1-(G5-F5)/MAX(ABS(F5),ABS(G5))))),IF(G5&gt;=F5,1,IF(E5&lt;F5,MAX(0,(G5-E5)/(F5-E5)),MAX(0,1-(F5-G5)/MAX(ABS(F5),ABS(G5))))))))</f>
        <v>0.666666666666667</v>
      </c>
      <c r="I5" s="25">
        <f>IF(B5="","",Config!$B$10)</f>
        <v>0.824175824175824</v>
      </c>
      <c r="J5" s="24" t="str">
        <f>IF(B5="","",IF(H5="","Faltam dados",IF(H5&gt;=1,"Atingido",IF(H5&gt;=I5-0.1,"No ritmo",IF(H5&gt;=I5-0.25,"Atenção","Em risco")))))</f>
        <v>Atenção</v>
      </c>
      <c r="K5" s="33" t="inlineStr">
        <is>
          <t>Maior é melhor</t>
        </is>
      </c>
      <c r="L5" s="34" t="n"/>
    </row>
    <row r="6">
      <c r="A6" s="35" t="n"/>
      <c r="B6" s="30" t="inlineStr">
        <is>
          <t>Receita recorrente mensal de R$ 30 mil</t>
        </is>
      </c>
      <c r="C6" s="33" t="inlineStr">
        <is>
          <t>Ana</t>
        </is>
      </c>
      <c r="D6" s="33" t="inlineStr">
        <is>
          <t>R$</t>
        </is>
      </c>
      <c r="E6" s="33" t="n">
        <v>18000</v>
      </c>
      <c r="F6" s="33" t="n">
        <v>30000</v>
      </c>
      <c r="G6" s="33" t="n">
        <v>27400</v>
      </c>
      <c r="H6" s="25">
        <f>IF(B6="","",IF(OR(NOT(ISNUMBER(E6)),NOT(ISNUMBER(F6)),NOT(ISNUMBER(G6)),AND(K6&lt;&gt;"Menor é melhor",K6&lt;&gt;"Maior é melhor")),"",IF(K6="Menor é melhor",IF(G6&lt;=F6,1,IF(E6&gt;F6,MAX(0,(E6-G6)/(E6-F6)),MAX(0,1-(G6-F6)/MAX(ABS(F6),ABS(G6))))),IF(G6&gt;=F6,1,IF(E6&lt;F6,MAX(0,(G6-E6)/(F6-E6)),MAX(0,1-(F6-G6)/MAX(ABS(F6),ABS(G6))))))))</f>
        <v>0.783333333333333</v>
      </c>
      <c r="I6" s="25">
        <f>IF(B6="","",Config!$B$10)</f>
        <v>0.824175824175824</v>
      </c>
      <c r="J6" s="24" t="str">
        <f>IF(B6="","",IF(H6="","Faltam dados",IF(H6&gt;=1,"Atingido",IF(H6&gt;=I6-0.1,"No ritmo",IF(H6&gt;=I6-0.25,"Atenção","Em risco")))))</f>
        <v>No ritmo</v>
      </c>
      <c r="K6" s="33" t="inlineStr">
        <is>
          <t>Maior é melhor</t>
        </is>
      </c>
      <c r="L6" s="34" t="n"/>
    </row>
    <row r="7">
      <c r="A7" s="35" t="n"/>
      <c r="B7" s="30" t="inlineStr">
        <is>
          <t>Propostas enviadas no trimestre</t>
        </is>
      </c>
      <c r="C7" s="33" t="inlineStr">
        <is>
          <t>Carla</t>
        </is>
      </c>
      <c r="D7" s="33" t="inlineStr">
        <is>
          <t>propostas</t>
        </is>
      </c>
      <c r="E7" s="33" t="n">
        <v>0</v>
      </c>
      <c r="F7" s="33" t="n">
        <v>24</v>
      </c>
      <c r="G7" s="33" t="n">
        <v>24</v>
      </c>
      <c r="H7" s="25">
        <f>IF(B7="","",IF(OR(NOT(ISNUMBER(E7)),NOT(ISNUMBER(F7)),NOT(ISNUMBER(G7)),AND(K7&lt;&gt;"Menor é melhor",K7&lt;&gt;"Maior é melhor")),"",IF(K7="Menor é melhor",IF(G7&lt;=F7,1,IF(E7&gt;F7,MAX(0,(E7-G7)/(E7-F7)),MAX(0,1-(G7-F7)/MAX(ABS(F7),ABS(G7))))),IF(G7&gt;=F7,1,IF(E7&lt;F7,MAX(0,(G7-E7)/(F7-E7)),MAX(0,1-(F7-G7)/MAX(ABS(F7),ABS(G7))))))))</f>
        <v>1</v>
      </c>
      <c r="I7" s="25">
        <f>IF(B7="","",Config!$B$10)</f>
        <v>0.824175824175824</v>
      </c>
      <c r="J7" s="24" t="str">
        <f>IF(B7="","",IF(H7="","Faltam dados",IF(H7&gt;=1,"Atingido",IF(H7&gt;=I7-0.1,"No ritmo",IF(H7&gt;=I7-0.25,"Atenção","Em risco")))))</f>
        <v>Atingido</v>
      </c>
      <c r="K7" s="33" t="inlineStr">
        <is>
          <t>Maior é melhor</t>
        </is>
      </c>
      <c r="L7" s="34" t="n"/>
    </row>
    <row r="8">
      <c r="A8" s="36" t="n"/>
      <c r="B8" s="30" t="n"/>
      <c r="C8" s="33" t="n"/>
      <c r="D8" s="33" t="n"/>
      <c r="E8" s="33" t="n"/>
      <c r="F8" s="33" t="n"/>
      <c r="G8" s="33" t="n"/>
      <c r="H8" s="25">
        <f>IF(B8="","",IF(OR(NOT(ISNUMBER(E8)),NOT(ISNUMBER(F8)),NOT(ISNUMBER(G8)),AND(K8&lt;&gt;"Menor é melhor",K8&lt;&gt;"Maior é melhor")),"",IF(K8="Menor é melhor",IF(G8&lt;=F8,1,IF(E8&gt;F8,MAX(0,(E8-G8)/(E8-F8)),MAX(0,1-(G8-F8)/MAX(ABS(F8),ABS(G8))))),IF(G8&gt;=F8,1,IF(E8&lt;F8,MAX(0,(G8-E8)/(F8-E8)),MAX(0,1-(F8-G8)/MAX(ABS(F8),ABS(G8))))))))</f>
        <v/>
      </c>
      <c r="I8" s="25">
        <f>IF(B8="","",Config!$B$10)</f>
        <v/>
      </c>
      <c r="J8" s="24">
        <f>IF(B8="","",IF(H8="","Faltam dados",IF(H8&gt;=1,"Atingido",IF(H8&gt;=I8-0.1,"No ritmo",IF(H8&gt;=I8-0.25,"Atenção","Em risco")))))</f>
        <v/>
      </c>
      <c r="K8" s="33" t="n"/>
      <c r="L8" s="34" t="n"/>
    </row>
    <row r="9" ht="18" customHeight="1">
      <c r="A9" s="32" t="inlineStr">
        <is>
          <t>Entregar no prazo</t>
        </is>
      </c>
      <c r="B9" s="30" t="inlineStr">
        <is>
          <t>Etapas atrasadas por semana (média)</t>
        </is>
      </c>
      <c r="C9" s="33" t="inlineStr">
        <is>
          <t>Ana</t>
        </is>
      </c>
      <c r="D9" s="33" t="inlineStr">
        <is>
          <t>etapas</t>
        </is>
      </c>
      <c r="E9" s="33" t="n">
        <v>4</v>
      </c>
      <c r="F9" s="33" t="n">
        <v>1</v>
      </c>
      <c r="G9" s="33" t="n">
        <v>3</v>
      </c>
      <c r="H9" s="25">
        <f>IF(B9="","",IF(OR(NOT(ISNUMBER(E9)),NOT(ISNUMBER(F9)),NOT(ISNUMBER(G9)),AND(K9&lt;&gt;"Menor é melhor",K9&lt;&gt;"Maior é melhor")),"",IF(K9="Menor é melhor",IF(G9&lt;=F9,1,IF(E9&gt;F9,MAX(0,(E9-G9)/(E9-F9)),MAX(0,1-(G9-F9)/MAX(ABS(F9),ABS(G9))))),IF(G9&gt;=F9,1,IF(E9&lt;F9,MAX(0,(G9-E9)/(F9-E9)),MAX(0,1-(F9-G9)/MAX(ABS(F9),ABS(G9))))))))</f>
        <v>0.333333333333333</v>
      </c>
      <c r="I9" s="25">
        <f>IF(B9="","",Config!$B$10)</f>
        <v>0.824175824175824</v>
      </c>
      <c r="J9" s="24" t="str">
        <f>IF(B9="","",IF(H9="","Faltam dados",IF(H9&gt;=1,"Atingido",IF(H9&gt;=I9-0.1,"No ritmo",IF(H9&gt;=I9-0.25,"Atenção","Em risco")))))</f>
        <v>Em risco</v>
      </c>
      <c r="K9" s="33" t="inlineStr">
        <is>
          <t>Menor é melhor</t>
        </is>
      </c>
      <c r="L9" s="34" t="n"/>
    </row>
    <row r="10">
      <c r="A10" s="35" t="n"/>
      <c r="B10" s="30" t="inlineStr">
        <is>
          <t>Projetos entregues na data combinada</t>
        </is>
      </c>
      <c r="C10" s="33" t="inlineStr">
        <is>
          <t>Bruno</t>
        </is>
      </c>
      <c r="D10" s="33" t="inlineStr">
        <is>
          <t>%</t>
        </is>
      </c>
      <c r="E10" s="33" t="n">
        <v>60</v>
      </c>
      <c r="F10" s="33" t="n">
        <v>90</v>
      </c>
      <c r="G10" s="33" t="n">
        <v>82</v>
      </c>
      <c r="H10" s="25">
        <f>IF(B10="","",IF(OR(NOT(ISNUMBER(E10)),NOT(ISNUMBER(F10)),NOT(ISNUMBER(G10)),AND(K10&lt;&gt;"Menor é melhor",K10&lt;&gt;"Maior é melhor")),"",IF(K10="Menor é melhor",IF(G10&lt;=F10,1,IF(E10&gt;F10,MAX(0,(E10-G10)/(E10-F10)),MAX(0,1-(G10-F10)/MAX(ABS(F10),ABS(G10))))),IF(G10&gt;=F10,1,IF(E10&lt;F10,MAX(0,(G10-E10)/(F10-E10)),MAX(0,1-(F10-G10)/MAX(ABS(F10),ABS(G10))))))))</f>
        <v>0.733333333333333</v>
      </c>
      <c r="I10" s="25">
        <f>IF(B10="","",Config!$B$10)</f>
        <v>0.824175824175824</v>
      </c>
      <c r="J10" s="24" t="str">
        <f>IF(B10="","",IF(H10="","Faltam dados",IF(H10&gt;=1,"Atingido",IF(H10&gt;=I10-0.1,"No ritmo",IF(H10&gt;=I10-0.25,"Atenção","Em risco")))))</f>
        <v>No ritmo</v>
      </c>
      <c r="K10" s="33" t="inlineStr">
        <is>
          <t>Maior é melhor</t>
        </is>
      </c>
      <c r="L10" s="34" t="n"/>
    </row>
    <row r="11">
      <c r="A11" s="35" t="n"/>
      <c r="B11" s="30" t="n"/>
      <c r="C11" s="33" t="n"/>
      <c r="D11" s="33" t="n"/>
      <c r="E11" s="33" t="n"/>
      <c r="F11" s="33" t="n"/>
      <c r="G11" s="33" t="n"/>
      <c r="H11" s="25">
        <f>IF(B11="","",IF(OR(NOT(ISNUMBER(E11)),NOT(ISNUMBER(F11)),NOT(ISNUMBER(G11)),AND(K11&lt;&gt;"Menor é melhor",K11&lt;&gt;"Maior é melhor")),"",IF(K11="Menor é melhor",IF(G11&lt;=F11,1,IF(E11&gt;F11,MAX(0,(E11-G11)/(E11-F11)),MAX(0,1-(G11-F11)/MAX(ABS(F11),ABS(G11))))),IF(G11&gt;=F11,1,IF(E11&lt;F11,MAX(0,(G11-E11)/(F11-E11)),MAX(0,1-(F11-G11)/MAX(ABS(F11),ABS(G11))))))))</f>
        <v/>
      </c>
      <c r="I11" s="25">
        <f>IF(B11="","",Config!$B$10)</f>
        <v/>
      </c>
      <c r="J11" s="24">
        <f>IF(B11="","",IF(H11="","Faltam dados",IF(H11&gt;=1,"Atingido",IF(H11&gt;=I11-0.1,"No ritmo",IF(H11&gt;=I11-0.25,"Atenção","Em risco")))))</f>
        <v/>
      </c>
      <c r="K11" s="33" t="n"/>
      <c r="L11" s="34" t="n"/>
    </row>
    <row r="12">
      <c r="A12" s="36" t="n"/>
      <c r="B12" s="30" t="n"/>
      <c r="C12" s="33" t="n"/>
      <c r="D12" s="33" t="n"/>
      <c r="E12" s="33" t="n"/>
      <c r="F12" s="33" t="n"/>
      <c r="G12" s="33" t="n"/>
      <c r="H12" s="25">
        <f>IF(B12="","",IF(OR(NOT(ISNUMBER(E12)),NOT(ISNUMBER(F12)),NOT(ISNUMBER(G12)),AND(K12&lt;&gt;"Menor é melhor",K12&lt;&gt;"Maior é melhor")),"",IF(K12="Menor é melhor",IF(G12&lt;=F12,1,IF(E12&gt;F12,MAX(0,(E12-G12)/(E12-F12)),MAX(0,1-(G12-F12)/MAX(ABS(F12),ABS(G12))))),IF(G12&gt;=F12,1,IF(E12&lt;F12,MAX(0,(G12-E12)/(F12-E12)),MAX(0,1-(F12-G12)/MAX(ABS(F12),ABS(G12))))))))</f>
        <v/>
      </c>
      <c r="I12" s="25">
        <f>IF(B12="","",Config!$B$10)</f>
        <v/>
      </c>
      <c r="J12" s="24">
        <f>IF(B12="","",IF(H12="","Faltam dados",IF(H12&gt;=1,"Atingido",IF(H12&gt;=I12-0.1,"No ritmo",IF(H12&gt;=I12-0.25,"Atenção","Em risco")))))</f>
        <v/>
      </c>
      <c r="K12" s="33" t="n"/>
      <c r="L12" s="34" t="n"/>
    </row>
    <row r="13" ht="18" customHeight="1">
      <c r="A13" s="32" t="inlineStr">
        <is>
          <t>Reduzir retrabalho</t>
        </is>
      </c>
      <c r="B13" s="30" t="inlineStr">
        <is>
          <t>Rodadas de revisão por peça (média)</t>
        </is>
      </c>
      <c r="C13" s="33" t="inlineStr">
        <is>
          <t>Bruno</t>
        </is>
      </c>
      <c r="D13" s="33" t="inlineStr">
        <is>
          <t>rodadas</t>
        </is>
      </c>
      <c r="E13" s="33" t="n">
        <v>3.2</v>
      </c>
      <c r="F13" s="33" t="n">
        <v>2</v>
      </c>
      <c r="G13" s="33" t="n">
        <v>2.8</v>
      </c>
      <c r="H13" s="25">
        <f>IF(B13="","",IF(OR(NOT(ISNUMBER(E13)),NOT(ISNUMBER(F13)),NOT(ISNUMBER(G13)),AND(K13&lt;&gt;"Menor é melhor",K13&lt;&gt;"Maior é melhor")),"",IF(K13="Menor é melhor",IF(G13&lt;=F13,1,IF(E13&gt;F13,MAX(0,(E13-G13)/(E13-F13)),MAX(0,1-(G13-F13)/MAX(ABS(F13),ABS(G13))))),IF(G13&gt;=F13,1,IF(E13&lt;F13,MAX(0,(G13-E13)/(F13-E13)),MAX(0,1-(F13-G13)/MAX(ABS(F13),ABS(G13))))))))</f>
        <v>0.333333333333334</v>
      </c>
      <c r="I13" s="25">
        <f>IF(B13="","",Config!$B$10)</f>
        <v>0.824175824175824</v>
      </c>
      <c r="J13" s="24" t="str">
        <f>IF(B13="","",IF(H13="","Faltam dados",IF(H13&gt;=1,"Atingido",IF(H13&gt;=I13-0.1,"No ritmo",IF(H13&gt;=I13-0.25,"Atenção","Em risco")))))</f>
        <v>Em risco</v>
      </c>
      <c r="K13" s="33" t="inlineStr">
        <is>
          <t>Menor é melhor</t>
        </is>
      </c>
      <c r="L13" s="34" t="n"/>
    </row>
    <row r="14">
      <c r="A14" s="35" t="n"/>
      <c r="B14" s="30" t="inlineStr">
        <is>
          <t>Peças aprovadas de primeira</t>
        </is>
      </c>
      <c r="C14" s="33" t="inlineStr">
        <is>
          <t>Carla</t>
        </is>
      </c>
      <c r="D14" s="33" t="inlineStr">
        <is>
          <t>%</t>
        </is>
      </c>
      <c r="E14" s="33" t="n">
        <v>40</v>
      </c>
      <c r="F14" s="33" t="n">
        <v>65</v>
      </c>
      <c r="G14" s="33" t="n">
        <v>60</v>
      </c>
      <c r="H14" s="25">
        <f>IF(B14="","",IF(OR(NOT(ISNUMBER(E14)),NOT(ISNUMBER(F14)),NOT(ISNUMBER(G14)),AND(K14&lt;&gt;"Menor é melhor",K14&lt;&gt;"Maior é melhor")),"",IF(K14="Menor é melhor",IF(G14&lt;=F14,1,IF(E14&gt;F14,MAX(0,(E14-G14)/(E14-F14)),MAX(0,1-(G14-F14)/MAX(ABS(F14),ABS(G14))))),IF(G14&gt;=F14,1,IF(E14&lt;F14,MAX(0,(G14-E14)/(F14-E14)),MAX(0,1-(F14-G14)/MAX(ABS(F14),ABS(G14))))))))</f>
        <v>0.8</v>
      </c>
      <c r="I14" s="25">
        <f>IF(B14="","",Config!$B$10)</f>
        <v>0.824175824175824</v>
      </c>
      <c r="J14" s="24" t="str">
        <f>IF(B14="","",IF(H14="","Faltam dados",IF(H14&gt;=1,"Atingido",IF(H14&gt;=I14-0.1,"No ritmo",IF(H14&gt;=I14-0.25,"Atenção","Em risco")))))</f>
        <v>No ritmo</v>
      </c>
      <c r="K14" s="33" t="inlineStr">
        <is>
          <t>Maior é melhor</t>
        </is>
      </c>
      <c r="L14" s="34" t="n"/>
    </row>
    <row r="15">
      <c r="A15" s="35" t="n"/>
      <c r="B15" s="30" t="n"/>
      <c r="C15" s="33" t="n"/>
      <c r="D15" s="33" t="n"/>
      <c r="E15" s="33" t="n"/>
      <c r="F15" s="33" t="n"/>
      <c r="G15" s="33" t="n"/>
      <c r="H15" s="25">
        <f>IF(B15="","",IF(OR(NOT(ISNUMBER(E15)),NOT(ISNUMBER(F15)),NOT(ISNUMBER(G15)),AND(K15&lt;&gt;"Menor é melhor",K15&lt;&gt;"Maior é melhor")),"",IF(K15="Menor é melhor",IF(G15&lt;=F15,1,IF(E15&gt;F15,MAX(0,(E15-G15)/(E15-F15)),MAX(0,1-(G15-F15)/MAX(ABS(F15),ABS(G15))))),IF(G15&gt;=F15,1,IF(E15&lt;F15,MAX(0,(G15-E15)/(F15-E15)),MAX(0,1-(F15-G15)/MAX(ABS(F15),ABS(G15))))))))</f>
        <v/>
      </c>
      <c r="I15" s="25">
        <f>IF(B15="","",Config!$B$10)</f>
        <v/>
      </c>
      <c r="J15" s="24">
        <f>IF(B15="","",IF(H15="","Faltam dados",IF(H15&gt;=1,"Atingido",IF(H15&gt;=I15-0.1,"No ritmo",IF(H15&gt;=I15-0.25,"Atenção","Em risco")))))</f>
        <v/>
      </c>
      <c r="K15" s="33" t="n"/>
      <c r="L15" s="34" t="n"/>
    </row>
    <row r="16">
      <c r="A16" s="36" t="n"/>
      <c r="B16" s="30" t="n"/>
      <c r="C16" s="33" t="n"/>
      <c r="D16" s="33" t="n"/>
      <c r="E16" s="33" t="n"/>
      <c r="F16" s="33" t="n"/>
      <c r="G16" s="33" t="n"/>
      <c r="H16" s="25">
        <f>IF(B16="","",IF(OR(NOT(ISNUMBER(E16)),NOT(ISNUMBER(F16)),NOT(ISNUMBER(G16)),AND(K16&lt;&gt;"Menor é melhor",K16&lt;&gt;"Maior é melhor")),"",IF(K16="Menor é melhor",IF(G16&lt;=F16,1,IF(E16&gt;F16,MAX(0,(E16-G16)/(E16-F16)),MAX(0,1-(G16-F16)/MAX(ABS(F16),ABS(G16))))),IF(G16&gt;=F16,1,IF(E16&lt;F16,MAX(0,(G16-E16)/(F16-E16)),MAX(0,1-(F16-G16)/MAX(ABS(F16),ABS(G16))))))))</f>
        <v/>
      </c>
      <c r="I16" s="25">
        <f>IF(B16="","",Config!$B$10)</f>
        <v/>
      </c>
      <c r="J16" s="24">
        <f>IF(B16="","",IF(H16="","Faltam dados",IF(H16&gt;=1,"Atingido",IF(H16&gt;=I16-0.1,"No ritmo",IF(H16&gt;=I16-0.25,"Atenção","Em risco")))))</f>
        <v/>
      </c>
      <c r="K16" s="33" t="n"/>
      <c r="L16" s="34" t="n"/>
    </row>
    <row r="17" ht="18" customHeight="1">
      <c r="A17" s="32" t="inlineStr">
        <is>
          <t>Organizar a casa</t>
        </is>
      </c>
      <c r="B17" s="30" t="inlineStr">
        <is>
          <t>Relatório mensal enviado até o dia 5</t>
        </is>
      </c>
      <c r="C17" s="33" t="inlineStr">
        <is>
          <t>Ana</t>
        </is>
      </c>
      <c r="D17" s="33" t="inlineStr">
        <is>
          <t>meses</t>
        </is>
      </c>
      <c r="E17" s="33" t="n">
        <v>0</v>
      </c>
      <c r="F17" s="33" t="n">
        <v>3</v>
      </c>
      <c r="G17" s="33" t="n">
        <v>2</v>
      </c>
      <c r="H17" s="25">
        <f>IF(B17="","",IF(OR(NOT(ISNUMBER(E17)),NOT(ISNUMBER(F17)),NOT(ISNUMBER(G17)),AND(K17&lt;&gt;"Menor é melhor",K17&lt;&gt;"Maior é melhor")),"",IF(K17="Menor é melhor",IF(G17&lt;=F17,1,IF(E17&gt;F17,MAX(0,(E17-G17)/(E17-F17)),MAX(0,1-(G17-F17)/MAX(ABS(F17),ABS(G17))))),IF(G17&gt;=F17,1,IF(E17&lt;F17,MAX(0,(G17-E17)/(F17-E17)),MAX(0,1-(F17-G17)/MAX(ABS(F17),ABS(G17))))))))</f>
        <v>0.666666666666667</v>
      </c>
      <c r="I17" s="25">
        <f>IF(B17="","",Config!$B$10)</f>
        <v>0.824175824175824</v>
      </c>
      <c r="J17" s="24" t="str">
        <f>IF(B17="","",IF(H17="","Faltam dados",IF(H17&gt;=1,"Atingido",IF(H17&gt;=I17-0.1,"No ritmo",IF(H17&gt;=I17-0.25,"Atenção","Em risco")))))</f>
        <v>Atenção</v>
      </c>
      <c r="K17" s="33" t="inlineStr">
        <is>
          <t>Maior é melhor</t>
        </is>
      </c>
      <c r="L17" s="34" t="n"/>
    </row>
    <row r="18">
      <c r="A18" s="35" t="n"/>
      <c r="B18" s="30" t="inlineStr">
        <is>
          <t>Horas extras da equipe no mês</t>
        </is>
      </c>
      <c r="C18" s="33" t="inlineStr">
        <is>
          <t>Ana</t>
        </is>
      </c>
      <c r="D18" s="33" t="inlineStr">
        <is>
          <t>horas</t>
        </is>
      </c>
      <c r="E18" s="33" t="n">
        <v>20</v>
      </c>
      <c r="F18" s="33" t="n">
        <v>8</v>
      </c>
      <c r="G18" s="33" t="n">
        <v>14</v>
      </c>
      <c r="H18" s="25">
        <f>IF(B18="","",IF(OR(NOT(ISNUMBER(E18)),NOT(ISNUMBER(F18)),NOT(ISNUMBER(G18)),AND(K18&lt;&gt;"Menor é melhor",K18&lt;&gt;"Maior é melhor")),"",IF(K18="Menor é melhor",IF(G18&lt;=F18,1,IF(E18&gt;F18,MAX(0,(E18-G18)/(E18-F18)),MAX(0,1-(G18-F18)/MAX(ABS(F18),ABS(G18))))),IF(G18&gt;=F18,1,IF(E18&lt;F18,MAX(0,(G18-E18)/(F18-E18)),MAX(0,1-(F18-G18)/MAX(ABS(F18),ABS(G18))))))))</f>
        <v>0.5</v>
      </c>
      <c r="I18" s="25">
        <f>IF(B18="","",Config!$B$10)</f>
        <v>0.824175824175824</v>
      </c>
      <c r="J18" s="24" t="str">
        <f>IF(B18="","",IF(H18="","Faltam dados",IF(H18&gt;=1,"Atingido",IF(H18&gt;=I18-0.1,"No ritmo",IF(H18&gt;=I18-0.25,"Atenção","Em risco")))))</f>
        <v>Em risco</v>
      </c>
      <c r="K18" s="33" t="inlineStr">
        <is>
          <t>Menor é melhor</t>
        </is>
      </c>
      <c r="L18" s="34" t="n"/>
    </row>
    <row r="19">
      <c r="A19" s="35" t="n"/>
      <c r="B19" s="30" t="n"/>
      <c r="C19" s="33" t="n"/>
      <c r="D19" s="33" t="n"/>
      <c r="E19" s="33" t="n"/>
      <c r="F19" s="33" t="n"/>
      <c r="G19" s="33" t="n"/>
      <c r="H19" s="25">
        <f>IF(B19="","",IF(OR(NOT(ISNUMBER(E19)),NOT(ISNUMBER(F19)),NOT(ISNUMBER(G19)),AND(K19&lt;&gt;"Menor é melhor",K19&lt;&gt;"Maior é melhor")),"",IF(K19="Menor é melhor",IF(G19&lt;=F19,1,IF(E19&gt;F19,MAX(0,(E19-G19)/(E19-F19)),MAX(0,1-(G19-F19)/MAX(ABS(F19),ABS(G19))))),IF(G19&gt;=F19,1,IF(E19&lt;F19,MAX(0,(G19-E19)/(F19-E19)),MAX(0,1-(F19-G19)/MAX(ABS(F19),ABS(G19))))))))</f>
        <v/>
      </c>
      <c r="I19" s="25">
        <f>IF(B19="","",Config!$B$10)</f>
        <v/>
      </c>
      <c r="J19" s="24">
        <f>IF(B19="","",IF(H19="","Faltam dados",IF(H19&gt;=1,"Atingido",IF(H19&gt;=I19-0.1,"No ritmo",IF(H19&gt;=I19-0.25,"Atenção","Em risco")))))</f>
        <v/>
      </c>
      <c r="K19" s="33" t="n"/>
      <c r="L19" s="34" t="n"/>
    </row>
    <row r="20">
      <c r="A20" s="36" t="n"/>
      <c r="B20" s="30" t="n"/>
      <c r="C20" s="33" t="n"/>
      <c r="D20" s="33" t="n"/>
      <c r="E20" s="33" t="n"/>
      <c r="F20" s="33" t="n"/>
      <c r="G20" s="33" t="n"/>
      <c r="H20" s="25">
        <f>IF(B20="","",IF(OR(NOT(ISNUMBER(E20)),NOT(ISNUMBER(F20)),NOT(ISNUMBER(G20)),AND(K20&lt;&gt;"Menor é melhor",K20&lt;&gt;"Maior é melhor")),"",IF(K20="Menor é melhor",IF(G20&lt;=F20,1,IF(E20&gt;F20,MAX(0,(E20-G20)/(E20-F20)),MAX(0,1-(G20-F20)/MAX(ABS(F20),ABS(G20))))),IF(G20&gt;=F20,1,IF(E20&lt;F20,MAX(0,(G20-E20)/(F20-E20)),MAX(0,1-(F20-G20)/MAX(ABS(F20),ABS(G20))))))))</f>
        <v/>
      </c>
      <c r="I20" s="25">
        <f>IF(B20="","",Config!$B$10)</f>
        <v/>
      </c>
      <c r="J20" s="24">
        <f>IF(B20="","",IF(H20="","Faltam dados",IF(H20&gt;=1,"Atingido",IF(H20&gt;=I20-0.1,"No ritmo",IF(H20&gt;=I20-0.25,"Atenção","Em risco")))))</f>
        <v/>
      </c>
      <c r="K20" s="33" t="n"/>
      <c r="L20" s="34" t="n"/>
    </row>
    <row r="21" ht="18" customHeight="1">
      <c r="A21" s="32" t="n"/>
      <c r="B21" s="30" t="n"/>
      <c r="C21" s="33" t="n"/>
      <c r="D21" s="33" t="n"/>
      <c r="E21" s="33" t="n"/>
      <c r="F21" s="33" t="n"/>
      <c r="G21" s="33" t="n"/>
      <c r="H21" s="25">
        <f>IF(B21="","",IF(OR(NOT(ISNUMBER(E21)),NOT(ISNUMBER(F21)),NOT(ISNUMBER(G21)),AND(K21&lt;&gt;"Menor é melhor",K21&lt;&gt;"Maior é melhor")),"",IF(K21="Menor é melhor",IF(G21&lt;=F21,1,IF(E21&gt;F21,MAX(0,(E21-G21)/(E21-F21)),MAX(0,1-(G21-F21)/MAX(ABS(F21),ABS(G21))))),IF(G21&gt;=F21,1,IF(E21&lt;F21,MAX(0,(G21-E21)/(F21-E21)),MAX(0,1-(F21-G21)/MAX(ABS(F21),ABS(G21))))))))</f>
        <v/>
      </c>
      <c r="I21" s="25">
        <f>IF(B21="","",Config!$B$10)</f>
        <v/>
      </c>
      <c r="J21" s="24">
        <f>IF(B21="","",IF(H21="","Faltam dados",IF(H21&gt;=1,"Atingido",IF(H21&gt;=I21-0.1,"No ritmo",IF(H21&gt;=I21-0.25,"Atenção","Em risco")))))</f>
        <v/>
      </c>
      <c r="K21" s="33" t="n"/>
      <c r="L21" s="34" t="n"/>
    </row>
    <row r="22">
      <c r="A22" s="35" t="n"/>
      <c r="B22" s="30" t="n"/>
      <c r="C22" s="33" t="n"/>
      <c r="D22" s="33" t="n"/>
      <c r="E22" s="33" t="n"/>
      <c r="F22" s="33" t="n"/>
      <c r="G22" s="33" t="n"/>
      <c r="H22" s="25">
        <f>IF(B22="","",IF(OR(NOT(ISNUMBER(E22)),NOT(ISNUMBER(F22)),NOT(ISNUMBER(G22)),AND(K22&lt;&gt;"Menor é melhor",K22&lt;&gt;"Maior é melhor")),"",IF(K22="Menor é melhor",IF(G22&lt;=F22,1,IF(E22&gt;F22,MAX(0,(E22-G22)/(E22-F22)),MAX(0,1-(G22-F22)/MAX(ABS(F22),ABS(G22))))),IF(G22&gt;=F22,1,IF(E22&lt;F22,MAX(0,(G22-E22)/(F22-E22)),MAX(0,1-(F22-G22)/MAX(ABS(F22),ABS(G22))))))))</f>
        <v/>
      </c>
      <c r="I22" s="25">
        <f>IF(B22="","",Config!$B$10)</f>
        <v/>
      </c>
      <c r="J22" s="24">
        <f>IF(B22="","",IF(H22="","Faltam dados",IF(H22&gt;=1,"Atingido",IF(H22&gt;=I22-0.1,"No ritmo",IF(H22&gt;=I22-0.25,"Atenção","Em risco")))))</f>
        <v/>
      </c>
      <c r="K22" s="33" t="n"/>
      <c r="L22" s="34" t="n"/>
    </row>
    <row r="23">
      <c r="A23" s="35" t="n"/>
      <c r="B23" s="30" t="n"/>
      <c r="C23" s="33" t="n"/>
      <c r="D23" s="33" t="n"/>
      <c r="E23" s="33" t="n"/>
      <c r="F23" s="33" t="n"/>
      <c r="G23" s="33" t="n"/>
      <c r="H23" s="25">
        <f>IF(B23="","",IF(OR(NOT(ISNUMBER(E23)),NOT(ISNUMBER(F23)),NOT(ISNUMBER(G23)),AND(K23&lt;&gt;"Menor é melhor",K23&lt;&gt;"Maior é melhor")),"",IF(K23="Menor é melhor",IF(G23&lt;=F23,1,IF(E23&gt;F23,MAX(0,(E23-G23)/(E23-F23)),MAX(0,1-(G23-F23)/MAX(ABS(F23),ABS(G23))))),IF(G23&gt;=F23,1,IF(E23&lt;F23,MAX(0,(G23-E23)/(F23-E23)),MAX(0,1-(F23-G23)/MAX(ABS(F23),ABS(G23))))))))</f>
        <v/>
      </c>
      <c r="I23" s="25">
        <f>IF(B23="","",Config!$B$10)</f>
        <v/>
      </c>
      <c r="J23" s="24">
        <f>IF(B23="","",IF(H23="","Faltam dados",IF(H23&gt;=1,"Atingido",IF(H23&gt;=I23-0.1,"No ritmo",IF(H23&gt;=I23-0.25,"Atenção","Em risco")))))</f>
        <v/>
      </c>
      <c r="K23" s="33" t="n"/>
      <c r="L23" s="34" t="n"/>
    </row>
    <row r="24">
      <c r="A24" s="36" t="n"/>
      <c r="B24" s="30" t="n"/>
      <c r="C24" s="33" t="n"/>
      <c r="D24" s="33" t="n"/>
      <c r="E24" s="33" t="n"/>
      <c r="F24" s="33" t="n"/>
      <c r="G24" s="33" t="n"/>
      <c r="H24" s="25">
        <f>IF(B24="","",IF(OR(NOT(ISNUMBER(E24)),NOT(ISNUMBER(F24)),NOT(ISNUMBER(G24)),AND(K24&lt;&gt;"Menor é melhor",K24&lt;&gt;"Maior é melhor")),"",IF(K24="Menor é melhor",IF(G24&lt;=F24,1,IF(E24&gt;F24,MAX(0,(E24-G24)/(E24-F24)),MAX(0,1-(G24-F24)/MAX(ABS(F24),ABS(G24))))),IF(G24&gt;=F24,1,IF(E24&lt;F24,MAX(0,(G24-E24)/(F24-E24)),MAX(0,1-(F24-G24)/MAX(ABS(F24),ABS(G24))))))))</f>
        <v/>
      </c>
      <c r="I24" s="25">
        <f>IF(B24="","",Config!$B$10)</f>
        <v/>
      </c>
      <c r="J24" s="24">
        <f>IF(B24="","",IF(H24="","Faltam dados",IF(H24&gt;=1,"Atingido",IF(H24&gt;=I24-0.1,"No ritmo",IF(H24&gt;=I24-0.25,"Atenção","Em risco")))))</f>
        <v/>
      </c>
      <c r="K24" s="33" t="n"/>
      <c r="L24" s="34" t="n"/>
    </row>
    <row r="26">
      <c r="A26" s="6" t="inlineStr">
        <is>
          <t>Progresso: só é calculado com ponto de partida, meta, valor atual e sentido preenchidos (zero vale; vazio vira "Faltam dados" e fica fora das contagens; sem nenhuma medição, a média do Painel também diz "Faltam dados"). Valor atual no alvo = 100 %. Fora do alvo, é o caminho andado entre o ponto de partida e a meta; quando o ponto de partida já estava dentro da meta (um limite a manter), é a distância ao limite: para um teto ("Menor é melhor"), meta ÷ atual (16 para um teto de 8 = 50 %); para um piso ("Maior é melhor"), atual ÷ meta (4 para um piso de 8 = 50 %). Com zero ou valores negativos (um limite de prejuízo, por exemplo) a conta usa o maior valor absoluto como escala e nunca dá 100 % sem o alvo estar cumprido. Semáforo: Atingido (100%); No ritmo (progresso até 10 pontos abaixo do tempo decorrido); Atenção (até 25 pontos abaixo); Em risco (mais que isso).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A13:A16"/>
    <mergeCell ref="A9:A12"/>
    <mergeCell ref="A17:A20"/>
    <mergeCell ref="A21:A24"/>
    <mergeCell ref="A5:A8"/>
    <mergeCell ref="A2:M2"/>
  </mergeCells>
  <conditionalFormatting sqref="J5:J24">
    <cfRule type="expression" priority="1" dxfId="1">
      <formula>J5="Atingido"</formula>
    </cfRule>
    <cfRule type="expression" priority="2" dxfId="2">
      <formula>J5="No ritmo"</formula>
    </cfRule>
    <cfRule type="expression" priority="3" dxfId="3">
      <formula>J5="Atenção"</formula>
    </cfRule>
    <cfRule type="expression" priority="4" dxfId="4">
      <formula>J5="Em risco"</formula>
    </cfRule>
    <cfRule type="expression" priority="5" dxfId="0">
      <formula>J5="Faltam dados"</formula>
    </cfRule>
  </conditionalFormatting>
  <dataValidations count="2">
    <dataValidation sqref="K5:K24" showDropDown="0" showInputMessage="0" showErrorMessage="1" allowBlank="1" type="list">
      <formula1>"Maior é melhor,Menor é melhor"</formula1>
    </dataValidation>
    <dataValidation sqref="E5:G24" showDropDown="0" showInputMessage="0" showErrorMessage="1" allowBlank="1" type="decimal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5" t="inlineStr">
        <is>
          <t>Acompanhamento semanal</t>
        </is>
      </c>
    </row>
    <row r="2">
      <c r="A2" s="28" t="inlineStr">
        <is>
          <t>Toda semana, copie o valor atual de cada resultado-chave para a coluna da semana. A linha fica com o histórico do trimestre.</t>
        </is>
      </c>
    </row>
    <row r="4" ht="26" customHeight="1">
      <c r="A4" s="20" t="inlineStr">
        <is>
          <t>Resultado-chave</t>
        </is>
      </c>
      <c r="B4" s="20" t="inlineStr">
        <is>
          <t>Meta</t>
        </is>
      </c>
      <c r="C4" s="20" t="inlineStr">
        <is>
          <t>S1</t>
        </is>
      </c>
      <c r="D4" s="20" t="inlineStr">
        <is>
          <t>S2</t>
        </is>
      </c>
      <c r="E4" s="20" t="inlineStr">
        <is>
          <t>S3</t>
        </is>
      </c>
      <c r="F4" s="20" t="inlineStr">
        <is>
          <t>S4</t>
        </is>
      </c>
      <c r="G4" s="20" t="inlineStr">
        <is>
          <t>S5</t>
        </is>
      </c>
      <c r="H4" s="20" t="inlineStr">
        <is>
          <t>S6</t>
        </is>
      </c>
      <c r="I4" s="20" t="inlineStr">
        <is>
          <t>S7</t>
        </is>
      </c>
      <c r="J4" s="20" t="inlineStr">
        <is>
          <t>S8</t>
        </is>
      </c>
      <c r="K4" s="20" t="inlineStr">
        <is>
          <t>S9</t>
        </is>
      </c>
      <c r="L4" s="20" t="inlineStr">
        <is>
          <t>S10</t>
        </is>
      </c>
      <c r="M4" s="20" t="inlineStr">
        <is>
          <t>S11</t>
        </is>
      </c>
      <c r="N4" s="20" t="inlineStr">
        <is>
          <t>S12</t>
        </is>
      </c>
      <c r="O4" s="20" t="inlineStr">
        <is>
          <t>S13</t>
        </is>
      </c>
    </row>
    <row r="5">
      <c r="A5" s="23" t="str">
        <f>IF(Metas!B5="","",Metas!B5)</f>
        <v>Fechar 3 contratos mensais novos</v>
      </c>
      <c r="B5" s="24">
        <f>IF(OR(Metas!B5="",NOT(ISNUMBER(Metas!F5))),"",Metas!F5)</f>
        <v>3</v>
      </c>
      <c r="C5" s="33" t="n">
        <v>0</v>
      </c>
      <c r="D5" s="33" t="n">
        <v>0</v>
      </c>
      <c r="E5" s="33" t="n">
        <v>0</v>
      </c>
      <c r="F5" s="33" t="n">
        <v>0</v>
      </c>
      <c r="G5" s="33" t="n">
        <v>1</v>
      </c>
      <c r="H5" s="33" t="n">
        <v>1</v>
      </c>
      <c r="I5" s="33" t="n">
        <v>1</v>
      </c>
      <c r="J5" s="33" t="n">
        <v>1</v>
      </c>
      <c r="K5" s="33" t="n">
        <v>1</v>
      </c>
      <c r="L5" s="33" t="n">
        <v>2</v>
      </c>
      <c r="M5" s="33" t="n">
        <v>2</v>
      </c>
      <c r="N5" s="33" t="n"/>
      <c r="O5" s="33" t="n"/>
    </row>
    <row r="6">
      <c r="A6" s="23" t="str">
        <f>IF(Metas!B6="","",Metas!B6)</f>
        <v>Receita recorrente mensal de R$ 30 mil</v>
      </c>
      <c r="B6" s="24">
        <f>IF(OR(Metas!B6="",NOT(ISNUMBER(Metas!F6))),"",Metas!F6)</f>
        <v>30000</v>
      </c>
      <c r="C6" s="33" t="n">
        <v>18000</v>
      </c>
      <c r="D6" s="33" t="n">
        <v>18000</v>
      </c>
      <c r="E6" s="33" t="n">
        <v>18000</v>
      </c>
      <c r="F6" s="33" t="n">
        <v>18000</v>
      </c>
      <c r="G6" s="33" t="n">
        <v>22500</v>
      </c>
      <c r="H6" s="33" t="n">
        <v>22500</v>
      </c>
      <c r="I6" s="33" t="n">
        <v>22500</v>
      </c>
      <c r="J6" s="33" t="n">
        <v>22500</v>
      </c>
      <c r="K6" s="33" t="n">
        <v>22500</v>
      </c>
      <c r="L6" s="33" t="n">
        <v>27400</v>
      </c>
      <c r="M6" s="33" t="n">
        <v>27400</v>
      </c>
      <c r="N6" s="33" t="n"/>
      <c r="O6" s="33" t="n"/>
    </row>
    <row r="7">
      <c r="A7" s="23" t="str">
        <f>IF(Metas!B7="","",Metas!B7)</f>
        <v>Propostas enviadas no trimestre</v>
      </c>
      <c r="B7" s="24">
        <f>IF(OR(Metas!B7="",NOT(ISNUMBER(Metas!F7))),"",Metas!F7)</f>
        <v>24</v>
      </c>
      <c r="C7" s="33" t="n">
        <v>2</v>
      </c>
      <c r="D7" s="33" t="n">
        <v>4</v>
      </c>
      <c r="E7" s="33" t="n">
        <v>7</v>
      </c>
      <c r="F7" s="33" t="n">
        <v>9</v>
      </c>
      <c r="G7" s="33" t="n">
        <v>11</v>
      </c>
      <c r="H7" s="33" t="n">
        <v>13</v>
      </c>
      <c r="I7" s="33" t="n">
        <v>15</v>
      </c>
      <c r="J7" s="33" t="n">
        <v>18</v>
      </c>
      <c r="K7" s="33" t="n">
        <v>20</v>
      </c>
      <c r="L7" s="33" t="n">
        <v>22</v>
      </c>
      <c r="M7" s="33" t="n">
        <v>24</v>
      </c>
      <c r="N7" s="33" t="n"/>
      <c r="O7" s="33" t="n"/>
    </row>
    <row r="8">
      <c r="A8" s="23">
        <f>IF(Metas!B8="","",Metas!B8)</f>
        <v/>
      </c>
      <c r="B8" s="24">
        <f>IF(OR(Metas!B8="",NOT(ISNUMBER(Metas!F8))),"",Metas!F8)</f>
        <v/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>
      <c r="A9" s="23" t="str">
        <f>IF(Metas!B9="","",Metas!B9)</f>
        <v>Etapas atrasadas por semana (média)</v>
      </c>
      <c r="B9" s="24">
        <f>IF(OR(Metas!B9="",NOT(ISNUMBER(Metas!F9))),"",Metas!F9)</f>
        <v>1</v>
      </c>
      <c r="C9" s="33" t="n">
        <v>4</v>
      </c>
      <c r="D9" s="33" t="n">
        <v>4</v>
      </c>
      <c r="E9" s="33" t="n">
        <v>5</v>
      </c>
      <c r="F9" s="33" t="n">
        <v>4</v>
      </c>
      <c r="G9" s="33" t="n">
        <v>3</v>
      </c>
      <c r="H9" s="33" t="n">
        <v>4</v>
      </c>
      <c r="I9" s="33" t="n">
        <v>3</v>
      </c>
      <c r="J9" s="33" t="n">
        <v>3</v>
      </c>
      <c r="K9" s="33" t="n">
        <v>4</v>
      </c>
      <c r="L9" s="33" t="n">
        <v>3</v>
      </c>
      <c r="M9" s="33" t="n">
        <v>3</v>
      </c>
      <c r="N9" s="33" t="n"/>
      <c r="O9" s="33" t="n"/>
    </row>
    <row r="10">
      <c r="A10" s="23" t="str">
        <f>IF(Metas!B10="","",Metas!B10)</f>
        <v>Projetos entregues na data combinada</v>
      </c>
      <c r="B10" s="24">
        <f>IF(OR(Metas!B10="",NOT(ISNUMBER(Metas!F10))),"",Metas!F10)</f>
        <v>90</v>
      </c>
      <c r="C10" s="33" t="n">
        <v>60</v>
      </c>
      <c r="D10" s="33" t="n">
        <v>60</v>
      </c>
      <c r="E10" s="33" t="n">
        <v>67</v>
      </c>
      <c r="F10" s="33" t="n">
        <v>67</v>
      </c>
      <c r="G10" s="33" t="n">
        <v>75</v>
      </c>
      <c r="H10" s="33" t="n">
        <v>75</v>
      </c>
      <c r="I10" s="33" t="n">
        <v>80</v>
      </c>
      <c r="J10" s="33" t="n">
        <v>80</v>
      </c>
      <c r="K10" s="33" t="n">
        <v>78</v>
      </c>
      <c r="L10" s="33" t="n">
        <v>82</v>
      </c>
      <c r="M10" s="33" t="n">
        <v>82</v>
      </c>
      <c r="N10" s="33" t="n"/>
      <c r="O10" s="33" t="n"/>
    </row>
    <row r="11">
      <c r="A11" s="23">
        <f>IF(Metas!B11="","",Metas!B11)</f>
        <v/>
      </c>
      <c r="B11" s="24">
        <f>IF(OR(Metas!B11="",NOT(ISNUMBER(Metas!F11))),"",Metas!F11)</f>
        <v/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</row>
    <row r="12">
      <c r="A12" s="23">
        <f>IF(Metas!B12="","",Metas!B12)</f>
        <v/>
      </c>
      <c r="B12" s="24">
        <f>IF(OR(Metas!B12="",NOT(ISNUMBER(Metas!F12))),"",Metas!F12)</f>
        <v/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</row>
    <row r="13">
      <c r="A13" s="23" t="str">
        <f>IF(Metas!B13="","",Metas!B13)</f>
        <v>Rodadas de revisão por peça (média)</v>
      </c>
      <c r="B13" s="24">
        <f>IF(OR(Metas!B13="",NOT(ISNUMBER(Metas!F13))),"",Metas!F13)</f>
        <v>2</v>
      </c>
      <c r="C13" s="33" t="n">
        <v>3.2</v>
      </c>
      <c r="D13" s="33" t="n">
        <v>3.1</v>
      </c>
      <c r="E13" s="33" t="n">
        <v>3.1</v>
      </c>
      <c r="F13" s="33" t="n">
        <v>3</v>
      </c>
      <c r="G13" s="33" t="n">
        <v>3</v>
      </c>
      <c r="H13" s="33" t="n">
        <v>2.9</v>
      </c>
      <c r="I13" s="33" t="n">
        <v>2.9</v>
      </c>
      <c r="J13" s="33" t="n">
        <v>2.9</v>
      </c>
      <c r="K13" s="33" t="n">
        <v>2.8</v>
      </c>
      <c r="L13" s="33" t="n">
        <v>2.8</v>
      </c>
      <c r="M13" s="33" t="n">
        <v>2.8</v>
      </c>
      <c r="N13" s="33" t="n"/>
      <c r="O13" s="33" t="n"/>
    </row>
    <row r="14">
      <c r="A14" s="23" t="str">
        <f>IF(Metas!B14="","",Metas!B14)</f>
        <v>Peças aprovadas de primeira</v>
      </c>
      <c r="B14" s="24">
        <f>IF(OR(Metas!B14="",NOT(ISNUMBER(Metas!F14))),"",Metas!F14)</f>
        <v>65</v>
      </c>
      <c r="C14" s="33" t="n">
        <v>40</v>
      </c>
      <c r="D14" s="33" t="n">
        <v>42</v>
      </c>
      <c r="E14" s="33" t="n">
        <v>45</v>
      </c>
      <c r="F14" s="33" t="n">
        <v>48</v>
      </c>
      <c r="G14" s="33" t="n">
        <v>50</v>
      </c>
      <c r="H14" s="33" t="n">
        <v>52</v>
      </c>
      <c r="I14" s="33" t="n">
        <v>55</v>
      </c>
      <c r="J14" s="33" t="n">
        <v>56</v>
      </c>
      <c r="K14" s="33" t="n">
        <v>58</v>
      </c>
      <c r="L14" s="33" t="n">
        <v>60</v>
      </c>
      <c r="M14" s="33" t="n">
        <v>60</v>
      </c>
      <c r="N14" s="33" t="n"/>
      <c r="O14" s="33" t="n"/>
    </row>
    <row r="15">
      <c r="A15" s="23">
        <f>IF(Metas!B15="","",Metas!B15)</f>
        <v/>
      </c>
      <c r="B15" s="24">
        <f>IF(OR(Metas!B15="",NOT(ISNUMBER(Metas!F15))),"",Metas!F15)</f>
        <v/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</row>
    <row r="16">
      <c r="A16" s="23">
        <f>IF(Metas!B16="","",Metas!B16)</f>
        <v/>
      </c>
      <c r="B16" s="24">
        <f>IF(OR(Metas!B16="",NOT(ISNUMBER(Metas!F16))),"",Metas!F16)</f>
        <v/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</row>
    <row r="17">
      <c r="A17" s="23" t="str">
        <f>IF(Metas!B17="","",Metas!B17)</f>
        <v>Relatório mensal enviado até o dia 5</v>
      </c>
      <c r="B17" s="24">
        <f>IF(OR(Metas!B17="",NOT(ISNUMBER(Metas!F17))),"",Metas!F17)</f>
        <v>3</v>
      </c>
      <c r="C17" s="33" t="n">
        <v>0</v>
      </c>
      <c r="D17" s="33" t="n">
        <v>0</v>
      </c>
      <c r="E17" s="33" t="n">
        <v>0</v>
      </c>
      <c r="F17" s="33" t="n">
        <v>0</v>
      </c>
      <c r="G17" s="33" t="n">
        <v>0</v>
      </c>
      <c r="H17" s="33" t="n">
        <v>1</v>
      </c>
      <c r="I17" s="33" t="n">
        <v>1</v>
      </c>
      <c r="J17" s="33" t="n">
        <v>1</v>
      </c>
      <c r="K17" s="33" t="n">
        <v>1</v>
      </c>
      <c r="L17" s="33" t="n">
        <v>2</v>
      </c>
      <c r="M17" s="33" t="n">
        <v>2</v>
      </c>
      <c r="N17" s="33" t="n"/>
      <c r="O17" s="33" t="n"/>
    </row>
    <row r="18">
      <c r="A18" s="23" t="str">
        <f>IF(Metas!B18="","",Metas!B18)</f>
        <v>Horas extras da equipe no mês</v>
      </c>
      <c r="B18" s="24">
        <f>IF(OR(Metas!B18="",NOT(ISNUMBER(Metas!F18))),"",Metas!F18)</f>
        <v>8</v>
      </c>
      <c r="C18" s="33" t="n">
        <v>20</v>
      </c>
      <c r="D18" s="33" t="n">
        <v>20</v>
      </c>
      <c r="E18" s="33" t="n">
        <v>20</v>
      </c>
      <c r="F18" s="33" t="n">
        <v>18</v>
      </c>
      <c r="G18" s="33" t="n">
        <v>17</v>
      </c>
      <c r="H18" s="33" t="n">
        <v>16</v>
      </c>
      <c r="I18" s="33" t="n">
        <v>16</v>
      </c>
      <c r="J18" s="33" t="n">
        <v>15</v>
      </c>
      <c r="K18" s="33" t="n">
        <v>15</v>
      </c>
      <c r="L18" s="33" t="n">
        <v>14</v>
      </c>
      <c r="M18" s="33" t="n">
        <v>14</v>
      </c>
      <c r="N18" s="33" t="n"/>
      <c r="O18" s="33" t="n"/>
    </row>
    <row r="19">
      <c r="A19" s="23">
        <f>IF(Metas!B19="","",Metas!B19)</f>
        <v/>
      </c>
      <c r="B19" s="24">
        <f>IF(OR(Metas!B19="",NOT(ISNUMBER(Metas!F19))),"",Metas!F19)</f>
        <v/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</row>
    <row r="20">
      <c r="A20" s="23">
        <f>IF(Metas!B20="","",Metas!B20)</f>
        <v/>
      </c>
      <c r="B20" s="24">
        <f>IF(OR(Metas!B20="",NOT(ISNUMBER(Metas!F20))),"",Metas!F20)</f>
        <v/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</row>
    <row r="21">
      <c r="A21" s="23">
        <f>IF(Metas!B21="","",Metas!B21)</f>
        <v/>
      </c>
      <c r="B21" s="24">
        <f>IF(OR(Metas!B21="",NOT(ISNUMBER(Metas!F21))),"",Metas!F21)</f>
        <v/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</row>
    <row r="22">
      <c r="A22" s="23">
        <f>IF(Metas!B22="","",Metas!B22)</f>
        <v/>
      </c>
      <c r="B22" s="24">
        <f>IF(OR(Metas!B22="",NOT(ISNUMBER(Metas!F22))),"",Metas!F22)</f>
        <v/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</row>
    <row r="23">
      <c r="A23" s="23">
        <f>IF(Metas!B23="","",Metas!B23)</f>
        <v/>
      </c>
      <c r="B23" s="24">
        <f>IF(OR(Metas!B23="",NOT(ISNUMBER(Metas!F23))),"",Metas!F23)</f>
        <v/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</row>
    <row r="24">
      <c r="A24" s="23">
        <f>IF(Metas!B24="","",Metas!B24)</f>
        <v/>
      </c>
      <c r="B24" s="24">
        <f>IF(OR(Metas!B24="",NOT(ISNUMBER(Metas!F24))),"",Metas!F24)</f>
        <v/>
      </c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P2"/>
  </mergeCells>
  <conditionalFormatting sqref="C4:O4">
    <cfRule type="expression" priority="1" dxfId="5">
      <formula>COLUMN()-2=INDIRECT("Config!$B$9")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>
      <c r="A1" s="5" t="inlineStr">
        <is>
          <t>Acompanhamento mensal</t>
        </is>
      </c>
    </row>
    <row r="2">
      <c r="A2" s="28" t="inlineStr">
        <is>
          <t>Fechamento de cada mês do trimestre: o último valor lançado nas semanas daquele mês. Nada para preencher aqui — vem da aba Semanas. Serve para a reunião do início do mês.</t>
        </is>
      </c>
    </row>
    <row r="4" ht="26" customHeight="1">
      <c r="A4" s="20" t="inlineStr">
        <is>
          <t>Resultado-chave</t>
        </is>
      </c>
      <c r="B4" s="20" t="inlineStr">
        <is>
          <t>Meta</t>
        </is>
      </c>
      <c r="C4" s="20" t="inlineStr">
        <is>
          <t>Mês 1</t>
        </is>
      </c>
      <c r="D4" s="20" t="inlineStr">
        <is>
          <t>Mês 2</t>
        </is>
      </c>
      <c r="E4" s="20" t="inlineStr">
        <is>
          <t>Mês 3</t>
        </is>
      </c>
      <c r="F4" s="20" t="inlineStr">
        <is>
          <t>Ganho no trimestre</t>
        </is>
      </c>
      <c r="G4" s="20" t="inlineStr">
        <is>
          <t>Falta para a meta</t>
        </is>
      </c>
    </row>
    <row r="5">
      <c r="A5" s="23" t="str">
        <f>IF(Metas!B5="","",Metas!B5)</f>
        <v>Fechar 3 contratos mensais novos</v>
      </c>
      <c r="B5" s="24">
        <f>IF(OR(Metas!B5="",NOT(ISNUMBER(Metas!F5))),"",Metas!F5)</f>
        <v>3</v>
      </c>
      <c r="C5" s="24">
        <f>IF(Metas!B5="","",IFERROR(LOOKUP(9.99E+307,Semanas!$C5:$F5),""))</f>
        <v>0</v>
      </c>
      <c r="D5" s="24">
        <f>IF(Metas!B5="","",IFERROR(LOOKUP(9.99E+307,Semanas!$G5:$K5),""))</f>
        <v>1</v>
      </c>
      <c r="E5" s="24">
        <f>IF(Metas!B5="","",IFERROR(LOOKUP(9.99E+307,Semanas!$L5:$O5),""))</f>
        <v>2</v>
      </c>
      <c r="F5" s="24">
        <f>IF(OR(Metas!B5="",NOT(ISNUMBER(E5)),NOT(ISNUMBER(Metas!E5))),"",E5-Metas!E5)</f>
        <v>2</v>
      </c>
      <c r="G5" s="24">
        <f>IF(OR(Metas!B5="",NOT(ISNUMBER(E5)),NOT(ISNUMBER(Metas!F5))),"",Metas!F5-E5)</f>
        <v>1</v>
      </c>
    </row>
    <row r="6">
      <c r="A6" s="23" t="str">
        <f>IF(Metas!B6="","",Metas!B6)</f>
        <v>Receita recorrente mensal de R$ 30 mil</v>
      </c>
      <c r="B6" s="24">
        <f>IF(OR(Metas!B6="",NOT(ISNUMBER(Metas!F6))),"",Metas!F6)</f>
        <v>30000</v>
      </c>
      <c r="C6" s="24">
        <f>IF(Metas!B6="","",IFERROR(LOOKUP(9.99E+307,Semanas!$C6:$F6),""))</f>
        <v>18000</v>
      </c>
      <c r="D6" s="24">
        <f>IF(Metas!B6="","",IFERROR(LOOKUP(9.99E+307,Semanas!$G6:$K6),""))</f>
        <v>22500</v>
      </c>
      <c r="E6" s="24">
        <f>IF(Metas!B6="","",IFERROR(LOOKUP(9.99E+307,Semanas!$L6:$O6),""))</f>
        <v>27400</v>
      </c>
      <c r="F6" s="24">
        <f>IF(OR(Metas!B6="",NOT(ISNUMBER(E6)),NOT(ISNUMBER(Metas!E6))),"",E6-Metas!E6)</f>
        <v>9400</v>
      </c>
      <c r="G6" s="24">
        <f>IF(OR(Metas!B6="",NOT(ISNUMBER(E6)),NOT(ISNUMBER(Metas!F6))),"",Metas!F6-E6)</f>
        <v>2600</v>
      </c>
    </row>
    <row r="7">
      <c r="A7" s="23" t="str">
        <f>IF(Metas!B7="","",Metas!B7)</f>
        <v>Propostas enviadas no trimestre</v>
      </c>
      <c r="B7" s="24">
        <f>IF(OR(Metas!B7="",NOT(ISNUMBER(Metas!F7))),"",Metas!F7)</f>
        <v>24</v>
      </c>
      <c r="C7" s="24">
        <f>IF(Metas!B7="","",IFERROR(LOOKUP(9.99E+307,Semanas!$C7:$F7),""))</f>
        <v>9</v>
      </c>
      <c r="D7" s="24">
        <f>IF(Metas!B7="","",IFERROR(LOOKUP(9.99E+307,Semanas!$G7:$K7),""))</f>
        <v>20</v>
      </c>
      <c r="E7" s="24">
        <f>IF(Metas!B7="","",IFERROR(LOOKUP(9.99E+307,Semanas!$L7:$O7),""))</f>
        <v>24</v>
      </c>
      <c r="F7" s="24">
        <f>IF(OR(Metas!B7="",NOT(ISNUMBER(E7)),NOT(ISNUMBER(Metas!E7))),"",E7-Metas!E7)</f>
        <v>24</v>
      </c>
      <c r="G7" s="24">
        <f>IF(OR(Metas!B7="",NOT(ISNUMBER(E7)),NOT(ISNUMBER(Metas!F7))),"",Metas!F7-E7)</f>
        <v>0</v>
      </c>
    </row>
    <row r="8">
      <c r="A8" s="23">
        <f>IF(Metas!B8="","",Metas!B8)</f>
        <v/>
      </c>
      <c r="B8" s="24">
        <f>IF(OR(Metas!B8="",NOT(ISNUMBER(Metas!F8))),"",Metas!F8)</f>
        <v/>
      </c>
      <c r="C8" s="24">
        <f>IF(Metas!B8="","",IFERROR(LOOKUP(9.99E+307,Semanas!$C8:$F8),""))</f>
        <v/>
      </c>
      <c r="D8" s="24">
        <f>IF(Metas!B8="","",IFERROR(LOOKUP(9.99E+307,Semanas!$G8:$K8),""))</f>
        <v/>
      </c>
      <c r="E8" s="24">
        <f>IF(Metas!B8="","",IFERROR(LOOKUP(9.99E+307,Semanas!$L8:$O8),""))</f>
        <v/>
      </c>
      <c r="F8" s="24">
        <f>IF(OR(Metas!B8="",NOT(ISNUMBER(E8)),NOT(ISNUMBER(Metas!E8))),"",E8-Metas!E8)</f>
        <v/>
      </c>
      <c r="G8" s="24">
        <f>IF(OR(Metas!B8="",NOT(ISNUMBER(E8)),NOT(ISNUMBER(Metas!F8))),"",Metas!F8-E8)</f>
        <v/>
      </c>
    </row>
    <row r="9">
      <c r="A9" s="23" t="str">
        <f>IF(Metas!B9="","",Metas!B9)</f>
        <v>Etapas atrasadas por semana (média)</v>
      </c>
      <c r="B9" s="24">
        <f>IF(OR(Metas!B9="",NOT(ISNUMBER(Metas!F9))),"",Metas!F9)</f>
        <v>1</v>
      </c>
      <c r="C9" s="24">
        <f>IF(Metas!B9="","",IFERROR(LOOKUP(9.99E+307,Semanas!$C9:$F9),""))</f>
        <v>4</v>
      </c>
      <c r="D9" s="24">
        <f>IF(Metas!B9="","",IFERROR(LOOKUP(9.99E+307,Semanas!$G9:$K9),""))</f>
        <v>4</v>
      </c>
      <c r="E9" s="24">
        <f>IF(Metas!B9="","",IFERROR(LOOKUP(9.99E+307,Semanas!$L9:$O9),""))</f>
        <v>3</v>
      </c>
      <c r="F9" s="24">
        <f>IF(OR(Metas!B9="",NOT(ISNUMBER(E9)),NOT(ISNUMBER(Metas!E9))),"",E9-Metas!E9)</f>
        <v>-1</v>
      </c>
      <c r="G9" s="24">
        <f>IF(OR(Metas!B9="",NOT(ISNUMBER(E9)),NOT(ISNUMBER(Metas!F9))),"",Metas!F9-E9)</f>
        <v>-2</v>
      </c>
    </row>
    <row r="10">
      <c r="A10" s="23" t="str">
        <f>IF(Metas!B10="","",Metas!B10)</f>
        <v>Projetos entregues na data combinada</v>
      </c>
      <c r="B10" s="24">
        <f>IF(OR(Metas!B10="",NOT(ISNUMBER(Metas!F10))),"",Metas!F10)</f>
        <v>90</v>
      </c>
      <c r="C10" s="24">
        <f>IF(Metas!B10="","",IFERROR(LOOKUP(9.99E+307,Semanas!$C10:$F10),""))</f>
        <v>67</v>
      </c>
      <c r="D10" s="24">
        <f>IF(Metas!B10="","",IFERROR(LOOKUP(9.99E+307,Semanas!$G10:$K10),""))</f>
        <v>78</v>
      </c>
      <c r="E10" s="24">
        <f>IF(Metas!B10="","",IFERROR(LOOKUP(9.99E+307,Semanas!$L10:$O10),""))</f>
        <v>82</v>
      </c>
      <c r="F10" s="24">
        <f>IF(OR(Metas!B10="",NOT(ISNUMBER(E10)),NOT(ISNUMBER(Metas!E10))),"",E10-Metas!E10)</f>
        <v>22</v>
      </c>
      <c r="G10" s="24">
        <f>IF(OR(Metas!B10="",NOT(ISNUMBER(E10)),NOT(ISNUMBER(Metas!F10))),"",Metas!F10-E10)</f>
        <v>8</v>
      </c>
    </row>
    <row r="11">
      <c r="A11" s="23">
        <f>IF(Metas!B11="","",Metas!B11)</f>
        <v/>
      </c>
      <c r="B11" s="24">
        <f>IF(OR(Metas!B11="",NOT(ISNUMBER(Metas!F11))),"",Metas!F11)</f>
        <v/>
      </c>
      <c r="C11" s="24">
        <f>IF(Metas!B11="","",IFERROR(LOOKUP(9.99E+307,Semanas!$C11:$F11),""))</f>
        <v/>
      </c>
      <c r="D11" s="24">
        <f>IF(Metas!B11="","",IFERROR(LOOKUP(9.99E+307,Semanas!$G11:$K11),""))</f>
        <v/>
      </c>
      <c r="E11" s="24">
        <f>IF(Metas!B11="","",IFERROR(LOOKUP(9.99E+307,Semanas!$L11:$O11),""))</f>
        <v/>
      </c>
      <c r="F11" s="24">
        <f>IF(OR(Metas!B11="",NOT(ISNUMBER(E11)),NOT(ISNUMBER(Metas!E11))),"",E11-Metas!E11)</f>
        <v/>
      </c>
      <c r="G11" s="24">
        <f>IF(OR(Metas!B11="",NOT(ISNUMBER(E11)),NOT(ISNUMBER(Metas!F11))),"",Metas!F11-E11)</f>
        <v/>
      </c>
    </row>
    <row r="12">
      <c r="A12" s="23">
        <f>IF(Metas!B12="","",Metas!B12)</f>
        <v/>
      </c>
      <c r="B12" s="24">
        <f>IF(OR(Metas!B12="",NOT(ISNUMBER(Metas!F12))),"",Metas!F12)</f>
        <v/>
      </c>
      <c r="C12" s="24">
        <f>IF(Metas!B12="","",IFERROR(LOOKUP(9.99E+307,Semanas!$C12:$F12),""))</f>
        <v/>
      </c>
      <c r="D12" s="24">
        <f>IF(Metas!B12="","",IFERROR(LOOKUP(9.99E+307,Semanas!$G12:$K12),""))</f>
        <v/>
      </c>
      <c r="E12" s="24">
        <f>IF(Metas!B12="","",IFERROR(LOOKUP(9.99E+307,Semanas!$L12:$O12),""))</f>
        <v/>
      </c>
      <c r="F12" s="24">
        <f>IF(OR(Metas!B12="",NOT(ISNUMBER(E12)),NOT(ISNUMBER(Metas!E12))),"",E12-Metas!E12)</f>
        <v/>
      </c>
      <c r="G12" s="24">
        <f>IF(OR(Metas!B12="",NOT(ISNUMBER(E12)),NOT(ISNUMBER(Metas!F12))),"",Metas!F12-E12)</f>
        <v/>
      </c>
    </row>
    <row r="13">
      <c r="A13" s="23" t="str">
        <f>IF(Metas!B13="","",Metas!B13)</f>
        <v>Rodadas de revisão por peça (média)</v>
      </c>
      <c r="B13" s="24">
        <f>IF(OR(Metas!B13="",NOT(ISNUMBER(Metas!F13))),"",Metas!F13)</f>
        <v>2</v>
      </c>
      <c r="C13" s="24">
        <f>IF(Metas!B13="","",IFERROR(LOOKUP(9.99E+307,Semanas!$C13:$F13),""))</f>
        <v>3</v>
      </c>
      <c r="D13" s="24">
        <f>IF(Metas!B13="","",IFERROR(LOOKUP(9.99E+307,Semanas!$G13:$K13),""))</f>
        <v>2.8</v>
      </c>
      <c r="E13" s="24">
        <f>IF(Metas!B13="","",IFERROR(LOOKUP(9.99E+307,Semanas!$L13:$O13),""))</f>
        <v>2.8</v>
      </c>
      <c r="F13" s="24">
        <f>IF(OR(Metas!B13="",NOT(ISNUMBER(E13)),NOT(ISNUMBER(Metas!E13))),"",E13-Metas!E13)</f>
        <v>-0.4</v>
      </c>
      <c r="G13" s="24">
        <f>IF(OR(Metas!B13="",NOT(ISNUMBER(E13)),NOT(ISNUMBER(Metas!F13))),"",Metas!F13-E13)</f>
        <v>-0.8</v>
      </c>
    </row>
    <row r="14">
      <c r="A14" s="23" t="str">
        <f>IF(Metas!B14="","",Metas!B14)</f>
        <v>Peças aprovadas de primeira</v>
      </c>
      <c r="B14" s="24">
        <f>IF(OR(Metas!B14="",NOT(ISNUMBER(Metas!F14))),"",Metas!F14)</f>
        <v>65</v>
      </c>
      <c r="C14" s="24">
        <f>IF(Metas!B14="","",IFERROR(LOOKUP(9.99E+307,Semanas!$C14:$F14),""))</f>
        <v>48</v>
      </c>
      <c r="D14" s="24">
        <f>IF(Metas!B14="","",IFERROR(LOOKUP(9.99E+307,Semanas!$G14:$K14),""))</f>
        <v>58</v>
      </c>
      <c r="E14" s="24">
        <f>IF(Metas!B14="","",IFERROR(LOOKUP(9.99E+307,Semanas!$L14:$O14),""))</f>
        <v>60</v>
      </c>
      <c r="F14" s="24">
        <f>IF(OR(Metas!B14="",NOT(ISNUMBER(E14)),NOT(ISNUMBER(Metas!E14))),"",E14-Metas!E14)</f>
        <v>20</v>
      </c>
      <c r="G14" s="24">
        <f>IF(OR(Metas!B14="",NOT(ISNUMBER(E14)),NOT(ISNUMBER(Metas!F14))),"",Metas!F14-E14)</f>
        <v>5</v>
      </c>
    </row>
    <row r="15">
      <c r="A15" s="23">
        <f>IF(Metas!B15="","",Metas!B15)</f>
        <v/>
      </c>
      <c r="B15" s="24">
        <f>IF(OR(Metas!B15="",NOT(ISNUMBER(Metas!F15))),"",Metas!F15)</f>
        <v/>
      </c>
      <c r="C15" s="24">
        <f>IF(Metas!B15="","",IFERROR(LOOKUP(9.99E+307,Semanas!$C15:$F15),""))</f>
        <v/>
      </c>
      <c r="D15" s="24">
        <f>IF(Metas!B15="","",IFERROR(LOOKUP(9.99E+307,Semanas!$G15:$K15),""))</f>
        <v/>
      </c>
      <c r="E15" s="24">
        <f>IF(Metas!B15="","",IFERROR(LOOKUP(9.99E+307,Semanas!$L15:$O15),""))</f>
        <v/>
      </c>
      <c r="F15" s="24">
        <f>IF(OR(Metas!B15="",NOT(ISNUMBER(E15)),NOT(ISNUMBER(Metas!E15))),"",E15-Metas!E15)</f>
        <v/>
      </c>
      <c r="G15" s="24">
        <f>IF(OR(Metas!B15="",NOT(ISNUMBER(E15)),NOT(ISNUMBER(Metas!F15))),"",Metas!F15-E15)</f>
        <v/>
      </c>
    </row>
    <row r="16">
      <c r="A16" s="23">
        <f>IF(Metas!B16="","",Metas!B16)</f>
        <v/>
      </c>
      <c r="B16" s="24">
        <f>IF(OR(Metas!B16="",NOT(ISNUMBER(Metas!F16))),"",Metas!F16)</f>
        <v/>
      </c>
      <c r="C16" s="24">
        <f>IF(Metas!B16="","",IFERROR(LOOKUP(9.99E+307,Semanas!$C16:$F16),""))</f>
        <v/>
      </c>
      <c r="D16" s="24">
        <f>IF(Metas!B16="","",IFERROR(LOOKUP(9.99E+307,Semanas!$G16:$K16),""))</f>
        <v/>
      </c>
      <c r="E16" s="24">
        <f>IF(Metas!B16="","",IFERROR(LOOKUP(9.99E+307,Semanas!$L16:$O16),""))</f>
        <v/>
      </c>
      <c r="F16" s="24">
        <f>IF(OR(Metas!B16="",NOT(ISNUMBER(E16)),NOT(ISNUMBER(Metas!E16))),"",E16-Metas!E16)</f>
        <v/>
      </c>
      <c r="G16" s="24">
        <f>IF(OR(Metas!B16="",NOT(ISNUMBER(E16)),NOT(ISNUMBER(Metas!F16))),"",Metas!F16-E16)</f>
        <v/>
      </c>
    </row>
    <row r="17">
      <c r="A17" s="23" t="str">
        <f>IF(Metas!B17="","",Metas!B17)</f>
        <v>Relatório mensal enviado até o dia 5</v>
      </c>
      <c r="B17" s="24">
        <f>IF(OR(Metas!B17="",NOT(ISNUMBER(Metas!F17))),"",Metas!F17)</f>
        <v>3</v>
      </c>
      <c r="C17" s="24">
        <f>IF(Metas!B17="","",IFERROR(LOOKUP(9.99E+307,Semanas!$C17:$F17),""))</f>
        <v>0</v>
      </c>
      <c r="D17" s="24">
        <f>IF(Metas!B17="","",IFERROR(LOOKUP(9.99E+307,Semanas!$G17:$K17),""))</f>
        <v>1</v>
      </c>
      <c r="E17" s="24">
        <f>IF(Metas!B17="","",IFERROR(LOOKUP(9.99E+307,Semanas!$L17:$O17),""))</f>
        <v>2</v>
      </c>
      <c r="F17" s="24">
        <f>IF(OR(Metas!B17="",NOT(ISNUMBER(E17)),NOT(ISNUMBER(Metas!E17))),"",E17-Metas!E17)</f>
        <v>2</v>
      </c>
      <c r="G17" s="24">
        <f>IF(OR(Metas!B17="",NOT(ISNUMBER(E17)),NOT(ISNUMBER(Metas!F17))),"",Metas!F17-E17)</f>
        <v>1</v>
      </c>
    </row>
    <row r="18">
      <c r="A18" s="23" t="str">
        <f>IF(Metas!B18="","",Metas!B18)</f>
        <v>Horas extras da equipe no mês</v>
      </c>
      <c r="B18" s="24">
        <f>IF(OR(Metas!B18="",NOT(ISNUMBER(Metas!F18))),"",Metas!F18)</f>
        <v>8</v>
      </c>
      <c r="C18" s="24">
        <f>IF(Metas!B18="","",IFERROR(LOOKUP(9.99E+307,Semanas!$C18:$F18),""))</f>
        <v>18</v>
      </c>
      <c r="D18" s="24">
        <f>IF(Metas!B18="","",IFERROR(LOOKUP(9.99E+307,Semanas!$G18:$K18),""))</f>
        <v>15</v>
      </c>
      <c r="E18" s="24">
        <f>IF(Metas!B18="","",IFERROR(LOOKUP(9.99E+307,Semanas!$L18:$O18),""))</f>
        <v>14</v>
      </c>
      <c r="F18" s="24">
        <f>IF(OR(Metas!B18="",NOT(ISNUMBER(E18)),NOT(ISNUMBER(Metas!E18))),"",E18-Metas!E18)</f>
        <v>-6</v>
      </c>
      <c r="G18" s="24">
        <f>IF(OR(Metas!B18="",NOT(ISNUMBER(E18)),NOT(ISNUMBER(Metas!F18))),"",Metas!F18-E18)</f>
        <v>-6</v>
      </c>
    </row>
    <row r="19">
      <c r="A19" s="23">
        <f>IF(Metas!B19="","",Metas!B19)</f>
        <v/>
      </c>
      <c r="B19" s="24">
        <f>IF(OR(Metas!B19="",NOT(ISNUMBER(Metas!F19))),"",Metas!F19)</f>
        <v/>
      </c>
      <c r="C19" s="24">
        <f>IF(Metas!B19="","",IFERROR(LOOKUP(9.99E+307,Semanas!$C19:$F19),""))</f>
        <v/>
      </c>
      <c r="D19" s="24">
        <f>IF(Metas!B19="","",IFERROR(LOOKUP(9.99E+307,Semanas!$G19:$K19),""))</f>
        <v/>
      </c>
      <c r="E19" s="24">
        <f>IF(Metas!B19="","",IFERROR(LOOKUP(9.99E+307,Semanas!$L19:$O19),""))</f>
        <v/>
      </c>
      <c r="F19" s="24">
        <f>IF(OR(Metas!B19="",NOT(ISNUMBER(E19)),NOT(ISNUMBER(Metas!E19))),"",E19-Metas!E19)</f>
        <v/>
      </c>
      <c r="G19" s="24">
        <f>IF(OR(Metas!B19="",NOT(ISNUMBER(E19)),NOT(ISNUMBER(Metas!F19))),"",Metas!F19-E19)</f>
        <v/>
      </c>
    </row>
    <row r="20">
      <c r="A20" s="23">
        <f>IF(Metas!B20="","",Metas!B20)</f>
        <v/>
      </c>
      <c r="B20" s="24">
        <f>IF(OR(Metas!B20="",NOT(ISNUMBER(Metas!F20))),"",Metas!F20)</f>
        <v/>
      </c>
      <c r="C20" s="24">
        <f>IF(Metas!B20="","",IFERROR(LOOKUP(9.99E+307,Semanas!$C20:$F20),""))</f>
        <v/>
      </c>
      <c r="D20" s="24">
        <f>IF(Metas!B20="","",IFERROR(LOOKUP(9.99E+307,Semanas!$G20:$K20),""))</f>
        <v/>
      </c>
      <c r="E20" s="24">
        <f>IF(Metas!B20="","",IFERROR(LOOKUP(9.99E+307,Semanas!$L20:$O20),""))</f>
        <v/>
      </c>
      <c r="F20" s="24">
        <f>IF(OR(Metas!B20="",NOT(ISNUMBER(E20)),NOT(ISNUMBER(Metas!E20))),"",E20-Metas!E20)</f>
        <v/>
      </c>
      <c r="G20" s="24">
        <f>IF(OR(Metas!B20="",NOT(ISNUMBER(E20)),NOT(ISNUMBER(Metas!F20))),"",Metas!F20-E20)</f>
        <v/>
      </c>
    </row>
    <row r="21">
      <c r="A21" s="23">
        <f>IF(Metas!B21="","",Metas!B21)</f>
        <v/>
      </c>
      <c r="B21" s="24">
        <f>IF(OR(Metas!B21="",NOT(ISNUMBER(Metas!F21))),"",Metas!F21)</f>
        <v/>
      </c>
      <c r="C21" s="24">
        <f>IF(Metas!B21="","",IFERROR(LOOKUP(9.99E+307,Semanas!$C21:$F21),""))</f>
        <v/>
      </c>
      <c r="D21" s="24">
        <f>IF(Metas!B21="","",IFERROR(LOOKUP(9.99E+307,Semanas!$G21:$K21),""))</f>
        <v/>
      </c>
      <c r="E21" s="24">
        <f>IF(Metas!B21="","",IFERROR(LOOKUP(9.99E+307,Semanas!$L21:$O21),""))</f>
        <v/>
      </c>
      <c r="F21" s="24">
        <f>IF(OR(Metas!B21="",NOT(ISNUMBER(E21)),NOT(ISNUMBER(Metas!E21))),"",E21-Metas!E21)</f>
        <v/>
      </c>
      <c r="G21" s="24">
        <f>IF(OR(Metas!B21="",NOT(ISNUMBER(E21)),NOT(ISNUMBER(Metas!F21))),"",Metas!F21-E21)</f>
        <v/>
      </c>
    </row>
    <row r="22">
      <c r="A22" s="23">
        <f>IF(Metas!B22="","",Metas!B22)</f>
        <v/>
      </c>
      <c r="B22" s="24">
        <f>IF(OR(Metas!B22="",NOT(ISNUMBER(Metas!F22))),"",Metas!F22)</f>
        <v/>
      </c>
      <c r="C22" s="24">
        <f>IF(Metas!B22="","",IFERROR(LOOKUP(9.99E+307,Semanas!$C22:$F22),""))</f>
        <v/>
      </c>
      <c r="D22" s="24">
        <f>IF(Metas!B22="","",IFERROR(LOOKUP(9.99E+307,Semanas!$G22:$K22),""))</f>
        <v/>
      </c>
      <c r="E22" s="24">
        <f>IF(Metas!B22="","",IFERROR(LOOKUP(9.99E+307,Semanas!$L22:$O22),""))</f>
        <v/>
      </c>
      <c r="F22" s="24">
        <f>IF(OR(Metas!B22="",NOT(ISNUMBER(E22)),NOT(ISNUMBER(Metas!E22))),"",E22-Metas!E22)</f>
        <v/>
      </c>
      <c r="G22" s="24">
        <f>IF(OR(Metas!B22="",NOT(ISNUMBER(E22)),NOT(ISNUMBER(Metas!F22))),"",Metas!F22-E22)</f>
        <v/>
      </c>
    </row>
    <row r="23">
      <c r="A23" s="23">
        <f>IF(Metas!B23="","",Metas!B23)</f>
        <v/>
      </c>
      <c r="B23" s="24">
        <f>IF(OR(Metas!B23="",NOT(ISNUMBER(Metas!F23))),"",Metas!F23)</f>
        <v/>
      </c>
      <c r="C23" s="24">
        <f>IF(Metas!B23="","",IFERROR(LOOKUP(9.99E+307,Semanas!$C23:$F23),""))</f>
        <v/>
      </c>
      <c r="D23" s="24">
        <f>IF(Metas!B23="","",IFERROR(LOOKUP(9.99E+307,Semanas!$G23:$K23),""))</f>
        <v/>
      </c>
      <c r="E23" s="24">
        <f>IF(Metas!B23="","",IFERROR(LOOKUP(9.99E+307,Semanas!$L23:$O23),""))</f>
        <v/>
      </c>
      <c r="F23" s="24">
        <f>IF(OR(Metas!B23="",NOT(ISNUMBER(E23)),NOT(ISNUMBER(Metas!E23))),"",E23-Metas!E23)</f>
        <v/>
      </c>
      <c r="G23" s="24">
        <f>IF(OR(Metas!B23="",NOT(ISNUMBER(E23)),NOT(ISNUMBER(Metas!F23))),"",Metas!F23-E23)</f>
        <v/>
      </c>
    </row>
    <row r="24">
      <c r="A24" s="23">
        <f>IF(Metas!B24="","",Metas!B24)</f>
        <v/>
      </c>
      <c r="B24" s="24">
        <f>IF(OR(Metas!B24="",NOT(ISNUMBER(Metas!F24))),"",Metas!F24)</f>
        <v/>
      </c>
      <c r="C24" s="24">
        <f>IF(Metas!B24="","",IFERROR(LOOKUP(9.99E+307,Semanas!$C24:$F24),""))</f>
        <v/>
      </c>
      <c r="D24" s="24">
        <f>IF(Metas!B24="","",IFERROR(LOOKUP(9.99E+307,Semanas!$G24:$K24),""))</f>
        <v/>
      </c>
      <c r="E24" s="24">
        <f>IF(Metas!B24="","",IFERROR(LOOKUP(9.99E+307,Semanas!$L24:$O24),""))</f>
        <v/>
      </c>
      <c r="F24" s="24">
        <f>IF(OR(Metas!B24="",NOT(ISNUMBER(E24)),NOT(ISNUMBER(Metas!E24))),"",E24-Metas!E24)</f>
        <v/>
      </c>
      <c r="G24" s="24">
        <f>IF(OR(Metas!B24="",NOT(ISNUMBER(E24)),NOT(ISNUMBER(Metas!F24))),"",Metas!F24-E24)</f>
        <v/>
      </c>
    </row>
    <row r="26">
      <c r="A26" s="6" t="inlineStr">
        <is>
          <t>Mês 1 = semanas 1 a 4; Mês 2 = semanas 5 a 9; Mês 3 = semanas 10 a 13. Mês sem nenhuma semana preenchida fica em branco. "Ganho no trimestre" compara o fechamento do Mês 3 com o ponto de partida da aba Metas.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6:G26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Metas do Trimestre · Kit IA no Trabalho Completo</dc:title>
  <dcterms:created xmlns:dcterms="http://purl.org/dc/terms/" xmlns:xsi="http://www.w3.org/2001/XMLSchema-instance" xsi:type="dcterms:W3CDTF">2026-09-19T15:20:38Z</dcterms:created>
  <dcterms:modified xmlns:dcterms="http://purl.org/dc/terms/" xmlns:xsi="http://www.w3.org/2001/XMLSchema-instance" xsi:type="dcterms:W3CDTF">2026-09-19T15:20:38Z</dcterms:modified>
</cp:coreProperties>
</file>