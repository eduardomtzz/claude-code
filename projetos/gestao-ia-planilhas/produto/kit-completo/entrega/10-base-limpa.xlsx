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Listas" sheetId="2" state="visible" r:id="rId2"/>
    <sheet xmlns:r="http://schemas.openxmlformats.org/officeDocument/2006/relationships" name="Base" sheetId="3" state="visible" r:id="rId3"/>
    <sheet xmlns:r="http://schemas.openxmlformats.org/officeDocument/2006/relationships" name="Checklist" sheetId="4" state="visible" r:id="rId4"/>
    <sheet xmlns:r="http://schemas.openxmlformats.org/officeDocument/2006/relationships" name="Resumo" sheetId="5" state="visible" r:id="rId5"/>
  </sheets>
  <definedNames>
    <definedName name="_xlnm._FilterDatabase" localSheetId="2" hidden="1">'Base'!$A$1:$M$1001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R$&quot; #,##0.00;[Red]-&quot;R$&quot; #,##0.00"/>
    <numFmt numFmtId="166" formatCode="&quot;R$&quot; #,##0;[Red]-&quot;R$&quot; #,##0"/>
  </numFmts>
  <fonts count="12">
    <font>
      <name val="Calibri"/>
      <family val="2"/>
      <color theme="1"/>
      <sz val="11"/>
      <scheme val="minor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FFFFFF"/>
      <sz val="10"/>
    </font>
    <font>
      <name val="Arial"/>
      <color rgb="001F1235"/>
      <sz val="10"/>
    </font>
    <font>
      <name val="Arial"/>
      <b val="1"/>
      <color rgb="003B1F5E"/>
      <sz val="10"/>
    </font>
    <font>
      <name val="Arial"/>
      <b val="1"/>
      <color rgb="003B1F5E"/>
      <sz val="12"/>
    </font>
    <font>
      <name val="Arial"/>
      <b val="1"/>
      <color rgb="003B1F5E"/>
      <sz val="13"/>
    </font>
  </fonts>
  <fills count="4">
    <fill>
      <patternFill/>
    </fill>
    <fill>
      <patternFill patternType="gray125"/>
    </fill>
    <fill>
      <patternFill patternType="solid">
        <fgColor rgb="003B1F5E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3" borderId="1" applyProtection="1" pivotButton="0" quotePrefix="0" xfId="0">
      <protection locked="0" hidden="0"/>
    </xf>
    <xf numFmtId="0" fontId="8" fillId="0" borderId="1" applyAlignment="1" pivotButton="0" quotePrefix="0" xfId="0">
      <alignment horizontal="center"/>
    </xf>
    <xf numFmtId="164" fontId="8" fillId="3" borderId="1" applyAlignment="1" applyProtection="1" pivotButton="0" quotePrefix="0" xfId="0">
      <alignment horizontal="center"/>
      <protection locked="0" hidden="0"/>
    </xf>
    <xf numFmtId="0" fontId="8" fillId="3" borderId="1" applyAlignment="1" applyProtection="1" pivotButton="0" quotePrefix="0" xfId="0">
      <alignment horizontal="center"/>
      <protection locked="0" hidden="0"/>
    </xf>
    <xf numFmtId="1" fontId="8" fillId="3" borderId="1" applyAlignment="1" applyProtection="1" pivotButton="0" quotePrefix="0" xfId="0">
      <alignment horizontal="center"/>
      <protection locked="0" hidden="0"/>
    </xf>
    <xf numFmtId="165" fontId="8" fillId="3" borderId="1" applyProtection="1" pivotButton="0" quotePrefix="0" xfId="0">
      <protection locked="0" hidden="0"/>
    </xf>
    <xf numFmtId="165" fontId="8" fillId="0" borderId="1" applyAlignment="1" pivotButton="0" quotePrefix="0" xfId="0">
      <alignment horizontal="center"/>
    </xf>
    <xf numFmtId="0" fontId="8" fillId="0" borderId="1" pivotButton="0" quotePrefix="0" xfId="0"/>
    <xf numFmtId="0" fontId="8" fillId="0" borderId="1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166" fontId="8" fillId="0" borderId="1" applyAlignment="1" pivotButton="0" quotePrefix="0" xfId="0">
      <alignment horizontal="center"/>
    </xf>
    <xf numFmtId="0" fontId="9" fillId="0" borderId="1" pivotButton="0" quotePrefix="0" xfId="0"/>
    <xf numFmtId="166" fontId="9" fillId="0" borderId="1" applyAlignment="1" pivotButton="0" quotePrefix="0" xfId="0">
      <alignment horizontal="center"/>
    </xf>
    <xf numFmtId="0" fontId="11" fillId="0" borderId="0" pivotButton="0" quotePrefix="0" xfId="0"/>
    <xf numFmtId="164" fontId="8" fillId="0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ont>
        <name val="Arial"/>
        <b val="1"/>
        <color rgb="00155E3C"/>
        <sz val="10"/>
      </font>
      <fill>
        <patternFill patternType="solid">
          <fgColor rgb="00DDF3E7"/>
        </patternFill>
      </fill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Base Limpa</t>
        </is>
      </c>
    </row>
    <row r="2">
      <c r="A2" s="2" t="inlineStr">
        <is>
          <t>Kit IA no Trabalho · Completo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É o modelo de uma base de dados "certa": uma linha por registro, uma coluna por informação, sem células mescladas, sem totais no meio, com listas e validações. É a planilha que ensina a fazer todas as outras, e a que a tabela dinâmica e a IA leem sem erro.</t>
        </is>
      </c>
    </row>
    <row r="5" ht="58" customHeight="1">
      <c r="A5" s="3" t="inlineStr">
        <is>
          <t>As 7 regras</t>
        </is>
      </c>
      <c r="B5" s="4" t="inlineStr">
        <is>
          <t>1. Cabeçalho na linha 1, uma coluna por informação. 2. Uma linha por registro; nada de linhas em branco ou subtotais no meio. 3. Datas como data, números como número, texto como texto. 4. Categorias vêm de lista, não digitadas à mão. 5. Nada mesclado. 6. O que é calculado fica em coluna própria, com fórmula igual do topo ao fim. 7. Os totais e as análises ficam em outra aba.</t>
        </is>
      </c>
    </row>
    <row r="6" ht="46" customHeight="1">
      <c r="A6" s="3" t="inlineStr">
        <is>
          <t>Passo 1</t>
        </is>
      </c>
      <c r="B6" s="4" t="inlineStr">
        <is>
          <t>Na aba Base, apague os exemplos e cole os seus dados respeitando o cabeçalho. Troque os nomes das colunas para o seu caso; mantenha uma informação por coluna.</t>
        </is>
      </c>
    </row>
    <row r="7" ht="46" customHeight="1">
      <c r="A7" s="3" t="inlineStr">
        <is>
          <t>Passo 2</t>
        </is>
      </c>
      <c r="B7" s="4" t="inlineStr">
        <is>
          <t>Use a aba Listas para as categorias. Cada coluna de categoria da Base aponta para uma lista; assim ninguém escreve "marketing", "Marketing" e "MKT" como três coisas diferentes.</t>
        </is>
      </c>
    </row>
    <row r="8" ht="72" customHeight="1">
      <c r="A8" s="3" t="inlineStr">
        <is>
          <t>Passo 3</t>
        </is>
      </c>
      <c r="B8" s="4" t="inlineStr">
        <is>
          <t>Rode o Checklist de limpeza. Ele mostra quantas linhas estão preenchidas e conta: linhas com data mas sem valor; linhas com valor mas sem data; datas fora do intervalo (antes de 2020 ou no futuro); categorias fora da lista; clientes fora da lista; status em branco; quantidade zero ou em branco; e possíveis lançamentos em dobro (mesmo dia, cliente, descrição e valor). O último item, células mescladas, você confere à mão. Tudo OK, a base está pronta.</t>
        </is>
      </c>
    </row>
    <row r="9" ht="46" customHeight="1">
      <c r="A9" s="3" t="inlineStr">
        <is>
          <t>Passo 4</t>
        </is>
      </c>
      <c r="B9" s="4" t="inlineStr">
        <is>
          <t>Na aba Resumo, o exemplo de análise por categoria e mês feito só com SOMASES e CONT.SES. A aula 2 mostra como montar a tabela dinâmica a partir desta Base.</t>
        </is>
      </c>
    </row>
    <row r="10" ht="46" customHeight="1">
      <c r="A10" s="3" t="inlineStr">
        <is>
          <t>Com a IA</t>
        </is>
      </c>
      <c r="B10" s="4" t="inlineStr">
        <is>
          <t>Copie 20 a 30 linhas da Base (sem dados pessoais) e use "Estruturar 03: desenhar as colunas" para adaptar ao seu caso, ou "Analisar 08: resumo executivo de uma tabela grande".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</t>
        </is>
      </c>
    </row>
    <row r="12" ht="46" customHeight="1">
      <c r="A12" s="3" t="inlineStr">
        <is>
          <t>Proteção</t>
        </is>
      </c>
      <c r="B12" s="4" t="inlineStr">
        <is>
          <t>Todas as abas são protegidas sem senha. Na Base e nas Listas as células amarelas seguem livres para digitar e colar; o que está bloqueado são as 4.000 fórmulas das colunas calculadas, para uma colagem não apagá-las sem você perceber. Para editar o resto: Revisar &gt; Desproteger planilha (Excel) ou Dados &gt; Proteger intervalos (Google Sheets).</t>
        </is>
      </c>
    </row>
    <row r="13" ht="46" customHeight="1">
      <c r="A13" s="3" t="inlineStr">
        <is>
          <t>Google Sheets</t>
        </is>
      </c>
      <c r="B13" s="4" t="inlineStr">
        <is>
          <t>Faça upload no Google Drive e abra com o Google Sheets. Para a tabela dinâmica: Inserir &gt; Tabela dinâmica, selecionando a aba Base inteira.</t>
        </is>
      </c>
    </row>
    <row r="14" ht="46" customHeight="1">
      <c r="A14" s="3" t="inlineStr">
        <is>
          <t>Exemplos</t>
        </is>
      </c>
      <c r="B14" s="4" t="inlineStr">
        <is>
          <t>Prisma Comunicação é uma empresa fictícia. Os dados são inventados.</t>
        </is>
      </c>
    </row>
    <row r="15" ht="46" customHeight="1">
      <c r="A15" s="3" t="inlineStr">
        <is>
          <t>Suporte</t>
        </is>
      </c>
      <c r="B15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4" customWidth="1" min="4" max="4"/>
    <col width="22" customWidth="1" min="5" max="5"/>
  </cols>
  <sheetData>
    <row r="1">
      <c r="A1" s="5" t="inlineStr">
        <is>
          <t>Listas</t>
        </is>
      </c>
    </row>
    <row r="2">
      <c r="A2" s="6" t="inlineStr">
        <is>
          <t>Cada coluna é uma lista usada pela Base. Mude à vontade; adicione linhas abaixo.</t>
        </is>
      </c>
    </row>
    <row r="4" ht="26" customHeight="1">
      <c r="A4" s="7" t="inlineStr">
        <is>
          <t>Categoria</t>
        </is>
      </c>
      <c r="B4" s="7" t="inlineStr">
        <is>
          <t>Canal</t>
        </is>
      </c>
      <c r="C4" s="7" t="inlineStr">
        <is>
          <t>Responsável</t>
        </is>
      </c>
      <c r="D4" s="7" t="inlineStr">
        <is>
          <t>Status</t>
        </is>
      </c>
      <c r="E4" s="7" t="inlineStr">
        <is>
          <t>Cliente</t>
        </is>
      </c>
    </row>
    <row r="5">
      <c r="A5" s="8" t="inlineStr">
        <is>
          <t>Serviço</t>
        </is>
      </c>
      <c r="B5" s="8" t="inlineStr">
        <is>
          <t>Indicação</t>
        </is>
      </c>
      <c r="C5" s="8" t="inlineStr">
        <is>
          <t>Ana</t>
        </is>
      </c>
      <c r="D5" s="8" t="inlineStr">
        <is>
          <t>Pago</t>
        </is>
      </c>
      <c r="E5" s="8" t="inlineStr">
        <is>
          <t>Loja Verde</t>
        </is>
      </c>
    </row>
    <row r="6">
      <c r="A6" s="8" t="inlineStr">
        <is>
          <t>Produto</t>
        </is>
      </c>
      <c r="B6" s="8" t="inlineStr">
        <is>
          <t>Instagram</t>
        </is>
      </c>
      <c r="C6" s="8" t="inlineStr">
        <is>
          <t>Bruno</t>
        </is>
      </c>
      <c r="D6" s="8" t="inlineStr">
        <is>
          <t>Em aberto</t>
        </is>
      </c>
      <c r="E6" s="8" t="inlineStr">
        <is>
          <t>Bistrô 42</t>
        </is>
      </c>
    </row>
    <row r="7">
      <c r="A7" s="8" t="inlineStr">
        <is>
          <t>Reembolso</t>
        </is>
      </c>
      <c r="B7" s="8" t="inlineStr">
        <is>
          <t>Site</t>
        </is>
      </c>
      <c r="C7" s="8" t="inlineStr">
        <is>
          <t>Carla</t>
        </is>
      </c>
      <c r="D7" s="8" t="inlineStr">
        <is>
          <t>Cancelado</t>
        </is>
      </c>
      <c r="E7" s="8" t="inlineStr">
        <is>
          <t>Horizonte</t>
        </is>
      </c>
    </row>
    <row r="8">
      <c r="A8" s="8" t="inlineStr">
        <is>
          <t>Ajuste</t>
        </is>
      </c>
      <c r="B8" s="8" t="inlineStr">
        <is>
          <t>Evento</t>
        </is>
      </c>
      <c r="C8" s="8" t="inlineStr">
        <is>
          <t>Diego</t>
        </is>
      </c>
      <c r="D8" s="8" t="n"/>
      <c r="E8" s="8" t="inlineStr">
        <is>
          <t>Padaria do Sol</t>
        </is>
      </c>
    </row>
    <row r="9">
      <c r="A9" s="8" t="n"/>
      <c r="B9" s="8" t="inlineStr">
        <is>
          <t>Cliente antigo</t>
        </is>
      </c>
      <c r="C9" s="8" t="n"/>
      <c r="D9" s="8" t="n"/>
      <c r="E9" s="8" t="inlineStr">
        <is>
          <t>Clínica Bem-Estar</t>
        </is>
      </c>
    </row>
    <row r="10">
      <c r="A10" s="8" t="n"/>
      <c r="B10" s="8" t="n"/>
      <c r="C10" s="8" t="n"/>
      <c r="D10" s="8" t="n"/>
      <c r="E10" s="8" t="inlineStr">
        <is>
          <t>Aurora Móveis</t>
        </is>
      </c>
    </row>
    <row r="11">
      <c r="A11" s="8" t="n"/>
      <c r="B11" s="8" t="n"/>
      <c r="C11" s="8" t="n"/>
      <c r="D11" s="8" t="n"/>
      <c r="E11" s="8" t="inlineStr">
        <is>
          <t>Café Central</t>
        </is>
      </c>
    </row>
    <row r="12">
      <c r="A12" s="8" t="n"/>
      <c r="B12" s="8" t="n"/>
      <c r="C12" s="8" t="n"/>
      <c r="D12" s="8" t="n"/>
      <c r="E12" s="8" t="inlineStr">
        <is>
          <t>Escola Nova Era</t>
        </is>
      </c>
    </row>
    <row r="13">
      <c r="A13" s="8" t="n"/>
      <c r="B13" s="8" t="n"/>
      <c r="C13" s="8" t="n"/>
      <c r="D13" s="8" t="n"/>
      <c r="E13" s="8" t="n"/>
    </row>
    <row r="14">
      <c r="A14" s="8" t="n"/>
      <c r="B14" s="8" t="n"/>
      <c r="C14" s="8" t="n"/>
      <c r="D14" s="8" t="n"/>
      <c r="E14" s="8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8" t="n"/>
      <c r="B19" s="8" t="n"/>
      <c r="C19" s="8" t="n"/>
      <c r="D19" s="8" t="n"/>
      <c r="E19" s="8" t="n"/>
    </row>
    <row r="20">
      <c r="A20" s="8" t="n"/>
      <c r="B20" s="8" t="n"/>
      <c r="C20" s="8" t="n"/>
      <c r="D20" s="8" t="n"/>
      <c r="E20" s="8" t="n"/>
    </row>
    <row r="21">
      <c r="A21" s="8" t="n"/>
      <c r="B21" s="8" t="n"/>
      <c r="C21" s="8" t="n"/>
      <c r="D21" s="8" t="n"/>
      <c r="E21" s="8" t="n"/>
    </row>
    <row r="22">
      <c r="A22" s="8" t="n"/>
      <c r="B22" s="8" t="n"/>
      <c r="C22" s="8" t="n"/>
      <c r="D22" s="8" t="n"/>
      <c r="E22" s="8" t="n"/>
    </row>
    <row r="23">
      <c r="A23" s="8" t="n"/>
      <c r="B23" s="8" t="n"/>
      <c r="C23" s="8" t="n"/>
      <c r="D23" s="8" t="n"/>
      <c r="E23" s="8" t="n"/>
    </row>
    <row r="24">
      <c r="A24" s="8" t="n"/>
      <c r="B24" s="8" t="n"/>
      <c r="C24" s="8" t="n"/>
      <c r="D24" s="8" t="n"/>
      <c r="E24" s="8" t="n"/>
    </row>
    <row r="25">
      <c r="A25" s="8" t="n"/>
      <c r="B25" s="8" t="n"/>
      <c r="C25" s="8" t="n"/>
      <c r="D25" s="8" t="n"/>
      <c r="E25" s="8" t="n"/>
    </row>
    <row r="26">
      <c r="A26" s="8" t="n"/>
      <c r="B26" s="8" t="n"/>
      <c r="C26" s="8" t="n"/>
      <c r="D26" s="8" t="n"/>
      <c r="E26" s="8" t="n"/>
    </row>
    <row r="27">
      <c r="A27" s="8" t="n"/>
      <c r="B27" s="8" t="n"/>
      <c r="C27" s="8" t="n"/>
      <c r="D27" s="8" t="n"/>
      <c r="E27" s="8" t="n"/>
    </row>
    <row r="28">
      <c r="A28" s="8" t="n"/>
      <c r="B28" s="8" t="n"/>
      <c r="C28" s="8" t="n"/>
      <c r="D28" s="8" t="n"/>
      <c r="E28" s="8" t="n"/>
    </row>
    <row r="29">
      <c r="A29" s="8" t="n"/>
      <c r="B29" s="8" t="n"/>
      <c r="C29" s="8" t="n"/>
      <c r="D29" s="8" t="n"/>
      <c r="E29" s="8" t="n"/>
    </row>
    <row r="30">
      <c r="A30" s="8" t="n"/>
      <c r="B30" s="8" t="n"/>
      <c r="C30" s="8" t="n"/>
      <c r="D30" s="8" t="n"/>
      <c r="E30" s="8" t="n"/>
    </row>
    <row r="31">
      <c r="A31" s="8" t="n"/>
      <c r="B31" s="8" t="n"/>
      <c r="C31" s="8" t="n"/>
      <c r="D31" s="8" t="n"/>
      <c r="E31" s="8" t="n"/>
    </row>
    <row r="32">
      <c r="A32" s="8" t="n"/>
      <c r="B32" s="8" t="n"/>
      <c r="C32" s="8" t="n"/>
      <c r="D32" s="8" t="n"/>
      <c r="E32" s="8" t="n"/>
    </row>
    <row r="33">
      <c r="A33" s="8" t="n"/>
      <c r="B33" s="8" t="n"/>
      <c r="C33" s="8" t="n"/>
      <c r="D33" s="8" t="n"/>
      <c r="E33" s="8" t="n"/>
    </row>
    <row r="34">
      <c r="A34" s="8" t="n"/>
      <c r="B34" s="8" t="n"/>
      <c r="C34" s="8" t="n"/>
      <c r="D34" s="8" t="n"/>
      <c r="E34" s="8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12" customWidth="1" min="4" max="4"/>
    <col width="14" customWidth="1" min="5" max="5"/>
    <col width="14" customWidth="1" min="6" max="6"/>
    <col width="34" customWidth="1" min="7" max="7"/>
    <col width="11" customWidth="1" min="8" max="8"/>
    <col width="14" customWidth="1" min="9" max="9"/>
    <col width="14" customWidth="1" min="10" max="10"/>
    <col width="12" customWidth="1" min="11" max="11"/>
    <col width="6" customWidth="1" min="12" max="12"/>
    <col width="7" customWidth="1" min="13" max="13"/>
  </cols>
  <sheetData>
    <row r="1" ht="22" customHeight="1">
      <c r="A1" s="7" t="inlineStr">
        <is>
          <t>ID</t>
        </is>
      </c>
      <c r="B1" s="7" t="inlineStr">
        <is>
          <t>Data</t>
        </is>
      </c>
      <c r="C1" s="7" t="inlineStr">
        <is>
          <t>Cliente</t>
        </is>
      </c>
      <c r="D1" s="7" t="inlineStr">
        <is>
          <t>Categoria</t>
        </is>
      </c>
      <c r="E1" s="7" t="inlineStr">
        <is>
          <t>Canal</t>
        </is>
      </c>
      <c r="F1" s="7" t="inlineStr">
        <is>
          <t>Responsável</t>
        </is>
      </c>
      <c r="G1" s="7" t="inlineStr">
        <is>
          <t>Descrição</t>
        </is>
      </c>
      <c r="H1" s="7" t="inlineStr">
        <is>
          <t>Quantidade</t>
        </is>
      </c>
      <c r="I1" s="7" t="inlineStr">
        <is>
          <t>Valor unitário</t>
        </is>
      </c>
      <c r="J1" s="7" t="inlineStr">
        <is>
          <t>Valor total</t>
        </is>
      </c>
      <c r="K1" s="7" t="inlineStr">
        <is>
          <t>Status</t>
        </is>
      </c>
      <c r="L1" s="7" t="inlineStr">
        <is>
          <t>Mês</t>
        </is>
      </c>
      <c r="M1" s="7" t="inlineStr">
        <is>
          <t>Ano</t>
        </is>
      </c>
    </row>
    <row r="2">
      <c r="A2" s="9">
        <f>IF(B2="","",ROW()-1)</f>
        <v>1</v>
      </c>
      <c r="B2" s="10" t="n">
        <v>46023</v>
      </c>
      <c r="C2" s="11" t="inlineStr">
        <is>
          <t>Loja Verde</t>
        </is>
      </c>
      <c r="D2" s="11" t="inlineStr">
        <is>
          <t>Serviço</t>
        </is>
      </c>
      <c r="E2" s="11" t="inlineStr">
        <is>
          <t>Evento</t>
        </is>
      </c>
      <c r="F2" s="11" t="inlineStr">
        <is>
          <t>Ana</t>
        </is>
      </c>
      <c r="G2" s="8" t="inlineStr">
        <is>
          <t>Layout de página</t>
        </is>
      </c>
      <c r="H2" s="12" t="n">
        <v>2</v>
      </c>
      <c r="I2" s="13" t="n">
        <v>2400</v>
      </c>
      <c r="J2" s="14">
        <f>IF(OR(H2="",I2=""),"",H2*I2)</f>
        <v>4800</v>
      </c>
      <c r="K2" s="11" t="inlineStr">
        <is>
          <t>Pago</t>
        </is>
      </c>
      <c r="L2" s="9">
        <f>IF(B2="","",MONTH(B2))</f>
        <v>1</v>
      </c>
      <c r="M2" s="9">
        <f>IF(B2="","",YEAR(B2))</f>
        <v>2026</v>
      </c>
    </row>
    <row r="3">
      <c r="A3" s="9">
        <f>IF(B3="","",ROW()-1)</f>
        <v>2</v>
      </c>
      <c r="B3" s="10" t="n">
        <v>46024</v>
      </c>
      <c r="C3" s="11" t="inlineStr">
        <is>
          <t>Café Central</t>
        </is>
      </c>
      <c r="D3" s="11" t="inlineStr">
        <is>
          <t>Serviço</t>
        </is>
      </c>
      <c r="E3" s="11" t="inlineStr">
        <is>
          <t>Indicação</t>
        </is>
      </c>
      <c r="F3" s="11" t="inlineStr">
        <is>
          <t>Diego</t>
        </is>
      </c>
      <c r="G3" s="8" t="inlineStr">
        <is>
          <t>Layout de página</t>
        </is>
      </c>
      <c r="H3" s="12" t="n">
        <v>1</v>
      </c>
      <c r="I3" s="13" t="n">
        <v>1200</v>
      </c>
      <c r="J3" s="14">
        <f>IF(OR(H3="",I3=""),"",H3*I3)</f>
        <v>1200</v>
      </c>
      <c r="K3" s="11" t="inlineStr">
        <is>
          <t>Pago</t>
        </is>
      </c>
      <c r="L3" s="9">
        <f>IF(B3="","",MONTH(B3))</f>
        <v>1</v>
      </c>
      <c r="M3" s="9">
        <f>IF(B3="","",YEAR(B3))</f>
        <v>2026</v>
      </c>
    </row>
    <row r="4">
      <c r="A4" s="9">
        <f>IF(B4="","",ROW()-1)</f>
        <v>3</v>
      </c>
      <c r="B4" s="10" t="n">
        <v>46024</v>
      </c>
      <c r="C4" s="11" t="inlineStr">
        <is>
          <t>Bistrô 42</t>
        </is>
      </c>
      <c r="D4" s="11" t="inlineStr">
        <is>
          <t>Serviço</t>
        </is>
      </c>
      <c r="E4" s="11" t="inlineStr">
        <is>
          <t>Instagram</t>
        </is>
      </c>
      <c r="F4" s="11" t="inlineStr">
        <is>
          <t>Diego</t>
        </is>
      </c>
      <c r="G4" s="8" t="inlineStr">
        <is>
          <t>Diagramação</t>
        </is>
      </c>
      <c r="H4" s="12" t="n">
        <v>1</v>
      </c>
      <c r="I4" s="13" t="n">
        <v>2400</v>
      </c>
      <c r="J4" s="14">
        <f>IF(OR(H4="",I4=""),"",H4*I4)</f>
        <v>2400</v>
      </c>
      <c r="K4" s="11" t="inlineStr">
        <is>
          <t>Em aberto</t>
        </is>
      </c>
      <c r="L4" s="9">
        <f>IF(B4="","",MONTH(B4))</f>
        <v>1</v>
      </c>
      <c r="M4" s="9">
        <f>IF(B4="","",YEAR(B4))</f>
        <v>2026</v>
      </c>
    </row>
    <row r="5">
      <c r="A5" s="9">
        <f>IF(B5="","",ROW()-1)</f>
        <v>4</v>
      </c>
      <c r="B5" s="10" t="n">
        <v>46027</v>
      </c>
      <c r="C5" s="11" t="inlineStr">
        <is>
          <t>Café Central</t>
        </is>
      </c>
      <c r="D5" s="11" t="inlineStr">
        <is>
          <t>Serviço</t>
        </is>
      </c>
      <c r="E5" s="11" t="inlineStr">
        <is>
          <t>Indicação</t>
        </is>
      </c>
      <c r="F5" s="11" t="inlineStr">
        <is>
          <t>Diego</t>
        </is>
      </c>
      <c r="G5" s="8" t="inlineStr">
        <is>
          <t>Vídeo curto</t>
        </is>
      </c>
      <c r="H5" s="12" t="n">
        <v>3</v>
      </c>
      <c r="I5" s="13" t="n">
        <v>2400</v>
      </c>
      <c r="J5" s="14">
        <f>IF(OR(H5="",I5=""),"",H5*I5)</f>
        <v>7200</v>
      </c>
      <c r="K5" s="11" t="inlineStr">
        <is>
          <t>Pago</t>
        </is>
      </c>
      <c r="L5" s="9">
        <f>IF(B5="","",MONTH(B5))</f>
        <v>1</v>
      </c>
      <c r="M5" s="9">
        <f>IF(B5="","",YEAR(B5))</f>
        <v>2026</v>
      </c>
    </row>
    <row r="6">
      <c r="A6" s="9">
        <f>IF(B6="","",ROW()-1)</f>
        <v>5</v>
      </c>
      <c r="B6" s="10" t="n">
        <v>46029</v>
      </c>
      <c r="C6" s="11" t="inlineStr">
        <is>
          <t>Clínica Bem-Estar</t>
        </is>
      </c>
      <c r="D6" s="11" t="inlineStr">
        <is>
          <t>Reembolso</t>
        </is>
      </c>
      <c r="E6" s="11" t="inlineStr">
        <is>
          <t>Evento</t>
        </is>
      </c>
      <c r="F6" s="11" t="inlineStr">
        <is>
          <t>Ana</t>
        </is>
      </c>
      <c r="G6" s="8" t="inlineStr">
        <is>
          <t>Estorno parcial</t>
        </is>
      </c>
      <c r="H6" s="12" t="n">
        <v>1</v>
      </c>
      <c r="I6" s="13" t="n">
        <v>-200</v>
      </c>
      <c r="J6" s="14">
        <f>IF(OR(H6="",I6=""),"",H6*I6)</f>
        <v>-200</v>
      </c>
      <c r="K6" s="11" t="inlineStr">
        <is>
          <t>Em aberto</t>
        </is>
      </c>
      <c r="L6" s="9">
        <f>IF(B6="","",MONTH(B6))</f>
        <v>1</v>
      </c>
      <c r="M6" s="9">
        <f>IF(B6="","",YEAR(B6))</f>
        <v>2026</v>
      </c>
    </row>
    <row r="7">
      <c r="A7" s="9">
        <f>IF(B7="","",ROW()-1)</f>
        <v>6</v>
      </c>
      <c r="B7" s="10" t="n">
        <v>46032</v>
      </c>
      <c r="C7" s="11" t="inlineStr">
        <is>
          <t>Escola Nova Era</t>
        </is>
      </c>
      <c r="D7" s="11" t="inlineStr">
        <is>
          <t>Produto</t>
        </is>
      </c>
      <c r="E7" s="11" t="inlineStr">
        <is>
          <t>Instagram</t>
        </is>
      </c>
      <c r="F7" s="11" t="inlineStr">
        <is>
          <t>Ana</t>
        </is>
      </c>
      <c r="G7" s="8" t="inlineStr">
        <is>
          <t>Pacote de ícones</t>
        </is>
      </c>
      <c r="H7" s="12" t="n">
        <v>2</v>
      </c>
      <c r="I7" s="13" t="n">
        <v>149</v>
      </c>
      <c r="J7" s="14">
        <f>IF(OR(H7="",I7=""),"",H7*I7)</f>
        <v>298</v>
      </c>
      <c r="K7" s="11" t="inlineStr">
        <is>
          <t>Em aberto</t>
        </is>
      </c>
      <c r="L7" s="9">
        <f>IF(B7="","",MONTH(B7))</f>
        <v>1</v>
      </c>
      <c r="M7" s="9">
        <f>IF(B7="","",YEAR(B7))</f>
        <v>2026</v>
      </c>
    </row>
    <row r="8">
      <c r="A8" s="9">
        <f>IF(B8="","",ROW()-1)</f>
        <v>7</v>
      </c>
      <c r="B8" s="10" t="n">
        <v>46035</v>
      </c>
      <c r="C8" s="11" t="inlineStr">
        <is>
          <t>Horizonte</t>
        </is>
      </c>
      <c r="D8" s="11" t="inlineStr">
        <is>
          <t>Serviço</t>
        </is>
      </c>
      <c r="E8" s="11" t="inlineStr">
        <is>
          <t>Evento</t>
        </is>
      </c>
      <c r="F8" s="11" t="inlineStr">
        <is>
          <t>Carla</t>
        </is>
      </c>
      <c r="G8" s="8" t="inlineStr">
        <is>
          <t>Consultoria de marca</t>
        </is>
      </c>
      <c r="H8" s="12" t="n">
        <v>1</v>
      </c>
      <c r="I8" s="13" t="n">
        <v>3200</v>
      </c>
      <c r="J8" s="14">
        <f>IF(OR(H8="",I8=""),"",H8*I8)</f>
        <v>3200</v>
      </c>
      <c r="K8" s="11" t="inlineStr">
        <is>
          <t>Pago</t>
        </is>
      </c>
      <c r="L8" s="9">
        <f>IF(B8="","",MONTH(B8))</f>
        <v>1</v>
      </c>
      <c r="M8" s="9">
        <f>IF(B8="","",YEAR(B8))</f>
        <v>2026</v>
      </c>
    </row>
    <row r="9">
      <c r="A9" s="9">
        <f>IF(B9="","",ROW()-1)</f>
        <v>8</v>
      </c>
      <c r="B9" s="10" t="n">
        <v>46036</v>
      </c>
      <c r="C9" s="11" t="inlineStr">
        <is>
          <t>Bistrô 42</t>
        </is>
      </c>
      <c r="D9" s="11" t="inlineStr">
        <is>
          <t>Serviço</t>
        </is>
      </c>
      <c r="E9" s="11" t="inlineStr">
        <is>
          <t>Indicação</t>
        </is>
      </c>
      <c r="F9" s="11" t="inlineStr">
        <is>
          <t>Bruno</t>
        </is>
      </c>
      <c r="G9" s="8" t="inlineStr">
        <is>
          <t>Vídeo curto</t>
        </is>
      </c>
      <c r="H9" s="12" t="n">
        <v>2</v>
      </c>
      <c r="I9" s="13" t="n">
        <v>800</v>
      </c>
      <c r="J9" s="14">
        <f>IF(OR(H9="",I9=""),"",H9*I9)</f>
        <v>1600</v>
      </c>
      <c r="K9" s="11" t="inlineStr">
        <is>
          <t>Pago</t>
        </is>
      </c>
      <c r="L9" s="9">
        <f>IF(B9="","",MONTH(B9))</f>
        <v>1</v>
      </c>
      <c r="M9" s="9">
        <f>IF(B9="","",YEAR(B9))</f>
        <v>2026</v>
      </c>
    </row>
    <row r="10">
      <c r="A10" s="9">
        <f>IF(B10="","",ROW()-1)</f>
        <v>9</v>
      </c>
      <c r="B10" s="10" t="n">
        <v>46036</v>
      </c>
      <c r="C10" s="11" t="inlineStr">
        <is>
          <t>Padaria do Sol</t>
        </is>
      </c>
      <c r="D10" s="11" t="inlineStr">
        <is>
          <t>Serviço</t>
        </is>
      </c>
      <c r="E10" s="11" t="inlineStr">
        <is>
          <t>Evento</t>
        </is>
      </c>
      <c r="F10" s="11" t="inlineStr">
        <is>
          <t>Diego</t>
        </is>
      </c>
      <c r="G10" s="8" t="inlineStr">
        <is>
          <t>Vídeo curto</t>
        </is>
      </c>
      <c r="H10" s="12" t="n">
        <v>3</v>
      </c>
      <c r="I10" s="13" t="n">
        <v>1200</v>
      </c>
      <c r="J10" s="14">
        <f>IF(OR(H10="",I10=""),"",H10*I10)</f>
        <v>3600</v>
      </c>
      <c r="K10" s="11" t="inlineStr">
        <is>
          <t>Em aberto</t>
        </is>
      </c>
      <c r="L10" s="9">
        <f>IF(B10="","",MONTH(B10))</f>
        <v>1</v>
      </c>
      <c r="M10" s="9">
        <f>IF(B10="","",YEAR(B10))</f>
        <v>2026</v>
      </c>
    </row>
    <row r="11">
      <c r="A11" s="9">
        <f>IF(B11="","",ROW()-1)</f>
        <v>10</v>
      </c>
      <c r="B11" s="10" t="n">
        <v>46037</v>
      </c>
      <c r="C11" s="11" t="inlineStr">
        <is>
          <t>Loja Verde</t>
        </is>
      </c>
      <c r="D11" s="11" t="inlineStr">
        <is>
          <t>Serviço</t>
        </is>
      </c>
      <c r="E11" s="11" t="inlineStr">
        <is>
          <t>Instagram</t>
        </is>
      </c>
      <c r="F11" s="11" t="inlineStr">
        <is>
          <t>Diego</t>
        </is>
      </c>
      <c r="G11" s="8" t="inlineStr">
        <is>
          <t>Layout de página</t>
        </is>
      </c>
      <c r="H11" s="12" t="n">
        <v>1</v>
      </c>
      <c r="I11" s="13" t="n">
        <v>1200</v>
      </c>
      <c r="J11" s="14">
        <f>IF(OR(H11="",I11=""),"",H11*I11)</f>
        <v>1200</v>
      </c>
      <c r="K11" s="11" t="inlineStr">
        <is>
          <t>Pago</t>
        </is>
      </c>
      <c r="L11" s="9">
        <f>IF(B11="","",MONTH(B11))</f>
        <v>1</v>
      </c>
      <c r="M11" s="9">
        <f>IF(B11="","",YEAR(B11))</f>
        <v>2026</v>
      </c>
    </row>
    <row r="12">
      <c r="A12" s="9">
        <f>IF(B12="","",ROW()-1)</f>
        <v>11</v>
      </c>
      <c r="B12" s="10" t="n">
        <v>46038</v>
      </c>
      <c r="C12" s="11" t="inlineStr">
        <is>
          <t>Bistrô 42</t>
        </is>
      </c>
      <c r="D12" s="11" t="inlineStr">
        <is>
          <t>Serviço</t>
        </is>
      </c>
      <c r="E12" s="11" t="inlineStr">
        <is>
          <t>Indicação</t>
        </is>
      </c>
      <c r="F12" s="11" t="inlineStr">
        <is>
          <t>Diego</t>
        </is>
      </c>
      <c r="G12" s="8" t="inlineStr">
        <is>
          <t>Layout de página</t>
        </is>
      </c>
      <c r="H12" s="12" t="n">
        <v>2</v>
      </c>
      <c r="I12" s="13" t="n">
        <v>800</v>
      </c>
      <c r="J12" s="14">
        <f>IF(OR(H12="",I12=""),"",H12*I12)</f>
        <v>1600</v>
      </c>
      <c r="K12" s="11" t="inlineStr">
        <is>
          <t>Pago</t>
        </is>
      </c>
      <c r="L12" s="9">
        <f>IF(B12="","",MONTH(B12))</f>
        <v>1</v>
      </c>
      <c r="M12" s="9">
        <f>IF(B12="","",YEAR(B12))</f>
        <v>2026</v>
      </c>
    </row>
    <row r="13">
      <c r="A13" s="9">
        <f>IF(B13="","",ROW()-1)</f>
        <v>12</v>
      </c>
      <c r="B13" s="10" t="n">
        <v>46038</v>
      </c>
      <c r="C13" s="11" t="inlineStr">
        <is>
          <t>Aurora Móveis</t>
        </is>
      </c>
      <c r="D13" s="11" t="inlineStr">
        <is>
          <t>Serviço</t>
        </is>
      </c>
      <c r="E13" s="11" t="inlineStr">
        <is>
          <t>Instagram</t>
        </is>
      </c>
      <c r="F13" s="11" t="inlineStr">
        <is>
          <t>Bruno</t>
        </is>
      </c>
      <c r="G13" s="8" t="inlineStr">
        <is>
          <t>Consultoria de marca</t>
        </is>
      </c>
      <c r="H13" s="12" t="n">
        <v>2</v>
      </c>
      <c r="I13" s="13" t="n">
        <v>800</v>
      </c>
      <c r="J13" s="14">
        <f>IF(OR(H13="",I13=""),"",H13*I13)</f>
        <v>1600</v>
      </c>
      <c r="K13" s="11" t="inlineStr">
        <is>
          <t>Pago</t>
        </is>
      </c>
      <c r="L13" s="9">
        <f>IF(B13="","",MONTH(B13))</f>
        <v>1</v>
      </c>
      <c r="M13" s="9">
        <f>IF(B13="","",YEAR(B13))</f>
        <v>2026</v>
      </c>
    </row>
    <row r="14">
      <c r="A14" s="9">
        <f>IF(B14="","",ROW()-1)</f>
        <v>13</v>
      </c>
      <c r="B14" s="10" t="n">
        <v>46038</v>
      </c>
      <c r="C14" s="11" t="inlineStr">
        <is>
          <t>Bistrô 42</t>
        </is>
      </c>
      <c r="D14" s="11" t="inlineStr">
        <is>
          <t>Serviço</t>
        </is>
      </c>
      <c r="E14" s="11" t="inlineStr">
        <is>
          <t>Evento</t>
        </is>
      </c>
      <c r="F14" s="11" t="inlineStr">
        <is>
          <t>Bruno</t>
        </is>
      </c>
      <c r="G14" s="8" t="inlineStr">
        <is>
          <t>Consultoria de marca</t>
        </is>
      </c>
      <c r="H14" s="12" t="n">
        <v>1</v>
      </c>
      <c r="I14" s="13" t="n">
        <v>800</v>
      </c>
      <c r="J14" s="14">
        <f>IF(OR(H14="",I14=""),"",H14*I14)</f>
        <v>800</v>
      </c>
      <c r="K14" s="11" t="inlineStr">
        <is>
          <t>Pago</t>
        </is>
      </c>
      <c r="L14" s="9">
        <f>IF(B14="","",MONTH(B14))</f>
        <v>1</v>
      </c>
      <c r="M14" s="9">
        <f>IF(B14="","",YEAR(B14))</f>
        <v>2026</v>
      </c>
    </row>
    <row r="15">
      <c r="A15" s="9">
        <f>IF(B15="","",ROW()-1)</f>
        <v>14</v>
      </c>
      <c r="B15" s="10" t="n">
        <v>46041</v>
      </c>
      <c r="C15" s="11" t="inlineStr">
        <is>
          <t>Café Central</t>
        </is>
      </c>
      <c r="D15" s="11" t="inlineStr">
        <is>
          <t>Serviço</t>
        </is>
      </c>
      <c r="E15" s="11" t="inlineStr">
        <is>
          <t>Evento</t>
        </is>
      </c>
      <c r="F15" s="11" t="inlineStr">
        <is>
          <t>Diego</t>
        </is>
      </c>
      <c r="G15" s="8" t="inlineStr">
        <is>
          <t>Consultoria de marca</t>
        </is>
      </c>
      <c r="H15" s="12" t="n">
        <v>1</v>
      </c>
      <c r="I15" s="13" t="n">
        <v>3200</v>
      </c>
      <c r="J15" s="14">
        <f>IF(OR(H15="",I15=""),"",H15*I15)</f>
        <v>3200</v>
      </c>
      <c r="K15" s="11" t="inlineStr">
        <is>
          <t>Pago</t>
        </is>
      </c>
      <c r="L15" s="9">
        <f>IF(B15="","",MONTH(B15))</f>
        <v>1</v>
      </c>
      <c r="M15" s="9">
        <f>IF(B15="","",YEAR(B15))</f>
        <v>2026</v>
      </c>
    </row>
    <row r="16">
      <c r="A16" s="9">
        <f>IF(B16="","",ROW()-1)</f>
        <v>15</v>
      </c>
      <c r="B16" s="10" t="n">
        <v>46041</v>
      </c>
      <c r="C16" s="11" t="inlineStr">
        <is>
          <t>Horizonte</t>
        </is>
      </c>
      <c r="D16" s="11" t="inlineStr">
        <is>
          <t>Serviço</t>
        </is>
      </c>
      <c r="E16" s="11" t="inlineStr">
        <is>
          <t>Site</t>
        </is>
      </c>
      <c r="F16" s="11" t="inlineStr">
        <is>
          <t>Bruno</t>
        </is>
      </c>
      <c r="G16" s="8" t="inlineStr">
        <is>
          <t>Consultoria de marca</t>
        </is>
      </c>
      <c r="H16" s="12" t="n">
        <v>2</v>
      </c>
      <c r="I16" s="13" t="n">
        <v>2400</v>
      </c>
      <c r="J16" s="14">
        <f>IF(OR(H16="",I16=""),"",H16*I16)</f>
        <v>4800</v>
      </c>
      <c r="K16" s="11" t="inlineStr">
        <is>
          <t>Pago</t>
        </is>
      </c>
      <c r="L16" s="9">
        <f>IF(B16="","",MONTH(B16))</f>
        <v>1</v>
      </c>
      <c r="M16" s="9">
        <f>IF(B16="","",YEAR(B16))</f>
        <v>2026</v>
      </c>
    </row>
    <row r="17">
      <c r="A17" s="9">
        <f>IF(B17="","",ROW()-1)</f>
        <v>16</v>
      </c>
      <c r="B17" s="10" t="n">
        <v>46042</v>
      </c>
      <c r="C17" s="11" t="inlineStr">
        <is>
          <t>Padaria do Sol</t>
        </is>
      </c>
      <c r="D17" s="11" t="inlineStr">
        <is>
          <t>Ajuste</t>
        </is>
      </c>
      <c r="E17" s="11" t="inlineStr">
        <is>
          <t>Indicação</t>
        </is>
      </c>
      <c r="F17" s="11" t="inlineStr">
        <is>
          <t>Carla</t>
        </is>
      </c>
      <c r="G17" s="8" t="inlineStr">
        <is>
          <t>Ajuste de fatura</t>
        </is>
      </c>
      <c r="H17" s="12" t="n">
        <v>1</v>
      </c>
      <c r="I17" s="13" t="n">
        <v>-150</v>
      </c>
      <c r="J17" s="14">
        <f>IF(OR(H17="",I17=""),"",H17*I17)</f>
        <v>-150</v>
      </c>
      <c r="K17" s="11" t="inlineStr">
        <is>
          <t>Pago</t>
        </is>
      </c>
      <c r="L17" s="9">
        <f>IF(B17="","",MONTH(B17))</f>
        <v>1</v>
      </c>
      <c r="M17" s="9">
        <f>IF(B17="","",YEAR(B17))</f>
        <v>2026</v>
      </c>
    </row>
    <row r="18">
      <c r="A18" s="9">
        <f>IF(B18="","",ROW()-1)</f>
        <v>17</v>
      </c>
      <c r="B18" s="10" t="n">
        <v>46042</v>
      </c>
      <c r="C18" s="11" t="inlineStr">
        <is>
          <t>Aurora Móveis</t>
        </is>
      </c>
      <c r="D18" s="11" t="inlineStr">
        <is>
          <t>Serviço</t>
        </is>
      </c>
      <c r="E18" s="11" t="inlineStr">
        <is>
          <t>Evento</t>
        </is>
      </c>
      <c r="F18" s="11" t="inlineStr">
        <is>
          <t>Diego</t>
        </is>
      </c>
      <c r="G18" s="8" t="inlineStr">
        <is>
          <t>Vídeo curto</t>
        </is>
      </c>
      <c r="H18" s="12" t="n">
        <v>2</v>
      </c>
      <c r="I18" s="13" t="n">
        <v>800</v>
      </c>
      <c r="J18" s="14">
        <f>IF(OR(H18="",I18=""),"",H18*I18)</f>
        <v>1600</v>
      </c>
      <c r="K18" s="11" t="inlineStr">
        <is>
          <t>Pago</t>
        </is>
      </c>
      <c r="L18" s="9">
        <f>IF(B18="","",MONTH(B18))</f>
        <v>1</v>
      </c>
      <c r="M18" s="9">
        <f>IF(B18="","",YEAR(B18))</f>
        <v>2026</v>
      </c>
    </row>
    <row r="19">
      <c r="A19" s="9">
        <f>IF(B19="","",ROW()-1)</f>
        <v>18</v>
      </c>
      <c r="B19" s="10" t="n">
        <v>46050</v>
      </c>
      <c r="C19" s="11" t="inlineStr">
        <is>
          <t>Clínica Bem-Estar</t>
        </is>
      </c>
      <c r="D19" s="11" t="inlineStr">
        <is>
          <t>Serviço</t>
        </is>
      </c>
      <c r="E19" s="11" t="inlineStr">
        <is>
          <t>Evento</t>
        </is>
      </c>
      <c r="F19" s="11" t="inlineStr">
        <is>
          <t>Diego</t>
        </is>
      </c>
      <c r="G19" s="8" t="inlineStr">
        <is>
          <t>Consultoria de marca</t>
        </is>
      </c>
      <c r="H19" s="12" t="n">
        <v>1</v>
      </c>
      <c r="I19" s="13" t="n">
        <v>2400</v>
      </c>
      <c r="J19" s="14">
        <f>IF(OR(H19="",I19=""),"",H19*I19)</f>
        <v>2400</v>
      </c>
      <c r="K19" s="11" t="inlineStr">
        <is>
          <t>Pago</t>
        </is>
      </c>
      <c r="L19" s="9">
        <f>IF(B19="","",MONTH(B19))</f>
        <v>1</v>
      </c>
      <c r="M19" s="9">
        <f>IF(B19="","",YEAR(B19))</f>
        <v>2026</v>
      </c>
    </row>
    <row r="20">
      <c r="A20" s="9">
        <f>IF(B20="","",ROW()-1)</f>
        <v>19</v>
      </c>
      <c r="B20" s="10" t="n">
        <v>46050</v>
      </c>
      <c r="C20" s="11" t="inlineStr">
        <is>
          <t>Horizonte</t>
        </is>
      </c>
      <c r="D20" s="11" t="inlineStr">
        <is>
          <t>Produto</t>
        </is>
      </c>
      <c r="E20" s="11" t="inlineStr">
        <is>
          <t>Site</t>
        </is>
      </c>
      <c r="F20" s="11" t="inlineStr">
        <is>
          <t>Diego</t>
        </is>
      </c>
      <c r="G20" s="8" t="inlineStr">
        <is>
          <t>Pacote de ícones</t>
        </is>
      </c>
      <c r="H20" s="12" t="n">
        <v>2</v>
      </c>
      <c r="I20" s="13" t="n">
        <v>97</v>
      </c>
      <c r="J20" s="14">
        <f>IF(OR(H20="",I20=""),"",H20*I20)</f>
        <v>194</v>
      </c>
      <c r="K20" s="11" t="inlineStr">
        <is>
          <t>Pago</t>
        </is>
      </c>
      <c r="L20" s="9">
        <f>IF(B20="","",MONTH(B20))</f>
        <v>1</v>
      </c>
      <c r="M20" s="9">
        <f>IF(B20="","",YEAR(B20))</f>
        <v>2026</v>
      </c>
    </row>
    <row r="21">
      <c r="A21" s="9">
        <f>IF(B21="","",ROW()-1)</f>
        <v>20</v>
      </c>
      <c r="B21" s="10" t="n">
        <v>46053</v>
      </c>
      <c r="C21" s="11" t="inlineStr">
        <is>
          <t>Clínica Bem-Estar</t>
        </is>
      </c>
      <c r="D21" s="11" t="inlineStr">
        <is>
          <t>Serviço</t>
        </is>
      </c>
      <c r="E21" s="11" t="inlineStr">
        <is>
          <t>Evento</t>
        </is>
      </c>
      <c r="F21" s="11" t="inlineStr">
        <is>
          <t>Bruno</t>
        </is>
      </c>
      <c r="G21" s="8" t="inlineStr">
        <is>
          <t>Layout de página</t>
        </is>
      </c>
      <c r="H21" s="12" t="n">
        <v>2</v>
      </c>
      <c r="I21" s="13" t="n">
        <v>2400</v>
      </c>
      <c r="J21" s="14">
        <f>IF(OR(H21="",I21=""),"",H21*I21)</f>
        <v>4800</v>
      </c>
      <c r="K21" s="11" t="inlineStr">
        <is>
          <t>Pago</t>
        </is>
      </c>
      <c r="L21" s="9">
        <f>IF(B21="","",MONTH(B21))</f>
        <v>1</v>
      </c>
      <c r="M21" s="9">
        <f>IF(B21="","",YEAR(B21))</f>
        <v>2026</v>
      </c>
    </row>
    <row r="22">
      <c r="A22" s="9">
        <f>IF(B22="","",ROW()-1)</f>
        <v>21</v>
      </c>
      <c r="B22" s="10" t="n">
        <v>46055</v>
      </c>
      <c r="C22" s="11" t="inlineStr">
        <is>
          <t>Bistrô 42</t>
        </is>
      </c>
      <c r="D22" s="11" t="inlineStr">
        <is>
          <t>Serviço</t>
        </is>
      </c>
      <c r="E22" s="11" t="inlineStr">
        <is>
          <t>Instagram</t>
        </is>
      </c>
      <c r="F22" s="11" t="inlineStr">
        <is>
          <t>Carla</t>
        </is>
      </c>
      <c r="G22" s="8" t="inlineStr">
        <is>
          <t>Posts do mês</t>
        </is>
      </c>
      <c r="H22" s="12" t="n">
        <v>1</v>
      </c>
      <c r="I22" s="13" t="n">
        <v>1200</v>
      </c>
      <c r="J22" s="14">
        <f>IF(OR(H22="",I22=""),"",H22*I22)</f>
        <v>1200</v>
      </c>
      <c r="K22" s="11" t="inlineStr">
        <is>
          <t>Pago</t>
        </is>
      </c>
      <c r="L22" s="9">
        <f>IF(B22="","",MONTH(B22))</f>
        <v>2</v>
      </c>
      <c r="M22" s="9">
        <f>IF(B22="","",YEAR(B22))</f>
        <v>2026</v>
      </c>
    </row>
    <row r="23">
      <c r="A23" s="9">
        <f>IF(B23="","",ROW()-1)</f>
        <v>22</v>
      </c>
      <c r="B23" s="10" t="n">
        <v>46056</v>
      </c>
      <c r="C23" s="11" t="inlineStr">
        <is>
          <t>Café Central</t>
        </is>
      </c>
      <c r="D23" s="11" t="inlineStr">
        <is>
          <t>Produto</t>
        </is>
      </c>
      <c r="E23" s="11" t="inlineStr">
        <is>
          <t>Cliente antigo</t>
        </is>
      </c>
      <c r="F23" s="11" t="inlineStr">
        <is>
          <t>Carla</t>
        </is>
      </c>
      <c r="G23" s="8" t="inlineStr">
        <is>
          <t>E-book de marca</t>
        </is>
      </c>
      <c r="H23" s="12" t="n">
        <v>2</v>
      </c>
      <c r="I23" s="13" t="n">
        <v>49</v>
      </c>
      <c r="J23" s="14">
        <f>IF(OR(H23="",I23=""),"",H23*I23)</f>
        <v>98</v>
      </c>
      <c r="K23" s="11" t="inlineStr">
        <is>
          <t>Pago</t>
        </is>
      </c>
      <c r="L23" s="9">
        <f>IF(B23="","",MONTH(B23))</f>
        <v>2</v>
      </c>
      <c r="M23" s="9">
        <f>IF(B23="","",YEAR(B23))</f>
        <v>2026</v>
      </c>
    </row>
    <row r="24">
      <c r="A24" s="9">
        <f>IF(B24="","",ROW()-1)</f>
        <v>23</v>
      </c>
      <c r="B24" s="10" t="n">
        <v>46057</v>
      </c>
      <c r="C24" s="11" t="inlineStr">
        <is>
          <t>Clínica Bem-Estar</t>
        </is>
      </c>
      <c r="D24" s="11" t="inlineStr">
        <is>
          <t>Serviço</t>
        </is>
      </c>
      <c r="E24" s="11" t="inlineStr">
        <is>
          <t>Indicação</t>
        </is>
      </c>
      <c r="F24" s="11" t="inlineStr">
        <is>
          <t>Ana</t>
        </is>
      </c>
      <c r="G24" s="8" t="inlineStr">
        <is>
          <t>Diagramação</t>
        </is>
      </c>
      <c r="H24" s="12" t="n">
        <v>1</v>
      </c>
      <c r="I24" s="13" t="n">
        <v>3200</v>
      </c>
      <c r="J24" s="14">
        <f>IF(OR(H24="",I24=""),"",H24*I24)</f>
        <v>3200</v>
      </c>
      <c r="K24" s="11" t="inlineStr">
        <is>
          <t>Em aberto</t>
        </is>
      </c>
      <c r="L24" s="9">
        <f>IF(B24="","",MONTH(B24))</f>
        <v>2</v>
      </c>
      <c r="M24" s="9">
        <f>IF(B24="","",YEAR(B24))</f>
        <v>2026</v>
      </c>
    </row>
    <row r="25">
      <c r="A25" s="9">
        <f>IF(B25="","",ROW()-1)</f>
        <v>24</v>
      </c>
      <c r="B25" s="10" t="n">
        <v>46058</v>
      </c>
      <c r="C25" s="11" t="inlineStr">
        <is>
          <t>Escola Nova Era</t>
        </is>
      </c>
      <c r="D25" s="11" t="inlineStr">
        <is>
          <t>Ajuste</t>
        </is>
      </c>
      <c r="E25" s="11" t="inlineStr">
        <is>
          <t>Site</t>
        </is>
      </c>
      <c r="F25" s="11" t="inlineStr">
        <is>
          <t>Carla</t>
        </is>
      </c>
      <c r="G25" s="8" t="inlineStr">
        <is>
          <t>Ajuste de fatura</t>
        </is>
      </c>
      <c r="H25" s="12" t="n">
        <v>1</v>
      </c>
      <c r="I25" s="13" t="n">
        <v>150</v>
      </c>
      <c r="J25" s="14">
        <f>IF(OR(H25="",I25=""),"",H25*I25)</f>
        <v>150</v>
      </c>
      <c r="K25" s="11" t="inlineStr">
        <is>
          <t>Em aberto</t>
        </is>
      </c>
      <c r="L25" s="9">
        <f>IF(B25="","",MONTH(B25))</f>
        <v>2</v>
      </c>
      <c r="M25" s="9">
        <f>IF(B25="","",YEAR(B25))</f>
        <v>2026</v>
      </c>
    </row>
    <row r="26">
      <c r="A26" s="9">
        <f>IF(B26="","",ROW()-1)</f>
        <v>25</v>
      </c>
      <c r="B26" s="10" t="n">
        <v>46059</v>
      </c>
      <c r="C26" s="11" t="inlineStr">
        <is>
          <t>Loja Verde</t>
        </is>
      </c>
      <c r="D26" s="11" t="inlineStr">
        <is>
          <t>Serviço</t>
        </is>
      </c>
      <c r="E26" s="11" t="inlineStr">
        <is>
          <t>Instagram</t>
        </is>
      </c>
      <c r="F26" s="11" t="inlineStr">
        <is>
          <t>Bruno</t>
        </is>
      </c>
      <c r="G26" s="8" t="inlineStr">
        <is>
          <t>Layout de página</t>
        </is>
      </c>
      <c r="H26" s="12" t="n">
        <v>3</v>
      </c>
      <c r="I26" s="13" t="n">
        <v>2400</v>
      </c>
      <c r="J26" s="14">
        <f>IF(OR(H26="",I26=""),"",H26*I26)</f>
        <v>7200</v>
      </c>
      <c r="K26" s="11" t="inlineStr">
        <is>
          <t>Em aberto</t>
        </is>
      </c>
      <c r="L26" s="9">
        <f>IF(B26="","",MONTH(B26))</f>
        <v>2</v>
      </c>
      <c r="M26" s="9">
        <f>IF(B26="","",YEAR(B26))</f>
        <v>2026</v>
      </c>
    </row>
    <row r="27">
      <c r="A27" s="9">
        <f>IF(B27="","",ROW()-1)</f>
        <v>26</v>
      </c>
      <c r="B27" s="10" t="n">
        <v>46062</v>
      </c>
      <c r="C27" s="11" t="inlineStr">
        <is>
          <t>Clínica Bem-Estar</t>
        </is>
      </c>
      <c r="D27" s="11" t="inlineStr">
        <is>
          <t>Serviço</t>
        </is>
      </c>
      <c r="E27" s="11" t="inlineStr">
        <is>
          <t>Cliente antigo</t>
        </is>
      </c>
      <c r="F27" s="11" t="inlineStr">
        <is>
          <t>Carla</t>
        </is>
      </c>
      <c r="G27" s="8" t="inlineStr">
        <is>
          <t>Diagramação</t>
        </is>
      </c>
      <c r="H27" s="12" t="n">
        <v>1</v>
      </c>
      <c r="I27" s="13" t="n">
        <v>1200</v>
      </c>
      <c r="J27" s="14">
        <f>IF(OR(H27="",I27=""),"",H27*I27)</f>
        <v>1200</v>
      </c>
      <c r="K27" s="11" t="inlineStr">
        <is>
          <t>Pago</t>
        </is>
      </c>
      <c r="L27" s="9">
        <f>IF(B27="","",MONTH(B27))</f>
        <v>2</v>
      </c>
      <c r="M27" s="9">
        <f>IF(B27="","",YEAR(B27))</f>
        <v>2026</v>
      </c>
    </row>
    <row r="28">
      <c r="A28" s="9">
        <f>IF(B28="","",ROW()-1)</f>
        <v>27</v>
      </c>
      <c r="B28" s="10" t="n">
        <v>46067</v>
      </c>
      <c r="C28" s="11" t="inlineStr">
        <is>
          <t>Clínica Bem-Estar</t>
        </is>
      </c>
      <c r="D28" s="11" t="inlineStr">
        <is>
          <t>Ajuste</t>
        </is>
      </c>
      <c r="E28" s="11" t="inlineStr">
        <is>
          <t>Cliente antigo</t>
        </is>
      </c>
      <c r="F28" s="11" t="inlineStr">
        <is>
          <t>Bruno</t>
        </is>
      </c>
      <c r="G28" s="8" t="inlineStr">
        <is>
          <t>Ajuste de fatura</t>
        </is>
      </c>
      <c r="H28" s="12" t="n">
        <v>1</v>
      </c>
      <c r="I28" s="13" t="n">
        <v>-150</v>
      </c>
      <c r="J28" s="14">
        <f>IF(OR(H28="",I28=""),"",H28*I28)</f>
        <v>-150</v>
      </c>
      <c r="K28" s="11" t="inlineStr">
        <is>
          <t>Pago</t>
        </is>
      </c>
      <c r="L28" s="9">
        <f>IF(B28="","",MONTH(B28))</f>
        <v>2</v>
      </c>
      <c r="M28" s="9">
        <f>IF(B28="","",YEAR(B28))</f>
        <v>2026</v>
      </c>
    </row>
    <row r="29">
      <c r="A29" s="9">
        <f>IF(B29="","",ROW()-1)</f>
        <v>28</v>
      </c>
      <c r="B29" s="10" t="n">
        <v>46068</v>
      </c>
      <c r="C29" s="11" t="inlineStr">
        <is>
          <t>Bistrô 42</t>
        </is>
      </c>
      <c r="D29" s="11" t="inlineStr">
        <is>
          <t>Serviço</t>
        </is>
      </c>
      <c r="E29" s="11" t="inlineStr">
        <is>
          <t>Indicação</t>
        </is>
      </c>
      <c r="F29" s="11" t="inlineStr">
        <is>
          <t>Bruno</t>
        </is>
      </c>
      <c r="G29" s="8" t="inlineStr">
        <is>
          <t>Consultoria de marca</t>
        </is>
      </c>
      <c r="H29" s="12" t="n">
        <v>1</v>
      </c>
      <c r="I29" s="13" t="n">
        <v>1500</v>
      </c>
      <c r="J29" s="14">
        <f>IF(OR(H29="",I29=""),"",H29*I29)</f>
        <v>1500</v>
      </c>
      <c r="K29" s="11" t="inlineStr">
        <is>
          <t>Cancelado</t>
        </is>
      </c>
      <c r="L29" s="9">
        <f>IF(B29="","",MONTH(B29))</f>
        <v>2</v>
      </c>
      <c r="M29" s="9">
        <f>IF(B29="","",YEAR(B29))</f>
        <v>2026</v>
      </c>
    </row>
    <row r="30">
      <c r="A30" s="9">
        <f>IF(B30="","",ROW()-1)</f>
        <v>29</v>
      </c>
      <c r="B30" s="10" t="n">
        <v>46069</v>
      </c>
      <c r="C30" s="11" t="inlineStr">
        <is>
          <t>Escola Nova Era</t>
        </is>
      </c>
      <c r="D30" s="11" t="inlineStr">
        <is>
          <t>Serviço</t>
        </is>
      </c>
      <c r="E30" s="11" t="inlineStr">
        <is>
          <t>Cliente antigo</t>
        </is>
      </c>
      <c r="F30" s="11" t="inlineStr">
        <is>
          <t>Diego</t>
        </is>
      </c>
      <c r="G30" s="8" t="inlineStr">
        <is>
          <t>Layout de página</t>
        </is>
      </c>
      <c r="H30" s="12" t="n">
        <v>1</v>
      </c>
      <c r="I30" s="13" t="n">
        <v>2400</v>
      </c>
      <c r="J30" s="14">
        <f>IF(OR(H30="",I30=""),"",H30*I30)</f>
        <v>2400</v>
      </c>
      <c r="K30" s="11" t="inlineStr">
        <is>
          <t>Cancelado</t>
        </is>
      </c>
      <c r="L30" s="9">
        <f>IF(B30="","",MONTH(B30))</f>
        <v>2</v>
      </c>
      <c r="M30" s="9">
        <f>IF(B30="","",YEAR(B30))</f>
        <v>2026</v>
      </c>
    </row>
    <row r="31">
      <c r="A31" s="9">
        <f>IF(B31="","",ROW()-1)</f>
        <v>30</v>
      </c>
      <c r="B31" s="10" t="n">
        <v>46072</v>
      </c>
      <c r="C31" s="11" t="inlineStr">
        <is>
          <t>Bistrô 42</t>
        </is>
      </c>
      <c r="D31" s="11" t="inlineStr">
        <is>
          <t>Serviço</t>
        </is>
      </c>
      <c r="E31" s="11" t="inlineStr">
        <is>
          <t>Indicação</t>
        </is>
      </c>
      <c r="F31" s="11" t="inlineStr">
        <is>
          <t>Bruno</t>
        </is>
      </c>
      <c r="G31" s="8" t="inlineStr">
        <is>
          <t>Consultoria de marca</t>
        </is>
      </c>
      <c r="H31" s="12" t="n">
        <v>1</v>
      </c>
      <c r="I31" s="13" t="n">
        <v>1500</v>
      </c>
      <c r="J31" s="14">
        <f>IF(OR(H31="",I31=""),"",H31*I31)</f>
        <v>1500</v>
      </c>
      <c r="K31" s="11" t="inlineStr">
        <is>
          <t>Pago</t>
        </is>
      </c>
      <c r="L31" s="9">
        <f>IF(B31="","",MONTH(B31))</f>
        <v>2</v>
      </c>
      <c r="M31" s="9">
        <f>IF(B31="","",YEAR(B31))</f>
        <v>2026</v>
      </c>
    </row>
    <row r="32">
      <c r="A32" s="9">
        <f>IF(B32="","",ROW()-1)</f>
        <v>31</v>
      </c>
      <c r="B32" s="10" t="n">
        <v>46073</v>
      </c>
      <c r="C32" s="11" t="inlineStr">
        <is>
          <t>Padaria do Sol</t>
        </is>
      </c>
      <c r="D32" s="11" t="inlineStr">
        <is>
          <t>Serviço</t>
        </is>
      </c>
      <c r="E32" s="11" t="inlineStr">
        <is>
          <t>Instagram</t>
        </is>
      </c>
      <c r="F32" s="11" t="inlineStr">
        <is>
          <t>Bruno</t>
        </is>
      </c>
      <c r="G32" s="8" t="inlineStr">
        <is>
          <t>Layout de página</t>
        </is>
      </c>
      <c r="H32" s="12" t="n">
        <v>1</v>
      </c>
      <c r="I32" s="13" t="n">
        <v>2400</v>
      </c>
      <c r="J32" s="14">
        <f>IF(OR(H32="",I32=""),"",H32*I32)</f>
        <v>2400</v>
      </c>
      <c r="K32" s="11" t="inlineStr">
        <is>
          <t>Pago</t>
        </is>
      </c>
      <c r="L32" s="9">
        <f>IF(B32="","",MONTH(B32))</f>
        <v>2</v>
      </c>
      <c r="M32" s="9">
        <f>IF(B32="","",YEAR(B32))</f>
        <v>2026</v>
      </c>
    </row>
    <row r="33">
      <c r="A33" s="9">
        <f>IF(B33="","",ROW()-1)</f>
        <v>32</v>
      </c>
      <c r="B33" s="10" t="n">
        <v>46076</v>
      </c>
      <c r="C33" s="11" t="inlineStr">
        <is>
          <t>Aurora Móveis</t>
        </is>
      </c>
      <c r="D33" s="11" t="inlineStr">
        <is>
          <t>Serviço</t>
        </is>
      </c>
      <c r="E33" s="11" t="inlineStr">
        <is>
          <t>Instagram</t>
        </is>
      </c>
      <c r="F33" s="11" t="inlineStr">
        <is>
          <t>Ana</t>
        </is>
      </c>
      <c r="G33" s="8" t="inlineStr">
        <is>
          <t>Diagramação</t>
        </is>
      </c>
      <c r="H33" s="12" t="n">
        <v>1</v>
      </c>
      <c r="I33" s="13" t="n">
        <v>1200</v>
      </c>
      <c r="J33" s="14">
        <f>IF(OR(H33="",I33=""),"",H33*I33)</f>
        <v>1200</v>
      </c>
      <c r="K33" s="11" t="inlineStr">
        <is>
          <t>Em aberto</t>
        </is>
      </c>
      <c r="L33" s="9">
        <f>IF(B33="","",MONTH(B33))</f>
        <v>2</v>
      </c>
      <c r="M33" s="9">
        <f>IF(B33="","",YEAR(B33))</f>
        <v>2026</v>
      </c>
    </row>
    <row r="34">
      <c r="A34" s="9">
        <f>IF(B34="","",ROW()-1)</f>
        <v>33</v>
      </c>
      <c r="B34" s="10" t="n">
        <v>46077</v>
      </c>
      <c r="C34" s="11" t="inlineStr">
        <is>
          <t>Aurora Móveis</t>
        </is>
      </c>
      <c r="D34" s="11" t="inlineStr">
        <is>
          <t>Produto</t>
        </is>
      </c>
      <c r="E34" s="11" t="inlineStr">
        <is>
          <t>Site</t>
        </is>
      </c>
      <c r="F34" s="11" t="inlineStr">
        <is>
          <t>Carla</t>
        </is>
      </c>
      <c r="G34" s="8" t="inlineStr">
        <is>
          <t>Template de apresentação</t>
        </is>
      </c>
      <c r="H34" s="12" t="n">
        <v>1</v>
      </c>
      <c r="I34" s="13" t="n">
        <v>97</v>
      </c>
      <c r="J34" s="14">
        <f>IF(OR(H34="",I34=""),"",H34*I34)</f>
        <v>97</v>
      </c>
      <c r="K34" s="11" t="inlineStr">
        <is>
          <t>Em aberto</t>
        </is>
      </c>
      <c r="L34" s="9">
        <f>IF(B34="","",MONTH(B34))</f>
        <v>2</v>
      </c>
      <c r="M34" s="9">
        <f>IF(B34="","",YEAR(B34))</f>
        <v>2026</v>
      </c>
    </row>
    <row r="35">
      <c r="A35" s="9">
        <f>IF(B35="","",ROW()-1)</f>
        <v>34</v>
      </c>
      <c r="B35" s="10" t="n">
        <v>46078</v>
      </c>
      <c r="C35" s="11" t="inlineStr">
        <is>
          <t>Escola Nova Era</t>
        </is>
      </c>
      <c r="D35" s="11" t="inlineStr">
        <is>
          <t>Produto</t>
        </is>
      </c>
      <c r="E35" s="11" t="inlineStr">
        <is>
          <t>Evento</t>
        </is>
      </c>
      <c r="F35" s="11" t="inlineStr">
        <is>
          <t>Diego</t>
        </is>
      </c>
      <c r="G35" s="8" t="inlineStr">
        <is>
          <t>Pacote de ícones</t>
        </is>
      </c>
      <c r="H35" s="12" t="n">
        <v>3</v>
      </c>
      <c r="I35" s="13" t="n">
        <v>49</v>
      </c>
      <c r="J35" s="14">
        <f>IF(OR(H35="",I35=""),"",H35*I35)</f>
        <v>147</v>
      </c>
      <c r="K35" s="11" t="inlineStr">
        <is>
          <t>Pago</t>
        </is>
      </c>
      <c r="L35" s="9">
        <f>IF(B35="","",MONTH(B35))</f>
        <v>2</v>
      </c>
      <c r="M35" s="9">
        <f>IF(B35="","",YEAR(B35))</f>
        <v>2026</v>
      </c>
    </row>
    <row r="36">
      <c r="A36" s="9">
        <f>IF(B36="","",ROW()-1)</f>
        <v>35</v>
      </c>
      <c r="B36" s="10" t="n">
        <v>46079</v>
      </c>
      <c r="C36" s="11" t="inlineStr">
        <is>
          <t>Horizonte</t>
        </is>
      </c>
      <c r="D36" s="11" t="inlineStr">
        <is>
          <t>Produto</t>
        </is>
      </c>
      <c r="E36" s="11" t="inlineStr">
        <is>
          <t>Cliente antigo</t>
        </is>
      </c>
      <c r="F36" s="11" t="inlineStr">
        <is>
          <t>Bruno</t>
        </is>
      </c>
      <c r="G36" s="8" t="inlineStr">
        <is>
          <t>Pacote de ícones</t>
        </is>
      </c>
      <c r="H36" s="12" t="n">
        <v>1</v>
      </c>
      <c r="I36" s="13" t="n">
        <v>149</v>
      </c>
      <c r="J36" s="14">
        <f>IF(OR(H36="",I36=""),"",H36*I36)</f>
        <v>149</v>
      </c>
      <c r="K36" s="11" t="inlineStr">
        <is>
          <t>Em aberto</t>
        </is>
      </c>
      <c r="L36" s="9">
        <f>IF(B36="","",MONTH(B36))</f>
        <v>2</v>
      </c>
      <c r="M36" s="9">
        <f>IF(B36="","",YEAR(B36))</f>
        <v>2026</v>
      </c>
    </row>
    <row r="37">
      <c r="A37" s="9">
        <f>IF(B37="","",ROW()-1)</f>
        <v>36</v>
      </c>
      <c r="B37" s="10" t="n">
        <v>46079</v>
      </c>
      <c r="C37" s="11" t="inlineStr">
        <is>
          <t>Escola Nova Era</t>
        </is>
      </c>
      <c r="D37" s="11" t="inlineStr">
        <is>
          <t>Serviço</t>
        </is>
      </c>
      <c r="E37" s="11" t="inlineStr">
        <is>
          <t>Indicação</t>
        </is>
      </c>
      <c r="F37" s="11" t="inlineStr">
        <is>
          <t>Carla</t>
        </is>
      </c>
      <c r="G37" s="8" t="inlineStr">
        <is>
          <t>Consultoria de marca</t>
        </is>
      </c>
      <c r="H37" s="12" t="n">
        <v>1</v>
      </c>
      <c r="I37" s="13" t="n">
        <v>1500</v>
      </c>
      <c r="J37" s="14">
        <f>IF(OR(H37="",I37=""),"",H37*I37)</f>
        <v>1500</v>
      </c>
      <c r="K37" s="11" t="inlineStr">
        <is>
          <t>Pago</t>
        </is>
      </c>
      <c r="L37" s="9">
        <f>IF(B37="","",MONTH(B37))</f>
        <v>2</v>
      </c>
      <c r="M37" s="9">
        <f>IF(B37="","",YEAR(B37))</f>
        <v>2026</v>
      </c>
    </row>
    <row r="38">
      <c r="A38" s="9">
        <f>IF(B38="","",ROW()-1)</f>
        <v>37</v>
      </c>
      <c r="B38" s="10" t="n">
        <v>46080</v>
      </c>
      <c r="C38" s="11" t="inlineStr">
        <is>
          <t>Café Central</t>
        </is>
      </c>
      <c r="D38" s="11" t="inlineStr">
        <is>
          <t>Serviço</t>
        </is>
      </c>
      <c r="E38" s="11" t="inlineStr">
        <is>
          <t>Site</t>
        </is>
      </c>
      <c r="F38" s="11" t="inlineStr">
        <is>
          <t>Carla</t>
        </is>
      </c>
      <c r="G38" s="8" t="inlineStr">
        <is>
          <t>Consultoria de marca</t>
        </is>
      </c>
      <c r="H38" s="12" t="n">
        <v>2</v>
      </c>
      <c r="I38" s="13" t="n">
        <v>1500</v>
      </c>
      <c r="J38" s="14">
        <f>IF(OR(H38="",I38=""),"",H38*I38)</f>
        <v>3000</v>
      </c>
      <c r="K38" s="11" t="inlineStr">
        <is>
          <t>Pago</t>
        </is>
      </c>
      <c r="L38" s="9">
        <f>IF(B38="","",MONTH(B38))</f>
        <v>2</v>
      </c>
      <c r="M38" s="9">
        <f>IF(B38="","",YEAR(B38))</f>
        <v>2026</v>
      </c>
    </row>
    <row r="39">
      <c r="A39" s="9">
        <f>IF(B39="","",ROW()-1)</f>
        <v>38</v>
      </c>
      <c r="B39" s="10" t="n">
        <v>46081</v>
      </c>
      <c r="C39" s="11" t="inlineStr">
        <is>
          <t>Clínica Bem-Estar</t>
        </is>
      </c>
      <c r="D39" s="11" t="inlineStr">
        <is>
          <t>Serviço</t>
        </is>
      </c>
      <c r="E39" s="11" t="inlineStr">
        <is>
          <t>Cliente antigo</t>
        </is>
      </c>
      <c r="F39" s="11" t="inlineStr">
        <is>
          <t>Carla</t>
        </is>
      </c>
      <c r="G39" s="8" t="inlineStr">
        <is>
          <t>Vídeo curto</t>
        </is>
      </c>
      <c r="H39" s="12" t="n">
        <v>3</v>
      </c>
      <c r="I39" s="13" t="n">
        <v>1500</v>
      </c>
      <c r="J39" s="14">
        <f>IF(OR(H39="",I39=""),"",H39*I39)</f>
        <v>4500</v>
      </c>
      <c r="K39" s="11" t="inlineStr">
        <is>
          <t>Pago</t>
        </is>
      </c>
      <c r="L39" s="9">
        <f>IF(B39="","",MONTH(B39))</f>
        <v>2</v>
      </c>
      <c r="M39" s="9">
        <f>IF(B39="","",YEAR(B39))</f>
        <v>2026</v>
      </c>
    </row>
    <row r="40">
      <c r="A40" s="9">
        <f>IF(B40="","",ROW()-1)</f>
        <v>39</v>
      </c>
      <c r="B40" s="10" t="n">
        <v>46081</v>
      </c>
      <c r="C40" s="11" t="inlineStr">
        <is>
          <t>Padaria do Sol</t>
        </is>
      </c>
      <c r="D40" s="11" t="inlineStr">
        <is>
          <t>Produto</t>
        </is>
      </c>
      <c r="E40" s="11" t="inlineStr">
        <is>
          <t>Cliente antigo</t>
        </is>
      </c>
      <c r="F40" s="11" t="inlineStr">
        <is>
          <t>Diego</t>
        </is>
      </c>
      <c r="G40" s="8" t="inlineStr">
        <is>
          <t>E-book de marca</t>
        </is>
      </c>
      <c r="H40" s="12" t="n">
        <v>1</v>
      </c>
      <c r="I40" s="13" t="n">
        <v>149</v>
      </c>
      <c r="J40" s="14">
        <f>IF(OR(H40="",I40=""),"",H40*I40)</f>
        <v>149</v>
      </c>
      <c r="K40" s="11" t="inlineStr">
        <is>
          <t>Pago</t>
        </is>
      </c>
      <c r="L40" s="9">
        <f>IF(B40="","",MONTH(B40))</f>
        <v>2</v>
      </c>
      <c r="M40" s="9">
        <f>IF(B40="","",YEAR(B40))</f>
        <v>2026</v>
      </c>
    </row>
    <row r="41">
      <c r="A41" s="9">
        <f>IF(B41="","",ROW()-1)</f>
        <v>40</v>
      </c>
      <c r="B41" s="10" t="n">
        <v>46085</v>
      </c>
      <c r="C41" s="11" t="inlineStr">
        <is>
          <t>Clínica Bem-Estar</t>
        </is>
      </c>
      <c r="D41" s="11" t="inlineStr">
        <is>
          <t>Serviço</t>
        </is>
      </c>
      <c r="E41" s="11" t="inlineStr">
        <is>
          <t>Cliente antigo</t>
        </is>
      </c>
      <c r="F41" s="11" t="inlineStr">
        <is>
          <t>Carla</t>
        </is>
      </c>
      <c r="G41" s="8" t="inlineStr">
        <is>
          <t>Posts do mês</t>
        </is>
      </c>
      <c r="H41" s="12" t="n">
        <v>1</v>
      </c>
      <c r="I41" s="13" t="n">
        <v>1500</v>
      </c>
      <c r="J41" s="14">
        <f>IF(OR(H41="",I41=""),"",H41*I41)</f>
        <v>1500</v>
      </c>
      <c r="K41" s="11" t="inlineStr">
        <is>
          <t>Em aberto</t>
        </is>
      </c>
      <c r="L41" s="9">
        <f>IF(B41="","",MONTH(B41))</f>
        <v>3</v>
      </c>
      <c r="M41" s="9">
        <f>IF(B41="","",YEAR(B41))</f>
        <v>2026</v>
      </c>
    </row>
    <row r="42">
      <c r="A42" s="9">
        <f>IF(B42="","",ROW()-1)</f>
        <v>41</v>
      </c>
      <c r="B42" s="10" t="n">
        <v>46090</v>
      </c>
      <c r="C42" s="11" t="inlineStr">
        <is>
          <t>Clínica Bem-Estar</t>
        </is>
      </c>
      <c r="D42" s="11" t="inlineStr">
        <is>
          <t>Serviço</t>
        </is>
      </c>
      <c r="E42" s="11" t="inlineStr">
        <is>
          <t>Indicação</t>
        </is>
      </c>
      <c r="F42" s="11" t="inlineStr">
        <is>
          <t>Ana</t>
        </is>
      </c>
      <c r="G42" s="8" t="inlineStr">
        <is>
          <t>Diagramação</t>
        </is>
      </c>
      <c r="H42" s="12" t="n">
        <v>2</v>
      </c>
      <c r="I42" s="13" t="n">
        <v>2400</v>
      </c>
      <c r="J42" s="14">
        <f>IF(OR(H42="",I42=""),"",H42*I42)</f>
        <v>4800</v>
      </c>
      <c r="K42" s="11" t="inlineStr">
        <is>
          <t>Cancelado</t>
        </is>
      </c>
      <c r="L42" s="9">
        <f>IF(B42="","",MONTH(B42))</f>
        <v>3</v>
      </c>
      <c r="M42" s="9">
        <f>IF(B42="","",YEAR(B42))</f>
        <v>2026</v>
      </c>
    </row>
    <row r="43">
      <c r="A43" s="9">
        <f>IF(B43="","",ROW()-1)</f>
        <v>42</v>
      </c>
      <c r="B43" s="10" t="n">
        <v>46091</v>
      </c>
      <c r="C43" s="11" t="inlineStr">
        <is>
          <t>Aurora Móveis</t>
        </is>
      </c>
      <c r="D43" s="11" t="inlineStr">
        <is>
          <t>Serviço</t>
        </is>
      </c>
      <c r="E43" s="11" t="inlineStr">
        <is>
          <t>Site</t>
        </is>
      </c>
      <c r="F43" s="11" t="inlineStr">
        <is>
          <t>Ana</t>
        </is>
      </c>
      <c r="G43" s="8" t="inlineStr">
        <is>
          <t>Layout de página</t>
        </is>
      </c>
      <c r="H43" s="12" t="n">
        <v>1</v>
      </c>
      <c r="I43" s="13" t="n">
        <v>1500</v>
      </c>
      <c r="J43" s="14">
        <f>IF(OR(H43="",I43=""),"",H43*I43)</f>
        <v>1500</v>
      </c>
      <c r="K43" s="11" t="inlineStr">
        <is>
          <t>Pago</t>
        </is>
      </c>
      <c r="L43" s="9">
        <f>IF(B43="","",MONTH(B43))</f>
        <v>3</v>
      </c>
      <c r="M43" s="9">
        <f>IF(B43="","",YEAR(B43))</f>
        <v>2026</v>
      </c>
    </row>
    <row r="44">
      <c r="A44" s="9">
        <f>IF(B44="","",ROW()-1)</f>
        <v>43</v>
      </c>
      <c r="B44" s="10" t="n">
        <v>46091</v>
      </c>
      <c r="C44" s="11" t="inlineStr">
        <is>
          <t>Padaria do Sol</t>
        </is>
      </c>
      <c r="D44" s="11" t="inlineStr">
        <is>
          <t>Serviço</t>
        </is>
      </c>
      <c r="E44" s="11" t="inlineStr">
        <is>
          <t>Indicação</t>
        </is>
      </c>
      <c r="F44" s="11" t="inlineStr">
        <is>
          <t>Ana</t>
        </is>
      </c>
      <c r="G44" s="8" t="inlineStr">
        <is>
          <t>Diagramação</t>
        </is>
      </c>
      <c r="H44" s="12" t="n">
        <v>1</v>
      </c>
      <c r="I44" s="13" t="n">
        <v>2400</v>
      </c>
      <c r="J44" s="14">
        <f>IF(OR(H44="",I44=""),"",H44*I44)</f>
        <v>2400</v>
      </c>
      <c r="K44" s="11" t="inlineStr">
        <is>
          <t>Em aberto</t>
        </is>
      </c>
      <c r="L44" s="9">
        <f>IF(B44="","",MONTH(B44))</f>
        <v>3</v>
      </c>
      <c r="M44" s="9">
        <f>IF(B44="","",YEAR(B44))</f>
        <v>2026</v>
      </c>
    </row>
    <row r="45">
      <c r="A45" s="9">
        <f>IF(B45="","",ROW()-1)</f>
        <v>44</v>
      </c>
      <c r="B45" s="10" t="n">
        <v>46092</v>
      </c>
      <c r="C45" s="11" t="inlineStr">
        <is>
          <t>Escola Nova Era</t>
        </is>
      </c>
      <c r="D45" s="11" t="inlineStr">
        <is>
          <t>Produto</t>
        </is>
      </c>
      <c r="E45" s="11" t="inlineStr">
        <is>
          <t>Indicação</t>
        </is>
      </c>
      <c r="F45" s="11" t="inlineStr">
        <is>
          <t>Bruno</t>
        </is>
      </c>
      <c r="G45" s="8" t="inlineStr">
        <is>
          <t>Pacote de ícones</t>
        </is>
      </c>
      <c r="H45" s="12" t="n">
        <v>1</v>
      </c>
      <c r="I45" s="13" t="n">
        <v>149</v>
      </c>
      <c r="J45" s="14">
        <f>IF(OR(H45="",I45=""),"",H45*I45)</f>
        <v>149</v>
      </c>
      <c r="K45" s="11" t="inlineStr">
        <is>
          <t>Pago</t>
        </is>
      </c>
      <c r="L45" s="9">
        <f>IF(B45="","",MONTH(B45))</f>
        <v>3</v>
      </c>
      <c r="M45" s="9">
        <f>IF(B45="","",YEAR(B45))</f>
        <v>2026</v>
      </c>
    </row>
    <row r="46">
      <c r="A46" s="9">
        <f>IF(B46="","",ROW()-1)</f>
        <v>45</v>
      </c>
      <c r="B46" s="10" t="n">
        <v>46094</v>
      </c>
      <c r="C46" s="11" t="inlineStr">
        <is>
          <t>Padaria do Sol</t>
        </is>
      </c>
      <c r="D46" s="11" t="inlineStr">
        <is>
          <t>Serviço</t>
        </is>
      </c>
      <c r="E46" s="11" t="inlineStr">
        <is>
          <t>Evento</t>
        </is>
      </c>
      <c r="F46" s="11" t="inlineStr">
        <is>
          <t>Ana</t>
        </is>
      </c>
      <c r="G46" s="8" t="inlineStr">
        <is>
          <t>Posts do mês</t>
        </is>
      </c>
      <c r="H46" s="12" t="n">
        <v>3</v>
      </c>
      <c r="I46" s="13" t="n">
        <v>800</v>
      </c>
      <c r="J46" s="14">
        <f>IF(OR(H46="",I46=""),"",H46*I46)</f>
        <v>2400</v>
      </c>
      <c r="K46" s="11" t="inlineStr">
        <is>
          <t>Pago</t>
        </is>
      </c>
      <c r="L46" s="9">
        <f>IF(B46="","",MONTH(B46))</f>
        <v>3</v>
      </c>
      <c r="M46" s="9">
        <f>IF(B46="","",YEAR(B46))</f>
        <v>2026</v>
      </c>
    </row>
    <row r="47">
      <c r="A47" s="9">
        <f>IF(B47="","",ROW()-1)</f>
        <v>46</v>
      </c>
      <c r="B47" s="10" t="n">
        <v>46094</v>
      </c>
      <c r="C47" s="11" t="inlineStr">
        <is>
          <t>Bistrô 42</t>
        </is>
      </c>
      <c r="D47" s="11" t="inlineStr">
        <is>
          <t>Reembolso</t>
        </is>
      </c>
      <c r="E47" s="11" t="inlineStr">
        <is>
          <t>Evento</t>
        </is>
      </c>
      <c r="F47" s="11" t="inlineStr">
        <is>
          <t>Diego</t>
        </is>
      </c>
      <c r="G47" s="8" t="inlineStr">
        <is>
          <t>Estorno parcial</t>
        </is>
      </c>
      <c r="H47" s="12" t="n">
        <v>1</v>
      </c>
      <c r="I47" s="13" t="n">
        <v>-400</v>
      </c>
      <c r="J47" s="14">
        <f>IF(OR(H47="",I47=""),"",H47*I47)</f>
        <v>-400</v>
      </c>
      <c r="K47" s="11" t="inlineStr">
        <is>
          <t>Pago</t>
        </is>
      </c>
      <c r="L47" s="9">
        <f>IF(B47="","",MONTH(B47))</f>
        <v>3</v>
      </c>
      <c r="M47" s="9">
        <f>IF(B47="","",YEAR(B47))</f>
        <v>2026</v>
      </c>
    </row>
    <row r="48">
      <c r="A48" s="9">
        <f>IF(B48="","",ROW()-1)</f>
        <v>47</v>
      </c>
      <c r="B48" s="10" t="n">
        <v>46095</v>
      </c>
      <c r="C48" s="11" t="inlineStr">
        <is>
          <t>Bistrô 42</t>
        </is>
      </c>
      <c r="D48" s="11" t="inlineStr">
        <is>
          <t>Serviço</t>
        </is>
      </c>
      <c r="E48" s="11" t="inlineStr">
        <is>
          <t>Indicação</t>
        </is>
      </c>
      <c r="F48" s="11" t="inlineStr">
        <is>
          <t>Bruno</t>
        </is>
      </c>
      <c r="G48" s="8" t="inlineStr">
        <is>
          <t>Layout de página</t>
        </is>
      </c>
      <c r="H48" s="12" t="n">
        <v>1</v>
      </c>
      <c r="I48" s="13" t="n">
        <v>800</v>
      </c>
      <c r="J48" s="14">
        <f>IF(OR(H48="",I48=""),"",H48*I48)</f>
        <v>800</v>
      </c>
      <c r="K48" s="11" t="inlineStr">
        <is>
          <t>Cancelado</t>
        </is>
      </c>
      <c r="L48" s="9">
        <f>IF(B48="","",MONTH(B48))</f>
        <v>3</v>
      </c>
      <c r="M48" s="9">
        <f>IF(B48="","",YEAR(B48))</f>
        <v>2026</v>
      </c>
    </row>
    <row r="49">
      <c r="A49" s="9">
        <f>IF(B49="","",ROW()-1)</f>
        <v>48</v>
      </c>
      <c r="B49" s="10" t="n">
        <v>46096</v>
      </c>
      <c r="C49" s="11" t="inlineStr">
        <is>
          <t>Bistrô 42</t>
        </is>
      </c>
      <c r="D49" s="11" t="inlineStr">
        <is>
          <t>Serviço</t>
        </is>
      </c>
      <c r="E49" s="11" t="inlineStr">
        <is>
          <t>Site</t>
        </is>
      </c>
      <c r="F49" s="11" t="inlineStr">
        <is>
          <t>Carla</t>
        </is>
      </c>
      <c r="G49" s="8" t="inlineStr">
        <is>
          <t>Posts do mês</t>
        </is>
      </c>
      <c r="H49" s="12" t="n">
        <v>1</v>
      </c>
      <c r="I49" s="13" t="n">
        <v>1500</v>
      </c>
      <c r="J49" s="14">
        <f>IF(OR(H49="",I49=""),"",H49*I49)</f>
        <v>1500</v>
      </c>
      <c r="K49" s="11" t="inlineStr">
        <is>
          <t>Pago</t>
        </is>
      </c>
      <c r="L49" s="9">
        <f>IF(B49="","",MONTH(B49))</f>
        <v>3</v>
      </c>
      <c r="M49" s="9">
        <f>IF(B49="","",YEAR(B49))</f>
        <v>2026</v>
      </c>
    </row>
    <row r="50">
      <c r="A50" s="9">
        <f>IF(B50="","",ROW()-1)</f>
        <v>49</v>
      </c>
      <c r="B50" s="10" t="n">
        <v>46096</v>
      </c>
      <c r="C50" s="11" t="inlineStr">
        <is>
          <t>Bistrô 42</t>
        </is>
      </c>
      <c r="D50" s="11" t="inlineStr">
        <is>
          <t>Produto</t>
        </is>
      </c>
      <c r="E50" s="11" t="inlineStr">
        <is>
          <t>Site</t>
        </is>
      </c>
      <c r="F50" s="11" t="inlineStr">
        <is>
          <t>Carla</t>
        </is>
      </c>
      <c r="G50" s="8" t="inlineStr">
        <is>
          <t>Pacote de ícones</t>
        </is>
      </c>
      <c r="H50" s="12" t="n">
        <v>1</v>
      </c>
      <c r="I50" s="13" t="n">
        <v>49</v>
      </c>
      <c r="J50" s="14">
        <f>IF(OR(H50="",I50=""),"",H50*I50)</f>
        <v>49</v>
      </c>
      <c r="K50" s="11" t="inlineStr">
        <is>
          <t>Pago</t>
        </is>
      </c>
      <c r="L50" s="9">
        <f>IF(B50="","",MONTH(B50))</f>
        <v>3</v>
      </c>
      <c r="M50" s="9">
        <f>IF(B50="","",YEAR(B50))</f>
        <v>2026</v>
      </c>
    </row>
    <row r="51">
      <c r="A51" s="9">
        <f>IF(B51="","",ROW()-1)</f>
        <v>50</v>
      </c>
      <c r="B51" s="10" t="n">
        <v>46099</v>
      </c>
      <c r="C51" s="11" t="inlineStr">
        <is>
          <t>Escola Nova Era</t>
        </is>
      </c>
      <c r="D51" s="11" t="inlineStr">
        <is>
          <t>Serviço</t>
        </is>
      </c>
      <c r="E51" s="11" t="inlineStr">
        <is>
          <t>Evento</t>
        </is>
      </c>
      <c r="F51" s="11" t="inlineStr">
        <is>
          <t>Carla</t>
        </is>
      </c>
      <c r="G51" s="8" t="inlineStr">
        <is>
          <t>Diagramação</t>
        </is>
      </c>
      <c r="H51" s="12" t="n">
        <v>2</v>
      </c>
      <c r="I51" s="13" t="n">
        <v>1500</v>
      </c>
      <c r="J51" s="14">
        <f>IF(OR(H51="",I51=""),"",H51*I51)</f>
        <v>3000</v>
      </c>
      <c r="K51" s="11" t="inlineStr">
        <is>
          <t>Pago</t>
        </is>
      </c>
      <c r="L51" s="9">
        <f>IF(B51="","",MONTH(B51))</f>
        <v>3</v>
      </c>
      <c r="M51" s="9">
        <f>IF(B51="","",YEAR(B51))</f>
        <v>2026</v>
      </c>
    </row>
    <row r="52">
      <c r="A52" s="9">
        <f>IF(B52="","",ROW()-1)</f>
        <v>51</v>
      </c>
      <c r="B52" s="10" t="n">
        <v>46099</v>
      </c>
      <c r="C52" s="11" t="inlineStr">
        <is>
          <t>Clínica Bem-Estar</t>
        </is>
      </c>
      <c r="D52" s="11" t="inlineStr">
        <is>
          <t>Serviço</t>
        </is>
      </c>
      <c r="E52" s="11" t="inlineStr">
        <is>
          <t>Indicação</t>
        </is>
      </c>
      <c r="F52" s="11" t="inlineStr">
        <is>
          <t>Bruno</t>
        </is>
      </c>
      <c r="G52" s="8" t="inlineStr">
        <is>
          <t>Layout de página</t>
        </is>
      </c>
      <c r="H52" s="12" t="n">
        <v>3</v>
      </c>
      <c r="I52" s="13" t="n">
        <v>3200</v>
      </c>
      <c r="J52" s="14">
        <f>IF(OR(H52="",I52=""),"",H52*I52)</f>
        <v>9600</v>
      </c>
      <c r="K52" s="11" t="inlineStr">
        <is>
          <t>Pago</t>
        </is>
      </c>
      <c r="L52" s="9">
        <f>IF(B52="","",MONTH(B52))</f>
        <v>3</v>
      </c>
      <c r="M52" s="9">
        <f>IF(B52="","",YEAR(B52))</f>
        <v>2026</v>
      </c>
    </row>
    <row r="53">
      <c r="A53" s="9">
        <f>IF(B53="","",ROW()-1)</f>
        <v>52</v>
      </c>
      <c r="B53" s="10" t="n">
        <v>46100</v>
      </c>
      <c r="C53" s="11" t="inlineStr">
        <is>
          <t>Bistrô 42</t>
        </is>
      </c>
      <c r="D53" s="11" t="inlineStr">
        <is>
          <t>Serviço</t>
        </is>
      </c>
      <c r="E53" s="11" t="inlineStr">
        <is>
          <t>Cliente antigo</t>
        </is>
      </c>
      <c r="F53" s="11" t="inlineStr">
        <is>
          <t>Bruno</t>
        </is>
      </c>
      <c r="G53" s="8" t="inlineStr">
        <is>
          <t>Consultoria de marca</t>
        </is>
      </c>
      <c r="H53" s="12" t="n">
        <v>3</v>
      </c>
      <c r="I53" s="13" t="n">
        <v>1500</v>
      </c>
      <c r="J53" s="14">
        <f>IF(OR(H53="",I53=""),"",H53*I53)</f>
        <v>4500</v>
      </c>
      <c r="K53" s="11" t="inlineStr">
        <is>
          <t>Em aberto</t>
        </is>
      </c>
      <c r="L53" s="9">
        <f>IF(B53="","",MONTH(B53))</f>
        <v>3</v>
      </c>
      <c r="M53" s="9">
        <f>IF(B53="","",YEAR(B53))</f>
        <v>2026</v>
      </c>
    </row>
    <row r="54">
      <c r="A54" s="9">
        <f>IF(B54="","",ROW()-1)</f>
        <v>53</v>
      </c>
      <c r="B54" s="10" t="n">
        <v>46100</v>
      </c>
      <c r="C54" s="11" t="inlineStr">
        <is>
          <t>Bistrô 42</t>
        </is>
      </c>
      <c r="D54" s="11" t="inlineStr">
        <is>
          <t>Serviço</t>
        </is>
      </c>
      <c r="E54" s="11" t="inlineStr">
        <is>
          <t>Site</t>
        </is>
      </c>
      <c r="F54" s="11" t="inlineStr">
        <is>
          <t>Ana</t>
        </is>
      </c>
      <c r="G54" s="8" t="inlineStr">
        <is>
          <t>Posts do mês</t>
        </is>
      </c>
      <c r="H54" s="12" t="n">
        <v>1</v>
      </c>
      <c r="I54" s="13" t="n">
        <v>3200</v>
      </c>
      <c r="J54" s="14">
        <f>IF(OR(H54="",I54=""),"",H54*I54)</f>
        <v>3200</v>
      </c>
      <c r="K54" s="11" t="inlineStr">
        <is>
          <t>Pago</t>
        </is>
      </c>
      <c r="L54" s="9">
        <f>IF(B54="","",MONTH(B54))</f>
        <v>3</v>
      </c>
      <c r="M54" s="9">
        <f>IF(B54="","",YEAR(B54))</f>
        <v>2026</v>
      </c>
    </row>
    <row r="55">
      <c r="A55" s="9">
        <f>IF(B55="","",ROW()-1)</f>
        <v>54</v>
      </c>
      <c r="B55" s="10" t="n">
        <v>46102</v>
      </c>
      <c r="C55" s="11" t="inlineStr">
        <is>
          <t>Loja Verde</t>
        </is>
      </c>
      <c r="D55" s="11" t="inlineStr">
        <is>
          <t>Produto</t>
        </is>
      </c>
      <c r="E55" s="11" t="inlineStr">
        <is>
          <t>Instagram</t>
        </is>
      </c>
      <c r="F55" s="11" t="inlineStr">
        <is>
          <t>Carla</t>
        </is>
      </c>
      <c r="G55" s="8" t="inlineStr">
        <is>
          <t>Pacote de ícones</t>
        </is>
      </c>
      <c r="H55" s="12" t="n">
        <v>1</v>
      </c>
      <c r="I55" s="13" t="n">
        <v>97</v>
      </c>
      <c r="J55" s="14">
        <f>IF(OR(H55="",I55=""),"",H55*I55)</f>
        <v>97</v>
      </c>
      <c r="K55" s="11" t="inlineStr">
        <is>
          <t>Pago</t>
        </is>
      </c>
      <c r="L55" s="9">
        <f>IF(B55="","",MONTH(B55))</f>
        <v>3</v>
      </c>
      <c r="M55" s="9">
        <f>IF(B55="","",YEAR(B55))</f>
        <v>2026</v>
      </c>
    </row>
    <row r="56">
      <c r="A56" s="9">
        <f>IF(B56="","",ROW()-1)</f>
        <v>55</v>
      </c>
      <c r="B56" s="10" t="n">
        <v>46104</v>
      </c>
      <c r="C56" s="11" t="inlineStr">
        <is>
          <t>Horizonte</t>
        </is>
      </c>
      <c r="D56" s="11" t="inlineStr">
        <is>
          <t>Serviço</t>
        </is>
      </c>
      <c r="E56" s="11" t="inlineStr">
        <is>
          <t>Instagram</t>
        </is>
      </c>
      <c r="F56" s="11" t="inlineStr">
        <is>
          <t>Diego</t>
        </is>
      </c>
      <c r="G56" s="8" t="inlineStr">
        <is>
          <t>Vídeo curto</t>
        </is>
      </c>
      <c r="H56" s="12" t="n">
        <v>1</v>
      </c>
      <c r="I56" s="13" t="n">
        <v>2400</v>
      </c>
      <c r="J56" s="14">
        <f>IF(OR(H56="",I56=""),"",H56*I56)</f>
        <v>2400</v>
      </c>
      <c r="K56" s="11" t="inlineStr">
        <is>
          <t>Pago</t>
        </is>
      </c>
      <c r="L56" s="9">
        <f>IF(B56="","",MONTH(B56))</f>
        <v>3</v>
      </c>
      <c r="M56" s="9">
        <f>IF(B56="","",YEAR(B56))</f>
        <v>2026</v>
      </c>
    </row>
    <row r="57">
      <c r="A57" s="9">
        <f>IF(B57="","",ROW()-1)</f>
        <v>56</v>
      </c>
      <c r="B57" s="10" t="n">
        <v>46105</v>
      </c>
      <c r="C57" s="11" t="inlineStr">
        <is>
          <t>Escola Nova Era</t>
        </is>
      </c>
      <c r="D57" s="11" t="inlineStr">
        <is>
          <t>Serviço</t>
        </is>
      </c>
      <c r="E57" s="11" t="inlineStr">
        <is>
          <t>Evento</t>
        </is>
      </c>
      <c r="F57" s="11" t="inlineStr">
        <is>
          <t>Diego</t>
        </is>
      </c>
      <c r="G57" s="8" t="inlineStr">
        <is>
          <t>Vídeo curto</t>
        </is>
      </c>
      <c r="H57" s="12" t="n">
        <v>1</v>
      </c>
      <c r="I57" s="13" t="n">
        <v>3200</v>
      </c>
      <c r="J57" s="14">
        <f>IF(OR(H57="",I57=""),"",H57*I57)</f>
        <v>3200</v>
      </c>
      <c r="K57" s="11" t="inlineStr">
        <is>
          <t>Pago</t>
        </is>
      </c>
      <c r="L57" s="9">
        <f>IF(B57="","",MONTH(B57))</f>
        <v>3</v>
      </c>
      <c r="M57" s="9">
        <f>IF(B57="","",YEAR(B57))</f>
        <v>2026</v>
      </c>
    </row>
    <row r="58">
      <c r="A58" s="9">
        <f>IF(B58="","",ROW()-1)</f>
        <v>57</v>
      </c>
      <c r="B58" s="10" t="n">
        <v>46105</v>
      </c>
      <c r="C58" s="11" t="inlineStr">
        <is>
          <t>Café Central</t>
        </is>
      </c>
      <c r="D58" s="11" t="inlineStr">
        <is>
          <t>Serviço</t>
        </is>
      </c>
      <c r="E58" s="11" t="inlineStr">
        <is>
          <t>Indicação</t>
        </is>
      </c>
      <c r="F58" s="11" t="inlineStr">
        <is>
          <t>Bruno</t>
        </is>
      </c>
      <c r="G58" s="8" t="inlineStr">
        <is>
          <t>Posts do mês</t>
        </is>
      </c>
      <c r="H58" s="12" t="n">
        <v>2</v>
      </c>
      <c r="I58" s="13" t="n">
        <v>3200</v>
      </c>
      <c r="J58" s="14">
        <f>IF(OR(H58="",I58=""),"",H58*I58)</f>
        <v>6400</v>
      </c>
      <c r="K58" s="11" t="inlineStr">
        <is>
          <t>Pago</t>
        </is>
      </c>
      <c r="L58" s="9">
        <f>IF(B58="","",MONTH(B58))</f>
        <v>3</v>
      </c>
      <c r="M58" s="9">
        <f>IF(B58="","",YEAR(B58))</f>
        <v>2026</v>
      </c>
    </row>
    <row r="59">
      <c r="A59" s="9">
        <f>IF(B59="","",ROW()-1)</f>
        <v>58</v>
      </c>
      <c r="B59" s="10" t="n">
        <v>46106</v>
      </c>
      <c r="C59" s="11" t="inlineStr">
        <is>
          <t>Clínica Bem-Estar</t>
        </is>
      </c>
      <c r="D59" s="11" t="inlineStr">
        <is>
          <t>Produto</t>
        </is>
      </c>
      <c r="E59" s="11" t="inlineStr">
        <is>
          <t>Evento</t>
        </is>
      </c>
      <c r="F59" s="11" t="inlineStr">
        <is>
          <t>Bruno</t>
        </is>
      </c>
      <c r="G59" s="8" t="inlineStr">
        <is>
          <t>Template de apresentação</t>
        </is>
      </c>
      <c r="H59" s="12" t="n">
        <v>1</v>
      </c>
      <c r="I59" s="13" t="n">
        <v>49</v>
      </c>
      <c r="J59" s="14">
        <f>IF(OR(H59="",I59=""),"",H59*I59)</f>
        <v>49</v>
      </c>
      <c r="K59" s="11" t="inlineStr">
        <is>
          <t>Em aberto</t>
        </is>
      </c>
      <c r="L59" s="9">
        <f>IF(B59="","",MONTH(B59))</f>
        <v>3</v>
      </c>
      <c r="M59" s="9">
        <f>IF(B59="","",YEAR(B59))</f>
        <v>2026</v>
      </c>
    </row>
    <row r="60">
      <c r="A60" s="9">
        <f>IF(B60="","",ROW()-1)</f>
        <v>59</v>
      </c>
      <c r="B60" s="10" t="n">
        <v>46106</v>
      </c>
      <c r="C60" s="11" t="inlineStr">
        <is>
          <t>Padaria do Sol</t>
        </is>
      </c>
      <c r="D60" s="11" t="inlineStr">
        <is>
          <t>Reembolso</t>
        </is>
      </c>
      <c r="E60" s="11" t="inlineStr">
        <is>
          <t>Evento</t>
        </is>
      </c>
      <c r="F60" s="11" t="inlineStr">
        <is>
          <t>Diego</t>
        </is>
      </c>
      <c r="G60" s="8" t="inlineStr">
        <is>
          <t>Estorno parcial</t>
        </is>
      </c>
      <c r="H60" s="12" t="n">
        <v>1</v>
      </c>
      <c r="I60" s="13" t="n">
        <v>-200</v>
      </c>
      <c r="J60" s="14">
        <f>IF(OR(H60="",I60=""),"",H60*I60)</f>
        <v>-200</v>
      </c>
      <c r="K60" s="11" t="inlineStr">
        <is>
          <t>Pago</t>
        </is>
      </c>
      <c r="L60" s="9">
        <f>IF(B60="","",MONTH(B60))</f>
        <v>3</v>
      </c>
      <c r="M60" s="9">
        <f>IF(B60="","",YEAR(B60))</f>
        <v>2026</v>
      </c>
    </row>
    <row r="61">
      <c r="A61" s="9">
        <f>IF(B61="","",ROW()-1)</f>
        <v>60</v>
      </c>
      <c r="B61" s="10" t="n">
        <v>46106</v>
      </c>
      <c r="C61" s="11" t="inlineStr">
        <is>
          <t>Loja Verde</t>
        </is>
      </c>
      <c r="D61" s="11" t="inlineStr">
        <is>
          <t>Serviço</t>
        </is>
      </c>
      <c r="E61" s="11" t="inlineStr">
        <is>
          <t>Evento</t>
        </is>
      </c>
      <c r="F61" s="11" t="inlineStr">
        <is>
          <t>Ana</t>
        </is>
      </c>
      <c r="G61" s="8" t="inlineStr">
        <is>
          <t>Layout de página</t>
        </is>
      </c>
      <c r="H61" s="12" t="n">
        <v>2</v>
      </c>
      <c r="I61" s="13" t="n">
        <v>3200</v>
      </c>
      <c r="J61" s="14">
        <f>IF(OR(H61="",I61=""),"",H61*I61)</f>
        <v>6400</v>
      </c>
      <c r="K61" s="11" t="inlineStr">
        <is>
          <t>Pago</t>
        </is>
      </c>
      <c r="L61" s="9">
        <f>IF(B61="","",MONTH(B61))</f>
        <v>3</v>
      </c>
      <c r="M61" s="9">
        <f>IF(B61="","",YEAR(B61))</f>
        <v>2026</v>
      </c>
    </row>
    <row r="62">
      <c r="A62" s="9">
        <f>IF(B62="","",ROW()-1)</f>
        <v>61</v>
      </c>
      <c r="B62" s="10" t="n">
        <v>46107</v>
      </c>
      <c r="C62" s="11" t="inlineStr">
        <is>
          <t>Aurora Móveis</t>
        </is>
      </c>
      <c r="D62" s="11" t="inlineStr">
        <is>
          <t>Reembolso</t>
        </is>
      </c>
      <c r="E62" s="11" t="inlineStr">
        <is>
          <t>Indicação</t>
        </is>
      </c>
      <c r="F62" s="11" t="inlineStr">
        <is>
          <t>Carla</t>
        </is>
      </c>
      <c r="G62" s="8" t="inlineStr">
        <is>
          <t>Estorno parcial</t>
        </is>
      </c>
      <c r="H62" s="12" t="n">
        <v>1</v>
      </c>
      <c r="I62" s="13" t="n">
        <v>-400</v>
      </c>
      <c r="J62" s="14">
        <f>IF(OR(H62="",I62=""),"",H62*I62)</f>
        <v>-400</v>
      </c>
      <c r="K62" s="11" t="inlineStr">
        <is>
          <t>Em aberto</t>
        </is>
      </c>
      <c r="L62" s="9">
        <f>IF(B62="","",MONTH(B62))</f>
        <v>3</v>
      </c>
      <c r="M62" s="9">
        <f>IF(B62="","",YEAR(B62))</f>
        <v>2026</v>
      </c>
    </row>
    <row r="63">
      <c r="A63" s="9">
        <f>IF(B63="","",ROW()-1)</f>
        <v>62</v>
      </c>
      <c r="B63" s="10" t="n">
        <v>46107</v>
      </c>
      <c r="C63" s="11" t="inlineStr">
        <is>
          <t>Padaria do Sol</t>
        </is>
      </c>
      <c r="D63" s="11" t="inlineStr">
        <is>
          <t>Serviço</t>
        </is>
      </c>
      <c r="E63" s="11" t="inlineStr">
        <is>
          <t>Cliente antigo</t>
        </is>
      </c>
      <c r="F63" s="11" t="inlineStr">
        <is>
          <t>Ana</t>
        </is>
      </c>
      <c r="G63" s="8" t="inlineStr">
        <is>
          <t>Diagramação</t>
        </is>
      </c>
      <c r="H63" s="12" t="n">
        <v>1</v>
      </c>
      <c r="I63" s="13" t="n">
        <v>800</v>
      </c>
      <c r="J63" s="14">
        <f>IF(OR(H63="",I63=""),"",H63*I63)</f>
        <v>800</v>
      </c>
      <c r="K63" s="11" t="inlineStr">
        <is>
          <t>Pago</t>
        </is>
      </c>
      <c r="L63" s="9">
        <f>IF(B63="","",MONTH(B63))</f>
        <v>3</v>
      </c>
      <c r="M63" s="9">
        <f>IF(B63="","",YEAR(B63))</f>
        <v>2026</v>
      </c>
    </row>
    <row r="64">
      <c r="A64" s="9">
        <f>IF(B64="","",ROW()-1)</f>
        <v>63</v>
      </c>
      <c r="B64" s="10" t="n">
        <v>46110</v>
      </c>
      <c r="C64" s="11" t="inlineStr">
        <is>
          <t>Café Central</t>
        </is>
      </c>
      <c r="D64" s="11" t="inlineStr">
        <is>
          <t>Produto</t>
        </is>
      </c>
      <c r="E64" s="11" t="inlineStr">
        <is>
          <t>Evento</t>
        </is>
      </c>
      <c r="F64" s="11" t="inlineStr">
        <is>
          <t>Ana</t>
        </is>
      </c>
      <c r="G64" s="8" t="inlineStr">
        <is>
          <t>Pacote de ícones</t>
        </is>
      </c>
      <c r="H64" s="12" t="n">
        <v>1</v>
      </c>
      <c r="I64" s="13" t="n">
        <v>149</v>
      </c>
      <c r="J64" s="14">
        <f>IF(OR(H64="",I64=""),"",H64*I64)</f>
        <v>149</v>
      </c>
      <c r="K64" s="11" t="inlineStr">
        <is>
          <t>Pago</t>
        </is>
      </c>
      <c r="L64" s="9">
        <f>IF(B64="","",MONTH(B64))</f>
        <v>3</v>
      </c>
      <c r="M64" s="9">
        <f>IF(B64="","",YEAR(B64))</f>
        <v>2026</v>
      </c>
    </row>
    <row r="65">
      <c r="A65" s="9">
        <f>IF(B65="","",ROW()-1)</f>
        <v>64</v>
      </c>
      <c r="B65" s="10" t="n">
        <v>46110</v>
      </c>
      <c r="C65" s="11" t="inlineStr">
        <is>
          <t>Café Central</t>
        </is>
      </c>
      <c r="D65" s="11" t="inlineStr">
        <is>
          <t>Produto</t>
        </is>
      </c>
      <c r="E65" s="11" t="inlineStr">
        <is>
          <t>Instagram</t>
        </is>
      </c>
      <c r="F65" s="11" t="inlineStr">
        <is>
          <t>Carla</t>
        </is>
      </c>
      <c r="G65" s="8" t="inlineStr">
        <is>
          <t>Template de apresentação</t>
        </is>
      </c>
      <c r="H65" s="12" t="n">
        <v>1</v>
      </c>
      <c r="I65" s="13" t="n">
        <v>149</v>
      </c>
      <c r="J65" s="14">
        <f>IF(OR(H65="",I65=""),"",H65*I65)</f>
        <v>149</v>
      </c>
      <c r="K65" s="11" t="inlineStr">
        <is>
          <t>Pago</t>
        </is>
      </c>
      <c r="L65" s="9">
        <f>IF(B65="","",MONTH(B65))</f>
        <v>3</v>
      </c>
      <c r="M65" s="9">
        <f>IF(B65="","",YEAR(B65))</f>
        <v>2026</v>
      </c>
    </row>
    <row r="66">
      <c r="A66" s="9">
        <f>IF(B66="","",ROW()-1)</f>
        <v>65</v>
      </c>
      <c r="B66" s="10" t="n">
        <v>46110</v>
      </c>
      <c r="C66" s="11" t="inlineStr">
        <is>
          <t>Escola Nova Era</t>
        </is>
      </c>
      <c r="D66" s="11" t="inlineStr">
        <is>
          <t>Serviço</t>
        </is>
      </c>
      <c r="E66" s="11" t="inlineStr">
        <is>
          <t>Site</t>
        </is>
      </c>
      <c r="F66" s="11" t="inlineStr">
        <is>
          <t>Carla</t>
        </is>
      </c>
      <c r="G66" s="8" t="inlineStr">
        <is>
          <t>Posts do mês</t>
        </is>
      </c>
      <c r="H66" s="12" t="n">
        <v>1</v>
      </c>
      <c r="I66" s="13" t="n">
        <v>2400</v>
      </c>
      <c r="J66" s="14">
        <f>IF(OR(H66="",I66=""),"",H66*I66)</f>
        <v>2400</v>
      </c>
      <c r="K66" s="11" t="inlineStr">
        <is>
          <t>Pago</t>
        </is>
      </c>
      <c r="L66" s="9">
        <f>IF(B66="","",MONTH(B66))</f>
        <v>3</v>
      </c>
      <c r="M66" s="9">
        <f>IF(B66="","",YEAR(B66))</f>
        <v>2026</v>
      </c>
    </row>
    <row r="67">
      <c r="A67" s="9">
        <f>IF(B67="","",ROW()-1)</f>
        <v>66</v>
      </c>
      <c r="B67" s="10" t="n">
        <v>46112</v>
      </c>
      <c r="C67" s="11" t="inlineStr">
        <is>
          <t>Loja Verde</t>
        </is>
      </c>
      <c r="D67" s="11" t="inlineStr">
        <is>
          <t>Serviço</t>
        </is>
      </c>
      <c r="E67" s="11" t="inlineStr">
        <is>
          <t>Cliente antigo</t>
        </is>
      </c>
      <c r="F67" s="11" t="inlineStr">
        <is>
          <t>Bruno</t>
        </is>
      </c>
      <c r="G67" s="8" t="inlineStr">
        <is>
          <t>Diagramação</t>
        </is>
      </c>
      <c r="H67" s="12" t="n">
        <v>2</v>
      </c>
      <c r="I67" s="13" t="n">
        <v>800</v>
      </c>
      <c r="J67" s="14">
        <f>IF(OR(H67="",I67=""),"",H67*I67)</f>
        <v>1600</v>
      </c>
      <c r="K67" s="11" t="inlineStr">
        <is>
          <t>Pago</t>
        </is>
      </c>
      <c r="L67" s="9">
        <f>IF(B67="","",MONTH(B67))</f>
        <v>3</v>
      </c>
      <c r="M67" s="9">
        <f>IF(B67="","",YEAR(B67))</f>
        <v>2026</v>
      </c>
    </row>
    <row r="68">
      <c r="A68" s="9">
        <f>IF(B68="","",ROW()-1)</f>
        <v>67</v>
      </c>
      <c r="B68" s="10" t="n">
        <v>46113</v>
      </c>
      <c r="C68" s="11" t="inlineStr">
        <is>
          <t>Padaria do Sol</t>
        </is>
      </c>
      <c r="D68" s="11" t="inlineStr">
        <is>
          <t>Produto</t>
        </is>
      </c>
      <c r="E68" s="11" t="inlineStr">
        <is>
          <t>Site</t>
        </is>
      </c>
      <c r="F68" s="11" t="inlineStr">
        <is>
          <t>Bruno</t>
        </is>
      </c>
      <c r="G68" s="8" t="inlineStr">
        <is>
          <t>Template de apresentação</t>
        </is>
      </c>
      <c r="H68" s="12" t="n">
        <v>2</v>
      </c>
      <c r="I68" s="13" t="n">
        <v>97</v>
      </c>
      <c r="J68" s="14">
        <f>IF(OR(H68="",I68=""),"",H68*I68)</f>
        <v>194</v>
      </c>
      <c r="K68" s="11" t="inlineStr">
        <is>
          <t>Pago</t>
        </is>
      </c>
      <c r="L68" s="9">
        <f>IF(B68="","",MONTH(B68))</f>
        <v>4</v>
      </c>
      <c r="M68" s="9">
        <f>IF(B68="","",YEAR(B68))</f>
        <v>2026</v>
      </c>
    </row>
    <row r="69">
      <c r="A69" s="9">
        <f>IF(B69="","",ROW()-1)</f>
        <v>68</v>
      </c>
      <c r="B69" s="10" t="n">
        <v>46117</v>
      </c>
      <c r="C69" s="11" t="inlineStr">
        <is>
          <t>Loja Verde</t>
        </is>
      </c>
      <c r="D69" s="11" t="inlineStr">
        <is>
          <t>Serviço</t>
        </is>
      </c>
      <c r="E69" s="11" t="inlineStr">
        <is>
          <t>Evento</t>
        </is>
      </c>
      <c r="F69" s="11" t="inlineStr">
        <is>
          <t>Bruno</t>
        </is>
      </c>
      <c r="G69" s="8" t="inlineStr">
        <is>
          <t>Vídeo curto</t>
        </is>
      </c>
      <c r="H69" s="12" t="n">
        <v>1</v>
      </c>
      <c r="I69" s="13" t="n">
        <v>3200</v>
      </c>
      <c r="J69" s="14">
        <f>IF(OR(H69="",I69=""),"",H69*I69)</f>
        <v>3200</v>
      </c>
      <c r="K69" s="11" t="inlineStr">
        <is>
          <t>Cancelado</t>
        </is>
      </c>
      <c r="L69" s="9">
        <f>IF(B69="","",MONTH(B69))</f>
        <v>4</v>
      </c>
      <c r="M69" s="9">
        <f>IF(B69="","",YEAR(B69))</f>
        <v>2026</v>
      </c>
    </row>
    <row r="70">
      <c r="A70" s="9">
        <f>IF(B70="","",ROW()-1)</f>
        <v>69</v>
      </c>
      <c r="B70" s="10" t="n">
        <v>46118</v>
      </c>
      <c r="C70" s="11" t="inlineStr">
        <is>
          <t>Loja Verde</t>
        </is>
      </c>
      <c r="D70" s="11" t="inlineStr">
        <is>
          <t>Serviço</t>
        </is>
      </c>
      <c r="E70" s="11" t="inlineStr">
        <is>
          <t>Site</t>
        </is>
      </c>
      <c r="F70" s="11" t="inlineStr">
        <is>
          <t>Ana</t>
        </is>
      </c>
      <c r="G70" s="8" t="inlineStr">
        <is>
          <t>Vídeo curto</t>
        </is>
      </c>
      <c r="H70" s="12" t="n">
        <v>3</v>
      </c>
      <c r="I70" s="13" t="n">
        <v>800</v>
      </c>
      <c r="J70" s="14">
        <f>IF(OR(H70="",I70=""),"",H70*I70)</f>
        <v>2400</v>
      </c>
      <c r="K70" s="11" t="inlineStr">
        <is>
          <t>Pago</t>
        </is>
      </c>
      <c r="L70" s="9">
        <f>IF(B70="","",MONTH(B70))</f>
        <v>4</v>
      </c>
      <c r="M70" s="9">
        <f>IF(B70="","",YEAR(B70))</f>
        <v>2026</v>
      </c>
    </row>
    <row r="71">
      <c r="A71" s="9">
        <f>IF(B71="","",ROW()-1)</f>
        <v>70</v>
      </c>
      <c r="B71" s="10" t="n">
        <v>46122</v>
      </c>
      <c r="C71" s="11" t="inlineStr">
        <is>
          <t>Clínica Bem-Estar</t>
        </is>
      </c>
      <c r="D71" s="11" t="inlineStr">
        <is>
          <t>Serviço</t>
        </is>
      </c>
      <c r="E71" s="11" t="inlineStr">
        <is>
          <t>Indicação</t>
        </is>
      </c>
      <c r="F71" s="11" t="inlineStr">
        <is>
          <t>Carla</t>
        </is>
      </c>
      <c r="G71" s="8" t="inlineStr">
        <is>
          <t>Consultoria de marca</t>
        </is>
      </c>
      <c r="H71" s="12" t="n">
        <v>1</v>
      </c>
      <c r="I71" s="13" t="n">
        <v>2400</v>
      </c>
      <c r="J71" s="14">
        <f>IF(OR(H71="",I71=""),"",H71*I71)</f>
        <v>2400</v>
      </c>
      <c r="K71" s="11" t="inlineStr">
        <is>
          <t>Pago</t>
        </is>
      </c>
      <c r="L71" s="9">
        <f>IF(B71="","",MONTH(B71))</f>
        <v>4</v>
      </c>
      <c r="M71" s="9">
        <f>IF(B71="","",YEAR(B71))</f>
        <v>2026</v>
      </c>
    </row>
    <row r="72">
      <c r="A72" s="9">
        <f>IF(B72="","",ROW()-1)</f>
        <v>71</v>
      </c>
      <c r="B72" s="10" t="n">
        <v>46122</v>
      </c>
      <c r="C72" s="11" t="inlineStr">
        <is>
          <t>Loja Verde</t>
        </is>
      </c>
      <c r="D72" s="11" t="inlineStr">
        <is>
          <t>Produto</t>
        </is>
      </c>
      <c r="E72" s="11" t="inlineStr">
        <is>
          <t>Instagram</t>
        </is>
      </c>
      <c r="F72" s="11" t="inlineStr">
        <is>
          <t>Carla</t>
        </is>
      </c>
      <c r="G72" s="8" t="inlineStr">
        <is>
          <t>E-book de marca</t>
        </is>
      </c>
      <c r="H72" s="12" t="n">
        <v>3</v>
      </c>
      <c r="I72" s="13" t="n">
        <v>97</v>
      </c>
      <c r="J72" s="14">
        <f>IF(OR(H72="",I72=""),"",H72*I72)</f>
        <v>291</v>
      </c>
      <c r="K72" s="11" t="inlineStr">
        <is>
          <t>Pago</t>
        </is>
      </c>
      <c r="L72" s="9">
        <f>IF(B72="","",MONTH(B72))</f>
        <v>4</v>
      </c>
      <c r="M72" s="9">
        <f>IF(B72="","",YEAR(B72))</f>
        <v>2026</v>
      </c>
    </row>
    <row r="73">
      <c r="A73" s="9">
        <f>IF(B73="","",ROW()-1)</f>
        <v>72</v>
      </c>
      <c r="B73" s="10" t="n">
        <v>46123</v>
      </c>
      <c r="C73" s="11" t="inlineStr">
        <is>
          <t>Clínica Bem-Estar</t>
        </is>
      </c>
      <c r="D73" s="11" t="inlineStr">
        <is>
          <t>Produto</t>
        </is>
      </c>
      <c r="E73" s="11" t="inlineStr">
        <is>
          <t>Evento</t>
        </is>
      </c>
      <c r="F73" s="11" t="inlineStr">
        <is>
          <t>Carla</t>
        </is>
      </c>
      <c r="G73" s="8" t="inlineStr">
        <is>
          <t>Template de apresentação</t>
        </is>
      </c>
      <c r="H73" s="12" t="n">
        <v>2</v>
      </c>
      <c r="I73" s="13" t="n">
        <v>97</v>
      </c>
      <c r="J73" s="14">
        <f>IF(OR(H73="",I73=""),"",H73*I73)</f>
        <v>194</v>
      </c>
      <c r="K73" s="11" t="inlineStr">
        <is>
          <t>Pago</t>
        </is>
      </c>
      <c r="L73" s="9">
        <f>IF(B73="","",MONTH(B73))</f>
        <v>4</v>
      </c>
      <c r="M73" s="9">
        <f>IF(B73="","",YEAR(B73))</f>
        <v>2026</v>
      </c>
    </row>
    <row r="74">
      <c r="A74" s="9">
        <f>IF(B74="","",ROW()-1)</f>
        <v>73</v>
      </c>
      <c r="B74" s="10" t="n">
        <v>46123</v>
      </c>
      <c r="C74" s="11" t="inlineStr">
        <is>
          <t>Bistrô 42</t>
        </is>
      </c>
      <c r="D74" s="11" t="inlineStr">
        <is>
          <t>Reembolso</t>
        </is>
      </c>
      <c r="E74" s="11" t="inlineStr">
        <is>
          <t>Site</t>
        </is>
      </c>
      <c r="F74" s="11" t="inlineStr">
        <is>
          <t>Diego</t>
        </is>
      </c>
      <c r="G74" s="8" t="inlineStr">
        <is>
          <t>Estorno parcial</t>
        </is>
      </c>
      <c r="H74" s="12" t="n">
        <v>2</v>
      </c>
      <c r="I74" s="13" t="n">
        <v>-400</v>
      </c>
      <c r="J74" s="14">
        <f>IF(OR(H74="",I74=""),"",H74*I74)</f>
        <v>-800</v>
      </c>
      <c r="K74" s="11" t="inlineStr">
        <is>
          <t>Em aberto</t>
        </is>
      </c>
      <c r="L74" s="9">
        <f>IF(B74="","",MONTH(B74))</f>
        <v>4</v>
      </c>
      <c r="M74" s="9">
        <f>IF(B74="","",YEAR(B74))</f>
        <v>2026</v>
      </c>
    </row>
    <row r="75">
      <c r="A75" s="9">
        <f>IF(B75="","",ROW()-1)</f>
        <v>74</v>
      </c>
      <c r="B75" s="10" t="n">
        <v>46124</v>
      </c>
      <c r="C75" s="11" t="inlineStr">
        <is>
          <t>Horizonte</t>
        </is>
      </c>
      <c r="D75" s="11" t="inlineStr">
        <is>
          <t>Produto</t>
        </is>
      </c>
      <c r="E75" s="11" t="inlineStr">
        <is>
          <t>Cliente antigo</t>
        </is>
      </c>
      <c r="F75" s="11" t="inlineStr">
        <is>
          <t>Diego</t>
        </is>
      </c>
      <c r="G75" s="8" t="inlineStr">
        <is>
          <t>Pacote de ícones</t>
        </is>
      </c>
      <c r="H75" s="12" t="n">
        <v>2</v>
      </c>
      <c r="I75" s="13" t="n">
        <v>149</v>
      </c>
      <c r="J75" s="14">
        <f>IF(OR(H75="",I75=""),"",H75*I75)</f>
        <v>298</v>
      </c>
      <c r="K75" s="11" t="inlineStr">
        <is>
          <t>Pago</t>
        </is>
      </c>
      <c r="L75" s="9">
        <f>IF(B75="","",MONTH(B75))</f>
        <v>4</v>
      </c>
      <c r="M75" s="9">
        <f>IF(B75="","",YEAR(B75))</f>
        <v>2026</v>
      </c>
    </row>
    <row r="76">
      <c r="A76" s="9">
        <f>IF(B76="","",ROW()-1)</f>
        <v>75</v>
      </c>
      <c r="B76" s="10" t="n">
        <v>46124</v>
      </c>
      <c r="C76" s="11" t="inlineStr">
        <is>
          <t>Bistrô 42</t>
        </is>
      </c>
      <c r="D76" s="11" t="inlineStr">
        <is>
          <t>Ajuste</t>
        </is>
      </c>
      <c r="E76" s="11" t="inlineStr">
        <is>
          <t>Site</t>
        </is>
      </c>
      <c r="F76" s="11" t="inlineStr">
        <is>
          <t>Bruno</t>
        </is>
      </c>
      <c r="G76" s="8" t="inlineStr">
        <is>
          <t>Ajuste de fatura</t>
        </is>
      </c>
      <c r="H76" s="12" t="n">
        <v>3</v>
      </c>
      <c r="I76" s="13" t="n">
        <v>150</v>
      </c>
      <c r="J76" s="14">
        <f>IF(OR(H76="",I76=""),"",H76*I76)</f>
        <v>450</v>
      </c>
      <c r="K76" s="11" t="inlineStr">
        <is>
          <t>Pago</t>
        </is>
      </c>
      <c r="L76" s="9">
        <f>IF(B76="","",MONTH(B76))</f>
        <v>4</v>
      </c>
      <c r="M76" s="9">
        <f>IF(B76="","",YEAR(B76))</f>
        <v>2026</v>
      </c>
    </row>
    <row r="77">
      <c r="A77" s="9">
        <f>IF(B77="","",ROW()-1)</f>
        <v>76</v>
      </c>
      <c r="B77" s="10" t="n">
        <v>46124</v>
      </c>
      <c r="C77" s="11" t="inlineStr">
        <is>
          <t>Loja Verde</t>
        </is>
      </c>
      <c r="D77" s="11" t="inlineStr">
        <is>
          <t>Serviço</t>
        </is>
      </c>
      <c r="E77" s="11" t="inlineStr">
        <is>
          <t>Site</t>
        </is>
      </c>
      <c r="F77" s="11" t="inlineStr">
        <is>
          <t>Ana</t>
        </is>
      </c>
      <c r="G77" s="8" t="inlineStr">
        <is>
          <t>Vídeo curto</t>
        </is>
      </c>
      <c r="H77" s="12" t="n">
        <v>1</v>
      </c>
      <c r="I77" s="13" t="n">
        <v>800</v>
      </c>
      <c r="J77" s="14">
        <f>IF(OR(H77="",I77=""),"",H77*I77)</f>
        <v>800</v>
      </c>
      <c r="K77" s="11" t="inlineStr">
        <is>
          <t>Pago</t>
        </is>
      </c>
      <c r="L77" s="9">
        <f>IF(B77="","",MONTH(B77))</f>
        <v>4</v>
      </c>
      <c r="M77" s="9">
        <f>IF(B77="","",YEAR(B77))</f>
        <v>2026</v>
      </c>
    </row>
    <row r="78">
      <c r="A78" s="9">
        <f>IF(B78="","",ROW()-1)</f>
        <v>77</v>
      </c>
      <c r="B78" s="10" t="n">
        <v>46125</v>
      </c>
      <c r="C78" s="11" t="inlineStr">
        <is>
          <t>Loja Verde</t>
        </is>
      </c>
      <c r="D78" s="11" t="inlineStr">
        <is>
          <t>Serviço</t>
        </is>
      </c>
      <c r="E78" s="11" t="inlineStr">
        <is>
          <t>Indicação</t>
        </is>
      </c>
      <c r="F78" s="11" t="inlineStr">
        <is>
          <t>Diego</t>
        </is>
      </c>
      <c r="G78" s="8" t="inlineStr">
        <is>
          <t>Posts do mês</t>
        </is>
      </c>
      <c r="H78" s="12" t="n">
        <v>1</v>
      </c>
      <c r="I78" s="13" t="n">
        <v>800</v>
      </c>
      <c r="J78" s="14">
        <f>IF(OR(H78="",I78=""),"",H78*I78)</f>
        <v>800</v>
      </c>
      <c r="K78" s="11" t="inlineStr">
        <is>
          <t>Pago</t>
        </is>
      </c>
      <c r="L78" s="9">
        <f>IF(B78="","",MONTH(B78))</f>
        <v>4</v>
      </c>
      <c r="M78" s="9">
        <f>IF(B78="","",YEAR(B78))</f>
        <v>2026</v>
      </c>
    </row>
    <row r="79">
      <c r="A79" s="9">
        <f>IF(B79="","",ROW()-1)</f>
        <v>78</v>
      </c>
      <c r="B79" s="10" t="n">
        <v>46126</v>
      </c>
      <c r="C79" s="11" t="inlineStr">
        <is>
          <t>Café Central</t>
        </is>
      </c>
      <c r="D79" s="11" t="inlineStr">
        <is>
          <t>Serviço</t>
        </is>
      </c>
      <c r="E79" s="11" t="inlineStr">
        <is>
          <t>Evento</t>
        </is>
      </c>
      <c r="F79" s="11" t="inlineStr">
        <is>
          <t>Carla</t>
        </is>
      </c>
      <c r="G79" s="8" t="inlineStr">
        <is>
          <t>Vídeo curto</t>
        </is>
      </c>
      <c r="H79" s="12" t="n">
        <v>2</v>
      </c>
      <c r="I79" s="13" t="n">
        <v>2400</v>
      </c>
      <c r="J79" s="14">
        <f>IF(OR(H79="",I79=""),"",H79*I79)</f>
        <v>4800</v>
      </c>
      <c r="K79" s="11" t="inlineStr">
        <is>
          <t>Em aberto</t>
        </is>
      </c>
      <c r="L79" s="9">
        <f>IF(B79="","",MONTH(B79))</f>
        <v>4</v>
      </c>
      <c r="M79" s="9">
        <f>IF(B79="","",YEAR(B79))</f>
        <v>2026</v>
      </c>
    </row>
    <row r="80">
      <c r="A80" s="9">
        <f>IF(B80="","",ROW()-1)</f>
        <v>79</v>
      </c>
      <c r="B80" s="10" t="n">
        <v>46131</v>
      </c>
      <c r="C80" s="11" t="inlineStr">
        <is>
          <t>Padaria do Sol</t>
        </is>
      </c>
      <c r="D80" s="11" t="inlineStr">
        <is>
          <t>Serviço</t>
        </is>
      </c>
      <c r="E80" s="11" t="inlineStr">
        <is>
          <t>Indicação</t>
        </is>
      </c>
      <c r="F80" s="11" t="inlineStr">
        <is>
          <t>Diego</t>
        </is>
      </c>
      <c r="G80" s="8" t="inlineStr">
        <is>
          <t>Consultoria de marca</t>
        </is>
      </c>
      <c r="H80" s="12" t="n">
        <v>3</v>
      </c>
      <c r="I80" s="13" t="n">
        <v>3200</v>
      </c>
      <c r="J80" s="14">
        <f>IF(OR(H80="",I80=""),"",H80*I80)</f>
        <v>9600</v>
      </c>
      <c r="K80" s="11" t="inlineStr">
        <is>
          <t>Pago</t>
        </is>
      </c>
      <c r="L80" s="9">
        <f>IF(B80="","",MONTH(B80))</f>
        <v>4</v>
      </c>
      <c r="M80" s="9">
        <f>IF(B80="","",YEAR(B80))</f>
        <v>2026</v>
      </c>
    </row>
    <row r="81">
      <c r="A81" s="9">
        <f>IF(B81="","",ROW()-1)</f>
        <v>80</v>
      </c>
      <c r="B81" s="10" t="n">
        <v>46134</v>
      </c>
      <c r="C81" s="11" t="inlineStr">
        <is>
          <t>Padaria do Sol</t>
        </is>
      </c>
      <c r="D81" s="11" t="inlineStr">
        <is>
          <t>Serviço</t>
        </is>
      </c>
      <c r="E81" s="11" t="inlineStr">
        <is>
          <t>Evento</t>
        </is>
      </c>
      <c r="F81" s="11" t="inlineStr">
        <is>
          <t>Carla</t>
        </is>
      </c>
      <c r="G81" s="8" t="inlineStr">
        <is>
          <t>Consultoria de marca</t>
        </is>
      </c>
      <c r="H81" s="12" t="n">
        <v>1</v>
      </c>
      <c r="I81" s="13" t="n">
        <v>1200</v>
      </c>
      <c r="J81" s="14">
        <f>IF(OR(H81="",I81=""),"",H81*I81)</f>
        <v>1200</v>
      </c>
      <c r="K81" s="11" t="inlineStr">
        <is>
          <t>Pago</t>
        </is>
      </c>
      <c r="L81" s="9">
        <f>IF(B81="","",MONTH(B81))</f>
        <v>4</v>
      </c>
      <c r="M81" s="9">
        <f>IF(B81="","",YEAR(B81))</f>
        <v>2026</v>
      </c>
    </row>
    <row r="82">
      <c r="A82" s="9">
        <f>IF(B82="","",ROW()-1)</f>
        <v>81</v>
      </c>
      <c r="B82" s="10" t="n">
        <v>46136</v>
      </c>
      <c r="C82" s="11" t="inlineStr">
        <is>
          <t>Bistrô 42</t>
        </is>
      </c>
      <c r="D82" s="11" t="inlineStr">
        <is>
          <t>Serviço</t>
        </is>
      </c>
      <c r="E82" s="11" t="inlineStr">
        <is>
          <t>Evento</t>
        </is>
      </c>
      <c r="F82" s="11" t="inlineStr">
        <is>
          <t>Carla</t>
        </is>
      </c>
      <c r="G82" s="8" t="inlineStr">
        <is>
          <t>Vídeo curto</t>
        </is>
      </c>
      <c r="H82" s="12" t="n">
        <v>1</v>
      </c>
      <c r="I82" s="13" t="n">
        <v>800</v>
      </c>
      <c r="J82" s="14">
        <f>IF(OR(H82="",I82=""),"",H82*I82)</f>
        <v>800</v>
      </c>
      <c r="K82" s="11" t="inlineStr">
        <is>
          <t>Em aberto</t>
        </is>
      </c>
      <c r="L82" s="9">
        <f>IF(B82="","",MONTH(B82))</f>
        <v>4</v>
      </c>
      <c r="M82" s="9">
        <f>IF(B82="","",YEAR(B82))</f>
        <v>2026</v>
      </c>
    </row>
    <row r="83">
      <c r="A83" s="9">
        <f>IF(B83="","",ROW()-1)</f>
        <v>82</v>
      </c>
      <c r="B83" s="10" t="n">
        <v>46138</v>
      </c>
      <c r="C83" s="11" t="inlineStr">
        <is>
          <t>Padaria do Sol</t>
        </is>
      </c>
      <c r="D83" s="11" t="inlineStr">
        <is>
          <t>Serviço</t>
        </is>
      </c>
      <c r="E83" s="11" t="inlineStr">
        <is>
          <t>Evento</t>
        </is>
      </c>
      <c r="F83" s="11" t="inlineStr">
        <is>
          <t>Diego</t>
        </is>
      </c>
      <c r="G83" s="8" t="inlineStr">
        <is>
          <t>Vídeo curto</t>
        </is>
      </c>
      <c r="H83" s="12" t="n">
        <v>3</v>
      </c>
      <c r="I83" s="13" t="n">
        <v>3200</v>
      </c>
      <c r="J83" s="14">
        <f>IF(OR(H83="",I83=""),"",H83*I83)</f>
        <v>9600</v>
      </c>
      <c r="K83" s="11" t="inlineStr">
        <is>
          <t>Pago</t>
        </is>
      </c>
      <c r="L83" s="9">
        <f>IF(B83="","",MONTH(B83))</f>
        <v>4</v>
      </c>
      <c r="M83" s="9">
        <f>IF(B83="","",YEAR(B83))</f>
        <v>2026</v>
      </c>
    </row>
    <row r="84">
      <c r="A84" s="9">
        <f>IF(B84="","",ROW()-1)</f>
        <v>83</v>
      </c>
      <c r="B84" s="10" t="n">
        <v>46141</v>
      </c>
      <c r="C84" s="11" t="inlineStr">
        <is>
          <t>Escola Nova Era</t>
        </is>
      </c>
      <c r="D84" s="11" t="inlineStr">
        <is>
          <t>Serviço</t>
        </is>
      </c>
      <c r="E84" s="11" t="inlineStr">
        <is>
          <t>Cliente antigo</t>
        </is>
      </c>
      <c r="F84" s="11" t="inlineStr">
        <is>
          <t>Diego</t>
        </is>
      </c>
      <c r="G84" s="8" t="inlineStr">
        <is>
          <t>Posts do mês</t>
        </is>
      </c>
      <c r="H84" s="12" t="n">
        <v>2</v>
      </c>
      <c r="I84" s="13" t="n">
        <v>1500</v>
      </c>
      <c r="J84" s="14">
        <f>IF(OR(H84="",I84=""),"",H84*I84)</f>
        <v>3000</v>
      </c>
      <c r="K84" s="11" t="inlineStr">
        <is>
          <t>Pago</t>
        </is>
      </c>
      <c r="L84" s="9">
        <f>IF(B84="","",MONTH(B84))</f>
        <v>4</v>
      </c>
      <c r="M84" s="9">
        <f>IF(B84="","",YEAR(B84))</f>
        <v>2026</v>
      </c>
    </row>
    <row r="85">
      <c r="A85" s="9">
        <f>IF(B85="","",ROW()-1)</f>
        <v>84</v>
      </c>
      <c r="B85" s="10" t="n">
        <v>46143</v>
      </c>
      <c r="C85" s="11" t="inlineStr">
        <is>
          <t>Clínica Bem-Estar</t>
        </is>
      </c>
      <c r="D85" s="11" t="inlineStr">
        <is>
          <t>Serviço</t>
        </is>
      </c>
      <c r="E85" s="11" t="inlineStr">
        <is>
          <t>Instagram</t>
        </is>
      </c>
      <c r="F85" s="11" t="inlineStr">
        <is>
          <t>Carla</t>
        </is>
      </c>
      <c r="G85" s="8" t="inlineStr">
        <is>
          <t>Vídeo curto</t>
        </is>
      </c>
      <c r="H85" s="12" t="n">
        <v>1</v>
      </c>
      <c r="I85" s="13" t="n">
        <v>2400</v>
      </c>
      <c r="J85" s="14">
        <f>IF(OR(H85="",I85=""),"",H85*I85)</f>
        <v>2400</v>
      </c>
      <c r="K85" s="11" t="inlineStr">
        <is>
          <t>Pago</t>
        </is>
      </c>
      <c r="L85" s="9">
        <f>IF(B85="","",MONTH(B85))</f>
        <v>5</v>
      </c>
      <c r="M85" s="9">
        <f>IF(B85="","",YEAR(B85))</f>
        <v>2026</v>
      </c>
    </row>
    <row r="86">
      <c r="A86" s="9">
        <f>IF(B86="","",ROW()-1)</f>
        <v>85</v>
      </c>
      <c r="B86" s="10" t="n">
        <v>46143</v>
      </c>
      <c r="C86" s="11" t="inlineStr">
        <is>
          <t>Bistrô 42</t>
        </is>
      </c>
      <c r="D86" s="11" t="inlineStr">
        <is>
          <t>Serviço</t>
        </is>
      </c>
      <c r="E86" s="11" t="inlineStr">
        <is>
          <t>Site</t>
        </is>
      </c>
      <c r="F86" s="11" t="inlineStr">
        <is>
          <t>Diego</t>
        </is>
      </c>
      <c r="G86" s="8" t="inlineStr">
        <is>
          <t>Posts do mês</t>
        </is>
      </c>
      <c r="H86" s="12" t="n">
        <v>3</v>
      </c>
      <c r="I86" s="13" t="n">
        <v>1500</v>
      </c>
      <c r="J86" s="14">
        <f>IF(OR(H86="",I86=""),"",H86*I86)</f>
        <v>4500</v>
      </c>
      <c r="K86" s="11" t="inlineStr">
        <is>
          <t>Em aberto</t>
        </is>
      </c>
      <c r="L86" s="9">
        <f>IF(B86="","",MONTH(B86))</f>
        <v>5</v>
      </c>
      <c r="M86" s="9">
        <f>IF(B86="","",YEAR(B86))</f>
        <v>2026</v>
      </c>
    </row>
    <row r="87">
      <c r="A87" s="9">
        <f>IF(B87="","",ROW()-1)</f>
        <v>86</v>
      </c>
      <c r="B87" s="10" t="n">
        <v>46146</v>
      </c>
      <c r="C87" s="11" t="inlineStr">
        <is>
          <t>Aurora Móveis</t>
        </is>
      </c>
      <c r="D87" s="11" t="inlineStr">
        <is>
          <t>Serviço</t>
        </is>
      </c>
      <c r="E87" s="11" t="inlineStr">
        <is>
          <t>Instagram</t>
        </is>
      </c>
      <c r="F87" s="11" t="inlineStr">
        <is>
          <t>Bruno</t>
        </is>
      </c>
      <c r="G87" s="8" t="inlineStr">
        <is>
          <t>Layout de página</t>
        </is>
      </c>
      <c r="H87" s="12" t="n">
        <v>1</v>
      </c>
      <c r="I87" s="13" t="n">
        <v>800</v>
      </c>
      <c r="J87" s="14">
        <f>IF(OR(H87="",I87=""),"",H87*I87)</f>
        <v>800</v>
      </c>
      <c r="K87" s="11" t="inlineStr">
        <is>
          <t>Pago</t>
        </is>
      </c>
      <c r="L87" s="9">
        <f>IF(B87="","",MONTH(B87))</f>
        <v>5</v>
      </c>
      <c r="M87" s="9">
        <f>IF(B87="","",YEAR(B87))</f>
        <v>2026</v>
      </c>
    </row>
    <row r="88">
      <c r="A88" s="9">
        <f>IF(B88="","",ROW()-1)</f>
        <v>87</v>
      </c>
      <c r="B88" s="10" t="n">
        <v>46148</v>
      </c>
      <c r="C88" s="11" t="inlineStr">
        <is>
          <t>Café Central</t>
        </is>
      </c>
      <c r="D88" s="11" t="inlineStr">
        <is>
          <t>Serviço</t>
        </is>
      </c>
      <c r="E88" s="11" t="inlineStr">
        <is>
          <t>Indicação</t>
        </is>
      </c>
      <c r="F88" s="11" t="inlineStr">
        <is>
          <t>Bruno</t>
        </is>
      </c>
      <c r="G88" s="8" t="inlineStr">
        <is>
          <t>Posts do mês</t>
        </is>
      </c>
      <c r="H88" s="12" t="n">
        <v>1</v>
      </c>
      <c r="I88" s="13" t="n">
        <v>800</v>
      </c>
      <c r="J88" s="14">
        <f>IF(OR(H88="",I88=""),"",H88*I88)</f>
        <v>800</v>
      </c>
      <c r="K88" s="11" t="inlineStr">
        <is>
          <t>Pago</t>
        </is>
      </c>
      <c r="L88" s="9">
        <f>IF(B88="","",MONTH(B88))</f>
        <v>5</v>
      </c>
      <c r="M88" s="9">
        <f>IF(B88="","",YEAR(B88))</f>
        <v>2026</v>
      </c>
    </row>
    <row r="89">
      <c r="A89" s="9">
        <f>IF(B89="","",ROW()-1)</f>
        <v>88</v>
      </c>
      <c r="B89" s="10" t="n">
        <v>46149</v>
      </c>
      <c r="C89" s="11" t="inlineStr">
        <is>
          <t>Café Central</t>
        </is>
      </c>
      <c r="D89" s="11" t="inlineStr">
        <is>
          <t>Produto</t>
        </is>
      </c>
      <c r="E89" s="11" t="inlineStr">
        <is>
          <t>Instagram</t>
        </is>
      </c>
      <c r="F89" s="11" t="inlineStr">
        <is>
          <t>Carla</t>
        </is>
      </c>
      <c r="G89" s="8" t="inlineStr">
        <is>
          <t>Pacote de ícones</t>
        </is>
      </c>
      <c r="H89" s="12" t="n">
        <v>1</v>
      </c>
      <c r="I89" s="13" t="n">
        <v>97</v>
      </c>
      <c r="J89" s="14">
        <f>IF(OR(H89="",I89=""),"",H89*I89)</f>
        <v>97</v>
      </c>
      <c r="K89" s="11" t="inlineStr">
        <is>
          <t>Pago</t>
        </is>
      </c>
      <c r="L89" s="9">
        <f>IF(B89="","",MONTH(B89))</f>
        <v>5</v>
      </c>
      <c r="M89" s="9">
        <f>IF(B89="","",YEAR(B89))</f>
        <v>2026</v>
      </c>
    </row>
    <row r="90">
      <c r="A90" s="9">
        <f>IF(B90="","",ROW()-1)</f>
        <v>89</v>
      </c>
      <c r="B90" s="10" t="n">
        <v>46150</v>
      </c>
      <c r="C90" s="11" t="inlineStr">
        <is>
          <t>Café Central</t>
        </is>
      </c>
      <c r="D90" s="11" t="inlineStr">
        <is>
          <t>Serviço</t>
        </is>
      </c>
      <c r="E90" s="11" t="inlineStr">
        <is>
          <t>Site</t>
        </is>
      </c>
      <c r="F90" s="11" t="inlineStr">
        <is>
          <t>Diego</t>
        </is>
      </c>
      <c r="G90" s="8" t="inlineStr">
        <is>
          <t>Vídeo curto</t>
        </is>
      </c>
      <c r="H90" s="12" t="n">
        <v>1</v>
      </c>
      <c r="I90" s="13" t="n">
        <v>1500</v>
      </c>
      <c r="J90" s="14">
        <f>IF(OR(H90="",I90=""),"",H90*I90)</f>
        <v>1500</v>
      </c>
      <c r="K90" s="11" t="inlineStr">
        <is>
          <t>Pago</t>
        </is>
      </c>
      <c r="L90" s="9">
        <f>IF(B90="","",MONTH(B90))</f>
        <v>5</v>
      </c>
      <c r="M90" s="9">
        <f>IF(B90="","",YEAR(B90))</f>
        <v>2026</v>
      </c>
    </row>
    <row r="91">
      <c r="A91" s="9">
        <f>IF(B91="","",ROW()-1)</f>
        <v>90</v>
      </c>
      <c r="B91" s="10" t="n">
        <v>46152</v>
      </c>
      <c r="C91" s="11" t="inlineStr">
        <is>
          <t>Bistrô 42</t>
        </is>
      </c>
      <c r="D91" s="11" t="inlineStr">
        <is>
          <t>Serviço</t>
        </is>
      </c>
      <c r="E91" s="11" t="inlineStr">
        <is>
          <t>Cliente antigo</t>
        </is>
      </c>
      <c r="F91" s="11" t="inlineStr">
        <is>
          <t>Diego</t>
        </is>
      </c>
      <c r="G91" s="8" t="inlineStr">
        <is>
          <t>Diagramação</t>
        </is>
      </c>
      <c r="H91" s="12" t="n">
        <v>1</v>
      </c>
      <c r="I91" s="13" t="n">
        <v>1200</v>
      </c>
      <c r="J91" s="14">
        <f>IF(OR(H91="",I91=""),"",H91*I91)</f>
        <v>1200</v>
      </c>
      <c r="K91" s="11" t="inlineStr">
        <is>
          <t>Pago</t>
        </is>
      </c>
      <c r="L91" s="9">
        <f>IF(B91="","",MONTH(B91))</f>
        <v>5</v>
      </c>
      <c r="M91" s="9">
        <f>IF(B91="","",YEAR(B91))</f>
        <v>2026</v>
      </c>
    </row>
    <row r="92">
      <c r="A92" s="9">
        <f>IF(B92="","",ROW()-1)</f>
        <v>91</v>
      </c>
      <c r="B92" s="10" t="n">
        <v>46153</v>
      </c>
      <c r="C92" s="11" t="inlineStr">
        <is>
          <t>Horizonte</t>
        </is>
      </c>
      <c r="D92" s="11" t="inlineStr">
        <is>
          <t>Produto</t>
        </is>
      </c>
      <c r="E92" s="11" t="inlineStr">
        <is>
          <t>Indicação</t>
        </is>
      </c>
      <c r="F92" s="11" t="inlineStr">
        <is>
          <t>Carla</t>
        </is>
      </c>
      <c r="G92" s="8" t="inlineStr">
        <is>
          <t>Pacote de ícones</t>
        </is>
      </c>
      <c r="H92" s="12" t="n">
        <v>3</v>
      </c>
      <c r="I92" s="13" t="n">
        <v>97</v>
      </c>
      <c r="J92" s="14">
        <f>IF(OR(H92="",I92=""),"",H92*I92)</f>
        <v>291</v>
      </c>
      <c r="K92" s="11" t="inlineStr">
        <is>
          <t>Em aberto</t>
        </is>
      </c>
      <c r="L92" s="9">
        <f>IF(B92="","",MONTH(B92))</f>
        <v>5</v>
      </c>
      <c r="M92" s="9">
        <f>IF(B92="","",YEAR(B92))</f>
        <v>2026</v>
      </c>
    </row>
    <row r="93">
      <c r="A93" s="9">
        <f>IF(B93="","",ROW()-1)</f>
        <v>92</v>
      </c>
      <c r="B93" s="10" t="n">
        <v>46161</v>
      </c>
      <c r="C93" s="11" t="inlineStr">
        <is>
          <t>Padaria do Sol</t>
        </is>
      </c>
      <c r="D93" s="11" t="inlineStr">
        <is>
          <t>Produto</t>
        </is>
      </c>
      <c r="E93" s="11" t="inlineStr">
        <is>
          <t>Instagram</t>
        </is>
      </c>
      <c r="F93" s="11" t="inlineStr">
        <is>
          <t>Ana</t>
        </is>
      </c>
      <c r="G93" s="8" t="inlineStr">
        <is>
          <t>Pacote de ícones</t>
        </is>
      </c>
      <c r="H93" s="12" t="n">
        <v>1</v>
      </c>
      <c r="I93" s="13" t="n">
        <v>49</v>
      </c>
      <c r="J93" s="14">
        <f>IF(OR(H93="",I93=""),"",H93*I93)</f>
        <v>49</v>
      </c>
      <c r="K93" s="11" t="inlineStr">
        <is>
          <t>Cancelado</t>
        </is>
      </c>
      <c r="L93" s="9">
        <f>IF(B93="","",MONTH(B93))</f>
        <v>5</v>
      </c>
      <c r="M93" s="9">
        <f>IF(B93="","",YEAR(B93))</f>
        <v>2026</v>
      </c>
    </row>
    <row r="94">
      <c r="A94" s="9">
        <f>IF(B94="","",ROW()-1)</f>
        <v>93</v>
      </c>
      <c r="B94" s="10" t="n">
        <v>46166</v>
      </c>
      <c r="C94" s="11" t="inlineStr">
        <is>
          <t>Café Central</t>
        </is>
      </c>
      <c r="D94" s="11" t="inlineStr">
        <is>
          <t>Produto</t>
        </is>
      </c>
      <c r="E94" s="11" t="inlineStr">
        <is>
          <t>Evento</t>
        </is>
      </c>
      <c r="F94" s="11" t="inlineStr">
        <is>
          <t>Bruno</t>
        </is>
      </c>
      <c r="G94" s="8" t="inlineStr">
        <is>
          <t>Pacote de ícones</t>
        </is>
      </c>
      <c r="H94" s="12" t="n">
        <v>2</v>
      </c>
      <c r="I94" s="13" t="n">
        <v>97</v>
      </c>
      <c r="J94" s="14">
        <f>IF(OR(H94="",I94=""),"",H94*I94)</f>
        <v>194</v>
      </c>
      <c r="K94" s="11" t="inlineStr">
        <is>
          <t>Pago</t>
        </is>
      </c>
      <c r="L94" s="9">
        <f>IF(B94="","",MONTH(B94))</f>
        <v>5</v>
      </c>
      <c r="M94" s="9">
        <f>IF(B94="","",YEAR(B94))</f>
        <v>2026</v>
      </c>
    </row>
    <row r="95">
      <c r="A95" s="9">
        <f>IF(B95="","",ROW()-1)</f>
        <v>94</v>
      </c>
      <c r="B95" s="10" t="n">
        <v>46168</v>
      </c>
      <c r="C95" s="11" t="inlineStr">
        <is>
          <t>Horizonte</t>
        </is>
      </c>
      <c r="D95" s="11" t="inlineStr">
        <is>
          <t>Serviço</t>
        </is>
      </c>
      <c r="E95" s="11" t="inlineStr">
        <is>
          <t>Instagram</t>
        </is>
      </c>
      <c r="F95" s="11" t="inlineStr">
        <is>
          <t>Ana</t>
        </is>
      </c>
      <c r="G95" s="8" t="inlineStr">
        <is>
          <t>Consultoria de marca</t>
        </is>
      </c>
      <c r="H95" s="12" t="n">
        <v>1</v>
      </c>
      <c r="I95" s="13" t="n">
        <v>1200</v>
      </c>
      <c r="J95" s="14">
        <f>IF(OR(H95="",I95=""),"",H95*I95)</f>
        <v>1200</v>
      </c>
      <c r="K95" s="11" t="inlineStr">
        <is>
          <t>Pago</t>
        </is>
      </c>
      <c r="L95" s="9">
        <f>IF(B95="","",MONTH(B95))</f>
        <v>5</v>
      </c>
      <c r="M95" s="9">
        <f>IF(B95="","",YEAR(B95))</f>
        <v>2026</v>
      </c>
    </row>
    <row r="96">
      <c r="A96" s="9">
        <f>IF(B96="","",ROW()-1)</f>
        <v>95</v>
      </c>
      <c r="B96" s="10" t="n">
        <v>46169</v>
      </c>
      <c r="C96" s="11" t="inlineStr">
        <is>
          <t>Loja Verde</t>
        </is>
      </c>
      <c r="D96" s="11" t="inlineStr">
        <is>
          <t>Serviço</t>
        </is>
      </c>
      <c r="E96" s="11" t="inlineStr">
        <is>
          <t>Indicação</t>
        </is>
      </c>
      <c r="F96" s="11" t="inlineStr">
        <is>
          <t>Diego</t>
        </is>
      </c>
      <c r="G96" s="8" t="inlineStr">
        <is>
          <t>Consultoria de marca</t>
        </is>
      </c>
      <c r="H96" s="12" t="n">
        <v>1</v>
      </c>
      <c r="I96" s="13" t="n">
        <v>3200</v>
      </c>
      <c r="J96" s="14">
        <f>IF(OR(H96="",I96=""),"",H96*I96)</f>
        <v>3200</v>
      </c>
      <c r="K96" s="11" t="inlineStr">
        <is>
          <t>Pago</t>
        </is>
      </c>
      <c r="L96" s="9">
        <f>IF(B96="","",MONTH(B96))</f>
        <v>5</v>
      </c>
      <c r="M96" s="9">
        <f>IF(B96="","",YEAR(B96))</f>
        <v>2026</v>
      </c>
    </row>
    <row r="97">
      <c r="A97" s="9">
        <f>IF(B97="","",ROW()-1)</f>
        <v>96</v>
      </c>
      <c r="B97" s="10" t="n">
        <v>46169</v>
      </c>
      <c r="C97" s="11" t="inlineStr">
        <is>
          <t>Loja Verde</t>
        </is>
      </c>
      <c r="D97" s="11" t="inlineStr">
        <is>
          <t>Serviço</t>
        </is>
      </c>
      <c r="E97" s="11" t="inlineStr">
        <is>
          <t>Site</t>
        </is>
      </c>
      <c r="F97" s="11" t="inlineStr">
        <is>
          <t>Bruno</t>
        </is>
      </c>
      <c r="G97" s="8" t="inlineStr">
        <is>
          <t>Posts do mês</t>
        </is>
      </c>
      <c r="H97" s="12" t="n">
        <v>1</v>
      </c>
      <c r="I97" s="13" t="n">
        <v>1500</v>
      </c>
      <c r="J97" s="14">
        <f>IF(OR(H97="",I97=""),"",H97*I97)</f>
        <v>1500</v>
      </c>
      <c r="K97" s="11" t="inlineStr">
        <is>
          <t>Pago</t>
        </is>
      </c>
      <c r="L97" s="9">
        <f>IF(B97="","",MONTH(B97))</f>
        <v>5</v>
      </c>
      <c r="M97" s="9">
        <f>IF(B97="","",YEAR(B97))</f>
        <v>2026</v>
      </c>
    </row>
    <row r="98">
      <c r="A98" s="9">
        <f>IF(B98="","",ROW()-1)</f>
        <v>97</v>
      </c>
      <c r="B98" s="10" t="n">
        <v>46169</v>
      </c>
      <c r="C98" s="11" t="inlineStr">
        <is>
          <t>Escola Nova Era</t>
        </is>
      </c>
      <c r="D98" s="11" t="inlineStr">
        <is>
          <t>Serviço</t>
        </is>
      </c>
      <c r="E98" s="11" t="inlineStr">
        <is>
          <t>Evento</t>
        </is>
      </c>
      <c r="F98" s="11" t="inlineStr">
        <is>
          <t>Bruno</t>
        </is>
      </c>
      <c r="G98" s="8" t="inlineStr">
        <is>
          <t>Vídeo curto</t>
        </is>
      </c>
      <c r="H98" s="12" t="n">
        <v>2</v>
      </c>
      <c r="I98" s="13" t="n">
        <v>3200</v>
      </c>
      <c r="J98" s="14">
        <f>IF(OR(H98="",I98=""),"",H98*I98)</f>
        <v>6400</v>
      </c>
      <c r="K98" s="11" t="inlineStr">
        <is>
          <t>Pago</t>
        </is>
      </c>
      <c r="L98" s="9">
        <f>IF(B98="","",MONTH(B98))</f>
        <v>5</v>
      </c>
      <c r="M98" s="9">
        <f>IF(B98="","",YEAR(B98))</f>
        <v>2026</v>
      </c>
    </row>
    <row r="99">
      <c r="A99" s="9">
        <f>IF(B99="","",ROW()-1)</f>
        <v>98</v>
      </c>
      <c r="B99" s="10" t="n">
        <v>46171</v>
      </c>
      <c r="C99" s="11" t="inlineStr">
        <is>
          <t>Padaria do Sol</t>
        </is>
      </c>
      <c r="D99" s="11" t="inlineStr">
        <is>
          <t>Serviço</t>
        </is>
      </c>
      <c r="E99" s="11" t="inlineStr">
        <is>
          <t>Evento</t>
        </is>
      </c>
      <c r="F99" s="11" t="inlineStr">
        <is>
          <t>Carla</t>
        </is>
      </c>
      <c r="G99" s="8" t="inlineStr">
        <is>
          <t>Posts do mês</t>
        </is>
      </c>
      <c r="H99" s="12" t="n">
        <v>1</v>
      </c>
      <c r="I99" s="13" t="n">
        <v>3200</v>
      </c>
      <c r="J99" s="14">
        <f>IF(OR(H99="",I99=""),"",H99*I99)</f>
        <v>3200</v>
      </c>
      <c r="K99" s="11" t="inlineStr">
        <is>
          <t>Pago</t>
        </is>
      </c>
      <c r="L99" s="9">
        <f>IF(B99="","",MONTH(B99))</f>
        <v>5</v>
      </c>
      <c r="M99" s="9">
        <f>IF(B99="","",YEAR(B99))</f>
        <v>2026</v>
      </c>
    </row>
    <row r="100">
      <c r="A100" s="9">
        <f>IF(B100="","",ROW()-1)</f>
        <v>99</v>
      </c>
      <c r="B100" s="10" t="n">
        <v>46173</v>
      </c>
      <c r="C100" s="11" t="inlineStr">
        <is>
          <t>Clínica Bem-Estar</t>
        </is>
      </c>
      <c r="D100" s="11" t="inlineStr">
        <is>
          <t>Ajuste</t>
        </is>
      </c>
      <c r="E100" s="11" t="inlineStr">
        <is>
          <t>Site</t>
        </is>
      </c>
      <c r="F100" s="11" t="inlineStr">
        <is>
          <t>Carla</t>
        </is>
      </c>
      <c r="G100" s="8" t="inlineStr">
        <is>
          <t>Ajuste de fatura</t>
        </is>
      </c>
      <c r="H100" s="12" t="n">
        <v>1</v>
      </c>
      <c r="I100" s="13" t="n">
        <v>150</v>
      </c>
      <c r="J100" s="14">
        <f>IF(OR(H100="",I100=""),"",H100*I100)</f>
        <v>150</v>
      </c>
      <c r="K100" s="11" t="inlineStr">
        <is>
          <t>Pago</t>
        </is>
      </c>
      <c r="L100" s="9">
        <f>IF(B100="","",MONTH(B100))</f>
        <v>5</v>
      </c>
      <c r="M100" s="9">
        <f>IF(B100="","",YEAR(B100))</f>
        <v>2026</v>
      </c>
    </row>
    <row r="101">
      <c r="A101" s="9">
        <f>IF(B101="","",ROW()-1)</f>
        <v>100</v>
      </c>
      <c r="B101" s="10" t="n">
        <v>46173</v>
      </c>
      <c r="C101" s="11" t="inlineStr">
        <is>
          <t>Bistrô 42</t>
        </is>
      </c>
      <c r="D101" s="11" t="inlineStr">
        <is>
          <t>Serviço</t>
        </is>
      </c>
      <c r="E101" s="11" t="inlineStr">
        <is>
          <t>Cliente antigo</t>
        </is>
      </c>
      <c r="F101" s="11" t="inlineStr">
        <is>
          <t>Carla</t>
        </is>
      </c>
      <c r="G101" s="8" t="inlineStr">
        <is>
          <t>Posts do mês</t>
        </is>
      </c>
      <c r="H101" s="12" t="n">
        <v>3</v>
      </c>
      <c r="I101" s="13" t="n">
        <v>800</v>
      </c>
      <c r="J101" s="14">
        <f>IF(OR(H101="",I101=""),"",H101*I101)</f>
        <v>2400</v>
      </c>
      <c r="K101" s="11" t="inlineStr">
        <is>
          <t>Pago</t>
        </is>
      </c>
      <c r="L101" s="9">
        <f>IF(B101="","",MONTH(B101))</f>
        <v>5</v>
      </c>
      <c r="M101" s="9">
        <f>IF(B101="","",YEAR(B101))</f>
        <v>2026</v>
      </c>
    </row>
    <row r="102">
      <c r="A102" s="9">
        <f>IF(B102="","",ROW()-1)</f>
        <v>101</v>
      </c>
      <c r="B102" s="10" t="n">
        <v>46175</v>
      </c>
      <c r="C102" s="11" t="inlineStr">
        <is>
          <t>Café Central</t>
        </is>
      </c>
      <c r="D102" s="11" t="inlineStr">
        <is>
          <t>Serviço</t>
        </is>
      </c>
      <c r="E102" s="11" t="inlineStr">
        <is>
          <t>Site</t>
        </is>
      </c>
      <c r="F102" s="11" t="inlineStr">
        <is>
          <t>Bruno</t>
        </is>
      </c>
      <c r="G102" s="8" t="inlineStr">
        <is>
          <t>Vídeo curto</t>
        </is>
      </c>
      <c r="H102" s="12" t="n">
        <v>1</v>
      </c>
      <c r="I102" s="13" t="n">
        <v>800</v>
      </c>
      <c r="J102" s="14">
        <f>IF(OR(H102="",I102=""),"",H102*I102)</f>
        <v>800</v>
      </c>
      <c r="K102" s="11" t="inlineStr">
        <is>
          <t>Em aberto</t>
        </is>
      </c>
      <c r="L102" s="9">
        <f>IF(B102="","",MONTH(B102))</f>
        <v>6</v>
      </c>
      <c r="M102" s="9">
        <f>IF(B102="","",YEAR(B102))</f>
        <v>2026</v>
      </c>
    </row>
    <row r="103">
      <c r="A103" s="9">
        <f>IF(B103="","",ROW()-1)</f>
        <v>102</v>
      </c>
      <c r="B103" s="10" t="n">
        <v>46177</v>
      </c>
      <c r="C103" s="11" t="inlineStr">
        <is>
          <t>Aurora Móveis</t>
        </is>
      </c>
      <c r="D103" s="11" t="inlineStr">
        <is>
          <t>Serviço</t>
        </is>
      </c>
      <c r="E103" s="11" t="inlineStr">
        <is>
          <t>Evento</t>
        </is>
      </c>
      <c r="F103" s="11" t="inlineStr">
        <is>
          <t>Ana</t>
        </is>
      </c>
      <c r="G103" s="8" t="inlineStr">
        <is>
          <t>Consultoria de marca</t>
        </is>
      </c>
      <c r="H103" s="12" t="n">
        <v>2</v>
      </c>
      <c r="I103" s="13" t="n">
        <v>1500</v>
      </c>
      <c r="J103" s="14">
        <f>IF(OR(H103="",I103=""),"",H103*I103)</f>
        <v>3000</v>
      </c>
      <c r="K103" s="11" t="inlineStr">
        <is>
          <t>Em aberto</t>
        </is>
      </c>
      <c r="L103" s="9">
        <f>IF(B103="","",MONTH(B103))</f>
        <v>6</v>
      </c>
      <c r="M103" s="9">
        <f>IF(B103="","",YEAR(B103))</f>
        <v>2026</v>
      </c>
    </row>
    <row r="104">
      <c r="A104" s="9">
        <f>IF(B104="","",ROW()-1)</f>
        <v>103</v>
      </c>
      <c r="B104" s="10" t="n">
        <v>46181</v>
      </c>
      <c r="C104" s="11" t="inlineStr">
        <is>
          <t>Padaria do Sol</t>
        </is>
      </c>
      <c r="D104" s="11" t="inlineStr">
        <is>
          <t>Ajuste</t>
        </is>
      </c>
      <c r="E104" s="11" t="inlineStr">
        <is>
          <t>Cliente antigo</t>
        </is>
      </c>
      <c r="F104" s="11" t="inlineStr">
        <is>
          <t>Carla</t>
        </is>
      </c>
      <c r="G104" s="8" t="inlineStr">
        <is>
          <t>Ajuste de fatura</t>
        </is>
      </c>
      <c r="H104" s="12" t="n">
        <v>1</v>
      </c>
      <c r="I104" s="13" t="n">
        <v>-150</v>
      </c>
      <c r="J104" s="14">
        <f>IF(OR(H104="",I104=""),"",H104*I104)</f>
        <v>-150</v>
      </c>
      <c r="K104" s="11" t="inlineStr">
        <is>
          <t>Pago</t>
        </is>
      </c>
      <c r="L104" s="9">
        <f>IF(B104="","",MONTH(B104))</f>
        <v>6</v>
      </c>
      <c r="M104" s="9">
        <f>IF(B104="","",YEAR(B104))</f>
        <v>2026</v>
      </c>
    </row>
    <row r="105">
      <c r="A105" s="9">
        <f>IF(B105="","",ROW()-1)</f>
        <v>104</v>
      </c>
      <c r="B105" s="10" t="n">
        <v>46181</v>
      </c>
      <c r="C105" s="11" t="inlineStr">
        <is>
          <t>Café Central</t>
        </is>
      </c>
      <c r="D105" s="11" t="inlineStr">
        <is>
          <t>Produto</t>
        </is>
      </c>
      <c r="E105" s="11" t="inlineStr">
        <is>
          <t>Indicação</t>
        </is>
      </c>
      <c r="F105" s="11" t="inlineStr">
        <is>
          <t>Ana</t>
        </is>
      </c>
      <c r="G105" s="8" t="inlineStr">
        <is>
          <t>E-book de marca</t>
        </is>
      </c>
      <c r="H105" s="12" t="n">
        <v>2</v>
      </c>
      <c r="I105" s="13" t="n">
        <v>97</v>
      </c>
      <c r="J105" s="14">
        <f>IF(OR(H105="",I105=""),"",H105*I105)</f>
        <v>194</v>
      </c>
      <c r="K105" s="11" t="inlineStr">
        <is>
          <t>Pago</t>
        </is>
      </c>
      <c r="L105" s="9">
        <f>IF(B105="","",MONTH(B105))</f>
        <v>6</v>
      </c>
      <c r="M105" s="9">
        <f>IF(B105="","",YEAR(B105))</f>
        <v>2026</v>
      </c>
    </row>
    <row r="106">
      <c r="A106" s="9">
        <f>IF(B106="","",ROW()-1)</f>
        <v>105</v>
      </c>
      <c r="B106" s="10" t="n">
        <v>46182</v>
      </c>
      <c r="C106" s="11" t="inlineStr">
        <is>
          <t>Aurora Móveis</t>
        </is>
      </c>
      <c r="D106" s="11" t="inlineStr">
        <is>
          <t>Ajuste</t>
        </is>
      </c>
      <c r="E106" s="11" t="inlineStr">
        <is>
          <t>Cliente antigo</t>
        </is>
      </c>
      <c r="F106" s="11" t="inlineStr">
        <is>
          <t>Ana</t>
        </is>
      </c>
      <c r="G106" s="8" t="inlineStr">
        <is>
          <t>Ajuste de fatura</t>
        </is>
      </c>
      <c r="H106" s="12" t="n">
        <v>2</v>
      </c>
      <c r="I106" s="13" t="n">
        <v>150</v>
      </c>
      <c r="J106" s="14">
        <f>IF(OR(H106="",I106=""),"",H106*I106)</f>
        <v>300</v>
      </c>
      <c r="K106" s="11" t="inlineStr">
        <is>
          <t>Pago</t>
        </is>
      </c>
      <c r="L106" s="9">
        <f>IF(B106="","",MONTH(B106))</f>
        <v>6</v>
      </c>
      <c r="M106" s="9">
        <f>IF(B106="","",YEAR(B106))</f>
        <v>2026</v>
      </c>
    </row>
    <row r="107">
      <c r="A107" s="9">
        <f>IF(B107="","",ROW()-1)</f>
        <v>106</v>
      </c>
      <c r="B107" s="10" t="n">
        <v>46183</v>
      </c>
      <c r="C107" s="11" t="inlineStr">
        <is>
          <t>Café Central</t>
        </is>
      </c>
      <c r="D107" s="11" t="inlineStr">
        <is>
          <t>Serviço</t>
        </is>
      </c>
      <c r="E107" s="11" t="inlineStr">
        <is>
          <t>Cliente antigo</t>
        </is>
      </c>
      <c r="F107" s="11" t="inlineStr">
        <is>
          <t>Bruno</t>
        </is>
      </c>
      <c r="G107" s="8" t="inlineStr">
        <is>
          <t>Consultoria de marca</t>
        </is>
      </c>
      <c r="H107" s="12" t="n">
        <v>3</v>
      </c>
      <c r="I107" s="13" t="n">
        <v>800</v>
      </c>
      <c r="J107" s="14">
        <f>IF(OR(H107="",I107=""),"",H107*I107)</f>
        <v>2400</v>
      </c>
      <c r="K107" s="11" t="inlineStr">
        <is>
          <t>Pago</t>
        </is>
      </c>
      <c r="L107" s="9">
        <f>IF(B107="","",MONTH(B107))</f>
        <v>6</v>
      </c>
      <c r="M107" s="9">
        <f>IF(B107="","",YEAR(B107))</f>
        <v>2026</v>
      </c>
    </row>
    <row r="108">
      <c r="A108" s="9">
        <f>IF(B108="","",ROW()-1)</f>
        <v>107</v>
      </c>
      <c r="B108" s="10" t="n">
        <v>46186</v>
      </c>
      <c r="C108" s="11" t="inlineStr">
        <is>
          <t>Loja Verde</t>
        </is>
      </c>
      <c r="D108" s="11" t="inlineStr">
        <is>
          <t>Serviço</t>
        </is>
      </c>
      <c r="E108" s="11" t="inlineStr">
        <is>
          <t>Instagram</t>
        </is>
      </c>
      <c r="F108" s="11" t="inlineStr">
        <is>
          <t>Bruno</t>
        </is>
      </c>
      <c r="G108" s="8" t="inlineStr">
        <is>
          <t>Posts do mês</t>
        </is>
      </c>
      <c r="H108" s="12" t="n">
        <v>2</v>
      </c>
      <c r="I108" s="13" t="n">
        <v>2400</v>
      </c>
      <c r="J108" s="14">
        <f>IF(OR(H108="",I108=""),"",H108*I108)</f>
        <v>4800</v>
      </c>
      <c r="K108" s="11" t="inlineStr">
        <is>
          <t>Pago</t>
        </is>
      </c>
      <c r="L108" s="9">
        <f>IF(B108="","",MONTH(B108))</f>
        <v>6</v>
      </c>
      <c r="M108" s="9">
        <f>IF(B108="","",YEAR(B108))</f>
        <v>2026</v>
      </c>
    </row>
    <row r="109">
      <c r="A109" s="9">
        <f>IF(B109="","",ROW()-1)</f>
        <v>108</v>
      </c>
      <c r="B109" s="10" t="n">
        <v>46188</v>
      </c>
      <c r="C109" s="11" t="inlineStr">
        <is>
          <t>Aurora Móveis</t>
        </is>
      </c>
      <c r="D109" s="11" t="inlineStr">
        <is>
          <t>Serviço</t>
        </is>
      </c>
      <c r="E109" s="11" t="inlineStr">
        <is>
          <t>Evento</t>
        </is>
      </c>
      <c r="F109" s="11" t="inlineStr">
        <is>
          <t>Diego</t>
        </is>
      </c>
      <c r="G109" s="8" t="inlineStr">
        <is>
          <t>Layout de página</t>
        </is>
      </c>
      <c r="H109" s="12" t="n">
        <v>1</v>
      </c>
      <c r="I109" s="13" t="n">
        <v>1200</v>
      </c>
      <c r="J109" s="14">
        <f>IF(OR(H109="",I109=""),"",H109*I109)</f>
        <v>1200</v>
      </c>
      <c r="K109" s="11" t="inlineStr">
        <is>
          <t>Pago</t>
        </is>
      </c>
      <c r="L109" s="9">
        <f>IF(B109="","",MONTH(B109))</f>
        <v>6</v>
      </c>
      <c r="M109" s="9">
        <f>IF(B109="","",YEAR(B109))</f>
        <v>2026</v>
      </c>
    </row>
    <row r="110">
      <c r="A110" s="9">
        <f>IF(B110="","",ROW()-1)</f>
        <v>109</v>
      </c>
      <c r="B110" s="10" t="n">
        <v>46188</v>
      </c>
      <c r="C110" s="11" t="inlineStr">
        <is>
          <t>Café Central</t>
        </is>
      </c>
      <c r="D110" s="11" t="inlineStr">
        <is>
          <t>Serviço</t>
        </is>
      </c>
      <c r="E110" s="11" t="inlineStr">
        <is>
          <t>Indicação</t>
        </is>
      </c>
      <c r="F110" s="11" t="inlineStr">
        <is>
          <t>Ana</t>
        </is>
      </c>
      <c r="G110" s="8" t="inlineStr">
        <is>
          <t>Vídeo curto</t>
        </is>
      </c>
      <c r="H110" s="12" t="n">
        <v>2</v>
      </c>
      <c r="I110" s="13" t="n">
        <v>800</v>
      </c>
      <c r="J110" s="14">
        <f>IF(OR(H110="",I110=""),"",H110*I110)</f>
        <v>1600</v>
      </c>
      <c r="K110" s="11" t="inlineStr">
        <is>
          <t>Cancelado</t>
        </is>
      </c>
      <c r="L110" s="9">
        <f>IF(B110="","",MONTH(B110))</f>
        <v>6</v>
      </c>
      <c r="M110" s="9">
        <f>IF(B110="","",YEAR(B110))</f>
        <v>2026</v>
      </c>
    </row>
    <row r="111">
      <c r="A111" s="9">
        <f>IF(B111="","",ROW()-1)</f>
        <v>110</v>
      </c>
      <c r="B111" s="10" t="n">
        <v>46188</v>
      </c>
      <c r="C111" s="11" t="inlineStr">
        <is>
          <t>Clínica Bem-Estar</t>
        </is>
      </c>
      <c r="D111" s="11" t="inlineStr">
        <is>
          <t>Serviço</t>
        </is>
      </c>
      <c r="E111" s="11" t="inlineStr">
        <is>
          <t>Site</t>
        </is>
      </c>
      <c r="F111" s="11" t="inlineStr">
        <is>
          <t>Bruno</t>
        </is>
      </c>
      <c r="G111" s="8" t="inlineStr">
        <is>
          <t>Diagramação</t>
        </is>
      </c>
      <c r="H111" s="12" t="n">
        <v>2</v>
      </c>
      <c r="I111" s="13" t="n">
        <v>2400</v>
      </c>
      <c r="J111" s="14">
        <f>IF(OR(H111="",I111=""),"",H111*I111)</f>
        <v>4800</v>
      </c>
      <c r="K111" s="11" t="inlineStr">
        <is>
          <t>Pago</t>
        </is>
      </c>
      <c r="L111" s="9">
        <f>IF(B111="","",MONTH(B111))</f>
        <v>6</v>
      </c>
      <c r="M111" s="9">
        <f>IF(B111="","",YEAR(B111))</f>
        <v>2026</v>
      </c>
    </row>
    <row r="112">
      <c r="A112" s="9">
        <f>IF(B112="","",ROW()-1)</f>
        <v>111</v>
      </c>
      <c r="B112" s="10" t="n">
        <v>46188</v>
      </c>
      <c r="C112" s="11" t="inlineStr">
        <is>
          <t>Clínica Bem-Estar</t>
        </is>
      </c>
      <c r="D112" s="11" t="inlineStr">
        <is>
          <t>Serviço</t>
        </is>
      </c>
      <c r="E112" s="11" t="inlineStr">
        <is>
          <t>Site</t>
        </is>
      </c>
      <c r="F112" s="11" t="inlineStr">
        <is>
          <t>Carla</t>
        </is>
      </c>
      <c r="G112" s="8" t="inlineStr">
        <is>
          <t>Vídeo curto</t>
        </is>
      </c>
      <c r="H112" s="12" t="n">
        <v>1</v>
      </c>
      <c r="I112" s="13" t="n">
        <v>3200</v>
      </c>
      <c r="J112" s="14">
        <f>IF(OR(H112="",I112=""),"",H112*I112)</f>
        <v>3200</v>
      </c>
      <c r="K112" s="11" t="inlineStr">
        <is>
          <t>Pago</t>
        </is>
      </c>
      <c r="L112" s="9">
        <f>IF(B112="","",MONTH(B112))</f>
        <v>6</v>
      </c>
      <c r="M112" s="9">
        <f>IF(B112="","",YEAR(B112))</f>
        <v>2026</v>
      </c>
    </row>
    <row r="113">
      <c r="A113" s="9">
        <f>IF(B113="","",ROW()-1)</f>
        <v>112</v>
      </c>
      <c r="B113" s="10" t="n">
        <v>46189</v>
      </c>
      <c r="C113" s="11" t="inlineStr">
        <is>
          <t>Loja Verde</t>
        </is>
      </c>
      <c r="D113" s="11" t="inlineStr">
        <is>
          <t>Produto</t>
        </is>
      </c>
      <c r="E113" s="11" t="inlineStr">
        <is>
          <t>Cliente antigo</t>
        </is>
      </c>
      <c r="F113" s="11" t="inlineStr">
        <is>
          <t>Carla</t>
        </is>
      </c>
      <c r="G113" s="8" t="inlineStr">
        <is>
          <t>Pacote de ícones</t>
        </is>
      </c>
      <c r="H113" s="12" t="n">
        <v>1</v>
      </c>
      <c r="I113" s="13" t="n">
        <v>49</v>
      </c>
      <c r="J113" s="14">
        <f>IF(OR(H113="",I113=""),"",H113*I113)</f>
        <v>49</v>
      </c>
      <c r="K113" s="11" t="inlineStr">
        <is>
          <t>Pago</t>
        </is>
      </c>
      <c r="L113" s="9">
        <f>IF(B113="","",MONTH(B113))</f>
        <v>6</v>
      </c>
      <c r="M113" s="9">
        <f>IF(B113="","",YEAR(B113))</f>
        <v>2026</v>
      </c>
    </row>
    <row r="114">
      <c r="A114" s="9">
        <f>IF(B114="","",ROW()-1)</f>
        <v>113</v>
      </c>
      <c r="B114" s="10" t="n">
        <v>46189</v>
      </c>
      <c r="C114" s="11" t="inlineStr">
        <is>
          <t>Bistrô 42</t>
        </is>
      </c>
      <c r="D114" s="11" t="inlineStr">
        <is>
          <t>Serviço</t>
        </is>
      </c>
      <c r="E114" s="11" t="inlineStr">
        <is>
          <t>Indicação</t>
        </is>
      </c>
      <c r="F114" s="11" t="inlineStr">
        <is>
          <t>Ana</t>
        </is>
      </c>
      <c r="G114" s="8" t="inlineStr">
        <is>
          <t>Diagramação</t>
        </is>
      </c>
      <c r="H114" s="12" t="n">
        <v>1</v>
      </c>
      <c r="I114" s="13" t="n">
        <v>1500</v>
      </c>
      <c r="J114" s="14">
        <f>IF(OR(H114="",I114=""),"",H114*I114)</f>
        <v>1500</v>
      </c>
      <c r="K114" s="11" t="inlineStr">
        <is>
          <t>Pago</t>
        </is>
      </c>
      <c r="L114" s="9">
        <f>IF(B114="","",MONTH(B114))</f>
        <v>6</v>
      </c>
      <c r="M114" s="9">
        <f>IF(B114="","",YEAR(B114))</f>
        <v>2026</v>
      </c>
    </row>
    <row r="115">
      <c r="A115" s="9">
        <f>IF(B115="","",ROW()-1)</f>
        <v>114</v>
      </c>
      <c r="B115" s="10" t="n">
        <v>46191</v>
      </c>
      <c r="C115" s="11" t="inlineStr">
        <is>
          <t>Escola Nova Era</t>
        </is>
      </c>
      <c r="D115" s="11" t="inlineStr">
        <is>
          <t>Serviço</t>
        </is>
      </c>
      <c r="E115" s="11" t="inlineStr">
        <is>
          <t>Site</t>
        </is>
      </c>
      <c r="F115" s="11" t="inlineStr">
        <is>
          <t>Ana</t>
        </is>
      </c>
      <c r="G115" s="8" t="inlineStr">
        <is>
          <t>Vídeo curto</t>
        </is>
      </c>
      <c r="H115" s="12" t="n">
        <v>2</v>
      </c>
      <c r="I115" s="13" t="n">
        <v>1200</v>
      </c>
      <c r="J115" s="14">
        <f>IF(OR(H115="",I115=""),"",H115*I115)</f>
        <v>2400</v>
      </c>
      <c r="K115" s="11" t="inlineStr">
        <is>
          <t>Pago</t>
        </is>
      </c>
      <c r="L115" s="9">
        <f>IF(B115="","",MONTH(B115))</f>
        <v>6</v>
      </c>
      <c r="M115" s="9">
        <f>IF(B115="","",YEAR(B115))</f>
        <v>2026</v>
      </c>
    </row>
    <row r="116">
      <c r="A116" s="9">
        <f>IF(B116="","",ROW()-1)</f>
        <v>115</v>
      </c>
      <c r="B116" s="10" t="n">
        <v>46192</v>
      </c>
      <c r="C116" s="11" t="inlineStr">
        <is>
          <t>Clínica Bem-Estar</t>
        </is>
      </c>
      <c r="D116" s="11" t="inlineStr">
        <is>
          <t>Serviço</t>
        </is>
      </c>
      <c r="E116" s="11" t="inlineStr">
        <is>
          <t>Cliente antigo</t>
        </is>
      </c>
      <c r="F116" s="11" t="inlineStr">
        <is>
          <t>Bruno</t>
        </is>
      </c>
      <c r="G116" s="8" t="inlineStr">
        <is>
          <t>Layout de página</t>
        </is>
      </c>
      <c r="H116" s="12" t="n">
        <v>1</v>
      </c>
      <c r="I116" s="13" t="n">
        <v>3200</v>
      </c>
      <c r="J116" s="14">
        <f>IF(OR(H116="",I116=""),"",H116*I116)</f>
        <v>3200</v>
      </c>
      <c r="K116" s="11" t="inlineStr">
        <is>
          <t>Pago</t>
        </is>
      </c>
      <c r="L116" s="9">
        <f>IF(B116="","",MONTH(B116))</f>
        <v>6</v>
      </c>
      <c r="M116" s="9">
        <f>IF(B116="","",YEAR(B116))</f>
        <v>2026</v>
      </c>
    </row>
    <row r="117">
      <c r="A117" s="9">
        <f>IF(B117="","",ROW()-1)</f>
        <v>116</v>
      </c>
      <c r="B117" s="10" t="n">
        <v>46192</v>
      </c>
      <c r="C117" s="11" t="inlineStr">
        <is>
          <t>Bistrô 42</t>
        </is>
      </c>
      <c r="D117" s="11" t="inlineStr">
        <is>
          <t>Produto</t>
        </is>
      </c>
      <c r="E117" s="11" t="inlineStr">
        <is>
          <t>Instagram</t>
        </is>
      </c>
      <c r="F117" s="11" t="inlineStr">
        <is>
          <t>Ana</t>
        </is>
      </c>
      <c r="G117" s="8" t="inlineStr">
        <is>
          <t>E-book de marca</t>
        </is>
      </c>
      <c r="H117" s="12" t="n">
        <v>1</v>
      </c>
      <c r="I117" s="13" t="n">
        <v>97</v>
      </c>
      <c r="J117" s="14">
        <f>IF(OR(H117="",I117=""),"",H117*I117)</f>
        <v>97</v>
      </c>
      <c r="K117" s="11" t="inlineStr">
        <is>
          <t>Pago</t>
        </is>
      </c>
      <c r="L117" s="9">
        <f>IF(B117="","",MONTH(B117))</f>
        <v>6</v>
      </c>
      <c r="M117" s="9">
        <f>IF(B117="","",YEAR(B117))</f>
        <v>2026</v>
      </c>
    </row>
    <row r="118">
      <c r="A118" s="9">
        <f>IF(B118="","",ROW()-1)</f>
        <v>117</v>
      </c>
      <c r="B118" s="10" t="n">
        <v>46195</v>
      </c>
      <c r="C118" s="11" t="inlineStr">
        <is>
          <t>Horizonte</t>
        </is>
      </c>
      <c r="D118" s="11" t="inlineStr">
        <is>
          <t>Serviço</t>
        </is>
      </c>
      <c r="E118" s="11" t="inlineStr">
        <is>
          <t>Indicação</t>
        </is>
      </c>
      <c r="F118" s="11" t="inlineStr">
        <is>
          <t>Ana</t>
        </is>
      </c>
      <c r="G118" s="8" t="inlineStr">
        <is>
          <t>Consultoria de marca</t>
        </is>
      </c>
      <c r="H118" s="12" t="n">
        <v>3</v>
      </c>
      <c r="I118" s="13" t="n">
        <v>800</v>
      </c>
      <c r="J118" s="14">
        <f>IF(OR(H118="",I118=""),"",H118*I118)</f>
        <v>2400</v>
      </c>
      <c r="K118" s="11" t="inlineStr">
        <is>
          <t>Pago</t>
        </is>
      </c>
      <c r="L118" s="9">
        <f>IF(B118="","",MONTH(B118))</f>
        <v>6</v>
      </c>
      <c r="M118" s="9">
        <f>IF(B118="","",YEAR(B118))</f>
        <v>2026</v>
      </c>
    </row>
    <row r="119">
      <c r="A119" s="9">
        <f>IF(B119="","",ROW()-1)</f>
        <v>118</v>
      </c>
      <c r="B119" s="10" t="n">
        <v>46200</v>
      </c>
      <c r="C119" s="11" t="inlineStr">
        <is>
          <t>Clínica Bem-Estar</t>
        </is>
      </c>
      <c r="D119" s="11" t="inlineStr">
        <is>
          <t>Serviço</t>
        </is>
      </c>
      <c r="E119" s="11" t="inlineStr">
        <is>
          <t>Evento</t>
        </is>
      </c>
      <c r="F119" s="11" t="inlineStr">
        <is>
          <t>Diego</t>
        </is>
      </c>
      <c r="G119" s="8" t="inlineStr">
        <is>
          <t>Layout de página</t>
        </is>
      </c>
      <c r="H119" s="12" t="n">
        <v>1</v>
      </c>
      <c r="I119" s="13" t="n">
        <v>1200</v>
      </c>
      <c r="J119" s="14">
        <f>IF(OR(H119="",I119=""),"",H119*I119)</f>
        <v>1200</v>
      </c>
      <c r="K119" s="11" t="inlineStr">
        <is>
          <t>Pago</t>
        </is>
      </c>
      <c r="L119" s="9">
        <f>IF(B119="","",MONTH(B119))</f>
        <v>6</v>
      </c>
      <c r="M119" s="9">
        <f>IF(B119="","",YEAR(B119))</f>
        <v>2026</v>
      </c>
    </row>
    <row r="120">
      <c r="A120" s="9">
        <f>IF(B120="","",ROW()-1)</f>
        <v>119</v>
      </c>
      <c r="B120" s="10" t="n">
        <v>46202</v>
      </c>
      <c r="C120" s="11" t="inlineStr">
        <is>
          <t>Loja Verde</t>
        </is>
      </c>
      <c r="D120" s="11" t="inlineStr">
        <is>
          <t>Serviço</t>
        </is>
      </c>
      <c r="E120" s="11" t="inlineStr">
        <is>
          <t>Indicação</t>
        </is>
      </c>
      <c r="F120" s="11" t="inlineStr">
        <is>
          <t>Ana</t>
        </is>
      </c>
      <c r="G120" s="8" t="inlineStr">
        <is>
          <t>Posts do mês</t>
        </is>
      </c>
      <c r="H120" s="12" t="n">
        <v>1</v>
      </c>
      <c r="I120" s="13" t="n">
        <v>3200</v>
      </c>
      <c r="J120" s="14">
        <f>IF(OR(H120="",I120=""),"",H120*I120)</f>
        <v>3200</v>
      </c>
      <c r="K120" s="11" t="inlineStr">
        <is>
          <t>Pago</t>
        </is>
      </c>
      <c r="L120" s="9">
        <f>IF(B120="","",MONTH(B120))</f>
        <v>6</v>
      </c>
      <c r="M120" s="9">
        <f>IF(B120="","",YEAR(B120))</f>
        <v>2026</v>
      </c>
    </row>
    <row r="121">
      <c r="A121" s="9">
        <f>IF(B121="","",ROW()-1)</f>
        <v>120</v>
      </c>
      <c r="B121" s="10" t="n">
        <v>46203</v>
      </c>
      <c r="C121" s="11" t="inlineStr">
        <is>
          <t>Horizonte</t>
        </is>
      </c>
      <c r="D121" s="11" t="inlineStr">
        <is>
          <t>Produto</t>
        </is>
      </c>
      <c r="E121" s="11" t="inlineStr">
        <is>
          <t>Instagram</t>
        </is>
      </c>
      <c r="F121" s="11" t="inlineStr">
        <is>
          <t>Diego</t>
        </is>
      </c>
      <c r="G121" s="8" t="inlineStr">
        <is>
          <t>E-book de marca</t>
        </is>
      </c>
      <c r="H121" s="12" t="n">
        <v>2</v>
      </c>
      <c r="I121" s="13" t="n">
        <v>149</v>
      </c>
      <c r="J121" s="14">
        <f>IF(OR(H121="",I121=""),"",H121*I121)</f>
        <v>298</v>
      </c>
      <c r="K121" s="11" t="inlineStr">
        <is>
          <t>Pago</t>
        </is>
      </c>
      <c r="L121" s="9">
        <f>IF(B121="","",MONTH(B121))</f>
        <v>6</v>
      </c>
      <c r="M121" s="9">
        <f>IF(B121="","",YEAR(B121))</f>
        <v>2026</v>
      </c>
    </row>
    <row r="122">
      <c r="A122" s="9">
        <f>IF(B122="","",ROW()-1)</f>
        <v>121</v>
      </c>
      <c r="B122" s="10" t="n">
        <v>46203</v>
      </c>
      <c r="C122" s="11" t="inlineStr">
        <is>
          <t>Padaria do Sol</t>
        </is>
      </c>
      <c r="D122" s="11" t="inlineStr">
        <is>
          <t>Ajuste</t>
        </is>
      </c>
      <c r="E122" s="11" t="inlineStr">
        <is>
          <t>Instagram</t>
        </is>
      </c>
      <c r="F122" s="11" t="inlineStr">
        <is>
          <t>Diego</t>
        </is>
      </c>
      <c r="G122" s="8" t="inlineStr">
        <is>
          <t>Ajuste de fatura</t>
        </is>
      </c>
      <c r="H122" s="12" t="n">
        <v>2</v>
      </c>
      <c r="I122" s="13" t="n">
        <v>-150</v>
      </c>
      <c r="J122" s="14">
        <f>IF(OR(H122="",I122=""),"",H122*I122)</f>
        <v>-300</v>
      </c>
      <c r="K122" s="11" t="inlineStr">
        <is>
          <t>Pago</t>
        </is>
      </c>
      <c r="L122" s="9">
        <f>IF(B122="","",MONTH(B122))</f>
        <v>6</v>
      </c>
      <c r="M122" s="9">
        <f>IF(B122="","",YEAR(B122))</f>
        <v>2026</v>
      </c>
    </row>
    <row r="123">
      <c r="A123" s="9">
        <f>IF(B123="","",ROW()-1)</f>
        <v>122</v>
      </c>
      <c r="B123" s="10" t="n">
        <v>46204</v>
      </c>
      <c r="C123" s="11" t="inlineStr">
        <is>
          <t>Loja Verde</t>
        </is>
      </c>
      <c r="D123" s="11" t="inlineStr">
        <is>
          <t>Produto</t>
        </is>
      </c>
      <c r="E123" s="11" t="inlineStr">
        <is>
          <t>Evento</t>
        </is>
      </c>
      <c r="F123" s="11" t="inlineStr">
        <is>
          <t>Ana</t>
        </is>
      </c>
      <c r="G123" s="8" t="inlineStr">
        <is>
          <t>Template de apresentação</t>
        </is>
      </c>
      <c r="H123" s="12" t="n">
        <v>1</v>
      </c>
      <c r="I123" s="13" t="n">
        <v>49</v>
      </c>
      <c r="J123" s="14">
        <f>IF(OR(H123="",I123=""),"",H123*I123)</f>
        <v>49</v>
      </c>
      <c r="K123" s="11" t="inlineStr">
        <is>
          <t>Pago</t>
        </is>
      </c>
      <c r="L123" s="9">
        <f>IF(B123="","",MONTH(B123))</f>
        <v>7</v>
      </c>
      <c r="M123" s="9">
        <f>IF(B123="","",YEAR(B123))</f>
        <v>2026</v>
      </c>
    </row>
    <row r="124">
      <c r="A124" s="9">
        <f>IF(B124="","",ROW()-1)</f>
        <v>123</v>
      </c>
      <c r="B124" s="10" t="n">
        <v>46204</v>
      </c>
      <c r="C124" s="11" t="inlineStr">
        <is>
          <t>Bistrô 42</t>
        </is>
      </c>
      <c r="D124" s="11" t="inlineStr">
        <is>
          <t>Produto</t>
        </is>
      </c>
      <c r="E124" s="11" t="inlineStr">
        <is>
          <t>Cliente antigo</t>
        </is>
      </c>
      <c r="F124" s="11" t="inlineStr">
        <is>
          <t>Carla</t>
        </is>
      </c>
      <c r="G124" s="8" t="inlineStr">
        <is>
          <t>Template de apresentação</t>
        </is>
      </c>
      <c r="H124" s="12" t="n">
        <v>1</v>
      </c>
      <c r="I124" s="13" t="n">
        <v>149</v>
      </c>
      <c r="J124" s="14">
        <f>IF(OR(H124="",I124=""),"",H124*I124)</f>
        <v>149</v>
      </c>
      <c r="K124" s="11" t="inlineStr">
        <is>
          <t>Pago</t>
        </is>
      </c>
      <c r="L124" s="9">
        <f>IF(B124="","",MONTH(B124))</f>
        <v>7</v>
      </c>
      <c r="M124" s="9">
        <f>IF(B124="","",YEAR(B124))</f>
        <v>2026</v>
      </c>
    </row>
    <row r="125">
      <c r="A125" s="9">
        <f>IF(B125="","",ROW()-1)</f>
        <v>124</v>
      </c>
      <c r="B125" s="10" t="n">
        <v>46205</v>
      </c>
      <c r="C125" s="11" t="inlineStr">
        <is>
          <t>Aurora Móveis</t>
        </is>
      </c>
      <c r="D125" s="11" t="inlineStr">
        <is>
          <t>Serviço</t>
        </is>
      </c>
      <c r="E125" s="11" t="inlineStr">
        <is>
          <t>Site</t>
        </is>
      </c>
      <c r="F125" s="11" t="inlineStr">
        <is>
          <t>Bruno</t>
        </is>
      </c>
      <c r="G125" s="8" t="inlineStr">
        <is>
          <t>Vídeo curto</t>
        </is>
      </c>
      <c r="H125" s="12" t="n">
        <v>1</v>
      </c>
      <c r="I125" s="13" t="n">
        <v>2400</v>
      </c>
      <c r="J125" s="14">
        <f>IF(OR(H125="",I125=""),"",H125*I125)</f>
        <v>2400</v>
      </c>
      <c r="K125" s="11" t="inlineStr">
        <is>
          <t>Cancelado</t>
        </is>
      </c>
      <c r="L125" s="9">
        <f>IF(B125="","",MONTH(B125))</f>
        <v>7</v>
      </c>
      <c r="M125" s="9">
        <f>IF(B125="","",YEAR(B125))</f>
        <v>2026</v>
      </c>
    </row>
    <row r="126">
      <c r="A126" s="9">
        <f>IF(B126="","",ROW()-1)</f>
        <v>125</v>
      </c>
      <c r="B126" s="10" t="n">
        <v>46205</v>
      </c>
      <c r="C126" s="11" t="inlineStr">
        <is>
          <t>Loja Verde</t>
        </is>
      </c>
      <c r="D126" s="11" t="inlineStr">
        <is>
          <t>Serviço</t>
        </is>
      </c>
      <c r="E126" s="11" t="inlineStr">
        <is>
          <t>Evento</t>
        </is>
      </c>
      <c r="F126" s="11" t="inlineStr">
        <is>
          <t>Ana</t>
        </is>
      </c>
      <c r="G126" s="8" t="inlineStr">
        <is>
          <t>Vídeo curto</t>
        </is>
      </c>
      <c r="H126" s="12" t="n">
        <v>2</v>
      </c>
      <c r="I126" s="13" t="n">
        <v>1500</v>
      </c>
      <c r="J126" s="14">
        <f>IF(OR(H126="",I126=""),"",H126*I126)</f>
        <v>3000</v>
      </c>
      <c r="K126" s="11" t="inlineStr">
        <is>
          <t>Pago</t>
        </is>
      </c>
      <c r="L126" s="9">
        <f>IF(B126="","",MONTH(B126))</f>
        <v>7</v>
      </c>
      <c r="M126" s="9">
        <f>IF(B126="","",YEAR(B126))</f>
        <v>2026</v>
      </c>
    </row>
    <row r="127">
      <c r="A127" s="9">
        <f>IF(B127="","",ROW()-1)</f>
        <v>126</v>
      </c>
      <c r="B127" s="10" t="n">
        <v>46207</v>
      </c>
      <c r="C127" s="11" t="inlineStr">
        <is>
          <t>Aurora Móveis</t>
        </is>
      </c>
      <c r="D127" s="11" t="inlineStr">
        <is>
          <t>Serviço</t>
        </is>
      </c>
      <c r="E127" s="11" t="inlineStr">
        <is>
          <t>Cliente antigo</t>
        </is>
      </c>
      <c r="F127" s="11" t="inlineStr">
        <is>
          <t>Carla</t>
        </is>
      </c>
      <c r="G127" s="8" t="inlineStr">
        <is>
          <t>Diagramação</t>
        </is>
      </c>
      <c r="H127" s="12" t="n">
        <v>1</v>
      </c>
      <c r="I127" s="13" t="n">
        <v>3200</v>
      </c>
      <c r="J127" s="14">
        <f>IF(OR(H127="",I127=""),"",H127*I127)</f>
        <v>3200</v>
      </c>
      <c r="K127" s="11" t="inlineStr">
        <is>
          <t>Pago</t>
        </is>
      </c>
      <c r="L127" s="9">
        <f>IF(B127="","",MONTH(B127))</f>
        <v>7</v>
      </c>
      <c r="M127" s="9">
        <f>IF(B127="","",YEAR(B127))</f>
        <v>2026</v>
      </c>
    </row>
    <row r="128">
      <c r="A128" s="9">
        <f>IF(B128="","",ROW()-1)</f>
        <v>127</v>
      </c>
      <c r="B128" s="10" t="n">
        <v>46208</v>
      </c>
      <c r="C128" s="11" t="inlineStr">
        <is>
          <t>Aurora Móveis</t>
        </is>
      </c>
      <c r="D128" s="11" t="inlineStr">
        <is>
          <t>Reembolso</t>
        </is>
      </c>
      <c r="E128" s="11" t="inlineStr">
        <is>
          <t>Site</t>
        </is>
      </c>
      <c r="F128" s="11" t="inlineStr">
        <is>
          <t>Bruno</t>
        </is>
      </c>
      <c r="G128" s="8" t="inlineStr">
        <is>
          <t>Estorno parcial</t>
        </is>
      </c>
      <c r="H128" s="12" t="n">
        <v>1</v>
      </c>
      <c r="I128" s="13" t="n">
        <v>-200</v>
      </c>
      <c r="J128" s="14">
        <f>IF(OR(H128="",I128=""),"",H128*I128)</f>
        <v>-200</v>
      </c>
      <c r="K128" s="11" t="inlineStr">
        <is>
          <t>Pago</t>
        </is>
      </c>
      <c r="L128" s="9">
        <f>IF(B128="","",MONTH(B128))</f>
        <v>7</v>
      </c>
      <c r="M128" s="9">
        <f>IF(B128="","",YEAR(B128))</f>
        <v>2026</v>
      </c>
    </row>
    <row r="129">
      <c r="A129" s="9">
        <f>IF(B129="","",ROW()-1)</f>
        <v>128</v>
      </c>
      <c r="B129" s="10" t="n">
        <v>46214</v>
      </c>
      <c r="C129" s="11" t="inlineStr">
        <is>
          <t>Bistrô 42</t>
        </is>
      </c>
      <c r="D129" s="11" t="inlineStr">
        <is>
          <t>Serviço</t>
        </is>
      </c>
      <c r="E129" s="11" t="inlineStr">
        <is>
          <t>Instagram</t>
        </is>
      </c>
      <c r="F129" s="11" t="inlineStr">
        <is>
          <t>Ana</t>
        </is>
      </c>
      <c r="G129" s="8" t="inlineStr">
        <is>
          <t>Diagramação</t>
        </is>
      </c>
      <c r="H129" s="12" t="n">
        <v>1</v>
      </c>
      <c r="I129" s="13" t="n">
        <v>1200</v>
      </c>
      <c r="J129" s="14">
        <f>IF(OR(H129="",I129=""),"",H129*I129)</f>
        <v>1200</v>
      </c>
      <c r="K129" s="11" t="inlineStr">
        <is>
          <t>Pago</t>
        </is>
      </c>
      <c r="L129" s="9">
        <f>IF(B129="","",MONTH(B129))</f>
        <v>7</v>
      </c>
      <c r="M129" s="9">
        <f>IF(B129="","",YEAR(B129))</f>
        <v>2026</v>
      </c>
    </row>
    <row r="130">
      <c r="A130" s="9">
        <f>IF(B130="","",ROW()-1)</f>
        <v>129</v>
      </c>
      <c r="B130" s="10" t="n">
        <v>46215</v>
      </c>
      <c r="C130" s="11" t="inlineStr">
        <is>
          <t>Café Central</t>
        </is>
      </c>
      <c r="D130" s="11" t="inlineStr">
        <is>
          <t>Serviço</t>
        </is>
      </c>
      <c r="E130" s="11" t="inlineStr">
        <is>
          <t>Instagram</t>
        </is>
      </c>
      <c r="F130" s="11" t="inlineStr">
        <is>
          <t>Carla</t>
        </is>
      </c>
      <c r="G130" s="8" t="inlineStr">
        <is>
          <t>Consultoria de marca</t>
        </is>
      </c>
      <c r="H130" s="12" t="n">
        <v>1</v>
      </c>
      <c r="I130" s="13" t="n">
        <v>2400</v>
      </c>
      <c r="J130" s="14">
        <f>IF(OR(H130="",I130=""),"",H130*I130)</f>
        <v>2400</v>
      </c>
      <c r="K130" s="11" t="inlineStr">
        <is>
          <t>Pago</t>
        </is>
      </c>
      <c r="L130" s="9">
        <f>IF(B130="","",MONTH(B130))</f>
        <v>7</v>
      </c>
      <c r="M130" s="9">
        <f>IF(B130="","",YEAR(B130))</f>
        <v>2026</v>
      </c>
    </row>
    <row r="131">
      <c r="A131" s="9">
        <f>IF(B131="","",ROW()-1)</f>
        <v>130</v>
      </c>
      <c r="B131" s="10" t="n">
        <v>46215</v>
      </c>
      <c r="C131" s="11" t="inlineStr">
        <is>
          <t>Café Central</t>
        </is>
      </c>
      <c r="D131" s="11" t="inlineStr">
        <is>
          <t>Serviço</t>
        </is>
      </c>
      <c r="E131" s="11" t="inlineStr">
        <is>
          <t>Instagram</t>
        </is>
      </c>
      <c r="F131" s="11" t="inlineStr">
        <is>
          <t>Carla</t>
        </is>
      </c>
      <c r="G131" s="8" t="inlineStr">
        <is>
          <t>Consultoria de marca</t>
        </is>
      </c>
      <c r="H131" s="12" t="n">
        <v>1</v>
      </c>
      <c r="I131" s="13" t="n">
        <v>1500</v>
      </c>
      <c r="J131" s="14">
        <f>IF(OR(H131="",I131=""),"",H131*I131)</f>
        <v>1500</v>
      </c>
      <c r="K131" s="11" t="inlineStr">
        <is>
          <t>Em aberto</t>
        </is>
      </c>
      <c r="L131" s="9">
        <f>IF(B131="","",MONTH(B131))</f>
        <v>7</v>
      </c>
      <c r="M131" s="9">
        <f>IF(B131="","",YEAR(B131))</f>
        <v>2026</v>
      </c>
    </row>
    <row r="132">
      <c r="A132" s="9">
        <f>IF(B132="","",ROW()-1)</f>
        <v>131</v>
      </c>
      <c r="B132" s="10" t="n">
        <v>46217</v>
      </c>
      <c r="C132" s="11" t="inlineStr">
        <is>
          <t>Clínica Bem-Estar</t>
        </is>
      </c>
      <c r="D132" s="11" t="inlineStr">
        <is>
          <t>Serviço</t>
        </is>
      </c>
      <c r="E132" s="11" t="inlineStr">
        <is>
          <t>Instagram</t>
        </is>
      </c>
      <c r="F132" s="11" t="inlineStr">
        <is>
          <t>Diego</t>
        </is>
      </c>
      <c r="G132" s="8" t="inlineStr">
        <is>
          <t>Layout de página</t>
        </is>
      </c>
      <c r="H132" s="12" t="n">
        <v>3</v>
      </c>
      <c r="I132" s="13" t="n">
        <v>1200</v>
      </c>
      <c r="J132" s="14">
        <f>IF(OR(H132="",I132=""),"",H132*I132)</f>
        <v>3600</v>
      </c>
      <c r="K132" s="11" t="inlineStr">
        <is>
          <t>Pago</t>
        </is>
      </c>
      <c r="L132" s="9">
        <f>IF(B132="","",MONTH(B132))</f>
        <v>7</v>
      </c>
      <c r="M132" s="9">
        <f>IF(B132="","",YEAR(B132))</f>
        <v>2026</v>
      </c>
    </row>
    <row r="133">
      <c r="A133" s="9">
        <f>IF(B133="","",ROW()-1)</f>
        <v>132</v>
      </c>
      <c r="B133" s="10" t="n">
        <v>46217</v>
      </c>
      <c r="C133" s="11" t="inlineStr">
        <is>
          <t>Loja Verde</t>
        </is>
      </c>
      <c r="D133" s="11" t="inlineStr">
        <is>
          <t>Serviço</t>
        </is>
      </c>
      <c r="E133" s="11" t="inlineStr">
        <is>
          <t>Site</t>
        </is>
      </c>
      <c r="F133" s="11" t="inlineStr">
        <is>
          <t>Diego</t>
        </is>
      </c>
      <c r="G133" s="8" t="inlineStr">
        <is>
          <t>Consultoria de marca</t>
        </is>
      </c>
      <c r="H133" s="12" t="n">
        <v>1</v>
      </c>
      <c r="I133" s="13" t="n">
        <v>3200</v>
      </c>
      <c r="J133" s="14">
        <f>IF(OR(H133="",I133=""),"",H133*I133)</f>
        <v>3200</v>
      </c>
      <c r="K133" s="11" t="inlineStr">
        <is>
          <t>Em aberto</t>
        </is>
      </c>
      <c r="L133" s="9">
        <f>IF(B133="","",MONTH(B133))</f>
        <v>7</v>
      </c>
      <c r="M133" s="9">
        <f>IF(B133="","",YEAR(B133))</f>
        <v>2026</v>
      </c>
    </row>
    <row r="134">
      <c r="A134" s="9">
        <f>IF(B134="","",ROW()-1)</f>
        <v>133</v>
      </c>
      <c r="B134" s="10" t="n">
        <v>46218</v>
      </c>
      <c r="C134" s="11" t="inlineStr">
        <is>
          <t>Clínica Bem-Estar</t>
        </is>
      </c>
      <c r="D134" s="11" t="inlineStr">
        <is>
          <t>Serviço</t>
        </is>
      </c>
      <c r="E134" s="11" t="inlineStr">
        <is>
          <t>Evento</t>
        </is>
      </c>
      <c r="F134" s="11" t="inlineStr">
        <is>
          <t>Carla</t>
        </is>
      </c>
      <c r="G134" s="8" t="inlineStr">
        <is>
          <t>Consultoria de marca</t>
        </is>
      </c>
      <c r="H134" s="12" t="n">
        <v>1</v>
      </c>
      <c r="I134" s="13" t="n">
        <v>800</v>
      </c>
      <c r="J134" s="14">
        <f>IF(OR(H134="",I134=""),"",H134*I134)</f>
        <v>800</v>
      </c>
      <c r="K134" s="11" t="inlineStr">
        <is>
          <t>Pago</t>
        </is>
      </c>
      <c r="L134" s="9">
        <f>IF(B134="","",MONTH(B134))</f>
        <v>7</v>
      </c>
      <c r="M134" s="9">
        <f>IF(B134="","",YEAR(B134))</f>
        <v>2026</v>
      </c>
    </row>
    <row r="135">
      <c r="A135" s="9">
        <f>IF(B135="","",ROW()-1)</f>
        <v>134</v>
      </c>
      <c r="B135" s="10" t="n">
        <v>46219</v>
      </c>
      <c r="C135" s="11" t="inlineStr">
        <is>
          <t>Café Central</t>
        </is>
      </c>
      <c r="D135" s="11" t="inlineStr">
        <is>
          <t>Serviço</t>
        </is>
      </c>
      <c r="E135" s="11" t="inlineStr">
        <is>
          <t>Site</t>
        </is>
      </c>
      <c r="F135" s="11" t="inlineStr">
        <is>
          <t>Ana</t>
        </is>
      </c>
      <c r="G135" s="8" t="inlineStr">
        <is>
          <t>Vídeo curto</t>
        </is>
      </c>
      <c r="H135" s="12" t="n">
        <v>3</v>
      </c>
      <c r="I135" s="13" t="n">
        <v>2400</v>
      </c>
      <c r="J135" s="14">
        <f>IF(OR(H135="",I135=""),"",H135*I135)</f>
        <v>7200</v>
      </c>
      <c r="K135" s="11" t="inlineStr">
        <is>
          <t>Pago</t>
        </is>
      </c>
      <c r="L135" s="9">
        <f>IF(B135="","",MONTH(B135))</f>
        <v>7</v>
      </c>
      <c r="M135" s="9">
        <f>IF(B135="","",YEAR(B135))</f>
        <v>2026</v>
      </c>
    </row>
    <row r="136">
      <c r="A136" s="9">
        <f>IF(B136="","",ROW()-1)</f>
        <v>135</v>
      </c>
      <c r="B136" s="10" t="n">
        <v>46219</v>
      </c>
      <c r="C136" s="11" t="inlineStr">
        <is>
          <t>Bistrô 42</t>
        </is>
      </c>
      <c r="D136" s="11" t="inlineStr">
        <is>
          <t>Serviço</t>
        </is>
      </c>
      <c r="E136" s="11" t="inlineStr">
        <is>
          <t>Site</t>
        </is>
      </c>
      <c r="F136" s="11" t="inlineStr">
        <is>
          <t>Ana</t>
        </is>
      </c>
      <c r="G136" s="8" t="inlineStr">
        <is>
          <t>Consultoria de marca</t>
        </is>
      </c>
      <c r="H136" s="12" t="n">
        <v>1</v>
      </c>
      <c r="I136" s="13" t="n">
        <v>1500</v>
      </c>
      <c r="J136" s="14">
        <f>IF(OR(H136="",I136=""),"",H136*I136)</f>
        <v>1500</v>
      </c>
      <c r="K136" s="11" t="inlineStr">
        <is>
          <t>Pago</t>
        </is>
      </c>
      <c r="L136" s="9">
        <f>IF(B136="","",MONTH(B136))</f>
        <v>7</v>
      </c>
      <c r="M136" s="9">
        <f>IF(B136="","",YEAR(B136))</f>
        <v>2026</v>
      </c>
    </row>
    <row r="137">
      <c r="A137" s="9">
        <f>IF(B137="","",ROW()-1)</f>
        <v>136</v>
      </c>
      <c r="B137" s="10" t="n">
        <v>46221</v>
      </c>
      <c r="C137" s="11" t="inlineStr">
        <is>
          <t>Horizonte</t>
        </is>
      </c>
      <c r="D137" s="11" t="inlineStr">
        <is>
          <t>Serviço</t>
        </is>
      </c>
      <c r="E137" s="11" t="inlineStr">
        <is>
          <t>Cliente antigo</t>
        </is>
      </c>
      <c r="F137" s="11" t="inlineStr">
        <is>
          <t>Ana</t>
        </is>
      </c>
      <c r="G137" s="8" t="inlineStr">
        <is>
          <t>Consultoria de marca</t>
        </is>
      </c>
      <c r="H137" s="12" t="n">
        <v>1</v>
      </c>
      <c r="I137" s="13" t="n">
        <v>1500</v>
      </c>
      <c r="J137" s="14">
        <f>IF(OR(H137="",I137=""),"",H137*I137)</f>
        <v>1500</v>
      </c>
      <c r="K137" s="11" t="inlineStr">
        <is>
          <t>Pago</t>
        </is>
      </c>
      <c r="L137" s="9">
        <f>IF(B137="","",MONTH(B137))</f>
        <v>7</v>
      </c>
      <c r="M137" s="9">
        <f>IF(B137="","",YEAR(B137))</f>
        <v>2026</v>
      </c>
    </row>
    <row r="138">
      <c r="A138" s="9">
        <f>IF(B138="","",ROW()-1)</f>
        <v>137</v>
      </c>
      <c r="B138" s="10" t="n">
        <v>46222</v>
      </c>
      <c r="C138" s="11" t="inlineStr">
        <is>
          <t>Horizonte</t>
        </is>
      </c>
      <c r="D138" s="11" t="inlineStr">
        <is>
          <t>Serviço</t>
        </is>
      </c>
      <c r="E138" s="11" t="inlineStr">
        <is>
          <t>Evento</t>
        </is>
      </c>
      <c r="F138" s="11" t="inlineStr">
        <is>
          <t>Diego</t>
        </is>
      </c>
      <c r="G138" s="8" t="inlineStr">
        <is>
          <t>Layout de página</t>
        </is>
      </c>
      <c r="H138" s="12" t="n">
        <v>1</v>
      </c>
      <c r="I138" s="13" t="n">
        <v>2400</v>
      </c>
      <c r="J138" s="14">
        <f>IF(OR(H138="",I138=""),"",H138*I138)</f>
        <v>2400</v>
      </c>
      <c r="K138" s="11" t="inlineStr">
        <is>
          <t>Pago</t>
        </is>
      </c>
      <c r="L138" s="9">
        <f>IF(B138="","",MONTH(B138))</f>
        <v>7</v>
      </c>
      <c r="M138" s="9">
        <f>IF(B138="","",YEAR(B138))</f>
        <v>2026</v>
      </c>
    </row>
    <row r="139">
      <c r="A139" s="9">
        <f>IF(B139="","",ROW()-1)</f>
        <v>138</v>
      </c>
      <c r="B139" s="10" t="n">
        <v>46222</v>
      </c>
      <c r="C139" s="11" t="inlineStr">
        <is>
          <t>Horizonte</t>
        </is>
      </c>
      <c r="D139" s="11" t="inlineStr">
        <is>
          <t>Serviço</t>
        </is>
      </c>
      <c r="E139" s="11" t="inlineStr">
        <is>
          <t>Indicação</t>
        </is>
      </c>
      <c r="F139" s="11" t="inlineStr">
        <is>
          <t>Ana</t>
        </is>
      </c>
      <c r="G139" s="8" t="inlineStr">
        <is>
          <t>Posts do mês</t>
        </is>
      </c>
      <c r="H139" s="12" t="n">
        <v>2</v>
      </c>
      <c r="I139" s="13" t="n">
        <v>3200</v>
      </c>
      <c r="J139" s="14">
        <f>IF(OR(H139="",I139=""),"",H139*I139)</f>
        <v>6400</v>
      </c>
      <c r="K139" s="11" t="inlineStr">
        <is>
          <t>Pago</t>
        </is>
      </c>
      <c r="L139" s="9">
        <f>IF(B139="","",MONTH(B139))</f>
        <v>7</v>
      </c>
      <c r="M139" s="9">
        <f>IF(B139="","",YEAR(B139))</f>
        <v>2026</v>
      </c>
    </row>
    <row r="140">
      <c r="A140" s="9">
        <f>IF(B140="","",ROW()-1)</f>
        <v>139</v>
      </c>
      <c r="B140" s="10" t="n">
        <v>46225</v>
      </c>
      <c r="C140" s="11" t="inlineStr">
        <is>
          <t>Bistrô 42</t>
        </is>
      </c>
      <c r="D140" s="11" t="inlineStr">
        <is>
          <t>Serviço</t>
        </is>
      </c>
      <c r="E140" s="11" t="inlineStr">
        <is>
          <t>Cliente antigo</t>
        </is>
      </c>
      <c r="F140" s="11" t="inlineStr">
        <is>
          <t>Ana</t>
        </is>
      </c>
      <c r="G140" s="8" t="inlineStr">
        <is>
          <t>Vídeo curto</t>
        </is>
      </c>
      <c r="H140" s="12" t="n">
        <v>3</v>
      </c>
      <c r="I140" s="13" t="n">
        <v>1200</v>
      </c>
      <c r="J140" s="14">
        <f>IF(OR(H140="",I140=""),"",H140*I140)</f>
        <v>3600</v>
      </c>
      <c r="K140" s="11" t="inlineStr">
        <is>
          <t>Pago</t>
        </is>
      </c>
      <c r="L140" s="9">
        <f>IF(B140="","",MONTH(B140))</f>
        <v>7</v>
      </c>
      <c r="M140" s="9">
        <f>IF(B140="","",YEAR(B140))</f>
        <v>2026</v>
      </c>
    </row>
    <row r="141">
      <c r="A141" s="9">
        <f>IF(B141="","",ROW()-1)</f>
        <v>140</v>
      </c>
      <c r="B141" s="10" t="n">
        <v>46227</v>
      </c>
      <c r="C141" s="11" t="inlineStr">
        <is>
          <t>Bistrô 42</t>
        </is>
      </c>
      <c r="D141" s="11" t="inlineStr">
        <is>
          <t>Produto</t>
        </is>
      </c>
      <c r="E141" s="11" t="inlineStr">
        <is>
          <t>Cliente antigo</t>
        </is>
      </c>
      <c r="F141" s="11" t="inlineStr">
        <is>
          <t>Bruno</t>
        </is>
      </c>
      <c r="G141" s="8" t="inlineStr">
        <is>
          <t>Template de apresentação</t>
        </is>
      </c>
      <c r="H141" s="12" t="n">
        <v>1</v>
      </c>
      <c r="I141" s="13" t="n">
        <v>149</v>
      </c>
      <c r="J141" s="14">
        <f>IF(OR(H141="",I141=""),"",H141*I141)</f>
        <v>149</v>
      </c>
      <c r="K141" s="11" t="inlineStr">
        <is>
          <t>Pago</t>
        </is>
      </c>
      <c r="L141" s="9">
        <f>IF(B141="","",MONTH(B141))</f>
        <v>7</v>
      </c>
      <c r="M141" s="9">
        <f>IF(B141="","",YEAR(B141))</f>
        <v>2026</v>
      </c>
    </row>
    <row r="142">
      <c r="A142" s="9">
        <f>IF(B142="","",ROW()-1)</f>
        <v>141</v>
      </c>
      <c r="B142" s="10" t="n">
        <v>46228</v>
      </c>
      <c r="C142" s="11" t="inlineStr">
        <is>
          <t>Bistrô 42</t>
        </is>
      </c>
      <c r="D142" s="11" t="inlineStr">
        <is>
          <t>Serviço</t>
        </is>
      </c>
      <c r="E142" s="11" t="inlineStr">
        <is>
          <t>Site</t>
        </is>
      </c>
      <c r="F142" s="11" t="inlineStr">
        <is>
          <t>Diego</t>
        </is>
      </c>
      <c r="G142" s="8" t="inlineStr">
        <is>
          <t>Posts do mês</t>
        </is>
      </c>
      <c r="H142" s="12" t="n">
        <v>1</v>
      </c>
      <c r="I142" s="13" t="n">
        <v>3200</v>
      </c>
      <c r="J142" s="14">
        <f>IF(OR(H142="",I142=""),"",H142*I142)</f>
        <v>3200</v>
      </c>
      <c r="K142" s="11" t="inlineStr">
        <is>
          <t>Pago</t>
        </is>
      </c>
      <c r="L142" s="9">
        <f>IF(B142="","",MONTH(B142))</f>
        <v>7</v>
      </c>
      <c r="M142" s="9">
        <f>IF(B142="","",YEAR(B142))</f>
        <v>2026</v>
      </c>
    </row>
    <row r="143">
      <c r="A143" s="9">
        <f>IF(B143="","",ROW()-1)</f>
        <v>142</v>
      </c>
      <c r="B143" s="10" t="n">
        <v>46233</v>
      </c>
      <c r="C143" s="11" t="inlineStr">
        <is>
          <t>Bistrô 42</t>
        </is>
      </c>
      <c r="D143" s="11" t="inlineStr">
        <is>
          <t>Serviço</t>
        </is>
      </c>
      <c r="E143" s="11" t="inlineStr">
        <is>
          <t>Instagram</t>
        </is>
      </c>
      <c r="F143" s="11" t="inlineStr">
        <is>
          <t>Diego</t>
        </is>
      </c>
      <c r="G143" s="8" t="inlineStr">
        <is>
          <t>Posts do mês</t>
        </is>
      </c>
      <c r="H143" s="12" t="n">
        <v>1</v>
      </c>
      <c r="I143" s="13" t="n">
        <v>3200</v>
      </c>
      <c r="J143" s="14">
        <f>IF(OR(H143="",I143=""),"",H143*I143)</f>
        <v>3200</v>
      </c>
      <c r="K143" s="11" t="inlineStr">
        <is>
          <t>Em aberto</t>
        </is>
      </c>
      <c r="L143" s="9">
        <f>IF(B143="","",MONTH(B143))</f>
        <v>7</v>
      </c>
      <c r="M143" s="9">
        <f>IF(B143="","",YEAR(B143))</f>
        <v>2026</v>
      </c>
    </row>
    <row r="144">
      <c r="A144" s="9">
        <f>IF(B144="","",ROW()-1)</f>
        <v>143</v>
      </c>
      <c r="B144" s="10" t="n">
        <v>46233</v>
      </c>
      <c r="C144" s="11" t="inlineStr">
        <is>
          <t>Horizonte</t>
        </is>
      </c>
      <c r="D144" s="11" t="inlineStr">
        <is>
          <t>Ajuste</t>
        </is>
      </c>
      <c r="E144" s="11" t="inlineStr">
        <is>
          <t>Indicação</t>
        </is>
      </c>
      <c r="F144" s="11" t="inlineStr">
        <is>
          <t>Ana</t>
        </is>
      </c>
      <c r="G144" s="8" t="inlineStr">
        <is>
          <t>Ajuste de fatura</t>
        </is>
      </c>
      <c r="H144" s="12" t="n">
        <v>2</v>
      </c>
      <c r="I144" s="13" t="n">
        <v>-150</v>
      </c>
      <c r="J144" s="14">
        <f>IF(OR(H144="",I144=""),"",H144*I144)</f>
        <v>-300</v>
      </c>
      <c r="K144" s="11" t="inlineStr">
        <is>
          <t>Pago</t>
        </is>
      </c>
      <c r="L144" s="9">
        <f>IF(B144="","",MONTH(B144))</f>
        <v>7</v>
      </c>
      <c r="M144" s="9">
        <f>IF(B144="","",YEAR(B144))</f>
        <v>2026</v>
      </c>
    </row>
    <row r="145">
      <c r="A145" s="9">
        <f>IF(B145="","",ROW()-1)</f>
        <v>144</v>
      </c>
      <c r="B145" s="10" t="n">
        <v>46234</v>
      </c>
      <c r="C145" s="11" t="inlineStr">
        <is>
          <t>Escola Nova Era</t>
        </is>
      </c>
      <c r="D145" s="11" t="inlineStr">
        <is>
          <t>Serviço</t>
        </is>
      </c>
      <c r="E145" s="11" t="inlineStr">
        <is>
          <t>Site</t>
        </is>
      </c>
      <c r="F145" s="11" t="inlineStr">
        <is>
          <t>Bruno</t>
        </is>
      </c>
      <c r="G145" s="8" t="inlineStr">
        <is>
          <t>Layout de página</t>
        </is>
      </c>
      <c r="H145" s="12" t="n">
        <v>2</v>
      </c>
      <c r="I145" s="13" t="n">
        <v>1500</v>
      </c>
      <c r="J145" s="14">
        <f>IF(OR(H145="",I145=""),"",H145*I145)</f>
        <v>3000</v>
      </c>
      <c r="K145" s="11" t="inlineStr">
        <is>
          <t>Em aberto</t>
        </is>
      </c>
      <c r="L145" s="9">
        <f>IF(B145="","",MONTH(B145))</f>
        <v>7</v>
      </c>
      <c r="M145" s="9">
        <f>IF(B145="","",YEAR(B145))</f>
        <v>2026</v>
      </c>
    </row>
    <row r="146">
      <c r="A146" s="9">
        <f>IF(B146="","",ROW()-1)</f>
        <v>145</v>
      </c>
      <c r="B146" s="10" t="n">
        <v>46235</v>
      </c>
      <c r="C146" s="11" t="inlineStr">
        <is>
          <t>Loja Verde</t>
        </is>
      </c>
      <c r="D146" s="11" t="inlineStr">
        <is>
          <t>Serviço</t>
        </is>
      </c>
      <c r="E146" s="11" t="inlineStr">
        <is>
          <t>Indicação</t>
        </is>
      </c>
      <c r="F146" s="11" t="inlineStr">
        <is>
          <t>Diego</t>
        </is>
      </c>
      <c r="G146" s="8" t="inlineStr">
        <is>
          <t>Layout de página</t>
        </is>
      </c>
      <c r="H146" s="12" t="n">
        <v>1</v>
      </c>
      <c r="I146" s="13" t="n">
        <v>2400</v>
      </c>
      <c r="J146" s="14">
        <f>IF(OR(H146="",I146=""),"",H146*I146)</f>
        <v>2400</v>
      </c>
      <c r="K146" s="11" t="inlineStr">
        <is>
          <t>Pago</t>
        </is>
      </c>
      <c r="L146" s="9">
        <f>IF(B146="","",MONTH(B146))</f>
        <v>8</v>
      </c>
      <c r="M146" s="9">
        <f>IF(B146="","",YEAR(B146))</f>
        <v>2026</v>
      </c>
    </row>
    <row r="147">
      <c r="A147" s="9">
        <f>IF(B147="","",ROW()-1)</f>
        <v>146</v>
      </c>
      <c r="B147" s="10" t="n">
        <v>46235</v>
      </c>
      <c r="C147" s="11" t="inlineStr">
        <is>
          <t>Horizonte</t>
        </is>
      </c>
      <c r="D147" s="11" t="inlineStr">
        <is>
          <t>Serviço</t>
        </is>
      </c>
      <c r="E147" s="11" t="inlineStr">
        <is>
          <t>Instagram</t>
        </is>
      </c>
      <c r="F147" s="11" t="inlineStr">
        <is>
          <t>Carla</t>
        </is>
      </c>
      <c r="G147" s="8" t="inlineStr">
        <is>
          <t>Consultoria de marca</t>
        </is>
      </c>
      <c r="H147" s="12" t="n">
        <v>1</v>
      </c>
      <c r="I147" s="13" t="n">
        <v>2400</v>
      </c>
      <c r="J147" s="14">
        <f>IF(OR(H147="",I147=""),"",H147*I147)</f>
        <v>2400</v>
      </c>
      <c r="K147" s="11" t="inlineStr">
        <is>
          <t>Pago</t>
        </is>
      </c>
      <c r="L147" s="9">
        <f>IF(B147="","",MONTH(B147))</f>
        <v>8</v>
      </c>
      <c r="M147" s="9">
        <f>IF(B147="","",YEAR(B147))</f>
        <v>2026</v>
      </c>
    </row>
    <row r="148">
      <c r="A148" s="9">
        <f>IF(B148="","",ROW()-1)</f>
        <v>147</v>
      </c>
      <c r="B148" s="10" t="n">
        <v>46236</v>
      </c>
      <c r="C148" s="11" t="inlineStr">
        <is>
          <t>Aurora Móveis</t>
        </is>
      </c>
      <c r="D148" s="11" t="inlineStr">
        <is>
          <t>Serviço</t>
        </is>
      </c>
      <c r="E148" s="11" t="inlineStr">
        <is>
          <t>Site</t>
        </is>
      </c>
      <c r="F148" s="11" t="inlineStr">
        <is>
          <t>Ana</t>
        </is>
      </c>
      <c r="G148" s="8" t="inlineStr">
        <is>
          <t>Diagramação</t>
        </is>
      </c>
      <c r="H148" s="12" t="n">
        <v>2</v>
      </c>
      <c r="I148" s="13" t="n">
        <v>800</v>
      </c>
      <c r="J148" s="14">
        <f>IF(OR(H148="",I148=""),"",H148*I148)</f>
        <v>1600</v>
      </c>
      <c r="K148" s="11" t="inlineStr">
        <is>
          <t>Pago</t>
        </is>
      </c>
      <c r="L148" s="9">
        <f>IF(B148="","",MONTH(B148))</f>
        <v>8</v>
      </c>
      <c r="M148" s="9">
        <f>IF(B148="","",YEAR(B148))</f>
        <v>2026</v>
      </c>
    </row>
    <row r="149">
      <c r="A149" s="9">
        <f>IF(B149="","",ROW()-1)</f>
        <v>148</v>
      </c>
      <c r="B149" s="10" t="n">
        <v>46236</v>
      </c>
      <c r="C149" s="11" t="inlineStr">
        <is>
          <t>Loja Verde</t>
        </is>
      </c>
      <c r="D149" s="11" t="inlineStr">
        <is>
          <t>Produto</t>
        </is>
      </c>
      <c r="E149" s="11" t="inlineStr">
        <is>
          <t>Indicação</t>
        </is>
      </c>
      <c r="F149" s="11" t="inlineStr">
        <is>
          <t>Carla</t>
        </is>
      </c>
      <c r="G149" s="8" t="inlineStr">
        <is>
          <t>Pacote de ícones</t>
        </is>
      </c>
      <c r="H149" s="12" t="n">
        <v>3</v>
      </c>
      <c r="I149" s="13" t="n">
        <v>149</v>
      </c>
      <c r="J149" s="14">
        <f>IF(OR(H149="",I149=""),"",H149*I149)</f>
        <v>447</v>
      </c>
      <c r="K149" s="11" t="inlineStr">
        <is>
          <t>Pago</t>
        </is>
      </c>
      <c r="L149" s="9">
        <f>IF(B149="","",MONTH(B149))</f>
        <v>8</v>
      </c>
      <c r="M149" s="9">
        <f>IF(B149="","",YEAR(B149))</f>
        <v>2026</v>
      </c>
    </row>
    <row r="150">
      <c r="A150" s="9">
        <f>IF(B150="","",ROW()-1)</f>
        <v>149</v>
      </c>
      <c r="B150" s="10" t="n">
        <v>46237</v>
      </c>
      <c r="C150" s="11" t="inlineStr">
        <is>
          <t>Padaria do Sol</t>
        </is>
      </c>
      <c r="D150" s="11" t="inlineStr">
        <is>
          <t>Serviço</t>
        </is>
      </c>
      <c r="E150" s="11" t="inlineStr">
        <is>
          <t>Indicação</t>
        </is>
      </c>
      <c r="F150" s="11" t="inlineStr">
        <is>
          <t>Bruno</t>
        </is>
      </c>
      <c r="G150" s="8" t="inlineStr">
        <is>
          <t>Diagramação</t>
        </is>
      </c>
      <c r="H150" s="12" t="n">
        <v>3</v>
      </c>
      <c r="I150" s="13" t="n">
        <v>800</v>
      </c>
      <c r="J150" s="14">
        <f>IF(OR(H150="",I150=""),"",H150*I150)</f>
        <v>2400</v>
      </c>
      <c r="K150" s="11" t="inlineStr">
        <is>
          <t>Pago</t>
        </is>
      </c>
      <c r="L150" s="9">
        <f>IF(B150="","",MONTH(B150))</f>
        <v>8</v>
      </c>
      <c r="M150" s="9">
        <f>IF(B150="","",YEAR(B150))</f>
        <v>2026</v>
      </c>
    </row>
    <row r="151">
      <c r="A151" s="9">
        <f>IF(B151="","",ROW()-1)</f>
        <v>150</v>
      </c>
      <c r="B151" s="10" t="n">
        <v>46237</v>
      </c>
      <c r="C151" s="11" t="inlineStr">
        <is>
          <t>Clínica Bem-Estar</t>
        </is>
      </c>
      <c r="D151" s="11" t="inlineStr">
        <is>
          <t>Serviço</t>
        </is>
      </c>
      <c r="E151" s="11" t="inlineStr">
        <is>
          <t>Evento</t>
        </is>
      </c>
      <c r="F151" s="11" t="inlineStr">
        <is>
          <t>Carla</t>
        </is>
      </c>
      <c r="G151" s="8" t="inlineStr">
        <is>
          <t>Vídeo curto</t>
        </is>
      </c>
      <c r="H151" s="12" t="n">
        <v>1</v>
      </c>
      <c r="I151" s="13" t="n">
        <v>1500</v>
      </c>
      <c r="J151" s="14">
        <f>IF(OR(H151="",I151=""),"",H151*I151)</f>
        <v>1500</v>
      </c>
      <c r="K151" s="11" t="inlineStr">
        <is>
          <t>Pago</t>
        </is>
      </c>
      <c r="L151" s="9">
        <f>IF(B151="","",MONTH(B151))</f>
        <v>8</v>
      </c>
      <c r="M151" s="9">
        <f>IF(B151="","",YEAR(B151))</f>
        <v>2026</v>
      </c>
    </row>
    <row r="152">
      <c r="A152" s="9">
        <f>IF(B152="","",ROW()-1)</f>
        <v>151</v>
      </c>
      <c r="B152" s="10" t="n">
        <v>46238</v>
      </c>
      <c r="C152" s="11" t="inlineStr">
        <is>
          <t>Horizonte</t>
        </is>
      </c>
      <c r="D152" s="11" t="inlineStr">
        <is>
          <t>Serviço</t>
        </is>
      </c>
      <c r="E152" s="11" t="inlineStr">
        <is>
          <t>Evento</t>
        </is>
      </c>
      <c r="F152" s="11" t="inlineStr">
        <is>
          <t>Ana</t>
        </is>
      </c>
      <c r="G152" s="8" t="inlineStr">
        <is>
          <t>Layout de página</t>
        </is>
      </c>
      <c r="H152" s="12" t="n">
        <v>1</v>
      </c>
      <c r="I152" s="13" t="n">
        <v>2400</v>
      </c>
      <c r="J152" s="14">
        <f>IF(OR(H152="",I152=""),"",H152*I152)</f>
        <v>2400</v>
      </c>
      <c r="K152" s="11" t="inlineStr">
        <is>
          <t>Pago</t>
        </is>
      </c>
      <c r="L152" s="9">
        <f>IF(B152="","",MONTH(B152))</f>
        <v>8</v>
      </c>
      <c r="M152" s="9">
        <f>IF(B152="","",YEAR(B152))</f>
        <v>2026</v>
      </c>
    </row>
    <row r="153">
      <c r="A153" s="9">
        <f>IF(B153="","",ROW()-1)</f>
        <v>152</v>
      </c>
      <c r="B153" s="10" t="n">
        <v>46239</v>
      </c>
      <c r="C153" s="11" t="inlineStr">
        <is>
          <t>Aurora Móveis</t>
        </is>
      </c>
      <c r="D153" s="11" t="inlineStr">
        <is>
          <t>Serviço</t>
        </is>
      </c>
      <c r="E153" s="11" t="inlineStr">
        <is>
          <t>Evento</t>
        </is>
      </c>
      <c r="F153" s="11" t="inlineStr">
        <is>
          <t>Carla</t>
        </is>
      </c>
      <c r="G153" s="8" t="inlineStr">
        <is>
          <t>Posts do mês</t>
        </is>
      </c>
      <c r="H153" s="12" t="n">
        <v>1</v>
      </c>
      <c r="I153" s="13" t="n">
        <v>2400</v>
      </c>
      <c r="J153" s="14">
        <f>IF(OR(H153="",I153=""),"",H153*I153)</f>
        <v>2400</v>
      </c>
      <c r="K153" s="11" t="inlineStr">
        <is>
          <t>Em aberto</t>
        </is>
      </c>
      <c r="L153" s="9">
        <f>IF(B153="","",MONTH(B153))</f>
        <v>8</v>
      </c>
      <c r="M153" s="9">
        <f>IF(B153="","",YEAR(B153))</f>
        <v>2026</v>
      </c>
    </row>
    <row r="154">
      <c r="A154" s="9">
        <f>IF(B154="","",ROW()-1)</f>
        <v>153</v>
      </c>
      <c r="B154" s="10" t="n">
        <v>46239</v>
      </c>
      <c r="C154" s="11" t="inlineStr">
        <is>
          <t>Padaria do Sol</t>
        </is>
      </c>
      <c r="D154" s="11" t="inlineStr">
        <is>
          <t>Produto</t>
        </is>
      </c>
      <c r="E154" s="11" t="inlineStr">
        <is>
          <t>Site</t>
        </is>
      </c>
      <c r="F154" s="11" t="inlineStr">
        <is>
          <t>Bruno</t>
        </is>
      </c>
      <c r="G154" s="8" t="inlineStr">
        <is>
          <t>Pacote de ícones</t>
        </is>
      </c>
      <c r="H154" s="12" t="n">
        <v>1</v>
      </c>
      <c r="I154" s="13" t="n">
        <v>49</v>
      </c>
      <c r="J154" s="14">
        <f>IF(OR(H154="",I154=""),"",H154*I154)</f>
        <v>49</v>
      </c>
      <c r="K154" s="11" t="inlineStr">
        <is>
          <t>Pago</t>
        </is>
      </c>
      <c r="L154" s="9">
        <f>IF(B154="","",MONTH(B154))</f>
        <v>8</v>
      </c>
      <c r="M154" s="9">
        <f>IF(B154="","",YEAR(B154))</f>
        <v>2026</v>
      </c>
    </row>
    <row r="155">
      <c r="A155" s="9">
        <f>IF(B155="","",ROW()-1)</f>
        <v>154</v>
      </c>
      <c r="B155" s="10" t="n">
        <v>46240</v>
      </c>
      <c r="C155" s="11" t="inlineStr">
        <is>
          <t>Bistrô 42</t>
        </is>
      </c>
      <c r="D155" s="11" t="inlineStr">
        <is>
          <t>Serviço</t>
        </is>
      </c>
      <c r="E155" s="11" t="inlineStr">
        <is>
          <t>Indicação</t>
        </is>
      </c>
      <c r="F155" s="11" t="inlineStr">
        <is>
          <t>Carla</t>
        </is>
      </c>
      <c r="G155" s="8" t="inlineStr">
        <is>
          <t>Consultoria de marca</t>
        </is>
      </c>
      <c r="H155" s="12" t="n">
        <v>1</v>
      </c>
      <c r="I155" s="13" t="n">
        <v>1500</v>
      </c>
      <c r="J155" s="14">
        <f>IF(OR(H155="",I155=""),"",H155*I155)</f>
        <v>1500</v>
      </c>
      <c r="K155" s="11" t="inlineStr">
        <is>
          <t>Pago</t>
        </is>
      </c>
      <c r="L155" s="9">
        <f>IF(B155="","",MONTH(B155))</f>
        <v>8</v>
      </c>
      <c r="M155" s="9">
        <f>IF(B155="","",YEAR(B155))</f>
        <v>2026</v>
      </c>
    </row>
    <row r="156">
      <c r="A156" s="9">
        <f>IF(B156="","",ROW()-1)</f>
        <v>155</v>
      </c>
      <c r="B156" s="10" t="n">
        <v>46240</v>
      </c>
      <c r="C156" s="11" t="inlineStr">
        <is>
          <t>Bistrô 42</t>
        </is>
      </c>
      <c r="D156" s="11" t="inlineStr">
        <is>
          <t>Serviço</t>
        </is>
      </c>
      <c r="E156" s="11" t="inlineStr">
        <is>
          <t>Cliente antigo</t>
        </is>
      </c>
      <c r="F156" s="11" t="inlineStr">
        <is>
          <t>Diego</t>
        </is>
      </c>
      <c r="G156" s="8" t="inlineStr">
        <is>
          <t>Layout de página</t>
        </is>
      </c>
      <c r="H156" s="12" t="n">
        <v>3</v>
      </c>
      <c r="I156" s="13" t="n">
        <v>1200</v>
      </c>
      <c r="J156" s="14">
        <f>IF(OR(H156="",I156=""),"",H156*I156)</f>
        <v>3600</v>
      </c>
      <c r="K156" s="11" t="inlineStr">
        <is>
          <t>Pago</t>
        </is>
      </c>
      <c r="L156" s="9">
        <f>IF(B156="","",MONTH(B156))</f>
        <v>8</v>
      </c>
      <c r="M156" s="9">
        <f>IF(B156="","",YEAR(B156))</f>
        <v>2026</v>
      </c>
    </row>
    <row r="157">
      <c r="A157" s="9">
        <f>IF(B157="","",ROW()-1)</f>
        <v>156</v>
      </c>
      <c r="B157" s="10" t="n">
        <v>46241</v>
      </c>
      <c r="C157" s="11" t="inlineStr">
        <is>
          <t>Aurora Móveis</t>
        </is>
      </c>
      <c r="D157" s="11" t="inlineStr">
        <is>
          <t>Serviço</t>
        </is>
      </c>
      <c r="E157" s="11" t="inlineStr">
        <is>
          <t>Evento</t>
        </is>
      </c>
      <c r="F157" s="11" t="inlineStr">
        <is>
          <t>Ana</t>
        </is>
      </c>
      <c r="G157" s="8" t="inlineStr">
        <is>
          <t>Layout de página</t>
        </is>
      </c>
      <c r="H157" s="12" t="n">
        <v>1</v>
      </c>
      <c r="I157" s="13" t="n">
        <v>2400</v>
      </c>
      <c r="J157" s="14">
        <f>IF(OR(H157="",I157=""),"",H157*I157)</f>
        <v>2400</v>
      </c>
      <c r="K157" s="11" t="inlineStr">
        <is>
          <t>Pago</t>
        </is>
      </c>
      <c r="L157" s="9">
        <f>IF(B157="","",MONTH(B157))</f>
        <v>8</v>
      </c>
      <c r="M157" s="9">
        <f>IF(B157="","",YEAR(B157))</f>
        <v>2026</v>
      </c>
    </row>
    <row r="158">
      <c r="A158" s="9">
        <f>IF(B158="","",ROW()-1)</f>
        <v>157</v>
      </c>
      <c r="B158" s="10" t="n">
        <v>46244</v>
      </c>
      <c r="C158" s="11" t="inlineStr">
        <is>
          <t>Café Central</t>
        </is>
      </c>
      <c r="D158" s="11" t="inlineStr">
        <is>
          <t>Ajuste</t>
        </is>
      </c>
      <c r="E158" s="11" t="inlineStr">
        <is>
          <t>Indicação</t>
        </is>
      </c>
      <c r="F158" s="11" t="inlineStr">
        <is>
          <t>Ana</t>
        </is>
      </c>
      <c r="G158" s="8" t="inlineStr">
        <is>
          <t>Ajuste de fatura</t>
        </is>
      </c>
      <c r="H158" s="12" t="n">
        <v>1</v>
      </c>
      <c r="I158" s="13" t="n">
        <v>-150</v>
      </c>
      <c r="J158" s="14">
        <f>IF(OR(H158="",I158=""),"",H158*I158)</f>
        <v>-150</v>
      </c>
      <c r="K158" s="11" t="inlineStr">
        <is>
          <t>Pago</t>
        </is>
      </c>
      <c r="L158" s="9">
        <f>IF(B158="","",MONTH(B158))</f>
        <v>8</v>
      </c>
      <c r="M158" s="9">
        <f>IF(B158="","",YEAR(B158))</f>
        <v>2026</v>
      </c>
    </row>
    <row r="159">
      <c r="A159" s="9">
        <f>IF(B159="","",ROW()-1)</f>
        <v>158</v>
      </c>
      <c r="B159" s="10" t="n">
        <v>46244</v>
      </c>
      <c r="C159" s="11" t="inlineStr">
        <is>
          <t>Aurora Móveis</t>
        </is>
      </c>
      <c r="D159" s="11" t="inlineStr">
        <is>
          <t>Ajuste</t>
        </is>
      </c>
      <c r="E159" s="11" t="inlineStr">
        <is>
          <t>Instagram</t>
        </is>
      </c>
      <c r="F159" s="11" t="inlineStr">
        <is>
          <t>Ana</t>
        </is>
      </c>
      <c r="G159" s="8" t="inlineStr">
        <is>
          <t>Ajuste de fatura</t>
        </is>
      </c>
      <c r="H159" s="12" t="n">
        <v>3</v>
      </c>
      <c r="I159" s="13" t="n">
        <v>150</v>
      </c>
      <c r="J159" s="14">
        <f>IF(OR(H159="",I159=""),"",H159*I159)</f>
        <v>450</v>
      </c>
      <c r="K159" s="11" t="inlineStr">
        <is>
          <t>Em aberto</t>
        </is>
      </c>
      <c r="L159" s="9">
        <f>IF(B159="","",MONTH(B159))</f>
        <v>8</v>
      </c>
      <c r="M159" s="9">
        <f>IF(B159="","",YEAR(B159))</f>
        <v>2026</v>
      </c>
    </row>
    <row r="160">
      <c r="A160" s="9">
        <f>IF(B160="","",ROW()-1)</f>
        <v>159</v>
      </c>
      <c r="B160" s="10" t="n">
        <v>46244</v>
      </c>
      <c r="C160" s="11" t="inlineStr">
        <is>
          <t>Café Central</t>
        </is>
      </c>
      <c r="D160" s="11" t="inlineStr">
        <is>
          <t>Serviço</t>
        </is>
      </c>
      <c r="E160" s="11" t="inlineStr">
        <is>
          <t>Indicação</t>
        </is>
      </c>
      <c r="F160" s="11" t="inlineStr">
        <is>
          <t>Ana</t>
        </is>
      </c>
      <c r="G160" s="8" t="inlineStr">
        <is>
          <t>Vídeo curto</t>
        </is>
      </c>
      <c r="H160" s="12" t="n">
        <v>1</v>
      </c>
      <c r="I160" s="13" t="n">
        <v>1500</v>
      </c>
      <c r="J160" s="14">
        <f>IF(OR(H160="",I160=""),"",H160*I160)</f>
        <v>1500</v>
      </c>
      <c r="K160" s="11" t="inlineStr">
        <is>
          <t>Pago</t>
        </is>
      </c>
      <c r="L160" s="9">
        <f>IF(B160="","",MONTH(B160))</f>
        <v>8</v>
      </c>
      <c r="M160" s="9">
        <f>IF(B160="","",YEAR(B160))</f>
        <v>2026</v>
      </c>
    </row>
    <row r="161">
      <c r="A161" s="9">
        <f>IF(B161="","",ROW()-1)</f>
        <v>160</v>
      </c>
      <c r="B161" s="10" t="n">
        <v>46245</v>
      </c>
      <c r="C161" s="11" t="inlineStr">
        <is>
          <t>Escola Nova Era</t>
        </is>
      </c>
      <c r="D161" s="11" t="inlineStr">
        <is>
          <t>Produto</t>
        </is>
      </c>
      <c r="E161" s="11" t="inlineStr">
        <is>
          <t>Cliente antigo</t>
        </is>
      </c>
      <c r="F161" s="11" t="inlineStr">
        <is>
          <t>Diego</t>
        </is>
      </c>
      <c r="G161" s="8" t="inlineStr">
        <is>
          <t>Template de apresentação</t>
        </is>
      </c>
      <c r="H161" s="12" t="n">
        <v>1</v>
      </c>
      <c r="I161" s="13" t="n">
        <v>97</v>
      </c>
      <c r="J161" s="14">
        <f>IF(OR(H161="",I161=""),"",H161*I161)</f>
        <v>97</v>
      </c>
      <c r="K161" s="11" t="inlineStr">
        <is>
          <t>Pago</t>
        </is>
      </c>
      <c r="L161" s="9">
        <f>IF(B161="","",MONTH(B161))</f>
        <v>8</v>
      </c>
      <c r="M161" s="9">
        <f>IF(B161="","",YEAR(B161))</f>
        <v>2026</v>
      </c>
    </row>
    <row r="162">
      <c r="A162" s="9">
        <f>IF(B162="","",ROW()-1)</f>
        <v>161</v>
      </c>
      <c r="B162" s="10" t="n">
        <v>46249</v>
      </c>
      <c r="C162" s="11" t="inlineStr">
        <is>
          <t>Loja Verde</t>
        </is>
      </c>
      <c r="D162" s="11" t="inlineStr">
        <is>
          <t>Serviço</t>
        </is>
      </c>
      <c r="E162" s="11" t="inlineStr">
        <is>
          <t>Instagram</t>
        </is>
      </c>
      <c r="F162" s="11" t="inlineStr">
        <is>
          <t>Diego</t>
        </is>
      </c>
      <c r="G162" s="8" t="inlineStr">
        <is>
          <t>Vídeo curto</t>
        </is>
      </c>
      <c r="H162" s="12" t="n">
        <v>3</v>
      </c>
      <c r="I162" s="13" t="n">
        <v>800</v>
      </c>
      <c r="J162" s="14">
        <f>IF(OR(H162="",I162=""),"",H162*I162)</f>
        <v>2400</v>
      </c>
      <c r="K162" s="11" t="inlineStr">
        <is>
          <t>Pago</t>
        </is>
      </c>
      <c r="L162" s="9">
        <f>IF(B162="","",MONTH(B162))</f>
        <v>8</v>
      </c>
      <c r="M162" s="9">
        <f>IF(B162="","",YEAR(B162))</f>
        <v>2026</v>
      </c>
    </row>
    <row r="163">
      <c r="A163" s="9">
        <f>IF(B163="","",ROW()-1)</f>
        <v>162</v>
      </c>
      <c r="B163" s="10" t="n">
        <v>46250</v>
      </c>
      <c r="C163" s="11" t="inlineStr">
        <is>
          <t>Padaria do Sol</t>
        </is>
      </c>
      <c r="D163" s="11" t="inlineStr">
        <is>
          <t>Produto</t>
        </is>
      </c>
      <c r="E163" s="11" t="inlineStr">
        <is>
          <t>Cliente antigo</t>
        </is>
      </c>
      <c r="F163" s="11" t="inlineStr">
        <is>
          <t>Bruno</t>
        </is>
      </c>
      <c r="G163" s="8" t="inlineStr">
        <is>
          <t>Pacote de ícones</t>
        </is>
      </c>
      <c r="H163" s="12" t="n">
        <v>1</v>
      </c>
      <c r="I163" s="13" t="n">
        <v>149</v>
      </c>
      <c r="J163" s="14">
        <f>IF(OR(H163="",I163=""),"",H163*I163)</f>
        <v>149</v>
      </c>
      <c r="K163" s="11" t="inlineStr">
        <is>
          <t>Pago</t>
        </is>
      </c>
      <c r="L163" s="9">
        <f>IF(B163="","",MONTH(B163))</f>
        <v>8</v>
      </c>
      <c r="M163" s="9">
        <f>IF(B163="","",YEAR(B163))</f>
        <v>2026</v>
      </c>
    </row>
    <row r="164">
      <c r="A164" s="9">
        <f>IF(B164="","",ROW()-1)</f>
        <v>163</v>
      </c>
      <c r="B164" s="10" t="n">
        <v>46251</v>
      </c>
      <c r="C164" s="11" t="inlineStr">
        <is>
          <t>Escola Nova Era</t>
        </is>
      </c>
      <c r="D164" s="11" t="inlineStr">
        <is>
          <t>Reembolso</t>
        </is>
      </c>
      <c r="E164" s="11" t="inlineStr">
        <is>
          <t>Cliente antigo</t>
        </is>
      </c>
      <c r="F164" s="11" t="inlineStr">
        <is>
          <t>Bruno</t>
        </is>
      </c>
      <c r="G164" s="8" t="inlineStr">
        <is>
          <t>Estorno parcial</t>
        </is>
      </c>
      <c r="H164" s="12" t="n">
        <v>1</v>
      </c>
      <c r="I164" s="13" t="n">
        <v>-400</v>
      </c>
      <c r="J164" s="14">
        <f>IF(OR(H164="",I164=""),"",H164*I164)</f>
        <v>-400</v>
      </c>
      <c r="K164" s="11" t="inlineStr">
        <is>
          <t>Pago</t>
        </is>
      </c>
      <c r="L164" s="9">
        <f>IF(B164="","",MONTH(B164))</f>
        <v>8</v>
      </c>
      <c r="M164" s="9">
        <f>IF(B164="","",YEAR(B164))</f>
        <v>2026</v>
      </c>
    </row>
    <row r="165">
      <c r="A165" s="9">
        <f>IF(B165="","",ROW()-1)</f>
        <v>164</v>
      </c>
      <c r="B165" s="10" t="n">
        <v>46251</v>
      </c>
      <c r="C165" s="11" t="inlineStr">
        <is>
          <t>Clínica Bem-Estar</t>
        </is>
      </c>
      <c r="D165" s="11" t="inlineStr">
        <is>
          <t>Serviço</t>
        </is>
      </c>
      <c r="E165" s="11" t="inlineStr">
        <is>
          <t>Cliente antigo</t>
        </is>
      </c>
      <c r="F165" s="11" t="inlineStr">
        <is>
          <t>Carla</t>
        </is>
      </c>
      <c r="G165" s="8" t="inlineStr">
        <is>
          <t>Consultoria de marca</t>
        </is>
      </c>
      <c r="H165" s="12" t="n">
        <v>2</v>
      </c>
      <c r="I165" s="13" t="n">
        <v>1200</v>
      </c>
      <c r="J165" s="14">
        <f>IF(OR(H165="",I165=""),"",H165*I165)</f>
        <v>2400</v>
      </c>
      <c r="K165" s="11" t="inlineStr">
        <is>
          <t>Pago</t>
        </is>
      </c>
      <c r="L165" s="9">
        <f>IF(B165="","",MONTH(B165))</f>
        <v>8</v>
      </c>
      <c r="M165" s="9">
        <f>IF(B165="","",YEAR(B165))</f>
        <v>2026</v>
      </c>
    </row>
    <row r="166">
      <c r="A166" s="9">
        <f>IF(B166="","",ROW()-1)</f>
        <v>165</v>
      </c>
      <c r="B166" s="10" t="n">
        <v>46251</v>
      </c>
      <c r="C166" s="11" t="inlineStr">
        <is>
          <t>Escola Nova Era</t>
        </is>
      </c>
      <c r="D166" s="11" t="inlineStr">
        <is>
          <t>Serviço</t>
        </is>
      </c>
      <c r="E166" s="11" t="inlineStr">
        <is>
          <t>Cliente antigo</t>
        </is>
      </c>
      <c r="F166" s="11" t="inlineStr">
        <is>
          <t>Bruno</t>
        </is>
      </c>
      <c r="G166" s="8" t="inlineStr">
        <is>
          <t>Posts do mês</t>
        </is>
      </c>
      <c r="H166" s="12" t="n">
        <v>3</v>
      </c>
      <c r="I166" s="13" t="n">
        <v>800</v>
      </c>
      <c r="J166" s="14">
        <f>IF(OR(H166="",I166=""),"",H166*I166)</f>
        <v>2400</v>
      </c>
      <c r="K166" s="11" t="inlineStr">
        <is>
          <t>Em aberto</t>
        </is>
      </c>
      <c r="L166" s="9">
        <f>IF(B166="","",MONTH(B166))</f>
        <v>8</v>
      </c>
      <c r="M166" s="9">
        <f>IF(B166="","",YEAR(B166))</f>
        <v>2026</v>
      </c>
    </row>
    <row r="167">
      <c r="A167" s="9">
        <f>IF(B167="","",ROW()-1)</f>
        <v>166</v>
      </c>
      <c r="B167" s="10" t="n">
        <v>46253</v>
      </c>
      <c r="C167" s="11" t="inlineStr">
        <is>
          <t>Clínica Bem-Estar</t>
        </is>
      </c>
      <c r="D167" s="11" t="inlineStr">
        <is>
          <t>Ajuste</t>
        </is>
      </c>
      <c r="E167" s="11" t="inlineStr">
        <is>
          <t>Instagram</t>
        </is>
      </c>
      <c r="F167" s="11" t="inlineStr">
        <is>
          <t>Bruno</t>
        </is>
      </c>
      <c r="G167" s="8" t="inlineStr">
        <is>
          <t>Ajuste de fatura</t>
        </is>
      </c>
      <c r="H167" s="12" t="n">
        <v>1</v>
      </c>
      <c r="I167" s="13" t="n">
        <v>150</v>
      </c>
      <c r="J167" s="14">
        <f>IF(OR(H167="",I167=""),"",H167*I167)</f>
        <v>150</v>
      </c>
      <c r="K167" s="11" t="inlineStr">
        <is>
          <t>Pago</t>
        </is>
      </c>
      <c r="L167" s="9">
        <f>IF(B167="","",MONTH(B167))</f>
        <v>8</v>
      </c>
      <c r="M167" s="9">
        <f>IF(B167="","",YEAR(B167))</f>
        <v>2026</v>
      </c>
    </row>
    <row r="168">
      <c r="A168" s="9">
        <f>IF(B168="","",ROW()-1)</f>
        <v>167</v>
      </c>
      <c r="B168" s="10" t="n">
        <v>46254</v>
      </c>
      <c r="C168" s="11" t="inlineStr">
        <is>
          <t>Café Central</t>
        </is>
      </c>
      <c r="D168" s="11" t="inlineStr">
        <is>
          <t>Produto</t>
        </is>
      </c>
      <c r="E168" s="11" t="inlineStr">
        <is>
          <t>Evento</t>
        </is>
      </c>
      <c r="F168" s="11" t="inlineStr">
        <is>
          <t>Diego</t>
        </is>
      </c>
      <c r="G168" s="8" t="inlineStr">
        <is>
          <t>Template de apresentação</t>
        </is>
      </c>
      <c r="H168" s="12" t="n">
        <v>1</v>
      </c>
      <c r="I168" s="13" t="n">
        <v>149</v>
      </c>
      <c r="J168" s="14">
        <f>IF(OR(H168="",I168=""),"",H168*I168)</f>
        <v>149</v>
      </c>
      <c r="K168" s="11" t="inlineStr">
        <is>
          <t>Pago</t>
        </is>
      </c>
      <c r="L168" s="9">
        <f>IF(B168="","",MONTH(B168))</f>
        <v>8</v>
      </c>
      <c r="M168" s="9">
        <f>IF(B168="","",YEAR(B168))</f>
        <v>2026</v>
      </c>
    </row>
    <row r="169">
      <c r="A169" s="9">
        <f>IF(B169="","",ROW()-1)</f>
        <v>168</v>
      </c>
      <c r="B169" s="10" t="n">
        <v>46255</v>
      </c>
      <c r="C169" s="11" t="inlineStr">
        <is>
          <t>Horizonte</t>
        </is>
      </c>
      <c r="D169" s="11" t="inlineStr">
        <is>
          <t>Ajuste</t>
        </is>
      </c>
      <c r="E169" s="11" t="inlineStr">
        <is>
          <t>Instagram</t>
        </is>
      </c>
      <c r="F169" s="11" t="inlineStr">
        <is>
          <t>Carla</t>
        </is>
      </c>
      <c r="G169" s="8" t="inlineStr">
        <is>
          <t>Ajuste de fatura</t>
        </is>
      </c>
      <c r="H169" s="12" t="n">
        <v>2</v>
      </c>
      <c r="I169" s="13" t="n">
        <v>150</v>
      </c>
      <c r="J169" s="14">
        <f>IF(OR(H169="",I169=""),"",H169*I169)</f>
        <v>300</v>
      </c>
      <c r="K169" s="11" t="inlineStr">
        <is>
          <t>Pago</t>
        </is>
      </c>
      <c r="L169" s="9">
        <f>IF(B169="","",MONTH(B169))</f>
        <v>8</v>
      </c>
      <c r="M169" s="9">
        <f>IF(B169="","",YEAR(B169))</f>
        <v>2026</v>
      </c>
    </row>
    <row r="170">
      <c r="A170" s="9">
        <f>IF(B170="","",ROW()-1)</f>
        <v>169</v>
      </c>
      <c r="B170" s="10" t="n">
        <v>46262</v>
      </c>
      <c r="C170" s="11" t="inlineStr">
        <is>
          <t>Café Central</t>
        </is>
      </c>
      <c r="D170" s="11" t="inlineStr">
        <is>
          <t>Serviço</t>
        </is>
      </c>
      <c r="E170" s="11" t="inlineStr">
        <is>
          <t>Site</t>
        </is>
      </c>
      <c r="F170" s="11" t="inlineStr">
        <is>
          <t>Ana</t>
        </is>
      </c>
      <c r="G170" s="8" t="inlineStr">
        <is>
          <t>Diagramação</t>
        </is>
      </c>
      <c r="H170" s="12" t="n">
        <v>1</v>
      </c>
      <c r="I170" s="13" t="n">
        <v>1200</v>
      </c>
      <c r="J170" s="14">
        <f>IF(OR(H170="",I170=""),"",H170*I170)</f>
        <v>1200</v>
      </c>
      <c r="K170" s="11" t="inlineStr">
        <is>
          <t>Pago</t>
        </is>
      </c>
      <c r="L170" s="9">
        <f>IF(B170="","",MONTH(B170))</f>
        <v>8</v>
      </c>
      <c r="M170" s="9">
        <f>IF(B170="","",YEAR(B170))</f>
        <v>2026</v>
      </c>
    </row>
    <row r="171">
      <c r="A171" s="9">
        <f>IF(B171="","",ROW()-1)</f>
        <v>170</v>
      </c>
      <c r="B171" s="10" t="n">
        <v>46263</v>
      </c>
      <c r="C171" s="11" t="inlineStr">
        <is>
          <t>Aurora Móveis</t>
        </is>
      </c>
      <c r="D171" s="11" t="inlineStr">
        <is>
          <t>Serviço</t>
        </is>
      </c>
      <c r="E171" s="11" t="inlineStr">
        <is>
          <t>Instagram</t>
        </is>
      </c>
      <c r="F171" s="11" t="inlineStr">
        <is>
          <t>Ana</t>
        </is>
      </c>
      <c r="G171" s="8" t="inlineStr">
        <is>
          <t>Diagramação</t>
        </is>
      </c>
      <c r="H171" s="12" t="n">
        <v>1</v>
      </c>
      <c r="I171" s="13" t="n">
        <v>800</v>
      </c>
      <c r="J171" s="14">
        <f>IF(OR(H171="",I171=""),"",H171*I171)</f>
        <v>800</v>
      </c>
      <c r="K171" s="11" t="inlineStr">
        <is>
          <t>Pago</t>
        </is>
      </c>
      <c r="L171" s="9">
        <f>IF(B171="","",MONTH(B171))</f>
        <v>8</v>
      </c>
      <c r="M171" s="9">
        <f>IF(B171="","",YEAR(B171))</f>
        <v>2026</v>
      </c>
    </row>
    <row r="172">
      <c r="A172" s="9">
        <f>IF(B172="","",ROW()-1)</f>
        <v>171</v>
      </c>
      <c r="B172" s="10" t="n">
        <v>46263</v>
      </c>
      <c r="C172" s="11" t="inlineStr">
        <is>
          <t>Loja Verde</t>
        </is>
      </c>
      <c r="D172" s="11" t="inlineStr">
        <is>
          <t>Serviço</t>
        </is>
      </c>
      <c r="E172" s="11" t="inlineStr">
        <is>
          <t>Evento</t>
        </is>
      </c>
      <c r="F172" s="11" t="inlineStr">
        <is>
          <t>Bruno</t>
        </is>
      </c>
      <c r="G172" s="8" t="inlineStr">
        <is>
          <t>Posts do mês</t>
        </is>
      </c>
      <c r="H172" s="12" t="n">
        <v>3</v>
      </c>
      <c r="I172" s="13" t="n">
        <v>800</v>
      </c>
      <c r="J172" s="14">
        <f>IF(OR(H172="",I172=""),"",H172*I172)</f>
        <v>2400</v>
      </c>
      <c r="K172" s="11" t="inlineStr">
        <is>
          <t>Pago</t>
        </is>
      </c>
      <c r="L172" s="9">
        <f>IF(B172="","",MONTH(B172))</f>
        <v>8</v>
      </c>
      <c r="M172" s="9">
        <f>IF(B172="","",YEAR(B172))</f>
        <v>2026</v>
      </c>
    </row>
    <row r="173">
      <c r="A173" s="9">
        <f>IF(B173="","",ROW()-1)</f>
        <v>172</v>
      </c>
      <c r="B173" s="10" t="n">
        <v>46263</v>
      </c>
      <c r="C173" s="11" t="inlineStr">
        <is>
          <t>Bistrô 42</t>
        </is>
      </c>
      <c r="D173" s="11" t="inlineStr">
        <is>
          <t>Serviço</t>
        </is>
      </c>
      <c r="E173" s="11" t="inlineStr">
        <is>
          <t>Cliente antigo</t>
        </is>
      </c>
      <c r="F173" s="11" t="inlineStr">
        <is>
          <t>Bruno</t>
        </is>
      </c>
      <c r="G173" s="8" t="inlineStr">
        <is>
          <t>Consultoria de marca</t>
        </is>
      </c>
      <c r="H173" s="12" t="n">
        <v>1</v>
      </c>
      <c r="I173" s="13" t="n">
        <v>1200</v>
      </c>
      <c r="J173" s="14">
        <f>IF(OR(H173="",I173=""),"",H173*I173)</f>
        <v>1200</v>
      </c>
      <c r="K173" s="11" t="inlineStr">
        <is>
          <t>Em aberto</t>
        </is>
      </c>
      <c r="L173" s="9">
        <f>IF(B173="","",MONTH(B173))</f>
        <v>8</v>
      </c>
      <c r="M173" s="9">
        <f>IF(B173="","",YEAR(B173))</f>
        <v>2026</v>
      </c>
    </row>
    <row r="174">
      <c r="A174" s="9">
        <f>IF(B174="","",ROW()-1)</f>
        <v>173</v>
      </c>
      <c r="B174" s="10" t="n">
        <v>46265</v>
      </c>
      <c r="C174" s="11" t="inlineStr">
        <is>
          <t>Aurora Móveis</t>
        </is>
      </c>
      <c r="D174" s="11" t="inlineStr">
        <is>
          <t>Ajuste</t>
        </is>
      </c>
      <c r="E174" s="11" t="inlineStr">
        <is>
          <t>Site</t>
        </is>
      </c>
      <c r="F174" s="11" t="inlineStr">
        <is>
          <t>Ana</t>
        </is>
      </c>
      <c r="G174" s="8" t="inlineStr">
        <is>
          <t>Ajuste de fatura</t>
        </is>
      </c>
      <c r="H174" s="12" t="n">
        <v>3</v>
      </c>
      <c r="I174" s="13" t="n">
        <v>150</v>
      </c>
      <c r="J174" s="14">
        <f>IF(OR(H174="",I174=""),"",H174*I174)</f>
        <v>450</v>
      </c>
      <c r="K174" s="11" t="inlineStr">
        <is>
          <t>Pago</t>
        </is>
      </c>
      <c r="L174" s="9">
        <f>IF(B174="","",MONTH(B174))</f>
        <v>8</v>
      </c>
      <c r="M174" s="9">
        <f>IF(B174="","",YEAR(B174))</f>
        <v>2026</v>
      </c>
    </row>
    <row r="175">
      <c r="A175" s="9">
        <f>IF(B175="","",ROW()-1)</f>
        <v>174</v>
      </c>
      <c r="B175" s="10" t="n">
        <v>46267</v>
      </c>
      <c r="C175" s="11" t="inlineStr">
        <is>
          <t>Clínica Bem-Estar</t>
        </is>
      </c>
      <c r="D175" s="11" t="inlineStr">
        <is>
          <t>Reembolso</t>
        </is>
      </c>
      <c r="E175" s="11" t="inlineStr">
        <is>
          <t>Site</t>
        </is>
      </c>
      <c r="F175" s="11" t="inlineStr">
        <is>
          <t>Bruno</t>
        </is>
      </c>
      <c r="G175" s="8" t="inlineStr">
        <is>
          <t>Estorno parcial</t>
        </is>
      </c>
      <c r="H175" s="12" t="n">
        <v>1</v>
      </c>
      <c r="I175" s="13" t="n">
        <v>-200</v>
      </c>
      <c r="J175" s="14">
        <f>IF(OR(H175="",I175=""),"",H175*I175)</f>
        <v>-200</v>
      </c>
      <c r="K175" s="11" t="inlineStr">
        <is>
          <t>Pago</t>
        </is>
      </c>
      <c r="L175" s="9">
        <f>IF(B175="","",MONTH(B175))</f>
        <v>9</v>
      </c>
      <c r="M175" s="9">
        <f>IF(B175="","",YEAR(B175))</f>
        <v>2026</v>
      </c>
    </row>
    <row r="176">
      <c r="A176" s="9">
        <f>IF(B176="","",ROW()-1)</f>
        <v>175</v>
      </c>
      <c r="B176" s="10" t="n">
        <v>46269</v>
      </c>
      <c r="C176" s="11" t="inlineStr">
        <is>
          <t>Clínica Bem-Estar</t>
        </is>
      </c>
      <c r="D176" s="11" t="inlineStr">
        <is>
          <t>Serviço</t>
        </is>
      </c>
      <c r="E176" s="11" t="inlineStr">
        <is>
          <t>Indicação</t>
        </is>
      </c>
      <c r="F176" s="11" t="inlineStr">
        <is>
          <t>Carla</t>
        </is>
      </c>
      <c r="G176" s="8" t="inlineStr">
        <is>
          <t>Diagramação</t>
        </is>
      </c>
      <c r="H176" s="12" t="n">
        <v>1</v>
      </c>
      <c r="I176" s="13" t="n">
        <v>2400</v>
      </c>
      <c r="J176" s="14">
        <f>IF(OR(H176="",I176=""),"",H176*I176)</f>
        <v>2400</v>
      </c>
      <c r="K176" s="11" t="inlineStr">
        <is>
          <t>Pago</t>
        </is>
      </c>
      <c r="L176" s="9">
        <f>IF(B176="","",MONTH(B176))</f>
        <v>9</v>
      </c>
      <c r="M176" s="9">
        <f>IF(B176="","",YEAR(B176))</f>
        <v>2026</v>
      </c>
    </row>
    <row r="177">
      <c r="A177" s="9">
        <f>IF(B177="","",ROW()-1)</f>
        <v>176</v>
      </c>
      <c r="B177" s="10" t="n">
        <v>46270</v>
      </c>
      <c r="C177" s="11" t="inlineStr">
        <is>
          <t>Loja Verde</t>
        </is>
      </c>
      <c r="D177" s="11" t="inlineStr">
        <is>
          <t>Serviço</t>
        </is>
      </c>
      <c r="E177" s="11" t="inlineStr">
        <is>
          <t>Evento</t>
        </is>
      </c>
      <c r="F177" s="11" t="inlineStr">
        <is>
          <t>Ana</t>
        </is>
      </c>
      <c r="G177" s="8" t="inlineStr">
        <is>
          <t>Layout de página</t>
        </is>
      </c>
      <c r="H177" s="12" t="n">
        <v>1</v>
      </c>
      <c r="I177" s="13" t="n">
        <v>800</v>
      </c>
      <c r="J177" s="14">
        <f>IF(OR(H177="",I177=""),"",H177*I177)</f>
        <v>800</v>
      </c>
      <c r="K177" s="11" t="inlineStr">
        <is>
          <t>Pago</t>
        </is>
      </c>
      <c r="L177" s="9">
        <f>IF(B177="","",MONTH(B177))</f>
        <v>9</v>
      </c>
      <c r="M177" s="9">
        <f>IF(B177="","",YEAR(B177))</f>
        <v>2026</v>
      </c>
    </row>
    <row r="178">
      <c r="A178" s="9">
        <f>IF(B178="","",ROW()-1)</f>
        <v>177</v>
      </c>
      <c r="B178" s="10" t="n">
        <v>46270</v>
      </c>
      <c r="C178" s="11" t="inlineStr">
        <is>
          <t>Clínica Bem-Estar</t>
        </is>
      </c>
      <c r="D178" s="11" t="inlineStr">
        <is>
          <t>Serviço</t>
        </is>
      </c>
      <c r="E178" s="11" t="inlineStr">
        <is>
          <t>Site</t>
        </is>
      </c>
      <c r="F178" s="11" t="inlineStr">
        <is>
          <t>Carla</t>
        </is>
      </c>
      <c r="G178" s="8" t="inlineStr">
        <is>
          <t>Posts do mês</t>
        </is>
      </c>
      <c r="H178" s="12" t="n">
        <v>3</v>
      </c>
      <c r="I178" s="13" t="n">
        <v>2400</v>
      </c>
      <c r="J178" s="14">
        <f>IF(OR(H178="",I178=""),"",H178*I178)</f>
        <v>7200</v>
      </c>
      <c r="K178" s="11" t="inlineStr">
        <is>
          <t>Cancelado</t>
        </is>
      </c>
      <c r="L178" s="9">
        <f>IF(B178="","",MONTH(B178))</f>
        <v>9</v>
      </c>
      <c r="M178" s="9">
        <f>IF(B178="","",YEAR(B178))</f>
        <v>2026</v>
      </c>
    </row>
    <row r="179">
      <c r="A179" s="9">
        <f>IF(B179="","",ROW()-1)</f>
        <v>178</v>
      </c>
      <c r="B179" s="10" t="n">
        <v>46272</v>
      </c>
      <c r="C179" s="11" t="inlineStr">
        <is>
          <t>Aurora Móveis</t>
        </is>
      </c>
      <c r="D179" s="11" t="inlineStr">
        <is>
          <t>Serviço</t>
        </is>
      </c>
      <c r="E179" s="11" t="inlineStr">
        <is>
          <t>Site</t>
        </is>
      </c>
      <c r="F179" s="11" t="inlineStr">
        <is>
          <t>Bruno</t>
        </is>
      </c>
      <c r="G179" s="8" t="inlineStr">
        <is>
          <t>Vídeo curto</t>
        </is>
      </c>
      <c r="H179" s="12" t="n">
        <v>1</v>
      </c>
      <c r="I179" s="13" t="n">
        <v>3200</v>
      </c>
      <c r="J179" s="14">
        <f>IF(OR(H179="",I179=""),"",H179*I179)</f>
        <v>3200</v>
      </c>
      <c r="K179" s="11" t="inlineStr">
        <is>
          <t>Pago</t>
        </is>
      </c>
      <c r="L179" s="9">
        <f>IF(B179="","",MONTH(B179))</f>
        <v>9</v>
      </c>
      <c r="M179" s="9">
        <f>IF(B179="","",YEAR(B179))</f>
        <v>2026</v>
      </c>
    </row>
    <row r="180">
      <c r="A180" s="9">
        <f>IF(B180="","",ROW()-1)</f>
        <v>179</v>
      </c>
      <c r="B180" s="10" t="n">
        <v>46274</v>
      </c>
      <c r="C180" s="11" t="inlineStr">
        <is>
          <t>Bistrô 42</t>
        </is>
      </c>
      <c r="D180" s="11" t="inlineStr">
        <is>
          <t>Serviço</t>
        </is>
      </c>
      <c r="E180" s="11" t="inlineStr">
        <is>
          <t>Evento</t>
        </is>
      </c>
      <c r="F180" s="11" t="inlineStr">
        <is>
          <t>Carla</t>
        </is>
      </c>
      <c r="G180" s="8" t="inlineStr">
        <is>
          <t>Posts do mês</t>
        </is>
      </c>
      <c r="H180" s="12" t="n">
        <v>1</v>
      </c>
      <c r="I180" s="13" t="n">
        <v>2400</v>
      </c>
      <c r="J180" s="14">
        <f>IF(OR(H180="",I180=""),"",H180*I180)</f>
        <v>2400</v>
      </c>
      <c r="K180" s="11" t="inlineStr">
        <is>
          <t>Cancelado</t>
        </is>
      </c>
      <c r="L180" s="9">
        <f>IF(B180="","",MONTH(B180))</f>
        <v>9</v>
      </c>
      <c r="M180" s="9">
        <f>IF(B180="","",YEAR(B180))</f>
        <v>2026</v>
      </c>
    </row>
    <row r="181">
      <c r="A181" s="9">
        <f>IF(B181="","",ROW()-1)</f>
        <v>180</v>
      </c>
      <c r="B181" s="10" t="n">
        <v>46277</v>
      </c>
      <c r="C181" s="11" t="inlineStr">
        <is>
          <t>Padaria do Sol</t>
        </is>
      </c>
      <c r="D181" s="11" t="inlineStr">
        <is>
          <t>Ajuste</t>
        </is>
      </c>
      <c r="E181" s="11" t="inlineStr">
        <is>
          <t>Site</t>
        </is>
      </c>
      <c r="F181" s="11" t="inlineStr">
        <is>
          <t>Ana</t>
        </is>
      </c>
      <c r="G181" s="8" t="inlineStr">
        <is>
          <t>Ajuste de fatura</t>
        </is>
      </c>
      <c r="H181" s="12" t="n">
        <v>3</v>
      </c>
      <c r="I181" s="13" t="n">
        <v>-150</v>
      </c>
      <c r="J181" s="14">
        <f>IF(OR(H181="",I181=""),"",H181*I181)</f>
        <v>-450</v>
      </c>
      <c r="K181" s="11" t="inlineStr">
        <is>
          <t>Pago</t>
        </is>
      </c>
      <c r="L181" s="9">
        <f>IF(B181="","",MONTH(B181))</f>
        <v>9</v>
      </c>
      <c r="M181" s="9">
        <f>IF(B181="","",YEAR(B181))</f>
        <v>2026</v>
      </c>
    </row>
    <row r="182">
      <c r="A182" s="9">
        <f>IF(B182="","",ROW()-1)</f>
        <v/>
      </c>
      <c r="B182" s="10" t="n"/>
      <c r="C182" s="11" t="n"/>
      <c r="D182" s="11" t="n"/>
      <c r="E182" s="11" t="n"/>
      <c r="F182" s="11" t="n"/>
      <c r="G182" s="8" t="n"/>
      <c r="H182" s="12" t="n"/>
      <c r="I182" s="13" t="n"/>
      <c r="J182" s="14">
        <f>IF(OR(H182="",I182=""),"",H182*I182)</f>
        <v/>
      </c>
      <c r="K182" s="11" t="n"/>
      <c r="L182" s="9">
        <f>IF(B182="","",MONTH(B182))</f>
        <v/>
      </c>
      <c r="M182" s="9">
        <f>IF(B182="","",YEAR(B182))</f>
        <v/>
      </c>
    </row>
    <row r="183">
      <c r="A183" s="9">
        <f>IF(B183="","",ROW()-1)</f>
        <v/>
      </c>
      <c r="B183" s="10" t="n"/>
      <c r="C183" s="11" t="n"/>
      <c r="D183" s="11" t="n"/>
      <c r="E183" s="11" t="n"/>
      <c r="F183" s="11" t="n"/>
      <c r="G183" s="8" t="n"/>
      <c r="H183" s="12" t="n"/>
      <c r="I183" s="13" t="n"/>
      <c r="J183" s="14">
        <f>IF(OR(H183="",I183=""),"",H183*I183)</f>
        <v/>
      </c>
      <c r="K183" s="11" t="n"/>
      <c r="L183" s="9">
        <f>IF(B183="","",MONTH(B183))</f>
        <v/>
      </c>
      <c r="M183" s="9">
        <f>IF(B183="","",YEAR(B183))</f>
        <v/>
      </c>
    </row>
    <row r="184">
      <c r="A184" s="9">
        <f>IF(B184="","",ROW()-1)</f>
        <v/>
      </c>
      <c r="B184" s="10" t="n"/>
      <c r="C184" s="11" t="n"/>
      <c r="D184" s="11" t="n"/>
      <c r="E184" s="11" t="n"/>
      <c r="F184" s="11" t="n"/>
      <c r="G184" s="8" t="n"/>
      <c r="H184" s="12" t="n"/>
      <c r="I184" s="13" t="n"/>
      <c r="J184" s="14">
        <f>IF(OR(H184="",I184=""),"",H184*I184)</f>
        <v/>
      </c>
      <c r="K184" s="11" t="n"/>
      <c r="L184" s="9">
        <f>IF(B184="","",MONTH(B184))</f>
        <v/>
      </c>
      <c r="M184" s="9">
        <f>IF(B184="","",YEAR(B184))</f>
        <v/>
      </c>
    </row>
    <row r="185">
      <c r="A185" s="9">
        <f>IF(B185="","",ROW()-1)</f>
        <v/>
      </c>
      <c r="B185" s="10" t="n"/>
      <c r="C185" s="11" t="n"/>
      <c r="D185" s="11" t="n"/>
      <c r="E185" s="11" t="n"/>
      <c r="F185" s="11" t="n"/>
      <c r="G185" s="8" t="n"/>
      <c r="H185" s="12" t="n"/>
      <c r="I185" s="13" t="n"/>
      <c r="J185" s="14">
        <f>IF(OR(H185="",I185=""),"",H185*I185)</f>
        <v/>
      </c>
      <c r="K185" s="11" t="n"/>
      <c r="L185" s="9">
        <f>IF(B185="","",MONTH(B185))</f>
        <v/>
      </c>
      <c r="M185" s="9">
        <f>IF(B185="","",YEAR(B185))</f>
        <v/>
      </c>
    </row>
    <row r="186">
      <c r="A186" s="9">
        <f>IF(B186="","",ROW()-1)</f>
        <v/>
      </c>
      <c r="B186" s="10" t="n"/>
      <c r="C186" s="11" t="n"/>
      <c r="D186" s="11" t="n"/>
      <c r="E186" s="11" t="n"/>
      <c r="F186" s="11" t="n"/>
      <c r="G186" s="8" t="n"/>
      <c r="H186" s="12" t="n"/>
      <c r="I186" s="13" t="n"/>
      <c r="J186" s="14">
        <f>IF(OR(H186="",I186=""),"",H186*I186)</f>
        <v/>
      </c>
      <c r="K186" s="11" t="n"/>
      <c r="L186" s="9">
        <f>IF(B186="","",MONTH(B186))</f>
        <v/>
      </c>
      <c r="M186" s="9">
        <f>IF(B186="","",YEAR(B186))</f>
        <v/>
      </c>
    </row>
    <row r="187">
      <c r="A187" s="9">
        <f>IF(B187="","",ROW()-1)</f>
        <v/>
      </c>
      <c r="B187" s="10" t="n"/>
      <c r="C187" s="11" t="n"/>
      <c r="D187" s="11" t="n"/>
      <c r="E187" s="11" t="n"/>
      <c r="F187" s="11" t="n"/>
      <c r="G187" s="8" t="n"/>
      <c r="H187" s="12" t="n"/>
      <c r="I187" s="13" t="n"/>
      <c r="J187" s="14">
        <f>IF(OR(H187="",I187=""),"",H187*I187)</f>
        <v/>
      </c>
      <c r="K187" s="11" t="n"/>
      <c r="L187" s="9">
        <f>IF(B187="","",MONTH(B187))</f>
        <v/>
      </c>
      <c r="M187" s="9">
        <f>IF(B187="","",YEAR(B187))</f>
        <v/>
      </c>
    </row>
    <row r="188">
      <c r="A188" s="9">
        <f>IF(B188="","",ROW()-1)</f>
        <v/>
      </c>
      <c r="B188" s="10" t="n"/>
      <c r="C188" s="11" t="n"/>
      <c r="D188" s="11" t="n"/>
      <c r="E188" s="11" t="n"/>
      <c r="F188" s="11" t="n"/>
      <c r="G188" s="8" t="n"/>
      <c r="H188" s="12" t="n"/>
      <c r="I188" s="13" t="n"/>
      <c r="J188" s="14">
        <f>IF(OR(H188="",I188=""),"",H188*I188)</f>
        <v/>
      </c>
      <c r="K188" s="11" t="n"/>
      <c r="L188" s="9">
        <f>IF(B188="","",MONTH(B188))</f>
        <v/>
      </c>
      <c r="M188" s="9">
        <f>IF(B188="","",YEAR(B188))</f>
        <v/>
      </c>
    </row>
    <row r="189">
      <c r="A189" s="9">
        <f>IF(B189="","",ROW()-1)</f>
        <v/>
      </c>
      <c r="B189" s="10" t="n"/>
      <c r="C189" s="11" t="n"/>
      <c r="D189" s="11" t="n"/>
      <c r="E189" s="11" t="n"/>
      <c r="F189" s="11" t="n"/>
      <c r="G189" s="8" t="n"/>
      <c r="H189" s="12" t="n"/>
      <c r="I189" s="13" t="n"/>
      <c r="J189" s="14">
        <f>IF(OR(H189="",I189=""),"",H189*I189)</f>
        <v/>
      </c>
      <c r="K189" s="11" t="n"/>
      <c r="L189" s="9">
        <f>IF(B189="","",MONTH(B189))</f>
        <v/>
      </c>
      <c r="M189" s="9">
        <f>IF(B189="","",YEAR(B189))</f>
        <v/>
      </c>
    </row>
    <row r="190">
      <c r="A190" s="9">
        <f>IF(B190="","",ROW()-1)</f>
        <v/>
      </c>
      <c r="B190" s="10" t="n"/>
      <c r="C190" s="11" t="n"/>
      <c r="D190" s="11" t="n"/>
      <c r="E190" s="11" t="n"/>
      <c r="F190" s="11" t="n"/>
      <c r="G190" s="8" t="n"/>
      <c r="H190" s="12" t="n"/>
      <c r="I190" s="13" t="n"/>
      <c r="J190" s="14">
        <f>IF(OR(H190="",I190=""),"",H190*I190)</f>
        <v/>
      </c>
      <c r="K190" s="11" t="n"/>
      <c r="L190" s="9">
        <f>IF(B190="","",MONTH(B190))</f>
        <v/>
      </c>
      <c r="M190" s="9">
        <f>IF(B190="","",YEAR(B190))</f>
        <v/>
      </c>
    </row>
    <row r="191">
      <c r="A191" s="9">
        <f>IF(B191="","",ROW()-1)</f>
        <v/>
      </c>
      <c r="B191" s="10" t="n"/>
      <c r="C191" s="11" t="n"/>
      <c r="D191" s="11" t="n"/>
      <c r="E191" s="11" t="n"/>
      <c r="F191" s="11" t="n"/>
      <c r="G191" s="8" t="n"/>
      <c r="H191" s="12" t="n"/>
      <c r="I191" s="13" t="n"/>
      <c r="J191" s="14">
        <f>IF(OR(H191="",I191=""),"",H191*I191)</f>
        <v/>
      </c>
      <c r="K191" s="11" t="n"/>
      <c r="L191" s="9">
        <f>IF(B191="","",MONTH(B191))</f>
        <v/>
      </c>
      <c r="M191" s="9">
        <f>IF(B191="","",YEAR(B191))</f>
        <v/>
      </c>
    </row>
    <row r="192">
      <c r="A192" s="9">
        <f>IF(B192="","",ROW()-1)</f>
        <v/>
      </c>
      <c r="B192" s="10" t="n"/>
      <c r="C192" s="11" t="n"/>
      <c r="D192" s="11" t="n"/>
      <c r="E192" s="11" t="n"/>
      <c r="F192" s="11" t="n"/>
      <c r="G192" s="8" t="n"/>
      <c r="H192" s="12" t="n"/>
      <c r="I192" s="13" t="n"/>
      <c r="J192" s="14">
        <f>IF(OR(H192="",I192=""),"",H192*I192)</f>
        <v/>
      </c>
      <c r="K192" s="11" t="n"/>
      <c r="L192" s="9">
        <f>IF(B192="","",MONTH(B192))</f>
        <v/>
      </c>
      <c r="M192" s="9">
        <f>IF(B192="","",YEAR(B192))</f>
        <v/>
      </c>
    </row>
    <row r="193">
      <c r="A193" s="9">
        <f>IF(B193="","",ROW()-1)</f>
        <v/>
      </c>
      <c r="B193" s="10" t="n"/>
      <c r="C193" s="11" t="n"/>
      <c r="D193" s="11" t="n"/>
      <c r="E193" s="11" t="n"/>
      <c r="F193" s="11" t="n"/>
      <c r="G193" s="8" t="n"/>
      <c r="H193" s="12" t="n"/>
      <c r="I193" s="13" t="n"/>
      <c r="J193" s="14">
        <f>IF(OR(H193="",I193=""),"",H193*I193)</f>
        <v/>
      </c>
      <c r="K193" s="11" t="n"/>
      <c r="L193" s="9">
        <f>IF(B193="","",MONTH(B193))</f>
        <v/>
      </c>
      <c r="M193" s="9">
        <f>IF(B193="","",YEAR(B193))</f>
        <v/>
      </c>
    </row>
    <row r="194">
      <c r="A194" s="9">
        <f>IF(B194="","",ROW()-1)</f>
        <v/>
      </c>
      <c r="B194" s="10" t="n"/>
      <c r="C194" s="11" t="n"/>
      <c r="D194" s="11" t="n"/>
      <c r="E194" s="11" t="n"/>
      <c r="F194" s="11" t="n"/>
      <c r="G194" s="8" t="n"/>
      <c r="H194" s="12" t="n"/>
      <c r="I194" s="13" t="n"/>
      <c r="J194" s="14">
        <f>IF(OR(H194="",I194=""),"",H194*I194)</f>
        <v/>
      </c>
      <c r="K194" s="11" t="n"/>
      <c r="L194" s="9">
        <f>IF(B194="","",MONTH(B194))</f>
        <v/>
      </c>
      <c r="M194" s="9">
        <f>IF(B194="","",YEAR(B194))</f>
        <v/>
      </c>
    </row>
    <row r="195">
      <c r="A195" s="9">
        <f>IF(B195="","",ROW()-1)</f>
        <v/>
      </c>
      <c r="B195" s="10" t="n"/>
      <c r="C195" s="11" t="n"/>
      <c r="D195" s="11" t="n"/>
      <c r="E195" s="11" t="n"/>
      <c r="F195" s="11" t="n"/>
      <c r="G195" s="8" t="n"/>
      <c r="H195" s="12" t="n"/>
      <c r="I195" s="13" t="n"/>
      <c r="J195" s="14">
        <f>IF(OR(H195="",I195=""),"",H195*I195)</f>
        <v/>
      </c>
      <c r="K195" s="11" t="n"/>
      <c r="L195" s="9">
        <f>IF(B195="","",MONTH(B195))</f>
        <v/>
      </c>
      <c r="M195" s="9">
        <f>IF(B195="","",YEAR(B195))</f>
        <v/>
      </c>
    </row>
    <row r="196">
      <c r="A196" s="9">
        <f>IF(B196="","",ROW()-1)</f>
        <v/>
      </c>
      <c r="B196" s="10" t="n"/>
      <c r="C196" s="11" t="n"/>
      <c r="D196" s="11" t="n"/>
      <c r="E196" s="11" t="n"/>
      <c r="F196" s="11" t="n"/>
      <c r="G196" s="8" t="n"/>
      <c r="H196" s="12" t="n"/>
      <c r="I196" s="13" t="n"/>
      <c r="J196" s="14">
        <f>IF(OR(H196="",I196=""),"",H196*I196)</f>
        <v/>
      </c>
      <c r="K196" s="11" t="n"/>
      <c r="L196" s="9">
        <f>IF(B196="","",MONTH(B196))</f>
        <v/>
      </c>
      <c r="M196" s="9">
        <f>IF(B196="","",YEAR(B196))</f>
        <v/>
      </c>
    </row>
    <row r="197">
      <c r="A197" s="9">
        <f>IF(B197="","",ROW()-1)</f>
        <v/>
      </c>
      <c r="B197" s="10" t="n"/>
      <c r="C197" s="11" t="n"/>
      <c r="D197" s="11" t="n"/>
      <c r="E197" s="11" t="n"/>
      <c r="F197" s="11" t="n"/>
      <c r="G197" s="8" t="n"/>
      <c r="H197" s="12" t="n"/>
      <c r="I197" s="13" t="n"/>
      <c r="J197" s="14">
        <f>IF(OR(H197="",I197=""),"",H197*I197)</f>
        <v/>
      </c>
      <c r="K197" s="11" t="n"/>
      <c r="L197" s="9">
        <f>IF(B197="","",MONTH(B197))</f>
        <v/>
      </c>
      <c r="M197" s="9">
        <f>IF(B197="","",YEAR(B197))</f>
        <v/>
      </c>
    </row>
    <row r="198">
      <c r="A198" s="9">
        <f>IF(B198="","",ROW()-1)</f>
        <v/>
      </c>
      <c r="B198" s="10" t="n"/>
      <c r="C198" s="11" t="n"/>
      <c r="D198" s="11" t="n"/>
      <c r="E198" s="11" t="n"/>
      <c r="F198" s="11" t="n"/>
      <c r="G198" s="8" t="n"/>
      <c r="H198" s="12" t="n"/>
      <c r="I198" s="13" t="n"/>
      <c r="J198" s="14">
        <f>IF(OR(H198="",I198=""),"",H198*I198)</f>
        <v/>
      </c>
      <c r="K198" s="11" t="n"/>
      <c r="L198" s="9">
        <f>IF(B198="","",MONTH(B198))</f>
        <v/>
      </c>
      <c r="M198" s="9">
        <f>IF(B198="","",YEAR(B198))</f>
        <v/>
      </c>
    </row>
    <row r="199">
      <c r="A199" s="9">
        <f>IF(B199="","",ROW()-1)</f>
        <v/>
      </c>
      <c r="B199" s="10" t="n"/>
      <c r="C199" s="11" t="n"/>
      <c r="D199" s="11" t="n"/>
      <c r="E199" s="11" t="n"/>
      <c r="F199" s="11" t="n"/>
      <c r="G199" s="8" t="n"/>
      <c r="H199" s="12" t="n"/>
      <c r="I199" s="13" t="n"/>
      <c r="J199" s="14">
        <f>IF(OR(H199="",I199=""),"",H199*I199)</f>
        <v/>
      </c>
      <c r="K199" s="11" t="n"/>
      <c r="L199" s="9">
        <f>IF(B199="","",MONTH(B199))</f>
        <v/>
      </c>
      <c r="M199" s="9">
        <f>IF(B199="","",YEAR(B199))</f>
        <v/>
      </c>
    </row>
    <row r="200">
      <c r="A200" s="9">
        <f>IF(B200="","",ROW()-1)</f>
        <v/>
      </c>
      <c r="B200" s="10" t="n"/>
      <c r="C200" s="11" t="n"/>
      <c r="D200" s="11" t="n"/>
      <c r="E200" s="11" t="n"/>
      <c r="F200" s="11" t="n"/>
      <c r="G200" s="8" t="n"/>
      <c r="H200" s="12" t="n"/>
      <c r="I200" s="13" t="n"/>
      <c r="J200" s="14">
        <f>IF(OR(H200="",I200=""),"",H200*I200)</f>
        <v/>
      </c>
      <c r="K200" s="11" t="n"/>
      <c r="L200" s="9">
        <f>IF(B200="","",MONTH(B200))</f>
        <v/>
      </c>
      <c r="M200" s="9">
        <f>IF(B200="","",YEAR(B200))</f>
        <v/>
      </c>
    </row>
    <row r="201">
      <c r="A201" s="9">
        <f>IF(B201="","",ROW()-1)</f>
        <v/>
      </c>
      <c r="B201" s="10" t="n"/>
      <c r="C201" s="11" t="n"/>
      <c r="D201" s="11" t="n"/>
      <c r="E201" s="11" t="n"/>
      <c r="F201" s="11" t="n"/>
      <c r="G201" s="8" t="n"/>
      <c r="H201" s="12" t="n"/>
      <c r="I201" s="13" t="n"/>
      <c r="J201" s="14">
        <f>IF(OR(H201="",I201=""),"",H201*I201)</f>
        <v/>
      </c>
      <c r="K201" s="11" t="n"/>
      <c r="L201" s="9">
        <f>IF(B201="","",MONTH(B201))</f>
        <v/>
      </c>
      <c r="M201" s="9">
        <f>IF(B201="","",YEAR(B201))</f>
        <v/>
      </c>
    </row>
    <row r="202">
      <c r="A202" s="9">
        <f>IF(B202="","",ROW()-1)</f>
        <v/>
      </c>
      <c r="B202" s="10" t="n"/>
      <c r="C202" s="11" t="n"/>
      <c r="D202" s="11" t="n"/>
      <c r="E202" s="11" t="n"/>
      <c r="F202" s="11" t="n"/>
      <c r="G202" s="8" t="n"/>
      <c r="H202" s="12" t="n"/>
      <c r="I202" s="13" t="n"/>
      <c r="J202" s="14">
        <f>IF(OR(H202="",I202=""),"",H202*I202)</f>
        <v/>
      </c>
      <c r="K202" s="11" t="n"/>
      <c r="L202" s="9">
        <f>IF(B202="","",MONTH(B202))</f>
        <v/>
      </c>
      <c r="M202" s="9">
        <f>IF(B202="","",YEAR(B202))</f>
        <v/>
      </c>
    </row>
    <row r="203">
      <c r="A203" s="9">
        <f>IF(B203="","",ROW()-1)</f>
        <v/>
      </c>
      <c r="B203" s="10" t="n"/>
      <c r="C203" s="11" t="n"/>
      <c r="D203" s="11" t="n"/>
      <c r="E203" s="11" t="n"/>
      <c r="F203" s="11" t="n"/>
      <c r="G203" s="8" t="n"/>
      <c r="H203" s="12" t="n"/>
      <c r="I203" s="13" t="n"/>
      <c r="J203" s="14">
        <f>IF(OR(H203="",I203=""),"",H203*I203)</f>
        <v/>
      </c>
      <c r="K203" s="11" t="n"/>
      <c r="L203" s="9">
        <f>IF(B203="","",MONTH(B203))</f>
        <v/>
      </c>
      <c r="M203" s="9">
        <f>IF(B203="","",YEAR(B203))</f>
        <v/>
      </c>
    </row>
    <row r="204">
      <c r="A204" s="9">
        <f>IF(B204="","",ROW()-1)</f>
        <v/>
      </c>
      <c r="B204" s="10" t="n"/>
      <c r="C204" s="11" t="n"/>
      <c r="D204" s="11" t="n"/>
      <c r="E204" s="11" t="n"/>
      <c r="F204" s="11" t="n"/>
      <c r="G204" s="8" t="n"/>
      <c r="H204" s="12" t="n"/>
      <c r="I204" s="13" t="n"/>
      <c r="J204" s="14">
        <f>IF(OR(H204="",I204=""),"",H204*I204)</f>
        <v/>
      </c>
      <c r="K204" s="11" t="n"/>
      <c r="L204" s="9">
        <f>IF(B204="","",MONTH(B204))</f>
        <v/>
      </c>
      <c r="M204" s="9">
        <f>IF(B204="","",YEAR(B204))</f>
        <v/>
      </c>
    </row>
    <row r="205">
      <c r="A205" s="9">
        <f>IF(B205="","",ROW()-1)</f>
        <v/>
      </c>
      <c r="B205" s="10" t="n"/>
      <c r="C205" s="11" t="n"/>
      <c r="D205" s="11" t="n"/>
      <c r="E205" s="11" t="n"/>
      <c r="F205" s="11" t="n"/>
      <c r="G205" s="8" t="n"/>
      <c r="H205" s="12" t="n"/>
      <c r="I205" s="13" t="n"/>
      <c r="J205" s="14">
        <f>IF(OR(H205="",I205=""),"",H205*I205)</f>
        <v/>
      </c>
      <c r="K205" s="11" t="n"/>
      <c r="L205" s="9">
        <f>IF(B205="","",MONTH(B205))</f>
        <v/>
      </c>
      <c r="M205" s="9">
        <f>IF(B205="","",YEAR(B205))</f>
        <v/>
      </c>
    </row>
    <row r="206">
      <c r="A206" s="9">
        <f>IF(B206="","",ROW()-1)</f>
        <v/>
      </c>
      <c r="B206" s="10" t="n"/>
      <c r="C206" s="11" t="n"/>
      <c r="D206" s="11" t="n"/>
      <c r="E206" s="11" t="n"/>
      <c r="F206" s="11" t="n"/>
      <c r="G206" s="8" t="n"/>
      <c r="H206" s="12" t="n"/>
      <c r="I206" s="13" t="n"/>
      <c r="J206" s="14">
        <f>IF(OR(H206="",I206=""),"",H206*I206)</f>
        <v/>
      </c>
      <c r="K206" s="11" t="n"/>
      <c r="L206" s="9">
        <f>IF(B206="","",MONTH(B206))</f>
        <v/>
      </c>
      <c r="M206" s="9">
        <f>IF(B206="","",YEAR(B206))</f>
        <v/>
      </c>
    </row>
    <row r="207">
      <c r="A207" s="9">
        <f>IF(B207="","",ROW()-1)</f>
        <v/>
      </c>
      <c r="B207" s="10" t="n"/>
      <c r="C207" s="11" t="n"/>
      <c r="D207" s="11" t="n"/>
      <c r="E207" s="11" t="n"/>
      <c r="F207" s="11" t="n"/>
      <c r="G207" s="8" t="n"/>
      <c r="H207" s="12" t="n"/>
      <c r="I207" s="13" t="n"/>
      <c r="J207" s="14">
        <f>IF(OR(H207="",I207=""),"",H207*I207)</f>
        <v/>
      </c>
      <c r="K207" s="11" t="n"/>
      <c r="L207" s="9">
        <f>IF(B207="","",MONTH(B207))</f>
        <v/>
      </c>
      <c r="M207" s="9">
        <f>IF(B207="","",YEAR(B207))</f>
        <v/>
      </c>
    </row>
    <row r="208">
      <c r="A208" s="9">
        <f>IF(B208="","",ROW()-1)</f>
        <v/>
      </c>
      <c r="B208" s="10" t="n"/>
      <c r="C208" s="11" t="n"/>
      <c r="D208" s="11" t="n"/>
      <c r="E208" s="11" t="n"/>
      <c r="F208" s="11" t="n"/>
      <c r="G208" s="8" t="n"/>
      <c r="H208" s="12" t="n"/>
      <c r="I208" s="13" t="n"/>
      <c r="J208" s="14">
        <f>IF(OR(H208="",I208=""),"",H208*I208)</f>
        <v/>
      </c>
      <c r="K208" s="11" t="n"/>
      <c r="L208" s="9">
        <f>IF(B208="","",MONTH(B208))</f>
        <v/>
      </c>
      <c r="M208" s="9">
        <f>IF(B208="","",YEAR(B208))</f>
        <v/>
      </c>
    </row>
    <row r="209">
      <c r="A209" s="9">
        <f>IF(B209="","",ROW()-1)</f>
        <v/>
      </c>
      <c r="B209" s="10" t="n"/>
      <c r="C209" s="11" t="n"/>
      <c r="D209" s="11" t="n"/>
      <c r="E209" s="11" t="n"/>
      <c r="F209" s="11" t="n"/>
      <c r="G209" s="8" t="n"/>
      <c r="H209" s="12" t="n"/>
      <c r="I209" s="13" t="n"/>
      <c r="J209" s="14">
        <f>IF(OR(H209="",I209=""),"",H209*I209)</f>
        <v/>
      </c>
      <c r="K209" s="11" t="n"/>
      <c r="L209" s="9">
        <f>IF(B209="","",MONTH(B209))</f>
        <v/>
      </c>
      <c r="M209" s="9">
        <f>IF(B209="","",YEAR(B209))</f>
        <v/>
      </c>
    </row>
    <row r="210">
      <c r="A210" s="9">
        <f>IF(B210="","",ROW()-1)</f>
        <v/>
      </c>
      <c r="B210" s="10" t="n"/>
      <c r="C210" s="11" t="n"/>
      <c r="D210" s="11" t="n"/>
      <c r="E210" s="11" t="n"/>
      <c r="F210" s="11" t="n"/>
      <c r="G210" s="8" t="n"/>
      <c r="H210" s="12" t="n"/>
      <c r="I210" s="13" t="n"/>
      <c r="J210" s="14">
        <f>IF(OR(H210="",I210=""),"",H210*I210)</f>
        <v/>
      </c>
      <c r="K210" s="11" t="n"/>
      <c r="L210" s="9">
        <f>IF(B210="","",MONTH(B210))</f>
        <v/>
      </c>
      <c r="M210" s="9">
        <f>IF(B210="","",YEAR(B210))</f>
        <v/>
      </c>
    </row>
    <row r="211">
      <c r="A211" s="9">
        <f>IF(B211="","",ROW()-1)</f>
        <v/>
      </c>
      <c r="B211" s="10" t="n"/>
      <c r="C211" s="11" t="n"/>
      <c r="D211" s="11" t="n"/>
      <c r="E211" s="11" t="n"/>
      <c r="F211" s="11" t="n"/>
      <c r="G211" s="8" t="n"/>
      <c r="H211" s="12" t="n"/>
      <c r="I211" s="13" t="n"/>
      <c r="J211" s="14">
        <f>IF(OR(H211="",I211=""),"",H211*I211)</f>
        <v/>
      </c>
      <c r="K211" s="11" t="n"/>
      <c r="L211" s="9">
        <f>IF(B211="","",MONTH(B211))</f>
        <v/>
      </c>
      <c r="M211" s="9">
        <f>IF(B211="","",YEAR(B211))</f>
        <v/>
      </c>
    </row>
    <row r="212">
      <c r="A212" s="9">
        <f>IF(B212="","",ROW()-1)</f>
        <v/>
      </c>
      <c r="B212" s="10" t="n"/>
      <c r="C212" s="11" t="n"/>
      <c r="D212" s="11" t="n"/>
      <c r="E212" s="11" t="n"/>
      <c r="F212" s="11" t="n"/>
      <c r="G212" s="8" t="n"/>
      <c r="H212" s="12" t="n"/>
      <c r="I212" s="13" t="n"/>
      <c r="J212" s="14">
        <f>IF(OR(H212="",I212=""),"",H212*I212)</f>
        <v/>
      </c>
      <c r="K212" s="11" t="n"/>
      <c r="L212" s="9">
        <f>IF(B212="","",MONTH(B212))</f>
        <v/>
      </c>
      <c r="M212" s="9">
        <f>IF(B212="","",YEAR(B212))</f>
        <v/>
      </c>
    </row>
    <row r="213">
      <c r="A213" s="9">
        <f>IF(B213="","",ROW()-1)</f>
        <v/>
      </c>
      <c r="B213" s="10" t="n"/>
      <c r="C213" s="11" t="n"/>
      <c r="D213" s="11" t="n"/>
      <c r="E213" s="11" t="n"/>
      <c r="F213" s="11" t="n"/>
      <c r="G213" s="8" t="n"/>
      <c r="H213" s="12" t="n"/>
      <c r="I213" s="13" t="n"/>
      <c r="J213" s="14">
        <f>IF(OR(H213="",I213=""),"",H213*I213)</f>
        <v/>
      </c>
      <c r="K213" s="11" t="n"/>
      <c r="L213" s="9">
        <f>IF(B213="","",MONTH(B213))</f>
        <v/>
      </c>
      <c r="M213" s="9">
        <f>IF(B213="","",YEAR(B213))</f>
        <v/>
      </c>
    </row>
    <row r="214">
      <c r="A214" s="9">
        <f>IF(B214="","",ROW()-1)</f>
        <v/>
      </c>
      <c r="B214" s="10" t="n"/>
      <c r="C214" s="11" t="n"/>
      <c r="D214" s="11" t="n"/>
      <c r="E214" s="11" t="n"/>
      <c r="F214" s="11" t="n"/>
      <c r="G214" s="8" t="n"/>
      <c r="H214" s="12" t="n"/>
      <c r="I214" s="13" t="n"/>
      <c r="J214" s="14">
        <f>IF(OR(H214="",I214=""),"",H214*I214)</f>
        <v/>
      </c>
      <c r="K214" s="11" t="n"/>
      <c r="L214" s="9">
        <f>IF(B214="","",MONTH(B214))</f>
        <v/>
      </c>
      <c r="M214" s="9">
        <f>IF(B214="","",YEAR(B214))</f>
        <v/>
      </c>
    </row>
    <row r="215">
      <c r="A215" s="9">
        <f>IF(B215="","",ROW()-1)</f>
        <v/>
      </c>
      <c r="B215" s="10" t="n"/>
      <c r="C215" s="11" t="n"/>
      <c r="D215" s="11" t="n"/>
      <c r="E215" s="11" t="n"/>
      <c r="F215" s="11" t="n"/>
      <c r="G215" s="8" t="n"/>
      <c r="H215" s="12" t="n"/>
      <c r="I215" s="13" t="n"/>
      <c r="J215" s="14">
        <f>IF(OR(H215="",I215=""),"",H215*I215)</f>
        <v/>
      </c>
      <c r="K215" s="11" t="n"/>
      <c r="L215" s="9">
        <f>IF(B215="","",MONTH(B215))</f>
        <v/>
      </c>
      <c r="M215" s="9">
        <f>IF(B215="","",YEAR(B215))</f>
        <v/>
      </c>
    </row>
    <row r="216">
      <c r="A216" s="9">
        <f>IF(B216="","",ROW()-1)</f>
        <v/>
      </c>
      <c r="B216" s="10" t="n"/>
      <c r="C216" s="11" t="n"/>
      <c r="D216" s="11" t="n"/>
      <c r="E216" s="11" t="n"/>
      <c r="F216" s="11" t="n"/>
      <c r="G216" s="8" t="n"/>
      <c r="H216" s="12" t="n"/>
      <c r="I216" s="13" t="n"/>
      <c r="J216" s="14">
        <f>IF(OR(H216="",I216=""),"",H216*I216)</f>
        <v/>
      </c>
      <c r="K216" s="11" t="n"/>
      <c r="L216" s="9">
        <f>IF(B216="","",MONTH(B216))</f>
        <v/>
      </c>
      <c r="M216" s="9">
        <f>IF(B216="","",YEAR(B216))</f>
        <v/>
      </c>
    </row>
    <row r="217">
      <c r="A217" s="9">
        <f>IF(B217="","",ROW()-1)</f>
        <v/>
      </c>
      <c r="B217" s="10" t="n"/>
      <c r="C217" s="11" t="n"/>
      <c r="D217" s="11" t="n"/>
      <c r="E217" s="11" t="n"/>
      <c r="F217" s="11" t="n"/>
      <c r="G217" s="8" t="n"/>
      <c r="H217" s="12" t="n"/>
      <c r="I217" s="13" t="n"/>
      <c r="J217" s="14">
        <f>IF(OR(H217="",I217=""),"",H217*I217)</f>
        <v/>
      </c>
      <c r="K217" s="11" t="n"/>
      <c r="L217" s="9">
        <f>IF(B217="","",MONTH(B217))</f>
        <v/>
      </c>
      <c r="M217" s="9">
        <f>IF(B217="","",YEAR(B217))</f>
        <v/>
      </c>
    </row>
    <row r="218">
      <c r="A218" s="9">
        <f>IF(B218="","",ROW()-1)</f>
        <v/>
      </c>
      <c r="B218" s="10" t="n"/>
      <c r="C218" s="11" t="n"/>
      <c r="D218" s="11" t="n"/>
      <c r="E218" s="11" t="n"/>
      <c r="F218" s="11" t="n"/>
      <c r="G218" s="8" t="n"/>
      <c r="H218" s="12" t="n"/>
      <c r="I218" s="13" t="n"/>
      <c r="J218" s="14">
        <f>IF(OR(H218="",I218=""),"",H218*I218)</f>
        <v/>
      </c>
      <c r="K218" s="11" t="n"/>
      <c r="L218" s="9">
        <f>IF(B218="","",MONTH(B218))</f>
        <v/>
      </c>
      <c r="M218" s="9">
        <f>IF(B218="","",YEAR(B218))</f>
        <v/>
      </c>
    </row>
    <row r="219">
      <c r="A219" s="9">
        <f>IF(B219="","",ROW()-1)</f>
        <v/>
      </c>
      <c r="B219" s="10" t="n"/>
      <c r="C219" s="11" t="n"/>
      <c r="D219" s="11" t="n"/>
      <c r="E219" s="11" t="n"/>
      <c r="F219" s="11" t="n"/>
      <c r="G219" s="8" t="n"/>
      <c r="H219" s="12" t="n"/>
      <c r="I219" s="13" t="n"/>
      <c r="J219" s="14">
        <f>IF(OR(H219="",I219=""),"",H219*I219)</f>
        <v/>
      </c>
      <c r="K219" s="11" t="n"/>
      <c r="L219" s="9">
        <f>IF(B219="","",MONTH(B219))</f>
        <v/>
      </c>
      <c r="M219" s="9">
        <f>IF(B219="","",YEAR(B219))</f>
        <v/>
      </c>
    </row>
    <row r="220">
      <c r="A220" s="9">
        <f>IF(B220="","",ROW()-1)</f>
        <v/>
      </c>
      <c r="B220" s="10" t="n"/>
      <c r="C220" s="11" t="n"/>
      <c r="D220" s="11" t="n"/>
      <c r="E220" s="11" t="n"/>
      <c r="F220" s="11" t="n"/>
      <c r="G220" s="8" t="n"/>
      <c r="H220" s="12" t="n"/>
      <c r="I220" s="13" t="n"/>
      <c r="J220" s="14">
        <f>IF(OR(H220="",I220=""),"",H220*I220)</f>
        <v/>
      </c>
      <c r="K220" s="11" t="n"/>
      <c r="L220" s="9">
        <f>IF(B220="","",MONTH(B220))</f>
        <v/>
      </c>
      <c r="M220" s="9">
        <f>IF(B220="","",YEAR(B220))</f>
        <v/>
      </c>
    </row>
    <row r="221">
      <c r="A221" s="9">
        <f>IF(B221="","",ROW()-1)</f>
        <v/>
      </c>
      <c r="B221" s="10" t="n"/>
      <c r="C221" s="11" t="n"/>
      <c r="D221" s="11" t="n"/>
      <c r="E221" s="11" t="n"/>
      <c r="F221" s="11" t="n"/>
      <c r="G221" s="8" t="n"/>
      <c r="H221" s="12" t="n"/>
      <c r="I221" s="13" t="n"/>
      <c r="J221" s="14">
        <f>IF(OR(H221="",I221=""),"",H221*I221)</f>
        <v/>
      </c>
      <c r="K221" s="11" t="n"/>
      <c r="L221" s="9">
        <f>IF(B221="","",MONTH(B221))</f>
        <v/>
      </c>
      <c r="M221" s="9">
        <f>IF(B221="","",YEAR(B221))</f>
        <v/>
      </c>
    </row>
    <row r="222">
      <c r="A222" s="9">
        <f>IF(B222="","",ROW()-1)</f>
        <v/>
      </c>
      <c r="B222" s="10" t="n"/>
      <c r="C222" s="11" t="n"/>
      <c r="D222" s="11" t="n"/>
      <c r="E222" s="11" t="n"/>
      <c r="F222" s="11" t="n"/>
      <c r="G222" s="8" t="n"/>
      <c r="H222" s="12" t="n"/>
      <c r="I222" s="13" t="n"/>
      <c r="J222" s="14">
        <f>IF(OR(H222="",I222=""),"",H222*I222)</f>
        <v/>
      </c>
      <c r="K222" s="11" t="n"/>
      <c r="L222" s="9">
        <f>IF(B222="","",MONTH(B222))</f>
        <v/>
      </c>
      <c r="M222" s="9">
        <f>IF(B222="","",YEAR(B222))</f>
        <v/>
      </c>
    </row>
    <row r="223">
      <c r="A223" s="9">
        <f>IF(B223="","",ROW()-1)</f>
        <v/>
      </c>
      <c r="B223" s="10" t="n"/>
      <c r="C223" s="11" t="n"/>
      <c r="D223" s="11" t="n"/>
      <c r="E223" s="11" t="n"/>
      <c r="F223" s="11" t="n"/>
      <c r="G223" s="8" t="n"/>
      <c r="H223" s="12" t="n"/>
      <c r="I223" s="13" t="n"/>
      <c r="J223" s="14">
        <f>IF(OR(H223="",I223=""),"",H223*I223)</f>
        <v/>
      </c>
      <c r="K223" s="11" t="n"/>
      <c r="L223" s="9">
        <f>IF(B223="","",MONTH(B223))</f>
        <v/>
      </c>
      <c r="M223" s="9">
        <f>IF(B223="","",YEAR(B223))</f>
        <v/>
      </c>
    </row>
    <row r="224">
      <c r="A224" s="9">
        <f>IF(B224="","",ROW()-1)</f>
        <v/>
      </c>
      <c r="B224" s="10" t="n"/>
      <c r="C224" s="11" t="n"/>
      <c r="D224" s="11" t="n"/>
      <c r="E224" s="11" t="n"/>
      <c r="F224" s="11" t="n"/>
      <c r="G224" s="8" t="n"/>
      <c r="H224" s="12" t="n"/>
      <c r="I224" s="13" t="n"/>
      <c r="J224" s="14">
        <f>IF(OR(H224="",I224=""),"",H224*I224)</f>
        <v/>
      </c>
      <c r="K224" s="11" t="n"/>
      <c r="L224" s="9">
        <f>IF(B224="","",MONTH(B224))</f>
        <v/>
      </c>
      <c r="M224" s="9">
        <f>IF(B224="","",YEAR(B224))</f>
        <v/>
      </c>
    </row>
    <row r="225">
      <c r="A225" s="9">
        <f>IF(B225="","",ROW()-1)</f>
        <v/>
      </c>
      <c r="B225" s="10" t="n"/>
      <c r="C225" s="11" t="n"/>
      <c r="D225" s="11" t="n"/>
      <c r="E225" s="11" t="n"/>
      <c r="F225" s="11" t="n"/>
      <c r="G225" s="8" t="n"/>
      <c r="H225" s="12" t="n"/>
      <c r="I225" s="13" t="n"/>
      <c r="J225" s="14">
        <f>IF(OR(H225="",I225=""),"",H225*I225)</f>
        <v/>
      </c>
      <c r="K225" s="11" t="n"/>
      <c r="L225" s="9">
        <f>IF(B225="","",MONTH(B225))</f>
        <v/>
      </c>
      <c r="M225" s="9">
        <f>IF(B225="","",YEAR(B225))</f>
        <v/>
      </c>
    </row>
    <row r="226">
      <c r="A226" s="9">
        <f>IF(B226="","",ROW()-1)</f>
        <v/>
      </c>
      <c r="B226" s="10" t="n"/>
      <c r="C226" s="11" t="n"/>
      <c r="D226" s="11" t="n"/>
      <c r="E226" s="11" t="n"/>
      <c r="F226" s="11" t="n"/>
      <c r="G226" s="8" t="n"/>
      <c r="H226" s="12" t="n"/>
      <c r="I226" s="13" t="n"/>
      <c r="J226" s="14">
        <f>IF(OR(H226="",I226=""),"",H226*I226)</f>
        <v/>
      </c>
      <c r="K226" s="11" t="n"/>
      <c r="L226" s="9">
        <f>IF(B226="","",MONTH(B226))</f>
        <v/>
      </c>
      <c r="M226" s="9">
        <f>IF(B226="","",YEAR(B226))</f>
        <v/>
      </c>
    </row>
    <row r="227">
      <c r="A227" s="9">
        <f>IF(B227="","",ROW()-1)</f>
        <v/>
      </c>
      <c r="B227" s="10" t="n"/>
      <c r="C227" s="11" t="n"/>
      <c r="D227" s="11" t="n"/>
      <c r="E227" s="11" t="n"/>
      <c r="F227" s="11" t="n"/>
      <c r="G227" s="8" t="n"/>
      <c r="H227" s="12" t="n"/>
      <c r="I227" s="13" t="n"/>
      <c r="J227" s="14">
        <f>IF(OR(H227="",I227=""),"",H227*I227)</f>
        <v/>
      </c>
      <c r="K227" s="11" t="n"/>
      <c r="L227" s="9">
        <f>IF(B227="","",MONTH(B227))</f>
        <v/>
      </c>
      <c r="M227" s="9">
        <f>IF(B227="","",YEAR(B227))</f>
        <v/>
      </c>
    </row>
    <row r="228">
      <c r="A228" s="9">
        <f>IF(B228="","",ROW()-1)</f>
        <v/>
      </c>
      <c r="B228" s="10" t="n"/>
      <c r="C228" s="11" t="n"/>
      <c r="D228" s="11" t="n"/>
      <c r="E228" s="11" t="n"/>
      <c r="F228" s="11" t="n"/>
      <c r="G228" s="8" t="n"/>
      <c r="H228" s="12" t="n"/>
      <c r="I228" s="13" t="n"/>
      <c r="J228" s="14">
        <f>IF(OR(H228="",I228=""),"",H228*I228)</f>
        <v/>
      </c>
      <c r="K228" s="11" t="n"/>
      <c r="L228" s="9">
        <f>IF(B228="","",MONTH(B228))</f>
        <v/>
      </c>
      <c r="M228" s="9">
        <f>IF(B228="","",YEAR(B228))</f>
        <v/>
      </c>
    </row>
    <row r="229">
      <c r="A229" s="9">
        <f>IF(B229="","",ROW()-1)</f>
        <v/>
      </c>
      <c r="B229" s="10" t="n"/>
      <c r="C229" s="11" t="n"/>
      <c r="D229" s="11" t="n"/>
      <c r="E229" s="11" t="n"/>
      <c r="F229" s="11" t="n"/>
      <c r="G229" s="8" t="n"/>
      <c r="H229" s="12" t="n"/>
      <c r="I229" s="13" t="n"/>
      <c r="J229" s="14">
        <f>IF(OR(H229="",I229=""),"",H229*I229)</f>
        <v/>
      </c>
      <c r="K229" s="11" t="n"/>
      <c r="L229" s="9">
        <f>IF(B229="","",MONTH(B229))</f>
        <v/>
      </c>
      <c r="M229" s="9">
        <f>IF(B229="","",YEAR(B229))</f>
        <v/>
      </c>
    </row>
    <row r="230">
      <c r="A230" s="9">
        <f>IF(B230="","",ROW()-1)</f>
        <v/>
      </c>
      <c r="B230" s="10" t="n"/>
      <c r="C230" s="11" t="n"/>
      <c r="D230" s="11" t="n"/>
      <c r="E230" s="11" t="n"/>
      <c r="F230" s="11" t="n"/>
      <c r="G230" s="8" t="n"/>
      <c r="H230" s="12" t="n"/>
      <c r="I230" s="13" t="n"/>
      <c r="J230" s="14">
        <f>IF(OR(H230="",I230=""),"",H230*I230)</f>
        <v/>
      </c>
      <c r="K230" s="11" t="n"/>
      <c r="L230" s="9">
        <f>IF(B230="","",MONTH(B230))</f>
        <v/>
      </c>
      <c r="M230" s="9">
        <f>IF(B230="","",YEAR(B230))</f>
        <v/>
      </c>
    </row>
    <row r="231">
      <c r="A231" s="9">
        <f>IF(B231="","",ROW()-1)</f>
        <v/>
      </c>
      <c r="B231" s="10" t="n"/>
      <c r="C231" s="11" t="n"/>
      <c r="D231" s="11" t="n"/>
      <c r="E231" s="11" t="n"/>
      <c r="F231" s="11" t="n"/>
      <c r="G231" s="8" t="n"/>
      <c r="H231" s="12" t="n"/>
      <c r="I231" s="13" t="n"/>
      <c r="J231" s="14">
        <f>IF(OR(H231="",I231=""),"",H231*I231)</f>
        <v/>
      </c>
      <c r="K231" s="11" t="n"/>
      <c r="L231" s="9">
        <f>IF(B231="","",MONTH(B231))</f>
        <v/>
      </c>
      <c r="M231" s="9">
        <f>IF(B231="","",YEAR(B231))</f>
        <v/>
      </c>
    </row>
    <row r="232">
      <c r="A232" s="9">
        <f>IF(B232="","",ROW()-1)</f>
        <v/>
      </c>
      <c r="B232" s="10" t="n"/>
      <c r="C232" s="11" t="n"/>
      <c r="D232" s="11" t="n"/>
      <c r="E232" s="11" t="n"/>
      <c r="F232" s="11" t="n"/>
      <c r="G232" s="8" t="n"/>
      <c r="H232" s="12" t="n"/>
      <c r="I232" s="13" t="n"/>
      <c r="J232" s="14">
        <f>IF(OR(H232="",I232=""),"",H232*I232)</f>
        <v/>
      </c>
      <c r="K232" s="11" t="n"/>
      <c r="L232" s="9">
        <f>IF(B232="","",MONTH(B232))</f>
        <v/>
      </c>
      <c r="M232" s="9">
        <f>IF(B232="","",YEAR(B232))</f>
        <v/>
      </c>
    </row>
    <row r="233">
      <c r="A233" s="9">
        <f>IF(B233="","",ROW()-1)</f>
        <v/>
      </c>
      <c r="B233" s="10" t="n"/>
      <c r="C233" s="11" t="n"/>
      <c r="D233" s="11" t="n"/>
      <c r="E233" s="11" t="n"/>
      <c r="F233" s="11" t="n"/>
      <c r="G233" s="8" t="n"/>
      <c r="H233" s="12" t="n"/>
      <c r="I233" s="13" t="n"/>
      <c r="J233" s="14">
        <f>IF(OR(H233="",I233=""),"",H233*I233)</f>
        <v/>
      </c>
      <c r="K233" s="11" t="n"/>
      <c r="L233" s="9">
        <f>IF(B233="","",MONTH(B233))</f>
        <v/>
      </c>
      <c r="M233" s="9">
        <f>IF(B233="","",YEAR(B233))</f>
        <v/>
      </c>
    </row>
    <row r="234">
      <c r="A234" s="9">
        <f>IF(B234="","",ROW()-1)</f>
        <v/>
      </c>
      <c r="B234" s="10" t="n"/>
      <c r="C234" s="11" t="n"/>
      <c r="D234" s="11" t="n"/>
      <c r="E234" s="11" t="n"/>
      <c r="F234" s="11" t="n"/>
      <c r="G234" s="8" t="n"/>
      <c r="H234" s="12" t="n"/>
      <c r="I234" s="13" t="n"/>
      <c r="J234" s="14">
        <f>IF(OR(H234="",I234=""),"",H234*I234)</f>
        <v/>
      </c>
      <c r="K234" s="11" t="n"/>
      <c r="L234" s="9">
        <f>IF(B234="","",MONTH(B234))</f>
        <v/>
      </c>
      <c r="M234" s="9">
        <f>IF(B234="","",YEAR(B234))</f>
        <v/>
      </c>
    </row>
    <row r="235">
      <c r="A235" s="9">
        <f>IF(B235="","",ROW()-1)</f>
        <v/>
      </c>
      <c r="B235" s="10" t="n"/>
      <c r="C235" s="11" t="n"/>
      <c r="D235" s="11" t="n"/>
      <c r="E235" s="11" t="n"/>
      <c r="F235" s="11" t="n"/>
      <c r="G235" s="8" t="n"/>
      <c r="H235" s="12" t="n"/>
      <c r="I235" s="13" t="n"/>
      <c r="J235" s="14">
        <f>IF(OR(H235="",I235=""),"",H235*I235)</f>
        <v/>
      </c>
      <c r="K235" s="11" t="n"/>
      <c r="L235" s="9">
        <f>IF(B235="","",MONTH(B235))</f>
        <v/>
      </c>
      <c r="M235" s="9">
        <f>IF(B235="","",YEAR(B235))</f>
        <v/>
      </c>
    </row>
    <row r="236">
      <c r="A236" s="9">
        <f>IF(B236="","",ROW()-1)</f>
        <v/>
      </c>
      <c r="B236" s="10" t="n"/>
      <c r="C236" s="11" t="n"/>
      <c r="D236" s="11" t="n"/>
      <c r="E236" s="11" t="n"/>
      <c r="F236" s="11" t="n"/>
      <c r="G236" s="8" t="n"/>
      <c r="H236" s="12" t="n"/>
      <c r="I236" s="13" t="n"/>
      <c r="J236" s="14">
        <f>IF(OR(H236="",I236=""),"",H236*I236)</f>
        <v/>
      </c>
      <c r="K236" s="11" t="n"/>
      <c r="L236" s="9">
        <f>IF(B236="","",MONTH(B236))</f>
        <v/>
      </c>
      <c r="M236" s="9">
        <f>IF(B236="","",YEAR(B236))</f>
        <v/>
      </c>
    </row>
    <row r="237">
      <c r="A237" s="9">
        <f>IF(B237="","",ROW()-1)</f>
        <v/>
      </c>
      <c r="B237" s="10" t="n"/>
      <c r="C237" s="11" t="n"/>
      <c r="D237" s="11" t="n"/>
      <c r="E237" s="11" t="n"/>
      <c r="F237" s="11" t="n"/>
      <c r="G237" s="8" t="n"/>
      <c r="H237" s="12" t="n"/>
      <c r="I237" s="13" t="n"/>
      <c r="J237" s="14">
        <f>IF(OR(H237="",I237=""),"",H237*I237)</f>
        <v/>
      </c>
      <c r="K237" s="11" t="n"/>
      <c r="L237" s="9">
        <f>IF(B237="","",MONTH(B237))</f>
        <v/>
      </c>
      <c r="M237" s="9">
        <f>IF(B237="","",YEAR(B237))</f>
        <v/>
      </c>
    </row>
    <row r="238">
      <c r="A238" s="9">
        <f>IF(B238="","",ROW()-1)</f>
        <v/>
      </c>
      <c r="B238" s="10" t="n"/>
      <c r="C238" s="11" t="n"/>
      <c r="D238" s="11" t="n"/>
      <c r="E238" s="11" t="n"/>
      <c r="F238" s="11" t="n"/>
      <c r="G238" s="8" t="n"/>
      <c r="H238" s="12" t="n"/>
      <c r="I238" s="13" t="n"/>
      <c r="J238" s="14">
        <f>IF(OR(H238="",I238=""),"",H238*I238)</f>
        <v/>
      </c>
      <c r="K238" s="11" t="n"/>
      <c r="L238" s="9">
        <f>IF(B238="","",MONTH(B238))</f>
        <v/>
      </c>
      <c r="M238" s="9">
        <f>IF(B238="","",YEAR(B238))</f>
        <v/>
      </c>
    </row>
    <row r="239">
      <c r="A239" s="9">
        <f>IF(B239="","",ROW()-1)</f>
        <v/>
      </c>
      <c r="B239" s="10" t="n"/>
      <c r="C239" s="11" t="n"/>
      <c r="D239" s="11" t="n"/>
      <c r="E239" s="11" t="n"/>
      <c r="F239" s="11" t="n"/>
      <c r="G239" s="8" t="n"/>
      <c r="H239" s="12" t="n"/>
      <c r="I239" s="13" t="n"/>
      <c r="J239" s="14">
        <f>IF(OR(H239="",I239=""),"",H239*I239)</f>
        <v/>
      </c>
      <c r="K239" s="11" t="n"/>
      <c r="L239" s="9">
        <f>IF(B239="","",MONTH(B239))</f>
        <v/>
      </c>
      <c r="M239" s="9">
        <f>IF(B239="","",YEAR(B239))</f>
        <v/>
      </c>
    </row>
    <row r="240">
      <c r="A240" s="9">
        <f>IF(B240="","",ROW()-1)</f>
        <v/>
      </c>
      <c r="B240" s="10" t="n"/>
      <c r="C240" s="11" t="n"/>
      <c r="D240" s="11" t="n"/>
      <c r="E240" s="11" t="n"/>
      <c r="F240" s="11" t="n"/>
      <c r="G240" s="8" t="n"/>
      <c r="H240" s="12" t="n"/>
      <c r="I240" s="13" t="n"/>
      <c r="J240" s="14">
        <f>IF(OR(H240="",I240=""),"",H240*I240)</f>
        <v/>
      </c>
      <c r="K240" s="11" t="n"/>
      <c r="L240" s="9">
        <f>IF(B240="","",MONTH(B240))</f>
        <v/>
      </c>
      <c r="M240" s="9">
        <f>IF(B240="","",YEAR(B240))</f>
        <v/>
      </c>
    </row>
    <row r="241">
      <c r="A241" s="9">
        <f>IF(B241="","",ROW()-1)</f>
        <v/>
      </c>
      <c r="B241" s="10" t="n"/>
      <c r="C241" s="11" t="n"/>
      <c r="D241" s="11" t="n"/>
      <c r="E241" s="11" t="n"/>
      <c r="F241" s="11" t="n"/>
      <c r="G241" s="8" t="n"/>
      <c r="H241" s="12" t="n"/>
      <c r="I241" s="13" t="n"/>
      <c r="J241" s="14">
        <f>IF(OR(H241="",I241=""),"",H241*I241)</f>
        <v/>
      </c>
      <c r="K241" s="11" t="n"/>
      <c r="L241" s="9">
        <f>IF(B241="","",MONTH(B241))</f>
        <v/>
      </c>
      <c r="M241" s="9">
        <f>IF(B241="","",YEAR(B241))</f>
        <v/>
      </c>
    </row>
    <row r="242">
      <c r="A242" s="9">
        <f>IF(B242="","",ROW()-1)</f>
        <v/>
      </c>
      <c r="B242" s="10" t="n"/>
      <c r="C242" s="11" t="n"/>
      <c r="D242" s="11" t="n"/>
      <c r="E242" s="11" t="n"/>
      <c r="F242" s="11" t="n"/>
      <c r="G242" s="8" t="n"/>
      <c r="H242" s="12" t="n"/>
      <c r="I242" s="13" t="n"/>
      <c r="J242" s="14">
        <f>IF(OR(H242="",I242=""),"",H242*I242)</f>
        <v/>
      </c>
      <c r="K242" s="11" t="n"/>
      <c r="L242" s="9">
        <f>IF(B242="","",MONTH(B242))</f>
        <v/>
      </c>
      <c r="M242" s="9">
        <f>IF(B242="","",YEAR(B242))</f>
        <v/>
      </c>
    </row>
    <row r="243">
      <c r="A243" s="9">
        <f>IF(B243="","",ROW()-1)</f>
        <v/>
      </c>
      <c r="B243" s="10" t="n"/>
      <c r="C243" s="11" t="n"/>
      <c r="D243" s="11" t="n"/>
      <c r="E243" s="11" t="n"/>
      <c r="F243" s="11" t="n"/>
      <c r="G243" s="8" t="n"/>
      <c r="H243" s="12" t="n"/>
      <c r="I243" s="13" t="n"/>
      <c r="J243" s="14">
        <f>IF(OR(H243="",I243=""),"",H243*I243)</f>
        <v/>
      </c>
      <c r="K243" s="11" t="n"/>
      <c r="L243" s="9">
        <f>IF(B243="","",MONTH(B243))</f>
        <v/>
      </c>
      <c r="M243" s="9">
        <f>IF(B243="","",YEAR(B243))</f>
        <v/>
      </c>
    </row>
    <row r="244">
      <c r="A244" s="9">
        <f>IF(B244="","",ROW()-1)</f>
        <v/>
      </c>
      <c r="B244" s="10" t="n"/>
      <c r="C244" s="11" t="n"/>
      <c r="D244" s="11" t="n"/>
      <c r="E244" s="11" t="n"/>
      <c r="F244" s="11" t="n"/>
      <c r="G244" s="8" t="n"/>
      <c r="H244" s="12" t="n"/>
      <c r="I244" s="13" t="n"/>
      <c r="J244" s="14">
        <f>IF(OR(H244="",I244=""),"",H244*I244)</f>
        <v/>
      </c>
      <c r="K244" s="11" t="n"/>
      <c r="L244" s="9">
        <f>IF(B244="","",MONTH(B244))</f>
        <v/>
      </c>
      <c r="M244" s="9">
        <f>IF(B244="","",YEAR(B244))</f>
        <v/>
      </c>
    </row>
    <row r="245">
      <c r="A245" s="9">
        <f>IF(B245="","",ROW()-1)</f>
        <v/>
      </c>
      <c r="B245" s="10" t="n"/>
      <c r="C245" s="11" t="n"/>
      <c r="D245" s="11" t="n"/>
      <c r="E245" s="11" t="n"/>
      <c r="F245" s="11" t="n"/>
      <c r="G245" s="8" t="n"/>
      <c r="H245" s="12" t="n"/>
      <c r="I245" s="13" t="n"/>
      <c r="J245" s="14">
        <f>IF(OR(H245="",I245=""),"",H245*I245)</f>
        <v/>
      </c>
      <c r="K245" s="11" t="n"/>
      <c r="L245" s="9">
        <f>IF(B245="","",MONTH(B245))</f>
        <v/>
      </c>
      <c r="M245" s="9">
        <f>IF(B245="","",YEAR(B245))</f>
        <v/>
      </c>
    </row>
    <row r="246">
      <c r="A246" s="9">
        <f>IF(B246="","",ROW()-1)</f>
        <v/>
      </c>
      <c r="B246" s="10" t="n"/>
      <c r="C246" s="11" t="n"/>
      <c r="D246" s="11" t="n"/>
      <c r="E246" s="11" t="n"/>
      <c r="F246" s="11" t="n"/>
      <c r="G246" s="8" t="n"/>
      <c r="H246" s="12" t="n"/>
      <c r="I246" s="13" t="n"/>
      <c r="J246" s="14">
        <f>IF(OR(H246="",I246=""),"",H246*I246)</f>
        <v/>
      </c>
      <c r="K246" s="11" t="n"/>
      <c r="L246" s="9">
        <f>IF(B246="","",MONTH(B246))</f>
        <v/>
      </c>
      <c r="M246" s="9">
        <f>IF(B246="","",YEAR(B246))</f>
        <v/>
      </c>
    </row>
    <row r="247">
      <c r="A247" s="9">
        <f>IF(B247="","",ROW()-1)</f>
        <v/>
      </c>
      <c r="B247" s="10" t="n"/>
      <c r="C247" s="11" t="n"/>
      <c r="D247" s="11" t="n"/>
      <c r="E247" s="11" t="n"/>
      <c r="F247" s="11" t="n"/>
      <c r="G247" s="8" t="n"/>
      <c r="H247" s="12" t="n"/>
      <c r="I247" s="13" t="n"/>
      <c r="J247" s="14">
        <f>IF(OR(H247="",I247=""),"",H247*I247)</f>
        <v/>
      </c>
      <c r="K247" s="11" t="n"/>
      <c r="L247" s="9">
        <f>IF(B247="","",MONTH(B247))</f>
        <v/>
      </c>
      <c r="M247" s="9">
        <f>IF(B247="","",YEAR(B247))</f>
        <v/>
      </c>
    </row>
    <row r="248">
      <c r="A248" s="9">
        <f>IF(B248="","",ROW()-1)</f>
        <v/>
      </c>
      <c r="B248" s="10" t="n"/>
      <c r="C248" s="11" t="n"/>
      <c r="D248" s="11" t="n"/>
      <c r="E248" s="11" t="n"/>
      <c r="F248" s="11" t="n"/>
      <c r="G248" s="8" t="n"/>
      <c r="H248" s="12" t="n"/>
      <c r="I248" s="13" t="n"/>
      <c r="J248" s="14">
        <f>IF(OR(H248="",I248=""),"",H248*I248)</f>
        <v/>
      </c>
      <c r="K248" s="11" t="n"/>
      <c r="L248" s="9">
        <f>IF(B248="","",MONTH(B248))</f>
        <v/>
      </c>
      <c r="M248" s="9">
        <f>IF(B248="","",YEAR(B248))</f>
        <v/>
      </c>
    </row>
    <row r="249">
      <c r="A249" s="9">
        <f>IF(B249="","",ROW()-1)</f>
        <v/>
      </c>
      <c r="B249" s="10" t="n"/>
      <c r="C249" s="11" t="n"/>
      <c r="D249" s="11" t="n"/>
      <c r="E249" s="11" t="n"/>
      <c r="F249" s="11" t="n"/>
      <c r="G249" s="8" t="n"/>
      <c r="H249" s="12" t="n"/>
      <c r="I249" s="13" t="n"/>
      <c r="J249" s="14">
        <f>IF(OR(H249="",I249=""),"",H249*I249)</f>
        <v/>
      </c>
      <c r="K249" s="11" t="n"/>
      <c r="L249" s="9">
        <f>IF(B249="","",MONTH(B249))</f>
        <v/>
      </c>
      <c r="M249" s="9">
        <f>IF(B249="","",YEAR(B249))</f>
        <v/>
      </c>
    </row>
    <row r="250">
      <c r="A250" s="9">
        <f>IF(B250="","",ROW()-1)</f>
        <v/>
      </c>
      <c r="B250" s="10" t="n"/>
      <c r="C250" s="11" t="n"/>
      <c r="D250" s="11" t="n"/>
      <c r="E250" s="11" t="n"/>
      <c r="F250" s="11" t="n"/>
      <c r="G250" s="8" t="n"/>
      <c r="H250" s="12" t="n"/>
      <c r="I250" s="13" t="n"/>
      <c r="J250" s="14">
        <f>IF(OR(H250="",I250=""),"",H250*I250)</f>
        <v/>
      </c>
      <c r="K250" s="11" t="n"/>
      <c r="L250" s="9">
        <f>IF(B250="","",MONTH(B250))</f>
        <v/>
      </c>
      <c r="M250" s="9">
        <f>IF(B250="","",YEAR(B250))</f>
        <v/>
      </c>
    </row>
    <row r="251">
      <c r="A251" s="9">
        <f>IF(B251="","",ROW()-1)</f>
        <v/>
      </c>
      <c r="B251" s="10" t="n"/>
      <c r="C251" s="11" t="n"/>
      <c r="D251" s="11" t="n"/>
      <c r="E251" s="11" t="n"/>
      <c r="F251" s="11" t="n"/>
      <c r="G251" s="8" t="n"/>
      <c r="H251" s="12" t="n"/>
      <c r="I251" s="13" t="n"/>
      <c r="J251" s="14">
        <f>IF(OR(H251="",I251=""),"",H251*I251)</f>
        <v/>
      </c>
      <c r="K251" s="11" t="n"/>
      <c r="L251" s="9">
        <f>IF(B251="","",MONTH(B251))</f>
        <v/>
      </c>
      <c r="M251" s="9">
        <f>IF(B251="","",YEAR(B251))</f>
        <v/>
      </c>
    </row>
    <row r="252">
      <c r="A252" s="9">
        <f>IF(B252="","",ROW()-1)</f>
        <v/>
      </c>
      <c r="B252" s="10" t="n"/>
      <c r="C252" s="11" t="n"/>
      <c r="D252" s="11" t="n"/>
      <c r="E252" s="11" t="n"/>
      <c r="F252" s="11" t="n"/>
      <c r="G252" s="8" t="n"/>
      <c r="H252" s="12" t="n"/>
      <c r="I252" s="13" t="n"/>
      <c r="J252" s="14">
        <f>IF(OR(H252="",I252=""),"",H252*I252)</f>
        <v/>
      </c>
      <c r="K252" s="11" t="n"/>
      <c r="L252" s="9">
        <f>IF(B252="","",MONTH(B252))</f>
        <v/>
      </c>
      <c r="M252" s="9">
        <f>IF(B252="","",YEAR(B252))</f>
        <v/>
      </c>
    </row>
    <row r="253">
      <c r="A253" s="9">
        <f>IF(B253="","",ROW()-1)</f>
        <v/>
      </c>
      <c r="B253" s="10" t="n"/>
      <c r="C253" s="11" t="n"/>
      <c r="D253" s="11" t="n"/>
      <c r="E253" s="11" t="n"/>
      <c r="F253" s="11" t="n"/>
      <c r="G253" s="8" t="n"/>
      <c r="H253" s="12" t="n"/>
      <c r="I253" s="13" t="n"/>
      <c r="J253" s="14">
        <f>IF(OR(H253="",I253=""),"",H253*I253)</f>
        <v/>
      </c>
      <c r="K253" s="11" t="n"/>
      <c r="L253" s="9">
        <f>IF(B253="","",MONTH(B253))</f>
        <v/>
      </c>
      <c r="M253" s="9">
        <f>IF(B253="","",YEAR(B253))</f>
        <v/>
      </c>
    </row>
    <row r="254">
      <c r="A254" s="9">
        <f>IF(B254="","",ROW()-1)</f>
        <v/>
      </c>
      <c r="B254" s="10" t="n"/>
      <c r="C254" s="11" t="n"/>
      <c r="D254" s="11" t="n"/>
      <c r="E254" s="11" t="n"/>
      <c r="F254" s="11" t="n"/>
      <c r="G254" s="8" t="n"/>
      <c r="H254" s="12" t="n"/>
      <c r="I254" s="13" t="n"/>
      <c r="J254" s="14">
        <f>IF(OR(H254="",I254=""),"",H254*I254)</f>
        <v/>
      </c>
      <c r="K254" s="11" t="n"/>
      <c r="L254" s="9">
        <f>IF(B254="","",MONTH(B254))</f>
        <v/>
      </c>
      <c r="M254" s="9">
        <f>IF(B254="","",YEAR(B254))</f>
        <v/>
      </c>
    </row>
    <row r="255">
      <c r="A255" s="9">
        <f>IF(B255="","",ROW()-1)</f>
        <v/>
      </c>
      <c r="B255" s="10" t="n"/>
      <c r="C255" s="11" t="n"/>
      <c r="D255" s="11" t="n"/>
      <c r="E255" s="11" t="n"/>
      <c r="F255" s="11" t="n"/>
      <c r="G255" s="8" t="n"/>
      <c r="H255" s="12" t="n"/>
      <c r="I255" s="13" t="n"/>
      <c r="J255" s="14">
        <f>IF(OR(H255="",I255=""),"",H255*I255)</f>
        <v/>
      </c>
      <c r="K255" s="11" t="n"/>
      <c r="L255" s="9">
        <f>IF(B255="","",MONTH(B255))</f>
        <v/>
      </c>
      <c r="M255" s="9">
        <f>IF(B255="","",YEAR(B255))</f>
        <v/>
      </c>
    </row>
    <row r="256">
      <c r="A256" s="9">
        <f>IF(B256="","",ROW()-1)</f>
        <v/>
      </c>
      <c r="B256" s="10" t="n"/>
      <c r="C256" s="11" t="n"/>
      <c r="D256" s="11" t="n"/>
      <c r="E256" s="11" t="n"/>
      <c r="F256" s="11" t="n"/>
      <c r="G256" s="8" t="n"/>
      <c r="H256" s="12" t="n"/>
      <c r="I256" s="13" t="n"/>
      <c r="J256" s="14">
        <f>IF(OR(H256="",I256=""),"",H256*I256)</f>
        <v/>
      </c>
      <c r="K256" s="11" t="n"/>
      <c r="L256" s="9">
        <f>IF(B256="","",MONTH(B256))</f>
        <v/>
      </c>
      <c r="M256" s="9">
        <f>IF(B256="","",YEAR(B256))</f>
        <v/>
      </c>
    </row>
    <row r="257">
      <c r="A257" s="9">
        <f>IF(B257="","",ROW()-1)</f>
        <v/>
      </c>
      <c r="B257" s="10" t="n"/>
      <c r="C257" s="11" t="n"/>
      <c r="D257" s="11" t="n"/>
      <c r="E257" s="11" t="n"/>
      <c r="F257" s="11" t="n"/>
      <c r="G257" s="8" t="n"/>
      <c r="H257" s="12" t="n"/>
      <c r="I257" s="13" t="n"/>
      <c r="J257" s="14">
        <f>IF(OR(H257="",I257=""),"",H257*I257)</f>
        <v/>
      </c>
      <c r="K257" s="11" t="n"/>
      <c r="L257" s="9">
        <f>IF(B257="","",MONTH(B257))</f>
        <v/>
      </c>
      <c r="M257" s="9">
        <f>IF(B257="","",YEAR(B257))</f>
        <v/>
      </c>
    </row>
    <row r="258">
      <c r="A258" s="9">
        <f>IF(B258="","",ROW()-1)</f>
        <v/>
      </c>
      <c r="B258" s="10" t="n"/>
      <c r="C258" s="11" t="n"/>
      <c r="D258" s="11" t="n"/>
      <c r="E258" s="11" t="n"/>
      <c r="F258" s="11" t="n"/>
      <c r="G258" s="8" t="n"/>
      <c r="H258" s="12" t="n"/>
      <c r="I258" s="13" t="n"/>
      <c r="J258" s="14">
        <f>IF(OR(H258="",I258=""),"",H258*I258)</f>
        <v/>
      </c>
      <c r="K258" s="11" t="n"/>
      <c r="L258" s="9">
        <f>IF(B258="","",MONTH(B258))</f>
        <v/>
      </c>
      <c r="M258" s="9">
        <f>IF(B258="","",YEAR(B258))</f>
        <v/>
      </c>
    </row>
    <row r="259">
      <c r="A259" s="9">
        <f>IF(B259="","",ROW()-1)</f>
        <v/>
      </c>
      <c r="B259" s="10" t="n"/>
      <c r="C259" s="11" t="n"/>
      <c r="D259" s="11" t="n"/>
      <c r="E259" s="11" t="n"/>
      <c r="F259" s="11" t="n"/>
      <c r="G259" s="8" t="n"/>
      <c r="H259" s="12" t="n"/>
      <c r="I259" s="13" t="n"/>
      <c r="J259" s="14">
        <f>IF(OR(H259="",I259=""),"",H259*I259)</f>
        <v/>
      </c>
      <c r="K259" s="11" t="n"/>
      <c r="L259" s="9">
        <f>IF(B259="","",MONTH(B259))</f>
        <v/>
      </c>
      <c r="M259" s="9">
        <f>IF(B259="","",YEAR(B259))</f>
        <v/>
      </c>
    </row>
    <row r="260">
      <c r="A260" s="9">
        <f>IF(B260="","",ROW()-1)</f>
        <v/>
      </c>
      <c r="B260" s="10" t="n"/>
      <c r="C260" s="11" t="n"/>
      <c r="D260" s="11" t="n"/>
      <c r="E260" s="11" t="n"/>
      <c r="F260" s="11" t="n"/>
      <c r="G260" s="8" t="n"/>
      <c r="H260" s="12" t="n"/>
      <c r="I260" s="13" t="n"/>
      <c r="J260" s="14">
        <f>IF(OR(H260="",I260=""),"",H260*I260)</f>
        <v/>
      </c>
      <c r="K260" s="11" t="n"/>
      <c r="L260" s="9">
        <f>IF(B260="","",MONTH(B260))</f>
        <v/>
      </c>
      <c r="M260" s="9">
        <f>IF(B260="","",YEAR(B260))</f>
        <v/>
      </c>
    </row>
    <row r="261">
      <c r="A261" s="9">
        <f>IF(B261="","",ROW()-1)</f>
        <v/>
      </c>
      <c r="B261" s="10" t="n"/>
      <c r="C261" s="11" t="n"/>
      <c r="D261" s="11" t="n"/>
      <c r="E261" s="11" t="n"/>
      <c r="F261" s="11" t="n"/>
      <c r="G261" s="8" t="n"/>
      <c r="H261" s="12" t="n"/>
      <c r="I261" s="13" t="n"/>
      <c r="J261" s="14">
        <f>IF(OR(H261="",I261=""),"",H261*I261)</f>
        <v/>
      </c>
      <c r="K261" s="11" t="n"/>
      <c r="L261" s="9">
        <f>IF(B261="","",MONTH(B261))</f>
        <v/>
      </c>
      <c r="M261" s="9">
        <f>IF(B261="","",YEAR(B261))</f>
        <v/>
      </c>
    </row>
    <row r="262">
      <c r="A262" s="9">
        <f>IF(B262="","",ROW()-1)</f>
        <v/>
      </c>
      <c r="B262" s="10" t="n"/>
      <c r="C262" s="11" t="n"/>
      <c r="D262" s="11" t="n"/>
      <c r="E262" s="11" t="n"/>
      <c r="F262" s="11" t="n"/>
      <c r="G262" s="8" t="n"/>
      <c r="H262" s="12" t="n"/>
      <c r="I262" s="13" t="n"/>
      <c r="J262" s="14">
        <f>IF(OR(H262="",I262=""),"",H262*I262)</f>
        <v/>
      </c>
      <c r="K262" s="11" t="n"/>
      <c r="L262" s="9">
        <f>IF(B262="","",MONTH(B262))</f>
        <v/>
      </c>
      <c r="M262" s="9">
        <f>IF(B262="","",YEAR(B262))</f>
        <v/>
      </c>
    </row>
    <row r="263">
      <c r="A263" s="9">
        <f>IF(B263="","",ROW()-1)</f>
        <v/>
      </c>
      <c r="B263" s="10" t="n"/>
      <c r="C263" s="11" t="n"/>
      <c r="D263" s="11" t="n"/>
      <c r="E263" s="11" t="n"/>
      <c r="F263" s="11" t="n"/>
      <c r="G263" s="8" t="n"/>
      <c r="H263" s="12" t="n"/>
      <c r="I263" s="13" t="n"/>
      <c r="J263" s="14">
        <f>IF(OR(H263="",I263=""),"",H263*I263)</f>
        <v/>
      </c>
      <c r="K263" s="11" t="n"/>
      <c r="L263" s="9">
        <f>IF(B263="","",MONTH(B263))</f>
        <v/>
      </c>
      <c r="M263" s="9">
        <f>IF(B263="","",YEAR(B263))</f>
        <v/>
      </c>
    </row>
    <row r="264">
      <c r="A264" s="9">
        <f>IF(B264="","",ROW()-1)</f>
        <v/>
      </c>
      <c r="B264" s="10" t="n"/>
      <c r="C264" s="11" t="n"/>
      <c r="D264" s="11" t="n"/>
      <c r="E264" s="11" t="n"/>
      <c r="F264" s="11" t="n"/>
      <c r="G264" s="8" t="n"/>
      <c r="H264" s="12" t="n"/>
      <c r="I264" s="13" t="n"/>
      <c r="J264" s="14">
        <f>IF(OR(H264="",I264=""),"",H264*I264)</f>
        <v/>
      </c>
      <c r="K264" s="11" t="n"/>
      <c r="L264" s="9">
        <f>IF(B264="","",MONTH(B264))</f>
        <v/>
      </c>
      <c r="M264" s="9">
        <f>IF(B264="","",YEAR(B264))</f>
        <v/>
      </c>
    </row>
    <row r="265">
      <c r="A265" s="9">
        <f>IF(B265="","",ROW()-1)</f>
        <v/>
      </c>
      <c r="B265" s="10" t="n"/>
      <c r="C265" s="11" t="n"/>
      <c r="D265" s="11" t="n"/>
      <c r="E265" s="11" t="n"/>
      <c r="F265" s="11" t="n"/>
      <c r="G265" s="8" t="n"/>
      <c r="H265" s="12" t="n"/>
      <c r="I265" s="13" t="n"/>
      <c r="J265" s="14">
        <f>IF(OR(H265="",I265=""),"",H265*I265)</f>
        <v/>
      </c>
      <c r="K265" s="11" t="n"/>
      <c r="L265" s="9">
        <f>IF(B265="","",MONTH(B265))</f>
        <v/>
      </c>
      <c r="M265" s="9">
        <f>IF(B265="","",YEAR(B265))</f>
        <v/>
      </c>
    </row>
    <row r="266">
      <c r="A266" s="9">
        <f>IF(B266="","",ROW()-1)</f>
        <v/>
      </c>
      <c r="B266" s="10" t="n"/>
      <c r="C266" s="11" t="n"/>
      <c r="D266" s="11" t="n"/>
      <c r="E266" s="11" t="n"/>
      <c r="F266" s="11" t="n"/>
      <c r="G266" s="8" t="n"/>
      <c r="H266" s="12" t="n"/>
      <c r="I266" s="13" t="n"/>
      <c r="J266" s="14">
        <f>IF(OR(H266="",I266=""),"",H266*I266)</f>
        <v/>
      </c>
      <c r="K266" s="11" t="n"/>
      <c r="L266" s="9">
        <f>IF(B266="","",MONTH(B266))</f>
        <v/>
      </c>
      <c r="M266" s="9">
        <f>IF(B266="","",YEAR(B266))</f>
        <v/>
      </c>
    </row>
    <row r="267">
      <c r="A267" s="9">
        <f>IF(B267="","",ROW()-1)</f>
        <v/>
      </c>
      <c r="B267" s="10" t="n"/>
      <c r="C267" s="11" t="n"/>
      <c r="D267" s="11" t="n"/>
      <c r="E267" s="11" t="n"/>
      <c r="F267" s="11" t="n"/>
      <c r="G267" s="8" t="n"/>
      <c r="H267" s="12" t="n"/>
      <c r="I267" s="13" t="n"/>
      <c r="J267" s="14">
        <f>IF(OR(H267="",I267=""),"",H267*I267)</f>
        <v/>
      </c>
      <c r="K267" s="11" t="n"/>
      <c r="L267" s="9">
        <f>IF(B267="","",MONTH(B267))</f>
        <v/>
      </c>
      <c r="M267" s="9">
        <f>IF(B267="","",YEAR(B267))</f>
        <v/>
      </c>
    </row>
    <row r="268">
      <c r="A268" s="9">
        <f>IF(B268="","",ROW()-1)</f>
        <v/>
      </c>
      <c r="B268" s="10" t="n"/>
      <c r="C268" s="11" t="n"/>
      <c r="D268" s="11" t="n"/>
      <c r="E268" s="11" t="n"/>
      <c r="F268" s="11" t="n"/>
      <c r="G268" s="8" t="n"/>
      <c r="H268" s="12" t="n"/>
      <c r="I268" s="13" t="n"/>
      <c r="J268" s="14">
        <f>IF(OR(H268="",I268=""),"",H268*I268)</f>
        <v/>
      </c>
      <c r="K268" s="11" t="n"/>
      <c r="L268" s="9">
        <f>IF(B268="","",MONTH(B268))</f>
        <v/>
      </c>
      <c r="M268" s="9">
        <f>IF(B268="","",YEAR(B268))</f>
        <v/>
      </c>
    </row>
    <row r="269">
      <c r="A269" s="9">
        <f>IF(B269="","",ROW()-1)</f>
        <v/>
      </c>
      <c r="B269" s="10" t="n"/>
      <c r="C269" s="11" t="n"/>
      <c r="D269" s="11" t="n"/>
      <c r="E269" s="11" t="n"/>
      <c r="F269" s="11" t="n"/>
      <c r="G269" s="8" t="n"/>
      <c r="H269" s="12" t="n"/>
      <c r="I269" s="13" t="n"/>
      <c r="J269" s="14">
        <f>IF(OR(H269="",I269=""),"",H269*I269)</f>
        <v/>
      </c>
      <c r="K269" s="11" t="n"/>
      <c r="L269" s="9">
        <f>IF(B269="","",MONTH(B269))</f>
        <v/>
      </c>
      <c r="M269" s="9">
        <f>IF(B269="","",YEAR(B269))</f>
        <v/>
      </c>
    </row>
    <row r="270">
      <c r="A270" s="9">
        <f>IF(B270="","",ROW()-1)</f>
        <v/>
      </c>
      <c r="B270" s="10" t="n"/>
      <c r="C270" s="11" t="n"/>
      <c r="D270" s="11" t="n"/>
      <c r="E270" s="11" t="n"/>
      <c r="F270" s="11" t="n"/>
      <c r="G270" s="8" t="n"/>
      <c r="H270" s="12" t="n"/>
      <c r="I270" s="13" t="n"/>
      <c r="J270" s="14">
        <f>IF(OR(H270="",I270=""),"",H270*I270)</f>
        <v/>
      </c>
      <c r="K270" s="11" t="n"/>
      <c r="L270" s="9">
        <f>IF(B270="","",MONTH(B270))</f>
        <v/>
      </c>
      <c r="M270" s="9">
        <f>IF(B270="","",YEAR(B270))</f>
        <v/>
      </c>
    </row>
    <row r="271">
      <c r="A271" s="9">
        <f>IF(B271="","",ROW()-1)</f>
        <v/>
      </c>
      <c r="B271" s="10" t="n"/>
      <c r="C271" s="11" t="n"/>
      <c r="D271" s="11" t="n"/>
      <c r="E271" s="11" t="n"/>
      <c r="F271" s="11" t="n"/>
      <c r="G271" s="8" t="n"/>
      <c r="H271" s="12" t="n"/>
      <c r="I271" s="13" t="n"/>
      <c r="J271" s="14">
        <f>IF(OR(H271="",I271=""),"",H271*I271)</f>
        <v/>
      </c>
      <c r="K271" s="11" t="n"/>
      <c r="L271" s="9">
        <f>IF(B271="","",MONTH(B271))</f>
        <v/>
      </c>
      <c r="M271" s="9">
        <f>IF(B271="","",YEAR(B271))</f>
        <v/>
      </c>
    </row>
    <row r="272">
      <c r="A272" s="9">
        <f>IF(B272="","",ROW()-1)</f>
        <v/>
      </c>
      <c r="B272" s="10" t="n"/>
      <c r="C272" s="11" t="n"/>
      <c r="D272" s="11" t="n"/>
      <c r="E272" s="11" t="n"/>
      <c r="F272" s="11" t="n"/>
      <c r="G272" s="8" t="n"/>
      <c r="H272" s="12" t="n"/>
      <c r="I272" s="13" t="n"/>
      <c r="J272" s="14">
        <f>IF(OR(H272="",I272=""),"",H272*I272)</f>
        <v/>
      </c>
      <c r="K272" s="11" t="n"/>
      <c r="L272" s="9">
        <f>IF(B272="","",MONTH(B272))</f>
        <v/>
      </c>
      <c r="M272" s="9">
        <f>IF(B272="","",YEAR(B272))</f>
        <v/>
      </c>
    </row>
    <row r="273">
      <c r="A273" s="9">
        <f>IF(B273="","",ROW()-1)</f>
        <v/>
      </c>
      <c r="B273" s="10" t="n"/>
      <c r="C273" s="11" t="n"/>
      <c r="D273" s="11" t="n"/>
      <c r="E273" s="11" t="n"/>
      <c r="F273" s="11" t="n"/>
      <c r="G273" s="8" t="n"/>
      <c r="H273" s="12" t="n"/>
      <c r="I273" s="13" t="n"/>
      <c r="J273" s="14">
        <f>IF(OR(H273="",I273=""),"",H273*I273)</f>
        <v/>
      </c>
      <c r="K273" s="11" t="n"/>
      <c r="L273" s="9">
        <f>IF(B273="","",MONTH(B273))</f>
        <v/>
      </c>
      <c r="M273" s="9">
        <f>IF(B273="","",YEAR(B273))</f>
        <v/>
      </c>
    </row>
    <row r="274">
      <c r="A274" s="9">
        <f>IF(B274="","",ROW()-1)</f>
        <v/>
      </c>
      <c r="B274" s="10" t="n"/>
      <c r="C274" s="11" t="n"/>
      <c r="D274" s="11" t="n"/>
      <c r="E274" s="11" t="n"/>
      <c r="F274" s="11" t="n"/>
      <c r="G274" s="8" t="n"/>
      <c r="H274" s="12" t="n"/>
      <c r="I274" s="13" t="n"/>
      <c r="J274" s="14">
        <f>IF(OR(H274="",I274=""),"",H274*I274)</f>
        <v/>
      </c>
      <c r="K274" s="11" t="n"/>
      <c r="L274" s="9">
        <f>IF(B274="","",MONTH(B274))</f>
        <v/>
      </c>
      <c r="M274" s="9">
        <f>IF(B274="","",YEAR(B274))</f>
        <v/>
      </c>
    </row>
    <row r="275">
      <c r="A275" s="9">
        <f>IF(B275="","",ROW()-1)</f>
        <v/>
      </c>
      <c r="B275" s="10" t="n"/>
      <c r="C275" s="11" t="n"/>
      <c r="D275" s="11" t="n"/>
      <c r="E275" s="11" t="n"/>
      <c r="F275" s="11" t="n"/>
      <c r="G275" s="8" t="n"/>
      <c r="H275" s="12" t="n"/>
      <c r="I275" s="13" t="n"/>
      <c r="J275" s="14">
        <f>IF(OR(H275="",I275=""),"",H275*I275)</f>
        <v/>
      </c>
      <c r="K275" s="11" t="n"/>
      <c r="L275" s="9">
        <f>IF(B275="","",MONTH(B275))</f>
        <v/>
      </c>
      <c r="M275" s="9">
        <f>IF(B275="","",YEAR(B275))</f>
        <v/>
      </c>
    </row>
    <row r="276">
      <c r="A276" s="9">
        <f>IF(B276="","",ROW()-1)</f>
        <v/>
      </c>
      <c r="B276" s="10" t="n"/>
      <c r="C276" s="11" t="n"/>
      <c r="D276" s="11" t="n"/>
      <c r="E276" s="11" t="n"/>
      <c r="F276" s="11" t="n"/>
      <c r="G276" s="8" t="n"/>
      <c r="H276" s="12" t="n"/>
      <c r="I276" s="13" t="n"/>
      <c r="J276" s="14">
        <f>IF(OR(H276="",I276=""),"",H276*I276)</f>
        <v/>
      </c>
      <c r="K276" s="11" t="n"/>
      <c r="L276" s="9">
        <f>IF(B276="","",MONTH(B276))</f>
        <v/>
      </c>
      <c r="M276" s="9">
        <f>IF(B276="","",YEAR(B276))</f>
        <v/>
      </c>
    </row>
    <row r="277">
      <c r="A277" s="9">
        <f>IF(B277="","",ROW()-1)</f>
        <v/>
      </c>
      <c r="B277" s="10" t="n"/>
      <c r="C277" s="11" t="n"/>
      <c r="D277" s="11" t="n"/>
      <c r="E277" s="11" t="n"/>
      <c r="F277" s="11" t="n"/>
      <c r="G277" s="8" t="n"/>
      <c r="H277" s="12" t="n"/>
      <c r="I277" s="13" t="n"/>
      <c r="J277" s="14">
        <f>IF(OR(H277="",I277=""),"",H277*I277)</f>
        <v/>
      </c>
      <c r="K277" s="11" t="n"/>
      <c r="L277" s="9">
        <f>IF(B277="","",MONTH(B277))</f>
        <v/>
      </c>
      <c r="M277" s="9">
        <f>IF(B277="","",YEAR(B277))</f>
        <v/>
      </c>
    </row>
    <row r="278">
      <c r="A278" s="9">
        <f>IF(B278="","",ROW()-1)</f>
        <v/>
      </c>
      <c r="B278" s="10" t="n"/>
      <c r="C278" s="11" t="n"/>
      <c r="D278" s="11" t="n"/>
      <c r="E278" s="11" t="n"/>
      <c r="F278" s="11" t="n"/>
      <c r="G278" s="8" t="n"/>
      <c r="H278" s="12" t="n"/>
      <c r="I278" s="13" t="n"/>
      <c r="J278" s="14">
        <f>IF(OR(H278="",I278=""),"",H278*I278)</f>
        <v/>
      </c>
      <c r="K278" s="11" t="n"/>
      <c r="L278" s="9">
        <f>IF(B278="","",MONTH(B278))</f>
        <v/>
      </c>
      <c r="M278" s="9">
        <f>IF(B278="","",YEAR(B278))</f>
        <v/>
      </c>
    </row>
    <row r="279">
      <c r="A279" s="9">
        <f>IF(B279="","",ROW()-1)</f>
        <v/>
      </c>
      <c r="B279" s="10" t="n"/>
      <c r="C279" s="11" t="n"/>
      <c r="D279" s="11" t="n"/>
      <c r="E279" s="11" t="n"/>
      <c r="F279" s="11" t="n"/>
      <c r="G279" s="8" t="n"/>
      <c r="H279" s="12" t="n"/>
      <c r="I279" s="13" t="n"/>
      <c r="J279" s="14">
        <f>IF(OR(H279="",I279=""),"",H279*I279)</f>
        <v/>
      </c>
      <c r="K279" s="11" t="n"/>
      <c r="L279" s="9">
        <f>IF(B279="","",MONTH(B279))</f>
        <v/>
      </c>
      <c r="M279" s="9">
        <f>IF(B279="","",YEAR(B279))</f>
        <v/>
      </c>
    </row>
    <row r="280">
      <c r="A280" s="9">
        <f>IF(B280="","",ROW()-1)</f>
        <v/>
      </c>
      <c r="B280" s="10" t="n"/>
      <c r="C280" s="11" t="n"/>
      <c r="D280" s="11" t="n"/>
      <c r="E280" s="11" t="n"/>
      <c r="F280" s="11" t="n"/>
      <c r="G280" s="8" t="n"/>
      <c r="H280" s="12" t="n"/>
      <c r="I280" s="13" t="n"/>
      <c r="J280" s="14">
        <f>IF(OR(H280="",I280=""),"",H280*I280)</f>
        <v/>
      </c>
      <c r="K280" s="11" t="n"/>
      <c r="L280" s="9">
        <f>IF(B280="","",MONTH(B280))</f>
        <v/>
      </c>
      <c r="M280" s="9">
        <f>IF(B280="","",YEAR(B280))</f>
        <v/>
      </c>
    </row>
    <row r="281">
      <c r="A281" s="9">
        <f>IF(B281="","",ROW()-1)</f>
        <v/>
      </c>
      <c r="B281" s="10" t="n"/>
      <c r="C281" s="11" t="n"/>
      <c r="D281" s="11" t="n"/>
      <c r="E281" s="11" t="n"/>
      <c r="F281" s="11" t="n"/>
      <c r="G281" s="8" t="n"/>
      <c r="H281" s="12" t="n"/>
      <c r="I281" s="13" t="n"/>
      <c r="J281" s="14">
        <f>IF(OR(H281="",I281=""),"",H281*I281)</f>
        <v/>
      </c>
      <c r="K281" s="11" t="n"/>
      <c r="L281" s="9">
        <f>IF(B281="","",MONTH(B281))</f>
        <v/>
      </c>
      <c r="M281" s="9">
        <f>IF(B281="","",YEAR(B281))</f>
        <v/>
      </c>
    </row>
    <row r="282">
      <c r="A282" s="9">
        <f>IF(B282="","",ROW()-1)</f>
        <v/>
      </c>
      <c r="B282" s="10" t="n"/>
      <c r="C282" s="11" t="n"/>
      <c r="D282" s="11" t="n"/>
      <c r="E282" s="11" t="n"/>
      <c r="F282" s="11" t="n"/>
      <c r="G282" s="8" t="n"/>
      <c r="H282" s="12" t="n"/>
      <c r="I282" s="13" t="n"/>
      <c r="J282" s="14">
        <f>IF(OR(H282="",I282=""),"",H282*I282)</f>
        <v/>
      </c>
      <c r="K282" s="11" t="n"/>
      <c r="L282" s="9">
        <f>IF(B282="","",MONTH(B282))</f>
        <v/>
      </c>
      <c r="M282" s="9">
        <f>IF(B282="","",YEAR(B282))</f>
        <v/>
      </c>
    </row>
    <row r="283">
      <c r="A283" s="9">
        <f>IF(B283="","",ROW()-1)</f>
        <v/>
      </c>
      <c r="B283" s="10" t="n"/>
      <c r="C283" s="11" t="n"/>
      <c r="D283" s="11" t="n"/>
      <c r="E283" s="11" t="n"/>
      <c r="F283" s="11" t="n"/>
      <c r="G283" s="8" t="n"/>
      <c r="H283" s="12" t="n"/>
      <c r="I283" s="13" t="n"/>
      <c r="J283" s="14">
        <f>IF(OR(H283="",I283=""),"",H283*I283)</f>
        <v/>
      </c>
      <c r="K283" s="11" t="n"/>
      <c r="L283" s="9">
        <f>IF(B283="","",MONTH(B283))</f>
        <v/>
      </c>
      <c r="M283" s="9">
        <f>IF(B283="","",YEAR(B283))</f>
        <v/>
      </c>
    </row>
    <row r="284">
      <c r="A284" s="9">
        <f>IF(B284="","",ROW()-1)</f>
        <v/>
      </c>
      <c r="B284" s="10" t="n"/>
      <c r="C284" s="11" t="n"/>
      <c r="D284" s="11" t="n"/>
      <c r="E284" s="11" t="n"/>
      <c r="F284" s="11" t="n"/>
      <c r="G284" s="8" t="n"/>
      <c r="H284" s="12" t="n"/>
      <c r="I284" s="13" t="n"/>
      <c r="J284" s="14">
        <f>IF(OR(H284="",I284=""),"",H284*I284)</f>
        <v/>
      </c>
      <c r="K284" s="11" t="n"/>
      <c r="L284" s="9">
        <f>IF(B284="","",MONTH(B284))</f>
        <v/>
      </c>
      <c r="M284" s="9">
        <f>IF(B284="","",YEAR(B284))</f>
        <v/>
      </c>
    </row>
    <row r="285">
      <c r="A285" s="9">
        <f>IF(B285="","",ROW()-1)</f>
        <v/>
      </c>
      <c r="B285" s="10" t="n"/>
      <c r="C285" s="11" t="n"/>
      <c r="D285" s="11" t="n"/>
      <c r="E285" s="11" t="n"/>
      <c r="F285" s="11" t="n"/>
      <c r="G285" s="8" t="n"/>
      <c r="H285" s="12" t="n"/>
      <c r="I285" s="13" t="n"/>
      <c r="J285" s="14">
        <f>IF(OR(H285="",I285=""),"",H285*I285)</f>
        <v/>
      </c>
      <c r="K285" s="11" t="n"/>
      <c r="L285" s="9">
        <f>IF(B285="","",MONTH(B285))</f>
        <v/>
      </c>
      <c r="M285" s="9">
        <f>IF(B285="","",YEAR(B285))</f>
        <v/>
      </c>
    </row>
    <row r="286">
      <c r="A286" s="9">
        <f>IF(B286="","",ROW()-1)</f>
        <v/>
      </c>
      <c r="B286" s="10" t="n"/>
      <c r="C286" s="11" t="n"/>
      <c r="D286" s="11" t="n"/>
      <c r="E286" s="11" t="n"/>
      <c r="F286" s="11" t="n"/>
      <c r="G286" s="8" t="n"/>
      <c r="H286" s="12" t="n"/>
      <c r="I286" s="13" t="n"/>
      <c r="J286" s="14">
        <f>IF(OR(H286="",I286=""),"",H286*I286)</f>
        <v/>
      </c>
      <c r="K286" s="11" t="n"/>
      <c r="L286" s="9">
        <f>IF(B286="","",MONTH(B286))</f>
        <v/>
      </c>
      <c r="M286" s="9">
        <f>IF(B286="","",YEAR(B286))</f>
        <v/>
      </c>
    </row>
    <row r="287">
      <c r="A287" s="9">
        <f>IF(B287="","",ROW()-1)</f>
        <v/>
      </c>
      <c r="B287" s="10" t="n"/>
      <c r="C287" s="11" t="n"/>
      <c r="D287" s="11" t="n"/>
      <c r="E287" s="11" t="n"/>
      <c r="F287" s="11" t="n"/>
      <c r="G287" s="8" t="n"/>
      <c r="H287" s="12" t="n"/>
      <c r="I287" s="13" t="n"/>
      <c r="J287" s="14">
        <f>IF(OR(H287="",I287=""),"",H287*I287)</f>
        <v/>
      </c>
      <c r="K287" s="11" t="n"/>
      <c r="L287" s="9">
        <f>IF(B287="","",MONTH(B287))</f>
        <v/>
      </c>
      <c r="M287" s="9">
        <f>IF(B287="","",YEAR(B287))</f>
        <v/>
      </c>
    </row>
    <row r="288">
      <c r="A288" s="9">
        <f>IF(B288="","",ROW()-1)</f>
        <v/>
      </c>
      <c r="B288" s="10" t="n"/>
      <c r="C288" s="11" t="n"/>
      <c r="D288" s="11" t="n"/>
      <c r="E288" s="11" t="n"/>
      <c r="F288" s="11" t="n"/>
      <c r="G288" s="8" t="n"/>
      <c r="H288" s="12" t="n"/>
      <c r="I288" s="13" t="n"/>
      <c r="J288" s="14">
        <f>IF(OR(H288="",I288=""),"",H288*I288)</f>
        <v/>
      </c>
      <c r="K288" s="11" t="n"/>
      <c r="L288" s="9">
        <f>IF(B288="","",MONTH(B288))</f>
        <v/>
      </c>
      <c r="M288" s="9">
        <f>IF(B288="","",YEAR(B288))</f>
        <v/>
      </c>
    </row>
    <row r="289">
      <c r="A289" s="9">
        <f>IF(B289="","",ROW()-1)</f>
        <v/>
      </c>
      <c r="B289" s="10" t="n"/>
      <c r="C289" s="11" t="n"/>
      <c r="D289" s="11" t="n"/>
      <c r="E289" s="11" t="n"/>
      <c r="F289" s="11" t="n"/>
      <c r="G289" s="8" t="n"/>
      <c r="H289" s="12" t="n"/>
      <c r="I289" s="13" t="n"/>
      <c r="J289" s="14">
        <f>IF(OR(H289="",I289=""),"",H289*I289)</f>
        <v/>
      </c>
      <c r="K289" s="11" t="n"/>
      <c r="L289" s="9">
        <f>IF(B289="","",MONTH(B289))</f>
        <v/>
      </c>
      <c r="M289" s="9">
        <f>IF(B289="","",YEAR(B289))</f>
        <v/>
      </c>
    </row>
    <row r="290">
      <c r="A290" s="9">
        <f>IF(B290="","",ROW()-1)</f>
        <v/>
      </c>
      <c r="B290" s="10" t="n"/>
      <c r="C290" s="11" t="n"/>
      <c r="D290" s="11" t="n"/>
      <c r="E290" s="11" t="n"/>
      <c r="F290" s="11" t="n"/>
      <c r="G290" s="8" t="n"/>
      <c r="H290" s="12" t="n"/>
      <c r="I290" s="13" t="n"/>
      <c r="J290" s="14">
        <f>IF(OR(H290="",I290=""),"",H290*I290)</f>
        <v/>
      </c>
      <c r="K290" s="11" t="n"/>
      <c r="L290" s="9">
        <f>IF(B290="","",MONTH(B290))</f>
        <v/>
      </c>
      <c r="M290" s="9">
        <f>IF(B290="","",YEAR(B290))</f>
        <v/>
      </c>
    </row>
    <row r="291">
      <c r="A291" s="9">
        <f>IF(B291="","",ROW()-1)</f>
        <v/>
      </c>
      <c r="B291" s="10" t="n"/>
      <c r="C291" s="11" t="n"/>
      <c r="D291" s="11" t="n"/>
      <c r="E291" s="11" t="n"/>
      <c r="F291" s="11" t="n"/>
      <c r="G291" s="8" t="n"/>
      <c r="H291" s="12" t="n"/>
      <c r="I291" s="13" t="n"/>
      <c r="J291" s="14">
        <f>IF(OR(H291="",I291=""),"",H291*I291)</f>
        <v/>
      </c>
      <c r="K291" s="11" t="n"/>
      <c r="L291" s="9">
        <f>IF(B291="","",MONTH(B291))</f>
        <v/>
      </c>
      <c r="M291" s="9">
        <f>IF(B291="","",YEAR(B291))</f>
        <v/>
      </c>
    </row>
    <row r="292">
      <c r="A292" s="9">
        <f>IF(B292="","",ROW()-1)</f>
        <v/>
      </c>
      <c r="B292" s="10" t="n"/>
      <c r="C292" s="11" t="n"/>
      <c r="D292" s="11" t="n"/>
      <c r="E292" s="11" t="n"/>
      <c r="F292" s="11" t="n"/>
      <c r="G292" s="8" t="n"/>
      <c r="H292" s="12" t="n"/>
      <c r="I292" s="13" t="n"/>
      <c r="J292" s="14">
        <f>IF(OR(H292="",I292=""),"",H292*I292)</f>
        <v/>
      </c>
      <c r="K292" s="11" t="n"/>
      <c r="L292" s="9">
        <f>IF(B292="","",MONTH(B292))</f>
        <v/>
      </c>
      <c r="M292" s="9">
        <f>IF(B292="","",YEAR(B292))</f>
        <v/>
      </c>
    </row>
    <row r="293">
      <c r="A293" s="9">
        <f>IF(B293="","",ROW()-1)</f>
        <v/>
      </c>
      <c r="B293" s="10" t="n"/>
      <c r="C293" s="11" t="n"/>
      <c r="D293" s="11" t="n"/>
      <c r="E293" s="11" t="n"/>
      <c r="F293" s="11" t="n"/>
      <c r="G293" s="8" t="n"/>
      <c r="H293" s="12" t="n"/>
      <c r="I293" s="13" t="n"/>
      <c r="J293" s="14">
        <f>IF(OR(H293="",I293=""),"",H293*I293)</f>
        <v/>
      </c>
      <c r="K293" s="11" t="n"/>
      <c r="L293" s="9">
        <f>IF(B293="","",MONTH(B293))</f>
        <v/>
      </c>
      <c r="M293" s="9">
        <f>IF(B293="","",YEAR(B293))</f>
        <v/>
      </c>
    </row>
    <row r="294">
      <c r="A294" s="9">
        <f>IF(B294="","",ROW()-1)</f>
        <v/>
      </c>
      <c r="B294" s="10" t="n"/>
      <c r="C294" s="11" t="n"/>
      <c r="D294" s="11" t="n"/>
      <c r="E294" s="11" t="n"/>
      <c r="F294" s="11" t="n"/>
      <c r="G294" s="8" t="n"/>
      <c r="H294" s="12" t="n"/>
      <c r="I294" s="13" t="n"/>
      <c r="J294" s="14">
        <f>IF(OR(H294="",I294=""),"",H294*I294)</f>
        <v/>
      </c>
      <c r="K294" s="11" t="n"/>
      <c r="L294" s="9">
        <f>IF(B294="","",MONTH(B294))</f>
        <v/>
      </c>
      <c r="M294" s="9">
        <f>IF(B294="","",YEAR(B294))</f>
        <v/>
      </c>
    </row>
    <row r="295">
      <c r="A295" s="9">
        <f>IF(B295="","",ROW()-1)</f>
        <v/>
      </c>
      <c r="B295" s="10" t="n"/>
      <c r="C295" s="11" t="n"/>
      <c r="D295" s="11" t="n"/>
      <c r="E295" s="11" t="n"/>
      <c r="F295" s="11" t="n"/>
      <c r="G295" s="8" t="n"/>
      <c r="H295" s="12" t="n"/>
      <c r="I295" s="13" t="n"/>
      <c r="J295" s="14">
        <f>IF(OR(H295="",I295=""),"",H295*I295)</f>
        <v/>
      </c>
      <c r="K295" s="11" t="n"/>
      <c r="L295" s="9">
        <f>IF(B295="","",MONTH(B295))</f>
        <v/>
      </c>
      <c r="M295" s="9">
        <f>IF(B295="","",YEAR(B295))</f>
        <v/>
      </c>
    </row>
    <row r="296">
      <c r="A296" s="9">
        <f>IF(B296="","",ROW()-1)</f>
        <v/>
      </c>
      <c r="B296" s="10" t="n"/>
      <c r="C296" s="11" t="n"/>
      <c r="D296" s="11" t="n"/>
      <c r="E296" s="11" t="n"/>
      <c r="F296" s="11" t="n"/>
      <c r="G296" s="8" t="n"/>
      <c r="H296" s="12" t="n"/>
      <c r="I296" s="13" t="n"/>
      <c r="J296" s="14">
        <f>IF(OR(H296="",I296=""),"",H296*I296)</f>
        <v/>
      </c>
      <c r="K296" s="11" t="n"/>
      <c r="L296" s="9">
        <f>IF(B296="","",MONTH(B296))</f>
        <v/>
      </c>
      <c r="M296" s="9">
        <f>IF(B296="","",YEAR(B296))</f>
        <v/>
      </c>
    </row>
    <row r="297">
      <c r="A297" s="9">
        <f>IF(B297="","",ROW()-1)</f>
        <v/>
      </c>
      <c r="B297" s="10" t="n"/>
      <c r="C297" s="11" t="n"/>
      <c r="D297" s="11" t="n"/>
      <c r="E297" s="11" t="n"/>
      <c r="F297" s="11" t="n"/>
      <c r="G297" s="8" t="n"/>
      <c r="H297" s="12" t="n"/>
      <c r="I297" s="13" t="n"/>
      <c r="J297" s="14">
        <f>IF(OR(H297="",I297=""),"",H297*I297)</f>
        <v/>
      </c>
      <c r="K297" s="11" t="n"/>
      <c r="L297" s="9">
        <f>IF(B297="","",MONTH(B297))</f>
        <v/>
      </c>
      <c r="M297" s="9">
        <f>IF(B297="","",YEAR(B297))</f>
        <v/>
      </c>
    </row>
    <row r="298">
      <c r="A298" s="9">
        <f>IF(B298="","",ROW()-1)</f>
        <v/>
      </c>
      <c r="B298" s="10" t="n"/>
      <c r="C298" s="11" t="n"/>
      <c r="D298" s="11" t="n"/>
      <c r="E298" s="11" t="n"/>
      <c r="F298" s="11" t="n"/>
      <c r="G298" s="8" t="n"/>
      <c r="H298" s="12" t="n"/>
      <c r="I298" s="13" t="n"/>
      <c r="J298" s="14">
        <f>IF(OR(H298="",I298=""),"",H298*I298)</f>
        <v/>
      </c>
      <c r="K298" s="11" t="n"/>
      <c r="L298" s="9">
        <f>IF(B298="","",MONTH(B298))</f>
        <v/>
      </c>
      <c r="M298" s="9">
        <f>IF(B298="","",YEAR(B298))</f>
        <v/>
      </c>
    </row>
    <row r="299">
      <c r="A299" s="9">
        <f>IF(B299="","",ROW()-1)</f>
        <v/>
      </c>
      <c r="B299" s="10" t="n"/>
      <c r="C299" s="11" t="n"/>
      <c r="D299" s="11" t="n"/>
      <c r="E299" s="11" t="n"/>
      <c r="F299" s="11" t="n"/>
      <c r="G299" s="8" t="n"/>
      <c r="H299" s="12" t="n"/>
      <c r="I299" s="13" t="n"/>
      <c r="J299" s="14">
        <f>IF(OR(H299="",I299=""),"",H299*I299)</f>
        <v/>
      </c>
      <c r="K299" s="11" t="n"/>
      <c r="L299" s="9">
        <f>IF(B299="","",MONTH(B299))</f>
        <v/>
      </c>
      <c r="M299" s="9">
        <f>IF(B299="","",YEAR(B299))</f>
        <v/>
      </c>
    </row>
    <row r="300">
      <c r="A300" s="9">
        <f>IF(B300="","",ROW()-1)</f>
        <v/>
      </c>
      <c r="B300" s="10" t="n"/>
      <c r="C300" s="11" t="n"/>
      <c r="D300" s="11" t="n"/>
      <c r="E300" s="11" t="n"/>
      <c r="F300" s="11" t="n"/>
      <c r="G300" s="8" t="n"/>
      <c r="H300" s="12" t="n"/>
      <c r="I300" s="13" t="n"/>
      <c r="J300" s="14">
        <f>IF(OR(H300="",I300=""),"",H300*I300)</f>
        <v/>
      </c>
      <c r="K300" s="11" t="n"/>
      <c r="L300" s="9">
        <f>IF(B300="","",MONTH(B300))</f>
        <v/>
      </c>
      <c r="M300" s="9">
        <f>IF(B300="","",YEAR(B300))</f>
        <v/>
      </c>
    </row>
    <row r="301">
      <c r="A301" s="9">
        <f>IF(B301="","",ROW()-1)</f>
        <v/>
      </c>
      <c r="B301" s="10" t="n"/>
      <c r="C301" s="11" t="n"/>
      <c r="D301" s="11" t="n"/>
      <c r="E301" s="11" t="n"/>
      <c r="F301" s="11" t="n"/>
      <c r="G301" s="8" t="n"/>
      <c r="H301" s="12" t="n"/>
      <c r="I301" s="13" t="n"/>
      <c r="J301" s="14">
        <f>IF(OR(H301="",I301=""),"",H301*I301)</f>
        <v/>
      </c>
      <c r="K301" s="11" t="n"/>
      <c r="L301" s="9">
        <f>IF(B301="","",MONTH(B301))</f>
        <v/>
      </c>
      <c r="M301" s="9">
        <f>IF(B301="","",YEAR(B301))</f>
        <v/>
      </c>
    </row>
    <row r="302">
      <c r="A302" s="9">
        <f>IF(B302="","",ROW()-1)</f>
        <v/>
      </c>
      <c r="B302" s="10" t="n"/>
      <c r="C302" s="11" t="n"/>
      <c r="D302" s="11" t="n"/>
      <c r="E302" s="11" t="n"/>
      <c r="F302" s="11" t="n"/>
      <c r="G302" s="8" t="n"/>
      <c r="H302" s="12" t="n"/>
      <c r="I302" s="13" t="n"/>
      <c r="J302" s="14">
        <f>IF(OR(H302="",I302=""),"",H302*I302)</f>
        <v/>
      </c>
      <c r="K302" s="11" t="n"/>
      <c r="L302" s="9">
        <f>IF(B302="","",MONTH(B302))</f>
        <v/>
      </c>
      <c r="M302" s="9">
        <f>IF(B302="","",YEAR(B302))</f>
        <v/>
      </c>
    </row>
    <row r="303">
      <c r="A303" s="9">
        <f>IF(B303="","",ROW()-1)</f>
        <v/>
      </c>
      <c r="B303" s="10" t="n"/>
      <c r="C303" s="11" t="n"/>
      <c r="D303" s="11" t="n"/>
      <c r="E303" s="11" t="n"/>
      <c r="F303" s="11" t="n"/>
      <c r="G303" s="8" t="n"/>
      <c r="H303" s="12" t="n"/>
      <c r="I303" s="13" t="n"/>
      <c r="J303" s="14">
        <f>IF(OR(H303="",I303=""),"",H303*I303)</f>
        <v/>
      </c>
      <c r="K303" s="11" t="n"/>
      <c r="L303" s="9">
        <f>IF(B303="","",MONTH(B303))</f>
        <v/>
      </c>
      <c r="M303" s="9">
        <f>IF(B303="","",YEAR(B303))</f>
        <v/>
      </c>
    </row>
    <row r="304">
      <c r="A304" s="9">
        <f>IF(B304="","",ROW()-1)</f>
        <v/>
      </c>
      <c r="B304" s="10" t="n"/>
      <c r="C304" s="11" t="n"/>
      <c r="D304" s="11" t="n"/>
      <c r="E304" s="11" t="n"/>
      <c r="F304" s="11" t="n"/>
      <c r="G304" s="8" t="n"/>
      <c r="H304" s="12" t="n"/>
      <c r="I304" s="13" t="n"/>
      <c r="J304" s="14">
        <f>IF(OR(H304="",I304=""),"",H304*I304)</f>
        <v/>
      </c>
      <c r="K304" s="11" t="n"/>
      <c r="L304" s="9">
        <f>IF(B304="","",MONTH(B304))</f>
        <v/>
      </c>
      <c r="M304" s="9">
        <f>IF(B304="","",YEAR(B304))</f>
        <v/>
      </c>
    </row>
    <row r="305">
      <c r="A305" s="9">
        <f>IF(B305="","",ROW()-1)</f>
        <v/>
      </c>
      <c r="B305" s="10" t="n"/>
      <c r="C305" s="11" t="n"/>
      <c r="D305" s="11" t="n"/>
      <c r="E305" s="11" t="n"/>
      <c r="F305" s="11" t="n"/>
      <c r="G305" s="8" t="n"/>
      <c r="H305" s="12" t="n"/>
      <c r="I305" s="13" t="n"/>
      <c r="J305" s="14">
        <f>IF(OR(H305="",I305=""),"",H305*I305)</f>
        <v/>
      </c>
      <c r="K305" s="11" t="n"/>
      <c r="L305" s="9">
        <f>IF(B305="","",MONTH(B305))</f>
        <v/>
      </c>
      <c r="M305" s="9">
        <f>IF(B305="","",YEAR(B305))</f>
        <v/>
      </c>
    </row>
    <row r="306">
      <c r="A306" s="9">
        <f>IF(B306="","",ROW()-1)</f>
        <v/>
      </c>
      <c r="B306" s="10" t="n"/>
      <c r="C306" s="11" t="n"/>
      <c r="D306" s="11" t="n"/>
      <c r="E306" s="11" t="n"/>
      <c r="F306" s="11" t="n"/>
      <c r="G306" s="8" t="n"/>
      <c r="H306" s="12" t="n"/>
      <c r="I306" s="13" t="n"/>
      <c r="J306" s="14">
        <f>IF(OR(H306="",I306=""),"",H306*I306)</f>
        <v/>
      </c>
      <c r="K306" s="11" t="n"/>
      <c r="L306" s="9">
        <f>IF(B306="","",MONTH(B306))</f>
        <v/>
      </c>
      <c r="M306" s="9">
        <f>IF(B306="","",YEAR(B306))</f>
        <v/>
      </c>
    </row>
    <row r="307">
      <c r="A307" s="9">
        <f>IF(B307="","",ROW()-1)</f>
        <v/>
      </c>
      <c r="B307" s="10" t="n"/>
      <c r="C307" s="11" t="n"/>
      <c r="D307" s="11" t="n"/>
      <c r="E307" s="11" t="n"/>
      <c r="F307" s="11" t="n"/>
      <c r="G307" s="8" t="n"/>
      <c r="H307" s="12" t="n"/>
      <c r="I307" s="13" t="n"/>
      <c r="J307" s="14">
        <f>IF(OR(H307="",I307=""),"",H307*I307)</f>
        <v/>
      </c>
      <c r="K307" s="11" t="n"/>
      <c r="L307" s="9">
        <f>IF(B307="","",MONTH(B307))</f>
        <v/>
      </c>
      <c r="M307" s="9">
        <f>IF(B307="","",YEAR(B307))</f>
        <v/>
      </c>
    </row>
    <row r="308">
      <c r="A308" s="9">
        <f>IF(B308="","",ROW()-1)</f>
        <v/>
      </c>
      <c r="B308" s="10" t="n"/>
      <c r="C308" s="11" t="n"/>
      <c r="D308" s="11" t="n"/>
      <c r="E308" s="11" t="n"/>
      <c r="F308" s="11" t="n"/>
      <c r="G308" s="8" t="n"/>
      <c r="H308" s="12" t="n"/>
      <c r="I308" s="13" t="n"/>
      <c r="J308" s="14">
        <f>IF(OR(H308="",I308=""),"",H308*I308)</f>
        <v/>
      </c>
      <c r="K308" s="11" t="n"/>
      <c r="L308" s="9">
        <f>IF(B308="","",MONTH(B308))</f>
        <v/>
      </c>
      <c r="M308" s="9">
        <f>IF(B308="","",YEAR(B308))</f>
        <v/>
      </c>
    </row>
    <row r="309">
      <c r="A309" s="9">
        <f>IF(B309="","",ROW()-1)</f>
        <v/>
      </c>
      <c r="B309" s="10" t="n"/>
      <c r="C309" s="11" t="n"/>
      <c r="D309" s="11" t="n"/>
      <c r="E309" s="11" t="n"/>
      <c r="F309" s="11" t="n"/>
      <c r="G309" s="8" t="n"/>
      <c r="H309" s="12" t="n"/>
      <c r="I309" s="13" t="n"/>
      <c r="J309" s="14">
        <f>IF(OR(H309="",I309=""),"",H309*I309)</f>
        <v/>
      </c>
      <c r="K309" s="11" t="n"/>
      <c r="L309" s="9">
        <f>IF(B309="","",MONTH(B309))</f>
        <v/>
      </c>
      <c r="M309" s="9">
        <f>IF(B309="","",YEAR(B309))</f>
        <v/>
      </c>
    </row>
    <row r="310">
      <c r="A310" s="9">
        <f>IF(B310="","",ROW()-1)</f>
        <v/>
      </c>
      <c r="B310" s="10" t="n"/>
      <c r="C310" s="11" t="n"/>
      <c r="D310" s="11" t="n"/>
      <c r="E310" s="11" t="n"/>
      <c r="F310" s="11" t="n"/>
      <c r="G310" s="8" t="n"/>
      <c r="H310" s="12" t="n"/>
      <c r="I310" s="13" t="n"/>
      <c r="J310" s="14">
        <f>IF(OR(H310="",I310=""),"",H310*I310)</f>
        <v/>
      </c>
      <c r="K310" s="11" t="n"/>
      <c r="L310" s="9">
        <f>IF(B310="","",MONTH(B310))</f>
        <v/>
      </c>
      <c r="M310" s="9">
        <f>IF(B310="","",YEAR(B310))</f>
        <v/>
      </c>
    </row>
    <row r="311">
      <c r="A311" s="9">
        <f>IF(B311="","",ROW()-1)</f>
        <v/>
      </c>
      <c r="B311" s="10" t="n"/>
      <c r="C311" s="11" t="n"/>
      <c r="D311" s="11" t="n"/>
      <c r="E311" s="11" t="n"/>
      <c r="F311" s="11" t="n"/>
      <c r="G311" s="8" t="n"/>
      <c r="H311" s="12" t="n"/>
      <c r="I311" s="13" t="n"/>
      <c r="J311" s="14">
        <f>IF(OR(H311="",I311=""),"",H311*I311)</f>
        <v/>
      </c>
      <c r="K311" s="11" t="n"/>
      <c r="L311" s="9">
        <f>IF(B311="","",MONTH(B311))</f>
        <v/>
      </c>
      <c r="M311" s="9">
        <f>IF(B311="","",YEAR(B311))</f>
        <v/>
      </c>
    </row>
    <row r="312">
      <c r="A312" s="9">
        <f>IF(B312="","",ROW()-1)</f>
        <v/>
      </c>
      <c r="B312" s="10" t="n"/>
      <c r="C312" s="11" t="n"/>
      <c r="D312" s="11" t="n"/>
      <c r="E312" s="11" t="n"/>
      <c r="F312" s="11" t="n"/>
      <c r="G312" s="8" t="n"/>
      <c r="H312" s="12" t="n"/>
      <c r="I312" s="13" t="n"/>
      <c r="J312" s="14">
        <f>IF(OR(H312="",I312=""),"",H312*I312)</f>
        <v/>
      </c>
      <c r="K312" s="11" t="n"/>
      <c r="L312" s="9">
        <f>IF(B312="","",MONTH(B312))</f>
        <v/>
      </c>
      <c r="M312" s="9">
        <f>IF(B312="","",YEAR(B312))</f>
        <v/>
      </c>
    </row>
    <row r="313">
      <c r="A313" s="9">
        <f>IF(B313="","",ROW()-1)</f>
        <v/>
      </c>
      <c r="B313" s="10" t="n"/>
      <c r="C313" s="11" t="n"/>
      <c r="D313" s="11" t="n"/>
      <c r="E313" s="11" t="n"/>
      <c r="F313" s="11" t="n"/>
      <c r="G313" s="8" t="n"/>
      <c r="H313" s="12" t="n"/>
      <c r="I313" s="13" t="n"/>
      <c r="J313" s="14">
        <f>IF(OR(H313="",I313=""),"",H313*I313)</f>
        <v/>
      </c>
      <c r="K313" s="11" t="n"/>
      <c r="L313" s="9">
        <f>IF(B313="","",MONTH(B313))</f>
        <v/>
      </c>
      <c r="M313" s="9">
        <f>IF(B313="","",YEAR(B313))</f>
        <v/>
      </c>
    </row>
    <row r="314">
      <c r="A314" s="9">
        <f>IF(B314="","",ROW()-1)</f>
        <v/>
      </c>
      <c r="B314" s="10" t="n"/>
      <c r="C314" s="11" t="n"/>
      <c r="D314" s="11" t="n"/>
      <c r="E314" s="11" t="n"/>
      <c r="F314" s="11" t="n"/>
      <c r="G314" s="8" t="n"/>
      <c r="H314" s="12" t="n"/>
      <c r="I314" s="13" t="n"/>
      <c r="J314" s="14">
        <f>IF(OR(H314="",I314=""),"",H314*I314)</f>
        <v/>
      </c>
      <c r="K314" s="11" t="n"/>
      <c r="L314" s="9">
        <f>IF(B314="","",MONTH(B314))</f>
        <v/>
      </c>
      <c r="M314" s="9">
        <f>IF(B314="","",YEAR(B314))</f>
        <v/>
      </c>
    </row>
    <row r="315">
      <c r="A315" s="9">
        <f>IF(B315="","",ROW()-1)</f>
        <v/>
      </c>
      <c r="B315" s="10" t="n"/>
      <c r="C315" s="11" t="n"/>
      <c r="D315" s="11" t="n"/>
      <c r="E315" s="11" t="n"/>
      <c r="F315" s="11" t="n"/>
      <c r="G315" s="8" t="n"/>
      <c r="H315" s="12" t="n"/>
      <c r="I315" s="13" t="n"/>
      <c r="J315" s="14">
        <f>IF(OR(H315="",I315=""),"",H315*I315)</f>
        <v/>
      </c>
      <c r="K315" s="11" t="n"/>
      <c r="L315" s="9">
        <f>IF(B315="","",MONTH(B315))</f>
        <v/>
      </c>
      <c r="M315" s="9">
        <f>IF(B315="","",YEAR(B315))</f>
        <v/>
      </c>
    </row>
    <row r="316">
      <c r="A316" s="9">
        <f>IF(B316="","",ROW()-1)</f>
        <v/>
      </c>
      <c r="B316" s="10" t="n"/>
      <c r="C316" s="11" t="n"/>
      <c r="D316" s="11" t="n"/>
      <c r="E316" s="11" t="n"/>
      <c r="F316" s="11" t="n"/>
      <c r="G316" s="8" t="n"/>
      <c r="H316" s="12" t="n"/>
      <c r="I316" s="13" t="n"/>
      <c r="J316" s="14">
        <f>IF(OR(H316="",I316=""),"",H316*I316)</f>
        <v/>
      </c>
      <c r="K316" s="11" t="n"/>
      <c r="L316" s="9">
        <f>IF(B316="","",MONTH(B316))</f>
        <v/>
      </c>
      <c r="M316" s="9">
        <f>IF(B316="","",YEAR(B316))</f>
        <v/>
      </c>
    </row>
    <row r="317">
      <c r="A317" s="9">
        <f>IF(B317="","",ROW()-1)</f>
        <v/>
      </c>
      <c r="B317" s="10" t="n"/>
      <c r="C317" s="11" t="n"/>
      <c r="D317" s="11" t="n"/>
      <c r="E317" s="11" t="n"/>
      <c r="F317" s="11" t="n"/>
      <c r="G317" s="8" t="n"/>
      <c r="H317" s="12" t="n"/>
      <c r="I317" s="13" t="n"/>
      <c r="J317" s="14">
        <f>IF(OR(H317="",I317=""),"",H317*I317)</f>
        <v/>
      </c>
      <c r="K317" s="11" t="n"/>
      <c r="L317" s="9">
        <f>IF(B317="","",MONTH(B317))</f>
        <v/>
      </c>
      <c r="M317" s="9">
        <f>IF(B317="","",YEAR(B317))</f>
        <v/>
      </c>
    </row>
    <row r="318">
      <c r="A318" s="9">
        <f>IF(B318="","",ROW()-1)</f>
        <v/>
      </c>
      <c r="B318" s="10" t="n"/>
      <c r="C318" s="11" t="n"/>
      <c r="D318" s="11" t="n"/>
      <c r="E318" s="11" t="n"/>
      <c r="F318" s="11" t="n"/>
      <c r="G318" s="8" t="n"/>
      <c r="H318" s="12" t="n"/>
      <c r="I318" s="13" t="n"/>
      <c r="J318" s="14">
        <f>IF(OR(H318="",I318=""),"",H318*I318)</f>
        <v/>
      </c>
      <c r="K318" s="11" t="n"/>
      <c r="L318" s="9">
        <f>IF(B318="","",MONTH(B318))</f>
        <v/>
      </c>
      <c r="M318" s="9">
        <f>IF(B318="","",YEAR(B318))</f>
        <v/>
      </c>
    </row>
    <row r="319">
      <c r="A319" s="9">
        <f>IF(B319="","",ROW()-1)</f>
        <v/>
      </c>
      <c r="B319" s="10" t="n"/>
      <c r="C319" s="11" t="n"/>
      <c r="D319" s="11" t="n"/>
      <c r="E319" s="11" t="n"/>
      <c r="F319" s="11" t="n"/>
      <c r="G319" s="8" t="n"/>
      <c r="H319" s="12" t="n"/>
      <c r="I319" s="13" t="n"/>
      <c r="J319" s="14">
        <f>IF(OR(H319="",I319=""),"",H319*I319)</f>
        <v/>
      </c>
      <c r="K319" s="11" t="n"/>
      <c r="L319" s="9">
        <f>IF(B319="","",MONTH(B319))</f>
        <v/>
      </c>
      <c r="M319" s="9">
        <f>IF(B319="","",YEAR(B319))</f>
        <v/>
      </c>
    </row>
    <row r="320">
      <c r="A320" s="9">
        <f>IF(B320="","",ROW()-1)</f>
        <v/>
      </c>
      <c r="B320" s="10" t="n"/>
      <c r="C320" s="11" t="n"/>
      <c r="D320" s="11" t="n"/>
      <c r="E320" s="11" t="n"/>
      <c r="F320" s="11" t="n"/>
      <c r="G320" s="8" t="n"/>
      <c r="H320" s="12" t="n"/>
      <c r="I320" s="13" t="n"/>
      <c r="J320" s="14">
        <f>IF(OR(H320="",I320=""),"",H320*I320)</f>
        <v/>
      </c>
      <c r="K320" s="11" t="n"/>
      <c r="L320" s="9">
        <f>IF(B320="","",MONTH(B320))</f>
        <v/>
      </c>
      <c r="M320" s="9">
        <f>IF(B320="","",YEAR(B320))</f>
        <v/>
      </c>
    </row>
    <row r="321">
      <c r="A321" s="9">
        <f>IF(B321="","",ROW()-1)</f>
        <v/>
      </c>
      <c r="B321" s="10" t="n"/>
      <c r="C321" s="11" t="n"/>
      <c r="D321" s="11" t="n"/>
      <c r="E321" s="11" t="n"/>
      <c r="F321" s="11" t="n"/>
      <c r="G321" s="8" t="n"/>
      <c r="H321" s="12" t="n"/>
      <c r="I321" s="13" t="n"/>
      <c r="J321" s="14">
        <f>IF(OR(H321="",I321=""),"",H321*I321)</f>
        <v/>
      </c>
      <c r="K321" s="11" t="n"/>
      <c r="L321" s="9">
        <f>IF(B321="","",MONTH(B321))</f>
        <v/>
      </c>
      <c r="M321" s="9">
        <f>IF(B321="","",YEAR(B321))</f>
        <v/>
      </c>
    </row>
    <row r="322">
      <c r="A322" s="9">
        <f>IF(B322="","",ROW()-1)</f>
        <v/>
      </c>
      <c r="B322" s="10" t="n"/>
      <c r="C322" s="11" t="n"/>
      <c r="D322" s="11" t="n"/>
      <c r="E322" s="11" t="n"/>
      <c r="F322" s="11" t="n"/>
      <c r="G322" s="8" t="n"/>
      <c r="H322" s="12" t="n"/>
      <c r="I322" s="13" t="n"/>
      <c r="J322" s="14">
        <f>IF(OR(H322="",I322=""),"",H322*I322)</f>
        <v/>
      </c>
      <c r="K322" s="11" t="n"/>
      <c r="L322" s="9">
        <f>IF(B322="","",MONTH(B322))</f>
        <v/>
      </c>
      <c r="M322" s="9">
        <f>IF(B322="","",YEAR(B322))</f>
        <v/>
      </c>
    </row>
    <row r="323">
      <c r="A323" s="9">
        <f>IF(B323="","",ROW()-1)</f>
        <v/>
      </c>
      <c r="B323" s="10" t="n"/>
      <c r="C323" s="11" t="n"/>
      <c r="D323" s="11" t="n"/>
      <c r="E323" s="11" t="n"/>
      <c r="F323" s="11" t="n"/>
      <c r="G323" s="8" t="n"/>
      <c r="H323" s="12" t="n"/>
      <c r="I323" s="13" t="n"/>
      <c r="J323" s="14">
        <f>IF(OR(H323="",I323=""),"",H323*I323)</f>
        <v/>
      </c>
      <c r="K323" s="11" t="n"/>
      <c r="L323" s="9">
        <f>IF(B323="","",MONTH(B323))</f>
        <v/>
      </c>
      <c r="M323" s="9">
        <f>IF(B323="","",YEAR(B323))</f>
        <v/>
      </c>
    </row>
    <row r="324">
      <c r="A324" s="9">
        <f>IF(B324="","",ROW()-1)</f>
        <v/>
      </c>
      <c r="B324" s="10" t="n"/>
      <c r="C324" s="11" t="n"/>
      <c r="D324" s="11" t="n"/>
      <c r="E324" s="11" t="n"/>
      <c r="F324" s="11" t="n"/>
      <c r="G324" s="8" t="n"/>
      <c r="H324" s="12" t="n"/>
      <c r="I324" s="13" t="n"/>
      <c r="J324" s="14">
        <f>IF(OR(H324="",I324=""),"",H324*I324)</f>
        <v/>
      </c>
      <c r="K324" s="11" t="n"/>
      <c r="L324" s="9">
        <f>IF(B324="","",MONTH(B324))</f>
        <v/>
      </c>
      <c r="M324" s="9">
        <f>IF(B324="","",YEAR(B324))</f>
        <v/>
      </c>
    </row>
    <row r="325">
      <c r="A325" s="9">
        <f>IF(B325="","",ROW()-1)</f>
        <v/>
      </c>
      <c r="B325" s="10" t="n"/>
      <c r="C325" s="11" t="n"/>
      <c r="D325" s="11" t="n"/>
      <c r="E325" s="11" t="n"/>
      <c r="F325" s="11" t="n"/>
      <c r="G325" s="8" t="n"/>
      <c r="H325" s="12" t="n"/>
      <c r="I325" s="13" t="n"/>
      <c r="J325" s="14">
        <f>IF(OR(H325="",I325=""),"",H325*I325)</f>
        <v/>
      </c>
      <c r="K325" s="11" t="n"/>
      <c r="L325" s="9">
        <f>IF(B325="","",MONTH(B325))</f>
        <v/>
      </c>
      <c r="M325" s="9">
        <f>IF(B325="","",YEAR(B325))</f>
        <v/>
      </c>
    </row>
    <row r="326">
      <c r="A326" s="9">
        <f>IF(B326="","",ROW()-1)</f>
        <v/>
      </c>
      <c r="B326" s="10" t="n"/>
      <c r="C326" s="11" t="n"/>
      <c r="D326" s="11" t="n"/>
      <c r="E326" s="11" t="n"/>
      <c r="F326" s="11" t="n"/>
      <c r="G326" s="8" t="n"/>
      <c r="H326" s="12" t="n"/>
      <c r="I326" s="13" t="n"/>
      <c r="J326" s="14">
        <f>IF(OR(H326="",I326=""),"",H326*I326)</f>
        <v/>
      </c>
      <c r="K326" s="11" t="n"/>
      <c r="L326" s="9">
        <f>IF(B326="","",MONTH(B326))</f>
        <v/>
      </c>
      <c r="M326" s="9">
        <f>IF(B326="","",YEAR(B326))</f>
        <v/>
      </c>
    </row>
    <row r="327">
      <c r="A327" s="9">
        <f>IF(B327="","",ROW()-1)</f>
        <v/>
      </c>
      <c r="B327" s="10" t="n"/>
      <c r="C327" s="11" t="n"/>
      <c r="D327" s="11" t="n"/>
      <c r="E327" s="11" t="n"/>
      <c r="F327" s="11" t="n"/>
      <c r="G327" s="8" t="n"/>
      <c r="H327" s="12" t="n"/>
      <c r="I327" s="13" t="n"/>
      <c r="J327" s="14">
        <f>IF(OR(H327="",I327=""),"",H327*I327)</f>
        <v/>
      </c>
      <c r="K327" s="11" t="n"/>
      <c r="L327" s="9">
        <f>IF(B327="","",MONTH(B327))</f>
        <v/>
      </c>
      <c r="M327" s="9">
        <f>IF(B327="","",YEAR(B327))</f>
        <v/>
      </c>
    </row>
    <row r="328">
      <c r="A328" s="9">
        <f>IF(B328="","",ROW()-1)</f>
        <v/>
      </c>
      <c r="B328" s="10" t="n"/>
      <c r="C328" s="11" t="n"/>
      <c r="D328" s="11" t="n"/>
      <c r="E328" s="11" t="n"/>
      <c r="F328" s="11" t="n"/>
      <c r="G328" s="8" t="n"/>
      <c r="H328" s="12" t="n"/>
      <c r="I328" s="13" t="n"/>
      <c r="J328" s="14">
        <f>IF(OR(H328="",I328=""),"",H328*I328)</f>
        <v/>
      </c>
      <c r="K328" s="11" t="n"/>
      <c r="L328" s="9">
        <f>IF(B328="","",MONTH(B328))</f>
        <v/>
      </c>
      <c r="M328" s="9">
        <f>IF(B328="","",YEAR(B328))</f>
        <v/>
      </c>
    </row>
    <row r="329">
      <c r="A329" s="9">
        <f>IF(B329="","",ROW()-1)</f>
        <v/>
      </c>
      <c r="B329" s="10" t="n"/>
      <c r="C329" s="11" t="n"/>
      <c r="D329" s="11" t="n"/>
      <c r="E329" s="11" t="n"/>
      <c r="F329" s="11" t="n"/>
      <c r="G329" s="8" t="n"/>
      <c r="H329" s="12" t="n"/>
      <c r="I329" s="13" t="n"/>
      <c r="J329" s="14">
        <f>IF(OR(H329="",I329=""),"",H329*I329)</f>
        <v/>
      </c>
      <c r="K329" s="11" t="n"/>
      <c r="L329" s="9">
        <f>IF(B329="","",MONTH(B329))</f>
        <v/>
      </c>
      <c r="M329" s="9">
        <f>IF(B329="","",YEAR(B329))</f>
        <v/>
      </c>
    </row>
    <row r="330">
      <c r="A330" s="9">
        <f>IF(B330="","",ROW()-1)</f>
        <v/>
      </c>
      <c r="B330" s="10" t="n"/>
      <c r="C330" s="11" t="n"/>
      <c r="D330" s="11" t="n"/>
      <c r="E330" s="11" t="n"/>
      <c r="F330" s="11" t="n"/>
      <c r="G330" s="8" t="n"/>
      <c r="H330" s="12" t="n"/>
      <c r="I330" s="13" t="n"/>
      <c r="J330" s="14">
        <f>IF(OR(H330="",I330=""),"",H330*I330)</f>
        <v/>
      </c>
      <c r="K330" s="11" t="n"/>
      <c r="L330" s="9">
        <f>IF(B330="","",MONTH(B330))</f>
        <v/>
      </c>
      <c r="M330" s="9">
        <f>IF(B330="","",YEAR(B330))</f>
        <v/>
      </c>
    </row>
    <row r="331">
      <c r="A331" s="9">
        <f>IF(B331="","",ROW()-1)</f>
        <v/>
      </c>
      <c r="B331" s="10" t="n"/>
      <c r="C331" s="11" t="n"/>
      <c r="D331" s="11" t="n"/>
      <c r="E331" s="11" t="n"/>
      <c r="F331" s="11" t="n"/>
      <c r="G331" s="8" t="n"/>
      <c r="H331" s="12" t="n"/>
      <c r="I331" s="13" t="n"/>
      <c r="J331" s="14">
        <f>IF(OR(H331="",I331=""),"",H331*I331)</f>
        <v/>
      </c>
      <c r="K331" s="11" t="n"/>
      <c r="L331" s="9">
        <f>IF(B331="","",MONTH(B331))</f>
        <v/>
      </c>
      <c r="M331" s="9">
        <f>IF(B331="","",YEAR(B331))</f>
        <v/>
      </c>
    </row>
    <row r="332">
      <c r="A332" s="9">
        <f>IF(B332="","",ROW()-1)</f>
        <v/>
      </c>
      <c r="B332" s="10" t="n"/>
      <c r="C332" s="11" t="n"/>
      <c r="D332" s="11" t="n"/>
      <c r="E332" s="11" t="n"/>
      <c r="F332" s="11" t="n"/>
      <c r="G332" s="8" t="n"/>
      <c r="H332" s="12" t="n"/>
      <c r="I332" s="13" t="n"/>
      <c r="J332" s="14">
        <f>IF(OR(H332="",I332=""),"",H332*I332)</f>
        <v/>
      </c>
      <c r="K332" s="11" t="n"/>
      <c r="L332" s="9">
        <f>IF(B332="","",MONTH(B332))</f>
        <v/>
      </c>
      <c r="M332" s="9">
        <f>IF(B332="","",YEAR(B332))</f>
        <v/>
      </c>
    </row>
    <row r="333">
      <c r="A333" s="9">
        <f>IF(B333="","",ROW()-1)</f>
        <v/>
      </c>
      <c r="B333" s="10" t="n"/>
      <c r="C333" s="11" t="n"/>
      <c r="D333" s="11" t="n"/>
      <c r="E333" s="11" t="n"/>
      <c r="F333" s="11" t="n"/>
      <c r="G333" s="8" t="n"/>
      <c r="H333" s="12" t="n"/>
      <c r="I333" s="13" t="n"/>
      <c r="J333" s="14">
        <f>IF(OR(H333="",I333=""),"",H333*I333)</f>
        <v/>
      </c>
      <c r="K333" s="11" t="n"/>
      <c r="L333" s="9">
        <f>IF(B333="","",MONTH(B333))</f>
        <v/>
      </c>
      <c r="M333" s="9">
        <f>IF(B333="","",YEAR(B333))</f>
        <v/>
      </c>
    </row>
    <row r="334">
      <c r="A334" s="9">
        <f>IF(B334="","",ROW()-1)</f>
        <v/>
      </c>
      <c r="B334" s="10" t="n"/>
      <c r="C334" s="11" t="n"/>
      <c r="D334" s="11" t="n"/>
      <c r="E334" s="11" t="n"/>
      <c r="F334" s="11" t="n"/>
      <c r="G334" s="8" t="n"/>
      <c r="H334" s="12" t="n"/>
      <c r="I334" s="13" t="n"/>
      <c r="J334" s="14">
        <f>IF(OR(H334="",I334=""),"",H334*I334)</f>
        <v/>
      </c>
      <c r="K334" s="11" t="n"/>
      <c r="L334" s="9">
        <f>IF(B334="","",MONTH(B334))</f>
        <v/>
      </c>
      <c r="M334" s="9">
        <f>IF(B334="","",YEAR(B334))</f>
        <v/>
      </c>
    </row>
    <row r="335">
      <c r="A335" s="9">
        <f>IF(B335="","",ROW()-1)</f>
        <v/>
      </c>
      <c r="B335" s="10" t="n"/>
      <c r="C335" s="11" t="n"/>
      <c r="D335" s="11" t="n"/>
      <c r="E335" s="11" t="n"/>
      <c r="F335" s="11" t="n"/>
      <c r="G335" s="8" t="n"/>
      <c r="H335" s="12" t="n"/>
      <c r="I335" s="13" t="n"/>
      <c r="J335" s="14">
        <f>IF(OR(H335="",I335=""),"",H335*I335)</f>
        <v/>
      </c>
      <c r="K335" s="11" t="n"/>
      <c r="L335" s="9">
        <f>IF(B335="","",MONTH(B335))</f>
        <v/>
      </c>
      <c r="M335" s="9">
        <f>IF(B335="","",YEAR(B335))</f>
        <v/>
      </c>
    </row>
    <row r="336">
      <c r="A336" s="9">
        <f>IF(B336="","",ROW()-1)</f>
        <v/>
      </c>
      <c r="B336" s="10" t="n"/>
      <c r="C336" s="11" t="n"/>
      <c r="D336" s="11" t="n"/>
      <c r="E336" s="11" t="n"/>
      <c r="F336" s="11" t="n"/>
      <c r="G336" s="8" t="n"/>
      <c r="H336" s="12" t="n"/>
      <c r="I336" s="13" t="n"/>
      <c r="J336" s="14">
        <f>IF(OR(H336="",I336=""),"",H336*I336)</f>
        <v/>
      </c>
      <c r="K336" s="11" t="n"/>
      <c r="L336" s="9">
        <f>IF(B336="","",MONTH(B336))</f>
        <v/>
      </c>
      <c r="M336" s="9">
        <f>IF(B336="","",YEAR(B336))</f>
        <v/>
      </c>
    </row>
    <row r="337">
      <c r="A337" s="9">
        <f>IF(B337="","",ROW()-1)</f>
        <v/>
      </c>
      <c r="B337" s="10" t="n"/>
      <c r="C337" s="11" t="n"/>
      <c r="D337" s="11" t="n"/>
      <c r="E337" s="11" t="n"/>
      <c r="F337" s="11" t="n"/>
      <c r="G337" s="8" t="n"/>
      <c r="H337" s="12" t="n"/>
      <c r="I337" s="13" t="n"/>
      <c r="J337" s="14">
        <f>IF(OR(H337="",I337=""),"",H337*I337)</f>
        <v/>
      </c>
      <c r="K337" s="11" t="n"/>
      <c r="L337" s="9">
        <f>IF(B337="","",MONTH(B337))</f>
        <v/>
      </c>
      <c r="M337" s="9">
        <f>IF(B337="","",YEAR(B337))</f>
        <v/>
      </c>
    </row>
    <row r="338">
      <c r="A338" s="9">
        <f>IF(B338="","",ROW()-1)</f>
        <v/>
      </c>
      <c r="B338" s="10" t="n"/>
      <c r="C338" s="11" t="n"/>
      <c r="D338" s="11" t="n"/>
      <c r="E338" s="11" t="n"/>
      <c r="F338" s="11" t="n"/>
      <c r="G338" s="8" t="n"/>
      <c r="H338" s="12" t="n"/>
      <c r="I338" s="13" t="n"/>
      <c r="J338" s="14">
        <f>IF(OR(H338="",I338=""),"",H338*I338)</f>
        <v/>
      </c>
      <c r="K338" s="11" t="n"/>
      <c r="L338" s="9">
        <f>IF(B338="","",MONTH(B338))</f>
        <v/>
      </c>
      <c r="M338" s="9">
        <f>IF(B338="","",YEAR(B338))</f>
        <v/>
      </c>
    </row>
    <row r="339">
      <c r="A339" s="9">
        <f>IF(B339="","",ROW()-1)</f>
        <v/>
      </c>
      <c r="B339" s="10" t="n"/>
      <c r="C339" s="11" t="n"/>
      <c r="D339" s="11" t="n"/>
      <c r="E339" s="11" t="n"/>
      <c r="F339" s="11" t="n"/>
      <c r="G339" s="8" t="n"/>
      <c r="H339" s="12" t="n"/>
      <c r="I339" s="13" t="n"/>
      <c r="J339" s="14">
        <f>IF(OR(H339="",I339=""),"",H339*I339)</f>
        <v/>
      </c>
      <c r="K339" s="11" t="n"/>
      <c r="L339" s="9">
        <f>IF(B339="","",MONTH(B339))</f>
        <v/>
      </c>
      <c r="M339" s="9">
        <f>IF(B339="","",YEAR(B339))</f>
        <v/>
      </c>
    </row>
    <row r="340">
      <c r="A340" s="9">
        <f>IF(B340="","",ROW()-1)</f>
        <v/>
      </c>
      <c r="B340" s="10" t="n"/>
      <c r="C340" s="11" t="n"/>
      <c r="D340" s="11" t="n"/>
      <c r="E340" s="11" t="n"/>
      <c r="F340" s="11" t="n"/>
      <c r="G340" s="8" t="n"/>
      <c r="H340" s="12" t="n"/>
      <c r="I340" s="13" t="n"/>
      <c r="J340" s="14">
        <f>IF(OR(H340="",I340=""),"",H340*I340)</f>
        <v/>
      </c>
      <c r="K340" s="11" t="n"/>
      <c r="L340" s="9">
        <f>IF(B340="","",MONTH(B340))</f>
        <v/>
      </c>
      <c r="M340" s="9">
        <f>IF(B340="","",YEAR(B340))</f>
        <v/>
      </c>
    </row>
    <row r="341">
      <c r="A341" s="9">
        <f>IF(B341="","",ROW()-1)</f>
        <v/>
      </c>
      <c r="B341" s="10" t="n"/>
      <c r="C341" s="11" t="n"/>
      <c r="D341" s="11" t="n"/>
      <c r="E341" s="11" t="n"/>
      <c r="F341" s="11" t="n"/>
      <c r="G341" s="8" t="n"/>
      <c r="H341" s="12" t="n"/>
      <c r="I341" s="13" t="n"/>
      <c r="J341" s="14">
        <f>IF(OR(H341="",I341=""),"",H341*I341)</f>
        <v/>
      </c>
      <c r="K341" s="11" t="n"/>
      <c r="L341" s="9">
        <f>IF(B341="","",MONTH(B341))</f>
        <v/>
      </c>
      <c r="M341" s="9">
        <f>IF(B341="","",YEAR(B341))</f>
        <v/>
      </c>
    </row>
    <row r="342">
      <c r="A342" s="9">
        <f>IF(B342="","",ROW()-1)</f>
        <v/>
      </c>
      <c r="B342" s="10" t="n"/>
      <c r="C342" s="11" t="n"/>
      <c r="D342" s="11" t="n"/>
      <c r="E342" s="11" t="n"/>
      <c r="F342" s="11" t="n"/>
      <c r="G342" s="8" t="n"/>
      <c r="H342" s="12" t="n"/>
      <c r="I342" s="13" t="n"/>
      <c r="J342" s="14">
        <f>IF(OR(H342="",I342=""),"",H342*I342)</f>
        <v/>
      </c>
      <c r="K342" s="11" t="n"/>
      <c r="L342" s="9">
        <f>IF(B342="","",MONTH(B342))</f>
        <v/>
      </c>
      <c r="M342" s="9">
        <f>IF(B342="","",YEAR(B342))</f>
        <v/>
      </c>
    </row>
    <row r="343">
      <c r="A343" s="9">
        <f>IF(B343="","",ROW()-1)</f>
        <v/>
      </c>
      <c r="B343" s="10" t="n"/>
      <c r="C343" s="11" t="n"/>
      <c r="D343" s="11" t="n"/>
      <c r="E343" s="11" t="n"/>
      <c r="F343" s="11" t="n"/>
      <c r="G343" s="8" t="n"/>
      <c r="H343" s="12" t="n"/>
      <c r="I343" s="13" t="n"/>
      <c r="J343" s="14">
        <f>IF(OR(H343="",I343=""),"",H343*I343)</f>
        <v/>
      </c>
      <c r="K343" s="11" t="n"/>
      <c r="L343" s="9">
        <f>IF(B343="","",MONTH(B343))</f>
        <v/>
      </c>
      <c r="M343" s="9">
        <f>IF(B343="","",YEAR(B343))</f>
        <v/>
      </c>
    </row>
    <row r="344">
      <c r="A344" s="9">
        <f>IF(B344="","",ROW()-1)</f>
        <v/>
      </c>
      <c r="B344" s="10" t="n"/>
      <c r="C344" s="11" t="n"/>
      <c r="D344" s="11" t="n"/>
      <c r="E344" s="11" t="n"/>
      <c r="F344" s="11" t="n"/>
      <c r="G344" s="8" t="n"/>
      <c r="H344" s="12" t="n"/>
      <c r="I344" s="13" t="n"/>
      <c r="J344" s="14">
        <f>IF(OR(H344="",I344=""),"",H344*I344)</f>
        <v/>
      </c>
      <c r="K344" s="11" t="n"/>
      <c r="L344" s="9">
        <f>IF(B344="","",MONTH(B344))</f>
        <v/>
      </c>
      <c r="M344" s="9">
        <f>IF(B344="","",YEAR(B344))</f>
        <v/>
      </c>
    </row>
    <row r="345">
      <c r="A345" s="9">
        <f>IF(B345="","",ROW()-1)</f>
        <v/>
      </c>
      <c r="B345" s="10" t="n"/>
      <c r="C345" s="11" t="n"/>
      <c r="D345" s="11" t="n"/>
      <c r="E345" s="11" t="n"/>
      <c r="F345" s="11" t="n"/>
      <c r="G345" s="8" t="n"/>
      <c r="H345" s="12" t="n"/>
      <c r="I345" s="13" t="n"/>
      <c r="J345" s="14">
        <f>IF(OR(H345="",I345=""),"",H345*I345)</f>
        <v/>
      </c>
      <c r="K345" s="11" t="n"/>
      <c r="L345" s="9">
        <f>IF(B345="","",MONTH(B345))</f>
        <v/>
      </c>
      <c r="M345" s="9">
        <f>IF(B345="","",YEAR(B345))</f>
        <v/>
      </c>
    </row>
    <row r="346">
      <c r="A346" s="9">
        <f>IF(B346="","",ROW()-1)</f>
        <v/>
      </c>
      <c r="B346" s="10" t="n"/>
      <c r="C346" s="11" t="n"/>
      <c r="D346" s="11" t="n"/>
      <c r="E346" s="11" t="n"/>
      <c r="F346" s="11" t="n"/>
      <c r="G346" s="8" t="n"/>
      <c r="H346" s="12" t="n"/>
      <c r="I346" s="13" t="n"/>
      <c r="J346" s="14">
        <f>IF(OR(H346="",I346=""),"",H346*I346)</f>
        <v/>
      </c>
      <c r="K346" s="11" t="n"/>
      <c r="L346" s="9">
        <f>IF(B346="","",MONTH(B346))</f>
        <v/>
      </c>
      <c r="M346" s="9">
        <f>IF(B346="","",YEAR(B346))</f>
        <v/>
      </c>
    </row>
    <row r="347">
      <c r="A347" s="9">
        <f>IF(B347="","",ROW()-1)</f>
        <v/>
      </c>
      <c r="B347" s="10" t="n"/>
      <c r="C347" s="11" t="n"/>
      <c r="D347" s="11" t="n"/>
      <c r="E347" s="11" t="n"/>
      <c r="F347" s="11" t="n"/>
      <c r="G347" s="8" t="n"/>
      <c r="H347" s="12" t="n"/>
      <c r="I347" s="13" t="n"/>
      <c r="J347" s="14">
        <f>IF(OR(H347="",I347=""),"",H347*I347)</f>
        <v/>
      </c>
      <c r="K347" s="11" t="n"/>
      <c r="L347" s="9">
        <f>IF(B347="","",MONTH(B347))</f>
        <v/>
      </c>
      <c r="M347" s="9">
        <f>IF(B347="","",YEAR(B347))</f>
        <v/>
      </c>
    </row>
    <row r="348">
      <c r="A348" s="9">
        <f>IF(B348="","",ROW()-1)</f>
        <v/>
      </c>
      <c r="B348" s="10" t="n"/>
      <c r="C348" s="11" t="n"/>
      <c r="D348" s="11" t="n"/>
      <c r="E348" s="11" t="n"/>
      <c r="F348" s="11" t="n"/>
      <c r="G348" s="8" t="n"/>
      <c r="H348" s="12" t="n"/>
      <c r="I348" s="13" t="n"/>
      <c r="J348" s="14">
        <f>IF(OR(H348="",I348=""),"",H348*I348)</f>
        <v/>
      </c>
      <c r="K348" s="11" t="n"/>
      <c r="L348" s="9">
        <f>IF(B348="","",MONTH(B348))</f>
        <v/>
      </c>
      <c r="M348" s="9">
        <f>IF(B348="","",YEAR(B348))</f>
        <v/>
      </c>
    </row>
    <row r="349">
      <c r="A349" s="9">
        <f>IF(B349="","",ROW()-1)</f>
        <v/>
      </c>
      <c r="B349" s="10" t="n"/>
      <c r="C349" s="11" t="n"/>
      <c r="D349" s="11" t="n"/>
      <c r="E349" s="11" t="n"/>
      <c r="F349" s="11" t="n"/>
      <c r="G349" s="8" t="n"/>
      <c r="H349" s="12" t="n"/>
      <c r="I349" s="13" t="n"/>
      <c r="J349" s="14">
        <f>IF(OR(H349="",I349=""),"",H349*I349)</f>
        <v/>
      </c>
      <c r="K349" s="11" t="n"/>
      <c r="L349" s="9">
        <f>IF(B349="","",MONTH(B349))</f>
        <v/>
      </c>
      <c r="M349" s="9">
        <f>IF(B349="","",YEAR(B349))</f>
        <v/>
      </c>
    </row>
    <row r="350">
      <c r="A350" s="9">
        <f>IF(B350="","",ROW()-1)</f>
        <v/>
      </c>
      <c r="B350" s="10" t="n"/>
      <c r="C350" s="11" t="n"/>
      <c r="D350" s="11" t="n"/>
      <c r="E350" s="11" t="n"/>
      <c r="F350" s="11" t="n"/>
      <c r="G350" s="8" t="n"/>
      <c r="H350" s="12" t="n"/>
      <c r="I350" s="13" t="n"/>
      <c r="J350" s="14">
        <f>IF(OR(H350="",I350=""),"",H350*I350)</f>
        <v/>
      </c>
      <c r="K350" s="11" t="n"/>
      <c r="L350" s="9">
        <f>IF(B350="","",MONTH(B350))</f>
        <v/>
      </c>
      <c r="M350" s="9">
        <f>IF(B350="","",YEAR(B350))</f>
        <v/>
      </c>
    </row>
    <row r="351">
      <c r="A351" s="9">
        <f>IF(B351="","",ROW()-1)</f>
        <v/>
      </c>
      <c r="B351" s="10" t="n"/>
      <c r="C351" s="11" t="n"/>
      <c r="D351" s="11" t="n"/>
      <c r="E351" s="11" t="n"/>
      <c r="F351" s="11" t="n"/>
      <c r="G351" s="8" t="n"/>
      <c r="H351" s="12" t="n"/>
      <c r="I351" s="13" t="n"/>
      <c r="J351" s="14">
        <f>IF(OR(H351="",I351=""),"",H351*I351)</f>
        <v/>
      </c>
      <c r="K351" s="11" t="n"/>
      <c r="L351" s="9">
        <f>IF(B351="","",MONTH(B351))</f>
        <v/>
      </c>
      <c r="M351" s="9">
        <f>IF(B351="","",YEAR(B351))</f>
        <v/>
      </c>
    </row>
    <row r="352">
      <c r="A352" s="9">
        <f>IF(B352="","",ROW()-1)</f>
        <v/>
      </c>
      <c r="B352" s="10" t="n"/>
      <c r="C352" s="11" t="n"/>
      <c r="D352" s="11" t="n"/>
      <c r="E352" s="11" t="n"/>
      <c r="F352" s="11" t="n"/>
      <c r="G352" s="8" t="n"/>
      <c r="H352" s="12" t="n"/>
      <c r="I352" s="13" t="n"/>
      <c r="J352" s="14">
        <f>IF(OR(H352="",I352=""),"",H352*I352)</f>
        <v/>
      </c>
      <c r="K352" s="11" t="n"/>
      <c r="L352" s="9">
        <f>IF(B352="","",MONTH(B352))</f>
        <v/>
      </c>
      <c r="M352" s="9">
        <f>IF(B352="","",YEAR(B352))</f>
        <v/>
      </c>
    </row>
    <row r="353">
      <c r="A353" s="9">
        <f>IF(B353="","",ROW()-1)</f>
        <v/>
      </c>
      <c r="B353" s="10" t="n"/>
      <c r="C353" s="11" t="n"/>
      <c r="D353" s="11" t="n"/>
      <c r="E353" s="11" t="n"/>
      <c r="F353" s="11" t="n"/>
      <c r="G353" s="8" t="n"/>
      <c r="H353" s="12" t="n"/>
      <c r="I353" s="13" t="n"/>
      <c r="J353" s="14">
        <f>IF(OR(H353="",I353=""),"",H353*I353)</f>
        <v/>
      </c>
      <c r="K353" s="11" t="n"/>
      <c r="L353" s="9">
        <f>IF(B353="","",MONTH(B353))</f>
        <v/>
      </c>
      <c r="M353" s="9">
        <f>IF(B353="","",YEAR(B353))</f>
        <v/>
      </c>
    </row>
    <row r="354">
      <c r="A354" s="9">
        <f>IF(B354="","",ROW()-1)</f>
        <v/>
      </c>
      <c r="B354" s="10" t="n"/>
      <c r="C354" s="11" t="n"/>
      <c r="D354" s="11" t="n"/>
      <c r="E354" s="11" t="n"/>
      <c r="F354" s="11" t="n"/>
      <c r="G354" s="8" t="n"/>
      <c r="H354" s="12" t="n"/>
      <c r="I354" s="13" t="n"/>
      <c r="J354" s="14">
        <f>IF(OR(H354="",I354=""),"",H354*I354)</f>
        <v/>
      </c>
      <c r="K354" s="11" t="n"/>
      <c r="L354" s="9">
        <f>IF(B354="","",MONTH(B354))</f>
        <v/>
      </c>
      <c r="M354" s="9">
        <f>IF(B354="","",YEAR(B354))</f>
        <v/>
      </c>
    </row>
    <row r="355">
      <c r="A355" s="9">
        <f>IF(B355="","",ROW()-1)</f>
        <v/>
      </c>
      <c r="B355" s="10" t="n"/>
      <c r="C355" s="11" t="n"/>
      <c r="D355" s="11" t="n"/>
      <c r="E355" s="11" t="n"/>
      <c r="F355" s="11" t="n"/>
      <c r="G355" s="8" t="n"/>
      <c r="H355" s="12" t="n"/>
      <c r="I355" s="13" t="n"/>
      <c r="J355" s="14">
        <f>IF(OR(H355="",I355=""),"",H355*I355)</f>
        <v/>
      </c>
      <c r="K355" s="11" t="n"/>
      <c r="L355" s="9">
        <f>IF(B355="","",MONTH(B355))</f>
        <v/>
      </c>
      <c r="M355" s="9">
        <f>IF(B355="","",YEAR(B355))</f>
        <v/>
      </c>
    </row>
    <row r="356">
      <c r="A356" s="9">
        <f>IF(B356="","",ROW()-1)</f>
        <v/>
      </c>
      <c r="B356" s="10" t="n"/>
      <c r="C356" s="11" t="n"/>
      <c r="D356" s="11" t="n"/>
      <c r="E356" s="11" t="n"/>
      <c r="F356" s="11" t="n"/>
      <c r="G356" s="8" t="n"/>
      <c r="H356" s="12" t="n"/>
      <c r="I356" s="13" t="n"/>
      <c r="J356" s="14">
        <f>IF(OR(H356="",I356=""),"",H356*I356)</f>
        <v/>
      </c>
      <c r="K356" s="11" t="n"/>
      <c r="L356" s="9">
        <f>IF(B356="","",MONTH(B356))</f>
        <v/>
      </c>
      <c r="M356" s="9">
        <f>IF(B356="","",YEAR(B356))</f>
        <v/>
      </c>
    </row>
    <row r="357">
      <c r="A357" s="9">
        <f>IF(B357="","",ROW()-1)</f>
        <v/>
      </c>
      <c r="B357" s="10" t="n"/>
      <c r="C357" s="11" t="n"/>
      <c r="D357" s="11" t="n"/>
      <c r="E357" s="11" t="n"/>
      <c r="F357" s="11" t="n"/>
      <c r="G357" s="8" t="n"/>
      <c r="H357" s="12" t="n"/>
      <c r="I357" s="13" t="n"/>
      <c r="J357" s="14">
        <f>IF(OR(H357="",I357=""),"",H357*I357)</f>
        <v/>
      </c>
      <c r="K357" s="11" t="n"/>
      <c r="L357" s="9">
        <f>IF(B357="","",MONTH(B357))</f>
        <v/>
      </c>
      <c r="M357" s="9">
        <f>IF(B357="","",YEAR(B357))</f>
        <v/>
      </c>
    </row>
    <row r="358">
      <c r="A358" s="9">
        <f>IF(B358="","",ROW()-1)</f>
        <v/>
      </c>
      <c r="B358" s="10" t="n"/>
      <c r="C358" s="11" t="n"/>
      <c r="D358" s="11" t="n"/>
      <c r="E358" s="11" t="n"/>
      <c r="F358" s="11" t="n"/>
      <c r="G358" s="8" t="n"/>
      <c r="H358" s="12" t="n"/>
      <c r="I358" s="13" t="n"/>
      <c r="J358" s="14">
        <f>IF(OR(H358="",I358=""),"",H358*I358)</f>
        <v/>
      </c>
      <c r="K358" s="11" t="n"/>
      <c r="L358" s="9">
        <f>IF(B358="","",MONTH(B358))</f>
        <v/>
      </c>
      <c r="M358" s="9">
        <f>IF(B358="","",YEAR(B358))</f>
        <v/>
      </c>
    </row>
    <row r="359">
      <c r="A359" s="9">
        <f>IF(B359="","",ROW()-1)</f>
        <v/>
      </c>
      <c r="B359" s="10" t="n"/>
      <c r="C359" s="11" t="n"/>
      <c r="D359" s="11" t="n"/>
      <c r="E359" s="11" t="n"/>
      <c r="F359" s="11" t="n"/>
      <c r="G359" s="8" t="n"/>
      <c r="H359" s="12" t="n"/>
      <c r="I359" s="13" t="n"/>
      <c r="J359" s="14">
        <f>IF(OR(H359="",I359=""),"",H359*I359)</f>
        <v/>
      </c>
      <c r="K359" s="11" t="n"/>
      <c r="L359" s="9">
        <f>IF(B359="","",MONTH(B359))</f>
        <v/>
      </c>
      <c r="M359" s="9">
        <f>IF(B359="","",YEAR(B359))</f>
        <v/>
      </c>
    </row>
    <row r="360">
      <c r="A360" s="9">
        <f>IF(B360="","",ROW()-1)</f>
        <v/>
      </c>
      <c r="B360" s="10" t="n"/>
      <c r="C360" s="11" t="n"/>
      <c r="D360" s="11" t="n"/>
      <c r="E360" s="11" t="n"/>
      <c r="F360" s="11" t="n"/>
      <c r="G360" s="8" t="n"/>
      <c r="H360" s="12" t="n"/>
      <c r="I360" s="13" t="n"/>
      <c r="J360" s="14">
        <f>IF(OR(H360="",I360=""),"",H360*I360)</f>
        <v/>
      </c>
      <c r="K360" s="11" t="n"/>
      <c r="L360" s="9">
        <f>IF(B360="","",MONTH(B360))</f>
        <v/>
      </c>
      <c r="M360" s="9">
        <f>IF(B360="","",YEAR(B360))</f>
        <v/>
      </c>
    </row>
    <row r="361">
      <c r="A361" s="9">
        <f>IF(B361="","",ROW()-1)</f>
        <v/>
      </c>
      <c r="B361" s="10" t="n"/>
      <c r="C361" s="11" t="n"/>
      <c r="D361" s="11" t="n"/>
      <c r="E361" s="11" t="n"/>
      <c r="F361" s="11" t="n"/>
      <c r="G361" s="8" t="n"/>
      <c r="H361" s="12" t="n"/>
      <c r="I361" s="13" t="n"/>
      <c r="J361" s="14">
        <f>IF(OR(H361="",I361=""),"",H361*I361)</f>
        <v/>
      </c>
      <c r="K361" s="11" t="n"/>
      <c r="L361" s="9">
        <f>IF(B361="","",MONTH(B361))</f>
        <v/>
      </c>
      <c r="M361" s="9">
        <f>IF(B361="","",YEAR(B361))</f>
        <v/>
      </c>
    </row>
    <row r="362">
      <c r="A362" s="9">
        <f>IF(B362="","",ROW()-1)</f>
        <v/>
      </c>
      <c r="B362" s="10" t="n"/>
      <c r="C362" s="11" t="n"/>
      <c r="D362" s="11" t="n"/>
      <c r="E362" s="11" t="n"/>
      <c r="F362" s="11" t="n"/>
      <c r="G362" s="8" t="n"/>
      <c r="H362" s="12" t="n"/>
      <c r="I362" s="13" t="n"/>
      <c r="J362" s="14">
        <f>IF(OR(H362="",I362=""),"",H362*I362)</f>
        <v/>
      </c>
      <c r="K362" s="11" t="n"/>
      <c r="L362" s="9">
        <f>IF(B362="","",MONTH(B362))</f>
        <v/>
      </c>
      <c r="M362" s="9">
        <f>IF(B362="","",YEAR(B362))</f>
        <v/>
      </c>
    </row>
    <row r="363">
      <c r="A363" s="9">
        <f>IF(B363="","",ROW()-1)</f>
        <v/>
      </c>
      <c r="B363" s="10" t="n"/>
      <c r="C363" s="11" t="n"/>
      <c r="D363" s="11" t="n"/>
      <c r="E363" s="11" t="n"/>
      <c r="F363" s="11" t="n"/>
      <c r="G363" s="8" t="n"/>
      <c r="H363" s="12" t="n"/>
      <c r="I363" s="13" t="n"/>
      <c r="J363" s="14">
        <f>IF(OR(H363="",I363=""),"",H363*I363)</f>
        <v/>
      </c>
      <c r="K363" s="11" t="n"/>
      <c r="L363" s="9">
        <f>IF(B363="","",MONTH(B363))</f>
        <v/>
      </c>
      <c r="M363" s="9">
        <f>IF(B363="","",YEAR(B363))</f>
        <v/>
      </c>
    </row>
    <row r="364">
      <c r="A364" s="9">
        <f>IF(B364="","",ROW()-1)</f>
        <v/>
      </c>
      <c r="B364" s="10" t="n"/>
      <c r="C364" s="11" t="n"/>
      <c r="D364" s="11" t="n"/>
      <c r="E364" s="11" t="n"/>
      <c r="F364" s="11" t="n"/>
      <c r="G364" s="8" t="n"/>
      <c r="H364" s="12" t="n"/>
      <c r="I364" s="13" t="n"/>
      <c r="J364" s="14">
        <f>IF(OR(H364="",I364=""),"",H364*I364)</f>
        <v/>
      </c>
      <c r="K364" s="11" t="n"/>
      <c r="L364" s="9">
        <f>IF(B364="","",MONTH(B364))</f>
        <v/>
      </c>
      <c r="M364" s="9">
        <f>IF(B364="","",YEAR(B364))</f>
        <v/>
      </c>
    </row>
    <row r="365">
      <c r="A365" s="9">
        <f>IF(B365="","",ROW()-1)</f>
        <v/>
      </c>
      <c r="B365" s="10" t="n"/>
      <c r="C365" s="11" t="n"/>
      <c r="D365" s="11" t="n"/>
      <c r="E365" s="11" t="n"/>
      <c r="F365" s="11" t="n"/>
      <c r="G365" s="8" t="n"/>
      <c r="H365" s="12" t="n"/>
      <c r="I365" s="13" t="n"/>
      <c r="J365" s="14">
        <f>IF(OR(H365="",I365=""),"",H365*I365)</f>
        <v/>
      </c>
      <c r="K365" s="11" t="n"/>
      <c r="L365" s="9">
        <f>IF(B365="","",MONTH(B365))</f>
        <v/>
      </c>
      <c r="M365" s="9">
        <f>IF(B365="","",YEAR(B365))</f>
        <v/>
      </c>
    </row>
    <row r="366">
      <c r="A366" s="9">
        <f>IF(B366="","",ROW()-1)</f>
        <v/>
      </c>
      <c r="B366" s="10" t="n"/>
      <c r="C366" s="11" t="n"/>
      <c r="D366" s="11" t="n"/>
      <c r="E366" s="11" t="n"/>
      <c r="F366" s="11" t="n"/>
      <c r="G366" s="8" t="n"/>
      <c r="H366" s="12" t="n"/>
      <c r="I366" s="13" t="n"/>
      <c r="J366" s="14">
        <f>IF(OR(H366="",I366=""),"",H366*I366)</f>
        <v/>
      </c>
      <c r="K366" s="11" t="n"/>
      <c r="L366" s="9">
        <f>IF(B366="","",MONTH(B366))</f>
        <v/>
      </c>
      <c r="M366" s="9">
        <f>IF(B366="","",YEAR(B366))</f>
        <v/>
      </c>
    </row>
    <row r="367">
      <c r="A367" s="9">
        <f>IF(B367="","",ROW()-1)</f>
        <v/>
      </c>
      <c r="B367" s="10" t="n"/>
      <c r="C367" s="11" t="n"/>
      <c r="D367" s="11" t="n"/>
      <c r="E367" s="11" t="n"/>
      <c r="F367" s="11" t="n"/>
      <c r="G367" s="8" t="n"/>
      <c r="H367" s="12" t="n"/>
      <c r="I367" s="13" t="n"/>
      <c r="J367" s="14">
        <f>IF(OR(H367="",I367=""),"",H367*I367)</f>
        <v/>
      </c>
      <c r="K367" s="11" t="n"/>
      <c r="L367" s="9">
        <f>IF(B367="","",MONTH(B367))</f>
        <v/>
      </c>
      <c r="M367" s="9">
        <f>IF(B367="","",YEAR(B367))</f>
        <v/>
      </c>
    </row>
    <row r="368">
      <c r="A368" s="9">
        <f>IF(B368="","",ROW()-1)</f>
        <v/>
      </c>
      <c r="B368" s="10" t="n"/>
      <c r="C368" s="11" t="n"/>
      <c r="D368" s="11" t="n"/>
      <c r="E368" s="11" t="n"/>
      <c r="F368" s="11" t="n"/>
      <c r="G368" s="8" t="n"/>
      <c r="H368" s="12" t="n"/>
      <c r="I368" s="13" t="n"/>
      <c r="J368" s="14">
        <f>IF(OR(H368="",I368=""),"",H368*I368)</f>
        <v/>
      </c>
      <c r="K368" s="11" t="n"/>
      <c r="L368" s="9">
        <f>IF(B368="","",MONTH(B368))</f>
        <v/>
      </c>
      <c r="M368" s="9">
        <f>IF(B368="","",YEAR(B368))</f>
        <v/>
      </c>
    </row>
    <row r="369">
      <c r="A369" s="9">
        <f>IF(B369="","",ROW()-1)</f>
        <v/>
      </c>
      <c r="B369" s="10" t="n"/>
      <c r="C369" s="11" t="n"/>
      <c r="D369" s="11" t="n"/>
      <c r="E369" s="11" t="n"/>
      <c r="F369" s="11" t="n"/>
      <c r="G369" s="8" t="n"/>
      <c r="H369" s="12" t="n"/>
      <c r="I369" s="13" t="n"/>
      <c r="J369" s="14">
        <f>IF(OR(H369="",I369=""),"",H369*I369)</f>
        <v/>
      </c>
      <c r="K369" s="11" t="n"/>
      <c r="L369" s="9">
        <f>IF(B369="","",MONTH(B369))</f>
        <v/>
      </c>
      <c r="M369" s="9">
        <f>IF(B369="","",YEAR(B369))</f>
        <v/>
      </c>
    </row>
    <row r="370">
      <c r="A370" s="9">
        <f>IF(B370="","",ROW()-1)</f>
        <v/>
      </c>
      <c r="B370" s="10" t="n"/>
      <c r="C370" s="11" t="n"/>
      <c r="D370" s="11" t="n"/>
      <c r="E370" s="11" t="n"/>
      <c r="F370" s="11" t="n"/>
      <c r="G370" s="8" t="n"/>
      <c r="H370" s="12" t="n"/>
      <c r="I370" s="13" t="n"/>
      <c r="J370" s="14">
        <f>IF(OR(H370="",I370=""),"",H370*I370)</f>
        <v/>
      </c>
      <c r="K370" s="11" t="n"/>
      <c r="L370" s="9">
        <f>IF(B370="","",MONTH(B370))</f>
        <v/>
      </c>
      <c r="M370" s="9">
        <f>IF(B370="","",YEAR(B370))</f>
        <v/>
      </c>
    </row>
    <row r="371">
      <c r="A371" s="9">
        <f>IF(B371="","",ROW()-1)</f>
        <v/>
      </c>
      <c r="B371" s="10" t="n"/>
      <c r="C371" s="11" t="n"/>
      <c r="D371" s="11" t="n"/>
      <c r="E371" s="11" t="n"/>
      <c r="F371" s="11" t="n"/>
      <c r="G371" s="8" t="n"/>
      <c r="H371" s="12" t="n"/>
      <c r="I371" s="13" t="n"/>
      <c r="J371" s="14">
        <f>IF(OR(H371="",I371=""),"",H371*I371)</f>
        <v/>
      </c>
      <c r="K371" s="11" t="n"/>
      <c r="L371" s="9">
        <f>IF(B371="","",MONTH(B371))</f>
        <v/>
      </c>
      <c r="M371" s="9">
        <f>IF(B371="","",YEAR(B371))</f>
        <v/>
      </c>
    </row>
    <row r="372">
      <c r="A372" s="9">
        <f>IF(B372="","",ROW()-1)</f>
        <v/>
      </c>
      <c r="B372" s="10" t="n"/>
      <c r="C372" s="11" t="n"/>
      <c r="D372" s="11" t="n"/>
      <c r="E372" s="11" t="n"/>
      <c r="F372" s="11" t="n"/>
      <c r="G372" s="8" t="n"/>
      <c r="H372" s="12" t="n"/>
      <c r="I372" s="13" t="n"/>
      <c r="J372" s="14">
        <f>IF(OR(H372="",I372=""),"",H372*I372)</f>
        <v/>
      </c>
      <c r="K372" s="11" t="n"/>
      <c r="L372" s="9">
        <f>IF(B372="","",MONTH(B372))</f>
        <v/>
      </c>
      <c r="M372" s="9">
        <f>IF(B372="","",YEAR(B372))</f>
        <v/>
      </c>
    </row>
    <row r="373">
      <c r="A373" s="9">
        <f>IF(B373="","",ROW()-1)</f>
        <v/>
      </c>
      <c r="B373" s="10" t="n"/>
      <c r="C373" s="11" t="n"/>
      <c r="D373" s="11" t="n"/>
      <c r="E373" s="11" t="n"/>
      <c r="F373" s="11" t="n"/>
      <c r="G373" s="8" t="n"/>
      <c r="H373" s="12" t="n"/>
      <c r="I373" s="13" t="n"/>
      <c r="J373" s="14">
        <f>IF(OR(H373="",I373=""),"",H373*I373)</f>
        <v/>
      </c>
      <c r="K373" s="11" t="n"/>
      <c r="L373" s="9">
        <f>IF(B373="","",MONTH(B373))</f>
        <v/>
      </c>
      <c r="M373" s="9">
        <f>IF(B373="","",YEAR(B373))</f>
        <v/>
      </c>
    </row>
    <row r="374">
      <c r="A374" s="9">
        <f>IF(B374="","",ROW()-1)</f>
        <v/>
      </c>
      <c r="B374" s="10" t="n"/>
      <c r="C374" s="11" t="n"/>
      <c r="D374" s="11" t="n"/>
      <c r="E374" s="11" t="n"/>
      <c r="F374" s="11" t="n"/>
      <c r="G374" s="8" t="n"/>
      <c r="H374" s="12" t="n"/>
      <c r="I374" s="13" t="n"/>
      <c r="J374" s="14">
        <f>IF(OR(H374="",I374=""),"",H374*I374)</f>
        <v/>
      </c>
      <c r="K374" s="11" t="n"/>
      <c r="L374" s="9">
        <f>IF(B374="","",MONTH(B374))</f>
        <v/>
      </c>
      <c r="M374" s="9">
        <f>IF(B374="","",YEAR(B374))</f>
        <v/>
      </c>
    </row>
    <row r="375">
      <c r="A375" s="9">
        <f>IF(B375="","",ROW()-1)</f>
        <v/>
      </c>
      <c r="B375" s="10" t="n"/>
      <c r="C375" s="11" t="n"/>
      <c r="D375" s="11" t="n"/>
      <c r="E375" s="11" t="n"/>
      <c r="F375" s="11" t="n"/>
      <c r="G375" s="8" t="n"/>
      <c r="H375" s="12" t="n"/>
      <c r="I375" s="13" t="n"/>
      <c r="J375" s="14">
        <f>IF(OR(H375="",I375=""),"",H375*I375)</f>
        <v/>
      </c>
      <c r="K375" s="11" t="n"/>
      <c r="L375" s="9">
        <f>IF(B375="","",MONTH(B375))</f>
        <v/>
      </c>
      <c r="M375" s="9">
        <f>IF(B375="","",YEAR(B375))</f>
        <v/>
      </c>
    </row>
    <row r="376">
      <c r="A376" s="9">
        <f>IF(B376="","",ROW()-1)</f>
        <v/>
      </c>
      <c r="B376" s="10" t="n"/>
      <c r="C376" s="11" t="n"/>
      <c r="D376" s="11" t="n"/>
      <c r="E376" s="11" t="n"/>
      <c r="F376" s="11" t="n"/>
      <c r="G376" s="8" t="n"/>
      <c r="H376" s="12" t="n"/>
      <c r="I376" s="13" t="n"/>
      <c r="J376" s="14">
        <f>IF(OR(H376="",I376=""),"",H376*I376)</f>
        <v/>
      </c>
      <c r="K376" s="11" t="n"/>
      <c r="L376" s="9">
        <f>IF(B376="","",MONTH(B376))</f>
        <v/>
      </c>
      <c r="M376" s="9">
        <f>IF(B376="","",YEAR(B376))</f>
        <v/>
      </c>
    </row>
    <row r="377">
      <c r="A377" s="9">
        <f>IF(B377="","",ROW()-1)</f>
        <v/>
      </c>
      <c r="B377" s="10" t="n"/>
      <c r="C377" s="11" t="n"/>
      <c r="D377" s="11" t="n"/>
      <c r="E377" s="11" t="n"/>
      <c r="F377" s="11" t="n"/>
      <c r="G377" s="8" t="n"/>
      <c r="H377" s="12" t="n"/>
      <c r="I377" s="13" t="n"/>
      <c r="J377" s="14">
        <f>IF(OR(H377="",I377=""),"",H377*I377)</f>
        <v/>
      </c>
      <c r="K377" s="11" t="n"/>
      <c r="L377" s="9">
        <f>IF(B377="","",MONTH(B377))</f>
        <v/>
      </c>
      <c r="M377" s="9">
        <f>IF(B377="","",YEAR(B377))</f>
        <v/>
      </c>
    </row>
    <row r="378">
      <c r="A378" s="9">
        <f>IF(B378="","",ROW()-1)</f>
        <v/>
      </c>
      <c r="B378" s="10" t="n"/>
      <c r="C378" s="11" t="n"/>
      <c r="D378" s="11" t="n"/>
      <c r="E378" s="11" t="n"/>
      <c r="F378" s="11" t="n"/>
      <c r="G378" s="8" t="n"/>
      <c r="H378" s="12" t="n"/>
      <c r="I378" s="13" t="n"/>
      <c r="J378" s="14">
        <f>IF(OR(H378="",I378=""),"",H378*I378)</f>
        <v/>
      </c>
      <c r="K378" s="11" t="n"/>
      <c r="L378" s="9">
        <f>IF(B378="","",MONTH(B378))</f>
        <v/>
      </c>
      <c r="M378" s="9">
        <f>IF(B378="","",YEAR(B378))</f>
        <v/>
      </c>
    </row>
    <row r="379">
      <c r="A379" s="9">
        <f>IF(B379="","",ROW()-1)</f>
        <v/>
      </c>
      <c r="B379" s="10" t="n"/>
      <c r="C379" s="11" t="n"/>
      <c r="D379" s="11" t="n"/>
      <c r="E379" s="11" t="n"/>
      <c r="F379" s="11" t="n"/>
      <c r="G379" s="8" t="n"/>
      <c r="H379" s="12" t="n"/>
      <c r="I379" s="13" t="n"/>
      <c r="J379" s="14">
        <f>IF(OR(H379="",I379=""),"",H379*I379)</f>
        <v/>
      </c>
      <c r="K379" s="11" t="n"/>
      <c r="L379" s="9">
        <f>IF(B379="","",MONTH(B379))</f>
        <v/>
      </c>
      <c r="M379" s="9">
        <f>IF(B379="","",YEAR(B379))</f>
        <v/>
      </c>
    </row>
    <row r="380">
      <c r="A380" s="9">
        <f>IF(B380="","",ROW()-1)</f>
        <v/>
      </c>
      <c r="B380" s="10" t="n"/>
      <c r="C380" s="11" t="n"/>
      <c r="D380" s="11" t="n"/>
      <c r="E380" s="11" t="n"/>
      <c r="F380" s="11" t="n"/>
      <c r="G380" s="8" t="n"/>
      <c r="H380" s="12" t="n"/>
      <c r="I380" s="13" t="n"/>
      <c r="J380" s="14">
        <f>IF(OR(H380="",I380=""),"",H380*I380)</f>
        <v/>
      </c>
      <c r="K380" s="11" t="n"/>
      <c r="L380" s="9">
        <f>IF(B380="","",MONTH(B380))</f>
        <v/>
      </c>
      <c r="M380" s="9">
        <f>IF(B380="","",YEAR(B380))</f>
        <v/>
      </c>
    </row>
    <row r="381">
      <c r="A381" s="9">
        <f>IF(B381="","",ROW()-1)</f>
        <v/>
      </c>
      <c r="B381" s="10" t="n"/>
      <c r="C381" s="11" t="n"/>
      <c r="D381" s="11" t="n"/>
      <c r="E381" s="11" t="n"/>
      <c r="F381" s="11" t="n"/>
      <c r="G381" s="8" t="n"/>
      <c r="H381" s="12" t="n"/>
      <c r="I381" s="13" t="n"/>
      <c r="J381" s="14">
        <f>IF(OR(H381="",I381=""),"",H381*I381)</f>
        <v/>
      </c>
      <c r="K381" s="11" t="n"/>
      <c r="L381" s="9">
        <f>IF(B381="","",MONTH(B381))</f>
        <v/>
      </c>
      <c r="M381" s="9">
        <f>IF(B381="","",YEAR(B381))</f>
        <v/>
      </c>
    </row>
    <row r="382">
      <c r="A382" s="9">
        <f>IF(B382="","",ROW()-1)</f>
        <v/>
      </c>
      <c r="B382" s="10" t="n"/>
      <c r="C382" s="11" t="n"/>
      <c r="D382" s="11" t="n"/>
      <c r="E382" s="11" t="n"/>
      <c r="F382" s="11" t="n"/>
      <c r="G382" s="8" t="n"/>
      <c r="H382" s="12" t="n"/>
      <c r="I382" s="13" t="n"/>
      <c r="J382" s="14">
        <f>IF(OR(H382="",I382=""),"",H382*I382)</f>
        <v/>
      </c>
      <c r="K382" s="11" t="n"/>
      <c r="L382" s="9">
        <f>IF(B382="","",MONTH(B382))</f>
        <v/>
      </c>
      <c r="M382" s="9">
        <f>IF(B382="","",YEAR(B382))</f>
        <v/>
      </c>
    </row>
    <row r="383">
      <c r="A383" s="9">
        <f>IF(B383="","",ROW()-1)</f>
        <v/>
      </c>
      <c r="B383" s="10" t="n"/>
      <c r="C383" s="11" t="n"/>
      <c r="D383" s="11" t="n"/>
      <c r="E383" s="11" t="n"/>
      <c r="F383" s="11" t="n"/>
      <c r="G383" s="8" t="n"/>
      <c r="H383" s="12" t="n"/>
      <c r="I383" s="13" t="n"/>
      <c r="J383" s="14">
        <f>IF(OR(H383="",I383=""),"",H383*I383)</f>
        <v/>
      </c>
      <c r="K383" s="11" t="n"/>
      <c r="L383" s="9">
        <f>IF(B383="","",MONTH(B383))</f>
        <v/>
      </c>
      <c r="M383" s="9">
        <f>IF(B383="","",YEAR(B383))</f>
        <v/>
      </c>
    </row>
    <row r="384">
      <c r="A384" s="9">
        <f>IF(B384="","",ROW()-1)</f>
        <v/>
      </c>
      <c r="B384" s="10" t="n"/>
      <c r="C384" s="11" t="n"/>
      <c r="D384" s="11" t="n"/>
      <c r="E384" s="11" t="n"/>
      <c r="F384" s="11" t="n"/>
      <c r="G384" s="8" t="n"/>
      <c r="H384" s="12" t="n"/>
      <c r="I384" s="13" t="n"/>
      <c r="J384" s="14">
        <f>IF(OR(H384="",I384=""),"",H384*I384)</f>
        <v/>
      </c>
      <c r="K384" s="11" t="n"/>
      <c r="L384" s="9">
        <f>IF(B384="","",MONTH(B384))</f>
        <v/>
      </c>
      <c r="M384" s="9">
        <f>IF(B384="","",YEAR(B384))</f>
        <v/>
      </c>
    </row>
    <row r="385">
      <c r="A385" s="9">
        <f>IF(B385="","",ROW()-1)</f>
        <v/>
      </c>
      <c r="B385" s="10" t="n"/>
      <c r="C385" s="11" t="n"/>
      <c r="D385" s="11" t="n"/>
      <c r="E385" s="11" t="n"/>
      <c r="F385" s="11" t="n"/>
      <c r="G385" s="8" t="n"/>
      <c r="H385" s="12" t="n"/>
      <c r="I385" s="13" t="n"/>
      <c r="J385" s="14">
        <f>IF(OR(H385="",I385=""),"",H385*I385)</f>
        <v/>
      </c>
      <c r="K385" s="11" t="n"/>
      <c r="L385" s="9">
        <f>IF(B385="","",MONTH(B385))</f>
        <v/>
      </c>
      <c r="M385" s="9">
        <f>IF(B385="","",YEAR(B385))</f>
        <v/>
      </c>
    </row>
    <row r="386">
      <c r="A386" s="9">
        <f>IF(B386="","",ROW()-1)</f>
        <v/>
      </c>
      <c r="B386" s="10" t="n"/>
      <c r="C386" s="11" t="n"/>
      <c r="D386" s="11" t="n"/>
      <c r="E386" s="11" t="n"/>
      <c r="F386" s="11" t="n"/>
      <c r="G386" s="8" t="n"/>
      <c r="H386" s="12" t="n"/>
      <c r="I386" s="13" t="n"/>
      <c r="J386" s="14">
        <f>IF(OR(H386="",I386=""),"",H386*I386)</f>
        <v/>
      </c>
      <c r="K386" s="11" t="n"/>
      <c r="L386" s="9">
        <f>IF(B386="","",MONTH(B386))</f>
        <v/>
      </c>
      <c r="M386" s="9">
        <f>IF(B386="","",YEAR(B386))</f>
        <v/>
      </c>
    </row>
    <row r="387">
      <c r="A387" s="9">
        <f>IF(B387="","",ROW()-1)</f>
        <v/>
      </c>
      <c r="B387" s="10" t="n"/>
      <c r="C387" s="11" t="n"/>
      <c r="D387" s="11" t="n"/>
      <c r="E387" s="11" t="n"/>
      <c r="F387" s="11" t="n"/>
      <c r="G387" s="8" t="n"/>
      <c r="H387" s="12" t="n"/>
      <c r="I387" s="13" t="n"/>
      <c r="J387" s="14">
        <f>IF(OR(H387="",I387=""),"",H387*I387)</f>
        <v/>
      </c>
      <c r="K387" s="11" t="n"/>
      <c r="L387" s="9">
        <f>IF(B387="","",MONTH(B387))</f>
        <v/>
      </c>
      <c r="M387" s="9">
        <f>IF(B387="","",YEAR(B387))</f>
        <v/>
      </c>
    </row>
    <row r="388">
      <c r="A388" s="9">
        <f>IF(B388="","",ROW()-1)</f>
        <v/>
      </c>
      <c r="B388" s="10" t="n"/>
      <c r="C388" s="11" t="n"/>
      <c r="D388" s="11" t="n"/>
      <c r="E388" s="11" t="n"/>
      <c r="F388" s="11" t="n"/>
      <c r="G388" s="8" t="n"/>
      <c r="H388" s="12" t="n"/>
      <c r="I388" s="13" t="n"/>
      <c r="J388" s="14">
        <f>IF(OR(H388="",I388=""),"",H388*I388)</f>
        <v/>
      </c>
      <c r="K388" s="11" t="n"/>
      <c r="L388" s="9">
        <f>IF(B388="","",MONTH(B388))</f>
        <v/>
      </c>
      <c r="M388" s="9">
        <f>IF(B388="","",YEAR(B388))</f>
        <v/>
      </c>
    </row>
    <row r="389">
      <c r="A389" s="9">
        <f>IF(B389="","",ROW()-1)</f>
        <v/>
      </c>
      <c r="B389" s="10" t="n"/>
      <c r="C389" s="11" t="n"/>
      <c r="D389" s="11" t="n"/>
      <c r="E389" s="11" t="n"/>
      <c r="F389" s="11" t="n"/>
      <c r="G389" s="8" t="n"/>
      <c r="H389" s="12" t="n"/>
      <c r="I389" s="13" t="n"/>
      <c r="J389" s="14">
        <f>IF(OR(H389="",I389=""),"",H389*I389)</f>
        <v/>
      </c>
      <c r="K389" s="11" t="n"/>
      <c r="L389" s="9">
        <f>IF(B389="","",MONTH(B389))</f>
        <v/>
      </c>
      <c r="M389" s="9">
        <f>IF(B389="","",YEAR(B389))</f>
        <v/>
      </c>
    </row>
    <row r="390">
      <c r="A390" s="9">
        <f>IF(B390="","",ROW()-1)</f>
        <v/>
      </c>
      <c r="B390" s="10" t="n"/>
      <c r="C390" s="11" t="n"/>
      <c r="D390" s="11" t="n"/>
      <c r="E390" s="11" t="n"/>
      <c r="F390" s="11" t="n"/>
      <c r="G390" s="8" t="n"/>
      <c r="H390" s="12" t="n"/>
      <c r="I390" s="13" t="n"/>
      <c r="J390" s="14">
        <f>IF(OR(H390="",I390=""),"",H390*I390)</f>
        <v/>
      </c>
      <c r="K390" s="11" t="n"/>
      <c r="L390" s="9">
        <f>IF(B390="","",MONTH(B390))</f>
        <v/>
      </c>
      <c r="M390" s="9">
        <f>IF(B390="","",YEAR(B390))</f>
        <v/>
      </c>
    </row>
    <row r="391">
      <c r="A391" s="9">
        <f>IF(B391="","",ROW()-1)</f>
        <v/>
      </c>
      <c r="B391" s="10" t="n"/>
      <c r="C391" s="11" t="n"/>
      <c r="D391" s="11" t="n"/>
      <c r="E391" s="11" t="n"/>
      <c r="F391" s="11" t="n"/>
      <c r="G391" s="8" t="n"/>
      <c r="H391" s="12" t="n"/>
      <c r="I391" s="13" t="n"/>
      <c r="J391" s="14">
        <f>IF(OR(H391="",I391=""),"",H391*I391)</f>
        <v/>
      </c>
      <c r="K391" s="11" t="n"/>
      <c r="L391" s="9">
        <f>IF(B391="","",MONTH(B391))</f>
        <v/>
      </c>
      <c r="M391" s="9">
        <f>IF(B391="","",YEAR(B391))</f>
        <v/>
      </c>
    </row>
    <row r="392">
      <c r="A392" s="9">
        <f>IF(B392="","",ROW()-1)</f>
        <v/>
      </c>
      <c r="B392" s="10" t="n"/>
      <c r="C392" s="11" t="n"/>
      <c r="D392" s="11" t="n"/>
      <c r="E392" s="11" t="n"/>
      <c r="F392" s="11" t="n"/>
      <c r="G392" s="8" t="n"/>
      <c r="H392" s="12" t="n"/>
      <c r="I392" s="13" t="n"/>
      <c r="J392" s="14">
        <f>IF(OR(H392="",I392=""),"",H392*I392)</f>
        <v/>
      </c>
      <c r="K392" s="11" t="n"/>
      <c r="L392" s="9">
        <f>IF(B392="","",MONTH(B392))</f>
        <v/>
      </c>
      <c r="M392" s="9">
        <f>IF(B392="","",YEAR(B392))</f>
        <v/>
      </c>
    </row>
    <row r="393">
      <c r="A393" s="9">
        <f>IF(B393="","",ROW()-1)</f>
        <v/>
      </c>
      <c r="B393" s="10" t="n"/>
      <c r="C393" s="11" t="n"/>
      <c r="D393" s="11" t="n"/>
      <c r="E393" s="11" t="n"/>
      <c r="F393" s="11" t="n"/>
      <c r="G393" s="8" t="n"/>
      <c r="H393" s="12" t="n"/>
      <c r="I393" s="13" t="n"/>
      <c r="J393" s="14">
        <f>IF(OR(H393="",I393=""),"",H393*I393)</f>
        <v/>
      </c>
      <c r="K393" s="11" t="n"/>
      <c r="L393" s="9">
        <f>IF(B393="","",MONTH(B393))</f>
        <v/>
      </c>
      <c r="M393" s="9">
        <f>IF(B393="","",YEAR(B393))</f>
        <v/>
      </c>
    </row>
    <row r="394">
      <c r="A394" s="9">
        <f>IF(B394="","",ROW()-1)</f>
        <v/>
      </c>
      <c r="B394" s="10" t="n"/>
      <c r="C394" s="11" t="n"/>
      <c r="D394" s="11" t="n"/>
      <c r="E394" s="11" t="n"/>
      <c r="F394" s="11" t="n"/>
      <c r="G394" s="8" t="n"/>
      <c r="H394" s="12" t="n"/>
      <c r="I394" s="13" t="n"/>
      <c r="J394" s="14">
        <f>IF(OR(H394="",I394=""),"",H394*I394)</f>
        <v/>
      </c>
      <c r="K394" s="11" t="n"/>
      <c r="L394" s="9">
        <f>IF(B394="","",MONTH(B394))</f>
        <v/>
      </c>
      <c r="M394" s="9">
        <f>IF(B394="","",YEAR(B394))</f>
        <v/>
      </c>
    </row>
    <row r="395">
      <c r="A395" s="9">
        <f>IF(B395="","",ROW()-1)</f>
        <v/>
      </c>
      <c r="B395" s="10" t="n"/>
      <c r="C395" s="11" t="n"/>
      <c r="D395" s="11" t="n"/>
      <c r="E395" s="11" t="n"/>
      <c r="F395" s="11" t="n"/>
      <c r="G395" s="8" t="n"/>
      <c r="H395" s="12" t="n"/>
      <c r="I395" s="13" t="n"/>
      <c r="J395" s="14">
        <f>IF(OR(H395="",I395=""),"",H395*I395)</f>
        <v/>
      </c>
      <c r="K395" s="11" t="n"/>
      <c r="L395" s="9">
        <f>IF(B395="","",MONTH(B395))</f>
        <v/>
      </c>
      <c r="M395" s="9">
        <f>IF(B395="","",YEAR(B395))</f>
        <v/>
      </c>
    </row>
    <row r="396">
      <c r="A396" s="9">
        <f>IF(B396="","",ROW()-1)</f>
        <v/>
      </c>
      <c r="B396" s="10" t="n"/>
      <c r="C396" s="11" t="n"/>
      <c r="D396" s="11" t="n"/>
      <c r="E396" s="11" t="n"/>
      <c r="F396" s="11" t="n"/>
      <c r="G396" s="8" t="n"/>
      <c r="H396" s="12" t="n"/>
      <c r="I396" s="13" t="n"/>
      <c r="J396" s="14">
        <f>IF(OR(H396="",I396=""),"",H396*I396)</f>
        <v/>
      </c>
      <c r="K396" s="11" t="n"/>
      <c r="L396" s="9">
        <f>IF(B396="","",MONTH(B396))</f>
        <v/>
      </c>
      <c r="M396" s="9">
        <f>IF(B396="","",YEAR(B396))</f>
        <v/>
      </c>
    </row>
    <row r="397">
      <c r="A397" s="9">
        <f>IF(B397="","",ROW()-1)</f>
        <v/>
      </c>
      <c r="B397" s="10" t="n"/>
      <c r="C397" s="11" t="n"/>
      <c r="D397" s="11" t="n"/>
      <c r="E397" s="11" t="n"/>
      <c r="F397" s="11" t="n"/>
      <c r="G397" s="8" t="n"/>
      <c r="H397" s="12" t="n"/>
      <c r="I397" s="13" t="n"/>
      <c r="J397" s="14">
        <f>IF(OR(H397="",I397=""),"",H397*I397)</f>
        <v/>
      </c>
      <c r="K397" s="11" t="n"/>
      <c r="L397" s="9">
        <f>IF(B397="","",MONTH(B397))</f>
        <v/>
      </c>
      <c r="M397" s="9">
        <f>IF(B397="","",YEAR(B397))</f>
        <v/>
      </c>
    </row>
    <row r="398">
      <c r="A398" s="9">
        <f>IF(B398="","",ROW()-1)</f>
        <v/>
      </c>
      <c r="B398" s="10" t="n"/>
      <c r="C398" s="11" t="n"/>
      <c r="D398" s="11" t="n"/>
      <c r="E398" s="11" t="n"/>
      <c r="F398" s="11" t="n"/>
      <c r="G398" s="8" t="n"/>
      <c r="H398" s="12" t="n"/>
      <c r="I398" s="13" t="n"/>
      <c r="J398" s="14">
        <f>IF(OR(H398="",I398=""),"",H398*I398)</f>
        <v/>
      </c>
      <c r="K398" s="11" t="n"/>
      <c r="L398" s="9">
        <f>IF(B398="","",MONTH(B398))</f>
        <v/>
      </c>
      <c r="M398" s="9">
        <f>IF(B398="","",YEAR(B398))</f>
        <v/>
      </c>
    </row>
    <row r="399">
      <c r="A399" s="9">
        <f>IF(B399="","",ROW()-1)</f>
        <v/>
      </c>
      <c r="B399" s="10" t="n"/>
      <c r="C399" s="11" t="n"/>
      <c r="D399" s="11" t="n"/>
      <c r="E399" s="11" t="n"/>
      <c r="F399" s="11" t="n"/>
      <c r="G399" s="8" t="n"/>
      <c r="H399" s="12" t="n"/>
      <c r="I399" s="13" t="n"/>
      <c r="J399" s="14">
        <f>IF(OR(H399="",I399=""),"",H399*I399)</f>
        <v/>
      </c>
      <c r="K399" s="11" t="n"/>
      <c r="L399" s="9">
        <f>IF(B399="","",MONTH(B399))</f>
        <v/>
      </c>
      <c r="M399" s="9">
        <f>IF(B399="","",YEAR(B399))</f>
        <v/>
      </c>
    </row>
    <row r="400">
      <c r="A400" s="9">
        <f>IF(B400="","",ROW()-1)</f>
        <v/>
      </c>
      <c r="B400" s="10" t="n"/>
      <c r="C400" s="11" t="n"/>
      <c r="D400" s="11" t="n"/>
      <c r="E400" s="11" t="n"/>
      <c r="F400" s="11" t="n"/>
      <c r="G400" s="8" t="n"/>
      <c r="H400" s="12" t="n"/>
      <c r="I400" s="13" t="n"/>
      <c r="J400" s="14">
        <f>IF(OR(H400="",I400=""),"",H400*I400)</f>
        <v/>
      </c>
      <c r="K400" s="11" t="n"/>
      <c r="L400" s="9">
        <f>IF(B400="","",MONTH(B400))</f>
        <v/>
      </c>
      <c r="M400" s="9">
        <f>IF(B400="","",YEAR(B400))</f>
        <v/>
      </c>
    </row>
    <row r="401">
      <c r="A401" s="9">
        <f>IF(B401="","",ROW()-1)</f>
        <v/>
      </c>
      <c r="B401" s="10" t="n"/>
      <c r="C401" s="11" t="n"/>
      <c r="D401" s="11" t="n"/>
      <c r="E401" s="11" t="n"/>
      <c r="F401" s="11" t="n"/>
      <c r="G401" s="8" t="n"/>
      <c r="H401" s="12" t="n"/>
      <c r="I401" s="13" t="n"/>
      <c r="J401" s="14">
        <f>IF(OR(H401="",I401=""),"",H401*I401)</f>
        <v/>
      </c>
      <c r="K401" s="11" t="n"/>
      <c r="L401" s="9">
        <f>IF(B401="","",MONTH(B401))</f>
        <v/>
      </c>
      <c r="M401" s="9">
        <f>IF(B401="","",YEAR(B401))</f>
        <v/>
      </c>
    </row>
    <row r="402">
      <c r="A402" s="9">
        <f>IF(B402="","",ROW()-1)</f>
        <v/>
      </c>
      <c r="B402" s="10" t="n"/>
      <c r="C402" s="11" t="n"/>
      <c r="D402" s="11" t="n"/>
      <c r="E402" s="11" t="n"/>
      <c r="F402" s="11" t="n"/>
      <c r="G402" s="8" t="n"/>
      <c r="H402" s="12" t="n"/>
      <c r="I402" s="13" t="n"/>
      <c r="J402" s="14">
        <f>IF(OR(H402="",I402=""),"",H402*I402)</f>
        <v/>
      </c>
      <c r="K402" s="11" t="n"/>
      <c r="L402" s="9">
        <f>IF(B402="","",MONTH(B402))</f>
        <v/>
      </c>
      <c r="M402" s="9">
        <f>IF(B402="","",YEAR(B402))</f>
        <v/>
      </c>
    </row>
    <row r="403">
      <c r="A403" s="9">
        <f>IF(B403="","",ROW()-1)</f>
        <v/>
      </c>
      <c r="B403" s="10" t="n"/>
      <c r="C403" s="11" t="n"/>
      <c r="D403" s="11" t="n"/>
      <c r="E403" s="11" t="n"/>
      <c r="F403" s="11" t="n"/>
      <c r="G403" s="8" t="n"/>
      <c r="H403" s="12" t="n"/>
      <c r="I403" s="13" t="n"/>
      <c r="J403" s="14">
        <f>IF(OR(H403="",I403=""),"",H403*I403)</f>
        <v/>
      </c>
      <c r="K403" s="11" t="n"/>
      <c r="L403" s="9">
        <f>IF(B403="","",MONTH(B403))</f>
        <v/>
      </c>
      <c r="M403" s="9">
        <f>IF(B403="","",YEAR(B403))</f>
        <v/>
      </c>
    </row>
    <row r="404">
      <c r="A404" s="9">
        <f>IF(B404="","",ROW()-1)</f>
        <v/>
      </c>
      <c r="B404" s="10" t="n"/>
      <c r="C404" s="11" t="n"/>
      <c r="D404" s="11" t="n"/>
      <c r="E404" s="11" t="n"/>
      <c r="F404" s="11" t="n"/>
      <c r="G404" s="8" t="n"/>
      <c r="H404" s="12" t="n"/>
      <c r="I404" s="13" t="n"/>
      <c r="J404" s="14">
        <f>IF(OR(H404="",I404=""),"",H404*I404)</f>
        <v/>
      </c>
      <c r="K404" s="11" t="n"/>
      <c r="L404" s="9">
        <f>IF(B404="","",MONTH(B404))</f>
        <v/>
      </c>
      <c r="M404" s="9">
        <f>IF(B404="","",YEAR(B404))</f>
        <v/>
      </c>
    </row>
    <row r="405">
      <c r="A405" s="9">
        <f>IF(B405="","",ROW()-1)</f>
        <v/>
      </c>
      <c r="B405" s="10" t="n"/>
      <c r="C405" s="11" t="n"/>
      <c r="D405" s="11" t="n"/>
      <c r="E405" s="11" t="n"/>
      <c r="F405" s="11" t="n"/>
      <c r="G405" s="8" t="n"/>
      <c r="H405" s="12" t="n"/>
      <c r="I405" s="13" t="n"/>
      <c r="J405" s="14">
        <f>IF(OR(H405="",I405=""),"",H405*I405)</f>
        <v/>
      </c>
      <c r="K405" s="11" t="n"/>
      <c r="L405" s="9">
        <f>IF(B405="","",MONTH(B405))</f>
        <v/>
      </c>
      <c r="M405" s="9">
        <f>IF(B405="","",YEAR(B405))</f>
        <v/>
      </c>
    </row>
    <row r="406">
      <c r="A406" s="9">
        <f>IF(B406="","",ROW()-1)</f>
        <v/>
      </c>
      <c r="B406" s="10" t="n"/>
      <c r="C406" s="11" t="n"/>
      <c r="D406" s="11" t="n"/>
      <c r="E406" s="11" t="n"/>
      <c r="F406" s="11" t="n"/>
      <c r="G406" s="8" t="n"/>
      <c r="H406" s="12" t="n"/>
      <c r="I406" s="13" t="n"/>
      <c r="J406" s="14">
        <f>IF(OR(H406="",I406=""),"",H406*I406)</f>
        <v/>
      </c>
      <c r="K406" s="11" t="n"/>
      <c r="L406" s="9">
        <f>IF(B406="","",MONTH(B406))</f>
        <v/>
      </c>
      <c r="M406" s="9">
        <f>IF(B406="","",YEAR(B406))</f>
        <v/>
      </c>
    </row>
    <row r="407">
      <c r="A407" s="9">
        <f>IF(B407="","",ROW()-1)</f>
        <v/>
      </c>
      <c r="B407" s="10" t="n"/>
      <c r="C407" s="11" t="n"/>
      <c r="D407" s="11" t="n"/>
      <c r="E407" s="11" t="n"/>
      <c r="F407" s="11" t="n"/>
      <c r="G407" s="8" t="n"/>
      <c r="H407" s="12" t="n"/>
      <c r="I407" s="13" t="n"/>
      <c r="J407" s="14">
        <f>IF(OR(H407="",I407=""),"",H407*I407)</f>
        <v/>
      </c>
      <c r="K407" s="11" t="n"/>
      <c r="L407" s="9">
        <f>IF(B407="","",MONTH(B407))</f>
        <v/>
      </c>
      <c r="M407" s="9">
        <f>IF(B407="","",YEAR(B407))</f>
        <v/>
      </c>
    </row>
    <row r="408">
      <c r="A408" s="9">
        <f>IF(B408="","",ROW()-1)</f>
        <v/>
      </c>
      <c r="B408" s="10" t="n"/>
      <c r="C408" s="11" t="n"/>
      <c r="D408" s="11" t="n"/>
      <c r="E408" s="11" t="n"/>
      <c r="F408" s="11" t="n"/>
      <c r="G408" s="8" t="n"/>
      <c r="H408" s="12" t="n"/>
      <c r="I408" s="13" t="n"/>
      <c r="J408" s="14">
        <f>IF(OR(H408="",I408=""),"",H408*I408)</f>
        <v/>
      </c>
      <c r="K408" s="11" t="n"/>
      <c r="L408" s="9">
        <f>IF(B408="","",MONTH(B408))</f>
        <v/>
      </c>
      <c r="M408" s="9">
        <f>IF(B408="","",YEAR(B408))</f>
        <v/>
      </c>
    </row>
    <row r="409">
      <c r="A409" s="9">
        <f>IF(B409="","",ROW()-1)</f>
        <v/>
      </c>
      <c r="B409" s="10" t="n"/>
      <c r="C409" s="11" t="n"/>
      <c r="D409" s="11" t="n"/>
      <c r="E409" s="11" t="n"/>
      <c r="F409" s="11" t="n"/>
      <c r="G409" s="8" t="n"/>
      <c r="H409" s="12" t="n"/>
      <c r="I409" s="13" t="n"/>
      <c r="J409" s="14">
        <f>IF(OR(H409="",I409=""),"",H409*I409)</f>
        <v/>
      </c>
      <c r="K409" s="11" t="n"/>
      <c r="L409" s="9">
        <f>IF(B409="","",MONTH(B409))</f>
        <v/>
      </c>
      <c r="M409" s="9">
        <f>IF(B409="","",YEAR(B409))</f>
        <v/>
      </c>
    </row>
    <row r="410">
      <c r="A410" s="9">
        <f>IF(B410="","",ROW()-1)</f>
        <v/>
      </c>
      <c r="B410" s="10" t="n"/>
      <c r="C410" s="11" t="n"/>
      <c r="D410" s="11" t="n"/>
      <c r="E410" s="11" t="n"/>
      <c r="F410" s="11" t="n"/>
      <c r="G410" s="8" t="n"/>
      <c r="H410" s="12" t="n"/>
      <c r="I410" s="13" t="n"/>
      <c r="J410" s="14">
        <f>IF(OR(H410="",I410=""),"",H410*I410)</f>
        <v/>
      </c>
      <c r="K410" s="11" t="n"/>
      <c r="L410" s="9">
        <f>IF(B410="","",MONTH(B410))</f>
        <v/>
      </c>
      <c r="M410" s="9">
        <f>IF(B410="","",YEAR(B410))</f>
        <v/>
      </c>
    </row>
    <row r="411">
      <c r="A411" s="9">
        <f>IF(B411="","",ROW()-1)</f>
        <v/>
      </c>
      <c r="B411" s="10" t="n"/>
      <c r="C411" s="11" t="n"/>
      <c r="D411" s="11" t="n"/>
      <c r="E411" s="11" t="n"/>
      <c r="F411" s="11" t="n"/>
      <c r="G411" s="8" t="n"/>
      <c r="H411" s="12" t="n"/>
      <c r="I411" s="13" t="n"/>
      <c r="J411" s="14">
        <f>IF(OR(H411="",I411=""),"",H411*I411)</f>
        <v/>
      </c>
      <c r="K411" s="11" t="n"/>
      <c r="L411" s="9">
        <f>IF(B411="","",MONTH(B411))</f>
        <v/>
      </c>
      <c r="M411" s="9">
        <f>IF(B411="","",YEAR(B411))</f>
        <v/>
      </c>
    </row>
    <row r="412">
      <c r="A412" s="9">
        <f>IF(B412="","",ROW()-1)</f>
        <v/>
      </c>
      <c r="B412" s="10" t="n"/>
      <c r="C412" s="11" t="n"/>
      <c r="D412" s="11" t="n"/>
      <c r="E412" s="11" t="n"/>
      <c r="F412" s="11" t="n"/>
      <c r="G412" s="8" t="n"/>
      <c r="H412" s="12" t="n"/>
      <c r="I412" s="13" t="n"/>
      <c r="J412" s="14">
        <f>IF(OR(H412="",I412=""),"",H412*I412)</f>
        <v/>
      </c>
      <c r="K412" s="11" t="n"/>
      <c r="L412" s="9">
        <f>IF(B412="","",MONTH(B412))</f>
        <v/>
      </c>
      <c r="M412" s="9">
        <f>IF(B412="","",YEAR(B412))</f>
        <v/>
      </c>
    </row>
    <row r="413">
      <c r="A413" s="9">
        <f>IF(B413="","",ROW()-1)</f>
        <v/>
      </c>
      <c r="B413" s="10" t="n"/>
      <c r="C413" s="11" t="n"/>
      <c r="D413" s="11" t="n"/>
      <c r="E413" s="11" t="n"/>
      <c r="F413" s="11" t="n"/>
      <c r="G413" s="8" t="n"/>
      <c r="H413" s="12" t="n"/>
      <c r="I413" s="13" t="n"/>
      <c r="J413" s="14">
        <f>IF(OR(H413="",I413=""),"",H413*I413)</f>
        <v/>
      </c>
      <c r="K413" s="11" t="n"/>
      <c r="L413" s="9">
        <f>IF(B413="","",MONTH(B413))</f>
        <v/>
      </c>
      <c r="M413" s="9">
        <f>IF(B413="","",YEAR(B413))</f>
        <v/>
      </c>
    </row>
    <row r="414">
      <c r="A414" s="9">
        <f>IF(B414="","",ROW()-1)</f>
        <v/>
      </c>
      <c r="B414" s="10" t="n"/>
      <c r="C414" s="11" t="n"/>
      <c r="D414" s="11" t="n"/>
      <c r="E414" s="11" t="n"/>
      <c r="F414" s="11" t="n"/>
      <c r="G414" s="8" t="n"/>
      <c r="H414" s="12" t="n"/>
      <c r="I414" s="13" t="n"/>
      <c r="J414" s="14">
        <f>IF(OR(H414="",I414=""),"",H414*I414)</f>
        <v/>
      </c>
      <c r="K414" s="11" t="n"/>
      <c r="L414" s="9">
        <f>IF(B414="","",MONTH(B414))</f>
        <v/>
      </c>
      <c r="M414" s="9">
        <f>IF(B414="","",YEAR(B414))</f>
        <v/>
      </c>
    </row>
    <row r="415">
      <c r="A415" s="9">
        <f>IF(B415="","",ROW()-1)</f>
        <v/>
      </c>
      <c r="B415" s="10" t="n"/>
      <c r="C415" s="11" t="n"/>
      <c r="D415" s="11" t="n"/>
      <c r="E415" s="11" t="n"/>
      <c r="F415" s="11" t="n"/>
      <c r="G415" s="8" t="n"/>
      <c r="H415" s="12" t="n"/>
      <c r="I415" s="13" t="n"/>
      <c r="J415" s="14">
        <f>IF(OR(H415="",I415=""),"",H415*I415)</f>
        <v/>
      </c>
      <c r="K415" s="11" t="n"/>
      <c r="L415" s="9">
        <f>IF(B415="","",MONTH(B415))</f>
        <v/>
      </c>
      <c r="M415" s="9">
        <f>IF(B415="","",YEAR(B415))</f>
        <v/>
      </c>
    </row>
    <row r="416">
      <c r="A416" s="9">
        <f>IF(B416="","",ROW()-1)</f>
        <v/>
      </c>
      <c r="B416" s="10" t="n"/>
      <c r="C416" s="11" t="n"/>
      <c r="D416" s="11" t="n"/>
      <c r="E416" s="11" t="n"/>
      <c r="F416" s="11" t="n"/>
      <c r="G416" s="8" t="n"/>
      <c r="H416" s="12" t="n"/>
      <c r="I416" s="13" t="n"/>
      <c r="J416" s="14">
        <f>IF(OR(H416="",I416=""),"",H416*I416)</f>
        <v/>
      </c>
      <c r="K416" s="11" t="n"/>
      <c r="L416" s="9">
        <f>IF(B416="","",MONTH(B416))</f>
        <v/>
      </c>
      <c r="M416" s="9">
        <f>IF(B416="","",YEAR(B416))</f>
        <v/>
      </c>
    </row>
    <row r="417">
      <c r="A417" s="9">
        <f>IF(B417="","",ROW()-1)</f>
        <v/>
      </c>
      <c r="B417" s="10" t="n"/>
      <c r="C417" s="11" t="n"/>
      <c r="D417" s="11" t="n"/>
      <c r="E417" s="11" t="n"/>
      <c r="F417" s="11" t="n"/>
      <c r="G417" s="8" t="n"/>
      <c r="H417" s="12" t="n"/>
      <c r="I417" s="13" t="n"/>
      <c r="J417" s="14">
        <f>IF(OR(H417="",I417=""),"",H417*I417)</f>
        <v/>
      </c>
      <c r="K417" s="11" t="n"/>
      <c r="L417" s="9">
        <f>IF(B417="","",MONTH(B417))</f>
        <v/>
      </c>
      <c r="M417" s="9">
        <f>IF(B417="","",YEAR(B417))</f>
        <v/>
      </c>
    </row>
    <row r="418">
      <c r="A418" s="9">
        <f>IF(B418="","",ROW()-1)</f>
        <v/>
      </c>
      <c r="B418" s="10" t="n"/>
      <c r="C418" s="11" t="n"/>
      <c r="D418" s="11" t="n"/>
      <c r="E418" s="11" t="n"/>
      <c r="F418" s="11" t="n"/>
      <c r="G418" s="8" t="n"/>
      <c r="H418" s="12" t="n"/>
      <c r="I418" s="13" t="n"/>
      <c r="J418" s="14">
        <f>IF(OR(H418="",I418=""),"",H418*I418)</f>
        <v/>
      </c>
      <c r="K418" s="11" t="n"/>
      <c r="L418" s="9">
        <f>IF(B418="","",MONTH(B418))</f>
        <v/>
      </c>
      <c r="M418" s="9">
        <f>IF(B418="","",YEAR(B418))</f>
        <v/>
      </c>
    </row>
    <row r="419">
      <c r="A419" s="9">
        <f>IF(B419="","",ROW()-1)</f>
        <v/>
      </c>
      <c r="B419" s="10" t="n"/>
      <c r="C419" s="11" t="n"/>
      <c r="D419" s="11" t="n"/>
      <c r="E419" s="11" t="n"/>
      <c r="F419" s="11" t="n"/>
      <c r="G419" s="8" t="n"/>
      <c r="H419" s="12" t="n"/>
      <c r="I419" s="13" t="n"/>
      <c r="J419" s="14">
        <f>IF(OR(H419="",I419=""),"",H419*I419)</f>
        <v/>
      </c>
      <c r="K419" s="11" t="n"/>
      <c r="L419" s="9">
        <f>IF(B419="","",MONTH(B419))</f>
        <v/>
      </c>
      <c r="M419" s="9">
        <f>IF(B419="","",YEAR(B419))</f>
        <v/>
      </c>
    </row>
    <row r="420">
      <c r="A420" s="9">
        <f>IF(B420="","",ROW()-1)</f>
        <v/>
      </c>
      <c r="B420" s="10" t="n"/>
      <c r="C420" s="11" t="n"/>
      <c r="D420" s="11" t="n"/>
      <c r="E420" s="11" t="n"/>
      <c r="F420" s="11" t="n"/>
      <c r="G420" s="8" t="n"/>
      <c r="H420" s="12" t="n"/>
      <c r="I420" s="13" t="n"/>
      <c r="J420" s="14">
        <f>IF(OR(H420="",I420=""),"",H420*I420)</f>
        <v/>
      </c>
      <c r="K420" s="11" t="n"/>
      <c r="L420" s="9">
        <f>IF(B420="","",MONTH(B420))</f>
        <v/>
      </c>
      <c r="M420" s="9">
        <f>IF(B420="","",YEAR(B420))</f>
        <v/>
      </c>
    </row>
    <row r="421">
      <c r="A421" s="9">
        <f>IF(B421="","",ROW()-1)</f>
        <v/>
      </c>
      <c r="B421" s="10" t="n"/>
      <c r="C421" s="11" t="n"/>
      <c r="D421" s="11" t="n"/>
      <c r="E421" s="11" t="n"/>
      <c r="F421" s="11" t="n"/>
      <c r="G421" s="8" t="n"/>
      <c r="H421" s="12" t="n"/>
      <c r="I421" s="13" t="n"/>
      <c r="J421" s="14">
        <f>IF(OR(H421="",I421=""),"",H421*I421)</f>
        <v/>
      </c>
      <c r="K421" s="11" t="n"/>
      <c r="L421" s="9">
        <f>IF(B421="","",MONTH(B421))</f>
        <v/>
      </c>
      <c r="M421" s="9">
        <f>IF(B421="","",YEAR(B421))</f>
        <v/>
      </c>
    </row>
    <row r="422">
      <c r="A422" s="9">
        <f>IF(B422="","",ROW()-1)</f>
        <v/>
      </c>
      <c r="B422" s="10" t="n"/>
      <c r="C422" s="11" t="n"/>
      <c r="D422" s="11" t="n"/>
      <c r="E422" s="11" t="n"/>
      <c r="F422" s="11" t="n"/>
      <c r="G422" s="8" t="n"/>
      <c r="H422" s="12" t="n"/>
      <c r="I422" s="13" t="n"/>
      <c r="J422" s="14">
        <f>IF(OR(H422="",I422=""),"",H422*I422)</f>
        <v/>
      </c>
      <c r="K422" s="11" t="n"/>
      <c r="L422" s="9">
        <f>IF(B422="","",MONTH(B422))</f>
        <v/>
      </c>
      <c r="M422" s="9">
        <f>IF(B422="","",YEAR(B422))</f>
        <v/>
      </c>
    </row>
    <row r="423">
      <c r="A423" s="9">
        <f>IF(B423="","",ROW()-1)</f>
        <v/>
      </c>
      <c r="B423" s="10" t="n"/>
      <c r="C423" s="11" t="n"/>
      <c r="D423" s="11" t="n"/>
      <c r="E423" s="11" t="n"/>
      <c r="F423" s="11" t="n"/>
      <c r="G423" s="8" t="n"/>
      <c r="H423" s="12" t="n"/>
      <c r="I423" s="13" t="n"/>
      <c r="J423" s="14">
        <f>IF(OR(H423="",I423=""),"",H423*I423)</f>
        <v/>
      </c>
      <c r="K423" s="11" t="n"/>
      <c r="L423" s="9">
        <f>IF(B423="","",MONTH(B423))</f>
        <v/>
      </c>
      <c r="M423" s="9">
        <f>IF(B423="","",YEAR(B423))</f>
        <v/>
      </c>
    </row>
    <row r="424">
      <c r="A424" s="9">
        <f>IF(B424="","",ROW()-1)</f>
        <v/>
      </c>
      <c r="B424" s="10" t="n"/>
      <c r="C424" s="11" t="n"/>
      <c r="D424" s="11" t="n"/>
      <c r="E424" s="11" t="n"/>
      <c r="F424" s="11" t="n"/>
      <c r="G424" s="8" t="n"/>
      <c r="H424" s="12" t="n"/>
      <c r="I424" s="13" t="n"/>
      <c r="J424" s="14">
        <f>IF(OR(H424="",I424=""),"",H424*I424)</f>
        <v/>
      </c>
      <c r="K424" s="11" t="n"/>
      <c r="L424" s="9">
        <f>IF(B424="","",MONTH(B424))</f>
        <v/>
      </c>
      <c r="M424" s="9">
        <f>IF(B424="","",YEAR(B424))</f>
        <v/>
      </c>
    </row>
    <row r="425">
      <c r="A425" s="9">
        <f>IF(B425="","",ROW()-1)</f>
        <v/>
      </c>
      <c r="B425" s="10" t="n"/>
      <c r="C425" s="11" t="n"/>
      <c r="D425" s="11" t="n"/>
      <c r="E425" s="11" t="n"/>
      <c r="F425" s="11" t="n"/>
      <c r="G425" s="8" t="n"/>
      <c r="H425" s="12" t="n"/>
      <c r="I425" s="13" t="n"/>
      <c r="J425" s="14">
        <f>IF(OR(H425="",I425=""),"",H425*I425)</f>
        <v/>
      </c>
      <c r="K425" s="11" t="n"/>
      <c r="L425" s="9">
        <f>IF(B425="","",MONTH(B425))</f>
        <v/>
      </c>
      <c r="M425" s="9">
        <f>IF(B425="","",YEAR(B425))</f>
        <v/>
      </c>
    </row>
    <row r="426">
      <c r="A426" s="9">
        <f>IF(B426="","",ROW()-1)</f>
        <v/>
      </c>
      <c r="B426" s="10" t="n"/>
      <c r="C426" s="11" t="n"/>
      <c r="D426" s="11" t="n"/>
      <c r="E426" s="11" t="n"/>
      <c r="F426" s="11" t="n"/>
      <c r="G426" s="8" t="n"/>
      <c r="H426" s="12" t="n"/>
      <c r="I426" s="13" t="n"/>
      <c r="J426" s="14">
        <f>IF(OR(H426="",I426=""),"",H426*I426)</f>
        <v/>
      </c>
      <c r="K426" s="11" t="n"/>
      <c r="L426" s="9">
        <f>IF(B426="","",MONTH(B426))</f>
        <v/>
      </c>
      <c r="M426" s="9">
        <f>IF(B426="","",YEAR(B426))</f>
        <v/>
      </c>
    </row>
    <row r="427">
      <c r="A427" s="9">
        <f>IF(B427="","",ROW()-1)</f>
        <v/>
      </c>
      <c r="B427" s="10" t="n"/>
      <c r="C427" s="11" t="n"/>
      <c r="D427" s="11" t="n"/>
      <c r="E427" s="11" t="n"/>
      <c r="F427" s="11" t="n"/>
      <c r="G427" s="8" t="n"/>
      <c r="H427" s="12" t="n"/>
      <c r="I427" s="13" t="n"/>
      <c r="J427" s="14">
        <f>IF(OR(H427="",I427=""),"",H427*I427)</f>
        <v/>
      </c>
      <c r="K427" s="11" t="n"/>
      <c r="L427" s="9">
        <f>IF(B427="","",MONTH(B427))</f>
        <v/>
      </c>
      <c r="M427" s="9">
        <f>IF(B427="","",YEAR(B427))</f>
        <v/>
      </c>
    </row>
    <row r="428">
      <c r="A428" s="9">
        <f>IF(B428="","",ROW()-1)</f>
        <v/>
      </c>
      <c r="B428" s="10" t="n"/>
      <c r="C428" s="11" t="n"/>
      <c r="D428" s="11" t="n"/>
      <c r="E428" s="11" t="n"/>
      <c r="F428" s="11" t="n"/>
      <c r="G428" s="8" t="n"/>
      <c r="H428" s="12" t="n"/>
      <c r="I428" s="13" t="n"/>
      <c r="J428" s="14">
        <f>IF(OR(H428="",I428=""),"",H428*I428)</f>
        <v/>
      </c>
      <c r="K428" s="11" t="n"/>
      <c r="L428" s="9">
        <f>IF(B428="","",MONTH(B428))</f>
        <v/>
      </c>
      <c r="M428" s="9">
        <f>IF(B428="","",YEAR(B428))</f>
        <v/>
      </c>
    </row>
    <row r="429">
      <c r="A429" s="9">
        <f>IF(B429="","",ROW()-1)</f>
        <v/>
      </c>
      <c r="B429" s="10" t="n"/>
      <c r="C429" s="11" t="n"/>
      <c r="D429" s="11" t="n"/>
      <c r="E429" s="11" t="n"/>
      <c r="F429" s="11" t="n"/>
      <c r="G429" s="8" t="n"/>
      <c r="H429" s="12" t="n"/>
      <c r="I429" s="13" t="n"/>
      <c r="J429" s="14">
        <f>IF(OR(H429="",I429=""),"",H429*I429)</f>
        <v/>
      </c>
      <c r="K429" s="11" t="n"/>
      <c r="L429" s="9">
        <f>IF(B429="","",MONTH(B429))</f>
        <v/>
      </c>
      <c r="M429" s="9">
        <f>IF(B429="","",YEAR(B429))</f>
        <v/>
      </c>
    </row>
    <row r="430">
      <c r="A430" s="9">
        <f>IF(B430="","",ROW()-1)</f>
        <v/>
      </c>
      <c r="B430" s="10" t="n"/>
      <c r="C430" s="11" t="n"/>
      <c r="D430" s="11" t="n"/>
      <c r="E430" s="11" t="n"/>
      <c r="F430" s="11" t="n"/>
      <c r="G430" s="8" t="n"/>
      <c r="H430" s="12" t="n"/>
      <c r="I430" s="13" t="n"/>
      <c r="J430" s="14">
        <f>IF(OR(H430="",I430=""),"",H430*I430)</f>
        <v/>
      </c>
      <c r="K430" s="11" t="n"/>
      <c r="L430" s="9">
        <f>IF(B430="","",MONTH(B430))</f>
        <v/>
      </c>
      <c r="M430" s="9">
        <f>IF(B430="","",YEAR(B430))</f>
        <v/>
      </c>
    </row>
    <row r="431">
      <c r="A431" s="9">
        <f>IF(B431="","",ROW()-1)</f>
        <v/>
      </c>
      <c r="B431" s="10" t="n"/>
      <c r="C431" s="11" t="n"/>
      <c r="D431" s="11" t="n"/>
      <c r="E431" s="11" t="n"/>
      <c r="F431" s="11" t="n"/>
      <c r="G431" s="8" t="n"/>
      <c r="H431" s="12" t="n"/>
      <c r="I431" s="13" t="n"/>
      <c r="J431" s="14">
        <f>IF(OR(H431="",I431=""),"",H431*I431)</f>
        <v/>
      </c>
      <c r="K431" s="11" t="n"/>
      <c r="L431" s="9">
        <f>IF(B431="","",MONTH(B431))</f>
        <v/>
      </c>
      <c r="M431" s="9">
        <f>IF(B431="","",YEAR(B431))</f>
        <v/>
      </c>
    </row>
    <row r="432">
      <c r="A432" s="9">
        <f>IF(B432="","",ROW()-1)</f>
        <v/>
      </c>
      <c r="B432" s="10" t="n"/>
      <c r="C432" s="11" t="n"/>
      <c r="D432" s="11" t="n"/>
      <c r="E432" s="11" t="n"/>
      <c r="F432" s="11" t="n"/>
      <c r="G432" s="8" t="n"/>
      <c r="H432" s="12" t="n"/>
      <c r="I432" s="13" t="n"/>
      <c r="J432" s="14">
        <f>IF(OR(H432="",I432=""),"",H432*I432)</f>
        <v/>
      </c>
      <c r="K432" s="11" t="n"/>
      <c r="L432" s="9">
        <f>IF(B432="","",MONTH(B432))</f>
        <v/>
      </c>
      <c r="M432" s="9">
        <f>IF(B432="","",YEAR(B432))</f>
        <v/>
      </c>
    </row>
    <row r="433">
      <c r="A433" s="9">
        <f>IF(B433="","",ROW()-1)</f>
        <v/>
      </c>
      <c r="B433" s="10" t="n"/>
      <c r="C433" s="11" t="n"/>
      <c r="D433" s="11" t="n"/>
      <c r="E433" s="11" t="n"/>
      <c r="F433" s="11" t="n"/>
      <c r="G433" s="8" t="n"/>
      <c r="H433" s="12" t="n"/>
      <c r="I433" s="13" t="n"/>
      <c r="J433" s="14">
        <f>IF(OR(H433="",I433=""),"",H433*I433)</f>
        <v/>
      </c>
      <c r="K433" s="11" t="n"/>
      <c r="L433" s="9">
        <f>IF(B433="","",MONTH(B433))</f>
        <v/>
      </c>
      <c r="M433" s="9">
        <f>IF(B433="","",YEAR(B433))</f>
        <v/>
      </c>
    </row>
    <row r="434">
      <c r="A434" s="9">
        <f>IF(B434="","",ROW()-1)</f>
        <v/>
      </c>
      <c r="B434" s="10" t="n"/>
      <c r="C434" s="11" t="n"/>
      <c r="D434" s="11" t="n"/>
      <c r="E434" s="11" t="n"/>
      <c r="F434" s="11" t="n"/>
      <c r="G434" s="8" t="n"/>
      <c r="H434" s="12" t="n"/>
      <c r="I434" s="13" t="n"/>
      <c r="J434" s="14">
        <f>IF(OR(H434="",I434=""),"",H434*I434)</f>
        <v/>
      </c>
      <c r="K434" s="11" t="n"/>
      <c r="L434" s="9">
        <f>IF(B434="","",MONTH(B434))</f>
        <v/>
      </c>
      <c r="M434" s="9">
        <f>IF(B434="","",YEAR(B434))</f>
        <v/>
      </c>
    </row>
    <row r="435">
      <c r="A435" s="9">
        <f>IF(B435="","",ROW()-1)</f>
        <v/>
      </c>
      <c r="B435" s="10" t="n"/>
      <c r="C435" s="11" t="n"/>
      <c r="D435" s="11" t="n"/>
      <c r="E435" s="11" t="n"/>
      <c r="F435" s="11" t="n"/>
      <c r="G435" s="8" t="n"/>
      <c r="H435" s="12" t="n"/>
      <c r="I435" s="13" t="n"/>
      <c r="J435" s="14">
        <f>IF(OR(H435="",I435=""),"",H435*I435)</f>
        <v/>
      </c>
      <c r="K435" s="11" t="n"/>
      <c r="L435" s="9">
        <f>IF(B435="","",MONTH(B435))</f>
        <v/>
      </c>
      <c r="M435" s="9">
        <f>IF(B435="","",YEAR(B435))</f>
        <v/>
      </c>
    </row>
    <row r="436">
      <c r="A436" s="9">
        <f>IF(B436="","",ROW()-1)</f>
        <v/>
      </c>
      <c r="B436" s="10" t="n"/>
      <c r="C436" s="11" t="n"/>
      <c r="D436" s="11" t="n"/>
      <c r="E436" s="11" t="n"/>
      <c r="F436" s="11" t="n"/>
      <c r="G436" s="8" t="n"/>
      <c r="H436" s="12" t="n"/>
      <c r="I436" s="13" t="n"/>
      <c r="J436" s="14">
        <f>IF(OR(H436="",I436=""),"",H436*I436)</f>
        <v/>
      </c>
      <c r="K436" s="11" t="n"/>
      <c r="L436" s="9">
        <f>IF(B436="","",MONTH(B436))</f>
        <v/>
      </c>
      <c r="M436" s="9">
        <f>IF(B436="","",YEAR(B436))</f>
        <v/>
      </c>
    </row>
    <row r="437">
      <c r="A437" s="9">
        <f>IF(B437="","",ROW()-1)</f>
        <v/>
      </c>
      <c r="B437" s="10" t="n"/>
      <c r="C437" s="11" t="n"/>
      <c r="D437" s="11" t="n"/>
      <c r="E437" s="11" t="n"/>
      <c r="F437" s="11" t="n"/>
      <c r="G437" s="8" t="n"/>
      <c r="H437" s="12" t="n"/>
      <c r="I437" s="13" t="n"/>
      <c r="J437" s="14">
        <f>IF(OR(H437="",I437=""),"",H437*I437)</f>
        <v/>
      </c>
      <c r="K437" s="11" t="n"/>
      <c r="L437" s="9">
        <f>IF(B437="","",MONTH(B437))</f>
        <v/>
      </c>
      <c r="M437" s="9">
        <f>IF(B437="","",YEAR(B437))</f>
        <v/>
      </c>
    </row>
    <row r="438">
      <c r="A438" s="9">
        <f>IF(B438="","",ROW()-1)</f>
        <v/>
      </c>
      <c r="B438" s="10" t="n"/>
      <c r="C438" s="11" t="n"/>
      <c r="D438" s="11" t="n"/>
      <c r="E438" s="11" t="n"/>
      <c r="F438" s="11" t="n"/>
      <c r="G438" s="8" t="n"/>
      <c r="H438" s="12" t="n"/>
      <c r="I438" s="13" t="n"/>
      <c r="J438" s="14">
        <f>IF(OR(H438="",I438=""),"",H438*I438)</f>
        <v/>
      </c>
      <c r="K438" s="11" t="n"/>
      <c r="L438" s="9">
        <f>IF(B438="","",MONTH(B438))</f>
        <v/>
      </c>
      <c r="M438" s="9">
        <f>IF(B438="","",YEAR(B438))</f>
        <v/>
      </c>
    </row>
    <row r="439">
      <c r="A439" s="9">
        <f>IF(B439="","",ROW()-1)</f>
        <v/>
      </c>
      <c r="B439" s="10" t="n"/>
      <c r="C439" s="11" t="n"/>
      <c r="D439" s="11" t="n"/>
      <c r="E439" s="11" t="n"/>
      <c r="F439" s="11" t="n"/>
      <c r="G439" s="8" t="n"/>
      <c r="H439" s="12" t="n"/>
      <c r="I439" s="13" t="n"/>
      <c r="J439" s="14">
        <f>IF(OR(H439="",I439=""),"",H439*I439)</f>
        <v/>
      </c>
      <c r="K439" s="11" t="n"/>
      <c r="L439" s="9">
        <f>IF(B439="","",MONTH(B439))</f>
        <v/>
      </c>
      <c r="M439" s="9">
        <f>IF(B439="","",YEAR(B439))</f>
        <v/>
      </c>
    </row>
    <row r="440">
      <c r="A440" s="9">
        <f>IF(B440="","",ROW()-1)</f>
        <v/>
      </c>
      <c r="B440" s="10" t="n"/>
      <c r="C440" s="11" t="n"/>
      <c r="D440" s="11" t="n"/>
      <c r="E440" s="11" t="n"/>
      <c r="F440" s="11" t="n"/>
      <c r="G440" s="8" t="n"/>
      <c r="H440" s="12" t="n"/>
      <c r="I440" s="13" t="n"/>
      <c r="J440" s="14">
        <f>IF(OR(H440="",I440=""),"",H440*I440)</f>
        <v/>
      </c>
      <c r="K440" s="11" t="n"/>
      <c r="L440" s="9">
        <f>IF(B440="","",MONTH(B440))</f>
        <v/>
      </c>
      <c r="M440" s="9">
        <f>IF(B440="","",YEAR(B440))</f>
        <v/>
      </c>
    </row>
    <row r="441">
      <c r="A441" s="9">
        <f>IF(B441="","",ROW()-1)</f>
        <v/>
      </c>
      <c r="B441" s="10" t="n"/>
      <c r="C441" s="11" t="n"/>
      <c r="D441" s="11" t="n"/>
      <c r="E441" s="11" t="n"/>
      <c r="F441" s="11" t="n"/>
      <c r="G441" s="8" t="n"/>
      <c r="H441" s="12" t="n"/>
      <c r="I441" s="13" t="n"/>
      <c r="J441" s="14">
        <f>IF(OR(H441="",I441=""),"",H441*I441)</f>
        <v/>
      </c>
      <c r="K441" s="11" t="n"/>
      <c r="L441" s="9">
        <f>IF(B441="","",MONTH(B441))</f>
        <v/>
      </c>
      <c r="M441" s="9">
        <f>IF(B441="","",YEAR(B441))</f>
        <v/>
      </c>
    </row>
    <row r="442">
      <c r="A442" s="9">
        <f>IF(B442="","",ROW()-1)</f>
        <v/>
      </c>
      <c r="B442" s="10" t="n"/>
      <c r="C442" s="11" t="n"/>
      <c r="D442" s="11" t="n"/>
      <c r="E442" s="11" t="n"/>
      <c r="F442" s="11" t="n"/>
      <c r="G442" s="8" t="n"/>
      <c r="H442" s="12" t="n"/>
      <c r="I442" s="13" t="n"/>
      <c r="J442" s="14">
        <f>IF(OR(H442="",I442=""),"",H442*I442)</f>
        <v/>
      </c>
      <c r="K442" s="11" t="n"/>
      <c r="L442" s="9">
        <f>IF(B442="","",MONTH(B442))</f>
        <v/>
      </c>
      <c r="M442" s="9">
        <f>IF(B442="","",YEAR(B442))</f>
        <v/>
      </c>
    </row>
    <row r="443">
      <c r="A443" s="9">
        <f>IF(B443="","",ROW()-1)</f>
        <v/>
      </c>
      <c r="B443" s="10" t="n"/>
      <c r="C443" s="11" t="n"/>
      <c r="D443" s="11" t="n"/>
      <c r="E443" s="11" t="n"/>
      <c r="F443" s="11" t="n"/>
      <c r="G443" s="8" t="n"/>
      <c r="H443" s="12" t="n"/>
      <c r="I443" s="13" t="n"/>
      <c r="J443" s="14">
        <f>IF(OR(H443="",I443=""),"",H443*I443)</f>
        <v/>
      </c>
      <c r="K443" s="11" t="n"/>
      <c r="L443" s="9">
        <f>IF(B443="","",MONTH(B443))</f>
        <v/>
      </c>
      <c r="M443" s="9">
        <f>IF(B443="","",YEAR(B443))</f>
        <v/>
      </c>
    </row>
    <row r="444">
      <c r="A444" s="9">
        <f>IF(B444="","",ROW()-1)</f>
        <v/>
      </c>
      <c r="B444" s="10" t="n"/>
      <c r="C444" s="11" t="n"/>
      <c r="D444" s="11" t="n"/>
      <c r="E444" s="11" t="n"/>
      <c r="F444" s="11" t="n"/>
      <c r="G444" s="8" t="n"/>
      <c r="H444" s="12" t="n"/>
      <c r="I444" s="13" t="n"/>
      <c r="J444" s="14">
        <f>IF(OR(H444="",I444=""),"",H444*I444)</f>
        <v/>
      </c>
      <c r="K444" s="11" t="n"/>
      <c r="L444" s="9">
        <f>IF(B444="","",MONTH(B444))</f>
        <v/>
      </c>
      <c r="M444" s="9">
        <f>IF(B444="","",YEAR(B444))</f>
        <v/>
      </c>
    </row>
    <row r="445">
      <c r="A445" s="9">
        <f>IF(B445="","",ROW()-1)</f>
        <v/>
      </c>
      <c r="B445" s="10" t="n"/>
      <c r="C445" s="11" t="n"/>
      <c r="D445" s="11" t="n"/>
      <c r="E445" s="11" t="n"/>
      <c r="F445" s="11" t="n"/>
      <c r="G445" s="8" t="n"/>
      <c r="H445" s="12" t="n"/>
      <c r="I445" s="13" t="n"/>
      <c r="J445" s="14">
        <f>IF(OR(H445="",I445=""),"",H445*I445)</f>
        <v/>
      </c>
      <c r="K445" s="11" t="n"/>
      <c r="L445" s="9">
        <f>IF(B445="","",MONTH(B445))</f>
        <v/>
      </c>
      <c r="M445" s="9">
        <f>IF(B445="","",YEAR(B445))</f>
        <v/>
      </c>
    </row>
    <row r="446">
      <c r="A446" s="9">
        <f>IF(B446="","",ROW()-1)</f>
        <v/>
      </c>
      <c r="B446" s="10" t="n"/>
      <c r="C446" s="11" t="n"/>
      <c r="D446" s="11" t="n"/>
      <c r="E446" s="11" t="n"/>
      <c r="F446" s="11" t="n"/>
      <c r="G446" s="8" t="n"/>
      <c r="H446" s="12" t="n"/>
      <c r="I446" s="13" t="n"/>
      <c r="J446" s="14">
        <f>IF(OR(H446="",I446=""),"",H446*I446)</f>
        <v/>
      </c>
      <c r="K446" s="11" t="n"/>
      <c r="L446" s="9">
        <f>IF(B446="","",MONTH(B446))</f>
        <v/>
      </c>
      <c r="M446" s="9">
        <f>IF(B446="","",YEAR(B446))</f>
        <v/>
      </c>
    </row>
    <row r="447">
      <c r="A447" s="9">
        <f>IF(B447="","",ROW()-1)</f>
        <v/>
      </c>
      <c r="B447" s="10" t="n"/>
      <c r="C447" s="11" t="n"/>
      <c r="D447" s="11" t="n"/>
      <c r="E447" s="11" t="n"/>
      <c r="F447" s="11" t="n"/>
      <c r="G447" s="8" t="n"/>
      <c r="H447" s="12" t="n"/>
      <c r="I447" s="13" t="n"/>
      <c r="J447" s="14">
        <f>IF(OR(H447="",I447=""),"",H447*I447)</f>
        <v/>
      </c>
      <c r="K447" s="11" t="n"/>
      <c r="L447" s="9">
        <f>IF(B447="","",MONTH(B447))</f>
        <v/>
      </c>
      <c r="M447" s="9">
        <f>IF(B447="","",YEAR(B447))</f>
        <v/>
      </c>
    </row>
    <row r="448">
      <c r="A448" s="9">
        <f>IF(B448="","",ROW()-1)</f>
        <v/>
      </c>
      <c r="B448" s="10" t="n"/>
      <c r="C448" s="11" t="n"/>
      <c r="D448" s="11" t="n"/>
      <c r="E448" s="11" t="n"/>
      <c r="F448" s="11" t="n"/>
      <c r="G448" s="8" t="n"/>
      <c r="H448" s="12" t="n"/>
      <c r="I448" s="13" t="n"/>
      <c r="J448" s="14">
        <f>IF(OR(H448="",I448=""),"",H448*I448)</f>
        <v/>
      </c>
      <c r="K448" s="11" t="n"/>
      <c r="L448" s="9">
        <f>IF(B448="","",MONTH(B448))</f>
        <v/>
      </c>
      <c r="M448" s="9">
        <f>IF(B448="","",YEAR(B448))</f>
        <v/>
      </c>
    </row>
    <row r="449">
      <c r="A449" s="9">
        <f>IF(B449="","",ROW()-1)</f>
        <v/>
      </c>
      <c r="B449" s="10" t="n"/>
      <c r="C449" s="11" t="n"/>
      <c r="D449" s="11" t="n"/>
      <c r="E449" s="11" t="n"/>
      <c r="F449" s="11" t="n"/>
      <c r="G449" s="8" t="n"/>
      <c r="H449" s="12" t="n"/>
      <c r="I449" s="13" t="n"/>
      <c r="J449" s="14">
        <f>IF(OR(H449="",I449=""),"",H449*I449)</f>
        <v/>
      </c>
      <c r="K449" s="11" t="n"/>
      <c r="L449" s="9">
        <f>IF(B449="","",MONTH(B449))</f>
        <v/>
      </c>
      <c r="M449" s="9">
        <f>IF(B449="","",YEAR(B449))</f>
        <v/>
      </c>
    </row>
    <row r="450">
      <c r="A450" s="9">
        <f>IF(B450="","",ROW()-1)</f>
        <v/>
      </c>
      <c r="B450" s="10" t="n"/>
      <c r="C450" s="11" t="n"/>
      <c r="D450" s="11" t="n"/>
      <c r="E450" s="11" t="n"/>
      <c r="F450" s="11" t="n"/>
      <c r="G450" s="8" t="n"/>
      <c r="H450" s="12" t="n"/>
      <c r="I450" s="13" t="n"/>
      <c r="J450" s="14">
        <f>IF(OR(H450="",I450=""),"",H450*I450)</f>
        <v/>
      </c>
      <c r="K450" s="11" t="n"/>
      <c r="L450" s="9">
        <f>IF(B450="","",MONTH(B450))</f>
        <v/>
      </c>
      <c r="M450" s="9">
        <f>IF(B450="","",YEAR(B450))</f>
        <v/>
      </c>
    </row>
    <row r="451">
      <c r="A451" s="9">
        <f>IF(B451="","",ROW()-1)</f>
        <v/>
      </c>
      <c r="B451" s="10" t="n"/>
      <c r="C451" s="11" t="n"/>
      <c r="D451" s="11" t="n"/>
      <c r="E451" s="11" t="n"/>
      <c r="F451" s="11" t="n"/>
      <c r="G451" s="8" t="n"/>
      <c r="H451" s="12" t="n"/>
      <c r="I451" s="13" t="n"/>
      <c r="J451" s="14">
        <f>IF(OR(H451="",I451=""),"",H451*I451)</f>
        <v/>
      </c>
      <c r="K451" s="11" t="n"/>
      <c r="L451" s="9">
        <f>IF(B451="","",MONTH(B451))</f>
        <v/>
      </c>
      <c r="M451" s="9">
        <f>IF(B451="","",YEAR(B451))</f>
        <v/>
      </c>
    </row>
    <row r="452">
      <c r="A452" s="9">
        <f>IF(B452="","",ROW()-1)</f>
        <v/>
      </c>
      <c r="B452" s="10" t="n"/>
      <c r="C452" s="11" t="n"/>
      <c r="D452" s="11" t="n"/>
      <c r="E452" s="11" t="n"/>
      <c r="F452" s="11" t="n"/>
      <c r="G452" s="8" t="n"/>
      <c r="H452" s="12" t="n"/>
      <c r="I452" s="13" t="n"/>
      <c r="J452" s="14">
        <f>IF(OR(H452="",I452=""),"",H452*I452)</f>
        <v/>
      </c>
      <c r="K452" s="11" t="n"/>
      <c r="L452" s="9">
        <f>IF(B452="","",MONTH(B452))</f>
        <v/>
      </c>
      <c r="M452" s="9">
        <f>IF(B452="","",YEAR(B452))</f>
        <v/>
      </c>
    </row>
    <row r="453">
      <c r="A453" s="9">
        <f>IF(B453="","",ROW()-1)</f>
        <v/>
      </c>
      <c r="B453" s="10" t="n"/>
      <c r="C453" s="11" t="n"/>
      <c r="D453" s="11" t="n"/>
      <c r="E453" s="11" t="n"/>
      <c r="F453" s="11" t="n"/>
      <c r="G453" s="8" t="n"/>
      <c r="H453" s="12" t="n"/>
      <c r="I453" s="13" t="n"/>
      <c r="J453" s="14">
        <f>IF(OR(H453="",I453=""),"",H453*I453)</f>
        <v/>
      </c>
      <c r="K453" s="11" t="n"/>
      <c r="L453" s="9">
        <f>IF(B453="","",MONTH(B453))</f>
        <v/>
      </c>
      <c r="M453" s="9">
        <f>IF(B453="","",YEAR(B453))</f>
        <v/>
      </c>
    </row>
    <row r="454">
      <c r="A454" s="9">
        <f>IF(B454="","",ROW()-1)</f>
        <v/>
      </c>
      <c r="B454" s="10" t="n"/>
      <c r="C454" s="11" t="n"/>
      <c r="D454" s="11" t="n"/>
      <c r="E454" s="11" t="n"/>
      <c r="F454" s="11" t="n"/>
      <c r="G454" s="8" t="n"/>
      <c r="H454" s="12" t="n"/>
      <c r="I454" s="13" t="n"/>
      <c r="J454" s="14">
        <f>IF(OR(H454="",I454=""),"",H454*I454)</f>
        <v/>
      </c>
      <c r="K454" s="11" t="n"/>
      <c r="L454" s="9">
        <f>IF(B454="","",MONTH(B454))</f>
        <v/>
      </c>
      <c r="M454" s="9">
        <f>IF(B454="","",YEAR(B454))</f>
        <v/>
      </c>
    </row>
    <row r="455">
      <c r="A455" s="9">
        <f>IF(B455="","",ROW()-1)</f>
        <v/>
      </c>
      <c r="B455" s="10" t="n"/>
      <c r="C455" s="11" t="n"/>
      <c r="D455" s="11" t="n"/>
      <c r="E455" s="11" t="n"/>
      <c r="F455" s="11" t="n"/>
      <c r="G455" s="8" t="n"/>
      <c r="H455" s="12" t="n"/>
      <c r="I455" s="13" t="n"/>
      <c r="J455" s="14">
        <f>IF(OR(H455="",I455=""),"",H455*I455)</f>
        <v/>
      </c>
      <c r="K455" s="11" t="n"/>
      <c r="L455" s="9">
        <f>IF(B455="","",MONTH(B455))</f>
        <v/>
      </c>
      <c r="M455" s="9">
        <f>IF(B455="","",YEAR(B455))</f>
        <v/>
      </c>
    </row>
    <row r="456">
      <c r="A456" s="9">
        <f>IF(B456="","",ROW()-1)</f>
        <v/>
      </c>
      <c r="B456" s="10" t="n"/>
      <c r="C456" s="11" t="n"/>
      <c r="D456" s="11" t="n"/>
      <c r="E456" s="11" t="n"/>
      <c r="F456" s="11" t="n"/>
      <c r="G456" s="8" t="n"/>
      <c r="H456" s="12" t="n"/>
      <c r="I456" s="13" t="n"/>
      <c r="J456" s="14">
        <f>IF(OR(H456="",I456=""),"",H456*I456)</f>
        <v/>
      </c>
      <c r="K456" s="11" t="n"/>
      <c r="L456" s="9">
        <f>IF(B456="","",MONTH(B456))</f>
        <v/>
      </c>
      <c r="M456" s="9">
        <f>IF(B456="","",YEAR(B456))</f>
        <v/>
      </c>
    </row>
    <row r="457">
      <c r="A457" s="9">
        <f>IF(B457="","",ROW()-1)</f>
        <v/>
      </c>
      <c r="B457" s="10" t="n"/>
      <c r="C457" s="11" t="n"/>
      <c r="D457" s="11" t="n"/>
      <c r="E457" s="11" t="n"/>
      <c r="F457" s="11" t="n"/>
      <c r="G457" s="8" t="n"/>
      <c r="H457" s="12" t="n"/>
      <c r="I457" s="13" t="n"/>
      <c r="J457" s="14">
        <f>IF(OR(H457="",I457=""),"",H457*I457)</f>
        <v/>
      </c>
      <c r="K457" s="11" t="n"/>
      <c r="L457" s="9">
        <f>IF(B457="","",MONTH(B457))</f>
        <v/>
      </c>
      <c r="M457" s="9">
        <f>IF(B457="","",YEAR(B457))</f>
        <v/>
      </c>
    </row>
    <row r="458">
      <c r="A458" s="9">
        <f>IF(B458="","",ROW()-1)</f>
        <v/>
      </c>
      <c r="B458" s="10" t="n"/>
      <c r="C458" s="11" t="n"/>
      <c r="D458" s="11" t="n"/>
      <c r="E458" s="11" t="n"/>
      <c r="F458" s="11" t="n"/>
      <c r="G458" s="8" t="n"/>
      <c r="H458" s="12" t="n"/>
      <c r="I458" s="13" t="n"/>
      <c r="J458" s="14">
        <f>IF(OR(H458="",I458=""),"",H458*I458)</f>
        <v/>
      </c>
      <c r="K458" s="11" t="n"/>
      <c r="L458" s="9">
        <f>IF(B458="","",MONTH(B458))</f>
        <v/>
      </c>
      <c r="M458" s="9">
        <f>IF(B458="","",YEAR(B458))</f>
        <v/>
      </c>
    </row>
    <row r="459">
      <c r="A459" s="9">
        <f>IF(B459="","",ROW()-1)</f>
        <v/>
      </c>
      <c r="B459" s="10" t="n"/>
      <c r="C459" s="11" t="n"/>
      <c r="D459" s="11" t="n"/>
      <c r="E459" s="11" t="n"/>
      <c r="F459" s="11" t="n"/>
      <c r="G459" s="8" t="n"/>
      <c r="H459" s="12" t="n"/>
      <c r="I459" s="13" t="n"/>
      <c r="J459" s="14">
        <f>IF(OR(H459="",I459=""),"",H459*I459)</f>
        <v/>
      </c>
      <c r="K459" s="11" t="n"/>
      <c r="L459" s="9">
        <f>IF(B459="","",MONTH(B459))</f>
        <v/>
      </c>
      <c r="M459" s="9">
        <f>IF(B459="","",YEAR(B459))</f>
        <v/>
      </c>
    </row>
    <row r="460">
      <c r="A460" s="9">
        <f>IF(B460="","",ROW()-1)</f>
        <v/>
      </c>
      <c r="B460" s="10" t="n"/>
      <c r="C460" s="11" t="n"/>
      <c r="D460" s="11" t="n"/>
      <c r="E460" s="11" t="n"/>
      <c r="F460" s="11" t="n"/>
      <c r="G460" s="8" t="n"/>
      <c r="H460" s="12" t="n"/>
      <c r="I460" s="13" t="n"/>
      <c r="J460" s="14">
        <f>IF(OR(H460="",I460=""),"",H460*I460)</f>
        <v/>
      </c>
      <c r="K460" s="11" t="n"/>
      <c r="L460" s="9">
        <f>IF(B460="","",MONTH(B460))</f>
        <v/>
      </c>
      <c r="M460" s="9">
        <f>IF(B460="","",YEAR(B460))</f>
        <v/>
      </c>
    </row>
    <row r="461">
      <c r="A461" s="9">
        <f>IF(B461="","",ROW()-1)</f>
        <v/>
      </c>
      <c r="B461" s="10" t="n"/>
      <c r="C461" s="11" t="n"/>
      <c r="D461" s="11" t="n"/>
      <c r="E461" s="11" t="n"/>
      <c r="F461" s="11" t="n"/>
      <c r="G461" s="8" t="n"/>
      <c r="H461" s="12" t="n"/>
      <c r="I461" s="13" t="n"/>
      <c r="J461" s="14">
        <f>IF(OR(H461="",I461=""),"",H461*I461)</f>
        <v/>
      </c>
      <c r="K461" s="11" t="n"/>
      <c r="L461" s="9">
        <f>IF(B461="","",MONTH(B461))</f>
        <v/>
      </c>
      <c r="M461" s="9">
        <f>IF(B461="","",YEAR(B461))</f>
        <v/>
      </c>
    </row>
    <row r="462">
      <c r="A462" s="9">
        <f>IF(B462="","",ROW()-1)</f>
        <v/>
      </c>
      <c r="B462" s="10" t="n"/>
      <c r="C462" s="11" t="n"/>
      <c r="D462" s="11" t="n"/>
      <c r="E462" s="11" t="n"/>
      <c r="F462" s="11" t="n"/>
      <c r="G462" s="8" t="n"/>
      <c r="H462" s="12" t="n"/>
      <c r="I462" s="13" t="n"/>
      <c r="J462" s="14">
        <f>IF(OR(H462="",I462=""),"",H462*I462)</f>
        <v/>
      </c>
      <c r="K462" s="11" t="n"/>
      <c r="L462" s="9">
        <f>IF(B462="","",MONTH(B462))</f>
        <v/>
      </c>
      <c r="M462" s="9">
        <f>IF(B462="","",YEAR(B462))</f>
        <v/>
      </c>
    </row>
    <row r="463">
      <c r="A463" s="9">
        <f>IF(B463="","",ROW()-1)</f>
        <v/>
      </c>
      <c r="B463" s="10" t="n"/>
      <c r="C463" s="11" t="n"/>
      <c r="D463" s="11" t="n"/>
      <c r="E463" s="11" t="n"/>
      <c r="F463" s="11" t="n"/>
      <c r="G463" s="8" t="n"/>
      <c r="H463" s="12" t="n"/>
      <c r="I463" s="13" t="n"/>
      <c r="J463" s="14">
        <f>IF(OR(H463="",I463=""),"",H463*I463)</f>
        <v/>
      </c>
      <c r="K463" s="11" t="n"/>
      <c r="L463" s="9">
        <f>IF(B463="","",MONTH(B463))</f>
        <v/>
      </c>
      <c r="M463" s="9">
        <f>IF(B463="","",YEAR(B463))</f>
        <v/>
      </c>
    </row>
    <row r="464">
      <c r="A464" s="9">
        <f>IF(B464="","",ROW()-1)</f>
        <v/>
      </c>
      <c r="B464" s="10" t="n"/>
      <c r="C464" s="11" t="n"/>
      <c r="D464" s="11" t="n"/>
      <c r="E464" s="11" t="n"/>
      <c r="F464" s="11" t="n"/>
      <c r="G464" s="8" t="n"/>
      <c r="H464" s="12" t="n"/>
      <c r="I464" s="13" t="n"/>
      <c r="J464" s="14">
        <f>IF(OR(H464="",I464=""),"",H464*I464)</f>
        <v/>
      </c>
      <c r="K464" s="11" t="n"/>
      <c r="L464" s="9">
        <f>IF(B464="","",MONTH(B464))</f>
        <v/>
      </c>
      <c r="M464" s="9">
        <f>IF(B464="","",YEAR(B464))</f>
        <v/>
      </c>
    </row>
    <row r="465">
      <c r="A465" s="9">
        <f>IF(B465="","",ROW()-1)</f>
        <v/>
      </c>
      <c r="B465" s="10" t="n"/>
      <c r="C465" s="11" t="n"/>
      <c r="D465" s="11" t="n"/>
      <c r="E465" s="11" t="n"/>
      <c r="F465" s="11" t="n"/>
      <c r="G465" s="8" t="n"/>
      <c r="H465" s="12" t="n"/>
      <c r="I465" s="13" t="n"/>
      <c r="J465" s="14">
        <f>IF(OR(H465="",I465=""),"",H465*I465)</f>
        <v/>
      </c>
      <c r="K465" s="11" t="n"/>
      <c r="L465" s="9">
        <f>IF(B465="","",MONTH(B465))</f>
        <v/>
      </c>
      <c r="M465" s="9">
        <f>IF(B465="","",YEAR(B465))</f>
        <v/>
      </c>
    </row>
    <row r="466">
      <c r="A466" s="9">
        <f>IF(B466="","",ROW()-1)</f>
        <v/>
      </c>
      <c r="B466" s="10" t="n"/>
      <c r="C466" s="11" t="n"/>
      <c r="D466" s="11" t="n"/>
      <c r="E466" s="11" t="n"/>
      <c r="F466" s="11" t="n"/>
      <c r="G466" s="8" t="n"/>
      <c r="H466" s="12" t="n"/>
      <c r="I466" s="13" t="n"/>
      <c r="J466" s="14">
        <f>IF(OR(H466="",I466=""),"",H466*I466)</f>
        <v/>
      </c>
      <c r="K466" s="11" t="n"/>
      <c r="L466" s="9">
        <f>IF(B466="","",MONTH(B466))</f>
        <v/>
      </c>
      <c r="M466" s="9">
        <f>IF(B466="","",YEAR(B466))</f>
        <v/>
      </c>
    </row>
    <row r="467">
      <c r="A467" s="9">
        <f>IF(B467="","",ROW()-1)</f>
        <v/>
      </c>
      <c r="B467" s="10" t="n"/>
      <c r="C467" s="11" t="n"/>
      <c r="D467" s="11" t="n"/>
      <c r="E467" s="11" t="n"/>
      <c r="F467" s="11" t="n"/>
      <c r="G467" s="8" t="n"/>
      <c r="H467" s="12" t="n"/>
      <c r="I467" s="13" t="n"/>
      <c r="J467" s="14">
        <f>IF(OR(H467="",I467=""),"",H467*I467)</f>
        <v/>
      </c>
      <c r="K467" s="11" t="n"/>
      <c r="L467" s="9">
        <f>IF(B467="","",MONTH(B467))</f>
        <v/>
      </c>
      <c r="M467" s="9">
        <f>IF(B467="","",YEAR(B467))</f>
        <v/>
      </c>
    </row>
    <row r="468">
      <c r="A468" s="9">
        <f>IF(B468="","",ROW()-1)</f>
        <v/>
      </c>
      <c r="B468" s="10" t="n"/>
      <c r="C468" s="11" t="n"/>
      <c r="D468" s="11" t="n"/>
      <c r="E468" s="11" t="n"/>
      <c r="F468" s="11" t="n"/>
      <c r="G468" s="8" t="n"/>
      <c r="H468" s="12" t="n"/>
      <c r="I468" s="13" t="n"/>
      <c r="J468" s="14">
        <f>IF(OR(H468="",I468=""),"",H468*I468)</f>
        <v/>
      </c>
      <c r="K468" s="11" t="n"/>
      <c r="L468" s="9">
        <f>IF(B468="","",MONTH(B468))</f>
        <v/>
      </c>
      <c r="M468" s="9">
        <f>IF(B468="","",YEAR(B468))</f>
        <v/>
      </c>
    </row>
    <row r="469">
      <c r="A469" s="9">
        <f>IF(B469="","",ROW()-1)</f>
        <v/>
      </c>
      <c r="B469" s="10" t="n"/>
      <c r="C469" s="11" t="n"/>
      <c r="D469" s="11" t="n"/>
      <c r="E469" s="11" t="n"/>
      <c r="F469" s="11" t="n"/>
      <c r="G469" s="8" t="n"/>
      <c r="H469" s="12" t="n"/>
      <c r="I469" s="13" t="n"/>
      <c r="J469" s="14">
        <f>IF(OR(H469="",I469=""),"",H469*I469)</f>
        <v/>
      </c>
      <c r="K469" s="11" t="n"/>
      <c r="L469" s="9">
        <f>IF(B469="","",MONTH(B469))</f>
        <v/>
      </c>
      <c r="M469" s="9">
        <f>IF(B469="","",YEAR(B469))</f>
        <v/>
      </c>
    </row>
    <row r="470">
      <c r="A470" s="9">
        <f>IF(B470="","",ROW()-1)</f>
        <v/>
      </c>
      <c r="B470" s="10" t="n"/>
      <c r="C470" s="11" t="n"/>
      <c r="D470" s="11" t="n"/>
      <c r="E470" s="11" t="n"/>
      <c r="F470" s="11" t="n"/>
      <c r="G470" s="8" t="n"/>
      <c r="H470" s="12" t="n"/>
      <c r="I470" s="13" t="n"/>
      <c r="J470" s="14">
        <f>IF(OR(H470="",I470=""),"",H470*I470)</f>
        <v/>
      </c>
      <c r="K470" s="11" t="n"/>
      <c r="L470" s="9">
        <f>IF(B470="","",MONTH(B470))</f>
        <v/>
      </c>
      <c r="M470" s="9">
        <f>IF(B470="","",YEAR(B470))</f>
        <v/>
      </c>
    </row>
    <row r="471">
      <c r="A471" s="9">
        <f>IF(B471="","",ROW()-1)</f>
        <v/>
      </c>
      <c r="B471" s="10" t="n"/>
      <c r="C471" s="11" t="n"/>
      <c r="D471" s="11" t="n"/>
      <c r="E471" s="11" t="n"/>
      <c r="F471" s="11" t="n"/>
      <c r="G471" s="8" t="n"/>
      <c r="H471" s="12" t="n"/>
      <c r="I471" s="13" t="n"/>
      <c r="J471" s="14">
        <f>IF(OR(H471="",I471=""),"",H471*I471)</f>
        <v/>
      </c>
      <c r="K471" s="11" t="n"/>
      <c r="L471" s="9">
        <f>IF(B471="","",MONTH(B471))</f>
        <v/>
      </c>
      <c r="M471" s="9">
        <f>IF(B471="","",YEAR(B471))</f>
        <v/>
      </c>
    </row>
    <row r="472">
      <c r="A472" s="9">
        <f>IF(B472="","",ROW()-1)</f>
        <v/>
      </c>
      <c r="B472" s="10" t="n"/>
      <c r="C472" s="11" t="n"/>
      <c r="D472" s="11" t="n"/>
      <c r="E472" s="11" t="n"/>
      <c r="F472" s="11" t="n"/>
      <c r="G472" s="8" t="n"/>
      <c r="H472" s="12" t="n"/>
      <c r="I472" s="13" t="n"/>
      <c r="J472" s="14">
        <f>IF(OR(H472="",I472=""),"",H472*I472)</f>
        <v/>
      </c>
      <c r="K472" s="11" t="n"/>
      <c r="L472" s="9">
        <f>IF(B472="","",MONTH(B472))</f>
        <v/>
      </c>
      <c r="M472" s="9">
        <f>IF(B472="","",YEAR(B472))</f>
        <v/>
      </c>
    </row>
    <row r="473">
      <c r="A473" s="9">
        <f>IF(B473="","",ROW()-1)</f>
        <v/>
      </c>
      <c r="B473" s="10" t="n"/>
      <c r="C473" s="11" t="n"/>
      <c r="D473" s="11" t="n"/>
      <c r="E473" s="11" t="n"/>
      <c r="F473" s="11" t="n"/>
      <c r="G473" s="8" t="n"/>
      <c r="H473" s="12" t="n"/>
      <c r="I473" s="13" t="n"/>
      <c r="J473" s="14">
        <f>IF(OR(H473="",I473=""),"",H473*I473)</f>
        <v/>
      </c>
      <c r="K473" s="11" t="n"/>
      <c r="L473" s="9">
        <f>IF(B473="","",MONTH(B473))</f>
        <v/>
      </c>
      <c r="M473" s="9">
        <f>IF(B473="","",YEAR(B473))</f>
        <v/>
      </c>
    </row>
    <row r="474">
      <c r="A474" s="9">
        <f>IF(B474="","",ROW()-1)</f>
        <v/>
      </c>
      <c r="B474" s="10" t="n"/>
      <c r="C474" s="11" t="n"/>
      <c r="D474" s="11" t="n"/>
      <c r="E474" s="11" t="n"/>
      <c r="F474" s="11" t="n"/>
      <c r="G474" s="8" t="n"/>
      <c r="H474" s="12" t="n"/>
      <c r="I474" s="13" t="n"/>
      <c r="J474" s="14">
        <f>IF(OR(H474="",I474=""),"",H474*I474)</f>
        <v/>
      </c>
      <c r="K474" s="11" t="n"/>
      <c r="L474" s="9">
        <f>IF(B474="","",MONTH(B474))</f>
        <v/>
      </c>
      <c r="M474" s="9">
        <f>IF(B474="","",YEAR(B474))</f>
        <v/>
      </c>
    </row>
    <row r="475">
      <c r="A475" s="9">
        <f>IF(B475="","",ROW()-1)</f>
        <v/>
      </c>
      <c r="B475" s="10" t="n"/>
      <c r="C475" s="11" t="n"/>
      <c r="D475" s="11" t="n"/>
      <c r="E475" s="11" t="n"/>
      <c r="F475" s="11" t="n"/>
      <c r="G475" s="8" t="n"/>
      <c r="H475" s="12" t="n"/>
      <c r="I475" s="13" t="n"/>
      <c r="J475" s="14">
        <f>IF(OR(H475="",I475=""),"",H475*I475)</f>
        <v/>
      </c>
      <c r="K475" s="11" t="n"/>
      <c r="L475" s="9">
        <f>IF(B475="","",MONTH(B475))</f>
        <v/>
      </c>
      <c r="M475" s="9">
        <f>IF(B475="","",YEAR(B475))</f>
        <v/>
      </c>
    </row>
    <row r="476">
      <c r="A476" s="9">
        <f>IF(B476="","",ROW()-1)</f>
        <v/>
      </c>
      <c r="B476" s="10" t="n"/>
      <c r="C476" s="11" t="n"/>
      <c r="D476" s="11" t="n"/>
      <c r="E476" s="11" t="n"/>
      <c r="F476" s="11" t="n"/>
      <c r="G476" s="8" t="n"/>
      <c r="H476" s="12" t="n"/>
      <c r="I476" s="13" t="n"/>
      <c r="J476" s="14">
        <f>IF(OR(H476="",I476=""),"",H476*I476)</f>
        <v/>
      </c>
      <c r="K476" s="11" t="n"/>
      <c r="L476" s="9">
        <f>IF(B476="","",MONTH(B476))</f>
        <v/>
      </c>
      <c r="M476" s="9">
        <f>IF(B476="","",YEAR(B476))</f>
        <v/>
      </c>
    </row>
    <row r="477">
      <c r="A477" s="9">
        <f>IF(B477="","",ROW()-1)</f>
        <v/>
      </c>
      <c r="B477" s="10" t="n"/>
      <c r="C477" s="11" t="n"/>
      <c r="D477" s="11" t="n"/>
      <c r="E477" s="11" t="n"/>
      <c r="F477" s="11" t="n"/>
      <c r="G477" s="8" t="n"/>
      <c r="H477" s="12" t="n"/>
      <c r="I477" s="13" t="n"/>
      <c r="J477" s="14">
        <f>IF(OR(H477="",I477=""),"",H477*I477)</f>
        <v/>
      </c>
      <c r="K477" s="11" t="n"/>
      <c r="L477" s="9">
        <f>IF(B477="","",MONTH(B477))</f>
        <v/>
      </c>
      <c r="M477" s="9">
        <f>IF(B477="","",YEAR(B477))</f>
        <v/>
      </c>
    </row>
    <row r="478">
      <c r="A478" s="9">
        <f>IF(B478="","",ROW()-1)</f>
        <v/>
      </c>
      <c r="B478" s="10" t="n"/>
      <c r="C478" s="11" t="n"/>
      <c r="D478" s="11" t="n"/>
      <c r="E478" s="11" t="n"/>
      <c r="F478" s="11" t="n"/>
      <c r="G478" s="8" t="n"/>
      <c r="H478" s="12" t="n"/>
      <c r="I478" s="13" t="n"/>
      <c r="J478" s="14">
        <f>IF(OR(H478="",I478=""),"",H478*I478)</f>
        <v/>
      </c>
      <c r="K478" s="11" t="n"/>
      <c r="L478" s="9">
        <f>IF(B478="","",MONTH(B478))</f>
        <v/>
      </c>
      <c r="M478" s="9">
        <f>IF(B478="","",YEAR(B478))</f>
        <v/>
      </c>
    </row>
    <row r="479">
      <c r="A479" s="9">
        <f>IF(B479="","",ROW()-1)</f>
        <v/>
      </c>
      <c r="B479" s="10" t="n"/>
      <c r="C479" s="11" t="n"/>
      <c r="D479" s="11" t="n"/>
      <c r="E479" s="11" t="n"/>
      <c r="F479" s="11" t="n"/>
      <c r="G479" s="8" t="n"/>
      <c r="H479" s="12" t="n"/>
      <c r="I479" s="13" t="n"/>
      <c r="J479" s="14">
        <f>IF(OR(H479="",I479=""),"",H479*I479)</f>
        <v/>
      </c>
      <c r="K479" s="11" t="n"/>
      <c r="L479" s="9">
        <f>IF(B479="","",MONTH(B479))</f>
        <v/>
      </c>
      <c r="M479" s="9">
        <f>IF(B479="","",YEAR(B479))</f>
        <v/>
      </c>
    </row>
    <row r="480">
      <c r="A480" s="9">
        <f>IF(B480="","",ROW()-1)</f>
        <v/>
      </c>
      <c r="B480" s="10" t="n"/>
      <c r="C480" s="11" t="n"/>
      <c r="D480" s="11" t="n"/>
      <c r="E480" s="11" t="n"/>
      <c r="F480" s="11" t="n"/>
      <c r="G480" s="8" t="n"/>
      <c r="H480" s="12" t="n"/>
      <c r="I480" s="13" t="n"/>
      <c r="J480" s="14">
        <f>IF(OR(H480="",I480=""),"",H480*I480)</f>
        <v/>
      </c>
      <c r="K480" s="11" t="n"/>
      <c r="L480" s="9">
        <f>IF(B480="","",MONTH(B480))</f>
        <v/>
      </c>
      <c r="M480" s="9">
        <f>IF(B480="","",YEAR(B480))</f>
        <v/>
      </c>
    </row>
    <row r="481">
      <c r="A481" s="9">
        <f>IF(B481="","",ROW()-1)</f>
        <v/>
      </c>
      <c r="B481" s="10" t="n"/>
      <c r="C481" s="11" t="n"/>
      <c r="D481" s="11" t="n"/>
      <c r="E481" s="11" t="n"/>
      <c r="F481" s="11" t="n"/>
      <c r="G481" s="8" t="n"/>
      <c r="H481" s="12" t="n"/>
      <c r="I481" s="13" t="n"/>
      <c r="J481" s="14">
        <f>IF(OR(H481="",I481=""),"",H481*I481)</f>
        <v/>
      </c>
      <c r="K481" s="11" t="n"/>
      <c r="L481" s="9">
        <f>IF(B481="","",MONTH(B481))</f>
        <v/>
      </c>
      <c r="M481" s="9">
        <f>IF(B481="","",YEAR(B481))</f>
        <v/>
      </c>
    </row>
    <row r="482">
      <c r="A482" s="9">
        <f>IF(B482="","",ROW()-1)</f>
        <v/>
      </c>
      <c r="B482" s="10" t="n"/>
      <c r="C482" s="11" t="n"/>
      <c r="D482" s="11" t="n"/>
      <c r="E482" s="11" t="n"/>
      <c r="F482" s="11" t="n"/>
      <c r="G482" s="8" t="n"/>
      <c r="H482" s="12" t="n"/>
      <c r="I482" s="13" t="n"/>
      <c r="J482" s="14">
        <f>IF(OR(H482="",I482=""),"",H482*I482)</f>
        <v/>
      </c>
      <c r="K482" s="11" t="n"/>
      <c r="L482" s="9">
        <f>IF(B482="","",MONTH(B482))</f>
        <v/>
      </c>
      <c r="M482" s="9">
        <f>IF(B482="","",YEAR(B482))</f>
        <v/>
      </c>
    </row>
    <row r="483">
      <c r="A483" s="9">
        <f>IF(B483="","",ROW()-1)</f>
        <v/>
      </c>
      <c r="B483" s="10" t="n"/>
      <c r="C483" s="11" t="n"/>
      <c r="D483" s="11" t="n"/>
      <c r="E483" s="11" t="n"/>
      <c r="F483" s="11" t="n"/>
      <c r="G483" s="8" t="n"/>
      <c r="H483" s="12" t="n"/>
      <c r="I483" s="13" t="n"/>
      <c r="J483" s="14">
        <f>IF(OR(H483="",I483=""),"",H483*I483)</f>
        <v/>
      </c>
      <c r="K483" s="11" t="n"/>
      <c r="L483" s="9">
        <f>IF(B483="","",MONTH(B483))</f>
        <v/>
      </c>
      <c r="M483" s="9">
        <f>IF(B483="","",YEAR(B483))</f>
        <v/>
      </c>
    </row>
    <row r="484">
      <c r="A484" s="9">
        <f>IF(B484="","",ROW()-1)</f>
        <v/>
      </c>
      <c r="B484" s="10" t="n"/>
      <c r="C484" s="11" t="n"/>
      <c r="D484" s="11" t="n"/>
      <c r="E484" s="11" t="n"/>
      <c r="F484" s="11" t="n"/>
      <c r="G484" s="8" t="n"/>
      <c r="H484" s="12" t="n"/>
      <c r="I484" s="13" t="n"/>
      <c r="J484" s="14">
        <f>IF(OR(H484="",I484=""),"",H484*I484)</f>
        <v/>
      </c>
      <c r="K484" s="11" t="n"/>
      <c r="L484" s="9">
        <f>IF(B484="","",MONTH(B484))</f>
        <v/>
      </c>
      <c r="M484" s="9">
        <f>IF(B484="","",YEAR(B484))</f>
        <v/>
      </c>
    </row>
    <row r="485">
      <c r="A485" s="9">
        <f>IF(B485="","",ROW()-1)</f>
        <v/>
      </c>
      <c r="B485" s="10" t="n"/>
      <c r="C485" s="11" t="n"/>
      <c r="D485" s="11" t="n"/>
      <c r="E485" s="11" t="n"/>
      <c r="F485" s="11" t="n"/>
      <c r="G485" s="8" t="n"/>
      <c r="H485" s="12" t="n"/>
      <c r="I485" s="13" t="n"/>
      <c r="J485" s="14">
        <f>IF(OR(H485="",I485=""),"",H485*I485)</f>
        <v/>
      </c>
      <c r="K485" s="11" t="n"/>
      <c r="L485" s="9">
        <f>IF(B485="","",MONTH(B485))</f>
        <v/>
      </c>
      <c r="M485" s="9">
        <f>IF(B485="","",YEAR(B485))</f>
        <v/>
      </c>
    </row>
    <row r="486">
      <c r="A486" s="9">
        <f>IF(B486="","",ROW()-1)</f>
        <v/>
      </c>
      <c r="B486" s="10" t="n"/>
      <c r="C486" s="11" t="n"/>
      <c r="D486" s="11" t="n"/>
      <c r="E486" s="11" t="n"/>
      <c r="F486" s="11" t="n"/>
      <c r="G486" s="8" t="n"/>
      <c r="H486" s="12" t="n"/>
      <c r="I486" s="13" t="n"/>
      <c r="J486" s="14">
        <f>IF(OR(H486="",I486=""),"",H486*I486)</f>
        <v/>
      </c>
      <c r="K486" s="11" t="n"/>
      <c r="L486" s="9">
        <f>IF(B486="","",MONTH(B486))</f>
        <v/>
      </c>
      <c r="M486" s="9">
        <f>IF(B486="","",YEAR(B486))</f>
        <v/>
      </c>
    </row>
    <row r="487">
      <c r="A487" s="9">
        <f>IF(B487="","",ROW()-1)</f>
        <v/>
      </c>
      <c r="B487" s="10" t="n"/>
      <c r="C487" s="11" t="n"/>
      <c r="D487" s="11" t="n"/>
      <c r="E487" s="11" t="n"/>
      <c r="F487" s="11" t="n"/>
      <c r="G487" s="8" t="n"/>
      <c r="H487" s="12" t="n"/>
      <c r="I487" s="13" t="n"/>
      <c r="J487" s="14">
        <f>IF(OR(H487="",I487=""),"",H487*I487)</f>
        <v/>
      </c>
      <c r="K487" s="11" t="n"/>
      <c r="L487" s="9">
        <f>IF(B487="","",MONTH(B487))</f>
        <v/>
      </c>
      <c r="M487" s="9">
        <f>IF(B487="","",YEAR(B487))</f>
        <v/>
      </c>
    </row>
    <row r="488">
      <c r="A488" s="9">
        <f>IF(B488="","",ROW()-1)</f>
        <v/>
      </c>
      <c r="B488" s="10" t="n"/>
      <c r="C488" s="11" t="n"/>
      <c r="D488" s="11" t="n"/>
      <c r="E488" s="11" t="n"/>
      <c r="F488" s="11" t="n"/>
      <c r="G488" s="8" t="n"/>
      <c r="H488" s="12" t="n"/>
      <c r="I488" s="13" t="n"/>
      <c r="J488" s="14">
        <f>IF(OR(H488="",I488=""),"",H488*I488)</f>
        <v/>
      </c>
      <c r="K488" s="11" t="n"/>
      <c r="L488" s="9">
        <f>IF(B488="","",MONTH(B488))</f>
        <v/>
      </c>
      <c r="M488" s="9">
        <f>IF(B488="","",YEAR(B488))</f>
        <v/>
      </c>
    </row>
    <row r="489">
      <c r="A489" s="9">
        <f>IF(B489="","",ROW()-1)</f>
        <v/>
      </c>
      <c r="B489" s="10" t="n"/>
      <c r="C489" s="11" t="n"/>
      <c r="D489" s="11" t="n"/>
      <c r="E489" s="11" t="n"/>
      <c r="F489" s="11" t="n"/>
      <c r="G489" s="8" t="n"/>
      <c r="H489" s="12" t="n"/>
      <c r="I489" s="13" t="n"/>
      <c r="J489" s="14">
        <f>IF(OR(H489="",I489=""),"",H489*I489)</f>
        <v/>
      </c>
      <c r="K489" s="11" t="n"/>
      <c r="L489" s="9">
        <f>IF(B489="","",MONTH(B489))</f>
        <v/>
      </c>
      <c r="M489" s="9">
        <f>IF(B489="","",YEAR(B489))</f>
        <v/>
      </c>
    </row>
    <row r="490">
      <c r="A490" s="9">
        <f>IF(B490="","",ROW()-1)</f>
        <v/>
      </c>
      <c r="B490" s="10" t="n"/>
      <c r="C490" s="11" t="n"/>
      <c r="D490" s="11" t="n"/>
      <c r="E490" s="11" t="n"/>
      <c r="F490" s="11" t="n"/>
      <c r="G490" s="8" t="n"/>
      <c r="H490" s="12" t="n"/>
      <c r="I490" s="13" t="n"/>
      <c r="J490" s="14">
        <f>IF(OR(H490="",I490=""),"",H490*I490)</f>
        <v/>
      </c>
      <c r="K490" s="11" t="n"/>
      <c r="L490" s="9">
        <f>IF(B490="","",MONTH(B490))</f>
        <v/>
      </c>
      <c r="M490" s="9">
        <f>IF(B490="","",YEAR(B490))</f>
        <v/>
      </c>
    </row>
    <row r="491">
      <c r="A491" s="9">
        <f>IF(B491="","",ROW()-1)</f>
        <v/>
      </c>
      <c r="B491" s="10" t="n"/>
      <c r="C491" s="11" t="n"/>
      <c r="D491" s="11" t="n"/>
      <c r="E491" s="11" t="n"/>
      <c r="F491" s="11" t="n"/>
      <c r="G491" s="8" t="n"/>
      <c r="H491" s="12" t="n"/>
      <c r="I491" s="13" t="n"/>
      <c r="J491" s="14">
        <f>IF(OR(H491="",I491=""),"",H491*I491)</f>
        <v/>
      </c>
      <c r="K491" s="11" t="n"/>
      <c r="L491" s="9">
        <f>IF(B491="","",MONTH(B491))</f>
        <v/>
      </c>
      <c r="M491" s="9">
        <f>IF(B491="","",YEAR(B491))</f>
        <v/>
      </c>
    </row>
    <row r="492">
      <c r="A492" s="9">
        <f>IF(B492="","",ROW()-1)</f>
        <v/>
      </c>
      <c r="B492" s="10" t="n"/>
      <c r="C492" s="11" t="n"/>
      <c r="D492" s="11" t="n"/>
      <c r="E492" s="11" t="n"/>
      <c r="F492" s="11" t="n"/>
      <c r="G492" s="8" t="n"/>
      <c r="H492" s="12" t="n"/>
      <c r="I492" s="13" t="n"/>
      <c r="J492" s="14">
        <f>IF(OR(H492="",I492=""),"",H492*I492)</f>
        <v/>
      </c>
      <c r="K492" s="11" t="n"/>
      <c r="L492" s="9">
        <f>IF(B492="","",MONTH(B492))</f>
        <v/>
      </c>
      <c r="M492" s="9">
        <f>IF(B492="","",YEAR(B492))</f>
        <v/>
      </c>
    </row>
    <row r="493">
      <c r="A493" s="9">
        <f>IF(B493="","",ROW()-1)</f>
        <v/>
      </c>
      <c r="B493" s="10" t="n"/>
      <c r="C493" s="11" t="n"/>
      <c r="D493" s="11" t="n"/>
      <c r="E493" s="11" t="n"/>
      <c r="F493" s="11" t="n"/>
      <c r="G493" s="8" t="n"/>
      <c r="H493" s="12" t="n"/>
      <c r="I493" s="13" t="n"/>
      <c r="J493" s="14">
        <f>IF(OR(H493="",I493=""),"",H493*I493)</f>
        <v/>
      </c>
      <c r="K493" s="11" t="n"/>
      <c r="L493" s="9">
        <f>IF(B493="","",MONTH(B493))</f>
        <v/>
      </c>
      <c r="M493" s="9">
        <f>IF(B493="","",YEAR(B493))</f>
        <v/>
      </c>
    </row>
    <row r="494">
      <c r="A494" s="9">
        <f>IF(B494="","",ROW()-1)</f>
        <v/>
      </c>
      <c r="B494" s="10" t="n"/>
      <c r="C494" s="11" t="n"/>
      <c r="D494" s="11" t="n"/>
      <c r="E494" s="11" t="n"/>
      <c r="F494" s="11" t="n"/>
      <c r="G494" s="8" t="n"/>
      <c r="H494" s="12" t="n"/>
      <c r="I494" s="13" t="n"/>
      <c r="J494" s="14">
        <f>IF(OR(H494="",I494=""),"",H494*I494)</f>
        <v/>
      </c>
      <c r="K494" s="11" t="n"/>
      <c r="L494" s="9">
        <f>IF(B494="","",MONTH(B494))</f>
        <v/>
      </c>
      <c r="M494" s="9">
        <f>IF(B494="","",YEAR(B494))</f>
        <v/>
      </c>
    </row>
    <row r="495">
      <c r="A495" s="9">
        <f>IF(B495="","",ROW()-1)</f>
        <v/>
      </c>
      <c r="B495" s="10" t="n"/>
      <c r="C495" s="11" t="n"/>
      <c r="D495" s="11" t="n"/>
      <c r="E495" s="11" t="n"/>
      <c r="F495" s="11" t="n"/>
      <c r="G495" s="8" t="n"/>
      <c r="H495" s="12" t="n"/>
      <c r="I495" s="13" t="n"/>
      <c r="J495" s="14">
        <f>IF(OR(H495="",I495=""),"",H495*I495)</f>
        <v/>
      </c>
      <c r="K495" s="11" t="n"/>
      <c r="L495" s="9">
        <f>IF(B495="","",MONTH(B495))</f>
        <v/>
      </c>
      <c r="M495" s="9">
        <f>IF(B495="","",YEAR(B495))</f>
        <v/>
      </c>
    </row>
    <row r="496">
      <c r="A496" s="9">
        <f>IF(B496="","",ROW()-1)</f>
        <v/>
      </c>
      <c r="B496" s="10" t="n"/>
      <c r="C496" s="11" t="n"/>
      <c r="D496" s="11" t="n"/>
      <c r="E496" s="11" t="n"/>
      <c r="F496" s="11" t="n"/>
      <c r="G496" s="8" t="n"/>
      <c r="H496" s="12" t="n"/>
      <c r="I496" s="13" t="n"/>
      <c r="J496" s="14">
        <f>IF(OR(H496="",I496=""),"",H496*I496)</f>
        <v/>
      </c>
      <c r="K496" s="11" t="n"/>
      <c r="L496" s="9">
        <f>IF(B496="","",MONTH(B496))</f>
        <v/>
      </c>
      <c r="M496" s="9">
        <f>IF(B496="","",YEAR(B496))</f>
        <v/>
      </c>
    </row>
    <row r="497">
      <c r="A497" s="9">
        <f>IF(B497="","",ROW()-1)</f>
        <v/>
      </c>
      <c r="B497" s="10" t="n"/>
      <c r="C497" s="11" t="n"/>
      <c r="D497" s="11" t="n"/>
      <c r="E497" s="11" t="n"/>
      <c r="F497" s="11" t="n"/>
      <c r="G497" s="8" t="n"/>
      <c r="H497" s="12" t="n"/>
      <c r="I497" s="13" t="n"/>
      <c r="J497" s="14">
        <f>IF(OR(H497="",I497=""),"",H497*I497)</f>
        <v/>
      </c>
      <c r="K497" s="11" t="n"/>
      <c r="L497" s="9">
        <f>IF(B497="","",MONTH(B497))</f>
        <v/>
      </c>
      <c r="M497" s="9">
        <f>IF(B497="","",YEAR(B497))</f>
        <v/>
      </c>
    </row>
    <row r="498">
      <c r="A498" s="9">
        <f>IF(B498="","",ROW()-1)</f>
        <v/>
      </c>
      <c r="B498" s="10" t="n"/>
      <c r="C498" s="11" t="n"/>
      <c r="D498" s="11" t="n"/>
      <c r="E498" s="11" t="n"/>
      <c r="F498" s="11" t="n"/>
      <c r="G498" s="8" t="n"/>
      <c r="H498" s="12" t="n"/>
      <c r="I498" s="13" t="n"/>
      <c r="J498" s="14">
        <f>IF(OR(H498="",I498=""),"",H498*I498)</f>
        <v/>
      </c>
      <c r="K498" s="11" t="n"/>
      <c r="L498" s="9">
        <f>IF(B498="","",MONTH(B498))</f>
        <v/>
      </c>
      <c r="M498" s="9">
        <f>IF(B498="","",YEAR(B498))</f>
        <v/>
      </c>
    </row>
    <row r="499">
      <c r="A499" s="9">
        <f>IF(B499="","",ROW()-1)</f>
        <v/>
      </c>
      <c r="B499" s="10" t="n"/>
      <c r="C499" s="11" t="n"/>
      <c r="D499" s="11" t="n"/>
      <c r="E499" s="11" t="n"/>
      <c r="F499" s="11" t="n"/>
      <c r="G499" s="8" t="n"/>
      <c r="H499" s="12" t="n"/>
      <c r="I499" s="13" t="n"/>
      <c r="J499" s="14">
        <f>IF(OR(H499="",I499=""),"",H499*I499)</f>
        <v/>
      </c>
      <c r="K499" s="11" t="n"/>
      <c r="L499" s="9">
        <f>IF(B499="","",MONTH(B499))</f>
        <v/>
      </c>
      <c r="M499" s="9">
        <f>IF(B499="","",YEAR(B499))</f>
        <v/>
      </c>
    </row>
    <row r="500">
      <c r="A500" s="9">
        <f>IF(B500="","",ROW()-1)</f>
        <v/>
      </c>
      <c r="B500" s="10" t="n"/>
      <c r="C500" s="11" t="n"/>
      <c r="D500" s="11" t="n"/>
      <c r="E500" s="11" t="n"/>
      <c r="F500" s="11" t="n"/>
      <c r="G500" s="8" t="n"/>
      <c r="H500" s="12" t="n"/>
      <c r="I500" s="13" t="n"/>
      <c r="J500" s="14">
        <f>IF(OR(H500="",I500=""),"",H500*I500)</f>
        <v/>
      </c>
      <c r="K500" s="11" t="n"/>
      <c r="L500" s="9">
        <f>IF(B500="","",MONTH(B500))</f>
        <v/>
      </c>
      <c r="M500" s="9">
        <f>IF(B500="","",YEAR(B500))</f>
        <v/>
      </c>
    </row>
    <row r="501">
      <c r="A501" s="9">
        <f>IF(B501="","",ROW()-1)</f>
        <v/>
      </c>
      <c r="B501" s="10" t="n"/>
      <c r="C501" s="11" t="n"/>
      <c r="D501" s="11" t="n"/>
      <c r="E501" s="11" t="n"/>
      <c r="F501" s="11" t="n"/>
      <c r="G501" s="8" t="n"/>
      <c r="H501" s="12" t="n"/>
      <c r="I501" s="13" t="n"/>
      <c r="J501" s="14">
        <f>IF(OR(H501="",I501=""),"",H501*I501)</f>
        <v/>
      </c>
      <c r="K501" s="11" t="n"/>
      <c r="L501" s="9">
        <f>IF(B501="","",MONTH(B501))</f>
        <v/>
      </c>
      <c r="M501" s="9">
        <f>IF(B501="","",YEAR(B501))</f>
        <v/>
      </c>
    </row>
    <row r="502">
      <c r="A502" s="9">
        <f>IF(B502="","",ROW()-1)</f>
        <v/>
      </c>
      <c r="B502" s="10" t="n"/>
      <c r="C502" s="11" t="n"/>
      <c r="D502" s="11" t="n"/>
      <c r="E502" s="11" t="n"/>
      <c r="F502" s="11" t="n"/>
      <c r="G502" s="8" t="n"/>
      <c r="H502" s="12" t="n"/>
      <c r="I502" s="13" t="n"/>
      <c r="J502" s="14">
        <f>IF(OR(H502="",I502=""),"",H502*I502)</f>
        <v/>
      </c>
      <c r="K502" s="11" t="n"/>
      <c r="L502" s="9">
        <f>IF(B502="","",MONTH(B502))</f>
        <v/>
      </c>
      <c r="M502" s="9">
        <f>IF(B502="","",YEAR(B502))</f>
        <v/>
      </c>
    </row>
    <row r="503">
      <c r="A503" s="9">
        <f>IF(B503="","",ROW()-1)</f>
        <v/>
      </c>
      <c r="B503" s="10" t="n"/>
      <c r="C503" s="11" t="n"/>
      <c r="D503" s="11" t="n"/>
      <c r="E503" s="11" t="n"/>
      <c r="F503" s="11" t="n"/>
      <c r="G503" s="8" t="n"/>
      <c r="H503" s="12" t="n"/>
      <c r="I503" s="13" t="n"/>
      <c r="J503" s="14">
        <f>IF(OR(H503="",I503=""),"",H503*I503)</f>
        <v/>
      </c>
      <c r="K503" s="11" t="n"/>
      <c r="L503" s="9">
        <f>IF(B503="","",MONTH(B503))</f>
        <v/>
      </c>
      <c r="M503" s="9">
        <f>IF(B503="","",YEAR(B503))</f>
        <v/>
      </c>
    </row>
    <row r="504">
      <c r="A504" s="9">
        <f>IF(B504="","",ROW()-1)</f>
        <v/>
      </c>
      <c r="B504" s="10" t="n"/>
      <c r="C504" s="11" t="n"/>
      <c r="D504" s="11" t="n"/>
      <c r="E504" s="11" t="n"/>
      <c r="F504" s="11" t="n"/>
      <c r="G504" s="8" t="n"/>
      <c r="H504" s="12" t="n"/>
      <c r="I504" s="13" t="n"/>
      <c r="J504" s="14">
        <f>IF(OR(H504="",I504=""),"",H504*I504)</f>
        <v/>
      </c>
      <c r="K504" s="11" t="n"/>
      <c r="L504" s="9">
        <f>IF(B504="","",MONTH(B504))</f>
        <v/>
      </c>
      <c r="M504" s="9">
        <f>IF(B504="","",YEAR(B504))</f>
        <v/>
      </c>
    </row>
    <row r="505">
      <c r="A505" s="9">
        <f>IF(B505="","",ROW()-1)</f>
        <v/>
      </c>
      <c r="B505" s="10" t="n"/>
      <c r="C505" s="11" t="n"/>
      <c r="D505" s="11" t="n"/>
      <c r="E505" s="11" t="n"/>
      <c r="F505" s="11" t="n"/>
      <c r="G505" s="8" t="n"/>
      <c r="H505" s="12" t="n"/>
      <c r="I505" s="13" t="n"/>
      <c r="J505" s="14">
        <f>IF(OR(H505="",I505=""),"",H505*I505)</f>
        <v/>
      </c>
      <c r="K505" s="11" t="n"/>
      <c r="L505" s="9">
        <f>IF(B505="","",MONTH(B505))</f>
        <v/>
      </c>
      <c r="M505" s="9">
        <f>IF(B505="","",YEAR(B505))</f>
        <v/>
      </c>
    </row>
    <row r="506">
      <c r="A506" s="9">
        <f>IF(B506="","",ROW()-1)</f>
        <v/>
      </c>
      <c r="B506" s="10" t="n"/>
      <c r="C506" s="11" t="n"/>
      <c r="D506" s="11" t="n"/>
      <c r="E506" s="11" t="n"/>
      <c r="F506" s="11" t="n"/>
      <c r="G506" s="8" t="n"/>
      <c r="H506" s="12" t="n"/>
      <c r="I506" s="13" t="n"/>
      <c r="J506" s="14">
        <f>IF(OR(H506="",I506=""),"",H506*I506)</f>
        <v/>
      </c>
      <c r="K506" s="11" t="n"/>
      <c r="L506" s="9">
        <f>IF(B506="","",MONTH(B506))</f>
        <v/>
      </c>
      <c r="M506" s="9">
        <f>IF(B506="","",YEAR(B506))</f>
        <v/>
      </c>
    </row>
    <row r="507">
      <c r="A507" s="9">
        <f>IF(B507="","",ROW()-1)</f>
        <v/>
      </c>
      <c r="B507" s="10" t="n"/>
      <c r="C507" s="11" t="n"/>
      <c r="D507" s="11" t="n"/>
      <c r="E507" s="11" t="n"/>
      <c r="F507" s="11" t="n"/>
      <c r="G507" s="8" t="n"/>
      <c r="H507" s="12" t="n"/>
      <c r="I507" s="13" t="n"/>
      <c r="J507" s="14">
        <f>IF(OR(H507="",I507=""),"",H507*I507)</f>
        <v/>
      </c>
      <c r="K507" s="11" t="n"/>
      <c r="L507" s="9">
        <f>IF(B507="","",MONTH(B507))</f>
        <v/>
      </c>
      <c r="M507" s="9">
        <f>IF(B507="","",YEAR(B507))</f>
        <v/>
      </c>
    </row>
    <row r="508">
      <c r="A508" s="9">
        <f>IF(B508="","",ROW()-1)</f>
        <v/>
      </c>
      <c r="B508" s="10" t="n"/>
      <c r="C508" s="11" t="n"/>
      <c r="D508" s="11" t="n"/>
      <c r="E508" s="11" t="n"/>
      <c r="F508" s="11" t="n"/>
      <c r="G508" s="8" t="n"/>
      <c r="H508" s="12" t="n"/>
      <c r="I508" s="13" t="n"/>
      <c r="J508" s="14">
        <f>IF(OR(H508="",I508=""),"",H508*I508)</f>
        <v/>
      </c>
      <c r="K508" s="11" t="n"/>
      <c r="L508" s="9">
        <f>IF(B508="","",MONTH(B508))</f>
        <v/>
      </c>
      <c r="M508" s="9">
        <f>IF(B508="","",YEAR(B508))</f>
        <v/>
      </c>
    </row>
    <row r="509">
      <c r="A509" s="9">
        <f>IF(B509="","",ROW()-1)</f>
        <v/>
      </c>
      <c r="B509" s="10" t="n"/>
      <c r="C509" s="11" t="n"/>
      <c r="D509" s="11" t="n"/>
      <c r="E509" s="11" t="n"/>
      <c r="F509" s="11" t="n"/>
      <c r="G509" s="8" t="n"/>
      <c r="H509" s="12" t="n"/>
      <c r="I509" s="13" t="n"/>
      <c r="J509" s="14">
        <f>IF(OR(H509="",I509=""),"",H509*I509)</f>
        <v/>
      </c>
      <c r="K509" s="11" t="n"/>
      <c r="L509" s="9">
        <f>IF(B509="","",MONTH(B509))</f>
        <v/>
      </c>
      <c r="M509" s="9">
        <f>IF(B509="","",YEAR(B509))</f>
        <v/>
      </c>
    </row>
    <row r="510">
      <c r="A510" s="9">
        <f>IF(B510="","",ROW()-1)</f>
        <v/>
      </c>
      <c r="B510" s="10" t="n"/>
      <c r="C510" s="11" t="n"/>
      <c r="D510" s="11" t="n"/>
      <c r="E510" s="11" t="n"/>
      <c r="F510" s="11" t="n"/>
      <c r="G510" s="8" t="n"/>
      <c r="H510" s="12" t="n"/>
      <c r="I510" s="13" t="n"/>
      <c r="J510" s="14">
        <f>IF(OR(H510="",I510=""),"",H510*I510)</f>
        <v/>
      </c>
      <c r="K510" s="11" t="n"/>
      <c r="L510" s="9">
        <f>IF(B510="","",MONTH(B510))</f>
        <v/>
      </c>
      <c r="M510" s="9">
        <f>IF(B510="","",YEAR(B510))</f>
        <v/>
      </c>
    </row>
    <row r="511">
      <c r="A511" s="9">
        <f>IF(B511="","",ROW()-1)</f>
        <v/>
      </c>
      <c r="B511" s="10" t="n"/>
      <c r="C511" s="11" t="n"/>
      <c r="D511" s="11" t="n"/>
      <c r="E511" s="11" t="n"/>
      <c r="F511" s="11" t="n"/>
      <c r="G511" s="8" t="n"/>
      <c r="H511" s="12" t="n"/>
      <c r="I511" s="13" t="n"/>
      <c r="J511" s="14">
        <f>IF(OR(H511="",I511=""),"",H511*I511)</f>
        <v/>
      </c>
      <c r="K511" s="11" t="n"/>
      <c r="L511" s="9">
        <f>IF(B511="","",MONTH(B511))</f>
        <v/>
      </c>
      <c r="M511" s="9">
        <f>IF(B511="","",YEAR(B511))</f>
        <v/>
      </c>
    </row>
    <row r="512">
      <c r="A512" s="9">
        <f>IF(B512="","",ROW()-1)</f>
        <v/>
      </c>
      <c r="B512" s="10" t="n"/>
      <c r="C512" s="11" t="n"/>
      <c r="D512" s="11" t="n"/>
      <c r="E512" s="11" t="n"/>
      <c r="F512" s="11" t="n"/>
      <c r="G512" s="8" t="n"/>
      <c r="H512" s="12" t="n"/>
      <c r="I512" s="13" t="n"/>
      <c r="J512" s="14">
        <f>IF(OR(H512="",I512=""),"",H512*I512)</f>
        <v/>
      </c>
      <c r="K512" s="11" t="n"/>
      <c r="L512" s="9">
        <f>IF(B512="","",MONTH(B512))</f>
        <v/>
      </c>
      <c r="M512" s="9">
        <f>IF(B512="","",YEAR(B512))</f>
        <v/>
      </c>
    </row>
    <row r="513">
      <c r="A513" s="9">
        <f>IF(B513="","",ROW()-1)</f>
        <v/>
      </c>
      <c r="B513" s="10" t="n"/>
      <c r="C513" s="11" t="n"/>
      <c r="D513" s="11" t="n"/>
      <c r="E513" s="11" t="n"/>
      <c r="F513" s="11" t="n"/>
      <c r="G513" s="8" t="n"/>
      <c r="H513" s="12" t="n"/>
      <c r="I513" s="13" t="n"/>
      <c r="J513" s="14">
        <f>IF(OR(H513="",I513=""),"",H513*I513)</f>
        <v/>
      </c>
      <c r="K513" s="11" t="n"/>
      <c r="L513" s="9">
        <f>IF(B513="","",MONTH(B513))</f>
        <v/>
      </c>
      <c r="M513" s="9">
        <f>IF(B513="","",YEAR(B513))</f>
        <v/>
      </c>
    </row>
    <row r="514">
      <c r="A514" s="9">
        <f>IF(B514="","",ROW()-1)</f>
        <v/>
      </c>
      <c r="B514" s="10" t="n"/>
      <c r="C514" s="11" t="n"/>
      <c r="D514" s="11" t="n"/>
      <c r="E514" s="11" t="n"/>
      <c r="F514" s="11" t="n"/>
      <c r="G514" s="8" t="n"/>
      <c r="H514" s="12" t="n"/>
      <c r="I514" s="13" t="n"/>
      <c r="J514" s="14">
        <f>IF(OR(H514="",I514=""),"",H514*I514)</f>
        <v/>
      </c>
      <c r="K514" s="11" t="n"/>
      <c r="L514" s="9">
        <f>IF(B514="","",MONTH(B514))</f>
        <v/>
      </c>
      <c r="M514" s="9">
        <f>IF(B514="","",YEAR(B514))</f>
        <v/>
      </c>
    </row>
    <row r="515">
      <c r="A515" s="9">
        <f>IF(B515="","",ROW()-1)</f>
        <v/>
      </c>
      <c r="B515" s="10" t="n"/>
      <c r="C515" s="11" t="n"/>
      <c r="D515" s="11" t="n"/>
      <c r="E515" s="11" t="n"/>
      <c r="F515" s="11" t="n"/>
      <c r="G515" s="8" t="n"/>
      <c r="H515" s="12" t="n"/>
      <c r="I515" s="13" t="n"/>
      <c r="J515" s="14">
        <f>IF(OR(H515="",I515=""),"",H515*I515)</f>
        <v/>
      </c>
      <c r="K515" s="11" t="n"/>
      <c r="L515" s="9">
        <f>IF(B515="","",MONTH(B515))</f>
        <v/>
      </c>
      <c r="M515" s="9">
        <f>IF(B515="","",YEAR(B515))</f>
        <v/>
      </c>
    </row>
    <row r="516">
      <c r="A516" s="9">
        <f>IF(B516="","",ROW()-1)</f>
        <v/>
      </c>
      <c r="B516" s="10" t="n"/>
      <c r="C516" s="11" t="n"/>
      <c r="D516" s="11" t="n"/>
      <c r="E516" s="11" t="n"/>
      <c r="F516" s="11" t="n"/>
      <c r="G516" s="8" t="n"/>
      <c r="H516" s="12" t="n"/>
      <c r="I516" s="13" t="n"/>
      <c r="J516" s="14">
        <f>IF(OR(H516="",I516=""),"",H516*I516)</f>
        <v/>
      </c>
      <c r="K516" s="11" t="n"/>
      <c r="L516" s="9">
        <f>IF(B516="","",MONTH(B516))</f>
        <v/>
      </c>
      <c r="M516" s="9">
        <f>IF(B516="","",YEAR(B516))</f>
        <v/>
      </c>
    </row>
    <row r="517">
      <c r="A517" s="9">
        <f>IF(B517="","",ROW()-1)</f>
        <v/>
      </c>
      <c r="B517" s="10" t="n"/>
      <c r="C517" s="11" t="n"/>
      <c r="D517" s="11" t="n"/>
      <c r="E517" s="11" t="n"/>
      <c r="F517" s="11" t="n"/>
      <c r="G517" s="8" t="n"/>
      <c r="H517" s="12" t="n"/>
      <c r="I517" s="13" t="n"/>
      <c r="J517" s="14">
        <f>IF(OR(H517="",I517=""),"",H517*I517)</f>
        <v/>
      </c>
      <c r="K517" s="11" t="n"/>
      <c r="L517" s="9">
        <f>IF(B517="","",MONTH(B517))</f>
        <v/>
      </c>
      <c r="M517" s="9">
        <f>IF(B517="","",YEAR(B517))</f>
        <v/>
      </c>
    </row>
    <row r="518">
      <c r="A518" s="9">
        <f>IF(B518="","",ROW()-1)</f>
        <v/>
      </c>
      <c r="B518" s="10" t="n"/>
      <c r="C518" s="11" t="n"/>
      <c r="D518" s="11" t="n"/>
      <c r="E518" s="11" t="n"/>
      <c r="F518" s="11" t="n"/>
      <c r="G518" s="8" t="n"/>
      <c r="H518" s="12" t="n"/>
      <c r="I518" s="13" t="n"/>
      <c r="J518" s="14">
        <f>IF(OR(H518="",I518=""),"",H518*I518)</f>
        <v/>
      </c>
      <c r="K518" s="11" t="n"/>
      <c r="L518" s="9">
        <f>IF(B518="","",MONTH(B518))</f>
        <v/>
      </c>
      <c r="M518" s="9">
        <f>IF(B518="","",YEAR(B518))</f>
        <v/>
      </c>
    </row>
    <row r="519">
      <c r="A519" s="9">
        <f>IF(B519="","",ROW()-1)</f>
        <v/>
      </c>
      <c r="B519" s="10" t="n"/>
      <c r="C519" s="11" t="n"/>
      <c r="D519" s="11" t="n"/>
      <c r="E519" s="11" t="n"/>
      <c r="F519" s="11" t="n"/>
      <c r="G519" s="8" t="n"/>
      <c r="H519" s="12" t="n"/>
      <c r="I519" s="13" t="n"/>
      <c r="J519" s="14">
        <f>IF(OR(H519="",I519=""),"",H519*I519)</f>
        <v/>
      </c>
      <c r="K519" s="11" t="n"/>
      <c r="L519" s="9">
        <f>IF(B519="","",MONTH(B519))</f>
        <v/>
      </c>
      <c r="M519" s="9">
        <f>IF(B519="","",YEAR(B519))</f>
        <v/>
      </c>
    </row>
    <row r="520">
      <c r="A520" s="9">
        <f>IF(B520="","",ROW()-1)</f>
        <v/>
      </c>
      <c r="B520" s="10" t="n"/>
      <c r="C520" s="11" t="n"/>
      <c r="D520" s="11" t="n"/>
      <c r="E520" s="11" t="n"/>
      <c r="F520" s="11" t="n"/>
      <c r="G520" s="8" t="n"/>
      <c r="H520" s="12" t="n"/>
      <c r="I520" s="13" t="n"/>
      <c r="J520" s="14">
        <f>IF(OR(H520="",I520=""),"",H520*I520)</f>
        <v/>
      </c>
      <c r="K520" s="11" t="n"/>
      <c r="L520" s="9">
        <f>IF(B520="","",MONTH(B520))</f>
        <v/>
      </c>
      <c r="M520" s="9">
        <f>IF(B520="","",YEAR(B520))</f>
        <v/>
      </c>
    </row>
    <row r="521">
      <c r="A521" s="9">
        <f>IF(B521="","",ROW()-1)</f>
        <v/>
      </c>
      <c r="B521" s="10" t="n"/>
      <c r="C521" s="11" t="n"/>
      <c r="D521" s="11" t="n"/>
      <c r="E521" s="11" t="n"/>
      <c r="F521" s="11" t="n"/>
      <c r="G521" s="8" t="n"/>
      <c r="H521" s="12" t="n"/>
      <c r="I521" s="13" t="n"/>
      <c r="J521" s="14">
        <f>IF(OR(H521="",I521=""),"",H521*I521)</f>
        <v/>
      </c>
      <c r="K521" s="11" t="n"/>
      <c r="L521" s="9">
        <f>IF(B521="","",MONTH(B521))</f>
        <v/>
      </c>
      <c r="M521" s="9">
        <f>IF(B521="","",YEAR(B521))</f>
        <v/>
      </c>
    </row>
    <row r="522">
      <c r="A522" s="9">
        <f>IF(B522="","",ROW()-1)</f>
        <v/>
      </c>
      <c r="B522" s="10" t="n"/>
      <c r="C522" s="11" t="n"/>
      <c r="D522" s="11" t="n"/>
      <c r="E522" s="11" t="n"/>
      <c r="F522" s="11" t="n"/>
      <c r="G522" s="8" t="n"/>
      <c r="H522" s="12" t="n"/>
      <c r="I522" s="13" t="n"/>
      <c r="J522" s="14">
        <f>IF(OR(H522="",I522=""),"",H522*I522)</f>
        <v/>
      </c>
      <c r="K522" s="11" t="n"/>
      <c r="L522" s="9">
        <f>IF(B522="","",MONTH(B522))</f>
        <v/>
      </c>
      <c r="M522" s="9">
        <f>IF(B522="","",YEAR(B522))</f>
        <v/>
      </c>
    </row>
    <row r="523">
      <c r="A523" s="9">
        <f>IF(B523="","",ROW()-1)</f>
        <v/>
      </c>
      <c r="B523" s="10" t="n"/>
      <c r="C523" s="11" t="n"/>
      <c r="D523" s="11" t="n"/>
      <c r="E523" s="11" t="n"/>
      <c r="F523" s="11" t="n"/>
      <c r="G523" s="8" t="n"/>
      <c r="H523" s="12" t="n"/>
      <c r="I523" s="13" t="n"/>
      <c r="J523" s="14">
        <f>IF(OR(H523="",I523=""),"",H523*I523)</f>
        <v/>
      </c>
      <c r="K523" s="11" t="n"/>
      <c r="L523" s="9">
        <f>IF(B523="","",MONTH(B523))</f>
        <v/>
      </c>
      <c r="M523" s="9">
        <f>IF(B523="","",YEAR(B523))</f>
        <v/>
      </c>
    </row>
    <row r="524">
      <c r="A524" s="9">
        <f>IF(B524="","",ROW()-1)</f>
        <v/>
      </c>
      <c r="B524" s="10" t="n"/>
      <c r="C524" s="11" t="n"/>
      <c r="D524" s="11" t="n"/>
      <c r="E524" s="11" t="n"/>
      <c r="F524" s="11" t="n"/>
      <c r="G524" s="8" t="n"/>
      <c r="H524" s="12" t="n"/>
      <c r="I524" s="13" t="n"/>
      <c r="J524" s="14">
        <f>IF(OR(H524="",I524=""),"",H524*I524)</f>
        <v/>
      </c>
      <c r="K524" s="11" t="n"/>
      <c r="L524" s="9">
        <f>IF(B524="","",MONTH(B524))</f>
        <v/>
      </c>
      <c r="M524" s="9">
        <f>IF(B524="","",YEAR(B524))</f>
        <v/>
      </c>
    </row>
    <row r="525">
      <c r="A525" s="9">
        <f>IF(B525="","",ROW()-1)</f>
        <v/>
      </c>
      <c r="B525" s="10" t="n"/>
      <c r="C525" s="11" t="n"/>
      <c r="D525" s="11" t="n"/>
      <c r="E525" s="11" t="n"/>
      <c r="F525" s="11" t="n"/>
      <c r="G525" s="8" t="n"/>
      <c r="H525" s="12" t="n"/>
      <c r="I525" s="13" t="n"/>
      <c r="J525" s="14">
        <f>IF(OR(H525="",I525=""),"",H525*I525)</f>
        <v/>
      </c>
      <c r="K525" s="11" t="n"/>
      <c r="L525" s="9">
        <f>IF(B525="","",MONTH(B525))</f>
        <v/>
      </c>
      <c r="M525" s="9">
        <f>IF(B525="","",YEAR(B525))</f>
        <v/>
      </c>
    </row>
    <row r="526">
      <c r="A526" s="9">
        <f>IF(B526="","",ROW()-1)</f>
        <v/>
      </c>
      <c r="B526" s="10" t="n"/>
      <c r="C526" s="11" t="n"/>
      <c r="D526" s="11" t="n"/>
      <c r="E526" s="11" t="n"/>
      <c r="F526" s="11" t="n"/>
      <c r="G526" s="8" t="n"/>
      <c r="H526" s="12" t="n"/>
      <c r="I526" s="13" t="n"/>
      <c r="J526" s="14">
        <f>IF(OR(H526="",I526=""),"",H526*I526)</f>
        <v/>
      </c>
      <c r="K526" s="11" t="n"/>
      <c r="L526" s="9">
        <f>IF(B526="","",MONTH(B526))</f>
        <v/>
      </c>
      <c r="M526" s="9">
        <f>IF(B526="","",YEAR(B526))</f>
        <v/>
      </c>
    </row>
    <row r="527">
      <c r="A527" s="9">
        <f>IF(B527="","",ROW()-1)</f>
        <v/>
      </c>
      <c r="B527" s="10" t="n"/>
      <c r="C527" s="11" t="n"/>
      <c r="D527" s="11" t="n"/>
      <c r="E527" s="11" t="n"/>
      <c r="F527" s="11" t="n"/>
      <c r="G527" s="8" t="n"/>
      <c r="H527" s="12" t="n"/>
      <c r="I527" s="13" t="n"/>
      <c r="J527" s="14">
        <f>IF(OR(H527="",I527=""),"",H527*I527)</f>
        <v/>
      </c>
      <c r="K527" s="11" t="n"/>
      <c r="L527" s="9">
        <f>IF(B527="","",MONTH(B527))</f>
        <v/>
      </c>
      <c r="M527" s="9">
        <f>IF(B527="","",YEAR(B527))</f>
        <v/>
      </c>
    </row>
    <row r="528">
      <c r="A528" s="9">
        <f>IF(B528="","",ROW()-1)</f>
        <v/>
      </c>
      <c r="B528" s="10" t="n"/>
      <c r="C528" s="11" t="n"/>
      <c r="D528" s="11" t="n"/>
      <c r="E528" s="11" t="n"/>
      <c r="F528" s="11" t="n"/>
      <c r="G528" s="8" t="n"/>
      <c r="H528" s="12" t="n"/>
      <c r="I528" s="13" t="n"/>
      <c r="J528" s="14">
        <f>IF(OR(H528="",I528=""),"",H528*I528)</f>
        <v/>
      </c>
      <c r="K528" s="11" t="n"/>
      <c r="L528" s="9">
        <f>IF(B528="","",MONTH(B528))</f>
        <v/>
      </c>
      <c r="M528" s="9">
        <f>IF(B528="","",YEAR(B528))</f>
        <v/>
      </c>
    </row>
    <row r="529">
      <c r="A529" s="9">
        <f>IF(B529="","",ROW()-1)</f>
        <v/>
      </c>
      <c r="B529" s="10" t="n"/>
      <c r="C529" s="11" t="n"/>
      <c r="D529" s="11" t="n"/>
      <c r="E529" s="11" t="n"/>
      <c r="F529" s="11" t="n"/>
      <c r="G529" s="8" t="n"/>
      <c r="H529" s="12" t="n"/>
      <c r="I529" s="13" t="n"/>
      <c r="J529" s="14">
        <f>IF(OR(H529="",I529=""),"",H529*I529)</f>
        <v/>
      </c>
      <c r="K529" s="11" t="n"/>
      <c r="L529" s="9">
        <f>IF(B529="","",MONTH(B529))</f>
        <v/>
      </c>
      <c r="M529" s="9">
        <f>IF(B529="","",YEAR(B529))</f>
        <v/>
      </c>
    </row>
    <row r="530">
      <c r="A530" s="9">
        <f>IF(B530="","",ROW()-1)</f>
        <v/>
      </c>
      <c r="B530" s="10" t="n"/>
      <c r="C530" s="11" t="n"/>
      <c r="D530" s="11" t="n"/>
      <c r="E530" s="11" t="n"/>
      <c r="F530" s="11" t="n"/>
      <c r="G530" s="8" t="n"/>
      <c r="H530" s="12" t="n"/>
      <c r="I530" s="13" t="n"/>
      <c r="J530" s="14">
        <f>IF(OR(H530="",I530=""),"",H530*I530)</f>
        <v/>
      </c>
      <c r="K530" s="11" t="n"/>
      <c r="L530" s="9">
        <f>IF(B530="","",MONTH(B530))</f>
        <v/>
      </c>
      <c r="M530" s="9">
        <f>IF(B530="","",YEAR(B530))</f>
        <v/>
      </c>
    </row>
    <row r="531">
      <c r="A531" s="9">
        <f>IF(B531="","",ROW()-1)</f>
        <v/>
      </c>
      <c r="B531" s="10" t="n"/>
      <c r="C531" s="11" t="n"/>
      <c r="D531" s="11" t="n"/>
      <c r="E531" s="11" t="n"/>
      <c r="F531" s="11" t="n"/>
      <c r="G531" s="8" t="n"/>
      <c r="H531" s="12" t="n"/>
      <c r="I531" s="13" t="n"/>
      <c r="J531" s="14">
        <f>IF(OR(H531="",I531=""),"",H531*I531)</f>
        <v/>
      </c>
      <c r="K531" s="11" t="n"/>
      <c r="L531" s="9">
        <f>IF(B531="","",MONTH(B531))</f>
        <v/>
      </c>
      <c r="M531" s="9">
        <f>IF(B531="","",YEAR(B531))</f>
        <v/>
      </c>
    </row>
    <row r="532">
      <c r="A532" s="9">
        <f>IF(B532="","",ROW()-1)</f>
        <v/>
      </c>
      <c r="B532" s="10" t="n"/>
      <c r="C532" s="11" t="n"/>
      <c r="D532" s="11" t="n"/>
      <c r="E532" s="11" t="n"/>
      <c r="F532" s="11" t="n"/>
      <c r="G532" s="8" t="n"/>
      <c r="H532" s="12" t="n"/>
      <c r="I532" s="13" t="n"/>
      <c r="J532" s="14">
        <f>IF(OR(H532="",I532=""),"",H532*I532)</f>
        <v/>
      </c>
      <c r="K532" s="11" t="n"/>
      <c r="L532" s="9">
        <f>IF(B532="","",MONTH(B532))</f>
        <v/>
      </c>
      <c r="M532" s="9">
        <f>IF(B532="","",YEAR(B532))</f>
        <v/>
      </c>
    </row>
    <row r="533">
      <c r="A533" s="9">
        <f>IF(B533="","",ROW()-1)</f>
        <v/>
      </c>
      <c r="B533" s="10" t="n"/>
      <c r="C533" s="11" t="n"/>
      <c r="D533" s="11" t="n"/>
      <c r="E533" s="11" t="n"/>
      <c r="F533" s="11" t="n"/>
      <c r="G533" s="8" t="n"/>
      <c r="H533" s="12" t="n"/>
      <c r="I533" s="13" t="n"/>
      <c r="J533" s="14">
        <f>IF(OR(H533="",I533=""),"",H533*I533)</f>
        <v/>
      </c>
      <c r="K533" s="11" t="n"/>
      <c r="L533" s="9">
        <f>IF(B533="","",MONTH(B533))</f>
        <v/>
      </c>
      <c r="M533" s="9">
        <f>IF(B533="","",YEAR(B533))</f>
        <v/>
      </c>
    </row>
    <row r="534">
      <c r="A534" s="9">
        <f>IF(B534="","",ROW()-1)</f>
        <v/>
      </c>
      <c r="B534" s="10" t="n"/>
      <c r="C534" s="11" t="n"/>
      <c r="D534" s="11" t="n"/>
      <c r="E534" s="11" t="n"/>
      <c r="F534" s="11" t="n"/>
      <c r="G534" s="8" t="n"/>
      <c r="H534" s="12" t="n"/>
      <c r="I534" s="13" t="n"/>
      <c r="J534" s="14">
        <f>IF(OR(H534="",I534=""),"",H534*I534)</f>
        <v/>
      </c>
      <c r="K534" s="11" t="n"/>
      <c r="L534" s="9">
        <f>IF(B534="","",MONTH(B534))</f>
        <v/>
      </c>
      <c r="M534" s="9">
        <f>IF(B534="","",YEAR(B534))</f>
        <v/>
      </c>
    </row>
    <row r="535">
      <c r="A535" s="9">
        <f>IF(B535="","",ROW()-1)</f>
        <v/>
      </c>
      <c r="B535" s="10" t="n"/>
      <c r="C535" s="11" t="n"/>
      <c r="D535" s="11" t="n"/>
      <c r="E535" s="11" t="n"/>
      <c r="F535" s="11" t="n"/>
      <c r="G535" s="8" t="n"/>
      <c r="H535" s="12" t="n"/>
      <c r="I535" s="13" t="n"/>
      <c r="J535" s="14">
        <f>IF(OR(H535="",I535=""),"",H535*I535)</f>
        <v/>
      </c>
      <c r="K535" s="11" t="n"/>
      <c r="L535" s="9">
        <f>IF(B535="","",MONTH(B535))</f>
        <v/>
      </c>
      <c r="M535" s="9">
        <f>IF(B535="","",YEAR(B535))</f>
        <v/>
      </c>
    </row>
    <row r="536">
      <c r="A536" s="9">
        <f>IF(B536="","",ROW()-1)</f>
        <v/>
      </c>
      <c r="B536" s="10" t="n"/>
      <c r="C536" s="11" t="n"/>
      <c r="D536" s="11" t="n"/>
      <c r="E536" s="11" t="n"/>
      <c r="F536" s="11" t="n"/>
      <c r="G536" s="8" t="n"/>
      <c r="H536" s="12" t="n"/>
      <c r="I536" s="13" t="n"/>
      <c r="J536" s="14">
        <f>IF(OR(H536="",I536=""),"",H536*I536)</f>
        <v/>
      </c>
      <c r="K536" s="11" t="n"/>
      <c r="L536" s="9">
        <f>IF(B536="","",MONTH(B536))</f>
        <v/>
      </c>
      <c r="M536" s="9">
        <f>IF(B536="","",YEAR(B536))</f>
        <v/>
      </c>
    </row>
    <row r="537">
      <c r="A537" s="9">
        <f>IF(B537="","",ROW()-1)</f>
        <v/>
      </c>
      <c r="B537" s="10" t="n"/>
      <c r="C537" s="11" t="n"/>
      <c r="D537" s="11" t="n"/>
      <c r="E537" s="11" t="n"/>
      <c r="F537" s="11" t="n"/>
      <c r="G537" s="8" t="n"/>
      <c r="H537" s="12" t="n"/>
      <c r="I537" s="13" t="n"/>
      <c r="J537" s="14">
        <f>IF(OR(H537="",I537=""),"",H537*I537)</f>
        <v/>
      </c>
      <c r="K537" s="11" t="n"/>
      <c r="L537" s="9">
        <f>IF(B537="","",MONTH(B537))</f>
        <v/>
      </c>
      <c r="M537" s="9">
        <f>IF(B537="","",YEAR(B537))</f>
        <v/>
      </c>
    </row>
    <row r="538">
      <c r="A538" s="9">
        <f>IF(B538="","",ROW()-1)</f>
        <v/>
      </c>
      <c r="B538" s="10" t="n"/>
      <c r="C538" s="11" t="n"/>
      <c r="D538" s="11" t="n"/>
      <c r="E538" s="11" t="n"/>
      <c r="F538" s="11" t="n"/>
      <c r="G538" s="8" t="n"/>
      <c r="H538" s="12" t="n"/>
      <c r="I538" s="13" t="n"/>
      <c r="J538" s="14">
        <f>IF(OR(H538="",I538=""),"",H538*I538)</f>
        <v/>
      </c>
      <c r="K538" s="11" t="n"/>
      <c r="L538" s="9">
        <f>IF(B538="","",MONTH(B538))</f>
        <v/>
      </c>
      <c r="M538" s="9">
        <f>IF(B538="","",YEAR(B538))</f>
        <v/>
      </c>
    </row>
    <row r="539">
      <c r="A539" s="9">
        <f>IF(B539="","",ROW()-1)</f>
        <v/>
      </c>
      <c r="B539" s="10" t="n"/>
      <c r="C539" s="11" t="n"/>
      <c r="D539" s="11" t="n"/>
      <c r="E539" s="11" t="n"/>
      <c r="F539" s="11" t="n"/>
      <c r="G539" s="8" t="n"/>
      <c r="H539" s="12" t="n"/>
      <c r="I539" s="13" t="n"/>
      <c r="J539" s="14">
        <f>IF(OR(H539="",I539=""),"",H539*I539)</f>
        <v/>
      </c>
      <c r="K539" s="11" t="n"/>
      <c r="L539" s="9">
        <f>IF(B539="","",MONTH(B539))</f>
        <v/>
      </c>
      <c r="M539" s="9">
        <f>IF(B539="","",YEAR(B539))</f>
        <v/>
      </c>
    </row>
    <row r="540">
      <c r="A540" s="9">
        <f>IF(B540="","",ROW()-1)</f>
        <v/>
      </c>
      <c r="B540" s="10" t="n"/>
      <c r="C540" s="11" t="n"/>
      <c r="D540" s="11" t="n"/>
      <c r="E540" s="11" t="n"/>
      <c r="F540" s="11" t="n"/>
      <c r="G540" s="8" t="n"/>
      <c r="H540" s="12" t="n"/>
      <c r="I540" s="13" t="n"/>
      <c r="J540" s="14">
        <f>IF(OR(H540="",I540=""),"",H540*I540)</f>
        <v/>
      </c>
      <c r="K540" s="11" t="n"/>
      <c r="L540" s="9">
        <f>IF(B540="","",MONTH(B540))</f>
        <v/>
      </c>
      <c r="M540" s="9">
        <f>IF(B540="","",YEAR(B540))</f>
        <v/>
      </c>
    </row>
    <row r="541">
      <c r="A541" s="9">
        <f>IF(B541="","",ROW()-1)</f>
        <v/>
      </c>
      <c r="B541" s="10" t="n"/>
      <c r="C541" s="11" t="n"/>
      <c r="D541" s="11" t="n"/>
      <c r="E541" s="11" t="n"/>
      <c r="F541" s="11" t="n"/>
      <c r="G541" s="8" t="n"/>
      <c r="H541" s="12" t="n"/>
      <c r="I541" s="13" t="n"/>
      <c r="J541" s="14">
        <f>IF(OR(H541="",I541=""),"",H541*I541)</f>
        <v/>
      </c>
      <c r="K541" s="11" t="n"/>
      <c r="L541" s="9">
        <f>IF(B541="","",MONTH(B541))</f>
        <v/>
      </c>
      <c r="M541" s="9">
        <f>IF(B541="","",YEAR(B541))</f>
        <v/>
      </c>
    </row>
    <row r="542">
      <c r="A542" s="9">
        <f>IF(B542="","",ROW()-1)</f>
        <v/>
      </c>
      <c r="B542" s="10" t="n"/>
      <c r="C542" s="11" t="n"/>
      <c r="D542" s="11" t="n"/>
      <c r="E542" s="11" t="n"/>
      <c r="F542" s="11" t="n"/>
      <c r="G542" s="8" t="n"/>
      <c r="H542" s="12" t="n"/>
      <c r="I542" s="13" t="n"/>
      <c r="J542" s="14">
        <f>IF(OR(H542="",I542=""),"",H542*I542)</f>
        <v/>
      </c>
      <c r="K542" s="11" t="n"/>
      <c r="L542" s="9">
        <f>IF(B542="","",MONTH(B542))</f>
        <v/>
      </c>
      <c r="M542" s="9">
        <f>IF(B542="","",YEAR(B542))</f>
        <v/>
      </c>
    </row>
    <row r="543">
      <c r="A543" s="9">
        <f>IF(B543="","",ROW()-1)</f>
        <v/>
      </c>
      <c r="B543" s="10" t="n"/>
      <c r="C543" s="11" t="n"/>
      <c r="D543" s="11" t="n"/>
      <c r="E543" s="11" t="n"/>
      <c r="F543" s="11" t="n"/>
      <c r="G543" s="8" t="n"/>
      <c r="H543" s="12" t="n"/>
      <c r="I543" s="13" t="n"/>
      <c r="J543" s="14">
        <f>IF(OR(H543="",I543=""),"",H543*I543)</f>
        <v/>
      </c>
      <c r="K543" s="11" t="n"/>
      <c r="L543" s="9">
        <f>IF(B543="","",MONTH(B543))</f>
        <v/>
      </c>
      <c r="M543" s="9">
        <f>IF(B543="","",YEAR(B543))</f>
        <v/>
      </c>
    </row>
    <row r="544">
      <c r="A544" s="9">
        <f>IF(B544="","",ROW()-1)</f>
        <v/>
      </c>
      <c r="B544" s="10" t="n"/>
      <c r="C544" s="11" t="n"/>
      <c r="D544" s="11" t="n"/>
      <c r="E544" s="11" t="n"/>
      <c r="F544" s="11" t="n"/>
      <c r="G544" s="8" t="n"/>
      <c r="H544" s="12" t="n"/>
      <c r="I544" s="13" t="n"/>
      <c r="J544" s="14">
        <f>IF(OR(H544="",I544=""),"",H544*I544)</f>
        <v/>
      </c>
      <c r="K544" s="11" t="n"/>
      <c r="L544" s="9">
        <f>IF(B544="","",MONTH(B544))</f>
        <v/>
      </c>
      <c r="M544" s="9">
        <f>IF(B544="","",YEAR(B544))</f>
        <v/>
      </c>
    </row>
    <row r="545">
      <c r="A545" s="9">
        <f>IF(B545="","",ROW()-1)</f>
        <v/>
      </c>
      <c r="B545" s="10" t="n"/>
      <c r="C545" s="11" t="n"/>
      <c r="D545" s="11" t="n"/>
      <c r="E545" s="11" t="n"/>
      <c r="F545" s="11" t="n"/>
      <c r="G545" s="8" t="n"/>
      <c r="H545" s="12" t="n"/>
      <c r="I545" s="13" t="n"/>
      <c r="J545" s="14">
        <f>IF(OR(H545="",I545=""),"",H545*I545)</f>
        <v/>
      </c>
      <c r="K545" s="11" t="n"/>
      <c r="L545" s="9">
        <f>IF(B545="","",MONTH(B545))</f>
        <v/>
      </c>
      <c r="M545" s="9">
        <f>IF(B545="","",YEAR(B545))</f>
        <v/>
      </c>
    </row>
    <row r="546">
      <c r="A546" s="9">
        <f>IF(B546="","",ROW()-1)</f>
        <v/>
      </c>
      <c r="B546" s="10" t="n"/>
      <c r="C546" s="11" t="n"/>
      <c r="D546" s="11" t="n"/>
      <c r="E546" s="11" t="n"/>
      <c r="F546" s="11" t="n"/>
      <c r="G546" s="8" t="n"/>
      <c r="H546" s="12" t="n"/>
      <c r="I546" s="13" t="n"/>
      <c r="J546" s="14">
        <f>IF(OR(H546="",I546=""),"",H546*I546)</f>
        <v/>
      </c>
      <c r="K546" s="11" t="n"/>
      <c r="L546" s="9">
        <f>IF(B546="","",MONTH(B546))</f>
        <v/>
      </c>
      <c r="M546" s="9">
        <f>IF(B546="","",YEAR(B546))</f>
        <v/>
      </c>
    </row>
    <row r="547">
      <c r="A547" s="9">
        <f>IF(B547="","",ROW()-1)</f>
        <v/>
      </c>
      <c r="B547" s="10" t="n"/>
      <c r="C547" s="11" t="n"/>
      <c r="D547" s="11" t="n"/>
      <c r="E547" s="11" t="n"/>
      <c r="F547" s="11" t="n"/>
      <c r="G547" s="8" t="n"/>
      <c r="H547" s="12" t="n"/>
      <c r="I547" s="13" t="n"/>
      <c r="J547" s="14">
        <f>IF(OR(H547="",I547=""),"",H547*I547)</f>
        <v/>
      </c>
      <c r="K547" s="11" t="n"/>
      <c r="L547" s="9">
        <f>IF(B547="","",MONTH(B547))</f>
        <v/>
      </c>
      <c r="M547" s="9">
        <f>IF(B547="","",YEAR(B547))</f>
        <v/>
      </c>
    </row>
    <row r="548">
      <c r="A548" s="9">
        <f>IF(B548="","",ROW()-1)</f>
        <v/>
      </c>
      <c r="B548" s="10" t="n"/>
      <c r="C548" s="11" t="n"/>
      <c r="D548" s="11" t="n"/>
      <c r="E548" s="11" t="n"/>
      <c r="F548" s="11" t="n"/>
      <c r="G548" s="8" t="n"/>
      <c r="H548" s="12" t="n"/>
      <c r="I548" s="13" t="n"/>
      <c r="J548" s="14">
        <f>IF(OR(H548="",I548=""),"",H548*I548)</f>
        <v/>
      </c>
      <c r="K548" s="11" t="n"/>
      <c r="L548" s="9">
        <f>IF(B548="","",MONTH(B548))</f>
        <v/>
      </c>
      <c r="M548" s="9">
        <f>IF(B548="","",YEAR(B548))</f>
        <v/>
      </c>
    </row>
    <row r="549">
      <c r="A549" s="9">
        <f>IF(B549="","",ROW()-1)</f>
        <v/>
      </c>
      <c r="B549" s="10" t="n"/>
      <c r="C549" s="11" t="n"/>
      <c r="D549" s="11" t="n"/>
      <c r="E549" s="11" t="n"/>
      <c r="F549" s="11" t="n"/>
      <c r="G549" s="8" t="n"/>
      <c r="H549" s="12" t="n"/>
      <c r="I549" s="13" t="n"/>
      <c r="J549" s="14">
        <f>IF(OR(H549="",I549=""),"",H549*I549)</f>
        <v/>
      </c>
      <c r="K549" s="11" t="n"/>
      <c r="L549" s="9">
        <f>IF(B549="","",MONTH(B549))</f>
        <v/>
      </c>
      <c r="M549" s="9">
        <f>IF(B549="","",YEAR(B549))</f>
        <v/>
      </c>
    </row>
    <row r="550">
      <c r="A550" s="9">
        <f>IF(B550="","",ROW()-1)</f>
        <v/>
      </c>
      <c r="B550" s="10" t="n"/>
      <c r="C550" s="11" t="n"/>
      <c r="D550" s="11" t="n"/>
      <c r="E550" s="11" t="n"/>
      <c r="F550" s="11" t="n"/>
      <c r="G550" s="8" t="n"/>
      <c r="H550" s="12" t="n"/>
      <c r="I550" s="13" t="n"/>
      <c r="J550" s="14">
        <f>IF(OR(H550="",I550=""),"",H550*I550)</f>
        <v/>
      </c>
      <c r="K550" s="11" t="n"/>
      <c r="L550" s="9">
        <f>IF(B550="","",MONTH(B550))</f>
        <v/>
      </c>
      <c r="M550" s="9">
        <f>IF(B550="","",YEAR(B550))</f>
        <v/>
      </c>
    </row>
    <row r="551">
      <c r="A551" s="9">
        <f>IF(B551="","",ROW()-1)</f>
        <v/>
      </c>
      <c r="B551" s="10" t="n"/>
      <c r="C551" s="11" t="n"/>
      <c r="D551" s="11" t="n"/>
      <c r="E551" s="11" t="n"/>
      <c r="F551" s="11" t="n"/>
      <c r="G551" s="8" t="n"/>
      <c r="H551" s="12" t="n"/>
      <c r="I551" s="13" t="n"/>
      <c r="J551" s="14">
        <f>IF(OR(H551="",I551=""),"",H551*I551)</f>
        <v/>
      </c>
      <c r="K551" s="11" t="n"/>
      <c r="L551" s="9">
        <f>IF(B551="","",MONTH(B551))</f>
        <v/>
      </c>
      <c r="M551" s="9">
        <f>IF(B551="","",YEAR(B551))</f>
        <v/>
      </c>
    </row>
    <row r="552">
      <c r="A552" s="9">
        <f>IF(B552="","",ROW()-1)</f>
        <v/>
      </c>
      <c r="B552" s="10" t="n"/>
      <c r="C552" s="11" t="n"/>
      <c r="D552" s="11" t="n"/>
      <c r="E552" s="11" t="n"/>
      <c r="F552" s="11" t="n"/>
      <c r="G552" s="8" t="n"/>
      <c r="H552" s="12" t="n"/>
      <c r="I552" s="13" t="n"/>
      <c r="J552" s="14">
        <f>IF(OR(H552="",I552=""),"",H552*I552)</f>
        <v/>
      </c>
      <c r="K552" s="11" t="n"/>
      <c r="L552" s="9">
        <f>IF(B552="","",MONTH(B552))</f>
        <v/>
      </c>
      <c r="M552" s="9">
        <f>IF(B552="","",YEAR(B552))</f>
        <v/>
      </c>
    </row>
    <row r="553">
      <c r="A553" s="9">
        <f>IF(B553="","",ROW()-1)</f>
        <v/>
      </c>
      <c r="B553" s="10" t="n"/>
      <c r="C553" s="11" t="n"/>
      <c r="D553" s="11" t="n"/>
      <c r="E553" s="11" t="n"/>
      <c r="F553" s="11" t="n"/>
      <c r="G553" s="8" t="n"/>
      <c r="H553" s="12" t="n"/>
      <c r="I553" s="13" t="n"/>
      <c r="J553" s="14">
        <f>IF(OR(H553="",I553=""),"",H553*I553)</f>
        <v/>
      </c>
      <c r="K553" s="11" t="n"/>
      <c r="L553" s="9">
        <f>IF(B553="","",MONTH(B553))</f>
        <v/>
      </c>
      <c r="M553" s="9">
        <f>IF(B553="","",YEAR(B553))</f>
        <v/>
      </c>
    </row>
    <row r="554">
      <c r="A554" s="9">
        <f>IF(B554="","",ROW()-1)</f>
        <v/>
      </c>
      <c r="B554" s="10" t="n"/>
      <c r="C554" s="11" t="n"/>
      <c r="D554" s="11" t="n"/>
      <c r="E554" s="11" t="n"/>
      <c r="F554" s="11" t="n"/>
      <c r="G554" s="8" t="n"/>
      <c r="H554" s="12" t="n"/>
      <c r="I554" s="13" t="n"/>
      <c r="J554" s="14">
        <f>IF(OR(H554="",I554=""),"",H554*I554)</f>
        <v/>
      </c>
      <c r="K554" s="11" t="n"/>
      <c r="L554" s="9">
        <f>IF(B554="","",MONTH(B554))</f>
        <v/>
      </c>
      <c r="M554" s="9">
        <f>IF(B554="","",YEAR(B554))</f>
        <v/>
      </c>
    </row>
    <row r="555">
      <c r="A555" s="9">
        <f>IF(B555="","",ROW()-1)</f>
        <v/>
      </c>
      <c r="B555" s="10" t="n"/>
      <c r="C555" s="11" t="n"/>
      <c r="D555" s="11" t="n"/>
      <c r="E555" s="11" t="n"/>
      <c r="F555" s="11" t="n"/>
      <c r="G555" s="8" t="n"/>
      <c r="H555" s="12" t="n"/>
      <c r="I555" s="13" t="n"/>
      <c r="J555" s="14">
        <f>IF(OR(H555="",I555=""),"",H555*I555)</f>
        <v/>
      </c>
      <c r="K555" s="11" t="n"/>
      <c r="L555" s="9">
        <f>IF(B555="","",MONTH(B555))</f>
        <v/>
      </c>
      <c r="M555" s="9">
        <f>IF(B555="","",YEAR(B555))</f>
        <v/>
      </c>
    </row>
    <row r="556">
      <c r="A556" s="9">
        <f>IF(B556="","",ROW()-1)</f>
        <v/>
      </c>
      <c r="B556" s="10" t="n"/>
      <c r="C556" s="11" t="n"/>
      <c r="D556" s="11" t="n"/>
      <c r="E556" s="11" t="n"/>
      <c r="F556" s="11" t="n"/>
      <c r="G556" s="8" t="n"/>
      <c r="H556" s="12" t="n"/>
      <c r="I556" s="13" t="n"/>
      <c r="J556" s="14">
        <f>IF(OR(H556="",I556=""),"",H556*I556)</f>
        <v/>
      </c>
      <c r="K556" s="11" t="n"/>
      <c r="L556" s="9">
        <f>IF(B556="","",MONTH(B556))</f>
        <v/>
      </c>
      <c r="M556" s="9">
        <f>IF(B556="","",YEAR(B556))</f>
        <v/>
      </c>
    </row>
    <row r="557">
      <c r="A557" s="9">
        <f>IF(B557="","",ROW()-1)</f>
        <v/>
      </c>
      <c r="B557" s="10" t="n"/>
      <c r="C557" s="11" t="n"/>
      <c r="D557" s="11" t="n"/>
      <c r="E557" s="11" t="n"/>
      <c r="F557" s="11" t="n"/>
      <c r="G557" s="8" t="n"/>
      <c r="H557" s="12" t="n"/>
      <c r="I557" s="13" t="n"/>
      <c r="J557" s="14">
        <f>IF(OR(H557="",I557=""),"",H557*I557)</f>
        <v/>
      </c>
      <c r="K557" s="11" t="n"/>
      <c r="L557" s="9">
        <f>IF(B557="","",MONTH(B557))</f>
        <v/>
      </c>
      <c r="M557" s="9">
        <f>IF(B557="","",YEAR(B557))</f>
        <v/>
      </c>
    </row>
    <row r="558">
      <c r="A558" s="9">
        <f>IF(B558="","",ROW()-1)</f>
        <v/>
      </c>
      <c r="B558" s="10" t="n"/>
      <c r="C558" s="11" t="n"/>
      <c r="D558" s="11" t="n"/>
      <c r="E558" s="11" t="n"/>
      <c r="F558" s="11" t="n"/>
      <c r="G558" s="8" t="n"/>
      <c r="H558" s="12" t="n"/>
      <c r="I558" s="13" t="n"/>
      <c r="J558" s="14">
        <f>IF(OR(H558="",I558=""),"",H558*I558)</f>
        <v/>
      </c>
      <c r="K558" s="11" t="n"/>
      <c r="L558" s="9">
        <f>IF(B558="","",MONTH(B558))</f>
        <v/>
      </c>
      <c r="M558" s="9">
        <f>IF(B558="","",YEAR(B558))</f>
        <v/>
      </c>
    </row>
    <row r="559">
      <c r="A559" s="9">
        <f>IF(B559="","",ROW()-1)</f>
        <v/>
      </c>
      <c r="B559" s="10" t="n"/>
      <c r="C559" s="11" t="n"/>
      <c r="D559" s="11" t="n"/>
      <c r="E559" s="11" t="n"/>
      <c r="F559" s="11" t="n"/>
      <c r="G559" s="8" t="n"/>
      <c r="H559" s="12" t="n"/>
      <c r="I559" s="13" t="n"/>
      <c r="J559" s="14">
        <f>IF(OR(H559="",I559=""),"",H559*I559)</f>
        <v/>
      </c>
      <c r="K559" s="11" t="n"/>
      <c r="L559" s="9">
        <f>IF(B559="","",MONTH(B559))</f>
        <v/>
      </c>
      <c r="M559" s="9">
        <f>IF(B559="","",YEAR(B559))</f>
        <v/>
      </c>
    </row>
    <row r="560">
      <c r="A560" s="9">
        <f>IF(B560="","",ROW()-1)</f>
        <v/>
      </c>
      <c r="B560" s="10" t="n"/>
      <c r="C560" s="11" t="n"/>
      <c r="D560" s="11" t="n"/>
      <c r="E560" s="11" t="n"/>
      <c r="F560" s="11" t="n"/>
      <c r="G560" s="8" t="n"/>
      <c r="H560" s="12" t="n"/>
      <c r="I560" s="13" t="n"/>
      <c r="J560" s="14">
        <f>IF(OR(H560="",I560=""),"",H560*I560)</f>
        <v/>
      </c>
      <c r="K560" s="11" t="n"/>
      <c r="L560" s="9">
        <f>IF(B560="","",MONTH(B560))</f>
        <v/>
      </c>
      <c r="M560" s="9">
        <f>IF(B560="","",YEAR(B560))</f>
        <v/>
      </c>
    </row>
    <row r="561">
      <c r="A561" s="9">
        <f>IF(B561="","",ROW()-1)</f>
        <v/>
      </c>
      <c r="B561" s="10" t="n"/>
      <c r="C561" s="11" t="n"/>
      <c r="D561" s="11" t="n"/>
      <c r="E561" s="11" t="n"/>
      <c r="F561" s="11" t="n"/>
      <c r="G561" s="8" t="n"/>
      <c r="H561" s="12" t="n"/>
      <c r="I561" s="13" t="n"/>
      <c r="J561" s="14">
        <f>IF(OR(H561="",I561=""),"",H561*I561)</f>
        <v/>
      </c>
      <c r="K561" s="11" t="n"/>
      <c r="L561" s="9">
        <f>IF(B561="","",MONTH(B561))</f>
        <v/>
      </c>
      <c r="M561" s="9">
        <f>IF(B561="","",YEAR(B561))</f>
        <v/>
      </c>
    </row>
    <row r="562">
      <c r="A562" s="9">
        <f>IF(B562="","",ROW()-1)</f>
        <v/>
      </c>
      <c r="B562" s="10" t="n"/>
      <c r="C562" s="11" t="n"/>
      <c r="D562" s="11" t="n"/>
      <c r="E562" s="11" t="n"/>
      <c r="F562" s="11" t="n"/>
      <c r="G562" s="8" t="n"/>
      <c r="H562" s="12" t="n"/>
      <c r="I562" s="13" t="n"/>
      <c r="J562" s="14">
        <f>IF(OR(H562="",I562=""),"",H562*I562)</f>
        <v/>
      </c>
      <c r="K562" s="11" t="n"/>
      <c r="L562" s="9">
        <f>IF(B562="","",MONTH(B562))</f>
        <v/>
      </c>
      <c r="M562" s="9">
        <f>IF(B562="","",YEAR(B562))</f>
        <v/>
      </c>
    </row>
    <row r="563">
      <c r="A563" s="9">
        <f>IF(B563="","",ROW()-1)</f>
        <v/>
      </c>
      <c r="B563" s="10" t="n"/>
      <c r="C563" s="11" t="n"/>
      <c r="D563" s="11" t="n"/>
      <c r="E563" s="11" t="n"/>
      <c r="F563" s="11" t="n"/>
      <c r="G563" s="8" t="n"/>
      <c r="H563" s="12" t="n"/>
      <c r="I563" s="13" t="n"/>
      <c r="J563" s="14">
        <f>IF(OR(H563="",I563=""),"",H563*I563)</f>
        <v/>
      </c>
      <c r="K563" s="11" t="n"/>
      <c r="L563" s="9">
        <f>IF(B563="","",MONTH(B563))</f>
        <v/>
      </c>
      <c r="M563" s="9">
        <f>IF(B563="","",YEAR(B563))</f>
        <v/>
      </c>
    </row>
    <row r="564">
      <c r="A564" s="9">
        <f>IF(B564="","",ROW()-1)</f>
        <v/>
      </c>
      <c r="B564" s="10" t="n"/>
      <c r="C564" s="11" t="n"/>
      <c r="D564" s="11" t="n"/>
      <c r="E564" s="11" t="n"/>
      <c r="F564" s="11" t="n"/>
      <c r="G564" s="8" t="n"/>
      <c r="H564" s="12" t="n"/>
      <c r="I564" s="13" t="n"/>
      <c r="J564" s="14">
        <f>IF(OR(H564="",I564=""),"",H564*I564)</f>
        <v/>
      </c>
      <c r="K564" s="11" t="n"/>
      <c r="L564" s="9">
        <f>IF(B564="","",MONTH(B564))</f>
        <v/>
      </c>
      <c r="M564" s="9">
        <f>IF(B564="","",YEAR(B564))</f>
        <v/>
      </c>
    </row>
    <row r="565">
      <c r="A565" s="9">
        <f>IF(B565="","",ROW()-1)</f>
        <v/>
      </c>
      <c r="B565" s="10" t="n"/>
      <c r="C565" s="11" t="n"/>
      <c r="D565" s="11" t="n"/>
      <c r="E565" s="11" t="n"/>
      <c r="F565" s="11" t="n"/>
      <c r="G565" s="8" t="n"/>
      <c r="H565" s="12" t="n"/>
      <c r="I565" s="13" t="n"/>
      <c r="J565" s="14">
        <f>IF(OR(H565="",I565=""),"",H565*I565)</f>
        <v/>
      </c>
      <c r="K565" s="11" t="n"/>
      <c r="L565" s="9">
        <f>IF(B565="","",MONTH(B565))</f>
        <v/>
      </c>
      <c r="M565" s="9">
        <f>IF(B565="","",YEAR(B565))</f>
        <v/>
      </c>
    </row>
    <row r="566">
      <c r="A566" s="9">
        <f>IF(B566="","",ROW()-1)</f>
        <v/>
      </c>
      <c r="B566" s="10" t="n"/>
      <c r="C566" s="11" t="n"/>
      <c r="D566" s="11" t="n"/>
      <c r="E566" s="11" t="n"/>
      <c r="F566" s="11" t="n"/>
      <c r="G566" s="8" t="n"/>
      <c r="H566" s="12" t="n"/>
      <c r="I566" s="13" t="n"/>
      <c r="J566" s="14">
        <f>IF(OR(H566="",I566=""),"",H566*I566)</f>
        <v/>
      </c>
      <c r="K566" s="11" t="n"/>
      <c r="L566" s="9">
        <f>IF(B566="","",MONTH(B566))</f>
        <v/>
      </c>
      <c r="M566" s="9">
        <f>IF(B566="","",YEAR(B566))</f>
        <v/>
      </c>
    </row>
    <row r="567">
      <c r="A567" s="9">
        <f>IF(B567="","",ROW()-1)</f>
        <v/>
      </c>
      <c r="B567" s="10" t="n"/>
      <c r="C567" s="11" t="n"/>
      <c r="D567" s="11" t="n"/>
      <c r="E567" s="11" t="n"/>
      <c r="F567" s="11" t="n"/>
      <c r="G567" s="8" t="n"/>
      <c r="H567" s="12" t="n"/>
      <c r="I567" s="13" t="n"/>
      <c r="J567" s="14">
        <f>IF(OR(H567="",I567=""),"",H567*I567)</f>
        <v/>
      </c>
      <c r="K567" s="11" t="n"/>
      <c r="L567" s="9">
        <f>IF(B567="","",MONTH(B567))</f>
        <v/>
      </c>
      <c r="M567" s="9">
        <f>IF(B567="","",YEAR(B567))</f>
        <v/>
      </c>
    </row>
    <row r="568">
      <c r="A568" s="9">
        <f>IF(B568="","",ROW()-1)</f>
        <v/>
      </c>
      <c r="B568" s="10" t="n"/>
      <c r="C568" s="11" t="n"/>
      <c r="D568" s="11" t="n"/>
      <c r="E568" s="11" t="n"/>
      <c r="F568" s="11" t="n"/>
      <c r="G568" s="8" t="n"/>
      <c r="H568" s="12" t="n"/>
      <c r="I568" s="13" t="n"/>
      <c r="J568" s="14">
        <f>IF(OR(H568="",I568=""),"",H568*I568)</f>
        <v/>
      </c>
      <c r="K568" s="11" t="n"/>
      <c r="L568" s="9">
        <f>IF(B568="","",MONTH(B568))</f>
        <v/>
      </c>
      <c r="M568" s="9">
        <f>IF(B568="","",YEAR(B568))</f>
        <v/>
      </c>
    </row>
    <row r="569">
      <c r="A569" s="9">
        <f>IF(B569="","",ROW()-1)</f>
        <v/>
      </c>
      <c r="B569" s="10" t="n"/>
      <c r="C569" s="11" t="n"/>
      <c r="D569" s="11" t="n"/>
      <c r="E569" s="11" t="n"/>
      <c r="F569" s="11" t="n"/>
      <c r="G569" s="8" t="n"/>
      <c r="H569" s="12" t="n"/>
      <c r="I569" s="13" t="n"/>
      <c r="J569" s="14">
        <f>IF(OR(H569="",I569=""),"",H569*I569)</f>
        <v/>
      </c>
      <c r="K569" s="11" t="n"/>
      <c r="L569" s="9">
        <f>IF(B569="","",MONTH(B569))</f>
        <v/>
      </c>
      <c r="M569" s="9">
        <f>IF(B569="","",YEAR(B569))</f>
        <v/>
      </c>
    </row>
    <row r="570">
      <c r="A570" s="9">
        <f>IF(B570="","",ROW()-1)</f>
        <v/>
      </c>
      <c r="B570" s="10" t="n"/>
      <c r="C570" s="11" t="n"/>
      <c r="D570" s="11" t="n"/>
      <c r="E570" s="11" t="n"/>
      <c r="F570" s="11" t="n"/>
      <c r="G570" s="8" t="n"/>
      <c r="H570" s="12" t="n"/>
      <c r="I570" s="13" t="n"/>
      <c r="J570" s="14">
        <f>IF(OR(H570="",I570=""),"",H570*I570)</f>
        <v/>
      </c>
      <c r="K570" s="11" t="n"/>
      <c r="L570" s="9">
        <f>IF(B570="","",MONTH(B570))</f>
        <v/>
      </c>
      <c r="M570" s="9">
        <f>IF(B570="","",YEAR(B570))</f>
        <v/>
      </c>
    </row>
    <row r="571">
      <c r="A571" s="9">
        <f>IF(B571="","",ROW()-1)</f>
        <v/>
      </c>
      <c r="B571" s="10" t="n"/>
      <c r="C571" s="11" t="n"/>
      <c r="D571" s="11" t="n"/>
      <c r="E571" s="11" t="n"/>
      <c r="F571" s="11" t="n"/>
      <c r="G571" s="8" t="n"/>
      <c r="H571" s="12" t="n"/>
      <c r="I571" s="13" t="n"/>
      <c r="J571" s="14">
        <f>IF(OR(H571="",I571=""),"",H571*I571)</f>
        <v/>
      </c>
      <c r="K571" s="11" t="n"/>
      <c r="L571" s="9">
        <f>IF(B571="","",MONTH(B571))</f>
        <v/>
      </c>
      <c r="M571" s="9">
        <f>IF(B571="","",YEAR(B571))</f>
        <v/>
      </c>
    </row>
    <row r="572">
      <c r="A572" s="9">
        <f>IF(B572="","",ROW()-1)</f>
        <v/>
      </c>
      <c r="B572" s="10" t="n"/>
      <c r="C572" s="11" t="n"/>
      <c r="D572" s="11" t="n"/>
      <c r="E572" s="11" t="n"/>
      <c r="F572" s="11" t="n"/>
      <c r="G572" s="8" t="n"/>
      <c r="H572" s="12" t="n"/>
      <c r="I572" s="13" t="n"/>
      <c r="J572" s="14">
        <f>IF(OR(H572="",I572=""),"",H572*I572)</f>
        <v/>
      </c>
      <c r="K572" s="11" t="n"/>
      <c r="L572" s="9">
        <f>IF(B572="","",MONTH(B572))</f>
        <v/>
      </c>
      <c r="M572" s="9">
        <f>IF(B572="","",YEAR(B572))</f>
        <v/>
      </c>
    </row>
    <row r="573">
      <c r="A573" s="9">
        <f>IF(B573="","",ROW()-1)</f>
        <v/>
      </c>
      <c r="B573" s="10" t="n"/>
      <c r="C573" s="11" t="n"/>
      <c r="D573" s="11" t="n"/>
      <c r="E573" s="11" t="n"/>
      <c r="F573" s="11" t="n"/>
      <c r="G573" s="8" t="n"/>
      <c r="H573" s="12" t="n"/>
      <c r="I573" s="13" t="n"/>
      <c r="J573" s="14">
        <f>IF(OR(H573="",I573=""),"",H573*I573)</f>
        <v/>
      </c>
      <c r="K573" s="11" t="n"/>
      <c r="L573" s="9">
        <f>IF(B573="","",MONTH(B573))</f>
        <v/>
      </c>
      <c r="M573" s="9">
        <f>IF(B573="","",YEAR(B573))</f>
        <v/>
      </c>
    </row>
    <row r="574">
      <c r="A574" s="9">
        <f>IF(B574="","",ROW()-1)</f>
        <v/>
      </c>
      <c r="B574" s="10" t="n"/>
      <c r="C574" s="11" t="n"/>
      <c r="D574" s="11" t="n"/>
      <c r="E574" s="11" t="n"/>
      <c r="F574" s="11" t="n"/>
      <c r="G574" s="8" t="n"/>
      <c r="H574" s="12" t="n"/>
      <c r="I574" s="13" t="n"/>
      <c r="J574" s="14">
        <f>IF(OR(H574="",I574=""),"",H574*I574)</f>
        <v/>
      </c>
      <c r="K574" s="11" t="n"/>
      <c r="L574" s="9">
        <f>IF(B574="","",MONTH(B574))</f>
        <v/>
      </c>
      <c r="M574" s="9">
        <f>IF(B574="","",YEAR(B574))</f>
        <v/>
      </c>
    </row>
    <row r="575">
      <c r="A575" s="9">
        <f>IF(B575="","",ROW()-1)</f>
        <v/>
      </c>
      <c r="B575" s="10" t="n"/>
      <c r="C575" s="11" t="n"/>
      <c r="D575" s="11" t="n"/>
      <c r="E575" s="11" t="n"/>
      <c r="F575" s="11" t="n"/>
      <c r="G575" s="8" t="n"/>
      <c r="H575" s="12" t="n"/>
      <c r="I575" s="13" t="n"/>
      <c r="J575" s="14">
        <f>IF(OR(H575="",I575=""),"",H575*I575)</f>
        <v/>
      </c>
      <c r="K575" s="11" t="n"/>
      <c r="L575" s="9">
        <f>IF(B575="","",MONTH(B575))</f>
        <v/>
      </c>
      <c r="M575" s="9">
        <f>IF(B575="","",YEAR(B575))</f>
        <v/>
      </c>
    </row>
    <row r="576">
      <c r="A576" s="9">
        <f>IF(B576="","",ROW()-1)</f>
        <v/>
      </c>
      <c r="B576" s="10" t="n"/>
      <c r="C576" s="11" t="n"/>
      <c r="D576" s="11" t="n"/>
      <c r="E576" s="11" t="n"/>
      <c r="F576" s="11" t="n"/>
      <c r="G576" s="8" t="n"/>
      <c r="H576" s="12" t="n"/>
      <c r="I576" s="13" t="n"/>
      <c r="J576" s="14">
        <f>IF(OR(H576="",I576=""),"",H576*I576)</f>
        <v/>
      </c>
      <c r="K576" s="11" t="n"/>
      <c r="L576" s="9">
        <f>IF(B576="","",MONTH(B576))</f>
        <v/>
      </c>
      <c r="M576" s="9">
        <f>IF(B576="","",YEAR(B576))</f>
        <v/>
      </c>
    </row>
    <row r="577">
      <c r="A577" s="9">
        <f>IF(B577="","",ROW()-1)</f>
        <v/>
      </c>
      <c r="B577" s="10" t="n"/>
      <c r="C577" s="11" t="n"/>
      <c r="D577" s="11" t="n"/>
      <c r="E577" s="11" t="n"/>
      <c r="F577" s="11" t="n"/>
      <c r="G577" s="8" t="n"/>
      <c r="H577" s="12" t="n"/>
      <c r="I577" s="13" t="n"/>
      <c r="J577" s="14">
        <f>IF(OR(H577="",I577=""),"",H577*I577)</f>
        <v/>
      </c>
      <c r="K577" s="11" t="n"/>
      <c r="L577" s="9">
        <f>IF(B577="","",MONTH(B577))</f>
        <v/>
      </c>
      <c r="M577" s="9">
        <f>IF(B577="","",YEAR(B577))</f>
        <v/>
      </c>
    </row>
    <row r="578">
      <c r="A578" s="9">
        <f>IF(B578="","",ROW()-1)</f>
        <v/>
      </c>
      <c r="B578" s="10" t="n"/>
      <c r="C578" s="11" t="n"/>
      <c r="D578" s="11" t="n"/>
      <c r="E578" s="11" t="n"/>
      <c r="F578" s="11" t="n"/>
      <c r="G578" s="8" t="n"/>
      <c r="H578" s="12" t="n"/>
      <c r="I578" s="13" t="n"/>
      <c r="J578" s="14">
        <f>IF(OR(H578="",I578=""),"",H578*I578)</f>
        <v/>
      </c>
      <c r="K578" s="11" t="n"/>
      <c r="L578" s="9">
        <f>IF(B578="","",MONTH(B578))</f>
        <v/>
      </c>
      <c r="M578" s="9">
        <f>IF(B578="","",YEAR(B578))</f>
        <v/>
      </c>
    </row>
    <row r="579">
      <c r="A579" s="9">
        <f>IF(B579="","",ROW()-1)</f>
        <v/>
      </c>
      <c r="B579" s="10" t="n"/>
      <c r="C579" s="11" t="n"/>
      <c r="D579" s="11" t="n"/>
      <c r="E579" s="11" t="n"/>
      <c r="F579" s="11" t="n"/>
      <c r="G579" s="8" t="n"/>
      <c r="H579" s="12" t="n"/>
      <c r="I579" s="13" t="n"/>
      <c r="J579" s="14">
        <f>IF(OR(H579="",I579=""),"",H579*I579)</f>
        <v/>
      </c>
      <c r="K579" s="11" t="n"/>
      <c r="L579" s="9">
        <f>IF(B579="","",MONTH(B579))</f>
        <v/>
      </c>
      <c r="M579" s="9">
        <f>IF(B579="","",YEAR(B579))</f>
        <v/>
      </c>
    </row>
    <row r="580">
      <c r="A580" s="9">
        <f>IF(B580="","",ROW()-1)</f>
        <v/>
      </c>
      <c r="B580" s="10" t="n"/>
      <c r="C580" s="11" t="n"/>
      <c r="D580" s="11" t="n"/>
      <c r="E580" s="11" t="n"/>
      <c r="F580" s="11" t="n"/>
      <c r="G580" s="8" t="n"/>
      <c r="H580" s="12" t="n"/>
      <c r="I580" s="13" t="n"/>
      <c r="J580" s="14">
        <f>IF(OR(H580="",I580=""),"",H580*I580)</f>
        <v/>
      </c>
      <c r="K580" s="11" t="n"/>
      <c r="L580" s="9">
        <f>IF(B580="","",MONTH(B580))</f>
        <v/>
      </c>
      <c r="M580" s="9">
        <f>IF(B580="","",YEAR(B580))</f>
        <v/>
      </c>
    </row>
    <row r="581">
      <c r="A581" s="9">
        <f>IF(B581="","",ROW()-1)</f>
        <v/>
      </c>
      <c r="B581" s="10" t="n"/>
      <c r="C581" s="11" t="n"/>
      <c r="D581" s="11" t="n"/>
      <c r="E581" s="11" t="n"/>
      <c r="F581" s="11" t="n"/>
      <c r="G581" s="8" t="n"/>
      <c r="H581" s="12" t="n"/>
      <c r="I581" s="13" t="n"/>
      <c r="J581" s="14">
        <f>IF(OR(H581="",I581=""),"",H581*I581)</f>
        <v/>
      </c>
      <c r="K581" s="11" t="n"/>
      <c r="L581" s="9">
        <f>IF(B581="","",MONTH(B581))</f>
        <v/>
      </c>
      <c r="M581" s="9">
        <f>IF(B581="","",YEAR(B581))</f>
        <v/>
      </c>
    </row>
    <row r="582">
      <c r="A582" s="9">
        <f>IF(B582="","",ROW()-1)</f>
        <v/>
      </c>
      <c r="B582" s="10" t="n"/>
      <c r="C582" s="11" t="n"/>
      <c r="D582" s="11" t="n"/>
      <c r="E582" s="11" t="n"/>
      <c r="F582" s="11" t="n"/>
      <c r="G582" s="8" t="n"/>
      <c r="H582" s="12" t="n"/>
      <c r="I582" s="13" t="n"/>
      <c r="J582" s="14">
        <f>IF(OR(H582="",I582=""),"",H582*I582)</f>
        <v/>
      </c>
      <c r="K582" s="11" t="n"/>
      <c r="L582" s="9">
        <f>IF(B582="","",MONTH(B582))</f>
        <v/>
      </c>
      <c r="M582" s="9">
        <f>IF(B582="","",YEAR(B582))</f>
        <v/>
      </c>
    </row>
    <row r="583">
      <c r="A583" s="9">
        <f>IF(B583="","",ROW()-1)</f>
        <v/>
      </c>
      <c r="B583" s="10" t="n"/>
      <c r="C583" s="11" t="n"/>
      <c r="D583" s="11" t="n"/>
      <c r="E583" s="11" t="n"/>
      <c r="F583" s="11" t="n"/>
      <c r="G583" s="8" t="n"/>
      <c r="H583" s="12" t="n"/>
      <c r="I583" s="13" t="n"/>
      <c r="J583" s="14">
        <f>IF(OR(H583="",I583=""),"",H583*I583)</f>
        <v/>
      </c>
      <c r="K583" s="11" t="n"/>
      <c r="L583" s="9">
        <f>IF(B583="","",MONTH(B583))</f>
        <v/>
      </c>
      <c r="M583" s="9">
        <f>IF(B583="","",YEAR(B583))</f>
        <v/>
      </c>
    </row>
    <row r="584">
      <c r="A584" s="9">
        <f>IF(B584="","",ROW()-1)</f>
        <v/>
      </c>
      <c r="B584" s="10" t="n"/>
      <c r="C584" s="11" t="n"/>
      <c r="D584" s="11" t="n"/>
      <c r="E584" s="11" t="n"/>
      <c r="F584" s="11" t="n"/>
      <c r="G584" s="8" t="n"/>
      <c r="H584" s="12" t="n"/>
      <c r="I584" s="13" t="n"/>
      <c r="J584" s="14">
        <f>IF(OR(H584="",I584=""),"",H584*I584)</f>
        <v/>
      </c>
      <c r="K584" s="11" t="n"/>
      <c r="L584" s="9">
        <f>IF(B584="","",MONTH(B584))</f>
        <v/>
      </c>
      <c r="M584" s="9">
        <f>IF(B584="","",YEAR(B584))</f>
        <v/>
      </c>
    </row>
    <row r="585">
      <c r="A585" s="9">
        <f>IF(B585="","",ROW()-1)</f>
        <v/>
      </c>
      <c r="B585" s="10" t="n"/>
      <c r="C585" s="11" t="n"/>
      <c r="D585" s="11" t="n"/>
      <c r="E585" s="11" t="n"/>
      <c r="F585" s="11" t="n"/>
      <c r="G585" s="8" t="n"/>
      <c r="H585" s="12" t="n"/>
      <c r="I585" s="13" t="n"/>
      <c r="J585" s="14">
        <f>IF(OR(H585="",I585=""),"",H585*I585)</f>
        <v/>
      </c>
      <c r="K585" s="11" t="n"/>
      <c r="L585" s="9">
        <f>IF(B585="","",MONTH(B585))</f>
        <v/>
      </c>
      <c r="M585" s="9">
        <f>IF(B585="","",YEAR(B585))</f>
        <v/>
      </c>
    </row>
    <row r="586">
      <c r="A586" s="9">
        <f>IF(B586="","",ROW()-1)</f>
        <v/>
      </c>
      <c r="B586" s="10" t="n"/>
      <c r="C586" s="11" t="n"/>
      <c r="D586" s="11" t="n"/>
      <c r="E586" s="11" t="n"/>
      <c r="F586" s="11" t="n"/>
      <c r="G586" s="8" t="n"/>
      <c r="H586" s="12" t="n"/>
      <c r="I586" s="13" t="n"/>
      <c r="J586" s="14">
        <f>IF(OR(H586="",I586=""),"",H586*I586)</f>
        <v/>
      </c>
      <c r="K586" s="11" t="n"/>
      <c r="L586" s="9">
        <f>IF(B586="","",MONTH(B586))</f>
        <v/>
      </c>
      <c r="M586" s="9">
        <f>IF(B586="","",YEAR(B586))</f>
        <v/>
      </c>
    </row>
    <row r="587">
      <c r="A587" s="9">
        <f>IF(B587="","",ROW()-1)</f>
        <v/>
      </c>
      <c r="B587" s="10" t="n"/>
      <c r="C587" s="11" t="n"/>
      <c r="D587" s="11" t="n"/>
      <c r="E587" s="11" t="n"/>
      <c r="F587" s="11" t="n"/>
      <c r="G587" s="8" t="n"/>
      <c r="H587" s="12" t="n"/>
      <c r="I587" s="13" t="n"/>
      <c r="J587" s="14">
        <f>IF(OR(H587="",I587=""),"",H587*I587)</f>
        <v/>
      </c>
      <c r="K587" s="11" t="n"/>
      <c r="L587" s="9">
        <f>IF(B587="","",MONTH(B587))</f>
        <v/>
      </c>
      <c r="M587" s="9">
        <f>IF(B587="","",YEAR(B587))</f>
        <v/>
      </c>
    </row>
    <row r="588">
      <c r="A588" s="9">
        <f>IF(B588="","",ROW()-1)</f>
        <v/>
      </c>
      <c r="B588" s="10" t="n"/>
      <c r="C588" s="11" t="n"/>
      <c r="D588" s="11" t="n"/>
      <c r="E588" s="11" t="n"/>
      <c r="F588" s="11" t="n"/>
      <c r="G588" s="8" t="n"/>
      <c r="H588" s="12" t="n"/>
      <c r="I588" s="13" t="n"/>
      <c r="J588" s="14">
        <f>IF(OR(H588="",I588=""),"",H588*I588)</f>
        <v/>
      </c>
      <c r="K588" s="11" t="n"/>
      <c r="L588" s="9">
        <f>IF(B588="","",MONTH(B588))</f>
        <v/>
      </c>
      <c r="M588" s="9">
        <f>IF(B588="","",YEAR(B588))</f>
        <v/>
      </c>
    </row>
    <row r="589">
      <c r="A589" s="9">
        <f>IF(B589="","",ROW()-1)</f>
        <v/>
      </c>
      <c r="B589" s="10" t="n"/>
      <c r="C589" s="11" t="n"/>
      <c r="D589" s="11" t="n"/>
      <c r="E589" s="11" t="n"/>
      <c r="F589" s="11" t="n"/>
      <c r="G589" s="8" t="n"/>
      <c r="H589" s="12" t="n"/>
      <c r="I589" s="13" t="n"/>
      <c r="J589" s="14">
        <f>IF(OR(H589="",I589=""),"",H589*I589)</f>
        <v/>
      </c>
      <c r="K589" s="11" t="n"/>
      <c r="L589" s="9">
        <f>IF(B589="","",MONTH(B589))</f>
        <v/>
      </c>
      <c r="M589" s="9">
        <f>IF(B589="","",YEAR(B589))</f>
        <v/>
      </c>
    </row>
    <row r="590">
      <c r="A590" s="9">
        <f>IF(B590="","",ROW()-1)</f>
        <v/>
      </c>
      <c r="B590" s="10" t="n"/>
      <c r="C590" s="11" t="n"/>
      <c r="D590" s="11" t="n"/>
      <c r="E590" s="11" t="n"/>
      <c r="F590" s="11" t="n"/>
      <c r="G590" s="8" t="n"/>
      <c r="H590" s="12" t="n"/>
      <c r="I590" s="13" t="n"/>
      <c r="J590" s="14">
        <f>IF(OR(H590="",I590=""),"",H590*I590)</f>
        <v/>
      </c>
      <c r="K590" s="11" t="n"/>
      <c r="L590" s="9">
        <f>IF(B590="","",MONTH(B590))</f>
        <v/>
      </c>
      <c r="M590" s="9">
        <f>IF(B590="","",YEAR(B590))</f>
        <v/>
      </c>
    </row>
    <row r="591">
      <c r="A591" s="9">
        <f>IF(B591="","",ROW()-1)</f>
        <v/>
      </c>
      <c r="B591" s="10" t="n"/>
      <c r="C591" s="11" t="n"/>
      <c r="D591" s="11" t="n"/>
      <c r="E591" s="11" t="n"/>
      <c r="F591" s="11" t="n"/>
      <c r="G591" s="8" t="n"/>
      <c r="H591" s="12" t="n"/>
      <c r="I591" s="13" t="n"/>
      <c r="J591" s="14">
        <f>IF(OR(H591="",I591=""),"",H591*I591)</f>
        <v/>
      </c>
      <c r="K591" s="11" t="n"/>
      <c r="L591" s="9">
        <f>IF(B591="","",MONTH(B591))</f>
        <v/>
      </c>
      <c r="M591" s="9">
        <f>IF(B591="","",YEAR(B591))</f>
        <v/>
      </c>
    </row>
    <row r="592">
      <c r="A592" s="9">
        <f>IF(B592="","",ROW()-1)</f>
        <v/>
      </c>
      <c r="B592" s="10" t="n"/>
      <c r="C592" s="11" t="n"/>
      <c r="D592" s="11" t="n"/>
      <c r="E592" s="11" t="n"/>
      <c r="F592" s="11" t="n"/>
      <c r="G592" s="8" t="n"/>
      <c r="H592" s="12" t="n"/>
      <c r="I592" s="13" t="n"/>
      <c r="J592" s="14">
        <f>IF(OR(H592="",I592=""),"",H592*I592)</f>
        <v/>
      </c>
      <c r="K592" s="11" t="n"/>
      <c r="L592" s="9">
        <f>IF(B592="","",MONTH(B592))</f>
        <v/>
      </c>
      <c r="M592" s="9">
        <f>IF(B592="","",YEAR(B592))</f>
        <v/>
      </c>
    </row>
    <row r="593">
      <c r="A593" s="9">
        <f>IF(B593="","",ROW()-1)</f>
        <v/>
      </c>
      <c r="B593" s="10" t="n"/>
      <c r="C593" s="11" t="n"/>
      <c r="D593" s="11" t="n"/>
      <c r="E593" s="11" t="n"/>
      <c r="F593" s="11" t="n"/>
      <c r="G593" s="8" t="n"/>
      <c r="H593" s="12" t="n"/>
      <c r="I593" s="13" t="n"/>
      <c r="J593" s="14">
        <f>IF(OR(H593="",I593=""),"",H593*I593)</f>
        <v/>
      </c>
      <c r="K593" s="11" t="n"/>
      <c r="L593" s="9">
        <f>IF(B593="","",MONTH(B593))</f>
        <v/>
      </c>
      <c r="M593" s="9">
        <f>IF(B593="","",YEAR(B593))</f>
        <v/>
      </c>
    </row>
    <row r="594">
      <c r="A594" s="9">
        <f>IF(B594="","",ROW()-1)</f>
        <v/>
      </c>
      <c r="B594" s="10" t="n"/>
      <c r="C594" s="11" t="n"/>
      <c r="D594" s="11" t="n"/>
      <c r="E594" s="11" t="n"/>
      <c r="F594" s="11" t="n"/>
      <c r="G594" s="8" t="n"/>
      <c r="H594" s="12" t="n"/>
      <c r="I594" s="13" t="n"/>
      <c r="J594" s="14">
        <f>IF(OR(H594="",I594=""),"",H594*I594)</f>
        <v/>
      </c>
      <c r="K594" s="11" t="n"/>
      <c r="L594" s="9">
        <f>IF(B594="","",MONTH(B594))</f>
        <v/>
      </c>
      <c r="M594" s="9">
        <f>IF(B594="","",YEAR(B594))</f>
        <v/>
      </c>
    </row>
    <row r="595">
      <c r="A595" s="9">
        <f>IF(B595="","",ROW()-1)</f>
        <v/>
      </c>
      <c r="B595" s="10" t="n"/>
      <c r="C595" s="11" t="n"/>
      <c r="D595" s="11" t="n"/>
      <c r="E595" s="11" t="n"/>
      <c r="F595" s="11" t="n"/>
      <c r="G595" s="8" t="n"/>
      <c r="H595" s="12" t="n"/>
      <c r="I595" s="13" t="n"/>
      <c r="J595" s="14">
        <f>IF(OR(H595="",I595=""),"",H595*I595)</f>
        <v/>
      </c>
      <c r="K595" s="11" t="n"/>
      <c r="L595" s="9">
        <f>IF(B595="","",MONTH(B595))</f>
        <v/>
      </c>
      <c r="M595" s="9">
        <f>IF(B595="","",YEAR(B595))</f>
        <v/>
      </c>
    </row>
    <row r="596">
      <c r="A596" s="9">
        <f>IF(B596="","",ROW()-1)</f>
        <v/>
      </c>
      <c r="B596" s="10" t="n"/>
      <c r="C596" s="11" t="n"/>
      <c r="D596" s="11" t="n"/>
      <c r="E596" s="11" t="n"/>
      <c r="F596" s="11" t="n"/>
      <c r="G596" s="8" t="n"/>
      <c r="H596" s="12" t="n"/>
      <c r="I596" s="13" t="n"/>
      <c r="J596" s="14">
        <f>IF(OR(H596="",I596=""),"",H596*I596)</f>
        <v/>
      </c>
      <c r="K596" s="11" t="n"/>
      <c r="L596" s="9">
        <f>IF(B596="","",MONTH(B596))</f>
        <v/>
      </c>
      <c r="M596" s="9">
        <f>IF(B596="","",YEAR(B596))</f>
        <v/>
      </c>
    </row>
    <row r="597">
      <c r="A597" s="9">
        <f>IF(B597="","",ROW()-1)</f>
        <v/>
      </c>
      <c r="B597" s="10" t="n"/>
      <c r="C597" s="11" t="n"/>
      <c r="D597" s="11" t="n"/>
      <c r="E597" s="11" t="n"/>
      <c r="F597" s="11" t="n"/>
      <c r="G597" s="8" t="n"/>
      <c r="H597" s="12" t="n"/>
      <c r="I597" s="13" t="n"/>
      <c r="J597" s="14">
        <f>IF(OR(H597="",I597=""),"",H597*I597)</f>
        <v/>
      </c>
      <c r="K597" s="11" t="n"/>
      <c r="L597" s="9">
        <f>IF(B597="","",MONTH(B597))</f>
        <v/>
      </c>
      <c r="M597" s="9">
        <f>IF(B597="","",YEAR(B597))</f>
        <v/>
      </c>
    </row>
    <row r="598">
      <c r="A598" s="9">
        <f>IF(B598="","",ROW()-1)</f>
        <v/>
      </c>
      <c r="B598" s="10" t="n"/>
      <c r="C598" s="11" t="n"/>
      <c r="D598" s="11" t="n"/>
      <c r="E598" s="11" t="n"/>
      <c r="F598" s="11" t="n"/>
      <c r="G598" s="8" t="n"/>
      <c r="H598" s="12" t="n"/>
      <c r="I598" s="13" t="n"/>
      <c r="J598" s="14">
        <f>IF(OR(H598="",I598=""),"",H598*I598)</f>
        <v/>
      </c>
      <c r="K598" s="11" t="n"/>
      <c r="L598" s="9">
        <f>IF(B598="","",MONTH(B598))</f>
        <v/>
      </c>
      <c r="M598" s="9">
        <f>IF(B598="","",YEAR(B598))</f>
        <v/>
      </c>
    </row>
    <row r="599">
      <c r="A599" s="9">
        <f>IF(B599="","",ROW()-1)</f>
        <v/>
      </c>
      <c r="B599" s="10" t="n"/>
      <c r="C599" s="11" t="n"/>
      <c r="D599" s="11" t="n"/>
      <c r="E599" s="11" t="n"/>
      <c r="F599" s="11" t="n"/>
      <c r="G599" s="8" t="n"/>
      <c r="H599" s="12" t="n"/>
      <c r="I599" s="13" t="n"/>
      <c r="J599" s="14">
        <f>IF(OR(H599="",I599=""),"",H599*I599)</f>
        <v/>
      </c>
      <c r="K599" s="11" t="n"/>
      <c r="L599" s="9">
        <f>IF(B599="","",MONTH(B599))</f>
        <v/>
      </c>
      <c r="M599" s="9">
        <f>IF(B599="","",YEAR(B599))</f>
        <v/>
      </c>
    </row>
    <row r="600">
      <c r="A600" s="9">
        <f>IF(B600="","",ROW()-1)</f>
        <v/>
      </c>
      <c r="B600" s="10" t="n"/>
      <c r="C600" s="11" t="n"/>
      <c r="D600" s="11" t="n"/>
      <c r="E600" s="11" t="n"/>
      <c r="F600" s="11" t="n"/>
      <c r="G600" s="8" t="n"/>
      <c r="H600" s="12" t="n"/>
      <c r="I600" s="13" t="n"/>
      <c r="J600" s="14">
        <f>IF(OR(H600="",I600=""),"",H600*I600)</f>
        <v/>
      </c>
      <c r="K600" s="11" t="n"/>
      <c r="L600" s="9">
        <f>IF(B600="","",MONTH(B600))</f>
        <v/>
      </c>
      <c r="M600" s="9">
        <f>IF(B600="","",YEAR(B600))</f>
        <v/>
      </c>
    </row>
    <row r="601">
      <c r="A601" s="9">
        <f>IF(B601="","",ROW()-1)</f>
        <v/>
      </c>
      <c r="B601" s="10" t="n"/>
      <c r="C601" s="11" t="n"/>
      <c r="D601" s="11" t="n"/>
      <c r="E601" s="11" t="n"/>
      <c r="F601" s="11" t="n"/>
      <c r="G601" s="8" t="n"/>
      <c r="H601" s="12" t="n"/>
      <c r="I601" s="13" t="n"/>
      <c r="J601" s="14">
        <f>IF(OR(H601="",I601=""),"",H601*I601)</f>
        <v/>
      </c>
      <c r="K601" s="11" t="n"/>
      <c r="L601" s="9">
        <f>IF(B601="","",MONTH(B601))</f>
        <v/>
      </c>
      <c r="M601" s="9">
        <f>IF(B601="","",YEAR(B601))</f>
        <v/>
      </c>
    </row>
    <row r="602">
      <c r="A602" s="9">
        <f>IF(B602="","",ROW()-1)</f>
        <v/>
      </c>
      <c r="B602" s="10" t="n"/>
      <c r="C602" s="11" t="n"/>
      <c r="D602" s="11" t="n"/>
      <c r="E602" s="11" t="n"/>
      <c r="F602" s="11" t="n"/>
      <c r="G602" s="8" t="n"/>
      <c r="H602" s="12" t="n"/>
      <c r="I602" s="13" t="n"/>
      <c r="J602" s="14">
        <f>IF(OR(H602="",I602=""),"",H602*I602)</f>
        <v/>
      </c>
      <c r="K602" s="11" t="n"/>
      <c r="L602" s="9">
        <f>IF(B602="","",MONTH(B602))</f>
        <v/>
      </c>
      <c r="M602" s="9">
        <f>IF(B602="","",YEAR(B602))</f>
        <v/>
      </c>
    </row>
    <row r="603">
      <c r="A603" s="9">
        <f>IF(B603="","",ROW()-1)</f>
        <v/>
      </c>
      <c r="B603" s="10" t="n"/>
      <c r="C603" s="11" t="n"/>
      <c r="D603" s="11" t="n"/>
      <c r="E603" s="11" t="n"/>
      <c r="F603" s="11" t="n"/>
      <c r="G603" s="8" t="n"/>
      <c r="H603" s="12" t="n"/>
      <c r="I603" s="13" t="n"/>
      <c r="J603" s="14">
        <f>IF(OR(H603="",I603=""),"",H603*I603)</f>
        <v/>
      </c>
      <c r="K603" s="11" t="n"/>
      <c r="L603" s="9">
        <f>IF(B603="","",MONTH(B603))</f>
        <v/>
      </c>
      <c r="M603" s="9">
        <f>IF(B603="","",YEAR(B603))</f>
        <v/>
      </c>
    </row>
    <row r="604">
      <c r="A604" s="9">
        <f>IF(B604="","",ROW()-1)</f>
        <v/>
      </c>
      <c r="B604" s="10" t="n"/>
      <c r="C604" s="11" t="n"/>
      <c r="D604" s="11" t="n"/>
      <c r="E604" s="11" t="n"/>
      <c r="F604" s="11" t="n"/>
      <c r="G604" s="8" t="n"/>
      <c r="H604" s="12" t="n"/>
      <c r="I604" s="13" t="n"/>
      <c r="J604" s="14">
        <f>IF(OR(H604="",I604=""),"",H604*I604)</f>
        <v/>
      </c>
      <c r="K604" s="11" t="n"/>
      <c r="L604" s="9">
        <f>IF(B604="","",MONTH(B604))</f>
        <v/>
      </c>
      <c r="M604" s="9">
        <f>IF(B604="","",YEAR(B604))</f>
        <v/>
      </c>
    </row>
    <row r="605">
      <c r="A605" s="9">
        <f>IF(B605="","",ROW()-1)</f>
        <v/>
      </c>
      <c r="B605" s="10" t="n"/>
      <c r="C605" s="11" t="n"/>
      <c r="D605" s="11" t="n"/>
      <c r="E605" s="11" t="n"/>
      <c r="F605" s="11" t="n"/>
      <c r="G605" s="8" t="n"/>
      <c r="H605" s="12" t="n"/>
      <c r="I605" s="13" t="n"/>
      <c r="J605" s="14">
        <f>IF(OR(H605="",I605=""),"",H605*I605)</f>
        <v/>
      </c>
      <c r="K605" s="11" t="n"/>
      <c r="L605" s="9">
        <f>IF(B605="","",MONTH(B605))</f>
        <v/>
      </c>
      <c r="M605" s="9">
        <f>IF(B605="","",YEAR(B605))</f>
        <v/>
      </c>
    </row>
    <row r="606">
      <c r="A606" s="9">
        <f>IF(B606="","",ROW()-1)</f>
        <v/>
      </c>
      <c r="B606" s="10" t="n"/>
      <c r="C606" s="11" t="n"/>
      <c r="D606" s="11" t="n"/>
      <c r="E606" s="11" t="n"/>
      <c r="F606" s="11" t="n"/>
      <c r="G606" s="8" t="n"/>
      <c r="H606" s="12" t="n"/>
      <c r="I606" s="13" t="n"/>
      <c r="J606" s="14">
        <f>IF(OR(H606="",I606=""),"",H606*I606)</f>
        <v/>
      </c>
      <c r="K606" s="11" t="n"/>
      <c r="L606" s="9">
        <f>IF(B606="","",MONTH(B606))</f>
        <v/>
      </c>
      <c r="M606" s="9">
        <f>IF(B606="","",YEAR(B606))</f>
        <v/>
      </c>
    </row>
    <row r="607">
      <c r="A607" s="9">
        <f>IF(B607="","",ROW()-1)</f>
        <v/>
      </c>
      <c r="B607" s="10" t="n"/>
      <c r="C607" s="11" t="n"/>
      <c r="D607" s="11" t="n"/>
      <c r="E607" s="11" t="n"/>
      <c r="F607" s="11" t="n"/>
      <c r="G607" s="8" t="n"/>
      <c r="H607" s="12" t="n"/>
      <c r="I607" s="13" t="n"/>
      <c r="J607" s="14">
        <f>IF(OR(H607="",I607=""),"",H607*I607)</f>
        <v/>
      </c>
      <c r="K607" s="11" t="n"/>
      <c r="L607" s="9">
        <f>IF(B607="","",MONTH(B607))</f>
        <v/>
      </c>
      <c r="M607" s="9">
        <f>IF(B607="","",YEAR(B607))</f>
        <v/>
      </c>
    </row>
    <row r="608">
      <c r="A608" s="9">
        <f>IF(B608="","",ROW()-1)</f>
        <v/>
      </c>
      <c r="B608" s="10" t="n"/>
      <c r="C608" s="11" t="n"/>
      <c r="D608" s="11" t="n"/>
      <c r="E608" s="11" t="n"/>
      <c r="F608" s="11" t="n"/>
      <c r="G608" s="8" t="n"/>
      <c r="H608" s="12" t="n"/>
      <c r="I608" s="13" t="n"/>
      <c r="J608" s="14">
        <f>IF(OR(H608="",I608=""),"",H608*I608)</f>
        <v/>
      </c>
      <c r="K608" s="11" t="n"/>
      <c r="L608" s="9">
        <f>IF(B608="","",MONTH(B608))</f>
        <v/>
      </c>
      <c r="M608" s="9">
        <f>IF(B608="","",YEAR(B608))</f>
        <v/>
      </c>
    </row>
    <row r="609">
      <c r="A609" s="9">
        <f>IF(B609="","",ROW()-1)</f>
        <v/>
      </c>
      <c r="B609" s="10" t="n"/>
      <c r="C609" s="11" t="n"/>
      <c r="D609" s="11" t="n"/>
      <c r="E609" s="11" t="n"/>
      <c r="F609" s="11" t="n"/>
      <c r="G609" s="8" t="n"/>
      <c r="H609" s="12" t="n"/>
      <c r="I609" s="13" t="n"/>
      <c r="J609" s="14">
        <f>IF(OR(H609="",I609=""),"",H609*I609)</f>
        <v/>
      </c>
      <c r="K609" s="11" t="n"/>
      <c r="L609" s="9">
        <f>IF(B609="","",MONTH(B609))</f>
        <v/>
      </c>
      <c r="M609" s="9">
        <f>IF(B609="","",YEAR(B609))</f>
        <v/>
      </c>
    </row>
    <row r="610">
      <c r="A610" s="9">
        <f>IF(B610="","",ROW()-1)</f>
        <v/>
      </c>
      <c r="B610" s="10" t="n"/>
      <c r="C610" s="11" t="n"/>
      <c r="D610" s="11" t="n"/>
      <c r="E610" s="11" t="n"/>
      <c r="F610" s="11" t="n"/>
      <c r="G610" s="8" t="n"/>
      <c r="H610" s="12" t="n"/>
      <c r="I610" s="13" t="n"/>
      <c r="J610" s="14">
        <f>IF(OR(H610="",I610=""),"",H610*I610)</f>
        <v/>
      </c>
      <c r="K610" s="11" t="n"/>
      <c r="L610" s="9">
        <f>IF(B610="","",MONTH(B610))</f>
        <v/>
      </c>
      <c r="M610" s="9">
        <f>IF(B610="","",YEAR(B610))</f>
        <v/>
      </c>
    </row>
    <row r="611">
      <c r="A611" s="9">
        <f>IF(B611="","",ROW()-1)</f>
        <v/>
      </c>
      <c r="B611" s="10" t="n"/>
      <c r="C611" s="11" t="n"/>
      <c r="D611" s="11" t="n"/>
      <c r="E611" s="11" t="n"/>
      <c r="F611" s="11" t="n"/>
      <c r="G611" s="8" t="n"/>
      <c r="H611" s="12" t="n"/>
      <c r="I611" s="13" t="n"/>
      <c r="J611" s="14">
        <f>IF(OR(H611="",I611=""),"",H611*I611)</f>
        <v/>
      </c>
      <c r="K611" s="11" t="n"/>
      <c r="L611" s="9">
        <f>IF(B611="","",MONTH(B611))</f>
        <v/>
      </c>
      <c r="M611" s="9">
        <f>IF(B611="","",YEAR(B611))</f>
        <v/>
      </c>
    </row>
    <row r="612">
      <c r="A612" s="9">
        <f>IF(B612="","",ROW()-1)</f>
        <v/>
      </c>
      <c r="B612" s="10" t="n"/>
      <c r="C612" s="11" t="n"/>
      <c r="D612" s="11" t="n"/>
      <c r="E612" s="11" t="n"/>
      <c r="F612" s="11" t="n"/>
      <c r="G612" s="8" t="n"/>
      <c r="H612" s="12" t="n"/>
      <c r="I612" s="13" t="n"/>
      <c r="J612" s="14">
        <f>IF(OR(H612="",I612=""),"",H612*I612)</f>
        <v/>
      </c>
      <c r="K612" s="11" t="n"/>
      <c r="L612" s="9">
        <f>IF(B612="","",MONTH(B612))</f>
        <v/>
      </c>
      <c r="M612" s="9">
        <f>IF(B612="","",YEAR(B612))</f>
        <v/>
      </c>
    </row>
    <row r="613">
      <c r="A613" s="9">
        <f>IF(B613="","",ROW()-1)</f>
        <v/>
      </c>
      <c r="B613" s="10" t="n"/>
      <c r="C613" s="11" t="n"/>
      <c r="D613" s="11" t="n"/>
      <c r="E613" s="11" t="n"/>
      <c r="F613" s="11" t="n"/>
      <c r="G613" s="8" t="n"/>
      <c r="H613" s="12" t="n"/>
      <c r="I613" s="13" t="n"/>
      <c r="J613" s="14">
        <f>IF(OR(H613="",I613=""),"",H613*I613)</f>
        <v/>
      </c>
      <c r="K613" s="11" t="n"/>
      <c r="L613" s="9">
        <f>IF(B613="","",MONTH(B613))</f>
        <v/>
      </c>
      <c r="M613" s="9">
        <f>IF(B613="","",YEAR(B613))</f>
        <v/>
      </c>
    </row>
    <row r="614">
      <c r="A614" s="9">
        <f>IF(B614="","",ROW()-1)</f>
        <v/>
      </c>
      <c r="B614" s="10" t="n"/>
      <c r="C614" s="11" t="n"/>
      <c r="D614" s="11" t="n"/>
      <c r="E614" s="11" t="n"/>
      <c r="F614" s="11" t="n"/>
      <c r="G614" s="8" t="n"/>
      <c r="H614" s="12" t="n"/>
      <c r="I614" s="13" t="n"/>
      <c r="J614" s="14">
        <f>IF(OR(H614="",I614=""),"",H614*I614)</f>
        <v/>
      </c>
      <c r="K614" s="11" t="n"/>
      <c r="L614" s="9">
        <f>IF(B614="","",MONTH(B614))</f>
        <v/>
      </c>
      <c r="M614" s="9">
        <f>IF(B614="","",YEAR(B614))</f>
        <v/>
      </c>
    </row>
    <row r="615">
      <c r="A615" s="9">
        <f>IF(B615="","",ROW()-1)</f>
        <v/>
      </c>
      <c r="B615" s="10" t="n"/>
      <c r="C615" s="11" t="n"/>
      <c r="D615" s="11" t="n"/>
      <c r="E615" s="11" t="n"/>
      <c r="F615" s="11" t="n"/>
      <c r="G615" s="8" t="n"/>
      <c r="H615" s="12" t="n"/>
      <c r="I615" s="13" t="n"/>
      <c r="J615" s="14">
        <f>IF(OR(H615="",I615=""),"",H615*I615)</f>
        <v/>
      </c>
      <c r="K615" s="11" t="n"/>
      <c r="L615" s="9">
        <f>IF(B615="","",MONTH(B615))</f>
        <v/>
      </c>
      <c r="M615" s="9">
        <f>IF(B615="","",YEAR(B615))</f>
        <v/>
      </c>
    </row>
    <row r="616">
      <c r="A616" s="9">
        <f>IF(B616="","",ROW()-1)</f>
        <v/>
      </c>
      <c r="B616" s="10" t="n"/>
      <c r="C616" s="11" t="n"/>
      <c r="D616" s="11" t="n"/>
      <c r="E616" s="11" t="n"/>
      <c r="F616" s="11" t="n"/>
      <c r="G616" s="8" t="n"/>
      <c r="H616" s="12" t="n"/>
      <c r="I616" s="13" t="n"/>
      <c r="J616" s="14">
        <f>IF(OR(H616="",I616=""),"",H616*I616)</f>
        <v/>
      </c>
      <c r="K616" s="11" t="n"/>
      <c r="L616" s="9">
        <f>IF(B616="","",MONTH(B616))</f>
        <v/>
      </c>
      <c r="M616" s="9">
        <f>IF(B616="","",YEAR(B616))</f>
        <v/>
      </c>
    </row>
    <row r="617">
      <c r="A617" s="9">
        <f>IF(B617="","",ROW()-1)</f>
        <v/>
      </c>
      <c r="B617" s="10" t="n"/>
      <c r="C617" s="11" t="n"/>
      <c r="D617" s="11" t="n"/>
      <c r="E617" s="11" t="n"/>
      <c r="F617" s="11" t="n"/>
      <c r="G617" s="8" t="n"/>
      <c r="H617" s="12" t="n"/>
      <c r="I617" s="13" t="n"/>
      <c r="J617" s="14">
        <f>IF(OR(H617="",I617=""),"",H617*I617)</f>
        <v/>
      </c>
      <c r="K617" s="11" t="n"/>
      <c r="L617" s="9">
        <f>IF(B617="","",MONTH(B617))</f>
        <v/>
      </c>
      <c r="M617" s="9">
        <f>IF(B617="","",YEAR(B617))</f>
        <v/>
      </c>
    </row>
    <row r="618">
      <c r="A618" s="9">
        <f>IF(B618="","",ROW()-1)</f>
        <v/>
      </c>
      <c r="B618" s="10" t="n"/>
      <c r="C618" s="11" t="n"/>
      <c r="D618" s="11" t="n"/>
      <c r="E618" s="11" t="n"/>
      <c r="F618" s="11" t="n"/>
      <c r="G618" s="8" t="n"/>
      <c r="H618" s="12" t="n"/>
      <c r="I618" s="13" t="n"/>
      <c r="J618" s="14">
        <f>IF(OR(H618="",I618=""),"",H618*I618)</f>
        <v/>
      </c>
      <c r="K618" s="11" t="n"/>
      <c r="L618" s="9">
        <f>IF(B618="","",MONTH(B618))</f>
        <v/>
      </c>
      <c r="M618" s="9">
        <f>IF(B618="","",YEAR(B618))</f>
        <v/>
      </c>
    </row>
    <row r="619">
      <c r="A619" s="9">
        <f>IF(B619="","",ROW()-1)</f>
        <v/>
      </c>
      <c r="B619" s="10" t="n"/>
      <c r="C619" s="11" t="n"/>
      <c r="D619" s="11" t="n"/>
      <c r="E619" s="11" t="n"/>
      <c r="F619" s="11" t="n"/>
      <c r="G619" s="8" t="n"/>
      <c r="H619" s="12" t="n"/>
      <c r="I619" s="13" t="n"/>
      <c r="J619" s="14">
        <f>IF(OR(H619="",I619=""),"",H619*I619)</f>
        <v/>
      </c>
      <c r="K619" s="11" t="n"/>
      <c r="L619" s="9">
        <f>IF(B619="","",MONTH(B619))</f>
        <v/>
      </c>
      <c r="M619" s="9">
        <f>IF(B619="","",YEAR(B619))</f>
        <v/>
      </c>
    </row>
    <row r="620">
      <c r="A620" s="9">
        <f>IF(B620="","",ROW()-1)</f>
        <v/>
      </c>
      <c r="B620" s="10" t="n"/>
      <c r="C620" s="11" t="n"/>
      <c r="D620" s="11" t="n"/>
      <c r="E620" s="11" t="n"/>
      <c r="F620" s="11" t="n"/>
      <c r="G620" s="8" t="n"/>
      <c r="H620" s="12" t="n"/>
      <c r="I620" s="13" t="n"/>
      <c r="J620" s="14">
        <f>IF(OR(H620="",I620=""),"",H620*I620)</f>
        <v/>
      </c>
      <c r="K620" s="11" t="n"/>
      <c r="L620" s="9">
        <f>IF(B620="","",MONTH(B620))</f>
        <v/>
      </c>
      <c r="M620" s="9">
        <f>IF(B620="","",YEAR(B620))</f>
        <v/>
      </c>
    </row>
    <row r="621">
      <c r="A621" s="9">
        <f>IF(B621="","",ROW()-1)</f>
        <v/>
      </c>
      <c r="B621" s="10" t="n"/>
      <c r="C621" s="11" t="n"/>
      <c r="D621" s="11" t="n"/>
      <c r="E621" s="11" t="n"/>
      <c r="F621" s="11" t="n"/>
      <c r="G621" s="8" t="n"/>
      <c r="H621" s="12" t="n"/>
      <c r="I621" s="13" t="n"/>
      <c r="J621" s="14">
        <f>IF(OR(H621="",I621=""),"",H621*I621)</f>
        <v/>
      </c>
      <c r="K621" s="11" t="n"/>
      <c r="L621" s="9">
        <f>IF(B621="","",MONTH(B621))</f>
        <v/>
      </c>
      <c r="M621" s="9">
        <f>IF(B621="","",YEAR(B621))</f>
        <v/>
      </c>
    </row>
    <row r="622">
      <c r="A622" s="9">
        <f>IF(B622="","",ROW()-1)</f>
        <v/>
      </c>
      <c r="B622" s="10" t="n"/>
      <c r="C622" s="11" t="n"/>
      <c r="D622" s="11" t="n"/>
      <c r="E622" s="11" t="n"/>
      <c r="F622" s="11" t="n"/>
      <c r="G622" s="8" t="n"/>
      <c r="H622" s="12" t="n"/>
      <c r="I622" s="13" t="n"/>
      <c r="J622" s="14">
        <f>IF(OR(H622="",I622=""),"",H622*I622)</f>
        <v/>
      </c>
      <c r="K622" s="11" t="n"/>
      <c r="L622" s="9">
        <f>IF(B622="","",MONTH(B622))</f>
        <v/>
      </c>
      <c r="M622" s="9">
        <f>IF(B622="","",YEAR(B622))</f>
        <v/>
      </c>
    </row>
    <row r="623">
      <c r="A623" s="9">
        <f>IF(B623="","",ROW()-1)</f>
        <v/>
      </c>
      <c r="B623" s="10" t="n"/>
      <c r="C623" s="11" t="n"/>
      <c r="D623" s="11" t="n"/>
      <c r="E623" s="11" t="n"/>
      <c r="F623" s="11" t="n"/>
      <c r="G623" s="8" t="n"/>
      <c r="H623" s="12" t="n"/>
      <c r="I623" s="13" t="n"/>
      <c r="J623" s="14">
        <f>IF(OR(H623="",I623=""),"",H623*I623)</f>
        <v/>
      </c>
      <c r="K623" s="11" t="n"/>
      <c r="L623" s="9">
        <f>IF(B623="","",MONTH(B623))</f>
        <v/>
      </c>
      <c r="M623" s="9">
        <f>IF(B623="","",YEAR(B623))</f>
        <v/>
      </c>
    </row>
    <row r="624">
      <c r="A624" s="9">
        <f>IF(B624="","",ROW()-1)</f>
        <v/>
      </c>
      <c r="B624" s="10" t="n"/>
      <c r="C624" s="11" t="n"/>
      <c r="D624" s="11" t="n"/>
      <c r="E624" s="11" t="n"/>
      <c r="F624" s="11" t="n"/>
      <c r="G624" s="8" t="n"/>
      <c r="H624" s="12" t="n"/>
      <c r="I624" s="13" t="n"/>
      <c r="J624" s="14">
        <f>IF(OR(H624="",I624=""),"",H624*I624)</f>
        <v/>
      </c>
      <c r="K624" s="11" t="n"/>
      <c r="L624" s="9">
        <f>IF(B624="","",MONTH(B624))</f>
        <v/>
      </c>
      <c r="M624" s="9">
        <f>IF(B624="","",YEAR(B624))</f>
        <v/>
      </c>
    </row>
    <row r="625">
      <c r="A625" s="9">
        <f>IF(B625="","",ROW()-1)</f>
        <v/>
      </c>
      <c r="B625" s="10" t="n"/>
      <c r="C625" s="11" t="n"/>
      <c r="D625" s="11" t="n"/>
      <c r="E625" s="11" t="n"/>
      <c r="F625" s="11" t="n"/>
      <c r="G625" s="8" t="n"/>
      <c r="H625" s="12" t="n"/>
      <c r="I625" s="13" t="n"/>
      <c r="J625" s="14">
        <f>IF(OR(H625="",I625=""),"",H625*I625)</f>
        <v/>
      </c>
      <c r="K625" s="11" t="n"/>
      <c r="L625" s="9">
        <f>IF(B625="","",MONTH(B625))</f>
        <v/>
      </c>
      <c r="M625" s="9">
        <f>IF(B625="","",YEAR(B625))</f>
        <v/>
      </c>
    </row>
    <row r="626">
      <c r="A626" s="9">
        <f>IF(B626="","",ROW()-1)</f>
        <v/>
      </c>
      <c r="B626" s="10" t="n"/>
      <c r="C626" s="11" t="n"/>
      <c r="D626" s="11" t="n"/>
      <c r="E626" s="11" t="n"/>
      <c r="F626" s="11" t="n"/>
      <c r="G626" s="8" t="n"/>
      <c r="H626" s="12" t="n"/>
      <c r="I626" s="13" t="n"/>
      <c r="J626" s="14">
        <f>IF(OR(H626="",I626=""),"",H626*I626)</f>
        <v/>
      </c>
      <c r="K626" s="11" t="n"/>
      <c r="L626" s="9">
        <f>IF(B626="","",MONTH(B626))</f>
        <v/>
      </c>
      <c r="M626" s="9">
        <f>IF(B626="","",YEAR(B626))</f>
        <v/>
      </c>
    </row>
    <row r="627">
      <c r="A627" s="9">
        <f>IF(B627="","",ROW()-1)</f>
        <v/>
      </c>
      <c r="B627" s="10" t="n"/>
      <c r="C627" s="11" t="n"/>
      <c r="D627" s="11" t="n"/>
      <c r="E627" s="11" t="n"/>
      <c r="F627" s="11" t="n"/>
      <c r="G627" s="8" t="n"/>
      <c r="H627" s="12" t="n"/>
      <c r="I627" s="13" t="n"/>
      <c r="J627" s="14">
        <f>IF(OR(H627="",I627=""),"",H627*I627)</f>
        <v/>
      </c>
      <c r="K627" s="11" t="n"/>
      <c r="L627" s="9">
        <f>IF(B627="","",MONTH(B627))</f>
        <v/>
      </c>
      <c r="M627" s="9">
        <f>IF(B627="","",YEAR(B627))</f>
        <v/>
      </c>
    </row>
    <row r="628">
      <c r="A628" s="9">
        <f>IF(B628="","",ROW()-1)</f>
        <v/>
      </c>
      <c r="B628" s="10" t="n"/>
      <c r="C628" s="11" t="n"/>
      <c r="D628" s="11" t="n"/>
      <c r="E628" s="11" t="n"/>
      <c r="F628" s="11" t="n"/>
      <c r="G628" s="8" t="n"/>
      <c r="H628" s="12" t="n"/>
      <c r="I628" s="13" t="n"/>
      <c r="J628" s="14">
        <f>IF(OR(H628="",I628=""),"",H628*I628)</f>
        <v/>
      </c>
      <c r="K628" s="11" t="n"/>
      <c r="L628" s="9">
        <f>IF(B628="","",MONTH(B628))</f>
        <v/>
      </c>
      <c r="M628" s="9">
        <f>IF(B628="","",YEAR(B628))</f>
        <v/>
      </c>
    </row>
    <row r="629">
      <c r="A629" s="9">
        <f>IF(B629="","",ROW()-1)</f>
        <v/>
      </c>
      <c r="B629" s="10" t="n"/>
      <c r="C629" s="11" t="n"/>
      <c r="D629" s="11" t="n"/>
      <c r="E629" s="11" t="n"/>
      <c r="F629" s="11" t="n"/>
      <c r="G629" s="8" t="n"/>
      <c r="H629" s="12" t="n"/>
      <c r="I629" s="13" t="n"/>
      <c r="J629" s="14">
        <f>IF(OR(H629="",I629=""),"",H629*I629)</f>
        <v/>
      </c>
      <c r="K629" s="11" t="n"/>
      <c r="L629" s="9">
        <f>IF(B629="","",MONTH(B629))</f>
        <v/>
      </c>
      <c r="M629" s="9">
        <f>IF(B629="","",YEAR(B629))</f>
        <v/>
      </c>
    </row>
    <row r="630">
      <c r="A630" s="9">
        <f>IF(B630="","",ROW()-1)</f>
        <v/>
      </c>
      <c r="B630" s="10" t="n"/>
      <c r="C630" s="11" t="n"/>
      <c r="D630" s="11" t="n"/>
      <c r="E630" s="11" t="n"/>
      <c r="F630" s="11" t="n"/>
      <c r="G630" s="8" t="n"/>
      <c r="H630" s="12" t="n"/>
      <c r="I630" s="13" t="n"/>
      <c r="J630" s="14">
        <f>IF(OR(H630="",I630=""),"",H630*I630)</f>
        <v/>
      </c>
      <c r="K630" s="11" t="n"/>
      <c r="L630" s="9">
        <f>IF(B630="","",MONTH(B630))</f>
        <v/>
      </c>
      <c r="M630" s="9">
        <f>IF(B630="","",YEAR(B630))</f>
        <v/>
      </c>
    </row>
    <row r="631">
      <c r="A631" s="9">
        <f>IF(B631="","",ROW()-1)</f>
        <v/>
      </c>
      <c r="B631" s="10" t="n"/>
      <c r="C631" s="11" t="n"/>
      <c r="D631" s="11" t="n"/>
      <c r="E631" s="11" t="n"/>
      <c r="F631" s="11" t="n"/>
      <c r="G631" s="8" t="n"/>
      <c r="H631" s="12" t="n"/>
      <c r="I631" s="13" t="n"/>
      <c r="J631" s="14">
        <f>IF(OR(H631="",I631=""),"",H631*I631)</f>
        <v/>
      </c>
      <c r="K631" s="11" t="n"/>
      <c r="L631" s="9">
        <f>IF(B631="","",MONTH(B631))</f>
        <v/>
      </c>
      <c r="M631" s="9">
        <f>IF(B631="","",YEAR(B631))</f>
        <v/>
      </c>
    </row>
    <row r="632">
      <c r="A632" s="9">
        <f>IF(B632="","",ROW()-1)</f>
        <v/>
      </c>
      <c r="B632" s="10" t="n"/>
      <c r="C632" s="11" t="n"/>
      <c r="D632" s="11" t="n"/>
      <c r="E632" s="11" t="n"/>
      <c r="F632" s="11" t="n"/>
      <c r="G632" s="8" t="n"/>
      <c r="H632" s="12" t="n"/>
      <c r="I632" s="13" t="n"/>
      <c r="J632" s="14">
        <f>IF(OR(H632="",I632=""),"",H632*I632)</f>
        <v/>
      </c>
      <c r="K632" s="11" t="n"/>
      <c r="L632" s="9">
        <f>IF(B632="","",MONTH(B632))</f>
        <v/>
      </c>
      <c r="M632" s="9">
        <f>IF(B632="","",YEAR(B632))</f>
        <v/>
      </c>
    </row>
    <row r="633">
      <c r="A633" s="9">
        <f>IF(B633="","",ROW()-1)</f>
        <v/>
      </c>
      <c r="B633" s="10" t="n"/>
      <c r="C633" s="11" t="n"/>
      <c r="D633" s="11" t="n"/>
      <c r="E633" s="11" t="n"/>
      <c r="F633" s="11" t="n"/>
      <c r="G633" s="8" t="n"/>
      <c r="H633" s="12" t="n"/>
      <c r="I633" s="13" t="n"/>
      <c r="J633" s="14">
        <f>IF(OR(H633="",I633=""),"",H633*I633)</f>
        <v/>
      </c>
      <c r="K633" s="11" t="n"/>
      <c r="L633" s="9">
        <f>IF(B633="","",MONTH(B633))</f>
        <v/>
      </c>
      <c r="M633" s="9">
        <f>IF(B633="","",YEAR(B633))</f>
        <v/>
      </c>
    </row>
    <row r="634">
      <c r="A634" s="9">
        <f>IF(B634="","",ROW()-1)</f>
        <v/>
      </c>
      <c r="B634" s="10" t="n"/>
      <c r="C634" s="11" t="n"/>
      <c r="D634" s="11" t="n"/>
      <c r="E634" s="11" t="n"/>
      <c r="F634" s="11" t="n"/>
      <c r="G634" s="8" t="n"/>
      <c r="H634" s="12" t="n"/>
      <c r="I634" s="13" t="n"/>
      <c r="J634" s="14">
        <f>IF(OR(H634="",I634=""),"",H634*I634)</f>
        <v/>
      </c>
      <c r="K634" s="11" t="n"/>
      <c r="L634" s="9">
        <f>IF(B634="","",MONTH(B634))</f>
        <v/>
      </c>
      <c r="M634" s="9">
        <f>IF(B634="","",YEAR(B634))</f>
        <v/>
      </c>
    </row>
    <row r="635">
      <c r="A635" s="9">
        <f>IF(B635="","",ROW()-1)</f>
        <v/>
      </c>
      <c r="B635" s="10" t="n"/>
      <c r="C635" s="11" t="n"/>
      <c r="D635" s="11" t="n"/>
      <c r="E635" s="11" t="n"/>
      <c r="F635" s="11" t="n"/>
      <c r="G635" s="8" t="n"/>
      <c r="H635" s="12" t="n"/>
      <c r="I635" s="13" t="n"/>
      <c r="J635" s="14">
        <f>IF(OR(H635="",I635=""),"",H635*I635)</f>
        <v/>
      </c>
      <c r="K635" s="11" t="n"/>
      <c r="L635" s="9">
        <f>IF(B635="","",MONTH(B635))</f>
        <v/>
      </c>
      <c r="M635" s="9">
        <f>IF(B635="","",YEAR(B635))</f>
        <v/>
      </c>
    </row>
    <row r="636">
      <c r="A636" s="9">
        <f>IF(B636="","",ROW()-1)</f>
        <v/>
      </c>
      <c r="B636" s="10" t="n"/>
      <c r="C636" s="11" t="n"/>
      <c r="D636" s="11" t="n"/>
      <c r="E636" s="11" t="n"/>
      <c r="F636" s="11" t="n"/>
      <c r="G636" s="8" t="n"/>
      <c r="H636" s="12" t="n"/>
      <c r="I636" s="13" t="n"/>
      <c r="J636" s="14">
        <f>IF(OR(H636="",I636=""),"",H636*I636)</f>
        <v/>
      </c>
      <c r="K636" s="11" t="n"/>
      <c r="L636" s="9">
        <f>IF(B636="","",MONTH(B636))</f>
        <v/>
      </c>
      <c r="M636" s="9">
        <f>IF(B636="","",YEAR(B636))</f>
        <v/>
      </c>
    </row>
    <row r="637">
      <c r="A637" s="9">
        <f>IF(B637="","",ROW()-1)</f>
        <v/>
      </c>
      <c r="B637" s="10" t="n"/>
      <c r="C637" s="11" t="n"/>
      <c r="D637" s="11" t="n"/>
      <c r="E637" s="11" t="n"/>
      <c r="F637" s="11" t="n"/>
      <c r="G637" s="8" t="n"/>
      <c r="H637" s="12" t="n"/>
      <c r="I637" s="13" t="n"/>
      <c r="J637" s="14">
        <f>IF(OR(H637="",I637=""),"",H637*I637)</f>
        <v/>
      </c>
      <c r="K637" s="11" t="n"/>
      <c r="L637" s="9">
        <f>IF(B637="","",MONTH(B637))</f>
        <v/>
      </c>
      <c r="M637" s="9">
        <f>IF(B637="","",YEAR(B637))</f>
        <v/>
      </c>
    </row>
    <row r="638">
      <c r="A638" s="9">
        <f>IF(B638="","",ROW()-1)</f>
        <v/>
      </c>
      <c r="B638" s="10" t="n"/>
      <c r="C638" s="11" t="n"/>
      <c r="D638" s="11" t="n"/>
      <c r="E638" s="11" t="n"/>
      <c r="F638" s="11" t="n"/>
      <c r="G638" s="8" t="n"/>
      <c r="H638" s="12" t="n"/>
      <c r="I638" s="13" t="n"/>
      <c r="J638" s="14">
        <f>IF(OR(H638="",I638=""),"",H638*I638)</f>
        <v/>
      </c>
      <c r="K638" s="11" t="n"/>
      <c r="L638" s="9">
        <f>IF(B638="","",MONTH(B638))</f>
        <v/>
      </c>
      <c r="M638" s="9">
        <f>IF(B638="","",YEAR(B638))</f>
        <v/>
      </c>
    </row>
    <row r="639">
      <c r="A639" s="9">
        <f>IF(B639="","",ROW()-1)</f>
        <v/>
      </c>
      <c r="B639" s="10" t="n"/>
      <c r="C639" s="11" t="n"/>
      <c r="D639" s="11" t="n"/>
      <c r="E639" s="11" t="n"/>
      <c r="F639" s="11" t="n"/>
      <c r="G639" s="8" t="n"/>
      <c r="H639" s="12" t="n"/>
      <c r="I639" s="13" t="n"/>
      <c r="J639" s="14">
        <f>IF(OR(H639="",I639=""),"",H639*I639)</f>
        <v/>
      </c>
      <c r="K639" s="11" t="n"/>
      <c r="L639" s="9">
        <f>IF(B639="","",MONTH(B639))</f>
        <v/>
      </c>
      <c r="M639" s="9">
        <f>IF(B639="","",YEAR(B639))</f>
        <v/>
      </c>
    </row>
    <row r="640">
      <c r="A640" s="9">
        <f>IF(B640="","",ROW()-1)</f>
        <v/>
      </c>
      <c r="B640" s="10" t="n"/>
      <c r="C640" s="11" t="n"/>
      <c r="D640" s="11" t="n"/>
      <c r="E640" s="11" t="n"/>
      <c r="F640" s="11" t="n"/>
      <c r="G640" s="8" t="n"/>
      <c r="H640" s="12" t="n"/>
      <c r="I640" s="13" t="n"/>
      <c r="J640" s="14">
        <f>IF(OR(H640="",I640=""),"",H640*I640)</f>
        <v/>
      </c>
      <c r="K640" s="11" t="n"/>
      <c r="L640" s="9">
        <f>IF(B640="","",MONTH(B640))</f>
        <v/>
      </c>
      <c r="M640" s="9">
        <f>IF(B640="","",YEAR(B640))</f>
        <v/>
      </c>
    </row>
    <row r="641">
      <c r="A641" s="9">
        <f>IF(B641="","",ROW()-1)</f>
        <v/>
      </c>
      <c r="B641" s="10" t="n"/>
      <c r="C641" s="11" t="n"/>
      <c r="D641" s="11" t="n"/>
      <c r="E641" s="11" t="n"/>
      <c r="F641" s="11" t="n"/>
      <c r="G641" s="8" t="n"/>
      <c r="H641" s="12" t="n"/>
      <c r="I641" s="13" t="n"/>
      <c r="J641" s="14">
        <f>IF(OR(H641="",I641=""),"",H641*I641)</f>
        <v/>
      </c>
      <c r="K641" s="11" t="n"/>
      <c r="L641" s="9">
        <f>IF(B641="","",MONTH(B641))</f>
        <v/>
      </c>
      <c r="M641" s="9">
        <f>IF(B641="","",YEAR(B641))</f>
        <v/>
      </c>
    </row>
    <row r="642">
      <c r="A642" s="9">
        <f>IF(B642="","",ROW()-1)</f>
        <v/>
      </c>
      <c r="B642" s="10" t="n"/>
      <c r="C642" s="11" t="n"/>
      <c r="D642" s="11" t="n"/>
      <c r="E642" s="11" t="n"/>
      <c r="F642" s="11" t="n"/>
      <c r="G642" s="8" t="n"/>
      <c r="H642" s="12" t="n"/>
      <c r="I642" s="13" t="n"/>
      <c r="J642" s="14">
        <f>IF(OR(H642="",I642=""),"",H642*I642)</f>
        <v/>
      </c>
      <c r="K642" s="11" t="n"/>
      <c r="L642" s="9">
        <f>IF(B642="","",MONTH(B642))</f>
        <v/>
      </c>
      <c r="M642" s="9">
        <f>IF(B642="","",YEAR(B642))</f>
        <v/>
      </c>
    </row>
    <row r="643">
      <c r="A643" s="9">
        <f>IF(B643="","",ROW()-1)</f>
        <v/>
      </c>
      <c r="B643" s="10" t="n"/>
      <c r="C643" s="11" t="n"/>
      <c r="D643" s="11" t="n"/>
      <c r="E643" s="11" t="n"/>
      <c r="F643" s="11" t="n"/>
      <c r="G643" s="8" t="n"/>
      <c r="H643" s="12" t="n"/>
      <c r="I643" s="13" t="n"/>
      <c r="J643" s="14">
        <f>IF(OR(H643="",I643=""),"",H643*I643)</f>
        <v/>
      </c>
      <c r="K643" s="11" t="n"/>
      <c r="L643" s="9">
        <f>IF(B643="","",MONTH(B643))</f>
        <v/>
      </c>
      <c r="M643" s="9">
        <f>IF(B643="","",YEAR(B643))</f>
        <v/>
      </c>
    </row>
    <row r="644">
      <c r="A644" s="9">
        <f>IF(B644="","",ROW()-1)</f>
        <v/>
      </c>
      <c r="B644" s="10" t="n"/>
      <c r="C644" s="11" t="n"/>
      <c r="D644" s="11" t="n"/>
      <c r="E644" s="11" t="n"/>
      <c r="F644" s="11" t="n"/>
      <c r="G644" s="8" t="n"/>
      <c r="H644" s="12" t="n"/>
      <c r="I644" s="13" t="n"/>
      <c r="J644" s="14">
        <f>IF(OR(H644="",I644=""),"",H644*I644)</f>
        <v/>
      </c>
      <c r="K644" s="11" t="n"/>
      <c r="L644" s="9">
        <f>IF(B644="","",MONTH(B644))</f>
        <v/>
      </c>
      <c r="M644" s="9">
        <f>IF(B644="","",YEAR(B644))</f>
        <v/>
      </c>
    </row>
    <row r="645">
      <c r="A645" s="9">
        <f>IF(B645="","",ROW()-1)</f>
        <v/>
      </c>
      <c r="B645" s="10" t="n"/>
      <c r="C645" s="11" t="n"/>
      <c r="D645" s="11" t="n"/>
      <c r="E645" s="11" t="n"/>
      <c r="F645" s="11" t="n"/>
      <c r="G645" s="8" t="n"/>
      <c r="H645" s="12" t="n"/>
      <c r="I645" s="13" t="n"/>
      <c r="J645" s="14">
        <f>IF(OR(H645="",I645=""),"",H645*I645)</f>
        <v/>
      </c>
      <c r="K645" s="11" t="n"/>
      <c r="L645" s="9">
        <f>IF(B645="","",MONTH(B645))</f>
        <v/>
      </c>
      <c r="M645" s="9">
        <f>IF(B645="","",YEAR(B645))</f>
        <v/>
      </c>
    </row>
    <row r="646">
      <c r="A646" s="9">
        <f>IF(B646="","",ROW()-1)</f>
        <v/>
      </c>
      <c r="B646" s="10" t="n"/>
      <c r="C646" s="11" t="n"/>
      <c r="D646" s="11" t="n"/>
      <c r="E646" s="11" t="n"/>
      <c r="F646" s="11" t="n"/>
      <c r="G646" s="8" t="n"/>
      <c r="H646" s="12" t="n"/>
      <c r="I646" s="13" t="n"/>
      <c r="J646" s="14">
        <f>IF(OR(H646="",I646=""),"",H646*I646)</f>
        <v/>
      </c>
      <c r="K646" s="11" t="n"/>
      <c r="L646" s="9">
        <f>IF(B646="","",MONTH(B646))</f>
        <v/>
      </c>
      <c r="M646" s="9">
        <f>IF(B646="","",YEAR(B646))</f>
        <v/>
      </c>
    </row>
    <row r="647">
      <c r="A647" s="9">
        <f>IF(B647="","",ROW()-1)</f>
        <v/>
      </c>
      <c r="B647" s="10" t="n"/>
      <c r="C647" s="11" t="n"/>
      <c r="D647" s="11" t="n"/>
      <c r="E647" s="11" t="n"/>
      <c r="F647" s="11" t="n"/>
      <c r="G647" s="8" t="n"/>
      <c r="H647" s="12" t="n"/>
      <c r="I647" s="13" t="n"/>
      <c r="J647" s="14">
        <f>IF(OR(H647="",I647=""),"",H647*I647)</f>
        <v/>
      </c>
      <c r="K647" s="11" t="n"/>
      <c r="L647" s="9">
        <f>IF(B647="","",MONTH(B647))</f>
        <v/>
      </c>
      <c r="M647" s="9">
        <f>IF(B647="","",YEAR(B647))</f>
        <v/>
      </c>
    </row>
    <row r="648">
      <c r="A648" s="9">
        <f>IF(B648="","",ROW()-1)</f>
        <v/>
      </c>
      <c r="B648" s="10" t="n"/>
      <c r="C648" s="11" t="n"/>
      <c r="D648" s="11" t="n"/>
      <c r="E648" s="11" t="n"/>
      <c r="F648" s="11" t="n"/>
      <c r="G648" s="8" t="n"/>
      <c r="H648" s="12" t="n"/>
      <c r="I648" s="13" t="n"/>
      <c r="J648" s="14">
        <f>IF(OR(H648="",I648=""),"",H648*I648)</f>
        <v/>
      </c>
      <c r="K648" s="11" t="n"/>
      <c r="L648" s="9">
        <f>IF(B648="","",MONTH(B648))</f>
        <v/>
      </c>
      <c r="M648" s="9">
        <f>IF(B648="","",YEAR(B648))</f>
        <v/>
      </c>
    </row>
    <row r="649">
      <c r="A649" s="9">
        <f>IF(B649="","",ROW()-1)</f>
        <v/>
      </c>
      <c r="B649" s="10" t="n"/>
      <c r="C649" s="11" t="n"/>
      <c r="D649" s="11" t="n"/>
      <c r="E649" s="11" t="n"/>
      <c r="F649" s="11" t="n"/>
      <c r="G649" s="8" t="n"/>
      <c r="H649" s="12" t="n"/>
      <c r="I649" s="13" t="n"/>
      <c r="J649" s="14">
        <f>IF(OR(H649="",I649=""),"",H649*I649)</f>
        <v/>
      </c>
      <c r="K649" s="11" t="n"/>
      <c r="L649" s="9">
        <f>IF(B649="","",MONTH(B649))</f>
        <v/>
      </c>
      <c r="M649" s="9">
        <f>IF(B649="","",YEAR(B649))</f>
        <v/>
      </c>
    </row>
    <row r="650">
      <c r="A650" s="9">
        <f>IF(B650="","",ROW()-1)</f>
        <v/>
      </c>
      <c r="B650" s="10" t="n"/>
      <c r="C650" s="11" t="n"/>
      <c r="D650" s="11" t="n"/>
      <c r="E650" s="11" t="n"/>
      <c r="F650" s="11" t="n"/>
      <c r="G650" s="8" t="n"/>
      <c r="H650" s="12" t="n"/>
      <c r="I650" s="13" t="n"/>
      <c r="J650" s="14">
        <f>IF(OR(H650="",I650=""),"",H650*I650)</f>
        <v/>
      </c>
      <c r="K650" s="11" t="n"/>
      <c r="L650" s="9">
        <f>IF(B650="","",MONTH(B650))</f>
        <v/>
      </c>
      <c r="M650" s="9">
        <f>IF(B650="","",YEAR(B650))</f>
        <v/>
      </c>
    </row>
    <row r="651">
      <c r="A651" s="9">
        <f>IF(B651="","",ROW()-1)</f>
        <v/>
      </c>
      <c r="B651" s="10" t="n"/>
      <c r="C651" s="11" t="n"/>
      <c r="D651" s="11" t="n"/>
      <c r="E651" s="11" t="n"/>
      <c r="F651" s="11" t="n"/>
      <c r="G651" s="8" t="n"/>
      <c r="H651" s="12" t="n"/>
      <c r="I651" s="13" t="n"/>
      <c r="J651" s="14">
        <f>IF(OR(H651="",I651=""),"",H651*I651)</f>
        <v/>
      </c>
      <c r="K651" s="11" t="n"/>
      <c r="L651" s="9">
        <f>IF(B651="","",MONTH(B651))</f>
        <v/>
      </c>
      <c r="M651" s="9">
        <f>IF(B651="","",YEAR(B651))</f>
        <v/>
      </c>
    </row>
    <row r="652">
      <c r="A652" s="9">
        <f>IF(B652="","",ROW()-1)</f>
        <v/>
      </c>
      <c r="B652" s="10" t="n"/>
      <c r="C652" s="11" t="n"/>
      <c r="D652" s="11" t="n"/>
      <c r="E652" s="11" t="n"/>
      <c r="F652" s="11" t="n"/>
      <c r="G652" s="8" t="n"/>
      <c r="H652" s="12" t="n"/>
      <c r="I652" s="13" t="n"/>
      <c r="J652" s="14">
        <f>IF(OR(H652="",I652=""),"",H652*I652)</f>
        <v/>
      </c>
      <c r="K652" s="11" t="n"/>
      <c r="L652" s="9">
        <f>IF(B652="","",MONTH(B652))</f>
        <v/>
      </c>
      <c r="M652" s="9">
        <f>IF(B652="","",YEAR(B652))</f>
        <v/>
      </c>
    </row>
    <row r="653">
      <c r="A653" s="9">
        <f>IF(B653="","",ROW()-1)</f>
        <v/>
      </c>
      <c r="B653" s="10" t="n"/>
      <c r="C653" s="11" t="n"/>
      <c r="D653" s="11" t="n"/>
      <c r="E653" s="11" t="n"/>
      <c r="F653" s="11" t="n"/>
      <c r="G653" s="8" t="n"/>
      <c r="H653" s="12" t="n"/>
      <c r="I653" s="13" t="n"/>
      <c r="J653" s="14">
        <f>IF(OR(H653="",I653=""),"",H653*I653)</f>
        <v/>
      </c>
      <c r="K653" s="11" t="n"/>
      <c r="L653" s="9">
        <f>IF(B653="","",MONTH(B653))</f>
        <v/>
      </c>
      <c r="M653" s="9">
        <f>IF(B653="","",YEAR(B653))</f>
        <v/>
      </c>
    </row>
    <row r="654">
      <c r="A654" s="9">
        <f>IF(B654="","",ROW()-1)</f>
        <v/>
      </c>
      <c r="B654" s="10" t="n"/>
      <c r="C654" s="11" t="n"/>
      <c r="D654" s="11" t="n"/>
      <c r="E654" s="11" t="n"/>
      <c r="F654" s="11" t="n"/>
      <c r="G654" s="8" t="n"/>
      <c r="H654" s="12" t="n"/>
      <c r="I654" s="13" t="n"/>
      <c r="J654" s="14">
        <f>IF(OR(H654="",I654=""),"",H654*I654)</f>
        <v/>
      </c>
      <c r="K654" s="11" t="n"/>
      <c r="L654" s="9">
        <f>IF(B654="","",MONTH(B654))</f>
        <v/>
      </c>
      <c r="M654" s="9">
        <f>IF(B654="","",YEAR(B654))</f>
        <v/>
      </c>
    </row>
    <row r="655">
      <c r="A655" s="9">
        <f>IF(B655="","",ROW()-1)</f>
        <v/>
      </c>
      <c r="B655" s="10" t="n"/>
      <c r="C655" s="11" t="n"/>
      <c r="D655" s="11" t="n"/>
      <c r="E655" s="11" t="n"/>
      <c r="F655" s="11" t="n"/>
      <c r="G655" s="8" t="n"/>
      <c r="H655" s="12" t="n"/>
      <c r="I655" s="13" t="n"/>
      <c r="J655" s="14">
        <f>IF(OR(H655="",I655=""),"",H655*I655)</f>
        <v/>
      </c>
      <c r="K655" s="11" t="n"/>
      <c r="L655" s="9">
        <f>IF(B655="","",MONTH(B655))</f>
        <v/>
      </c>
      <c r="M655" s="9">
        <f>IF(B655="","",YEAR(B655))</f>
        <v/>
      </c>
    </row>
    <row r="656">
      <c r="A656" s="9">
        <f>IF(B656="","",ROW()-1)</f>
        <v/>
      </c>
      <c r="B656" s="10" t="n"/>
      <c r="C656" s="11" t="n"/>
      <c r="D656" s="11" t="n"/>
      <c r="E656" s="11" t="n"/>
      <c r="F656" s="11" t="n"/>
      <c r="G656" s="8" t="n"/>
      <c r="H656" s="12" t="n"/>
      <c r="I656" s="13" t="n"/>
      <c r="J656" s="14">
        <f>IF(OR(H656="",I656=""),"",H656*I656)</f>
        <v/>
      </c>
      <c r="K656" s="11" t="n"/>
      <c r="L656" s="9">
        <f>IF(B656="","",MONTH(B656))</f>
        <v/>
      </c>
      <c r="M656" s="9">
        <f>IF(B656="","",YEAR(B656))</f>
        <v/>
      </c>
    </row>
    <row r="657">
      <c r="A657" s="9">
        <f>IF(B657="","",ROW()-1)</f>
        <v/>
      </c>
      <c r="B657" s="10" t="n"/>
      <c r="C657" s="11" t="n"/>
      <c r="D657" s="11" t="n"/>
      <c r="E657" s="11" t="n"/>
      <c r="F657" s="11" t="n"/>
      <c r="G657" s="8" t="n"/>
      <c r="H657" s="12" t="n"/>
      <c r="I657" s="13" t="n"/>
      <c r="J657" s="14">
        <f>IF(OR(H657="",I657=""),"",H657*I657)</f>
        <v/>
      </c>
      <c r="K657" s="11" t="n"/>
      <c r="L657" s="9">
        <f>IF(B657="","",MONTH(B657))</f>
        <v/>
      </c>
      <c r="M657" s="9">
        <f>IF(B657="","",YEAR(B657))</f>
        <v/>
      </c>
    </row>
    <row r="658">
      <c r="A658" s="9">
        <f>IF(B658="","",ROW()-1)</f>
        <v/>
      </c>
      <c r="B658" s="10" t="n"/>
      <c r="C658" s="11" t="n"/>
      <c r="D658" s="11" t="n"/>
      <c r="E658" s="11" t="n"/>
      <c r="F658" s="11" t="n"/>
      <c r="G658" s="8" t="n"/>
      <c r="H658" s="12" t="n"/>
      <c r="I658" s="13" t="n"/>
      <c r="J658" s="14">
        <f>IF(OR(H658="",I658=""),"",H658*I658)</f>
        <v/>
      </c>
      <c r="K658" s="11" t="n"/>
      <c r="L658" s="9">
        <f>IF(B658="","",MONTH(B658))</f>
        <v/>
      </c>
      <c r="M658" s="9">
        <f>IF(B658="","",YEAR(B658))</f>
        <v/>
      </c>
    </row>
    <row r="659">
      <c r="A659" s="9">
        <f>IF(B659="","",ROW()-1)</f>
        <v/>
      </c>
      <c r="B659" s="10" t="n"/>
      <c r="C659" s="11" t="n"/>
      <c r="D659" s="11" t="n"/>
      <c r="E659" s="11" t="n"/>
      <c r="F659" s="11" t="n"/>
      <c r="G659" s="8" t="n"/>
      <c r="H659" s="12" t="n"/>
      <c r="I659" s="13" t="n"/>
      <c r="J659" s="14">
        <f>IF(OR(H659="",I659=""),"",H659*I659)</f>
        <v/>
      </c>
      <c r="K659" s="11" t="n"/>
      <c r="L659" s="9">
        <f>IF(B659="","",MONTH(B659))</f>
        <v/>
      </c>
      <c r="M659" s="9">
        <f>IF(B659="","",YEAR(B659))</f>
        <v/>
      </c>
    </row>
    <row r="660">
      <c r="A660" s="9">
        <f>IF(B660="","",ROW()-1)</f>
        <v/>
      </c>
      <c r="B660" s="10" t="n"/>
      <c r="C660" s="11" t="n"/>
      <c r="D660" s="11" t="n"/>
      <c r="E660" s="11" t="n"/>
      <c r="F660" s="11" t="n"/>
      <c r="G660" s="8" t="n"/>
      <c r="H660" s="12" t="n"/>
      <c r="I660" s="13" t="n"/>
      <c r="J660" s="14">
        <f>IF(OR(H660="",I660=""),"",H660*I660)</f>
        <v/>
      </c>
      <c r="K660" s="11" t="n"/>
      <c r="L660" s="9">
        <f>IF(B660="","",MONTH(B660))</f>
        <v/>
      </c>
      <c r="M660" s="9">
        <f>IF(B660="","",YEAR(B660))</f>
        <v/>
      </c>
    </row>
    <row r="661">
      <c r="A661" s="9">
        <f>IF(B661="","",ROW()-1)</f>
        <v/>
      </c>
      <c r="B661" s="10" t="n"/>
      <c r="C661" s="11" t="n"/>
      <c r="D661" s="11" t="n"/>
      <c r="E661" s="11" t="n"/>
      <c r="F661" s="11" t="n"/>
      <c r="G661" s="8" t="n"/>
      <c r="H661" s="12" t="n"/>
      <c r="I661" s="13" t="n"/>
      <c r="J661" s="14">
        <f>IF(OR(H661="",I661=""),"",H661*I661)</f>
        <v/>
      </c>
      <c r="K661" s="11" t="n"/>
      <c r="L661" s="9">
        <f>IF(B661="","",MONTH(B661))</f>
        <v/>
      </c>
      <c r="M661" s="9">
        <f>IF(B661="","",YEAR(B661))</f>
        <v/>
      </c>
    </row>
    <row r="662">
      <c r="A662" s="9">
        <f>IF(B662="","",ROW()-1)</f>
        <v/>
      </c>
      <c r="B662" s="10" t="n"/>
      <c r="C662" s="11" t="n"/>
      <c r="D662" s="11" t="n"/>
      <c r="E662" s="11" t="n"/>
      <c r="F662" s="11" t="n"/>
      <c r="G662" s="8" t="n"/>
      <c r="H662" s="12" t="n"/>
      <c r="I662" s="13" t="n"/>
      <c r="J662" s="14">
        <f>IF(OR(H662="",I662=""),"",H662*I662)</f>
        <v/>
      </c>
      <c r="K662" s="11" t="n"/>
      <c r="L662" s="9">
        <f>IF(B662="","",MONTH(B662))</f>
        <v/>
      </c>
      <c r="M662" s="9">
        <f>IF(B662="","",YEAR(B662))</f>
        <v/>
      </c>
    </row>
    <row r="663">
      <c r="A663" s="9">
        <f>IF(B663="","",ROW()-1)</f>
        <v/>
      </c>
      <c r="B663" s="10" t="n"/>
      <c r="C663" s="11" t="n"/>
      <c r="D663" s="11" t="n"/>
      <c r="E663" s="11" t="n"/>
      <c r="F663" s="11" t="n"/>
      <c r="G663" s="8" t="n"/>
      <c r="H663" s="12" t="n"/>
      <c r="I663" s="13" t="n"/>
      <c r="J663" s="14">
        <f>IF(OR(H663="",I663=""),"",H663*I663)</f>
        <v/>
      </c>
      <c r="K663" s="11" t="n"/>
      <c r="L663" s="9">
        <f>IF(B663="","",MONTH(B663))</f>
        <v/>
      </c>
      <c r="M663" s="9">
        <f>IF(B663="","",YEAR(B663))</f>
        <v/>
      </c>
    </row>
    <row r="664">
      <c r="A664" s="9">
        <f>IF(B664="","",ROW()-1)</f>
        <v/>
      </c>
      <c r="B664" s="10" t="n"/>
      <c r="C664" s="11" t="n"/>
      <c r="D664" s="11" t="n"/>
      <c r="E664" s="11" t="n"/>
      <c r="F664" s="11" t="n"/>
      <c r="G664" s="8" t="n"/>
      <c r="H664" s="12" t="n"/>
      <c r="I664" s="13" t="n"/>
      <c r="J664" s="14">
        <f>IF(OR(H664="",I664=""),"",H664*I664)</f>
        <v/>
      </c>
      <c r="K664" s="11" t="n"/>
      <c r="L664" s="9">
        <f>IF(B664="","",MONTH(B664))</f>
        <v/>
      </c>
      <c r="M664" s="9">
        <f>IF(B664="","",YEAR(B664))</f>
        <v/>
      </c>
    </row>
    <row r="665">
      <c r="A665" s="9">
        <f>IF(B665="","",ROW()-1)</f>
        <v/>
      </c>
      <c r="B665" s="10" t="n"/>
      <c r="C665" s="11" t="n"/>
      <c r="D665" s="11" t="n"/>
      <c r="E665" s="11" t="n"/>
      <c r="F665" s="11" t="n"/>
      <c r="G665" s="8" t="n"/>
      <c r="H665" s="12" t="n"/>
      <c r="I665" s="13" t="n"/>
      <c r="J665" s="14">
        <f>IF(OR(H665="",I665=""),"",H665*I665)</f>
        <v/>
      </c>
      <c r="K665" s="11" t="n"/>
      <c r="L665" s="9">
        <f>IF(B665="","",MONTH(B665))</f>
        <v/>
      </c>
      <c r="M665" s="9">
        <f>IF(B665="","",YEAR(B665))</f>
        <v/>
      </c>
    </row>
    <row r="666">
      <c r="A666" s="9">
        <f>IF(B666="","",ROW()-1)</f>
        <v/>
      </c>
      <c r="B666" s="10" t="n"/>
      <c r="C666" s="11" t="n"/>
      <c r="D666" s="11" t="n"/>
      <c r="E666" s="11" t="n"/>
      <c r="F666" s="11" t="n"/>
      <c r="G666" s="8" t="n"/>
      <c r="H666" s="12" t="n"/>
      <c r="I666" s="13" t="n"/>
      <c r="J666" s="14">
        <f>IF(OR(H666="",I666=""),"",H666*I666)</f>
        <v/>
      </c>
      <c r="K666" s="11" t="n"/>
      <c r="L666" s="9">
        <f>IF(B666="","",MONTH(B666))</f>
        <v/>
      </c>
      <c r="M666" s="9">
        <f>IF(B666="","",YEAR(B666))</f>
        <v/>
      </c>
    </row>
    <row r="667">
      <c r="A667" s="9">
        <f>IF(B667="","",ROW()-1)</f>
        <v/>
      </c>
      <c r="B667" s="10" t="n"/>
      <c r="C667" s="11" t="n"/>
      <c r="D667" s="11" t="n"/>
      <c r="E667" s="11" t="n"/>
      <c r="F667" s="11" t="n"/>
      <c r="G667" s="8" t="n"/>
      <c r="H667" s="12" t="n"/>
      <c r="I667" s="13" t="n"/>
      <c r="J667" s="14">
        <f>IF(OR(H667="",I667=""),"",H667*I667)</f>
        <v/>
      </c>
      <c r="K667" s="11" t="n"/>
      <c r="L667" s="9">
        <f>IF(B667="","",MONTH(B667))</f>
        <v/>
      </c>
      <c r="M667" s="9">
        <f>IF(B667="","",YEAR(B667))</f>
        <v/>
      </c>
    </row>
    <row r="668">
      <c r="A668" s="9">
        <f>IF(B668="","",ROW()-1)</f>
        <v/>
      </c>
      <c r="B668" s="10" t="n"/>
      <c r="C668" s="11" t="n"/>
      <c r="D668" s="11" t="n"/>
      <c r="E668" s="11" t="n"/>
      <c r="F668" s="11" t="n"/>
      <c r="G668" s="8" t="n"/>
      <c r="H668" s="12" t="n"/>
      <c r="I668" s="13" t="n"/>
      <c r="J668" s="14">
        <f>IF(OR(H668="",I668=""),"",H668*I668)</f>
        <v/>
      </c>
      <c r="K668" s="11" t="n"/>
      <c r="L668" s="9">
        <f>IF(B668="","",MONTH(B668))</f>
        <v/>
      </c>
      <c r="M668" s="9">
        <f>IF(B668="","",YEAR(B668))</f>
        <v/>
      </c>
    </row>
    <row r="669">
      <c r="A669" s="9">
        <f>IF(B669="","",ROW()-1)</f>
        <v/>
      </c>
      <c r="B669" s="10" t="n"/>
      <c r="C669" s="11" t="n"/>
      <c r="D669" s="11" t="n"/>
      <c r="E669" s="11" t="n"/>
      <c r="F669" s="11" t="n"/>
      <c r="G669" s="8" t="n"/>
      <c r="H669" s="12" t="n"/>
      <c r="I669" s="13" t="n"/>
      <c r="J669" s="14">
        <f>IF(OR(H669="",I669=""),"",H669*I669)</f>
        <v/>
      </c>
      <c r="K669" s="11" t="n"/>
      <c r="L669" s="9">
        <f>IF(B669="","",MONTH(B669))</f>
        <v/>
      </c>
      <c r="M669" s="9">
        <f>IF(B669="","",YEAR(B669))</f>
        <v/>
      </c>
    </row>
    <row r="670">
      <c r="A670" s="9">
        <f>IF(B670="","",ROW()-1)</f>
        <v/>
      </c>
      <c r="B670" s="10" t="n"/>
      <c r="C670" s="11" t="n"/>
      <c r="D670" s="11" t="n"/>
      <c r="E670" s="11" t="n"/>
      <c r="F670" s="11" t="n"/>
      <c r="G670" s="8" t="n"/>
      <c r="H670" s="12" t="n"/>
      <c r="I670" s="13" t="n"/>
      <c r="J670" s="14">
        <f>IF(OR(H670="",I670=""),"",H670*I670)</f>
        <v/>
      </c>
      <c r="K670" s="11" t="n"/>
      <c r="L670" s="9">
        <f>IF(B670="","",MONTH(B670))</f>
        <v/>
      </c>
      <c r="M670" s="9">
        <f>IF(B670="","",YEAR(B670))</f>
        <v/>
      </c>
    </row>
    <row r="671">
      <c r="A671" s="9">
        <f>IF(B671="","",ROW()-1)</f>
        <v/>
      </c>
      <c r="B671" s="10" t="n"/>
      <c r="C671" s="11" t="n"/>
      <c r="D671" s="11" t="n"/>
      <c r="E671" s="11" t="n"/>
      <c r="F671" s="11" t="n"/>
      <c r="G671" s="8" t="n"/>
      <c r="H671" s="12" t="n"/>
      <c r="I671" s="13" t="n"/>
      <c r="J671" s="14">
        <f>IF(OR(H671="",I671=""),"",H671*I671)</f>
        <v/>
      </c>
      <c r="K671" s="11" t="n"/>
      <c r="L671" s="9">
        <f>IF(B671="","",MONTH(B671))</f>
        <v/>
      </c>
      <c r="M671" s="9">
        <f>IF(B671="","",YEAR(B671))</f>
        <v/>
      </c>
    </row>
    <row r="672">
      <c r="A672" s="9">
        <f>IF(B672="","",ROW()-1)</f>
        <v/>
      </c>
      <c r="B672" s="10" t="n"/>
      <c r="C672" s="11" t="n"/>
      <c r="D672" s="11" t="n"/>
      <c r="E672" s="11" t="n"/>
      <c r="F672" s="11" t="n"/>
      <c r="G672" s="8" t="n"/>
      <c r="H672" s="12" t="n"/>
      <c r="I672" s="13" t="n"/>
      <c r="J672" s="14">
        <f>IF(OR(H672="",I672=""),"",H672*I672)</f>
        <v/>
      </c>
      <c r="K672" s="11" t="n"/>
      <c r="L672" s="9">
        <f>IF(B672="","",MONTH(B672))</f>
        <v/>
      </c>
      <c r="M672" s="9">
        <f>IF(B672="","",YEAR(B672))</f>
        <v/>
      </c>
    </row>
    <row r="673">
      <c r="A673" s="9">
        <f>IF(B673="","",ROW()-1)</f>
        <v/>
      </c>
      <c r="B673" s="10" t="n"/>
      <c r="C673" s="11" t="n"/>
      <c r="D673" s="11" t="n"/>
      <c r="E673" s="11" t="n"/>
      <c r="F673" s="11" t="n"/>
      <c r="G673" s="8" t="n"/>
      <c r="H673" s="12" t="n"/>
      <c r="I673" s="13" t="n"/>
      <c r="J673" s="14">
        <f>IF(OR(H673="",I673=""),"",H673*I673)</f>
        <v/>
      </c>
      <c r="K673" s="11" t="n"/>
      <c r="L673" s="9">
        <f>IF(B673="","",MONTH(B673))</f>
        <v/>
      </c>
      <c r="M673" s="9">
        <f>IF(B673="","",YEAR(B673))</f>
        <v/>
      </c>
    </row>
    <row r="674">
      <c r="A674" s="9">
        <f>IF(B674="","",ROW()-1)</f>
        <v/>
      </c>
      <c r="B674" s="10" t="n"/>
      <c r="C674" s="11" t="n"/>
      <c r="D674" s="11" t="n"/>
      <c r="E674" s="11" t="n"/>
      <c r="F674" s="11" t="n"/>
      <c r="G674" s="8" t="n"/>
      <c r="H674" s="12" t="n"/>
      <c r="I674" s="13" t="n"/>
      <c r="J674" s="14">
        <f>IF(OR(H674="",I674=""),"",H674*I674)</f>
        <v/>
      </c>
      <c r="K674" s="11" t="n"/>
      <c r="L674" s="9">
        <f>IF(B674="","",MONTH(B674))</f>
        <v/>
      </c>
      <c r="M674" s="9">
        <f>IF(B674="","",YEAR(B674))</f>
        <v/>
      </c>
    </row>
    <row r="675">
      <c r="A675" s="9">
        <f>IF(B675="","",ROW()-1)</f>
        <v/>
      </c>
      <c r="B675" s="10" t="n"/>
      <c r="C675" s="11" t="n"/>
      <c r="D675" s="11" t="n"/>
      <c r="E675" s="11" t="n"/>
      <c r="F675" s="11" t="n"/>
      <c r="G675" s="8" t="n"/>
      <c r="H675" s="12" t="n"/>
      <c r="I675" s="13" t="n"/>
      <c r="J675" s="14">
        <f>IF(OR(H675="",I675=""),"",H675*I675)</f>
        <v/>
      </c>
      <c r="K675" s="11" t="n"/>
      <c r="L675" s="9">
        <f>IF(B675="","",MONTH(B675))</f>
        <v/>
      </c>
      <c r="M675" s="9">
        <f>IF(B675="","",YEAR(B675))</f>
        <v/>
      </c>
    </row>
    <row r="676">
      <c r="A676" s="9">
        <f>IF(B676="","",ROW()-1)</f>
        <v/>
      </c>
      <c r="B676" s="10" t="n"/>
      <c r="C676" s="11" t="n"/>
      <c r="D676" s="11" t="n"/>
      <c r="E676" s="11" t="n"/>
      <c r="F676" s="11" t="n"/>
      <c r="G676" s="8" t="n"/>
      <c r="H676" s="12" t="n"/>
      <c r="I676" s="13" t="n"/>
      <c r="J676" s="14">
        <f>IF(OR(H676="",I676=""),"",H676*I676)</f>
        <v/>
      </c>
      <c r="K676" s="11" t="n"/>
      <c r="L676" s="9">
        <f>IF(B676="","",MONTH(B676))</f>
        <v/>
      </c>
      <c r="M676" s="9">
        <f>IF(B676="","",YEAR(B676))</f>
        <v/>
      </c>
    </row>
    <row r="677">
      <c r="A677" s="9">
        <f>IF(B677="","",ROW()-1)</f>
        <v/>
      </c>
      <c r="B677" s="10" t="n"/>
      <c r="C677" s="11" t="n"/>
      <c r="D677" s="11" t="n"/>
      <c r="E677" s="11" t="n"/>
      <c r="F677" s="11" t="n"/>
      <c r="G677" s="8" t="n"/>
      <c r="H677" s="12" t="n"/>
      <c r="I677" s="13" t="n"/>
      <c r="J677" s="14">
        <f>IF(OR(H677="",I677=""),"",H677*I677)</f>
        <v/>
      </c>
      <c r="K677" s="11" t="n"/>
      <c r="L677" s="9">
        <f>IF(B677="","",MONTH(B677))</f>
        <v/>
      </c>
      <c r="M677" s="9">
        <f>IF(B677="","",YEAR(B677))</f>
        <v/>
      </c>
    </row>
    <row r="678">
      <c r="A678" s="9">
        <f>IF(B678="","",ROW()-1)</f>
        <v/>
      </c>
      <c r="B678" s="10" t="n"/>
      <c r="C678" s="11" t="n"/>
      <c r="D678" s="11" t="n"/>
      <c r="E678" s="11" t="n"/>
      <c r="F678" s="11" t="n"/>
      <c r="G678" s="8" t="n"/>
      <c r="H678" s="12" t="n"/>
      <c r="I678" s="13" t="n"/>
      <c r="J678" s="14">
        <f>IF(OR(H678="",I678=""),"",H678*I678)</f>
        <v/>
      </c>
      <c r="K678" s="11" t="n"/>
      <c r="L678" s="9">
        <f>IF(B678="","",MONTH(B678))</f>
        <v/>
      </c>
      <c r="M678" s="9">
        <f>IF(B678="","",YEAR(B678))</f>
        <v/>
      </c>
    </row>
    <row r="679">
      <c r="A679" s="9">
        <f>IF(B679="","",ROW()-1)</f>
        <v/>
      </c>
      <c r="B679" s="10" t="n"/>
      <c r="C679" s="11" t="n"/>
      <c r="D679" s="11" t="n"/>
      <c r="E679" s="11" t="n"/>
      <c r="F679" s="11" t="n"/>
      <c r="G679" s="8" t="n"/>
      <c r="H679" s="12" t="n"/>
      <c r="I679" s="13" t="n"/>
      <c r="J679" s="14">
        <f>IF(OR(H679="",I679=""),"",H679*I679)</f>
        <v/>
      </c>
      <c r="K679" s="11" t="n"/>
      <c r="L679" s="9">
        <f>IF(B679="","",MONTH(B679))</f>
        <v/>
      </c>
      <c r="M679" s="9">
        <f>IF(B679="","",YEAR(B679))</f>
        <v/>
      </c>
    </row>
    <row r="680">
      <c r="A680" s="9">
        <f>IF(B680="","",ROW()-1)</f>
        <v/>
      </c>
      <c r="B680" s="10" t="n"/>
      <c r="C680" s="11" t="n"/>
      <c r="D680" s="11" t="n"/>
      <c r="E680" s="11" t="n"/>
      <c r="F680" s="11" t="n"/>
      <c r="G680" s="8" t="n"/>
      <c r="H680" s="12" t="n"/>
      <c r="I680" s="13" t="n"/>
      <c r="J680" s="14">
        <f>IF(OR(H680="",I680=""),"",H680*I680)</f>
        <v/>
      </c>
      <c r="K680" s="11" t="n"/>
      <c r="L680" s="9">
        <f>IF(B680="","",MONTH(B680))</f>
        <v/>
      </c>
      <c r="M680" s="9">
        <f>IF(B680="","",YEAR(B680))</f>
        <v/>
      </c>
    </row>
    <row r="681">
      <c r="A681" s="9">
        <f>IF(B681="","",ROW()-1)</f>
        <v/>
      </c>
      <c r="B681" s="10" t="n"/>
      <c r="C681" s="11" t="n"/>
      <c r="D681" s="11" t="n"/>
      <c r="E681" s="11" t="n"/>
      <c r="F681" s="11" t="n"/>
      <c r="G681" s="8" t="n"/>
      <c r="H681" s="12" t="n"/>
      <c r="I681" s="13" t="n"/>
      <c r="J681" s="14">
        <f>IF(OR(H681="",I681=""),"",H681*I681)</f>
        <v/>
      </c>
      <c r="K681" s="11" t="n"/>
      <c r="L681" s="9">
        <f>IF(B681="","",MONTH(B681))</f>
        <v/>
      </c>
      <c r="M681" s="9">
        <f>IF(B681="","",YEAR(B681))</f>
        <v/>
      </c>
    </row>
    <row r="682">
      <c r="A682" s="9">
        <f>IF(B682="","",ROW()-1)</f>
        <v/>
      </c>
      <c r="B682" s="10" t="n"/>
      <c r="C682" s="11" t="n"/>
      <c r="D682" s="11" t="n"/>
      <c r="E682" s="11" t="n"/>
      <c r="F682" s="11" t="n"/>
      <c r="G682" s="8" t="n"/>
      <c r="H682" s="12" t="n"/>
      <c r="I682" s="13" t="n"/>
      <c r="J682" s="14">
        <f>IF(OR(H682="",I682=""),"",H682*I682)</f>
        <v/>
      </c>
      <c r="K682" s="11" t="n"/>
      <c r="L682" s="9">
        <f>IF(B682="","",MONTH(B682))</f>
        <v/>
      </c>
      <c r="M682" s="9">
        <f>IF(B682="","",YEAR(B682))</f>
        <v/>
      </c>
    </row>
    <row r="683">
      <c r="A683" s="9">
        <f>IF(B683="","",ROW()-1)</f>
        <v/>
      </c>
      <c r="B683" s="10" t="n"/>
      <c r="C683" s="11" t="n"/>
      <c r="D683" s="11" t="n"/>
      <c r="E683" s="11" t="n"/>
      <c r="F683" s="11" t="n"/>
      <c r="G683" s="8" t="n"/>
      <c r="H683" s="12" t="n"/>
      <c r="I683" s="13" t="n"/>
      <c r="J683" s="14">
        <f>IF(OR(H683="",I683=""),"",H683*I683)</f>
        <v/>
      </c>
      <c r="K683" s="11" t="n"/>
      <c r="L683" s="9">
        <f>IF(B683="","",MONTH(B683))</f>
        <v/>
      </c>
      <c r="M683" s="9">
        <f>IF(B683="","",YEAR(B683))</f>
        <v/>
      </c>
    </row>
    <row r="684">
      <c r="A684" s="9">
        <f>IF(B684="","",ROW()-1)</f>
        <v/>
      </c>
      <c r="B684" s="10" t="n"/>
      <c r="C684" s="11" t="n"/>
      <c r="D684" s="11" t="n"/>
      <c r="E684" s="11" t="n"/>
      <c r="F684" s="11" t="n"/>
      <c r="G684" s="8" t="n"/>
      <c r="H684" s="12" t="n"/>
      <c r="I684" s="13" t="n"/>
      <c r="J684" s="14">
        <f>IF(OR(H684="",I684=""),"",H684*I684)</f>
        <v/>
      </c>
      <c r="K684" s="11" t="n"/>
      <c r="L684" s="9">
        <f>IF(B684="","",MONTH(B684))</f>
        <v/>
      </c>
      <c r="M684" s="9">
        <f>IF(B684="","",YEAR(B684))</f>
        <v/>
      </c>
    </row>
    <row r="685">
      <c r="A685" s="9">
        <f>IF(B685="","",ROW()-1)</f>
        <v/>
      </c>
      <c r="B685" s="10" t="n"/>
      <c r="C685" s="11" t="n"/>
      <c r="D685" s="11" t="n"/>
      <c r="E685" s="11" t="n"/>
      <c r="F685" s="11" t="n"/>
      <c r="G685" s="8" t="n"/>
      <c r="H685" s="12" t="n"/>
      <c r="I685" s="13" t="n"/>
      <c r="J685" s="14">
        <f>IF(OR(H685="",I685=""),"",H685*I685)</f>
        <v/>
      </c>
      <c r="K685" s="11" t="n"/>
      <c r="L685" s="9">
        <f>IF(B685="","",MONTH(B685))</f>
        <v/>
      </c>
      <c r="M685" s="9">
        <f>IF(B685="","",YEAR(B685))</f>
        <v/>
      </c>
    </row>
    <row r="686">
      <c r="A686" s="9">
        <f>IF(B686="","",ROW()-1)</f>
        <v/>
      </c>
      <c r="B686" s="10" t="n"/>
      <c r="C686" s="11" t="n"/>
      <c r="D686" s="11" t="n"/>
      <c r="E686" s="11" t="n"/>
      <c r="F686" s="11" t="n"/>
      <c r="G686" s="8" t="n"/>
      <c r="H686" s="12" t="n"/>
      <c r="I686" s="13" t="n"/>
      <c r="J686" s="14">
        <f>IF(OR(H686="",I686=""),"",H686*I686)</f>
        <v/>
      </c>
      <c r="K686" s="11" t="n"/>
      <c r="L686" s="9">
        <f>IF(B686="","",MONTH(B686))</f>
        <v/>
      </c>
      <c r="M686" s="9">
        <f>IF(B686="","",YEAR(B686))</f>
        <v/>
      </c>
    </row>
    <row r="687">
      <c r="A687" s="9">
        <f>IF(B687="","",ROW()-1)</f>
        <v/>
      </c>
      <c r="B687" s="10" t="n"/>
      <c r="C687" s="11" t="n"/>
      <c r="D687" s="11" t="n"/>
      <c r="E687" s="11" t="n"/>
      <c r="F687" s="11" t="n"/>
      <c r="G687" s="8" t="n"/>
      <c r="H687" s="12" t="n"/>
      <c r="I687" s="13" t="n"/>
      <c r="J687" s="14">
        <f>IF(OR(H687="",I687=""),"",H687*I687)</f>
        <v/>
      </c>
      <c r="K687" s="11" t="n"/>
      <c r="L687" s="9">
        <f>IF(B687="","",MONTH(B687))</f>
        <v/>
      </c>
      <c r="M687" s="9">
        <f>IF(B687="","",YEAR(B687))</f>
        <v/>
      </c>
    </row>
    <row r="688">
      <c r="A688" s="9">
        <f>IF(B688="","",ROW()-1)</f>
        <v/>
      </c>
      <c r="B688" s="10" t="n"/>
      <c r="C688" s="11" t="n"/>
      <c r="D688" s="11" t="n"/>
      <c r="E688" s="11" t="n"/>
      <c r="F688" s="11" t="n"/>
      <c r="G688" s="8" t="n"/>
      <c r="H688" s="12" t="n"/>
      <c r="I688" s="13" t="n"/>
      <c r="J688" s="14">
        <f>IF(OR(H688="",I688=""),"",H688*I688)</f>
        <v/>
      </c>
      <c r="K688" s="11" t="n"/>
      <c r="L688" s="9">
        <f>IF(B688="","",MONTH(B688))</f>
        <v/>
      </c>
      <c r="M688" s="9">
        <f>IF(B688="","",YEAR(B688))</f>
        <v/>
      </c>
    </row>
    <row r="689">
      <c r="A689" s="9">
        <f>IF(B689="","",ROW()-1)</f>
        <v/>
      </c>
      <c r="B689" s="10" t="n"/>
      <c r="C689" s="11" t="n"/>
      <c r="D689" s="11" t="n"/>
      <c r="E689" s="11" t="n"/>
      <c r="F689" s="11" t="n"/>
      <c r="G689" s="8" t="n"/>
      <c r="H689" s="12" t="n"/>
      <c r="I689" s="13" t="n"/>
      <c r="J689" s="14">
        <f>IF(OR(H689="",I689=""),"",H689*I689)</f>
        <v/>
      </c>
      <c r="K689" s="11" t="n"/>
      <c r="L689" s="9">
        <f>IF(B689="","",MONTH(B689))</f>
        <v/>
      </c>
      <c r="M689" s="9">
        <f>IF(B689="","",YEAR(B689))</f>
        <v/>
      </c>
    </row>
    <row r="690">
      <c r="A690" s="9">
        <f>IF(B690="","",ROW()-1)</f>
        <v/>
      </c>
      <c r="B690" s="10" t="n"/>
      <c r="C690" s="11" t="n"/>
      <c r="D690" s="11" t="n"/>
      <c r="E690" s="11" t="n"/>
      <c r="F690" s="11" t="n"/>
      <c r="G690" s="8" t="n"/>
      <c r="H690" s="12" t="n"/>
      <c r="I690" s="13" t="n"/>
      <c r="J690" s="14">
        <f>IF(OR(H690="",I690=""),"",H690*I690)</f>
        <v/>
      </c>
      <c r="K690" s="11" t="n"/>
      <c r="L690" s="9">
        <f>IF(B690="","",MONTH(B690))</f>
        <v/>
      </c>
      <c r="M690" s="9">
        <f>IF(B690="","",YEAR(B690))</f>
        <v/>
      </c>
    </row>
    <row r="691">
      <c r="A691" s="9">
        <f>IF(B691="","",ROW()-1)</f>
        <v/>
      </c>
      <c r="B691" s="10" t="n"/>
      <c r="C691" s="11" t="n"/>
      <c r="D691" s="11" t="n"/>
      <c r="E691" s="11" t="n"/>
      <c r="F691" s="11" t="n"/>
      <c r="G691" s="8" t="n"/>
      <c r="H691" s="12" t="n"/>
      <c r="I691" s="13" t="n"/>
      <c r="J691" s="14">
        <f>IF(OR(H691="",I691=""),"",H691*I691)</f>
        <v/>
      </c>
      <c r="K691" s="11" t="n"/>
      <c r="L691" s="9">
        <f>IF(B691="","",MONTH(B691))</f>
        <v/>
      </c>
      <c r="M691" s="9">
        <f>IF(B691="","",YEAR(B691))</f>
        <v/>
      </c>
    </row>
    <row r="692">
      <c r="A692" s="9">
        <f>IF(B692="","",ROW()-1)</f>
        <v/>
      </c>
      <c r="B692" s="10" t="n"/>
      <c r="C692" s="11" t="n"/>
      <c r="D692" s="11" t="n"/>
      <c r="E692" s="11" t="n"/>
      <c r="F692" s="11" t="n"/>
      <c r="G692" s="8" t="n"/>
      <c r="H692" s="12" t="n"/>
      <c r="I692" s="13" t="n"/>
      <c r="J692" s="14">
        <f>IF(OR(H692="",I692=""),"",H692*I692)</f>
        <v/>
      </c>
      <c r="K692" s="11" t="n"/>
      <c r="L692" s="9">
        <f>IF(B692="","",MONTH(B692))</f>
        <v/>
      </c>
      <c r="M692" s="9">
        <f>IF(B692="","",YEAR(B692))</f>
        <v/>
      </c>
    </row>
    <row r="693">
      <c r="A693" s="9">
        <f>IF(B693="","",ROW()-1)</f>
        <v/>
      </c>
      <c r="B693" s="10" t="n"/>
      <c r="C693" s="11" t="n"/>
      <c r="D693" s="11" t="n"/>
      <c r="E693" s="11" t="n"/>
      <c r="F693" s="11" t="n"/>
      <c r="G693" s="8" t="n"/>
      <c r="H693" s="12" t="n"/>
      <c r="I693" s="13" t="n"/>
      <c r="J693" s="14">
        <f>IF(OR(H693="",I693=""),"",H693*I693)</f>
        <v/>
      </c>
      <c r="K693" s="11" t="n"/>
      <c r="L693" s="9">
        <f>IF(B693="","",MONTH(B693))</f>
        <v/>
      </c>
      <c r="M693" s="9">
        <f>IF(B693="","",YEAR(B693))</f>
        <v/>
      </c>
    </row>
    <row r="694">
      <c r="A694" s="9">
        <f>IF(B694="","",ROW()-1)</f>
        <v/>
      </c>
      <c r="B694" s="10" t="n"/>
      <c r="C694" s="11" t="n"/>
      <c r="D694" s="11" t="n"/>
      <c r="E694" s="11" t="n"/>
      <c r="F694" s="11" t="n"/>
      <c r="G694" s="8" t="n"/>
      <c r="H694" s="12" t="n"/>
      <c r="I694" s="13" t="n"/>
      <c r="J694" s="14">
        <f>IF(OR(H694="",I694=""),"",H694*I694)</f>
        <v/>
      </c>
      <c r="K694" s="11" t="n"/>
      <c r="L694" s="9">
        <f>IF(B694="","",MONTH(B694))</f>
        <v/>
      </c>
      <c r="M694" s="9">
        <f>IF(B694="","",YEAR(B694))</f>
        <v/>
      </c>
    </row>
    <row r="695">
      <c r="A695" s="9">
        <f>IF(B695="","",ROW()-1)</f>
        <v/>
      </c>
      <c r="B695" s="10" t="n"/>
      <c r="C695" s="11" t="n"/>
      <c r="D695" s="11" t="n"/>
      <c r="E695" s="11" t="n"/>
      <c r="F695" s="11" t="n"/>
      <c r="G695" s="8" t="n"/>
      <c r="H695" s="12" t="n"/>
      <c r="I695" s="13" t="n"/>
      <c r="J695" s="14">
        <f>IF(OR(H695="",I695=""),"",H695*I695)</f>
        <v/>
      </c>
      <c r="K695" s="11" t="n"/>
      <c r="L695" s="9">
        <f>IF(B695="","",MONTH(B695))</f>
        <v/>
      </c>
      <c r="M695" s="9">
        <f>IF(B695="","",YEAR(B695))</f>
        <v/>
      </c>
    </row>
    <row r="696">
      <c r="A696" s="9">
        <f>IF(B696="","",ROW()-1)</f>
        <v/>
      </c>
      <c r="B696" s="10" t="n"/>
      <c r="C696" s="11" t="n"/>
      <c r="D696" s="11" t="n"/>
      <c r="E696" s="11" t="n"/>
      <c r="F696" s="11" t="n"/>
      <c r="G696" s="8" t="n"/>
      <c r="H696" s="12" t="n"/>
      <c r="I696" s="13" t="n"/>
      <c r="J696" s="14">
        <f>IF(OR(H696="",I696=""),"",H696*I696)</f>
        <v/>
      </c>
      <c r="K696" s="11" t="n"/>
      <c r="L696" s="9">
        <f>IF(B696="","",MONTH(B696))</f>
        <v/>
      </c>
      <c r="M696" s="9">
        <f>IF(B696="","",YEAR(B696))</f>
        <v/>
      </c>
    </row>
    <row r="697">
      <c r="A697" s="9">
        <f>IF(B697="","",ROW()-1)</f>
        <v/>
      </c>
      <c r="B697" s="10" t="n"/>
      <c r="C697" s="11" t="n"/>
      <c r="D697" s="11" t="n"/>
      <c r="E697" s="11" t="n"/>
      <c r="F697" s="11" t="n"/>
      <c r="G697" s="8" t="n"/>
      <c r="H697" s="12" t="n"/>
      <c r="I697" s="13" t="n"/>
      <c r="J697" s="14">
        <f>IF(OR(H697="",I697=""),"",H697*I697)</f>
        <v/>
      </c>
      <c r="K697" s="11" t="n"/>
      <c r="L697" s="9">
        <f>IF(B697="","",MONTH(B697))</f>
        <v/>
      </c>
      <c r="M697" s="9">
        <f>IF(B697="","",YEAR(B697))</f>
        <v/>
      </c>
    </row>
    <row r="698">
      <c r="A698" s="9">
        <f>IF(B698="","",ROW()-1)</f>
        <v/>
      </c>
      <c r="B698" s="10" t="n"/>
      <c r="C698" s="11" t="n"/>
      <c r="D698" s="11" t="n"/>
      <c r="E698" s="11" t="n"/>
      <c r="F698" s="11" t="n"/>
      <c r="G698" s="8" t="n"/>
      <c r="H698" s="12" t="n"/>
      <c r="I698" s="13" t="n"/>
      <c r="J698" s="14">
        <f>IF(OR(H698="",I698=""),"",H698*I698)</f>
        <v/>
      </c>
      <c r="K698" s="11" t="n"/>
      <c r="L698" s="9">
        <f>IF(B698="","",MONTH(B698))</f>
        <v/>
      </c>
      <c r="M698" s="9">
        <f>IF(B698="","",YEAR(B698))</f>
        <v/>
      </c>
    </row>
    <row r="699">
      <c r="A699" s="9">
        <f>IF(B699="","",ROW()-1)</f>
        <v/>
      </c>
      <c r="B699" s="10" t="n"/>
      <c r="C699" s="11" t="n"/>
      <c r="D699" s="11" t="n"/>
      <c r="E699" s="11" t="n"/>
      <c r="F699" s="11" t="n"/>
      <c r="G699" s="8" t="n"/>
      <c r="H699" s="12" t="n"/>
      <c r="I699" s="13" t="n"/>
      <c r="J699" s="14">
        <f>IF(OR(H699="",I699=""),"",H699*I699)</f>
        <v/>
      </c>
      <c r="K699" s="11" t="n"/>
      <c r="L699" s="9">
        <f>IF(B699="","",MONTH(B699))</f>
        <v/>
      </c>
      <c r="M699" s="9">
        <f>IF(B699="","",YEAR(B699))</f>
        <v/>
      </c>
    </row>
    <row r="700">
      <c r="A700" s="9">
        <f>IF(B700="","",ROW()-1)</f>
        <v/>
      </c>
      <c r="B700" s="10" t="n"/>
      <c r="C700" s="11" t="n"/>
      <c r="D700" s="11" t="n"/>
      <c r="E700" s="11" t="n"/>
      <c r="F700" s="11" t="n"/>
      <c r="G700" s="8" t="n"/>
      <c r="H700" s="12" t="n"/>
      <c r="I700" s="13" t="n"/>
      <c r="J700" s="14">
        <f>IF(OR(H700="",I700=""),"",H700*I700)</f>
        <v/>
      </c>
      <c r="K700" s="11" t="n"/>
      <c r="L700" s="9">
        <f>IF(B700="","",MONTH(B700))</f>
        <v/>
      </c>
      <c r="M700" s="9">
        <f>IF(B700="","",YEAR(B700))</f>
        <v/>
      </c>
    </row>
    <row r="701">
      <c r="A701" s="9">
        <f>IF(B701="","",ROW()-1)</f>
        <v/>
      </c>
      <c r="B701" s="10" t="n"/>
      <c r="C701" s="11" t="n"/>
      <c r="D701" s="11" t="n"/>
      <c r="E701" s="11" t="n"/>
      <c r="F701" s="11" t="n"/>
      <c r="G701" s="8" t="n"/>
      <c r="H701" s="12" t="n"/>
      <c r="I701" s="13" t="n"/>
      <c r="J701" s="14">
        <f>IF(OR(H701="",I701=""),"",H701*I701)</f>
        <v/>
      </c>
      <c r="K701" s="11" t="n"/>
      <c r="L701" s="9">
        <f>IF(B701="","",MONTH(B701))</f>
        <v/>
      </c>
      <c r="M701" s="9">
        <f>IF(B701="","",YEAR(B701))</f>
        <v/>
      </c>
    </row>
    <row r="702">
      <c r="A702" s="9">
        <f>IF(B702="","",ROW()-1)</f>
        <v/>
      </c>
      <c r="B702" s="10" t="n"/>
      <c r="C702" s="11" t="n"/>
      <c r="D702" s="11" t="n"/>
      <c r="E702" s="11" t="n"/>
      <c r="F702" s="11" t="n"/>
      <c r="G702" s="8" t="n"/>
      <c r="H702" s="12" t="n"/>
      <c r="I702" s="13" t="n"/>
      <c r="J702" s="14">
        <f>IF(OR(H702="",I702=""),"",H702*I702)</f>
        <v/>
      </c>
      <c r="K702" s="11" t="n"/>
      <c r="L702" s="9">
        <f>IF(B702="","",MONTH(B702))</f>
        <v/>
      </c>
      <c r="M702" s="9">
        <f>IF(B702="","",YEAR(B702))</f>
        <v/>
      </c>
    </row>
    <row r="703">
      <c r="A703" s="9">
        <f>IF(B703="","",ROW()-1)</f>
        <v/>
      </c>
      <c r="B703" s="10" t="n"/>
      <c r="C703" s="11" t="n"/>
      <c r="D703" s="11" t="n"/>
      <c r="E703" s="11" t="n"/>
      <c r="F703" s="11" t="n"/>
      <c r="G703" s="8" t="n"/>
      <c r="H703" s="12" t="n"/>
      <c r="I703" s="13" t="n"/>
      <c r="J703" s="14">
        <f>IF(OR(H703="",I703=""),"",H703*I703)</f>
        <v/>
      </c>
      <c r="K703" s="11" t="n"/>
      <c r="L703" s="9">
        <f>IF(B703="","",MONTH(B703))</f>
        <v/>
      </c>
      <c r="M703" s="9">
        <f>IF(B703="","",YEAR(B703))</f>
        <v/>
      </c>
    </row>
    <row r="704">
      <c r="A704" s="9">
        <f>IF(B704="","",ROW()-1)</f>
        <v/>
      </c>
      <c r="B704" s="10" t="n"/>
      <c r="C704" s="11" t="n"/>
      <c r="D704" s="11" t="n"/>
      <c r="E704" s="11" t="n"/>
      <c r="F704" s="11" t="n"/>
      <c r="G704" s="8" t="n"/>
      <c r="H704" s="12" t="n"/>
      <c r="I704" s="13" t="n"/>
      <c r="J704" s="14">
        <f>IF(OR(H704="",I704=""),"",H704*I704)</f>
        <v/>
      </c>
      <c r="K704" s="11" t="n"/>
      <c r="L704" s="9">
        <f>IF(B704="","",MONTH(B704))</f>
        <v/>
      </c>
      <c r="M704" s="9">
        <f>IF(B704="","",YEAR(B704))</f>
        <v/>
      </c>
    </row>
    <row r="705">
      <c r="A705" s="9">
        <f>IF(B705="","",ROW()-1)</f>
        <v/>
      </c>
      <c r="B705" s="10" t="n"/>
      <c r="C705" s="11" t="n"/>
      <c r="D705" s="11" t="n"/>
      <c r="E705" s="11" t="n"/>
      <c r="F705" s="11" t="n"/>
      <c r="G705" s="8" t="n"/>
      <c r="H705" s="12" t="n"/>
      <c r="I705" s="13" t="n"/>
      <c r="J705" s="14">
        <f>IF(OR(H705="",I705=""),"",H705*I705)</f>
        <v/>
      </c>
      <c r="K705" s="11" t="n"/>
      <c r="L705" s="9">
        <f>IF(B705="","",MONTH(B705))</f>
        <v/>
      </c>
      <c r="M705" s="9">
        <f>IF(B705="","",YEAR(B705))</f>
        <v/>
      </c>
    </row>
    <row r="706">
      <c r="A706" s="9">
        <f>IF(B706="","",ROW()-1)</f>
        <v/>
      </c>
      <c r="B706" s="10" t="n"/>
      <c r="C706" s="11" t="n"/>
      <c r="D706" s="11" t="n"/>
      <c r="E706" s="11" t="n"/>
      <c r="F706" s="11" t="n"/>
      <c r="G706" s="8" t="n"/>
      <c r="H706" s="12" t="n"/>
      <c r="I706" s="13" t="n"/>
      <c r="J706" s="14">
        <f>IF(OR(H706="",I706=""),"",H706*I706)</f>
        <v/>
      </c>
      <c r="K706" s="11" t="n"/>
      <c r="L706" s="9">
        <f>IF(B706="","",MONTH(B706))</f>
        <v/>
      </c>
      <c r="M706" s="9">
        <f>IF(B706="","",YEAR(B706))</f>
        <v/>
      </c>
    </row>
    <row r="707">
      <c r="A707" s="9">
        <f>IF(B707="","",ROW()-1)</f>
        <v/>
      </c>
      <c r="B707" s="10" t="n"/>
      <c r="C707" s="11" t="n"/>
      <c r="D707" s="11" t="n"/>
      <c r="E707" s="11" t="n"/>
      <c r="F707" s="11" t="n"/>
      <c r="G707" s="8" t="n"/>
      <c r="H707" s="12" t="n"/>
      <c r="I707" s="13" t="n"/>
      <c r="J707" s="14">
        <f>IF(OR(H707="",I707=""),"",H707*I707)</f>
        <v/>
      </c>
      <c r="K707" s="11" t="n"/>
      <c r="L707" s="9">
        <f>IF(B707="","",MONTH(B707))</f>
        <v/>
      </c>
      <c r="M707" s="9">
        <f>IF(B707="","",YEAR(B707))</f>
        <v/>
      </c>
    </row>
    <row r="708">
      <c r="A708" s="9">
        <f>IF(B708="","",ROW()-1)</f>
        <v/>
      </c>
      <c r="B708" s="10" t="n"/>
      <c r="C708" s="11" t="n"/>
      <c r="D708" s="11" t="n"/>
      <c r="E708" s="11" t="n"/>
      <c r="F708" s="11" t="n"/>
      <c r="G708" s="8" t="n"/>
      <c r="H708" s="12" t="n"/>
      <c r="I708" s="13" t="n"/>
      <c r="J708" s="14">
        <f>IF(OR(H708="",I708=""),"",H708*I708)</f>
        <v/>
      </c>
      <c r="K708" s="11" t="n"/>
      <c r="L708" s="9">
        <f>IF(B708="","",MONTH(B708))</f>
        <v/>
      </c>
      <c r="M708" s="9">
        <f>IF(B708="","",YEAR(B708))</f>
        <v/>
      </c>
    </row>
    <row r="709">
      <c r="A709" s="9">
        <f>IF(B709="","",ROW()-1)</f>
        <v/>
      </c>
      <c r="B709" s="10" t="n"/>
      <c r="C709" s="11" t="n"/>
      <c r="D709" s="11" t="n"/>
      <c r="E709" s="11" t="n"/>
      <c r="F709" s="11" t="n"/>
      <c r="G709" s="8" t="n"/>
      <c r="H709" s="12" t="n"/>
      <c r="I709" s="13" t="n"/>
      <c r="J709" s="14">
        <f>IF(OR(H709="",I709=""),"",H709*I709)</f>
        <v/>
      </c>
      <c r="K709" s="11" t="n"/>
      <c r="L709" s="9">
        <f>IF(B709="","",MONTH(B709))</f>
        <v/>
      </c>
      <c r="M709" s="9">
        <f>IF(B709="","",YEAR(B709))</f>
        <v/>
      </c>
    </row>
    <row r="710">
      <c r="A710" s="9">
        <f>IF(B710="","",ROW()-1)</f>
        <v/>
      </c>
      <c r="B710" s="10" t="n"/>
      <c r="C710" s="11" t="n"/>
      <c r="D710" s="11" t="n"/>
      <c r="E710" s="11" t="n"/>
      <c r="F710" s="11" t="n"/>
      <c r="G710" s="8" t="n"/>
      <c r="H710" s="12" t="n"/>
      <c r="I710" s="13" t="n"/>
      <c r="J710" s="14">
        <f>IF(OR(H710="",I710=""),"",H710*I710)</f>
        <v/>
      </c>
      <c r="K710" s="11" t="n"/>
      <c r="L710" s="9">
        <f>IF(B710="","",MONTH(B710))</f>
        <v/>
      </c>
      <c r="M710" s="9">
        <f>IF(B710="","",YEAR(B710))</f>
        <v/>
      </c>
    </row>
    <row r="711">
      <c r="A711" s="9">
        <f>IF(B711="","",ROW()-1)</f>
        <v/>
      </c>
      <c r="B711" s="10" t="n"/>
      <c r="C711" s="11" t="n"/>
      <c r="D711" s="11" t="n"/>
      <c r="E711" s="11" t="n"/>
      <c r="F711" s="11" t="n"/>
      <c r="G711" s="8" t="n"/>
      <c r="H711" s="12" t="n"/>
      <c r="I711" s="13" t="n"/>
      <c r="J711" s="14">
        <f>IF(OR(H711="",I711=""),"",H711*I711)</f>
        <v/>
      </c>
      <c r="K711" s="11" t="n"/>
      <c r="L711" s="9">
        <f>IF(B711="","",MONTH(B711))</f>
        <v/>
      </c>
      <c r="M711" s="9">
        <f>IF(B711="","",YEAR(B711))</f>
        <v/>
      </c>
    </row>
    <row r="712">
      <c r="A712" s="9">
        <f>IF(B712="","",ROW()-1)</f>
        <v/>
      </c>
      <c r="B712" s="10" t="n"/>
      <c r="C712" s="11" t="n"/>
      <c r="D712" s="11" t="n"/>
      <c r="E712" s="11" t="n"/>
      <c r="F712" s="11" t="n"/>
      <c r="G712" s="8" t="n"/>
      <c r="H712" s="12" t="n"/>
      <c r="I712" s="13" t="n"/>
      <c r="J712" s="14">
        <f>IF(OR(H712="",I712=""),"",H712*I712)</f>
        <v/>
      </c>
      <c r="K712" s="11" t="n"/>
      <c r="L712" s="9">
        <f>IF(B712="","",MONTH(B712))</f>
        <v/>
      </c>
      <c r="M712" s="9">
        <f>IF(B712="","",YEAR(B712))</f>
        <v/>
      </c>
    </row>
    <row r="713">
      <c r="A713" s="9">
        <f>IF(B713="","",ROW()-1)</f>
        <v/>
      </c>
      <c r="B713" s="10" t="n"/>
      <c r="C713" s="11" t="n"/>
      <c r="D713" s="11" t="n"/>
      <c r="E713" s="11" t="n"/>
      <c r="F713" s="11" t="n"/>
      <c r="G713" s="8" t="n"/>
      <c r="H713" s="12" t="n"/>
      <c r="I713" s="13" t="n"/>
      <c r="J713" s="14">
        <f>IF(OR(H713="",I713=""),"",H713*I713)</f>
        <v/>
      </c>
      <c r="K713" s="11" t="n"/>
      <c r="L713" s="9">
        <f>IF(B713="","",MONTH(B713))</f>
        <v/>
      </c>
      <c r="M713" s="9">
        <f>IF(B713="","",YEAR(B713))</f>
        <v/>
      </c>
    </row>
    <row r="714">
      <c r="A714" s="9">
        <f>IF(B714="","",ROW()-1)</f>
        <v/>
      </c>
      <c r="B714" s="10" t="n"/>
      <c r="C714" s="11" t="n"/>
      <c r="D714" s="11" t="n"/>
      <c r="E714" s="11" t="n"/>
      <c r="F714" s="11" t="n"/>
      <c r="G714" s="8" t="n"/>
      <c r="H714" s="12" t="n"/>
      <c r="I714" s="13" t="n"/>
      <c r="J714" s="14">
        <f>IF(OR(H714="",I714=""),"",H714*I714)</f>
        <v/>
      </c>
      <c r="K714" s="11" t="n"/>
      <c r="L714" s="9">
        <f>IF(B714="","",MONTH(B714))</f>
        <v/>
      </c>
      <c r="M714" s="9">
        <f>IF(B714="","",YEAR(B714))</f>
        <v/>
      </c>
    </row>
    <row r="715">
      <c r="A715" s="9">
        <f>IF(B715="","",ROW()-1)</f>
        <v/>
      </c>
      <c r="B715" s="10" t="n"/>
      <c r="C715" s="11" t="n"/>
      <c r="D715" s="11" t="n"/>
      <c r="E715" s="11" t="n"/>
      <c r="F715" s="11" t="n"/>
      <c r="G715" s="8" t="n"/>
      <c r="H715" s="12" t="n"/>
      <c r="I715" s="13" t="n"/>
      <c r="J715" s="14">
        <f>IF(OR(H715="",I715=""),"",H715*I715)</f>
        <v/>
      </c>
      <c r="K715" s="11" t="n"/>
      <c r="L715" s="9">
        <f>IF(B715="","",MONTH(B715))</f>
        <v/>
      </c>
      <c r="M715" s="9">
        <f>IF(B715="","",YEAR(B715))</f>
        <v/>
      </c>
    </row>
    <row r="716">
      <c r="A716" s="9">
        <f>IF(B716="","",ROW()-1)</f>
        <v/>
      </c>
      <c r="B716" s="10" t="n"/>
      <c r="C716" s="11" t="n"/>
      <c r="D716" s="11" t="n"/>
      <c r="E716" s="11" t="n"/>
      <c r="F716" s="11" t="n"/>
      <c r="G716" s="8" t="n"/>
      <c r="H716" s="12" t="n"/>
      <c r="I716" s="13" t="n"/>
      <c r="J716" s="14">
        <f>IF(OR(H716="",I716=""),"",H716*I716)</f>
        <v/>
      </c>
      <c r="K716" s="11" t="n"/>
      <c r="L716" s="9">
        <f>IF(B716="","",MONTH(B716))</f>
        <v/>
      </c>
      <c r="M716" s="9">
        <f>IF(B716="","",YEAR(B716))</f>
        <v/>
      </c>
    </row>
    <row r="717">
      <c r="A717" s="9">
        <f>IF(B717="","",ROW()-1)</f>
        <v/>
      </c>
      <c r="B717" s="10" t="n"/>
      <c r="C717" s="11" t="n"/>
      <c r="D717" s="11" t="n"/>
      <c r="E717" s="11" t="n"/>
      <c r="F717" s="11" t="n"/>
      <c r="G717" s="8" t="n"/>
      <c r="H717" s="12" t="n"/>
      <c r="I717" s="13" t="n"/>
      <c r="J717" s="14">
        <f>IF(OR(H717="",I717=""),"",H717*I717)</f>
        <v/>
      </c>
      <c r="K717" s="11" t="n"/>
      <c r="L717" s="9">
        <f>IF(B717="","",MONTH(B717))</f>
        <v/>
      </c>
      <c r="M717" s="9">
        <f>IF(B717="","",YEAR(B717))</f>
        <v/>
      </c>
    </row>
    <row r="718">
      <c r="A718" s="9">
        <f>IF(B718="","",ROW()-1)</f>
        <v/>
      </c>
      <c r="B718" s="10" t="n"/>
      <c r="C718" s="11" t="n"/>
      <c r="D718" s="11" t="n"/>
      <c r="E718" s="11" t="n"/>
      <c r="F718" s="11" t="n"/>
      <c r="G718" s="8" t="n"/>
      <c r="H718" s="12" t="n"/>
      <c r="I718" s="13" t="n"/>
      <c r="J718" s="14">
        <f>IF(OR(H718="",I718=""),"",H718*I718)</f>
        <v/>
      </c>
      <c r="K718" s="11" t="n"/>
      <c r="L718" s="9">
        <f>IF(B718="","",MONTH(B718))</f>
        <v/>
      </c>
      <c r="M718" s="9">
        <f>IF(B718="","",YEAR(B718))</f>
        <v/>
      </c>
    </row>
    <row r="719">
      <c r="A719" s="9">
        <f>IF(B719="","",ROW()-1)</f>
        <v/>
      </c>
      <c r="B719" s="10" t="n"/>
      <c r="C719" s="11" t="n"/>
      <c r="D719" s="11" t="n"/>
      <c r="E719" s="11" t="n"/>
      <c r="F719" s="11" t="n"/>
      <c r="G719" s="8" t="n"/>
      <c r="H719" s="12" t="n"/>
      <c r="I719" s="13" t="n"/>
      <c r="J719" s="14">
        <f>IF(OR(H719="",I719=""),"",H719*I719)</f>
        <v/>
      </c>
      <c r="K719" s="11" t="n"/>
      <c r="L719" s="9">
        <f>IF(B719="","",MONTH(B719))</f>
        <v/>
      </c>
      <c r="M719" s="9">
        <f>IF(B719="","",YEAR(B719))</f>
        <v/>
      </c>
    </row>
    <row r="720">
      <c r="A720" s="9">
        <f>IF(B720="","",ROW()-1)</f>
        <v/>
      </c>
      <c r="B720" s="10" t="n"/>
      <c r="C720" s="11" t="n"/>
      <c r="D720" s="11" t="n"/>
      <c r="E720" s="11" t="n"/>
      <c r="F720" s="11" t="n"/>
      <c r="G720" s="8" t="n"/>
      <c r="H720" s="12" t="n"/>
      <c r="I720" s="13" t="n"/>
      <c r="J720" s="14">
        <f>IF(OR(H720="",I720=""),"",H720*I720)</f>
        <v/>
      </c>
      <c r="K720" s="11" t="n"/>
      <c r="L720" s="9">
        <f>IF(B720="","",MONTH(B720))</f>
        <v/>
      </c>
      <c r="M720" s="9">
        <f>IF(B720="","",YEAR(B720))</f>
        <v/>
      </c>
    </row>
    <row r="721">
      <c r="A721" s="9">
        <f>IF(B721="","",ROW()-1)</f>
        <v/>
      </c>
      <c r="B721" s="10" t="n"/>
      <c r="C721" s="11" t="n"/>
      <c r="D721" s="11" t="n"/>
      <c r="E721" s="11" t="n"/>
      <c r="F721" s="11" t="n"/>
      <c r="G721" s="8" t="n"/>
      <c r="H721" s="12" t="n"/>
      <c r="I721" s="13" t="n"/>
      <c r="J721" s="14">
        <f>IF(OR(H721="",I721=""),"",H721*I721)</f>
        <v/>
      </c>
      <c r="K721" s="11" t="n"/>
      <c r="L721" s="9">
        <f>IF(B721="","",MONTH(B721))</f>
        <v/>
      </c>
      <c r="M721" s="9">
        <f>IF(B721="","",YEAR(B721))</f>
        <v/>
      </c>
    </row>
    <row r="722">
      <c r="A722" s="9">
        <f>IF(B722="","",ROW()-1)</f>
        <v/>
      </c>
      <c r="B722" s="10" t="n"/>
      <c r="C722" s="11" t="n"/>
      <c r="D722" s="11" t="n"/>
      <c r="E722" s="11" t="n"/>
      <c r="F722" s="11" t="n"/>
      <c r="G722" s="8" t="n"/>
      <c r="H722" s="12" t="n"/>
      <c r="I722" s="13" t="n"/>
      <c r="J722" s="14">
        <f>IF(OR(H722="",I722=""),"",H722*I722)</f>
        <v/>
      </c>
      <c r="K722" s="11" t="n"/>
      <c r="L722" s="9">
        <f>IF(B722="","",MONTH(B722))</f>
        <v/>
      </c>
      <c r="M722" s="9">
        <f>IF(B722="","",YEAR(B722))</f>
        <v/>
      </c>
    </row>
    <row r="723">
      <c r="A723" s="9">
        <f>IF(B723="","",ROW()-1)</f>
        <v/>
      </c>
      <c r="B723" s="10" t="n"/>
      <c r="C723" s="11" t="n"/>
      <c r="D723" s="11" t="n"/>
      <c r="E723" s="11" t="n"/>
      <c r="F723" s="11" t="n"/>
      <c r="G723" s="8" t="n"/>
      <c r="H723" s="12" t="n"/>
      <c r="I723" s="13" t="n"/>
      <c r="J723" s="14">
        <f>IF(OR(H723="",I723=""),"",H723*I723)</f>
        <v/>
      </c>
      <c r="K723" s="11" t="n"/>
      <c r="L723" s="9">
        <f>IF(B723="","",MONTH(B723))</f>
        <v/>
      </c>
      <c r="M723" s="9">
        <f>IF(B723="","",YEAR(B723))</f>
        <v/>
      </c>
    </row>
    <row r="724">
      <c r="A724" s="9">
        <f>IF(B724="","",ROW()-1)</f>
        <v/>
      </c>
      <c r="B724" s="10" t="n"/>
      <c r="C724" s="11" t="n"/>
      <c r="D724" s="11" t="n"/>
      <c r="E724" s="11" t="n"/>
      <c r="F724" s="11" t="n"/>
      <c r="G724" s="8" t="n"/>
      <c r="H724" s="12" t="n"/>
      <c r="I724" s="13" t="n"/>
      <c r="J724" s="14">
        <f>IF(OR(H724="",I724=""),"",H724*I724)</f>
        <v/>
      </c>
      <c r="K724" s="11" t="n"/>
      <c r="L724" s="9">
        <f>IF(B724="","",MONTH(B724))</f>
        <v/>
      </c>
      <c r="M724" s="9">
        <f>IF(B724="","",YEAR(B724))</f>
        <v/>
      </c>
    </row>
    <row r="725">
      <c r="A725" s="9">
        <f>IF(B725="","",ROW()-1)</f>
        <v/>
      </c>
      <c r="B725" s="10" t="n"/>
      <c r="C725" s="11" t="n"/>
      <c r="D725" s="11" t="n"/>
      <c r="E725" s="11" t="n"/>
      <c r="F725" s="11" t="n"/>
      <c r="G725" s="8" t="n"/>
      <c r="H725" s="12" t="n"/>
      <c r="I725" s="13" t="n"/>
      <c r="J725" s="14">
        <f>IF(OR(H725="",I725=""),"",H725*I725)</f>
        <v/>
      </c>
      <c r="K725" s="11" t="n"/>
      <c r="L725" s="9">
        <f>IF(B725="","",MONTH(B725))</f>
        <v/>
      </c>
      <c r="M725" s="9">
        <f>IF(B725="","",YEAR(B725))</f>
        <v/>
      </c>
    </row>
    <row r="726">
      <c r="A726" s="9">
        <f>IF(B726="","",ROW()-1)</f>
        <v/>
      </c>
      <c r="B726" s="10" t="n"/>
      <c r="C726" s="11" t="n"/>
      <c r="D726" s="11" t="n"/>
      <c r="E726" s="11" t="n"/>
      <c r="F726" s="11" t="n"/>
      <c r="G726" s="8" t="n"/>
      <c r="H726" s="12" t="n"/>
      <c r="I726" s="13" t="n"/>
      <c r="J726" s="14">
        <f>IF(OR(H726="",I726=""),"",H726*I726)</f>
        <v/>
      </c>
      <c r="K726" s="11" t="n"/>
      <c r="L726" s="9">
        <f>IF(B726="","",MONTH(B726))</f>
        <v/>
      </c>
      <c r="M726" s="9">
        <f>IF(B726="","",YEAR(B726))</f>
        <v/>
      </c>
    </row>
    <row r="727">
      <c r="A727" s="9">
        <f>IF(B727="","",ROW()-1)</f>
        <v/>
      </c>
      <c r="B727" s="10" t="n"/>
      <c r="C727" s="11" t="n"/>
      <c r="D727" s="11" t="n"/>
      <c r="E727" s="11" t="n"/>
      <c r="F727" s="11" t="n"/>
      <c r="G727" s="8" t="n"/>
      <c r="H727" s="12" t="n"/>
      <c r="I727" s="13" t="n"/>
      <c r="J727" s="14">
        <f>IF(OR(H727="",I727=""),"",H727*I727)</f>
        <v/>
      </c>
      <c r="K727" s="11" t="n"/>
      <c r="L727" s="9">
        <f>IF(B727="","",MONTH(B727))</f>
        <v/>
      </c>
      <c r="M727" s="9">
        <f>IF(B727="","",YEAR(B727))</f>
        <v/>
      </c>
    </row>
    <row r="728">
      <c r="A728" s="9">
        <f>IF(B728="","",ROW()-1)</f>
        <v/>
      </c>
      <c r="B728" s="10" t="n"/>
      <c r="C728" s="11" t="n"/>
      <c r="D728" s="11" t="n"/>
      <c r="E728" s="11" t="n"/>
      <c r="F728" s="11" t="n"/>
      <c r="G728" s="8" t="n"/>
      <c r="H728" s="12" t="n"/>
      <c r="I728" s="13" t="n"/>
      <c r="J728" s="14">
        <f>IF(OR(H728="",I728=""),"",H728*I728)</f>
        <v/>
      </c>
      <c r="K728" s="11" t="n"/>
      <c r="L728" s="9">
        <f>IF(B728="","",MONTH(B728))</f>
        <v/>
      </c>
      <c r="M728" s="9">
        <f>IF(B728="","",YEAR(B728))</f>
        <v/>
      </c>
    </row>
    <row r="729">
      <c r="A729" s="9">
        <f>IF(B729="","",ROW()-1)</f>
        <v/>
      </c>
      <c r="B729" s="10" t="n"/>
      <c r="C729" s="11" t="n"/>
      <c r="D729" s="11" t="n"/>
      <c r="E729" s="11" t="n"/>
      <c r="F729" s="11" t="n"/>
      <c r="G729" s="8" t="n"/>
      <c r="H729" s="12" t="n"/>
      <c r="I729" s="13" t="n"/>
      <c r="J729" s="14">
        <f>IF(OR(H729="",I729=""),"",H729*I729)</f>
        <v/>
      </c>
      <c r="K729" s="11" t="n"/>
      <c r="L729" s="9">
        <f>IF(B729="","",MONTH(B729))</f>
        <v/>
      </c>
      <c r="M729" s="9">
        <f>IF(B729="","",YEAR(B729))</f>
        <v/>
      </c>
    </row>
    <row r="730">
      <c r="A730" s="9">
        <f>IF(B730="","",ROW()-1)</f>
        <v/>
      </c>
      <c r="B730" s="10" t="n"/>
      <c r="C730" s="11" t="n"/>
      <c r="D730" s="11" t="n"/>
      <c r="E730" s="11" t="n"/>
      <c r="F730" s="11" t="n"/>
      <c r="G730" s="8" t="n"/>
      <c r="H730" s="12" t="n"/>
      <c r="I730" s="13" t="n"/>
      <c r="J730" s="14">
        <f>IF(OR(H730="",I730=""),"",H730*I730)</f>
        <v/>
      </c>
      <c r="K730" s="11" t="n"/>
      <c r="L730" s="9">
        <f>IF(B730="","",MONTH(B730))</f>
        <v/>
      </c>
      <c r="M730" s="9">
        <f>IF(B730="","",YEAR(B730))</f>
        <v/>
      </c>
    </row>
    <row r="731">
      <c r="A731" s="9">
        <f>IF(B731="","",ROW()-1)</f>
        <v/>
      </c>
      <c r="B731" s="10" t="n"/>
      <c r="C731" s="11" t="n"/>
      <c r="D731" s="11" t="n"/>
      <c r="E731" s="11" t="n"/>
      <c r="F731" s="11" t="n"/>
      <c r="G731" s="8" t="n"/>
      <c r="H731" s="12" t="n"/>
      <c r="I731" s="13" t="n"/>
      <c r="J731" s="14">
        <f>IF(OR(H731="",I731=""),"",H731*I731)</f>
        <v/>
      </c>
      <c r="K731" s="11" t="n"/>
      <c r="L731" s="9">
        <f>IF(B731="","",MONTH(B731))</f>
        <v/>
      </c>
      <c r="M731" s="9">
        <f>IF(B731="","",YEAR(B731))</f>
        <v/>
      </c>
    </row>
    <row r="732">
      <c r="A732" s="9">
        <f>IF(B732="","",ROW()-1)</f>
        <v/>
      </c>
      <c r="B732" s="10" t="n"/>
      <c r="C732" s="11" t="n"/>
      <c r="D732" s="11" t="n"/>
      <c r="E732" s="11" t="n"/>
      <c r="F732" s="11" t="n"/>
      <c r="G732" s="8" t="n"/>
      <c r="H732" s="12" t="n"/>
      <c r="I732" s="13" t="n"/>
      <c r="J732" s="14">
        <f>IF(OR(H732="",I732=""),"",H732*I732)</f>
        <v/>
      </c>
      <c r="K732" s="11" t="n"/>
      <c r="L732" s="9">
        <f>IF(B732="","",MONTH(B732))</f>
        <v/>
      </c>
      <c r="M732" s="9">
        <f>IF(B732="","",YEAR(B732))</f>
        <v/>
      </c>
    </row>
    <row r="733">
      <c r="A733" s="9">
        <f>IF(B733="","",ROW()-1)</f>
        <v/>
      </c>
      <c r="B733" s="10" t="n"/>
      <c r="C733" s="11" t="n"/>
      <c r="D733" s="11" t="n"/>
      <c r="E733" s="11" t="n"/>
      <c r="F733" s="11" t="n"/>
      <c r="G733" s="8" t="n"/>
      <c r="H733" s="12" t="n"/>
      <c r="I733" s="13" t="n"/>
      <c r="J733" s="14">
        <f>IF(OR(H733="",I733=""),"",H733*I733)</f>
        <v/>
      </c>
      <c r="K733" s="11" t="n"/>
      <c r="L733" s="9">
        <f>IF(B733="","",MONTH(B733))</f>
        <v/>
      </c>
      <c r="M733" s="9">
        <f>IF(B733="","",YEAR(B733))</f>
        <v/>
      </c>
    </row>
    <row r="734">
      <c r="A734" s="9">
        <f>IF(B734="","",ROW()-1)</f>
        <v/>
      </c>
      <c r="B734" s="10" t="n"/>
      <c r="C734" s="11" t="n"/>
      <c r="D734" s="11" t="n"/>
      <c r="E734" s="11" t="n"/>
      <c r="F734" s="11" t="n"/>
      <c r="G734" s="8" t="n"/>
      <c r="H734" s="12" t="n"/>
      <c r="I734" s="13" t="n"/>
      <c r="J734" s="14">
        <f>IF(OR(H734="",I734=""),"",H734*I734)</f>
        <v/>
      </c>
      <c r="K734" s="11" t="n"/>
      <c r="L734" s="9">
        <f>IF(B734="","",MONTH(B734))</f>
        <v/>
      </c>
      <c r="M734" s="9">
        <f>IF(B734="","",YEAR(B734))</f>
        <v/>
      </c>
    </row>
    <row r="735">
      <c r="A735" s="9">
        <f>IF(B735="","",ROW()-1)</f>
        <v/>
      </c>
      <c r="B735" s="10" t="n"/>
      <c r="C735" s="11" t="n"/>
      <c r="D735" s="11" t="n"/>
      <c r="E735" s="11" t="n"/>
      <c r="F735" s="11" t="n"/>
      <c r="G735" s="8" t="n"/>
      <c r="H735" s="12" t="n"/>
      <c r="I735" s="13" t="n"/>
      <c r="J735" s="14">
        <f>IF(OR(H735="",I735=""),"",H735*I735)</f>
        <v/>
      </c>
      <c r="K735" s="11" t="n"/>
      <c r="L735" s="9">
        <f>IF(B735="","",MONTH(B735))</f>
        <v/>
      </c>
      <c r="M735" s="9">
        <f>IF(B735="","",YEAR(B735))</f>
        <v/>
      </c>
    </row>
    <row r="736">
      <c r="A736" s="9">
        <f>IF(B736="","",ROW()-1)</f>
        <v/>
      </c>
      <c r="B736" s="10" t="n"/>
      <c r="C736" s="11" t="n"/>
      <c r="D736" s="11" t="n"/>
      <c r="E736" s="11" t="n"/>
      <c r="F736" s="11" t="n"/>
      <c r="G736" s="8" t="n"/>
      <c r="H736" s="12" t="n"/>
      <c r="I736" s="13" t="n"/>
      <c r="J736" s="14">
        <f>IF(OR(H736="",I736=""),"",H736*I736)</f>
        <v/>
      </c>
      <c r="K736" s="11" t="n"/>
      <c r="L736" s="9">
        <f>IF(B736="","",MONTH(B736))</f>
        <v/>
      </c>
      <c r="M736" s="9">
        <f>IF(B736="","",YEAR(B736))</f>
        <v/>
      </c>
    </row>
    <row r="737">
      <c r="A737" s="9">
        <f>IF(B737="","",ROW()-1)</f>
        <v/>
      </c>
      <c r="B737" s="10" t="n"/>
      <c r="C737" s="11" t="n"/>
      <c r="D737" s="11" t="n"/>
      <c r="E737" s="11" t="n"/>
      <c r="F737" s="11" t="n"/>
      <c r="G737" s="8" t="n"/>
      <c r="H737" s="12" t="n"/>
      <c r="I737" s="13" t="n"/>
      <c r="J737" s="14">
        <f>IF(OR(H737="",I737=""),"",H737*I737)</f>
        <v/>
      </c>
      <c r="K737" s="11" t="n"/>
      <c r="L737" s="9">
        <f>IF(B737="","",MONTH(B737))</f>
        <v/>
      </c>
      <c r="M737" s="9">
        <f>IF(B737="","",YEAR(B737))</f>
        <v/>
      </c>
    </row>
    <row r="738">
      <c r="A738" s="9">
        <f>IF(B738="","",ROW()-1)</f>
        <v/>
      </c>
      <c r="B738" s="10" t="n"/>
      <c r="C738" s="11" t="n"/>
      <c r="D738" s="11" t="n"/>
      <c r="E738" s="11" t="n"/>
      <c r="F738" s="11" t="n"/>
      <c r="G738" s="8" t="n"/>
      <c r="H738" s="12" t="n"/>
      <c r="I738" s="13" t="n"/>
      <c r="J738" s="14">
        <f>IF(OR(H738="",I738=""),"",H738*I738)</f>
        <v/>
      </c>
      <c r="K738" s="11" t="n"/>
      <c r="L738" s="9">
        <f>IF(B738="","",MONTH(B738))</f>
        <v/>
      </c>
      <c r="M738" s="9">
        <f>IF(B738="","",YEAR(B738))</f>
        <v/>
      </c>
    </row>
    <row r="739">
      <c r="A739" s="9">
        <f>IF(B739="","",ROW()-1)</f>
        <v/>
      </c>
      <c r="B739" s="10" t="n"/>
      <c r="C739" s="11" t="n"/>
      <c r="D739" s="11" t="n"/>
      <c r="E739" s="11" t="n"/>
      <c r="F739" s="11" t="n"/>
      <c r="G739" s="8" t="n"/>
      <c r="H739" s="12" t="n"/>
      <c r="I739" s="13" t="n"/>
      <c r="J739" s="14">
        <f>IF(OR(H739="",I739=""),"",H739*I739)</f>
        <v/>
      </c>
      <c r="K739" s="11" t="n"/>
      <c r="L739" s="9">
        <f>IF(B739="","",MONTH(B739))</f>
        <v/>
      </c>
      <c r="M739" s="9">
        <f>IF(B739="","",YEAR(B739))</f>
        <v/>
      </c>
    </row>
    <row r="740">
      <c r="A740" s="9">
        <f>IF(B740="","",ROW()-1)</f>
        <v/>
      </c>
      <c r="B740" s="10" t="n"/>
      <c r="C740" s="11" t="n"/>
      <c r="D740" s="11" t="n"/>
      <c r="E740" s="11" t="n"/>
      <c r="F740" s="11" t="n"/>
      <c r="G740" s="8" t="n"/>
      <c r="H740" s="12" t="n"/>
      <c r="I740" s="13" t="n"/>
      <c r="J740" s="14">
        <f>IF(OR(H740="",I740=""),"",H740*I740)</f>
        <v/>
      </c>
      <c r="K740" s="11" t="n"/>
      <c r="L740" s="9">
        <f>IF(B740="","",MONTH(B740))</f>
        <v/>
      </c>
      <c r="M740" s="9">
        <f>IF(B740="","",YEAR(B740))</f>
        <v/>
      </c>
    </row>
    <row r="741">
      <c r="A741" s="9">
        <f>IF(B741="","",ROW()-1)</f>
        <v/>
      </c>
      <c r="B741" s="10" t="n"/>
      <c r="C741" s="11" t="n"/>
      <c r="D741" s="11" t="n"/>
      <c r="E741" s="11" t="n"/>
      <c r="F741" s="11" t="n"/>
      <c r="G741" s="8" t="n"/>
      <c r="H741" s="12" t="n"/>
      <c r="I741" s="13" t="n"/>
      <c r="J741" s="14">
        <f>IF(OR(H741="",I741=""),"",H741*I741)</f>
        <v/>
      </c>
      <c r="K741" s="11" t="n"/>
      <c r="L741" s="9">
        <f>IF(B741="","",MONTH(B741))</f>
        <v/>
      </c>
      <c r="M741" s="9">
        <f>IF(B741="","",YEAR(B741))</f>
        <v/>
      </c>
    </row>
    <row r="742">
      <c r="A742" s="9">
        <f>IF(B742="","",ROW()-1)</f>
        <v/>
      </c>
      <c r="B742" s="10" t="n"/>
      <c r="C742" s="11" t="n"/>
      <c r="D742" s="11" t="n"/>
      <c r="E742" s="11" t="n"/>
      <c r="F742" s="11" t="n"/>
      <c r="G742" s="8" t="n"/>
      <c r="H742" s="12" t="n"/>
      <c r="I742" s="13" t="n"/>
      <c r="J742" s="14">
        <f>IF(OR(H742="",I742=""),"",H742*I742)</f>
        <v/>
      </c>
      <c r="K742" s="11" t="n"/>
      <c r="L742" s="9">
        <f>IF(B742="","",MONTH(B742))</f>
        <v/>
      </c>
      <c r="M742" s="9">
        <f>IF(B742="","",YEAR(B742))</f>
        <v/>
      </c>
    </row>
    <row r="743">
      <c r="A743" s="9">
        <f>IF(B743="","",ROW()-1)</f>
        <v/>
      </c>
      <c r="B743" s="10" t="n"/>
      <c r="C743" s="11" t="n"/>
      <c r="D743" s="11" t="n"/>
      <c r="E743" s="11" t="n"/>
      <c r="F743" s="11" t="n"/>
      <c r="G743" s="8" t="n"/>
      <c r="H743" s="12" t="n"/>
      <c r="I743" s="13" t="n"/>
      <c r="J743" s="14">
        <f>IF(OR(H743="",I743=""),"",H743*I743)</f>
        <v/>
      </c>
      <c r="K743" s="11" t="n"/>
      <c r="L743" s="9">
        <f>IF(B743="","",MONTH(B743))</f>
        <v/>
      </c>
      <c r="M743" s="9">
        <f>IF(B743="","",YEAR(B743))</f>
        <v/>
      </c>
    </row>
    <row r="744">
      <c r="A744" s="9">
        <f>IF(B744="","",ROW()-1)</f>
        <v/>
      </c>
      <c r="B744" s="10" t="n"/>
      <c r="C744" s="11" t="n"/>
      <c r="D744" s="11" t="n"/>
      <c r="E744" s="11" t="n"/>
      <c r="F744" s="11" t="n"/>
      <c r="G744" s="8" t="n"/>
      <c r="H744" s="12" t="n"/>
      <c r="I744" s="13" t="n"/>
      <c r="J744" s="14">
        <f>IF(OR(H744="",I744=""),"",H744*I744)</f>
        <v/>
      </c>
      <c r="K744" s="11" t="n"/>
      <c r="L744" s="9">
        <f>IF(B744="","",MONTH(B744))</f>
        <v/>
      </c>
      <c r="M744" s="9">
        <f>IF(B744="","",YEAR(B744))</f>
        <v/>
      </c>
    </row>
    <row r="745">
      <c r="A745" s="9">
        <f>IF(B745="","",ROW()-1)</f>
        <v/>
      </c>
      <c r="B745" s="10" t="n"/>
      <c r="C745" s="11" t="n"/>
      <c r="D745" s="11" t="n"/>
      <c r="E745" s="11" t="n"/>
      <c r="F745" s="11" t="n"/>
      <c r="G745" s="8" t="n"/>
      <c r="H745" s="12" t="n"/>
      <c r="I745" s="13" t="n"/>
      <c r="J745" s="14">
        <f>IF(OR(H745="",I745=""),"",H745*I745)</f>
        <v/>
      </c>
      <c r="K745" s="11" t="n"/>
      <c r="L745" s="9">
        <f>IF(B745="","",MONTH(B745))</f>
        <v/>
      </c>
      <c r="M745" s="9">
        <f>IF(B745="","",YEAR(B745))</f>
        <v/>
      </c>
    </row>
    <row r="746">
      <c r="A746" s="9">
        <f>IF(B746="","",ROW()-1)</f>
        <v/>
      </c>
      <c r="B746" s="10" t="n"/>
      <c r="C746" s="11" t="n"/>
      <c r="D746" s="11" t="n"/>
      <c r="E746" s="11" t="n"/>
      <c r="F746" s="11" t="n"/>
      <c r="G746" s="8" t="n"/>
      <c r="H746" s="12" t="n"/>
      <c r="I746" s="13" t="n"/>
      <c r="J746" s="14">
        <f>IF(OR(H746="",I746=""),"",H746*I746)</f>
        <v/>
      </c>
      <c r="K746" s="11" t="n"/>
      <c r="L746" s="9">
        <f>IF(B746="","",MONTH(B746))</f>
        <v/>
      </c>
      <c r="M746" s="9">
        <f>IF(B746="","",YEAR(B746))</f>
        <v/>
      </c>
    </row>
    <row r="747">
      <c r="A747" s="9">
        <f>IF(B747="","",ROW()-1)</f>
        <v/>
      </c>
      <c r="B747" s="10" t="n"/>
      <c r="C747" s="11" t="n"/>
      <c r="D747" s="11" t="n"/>
      <c r="E747" s="11" t="n"/>
      <c r="F747" s="11" t="n"/>
      <c r="G747" s="8" t="n"/>
      <c r="H747" s="12" t="n"/>
      <c r="I747" s="13" t="n"/>
      <c r="J747" s="14">
        <f>IF(OR(H747="",I747=""),"",H747*I747)</f>
        <v/>
      </c>
      <c r="K747" s="11" t="n"/>
      <c r="L747" s="9">
        <f>IF(B747="","",MONTH(B747))</f>
        <v/>
      </c>
      <c r="M747" s="9">
        <f>IF(B747="","",YEAR(B747))</f>
        <v/>
      </c>
    </row>
    <row r="748">
      <c r="A748" s="9">
        <f>IF(B748="","",ROW()-1)</f>
        <v/>
      </c>
      <c r="B748" s="10" t="n"/>
      <c r="C748" s="11" t="n"/>
      <c r="D748" s="11" t="n"/>
      <c r="E748" s="11" t="n"/>
      <c r="F748" s="11" t="n"/>
      <c r="G748" s="8" t="n"/>
      <c r="H748" s="12" t="n"/>
      <c r="I748" s="13" t="n"/>
      <c r="J748" s="14">
        <f>IF(OR(H748="",I748=""),"",H748*I748)</f>
        <v/>
      </c>
      <c r="K748" s="11" t="n"/>
      <c r="L748" s="9">
        <f>IF(B748="","",MONTH(B748))</f>
        <v/>
      </c>
      <c r="M748" s="9">
        <f>IF(B748="","",YEAR(B748))</f>
        <v/>
      </c>
    </row>
    <row r="749">
      <c r="A749" s="9">
        <f>IF(B749="","",ROW()-1)</f>
        <v/>
      </c>
      <c r="B749" s="10" t="n"/>
      <c r="C749" s="11" t="n"/>
      <c r="D749" s="11" t="n"/>
      <c r="E749" s="11" t="n"/>
      <c r="F749" s="11" t="n"/>
      <c r="G749" s="8" t="n"/>
      <c r="H749" s="12" t="n"/>
      <c r="I749" s="13" t="n"/>
      <c r="J749" s="14">
        <f>IF(OR(H749="",I749=""),"",H749*I749)</f>
        <v/>
      </c>
      <c r="K749" s="11" t="n"/>
      <c r="L749" s="9">
        <f>IF(B749="","",MONTH(B749))</f>
        <v/>
      </c>
      <c r="M749" s="9">
        <f>IF(B749="","",YEAR(B749))</f>
        <v/>
      </c>
    </row>
    <row r="750">
      <c r="A750" s="9">
        <f>IF(B750="","",ROW()-1)</f>
        <v/>
      </c>
      <c r="B750" s="10" t="n"/>
      <c r="C750" s="11" t="n"/>
      <c r="D750" s="11" t="n"/>
      <c r="E750" s="11" t="n"/>
      <c r="F750" s="11" t="n"/>
      <c r="G750" s="8" t="n"/>
      <c r="H750" s="12" t="n"/>
      <c r="I750" s="13" t="n"/>
      <c r="J750" s="14">
        <f>IF(OR(H750="",I750=""),"",H750*I750)</f>
        <v/>
      </c>
      <c r="K750" s="11" t="n"/>
      <c r="L750" s="9">
        <f>IF(B750="","",MONTH(B750))</f>
        <v/>
      </c>
      <c r="M750" s="9">
        <f>IF(B750="","",YEAR(B750))</f>
        <v/>
      </c>
    </row>
    <row r="751">
      <c r="A751" s="9">
        <f>IF(B751="","",ROW()-1)</f>
        <v/>
      </c>
      <c r="B751" s="10" t="n"/>
      <c r="C751" s="11" t="n"/>
      <c r="D751" s="11" t="n"/>
      <c r="E751" s="11" t="n"/>
      <c r="F751" s="11" t="n"/>
      <c r="G751" s="8" t="n"/>
      <c r="H751" s="12" t="n"/>
      <c r="I751" s="13" t="n"/>
      <c r="J751" s="14">
        <f>IF(OR(H751="",I751=""),"",H751*I751)</f>
        <v/>
      </c>
      <c r="K751" s="11" t="n"/>
      <c r="L751" s="9">
        <f>IF(B751="","",MONTH(B751))</f>
        <v/>
      </c>
      <c r="M751" s="9">
        <f>IF(B751="","",YEAR(B751))</f>
        <v/>
      </c>
    </row>
    <row r="752">
      <c r="A752" s="9">
        <f>IF(B752="","",ROW()-1)</f>
        <v/>
      </c>
      <c r="B752" s="10" t="n"/>
      <c r="C752" s="11" t="n"/>
      <c r="D752" s="11" t="n"/>
      <c r="E752" s="11" t="n"/>
      <c r="F752" s="11" t="n"/>
      <c r="G752" s="8" t="n"/>
      <c r="H752" s="12" t="n"/>
      <c r="I752" s="13" t="n"/>
      <c r="J752" s="14">
        <f>IF(OR(H752="",I752=""),"",H752*I752)</f>
        <v/>
      </c>
      <c r="K752" s="11" t="n"/>
      <c r="L752" s="9">
        <f>IF(B752="","",MONTH(B752))</f>
        <v/>
      </c>
      <c r="M752" s="9">
        <f>IF(B752="","",YEAR(B752))</f>
        <v/>
      </c>
    </row>
    <row r="753">
      <c r="A753" s="9">
        <f>IF(B753="","",ROW()-1)</f>
        <v/>
      </c>
      <c r="B753" s="10" t="n"/>
      <c r="C753" s="11" t="n"/>
      <c r="D753" s="11" t="n"/>
      <c r="E753" s="11" t="n"/>
      <c r="F753" s="11" t="n"/>
      <c r="G753" s="8" t="n"/>
      <c r="H753" s="12" t="n"/>
      <c r="I753" s="13" t="n"/>
      <c r="J753" s="14">
        <f>IF(OR(H753="",I753=""),"",H753*I753)</f>
        <v/>
      </c>
      <c r="K753" s="11" t="n"/>
      <c r="L753" s="9">
        <f>IF(B753="","",MONTH(B753))</f>
        <v/>
      </c>
      <c r="M753" s="9">
        <f>IF(B753="","",YEAR(B753))</f>
        <v/>
      </c>
    </row>
    <row r="754">
      <c r="A754" s="9">
        <f>IF(B754="","",ROW()-1)</f>
        <v/>
      </c>
      <c r="B754" s="10" t="n"/>
      <c r="C754" s="11" t="n"/>
      <c r="D754" s="11" t="n"/>
      <c r="E754" s="11" t="n"/>
      <c r="F754" s="11" t="n"/>
      <c r="G754" s="8" t="n"/>
      <c r="H754" s="12" t="n"/>
      <c r="I754" s="13" t="n"/>
      <c r="J754" s="14">
        <f>IF(OR(H754="",I754=""),"",H754*I754)</f>
        <v/>
      </c>
      <c r="K754" s="11" t="n"/>
      <c r="L754" s="9">
        <f>IF(B754="","",MONTH(B754))</f>
        <v/>
      </c>
      <c r="M754" s="9">
        <f>IF(B754="","",YEAR(B754))</f>
        <v/>
      </c>
    </row>
    <row r="755">
      <c r="A755" s="9">
        <f>IF(B755="","",ROW()-1)</f>
        <v/>
      </c>
      <c r="B755" s="10" t="n"/>
      <c r="C755" s="11" t="n"/>
      <c r="D755" s="11" t="n"/>
      <c r="E755" s="11" t="n"/>
      <c r="F755" s="11" t="n"/>
      <c r="G755" s="8" t="n"/>
      <c r="H755" s="12" t="n"/>
      <c r="I755" s="13" t="n"/>
      <c r="J755" s="14">
        <f>IF(OR(H755="",I755=""),"",H755*I755)</f>
        <v/>
      </c>
      <c r="K755" s="11" t="n"/>
      <c r="L755" s="9">
        <f>IF(B755="","",MONTH(B755))</f>
        <v/>
      </c>
      <c r="M755" s="9">
        <f>IF(B755="","",YEAR(B755))</f>
        <v/>
      </c>
    </row>
    <row r="756">
      <c r="A756" s="9">
        <f>IF(B756="","",ROW()-1)</f>
        <v/>
      </c>
      <c r="B756" s="10" t="n"/>
      <c r="C756" s="11" t="n"/>
      <c r="D756" s="11" t="n"/>
      <c r="E756" s="11" t="n"/>
      <c r="F756" s="11" t="n"/>
      <c r="G756" s="8" t="n"/>
      <c r="H756" s="12" t="n"/>
      <c r="I756" s="13" t="n"/>
      <c r="J756" s="14">
        <f>IF(OR(H756="",I756=""),"",H756*I756)</f>
        <v/>
      </c>
      <c r="K756" s="11" t="n"/>
      <c r="L756" s="9">
        <f>IF(B756="","",MONTH(B756))</f>
        <v/>
      </c>
      <c r="M756" s="9">
        <f>IF(B756="","",YEAR(B756))</f>
        <v/>
      </c>
    </row>
    <row r="757">
      <c r="A757" s="9">
        <f>IF(B757="","",ROW()-1)</f>
        <v/>
      </c>
      <c r="B757" s="10" t="n"/>
      <c r="C757" s="11" t="n"/>
      <c r="D757" s="11" t="n"/>
      <c r="E757" s="11" t="n"/>
      <c r="F757" s="11" t="n"/>
      <c r="G757" s="8" t="n"/>
      <c r="H757" s="12" t="n"/>
      <c r="I757" s="13" t="n"/>
      <c r="J757" s="14">
        <f>IF(OR(H757="",I757=""),"",H757*I757)</f>
        <v/>
      </c>
      <c r="K757" s="11" t="n"/>
      <c r="L757" s="9">
        <f>IF(B757="","",MONTH(B757))</f>
        <v/>
      </c>
      <c r="M757" s="9">
        <f>IF(B757="","",YEAR(B757))</f>
        <v/>
      </c>
    </row>
    <row r="758">
      <c r="A758" s="9">
        <f>IF(B758="","",ROW()-1)</f>
        <v/>
      </c>
      <c r="B758" s="10" t="n"/>
      <c r="C758" s="11" t="n"/>
      <c r="D758" s="11" t="n"/>
      <c r="E758" s="11" t="n"/>
      <c r="F758" s="11" t="n"/>
      <c r="G758" s="8" t="n"/>
      <c r="H758" s="12" t="n"/>
      <c r="I758" s="13" t="n"/>
      <c r="J758" s="14">
        <f>IF(OR(H758="",I758=""),"",H758*I758)</f>
        <v/>
      </c>
      <c r="K758" s="11" t="n"/>
      <c r="L758" s="9">
        <f>IF(B758="","",MONTH(B758))</f>
        <v/>
      </c>
      <c r="M758" s="9">
        <f>IF(B758="","",YEAR(B758))</f>
        <v/>
      </c>
    </row>
    <row r="759">
      <c r="A759" s="9">
        <f>IF(B759="","",ROW()-1)</f>
        <v/>
      </c>
      <c r="B759" s="10" t="n"/>
      <c r="C759" s="11" t="n"/>
      <c r="D759" s="11" t="n"/>
      <c r="E759" s="11" t="n"/>
      <c r="F759" s="11" t="n"/>
      <c r="G759" s="8" t="n"/>
      <c r="H759" s="12" t="n"/>
      <c r="I759" s="13" t="n"/>
      <c r="J759" s="14">
        <f>IF(OR(H759="",I759=""),"",H759*I759)</f>
        <v/>
      </c>
      <c r="K759" s="11" t="n"/>
      <c r="L759" s="9">
        <f>IF(B759="","",MONTH(B759))</f>
        <v/>
      </c>
      <c r="M759" s="9">
        <f>IF(B759="","",YEAR(B759))</f>
        <v/>
      </c>
    </row>
    <row r="760">
      <c r="A760" s="9">
        <f>IF(B760="","",ROW()-1)</f>
        <v/>
      </c>
      <c r="B760" s="10" t="n"/>
      <c r="C760" s="11" t="n"/>
      <c r="D760" s="11" t="n"/>
      <c r="E760" s="11" t="n"/>
      <c r="F760" s="11" t="n"/>
      <c r="G760" s="8" t="n"/>
      <c r="H760" s="12" t="n"/>
      <c r="I760" s="13" t="n"/>
      <c r="J760" s="14">
        <f>IF(OR(H760="",I760=""),"",H760*I760)</f>
        <v/>
      </c>
      <c r="K760" s="11" t="n"/>
      <c r="L760" s="9">
        <f>IF(B760="","",MONTH(B760))</f>
        <v/>
      </c>
      <c r="M760" s="9">
        <f>IF(B760="","",YEAR(B760))</f>
        <v/>
      </c>
    </row>
    <row r="761">
      <c r="A761" s="9">
        <f>IF(B761="","",ROW()-1)</f>
        <v/>
      </c>
      <c r="B761" s="10" t="n"/>
      <c r="C761" s="11" t="n"/>
      <c r="D761" s="11" t="n"/>
      <c r="E761" s="11" t="n"/>
      <c r="F761" s="11" t="n"/>
      <c r="G761" s="8" t="n"/>
      <c r="H761" s="12" t="n"/>
      <c r="I761" s="13" t="n"/>
      <c r="J761" s="14">
        <f>IF(OR(H761="",I761=""),"",H761*I761)</f>
        <v/>
      </c>
      <c r="K761" s="11" t="n"/>
      <c r="L761" s="9">
        <f>IF(B761="","",MONTH(B761))</f>
        <v/>
      </c>
      <c r="M761" s="9">
        <f>IF(B761="","",YEAR(B761))</f>
        <v/>
      </c>
    </row>
    <row r="762">
      <c r="A762" s="9">
        <f>IF(B762="","",ROW()-1)</f>
        <v/>
      </c>
      <c r="B762" s="10" t="n"/>
      <c r="C762" s="11" t="n"/>
      <c r="D762" s="11" t="n"/>
      <c r="E762" s="11" t="n"/>
      <c r="F762" s="11" t="n"/>
      <c r="G762" s="8" t="n"/>
      <c r="H762" s="12" t="n"/>
      <c r="I762" s="13" t="n"/>
      <c r="J762" s="14">
        <f>IF(OR(H762="",I762=""),"",H762*I762)</f>
        <v/>
      </c>
      <c r="K762" s="11" t="n"/>
      <c r="L762" s="9">
        <f>IF(B762="","",MONTH(B762))</f>
        <v/>
      </c>
      <c r="M762" s="9">
        <f>IF(B762="","",YEAR(B762))</f>
        <v/>
      </c>
    </row>
    <row r="763">
      <c r="A763" s="9">
        <f>IF(B763="","",ROW()-1)</f>
        <v/>
      </c>
      <c r="B763" s="10" t="n"/>
      <c r="C763" s="11" t="n"/>
      <c r="D763" s="11" t="n"/>
      <c r="E763" s="11" t="n"/>
      <c r="F763" s="11" t="n"/>
      <c r="G763" s="8" t="n"/>
      <c r="H763" s="12" t="n"/>
      <c r="I763" s="13" t="n"/>
      <c r="J763" s="14">
        <f>IF(OR(H763="",I763=""),"",H763*I763)</f>
        <v/>
      </c>
      <c r="K763" s="11" t="n"/>
      <c r="L763" s="9">
        <f>IF(B763="","",MONTH(B763))</f>
        <v/>
      </c>
      <c r="M763" s="9">
        <f>IF(B763="","",YEAR(B763))</f>
        <v/>
      </c>
    </row>
    <row r="764">
      <c r="A764" s="9">
        <f>IF(B764="","",ROW()-1)</f>
        <v/>
      </c>
      <c r="B764" s="10" t="n"/>
      <c r="C764" s="11" t="n"/>
      <c r="D764" s="11" t="n"/>
      <c r="E764" s="11" t="n"/>
      <c r="F764" s="11" t="n"/>
      <c r="G764" s="8" t="n"/>
      <c r="H764" s="12" t="n"/>
      <c r="I764" s="13" t="n"/>
      <c r="J764" s="14">
        <f>IF(OR(H764="",I764=""),"",H764*I764)</f>
        <v/>
      </c>
      <c r="K764" s="11" t="n"/>
      <c r="L764" s="9">
        <f>IF(B764="","",MONTH(B764))</f>
        <v/>
      </c>
      <c r="M764" s="9">
        <f>IF(B764="","",YEAR(B764))</f>
        <v/>
      </c>
    </row>
    <row r="765">
      <c r="A765" s="9">
        <f>IF(B765="","",ROW()-1)</f>
        <v/>
      </c>
      <c r="B765" s="10" t="n"/>
      <c r="C765" s="11" t="n"/>
      <c r="D765" s="11" t="n"/>
      <c r="E765" s="11" t="n"/>
      <c r="F765" s="11" t="n"/>
      <c r="G765" s="8" t="n"/>
      <c r="H765" s="12" t="n"/>
      <c r="I765" s="13" t="n"/>
      <c r="J765" s="14">
        <f>IF(OR(H765="",I765=""),"",H765*I765)</f>
        <v/>
      </c>
      <c r="K765" s="11" t="n"/>
      <c r="L765" s="9">
        <f>IF(B765="","",MONTH(B765))</f>
        <v/>
      </c>
      <c r="M765" s="9">
        <f>IF(B765="","",YEAR(B765))</f>
        <v/>
      </c>
    </row>
    <row r="766">
      <c r="A766" s="9">
        <f>IF(B766="","",ROW()-1)</f>
        <v/>
      </c>
      <c r="B766" s="10" t="n"/>
      <c r="C766" s="11" t="n"/>
      <c r="D766" s="11" t="n"/>
      <c r="E766" s="11" t="n"/>
      <c r="F766" s="11" t="n"/>
      <c r="G766" s="8" t="n"/>
      <c r="H766" s="12" t="n"/>
      <c r="I766" s="13" t="n"/>
      <c r="J766" s="14">
        <f>IF(OR(H766="",I766=""),"",H766*I766)</f>
        <v/>
      </c>
      <c r="K766" s="11" t="n"/>
      <c r="L766" s="9">
        <f>IF(B766="","",MONTH(B766))</f>
        <v/>
      </c>
      <c r="M766" s="9">
        <f>IF(B766="","",YEAR(B766))</f>
        <v/>
      </c>
    </row>
    <row r="767">
      <c r="A767" s="9">
        <f>IF(B767="","",ROW()-1)</f>
        <v/>
      </c>
      <c r="B767" s="10" t="n"/>
      <c r="C767" s="11" t="n"/>
      <c r="D767" s="11" t="n"/>
      <c r="E767" s="11" t="n"/>
      <c r="F767" s="11" t="n"/>
      <c r="G767" s="8" t="n"/>
      <c r="H767" s="12" t="n"/>
      <c r="I767" s="13" t="n"/>
      <c r="J767" s="14">
        <f>IF(OR(H767="",I767=""),"",H767*I767)</f>
        <v/>
      </c>
      <c r="K767" s="11" t="n"/>
      <c r="L767" s="9">
        <f>IF(B767="","",MONTH(B767))</f>
        <v/>
      </c>
      <c r="M767" s="9">
        <f>IF(B767="","",YEAR(B767))</f>
        <v/>
      </c>
    </row>
    <row r="768">
      <c r="A768" s="9">
        <f>IF(B768="","",ROW()-1)</f>
        <v/>
      </c>
      <c r="B768" s="10" t="n"/>
      <c r="C768" s="11" t="n"/>
      <c r="D768" s="11" t="n"/>
      <c r="E768" s="11" t="n"/>
      <c r="F768" s="11" t="n"/>
      <c r="G768" s="8" t="n"/>
      <c r="H768" s="12" t="n"/>
      <c r="I768" s="13" t="n"/>
      <c r="J768" s="14">
        <f>IF(OR(H768="",I768=""),"",H768*I768)</f>
        <v/>
      </c>
      <c r="K768" s="11" t="n"/>
      <c r="L768" s="9">
        <f>IF(B768="","",MONTH(B768))</f>
        <v/>
      </c>
      <c r="M768" s="9">
        <f>IF(B768="","",YEAR(B768))</f>
        <v/>
      </c>
    </row>
    <row r="769">
      <c r="A769" s="9">
        <f>IF(B769="","",ROW()-1)</f>
        <v/>
      </c>
      <c r="B769" s="10" t="n"/>
      <c r="C769" s="11" t="n"/>
      <c r="D769" s="11" t="n"/>
      <c r="E769" s="11" t="n"/>
      <c r="F769" s="11" t="n"/>
      <c r="G769" s="8" t="n"/>
      <c r="H769" s="12" t="n"/>
      <c r="I769" s="13" t="n"/>
      <c r="J769" s="14">
        <f>IF(OR(H769="",I769=""),"",H769*I769)</f>
        <v/>
      </c>
      <c r="K769" s="11" t="n"/>
      <c r="L769" s="9">
        <f>IF(B769="","",MONTH(B769))</f>
        <v/>
      </c>
      <c r="M769" s="9">
        <f>IF(B769="","",YEAR(B769))</f>
        <v/>
      </c>
    </row>
    <row r="770">
      <c r="A770" s="9">
        <f>IF(B770="","",ROW()-1)</f>
        <v/>
      </c>
      <c r="B770" s="10" t="n"/>
      <c r="C770" s="11" t="n"/>
      <c r="D770" s="11" t="n"/>
      <c r="E770" s="11" t="n"/>
      <c r="F770" s="11" t="n"/>
      <c r="G770" s="8" t="n"/>
      <c r="H770" s="12" t="n"/>
      <c r="I770" s="13" t="n"/>
      <c r="J770" s="14">
        <f>IF(OR(H770="",I770=""),"",H770*I770)</f>
        <v/>
      </c>
      <c r="K770" s="11" t="n"/>
      <c r="L770" s="9">
        <f>IF(B770="","",MONTH(B770))</f>
        <v/>
      </c>
      <c r="M770" s="9">
        <f>IF(B770="","",YEAR(B770))</f>
        <v/>
      </c>
    </row>
    <row r="771">
      <c r="A771" s="9">
        <f>IF(B771="","",ROW()-1)</f>
        <v/>
      </c>
      <c r="B771" s="10" t="n"/>
      <c r="C771" s="11" t="n"/>
      <c r="D771" s="11" t="n"/>
      <c r="E771" s="11" t="n"/>
      <c r="F771" s="11" t="n"/>
      <c r="G771" s="8" t="n"/>
      <c r="H771" s="12" t="n"/>
      <c r="I771" s="13" t="n"/>
      <c r="J771" s="14">
        <f>IF(OR(H771="",I771=""),"",H771*I771)</f>
        <v/>
      </c>
      <c r="K771" s="11" t="n"/>
      <c r="L771" s="9">
        <f>IF(B771="","",MONTH(B771))</f>
        <v/>
      </c>
      <c r="M771" s="9">
        <f>IF(B771="","",YEAR(B771))</f>
        <v/>
      </c>
    </row>
    <row r="772">
      <c r="A772" s="9">
        <f>IF(B772="","",ROW()-1)</f>
        <v/>
      </c>
      <c r="B772" s="10" t="n"/>
      <c r="C772" s="11" t="n"/>
      <c r="D772" s="11" t="n"/>
      <c r="E772" s="11" t="n"/>
      <c r="F772" s="11" t="n"/>
      <c r="G772" s="8" t="n"/>
      <c r="H772" s="12" t="n"/>
      <c r="I772" s="13" t="n"/>
      <c r="J772" s="14">
        <f>IF(OR(H772="",I772=""),"",H772*I772)</f>
        <v/>
      </c>
      <c r="K772" s="11" t="n"/>
      <c r="L772" s="9">
        <f>IF(B772="","",MONTH(B772))</f>
        <v/>
      </c>
      <c r="M772" s="9">
        <f>IF(B772="","",YEAR(B772))</f>
        <v/>
      </c>
    </row>
    <row r="773">
      <c r="A773" s="9">
        <f>IF(B773="","",ROW()-1)</f>
        <v/>
      </c>
      <c r="B773" s="10" t="n"/>
      <c r="C773" s="11" t="n"/>
      <c r="D773" s="11" t="n"/>
      <c r="E773" s="11" t="n"/>
      <c r="F773" s="11" t="n"/>
      <c r="G773" s="8" t="n"/>
      <c r="H773" s="12" t="n"/>
      <c r="I773" s="13" t="n"/>
      <c r="J773" s="14">
        <f>IF(OR(H773="",I773=""),"",H773*I773)</f>
        <v/>
      </c>
      <c r="K773" s="11" t="n"/>
      <c r="L773" s="9">
        <f>IF(B773="","",MONTH(B773))</f>
        <v/>
      </c>
      <c r="M773" s="9">
        <f>IF(B773="","",YEAR(B773))</f>
        <v/>
      </c>
    </row>
    <row r="774">
      <c r="A774" s="9">
        <f>IF(B774="","",ROW()-1)</f>
        <v/>
      </c>
      <c r="B774" s="10" t="n"/>
      <c r="C774" s="11" t="n"/>
      <c r="D774" s="11" t="n"/>
      <c r="E774" s="11" t="n"/>
      <c r="F774" s="11" t="n"/>
      <c r="G774" s="8" t="n"/>
      <c r="H774" s="12" t="n"/>
      <c r="I774" s="13" t="n"/>
      <c r="J774" s="14">
        <f>IF(OR(H774="",I774=""),"",H774*I774)</f>
        <v/>
      </c>
      <c r="K774" s="11" t="n"/>
      <c r="L774" s="9">
        <f>IF(B774="","",MONTH(B774))</f>
        <v/>
      </c>
      <c r="M774" s="9">
        <f>IF(B774="","",YEAR(B774))</f>
        <v/>
      </c>
    </row>
    <row r="775">
      <c r="A775" s="9">
        <f>IF(B775="","",ROW()-1)</f>
        <v/>
      </c>
      <c r="B775" s="10" t="n"/>
      <c r="C775" s="11" t="n"/>
      <c r="D775" s="11" t="n"/>
      <c r="E775" s="11" t="n"/>
      <c r="F775" s="11" t="n"/>
      <c r="G775" s="8" t="n"/>
      <c r="H775" s="12" t="n"/>
      <c r="I775" s="13" t="n"/>
      <c r="J775" s="14">
        <f>IF(OR(H775="",I775=""),"",H775*I775)</f>
        <v/>
      </c>
      <c r="K775" s="11" t="n"/>
      <c r="L775" s="9">
        <f>IF(B775="","",MONTH(B775))</f>
        <v/>
      </c>
      <c r="M775" s="9">
        <f>IF(B775="","",YEAR(B775))</f>
        <v/>
      </c>
    </row>
    <row r="776">
      <c r="A776" s="9">
        <f>IF(B776="","",ROW()-1)</f>
        <v/>
      </c>
      <c r="B776" s="10" t="n"/>
      <c r="C776" s="11" t="n"/>
      <c r="D776" s="11" t="n"/>
      <c r="E776" s="11" t="n"/>
      <c r="F776" s="11" t="n"/>
      <c r="G776" s="8" t="n"/>
      <c r="H776" s="12" t="n"/>
      <c r="I776" s="13" t="n"/>
      <c r="J776" s="14">
        <f>IF(OR(H776="",I776=""),"",H776*I776)</f>
        <v/>
      </c>
      <c r="K776" s="11" t="n"/>
      <c r="L776" s="9">
        <f>IF(B776="","",MONTH(B776))</f>
        <v/>
      </c>
      <c r="M776" s="9">
        <f>IF(B776="","",YEAR(B776))</f>
        <v/>
      </c>
    </row>
    <row r="777">
      <c r="A777" s="9">
        <f>IF(B777="","",ROW()-1)</f>
        <v/>
      </c>
      <c r="B777" s="10" t="n"/>
      <c r="C777" s="11" t="n"/>
      <c r="D777" s="11" t="n"/>
      <c r="E777" s="11" t="n"/>
      <c r="F777" s="11" t="n"/>
      <c r="G777" s="8" t="n"/>
      <c r="H777" s="12" t="n"/>
      <c r="I777" s="13" t="n"/>
      <c r="J777" s="14">
        <f>IF(OR(H777="",I777=""),"",H777*I777)</f>
        <v/>
      </c>
      <c r="K777" s="11" t="n"/>
      <c r="L777" s="9">
        <f>IF(B777="","",MONTH(B777))</f>
        <v/>
      </c>
      <c r="M777" s="9">
        <f>IF(B777="","",YEAR(B777))</f>
        <v/>
      </c>
    </row>
    <row r="778">
      <c r="A778" s="9">
        <f>IF(B778="","",ROW()-1)</f>
        <v/>
      </c>
      <c r="B778" s="10" t="n"/>
      <c r="C778" s="11" t="n"/>
      <c r="D778" s="11" t="n"/>
      <c r="E778" s="11" t="n"/>
      <c r="F778" s="11" t="n"/>
      <c r="G778" s="8" t="n"/>
      <c r="H778" s="12" t="n"/>
      <c r="I778" s="13" t="n"/>
      <c r="J778" s="14">
        <f>IF(OR(H778="",I778=""),"",H778*I778)</f>
        <v/>
      </c>
      <c r="K778" s="11" t="n"/>
      <c r="L778" s="9">
        <f>IF(B778="","",MONTH(B778))</f>
        <v/>
      </c>
      <c r="M778" s="9">
        <f>IF(B778="","",YEAR(B778))</f>
        <v/>
      </c>
    </row>
    <row r="779">
      <c r="A779" s="9">
        <f>IF(B779="","",ROW()-1)</f>
        <v/>
      </c>
      <c r="B779" s="10" t="n"/>
      <c r="C779" s="11" t="n"/>
      <c r="D779" s="11" t="n"/>
      <c r="E779" s="11" t="n"/>
      <c r="F779" s="11" t="n"/>
      <c r="G779" s="8" t="n"/>
      <c r="H779" s="12" t="n"/>
      <c r="I779" s="13" t="n"/>
      <c r="J779" s="14">
        <f>IF(OR(H779="",I779=""),"",H779*I779)</f>
        <v/>
      </c>
      <c r="K779" s="11" t="n"/>
      <c r="L779" s="9">
        <f>IF(B779="","",MONTH(B779))</f>
        <v/>
      </c>
      <c r="M779" s="9">
        <f>IF(B779="","",YEAR(B779))</f>
        <v/>
      </c>
    </row>
    <row r="780">
      <c r="A780" s="9">
        <f>IF(B780="","",ROW()-1)</f>
        <v/>
      </c>
      <c r="B780" s="10" t="n"/>
      <c r="C780" s="11" t="n"/>
      <c r="D780" s="11" t="n"/>
      <c r="E780" s="11" t="n"/>
      <c r="F780" s="11" t="n"/>
      <c r="G780" s="8" t="n"/>
      <c r="H780" s="12" t="n"/>
      <c r="I780" s="13" t="n"/>
      <c r="J780" s="14">
        <f>IF(OR(H780="",I780=""),"",H780*I780)</f>
        <v/>
      </c>
      <c r="K780" s="11" t="n"/>
      <c r="L780" s="9">
        <f>IF(B780="","",MONTH(B780))</f>
        <v/>
      </c>
      <c r="M780" s="9">
        <f>IF(B780="","",YEAR(B780))</f>
        <v/>
      </c>
    </row>
    <row r="781">
      <c r="A781" s="9">
        <f>IF(B781="","",ROW()-1)</f>
        <v/>
      </c>
      <c r="B781" s="10" t="n"/>
      <c r="C781" s="11" t="n"/>
      <c r="D781" s="11" t="n"/>
      <c r="E781" s="11" t="n"/>
      <c r="F781" s="11" t="n"/>
      <c r="G781" s="8" t="n"/>
      <c r="H781" s="12" t="n"/>
      <c r="I781" s="13" t="n"/>
      <c r="J781" s="14">
        <f>IF(OR(H781="",I781=""),"",H781*I781)</f>
        <v/>
      </c>
      <c r="K781" s="11" t="n"/>
      <c r="L781" s="9">
        <f>IF(B781="","",MONTH(B781))</f>
        <v/>
      </c>
      <c r="M781" s="9">
        <f>IF(B781="","",YEAR(B781))</f>
        <v/>
      </c>
    </row>
    <row r="782">
      <c r="A782" s="9">
        <f>IF(B782="","",ROW()-1)</f>
        <v/>
      </c>
      <c r="B782" s="10" t="n"/>
      <c r="C782" s="11" t="n"/>
      <c r="D782" s="11" t="n"/>
      <c r="E782" s="11" t="n"/>
      <c r="F782" s="11" t="n"/>
      <c r="G782" s="8" t="n"/>
      <c r="H782" s="12" t="n"/>
      <c r="I782" s="13" t="n"/>
      <c r="J782" s="14">
        <f>IF(OR(H782="",I782=""),"",H782*I782)</f>
        <v/>
      </c>
      <c r="K782" s="11" t="n"/>
      <c r="L782" s="9">
        <f>IF(B782="","",MONTH(B782))</f>
        <v/>
      </c>
      <c r="M782" s="9">
        <f>IF(B782="","",YEAR(B782))</f>
        <v/>
      </c>
    </row>
    <row r="783">
      <c r="A783" s="9">
        <f>IF(B783="","",ROW()-1)</f>
        <v/>
      </c>
      <c r="B783" s="10" t="n"/>
      <c r="C783" s="11" t="n"/>
      <c r="D783" s="11" t="n"/>
      <c r="E783" s="11" t="n"/>
      <c r="F783" s="11" t="n"/>
      <c r="G783" s="8" t="n"/>
      <c r="H783" s="12" t="n"/>
      <c r="I783" s="13" t="n"/>
      <c r="J783" s="14">
        <f>IF(OR(H783="",I783=""),"",H783*I783)</f>
        <v/>
      </c>
      <c r="K783" s="11" t="n"/>
      <c r="L783" s="9">
        <f>IF(B783="","",MONTH(B783))</f>
        <v/>
      </c>
      <c r="M783" s="9">
        <f>IF(B783="","",YEAR(B783))</f>
        <v/>
      </c>
    </row>
    <row r="784">
      <c r="A784" s="9">
        <f>IF(B784="","",ROW()-1)</f>
        <v/>
      </c>
      <c r="B784" s="10" t="n"/>
      <c r="C784" s="11" t="n"/>
      <c r="D784" s="11" t="n"/>
      <c r="E784" s="11" t="n"/>
      <c r="F784" s="11" t="n"/>
      <c r="G784" s="8" t="n"/>
      <c r="H784" s="12" t="n"/>
      <c r="I784" s="13" t="n"/>
      <c r="J784" s="14">
        <f>IF(OR(H784="",I784=""),"",H784*I784)</f>
        <v/>
      </c>
      <c r="K784" s="11" t="n"/>
      <c r="L784" s="9">
        <f>IF(B784="","",MONTH(B784))</f>
        <v/>
      </c>
      <c r="M784" s="9">
        <f>IF(B784="","",YEAR(B784))</f>
        <v/>
      </c>
    </row>
    <row r="785">
      <c r="A785" s="9">
        <f>IF(B785="","",ROW()-1)</f>
        <v/>
      </c>
      <c r="B785" s="10" t="n"/>
      <c r="C785" s="11" t="n"/>
      <c r="D785" s="11" t="n"/>
      <c r="E785" s="11" t="n"/>
      <c r="F785" s="11" t="n"/>
      <c r="G785" s="8" t="n"/>
      <c r="H785" s="12" t="n"/>
      <c r="I785" s="13" t="n"/>
      <c r="J785" s="14">
        <f>IF(OR(H785="",I785=""),"",H785*I785)</f>
        <v/>
      </c>
      <c r="K785" s="11" t="n"/>
      <c r="L785" s="9">
        <f>IF(B785="","",MONTH(B785))</f>
        <v/>
      </c>
      <c r="M785" s="9">
        <f>IF(B785="","",YEAR(B785))</f>
        <v/>
      </c>
    </row>
    <row r="786">
      <c r="A786" s="9">
        <f>IF(B786="","",ROW()-1)</f>
        <v/>
      </c>
      <c r="B786" s="10" t="n"/>
      <c r="C786" s="11" t="n"/>
      <c r="D786" s="11" t="n"/>
      <c r="E786" s="11" t="n"/>
      <c r="F786" s="11" t="n"/>
      <c r="G786" s="8" t="n"/>
      <c r="H786" s="12" t="n"/>
      <c r="I786" s="13" t="n"/>
      <c r="J786" s="14">
        <f>IF(OR(H786="",I786=""),"",H786*I786)</f>
        <v/>
      </c>
      <c r="K786" s="11" t="n"/>
      <c r="L786" s="9">
        <f>IF(B786="","",MONTH(B786))</f>
        <v/>
      </c>
      <c r="M786" s="9">
        <f>IF(B786="","",YEAR(B786))</f>
        <v/>
      </c>
    </row>
    <row r="787">
      <c r="A787" s="9">
        <f>IF(B787="","",ROW()-1)</f>
        <v/>
      </c>
      <c r="B787" s="10" t="n"/>
      <c r="C787" s="11" t="n"/>
      <c r="D787" s="11" t="n"/>
      <c r="E787" s="11" t="n"/>
      <c r="F787" s="11" t="n"/>
      <c r="G787" s="8" t="n"/>
      <c r="H787" s="12" t="n"/>
      <c r="I787" s="13" t="n"/>
      <c r="J787" s="14">
        <f>IF(OR(H787="",I787=""),"",H787*I787)</f>
        <v/>
      </c>
      <c r="K787" s="11" t="n"/>
      <c r="L787" s="9">
        <f>IF(B787="","",MONTH(B787))</f>
        <v/>
      </c>
      <c r="M787" s="9">
        <f>IF(B787="","",YEAR(B787))</f>
        <v/>
      </c>
    </row>
    <row r="788">
      <c r="A788" s="9">
        <f>IF(B788="","",ROW()-1)</f>
        <v/>
      </c>
      <c r="B788" s="10" t="n"/>
      <c r="C788" s="11" t="n"/>
      <c r="D788" s="11" t="n"/>
      <c r="E788" s="11" t="n"/>
      <c r="F788" s="11" t="n"/>
      <c r="G788" s="8" t="n"/>
      <c r="H788" s="12" t="n"/>
      <c r="I788" s="13" t="n"/>
      <c r="J788" s="14">
        <f>IF(OR(H788="",I788=""),"",H788*I788)</f>
        <v/>
      </c>
      <c r="K788" s="11" t="n"/>
      <c r="L788" s="9">
        <f>IF(B788="","",MONTH(B788))</f>
        <v/>
      </c>
      <c r="M788" s="9">
        <f>IF(B788="","",YEAR(B788))</f>
        <v/>
      </c>
    </row>
    <row r="789">
      <c r="A789" s="9">
        <f>IF(B789="","",ROW()-1)</f>
        <v/>
      </c>
      <c r="B789" s="10" t="n"/>
      <c r="C789" s="11" t="n"/>
      <c r="D789" s="11" t="n"/>
      <c r="E789" s="11" t="n"/>
      <c r="F789" s="11" t="n"/>
      <c r="G789" s="8" t="n"/>
      <c r="H789" s="12" t="n"/>
      <c r="I789" s="13" t="n"/>
      <c r="J789" s="14">
        <f>IF(OR(H789="",I789=""),"",H789*I789)</f>
        <v/>
      </c>
      <c r="K789" s="11" t="n"/>
      <c r="L789" s="9">
        <f>IF(B789="","",MONTH(B789))</f>
        <v/>
      </c>
      <c r="M789" s="9">
        <f>IF(B789="","",YEAR(B789))</f>
        <v/>
      </c>
    </row>
    <row r="790">
      <c r="A790" s="9">
        <f>IF(B790="","",ROW()-1)</f>
        <v/>
      </c>
      <c r="B790" s="10" t="n"/>
      <c r="C790" s="11" t="n"/>
      <c r="D790" s="11" t="n"/>
      <c r="E790" s="11" t="n"/>
      <c r="F790" s="11" t="n"/>
      <c r="G790" s="8" t="n"/>
      <c r="H790" s="12" t="n"/>
      <c r="I790" s="13" t="n"/>
      <c r="J790" s="14">
        <f>IF(OR(H790="",I790=""),"",H790*I790)</f>
        <v/>
      </c>
      <c r="K790" s="11" t="n"/>
      <c r="L790" s="9">
        <f>IF(B790="","",MONTH(B790))</f>
        <v/>
      </c>
      <c r="M790" s="9">
        <f>IF(B790="","",YEAR(B790))</f>
        <v/>
      </c>
    </row>
    <row r="791">
      <c r="A791" s="9">
        <f>IF(B791="","",ROW()-1)</f>
        <v/>
      </c>
      <c r="B791" s="10" t="n"/>
      <c r="C791" s="11" t="n"/>
      <c r="D791" s="11" t="n"/>
      <c r="E791" s="11" t="n"/>
      <c r="F791" s="11" t="n"/>
      <c r="G791" s="8" t="n"/>
      <c r="H791" s="12" t="n"/>
      <c r="I791" s="13" t="n"/>
      <c r="J791" s="14">
        <f>IF(OR(H791="",I791=""),"",H791*I791)</f>
        <v/>
      </c>
      <c r="K791" s="11" t="n"/>
      <c r="L791" s="9">
        <f>IF(B791="","",MONTH(B791))</f>
        <v/>
      </c>
      <c r="M791" s="9">
        <f>IF(B791="","",YEAR(B791))</f>
        <v/>
      </c>
    </row>
    <row r="792">
      <c r="A792" s="9">
        <f>IF(B792="","",ROW()-1)</f>
        <v/>
      </c>
      <c r="B792" s="10" t="n"/>
      <c r="C792" s="11" t="n"/>
      <c r="D792" s="11" t="n"/>
      <c r="E792" s="11" t="n"/>
      <c r="F792" s="11" t="n"/>
      <c r="G792" s="8" t="n"/>
      <c r="H792" s="12" t="n"/>
      <c r="I792" s="13" t="n"/>
      <c r="J792" s="14">
        <f>IF(OR(H792="",I792=""),"",H792*I792)</f>
        <v/>
      </c>
      <c r="K792" s="11" t="n"/>
      <c r="L792" s="9">
        <f>IF(B792="","",MONTH(B792))</f>
        <v/>
      </c>
      <c r="M792" s="9">
        <f>IF(B792="","",YEAR(B792))</f>
        <v/>
      </c>
    </row>
    <row r="793">
      <c r="A793" s="9">
        <f>IF(B793="","",ROW()-1)</f>
        <v/>
      </c>
      <c r="B793" s="10" t="n"/>
      <c r="C793" s="11" t="n"/>
      <c r="D793" s="11" t="n"/>
      <c r="E793" s="11" t="n"/>
      <c r="F793" s="11" t="n"/>
      <c r="G793" s="8" t="n"/>
      <c r="H793" s="12" t="n"/>
      <c r="I793" s="13" t="n"/>
      <c r="J793" s="14">
        <f>IF(OR(H793="",I793=""),"",H793*I793)</f>
        <v/>
      </c>
      <c r="K793" s="11" t="n"/>
      <c r="L793" s="9">
        <f>IF(B793="","",MONTH(B793))</f>
        <v/>
      </c>
      <c r="M793" s="9">
        <f>IF(B793="","",YEAR(B793))</f>
        <v/>
      </c>
    </row>
    <row r="794">
      <c r="A794" s="9">
        <f>IF(B794="","",ROW()-1)</f>
        <v/>
      </c>
      <c r="B794" s="10" t="n"/>
      <c r="C794" s="11" t="n"/>
      <c r="D794" s="11" t="n"/>
      <c r="E794" s="11" t="n"/>
      <c r="F794" s="11" t="n"/>
      <c r="G794" s="8" t="n"/>
      <c r="H794" s="12" t="n"/>
      <c r="I794" s="13" t="n"/>
      <c r="J794" s="14">
        <f>IF(OR(H794="",I794=""),"",H794*I794)</f>
        <v/>
      </c>
      <c r="K794" s="11" t="n"/>
      <c r="L794" s="9">
        <f>IF(B794="","",MONTH(B794))</f>
        <v/>
      </c>
      <c r="M794" s="9">
        <f>IF(B794="","",YEAR(B794))</f>
        <v/>
      </c>
    </row>
    <row r="795">
      <c r="A795" s="9">
        <f>IF(B795="","",ROW()-1)</f>
        <v/>
      </c>
      <c r="B795" s="10" t="n"/>
      <c r="C795" s="11" t="n"/>
      <c r="D795" s="11" t="n"/>
      <c r="E795" s="11" t="n"/>
      <c r="F795" s="11" t="n"/>
      <c r="G795" s="8" t="n"/>
      <c r="H795" s="12" t="n"/>
      <c r="I795" s="13" t="n"/>
      <c r="J795" s="14">
        <f>IF(OR(H795="",I795=""),"",H795*I795)</f>
        <v/>
      </c>
      <c r="K795" s="11" t="n"/>
      <c r="L795" s="9">
        <f>IF(B795="","",MONTH(B795))</f>
        <v/>
      </c>
      <c r="M795" s="9">
        <f>IF(B795="","",YEAR(B795))</f>
        <v/>
      </c>
    </row>
    <row r="796">
      <c r="A796" s="9">
        <f>IF(B796="","",ROW()-1)</f>
        <v/>
      </c>
      <c r="B796" s="10" t="n"/>
      <c r="C796" s="11" t="n"/>
      <c r="D796" s="11" t="n"/>
      <c r="E796" s="11" t="n"/>
      <c r="F796" s="11" t="n"/>
      <c r="G796" s="8" t="n"/>
      <c r="H796" s="12" t="n"/>
      <c r="I796" s="13" t="n"/>
      <c r="J796" s="14">
        <f>IF(OR(H796="",I796=""),"",H796*I796)</f>
        <v/>
      </c>
      <c r="K796" s="11" t="n"/>
      <c r="L796" s="9">
        <f>IF(B796="","",MONTH(B796))</f>
        <v/>
      </c>
      <c r="M796" s="9">
        <f>IF(B796="","",YEAR(B796))</f>
        <v/>
      </c>
    </row>
    <row r="797">
      <c r="A797" s="9">
        <f>IF(B797="","",ROW()-1)</f>
        <v/>
      </c>
      <c r="B797" s="10" t="n"/>
      <c r="C797" s="11" t="n"/>
      <c r="D797" s="11" t="n"/>
      <c r="E797" s="11" t="n"/>
      <c r="F797" s="11" t="n"/>
      <c r="G797" s="8" t="n"/>
      <c r="H797" s="12" t="n"/>
      <c r="I797" s="13" t="n"/>
      <c r="J797" s="14">
        <f>IF(OR(H797="",I797=""),"",H797*I797)</f>
        <v/>
      </c>
      <c r="K797" s="11" t="n"/>
      <c r="L797" s="9">
        <f>IF(B797="","",MONTH(B797))</f>
        <v/>
      </c>
      <c r="M797" s="9">
        <f>IF(B797="","",YEAR(B797))</f>
        <v/>
      </c>
    </row>
    <row r="798">
      <c r="A798" s="9">
        <f>IF(B798="","",ROW()-1)</f>
        <v/>
      </c>
      <c r="B798" s="10" t="n"/>
      <c r="C798" s="11" t="n"/>
      <c r="D798" s="11" t="n"/>
      <c r="E798" s="11" t="n"/>
      <c r="F798" s="11" t="n"/>
      <c r="G798" s="8" t="n"/>
      <c r="H798" s="12" t="n"/>
      <c r="I798" s="13" t="n"/>
      <c r="J798" s="14">
        <f>IF(OR(H798="",I798=""),"",H798*I798)</f>
        <v/>
      </c>
      <c r="K798" s="11" t="n"/>
      <c r="L798" s="9">
        <f>IF(B798="","",MONTH(B798))</f>
        <v/>
      </c>
      <c r="M798" s="9">
        <f>IF(B798="","",YEAR(B798))</f>
        <v/>
      </c>
    </row>
    <row r="799">
      <c r="A799" s="9">
        <f>IF(B799="","",ROW()-1)</f>
        <v/>
      </c>
      <c r="B799" s="10" t="n"/>
      <c r="C799" s="11" t="n"/>
      <c r="D799" s="11" t="n"/>
      <c r="E799" s="11" t="n"/>
      <c r="F799" s="11" t="n"/>
      <c r="G799" s="8" t="n"/>
      <c r="H799" s="12" t="n"/>
      <c r="I799" s="13" t="n"/>
      <c r="J799" s="14">
        <f>IF(OR(H799="",I799=""),"",H799*I799)</f>
        <v/>
      </c>
      <c r="K799" s="11" t="n"/>
      <c r="L799" s="9">
        <f>IF(B799="","",MONTH(B799))</f>
        <v/>
      </c>
      <c r="M799" s="9">
        <f>IF(B799="","",YEAR(B799))</f>
        <v/>
      </c>
    </row>
    <row r="800">
      <c r="A800" s="9">
        <f>IF(B800="","",ROW()-1)</f>
        <v/>
      </c>
      <c r="B800" s="10" t="n"/>
      <c r="C800" s="11" t="n"/>
      <c r="D800" s="11" t="n"/>
      <c r="E800" s="11" t="n"/>
      <c r="F800" s="11" t="n"/>
      <c r="G800" s="8" t="n"/>
      <c r="H800" s="12" t="n"/>
      <c r="I800" s="13" t="n"/>
      <c r="J800" s="14">
        <f>IF(OR(H800="",I800=""),"",H800*I800)</f>
        <v/>
      </c>
      <c r="K800" s="11" t="n"/>
      <c r="L800" s="9">
        <f>IF(B800="","",MONTH(B800))</f>
        <v/>
      </c>
      <c r="M800" s="9">
        <f>IF(B800="","",YEAR(B800))</f>
        <v/>
      </c>
    </row>
    <row r="801">
      <c r="A801" s="9">
        <f>IF(B801="","",ROW()-1)</f>
        <v/>
      </c>
      <c r="B801" s="10" t="n"/>
      <c r="C801" s="11" t="n"/>
      <c r="D801" s="11" t="n"/>
      <c r="E801" s="11" t="n"/>
      <c r="F801" s="11" t="n"/>
      <c r="G801" s="8" t="n"/>
      <c r="H801" s="12" t="n"/>
      <c r="I801" s="13" t="n"/>
      <c r="J801" s="14">
        <f>IF(OR(H801="",I801=""),"",H801*I801)</f>
        <v/>
      </c>
      <c r="K801" s="11" t="n"/>
      <c r="L801" s="9">
        <f>IF(B801="","",MONTH(B801))</f>
        <v/>
      </c>
      <c r="M801" s="9">
        <f>IF(B801="","",YEAR(B801))</f>
        <v/>
      </c>
    </row>
    <row r="802">
      <c r="A802" s="9">
        <f>IF(B802="","",ROW()-1)</f>
        <v/>
      </c>
      <c r="B802" s="10" t="n"/>
      <c r="C802" s="11" t="n"/>
      <c r="D802" s="11" t="n"/>
      <c r="E802" s="11" t="n"/>
      <c r="F802" s="11" t="n"/>
      <c r="G802" s="8" t="n"/>
      <c r="H802" s="12" t="n"/>
      <c r="I802" s="13" t="n"/>
      <c r="J802" s="14">
        <f>IF(OR(H802="",I802=""),"",H802*I802)</f>
        <v/>
      </c>
      <c r="K802" s="11" t="n"/>
      <c r="L802" s="9">
        <f>IF(B802="","",MONTH(B802))</f>
        <v/>
      </c>
      <c r="M802" s="9">
        <f>IF(B802="","",YEAR(B802))</f>
        <v/>
      </c>
    </row>
    <row r="803">
      <c r="A803" s="9">
        <f>IF(B803="","",ROW()-1)</f>
        <v/>
      </c>
      <c r="B803" s="10" t="n"/>
      <c r="C803" s="11" t="n"/>
      <c r="D803" s="11" t="n"/>
      <c r="E803" s="11" t="n"/>
      <c r="F803" s="11" t="n"/>
      <c r="G803" s="8" t="n"/>
      <c r="H803" s="12" t="n"/>
      <c r="I803" s="13" t="n"/>
      <c r="J803" s="14">
        <f>IF(OR(H803="",I803=""),"",H803*I803)</f>
        <v/>
      </c>
      <c r="K803" s="11" t="n"/>
      <c r="L803" s="9">
        <f>IF(B803="","",MONTH(B803))</f>
        <v/>
      </c>
      <c r="M803" s="9">
        <f>IF(B803="","",YEAR(B803))</f>
        <v/>
      </c>
    </row>
    <row r="804">
      <c r="A804" s="9">
        <f>IF(B804="","",ROW()-1)</f>
        <v/>
      </c>
      <c r="B804" s="10" t="n"/>
      <c r="C804" s="11" t="n"/>
      <c r="D804" s="11" t="n"/>
      <c r="E804" s="11" t="n"/>
      <c r="F804" s="11" t="n"/>
      <c r="G804" s="8" t="n"/>
      <c r="H804" s="12" t="n"/>
      <c r="I804" s="13" t="n"/>
      <c r="J804" s="14">
        <f>IF(OR(H804="",I804=""),"",H804*I804)</f>
        <v/>
      </c>
      <c r="K804" s="11" t="n"/>
      <c r="L804" s="9">
        <f>IF(B804="","",MONTH(B804))</f>
        <v/>
      </c>
      <c r="M804" s="9">
        <f>IF(B804="","",YEAR(B804))</f>
        <v/>
      </c>
    </row>
    <row r="805">
      <c r="A805" s="9">
        <f>IF(B805="","",ROW()-1)</f>
        <v/>
      </c>
      <c r="B805" s="10" t="n"/>
      <c r="C805" s="11" t="n"/>
      <c r="D805" s="11" t="n"/>
      <c r="E805" s="11" t="n"/>
      <c r="F805" s="11" t="n"/>
      <c r="G805" s="8" t="n"/>
      <c r="H805" s="12" t="n"/>
      <c r="I805" s="13" t="n"/>
      <c r="J805" s="14">
        <f>IF(OR(H805="",I805=""),"",H805*I805)</f>
        <v/>
      </c>
      <c r="K805" s="11" t="n"/>
      <c r="L805" s="9">
        <f>IF(B805="","",MONTH(B805))</f>
        <v/>
      </c>
      <c r="M805" s="9">
        <f>IF(B805="","",YEAR(B805))</f>
        <v/>
      </c>
    </row>
    <row r="806">
      <c r="A806" s="9">
        <f>IF(B806="","",ROW()-1)</f>
        <v/>
      </c>
      <c r="B806" s="10" t="n"/>
      <c r="C806" s="11" t="n"/>
      <c r="D806" s="11" t="n"/>
      <c r="E806" s="11" t="n"/>
      <c r="F806" s="11" t="n"/>
      <c r="G806" s="8" t="n"/>
      <c r="H806" s="12" t="n"/>
      <c r="I806" s="13" t="n"/>
      <c r="J806" s="14">
        <f>IF(OR(H806="",I806=""),"",H806*I806)</f>
        <v/>
      </c>
      <c r="K806" s="11" t="n"/>
      <c r="L806" s="9">
        <f>IF(B806="","",MONTH(B806))</f>
        <v/>
      </c>
      <c r="M806" s="9">
        <f>IF(B806="","",YEAR(B806))</f>
        <v/>
      </c>
    </row>
    <row r="807">
      <c r="A807" s="9">
        <f>IF(B807="","",ROW()-1)</f>
        <v/>
      </c>
      <c r="B807" s="10" t="n"/>
      <c r="C807" s="11" t="n"/>
      <c r="D807" s="11" t="n"/>
      <c r="E807" s="11" t="n"/>
      <c r="F807" s="11" t="n"/>
      <c r="G807" s="8" t="n"/>
      <c r="H807" s="12" t="n"/>
      <c r="I807" s="13" t="n"/>
      <c r="J807" s="14">
        <f>IF(OR(H807="",I807=""),"",H807*I807)</f>
        <v/>
      </c>
      <c r="K807" s="11" t="n"/>
      <c r="L807" s="9">
        <f>IF(B807="","",MONTH(B807))</f>
        <v/>
      </c>
      <c r="M807" s="9">
        <f>IF(B807="","",YEAR(B807))</f>
        <v/>
      </c>
    </row>
    <row r="808">
      <c r="A808" s="9">
        <f>IF(B808="","",ROW()-1)</f>
        <v/>
      </c>
      <c r="B808" s="10" t="n"/>
      <c r="C808" s="11" t="n"/>
      <c r="D808" s="11" t="n"/>
      <c r="E808" s="11" t="n"/>
      <c r="F808" s="11" t="n"/>
      <c r="G808" s="8" t="n"/>
      <c r="H808" s="12" t="n"/>
      <c r="I808" s="13" t="n"/>
      <c r="J808" s="14">
        <f>IF(OR(H808="",I808=""),"",H808*I808)</f>
        <v/>
      </c>
      <c r="K808" s="11" t="n"/>
      <c r="L808" s="9">
        <f>IF(B808="","",MONTH(B808))</f>
        <v/>
      </c>
      <c r="M808" s="9">
        <f>IF(B808="","",YEAR(B808))</f>
        <v/>
      </c>
    </row>
    <row r="809">
      <c r="A809" s="9">
        <f>IF(B809="","",ROW()-1)</f>
        <v/>
      </c>
      <c r="B809" s="10" t="n"/>
      <c r="C809" s="11" t="n"/>
      <c r="D809" s="11" t="n"/>
      <c r="E809" s="11" t="n"/>
      <c r="F809" s="11" t="n"/>
      <c r="G809" s="8" t="n"/>
      <c r="H809" s="12" t="n"/>
      <c r="I809" s="13" t="n"/>
      <c r="J809" s="14">
        <f>IF(OR(H809="",I809=""),"",H809*I809)</f>
        <v/>
      </c>
      <c r="K809" s="11" t="n"/>
      <c r="L809" s="9">
        <f>IF(B809="","",MONTH(B809))</f>
        <v/>
      </c>
      <c r="M809" s="9">
        <f>IF(B809="","",YEAR(B809))</f>
        <v/>
      </c>
    </row>
    <row r="810">
      <c r="A810" s="9">
        <f>IF(B810="","",ROW()-1)</f>
        <v/>
      </c>
      <c r="B810" s="10" t="n"/>
      <c r="C810" s="11" t="n"/>
      <c r="D810" s="11" t="n"/>
      <c r="E810" s="11" t="n"/>
      <c r="F810" s="11" t="n"/>
      <c r="G810" s="8" t="n"/>
      <c r="H810" s="12" t="n"/>
      <c r="I810" s="13" t="n"/>
      <c r="J810" s="14">
        <f>IF(OR(H810="",I810=""),"",H810*I810)</f>
        <v/>
      </c>
      <c r="K810" s="11" t="n"/>
      <c r="L810" s="9">
        <f>IF(B810="","",MONTH(B810))</f>
        <v/>
      </c>
      <c r="M810" s="9">
        <f>IF(B810="","",YEAR(B810))</f>
        <v/>
      </c>
    </row>
    <row r="811">
      <c r="A811" s="9">
        <f>IF(B811="","",ROW()-1)</f>
        <v/>
      </c>
      <c r="B811" s="10" t="n"/>
      <c r="C811" s="11" t="n"/>
      <c r="D811" s="11" t="n"/>
      <c r="E811" s="11" t="n"/>
      <c r="F811" s="11" t="n"/>
      <c r="G811" s="8" t="n"/>
      <c r="H811" s="12" t="n"/>
      <c r="I811" s="13" t="n"/>
      <c r="J811" s="14">
        <f>IF(OR(H811="",I811=""),"",H811*I811)</f>
        <v/>
      </c>
      <c r="K811" s="11" t="n"/>
      <c r="L811" s="9">
        <f>IF(B811="","",MONTH(B811))</f>
        <v/>
      </c>
      <c r="M811" s="9">
        <f>IF(B811="","",YEAR(B811))</f>
        <v/>
      </c>
    </row>
    <row r="812">
      <c r="A812" s="9">
        <f>IF(B812="","",ROW()-1)</f>
        <v/>
      </c>
      <c r="B812" s="10" t="n"/>
      <c r="C812" s="11" t="n"/>
      <c r="D812" s="11" t="n"/>
      <c r="E812" s="11" t="n"/>
      <c r="F812" s="11" t="n"/>
      <c r="G812" s="8" t="n"/>
      <c r="H812" s="12" t="n"/>
      <c r="I812" s="13" t="n"/>
      <c r="J812" s="14">
        <f>IF(OR(H812="",I812=""),"",H812*I812)</f>
        <v/>
      </c>
      <c r="K812" s="11" t="n"/>
      <c r="L812" s="9">
        <f>IF(B812="","",MONTH(B812))</f>
        <v/>
      </c>
      <c r="M812" s="9">
        <f>IF(B812="","",YEAR(B812))</f>
        <v/>
      </c>
    </row>
    <row r="813">
      <c r="A813" s="9">
        <f>IF(B813="","",ROW()-1)</f>
        <v/>
      </c>
      <c r="B813" s="10" t="n"/>
      <c r="C813" s="11" t="n"/>
      <c r="D813" s="11" t="n"/>
      <c r="E813" s="11" t="n"/>
      <c r="F813" s="11" t="n"/>
      <c r="G813" s="8" t="n"/>
      <c r="H813" s="12" t="n"/>
      <c r="I813" s="13" t="n"/>
      <c r="J813" s="14">
        <f>IF(OR(H813="",I813=""),"",H813*I813)</f>
        <v/>
      </c>
      <c r="K813" s="11" t="n"/>
      <c r="L813" s="9">
        <f>IF(B813="","",MONTH(B813))</f>
        <v/>
      </c>
      <c r="M813" s="9">
        <f>IF(B813="","",YEAR(B813))</f>
        <v/>
      </c>
    </row>
    <row r="814">
      <c r="A814" s="9">
        <f>IF(B814="","",ROW()-1)</f>
        <v/>
      </c>
      <c r="B814" s="10" t="n"/>
      <c r="C814" s="11" t="n"/>
      <c r="D814" s="11" t="n"/>
      <c r="E814" s="11" t="n"/>
      <c r="F814" s="11" t="n"/>
      <c r="G814" s="8" t="n"/>
      <c r="H814" s="12" t="n"/>
      <c r="I814" s="13" t="n"/>
      <c r="J814" s="14">
        <f>IF(OR(H814="",I814=""),"",H814*I814)</f>
        <v/>
      </c>
      <c r="K814" s="11" t="n"/>
      <c r="L814" s="9">
        <f>IF(B814="","",MONTH(B814))</f>
        <v/>
      </c>
      <c r="M814" s="9">
        <f>IF(B814="","",YEAR(B814))</f>
        <v/>
      </c>
    </row>
    <row r="815">
      <c r="A815" s="9">
        <f>IF(B815="","",ROW()-1)</f>
        <v/>
      </c>
      <c r="B815" s="10" t="n"/>
      <c r="C815" s="11" t="n"/>
      <c r="D815" s="11" t="n"/>
      <c r="E815" s="11" t="n"/>
      <c r="F815" s="11" t="n"/>
      <c r="G815" s="8" t="n"/>
      <c r="H815" s="12" t="n"/>
      <c r="I815" s="13" t="n"/>
      <c r="J815" s="14">
        <f>IF(OR(H815="",I815=""),"",H815*I815)</f>
        <v/>
      </c>
      <c r="K815" s="11" t="n"/>
      <c r="L815" s="9">
        <f>IF(B815="","",MONTH(B815))</f>
        <v/>
      </c>
      <c r="M815" s="9">
        <f>IF(B815="","",YEAR(B815))</f>
        <v/>
      </c>
    </row>
    <row r="816">
      <c r="A816" s="9">
        <f>IF(B816="","",ROW()-1)</f>
        <v/>
      </c>
      <c r="B816" s="10" t="n"/>
      <c r="C816" s="11" t="n"/>
      <c r="D816" s="11" t="n"/>
      <c r="E816" s="11" t="n"/>
      <c r="F816" s="11" t="n"/>
      <c r="G816" s="8" t="n"/>
      <c r="H816" s="12" t="n"/>
      <c r="I816" s="13" t="n"/>
      <c r="J816" s="14">
        <f>IF(OR(H816="",I816=""),"",H816*I816)</f>
        <v/>
      </c>
      <c r="K816" s="11" t="n"/>
      <c r="L816" s="9">
        <f>IF(B816="","",MONTH(B816))</f>
        <v/>
      </c>
      <c r="M816" s="9">
        <f>IF(B816="","",YEAR(B816))</f>
        <v/>
      </c>
    </row>
    <row r="817">
      <c r="A817" s="9">
        <f>IF(B817="","",ROW()-1)</f>
        <v/>
      </c>
      <c r="B817" s="10" t="n"/>
      <c r="C817" s="11" t="n"/>
      <c r="D817" s="11" t="n"/>
      <c r="E817" s="11" t="n"/>
      <c r="F817" s="11" t="n"/>
      <c r="G817" s="8" t="n"/>
      <c r="H817" s="12" t="n"/>
      <c r="I817" s="13" t="n"/>
      <c r="J817" s="14">
        <f>IF(OR(H817="",I817=""),"",H817*I817)</f>
        <v/>
      </c>
      <c r="K817" s="11" t="n"/>
      <c r="L817" s="9">
        <f>IF(B817="","",MONTH(B817))</f>
        <v/>
      </c>
      <c r="M817" s="9">
        <f>IF(B817="","",YEAR(B817))</f>
        <v/>
      </c>
    </row>
    <row r="818">
      <c r="A818" s="9">
        <f>IF(B818="","",ROW()-1)</f>
        <v/>
      </c>
      <c r="B818" s="10" t="n"/>
      <c r="C818" s="11" t="n"/>
      <c r="D818" s="11" t="n"/>
      <c r="E818" s="11" t="n"/>
      <c r="F818" s="11" t="n"/>
      <c r="G818" s="8" t="n"/>
      <c r="H818" s="12" t="n"/>
      <c r="I818" s="13" t="n"/>
      <c r="J818" s="14">
        <f>IF(OR(H818="",I818=""),"",H818*I818)</f>
        <v/>
      </c>
      <c r="K818" s="11" t="n"/>
      <c r="L818" s="9">
        <f>IF(B818="","",MONTH(B818))</f>
        <v/>
      </c>
      <c r="M818" s="9">
        <f>IF(B818="","",YEAR(B818))</f>
        <v/>
      </c>
    </row>
    <row r="819">
      <c r="A819" s="9">
        <f>IF(B819="","",ROW()-1)</f>
        <v/>
      </c>
      <c r="B819" s="10" t="n"/>
      <c r="C819" s="11" t="n"/>
      <c r="D819" s="11" t="n"/>
      <c r="E819" s="11" t="n"/>
      <c r="F819" s="11" t="n"/>
      <c r="G819" s="8" t="n"/>
      <c r="H819" s="12" t="n"/>
      <c r="I819" s="13" t="n"/>
      <c r="J819" s="14">
        <f>IF(OR(H819="",I819=""),"",H819*I819)</f>
        <v/>
      </c>
      <c r="K819" s="11" t="n"/>
      <c r="L819" s="9">
        <f>IF(B819="","",MONTH(B819))</f>
        <v/>
      </c>
      <c r="M819" s="9">
        <f>IF(B819="","",YEAR(B819))</f>
        <v/>
      </c>
    </row>
    <row r="820">
      <c r="A820" s="9">
        <f>IF(B820="","",ROW()-1)</f>
        <v/>
      </c>
      <c r="B820" s="10" t="n"/>
      <c r="C820" s="11" t="n"/>
      <c r="D820" s="11" t="n"/>
      <c r="E820" s="11" t="n"/>
      <c r="F820" s="11" t="n"/>
      <c r="G820" s="8" t="n"/>
      <c r="H820" s="12" t="n"/>
      <c r="I820" s="13" t="n"/>
      <c r="J820" s="14">
        <f>IF(OR(H820="",I820=""),"",H820*I820)</f>
        <v/>
      </c>
      <c r="K820" s="11" t="n"/>
      <c r="L820" s="9">
        <f>IF(B820="","",MONTH(B820))</f>
        <v/>
      </c>
      <c r="M820" s="9">
        <f>IF(B820="","",YEAR(B820))</f>
        <v/>
      </c>
    </row>
    <row r="821">
      <c r="A821" s="9">
        <f>IF(B821="","",ROW()-1)</f>
        <v/>
      </c>
      <c r="B821" s="10" t="n"/>
      <c r="C821" s="11" t="n"/>
      <c r="D821" s="11" t="n"/>
      <c r="E821" s="11" t="n"/>
      <c r="F821" s="11" t="n"/>
      <c r="G821" s="8" t="n"/>
      <c r="H821" s="12" t="n"/>
      <c r="I821" s="13" t="n"/>
      <c r="J821" s="14">
        <f>IF(OR(H821="",I821=""),"",H821*I821)</f>
        <v/>
      </c>
      <c r="K821" s="11" t="n"/>
      <c r="L821" s="9">
        <f>IF(B821="","",MONTH(B821))</f>
        <v/>
      </c>
      <c r="M821" s="9">
        <f>IF(B821="","",YEAR(B821))</f>
        <v/>
      </c>
    </row>
    <row r="822">
      <c r="A822" s="9">
        <f>IF(B822="","",ROW()-1)</f>
        <v/>
      </c>
      <c r="B822" s="10" t="n"/>
      <c r="C822" s="11" t="n"/>
      <c r="D822" s="11" t="n"/>
      <c r="E822" s="11" t="n"/>
      <c r="F822" s="11" t="n"/>
      <c r="G822" s="8" t="n"/>
      <c r="H822" s="12" t="n"/>
      <c r="I822" s="13" t="n"/>
      <c r="J822" s="14">
        <f>IF(OR(H822="",I822=""),"",H822*I822)</f>
        <v/>
      </c>
      <c r="K822" s="11" t="n"/>
      <c r="L822" s="9">
        <f>IF(B822="","",MONTH(B822))</f>
        <v/>
      </c>
      <c r="M822" s="9">
        <f>IF(B822="","",YEAR(B822))</f>
        <v/>
      </c>
    </row>
    <row r="823">
      <c r="A823" s="9">
        <f>IF(B823="","",ROW()-1)</f>
        <v/>
      </c>
      <c r="B823" s="10" t="n"/>
      <c r="C823" s="11" t="n"/>
      <c r="D823" s="11" t="n"/>
      <c r="E823" s="11" t="n"/>
      <c r="F823" s="11" t="n"/>
      <c r="G823" s="8" t="n"/>
      <c r="H823" s="12" t="n"/>
      <c r="I823" s="13" t="n"/>
      <c r="J823" s="14">
        <f>IF(OR(H823="",I823=""),"",H823*I823)</f>
        <v/>
      </c>
      <c r="K823" s="11" t="n"/>
      <c r="L823" s="9">
        <f>IF(B823="","",MONTH(B823))</f>
        <v/>
      </c>
      <c r="M823" s="9">
        <f>IF(B823="","",YEAR(B823))</f>
        <v/>
      </c>
    </row>
    <row r="824">
      <c r="A824" s="9">
        <f>IF(B824="","",ROW()-1)</f>
        <v/>
      </c>
      <c r="B824" s="10" t="n"/>
      <c r="C824" s="11" t="n"/>
      <c r="D824" s="11" t="n"/>
      <c r="E824" s="11" t="n"/>
      <c r="F824" s="11" t="n"/>
      <c r="G824" s="8" t="n"/>
      <c r="H824" s="12" t="n"/>
      <c r="I824" s="13" t="n"/>
      <c r="J824" s="14">
        <f>IF(OR(H824="",I824=""),"",H824*I824)</f>
        <v/>
      </c>
      <c r="K824" s="11" t="n"/>
      <c r="L824" s="9">
        <f>IF(B824="","",MONTH(B824))</f>
        <v/>
      </c>
      <c r="M824" s="9">
        <f>IF(B824="","",YEAR(B824))</f>
        <v/>
      </c>
    </row>
    <row r="825">
      <c r="A825" s="9">
        <f>IF(B825="","",ROW()-1)</f>
        <v/>
      </c>
      <c r="B825" s="10" t="n"/>
      <c r="C825" s="11" t="n"/>
      <c r="D825" s="11" t="n"/>
      <c r="E825" s="11" t="n"/>
      <c r="F825" s="11" t="n"/>
      <c r="G825" s="8" t="n"/>
      <c r="H825" s="12" t="n"/>
      <c r="I825" s="13" t="n"/>
      <c r="J825" s="14">
        <f>IF(OR(H825="",I825=""),"",H825*I825)</f>
        <v/>
      </c>
      <c r="K825" s="11" t="n"/>
      <c r="L825" s="9">
        <f>IF(B825="","",MONTH(B825))</f>
        <v/>
      </c>
      <c r="M825" s="9">
        <f>IF(B825="","",YEAR(B825))</f>
        <v/>
      </c>
    </row>
    <row r="826">
      <c r="A826" s="9">
        <f>IF(B826="","",ROW()-1)</f>
        <v/>
      </c>
      <c r="B826" s="10" t="n"/>
      <c r="C826" s="11" t="n"/>
      <c r="D826" s="11" t="n"/>
      <c r="E826" s="11" t="n"/>
      <c r="F826" s="11" t="n"/>
      <c r="G826" s="8" t="n"/>
      <c r="H826" s="12" t="n"/>
      <c r="I826" s="13" t="n"/>
      <c r="J826" s="14">
        <f>IF(OR(H826="",I826=""),"",H826*I826)</f>
        <v/>
      </c>
      <c r="K826" s="11" t="n"/>
      <c r="L826" s="9">
        <f>IF(B826="","",MONTH(B826))</f>
        <v/>
      </c>
      <c r="M826" s="9">
        <f>IF(B826="","",YEAR(B826))</f>
        <v/>
      </c>
    </row>
    <row r="827">
      <c r="A827" s="9">
        <f>IF(B827="","",ROW()-1)</f>
        <v/>
      </c>
      <c r="B827" s="10" t="n"/>
      <c r="C827" s="11" t="n"/>
      <c r="D827" s="11" t="n"/>
      <c r="E827" s="11" t="n"/>
      <c r="F827" s="11" t="n"/>
      <c r="G827" s="8" t="n"/>
      <c r="H827" s="12" t="n"/>
      <c r="I827" s="13" t="n"/>
      <c r="J827" s="14">
        <f>IF(OR(H827="",I827=""),"",H827*I827)</f>
        <v/>
      </c>
      <c r="K827" s="11" t="n"/>
      <c r="L827" s="9">
        <f>IF(B827="","",MONTH(B827))</f>
        <v/>
      </c>
      <c r="M827" s="9">
        <f>IF(B827="","",YEAR(B827))</f>
        <v/>
      </c>
    </row>
    <row r="828">
      <c r="A828" s="9">
        <f>IF(B828="","",ROW()-1)</f>
        <v/>
      </c>
      <c r="B828" s="10" t="n"/>
      <c r="C828" s="11" t="n"/>
      <c r="D828" s="11" t="n"/>
      <c r="E828" s="11" t="n"/>
      <c r="F828" s="11" t="n"/>
      <c r="G828" s="8" t="n"/>
      <c r="H828" s="12" t="n"/>
      <c r="I828" s="13" t="n"/>
      <c r="J828" s="14">
        <f>IF(OR(H828="",I828=""),"",H828*I828)</f>
        <v/>
      </c>
      <c r="K828" s="11" t="n"/>
      <c r="L828" s="9">
        <f>IF(B828="","",MONTH(B828))</f>
        <v/>
      </c>
      <c r="M828" s="9">
        <f>IF(B828="","",YEAR(B828))</f>
        <v/>
      </c>
    </row>
    <row r="829">
      <c r="A829" s="9">
        <f>IF(B829="","",ROW()-1)</f>
        <v/>
      </c>
      <c r="B829" s="10" t="n"/>
      <c r="C829" s="11" t="n"/>
      <c r="D829" s="11" t="n"/>
      <c r="E829" s="11" t="n"/>
      <c r="F829" s="11" t="n"/>
      <c r="G829" s="8" t="n"/>
      <c r="H829" s="12" t="n"/>
      <c r="I829" s="13" t="n"/>
      <c r="J829" s="14">
        <f>IF(OR(H829="",I829=""),"",H829*I829)</f>
        <v/>
      </c>
      <c r="K829" s="11" t="n"/>
      <c r="L829" s="9">
        <f>IF(B829="","",MONTH(B829))</f>
        <v/>
      </c>
      <c r="M829" s="9">
        <f>IF(B829="","",YEAR(B829))</f>
        <v/>
      </c>
    </row>
    <row r="830">
      <c r="A830" s="9">
        <f>IF(B830="","",ROW()-1)</f>
        <v/>
      </c>
      <c r="B830" s="10" t="n"/>
      <c r="C830" s="11" t="n"/>
      <c r="D830" s="11" t="n"/>
      <c r="E830" s="11" t="n"/>
      <c r="F830" s="11" t="n"/>
      <c r="G830" s="8" t="n"/>
      <c r="H830" s="12" t="n"/>
      <c r="I830" s="13" t="n"/>
      <c r="J830" s="14">
        <f>IF(OR(H830="",I830=""),"",H830*I830)</f>
        <v/>
      </c>
      <c r="K830" s="11" t="n"/>
      <c r="L830" s="9">
        <f>IF(B830="","",MONTH(B830))</f>
        <v/>
      </c>
      <c r="M830" s="9">
        <f>IF(B830="","",YEAR(B830))</f>
        <v/>
      </c>
    </row>
    <row r="831">
      <c r="A831" s="9">
        <f>IF(B831="","",ROW()-1)</f>
        <v/>
      </c>
      <c r="B831" s="10" t="n"/>
      <c r="C831" s="11" t="n"/>
      <c r="D831" s="11" t="n"/>
      <c r="E831" s="11" t="n"/>
      <c r="F831" s="11" t="n"/>
      <c r="G831" s="8" t="n"/>
      <c r="H831" s="12" t="n"/>
      <c r="I831" s="13" t="n"/>
      <c r="J831" s="14">
        <f>IF(OR(H831="",I831=""),"",H831*I831)</f>
        <v/>
      </c>
      <c r="K831" s="11" t="n"/>
      <c r="L831" s="9">
        <f>IF(B831="","",MONTH(B831))</f>
        <v/>
      </c>
      <c r="M831" s="9">
        <f>IF(B831="","",YEAR(B831))</f>
        <v/>
      </c>
    </row>
    <row r="832">
      <c r="A832" s="9">
        <f>IF(B832="","",ROW()-1)</f>
        <v/>
      </c>
      <c r="B832" s="10" t="n"/>
      <c r="C832" s="11" t="n"/>
      <c r="D832" s="11" t="n"/>
      <c r="E832" s="11" t="n"/>
      <c r="F832" s="11" t="n"/>
      <c r="G832" s="8" t="n"/>
      <c r="H832" s="12" t="n"/>
      <c r="I832" s="13" t="n"/>
      <c r="J832" s="14">
        <f>IF(OR(H832="",I832=""),"",H832*I832)</f>
        <v/>
      </c>
      <c r="K832" s="11" t="n"/>
      <c r="L832" s="9">
        <f>IF(B832="","",MONTH(B832))</f>
        <v/>
      </c>
      <c r="M832" s="9">
        <f>IF(B832="","",YEAR(B832))</f>
        <v/>
      </c>
    </row>
    <row r="833">
      <c r="A833" s="9">
        <f>IF(B833="","",ROW()-1)</f>
        <v/>
      </c>
      <c r="B833" s="10" t="n"/>
      <c r="C833" s="11" t="n"/>
      <c r="D833" s="11" t="n"/>
      <c r="E833" s="11" t="n"/>
      <c r="F833" s="11" t="n"/>
      <c r="G833" s="8" t="n"/>
      <c r="H833" s="12" t="n"/>
      <c r="I833" s="13" t="n"/>
      <c r="J833" s="14">
        <f>IF(OR(H833="",I833=""),"",H833*I833)</f>
        <v/>
      </c>
      <c r="K833" s="11" t="n"/>
      <c r="L833" s="9">
        <f>IF(B833="","",MONTH(B833))</f>
        <v/>
      </c>
      <c r="M833" s="9">
        <f>IF(B833="","",YEAR(B833))</f>
        <v/>
      </c>
    </row>
    <row r="834">
      <c r="A834" s="9">
        <f>IF(B834="","",ROW()-1)</f>
        <v/>
      </c>
      <c r="B834" s="10" t="n"/>
      <c r="C834" s="11" t="n"/>
      <c r="D834" s="11" t="n"/>
      <c r="E834" s="11" t="n"/>
      <c r="F834" s="11" t="n"/>
      <c r="G834" s="8" t="n"/>
      <c r="H834" s="12" t="n"/>
      <c r="I834" s="13" t="n"/>
      <c r="J834" s="14">
        <f>IF(OR(H834="",I834=""),"",H834*I834)</f>
        <v/>
      </c>
      <c r="K834" s="11" t="n"/>
      <c r="L834" s="9">
        <f>IF(B834="","",MONTH(B834))</f>
        <v/>
      </c>
      <c r="M834" s="9">
        <f>IF(B834="","",YEAR(B834))</f>
        <v/>
      </c>
    </row>
    <row r="835">
      <c r="A835" s="9">
        <f>IF(B835="","",ROW()-1)</f>
        <v/>
      </c>
      <c r="B835" s="10" t="n"/>
      <c r="C835" s="11" t="n"/>
      <c r="D835" s="11" t="n"/>
      <c r="E835" s="11" t="n"/>
      <c r="F835" s="11" t="n"/>
      <c r="G835" s="8" t="n"/>
      <c r="H835" s="12" t="n"/>
      <c r="I835" s="13" t="n"/>
      <c r="J835" s="14">
        <f>IF(OR(H835="",I835=""),"",H835*I835)</f>
        <v/>
      </c>
      <c r="K835" s="11" t="n"/>
      <c r="L835" s="9">
        <f>IF(B835="","",MONTH(B835))</f>
        <v/>
      </c>
      <c r="M835" s="9">
        <f>IF(B835="","",YEAR(B835))</f>
        <v/>
      </c>
    </row>
    <row r="836">
      <c r="A836" s="9">
        <f>IF(B836="","",ROW()-1)</f>
        <v/>
      </c>
      <c r="B836" s="10" t="n"/>
      <c r="C836" s="11" t="n"/>
      <c r="D836" s="11" t="n"/>
      <c r="E836" s="11" t="n"/>
      <c r="F836" s="11" t="n"/>
      <c r="G836" s="8" t="n"/>
      <c r="H836" s="12" t="n"/>
      <c r="I836" s="13" t="n"/>
      <c r="J836" s="14">
        <f>IF(OR(H836="",I836=""),"",H836*I836)</f>
        <v/>
      </c>
      <c r="K836" s="11" t="n"/>
      <c r="L836" s="9">
        <f>IF(B836="","",MONTH(B836))</f>
        <v/>
      </c>
      <c r="M836" s="9">
        <f>IF(B836="","",YEAR(B836))</f>
        <v/>
      </c>
    </row>
    <row r="837">
      <c r="A837" s="9">
        <f>IF(B837="","",ROW()-1)</f>
        <v/>
      </c>
      <c r="B837" s="10" t="n"/>
      <c r="C837" s="11" t="n"/>
      <c r="D837" s="11" t="n"/>
      <c r="E837" s="11" t="n"/>
      <c r="F837" s="11" t="n"/>
      <c r="G837" s="8" t="n"/>
      <c r="H837" s="12" t="n"/>
      <c r="I837" s="13" t="n"/>
      <c r="J837" s="14">
        <f>IF(OR(H837="",I837=""),"",H837*I837)</f>
        <v/>
      </c>
      <c r="K837" s="11" t="n"/>
      <c r="L837" s="9">
        <f>IF(B837="","",MONTH(B837))</f>
        <v/>
      </c>
      <c r="M837" s="9">
        <f>IF(B837="","",YEAR(B837))</f>
        <v/>
      </c>
    </row>
    <row r="838">
      <c r="A838" s="9">
        <f>IF(B838="","",ROW()-1)</f>
        <v/>
      </c>
      <c r="B838" s="10" t="n"/>
      <c r="C838" s="11" t="n"/>
      <c r="D838" s="11" t="n"/>
      <c r="E838" s="11" t="n"/>
      <c r="F838" s="11" t="n"/>
      <c r="G838" s="8" t="n"/>
      <c r="H838" s="12" t="n"/>
      <c r="I838" s="13" t="n"/>
      <c r="J838" s="14">
        <f>IF(OR(H838="",I838=""),"",H838*I838)</f>
        <v/>
      </c>
      <c r="K838" s="11" t="n"/>
      <c r="L838" s="9">
        <f>IF(B838="","",MONTH(B838))</f>
        <v/>
      </c>
      <c r="M838" s="9">
        <f>IF(B838="","",YEAR(B838))</f>
        <v/>
      </c>
    </row>
    <row r="839">
      <c r="A839" s="9">
        <f>IF(B839="","",ROW()-1)</f>
        <v/>
      </c>
      <c r="B839" s="10" t="n"/>
      <c r="C839" s="11" t="n"/>
      <c r="D839" s="11" t="n"/>
      <c r="E839" s="11" t="n"/>
      <c r="F839" s="11" t="n"/>
      <c r="G839" s="8" t="n"/>
      <c r="H839" s="12" t="n"/>
      <c r="I839" s="13" t="n"/>
      <c r="J839" s="14">
        <f>IF(OR(H839="",I839=""),"",H839*I839)</f>
        <v/>
      </c>
      <c r="K839" s="11" t="n"/>
      <c r="L839" s="9">
        <f>IF(B839="","",MONTH(B839))</f>
        <v/>
      </c>
      <c r="M839" s="9">
        <f>IF(B839="","",YEAR(B839))</f>
        <v/>
      </c>
    </row>
    <row r="840">
      <c r="A840" s="9">
        <f>IF(B840="","",ROW()-1)</f>
        <v/>
      </c>
      <c r="B840" s="10" t="n"/>
      <c r="C840" s="11" t="n"/>
      <c r="D840" s="11" t="n"/>
      <c r="E840" s="11" t="n"/>
      <c r="F840" s="11" t="n"/>
      <c r="G840" s="8" t="n"/>
      <c r="H840" s="12" t="n"/>
      <c r="I840" s="13" t="n"/>
      <c r="J840" s="14">
        <f>IF(OR(H840="",I840=""),"",H840*I840)</f>
        <v/>
      </c>
      <c r="K840" s="11" t="n"/>
      <c r="L840" s="9">
        <f>IF(B840="","",MONTH(B840))</f>
        <v/>
      </c>
      <c r="M840" s="9">
        <f>IF(B840="","",YEAR(B840))</f>
        <v/>
      </c>
    </row>
    <row r="841">
      <c r="A841" s="9">
        <f>IF(B841="","",ROW()-1)</f>
        <v/>
      </c>
      <c r="B841" s="10" t="n"/>
      <c r="C841" s="11" t="n"/>
      <c r="D841" s="11" t="n"/>
      <c r="E841" s="11" t="n"/>
      <c r="F841" s="11" t="n"/>
      <c r="G841" s="8" t="n"/>
      <c r="H841" s="12" t="n"/>
      <c r="I841" s="13" t="n"/>
      <c r="J841" s="14">
        <f>IF(OR(H841="",I841=""),"",H841*I841)</f>
        <v/>
      </c>
      <c r="K841" s="11" t="n"/>
      <c r="L841" s="9">
        <f>IF(B841="","",MONTH(B841))</f>
        <v/>
      </c>
      <c r="M841" s="9">
        <f>IF(B841="","",YEAR(B841))</f>
        <v/>
      </c>
    </row>
    <row r="842">
      <c r="A842" s="9">
        <f>IF(B842="","",ROW()-1)</f>
        <v/>
      </c>
      <c r="B842" s="10" t="n"/>
      <c r="C842" s="11" t="n"/>
      <c r="D842" s="11" t="n"/>
      <c r="E842" s="11" t="n"/>
      <c r="F842" s="11" t="n"/>
      <c r="G842" s="8" t="n"/>
      <c r="H842" s="12" t="n"/>
      <c r="I842" s="13" t="n"/>
      <c r="J842" s="14">
        <f>IF(OR(H842="",I842=""),"",H842*I842)</f>
        <v/>
      </c>
      <c r="K842" s="11" t="n"/>
      <c r="L842" s="9">
        <f>IF(B842="","",MONTH(B842))</f>
        <v/>
      </c>
      <c r="M842" s="9">
        <f>IF(B842="","",YEAR(B842))</f>
        <v/>
      </c>
    </row>
    <row r="843">
      <c r="A843" s="9">
        <f>IF(B843="","",ROW()-1)</f>
        <v/>
      </c>
      <c r="B843" s="10" t="n"/>
      <c r="C843" s="11" t="n"/>
      <c r="D843" s="11" t="n"/>
      <c r="E843" s="11" t="n"/>
      <c r="F843" s="11" t="n"/>
      <c r="G843" s="8" t="n"/>
      <c r="H843" s="12" t="n"/>
      <c r="I843" s="13" t="n"/>
      <c r="J843" s="14">
        <f>IF(OR(H843="",I843=""),"",H843*I843)</f>
        <v/>
      </c>
      <c r="K843" s="11" t="n"/>
      <c r="L843" s="9">
        <f>IF(B843="","",MONTH(B843))</f>
        <v/>
      </c>
      <c r="M843" s="9">
        <f>IF(B843="","",YEAR(B843))</f>
        <v/>
      </c>
    </row>
    <row r="844">
      <c r="A844" s="9">
        <f>IF(B844="","",ROW()-1)</f>
        <v/>
      </c>
      <c r="B844" s="10" t="n"/>
      <c r="C844" s="11" t="n"/>
      <c r="D844" s="11" t="n"/>
      <c r="E844" s="11" t="n"/>
      <c r="F844" s="11" t="n"/>
      <c r="G844" s="8" t="n"/>
      <c r="H844" s="12" t="n"/>
      <c r="I844" s="13" t="n"/>
      <c r="J844" s="14">
        <f>IF(OR(H844="",I844=""),"",H844*I844)</f>
        <v/>
      </c>
      <c r="K844" s="11" t="n"/>
      <c r="L844" s="9">
        <f>IF(B844="","",MONTH(B844))</f>
        <v/>
      </c>
      <c r="M844" s="9">
        <f>IF(B844="","",YEAR(B844))</f>
        <v/>
      </c>
    </row>
    <row r="845">
      <c r="A845" s="9">
        <f>IF(B845="","",ROW()-1)</f>
        <v/>
      </c>
      <c r="B845" s="10" t="n"/>
      <c r="C845" s="11" t="n"/>
      <c r="D845" s="11" t="n"/>
      <c r="E845" s="11" t="n"/>
      <c r="F845" s="11" t="n"/>
      <c r="G845" s="8" t="n"/>
      <c r="H845" s="12" t="n"/>
      <c r="I845" s="13" t="n"/>
      <c r="J845" s="14">
        <f>IF(OR(H845="",I845=""),"",H845*I845)</f>
        <v/>
      </c>
      <c r="K845" s="11" t="n"/>
      <c r="L845" s="9">
        <f>IF(B845="","",MONTH(B845))</f>
        <v/>
      </c>
      <c r="M845" s="9">
        <f>IF(B845="","",YEAR(B845))</f>
        <v/>
      </c>
    </row>
    <row r="846">
      <c r="A846" s="9">
        <f>IF(B846="","",ROW()-1)</f>
        <v/>
      </c>
      <c r="B846" s="10" t="n"/>
      <c r="C846" s="11" t="n"/>
      <c r="D846" s="11" t="n"/>
      <c r="E846" s="11" t="n"/>
      <c r="F846" s="11" t="n"/>
      <c r="G846" s="8" t="n"/>
      <c r="H846" s="12" t="n"/>
      <c r="I846" s="13" t="n"/>
      <c r="J846" s="14">
        <f>IF(OR(H846="",I846=""),"",H846*I846)</f>
        <v/>
      </c>
      <c r="K846" s="11" t="n"/>
      <c r="L846" s="9">
        <f>IF(B846="","",MONTH(B846))</f>
        <v/>
      </c>
      <c r="M846" s="9">
        <f>IF(B846="","",YEAR(B846))</f>
        <v/>
      </c>
    </row>
    <row r="847">
      <c r="A847" s="9">
        <f>IF(B847="","",ROW()-1)</f>
        <v/>
      </c>
      <c r="B847" s="10" t="n"/>
      <c r="C847" s="11" t="n"/>
      <c r="D847" s="11" t="n"/>
      <c r="E847" s="11" t="n"/>
      <c r="F847" s="11" t="n"/>
      <c r="G847" s="8" t="n"/>
      <c r="H847" s="12" t="n"/>
      <c r="I847" s="13" t="n"/>
      <c r="J847" s="14">
        <f>IF(OR(H847="",I847=""),"",H847*I847)</f>
        <v/>
      </c>
      <c r="K847" s="11" t="n"/>
      <c r="L847" s="9">
        <f>IF(B847="","",MONTH(B847))</f>
        <v/>
      </c>
      <c r="M847" s="9">
        <f>IF(B847="","",YEAR(B847))</f>
        <v/>
      </c>
    </row>
    <row r="848">
      <c r="A848" s="9">
        <f>IF(B848="","",ROW()-1)</f>
        <v/>
      </c>
      <c r="B848" s="10" t="n"/>
      <c r="C848" s="11" t="n"/>
      <c r="D848" s="11" t="n"/>
      <c r="E848" s="11" t="n"/>
      <c r="F848" s="11" t="n"/>
      <c r="G848" s="8" t="n"/>
      <c r="H848" s="12" t="n"/>
      <c r="I848" s="13" t="n"/>
      <c r="J848" s="14">
        <f>IF(OR(H848="",I848=""),"",H848*I848)</f>
        <v/>
      </c>
      <c r="K848" s="11" t="n"/>
      <c r="L848" s="9">
        <f>IF(B848="","",MONTH(B848))</f>
        <v/>
      </c>
      <c r="M848" s="9">
        <f>IF(B848="","",YEAR(B848))</f>
        <v/>
      </c>
    </row>
    <row r="849">
      <c r="A849" s="9">
        <f>IF(B849="","",ROW()-1)</f>
        <v/>
      </c>
      <c r="B849" s="10" t="n"/>
      <c r="C849" s="11" t="n"/>
      <c r="D849" s="11" t="n"/>
      <c r="E849" s="11" t="n"/>
      <c r="F849" s="11" t="n"/>
      <c r="G849" s="8" t="n"/>
      <c r="H849" s="12" t="n"/>
      <c r="I849" s="13" t="n"/>
      <c r="J849" s="14">
        <f>IF(OR(H849="",I849=""),"",H849*I849)</f>
        <v/>
      </c>
      <c r="K849" s="11" t="n"/>
      <c r="L849" s="9">
        <f>IF(B849="","",MONTH(B849))</f>
        <v/>
      </c>
      <c r="M849" s="9">
        <f>IF(B849="","",YEAR(B849))</f>
        <v/>
      </c>
    </row>
    <row r="850">
      <c r="A850" s="9">
        <f>IF(B850="","",ROW()-1)</f>
        <v/>
      </c>
      <c r="B850" s="10" t="n"/>
      <c r="C850" s="11" t="n"/>
      <c r="D850" s="11" t="n"/>
      <c r="E850" s="11" t="n"/>
      <c r="F850" s="11" t="n"/>
      <c r="G850" s="8" t="n"/>
      <c r="H850" s="12" t="n"/>
      <c r="I850" s="13" t="n"/>
      <c r="J850" s="14">
        <f>IF(OR(H850="",I850=""),"",H850*I850)</f>
        <v/>
      </c>
      <c r="K850" s="11" t="n"/>
      <c r="L850" s="9">
        <f>IF(B850="","",MONTH(B850))</f>
        <v/>
      </c>
      <c r="M850" s="9">
        <f>IF(B850="","",YEAR(B850))</f>
        <v/>
      </c>
    </row>
    <row r="851">
      <c r="A851" s="9">
        <f>IF(B851="","",ROW()-1)</f>
        <v/>
      </c>
      <c r="B851" s="10" t="n"/>
      <c r="C851" s="11" t="n"/>
      <c r="D851" s="11" t="n"/>
      <c r="E851" s="11" t="n"/>
      <c r="F851" s="11" t="n"/>
      <c r="G851" s="8" t="n"/>
      <c r="H851" s="12" t="n"/>
      <c r="I851" s="13" t="n"/>
      <c r="J851" s="14">
        <f>IF(OR(H851="",I851=""),"",H851*I851)</f>
        <v/>
      </c>
      <c r="K851" s="11" t="n"/>
      <c r="L851" s="9">
        <f>IF(B851="","",MONTH(B851))</f>
        <v/>
      </c>
      <c r="M851" s="9">
        <f>IF(B851="","",YEAR(B851))</f>
        <v/>
      </c>
    </row>
    <row r="852">
      <c r="A852" s="9">
        <f>IF(B852="","",ROW()-1)</f>
        <v/>
      </c>
      <c r="B852" s="10" t="n"/>
      <c r="C852" s="11" t="n"/>
      <c r="D852" s="11" t="n"/>
      <c r="E852" s="11" t="n"/>
      <c r="F852" s="11" t="n"/>
      <c r="G852" s="8" t="n"/>
      <c r="H852" s="12" t="n"/>
      <c r="I852" s="13" t="n"/>
      <c r="J852" s="14">
        <f>IF(OR(H852="",I852=""),"",H852*I852)</f>
        <v/>
      </c>
      <c r="K852" s="11" t="n"/>
      <c r="L852" s="9">
        <f>IF(B852="","",MONTH(B852))</f>
        <v/>
      </c>
      <c r="M852" s="9">
        <f>IF(B852="","",YEAR(B852))</f>
        <v/>
      </c>
    </row>
    <row r="853">
      <c r="A853" s="9">
        <f>IF(B853="","",ROW()-1)</f>
        <v/>
      </c>
      <c r="B853" s="10" t="n"/>
      <c r="C853" s="11" t="n"/>
      <c r="D853" s="11" t="n"/>
      <c r="E853" s="11" t="n"/>
      <c r="F853" s="11" t="n"/>
      <c r="G853" s="8" t="n"/>
      <c r="H853" s="12" t="n"/>
      <c r="I853" s="13" t="n"/>
      <c r="J853" s="14">
        <f>IF(OR(H853="",I853=""),"",H853*I853)</f>
        <v/>
      </c>
      <c r="K853" s="11" t="n"/>
      <c r="L853" s="9">
        <f>IF(B853="","",MONTH(B853))</f>
        <v/>
      </c>
      <c r="M853" s="9">
        <f>IF(B853="","",YEAR(B853))</f>
        <v/>
      </c>
    </row>
    <row r="854">
      <c r="A854" s="9">
        <f>IF(B854="","",ROW()-1)</f>
        <v/>
      </c>
      <c r="B854" s="10" t="n"/>
      <c r="C854" s="11" t="n"/>
      <c r="D854" s="11" t="n"/>
      <c r="E854" s="11" t="n"/>
      <c r="F854" s="11" t="n"/>
      <c r="G854" s="8" t="n"/>
      <c r="H854" s="12" t="n"/>
      <c r="I854" s="13" t="n"/>
      <c r="J854" s="14">
        <f>IF(OR(H854="",I854=""),"",H854*I854)</f>
        <v/>
      </c>
      <c r="K854" s="11" t="n"/>
      <c r="L854" s="9">
        <f>IF(B854="","",MONTH(B854))</f>
        <v/>
      </c>
      <c r="M854" s="9">
        <f>IF(B854="","",YEAR(B854))</f>
        <v/>
      </c>
    </row>
    <row r="855">
      <c r="A855" s="9">
        <f>IF(B855="","",ROW()-1)</f>
        <v/>
      </c>
      <c r="B855" s="10" t="n"/>
      <c r="C855" s="11" t="n"/>
      <c r="D855" s="11" t="n"/>
      <c r="E855" s="11" t="n"/>
      <c r="F855" s="11" t="n"/>
      <c r="G855" s="8" t="n"/>
      <c r="H855" s="12" t="n"/>
      <c r="I855" s="13" t="n"/>
      <c r="J855" s="14">
        <f>IF(OR(H855="",I855=""),"",H855*I855)</f>
        <v/>
      </c>
      <c r="K855" s="11" t="n"/>
      <c r="L855" s="9">
        <f>IF(B855="","",MONTH(B855))</f>
        <v/>
      </c>
      <c r="M855" s="9">
        <f>IF(B855="","",YEAR(B855))</f>
        <v/>
      </c>
    </row>
    <row r="856">
      <c r="A856" s="9">
        <f>IF(B856="","",ROW()-1)</f>
        <v/>
      </c>
      <c r="B856" s="10" t="n"/>
      <c r="C856" s="11" t="n"/>
      <c r="D856" s="11" t="n"/>
      <c r="E856" s="11" t="n"/>
      <c r="F856" s="11" t="n"/>
      <c r="G856" s="8" t="n"/>
      <c r="H856" s="12" t="n"/>
      <c r="I856" s="13" t="n"/>
      <c r="J856" s="14">
        <f>IF(OR(H856="",I856=""),"",H856*I856)</f>
        <v/>
      </c>
      <c r="K856" s="11" t="n"/>
      <c r="L856" s="9">
        <f>IF(B856="","",MONTH(B856))</f>
        <v/>
      </c>
      <c r="M856" s="9">
        <f>IF(B856="","",YEAR(B856))</f>
        <v/>
      </c>
    </row>
    <row r="857">
      <c r="A857" s="9">
        <f>IF(B857="","",ROW()-1)</f>
        <v/>
      </c>
      <c r="B857" s="10" t="n"/>
      <c r="C857" s="11" t="n"/>
      <c r="D857" s="11" t="n"/>
      <c r="E857" s="11" t="n"/>
      <c r="F857" s="11" t="n"/>
      <c r="G857" s="8" t="n"/>
      <c r="H857" s="12" t="n"/>
      <c r="I857" s="13" t="n"/>
      <c r="J857" s="14">
        <f>IF(OR(H857="",I857=""),"",H857*I857)</f>
        <v/>
      </c>
      <c r="K857" s="11" t="n"/>
      <c r="L857" s="9">
        <f>IF(B857="","",MONTH(B857))</f>
        <v/>
      </c>
      <c r="M857" s="9">
        <f>IF(B857="","",YEAR(B857))</f>
        <v/>
      </c>
    </row>
    <row r="858">
      <c r="A858" s="9">
        <f>IF(B858="","",ROW()-1)</f>
        <v/>
      </c>
      <c r="B858" s="10" t="n"/>
      <c r="C858" s="11" t="n"/>
      <c r="D858" s="11" t="n"/>
      <c r="E858" s="11" t="n"/>
      <c r="F858" s="11" t="n"/>
      <c r="G858" s="8" t="n"/>
      <c r="H858" s="12" t="n"/>
      <c r="I858" s="13" t="n"/>
      <c r="J858" s="14">
        <f>IF(OR(H858="",I858=""),"",H858*I858)</f>
        <v/>
      </c>
      <c r="K858" s="11" t="n"/>
      <c r="L858" s="9">
        <f>IF(B858="","",MONTH(B858))</f>
        <v/>
      </c>
      <c r="M858" s="9">
        <f>IF(B858="","",YEAR(B858))</f>
        <v/>
      </c>
    </row>
    <row r="859">
      <c r="A859" s="9">
        <f>IF(B859="","",ROW()-1)</f>
        <v/>
      </c>
      <c r="B859" s="10" t="n"/>
      <c r="C859" s="11" t="n"/>
      <c r="D859" s="11" t="n"/>
      <c r="E859" s="11" t="n"/>
      <c r="F859" s="11" t="n"/>
      <c r="G859" s="8" t="n"/>
      <c r="H859" s="12" t="n"/>
      <c r="I859" s="13" t="n"/>
      <c r="J859" s="14">
        <f>IF(OR(H859="",I859=""),"",H859*I859)</f>
        <v/>
      </c>
      <c r="K859" s="11" t="n"/>
      <c r="L859" s="9">
        <f>IF(B859="","",MONTH(B859))</f>
        <v/>
      </c>
      <c r="M859" s="9">
        <f>IF(B859="","",YEAR(B859))</f>
        <v/>
      </c>
    </row>
    <row r="860">
      <c r="A860" s="9">
        <f>IF(B860="","",ROW()-1)</f>
        <v/>
      </c>
      <c r="B860" s="10" t="n"/>
      <c r="C860" s="11" t="n"/>
      <c r="D860" s="11" t="n"/>
      <c r="E860" s="11" t="n"/>
      <c r="F860" s="11" t="n"/>
      <c r="G860" s="8" t="n"/>
      <c r="H860" s="12" t="n"/>
      <c r="I860" s="13" t="n"/>
      <c r="J860" s="14">
        <f>IF(OR(H860="",I860=""),"",H860*I860)</f>
        <v/>
      </c>
      <c r="K860" s="11" t="n"/>
      <c r="L860" s="9">
        <f>IF(B860="","",MONTH(B860))</f>
        <v/>
      </c>
      <c r="M860" s="9">
        <f>IF(B860="","",YEAR(B860))</f>
        <v/>
      </c>
    </row>
    <row r="861">
      <c r="A861" s="9">
        <f>IF(B861="","",ROW()-1)</f>
        <v/>
      </c>
      <c r="B861" s="10" t="n"/>
      <c r="C861" s="11" t="n"/>
      <c r="D861" s="11" t="n"/>
      <c r="E861" s="11" t="n"/>
      <c r="F861" s="11" t="n"/>
      <c r="G861" s="8" t="n"/>
      <c r="H861" s="12" t="n"/>
      <c r="I861" s="13" t="n"/>
      <c r="J861" s="14">
        <f>IF(OR(H861="",I861=""),"",H861*I861)</f>
        <v/>
      </c>
      <c r="K861" s="11" t="n"/>
      <c r="L861" s="9">
        <f>IF(B861="","",MONTH(B861))</f>
        <v/>
      </c>
      <c r="M861" s="9">
        <f>IF(B861="","",YEAR(B861))</f>
        <v/>
      </c>
    </row>
    <row r="862">
      <c r="A862" s="9">
        <f>IF(B862="","",ROW()-1)</f>
        <v/>
      </c>
      <c r="B862" s="10" t="n"/>
      <c r="C862" s="11" t="n"/>
      <c r="D862" s="11" t="n"/>
      <c r="E862" s="11" t="n"/>
      <c r="F862" s="11" t="n"/>
      <c r="G862" s="8" t="n"/>
      <c r="H862" s="12" t="n"/>
      <c r="I862" s="13" t="n"/>
      <c r="J862" s="14">
        <f>IF(OR(H862="",I862=""),"",H862*I862)</f>
        <v/>
      </c>
      <c r="K862" s="11" t="n"/>
      <c r="L862" s="9">
        <f>IF(B862="","",MONTH(B862))</f>
        <v/>
      </c>
      <c r="M862" s="9">
        <f>IF(B862="","",YEAR(B862))</f>
        <v/>
      </c>
    </row>
    <row r="863">
      <c r="A863" s="9">
        <f>IF(B863="","",ROW()-1)</f>
        <v/>
      </c>
      <c r="B863" s="10" t="n"/>
      <c r="C863" s="11" t="n"/>
      <c r="D863" s="11" t="n"/>
      <c r="E863" s="11" t="n"/>
      <c r="F863" s="11" t="n"/>
      <c r="G863" s="8" t="n"/>
      <c r="H863" s="12" t="n"/>
      <c r="I863" s="13" t="n"/>
      <c r="J863" s="14">
        <f>IF(OR(H863="",I863=""),"",H863*I863)</f>
        <v/>
      </c>
      <c r="K863" s="11" t="n"/>
      <c r="L863" s="9">
        <f>IF(B863="","",MONTH(B863))</f>
        <v/>
      </c>
      <c r="M863" s="9">
        <f>IF(B863="","",YEAR(B863))</f>
        <v/>
      </c>
    </row>
    <row r="864">
      <c r="A864" s="9">
        <f>IF(B864="","",ROW()-1)</f>
        <v/>
      </c>
      <c r="B864" s="10" t="n"/>
      <c r="C864" s="11" t="n"/>
      <c r="D864" s="11" t="n"/>
      <c r="E864" s="11" t="n"/>
      <c r="F864" s="11" t="n"/>
      <c r="G864" s="8" t="n"/>
      <c r="H864" s="12" t="n"/>
      <c r="I864" s="13" t="n"/>
      <c r="J864" s="14">
        <f>IF(OR(H864="",I864=""),"",H864*I864)</f>
        <v/>
      </c>
      <c r="K864" s="11" t="n"/>
      <c r="L864" s="9">
        <f>IF(B864="","",MONTH(B864))</f>
        <v/>
      </c>
      <c r="M864" s="9">
        <f>IF(B864="","",YEAR(B864))</f>
        <v/>
      </c>
    </row>
    <row r="865">
      <c r="A865" s="9">
        <f>IF(B865="","",ROW()-1)</f>
        <v/>
      </c>
      <c r="B865" s="10" t="n"/>
      <c r="C865" s="11" t="n"/>
      <c r="D865" s="11" t="n"/>
      <c r="E865" s="11" t="n"/>
      <c r="F865" s="11" t="n"/>
      <c r="G865" s="8" t="n"/>
      <c r="H865" s="12" t="n"/>
      <c r="I865" s="13" t="n"/>
      <c r="J865" s="14">
        <f>IF(OR(H865="",I865=""),"",H865*I865)</f>
        <v/>
      </c>
      <c r="K865" s="11" t="n"/>
      <c r="L865" s="9">
        <f>IF(B865="","",MONTH(B865))</f>
        <v/>
      </c>
      <c r="M865" s="9">
        <f>IF(B865="","",YEAR(B865))</f>
        <v/>
      </c>
    </row>
    <row r="866">
      <c r="A866" s="9">
        <f>IF(B866="","",ROW()-1)</f>
        <v/>
      </c>
      <c r="B866" s="10" t="n"/>
      <c r="C866" s="11" t="n"/>
      <c r="D866" s="11" t="n"/>
      <c r="E866" s="11" t="n"/>
      <c r="F866" s="11" t="n"/>
      <c r="G866" s="8" t="n"/>
      <c r="H866" s="12" t="n"/>
      <c r="I866" s="13" t="n"/>
      <c r="J866" s="14">
        <f>IF(OR(H866="",I866=""),"",H866*I866)</f>
        <v/>
      </c>
      <c r="K866" s="11" t="n"/>
      <c r="L866" s="9">
        <f>IF(B866="","",MONTH(B866))</f>
        <v/>
      </c>
      <c r="M866" s="9">
        <f>IF(B866="","",YEAR(B866))</f>
        <v/>
      </c>
    </row>
    <row r="867">
      <c r="A867" s="9">
        <f>IF(B867="","",ROW()-1)</f>
        <v/>
      </c>
      <c r="B867" s="10" t="n"/>
      <c r="C867" s="11" t="n"/>
      <c r="D867" s="11" t="n"/>
      <c r="E867" s="11" t="n"/>
      <c r="F867" s="11" t="n"/>
      <c r="G867" s="8" t="n"/>
      <c r="H867" s="12" t="n"/>
      <c r="I867" s="13" t="n"/>
      <c r="J867" s="14">
        <f>IF(OR(H867="",I867=""),"",H867*I867)</f>
        <v/>
      </c>
      <c r="K867" s="11" t="n"/>
      <c r="L867" s="9">
        <f>IF(B867="","",MONTH(B867))</f>
        <v/>
      </c>
      <c r="M867" s="9">
        <f>IF(B867="","",YEAR(B867))</f>
        <v/>
      </c>
    </row>
    <row r="868">
      <c r="A868" s="9">
        <f>IF(B868="","",ROW()-1)</f>
        <v/>
      </c>
      <c r="B868" s="10" t="n"/>
      <c r="C868" s="11" t="n"/>
      <c r="D868" s="11" t="n"/>
      <c r="E868" s="11" t="n"/>
      <c r="F868" s="11" t="n"/>
      <c r="G868" s="8" t="n"/>
      <c r="H868" s="12" t="n"/>
      <c r="I868" s="13" t="n"/>
      <c r="J868" s="14">
        <f>IF(OR(H868="",I868=""),"",H868*I868)</f>
        <v/>
      </c>
      <c r="K868" s="11" t="n"/>
      <c r="L868" s="9">
        <f>IF(B868="","",MONTH(B868))</f>
        <v/>
      </c>
      <c r="M868" s="9">
        <f>IF(B868="","",YEAR(B868))</f>
        <v/>
      </c>
    </row>
    <row r="869">
      <c r="A869" s="9">
        <f>IF(B869="","",ROW()-1)</f>
        <v/>
      </c>
      <c r="B869" s="10" t="n"/>
      <c r="C869" s="11" t="n"/>
      <c r="D869" s="11" t="n"/>
      <c r="E869" s="11" t="n"/>
      <c r="F869" s="11" t="n"/>
      <c r="G869" s="8" t="n"/>
      <c r="H869" s="12" t="n"/>
      <c r="I869" s="13" t="n"/>
      <c r="J869" s="14">
        <f>IF(OR(H869="",I869=""),"",H869*I869)</f>
        <v/>
      </c>
      <c r="K869" s="11" t="n"/>
      <c r="L869" s="9">
        <f>IF(B869="","",MONTH(B869))</f>
        <v/>
      </c>
      <c r="M869" s="9">
        <f>IF(B869="","",YEAR(B869))</f>
        <v/>
      </c>
    </row>
    <row r="870">
      <c r="A870" s="9">
        <f>IF(B870="","",ROW()-1)</f>
        <v/>
      </c>
      <c r="B870" s="10" t="n"/>
      <c r="C870" s="11" t="n"/>
      <c r="D870" s="11" t="n"/>
      <c r="E870" s="11" t="n"/>
      <c r="F870" s="11" t="n"/>
      <c r="G870" s="8" t="n"/>
      <c r="H870" s="12" t="n"/>
      <c r="I870" s="13" t="n"/>
      <c r="J870" s="14">
        <f>IF(OR(H870="",I870=""),"",H870*I870)</f>
        <v/>
      </c>
      <c r="K870" s="11" t="n"/>
      <c r="L870" s="9">
        <f>IF(B870="","",MONTH(B870))</f>
        <v/>
      </c>
      <c r="M870" s="9">
        <f>IF(B870="","",YEAR(B870))</f>
        <v/>
      </c>
    </row>
    <row r="871">
      <c r="A871" s="9">
        <f>IF(B871="","",ROW()-1)</f>
        <v/>
      </c>
      <c r="B871" s="10" t="n"/>
      <c r="C871" s="11" t="n"/>
      <c r="D871" s="11" t="n"/>
      <c r="E871" s="11" t="n"/>
      <c r="F871" s="11" t="n"/>
      <c r="G871" s="8" t="n"/>
      <c r="H871" s="12" t="n"/>
      <c r="I871" s="13" t="n"/>
      <c r="J871" s="14">
        <f>IF(OR(H871="",I871=""),"",H871*I871)</f>
        <v/>
      </c>
      <c r="K871" s="11" t="n"/>
      <c r="L871" s="9">
        <f>IF(B871="","",MONTH(B871))</f>
        <v/>
      </c>
      <c r="M871" s="9">
        <f>IF(B871="","",YEAR(B871))</f>
        <v/>
      </c>
    </row>
    <row r="872">
      <c r="A872" s="9">
        <f>IF(B872="","",ROW()-1)</f>
        <v/>
      </c>
      <c r="B872" s="10" t="n"/>
      <c r="C872" s="11" t="n"/>
      <c r="D872" s="11" t="n"/>
      <c r="E872" s="11" t="n"/>
      <c r="F872" s="11" t="n"/>
      <c r="G872" s="8" t="n"/>
      <c r="H872" s="12" t="n"/>
      <c r="I872" s="13" t="n"/>
      <c r="J872" s="14">
        <f>IF(OR(H872="",I872=""),"",H872*I872)</f>
        <v/>
      </c>
      <c r="K872" s="11" t="n"/>
      <c r="L872" s="9">
        <f>IF(B872="","",MONTH(B872))</f>
        <v/>
      </c>
      <c r="M872" s="9">
        <f>IF(B872="","",YEAR(B872))</f>
        <v/>
      </c>
    </row>
    <row r="873">
      <c r="A873" s="9">
        <f>IF(B873="","",ROW()-1)</f>
        <v/>
      </c>
      <c r="B873" s="10" t="n"/>
      <c r="C873" s="11" t="n"/>
      <c r="D873" s="11" t="n"/>
      <c r="E873" s="11" t="n"/>
      <c r="F873" s="11" t="n"/>
      <c r="G873" s="8" t="n"/>
      <c r="H873" s="12" t="n"/>
      <c r="I873" s="13" t="n"/>
      <c r="J873" s="14">
        <f>IF(OR(H873="",I873=""),"",H873*I873)</f>
        <v/>
      </c>
      <c r="K873" s="11" t="n"/>
      <c r="L873" s="9">
        <f>IF(B873="","",MONTH(B873))</f>
        <v/>
      </c>
      <c r="M873" s="9">
        <f>IF(B873="","",YEAR(B873))</f>
        <v/>
      </c>
    </row>
    <row r="874">
      <c r="A874" s="9">
        <f>IF(B874="","",ROW()-1)</f>
        <v/>
      </c>
      <c r="B874" s="10" t="n"/>
      <c r="C874" s="11" t="n"/>
      <c r="D874" s="11" t="n"/>
      <c r="E874" s="11" t="n"/>
      <c r="F874" s="11" t="n"/>
      <c r="G874" s="8" t="n"/>
      <c r="H874" s="12" t="n"/>
      <c r="I874" s="13" t="n"/>
      <c r="J874" s="14">
        <f>IF(OR(H874="",I874=""),"",H874*I874)</f>
        <v/>
      </c>
      <c r="K874" s="11" t="n"/>
      <c r="L874" s="9">
        <f>IF(B874="","",MONTH(B874))</f>
        <v/>
      </c>
      <c r="M874" s="9">
        <f>IF(B874="","",YEAR(B874))</f>
        <v/>
      </c>
    </row>
    <row r="875">
      <c r="A875" s="9">
        <f>IF(B875="","",ROW()-1)</f>
        <v/>
      </c>
      <c r="B875" s="10" t="n"/>
      <c r="C875" s="11" t="n"/>
      <c r="D875" s="11" t="n"/>
      <c r="E875" s="11" t="n"/>
      <c r="F875" s="11" t="n"/>
      <c r="G875" s="8" t="n"/>
      <c r="H875" s="12" t="n"/>
      <c r="I875" s="13" t="n"/>
      <c r="J875" s="14">
        <f>IF(OR(H875="",I875=""),"",H875*I875)</f>
        <v/>
      </c>
      <c r="K875" s="11" t="n"/>
      <c r="L875" s="9">
        <f>IF(B875="","",MONTH(B875))</f>
        <v/>
      </c>
      <c r="M875" s="9">
        <f>IF(B875="","",YEAR(B875))</f>
        <v/>
      </c>
    </row>
    <row r="876">
      <c r="A876" s="9">
        <f>IF(B876="","",ROW()-1)</f>
        <v/>
      </c>
      <c r="B876" s="10" t="n"/>
      <c r="C876" s="11" t="n"/>
      <c r="D876" s="11" t="n"/>
      <c r="E876" s="11" t="n"/>
      <c r="F876" s="11" t="n"/>
      <c r="G876" s="8" t="n"/>
      <c r="H876" s="12" t="n"/>
      <c r="I876" s="13" t="n"/>
      <c r="J876" s="14">
        <f>IF(OR(H876="",I876=""),"",H876*I876)</f>
        <v/>
      </c>
      <c r="K876" s="11" t="n"/>
      <c r="L876" s="9">
        <f>IF(B876="","",MONTH(B876))</f>
        <v/>
      </c>
      <c r="M876" s="9">
        <f>IF(B876="","",YEAR(B876))</f>
        <v/>
      </c>
    </row>
    <row r="877">
      <c r="A877" s="9">
        <f>IF(B877="","",ROW()-1)</f>
        <v/>
      </c>
      <c r="B877" s="10" t="n"/>
      <c r="C877" s="11" t="n"/>
      <c r="D877" s="11" t="n"/>
      <c r="E877" s="11" t="n"/>
      <c r="F877" s="11" t="n"/>
      <c r="G877" s="8" t="n"/>
      <c r="H877" s="12" t="n"/>
      <c r="I877" s="13" t="n"/>
      <c r="J877" s="14">
        <f>IF(OR(H877="",I877=""),"",H877*I877)</f>
        <v/>
      </c>
      <c r="K877" s="11" t="n"/>
      <c r="L877" s="9">
        <f>IF(B877="","",MONTH(B877))</f>
        <v/>
      </c>
      <c r="M877" s="9">
        <f>IF(B877="","",YEAR(B877))</f>
        <v/>
      </c>
    </row>
    <row r="878">
      <c r="A878" s="9">
        <f>IF(B878="","",ROW()-1)</f>
        <v/>
      </c>
      <c r="B878" s="10" t="n"/>
      <c r="C878" s="11" t="n"/>
      <c r="D878" s="11" t="n"/>
      <c r="E878" s="11" t="n"/>
      <c r="F878" s="11" t="n"/>
      <c r="G878" s="8" t="n"/>
      <c r="H878" s="12" t="n"/>
      <c r="I878" s="13" t="n"/>
      <c r="J878" s="14">
        <f>IF(OR(H878="",I878=""),"",H878*I878)</f>
        <v/>
      </c>
      <c r="K878" s="11" t="n"/>
      <c r="L878" s="9">
        <f>IF(B878="","",MONTH(B878))</f>
        <v/>
      </c>
      <c r="M878" s="9">
        <f>IF(B878="","",YEAR(B878))</f>
        <v/>
      </c>
    </row>
    <row r="879">
      <c r="A879" s="9">
        <f>IF(B879="","",ROW()-1)</f>
        <v/>
      </c>
      <c r="B879" s="10" t="n"/>
      <c r="C879" s="11" t="n"/>
      <c r="D879" s="11" t="n"/>
      <c r="E879" s="11" t="n"/>
      <c r="F879" s="11" t="n"/>
      <c r="G879" s="8" t="n"/>
      <c r="H879" s="12" t="n"/>
      <c r="I879" s="13" t="n"/>
      <c r="J879" s="14">
        <f>IF(OR(H879="",I879=""),"",H879*I879)</f>
        <v/>
      </c>
      <c r="K879" s="11" t="n"/>
      <c r="L879" s="9">
        <f>IF(B879="","",MONTH(B879))</f>
        <v/>
      </c>
      <c r="M879" s="9">
        <f>IF(B879="","",YEAR(B879))</f>
        <v/>
      </c>
    </row>
    <row r="880">
      <c r="A880" s="9">
        <f>IF(B880="","",ROW()-1)</f>
        <v/>
      </c>
      <c r="B880" s="10" t="n"/>
      <c r="C880" s="11" t="n"/>
      <c r="D880" s="11" t="n"/>
      <c r="E880" s="11" t="n"/>
      <c r="F880" s="11" t="n"/>
      <c r="G880" s="8" t="n"/>
      <c r="H880" s="12" t="n"/>
      <c r="I880" s="13" t="n"/>
      <c r="J880" s="14">
        <f>IF(OR(H880="",I880=""),"",H880*I880)</f>
        <v/>
      </c>
      <c r="K880" s="11" t="n"/>
      <c r="L880" s="9">
        <f>IF(B880="","",MONTH(B880))</f>
        <v/>
      </c>
      <c r="M880" s="9">
        <f>IF(B880="","",YEAR(B880))</f>
        <v/>
      </c>
    </row>
    <row r="881">
      <c r="A881" s="9">
        <f>IF(B881="","",ROW()-1)</f>
        <v/>
      </c>
      <c r="B881" s="10" t="n"/>
      <c r="C881" s="11" t="n"/>
      <c r="D881" s="11" t="n"/>
      <c r="E881" s="11" t="n"/>
      <c r="F881" s="11" t="n"/>
      <c r="G881" s="8" t="n"/>
      <c r="H881" s="12" t="n"/>
      <c r="I881" s="13" t="n"/>
      <c r="J881" s="14">
        <f>IF(OR(H881="",I881=""),"",H881*I881)</f>
        <v/>
      </c>
      <c r="K881" s="11" t="n"/>
      <c r="L881" s="9">
        <f>IF(B881="","",MONTH(B881))</f>
        <v/>
      </c>
      <c r="M881" s="9">
        <f>IF(B881="","",YEAR(B881))</f>
        <v/>
      </c>
    </row>
    <row r="882">
      <c r="A882" s="9">
        <f>IF(B882="","",ROW()-1)</f>
        <v/>
      </c>
      <c r="B882" s="10" t="n"/>
      <c r="C882" s="11" t="n"/>
      <c r="D882" s="11" t="n"/>
      <c r="E882" s="11" t="n"/>
      <c r="F882" s="11" t="n"/>
      <c r="G882" s="8" t="n"/>
      <c r="H882" s="12" t="n"/>
      <c r="I882" s="13" t="n"/>
      <c r="J882" s="14">
        <f>IF(OR(H882="",I882=""),"",H882*I882)</f>
        <v/>
      </c>
      <c r="K882" s="11" t="n"/>
      <c r="L882" s="9">
        <f>IF(B882="","",MONTH(B882))</f>
        <v/>
      </c>
      <c r="M882" s="9">
        <f>IF(B882="","",YEAR(B882))</f>
        <v/>
      </c>
    </row>
    <row r="883">
      <c r="A883" s="9">
        <f>IF(B883="","",ROW()-1)</f>
        <v/>
      </c>
      <c r="B883" s="10" t="n"/>
      <c r="C883" s="11" t="n"/>
      <c r="D883" s="11" t="n"/>
      <c r="E883" s="11" t="n"/>
      <c r="F883" s="11" t="n"/>
      <c r="G883" s="8" t="n"/>
      <c r="H883" s="12" t="n"/>
      <c r="I883" s="13" t="n"/>
      <c r="J883" s="14">
        <f>IF(OR(H883="",I883=""),"",H883*I883)</f>
        <v/>
      </c>
      <c r="K883" s="11" t="n"/>
      <c r="L883" s="9">
        <f>IF(B883="","",MONTH(B883))</f>
        <v/>
      </c>
      <c r="M883" s="9">
        <f>IF(B883="","",YEAR(B883))</f>
        <v/>
      </c>
    </row>
    <row r="884">
      <c r="A884" s="9">
        <f>IF(B884="","",ROW()-1)</f>
        <v/>
      </c>
      <c r="B884" s="10" t="n"/>
      <c r="C884" s="11" t="n"/>
      <c r="D884" s="11" t="n"/>
      <c r="E884" s="11" t="n"/>
      <c r="F884" s="11" t="n"/>
      <c r="G884" s="8" t="n"/>
      <c r="H884" s="12" t="n"/>
      <c r="I884" s="13" t="n"/>
      <c r="J884" s="14">
        <f>IF(OR(H884="",I884=""),"",H884*I884)</f>
        <v/>
      </c>
      <c r="K884" s="11" t="n"/>
      <c r="L884" s="9">
        <f>IF(B884="","",MONTH(B884))</f>
        <v/>
      </c>
      <c r="M884" s="9">
        <f>IF(B884="","",YEAR(B884))</f>
        <v/>
      </c>
    </row>
    <row r="885">
      <c r="A885" s="9">
        <f>IF(B885="","",ROW()-1)</f>
        <v/>
      </c>
      <c r="B885" s="10" t="n"/>
      <c r="C885" s="11" t="n"/>
      <c r="D885" s="11" t="n"/>
      <c r="E885" s="11" t="n"/>
      <c r="F885" s="11" t="n"/>
      <c r="G885" s="8" t="n"/>
      <c r="H885" s="12" t="n"/>
      <c r="I885" s="13" t="n"/>
      <c r="J885" s="14">
        <f>IF(OR(H885="",I885=""),"",H885*I885)</f>
        <v/>
      </c>
      <c r="K885" s="11" t="n"/>
      <c r="L885" s="9">
        <f>IF(B885="","",MONTH(B885))</f>
        <v/>
      </c>
      <c r="M885" s="9">
        <f>IF(B885="","",YEAR(B885))</f>
        <v/>
      </c>
    </row>
    <row r="886">
      <c r="A886" s="9">
        <f>IF(B886="","",ROW()-1)</f>
        <v/>
      </c>
      <c r="B886" s="10" t="n"/>
      <c r="C886" s="11" t="n"/>
      <c r="D886" s="11" t="n"/>
      <c r="E886" s="11" t="n"/>
      <c r="F886" s="11" t="n"/>
      <c r="G886" s="8" t="n"/>
      <c r="H886" s="12" t="n"/>
      <c r="I886" s="13" t="n"/>
      <c r="J886" s="14">
        <f>IF(OR(H886="",I886=""),"",H886*I886)</f>
        <v/>
      </c>
      <c r="K886" s="11" t="n"/>
      <c r="L886" s="9">
        <f>IF(B886="","",MONTH(B886))</f>
        <v/>
      </c>
      <c r="M886" s="9">
        <f>IF(B886="","",YEAR(B886))</f>
        <v/>
      </c>
    </row>
    <row r="887">
      <c r="A887" s="9">
        <f>IF(B887="","",ROW()-1)</f>
        <v/>
      </c>
      <c r="B887" s="10" t="n"/>
      <c r="C887" s="11" t="n"/>
      <c r="D887" s="11" t="n"/>
      <c r="E887" s="11" t="n"/>
      <c r="F887" s="11" t="n"/>
      <c r="G887" s="8" t="n"/>
      <c r="H887" s="12" t="n"/>
      <c r="I887" s="13" t="n"/>
      <c r="J887" s="14">
        <f>IF(OR(H887="",I887=""),"",H887*I887)</f>
        <v/>
      </c>
      <c r="K887" s="11" t="n"/>
      <c r="L887" s="9">
        <f>IF(B887="","",MONTH(B887))</f>
        <v/>
      </c>
      <c r="M887" s="9">
        <f>IF(B887="","",YEAR(B887))</f>
        <v/>
      </c>
    </row>
    <row r="888">
      <c r="A888" s="9">
        <f>IF(B888="","",ROW()-1)</f>
        <v/>
      </c>
      <c r="B888" s="10" t="n"/>
      <c r="C888" s="11" t="n"/>
      <c r="D888" s="11" t="n"/>
      <c r="E888" s="11" t="n"/>
      <c r="F888" s="11" t="n"/>
      <c r="G888" s="8" t="n"/>
      <c r="H888" s="12" t="n"/>
      <c r="I888" s="13" t="n"/>
      <c r="J888" s="14">
        <f>IF(OR(H888="",I888=""),"",H888*I888)</f>
        <v/>
      </c>
      <c r="K888" s="11" t="n"/>
      <c r="L888" s="9">
        <f>IF(B888="","",MONTH(B888))</f>
        <v/>
      </c>
      <c r="M888" s="9">
        <f>IF(B888="","",YEAR(B888))</f>
        <v/>
      </c>
    </row>
    <row r="889">
      <c r="A889" s="9">
        <f>IF(B889="","",ROW()-1)</f>
        <v/>
      </c>
      <c r="B889" s="10" t="n"/>
      <c r="C889" s="11" t="n"/>
      <c r="D889" s="11" t="n"/>
      <c r="E889" s="11" t="n"/>
      <c r="F889" s="11" t="n"/>
      <c r="G889" s="8" t="n"/>
      <c r="H889" s="12" t="n"/>
      <c r="I889" s="13" t="n"/>
      <c r="J889" s="14">
        <f>IF(OR(H889="",I889=""),"",H889*I889)</f>
        <v/>
      </c>
      <c r="K889" s="11" t="n"/>
      <c r="L889" s="9">
        <f>IF(B889="","",MONTH(B889))</f>
        <v/>
      </c>
      <c r="M889" s="9">
        <f>IF(B889="","",YEAR(B889))</f>
        <v/>
      </c>
    </row>
    <row r="890">
      <c r="A890" s="9">
        <f>IF(B890="","",ROW()-1)</f>
        <v/>
      </c>
      <c r="B890" s="10" t="n"/>
      <c r="C890" s="11" t="n"/>
      <c r="D890" s="11" t="n"/>
      <c r="E890" s="11" t="n"/>
      <c r="F890" s="11" t="n"/>
      <c r="G890" s="8" t="n"/>
      <c r="H890" s="12" t="n"/>
      <c r="I890" s="13" t="n"/>
      <c r="J890" s="14">
        <f>IF(OR(H890="",I890=""),"",H890*I890)</f>
        <v/>
      </c>
      <c r="K890" s="11" t="n"/>
      <c r="L890" s="9">
        <f>IF(B890="","",MONTH(B890))</f>
        <v/>
      </c>
      <c r="M890" s="9">
        <f>IF(B890="","",YEAR(B890))</f>
        <v/>
      </c>
    </row>
    <row r="891">
      <c r="A891" s="9">
        <f>IF(B891="","",ROW()-1)</f>
        <v/>
      </c>
      <c r="B891" s="10" t="n"/>
      <c r="C891" s="11" t="n"/>
      <c r="D891" s="11" t="n"/>
      <c r="E891" s="11" t="n"/>
      <c r="F891" s="11" t="n"/>
      <c r="G891" s="8" t="n"/>
      <c r="H891" s="12" t="n"/>
      <c r="I891" s="13" t="n"/>
      <c r="J891" s="14">
        <f>IF(OR(H891="",I891=""),"",H891*I891)</f>
        <v/>
      </c>
      <c r="K891" s="11" t="n"/>
      <c r="L891" s="9">
        <f>IF(B891="","",MONTH(B891))</f>
        <v/>
      </c>
      <c r="M891" s="9">
        <f>IF(B891="","",YEAR(B891))</f>
        <v/>
      </c>
    </row>
    <row r="892">
      <c r="A892" s="9">
        <f>IF(B892="","",ROW()-1)</f>
        <v/>
      </c>
      <c r="B892" s="10" t="n"/>
      <c r="C892" s="11" t="n"/>
      <c r="D892" s="11" t="n"/>
      <c r="E892" s="11" t="n"/>
      <c r="F892" s="11" t="n"/>
      <c r="G892" s="8" t="n"/>
      <c r="H892" s="12" t="n"/>
      <c r="I892" s="13" t="n"/>
      <c r="J892" s="14">
        <f>IF(OR(H892="",I892=""),"",H892*I892)</f>
        <v/>
      </c>
      <c r="K892" s="11" t="n"/>
      <c r="L892" s="9">
        <f>IF(B892="","",MONTH(B892))</f>
        <v/>
      </c>
      <c r="M892" s="9">
        <f>IF(B892="","",YEAR(B892))</f>
        <v/>
      </c>
    </row>
    <row r="893">
      <c r="A893" s="9">
        <f>IF(B893="","",ROW()-1)</f>
        <v/>
      </c>
      <c r="B893" s="10" t="n"/>
      <c r="C893" s="11" t="n"/>
      <c r="D893" s="11" t="n"/>
      <c r="E893" s="11" t="n"/>
      <c r="F893" s="11" t="n"/>
      <c r="G893" s="8" t="n"/>
      <c r="H893" s="12" t="n"/>
      <c r="I893" s="13" t="n"/>
      <c r="J893" s="14">
        <f>IF(OR(H893="",I893=""),"",H893*I893)</f>
        <v/>
      </c>
      <c r="K893" s="11" t="n"/>
      <c r="L893" s="9">
        <f>IF(B893="","",MONTH(B893))</f>
        <v/>
      </c>
      <c r="M893" s="9">
        <f>IF(B893="","",YEAR(B893))</f>
        <v/>
      </c>
    </row>
    <row r="894">
      <c r="A894" s="9">
        <f>IF(B894="","",ROW()-1)</f>
        <v/>
      </c>
      <c r="B894" s="10" t="n"/>
      <c r="C894" s="11" t="n"/>
      <c r="D894" s="11" t="n"/>
      <c r="E894" s="11" t="n"/>
      <c r="F894" s="11" t="n"/>
      <c r="G894" s="8" t="n"/>
      <c r="H894" s="12" t="n"/>
      <c r="I894" s="13" t="n"/>
      <c r="J894" s="14">
        <f>IF(OR(H894="",I894=""),"",H894*I894)</f>
        <v/>
      </c>
      <c r="K894" s="11" t="n"/>
      <c r="L894" s="9">
        <f>IF(B894="","",MONTH(B894))</f>
        <v/>
      </c>
      <c r="M894" s="9">
        <f>IF(B894="","",YEAR(B894))</f>
        <v/>
      </c>
    </row>
    <row r="895">
      <c r="A895" s="9">
        <f>IF(B895="","",ROW()-1)</f>
        <v/>
      </c>
      <c r="B895" s="10" t="n"/>
      <c r="C895" s="11" t="n"/>
      <c r="D895" s="11" t="n"/>
      <c r="E895" s="11" t="n"/>
      <c r="F895" s="11" t="n"/>
      <c r="G895" s="8" t="n"/>
      <c r="H895" s="12" t="n"/>
      <c r="I895" s="13" t="n"/>
      <c r="J895" s="14">
        <f>IF(OR(H895="",I895=""),"",H895*I895)</f>
        <v/>
      </c>
      <c r="K895" s="11" t="n"/>
      <c r="L895" s="9">
        <f>IF(B895="","",MONTH(B895))</f>
        <v/>
      </c>
      <c r="M895" s="9">
        <f>IF(B895="","",YEAR(B895))</f>
        <v/>
      </c>
    </row>
    <row r="896">
      <c r="A896" s="9">
        <f>IF(B896="","",ROW()-1)</f>
        <v/>
      </c>
      <c r="B896" s="10" t="n"/>
      <c r="C896" s="11" t="n"/>
      <c r="D896" s="11" t="n"/>
      <c r="E896" s="11" t="n"/>
      <c r="F896" s="11" t="n"/>
      <c r="G896" s="8" t="n"/>
      <c r="H896" s="12" t="n"/>
      <c r="I896" s="13" t="n"/>
      <c r="J896" s="14">
        <f>IF(OR(H896="",I896=""),"",H896*I896)</f>
        <v/>
      </c>
      <c r="K896" s="11" t="n"/>
      <c r="L896" s="9">
        <f>IF(B896="","",MONTH(B896))</f>
        <v/>
      </c>
      <c r="M896" s="9">
        <f>IF(B896="","",YEAR(B896))</f>
        <v/>
      </c>
    </row>
    <row r="897">
      <c r="A897" s="9">
        <f>IF(B897="","",ROW()-1)</f>
        <v/>
      </c>
      <c r="B897" s="10" t="n"/>
      <c r="C897" s="11" t="n"/>
      <c r="D897" s="11" t="n"/>
      <c r="E897" s="11" t="n"/>
      <c r="F897" s="11" t="n"/>
      <c r="G897" s="8" t="n"/>
      <c r="H897" s="12" t="n"/>
      <c r="I897" s="13" t="n"/>
      <c r="J897" s="14">
        <f>IF(OR(H897="",I897=""),"",H897*I897)</f>
        <v/>
      </c>
      <c r="K897" s="11" t="n"/>
      <c r="L897" s="9">
        <f>IF(B897="","",MONTH(B897))</f>
        <v/>
      </c>
      <c r="M897" s="9">
        <f>IF(B897="","",YEAR(B897))</f>
        <v/>
      </c>
    </row>
    <row r="898">
      <c r="A898" s="9">
        <f>IF(B898="","",ROW()-1)</f>
        <v/>
      </c>
      <c r="B898" s="10" t="n"/>
      <c r="C898" s="11" t="n"/>
      <c r="D898" s="11" t="n"/>
      <c r="E898" s="11" t="n"/>
      <c r="F898" s="11" t="n"/>
      <c r="G898" s="8" t="n"/>
      <c r="H898" s="12" t="n"/>
      <c r="I898" s="13" t="n"/>
      <c r="J898" s="14">
        <f>IF(OR(H898="",I898=""),"",H898*I898)</f>
        <v/>
      </c>
      <c r="K898" s="11" t="n"/>
      <c r="L898" s="9">
        <f>IF(B898="","",MONTH(B898))</f>
        <v/>
      </c>
      <c r="M898" s="9">
        <f>IF(B898="","",YEAR(B898))</f>
        <v/>
      </c>
    </row>
    <row r="899">
      <c r="A899" s="9">
        <f>IF(B899="","",ROW()-1)</f>
        <v/>
      </c>
      <c r="B899" s="10" t="n"/>
      <c r="C899" s="11" t="n"/>
      <c r="D899" s="11" t="n"/>
      <c r="E899" s="11" t="n"/>
      <c r="F899" s="11" t="n"/>
      <c r="G899" s="8" t="n"/>
      <c r="H899" s="12" t="n"/>
      <c r="I899" s="13" t="n"/>
      <c r="J899" s="14">
        <f>IF(OR(H899="",I899=""),"",H899*I899)</f>
        <v/>
      </c>
      <c r="K899" s="11" t="n"/>
      <c r="L899" s="9">
        <f>IF(B899="","",MONTH(B899))</f>
        <v/>
      </c>
      <c r="M899" s="9">
        <f>IF(B899="","",YEAR(B899))</f>
        <v/>
      </c>
    </row>
    <row r="900">
      <c r="A900" s="9">
        <f>IF(B900="","",ROW()-1)</f>
        <v/>
      </c>
      <c r="B900" s="10" t="n"/>
      <c r="C900" s="11" t="n"/>
      <c r="D900" s="11" t="n"/>
      <c r="E900" s="11" t="n"/>
      <c r="F900" s="11" t="n"/>
      <c r="G900" s="8" t="n"/>
      <c r="H900" s="12" t="n"/>
      <c r="I900" s="13" t="n"/>
      <c r="J900" s="14">
        <f>IF(OR(H900="",I900=""),"",H900*I900)</f>
        <v/>
      </c>
      <c r="K900" s="11" t="n"/>
      <c r="L900" s="9">
        <f>IF(B900="","",MONTH(B900))</f>
        <v/>
      </c>
      <c r="M900" s="9">
        <f>IF(B900="","",YEAR(B900))</f>
        <v/>
      </c>
    </row>
    <row r="901">
      <c r="A901" s="9">
        <f>IF(B901="","",ROW()-1)</f>
        <v/>
      </c>
      <c r="B901" s="10" t="n"/>
      <c r="C901" s="11" t="n"/>
      <c r="D901" s="11" t="n"/>
      <c r="E901" s="11" t="n"/>
      <c r="F901" s="11" t="n"/>
      <c r="G901" s="8" t="n"/>
      <c r="H901" s="12" t="n"/>
      <c r="I901" s="13" t="n"/>
      <c r="J901" s="14">
        <f>IF(OR(H901="",I901=""),"",H901*I901)</f>
        <v/>
      </c>
      <c r="K901" s="11" t="n"/>
      <c r="L901" s="9">
        <f>IF(B901="","",MONTH(B901))</f>
        <v/>
      </c>
      <c r="M901" s="9">
        <f>IF(B901="","",YEAR(B901))</f>
        <v/>
      </c>
    </row>
    <row r="902">
      <c r="A902" s="9">
        <f>IF(B902="","",ROW()-1)</f>
        <v/>
      </c>
      <c r="B902" s="10" t="n"/>
      <c r="C902" s="11" t="n"/>
      <c r="D902" s="11" t="n"/>
      <c r="E902" s="11" t="n"/>
      <c r="F902" s="11" t="n"/>
      <c r="G902" s="8" t="n"/>
      <c r="H902" s="12" t="n"/>
      <c r="I902" s="13" t="n"/>
      <c r="J902" s="14">
        <f>IF(OR(H902="",I902=""),"",H902*I902)</f>
        <v/>
      </c>
      <c r="K902" s="11" t="n"/>
      <c r="L902" s="9">
        <f>IF(B902="","",MONTH(B902))</f>
        <v/>
      </c>
      <c r="M902" s="9">
        <f>IF(B902="","",YEAR(B902))</f>
        <v/>
      </c>
    </row>
    <row r="903">
      <c r="A903" s="9">
        <f>IF(B903="","",ROW()-1)</f>
        <v/>
      </c>
      <c r="B903" s="10" t="n"/>
      <c r="C903" s="11" t="n"/>
      <c r="D903" s="11" t="n"/>
      <c r="E903" s="11" t="n"/>
      <c r="F903" s="11" t="n"/>
      <c r="G903" s="8" t="n"/>
      <c r="H903" s="12" t="n"/>
      <c r="I903" s="13" t="n"/>
      <c r="J903" s="14">
        <f>IF(OR(H903="",I903=""),"",H903*I903)</f>
        <v/>
      </c>
      <c r="K903" s="11" t="n"/>
      <c r="L903" s="9">
        <f>IF(B903="","",MONTH(B903))</f>
        <v/>
      </c>
      <c r="M903" s="9">
        <f>IF(B903="","",YEAR(B903))</f>
        <v/>
      </c>
    </row>
    <row r="904">
      <c r="A904" s="9">
        <f>IF(B904="","",ROW()-1)</f>
        <v/>
      </c>
      <c r="B904" s="10" t="n"/>
      <c r="C904" s="11" t="n"/>
      <c r="D904" s="11" t="n"/>
      <c r="E904" s="11" t="n"/>
      <c r="F904" s="11" t="n"/>
      <c r="G904" s="8" t="n"/>
      <c r="H904" s="12" t="n"/>
      <c r="I904" s="13" t="n"/>
      <c r="J904" s="14">
        <f>IF(OR(H904="",I904=""),"",H904*I904)</f>
        <v/>
      </c>
      <c r="K904" s="11" t="n"/>
      <c r="L904" s="9">
        <f>IF(B904="","",MONTH(B904))</f>
        <v/>
      </c>
      <c r="M904" s="9">
        <f>IF(B904="","",YEAR(B904))</f>
        <v/>
      </c>
    </row>
    <row r="905">
      <c r="A905" s="9">
        <f>IF(B905="","",ROW()-1)</f>
        <v/>
      </c>
      <c r="B905" s="10" t="n"/>
      <c r="C905" s="11" t="n"/>
      <c r="D905" s="11" t="n"/>
      <c r="E905" s="11" t="n"/>
      <c r="F905" s="11" t="n"/>
      <c r="G905" s="8" t="n"/>
      <c r="H905" s="12" t="n"/>
      <c r="I905" s="13" t="n"/>
      <c r="J905" s="14">
        <f>IF(OR(H905="",I905=""),"",H905*I905)</f>
        <v/>
      </c>
      <c r="K905" s="11" t="n"/>
      <c r="L905" s="9">
        <f>IF(B905="","",MONTH(B905))</f>
        <v/>
      </c>
      <c r="M905" s="9">
        <f>IF(B905="","",YEAR(B905))</f>
        <v/>
      </c>
    </row>
    <row r="906">
      <c r="A906" s="9">
        <f>IF(B906="","",ROW()-1)</f>
        <v/>
      </c>
      <c r="B906" s="10" t="n"/>
      <c r="C906" s="11" t="n"/>
      <c r="D906" s="11" t="n"/>
      <c r="E906" s="11" t="n"/>
      <c r="F906" s="11" t="n"/>
      <c r="G906" s="8" t="n"/>
      <c r="H906" s="12" t="n"/>
      <c r="I906" s="13" t="n"/>
      <c r="J906" s="14">
        <f>IF(OR(H906="",I906=""),"",H906*I906)</f>
        <v/>
      </c>
      <c r="K906" s="11" t="n"/>
      <c r="L906" s="9">
        <f>IF(B906="","",MONTH(B906))</f>
        <v/>
      </c>
      <c r="M906" s="9">
        <f>IF(B906="","",YEAR(B906))</f>
        <v/>
      </c>
    </row>
    <row r="907">
      <c r="A907" s="9">
        <f>IF(B907="","",ROW()-1)</f>
        <v/>
      </c>
      <c r="B907" s="10" t="n"/>
      <c r="C907" s="11" t="n"/>
      <c r="D907" s="11" t="n"/>
      <c r="E907" s="11" t="n"/>
      <c r="F907" s="11" t="n"/>
      <c r="G907" s="8" t="n"/>
      <c r="H907" s="12" t="n"/>
      <c r="I907" s="13" t="n"/>
      <c r="J907" s="14">
        <f>IF(OR(H907="",I907=""),"",H907*I907)</f>
        <v/>
      </c>
      <c r="K907" s="11" t="n"/>
      <c r="L907" s="9">
        <f>IF(B907="","",MONTH(B907))</f>
        <v/>
      </c>
      <c r="M907" s="9">
        <f>IF(B907="","",YEAR(B907))</f>
        <v/>
      </c>
    </row>
    <row r="908">
      <c r="A908" s="9">
        <f>IF(B908="","",ROW()-1)</f>
        <v/>
      </c>
      <c r="B908" s="10" t="n"/>
      <c r="C908" s="11" t="n"/>
      <c r="D908" s="11" t="n"/>
      <c r="E908" s="11" t="n"/>
      <c r="F908" s="11" t="n"/>
      <c r="G908" s="8" t="n"/>
      <c r="H908" s="12" t="n"/>
      <c r="I908" s="13" t="n"/>
      <c r="J908" s="14">
        <f>IF(OR(H908="",I908=""),"",H908*I908)</f>
        <v/>
      </c>
      <c r="K908" s="11" t="n"/>
      <c r="L908" s="9">
        <f>IF(B908="","",MONTH(B908))</f>
        <v/>
      </c>
      <c r="M908" s="9">
        <f>IF(B908="","",YEAR(B908))</f>
        <v/>
      </c>
    </row>
    <row r="909">
      <c r="A909" s="9">
        <f>IF(B909="","",ROW()-1)</f>
        <v/>
      </c>
      <c r="B909" s="10" t="n"/>
      <c r="C909" s="11" t="n"/>
      <c r="D909" s="11" t="n"/>
      <c r="E909" s="11" t="n"/>
      <c r="F909" s="11" t="n"/>
      <c r="G909" s="8" t="n"/>
      <c r="H909" s="12" t="n"/>
      <c r="I909" s="13" t="n"/>
      <c r="J909" s="14">
        <f>IF(OR(H909="",I909=""),"",H909*I909)</f>
        <v/>
      </c>
      <c r="K909" s="11" t="n"/>
      <c r="L909" s="9">
        <f>IF(B909="","",MONTH(B909))</f>
        <v/>
      </c>
      <c r="M909" s="9">
        <f>IF(B909="","",YEAR(B909))</f>
        <v/>
      </c>
    </row>
    <row r="910">
      <c r="A910" s="9">
        <f>IF(B910="","",ROW()-1)</f>
        <v/>
      </c>
      <c r="B910" s="10" t="n"/>
      <c r="C910" s="11" t="n"/>
      <c r="D910" s="11" t="n"/>
      <c r="E910" s="11" t="n"/>
      <c r="F910" s="11" t="n"/>
      <c r="G910" s="8" t="n"/>
      <c r="H910" s="12" t="n"/>
      <c r="I910" s="13" t="n"/>
      <c r="J910" s="14">
        <f>IF(OR(H910="",I910=""),"",H910*I910)</f>
        <v/>
      </c>
      <c r="K910" s="11" t="n"/>
      <c r="L910" s="9">
        <f>IF(B910="","",MONTH(B910))</f>
        <v/>
      </c>
      <c r="M910" s="9">
        <f>IF(B910="","",YEAR(B910))</f>
        <v/>
      </c>
    </row>
    <row r="911">
      <c r="A911" s="9">
        <f>IF(B911="","",ROW()-1)</f>
        <v/>
      </c>
      <c r="B911" s="10" t="n"/>
      <c r="C911" s="11" t="n"/>
      <c r="D911" s="11" t="n"/>
      <c r="E911" s="11" t="n"/>
      <c r="F911" s="11" t="n"/>
      <c r="G911" s="8" t="n"/>
      <c r="H911" s="12" t="n"/>
      <c r="I911" s="13" t="n"/>
      <c r="J911" s="14">
        <f>IF(OR(H911="",I911=""),"",H911*I911)</f>
        <v/>
      </c>
      <c r="K911" s="11" t="n"/>
      <c r="L911" s="9">
        <f>IF(B911="","",MONTH(B911))</f>
        <v/>
      </c>
      <c r="M911" s="9">
        <f>IF(B911="","",YEAR(B911))</f>
        <v/>
      </c>
    </row>
    <row r="912">
      <c r="A912" s="9">
        <f>IF(B912="","",ROW()-1)</f>
        <v/>
      </c>
      <c r="B912" s="10" t="n"/>
      <c r="C912" s="11" t="n"/>
      <c r="D912" s="11" t="n"/>
      <c r="E912" s="11" t="n"/>
      <c r="F912" s="11" t="n"/>
      <c r="G912" s="8" t="n"/>
      <c r="H912" s="12" t="n"/>
      <c r="I912" s="13" t="n"/>
      <c r="J912" s="14">
        <f>IF(OR(H912="",I912=""),"",H912*I912)</f>
        <v/>
      </c>
      <c r="K912" s="11" t="n"/>
      <c r="L912" s="9">
        <f>IF(B912="","",MONTH(B912))</f>
        <v/>
      </c>
      <c r="M912" s="9">
        <f>IF(B912="","",YEAR(B912))</f>
        <v/>
      </c>
    </row>
    <row r="913">
      <c r="A913" s="9">
        <f>IF(B913="","",ROW()-1)</f>
        <v/>
      </c>
      <c r="B913" s="10" t="n"/>
      <c r="C913" s="11" t="n"/>
      <c r="D913" s="11" t="n"/>
      <c r="E913" s="11" t="n"/>
      <c r="F913" s="11" t="n"/>
      <c r="G913" s="8" t="n"/>
      <c r="H913" s="12" t="n"/>
      <c r="I913" s="13" t="n"/>
      <c r="J913" s="14">
        <f>IF(OR(H913="",I913=""),"",H913*I913)</f>
        <v/>
      </c>
      <c r="K913" s="11" t="n"/>
      <c r="L913" s="9">
        <f>IF(B913="","",MONTH(B913))</f>
        <v/>
      </c>
      <c r="M913" s="9">
        <f>IF(B913="","",YEAR(B913))</f>
        <v/>
      </c>
    </row>
    <row r="914">
      <c r="A914" s="9">
        <f>IF(B914="","",ROW()-1)</f>
        <v/>
      </c>
      <c r="B914" s="10" t="n"/>
      <c r="C914" s="11" t="n"/>
      <c r="D914" s="11" t="n"/>
      <c r="E914" s="11" t="n"/>
      <c r="F914" s="11" t="n"/>
      <c r="G914" s="8" t="n"/>
      <c r="H914" s="12" t="n"/>
      <c r="I914" s="13" t="n"/>
      <c r="J914" s="14">
        <f>IF(OR(H914="",I914=""),"",H914*I914)</f>
        <v/>
      </c>
      <c r="K914" s="11" t="n"/>
      <c r="L914" s="9">
        <f>IF(B914="","",MONTH(B914))</f>
        <v/>
      </c>
      <c r="M914" s="9">
        <f>IF(B914="","",YEAR(B914))</f>
        <v/>
      </c>
    </row>
    <row r="915">
      <c r="A915" s="9">
        <f>IF(B915="","",ROW()-1)</f>
        <v/>
      </c>
      <c r="B915" s="10" t="n"/>
      <c r="C915" s="11" t="n"/>
      <c r="D915" s="11" t="n"/>
      <c r="E915" s="11" t="n"/>
      <c r="F915" s="11" t="n"/>
      <c r="G915" s="8" t="n"/>
      <c r="H915" s="12" t="n"/>
      <c r="I915" s="13" t="n"/>
      <c r="J915" s="14">
        <f>IF(OR(H915="",I915=""),"",H915*I915)</f>
        <v/>
      </c>
      <c r="K915" s="11" t="n"/>
      <c r="L915" s="9">
        <f>IF(B915="","",MONTH(B915))</f>
        <v/>
      </c>
      <c r="M915" s="9">
        <f>IF(B915="","",YEAR(B915))</f>
        <v/>
      </c>
    </row>
    <row r="916">
      <c r="A916" s="9">
        <f>IF(B916="","",ROW()-1)</f>
        <v/>
      </c>
      <c r="B916" s="10" t="n"/>
      <c r="C916" s="11" t="n"/>
      <c r="D916" s="11" t="n"/>
      <c r="E916" s="11" t="n"/>
      <c r="F916" s="11" t="n"/>
      <c r="G916" s="8" t="n"/>
      <c r="H916" s="12" t="n"/>
      <c r="I916" s="13" t="n"/>
      <c r="J916" s="14">
        <f>IF(OR(H916="",I916=""),"",H916*I916)</f>
        <v/>
      </c>
      <c r="K916" s="11" t="n"/>
      <c r="L916" s="9">
        <f>IF(B916="","",MONTH(B916))</f>
        <v/>
      </c>
      <c r="M916" s="9">
        <f>IF(B916="","",YEAR(B916))</f>
        <v/>
      </c>
    </row>
    <row r="917">
      <c r="A917" s="9">
        <f>IF(B917="","",ROW()-1)</f>
        <v/>
      </c>
      <c r="B917" s="10" t="n"/>
      <c r="C917" s="11" t="n"/>
      <c r="D917" s="11" t="n"/>
      <c r="E917" s="11" t="n"/>
      <c r="F917" s="11" t="n"/>
      <c r="G917" s="8" t="n"/>
      <c r="H917" s="12" t="n"/>
      <c r="I917" s="13" t="n"/>
      <c r="J917" s="14">
        <f>IF(OR(H917="",I917=""),"",H917*I917)</f>
        <v/>
      </c>
      <c r="K917" s="11" t="n"/>
      <c r="L917" s="9">
        <f>IF(B917="","",MONTH(B917))</f>
        <v/>
      </c>
      <c r="M917" s="9">
        <f>IF(B917="","",YEAR(B917))</f>
        <v/>
      </c>
    </row>
    <row r="918">
      <c r="A918" s="9">
        <f>IF(B918="","",ROW()-1)</f>
        <v/>
      </c>
      <c r="B918" s="10" t="n"/>
      <c r="C918" s="11" t="n"/>
      <c r="D918" s="11" t="n"/>
      <c r="E918" s="11" t="n"/>
      <c r="F918" s="11" t="n"/>
      <c r="G918" s="8" t="n"/>
      <c r="H918" s="12" t="n"/>
      <c r="I918" s="13" t="n"/>
      <c r="J918" s="14">
        <f>IF(OR(H918="",I918=""),"",H918*I918)</f>
        <v/>
      </c>
      <c r="K918" s="11" t="n"/>
      <c r="L918" s="9">
        <f>IF(B918="","",MONTH(B918))</f>
        <v/>
      </c>
      <c r="M918" s="9">
        <f>IF(B918="","",YEAR(B918))</f>
        <v/>
      </c>
    </row>
    <row r="919">
      <c r="A919" s="9">
        <f>IF(B919="","",ROW()-1)</f>
        <v/>
      </c>
      <c r="B919" s="10" t="n"/>
      <c r="C919" s="11" t="n"/>
      <c r="D919" s="11" t="n"/>
      <c r="E919" s="11" t="n"/>
      <c r="F919" s="11" t="n"/>
      <c r="G919" s="8" t="n"/>
      <c r="H919" s="12" t="n"/>
      <c r="I919" s="13" t="n"/>
      <c r="J919" s="14">
        <f>IF(OR(H919="",I919=""),"",H919*I919)</f>
        <v/>
      </c>
      <c r="K919" s="11" t="n"/>
      <c r="L919" s="9">
        <f>IF(B919="","",MONTH(B919))</f>
        <v/>
      </c>
      <c r="M919" s="9">
        <f>IF(B919="","",YEAR(B919))</f>
        <v/>
      </c>
    </row>
    <row r="920">
      <c r="A920" s="9">
        <f>IF(B920="","",ROW()-1)</f>
        <v/>
      </c>
      <c r="B920" s="10" t="n"/>
      <c r="C920" s="11" t="n"/>
      <c r="D920" s="11" t="n"/>
      <c r="E920" s="11" t="n"/>
      <c r="F920" s="11" t="n"/>
      <c r="G920" s="8" t="n"/>
      <c r="H920" s="12" t="n"/>
      <c r="I920" s="13" t="n"/>
      <c r="J920" s="14">
        <f>IF(OR(H920="",I920=""),"",H920*I920)</f>
        <v/>
      </c>
      <c r="K920" s="11" t="n"/>
      <c r="L920" s="9">
        <f>IF(B920="","",MONTH(B920))</f>
        <v/>
      </c>
      <c r="M920" s="9">
        <f>IF(B920="","",YEAR(B920))</f>
        <v/>
      </c>
    </row>
    <row r="921">
      <c r="A921" s="9">
        <f>IF(B921="","",ROW()-1)</f>
        <v/>
      </c>
      <c r="B921" s="10" t="n"/>
      <c r="C921" s="11" t="n"/>
      <c r="D921" s="11" t="n"/>
      <c r="E921" s="11" t="n"/>
      <c r="F921" s="11" t="n"/>
      <c r="G921" s="8" t="n"/>
      <c r="H921" s="12" t="n"/>
      <c r="I921" s="13" t="n"/>
      <c r="J921" s="14">
        <f>IF(OR(H921="",I921=""),"",H921*I921)</f>
        <v/>
      </c>
      <c r="K921" s="11" t="n"/>
      <c r="L921" s="9">
        <f>IF(B921="","",MONTH(B921))</f>
        <v/>
      </c>
      <c r="M921" s="9">
        <f>IF(B921="","",YEAR(B921))</f>
        <v/>
      </c>
    </row>
    <row r="922">
      <c r="A922" s="9">
        <f>IF(B922="","",ROW()-1)</f>
        <v/>
      </c>
      <c r="B922" s="10" t="n"/>
      <c r="C922" s="11" t="n"/>
      <c r="D922" s="11" t="n"/>
      <c r="E922" s="11" t="n"/>
      <c r="F922" s="11" t="n"/>
      <c r="G922" s="8" t="n"/>
      <c r="H922" s="12" t="n"/>
      <c r="I922" s="13" t="n"/>
      <c r="J922" s="14">
        <f>IF(OR(H922="",I922=""),"",H922*I922)</f>
        <v/>
      </c>
      <c r="K922" s="11" t="n"/>
      <c r="L922" s="9">
        <f>IF(B922="","",MONTH(B922))</f>
        <v/>
      </c>
      <c r="M922" s="9">
        <f>IF(B922="","",YEAR(B922))</f>
        <v/>
      </c>
    </row>
    <row r="923">
      <c r="A923" s="9">
        <f>IF(B923="","",ROW()-1)</f>
        <v/>
      </c>
      <c r="B923" s="10" t="n"/>
      <c r="C923" s="11" t="n"/>
      <c r="D923" s="11" t="n"/>
      <c r="E923" s="11" t="n"/>
      <c r="F923" s="11" t="n"/>
      <c r="G923" s="8" t="n"/>
      <c r="H923" s="12" t="n"/>
      <c r="I923" s="13" t="n"/>
      <c r="J923" s="14">
        <f>IF(OR(H923="",I923=""),"",H923*I923)</f>
        <v/>
      </c>
      <c r="K923" s="11" t="n"/>
      <c r="L923" s="9">
        <f>IF(B923="","",MONTH(B923))</f>
        <v/>
      </c>
      <c r="M923" s="9">
        <f>IF(B923="","",YEAR(B923))</f>
        <v/>
      </c>
    </row>
    <row r="924">
      <c r="A924" s="9">
        <f>IF(B924="","",ROW()-1)</f>
        <v/>
      </c>
      <c r="B924" s="10" t="n"/>
      <c r="C924" s="11" t="n"/>
      <c r="D924" s="11" t="n"/>
      <c r="E924" s="11" t="n"/>
      <c r="F924" s="11" t="n"/>
      <c r="G924" s="8" t="n"/>
      <c r="H924" s="12" t="n"/>
      <c r="I924" s="13" t="n"/>
      <c r="J924" s="14">
        <f>IF(OR(H924="",I924=""),"",H924*I924)</f>
        <v/>
      </c>
      <c r="K924" s="11" t="n"/>
      <c r="L924" s="9">
        <f>IF(B924="","",MONTH(B924))</f>
        <v/>
      </c>
      <c r="M924" s="9">
        <f>IF(B924="","",YEAR(B924))</f>
        <v/>
      </c>
    </row>
    <row r="925">
      <c r="A925" s="9">
        <f>IF(B925="","",ROW()-1)</f>
        <v/>
      </c>
      <c r="B925" s="10" t="n"/>
      <c r="C925" s="11" t="n"/>
      <c r="D925" s="11" t="n"/>
      <c r="E925" s="11" t="n"/>
      <c r="F925" s="11" t="n"/>
      <c r="G925" s="8" t="n"/>
      <c r="H925" s="12" t="n"/>
      <c r="I925" s="13" t="n"/>
      <c r="J925" s="14">
        <f>IF(OR(H925="",I925=""),"",H925*I925)</f>
        <v/>
      </c>
      <c r="K925" s="11" t="n"/>
      <c r="L925" s="9">
        <f>IF(B925="","",MONTH(B925))</f>
        <v/>
      </c>
      <c r="M925" s="9">
        <f>IF(B925="","",YEAR(B925))</f>
        <v/>
      </c>
    </row>
    <row r="926">
      <c r="A926" s="9">
        <f>IF(B926="","",ROW()-1)</f>
        <v/>
      </c>
      <c r="B926" s="10" t="n"/>
      <c r="C926" s="11" t="n"/>
      <c r="D926" s="11" t="n"/>
      <c r="E926" s="11" t="n"/>
      <c r="F926" s="11" t="n"/>
      <c r="G926" s="8" t="n"/>
      <c r="H926" s="12" t="n"/>
      <c r="I926" s="13" t="n"/>
      <c r="J926" s="14">
        <f>IF(OR(H926="",I926=""),"",H926*I926)</f>
        <v/>
      </c>
      <c r="K926" s="11" t="n"/>
      <c r="L926" s="9">
        <f>IF(B926="","",MONTH(B926))</f>
        <v/>
      </c>
      <c r="M926" s="9">
        <f>IF(B926="","",YEAR(B926))</f>
        <v/>
      </c>
    </row>
    <row r="927">
      <c r="A927" s="9">
        <f>IF(B927="","",ROW()-1)</f>
        <v/>
      </c>
      <c r="B927" s="10" t="n"/>
      <c r="C927" s="11" t="n"/>
      <c r="D927" s="11" t="n"/>
      <c r="E927" s="11" t="n"/>
      <c r="F927" s="11" t="n"/>
      <c r="G927" s="8" t="n"/>
      <c r="H927" s="12" t="n"/>
      <c r="I927" s="13" t="n"/>
      <c r="J927" s="14">
        <f>IF(OR(H927="",I927=""),"",H927*I927)</f>
        <v/>
      </c>
      <c r="K927" s="11" t="n"/>
      <c r="L927" s="9">
        <f>IF(B927="","",MONTH(B927))</f>
        <v/>
      </c>
      <c r="M927" s="9">
        <f>IF(B927="","",YEAR(B927))</f>
        <v/>
      </c>
    </row>
    <row r="928">
      <c r="A928" s="9">
        <f>IF(B928="","",ROW()-1)</f>
        <v/>
      </c>
      <c r="B928" s="10" t="n"/>
      <c r="C928" s="11" t="n"/>
      <c r="D928" s="11" t="n"/>
      <c r="E928" s="11" t="n"/>
      <c r="F928" s="11" t="n"/>
      <c r="G928" s="8" t="n"/>
      <c r="H928" s="12" t="n"/>
      <c r="I928" s="13" t="n"/>
      <c r="J928" s="14">
        <f>IF(OR(H928="",I928=""),"",H928*I928)</f>
        <v/>
      </c>
      <c r="K928" s="11" t="n"/>
      <c r="L928" s="9">
        <f>IF(B928="","",MONTH(B928))</f>
        <v/>
      </c>
      <c r="M928" s="9">
        <f>IF(B928="","",YEAR(B928))</f>
        <v/>
      </c>
    </row>
    <row r="929">
      <c r="A929" s="9">
        <f>IF(B929="","",ROW()-1)</f>
        <v/>
      </c>
      <c r="B929" s="10" t="n"/>
      <c r="C929" s="11" t="n"/>
      <c r="D929" s="11" t="n"/>
      <c r="E929" s="11" t="n"/>
      <c r="F929" s="11" t="n"/>
      <c r="G929" s="8" t="n"/>
      <c r="H929" s="12" t="n"/>
      <c r="I929" s="13" t="n"/>
      <c r="J929" s="14">
        <f>IF(OR(H929="",I929=""),"",H929*I929)</f>
        <v/>
      </c>
      <c r="K929" s="11" t="n"/>
      <c r="L929" s="9">
        <f>IF(B929="","",MONTH(B929))</f>
        <v/>
      </c>
      <c r="M929" s="9">
        <f>IF(B929="","",YEAR(B929))</f>
        <v/>
      </c>
    </row>
    <row r="930">
      <c r="A930" s="9">
        <f>IF(B930="","",ROW()-1)</f>
        <v/>
      </c>
      <c r="B930" s="10" t="n"/>
      <c r="C930" s="11" t="n"/>
      <c r="D930" s="11" t="n"/>
      <c r="E930" s="11" t="n"/>
      <c r="F930" s="11" t="n"/>
      <c r="G930" s="8" t="n"/>
      <c r="H930" s="12" t="n"/>
      <c r="I930" s="13" t="n"/>
      <c r="J930" s="14">
        <f>IF(OR(H930="",I930=""),"",H930*I930)</f>
        <v/>
      </c>
      <c r="K930" s="11" t="n"/>
      <c r="L930" s="9">
        <f>IF(B930="","",MONTH(B930))</f>
        <v/>
      </c>
      <c r="M930" s="9">
        <f>IF(B930="","",YEAR(B930))</f>
        <v/>
      </c>
    </row>
    <row r="931">
      <c r="A931" s="9">
        <f>IF(B931="","",ROW()-1)</f>
        <v/>
      </c>
      <c r="B931" s="10" t="n"/>
      <c r="C931" s="11" t="n"/>
      <c r="D931" s="11" t="n"/>
      <c r="E931" s="11" t="n"/>
      <c r="F931" s="11" t="n"/>
      <c r="G931" s="8" t="n"/>
      <c r="H931" s="12" t="n"/>
      <c r="I931" s="13" t="n"/>
      <c r="J931" s="14">
        <f>IF(OR(H931="",I931=""),"",H931*I931)</f>
        <v/>
      </c>
      <c r="K931" s="11" t="n"/>
      <c r="L931" s="9">
        <f>IF(B931="","",MONTH(B931))</f>
        <v/>
      </c>
      <c r="M931" s="9">
        <f>IF(B931="","",YEAR(B931))</f>
        <v/>
      </c>
    </row>
    <row r="932">
      <c r="A932" s="9">
        <f>IF(B932="","",ROW()-1)</f>
        <v/>
      </c>
      <c r="B932" s="10" t="n"/>
      <c r="C932" s="11" t="n"/>
      <c r="D932" s="11" t="n"/>
      <c r="E932" s="11" t="n"/>
      <c r="F932" s="11" t="n"/>
      <c r="G932" s="8" t="n"/>
      <c r="H932" s="12" t="n"/>
      <c r="I932" s="13" t="n"/>
      <c r="J932" s="14">
        <f>IF(OR(H932="",I932=""),"",H932*I932)</f>
        <v/>
      </c>
      <c r="K932" s="11" t="n"/>
      <c r="L932" s="9">
        <f>IF(B932="","",MONTH(B932))</f>
        <v/>
      </c>
      <c r="M932" s="9">
        <f>IF(B932="","",YEAR(B932))</f>
        <v/>
      </c>
    </row>
    <row r="933">
      <c r="A933" s="9">
        <f>IF(B933="","",ROW()-1)</f>
        <v/>
      </c>
      <c r="B933" s="10" t="n"/>
      <c r="C933" s="11" t="n"/>
      <c r="D933" s="11" t="n"/>
      <c r="E933" s="11" t="n"/>
      <c r="F933" s="11" t="n"/>
      <c r="G933" s="8" t="n"/>
      <c r="H933" s="12" t="n"/>
      <c r="I933" s="13" t="n"/>
      <c r="J933" s="14">
        <f>IF(OR(H933="",I933=""),"",H933*I933)</f>
        <v/>
      </c>
      <c r="K933" s="11" t="n"/>
      <c r="L933" s="9">
        <f>IF(B933="","",MONTH(B933))</f>
        <v/>
      </c>
      <c r="M933" s="9">
        <f>IF(B933="","",YEAR(B933))</f>
        <v/>
      </c>
    </row>
    <row r="934">
      <c r="A934" s="9">
        <f>IF(B934="","",ROW()-1)</f>
        <v/>
      </c>
      <c r="B934" s="10" t="n"/>
      <c r="C934" s="11" t="n"/>
      <c r="D934" s="11" t="n"/>
      <c r="E934" s="11" t="n"/>
      <c r="F934" s="11" t="n"/>
      <c r="G934" s="8" t="n"/>
      <c r="H934" s="12" t="n"/>
      <c r="I934" s="13" t="n"/>
      <c r="J934" s="14">
        <f>IF(OR(H934="",I934=""),"",H934*I934)</f>
        <v/>
      </c>
      <c r="K934" s="11" t="n"/>
      <c r="L934" s="9">
        <f>IF(B934="","",MONTH(B934))</f>
        <v/>
      </c>
      <c r="M934" s="9">
        <f>IF(B934="","",YEAR(B934))</f>
        <v/>
      </c>
    </row>
    <row r="935">
      <c r="A935" s="9">
        <f>IF(B935="","",ROW()-1)</f>
        <v/>
      </c>
      <c r="B935" s="10" t="n"/>
      <c r="C935" s="11" t="n"/>
      <c r="D935" s="11" t="n"/>
      <c r="E935" s="11" t="n"/>
      <c r="F935" s="11" t="n"/>
      <c r="G935" s="8" t="n"/>
      <c r="H935" s="12" t="n"/>
      <c r="I935" s="13" t="n"/>
      <c r="J935" s="14">
        <f>IF(OR(H935="",I935=""),"",H935*I935)</f>
        <v/>
      </c>
      <c r="K935" s="11" t="n"/>
      <c r="L935" s="9">
        <f>IF(B935="","",MONTH(B935))</f>
        <v/>
      </c>
      <c r="M935" s="9">
        <f>IF(B935="","",YEAR(B935))</f>
        <v/>
      </c>
    </row>
    <row r="936">
      <c r="A936" s="9">
        <f>IF(B936="","",ROW()-1)</f>
        <v/>
      </c>
      <c r="B936" s="10" t="n"/>
      <c r="C936" s="11" t="n"/>
      <c r="D936" s="11" t="n"/>
      <c r="E936" s="11" t="n"/>
      <c r="F936" s="11" t="n"/>
      <c r="G936" s="8" t="n"/>
      <c r="H936" s="12" t="n"/>
      <c r="I936" s="13" t="n"/>
      <c r="J936" s="14">
        <f>IF(OR(H936="",I936=""),"",H936*I936)</f>
        <v/>
      </c>
      <c r="K936" s="11" t="n"/>
      <c r="L936" s="9">
        <f>IF(B936="","",MONTH(B936))</f>
        <v/>
      </c>
      <c r="M936" s="9">
        <f>IF(B936="","",YEAR(B936))</f>
        <v/>
      </c>
    </row>
    <row r="937">
      <c r="A937" s="9">
        <f>IF(B937="","",ROW()-1)</f>
        <v/>
      </c>
      <c r="B937" s="10" t="n"/>
      <c r="C937" s="11" t="n"/>
      <c r="D937" s="11" t="n"/>
      <c r="E937" s="11" t="n"/>
      <c r="F937" s="11" t="n"/>
      <c r="G937" s="8" t="n"/>
      <c r="H937" s="12" t="n"/>
      <c r="I937" s="13" t="n"/>
      <c r="J937" s="14">
        <f>IF(OR(H937="",I937=""),"",H937*I937)</f>
        <v/>
      </c>
      <c r="K937" s="11" t="n"/>
      <c r="L937" s="9">
        <f>IF(B937="","",MONTH(B937))</f>
        <v/>
      </c>
      <c r="M937" s="9">
        <f>IF(B937="","",YEAR(B937))</f>
        <v/>
      </c>
    </row>
    <row r="938">
      <c r="A938" s="9">
        <f>IF(B938="","",ROW()-1)</f>
        <v/>
      </c>
      <c r="B938" s="10" t="n"/>
      <c r="C938" s="11" t="n"/>
      <c r="D938" s="11" t="n"/>
      <c r="E938" s="11" t="n"/>
      <c r="F938" s="11" t="n"/>
      <c r="G938" s="8" t="n"/>
      <c r="H938" s="12" t="n"/>
      <c r="I938" s="13" t="n"/>
      <c r="J938" s="14">
        <f>IF(OR(H938="",I938=""),"",H938*I938)</f>
        <v/>
      </c>
      <c r="K938" s="11" t="n"/>
      <c r="L938" s="9">
        <f>IF(B938="","",MONTH(B938))</f>
        <v/>
      </c>
      <c r="M938" s="9">
        <f>IF(B938="","",YEAR(B938))</f>
        <v/>
      </c>
    </row>
    <row r="939">
      <c r="A939" s="9">
        <f>IF(B939="","",ROW()-1)</f>
        <v/>
      </c>
      <c r="B939" s="10" t="n"/>
      <c r="C939" s="11" t="n"/>
      <c r="D939" s="11" t="n"/>
      <c r="E939" s="11" t="n"/>
      <c r="F939" s="11" t="n"/>
      <c r="G939" s="8" t="n"/>
      <c r="H939" s="12" t="n"/>
      <c r="I939" s="13" t="n"/>
      <c r="J939" s="14">
        <f>IF(OR(H939="",I939=""),"",H939*I939)</f>
        <v/>
      </c>
      <c r="K939" s="11" t="n"/>
      <c r="L939" s="9">
        <f>IF(B939="","",MONTH(B939))</f>
        <v/>
      </c>
      <c r="M939" s="9">
        <f>IF(B939="","",YEAR(B939))</f>
        <v/>
      </c>
    </row>
    <row r="940">
      <c r="A940" s="9">
        <f>IF(B940="","",ROW()-1)</f>
        <v/>
      </c>
      <c r="B940" s="10" t="n"/>
      <c r="C940" s="11" t="n"/>
      <c r="D940" s="11" t="n"/>
      <c r="E940" s="11" t="n"/>
      <c r="F940" s="11" t="n"/>
      <c r="G940" s="8" t="n"/>
      <c r="H940" s="12" t="n"/>
      <c r="I940" s="13" t="n"/>
      <c r="J940" s="14">
        <f>IF(OR(H940="",I940=""),"",H940*I940)</f>
        <v/>
      </c>
      <c r="K940" s="11" t="n"/>
      <c r="L940" s="9">
        <f>IF(B940="","",MONTH(B940))</f>
        <v/>
      </c>
      <c r="M940" s="9">
        <f>IF(B940="","",YEAR(B940))</f>
        <v/>
      </c>
    </row>
    <row r="941">
      <c r="A941" s="9">
        <f>IF(B941="","",ROW()-1)</f>
        <v/>
      </c>
      <c r="B941" s="10" t="n"/>
      <c r="C941" s="11" t="n"/>
      <c r="D941" s="11" t="n"/>
      <c r="E941" s="11" t="n"/>
      <c r="F941" s="11" t="n"/>
      <c r="G941" s="8" t="n"/>
      <c r="H941" s="12" t="n"/>
      <c r="I941" s="13" t="n"/>
      <c r="J941" s="14">
        <f>IF(OR(H941="",I941=""),"",H941*I941)</f>
        <v/>
      </c>
      <c r="K941" s="11" t="n"/>
      <c r="L941" s="9">
        <f>IF(B941="","",MONTH(B941))</f>
        <v/>
      </c>
      <c r="M941" s="9">
        <f>IF(B941="","",YEAR(B941))</f>
        <v/>
      </c>
    </row>
    <row r="942">
      <c r="A942" s="9">
        <f>IF(B942="","",ROW()-1)</f>
        <v/>
      </c>
      <c r="B942" s="10" t="n"/>
      <c r="C942" s="11" t="n"/>
      <c r="D942" s="11" t="n"/>
      <c r="E942" s="11" t="n"/>
      <c r="F942" s="11" t="n"/>
      <c r="G942" s="8" t="n"/>
      <c r="H942" s="12" t="n"/>
      <c r="I942" s="13" t="n"/>
      <c r="J942" s="14">
        <f>IF(OR(H942="",I942=""),"",H942*I942)</f>
        <v/>
      </c>
      <c r="K942" s="11" t="n"/>
      <c r="L942" s="9">
        <f>IF(B942="","",MONTH(B942))</f>
        <v/>
      </c>
      <c r="M942" s="9">
        <f>IF(B942="","",YEAR(B942))</f>
        <v/>
      </c>
    </row>
    <row r="943">
      <c r="A943" s="9">
        <f>IF(B943="","",ROW()-1)</f>
        <v/>
      </c>
      <c r="B943" s="10" t="n"/>
      <c r="C943" s="11" t="n"/>
      <c r="D943" s="11" t="n"/>
      <c r="E943" s="11" t="n"/>
      <c r="F943" s="11" t="n"/>
      <c r="G943" s="8" t="n"/>
      <c r="H943" s="12" t="n"/>
      <c r="I943" s="13" t="n"/>
      <c r="J943" s="14">
        <f>IF(OR(H943="",I943=""),"",H943*I943)</f>
        <v/>
      </c>
      <c r="K943" s="11" t="n"/>
      <c r="L943" s="9">
        <f>IF(B943="","",MONTH(B943))</f>
        <v/>
      </c>
      <c r="M943" s="9">
        <f>IF(B943="","",YEAR(B943))</f>
        <v/>
      </c>
    </row>
    <row r="944">
      <c r="A944" s="9">
        <f>IF(B944="","",ROW()-1)</f>
        <v/>
      </c>
      <c r="B944" s="10" t="n"/>
      <c r="C944" s="11" t="n"/>
      <c r="D944" s="11" t="n"/>
      <c r="E944" s="11" t="n"/>
      <c r="F944" s="11" t="n"/>
      <c r="G944" s="8" t="n"/>
      <c r="H944" s="12" t="n"/>
      <c r="I944" s="13" t="n"/>
      <c r="J944" s="14">
        <f>IF(OR(H944="",I944=""),"",H944*I944)</f>
        <v/>
      </c>
      <c r="K944" s="11" t="n"/>
      <c r="L944" s="9">
        <f>IF(B944="","",MONTH(B944))</f>
        <v/>
      </c>
      <c r="M944" s="9">
        <f>IF(B944="","",YEAR(B944))</f>
        <v/>
      </c>
    </row>
    <row r="945">
      <c r="A945" s="9">
        <f>IF(B945="","",ROW()-1)</f>
        <v/>
      </c>
      <c r="B945" s="10" t="n"/>
      <c r="C945" s="11" t="n"/>
      <c r="D945" s="11" t="n"/>
      <c r="E945" s="11" t="n"/>
      <c r="F945" s="11" t="n"/>
      <c r="G945" s="8" t="n"/>
      <c r="H945" s="12" t="n"/>
      <c r="I945" s="13" t="n"/>
      <c r="J945" s="14">
        <f>IF(OR(H945="",I945=""),"",H945*I945)</f>
        <v/>
      </c>
      <c r="K945" s="11" t="n"/>
      <c r="L945" s="9">
        <f>IF(B945="","",MONTH(B945))</f>
        <v/>
      </c>
      <c r="M945" s="9">
        <f>IF(B945="","",YEAR(B945))</f>
        <v/>
      </c>
    </row>
    <row r="946">
      <c r="A946" s="9">
        <f>IF(B946="","",ROW()-1)</f>
        <v/>
      </c>
      <c r="B946" s="10" t="n"/>
      <c r="C946" s="11" t="n"/>
      <c r="D946" s="11" t="n"/>
      <c r="E946" s="11" t="n"/>
      <c r="F946" s="11" t="n"/>
      <c r="G946" s="8" t="n"/>
      <c r="H946" s="12" t="n"/>
      <c r="I946" s="13" t="n"/>
      <c r="J946" s="14">
        <f>IF(OR(H946="",I946=""),"",H946*I946)</f>
        <v/>
      </c>
      <c r="K946" s="11" t="n"/>
      <c r="L946" s="9">
        <f>IF(B946="","",MONTH(B946))</f>
        <v/>
      </c>
      <c r="M946" s="9">
        <f>IF(B946="","",YEAR(B946))</f>
        <v/>
      </c>
    </row>
    <row r="947">
      <c r="A947" s="9">
        <f>IF(B947="","",ROW()-1)</f>
        <v/>
      </c>
      <c r="B947" s="10" t="n"/>
      <c r="C947" s="11" t="n"/>
      <c r="D947" s="11" t="n"/>
      <c r="E947" s="11" t="n"/>
      <c r="F947" s="11" t="n"/>
      <c r="G947" s="8" t="n"/>
      <c r="H947" s="12" t="n"/>
      <c r="I947" s="13" t="n"/>
      <c r="J947" s="14">
        <f>IF(OR(H947="",I947=""),"",H947*I947)</f>
        <v/>
      </c>
      <c r="K947" s="11" t="n"/>
      <c r="L947" s="9">
        <f>IF(B947="","",MONTH(B947))</f>
        <v/>
      </c>
      <c r="M947" s="9">
        <f>IF(B947="","",YEAR(B947))</f>
        <v/>
      </c>
    </row>
    <row r="948">
      <c r="A948" s="9">
        <f>IF(B948="","",ROW()-1)</f>
        <v/>
      </c>
      <c r="B948" s="10" t="n"/>
      <c r="C948" s="11" t="n"/>
      <c r="D948" s="11" t="n"/>
      <c r="E948" s="11" t="n"/>
      <c r="F948" s="11" t="n"/>
      <c r="G948" s="8" t="n"/>
      <c r="H948" s="12" t="n"/>
      <c r="I948" s="13" t="n"/>
      <c r="J948" s="14">
        <f>IF(OR(H948="",I948=""),"",H948*I948)</f>
        <v/>
      </c>
      <c r="K948" s="11" t="n"/>
      <c r="L948" s="9">
        <f>IF(B948="","",MONTH(B948))</f>
        <v/>
      </c>
      <c r="M948" s="9">
        <f>IF(B948="","",YEAR(B948))</f>
        <v/>
      </c>
    </row>
    <row r="949">
      <c r="A949" s="9">
        <f>IF(B949="","",ROW()-1)</f>
        <v/>
      </c>
      <c r="B949" s="10" t="n"/>
      <c r="C949" s="11" t="n"/>
      <c r="D949" s="11" t="n"/>
      <c r="E949" s="11" t="n"/>
      <c r="F949" s="11" t="n"/>
      <c r="G949" s="8" t="n"/>
      <c r="H949" s="12" t="n"/>
      <c r="I949" s="13" t="n"/>
      <c r="J949" s="14">
        <f>IF(OR(H949="",I949=""),"",H949*I949)</f>
        <v/>
      </c>
      <c r="K949" s="11" t="n"/>
      <c r="L949" s="9">
        <f>IF(B949="","",MONTH(B949))</f>
        <v/>
      </c>
      <c r="M949" s="9">
        <f>IF(B949="","",YEAR(B949))</f>
        <v/>
      </c>
    </row>
    <row r="950">
      <c r="A950" s="9">
        <f>IF(B950="","",ROW()-1)</f>
        <v/>
      </c>
      <c r="B950" s="10" t="n"/>
      <c r="C950" s="11" t="n"/>
      <c r="D950" s="11" t="n"/>
      <c r="E950" s="11" t="n"/>
      <c r="F950" s="11" t="n"/>
      <c r="G950" s="8" t="n"/>
      <c r="H950" s="12" t="n"/>
      <c r="I950" s="13" t="n"/>
      <c r="J950" s="14">
        <f>IF(OR(H950="",I950=""),"",H950*I950)</f>
        <v/>
      </c>
      <c r="K950" s="11" t="n"/>
      <c r="L950" s="9">
        <f>IF(B950="","",MONTH(B950))</f>
        <v/>
      </c>
      <c r="M950" s="9">
        <f>IF(B950="","",YEAR(B950))</f>
        <v/>
      </c>
    </row>
    <row r="951">
      <c r="A951" s="9">
        <f>IF(B951="","",ROW()-1)</f>
        <v/>
      </c>
      <c r="B951" s="10" t="n"/>
      <c r="C951" s="11" t="n"/>
      <c r="D951" s="11" t="n"/>
      <c r="E951" s="11" t="n"/>
      <c r="F951" s="11" t="n"/>
      <c r="G951" s="8" t="n"/>
      <c r="H951" s="12" t="n"/>
      <c r="I951" s="13" t="n"/>
      <c r="J951" s="14">
        <f>IF(OR(H951="",I951=""),"",H951*I951)</f>
        <v/>
      </c>
      <c r="K951" s="11" t="n"/>
      <c r="L951" s="9">
        <f>IF(B951="","",MONTH(B951))</f>
        <v/>
      </c>
      <c r="M951" s="9">
        <f>IF(B951="","",YEAR(B951))</f>
        <v/>
      </c>
    </row>
    <row r="952">
      <c r="A952" s="9">
        <f>IF(B952="","",ROW()-1)</f>
        <v/>
      </c>
      <c r="B952" s="10" t="n"/>
      <c r="C952" s="11" t="n"/>
      <c r="D952" s="11" t="n"/>
      <c r="E952" s="11" t="n"/>
      <c r="F952" s="11" t="n"/>
      <c r="G952" s="8" t="n"/>
      <c r="H952" s="12" t="n"/>
      <c r="I952" s="13" t="n"/>
      <c r="J952" s="14">
        <f>IF(OR(H952="",I952=""),"",H952*I952)</f>
        <v/>
      </c>
      <c r="K952" s="11" t="n"/>
      <c r="L952" s="9">
        <f>IF(B952="","",MONTH(B952))</f>
        <v/>
      </c>
      <c r="M952" s="9">
        <f>IF(B952="","",YEAR(B952))</f>
        <v/>
      </c>
    </row>
    <row r="953">
      <c r="A953" s="9">
        <f>IF(B953="","",ROW()-1)</f>
        <v/>
      </c>
      <c r="B953" s="10" t="n"/>
      <c r="C953" s="11" t="n"/>
      <c r="D953" s="11" t="n"/>
      <c r="E953" s="11" t="n"/>
      <c r="F953" s="11" t="n"/>
      <c r="G953" s="8" t="n"/>
      <c r="H953" s="12" t="n"/>
      <c r="I953" s="13" t="n"/>
      <c r="J953" s="14">
        <f>IF(OR(H953="",I953=""),"",H953*I953)</f>
        <v/>
      </c>
      <c r="K953" s="11" t="n"/>
      <c r="L953" s="9">
        <f>IF(B953="","",MONTH(B953))</f>
        <v/>
      </c>
      <c r="M953" s="9">
        <f>IF(B953="","",YEAR(B953))</f>
        <v/>
      </c>
    </row>
    <row r="954">
      <c r="A954" s="9">
        <f>IF(B954="","",ROW()-1)</f>
        <v/>
      </c>
      <c r="B954" s="10" t="n"/>
      <c r="C954" s="11" t="n"/>
      <c r="D954" s="11" t="n"/>
      <c r="E954" s="11" t="n"/>
      <c r="F954" s="11" t="n"/>
      <c r="G954" s="8" t="n"/>
      <c r="H954" s="12" t="n"/>
      <c r="I954" s="13" t="n"/>
      <c r="J954" s="14">
        <f>IF(OR(H954="",I954=""),"",H954*I954)</f>
        <v/>
      </c>
      <c r="K954" s="11" t="n"/>
      <c r="L954" s="9">
        <f>IF(B954="","",MONTH(B954))</f>
        <v/>
      </c>
      <c r="M954" s="9">
        <f>IF(B954="","",YEAR(B954))</f>
        <v/>
      </c>
    </row>
    <row r="955">
      <c r="A955" s="9">
        <f>IF(B955="","",ROW()-1)</f>
        <v/>
      </c>
      <c r="B955" s="10" t="n"/>
      <c r="C955" s="11" t="n"/>
      <c r="D955" s="11" t="n"/>
      <c r="E955" s="11" t="n"/>
      <c r="F955" s="11" t="n"/>
      <c r="G955" s="8" t="n"/>
      <c r="H955" s="12" t="n"/>
      <c r="I955" s="13" t="n"/>
      <c r="J955" s="14">
        <f>IF(OR(H955="",I955=""),"",H955*I955)</f>
        <v/>
      </c>
      <c r="K955" s="11" t="n"/>
      <c r="L955" s="9">
        <f>IF(B955="","",MONTH(B955))</f>
        <v/>
      </c>
      <c r="M955" s="9">
        <f>IF(B955="","",YEAR(B955))</f>
        <v/>
      </c>
    </row>
    <row r="956">
      <c r="A956" s="9">
        <f>IF(B956="","",ROW()-1)</f>
        <v/>
      </c>
      <c r="B956" s="10" t="n"/>
      <c r="C956" s="11" t="n"/>
      <c r="D956" s="11" t="n"/>
      <c r="E956" s="11" t="n"/>
      <c r="F956" s="11" t="n"/>
      <c r="G956" s="8" t="n"/>
      <c r="H956" s="12" t="n"/>
      <c r="I956" s="13" t="n"/>
      <c r="J956" s="14">
        <f>IF(OR(H956="",I956=""),"",H956*I956)</f>
        <v/>
      </c>
      <c r="K956" s="11" t="n"/>
      <c r="L956" s="9">
        <f>IF(B956="","",MONTH(B956))</f>
        <v/>
      </c>
      <c r="M956" s="9">
        <f>IF(B956="","",YEAR(B956))</f>
        <v/>
      </c>
    </row>
    <row r="957">
      <c r="A957" s="9">
        <f>IF(B957="","",ROW()-1)</f>
        <v/>
      </c>
      <c r="B957" s="10" t="n"/>
      <c r="C957" s="11" t="n"/>
      <c r="D957" s="11" t="n"/>
      <c r="E957" s="11" t="n"/>
      <c r="F957" s="11" t="n"/>
      <c r="G957" s="8" t="n"/>
      <c r="H957" s="12" t="n"/>
      <c r="I957" s="13" t="n"/>
      <c r="J957" s="14">
        <f>IF(OR(H957="",I957=""),"",H957*I957)</f>
        <v/>
      </c>
      <c r="K957" s="11" t="n"/>
      <c r="L957" s="9">
        <f>IF(B957="","",MONTH(B957))</f>
        <v/>
      </c>
      <c r="M957" s="9">
        <f>IF(B957="","",YEAR(B957))</f>
        <v/>
      </c>
    </row>
    <row r="958">
      <c r="A958" s="9">
        <f>IF(B958="","",ROW()-1)</f>
        <v/>
      </c>
      <c r="B958" s="10" t="n"/>
      <c r="C958" s="11" t="n"/>
      <c r="D958" s="11" t="n"/>
      <c r="E958" s="11" t="n"/>
      <c r="F958" s="11" t="n"/>
      <c r="G958" s="8" t="n"/>
      <c r="H958" s="12" t="n"/>
      <c r="I958" s="13" t="n"/>
      <c r="J958" s="14">
        <f>IF(OR(H958="",I958=""),"",H958*I958)</f>
        <v/>
      </c>
      <c r="K958" s="11" t="n"/>
      <c r="L958" s="9">
        <f>IF(B958="","",MONTH(B958))</f>
        <v/>
      </c>
      <c r="M958" s="9">
        <f>IF(B958="","",YEAR(B958))</f>
        <v/>
      </c>
    </row>
    <row r="959">
      <c r="A959" s="9">
        <f>IF(B959="","",ROW()-1)</f>
        <v/>
      </c>
      <c r="B959" s="10" t="n"/>
      <c r="C959" s="11" t="n"/>
      <c r="D959" s="11" t="n"/>
      <c r="E959" s="11" t="n"/>
      <c r="F959" s="11" t="n"/>
      <c r="G959" s="8" t="n"/>
      <c r="H959" s="12" t="n"/>
      <c r="I959" s="13" t="n"/>
      <c r="J959" s="14">
        <f>IF(OR(H959="",I959=""),"",H959*I959)</f>
        <v/>
      </c>
      <c r="K959" s="11" t="n"/>
      <c r="L959" s="9">
        <f>IF(B959="","",MONTH(B959))</f>
        <v/>
      </c>
      <c r="M959" s="9">
        <f>IF(B959="","",YEAR(B959))</f>
        <v/>
      </c>
    </row>
    <row r="960">
      <c r="A960" s="9">
        <f>IF(B960="","",ROW()-1)</f>
        <v/>
      </c>
      <c r="B960" s="10" t="n"/>
      <c r="C960" s="11" t="n"/>
      <c r="D960" s="11" t="n"/>
      <c r="E960" s="11" t="n"/>
      <c r="F960" s="11" t="n"/>
      <c r="G960" s="8" t="n"/>
      <c r="H960" s="12" t="n"/>
      <c r="I960" s="13" t="n"/>
      <c r="J960" s="14">
        <f>IF(OR(H960="",I960=""),"",H960*I960)</f>
        <v/>
      </c>
      <c r="K960" s="11" t="n"/>
      <c r="L960" s="9">
        <f>IF(B960="","",MONTH(B960))</f>
        <v/>
      </c>
      <c r="M960" s="9">
        <f>IF(B960="","",YEAR(B960))</f>
        <v/>
      </c>
    </row>
    <row r="961">
      <c r="A961" s="9">
        <f>IF(B961="","",ROW()-1)</f>
        <v/>
      </c>
      <c r="B961" s="10" t="n"/>
      <c r="C961" s="11" t="n"/>
      <c r="D961" s="11" t="n"/>
      <c r="E961" s="11" t="n"/>
      <c r="F961" s="11" t="n"/>
      <c r="G961" s="8" t="n"/>
      <c r="H961" s="12" t="n"/>
      <c r="I961" s="13" t="n"/>
      <c r="J961" s="14">
        <f>IF(OR(H961="",I961=""),"",H961*I961)</f>
        <v/>
      </c>
      <c r="K961" s="11" t="n"/>
      <c r="L961" s="9">
        <f>IF(B961="","",MONTH(B961))</f>
        <v/>
      </c>
      <c r="M961" s="9">
        <f>IF(B961="","",YEAR(B961))</f>
        <v/>
      </c>
    </row>
    <row r="962">
      <c r="A962" s="9">
        <f>IF(B962="","",ROW()-1)</f>
        <v/>
      </c>
      <c r="B962" s="10" t="n"/>
      <c r="C962" s="11" t="n"/>
      <c r="D962" s="11" t="n"/>
      <c r="E962" s="11" t="n"/>
      <c r="F962" s="11" t="n"/>
      <c r="G962" s="8" t="n"/>
      <c r="H962" s="12" t="n"/>
      <c r="I962" s="13" t="n"/>
      <c r="J962" s="14">
        <f>IF(OR(H962="",I962=""),"",H962*I962)</f>
        <v/>
      </c>
      <c r="K962" s="11" t="n"/>
      <c r="L962" s="9">
        <f>IF(B962="","",MONTH(B962))</f>
        <v/>
      </c>
      <c r="M962" s="9">
        <f>IF(B962="","",YEAR(B962))</f>
        <v/>
      </c>
    </row>
    <row r="963">
      <c r="A963" s="9">
        <f>IF(B963="","",ROW()-1)</f>
        <v/>
      </c>
      <c r="B963" s="10" t="n"/>
      <c r="C963" s="11" t="n"/>
      <c r="D963" s="11" t="n"/>
      <c r="E963" s="11" t="n"/>
      <c r="F963" s="11" t="n"/>
      <c r="G963" s="8" t="n"/>
      <c r="H963" s="12" t="n"/>
      <c r="I963" s="13" t="n"/>
      <c r="J963" s="14">
        <f>IF(OR(H963="",I963=""),"",H963*I963)</f>
        <v/>
      </c>
      <c r="K963" s="11" t="n"/>
      <c r="L963" s="9">
        <f>IF(B963="","",MONTH(B963))</f>
        <v/>
      </c>
      <c r="M963" s="9">
        <f>IF(B963="","",YEAR(B963))</f>
        <v/>
      </c>
    </row>
    <row r="964">
      <c r="A964" s="9">
        <f>IF(B964="","",ROW()-1)</f>
        <v/>
      </c>
      <c r="B964" s="10" t="n"/>
      <c r="C964" s="11" t="n"/>
      <c r="D964" s="11" t="n"/>
      <c r="E964" s="11" t="n"/>
      <c r="F964" s="11" t="n"/>
      <c r="G964" s="8" t="n"/>
      <c r="H964" s="12" t="n"/>
      <c r="I964" s="13" t="n"/>
      <c r="J964" s="14">
        <f>IF(OR(H964="",I964=""),"",H964*I964)</f>
        <v/>
      </c>
      <c r="K964" s="11" t="n"/>
      <c r="L964" s="9">
        <f>IF(B964="","",MONTH(B964))</f>
        <v/>
      </c>
      <c r="M964" s="9">
        <f>IF(B964="","",YEAR(B964))</f>
        <v/>
      </c>
    </row>
    <row r="965">
      <c r="A965" s="9">
        <f>IF(B965="","",ROW()-1)</f>
        <v/>
      </c>
      <c r="B965" s="10" t="n"/>
      <c r="C965" s="11" t="n"/>
      <c r="D965" s="11" t="n"/>
      <c r="E965" s="11" t="n"/>
      <c r="F965" s="11" t="n"/>
      <c r="G965" s="8" t="n"/>
      <c r="H965" s="12" t="n"/>
      <c r="I965" s="13" t="n"/>
      <c r="J965" s="14">
        <f>IF(OR(H965="",I965=""),"",H965*I965)</f>
        <v/>
      </c>
      <c r="K965" s="11" t="n"/>
      <c r="L965" s="9">
        <f>IF(B965="","",MONTH(B965))</f>
        <v/>
      </c>
      <c r="M965" s="9">
        <f>IF(B965="","",YEAR(B965))</f>
        <v/>
      </c>
    </row>
    <row r="966">
      <c r="A966" s="9">
        <f>IF(B966="","",ROW()-1)</f>
        <v/>
      </c>
      <c r="B966" s="10" t="n"/>
      <c r="C966" s="11" t="n"/>
      <c r="D966" s="11" t="n"/>
      <c r="E966" s="11" t="n"/>
      <c r="F966" s="11" t="n"/>
      <c r="G966" s="8" t="n"/>
      <c r="H966" s="12" t="n"/>
      <c r="I966" s="13" t="n"/>
      <c r="J966" s="14">
        <f>IF(OR(H966="",I966=""),"",H966*I966)</f>
        <v/>
      </c>
      <c r="K966" s="11" t="n"/>
      <c r="L966" s="9">
        <f>IF(B966="","",MONTH(B966))</f>
        <v/>
      </c>
      <c r="M966" s="9">
        <f>IF(B966="","",YEAR(B966))</f>
        <v/>
      </c>
    </row>
    <row r="967">
      <c r="A967" s="9">
        <f>IF(B967="","",ROW()-1)</f>
        <v/>
      </c>
      <c r="B967" s="10" t="n"/>
      <c r="C967" s="11" t="n"/>
      <c r="D967" s="11" t="n"/>
      <c r="E967" s="11" t="n"/>
      <c r="F967" s="11" t="n"/>
      <c r="G967" s="8" t="n"/>
      <c r="H967" s="12" t="n"/>
      <c r="I967" s="13" t="n"/>
      <c r="J967" s="14">
        <f>IF(OR(H967="",I967=""),"",H967*I967)</f>
        <v/>
      </c>
      <c r="K967" s="11" t="n"/>
      <c r="L967" s="9">
        <f>IF(B967="","",MONTH(B967))</f>
        <v/>
      </c>
      <c r="M967" s="9">
        <f>IF(B967="","",YEAR(B967))</f>
        <v/>
      </c>
    </row>
    <row r="968">
      <c r="A968" s="9">
        <f>IF(B968="","",ROW()-1)</f>
        <v/>
      </c>
      <c r="B968" s="10" t="n"/>
      <c r="C968" s="11" t="n"/>
      <c r="D968" s="11" t="n"/>
      <c r="E968" s="11" t="n"/>
      <c r="F968" s="11" t="n"/>
      <c r="G968" s="8" t="n"/>
      <c r="H968" s="12" t="n"/>
      <c r="I968" s="13" t="n"/>
      <c r="J968" s="14">
        <f>IF(OR(H968="",I968=""),"",H968*I968)</f>
        <v/>
      </c>
      <c r="K968" s="11" t="n"/>
      <c r="L968" s="9">
        <f>IF(B968="","",MONTH(B968))</f>
        <v/>
      </c>
      <c r="M968" s="9">
        <f>IF(B968="","",YEAR(B968))</f>
        <v/>
      </c>
    </row>
    <row r="969">
      <c r="A969" s="9">
        <f>IF(B969="","",ROW()-1)</f>
        <v/>
      </c>
      <c r="B969" s="10" t="n"/>
      <c r="C969" s="11" t="n"/>
      <c r="D969" s="11" t="n"/>
      <c r="E969" s="11" t="n"/>
      <c r="F969" s="11" t="n"/>
      <c r="G969" s="8" t="n"/>
      <c r="H969" s="12" t="n"/>
      <c r="I969" s="13" t="n"/>
      <c r="J969" s="14">
        <f>IF(OR(H969="",I969=""),"",H969*I969)</f>
        <v/>
      </c>
      <c r="K969" s="11" t="n"/>
      <c r="L969" s="9">
        <f>IF(B969="","",MONTH(B969))</f>
        <v/>
      </c>
      <c r="M969" s="9">
        <f>IF(B969="","",YEAR(B969))</f>
        <v/>
      </c>
    </row>
    <row r="970">
      <c r="A970" s="9">
        <f>IF(B970="","",ROW()-1)</f>
        <v/>
      </c>
      <c r="B970" s="10" t="n"/>
      <c r="C970" s="11" t="n"/>
      <c r="D970" s="11" t="n"/>
      <c r="E970" s="11" t="n"/>
      <c r="F970" s="11" t="n"/>
      <c r="G970" s="8" t="n"/>
      <c r="H970" s="12" t="n"/>
      <c r="I970" s="13" t="n"/>
      <c r="J970" s="14">
        <f>IF(OR(H970="",I970=""),"",H970*I970)</f>
        <v/>
      </c>
      <c r="K970" s="11" t="n"/>
      <c r="L970" s="9">
        <f>IF(B970="","",MONTH(B970))</f>
        <v/>
      </c>
      <c r="M970" s="9">
        <f>IF(B970="","",YEAR(B970))</f>
        <v/>
      </c>
    </row>
    <row r="971">
      <c r="A971" s="9">
        <f>IF(B971="","",ROW()-1)</f>
        <v/>
      </c>
      <c r="B971" s="10" t="n"/>
      <c r="C971" s="11" t="n"/>
      <c r="D971" s="11" t="n"/>
      <c r="E971" s="11" t="n"/>
      <c r="F971" s="11" t="n"/>
      <c r="G971" s="8" t="n"/>
      <c r="H971" s="12" t="n"/>
      <c r="I971" s="13" t="n"/>
      <c r="J971" s="14">
        <f>IF(OR(H971="",I971=""),"",H971*I971)</f>
        <v/>
      </c>
      <c r="K971" s="11" t="n"/>
      <c r="L971" s="9">
        <f>IF(B971="","",MONTH(B971))</f>
        <v/>
      </c>
      <c r="M971" s="9">
        <f>IF(B971="","",YEAR(B971))</f>
        <v/>
      </c>
    </row>
    <row r="972">
      <c r="A972" s="9">
        <f>IF(B972="","",ROW()-1)</f>
        <v/>
      </c>
      <c r="B972" s="10" t="n"/>
      <c r="C972" s="11" t="n"/>
      <c r="D972" s="11" t="n"/>
      <c r="E972" s="11" t="n"/>
      <c r="F972" s="11" t="n"/>
      <c r="G972" s="8" t="n"/>
      <c r="H972" s="12" t="n"/>
      <c r="I972" s="13" t="n"/>
      <c r="J972" s="14">
        <f>IF(OR(H972="",I972=""),"",H972*I972)</f>
        <v/>
      </c>
      <c r="K972" s="11" t="n"/>
      <c r="L972" s="9">
        <f>IF(B972="","",MONTH(B972))</f>
        <v/>
      </c>
      <c r="M972" s="9">
        <f>IF(B972="","",YEAR(B972))</f>
        <v/>
      </c>
    </row>
    <row r="973">
      <c r="A973" s="9">
        <f>IF(B973="","",ROW()-1)</f>
        <v/>
      </c>
      <c r="B973" s="10" t="n"/>
      <c r="C973" s="11" t="n"/>
      <c r="D973" s="11" t="n"/>
      <c r="E973" s="11" t="n"/>
      <c r="F973" s="11" t="n"/>
      <c r="G973" s="8" t="n"/>
      <c r="H973" s="12" t="n"/>
      <c r="I973" s="13" t="n"/>
      <c r="J973" s="14">
        <f>IF(OR(H973="",I973=""),"",H973*I973)</f>
        <v/>
      </c>
      <c r="K973" s="11" t="n"/>
      <c r="L973" s="9">
        <f>IF(B973="","",MONTH(B973))</f>
        <v/>
      </c>
      <c r="M973" s="9">
        <f>IF(B973="","",YEAR(B973))</f>
        <v/>
      </c>
    </row>
    <row r="974">
      <c r="A974" s="9">
        <f>IF(B974="","",ROW()-1)</f>
        <v/>
      </c>
      <c r="B974" s="10" t="n"/>
      <c r="C974" s="11" t="n"/>
      <c r="D974" s="11" t="n"/>
      <c r="E974" s="11" t="n"/>
      <c r="F974" s="11" t="n"/>
      <c r="G974" s="8" t="n"/>
      <c r="H974" s="12" t="n"/>
      <c r="I974" s="13" t="n"/>
      <c r="J974" s="14">
        <f>IF(OR(H974="",I974=""),"",H974*I974)</f>
        <v/>
      </c>
      <c r="K974" s="11" t="n"/>
      <c r="L974" s="9">
        <f>IF(B974="","",MONTH(B974))</f>
        <v/>
      </c>
      <c r="M974" s="9">
        <f>IF(B974="","",YEAR(B974))</f>
        <v/>
      </c>
    </row>
    <row r="975">
      <c r="A975" s="9">
        <f>IF(B975="","",ROW()-1)</f>
        <v/>
      </c>
      <c r="B975" s="10" t="n"/>
      <c r="C975" s="11" t="n"/>
      <c r="D975" s="11" t="n"/>
      <c r="E975" s="11" t="n"/>
      <c r="F975" s="11" t="n"/>
      <c r="G975" s="8" t="n"/>
      <c r="H975" s="12" t="n"/>
      <c r="I975" s="13" t="n"/>
      <c r="J975" s="14">
        <f>IF(OR(H975="",I975=""),"",H975*I975)</f>
        <v/>
      </c>
      <c r="K975" s="11" t="n"/>
      <c r="L975" s="9">
        <f>IF(B975="","",MONTH(B975))</f>
        <v/>
      </c>
      <c r="M975" s="9">
        <f>IF(B975="","",YEAR(B975))</f>
        <v/>
      </c>
    </row>
    <row r="976">
      <c r="A976" s="9">
        <f>IF(B976="","",ROW()-1)</f>
        <v/>
      </c>
      <c r="B976" s="10" t="n"/>
      <c r="C976" s="11" t="n"/>
      <c r="D976" s="11" t="n"/>
      <c r="E976" s="11" t="n"/>
      <c r="F976" s="11" t="n"/>
      <c r="G976" s="8" t="n"/>
      <c r="H976" s="12" t="n"/>
      <c r="I976" s="13" t="n"/>
      <c r="J976" s="14">
        <f>IF(OR(H976="",I976=""),"",H976*I976)</f>
        <v/>
      </c>
      <c r="K976" s="11" t="n"/>
      <c r="L976" s="9">
        <f>IF(B976="","",MONTH(B976))</f>
        <v/>
      </c>
      <c r="M976" s="9">
        <f>IF(B976="","",YEAR(B976))</f>
        <v/>
      </c>
    </row>
    <row r="977">
      <c r="A977" s="9">
        <f>IF(B977="","",ROW()-1)</f>
        <v/>
      </c>
      <c r="B977" s="10" t="n"/>
      <c r="C977" s="11" t="n"/>
      <c r="D977" s="11" t="n"/>
      <c r="E977" s="11" t="n"/>
      <c r="F977" s="11" t="n"/>
      <c r="G977" s="8" t="n"/>
      <c r="H977" s="12" t="n"/>
      <c r="I977" s="13" t="n"/>
      <c r="J977" s="14">
        <f>IF(OR(H977="",I977=""),"",H977*I977)</f>
        <v/>
      </c>
      <c r="K977" s="11" t="n"/>
      <c r="L977" s="9">
        <f>IF(B977="","",MONTH(B977))</f>
        <v/>
      </c>
      <c r="M977" s="9">
        <f>IF(B977="","",YEAR(B977))</f>
        <v/>
      </c>
    </row>
    <row r="978">
      <c r="A978" s="9">
        <f>IF(B978="","",ROW()-1)</f>
        <v/>
      </c>
      <c r="B978" s="10" t="n"/>
      <c r="C978" s="11" t="n"/>
      <c r="D978" s="11" t="n"/>
      <c r="E978" s="11" t="n"/>
      <c r="F978" s="11" t="n"/>
      <c r="G978" s="8" t="n"/>
      <c r="H978" s="12" t="n"/>
      <c r="I978" s="13" t="n"/>
      <c r="J978" s="14">
        <f>IF(OR(H978="",I978=""),"",H978*I978)</f>
        <v/>
      </c>
      <c r="K978" s="11" t="n"/>
      <c r="L978" s="9">
        <f>IF(B978="","",MONTH(B978))</f>
        <v/>
      </c>
      <c r="M978" s="9">
        <f>IF(B978="","",YEAR(B978))</f>
        <v/>
      </c>
    </row>
    <row r="979">
      <c r="A979" s="9">
        <f>IF(B979="","",ROW()-1)</f>
        <v/>
      </c>
      <c r="B979" s="10" t="n"/>
      <c r="C979" s="11" t="n"/>
      <c r="D979" s="11" t="n"/>
      <c r="E979" s="11" t="n"/>
      <c r="F979" s="11" t="n"/>
      <c r="G979" s="8" t="n"/>
      <c r="H979" s="12" t="n"/>
      <c r="I979" s="13" t="n"/>
      <c r="J979" s="14">
        <f>IF(OR(H979="",I979=""),"",H979*I979)</f>
        <v/>
      </c>
      <c r="K979" s="11" t="n"/>
      <c r="L979" s="9">
        <f>IF(B979="","",MONTH(B979))</f>
        <v/>
      </c>
      <c r="M979" s="9">
        <f>IF(B979="","",YEAR(B979))</f>
        <v/>
      </c>
    </row>
    <row r="980">
      <c r="A980" s="9">
        <f>IF(B980="","",ROW()-1)</f>
        <v/>
      </c>
      <c r="B980" s="10" t="n"/>
      <c r="C980" s="11" t="n"/>
      <c r="D980" s="11" t="n"/>
      <c r="E980" s="11" t="n"/>
      <c r="F980" s="11" t="n"/>
      <c r="G980" s="8" t="n"/>
      <c r="H980" s="12" t="n"/>
      <c r="I980" s="13" t="n"/>
      <c r="J980" s="14">
        <f>IF(OR(H980="",I980=""),"",H980*I980)</f>
        <v/>
      </c>
      <c r="K980" s="11" t="n"/>
      <c r="L980" s="9">
        <f>IF(B980="","",MONTH(B980))</f>
        <v/>
      </c>
      <c r="M980" s="9">
        <f>IF(B980="","",YEAR(B980))</f>
        <v/>
      </c>
    </row>
    <row r="981">
      <c r="A981" s="9">
        <f>IF(B981="","",ROW()-1)</f>
        <v/>
      </c>
      <c r="B981" s="10" t="n"/>
      <c r="C981" s="11" t="n"/>
      <c r="D981" s="11" t="n"/>
      <c r="E981" s="11" t="n"/>
      <c r="F981" s="11" t="n"/>
      <c r="G981" s="8" t="n"/>
      <c r="H981" s="12" t="n"/>
      <c r="I981" s="13" t="n"/>
      <c r="J981" s="14">
        <f>IF(OR(H981="",I981=""),"",H981*I981)</f>
        <v/>
      </c>
      <c r="K981" s="11" t="n"/>
      <c r="L981" s="9">
        <f>IF(B981="","",MONTH(B981))</f>
        <v/>
      </c>
      <c r="M981" s="9">
        <f>IF(B981="","",YEAR(B981))</f>
        <v/>
      </c>
    </row>
    <row r="982">
      <c r="A982" s="9">
        <f>IF(B982="","",ROW()-1)</f>
        <v/>
      </c>
      <c r="B982" s="10" t="n"/>
      <c r="C982" s="11" t="n"/>
      <c r="D982" s="11" t="n"/>
      <c r="E982" s="11" t="n"/>
      <c r="F982" s="11" t="n"/>
      <c r="G982" s="8" t="n"/>
      <c r="H982" s="12" t="n"/>
      <c r="I982" s="13" t="n"/>
      <c r="J982" s="14">
        <f>IF(OR(H982="",I982=""),"",H982*I982)</f>
        <v/>
      </c>
      <c r="K982" s="11" t="n"/>
      <c r="L982" s="9">
        <f>IF(B982="","",MONTH(B982))</f>
        <v/>
      </c>
      <c r="M982" s="9">
        <f>IF(B982="","",YEAR(B982))</f>
        <v/>
      </c>
    </row>
    <row r="983">
      <c r="A983" s="9">
        <f>IF(B983="","",ROW()-1)</f>
        <v/>
      </c>
      <c r="B983" s="10" t="n"/>
      <c r="C983" s="11" t="n"/>
      <c r="D983" s="11" t="n"/>
      <c r="E983" s="11" t="n"/>
      <c r="F983" s="11" t="n"/>
      <c r="G983" s="8" t="n"/>
      <c r="H983" s="12" t="n"/>
      <c r="I983" s="13" t="n"/>
      <c r="J983" s="14">
        <f>IF(OR(H983="",I983=""),"",H983*I983)</f>
        <v/>
      </c>
      <c r="K983" s="11" t="n"/>
      <c r="L983" s="9">
        <f>IF(B983="","",MONTH(B983))</f>
        <v/>
      </c>
      <c r="M983" s="9">
        <f>IF(B983="","",YEAR(B983))</f>
        <v/>
      </c>
    </row>
    <row r="984">
      <c r="A984" s="9">
        <f>IF(B984="","",ROW()-1)</f>
        <v/>
      </c>
      <c r="B984" s="10" t="n"/>
      <c r="C984" s="11" t="n"/>
      <c r="D984" s="11" t="n"/>
      <c r="E984" s="11" t="n"/>
      <c r="F984" s="11" t="n"/>
      <c r="G984" s="8" t="n"/>
      <c r="H984" s="12" t="n"/>
      <c r="I984" s="13" t="n"/>
      <c r="J984" s="14">
        <f>IF(OR(H984="",I984=""),"",H984*I984)</f>
        <v/>
      </c>
      <c r="K984" s="11" t="n"/>
      <c r="L984" s="9">
        <f>IF(B984="","",MONTH(B984))</f>
        <v/>
      </c>
      <c r="M984" s="9">
        <f>IF(B984="","",YEAR(B984))</f>
        <v/>
      </c>
    </row>
    <row r="985">
      <c r="A985" s="9">
        <f>IF(B985="","",ROW()-1)</f>
        <v/>
      </c>
      <c r="B985" s="10" t="n"/>
      <c r="C985" s="11" t="n"/>
      <c r="D985" s="11" t="n"/>
      <c r="E985" s="11" t="n"/>
      <c r="F985" s="11" t="n"/>
      <c r="G985" s="8" t="n"/>
      <c r="H985" s="12" t="n"/>
      <c r="I985" s="13" t="n"/>
      <c r="J985" s="14">
        <f>IF(OR(H985="",I985=""),"",H985*I985)</f>
        <v/>
      </c>
      <c r="K985" s="11" t="n"/>
      <c r="L985" s="9">
        <f>IF(B985="","",MONTH(B985))</f>
        <v/>
      </c>
      <c r="M985" s="9">
        <f>IF(B985="","",YEAR(B985))</f>
        <v/>
      </c>
    </row>
    <row r="986">
      <c r="A986" s="9">
        <f>IF(B986="","",ROW()-1)</f>
        <v/>
      </c>
      <c r="B986" s="10" t="n"/>
      <c r="C986" s="11" t="n"/>
      <c r="D986" s="11" t="n"/>
      <c r="E986" s="11" t="n"/>
      <c r="F986" s="11" t="n"/>
      <c r="G986" s="8" t="n"/>
      <c r="H986" s="12" t="n"/>
      <c r="I986" s="13" t="n"/>
      <c r="J986" s="14">
        <f>IF(OR(H986="",I986=""),"",H986*I986)</f>
        <v/>
      </c>
      <c r="K986" s="11" t="n"/>
      <c r="L986" s="9">
        <f>IF(B986="","",MONTH(B986))</f>
        <v/>
      </c>
      <c r="M986" s="9">
        <f>IF(B986="","",YEAR(B986))</f>
        <v/>
      </c>
    </row>
    <row r="987">
      <c r="A987" s="9">
        <f>IF(B987="","",ROW()-1)</f>
        <v/>
      </c>
      <c r="B987" s="10" t="n"/>
      <c r="C987" s="11" t="n"/>
      <c r="D987" s="11" t="n"/>
      <c r="E987" s="11" t="n"/>
      <c r="F987" s="11" t="n"/>
      <c r="G987" s="8" t="n"/>
      <c r="H987" s="12" t="n"/>
      <c r="I987" s="13" t="n"/>
      <c r="J987" s="14">
        <f>IF(OR(H987="",I987=""),"",H987*I987)</f>
        <v/>
      </c>
      <c r="K987" s="11" t="n"/>
      <c r="L987" s="9">
        <f>IF(B987="","",MONTH(B987))</f>
        <v/>
      </c>
      <c r="M987" s="9">
        <f>IF(B987="","",YEAR(B987))</f>
        <v/>
      </c>
    </row>
    <row r="988">
      <c r="A988" s="9">
        <f>IF(B988="","",ROW()-1)</f>
        <v/>
      </c>
      <c r="B988" s="10" t="n"/>
      <c r="C988" s="11" t="n"/>
      <c r="D988" s="11" t="n"/>
      <c r="E988" s="11" t="n"/>
      <c r="F988" s="11" t="n"/>
      <c r="G988" s="8" t="n"/>
      <c r="H988" s="12" t="n"/>
      <c r="I988" s="13" t="n"/>
      <c r="J988" s="14">
        <f>IF(OR(H988="",I988=""),"",H988*I988)</f>
        <v/>
      </c>
      <c r="K988" s="11" t="n"/>
      <c r="L988" s="9">
        <f>IF(B988="","",MONTH(B988))</f>
        <v/>
      </c>
      <c r="M988" s="9">
        <f>IF(B988="","",YEAR(B988))</f>
        <v/>
      </c>
    </row>
    <row r="989">
      <c r="A989" s="9">
        <f>IF(B989="","",ROW()-1)</f>
        <v/>
      </c>
      <c r="B989" s="10" t="n"/>
      <c r="C989" s="11" t="n"/>
      <c r="D989" s="11" t="n"/>
      <c r="E989" s="11" t="n"/>
      <c r="F989" s="11" t="n"/>
      <c r="G989" s="8" t="n"/>
      <c r="H989" s="12" t="n"/>
      <c r="I989" s="13" t="n"/>
      <c r="J989" s="14">
        <f>IF(OR(H989="",I989=""),"",H989*I989)</f>
        <v/>
      </c>
      <c r="K989" s="11" t="n"/>
      <c r="L989" s="9">
        <f>IF(B989="","",MONTH(B989))</f>
        <v/>
      </c>
      <c r="M989" s="9">
        <f>IF(B989="","",YEAR(B989))</f>
        <v/>
      </c>
    </row>
    <row r="990">
      <c r="A990" s="9">
        <f>IF(B990="","",ROW()-1)</f>
        <v/>
      </c>
      <c r="B990" s="10" t="n"/>
      <c r="C990" s="11" t="n"/>
      <c r="D990" s="11" t="n"/>
      <c r="E990" s="11" t="n"/>
      <c r="F990" s="11" t="n"/>
      <c r="G990" s="8" t="n"/>
      <c r="H990" s="12" t="n"/>
      <c r="I990" s="13" t="n"/>
      <c r="J990" s="14">
        <f>IF(OR(H990="",I990=""),"",H990*I990)</f>
        <v/>
      </c>
      <c r="K990" s="11" t="n"/>
      <c r="L990" s="9">
        <f>IF(B990="","",MONTH(B990))</f>
        <v/>
      </c>
      <c r="M990" s="9">
        <f>IF(B990="","",YEAR(B990))</f>
        <v/>
      </c>
    </row>
    <row r="991">
      <c r="A991" s="9">
        <f>IF(B991="","",ROW()-1)</f>
        <v/>
      </c>
      <c r="B991" s="10" t="n"/>
      <c r="C991" s="11" t="n"/>
      <c r="D991" s="11" t="n"/>
      <c r="E991" s="11" t="n"/>
      <c r="F991" s="11" t="n"/>
      <c r="G991" s="8" t="n"/>
      <c r="H991" s="12" t="n"/>
      <c r="I991" s="13" t="n"/>
      <c r="J991" s="14">
        <f>IF(OR(H991="",I991=""),"",H991*I991)</f>
        <v/>
      </c>
      <c r="K991" s="11" t="n"/>
      <c r="L991" s="9">
        <f>IF(B991="","",MONTH(B991))</f>
        <v/>
      </c>
      <c r="M991" s="9">
        <f>IF(B991="","",YEAR(B991))</f>
        <v/>
      </c>
    </row>
    <row r="992">
      <c r="A992" s="9">
        <f>IF(B992="","",ROW()-1)</f>
        <v/>
      </c>
      <c r="B992" s="10" t="n"/>
      <c r="C992" s="11" t="n"/>
      <c r="D992" s="11" t="n"/>
      <c r="E992" s="11" t="n"/>
      <c r="F992" s="11" t="n"/>
      <c r="G992" s="8" t="n"/>
      <c r="H992" s="12" t="n"/>
      <c r="I992" s="13" t="n"/>
      <c r="J992" s="14">
        <f>IF(OR(H992="",I992=""),"",H992*I992)</f>
        <v/>
      </c>
      <c r="K992" s="11" t="n"/>
      <c r="L992" s="9">
        <f>IF(B992="","",MONTH(B992))</f>
        <v/>
      </c>
      <c r="M992" s="9">
        <f>IF(B992="","",YEAR(B992))</f>
        <v/>
      </c>
    </row>
    <row r="993">
      <c r="A993" s="9">
        <f>IF(B993="","",ROW()-1)</f>
        <v/>
      </c>
      <c r="B993" s="10" t="n"/>
      <c r="C993" s="11" t="n"/>
      <c r="D993" s="11" t="n"/>
      <c r="E993" s="11" t="n"/>
      <c r="F993" s="11" t="n"/>
      <c r="G993" s="8" t="n"/>
      <c r="H993" s="12" t="n"/>
      <c r="I993" s="13" t="n"/>
      <c r="J993" s="14">
        <f>IF(OR(H993="",I993=""),"",H993*I993)</f>
        <v/>
      </c>
      <c r="K993" s="11" t="n"/>
      <c r="L993" s="9">
        <f>IF(B993="","",MONTH(B993))</f>
        <v/>
      </c>
      <c r="M993" s="9">
        <f>IF(B993="","",YEAR(B993))</f>
        <v/>
      </c>
    </row>
    <row r="994">
      <c r="A994" s="9">
        <f>IF(B994="","",ROW()-1)</f>
        <v/>
      </c>
      <c r="B994" s="10" t="n"/>
      <c r="C994" s="11" t="n"/>
      <c r="D994" s="11" t="n"/>
      <c r="E994" s="11" t="n"/>
      <c r="F994" s="11" t="n"/>
      <c r="G994" s="8" t="n"/>
      <c r="H994" s="12" t="n"/>
      <c r="I994" s="13" t="n"/>
      <c r="J994" s="14">
        <f>IF(OR(H994="",I994=""),"",H994*I994)</f>
        <v/>
      </c>
      <c r="K994" s="11" t="n"/>
      <c r="L994" s="9">
        <f>IF(B994="","",MONTH(B994))</f>
        <v/>
      </c>
      <c r="M994" s="9">
        <f>IF(B994="","",YEAR(B994))</f>
        <v/>
      </c>
    </row>
    <row r="995">
      <c r="A995" s="9">
        <f>IF(B995="","",ROW()-1)</f>
        <v/>
      </c>
      <c r="B995" s="10" t="n"/>
      <c r="C995" s="11" t="n"/>
      <c r="D995" s="11" t="n"/>
      <c r="E995" s="11" t="n"/>
      <c r="F995" s="11" t="n"/>
      <c r="G995" s="8" t="n"/>
      <c r="H995" s="12" t="n"/>
      <c r="I995" s="13" t="n"/>
      <c r="J995" s="14">
        <f>IF(OR(H995="",I995=""),"",H995*I995)</f>
        <v/>
      </c>
      <c r="K995" s="11" t="n"/>
      <c r="L995" s="9">
        <f>IF(B995="","",MONTH(B995))</f>
        <v/>
      </c>
      <c r="M995" s="9">
        <f>IF(B995="","",YEAR(B995))</f>
        <v/>
      </c>
    </row>
    <row r="996">
      <c r="A996" s="9">
        <f>IF(B996="","",ROW()-1)</f>
        <v/>
      </c>
      <c r="B996" s="10" t="n"/>
      <c r="C996" s="11" t="n"/>
      <c r="D996" s="11" t="n"/>
      <c r="E996" s="11" t="n"/>
      <c r="F996" s="11" t="n"/>
      <c r="G996" s="8" t="n"/>
      <c r="H996" s="12" t="n"/>
      <c r="I996" s="13" t="n"/>
      <c r="J996" s="14">
        <f>IF(OR(H996="",I996=""),"",H996*I996)</f>
        <v/>
      </c>
      <c r="K996" s="11" t="n"/>
      <c r="L996" s="9">
        <f>IF(B996="","",MONTH(B996))</f>
        <v/>
      </c>
      <c r="M996" s="9">
        <f>IF(B996="","",YEAR(B996))</f>
        <v/>
      </c>
    </row>
    <row r="997">
      <c r="A997" s="9">
        <f>IF(B997="","",ROW()-1)</f>
        <v/>
      </c>
      <c r="B997" s="10" t="n"/>
      <c r="C997" s="11" t="n"/>
      <c r="D997" s="11" t="n"/>
      <c r="E997" s="11" t="n"/>
      <c r="F997" s="11" t="n"/>
      <c r="G997" s="8" t="n"/>
      <c r="H997" s="12" t="n"/>
      <c r="I997" s="13" t="n"/>
      <c r="J997" s="14">
        <f>IF(OR(H997="",I997=""),"",H997*I997)</f>
        <v/>
      </c>
      <c r="K997" s="11" t="n"/>
      <c r="L997" s="9">
        <f>IF(B997="","",MONTH(B997))</f>
        <v/>
      </c>
      <c r="M997" s="9">
        <f>IF(B997="","",YEAR(B997))</f>
        <v/>
      </c>
    </row>
    <row r="998">
      <c r="A998" s="9">
        <f>IF(B998="","",ROW()-1)</f>
        <v/>
      </c>
      <c r="B998" s="10" t="n"/>
      <c r="C998" s="11" t="n"/>
      <c r="D998" s="11" t="n"/>
      <c r="E998" s="11" t="n"/>
      <c r="F998" s="11" t="n"/>
      <c r="G998" s="8" t="n"/>
      <c r="H998" s="12" t="n"/>
      <c r="I998" s="13" t="n"/>
      <c r="J998" s="14">
        <f>IF(OR(H998="",I998=""),"",H998*I998)</f>
        <v/>
      </c>
      <c r="K998" s="11" t="n"/>
      <c r="L998" s="9">
        <f>IF(B998="","",MONTH(B998))</f>
        <v/>
      </c>
      <c r="M998" s="9">
        <f>IF(B998="","",YEAR(B998))</f>
        <v/>
      </c>
    </row>
    <row r="999">
      <c r="A999" s="9">
        <f>IF(B999="","",ROW()-1)</f>
        <v/>
      </c>
      <c r="B999" s="10" t="n"/>
      <c r="C999" s="11" t="n"/>
      <c r="D999" s="11" t="n"/>
      <c r="E999" s="11" t="n"/>
      <c r="F999" s="11" t="n"/>
      <c r="G999" s="8" t="n"/>
      <c r="H999" s="12" t="n"/>
      <c r="I999" s="13" t="n"/>
      <c r="J999" s="14">
        <f>IF(OR(H999="",I999=""),"",H999*I999)</f>
        <v/>
      </c>
      <c r="K999" s="11" t="n"/>
      <c r="L999" s="9">
        <f>IF(B999="","",MONTH(B999))</f>
        <v/>
      </c>
      <c r="M999" s="9">
        <f>IF(B999="","",YEAR(B999))</f>
        <v/>
      </c>
    </row>
    <row r="1000">
      <c r="A1000" s="9">
        <f>IF(B1000="","",ROW()-1)</f>
        <v/>
      </c>
      <c r="B1000" s="10" t="n"/>
      <c r="C1000" s="11" t="n"/>
      <c r="D1000" s="11" t="n"/>
      <c r="E1000" s="11" t="n"/>
      <c r="F1000" s="11" t="n"/>
      <c r="G1000" s="8" t="n"/>
      <c r="H1000" s="12" t="n"/>
      <c r="I1000" s="13" t="n"/>
      <c r="J1000" s="14">
        <f>IF(OR(H1000="",I1000=""),"",H1000*I1000)</f>
        <v/>
      </c>
      <c r="K1000" s="11" t="n"/>
      <c r="L1000" s="9">
        <f>IF(B1000="","",MONTH(B1000))</f>
        <v/>
      </c>
      <c r="M1000" s="9">
        <f>IF(B1000="","",YEAR(B1000))</f>
        <v/>
      </c>
    </row>
    <row r="1001">
      <c r="A1001" s="9">
        <f>IF(B1001="","",ROW()-1)</f>
        <v/>
      </c>
      <c r="B1001" s="10" t="n"/>
      <c r="C1001" s="11" t="n"/>
      <c r="D1001" s="11" t="n"/>
      <c r="E1001" s="11" t="n"/>
      <c r="F1001" s="11" t="n"/>
      <c r="G1001" s="8" t="n"/>
      <c r="H1001" s="12" t="n"/>
      <c r="I1001" s="13" t="n"/>
      <c r="J1001" s="14">
        <f>IF(OR(H1001="",I1001=""),"",H1001*I1001)</f>
        <v/>
      </c>
      <c r="K1001" s="11" t="n"/>
      <c r="L1001" s="9">
        <f>IF(B1001="","",MONTH(B1001))</f>
        <v/>
      </c>
      <c r="M1001" s="9">
        <f>IF(B1001="","",YEAR(B1001))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M1001"/>
  <dataValidations count="7">
    <dataValidation sqref="C2:C1001" showDropDown="0" showInputMessage="0" showErrorMessage="1" allowBlank="1" type="list">
      <formula1>=Listas!$E$5:$E$34</formula1>
    </dataValidation>
    <dataValidation sqref="D2:D1001" showDropDown="0" showInputMessage="0" showErrorMessage="1" allowBlank="1" type="list">
      <formula1>=Listas!$A$5:$A$34</formula1>
    </dataValidation>
    <dataValidation sqref="E2:E1001" showDropDown="0" showInputMessage="0" showErrorMessage="1" allowBlank="1" type="list">
      <formula1>=Listas!$B$5:$B$34</formula1>
    </dataValidation>
    <dataValidation sqref="F2:F1001" showDropDown="0" showInputMessage="0" showErrorMessage="1" allowBlank="1" type="list">
      <formula1>=Listas!$C$5:$C$34</formula1>
    </dataValidation>
    <dataValidation sqref="K2:K1001" showDropDown="0" showInputMessage="0" showErrorMessage="1" allowBlank="1" type="list">
      <formula1>=Listas!$D$5:$D$34</formula1>
    </dataValidation>
    <dataValidation sqref="B2:B1001" showDropDown="0" showInputMessage="0" showErrorMessage="1" allowBlank="1" type="date" operator="greaterThan">
      <formula1>1</formula1>
    </dataValidation>
    <dataValidation sqref="H2:I1001" showDropDown="0" showInputMessage="0" showErrorMessage="1" allowBlank="1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60" customWidth="1" min="4" max="4"/>
  </cols>
  <sheetData>
    <row r="1">
      <c r="A1" s="5" t="inlineStr">
        <is>
          <t>Checklist de limpeza</t>
        </is>
      </c>
    </row>
    <row r="2">
      <c r="A2" s="6" t="inlineStr">
        <is>
          <t>Rode antes de analisar. Tudo zerado = base pronta para tabela dinâmica e para a IA.</t>
        </is>
      </c>
    </row>
    <row r="4" ht="26" customHeight="1">
      <c r="A4" s="7" t="inlineStr">
        <is>
          <t>Verificação</t>
        </is>
      </c>
      <c r="B4" s="7" t="inlineStr">
        <is>
          <t>Resultado</t>
        </is>
      </c>
      <c r="C4" s="7" t="inlineStr">
        <is>
          <t>Situação</t>
        </is>
      </c>
      <c r="D4" s="7" t="inlineStr">
        <is>
          <t>Como corrigir</t>
        </is>
      </c>
    </row>
    <row r="5">
      <c r="A5" s="15" t="inlineStr">
        <is>
          <t>Linhas preenchidas</t>
        </is>
      </c>
      <c r="B5" s="9">
        <f>COUNTA(Base!$B$2:$B$1001)</f>
        <v>180</v>
      </c>
      <c r="C5" s="9" t="inlineStr">
        <is>
          <t>—</t>
        </is>
      </c>
      <c r="D5" s="16" t="inlineStr">
        <is>
          <t>Só informação.</t>
        </is>
      </c>
    </row>
    <row r="6">
      <c r="A6" s="15" t="inlineStr">
        <is>
          <t>Linhas com data mas sem valor</t>
        </is>
      </c>
      <c r="B6" s="9">
        <f>COUNTIFS(Base!$B$2:$B$1001,"&lt;&gt;",Base!$I$2:$I$1001,"")</f>
        <v>0</v>
      </c>
      <c r="C6" s="9" t="str">
        <f>IF(B6=0,"OK","Corrigir")</f>
        <v>OK</v>
      </c>
      <c r="D6" s="16" t="inlineStr">
        <is>
          <t>Preencha o valor unitário ou apague a linha.</t>
        </is>
      </c>
    </row>
    <row r="7">
      <c r="A7" s="15" t="inlineStr">
        <is>
          <t>Linhas com valor mas sem data</t>
        </is>
      </c>
      <c r="B7" s="9">
        <f>COUNTIFS(Base!$B$2:$B$1001,"",Base!$I$2:$I$1001,"&lt;&gt;")</f>
        <v>0</v>
      </c>
      <c r="C7" s="9" t="str">
        <f>IF(B7=0,"OK","Corrigir")</f>
        <v>OK</v>
      </c>
      <c r="D7" s="16" t="inlineStr">
        <is>
          <t>Toda linha precisa de data.</t>
        </is>
      </c>
    </row>
    <row r="8">
      <c r="A8" s="15" t="inlineStr">
        <is>
          <t>Datas fora do intervalo (antes de 2020 ou no futuro)</t>
        </is>
      </c>
      <c r="B8" s="9">
        <f>COUNTIFS(Base!$B$2:$B$1001,"&lt;"&amp;DATE(2020,1,1))+COUNTIFS(Base!$B$2:$B$1001,"&gt;"&amp;TODAY())</f>
        <v>0</v>
      </c>
      <c r="C8" s="9" t="str">
        <f>IF(B8=0,"OK","Corrigir")</f>
        <v>OK</v>
      </c>
      <c r="D8" s="16" t="inlineStr">
        <is>
          <t>Confira digitação: 2062 em vez de 2026, por exemplo.</t>
        </is>
      </c>
    </row>
    <row r="9">
      <c r="A9" s="15" t="inlineStr">
        <is>
          <t>Categorias fora da lista</t>
        </is>
      </c>
      <c r="B9" s="9">
        <f>COUNTIFS(Base!$B$2:$B$1001,"&lt;&gt;")-SUMPRODUCT(COUNTIFS(Base!$D$2:$D$1001,Listas!$A$5:$A$34,Base!$B$2:$B$1001,"&lt;&gt;"))</f>
        <v>0</v>
      </c>
      <c r="C9" s="9" t="str">
        <f>IF(B9=0,"OK","Corrigir")</f>
        <v>OK</v>
      </c>
      <c r="D9" s="16" t="inlineStr">
        <is>
          <t>Use a lista da coluna Categoria; padronize maiúsculas e abreviações.</t>
        </is>
      </c>
    </row>
    <row r="10">
      <c r="A10" s="15" t="inlineStr">
        <is>
          <t>Clientes fora da lista</t>
        </is>
      </c>
      <c r="B10" s="9">
        <f>COUNTIFS(Base!$B$2:$B$1001,"&lt;&gt;")-SUMPRODUCT(COUNTIFS(Base!$C$2:$C$1001,Listas!$E$5:$E$34,Base!$B$2:$B$1001,"&lt;&gt;"))</f>
        <v>0</v>
      </c>
      <c r="C10" s="9" t="str">
        <f>IF(B10=0,"OK","Corrigir")</f>
        <v>OK</v>
      </c>
      <c r="D10" s="16" t="inlineStr">
        <is>
          <t>Cadastre o cliente em Listas ou corrija o nome.</t>
        </is>
      </c>
    </row>
    <row r="11">
      <c r="A11" s="15" t="inlineStr">
        <is>
          <t>Status em branco</t>
        </is>
      </c>
      <c r="B11" s="9">
        <f>COUNTIFS(Base!$B$2:$B$1001,"&lt;&gt;",Base!$K$2:$K$1001,"")</f>
        <v>0</v>
      </c>
      <c r="C11" s="9" t="str">
        <f>IF(B11=0,"OK","Corrigir")</f>
        <v>OK</v>
      </c>
      <c r="D11" s="16" t="inlineStr">
        <is>
          <t>Escolha Pago, Em aberto ou Cancelado.</t>
        </is>
      </c>
    </row>
    <row r="12">
      <c r="A12" s="15" t="inlineStr">
        <is>
          <t>Quantidade zero ou em branco</t>
        </is>
      </c>
      <c r="B12" s="9">
        <f>COUNTIFS(Base!$B$2:$B$1001,"&lt;&gt;",Base!$H$2:$H$1001,"")+COUNTIFS(Base!$B$2:$B$1001,"&lt;&gt;",Base!$H$2:$H$1001,0)</f>
        <v>0</v>
      </c>
      <c r="C12" s="9" t="str">
        <f>IF(B12=0,"OK","Corrigir")</f>
        <v>OK</v>
      </c>
      <c r="D12" s="16" t="inlineStr">
        <is>
          <t>Quantidade mínima é 1.</t>
        </is>
      </c>
    </row>
    <row r="13">
      <c r="A13" s="15" t="inlineStr">
        <is>
          <t>Descrições duplicadas no mesmo dia e cliente (possível lançamento em dobro)</t>
        </is>
      </c>
      <c r="B13" s="9">
        <f>SUMPRODUCT(--(COUNTIFS(Base!$B$2:$B$1001,Base!$B$2:$B$1001,Base!$C$2:$C$1001,Base!$C$2:$C$1001,Base!$G$2:$G$1001,Base!$G$2:$G$1001,Base!$I$2:$I$1001,Base!$I$2:$I$1001)&gt;1),--(Base!$B$2:$B$1001&lt;&gt;""))</f>
        <v>0</v>
      </c>
      <c r="C13" s="9" t="str">
        <f>IF(B13=0,"OK","Corrigir")</f>
        <v>OK</v>
      </c>
      <c r="D13" s="16" t="inlineStr">
        <is>
          <t>Abra o filtro por cliente e data e confira se é repetição.</t>
        </is>
      </c>
    </row>
    <row r="14">
      <c r="A14" s="15" t="inlineStr">
        <is>
          <t>Células mescladas na Base (confira: Página Inicial &gt; Mesclar deve estar desligado)</t>
        </is>
      </c>
      <c r="B14" s="9" t="n">
        <v>0</v>
      </c>
      <c r="C14" s="9" t="str">
        <f>IF(B14=0,"OK","Corrigir")</f>
        <v>OK</v>
      </c>
      <c r="D14" s="16" t="inlineStr">
        <is>
          <t>Nunca mescle células em uma base. Se mesclar, a tabela dinâmica quebra.</t>
        </is>
      </c>
    </row>
    <row r="16">
      <c r="A16" s="17" t="inlineStr">
        <is>
          <t>Base pronta?</t>
        </is>
      </c>
      <c r="B16" s="18" t="str">
        <f>IF(COUNTIF(C6:C14,"Corrigir")=0,"Sim: pode analisar","Ainda não: "&amp;COUNTIF(C6:C14,"Corrigir")&amp;" item(ns) para corrigir")</f>
        <v>Sim: pode analisar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B16:D16"/>
    <mergeCell ref="A2:D2"/>
  </mergeCells>
  <conditionalFormatting sqref="C5:C14">
    <cfRule type="expression" priority="1" dxfId="0">
      <formula>C5="OK"</formula>
    </cfRule>
    <cfRule type="expression" priority="2" dxfId="1">
      <formula>C5="Corrigir"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s="5" t="inlineStr">
        <is>
          <t>Resumo por categoria e mês</t>
        </is>
      </c>
    </row>
    <row r="2">
      <c r="A2" s="6" t="inlineStr">
        <is>
          <t>Exemplo de análise feita só com SOMASES e CONT.SES em cima da Base. A tabela dinâmica faz o mesmo em 3 cliques (aula 2).</t>
        </is>
      </c>
    </row>
    <row r="4">
      <c r="A4" s="17" t="inlineStr">
        <is>
          <t>Ano</t>
        </is>
      </c>
      <c r="B4" s="11" t="n">
        <v>2026</v>
      </c>
    </row>
    <row r="5">
      <c r="A5" s="17" t="inlineStr">
        <is>
          <t>Só status</t>
        </is>
      </c>
      <c r="B5" s="11" t="inlineStr">
        <is>
          <t>Pago</t>
        </is>
      </c>
    </row>
    <row r="7" ht="26" customHeight="1">
      <c r="A7" s="7" t="inlineStr">
        <is>
          <t>Categoria</t>
        </is>
      </c>
      <c r="B7" s="7" t="inlineStr">
        <is>
          <t>Jan</t>
        </is>
      </c>
      <c r="C7" s="7" t="inlineStr">
        <is>
          <t>Fev</t>
        </is>
      </c>
      <c r="D7" s="7" t="inlineStr">
        <is>
          <t>Mar</t>
        </is>
      </c>
      <c r="E7" s="7" t="inlineStr">
        <is>
          <t>Abr</t>
        </is>
      </c>
      <c r="F7" s="7" t="inlineStr">
        <is>
          <t>Mai</t>
        </is>
      </c>
      <c r="G7" s="7" t="inlineStr">
        <is>
          <t>Jun</t>
        </is>
      </c>
      <c r="H7" s="7" t="inlineStr">
        <is>
          <t>Jul</t>
        </is>
      </c>
      <c r="I7" s="7" t="inlineStr">
        <is>
          <t>Ago</t>
        </is>
      </c>
      <c r="J7" s="7" t="inlineStr">
        <is>
          <t>Set</t>
        </is>
      </c>
      <c r="K7" s="7" t="inlineStr">
        <is>
          <t>Out</t>
        </is>
      </c>
      <c r="L7" s="7" t="inlineStr">
        <is>
          <t>Nov</t>
        </is>
      </c>
      <c r="M7" s="7" t="inlineStr">
        <is>
          <t>Dez</t>
        </is>
      </c>
      <c r="N7" s="7" t="inlineStr">
        <is>
          <t>Total</t>
        </is>
      </c>
    </row>
    <row r="8">
      <c r="A8" s="15" t="str">
        <f>IF(Listas!$A$5="","",Listas!$A$5)</f>
        <v>Serviço</v>
      </c>
      <c r="B8" s="19">
        <f>IF(Listas!$A$5="","",SUMIFS(Base!$J$2:$J$1001,Base!$D$2:$D$1001,Listas!$A$5,Base!$L$2:$L$1001,1,Base!$M$2:$M$1001,$B$4,Base!$K$2:$K$1001,$B$5))</f>
        <v>40000</v>
      </c>
      <c r="C8" s="19">
        <f>IF(Listas!$A$5="","",SUMIFS(Base!$J$2:$J$1001,Base!$D$2:$D$1001,Listas!$A$5,Base!$L$2:$L$1001,2,Base!$M$2:$M$1001,$B$4,Base!$K$2:$K$1001,$B$5))</f>
        <v>15300</v>
      </c>
      <c r="D8" s="19">
        <f>IF(Listas!$A$5="","",SUMIFS(Base!$J$2:$J$1001,Base!$D$2:$D$1001,Listas!$A$5,Base!$L$2:$L$1001,3,Base!$M$2:$M$1001,$B$4,Base!$K$2:$K$1001,$B$5))</f>
        <v>44400</v>
      </c>
      <c r="E8" s="19">
        <f>IF(Listas!$A$5="","",SUMIFS(Base!$J$2:$J$1001,Base!$D$2:$D$1001,Listas!$A$5,Base!$L$2:$L$1001,4,Base!$M$2:$M$1001,$B$4,Base!$K$2:$K$1001,$B$5))</f>
        <v>29800</v>
      </c>
      <c r="F8" s="19">
        <f>IF(Listas!$A$5="","",SUMIFS(Base!$J$2:$J$1001,Base!$D$2:$D$1001,Listas!$A$5,Base!$L$2:$L$1001,5,Base!$M$2:$M$1001,$B$4,Base!$K$2:$K$1001,$B$5))</f>
        <v>24600</v>
      </c>
      <c r="G8" s="19">
        <f>IF(Listas!$A$5="","",SUMIFS(Base!$J$2:$J$1001,Base!$D$2:$D$1001,Listas!$A$5,Base!$L$2:$L$1001,6,Base!$M$2:$M$1001,$B$4,Base!$K$2:$K$1001,$B$5))</f>
        <v>30300</v>
      </c>
      <c r="H8" s="19">
        <f>IF(Listas!$A$5="","",SUMIFS(Base!$J$2:$J$1001,Base!$D$2:$D$1001,Listas!$A$5,Base!$L$2:$L$1001,7,Base!$M$2:$M$1001,$B$4,Base!$K$2:$K$1001,$B$5))</f>
        <v>40000</v>
      </c>
      <c r="I8" s="19">
        <f>IF(Listas!$A$5="","",SUMIFS(Base!$J$2:$J$1001,Base!$D$2:$D$1001,Listas!$A$5,Base!$L$2:$L$1001,8,Base!$M$2:$M$1001,$B$4,Base!$K$2:$K$1001,$B$5))</f>
        <v>30900</v>
      </c>
      <c r="J8" s="19">
        <f>IF(Listas!$A$5="","",SUMIFS(Base!$J$2:$J$1001,Base!$D$2:$D$1001,Listas!$A$5,Base!$L$2:$L$1001,9,Base!$M$2:$M$1001,$B$4,Base!$K$2:$K$1001,$B$5))</f>
        <v>6400</v>
      </c>
      <c r="K8" s="19">
        <f>IF(Listas!$A$5="","",SUMIFS(Base!$J$2:$J$1001,Base!$D$2:$D$1001,Listas!$A$5,Base!$L$2:$L$1001,10,Base!$M$2:$M$1001,$B$4,Base!$K$2:$K$1001,$B$5))</f>
        <v>0</v>
      </c>
      <c r="L8" s="19">
        <f>IF(Listas!$A$5="","",SUMIFS(Base!$J$2:$J$1001,Base!$D$2:$D$1001,Listas!$A$5,Base!$L$2:$L$1001,11,Base!$M$2:$M$1001,$B$4,Base!$K$2:$K$1001,$B$5))</f>
        <v>0</v>
      </c>
      <c r="M8" s="19">
        <f>IF(Listas!$A$5="","",SUMIFS(Base!$J$2:$J$1001,Base!$D$2:$D$1001,Listas!$A$5,Base!$L$2:$L$1001,12,Base!$M$2:$M$1001,$B$4,Base!$K$2:$K$1001,$B$5))</f>
        <v>0</v>
      </c>
      <c r="N8" s="19">
        <f>IF(A8="","",SUM(B8:M8))</f>
        <v>261700</v>
      </c>
    </row>
    <row r="9">
      <c r="A9" s="15" t="str">
        <f>IF(Listas!$A$6="","",Listas!$A$6)</f>
        <v>Produto</v>
      </c>
      <c r="B9" s="19">
        <f>IF(Listas!$A$6="","",SUMIFS(Base!$J$2:$J$1001,Base!$D$2:$D$1001,Listas!$A$6,Base!$L$2:$L$1001,1,Base!$M$2:$M$1001,$B$4,Base!$K$2:$K$1001,$B$5))</f>
        <v>194</v>
      </c>
      <c r="C9" s="19">
        <f>IF(Listas!$A$6="","",SUMIFS(Base!$J$2:$J$1001,Base!$D$2:$D$1001,Listas!$A$6,Base!$L$2:$L$1001,2,Base!$M$2:$M$1001,$B$4,Base!$K$2:$K$1001,$B$5))</f>
        <v>394</v>
      </c>
      <c r="D9" s="19">
        <f>IF(Listas!$A$6="","",SUMIFS(Base!$J$2:$J$1001,Base!$D$2:$D$1001,Listas!$A$6,Base!$L$2:$L$1001,3,Base!$M$2:$M$1001,$B$4,Base!$K$2:$K$1001,$B$5))</f>
        <v>593</v>
      </c>
      <c r="E9" s="19">
        <f>IF(Listas!$A$6="","",SUMIFS(Base!$J$2:$J$1001,Base!$D$2:$D$1001,Listas!$A$6,Base!$L$2:$L$1001,4,Base!$M$2:$M$1001,$B$4,Base!$K$2:$K$1001,$B$5))</f>
        <v>977</v>
      </c>
      <c r="F9" s="19">
        <f>IF(Listas!$A$6="","",SUMIFS(Base!$J$2:$J$1001,Base!$D$2:$D$1001,Listas!$A$6,Base!$L$2:$L$1001,5,Base!$M$2:$M$1001,$B$4,Base!$K$2:$K$1001,$B$5))</f>
        <v>291</v>
      </c>
      <c r="G9" s="19">
        <f>IF(Listas!$A$6="","",SUMIFS(Base!$J$2:$J$1001,Base!$D$2:$D$1001,Listas!$A$6,Base!$L$2:$L$1001,6,Base!$M$2:$M$1001,$B$4,Base!$K$2:$K$1001,$B$5))</f>
        <v>638</v>
      </c>
      <c r="H9" s="19">
        <f>IF(Listas!$A$6="","",SUMIFS(Base!$J$2:$J$1001,Base!$D$2:$D$1001,Listas!$A$6,Base!$L$2:$L$1001,7,Base!$M$2:$M$1001,$B$4,Base!$K$2:$K$1001,$B$5))</f>
        <v>347</v>
      </c>
      <c r="I9" s="19">
        <f>IF(Listas!$A$6="","",SUMIFS(Base!$J$2:$J$1001,Base!$D$2:$D$1001,Listas!$A$6,Base!$L$2:$L$1001,8,Base!$M$2:$M$1001,$B$4,Base!$K$2:$K$1001,$B$5))</f>
        <v>891</v>
      </c>
      <c r="J9" s="19">
        <f>IF(Listas!$A$6="","",SUMIFS(Base!$J$2:$J$1001,Base!$D$2:$D$1001,Listas!$A$6,Base!$L$2:$L$1001,9,Base!$M$2:$M$1001,$B$4,Base!$K$2:$K$1001,$B$5))</f>
        <v>0</v>
      </c>
      <c r="K9" s="19">
        <f>IF(Listas!$A$6="","",SUMIFS(Base!$J$2:$J$1001,Base!$D$2:$D$1001,Listas!$A$6,Base!$L$2:$L$1001,10,Base!$M$2:$M$1001,$B$4,Base!$K$2:$K$1001,$B$5))</f>
        <v>0</v>
      </c>
      <c r="L9" s="19">
        <f>IF(Listas!$A$6="","",SUMIFS(Base!$J$2:$J$1001,Base!$D$2:$D$1001,Listas!$A$6,Base!$L$2:$L$1001,11,Base!$M$2:$M$1001,$B$4,Base!$K$2:$K$1001,$B$5))</f>
        <v>0</v>
      </c>
      <c r="M9" s="19">
        <f>IF(Listas!$A$6="","",SUMIFS(Base!$J$2:$J$1001,Base!$D$2:$D$1001,Listas!$A$6,Base!$L$2:$L$1001,12,Base!$M$2:$M$1001,$B$4,Base!$K$2:$K$1001,$B$5))</f>
        <v>0</v>
      </c>
      <c r="N9" s="19">
        <f>IF(A9="","",SUM(B9:M9))</f>
        <v>4325</v>
      </c>
    </row>
    <row r="10">
      <c r="A10" s="15" t="str">
        <f>IF(Listas!$A$7="","",Listas!$A$7)</f>
        <v>Reembolso</v>
      </c>
      <c r="B10" s="19">
        <f>IF(Listas!$A$7="","",SUMIFS(Base!$J$2:$J$1001,Base!$D$2:$D$1001,Listas!$A$7,Base!$L$2:$L$1001,1,Base!$M$2:$M$1001,$B$4,Base!$K$2:$K$1001,$B$5))</f>
        <v>0</v>
      </c>
      <c r="C10" s="19">
        <f>IF(Listas!$A$7="","",SUMIFS(Base!$J$2:$J$1001,Base!$D$2:$D$1001,Listas!$A$7,Base!$L$2:$L$1001,2,Base!$M$2:$M$1001,$B$4,Base!$K$2:$K$1001,$B$5))</f>
        <v>0</v>
      </c>
      <c r="D10" s="19">
        <f>IF(Listas!$A$7="","",SUMIFS(Base!$J$2:$J$1001,Base!$D$2:$D$1001,Listas!$A$7,Base!$L$2:$L$1001,3,Base!$M$2:$M$1001,$B$4,Base!$K$2:$K$1001,$B$5))</f>
        <v>-600</v>
      </c>
      <c r="E10" s="19">
        <f>IF(Listas!$A$7="","",SUMIFS(Base!$J$2:$J$1001,Base!$D$2:$D$1001,Listas!$A$7,Base!$L$2:$L$1001,4,Base!$M$2:$M$1001,$B$4,Base!$K$2:$K$1001,$B$5))</f>
        <v>0</v>
      </c>
      <c r="F10" s="19">
        <f>IF(Listas!$A$7="","",SUMIFS(Base!$J$2:$J$1001,Base!$D$2:$D$1001,Listas!$A$7,Base!$L$2:$L$1001,5,Base!$M$2:$M$1001,$B$4,Base!$K$2:$K$1001,$B$5))</f>
        <v>0</v>
      </c>
      <c r="G10" s="19">
        <f>IF(Listas!$A$7="","",SUMIFS(Base!$J$2:$J$1001,Base!$D$2:$D$1001,Listas!$A$7,Base!$L$2:$L$1001,6,Base!$M$2:$M$1001,$B$4,Base!$K$2:$K$1001,$B$5))</f>
        <v>0</v>
      </c>
      <c r="H10" s="19">
        <f>IF(Listas!$A$7="","",SUMIFS(Base!$J$2:$J$1001,Base!$D$2:$D$1001,Listas!$A$7,Base!$L$2:$L$1001,7,Base!$M$2:$M$1001,$B$4,Base!$K$2:$K$1001,$B$5))</f>
        <v>-200</v>
      </c>
      <c r="I10" s="19">
        <f>IF(Listas!$A$7="","",SUMIFS(Base!$J$2:$J$1001,Base!$D$2:$D$1001,Listas!$A$7,Base!$L$2:$L$1001,8,Base!$M$2:$M$1001,$B$4,Base!$K$2:$K$1001,$B$5))</f>
        <v>-400</v>
      </c>
      <c r="J10" s="19">
        <f>IF(Listas!$A$7="","",SUMIFS(Base!$J$2:$J$1001,Base!$D$2:$D$1001,Listas!$A$7,Base!$L$2:$L$1001,9,Base!$M$2:$M$1001,$B$4,Base!$K$2:$K$1001,$B$5))</f>
        <v>-200</v>
      </c>
      <c r="K10" s="19">
        <f>IF(Listas!$A$7="","",SUMIFS(Base!$J$2:$J$1001,Base!$D$2:$D$1001,Listas!$A$7,Base!$L$2:$L$1001,10,Base!$M$2:$M$1001,$B$4,Base!$K$2:$K$1001,$B$5))</f>
        <v>0</v>
      </c>
      <c r="L10" s="19">
        <f>IF(Listas!$A$7="","",SUMIFS(Base!$J$2:$J$1001,Base!$D$2:$D$1001,Listas!$A$7,Base!$L$2:$L$1001,11,Base!$M$2:$M$1001,$B$4,Base!$K$2:$K$1001,$B$5))</f>
        <v>0</v>
      </c>
      <c r="M10" s="19">
        <f>IF(Listas!$A$7="","",SUMIFS(Base!$J$2:$J$1001,Base!$D$2:$D$1001,Listas!$A$7,Base!$L$2:$L$1001,12,Base!$M$2:$M$1001,$B$4,Base!$K$2:$K$1001,$B$5))</f>
        <v>0</v>
      </c>
      <c r="N10" s="19">
        <f>IF(A10="","",SUM(B10:M10))</f>
        <v>-1400</v>
      </c>
    </row>
    <row r="11">
      <c r="A11" s="15" t="str">
        <f>IF(Listas!$A$8="","",Listas!$A$8)</f>
        <v>Ajuste</v>
      </c>
      <c r="B11" s="19">
        <f>IF(Listas!$A$8="","",SUMIFS(Base!$J$2:$J$1001,Base!$D$2:$D$1001,Listas!$A$8,Base!$L$2:$L$1001,1,Base!$M$2:$M$1001,$B$4,Base!$K$2:$K$1001,$B$5))</f>
        <v>-150</v>
      </c>
      <c r="C11" s="19">
        <f>IF(Listas!$A$8="","",SUMIFS(Base!$J$2:$J$1001,Base!$D$2:$D$1001,Listas!$A$8,Base!$L$2:$L$1001,2,Base!$M$2:$M$1001,$B$4,Base!$K$2:$K$1001,$B$5))</f>
        <v>-150</v>
      </c>
      <c r="D11" s="19">
        <f>IF(Listas!$A$8="","",SUMIFS(Base!$J$2:$J$1001,Base!$D$2:$D$1001,Listas!$A$8,Base!$L$2:$L$1001,3,Base!$M$2:$M$1001,$B$4,Base!$K$2:$K$1001,$B$5))</f>
        <v>0</v>
      </c>
      <c r="E11" s="19">
        <f>IF(Listas!$A$8="","",SUMIFS(Base!$J$2:$J$1001,Base!$D$2:$D$1001,Listas!$A$8,Base!$L$2:$L$1001,4,Base!$M$2:$M$1001,$B$4,Base!$K$2:$K$1001,$B$5))</f>
        <v>450</v>
      </c>
      <c r="F11" s="19">
        <f>IF(Listas!$A$8="","",SUMIFS(Base!$J$2:$J$1001,Base!$D$2:$D$1001,Listas!$A$8,Base!$L$2:$L$1001,5,Base!$M$2:$M$1001,$B$4,Base!$K$2:$K$1001,$B$5))</f>
        <v>150</v>
      </c>
      <c r="G11" s="19">
        <f>IF(Listas!$A$8="","",SUMIFS(Base!$J$2:$J$1001,Base!$D$2:$D$1001,Listas!$A$8,Base!$L$2:$L$1001,6,Base!$M$2:$M$1001,$B$4,Base!$K$2:$K$1001,$B$5))</f>
        <v>-150</v>
      </c>
      <c r="H11" s="19">
        <f>IF(Listas!$A$8="","",SUMIFS(Base!$J$2:$J$1001,Base!$D$2:$D$1001,Listas!$A$8,Base!$L$2:$L$1001,7,Base!$M$2:$M$1001,$B$4,Base!$K$2:$K$1001,$B$5))</f>
        <v>-300</v>
      </c>
      <c r="I11" s="19">
        <f>IF(Listas!$A$8="","",SUMIFS(Base!$J$2:$J$1001,Base!$D$2:$D$1001,Listas!$A$8,Base!$L$2:$L$1001,8,Base!$M$2:$M$1001,$B$4,Base!$K$2:$K$1001,$B$5))</f>
        <v>750</v>
      </c>
      <c r="J11" s="19">
        <f>IF(Listas!$A$8="","",SUMIFS(Base!$J$2:$J$1001,Base!$D$2:$D$1001,Listas!$A$8,Base!$L$2:$L$1001,9,Base!$M$2:$M$1001,$B$4,Base!$K$2:$K$1001,$B$5))</f>
        <v>-450</v>
      </c>
      <c r="K11" s="19">
        <f>IF(Listas!$A$8="","",SUMIFS(Base!$J$2:$J$1001,Base!$D$2:$D$1001,Listas!$A$8,Base!$L$2:$L$1001,10,Base!$M$2:$M$1001,$B$4,Base!$K$2:$K$1001,$B$5))</f>
        <v>0</v>
      </c>
      <c r="L11" s="19">
        <f>IF(Listas!$A$8="","",SUMIFS(Base!$J$2:$J$1001,Base!$D$2:$D$1001,Listas!$A$8,Base!$L$2:$L$1001,11,Base!$M$2:$M$1001,$B$4,Base!$K$2:$K$1001,$B$5))</f>
        <v>0</v>
      </c>
      <c r="M11" s="19">
        <f>IF(Listas!$A$8="","",SUMIFS(Base!$J$2:$J$1001,Base!$D$2:$D$1001,Listas!$A$8,Base!$L$2:$L$1001,12,Base!$M$2:$M$1001,$B$4,Base!$K$2:$K$1001,$B$5))</f>
        <v>0</v>
      </c>
      <c r="N11" s="19">
        <f>IF(A11="","",SUM(B11:M11))</f>
        <v>150</v>
      </c>
    </row>
    <row r="12">
      <c r="A12" s="15">
        <f>IF(Listas!$A$9="","",Listas!$A$9)</f>
        <v/>
      </c>
      <c r="B12" s="19">
        <f>IF(Listas!$A$9="","",SUMIFS(Base!$J$2:$J$1001,Base!$D$2:$D$1001,Listas!$A$9,Base!$L$2:$L$1001,1,Base!$M$2:$M$1001,$B$4,Base!$K$2:$K$1001,$B$5))</f>
        <v/>
      </c>
      <c r="C12" s="19">
        <f>IF(Listas!$A$9="","",SUMIFS(Base!$J$2:$J$1001,Base!$D$2:$D$1001,Listas!$A$9,Base!$L$2:$L$1001,2,Base!$M$2:$M$1001,$B$4,Base!$K$2:$K$1001,$B$5))</f>
        <v/>
      </c>
      <c r="D12" s="19">
        <f>IF(Listas!$A$9="","",SUMIFS(Base!$J$2:$J$1001,Base!$D$2:$D$1001,Listas!$A$9,Base!$L$2:$L$1001,3,Base!$M$2:$M$1001,$B$4,Base!$K$2:$K$1001,$B$5))</f>
        <v/>
      </c>
      <c r="E12" s="19">
        <f>IF(Listas!$A$9="","",SUMIFS(Base!$J$2:$J$1001,Base!$D$2:$D$1001,Listas!$A$9,Base!$L$2:$L$1001,4,Base!$M$2:$M$1001,$B$4,Base!$K$2:$K$1001,$B$5))</f>
        <v/>
      </c>
      <c r="F12" s="19">
        <f>IF(Listas!$A$9="","",SUMIFS(Base!$J$2:$J$1001,Base!$D$2:$D$1001,Listas!$A$9,Base!$L$2:$L$1001,5,Base!$M$2:$M$1001,$B$4,Base!$K$2:$K$1001,$B$5))</f>
        <v/>
      </c>
      <c r="G12" s="19">
        <f>IF(Listas!$A$9="","",SUMIFS(Base!$J$2:$J$1001,Base!$D$2:$D$1001,Listas!$A$9,Base!$L$2:$L$1001,6,Base!$M$2:$M$1001,$B$4,Base!$K$2:$K$1001,$B$5))</f>
        <v/>
      </c>
      <c r="H12" s="19">
        <f>IF(Listas!$A$9="","",SUMIFS(Base!$J$2:$J$1001,Base!$D$2:$D$1001,Listas!$A$9,Base!$L$2:$L$1001,7,Base!$M$2:$M$1001,$B$4,Base!$K$2:$K$1001,$B$5))</f>
        <v/>
      </c>
      <c r="I12" s="19">
        <f>IF(Listas!$A$9="","",SUMIFS(Base!$J$2:$J$1001,Base!$D$2:$D$1001,Listas!$A$9,Base!$L$2:$L$1001,8,Base!$M$2:$M$1001,$B$4,Base!$K$2:$K$1001,$B$5))</f>
        <v/>
      </c>
      <c r="J12" s="19">
        <f>IF(Listas!$A$9="","",SUMIFS(Base!$J$2:$J$1001,Base!$D$2:$D$1001,Listas!$A$9,Base!$L$2:$L$1001,9,Base!$M$2:$M$1001,$B$4,Base!$K$2:$K$1001,$B$5))</f>
        <v/>
      </c>
      <c r="K12" s="19">
        <f>IF(Listas!$A$9="","",SUMIFS(Base!$J$2:$J$1001,Base!$D$2:$D$1001,Listas!$A$9,Base!$L$2:$L$1001,10,Base!$M$2:$M$1001,$B$4,Base!$K$2:$K$1001,$B$5))</f>
        <v/>
      </c>
      <c r="L12" s="19">
        <f>IF(Listas!$A$9="","",SUMIFS(Base!$J$2:$J$1001,Base!$D$2:$D$1001,Listas!$A$9,Base!$L$2:$L$1001,11,Base!$M$2:$M$1001,$B$4,Base!$K$2:$K$1001,$B$5))</f>
        <v/>
      </c>
      <c r="M12" s="19">
        <f>IF(Listas!$A$9="","",SUMIFS(Base!$J$2:$J$1001,Base!$D$2:$D$1001,Listas!$A$9,Base!$L$2:$L$1001,12,Base!$M$2:$M$1001,$B$4,Base!$K$2:$K$1001,$B$5))</f>
        <v/>
      </c>
      <c r="N12" s="19">
        <f>IF(A12="","",SUM(B12:M12))</f>
        <v/>
      </c>
    </row>
    <row r="13">
      <c r="A13" s="15">
        <f>IF(Listas!$A$10="","",Listas!$A$10)</f>
        <v/>
      </c>
      <c r="B13" s="19">
        <f>IF(Listas!$A$10="","",SUMIFS(Base!$J$2:$J$1001,Base!$D$2:$D$1001,Listas!$A$10,Base!$L$2:$L$1001,1,Base!$M$2:$M$1001,$B$4,Base!$K$2:$K$1001,$B$5))</f>
        <v/>
      </c>
      <c r="C13" s="19">
        <f>IF(Listas!$A$10="","",SUMIFS(Base!$J$2:$J$1001,Base!$D$2:$D$1001,Listas!$A$10,Base!$L$2:$L$1001,2,Base!$M$2:$M$1001,$B$4,Base!$K$2:$K$1001,$B$5))</f>
        <v/>
      </c>
      <c r="D13" s="19">
        <f>IF(Listas!$A$10="","",SUMIFS(Base!$J$2:$J$1001,Base!$D$2:$D$1001,Listas!$A$10,Base!$L$2:$L$1001,3,Base!$M$2:$M$1001,$B$4,Base!$K$2:$K$1001,$B$5))</f>
        <v/>
      </c>
      <c r="E13" s="19">
        <f>IF(Listas!$A$10="","",SUMIFS(Base!$J$2:$J$1001,Base!$D$2:$D$1001,Listas!$A$10,Base!$L$2:$L$1001,4,Base!$M$2:$M$1001,$B$4,Base!$K$2:$K$1001,$B$5))</f>
        <v/>
      </c>
      <c r="F13" s="19">
        <f>IF(Listas!$A$10="","",SUMIFS(Base!$J$2:$J$1001,Base!$D$2:$D$1001,Listas!$A$10,Base!$L$2:$L$1001,5,Base!$M$2:$M$1001,$B$4,Base!$K$2:$K$1001,$B$5))</f>
        <v/>
      </c>
      <c r="G13" s="19">
        <f>IF(Listas!$A$10="","",SUMIFS(Base!$J$2:$J$1001,Base!$D$2:$D$1001,Listas!$A$10,Base!$L$2:$L$1001,6,Base!$M$2:$M$1001,$B$4,Base!$K$2:$K$1001,$B$5))</f>
        <v/>
      </c>
      <c r="H13" s="19">
        <f>IF(Listas!$A$10="","",SUMIFS(Base!$J$2:$J$1001,Base!$D$2:$D$1001,Listas!$A$10,Base!$L$2:$L$1001,7,Base!$M$2:$M$1001,$B$4,Base!$K$2:$K$1001,$B$5))</f>
        <v/>
      </c>
      <c r="I13" s="19">
        <f>IF(Listas!$A$10="","",SUMIFS(Base!$J$2:$J$1001,Base!$D$2:$D$1001,Listas!$A$10,Base!$L$2:$L$1001,8,Base!$M$2:$M$1001,$B$4,Base!$K$2:$K$1001,$B$5))</f>
        <v/>
      </c>
      <c r="J13" s="19">
        <f>IF(Listas!$A$10="","",SUMIFS(Base!$J$2:$J$1001,Base!$D$2:$D$1001,Listas!$A$10,Base!$L$2:$L$1001,9,Base!$M$2:$M$1001,$B$4,Base!$K$2:$K$1001,$B$5))</f>
        <v/>
      </c>
      <c r="K13" s="19">
        <f>IF(Listas!$A$10="","",SUMIFS(Base!$J$2:$J$1001,Base!$D$2:$D$1001,Listas!$A$10,Base!$L$2:$L$1001,10,Base!$M$2:$M$1001,$B$4,Base!$K$2:$K$1001,$B$5))</f>
        <v/>
      </c>
      <c r="L13" s="19">
        <f>IF(Listas!$A$10="","",SUMIFS(Base!$J$2:$J$1001,Base!$D$2:$D$1001,Listas!$A$10,Base!$L$2:$L$1001,11,Base!$M$2:$M$1001,$B$4,Base!$K$2:$K$1001,$B$5))</f>
        <v/>
      </c>
      <c r="M13" s="19">
        <f>IF(Listas!$A$10="","",SUMIFS(Base!$J$2:$J$1001,Base!$D$2:$D$1001,Listas!$A$10,Base!$L$2:$L$1001,12,Base!$M$2:$M$1001,$B$4,Base!$K$2:$K$1001,$B$5))</f>
        <v/>
      </c>
      <c r="N13" s="19">
        <f>IF(A13="","",SUM(B13:M13))</f>
        <v/>
      </c>
    </row>
    <row r="14">
      <c r="A14" s="15">
        <f>IF(Listas!$A$11="","",Listas!$A$11)</f>
        <v/>
      </c>
      <c r="B14" s="19">
        <f>IF(Listas!$A$11="","",SUMIFS(Base!$J$2:$J$1001,Base!$D$2:$D$1001,Listas!$A$11,Base!$L$2:$L$1001,1,Base!$M$2:$M$1001,$B$4,Base!$K$2:$K$1001,$B$5))</f>
        <v/>
      </c>
      <c r="C14" s="19">
        <f>IF(Listas!$A$11="","",SUMIFS(Base!$J$2:$J$1001,Base!$D$2:$D$1001,Listas!$A$11,Base!$L$2:$L$1001,2,Base!$M$2:$M$1001,$B$4,Base!$K$2:$K$1001,$B$5))</f>
        <v/>
      </c>
      <c r="D14" s="19">
        <f>IF(Listas!$A$11="","",SUMIFS(Base!$J$2:$J$1001,Base!$D$2:$D$1001,Listas!$A$11,Base!$L$2:$L$1001,3,Base!$M$2:$M$1001,$B$4,Base!$K$2:$K$1001,$B$5))</f>
        <v/>
      </c>
      <c r="E14" s="19">
        <f>IF(Listas!$A$11="","",SUMIFS(Base!$J$2:$J$1001,Base!$D$2:$D$1001,Listas!$A$11,Base!$L$2:$L$1001,4,Base!$M$2:$M$1001,$B$4,Base!$K$2:$K$1001,$B$5))</f>
        <v/>
      </c>
      <c r="F14" s="19">
        <f>IF(Listas!$A$11="","",SUMIFS(Base!$J$2:$J$1001,Base!$D$2:$D$1001,Listas!$A$11,Base!$L$2:$L$1001,5,Base!$M$2:$M$1001,$B$4,Base!$K$2:$K$1001,$B$5))</f>
        <v/>
      </c>
      <c r="G14" s="19">
        <f>IF(Listas!$A$11="","",SUMIFS(Base!$J$2:$J$1001,Base!$D$2:$D$1001,Listas!$A$11,Base!$L$2:$L$1001,6,Base!$M$2:$M$1001,$B$4,Base!$K$2:$K$1001,$B$5))</f>
        <v/>
      </c>
      <c r="H14" s="19">
        <f>IF(Listas!$A$11="","",SUMIFS(Base!$J$2:$J$1001,Base!$D$2:$D$1001,Listas!$A$11,Base!$L$2:$L$1001,7,Base!$M$2:$M$1001,$B$4,Base!$K$2:$K$1001,$B$5))</f>
        <v/>
      </c>
      <c r="I14" s="19">
        <f>IF(Listas!$A$11="","",SUMIFS(Base!$J$2:$J$1001,Base!$D$2:$D$1001,Listas!$A$11,Base!$L$2:$L$1001,8,Base!$M$2:$M$1001,$B$4,Base!$K$2:$K$1001,$B$5))</f>
        <v/>
      </c>
      <c r="J14" s="19">
        <f>IF(Listas!$A$11="","",SUMIFS(Base!$J$2:$J$1001,Base!$D$2:$D$1001,Listas!$A$11,Base!$L$2:$L$1001,9,Base!$M$2:$M$1001,$B$4,Base!$K$2:$K$1001,$B$5))</f>
        <v/>
      </c>
      <c r="K14" s="19">
        <f>IF(Listas!$A$11="","",SUMIFS(Base!$J$2:$J$1001,Base!$D$2:$D$1001,Listas!$A$11,Base!$L$2:$L$1001,10,Base!$M$2:$M$1001,$B$4,Base!$K$2:$K$1001,$B$5))</f>
        <v/>
      </c>
      <c r="L14" s="19">
        <f>IF(Listas!$A$11="","",SUMIFS(Base!$J$2:$J$1001,Base!$D$2:$D$1001,Listas!$A$11,Base!$L$2:$L$1001,11,Base!$M$2:$M$1001,$B$4,Base!$K$2:$K$1001,$B$5))</f>
        <v/>
      </c>
      <c r="M14" s="19">
        <f>IF(Listas!$A$11="","",SUMIFS(Base!$J$2:$J$1001,Base!$D$2:$D$1001,Listas!$A$11,Base!$L$2:$L$1001,12,Base!$M$2:$M$1001,$B$4,Base!$K$2:$K$1001,$B$5))</f>
        <v/>
      </c>
      <c r="N14" s="19">
        <f>IF(A14="","",SUM(B14:M14))</f>
        <v/>
      </c>
    </row>
    <row r="15">
      <c r="A15" s="15">
        <f>IF(Listas!$A$12="","",Listas!$A$12)</f>
        <v/>
      </c>
      <c r="B15" s="19">
        <f>IF(Listas!$A$12="","",SUMIFS(Base!$J$2:$J$1001,Base!$D$2:$D$1001,Listas!$A$12,Base!$L$2:$L$1001,1,Base!$M$2:$M$1001,$B$4,Base!$K$2:$K$1001,$B$5))</f>
        <v/>
      </c>
      <c r="C15" s="19">
        <f>IF(Listas!$A$12="","",SUMIFS(Base!$J$2:$J$1001,Base!$D$2:$D$1001,Listas!$A$12,Base!$L$2:$L$1001,2,Base!$M$2:$M$1001,$B$4,Base!$K$2:$K$1001,$B$5))</f>
        <v/>
      </c>
      <c r="D15" s="19">
        <f>IF(Listas!$A$12="","",SUMIFS(Base!$J$2:$J$1001,Base!$D$2:$D$1001,Listas!$A$12,Base!$L$2:$L$1001,3,Base!$M$2:$M$1001,$B$4,Base!$K$2:$K$1001,$B$5))</f>
        <v/>
      </c>
      <c r="E15" s="19">
        <f>IF(Listas!$A$12="","",SUMIFS(Base!$J$2:$J$1001,Base!$D$2:$D$1001,Listas!$A$12,Base!$L$2:$L$1001,4,Base!$M$2:$M$1001,$B$4,Base!$K$2:$K$1001,$B$5))</f>
        <v/>
      </c>
      <c r="F15" s="19">
        <f>IF(Listas!$A$12="","",SUMIFS(Base!$J$2:$J$1001,Base!$D$2:$D$1001,Listas!$A$12,Base!$L$2:$L$1001,5,Base!$M$2:$M$1001,$B$4,Base!$K$2:$K$1001,$B$5))</f>
        <v/>
      </c>
      <c r="G15" s="19">
        <f>IF(Listas!$A$12="","",SUMIFS(Base!$J$2:$J$1001,Base!$D$2:$D$1001,Listas!$A$12,Base!$L$2:$L$1001,6,Base!$M$2:$M$1001,$B$4,Base!$K$2:$K$1001,$B$5))</f>
        <v/>
      </c>
      <c r="H15" s="19">
        <f>IF(Listas!$A$12="","",SUMIFS(Base!$J$2:$J$1001,Base!$D$2:$D$1001,Listas!$A$12,Base!$L$2:$L$1001,7,Base!$M$2:$M$1001,$B$4,Base!$K$2:$K$1001,$B$5))</f>
        <v/>
      </c>
      <c r="I15" s="19">
        <f>IF(Listas!$A$12="","",SUMIFS(Base!$J$2:$J$1001,Base!$D$2:$D$1001,Listas!$A$12,Base!$L$2:$L$1001,8,Base!$M$2:$M$1001,$B$4,Base!$K$2:$K$1001,$B$5))</f>
        <v/>
      </c>
      <c r="J15" s="19">
        <f>IF(Listas!$A$12="","",SUMIFS(Base!$J$2:$J$1001,Base!$D$2:$D$1001,Listas!$A$12,Base!$L$2:$L$1001,9,Base!$M$2:$M$1001,$B$4,Base!$K$2:$K$1001,$B$5))</f>
        <v/>
      </c>
      <c r="K15" s="19">
        <f>IF(Listas!$A$12="","",SUMIFS(Base!$J$2:$J$1001,Base!$D$2:$D$1001,Listas!$A$12,Base!$L$2:$L$1001,10,Base!$M$2:$M$1001,$B$4,Base!$K$2:$K$1001,$B$5))</f>
        <v/>
      </c>
      <c r="L15" s="19">
        <f>IF(Listas!$A$12="","",SUMIFS(Base!$J$2:$J$1001,Base!$D$2:$D$1001,Listas!$A$12,Base!$L$2:$L$1001,11,Base!$M$2:$M$1001,$B$4,Base!$K$2:$K$1001,$B$5))</f>
        <v/>
      </c>
      <c r="M15" s="19">
        <f>IF(Listas!$A$12="","",SUMIFS(Base!$J$2:$J$1001,Base!$D$2:$D$1001,Listas!$A$12,Base!$L$2:$L$1001,12,Base!$M$2:$M$1001,$B$4,Base!$K$2:$K$1001,$B$5))</f>
        <v/>
      </c>
      <c r="N15" s="19">
        <f>IF(A15="","",SUM(B15:M15))</f>
        <v/>
      </c>
    </row>
    <row r="16">
      <c r="A16" s="15">
        <f>IF(Listas!$A$13="","",Listas!$A$13)</f>
        <v/>
      </c>
      <c r="B16" s="19">
        <f>IF(Listas!$A$13="","",SUMIFS(Base!$J$2:$J$1001,Base!$D$2:$D$1001,Listas!$A$13,Base!$L$2:$L$1001,1,Base!$M$2:$M$1001,$B$4,Base!$K$2:$K$1001,$B$5))</f>
        <v/>
      </c>
      <c r="C16" s="19">
        <f>IF(Listas!$A$13="","",SUMIFS(Base!$J$2:$J$1001,Base!$D$2:$D$1001,Listas!$A$13,Base!$L$2:$L$1001,2,Base!$M$2:$M$1001,$B$4,Base!$K$2:$K$1001,$B$5))</f>
        <v/>
      </c>
      <c r="D16" s="19">
        <f>IF(Listas!$A$13="","",SUMIFS(Base!$J$2:$J$1001,Base!$D$2:$D$1001,Listas!$A$13,Base!$L$2:$L$1001,3,Base!$M$2:$M$1001,$B$4,Base!$K$2:$K$1001,$B$5))</f>
        <v/>
      </c>
      <c r="E16" s="19">
        <f>IF(Listas!$A$13="","",SUMIFS(Base!$J$2:$J$1001,Base!$D$2:$D$1001,Listas!$A$13,Base!$L$2:$L$1001,4,Base!$M$2:$M$1001,$B$4,Base!$K$2:$K$1001,$B$5))</f>
        <v/>
      </c>
      <c r="F16" s="19">
        <f>IF(Listas!$A$13="","",SUMIFS(Base!$J$2:$J$1001,Base!$D$2:$D$1001,Listas!$A$13,Base!$L$2:$L$1001,5,Base!$M$2:$M$1001,$B$4,Base!$K$2:$K$1001,$B$5))</f>
        <v/>
      </c>
      <c r="G16" s="19">
        <f>IF(Listas!$A$13="","",SUMIFS(Base!$J$2:$J$1001,Base!$D$2:$D$1001,Listas!$A$13,Base!$L$2:$L$1001,6,Base!$M$2:$M$1001,$B$4,Base!$K$2:$K$1001,$B$5))</f>
        <v/>
      </c>
      <c r="H16" s="19">
        <f>IF(Listas!$A$13="","",SUMIFS(Base!$J$2:$J$1001,Base!$D$2:$D$1001,Listas!$A$13,Base!$L$2:$L$1001,7,Base!$M$2:$M$1001,$B$4,Base!$K$2:$K$1001,$B$5))</f>
        <v/>
      </c>
      <c r="I16" s="19">
        <f>IF(Listas!$A$13="","",SUMIFS(Base!$J$2:$J$1001,Base!$D$2:$D$1001,Listas!$A$13,Base!$L$2:$L$1001,8,Base!$M$2:$M$1001,$B$4,Base!$K$2:$K$1001,$B$5))</f>
        <v/>
      </c>
      <c r="J16" s="19">
        <f>IF(Listas!$A$13="","",SUMIFS(Base!$J$2:$J$1001,Base!$D$2:$D$1001,Listas!$A$13,Base!$L$2:$L$1001,9,Base!$M$2:$M$1001,$B$4,Base!$K$2:$K$1001,$B$5))</f>
        <v/>
      </c>
      <c r="K16" s="19">
        <f>IF(Listas!$A$13="","",SUMIFS(Base!$J$2:$J$1001,Base!$D$2:$D$1001,Listas!$A$13,Base!$L$2:$L$1001,10,Base!$M$2:$M$1001,$B$4,Base!$K$2:$K$1001,$B$5))</f>
        <v/>
      </c>
      <c r="L16" s="19">
        <f>IF(Listas!$A$13="","",SUMIFS(Base!$J$2:$J$1001,Base!$D$2:$D$1001,Listas!$A$13,Base!$L$2:$L$1001,11,Base!$M$2:$M$1001,$B$4,Base!$K$2:$K$1001,$B$5))</f>
        <v/>
      </c>
      <c r="M16" s="19">
        <f>IF(Listas!$A$13="","",SUMIFS(Base!$J$2:$J$1001,Base!$D$2:$D$1001,Listas!$A$13,Base!$L$2:$L$1001,12,Base!$M$2:$M$1001,$B$4,Base!$K$2:$K$1001,$B$5))</f>
        <v/>
      </c>
      <c r="N16" s="19">
        <f>IF(A16="","",SUM(B16:M16))</f>
        <v/>
      </c>
    </row>
    <row r="17">
      <c r="A17" s="15">
        <f>IF(Listas!$A$14="","",Listas!$A$14)</f>
        <v/>
      </c>
      <c r="B17" s="19">
        <f>IF(Listas!$A$14="","",SUMIFS(Base!$J$2:$J$1001,Base!$D$2:$D$1001,Listas!$A$14,Base!$L$2:$L$1001,1,Base!$M$2:$M$1001,$B$4,Base!$K$2:$K$1001,$B$5))</f>
        <v/>
      </c>
      <c r="C17" s="19">
        <f>IF(Listas!$A$14="","",SUMIFS(Base!$J$2:$J$1001,Base!$D$2:$D$1001,Listas!$A$14,Base!$L$2:$L$1001,2,Base!$M$2:$M$1001,$B$4,Base!$K$2:$K$1001,$B$5))</f>
        <v/>
      </c>
      <c r="D17" s="19">
        <f>IF(Listas!$A$14="","",SUMIFS(Base!$J$2:$J$1001,Base!$D$2:$D$1001,Listas!$A$14,Base!$L$2:$L$1001,3,Base!$M$2:$M$1001,$B$4,Base!$K$2:$K$1001,$B$5))</f>
        <v/>
      </c>
      <c r="E17" s="19">
        <f>IF(Listas!$A$14="","",SUMIFS(Base!$J$2:$J$1001,Base!$D$2:$D$1001,Listas!$A$14,Base!$L$2:$L$1001,4,Base!$M$2:$M$1001,$B$4,Base!$K$2:$K$1001,$B$5))</f>
        <v/>
      </c>
      <c r="F17" s="19">
        <f>IF(Listas!$A$14="","",SUMIFS(Base!$J$2:$J$1001,Base!$D$2:$D$1001,Listas!$A$14,Base!$L$2:$L$1001,5,Base!$M$2:$M$1001,$B$4,Base!$K$2:$K$1001,$B$5))</f>
        <v/>
      </c>
      <c r="G17" s="19">
        <f>IF(Listas!$A$14="","",SUMIFS(Base!$J$2:$J$1001,Base!$D$2:$D$1001,Listas!$A$14,Base!$L$2:$L$1001,6,Base!$M$2:$M$1001,$B$4,Base!$K$2:$K$1001,$B$5))</f>
        <v/>
      </c>
      <c r="H17" s="19">
        <f>IF(Listas!$A$14="","",SUMIFS(Base!$J$2:$J$1001,Base!$D$2:$D$1001,Listas!$A$14,Base!$L$2:$L$1001,7,Base!$M$2:$M$1001,$B$4,Base!$K$2:$K$1001,$B$5))</f>
        <v/>
      </c>
      <c r="I17" s="19">
        <f>IF(Listas!$A$14="","",SUMIFS(Base!$J$2:$J$1001,Base!$D$2:$D$1001,Listas!$A$14,Base!$L$2:$L$1001,8,Base!$M$2:$M$1001,$B$4,Base!$K$2:$K$1001,$B$5))</f>
        <v/>
      </c>
      <c r="J17" s="19">
        <f>IF(Listas!$A$14="","",SUMIFS(Base!$J$2:$J$1001,Base!$D$2:$D$1001,Listas!$A$14,Base!$L$2:$L$1001,9,Base!$M$2:$M$1001,$B$4,Base!$K$2:$K$1001,$B$5))</f>
        <v/>
      </c>
      <c r="K17" s="19">
        <f>IF(Listas!$A$14="","",SUMIFS(Base!$J$2:$J$1001,Base!$D$2:$D$1001,Listas!$A$14,Base!$L$2:$L$1001,10,Base!$M$2:$M$1001,$B$4,Base!$K$2:$K$1001,$B$5))</f>
        <v/>
      </c>
      <c r="L17" s="19">
        <f>IF(Listas!$A$14="","",SUMIFS(Base!$J$2:$J$1001,Base!$D$2:$D$1001,Listas!$A$14,Base!$L$2:$L$1001,11,Base!$M$2:$M$1001,$B$4,Base!$K$2:$K$1001,$B$5))</f>
        <v/>
      </c>
      <c r="M17" s="19">
        <f>IF(Listas!$A$14="","",SUMIFS(Base!$J$2:$J$1001,Base!$D$2:$D$1001,Listas!$A$14,Base!$L$2:$L$1001,12,Base!$M$2:$M$1001,$B$4,Base!$K$2:$K$1001,$B$5))</f>
        <v/>
      </c>
      <c r="N17" s="19">
        <f>IF(A17="","",SUM(B17:M17))</f>
        <v/>
      </c>
    </row>
    <row r="18">
      <c r="A18" s="15">
        <f>IF(Listas!$A$15="","",Listas!$A$15)</f>
        <v/>
      </c>
      <c r="B18" s="19">
        <f>IF(Listas!$A$15="","",SUMIFS(Base!$J$2:$J$1001,Base!$D$2:$D$1001,Listas!$A$15,Base!$L$2:$L$1001,1,Base!$M$2:$M$1001,$B$4,Base!$K$2:$K$1001,$B$5))</f>
        <v/>
      </c>
      <c r="C18" s="19">
        <f>IF(Listas!$A$15="","",SUMIFS(Base!$J$2:$J$1001,Base!$D$2:$D$1001,Listas!$A$15,Base!$L$2:$L$1001,2,Base!$M$2:$M$1001,$B$4,Base!$K$2:$K$1001,$B$5))</f>
        <v/>
      </c>
      <c r="D18" s="19">
        <f>IF(Listas!$A$15="","",SUMIFS(Base!$J$2:$J$1001,Base!$D$2:$D$1001,Listas!$A$15,Base!$L$2:$L$1001,3,Base!$M$2:$M$1001,$B$4,Base!$K$2:$K$1001,$B$5))</f>
        <v/>
      </c>
      <c r="E18" s="19">
        <f>IF(Listas!$A$15="","",SUMIFS(Base!$J$2:$J$1001,Base!$D$2:$D$1001,Listas!$A$15,Base!$L$2:$L$1001,4,Base!$M$2:$M$1001,$B$4,Base!$K$2:$K$1001,$B$5))</f>
        <v/>
      </c>
      <c r="F18" s="19">
        <f>IF(Listas!$A$15="","",SUMIFS(Base!$J$2:$J$1001,Base!$D$2:$D$1001,Listas!$A$15,Base!$L$2:$L$1001,5,Base!$M$2:$M$1001,$B$4,Base!$K$2:$K$1001,$B$5))</f>
        <v/>
      </c>
      <c r="G18" s="19">
        <f>IF(Listas!$A$15="","",SUMIFS(Base!$J$2:$J$1001,Base!$D$2:$D$1001,Listas!$A$15,Base!$L$2:$L$1001,6,Base!$M$2:$M$1001,$B$4,Base!$K$2:$K$1001,$B$5))</f>
        <v/>
      </c>
      <c r="H18" s="19">
        <f>IF(Listas!$A$15="","",SUMIFS(Base!$J$2:$J$1001,Base!$D$2:$D$1001,Listas!$A$15,Base!$L$2:$L$1001,7,Base!$M$2:$M$1001,$B$4,Base!$K$2:$K$1001,$B$5))</f>
        <v/>
      </c>
      <c r="I18" s="19">
        <f>IF(Listas!$A$15="","",SUMIFS(Base!$J$2:$J$1001,Base!$D$2:$D$1001,Listas!$A$15,Base!$L$2:$L$1001,8,Base!$M$2:$M$1001,$B$4,Base!$K$2:$K$1001,$B$5))</f>
        <v/>
      </c>
      <c r="J18" s="19">
        <f>IF(Listas!$A$15="","",SUMIFS(Base!$J$2:$J$1001,Base!$D$2:$D$1001,Listas!$A$15,Base!$L$2:$L$1001,9,Base!$M$2:$M$1001,$B$4,Base!$K$2:$K$1001,$B$5))</f>
        <v/>
      </c>
      <c r="K18" s="19">
        <f>IF(Listas!$A$15="","",SUMIFS(Base!$J$2:$J$1001,Base!$D$2:$D$1001,Listas!$A$15,Base!$L$2:$L$1001,10,Base!$M$2:$M$1001,$B$4,Base!$K$2:$K$1001,$B$5))</f>
        <v/>
      </c>
      <c r="L18" s="19">
        <f>IF(Listas!$A$15="","",SUMIFS(Base!$J$2:$J$1001,Base!$D$2:$D$1001,Listas!$A$15,Base!$L$2:$L$1001,11,Base!$M$2:$M$1001,$B$4,Base!$K$2:$K$1001,$B$5))</f>
        <v/>
      </c>
      <c r="M18" s="19">
        <f>IF(Listas!$A$15="","",SUMIFS(Base!$J$2:$J$1001,Base!$D$2:$D$1001,Listas!$A$15,Base!$L$2:$L$1001,12,Base!$M$2:$M$1001,$B$4,Base!$K$2:$K$1001,$B$5))</f>
        <v/>
      </c>
      <c r="N18" s="19">
        <f>IF(A18="","",SUM(B18:M18))</f>
        <v/>
      </c>
    </row>
    <row r="19">
      <c r="A19" s="15">
        <f>IF(Listas!$A$16="","",Listas!$A$16)</f>
        <v/>
      </c>
      <c r="B19" s="19">
        <f>IF(Listas!$A$16="","",SUMIFS(Base!$J$2:$J$1001,Base!$D$2:$D$1001,Listas!$A$16,Base!$L$2:$L$1001,1,Base!$M$2:$M$1001,$B$4,Base!$K$2:$K$1001,$B$5))</f>
        <v/>
      </c>
      <c r="C19" s="19">
        <f>IF(Listas!$A$16="","",SUMIFS(Base!$J$2:$J$1001,Base!$D$2:$D$1001,Listas!$A$16,Base!$L$2:$L$1001,2,Base!$M$2:$M$1001,$B$4,Base!$K$2:$K$1001,$B$5))</f>
        <v/>
      </c>
      <c r="D19" s="19">
        <f>IF(Listas!$A$16="","",SUMIFS(Base!$J$2:$J$1001,Base!$D$2:$D$1001,Listas!$A$16,Base!$L$2:$L$1001,3,Base!$M$2:$M$1001,$B$4,Base!$K$2:$K$1001,$B$5))</f>
        <v/>
      </c>
      <c r="E19" s="19">
        <f>IF(Listas!$A$16="","",SUMIFS(Base!$J$2:$J$1001,Base!$D$2:$D$1001,Listas!$A$16,Base!$L$2:$L$1001,4,Base!$M$2:$M$1001,$B$4,Base!$K$2:$K$1001,$B$5))</f>
        <v/>
      </c>
      <c r="F19" s="19">
        <f>IF(Listas!$A$16="","",SUMIFS(Base!$J$2:$J$1001,Base!$D$2:$D$1001,Listas!$A$16,Base!$L$2:$L$1001,5,Base!$M$2:$M$1001,$B$4,Base!$K$2:$K$1001,$B$5))</f>
        <v/>
      </c>
      <c r="G19" s="19">
        <f>IF(Listas!$A$16="","",SUMIFS(Base!$J$2:$J$1001,Base!$D$2:$D$1001,Listas!$A$16,Base!$L$2:$L$1001,6,Base!$M$2:$M$1001,$B$4,Base!$K$2:$K$1001,$B$5))</f>
        <v/>
      </c>
      <c r="H19" s="19">
        <f>IF(Listas!$A$16="","",SUMIFS(Base!$J$2:$J$1001,Base!$D$2:$D$1001,Listas!$A$16,Base!$L$2:$L$1001,7,Base!$M$2:$M$1001,$B$4,Base!$K$2:$K$1001,$B$5))</f>
        <v/>
      </c>
      <c r="I19" s="19">
        <f>IF(Listas!$A$16="","",SUMIFS(Base!$J$2:$J$1001,Base!$D$2:$D$1001,Listas!$A$16,Base!$L$2:$L$1001,8,Base!$M$2:$M$1001,$B$4,Base!$K$2:$K$1001,$B$5))</f>
        <v/>
      </c>
      <c r="J19" s="19">
        <f>IF(Listas!$A$16="","",SUMIFS(Base!$J$2:$J$1001,Base!$D$2:$D$1001,Listas!$A$16,Base!$L$2:$L$1001,9,Base!$M$2:$M$1001,$B$4,Base!$K$2:$K$1001,$B$5))</f>
        <v/>
      </c>
      <c r="K19" s="19">
        <f>IF(Listas!$A$16="","",SUMIFS(Base!$J$2:$J$1001,Base!$D$2:$D$1001,Listas!$A$16,Base!$L$2:$L$1001,10,Base!$M$2:$M$1001,$B$4,Base!$K$2:$K$1001,$B$5))</f>
        <v/>
      </c>
      <c r="L19" s="19">
        <f>IF(Listas!$A$16="","",SUMIFS(Base!$J$2:$J$1001,Base!$D$2:$D$1001,Listas!$A$16,Base!$L$2:$L$1001,11,Base!$M$2:$M$1001,$B$4,Base!$K$2:$K$1001,$B$5))</f>
        <v/>
      </c>
      <c r="M19" s="19">
        <f>IF(Listas!$A$16="","",SUMIFS(Base!$J$2:$J$1001,Base!$D$2:$D$1001,Listas!$A$16,Base!$L$2:$L$1001,12,Base!$M$2:$M$1001,$B$4,Base!$K$2:$K$1001,$B$5))</f>
        <v/>
      </c>
      <c r="N19" s="19">
        <f>IF(A19="","",SUM(B19:M19))</f>
        <v/>
      </c>
    </row>
    <row r="20">
      <c r="A20" s="15">
        <f>IF(Listas!$A$17="","",Listas!$A$17)</f>
        <v/>
      </c>
      <c r="B20" s="19">
        <f>IF(Listas!$A$17="","",SUMIFS(Base!$J$2:$J$1001,Base!$D$2:$D$1001,Listas!$A$17,Base!$L$2:$L$1001,1,Base!$M$2:$M$1001,$B$4,Base!$K$2:$K$1001,$B$5))</f>
        <v/>
      </c>
      <c r="C20" s="19">
        <f>IF(Listas!$A$17="","",SUMIFS(Base!$J$2:$J$1001,Base!$D$2:$D$1001,Listas!$A$17,Base!$L$2:$L$1001,2,Base!$M$2:$M$1001,$B$4,Base!$K$2:$K$1001,$B$5))</f>
        <v/>
      </c>
      <c r="D20" s="19">
        <f>IF(Listas!$A$17="","",SUMIFS(Base!$J$2:$J$1001,Base!$D$2:$D$1001,Listas!$A$17,Base!$L$2:$L$1001,3,Base!$M$2:$M$1001,$B$4,Base!$K$2:$K$1001,$B$5))</f>
        <v/>
      </c>
      <c r="E20" s="19">
        <f>IF(Listas!$A$17="","",SUMIFS(Base!$J$2:$J$1001,Base!$D$2:$D$1001,Listas!$A$17,Base!$L$2:$L$1001,4,Base!$M$2:$M$1001,$B$4,Base!$K$2:$K$1001,$B$5))</f>
        <v/>
      </c>
      <c r="F20" s="19">
        <f>IF(Listas!$A$17="","",SUMIFS(Base!$J$2:$J$1001,Base!$D$2:$D$1001,Listas!$A$17,Base!$L$2:$L$1001,5,Base!$M$2:$M$1001,$B$4,Base!$K$2:$K$1001,$B$5))</f>
        <v/>
      </c>
      <c r="G20" s="19">
        <f>IF(Listas!$A$17="","",SUMIFS(Base!$J$2:$J$1001,Base!$D$2:$D$1001,Listas!$A$17,Base!$L$2:$L$1001,6,Base!$M$2:$M$1001,$B$4,Base!$K$2:$K$1001,$B$5))</f>
        <v/>
      </c>
      <c r="H20" s="19">
        <f>IF(Listas!$A$17="","",SUMIFS(Base!$J$2:$J$1001,Base!$D$2:$D$1001,Listas!$A$17,Base!$L$2:$L$1001,7,Base!$M$2:$M$1001,$B$4,Base!$K$2:$K$1001,$B$5))</f>
        <v/>
      </c>
      <c r="I20" s="19">
        <f>IF(Listas!$A$17="","",SUMIFS(Base!$J$2:$J$1001,Base!$D$2:$D$1001,Listas!$A$17,Base!$L$2:$L$1001,8,Base!$M$2:$M$1001,$B$4,Base!$K$2:$K$1001,$B$5))</f>
        <v/>
      </c>
      <c r="J20" s="19">
        <f>IF(Listas!$A$17="","",SUMIFS(Base!$J$2:$J$1001,Base!$D$2:$D$1001,Listas!$A$17,Base!$L$2:$L$1001,9,Base!$M$2:$M$1001,$B$4,Base!$K$2:$K$1001,$B$5))</f>
        <v/>
      </c>
      <c r="K20" s="19">
        <f>IF(Listas!$A$17="","",SUMIFS(Base!$J$2:$J$1001,Base!$D$2:$D$1001,Listas!$A$17,Base!$L$2:$L$1001,10,Base!$M$2:$M$1001,$B$4,Base!$K$2:$K$1001,$B$5))</f>
        <v/>
      </c>
      <c r="L20" s="19">
        <f>IF(Listas!$A$17="","",SUMIFS(Base!$J$2:$J$1001,Base!$D$2:$D$1001,Listas!$A$17,Base!$L$2:$L$1001,11,Base!$M$2:$M$1001,$B$4,Base!$K$2:$K$1001,$B$5))</f>
        <v/>
      </c>
      <c r="M20" s="19">
        <f>IF(Listas!$A$17="","",SUMIFS(Base!$J$2:$J$1001,Base!$D$2:$D$1001,Listas!$A$17,Base!$L$2:$L$1001,12,Base!$M$2:$M$1001,$B$4,Base!$K$2:$K$1001,$B$5))</f>
        <v/>
      </c>
      <c r="N20" s="19">
        <f>IF(A20="","",SUM(B20:M20))</f>
        <v/>
      </c>
    </row>
    <row r="21">
      <c r="A21" s="15">
        <f>IF(Listas!$A$18="","",Listas!$A$18)</f>
        <v/>
      </c>
      <c r="B21" s="19">
        <f>IF(Listas!$A$18="","",SUMIFS(Base!$J$2:$J$1001,Base!$D$2:$D$1001,Listas!$A$18,Base!$L$2:$L$1001,1,Base!$M$2:$M$1001,$B$4,Base!$K$2:$K$1001,$B$5))</f>
        <v/>
      </c>
      <c r="C21" s="19">
        <f>IF(Listas!$A$18="","",SUMIFS(Base!$J$2:$J$1001,Base!$D$2:$D$1001,Listas!$A$18,Base!$L$2:$L$1001,2,Base!$M$2:$M$1001,$B$4,Base!$K$2:$K$1001,$B$5))</f>
        <v/>
      </c>
      <c r="D21" s="19">
        <f>IF(Listas!$A$18="","",SUMIFS(Base!$J$2:$J$1001,Base!$D$2:$D$1001,Listas!$A$18,Base!$L$2:$L$1001,3,Base!$M$2:$M$1001,$B$4,Base!$K$2:$K$1001,$B$5))</f>
        <v/>
      </c>
      <c r="E21" s="19">
        <f>IF(Listas!$A$18="","",SUMIFS(Base!$J$2:$J$1001,Base!$D$2:$D$1001,Listas!$A$18,Base!$L$2:$L$1001,4,Base!$M$2:$M$1001,$B$4,Base!$K$2:$K$1001,$B$5))</f>
        <v/>
      </c>
      <c r="F21" s="19">
        <f>IF(Listas!$A$18="","",SUMIFS(Base!$J$2:$J$1001,Base!$D$2:$D$1001,Listas!$A$18,Base!$L$2:$L$1001,5,Base!$M$2:$M$1001,$B$4,Base!$K$2:$K$1001,$B$5))</f>
        <v/>
      </c>
      <c r="G21" s="19">
        <f>IF(Listas!$A$18="","",SUMIFS(Base!$J$2:$J$1001,Base!$D$2:$D$1001,Listas!$A$18,Base!$L$2:$L$1001,6,Base!$M$2:$M$1001,$B$4,Base!$K$2:$K$1001,$B$5))</f>
        <v/>
      </c>
      <c r="H21" s="19">
        <f>IF(Listas!$A$18="","",SUMIFS(Base!$J$2:$J$1001,Base!$D$2:$D$1001,Listas!$A$18,Base!$L$2:$L$1001,7,Base!$M$2:$M$1001,$B$4,Base!$K$2:$K$1001,$B$5))</f>
        <v/>
      </c>
      <c r="I21" s="19">
        <f>IF(Listas!$A$18="","",SUMIFS(Base!$J$2:$J$1001,Base!$D$2:$D$1001,Listas!$A$18,Base!$L$2:$L$1001,8,Base!$M$2:$M$1001,$B$4,Base!$K$2:$K$1001,$B$5))</f>
        <v/>
      </c>
      <c r="J21" s="19">
        <f>IF(Listas!$A$18="","",SUMIFS(Base!$J$2:$J$1001,Base!$D$2:$D$1001,Listas!$A$18,Base!$L$2:$L$1001,9,Base!$M$2:$M$1001,$B$4,Base!$K$2:$K$1001,$B$5))</f>
        <v/>
      </c>
      <c r="K21" s="19">
        <f>IF(Listas!$A$18="","",SUMIFS(Base!$J$2:$J$1001,Base!$D$2:$D$1001,Listas!$A$18,Base!$L$2:$L$1001,10,Base!$M$2:$M$1001,$B$4,Base!$K$2:$K$1001,$B$5))</f>
        <v/>
      </c>
      <c r="L21" s="19">
        <f>IF(Listas!$A$18="","",SUMIFS(Base!$J$2:$J$1001,Base!$D$2:$D$1001,Listas!$A$18,Base!$L$2:$L$1001,11,Base!$M$2:$M$1001,$B$4,Base!$K$2:$K$1001,$B$5))</f>
        <v/>
      </c>
      <c r="M21" s="19">
        <f>IF(Listas!$A$18="","",SUMIFS(Base!$J$2:$J$1001,Base!$D$2:$D$1001,Listas!$A$18,Base!$L$2:$L$1001,12,Base!$M$2:$M$1001,$B$4,Base!$K$2:$K$1001,$B$5))</f>
        <v/>
      </c>
      <c r="N21" s="19">
        <f>IF(A21="","",SUM(B21:M21))</f>
        <v/>
      </c>
    </row>
    <row r="22">
      <c r="A22" s="15">
        <f>IF(Listas!$A$19="","",Listas!$A$19)</f>
        <v/>
      </c>
      <c r="B22" s="19">
        <f>IF(Listas!$A$19="","",SUMIFS(Base!$J$2:$J$1001,Base!$D$2:$D$1001,Listas!$A$19,Base!$L$2:$L$1001,1,Base!$M$2:$M$1001,$B$4,Base!$K$2:$K$1001,$B$5))</f>
        <v/>
      </c>
      <c r="C22" s="19">
        <f>IF(Listas!$A$19="","",SUMIFS(Base!$J$2:$J$1001,Base!$D$2:$D$1001,Listas!$A$19,Base!$L$2:$L$1001,2,Base!$M$2:$M$1001,$B$4,Base!$K$2:$K$1001,$B$5))</f>
        <v/>
      </c>
      <c r="D22" s="19">
        <f>IF(Listas!$A$19="","",SUMIFS(Base!$J$2:$J$1001,Base!$D$2:$D$1001,Listas!$A$19,Base!$L$2:$L$1001,3,Base!$M$2:$M$1001,$B$4,Base!$K$2:$K$1001,$B$5))</f>
        <v/>
      </c>
      <c r="E22" s="19">
        <f>IF(Listas!$A$19="","",SUMIFS(Base!$J$2:$J$1001,Base!$D$2:$D$1001,Listas!$A$19,Base!$L$2:$L$1001,4,Base!$M$2:$M$1001,$B$4,Base!$K$2:$K$1001,$B$5))</f>
        <v/>
      </c>
      <c r="F22" s="19">
        <f>IF(Listas!$A$19="","",SUMIFS(Base!$J$2:$J$1001,Base!$D$2:$D$1001,Listas!$A$19,Base!$L$2:$L$1001,5,Base!$M$2:$M$1001,$B$4,Base!$K$2:$K$1001,$B$5))</f>
        <v/>
      </c>
      <c r="G22" s="19">
        <f>IF(Listas!$A$19="","",SUMIFS(Base!$J$2:$J$1001,Base!$D$2:$D$1001,Listas!$A$19,Base!$L$2:$L$1001,6,Base!$M$2:$M$1001,$B$4,Base!$K$2:$K$1001,$B$5))</f>
        <v/>
      </c>
      <c r="H22" s="19">
        <f>IF(Listas!$A$19="","",SUMIFS(Base!$J$2:$J$1001,Base!$D$2:$D$1001,Listas!$A$19,Base!$L$2:$L$1001,7,Base!$M$2:$M$1001,$B$4,Base!$K$2:$K$1001,$B$5))</f>
        <v/>
      </c>
      <c r="I22" s="19">
        <f>IF(Listas!$A$19="","",SUMIFS(Base!$J$2:$J$1001,Base!$D$2:$D$1001,Listas!$A$19,Base!$L$2:$L$1001,8,Base!$M$2:$M$1001,$B$4,Base!$K$2:$K$1001,$B$5))</f>
        <v/>
      </c>
      <c r="J22" s="19">
        <f>IF(Listas!$A$19="","",SUMIFS(Base!$J$2:$J$1001,Base!$D$2:$D$1001,Listas!$A$19,Base!$L$2:$L$1001,9,Base!$M$2:$M$1001,$B$4,Base!$K$2:$K$1001,$B$5))</f>
        <v/>
      </c>
      <c r="K22" s="19">
        <f>IF(Listas!$A$19="","",SUMIFS(Base!$J$2:$J$1001,Base!$D$2:$D$1001,Listas!$A$19,Base!$L$2:$L$1001,10,Base!$M$2:$M$1001,$B$4,Base!$K$2:$K$1001,$B$5))</f>
        <v/>
      </c>
      <c r="L22" s="19">
        <f>IF(Listas!$A$19="","",SUMIFS(Base!$J$2:$J$1001,Base!$D$2:$D$1001,Listas!$A$19,Base!$L$2:$L$1001,11,Base!$M$2:$M$1001,$B$4,Base!$K$2:$K$1001,$B$5))</f>
        <v/>
      </c>
      <c r="M22" s="19">
        <f>IF(Listas!$A$19="","",SUMIFS(Base!$J$2:$J$1001,Base!$D$2:$D$1001,Listas!$A$19,Base!$L$2:$L$1001,12,Base!$M$2:$M$1001,$B$4,Base!$K$2:$K$1001,$B$5))</f>
        <v/>
      </c>
      <c r="N22" s="19">
        <f>IF(A22="","",SUM(B22:M22))</f>
        <v/>
      </c>
    </row>
    <row r="23">
      <c r="A23" s="15">
        <f>IF(Listas!$A$20="","",Listas!$A$20)</f>
        <v/>
      </c>
      <c r="B23" s="19">
        <f>IF(Listas!$A$20="","",SUMIFS(Base!$J$2:$J$1001,Base!$D$2:$D$1001,Listas!$A$20,Base!$L$2:$L$1001,1,Base!$M$2:$M$1001,$B$4,Base!$K$2:$K$1001,$B$5))</f>
        <v/>
      </c>
      <c r="C23" s="19">
        <f>IF(Listas!$A$20="","",SUMIFS(Base!$J$2:$J$1001,Base!$D$2:$D$1001,Listas!$A$20,Base!$L$2:$L$1001,2,Base!$M$2:$M$1001,$B$4,Base!$K$2:$K$1001,$B$5))</f>
        <v/>
      </c>
      <c r="D23" s="19">
        <f>IF(Listas!$A$20="","",SUMIFS(Base!$J$2:$J$1001,Base!$D$2:$D$1001,Listas!$A$20,Base!$L$2:$L$1001,3,Base!$M$2:$M$1001,$B$4,Base!$K$2:$K$1001,$B$5))</f>
        <v/>
      </c>
      <c r="E23" s="19">
        <f>IF(Listas!$A$20="","",SUMIFS(Base!$J$2:$J$1001,Base!$D$2:$D$1001,Listas!$A$20,Base!$L$2:$L$1001,4,Base!$M$2:$M$1001,$B$4,Base!$K$2:$K$1001,$B$5))</f>
        <v/>
      </c>
      <c r="F23" s="19">
        <f>IF(Listas!$A$20="","",SUMIFS(Base!$J$2:$J$1001,Base!$D$2:$D$1001,Listas!$A$20,Base!$L$2:$L$1001,5,Base!$M$2:$M$1001,$B$4,Base!$K$2:$K$1001,$B$5))</f>
        <v/>
      </c>
      <c r="G23" s="19">
        <f>IF(Listas!$A$20="","",SUMIFS(Base!$J$2:$J$1001,Base!$D$2:$D$1001,Listas!$A$20,Base!$L$2:$L$1001,6,Base!$M$2:$M$1001,$B$4,Base!$K$2:$K$1001,$B$5))</f>
        <v/>
      </c>
      <c r="H23" s="19">
        <f>IF(Listas!$A$20="","",SUMIFS(Base!$J$2:$J$1001,Base!$D$2:$D$1001,Listas!$A$20,Base!$L$2:$L$1001,7,Base!$M$2:$M$1001,$B$4,Base!$K$2:$K$1001,$B$5))</f>
        <v/>
      </c>
      <c r="I23" s="19">
        <f>IF(Listas!$A$20="","",SUMIFS(Base!$J$2:$J$1001,Base!$D$2:$D$1001,Listas!$A$20,Base!$L$2:$L$1001,8,Base!$M$2:$M$1001,$B$4,Base!$K$2:$K$1001,$B$5))</f>
        <v/>
      </c>
      <c r="J23" s="19">
        <f>IF(Listas!$A$20="","",SUMIFS(Base!$J$2:$J$1001,Base!$D$2:$D$1001,Listas!$A$20,Base!$L$2:$L$1001,9,Base!$M$2:$M$1001,$B$4,Base!$K$2:$K$1001,$B$5))</f>
        <v/>
      </c>
      <c r="K23" s="19">
        <f>IF(Listas!$A$20="","",SUMIFS(Base!$J$2:$J$1001,Base!$D$2:$D$1001,Listas!$A$20,Base!$L$2:$L$1001,10,Base!$M$2:$M$1001,$B$4,Base!$K$2:$K$1001,$B$5))</f>
        <v/>
      </c>
      <c r="L23" s="19">
        <f>IF(Listas!$A$20="","",SUMIFS(Base!$J$2:$J$1001,Base!$D$2:$D$1001,Listas!$A$20,Base!$L$2:$L$1001,11,Base!$M$2:$M$1001,$B$4,Base!$K$2:$K$1001,$B$5))</f>
        <v/>
      </c>
      <c r="M23" s="19">
        <f>IF(Listas!$A$20="","",SUMIFS(Base!$J$2:$J$1001,Base!$D$2:$D$1001,Listas!$A$20,Base!$L$2:$L$1001,12,Base!$M$2:$M$1001,$B$4,Base!$K$2:$K$1001,$B$5))</f>
        <v/>
      </c>
      <c r="N23" s="19">
        <f>IF(A23="","",SUM(B23:M23))</f>
        <v/>
      </c>
    </row>
    <row r="24">
      <c r="A24" s="15">
        <f>IF(Listas!$A$21="","",Listas!$A$21)</f>
        <v/>
      </c>
      <c r="B24" s="19">
        <f>IF(Listas!$A$21="","",SUMIFS(Base!$J$2:$J$1001,Base!$D$2:$D$1001,Listas!$A$21,Base!$L$2:$L$1001,1,Base!$M$2:$M$1001,$B$4,Base!$K$2:$K$1001,$B$5))</f>
        <v/>
      </c>
      <c r="C24" s="19">
        <f>IF(Listas!$A$21="","",SUMIFS(Base!$J$2:$J$1001,Base!$D$2:$D$1001,Listas!$A$21,Base!$L$2:$L$1001,2,Base!$M$2:$M$1001,$B$4,Base!$K$2:$K$1001,$B$5))</f>
        <v/>
      </c>
      <c r="D24" s="19">
        <f>IF(Listas!$A$21="","",SUMIFS(Base!$J$2:$J$1001,Base!$D$2:$D$1001,Listas!$A$21,Base!$L$2:$L$1001,3,Base!$M$2:$M$1001,$B$4,Base!$K$2:$K$1001,$B$5))</f>
        <v/>
      </c>
      <c r="E24" s="19">
        <f>IF(Listas!$A$21="","",SUMIFS(Base!$J$2:$J$1001,Base!$D$2:$D$1001,Listas!$A$21,Base!$L$2:$L$1001,4,Base!$M$2:$M$1001,$B$4,Base!$K$2:$K$1001,$B$5))</f>
        <v/>
      </c>
      <c r="F24" s="19">
        <f>IF(Listas!$A$21="","",SUMIFS(Base!$J$2:$J$1001,Base!$D$2:$D$1001,Listas!$A$21,Base!$L$2:$L$1001,5,Base!$M$2:$M$1001,$B$4,Base!$K$2:$K$1001,$B$5))</f>
        <v/>
      </c>
      <c r="G24" s="19">
        <f>IF(Listas!$A$21="","",SUMIFS(Base!$J$2:$J$1001,Base!$D$2:$D$1001,Listas!$A$21,Base!$L$2:$L$1001,6,Base!$M$2:$M$1001,$B$4,Base!$K$2:$K$1001,$B$5))</f>
        <v/>
      </c>
      <c r="H24" s="19">
        <f>IF(Listas!$A$21="","",SUMIFS(Base!$J$2:$J$1001,Base!$D$2:$D$1001,Listas!$A$21,Base!$L$2:$L$1001,7,Base!$M$2:$M$1001,$B$4,Base!$K$2:$K$1001,$B$5))</f>
        <v/>
      </c>
      <c r="I24" s="19">
        <f>IF(Listas!$A$21="","",SUMIFS(Base!$J$2:$J$1001,Base!$D$2:$D$1001,Listas!$A$21,Base!$L$2:$L$1001,8,Base!$M$2:$M$1001,$B$4,Base!$K$2:$K$1001,$B$5))</f>
        <v/>
      </c>
      <c r="J24" s="19">
        <f>IF(Listas!$A$21="","",SUMIFS(Base!$J$2:$J$1001,Base!$D$2:$D$1001,Listas!$A$21,Base!$L$2:$L$1001,9,Base!$M$2:$M$1001,$B$4,Base!$K$2:$K$1001,$B$5))</f>
        <v/>
      </c>
      <c r="K24" s="19">
        <f>IF(Listas!$A$21="","",SUMIFS(Base!$J$2:$J$1001,Base!$D$2:$D$1001,Listas!$A$21,Base!$L$2:$L$1001,10,Base!$M$2:$M$1001,$B$4,Base!$K$2:$K$1001,$B$5))</f>
        <v/>
      </c>
      <c r="L24" s="19">
        <f>IF(Listas!$A$21="","",SUMIFS(Base!$J$2:$J$1001,Base!$D$2:$D$1001,Listas!$A$21,Base!$L$2:$L$1001,11,Base!$M$2:$M$1001,$B$4,Base!$K$2:$K$1001,$B$5))</f>
        <v/>
      </c>
      <c r="M24" s="19">
        <f>IF(Listas!$A$21="","",SUMIFS(Base!$J$2:$J$1001,Base!$D$2:$D$1001,Listas!$A$21,Base!$L$2:$L$1001,12,Base!$M$2:$M$1001,$B$4,Base!$K$2:$K$1001,$B$5))</f>
        <v/>
      </c>
      <c r="N24" s="19">
        <f>IF(A24="","",SUM(B24:M24))</f>
        <v/>
      </c>
    </row>
    <row r="25">
      <c r="A25" s="15">
        <f>IF(Listas!$A$22="","",Listas!$A$22)</f>
        <v/>
      </c>
      <c r="B25" s="19">
        <f>IF(Listas!$A$22="","",SUMIFS(Base!$J$2:$J$1001,Base!$D$2:$D$1001,Listas!$A$22,Base!$L$2:$L$1001,1,Base!$M$2:$M$1001,$B$4,Base!$K$2:$K$1001,$B$5))</f>
        <v/>
      </c>
      <c r="C25" s="19">
        <f>IF(Listas!$A$22="","",SUMIFS(Base!$J$2:$J$1001,Base!$D$2:$D$1001,Listas!$A$22,Base!$L$2:$L$1001,2,Base!$M$2:$M$1001,$B$4,Base!$K$2:$K$1001,$B$5))</f>
        <v/>
      </c>
      <c r="D25" s="19">
        <f>IF(Listas!$A$22="","",SUMIFS(Base!$J$2:$J$1001,Base!$D$2:$D$1001,Listas!$A$22,Base!$L$2:$L$1001,3,Base!$M$2:$M$1001,$B$4,Base!$K$2:$K$1001,$B$5))</f>
        <v/>
      </c>
      <c r="E25" s="19">
        <f>IF(Listas!$A$22="","",SUMIFS(Base!$J$2:$J$1001,Base!$D$2:$D$1001,Listas!$A$22,Base!$L$2:$L$1001,4,Base!$M$2:$M$1001,$B$4,Base!$K$2:$K$1001,$B$5))</f>
        <v/>
      </c>
      <c r="F25" s="19">
        <f>IF(Listas!$A$22="","",SUMIFS(Base!$J$2:$J$1001,Base!$D$2:$D$1001,Listas!$A$22,Base!$L$2:$L$1001,5,Base!$M$2:$M$1001,$B$4,Base!$K$2:$K$1001,$B$5))</f>
        <v/>
      </c>
      <c r="G25" s="19">
        <f>IF(Listas!$A$22="","",SUMIFS(Base!$J$2:$J$1001,Base!$D$2:$D$1001,Listas!$A$22,Base!$L$2:$L$1001,6,Base!$M$2:$M$1001,$B$4,Base!$K$2:$K$1001,$B$5))</f>
        <v/>
      </c>
      <c r="H25" s="19">
        <f>IF(Listas!$A$22="","",SUMIFS(Base!$J$2:$J$1001,Base!$D$2:$D$1001,Listas!$A$22,Base!$L$2:$L$1001,7,Base!$M$2:$M$1001,$B$4,Base!$K$2:$K$1001,$B$5))</f>
        <v/>
      </c>
      <c r="I25" s="19">
        <f>IF(Listas!$A$22="","",SUMIFS(Base!$J$2:$J$1001,Base!$D$2:$D$1001,Listas!$A$22,Base!$L$2:$L$1001,8,Base!$M$2:$M$1001,$B$4,Base!$K$2:$K$1001,$B$5))</f>
        <v/>
      </c>
      <c r="J25" s="19">
        <f>IF(Listas!$A$22="","",SUMIFS(Base!$J$2:$J$1001,Base!$D$2:$D$1001,Listas!$A$22,Base!$L$2:$L$1001,9,Base!$M$2:$M$1001,$B$4,Base!$K$2:$K$1001,$B$5))</f>
        <v/>
      </c>
      <c r="K25" s="19">
        <f>IF(Listas!$A$22="","",SUMIFS(Base!$J$2:$J$1001,Base!$D$2:$D$1001,Listas!$A$22,Base!$L$2:$L$1001,10,Base!$M$2:$M$1001,$B$4,Base!$K$2:$K$1001,$B$5))</f>
        <v/>
      </c>
      <c r="L25" s="19">
        <f>IF(Listas!$A$22="","",SUMIFS(Base!$J$2:$J$1001,Base!$D$2:$D$1001,Listas!$A$22,Base!$L$2:$L$1001,11,Base!$M$2:$M$1001,$B$4,Base!$K$2:$K$1001,$B$5))</f>
        <v/>
      </c>
      <c r="M25" s="19">
        <f>IF(Listas!$A$22="","",SUMIFS(Base!$J$2:$J$1001,Base!$D$2:$D$1001,Listas!$A$22,Base!$L$2:$L$1001,12,Base!$M$2:$M$1001,$B$4,Base!$K$2:$K$1001,$B$5))</f>
        <v/>
      </c>
      <c r="N25" s="19">
        <f>IF(A25="","",SUM(B25:M25))</f>
        <v/>
      </c>
    </row>
    <row r="26">
      <c r="A26" s="15">
        <f>IF(Listas!$A$23="","",Listas!$A$23)</f>
        <v/>
      </c>
      <c r="B26" s="19">
        <f>IF(Listas!$A$23="","",SUMIFS(Base!$J$2:$J$1001,Base!$D$2:$D$1001,Listas!$A$23,Base!$L$2:$L$1001,1,Base!$M$2:$M$1001,$B$4,Base!$K$2:$K$1001,$B$5))</f>
        <v/>
      </c>
      <c r="C26" s="19">
        <f>IF(Listas!$A$23="","",SUMIFS(Base!$J$2:$J$1001,Base!$D$2:$D$1001,Listas!$A$23,Base!$L$2:$L$1001,2,Base!$M$2:$M$1001,$B$4,Base!$K$2:$K$1001,$B$5))</f>
        <v/>
      </c>
      <c r="D26" s="19">
        <f>IF(Listas!$A$23="","",SUMIFS(Base!$J$2:$J$1001,Base!$D$2:$D$1001,Listas!$A$23,Base!$L$2:$L$1001,3,Base!$M$2:$M$1001,$B$4,Base!$K$2:$K$1001,$B$5))</f>
        <v/>
      </c>
      <c r="E26" s="19">
        <f>IF(Listas!$A$23="","",SUMIFS(Base!$J$2:$J$1001,Base!$D$2:$D$1001,Listas!$A$23,Base!$L$2:$L$1001,4,Base!$M$2:$M$1001,$B$4,Base!$K$2:$K$1001,$B$5))</f>
        <v/>
      </c>
      <c r="F26" s="19">
        <f>IF(Listas!$A$23="","",SUMIFS(Base!$J$2:$J$1001,Base!$D$2:$D$1001,Listas!$A$23,Base!$L$2:$L$1001,5,Base!$M$2:$M$1001,$B$4,Base!$K$2:$K$1001,$B$5))</f>
        <v/>
      </c>
      <c r="G26" s="19">
        <f>IF(Listas!$A$23="","",SUMIFS(Base!$J$2:$J$1001,Base!$D$2:$D$1001,Listas!$A$23,Base!$L$2:$L$1001,6,Base!$M$2:$M$1001,$B$4,Base!$K$2:$K$1001,$B$5))</f>
        <v/>
      </c>
      <c r="H26" s="19">
        <f>IF(Listas!$A$23="","",SUMIFS(Base!$J$2:$J$1001,Base!$D$2:$D$1001,Listas!$A$23,Base!$L$2:$L$1001,7,Base!$M$2:$M$1001,$B$4,Base!$K$2:$K$1001,$B$5))</f>
        <v/>
      </c>
      <c r="I26" s="19">
        <f>IF(Listas!$A$23="","",SUMIFS(Base!$J$2:$J$1001,Base!$D$2:$D$1001,Listas!$A$23,Base!$L$2:$L$1001,8,Base!$M$2:$M$1001,$B$4,Base!$K$2:$K$1001,$B$5))</f>
        <v/>
      </c>
      <c r="J26" s="19">
        <f>IF(Listas!$A$23="","",SUMIFS(Base!$J$2:$J$1001,Base!$D$2:$D$1001,Listas!$A$23,Base!$L$2:$L$1001,9,Base!$M$2:$M$1001,$B$4,Base!$K$2:$K$1001,$B$5))</f>
        <v/>
      </c>
      <c r="K26" s="19">
        <f>IF(Listas!$A$23="","",SUMIFS(Base!$J$2:$J$1001,Base!$D$2:$D$1001,Listas!$A$23,Base!$L$2:$L$1001,10,Base!$M$2:$M$1001,$B$4,Base!$K$2:$K$1001,$B$5))</f>
        <v/>
      </c>
      <c r="L26" s="19">
        <f>IF(Listas!$A$23="","",SUMIFS(Base!$J$2:$J$1001,Base!$D$2:$D$1001,Listas!$A$23,Base!$L$2:$L$1001,11,Base!$M$2:$M$1001,$B$4,Base!$K$2:$K$1001,$B$5))</f>
        <v/>
      </c>
      <c r="M26" s="19">
        <f>IF(Listas!$A$23="","",SUMIFS(Base!$J$2:$J$1001,Base!$D$2:$D$1001,Listas!$A$23,Base!$L$2:$L$1001,12,Base!$M$2:$M$1001,$B$4,Base!$K$2:$K$1001,$B$5))</f>
        <v/>
      </c>
      <c r="N26" s="19">
        <f>IF(A26="","",SUM(B26:M26))</f>
        <v/>
      </c>
    </row>
    <row r="27">
      <c r="A27" s="15">
        <f>IF(Listas!$A$24="","",Listas!$A$24)</f>
        <v/>
      </c>
      <c r="B27" s="19">
        <f>IF(Listas!$A$24="","",SUMIFS(Base!$J$2:$J$1001,Base!$D$2:$D$1001,Listas!$A$24,Base!$L$2:$L$1001,1,Base!$M$2:$M$1001,$B$4,Base!$K$2:$K$1001,$B$5))</f>
        <v/>
      </c>
      <c r="C27" s="19">
        <f>IF(Listas!$A$24="","",SUMIFS(Base!$J$2:$J$1001,Base!$D$2:$D$1001,Listas!$A$24,Base!$L$2:$L$1001,2,Base!$M$2:$M$1001,$B$4,Base!$K$2:$K$1001,$B$5))</f>
        <v/>
      </c>
      <c r="D27" s="19">
        <f>IF(Listas!$A$24="","",SUMIFS(Base!$J$2:$J$1001,Base!$D$2:$D$1001,Listas!$A$24,Base!$L$2:$L$1001,3,Base!$M$2:$M$1001,$B$4,Base!$K$2:$K$1001,$B$5))</f>
        <v/>
      </c>
      <c r="E27" s="19">
        <f>IF(Listas!$A$24="","",SUMIFS(Base!$J$2:$J$1001,Base!$D$2:$D$1001,Listas!$A$24,Base!$L$2:$L$1001,4,Base!$M$2:$M$1001,$B$4,Base!$K$2:$K$1001,$B$5))</f>
        <v/>
      </c>
      <c r="F27" s="19">
        <f>IF(Listas!$A$24="","",SUMIFS(Base!$J$2:$J$1001,Base!$D$2:$D$1001,Listas!$A$24,Base!$L$2:$L$1001,5,Base!$M$2:$M$1001,$B$4,Base!$K$2:$K$1001,$B$5))</f>
        <v/>
      </c>
      <c r="G27" s="19">
        <f>IF(Listas!$A$24="","",SUMIFS(Base!$J$2:$J$1001,Base!$D$2:$D$1001,Listas!$A$24,Base!$L$2:$L$1001,6,Base!$M$2:$M$1001,$B$4,Base!$K$2:$K$1001,$B$5))</f>
        <v/>
      </c>
      <c r="H27" s="19">
        <f>IF(Listas!$A$24="","",SUMIFS(Base!$J$2:$J$1001,Base!$D$2:$D$1001,Listas!$A$24,Base!$L$2:$L$1001,7,Base!$M$2:$M$1001,$B$4,Base!$K$2:$K$1001,$B$5))</f>
        <v/>
      </c>
      <c r="I27" s="19">
        <f>IF(Listas!$A$24="","",SUMIFS(Base!$J$2:$J$1001,Base!$D$2:$D$1001,Listas!$A$24,Base!$L$2:$L$1001,8,Base!$M$2:$M$1001,$B$4,Base!$K$2:$K$1001,$B$5))</f>
        <v/>
      </c>
      <c r="J27" s="19">
        <f>IF(Listas!$A$24="","",SUMIFS(Base!$J$2:$J$1001,Base!$D$2:$D$1001,Listas!$A$24,Base!$L$2:$L$1001,9,Base!$M$2:$M$1001,$B$4,Base!$K$2:$K$1001,$B$5))</f>
        <v/>
      </c>
      <c r="K27" s="19">
        <f>IF(Listas!$A$24="","",SUMIFS(Base!$J$2:$J$1001,Base!$D$2:$D$1001,Listas!$A$24,Base!$L$2:$L$1001,10,Base!$M$2:$M$1001,$B$4,Base!$K$2:$K$1001,$B$5))</f>
        <v/>
      </c>
      <c r="L27" s="19">
        <f>IF(Listas!$A$24="","",SUMIFS(Base!$J$2:$J$1001,Base!$D$2:$D$1001,Listas!$A$24,Base!$L$2:$L$1001,11,Base!$M$2:$M$1001,$B$4,Base!$K$2:$K$1001,$B$5))</f>
        <v/>
      </c>
      <c r="M27" s="19">
        <f>IF(Listas!$A$24="","",SUMIFS(Base!$J$2:$J$1001,Base!$D$2:$D$1001,Listas!$A$24,Base!$L$2:$L$1001,12,Base!$M$2:$M$1001,$B$4,Base!$K$2:$K$1001,$B$5))</f>
        <v/>
      </c>
      <c r="N27" s="19">
        <f>IF(A27="","",SUM(B27:M27))</f>
        <v/>
      </c>
    </row>
    <row r="28">
      <c r="A28" s="15">
        <f>IF(Listas!$A$25="","",Listas!$A$25)</f>
        <v/>
      </c>
      <c r="B28" s="19">
        <f>IF(Listas!$A$25="","",SUMIFS(Base!$J$2:$J$1001,Base!$D$2:$D$1001,Listas!$A$25,Base!$L$2:$L$1001,1,Base!$M$2:$M$1001,$B$4,Base!$K$2:$K$1001,$B$5))</f>
        <v/>
      </c>
      <c r="C28" s="19">
        <f>IF(Listas!$A$25="","",SUMIFS(Base!$J$2:$J$1001,Base!$D$2:$D$1001,Listas!$A$25,Base!$L$2:$L$1001,2,Base!$M$2:$M$1001,$B$4,Base!$K$2:$K$1001,$B$5))</f>
        <v/>
      </c>
      <c r="D28" s="19">
        <f>IF(Listas!$A$25="","",SUMIFS(Base!$J$2:$J$1001,Base!$D$2:$D$1001,Listas!$A$25,Base!$L$2:$L$1001,3,Base!$M$2:$M$1001,$B$4,Base!$K$2:$K$1001,$B$5))</f>
        <v/>
      </c>
      <c r="E28" s="19">
        <f>IF(Listas!$A$25="","",SUMIFS(Base!$J$2:$J$1001,Base!$D$2:$D$1001,Listas!$A$25,Base!$L$2:$L$1001,4,Base!$M$2:$M$1001,$B$4,Base!$K$2:$K$1001,$B$5))</f>
        <v/>
      </c>
      <c r="F28" s="19">
        <f>IF(Listas!$A$25="","",SUMIFS(Base!$J$2:$J$1001,Base!$D$2:$D$1001,Listas!$A$25,Base!$L$2:$L$1001,5,Base!$M$2:$M$1001,$B$4,Base!$K$2:$K$1001,$B$5))</f>
        <v/>
      </c>
      <c r="G28" s="19">
        <f>IF(Listas!$A$25="","",SUMIFS(Base!$J$2:$J$1001,Base!$D$2:$D$1001,Listas!$A$25,Base!$L$2:$L$1001,6,Base!$M$2:$M$1001,$B$4,Base!$K$2:$K$1001,$B$5))</f>
        <v/>
      </c>
      <c r="H28" s="19">
        <f>IF(Listas!$A$25="","",SUMIFS(Base!$J$2:$J$1001,Base!$D$2:$D$1001,Listas!$A$25,Base!$L$2:$L$1001,7,Base!$M$2:$M$1001,$B$4,Base!$K$2:$K$1001,$B$5))</f>
        <v/>
      </c>
      <c r="I28" s="19">
        <f>IF(Listas!$A$25="","",SUMIFS(Base!$J$2:$J$1001,Base!$D$2:$D$1001,Listas!$A$25,Base!$L$2:$L$1001,8,Base!$M$2:$M$1001,$B$4,Base!$K$2:$K$1001,$B$5))</f>
        <v/>
      </c>
      <c r="J28" s="19">
        <f>IF(Listas!$A$25="","",SUMIFS(Base!$J$2:$J$1001,Base!$D$2:$D$1001,Listas!$A$25,Base!$L$2:$L$1001,9,Base!$M$2:$M$1001,$B$4,Base!$K$2:$K$1001,$B$5))</f>
        <v/>
      </c>
      <c r="K28" s="19">
        <f>IF(Listas!$A$25="","",SUMIFS(Base!$J$2:$J$1001,Base!$D$2:$D$1001,Listas!$A$25,Base!$L$2:$L$1001,10,Base!$M$2:$M$1001,$B$4,Base!$K$2:$K$1001,$B$5))</f>
        <v/>
      </c>
      <c r="L28" s="19">
        <f>IF(Listas!$A$25="","",SUMIFS(Base!$J$2:$J$1001,Base!$D$2:$D$1001,Listas!$A$25,Base!$L$2:$L$1001,11,Base!$M$2:$M$1001,$B$4,Base!$K$2:$K$1001,$B$5))</f>
        <v/>
      </c>
      <c r="M28" s="19">
        <f>IF(Listas!$A$25="","",SUMIFS(Base!$J$2:$J$1001,Base!$D$2:$D$1001,Listas!$A$25,Base!$L$2:$L$1001,12,Base!$M$2:$M$1001,$B$4,Base!$K$2:$K$1001,$B$5))</f>
        <v/>
      </c>
      <c r="N28" s="19">
        <f>IF(A28="","",SUM(B28:M28))</f>
        <v/>
      </c>
    </row>
    <row r="29">
      <c r="A29" s="15">
        <f>IF(Listas!$A$26="","",Listas!$A$26)</f>
        <v/>
      </c>
      <c r="B29" s="19">
        <f>IF(Listas!$A$26="","",SUMIFS(Base!$J$2:$J$1001,Base!$D$2:$D$1001,Listas!$A$26,Base!$L$2:$L$1001,1,Base!$M$2:$M$1001,$B$4,Base!$K$2:$K$1001,$B$5))</f>
        <v/>
      </c>
      <c r="C29" s="19">
        <f>IF(Listas!$A$26="","",SUMIFS(Base!$J$2:$J$1001,Base!$D$2:$D$1001,Listas!$A$26,Base!$L$2:$L$1001,2,Base!$M$2:$M$1001,$B$4,Base!$K$2:$K$1001,$B$5))</f>
        <v/>
      </c>
      <c r="D29" s="19">
        <f>IF(Listas!$A$26="","",SUMIFS(Base!$J$2:$J$1001,Base!$D$2:$D$1001,Listas!$A$26,Base!$L$2:$L$1001,3,Base!$M$2:$M$1001,$B$4,Base!$K$2:$K$1001,$B$5))</f>
        <v/>
      </c>
      <c r="E29" s="19">
        <f>IF(Listas!$A$26="","",SUMIFS(Base!$J$2:$J$1001,Base!$D$2:$D$1001,Listas!$A$26,Base!$L$2:$L$1001,4,Base!$M$2:$M$1001,$B$4,Base!$K$2:$K$1001,$B$5))</f>
        <v/>
      </c>
      <c r="F29" s="19">
        <f>IF(Listas!$A$26="","",SUMIFS(Base!$J$2:$J$1001,Base!$D$2:$D$1001,Listas!$A$26,Base!$L$2:$L$1001,5,Base!$M$2:$M$1001,$B$4,Base!$K$2:$K$1001,$B$5))</f>
        <v/>
      </c>
      <c r="G29" s="19">
        <f>IF(Listas!$A$26="","",SUMIFS(Base!$J$2:$J$1001,Base!$D$2:$D$1001,Listas!$A$26,Base!$L$2:$L$1001,6,Base!$M$2:$M$1001,$B$4,Base!$K$2:$K$1001,$B$5))</f>
        <v/>
      </c>
      <c r="H29" s="19">
        <f>IF(Listas!$A$26="","",SUMIFS(Base!$J$2:$J$1001,Base!$D$2:$D$1001,Listas!$A$26,Base!$L$2:$L$1001,7,Base!$M$2:$M$1001,$B$4,Base!$K$2:$K$1001,$B$5))</f>
        <v/>
      </c>
      <c r="I29" s="19">
        <f>IF(Listas!$A$26="","",SUMIFS(Base!$J$2:$J$1001,Base!$D$2:$D$1001,Listas!$A$26,Base!$L$2:$L$1001,8,Base!$M$2:$M$1001,$B$4,Base!$K$2:$K$1001,$B$5))</f>
        <v/>
      </c>
      <c r="J29" s="19">
        <f>IF(Listas!$A$26="","",SUMIFS(Base!$J$2:$J$1001,Base!$D$2:$D$1001,Listas!$A$26,Base!$L$2:$L$1001,9,Base!$M$2:$M$1001,$B$4,Base!$K$2:$K$1001,$B$5))</f>
        <v/>
      </c>
      <c r="K29" s="19">
        <f>IF(Listas!$A$26="","",SUMIFS(Base!$J$2:$J$1001,Base!$D$2:$D$1001,Listas!$A$26,Base!$L$2:$L$1001,10,Base!$M$2:$M$1001,$B$4,Base!$K$2:$K$1001,$B$5))</f>
        <v/>
      </c>
      <c r="L29" s="19">
        <f>IF(Listas!$A$26="","",SUMIFS(Base!$J$2:$J$1001,Base!$D$2:$D$1001,Listas!$A$26,Base!$L$2:$L$1001,11,Base!$M$2:$M$1001,$B$4,Base!$K$2:$K$1001,$B$5))</f>
        <v/>
      </c>
      <c r="M29" s="19">
        <f>IF(Listas!$A$26="","",SUMIFS(Base!$J$2:$J$1001,Base!$D$2:$D$1001,Listas!$A$26,Base!$L$2:$L$1001,12,Base!$M$2:$M$1001,$B$4,Base!$K$2:$K$1001,$B$5))</f>
        <v/>
      </c>
      <c r="N29" s="19">
        <f>IF(A29="","",SUM(B29:M29))</f>
        <v/>
      </c>
    </row>
    <row r="30">
      <c r="A30" s="15">
        <f>IF(Listas!$A$27="","",Listas!$A$27)</f>
        <v/>
      </c>
      <c r="B30" s="19">
        <f>IF(Listas!$A$27="","",SUMIFS(Base!$J$2:$J$1001,Base!$D$2:$D$1001,Listas!$A$27,Base!$L$2:$L$1001,1,Base!$M$2:$M$1001,$B$4,Base!$K$2:$K$1001,$B$5))</f>
        <v/>
      </c>
      <c r="C30" s="19">
        <f>IF(Listas!$A$27="","",SUMIFS(Base!$J$2:$J$1001,Base!$D$2:$D$1001,Listas!$A$27,Base!$L$2:$L$1001,2,Base!$M$2:$M$1001,$B$4,Base!$K$2:$K$1001,$B$5))</f>
        <v/>
      </c>
      <c r="D30" s="19">
        <f>IF(Listas!$A$27="","",SUMIFS(Base!$J$2:$J$1001,Base!$D$2:$D$1001,Listas!$A$27,Base!$L$2:$L$1001,3,Base!$M$2:$M$1001,$B$4,Base!$K$2:$K$1001,$B$5))</f>
        <v/>
      </c>
      <c r="E30" s="19">
        <f>IF(Listas!$A$27="","",SUMIFS(Base!$J$2:$J$1001,Base!$D$2:$D$1001,Listas!$A$27,Base!$L$2:$L$1001,4,Base!$M$2:$M$1001,$B$4,Base!$K$2:$K$1001,$B$5))</f>
        <v/>
      </c>
      <c r="F30" s="19">
        <f>IF(Listas!$A$27="","",SUMIFS(Base!$J$2:$J$1001,Base!$D$2:$D$1001,Listas!$A$27,Base!$L$2:$L$1001,5,Base!$M$2:$M$1001,$B$4,Base!$K$2:$K$1001,$B$5))</f>
        <v/>
      </c>
      <c r="G30" s="19">
        <f>IF(Listas!$A$27="","",SUMIFS(Base!$J$2:$J$1001,Base!$D$2:$D$1001,Listas!$A$27,Base!$L$2:$L$1001,6,Base!$M$2:$M$1001,$B$4,Base!$K$2:$K$1001,$B$5))</f>
        <v/>
      </c>
      <c r="H30" s="19">
        <f>IF(Listas!$A$27="","",SUMIFS(Base!$J$2:$J$1001,Base!$D$2:$D$1001,Listas!$A$27,Base!$L$2:$L$1001,7,Base!$M$2:$M$1001,$B$4,Base!$K$2:$K$1001,$B$5))</f>
        <v/>
      </c>
      <c r="I30" s="19">
        <f>IF(Listas!$A$27="","",SUMIFS(Base!$J$2:$J$1001,Base!$D$2:$D$1001,Listas!$A$27,Base!$L$2:$L$1001,8,Base!$M$2:$M$1001,$B$4,Base!$K$2:$K$1001,$B$5))</f>
        <v/>
      </c>
      <c r="J30" s="19">
        <f>IF(Listas!$A$27="","",SUMIFS(Base!$J$2:$J$1001,Base!$D$2:$D$1001,Listas!$A$27,Base!$L$2:$L$1001,9,Base!$M$2:$M$1001,$B$4,Base!$K$2:$K$1001,$B$5))</f>
        <v/>
      </c>
      <c r="K30" s="19">
        <f>IF(Listas!$A$27="","",SUMIFS(Base!$J$2:$J$1001,Base!$D$2:$D$1001,Listas!$A$27,Base!$L$2:$L$1001,10,Base!$M$2:$M$1001,$B$4,Base!$K$2:$K$1001,$B$5))</f>
        <v/>
      </c>
      <c r="L30" s="19">
        <f>IF(Listas!$A$27="","",SUMIFS(Base!$J$2:$J$1001,Base!$D$2:$D$1001,Listas!$A$27,Base!$L$2:$L$1001,11,Base!$M$2:$M$1001,$B$4,Base!$K$2:$K$1001,$B$5))</f>
        <v/>
      </c>
      <c r="M30" s="19">
        <f>IF(Listas!$A$27="","",SUMIFS(Base!$J$2:$J$1001,Base!$D$2:$D$1001,Listas!$A$27,Base!$L$2:$L$1001,12,Base!$M$2:$M$1001,$B$4,Base!$K$2:$K$1001,$B$5))</f>
        <v/>
      </c>
      <c r="N30" s="19">
        <f>IF(A30="","",SUM(B30:M30))</f>
        <v/>
      </c>
    </row>
    <row r="31">
      <c r="A31" s="15">
        <f>IF(Listas!$A$28="","",Listas!$A$28)</f>
        <v/>
      </c>
      <c r="B31" s="19">
        <f>IF(Listas!$A$28="","",SUMIFS(Base!$J$2:$J$1001,Base!$D$2:$D$1001,Listas!$A$28,Base!$L$2:$L$1001,1,Base!$M$2:$M$1001,$B$4,Base!$K$2:$K$1001,$B$5))</f>
        <v/>
      </c>
      <c r="C31" s="19">
        <f>IF(Listas!$A$28="","",SUMIFS(Base!$J$2:$J$1001,Base!$D$2:$D$1001,Listas!$A$28,Base!$L$2:$L$1001,2,Base!$M$2:$M$1001,$B$4,Base!$K$2:$K$1001,$B$5))</f>
        <v/>
      </c>
      <c r="D31" s="19">
        <f>IF(Listas!$A$28="","",SUMIFS(Base!$J$2:$J$1001,Base!$D$2:$D$1001,Listas!$A$28,Base!$L$2:$L$1001,3,Base!$M$2:$M$1001,$B$4,Base!$K$2:$K$1001,$B$5))</f>
        <v/>
      </c>
      <c r="E31" s="19">
        <f>IF(Listas!$A$28="","",SUMIFS(Base!$J$2:$J$1001,Base!$D$2:$D$1001,Listas!$A$28,Base!$L$2:$L$1001,4,Base!$M$2:$M$1001,$B$4,Base!$K$2:$K$1001,$B$5))</f>
        <v/>
      </c>
      <c r="F31" s="19">
        <f>IF(Listas!$A$28="","",SUMIFS(Base!$J$2:$J$1001,Base!$D$2:$D$1001,Listas!$A$28,Base!$L$2:$L$1001,5,Base!$M$2:$M$1001,$B$4,Base!$K$2:$K$1001,$B$5))</f>
        <v/>
      </c>
      <c r="G31" s="19">
        <f>IF(Listas!$A$28="","",SUMIFS(Base!$J$2:$J$1001,Base!$D$2:$D$1001,Listas!$A$28,Base!$L$2:$L$1001,6,Base!$M$2:$M$1001,$B$4,Base!$K$2:$K$1001,$B$5))</f>
        <v/>
      </c>
      <c r="H31" s="19">
        <f>IF(Listas!$A$28="","",SUMIFS(Base!$J$2:$J$1001,Base!$D$2:$D$1001,Listas!$A$28,Base!$L$2:$L$1001,7,Base!$M$2:$M$1001,$B$4,Base!$K$2:$K$1001,$B$5))</f>
        <v/>
      </c>
      <c r="I31" s="19">
        <f>IF(Listas!$A$28="","",SUMIFS(Base!$J$2:$J$1001,Base!$D$2:$D$1001,Listas!$A$28,Base!$L$2:$L$1001,8,Base!$M$2:$M$1001,$B$4,Base!$K$2:$K$1001,$B$5))</f>
        <v/>
      </c>
      <c r="J31" s="19">
        <f>IF(Listas!$A$28="","",SUMIFS(Base!$J$2:$J$1001,Base!$D$2:$D$1001,Listas!$A$28,Base!$L$2:$L$1001,9,Base!$M$2:$M$1001,$B$4,Base!$K$2:$K$1001,$B$5))</f>
        <v/>
      </c>
      <c r="K31" s="19">
        <f>IF(Listas!$A$28="","",SUMIFS(Base!$J$2:$J$1001,Base!$D$2:$D$1001,Listas!$A$28,Base!$L$2:$L$1001,10,Base!$M$2:$M$1001,$B$4,Base!$K$2:$K$1001,$B$5))</f>
        <v/>
      </c>
      <c r="L31" s="19">
        <f>IF(Listas!$A$28="","",SUMIFS(Base!$J$2:$J$1001,Base!$D$2:$D$1001,Listas!$A$28,Base!$L$2:$L$1001,11,Base!$M$2:$M$1001,$B$4,Base!$K$2:$K$1001,$B$5))</f>
        <v/>
      </c>
      <c r="M31" s="19">
        <f>IF(Listas!$A$28="","",SUMIFS(Base!$J$2:$J$1001,Base!$D$2:$D$1001,Listas!$A$28,Base!$L$2:$L$1001,12,Base!$M$2:$M$1001,$B$4,Base!$K$2:$K$1001,$B$5))</f>
        <v/>
      </c>
      <c r="N31" s="19">
        <f>IF(A31="","",SUM(B31:M31))</f>
        <v/>
      </c>
    </row>
    <row r="32">
      <c r="A32" s="15">
        <f>IF(Listas!$A$29="","",Listas!$A$29)</f>
        <v/>
      </c>
      <c r="B32" s="19">
        <f>IF(Listas!$A$29="","",SUMIFS(Base!$J$2:$J$1001,Base!$D$2:$D$1001,Listas!$A$29,Base!$L$2:$L$1001,1,Base!$M$2:$M$1001,$B$4,Base!$K$2:$K$1001,$B$5))</f>
        <v/>
      </c>
      <c r="C32" s="19">
        <f>IF(Listas!$A$29="","",SUMIFS(Base!$J$2:$J$1001,Base!$D$2:$D$1001,Listas!$A$29,Base!$L$2:$L$1001,2,Base!$M$2:$M$1001,$B$4,Base!$K$2:$K$1001,$B$5))</f>
        <v/>
      </c>
      <c r="D32" s="19">
        <f>IF(Listas!$A$29="","",SUMIFS(Base!$J$2:$J$1001,Base!$D$2:$D$1001,Listas!$A$29,Base!$L$2:$L$1001,3,Base!$M$2:$M$1001,$B$4,Base!$K$2:$K$1001,$B$5))</f>
        <v/>
      </c>
      <c r="E32" s="19">
        <f>IF(Listas!$A$29="","",SUMIFS(Base!$J$2:$J$1001,Base!$D$2:$D$1001,Listas!$A$29,Base!$L$2:$L$1001,4,Base!$M$2:$M$1001,$B$4,Base!$K$2:$K$1001,$B$5))</f>
        <v/>
      </c>
      <c r="F32" s="19">
        <f>IF(Listas!$A$29="","",SUMIFS(Base!$J$2:$J$1001,Base!$D$2:$D$1001,Listas!$A$29,Base!$L$2:$L$1001,5,Base!$M$2:$M$1001,$B$4,Base!$K$2:$K$1001,$B$5))</f>
        <v/>
      </c>
      <c r="G32" s="19">
        <f>IF(Listas!$A$29="","",SUMIFS(Base!$J$2:$J$1001,Base!$D$2:$D$1001,Listas!$A$29,Base!$L$2:$L$1001,6,Base!$M$2:$M$1001,$B$4,Base!$K$2:$K$1001,$B$5))</f>
        <v/>
      </c>
      <c r="H32" s="19">
        <f>IF(Listas!$A$29="","",SUMIFS(Base!$J$2:$J$1001,Base!$D$2:$D$1001,Listas!$A$29,Base!$L$2:$L$1001,7,Base!$M$2:$M$1001,$B$4,Base!$K$2:$K$1001,$B$5))</f>
        <v/>
      </c>
      <c r="I32" s="19">
        <f>IF(Listas!$A$29="","",SUMIFS(Base!$J$2:$J$1001,Base!$D$2:$D$1001,Listas!$A$29,Base!$L$2:$L$1001,8,Base!$M$2:$M$1001,$B$4,Base!$K$2:$K$1001,$B$5))</f>
        <v/>
      </c>
      <c r="J32" s="19">
        <f>IF(Listas!$A$29="","",SUMIFS(Base!$J$2:$J$1001,Base!$D$2:$D$1001,Listas!$A$29,Base!$L$2:$L$1001,9,Base!$M$2:$M$1001,$B$4,Base!$K$2:$K$1001,$B$5))</f>
        <v/>
      </c>
      <c r="K32" s="19">
        <f>IF(Listas!$A$29="","",SUMIFS(Base!$J$2:$J$1001,Base!$D$2:$D$1001,Listas!$A$29,Base!$L$2:$L$1001,10,Base!$M$2:$M$1001,$B$4,Base!$K$2:$K$1001,$B$5))</f>
        <v/>
      </c>
      <c r="L32" s="19">
        <f>IF(Listas!$A$29="","",SUMIFS(Base!$J$2:$J$1001,Base!$D$2:$D$1001,Listas!$A$29,Base!$L$2:$L$1001,11,Base!$M$2:$M$1001,$B$4,Base!$K$2:$K$1001,$B$5))</f>
        <v/>
      </c>
      <c r="M32" s="19">
        <f>IF(Listas!$A$29="","",SUMIFS(Base!$J$2:$J$1001,Base!$D$2:$D$1001,Listas!$A$29,Base!$L$2:$L$1001,12,Base!$M$2:$M$1001,$B$4,Base!$K$2:$K$1001,$B$5))</f>
        <v/>
      </c>
      <c r="N32" s="19">
        <f>IF(A32="","",SUM(B32:M32))</f>
        <v/>
      </c>
    </row>
    <row r="33">
      <c r="A33" s="15">
        <f>IF(Listas!$A$30="","",Listas!$A$30)</f>
        <v/>
      </c>
      <c r="B33" s="19">
        <f>IF(Listas!$A$30="","",SUMIFS(Base!$J$2:$J$1001,Base!$D$2:$D$1001,Listas!$A$30,Base!$L$2:$L$1001,1,Base!$M$2:$M$1001,$B$4,Base!$K$2:$K$1001,$B$5))</f>
        <v/>
      </c>
      <c r="C33" s="19">
        <f>IF(Listas!$A$30="","",SUMIFS(Base!$J$2:$J$1001,Base!$D$2:$D$1001,Listas!$A$30,Base!$L$2:$L$1001,2,Base!$M$2:$M$1001,$B$4,Base!$K$2:$K$1001,$B$5))</f>
        <v/>
      </c>
      <c r="D33" s="19">
        <f>IF(Listas!$A$30="","",SUMIFS(Base!$J$2:$J$1001,Base!$D$2:$D$1001,Listas!$A$30,Base!$L$2:$L$1001,3,Base!$M$2:$M$1001,$B$4,Base!$K$2:$K$1001,$B$5))</f>
        <v/>
      </c>
      <c r="E33" s="19">
        <f>IF(Listas!$A$30="","",SUMIFS(Base!$J$2:$J$1001,Base!$D$2:$D$1001,Listas!$A$30,Base!$L$2:$L$1001,4,Base!$M$2:$M$1001,$B$4,Base!$K$2:$K$1001,$B$5))</f>
        <v/>
      </c>
      <c r="F33" s="19">
        <f>IF(Listas!$A$30="","",SUMIFS(Base!$J$2:$J$1001,Base!$D$2:$D$1001,Listas!$A$30,Base!$L$2:$L$1001,5,Base!$M$2:$M$1001,$B$4,Base!$K$2:$K$1001,$B$5))</f>
        <v/>
      </c>
      <c r="G33" s="19">
        <f>IF(Listas!$A$30="","",SUMIFS(Base!$J$2:$J$1001,Base!$D$2:$D$1001,Listas!$A$30,Base!$L$2:$L$1001,6,Base!$M$2:$M$1001,$B$4,Base!$K$2:$K$1001,$B$5))</f>
        <v/>
      </c>
      <c r="H33" s="19">
        <f>IF(Listas!$A$30="","",SUMIFS(Base!$J$2:$J$1001,Base!$D$2:$D$1001,Listas!$A$30,Base!$L$2:$L$1001,7,Base!$M$2:$M$1001,$B$4,Base!$K$2:$K$1001,$B$5))</f>
        <v/>
      </c>
      <c r="I33" s="19">
        <f>IF(Listas!$A$30="","",SUMIFS(Base!$J$2:$J$1001,Base!$D$2:$D$1001,Listas!$A$30,Base!$L$2:$L$1001,8,Base!$M$2:$M$1001,$B$4,Base!$K$2:$K$1001,$B$5))</f>
        <v/>
      </c>
      <c r="J33" s="19">
        <f>IF(Listas!$A$30="","",SUMIFS(Base!$J$2:$J$1001,Base!$D$2:$D$1001,Listas!$A$30,Base!$L$2:$L$1001,9,Base!$M$2:$M$1001,$B$4,Base!$K$2:$K$1001,$B$5))</f>
        <v/>
      </c>
      <c r="K33" s="19">
        <f>IF(Listas!$A$30="","",SUMIFS(Base!$J$2:$J$1001,Base!$D$2:$D$1001,Listas!$A$30,Base!$L$2:$L$1001,10,Base!$M$2:$M$1001,$B$4,Base!$K$2:$K$1001,$B$5))</f>
        <v/>
      </c>
      <c r="L33" s="19">
        <f>IF(Listas!$A$30="","",SUMIFS(Base!$J$2:$J$1001,Base!$D$2:$D$1001,Listas!$A$30,Base!$L$2:$L$1001,11,Base!$M$2:$M$1001,$B$4,Base!$K$2:$K$1001,$B$5))</f>
        <v/>
      </c>
      <c r="M33" s="19">
        <f>IF(Listas!$A$30="","",SUMIFS(Base!$J$2:$J$1001,Base!$D$2:$D$1001,Listas!$A$30,Base!$L$2:$L$1001,12,Base!$M$2:$M$1001,$B$4,Base!$K$2:$K$1001,$B$5))</f>
        <v/>
      </c>
      <c r="N33" s="19">
        <f>IF(A33="","",SUM(B33:M33))</f>
        <v/>
      </c>
    </row>
    <row r="34">
      <c r="A34" s="15">
        <f>IF(Listas!$A$31="","",Listas!$A$31)</f>
        <v/>
      </c>
      <c r="B34" s="19">
        <f>IF(Listas!$A$31="","",SUMIFS(Base!$J$2:$J$1001,Base!$D$2:$D$1001,Listas!$A$31,Base!$L$2:$L$1001,1,Base!$M$2:$M$1001,$B$4,Base!$K$2:$K$1001,$B$5))</f>
        <v/>
      </c>
      <c r="C34" s="19">
        <f>IF(Listas!$A$31="","",SUMIFS(Base!$J$2:$J$1001,Base!$D$2:$D$1001,Listas!$A$31,Base!$L$2:$L$1001,2,Base!$M$2:$M$1001,$B$4,Base!$K$2:$K$1001,$B$5))</f>
        <v/>
      </c>
      <c r="D34" s="19">
        <f>IF(Listas!$A$31="","",SUMIFS(Base!$J$2:$J$1001,Base!$D$2:$D$1001,Listas!$A$31,Base!$L$2:$L$1001,3,Base!$M$2:$M$1001,$B$4,Base!$K$2:$K$1001,$B$5))</f>
        <v/>
      </c>
      <c r="E34" s="19">
        <f>IF(Listas!$A$31="","",SUMIFS(Base!$J$2:$J$1001,Base!$D$2:$D$1001,Listas!$A$31,Base!$L$2:$L$1001,4,Base!$M$2:$M$1001,$B$4,Base!$K$2:$K$1001,$B$5))</f>
        <v/>
      </c>
      <c r="F34" s="19">
        <f>IF(Listas!$A$31="","",SUMIFS(Base!$J$2:$J$1001,Base!$D$2:$D$1001,Listas!$A$31,Base!$L$2:$L$1001,5,Base!$M$2:$M$1001,$B$4,Base!$K$2:$K$1001,$B$5))</f>
        <v/>
      </c>
      <c r="G34" s="19">
        <f>IF(Listas!$A$31="","",SUMIFS(Base!$J$2:$J$1001,Base!$D$2:$D$1001,Listas!$A$31,Base!$L$2:$L$1001,6,Base!$M$2:$M$1001,$B$4,Base!$K$2:$K$1001,$B$5))</f>
        <v/>
      </c>
      <c r="H34" s="19">
        <f>IF(Listas!$A$31="","",SUMIFS(Base!$J$2:$J$1001,Base!$D$2:$D$1001,Listas!$A$31,Base!$L$2:$L$1001,7,Base!$M$2:$M$1001,$B$4,Base!$K$2:$K$1001,$B$5))</f>
        <v/>
      </c>
      <c r="I34" s="19">
        <f>IF(Listas!$A$31="","",SUMIFS(Base!$J$2:$J$1001,Base!$D$2:$D$1001,Listas!$A$31,Base!$L$2:$L$1001,8,Base!$M$2:$M$1001,$B$4,Base!$K$2:$K$1001,$B$5))</f>
        <v/>
      </c>
      <c r="J34" s="19">
        <f>IF(Listas!$A$31="","",SUMIFS(Base!$J$2:$J$1001,Base!$D$2:$D$1001,Listas!$A$31,Base!$L$2:$L$1001,9,Base!$M$2:$M$1001,$B$4,Base!$K$2:$K$1001,$B$5))</f>
        <v/>
      </c>
      <c r="K34" s="19">
        <f>IF(Listas!$A$31="","",SUMIFS(Base!$J$2:$J$1001,Base!$D$2:$D$1001,Listas!$A$31,Base!$L$2:$L$1001,10,Base!$M$2:$M$1001,$B$4,Base!$K$2:$K$1001,$B$5))</f>
        <v/>
      </c>
      <c r="L34" s="19">
        <f>IF(Listas!$A$31="","",SUMIFS(Base!$J$2:$J$1001,Base!$D$2:$D$1001,Listas!$A$31,Base!$L$2:$L$1001,11,Base!$M$2:$M$1001,$B$4,Base!$K$2:$K$1001,$B$5))</f>
        <v/>
      </c>
      <c r="M34" s="19">
        <f>IF(Listas!$A$31="","",SUMIFS(Base!$J$2:$J$1001,Base!$D$2:$D$1001,Listas!$A$31,Base!$L$2:$L$1001,12,Base!$M$2:$M$1001,$B$4,Base!$K$2:$K$1001,$B$5))</f>
        <v/>
      </c>
      <c r="N34" s="19">
        <f>IF(A34="","",SUM(B34:M34))</f>
        <v/>
      </c>
    </row>
    <row r="35">
      <c r="A35" s="15">
        <f>IF(Listas!$A$32="","",Listas!$A$32)</f>
        <v/>
      </c>
      <c r="B35" s="19">
        <f>IF(Listas!$A$32="","",SUMIFS(Base!$J$2:$J$1001,Base!$D$2:$D$1001,Listas!$A$32,Base!$L$2:$L$1001,1,Base!$M$2:$M$1001,$B$4,Base!$K$2:$K$1001,$B$5))</f>
        <v/>
      </c>
      <c r="C35" s="19">
        <f>IF(Listas!$A$32="","",SUMIFS(Base!$J$2:$J$1001,Base!$D$2:$D$1001,Listas!$A$32,Base!$L$2:$L$1001,2,Base!$M$2:$M$1001,$B$4,Base!$K$2:$K$1001,$B$5))</f>
        <v/>
      </c>
      <c r="D35" s="19">
        <f>IF(Listas!$A$32="","",SUMIFS(Base!$J$2:$J$1001,Base!$D$2:$D$1001,Listas!$A$32,Base!$L$2:$L$1001,3,Base!$M$2:$M$1001,$B$4,Base!$K$2:$K$1001,$B$5))</f>
        <v/>
      </c>
      <c r="E35" s="19">
        <f>IF(Listas!$A$32="","",SUMIFS(Base!$J$2:$J$1001,Base!$D$2:$D$1001,Listas!$A$32,Base!$L$2:$L$1001,4,Base!$M$2:$M$1001,$B$4,Base!$K$2:$K$1001,$B$5))</f>
        <v/>
      </c>
      <c r="F35" s="19">
        <f>IF(Listas!$A$32="","",SUMIFS(Base!$J$2:$J$1001,Base!$D$2:$D$1001,Listas!$A$32,Base!$L$2:$L$1001,5,Base!$M$2:$M$1001,$B$4,Base!$K$2:$K$1001,$B$5))</f>
        <v/>
      </c>
      <c r="G35" s="19">
        <f>IF(Listas!$A$32="","",SUMIFS(Base!$J$2:$J$1001,Base!$D$2:$D$1001,Listas!$A$32,Base!$L$2:$L$1001,6,Base!$M$2:$M$1001,$B$4,Base!$K$2:$K$1001,$B$5))</f>
        <v/>
      </c>
      <c r="H35" s="19">
        <f>IF(Listas!$A$32="","",SUMIFS(Base!$J$2:$J$1001,Base!$D$2:$D$1001,Listas!$A$32,Base!$L$2:$L$1001,7,Base!$M$2:$M$1001,$B$4,Base!$K$2:$K$1001,$B$5))</f>
        <v/>
      </c>
      <c r="I35" s="19">
        <f>IF(Listas!$A$32="","",SUMIFS(Base!$J$2:$J$1001,Base!$D$2:$D$1001,Listas!$A$32,Base!$L$2:$L$1001,8,Base!$M$2:$M$1001,$B$4,Base!$K$2:$K$1001,$B$5))</f>
        <v/>
      </c>
      <c r="J35" s="19">
        <f>IF(Listas!$A$32="","",SUMIFS(Base!$J$2:$J$1001,Base!$D$2:$D$1001,Listas!$A$32,Base!$L$2:$L$1001,9,Base!$M$2:$M$1001,$B$4,Base!$K$2:$K$1001,$B$5))</f>
        <v/>
      </c>
      <c r="K35" s="19">
        <f>IF(Listas!$A$32="","",SUMIFS(Base!$J$2:$J$1001,Base!$D$2:$D$1001,Listas!$A$32,Base!$L$2:$L$1001,10,Base!$M$2:$M$1001,$B$4,Base!$K$2:$K$1001,$B$5))</f>
        <v/>
      </c>
      <c r="L35" s="19">
        <f>IF(Listas!$A$32="","",SUMIFS(Base!$J$2:$J$1001,Base!$D$2:$D$1001,Listas!$A$32,Base!$L$2:$L$1001,11,Base!$M$2:$M$1001,$B$4,Base!$K$2:$K$1001,$B$5))</f>
        <v/>
      </c>
      <c r="M35" s="19">
        <f>IF(Listas!$A$32="","",SUMIFS(Base!$J$2:$J$1001,Base!$D$2:$D$1001,Listas!$A$32,Base!$L$2:$L$1001,12,Base!$M$2:$M$1001,$B$4,Base!$K$2:$K$1001,$B$5))</f>
        <v/>
      </c>
      <c r="N35" s="19">
        <f>IF(A35="","",SUM(B35:M35))</f>
        <v/>
      </c>
    </row>
    <row r="36">
      <c r="A36" s="15">
        <f>IF(Listas!$A$33="","",Listas!$A$33)</f>
        <v/>
      </c>
      <c r="B36" s="19">
        <f>IF(Listas!$A$33="","",SUMIFS(Base!$J$2:$J$1001,Base!$D$2:$D$1001,Listas!$A$33,Base!$L$2:$L$1001,1,Base!$M$2:$M$1001,$B$4,Base!$K$2:$K$1001,$B$5))</f>
        <v/>
      </c>
      <c r="C36" s="19">
        <f>IF(Listas!$A$33="","",SUMIFS(Base!$J$2:$J$1001,Base!$D$2:$D$1001,Listas!$A$33,Base!$L$2:$L$1001,2,Base!$M$2:$M$1001,$B$4,Base!$K$2:$K$1001,$B$5))</f>
        <v/>
      </c>
      <c r="D36" s="19">
        <f>IF(Listas!$A$33="","",SUMIFS(Base!$J$2:$J$1001,Base!$D$2:$D$1001,Listas!$A$33,Base!$L$2:$L$1001,3,Base!$M$2:$M$1001,$B$4,Base!$K$2:$K$1001,$B$5))</f>
        <v/>
      </c>
      <c r="E36" s="19">
        <f>IF(Listas!$A$33="","",SUMIFS(Base!$J$2:$J$1001,Base!$D$2:$D$1001,Listas!$A$33,Base!$L$2:$L$1001,4,Base!$M$2:$M$1001,$B$4,Base!$K$2:$K$1001,$B$5))</f>
        <v/>
      </c>
      <c r="F36" s="19">
        <f>IF(Listas!$A$33="","",SUMIFS(Base!$J$2:$J$1001,Base!$D$2:$D$1001,Listas!$A$33,Base!$L$2:$L$1001,5,Base!$M$2:$M$1001,$B$4,Base!$K$2:$K$1001,$B$5))</f>
        <v/>
      </c>
      <c r="G36" s="19">
        <f>IF(Listas!$A$33="","",SUMIFS(Base!$J$2:$J$1001,Base!$D$2:$D$1001,Listas!$A$33,Base!$L$2:$L$1001,6,Base!$M$2:$M$1001,$B$4,Base!$K$2:$K$1001,$B$5))</f>
        <v/>
      </c>
      <c r="H36" s="19">
        <f>IF(Listas!$A$33="","",SUMIFS(Base!$J$2:$J$1001,Base!$D$2:$D$1001,Listas!$A$33,Base!$L$2:$L$1001,7,Base!$M$2:$M$1001,$B$4,Base!$K$2:$K$1001,$B$5))</f>
        <v/>
      </c>
      <c r="I36" s="19">
        <f>IF(Listas!$A$33="","",SUMIFS(Base!$J$2:$J$1001,Base!$D$2:$D$1001,Listas!$A$33,Base!$L$2:$L$1001,8,Base!$M$2:$M$1001,$B$4,Base!$K$2:$K$1001,$B$5))</f>
        <v/>
      </c>
      <c r="J36" s="19">
        <f>IF(Listas!$A$33="","",SUMIFS(Base!$J$2:$J$1001,Base!$D$2:$D$1001,Listas!$A$33,Base!$L$2:$L$1001,9,Base!$M$2:$M$1001,$B$4,Base!$K$2:$K$1001,$B$5))</f>
        <v/>
      </c>
      <c r="K36" s="19">
        <f>IF(Listas!$A$33="","",SUMIFS(Base!$J$2:$J$1001,Base!$D$2:$D$1001,Listas!$A$33,Base!$L$2:$L$1001,10,Base!$M$2:$M$1001,$B$4,Base!$K$2:$K$1001,$B$5))</f>
        <v/>
      </c>
      <c r="L36" s="19">
        <f>IF(Listas!$A$33="","",SUMIFS(Base!$J$2:$J$1001,Base!$D$2:$D$1001,Listas!$A$33,Base!$L$2:$L$1001,11,Base!$M$2:$M$1001,$B$4,Base!$K$2:$K$1001,$B$5))</f>
        <v/>
      </c>
      <c r="M36" s="19">
        <f>IF(Listas!$A$33="","",SUMIFS(Base!$J$2:$J$1001,Base!$D$2:$D$1001,Listas!$A$33,Base!$L$2:$L$1001,12,Base!$M$2:$M$1001,$B$4,Base!$K$2:$K$1001,$B$5))</f>
        <v/>
      </c>
      <c r="N36" s="19">
        <f>IF(A36="","",SUM(B36:M36))</f>
        <v/>
      </c>
    </row>
    <row r="37">
      <c r="A37" s="15">
        <f>IF(Listas!$A$34="","",Listas!$A$34)</f>
        <v/>
      </c>
      <c r="B37" s="19">
        <f>IF(Listas!$A$34="","",SUMIFS(Base!$J$2:$J$1001,Base!$D$2:$D$1001,Listas!$A$34,Base!$L$2:$L$1001,1,Base!$M$2:$M$1001,$B$4,Base!$K$2:$K$1001,$B$5))</f>
        <v/>
      </c>
      <c r="C37" s="19">
        <f>IF(Listas!$A$34="","",SUMIFS(Base!$J$2:$J$1001,Base!$D$2:$D$1001,Listas!$A$34,Base!$L$2:$L$1001,2,Base!$M$2:$M$1001,$B$4,Base!$K$2:$K$1001,$B$5))</f>
        <v/>
      </c>
      <c r="D37" s="19">
        <f>IF(Listas!$A$34="","",SUMIFS(Base!$J$2:$J$1001,Base!$D$2:$D$1001,Listas!$A$34,Base!$L$2:$L$1001,3,Base!$M$2:$M$1001,$B$4,Base!$K$2:$K$1001,$B$5))</f>
        <v/>
      </c>
      <c r="E37" s="19">
        <f>IF(Listas!$A$34="","",SUMIFS(Base!$J$2:$J$1001,Base!$D$2:$D$1001,Listas!$A$34,Base!$L$2:$L$1001,4,Base!$M$2:$M$1001,$B$4,Base!$K$2:$K$1001,$B$5))</f>
        <v/>
      </c>
      <c r="F37" s="19">
        <f>IF(Listas!$A$34="","",SUMIFS(Base!$J$2:$J$1001,Base!$D$2:$D$1001,Listas!$A$34,Base!$L$2:$L$1001,5,Base!$M$2:$M$1001,$B$4,Base!$K$2:$K$1001,$B$5))</f>
        <v/>
      </c>
      <c r="G37" s="19">
        <f>IF(Listas!$A$34="","",SUMIFS(Base!$J$2:$J$1001,Base!$D$2:$D$1001,Listas!$A$34,Base!$L$2:$L$1001,6,Base!$M$2:$M$1001,$B$4,Base!$K$2:$K$1001,$B$5))</f>
        <v/>
      </c>
      <c r="H37" s="19">
        <f>IF(Listas!$A$34="","",SUMIFS(Base!$J$2:$J$1001,Base!$D$2:$D$1001,Listas!$A$34,Base!$L$2:$L$1001,7,Base!$M$2:$M$1001,$B$4,Base!$K$2:$K$1001,$B$5))</f>
        <v/>
      </c>
      <c r="I37" s="19">
        <f>IF(Listas!$A$34="","",SUMIFS(Base!$J$2:$J$1001,Base!$D$2:$D$1001,Listas!$A$34,Base!$L$2:$L$1001,8,Base!$M$2:$M$1001,$B$4,Base!$K$2:$K$1001,$B$5))</f>
        <v/>
      </c>
      <c r="J37" s="19">
        <f>IF(Listas!$A$34="","",SUMIFS(Base!$J$2:$J$1001,Base!$D$2:$D$1001,Listas!$A$34,Base!$L$2:$L$1001,9,Base!$M$2:$M$1001,$B$4,Base!$K$2:$K$1001,$B$5))</f>
        <v/>
      </c>
      <c r="K37" s="19">
        <f>IF(Listas!$A$34="","",SUMIFS(Base!$J$2:$J$1001,Base!$D$2:$D$1001,Listas!$A$34,Base!$L$2:$L$1001,10,Base!$M$2:$M$1001,$B$4,Base!$K$2:$K$1001,$B$5))</f>
        <v/>
      </c>
      <c r="L37" s="19">
        <f>IF(Listas!$A$34="","",SUMIFS(Base!$J$2:$J$1001,Base!$D$2:$D$1001,Listas!$A$34,Base!$L$2:$L$1001,11,Base!$M$2:$M$1001,$B$4,Base!$K$2:$K$1001,$B$5))</f>
        <v/>
      </c>
      <c r="M37" s="19">
        <f>IF(Listas!$A$34="","",SUMIFS(Base!$J$2:$J$1001,Base!$D$2:$D$1001,Listas!$A$34,Base!$L$2:$L$1001,12,Base!$M$2:$M$1001,$B$4,Base!$K$2:$K$1001,$B$5))</f>
        <v/>
      </c>
      <c r="N37" s="19">
        <f>IF(A37="","",SUM(B37:M37))</f>
        <v/>
      </c>
    </row>
    <row r="38">
      <c r="A38" s="20" t="inlineStr">
        <is>
          <t>Total</t>
        </is>
      </c>
      <c r="B38" s="21">
        <f>SUM(B8:B37)</f>
        <v>40044</v>
      </c>
      <c r="C38" s="21">
        <f>SUM(C8:C37)</f>
        <v>15544</v>
      </c>
      <c r="D38" s="21">
        <f>SUM(D8:D37)</f>
        <v>44393</v>
      </c>
      <c r="E38" s="21">
        <f>SUM(E8:E37)</f>
        <v>31227</v>
      </c>
      <c r="F38" s="21">
        <f>SUM(F8:F37)</f>
        <v>25041</v>
      </c>
      <c r="G38" s="21">
        <f>SUM(G8:G37)</f>
        <v>30788</v>
      </c>
      <c r="H38" s="21">
        <f>SUM(H8:H37)</f>
        <v>39847</v>
      </c>
      <c r="I38" s="21">
        <f>SUM(I8:I37)</f>
        <v>32141</v>
      </c>
      <c r="J38" s="21">
        <f>SUM(J8:J37)</f>
        <v>5750</v>
      </c>
      <c r="K38" s="21">
        <f>SUM(K8:K37)</f>
        <v>0</v>
      </c>
      <c r="L38" s="21">
        <f>SUM(L8:L37)</f>
        <v>0</v>
      </c>
      <c r="M38" s="21">
        <f>SUM(M8:M37)</f>
        <v>0</v>
      </c>
      <c r="N38" s="21">
        <f>SUM(N8:N37)</f>
        <v>264775</v>
      </c>
    </row>
    <row r="40">
      <c r="A40" s="22" t="inlineStr">
        <is>
          <t>Por cliente</t>
        </is>
      </c>
    </row>
    <row r="41" ht="26" customHeight="1">
      <c r="A41" s="7" t="inlineStr">
        <is>
          <t>Cliente</t>
        </is>
      </c>
      <c r="B41" s="7" t="inlineStr">
        <is>
          <t>Registros</t>
        </is>
      </c>
      <c r="C41" s="7" t="inlineStr">
        <is>
          <t>Valor no ano</t>
        </is>
      </c>
      <c r="D41" s="7" t="inlineStr">
        <is>
          <t>Ticket médio</t>
        </is>
      </c>
      <c r="E41" s="7" t="inlineStr">
        <is>
          <t>Último registro</t>
        </is>
      </c>
    </row>
    <row r="42">
      <c r="A42" s="15" t="str">
        <f>IF(Listas!$E$5="","",Listas!$E$5)</f>
        <v>Loja Verde</v>
      </c>
      <c r="B42" s="9">
        <f>IF(Listas!$E$5="","",COUNTIFS(Base!$C$2:$C$1001,Listas!$E$5,Base!$M$2:$M$1001,$B$4,Base!$K$2:$K$1001,$B$5))</f>
        <v>21</v>
      </c>
      <c r="C42" s="19">
        <f>IF(Listas!$E$5="","",SUMIFS(Base!$J$2:$J$1001,Base!$C$2:$C$1001,Listas!$E$5,Base!$M$2:$M$1001,$B$4,Base!$K$2:$K$1001,$B$5))</f>
        <v>42633</v>
      </c>
      <c r="D42" s="19">
        <f>IF(OR(Listas!$E$5="",B42=0),"",C42/B42)</f>
        <v>2030.14285714286</v>
      </c>
      <c r="E42" s="23">
        <f>IF(Listas!$E$5="","",IFERROR(IF(SUMPRODUCT(MAX((Base!$C$2:$C$1001=Listas!$E$5)*(Base!$B$2:$B$1001&lt;&gt;"")*Base!$B$2:$B$1001))=0,"",SUMPRODUCT(MAX((Base!$C$2:$C$1001=Listas!$E$5)*(Base!$B$2:$B$1001&lt;&gt;"")*Base!$B$2:$B$1001))),""))</f>
        <v>46270.0</v>
      </c>
    </row>
    <row r="43">
      <c r="A43" s="15" t="str">
        <f>IF(Listas!$E$6="","",Listas!$E$6)</f>
        <v>Bistrô 42</v>
      </c>
      <c r="B43" s="9">
        <f>IF(Listas!$E$6="","",COUNTIFS(Base!$C$2:$C$1001,Listas!$E$6,Base!$M$2:$M$1001,$B$4,Base!$K$2:$K$1001,$B$5))</f>
        <v>22</v>
      </c>
      <c r="C43" s="19">
        <f>IF(Listas!$E$6="","",SUMIFS(Base!$J$2:$J$1001,Base!$C$2:$C$1001,Listas!$E$6,Base!$M$2:$M$1001,$B$4,Base!$K$2:$K$1001,$B$5))</f>
        <v>31594</v>
      </c>
      <c r="D43" s="19">
        <f>IF(OR(Listas!$E$6="",B43=0),"",C43/B43)</f>
        <v>1436.09090909091</v>
      </c>
      <c r="E43" s="23">
        <f>IF(Listas!$E$6="","",IFERROR(IF(SUMPRODUCT(MAX((Base!$C$2:$C$1001=Listas!$E$6)*(Base!$B$2:$B$1001&lt;&gt;"")*Base!$B$2:$B$1001))=0,"",SUMPRODUCT(MAX((Base!$C$2:$C$1001=Listas!$E$6)*(Base!$B$2:$B$1001&lt;&gt;"")*Base!$B$2:$B$1001))),""))</f>
        <v>46274.0</v>
      </c>
    </row>
    <row r="44">
      <c r="A44" s="15" t="str">
        <f>IF(Listas!$E$7="","",Listas!$E$7)</f>
        <v>Horizonte</v>
      </c>
      <c r="B44" s="9">
        <f>IF(Listas!$E$7="","",COUNTIFS(Base!$C$2:$C$1001,Listas!$E$7,Base!$M$2:$M$1001,$B$4,Base!$K$2:$K$1001,$B$5))</f>
        <v>15</v>
      </c>
      <c r="C44" s="19">
        <f>IF(Listas!$E$7="","",SUMIFS(Base!$J$2:$J$1001,Base!$C$2:$C$1001,Listas!$E$7,Base!$M$2:$M$1001,$B$4,Base!$K$2:$K$1001,$B$5))</f>
        <v>29890</v>
      </c>
      <c r="D44" s="19">
        <f>IF(OR(Listas!$E$7="",B44=0),"",C44/B44)</f>
        <v>1992.66666666667</v>
      </c>
      <c r="E44" s="23">
        <f>IF(Listas!$E$7="","",IFERROR(IF(SUMPRODUCT(MAX((Base!$C$2:$C$1001=Listas!$E$7)*(Base!$B$2:$B$1001&lt;&gt;"")*Base!$B$2:$B$1001))=0,"",SUMPRODUCT(MAX((Base!$C$2:$C$1001=Listas!$E$7)*(Base!$B$2:$B$1001&lt;&gt;"")*Base!$B$2:$B$1001))),""))</f>
        <v>46255.0</v>
      </c>
    </row>
    <row r="45">
      <c r="A45" s="15" t="str">
        <f>IF(Listas!$E$8="","",Listas!$E$8)</f>
        <v>Padaria do Sol</v>
      </c>
      <c r="B45" s="9">
        <f>IF(Listas!$E$8="","",COUNTIFS(Base!$C$2:$C$1001,Listas!$E$8,Base!$M$2:$M$1001,$B$4,Base!$K$2:$K$1001,$B$5))</f>
        <v>17</v>
      </c>
      <c r="C45" s="19">
        <f>IF(Listas!$E$8="","",SUMIFS(Base!$J$2:$J$1001,Base!$C$2:$C$1001,Listas!$E$8,Base!$M$2:$M$1001,$B$4,Base!$K$2:$K$1001,$B$5))</f>
        <v>30891</v>
      </c>
      <c r="D45" s="19">
        <f>IF(OR(Listas!$E$8="",B45=0),"",C45/B45)</f>
        <v>1817.11764705882</v>
      </c>
      <c r="E45" s="23">
        <f>IF(Listas!$E$8="","",IFERROR(IF(SUMPRODUCT(MAX((Base!$C$2:$C$1001=Listas!$E$8)*(Base!$B$2:$B$1001&lt;&gt;"")*Base!$B$2:$B$1001))=0,"",SUMPRODUCT(MAX((Base!$C$2:$C$1001=Listas!$E$8)*(Base!$B$2:$B$1001&lt;&gt;"")*Base!$B$2:$B$1001))),""))</f>
        <v>46277.0</v>
      </c>
    </row>
    <row r="46">
      <c r="A46" s="15" t="str">
        <f>IF(Listas!$E$9="","",Listas!$E$9)</f>
        <v>Clínica Bem-Estar</v>
      </c>
      <c r="B46" s="9">
        <f>IF(Listas!$E$9="","",COUNTIFS(Base!$C$2:$C$1001,Listas!$E$9,Base!$M$2:$M$1001,$B$4,Base!$K$2:$K$1001,$B$5))</f>
        <v>21</v>
      </c>
      <c r="C46" s="19">
        <f>IF(Listas!$E$9="","",SUMIFS(Base!$J$2:$J$1001,Base!$C$2:$C$1001,Listas!$E$9,Base!$M$2:$M$1001,$B$4,Base!$K$2:$K$1001,$B$5))</f>
        <v>50544</v>
      </c>
      <c r="D46" s="19">
        <f>IF(OR(Listas!$E$9="",B46=0),"",C46/B46)</f>
        <v>2406.85714285714</v>
      </c>
      <c r="E46" s="23">
        <f>IF(Listas!$E$9="","",IFERROR(IF(SUMPRODUCT(MAX((Base!$C$2:$C$1001=Listas!$E$9)*(Base!$B$2:$B$1001&lt;&gt;"")*Base!$B$2:$B$1001))=0,"",SUMPRODUCT(MAX((Base!$C$2:$C$1001=Listas!$E$9)*(Base!$B$2:$B$1001&lt;&gt;"")*Base!$B$2:$B$1001))),""))</f>
        <v>46270.0</v>
      </c>
    </row>
    <row r="47">
      <c r="A47" s="15" t="str">
        <f>IF(Listas!$E$10="","",Listas!$E$10)</f>
        <v>Aurora Móveis</v>
      </c>
      <c r="B47" s="9">
        <f>IF(Listas!$E$10="","",COUNTIFS(Base!$C$2:$C$1001,Listas!$E$10,Base!$M$2:$M$1001,$B$4,Base!$K$2:$K$1001,$B$5))</f>
        <v>13</v>
      </c>
      <c r="C47" s="19">
        <f>IF(Listas!$E$10="","",SUMIFS(Base!$J$2:$J$1001,Base!$C$2:$C$1001,Listas!$E$10,Base!$M$2:$M$1001,$B$4,Base!$K$2:$K$1001,$B$5))</f>
        <v>18450</v>
      </c>
      <c r="D47" s="19">
        <f>IF(OR(Listas!$E$10="",B47=0),"",C47/B47)</f>
        <v>1419.23076923077</v>
      </c>
      <c r="E47" s="23">
        <f>IF(Listas!$E$10="","",IFERROR(IF(SUMPRODUCT(MAX((Base!$C$2:$C$1001=Listas!$E$10)*(Base!$B$2:$B$1001&lt;&gt;"")*Base!$B$2:$B$1001))=0,"",SUMPRODUCT(MAX((Base!$C$2:$C$1001=Listas!$E$10)*(Base!$B$2:$B$1001&lt;&gt;"")*Base!$B$2:$B$1001))),""))</f>
        <v>46272.0</v>
      </c>
    </row>
    <row r="48">
      <c r="A48" s="15" t="str">
        <f>IF(Listas!$E$11="","",Listas!$E$11)</f>
        <v>Café Central</v>
      </c>
      <c r="B48" s="9">
        <f>IF(Listas!$E$11="","",COUNTIFS(Base!$C$2:$C$1001,Listas!$E$11,Base!$M$2:$M$1001,$B$4,Base!$K$2:$K$1001,$B$5))</f>
        <v>20</v>
      </c>
      <c r="C48" s="19">
        <f>IF(Listas!$E$11="","",SUMIFS(Base!$J$2:$J$1001,Base!$C$2:$C$1001,Listas!$E$11,Base!$M$2:$M$1001,$B$4,Base!$K$2:$K$1001,$B$5))</f>
        <v>38880</v>
      </c>
      <c r="D48" s="19">
        <f>IF(OR(Listas!$E$11="",B48=0),"",C48/B48)</f>
        <v>1944</v>
      </c>
      <c r="E48" s="23">
        <f>IF(Listas!$E$11="","",IFERROR(IF(SUMPRODUCT(MAX((Base!$C$2:$C$1001=Listas!$E$11)*(Base!$B$2:$B$1001&lt;&gt;"")*Base!$B$2:$B$1001))=0,"",SUMPRODUCT(MAX((Base!$C$2:$C$1001=Listas!$E$11)*(Base!$B$2:$B$1001&lt;&gt;"")*Base!$B$2:$B$1001))),""))</f>
        <v>46262.0</v>
      </c>
    </row>
    <row r="49">
      <c r="A49" s="15" t="str">
        <f>IF(Listas!$E$12="","",Listas!$E$12)</f>
        <v>Escola Nova Era</v>
      </c>
      <c r="B49" s="9">
        <f>IF(Listas!$E$12="","",COUNTIFS(Base!$C$2:$C$1001,Listas!$E$12,Base!$M$2:$M$1001,$B$4,Base!$K$2:$K$1001,$B$5))</f>
        <v>11</v>
      </c>
      <c r="C49" s="19">
        <f>IF(Listas!$E$12="","",SUMIFS(Base!$J$2:$J$1001,Base!$C$2:$C$1001,Listas!$E$12,Base!$M$2:$M$1001,$B$4,Base!$K$2:$K$1001,$B$5))</f>
        <v>21893</v>
      </c>
      <c r="D49" s="19">
        <f>IF(OR(Listas!$E$12="",B49=0),"",C49/B49)</f>
        <v>1990.27272727273</v>
      </c>
      <c r="E49" s="23">
        <f>IF(Listas!$E$12="","",IFERROR(IF(SUMPRODUCT(MAX((Base!$C$2:$C$1001=Listas!$E$12)*(Base!$B$2:$B$1001&lt;&gt;"")*Base!$B$2:$B$1001))=0,"",SUMPRODUCT(MAX((Base!$C$2:$C$1001=Listas!$E$12)*(Base!$B$2:$B$1001&lt;&gt;"")*Base!$B$2:$B$1001))),""))</f>
        <v>46251.0</v>
      </c>
    </row>
    <row r="50">
      <c r="A50" s="15">
        <f>IF(Listas!$E$13="","",Listas!$E$13)</f>
        <v/>
      </c>
      <c r="B50" s="9">
        <f>IF(Listas!$E$13="","",COUNTIFS(Base!$C$2:$C$1001,Listas!$E$13,Base!$M$2:$M$1001,$B$4,Base!$K$2:$K$1001,$B$5))</f>
        <v/>
      </c>
      <c r="C50" s="19">
        <f>IF(Listas!$E$13="","",SUMIFS(Base!$J$2:$J$1001,Base!$C$2:$C$1001,Listas!$E$13,Base!$M$2:$M$1001,$B$4,Base!$K$2:$K$1001,$B$5))</f>
        <v/>
      </c>
      <c r="D50" s="19">
        <f>IF(OR(Listas!$E$13="",B50=0),"",C50/B50)</f>
        <v/>
      </c>
      <c r="E50" s="23">
        <f>IF(Listas!$E$13="","",IFERROR(IF(SUMPRODUCT(MAX((Base!$C$2:$C$1001=Listas!$E$13)*(Base!$B$2:$B$1001&lt;&gt;"")*Base!$B$2:$B$1001))=0,"",SUMPRODUCT(MAX((Base!$C$2:$C$1001=Listas!$E$13)*(Base!$B$2:$B$1001&lt;&gt;"")*Base!$B$2:$B$1001))),""))</f>
        <v/>
      </c>
    </row>
    <row r="51">
      <c r="A51" s="15">
        <f>IF(Listas!$E$14="","",Listas!$E$14)</f>
        <v/>
      </c>
      <c r="B51" s="9">
        <f>IF(Listas!$E$14="","",COUNTIFS(Base!$C$2:$C$1001,Listas!$E$14,Base!$M$2:$M$1001,$B$4,Base!$K$2:$K$1001,$B$5))</f>
        <v/>
      </c>
      <c r="C51" s="19">
        <f>IF(Listas!$E$14="","",SUMIFS(Base!$J$2:$J$1001,Base!$C$2:$C$1001,Listas!$E$14,Base!$M$2:$M$1001,$B$4,Base!$K$2:$K$1001,$B$5))</f>
        <v/>
      </c>
      <c r="D51" s="19">
        <f>IF(OR(Listas!$E$14="",B51=0),"",C51/B51)</f>
        <v/>
      </c>
      <c r="E51" s="23">
        <f>IF(Listas!$E$14="","",IFERROR(IF(SUMPRODUCT(MAX((Base!$C$2:$C$1001=Listas!$E$14)*(Base!$B$2:$B$1001&lt;&gt;"")*Base!$B$2:$B$1001))=0,"",SUMPRODUCT(MAX((Base!$C$2:$C$1001=Listas!$E$14)*(Base!$B$2:$B$1001&lt;&gt;"")*Base!$B$2:$B$1001))),""))</f>
        <v/>
      </c>
    </row>
    <row r="52">
      <c r="A52" s="15">
        <f>IF(Listas!$E$15="","",Listas!$E$15)</f>
        <v/>
      </c>
      <c r="B52" s="9">
        <f>IF(Listas!$E$15="","",COUNTIFS(Base!$C$2:$C$1001,Listas!$E$15,Base!$M$2:$M$1001,$B$4,Base!$K$2:$K$1001,$B$5))</f>
        <v/>
      </c>
      <c r="C52" s="19">
        <f>IF(Listas!$E$15="","",SUMIFS(Base!$J$2:$J$1001,Base!$C$2:$C$1001,Listas!$E$15,Base!$M$2:$M$1001,$B$4,Base!$K$2:$K$1001,$B$5))</f>
        <v/>
      </c>
      <c r="D52" s="19">
        <f>IF(OR(Listas!$E$15="",B52=0),"",C52/B52)</f>
        <v/>
      </c>
      <c r="E52" s="23">
        <f>IF(Listas!$E$15="","",IFERROR(IF(SUMPRODUCT(MAX((Base!$C$2:$C$1001=Listas!$E$15)*(Base!$B$2:$B$1001&lt;&gt;"")*Base!$B$2:$B$1001))=0,"",SUMPRODUCT(MAX((Base!$C$2:$C$1001=Listas!$E$15)*(Base!$B$2:$B$1001&lt;&gt;"")*Base!$B$2:$B$1001))),""))</f>
        <v/>
      </c>
    </row>
    <row r="53">
      <c r="A53" s="15">
        <f>IF(Listas!$E$16="","",Listas!$E$16)</f>
        <v/>
      </c>
      <c r="B53" s="9">
        <f>IF(Listas!$E$16="","",COUNTIFS(Base!$C$2:$C$1001,Listas!$E$16,Base!$M$2:$M$1001,$B$4,Base!$K$2:$K$1001,$B$5))</f>
        <v/>
      </c>
      <c r="C53" s="19">
        <f>IF(Listas!$E$16="","",SUMIFS(Base!$J$2:$J$1001,Base!$C$2:$C$1001,Listas!$E$16,Base!$M$2:$M$1001,$B$4,Base!$K$2:$K$1001,$B$5))</f>
        <v/>
      </c>
      <c r="D53" s="19">
        <f>IF(OR(Listas!$E$16="",B53=0),"",C53/B53)</f>
        <v/>
      </c>
      <c r="E53" s="23">
        <f>IF(Listas!$E$16="","",IFERROR(IF(SUMPRODUCT(MAX((Base!$C$2:$C$1001=Listas!$E$16)*(Base!$B$2:$B$1001&lt;&gt;"")*Base!$B$2:$B$1001))=0,"",SUMPRODUCT(MAX((Base!$C$2:$C$1001=Listas!$E$16)*(Base!$B$2:$B$1001&lt;&gt;"")*Base!$B$2:$B$1001))),""))</f>
        <v/>
      </c>
    </row>
    <row r="54">
      <c r="A54" s="15">
        <f>IF(Listas!$E$17="","",Listas!$E$17)</f>
        <v/>
      </c>
      <c r="B54" s="9">
        <f>IF(Listas!$E$17="","",COUNTIFS(Base!$C$2:$C$1001,Listas!$E$17,Base!$M$2:$M$1001,$B$4,Base!$K$2:$K$1001,$B$5))</f>
        <v/>
      </c>
      <c r="C54" s="19">
        <f>IF(Listas!$E$17="","",SUMIFS(Base!$J$2:$J$1001,Base!$C$2:$C$1001,Listas!$E$17,Base!$M$2:$M$1001,$B$4,Base!$K$2:$K$1001,$B$5))</f>
        <v/>
      </c>
      <c r="D54" s="19">
        <f>IF(OR(Listas!$E$17="",B54=0),"",C54/B54)</f>
        <v/>
      </c>
      <c r="E54" s="23">
        <f>IF(Listas!$E$17="","",IFERROR(IF(SUMPRODUCT(MAX((Base!$C$2:$C$1001=Listas!$E$17)*(Base!$B$2:$B$1001&lt;&gt;"")*Base!$B$2:$B$1001))=0,"",SUMPRODUCT(MAX((Base!$C$2:$C$1001=Listas!$E$17)*(Base!$B$2:$B$1001&lt;&gt;"")*Base!$B$2:$B$1001))),""))</f>
        <v/>
      </c>
    </row>
    <row r="55">
      <c r="A55" s="15">
        <f>IF(Listas!$E$18="","",Listas!$E$18)</f>
        <v/>
      </c>
      <c r="B55" s="9">
        <f>IF(Listas!$E$18="","",COUNTIFS(Base!$C$2:$C$1001,Listas!$E$18,Base!$M$2:$M$1001,$B$4,Base!$K$2:$K$1001,$B$5))</f>
        <v/>
      </c>
      <c r="C55" s="19">
        <f>IF(Listas!$E$18="","",SUMIFS(Base!$J$2:$J$1001,Base!$C$2:$C$1001,Listas!$E$18,Base!$M$2:$M$1001,$B$4,Base!$K$2:$K$1001,$B$5))</f>
        <v/>
      </c>
      <c r="D55" s="19">
        <f>IF(OR(Listas!$E$18="",B55=0),"",C55/B55)</f>
        <v/>
      </c>
      <c r="E55" s="23">
        <f>IF(Listas!$E$18="","",IFERROR(IF(SUMPRODUCT(MAX((Base!$C$2:$C$1001=Listas!$E$18)*(Base!$B$2:$B$1001&lt;&gt;"")*Base!$B$2:$B$1001))=0,"",SUMPRODUCT(MAX((Base!$C$2:$C$1001=Listas!$E$18)*(Base!$B$2:$B$1001&lt;&gt;"")*Base!$B$2:$B$1001))),""))</f>
        <v/>
      </c>
    </row>
    <row r="56">
      <c r="A56" s="15">
        <f>IF(Listas!$E$19="","",Listas!$E$19)</f>
        <v/>
      </c>
      <c r="B56" s="9">
        <f>IF(Listas!$E$19="","",COUNTIFS(Base!$C$2:$C$1001,Listas!$E$19,Base!$M$2:$M$1001,$B$4,Base!$K$2:$K$1001,$B$5))</f>
        <v/>
      </c>
      <c r="C56" s="19">
        <f>IF(Listas!$E$19="","",SUMIFS(Base!$J$2:$J$1001,Base!$C$2:$C$1001,Listas!$E$19,Base!$M$2:$M$1001,$B$4,Base!$K$2:$K$1001,$B$5))</f>
        <v/>
      </c>
      <c r="D56" s="19">
        <f>IF(OR(Listas!$E$19="",B56=0),"",C56/B56)</f>
        <v/>
      </c>
      <c r="E56" s="23">
        <f>IF(Listas!$E$19="","",IFERROR(IF(SUMPRODUCT(MAX((Base!$C$2:$C$1001=Listas!$E$19)*(Base!$B$2:$B$1001&lt;&gt;"")*Base!$B$2:$B$1001))=0,"",SUMPRODUCT(MAX((Base!$C$2:$C$1001=Listas!$E$19)*(Base!$B$2:$B$1001&lt;&gt;"")*Base!$B$2:$B$1001))),""))</f>
        <v/>
      </c>
    </row>
    <row r="57">
      <c r="A57" s="15">
        <f>IF(Listas!$E$20="","",Listas!$E$20)</f>
        <v/>
      </c>
      <c r="B57" s="9">
        <f>IF(Listas!$E$20="","",COUNTIFS(Base!$C$2:$C$1001,Listas!$E$20,Base!$M$2:$M$1001,$B$4,Base!$K$2:$K$1001,$B$5))</f>
        <v/>
      </c>
      <c r="C57" s="19">
        <f>IF(Listas!$E$20="","",SUMIFS(Base!$J$2:$J$1001,Base!$C$2:$C$1001,Listas!$E$20,Base!$M$2:$M$1001,$B$4,Base!$K$2:$K$1001,$B$5))</f>
        <v/>
      </c>
      <c r="D57" s="19">
        <f>IF(OR(Listas!$E$20="",B57=0),"",C57/B57)</f>
        <v/>
      </c>
      <c r="E57" s="23">
        <f>IF(Listas!$E$20="","",IFERROR(IF(SUMPRODUCT(MAX((Base!$C$2:$C$1001=Listas!$E$20)*(Base!$B$2:$B$1001&lt;&gt;"")*Base!$B$2:$B$1001))=0,"",SUMPRODUCT(MAX((Base!$C$2:$C$1001=Listas!$E$20)*(Base!$B$2:$B$1001&lt;&gt;"")*Base!$B$2:$B$1001))),""))</f>
        <v/>
      </c>
    </row>
    <row r="58">
      <c r="A58" s="15">
        <f>IF(Listas!$E$21="","",Listas!$E$21)</f>
        <v/>
      </c>
      <c r="B58" s="9">
        <f>IF(Listas!$E$21="","",COUNTIFS(Base!$C$2:$C$1001,Listas!$E$21,Base!$M$2:$M$1001,$B$4,Base!$K$2:$K$1001,$B$5))</f>
        <v/>
      </c>
      <c r="C58" s="19">
        <f>IF(Listas!$E$21="","",SUMIFS(Base!$J$2:$J$1001,Base!$C$2:$C$1001,Listas!$E$21,Base!$M$2:$M$1001,$B$4,Base!$K$2:$K$1001,$B$5))</f>
        <v/>
      </c>
      <c r="D58" s="19">
        <f>IF(OR(Listas!$E$21="",B58=0),"",C58/B58)</f>
        <v/>
      </c>
      <c r="E58" s="23">
        <f>IF(Listas!$E$21="","",IFERROR(IF(SUMPRODUCT(MAX((Base!$C$2:$C$1001=Listas!$E$21)*(Base!$B$2:$B$1001&lt;&gt;"")*Base!$B$2:$B$1001))=0,"",SUMPRODUCT(MAX((Base!$C$2:$C$1001=Listas!$E$21)*(Base!$B$2:$B$1001&lt;&gt;"")*Base!$B$2:$B$1001))),""))</f>
        <v/>
      </c>
    </row>
    <row r="59">
      <c r="A59" s="15">
        <f>IF(Listas!$E$22="","",Listas!$E$22)</f>
        <v/>
      </c>
      <c r="B59" s="9">
        <f>IF(Listas!$E$22="","",COUNTIFS(Base!$C$2:$C$1001,Listas!$E$22,Base!$M$2:$M$1001,$B$4,Base!$K$2:$K$1001,$B$5))</f>
        <v/>
      </c>
      <c r="C59" s="19">
        <f>IF(Listas!$E$22="","",SUMIFS(Base!$J$2:$J$1001,Base!$C$2:$C$1001,Listas!$E$22,Base!$M$2:$M$1001,$B$4,Base!$K$2:$K$1001,$B$5))</f>
        <v/>
      </c>
      <c r="D59" s="19">
        <f>IF(OR(Listas!$E$22="",B59=0),"",C59/B59)</f>
        <v/>
      </c>
      <c r="E59" s="23">
        <f>IF(Listas!$E$22="","",IFERROR(IF(SUMPRODUCT(MAX((Base!$C$2:$C$1001=Listas!$E$22)*(Base!$B$2:$B$1001&lt;&gt;"")*Base!$B$2:$B$1001))=0,"",SUMPRODUCT(MAX((Base!$C$2:$C$1001=Listas!$E$22)*(Base!$B$2:$B$1001&lt;&gt;"")*Base!$B$2:$B$1001))),""))</f>
        <v/>
      </c>
    </row>
    <row r="60">
      <c r="A60" s="15">
        <f>IF(Listas!$E$23="","",Listas!$E$23)</f>
        <v/>
      </c>
      <c r="B60" s="9">
        <f>IF(Listas!$E$23="","",COUNTIFS(Base!$C$2:$C$1001,Listas!$E$23,Base!$M$2:$M$1001,$B$4,Base!$K$2:$K$1001,$B$5))</f>
        <v/>
      </c>
      <c r="C60" s="19">
        <f>IF(Listas!$E$23="","",SUMIFS(Base!$J$2:$J$1001,Base!$C$2:$C$1001,Listas!$E$23,Base!$M$2:$M$1001,$B$4,Base!$K$2:$K$1001,$B$5))</f>
        <v/>
      </c>
      <c r="D60" s="19">
        <f>IF(OR(Listas!$E$23="",B60=0),"",C60/B60)</f>
        <v/>
      </c>
      <c r="E60" s="23">
        <f>IF(Listas!$E$23="","",IFERROR(IF(SUMPRODUCT(MAX((Base!$C$2:$C$1001=Listas!$E$23)*(Base!$B$2:$B$1001&lt;&gt;"")*Base!$B$2:$B$1001))=0,"",SUMPRODUCT(MAX((Base!$C$2:$C$1001=Listas!$E$23)*(Base!$B$2:$B$1001&lt;&gt;"")*Base!$B$2:$B$1001))),""))</f>
        <v/>
      </c>
    </row>
    <row r="61">
      <c r="A61" s="15">
        <f>IF(Listas!$E$24="","",Listas!$E$24)</f>
        <v/>
      </c>
      <c r="B61" s="9">
        <f>IF(Listas!$E$24="","",COUNTIFS(Base!$C$2:$C$1001,Listas!$E$24,Base!$M$2:$M$1001,$B$4,Base!$K$2:$K$1001,$B$5))</f>
        <v/>
      </c>
      <c r="C61" s="19">
        <f>IF(Listas!$E$24="","",SUMIFS(Base!$J$2:$J$1001,Base!$C$2:$C$1001,Listas!$E$24,Base!$M$2:$M$1001,$B$4,Base!$K$2:$K$1001,$B$5))</f>
        <v/>
      </c>
      <c r="D61" s="19">
        <f>IF(OR(Listas!$E$24="",B61=0),"",C61/B61)</f>
        <v/>
      </c>
      <c r="E61" s="23">
        <f>IF(Listas!$E$24="","",IFERROR(IF(SUMPRODUCT(MAX((Base!$C$2:$C$1001=Listas!$E$24)*(Base!$B$2:$B$1001&lt;&gt;"")*Base!$B$2:$B$1001))=0,"",SUMPRODUCT(MAX((Base!$C$2:$C$1001=Listas!$E$24)*(Base!$B$2:$B$1001&lt;&gt;"")*Base!$B$2:$B$1001))),""))</f>
        <v/>
      </c>
    </row>
    <row r="62">
      <c r="A62" s="15">
        <f>IF(Listas!$E$25="","",Listas!$E$25)</f>
        <v/>
      </c>
      <c r="B62" s="9">
        <f>IF(Listas!$E$25="","",COUNTIFS(Base!$C$2:$C$1001,Listas!$E$25,Base!$M$2:$M$1001,$B$4,Base!$K$2:$K$1001,$B$5))</f>
        <v/>
      </c>
      <c r="C62" s="19">
        <f>IF(Listas!$E$25="","",SUMIFS(Base!$J$2:$J$1001,Base!$C$2:$C$1001,Listas!$E$25,Base!$M$2:$M$1001,$B$4,Base!$K$2:$K$1001,$B$5))</f>
        <v/>
      </c>
      <c r="D62" s="19">
        <f>IF(OR(Listas!$E$25="",B62=0),"",C62/B62)</f>
        <v/>
      </c>
      <c r="E62" s="23">
        <f>IF(Listas!$E$25="","",IFERROR(IF(SUMPRODUCT(MAX((Base!$C$2:$C$1001=Listas!$E$25)*(Base!$B$2:$B$1001&lt;&gt;"")*Base!$B$2:$B$1001))=0,"",SUMPRODUCT(MAX((Base!$C$2:$C$1001=Listas!$E$25)*(Base!$B$2:$B$1001&lt;&gt;"")*Base!$B$2:$B$1001))),""))</f>
        <v/>
      </c>
    </row>
    <row r="63">
      <c r="A63" s="15">
        <f>IF(Listas!$E$26="","",Listas!$E$26)</f>
        <v/>
      </c>
      <c r="B63" s="9">
        <f>IF(Listas!$E$26="","",COUNTIFS(Base!$C$2:$C$1001,Listas!$E$26,Base!$M$2:$M$1001,$B$4,Base!$K$2:$K$1001,$B$5))</f>
        <v/>
      </c>
      <c r="C63" s="19">
        <f>IF(Listas!$E$26="","",SUMIFS(Base!$J$2:$J$1001,Base!$C$2:$C$1001,Listas!$E$26,Base!$M$2:$M$1001,$B$4,Base!$K$2:$K$1001,$B$5))</f>
        <v/>
      </c>
      <c r="D63" s="19">
        <f>IF(OR(Listas!$E$26="",B63=0),"",C63/B63)</f>
        <v/>
      </c>
      <c r="E63" s="23">
        <f>IF(Listas!$E$26="","",IFERROR(IF(SUMPRODUCT(MAX((Base!$C$2:$C$1001=Listas!$E$26)*(Base!$B$2:$B$1001&lt;&gt;"")*Base!$B$2:$B$1001))=0,"",SUMPRODUCT(MAX((Base!$C$2:$C$1001=Listas!$E$26)*(Base!$B$2:$B$1001&lt;&gt;"")*Base!$B$2:$B$1001))),""))</f>
        <v/>
      </c>
    </row>
    <row r="64">
      <c r="A64" s="15">
        <f>IF(Listas!$E$27="","",Listas!$E$27)</f>
        <v/>
      </c>
      <c r="B64" s="9">
        <f>IF(Listas!$E$27="","",COUNTIFS(Base!$C$2:$C$1001,Listas!$E$27,Base!$M$2:$M$1001,$B$4,Base!$K$2:$K$1001,$B$5))</f>
        <v/>
      </c>
      <c r="C64" s="19">
        <f>IF(Listas!$E$27="","",SUMIFS(Base!$J$2:$J$1001,Base!$C$2:$C$1001,Listas!$E$27,Base!$M$2:$M$1001,$B$4,Base!$K$2:$K$1001,$B$5))</f>
        <v/>
      </c>
      <c r="D64" s="19">
        <f>IF(OR(Listas!$E$27="",B64=0),"",C64/B64)</f>
        <v/>
      </c>
      <c r="E64" s="23">
        <f>IF(Listas!$E$27="","",IFERROR(IF(SUMPRODUCT(MAX((Base!$C$2:$C$1001=Listas!$E$27)*(Base!$B$2:$B$1001&lt;&gt;"")*Base!$B$2:$B$1001))=0,"",SUMPRODUCT(MAX((Base!$C$2:$C$1001=Listas!$E$27)*(Base!$B$2:$B$1001&lt;&gt;"")*Base!$B$2:$B$1001))),""))</f>
        <v/>
      </c>
    </row>
    <row r="65">
      <c r="A65" s="15">
        <f>IF(Listas!$E$28="","",Listas!$E$28)</f>
        <v/>
      </c>
      <c r="B65" s="9">
        <f>IF(Listas!$E$28="","",COUNTIFS(Base!$C$2:$C$1001,Listas!$E$28,Base!$M$2:$M$1001,$B$4,Base!$K$2:$K$1001,$B$5))</f>
        <v/>
      </c>
      <c r="C65" s="19">
        <f>IF(Listas!$E$28="","",SUMIFS(Base!$J$2:$J$1001,Base!$C$2:$C$1001,Listas!$E$28,Base!$M$2:$M$1001,$B$4,Base!$K$2:$K$1001,$B$5))</f>
        <v/>
      </c>
      <c r="D65" s="19">
        <f>IF(OR(Listas!$E$28="",B65=0),"",C65/B65)</f>
        <v/>
      </c>
      <c r="E65" s="23">
        <f>IF(Listas!$E$28="","",IFERROR(IF(SUMPRODUCT(MAX((Base!$C$2:$C$1001=Listas!$E$28)*(Base!$B$2:$B$1001&lt;&gt;"")*Base!$B$2:$B$1001))=0,"",SUMPRODUCT(MAX((Base!$C$2:$C$1001=Listas!$E$28)*(Base!$B$2:$B$1001&lt;&gt;"")*Base!$B$2:$B$1001))),""))</f>
        <v/>
      </c>
    </row>
    <row r="66">
      <c r="A66" s="15">
        <f>IF(Listas!$E$29="","",Listas!$E$29)</f>
        <v/>
      </c>
      <c r="B66" s="9">
        <f>IF(Listas!$E$29="","",COUNTIFS(Base!$C$2:$C$1001,Listas!$E$29,Base!$M$2:$M$1001,$B$4,Base!$K$2:$K$1001,$B$5))</f>
        <v/>
      </c>
      <c r="C66" s="19">
        <f>IF(Listas!$E$29="","",SUMIFS(Base!$J$2:$J$1001,Base!$C$2:$C$1001,Listas!$E$29,Base!$M$2:$M$1001,$B$4,Base!$K$2:$K$1001,$B$5))</f>
        <v/>
      </c>
      <c r="D66" s="19">
        <f>IF(OR(Listas!$E$29="",B66=0),"",C66/B66)</f>
        <v/>
      </c>
      <c r="E66" s="23">
        <f>IF(Listas!$E$29="","",IFERROR(IF(SUMPRODUCT(MAX((Base!$C$2:$C$1001=Listas!$E$29)*(Base!$B$2:$B$1001&lt;&gt;"")*Base!$B$2:$B$1001))=0,"",SUMPRODUCT(MAX((Base!$C$2:$C$1001=Listas!$E$29)*(Base!$B$2:$B$1001&lt;&gt;"")*Base!$B$2:$B$1001))),""))</f>
        <v/>
      </c>
    </row>
    <row r="67">
      <c r="A67" s="15">
        <f>IF(Listas!$E$30="","",Listas!$E$30)</f>
        <v/>
      </c>
      <c r="B67" s="9">
        <f>IF(Listas!$E$30="","",COUNTIFS(Base!$C$2:$C$1001,Listas!$E$30,Base!$M$2:$M$1001,$B$4,Base!$K$2:$K$1001,$B$5))</f>
        <v/>
      </c>
      <c r="C67" s="19">
        <f>IF(Listas!$E$30="","",SUMIFS(Base!$J$2:$J$1001,Base!$C$2:$C$1001,Listas!$E$30,Base!$M$2:$M$1001,$B$4,Base!$K$2:$K$1001,$B$5))</f>
        <v/>
      </c>
      <c r="D67" s="19">
        <f>IF(OR(Listas!$E$30="",B67=0),"",C67/B67)</f>
        <v/>
      </c>
      <c r="E67" s="23">
        <f>IF(Listas!$E$30="","",IFERROR(IF(SUMPRODUCT(MAX((Base!$C$2:$C$1001=Listas!$E$30)*(Base!$B$2:$B$1001&lt;&gt;"")*Base!$B$2:$B$1001))=0,"",SUMPRODUCT(MAX((Base!$C$2:$C$1001=Listas!$E$30)*(Base!$B$2:$B$1001&lt;&gt;"")*Base!$B$2:$B$1001))),""))</f>
        <v/>
      </c>
    </row>
    <row r="68">
      <c r="A68" s="15">
        <f>IF(Listas!$E$31="","",Listas!$E$31)</f>
        <v/>
      </c>
      <c r="B68" s="9">
        <f>IF(Listas!$E$31="","",COUNTIFS(Base!$C$2:$C$1001,Listas!$E$31,Base!$M$2:$M$1001,$B$4,Base!$K$2:$K$1001,$B$5))</f>
        <v/>
      </c>
      <c r="C68" s="19">
        <f>IF(Listas!$E$31="","",SUMIFS(Base!$J$2:$J$1001,Base!$C$2:$C$1001,Listas!$E$31,Base!$M$2:$M$1001,$B$4,Base!$K$2:$K$1001,$B$5))</f>
        <v/>
      </c>
      <c r="D68" s="19">
        <f>IF(OR(Listas!$E$31="",B68=0),"",C68/B68)</f>
        <v/>
      </c>
      <c r="E68" s="23">
        <f>IF(Listas!$E$31="","",IFERROR(IF(SUMPRODUCT(MAX((Base!$C$2:$C$1001=Listas!$E$31)*(Base!$B$2:$B$1001&lt;&gt;"")*Base!$B$2:$B$1001))=0,"",SUMPRODUCT(MAX((Base!$C$2:$C$1001=Listas!$E$31)*(Base!$B$2:$B$1001&lt;&gt;"")*Base!$B$2:$B$1001))),""))</f>
        <v/>
      </c>
    </row>
    <row r="69">
      <c r="A69" s="15">
        <f>IF(Listas!$E$32="","",Listas!$E$32)</f>
        <v/>
      </c>
      <c r="B69" s="9">
        <f>IF(Listas!$E$32="","",COUNTIFS(Base!$C$2:$C$1001,Listas!$E$32,Base!$M$2:$M$1001,$B$4,Base!$K$2:$K$1001,$B$5))</f>
        <v/>
      </c>
      <c r="C69" s="19">
        <f>IF(Listas!$E$32="","",SUMIFS(Base!$J$2:$J$1001,Base!$C$2:$C$1001,Listas!$E$32,Base!$M$2:$M$1001,$B$4,Base!$K$2:$K$1001,$B$5))</f>
        <v/>
      </c>
      <c r="D69" s="19">
        <f>IF(OR(Listas!$E$32="",B69=0),"",C69/B69)</f>
        <v/>
      </c>
      <c r="E69" s="23">
        <f>IF(Listas!$E$32="","",IFERROR(IF(SUMPRODUCT(MAX((Base!$C$2:$C$1001=Listas!$E$32)*(Base!$B$2:$B$1001&lt;&gt;"")*Base!$B$2:$B$1001))=0,"",SUMPRODUCT(MAX((Base!$C$2:$C$1001=Listas!$E$32)*(Base!$B$2:$B$1001&lt;&gt;"")*Base!$B$2:$B$1001))),""))</f>
        <v/>
      </c>
    </row>
    <row r="70">
      <c r="A70" s="15">
        <f>IF(Listas!$E$33="","",Listas!$E$33)</f>
        <v/>
      </c>
      <c r="B70" s="9">
        <f>IF(Listas!$E$33="","",COUNTIFS(Base!$C$2:$C$1001,Listas!$E$33,Base!$M$2:$M$1001,$B$4,Base!$K$2:$K$1001,$B$5))</f>
        <v/>
      </c>
      <c r="C70" s="19">
        <f>IF(Listas!$E$33="","",SUMIFS(Base!$J$2:$J$1001,Base!$C$2:$C$1001,Listas!$E$33,Base!$M$2:$M$1001,$B$4,Base!$K$2:$K$1001,$B$5))</f>
        <v/>
      </c>
      <c r="D70" s="19">
        <f>IF(OR(Listas!$E$33="",B70=0),"",C70/B70)</f>
        <v/>
      </c>
      <c r="E70" s="23">
        <f>IF(Listas!$E$33="","",IFERROR(IF(SUMPRODUCT(MAX((Base!$C$2:$C$1001=Listas!$E$33)*(Base!$B$2:$B$1001&lt;&gt;"")*Base!$B$2:$B$1001))=0,"",SUMPRODUCT(MAX((Base!$C$2:$C$1001=Listas!$E$33)*(Base!$B$2:$B$1001&lt;&gt;"")*Base!$B$2:$B$1001))),""))</f>
        <v/>
      </c>
    </row>
    <row r="71">
      <c r="A71" s="15">
        <f>IF(Listas!$E$34="","",Listas!$E$34)</f>
        <v/>
      </c>
      <c r="B71" s="9">
        <f>IF(Listas!$E$34="","",COUNTIFS(Base!$C$2:$C$1001,Listas!$E$34,Base!$M$2:$M$1001,$B$4,Base!$K$2:$K$1001,$B$5))</f>
        <v/>
      </c>
      <c r="C71" s="19">
        <f>IF(Listas!$E$34="","",SUMIFS(Base!$J$2:$J$1001,Base!$C$2:$C$1001,Listas!$E$34,Base!$M$2:$M$1001,$B$4,Base!$K$2:$K$1001,$B$5))</f>
        <v/>
      </c>
      <c r="D71" s="19">
        <f>IF(OR(Listas!$E$34="",B71=0),"",C71/B71)</f>
        <v/>
      </c>
      <c r="E71" s="23">
        <f>IF(Listas!$E$34="","",IFERROR(IF(SUMPRODUCT(MAX((Base!$C$2:$C$1001=Listas!$E$34)*(Base!$B$2:$B$1001&lt;&gt;"")*Base!$B$2:$B$1001))=0,"",SUMPRODUCT(MAX((Base!$C$2:$C$1001=Listas!$E$34)*(Base!$B$2:$B$1001&lt;&gt;"")*Base!$B$2:$B$1001))),""))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2:O2"/>
  </mergeCells>
  <dataValidations count="1">
    <dataValidation sqref="B5" showDropDown="0" showInputMessage="0" showErrorMessage="1" allowBlank="1" type="list">
      <formula1>=Listas!$D$5:$D$34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Base Limpa · Kit IA no Trabalho Completo</dc:title>
  <dcterms:created xmlns:dcterms="http://purl.org/dc/terms/" xmlns:xsi="http://www.w3.org/2001/XMLSchema-instance" xsi:type="dcterms:W3CDTF">2026-09-18T15:06:31Z</dcterms:created>
  <dcterms:modified xmlns:dcterms="http://purl.org/dc/terms/" xmlns:xsi="http://www.w3.org/2001/XMLSchema-instance" xsi:type="dcterms:W3CDTF">2026-09-18T15:06:33Z</dcterms:modified>
</cp:coreProperties>
</file>