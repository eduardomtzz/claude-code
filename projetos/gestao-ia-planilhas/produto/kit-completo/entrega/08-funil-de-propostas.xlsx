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Propostas" sheetId="4" state="visible" r:id="rId4"/>
  </sheets>
  <definedNames>
    <definedName name="_xlnm._FilterDatabase" localSheetId="3" hidden="1">'Propostas'!$A$4:$O$404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;[Red]-&quot;R$&quot; #,##0"/>
  </numFmts>
  <fonts count="16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color rgb="007A5AA8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color rgb="00B0A6C4"/>
      <sz val="9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FC83D"/>
      </patternFill>
    </fill>
    <fill>
      <patternFill patternType="solid">
        <fgColor rgb="00DDF3E7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14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0" fontId="7" fillId="5" borderId="0" applyAlignment="1" pivotButton="0" quotePrefix="0" xfId="0">
      <alignment horizontal="center"/>
    </xf>
    <xf numFmtId="0" fontId="0" fillId="5" borderId="0" pivotButton="0" quotePrefix="0" xfId="0"/>
    <xf numFmtId="0" fontId="8" fillId="6" borderId="0" applyAlignment="1" pivotButton="0" quotePrefix="0" xfId="0">
      <alignment horizontal="center"/>
    </xf>
    <xf numFmtId="0" fontId="0" fillId="6" borderId="0" pivotButton="0" quotePrefix="0" xfId="0"/>
    <xf numFmtId="165" fontId="1" fillId="4" borderId="0" applyAlignment="1" pivotButton="0" quotePrefix="0" xfId="0">
      <alignment horizontal="center"/>
    </xf>
    <xf numFmtId="165" fontId="1" fillId="5" borderId="0" applyAlignment="1" pivotButton="0" quotePrefix="0" xfId="0">
      <alignment horizontal="center"/>
    </xf>
    <xf numFmtId="165" fontId="9" fillId="6" borderId="0" applyAlignment="1" pivotButton="0" quotePrefix="0" xfId="0">
      <alignment horizontal="center"/>
    </xf>
    <xf numFmtId="9" fontId="9" fillId="6" borderId="0" applyAlignment="1" pivotButton="0" quotePrefix="0" xfId="0">
      <alignment horizontal="center"/>
    </xf>
    <xf numFmtId="0" fontId="10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1" fillId="0" borderId="1" pivotButton="0" quotePrefix="0" xfId="0"/>
    <xf numFmtId="1" fontId="4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4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9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64" fontId="4" fillId="2" borderId="1" applyAlignment="1" applyProtection="1" pivotButton="0" quotePrefix="0" xfId="0">
      <alignment horizontal="center"/>
      <protection locked="0" hidden="0"/>
    </xf>
    <xf numFmtId="0" fontId="12" fillId="0" borderId="0" pivotButton="0" quotePrefix="0" xfId="0"/>
  </cellXfs>
  <cellStyles count="1">
    <cellStyle name="Normal" xfId="0" builtinId="0" hidden="0"/>
  </cellStyles>
  <dxfs count="4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b val="1"/>
        <color rgb="00155E3C"/>
        <sz val="10"/>
      </font>
    </dxf>
    <dxf>
      <font>
        <name val="Arial"/>
        <color rgb="008A86A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 por etapa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'Painel'!C8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'Painel'!$A$9:$A$12</f>
            </numRef>
          </cat>
          <val>
            <numRef>
              <f>'Painel'!$C$9:$C$12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0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Funil de Propostas</t>
        </is>
      </c>
    </row>
    <row r="2">
      <c r="A2" s="2" t="inlineStr">
        <is>
          <t>Kit IA no Trabalho · Completo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registra cada proposta com valor e etapa; ela calcula a previsão ponderada, mostra o funil por etapa, o que está parado ou vencido, a conversão por origem e por que você perde.</t>
        </is>
      </c>
    </row>
    <row r="5" ht="46" customHeight="1">
      <c r="A5" s="3" t="inlineStr">
        <is>
          <t>Passo 1</t>
        </is>
      </c>
      <c r="B5" s="4" t="inlineStr">
        <is>
          <t>Em Config, preencha a meta do trimestre, o limite de "parada" (14 dias é um bom padrão), as origens e os motivos de perda. Ajuste as probabilidades por etapa se a sua experiência for diferente.</t>
        </is>
      </c>
    </row>
    <row r="6" ht="46" customHeight="1">
      <c r="A6" s="3" t="inlineStr">
        <is>
          <t>Passo 2</t>
        </is>
      </c>
      <c r="B6" s="4" t="inlineStr">
        <is>
          <t>Em Propostas, uma linha por oportunidade: cliente, proposta, origem, responsável, valor, etapa e datas. Sempre que mexer, atualize a última movimentação.</t>
        </is>
      </c>
    </row>
    <row r="7" ht="46" customHeight="1">
      <c r="A7" s="3" t="inlineStr">
        <is>
          <t>Passo 3</t>
        </is>
      </c>
      <c r="B7" s="4" t="inlineStr">
        <is>
          <t>Ao fechar, mude a etapa para Ganha ou Perdida, preencha a data e, se perdida, o motivo.</t>
        </is>
      </c>
    </row>
    <row r="8" ht="46" customHeight="1">
      <c r="A8" s="3" t="inlineStr">
        <is>
          <t>Passo 4</t>
        </is>
      </c>
      <c r="B8" s="4" t="inlineStr">
        <is>
          <t>Em Painel, veja o funil, a previsão ponderada, a lista do que mexer primeiro e a conversão por origem.</t>
        </is>
      </c>
    </row>
    <row r="9" ht="46" customHeight="1">
      <c r="A9" s="3" t="inlineStr">
        <is>
          <t>Rotina</t>
        </is>
      </c>
      <c r="B9" s="4" t="inlineStr">
        <is>
          <t>Sexta-feira, 15 minutos: atualizar etapas e datas, cobrar as paradas. Dia 1 do mês: comparar com a meta.</t>
        </is>
      </c>
    </row>
    <row r="10" ht="46" customHeight="1">
      <c r="A10" s="3" t="inlineStr">
        <is>
          <t>Com a IA</t>
        </is>
      </c>
      <c r="B10" s="4" t="inlineStr">
        <is>
          <t>Copie "O que mexer primeiro" e use "Escrever 02: e-mail curto que pede algo" para retomar propostas paradas; copie "Por origem e motivo de perda" e use "Analisar 01: o que esses números dizem".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Google Sheets</t>
        </is>
      </c>
      <c r="B13" s="4" t="inlineStr">
        <is>
          <t>Faça upload no Google Drive e abra com o Google Sheets. Fórmulas, listas, cores e gráficos funcionam.</t>
        </is>
      </c>
    </row>
    <row r="14" ht="46" customHeight="1">
      <c r="A14" s="3" t="inlineStr">
        <is>
          <t>Exemplos</t>
        </is>
      </c>
      <c r="B14" s="4" t="inlineStr">
        <is>
          <t>Prisma Comunicação é uma empresa fictícia. Nomes e valores são inventados. Apague-os antes de começar.</t>
        </is>
      </c>
    </row>
    <row r="15" ht="46" customHeight="1">
      <c r="A15" s="3" t="inlineStr">
        <is>
          <t>Suporte</t>
        </is>
      </c>
      <c r="B15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14" customWidth="1" min="4" max="4"/>
    <col width="14" customWidth="1" min="5" max="5"/>
    <col width="12" customWidth="1" min="6" max="6"/>
    <col width="18" customWidth="1" min="7" max="7"/>
    <col width="14" customWidth="1" min="8" max="8"/>
    <col width="14" customWidth="1" min="9" max="9"/>
  </cols>
  <sheetData>
    <row r="1">
      <c r="A1" s="5" t="str">
        <f>Config!B4&amp;" · funil em "&amp;TEXT(Config!B5,"dd/mm/yyyy")</f>
        <v>Prisma Comunicação (exemplo fictício) · funil em 17/09/2026</v>
      </c>
    </row>
    <row r="2">
      <c r="A2" s="6" t="inlineStr">
        <is>
          <t>Nada para preencher aqui: tudo vem de Propostas.</t>
        </is>
      </c>
    </row>
    <row r="4">
      <c r="A4" s="7" t="inlineStr">
        <is>
          <t>Em aberto (R$)</t>
        </is>
      </c>
      <c r="B4" s="8" t="n"/>
      <c r="C4" s="9" t="inlineStr">
        <is>
          <t>Previsão ponderada</t>
        </is>
      </c>
      <c r="D4" s="10" t="n"/>
      <c r="E4" s="11" t="inlineStr">
        <is>
          <t>Ganho no trimestre</t>
        </is>
      </c>
      <c r="F4" s="12" t="n"/>
      <c r="G4" s="11" t="inlineStr">
        <is>
          <t>% da meta</t>
        </is>
      </c>
      <c r="H4" s="12" t="n"/>
    </row>
    <row r="5" ht="30" customHeight="1">
      <c r="A5" s="13">
        <f>SUMIFS(Propostas!$E$5:$E$404,Propostas!$F$5:$F$404,"&lt;&gt;Ganha",Propostas!$F$5:$F$404,"&lt;&gt;Perdida",Propostas!$F$5:$F$404,"&lt;&gt;")</f>
        <v>125000</v>
      </c>
      <c r="B5" s="8" t="n"/>
      <c r="C5" s="14">
        <f>SUMIFS(Propostas!$M$5:$M$404,Propostas!$F$5:$F$404,"&lt;&gt;Ganha",Propostas!$F$5:$F$404,"&lt;&gt;Perdida",Propostas!$F$5:$F$404,"&lt;&gt;")</f>
        <v>55280</v>
      </c>
      <c r="D5" s="10" t="n"/>
      <c r="E5" s="15">
        <f>SUMIFS(Propostas!$E$5:$E$404,Propostas!$F$5:$F$404,"Ganha",Propostas!$J$5:$J$404,"&gt;="&amp;DATE(YEAR(Config!$B$5),3*INT((MONTH(Config!$B$5)-1)/3)+1,1),Propostas!$J$5:$J$404,"&lt;"&amp;DATE(YEAR(Config!$B$5)+(3*INT((MONTH(Config!$B$5)-1)/3)+4&gt;12),IF(3*INT((MONTH(Config!$B$5)-1)/3)+4&gt;12,1,3*INT((MONTH(Config!$B$5)-1)/3)+4),1))</f>
        <v>87500</v>
      </c>
      <c r="F5" s="12" t="n"/>
      <c r="G5" s="16">
        <f>IFERROR(E5/Config!$B$6,0)</f>
        <v>0.486111111111111</v>
      </c>
      <c r="H5" s="12" t="n"/>
    </row>
    <row r="7">
      <c r="A7" s="17" t="inlineStr">
        <is>
          <t>Funil por etapa</t>
        </is>
      </c>
    </row>
    <row r="8" ht="26" customHeight="1">
      <c r="A8" s="18" t="inlineStr">
        <is>
          <t>Etapa</t>
        </is>
      </c>
      <c r="B8" s="18" t="inlineStr">
        <is>
          <t>Propostas</t>
        </is>
      </c>
      <c r="C8" s="18" t="inlineStr">
        <is>
          <t>Valor (R$)</t>
        </is>
      </c>
      <c r="D8" s="18" t="inlineStr">
        <is>
          <t>Ponderado (R$)</t>
        </is>
      </c>
      <c r="E8" s="18" t="inlineStr">
        <is>
          <t>Taxa de passagem</t>
        </is>
      </c>
      <c r="F8" s="18" t="inlineStr">
        <is>
          <t>Barra</t>
        </is>
      </c>
      <c r="G8" s="19" t="n"/>
      <c r="H8" s="20" t="n"/>
    </row>
    <row r="9">
      <c r="A9" s="21" t="inlineStr">
        <is>
          <t>Contato</t>
        </is>
      </c>
      <c r="B9" s="22">
        <f>COUNTIFS(Propostas!$F$5:$F$404,A9)</f>
        <v>2</v>
      </c>
      <c r="C9" s="23">
        <f>SUMIFS(Propostas!$E$5:$E$404,Propostas!$F$5:$F$404,A9)</f>
        <v>16300</v>
      </c>
      <c r="D9" s="23">
        <f>SUMIFS(Propostas!$M$5:$M$404,Propostas!$F$5:$F$404,A9)</f>
        <v>1630</v>
      </c>
      <c r="E9" s="24">
        <f>IFERROR((COUNTIFS(Propostas!$F$5:$F$404,"Reunião feita")+COUNTIFS(Propostas!$F$5:$F$404,"Proposta enviada")+COUNTIFS(Propostas!$F$5:$F$404,"Negociação")+COUNTIFS(Propostas!$F$5:$F$404,"Ganha")+COUNTIFS(Propostas!$F$5:$F$404,"Perdida"))/(B9+COUNTIFS(Propostas!$F$5:$F$404,"Reunião feita")+COUNTIFS(Propostas!$F$5:$F$404,"Proposta enviada")+COUNTIFS(Propostas!$F$5:$F$404,"Negociação")+COUNTIFS(Propostas!$F$5:$F$404,"Ganha")+COUNTIFS(Propostas!$F$5:$F$404,"Perdida")),0)</f>
        <v>0.857142857142857</v>
      </c>
      <c r="F9" s="25" t="str">
        <f>REPT("█",ROUND(IFERROR(C9/MAX($C$9:$C$12),0)*30,0))</f>
        <v>██████████</v>
      </c>
      <c r="G9" s="19" t="n"/>
      <c r="H9" s="20" t="n"/>
    </row>
    <row r="10">
      <c r="A10" s="21" t="inlineStr">
        <is>
          <t>Reunião feita</t>
        </is>
      </c>
      <c r="B10" s="22">
        <f>COUNTIFS(Propostas!$F$5:$F$404,A10)</f>
        <v>1</v>
      </c>
      <c r="C10" s="23">
        <f>SUMIFS(Propostas!$E$5:$E$404,Propostas!$F$5:$F$404,A10)</f>
        <v>31000</v>
      </c>
      <c r="D10" s="23">
        <f>SUMIFS(Propostas!$M$5:$M$404,Propostas!$F$5:$F$404,A10)</f>
        <v>7750</v>
      </c>
      <c r="E10" s="24">
        <f>IFERROR((COUNTIFS(Propostas!$F$5:$F$404,"Proposta enviada")+COUNTIFS(Propostas!$F$5:$F$404,"Negociação")+COUNTIFS(Propostas!$F$5:$F$404,"Ganha")+COUNTIFS(Propostas!$F$5:$F$404,"Perdida"))/(B10+COUNTIFS(Propostas!$F$5:$F$404,"Proposta enviada")+COUNTIFS(Propostas!$F$5:$F$404,"Negociação")+COUNTIFS(Propostas!$F$5:$F$404,"Ganha")+COUNTIFS(Propostas!$F$5:$F$404,"Perdida")),0)</f>
        <v>0.916666666666667</v>
      </c>
      <c r="F10" s="25" t="str">
        <f>REPT("█",ROUND(IFERROR(C10/MAX($C$9:$C$12),0)*30,0))</f>
        <v>███████████████████</v>
      </c>
      <c r="G10" s="19" t="n"/>
      <c r="H10" s="20" t="n"/>
    </row>
    <row r="11">
      <c r="A11" s="21" t="inlineStr">
        <is>
          <t>Proposta enviada</t>
        </is>
      </c>
      <c r="B11" s="22">
        <f>COUNTIFS(Propostas!$F$5:$F$404,A11)</f>
        <v>2</v>
      </c>
      <c r="C11" s="23">
        <f>SUMIFS(Propostas!$E$5:$E$404,Propostas!$F$5:$F$404,A11)</f>
        <v>49500</v>
      </c>
      <c r="D11" s="23">
        <f>SUMIFS(Propostas!$M$5:$M$404,Propostas!$F$5:$F$404,A11)</f>
        <v>24750</v>
      </c>
      <c r="E11" s="24">
        <f>IFERROR((COUNTIFS(Propostas!$F$5:$F$404,"Negociação")+COUNTIFS(Propostas!$F$5:$F$404,"Ganha")+COUNTIFS(Propostas!$F$5:$F$404,"Perdida"))/(B11+COUNTIFS(Propostas!$F$5:$F$404,"Negociação")+COUNTIFS(Propostas!$F$5:$F$404,"Ganha")+COUNTIFS(Propostas!$F$5:$F$404,"Perdida")),0)</f>
        <v>0.818181818181818</v>
      </c>
      <c r="F11" s="25" t="str">
        <f>REPT("█",ROUND(IFERROR(C11/MAX($C$9:$C$12),0)*30,0))</f>
        <v>██████████████████████████████</v>
      </c>
      <c r="G11" s="19" t="n"/>
      <c r="H11" s="20" t="n"/>
    </row>
    <row r="12">
      <c r="A12" s="21" t="inlineStr">
        <is>
          <t>Negociação</t>
        </is>
      </c>
      <c r="B12" s="22">
        <f>COUNTIFS(Propostas!$F$5:$F$404,A12)</f>
        <v>2</v>
      </c>
      <c r="C12" s="23">
        <f>SUMIFS(Propostas!$E$5:$E$404,Propostas!$F$5:$F$404,A12)</f>
        <v>28200</v>
      </c>
      <c r="D12" s="23">
        <f>SUMIFS(Propostas!$M$5:$M$404,Propostas!$F$5:$F$404,A12)</f>
        <v>21150</v>
      </c>
      <c r="E12" s="24">
        <f>IFERROR((COUNTIFS(Propostas!$F$5:$F$404,"Ganha")+COUNTIFS(Propostas!$F$5:$F$404,"Perdida"))/(B12+COUNTIFS(Propostas!$F$5:$F$404,"Ganha")+COUNTIFS(Propostas!$F$5:$F$404,"Perdida")),0)</f>
        <v>0.777777777777778</v>
      </c>
      <c r="F12" s="25" t="str">
        <f>REPT("█",ROUND(IFERROR(C12/MAX($C$9:$C$12),0)*30,0))</f>
        <v>█████████████████</v>
      </c>
      <c r="G12" s="19" t="n"/>
      <c r="H12" s="20" t="n"/>
    </row>
    <row r="13">
      <c r="A13" s="21" t="inlineStr">
        <is>
          <t>Ganhas (total)</t>
        </is>
      </c>
      <c r="B13" s="22">
        <f>COUNTIFS(Propostas!$F$5:$F$404,"Ganha")</f>
        <v>4</v>
      </c>
      <c r="C13" s="23">
        <f>SUMIFS(Propostas!$E$5:$E$404,Propostas!$F$5:$F$404,"Ganha")</f>
        <v>87500</v>
      </c>
    </row>
    <row r="14">
      <c r="A14" s="21" t="inlineStr">
        <is>
          <t>Perdidas (total)</t>
        </is>
      </c>
      <c r="B14" s="22">
        <f>COUNTIFS(Propostas!$F$5:$F$404,"Perdida")</f>
        <v>3</v>
      </c>
      <c r="C14" s="23">
        <f>SUMIFS(Propostas!$E$5:$E$404,Propostas!$F$5:$F$404,"Perdida")</f>
        <v>33200</v>
      </c>
    </row>
    <row r="15">
      <c r="A15" s="21" t="inlineStr">
        <is>
          <t>Taxa de conversão (ganhas ÷ fechadas)</t>
        </is>
      </c>
      <c r="B15" s="24">
        <f>IFERROR(B13/(B13+B14),0)</f>
        <v>0.571428571428571</v>
      </c>
      <c r="C15" s="23" t="n"/>
    </row>
    <row r="16">
      <c r="A16" s="21" t="inlineStr">
        <is>
          <t>Ticket médio das ganhas</t>
        </is>
      </c>
      <c r="B16" s="23">
        <f>IFERROR(C13/B13,0)</f>
        <v>21875</v>
      </c>
      <c r="C16" s="23" t="n"/>
    </row>
    <row r="18">
      <c r="A18" s="17" t="inlineStr">
        <is>
          <t>O que mexer primeiro</t>
        </is>
      </c>
    </row>
    <row r="19">
      <c r="A19" s="6" t="inlineStr">
        <is>
          <t>Propostas abertas com fechamento vencido ou paradas há mais tempo, as de maior valor primeiro.</t>
        </is>
      </c>
    </row>
    <row r="20" ht="26" customHeight="1">
      <c r="A20" s="18" t="inlineStr">
        <is>
          <t>#</t>
        </is>
      </c>
      <c r="B20" s="18" t="inlineStr">
        <is>
          <t>Cliente</t>
        </is>
      </c>
      <c r="C20" s="18" t="inlineStr">
        <is>
          <t>Proposta</t>
        </is>
      </c>
      <c r="D20" s="18" t="inlineStr">
        <is>
          <t>Etapa</t>
        </is>
      </c>
      <c r="E20" s="18" t="inlineStr">
        <is>
          <t>Valor</t>
        </is>
      </c>
      <c r="F20" s="18" t="inlineStr">
        <is>
          <t>Dias parada</t>
        </is>
      </c>
      <c r="G20" s="18" t="inlineStr">
        <is>
          <t>Situação</t>
        </is>
      </c>
      <c r="H20" s="18" t="inlineStr">
        <is>
          <t>Responsável</t>
        </is>
      </c>
    </row>
    <row r="21">
      <c r="A21" s="22" t="n">
        <v>1</v>
      </c>
      <c r="B21" s="21" t="str">
        <f>IFERROR(IF(LARGE(Propostas!$P$5:$P$404,1)&gt;0,INDEX(Propostas!$A$5:$A$404,MATCH(LARGE(Propostas!$P$5:$P$404,1),Propostas!$P$5:$P$404,0)),""),"")</f>
        <v>Studio Yoga</v>
      </c>
      <c r="C21" s="21" t="str">
        <f>IFERROR(IF(LARGE(Propostas!$P$5:$P$404,1)&gt;0,INDEX(Propostas!$B$5:$B$404,MATCH(LARGE(Propostas!$P$5:$P$404,1),Propostas!$P$5:$P$404,0)),""),"")</f>
        <v>Site simples</v>
      </c>
      <c r="D21" s="22" t="str">
        <f>IFERROR(IF(LARGE(Propostas!$P$5:$P$404,1)&gt;0,INDEX(Propostas!$F$5:$F$404,MATCH(LARGE(Propostas!$P$5:$P$404,1),Propostas!$P$5:$P$404,0)),""),"")</f>
        <v>Contato</v>
      </c>
      <c r="E21" s="23">
        <f>IFERROR(IF(LARGE(Propostas!$P$5:$P$404,1)&gt;0,INDEX(Propostas!$E$5:$E$404,MATCH(LARGE(Propostas!$P$5:$P$404,1),Propostas!$P$5:$P$404,0)),""),"")</f>
        <v>8500</v>
      </c>
      <c r="F21" s="26">
        <f>IFERROR(IF(LARGE(Propostas!$P$5:$P$404,1)&gt;0,INDEX(Propostas!$N$5:$N$404,MATCH(LARGE(Propostas!$P$5:$P$404,1),Propostas!$P$5:$P$404,0)),""),"")</f>
        <v>36</v>
      </c>
      <c r="G21" s="22" t="str">
        <f>IFERROR(IF(LARGE(Propostas!$P$5:$P$404,1)&gt;0,INDEX(Propostas!$O$5:$O$404,MATCH(LARGE(Propostas!$P$5:$P$404,1),Propostas!$P$5:$P$404,0)),""),"")</f>
        <v>Fechamento vencido</v>
      </c>
      <c r="H21" s="22" t="str">
        <f>IFERROR(IF(LARGE(Propostas!$P$5:$P$404,1)&gt;0,INDEX(Propostas!$D$5:$D$404,MATCH(LARGE(Propostas!$P$5:$P$404,1),Propostas!$P$5:$P$404,0)),""),"")</f>
        <v>Diego</v>
      </c>
    </row>
    <row r="22">
      <c r="A22" s="22" t="n">
        <v>2</v>
      </c>
      <c r="B22" s="21" t="str">
        <f>IFERROR(IF(LARGE(Propostas!$P$5:$P$404,2)&gt;0,INDEX(Propostas!$A$5:$A$404,MATCH(LARGE(Propostas!$P$5:$P$404,2),Propostas!$P$5:$P$404,0)),""),"")</f>
        <v>Construtora Vale</v>
      </c>
      <c r="C22" s="21" t="str">
        <f>IFERROR(IF(LARGE(Propostas!$P$5:$P$404,2)&gt;0,INDEX(Propostas!$B$5:$B$404,MATCH(LARGE(Propostas!$P$5:$P$404,2),Propostas!$P$5:$P$404,0)),""),"")</f>
        <v>Vídeo institucional</v>
      </c>
      <c r="D22" s="22" t="str">
        <f>IFERROR(IF(LARGE(Propostas!$P$5:$P$404,2)&gt;0,INDEX(Propostas!$F$5:$F$404,MATCH(LARGE(Propostas!$P$5:$P$404,2),Propostas!$P$5:$P$404,0)),""),"")</f>
        <v>Proposta enviada</v>
      </c>
      <c r="E22" s="23">
        <f>IFERROR(IF(LARGE(Propostas!$P$5:$P$404,2)&gt;0,INDEX(Propostas!$E$5:$E$404,MATCH(LARGE(Propostas!$P$5:$P$404,2),Propostas!$P$5:$P$404,0)),""),"")</f>
        <v>45000</v>
      </c>
      <c r="F22" s="26">
        <f>IFERROR(IF(LARGE(Propostas!$P$5:$P$404,2)&gt;0,INDEX(Propostas!$N$5:$N$404,MATCH(LARGE(Propostas!$P$5:$P$404,2),Propostas!$P$5:$P$404,0)),""),"")</f>
        <v>22</v>
      </c>
      <c r="G22" s="22" t="str">
        <f>IFERROR(IF(LARGE(Propostas!$P$5:$P$404,2)&gt;0,INDEX(Propostas!$O$5:$O$404,MATCH(LARGE(Propostas!$P$5:$P$404,2),Propostas!$P$5:$P$404,0)),""),"")</f>
        <v>Fechamento vencido</v>
      </c>
      <c r="H22" s="22" t="str">
        <f>IFERROR(IF(LARGE(Propostas!$P$5:$P$404,2)&gt;0,INDEX(Propostas!$D$5:$D$404,MATCH(LARGE(Propostas!$P$5:$P$404,2),Propostas!$P$5:$P$404,0)),""),"")</f>
        <v>Bruno</v>
      </c>
    </row>
    <row r="23">
      <c r="A23" s="22" t="n">
        <v>3</v>
      </c>
      <c r="B23" s="21" t="str">
        <f>IFERROR(IF(LARGE(Propostas!$P$5:$P$404,3)&gt;0,INDEX(Propostas!$A$5:$A$404,MATCH(LARGE(Propostas!$P$5:$P$404,3),Propostas!$P$5:$P$404,0)),""),"")</f>
        <v>Clínica Bem-Estar</v>
      </c>
      <c r="C23" s="21" t="str">
        <f>IFERROR(IF(LARGE(Propostas!$P$5:$P$404,3)&gt;0,INDEX(Propostas!$B$5:$B$404,MATCH(LARGE(Propostas!$P$5:$P$404,3),Propostas!$P$5:$P$404,0)),""),"")</f>
        <v>Gestão de redes (mensal)</v>
      </c>
      <c r="D23" s="22" t="str">
        <f>IFERROR(IF(LARGE(Propostas!$P$5:$P$404,3)&gt;0,INDEX(Propostas!$F$5:$F$404,MATCH(LARGE(Propostas!$P$5:$P$404,3),Propostas!$P$5:$P$404,0)),""),"")</f>
        <v>Proposta enviada</v>
      </c>
      <c r="E23" s="23">
        <f>IFERROR(IF(LARGE(Propostas!$P$5:$P$404,3)&gt;0,INDEX(Propostas!$E$5:$E$404,MATCH(LARGE(Propostas!$P$5:$P$404,3),Propostas!$P$5:$P$404,0)),""),"")</f>
        <v>4500</v>
      </c>
      <c r="F23" s="26">
        <f>IFERROR(IF(LARGE(Propostas!$P$5:$P$404,3)&gt;0,INDEX(Propostas!$N$5:$N$404,MATCH(LARGE(Propostas!$P$5:$P$404,3),Propostas!$P$5:$P$404,0)),""),"")</f>
        <v>13</v>
      </c>
      <c r="G23" s="22" t="str">
        <f>IFERROR(IF(LARGE(Propostas!$P$5:$P$404,3)&gt;0,INDEX(Propostas!$O$5:$O$404,MATCH(LARGE(Propostas!$P$5:$P$404,3),Propostas!$P$5:$P$404,0)),""),"")</f>
        <v>Fechamento vencido</v>
      </c>
      <c r="H23" s="22" t="str">
        <f>IFERROR(IF(LARGE(Propostas!$P$5:$P$404,3)&gt;0,INDEX(Propostas!$D$5:$D$404,MATCH(LARGE(Propostas!$P$5:$P$404,3),Propostas!$P$5:$P$404,0)),""),"")</f>
        <v>Carla</v>
      </c>
    </row>
    <row r="24">
      <c r="A24" s="22" t="n">
        <v>4</v>
      </c>
      <c r="B24" s="21" t="str">
        <f>IFERROR(IF(LARGE(Propostas!$P$5:$P$404,4)&gt;0,INDEX(Propostas!$A$5:$A$404,MATCH(LARGE(Propostas!$P$5:$P$404,4),Propostas!$P$5:$P$404,0)),""),"")</f>
        <v>Escola Nova Era</v>
      </c>
      <c r="C24" s="21" t="str">
        <f>IFERROR(IF(LARGE(Propostas!$P$5:$P$404,4)&gt;0,INDEX(Propostas!$B$5:$B$404,MATCH(LARGE(Propostas!$P$5:$P$404,4),Propostas!$P$5:$P$404,0)),""),"")</f>
        <v>Site + matrículas</v>
      </c>
      <c r="D24" s="22" t="str">
        <f>IFERROR(IF(LARGE(Propostas!$P$5:$P$404,4)&gt;0,INDEX(Propostas!$F$5:$F$404,MATCH(LARGE(Propostas!$P$5:$P$404,4),Propostas!$P$5:$P$404,0)),""),"")</f>
        <v>Reunião feita</v>
      </c>
      <c r="E24" s="23">
        <f>IFERROR(IF(LARGE(Propostas!$P$5:$P$404,4)&gt;0,INDEX(Propostas!$E$5:$E$404,MATCH(LARGE(Propostas!$P$5:$P$404,4),Propostas!$P$5:$P$404,0)),""),"")</f>
        <v>31000</v>
      </c>
      <c r="F24" s="26">
        <f>IFERROR(IF(LARGE(Propostas!$P$5:$P$404,4)&gt;0,INDEX(Propostas!$N$5:$N$404,MATCH(LARGE(Propostas!$P$5:$P$404,4),Propostas!$P$5:$P$404,0)),""),"")</f>
        <v>9</v>
      </c>
      <c r="G24" s="22" t="str">
        <f>IFERROR(IF(LARGE(Propostas!$P$5:$P$404,4)&gt;0,INDEX(Propostas!$O$5:$O$404,MATCH(LARGE(Propostas!$P$5:$P$404,4),Propostas!$P$5:$P$404,0)),""),"")</f>
        <v>Ativa</v>
      </c>
      <c r="H24" s="22" t="str">
        <f>IFERROR(IF(LARGE(Propostas!$P$5:$P$404,4)&gt;0,INDEX(Propostas!$D$5:$D$404,MATCH(LARGE(Propostas!$P$5:$P$404,4),Propostas!$P$5:$P$404,0)),""),"")</f>
        <v>Ana</v>
      </c>
    </row>
    <row r="25">
      <c r="A25" s="22" t="n">
        <v>5</v>
      </c>
      <c r="B25" s="21" t="str">
        <f>IFERROR(IF(LARGE(Propostas!$P$5:$P$404,5)&gt;0,INDEX(Propostas!$A$5:$A$404,MATCH(LARGE(Propostas!$P$5:$P$404,5),Propostas!$P$5:$P$404,0)),""),"")</f>
        <v>Aurora Móveis</v>
      </c>
      <c r="C25" s="21" t="str">
        <f>IFERROR(IF(LARGE(Propostas!$P$5:$P$404,5)&gt;0,INDEX(Propostas!$B$5:$B$404,MATCH(LARGE(Propostas!$P$5:$P$404,5),Propostas!$P$5:$P$404,0)),""),"")</f>
        <v>Catálogo digital</v>
      </c>
      <c r="D25" s="22" t="str">
        <f>IFERROR(IF(LARGE(Propostas!$P$5:$P$404,5)&gt;0,INDEX(Propostas!$F$5:$F$404,MATCH(LARGE(Propostas!$P$5:$P$404,5),Propostas!$P$5:$P$404,0)),""),"")</f>
        <v>Negociação</v>
      </c>
      <c r="E25" s="23">
        <f>IFERROR(IF(LARGE(Propostas!$P$5:$P$404,5)&gt;0,INDEX(Propostas!$E$5:$E$404,MATCH(LARGE(Propostas!$P$5:$P$404,5),Propostas!$P$5:$P$404,0)),""),"")</f>
        <v>22000</v>
      </c>
      <c r="F25" s="26">
        <f>IFERROR(IF(LARGE(Propostas!$P$5:$P$404,5)&gt;0,INDEX(Propostas!$N$5:$N$404,MATCH(LARGE(Propostas!$P$5:$P$404,5),Propostas!$P$5:$P$404,0)),""),"")</f>
        <v>8</v>
      </c>
      <c r="G25" s="22" t="str">
        <f>IFERROR(IF(LARGE(Propostas!$P$5:$P$404,5)&gt;0,INDEX(Propostas!$O$5:$O$404,MATCH(LARGE(Propostas!$P$5:$P$404,5),Propostas!$P$5:$P$404,0)),""),"")</f>
        <v>Ativa</v>
      </c>
      <c r="H25" s="22" t="str">
        <f>IFERROR(IF(LARGE(Propostas!$P$5:$P$404,5)&gt;0,INDEX(Propostas!$D$5:$D$404,MATCH(LARGE(Propostas!$P$5:$P$404,5),Propostas!$P$5:$P$404,0)),""),"")</f>
        <v>Ana</v>
      </c>
    </row>
    <row r="26">
      <c r="A26" s="22" t="n">
        <v>6</v>
      </c>
      <c r="B26" s="21" t="str">
        <f>IFERROR(IF(LARGE(Propostas!$P$5:$P$404,6)&gt;0,INDEX(Propostas!$A$5:$A$404,MATCH(LARGE(Propostas!$P$5:$P$404,6),Propostas!$P$5:$P$404,0)),""),"")</f>
        <v>Dra. Lúcia (nutri)</v>
      </c>
      <c r="C26" s="21" t="str">
        <f>IFERROR(IF(LARGE(Propostas!$P$5:$P$404,6)&gt;0,INDEX(Propostas!$B$5:$B$404,MATCH(LARGE(Propostas!$P$5:$P$404,6),Propostas!$P$5:$P$404,0)),""),"")</f>
        <v>Identidade + Instagram</v>
      </c>
      <c r="D26" s="22" t="str">
        <f>IFERROR(IF(LARGE(Propostas!$P$5:$P$404,6)&gt;0,INDEX(Propostas!$F$5:$F$404,MATCH(LARGE(Propostas!$P$5:$P$404,6),Propostas!$P$5:$P$404,0)),""),"")</f>
        <v>Contato</v>
      </c>
      <c r="E26" s="23">
        <f>IFERROR(IF(LARGE(Propostas!$P$5:$P$404,6)&gt;0,INDEX(Propostas!$E$5:$E$404,MATCH(LARGE(Propostas!$P$5:$P$404,6),Propostas!$P$5:$P$404,0)),""),"")</f>
        <v>7800</v>
      </c>
      <c r="F26" s="26">
        <f>IFERROR(IF(LARGE(Propostas!$P$5:$P$404,6)&gt;0,INDEX(Propostas!$N$5:$N$404,MATCH(LARGE(Propostas!$P$5:$P$404,6),Propostas!$P$5:$P$404,0)),""),"")</f>
        <v>6</v>
      </c>
      <c r="G26" s="22" t="str">
        <f>IFERROR(IF(LARGE(Propostas!$P$5:$P$404,6)&gt;0,INDEX(Propostas!$O$5:$O$404,MATCH(LARGE(Propostas!$P$5:$P$404,6),Propostas!$P$5:$P$404,0)),""),"")</f>
        <v>Ativa</v>
      </c>
      <c r="H26" s="22" t="str">
        <f>IFERROR(IF(LARGE(Propostas!$P$5:$P$404,6)&gt;0,INDEX(Propostas!$D$5:$D$404,MATCH(LARGE(Propostas!$P$5:$P$404,6),Propostas!$P$5:$P$404,0)),""),"")</f>
        <v>Bruno</v>
      </c>
    </row>
    <row r="27">
      <c r="A27" s="22" t="n">
        <v>7</v>
      </c>
      <c r="B27" s="21" t="str">
        <f>IFERROR(IF(LARGE(Propostas!$P$5:$P$404,7)&gt;0,INDEX(Propostas!$A$5:$A$404,MATCH(LARGE(Propostas!$P$5:$P$404,7),Propostas!$P$5:$P$404,0)),""),"")</f>
        <v>Café Central</v>
      </c>
      <c r="C27" s="21" t="str">
        <f>IFERROR(IF(LARGE(Propostas!$P$5:$P$404,7)&gt;0,INDEX(Propostas!$B$5:$B$404,MATCH(LARGE(Propostas!$P$5:$P$404,7),Propostas!$P$5:$P$404,0)),""),"")</f>
        <v>Cardápio e fachada</v>
      </c>
      <c r="D27" s="22" t="str">
        <f>IFERROR(IF(LARGE(Propostas!$P$5:$P$404,7)&gt;0,INDEX(Propostas!$F$5:$F$404,MATCH(LARGE(Propostas!$P$5:$P$404,7),Propostas!$P$5:$P$404,0)),""),"")</f>
        <v>Negociação</v>
      </c>
      <c r="E27" s="23">
        <f>IFERROR(IF(LARGE(Propostas!$P$5:$P$404,7)&gt;0,INDEX(Propostas!$E$5:$E$404,MATCH(LARGE(Propostas!$P$5:$P$404,7),Propostas!$P$5:$P$404,0)),""),"")</f>
        <v>6200</v>
      </c>
      <c r="F27" s="26">
        <f>IFERROR(IF(LARGE(Propostas!$P$5:$P$404,7)&gt;0,INDEX(Propostas!$N$5:$N$404,MATCH(LARGE(Propostas!$P$5:$P$404,7),Propostas!$P$5:$P$404,0)),""),"")</f>
        <v>5</v>
      </c>
      <c r="G27" s="22" t="str">
        <f>IFERROR(IF(LARGE(Propostas!$P$5:$P$404,7)&gt;0,INDEX(Propostas!$O$5:$O$404,MATCH(LARGE(Propostas!$P$5:$P$404,7),Propostas!$P$5:$P$404,0)),""),"")</f>
        <v>Ativa</v>
      </c>
      <c r="H27" s="22" t="str">
        <f>IFERROR(IF(LARGE(Propostas!$P$5:$P$404,7)&gt;0,INDEX(Propostas!$D$5:$D$404,MATCH(LARGE(Propostas!$P$5:$P$404,7),Propostas!$P$5:$P$404,0)),""),"")</f>
        <v>Carla</v>
      </c>
    </row>
    <row r="28">
      <c r="A28" s="22" t="n">
        <v>8</v>
      </c>
      <c r="B28" s="21">
        <f>IFERROR(IF(LARGE(Propostas!$P$5:$P$404,8)&gt;0,INDEX(Propostas!$A$5:$A$404,MATCH(LARGE(Propostas!$P$5:$P$404,8),Propostas!$P$5:$P$404,0)),""),"")</f>
        <v/>
      </c>
      <c r="C28" s="21">
        <f>IFERROR(IF(LARGE(Propostas!$P$5:$P$404,8)&gt;0,INDEX(Propostas!$B$5:$B$404,MATCH(LARGE(Propostas!$P$5:$P$404,8),Propostas!$P$5:$P$404,0)),""),"")</f>
        <v/>
      </c>
      <c r="D28" s="22">
        <f>IFERROR(IF(LARGE(Propostas!$P$5:$P$404,8)&gt;0,INDEX(Propostas!$F$5:$F$404,MATCH(LARGE(Propostas!$P$5:$P$404,8),Propostas!$P$5:$P$404,0)),""),"")</f>
        <v/>
      </c>
      <c r="E28" s="23">
        <f>IFERROR(IF(LARGE(Propostas!$P$5:$P$404,8)&gt;0,INDEX(Propostas!$E$5:$E$404,MATCH(LARGE(Propostas!$P$5:$P$404,8),Propostas!$P$5:$P$404,0)),""),"")</f>
        <v/>
      </c>
      <c r="F28" s="26">
        <f>IFERROR(IF(LARGE(Propostas!$P$5:$P$404,8)&gt;0,INDEX(Propostas!$N$5:$N$404,MATCH(LARGE(Propostas!$P$5:$P$404,8),Propostas!$P$5:$P$404,0)),""),"")</f>
        <v/>
      </c>
      <c r="G28" s="22">
        <f>IFERROR(IF(LARGE(Propostas!$P$5:$P$404,8)&gt;0,INDEX(Propostas!$O$5:$O$404,MATCH(LARGE(Propostas!$P$5:$P$404,8),Propostas!$P$5:$P$404,0)),""),"")</f>
        <v/>
      </c>
      <c r="H28" s="22">
        <f>IFERROR(IF(LARGE(Propostas!$P$5:$P$404,8)&gt;0,INDEX(Propostas!$D$5:$D$404,MATCH(LARGE(Propostas!$P$5:$P$404,8),Propostas!$P$5:$P$404,0)),""),"")</f>
        <v/>
      </c>
    </row>
    <row r="29">
      <c r="A29" s="22" t="n">
        <v>9</v>
      </c>
      <c r="B29" s="21">
        <f>IFERROR(IF(LARGE(Propostas!$P$5:$P$404,9)&gt;0,INDEX(Propostas!$A$5:$A$404,MATCH(LARGE(Propostas!$P$5:$P$404,9),Propostas!$P$5:$P$404,0)),""),"")</f>
        <v/>
      </c>
      <c r="C29" s="21">
        <f>IFERROR(IF(LARGE(Propostas!$P$5:$P$404,9)&gt;0,INDEX(Propostas!$B$5:$B$404,MATCH(LARGE(Propostas!$P$5:$P$404,9),Propostas!$P$5:$P$404,0)),""),"")</f>
        <v/>
      </c>
      <c r="D29" s="22">
        <f>IFERROR(IF(LARGE(Propostas!$P$5:$P$404,9)&gt;0,INDEX(Propostas!$F$5:$F$404,MATCH(LARGE(Propostas!$P$5:$P$404,9),Propostas!$P$5:$P$404,0)),""),"")</f>
        <v/>
      </c>
      <c r="E29" s="23">
        <f>IFERROR(IF(LARGE(Propostas!$P$5:$P$404,9)&gt;0,INDEX(Propostas!$E$5:$E$404,MATCH(LARGE(Propostas!$P$5:$P$404,9),Propostas!$P$5:$P$404,0)),""),"")</f>
        <v/>
      </c>
      <c r="F29" s="26">
        <f>IFERROR(IF(LARGE(Propostas!$P$5:$P$404,9)&gt;0,INDEX(Propostas!$N$5:$N$404,MATCH(LARGE(Propostas!$P$5:$P$404,9),Propostas!$P$5:$P$404,0)),""),"")</f>
        <v/>
      </c>
      <c r="G29" s="22">
        <f>IFERROR(IF(LARGE(Propostas!$P$5:$P$404,9)&gt;0,INDEX(Propostas!$O$5:$O$404,MATCH(LARGE(Propostas!$P$5:$P$404,9),Propostas!$P$5:$P$404,0)),""),"")</f>
        <v/>
      </c>
      <c r="H29" s="22">
        <f>IFERROR(IF(LARGE(Propostas!$P$5:$P$404,9)&gt;0,INDEX(Propostas!$D$5:$D$404,MATCH(LARGE(Propostas!$P$5:$P$404,9),Propostas!$P$5:$P$404,0)),""),"")</f>
        <v/>
      </c>
    </row>
    <row r="30">
      <c r="A30" s="22" t="n">
        <v>10</v>
      </c>
      <c r="B30" s="21">
        <f>IFERROR(IF(LARGE(Propostas!$P$5:$P$404,10)&gt;0,INDEX(Propostas!$A$5:$A$404,MATCH(LARGE(Propostas!$P$5:$P$404,10),Propostas!$P$5:$P$404,0)),""),"")</f>
        <v/>
      </c>
      <c r="C30" s="21">
        <f>IFERROR(IF(LARGE(Propostas!$P$5:$P$404,10)&gt;0,INDEX(Propostas!$B$5:$B$404,MATCH(LARGE(Propostas!$P$5:$P$404,10),Propostas!$P$5:$P$404,0)),""),"")</f>
        <v/>
      </c>
      <c r="D30" s="22">
        <f>IFERROR(IF(LARGE(Propostas!$P$5:$P$404,10)&gt;0,INDEX(Propostas!$F$5:$F$404,MATCH(LARGE(Propostas!$P$5:$P$404,10),Propostas!$P$5:$P$404,0)),""),"")</f>
        <v/>
      </c>
      <c r="E30" s="23">
        <f>IFERROR(IF(LARGE(Propostas!$P$5:$P$404,10)&gt;0,INDEX(Propostas!$E$5:$E$404,MATCH(LARGE(Propostas!$P$5:$P$404,10),Propostas!$P$5:$P$404,0)),""),"")</f>
        <v/>
      </c>
      <c r="F30" s="26">
        <f>IFERROR(IF(LARGE(Propostas!$P$5:$P$404,10)&gt;0,INDEX(Propostas!$N$5:$N$404,MATCH(LARGE(Propostas!$P$5:$P$404,10),Propostas!$P$5:$P$404,0)),""),"")</f>
        <v/>
      </c>
      <c r="G30" s="22">
        <f>IFERROR(IF(LARGE(Propostas!$P$5:$P$404,10)&gt;0,INDEX(Propostas!$O$5:$O$404,MATCH(LARGE(Propostas!$P$5:$P$404,10),Propostas!$P$5:$P$404,0)),""),"")</f>
        <v/>
      </c>
      <c r="H30" s="22">
        <f>IFERROR(IF(LARGE(Propostas!$P$5:$P$404,10)&gt;0,INDEX(Propostas!$D$5:$D$404,MATCH(LARGE(Propostas!$P$5:$P$404,10),Propostas!$P$5:$P$404,0)),""),"")</f>
        <v/>
      </c>
    </row>
    <row r="31">
      <c r="A31" s="22" t="n">
        <v>11</v>
      </c>
      <c r="B31" s="21">
        <f>IFERROR(IF(LARGE(Propostas!$P$5:$P$404,11)&gt;0,INDEX(Propostas!$A$5:$A$404,MATCH(LARGE(Propostas!$P$5:$P$404,11),Propostas!$P$5:$P$404,0)),""),"")</f>
        <v/>
      </c>
      <c r="C31" s="21">
        <f>IFERROR(IF(LARGE(Propostas!$P$5:$P$404,11)&gt;0,INDEX(Propostas!$B$5:$B$404,MATCH(LARGE(Propostas!$P$5:$P$404,11),Propostas!$P$5:$P$404,0)),""),"")</f>
        <v/>
      </c>
      <c r="D31" s="22">
        <f>IFERROR(IF(LARGE(Propostas!$P$5:$P$404,11)&gt;0,INDEX(Propostas!$F$5:$F$404,MATCH(LARGE(Propostas!$P$5:$P$404,11),Propostas!$P$5:$P$404,0)),""),"")</f>
        <v/>
      </c>
      <c r="E31" s="23">
        <f>IFERROR(IF(LARGE(Propostas!$P$5:$P$404,11)&gt;0,INDEX(Propostas!$E$5:$E$404,MATCH(LARGE(Propostas!$P$5:$P$404,11),Propostas!$P$5:$P$404,0)),""),"")</f>
        <v/>
      </c>
      <c r="F31" s="26">
        <f>IFERROR(IF(LARGE(Propostas!$P$5:$P$404,11)&gt;0,INDEX(Propostas!$N$5:$N$404,MATCH(LARGE(Propostas!$P$5:$P$404,11),Propostas!$P$5:$P$404,0)),""),"")</f>
        <v/>
      </c>
      <c r="G31" s="22">
        <f>IFERROR(IF(LARGE(Propostas!$P$5:$P$404,11)&gt;0,INDEX(Propostas!$O$5:$O$404,MATCH(LARGE(Propostas!$P$5:$P$404,11),Propostas!$P$5:$P$404,0)),""),"")</f>
        <v/>
      </c>
      <c r="H31" s="22">
        <f>IFERROR(IF(LARGE(Propostas!$P$5:$P$404,11)&gt;0,INDEX(Propostas!$D$5:$D$404,MATCH(LARGE(Propostas!$P$5:$P$404,11),Propostas!$P$5:$P$404,0)),""),"")</f>
        <v/>
      </c>
    </row>
    <row r="32">
      <c r="A32" s="22" t="n">
        <v>12</v>
      </c>
      <c r="B32" s="21">
        <f>IFERROR(IF(LARGE(Propostas!$P$5:$P$404,12)&gt;0,INDEX(Propostas!$A$5:$A$404,MATCH(LARGE(Propostas!$P$5:$P$404,12),Propostas!$P$5:$P$404,0)),""),"")</f>
        <v/>
      </c>
      <c r="C32" s="21">
        <f>IFERROR(IF(LARGE(Propostas!$P$5:$P$404,12)&gt;0,INDEX(Propostas!$B$5:$B$404,MATCH(LARGE(Propostas!$P$5:$P$404,12),Propostas!$P$5:$P$404,0)),""),"")</f>
        <v/>
      </c>
      <c r="D32" s="22">
        <f>IFERROR(IF(LARGE(Propostas!$P$5:$P$404,12)&gt;0,INDEX(Propostas!$F$5:$F$404,MATCH(LARGE(Propostas!$P$5:$P$404,12),Propostas!$P$5:$P$404,0)),""),"")</f>
        <v/>
      </c>
      <c r="E32" s="23">
        <f>IFERROR(IF(LARGE(Propostas!$P$5:$P$404,12)&gt;0,INDEX(Propostas!$E$5:$E$404,MATCH(LARGE(Propostas!$P$5:$P$404,12),Propostas!$P$5:$P$404,0)),""),"")</f>
        <v/>
      </c>
      <c r="F32" s="26">
        <f>IFERROR(IF(LARGE(Propostas!$P$5:$P$404,12)&gt;0,INDEX(Propostas!$N$5:$N$404,MATCH(LARGE(Propostas!$P$5:$P$404,12),Propostas!$P$5:$P$404,0)),""),"")</f>
        <v/>
      </c>
      <c r="G32" s="22">
        <f>IFERROR(IF(LARGE(Propostas!$P$5:$P$404,12)&gt;0,INDEX(Propostas!$O$5:$O$404,MATCH(LARGE(Propostas!$P$5:$P$404,12),Propostas!$P$5:$P$404,0)),""),"")</f>
        <v/>
      </c>
      <c r="H32" s="22">
        <f>IFERROR(IF(LARGE(Propostas!$P$5:$P$404,12)&gt;0,INDEX(Propostas!$D$5:$D$404,MATCH(LARGE(Propostas!$P$5:$P$404,12),Propostas!$P$5:$P$404,0)),""),"")</f>
        <v/>
      </c>
    </row>
    <row r="34">
      <c r="A34" s="17" t="inlineStr">
        <is>
          <t>Por origem e motivo de perda</t>
        </is>
      </c>
    </row>
    <row r="35" ht="26" customHeight="1">
      <c r="A35" s="18" t="inlineStr">
        <is>
          <t>Origem</t>
        </is>
      </c>
      <c r="B35" s="18" t="inlineStr">
        <is>
          <t>Propostas</t>
        </is>
      </c>
      <c r="C35" s="18" t="inlineStr">
        <is>
          <t>Ganhas</t>
        </is>
      </c>
      <c r="D35" s="18" t="inlineStr">
        <is>
          <t>Conversão</t>
        </is>
      </c>
      <c r="E35" s="18" t="inlineStr">
        <is>
          <t>Valor ganho</t>
        </is>
      </c>
      <c r="G35" s="18" t="inlineStr">
        <is>
          <t>Motivo de perda</t>
        </is>
      </c>
      <c r="H35" s="18" t="inlineStr">
        <is>
          <t>Perdidas</t>
        </is>
      </c>
      <c r="I35" s="18" t="inlineStr">
        <is>
          <t>Valor perdido</t>
        </is>
      </c>
    </row>
    <row r="36">
      <c r="A36" s="21" t="str">
        <f>IF(Config!$A$19="","",Config!$A$19)</f>
        <v>Indicação</v>
      </c>
      <c r="B36" s="22">
        <f>IF(Config!$A$19="","",COUNTIFS(Propostas!$C$5:$C$404,Config!$A$19))</f>
        <v>3</v>
      </c>
      <c r="C36" s="22">
        <f>IF(Config!$A$19="","",COUNTIFS(Propostas!$C$5:$C$404,Config!$A$19,Propostas!$F$5:$F$404,"Ganha"))</f>
        <v>2</v>
      </c>
      <c r="D36" s="24">
        <f>IF(Config!$A$19="","",IFERROR(C36/(C36+COUNTIFS(Propostas!$C$5:$C$404,Config!$A$19,Propostas!$F$5:$F$404,"Perdida")),0))</f>
        <v>1</v>
      </c>
      <c r="E36" s="23">
        <f>IF(Config!$A$19="","",SUMIFS(Propostas!$E$5:$E$404,Propostas!$C$5:$C$404,Config!$A$19,Propostas!$F$5:$F$404,"Ganha"))</f>
        <v>33500</v>
      </c>
      <c r="G36" s="21" t="str">
        <f>IF(Config!$D$19="","",Config!$D$19)</f>
        <v>Preço</v>
      </c>
      <c r="H36" s="22">
        <f>IF(Config!$D$19="","",COUNTIFS(Propostas!$K$5:$K$404,Config!$D$19,Propostas!$F$5:$F$404,"Perdida"))</f>
        <v>1</v>
      </c>
      <c r="I36" s="23">
        <f>IF(Config!$D$19="","",SUMIFS(Propostas!$E$5:$E$404,Propostas!$K$5:$K$404,Config!$D$19,Propostas!$F$5:$F$404,"Perdida"))</f>
        <v>12000</v>
      </c>
    </row>
    <row r="37">
      <c r="A37" s="21" t="str">
        <f>IF(Config!$A$20="","",Config!$A$20)</f>
        <v>Instagram</v>
      </c>
      <c r="B37" s="22">
        <f>IF(Config!$A$20="","",COUNTIFS(Propostas!$C$5:$C$404,Config!$A$20))</f>
        <v>4</v>
      </c>
      <c r="C37" s="22">
        <f>IF(Config!$A$20="","",COUNTIFS(Propostas!$C$5:$C$404,Config!$A$20,Propostas!$F$5:$F$404,"Ganha"))</f>
        <v>1</v>
      </c>
      <c r="D37" s="24">
        <f>IF(Config!$A$20="","",IFERROR(C37/(C37+COUNTIFS(Propostas!$C$5:$C$404,Config!$A$20,Propostas!$F$5:$F$404,"Perdida")),0))</f>
        <v>0.5</v>
      </c>
      <c r="E37" s="23">
        <f>IF(Config!$A$20="","",SUMIFS(Propostas!$E$5:$E$404,Propostas!$C$5:$C$404,Config!$A$20,Propostas!$F$5:$F$404,"Ganha"))</f>
        <v>38000</v>
      </c>
      <c r="G37" s="21" t="str">
        <f>IF(Config!$D$20="","",Config!$D$20)</f>
        <v>Prazo</v>
      </c>
      <c r="H37" s="22">
        <f>IF(Config!$D$20="","",COUNTIFS(Propostas!$K$5:$K$404,Config!$D$20,Propostas!$F$5:$F$404,"Perdida"))</f>
        <v>0</v>
      </c>
      <c r="I37" s="23">
        <f>IF(Config!$D$20="","",SUMIFS(Propostas!$E$5:$E$404,Propostas!$K$5:$K$404,Config!$D$20,Propostas!$F$5:$F$404,"Perdida"))</f>
        <v>0</v>
      </c>
    </row>
    <row r="38">
      <c r="A38" s="21" t="str">
        <f>IF(Config!$A$21="","",Config!$A$21)</f>
        <v>Site</v>
      </c>
      <c r="B38" s="22">
        <f>IF(Config!$A$21="","",COUNTIFS(Propostas!$C$5:$C$404,Config!$A$21))</f>
        <v>3</v>
      </c>
      <c r="C38" s="22">
        <f>IF(Config!$A$21="","",COUNTIFS(Propostas!$C$5:$C$404,Config!$A$21,Propostas!$F$5:$F$404,"Ganha"))</f>
        <v>0</v>
      </c>
      <c r="D38" s="24">
        <f>IF(Config!$A$21="","",IFERROR(C38/(C38+COUNTIFS(Propostas!$C$5:$C$404,Config!$A$21,Propostas!$F$5:$F$404,"Perdida")),0))</f>
        <v>0</v>
      </c>
      <c r="E38" s="23">
        <f>IF(Config!$A$21="","",SUMIFS(Propostas!$E$5:$E$404,Propostas!$C$5:$C$404,Config!$A$21,Propostas!$F$5:$F$404,"Ganha"))</f>
        <v>0</v>
      </c>
      <c r="G38" s="21" t="str">
        <f>IF(Config!$D$21="","",Config!$D$21)</f>
        <v>Escolheu concorrente</v>
      </c>
      <c r="H38" s="22">
        <f>IF(Config!$D$21="","",COUNTIFS(Propostas!$K$5:$K$404,Config!$D$21,Propostas!$F$5:$F$404,"Perdida"))</f>
        <v>1</v>
      </c>
      <c r="I38" s="23">
        <f>IF(Config!$D$21="","",SUMIFS(Propostas!$E$5:$E$404,Propostas!$K$5:$K$404,Config!$D$21,Propostas!$F$5:$F$404,"Perdida"))</f>
        <v>18000</v>
      </c>
    </row>
    <row r="39">
      <c r="A39" s="21" t="str">
        <f>IF(Config!$A$22="","",Config!$A$22)</f>
        <v>Evento</v>
      </c>
      <c r="B39" s="22">
        <f>IF(Config!$A$22="","",COUNTIFS(Propostas!$C$5:$C$404,Config!$A$22))</f>
        <v>2</v>
      </c>
      <c r="C39" s="22">
        <f>IF(Config!$A$22="","",COUNTIFS(Propostas!$C$5:$C$404,Config!$A$22,Propostas!$F$5:$F$404,"Ganha"))</f>
        <v>0</v>
      </c>
      <c r="D39" s="24">
        <f>IF(Config!$A$22="","",IFERROR(C39/(C39+COUNTIFS(Propostas!$C$5:$C$404,Config!$A$22,Propostas!$F$5:$F$404,"Perdida")),0))</f>
        <v>0</v>
      </c>
      <c r="E39" s="23">
        <f>IF(Config!$A$22="","",SUMIFS(Propostas!$E$5:$E$404,Propostas!$C$5:$C$404,Config!$A$22,Propostas!$F$5:$F$404,"Ganha"))</f>
        <v>0</v>
      </c>
      <c r="G39" s="21" t="str">
        <f>IF(Config!$D$22="","",Config!$D$22)</f>
        <v>Adiou o projeto</v>
      </c>
      <c r="H39" s="22">
        <f>IF(Config!$D$22="","",COUNTIFS(Propostas!$K$5:$K$404,Config!$D$22,Propostas!$F$5:$F$404,"Perdida"))</f>
        <v>0</v>
      </c>
      <c r="I39" s="23">
        <f>IF(Config!$D$22="","",SUMIFS(Propostas!$E$5:$E$404,Propostas!$K$5:$K$404,Config!$D$22,Propostas!$F$5:$F$404,"Perdida"))</f>
        <v>0</v>
      </c>
    </row>
    <row r="40">
      <c r="A40" s="21" t="str">
        <f>IF(Config!$A$23="","",Config!$A$23)</f>
        <v>Cliente antigo</v>
      </c>
      <c r="B40" s="22">
        <f>IF(Config!$A$23="","",COUNTIFS(Propostas!$C$5:$C$404,Config!$A$23))</f>
        <v>2</v>
      </c>
      <c r="C40" s="22">
        <f>IF(Config!$A$23="","",COUNTIFS(Propostas!$C$5:$C$404,Config!$A$23,Propostas!$F$5:$F$404,"Ganha"))</f>
        <v>1</v>
      </c>
      <c r="D40" s="24">
        <f>IF(Config!$A$23="","",IFERROR(C40/(C40+COUNTIFS(Propostas!$C$5:$C$404,Config!$A$23,Propostas!$F$5:$F$404,"Perdida")),0))</f>
        <v>1</v>
      </c>
      <c r="E40" s="23">
        <f>IF(Config!$A$23="","",SUMIFS(Propostas!$E$5:$E$404,Propostas!$C$5:$C$404,Config!$A$23,Propostas!$F$5:$F$404,"Ganha"))</f>
        <v>16000</v>
      </c>
      <c r="G40" s="21" t="str">
        <f>IF(Config!$D$23="","",Config!$D$23)</f>
        <v>Sem resposta</v>
      </c>
      <c r="H40" s="22">
        <f>IF(Config!$D$23="","",COUNTIFS(Propostas!$K$5:$K$404,Config!$D$23,Propostas!$F$5:$F$404,"Perdida"))</f>
        <v>1</v>
      </c>
      <c r="I40" s="23">
        <f>IF(Config!$D$23="","",SUMIFS(Propostas!$E$5:$E$404,Propostas!$K$5:$K$404,Config!$D$23,Propostas!$F$5:$F$404,"Perdida"))</f>
        <v>3200</v>
      </c>
    </row>
    <row r="41">
      <c r="A41" s="21">
        <f>IF(Config!$A$24="","",Config!$A$24)</f>
        <v/>
      </c>
      <c r="B41" s="22">
        <f>IF(Config!$A$24="","",COUNTIFS(Propostas!$C$5:$C$404,Config!$A$24))</f>
        <v/>
      </c>
      <c r="C41" s="22">
        <f>IF(Config!$A$24="","",COUNTIFS(Propostas!$C$5:$C$404,Config!$A$24,Propostas!$F$5:$F$404,"Ganha"))</f>
        <v/>
      </c>
      <c r="D41" s="24">
        <f>IF(Config!$A$24="","",IFERROR(C41/(C41+COUNTIFS(Propostas!$C$5:$C$404,Config!$A$24,Propostas!$F$5:$F$404,"Perdida")),0))</f>
        <v/>
      </c>
      <c r="E41" s="23">
        <f>IF(Config!$A$24="","",SUMIFS(Propostas!$E$5:$E$404,Propostas!$C$5:$C$404,Config!$A$24,Propostas!$F$5:$F$404,"Ganha"))</f>
        <v/>
      </c>
      <c r="G41" s="21">
        <f>IF(Config!$D$24="","",Config!$D$24)</f>
        <v/>
      </c>
      <c r="H41" s="22">
        <f>IF(Config!$D$24="","",COUNTIFS(Propostas!$K$5:$K$404,Config!$D$24,Propostas!$F$5:$F$404,"Perdida"))</f>
        <v/>
      </c>
      <c r="I41" s="23">
        <f>IF(Config!$D$24="","",SUMIFS(Propostas!$E$5:$E$404,Propostas!$K$5:$K$404,Config!$D$24,Propostas!$F$5:$F$404,"Perdida"))</f>
        <v/>
      </c>
    </row>
    <row r="42">
      <c r="A42" s="21">
        <f>IF(Config!$A$25="","",Config!$A$25)</f>
        <v/>
      </c>
      <c r="B42" s="22">
        <f>IF(Config!$A$25="","",COUNTIFS(Propostas!$C$5:$C$404,Config!$A$25))</f>
        <v/>
      </c>
      <c r="C42" s="22">
        <f>IF(Config!$A$25="","",COUNTIFS(Propostas!$C$5:$C$404,Config!$A$25,Propostas!$F$5:$F$404,"Ganha"))</f>
        <v/>
      </c>
      <c r="D42" s="24">
        <f>IF(Config!$A$25="","",IFERROR(C42/(C42+COUNTIFS(Propostas!$C$5:$C$404,Config!$A$25,Propostas!$F$5:$F$404,"Perdida")),0))</f>
        <v/>
      </c>
      <c r="E42" s="23">
        <f>IF(Config!$A$25="","",SUMIFS(Propostas!$E$5:$E$404,Propostas!$C$5:$C$404,Config!$A$25,Propostas!$F$5:$F$404,"Ganha"))</f>
        <v/>
      </c>
      <c r="G42" s="21">
        <f>IF(Config!$D$25="","",Config!$D$25)</f>
        <v/>
      </c>
      <c r="H42" s="22">
        <f>IF(Config!$D$25="","",COUNTIFS(Propostas!$K$5:$K$404,Config!$D$25,Propostas!$F$5:$F$404,"Perdida"))</f>
        <v/>
      </c>
      <c r="I42" s="23">
        <f>IF(Config!$D$25="","",SUMIFS(Propostas!$E$5:$E$404,Propostas!$K$5:$K$404,Config!$D$25,Propostas!$F$5:$F$404,"Perdida"))</f>
        <v/>
      </c>
    </row>
    <row r="43">
      <c r="A43" s="21">
        <f>IF(Config!$A$26="","",Config!$A$26)</f>
        <v/>
      </c>
      <c r="B43" s="22">
        <f>IF(Config!$A$26="","",COUNTIFS(Propostas!$C$5:$C$404,Config!$A$26))</f>
        <v/>
      </c>
      <c r="C43" s="22">
        <f>IF(Config!$A$26="","",COUNTIFS(Propostas!$C$5:$C$404,Config!$A$26,Propostas!$F$5:$F$404,"Ganha"))</f>
        <v/>
      </c>
      <c r="D43" s="24">
        <f>IF(Config!$A$26="","",IFERROR(C43/(C43+COUNTIFS(Propostas!$C$5:$C$404,Config!$A$26,Propostas!$F$5:$F$404,"Perdida")),0))</f>
        <v/>
      </c>
      <c r="E43" s="23">
        <f>IF(Config!$A$26="","",SUMIFS(Propostas!$E$5:$E$404,Propostas!$C$5:$C$404,Config!$A$26,Propostas!$F$5:$F$404,"Ganha"))</f>
        <v/>
      </c>
      <c r="G43" s="21">
        <f>IF(Config!$D$26="","",Config!$D$26)</f>
        <v/>
      </c>
      <c r="H43" s="22">
        <f>IF(Config!$D$26="","",COUNTIFS(Propostas!$K$5:$K$404,Config!$D$26,Propostas!$F$5:$F$404,"Perdida"))</f>
        <v/>
      </c>
      <c r="I43" s="23">
        <f>IF(Config!$D$26="","",SUMIFS(Propostas!$E$5:$E$404,Propostas!$K$5:$K$404,Config!$D$26,Propostas!$F$5:$F$404,"Perdida"))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5">
    <mergeCell ref="A4:B4"/>
    <mergeCell ref="G4:H4"/>
    <mergeCell ref="E4:F4"/>
    <mergeCell ref="F10:H10"/>
    <mergeCell ref="A2:H2"/>
    <mergeCell ref="C5:D5"/>
    <mergeCell ref="A5:B5"/>
    <mergeCell ref="G5:H5"/>
    <mergeCell ref="E5:F5"/>
    <mergeCell ref="F8:H8"/>
    <mergeCell ref="F9:H9"/>
    <mergeCell ref="A1:H1"/>
    <mergeCell ref="F12:H12"/>
    <mergeCell ref="F11:H11"/>
    <mergeCell ref="C4:D4"/>
  </mergeCells>
  <conditionalFormatting sqref="A21:H32">
    <cfRule type="expression" priority="1" dxfId="0">
      <formula>$G21="Fechamento vencido"</formula>
    </cfRule>
    <cfRule type="expression" priority="2" dxfId="1">
      <formula>$G21="Parada"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" customWidth="1" min="3" max="3"/>
    <col width="30" customWidth="1" min="4" max="4"/>
  </cols>
  <sheetData>
    <row r="1">
      <c r="A1" s="5" t="inlineStr">
        <is>
          <t>Configurações</t>
        </is>
      </c>
    </row>
    <row r="2">
      <c r="A2" s="27" t="inlineStr">
        <is>
          <t>Células amarelas: você preenche. As etapas e probabilidades alimentam a previsão ponderada.</t>
        </is>
      </c>
    </row>
    <row r="4">
      <c r="A4" s="28" t="inlineStr">
        <is>
          <t>Empresa ou vendedor</t>
        </is>
      </c>
      <c r="B4" s="29" t="inlineStr">
        <is>
          <t>Prisma Comunicação (exemplo fictício)</t>
        </is>
      </c>
    </row>
    <row r="5">
      <c r="A5" s="28" t="inlineStr">
        <is>
          <t>Data de referência (hoje)</t>
        </is>
      </c>
      <c r="B5" s="30">
        <f>TODAY()</f>
        <v>46282.0</v>
      </c>
    </row>
    <row r="6">
      <c r="A6" s="28" t="inlineStr">
        <is>
          <t>Meta de vendas no trimestre (R$)</t>
        </is>
      </c>
      <c r="B6" s="31" t="n">
        <v>180000</v>
      </c>
    </row>
    <row r="7">
      <c r="A7" s="28" t="inlineStr">
        <is>
          <t>Proposta parada há mais de (dias)</t>
        </is>
      </c>
      <c r="B7" s="29" t="n">
        <v>14</v>
      </c>
    </row>
    <row r="9">
      <c r="A9" s="28" t="inlineStr">
        <is>
          <t>Etapas do funil e probabilidade de fechar</t>
        </is>
      </c>
    </row>
    <row r="10" ht="26" customHeight="1">
      <c r="A10" s="18" t="inlineStr">
        <is>
          <t>Etapa</t>
        </is>
      </c>
      <c r="B10" s="18" t="inlineStr">
        <is>
          <t>Probabilidade</t>
        </is>
      </c>
    </row>
    <row r="11">
      <c r="A11" s="21" t="inlineStr">
        <is>
          <t>Contato</t>
        </is>
      </c>
      <c r="B11" s="32" t="n">
        <v>0.1</v>
      </c>
    </row>
    <row r="12">
      <c r="A12" s="21" t="inlineStr">
        <is>
          <t>Reunião feita</t>
        </is>
      </c>
      <c r="B12" s="32" t="n">
        <v>0.25</v>
      </c>
    </row>
    <row r="13">
      <c r="A13" s="21" t="inlineStr">
        <is>
          <t>Proposta enviada</t>
        </is>
      </c>
      <c r="B13" s="32" t="n">
        <v>0.5</v>
      </c>
    </row>
    <row r="14">
      <c r="A14" s="21" t="inlineStr">
        <is>
          <t>Negociação</t>
        </is>
      </c>
      <c r="B14" s="32" t="n">
        <v>0.75</v>
      </c>
    </row>
    <row r="15">
      <c r="A15" s="21" t="inlineStr">
        <is>
          <t>Ganha</t>
        </is>
      </c>
      <c r="B15" s="32" t="n">
        <v>1</v>
      </c>
    </row>
    <row r="16">
      <c r="A16" s="21" t="inlineStr">
        <is>
          <t>Perdida</t>
        </is>
      </c>
      <c r="B16" s="32" t="n">
        <v>0</v>
      </c>
    </row>
    <row r="18">
      <c r="A18" s="28" t="inlineStr">
        <is>
          <t>Origens (até 8)</t>
        </is>
      </c>
      <c r="D18" s="28" t="inlineStr">
        <is>
          <t>Motivos de perda (até 8)</t>
        </is>
      </c>
    </row>
    <row r="19">
      <c r="A19" s="29" t="inlineStr">
        <is>
          <t>Indicação</t>
        </is>
      </c>
      <c r="D19" s="29" t="inlineStr">
        <is>
          <t>Preço</t>
        </is>
      </c>
    </row>
    <row r="20">
      <c r="A20" s="29" t="inlineStr">
        <is>
          <t>Instagram</t>
        </is>
      </c>
      <c r="D20" s="29" t="inlineStr">
        <is>
          <t>Prazo</t>
        </is>
      </c>
    </row>
    <row r="21">
      <c r="A21" s="29" t="inlineStr">
        <is>
          <t>Site</t>
        </is>
      </c>
      <c r="D21" s="29" t="inlineStr">
        <is>
          <t>Escolheu concorrente</t>
        </is>
      </c>
    </row>
    <row r="22">
      <c r="A22" s="29" t="inlineStr">
        <is>
          <t>Evento</t>
        </is>
      </c>
      <c r="D22" s="29" t="inlineStr">
        <is>
          <t>Adiou o projeto</t>
        </is>
      </c>
    </row>
    <row r="23">
      <c r="A23" s="29" t="inlineStr">
        <is>
          <t>Cliente antigo</t>
        </is>
      </c>
      <c r="D23" s="29" t="inlineStr">
        <is>
          <t>Sem resposta</t>
        </is>
      </c>
    </row>
    <row r="24">
      <c r="A24" s="29" t="n"/>
      <c r="D24" s="29" t="n"/>
    </row>
    <row r="25">
      <c r="A25" s="29" t="n"/>
      <c r="D25" s="29" t="n"/>
    </row>
    <row r="26">
      <c r="A26" s="29" t="n"/>
      <c r="D26" s="2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2" customWidth="1" min="4" max="4"/>
    <col width="13" customWidth="1" min="5" max="5"/>
    <col width="16" customWidth="1" min="6" max="6"/>
    <col width="12" customWidth="1" min="7" max="7"/>
    <col width="13" customWidth="1" min="8" max="8"/>
    <col width="13" customWidth="1" min="9" max="9"/>
    <col width="13" customWidth="1" min="10" max="10"/>
    <col width="20" customWidth="1" min="11" max="11"/>
    <col width="11" customWidth="1" min="12" max="12"/>
    <col width="14" customWidth="1" min="13" max="13"/>
    <col width="9" customWidth="1" min="14" max="14"/>
    <col width="16" customWidth="1" min="15" max="15"/>
    <col hidden="1" width="13" customWidth="1" min="16" max="16"/>
  </cols>
  <sheetData>
    <row r="1">
      <c r="A1" s="5" t="inlineStr">
        <is>
          <t>Propostas</t>
        </is>
      </c>
    </row>
    <row r="2">
      <c r="A2" s="27" t="inlineStr">
        <is>
          <t>Uma linha por oportunidade. Atualize a etapa conforme avança; ao fechar, marque Ganha ou Perdida e a data.</t>
        </is>
      </c>
    </row>
    <row r="4" ht="26" customHeight="1">
      <c r="A4" s="18" t="inlineStr">
        <is>
          <t>Cliente</t>
        </is>
      </c>
      <c r="B4" s="18" t="inlineStr">
        <is>
          <t>Proposta</t>
        </is>
      </c>
      <c r="C4" s="18" t="inlineStr">
        <is>
          <t>Origem</t>
        </is>
      </c>
      <c r="D4" s="18" t="inlineStr">
        <is>
          <t>Responsável</t>
        </is>
      </c>
      <c r="E4" s="18" t="inlineStr">
        <is>
          <t>Valor (R$)</t>
        </is>
      </c>
      <c r="F4" s="18" t="inlineStr">
        <is>
          <t>Etapa</t>
        </is>
      </c>
      <c r="G4" s="18" t="inlineStr">
        <is>
          <t>Data de entrada</t>
        </is>
      </c>
      <c r="H4" s="18" t="inlineStr">
        <is>
          <t>Última movimentação</t>
        </is>
      </c>
      <c r="I4" s="18" t="inlineStr">
        <is>
          <t>Fechamento previsto</t>
        </is>
      </c>
      <c r="J4" s="18" t="inlineStr">
        <is>
          <t>Data de fechamento</t>
        </is>
      </c>
      <c r="K4" s="18" t="inlineStr">
        <is>
          <t>Motivo (se perdida)</t>
        </is>
      </c>
      <c r="L4" s="18" t="inlineStr">
        <is>
          <t>Probabilidade</t>
        </is>
      </c>
      <c r="M4" s="18" t="inlineStr">
        <is>
          <t>Valor ponderado</t>
        </is>
      </c>
      <c r="N4" s="18" t="inlineStr">
        <is>
          <t>Dias parada</t>
        </is>
      </c>
      <c r="O4" s="18" t="inlineStr">
        <is>
          <t>Situação</t>
        </is>
      </c>
    </row>
    <row r="5">
      <c r="A5" s="29" t="inlineStr">
        <is>
          <t>Loja Verde</t>
        </is>
      </c>
      <c r="B5" s="29" t="inlineStr">
        <is>
          <t>Site institucional</t>
        </is>
      </c>
      <c r="C5" s="33" t="inlineStr">
        <is>
          <t>Indicação</t>
        </is>
      </c>
      <c r="D5" s="33" t="inlineStr">
        <is>
          <t>Ana</t>
        </is>
      </c>
      <c r="E5" s="31" t="n">
        <v>24000</v>
      </c>
      <c r="F5" s="33" t="inlineStr">
        <is>
          <t>Ganha</t>
        </is>
      </c>
      <c r="G5" s="34" t="n">
        <v>46205</v>
      </c>
      <c r="H5" s="34" t="n">
        <v>46231</v>
      </c>
      <c r="I5" s="34" t="n">
        <v>46233</v>
      </c>
      <c r="J5" s="34" t="n">
        <v>46231</v>
      </c>
      <c r="K5" s="29" t="n"/>
      <c r="L5" s="24">
        <f>IF(F5="","",IFERROR(INDEX(Config!$B$11:$B$16,MATCH(F5,Config!$A$11:$A$16,0)),0))</f>
        <v>1</v>
      </c>
      <c r="M5" s="23">
        <f>IF(OR(F5="",E5=""),"",E5*L5)</f>
        <v>24000</v>
      </c>
      <c r="N5" s="26">
        <f>IF(OR(F5="",F5="Ganha",F5="Perdida"),"",Config!$B$5-IF(H5="",G5,H5))</f>
        <v/>
      </c>
      <c r="O5" s="22" t="str">
        <f>IF(F5="","",IF(F5="Ganha","Fechada",IF(F5="Perdida","Perdida",IF(AND(I5&lt;&gt;"",I5&lt;Config!$B$5),"Fechamento vencido",IF(N5&gt;Config!$B$7,"Parada","Ativa")))))</f>
        <v>Fechada</v>
      </c>
      <c r="P5" s="35">
        <f>IF(OR(F5="",O5="Fechada",O5="Perdida"),0,IF(O5="Fechamento vencido",3000,IF(O5="Parada",2000,1000))+MIN(N5,500)+E5/1000000-ROW()/100000)</f>
        <v>0</v>
      </c>
    </row>
    <row r="6">
      <c r="A6" s="29" t="inlineStr">
        <is>
          <t>Bistrô 42</t>
        </is>
      </c>
      <c r="B6" s="29" t="inlineStr">
        <is>
          <t>Campanha de fim de ano</t>
        </is>
      </c>
      <c r="C6" s="33" t="inlineStr">
        <is>
          <t>Instagram</t>
        </is>
      </c>
      <c r="D6" s="33" t="inlineStr">
        <is>
          <t>Carla</t>
        </is>
      </c>
      <c r="E6" s="31" t="n">
        <v>38000</v>
      </c>
      <c r="F6" s="33" t="inlineStr">
        <is>
          <t>Ganha</t>
        </is>
      </c>
      <c r="G6" s="34" t="n">
        <v>46223</v>
      </c>
      <c r="H6" s="34" t="n">
        <v>46259</v>
      </c>
      <c r="I6" s="34" t="n">
        <v>46264</v>
      </c>
      <c r="J6" s="34" t="n">
        <v>46259</v>
      </c>
      <c r="K6" s="29" t="n"/>
      <c r="L6" s="24">
        <f>IF(F6="","",IFERROR(INDEX(Config!$B$11:$B$16,MATCH(F6,Config!$A$11:$A$16,0)),0))</f>
        <v>1</v>
      </c>
      <c r="M6" s="23">
        <f>IF(OR(F6="",E6=""),"",E6*L6)</f>
        <v>38000</v>
      </c>
      <c r="N6" s="26">
        <f>IF(OR(F6="",F6="Ganha",F6="Perdida"),"",Config!$B$5-IF(H6="",G6,H6))</f>
        <v/>
      </c>
      <c r="O6" s="22" t="str">
        <f>IF(F6="","",IF(F6="Ganha","Fechada",IF(F6="Perdida","Perdida",IF(AND(I6&lt;&gt;"",I6&lt;Config!$B$5),"Fechamento vencido",IF(N6&gt;Config!$B$7,"Parada","Ativa")))))</f>
        <v>Fechada</v>
      </c>
      <c r="P6" s="35">
        <f>IF(OR(F6="",O6="Fechada",O6="Perdida"),0,IF(O6="Fechamento vencido",3000,IF(O6="Parada",2000,1000))+MIN(N6,500)+E6/1000000-ROW()/100000)</f>
        <v>0</v>
      </c>
    </row>
    <row r="7">
      <c r="A7" s="29" t="inlineStr">
        <is>
          <t>Padaria do Sol</t>
        </is>
      </c>
      <c r="B7" s="29" t="inlineStr">
        <is>
          <t>Identidade visual</t>
        </is>
      </c>
      <c r="C7" s="33" t="inlineStr">
        <is>
          <t>Indicação</t>
        </is>
      </c>
      <c r="D7" s="33" t="inlineStr">
        <is>
          <t>Bruno</t>
        </is>
      </c>
      <c r="E7" s="31" t="n">
        <v>9500</v>
      </c>
      <c r="F7" s="33" t="inlineStr">
        <is>
          <t>Ganha</t>
        </is>
      </c>
      <c r="G7" s="34" t="n">
        <v>46183</v>
      </c>
      <c r="H7" s="34" t="n">
        <v>46213</v>
      </c>
      <c r="I7" s="34" t="n">
        <v>46218</v>
      </c>
      <c r="J7" s="34" t="n">
        <v>46213</v>
      </c>
      <c r="K7" s="29" t="n"/>
      <c r="L7" s="24">
        <f>IF(F7="","",IFERROR(INDEX(Config!$B$11:$B$16,MATCH(F7,Config!$A$11:$A$16,0)),0))</f>
        <v>1</v>
      </c>
      <c r="M7" s="23">
        <f>IF(OR(F7="",E7=""),"",E7*L7)</f>
        <v>9500</v>
      </c>
      <c r="N7" s="26">
        <f>IF(OR(F7="",F7="Ganha",F7="Perdida"),"",Config!$B$5-IF(H7="",G7,H7))</f>
        <v/>
      </c>
      <c r="O7" s="22" t="str">
        <f>IF(F7="","",IF(F7="Ganha","Fechada",IF(F7="Perdida","Perdida",IF(AND(I7&lt;&gt;"",I7&lt;Config!$B$5),"Fechamento vencido",IF(N7&gt;Config!$B$7,"Parada","Ativa")))))</f>
        <v>Fechada</v>
      </c>
      <c r="P7" s="35">
        <f>IF(OR(F7="",O7="Fechada",O7="Perdida"),0,IF(O7="Fechamento vencido",3000,IF(O7="Parada",2000,1000))+MIN(N7,500)+E7/1000000-ROW()/100000)</f>
        <v>0</v>
      </c>
    </row>
    <row r="8">
      <c r="A8" s="29" t="inlineStr">
        <is>
          <t>Horizonte</t>
        </is>
      </c>
      <c r="B8" s="29" t="inlineStr">
        <is>
          <t>Relatório anual</t>
        </is>
      </c>
      <c r="C8" s="33" t="inlineStr">
        <is>
          <t>Cliente antigo</t>
        </is>
      </c>
      <c r="D8" s="33" t="inlineStr">
        <is>
          <t>Ana</t>
        </is>
      </c>
      <c r="E8" s="31" t="n">
        <v>16000</v>
      </c>
      <c r="F8" s="33" t="inlineStr">
        <is>
          <t>Ganha</t>
        </is>
      </c>
      <c r="G8" s="34" t="n">
        <v>46246</v>
      </c>
      <c r="H8" s="34" t="n">
        <v>46267</v>
      </c>
      <c r="I8" s="34" t="n">
        <v>46270</v>
      </c>
      <c r="J8" s="34" t="n">
        <v>46267</v>
      </c>
      <c r="K8" s="29" t="n"/>
      <c r="L8" s="24">
        <f>IF(F8="","",IFERROR(INDEX(Config!$B$11:$B$16,MATCH(F8,Config!$A$11:$A$16,0)),0))</f>
        <v>1</v>
      </c>
      <c r="M8" s="23">
        <f>IF(OR(F8="",E8=""),"",E8*L8)</f>
        <v>16000</v>
      </c>
      <c r="N8" s="26">
        <f>IF(OR(F8="",F8="Ganha",F8="Perdida"),"",Config!$B$5-IF(H8="",G8,H8))</f>
        <v/>
      </c>
      <c r="O8" s="22" t="str">
        <f>IF(F8="","",IF(F8="Ganha","Fechada",IF(F8="Perdida","Perdida",IF(AND(I8&lt;&gt;"",I8&lt;Config!$B$5),"Fechamento vencido",IF(N8&gt;Config!$B$7,"Parada","Ativa")))))</f>
        <v>Fechada</v>
      </c>
      <c r="P8" s="35">
        <f>IF(OR(F8="",O8="Fechada",O8="Perdida"),0,IF(O8="Fechamento vencido",3000,IF(O8="Parada",2000,1000))+MIN(N8,500)+E8/1000000-ROW()/100000)</f>
        <v>0</v>
      </c>
    </row>
    <row r="9">
      <c r="A9" s="29" t="inlineStr">
        <is>
          <t>Aurora Móveis</t>
        </is>
      </c>
      <c r="B9" s="29" t="inlineStr">
        <is>
          <t>Catálogo digital</t>
        </is>
      </c>
      <c r="C9" s="33" t="inlineStr">
        <is>
          <t>Site</t>
        </is>
      </c>
      <c r="D9" s="33" t="inlineStr">
        <is>
          <t>Ana</t>
        </is>
      </c>
      <c r="E9" s="31" t="n">
        <v>22000</v>
      </c>
      <c r="F9" s="33" t="inlineStr">
        <is>
          <t>Negociação</t>
        </is>
      </c>
      <c r="G9" s="34" t="n">
        <v>46254</v>
      </c>
      <c r="H9" s="34" t="n">
        <v>46274</v>
      </c>
      <c r="I9" s="34" t="n">
        <v>46284</v>
      </c>
      <c r="J9" s="34" t="n"/>
      <c r="K9" s="29" t="n"/>
      <c r="L9" s="24">
        <f>IF(F9="","",IFERROR(INDEX(Config!$B$11:$B$16,MATCH(F9,Config!$A$11:$A$16,0)),0))</f>
        <v>0.75</v>
      </c>
      <c r="M9" s="23">
        <f>IF(OR(F9="",E9=""),"",E9*L9)</f>
        <v>16500</v>
      </c>
      <c r="N9" s="26">
        <f>IF(OR(F9="",F9="Ganha",F9="Perdida"),"",Config!$B$5-IF(H9="",G9,H9))</f>
        <v>8</v>
      </c>
      <c r="O9" s="22" t="str">
        <f>IF(F9="","",IF(F9="Ganha","Fechada",IF(F9="Perdida","Perdida",IF(AND(I9&lt;&gt;"",I9&lt;Config!$B$5),"Fechamento vencido",IF(N9&gt;Config!$B$7,"Parada","Ativa")))))</f>
        <v>Ativa</v>
      </c>
      <c r="P9" s="35">
        <f>IF(OR(F9="",O9="Fechada",O9="Perdida"),0,IF(O9="Fechamento vencido",3000,IF(O9="Parada",2000,1000))+MIN(N9,500)+E9/1000000-ROW()/100000)</f>
        <v>1008.02191</v>
      </c>
    </row>
    <row r="10">
      <c r="A10" s="29" t="inlineStr">
        <is>
          <t>Clínica Bem-Estar</t>
        </is>
      </c>
      <c r="B10" s="29" t="inlineStr">
        <is>
          <t>Gestão de redes (mensal)</t>
        </is>
      </c>
      <c r="C10" s="33" t="inlineStr">
        <is>
          <t>Instagram</t>
        </is>
      </c>
      <c r="D10" s="33" t="inlineStr">
        <is>
          <t>Carla</t>
        </is>
      </c>
      <c r="E10" s="31" t="n">
        <v>4500</v>
      </c>
      <c r="F10" s="33" t="inlineStr">
        <is>
          <t>Proposta enviada</t>
        </is>
      </c>
      <c r="G10" s="34" t="n">
        <v>46262</v>
      </c>
      <c r="H10" s="34" t="n">
        <v>46269</v>
      </c>
      <c r="I10" s="34" t="n">
        <v>46277</v>
      </c>
      <c r="J10" s="34" t="n"/>
      <c r="K10" s="29" t="n"/>
      <c r="L10" s="24">
        <f>IF(F10="","",IFERROR(INDEX(Config!$B$11:$B$16,MATCH(F10,Config!$A$11:$A$16,0)),0))</f>
        <v>0.5</v>
      </c>
      <c r="M10" s="23">
        <f>IF(OR(F10="",E10=""),"",E10*L10)</f>
        <v>2250</v>
      </c>
      <c r="N10" s="26">
        <f>IF(OR(F10="",F10="Ganha",F10="Perdida"),"",Config!$B$5-IF(H10="",G10,H10))</f>
        <v>13</v>
      </c>
      <c r="O10" s="22" t="str">
        <f>IF(F10="","",IF(F10="Ganha","Fechada",IF(F10="Perdida","Perdida",IF(AND(I10&lt;&gt;"",I10&lt;Config!$B$5),"Fechamento vencido",IF(N10&gt;Config!$B$7,"Parada","Ativa")))))</f>
        <v>Fechamento vencido</v>
      </c>
      <c r="P10" s="35">
        <f>IF(OR(F10="",O10="Fechada",O10="Perdida"),0,IF(O10="Fechamento vencido",3000,IF(O10="Parada",2000,1000))+MIN(N10,500)+E10/1000000-ROW()/100000)</f>
        <v>3013.0044</v>
      </c>
    </row>
    <row r="11">
      <c r="A11" s="29" t="inlineStr">
        <is>
          <t>Construtora Vale</t>
        </is>
      </c>
      <c r="B11" s="29" t="inlineStr">
        <is>
          <t>Vídeo institucional</t>
        </is>
      </c>
      <c r="C11" s="33" t="inlineStr">
        <is>
          <t>Evento</t>
        </is>
      </c>
      <c r="D11" s="33" t="inlineStr">
        <is>
          <t>Bruno</t>
        </is>
      </c>
      <c r="E11" s="31" t="n">
        <v>45000</v>
      </c>
      <c r="F11" s="33" t="inlineStr">
        <is>
          <t>Proposta enviada</t>
        </is>
      </c>
      <c r="G11" s="34" t="n">
        <v>46249</v>
      </c>
      <c r="H11" s="34" t="n">
        <v>46260</v>
      </c>
      <c r="I11" s="34" t="n">
        <v>46275</v>
      </c>
      <c r="J11" s="34" t="n"/>
      <c r="K11" s="29" t="n"/>
      <c r="L11" s="24">
        <f>IF(F11="","",IFERROR(INDEX(Config!$B$11:$B$16,MATCH(F11,Config!$A$11:$A$16,0)),0))</f>
        <v>0.5</v>
      </c>
      <c r="M11" s="23">
        <f>IF(OR(F11="",E11=""),"",E11*L11)</f>
        <v>22500</v>
      </c>
      <c r="N11" s="26">
        <f>IF(OR(F11="",F11="Ganha",F11="Perdida"),"",Config!$B$5-IF(H11="",G11,H11))</f>
        <v>22</v>
      </c>
      <c r="O11" s="22" t="str">
        <f>IF(F11="","",IF(F11="Ganha","Fechada",IF(F11="Perdida","Perdida",IF(AND(I11&lt;&gt;"",I11&lt;Config!$B$5),"Fechamento vencido",IF(N11&gt;Config!$B$7,"Parada","Ativa")))))</f>
        <v>Fechamento vencido</v>
      </c>
      <c r="P11" s="35">
        <f>IF(OR(F11="",O11="Fechada",O11="Perdida"),0,IF(O11="Fechamento vencido",3000,IF(O11="Parada",2000,1000))+MIN(N11,500)+E11/1000000-ROW()/100000)</f>
        <v>3022.04489</v>
      </c>
    </row>
    <row r="12">
      <c r="A12" s="29" t="inlineStr">
        <is>
          <t>Escola Nova Era</t>
        </is>
      </c>
      <c r="B12" s="29" t="inlineStr">
        <is>
          <t>Site + matrículas</t>
        </is>
      </c>
      <c r="C12" s="33" t="inlineStr">
        <is>
          <t>Indicação</t>
        </is>
      </c>
      <c r="D12" s="33" t="inlineStr">
        <is>
          <t>Ana</t>
        </is>
      </c>
      <c r="E12" s="31" t="n">
        <v>31000</v>
      </c>
      <c r="F12" s="33" t="inlineStr">
        <is>
          <t>Reunião feita</t>
        </is>
      </c>
      <c r="G12" s="34" t="n">
        <v>46268</v>
      </c>
      <c r="H12" s="34" t="n">
        <v>46273</v>
      </c>
      <c r="I12" s="34" t="n">
        <v>46295</v>
      </c>
      <c r="J12" s="34" t="n"/>
      <c r="K12" s="29" t="n"/>
      <c r="L12" s="24">
        <f>IF(F12="","",IFERROR(INDEX(Config!$B$11:$B$16,MATCH(F12,Config!$A$11:$A$16,0)),0))</f>
        <v>0.25</v>
      </c>
      <c r="M12" s="23">
        <f>IF(OR(F12="",E12=""),"",E12*L12)</f>
        <v>7750</v>
      </c>
      <c r="N12" s="26">
        <f>IF(OR(F12="",F12="Ganha",F12="Perdida"),"",Config!$B$5-IF(H12="",G12,H12))</f>
        <v>9</v>
      </c>
      <c r="O12" s="22" t="str">
        <f>IF(F12="","",IF(F12="Ganha","Fechada",IF(F12="Perdida","Perdida",IF(AND(I12&lt;&gt;"",I12&lt;Config!$B$5),"Fechamento vencido",IF(N12&gt;Config!$B$7,"Parada","Ativa")))))</f>
        <v>Ativa</v>
      </c>
      <c r="P12" s="35">
        <f>IF(OR(F12="",O12="Fechada",O12="Perdida"),0,IF(O12="Fechamento vencido",3000,IF(O12="Parada",2000,1000))+MIN(N12,500)+E12/1000000-ROW()/100000)</f>
        <v>1009.03088</v>
      </c>
    </row>
    <row r="13">
      <c r="A13" s="29" t="inlineStr">
        <is>
          <t>Dra. Lúcia (nutri)</t>
        </is>
      </c>
      <c r="B13" s="29" t="inlineStr">
        <is>
          <t>Identidade + Instagram</t>
        </is>
      </c>
      <c r="C13" s="33" t="inlineStr">
        <is>
          <t>Instagram</t>
        </is>
      </c>
      <c r="D13" s="33" t="inlineStr">
        <is>
          <t>Bruno</t>
        </is>
      </c>
      <c r="E13" s="31" t="n">
        <v>7800</v>
      </c>
      <c r="F13" s="33" t="inlineStr">
        <is>
          <t>Contato</t>
        </is>
      </c>
      <c r="G13" s="34" t="n">
        <v>46276</v>
      </c>
      <c r="H13" s="34" t="n"/>
      <c r="I13" s="34" t="n">
        <v>46305</v>
      </c>
      <c r="J13" s="34" t="n"/>
      <c r="K13" s="29" t="n"/>
      <c r="L13" s="24">
        <f>IF(F13="","",IFERROR(INDEX(Config!$B$11:$B$16,MATCH(F13,Config!$A$11:$A$16,0)),0))</f>
        <v>0.1</v>
      </c>
      <c r="M13" s="23">
        <f>IF(OR(F13="",E13=""),"",E13*L13)</f>
        <v>780</v>
      </c>
      <c r="N13" s="26">
        <f>IF(OR(F13="",F13="Ganha",F13="Perdida"),"",Config!$B$5-IF(H13="",G13,H13))</f>
        <v>6</v>
      </c>
      <c r="O13" s="22" t="str">
        <f>IF(F13="","",IF(F13="Ganha","Fechada",IF(F13="Perdida","Perdida",IF(AND(I13&lt;&gt;"",I13&lt;Config!$B$5),"Fechamento vencido",IF(N13&gt;Config!$B$7,"Parada","Ativa")))))</f>
        <v>Ativa</v>
      </c>
      <c r="P13" s="35">
        <f>IF(OR(F13="",O13="Fechada",O13="Perdida"),0,IF(O13="Fechamento vencido",3000,IF(O13="Parada",2000,1000))+MIN(N13,500)+E13/1000000-ROW()/100000)</f>
        <v>1006.00767</v>
      </c>
    </row>
    <row r="14">
      <c r="A14" s="29" t="inlineStr">
        <is>
          <t>Café Central</t>
        </is>
      </c>
      <c r="B14" s="29" t="inlineStr">
        <is>
          <t>Cardápio e fachada</t>
        </is>
      </c>
      <c r="C14" s="33" t="inlineStr">
        <is>
          <t>Cliente antigo</t>
        </is>
      </c>
      <c r="D14" s="33" t="inlineStr">
        <is>
          <t>Carla</t>
        </is>
      </c>
      <c r="E14" s="31" t="n">
        <v>6200</v>
      </c>
      <c r="F14" s="33" t="inlineStr">
        <is>
          <t>Negociação</t>
        </is>
      </c>
      <c r="G14" s="34" t="n">
        <v>46266</v>
      </c>
      <c r="H14" s="34" t="n">
        <v>46277</v>
      </c>
      <c r="I14" s="34" t="n">
        <v>46285</v>
      </c>
      <c r="J14" s="34" t="n"/>
      <c r="K14" s="29" t="n"/>
      <c r="L14" s="24">
        <f>IF(F14="","",IFERROR(INDEX(Config!$B$11:$B$16,MATCH(F14,Config!$A$11:$A$16,0)),0))</f>
        <v>0.75</v>
      </c>
      <c r="M14" s="23">
        <f>IF(OR(F14="",E14=""),"",E14*L14)</f>
        <v>4650</v>
      </c>
      <c r="N14" s="26">
        <f>IF(OR(F14="",F14="Ganha",F14="Perdida"),"",Config!$B$5-IF(H14="",G14,H14))</f>
        <v>5</v>
      </c>
      <c r="O14" s="22" t="str">
        <f>IF(F14="","",IF(F14="Ganha","Fechada",IF(F14="Perdida","Perdida",IF(AND(I14&lt;&gt;"",I14&lt;Config!$B$5),"Fechamento vencido",IF(N14&gt;Config!$B$7,"Parada","Ativa")))))</f>
        <v>Ativa</v>
      </c>
      <c r="P14" s="35">
        <f>IF(OR(F14="",O14="Fechada",O14="Perdida"),0,IF(O14="Fechamento vencido",3000,IF(O14="Parada",2000,1000))+MIN(N14,500)+E14/1000000-ROW()/100000)</f>
        <v>1005.00606</v>
      </c>
    </row>
    <row r="15">
      <c r="A15" s="29" t="inlineStr">
        <is>
          <t>Tech Solutions</t>
        </is>
      </c>
      <c r="B15" s="29" t="inlineStr">
        <is>
          <t>Landing page</t>
        </is>
      </c>
      <c r="C15" s="33" t="inlineStr">
        <is>
          <t>Site</t>
        </is>
      </c>
      <c r="D15" s="33" t="inlineStr">
        <is>
          <t>Diego</t>
        </is>
      </c>
      <c r="E15" s="31" t="n">
        <v>12000</v>
      </c>
      <c r="F15" s="33" t="inlineStr">
        <is>
          <t>Perdida</t>
        </is>
      </c>
      <c r="G15" s="34" t="n">
        <v>46218</v>
      </c>
      <c r="H15" s="34" t="n">
        <v>46239</v>
      </c>
      <c r="I15" s="34" t="n">
        <v>46244</v>
      </c>
      <c r="J15" s="34" t="n">
        <v>46239</v>
      </c>
      <c r="K15" s="29" t="inlineStr">
        <is>
          <t>Preço</t>
        </is>
      </c>
      <c r="L15" s="24">
        <f>IF(F15="","",IFERROR(INDEX(Config!$B$11:$B$16,MATCH(F15,Config!$A$11:$A$16,0)),0))</f>
        <v>0</v>
      </c>
      <c r="M15" s="23">
        <f>IF(OR(F15="",E15=""),"",E15*L15)</f>
        <v>0</v>
      </c>
      <c r="N15" s="26">
        <f>IF(OR(F15="",F15="Ganha",F15="Perdida"),"",Config!$B$5-IF(H15="",G15,H15))</f>
        <v/>
      </c>
      <c r="O15" s="22" t="str">
        <f>IF(F15="","",IF(F15="Ganha","Fechada",IF(F15="Perdida","Perdida",IF(AND(I15&lt;&gt;"",I15&lt;Config!$B$5),"Fechamento vencido",IF(N15&gt;Config!$B$7,"Parada","Ativa")))))</f>
        <v>Perdida</v>
      </c>
      <c r="P15" s="35">
        <f>IF(OR(F15="",O15="Fechada",O15="Perdida"),0,IF(O15="Fechamento vencido",3000,IF(O15="Parada",2000,1000))+MIN(N15,500)+E15/1000000-ROW()/100000)</f>
        <v>0</v>
      </c>
    </row>
    <row r="16">
      <c r="A16" s="29" t="inlineStr">
        <is>
          <t>Academia Forte</t>
        </is>
      </c>
      <c r="B16" s="29" t="inlineStr">
        <is>
          <t>Campanha de matrícula</t>
        </is>
      </c>
      <c r="C16" s="33" t="inlineStr">
        <is>
          <t>Evento</t>
        </is>
      </c>
      <c r="D16" s="33" t="inlineStr">
        <is>
          <t>Carla</t>
        </is>
      </c>
      <c r="E16" s="31" t="n">
        <v>18000</v>
      </c>
      <c r="F16" s="33" t="inlineStr">
        <is>
          <t>Perdida</t>
        </is>
      </c>
      <c r="G16" s="34" t="n">
        <v>46225</v>
      </c>
      <c r="H16" s="34" t="n">
        <v>46254</v>
      </c>
      <c r="I16" s="34" t="n">
        <v>46259</v>
      </c>
      <c r="J16" s="34" t="n">
        <v>46254</v>
      </c>
      <c r="K16" s="29" t="inlineStr">
        <is>
          <t>Escolheu concorrente</t>
        </is>
      </c>
      <c r="L16" s="24">
        <f>IF(F16="","",IFERROR(INDEX(Config!$B$11:$B$16,MATCH(F16,Config!$A$11:$A$16,0)),0))</f>
        <v>0</v>
      </c>
      <c r="M16" s="23">
        <f>IF(OR(F16="",E16=""),"",E16*L16)</f>
        <v>0</v>
      </c>
      <c r="N16" s="26">
        <f>IF(OR(F16="",F16="Ganha",F16="Perdida"),"",Config!$B$5-IF(H16="",G16,H16))</f>
        <v/>
      </c>
      <c r="O16" s="22" t="str">
        <f>IF(F16="","",IF(F16="Ganha","Fechada",IF(F16="Perdida","Perdida",IF(AND(I16&lt;&gt;"",I16&lt;Config!$B$5),"Fechamento vencido",IF(N16&gt;Config!$B$7,"Parada","Ativa")))))</f>
        <v>Perdida</v>
      </c>
      <c r="P16" s="35">
        <f>IF(OR(F16="",O16="Fechada",O16="Perdida"),0,IF(O16="Fechamento vencido",3000,IF(O16="Parada",2000,1000))+MIN(N16,500)+E16/1000000-ROW()/100000)</f>
        <v>0</v>
      </c>
    </row>
    <row r="17">
      <c r="A17" s="29" t="inlineStr">
        <is>
          <t>Pet Shop Amigo</t>
        </is>
      </c>
      <c r="B17" s="29" t="inlineStr">
        <is>
          <t>Redes sociais (mensal)</t>
        </is>
      </c>
      <c r="C17" s="33" t="inlineStr">
        <is>
          <t>Instagram</t>
        </is>
      </c>
      <c r="D17" s="33" t="inlineStr">
        <is>
          <t>Carla</t>
        </is>
      </c>
      <c r="E17" s="31" t="n">
        <v>3200</v>
      </c>
      <c r="F17" s="33" t="inlineStr">
        <is>
          <t>Perdida</t>
        </is>
      </c>
      <c r="G17" s="34" t="n">
        <v>46235</v>
      </c>
      <c r="H17" s="34" t="n">
        <v>46252</v>
      </c>
      <c r="I17" s="34" t="n">
        <v>46264</v>
      </c>
      <c r="J17" s="34" t="n">
        <v>46264</v>
      </c>
      <c r="K17" s="29" t="inlineStr">
        <is>
          <t>Sem resposta</t>
        </is>
      </c>
      <c r="L17" s="24">
        <f>IF(F17="","",IFERROR(INDEX(Config!$B$11:$B$16,MATCH(F17,Config!$A$11:$A$16,0)),0))</f>
        <v>0</v>
      </c>
      <c r="M17" s="23">
        <f>IF(OR(F17="",E17=""),"",E17*L17)</f>
        <v>0</v>
      </c>
      <c r="N17" s="26">
        <f>IF(OR(F17="",F17="Ganha",F17="Perdida"),"",Config!$B$5-IF(H17="",G17,H17))</f>
        <v/>
      </c>
      <c r="O17" s="22" t="str">
        <f>IF(F17="","",IF(F17="Ganha","Fechada",IF(F17="Perdida","Perdida",IF(AND(I17&lt;&gt;"",I17&lt;Config!$B$5),"Fechamento vencido",IF(N17&gt;Config!$B$7,"Parada","Ativa")))))</f>
        <v>Perdida</v>
      </c>
      <c r="P17" s="35">
        <f>IF(OR(F17="",O17="Fechada",O17="Perdida"),0,IF(O17="Fechamento vencido",3000,IF(O17="Parada",2000,1000))+MIN(N17,500)+E17/1000000-ROW()/100000)</f>
        <v>0</v>
      </c>
    </row>
    <row r="18">
      <c r="A18" s="29" t="inlineStr">
        <is>
          <t>Studio Yoga</t>
        </is>
      </c>
      <c r="B18" s="29" t="inlineStr">
        <is>
          <t>Site simples</t>
        </is>
      </c>
      <c r="C18" s="33" t="inlineStr">
        <is>
          <t>Site</t>
        </is>
      </c>
      <c r="D18" s="33" t="inlineStr">
        <is>
          <t>Diego</t>
        </is>
      </c>
      <c r="E18" s="31" t="n">
        <v>8500</v>
      </c>
      <c r="F18" s="33" t="inlineStr">
        <is>
          <t>Contato</t>
        </is>
      </c>
      <c r="G18" s="34" t="n">
        <v>46244</v>
      </c>
      <c r="H18" s="34" t="n">
        <v>46246</v>
      </c>
      <c r="I18" s="34" t="n">
        <v>46280</v>
      </c>
      <c r="J18" s="34" t="n"/>
      <c r="K18" s="29" t="n"/>
      <c r="L18" s="24">
        <f>IF(F18="","",IFERROR(INDEX(Config!$B$11:$B$16,MATCH(F18,Config!$A$11:$A$16,0)),0))</f>
        <v>0.1</v>
      </c>
      <c r="M18" s="23">
        <f>IF(OR(F18="",E18=""),"",E18*L18)</f>
        <v>850</v>
      </c>
      <c r="N18" s="26">
        <f>IF(OR(F18="",F18="Ganha",F18="Perdida"),"",Config!$B$5-IF(H18="",G18,H18))</f>
        <v>36</v>
      </c>
      <c r="O18" s="22" t="str">
        <f>IF(F18="","",IF(F18="Ganha","Fechada",IF(F18="Perdida","Perdida",IF(AND(I18&lt;&gt;"",I18&lt;Config!$B$5),"Fechamento vencido",IF(N18&gt;Config!$B$7,"Parada","Ativa")))))</f>
        <v>Fechamento vencido</v>
      </c>
      <c r="P18" s="35">
        <f>IF(OR(F18="",O18="Fechada",O18="Perdida"),0,IF(O18="Fechamento vencido",3000,IF(O18="Parada",2000,1000))+MIN(N18,500)+E18/1000000-ROW()/100000)</f>
        <v>3036.00832</v>
      </c>
    </row>
    <row r="19">
      <c r="A19" s="29" t="n"/>
      <c r="B19" s="29" t="n"/>
      <c r="C19" s="33" t="n"/>
      <c r="D19" s="33" t="n"/>
      <c r="E19" s="31" t="n"/>
      <c r="F19" s="33" t="n"/>
      <c r="G19" s="34" t="n"/>
      <c r="H19" s="34" t="n"/>
      <c r="I19" s="34" t="n"/>
      <c r="J19" s="34" t="n"/>
      <c r="K19" s="29" t="n"/>
      <c r="L19" s="24">
        <f>IF(F19="","",IFERROR(INDEX(Config!$B$11:$B$16,MATCH(F19,Config!$A$11:$A$16,0)),0))</f>
        <v/>
      </c>
      <c r="M19" s="23">
        <f>IF(OR(F19="",E19=""),"",E19*L19)</f>
        <v/>
      </c>
      <c r="N19" s="26">
        <f>IF(OR(F19="",F19="Ganha",F19="Perdida"),"",Config!$B$5-IF(H19="",G19,H19))</f>
        <v/>
      </c>
      <c r="O19" s="22">
        <f>IF(F19="","",IF(F19="Ganha","Fechada",IF(F19="Perdida","Perdida",IF(AND(I19&lt;&gt;"",I19&lt;Config!$B$5),"Fechamento vencido",IF(N19&gt;Config!$B$7,"Parada","Ativa")))))</f>
        <v/>
      </c>
      <c r="P19" s="35">
        <f>IF(OR(F19="",O19="Fechada",O19="Perdida"),0,IF(O19="Fechamento vencido",3000,IF(O19="Parada",2000,1000))+MIN(N19,500)+E19/1000000-ROW()/100000)</f>
        <v>0</v>
      </c>
    </row>
    <row r="20">
      <c r="A20" s="29" t="n"/>
      <c r="B20" s="29" t="n"/>
      <c r="C20" s="33" t="n"/>
      <c r="D20" s="33" t="n"/>
      <c r="E20" s="31" t="n"/>
      <c r="F20" s="33" t="n"/>
      <c r="G20" s="34" t="n"/>
      <c r="H20" s="34" t="n"/>
      <c r="I20" s="34" t="n"/>
      <c r="J20" s="34" t="n"/>
      <c r="K20" s="29" t="n"/>
      <c r="L20" s="24">
        <f>IF(F20="","",IFERROR(INDEX(Config!$B$11:$B$16,MATCH(F20,Config!$A$11:$A$16,0)),0))</f>
        <v/>
      </c>
      <c r="M20" s="23">
        <f>IF(OR(F20="",E20=""),"",E20*L20)</f>
        <v/>
      </c>
      <c r="N20" s="26">
        <f>IF(OR(F20="",F20="Ganha",F20="Perdida"),"",Config!$B$5-IF(H20="",G20,H20))</f>
        <v/>
      </c>
      <c r="O20" s="22">
        <f>IF(F20="","",IF(F20="Ganha","Fechada",IF(F20="Perdida","Perdida",IF(AND(I20&lt;&gt;"",I20&lt;Config!$B$5),"Fechamento vencido",IF(N20&gt;Config!$B$7,"Parada","Ativa")))))</f>
        <v/>
      </c>
      <c r="P20" s="35">
        <f>IF(OR(F20="",O20="Fechada",O20="Perdida"),0,IF(O20="Fechamento vencido",3000,IF(O20="Parada",2000,1000))+MIN(N20,500)+E20/1000000-ROW()/100000)</f>
        <v>0</v>
      </c>
    </row>
    <row r="21">
      <c r="A21" s="29" t="n"/>
      <c r="B21" s="29" t="n"/>
      <c r="C21" s="33" t="n"/>
      <c r="D21" s="33" t="n"/>
      <c r="E21" s="31" t="n"/>
      <c r="F21" s="33" t="n"/>
      <c r="G21" s="34" t="n"/>
      <c r="H21" s="34" t="n"/>
      <c r="I21" s="34" t="n"/>
      <c r="J21" s="34" t="n"/>
      <c r="K21" s="29" t="n"/>
      <c r="L21" s="24">
        <f>IF(F21="","",IFERROR(INDEX(Config!$B$11:$B$16,MATCH(F21,Config!$A$11:$A$16,0)),0))</f>
        <v/>
      </c>
      <c r="M21" s="23">
        <f>IF(OR(F21="",E21=""),"",E21*L21)</f>
        <v/>
      </c>
      <c r="N21" s="26">
        <f>IF(OR(F21="",F21="Ganha",F21="Perdida"),"",Config!$B$5-IF(H21="",G21,H21))</f>
        <v/>
      </c>
      <c r="O21" s="22">
        <f>IF(F21="","",IF(F21="Ganha","Fechada",IF(F21="Perdida","Perdida",IF(AND(I21&lt;&gt;"",I21&lt;Config!$B$5),"Fechamento vencido",IF(N21&gt;Config!$B$7,"Parada","Ativa")))))</f>
        <v/>
      </c>
      <c r="P21" s="35">
        <f>IF(OR(F21="",O21="Fechada",O21="Perdida"),0,IF(O21="Fechamento vencido",3000,IF(O21="Parada",2000,1000))+MIN(N21,500)+E21/1000000-ROW()/100000)</f>
        <v>0</v>
      </c>
    </row>
    <row r="22">
      <c r="A22" s="29" t="n"/>
      <c r="B22" s="29" t="n"/>
      <c r="C22" s="33" t="n"/>
      <c r="D22" s="33" t="n"/>
      <c r="E22" s="31" t="n"/>
      <c r="F22" s="33" t="n"/>
      <c r="G22" s="34" t="n"/>
      <c r="H22" s="34" t="n"/>
      <c r="I22" s="34" t="n"/>
      <c r="J22" s="34" t="n"/>
      <c r="K22" s="29" t="n"/>
      <c r="L22" s="24">
        <f>IF(F22="","",IFERROR(INDEX(Config!$B$11:$B$16,MATCH(F22,Config!$A$11:$A$16,0)),0))</f>
        <v/>
      </c>
      <c r="M22" s="23">
        <f>IF(OR(F22="",E22=""),"",E22*L22)</f>
        <v/>
      </c>
      <c r="N22" s="26">
        <f>IF(OR(F22="",F22="Ganha",F22="Perdida"),"",Config!$B$5-IF(H22="",G22,H22))</f>
        <v/>
      </c>
      <c r="O22" s="22">
        <f>IF(F22="","",IF(F22="Ganha","Fechada",IF(F22="Perdida","Perdida",IF(AND(I22&lt;&gt;"",I22&lt;Config!$B$5),"Fechamento vencido",IF(N22&gt;Config!$B$7,"Parada","Ativa")))))</f>
        <v/>
      </c>
      <c r="P22" s="35">
        <f>IF(OR(F22="",O22="Fechada",O22="Perdida"),0,IF(O22="Fechamento vencido",3000,IF(O22="Parada",2000,1000))+MIN(N22,500)+E22/1000000-ROW()/100000)</f>
        <v>0</v>
      </c>
    </row>
    <row r="23">
      <c r="A23" s="29" t="n"/>
      <c r="B23" s="29" t="n"/>
      <c r="C23" s="33" t="n"/>
      <c r="D23" s="33" t="n"/>
      <c r="E23" s="31" t="n"/>
      <c r="F23" s="33" t="n"/>
      <c r="G23" s="34" t="n"/>
      <c r="H23" s="34" t="n"/>
      <c r="I23" s="34" t="n"/>
      <c r="J23" s="34" t="n"/>
      <c r="K23" s="29" t="n"/>
      <c r="L23" s="24">
        <f>IF(F23="","",IFERROR(INDEX(Config!$B$11:$B$16,MATCH(F23,Config!$A$11:$A$16,0)),0))</f>
        <v/>
      </c>
      <c r="M23" s="23">
        <f>IF(OR(F23="",E23=""),"",E23*L23)</f>
        <v/>
      </c>
      <c r="N23" s="26">
        <f>IF(OR(F23="",F23="Ganha",F23="Perdida"),"",Config!$B$5-IF(H23="",G23,H23))</f>
        <v/>
      </c>
      <c r="O23" s="22">
        <f>IF(F23="","",IF(F23="Ganha","Fechada",IF(F23="Perdida","Perdida",IF(AND(I23&lt;&gt;"",I23&lt;Config!$B$5),"Fechamento vencido",IF(N23&gt;Config!$B$7,"Parada","Ativa")))))</f>
        <v/>
      </c>
      <c r="P23" s="35">
        <f>IF(OR(F23="",O23="Fechada",O23="Perdida"),0,IF(O23="Fechamento vencido",3000,IF(O23="Parada",2000,1000))+MIN(N23,500)+E23/1000000-ROW()/100000)</f>
        <v>0</v>
      </c>
    </row>
    <row r="24">
      <c r="A24" s="29" t="n"/>
      <c r="B24" s="29" t="n"/>
      <c r="C24" s="33" t="n"/>
      <c r="D24" s="33" t="n"/>
      <c r="E24" s="31" t="n"/>
      <c r="F24" s="33" t="n"/>
      <c r="G24" s="34" t="n"/>
      <c r="H24" s="34" t="n"/>
      <c r="I24" s="34" t="n"/>
      <c r="J24" s="34" t="n"/>
      <c r="K24" s="29" t="n"/>
      <c r="L24" s="24">
        <f>IF(F24="","",IFERROR(INDEX(Config!$B$11:$B$16,MATCH(F24,Config!$A$11:$A$16,0)),0))</f>
        <v/>
      </c>
      <c r="M24" s="23">
        <f>IF(OR(F24="",E24=""),"",E24*L24)</f>
        <v/>
      </c>
      <c r="N24" s="26">
        <f>IF(OR(F24="",F24="Ganha",F24="Perdida"),"",Config!$B$5-IF(H24="",G24,H24))</f>
        <v/>
      </c>
      <c r="O24" s="22">
        <f>IF(F24="","",IF(F24="Ganha","Fechada",IF(F24="Perdida","Perdida",IF(AND(I24&lt;&gt;"",I24&lt;Config!$B$5),"Fechamento vencido",IF(N24&gt;Config!$B$7,"Parada","Ativa")))))</f>
        <v/>
      </c>
      <c r="P24" s="35">
        <f>IF(OR(F24="",O24="Fechada",O24="Perdida"),0,IF(O24="Fechamento vencido",3000,IF(O24="Parada",2000,1000))+MIN(N24,500)+E24/1000000-ROW()/100000)</f>
        <v>0</v>
      </c>
    </row>
    <row r="25">
      <c r="A25" s="29" t="n"/>
      <c r="B25" s="29" t="n"/>
      <c r="C25" s="33" t="n"/>
      <c r="D25" s="33" t="n"/>
      <c r="E25" s="31" t="n"/>
      <c r="F25" s="33" t="n"/>
      <c r="G25" s="34" t="n"/>
      <c r="H25" s="34" t="n"/>
      <c r="I25" s="34" t="n"/>
      <c r="J25" s="34" t="n"/>
      <c r="K25" s="29" t="n"/>
      <c r="L25" s="24">
        <f>IF(F25="","",IFERROR(INDEX(Config!$B$11:$B$16,MATCH(F25,Config!$A$11:$A$16,0)),0))</f>
        <v/>
      </c>
      <c r="M25" s="23">
        <f>IF(OR(F25="",E25=""),"",E25*L25)</f>
        <v/>
      </c>
      <c r="N25" s="26">
        <f>IF(OR(F25="",F25="Ganha",F25="Perdida"),"",Config!$B$5-IF(H25="",G25,H25))</f>
        <v/>
      </c>
      <c r="O25" s="22">
        <f>IF(F25="","",IF(F25="Ganha","Fechada",IF(F25="Perdida","Perdida",IF(AND(I25&lt;&gt;"",I25&lt;Config!$B$5),"Fechamento vencido",IF(N25&gt;Config!$B$7,"Parada","Ativa")))))</f>
        <v/>
      </c>
      <c r="P25" s="35">
        <f>IF(OR(F25="",O25="Fechada",O25="Perdida"),0,IF(O25="Fechamento vencido",3000,IF(O25="Parada",2000,1000))+MIN(N25,500)+E25/1000000-ROW()/100000)</f>
        <v>0</v>
      </c>
    </row>
    <row r="26">
      <c r="A26" s="29" t="n"/>
      <c r="B26" s="29" t="n"/>
      <c r="C26" s="33" t="n"/>
      <c r="D26" s="33" t="n"/>
      <c r="E26" s="31" t="n"/>
      <c r="F26" s="33" t="n"/>
      <c r="G26" s="34" t="n"/>
      <c r="H26" s="34" t="n"/>
      <c r="I26" s="34" t="n"/>
      <c r="J26" s="34" t="n"/>
      <c r="K26" s="29" t="n"/>
      <c r="L26" s="24">
        <f>IF(F26="","",IFERROR(INDEX(Config!$B$11:$B$16,MATCH(F26,Config!$A$11:$A$16,0)),0))</f>
        <v/>
      </c>
      <c r="M26" s="23">
        <f>IF(OR(F26="",E26=""),"",E26*L26)</f>
        <v/>
      </c>
      <c r="N26" s="26">
        <f>IF(OR(F26="",F26="Ganha",F26="Perdida"),"",Config!$B$5-IF(H26="",G26,H26))</f>
        <v/>
      </c>
      <c r="O26" s="22">
        <f>IF(F26="","",IF(F26="Ganha","Fechada",IF(F26="Perdida","Perdida",IF(AND(I26&lt;&gt;"",I26&lt;Config!$B$5),"Fechamento vencido",IF(N26&gt;Config!$B$7,"Parada","Ativa")))))</f>
        <v/>
      </c>
      <c r="P26" s="35">
        <f>IF(OR(F26="",O26="Fechada",O26="Perdida"),0,IF(O26="Fechamento vencido",3000,IF(O26="Parada",2000,1000))+MIN(N26,500)+E26/1000000-ROW()/100000)</f>
        <v>0</v>
      </c>
    </row>
    <row r="27">
      <c r="A27" s="29" t="n"/>
      <c r="B27" s="29" t="n"/>
      <c r="C27" s="33" t="n"/>
      <c r="D27" s="33" t="n"/>
      <c r="E27" s="31" t="n"/>
      <c r="F27" s="33" t="n"/>
      <c r="G27" s="34" t="n"/>
      <c r="H27" s="34" t="n"/>
      <c r="I27" s="34" t="n"/>
      <c r="J27" s="34" t="n"/>
      <c r="K27" s="29" t="n"/>
      <c r="L27" s="24">
        <f>IF(F27="","",IFERROR(INDEX(Config!$B$11:$B$16,MATCH(F27,Config!$A$11:$A$16,0)),0))</f>
        <v/>
      </c>
      <c r="M27" s="23">
        <f>IF(OR(F27="",E27=""),"",E27*L27)</f>
        <v/>
      </c>
      <c r="N27" s="26">
        <f>IF(OR(F27="",F27="Ganha",F27="Perdida"),"",Config!$B$5-IF(H27="",G27,H27))</f>
        <v/>
      </c>
      <c r="O27" s="22">
        <f>IF(F27="","",IF(F27="Ganha","Fechada",IF(F27="Perdida","Perdida",IF(AND(I27&lt;&gt;"",I27&lt;Config!$B$5),"Fechamento vencido",IF(N27&gt;Config!$B$7,"Parada","Ativa")))))</f>
        <v/>
      </c>
      <c r="P27" s="35">
        <f>IF(OR(F27="",O27="Fechada",O27="Perdida"),0,IF(O27="Fechamento vencido",3000,IF(O27="Parada",2000,1000))+MIN(N27,500)+E27/1000000-ROW()/100000)</f>
        <v>0</v>
      </c>
    </row>
    <row r="28">
      <c r="A28" s="29" t="n"/>
      <c r="B28" s="29" t="n"/>
      <c r="C28" s="33" t="n"/>
      <c r="D28" s="33" t="n"/>
      <c r="E28" s="31" t="n"/>
      <c r="F28" s="33" t="n"/>
      <c r="G28" s="34" t="n"/>
      <c r="H28" s="34" t="n"/>
      <c r="I28" s="34" t="n"/>
      <c r="J28" s="34" t="n"/>
      <c r="K28" s="29" t="n"/>
      <c r="L28" s="24">
        <f>IF(F28="","",IFERROR(INDEX(Config!$B$11:$B$16,MATCH(F28,Config!$A$11:$A$16,0)),0))</f>
        <v/>
      </c>
      <c r="M28" s="23">
        <f>IF(OR(F28="",E28=""),"",E28*L28)</f>
        <v/>
      </c>
      <c r="N28" s="26">
        <f>IF(OR(F28="",F28="Ganha",F28="Perdida"),"",Config!$B$5-IF(H28="",G28,H28))</f>
        <v/>
      </c>
      <c r="O28" s="22">
        <f>IF(F28="","",IF(F28="Ganha","Fechada",IF(F28="Perdida","Perdida",IF(AND(I28&lt;&gt;"",I28&lt;Config!$B$5),"Fechamento vencido",IF(N28&gt;Config!$B$7,"Parada","Ativa")))))</f>
        <v/>
      </c>
      <c r="P28" s="35">
        <f>IF(OR(F28="",O28="Fechada",O28="Perdida"),0,IF(O28="Fechamento vencido",3000,IF(O28="Parada",2000,1000))+MIN(N28,500)+E28/1000000-ROW()/100000)</f>
        <v>0</v>
      </c>
    </row>
    <row r="29">
      <c r="A29" s="29" t="n"/>
      <c r="B29" s="29" t="n"/>
      <c r="C29" s="33" t="n"/>
      <c r="D29" s="33" t="n"/>
      <c r="E29" s="31" t="n"/>
      <c r="F29" s="33" t="n"/>
      <c r="G29" s="34" t="n"/>
      <c r="H29" s="34" t="n"/>
      <c r="I29" s="34" t="n"/>
      <c r="J29" s="34" t="n"/>
      <c r="K29" s="29" t="n"/>
      <c r="L29" s="24">
        <f>IF(F29="","",IFERROR(INDEX(Config!$B$11:$B$16,MATCH(F29,Config!$A$11:$A$16,0)),0))</f>
        <v/>
      </c>
      <c r="M29" s="23">
        <f>IF(OR(F29="",E29=""),"",E29*L29)</f>
        <v/>
      </c>
      <c r="N29" s="26">
        <f>IF(OR(F29="",F29="Ganha",F29="Perdida"),"",Config!$B$5-IF(H29="",G29,H29))</f>
        <v/>
      </c>
      <c r="O29" s="22">
        <f>IF(F29="","",IF(F29="Ganha","Fechada",IF(F29="Perdida","Perdida",IF(AND(I29&lt;&gt;"",I29&lt;Config!$B$5),"Fechamento vencido",IF(N29&gt;Config!$B$7,"Parada","Ativa")))))</f>
        <v/>
      </c>
      <c r="P29" s="35">
        <f>IF(OR(F29="",O29="Fechada",O29="Perdida"),0,IF(O29="Fechamento vencido",3000,IF(O29="Parada",2000,1000))+MIN(N29,500)+E29/1000000-ROW()/100000)</f>
        <v>0</v>
      </c>
    </row>
    <row r="30">
      <c r="A30" s="29" t="n"/>
      <c r="B30" s="29" t="n"/>
      <c r="C30" s="33" t="n"/>
      <c r="D30" s="33" t="n"/>
      <c r="E30" s="31" t="n"/>
      <c r="F30" s="33" t="n"/>
      <c r="G30" s="34" t="n"/>
      <c r="H30" s="34" t="n"/>
      <c r="I30" s="34" t="n"/>
      <c r="J30" s="34" t="n"/>
      <c r="K30" s="29" t="n"/>
      <c r="L30" s="24">
        <f>IF(F30="","",IFERROR(INDEX(Config!$B$11:$B$16,MATCH(F30,Config!$A$11:$A$16,0)),0))</f>
        <v/>
      </c>
      <c r="M30" s="23">
        <f>IF(OR(F30="",E30=""),"",E30*L30)</f>
        <v/>
      </c>
      <c r="N30" s="26">
        <f>IF(OR(F30="",F30="Ganha",F30="Perdida"),"",Config!$B$5-IF(H30="",G30,H30))</f>
        <v/>
      </c>
      <c r="O30" s="22">
        <f>IF(F30="","",IF(F30="Ganha","Fechada",IF(F30="Perdida","Perdida",IF(AND(I30&lt;&gt;"",I30&lt;Config!$B$5),"Fechamento vencido",IF(N30&gt;Config!$B$7,"Parada","Ativa")))))</f>
        <v/>
      </c>
      <c r="P30" s="35">
        <f>IF(OR(F30="",O30="Fechada",O30="Perdida"),0,IF(O30="Fechamento vencido",3000,IF(O30="Parada",2000,1000))+MIN(N30,500)+E30/1000000-ROW()/100000)</f>
        <v>0</v>
      </c>
    </row>
    <row r="31">
      <c r="A31" s="29" t="n"/>
      <c r="B31" s="29" t="n"/>
      <c r="C31" s="33" t="n"/>
      <c r="D31" s="33" t="n"/>
      <c r="E31" s="31" t="n"/>
      <c r="F31" s="33" t="n"/>
      <c r="G31" s="34" t="n"/>
      <c r="H31" s="34" t="n"/>
      <c r="I31" s="34" t="n"/>
      <c r="J31" s="34" t="n"/>
      <c r="K31" s="29" t="n"/>
      <c r="L31" s="24">
        <f>IF(F31="","",IFERROR(INDEX(Config!$B$11:$B$16,MATCH(F31,Config!$A$11:$A$16,0)),0))</f>
        <v/>
      </c>
      <c r="M31" s="23">
        <f>IF(OR(F31="",E31=""),"",E31*L31)</f>
        <v/>
      </c>
      <c r="N31" s="26">
        <f>IF(OR(F31="",F31="Ganha",F31="Perdida"),"",Config!$B$5-IF(H31="",G31,H31))</f>
        <v/>
      </c>
      <c r="O31" s="22">
        <f>IF(F31="","",IF(F31="Ganha","Fechada",IF(F31="Perdida","Perdida",IF(AND(I31&lt;&gt;"",I31&lt;Config!$B$5),"Fechamento vencido",IF(N31&gt;Config!$B$7,"Parada","Ativa")))))</f>
        <v/>
      </c>
      <c r="P31" s="35">
        <f>IF(OR(F31="",O31="Fechada",O31="Perdida"),0,IF(O31="Fechamento vencido",3000,IF(O31="Parada",2000,1000))+MIN(N31,500)+E31/1000000-ROW()/100000)</f>
        <v>0</v>
      </c>
    </row>
    <row r="32">
      <c r="A32" s="29" t="n"/>
      <c r="B32" s="29" t="n"/>
      <c r="C32" s="33" t="n"/>
      <c r="D32" s="33" t="n"/>
      <c r="E32" s="31" t="n"/>
      <c r="F32" s="33" t="n"/>
      <c r="G32" s="34" t="n"/>
      <c r="H32" s="34" t="n"/>
      <c r="I32" s="34" t="n"/>
      <c r="J32" s="34" t="n"/>
      <c r="K32" s="29" t="n"/>
      <c r="L32" s="24">
        <f>IF(F32="","",IFERROR(INDEX(Config!$B$11:$B$16,MATCH(F32,Config!$A$11:$A$16,0)),0))</f>
        <v/>
      </c>
      <c r="M32" s="23">
        <f>IF(OR(F32="",E32=""),"",E32*L32)</f>
        <v/>
      </c>
      <c r="N32" s="26">
        <f>IF(OR(F32="",F32="Ganha",F32="Perdida"),"",Config!$B$5-IF(H32="",G32,H32))</f>
        <v/>
      </c>
      <c r="O32" s="22">
        <f>IF(F32="","",IF(F32="Ganha","Fechada",IF(F32="Perdida","Perdida",IF(AND(I32&lt;&gt;"",I32&lt;Config!$B$5),"Fechamento vencido",IF(N32&gt;Config!$B$7,"Parada","Ativa")))))</f>
        <v/>
      </c>
      <c r="P32" s="35">
        <f>IF(OR(F32="",O32="Fechada",O32="Perdida"),0,IF(O32="Fechamento vencido",3000,IF(O32="Parada",2000,1000))+MIN(N32,500)+E32/1000000-ROW()/100000)</f>
        <v>0</v>
      </c>
    </row>
    <row r="33">
      <c r="A33" s="29" t="n"/>
      <c r="B33" s="29" t="n"/>
      <c r="C33" s="33" t="n"/>
      <c r="D33" s="33" t="n"/>
      <c r="E33" s="31" t="n"/>
      <c r="F33" s="33" t="n"/>
      <c r="G33" s="34" t="n"/>
      <c r="H33" s="34" t="n"/>
      <c r="I33" s="34" t="n"/>
      <c r="J33" s="34" t="n"/>
      <c r="K33" s="29" t="n"/>
      <c r="L33" s="24">
        <f>IF(F33="","",IFERROR(INDEX(Config!$B$11:$B$16,MATCH(F33,Config!$A$11:$A$16,0)),0))</f>
        <v/>
      </c>
      <c r="M33" s="23">
        <f>IF(OR(F33="",E33=""),"",E33*L33)</f>
        <v/>
      </c>
      <c r="N33" s="26">
        <f>IF(OR(F33="",F33="Ganha",F33="Perdida"),"",Config!$B$5-IF(H33="",G33,H33))</f>
        <v/>
      </c>
      <c r="O33" s="22">
        <f>IF(F33="","",IF(F33="Ganha","Fechada",IF(F33="Perdida","Perdida",IF(AND(I33&lt;&gt;"",I33&lt;Config!$B$5),"Fechamento vencido",IF(N33&gt;Config!$B$7,"Parada","Ativa")))))</f>
        <v/>
      </c>
      <c r="P33" s="35">
        <f>IF(OR(F33="",O33="Fechada",O33="Perdida"),0,IF(O33="Fechamento vencido",3000,IF(O33="Parada",2000,1000))+MIN(N33,500)+E33/1000000-ROW()/100000)</f>
        <v>0</v>
      </c>
    </row>
    <row r="34">
      <c r="A34" s="29" t="n"/>
      <c r="B34" s="29" t="n"/>
      <c r="C34" s="33" t="n"/>
      <c r="D34" s="33" t="n"/>
      <c r="E34" s="31" t="n"/>
      <c r="F34" s="33" t="n"/>
      <c r="G34" s="34" t="n"/>
      <c r="H34" s="34" t="n"/>
      <c r="I34" s="34" t="n"/>
      <c r="J34" s="34" t="n"/>
      <c r="K34" s="29" t="n"/>
      <c r="L34" s="24">
        <f>IF(F34="","",IFERROR(INDEX(Config!$B$11:$B$16,MATCH(F34,Config!$A$11:$A$16,0)),0))</f>
        <v/>
      </c>
      <c r="M34" s="23">
        <f>IF(OR(F34="",E34=""),"",E34*L34)</f>
        <v/>
      </c>
      <c r="N34" s="26">
        <f>IF(OR(F34="",F34="Ganha",F34="Perdida"),"",Config!$B$5-IF(H34="",G34,H34))</f>
        <v/>
      </c>
      <c r="O34" s="22">
        <f>IF(F34="","",IF(F34="Ganha","Fechada",IF(F34="Perdida","Perdida",IF(AND(I34&lt;&gt;"",I34&lt;Config!$B$5),"Fechamento vencido",IF(N34&gt;Config!$B$7,"Parada","Ativa")))))</f>
        <v/>
      </c>
      <c r="P34" s="35">
        <f>IF(OR(F34="",O34="Fechada",O34="Perdida"),0,IF(O34="Fechamento vencido",3000,IF(O34="Parada",2000,1000))+MIN(N34,500)+E34/1000000-ROW()/100000)</f>
        <v>0</v>
      </c>
    </row>
    <row r="35">
      <c r="A35" s="29" t="n"/>
      <c r="B35" s="29" t="n"/>
      <c r="C35" s="33" t="n"/>
      <c r="D35" s="33" t="n"/>
      <c r="E35" s="31" t="n"/>
      <c r="F35" s="33" t="n"/>
      <c r="G35" s="34" t="n"/>
      <c r="H35" s="34" t="n"/>
      <c r="I35" s="34" t="n"/>
      <c r="J35" s="34" t="n"/>
      <c r="K35" s="29" t="n"/>
      <c r="L35" s="24">
        <f>IF(F35="","",IFERROR(INDEX(Config!$B$11:$B$16,MATCH(F35,Config!$A$11:$A$16,0)),0))</f>
        <v/>
      </c>
      <c r="M35" s="23">
        <f>IF(OR(F35="",E35=""),"",E35*L35)</f>
        <v/>
      </c>
      <c r="N35" s="26">
        <f>IF(OR(F35="",F35="Ganha",F35="Perdida"),"",Config!$B$5-IF(H35="",G35,H35))</f>
        <v/>
      </c>
      <c r="O35" s="22">
        <f>IF(F35="","",IF(F35="Ganha","Fechada",IF(F35="Perdida","Perdida",IF(AND(I35&lt;&gt;"",I35&lt;Config!$B$5),"Fechamento vencido",IF(N35&gt;Config!$B$7,"Parada","Ativa")))))</f>
        <v/>
      </c>
      <c r="P35" s="35">
        <f>IF(OR(F35="",O35="Fechada",O35="Perdida"),0,IF(O35="Fechamento vencido",3000,IF(O35="Parada",2000,1000))+MIN(N35,500)+E35/1000000-ROW()/100000)</f>
        <v>0</v>
      </c>
    </row>
    <row r="36">
      <c r="A36" s="29" t="n"/>
      <c r="B36" s="29" t="n"/>
      <c r="C36" s="33" t="n"/>
      <c r="D36" s="33" t="n"/>
      <c r="E36" s="31" t="n"/>
      <c r="F36" s="33" t="n"/>
      <c r="G36" s="34" t="n"/>
      <c r="H36" s="34" t="n"/>
      <c r="I36" s="34" t="n"/>
      <c r="J36" s="34" t="n"/>
      <c r="K36" s="29" t="n"/>
      <c r="L36" s="24">
        <f>IF(F36="","",IFERROR(INDEX(Config!$B$11:$B$16,MATCH(F36,Config!$A$11:$A$16,0)),0))</f>
        <v/>
      </c>
      <c r="M36" s="23">
        <f>IF(OR(F36="",E36=""),"",E36*L36)</f>
        <v/>
      </c>
      <c r="N36" s="26">
        <f>IF(OR(F36="",F36="Ganha",F36="Perdida"),"",Config!$B$5-IF(H36="",G36,H36))</f>
        <v/>
      </c>
      <c r="O36" s="22">
        <f>IF(F36="","",IF(F36="Ganha","Fechada",IF(F36="Perdida","Perdida",IF(AND(I36&lt;&gt;"",I36&lt;Config!$B$5),"Fechamento vencido",IF(N36&gt;Config!$B$7,"Parada","Ativa")))))</f>
        <v/>
      </c>
      <c r="P36" s="35">
        <f>IF(OR(F36="",O36="Fechada",O36="Perdida"),0,IF(O36="Fechamento vencido",3000,IF(O36="Parada",2000,1000))+MIN(N36,500)+E36/1000000-ROW()/100000)</f>
        <v>0</v>
      </c>
    </row>
    <row r="37">
      <c r="A37" s="29" t="n"/>
      <c r="B37" s="29" t="n"/>
      <c r="C37" s="33" t="n"/>
      <c r="D37" s="33" t="n"/>
      <c r="E37" s="31" t="n"/>
      <c r="F37" s="33" t="n"/>
      <c r="G37" s="34" t="n"/>
      <c r="H37" s="34" t="n"/>
      <c r="I37" s="34" t="n"/>
      <c r="J37" s="34" t="n"/>
      <c r="K37" s="29" t="n"/>
      <c r="L37" s="24">
        <f>IF(F37="","",IFERROR(INDEX(Config!$B$11:$B$16,MATCH(F37,Config!$A$11:$A$16,0)),0))</f>
        <v/>
      </c>
      <c r="M37" s="23">
        <f>IF(OR(F37="",E37=""),"",E37*L37)</f>
        <v/>
      </c>
      <c r="N37" s="26">
        <f>IF(OR(F37="",F37="Ganha",F37="Perdida"),"",Config!$B$5-IF(H37="",G37,H37))</f>
        <v/>
      </c>
      <c r="O37" s="22">
        <f>IF(F37="","",IF(F37="Ganha","Fechada",IF(F37="Perdida","Perdida",IF(AND(I37&lt;&gt;"",I37&lt;Config!$B$5),"Fechamento vencido",IF(N37&gt;Config!$B$7,"Parada","Ativa")))))</f>
        <v/>
      </c>
      <c r="P37" s="35">
        <f>IF(OR(F37="",O37="Fechada",O37="Perdida"),0,IF(O37="Fechamento vencido",3000,IF(O37="Parada",2000,1000))+MIN(N37,500)+E37/1000000-ROW()/100000)</f>
        <v>0</v>
      </c>
    </row>
    <row r="38">
      <c r="A38" s="29" t="n"/>
      <c r="B38" s="29" t="n"/>
      <c r="C38" s="33" t="n"/>
      <c r="D38" s="33" t="n"/>
      <c r="E38" s="31" t="n"/>
      <c r="F38" s="33" t="n"/>
      <c r="G38" s="34" t="n"/>
      <c r="H38" s="34" t="n"/>
      <c r="I38" s="34" t="n"/>
      <c r="J38" s="34" t="n"/>
      <c r="K38" s="29" t="n"/>
      <c r="L38" s="24">
        <f>IF(F38="","",IFERROR(INDEX(Config!$B$11:$B$16,MATCH(F38,Config!$A$11:$A$16,0)),0))</f>
        <v/>
      </c>
      <c r="M38" s="23">
        <f>IF(OR(F38="",E38=""),"",E38*L38)</f>
        <v/>
      </c>
      <c r="N38" s="26">
        <f>IF(OR(F38="",F38="Ganha",F38="Perdida"),"",Config!$B$5-IF(H38="",G38,H38))</f>
        <v/>
      </c>
      <c r="O38" s="22">
        <f>IF(F38="","",IF(F38="Ganha","Fechada",IF(F38="Perdida","Perdida",IF(AND(I38&lt;&gt;"",I38&lt;Config!$B$5),"Fechamento vencido",IF(N38&gt;Config!$B$7,"Parada","Ativa")))))</f>
        <v/>
      </c>
      <c r="P38" s="35">
        <f>IF(OR(F38="",O38="Fechada",O38="Perdida"),0,IF(O38="Fechamento vencido",3000,IF(O38="Parada",2000,1000))+MIN(N38,500)+E38/1000000-ROW()/100000)</f>
        <v>0</v>
      </c>
    </row>
    <row r="39">
      <c r="A39" s="29" t="n"/>
      <c r="B39" s="29" t="n"/>
      <c r="C39" s="33" t="n"/>
      <c r="D39" s="33" t="n"/>
      <c r="E39" s="31" t="n"/>
      <c r="F39" s="33" t="n"/>
      <c r="G39" s="34" t="n"/>
      <c r="H39" s="34" t="n"/>
      <c r="I39" s="34" t="n"/>
      <c r="J39" s="34" t="n"/>
      <c r="K39" s="29" t="n"/>
      <c r="L39" s="24">
        <f>IF(F39="","",IFERROR(INDEX(Config!$B$11:$B$16,MATCH(F39,Config!$A$11:$A$16,0)),0))</f>
        <v/>
      </c>
      <c r="M39" s="23">
        <f>IF(OR(F39="",E39=""),"",E39*L39)</f>
        <v/>
      </c>
      <c r="N39" s="26">
        <f>IF(OR(F39="",F39="Ganha",F39="Perdida"),"",Config!$B$5-IF(H39="",G39,H39))</f>
        <v/>
      </c>
      <c r="O39" s="22">
        <f>IF(F39="","",IF(F39="Ganha","Fechada",IF(F39="Perdida","Perdida",IF(AND(I39&lt;&gt;"",I39&lt;Config!$B$5),"Fechamento vencido",IF(N39&gt;Config!$B$7,"Parada","Ativa")))))</f>
        <v/>
      </c>
      <c r="P39" s="35">
        <f>IF(OR(F39="",O39="Fechada",O39="Perdida"),0,IF(O39="Fechamento vencido",3000,IF(O39="Parada",2000,1000))+MIN(N39,500)+E39/1000000-ROW()/100000)</f>
        <v>0</v>
      </c>
    </row>
    <row r="40">
      <c r="A40" s="29" t="n"/>
      <c r="B40" s="29" t="n"/>
      <c r="C40" s="33" t="n"/>
      <c r="D40" s="33" t="n"/>
      <c r="E40" s="31" t="n"/>
      <c r="F40" s="33" t="n"/>
      <c r="G40" s="34" t="n"/>
      <c r="H40" s="34" t="n"/>
      <c r="I40" s="34" t="n"/>
      <c r="J40" s="34" t="n"/>
      <c r="K40" s="29" t="n"/>
      <c r="L40" s="24">
        <f>IF(F40="","",IFERROR(INDEX(Config!$B$11:$B$16,MATCH(F40,Config!$A$11:$A$16,0)),0))</f>
        <v/>
      </c>
      <c r="M40" s="23">
        <f>IF(OR(F40="",E40=""),"",E40*L40)</f>
        <v/>
      </c>
      <c r="N40" s="26">
        <f>IF(OR(F40="",F40="Ganha",F40="Perdida"),"",Config!$B$5-IF(H40="",G40,H40))</f>
        <v/>
      </c>
      <c r="O40" s="22">
        <f>IF(F40="","",IF(F40="Ganha","Fechada",IF(F40="Perdida","Perdida",IF(AND(I40&lt;&gt;"",I40&lt;Config!$B$5),"Fechamento vencido",IF(N40&gt;Config!$B$7,"Parada","Ativa")))))</f>
        <v/>
      </c>
      <c r="P40" s="35">
        <f>IF(OR(F40="",O40="Fechada",O40="Perdida"),0,IF(O40="Fechamento vencido",3000,IF(O40="Parada",2000,1000))+MIN(N40,500)+E40/1000000-ROW()/100000)</f>
        <v>0</v>
      </c>
    </row>
    <row r="41">
      <c r="A41" s="29" t="n"/>
      <c r="B41" s="29" t="n"/>
      <c r="C41" s="33" t="n"/>
      <c r="D41" s="33" t="n"/>
      <c r="E41" s="31" t="n"/>
      <c r="F41" s="33" t="n"/>
      <c r="G41" s="34" t="n"/>
      <c r="H41" s="34" t="n"/>
      <c r="I41" s="34" t="n"/>
      <c r="J41" s="34" t="n"/>
      <c r="K41" s="29" t="n"/>
      <c r="L41" s="24">
        <f>IF(F41="","",IFERROR(INDEX(Config!$B$11:$B$16,MATCH(F41,Config!$A$11:$A$16,0)),0))</f>
        <v/>
      </c>
      <c r="M41" s="23">
        <f>IF(OR(F41="",E41=""),"",E41*L41)</f>
        <v/>
      </c>
      <c r="N41" s="26">
        <f>IF(OR(F41="",F41="Ganha",F41="Perdida"),"",Config!$B$5-IF(H41="",G41,H41))</f>
        <v/>
      </c>
      <c r="O41" s="22">
        <f>IF(F41="","",IF(F41="Ganha","Fechada",IF(F41="Perdida","Perdida",IF(AND(I41&lt;&gt;"",I41&lt;Config!$B$5),"Fechamento vencido",IF(N41&gt;Config!$B$7,"Parada","Ativa")))))</f>
        <v/>
      </c>
      <c r="P41" s="35">
        <f>IF(OR(F41="",O41="Fechada",O41="Perdida"),0,IF(O41="Fechamento vencido",3000,IF(O41="Parada",2000,1000))+MIN(N41,500)+E41/1000000-ROW()/100000)</f>
        <v>0</v>
      </c>
    </row>
    <row r="42">
      <c r="A42" s="29" t="n"/>
      <c r="B42" s="29" t="n"/>
      <c r="C42" s="33" t="n"/>
      <c r="D42" s="33" t="n"/>
      <c r="E42" s="31" t="n"/>
      <c r="F42" s="33" t="n"/>
      <c r="G42" s="34" t="n"/>
      <c r="H42" s="34" t="n"/>
      <c r="I42" s="34" t="n"/>
      <c r="J42" s="34" t="n"/>
      <c r="K42" s="29" t="n"/>
      <c r="L42" s="24">
        <f>IF(F42="","",IFERROR(INDEX(Config!$B$11:$B$16,MATCH(F42,Config!$A$11:$A$16,0)),0))</f>
        <v/>
      </c>
      <c r="M42" s="23">
        <f>IF(OR(F42="",E42=""),"",E42*L42)</f>
        <v/>
      </c>
      <c r="N42" s="26">
        <f>IF(OR(F42="",F42="Ganha",F42="Perdida"),"",Config!$B$5-IF(H42="",G42,H42))</f>
        <v/>
      </c>
      <c r="O42" s="22">
        <f>IF(F42="","",IF(F42="Ganha","Fechada",IF(F42="Perdida","Perdida",IF(AND(I42&lt;&gt;"",I42&lt;Config!$B$5),"Fechamento vencido",IF(N42&gt;Config!$B$7,"Parada","Ativa")))))</f>
        <v/>
      </c>
      <c r="P42" s="35">
        <f>IF(OR(F42="",O42="Fechada",O42="Perdida"),0,IF(O42="Fechamento vencido",3000,IF(O42="Parada",2000,1000))+MIN(N42,500)+E42/1000000-ROW()/100000)</f>
        <v>0</v>
      </c>
    </row>
    <row r="43">
      <c r="A43" s="29" t="n"/>
      <c r="B43" s="29" t="n"/>
      <c r="C43" s="33" t="n"/>
      <c r="D43" s="33" t="n"/>
      <c r="E43" s="31" t="n"/>
      <c r="F43" s="33" t="n"/>
      <c r="G43" s="34" t="n"/>
      <c r="H43" s="34" t="n"/>
      <c r="I43" s="34" t="n"/>
      <c r="J43" s="34" t="n"/>
      <c r="K43" s="29" t="n"/>
      <c r="L43" s="24">
        <f>IF(F43="","",IFERROR(INDEX(Config!$B$11:$B$16,MATCH(F43,Config!$A$11:$A$16,0)),0))</f>
        <v/>
      </c>
      <c r="M43" s="23">
        <f>IF(OR(F43="",E43=""),"",E43*L43)</f>
        <v/>
      </c>
      <c r="N43" s="26">
        <f>IF(OR(F43="",F43="Ganha",F43="Perdida"),"",Config!$B$5-IF(H43="",G43,H43))</f>
        <v/>
      </c>
      <c r="O43" s="22">
        <f>IF(F43="","",IF(F43="Ganha","Fechada",IF(F43="Perdida","Perdida",IF(AND(I43&lt;&gt;"",I43&lt;Config!$B$5),"Fechamento vencido",IF(N43&gt;Config!$B$7,"Parada","Ativa")))))</f>
        <v/>
      </c>
      <c r="P43" s="35">
        <f>IF(OR(F43="",O43="Fechada",O43="Perdida"),0,IF(O43="Fechamento vencido",3000,IF(O43="Parada",2000,1000))+MIN(N43,500)+E43/1000000-ROW()/100000)</f>
        <v>0</v>
      </c>
    </row>
    <row r="44">
      <c r="A44" s="29" t="n"/>
      <c r="B44" s="29" t="n"/>
      <c r="C44" s="33" t="n"/>
      <c r="D44" s="33" t="n"/>
      <c r="E44" s="31" t="n"/>
      <c r="F44" s="33" t="n"/>
      <c r="G44" s="34" t="n"/>
      <c r="H44" s="34" t="n"/>
      <c r="I44" s="34" t="n"/>
      <c r="J44" s="34" t="n"/>
      <c r="K44" s="29" t="n"/>
      <c r="L44" s="24">
        <f>IF(F44="","",IFERROR(INDEX(Config!$B$11:$B$16,MATCH(F44,Config!$A$11:$A$16,0)),0))</f>
        <v/>
      </c>
      <c r="M44" s="23">
        <f>IF(OR(F44="",E44=""),"",E44*L44)</f>
        <v/>
      </c>
      <c r="N44" s="26">
        <f>IF(OR(F44="",F44="Ganha",F44="Perdida"),"",Config!$B$5-IF(H44="",G44,H44))</f>
        <v/>
      </c>
      <c r="O44" s="22">
        <f>IF(F44="","",IF(F44="Ganha","Fechada",IF(F44="Perdida","Perdida",IF(AND(I44&lt;&gt;"",I44&lt;Config!$B$5),"Fechamento vencido",IF(N44&gt;Config!$B$7,"Parada","Ativa")))))</f>
        <v/>
      </c>
      <c r="P44" s="35">
        <f>IF(OR(F44="",O44="Fechada",O44="Perdida"),0,IF(O44="Fechamento vencido",3000,IF(O44="Parada",2000,1000))+MIN(N44,500)+E44/1000000-ROW()/100000)</f>
        <v>0</v>
      </c>
    </row>
    <row r="45">
      <c r="A45" s="29" t="n"/>
      <c r="B45" s="29" t="n"/>
      <c r="C45" s="33" t="n"/>
      <c r="D45" s="33" t="n"/>
      <c r="E45" s="31" t="n"/>
      <c r="F45" s="33" t="n"/>
      <c r="G45" s="34" t="n"/>
      <c r="H45" s="34" t="n"/>
      <c r="I45" s="34" t="n"/>
      <c r="J45" s="34" t="n"/>
      <c r="K45" s="29" t="n"/>
      <c r="L45" s="24">
        <f>IF(F45="","",IFERROR(INDEX(Config!$B$11:$B$16,MATCH(F45,Config!$A$11:$A$16,0)),0))</f>
        <v/>
      </c>
      <c r="M45" s="23">
        <f>IF(OR(F45="",E45=""),"",E45*L45)</f>
        <v/>
      </c>
      <c r="N45" s="26">
        <f>IF(OR(F45="",F45="Ganha",F45="Perdida"),"",Config!$B$5-IF(H45="",G45,H45))</f>
        <v/>
      </c>
      <c r="O45" s="22">
        <f>IF(F45="","",IF(F45="Ganha","Fechada",IF(F45="Perdida","Perdida",IF(AND(I45&lt;&gt;"",I45&lt;Config!$B$5),"Fechamento vencido",IF(N45&gt;Config!$B$7,"Parada","Ativa")))))</f>
        <v/>
      </c>
      <c r="P45" s="35">
        <f>IF(OR(F45="",O45="Fechada",O45="Perdida"),0,IF(O45="Fechamento vencido",3000,IF(O45="Parada",2000,1000))+MIN(N45,500)+E45/1000000-ROW()/100000)</f>
        <v>0</v>
      </c>
    </row>
    <row r="46">
      <c r="A46" s="29" t="n"/>
      <c r="B46" s="29" t="n"/>
      <c r="C46" s="33" t="n"/>
      <c r="D46" s="33" t="n"/>
      <c r="E46" s="31" t="n"/>
      <c r="F46" s="33" t="n"/>
      <c r="G46" s="34" t="n"/>
      <c r="H46" s="34" t="n"/>
      <c r="I46" s="34" t="n"/>
      <c r="J46" s="34" t="n"/>
      <c r="K46" s="29" t="n"/>
      <c r="L46" s="24">
        <f>IF(F46="","",IFERROR(INDEX(Config!$B$11:$B$16,MATCH(F46,Config!$A$11:$A$16,0)),0))</f>
        <v/>
      </c>
      <c r="M46" s="23">
        <f>IF(OR(F46="",E46=""),"",E46*L46)</f>
        <v/>
      </c>
      <c r="N46" s="26">
        <f>IF(OR(F46="",F46="Ganha",F46="Perdida"),"",Config!$B$5-IF(H46="",G46,H46))</f>
        <v/>
      </c>
      <c r="O46" s="22">
        <f>IF(F46="","",IF(F46="Ganha","Fechada",IF(F46="Perdida","Perdida",IF(AND(I46&lt;&gt;"",I46&lt;Config!$B$5),"Fechamento vencido",IF(N46&gt;Config!$B$7,"Parada","Ativa")))))</f>
        <v/>
      </c>
      <c r="P46" s="35">
        <f>IF(OR(F46="",O46="Fechada",O46="Perdida"),0,IF(O46="Fechamento vencido",3000,IF(O46="Parada",2000,1000))+MIN(N46,500)+E46/1000000-ROW()/100000)</f>
        <v>0</v>
      </c>
    </row>
    <row r="47">
      <c r="A47" s="29" t="n"/>
      <c r="B47" s="29" t="n"/>
      <c r="C47" s="33" t="n"/>
      <c r="D47" s="33" t="n"/>
      <c r="E47" s="31" t="n"/>
      <c r="F47" s="33" t="n"/>
      <c r="G47" s="34" t="n"/>
      <c r="H47" s="34" t="n"/>
      <c r="I47" s="34" t="n"/>
      <c r="J47" s="34" t="n"/>
      <c r="K47" s="29" t="n"/>
      <c r="L47" s="24">
        <f>IF(F47="","",IFERROR(INDEX(Config!$B$11:$B$16,MATCH(F47,Config!$A$11:$A$16,0)),0))</f>
        <v/>
      </c>
      <c r="M47" s="23">
        <f>IF(OR(F47="",E47=""),"",E47*L47)</f>
        <v/>
      </c>
      <c r="N47" s="26">
        <f>IF(OR(F47="",F47="Ganha",F47="Perdida"),"",Config!$B$5-IF(H47="",G47,H47))</f>
        <v/>
      </c>
      <c r="O47" s="22">
        <f>IF(F47="","",IF(F47="Ganha","Fechada",IF(F47="Perdida","Perdida",IF(AND(I47&lt;&gt;"",I47&lt;Config!$B$5),"Fechamento vencido",IF(N47&gt;Config!$B$7,"Parada","Ativa")))))</f>
        <v/>
      </c>
      <c r="P47" s="35">
        <f>IF(OR(F47="",O47="Fechada",O47="Perdida"),0,IF(O47="Fechamento vencido",3000,IF(O47="Parada",2000,1000))+MIN(N47,500)+E47/1000000-ROW()/100000)</f>
        <v>0</v>
      </c>
    </row>
    <row r="48">
      <c r="A48" s="29" t="n"/>
      <c r="B48" s="29" t="n"/>
      <c r="C48" s="33" t="n"/>
      <c r="D48" s="33" t="n"/>
      <c r="E48" s="31" t="n"/>
      <c r="F48" s="33" t="n"/>
      <c r="G48" s="34" t="n"/>
      <c r="H48" s="34" t="n"/>
      <c r="I48" s="34" t="n"/>
      <c r="J48" s="34" t="n"/>
      <c r="K48" s="29" t="n"/>
      <c r="L48" s="24">
        <f>IF(F48="","",IFERROR(INDEX(Config!$B$11:$B$16,MATCH(F48,Config!$A$11:$A$16,0)),0))</f>
        <v/>
      </c>
      <c r="M48" s="23">
        <f>IF(OR(F48="",E48=""),"",E48*L48)</f>
        <v/>
      </c>
      <c r="N48" s="26">
        <f>IF(OR(F48="",F48="Ganha",F48="Perdida"),"",Config!$B$5-IF(H48="",G48,H48))</f>
        <v/>
      </c>
      <c r="O48" s="22">
        <f>IF(F48="","",IF(F48="Ganha","Fechada",IF(F48="Perdida","Perdida",IF(AND(I48&lt;&gt;"",I48&lt;Config!$B$5),"Fechamento vencido",IF(N48&gt;Config!$B$7,"Parada","Ativa")))))</f>
        <v/>
      </c>
      <c r="P48" s="35">
        <f>IF(OR(F48="",O48="Fechada",O48="Perdida"),0,IF(O48="Fechamento vencido",3000,IF(O48="Parada",2000,1000))+MIN(N48,500)+E48/1000000-ROW()/100000)</f>
        <v>0</v>
      </c>
    </row>
    <row r="49">
      <c r="A49" s="29" t="n"/>
      <c r="B49" s="29" t="n"/>
      <c r="C49" s="33" t="n"/>
      <c r="D49" s="33" t="n"/>
      <c r="E49" s="31" t="n"/>
      <c r="F49" s="33" t="n"/>
      <c r="G49" s="34" t="n"/>
      <c r="H49" s="34" t="n"/>
      <c r="I49" s="34" t="n"/>
      <c r="J49" s="34" t="n"/>
      <c r="K49" s="29" t="n"/>
      <c r="L49" s="24">
        <f>IF(F49="","",IFERROR(INDEX(Config!$B$11:$B$16,MATCH(F49,Config!$A$11:$A$16,0)),0))</f>
        <v/>
      </c>
      <c r="M49" s="23">
        <f>IF(OR(F49="",E49=""),"",E49*L49)</f>
        <v/>
      </c>
      <c r="N49" s="26">
        <f>IF(OR(F49="",F49="Ganha",F49="Perdida"),"",Config!$B$5-IF(H49="",G49,H49))</f>
        <v/>
      </c>
      <c r="O49" s="22">
        <f>IF(F49="","",IF(F49="Ganha","Fechada",IF(F49="Perdida","Perdida",IF(AND(I49&lt;&gt;"",I49&lt;Config!$B$5),"Fechamento vencido",IF(N49&gt;Config!$B$7,"Parada","Ativa")))))</f>
        <v/>
      </c>
      <c r="P49" s="35">
        <f>IF(OR(F49="",O49="Fechada",O49="Perdida"),0,IF(O49="Fechamento vencido",3000,IF(O49="Parada",2000,1000))+MIN(N49,500)+E49/1000000-ROW()/100000)</f>
        <v>0</v>
      </c>
    </row>
    <row r="50">
      <c r="A50" s="29" t="n"/>
      <c r="B50" s="29" t="n"/>
      <c r="C50" s="33" t="n"/>
      <c r="D50" s="33" t="n"/>
      <c r="E50" s="31" t="n"/>
      <c r="F50" s="33" t="n"/>
      <c r="G50" s="34" t="n"/>
      <c r="H50" s="34" t="n"/>
      <c r="I50" s="34" t="n"/>
      <c r="J50" s="34" t="n"/>
      <c r="K50" s="29" t="n"/>
      <c r="L50" s="24">
        <f>IF(F50="","",IFERROR(INDEX(Config!$B$11:$B$16,MATCH(F50,Config!$A$11:$A$16,0)),0))</f>
        <v/>
      </c>
      <c r="M50" s="23">
        <f>IF(OR(F50="",E50=""),"",E50*L50)</f>
        <v/>
      </c>
      <c r="N50" s="26">
        <f>IF(OR(F50="",F50="Ganha",F50="Perdida"),"",Config!$B$5-IF(H50="",G50,H50))</f>
        <v/>
      </c>
      <c r="O50" s="22">
        <f>IF(F50="","",IF(F50="Ganha","Fechada",IF(F50="Perdida","Perdida",IF(AND(I50&lt;&gt;"",I50&lt;Config!$B$5),"Fechamento vencido",IF(N50&gt;Config!$B$7,"Parada","Ativa")))))</f>
        <v/>
      </c>
      <c r="P50" s="35">
        <f>IF(OR(F50="",O50="Fechada",O50="Perdida"),0,IF(O50="Fechamento vencido",3000,IF(O50="Parada",2000,1000))+MIN(N50,500)+E50/1000000-ROW()/100000)</f>
        <v>0</v>
      </c>
    </row>
    <row r="51">
      <c r="A51" s="29" t="n"/>
      <c r="B51" s="29" t="n"/>
      <c r="C51" s="33" t="n"/>
      <c r="D51" s="33" t="n"/>
      <c r="E51" s="31" t="n"/>
      <c r="F51" s="33" t="n"/>
      <c r="G51" s="34" t="n"/>
      <c r="H51" s="34" t="n"/>
      <c r="I51" s="34" t="n"/>
      <c r="J51" s="34" t="n"/>
      <c r="K51" s="29" t="n"/>
      <c r="L51" s="24">
        <f>IF(F51="","",IFERROR(INDEX(Config!$B$11:$B$16,MATCH(F51,Config!$A$11:$A$16,0)),0))</f>
        <v/>
      </c>
      <c r="M51" s="23">
        <f>IF(OR(F51="",E51=""),"",E51*L51)</f>
        <v/>
      </c>
      <c r="N51" s="26">
        <f>IF(OR(F51="",F51="Ganha",F51="Perdida"),"",Config!$B$5-IF(H51="",G51,H51))</f>
        <v/>
      </c>
      <c r="O51" s="22">
        <f>IF(F51="","",IF(F51="Ganha","Fechada",IF(F51="Perdida","Perdida",IF(AND(I51&lt;&gt;"",I51&lt;Config!$B$5),"Fechamento vencido",IF(N51&gt;Config!$B$7,"Parada","Ativa")))))</f>
        <v/>
      </c>
      <c r="P51" s="35">
        <f>IF(OR(F51="",O51="Fechada",O51="Perdida"),0,IF(O51="Fechamento vencido",3000,IF(O51="Parada",2000,1000))+MIN(N51,500)+E51/1000000-ROW()/100000)</f>
        <v>0</v>
      </c>
    </row>
    <row r="52">
      <c r="A52" s="29" t="n"/>
      <c r="B52" s="29" t="n"/>
      <c r="C52" s="33" t="n"/>
      <c r="D52" s="33" t="n"/>
      <c r="E52" s="31" t="n"/>
      <c r="F52" s="33" t="n"/>
      <c r="G52" s="34" t="n"/>
      <c r="H52" s="34" t="n"/>
      <c r="I52" s="34" t="n"/>
      <c r="J52" s="34" t="n"/>
      <c r="K52" s="29" t="n"/>
      <c r="L52" s="24">
        <f>IF(F52="","",IFERROR(INDEX(Config!$B$11:$B$16,MATCH(F52,Config!$A$11:$A$16,0)),0))</f>
        <v/>
      </c>
      <c r="M52" s="23">
        <f>IF(OR(F52="",E52=""),"",E52*L52)</f>
        <v/>
      </c>
      <c r="N52" s="26">
        <f>IF(OR(F52="",F52="Ganha",F52="Perdida"),"",Config!$B$5-IF(H52="",G52,H52))</f>
        <v/>
      </c>
      <c r="O52" s="22">
        <f>IF(F52="","",IF(F52="Ganha","Fechada",IF(F52="Perdida","Perdida",IF(AND(I52&lt;&gt;"",I52&lt;Config!$B$5),"Fechamento vencido",IF(N52&gt;Config!$B$7,"Parada","Ativa")))))</f>
        <v/>
      </c>
      <c r="P52" s="35">
        <f>IF(OR(F52="",O52="Fechada",O52="Perdida"),0,IF(O52="Fechamento vencido",3000,IF(O52="Parada",2000,1000))+MIN(N52,500)+E52/1000000-ROW()/100000)</f>
        <v>0</v>
      </c>
    </row>
    <row r="53">
      <c r="A53" s="29" t="n"/>
      <c r="B53" s="29" t="n"/>
      <c r="C53" s="33" t="n"/>
      <c r="D53" s="33" t="n"/>
      <c r="E53" s="31" t="n"/>
      <c r="F53" s="33" t="n"/>
      <c r="G53" s="34" t="n"/>
      <c r="H53" s="34" t="n"/>
      <c r="I53" s="34" t="n"/>
      <c r="J53" s="34" t="n"/>
      <c r="K53" s="29" t="n"/>
      <c r="L53" s="24">
        <f>IF(F53="","",IFERROR(INDEX(Config!$B$11:$B$16,MATCH(F53,Config!$A$11:$A$16,0)),0))</f>
        <v/>
      </c>
      <c r="M53" s="23">
        <f>IF(OR(F53="",E53=""),"",E53*L53)</f>
        <v/>
      </c>
      <c r="N53" s="26">
        <f>IF(OR(F53="",F53="Ganha",F53="Perdida"),"",Config!$B$5-IF(H53="",G53,H53))</f>
        <v/>
      </c>
      <c r="O53" s="22">
        <f>IF(F53="","",IF(F53="Ganha","Fechada",IF(F53="Perdida","Perdida",IF(AND(I53&lt;&gt;"",I53&lt;Config!$B$5),"Fechamento vencido",IF(N53&gt;Config!$B$7,"Parada","Ativa")))))</f>
        <v/>
      </c>
      <c r="P53" s="35">
        <f>IF(OR(F53="",O53="Fechada",O53="Perdida"),0,IF(O53="Fechamento vencido",3000,IF(O53="Parada",2000,1000))+MIN(N53,500)+E53/1000000-ROW()/100000)</f>
        <v>0</v>
      </c>
    </row>
    <row r="54">
      <c r="A54" s="29" t="n"/>
      <c r="B54" s="29" t="n"/>
      <c r="C54" s="33" t="n"/>
      <c r="D54" s="33" t="n"/>
      <c r="E54" s="31" t="n"/>
      <c r="F54" s="33" t="n"/>
      <c r="G54" s="34" t="n"/>
      <c r="H54" s="34" t="n"/>
      <c r="I54" s="34" t="n"/>
      <c r="J54" s="34" t="n"/>
      <c r="K54" s="29" t="n"/>
      <c r="L54" s="24">
        <f>IF(F54="","",IFERROR(INDEX(Config!$B$11:$B$16,MATCH(F54,Config!$A$11:$A$16,0)),0))</f>
        <v/>
      </c>
      <c r="M54" s="23">
        <f>IF(OR(F54="",E54=""),"",E54*L54)</f>
        <v/>
      </c>
      <c r="N54" s="26">
        <f>IF(OR(F54="",F54="Ganha",F54="Perdida"),"",Config!$B$5-IF(H54="",G54,H54))</f>
        <v/>
      </c>
      <c r="O54" s="22">
        <f>IF(F54="","",IF(F54="Ganha","Fechada",IF(F54="Perdida","Perdida",IF(AND(I54&lt;&gt;"",I54&lt;Config!$B$5),"Fechamento vencido",IF(N54&gt;Config!$B$7,"Parada","Ativa")))))</f>
        <v/>
      </c>
      <c r="P54" s="35">
        <f>IF(OR(F54="",O54="Fechada",O54="Perdida"),0,IF(O54="Fechamento vencido",3000,IF(O54="Parada",2000,1000))+MIN(N54,500)+E54/1000000-ROW()/100000)</f>
        <v>0</v>
      </c>
    </row>
    <row r="55">
      <c r="A55" s="29" t="n"/>
      <c r="B55" s="29" t="n"/>
      <c r="C55" s="33" t="n"/>
      <c r="D55" s="33" t="n"/>
      <c r="E55" s="31" t="n"/>
      <c r="F55" s="33" t="n"/>
      <c r="G55" s="34" t="n"/>
      <c r="H55" s="34" t="n"/>
      <c r="I55" s="34" t="n"/>
      <c r="J55" s="34" t="n"/>
      <c r="K55" s="29" t="n"/>
      <c r="L55" s="24">
        <f>IF(F55="","",IFERROR(INDEX(Config!$B$11:$B$16,MATCH(F55,Config!$A$11:$A$16,0)),0))</f>
        <v/>
      </c>
      <c r="M55" s="23">
        <f>IF(OR(F55="",E55=""),"",E55*L55)</f>
        <v/>
      </c>
      <c r="N55" s="26">
        <f>IF(OR(F55="",F55="Ganha",F55="Perdida"),"",Config!$B$5-IF(H55="",G55,H55))</f>
        <v/>
      </c>
      <c r="O55" s="22">
        <f>IF(F55="","",IF(F55="Ganha","Fechada",IF(F55="Perdida","Perdida",IF(AND(I55&lt;&gt;"",I55&lt;Config!$B$5),"Fechamento vencido",IF(N55&gt;Config!$B$7,"Parada","Ativa")))))</f>
        <v/>
      </c>
      <c r="P55" s="35">
        <f>IF(OR(F55="",O55="Fechada",O55="Perdida"),0,IF(O55="Fechamento vencido",3000,IF(O55="Parada",2000,1000))+MIN(N55,500)+E55/1000000-ROW()/100000)</f>
        <v>0</v>
      </c>
    </row>
    <row r="56">
      <c r="A56" s="29" t="n"/>
      <c r="B56" s="29" t="n"/>
      <c r="C56" s="33" t="n"/>
      <c r="D56" s="33" t="n"/>
      <c r="E56" s="31" t="n"/>
      <c r="F56" s="33" t="n"/>
      <c r="G56" s="34" t="n"/>
      <c r="H56" s="34" t="n"/>
      <c r="I56" s="34" t="n"/>
      <c r="J56" s="34" t="n"/>
      <c r="K56" s="29" t="n"/>
      <c r="L56" s="24">
        <f>IF(F56="","",IFERROR(INDEX(Config!$B$11:$B$16,MATCH(F56,Config!$A$11:$A$16,0)),0))</f>
        <v/>
      </c>
      <c r="M56" s="23">
        <f>IF(OR(F56="",E56=""),"",E56*L56)</f>
        <v/>
      </c>
      <c r="N56" s="26">
        <f>IF(OR(F56="",F56="Ganha",F56="Perdida"),"",Config!$B$5-IF(H56="",G56,H56))</f>
        <v/>
      </c>
      <c r="O56" s="22">
        <f>IF(F56="","",IF(F56="Ganha","Fechada",IF(F56="Perdida","Perdida",IF(AND(I56&lt;&gt;"",I56&lt;Config!$B$5),"Fechamento vencido",IF(N56&gt;Config!$B$7,"Parada","Ativa")))))</f>
        <v/>
      </c>
      <c r="P56" s="35">
        <f>IF(OR(F56="",O56="Fechada",O56="Perdida"),0,IF(O56="Fechamento vencido",3000,IF(O56="Parada",2000,1000))+MIN(N56,500)+E56/1000000-ROW()/100000)</f>
        <v>0</v>
      </c>
    </row>
    <row r="57">
      <c r="A57" s="29" t="n"/>
      <c r="B57" s="29" t="n"/>
      <c r="C57" s="33" t="n"/>
      <c r="D57" s="33" t="n"/>
      <c r="E57" s="31" t="n"/>
      <c r="F57" s="33" t="n"/>
      <c r="G57" s="34" t="n"/>
      <c r="H57" s="34" t="n"/>
      <c r="I57" s="34" t="n"/>
      <c r="J57" s="34" t="n"/>
      <c r="K57" s="29" t="n"/>
      <c r="L57" s="24">
        <f>IF(F57="","",IFERROR(INDEX(Config!$B$11:$B$16,MATCH(F57,Config!$A$11:$A$16,0)),0))</f>
        <v/>
      </c>
      <c r="M57" s="23">
        <f>IF(OR(F57="",E57=""),"",E57*L57)</f>
        <v/>
      </c>
      <c r="N57" s="26">
        <f>IF(OR(F57="",F57="Ganha",F57="Perdida"),"",Config!$B$5-IF(H57="",G57,H57))</f>
        <v/>
      </c>
      <c r="O57" s="22">
        <f>IF(F57="","",IF(F57="Ganha","Fechada",IF(F57="Perdida","Perdida",IF(AND(I57&lt;&gt;"",I57&lt;Config!$B$5),"Fechamento vencido",IF(N57&gt;Config!$B$7,"Parada","Ativa")))))</f>
        <v/>
      </c>
      <c r="P57" s="35">
        <f>IF(OR(F57="",O57="Fechada",O57="Perdida"),0,IF(O57="Fechamento vencido",3000,IF(O57="Parada",2000,1000))+MIN(N57,500)+E57/1000000-ROW()/100000)</f>
        <v>0</v>
      </c>
    </row>
    <row r="58">
      <c r="A58" s="29" t="n"/>
      <c r="B58" s="29" t="n"/>
      <c r="C58" s="33" t="n"/>
      <c r="D58" s="33" t="n"/>
      <c r="E58" s="31" t="n"/>
      <c r="F58" s="33" t="n"/>
      <c r="G58" s="34" t="n"/>
      <c r="H58" s="34" t="n"/>
      <c r="I58" s="34" t="n"/>
      <c r="J58" s="34" t="n"/>
      <c r="K58" s="29" t="n"/>
      <c r="L58" s="24">
        <f>IF(F58="","",IFERROR(INDEX(Config!$B$11:$B$16,MATCH(F58,Config!$A$11:$A$16,0)),0))</f>
        <v/>
      </c>
      <c r="M58" s="23">
        <f>IF(OR(F58="",E58=""),"",E58*L58)</f>
        <v/>
      </c>
      <c r="N58" s="26">
        <f>IF(OR(F58="",F58="Ganha",F58="Perdida"),"",Config!$B$5-IF(H58="",G58,H58))</f>
        <v/>
      </c>
      <c r="O58" s="22">
        <f>IF(F58="","",IF(F58="Ganha","Fechada",IF(F58="Perdida","Perdida",IF(AND(I58&lt;&gt;"",I58&lt;Config!$B$5),"Fechamento vencido",IF(N58&gt;Config!$B$7,"Parada","Ativa")))))</f>
        <v/>
      </c>
      <c r="P58" s="35">
        <f>IF(OR(F58="",O58="Fechada",O58="Perdida"),0,IF(O58="Fechamento vencido",3000,IF(O58="Parada",2000,1000))+MIN(N58,500)+E58/1000000-ROW()/100000)</f>
        <v>0</v>
      </c>
    </row>
    <row r="59">
      <c r="A59" s="29" t="n"/>
      <c r="B59" s="29" t="n"/>
      <c r="C59" s="33" t="n"/>
      <c r="D59" s="33" t="n"/>
      <c r="E59" s="31" t="n"/>
      <c r="F59" s="33" t="n"/>
      <c r="G59" s="34" t="n"/>
      <c r="H59" s="34" t="n"/>
      <c r="I59" s="34" t="n"/>
      <c r="J59" s="34" t="n"/>
      <c r="K59" s="29" t="n"/>
      <c r="L59" s="24">
        <f>IF(F59="","",IFERROR(INDEX(Config!$B$11:$B$16,MATCH(F59,Config!$A$11:$A$16,0)),0))</f>
        <v/>
      </c>
      <c r="M59" s="23">
        <f>IF(OR(F59="",E59=""),"",E59*L59)</f>
        <v/>
      </c>
      <c r="N59" s="26">
        <f>IF(OR(F59="",F59="Ganha",F59="Perdida"),"",Config!$B$5-IF(H59="",G59,H59))</f>
        <v/>
      </c>
      <c r="O59" s="22">
        <f>IF(F59="","",IF(F59="Ganha","Fechada",IF(F59="Perdida","Perdida",IF(AND(I59&lt;&gt;"",I59&lt;Config!$B$5),"Fechamento vencido",IF(N59&gt;Config!$B$7,"Parada","Ativa")))))</f>
        <v/>
      </c>
      <c r="P59" s="35">
        <f>IF(OR(F59="",O59="Fechada",O59="Perdida"),0,IF(O59="Fechamento vencido",3000,IF(O59="Parada",2000,1000))+MIN(N59,500)+E59/1000000-ROW()/100000)</f>
        <v>0</v>
      </c>
    </row>
    <row r="60">
      <c r="A60" s="29" t="n"/>
      <c r="B60" s="29" t="n"/>
      <c r="C60" s="33" t="n"/>
      <c r="D60" s="33" t="n"/>
      <c r="E60" s="31" t="n"/>
      <c r="F60" s="33" t="n"/>
      <c r="G60" s="34" t="n"/>
      <c r="H60" s="34" t="n"/>
      <c r="I60" s="34" t="n"/>
      <c r="J60" s="34" t="n"/>
      <c r="K60" s="29" t="n"/>
      <c r="L60" s="24">
        <f>IF(F60="","",IFERROR(INDEX(Config!$B$11:$B$16,MATCH(F60,Config!$A$11:$A$16,0)),0))</f>
        <v/>
      </c>
      <c r="M60" s="23">
        <f>IF(OR(F60="",E60=""),"",E60*L60)</f>
        <v/>
      </c>
      <c r="N60" s="26">
        <f>IF(OR(F60="",F60="Ganha",F60="Perdida"),"",Config!$B$5-IF(H60="",G60,H60))</f>
        <v/>
      </c>
      <c r="O60" s="22">
        <f>IF(F60="","",IF(F60="Ganha","Fechada",IF(F60="Perdida","Perdida",IF(AND(I60&lt;&gt;"",I60&lt;Config!$B$5),"Fechamento vencido",IF(N60&gt;Config!$B$7,"Parada","Ativa")))))</f>
        <v/>
      </c>
      <c r="P60" s="35">
        <f>IF(OR(F60="",O60="Fechada",O60="Perdida"),0,IF(O60="Fechamento vencido",3000,IF(O60="Parada",2000,1000))+MIN(N60,500)+E60/1000000-ROW()/100000)</f>
        <v>0</v>
      </c>
    </row>
    <row r="61">
      <c r="A61" s="29" t="n"/>
      <c r="B61" s="29" t="n"/>
      <c r="C61" s="33" t="n"/>
      <c r="D61" s="33" t="n"/>
      <c r="E61" s="31" t="n"/>
      <c r="F61" s="33" t="n"/>
      <c r="G61" s="34" t="n"/>
      <c r="H61" s="34" t="n"/>
      <c r="I61" s="34" t="n"/>
      <c r="J61" s="34" t="n"/>
      <c r="K61" s="29" t="n"/>
      <c r="L61" s="24">
        <f>IF(F61="","",IFERROR(INDEX(Config!$B$11:$B$16,MATCH(F61,Config!$A$11:$A$16,0)),0))</f>
        <v/>
      </c>
      <c r="M61" s="23">
        <f>IF(OR(F61="",E61=""),"",E61*L61)</f>
        <v/>
      </c>
      <c r="N61" s="26">
        <f>IF(OR(F61="",F61="Ganha",F61="Perdida"),"",Config!$B$5-IF(H61="",G61,H61))</f>
        <v/>
      </c>
      <c r="O61" s="22">
        <f>IF(F61="","",IF(F61="Ganha","Fechada",IF(F61="Perdida","Perdida",IF(AND(I61&lt;&gt;"",I61&lt;Config!$B$5),"Fechamento vencido",IF(N61&gt;Config!$B$7,"Parada","Ativa")))))</f>
        <v/>
      </c>
      <c r="P61" s="35">
        <f>IF(OR(F61="",O61="Fechada",O61="Perdida"),0,IF(O61="Fechamento vencido",3000,IF(O61="Parada",2000,1000))+MIN(N61,500)+E61/1000000-ROW()/100000)</f>
        <v>0</v>
      </c>
    </row>
    <row r="62">
      <c r="A62" s="29" t="n"/>
      <c r="B62" s="29" t="n"/>
      <c r="C62" s="33" t="n"/>
      <c r="D62" s="33" t="n"/>
      <c r="E62" s="31" t="n"/>
      <c r="F62" s="33" t="n"/>
      <c r="G62" s="34" t="n"/>
      <c r="H62" s="34" t="n"/>
      <c r="I62" s="34" t="n"/>
      <c r="J62" s="34" t="n"/>
      <c r="K62" s="29" t="n"/>
      <c r="L62" s="24">
        <f>IF(F62="","",IFERROR(INDEX(Config!$B$11:$B$16,MATCH(F62,Config!$A$11:$A$16,0)),0))</f>
        <v/>
      </c>
      <c r="M62" s="23">
        <f>IF(OR(F62="",E62=""),"",E62*L62)</f>
        <v/>
      </c>
      <c r="N62" s="26">
        <f>IF(OR(F62="",F62="Ganha",F62="Perdida"),"",Config!$B$5-IF(H62="",G62,H62))</f>
        <v/>
      </c>
      <c r="O62" s="22">
        <f>IF(F62="","",IF(F62="Ganha","Fechada",IF(F62="Perdida","Perdida",IF(AND(I62&lt;&gt;"",I62&lt;Config!$B$5),"Fechamento vencido",IF(N62&gt;Config!$B$7,"Parada","Ativa")))))</f>
        <v/>
      </c>
      <c r="P62" s="35">
        <f>IF(OR(F62="",O62="Fechada",O62="Perdida"),0,IF(O62="Fechamento vencido",3000,IF(O62="Parada",2000,1000))+MIN(N62,500)+E62/1000000-ROW()/100000)</f>
        <v>0</v>
      </c>
    </row>
    <row r="63">
      <c r="A63" s="29" t="n"/>
      <c r="B63" s="29" t="n"/>
      <c r="C63" s="33" t="n"/>
      <c r="D63" s="33" t="n"/>
      <c r="E63" s="31" t="n"/>
      <c r="F63" s="33" t="n"/>
      <c r="G63" s="34" t="n"/>
      <c r="H63" s="34" t="n"/>
      <c r="I63" s="34" t="n"/>
      <c r="J63" s="34" t="n"/>
      <c r="K63" s="29" t="n"/>
      <c r="L63" s="24">
        <f>IF(F63="","",IFERROR(INDEX(Config!$B$11:$B$16,MATCH(F63,Config!$A$11:$A$16,0)),0))</f>
        <v/>
      </c>
      <c r="M63" s="23">
        <f>IF(OR(F63="",E63=""),"",E63*L63)</f>
        <v/>
      </c>
      <c r="N63" s="26">
        <f>IF(OR(F63="",F63="Ganha",F63="Perdida"),"",Config!$B$5-IF(H63="",G63,H63))</f>
        <v/>
      </c>
      <c r="O63" s="22">
        <f>IF(F63="","",IF(F63="Ganha","Fechada",IF(F63="Perdida","Perdida",IF(AND(I63&lt;&gt;"",I63&lt;Config!$B$5),"Fechamento vencido",IF(N63&gt;Config!$B$7,"Parada","Ativa")))))</f>
        <v/>
      </c>
      <c r="P63" s="35">
        <f>IF(OR(F63="",O63="Fechada",O63="Perdida"),0,IF(O63="Fechamento vencido",3000,IF(O63="Parada",2000,1000))+MIN(N63,500)+E63/1000000-ROW()/100000)</f>
        <v>0</v>
      </c>
    </row>
    <row r="64">
      <c r="A64" s="29" t="n"/>
      <c r="B64" s="29" t="n"/>
      <c r="C64" s="33" t="n"/>
      <c r="D64" s="33" t="n"/>
      <c r="E64" s="31" t="n"/>
      <c r="F64" s="33" t="n"/>
      <c r="G64" s="34" t="n"/>
      <c r="H64" s="34" t="n"/>
      <c r="I64" s="34" t="n"/>
      <c r="J64" s="34" t="n"/>
      <c r="K64" s="29" t="n"/>
      <c r="L64" s="24">
        <f>IF(F64="","",IFERROR(INDEX(Config!$B$11:$B$16,MATCH(F64,Config!$A$11:$A$16,0)),0))</f>
        <v/>
      </c>
      <c r="M64" s="23">
        <f>IF(OR(F64="",E64=""),"",E64*L64)</f>
        <v/>
      </c>
      <c r="N64" s="26">
        <f>IF(OR(F64="",F64="Ganha",F64="Perdida"),"",Config!$B$5-IF(H64="",G64,H64))</f>
        <v/>
      </c>
      <c r="O64" s="22">
        <f>IF(F64="","",IF(F64="Ganha","Fechada",IF(F64="Perdida","Perdida",IF(AND(I64&lt;&gt;"",I64&lt;Config!$B$5),"Fechamento vencido",IF(N64&gt;Config!$B$7,"Parada","Ativa")))))</f>
        <v/>
      </c>
      <c r="P64" s="35">
        <f>IF(OR(F64="",O64="Fechada",O64="Perdida"),0,IF(O64="Fechamento vencido",3000,IF(O64="Parada",2000,1000))+MIN(N64,500)+E64/1000000-ROW()/100000)</f>
        <v>0</v>
      </c>
    </row>
    <row r="65">
      <c r="A65" s="29" t="n"/>
      <c r="B65" s="29" t="n"/>
      <c r="C65" s="33" t="n"/>
      <c r="D65" s="33" t="n"/>
      <c r="E65" s="31" t="n"/>
      <c r="F65" s="33" t="n"/>
      <c r="G65" s="34" t="n"/>
      <c r="H65" s="34" t="n"/>
      <c r="I65" s="34" t="n"/>
      <c r="J65" s="34" t="n"/>
      <c r="K65" s="29" t="n"/>
      <c r="L65" s="24">
        <f>IF(F65="","",IFERROR(INDEX(Config!$B$11:$B$16,MATCH(F65,Config!$A$11:$A$16,0)),0))</f>
        <v/>
      </c>
      <c r="M65" s="23">
        <f>IF(OR(F65="",E65=""),"",E65*L65)</f>
        <v/>
      </c>
      <c r="N65" s="26">
        <f>IF(OR(F65="",F65="Ganha",F65="Perdida"),"",Config!$B$5-IF(H65="",G65,H65))</f>
        <v/>
      </c>
      <c r="O65" s="22">
        <f>IF(F65="","",IF(F65="Ganha","Fechada",IF(F65="Perdida","Perdida",IF(AND(I65&lt;&gt;"",I65&lt;Config!$B$5),"Fechamento vencido",IF(N65&gt;Config!$B$7,"Parada","Ativa")))))</f>
        <v/>
      </c>
      <c r="P65" s="35">
        <f>IF(OR(F65="",O65="Fechada",O65="Perdida"),0,IF(O65="Fechamento vencido",3000,IF(O65="Parada",2000,1000))+MIN(N65,500)+E65/1000000-ROW()/100000)</f>
        <v>0</v>
      </c>
    </row>
    <row r="66">
      <c r="A66" s="29" t="n"/>
      <c r="B66" s="29" t="n"/>
      <c r="C66" s="33" t="n"/>
      <c r="D66" s="33" t="n"/>
      <c r="E66" s="31" t="n"/>
      <c r="F66" s="33" t="n"/>
      <c r="G66" s="34" t="n"/>
      <c r="H66" s="34" t="n"/>
      <c r="I66" s="34" t="n"/>
      <c r="J66" s="34" t="n"/>
      <c r="K66" s="29" t="n"/>
      <c r="L66" s="24">
        <f>IF(F66="","",IFERROR(INDEX(Config!$B$11:$B$16,MATCH(F66,Config!$A$11:$A$16,0)),0))</f>
        <v/>
      </c>
      <c r="M66" s="23">
        <f>IF(OR(F66="",E66=""),"",E66*L66)</f>
        <v/>
      </c>
      <c r="N66" s="26">
        <f>IF(OR(F66="",F66="Ganha",F66="Perdida"),"",Config!$B$5-IF(H66="",G66,H66))</f>
        <v/>
      </c>
      <c r="O66" s="22">
        <f>IF(F66="","",IF(F66="Ganha","Fechada",IF(F66="Perdida","Perdida",IF(AND(I66&lt;&gt;"",I66&lt;Config!$B$5),"Fechamento vencido",IF(N66&gt;Config!$B$7,"Parada","Ativa")))))</f>
        <v/>
      </c>
      <c r="P66" s="35">
        <f>IF(OR(F66="",O66="Fechada",O66="Perdida"),0,IF(O66="Fechamento vencido",3000,IF(O66="Parada",2000,1000))+MIN(N66,500)+E66/1000000-ROW()/100000)</f>
        <v>0</v>
      </c>
    </row>
    <row r="67">
      <c r="A67" s="29" t="n"/>
      <c r="B67" s="29" t="n"/>
      <c r="C67" s="33" t="n"/>
      <c r="D67" s="33" t="n"/>
      <c r="E67" s="31" t="n"/>
      <c r="F67" s="33" t="n"/>
      <c r="G67" s="34" t="n"/>
      <c r="H67" s="34" t="n"/>
      <c r="I67" s="34" t="n"/>
      <c r="J67" s="34" t="n"/>
      <c r="K67" s="29" t="n"/>
      <c r="L67" s="24">
        <f>IF(F67="","",IFERROR(INDEX(Config!$B$11:$B$16,MATCH(F67,Config!$A$11:$A$16,0)),0))</f>
        <v/>
      </c>
      <c r="M67" s="23">
        <f>IF(OR(F67="",E67=""),"",E67*L67)</f>
        <v/>
      </c>
      <c r="N67" s="26">
        <f>IF(OR(F67="",F67="Ganha",F67="Perdida"),"",Config!$B$5-IF(H67="",G67,H67))</f>
        <v/>
      </c>
      <c r="O67" s="22">
        <f>IF(F67="","",IF(F67="Ganha","Fechada",IF(F67="Perdida","Perdida",IF(AND(I67&lt;&gt;"",I67&lt;Config!$B$5),"Fechamento vencido",IF(N67&gt;Config!$B$7,"Parada","Ativa")))))</f>
        <v/>
      </c>
      <c r="P67" s="35">
        <f>IF(OR(F67="",O67="Fechada",O67="Perdida"),0,IF(O67="Fechamento vencido",3000,IF(O67="Parada",2000,1000))+MIN(N67,500)+E67/1000000-ROW()/100000)</f>
        <v>0</v>
      </c>
    </row>
    <row r="68">
      <c r="A68" s="29" t="n"/>
      <c r="B68" s="29" t="n"/>
      <c r="C68" s="33" t="n"/>
      <c r="D68" s="33" t="n"/>
      <c r="E68" s="31" t="n"/>
      <c r="F68" s="33" t="n"/>
      <c r="G68" s="34" t="n"/>
      <c r="H68" s="34" t="n"/>
      <c r="I68" s="34" t="n"/>
      <c r="J68" s="34" t="n"/>
      <c r="K68" s="29" t="n"/>
      <c r="L68" s="24">
        <f>IF(F68="","",IFERROR(INDEX(Config!$B$11:$B$16,MATCH(F68,Config!$A$11:$A$16,0)),0))</f>
        <v/>
      </c>
      <c r="M68" s="23">
        <f>IF(OR(F68="",E68=""),"",E68*L68)</f>
        <v/>
      </c>
      <c r="N68" s="26">
        <f>IF(OR(F68="",F68="Ganha",F68="Perdida"),"",Config!$B$5-IF(H68="",G68,H68))</f>
        <v/>
      </c>
      <c r="O68" s="22">
        <f>IF(F68="","",IF(F68="Ganha","Fechada",IF(F68="Perdida","Perdida",IF(AND(I68&lt;&gt;"",I68&lt;Config!$B$5),"Fechamento vencido",IF(N68&gt;Config!$B$7,"Parada","Ativa")))))</f>
        <v/>
      </c>
      <c r="P68" s="35">
        <f>IF(OR(F68="",O68="Fechada",O68="Perdida"),0,IF(O68="Fechamento vencido",3000,IF(O68="Parada",2000,1000))+MIN(N68,500)+E68/1000000-ROW()/100000)</f>
        <v>0</v>
      </c>
    </row>
    <row r="69">
      <c r="A69" s="29" t="n"/>
      <c r="B69" s="29" t="n"/>
      <c r="C69" s="33" t="n"/>
      <c r="D69" s="33" t="n"/>
      <c r="E69" s="31" t="n"/>
      <c r="F69" s="33" t="n"/>
      <c r="G69" s="34" t="n"/>
      <c r="H69" s="34" t="n"/>
      <c r="I69" s="34" t="n"/>
      <c r="J69" s="34" t="n"/>
      <c r="K69" s="29" t="n"/>
      <c r="L69" s="24">
        <f>IF(F69="","",IFERROR(INDEX(Config!$B$11:$B$16,MATCH(F69,Config!$A$11:$A$16,0)),0))</f>
        <v/>
      </c>
      <c r="M69" s="23">
        <f>IF(OR(F69="",E69=""),"",E69*L69)</f>
        <v/>
      </c>
      <c r="N69" s="26">
        <f>IF(OR(F69="",F69="Ganha",F69="Perdida"),"",Config!$B$5-IF(H69="",G69,H69))</f>
        <v/>
      </c>
      <c r="O69" s="22">
        <f>IF(F69="","",IF(F69="Ganha","Fechada",IF(F69="Perdida","Perdida",IF(AND(I69&lt;&gt;"",I69&lt;Config!$B$5),"Fechamento vencido",IF(N69&gt;Config!$B$7,"Parada","Ativa")))))</f>
        <v/>
      </c>
      <c r="P69" s="35">
        <f>IF(OR(F69="",O69="Fechada",O69="Perdida"),0,IF(O69="Fechamento vencido",3000,IF(O69="Parada",2000,1000))+MIN(N69,500)+E69/1000000-ROW()/100000)</f>
        <v>0</v>
      </c>
    </row>
    <row r="70">
      <c r="A70" s="29" t="n"/>
      <c r="B70" s="29" t="n"/>
      <c r="C70" s="33" t="n"/>
      <c r="D70" s="33" t="n"/>
      <c r="E70" s="31" t="n"/>
      <c r="F70" s="33" t="n"/>
      <c r="G70" s="34" t="n"/>
      <c r="H70" s="34" t="n"/>
      <c r="I70" s="34" t="n"/>
      <c r="J70" s="34" t="n"/>
      <c r="K70" s="29" t="n"/>
      <c r="L70" s="24">
        <f>IF(F70="","",IFERROR(INDEX(Config!$B$11:$B$16,MATCH(F70,Config!$A$11:$A$16,0)),0))</f>
        <v/>
      </c>
      <c r="M70" s="23">
        <f>IF(OR(F70="",E70=""),"",E70*L70)</f>
        <v/>
      </c>
      <c r="N70" s="26">
        <f>IF(OR(F70="",F70="Ganha",F70="Perdida"),"",Config!$B$5-IF(H70="",G70,H70))</f>
        <v/>
      </c>
      <c r="O70" s="22">
        <f>IF(F70="","",IF(F70="Ganha","Fechada",IF(F70="Perdida","Perdida",IF(AND(I70&lt;&gt;"",I70&lt;Config!$B$5),"Fechamento vencido",IF(N70&gt;Config!$B$7,"Parada","Ativa")))))</f>
        <v/>
      </c>
      <c r="P70" s="35">
        <f>IF(OR(F70="",O70="Fechada",O70="Perdida"),0,IF(O70="Fechamento vencido",3000,IF(O70="Parada",2000,1000))+MIN(N70,500)+E70/1000000-ROW()/100000)</f>
        <v>0</v>
      </c>
    </row>
    <row r="71">
      <c r="A71" s="29" t="n"/>
      <c r="B71" s="29" t="n"/>
      <c r="C71" s="33" t="n"/>
      <c r="D71" s="33" t="n"/>
      <c r="E71" s="31" t="n"/>
      <c r="F71" s="33" t="n"/>
      <c r="G71" s="34" t="n"/>
      <c r="H71" s="34" t="n"/>
      <c r="I71" s="34" t="n"/>
      <c r="J71" s="34" t="n"/>
      <c r="K71" s="29" t="n"/>
      <c r="L71" s="24">
        <f>IF(F71="","",IFERROR(INDEX(Config!$B$11:$B$16,MATCH(F71,Config!$A$11:$A$16,0)),0))</f>
        <v/>
      </c>
      <c r="M71" s="23">
        <f>IF(OR(F71="",E71=""),"",E71*L71)</f>
        <v/>
      </c>
      <c r="N71" s="26">
        <f>IF(OR(F71="",F71="Ganha",F71="Perdida"),"",Config!$B$5-IF(H71="",G71,H71))</f>
        <v/>
      </c>
      <c r="O71" s="22">
        <f>IF(F71="","",IF(F71="Ganha","Fechada",IF(F71="Perdida","Perdida",IF(AND(I71&lt;&gt;"",I71&lt;Config!$B$5),"Fechamento vencido",IF(N71&gt;Config!$B$7,"Parada","Ativa")))))</f>
        <v/>
      </c>
      <c r="P71" s="35">
        <f>IF(OR(F71="",O71="Fechada",O71="Perdida"),0,IF(O71="Fechamento vencido",3000,IF(O71="Parada",2000,1000))+MIN(N71,500)+E71/1000000-ROW()/100000)</f>
        <v>0</v>
      </c>
    </row>
    <row r="72">
      <c r="A72" s="29" t="n"/>
      <c r="B72" s="29" t="n"/>
      <c r="C72" s="33" t="n"/>
      <c r="D72" s="33" t="n"/>
      <c r="E72" s="31" t="n"/>
      <c r="F72" s="33" t="n"/>
      <c r="G72" s="34" t="n"/>
      <c r="H72" s="34" t="n"/>
      <c r="I72" s="34" t="n"/>
      <c r="J72" s="34" t="n"/>
      <c r="K72" s="29" t="n"/>
      <c r="L72" s="24">
        <f>IF(F72="","",IFERROR(INDEX(Config!$B$11:$B$16,MATCH(F72,Config!$A$11:$A$16,0)),0))</f>
        <v/>
      </c>
      <c r="M72" s="23">
        <f>IF(OR(F72="",E72=""),"",E72*L72)</f>
        <v/>
      </c>
      <c r="N72" s="26">
        <f>IF(OR(F72="",F72="Ganha",F72="Perdida"),"",Config!$B$5-IF(H72="",G72,H72))</f>
        <v/>
      </c>
      <c r="O72" s="22">
        <f>IF(F72="","",IF(F72="Ganha","Fechada",IF(F72="Perdida","Perdida",IF(AND(I72&lt;&gt;"",I72&lt;Config!$B$5),"Fechamento vencido",IF(N72&gt;Config!$B$7,"Parada","Ativa")))))</f>
        <v/>
      </c>
      <c r="P72" s="35">
        <f>IF(OR(F72="",O72="Fechada",O72="Perdida"),0,IF(O72="Fechamento vencido",3000,IF(O72="Parada",2000,1000))+MIN(N72,500)+E72/1000000-ROW()/100000)</f>
        <v>0</v>
      </c>
    </row>
    <row r="73">
      <c r="A73" s="29" t="n"/>
      <c r="B73" s="29" t="n"/>
      <c r="C73" s="33" t="n"/>
      <c r="D73" s="33" t="n"/>
      <c r="E73" s="31" t="n"/>
      <c r="F73" s="33" t="n"/>
      <c r="G73" s="34" t="n"/>
      <c r="H73" s="34" t="n"/>
      <c r="I73" s="34" t="n"/>
      <c r="J73" s="34" t="n"/>
      <c r="K73" s="29" t="n"/>
      <c r="L73" s="24">
        <f>IF(F73="","",IFERROR(INDEX(Config!$B$11:$B$16,MATCH(F73,Config!$A$11:$A$16,0)),0))</f>
        <v/>
      </c>
      <c r="M73" s="23">
        <f>IF(OR(F73="",E73=""),"",E73*L73)</f>
        <v/>
      </c>
      <c r="N73" s="26">
        <f>IF(OR(F73="",F73="Ganha",F73="Perdida"),"",Config!$B$5-IF(H73="",G73,H73))</f>
        <v/>
      </c>
      <c r="O73" s="22">
        <f>IF(F73="","",IF(F73="Ganha","Fechada",IF(F73="Perdida","Perdida",IF(AND(I73&lt;&gt;"",I73&lt;Config!$B$5),"Fechamento vencido",IF(N73&gt;Config!$B$7,"Parada","Ativa")))))</f>
        <v/>
      </c>
      <c r="P73" s="35">
        <f>IF(OR(F73="",O73="Fechada",O73="Perdida"),0,IF(O73="Fechamento vencido",3000,IF(O73="Parada",2000,1000))+MIN(N73,500)+E73/1000000-ROW()/100000)</f>
        <v>0</v>
      </c>
    </row>
    <row r="74">
      <c r="A74" s="29" t="n"/>
      <c r="B74" s="29" t="n"/>
      <c r="C74" s="33" t="n"/>
      <c r="D74" s="33" t="n"/>
      <c r="E74" s="31" t="n"/>
      <c r="F74" s="33" t="n"/>
      <c r="G74" s="34" t="n"/>
      <c r="H74" s="34" t="n"/>
      <c r="I74" s="34" t="n"/>
      <c r="J74" s="34" t="n"/>
      <c r="K74" s="29" t="n"/>
      <c r="L74" s="24">
        <f>IF(F74="","",IFERROR(INDEX(Config!$B$11:$B$16,MATCH(F74,Config!$A$11:$A$16,0)),0))</f>
        <v/>
      </c>
      <c r="M74" s="23">
        <f>IF(OR(F74="",E74=""),"",E74*L74)</f>
        <v/>
      </c>
      <c r="N74" s="26">
        <f>IF(OR(F74="",F74="Ganha",F74="Perdida"),"",Config!$B$5-IF(H74="",G74,H74))</f>
        <v/>
      </c>
      <c r="O74" s="22">
        <f>IF(F74="","",IF(F74="Ganha","Fechada",IF(F74="Perdida","Perdida",IF(AND(I74&lt;&gt;"",I74&lt;Config!$B$5),"Fechamento vencido",IF(N74&gt;Config!$B$7,"Parada","Ativa")))))</f>
        <v/>
      </c>
      <c r="P74" s="35">
        <f>IF(OR(F74="",O74="Fechada",O74="Perdida"),0,IF(O74="Fechamento vencido",3000,IF(O74="Parada",2000,1000))+MIN(N74,500)+E74/1000000-ROW()/100000)</f>
        <v>0</v>
      </c>
    </row>
    <row r="75">
      <c r="A75" s="29" t="n"/>
      <c r="B75" s="29" t="n"/>
      <c r="C75" s="33" t="n"/>
      <c r="D75" s="33" t="n"/>
      <c r="E75" s="31" t="n"/>
      <c r="F75" s="33" t="n"/>
      <c r="G75" s="34" t="n"/>
      <c r="H75" s="34" t="n"/>
      <c r="I75" s="34" t="n"/>
      <c r="J75" s="34" t="n"/>
      <c r="K75" s="29" t="n"/>
      <c r="L75" s="24">
        <f>IF(F75="","",IFERROR(INDEX(Config!$B$11:$B$16,MATCH(F75,Config!$A$11:$A$16,0)),0))</f>
        <v/>
      </c>
      <c r="M75" s="23">
        <f>IF(OR(F75="",E75=""),"",E75*L75)</f>
        <v/>
      </c>
      <c r="N75" s="26">
        <f>IF(OR(F75="",F75="Ganha",F75="Perdida"),"",Config!$B$5-IF(H75="",G75,H75))</f>
        <v/>
      </c>
      <c r="O75" s="22">
        <f>IF(F75="","",IF(F75="Ganha","Fechada",IF(F75="Perdida","Perdida",IF(AND(I75&lt;&gt;"",I75&lt;Config!$B$5),"Fechamento vencido",IF(N75&gt;Config!$B$7,"Parada","Ativa")))))</f>
        <v/>
      </c>
      <c r="P75" s="35">
        <f>IF(OR(F75="",O75="Fechada",O75="Perdida"),0,IF(O75="Fechamento vencido",3000,IF(O75="Parada",2000,1000))+MIN(N75,500)+E75/1000000-ROW()/100000)</f>
        <v>0</v>
      </c>
    </row>
    <row r="76">
      <c r="A76" s="29" t="n"/>
      <c r="B76" s="29" t="n"/>
      <c r="C76" s="33" t="n"/>
      <c r="D76" s="33" t="n"/>
      <c r="E76" s="31" t="n"/>
      <c r="F76" s="33" t="n"/>
      <c r="G76" s="34" t="n"/>
      <c r="H76" s="34" t="n"/>
      <c r="I76" s="34" t="n"/>
      <c r="J76" s="34" t="n"/>
      <c r="K76" s="29" t="n"/>
      <c r="L76" s="24">
        <f>IF(F76="","",IFERROR(INDEX(Config!$B$11:$B$16,MATCH(F76,Config!$A$11:$A$16,0)),0))</f>
        <v/>
      </c>
      <c r="M76" s="23">
        <f>IF(OR(F76="",E76=""),"",E76*L76)</f>
        <v/>
      </c>
      <c r="N76" s="26">
        <f>IF(OR(F76="",F76="Ganha",F76="Perdida"),"",Config!$B$5-IF(H76="",G76,H76))</f>
        <v/>
      </c>
      <c r="O76" s="22">
        <f>IF(F76="","",IF(F76="Ganha","Fechada",IF(F76="Perdida","Perdida",IF(AND(I76&lt;&gt;"",I76&lt;Config!$B$5),"Fechamento vencido",IF(N76&gt;Config!$B$7,"Parada","Ativa")))))</f>
        <v/>
      </c>
      <c r="P76" s="35">
        <f>IF(OR(F76="",O76="Fechada",O76="Perdida"),0,IF(O76="Fechamento vencido",3000,IF(O76="Parada",2000,1000))+MIN(N76,500)+E76/1000000-ROW()/100000)</f>
        <v>0</v>
      </c>
    </row>
    <row r="77">
      <c r="A77" s="29" t="n"/>
      <c r="B77" s="29" t="n"/>
      <c r="C77" s="33" t="n"/>
      <c r="D77" s="33" t="n"/>
      <c r="E77" s="31" t="n"/>
      <c r="F77" s="33" t="n"/>
      <c r="G77" s="34" t="n"/>
      <c r="H77" s="34" t="n"/>
      <c r="I77" s="34" t="n"/>
      <c r="J77" s="34" t="n"/>
      <c r="K77" s="29" t="n"/>
      <c r="L77" s="24">
        <f>IF(F77="","",IFERROR(INDEX(Config!$B$11:$B$16,MATCH(F77,Config!$A$11:$A$16,0)),0))</f>
        <v/>
      </c>
      <c r="M77" s="23">
        <f>IF(OR(F77="",E77=""),"",E77*L77)</f>
        <v/>
      </c>
      <c r="N77" s="26">
        <f>IF(OR(F77="",F77="Ganha",F77="Perdida"),"",Config!$B$5-IF(H77="",G77,H77))</f>
        <v/>
      </c>
      <c r="O77" s="22">
        <f>IF(F77="","",IF(F77="Ganha","Fechada",IF(F77="Perdida","Perdida",IF(AND(I77&lt;&gt;"",I77&lt;Config!$B$5),"Fechamento vencido",IF(N77&gt;Config!$B$7,"Parada","Ativa")))))</f>
        <v/>
      </c>
      <c r="P77" s="35">
        <f>IF(OR(F77="",O77="Fechada",O77="Perdida"),0,IF(O77="Fechamento vencido",3000,IF(O77="Parada",2000,1000))+MIN(N77,500)+E77/1000000-ROW()/100000)</f>
        <v>0</v>
      </c>
    </row>
    <row r="78">
      <c r="A78" s="29" t="n"/>
      <c r="B78" s="29" t="n"/>
      <c r="C78" s="33" t="n"/>
      <c r="D78" s="33" t="n"/>
      <c r="E78" s="31" t="n"/>
      <c r="F78" s="33" t="n"/>
      <c r="G78" s="34" t="n"/>
      <c r="H78" s="34" t="n"/>
      <c r="I78" s="34" t="n"/>
      <c r="J78" s="34" t="n"/>
      <c r="K78" s="29" t="n"/>
      <c r="L78" s="24">
        <f>IF(F78="","",IFERROR(INDEX(Config!$B$11:$B$16,MATCH(F78,Config!$A$11:$A$16,0)),0))</f>
        <v/>
      </c>
      <c r="M78" s="23">
        <f>IF(OR(F78="",E78=""),"",E78*L78)</f>
        <v/>
      </c>
      <c r="N78" s="26">
        <f>IF(OR(F78="",F78="Ganha",F78="Perdida"),"",Config!$B$5-IF(H78="",G78,H78))</f>
        <v/>
      </c>
      <c r="O78" s="22">
        <f>IF(F78="","",IF(F78="Ganha","Fechada",IF(F78="Perdida","Perdida",IF(AND(I78&lt;&gt;"",I78&lt;Config!$B$5),"Fechamento vencido",IF(N78&gt;Config!$B$7,"Parada","Ativa")))))</f>
        <v/>
      </c>
      <c r="P78" s="35">
        <f>IF(OR(F78="",O78="Fechada",O78="Perdida"),0,IF(O78="Fechamento vencido",3000,IF(O78="Parada",2000,1000))+MIN(N78,500)+E78/1000000-ROW()/100000)</f>
        <v>0</v>
      </c>
    </row>
    <row r="79">
      <c r="A79" s="29" t="n"/>
      <c r="B79" s="29" t="n"/>
      <c r="C79" s="33" t="n"/>
      <c r="D79" s="33" t="n"/>
      <c r="E79" s="31" t="n"/>
      <c r="F79" s="33" t="n"/>
      <c r="G79" s="34" t="n"/>
      <c r="H79" s="34" t="n"/>
      <c r="I79" s="34" t="n"/>
      <c r="J79" s="34" t="n"/>
      <c r="K79" s="29" t="n"/>
      <c r="L79" s="24">
        <f>IF(F79="","",IFERROR(INDEX(Config!$B$11:$B$16,MATCH(F79,Config!$A$11:$A$16,0)),0))</f>
        <v/>
      </c>
      <c r="M79" s="23">
        <f>IF(OR(F79="",E79=""),"",E79*L79)</f>
        <v/>
      </c>
      <c r="N79" s="26">
        <f>IF(OR(F79="",F79="Ganha",F79="Perdida"),"",Config!$B$5-IF(H79="",G79,H79))</f>
        <v/>
      </c>
      <c r="O79" s="22">
        <f>IF(F79="","",IF(F79="Ganha","Fechada",IF(F79="Perdida","Perdida",IF(AND(I79&lt;&gt;"",I79&lt;Config!$B$5),"Fechamento vencido",IF(N79&gt;Config!$B$7,"Parada","Ativa")))))</f>
        <v/>
      </c>
      <c r="P79" s="35">
        <f>IF(OR(F79="",O79="Fechada",O79="Perdida"),0,IF(O79="Fechamento vencido",3000,IF(O79="Parada",2000,1000))+MIN(N79,500)+E79/1000000-ROW()/100000)</f>
        <v>0</v>
      </c>
    </row>
    <row r="80">
      <c r="A80" s="29" t="n"/>
      <c r="B80" s="29" t="n"/>
      <c r="C80" s="33" t="n"/>
      <c r="D80" s="33" t="n"/>
      <c r="E80" s="31" t="n"/>
      <c r="F80" s="33" t="n"/>
      <c r="G80" s="34" t="n"/>
      <c r="H80" s="34" t="n"/>
      <c r="I80" s="34" t="n"/>
      <c r="J80" s="34" t="n"/>
      <c r="K80" s="29" t="n"/>
      <c r="L80" s="24">
        <f>IF(F80="","",IFERROR(INDEX(Config!$B$11:$B$16,MATCH(F80,Config!$A$11:$A$16,0)),0))</f>
        <v/>
      </c>
      <c r="M80" s="23">
        <f>IF(OR(F80="",E80=""),"",E80*L80)</f>
        <v/>
      </c>
      <c r="N80" s="26">
        <f>IF(OR(F80="",F80="Ganha",F80="Perdida"),"",Config!$B$5-IF(H80="",G80,H80))</f>
        <v/>
      </c>
      <c r="O80" s="22">
        <f>IF(F80="","",IF(F80="Ganha","Fechada",IF(F80="Perdida","Perdida",IF(AND(I80&lt;&gt;"",I80&lt;Config!$B$5),"Fechamento vencido",IF(N80&gt;Config!$B$7,"Parada","Ativa")))))</f>
        <v/>
      </c>
      <c r="P80" s="35">
        <f>IF(OR(F80="",O80="Fechada",O80="Perdida"),0,IF(O80="Fechamento vencido",3000,IF(O80="Parada",2000,1000))+MIN(N80,500)+E80/1000000-ROW()/100000)</f>
        <v>0</v>
      </c>
    </row>
    <row r="81">
      <c r="A81" s="29" t="n"/>
      <c r="B81" s="29" t="n"/>
      <c r="C81" s="33" t="n"/>
      <c r="D81" s="33" t="n"/>
      <c r="E81" s="31" t="n"/>
      <c r="F81" s="33" t="n"/>
      <c r="G81" s="34" t="n"/>
      <c r="H81" s="34" t="n"/>
      <c r="I81" s="34" t="n"/>
      <c r="J81" s="34" t="n"/>
      <c r="K81" s="29" t="n"/>
      <c r="L81" s="24">
        <f>IF(F81="","",IFERROR(INDEX(Config!$B$11:$B$16,MATCH(F81,Config!$A$11:$A$16,0)),0))</f>
        <v/>
      </c>
      <c r="M81" s="23">
        <f>IF(OR(F81="",E81=""),"",E81*L81)</f>
        <v/>
      </c>
      <c r="N81" s="26">
        <f>IF(OR(F81="",F81="Ganha",F81="Perdida"),"",Config!$B$5-IF(H81="",G81,H81))</f>
        <v/>
      </c>
      <c r="O81" s="22">
        <f>IF(F81="","",IF(F81="Ganha","Fechada",IF(F81="Perdida","Perdida",IF(AND(I81&lt;&gt;"",I81&lt;Config!$B$5),"Fechamento vencido",IF(N81&gt;Config!$B$7,"Parada","Ativa")))))</f>
        <v/>
      </c>
      <c r="P81" s="35">
        <f>IF(OR(F81="",O81="Fechada",O81="Perdida"),0,IF(O81="Fechamento vencido",3000,IF(O81="Parada",2000,1000))+MIN(N81,500)+E81/1000000-ROW()/100000)</f>
        <v>0</v>
      </c>
    </row>
    <row r="82">
      <c r="A82" s="29" t="n"/>
      <c r="B82" s="29" t="n"/>
      <c r="C82" s="33" t="n"/>
      <c r="D82" s="33" t="n"/>
      <c r="E82" s="31" t="n"/>
      <c r="F82" s="33" t="n"/>
      <c r="G82" s="34" t="n"/>
      <c r="H82" s="34" t="n"/>
      <c r="I82" s="34" t="n"/>
      <c r="J82" s="34" t="n"/>
      <c r="K82" s="29" t="n"/>
      <c r="L82" s="24">
        <f>IF(F82="","",IFERROR(INDEX(Config!$B$11:$B$16,MATCH(F82,Config!$A$11:$A$16,0)),0))</f>
        <v/>
      </c>
      <c r="M82" s="23">
        <f>IF(OR(F82="",E82=""),"",E82*L82)</f>
        <v/>
      </c>
      <c r="N82" s="26">
        <f>IF(OR(F82="",F82="Ganha",F82="Perdida"),"",Config!$B$5-IF(H82="",G82,H82))</f>
        <v/>
      </c>
      <c r="O82" s="22">
        <f>IF(F82="","",IF(F82="Ganha","Fechada",IF(F82="Perdida","Perdida",IF(AND(I82&lt;&gt;"",I82&lt;Config!$B$5),"Fechamento vencido",IF(N82&gt;Config!$B$7,"Parada","Ativa")))))</f>
        <v/>
      </c>
      <c r="P82" s="35">
        <f>IF(OR(F82="",O82="Fechada",O82="Perdida"),0,IF(O82="Fechamento vencido",3000,IF(O82="Parada",2000,1000))+MIN(N82,500)+E82/1000000-ROW()/100000)</f>
        <v>0</v>
      </c>
    </row>
    <row r="83">
      <c r="A83" s="29" t="n"/>
      <c r="B83" s="29" t="n"/>
      <c r="C83" s="33" t="n"/>
      <c r="D83" s="33" t="n"/>
      <c r="E83" s="31" t="n"/>
      <c r="F83" s="33" t="n"/>
      <c r="G83" s="34" t="n"/>
      <c r="H83" s="34" t="n"/>
      <c r="I83" s="34" t="n"/>
      <c r="J83" s="34" t="n"/>
      <c r="K83" s="29" t="n"/>
      <c r="L83" s="24">
        <f>IF(F83="","",IFERROR(INDEX(Config!$B$11:$B$16,MATCH(F83,Config!$A$11:$A$16,0)),0))</f>
        <v/>
      </c>
      <c r="M83" s="23">
        <f>IF(OR(F83="",E83=""),"",E83*L83)</f>
        <v/>
      </c>
      <c r="N83" s="26">
        <f>IF(OR(F83="",F83="Ganha",F83="Perdida"),"",Config!$B$5-IF(H83="",G83,H83))</f>
        <v/>
      </c>
      <c r="O83" s="22">
        <f>IF(F83="","",IF(F83="Ganha","Fechada",IF(F83="Perdida","Perdida",IF(AND(I83&lt;&gt;"",I83&lt;Config!$B$5),"Fechamento vencido",IF(N83&gt;Config!$B$7,"Parada","Ativa")))))</f>
        <v/>
      </c>
      <c r="P83" s="35">
        <f>IF(OR(F83="",O83="Fechada",O83="Perdida"),0,IF(O83="Fechamento vencido",3000,IF(O83="Parada",2000,1000))+MIN(N83,500)+E83/1000000-ROW()/100000)</f>
        <v>0</v>
      </c>
    </row>
    <row r="84">
      <c r="A84" s="29" t="n"/>
      <c r="B84" s="29" t="n"/>
      <c r="C84" s="33" t="n"/>
      <c r="D84" s="33" t="n"/>
      <c r="E84" s="31" t="n"/>
      <c r="F84" s="33" t="n"/>
      <c r="G84" s="34" t="n"/>
      <c r="H84" s="34" t="n"/>
      <c r="I84" s="34" t="n"/>
      <c r="J84" s="34" t="n"/>
      <c r="K84" s="29" t="n"/>
      <c r="L84" s="24">
        <f>IF(F84="","",IFERROR(INDEX(Config!$B$11:$B$16,MATCH(F84,Config!$A$11:$A$16,0)),0))</f>
        <v/>
      </c>
      <c r="M84" s="23">
        <f>IF(OR(F84="",E84=""),"",E84*L84)</f>
        <v/>
      </c>
      <c r="N84" s="26">
        <f>IF(OR(F84="",F84="Ganha",F84="Perdida"),"",Config!$B$5-IF(H84="",G84,H84))</f>
        <v/>
      </c>
      <c r="O84" s="22">
        <f>IF(F84="","",IF(F84="Ganha","Fechada",IF(F84="Perdida","Perdida",IF(AND(I84&lt;&gt;"",I84&lt;Config!$B$5),"Fechamento vencido",IF(N84&gt;Config!$B$7,"Parada","Ativa")))))</f>
        <v/>
      </c>
      <c r="P84" s="35">
        <f>IF(OR(F84="",O84="Fechada",O84="Perdida"),0,IF(O84="Fechamento vencido",3000,IF(O84="Parada",2000,1000))+MIN(N84,500)+E84/1000000-ROW()/100000)</f>
        <v>0</v>
      </c>
    </row>
    <row r="85">
      <c r="A85" s="29" t="n"/>
      <c r="B85" s="29" t="n"/>
      <c r="C85" s="33" t="n"/>
      <c r="D85" s="33" t="n"/>
      <c r="E85" s="31" t="n"/>
      <c r="F85" s="33" t="n"/>
      <c r="G85" s="34" t="n"/>
      <c r="H85" s="34" t="n"/>
      <c r="I85" s="34" t="n"/>
      <c r="J85" s="34" t="n"/>
      <c r="K85" s="29" t="n"/>
      <c r="L85" s="24">
        <f>IF(F85="","",IFERROR(INDEX(Config!$B$11:$B$16,MATCH(F85,Config!$A$11:$A$16,0)),0))</f>
        <v/>
      </c>
      <c r="M85" s="23">
        <f>IF(OR(F85="",E85=""),"",E85*L85)</f>
        <v/>
      </c>
      <c r="N85" s="26">
        <f>IF(OR(F85="",F85="Ganha",F85="Perdida"),"",Config!$B$5-IF(H85="",G85,H85))</f>
        <v/>
      </c>
      <c r="O85" s="22">
        <f>IF(F85="","",IF(F85="Ganha","Fechada",IF(F85="Perdida","Perdida",IF(AND(I85&lt;&gt;"",I85&lt;Config!$B$5),"Fechamento vencido",IF(N85&gt;Config!$B$7,"Parada","Ativa")))))</f>
        <v/>
      </c>
      <c r="P85" s="35">
        <f>IF(OR(F85="",O85="Fechada",O85="Perdida"),0,IF(O85="Fechamento vencido",3000,IF(O85="Parada",2000,1000))+MIN(N85,500)+E85/1000000-ROW()/100000)</f>
        <v>0</v>
      </c>
    </row>
    <row r="86">
      <c r="A86" s="29" t="n"/>
      <c r="B86" s="29" t="n"/>
      <c r="C86" s="33" t="n"/>
      <c r="D86" s="33" t="n"/>
      <c r="E86" s="31" t="n"/>
      <c r="F86" s="33" t="n"/>
      <c r="G86" s="34" t="n"/>
      <c r="H86" s="34" t="n"/>
      <c r="I86" s="34" t="n"/>
      <c r="J86" s="34" t="n"/>
      <c r="K86" s="29" t="n"/>
      <c r="L86" s="24">
        <f>IF(F86="","",IFERROR(INDEX(Config!$B$11:$B$16,MATCH(F86,Config!$A$11:$A$16,0)),0))</f>
        <v/>
      </c>
      <c r="M86" s="23">
        <f>IF(OR(F86="",E86=""),"",E86*L86)</f>
        <v/>
      </c>
      <c r="N86" s="26">
        <f>IF(OR(F86="",F86="Ganha",F86="Perdida"),"",Config!$B$5-IF(H86="",G86,H86))</f>
        <v/>
      </c>
      <c r="O86" s="22">
        <f>IF(F86="","",IF(F86="Ganha","Fechada",IF(F86="Perdida","Perdida",IF(AND(I86&lt;&gt;"",I86&lt;Config!$B$5),"Fechamento vencido",IF(N86&gt;Config!$B$7,"Parada","Ativa")))))</f>
        <v/>
      </c>
      <c r="P86" s="35">
        <f>IF(OR(F86="",O86="Fechada",O86="Perdida"),0,IF(O86="Fechamento vencido",3000,IF(O86="Parada",2000,1000))+MIN(N86,500)+E86/1000000-ROW()/100000)</f>
        <v>0</v>
      </c>
    </row>
    <row r="87">
      <c r="A87" s="29" t="n"/>
      <c r="B87" s="29" t="n"/>
      <c r="C87" s="33" t="n"/>
      <c r="D87" s="33" t="n"/>
      <c r="E87" s="31" t="n"/>
      <c r="F87" s="33" t="n"/>
      <c r="G87" s="34" t="n"/>
      <c r="H87" s="34" t="n"/>
      <c r="I87" s="34" t="n"/>
      <c r="J87" s="34" t="n"/>
      <c r="K87" s="29" t="n"/>
      <c r="L87" s="24">
        <f>IF(F87="","",IFERROR(INDEX(Config!$B$11:$B$16,MATCH(F87,Config!$A$11:$A$16,0)),0))</f>
        <v/>
      </c>
      <c r="M87" s="23">
        <f>IF(OR(F87="",E87=""),"",E87*L87)</f>
        <v/>
      </c>
      <c r="N87" s="26">
        <f>IF(OR(F87="",F87="Ganha",F87="Perdida"),"",Config!$B$5-IF(H87="",G87,H87))</f>
        <v/>
      </c>
      <c r="O87" s="22">
        <f>IF(F87="","",IF(F87="Ganha","Fechada",IF(F87="Perdida","Perdida",IF(AND(I87&lt;&gt;"",I87&lt;Config!$B$5),"Fechamento vencido",IF(N87&gt;Config!$B$7,"Parada","Ativa")))))</f>
        <v/>
      </c>
      <c r="P87" s="35">
        <f>IF(OR(F87="",O87="Fechada",O87="Perdida"),0,IF(O87="Fechamento vencido",3000,IF(O87="Parada",2000,1000))+MIN(N87,500)+E87/1000000-ROW()/100000)</f>
        <v>0</v>
      </c>
    </row>
    <row r="88">
      <c r="A88" s="29" t="n"/>
      <c r="B88" s="29" t="n"/>
      <c r="C88" s="33" t="n"/>
      <c r="D88" s="33" t="n"/>
      <c r="E88" s="31" t="n"/>
      <c r="F88" s="33" t="n"/>
      <c r="G88" s="34" t="n"/>
      <c r="H88" s="34" t="n"/>
      <c r="I88" s="34" t="n"/>
      <c r="J88" s="34" t="n"/>
      <c r="K88" s="29" t="n"/>
      <c r="L88" s="24">
        <f>IF(F88="","",IFERROR(INDEX(Config!$B$11:$B$16,MATCH(F88,Config!$A$11:$A$16,0)),0))</f>
        <v/>
      </c>
      <c r="M88" s="23">
        <f>IF(OR(F88="",E88=""),"",E88*L88)</f>
        <v/>
      </c>
      <c r="N88" s="26">
        <f>IF(OR(F88="",F88="Ganha",F88="Perdida"),"",Config!$B$5-IF(H88="",G88,H88))</f>
        <v/>
      </c>
      <c r="O88" s="22">
        <f>IF(F88="","",IF(F88="Ganha","Fechada",IF(F88="Perdida","Perdida",IF(AND(I88&lt;&gt;"",I88&lt;Config!$B$5),"Fechamento vencido",IF(N88&gt;Config!$B$7,"Parada","Ativa")))))</f>
        <v/>
      </c>
      <c r="P88" s="35">
        <f>IF(OR(F88="",O88="Fechada",O88="Perdida"),0,IF(O88="Fechamento vencido",3000,IF(O88="Parada",2000,1000))+MIN(N88,500)+E88/1000000-ROW()/100000)</f>
        <v>0</v>
      </c>
    </row>
    <row r="89">
      <c r="A89" s="29" t="n"/>
      <c r="B89" s="29" t="n"/>
      <c r="C89" s="33" t="n"/>
      <c r="D89" s="33" t="n"/>
      <c r="E89" s="31" t="n"/>
      <c r="F89" s="33" t="n"/>
      <c r="G89" s="34" t="n"/>
      <c r="H89" s="34" t="n"/>
      <c r="I89" s="34" t="n"/>
      <c r="J89" s="34" t="n"/>
      <c r="K89" s="29" t="n"/>
      <c r="L89" s="24">
        <f>IF(F89="","",IFERROR(INDEX(Config!$B$11:$B$16,MATCH(F89,Config!$A$11:$A$16,0)),0))</f>
        <v/>
      </c>
      <c r="M89" s="23">
        <f>IF(OR(F89="",E89=""),"",E89*L89)</f>
        <v/>
      </c>
      <c r="N89" s="26">
        <f>IF(OR(F89="",F89="Ganha",F89="Perdida"),"",Config!$B$5-IF(H89="",G89,H89))</f>
        <v/>
      </c>
      <c r="O89" s="22">
        <f>IF(F89="","",IF(F89="Ganha","Fechada",IF(F89="Perdida","Perdida",IF(AND(I89&lt;&gt;"",I89&lt;Config!$B$5),"Fechamento vencido",IF(N89&gt;Config!$B$7,"Parada","Ativa")))))</f>
        <v/>
      </c>
      <c r="P89" s="35">
        <f>IF(OR(F89="",O89="Fechada",O89="Perdida"),0,IF(O89="Fechamento vencido",3000,IF(O89="Parada",2000,1000))+MIN(N89,500)+E89/1000000-ROW()/100000)</f>
        <v>0</v>
      </c>
    </row>
    <row r="90">
      <c r="A90" s="29" t="n"/>
      <c r="B90" s="29" t="n"/>
      <c r="C90" s="33" t="n"/>
      <c r="D90" s="33" t="n"/>
      <c r="E90" s="31" t="n"/>
      <c r="F90" s="33" t="n"/>
      <c r="G90" s="34" t="n"/>
      <c r="H90" s="34" t="n"/>
      <c r="I90" s="34" t="n"/>
      <c r="J90" s="34" t="n"/>
      <c r="K90" s="29" t="n"/>
      <c r="L90" s="24">
        <f>IF(F90="","",IFERROR(INDEX(Config!$B$11:$B$16,MATCH(F90,Config!$A$11:$A$16,0)),0))</f>
        <v/>
      </c>
      <c r="M90" s="23">
        <f>IF(OR(F90="",E90=""),"",E90*L90)</f>
        <v/>
      </c>
      <c r="N90" s="26">
        <f>IF(OR(F90="",F90="Ganha",F90="Perdida"),"",Config!$B$5-IF(H90="",G90,H90))</f>
        <v/>
      </c>
      <c r="O90" s="22">
        <f>IF(F90="","",IF(F90="Ganha","Fechada",IF(F90="Perdida","Perdida",IF(AND(I90&lt;&gt;"",I90&lt;Config!$B$5),"Fechamento vencido",IF(N90&gt;Config!$B$7,"Parada","Ativa")))))</f>
        <v/>
      </c>
      <c r="P90" s="35">
        <f>IF(OR(F90="",O90="Fechada",O90="Perdida"),0,IF(O90="Fechamento vencido",3000,IF(O90="Parada",2000,1000))+MIN(N90,500)+E90/1000000-ROW()/100000)</f>
        <v>0</v>
      </c>
    </row>
    <row r="91">
      <c r="A91" s="29" t="n"/>
      <c r="B91" s="29" t="n"/>
      <c r="C91" s="33" t="n"/>
      <c r="D91" s="33" t="n"/>
      <c r="E91" s="31" t="n"/>
      <c r="F91" s="33" t="n"/>
      <c r="G91" s="34" t="n"/>
      <c r="H91" s="34" t="n"/>
      <c r="I91" s="34" t="n"/>
      <c r="J91" s="34" t="n"/>
      <c r="K91" s="29" t="n"/>
      <c r="L91" s="24">
        <f>IF(F91="","",IFERROR(INDEX(Config!$B$11:$B$16,MATCH(F91,Config!$A$11:$A$16,0)),0))</f>
        <v/>
      </c>
      <c r="M91" s="23">
        <f>IF(OR(F91="",E91=""),"",E91*L91)</f>
        <v/>
      </c>
      <c r="N91" s="26">
        <f>IF(OR(F91="",F91="Ganha",F91="Perdida"),"",Config!$B$5-IF(H91="",G91,H91))</f>
        <v/>
      </c>
      <c r="O91" s="22">
        <f>IF(F91="","",IF(F91="Ganha","Fechada",IF(F91="Perdida","Perdida",IF(AND(I91&lt;&gt;"",I91&lt;Config!$B$5),"Fechamento vencido",IF(N91&gt;Config!$B$7,"Parada","Ativa")))))</f>
        <v/>
      </c>
      <c r="P91" s="35">
        <f>IF(OR(F91="",O91="Fechada",O91="Perdida"),0,IF(O91="Fechamento vencido",3000,IF(O91="Parada",2000,1000))+MIN(N91,500)+E91/1000000-ROW()/100000)</f>
        <v>0</v>
      </c>
    </row>
    <row r="92">
      <c r="A92" s="29" t="n"/>
      <c r="B92" s="29" t="n"/>
      <c r="C92" s="33" t="n"/>
      <c r="D92" s="33" t="n"/>
      <c r="E92" s="31" t="n"/>
      <c r="F92" s="33" t="n"/>
      <c r="G92" s="34" t="n"/>
      <c r="H92" s="34" t="n"/>
      <c r="I92" s="34" t="n"/>
      <c r="J92" s="34" t="n"/>
      <c r="K92" s="29" t="n"/>
      <c r="L92" s="24">
        <f>IF(F92="","",IFERROR(INDEX(Config!$B$11:$B$16,MATCH(F92,Config!$A$11:$A$16,0)),0))</f>
        <v/>
      </c>
      <c r="M92" s="23">
        <f>IF(OR(F92="",E92=""),"",E92*L92)</f>
        <v/>
      </c>
      <c r="N92" s="26">
        <f>IF(OR(F92="",F92="Ganha",F92="Perdida"),"",Config!$B$5-IF(H92="",G92,H92))</f>
        <v/>
      </c>
      <c r="O92" s="22">
        <f>IF(F92="","",IF(F92="Ganha","Fechada",IF(F92="Perdida","Perdida",IF(AND(I92&lt;&gt;"",I92&lt;Config!$B$5),"Fechamento vencido",IF(N92&gt;Config!$B$7,"Parada","Ativa")))))</f>
        <v/>
      </c>
      <c r="P92" s="35">
        <f>IF(OR(F92="",O92="Fechada",O92="Perdida"),0,IF(O92="Fechamento vencido",3000,IF(O92="Parada",2000,1000))+MIN(N92,500)+E92/1000000-ROW()/100000)</f>
        <v>0</v>
      </c>
    </row>
    <row r="93">
      <c r="A93" s="29" t="n"/>
      <c r="B93" s="29" t="n"/>
      <c r="C93" s="33" t="n"/>
      <c r="D93" s="33" t="n"/>
      <c r="E93" s="31" t="n"/>
      <c r="F93" s="33" t="n"/>
      <c r="G93" s="34" t="n"/>
      <c r="H93" s="34" t="n"/>
      <c r="I93" s="34" t="n"/>
      <c r="J93" s="34" t="n"/>
      <c r="K93" s="29" t="n"/>
      <c r="L93" s="24">
        <f>IF(F93="","",IFERROR(INDEX(Config!$B$11:$B$16,MATCH(F93,Config!$A$11:$A$16,0)),0))</f>
        <v/>
      </c>
      <c r="M93" s="23">
        <f>IF(OR(F93="",E93=""),"",E93*L93)</f>
        <v/>
      </c>
      <c r="N93" s="26">
        <f>IF(OR(F93="",F93="Ganha",F93="Perdida"),"",Config!$B$5-IF(H93="",G93,H93))</f>
        <v/>
      </c>
      <c r="O93" s="22">
        <f>IF(F93="","",IF(F93="Ganha","Fechada",IF(F93="Perdida","Perdida",IF(AND(I93&lt;&gt;"",I93&lt;Config!$B$5),"Fechamento vencido",IF(N93&gt;Config!$B$7,"Parada","Ativa")))))</f>
        <v/>
      </c>
      <c r="P93" s="35">
        <f>IF(OR(F93="",O93="Fechada",O93="Perdida"),0,IF(O93="Fechamento vencido",3000,IF(O93="Parada",2000,1000))+MIN(N93,500)+E93/1000000-ROW()/100000)</f>
        <v>0</v>
      </c>
    </row>
    <row r="94">
      <c r="A94" s="29" t="n"/>
      <c r="B94" s="29" t="n"/>
      <c r="C94" s="33" t="n"/>
      <c r="D94" s="33" t="n"/>
      <c r="E94" s="31" t="n"/>
      <c r="F94" s="33" t="n"/>
      <c r="G94" s="34" t="n"/>
      <c r="H94" s="34" t="n"/>
      <c r="I94" s="34" t="n"/>
      <c r="J94" s="34" t="n"/>
      <c r="K94" s="29" t="n"/>
      <c r="L94" s="24">
        <f>IF(F94="","",IFERROR(INDEX(Config!$B$11:$B$16,MATCH(F94,Config!$A$11:$A$16,0)),0))</f>
        <v/>
      </c>
      <c r="M94" s="23">
        <f>IF(OR(F94="",E94=""),"",E94*L94)</f>
        <v/>
      </c>
      <c r="N94" s="26">
        <f>IF(OR(F94="",F94="Ganha",F94="Perdida"),"",Config!$B$5-IF(H94="",G94,H94))</f>
        <v/>
      </c>
      <c r="O94" s="22">
        <f>IF(F94="","",IF(F94="Ganha","Fechada",IF(F94="Perdida","Perdida",IF(AND(I94&lt;&gt;"",I94&lt;Config!$B$5),"Fechamento vencido",IF(N94&gt;Config!$B$7,"Parada","Ativa")))))</f>
        <v/>
      </c>
      <c r="P94" s="35">
        <f>IF(OR(F94="",O94="Fechada",O94="Perdida"),0,IF(O94="Fechamento vencido",3000,IF(O94="Parada",2000,1000))+MIN(N94,500)+E94/1000000-ROW()/100000)</f>
        <v>0</v>
      </c>
    </row>
    <row r="95">
      <c r="A95" s="29" t="n"/>
      <c r="B95" s="29" t="n"/>
      <c r="C95" s="33" t="n"/>
      <c r="D95" s="33" t="n"/>
      <c r="E95" s="31" t="n"/>
      <c r="F95" s="33" t="n"/>
      <c r="G95" s="34" t="n"/>
      <c r="H95" s="34" t="n"/>
      <c r="I95" s="34" t="n"/>
      <c r="J95" s="34" t="n"/>
      <c r="K95" s="29" t="n"/>
      <c r="L95" s="24">
        <f>IF(F95="","",IFERROR(INDEX(Config!$B$11:$B$16,MATCH(F95,Config!$A$11:$A$16,0)),0))</f>
        <v/>
      </c>
      <c r="M95" s="23">
        <f>IF(OR(F95="",E95=""),"",E95*L95)</f>
        <v/>
      </c>
      <c r="N95" s="26">
        <f>IF(OR(F95="",F95="Ganha",F95="Perdida"),"",Config!$B$5-IF(H95="",G95,H95))</f>
        <v/>
      </c>
      <c r="O95" s="22">
        <f>IF(F95="","",IF(F95="Ganha","Fechada",IF(F95="Perdida","Perdida",IF(AND(I95&lt;&gt;"",I95&lt;Config!$B$5),"Fechamento vencido",IF(N95&gt;Config!$B$7,"Parada","Ativa")))))</f>
        <v/>
      </c>
      <c r="P95" s="35">
        <f>IF(OR(F95="",O95="Fechada",O95="Perdida"),0,IF(O95="Fechamento vencido",3000,IF(O95="Parada",2000,1000))+MIN(N95,500)+E95/1000000-ROW()/100000)</f>
        <v>0</v>
      </c>
    </row>
    <row r="96">
      <c r="A96" s="29" t="n"/>
      <c r="B96" s="29" t="n"/>
      <c r="C96" s="33" t="n"/>
      <c r="D96" s="33" t="n"/>
      <c r="E96" s="31" t="n"/>
      <c r="F96" s="33" t="n"/>
      <c r="G96" s="34" t="n"/>
      <c r="H96" s="34" t="n"/>
      <c r="I96" s="34" t="n"/>
      <c r="J96" s="34" t="n"/>
      <c r="K96" s="29" t="n"/>
      <c r="L96" s="24">
        <f>IF(F96="","",IFERROR(INDEX(Config!$B$11:$B$16,MATCH(F96,Config!$A$11:$A$16,0)),0))</f>
        <v/>
      </c>
      <c r="M96" s="23">
        <f>IF(OR(F96="",E96=""),"",E96*L96)</f>
        <v/>
      </c>
      <c r="N96" s="26">
        <f>IF(OR(F96="",F96="Ganha",F96="Perdida"),"",Config!$B$5-IF(H96="",G96,H96))</f>
        <v/>
      </c>
      <c r="O96" s="22">
        <f>IF(F96="","",IF(F96="Ganha","Fechada",IF(F96="Perdida","Perdida",IF(AND(I96&lt;&gt;"",I96&lt;Config!$B$5),"Fechamento vencido",IF(N96&gt;Config!$B$7,"Parada","Ativa")))))</f>
        <v/>
      </c>
      <c r="P96" s="35">
        <f>IF(OR(F96="",O96="Fechada",O96="Perdida"),0,IF(O96="Fechamento vencido",3000,IF(O96="Parada",2000,1000))+MIN(N96,500)+E96/1000000-ROW()/100000)</f>
        <v>0</v>
      </c>
    </row>
    <row r="97">
      <c r="A97" s="29" t="n"/>
      <c r="B97" s="29" t="n"/>
      <c r="C97" s="33" t="n"/>
      <c r="D97" s="33" t="n"/>
      <c r="E97" s="31" t="n"/>
      <c r="F97" s="33" t="n"/>
      <c r="G97" s="34" t="n"/>
      <c r="H97" s="34" t="n"/>
      <c r="I97" s="34" t="n"/>
      <c r="J97" s="34" t="n"/>
      <c r="K97" s="29" t="n"/>
      <c r="L97" s="24">
        <f>IF(F97="","",IFERROR(INDEX(Config!$B$11:$B$16,MATCH(F97,Config!$A$11:$A$16,0)),0))</f>
        <v/>
      </c>
      <c r="M97" s="23">
        <f>IF(OR(F97="",E97=""),"",E97*L97)</f>
        <v/>
      </c>
      <c r="N97" s="26">
        <f>IF(OR(F97="",F97="Ganha",F97="Perdida"),"",Config!$B$5-IF(H97="",G97,H97))</f>
        <v/>
      </c>
      <c r="O97" s="22">
        <f>IF(F97="","",IF(F97="Ganha","Fechada",IF(F97="Perdida","Perdida",IF(AND(I97&lt;&gt;"",I97&lt;Config!$B$5),"Fechamento vencido",IF(N97&gt;Config!$B$7,"Parada","Ativa")))))</f>
        <v/>
      </c>
      <c r="P97" s="35">
        <f>IF(OR(F97="",O97="Fechada",O97="Perdida"),0,IF(O97="Fechamento vencido",3000,IF(O97="Parada",2000,1000))+MIN(N97,500)+E97/1000000-ROW()/100000)</f>
        <v>0</v>
      </c>
    </row>
    <row r="98">
      <c r="A98" s="29" t="n"/>
      <c r="B98" s="29" t="n"/>
      <c r="C98" s="33" t="n"/>
      <c r="D98" s="33" t="n"/>
      <c r="E98" s="31" t="n"/>
      <c r="F98" s="33" t="n"/>
      <c r="G98" s="34" t="n"/>
      <c r="H98" s="34" t="n"/>
      <c r="I98" s="34" t="n"/>
      <c r="J98" s="34" t="n"/>
      <c r="K98" s="29" t="n"/>
      <c r="L98" s="24">
        <f>IF(F98="","",IFERROR(INDEX(Config!$B$11:$B$16,MATCH(F98,Config!$A$11:$A$16,0)),0))</f>
        <v/>
      </c>
      <c r="M98" s="23">
        <f>IF(OR(F98="",E98=""),"",E98*L98)</f>
        <v/>
      </c>
      <c r="N98" s="26">
        <f>IF(OR(F98="",F98="Ganha",F98="Perdida"),"",Config!$B$5-IF(H98="",G98,H98))</f>
        <v/>
      </c>
      <c r="O98" s="22">
        <f>IF(F98="","",IF(F98="Ganha","Fechada",IF(F98="Perdida","Perdida",IF(AND(I98&lt;&gt;"",I98&lt;Config!$B$5),"Fechamento vencido",IF(N98&gt;Config!$B$7,"Parada","Ativa")))))</f>
        <v/>
      </c>
      <c r="P98" s="35">
        <f>IF(OR(F98="",O98="Fechada",O98="Perdida"),0,IF(O98="Fechamento vencido",3000,IF(O98="Parada",2000,1000))+MIN(N98,500)+E98/1000000-ROW()/100000)</f>
        <v>0</v>
      </c>
    </row>
    <row r="99">
      <c r="A99" s="29" t="n"/>
      <c r="B99" s="29" t="n"/>
      <c r="C99" s="33" t="n"/>
      <c r="D99" s="33" t="n"/>
      <c r="E99" s="31" t="n"/>
      <c r="F99" s="33" t="n"/>
      <c r="G99" s="34" t="n"/>
      <c r="H99" s="34" t="n"/>
      <c r="I99" s="34" t="n"/>
      <c r="J99" s="34" t="n"/>
      <c r="K99" s="29" t="n"/>
      <c r="L99" s="24">
        <f>IF(F99="","",IFERROR(INDEX(Config!$B$11:$B$16,MATCH(F99,Config!$A$11:$A$16,0)),0))</f>
        <v/>
      </c>
      <c r="M99" s="23">
        <f>IF(OR(F99="",E99=""),"",E99*L99)</f>
        <v/>
      </c>
      <c r="N99" s="26">
        <f>IF(OR(F99="",F99="Ganha",F99="Perdida"),"",Config!$B$5-IF(H99="",G99,H99))</f>
        <v/>
      </c>
      <c r="O99" s="22">
        <f>IF(F99="","",IF(F99="Ganha","Fechada",IF(F99="Perdida","Perdida",IF(AND(I99&lt;&gt;"",I99&lt;Config!$B$5),"Fechamento vencido",IF(N99&gt;Config!$B$7,"Parada","Ativa")))))</f>
        <v/>
      </c>
      <c r="P99" s="35">
        <f>IF(OR(F99="",O99="Fechada",O99="Perdida"),0,IF(O99="Fechamento vencido",3000,IF(O99="Parada",2000,1000))+MIN(N99,500)+E99/1000000-ROW()/100000)</f>
        <v>0</v>
      </c>
    </row>
    <row r="100">
      <c r="A100" s="29" t="n"/>
      <c r="B100" s="29" t="n"/>
      <c r="C100" s="33" t="n"/>
      <c r="D100" s="33" t="n"/>
      <c r="E100" s="31" t="n"/>
      <c r="F100" s="33" t="n"/>
      <c r="G100" s="34" t="n"/>
      <c r="H100" s="34" t="n"/>
      <c r="I100" s="34" t="n"/>
      <c r="J100" s="34" t="n"/>
      <c r="K100" s="29" t="n"/>
      <c r="L100" s="24">
        <f>IF(F100="","",IFERROR(INDEX(Config!$B$11:$B$16,MATCH(F100,Config!$A$11:$A$16,0)),0))</f>
        <v/>
      </c>
      <c r="M100" s="23">
        <f>IF(OR(F100="",E100=""),"",E100*L100)</f>
        <v/>
      </c>
      <c r="N100" s="26">
        <f>IF(OR(F100="",F100="Ganha",F100="Perdida"),"",Config!$B$5-IF(H100="",G100,H100))</f>
        <v/>
      </c>
      <c r="O100" s="22">
        <f>IF(F100="","",IF(F100="Ganha","Fechada",IF(F100="Perdida","Perdida",IF(AND(I100&lt;&gt;"",I100&lt;Config!$B$5),"Fechamento vencido",IF(N100&gt;Config!$B$7,"Parada","Ativa")))))</f>
        <v/>
      </c>
      <c r="P100" s="35">
        <f>IF(OR(F100="",O100="Fechada",O100="Perdida"),0,IF(O100="Fechamento vencido",3000,IF(O100="Parada",2000,1000))+MIN(N100,500)+E100/1000000-ROW()/100000)</f>
        <v>0</v>
      </c>
    </row>
    <row r="101">
      <c r="A101" s="29" t="n"/>
      <c r="B101" s="29" t="n"/>
      <c r="C101" s="33" t="n"/>
      <c r="D101" s="33" t="n"/>
      <c r="E101" s="31" t="n"/>
      <c r="F101" s="33" t="n"/>
      <c r="G101" s="34" t="n"/>
      <c r="H101" s="34" t="n"/>
      <c r="I101" s="34" t="n"/>
      <c r="J101" s="34" t="n"/>
      <c r="K101" s="29" t="n"/>
      <c r="L101" s="24">
        <f>IF(F101="","",IFERROR(INDEX(Config!$B$11:$B$16,MATCH(F101,Config!$A$11:$A$16,0)),0))</f>
        <v/>
      </c>
      <c r="M101" s="23">
        <f>IF(OR(F101="",E101=""),"",E101*L101)</f>
        <v/>
      </c>
      <c r="N101" s="26">
        <f>IF(OR(F101="",F101="Ganha",F101="Perdida"),"",Config!$B$5-IF(H101="",G101,H101))</f>
        <v/>
      </c>
      <c r="O101" s="22">
        <f>IF(F101="","",IF(F101="Ganha","Fechada",IF(F101="Perdida","Perdida",IF(AND(I101&lt;&gt;"",I101&lt;Config!$B$5),"Fechamento vencido",IF(N101&gt;Config!$B$7,"Parada","Ativa")))))</f>
        <v/>
      </c>
      <c r="P101" s="35">
        <f>IF(OR(F101="",O101="Fechada",O101="Perdida"),0,IF(O101="Fechamento vencido",3000,IF(O101="Parada",2000,1000))+MIN(N101,500)+E101/1000000-ROW()/100000)</f>
        <v>0</v>
      </c>
    </row>
    <row r="102">
      <c r="A102" s="29" t="n"/>
      <c r="B102" s="29" t="n"/>
      <c r="C102" s="33" t="n"/>
      <c r="D102" s="33" t="n"/>
      <c r="E102" s="31" t="n"/>
      <c r="F102" s="33" t="n"/>
      <c r="G102" s="34" t="n"/>
      <c r="H102" s="34" t="n"/>
      <c r="I102" s="34" t="n"/>
      <c r="J102" s="34" t="n"/>
      <c r="K102" s="29" t="n"/>
      <c r="L102" s="24">
        <f>IF(F102="","",IFERROR(INDEX(Config!$B$11:$B$16,MATCH(F102,Config!$A$11:$A$16,0)),0))</f>
        <v/>
      </c>
      <c r="M102" s="23">
        <f>IF(OR(F102="",E102=""),"",E102*L102)</f>
        <v/>
      </c>
      <c r="N102" s="26">
        <f>IF(OR(F102="",F102="Ganha",F102="Perdida"),"",Config!$B$5-IF(H102="",G102,H102))</f>
        <v/>
      </c>
      <c r="O102" s="22">
        <f>IF(F102="","",IF(F102="Ganha","Fechada",IF(F102="Perdida","Perdida",IF(AND(I102&lt;&gt;"",I102&lt;Config!$B$5),"Fechamento vencido",IF(N102&gt;Config!$B$7,"Parada","Ativa")))))</f>
        <v/>
      </c>
      <c r="P102" s="35">
        <f>IF(OR(F102="",O102="Fechada",O102="Perdida"),0,IF(O102="Fechamento vencido",3000,IF(O102="Parada",2000,1000))+MIN(N102,500)+E102/1000000-ROW()/100000)</f>
        <v>0</v>
      </c>
    </row>
    <row r="103">
      <c r="A103" s="29" t="n"/>
      <c r="B103" s="29" t="n"/>
      <c r="C103" s="33" t="n"/>
      <c r="D103" s="33" t="n"/>
      <c r="E103" s="31" t="n"/>
      <c r="F103" s="33" t="n"/>
      <c r="G103" s="34" t="n"/>
      <c r="H103" s="34" t="n"/>
      <c r="I103" s="34" t="n"/>
      <c r="J103" s="34" t="n"/>
      <c r="K103" s="29" t="n"/>
      <c r="L103" s="24">
        <f>IF(F103="","",IFERROR(INDEX(Config!$B$11:$B$16,MATCH(F103,Config!$A$11:$A$16,0)),0))</f>
        <v/>
      </c>
      <c r="M103" s="23">
        <f>IF(OR(F103="",E103=""),"",E103*L103)</f>
        <v/>
      </c>
      <c r="N103" s="26">
        <f>IF(OR(F103="",F103="Ganha",F103="Perdida"),"",Config!$B$5-IF(H103="",G103,H103))</f>
        <v/>
      </c>
      <c r="O103" s="22">
        <f>IF(F103="","",IF(F103="Ganha","Fechada",IF(F103="Perdida","Perdida",IF(AND(I103&lt;&gt;"",I103&lt;Config!$B$5),"Fechamento vencido",IF(N103&gt;Config!$B$7,"Parada","Ativa")))))</f>
        <v/>
      </c>
      <c r="P103" s="35">
        <f>IF(OR(F103="",O103="Fechada",O103="Perdida"),0,IF(O103="Fechamento vencido",3000,IF(O103="Parada",2000,1000))+MIN(N103,500)+E103/1000000-ROW()/100000)</f>
        <v>0</v>
      </c>
    </row>
    <row r="104">
      <c r="A104" s="29" t="n"/>
      <c r="B104" s="29" t="n"/>
      <c r="C104" s="33" t="n"/>
      <c r="D104" s="33" t="n"/>
      <c r="E104" s="31" t="n"/>
      <c r="F104" s="33" t="n"/>
      <c r="G104" s="34" t="n"/>
      <c r="H104" s="34" t="n"/>
      <c r="I104" s="34" t="n"/>
      <c r="J104" s="34" t="n"/>
      <c r="K104" s="29" t="n"/>
      <c r="L104" s="24">
        <f>IF(F104="","",IFERROR(INDEX(Config!$B$11:$B$16,MATCH(F104,Config!$A$11:$A$16,0)),0))</f>
        <v/>
      </c>
      <c r="M104" s="23">
        <f>IF(OR(F104="",E104=""),"",E104*L104)</f>
        <v/>
      </c>
      <c r="N104" s="26">
        <f>IF(OR(F104="",F104="Ganha",F104="Perdida"),"",Config!$B$5-IF(H104="",G104,H104))</f>
        <v/>
      </c>
      <c r="O104" s="22">
        <f>IF(F104="","",IF(F104="Ganha","Fechada",IF(F104="Perdida","Perdida",IF(AND(I104&lt;&gt;"",I104&lt;Config!$B$5),"Fechamento vencido",IF(N104&gt;Config!$B$7,"Parada","Ativa")))))</f>
        <v/>
      </c>
      <c r="P104" s="35">
        <f>IF(OR(F104="",O104="Fechada",O104="Perdida"),0,IF(O104="Fechamento vencido",3000,IF(O104="Parada",2000,1000))+MIN(N104,500)+E104/1000000-ROW()/100000)</f>
        <v>0</v>
      </c>
    </row>
    <row r="105">
      <c r="A105" s="29" t="n"/>
      <c r="B105" s="29" t="n"/>
      <c r="C105" s="33" t="n"/>
      <c r="D105" s="33" t="n"/>
      <c r="E105" s="31" t="n"/>
      <c r="F105" s="33" t="n"/>
      <c r="G105" s="34" t="n"/>
      <c r="H105" s="34" t="n"/>
      <c r="I105" s="34" t="n"/>
      <c r="J105" s="34" t="n"/>
      <c r="K105" s="29" t="n"/>
      <c r="L105" s="24">
        <f>IF(F105="","",IFERROR(INDEX(Config!$B$11:$B$16,MATCH(F105,Config!$A$11:$A$16,0)),0))</f>
        <v/>
      </c>
      <c r="M105" s="23">
        <f>IF(OR(F105="",E105=""),"",E105*L105)</f>
        <v/>
      </c>
      <c r="N105" s="26">
        <f>IF(OR(F105="",F105="Ganha",F105="Perdida"),"",Config!$B$5-IF(H105="",G105,H105))</f>
        <v/>
      </c>
      <c r="O105" s="22">
        <f>IF(F105="","",IF(F105="Ganha","Fechada",IF(F105="Perdida","Perdida",IF(AND(I105&lt;&gt;"",I105&lt;Config!$B$5),"Fechamento vencido",IF(N105&gt;Config!$B$7,"Parada","Ativa")))))</f>
        <v/>
      </c>
      <c r="P105" s="35">
        <f>IF(OR(F105="",O105="Fechada",O105="Perdida"),0,IF(O105="Fechamento vencido",3000,IF(O105="Parada",2000,1000))+MIN(N105,500)+E105/1000000-ROW()/100000)</f>
        <v>0</v>
      </c>
    </row>
    <row r="106">
      <c r="A106" s="29" t="n"/>
      <c r="B106" s="29" t="n"/>
      <c r="C106" s="33" t="n"/>
      <c r="D106" s="33" t="n"/>
      <c r="E106" s="31" t="n"/>
      <c r="F106" s="33" t="n"/>
      <c r="G106" s="34" t="n"/>
      <c r="H106" s="34" t="n"/>
      <c r="I106" s="34" t="n"/>
      <c r="J106" s="34" t="n"/>
      <c r="K106" s="29" t="n"/>
      <c r="L106" s="24">
        <f>IF(F106="","",IFERROR(INDEX(Config!$B$11:$B$16,MATCH(F106,Config!$A$11:$A$16,0)),0))</f>
        <v/>
      </c>
      <c r="M106" s="23">
        <f>IF(OR(F106="",E106=""),"",E106*L106)</f>
        <v/>
      </c>
      <c r="N106" s="26">
        <f>IF(OR(F106="",F106="Ganha",F106="Perdida"),"",Config!$B$5-IF(H106="",G106,H106))</f>
        <v/>
      </c>
      <c r="O106" s="22">
        <f>IF(F106="","",IF(F106="Ganha","Fechada",IF(F106="Perdida","Perdida",IF(AND(I106&lt;&gt;"",I106&lt;Config!$B$5),"Fechamento vencido",IF(N106&gt;Config!$B$7,"Parada","Ativa")))))</f>
        <v/>
      </c>
      <c r="P106" s="35">
        <f>IF(OR(F106="",O106="Fechada",O106="Perdida"),0,IF(O106="Fechamento vencido",3000,IF(O106="Parada",2000,1000))+MIN(N106,500)+E106/1000000-ROW()/100000)</f>
        <v>0</v>
      </c>
    </row>
    <row r="107">
      <c r="A107" s="29" t="n"/>
      <c r="B107" s="29" t="n"/>
      <c r="C107" s="33" t="n"/>
      <c r="D107" s="33" t="n"/>
      <c r="E107" s="31" t="n"/>
      <c r="F107" s="33" t="n"/>
      <c r="G107" s="34" t="n"/>
      <c r="H107" s="34" t="n"/>
      <c r="I107" s="34" t="n"/>
      <c r="J107" s="34" t="n"/>
      <c r="K107" s="29" t="n"/>
      <c r="L107" s="24">
        <f>IF(F107="","",IFERROR(INDEX(Config!$B$11:$B$16,MATCH(F107,Config!$A$11:$A$16,0)),0))</f>
        <v/>
      </c>
      <c r="M107" s="23">
        <f>IF(OR(F107="",E107=""),"",E107*L107)</f>
        <v/>
      </c>
      <c r="N107" s="26">
        <f>IF(OR(F107="",F107="Ganha",F107="Perdida"),"",Config!$B$5-IF(H107="",G107,H107))</f>
        <v/>
      </c>
      <c r="O107" s="22">
        <f>IF(F107="","",IF(F107="Ganha","Fechada",IF(F107="Perdida","Perdida",IF(AND(I107&lt;&gt;"",I107&lt;Config!$B$5),"Fechamento vencido",IF(N107&gt;Config!$B$7,"Parada","Ativa")))))</f>
        <v/>
      </c>
      <c r="P107" s="35">
        <f>IF(OR(F107="",O107="Fechada",O107="Perdida"),0,IF(O107="Fechamento vencido",3000,IF(O107="Parada",2000,1000))+MIN(N107,500)+E107/1000000-ROW()/100000)</f>
        <v>0</v>
      </c>
    </row>
    <row r="108">
      <c r="A108" s="29" t="n"/>
      <c r="B108" s="29" t="n"/>
      <c r="C108" s="33" t="n"/>
      <c r="D108" s="33" t="n"/>
      <c r="E108" s="31" t="n"/>
      <c r="F108" s="33" t="n"/>
      <c r="G108" s="34" t="n"/>
      <c r="H108" s="34" t="n"/>
      <c r="I108" s="34" t="n"/>
      <c r="J108" s="34" t="n"/>
      <c r="K108" s="29" t="n"/>
      <c r="L108" s="24">
        <f>IF(F108="","",IFERROR(INDEX(Config!$B$11:$B$16,MATCH(F108,Config!$A$11:$A$16,0)),0))</f>
        <v/>
      </c>
      <c r="M108" s="23">
        <f>IF(OR(F108="",E108=""),"",E108*L108)</f>
        <v/>
      </c>
      <c r="N108" s="26">
        <f>IF(OR(F108="",F108="Ganha",F108="Perdida"),"",Config!$B$5-IF(H108="",G108,H108))</f>
        <v/>
      </c>
      <c r="O108" s="22">
        <f>IF(F108="","",IF(F108="Ganha","Fechada",IF(F108="Perdida","Perdida",IF(AND(I108&lt;&gt;"",I108&lt;Config!$B$5),"Fechamento vencido",IF(N108&gt;Config!$B$7,"Parada","Ativa")))))</f>
        <v/>
      </c>
      <c r="P108" s="35">
        <f>IF(OR(F108="",O108="Fechada",O108="Perdida"),0,IF(O108="Fechamento vencido",3000,IF(O108="Parada",2000,1000))+MIN(N108,500)+E108/1000000-ROW()/100000)</f>
        <v>0</v>
      </c>
    </row>
    <row r="109">
      <c r="A109" s="29" t="n"/>
      <c r="B109" s="29" t="n"/>
      <c r="C109" s="33" t="n"/>
      <c r="D109" s="33" t="n"/>
      <c r="E109" s="31" t="n"/>
      <c r="F109" s="33" t="n"/>
      <c r="G109" s="34" t="n"/>
      <c r="H109" s="34" t="n"/>
      <c r="I109" s="34" t="n"/>
      <c r="J109" s="34" t="n"/>
      <c r="K109" s="29" t="n"/>
      <c r="L109" s="24">
        <f>IF(F109="","",IFERROR(INDEX(Config!$B$11:$B$16,MATCH(F109,Config!$A$11:$A$16,0)),0))</f>
        <v/>
      </c>
      <c r="M109" s="23">
        <f>IF(OR(F109="",E109=""),"",E109*L109)</f>
        <v/>
      </c>
      <c r="N109" s="26">
        <f>IF(OR(F109="",F109="Ganha",F109="Perdida"),"",Config!$B$5-IF(H109="",G109,H109))</f>
        <v/>
      </c>
      <c r="O109" s="22">
        <f>IF(F109="","",IF(F109="Ganha","Fechada",IF(F109="Perdida","Perdida",IF(AND(I109&lt;&gt;"",I109&lt;Config!$B$5),"Fechamento vencido",IF(N109&gt;Config!$B$7,"Parada","Ativa")))))</f>
        <v/>
      </c>
      <c r="P109" s="35">
        <f>IF(OR(F109="",O109="Fechada",O109="Perdida"),0,IF(O109="Fechamento vencido",3000,IF(O109="Parada",2000,1000))+MIN(N109,500)+E109/1000000-ROW()/100000)</f>
        <v>0</v>
      </c>
    </row>
    <row r="110">
      <c r="A110" s="29" t="n"/>
      <c r="B110" s="29" t="n"/>
      <c r="C110" s="33" t="n"/>
      <c r="D110" s="33" t="n"/>
      <c r="E110" s="31" t="n"/>
      <c r="F110" s="33" t="n"/>
      <c r="G110" s="34" t="n"/>
      <c r="H110" s="34" t="n"/>
      <c r="I110" s="34" t="n"/>
      <c r="J110" s="34" t="n"/>
      <c r="K110" s="29" t="n"/>
      <c r="L110" s="24">
        <f>IF(F110="","",IFERROR(INDEX(Config!$B$11:$B$16,MATCH(F110,Config!$A$11:$A$16,0)),0))</f>
        <v/>
      </c>
      <c r="M110" s="23">
        <f>IF(OR(F110="",E110=""),"",E110*L110)</f>
        <v/>
      </c>
      <c r="N110" s="26">
        <f>IF(OR(F110="",F110="Ganha",F110="Perdida"),"",Config!$B$5-IF(H110="",G110,H110))</f>
        <v/>
      </c>
      <c r="O110" s="22">
        <f>IF(F110="","",IF(F110="Ganha","Fechada",IF(F110="Perdida","Perdida",IF(AND(I110&lt;&gt;"",I110&lt;Config!$B$5),"Fechamento vencido",IF(N110&gt;Config!$B$7,"Parada","Ativa")))))</f>
        <v/>
      </c>
      <c r="P110" s="35">
        <f>IF(OR(F110="",O110="Fechada",O110="Perdida"),0,IF(O110="Fechamento vencido",3000,IF(O110="Parada",2000,1000))+MIN(N110,500)+E110/1000000-ROW()/100000)</f>
        <v>0</v>
      </c>
    </row>
    <row r="111">
      <c r="A111" s="29" t="n"/>
      <c r="B111" s="29" t="n"/>
      <c r="C111" s="33" t="n"/>
      <c r="D111" s="33" t="n"/>
      <c r="E111" s="31" t="n"/>
      <c r="F111" s="33" t="n"/>
      <c r="G111" s="34" t="n"/>
      <c r="H111" s="34" t="n"/>
      <c r="I111" s="34" t="n"/>
      <c r="J111" s="34" t="n"/>
      <c r="K111" s="29" t="n"/>
      <c r="L111" s="24">
        <f>IF(F111="","",IFERROR(INDEX(Config!$B$11:$B$16,MATCH(F111,Config!$A$11:$A$16,0)),0))</f>
        <v/>
      </c>
      <c r="M111" s="23">
        <f>IF(OR(F111="",E111=""),"",E111*L111)</f>
        <v/>
      </c>
      <c r="N111" s="26">
        <f>IF(OR(F111="",F111="Ganha",F111="Perdida"),"",Config!$B$5-IF(H111="",G111,H111))</f>
        <v/>
      </c>
      <c r="O111" s="22">
        <f>IF(F111="","",IF(F111="Ganha","Fechada",IF(F111="Perdida","Perdida",IF(AND(I111&lt;&gt;"",I111&lt;Config!$B$5),"Fechamento vencido",IF(N111&gt;Config!$B$7,"Parada","Ativa")))))</f>
        <v/>
      </c>
      <c r="P111" s="35">
        <f>IF(OR(F111="",O111="Fechada",O111="Perdida"),0,IF(O111="Fechamento vencido",3000,IF(O111="Parada",2000,1000))+MIN(N111,500)+E111/1000000-ROW()/100000)</f>
        <v>0</v>
      </c>
    </row>
    <row r="112">
      <c r="A112" s="29" t="n"/>
      <c r="B112" s="29" t="n"/>
      <c r="C112" s="33" t="n"/>
      <c r="D112" s="33" t="n"/>
      <c r="E112" s="31" t="n"/>
      <c r="F112" s="33" t="n"/>
      <c r="G112" s="34" t="n"/>
      <c r="H112" s="34" t="n"/>
      <c r="I112" s="34" t="n"/>
      <c r="J112" s="34" t="n"/>
      <c r="K112" s="29" t="n"/>
      <c r="L112" s="24">
        <f>IF(F112="","",IFERROR(INDEX(Config!$B$11:$B$16,MATCH(F112,Config!$A$11:$A$16,0)),0))</f>
        <v/>
      </c>
      <c r="M112" s="23">
        <f>IF(OR(F112="",E112=""),"",E112*L112)</f>
        <v/>
      </c>
      <c r="N112" s="26">
        <f>IF(OR(F112="",F112="Ganha",F112="Perdida"),"",Config!$B$5-IF(H112="",G112,H112))</f>
        <v/>
      </c>
      <c r="O112" s="22">
        <f>IF(F112="","",IF(F112="Ganha","Fechada",IF(F112="Perdida","Perdida",IF(AND(I112&lt;&gt;"",I112&lt;Config!$B$5),"Fechamento vencido",IF(N112&gt;Config!$B$7,"Parada","Ativa")))))</f>
        <v/>
      </c>
      <c r="P112" s="35">
        <f>IF(OR(F112="",O112="Fechada",O112="Perdida"),0,IF(O112="Fechamento vencido",3000,IF(O112="Parada",2000,1000))+MIN(N112,500)+E112/1000000-ROW()/100000)</f>
        <v>0</v>
      </c>
    </row>
    <row r="113">
      <c r="A113" s="29" t="n"/>
      <c r="B113" s="29" t="n"/>
      <c r="C113" s="33" t="n"/>
      <c r="D113" s="33" t="n"/>
      <c r="E113" s="31" t="n"/>
      <c r="F113" s="33" t="n"/>
      <c r="G113" s="34" t="n"/>
      <c r="H113" s="34" t="n"/>
      <c r="I113" s="34" t="n"/>
      <c r="J113" s="34" t="n"/>
      <c r="K113" s="29" t="n"/>
      <c r="L113" s="24">
        <f>IF(F113="","",IFERROR(INDEX(Config!$B$11:$B$16,MATCH(F113,Config!$A$11:$A$16,0)),0))</f>
        <v/>
      </c>
      <c r="M113" s="23">
        <f>IF(OR(F113="",E113=""),"",E113*L113)</f>
        <v/>
      </c>
      <c r="N113" s="26">
        <f>IF(OR(F113="",F113="Ganha",F113="Perdida"),"",Config!$B$5-IF(H113="",G113,H113))</f>
        <v/>
      </c>
      <c r="O113" s="22">
        <f>IF(F113="","",IF(F113="Ganha","Fechada",IF(F113="Perdida","Perdida",IF(AND(I113&lt;&gt;"",I113&lt;Config!$B$5),"Fechamento vencido",IF(N113&gt;Config!$B$7,"Parada","Ativa")))))</f>
        <v/>
      </c>
      <c r="P113" s="35">
        <f>IF(OR(F113="",O113="Fechada",O113="Perdida"),0,IF(O113="Fechamento vencido",3000,IF(O113="Parada",2000,1000))+MIN(N113,500)+E113/1000000-ROW()/100000)</f>
        <v>0</v>
      </c>
    </row>
    <row r="114">
      <c r="A114" s="29" t="n"/>
      <c r="B114" s="29" t="n"/>
      <c r="C114" s="33" t="n"/>
      <c r="D114" s="33" t="n"/>
      <c r="E114" s="31" t="n"/>
      <c r="F114" s="33" t="n"/>
      <c r="G114" s="34" t="n"/>
      <c r="H114" s="34" t="n"/>
      <c r="I114" s="34" t="n"/>
      <c r="J114" s="34" t="n"/>
      <c r="K114" s="29" t="n"/>
      <c r="L114" s="24">
        <f>IF(F114="","",IFERROR(INDEX(Config!$B$11:$B$16,MATCH(F114,Config!$A$11:$A$16,0)),0))</f>
        <v/>
      </c>
      <c r="M114" s="23">
        <f>IF(OR(F114="",E114=""),"",E114*L114)</f>
        <v/>
      </c>
      <c r="N114" s="26">
        <f>IF(OR(F114="",F114="Ganha",F114="Perdida"),"",Config!$B$5-IF(H114="",G114,H114))</f>
        <v/>
      </c>
      <c r="O114" s="22">
        <f>IF(F114="","",IF(F114="Ganha","Fechada",IF(F114="Perdida","Perdida",IF(AND(I114&lt;&gt;"",I114&lt;Config!$B$5),"Fechamento vencido",IF(N114&gt;Config!$B$7,"Parada","Ativa")))))</f>
        <v/>
      </c>
      <c r="P114" s="35">
        <f>IF(OR(F114="",O114="Fechada",O114="Perdida"),0,IF(O114="Fechamento vencido",3000,IF(O114="Parada",2000,1000))+MIN(N114,500)+E114/1000000-ROW()/100000)</f>
        <v>0</v>
      </c>
    </row>
    <row r="115">
      <c r="A115" s="29" t="n"/>
      <c r="B115" s="29" t="n"/>
      <c r="C115" s="33" t="n"/>
      <c r="D115" s="33" t="n"/>
      <c r="E115" s="31" t="n"/>
      <c r="F115" s="33" t="n"/>
      <c r="G115" s="34" t="n"/>
      <c r="H115" s="34" t="n"/>
      <c r="I115" s="34" t="n"/>
      <c r="J115" s="34" t="n"/>
      <c r="K115" s="29" t="n"/>
      <c r="L115" s="24">
        <f>IF(F115="","",IFERROR(INDEX(Config!$B$11:$B$16,MATCH(F115,Config!$A$11:$A$16,0)),0))</f>
        <v/>
      </c>
      <c r="M115" s="23">
        <f>IF(OR(F115="",E115=""),"",E115*L115)</f>
        <v/>
      </c>
      <c r="N115" s="26">
        <f>IF(OR(F115="",F115="Ganha",F115="Perdida"),"",Config!$B$5-IF(H115="",G115,H115))</f>
        <v/>
      </c>
      <c r="O115" s="22">
        <f>IF(F115="","",IF(F115="Ganha","Fechada",IF(F115="Perdida","Perdida",IF(AND(I115&lt;&gt;"",I115&lt;Config!$B$5),"Fechamento vencido",IF(N115&gt;Config!$B$7,"Parada","Ativa")))))</f>
        <v/>
      </c>
      <c r="P115" s="35">
        <f>IF(OR(F115="",O115="Fechada",O115="Perdida"),0,IF(O115="Fechamento vencido",3000,IF(O115="Parada",2000,1000))+MIN(N115,500)+E115/1000000-ROW()/100000)</f>
        <v>0</v>
      </c>
    </row>
    <row r="116">
      <c r="A116" s="29" t="n"/>
      <c r="B116" s="29" t="n"/>
      <c r="C116" s="33" t="n"/>
      <c r="D116" s="33" t="n"/>
      <c r="E116" s="31" t="n"/>
      <c r="F116" s="33" t="n"/>
      <c r="G116" s="34" t="n"/>
      <c r="H116" s="34" t="n"/>
      <c r="I116" s="34" t="n"/>
      <c r="J116" s="34" t="n"/>
      <c r="K116" s="29" t="n"/>
      <c r="L116" s="24">
        <f>IF(F116="","",IFERROR(INDEX(Config!$B$11:$B$16,MATCH(F116,Config!$A$11:$A$16,0)),0))</f>
        <v/>
      </c>
      <c r="M116" s="23">
        <f>IF(OR(F116="",E116=""),"",E116*L116)</f>
        <v/>
      </c>
      <c r="N116" s="26">
        <f>IF(OR(F116="",F116="Ganha",F116="Perdida"),"",Config!$B$5-IF(H116="",G116,H116))</f>
        <v/>
      </c>
      <c r="O116" s="22">
        <f>IF(F116="","",IF(F116="Ganha","Fechada",IF(F116="Perdida","Perdida",IF(AND(I116&lt;&gt;"",I116&lt;Config!$B$5),"Fechamento vencido",IF(N116&gt;Config!$B$7,"Parada","Ativa")))))</f>
        <v/>
      </c>
      <c r="P116" s="35">
        <f>IF(OR(F116="",O116="Fechada",O116="Perdida"),0,IF(O116="Fechamento vencido",3000,IF(O116="Parada",2000,1000))+MIN(N116,500)+E116/1000000-ROW()/100000)</f>
        <v>0</v>
      </c>
    </row>
    <row r="117">
      <c r="A117" s="29" t="n"/>
      <c r="B117" s="29" t="n"/>
      <c r="C117" s="33" t="n"/>
      <c r="D117" s="33" t="n"/>
      <c r="E117" s="31" t="n"/>
      <c r="F117" s="33" t="n"/>
      <c r="G117" s="34" t="n"/>
      <c r="H117" s="34" t="n"/>
      <c r="I117" s="34" t="n"/>
      <c r="J117" s="34" t="n"/>
      <c r="K117" s="29" t="n"/>
      <c r="L117" s="24">
        <f>IF(F117="","",IFERROR(INDEX(Config!$B$11:$B$16,MATCH(F117,Config!$A$11:$A$16,0)),0))</f>
        <v/>
      </c>
      <c r="M117" s="23">
        <f>IF(OR(F117="",E117=""),"",E117*L117)</f>
        <v/>
      </c>
      <c r="N117" s="26">
        <f>IF(OR(F117="",F117="Ganha",F117="Perdida"),"",Config!$B$5-IF(H117="",G117,H117))</f>
        <v/>
      </c>
      <c r="O117" s="22">
        <f>IF(F117="","",IF(F117="Ganha","Fechada",IF(F117="Perdida","Perdida",IF(AND(I117&lt;&gt;"",I117&lt;Config!$B$5),"Fechamento vencido",IF(N117&gt;Config!$B$7,"Parada","Ativa")))))</f>
        <v/>
      </c>
      <c r="P117" s="35">
        <f>IF(OR(F117="",O117="Fechada",O117="Perdida"),0,IF(O117="Fechamento vencido",3000,IF(O117="Parada",2000,1000))+MIN(N117,500)+E117/1000000-ROW()/100000)</f>
        <v>0</v>
      </c>
    </row>
    <row r="118">
      <c r="A118" s="29" t="n"/>
      <c r="B118" s="29" t="n"/>
      <c r="C118" s="33" t="n"/>
      <c r="D118" s="33" t="n"/>
      <c r="E118" s="31" t="n"/>
      <c r="F118" s="33" t="n"/>
      <c r="G118" s="34" t="n"/>
      <c r="H118" s="34" t="n"/>
      <c r="I118" s="34" t="n"/>
      <c r="J118" s="34" t="n"/>
      <c r="K118" s="29" t="n"/>
      <c r="L118" s="24">
        <f>IF(F118="","",IFERROR(INDEX(Config!$B$11:$B$16,MATCH(F118,Config!$A$11:$A$16,0)),0))</f>
        <v/>
      </c>
      <c r="M118" s="23">
        <f>IF(OR(F118="",E118=""),"",E118*L118)</f>
        <v/>
      </c>
      <c r="N118" s="26">
        <f>IF(OR(F118="",F118="Ganha",F118="Perdida"),"",Config!$B$5-IF(H118="",G118,H118))</f>
        <v/>
      </c>
      <c r="O118" s="22">
        <f>IF(F118="","",IF(F118="Ganha","Fechada",IF(F118="Perdida","Perdida",IF(AND(I118&lt;&gt;"",I118&lt;Config!$B$5),"Fechamento vencido",IF(N118&gt;Config!$B$7,"Parada","Ativa")))))</f>
        <v/>
      </c>
      <c r="P118" s="35">
        <f>IF(OR(F118="",O118="Fechada",O118="Perdida"),0,IF(O118="Fechamento vencido",3000,IF(O118="Parada",2000,1000))+MIN(N118,500)+E118/1000000-ROW()/100000)</f>
        <v>0</v>
      </c>
    </row>
    <row r="119">
      <c r="A119" s="29" t="n"/>
      <c r="B119" s="29" t="n"/>
      <c r="C119" s="33" t="n"/>
      <c r="D119" s="33" t="n"/>
      <c r="E119" s="31" t="n"/>
      <c r="F119" s="33" t="n"/>
      <c r="G119" s="34" t="n"/>
      <c r="H119" s="34" t="n"/>
      <c r="I119" s="34" t="n"/>
      <c r="J119" s="34" t="n"/>
      <c r="K119" s="29" t="n"/>
      <c r="L119" s="24">
        <f>IF(F119="","",IFERROR(INDEX(Config!$B$11:$B$16,MATCH(F119,Config!$A$11:$A$16,0)),0))</f>
        <v/>
      </c>
      <c r="M119" s="23">
        <f>IF(OR(F119="",E119=""),"",E119*L119)</f>
        <v/>
      </c>
      <c r="N119" s="26">
        <f>IF(OR(F119="",F119="Ganha",F119="Perdida"),"",Config!$B$5-IF(H119="",G119,H119))</f>
        <v/>
      </c>
      <c r="O119" s="22">
        <f>IF(F119="","",IF(F119="Ganha","Fechada",IF(F119="Perdida","Perdida",IF(AND(I119&lt;&gt;"",I119&lt;Config!$B$5),"Fechamento vencido",IF(N119&gt;Config!$B$7,"Parada","Ativa")))))</f>
        <v/>
      </c>
      <c r="P119" s="35">
        <f>IF(OR(F119="",O119="Fechada",O119="Perdida"),0,IF(O119="Fechamento vencido",3000,IF(O119="Parada",2000,1000))+MIN(N119,500)+E119/1000000-ROW()/100000)</f>
        <v>0</v>
      </c>
    </row>
    <row r="120">
      <c r="A120" s="29" t="n"/>
      <c r="B120" s="29" t="n"/>
      <c r="C120" s="33" t="n"/>
      <c r="D120" s="33" t="n"/>
      <c r="E120" s="31" t="n"/>
      <c r="F120" s="33" t="n"/>
      <c r="G120" s="34" t="n"/>
      <c r="H120" s="34" t="n"/>
      <c r="I120" s="34" t="n"/>
      <c r="J120" s="34" t="n"/>
      <c r="K120" s="29" t="n"/>
      <c r="L120" s="24">
        <f>IF(F120="","",IFERROR(INDEX(Config!$B$11:$B$16,MATCH(F120,Config!$A$11:$A$16,0)),0))</f>
        <v/>
      </c>
      <c r="M120" s="23">
        <f>IF(OR(F120="",E120=""),"",E120*L120)</f>
        <v/>
      </c>
      <c r="N120" s="26">
        <f>IF(OR(F120="",F120="Ganha",F120="Perdida"),"",Config!$B$5-IF(H120="",G120,H120))</f>
        <v/>
      </c>
      <c r="O120" s="22">
        <f>IF(F120="","",IF(F120="Ganha","Fechada",IF(F120="Perdida","Perdida",IF(AND(I120&lt;&gt;"",I120&lt;Config!$B$5),"Fechamento vencido",IF(N120&gt;Config!$B$7,"Parada","Ativa")))))</f>
        <v/>
      </c>
      <c r="P120" s="35">
        <f>IF(OR(F120="",O120="Fechada",O120="Perdida"),0,IF(O120="Fechamento vencido",3000,IF(O120="Parada",2000,1000))+MIN(N120,500)+E120/1000000-ROW()/100000)</f>
        <v>0</v>
      </c>
    </row>
    <row r="121">
      <c r="A121" s="29" t="n"/>
      <c r="B121" s="29" t="n"/>
      <c r="C121" s="33" t="n"/>
      <c r="D121" s="33" t="n"/>
      <c r="E121" s="31" t="n"/>
      <c r="F121" s="33" t="n"/>
      <c r="G121" s="34" t="n"/>
      <c r="H121" s="34" t="n"/>
      <c r="I121" s="34" t="n"/>
      <c r="J121" s="34" t="n"/>
      <c r="K121" s="29" t="n"/>
      <c r="L121" s="24">
        <f>IF(F121="","",IFERROR(INDEX(Config!$B$11:$B$16,MATCH(F121,Config!$A$11:$A$16,0)),0))</f>
        <v/>
      </c>
      <c r="M121" s="23">
        <f>IF(OR(F121="",E121=""),"",E121*L121)</f>
        <v/>
      </c>
      <c r="N121" s="26">
        <f>IF(OR(F121="",F121="Ganha",F121="Perdida"),"",Config!$B$5-IF(H121="",G121,H121))</f>
        <v/>
      </c>
      <c r="O121" s="22">
        <f>IF(F121="","",IF(F121="Ganha","Fechada",IF(F121="Perdida","Perdida",IF(AND(I121&lt;&gt;"",I121&lt;Config!$B$5),"Fechamento vencido",IF(N121&gt;Config!$B$7,"Parada","Ativa")))))</f>
        <v/>
      </c>
      <c r="P121" s="35">
        <f>IF(OR(F121="",O121="Fechada",O121="Perdida"),0,IF(O121="Fechamento vencido",3000,IF(O121="Parada",2000,1000))+MIN(N121,500)+E121/1000000-ROW()/100000)</f>
        <v>0</v>
      </c>
    </row>
    <row r="122">
      <c r="A122" s="29" t="n"/>
      <c r="B122" s="29" t="n"/>
      <c r="C122" s="33" t="n"/>
      <c r="D122" s="33" t="n"/>
      <c r="E122" s="31" t="n"/>
      <c r="F122" s="33" t="n"/>
      <c r="G122" s="34" t="n"/>
      <c r="H122" s="34" t="n"/>
      <c r="I122" s="34" t="n"/>
      <c r="J122" s="34" t="n"/>
      <c r="K122" s="29" t="n"/>
      <c r="L122" s="24">
        <f>IF(F122="","",IFERROR(INDEX(Config!$B$11:$B$16,MATCH(F122,Config!$A$11:$A$16,0)),0))</f>
        <v/>
      </c>
      <c r="M122" s="23">
        <f>IF(OR(F122="",E122=""),"",E122*L122)</f>
        <v/>
      </c>
      <c r="N122" s="26">
        <f>IF(OR(F122="",F122="Ganha",F122="Perdida"),"",Config!$B$5-IF(H122="",G122,H122))</f>
        <v/>
      </c>
      <c r="O122" s="22">
        <f>IF(F122="","",IF(F122="Ganha","Fechada",IF(F122="Perdida","Perdida",IF(AND(I122&lt;&gt;"",I122&lt;Config!$B$5),"Fechamento vencido",IF(N122&gt;Config!$B$7,"Parada","Ativa")))))</f>
        <v/>
      </c>
      <c r="P122" s="35">
        <f>IF(OR(F122="",O122="Fechada",O122="Perdida"),0,IF(O122="Fechamento vencido",3000,IF(O122="Parada",2000,1000))+MIN(N122,500)+E122/1000000-ROW()/100000)</f>
        <v>0</v>
      </c>
    </row>
    <row r="123">
      <c r="A123" s="29" t="n"/>
      <c r="B123" s="29" t="n"/>
      <c r="C123" s="33" t="n"/>
      <c r="D123" s="33" t="n"/>
      <c r="E123" s="31" t="n"/>
      <c r="F123" s="33" t="n"/>
      <c r="G123" s="34" t="n"/>
      <c r="H123" s="34" t="n"/>
      <c r="I123" s="34" t="n"/>
      <c r="J123" s="34" t="n"/>
      <c r="K123" s="29" t="n"/>
      <c r="L123" s="24">
        <f>IF(F123="","",IFERROR(INDEX(Config!$B$11:$B$16,MATCH(F123,Config!$A$11:$A$16,0)),0))</f>
        <v/>
      </c>
      <c r="M123" s="23">
        <f>IF(OR(F123="",E123=""),"",E123*L123)</f>
        <v/>
      </c>
      <c r="N123" s="26">
        <f>IF(OR(F123="",F123="Ganha",F123="Perdida"),"",Config!$B$5-IF(H123="",G123,H123))</f>
        <v/>
      </c>
      <c r="O123" s="22">
        <f>IF(F123="","",IF(F123="Ganha","Fechada",IF(F123="Perdida","Perdida",IF(AND(I123&lt;&gt;"",I123&lt;Config!$B$5),"Fechamento vencido",IF(N123&gt;Config!$B$7,"Parada","Ativa")))))</f>
        <v/>
      </c>
      <c r="P123" s="35">
        <f>IF(OR(F123="",O123="Fechada",O123="Perdida"),0,IF(O123="Fechamento vencido",3000,IF(O123="Parada",2000,1000))+MIN(N123,500)+E123/1000000-ROW()/100000)</f>
        <v>0</v>
      </c>
    </row>
    <row r="124">
      <c r="A124" s="29" t="n"/>
      <c r="B124" s="29" t="n"/>
      <c r="C124" s="33" t="n"/>
      <c r="D124" s="33" t="n"/>
      <c r="E124" s="31" t="n"/>
      <c r="F124" s="33" t="n"/>
      <c r="G124" s="34" t="n"/>
      <c r="H124" s="34" t="n"/>
      <c r="I124" s="34" t="n"/>
      <c r="J124" s="34" t="n"/>
      <c r="K124" s="29" t="n"/>
      <c r="L124" s="24">
        <f>IF(F124="","",IFERROR(INDEX(Config!$B$11:$B$16,MATCH(F124,Config!$A$11:$A$16,0)),0))</f>
        <v/>
      </c>
      <c r="M124" s="23">
        <f>IF(OR(F124="",E124=""),"",E124*L124)</f>
        <v/>
      </c>
      <c r="N124" s="26">
        <f>IF(OR(F124="",F124="Ganha",F124="Perdida"),"",Config!$B$5-IF(H124="",G124,H124))</f>
        <v/>
      </c>
      <c r="O124" s="22">
        <f>IF(F124="","",IF(F124="Ganha","Fechada",IF(F124="Perdida","Perdida",IF(AND(I124&lt;&gt;"",I124&lt;Config!$B$5),"Fechamento vencido",IF(N124&gt;Config!$B$7,"Parada","Ativa")))))</f>
        <v/>
      </c>
      <c r="P124" s="35">
        <f>IF(OR(F124="",O124="Fechada",O124="Perdida"),0,IF(O124="Fechamento vencido",3000,IF(O124="Parada",2000,1000))+MIN(N124,500)+E124/1000000-ROW()/100000)</f>
        <v>0</v>
      </c>
    </row>
    <row r="125">
      <c r="A125" s="29" t="n"/>
      <c r="B125" s="29" t="n"/>
      <c r="C125" s="33" t="n"/>
      <c r="D125" s="33" t="n"/>
      <c r="E125" s="31" t="n"/>
      <c r="F125" s="33" t="n"/>
      <c r="G125" s="34" t="n"/>
      <c r="H125" s="34" t="n"/>
      <c r="I125" s="34" t="n"/>
      <c r="J125" s="34" t="n"/>
      <c r="K125" s="29" t="n"/>
      <c r="L125" s="24">
        <f>IF(F125="","",IFERROR(INDEX(Config!$B$11:$B$16,MATCH(F125,Config!$A$11:$A$16,0)),0))</f>
        <v/>
      </c>
      <c r="M125" s="23">
        <f>IF(OR(F125="",E125=""),"",E125*L125)</f>
        <v/>
      </c>
      <c r="N125" s="26">
        <f>IF(OR(F125="",F125="Ganha",F125="Perdida"),"",Config!$B$5-IF(H125="",G125,H125))</f>
        <v/>
      </c>
      <c r="O125" s="22">
        <f>IF(F125="","",IF(F125="Ganha","Fechada",IF(F125="Perdida","Perdida",IF(AND(I125&lt;&gt;"",I125&lt;Config!$B$5),"Fechamento vencido",IF(N125&gt;Config!$B$7,"Parada","Ativa")))))</f>
        <v/>
      </c>
      <c r="P125" s="35">
        <f>IF(OR(F125="",O125="Fechada",O125="Perdida"),0,IF(O125="Fechamento vencido",3000,IF(O125="Parada",2000,1000))+MIN(N125,500)+E125/1000000-ROW()/100000)</f>
        <v>0</v>
      </c>
    </row>
    <row r="126">
      <c r="A126" s="29" t="n"/>
      <c r="B126" s="29" t="n"/>
      <c r="C126" s="33" t="n"/>
      <c r="D126" s="33" t="n"/>
      <c r="E126" s="31" t="n"/>
      <c r="F126" s="33" t="n"/>
      <c r="G126" s="34" t="n"/>
      <c r="H126" s="34" t="n"/>
      <c r="I126" s="34" t="n"/>
      <c r="J126" s="34" t="n"/>
      <c r="K126" s="29" t="n"/>
      <c r="L126" s="24">
        <f>IF(F126="","",IFERROR(INDEX(Config!$B$11:$B$16,MATCH(F126,Config!$A$11:$A$16,0)),0))</f>
        <v/>
      </c>
      <c r="M126" s="23">
        <f>IF(OR(F126="",E126=""),"",E126*L126)</f>
        <v/>
      </c>
      <c r="N126" s="26">
        <f>IF(OR(F126="",F126="Ganha",F126="Perdida"),"",Config!$B$5-IF(H126="",G126,H126))</f>
        <v/>
      </c>
      <c r="O126" s="22">
        <f>IF(F126="","",IF(F126="Ganha","Fechada",IF(F126="Perdida","Perdida",IF(AND(I126&lt;&gt;"",I126&lt;Config!$B$5),"Fechamento vencido",IF(N126&gt;Config!$B$7,"Parada","Ativa")))))</f>
        <v/>
      </c>
      <c r="P126" s="35">
        <f>IF(OR(F126="",O126="Fechada",O126="Perdida"),0,IF(O126="Fechamento vencido",3000,IF(O126="Parada",2000,1000))+MIN(N126,500)+E126/1000000-ROW()/100000)</f>
        <v>0</v>
      </c>
    </row>
    <row r="127">
      <c r="A127" s="29" t="n"/>
      <c r="B127" s="29" t="n"/>
      <c r="C127" s="33" t="n"/>
      <c r="D127" s="33" t="n"/>
      <c r="E127" s="31" t="n"/>
      <c r="F127" s="33" t="n"/>
      <c r="G127" s="34" t="n"/>
      <c r="H127" s="34" t="n"/>
      <c r="I127" s="34" t="n"/>
      <c r="J127" s="34" t="n"/>
      <c r="K127" s="29" t="n"/>
      <c r="L127" s="24">
        <f>IF(F127="","",IFERROR(INDEX(Config!$B$11:$B$16,MATCH(F127,Config!$A$11:$A$16,0)),0))</f>
        <v/>
      </c>
      <c r="M127" s="23">
        <f>IF(OR(F127="",E127=""),"",E127*L127)</f>
        <v/>
      </c>
      <c r="N127" s="26">
        <f>IF(OR(F127="",F127="Ganha",F127="Perdida"),"",Config!$B$5-IF(H127="",G127,H127))</f>
        <v/>
      </c>
      <c r="O127" s="22">
        <f>IF(F127="","",IF(F127="Ganha","Fechada",IF(F127="Perdida","Perdida",IF(AND(I127&lt;&gt;"",I127&lt;Config!$B$5),"Fechamento vencido",IF(N127&gt;Config!$B$7,"Parada","Ativa")))))</f>
        <v/>
      </c>
      <c r="P127" s="35">
        <f>IF(OR(F127="",O127="Fechada",O127="Perdida"),0,IF(O127="Fechamento vencido",3000,IF(O127="Parada",2000,1000))+MIN(N127,500)+E127/1000000-ROW()/100000)</f>
        <v>0</v>
      </c>
    </row>
    <row r="128">
      <c r="A128" s="29" t="n"/>
      <c r="B128" s="29" t="n"/>
      <c r="C128" s="33" t="n"/>
      <c r="D128" s="33" t="n"/>
      <c r="E128" s="31" t="n"/>
      <c r="F128" s="33" t="n"/>
      <c r="G128" s="34" t="n"/>
      <c r="H128" s="34" t="n"/>
      <c r="I128" s="34" t="n"/>
      <c r="J128" s="34" t="n"/>
      <c r="K128" s="29" t="n"/>
      <c r="L128" s="24">
        <f>IF(F128="","",IFERROR(INDEX(Config!$B$11:$B$16,MATCH(F128,Config!$A$11:$A$16,0)),0))</f>
        <v/>
      </c>
      <c r="M128" s="23">
        <f>IF(OR(F128="",E128=""),"",E128*L128)</f>
        <v/>
      </c>
      <c r="N128" s="26">
        <f>IF(OR(F128="",F128="Ganha",F128="Perdida"),"",Config!$B$5-IF(H128="",G128,H128))</f>
        <v/>
      </c>
      <c r="O128" s="22">
        <f>IF(F128="","",IF(F128="Ganha","Fechada",IF(F128="Perdida","Perdida",IF(AND(I128&lt;&gt;"",I128&lt;Config!$B$5),"Fechamento vencido",IF(N128&gt;Config!$B$7,"Parada","Ativa")))))</f>
        <v/>
      </c>
      <c r="P128" s="35">
        <f>IF(OR(F128="",O128="Fechada",O128="Perdida"),0,IF(O128="Fechamento vencido",3000,IF(O128="Parada",2000,1000))+MIN(N128,500)+E128/1000000-ROW()/100000)</f>
        <v>0</v>
      </c>
    </row>
    <row r="129">
      <c r="A129" s="29" t="n"/>
      <c r="B129" s="29" t="n"/>
      <c r="C129" s="33" t="n"/>
      <c r="D129" s="33" t="n"/>
      <c r="E129" s="31" t="n"/>
      <c r="F129" s="33" t="n"/>
      <c r="G129" s="34" t="n"/>
      <c r="H129" s="34" t="n"/>
      <c r="I129" s="34" t="n"/>
      <c r="J129" s="34" t="n"/>
      <c r="K129" s="29" t="n"/>
      <c r="L129" s="24">
        <f>IF(F129="","",IFERROR(INDEX(Config!$B$11:$B$16,MATCH(F129,Config!$A$11:$A$16,0)),0))</f>
        <v/>
      </c>
      <c r="M129" s="23">
        <f>IF(OR(F129="",E129=""),"",E129*L129)</f>
        <v/>
      </c>
      <c r="N129" s="26">
        <f>IF(OR(F129="",F129="Ganha",F129="Perdida"),"",Config!$B$5-IF(H129="",G129,H129))</f>
        <v/>
      </c>
      <c r="O129" s="22">
        <f>IF(F129="","",IF(F129="Ganha","Fechada",IF(F129="Perdida","Perdida",IF(AND(I129&lt;&gt;"",I129&lt;Config!$B$5),"Fechamento vencido",IF(N129&gt;Config!$B$7,"Parada","Ativa")))))</f>
        <v/>
      </c>
      <c r="P129" s="35">
        <f>IF(OR(F129="",O129="Fechada",O129="Perdida"),0,IF(O129="Fechamento vencido",3000,IF(O129="Parada",2000,1000))+MIN(N129,500)+E129/1000000-ROW()/100000)</f>
        <v>0</v>
      </c>
    </row>
    <row r="130">
      <c r="A130" s="29" t="n"/>
      <c r="B130" s="29" t="n"/>
      <c r="C130" s="33" t="n"/>
      <c r="D130" s="33" t="n"/>
      <c r="E130" s="31" t="n"/>
      <c r="F130" s="33" t="n"/>
      <c r="G130" s="34" t="n"/>
      <c r="H130" s="34" t="n"/>
      <c r="I130" s="34" t="n"/>
      <c r="J130" s="34" t="n"/>
      <c r="K130" s="29" t="n"/>
      <c r="L130" s="24">
        <f>IF(F130="","",IFERROR(INDEX(Config!$B$11:$B$16,MATCH(F130,Config!$A$11:$A$16,0)),0))</f>
        <v/>
      </c>
      <c r="M130" s="23">
        <f>IF(OR(F130="",E130=""),"",E130*L130)</f>
        <v/>
      </c>
      <c r="N130" s="26">
        <f>IF(OR(F130="",F130="Ganha",F130="Perdida"),"",Config!$B$5-IF(H130="",G130,H130))</f>
        <v/>
      </c>
      <c r="O130" s="22">
        <f>IF(F130="","",IF(F130="Ganha","Fechada",IF(F130="Perdida","Perdida",IF(AND(I130&lt;&gt;"",I130&lt;Config!$B$5),"Fechamento vencido",IF(N130&gt;Config!$B$7,"Parada","Ativa")))))</f>
        <v/>
      </c>
      <c r="P130" s="35">
        <f>IF(OR(F130="",O130="Fechada",O130="Perdida"),0,IF(O130="Fechamento vencido",3000,IF(O130="Parada",2000,1000))+MIN(N130,500)+E130/1000000-ROW()/100000)</f>
        <v>0</v>
      </c>
    </row>
    <row r="131">
      <c r="A131" s="29" t="n"/>
      <c r="B131" s="29" t="n"/>
      <c r="C131" s="33" t="n"/>
      <c r="D131" s="33" t="n"/>
      <c r="E131" s="31" t="n"/>
      <c r="F131" s="33" t="n"/>
      <c r="G131" s="34" t="n"/>
      <c r="H131" s="34" t="n"/>
      <c r="I131" s="34" t="n"/>
      <c r="J131" s="34" t="n"/>
      <c r="K131" s="29" t="n"/>
      <c r="L131" s="24">
        <f>IF(F131="","",IFERROR(INDEX(Config!$B$11:$B$16,MATCH(F131,Config!$A$11:$A$16,0)),0))</f>
        <v/>
      </c>
      <c r="M131" s="23">
        <f>IF(OR(F131="",E131=""),"",E131*L131)</f>
        <v/>
      </c>
      <c r="N131" s="26">
        <f>IF(OR(F131="",F131="Ganha",F131="Perdida"),"",Config!$B$5-IF(H131="",G131,H131))</f>
        <v/>
      </c>
      <c r="O131" s="22">
        <f>IF(F131="","",IF(F131="Ganha","Fechada",IF(F131="Perdida","Perdida",IF(AND(I131&lt;&gt;"",I131&lt;Config!$B$5),"Fechamento vencido",IF(N131&gt;Config!$B$7,"Parada","Ativa")))))</f>
        <v/>
      </c>
      <c r="P131" s="35">
        <f>IF(OR(F131="",O131="Fechada",O131="Perdida"),0,IF(O131="Fechamento vencido",3000,IF(O131="Parada",2000,1000))+MIN(N131,500)+E131/1000000-ROW()/100000)</f>
        <v>0</v>
      </c>
    </row>
    <row r="132">
      <c r="A132" s="29" t="n"/>
      <c r="B132" s="29" t="n"/>
      <c r="C132" s="33" t="n"/>
      <c r="D132" s="33" t="n"/>
      <c r="E132" s="31" t="n"/>
      <c r="F132" s="33" t="n"/>
      <c r="G132" s="34" t="n"/>
      <c r="H132" s="34" t="n"/>
      <c r="I132" s="34" t="n"/>
      <c r="J132" s="34" t="n"/>
      <c r="K132" s="29" t="n"/>
      <c r="L132" s="24">
        <f>IF(F132="","",IFERROR(INDEX(Config!$B$11:$B$16,MATCH(F132,Config!$A$11:$A$16,0)),0))</f>
        <v/>
      </c>
      <c r="M132" s="23">
        <f>IF(OR(F132="",E132=""),"",E132*L132)</f>
        <v/>
      </c>
      <c r="N132" s="26">
        <f>IF(OR(F132="",F132="Ganha",F132="Perdida"),"",Config!$B$5-IF(H132="",G132,H132))</f>
        <v/>
      </c>
      <c r="O132" s="22">
        <f>IF(F132="","",IF(F132="Ganha","Fechada",IF(F132="Perdida","Perdida",IF(AND(I132&lt;&gt;"",I132&lt;Config!$B$5),"Fechamento vencido",IF(N132&gt;Config!$B$7,"Parada","Ativa")))))</f>
        <v/>
      </c>
      <c r="P132" s="35">
        <f>IF(OR(F132="",O132="Fechada",O132="Perdida"),0,IF(O132="Fechamento vencido",3000,IF(O132="Parada",2000,1000))+MIN(N132,500)+E132/1000000-ROW()/100000)</f>
        <v>0</v>
      </c>
    </row>
    <row r="133">
      <c r="A133" s="29" t="n"/>
      <c r="B133" s="29" t="n"/>
      <c r="C133" s="33" t="n"/>
      <c r="D133" s="33" t="n"/>
      <c r="E133" s="31" t="n"/>
      <c r="F133" s="33" t="n"/>
      <c r="G133" s="34" t="n"/>
      <c r="H133" s="34" t="n"/>
      <c r="I133" s="34" t="n"/>
      <c r="J133" s="34" t="n"/>
      <c r="K133" s="29" t="n"/>
      <c r="L133" s="24">
        <f>IF(F133="","",IFERROR(INDEX(Config!$B$11:$B$16,MATCH(F133,Config!$A$11:$A$16,0)),0))</f>
        <v/>
      </c>
      <c r="M133" s="23">
        <f>IF(OR(F133="",E133=""),"",E133*L133)</f>
        <v/>
      </c>
      <c r="N133" s="26">
        <f>IF(OR(F133="",F133="Ganha",F133="Perdida"),"",Config!$B$5-IF(H133="",G133,H133))</f>
        <v/>
      </c>
      <c r="O133" s="22">
        <f>IF(F133="","",IF(F133="Ganha","Fechada",IF(F133="Perdida","Perdida",IF(AND(I133&lt;&gt;"",I133&lt;Config!$B$5),"Fechamento vencido",IF(N133&gt;Config!$B$7,"Parada","Ativa")))))</f>
        <v/>
      </c>
      <c r="P133" s="35">
        <f>IF(OR(F133="",O133="Fechada",O133="Perdida"),0,IF(O133="Fechamento vencido",3000,IF(O133="Parada",2000,1000))+MIN(N133,500)+E133/1000000-ROW()/100000)</f>
        <v>0</v>
      </c>
    </row>
    <row r="134">
      <c r="A134" s="29" t="n"/>
      <c r="B134" s="29" t="n"/>
      <c r="C134" s="33" t="n"/>
      <c r="D134" s="33" t="n"/>
      <c r="E134" s="31" t="n"/>
      <c r="F134" s="33" t="n"/>
      <c r="G134" s="34" t="n"/>
      <c r="H134" s="34" t="n"/>
      <c r="I134" s="34" t="n"/>
      <c r="J134" s="34" t="n"/>
      <c r="K134" s="29" t="n"/>
      <c r="L134" s="24">
        <f>IF(F134="","",IFERROR(INDEX(Config!$B$11:$B$16,MATCH(F134,Config!$A$11:$A$16,0)),0))</f>
        <v/>
      </c>
      <c r="M134" s="23">
        <f>IF(OR(F134="",E134=""),"",E134*L134)</f>
        <v/>
      </c>
      <c r="N134" s="26">
        <f>IF(OR(F134="",F134="Ganha",F134="Perdida"),"",Config!$B$5-IF(H134="",G134,H134))</f>
        <v/>
      </c>
      <c r="O134" s="22">
        <f>IF(F134="","",IF(F134="Ganha","Fechada",IF(F134="Perdida","Perdida",IF(AND(I134&lt;&gt;"",I134&lt;Config!$B$5),"Fechamento vencido",IF(N134&gt;Config!$B$7,"Parada","Ativa")))))</f>
        <v/>
      </c>
      <c r="P134" s="35">
        <f>IF(OR(F134="",O134="Fechada",O134="Perdida"),0,IF(O134="Fechamento vencido",3000,IF(O134="Parada",2000,1000))+MIN(N134,500)+E134/1000000-ROW()/100000)</f>
        <v>0</v>
      </c>
    </row>
    <row r="135">
      <c r="A135" s="29" t="n"/>
      <c r="B135" s="29" t="n"/>
      <c r="C135" s="33" t="n"/>
      <c r="D135" s="33" t="n"/>
      <c r="E135" s="31" t="n"/>
      <c r="F135" s="33" t="n"/>
      <c r="G135" s="34" t="n"/>
      <c r="H135" s="34" t="n"/>
      <c r="I135" s="34" t="n"/>
      <c r="J135" s="34" t="n"/>
      <c r="K135" s="29" t="n"/>
      <c r="L135" s="24">
        <f>IF(F135="","",IFERROR(INDEX(Config!$B$11:$B$16,MATCH(F135,Config!$A$11:$A$16,0)),0))</f>
        <v/>
      </c>
      <c r="M135" s="23">
        <f>IF(OR(F135="",E135=""),"",E135*L135)</f>
        <v/>
      </c>
      <c r="N135" s="26">
        <f>IF(OR(F135="",F135="Ganha",F135="Perdida"),"",Config!$B$5-IF(H135="",G135,H135))</f>
        <v/>
      </c>
      <c r="O135" s="22">
        <f>IF(F135="","",IF(F135="Ganha","Fechada",IF(F135="Perdida","Perdida",IF(AND(I135&lt;&gt;"",I135&lt;Config!$B$5),"Fechamento vencido",IF(N135&gt;Config!$B$7,"Parada","Ativa")))))</f>
        <v/>
      </c>
      <c r="P135" s="35">
        <f>IF(OR(F135="",O135="Fechada",O135="Perdida"),0,IF(O135="Fechamento vencido",3000,IF(O135="Parada",2000,1000))+MIN(N135,500)+E135/1000000-ROW()/100000)</f>
        <v>0</v>
      </c>
    </row>
    <row r="136">
      <c r="A136" s="29" t="n"/>
      <c r="B136" s="29" t="n"/>
      <c r="C136" s="33" t="n"/>
      <c r="D136" s="33" t="n"/>
      <c r="E136" s="31" t="n"/>
      <c r="F136" s="33" t="n"/>
      <c r="G136" s="34" t="n"/>
      <c r="H136" s="34" t="n"/>
      <c r="I136" s="34" t="n"/>
      <c r="J136" s="34" t="n"/>
      <c r="K136" s="29" t="n"/>
      <c r="L136" s="24">
        <f>IF(F136="","",IFERROR(INDEX(Config!$B$11:$B$16,MATCH(F136,Config!$A$11:$A$16,0)),0))</f>
        <v/>
      </c>
      <c r="M136" s="23">
        <f>IF(OR(F136="",E136=""),"",E136*L136)</f>
        <v/>
      </c>
      <c r="N136" s="26">
        <f>IF(OR(F136="",F136="Ganha",F136="Perdida"),"",Config!$B$5-IF(H136="",G136,H136))</f>
        <v/>
      </c>
      <c r="O136" s="22">
        <f>IF(F136="","",IF(F136="Ganha","Fechada",IF(F136="Perdida","Perdida",IF(AND(I136&lt;&gt;"",I136&lt;Config!$B$5),"Fechamento vencido",IF(N136&gt;Config!$B$7,"Parada","Ativa")))))</f>
        <v/>
      </c>
      <c r="P136" s="35">
        <f>IF(OR(F136="",O136="Fechada",O136="Perdida"),0,IF(O136="Fechamento vencido",3000,IF(O136="Parada",2000,1000))+MIN(N136,500)+E136/1000000-ROW()/100000)</f>
        <v>0</v>
      </c>
    </row>
    <row r="137">
      <c r="A137" s="29" t="n"/>
      <c r="B137" s="29" t="n"/>
      <c r="C137" s="33" t="n"/>
      <c r="D137" s="33" t="n"/>
      <c r="E137" s="31" t="n"/>
      <c r="F137" s="33" t="n"/>
      <c r="G137" s="34" t="n"/>
      <c r="H137" s="34" t="n"/>
      <c r="I137" s="34" t="n"/>
      <c r="J137" s="34" t="n"/>
      <c r="K137" s="29" t="n"/>
      <c r="L137" s="24">
        <f>IF(F137="","",IFERROR(INDEX(Config!$B$11:$B$16,MATCH(F137,Config!$A$11:$A$16,0)),0))</f>
        <v/>
      </c>
      <c r="M137" s="23">
        <f>IF(OR(F137="",E137=""),"",E137*L137)</f>
        <v/>
      </c>
      <c r="N137" s="26">
        <f>IF(OR(F137="",F137="Ganha",F137="Perdida"),"",Config!$B$5-IF(H137="",G137,H137))</f>
        <v/>
      </c>
      <c r="O137" s="22">
        <f>IF(F137="","",IF(F137="Ganha","Fechada",IF(F137="Perdida","Perdida",IF(AND(I137&lt;&gt;"",I137&lt;Config!$B$5),"Fechamento vencido",IF(N137&gt;Config!$B$7,"Parada","Ativa")))))</f>
        <v/>
      </c>
      <c r="P137" s="35">
        <f>IF(OR(F137="",O137="Fechada",O137="Perdida"),0,IF(O137="Fechamento vencido",3000,IF(O137="Parada",2000,1000))+MIN(N137,500)+E137/1000000-ROW()/100000)</f>
        <v>0</v>
      </c>
    </row>
    <row r="138">
      <c r="A138" s="29" t="n"/>
      <c r="B138" s="29" t="n"/>
      <c r="C138" s="33" t="n"/>
      <c r="D138" s="33" t="n"/>
      <c r="E138" s="31" t="n"/>
      <c r="F138" s="33" t="n"/>
      <c r="G138" s="34" t="n"/>
      <c r="H138" s="34" t="n"/>
      <c r="I138" s="34" t="n"/>
      <c r="J138" s="34" t="n"/>
      <c r="K138" s="29" t="n"/>
      <c r="L138" s="24">
        <f>IF(F138="","",IFERROR(INDEX(Config!$B$11:$B$16,MATCH(F138,Config!$A$11:$A$16,0)),0))</f>
        <v/>
      </c>
      <c r="M138" s="23">
        <f>IF(OR(F138="",E138=""),"",E138*L138)</f>
        <v/>
      </c>
      <c r="N138" s="26">
        <f>IF(OR(F138="",F138="Ganha",F138="Perdida"),"",Config!$B$5-IF(H138="",G138,H138))</f>
        <v/>
      </c>
      <c r="O138" s="22">
        <f>IF(F138="","",IF(F138="Ganha","Fechada",IF(F138="Perdida","Perdida",IF(AND(I138&lt;&gt;"",I138&lt;Config!$B$5),"Fechamento vencido",IF(N138&gt;Config!$B$7,"Parada","Ativa")))))</f>
        <v/>
      </c>
      <c r="P138" s="35">
        <f>IF(OR(F138="",O138="Fechada",O138="Perdida"),0,IF(O138="Fechamento vencido",3000,IF(O138="Parada",2000,1000))+MIN(N138,500)+E138/1000000-ROW()/100000)</f>
        <v>0</v>
      </c>
    </row>
    <row r="139">
      <c r="A139" s="29" t="n"/>
      <c r="B139" s="29" t="n"/>
      <c r="C139" s="33" t="n"/>
      <c r="D139" s="33" t="n"/>
      <c r="E139" s="31" t="n"/>
      <c r="F139" s="33" t="n"/>
      <c r="G139" s="34" t="n"/>
      <c r="H139" s="34" t="n"/>
      <c r="I139" s="34" t="n"/>
      <c r="J139" s="34" t="n"/>
      <c r="K139" s="29" t="n"/>
      <c r="L139" s="24">
        <f>IF(F139="","",IFERROR(INDEX(Config!$B$11:$B$16,MATCH(F139,Config!$A$11:$A$16,0)),0))</f>
        <v/>
      </c>
      <c r="M139" s="23">
        <f>IF(OR(F139="",E139=""),"",E139*L139)</f>
        <v/>
      </c>
      <c r="N139" s="26">
        <f>IF(OR(F139="",F139="Ganha",F139="Perdida"),"",Config!$B$5-IF(H139="",G139,H139))</f>
        <v/>
      </c>
      <c r="O139" s="22">
        <f>IF(F139="","",IF(F139="Ganha","Fechada",IF(F139="Perdida","Perdida",IF(AND(I139&lt;&gt;"",I139&lt;Config!$B$5),"Fechamento vencido",IF(N139&gt;Config!$B$7,"Parada","Ativa")))))</f>
        <v/>
      </c>
      <c r="P139" s="35">
        <f>IF(OR(F139="",O139="Fechada",O139="Perdida"),0,IF(O139="Fechamento vencido",3000,IF(O139="Parada",2000,1000))+MIN(N139,500)+E139/1000000-ROW()/100000)</f>
        <v>0</v>
      </c>
    </row>
    <row r="140">
      <c r="A140" s="29" t="n"/>
      <c r="B140" s="29" t="n"/>
      <c r="C140" s="33" t="n"/>
      <c r="D140" s="33" t="n"/>
      <c r="E140" s="31" t="n"/>
      <c r="F140" s="33" t="n"/>
      <c r="G140" s="34" t="n"/>
      <c r="H140" s="34" t="n"/>
      <c r="I140" s="34" t="n"/>
      <c r="J140" s="34" t="n"/>
      <c r="K140" s="29" t="n"/>
      <c r="L140" s="24">
        <f>IF(F140="","",IFERROR(INDEX(Config!$B$11:$B$16,MATCH(F140,Config!$A$11:$A$16,0)),0))</f>
        <v/>
      </c>
      <c r="M140" s="23">
        <f>IF(OR(F140="",E140=""),"",E140*L140)</f>
        <v/>
      </c>
      <c r="N140" s="26">
        <f>IF(OR(F140="",F140="Ganha",F140="Perdida"),"",Config!$B$5-IF(H140="",G140,H140))</f>
        <v/>
      </c>
      <c r="O140" s="22">
        <f>IF(F140="","",IF(F140="Ganha","Fechada",IF(F140="Perdida","Perdida",IF(AND(I140&lt;&gt;"",I140&lt;Config!$B$5),"Fechamento vencido",IF(N140&gt;Config!$B$7,"Parada","Ativa")))))</f>
        <v/>
      </c>
      <c r="P140" s="35">
        <f>IF(OR(F140="",O140="Fechada",O140="Perdida"),0,IF(O140="Fechamento vencido",3000,IF(O140="Parada",2000,1000))+MIN(N140,500)+E140/1000000-ROW()/100000)</f>
        <v>0</v>
      </c>
    </row>
    <row r="141">
      <c r="A141" s="29" t="n"/>
      <c r="B141" s="29" t="n"/>
      <c r="C141" s="33" t="n"/>
      <c r="D141" s="33" t="n"/>
      <c r="E141" s="31" t="n"/>
      <c r="F141" s="33" t="n"/>
      <c r="G141" s="34" t="n"/>
      <c r="H141" s="34" t="n"/>
      <c r="I141" s="34" t="n"/>
      <c r="J141" s="34" t="n"/>
      <c r="K141" s="29" t="n"/>
      <c r="L141" s="24">
        <f>IF(F141="","",IFERROR(INDEX(Config!$B$11:$B$16,MATCH(F141,Config!$A$11:$A$16,0)),0))</f>
        <v/>
      </c>
      <c r="M141" s="23">
        <f>IF(OR(F141="",E141=""),"",E141*L141)</f>
        <v/>
      </c>
      <c r="N141" s="26">
        <f>IF(OR(F141="",F141="Ganha",F141="Perdida"),"",Config!$B$5-IF(H141="",G141,H141))</f>
        <v/>
      </c>
      <c r="O141" s="22">
        <f>IF(F141="","",IF(F141="Ganha","Fechada",IF(F141="Perdida","Perdida",IF(AND(I141&lt;&gt;"",I141&lt;Config!$B$5),"Fechamento vencido",IF(N141&gt;Config!$B$7,"Parada","Ativa")))))</f>
        <v/>
      </c>
      <c r="P141" s="35">
        <f>IF(OR(F141="",O141="Fechada",O141="Perdida"),0,IF(O141="Fechamento vencido",3000,IF(O141="Parada",2000,1000))+MIN(N141,500)+E141/1000000-ROW()/100000)</f>
        <v>0</v>
      </c>
    </row>
    <row r="142">
      <c r="A142" s="29" t="n"/>
      <c r="B142" s="29" t="n"/>
      <c r="C142" s="33" t="n"/>
      <c r="D142" s="33" t="n"/>
      <c r="E142" s="31" t="n"/>
      <c r="F142" s="33" t="n"/>
      <c r="G142" s="34" t="n"/>
      <c r="H142" s="34" t="n"/>
      <c r="I142" s="34" t="n"/>
      <c r="J142" s="34" t="n"/>
      <c r="K142" s="29" t="n"/>
      <c r="L142" s="24">
        <f>IF(F142="","",IFERROR(INDEX(Config!$B$11:$B$16,MATCH(F142,Config!$A$11:$A$16,0)),0))</f>
        <v/>
      </c>
      <c r="M142" s="23">
        <f>IF(OR(F142="",E142=""),"",E142*L142)</f>
        <v/>
      </c>
      <c r="N142" s="26">
        <f>IF(OR(F142="",F142="Ganha",F142="Perdida"),"",Config!$B$5-IF(H142="",G142,H142))</f>
        <v/>
      </c>
      <c r="O142" s="22">
        <f>IF(F142="","",IF(F142="Ganha","Fechada",IF(F142="Perdida","Perdida",IF(AND(I142&lt;&gt;"",I142&lt;Config!$B$5),"Fechamento vencido",IF(N142&gt;Config!$B$7,"Parada","Ativa")))))</f>
        <v/>
      </c>
      <c r="P142" s="35">
        <f>IF(OR(F142="",O142="Fechada",O142="Perdida"),0,IF(O142="Fechamento vencido",3000,IF(O142="Parada",2000,1000))+MIN(N142,500)+E142/1000000-ROW()/100000)</f>
        <v>0</v>
      </c>
    </row>
    <row r="143">
      <c r="A143" s="29" t="n"/>
      <c r="B143" s="29" t="n"/>
      <c r="C143" s="33" t="n"/>
      <c r="D143" s="33" t="n"/>
      <c r="E143" s="31" t="n"/>
      <c r="F143" s="33" t="n"/>
      <c r="G143" s="34" t="n"/>
      <c r="H143" s="34" t="n"/>
      <c r="I143" s="34" t="n"/>
      <c r="J143" s="34" t="n"/>
      <c r="K143" s="29" t="n"/>
      <c r="L143" s="24">
        <f>IF(F143="","",IFERROR(INDEX(Config!$B$11:$B$16,MATCH(F143,Config!$A$11:$A$16,0)),0))</f>
        <v/>
      </c>
      <c r="M143" s="23">
        <f>IF(OR(F143="",E143=""),"",E143*L143)</f>
        <v/>
      </c>
      <c r="N143" s="26">
        <f>IF(OR(F143="",F143="Ganha",F143="Perdida"),"",Config!$B$5-IF(H143="",G143,H143))</f>
        <v/>
      </c>
      <c r="O143" s="22">
        <f>IF(F143="","",IF(F143="Ganha","Fechada",IF(F143="Perdida","Perdida",IF(AND(I143&lt;&gt;"",I143&lt;Config!$B$5),"Fechamento vencido",IF(N143&gt;Config!$B$7,"Parada","Ativa")))))</f>
        <v/>
      </c>
      <c r="P143" s="35">
        <f>IF(OR(F143="",O143="Fechada",O143="Perdida"),0,IF(O143="Fechamento vencido",3000,IF(O143="Parada",2000,1000))+MIN(N143,500)+E143/1000000-ROW()/100000)</f>
        <v>0</v>
      </c>
    </row>
    <row r="144">
      <c r="A144" s="29" t="n"/>
      <c r="B144" s="29" t="n"/>
      <c r="C144" s="33" t="n"/>
      <c r="D144" s="33" t="n"/>
      <c r="E144" s="31" t="n"/>
      <c r="F144" s="33" t="n"/>
      <c r="G144" s="34" t="n"/>
      <c r="H144" s="34" t="n"/>
      <c r="I144" s="34" t="n"/>
      <c r="J144" s="34" t="n"/>
      <c r="K144" s="29" t="n"/>
      <c r="L144" s="24">
        <f>IF(F144="","",IFERROR(INDEX(Config!$B$11:$B$16,MATCH(F144,Config!$A$11:$A$16,0)),0))</f>
        <v/>
      </c>
      <c r="M144" s="23">
        <f>IF(OR(F144="",E144=""),"",E144*L144)</f>
        <v/>
      </c>
      <c r="N144" s="26">
        <f>IF(OR(F144="",F144="Ganha",F144="Perdida"),"",Config!$B$5-IF(H144="",G144,H144))</f>
        <v/>
      </c>
      <c r="O144" s="22">
        <f>IF(F144="","",IF(F144="Ganha","Fechada",IF(F144="Perdida","Perdida",IF(AND(I144&lt;&gt;"",I144&lt;Config!$B$5),"Fechamento vencido",IF(N144&gt;Config!$B$7,"Parada","Ativa")))))</f>
        <v/>
      </c>
      <c r="P144" s="35">
        <f>IF(OR(F144="",O144="Fechada",O144="Perdida"),0,IF(O144="Fechamento vencido",3000,IF(O144="Parada",2000,1000))+MIN(N144,500)+E144/1000000-ROW()/100000)</f>
        <v>0</v>
      </c>
    </row>
    <row r="145">
      <c r="A145" s="29" t="n"/>
      <c r="B145" s="29" t="n"/>
      <c r="C145" s="33" t="n"/>
      <c r="D145" s="33" t="n"/>
      <c r="E145" s="31" t="n"/>
      <c r="F145" s="33" t="n"/>
      <c r="G145" s="34" t="n"/>
      <c r="H145" s="34" t="n"/>
      <c r="I145" s="34" t="n"/>
      <c r="J145" s="34" t="n"/>
      <c r="K145" s="29" t="n"/>
      <c r="L145" s="24">
        <f>IF(F145="","",IFERROR(INDEX(Config!$B$11:$B$16,MATCH(F145,Config!$A$11:$A$16,0)),0))</f>
        <v/>
      </c>
      <c r="M145" s="23">
        <f>IF(OR(F145="",E145=""),"",E145*L145)</f>
        <v/>
      </c>
      <c r="N145" s="26">
        <f>IF(OR(F145="",F145="Ganha",F145="Perdida"),"",Config!$B$5-IF(H145="",G145,H145))</f>
        <v/>
      </c>
      <c r="O145" s="22">
        <f>IF(F145="","",IF(F145="Ganha","Fechada",IF(F145="Perdida","Perdida",IF(AND(I145&lt;&gt;"",I145&lt;Config!$B$5),"Fechamento vencido",IF(N145&gt;Config!$B$7,"Parada","Ativa")))))</f>
        <v/>
      </c>
      <c r="P145" s="35">
        <f>IF(OR(F145="",O145="Fechada",O145="Perdida"),0,IF(O145="Fechamento vencido",3000,IF(O145="Parada",2000,1000))+MIN(N145,500)+E145/1000000-ROW()/100000)</f>
        <v>0</v>
      </c>
    </row>
    <row r="146">
      <c r="A146" s="29" t="n"/>
      <c r="B146" s="29" t="n"/>
      <c r="C146" s="33" t="n"/>
      <c r="D146" s="33" t="n"/>
      <c r="E146" s="31" t="n"/>
      <c r="F146" s="33" t="n"/>
      <c r="G146" s="34" t="n"/>
      <c r="H146" s="34" t="n"/>
      <c r="I146" s="34" t="n"/>
      <c r="J146" s="34" t="n"/>
      <c r="K146" s="29" t="n"/>
      <c r="L146" s="24">
        <f>IF(F146="","",IFERROR(INDEX(Config!$B$11:$B$16,MATCH(F146,Config!$A$11:$A$16,0)),0))</f>
        <v/>
      </c>
      <c r="M146" s="23">
        <f>IF(OR(F146="",E146=""),"",E146*L146)</f>
        <v/>
      </c>
      <c r="N146" s="26">
        <f>IF(OR(F146="",F146="Ganha",F146="Perdida"),"",Config!$B$5-IF(H146="",G146,H146))</f>
        <v/>
      </c>
      <c r="O146" s="22">
        <f>IF(F146="","",IF(F146="Ganha","Fechada",IF(F146="Perdida","Perdida",IF(AND(I146&lt;&gt;"",I146&lt;Config!$B$5),"Fechamento vencido",IF(N146&gt;Config!$B$7,"Parada","Ativa")))))</f>
        <v/>
      </c>
      <c r="P146" s="35">
        <f>IF(OR(F146="",O146="Fechada",O146="Perdida"),0,IF(O146="Fechamento vencido",3000,IF(O146="Parada",2000,1000))+MIN(N146,500)+E146/1000000-ROW()/100000)</f>
        <v>0</v>
      </c>
    </row>
    <row r="147">
      <c r="A147" s="29" t="n"/>
      <c r="B147" s="29" t="n"/>
      <c r="C147" s="33" t="n"/>
      <c r="D147" s="33" t="n"/>
      <c r="E147" s="31" t="n"/>
      <c r="F147" s="33" t="n"/>
      <c r="G147" s="34" t="n"/>
      <c r="H147" s="34" t="n"/>
      <c r="I147" s="34" t="n"/>
      <c r="J147" s="34" t="n"/>
      <c r="K147" s="29" t="n"/>
      <c r="L147" s="24">
        <f>IF(F147="","",IFERROR(INDEX(Config!$B$11:$B$16,MATCH(F147,Config!$A$11:$A$16,0)),0))</f>
        <v/>
      </c>
      <c r="M147" s="23">
        <f>IF(OR(F147="",E147=""),"",E147*L147)</f>
        <v/>
      </c>
      <c r="N147" s="26">
        <f>IF(OR(F147="",F147="Ganha",F147="Perdida"),"",Config!$B$5-IF(H147="",G147,H147))</f>
        <v/>
      </c>
      <c r="O147" s="22">
        <f>IF(F147="","",IF(F147="Ganha","Fechada",IF(F147="Perdida","Perdida",IF(AND(I147&lt;&gt;"",I147&lt;Config!$B$5),"Fechamento vencido",IF(N147&gt;Config!$B$7,"Parada","Ativa")))))</f>
        <v/>
      </c>
      <c r="P147" s="35">
        <f>IF(OR(F147="",O147="Fechada",O147="Perdida"),0,IF(O147="Fechamento vencido",3000,IF(O147="Parada",2000,1000))+MIN(N147,500)+E147/1000000-ROW()/100000)</f>
        <v>0</v>
      </c>
    </row>
    <row r="148">
      <c r="A148" s="29" t="n"/>
      <c r="B148" s="29" t="n"/>
      <c r="C148" s="33" t="n"/>
      <c r="D148" s="33" t="n"/>
      <c r="E148" s="31" t="n"/>
      <c r="F148" s="33" t="n"/>
      <c r="G148" s="34" t="n"/>
      <c r="H148" s="34" t="n"/>
      <c r="I148" s="34" t="n"/>
      <c r="J148" s="34" t="n"/>
      <c r="K148" s="29" t="n"/>
      <c r="L148" s="24">
        <f>IF(F148="","",IFERROR(INDEX(Config!$B$11:$B$16,MATCH(F148,Config!$A$11:$A$16,0)),0))</f>
        <v/>
      </c>
      <c r="M148" s="23">
        <f>IF(OR(F148="",E148=""),"",E148*L148)</f>
        <v/>
      </c>
      <c r="N148" s="26">
        <f>IF(OR(F148="",F148="Ganha",F148="Perdida"),"",Config!$B$5-IF(H148="",G148,H148))</f>
        <v/>
      </c>
      <c r="O148" s="22">
        <f>IF(F148="","",IF(F148="Ganha","Fechada",IF(F148="Perdida","Perdida",IF(AND(I148&lt;&gt;"",I148&lt;Config!$B$5),"Fechamento vencido",IF(N148&gt;Config!$B$7,"Parada","Ativa")))))</f>
        <v/>
      </c>
      <c r="P148" s="35">
        <f>IF(OR(F148="",O148="Fechada",O148="Perdida"),0,IF(O148="Fechamento vencido",3000,IF(O148="Parada",2000,1000))+MIN(N148,500)+E148/1000000-ROW()/100000)</f>
        <v>0</v>
      </c>
    </row>
    <row r="149">
      <c r="A149" s="29" t="n"/>
      <c r="B149" s="29" t="n"/>
      <c r="C149" s="33" t="n"/>
      <c r="D149" s="33" t="n"/>
      <c r="E149" s="31" t="n"/>
      <c r="F149" s="33" t="n"/>
      <c r="G149" s="34" t="n"/>
      <c r="H149" s="34" t="n"/>
      <c r="I149" s="34" t="n"/>
      <c r="J149" s="34" t="n"/>
      <c r="K149" s="29" t="n"/>
      <c r="L149" s="24">
        <f>IF(F149="","",IFERROR(INDEX(Config!$B$11:$B$16,MATCH(F149,Config!$A$11:$A$16,0)),0))</f>
        <v/>
      </c>
      <c r="M149" s="23">
        <f>IF(OR(F149="",E149=""),"",E149*L149)</f>
        <v/>
      </c>
      <c r="N149" s="26">
        <f>IF(OR(F149="",F149="Ganha",F149="Perdida"),"",Config!$B$5-IF(H149="",G149,H149))</f>
        <v/>
      </c>
      <c r="O149" s="22">
        <f>IF(F149="","",IF(F149="Ganha","Fechada",IF(F149="Perdida","Perdida",IF(AND(I149&lt;&gt;"",I149&lt;Config!$B$5),"Fechamento vencido",IF(N149&gt;Config!$B$7,"Parada","Ativa")))))</f>
        <v/>
      </c>
      <c r="P149" s="35">
        <f>IF(OR(F149="",O149="Fechada",O149="Perdida"),0,IF(O149="Fechamento vencido",3000,IF(O149="Parada",2000,1000))+MIN(N149,500)+E149/1000000-ROW()/100000)</f>
        <v>0</v>
      </c>
    </row>
    <row r="150">
      <c r="A150" s="29" t="n"/>
      <c r="B150" s="29" t="n"/>
      <c r="C150" s="33" t="n"/>
      <c r="D150" s="33" t="n"/>
      <c r="E150" s="31" t="n"/>
      <c r="F150" s="33" t="n"/>
      <c r="G150" s="34" t="n"/>
      <c r="H150" s="34" t="n"/>
      <c r="I150" s="34" t="n"/>
      <c r="J150" s="34" t="n"/>
      <c r="K150" s="29" t="n"/>
      <c r="L150" s="24">
        <f>IF(F150="","",IFERROR(INDEX(Config!$B$11:$B$16,MATCH(F150,Config!$A$11:$A$16,0)),0))</f>
        <v/>
      </c>
      <c r="M150" s="23">
        <f>IF(OR(F150="",E150=""),"",E150*L150)</f>
        <v/>
      </c>
      <c r="N150" s="26">
        <f>IF(OR(F150="",F150="Ganha",F150="Perdida"),"",Config!$B$5-IF(H150="",G150,H150))</f>
        <v/>
      </c>
      <c r="O150" s="22">
        <f>IF(F150="","",IF(F150="Ganha","Fechada",IF(F150="Perdida","Perdida",IF(AND(I150&lt;&gt;"",I150&lt;Config!$B$5),"Fechamento vencido",IF(N150&gt;Config!$B$7,"Parada","Ativa")))))</f>
        <v/>
      </c>
      <c r="P150" s="35">
        <f>IF(OR(F150="",O150="Fechada",O150="Perdida"),0,IF(O150="Fechamento vencido",3000,IF(O150="Parada",2000,1000))+MIN(N150,500)+E150/1000000-ROW()/100000)</f>
        <v>0</v>
      </c>
    </row>
    <row r="151">
      <c r="A151" s="29" t="n"/>
      <c r="B151" s="29" t="n"/>
      <c r="C151" s="33" t="n"/>
      <c r="D151" s="33" t="n"/>
      <c r="E151" s="31" t="n"/>
      <c r="F151" s="33" t="n"/>
      <c r="G151" s="34" t="n"/>
      <c r="H151" s="34" t="n"/>
      <c r="I151" s="34" t="n"/>
      <c r="J151" s="34" t="n"/>
      <c r="K151" s="29" t="n"/>
      <c r="L151" s="24">
        <f>IF(F151="","",IFERROR(INDEX(Config!$B$11:$B$16,MATCH(F151,Config!$A$11:$A$16,0)),0))</f>
        <v/>
      </c>
      <c r="M151" s="23">
        <f>IF(OR(F151="",E151=""),"",E151*L151)</f>
        <v/>
      </c>
      <c r="N151" s="26">
        <f>IF(OR(F151="",F151="Ganha",F151="Perdida"),"",Config!$B$5-IF(H151="",G151,H151))</f>
        <v/>
      </c>
      <c r="O151" s="22">
        <f>IF(F151="","",IF(F151="Ganha","Fechada",IF(F151="Perdida","Perdida",IF(AND(I151&lt;&gt;"",I151&lt;Config!$B$5),"Fechamento vencido",IF(N151&gt;Config!$B$7,"Parada","Ativa")))))</f>
        <v/>
      </c>
      <c r="P151" s="35">
        <f>IF(OR(F151="",O151="Fechada",O151="Perdida"),0,IF(O151="Fechamento vencido",3000,IF(O151="Parada",2000,1000))+MIN(N151,500)+E151/1000000-ROW()/100000)</f>
        <v>0</v>
      </c>
    </row>
    <row r="152">
      <c r="A152" s="29" t="n"/>
      <c r="B152" s="29" t="n"/>
      <c r="C152" s="33" t="n"/>
      <c r="D152" s="33" t="n"/>
      <c r="E152" s="31" t="n"/>
      <c r="F152" s="33" t="n"/>
      <c r="G152" s="34" t="n"/>
      <c r="H152" s="34" t="n"/>
      <c r="I152" s="34" t="n"/>
      <c r="J152" s="34" t="n"/>
      <c r="K152" s="29" t="n"/>
      <c r="L152" s="24">
        <f>IF(F152="","",IFERROR(INDEX(Config!$B$11:$B$16,MATCH(F152,Config!$A$11:$A$16,0)),0))</f>
        <v/>
      </c>
      <c r="M152" s="23">
        <f>IF(OR(F152="",E152=""),"",E152*L152)</f>
        <v/>
      </c>
      <c r="N152" s="26">
        <f>IF(OR(F152="",F152="Ganha",F152="Perdida"),"",Config!$B$5-IF(H152="",G152,H152))</f>
        <v/>
      </c>
      <c r="O152" s="22">
        <f>IF(F152="","",IF(F152="Ganha","Fechada",IF(F152="Perdida","Perdida",IF(AND(I152&lt;&gt;"",I152&lt;Config!$B$5),"Fechamento vencido",IF(N152&gt;Config!$B$7,"Parada","Ativa")))))</f>
        <v/>
      </c>
      <c r="P152" s="35">
        <f>IF(OR(F152="",O152="Fechada",O152="Perdida"),0,IF(O152="Fechamento vencido",3000,IF(O152="Parada",2000,1000))+MIN(N152,500)+E152/1000000-ROW()/100000)</f>
        <v>0</v>
      </c>
    </row>
    <row r="153">
      <c r="A153" s="29" t="n"/>
      <c r="B153" s="29" t="n"/>
      <c r="C153" s="33" t="n"/>
      <c r="D153" s="33" t="n"/>
      <c r="E153" s="31" t="n"/>
      <c r="F153" s="33" t="n"/>
      <c r="G153" s="34" t="n"/>
      <c r="H153" s="34" t="n"/>
      <c r="I153" s="34" t="n"/>
      <c r="J153" s="34" t="n"/>
      <c r="K153" s="29" t="n"/>
      <c r="L153" s="24">
        <f>IF(F153="","",IFERROR(INDEX(Config!$B$11:$B$16,MATCH(F153,Config!$A$11:$A$16,0)),0))</f>
        <v/>
      </c>
      <c r="M153" s="23">
        <f>IF(OR(F153="",E153=""),"",E153*L153)</f>
        <v/>
      </c>
      <c r="N153" s="26">
        <f>IF(OR(F153="",F153="Ganha",F153="Perdida"),"",Config!$B$5-IF(H153="",G153,H153))</f>
        <v/>
      </c>
      <c r="O153" s="22">
        <f>IF(F153="","",IF(F153="Ganha","Fechada",IF(F153="Perdida","Perdida",IF(AND(I153&lt;&gt;"",I153&lt;Config!$B$5),"Fechamento vencido",IF(N153&gt;Config!$B$7,"Parada","Ativa")))))</f>
        <v/>
      </c>
      <c r="P153" s="35">
        <f>IF(OR(F153="",O153="Fechada",O153="Perdida"),0,IF(O153="Fechamento vencido",3000,IF(O153="Parada",2000,1000))+MIN(N153,500)+E153/1000000-ROW()/100000)</f>
        <v>0</v>
      </c>
    </row>
    <row r="154">
      <c r="A154" s="29" t="n"/>
      <c r="B154" s="29" t="n"/>
      <c r="C154" s="33" t="n"/>
      <c r="D154" s="33" t="n"/>
      <c r="E154" s="31" t="n"/>
      <c r="F154" s="33" t="n"/>
      <c r="G154" s="34" t="n"/>
      <c r="H154" s="34" t="n"/>
      <c r="I154" s="34" t="n"/>
      <c r="J154" s="34" t="n"/>
      <c r="K154" s="29" t="n"/>
      <c r="L154" s="24">
        <f>IF(F154="","",IFERROR(INDEX(Config!$B$11:$B$16,MATCH(F154,Config!$A$11:$A$16,0)),0))</f>
        <v/>
      </c>
      <c r="M154" s="23">
        <f>IF(OR(F154="",E154=""),"",E154*L154)</f>
        <v/>
      </c>
      <c r="N154" s="26">
        <f>IF(OR(F154="",F154="Ganha",F154="Perdida"),"",Config!$B$5-IF(H154="",G154,H154))</f>
        <v/>
      </c>
      <c r="O154" s="22">
        <f>IF(F154="","",IF(F154="Ganha","Fechada",IF(F154="Perdida","Perdida",IF(AND(I154&lt;&gt;"",I154&lt;Config!$B$5),"Fechamento vencido",IF(N154&gt;Config!$B$7,"Parada","Ativa")))))</f>
        <v/>
      </c>
      <c r="P154" s="35">
        <f>IF(OR(F154="",O154="Fechada",O154="Perdida"),0,IF(O154="Fechamento vencido",3000,IF(O154="Parada",2000,1000))+MIN(N154,500)+E154/1000000-ROW()/100000)</f>
        <v>0</v>
      </c>
    </row>
    <row r="155">
      <c r="A155" s="29" t="n"/>
      <c r="B155" s="29" t="n"/>
      <c r="C155" s="33" t="n"/>
      <c r="D155" s="33" t="n"/>
      <c r="E155" s="31" t="n"/>
      <c r="F155" s="33" t="n"/>
      <c r="G155" s="34" t="n"/>
      <c r="H155" s="34" t="n"/>
      <c r="I155" s="34" t="n"/>
      <c r="J155" s="34" t="n"/>
      <c r="K155" s="29" t="n"/>
      <c r="L155" s="24">
        <f>IF(F155="","",IFERROR(INDEX(Config!$B$11:$B$16,MATCH(F155,Config!$A$11:$A$16,0)),0))</f>
        <v/>
      </c>
      <c r="M155" s="23">
        <f>IF(OR(F155="",E155=""),"",E155*L155)</f>
        <v/>
      </c>
      <c r="N155" s="26">
        <f>IF(OR(F155="",F155="Ganha",F155="Perdida"),"",Config!$B$5-IF(H155="",G155,H155))</f>
        <v/>
      </c>
      <c r="O155" s="22">
        <f>IF(F155="","",IF(F155="Ganha","Fechada",IF(F155="Perdida","Perdida",IF(AND(I155&lt;&gt;"",I155&lt;Config!$B$5),"Fechamento vencido",IF(N155&gt;Config!$B$7,"Parada","Ativa")))))</f>
        <v/>
      </c>
      <c r="P155" s="35">
        <f>IF(OR(F155="",O155="Fechada",O155="Perdida"),0,IF(O155="Fechamento vencido",3000,IF(O155="Parada",2000,1000))+MIN(N155,500)+E155/1000000-ROW()/100000)</f>
        <v>0</v>
      </c>
    </row>
    <row r="156">
      <c r="A156" s="29" t="n"/>
      <c r="B156" s="29" t="n"/>
      <c r="C156" s="33" t="n"/>
      <c r="D156" s="33" t="n"/>
      <c r="E156" s="31" t="n"/>
      <c r="F156" s="33" t="n"/>
      <c r="G156" s="34" t="n"/>
      <c r="H156" s="34" t="n"/>
      <c r="I156" s="34" t="n"/>
      <c r="J156" s="34" t="n"/>
      <c r="K156" s="29" t="n"/>
      <c r="L156" s="24">
        <f>IF(F156="","",IFERROR(INDEX(Config!$B$11:$B$16,MATCH(F156,Config!$A$11:$A$16,0)),0))</f>
        <v/>
      </c>
      <c r="M156" s="23">
        <f>IF(OR(F156="",E156=""),"",E156*L156)</f>
        <v/>
      </c>
      <c r="N156" s="26">
        <f>IF(OR(F156="",F156="Ganha",F156="Perdida"),"",Config!$B$5-IF(H156="",G156,H156))</f>
        <v/>
      </c>
      <c r="O156" s="22">
        <f>IF(F156="","",IF(F156="Ganha","Fechada",IF(F156="Perdida","Perdida",IF(AND(I156&lt;&gt;"",I156&lt;Config!$B$5),"Fechamento vencido",IF(N156&gt;Config!$B$7,"Parada","Ativa")))))</f>
        <v/>
      </c>
      <c r="P156" s="35">
        <f>IF(OR(F156="",O156="Fechada",O156="Perdida"),0,IF(O156="Fechamento vencido",3000,IF(O156="Parada",2000,1000))+MIN(N156,500)+E156/1000000-ROW()/100000)</f>
        <v>0</v>
      </c>
    </row>
    <row r="157">
      <c r="A157" s="29" t="n"/>
      <c r="B157" s="29" t="n"/>
      <c r="C157" s="33" t="n"/>
      <c r="D157" s="33" t="n"/>
      <c r="E157" s="31" t="n"/>
      <c r="F157" s="33" t="n"/>
      <c r="G157" s="34" t="n"/>
      <c r="H157" s="34" t="n"/>
      <c r="I157" s="34" t="n"/>
      <c r="J157" s="34" t="n"/>
      <c r="K157" s="29" t="n"/>
      <c r="L157" s="24">
        <f>IF(F157="","",IFERROR(INDEX(Config!$B$11:$B$16,MATCH(F157,Config!$A$11:$A$16,0)),0))</f>
        <v/>
      </c>
      <c r="M157" s="23">
        <f>IF(OR(F157="",E157=""),"",E157*L157)</f>
        <v/>
      </c>
      <c r="N157" s="26">
        <f>IF(OR(F157="",F157="Ganha",F157="Perdida"),"",Config!$B$5-IF(H157="",G157,H157))</f>
        <v/>
      </c>
      <c r="O157" s="22">
        <f>IF(F157="","",IF(F157="Ganha","Fechada",IF(F157="Perdida","Perdida",IF(AND(I157&lt;&gt;"",I157&lt;Config!$B$5),"Fechamento vencido",IF(N157&gt;Config!$B$7,"Parada","Ativa")))))</f>
        <v/>
      </c>
      <c r="P157" s="35">
        <f>IF(OR(F157="",O157="Fechada",O157="Perdida"),0,IF(O157="Fechamento vencido",3000,IF(O157="Parada",2000,1000))+MIN(N157,500)+E157/1000000-ROW()/100000)</f>
        <v>0</v>
      </c>
    </row>
    <row r="158">
      <c r="A158" s="29" t="n"/>
      <c r="B158" s="29" t="n"/>
      <c r="C158" s="33" t="n"/>
      <c r="D158" s="33" t="n"/>
      <c r="E158" s="31" t="n"/>
      <c r="F158" s="33" t="n"/>
      <c r="G158" s="34" t="n"/>
      <c r="H158" s="34" t="n"/>
      <c r="I158" s="34" t="n"/>
      <c r="J158" s="34" t="n"/>
      <c r="K158" s="29" t="n"/>
      <c r="L158" s="24">
        <f>IF(F158="","",IFERROR(INDEX(Config!$B$11:$B$16,MATCH(F158,Config!$A$11:$A$16,0)),0))</f>
        <v/>
      </c>
      <c r="M158" s="23">
        <f>IF(OR(F158="",E158=""),"",E158*L158)</f>
        <v/>
      </c>
      <c r="N158" s="26">
        <f>IF(OR(F158="",F158="Ganha",F158="Perdida"),"",Config!$B$5-IF(H158="",G158,H158))</f>
        <v/>
      </c>
      <c r="O158" s="22">
        <f>IF(F158="","",IF(F158="Ganha","Fechada",IF(F158="Perdida","Perdida",IF(AND(I158&lt;&gt;"",I158&lt;Config!$B$5),"Fechamento vencido",IF(N158&gt;Config!$B$7,"Parada","Ativa")))))</f>
        <v/>
      </c>
      <c r="P158" s="35">
        <f>IF(OR(F158="",O158="Fechada",O158="Perdida"),0,IF(O158="Fechamento vencido",3000,IF(O158="Parada",2000,1000))+MIN(N158,500)+E158/1000000-ROW()/100000)</f>
        <v>0</v>
      </c>
    </row>
    <row r="159">
      <c r="A159" s="29" t="n"/>
      <c r="B159" s="29" t="n"/>
      <c r="C159" s="33" t="n"/>
      <c r="D159" s="33" t="n"/>
      <c r="E159" s="31" t="n"/>
      <c r="F159" s="33" t="n"/>
      <c r="G159" s="34" t="n"/>
      <c r="H159" s="34" t="n"/>
      <c r="I159" s="34" t="n"/>
      <c r="J159" s="34" t="n"/>
      <c r="K159" s="29" t="n"/>
      <c r="L159" s="24">
        <f>IF(F159="","",IFERROR(INDEX(Config!$B$11:$B$16,MATCH(F159,Config!$A$11:$A$16,0)),0))</f>
        <v/>
      </c>
      <c r="M159" s="23">
        <f>IF(OR(F159="",E159=""),"",E159*L159)</f>
        <v/>
      </c>
      <c r="N159" s="26">
        <f>IF(OR(F159="",F159="Ganha",F159="Perdida"),"",Config!$B$5-IF(H159="",G159,H159))</f>
        <v/>
      </c>
      <c r="O159" s="22">
        <f>IF(F159="","",IF(F159="Ganha","Fechada",IF(F159="Perdida","Perdida",IF(AND(I159&lt;&gt;"",I159&lt;Config!$B$5),"Fechamento vencido",IF(N159&gt;Config!$B$7,"Parada","Ativa")))))</f>
        <v/>
      </c>
      <c r="P159" s="35">
        <f>IF(OR(F159="",O159="Fechada",O159="Perdida"),0,IF(O159="Fechamento vencido",3000,IF(O159="Parada",2000,1000))+MIN(N159,500)+E159/1000000-ROW()/100000)</f>
        <v>0</v>
      </c>
    </row>
    <row r="160">
      <c r="A160" s="29" t="n"/>
      <c r="B160" s="29" t="n"/>
      <c r="C160" s="33" t="n"/>
      <c r="D160" s="33" t="n"/>
      <c r="E160" s="31" t="n"/>
      <c r="F160" s="33" t="n"/>
      <c r="G160" s="34" t="n"/>
      <c r="H160" s="34" t="n"/>
      <c r="I160" s="34" t="n"/>
      <c r="J160" s="34" t="n"/>
      <c r="K160" s="29" t="n"/>
      <c r="L160" s="24">
        <f>IF(F160="","",IFERROR(INDEX(Config!$B$11:$B$16,MATCH(F160,Config!$A$11:$A$16,0)),0))</f>
        <v/>
      </c>
      <c r="M160" s="23">
        <f>IF(OR(F160="",E160=""),"",E160*L160)</f>
        <v/>
      </c>
      <c r="N160" s="26">
        <f>IF(OR(F160="",F160="Ganha",F160="Perdida"),"",Config!$B$5-IF(H160="",G160,H160))</f>
        <v/>
      </c>
      <c r="O160" s="22">
        <f>IF(F160="","",IF(F160="Ganha","Fechada",IF(F160="Perdida","Perdida",IF(AND(I160&lt;&gt;"",I160&lt;Config!$B$5),"Fechamento vencido",IF(N160&gt;Config!$B$7,"Parada","Ativa")))))</f>
        <v/>
      </c>
      <c r="P160" s="35">
        <f>IF(OR(F160="",O160="Fechada",O160="Perdida"),0,IF(O160="Fechamento vencido",3000,IF(O160="Parada",2000,1000))+MIN(N160,500)+E160/1000000-ROW()/100000)</f>
        <v>0</v>
      </c>
    </row>
    <row r="161">
      <c r="A161" s="29" t="n"/>
      <c r="B161" s="29" t="n"/>
      <c r="C161" s="33" t="n"/>
      <c r="D161" s="33" t="n"/>
      <c r="E161" s="31" t="n"/>
      <c r="F161" s="33" t="n"/>
      <c r="G161" s="34" t="n"/>
      <c r="H161" s="34" t="n"/>
      <c r="I161" s="34" t="n"/>
      <c r="J161" s="34" t="n"/>
      <c r="K161" s="29" t="n"/>
      <c r="L161" s="24">
        <f>IF(F161="","",IFERROR(INDEX(Config!$B$11:$B$16,MATCH(F161,Config!$A$11:$A$16,0)),0))</f>
        <v/>
      </c>
      <c r="M161" s="23">
        <f>IF(OR(F161="",E161=""),"",E161*L161)</f>
        <v/>
      </c>
      <c r="N161" s="26">
        <f>IF(OR(F161="",F161="Ganha",F161="Perdida"),"",Config!$B$5-IF(H161="",G161,H161))</f>
        <v/>
      </c>
      <c r="O161" s="22">
        <f>IF(F161="","",IF(F161="Ganha","Fechada",IF(F161="Perdida","Perdida",IF(AND(I161&lt;&gt;"",I161&lt;Config!$B$5),"Fechamento vencido",IF(N161&gt;Config!$B$7,"Parada","Ativa")))))</f>
        <v/>
      </c>
      <c r="P161" s="35">
        <f>IF(OR(F161="",O161="Fechada",O161="Perdida"),0,IF(O161="Fechamento vencido",3000,IF(O161="Parada",2000,1000))+MIN(N161,500)+E161/1000000-ROW()/100000)</f>
        <v>0</v>
      </c>
    </row>
    <row r="162">
      <c r="A162" s="29" t="n"/>
      <c r="B162" s="29" t="n"/>
      <c r="C162" s="33" t="n"/>
      <c r="D162" s="33" t="n"/>
      <c r="E162" s="31" t="n"/>
      <c r="F162" s="33" t="n"/>
      <c r="G162" s="34" t="n"/>
      <c r="H162" s="34" t="n"/>
      <c r="I162" s="34" t="n"/>
      <c r="J162" s="34" t="n"/>
      <c r="K162" s="29" t="n"/>
      <c r="L162" s="24">
        <f>IF(F162="","",IFERROR(INDEX(Config!$B$11:$B$16,MATCH(F162,Config!$A$11:$A$16,0)),0))</f>
        <v/>
      </c>
      <c r="M162" s="23">
        <f>IF(OR(F162="",E162=""),"",E162*L162)</f>
        <v/>
      </c>
      <c r="N162" s="26">
        <f>IF(OR(F162="",F162="Ganha",F162="Perdida"),"",Config!$B$5-IF(H162="",G162,H162))</f>
        <v/>
      </c>
      <c r="O162" s="22">
        <f>IF(F162="","",IF(F162="Ganha","Fechada",IF(F162="Perdida","Perdida",IF(AND(I162&lt;&gt;"",I162&lt;Config!$B$5),"Fechamento vencido",IF(N162&gt;Config!$B$7,"Parada","Ativa")))))</f>
        <v/>
      </c>
      <c r="P162" s="35">
        <f>IF(OR(F162="",O162="Fechada",O162="Perdida"),0,IF(O162="Fechamento vencido",3000,IF(O162="Parada",2000,1000))+MIN(N162,500)+E162/1000000-ROW()/100000)</f>
        <v>0</v>
      </c>
    </row>
    <row r="163">
      <c r="A163" s="29" t="n"/>
      <c r="B163" s="29" t="n"/>
      <c r="C163" s="33" t="n"/>
      <c r="D163" s="33" t="n"/>
      <c r="E163" s="31" t="n"/>
      <c r="F163" s="33" t="n"/>
      <c r="G163" s="34" t="n"/>
      <c r="H163" s="34" t="n"/>
      <c r="I163" s="34" t="n"/>
      <c r="J163" s="34" t="n"/>
      <c r="K163" s="29" t="n"/>
      <c r="L163" s="24">
        <f>IF(F163="","",IFERROR(INDEX(Config!$B$11:$B$16,MATCH(F163,Config!$A$11:$A$16,0)),0))</f>
        <v/>
      </c>
      <c r="M163" s="23">
        <f>IF(OR(F163="",E163=""),"",E163*L163)</f>
        <v/>
      </c>
      <c r="N163" s="26">
        <f>IF(OR(F163="",F163="Ganha",F163="Perdida"),"",Config!$B$5-IF(H163="",G163,H163))</f>
        <v/>
      </c>
      <c r="O163" s="22">
        <f>IF(F163="","",IF(F163="Ganha","Fechada",IF(F163="Perdida","Perdida",IF(AND(I163&lt;&gt;"",I163&lt;Config!$B$5),"Fechamento vencido",IF(N163&gt;Config!$B$7,"Parada","Ativa")))))</f>
        <v/>
      </c>
      <c r="P163" s="35">
        <f>IF(OR(F163="",O163="Fechada",O163="Perdida"),0,IF(O163="Fechamento vencido",3000,IF(O163="Parada",2000,1000))+MIN(N163,500)+E163/1000000-ROW()/100000)</f>
        <v>0</v>
      </c>
    </row>
    <row r="164">
      <c r="A164" s="29" t="n"/>
      <c r="B164" s="29" t="n"/>
      <c r="C164" s="33" t="n"/>
      <c r="D164" s="33" t="n"/>
      <c r="E164" s="31" t="n"/>
      <c r="F164" s="33" t="n"/>
      <c r="G164" s="34" t="n"/>
      <c r="H164" s="34" t="n"/>
      <c r="I164" s="34" t="n"/>
      <c r="J164" s="34" t="n"/>
      <c r="K164" s="29" t="n"/>
      <c r="L164" s="24">
        <f>IF(F164="","",IFERROR(INDEX(Config!$B$11:$B$16,MATCH(F164,Config!$A$11:$A$16,0)),0))</f>
        <v/>
      </c>
      <c r="M164" s="23">
        <f>IF(OR(F164="",E164=""),"",E164*L164)</f>
        <v/>
      </c>
      <c r="N164" s="26">
        <f>IF(OR(F164="",F164="Ganha",F164="Perdida"),"",Config!$B$5-IF(H164="",G164,H164))</f>
        <v/>
      </c>
      <c r="O164" s="22">
        <f>IF(F164="","",IF(F164="Ganha","Fechada",IF(F164="Perdida","Perdida",IF(AND(I164&lt;&gt;"",I164&lt;Config!$B$5),"Fechamento vencido",IF(N164&gt;Config!$B$7,"Parada","Ativa")))))</f>
        <v/>
      </c>
      <c r="P164" s="35">
        <f>IF(OR(F164="",O164="Fechada",O164="Perdida"),0,IF(O164="Fechamento vencido",3000,IF(O164="Parada",2000,1000))+MIN(N164,500)+E164/1000000-ROW()/100000)</f>
        <v>0</v>
      </c>
    </row>
    <row r="165">
      <c r="A165" s="29" t="n"/>
      <c r="B165" s="29" t="n"/>
      <c r="C165" s="33" t="n"/>
      <c r="D165" s="33" t="n"/>
      <c r="E165" s="31" t="n"/>
      <c r="F165" s="33" t="n"/>
      <c r="G165" s="34" t="n"/>
      <c r="H165" s="34" t="n"/>
      <c r="I165" s="34" t="n"/>
      <c r="J165" s="34" t="n"/>
      <c r="K165" s="29" t="n"/>
      <c r="L165" s="24">
        <f>IF(F165="","",IFERROR(INDEX(Config!$B$11:$B$16,MATCH(F165,Config!$A$11:$A$16,0)),0))</f>
        <v/>
      </c>
      <c r="M165" s="23">
        <f>IF(OR(F165="",E165=""),"",E165*L165)</f>
        <v/>
      </c>
      <c r="N165" s="26">
        <f>IF(OR(F165="",F165="Ganha",F165="Perdida"),"",Config!$B$5-IF(H165="",G165,H165))</f>
        <v/>
      </c>
      <c r="O165" s="22">
        <f>IF(F165="","",IF(F165="Ganha","Fechada",IF(F165="Perdida","Perdida",IF(AND(I165&lt;&gt;"",I165&lt;Config!$B$5),"Fechamento vencido",IF(N165&gt;Config!$B$7,"Parada","Ativa")))))</f>
        <v/>
      </c>
      <c r="P165" s="35">
        <f>IF(OR(F165="",O165="Fechada",O165="Perdida"),0,IF(O165="Fechamento vencido",3000,IF(O165="Parada",2000,1000))+MIN(N165,500)+E165/1000000-ROW()/100000)</f>
        <v>0</v>
      </c>
    </row>
    <row r="166">
      <c r="A166" s="29" t="n"/>
      <c r="B166" s="29" t="n"/>
      <c r="C166" s="33" t="n"/>
      <c r="D166" s="33" t="n"/>
      <c r="E166" s="31" t="n"/>
      <c r="F166" s="33" t="n"/>
      <c r="G166" s="34" t="n"/>
      <c r="H166" s="34" t="n"/>
      <c r="I166" s="34" t="n"/>
      <c r="J166" s="34" t="n"/>
      <c r="K166" s="29" t="n"/>
      <c r="L166" s="24">
        <f>IF(F166="","",IFERROR(INDEX(Config!$B$11:$B$16,MATCH(F166,Config!$A$11:$A$16,0)),0))</f>
        <v/>
      </c>
      <c r="M166" s="23">
        <f>IF(OR(F166="",E166=""),"",E166*L166)</f>
        <v/>
      </c>
      <c r="N166" s="26">
        <f>IF(OR(F166="",F166="Ganha",F166="Perdida"),"",Config!$B$5-IF(H166="",G166,H166))</f>
        <v/>
      </c>
      <c r="O166" s="22">
        <f>IF(F166="","",IF(F166="Ganha","Fechada",IF(F166="Perdida","Perdida",IF(AND(I166&lt;&gt;"",I166&lt;Config!$B$5),"Fechamento vencido",IF(N166&gt;Config!$B$7,"Parada","Ativa")))))</f>
        <v/>
      </c>
      <c r="P166" s="35">
        <f>IF(OR(F166="",O166="Fechada",O166="Perdida"),0,IF(O166="Fechamento vencido",3000,IF(O166="Parada",2000,1000))+MIN(N166,500)+E166/1000000-ROW()/100000)</f>
        <v>0</v>
      </c>
    </row>
    <row r="167">
      <c r="A167" s="29" t="n"/>
      <c r="B167" s="29" t="n"/>
      <c r="C167" s="33" t="n"/>
      <c r="D167" s="33" t="n"/>
      <c r="E167" s="31" t="n"/>
      <c r="F167" s="33" t="n"/>
      <c r="G167" s="34" t="n"/>
      <c r="H167" s="34" t="n"/>
      <c r="I167" s="34" t="n"/>
      <c r="J167" s="34" t="n"/>
      <c r="K167" s="29" t="n"/>
      <c r="L167" s="24">
        <f>IF(F167="","",IFERROR(INDEX(Config!$B$11:$B$16,MATCH(F167,Config!$A$11:$A$16,0)),0))</f>
        <v/>
      </c>
      <c r="M167" s="23">
        <f>IF(OR(F167="",E167=""),"",E167*L167)</f>
        <v/>
      </c>
      <c r="N167" s="26">
        <f>IF(OR(F167="",F167="Ganha",F167="Perdida"),"",Config!$B$5-IF(H167="",G167,H167))</f>
        <v/>
      </c>
      <c r="O167" s="22">
        <f>IF(F167="","",IF(F167="Ganha","Fechada",IF(F167="Perdida","Perdida",IF(AND(I167&lt;&gt;"",I167&lt;Config!$B$5),"Fechamento vencido",IF(N167&gt;Config!$B$7,"Parada","Ativa")))))</f>
        <v/>
      </c>
      <c r="P167" s="35">
        <f>IF(OR(F167="",O167="Fechada",O167="Perdida"),0,IF(O167="Fechamento vencido",3000,IF(O167="Parada",2000,1000))+MIN(N167,500)+E167/1000000-ROW()/100000)</f>
        <v>0</v>
      </c>
    </row>
    <row r="168">
      <c r="A168" s="29" t="n"/>
      <c r="B168" s="29" t="n"/>
      <c r="C168" s="33" t="n"/>
      <c r="D168" s="33" t="n"/>
      <c r="E168" s="31" t="n"/>
      <c r="F168" s="33" t="n"/>
      <c r="G168" s="34" t="n"/>
      <c r="H168" s="34" t="n"/>
      <c r="I168" s="34" t="n"/>
      <c r="J168" s="34" t="n"/>
      <c r="K168" s="29" t="n"/>
      <c r="L168" s="24">
        <f>IF(F168="","",IFERROR(INDEX(Config!$B$11:$B$16,MATCH(F168,Config!$A$11:$A$16,0)),0))</f>
        <v/>
      </c>
      <c r="M168" s="23">
        <f>IF(OR(F168="",E168=""),"",E168*L168)</f>
        <v/>
      </c>
      <c r="N168" s="26">
        <f>IF(OR(F168="",F168="Ganha",F168="Perdida"),"",Config!$B$5-IF(H168="",G168,H168))</f>
        <v/>
      </c>
      <c r="O168" s="22">
        <f>IF(F168="","",IF(F168="Ganha","Fechada",IF(F168="Perdida","Perdida",IF(AND(I168&lt;&gt;"",I168&lt;Config!$B$5),"Fechamento vencido",IF(N168&gt;Config!$B$7,"Parada","Ativa")))))</f>
        <v/>
      </c>
      <c r="P168" s="35">
        <f>IF(OR(F168="",O168="Fechada",O168="Perdida"),0,IF(O168="Fechamento vencido",3000,IF(O168="Parada",2000,1000))+MIN(N168,500)+E168/1000000-ROW()/100000)</f>
        <v>0</v>
      </c>
    </row>
    <row r="169">
      <c r="A169" s="29" t="n"/>
      <c r="B169" s="29" t="n"/>
      <c r="C169" s="33" t="n"/>
      <c r="D169" s="33" t="n"/>
      <c r="E169" s="31" t="n"/>
      <c r="F169" s="33" t="n"/>
      <c r="G169" s="34" t="n"/>
      <c r="H169" s="34" t="n"/>
      <c r="I169" s="34" t="n"/>
      <c r="J169" s="34" t="n"/>
      <c r="K169" s="29" t="n"/>
      <c r="L169" s="24">
        <f>IF(F169="","",IFERROR(INDEX(Config!$B$11:$B$16,MATCH(F169,Config!$A$11:$A$16,0)),0))</f>
        <v/>
      </c>
      <c r="M169" s="23">
        <f>IF(OR(F169="",E169=""),"",E169*L169)</f>
        <v/>
      </c>
      <c r="N169" s="26">
        <f>IF(OR(F169="",F169="Ganha",F169="Perdida"),"",Config!$B$5-IF(H169="",G169,H169))</f>
        <v/>
      </c>
      <c r="O169" s="22">
        <f>IF(F169="","",IF(F169="Ganha","Fechada",IF(F169="Perdida","Perdida",IF(AND(I169&lt;&gt;"",I169&lt;Config!$B$5),"Fechamento vencido",IF(N169&gt;Config!$B$7,"Parada","Ativa")))))</f>
        <v/>
      </c>
      <c r="P169" s="35">
        <f>IF(OR(F169="",O169="Fechada",O169="Perdida"),0,IF(O169="Fechamento vencido",3000,IF(O169="Parada",2000,1000))+MIN(N169,500)+E169/1000000-ROW()/100000)</f>
        <v>0</v>
      </c>
    </row>
    <row r="170">
      <c r="A170" s="29" t="n"/>
      <c r="B170" s="29" t="n"/>
      <c r="C170" s="33" t="n"/>
      <c r="D170" s="33" t="n"/>
      <c r="E170" s="31" t="n"/>
      <c r="F170" s="33" t="n"/>
      <c r="G170" s="34" t="n"/>
      <c r="H170" s="34" t="n"/>
      <c r="I170" s="34" t="n"/>
      <c r="J170" s="34" t="n"/>
      <c r="K170" s="29" t="n"/>
      <c r="L170" s="24">
        <f>IF(F170="","",IFERROR(INDEX(Config!$B$11:$B$16,MATCH(F170,Config!$A$11:$A$16,0)),0))</f>
        <v/>
      </c>
      <c r="M170" s="23">
        <f>IF(OR(F170="",E170=""),"",E170*L170)</f>
        <v/>
      </c>
      <c r="N170" s="26">
        <f>IF(OR(F170="",F170="Ganha",F170="Perdida"),"",Config!$B$5-IF(H170="",G170,H170))</f>
        <v/>
      </c>
      <c r="O170" s="22">
        <f>IF(F170="","",IF(F170="Ganha","Fechada",IF(F170="Perdida","Perdida",IF(AND(I170&lt;&gt;"",I170&lt;Config!$B$5),"Fechamento vencido",IF(N170&gt;Config!$B$7,"Parada","Ativa")))))</f>
        <v/>
      </c>
      <c r="P170" s="35">
        <f>IF(OR(F170="",O170="Fechada",O170="Perdida"),0,IF(O170="Fechamento vencido",3000,IF(O170="Parada",2000,1000))+MIN(N170,500)+E170/1000000-ROW()/100000)</f>
        <v>0</v>
      </c>
    </row>
    <row r="171">
      <c r="A171" s="29" t="n"/>
      <c r="B171" s="29" t="n"/>
      <c r="C171" s="33" t="n"/>
      <c r="D171" s="33" t="n"/>
      <c r="E171" s="31" t="n"/>
      <c r="F171" s="33" t="n"/>
      <c r="G171" s="34" t="n"/>
      <c r="H171" s="34" t="n"/>
      <c r="I171" s="34" t="n"/>
      <c r="J171" s="34" t="n"/>
      <c r="K171" s="29" t="n"/>
      <c r="L171" s="24">
        <f>IF(F171="","",IFERROR(INDEX(Config!$B$11:$B$16,MATCH(F171,Config!$A$11:$A$16,0)),0))</f>
        <v/>
      </c>
      <c r="M171" s="23">
        <f>IF(OR(F171="",E171=""),"",E171*L171)</f>
        <v/>
      </c>
      <c r="N171" s="26">
        <f>IF(OR(F171="",F171="Ganha",F171="Perdida"),"",Config!$B$5-IF(H171="",G171,H171))</f>
        <v/>
      </c>
      <c r="O171" s="22">
        <f>IF(F171="","",IF(F171="Ganha","Fechada",IF(F171="Perdida","Perdida",IF(AND(I171&lt;&gt;"",I171&lt;Config!$B$5),"Fechamento vencido",IF(N171&gt;Config!$B$7,"Parada","Ativa")))))</f>
        <v/>
      </c>
      <c r="P171" s="35">
        <f>IF(OR(F171="",O171="Fechada",O171="Perdida"),0,IF(O171="Fechamento vencido",3000,IF(O171="Parada",2000,1000))+MIN(N171,500)+E171/1000000-ROW()/100000)</f>
        <v>0</v>
      </c>
    </row>
    <row r="172">
      <c r="A172" s="29" t="n"/>
      <c r="B172" s="29" t="n"/>
      <c r="C172" s="33" t="n"/>
      <c r="D172" s="33" t="n"/>
      <c r="E172" s="31" t="n"/>
      <c r="F172" s="33" t="n"/>
      <c r="G172" s="34" t="n"/>
      <c r="H172" s="34" t="n"/>
      <c r="I172" s="34" t="n"/>
      <c r="J172" s="34" t="n"/>
      <c r="K172" s="29" t="n"/>
      <c r="L172" s="24">
        <f>IF(F172="","",IFERROR(INDEX(Config!$B$11:$B$16,MATCH(F172,Config!$A$11:$A$16,0)),0))</f>
        <v/>
      </c>
      <c r="M172" s="23">
        <f>IF(OR(F172="",E172=""),"",E172*L172)</f>
        <v/>
      </c>
      <c r="N172" s="26">
        <f>IF(OR(F172="",F172="Ganha",F172="Perdida"),"",Config!$B$5-IF(H172="",G172,H172))</f>
        <v/>
      </c>
      <c r="O172" s="22">
        <f>IF(F172="","",IF(F172="Ganha","Fechada",IF(F172="Perdida","Perdida",IF(AND(I172&lt;&gt;"",I172&lt;Config!$B$5),"Fechamento vencido",IF(N172&gt;Config!$B$7,"Parada","Ativa")))))</f>
        <v/>
      </c>
      <c r="P172" s="35">
        <f>IF(OR(F172="",O172="Fechada",O172="Perdida"),0,IF(O172="Fechamento vencido",3000,IF(O172="Parada",2000,1000))+MIN(N172,500)+E172/1000000-ROW()/100000)</f>
        <v>0</v>
      </c>
    </row>
    <row r="173">
      <c r="A173" s="29" t="n"/>
      <c r="B173" s="29" t="n"/>
      <c r="C173" s="33" t="n"/>
      <c r="D173" s="33" t="n"/>
      <c r="E173" s="31" t="n"/>
      <c r="F173" s="33" t="n"/>
      <c r="G173" s="34" t="n"/>
      <c r="H173" s="34" t="n"/>
      <c r="I173" s="34" t="n"/>
      <c r="J173" s="34" t="n"/>
      <c r="K173" s="29" t="n"/>
      <c r="L173" s="24">
        <f>IF(F173="","",IFERROR(INDEX(Config!$B$11:$B$16,MATCH(F173,Config!$A$11:$A$16,0)),0))</f>
        <v/>
      </c>
      <c r="M173" s="23">
        <f>IF(OR(F173="",E173=""),"",E173*L173)</f>
        <v/>
      </c>
      <c r="N173" s="26">
        <f>IF(OR(F173="",F173="Ganha",F173="Perdida"),"",Config!$B$5-IF(H173="",G173,H173))</f>
        <v/>
      </c>
      <c r="O173" s="22">
        <f>IF(F173="","",IF(F173="Ganha","Fechada",IF(F173="Perdida","Perdida",IF(AND(I173&lt;&gt;"",I173&lt;Config!$B$5),"Fechamento vencido",IF(N173&gt;Config!$B$7,"Parada","Ativa")))))</f>
        <v/>
      </c>
      <c r="P173" s="35">
        <f>IF(OR(F173="",O173="Fechada",O173="Perdida"),0,IF(O173="Fechamento vencido",3000,IF(O173="Parada",2000,1000))+MIN(N173,500)+E173/1000000-ROW()/100000)</f>
        <v>0</v>
      </c>
    </row>
    <row r="174">
      <c r="A174" s="29" t="n"/>
      <c r="B174" s="29" t="n"/>
      <c r="C174" s="33" t="n"/>
      <c r="D174" s="33" t="n"/>
      <c r="E174" s="31" t="n"/>
      <c r="F174" s="33" t="n"/>
      <c r="G174" s="34" t="n"/>
      <c r="H174" s="34" t="n"/>
      <c r="I174" s="34" t="n"/>
      <c r="J174" s="34" t="n"/>
      <c r="K174" s="29" t="n"/>
      <c r="L174" s="24">
        <f>IF(F174="","",IFERROR(INDEX(Config!$B$11:$B$16,MATCH(F174,Config!$A$11:$A$16,0)),0))</f>
        <v/>
      </c>
      <c r="M174" s="23">
        <f>IF(OR(F174="",E174=""),"",E174*L174)</f>
        <v/>
      </c>
      <c r="N174" s="26">
        <f>IF(OR(F174="",F174="Ganha",F174="Perdida"),"",Config!$B$5-IF(H174="",G174,H174))</f>
        <v/>
      </c>
      <c r="O174" s="22">
        <f>IF(F174="","",IF(F174="Ganha","Fechada",IF(F174="Perdida","Perdida",IF(AND(I174&lt;&gt;"",I174&lt;Config!$B$5),"Fechamento vencido",IF(N174&gt;Config!$B$7,"Parada","Ativa")))))</f>
        <v/>
      </c>
      <c r="P174" s="35">
        <f>IF(OR(F174="",O174="Fechada",O174="Perdida"),0,IF(O174="Fechamento vencido",3000,IF(O174="Parada",2000,1000))+MIN(N174,500)+E174/1000000-ROW()/100000)</f>
        <v>0</v>
      </c>
    </row>
    <row r="175">
      <c r="A175" s="29" t="n"/>
      <c r="B175" s="29" t="n"/>
      <c r="C175" s="33" t="n"/>
      <c r="D175" s="33" t="n"/>
      <c r="E175" s="31" t="n"/>
      <c r="F175" s="33" t="n"/>
      <c r="G175" s="34" t="n"/>
      <c r="H175" s="34" t="n"/>
      <c r="I175" s="34" t="n"/>
      <c r="J175" s="34" t="n"/>
      <c r="K175" s="29" t="n"/>
      <c r="L175" s="24">
        <f>IF(F175="","",IFERROR(INDEX(Config!$B$11:$B$16,MATCH(F175,Config!$A$11:$A$16,0)),0))</f>
        <v/>
      </c>
      <c r="M175" s="23">
        <f>IF(OR(F175="",E175=""),"",E175*L175)</f>
        <v/>
      </c>
      <c r="N175" s="26">
        <f>IF(OR(F175="",F175="Ganha",F175="Perdida"),"",Config!$B$5-IF(H175="",G175,H175))</f>
        <v/>
      </c>
      <c r="O175" s="22">
        <f>IF(F175="","",IF(F175="Ganha","Fechada",IF(F175="Perdida","Perdida",IF(AND(I175&lt;&gt;"",I175&lt;Config!$B$5),"Fechamento vencido",IF(N175&gt;Config!$B$7,"Parada","Ativa")))))</f>
        <v/>
      </c>
      <c r="P175" s="35">
        <f>IF(OR(F175="",O175="Fechada",O175="Perdida"),0,IF(O175="Fechamento vencido",3000,IF(O175="Parada",2000,1000))+MIN(N175,500)+E175/1000000-ROW()/100000)</f>
        <v>0</v>
      </c>
    </row>
    <row r="176">
      <c r="A176" s="29" t="n"/>
      <c r="B176" s="29" t="n"/>
      <c r="C176" s="33" t="n"/>
      <c r="D176" s="33" t="n"/>
      <c r="E176" s="31" t="n"/>
      <c r="F176" s="33" t="n"/>
      <c r="G176" s="34" t="n"/>
      <c r="H176" s="34" t="n"/>
      <c r="I176" s="34" t="n"/>
      <c r="J176" s="34" t="n"/>
      <c r="K176" s="29" t="n"/>
      <c r="L176" s="24">
        <f>IF(F176="","",IFERROR(INDEX(Config!$B$11:$B$16,MATCH(F176,Config!$A$11:$A$16,0)),0))</f>
        <v/>
      </c>
      <c r="M176" s="23">
        <f>IF(OR(F176="",E176=""),"",E176*L176)</f>
        <v/>
      </c>
      <c r="N176" s="26">
        <f>IF(OR(F176="",F176="Ganha",F176="Perdida"),"",Config!$B$5-IF(H176="",G176,H176))</f>
        <v/>
      </c>
      <c r="O176" s="22">
        <f>IF(F176="","",IF(F176="Ganha","Fechada",IF(F176="Perdida","Perdida",IF(AND(I176&lt;&gt;"",I176&lt;Config!$B$5),"Fechamento vencido",IF(N176&gt;Config!$B$7,"Parada","Ativa")))))</f>
        <v/>
      </c>
      <c r="P176" s="35">
        <f>IF(OR(F176="",O176="Fechada",O176="Perdida"),0,IF(O176="Fechamento vencido",3000,IF(O176="Parada",2000,1000))+MIN(N176,500)+E176/1000000-ROW()/100000)</f>
        <v>0</v>
      </c>
    </row>
    <row r="177">
      <c r="A177" s="29" t="n"/>
      <c r="B177" s="29" t="n"/>
      <c r="C177" s="33" t="n"/>
      <c r="D177" s="33" t="n"/>
      <c r="E177" s="31" t="n"/>
      <c r="F177" s="33" t="n"/>
      <c r="G177" s="34" t="n"/>
      <c r="H177" s="34" t="n"/>
      <c r="I177" s="34" t="n"/>
      <c r="J177" s="34" t="n"/>
      <c r="K177" s="29" t="n"/>
      <c r="L177" s="24">
        <f>IF(F177="","",IFERROR(INDEX(Config!$B$11:$B$16,MATCH(F177,Config!$A$11:$A$16,0)),0))</f>
        <v/>
      </c>
      <c r="M177" s="23">
        <f>IF(OR(F177="",E177=""),"",E177*L177)</f>
        <v/>
      </c>
      <c r="N177" s="26">
        <f>IF(OR(F177="",F177="Ganha",F177="Perdida"),"",Config!$B$5-IF(H177="",G177,H177))</f>
        <v/>
      </c>
      <c r="O177" s="22">
        <f>IF(F177="","",IF(F177="Ganha","Fechada",IF(F177="Perdida","Perdida",IF(AND(I177&lt;&gt;"",I177&lt;Config!$B$5),"Fechamento vencido",IF(N177&gt;Config!$B$7,"Parada","Ativa")))))</f>
        <v/>
      </c>
      <c r="P177" s="35">
        <f>IF(OR(F177="",O177="Fechada",O177="Perdida"),0,IF(O177="Fechamento vencido",3000,IF(O177="Parada",2000,1000))+MIN(N177,500)+E177/1000000-ROW()/100000)</f>
        <v>0</v>
      </c>
    </row>
    <row r="178">
      <c r="A178" s="29" t="n"/>
      <c r="B178" s="29" t="n"/>
      <c r="C178" s="33" t="n"/>
      <c r="D178" s="33" t="n"/>
      <c r="E178" s="31" t="n"/>
      <c r="F178" s="33" t="n"/>
      <c r="G178" s="34" t="n"/>
      <c r="H178" s="34" t="n"/>
      <c r="I178" s="34" t="n"/>
      <c r="J178" s="34" t="n"/>
      <c r="K178" s="29" t="n"/>
      <c r="L178" s="24">
        <f>IF(F178="","",IFERROR(INDEX(Config!$B$11:$B$16,MATCH(F178,Config!$A$11:$A$16,0)),0))</f>
        <v/>
      </c>
      <c r="M178" s="23">
        <f>IF(OR(F178="",E178=""),"",E178*L178)</f>
        <v/>
      </c>
      <c r="N178" s="26">
        <f>IF(OR(F178="",F178="Ganha",F178="Perdida"),"",Config!$B$5-IF(H178="",G178,H178))</f>
        <v/>
      </c>
      <c r="O178" s="22">
        <f>IF(F178="","",IF(F178="Ganha","Fechada",IF(F178="Perdida","Perdida",IF(AND(I178&lt;&gt;"",I178&lt;Config!$B$5),"Fechamento vencido",IF(N178&gt;Config!$B$7,"Parada","Ativa")))))</f>
        <v/>
      </c>
      <c r="P178" s="35">
        <f>IF(OR(F178="",O178="Fechada",O178="Perdida"),0,IF(O178="Fechamento vencido",3000,IF(O178="Parada",2000,1000))+MIN(N178,500)+E178/1000000-ROW()/100000)</f>
        <v>0</v>
      </c>
    </row>
    <row r="179">
      <c r="A179" s="29" t="n"/>
      <c r="B179" s="29" t="n"/>
      <c r="C179" s="33" t="n"/>
      <c r="D179" s="33" t="n"/>
      <c r="E179" s="31" t="n"/>
      <c r="F179" s="33" t="n"/>
      <c r="G179" s="34" t="n"/>
      <c r="H179" s="34" t="n"/>
      <c r="I179" s="34" t="n"/>
      <c r="J179" s="34" t="n"/>
      <c r="K179" s="29" t="n"/>
      <c r="L179" s="24">
        <f>IF(F179="","",IFERROR(INDEX(Config!$B$11:$B$16,MATCH(F179,Config!$A$11:$A$16,0)),0))</f>
        <v/>
      </c>
      <c r="M179" s="23">
        <f>IF(OR(F179="",E179=""),"",E179*L179)</f>
        <v/>
      </c>
      <c r="N179" s="26">
        <f>IF(OR(F179="",F179="Ganha",F179="Perdida"),"",Config!$B$5-IF(H179="",G179,H179))</f>
        <v/>
      </c>
      <c r="O179" s="22">
        <f>IF(F179="","",IF(F179="Ganha","Fechada",IF(F179="Perdida","Perdida",IF(AND(I179&lt;&gt;"",I179&lt;Config!$B$5),"Fechamento vencido",IF(N179&gt;Config!$B$7,"Parada","Ativa")))))</f>
        <v/>
      </c>
      <c r="P179" s="35">
        <f>IF(OR(F179="",O179="Fechada",O179="Perdida"),0,IF(O179="Fechamento vencido",3000,IF(O179="Parada",2000,1000))+MIN(N179,500)+E179/1000000-ROW()/100000)</f>
        <v>0</v>
      </c>
    </row>
    <row r="180">
      <c r="A180" s="29" t="n"/>
      <c r="B180" s="29" t="n"/>
      <c r="C180" s="33" t="n"/>
      <c r="D180" s="33" t="n"/>
      <c r="E180" s="31" t="n"/>
      <c r="F180" s="33" t="n"/>
      <c r="G180" s="34" t="n"/>
      <c r="H180" s="34" t="n"/>
      <c r="I180" s="34" t="n"/>
      <c r="J180" s="34" t="n"/>
      <c r="K180" s="29" t="n"/>
      <c r="L180" s="24">
        <f>IF(F180="","",IFERROR(INDEX(Config!$B$11:$B$16,MATCH(F180,Config!$A$11:$A$16,0)),0))</f>
        <v/>
      </c>
      <c r="M180" s="23">
        <f>IF(OR(F180="",E180=""),"",E180*L180)</f>
        <v/>
      </c>
      <c r="N180" s="26">
        <f>IF(OR(F180="",F180="Ganha",F180="Perdida"),"",Config!$B$5-IF(H180="",G180,H180))</f>
        <v/>
      </c>
      <c r="O180" s="22">
        <f>IF(F180="","",IF(F180="Ganha","Fechada",IF(F180="Perdida","Perdida",IF(AND(I180&lt;&gt;"",I180&lt;Config!$B$5),"Fechamento vencido",IF(N180&gt;Config!$B$7,"Parada","Ativa")))))</f>
        <v/>
      </c>
      <c r="P180" s="35">
        <f>IF(OR(F180="",O180="Fechada",O180="Perdida"),0,IF(O180="Fechamento vencido",3000,IF(O180="Parada",2000,1000))+MIN(N180,500)+E180/1000000-ROW()/100000)</f>
        <v>0</v>
      </c>
    </row>
    <row r="181">
      <c r="A181" s="29" t="n"/>
      <c r="B181" s="29" t="n"/>
      <c r="C181" s="33" t="n"/>
      <c r="D181" s="33" t="n"/>
      <c r="E181" s="31" t="n"/>
      <c r="F181" s="33" t="n"/>
      <c r="G181" s="34" t="n"/>
      <c r="H181" s="34" t="n"/>
      <c r="I181" s="34" t="n"/>
      <c r="J181" s="34" t="n"/>
      <c r="K181" s="29" t="n"/>
      <c r="L181" s="24">
        <f>IF(F181="","",IFERROR(INDEX(Config!$B$11:$B$16,MATCH(F181,Config!$A$11:$A$16,0)),0))</f>
        <v/>
      </c>
      <c r="M181" s="23">
        <f>IF(OR(F181="",E181=""),"",E181*L181)</f>
        <v/>
      </c>
      <c r="N181" s="26">
        <f>IF(OR(F181="",F181="Ganha",F181="Perdida"),"",Config!$B$5-IF(H181="",G181,H181))</f>
        <v/>
      </c>
      <c r="O181" s="22">
        <f>IF(F181="","",IF(F181="Ganha","Fechada",IF(F181="Perdida","Perdida",IF(AND(I181&lt;&gt;"",I181&lt;Config!$B$5),"Fechamento vencido",IF(N181&gt;Config!$B$7,"Parada","Ativa")))))</f>
        <v/>
      </c>
      <c r="P181" s="35">
        <f>IF(OR(F181="",O181="Fechada",O181="Perdida"),0,IF(O181="Fechamento vencido",3000,IF(O181="Parada",2000,1000))+MIN(N181,500)+E181/1000000-ROW()/100000)</f>
        <v>0</v>
      </c>
    </row>
    <row r="182">
      <c r="A182" s="29" t="n"/>
      <c r="B182" s="29" t="n"/>
      <c r="C182" s="33" t="n"/>
      <c r="D182" s="33" t="n"/>
      <c r="E182" s="31" t="n"/>
      <c r="F182" s="33" t="n"/>
      <c r="G182" s="34" t="n"/>
      <c r="H182" s="34" t="n"/>
      <c r="I182" s="34" t="n"/>
      <c r="J182" s="34" t="n"/>
      <c r="K182" s="29" t="n"/>
      <c r="L182" s="24">
        <f>IF(F182="","",IFERROR(INDEX(Config!$B$11:$B$16,MATCH(F182,Config!$A$11:$A$16,0)),0))</f>
        <v/>
      </c>
      <c r="M182" s="23">
        <f>IF(OR(F182="",E182=""),"",E182*L182)</f>
        <v/>
      </c>
      <c r="N182" s="26">
        <f>IF(OR(F182="",F182="Ganha",F182="Perdida"),"",Config!$B$5-IF(H182="",G182,H182))</f>
        <v/>
      </c>
      <c r="O182" s="22">
        <f>IF(F182="","",IF(F182="Ganha","Fechada",IF(F182="Perdida","Perdida",IF(AND(I182&lt;&gt;"",I182&lt;Config!$B$5),"Fechamento vencido",IF(N182&gt;Config!$B$7,"Parada","Ativa")))))</f>
        <v/>
      </c>
      <c r="P182" s="35">
        <f>IF(OR(F182="",O182="Fechada",O182="Perdida"),0,IF(O182="Fechamento vencido",3000,IF(O182="Parada",2000,1000))+MIN(N182,500)+E182/1000000-ROW()/100000)</f>
        <v>0</v>
      </c>
    </row>
    <row r="183">
      <c r="A183" s="29" t="n"/>
      <c r="B183" s="29" t="n"/>
      <c r="C183" s="33" t="n"/>
      <c r="D183" s="33" t="n"/>
      <c r="E183" s="31" t="n"/>
      <c r="F183" s="33" t="n"/>
      <c r="G183" s="34" t="n"/>
      <c r="H183" s="34" t="n"/>
      <c r="I183" s="34" t="n"/>
      <c r="J183" s="34" t="n"/>
      <c r="K183" s="29" t="n"/>
      <c r="L183" s="24">
        <f>IF(F183="","",IFERROR(INDEX(Config!$B$11:$B$16,MATCH(F183,Config!$A$11:$A$16,0)),0))</f>
        <v/>
      </c>
      <c r="M183" s="23">
        <f>IF(OR(F183="",E183=""),"",E183*L183)</f>
        <v/>
      </c>
      <c r="N183" s="26">
        <f>IF(OR(F183="",F183="Ganha",F183="Perdida"),"",Config!$B$5-IF(H183="",G183,H183))</f>
        <v/>
      </c>
      <c r="O183" s="22">
        <f>IF(F183="","",IF(F183="Ganha","Fechada",IF(F183="Perdida","Perdida",IF(AND(I183&lt;&gt;"",I183&lt;Config!$B$5),"Fechamento vencido",IF(N183&gt;Config!$B$7,"Parada","Ativa")))))</f>
        <v/>
      </c>
      <c r="P183" s="35">
        <f>IF(OR(F183="",O183="Fechada",O183="Perdida"),0,IF(O183="Fechamento vencido",3000,IF(O183="Parada",2000,1000))+MIN(N183,500)+E183/1000000-ROW()/100000)</f>
        <v>0</v>
      </c>
    </row>
    <row r="184">
      <c r="A184" s="29" t="n"/>
      <c r="B184" s="29" t="n"/>
      <c r="C184" s="33" t="n"/>
      <c r="D184" s="33" t="n"/>
      <c r="E184" s="31" t="n"/>
      <c r="F184" s="33" t="n"/>
      <c r="G184" s="34" t="n"/>
      <c r="H184" s="34" t="n"/>
      <c r="I184" s="34" t="n"/>
      <c r="J184" s="34" t="n"/>
      <c r="K184" s="29" t="n"/>
      <c r="L184" s="24">
        <f>IF(F184="","",IFERROR(INDEX(Config!$B$11:$B$16,MATCH(F184,Config!$A$11:$A$16,0)),0))</f>
        <v/>
      </c>
      <c r="M184" s="23">
        <f>IF(OR(F184="",E184=""),"",E184*L184)</f>
        <v/>
      </c>
      <c r="N184" s="26">
        <f>IF(OR(F184="",F184="Ganha",F184="Perdida"),"",Config!$B$5-IF(H184="",G184,H184))</f>
        <v/>
      </c>
      <c r="O184" s="22">
        <f>IF(F184="","",IF(F184="Ganha","Fechada",IF(F184="Perdida","Perdida",IF(AND(I184&lt;&gt;"",I184&lt;Config!$B$5),"Fechamento vencido",IF(N184&gt;Config!$B$7,"Parada","Ativa")))))</f>
        <v/>
      </c>
      <c r="P184" s="35">
        <f>IF(OR(F184="",O184="Fechada",O184="Perdida"),0,IF(O184="Fechamento vencido",3000,IF(O184="Parada",2000,1000))+MIN(N184,500)+E184/1000000-ROW()/100000)</f>
        <v>0</v>
      </c>
    </row>
    <row r="185">
      <c r="A185" s="29" t="n"/>
      <c r="B185" s="29" t="n"/>
      <c r="C185" s="33" t="n"/>
      <c r="D185" s="33" t="n"/>
      <c r="E185" s="31" t="n"/>
      <c r="F185" s="33" t="n"/>
      <c r="G185" s="34" t="n"/>
      <c r="H185" s="34" t="n"/>
      <c r="I185" s="34" t="n"/>
      <c r="J185" s="34" t="n"/>
      <c r="K185" s="29" t="n"/>
      <c r="L185" s="24">
        <f>IF(F185="","",IFERROR(INDEX(Config!$B$11:$B$16,MATCH(F185,Config!$A$11:$A$16,0)),0))</f>
        <v/>
      </c>
      <c r="M185" s="23">
        <f>IF(OR(F185="",E185=""),"",E185*L185)</f>
        <v/>
      </c>
      <c r="N185" s="26">
        <f>IF(OR(F185="",F185="Ganha",F185="Perdida"),"",Config!$B$5-IF(H185="",G185,H185))</f>
        <v/>
      </c>
      <c r="O185" s="22">
        <f>IF(F185="","",IF(F185="Ganha","Fechada",IF(F185="Perdida","Perdida",IF(AND(I185&lt;&gt;"",I185&lt;Config!$B$5),"Fechamento vencido",IF(N185&gt;Config!$B$7,"Parada","Ativa")))))</f>
        <v/>
      </c>
      <c r="P185" s="35">
        <f>IF(OR(F185="",O185="Fechada",O185="Perdida"),0,IF(O185="Fechamento vencido",3000,IF(O185="Parada",2000,1000))+MIN(N185,500)+E185/1000000-ROW()/100000)</f>
        <v>0</v>
      </c>
    </row>
    <row r="186">
      <c r="A186" s="29" t="n"/>
      <c r="B186" s="29" t="n"/>
      <c r="C186" s="33" t="n"/>
      <c r="D186" s="33" t="n"/>
      <c r="E186" s="31" t="n"/>
      <c r="F186" s="33" t="n"/>
      <c r="G186" s="34" t="n"/>
      <c r="H186" s="34" t="n"/>
      <c r="I186" s="34" t="n"/>
      <c r="J186" s="34" t="n"/>
      <c r="K186" s="29" t="n"/>
      <c r="L186" s="24">
        <f>IF(F186="","",IFERROR(INDEX(Config!$B$11:$B$16,MATCH(F186,Config!$A$11:$A$16,0)),0))</f>
        <v/>
      </c>
      <c r="M186" s="23">
        <f>IF(OR(F186="",E186=""),"",E186*L186)</f>
        <v/>
      </c>
      <c r="N186" s="26">
        <f>IF(OR(F186="",F186="Ganha",F186="Perdida"),"",Config!$B$5-IF(H186="",G186,H186))</f>
        <v/>
      </c>
      <c r="O186" s="22">
        <f>IF(F186="","",IF(F186="Ganha","Fechada",IF(F186="Perdida","Perdida",IF(AND(I186&lt;&gt;"",I186&lt;Config!$B$5),"Fechamento vencido",IF(N186&gt;Config!$B$7,"Parada","Ativa")))))</f>
        <v/>
      </c>
      <c r="P186" s="35">
        <f>IF(OR(F186="",O186="Fechada",O186="Perdida"),0,IF(O186="Fechamento vencido",3000,IF(O186="Parada",2000,1000))+MIN(N186,500)+E186/1000000-ROW()/100000)</f>
        <v>0</v>
      </c>
    </row>
    <row r="187">
      <c r="A187" s="29" t="n"/>
      <c r="B187" s="29" t="n"/>
      <c r="C187" s="33" t="n"/>
      <c r="D187" s="33" t="n"/>
      <c r="E187" s="31" t="n"/>
      <c r="F187" s="33" t="n"/>
      <c r="G187" s="34" t="n"/>
      <c r="H187" s="34" t="n"/>
      <c r="I187" s="34" t="n"/>
      <c r="J187" s="34" t="n"/>
      <c r="K187" s="29" t="n"/>
      <c r="L187" s="24">
        <f>IF(F187="","",IFERROR(INDEX(Config!$B$11:$B$16,MATCH(F187,Config!$A$11:$A$16,0)),0))</f>
        <v/>
      </c>
      <c r="M187" s="23">
        <f>IF(OR(F187="",E187=""),"",E187*L187)</f>
        <v/>
      </c>
      <c r="N187" s="26">
        <f>IF(OR(F187="",F187="Ganha",F187="Perdida"),"",Config!$B$5-IF(H187="",G187,H187))</f>
        <v/>
      </c>
      <c r="O187" s="22">
        <f>IF(F187="","",IF(F187="Ganha","Fechada",IF(F187="Perdida","Perdida",IF(AND(I187&lt;&gt;"",I187&lt;Config!$B$5),"Fechamento vencido",IF(N187&gt;Config!$B$7,"Parada","Ativa")))))</f>
        <v/>
      </c>
      <c r="P187" s="35">
        <f>IF(OR(F187="",O187="Fechada",O187="Perdida"),0,IF(O187="Fechamento vencido",3000,IF(O187="Parada",2000,1000))+MIN(N187,500)+E187/1000000-ROW()/100000)</f>
        <v>0</v>
      </c>
    </row>
    <row r="188">
      <c r="A188" s="29" t="n"/>
      <c r="B188" s="29" t="n"/>
      <c r="C188" s="33" t="n"/>
      <c r="D188" s="33" t="n"/>
      <c r="E188" s="31" t="n"/>
      <c r="F188" s="33" t="n"/>
      <c r="G188" s="34" t="n"/>
      <c r="H188" s="34" t="n"/>
      <c r="I188" s="34" t="n"/>
      <c r="J188" s="34" t="n"/>
      <c r="K188" s="29" t="n"/>
      <c r="L188" s="24">
        <f>IF(F188="","",IFERROR(INDEX(Config!$B$11:$B$16,MATCH(F188,Config!$A$11:$A$16,0)),0))</f>
        <v/>
      </c>
      <c r="M188" s="23">
        <f>IF(OR(F188="",E188=""),"",E188*L188)</f>
        <v/>
      </c>
      <c r="N188" s="26">
        <f>IF(OR(F188="",F188="Ganha",F188="Perdida"),"",Config!$B$5-IF(H188="",G188,H188))</f>
        <v/>
      </c>
      <c r="O188" s="22">
        <f>IF(F188="","",IF(F188="Ganha","Fechada",IF(F188="Perdida","Perdida",IF(AND(I188&lt;&gt;"",I188&lt;Config!$B$5),"Fechamento vencido",IF(N188&gt;Config!$B$7,"Parada","Ativa")))))</f>
        <v/>
      </c>
      <c r="P188" s="35">
        <f>IF(OR(F188="",O188="Fechada",O188="Perdida"),0,IF(O188="Fechamento vencido",3000,IF(O188="Parada",2000,1000))+MIN(N188,500)+E188/1000000-ROW()/100000)</f>
        <v>0</v>
      </c>
    </row>
    <row r="189">
      <c r="A189" s="29" t="n"/>
      <c r="B189" s="29" t="n"/>
      <c r="C189" s="33" t="n"/>
      <c r="D189" s="33" t="n"/>
      <c r="E189" s="31" t="n"/>
      <c r="F189" s="33" t="n"/>
      <c r="G189" s="34" t="n"/>
      <c r="H189" s="34" t="n"/>
      <c r="I189" s="34" t="n"/>
      <c r="J189" s="34" t="n"/>
      <c r="K189" s="29" t="n"/>
      <c r="L189" s="24">
        <f>IF(F189="","",IFERROR(INDEX(Config!$B$11:$B$16,MATCH(F189,Config!$A$11:$A$16,0)),0))</f>
        <v/>
      </c>
      <c r="M189" s="23">
        <f>IF(OR(F189="",E189=""),"",E189*L189)</f>
        <v/>
      </c>
      <c r="N189" s="26">
        <f>IF(OR(F189="",F189="Ganha",F189="Perdida"),"",Config!$B$5-IF(H189="",G189,H189))</f>
        <v/>
      </c>
      <c r="O189" s="22">
        <f>IF(F189="","",IF(F189="Ganha","Fechada",IF(F189="Perdida","Perdida",IF(AND(I189&lt;&gt;"",I189&lt;Config!$B$5),"Fechamento vencido",IF(N189&gt;Config!$B$7,"Parada","Ativa")))))</f>
        <v/>
      </c>
      <c r="P189" s="35">
        <f>IF(OR(F189="",O189="Fechada",O189="Perdida"),0,IF(O189="Fechamento vencido",3000,IF(O189="Parada",2000,1000))+MIN(N189,500)+E189/1000000-ROW()/100000)</f>
        <v>0</v>
      </c>
    </row>
    <row r="190">
      <c r="A190" s="29" t="n"/>
      <c r="B190" s="29" t="n"/>
      <c r="C190" s="33" t="n"/>
      <c r="D190" s="33" t="n"/>
      <c r="E190" s="31" t="n"/>
      <c r="F190" s="33" t="n"/>
      <c r="G190" s="34" t="n"/>
      <c r="H190" s="34" t="n"/>
      <c r="I190" s="34" t="n"/>
      <c r="J190" s="34" t="n"/>
      <c r="K190" s="29" t="n"/>
      <c r="L190" s="24">
        <f>IF(F190="","",IFERROR(INDEX(Config!$B$11:$B$16,MATCH(F190,Config!$A$11:$A$16,0)),0))</f>
        <v/>
      </c>
      <c r="M190" s="23">
        <f>IF(OR(F190="",E190=""),"",E190*L190)</f>
        <v/>
      </c>
      <c r="N190" s="26">
        <f>IF(OR(F190="",F190="Ganha",F190="Perdida"),"",Config!$B$5-IF(H190="",G190,H190))</f>
        <v/>
      </c>
      <c r="O190" s="22">
        <f>IF(F190="","",IF(F190="Ganha","Fechada",IF(F190="Perdida","Perdida",IF(AND(I190&lt;&gt;"",I190&lt;Config!$B$5),"Fechamento vencido",IF(N190&gt;Config!$B$7,"Parada","Ativa")))))</f>
        <v/>
      </c>
      <c r="P190" s="35">
        <f>IF(OR(F190="",O190="Fechada",O190="Perdida"),0,IF(O190="Fechamento vencido",3000,IF(O190="Parada",2000,1000))+MIN(N190,500)+E190/1000000-ROW()/100000)</f>
        <v>0</v>
      </c>
    </row>
    <row r="191">
      <c r="A191" s="29" t="n"/>
      <c r="B191" s="29" t="n"/>
      <c r="C191" s="33" t="n"/>
      <c r="D191" s="33" t="n"/>
      <c r="E191" s="31" t="n"/>
      <c r="F191" s="33" t="n"/>
      <c r="G191" s="34" t="n"/>
      <c r="H191" s="34" t="n"/>
      <c r="I191" s="34" t="n"/>
      <c r="J191" s="34" t="n"/>
      <c r="K191" s="29" t="n"/>
      <c r="L191" s="24">
        <f>IF(F191="","",IFERROR(INDEX(Config!$B$11:$B$16,MATCH(F191,Config!$A$11:$A$16,0)),0))</f>
        <v/>
      </c>
      <c r="M191" s="23">
        <f>IF(OR(F191="",E191=""),"",E191*L191)</f>
        <v/>
      </c>
      <c r="N191" s="26">
        <f>IF(OR(F191="",F191="Ganha",F191="Perdida"),"",Config!$B$5-IF(H191="",G191,H191))</f>
        <v/>
      </c>
      <c r="O191" s="22">
        <f>IF(F191="","",IF(F191="Ganha","Fechada",IF(F191="Perdida","Perdida",IF(AND(I191&lt;&gt;"",I191&lt;Config!$B$5),"Fechamento vencido",IF(N191&gt;Config!$B$7,"Parada","Ativa")))))</f>
        <v/>
      </c>
      <c r="P191" s="35">
        <f>IF(OR(F191="",O191="Fechada",O191="Perdida"),0,IF(O191="Fechamento vencido",3000,IF(O191="Parada",2000,1000))+MIN(N191,500)+E191/1000000-ROW()/100000)</f>
        <v>0</v>
      </c>
    </row>
    <row r="192">
      <c r="A192" s="29" t="n"/>
      <c r="B192" s="29" t="n"/>
      <c r="C192" s="33" t="n"/>
      <c r="D192" s="33" t="n"/>
      <c r="E192" s="31" t="n"/>
      <c r="F192" s="33" t="n"/>
      <c r="G192" s="34" t="n"/>
      <c r="H192" s="34" t="n"/>
      <c r="I192" s="34" t="n"/>
      <c r="J192" s="34" t="n"/>
      <c r="K192" s="29" t="n"/>
      <c r="L192" s="24">
        <f>IF(F192="","",IFERROR(INDEX(Config!$B$11:$B$16,MATCH(F192,Config!$A$11:$A$16,0)),0))</f>
        <v/>
      </c>
      <c r="M192" s="23">
        <f>IF(OR(F192="",E192=""),"",E192*L192)</f>
        <v/>
      </c>
      <c r="N192" s="26">
        <f>IF(OR(F192="",F192="Ganha",F192="Perdida"),"",Config!$B$5-IF(H192="",G192,H192))</f>
        <v/>
      </c>
      <c r="O192" s="22">
        <f>IF(F192="","",IF(F192="Ganha","Fechada",IF(F192="Perdida","Perdida",IF(AND(I192&lt;&gt;"",I192&lt;Config!$B$5),"Fechamento vencido",IF(N192&gt;Config!$B$7,"Parada","Ativa")))))</f>
        <v/>
      </c>
      <c r="P192" s="35">
        <f>IF(OR(F192="",O192="Fechada",O192="Perdida"),0,IF(O192="Fechamento vencido",3000,IF(O192="Parada",2000,1000))+MIN(N192,500)+E192/1000000-ROW()/100000)</f>
        <v>0</v>
      </c>
    </row>
    <row r="193">
      <c r="A193" s="29" t="n"/>
      <c r="B193" s="29" t="n"/>
      <c r="C193" s="33" t="n"/>
      <c r="D193" s="33" t="n"/>
      <c r="E193" s="31" t="n"/>
      <c r="F193" s="33" t="n"/>
      <c r="G193" s="34" t="n"/>
      <c r="H193" s="34" t="n"/>
      <c r="I193" s="34" t="n"/>
      <c r="J193" s="34" t="n"/>
      <c r="K193" s="29" t="n"/>
      <c r="L193" s="24">
        <f>IF(F193="","",IFERROR(INDEX(Config!$B$11:$B$16,MATCH(F193,Config!$A$11:$A$16,0)),0))</f>
        <v/>
      </c>
      <c r="M193" s="23">
        <f>IF(OR(F193="",E193=""),"",E193*L193)</f>
        <v/>
      </c>
      <c r="N193" s="26">
        <f>IF(OR(F193="",F193="Ganha",F193="Perdida"),"",Config!$B$5-IF(H193="",G193,H193))</f>
        <v/>
      </c>
      <c r="O193" s="22">
        <f>IF(F193="","",IF(F193="Ganha","Fechada",IF(F193="Perdida","Perdida",IF(AND(I193&lt;&gt;"",I193&lt;Config!$B$5),"Fechamento vencido",IF(N193&gt;Config!$B$7,"Parada","Ativa")))))</f>
        <v/>
      </c>
      <c r="P193" s="35">
        <f>IF(OR(F193="",O193="Fechada",O193="Perdida"),0,IF(O193="Fechamento vencido",3000,IF(O193="Parada",2000,1000))+MIN(N193,500)+E193/1000000-ROW()/100000)</f>
        <v>0</v>
      </c>
    </row>
    <row r="194">
      <c r="A194" s="29" t="n"/>
      <c r="B194" s="29" t="n"/>
      <c r="C194" s="33" t="n"/>
      <c r="D194" s="33" t="n"/>
      <c r="E194" s="31" t="n"/>
      <c r="F194" s="33" t="n"/>
      <c r="G194" s="34" t="n"/>
      <c r="H194" s="34" t="n"/>
      <c r="I194" s="34" t="n"/>
      <c r="J194" s="34" t="n"/>
      <c r="K194" s="29" t="n"/>
      <c r="L194" s="24">
        <f>IF(F194="","",IFERROR(INDEX(Config!$B$11:$B$16,MATCH(F194,Config!$A$11:$A$16,0)),0))</f>
        <v/>
      </c>
      <c r="M194" s="23">
        <f>IF(OR(F194="",E194=""),"",E194*L194)</f>
        <v/>
      </c>
      <c r="N194" s="26">
        <f>IF(OR(F194="",F194="Ganha",F194="Perdida"),"",Config!$B$5-IF(H194="",G194,H194))</f>
        <v/>
      </c>
      <c r="O194" s="22">
        <f>IF(F194="","",IF(F194="Ganha","Fechada",IF(F194="Perdida","Perdida",IF(AND(I194&lt;&gt;"",I194&lt;Config!$B$5),"Fechamento vencido",IF(N194&gt;Config!$B$7,"Parada","Ativa")))))</f>
        <v/>
      </c>
      <c r="P194" s="35">
        <f>IF(OR(F194="",O194="Fechada",O194="Perdida"),0,IF(O194="Fechamento vencido",3000,IF(O194="Parada",2000,1000))+MIN(N194,500)+E194/1000000-ROW()/100000)</f>
        <v>0</v>
      </c>
    </row>
    <row r="195">
      <c r="A195" s="29" t="n"/>
      <c r="B195" s="29" t="n"/>
      <c r="C195" s="33" t="n"/>
      <c r="D195" s="33" t="n"/>
      <c r="E195" s="31" t="n"/>
      <c r="F195" s="33" t="n"/>
      <c r="G195" s="34" t="n"/>
      <c r="H195" s="34" t="n"/>
      <c r="I195" s="34" t="n"/>
      <c r="J195" s="34" t="n"/>
      <c r="K195" s="29" t="n"/>
      <c r="L195" s="24">
        <f>IF(F195="","",IFERROR(INDEX(Config!$B$11:$B$16,MATCH(F195,Config!$A$11:$A$16,0)),0))</f>
        <v/>
      </c>
      <c r="M195" s="23">
        <f>IF(OR(F195="",E195=""),"",E195*L195)</f>
        <v/>
      </c>
      <c r="N195" s="26">
        <f>IF(OR(F195="",F195="Ganha",F195="Perdida"),"",Config!$B$5-IF(H195="",G195,H195))</f>
        <v/>
      </c>
      <c r="O195" s="22">
        <f>IF(F195="","",IF(F195="Ganha","Fechada",IF(F195="Perdida","Perdida",IF(AND(I195&lt;&gt;"",I195&lt;Config!$B$5),"Fechamento vencido",IF(N195&gt;Config!$B$7,"Parada","Ativa")))))</f>
        <v/>
      </c>
      <c r="P195" s="35">
        <f>IF(OR(F195="",O195="Fechada",O195="Perdida"),0,IF(O195="Fechamento vencido",3000,IF(O195="Parada",2000,1000))+MIN(N195,500)+E195/1000000-ROW()/100000)</f>
        <v>0</v>
      </c>
    </row>
    <row r="196">
      <c r="A196" s="29" t="n"/>
      <c r="B196" s="29" t="n"/>
      <c r="C196" s="33" t="n"/>
      <c r="D196" s="33" t="n"/>
      <c r="E196" s="31" t="n"/>
      <c r="F196" s="33" t="n"/>
      <c r="G196" s="34" t="n"/>
      <c r="H196" s="34" t="n"/>
      <c r="I196" s="34" t="n"/>
      <c r="J196" s="34" t="n"/>
      <c r="K196" s="29" t="n"/>
      <c r="L196" s="24">
        <f>IF(F196="","",IFERROR(INDEX(Config!$B$11:$B$16,MATCH(F196,Config!$A$11:$A$16,0)),0))</f>
        <v/>
      </c>
      <c r="M196" s="23">
        <f>IF(OR(F196="",E196=""),"",E196*L196)</f>
        <v/>
      </c>
      <c r="N196" s="26">
        <f>IF(OR(F196="",F196="Ganha",F196="Perdida"),"",Config!$B$5-IF(H196="",G196,H196))</f>
        <v/>
      </c>
      <c r="O196" s="22">
        <f>IF(F196="","",IF(F196="Ganha","Fechada",IF(F196="Perdida","Perdida",IF(AND(I196&lt;&gt;"",I196&lt;Config!$B$5),"Fechamento vencido",IF(N196&gt;Config!$B$7,"Parada","Ativa")))))</f>
        <v/>
      </c>
      <c r="P196" s="35">
        <f>IF(OR(F196="",O196="Fechada",O196="Perdida"),0,IF(O196="Fechamento vencido",3000,IF(O196="Parada",2000,1000))+MIN(N196,500)+E196/1000000-ROW()/100000)</f>
        <v>0</v>
      </c>
    </row>
    <row r="197">
      <c r="A197" s="29" t="n"/>
      <c r="B197" s="29" t="n"/>
      <c r="C197" s="33" t="n"/>
      <c r="D197" s="33" t="n"/>
      <c r="E197" s="31" t="n"/>
      <c r="F197" s="33" t="n"/>
      <c r="G197" s="34" t="n"/>
      <c r="H197" s="34" t="n"/>
      <c r="I197" s="34" t="n"/>
      <c r="J197" s="34" t="n"/>
      <c r="K197" s="29" t="n"/>
      <c r="L197" s="24">
        <f>IF(F197="","",IFERROR(INDEX(Config!$B$11:$B$16,MATCH(F197,Config!$A$11:$A$16,0)),0))</f>
        <v/>
      </c>
      <c r="M197" s="23">
        <f>IF(OR(F197="",E197=""),"",E197*L197)</f>
        <v/>
      </c>
      <c r="N197" s="26">
        <f>IF(OR(F197="",F197="Ganha",F197="Perdida"),"",Config!$B$5-IF(H197="",G197,H197))</f>
        <v/>
      </c>
      <c r="O197" s="22">
        <f>IF(F197="","",IF(F197="Ganha","Fechada",IF(F197="Perdida","Perdida",IF(AND(I197&lt;&gt;"",I197&lt;Config!$B$5),"Fechamento vencido",IF(N197&gt;Config!$B$7,"Parada","Ativa")))))</f>
        <v/>
      </c>
      <c r="P197" s="35">
        <f>IF(OR(F197="",O197="Fechada",O197="Perdida"),0,IF(O197="Fechamento vencido",3000,IF(O197="Parada",2000,1000))+MIN(N197,500)+E197/1000000-ROW()/100000)</f>
        <v>0</v>
      </c>
    </row>
    <row r="198">
      <c r="A198" s="29" t="n"/>
      <c r="B198" s="29" t="n"/>
      <c r="C198" s="33" t="n"/>
      <c r="D198" s="33" t="n"/>
      <c r="E198" s="31" t="n"/>
      <c r="F198" s="33" t="n"/>
      <c r="G198" s="34" t="n"/>
      <c r="H198" s="34" t="n"/>
      <c r="I198" s="34" t="n"/>
      <c r="J198" s="34" t="n"/>
      <c r="K198" s="29" t="n"/>
      <c r="L198" s="24">
        <f>IF(F198="","",IFERROR(INDEX(Config!$B$11:$B$16,MATCH(F198,Config!$A$11:$A$16,0)),0))</f>
        <v/>
      </c>
      <c r="M198" s="23">
        <f>IF(OR(F198="",E198=""),"",E198*L198)</f>
        <v/>
      </c>
      <c r="N198" s="26">
        <f>IF(OR(F198="",F198="Ganha",F198="Perdida"),"",Config!$B$5-IF(H198="",G198,H198))</f>
        <v/>
      </c>
      <c r="O198" s="22">
        <f>IF(F198="","",IF(F198="Ganha","Fechada",IF(F198="Perdida","Perdida",IF(AND(I198&lt;&gt;"",I198&lt;Config!$B$5),"Fechamento vencido",IF(N198&gt;Config!$B$7,"Parada","Ativa")))))</f>
        <v/>
      </c>
      <c r="P198" s="35">
        <f>IF(OR(F198="",O198="Fechada",O198="Perdida"),0,IF(O198="Fechamento vencido",3000,IF(O198="Parada",2000,1000))+MIN(N198,500)+E198/1000000-ROW()/100000)</f>
        <v>0</v>
      </c>
    </row>
    <row r="199">
      <c r="A199" s="29" t="n"/>
      <c r="B199" s="29" t="n"/>
      <c r="C199" s="33" t="n"/>
      <c r="D199" s="33" t="n"/>
      <c r="E199" s="31" t="n"/>
      <c r="F199" s="33" t="n"/>
      <c r="G199" s="34" t="n"/>
      <c r="H199" s="34" t="n"/>
      <c r="I199" s="34" t="n"/>
      <c r="J199" s="34" t="n"/>
      <c r="K199" s="29" t="n"/>
      <c r="L199" s="24">
        <f>IF(F199="","",IFERROR(INDEX(Config!$B$11:$B$16,MATCH(F199,Config!$A$11:$A$16,0)),0))</f>
        <v/>
      </c>
      <c r="M199" s="23">
        <f>IF(OR(F199="",E199=""),"",E199*L199)</f>
        <v/>
      </c>
      <c r="N199" s="26">
        <f>IF(OR(F199="",F199="Ganha",F199="Perdida"),"",Config!$B$5-IF(H199="",G199,H199))</f>
        <v/>
      </c>
      <c r="O199" s="22">
        <f>IF(F199="","",IF(F199="Ganha","Fechada",IF(F199="Perdida","Perdida",IF(AND(I199&lt;&gt;"",I199&lt;Config!$B$5),"Fechamento vencido",IF(N199&gt;Config!$B$7,"Parada","Ativa")))))</f>
        <v/>
      </c>
      <c r="P199" s="35">
        <f>IF(OR(F199="",O199="Fechada",O199="Perdida"),0,IF(O199="Fechamento vencido",3000,IF(O199="Parada",2000,1000))+MIN(N199,500)+E199/1000000-ROW()/100000)</f>
        <v>0</v>
      </c>
    </row>
    <row r="200">
      <c r="A200" s="29" t="n"/>
      <c r="B200" s="29" t="n"/>
      <c r="C200" s="33" t="n"/>
      <c r="D200" s="33" t="n"/>
      <c r="E200" s="31" t="n"/>
      <c r="F200" s="33" t="n"/>
      <c r="G200" s="34" t="n"/>
      <c r="H200" s="34" t="n"/>
      <c r="I200" s="34" t="n"/>
      <c r="J200" s="34" t="n"/>
      <c r="K200" s="29" t="n"/>
      <c r="L200" s="24">
        <f>IF(F200="","",IFERROR(INDEX(Config!$B$11:$B$16,MATCH(F200,Config!$A$11:$A$16,0)),0))</f>
        <v/>
      </c>
      <c r="M200" s="23">
        <f>IF(OR(F200="",E200=""),"",E200*L200)</f>
        <v/>
      </c>
      <c r="N200" s="26">
        <f>IF(OR(F200="",F200="Ganha",F200="Perdida"),"",Config!$B$5-IF(H200="",G200,H200))</f>
        <v/>
      </c>
      <c r="O200" s="22">
        <f>IF(F200="","",IF(F200="Ganha","Fechada",IF(F200="Perdida","Perdida",IF(AND(I200&lt;&gt;"",I200&lt;Config!$B$5),"Fechamento vencido",IF(N200&gt;Config!$B$7,"Parada","Ativa")))))</f>
        <v/>
      </c>
      <c r="P200" s="35">
        <f>IF(OR(F200="",O200="Fechada",O200="Perdida"),0,IF(O200="Fechamento vencido",3000,IF(O200="Parada",2000,1000))+MIN(N200,500)+E200/1000000-ROW()/100000)</f>
        <v>0</v>
      </c>
    </row>
    <row r="201">
      <c r="A201" s="29" t="n"/>
      <c r="B201" s="29" t="n"/>
      <c r="C201" s="33" t="n"/>
      <c r="D201" s="33" t="n"/>
      <c r="E201" s="31" t="n"/>
      <c r="F201" s="33" t="n"/>
      <c r="G201" s="34" t="n"/>
      <c r="H201" s="34" t="n"/>
      <c r="I201" s="34" t="n"/>
      <c r="J201" s="34" t="n"/>
      <c r="K201" s="29" t="n"/>
      <c r="L201" s="24">
        <f>IF(F201="","",IFERROR(INDEX(Config!$B$11:$B$16,MATCH(F201,Config!$A$11:$A$16,0)),0))</f>
        <v/>
      </c>
      <c r="M201" s="23">
        <f>IF(OR(F201="",E201=""),"",E201*L201)</f>
        <v/>
      </c>
      <c r="N201" s="26">
        <f>IF(OR(F201="",F201="Ganha",F201="Perdida"),"",Config!$B$5-IF(H201="",G201,H201))</f>
        <v/>
      </c>
      <c r="O201" s="22">
        <f>IF(F201="","",IF(F201="Ganha","Fechada",IF(F201="Perdida","Perdida",IF(AND(I201&lt;&gt;"",I201&lt;Config!$B$5),"Fechamento vencido",IF(N201&gt;Config!$B$7,"Parada","Ativa")))))</f>
        <v/>
      </c>
      <c r="P201" s="35">
        <f>IF(OR(F201="",O201="Fechada",O201="Perdida"),0,IF(O201="Fechamento vencido",3000,IF(O201="Parada",2000,1000))+MIN(N201,500)+E201/1000000-ROW()/100000)</f>
        <v>0</v>
      </c>
    </row>
    <row r="202">
      <c r="A202" s="29" t="n"/>
      <c r="B202" s="29" t="n"/>
      <c r="C202" s="33" t="n"/>
      <c r="D202" s="33" t="n"/>
      <c r="E202" s="31" t="n"/>
      <c r="F202" s="33" t="n"/>
      <c r="G202" s="34" t="n"/>
      <c r="H202" s="34" t="n"/>
      <c r="I202" s="34" t="n"/>
      <c r="J202" s="34" t="n"/>
      <c r="K202" s="29" t="n"/>
      <c r="L202" s="24">
        <f>IF(F202="","",IFERROR(INDEX(Config!$B$11:$B$16,MATCH(F202,Config!$A$11:$A$16,0)),0))</f>
        <v/>
      </c>
      <c r="M202" s="23">
        <f>IF(OR(F202="",E202=""),"",E202*L202)</f>
        <v/>
      </c>
      <c r="N202" s="26">
        <f>IF(OR(F202="",F202="Ganha",F202="Perdida"),"",Config!$B$5-IF(H202="",G202,H202))</f>
        <v/>
      </c>
      <c r="O202" s="22">
        <f>IF(F202="","",IF(F202="Ganha","Fechada",IF(F202="Perdida","Perdida",IF(AND(I202&lt;&gt;"",I202&lt;Config!$B$5),"Fechamento vencido",IF(N202&gt;Config!$B$7,"Parada","Ativa")))))</f>
        <v/>
      </c>
      <c r="P202" s="35">
        <f>IF(OR(F202="",O202="Fechada",O202="Perdida"),0,IF(O202="Fechamento vencido",3000,IF(O202="Parada",2000,1000))+MIN(N202,500)+E202/1000000-ROW()/100000)</f>
        <v>0</v>
      </c>
    </row>
    <row r="203">
      <c r="A203" s="29" t="n"/>
      <c r="B203" s="29" t="n"/>
      <c r="C203" s="33" t="n"/>
      <c r="D203" s="33" t="n"/>
      <c r="E203" s="31" t="n"/>
      <c r="F203" s="33" t="n"/>
      <c r="G203" s="34" t="n"/>
      <c r="H203" s="34" t="n"/>
      <c r="I203" s="34" t="n"/>
      <c r="J203" s="34" t="n"/>
      <c r="K203" s="29" t="n"/>
      <c r="L203" s="24">
        <f>IF(F203="","",IFERROR(INDEX(Config!$B$11:$B$16,MATCH(F203,Config!$A$11:$A$16,0)),0))</f>
        <v/>
      </c>
      <c r="M203" s="23">
        <f>IF(OR(F203="",E203=""),"",E203*L203)</f>
        <v/>
      </c>
      <c r="N203" s="26">
        <f>IF(OR(F203="",F203="Ganha",F203="Perdida"),"",Config!$B$5-IF(H203="",G203,H203))</f>
        <v/>
      </c>
      <c r="O203" s="22">
        <f>IF(F203="","",IF(F203="Ganha","Fechada",IF(F203="Perdida","Perdida",IF(AND(I203&lt;&gt;"",I203&lt;Config!$B$5),"Fechamento vencido",IF(N203&gt;Config!$B$7,"Parada","Ativa")))))</f>
        <v/>
      </c>
      <c r="P203" s="35">
        <f>IF(OR(F203="",O203="Fechada",O203="Perdida"),0,IF(O203="Fechamento vencido",3000,IF(O203="Parada",2000,1000))+MIN(N203,500)+E203/1000000-ROW()/100000)</f>
        <v>0</v>
      </c>
    </row>
    <row r="204">
      <c r="A204" s="29" t="n"/>
      <c r="B204" s="29" t="n"/>
      <c r="C204" s="33" t="n"/>
      <c r="D204" s="33" t="n"/>
      <c r="E204" s="31" t="n"/>
      <c r="F204" s="33" t="n"/>
      <c r="G204" s="34" t="n"/>
      <c r="H204" s="34" t="n"/>
      <c r="I204" s="34" t="n"/>
      <c r="J204" s="34" t="n"/>
      <c r="K204" s="29" t="n"/>
      <c r="L204" s="24">
        <f>IF(F204="","",IFERROR(INDEX(Config!$B$11:$B$16,MATCH(F204,Config!$A$11:$A$16,0)),0))</f>
        <v/>
      </c>
      <c r="M204" s="23">
        <f>IF(OR(F204="",E204=""),"",E204*L204)</f>
        <v/>
      </c>
      <c r="N204" s="26">
        <f>IF(OR(F204="",F204="Ganha",F204="Perdida"),"",Config!$B$5-IF(H204="",G204,H204))</f>
        <v/>
      </c>
      <c r="O204" s="22">
        <f>IF(F204="","",IF(F204="Ganha","Fechada",IF(F204="Perdida","Perdida",IF(AND(I204&lt;&gt;"",I204&lt;Config!$B$5),"Fechamento vencido",IF(N204&gt;Config!$B$7,"Parada","Ativa")))))</f>
        <v/>
      </c>
      <c r="P204" s="35">
        <f>IF(OR(F204="",O204="Fechada",O204="Perdida"),0,IF(O204="Fechamento vencido",3000,IF(O204="Parada",2000,1000))+MIN(N204,500)+E204/1000000-ROW()/100000)</f>
        <v>0</v>
      </c>
    </row>
    <row r="205">
      <c r="A205" s="29" t="n"/>
      <c r="B205" s="29" t="n"/>
      <c r="C205" s="33" t="n"/>
      <c r="D205" s="33" t="n"/>
      <c r="E205" s="31" t="n"/>
      <c r="F205" s="33" t="n"/>
      <c r="G205" s="34" t="n"/>
      <c r="H205" s="34" t="n"/>
      <c r="I205" s="34" t="n"/>
      <c r="J205" s="34" t="n"/>
      <c r="K205" s="29" t="n"/>
      <c r="L205" s="24">
        <f>IF(F205="","",IFERROR(INDEX(Config!$B$11:$B$16,MATCH(F205,Config!$A$11:$A$16,0)),0))</f>
        <v/>
      </c>
      <c r="M205" s="23">
        <f>IF(OR(F205="",E205=""),"",E205*L205)</f>
        <v/>
      </c>
      <c r="N205" s="26">
        <f>IF(OR(F205="",F205="Ganha",F205="Perdida"),"",Config!$B$5-IF(H205="",G205,H205))</f>
        <v/>
      </c>
      <c r="O205" s="22">
        <f>IF(F205="","",IF(F205="Ganha","Fechada",IF(F205="Perdida","Perdida",IF(AND(I205&lt;&gt;"",I205&lt;Config!$B$5),"Fechamento vencido",IF(N205&gt;Config!$B$7,"Parada","Ativa")))))</f>
        <v/>
      </c>
      <c r="P205" s="35">
        <f>IF(OR(F205="",O205="Fechada",O205="Perdida"),0,IF(O205="Fechamento vencido",3000,IF(O205="Parada",2000,1000))+MIN(N205,500)+E205/1000000-ROW()/100000)</f>
        <v>0</v>
      </c>
    </row>
    <row r="206">
      <c r="A206" s="29" t="n"/>
      <c r="B206" s="29" t="n"/>
      <c r="C206" s="33" t="n"/>
      <c r="D206" s="33" t="n"/>
      <c r="E206" s="31" t="n"/>
      <c r="F206" s="33" t="n"/>
      <c r="G206" s="34" t="n"/>
      <c r="H206" s="34" t="n"/>
      <c r="I206" s="34" t="n"/>
      <c r="J206" s="34" t="n"/>
      <c r="K206" s="29" t="n"/>
      <c r="L206" s="24">
        <f>IF(F206="","",IFERROR(INDEX(Config!$B$11:$B$16,MATCH(F206,Config!$A$11:$A$16,0)),0))</f>
        <v/>
      </c>
      <c r="M206" s="23">
        <f>IF(OR(F206="",E206=""),"",E206*L206)</f>
        <v/>
      </c>
      <c r="N206" s="26">
        <f>IF(OR(F206="",F206="Ganha",F206="Perdida"),"",Config!$B$5-IF(H206="",G206,H206))</f>
        <v/>
      </c>
      <c r="O206" s="22">
        <f>IF(F206="","",IF(F206="Ganha","Fechada",IF(F206="Perdida","Perdida",IF(AND(I206&lt;&gt;"",I206&lt;Config!$B$5),"Fechamento vencido",IF(N206&gt;Config!$B$7,"Parada","Ativa")))))</f>
        <v/>
      </c>
      <c r="P206" s="35">
        <f>IF(OR(F206="",O206="Fechada",O206="Perdida"),0,IF(O206="Fechamento vencido",3000,IF(O206="Parada",2000,1000))+MIN(N206,500)+E206/1000000-ROW()/100000)</f>
        <v>0</v>
      </c>
    </row>
    <row r="207">
      <c r="A207" s="29" t="n"/>
      <c r="B207" s="29" t="n"/>
      <c r="C207" s="33" t="n"/>
      <c r="D207" s="33" t="n"/>
      <c r="E207" s="31" t="n"/>
      <c r="F207" s="33" t="n"/>
      <c r="G207" s="34" t="n"/>
      <c r="H207" s="34" t="n"/>
      <c r="I207" s="34" t="n"/>
      <c r="J207" s="34" t="n"/>
      <c r="K207" s="29" t="n"/>
      <c r="L207" s="24">
        <f>IF(F207="","",IFERROR(INDEX(Config!$B$11:$B$16,MATCH(F207,Config!$A$11:$A$16,0)),0))</f>
        <v/>
      </c>
      <c r="M207" s="23">
        <f>IF(OR(F207="",E207=""),"",E207*L207)</f>
        <v/>
      </c>
      <c r="N207" s="26">
        <f>IF(OR(F207="",F207="Ganha",F207="Perdida"),"",Config!$B$5-IF(H207="",G207,H207))</f>
        <v/>
      </c>
      <c r="O207" s="22">
        <f>IF(F207="","",IF(F207="Ganha","Fechada",IF(F207="Perdida","Perdida",IF(AND(I207&lt;&gt;"",I207&lt;Config!$B$5),"Fechamento vencido",IF(N207&gt;Config!$B$7,"Parada","Ativa")))))</f>
        <v/>
      </c>
      <c r="P207" s="35">
        <f>IF(OR(F207="",O207="Fechada",O207="Perdida"),0,IF(O207="Fechamento vencido",3000,IF(O207="Parada",2000,1000))+MIN(N207,500)+E207/1000000-ROW()/100000)</f>
        <v>0</v>
      </c>
    </row>
    <row r="208">
      <c r="A208" s="29" t="n"/>
      <c r="B208" s="29" t="n"/>
      <c r="C208" s="33" t="n"/>
      <c r="D208" s="33" t="n"/>
      <c r="E208" s="31" t="n"/>
      <c r="F208" s="33" t="n"/>
      <c r="G208" s="34" t="n"/>
      <c r="H208" s="34" t="n"/>
      <c r="I208" s="34" t="n"/>
      <c r="J208" s="34" t="n"/>
      <c r="K208" s="29" t="n"/>
      <c r="L208" s="24">
        <f>IF(F208="","",IFERROR(INDEX(Config!$B$11:$B$16,MATCH(F208,Config!$A$11:$A$16,0)),0))</f>
        <v/>
      </c>
      <c r="M208" s="23">
        <f>IF(OR(F208="",E208=""),"",E208*L208)</f>
        <v/>
      </c>
      <c r="N208" s="26">
        <f>IF(OR(F208="",F208="Ganha",F208="Perdida"),"",Config!$B$5-IF(H208="",G208,H208))</f>
        <v/>
      </c>
      <c r="O208" s="22">
        <f>IF(F208="","",IF(F208="Ganha","Fechada",IF(F208="Perdida","Perdida",IF(AND(I208&lt;&gt;"",I208&lt;Config!$B$5),"Fechamento vencido",IF(N208&gt;Config!$B$7,"Parada","Ativa")))))</f>
        <v/>
      </c>
      <c r="P208" s="35">
        <f>IF(OR(F208="",O208="Fechada",O208="Perdida"),0,IF(O208="Fechamento vencido",3000,IF(O208="Parada",2000,1000))+MIN(N208,500)+E208/1000000-ROW()/100000)</f>
        <v>0</v>
      </c>
    </row>
    <row r="209">
      <c r="A209" s="29" t="n"/>
      <c r="B209" s="29" t="n"/>
      <c r="C209" s="33" t="n"/>
      <c r="D209" s="33" t="n"/>
      <c r="E209" s="31" t="n"/>
      <c r="F209" s="33" t="n"/>
      <c r="G209" s="34" t="n"/>
      <c r="H209" s="34" t="n"/>
      <c r="I209" s="34" t="n"/>
      <c r="J209" s="34" t="n"/>
      <c r="K209" s="29" t="n"/>
      <c r="L209" s="24">
        <f>IF(F209="","",IFERROR(INDEX(Config!$B$11:$B$16,MATCH(F209,Config!$A$11:$A$16,0)),0))</f>
        <v/>
      </c>
      <c r="M209" s="23">
        <f>IF(OR(F209="",E209=""),"",E209*L209)</f>
        <v/>
      </c>
      <c r="N209" s="26">
        <f>IF(OR(F209="",F209="Ganha",F209="Perdida"),"",Config!$B$5-IF(H209="",G209,H209))</f>
        <v/>
      </c>
      <c r="O209" s="22">
        <f>IF(F209="","",IF(F209="Ganha","Fechada",IF(F209="Perdida","Perdida",IF(AND(I209&lt;&gt;"",I209&lt;Config!$B$5),"Fechamento vencido",IF(N209&gt;Config!$B$7,"Parada","Ativa")))))</f>
        <v/>
      </c>
      <c r="P209" s="35">
        <f>IF(OR(F209="",O209="Fechada",O209="Perdida"),0,IF(O209="Fechamento vencido",3000,IF(O209="Parada",2000,1000))+MIN(N209,500)+E209/1000000-ROW()/100000)</f>
        <v>0</v>
      </c>
    </row>
    <row r="210">
      <c r="A210" s="29" t="n"/>
      <c r="B210" s="29" t="n"/>
      <c r="C210" s="33" t="n"/>
      <c r="D210" s="33" t="n"/>
      <c r="E210" s="31" t="n"/>
      <c r="F210" s="33" t="n"/>
      <c r="G210" s="34" t="n"/>
      <c r="H210" s="34" t="n"/>
      <c r="I210" s="34" t="n"/>
      <c r="J210" s="34" t="n"/>
      <c r="K210" s="29" t="n"/>
      <c r="L210" s="24">
        <f>IF(F210="","",IFERROR(INDEX(Config!$B$11:$B$16,MATCH(F210,Config!$A$11:$A$16,0)),0))</f>
        <v/>
      </c>
      <c r="M210" s="23">
        <f>IF(OR(F210="",E210=""),"",E210*L210)</f>
        <v/>
      </c>
      <c r="N210" s="26">
        <f>IF(OR(F210="",F210="Ganha",F210="Perdida"),"",Config!$B$5-IF(H210="",G210,H210))</f>
        <v/>
      </c>
      <c r="O210" s="22">
        <f>IF(F210="","",IF(F210="Ganha","Fechada",IF(F210="Perdida","Perdida",IF(AND(I210&lt;&gt;"",I210&lt;Config!$B$5),"Fechamento vencido",IF(N210&gt;Config!$B$7,"Parada","Ativa")))))</f>
        <v/>
      </c>
      <c r="P210" s="35">
        <f>IF(OR(F210="",O210="Fechada",O210="Perdida"),0,IF(O210="Fechamento vencido",3000,IF(O210="Parada",2000,1000))+MIN(N210,500)+E210/1000000-ROW()/100000)</f>
        <v>0</v>
      </c>
    </row>
    <row r="211">
      <c r="A211" s="29" t="n"/>
      <c r="B211" s="29" t="n"/>
      <c r="C211" s="33" t="n"/>
      <c r="D211" s="33" t="n"/>
      <c r="E211" s="31" t="n"/>
      <c r="F211" s="33" t="n"/>
      <c r="G211" s="34" t="n"/>
      <c r="H211" s="34" t="n"/>
      <c r="I211" s="34" t="n"/>
      <c r="J211" s="34" t="n"/>
      <c r="K211" s="29" t="n"/>
      <c r="L211" s="24">
        <f>IF(F211="","",IFERROR(INDEX(Config!$B$11:$B$16,MATCH(F211,Config!$A$11:$A$16,0)),0))</f>
        <v/>
      </c>
      <c r="M211" s="23">
        <f>IF(OR(F211="",E211=""),"",E211*L211)</f>
        <v/>
      </c>
      <c r="N211" s="26">
        <f>IF(OR(F211="",F211="Ganha",F211="Perdida"),"",Config!$B$5-IF(H211="",G211,H211))</f>
        <v/>
      </c>
      <c r="O211" s="22">
        <f>IF(F211="","",IF(F211="Ganha","Fechada",IF(F211="Perdida","Perdida",IF(AND(I211&lt;&gt;"",I211&lt;Config!$B$5),"Fechamento vencido",IF(N211&gt;Config!$B$7,"Parada","Ativa")))))</f>
        <v/>
      </c>
      <c r="P211" s="35">
        <f>IF(OR(F211="",O211="Fechada",O211="Perdida"),0,IF(O211="Fechamento vencido",3000,IF(O211="Parada",2000,1000))+MIN(N211,500)+E211/1000000-ROW()/100000)</f>
        <v>0</v>
      </c>
    </row>
    <row r="212">
      <c r="A212" s="29" t="n"/>
      <c r="B212" s="29" t="n"/>
      <c r="C212" s="33" t="n"/>
      <c r="D212" s="33" t="n"/>
      <c r="E212" s="31" t="n"/>
      <c r="F212" s="33" t="n"/>
      <c r="G212" s="34" t="n"/>
      <c r="H212" s="34" t="n"/>
      <c r="I212" s="34" t="n"/>
      <c r="J212" s="34" t="n"/>
      <c r="K212" s="29" t="n"/>
      <c r="L212" s="24">
        <f>IF(F212="","",IFERROR(INDEX(Config!$B$11:$B$16,MATCH(F212,Config!$A$11:$A$16,0)),0))</f>
        <v/>
      </c>
      <c r="M212" s="23">
        <f>IF(OR(F212="",E212=""),"",E212*L212)</f>
        <v/>
      </c>
      <c r="N212" s="26">
        <f>IF(OR(F212="",F212="Ganha",F212="Perdida"),"",Config!$B$5-IF(H212="",G212,H212))</f>
        <v/>
      </c>
      <c r="O212" s="22">
        <f>IF(F212="","",IF(F212="Ganha","Fechada",IF(F212="Perdida","Perdida",IF(AND(I212&lt;&gt;"",I212&lt;Config!$B$5),"Fechamento vencido",IF(N212&gt;Config!$B$7,"Parada","Ativa")))))</f>
        <v/>
      </c>
      <c r="P212" s="35">
        <f>IF(OR(F212="",O212="Fechada",O212="Perdida"),0,IF(O212="Fechamento vencido",3000,IF(O212="Parada",2000,1000))+MIN(N212,500)+E212/1000000-ROW()/100000)</f>
        <v>0</v>
      </c>
    </row>
    <row r="213">
      <c r="A213" s="29" t="n"/>
      <c r="B213" s="29" t="n"/>
      <c r="C213" s="33" t="n"/>
      <c r="D213" s="33" t="n"/>
      <c r="E213" s="31" t="n"/>
      <c r="F213" s="33" t="n"/>
      <c r="G213" s="34" t="n"/>
      <c r="H213" s="34" t="n"/>
      <c r="I213" s="34" t="n"/>
      <c r="J213" s="34" t="n"/>
      <c r="K213" s="29" t="n"/>
      <c r="L213" s="24">
        <f>IF(F213="","",IFERROR(INDEX(Config!$B$11:$B$16,MATCH(F213,Config!$A$11:$A$16,0)),0))</f>
        <v/>
      </c>
      <c r="M213" s="23">
        <f>IF(OR(F213="",E213=""),"",E213*L213)</f>
        <v/>
      </c>
      <c r="N213" s="26">
        <f>IF(OR(F213="",F213="Ganha",F213="Perdida"),"",Config!$B$5-IF(H213="",G213,H213))</f>
        <v/>
      </c>
      <c r="O213" s="22">
        <f>IF(F213="","",IF(F213="Ganha","Fechada",IF(F213="Perdida","Perdida",IF(AND(I213&lt;&gt;"",I213&lt;Config!$B$5),"Fechamento vencido",IF(N213&gt;Config!$B$7,"Parada","Ativa")))))</f>
        <v/>
      </c>
      <c r="P213" s="35">
        <f>IF(OR(F213="",O213="Fechada",O213="Perdida"),0,IF(O213="Fechamento vencido",3000,IF(O213="Parada",2000,1000))+MIN(N213,500)+E213/1000000-ROW()/100000)</f>
        <v>0</v>
      </c>
    </row>
    <row r="214">
      <c r="A214" s="29" t="n"/>
      <c r="B214" s="29" t="n"/>
      <c r="C214" s="33" t="n"/>
      <c r="D214" s="33" t="n"/>
      <c r="E214" s="31" t="n"/>
      <c r="F214" s="33" t="n"/>
      <c r="G214" s="34" t="n"/>
      <c r="H214" s="34" t="n"/>
      <c r="I214" s="34" t="n"/>
      <c r="J214" s="34" t="n"/>
      <c r="K214" s="29" t="n"/>
      <c r="L214" s="24">
        <f>IF(F214="","",IFERROR(INDEX(Config!$B$11:$B$16,MATCH(F214,Config!$A$11:$A$16,0)),0))</f>
        <v/>
      </c>
      <c r="M214" s="23">
        <f>IF(OR(F214="",E214=""),"",E214*L214)</f>
        <v/>
      </c>
      <c r="N214" s="26">
        <f>IF(OR(F214="",F214="Ganha",F214="Perdida"),"",Config!$B$5-IF(H214="",G214,H214))</f>
        <v/>
      </c>
      <c r="O214" s="22">
        <f>IF(F214="","",IF(F214="Ganha","Fechada",IF(F214="Perdida","Perdida",IF(AND(I214&lt;&gt;"",I214&lt;Config!$B$5),"Fechamento vencido",IF(N214&gt;Config!$B$7,"Parada","Ativa")))))</f>
        <v/>
      </c>
      <c r="P214" s="35">
        <f>IF(OR(F214="",O214="Fechada",O214="Perdida"),0,IF(O214="Fechamento vencido",3000,IF(O214="Parada",2000,1000))+MIN(N214,500)+E214/1000000-ROW()/100000)</f>
        <v>0</v>
      </c>
    </row>
    <row r="215">
      <c r="A215" s="29" t="n"/>
      <c r="B215" s="29" t="n"/>
      <c r="C215" s="33" t="n"/>
      <c r="D215" s="33" t="n"/>
      <c r="E215" s="31" t="n"/>
      <c r="F215" s="33" t="n"/>
      <c r="G215" s="34" t="n"/>
      <c r="H215" s="34" t="n"/>
      <c r="I215" s="34" t="n"/>
      <c r="J215" s="34" t="n"/>
      <c r="K215" s="29" t="n"/>
      <c r="L215" s="24">
        <f>IF(F215="","",IFERROR(INDEX(Config!$B$11:$B$16,MATCH(F215,Config!$A$11:$A$16,0)),0))</f>
        <v/>
      </c>
      <c r="M215" s="23">
        <f>IF(OR(F215="",E215=""),"",E215*L215)</f>
        <v/>
      </c>
      <c r="N215" s="26">
        <f>IF(OR(F215="",F215="Ganha",F215="Perdida"),"",Config!$B$5-IF(H215="",G215,H215))</f>
        <v/>
      </c>
      <c r="O215" s="22">
        <f>IF(F215="","",IF(F215="Ganha","Fechada",IF(F215="Perdida","Perdida",IF(AND(I215&lt;&gt;"",I215&lt;Config!$B$5),"Fechamento vencido",IF(N215&gt;Config!$B$7,"Parada","Ativa")))))</f>
        <v/>
      </c>
      <c r="P215" s="35">
        <f>IF(OR(F215="",O215="Fechada",O215="Perdida"),0,IF(O215="Fechamento vencido",3000,IF(O215="Parada",2000,1000))+MIN(N215,500)+E215/1000000-ROW()/100000)</f>
        <v>0</v>
      </c>
    </row>
    <row r="216">
      <c r="A216" s="29" t="n"/>
      <c r="B216" s="29" t="n"/>
      <c r="C216" s="33" t="n"/>
      <c r="D216" s="33" t="n"/>
      <c r="E216" s="31" t="n"/>
      <c r="F216" s="33" t="n"/>
      <c r="G216" s="34" t="n"/>
      <c r="H216" s="34" t="n"/>
      <c r="I216" s="34" t="n"/>
      <c r="J216" s="34" t="n"/>
      <c r="K216" s="29" t="n"/>
      <c r="L216" s="24">
        <f>IF(F216="","",IFERROR(INDEX(Config!$B$11:$B$16,MATCH(F216,Config!$A$11:$A$16,0)),0))</f>
        <v/>
      </c>
      <c r="M216" s="23">
        <f>IF(OR(F216="",E216=""),"",E216*L216)</f>
        <v/>
      </c>
      <c r="N216" s="26">
        <f>IF(OR(F216="",F216="Ganha",F216="Perdida"),"",Config!$B$5-IF(H216="",G216,H216))</f>
        <v/>
      </c>
      <c r="O216" s="22">
        <f>IF(F216="","",IF(F216="Ganha","Fechada",IF(F216="Perdida","Perdida",IF(AND(I216&lt;&gt;"",I216&lt;Config!$B$5),"Fechamento vencido",IF(N216&gt;Config!$B$7,"Parada","Ativa")))))</f>
        <v/>
      </c>
      <c r="P216" s="35">
        <f>IF(OR(F216="",O216="Fechada",O216="Perdida"),0,IF(O216="Fechamento vencido",3000,IF(O216="Parada",2000,1000))+MIN(N216,500)+E216/1000000-ROW()/100000)</f>
        <v>0</v>
      </c>
    </row>
    <row r="217">
      <c r="A217" s="29" t="n"/>
      <c r="B217" s="29" t="n"/>
      <c r="C217" s="33" t="n"/>
      <c r="D217" s="33" t="n"/>
      <c r="E217" s="31" t="n"/>
      <c r="F217" s="33" t="n"/>
      <c r="G217" s="34" t="n"/>
      <c r="H217" s="34" t="n"/>
      <c r="I217" s="34" t="n"/>
      <c r="J217" s="34" t="n"/>
      <c r="K217" s="29" t="n"/>
      <c r="L217" s="24">
        <f>IF(F217="","",IFERROR(INDEX(Config!$B$11:$B$16,MATCH(F217,Config!$A$11:$A$16,0)),0))</f>
        <v/>
      </c>
      <c r="M217" s="23">
        <f>IF(OR(F217="",E217=""),"",E217*L217)</f>
        <v/>
      </c>
      <c r="N217" s="26">
        <f>IF(OR(F217="",F217="Ganha",F217="Perdida"),"",Config!$B$5-IF(H217="",G217,H217))</f>
        <v/>
      </c>
      <c r="O217" s="22">
        <f>IF(F217="","",IF(F217="Ganha","Fechada",IF(F217="Perdida","Perdida",IF(AND(I217&lt;&gt;"",I217&lt;Config!$B$5),"Fechamento vencido",IF(N217&gt;Config!$B$7,"Parada","Ativa")))))</f>
        <v/>
      </c>
      <c r="P217" s="35">
        <f>IF(OR(F217="",O217="Fechada",O217="Perdida"),0,IF(O217="Fechamento vencido",3000,IF(O217="Parada",2000,1000))+MIN(N217,500)+E217/1000000-ROW()/100000)</f>
        <v>0</v>
      </c>
    </row>
    <row r="218">
      <c r="A218" s="29" t="n"/>
      <c r="B218" s="29" t="n"/>
      <c r="C218" s="33" t="n"/>
      <c r="D218" s="33" t="n"/>
      <c r="E218" s="31" t="n"/>
      <c r="F218" s="33" t="n"/>
      <c r="G218" s="34" t="n"/>
      <c r="H218" s="34" t="n"/>
      <c r="I218" s="34" t="n"/>
      <c r="J218" s="34" t="n"/>
      <c r="K218" s="29" t="n"/>
      <c r="L218" s="24">
        <f>IF(F218="","",IFERROR(INDEX(Config!$B$11:$B$16,MATCH(F218,Config!$A$11:$A$16,0)),0))</f>
        <v/>
      </c>
      <c r="M218" s="23">
        <f>IF(OR(F218="",E218=""),"",E218*L218)</f>
        <v/>
      </c>
      <c r="N218" s="26">
        <f>IF(OR(F218="",F218="Ganha",F218="Perdida"),"",Config!$B$5-IF(H218="",G218,H218))</f>
        <v/>
      </c>
      <c r="O218" s="22">
        <f>IF(F218="","",IF(F218="Ganha","Fechada",IF(F218="Perdida","Perdida",IF(AND(I218&lt;&gt;"",I218&lt;Config!$B$5),"Fechamento vencido",IF(N218&gt;Config!$B$7,"Parada","Ativa")))))</f>
        <v/>
      </c>
      <c r="P218" s="35">
        <f>IF(OR(F218="",O218="Fechada",O218="Perdida"),0,IF(O218="Fechamento vencido",3000,IF(O218="Parada",2000,1000))+MIN(N218,500)+E218/1000000-ROW()/100000)</f>
        <v>0</v>
      </c>
    </row>
    <row r="219">
      <c r="A219" s="29" t="n"/>
      <c r="B219" s="29" t="n"/>
      <c r="C219" s="33" t="n"/>
      <c r="D219" s="33" t="n"/>
      <c r="E219" s="31" t="n"/>
      <c r="F219" s="33" t="n"/>
      <c r="G219" s="34" t="n"/>
      <c r="H219" s="34" t="n"/>
      <c r="I219" s="34" t="n"/>
      <c r="J219" s="34" t="n"/>
      <c r="K219" s="29" t="n"/>
      <c r="L219" s="24">
        <f>IF(F219="","",IFERROR(INDEX(Config!$B$11:$B$16,MATCH(F219,Config!$A$11:$A$16,0)),0))</f>
        <v/>
      </c>
      <c r="M219" s="23">
        <f>IF(OR(F219="",E219=""),"",E219*L219)</f>
        <v/>
      </c>
      <c r="N219" s="26">
        <f>IF(OR(F219="",F219="Ganha",F219="Perdida"),"",Config!$B$5-IF(H219="",G219,H219))</f>
        <v/>
      </c>
      <c r="O219" s="22">
        <f>IF(F219="","",IF(F219="Ganha","Fechada",IF(F219="Perdida","Perdida",IF(AND(I219&lt;&gt;"",I219&lt;Config!$B$5),"Fechamento vencido",IF(N219&gt;Config!$B$7,"Parada","Ativa")))))</f>
        <v/>
      </c>
      <c r="P219" s="35">
        <f>IF(OR(F219="",O219="Fechada",O219="Perdida"),0,IF(O219="Fechamento vencido",3000,IF(O219="Parada",2000,1000))+MIN(N219,500)+E219/1000000-ROW()/100000)</f>
        <v>0</v>
      </c>
    </row>
    <row r="220">
      <c r="A220" s="29" t="n"/>
      <c r="B220" s="29" t="n"/>
      <c r="C220" s="33" t="n"/>
      <c r="D220" s="33" t="n"/>
      <c r="E220" s="31" t="n"/>
      <c r="F220" s="33" t="n"/>
      <c r="G220" s="34" t="n"/>
      <c r="H220" s="34" t="n"/>
      <c r="I220" s="34" t="n"/>
      <c r="J220" s="34" t="n"/>
      <c r="K220" s="29" t="n"/>
      <c r="L220" s="24">
        <f>IF(F220="","",IFERROR(INDEX(Config!$B$11:$B$16,MATCH(F220,Config!$A$11:$A$16,0)),0))</f>
        <v/>
      </c>
      <c r="M220" s="23">
        <f>IF(OR(F220="",E220=""),"",E220*L220)</f>
        <v/>
      </c>
      <c r="N220" s="26">
        <f>IF(OR(F220="",F220="Ganha",F220="Perdida"),"",Config!$B$5-IF(H220="",G220,H220))</f>
        <v/>
      </c>
      <c r="O220" s="22">
        <f>IF(F220="","",IF(F220="Ganha","Fechada",IF(F220="Perdida","Perdida",IF(AND(I220&lt;&gt;"",I220&lt;Config!$B$5),"Fechamento vencido",IF(N220&gt;Config!$B$7,"Parada","Ativa")))))</f>
        <v/>
      </c>
      <c r="P220" s="35">
        <f>IF(OR(F220="",O220="Fechada",O220="Perdida"),0,IF(O220="Fechamento vencido",3000,IF(O220="Parada",2000,1000))+MIN(N220,500)+E220/1000000-ROW()/100000)</f>
        <v>0</v>
      </c>
    </row>
    <row r="221">
      <c r="A221" s="29" t="n"/>
      <c r="B221" s="29" t="n"/>
      <c r="C221" s="33" t="n"/>
      <c r="D221" s="33" t="n"/>
      <c r="E221" s="31" t="n"/>
      <c r="F221" s="33" t="n"/>
      <c r="G221" s="34" t="n"/>
      <c r="H221" s="34" t="n"/>
      <c r="I221" s="34" t="n"/>
      <c r="J221" s="34" t="n"/>
      <c r="K221" s="29" t="n"/>
      <c r="L221" s="24">
        <f>IF(F221="","",IFERROR(INDEX(Config!$B$11:$B$16,MATCH(F221,Config!$A$11:$A$16,0)),0))</f>
        <v/>
      </c>
      <c r="M221" s="23">
        <f>IF(OR(F221="",E221=""),"",E221*L221)</f>
        <v/>
      </c>
      <c r="N221" s="26">
        <f>IF(OR(F221="",F221="Ganha",F221="Perdida"),"",Config!$B$5-IF(H221="",G221,H221))</f>
        <v/>
      </c>
      <c r="O221" s="22">
        <f>IF(F221="","",IF(F221="Ganha","Fechada",IF(F221="Perdida","Perdida",IF(AND(I221&lt;&gt;"",I221&lt;Config!$B$5),"Fechamento vencido",IF(N221&gt;Config!$B$7,"Parada","Ativa")))))</f>
        <v/>
      </c>
      <c r="P221" s="35">
        <f>IF(OR(F221="",O221="Fechada",O221="Perdida"),0,IF(O221="Fechamento vencido",3000,IF(O221="Parada",2000,1000))+MIN(N221,500)+E221/1000000-ROW()/100000)</f>
        <v>0</v>
      </c>
    </row>
    <row r="222">
      <c r="A222" s="29" t="n"/>
      <c r="B222" s="29" t="n"/>
      <c r="C222" s="33" t="n"/>
      <c r="D222" s="33" t="n"/>
      <c r="E222" s="31" t="n"/>
      <c r="F222" s="33" t="n"/>
      <c r="G222" s="34" t="n"/>
      <c r="H222" s="34" t="n"/>
      <c r="I222" s="34" t="n"/>
      <c r="J222" s="34" t="n"/>
      <c r="K222" s="29" t="n"/>
      <c r="L222" s="24">
        <f>IF(F222="","",IFERROR(INDEX(Config!$B$11:$B$16,MATCH(F222,Config!$A$11:$A$16,0)),0))</f>
        <v/>
      </c>
      <c r="M222" s="23">
        <f>IF(OR(F222="",E222=""),"",E222*L222)</f>
        <v/>
      </c>
      <c r="N222" s="26">
        <f>IF(OR(F222="",F222="Ganha",F222="Perdida"),"",Config!$B$5-IF(H222="",G222,H222))</f>
        <v/>
      </c>
      <c r="O222" s="22">
        <f>IF(F222="","",IF(F222="Ganha","Fechada",IF(F222="Perdida","Perdida",IF(AND(I222&lt;&gt;"",I222&lt;Config!$B$5),"Fechamento vencido",IF(N222&gt;Config!$B$7,"Parada","Ativa")))))</f>
        <v/>
      </c>
      <c r="P222" s="35">
        <f>IF(OR(F222="",O222="Fechada",O222="Perdida"),0,IF(O222="Fechamento vencido",3000,IF(O222="Parada",2000,1000))+MIN(N222,500)+E222/1000000-ROW()/100000)</f>
        <v>0</v>
      </c>
    </row>
    <row r="223">
      <c r="A223" s="29" t="n"/>
      <c r="B223" s="29" t="n"/>
      <c r="C223" s="33" t="n"/>
      <c r="D223" s="33" t="n"/>
      <c r="E223" s="31" t="n"/>
      <c r="F223" s="33" t="n"/>
      <c r="G223" s="34" t="n"/>
      <c r="H223" s="34" t="n"/>
      <c r="I223" s="34" t="n"/>
      <c r="J223" s="34" t="n"/>
      <c r="K223" s="29" t="n"/>
      <c r="L223" s="24">
        <f>IF(F223="","",IFERROR(INDEX(Config!$B$11:$B$16,MATCH(F223,Config!$A$11:$A$16,0)),0))</f>
        <v/>
      </c>
      <c r="M223" s="23">
        <f>IF(OR(F223="",E223=""),"",E223*L223)</f>
        <v/>
      </c>
      <c r="N223" s="26">
        <f>IF(OR(F223="",F223="Ganha",F223="Perdida"),"",Config!$B$5-IF(H223="",G223,H223))</f>
        <v/>
      </c>
      <c r="O223" s="22">
        <f>IF(F223="","",IF(F223="Ganha","Fechada",IF(F223="Perdida","Perdida",IF(AND(I223&lt;&gt;"",I223&lt;Config!$B$5),"Fechamento vencido",IF(N223&gt;Config!$B$7,"Parada","Ativa")))))</f>
        <v/>
      </c>
      <c r="P223" s="35">
        <f>IF(OR(F223="",O223="Fechada",O223="Perdida"),0,IF(O223="Fechamento vencido",3000,IF(O223="Parada",2000,1000))+MIN(N223,500)+E223/1000000-ROW()/100000)</f>
        <v>0</v>
      </c>
    </row>
    <row r="224">
      <c r="A224" s="29" t="n"/>
      <c r="B224" s="29" t="n"/>
      <c r="C224" s="33" t="n"/>
      <c r="D224" s="33" t="n"/>
      <c r="E224" s="31" t="n"/>
      <c r="F224" s="33" t="n"/>
      <c r="G224" s="34" t="n"/>
      <c r="H224" s="34" t="n"/>
      <c r="I224" s="34" t="n"/>
      <c r="J224" s="34" t="n"/>
      <c r="K224" s="29" t="n"/>
      <c r="L224" s="24">
        <f>IF(F224="","",IFERROR(INDEX(Config!$B$11:$B$16,MATCH(F224,Config!$A$11:$A$16,0)),0))</f>
        <v/>
      </c>
      <c r="M224" s="23">
        <f>IF(OR(F224="",E224=""),"",E224*L224)</f>
        <v/>
      </c>
      <c r="N224" s="26">
        <f>IF(OR(F224="",F224="Ganha",F224="Perdida"),"",Config!$B$5-IF(H224="",G224,H224))</f>
        <v/>
      </c>
      <c r="O224" s="22">
        <f>IF(F224="","",IF(F224="Ganha","Fechada",IF(F224="Perdida","Perdida",IF(AND(I224&lt;&gt;"",I224&lt;Config!$B$5),"Fechamento vencido",IF(N224&gt;Config!$B$7,"Parada","Ativa")))))</f>
        <v/>
      </c>
      <c r="P224" s="35">
        <f>IF(OR(F224="",O224="Fechada",O224="Perdida"),0,IF(O224="Fechamento vencido",3000,IF(O224="Parada",2000,1000))+MIN(N224,500)+E224/1000000-ROW()/100000)</f>
        <v>0</v>
      </c>
    </row>
    <row r="225">
      <c r="A225" s="29" t="n"/>
      <c r="B225" s="29" t="n"/>
      <c r="C225" s="33" t="n"/>
      <c r="D225" s="33" t="n"/>
      <c r="E225" s="31" t="n"/>
      <c r="F225" s="33" t="n"/>
      <c r="G225" s="34" t="n"/>
      <c r="H225" s="34" t="n"/>
      <c r="I225" s="34" t="n"/>
      <c r="J225" s="34" t="n"/>
      <c r="K225" s="29" t="n"/>
      <c r="L225" s="24">
        <f>IF(F225="","",IFERROR(INDEX(Config!$B$11:$B$16,MATCH(F225,Config!$A$11:$A$16,0)),0))</f>
        <v/>
      </c>
      <c r="M225" s="23">
        <f>IF(OR(F225="",E225=""),"",E225*L225)</f>
        <v/>
      </c>
      <c r="N225" s="26">
        <f>IF(OR(F225="",F225="Ganha",F225="Perdida"),"",Config!$B$5-IF(H225="",G225,H225))</f>
        <v/>
      </c>
      <c r="O225" s="22">
        <f>IF(F225="","",IF(F225="Ganha","Fechada",IF(F225="Perdida","Perdida",IF(AND(I225&lt;&gt;"",I225&lt;Config!$B$5),"Fechamento vencido",IF(N225&gt;Config!$B$7,"Parada","Ativa")))))</f>
        <v/>
      </c>
      <c r="P225" s="35">
        <f>IF(OR(F225="",O225="Fechada",O225="Perdida"),0,IF(O225="Fechamento vencido",3000,IF(O225="Parada",2000,1000))+MIN(N225,500)+E225/1000000-ROW()/100000)</f>
        <v>0</v>
      </c>
    </row>
    <row r="226">
      <c r="A226" s="29" t="n"/>
      <c r="B226" s="29" t="n"/>
      <c r="C226" s="33" t="n"/>
      <c r="D226" s="33" t="n"/>
      <c r="E226" s="31" t="n"/>
      <c r="F226" s="33" t="n"/>
      <c r="G226" s="34" t="n"/>
      <c r="H226" s="34" t="n"/>
      <c r="I226" s="34" t="n"/>
      <c r="J226" s="34" t="n"/>
      <c r="K226" s="29" t="n"/>
      <c r="L226" s="24">
        <f>IF(F226="","",IFERROR(INDEX(Config!$B$11:$B$16,MATCH(F226,Config!$A$11:$A$16,0)),0))</f>
        <v/>
      </c>
      <c r="M226" s="23">
        <f>IF(OR(F226="",E226=""),"",E226*L226)</f>
        <v/>
      </c>
      <c r="N226" s="26">
        <f>IF(OR(F226="",F226="Ganha",F226="Perdida"),"",Config!$B$5-IF(H226="",G226,H226))</f>
        <v/>
      </c>
      <c r="O226" s="22">
        <f>IF(F226="","",IF(F226="Ganha","Fechada",IF(F226="Perdida","Perdida",IF(AND(I226&lt;&gt;"",I226&lt;Config!$B$5),"Fechamento vencido",IF(N226&gt;Config!$B$7,"Parada","Ativa")))))</f>
        <v/>
      </c>
      <c r="P226" s="35">
        <f>IF(OR(F226="",O226="Fechada",O226="Perdida"),0,IF(O226="Fechamento vencido",3000,IF(O226="Parada",2000,1000))+MIN(N226,500)+E226/1000000-ROW()/100000)</f>
        <v>0</v>
      </c>
    </row>
    <row r="227">
      <c r="A227" s="29" t="n"/>
      <c r="B227" s="29" t="n"/>
      <c r="C227" s="33" t="n"/>
      <c r="D227" s="33" t="n"/>
      <c r="E227" s="31" t="n"/>
      <c r="F227" s="33" t="n"/>
      <c r="G227" s="34" t="n"/>
      <c r="H227" s="34" t="n"/>
      <c r="I227" s="34" t="n"/>
      <c r="J227" s="34" t="n"/>
      <c r="K227" s="29" t="n"/>
      <c r="L227" s="24">
        <f>IF(F227="","",IFERROR(INDEX(Config!$B$11:$B$16,MATCH(F227,Config!$A$11:$A$16,0)),0))</f>
        <v/>
      </c>
      <c r="M227" s="23">
        <f>IF(OR(F227="",E227=""),"",E227*L227)</f>
        <v/>
      </c>
      <c r="N227" s="26">
        <f>IF(OR(F227="",F227="Ganha",F227="Perdida"),"",Config!$B$5-IF(H227="",G227,H227))</f>
        <v/>
      </c>
      <c r="O227" s="22">
        <f>IF(F227="","",IF(F227="Ganha","Fechada",IF(F227="Perdida","Perdida",IF(AND(I227&lt;&gt;"",I227&lt;Config!$B$5),"Fechamento vencido",IF(N227&gt;Config!$B$7,"Parada","Ativa")))))</f>
        <v/>
      </c>
      <c r="P227" s="35">
        <f>IF(OR(F227="",O227="Fechada",O227="Perdida"),0,IF(O227="Fechamento vencido",3000,IF(O227="Parada",2000,1000))+MIN(N227,500)+E227/1000000-ROW()/100000)</f>
        <v>0</v>
      </c>
    </row>
    <row r="228">
      <c r="A228" s="29" t="n"/>
      <c r="B228" s="29" t="n"/>
      <c r="C228" s="33" t="n"/>
      <c r="D228" s="33" t="n"/>
      <c r="E228" s="31" t="n"/>
      <c r="F228" s="33" t="n"/>
      <c r="G228" s="34" t="n"/>
      <c r="H228" s="34" t="n"/>
      <c r="I228" s="34" t="n"/>
      <c r="J228" s="34" t="n"/>
      <c r="K228" s="29" t="n"/>
      <c r="L228" s="24">
        <f>IF(F228="","",IFERROR(INDEX(Config!$B$11:$B$16,MATCH(F228,Config!$A$11:$A$16,0)),0))</f>
        <v/>
      </c>
      <c r="M228" s="23">
        <f>IF(OR(F228="",E228=""),"",E228*L228)</f>
        <v/>
      </c>
      <c r="N228" s="26">
        <f>IF(OR(F228="",F228="Ganha",F228="Perdida"),"",Config!$B$5-IF(H228="",G228,H228))</f>
        <v/>
      </c>
      <c r="O228" s="22">
        <f>IF(F228="","",IF(F228="Ganha","Fechada",IF(F228="Perdida","Perdida",IF(AND(I228&lt;&gt;"",I228&lt;Config!$B$5),"Fechamento vencido",IF(N228&gt;Config!$B$7,"Parada","Ativa")))))</f>
        <v/>
      </c>
      <c r="P228" s="35">
        <f>IF(OR(F228="",O228="Fechada",O228="Perdida"),0,IF(O228="Fechamento vencido",3000,IF(O228="Parada",2000,1000))+MIN(N228,500)+E228/1000000-ROW()/100000)</f>
        <v>0</v>
      </c>
    </row>
    <row r="229">
      <c r="A229" s="29" t="n"/>
      <c r="B229" s="29" t="n"/>
      <c r="C229" s="33" t="n"/>
      <c r="D229" s="33" t="n"/>
      <c r="E229" s="31" t="n"/>
      <c r="F229" s="33" t="n"/>
      <c r="G229" s="34" t="n"/>
      <c r="H229" s="34" t="n"/>
      <c r="I229" s="34" t="n"/>
      <c r="J229" s="34" t="n"/>
      <c r="K229" s="29" t="n"/>
      <c r="L229" s="24">
        <f>IF(F229="","",IFERROR(INDEX(Config!$B$11:$B$16,MATCH(F229,Config!$A$11:$A$16,0)),0))</f>
        <v/>
      </c>
      <c r="M229" s="23">
        <f>IF(OR(F229="",E229=""),"",E229*L229)</f>
        <v/>
      </c>
      <c r="N229" s="26">
        <f>IF(OR(F229="",F229="Ganha",F229="Perdida"),"",Config!$B$5-IF(H229="",G229,H229))</f>
        <v/>
      </c>
      <c r="O229" s="22">
        <f>IF(F229="","",IF(F229="Ganha","Fechada",IF(F229="Perdida","Perdida",IF(AND(I229&lt;&gt;"",I229&lt;Config!$B$5),"Fechamento vencido",IF(N229&gt;Config!$B$7,"Parada","Ativa")))))</f>
        <v/>
      </c>
      <c r="P229" s="35">
        <f>IF(OR(F229="",O229="Fechada",O229="Perdida"),0,IF(O229="Fechamento vencido",3000,IF(O229="Parada",2000,1000))+MIN(N229,500)+E229/1000000-ROW()/100000)</f>
        <v>0</v>
      </c>
    </row>
    <row r="230">
      <c r="A230" s="29" t="n"/>
      <c r="B230" s="29" t="n"/>
      <c r="C230" s="33" t="n"/>
      <c r="D230" s="33" t="n"/>
      <c r="E230" s="31" t="n"/>
      <c r="F230" s="33" t="n"/>
      <c r="G230" s="34" t="n"/>
      <c r="H230" s="34" t="n"/>
      <c r="I230" s="34" t="n"/>
      <c r="J230" s="34" t="n"/>
      <c r="K230" s="29" t="n"/>
      <c r="L230" s="24">
        <f>IF(F230="","",IFERROR(INDEX(Config!$B$11:$B$16,MATCH(F230,Config!$A$11:$A$16,0)),0))</f>
        <v/>
      </c>
      <c r="M230" s="23">
        <f>IF(OR(F230="",E230=""),"",E230*L230)</f>
        <v/>
      </c>
      <c r="N230" s="26">
        <f>IF(OR(F230="",F230="Ganha",F230="Perdida"),"",Config!$B$5-IF(H230="",G230,H230))</f>
        <v/>
      </c>
      <c r="O230" s="22">
        <f>IF(F230="","",IF(F230="Ganha","Fechada",IF(F230="Perdida","Perdida",IF(AND(I230&lt;&gt;"",I230&lt;Config!$B$5),"Fechamento vencido",IF(N230&gt;Config!$B$7,"Parada","Ativa")))))</f>
        <v/>
      </c>
      <c r="P230" s="35">
        <f>IF(OR(F230="",O230="Fechada",O230="Perdida"),0,IF(O230="Fechamento vencido",3000,IF(O230="Parada",2000,1000))+MIN(N230,500)+E230/1000000-ROW()/100000)</f>
        <v>0</v>
      </c>
    </row>
    <row r="231">
      <c r="A231" s="29" t="n"/>
      <c r="B231" s="29" t="n"/>
      <c r="C231" s="33" t="n"/>
      <c r="D231" s="33" t="n"/>
      <c r="E231" s="31" t="n"/>
      <c r="F231" s="33" t="n"/>
      <c r="G231" s="34" t="n"/>
      <c r="H231" s="34" t="n"/>
      <c r="I231" s="34" t="n"/>
      <c r="J231" s="34" t="n"/>
      <c r="K231" s="29" t="n"/>
      <c r="L231" s="24">
        <f>IF(F231="","",IFERROR(INDEX(Config!$B$11:$B$16,MATCH(F231,Config!$A$11:$A$16,0)),0))</f>
        <v/>
      </c>
      <c r="M231" s="23">
        <f>IF(OR(F231="",E231=""),"",E231*L231)</f>
        <v/>
      </c>
      <c r="N231" s="26">
        <f>IF(OR(F231="",F231="Ganha",F231="Perdida"),"",Config!$B$5-IF(H231="",G231,H231))</f>
        <v/>
      </c>
      <c r="O231" s="22">
        <f>IF(F231="","",IF(F231="Ganha","Fechada",IF(F231="Perdida","Perdida",IF(AND(I231&lt;&gt;"",I231&lt;Config!$B$5),"Fechamento vencido",IF(N231&gt;Config!$B$7,"Parada","Ativa")))))</f>
        <v/>
      </c>
      <c r="P231" s="35">
        <f>IF(OR(F231="",O231="Fechada",O231="Perdida"),0,IF(O231="Fechamento vencido",3000,IF(O231="Parada",2000,1000))+MIN(N231,500)+E231/1000000-ROW()/100000)</f>
        <v>0</v>
      </c>
    </row>
    <row r="232">
      <c r="A232" s="29" t="n"/>
      <c r="B232" s="29" t="n"/>
      <c r="C232" s="33" t="n"/>
      <c r="D232" s="33" t="n"/>
      <c r="E232" s="31" t="n"/>
      <c r="F232" s="33" t="n"/>
      <c r="G232" s="34" t="n"/>
      <c r="H232" s="34" t="n"/>
      <c r="I232" s="34" t="n"/>
      <c r="J232" s="34" t="n"/>
      <c r="K232" s="29" t="n"/>
      <c r="L232" s="24">
        <f>IF(F232="","",IFERROR(INDEX(Config!$B$11:$B$16,MATCH(F232,Config!$A$11:$A$16,0)),0))</f>
        <v/>
      </c>
      <c r="M232" s="23">
        <f>IF(OR(F232="",E232=""),"",E232*L232)</f>
        <v/>
      </c>
      <c r="N232" s="26">
        <f>IF(OR(F232="",F232="Ganha",F232="Perdida"),"",Config!$B$5-IF(H232="",G232,H232))</f>
        <v/>
      </c>
      <c r="O232" s="22">
        <f>IF(F232="","",IF(F232="Ganha","Fechada",IF(F232="Perdida","Perdida",IF(AND(I232&lt;&gt;"",I232&lt;Config!$B$5),"Fechamento vencido",IF(N232&gt;Config!$B$7,"Parada","Ativa")))))</f>
        <v/>
      </c>
      <c r="P232" s="35">
        <f>IF(OR(F232="",O232="Fechada",O232="Perdida"),0,IF(O232="Fechamento vencido",3000,IF(O232="Parada",2000,1000))+MIN(N232,500)+E232/1000000-ROW()/100000)</f>
        <v>0</v>
      </c>
    </row>
    <row r="233">
      <c r="A233" s="29" t="n"/>
      <c r="B233" s="29" t="n"/>
      <c r="C233" s="33" t="n"/>
      <c r="D233" s="33" t="n"/>
      <c r="E233" s="31" t="n"/>
      <c r="F233" s="33" t="n"/>
      <c r="G233" s="34" t="n"/>
      <c r="H233" s="34" t="n"/>
      <c r="I233" s="34" t="n"/>
      <c r="J233" s="34" t="n"/>
      <c r="K233" s="29" t="n"/>
      <c r="L233" s="24">
        <f>IF(F233="","",IFERROR(INDEX(Config!$B$11:$B$16,MATCH(F233,Config!$A$11:$A$16,0)),0))</f>
        <v/>
      </c>
      <c r="M233" s="23">
        <f>IF(OR(F233="",E233=""),"",E233*L233)</f>
        <v/>
      </c>
      <c r="N233" s="26">
        <f>IF(OR(F233="",F233="Ganha",F233="Perdida"),"",Config!$B$5-IF(H233="",G233,H233))</f>
        <v/>
      </c>
      <c r="O233" s="22">
        <f>IF(F233="","",IF(F233="Ganha","Fechada",IF(F233="Perdida","Perdida",IF(AND(I233&lt;&gt;"",I233&lt;Config!$B$5),"Fechamento vencido",IF(N233&gt;Config!$B$7,"Parada","Ativa")))))</f>
        <v/>
      </c>
      <c r="P233" s="35">
        <f>IF(OR(F233="",O233="Fechada",O233="Perdida"),0,IF(O233="Fechamento vencido",3000,IF(O233="Parada",2000,1000))+MIN(N233,500)+E233/1000000-ROW()/100000)</f>
        <v>0</v>
      </c>
    </row>
    <row r="234">
      <c r="A234" s="29" t="n"/>
      <c r="B234" s="29" t="n"/>
      <c r="C234" s="33" t="n"/>
      <c r="D234" s="33" t="n"/>
      <c r="E234" s="31" t="n"/>
      <c r="F234" s="33" t="n"/>
      <c r="G234" s="34" t="n"/>
      <c r="H234" s="34" t="n"/>
      <c r="I234" s="34" t="n"/>
      <c r="J234" s="34" t="n"/>
      <c r="K234" s="29" t="n"/>
      <c r="L234" s="24">
        <f>IF(F234="","",IFERROR(INDEX(Config!$B$11:$B$16,MATCH(F234,Config!$A$11:$A$16,0)),0))</f>
        <v/>
      </c>
      <c r="M234" s="23">
        <f>IF(OR(F234="",E234=""),"",E234*L234)</f>
        <v/>
      </c>
      <c r="N234" s="26">
        <f>IF(OR(F234="",F234="Ganha",F234="Perdida"),"",Config!$B$5-IF(H234="",G234,H234))</f>
        <v/>
      </c>
      <c r="O234" s="22">
        <f>IF(F234="","",IF(F234="Ganha","Fechada",IF(F234="Perdida","Perdida",IF(AND(I234&lt;&gt;"",I234&lt;Config!$B$5),"Fechamento vencido",IF(N234&gt;Config!$B$7,"Parada","Ativa")))))</f>
        <v/>
      </c>
      <c r="P234" s="35">
        <f>IF(OR(F234="",O234="Fechada",O234="Perdida"),0,IF(O234="Fechamento vencido",3000,IF(O234="Parada",2000,1000))+MIN(N234,500)+E234/1000000-ROW()/100000)</f>
        <v>0</v>
      </c>
    </row>
    <row r="235">
      <c r="A235" s="29" t="n"/>
      <c r="B235" s="29" t="n"/>
      <c r="C235" s="33" t="n"/>
      <c r="D235" s="33" t="n"/>
      <c r="E235" s="31" t="n"/>
      <c r="F235" s="33" t="n"/>
      <c r="G235" s="34" t="n"/>
      <c r="H235" s="34" t="n"/>
      <c r="I235" s="34" t="n"/>
      <c r="J235" s="34" t="n"/>
      <c r="K235" s="29" t="n"/>
      <c r="L235" s="24">
        <f>IF(F235="","",IFERROR(INDEX(Config!$B$11:$B$16,MATCH(F235,Config!$A$11:$A$16,0)),0))</f>
        <v/>
      </c>
      <c r="M235" s="23">
        <f>IF(OR(F235="",E235=""),"",E235*L235)</f>
        <v/>
      </c>
      <c r="N235" s="26">
        <f>IF(OR(F235="",F235="Ganha",F235="Perdida"),"",Config!$B$5-IF(H235="",G235,H235))</f>
        <v/>
      </c>
      <c r="O235" s="22">
        <f>IF(F235="","",IF(F235="Ganha","Fechada",IF(F235="Perdida","Perdida",IF(AND(I235&lt;&gt;"",I235&lt;Config!$B$5),"Fechamento vencido",IF(N235&gt;Config!$B$7,"Parada","Ativa")))))</f>
        <v/>
      </c>
      <c r="P235" s="35">
        <f>IF(OR(F235="",O235="Fechada",O235="Perdida"),0,IF(O235="Fechamento vencido",3000,IF(O235="Parada",2000,1000))+MIN(N235,500)+E235/1000000-ROW()/100000)</f>
        <v>0</v>
      </c>
    </row>
    <row r="236">
      <c r="A236" s="29" t="n"/>
      <c r="B236" s="29" t="n"/>
      <c r="C236" s="33" t="n"/>
      <c r="D236" s="33" t="n"/>
      <c r="E236" s="31" t="n"/>
      <c r="F236" s="33" t="n"/>
      <c r="G236" s="34" t="n"/>
      <c r="H236" s="34" t="n"/>
      <c r="I236" s="34" t="n"/>
      <c r="J236" s="34" t="n"/>
      <c r="K236" s="29" t="n"/>
      <c r="L236" s="24">
        <f>IF(F236="","",IFERROR(INDEX(Config!$B$11:$B$16,MATCH(F236,Config!$A$11:$A$16,0)),0))</f>
        <v/>
      </c>
      <c r="M236" s="23">
        <f>IF(OR(F236="",E236=""),"",E236*L236)</f>
        <v/>
      </c>
      <c r="N236" s="26">
        <f>IF(OR(F236="",F236="Ganha",F236="Perdida"),"",Config!$B$5-IF(H236="",G236,H236))</f>
        <v/>
      </c>
      <c r="O236" s="22">
        <f>IF(F236="","",IF(F236="Ganha","Fechada",IF(F236="Perdida","Perdida",IF(AND(I236&lt;&gt;"",I236&lt;Config!$B$5),"Fechamento vencido",IF(N236&gt;Config!$B$7,"Parada","Ativa")))))</f>
        <v/>
      </c>
      <c r="P236" s="35">
        <f>IF(OR(F236="",O236="Fechada",O236="Perdida"),0,IF(O236="Fechamento vencido",3000,IF(O236="Parada",2000,1000))+MIN(N236,500)+E236/1000000-ROW()/100000)</f>
        <v>0</v>
      </c>
    </row>
    <row r="237">
      <c r="A237" s="29" t="n"/>
      <c r="B237" s="29" t="n"/>
      <c r="C237" s="33" t="n"/>
      <c r="D237" s="33" t="n"/>
      <c r="E237" s="31" t="n"/>
      <c r="F237" s="33" t="n"/>
      <c r="G237" s="34" t="n"/>
      <c r="H237" s="34" t="n"/>
      <c r="I237" s="34" t="n"/>
      <c r="J237" s="34" t="n"/>
      <c r="K237" s="29" t="n"/>
      <c r="L237" s="24">
        <f>IF(F237="","",IFERROR(INDEX(Config!$B$11:$B$16,MATCH(F237,Config!$A$11:$A$16,0)),0))</f>
        <v/>
      </c>
      <c r="M237" s="23">
        <f>IF(OR(F237="",E237=""),"",E237*L237)</f>
        <v/>
      </c>
      <c r="N237" s="26">
        <f>IF(OR(F237="",F237="Ganha",F237="Perdida"),"",Config!$B$5-IF(H237="",G237,H237))</f>
        <v/>
      </c>
      <c r="O237" s="22">
        <f>IF(F237="","",IF(F237="Ganha","Fechada",IF(F237="Perdida","Perdida",IF(AND(I237&lt;&gt;"",I237&lt;Config!$B$5),"Fechamento vencido",IF(N237&gt;Config!$B$7,"Parada","Ativa")))))</f>
        <v/>
      </c>
      <c r="P237" s="35">
        <f>IF(OR(F237="",O237="Fechada",O237="Perdida"),0,IF(O237="Fechamento vencido",3000,IF(O237="Parada",2000,1000))+MIN(N237,500)+E237/1000000-ROW()/100000)</f>
        <v>0</v>
      </c>
    </row>
    <row r="238">
      <c r="A238" s="29" t="n"/>
      <c r="B238" s="29" t="n"/>
      <c r="C238" s="33" t="n"/>
      <c r="D238" s="33" t="n"/>
      <c r="E238" s="31" t="n"/>
      <c r="F238" s="33" t="n"/>
      <c r="G238" s="34" t="n"/>
      <c r="H238" s="34" t="n"/>
      <c r="I238" s="34" t="n"/>
      <c r="J238" s="34" t="n"/>
      <c r="K238" s="29" t="n"/>
      <c r="L238" s="24">
        <f>IF(F238="","",IFERROR(INDEX(Config!$B$11:$B$16,MATCH(F238,Config!$A$11:$A$16,0)),0))</f>
        <v/>
      </c>
      <c r="M238" s="23">
        <f>IF(OR(F238="",E238=""),"",E238*L238)</f>
        <v/>
      </c>
      <c r="N238" s="26">
        <f>IF(OR(F238="",F238="Ganha",F238="Perdida"),"",Config!$B$5-IF(H238="",G238,H238))</f>
        <v/>
      </c>
      <c r="O238" s="22">
        <f>IF(F238="","",IF(F238="Ganha","Fechada",IF(F238="Perdida","Perdida",IF(AND(I238&lt;&gt;"",I238&lt;Config!$B$5),"Fechamento vencido",IF(N238&gt;Config!$B$7,"Parada","Ativa")))))</f>
        <v/>
      </c>
      <c r="P238" s="35">
        <f>IF(OR(F238="",O238="Fechada",O238="Perdida"),0,IF(O238="Fechamento vencido",3000,IF(O238="Parada",2000,1000))+MIN(N238,500)+E238/1000000-ROW()/100000)</f>
        <v>0</v>
      </c>
    </row>
    <row r="239">
      <c r="A239" s="29" t="n"/>
      <c r="B239" s="29" t="n"/>
      <c r="C239" s="33" t="n"/>
      <c r="D239" s="33" t="n"/>
      <c r="E239" s="31" t="n"/>
      <c r="F239" s="33" t="n"/>
      <c r="G239" s="34" t="n"/>
      <c r="H239" s="34" t="n"/>
      <c r="I239" s="34" t="n"/>
      <c r="J239" s="34" t="n"/>
      <c r="K239" s="29" t="n"/>
      <c r="L239" s="24">
        <f>IF(F239="","",IFERROR(INDEX(Config!$B$11:$B$16,MATCH(F239,Config!$A$11:$A$16,0)),0))</f>
        <v/>
      </c>
      <c r="M239" s="23">
        <f>IF(OR(F239="",E239=""),"",E239*L239)</f>
        <v/>
      </c>
      <c r="N239" s="26">
        <f>IF(OR(F239="",F239="Ganha",F239="Perdida"),"",Config!$B$5-IF(H239="",G239,H239))</f>
        <v/>
      </c>
      <c r="O239" s="22">
        <f>IF(F239="","",IF(F239="Ganha","Fechada",IF(F239="Perdida","Perdida",IF(AND(I239&lt;&gt;"",I239&lt;Config!$B$5),"Fechamento vencido",IF(N239&gt;Config!$B$7,"Parada","Ativa")))))</f>
        <v/>
      </c>
      <c r="P239" s="35">
        <f>IF(OR(F239="",O239="Fechada",O239="Perdida"),0,IF(O239="Fechamento vencido",3000,IF(O239="Parada",2000,1000))+MIN(N239,500)+E239/1000000-ROW()/100000)</f>
        <v>0</v>
      </c>
    </row>
    <row r="240">
      <c r="A240" s="29" t="n"/>
      <c r="B240" s="29" t="n"/>
      <c r="C240" s="33" t="n"/>
      <c r="D240" s="33" t="n"/>
      <c r="E240" s="31" t="n"/>
      <c r="F240" s="33" t="n"/>
      <c r="G240" s="34" t="n"/>
      <c r="H240" s="34" t="n"/>
      <c r="I240" s="34" t="n"/>
      <c r="J240" s="34" t="n"/>
      <c r="K240" s="29" t="n"/>
      <c r="L240" s="24">
        <f>IF(F240="","",IFERROR(INDEX(Config!$B$11:$B$16,MATCH(F240,Config!$A$11:$A$16,0)),0))</f>
        <v/>
      </c>
      <c r="M240" s="23">
        <f>IF(OR(F240="",E240=""),"",E240*L240)</f>
        <v/>
      </c>
      <c r="N240" s="26">
        <f>IF(OR(F240="",F240="Ganha",F240="Perdida"),"",Config!$B$5-IF(H240="",G240,H240))</f>
        <v/>
      </c>
      <c r="O240" s="22">
        <f>IF(F240="","",IF(F240="Ganha","Fechada",IF(F240="Perdida","Perdida",IF(AND(I240&lt;&gt;"",I240&lt;Config!$B$5),"Fechamento vencido",IF(N240&gt;Config!$B$7,"Parada","Ativa")))))</f>
        <v/>
      </c>
      <c r="P240" s="35">
        <f>IF(OR(F240="",O240="Fechada",O240="Perdida"),0,IF(O240="Fechamento vencido",3000,IF(O240="Parada",2000,1000))+MIN(N240,500)+E240/1000000-ROW()/100000)</f>
        <v>0</v>
      </c>
    </row>
    <row r="241">
      <c r="A241" s="29" t="n"/>
      <c r="B241" s="29" t="n"/>
      <c r="C241" s="33" t="n"/>
      <c r="D241" s="33" t="n"/>
      <c r="E241" s="31" t="n"/>
      <c r="F241" s="33" t="n"/>
      <c r="G241" s="34" t="n"/>
      <c r="H241" s="34" t="n"/>
      <c r="I241" s="34" t="n"/>
      <c r="J241" s="34" t="n"/>
      <c r="K241" s="29" t="n"/>
      <c r="L241" s="24">
        <f>IF(F241="","",IFERROR(INDEX(Config!$B$11:$B$16,MATCH(F241,Config!$A$11:$A$16,0)),0))</f>
        <v/>
      </c>
      <c r="M241" s="23">
        <f>IF(OR(F241="",E241=""),"",E241*L241)</f>
        <v/>
      </c>
      <c r="N241" s="26">
        <f>IF(OR(F241="",F241="Ganha",F241="Perdida"),"",Config!$B$5-IF(H241="",G241,H241))</f>
        <v/>
      </c>
      <c r="O241" s="22">
        <f>IF(F241="","",IF(F241="Ganha","Fechada",IF(F241="Perdida","Perdida",IF(AND(I241&lt;&gt;"",I241&lt;Config!$B$5),"Fechamento vencido",IF(N241&gt;Config!$B$7,"Parada","Ativa")))))</f>
        <v/>
      </c>
      <c r="P241" s="35">
        <f>IF(OR(F241="",O241="Fechada",O241="Perdida"),0,IF(O241="Fechamento vencido",3000,IF(O241="Parada",2000,1000))+MIN(N241,500)+E241/1000000-ROW()/100000)</f>
        <v>0</v>
      </c>
    </row>
    <row r="242">
      <c r="A242" s="29" t="n"/>
      <c r="B242" s="29" t="n"/>
      <c r="C242" s="33" t="n"/>
      <c r="D242" s="33" t="n"/>
      <c r="E242" s="31" t="n"/>
      <c r="F242" s="33" t="n"/>
      <c r="G242" s="34" t="n"/>
      <c r="H242" s="34" t="n"/>
      <c r="I242" s="34" t="n"/>
      <c r="J242" s="34" t="n"/>
      <c r="K242" s="29" t="n"/>
      <c r="L242" s="24">
        <f>IF(F242="","",IFERROR(INDEX(Config!$B$11:$B$16,MATCH(F242,Config!$A$11:$A$16,0)),0))</f>
        <v/>
      </c>
      <c r="M242" s="23">
        <f>IF(OR(F242="",E242=""),"",E242*L242)</f>
        <v/>
      </c>
      <c r="N242" s="26">
        <f>IF(OR(F242="",F242="Ganha",F242="Perdida"),"",Config!$B$5-IF(H242="",G242,H242))</f>
        <v/>
      </c>
      <c r="O242" s="22">
        <f>IF(F242="","",IF(F242="Ganha","Fechada",IF(F242="Perdida","Perdida",IF(AND(I242&lt;&gt;"",I242&lt;Config!$B$5),"Fechamento vencido",IF(N242&gt;Config!$B$7,"Parada","Ativa")))))</f>
        <v/>
      </c>
      <c r="P242" s="35">
        <f>IF(OR(F242="",O242="Fechada",O242="Perdida"),0,IF(O242="Fechamento vencido",3000,IF(O242="Parada",2000,1000))+MIN(N242,500)+E242/1000000-ROW()/100000)</f>
        <v>0</v>
      </c>
    </row>
    <row r="243">
      <c r="A243" s="29" t="n"/>
      <c r="B243" s="29" t="n"/>
      <c r="C243" s="33" t="n"/>
      <c r="D243" s="33" t="n"/>
      <c r="E243" s="31" t="n"/>
      <c r="F243" s="33" t="n"/>
      <c r="G243" s="34" t="n"/>
      <c r="H243" s="34" t="n"/>
      <c r="I243" s="34" t="n"/>
      <c r="J243" s="34" t="n"/>
      <c r="K243" s="29" t="n"/>
      <c r="L243" s="24">
        <f>IF(F243="","",IFERROR(INDEX(Config!$B$11:$B$16,MATCH(F243,Config!$A$11:$A$16,0)),0))</f>
        <v/>
      </c>
      <c r="M243" s="23">
        <f>IF(OR(F243="",E243=""),"",E243*L243)</f>
        <v/>
      </c>
      <c r="N243" s="26">
        <f>IF(OR(F243="",F243="Ganha",F243="Perdida"),"",Config!$B$5-IF(H243="",G243,H243))</f>
        <v/>
      </c>
      <c r="O243" s="22">
        <f>IF(F243="","",IF(F243="Ganha","Fechada",IF(F243="Perdida","Perdida",IF(AND(I243&lt;&gt;"",I243&lt;Config!$B$5),"Fechamento vencido",IF(N243&gt;Config!$B$7,"Parada","Ativa")))))</f>
        <v/>
      </c>
      <c r="P243" s="35">
        <f>IF(OR(F243="",O243="Fechada",O243="Perdida"),0,IF(O243="Fechamento vencido",3000,IF(O243="Parada",2000,1000))+MIN(N243,500)+E243/1000000-ROW()/100000)</f>
        <v>0</v>
      </c>
    </row>
    <row r="244">
      <c r="A244" s="29" t="n"/>
      <c r="B244" s="29" t="n"/>
      <c r="C244" s="33" t="n"/>
      <c r="D244" s="33" t="n"/>
      <c r="E244" s="31" t="n"/>
      <c r="F244" s="33" t="n"/>
      <c r="G244" s="34" t="n"/>
      <c r="H244" s="34" t="n"/>
      <c r="I244" s="34" t="n"/>
      <c r="J244" s="34" t="n"/>
      <c r="K244" s="29" t="n"/>
      <c r="L244" s="24">
        <f>IF(F244="","",IFERROR(INDEX(Config!$B$11:$B$16,MATCH(F244,Config!$A$11:$A$16,0)),0))</f>
        <v/>
      </c>
      <c r="M244" s="23">
        <f>IF(OR(F244="",E244=""),"",E244*L244)</f>
        <v/>
      </c>
      <c r="N244" s="26">
        <f>IF(OR(F244="",F244="Ganha",F244="Perdida"),"",Config!$B$5-IF(H244="",G244,H244))</f>
        <v/>
      </c>
      <c r="O244" s="22">
        <f>IF(F244="","",IF(F244="Ganha","Fechada",IF(F244="Perdida","Perdida",IF(AND(I244&lt;&gt;"",I244&lt;Config!$B$5),"Fechamento vencido",IF(N244&gt;Config!$B$7,"Parada","Ativa")))))</f>
        <v/>
      </c>
      <c r="P244" s="35">
        <f>IF(OR(F244="",O244="Fechada",O244="Perdida"),0,IF(O244="Fechamento vencido",3000,IF(O244="Parada",2000,1000))+MIN(N244,500)+E244/1000000-ROW()/100000)</f>
        <v>0</v>
      </c>
    </row>
    <row r="245">
      <c r="A245" s="29" t="n"/>
      <c r="B245" s="29" t="n"/>
      <c r="C245" s="33" t="n"/>
      <c r="D245" s="33" t="n"/>
      <c r="E245" s="31" t="n"/>
      <c r="F245" s="33" t="n"/>
      <c r="G245" s="34" t="n"/>
      <c r="H245" s="34" t="n"/>
      <c r="I245" s="34" t="n"/>
      <c r="J245" s="34" t="n"/>
      <c r="K245" s="29" t="n"/>
      <c r="L245" s="24">
        <f>IF(F245="","",IFERROR(INDEX(Config!$B$11:$B$16,MATCH(F245,Config!$A$11:$A$16,0)),0))</f>
        <v/>
      </c>
      <c r="M245" s="23">
        <f>IF(OR(F245="",E245=""),"",E245*L245)</f>
        <v/>
      </c>
      <c r="N245" s="26">
        <f>IF(OR(F245="",F245="Ganha",F245="Perdida"),"",Config!$B$5-IF(H245="",G245,H245))</f>
        <v/>
      </c>
      <c r="O245" s="22">
        <f>IF(F245="","",IF(F245="Ganha","Fechada",IF(F245="Perdida","Perdida",IF(AND(I245&lt;&gt;"",I245&lt;Config!$B$5),"Fechamento vencido",IF(N245&gt;Config!$B$7,"Parada","Ativa")))))</f>
        <v/>
      </c>
      <c r="P245" s="35">
        <f>IF(OR(F245="",O245="Fechada",O245="Perdida"),0,IF(O245="Fechamento vencido",3000,IF(O245="Parada",2000,1000))+MIN(N245,500)+E245/1000000-ROW()/100000)</f>
        <v>0</v>
      </c>
    </row>
    <row r="246">
      <c r="A246" s="29" t="n"/>
      <c r="B246" s="29" t="n"/>
      <c r="C246" s="33" t="n"/>
      <c r="D246" s="33" t="n"/>
      <c r="E246" s="31" t="n"/>
      <c r="F246" s="33" t="n"/>
      <c r="G246" s="34" t="n"/>
      <c r="H246" s="34" t="n"/>
      <c r="I246" s="34" t="n"/>
      <c r="J246" s="34" t="n"/>
      <c r="K246" s="29" t="n"/>
      <c r="L246" s="24">
        <f>IF(F246="","",IFERROR(INDEX(Config!$B$11:$B$16,MATCH(F246,Config!$A$11:$A$16,0)),0))</f>
        <v/>
      </c>
      <c r="M246" s="23">
        <f>IF(OR(F246="",E246=""),"",E246*L246)</f>
        <v/>
      </c>
      <c r="N246" s="26">
        <f>IF(OR(F246="",F246="Ganha",F246="Perdida"),"",Config!$B$5-IF(H246="",G246,H246))</f>
        <v/>
      </c>
      <c r="O246" s="22">
        <f>IF(F246="","",IF(F246="Ganha","Fechada",IF(F246="Perdida","Perdida",IF(AND(I246&lt;&gt;"",I246&lt;Config!$B$5),"Fechamento vencido",IF(N246&gt;Config!$B$7,"Parada","Ativa")))))</f>
        <v/>
      </c>
      <c r="P246" s="35">
        <f>IF(OR(F246="",O246="Fechada",O246="Perdida"),0,IF(O246="Fechamento vencido",3000,IF(O246="Parada",2000,1000))+MIN(N246,500)+E246/1000000-ROW()/100000)</f>
        <v>0</v>
      </c>
    </row>
    <row r="247">
      <c r="A247" s="29" t="n"/>
      <c r="B247" s="29" t="n"/>
      <c r="C247" s="33" t="n"/>
      <c r="D247" s="33" t="n"/>
      <c r="E247" s="31" t="n"/>
      <c r="F247" s="33" t="n"/>
      <c r="G247" s="34" t="n"/>
      <c r="H247" s="34" t="n"/>
      <c r="I247" s="34" t="n"/>
      <c r="J247" s="34" t="n"/>
      <c r="K247" s="29" t="n"/>
      <c r="L247" s="24">
        <f>IF(F247="","",IFERROR(INDEX(Config!$B$11:$B$16,MATCH(F247,Config!$A$11:$A$16,0)),0))</f>
        <v/>
      </c>
      <c r="M247" s="23">
        <f>IF(OR(F247="",E247=""),"",E247*L247)</f>
        <v/>
      </c>
      <c r="N247" s="26">
        <f>IF(OR(F247="",F247="Ganha",F247="Perdida"),"",Config!$B$5-IF(H247="",G247,H247))</f>
        <v/>
      </c>
      <c r="O247" s="22">
        <f>IF(F247="","",IF(F247="Ganha","Fechada",IF(F247="Perdida","Perdida",IF(AND(I247&lt;&gt;"",I247&lt;Config!$B$5),"Fechamento vencido",IF(N247&gt;Config!$B$7,"Parada","Ativa")))))</f>
        <v/>
      </c>
      <c r="P247" s="35">
        <f>IF(OR(F247="",O247="Fechada",O247="Perdida"),0,IF(O247="Fechamento vencido",3000,IF(O247="Parada",2000,1000))+MIN(N247,500)+E247/1000000-ROW()/100000)</f>
        <v>0</v>
      </c>
    </row>
    <row r="248">
      <c r="A248" s="29" t="n"/>
      <c r="B248" s="29" t="n"/>
      <c r="C248" s="33" t="n"/>
      <c r="D248" s="33" t="n"/>
      <c r="E248" s="31" t="n"/>
      <c r="F248" s="33" t="n"/>
      <c r="G248" s="34" t="n"/>
      <c r="H248" s="34" t="n"/>
      <c r="I248" s="34" t="n"/>
      <c r="J248" s="34" t="n"/>
      <c r="K248" s="29" t="n"/>
      <c r="L248" s="24">
        <f>IF(F248="","",IFERROR(INDEX(Config!$B$11:$B$16,MATCH(F248,Config!$A$11:$A$16,0)),0))</f>
        <v/>
      </c>
      <c r="M248" s="23">
        <f>IF(OR(F248="",E248=""),"",E248*L248)</f>
        <v/>
      </c>
      <c r="N248" s="26">
        <f>IF(OR(F248="",F248="Ganha",F248="Perdida"),"",Config!$B$5-IF(H248="",G248,H248))</f>
        <v/>
      </c>
      <c r="O248" s="22">
        <f>IF(F248="","",IF(F248="Ganha","Fechada",IF(F248="Perdida","Perdida",IF(AND(I248&lt;&gt;"",I248&lt;Config!$B$5),"Fechamento vencido",IF(N248&gt;Config!$B$7,"Parada","Ativa")))))</f>
        <v/>
      </c>
      <c r="P248" s="35">
        <f>IF(OR(F248="",O248="Fechada",O248="Perdida"),0,IF(O248="Fechamento vencido",3000,IF(O248="Parada",2000,1000))+MIN(N248,500)+E248/1000000-ROW()/100000)</f>
        <v>0</v>
      </c>
    </row>
    <row r="249">
      <c r="A249" s="29" t="n"/>
      <c r="B249" s="29" t="n"/>
      <c r="C249" s="33" t="n"/>
      <c r="D249" s="33" t="n"/>
      <c r="E249" s="31" t="n"/>
      <c r="F249" s="33" t="n"/>
      <c r="G249" s="34" t="n"/>
      <c r="H249" s="34" t="n"/>
      <c r="I249" s="34" t="n"/>
      <c r="J249" s="34" t="n"/>
      <c r="K249" s="29" t="n"/>
      <c r="L249" s="24">
        <f>IF(F249="","",IFERROR(INDEX(Config!$B$11:$B$16,MATCH(F249,Config!$A$11:$A$16,0)),0))</f>
        <v/>
      </c>
      <c r="M249" s="23">
        <f>IF(OR(F249="",E249=""),"",E249*L249)</f>
        <v/>
      </c>
      <c r="N249" s="26">
        <f>IF(OR(F249="",F249="Ganha",F249="Perdida"),"",Config!$B$5-IF(H249="",G249,H249))</f>
        <v/>
      </c>
      <c r="O249" s="22">
        <f>IF(F249="","",IF(F249="Ganha","Fechada",IF(F249="Perdida","Perdida",IF(AND(I249&lt;&gt;"",I249&lt;Config!$B$5),"Fechamento vencido",IF(N249&gt;Config!$B$7,"Parada","Ativa")))))</f>
        <v/>
      </c>
      <c r="P249" s="35">
        <f>IF(OR(F249="",O249="Fechada",O249="Perdida"),0,IF(O249="Fechamento vencido",3000,IF(O249="Parada",2000,1000))+MIN(N249,500)+E249/1000000-ROW()/100000)</f>
        <v>0</v>
      </c>
    </row>
    <row r="250">
      <c r="A250" s="29" t="n"/>
      <c r="B250" s="29" t="n"/>
      <c r="C250" s="33" t="n"/>
      <c r="D250" s="33" t="n"/>
      <c r="E250" s="31" t="n"/>
      <c r="F250" s="33" t="n"/>
      <c r="G250" s="34" t="n"/>
      <c r="H250" s="34" t="n"/>
      <c r="I250" s="34" t="n"/>
      <c r="J250" s="34" t="n"/>
      <c r="K250" s="29" t="n"/>
      <c r="L250" s="24">
        <f>IF(F250="","",IFERROR(INDEX(Config!$B$11:$B$16,MATCH(F250,Config!$A$11:$A$16,0)),0))</f>
        <v/>
      </c>
      <c r="M250" s="23">
        <f>IF(OR(F250="",E250=""),"",E250*L250)</f>
        <v/>
      </c>
      <c r="N250" s="26">
        <f>IF(OR(F250="",F250="Ganha",F250="Perdida"),"",Config!$B$5-IF(H250="",G250,H250))</f>
        <v/>
      </c>
      <c r="O250" s="22">
        <f>IF(F250="","",IF(F250="Ganha","Fechada",IF(F250="Perdida","Perdida",IF(AND(I250&lt;&gt;"",I250&lt;Config!$B$5),"Fechamento vencido",IF(N250&gt;Config!$B$7,"Parada","Ativa")))))</f>
        <v/>
      </c>
      <c r="P250" s="35">
        <f>IF(OR(F250="",O250="Fechada",O250="Perdida"),0,IF(O250="Fechamento vencido",3000,IF(O250="Parada",2000,1000))+MIN(N250,500)+E250/1000000-ROW()/100000)</f>
        <v>0</v>
      </c>
    </row>
    <row r="251">
      <c r="A251" s="29" t="n"/>
      <c r="B251" s="29" t="n"/>
      <c r="C251" s="33" t="n"/>
      <c r="D251" s="33" t="n"/>
      <c r="E251" s="31" t="n"/>
      <c r="F251" s="33" t="n"/>
      <c r="G251" s="34" t="n"/>
      <c r="H251" s="34" t="n"/>
      <c r="I251" s="34" t="n"/>
      <c r="J251" s="34" t="n"/>
      <c r="K251" s="29" t="n"/>
      <c r="L251" s="24">
        <f>IF(F251="","",IFERROR(INDEX(Config!$B$11:$B$16,MATCH(F251,Config!$A$11:$A$16,0)),0))</f>
        <v/>
      </c>
      <c r="M251" s="23">
        <f>IF(OR(F251="",E251=""),"",E251*L251)</f>
        <v/>
      </c>
      <c r="N251" s="26">
        <f>IF(OR(F251="",F251="Ganha",F251="Perdida"),"",Config!$B$5-IF(H251="",G251,H251))</f>
        <v/>
      </c>
      <c r="O251" s="22">
        <f>IF(F251="","",IF(F251="Ganha","Fechada",IF(F251="Perdida","Perdida",IF(AND(I251&lt;&gt;"",I251&lt;Config!$B$5),"Fechamento vencido",IF(N251&gt;Config!$B$7,"Parada","Ativa")))))</f>
        <v/>
      </c>
      <c r="P251" s="35">
        <f>IF(OR(F251="",O251="Fechada",O251="Perdida"),0,IF(O251="Fechamento vencido",3000,IF(O251="Parada",2000,1000))+MIN(N251,500)+E251/1000000-ROW()/100000)</f>
        <v>0</v>
      </c>
    </row>
    <row r="252">
      <c r="A252" s="29" t="n"/>
      <c r="B252" s="29" t="n"/>
      <c r="C252" s="33" t="n"/>
      <c r="D252" s="33" t="n"/>
      <c r="E252" s="31" t="n"/>
      <c r="F252" s="33" t="n"/>
      <c r="G252" s="34" t="n"/>
      <c r="H252" s="34" t="n"/>
      <c r="I252" s="34" t="n"/>
      <c r="J252" s="34" t="n"/>
      <c r="K252" s="29" t="n"/>
      <c r="L252" s="24">
        <f>IF(F252="","",IFERROR(INDEX(Config!$B$11:$B$16,MATCH(F252,Config!$A$11:$A$16,0)),0))</f>
        <v/>
      </c>
      <c r="M252" s="23">
        <f>IF(OR(F252="",E252=""),"",E252*L252)</f>
        <v/>
      </c>
      <c r="N252" s="26">
        <f>IF(OR(F252="",F252="Ganha",F252="Perdida"),"",Config!$B$5-IF(H252="",G252,H252))</f>
        <v/>
      </c>
      <c r="O252" s="22">
        <f>IF(F252="","",IF(F252="Ganha","Fechada",IF(F252="Perdida","Perdida",IF(AND(I252&lt;&gt;"",I252&lt;Config!$B$5),"Fechamento vencido",IF(N252&gt;Config!$B$7,"Parada","Ativa")))))</f>
        <v/>
      </c>
      <c r="P252" s="35">
        <f>IF(OR(F252="",O252="Fechada",O252="Perdida"),0,IF(O252="Fechamento vencido",3000,IF(O252="Parada",2000,1000))+MIN(N252,500)+E252/1000000-ROW()/100000)</f>
        <v>0</v>
      </c>
    </row>
    <row r="253">
      <c r="A253" s="29" t="n"/>
      <c r="B253" s="29" t="n"/>
      <c r="C253" s="33" t="n"/>
      <c r="D253" s="33" t="n"/>
      <c r="E253" s="31" t="n"/>
      <c r="F253" s="33" t="n"/>
      <c r="G253" s="34" t="n"/>
      <c r="H253" s="34" t="n"/>
      <c r="I253" s="34" t="n"/>
      <c r="J253" s="34" t="n"/>
      <c r="K253" s="29" t="n"/>
      <c r="L253" s="24">
        <f>IF(F253="","",IFERROR(INDEX(Config!$B$11:$B$16,MATCH(F253,Config!$A$11:$A$16,0)),0))</f>
        <v/>
      </c>
      <c r="M253" s="23">
        <f>IF(OR(F253="",E253=""),"",E253*L253)</f>
        <v/>
      </c>
      <c r="N253" s="26">
        <f>IF(OR(F253="",F253="Ganha",F253="Perdida"),"",Config!$B$5-IF(H253="",G253,H253))</f>
        <v/>
      </c>
      <c r="O253" s="22">
        <f>IF(F253="","",IF(F253="Ganha","Fechada",IF(F253="Perdida","Perdida",IF(AND(I253&lt;&gt;"",I253&lt;Config!$B$5),"Fechamento vencido",IF(N253&gt;Config!$B$7,"Parada","Ativa")))))</f>
        <v/>
      </c>
      <c r="P253" s="35">
        <f>IF(OR(F253="",O253="Fechada",O253="Perdida"),0,IF(O253="Fechamento vencido",3000,IF(O253="Parada",2000,1000))+MIN(N253,500)+E253/1000000-ROW()/100000)</f>
        <v>0</v>
      </c>
    </row>
    <row r="254">
      <c r="A254" s="29" t="n"/>
      <c r="B254" s="29" t="n"/>
      <c r="C254" s="33" t="n"/>
      <c r="D254" s="33" t="n"/>
      <c r="E254" s="31" t="n"/>
      <c r="F254" s="33" t="n"/>
      <c r="G254" s="34" t="n"/>
      <c r="H254" s="34" t="n"/>
      <c r="I254" s="34" t="n"/>
      <c r="J254" s="34" t="n"/>
      <c r="K254" s="29" t="n"/>
      <c r="L254" s="24">
        <f>IF(F254="","",IFERROR(INDEX(Config!$B$11:$B$16,MATCH(F254,Config!$A$11:$A$16,0)),0))</f>
        <v/>
      </c>
      <c r="M254" s="23">
        <f>IF(OR(F254="",E254=""),"",E254*L254)</f>
        <v/>
      </c>
      <c r="N254" s="26">
        <f>IF(OR(F254="",F254="Ganha",F254="Perdida"),"",Config!$B$5-IF(H254="",G254,H254))</f>
        <v/>
      </c>
      <c r="O254" s="22">
        <f>IF(F254="","",IF(F254="Ganha","Fechada",IF(F254="Perdida","Perdida",IF(AND(I254&lt;&gt;"",I254&lt;Config!$B$5),"Fechamento vencido",IF(N254&gt;Config!$B$7,"Parada","Ativa")))))</f>
        <v/>
      </c>
      <c r="P254" s="35">
        <f>IF(OR(F254="",O254="Fechada",O254="Perdida"),0,IF(O254="Fechamento vencido",3000,IF(O254="Parada",2000,1000))+MIN(N254,500)+E254/1000000-ROW()/100000)</f>
        <v>0</v>
      </c>
    </row>
    <row r="255">
      <c r="A255" s="29" t="n"/>
      <c r="B255" s="29" t="n"/>
      <c r="C255" s="33" t="n"/>
      <c r="D255" s="33" t="n"/>
      <c r="E255" s="31" t="n"/>
      <c r="F255" s="33" t="n"/>
      <c r="G255" s="34" t="n"/>
      <c r="H255" s="34" t="n"/>
      <c r="I255" s="34" t="n"/>
      <c r="J255" s="34" t="n"/>
      <c r="K255" s="29" t="n"/>
      <c r="L255" s="24">
        <f>IF(F255="","",IFERROR(INDEX(Config!$B$11:$B$16,MATCH(F255,Config!$A$11:$A$16,0)),0))</f>
        <v/>
      </c>
      <c r="M255" s="23">
        <f>IF(OR(F255="",E255=""),"",E255*L255)</f>
        <v/>
      </c>
      <c r="N255" s="26">
        <f>IF(OR(F255="",F255="Ganha",F255="Perdida"),"",Config!$B$5-IF(H255="",G255,H255))</f>
        <v/>
      </c>
      <c r="O255" s="22">
        <f>IF(F255="","",IF(F255="Ganha","Fechada",IF(F255="Perdida","Perdida",IF(AND(I255&lt;&gt;"",I255&lt;Config!$B$5),"Fechamento vencido",IF(N255&gt;Config!$B$7,"Parada","Ativa")))))</f>
        <v/>
      </c>
      <c r="P255" s="35">
        <f>IF(OR(F255="",O255="Fechada",O255="Perdida"),0,IF(O255="Fechamento vencido",3000,IF(O255="Parada",2000,1000))+MIN(N255,500)+E255/1000000-ROW()/100000)</f>
        <v>0</v>
      </c>
    </row>
    <row r="256">
      <c r="A256" s="29" t="n"/>
      <c r="B256" s="29" t="n"/>
      <c r="C256" s="33" t="n"/>
      <c r="D256" s="33" t="n"/>
      <c r="E256" s="31" t="n"/>
      <c r="F256" s="33" t="n"/>
      <c r="G256" s="34" t="n"/>
      <c r="H256" s="34" t="n"/>
      <c r="I256" s="34" t="n"/>
      <c r="J256" s="34" t="n"/>
      <c r="K256" s="29" t="n"/>
      <c r="L256" s="24">
        <f>IF(F256="","",IFERROR(INDEX(Config!$B$11:$B$16,MATCH(F256,Config!$A$11:$A$16,0)),0))</f>
        <v/>
      </c>
      <c r="M256" s="23">
        <f>IF(OR(F256="",E256=""),"",E256*L256)</f>
        <v/>
      </c>
      <c r="N256" s="26">
        <f>IF(OR(F256="",F256="Ganha",F256="Perdida"),"",Config!$B$5-IF(H256="",G256,H256))</f>
        <v/>
      </c>
      <c r="O256" s="22">
        <f>IF(F256="","",IF(F256="Ganha","Fechada",IF(F256="Perdida","Perdida",IF(AND(I256&lt;&gt;"",I256&lt;Config!$B$5),"Fechamento vencido",IF(N256&gt;Config!$B$7,"Parada","Ativa")))))</f>
        <v/>
      </c>
      <c r="P256" s="35">
        <f>IF(OR(F256="",O256="Fechada",O256="Perdida"),0,IF(O256="Fechamento vencido",3000,IF(O256="Parada",2000,1000))+MIN(N256,500)+E256/1000000-ROW()/100000)</f>
        <v>0</v>
      </c>
    </row>
    <row r="257">
      <c r="A257" s="29" t="n"/>
      <c r="B257" s="29" t="n"/>
      <c r="C257" s="33" t="n"/>
      <c r="D257" s="33" t="n"/>
      <c r="E257" s="31" t="n"/>
      <c r="F257" s="33" t="n"/>
      <c r="G257" s="34" t="n"/>
      <c r="H257" s="34" t="n"/>
      <c r="I257" s="34" t="n"/>
      <c r="J257" s="34" t="n"/>
      <c r="K257" s="29" t="n"/>
      <c r="L257" s="24">
        <f>IF(F257="","",IFERROR(INDEX(Config!$B$11:$B$16,MATCH(F257,Config!$A$11:$A$16,0)),0))</f>
        <v/>
      </c>
      <c r="M257" s="23">
        <f>IF(OR(F257="",E257=""),"",E257*L257)</f>
        <v/>
      </c>
      <c r="N257" s="26">
        <f>IF(OR(F257="",F257="Ganha",F257="Perdida"),"",Config!$B$5-IF(H257="",G257,H257))</f>
        <v/>
      </c>
      <c r="O257" s="22">
        <f>IF(F257="","",IF(F257="Ganha","Fechada",IF(F257="Perdida","Perdida",IF(AND(I257&lt;&gt;"",I257&lt;Config!$B$5),"Fechamento vencido",IF(N257&gt;Config!$B$7,"Parada","Ativa")))))</f>
        <v/>
      </c>
      <c r="P257" s="35">
        <f>IF(OR(F257="",O257="Fechada",O257="Perdida"),0,IF(O257="Fechamento vencido",3000,IF(O257="Parada",2000,1000))+MIN(N257,500)+E257/1000000-ROW()/100000)</f>
        <v>0</v>
      </c>
    </row>
    <row r="258">
      <c r="A258" s="29" t="n"/>
      <c r="B258" s="29" t="n"/>
      <c r="C258" s="33" t="n"/>
      <c r="D258" s="33" t="n"/>
      <c r="E258" s="31" t="n"/>
      <c r="F258" s="33" t="n"/>
      <c r="G258" s="34" t="n"/>
      <c r="H258" s="34" t="n"/>
      <c r="I258" s="34" t="n"/>
      <c r="J258" s="34" t="n"/>
      <c r="K258" s="29" t="n"/>
      <c r="L258" s="24">
        <f>IF(F258="","",IFERROR(INDEX(Config!$B$11:$B$16,MATCH(F258,Config!$A$11:$A$16,0)),0))</f>
        <v/>
      </c>
      <c r="M258" s="23">
        <f>IF(OR(F258="",E258=""),"",E258*L258)</f>
        <v/>
      </c>
      <c r="N258" s="26">
        <f>IF(OR(F258="",F258="Ganha",F258="Perdida"),"",Config!$B$5-IF(H258="",G258,H258))</f>
        <v/>
      </c>
      <c r="O258" s="22">
        <f>IF(F258="","",IF(F258="Ganha","Fechada",IF(F258="Perdida","Perdida",IF(AND(I258&lt;&gt;"",I258&lt;Config!$B$5),"Fechamento vencido",IF(N258&gt;Config!$B$7,"Parada","Ativa")))))</f>
        <v/>
      </c>
      <c r="P258" s="35">
        <f>IF(OR(F258="",O258="Fechada",O258="Perdida"),0,IF(O258="Fechamento vencido",3000,IF(O258="Parada",2000,1000))+MIN(N258,500)+E258/1000000-ROW()/100000)</f>
        <v>0</v>
      </c>
    </row>
    <row r="259">
      <c r="A259" s="29" t="n"/>
      <c r="B259" s="29" t="n"/>
      <c r="C259" s="33" t="n"/>
      <c r="D259" s="33" t="n"/>
      <c r="E259" s="31" t="n"/>
      <c r="F259" s="33" t="n"/>
      <c r="G259" s="34" t="n"/>
      <c r="H259" s="34" t="n"/>
      <c r="I259" s="34" t="n"/>
      <c r="J259" s="34" t="n"/>
      <c r="K259" s="29" t="n"/>
      <c r="L259" s="24">
        <f>IF(F259="","",IFERROR(INDEX(Config!$B$11:$B$16,MATCH(F259,Config!$A$11:$A$16,0)),0))</f>
        <v/>
      </c>
      <c r="M259" s="23">
        <f>IF(OR(F259="",E259=""),"",E259*L259)</f>
        <v/>
      </c>
      <c r="N259" s="26">
        <f>IF(OR(F259="",F259="Ganha",F259="Perdida"),"",Config!$B$5-IF(H259="",G259,H259))</f>
        <v/>
      </c>
      <c r="O259" s="22">
        <f>IF(F259="","",IF(F259="Ganha","Fechada",IF(F259="Perdida","Perdida",IF(AND(I259&lt;&gt;"",I259&lt;Config!$B$5),"Fechamento vencido",IF(N259&gt;Config!$B$7,"Parada","Ativa")))))</f>
        <v/>
      </c>
      <c r="P259" s="35">
        <f>IF(OR(F259="",O259="Fechada",O259="Perdida"),0,IF(O259="Fechamento vencido",3000,IF(O259="Parada",2000,1000))+MIN(N259,500)+E259/1000000-ROW()/100000)</f>
        <v>0</v>
      </c>
    </row>
    <row r="260">
      <c r="A260" s="29" t="n"/>
      <c r="B260" s="29" t="n"/>
      <c r="C260" s="33" t="n"/>
      <c r="D260" s="33" t="n"/>
      <c r="E260" s="31" t="n"/>
      <c r="F260" s="33" t="n"/>
      <c r="G260" s="34" t="n"/>
      <c r="H260" s="34" t="n"/>
      <c r="I260" s="34" t="n"/>
      <c r="J260" s="34" t="n"/>
      <c r="K260" s="29" t="n"/>
      <c r="L260" s="24">
        <f>IF(F260="","",IFERROR(INDEX(Config!$B$11:$B$16,MATCH(F260,Config!$A$11:$A$16,0)),0))</f>
        <v/>
      </c>
      <c r="M260" s="23">
        <f>IF(OR(F260="",E260=""),"",E260*L260)</f>
        <v/>
      </c>
      <c r="N260" s="26">
        <f>IF(OR(F260="",F260="Ganha",F260="Perdida"),"",Config!$B$5-IF(H260="",G260,H260))</f>
        <v/>
      </c>
      <c r="O260" s="22">
        <f>IF(F260="","",IF(F260="Ganha","Fechada",IF(F260="Perdida","Perdida",IF(AND(I260&lt;&gt;"",I260&lt;Config!$B$5),"Fechamento vencido",IF(N260&gt;Config!$B$7,"Parada","Ativa")))))</f>
        <v/>
      </c>
      <c r="P260" s="35">
        <f>IF(OR(F260="",O260="Fechada",O260="Perdida"),0,IF(O260="Fechamento vencido",3000,IF(O260="Parada",2000,1000))+MIN(N260,500)+E260/1000000-ROW()/100000)</f>
        <v>0</v>
      </c>
    </row>
    <row r="261">
      <c r="A261" s="29" t="n"/>
      <c r="B261" s="29" t="n"/>
      <c r="C261" s="33" t="n"/>
      <c r="D261" s="33" t="n"/>
      <c r="E261" s="31" t="n"/>
      <c r="F261" s="33" t="n"/>
      <c r="G261" s="34" t="n"/>
      <c r="H261" s="34" t="n"/>
      <c r="I261" s="34" t="n"/>
      <c r="J261" s="34" t="n"/>
      <c r="K261" s="29" t="n"/>
      <c r="L261" s="24">
        <f>IF(F261="","",IFERROR(INDEX(Config!$B$11:$B$16,MATCH(F261,Config!$A$11:$A$16,0)),0))</f>
        <v/>
      </c>
      <c r="M261" s="23">
        <f>IF(OR(F261="",E261=""),"",E261*L261)</f>
        <v/>
      </c>
      <c r="N261" s="26">
        <f>IF(OR(F261="",F261="Ganha",F261="Perdida"),"",Config!$B$5-IF(H261="",G261,H261))</f>
        <v/>
      </c>
      <c r="O261" s="22">
        <f>IF(F261="","",IF(F261="Ganha","Fechada",IF(F261="Perdida","Perdida",IF(AND(I261&lt;&gt;"",I261&lt;Config!$B$5),"Fechamento vencido",IF(N261&gt;Config!$B$7,"Parada","Ativa")))))</f>
        <v/>
      </c>
      <c r="P261" s="35">
        <f>IF(OR(F261="",O261="Fechada",O261="Perdida"),0,IF(O261="Fechamento vencido",3000,IF(O261="Parada",2000,1000))+MIN(N261,500)+E261/1000000-ROW()/100000)</f>
        <v>0</v>
      </c>
    </row>
    <row r="262">
      <c r="A262" s="29" t="n"/>
      <c r="B262" s="29" t="n"/>
      <c r="C262" s="33" t="n"/>
      <c r="D262" s="33" t="n"/>
      <c r="E262" s="31" t="n"/>
      <c r="F262" s="33" t="n"/>
      <c r="G262" s="34" t="n"/>
      <c r="H262" s="34" t="n"/>
      <c r="I262" s="34" t="n"/>
      <c r="J262" s="34" t="n"/>
      <c r="K262" s="29" t="n"/>
      <c r="L262" s="24">
        <f>IF(F262="","",IFERROR(INDEX(Config!$B$11:$B$16,MATCH(F262,Config!$A$11:$A$16,0)),0))</f>
        <v/>
      </c>
      <c r="M262" s="23">
        <f>IF(OR(F262="",E262=""),"",E262*L262)</f>
        <v/>
      </c>
      <c r="N262" s="26">
        <f>IF(OR(F262="",F262="Ganha",F262="Perdida"),"",Config!$B$5-IF(H262="",G262,H262))</f>
        <v/>
      </c>
      <c r="O262" s="22">
        <f>IF(F262="","",IF(F262="Ganha","Fechada",IF(F262="Perdida","Perdida",IF(AND(I262&lt;&gt;"",I262&lt;Config!$B$5),"Fechamento vencido",IF(N262&gt;Config!$B$7,"Parada","Ativa")))))</f>
        <v/>
      </c>
      <c r="P262" s="35">
        <f>IF(OR(F262="",O262="Fechada",O262="Perdida"),0,IF(O262="Fechamento vencido",3000,IF(O262="Parada",2000,1000))+MIN(N262,500)+E262/1000000-ROW()/100000)</f>
        <v>0</v>
      </c>
    </row>
    <row r="263">
      <c r="A263" s="29" t="n"/>
      <c r="B263" s="29" t="n"/>
      <c r="C263" s="33" t="n"/>
      <c r="D263" s="33" t="n"/>
      <c r="E263" s="31" t="n"/>
      <c r="F263" s="33" t="n"/>
      <c r="G263" s="34" t="n"/>
      <c r="H263" s="34" t="n"/>
      <c r="I263" s="34" t="n"/>
      <c r="J263" s="34" t="n"/>
      <c r="K263" s="29" t="n"/>
      <c r="L263" s="24">
        <f>IF(F263="","",IFERROR(INDEX(Config!$B$11:$B$16,MATCH(F263,Config!$A$11:$A$16,0)),0))</f>
        <v/>
      </c>
      <c r="M263" s="23">
        <f>IF(OR(F263="",E263=""),"",E263*L263)</f>
        <v/>
      </c>
      <c r="N263" s="26">
        <f>IF(OR(F263="",F263="Ganha",F263="Perdida"),"",Config!$B$5-IF(H263="",G263,H263))</f>
        <v/>
      </c>
      <c r="O263" s="22">
        <f>IF(F263="","",IF(F263="Ganha","Fechada",IF(F263="Perdida","Perdida",IF(AND(I263&lt;&gt;"",I263&lt;Config!$B$5),"Fechamento vencido",IF(N263&gt;Config!$B$7,"Parada","Ativa")))))</f>
        <v/>
      </c>
      <c r="P263" s="35">
        <f>IF(OR(F263="",O263="Fechada",O263="Perdida"),0,IF(O263="Fechamento vencido",3000,IF(O263="Parada",2000,1000))+MIN(N263,500)+E263/1000000-ROW()/100000)</f>
        <v>0</v>
      </c>
    </row>
    <row r="264">
      <c r="A264" s="29" t="n"/>
      <c r="B264" s="29" t="n"/>
      <c r="C264" s="33" t="n"/>
      <c r="D264" s="33" t="n"/>
      <c r="E264" s="31" t="n"/>
      <c r="F264" s="33" t="n"/>
      <c r="G264" s="34" t="n"/>
      <c r="H264" s="34" t="n"/>
      <c r="I264" s="34" t="n"/>
      <c r="J264" s="34" t="n"/>
      <c r="K264" s="29" t="n"/>
      <c r="L264" s="24">
        <f>IF(F264="","",IFERROR(INDEX(Config!$B$11:$B$16,MATCH(F264,Config!$A$11:$A$16,0)),0))</f>
        <v/>
      </c>
      <c r="M264" s="23">
        <f>IF(OR(F264="",E264=""),"",E264*L264)</f>
        <v/>
      </c>
      <c r="N264" s="26">
        <f>IF(OR(F264="",F264="Ganha",F264="Perdida"),"",Config!$B$5-IF(H264="",G264,H264))</f>
        <v/>
      </c>
      <c r="O264" s="22">
        <f>IF(F264="","",IF(F264="Ganha","Fechada",IF(F264="Perdida","Perdida",IF(AND(I264&lt;&gt;"",I264&lt;Config!$B$5),"Fechamento vencido",IF(N264&gt;Config!$B$7,"Parada","Ativa")))))</f>
        <v/>
      </c>
      <c r="P264" s="35">
        <f>IF(OR(F264="",O264="Fechada",O264="Perdida"),0,IF(O264="Fechamento vencido",3000,IF(O264="Parada",2000,1000))+MIN(N264,500)+E264/1000000-ROW()/100000)</f>
        <v>0</v>
      </c>
    </row>
    <row r="265">
      <c r="A265" s="29" t="n"/>
      <c r="B265" s="29" t="n"/>
      <c r="C265" s="33" t="n"/>
      <c r="D265" s="33" t="n"/>
      <c r="E265" s="31" t="n"/>
      <c r="F265" s="33" t="n"/>
      <c r="G265" s="34" t="n"/>
      <c r="H265" s="34" t="n"/>
      <c r="I265" s="34" t="n"/>
      <c r="J265" s="34" t="n"/>
      <c r="K265" s="29" t="n"/>
      <c r="L265" s="24">
        <f>IF(F265="","",IFERROR(INDEX(Config!$B$11:$B$16,MATCH(F265,Config!$A$11:$A$16,0)),0))</f>
        <v/>
      </c>
      <c r="M265" s="23">
        <f>IF(OR(F265="",E265=""),"",E265*L265)</f>
        <v/>
      </c>
      <c r="N265" s="26">
        <f>IF(OR(F265="",F265="Ganha",F265="Perdida"),"",Config!$B$5-IF(H265="",G265,H265))</f>
        <v/>
      </c>
      <c r="O265" s="22">
        <f>IF(F265="","",IF(F265="Ganha","Fechada",IF(F265="Perdida","Perdida",IF(AND(I265&lt;&gt;"",I265&lt;Config!$B$5),"Fechamento vencido",IF(N265&gt;Config!$B$7,"Parada","Ativa")))))</f>
        <v/>
      </c>
      <c r="P265" s="35">
        <f>IF(OR(F265="",O265="Fechada",O265="Perdida"),0,IF(O265="Fechamento vencido",3000,IF(O265="Parada",2000,1000))+MIN(N265,500)+E265/1000000-ROW()/100000)</f>
        <v>0</v>
      </c>
    </row>
    <row r="266">
      <c r="A266" s="29" t="n"/>
      <c r="B266" s="29" t="n"/>
      <c r="C266" s="33" t="n"/>
      <c r="D266" s="33" t="n"/>
      <c r="E266" s="31" t="n"/>
      <c r="F266" s="33" t="n"/>
      <c r="G266" s="34" t="n"/>
      <c r="H266" s="34" t="n"/>
      <c r="I266" s="34" t="n"/>
      <c r="J266" s="34" t="n"/>
      <c r="K266" s="29" t="n"/>
      <c r="L266" s="24">
        <f>IF(F266="","",IFERROR(INDEX(Config!$B$11:$B$16,MATCH(F266,Config!$A$11:$A$16,0)),0))</f>
        <v/>
      </c>
      <c r="M266" s="23">
        <f>IF(OR(F266="",E266=""),"",E266*L266)</f>
        <v/>
      </c>
      <c r="N266" s="26">
        <f>IF(OR(F266="",F266="Ganha",F266="Perdida"),"",Config!$B$5-IF(H266="",G266,H266))</f>
        <v/>
      </c>
      <c r="O266" s="22">
        <f>IF(F266="","",IF(F266="Ganha","Fechada",IF(F266="Perdida","Perdida",IF(AND(I266&lt;&gt;"",I266&lt;Config!$B$5),"Fechamento vencido",IF(N266&gt;Config!$B$7,"Parada","Ativa")))))</f>
        <v/>
      </c>
      <c r="P266" s="35">
        <f>IF(OR(F266="",O266="Fechada",O266="Perdida"),0,IF(O266="Fechamento vencido",3000,IF(O266="Parada",2000,1000))+MIN(N266,500)+E266/1000000-ROW()/100000)</f>
        <v>0</v>
      </c>
    </row>
    <row r="267">
      <c r="A267" s="29" t="n"/>
      <c r="B267" s="29" t="n"/>
      <c r="C267" s="33" t="n"/>
      <c r="D267" s="33" t="n"/>
      <c r="E267" s="31" t="n"/>
      <c r="F267" s="33" t="n"/>
      <c r="G267" s="34" t="n"/>
      <c r="H267" s="34" t="n"/>
      <c r="I267" s="34" t="n"/>
      <c r="J267" s="34" t="n"/>
      <c r="K267" s="29" t="n"/>
      <c r="L267" s="24">
        <f>IF(F267="","",IFERROR(INDEX(Config!$B$11:$B$16,MATCH(F267,Config!$A$11:$A$16,0)),0))</f>
        <v/>
      </c>
      <c r="M267" s="23">
        <f>IF(OR(F267="",E267=""),"",E267*L267)</f>
        <v/>
      </c>
      <c r="N267" s="26">
        <f>IF(OR(F267="",F267="Ganha",F267="Perdida"),"",Config!$B$5-IF(H267="",G267,H267))</f>
        <v/>
      </c>
      <c r="O267" s="22">
        <f>IF(F267="","",IF(F267="Ganha","Fechada",IF(F267="Perdida","Perdida",IF(AND(I267&lt;&gt;"",I267&lt;Config!$B$5),"Fechamento vencido",IF(N267&gt;Config!$B$7,"Parada","Ativa")))))</f>
        <v/>
      </c>
      <c r="P267" s="35">
        <f>IF(OR(F267="",O267="Fechada",O267="Perdida"),0,IF(O267="Fechamento vencido",3000,IF(O267="Parada",2000,1000))+MIN(N267,500)+E267/1000000-ROW()/100000)</f>
        <v>0</v>
      </c>
    </row>
    <row r="268">
      <c r="A268" s="29" t="n"/>
      <c r="B268" s="29" t="n"/>
      <c r="C268" s="33" t="n"/>
      <c r="D268" s="33" t="n"/>
      <c r="E268" s="31" t="n"/>
      <c r="F268" s="33" t="n"/>
      <c r="G268" s="34" t="n"/>
      <c r="H268" s="34" t="n"/>
      <c r="I268" s="34" t="n"/>
      <c r="J268" s="34" t="n"/>
      <c r="K268" s="29" t="n"/>
      <c r="L268" s="24">
        <f>IF(F268="","",IFERROR(INDEX(Config!$B$11:$B$16,MATCH(F268,Config!$A$11:$A$16,0)),0))</f>
        <v/>
      </c>
      <c r="M268" s="23">
        <f>IF(OR(F268="",E268=""),"",E268*L268)</f>
        <v/>
      </c>
      <c r="N268" s="26">
        <f>IF(OR(F268="",F268="Ganha",F268="Perdida"),"",Config!$B$5-IF(H268="",G268,H268))</f>
        <v/>
      </c>
      <c r="O268" s="22">
        <f>IF(F268="","",IF(F268="Ganha","Fechada",IF(F268="Perdida","Perdida",IF(AND(I268&lt;&gt;"",I268&lt;Config!$B$5),"Fechamento vencido",IF(N268&gt;Config!$B$7,"Parada","Ativa")))))</f>
        <v/>
      </c>
      <c r="P268" s="35">
        <f>IF(OR(F268="",O268="Fechada",O268="Perdida"),0,IF(O268="Fechamento vencido",3000,IF(O268="Parada",2000,1000))+MIN(N268,500)+E268/1000000-ROW()/100000)</f>
        <v>0</v>
      </c>
    </row>
    <row r="269">
      <c r="A269" s="29" t="n"/>
      <c r="B269" s="29" t="n"/>
      <c r="C269" s="33" t="n"/>
      <c r="D269" s="33" t="n"/>
      <c r="E269" s="31" t="n"/>
      <c r="F269" s="33" t="n"/>
      <c r="G269" s="34" t="n"/>
      <c r="H269" s="34" t="n"/>
      <c r="I269" s="34" t="n"/>
      <c r="J269" s="34" t="n"/>
      <c r="K269" s="29" t="n"/>
      <c r="L269" s="24">
        <f>IF(F269="","",IFERROR(INDEX(Config!$B$11:$B$16,MATCH(F269,Config!$A$11:$A$16,0)),0))</f>
        <v/>
      </c>
      <c r="M269" s="23">
        <f>IF(OR(F269="",E269=""),"",E269*L269)</f>
        <v/>
      </c>
      <c r="N269" s="26">
        <f>IF(OR(F269="",F269="Ganha",F269="Perdida"),"",Config!$B$5-IF(H269="",G269,H269))</f>
        <v/>
      </c>
      <c r="O269" s="22">
        <f>IF(F269="","",IF(F269="Ganha","Fechada",IF(F269="Perdida","Perdida",IF(AND(I269&lt;&gt;"",I269&lt;Config!$B$5),"Fechamento vencido",IF(N269&gt;Config!$B$7,"Parada","Ativa")))))</f>
        <v/>
      </c>
      <c r="P269" s="35">
        <f>IF(OR(F269="",O269="Fechada",O269="Perdida"),0,IF(O269="Fechamento vencido",3000,IF(O269="Parada",2000,1000))+MIN(N269,500)+E269/1000000-ROW()/100000)</f>
        <v>0</v>
      </c>
    </row>
    <row r="270">
      <c r="A270" s="29" t="n"/>
      <c r="B270" s="29" t="n"/>
      <c r="C270" s="33" t="n"/>
      <c r="D270" s="33" t="n"/>
      <c r="E270" s="31" t="n"/>
      <c r="F270" s="33" t="n"/>
      <c r="G270" s="34" t="n"/>
      <c r="H270" s="34" t="n"/>
      <c r="I270" s="34" t="n"/>
      <c r="J270" s="34" t="n"/>
      <c r="K270" s="29" t="n"/>
      <c r="L270" s="24">
        <f>IF(F270="","",IFERROR(INDEX(Config!$B$11:$B$16,MATCH(F270,Config!$A$11:$A$16,0)),0))</f>
        <v/>
      </c>
      <c r="M270" s="23">
        <f>IF(OR(F270="",E270=""),"",E270*L270)</f>
        <v/>
      </c>
      <c r="N270" s="26">
        <f>IF(OR(F270="",F270="Ganha",F270="Perdida"),"",Config!$B$5-IF(H270="",G270,H270))</f>
        <v/>
      </c>
      <c r="O270" s="22">
        <f>IF(F270="","",IF(F270="Ganha","Fechada",IF(F270="Perdida","Perdida",IF(AND(I270&lt;&gt;"",I270&lt;Config!$B$5),"Fechamento vencido",IF(N270&gt;Config!$B$7,"Parada","Ativa")))))</f>
        <v/>
      </c>
      <c r="P270" s="35">
        <f>IF(OR(F270="",O270="Fechada",O270="Perdida"),0,IF(O270="Fechamento vencido",3000,IF(O270="Parada",2000,1000))+MIN(N270,500)+E270/1000000-ROW()/100000)</f>
        <v>0</v>
      </c>
    </row>
    <row r="271">
      <c r="A271" s="29" t="n"/>
      <c r="B271" s="29" t="n"/>
      <c r="C271" s="33" t="n"/>
      <c r="D271" s="33" t="n"/>
      <c r="E271" s="31" t="n"/>
      <c r="F271" s="33" t="n"/>
      <c r="G271" s="34" t="n"/>
      <c r="H271" s="34" t="n"/>
      <c r="I271" s="34" t="n"/>
      <c r="J271" s="34" t="n"/>
      <c r="K271" s="29" t="n"/>
      <c r="L271" s="24">
        <f>IF(F271="","",IFERROR(INDEX(Config!$B$11:$B$16,MATCH(F271,Config!$A$11:$A$16,0)),0))</f>
        <v/>
      </c>
      <c r="M271" s="23">
        <f>IF(OR(F271="",E271=""),"",E271*L271)</f>
        <v/>
      </c>
      <c r="N271" s="26">
        <f>IF(OR(F271="",F271="Ganha",F271="Perdida"),"",Config!$B$5-IF(H271="",G271,H271))</f>
        <v/>
      </c>
      <c r="O271" s="22">
        <f>IF(F271="","",IF(F271="Ganha","Fechada",IF(F271="Perdida","Perdida",IF(AND(I271&lt;&gt;"",I271&lt;Config!$B$5),"Fechamento vencido",IF(N271&gt;Config!$B$7,"Parada","Ativa")))))</f>
        <v/>
      </c>
      <c r="P271" s="35">
        <f>IF(OR(F271="",O271="Fechada",O271="Perdida"),0,IF(O271="Fechamento vencido",3000,IF(O271="Parada",2000,1000))+MIN(N271,500)+E271/1000000-ROW()/100000)</f>
        <v>0</v>
      </c>
    </row>
    <row r="272">
      <c r="A272" s="29" t="n"/>
      <c r="B272" s="29" t="n"/>
      <c r="C272" s="33" t="n"/>
      <c r="D272" s="33" t="n"/>
      <c r="E272" s="31" t="n"/>
      <c r="F272" s="33" t="n"/>
      <c r="G272" s="34" t="n"/>
      <c r="H272" s="34" t="n"/>
      <c r="I272" s="34" t="n"/>
      <c r="J272" s="34" t="n"/>
      <c r="K272" s="29" t="n"/>
      <c r="L272" s="24">
        <f>IF(F272="","",IFERROR(INDEX(Config!$B$11:$B$16,MATCH(F272,Config!$A$11:$A$16,0)),0))</f>
        <v/>
      </c>
      <c r="M272" s="23">
        <f>IF(OR(F272="",E272=""),"",E272*L272)</f>
        <v/>
      </c>
      <c r="N272" s="26">
        <f>IF(OR(F272="",F272="Ganha",F272="Perdida"),"",Config!$B$5-IF(H272="",G272,H272))</f>
        <v/>
      </c>
      <c r="O272" s="22">
        <f>IF(F272="","",IF(F272="Ganha","Fechada",IF(F272="Perdida","Perdida",IF(AND(I272&lt;&gt;"",I272&lt;Config!$B$5),"Fechamento vencido",IF(N272&gt;Config!$B$7,"Parada","Ativa")))))</f>
        <v/>
      </c>
      <c r="P272" s="35">
        <f>IF(OR(F272="",O272="Fechada",O272="Perdida"),0,IF(O272="Fechamento vencido",3000,IF(O272="Parada",2000,1000))+MIN(N272,500)+E272/1000000-ROW()/100000)</f>
        <v>0</v>
      </c>
    </row>
    <row r="273">
      <c r="A273" s="29" t="n"/>
      <c r="B273" s="29" t="n"/>
      <c r="C273" s="33" t="n"/>
      <c r="D273" s="33" t="n"/>
      <c r="E273" s="31" t="n"/>
      <c r="F273" s="33" t="n"/>
      <c r="G273" s="34" t="n"/>
      <c r="H273" s="34" t="n"/>
      <c r="I273" s="34" t="n"/>
      <c r="J273" s="34" t="n"/>
      <c r="K273" s="29" t="n"/>
      <c r="L273" s="24">
        <f>IF(F273="","",IFERROR(INDEX(Config!$B$11:$B$16,MATCH(F273,Config!$A$11:$A$16,0)),0))</f>
        <v/>
      </c>
      <c r="M273" s="23">
        <f>IF(OR(F273="",E273=""),"",E273*L273)</f>
        <v/>
      </c>
      <c r="N273" s="26">
        <f>IF(OR(F273="",F273="Ganha",F273="Perdida"),"",Config!$B$5-IF(H273="",G273,H273))</f>
        <v/>
      </c>
      <c r="O273" s="22">
        <f>IF(F273="","",IF(F273="Ganha","Fechada",IF(F273="Perdida","Perdida",IF(AND(I273&lt;&gt;"",I273&lt;Config!$B$5),"Fechamento vencido",IF(N273&gt;Config!$B$7,"Parada","Ativa")))))</f>
        <v/>
      </c>
      <c r="P273" s="35">
        <f>IF(OR(F273="",O273="Fechada",O273="Perdida"),0,IF(O273="Fechamento vencido",3000,IF(O273="Parada",2000,1000))+MIN(N273,500)+E273/1000000-ROW()/100000)</f>
        <v>0</v>
      </c>
    </row>
    <row r="274">
      <c r="A274" s="29" t="n"/>
      <c r="B274" s="29" t="n"/>
      <c r="C274" s="33" t="n"/>
      <c r="D274" s="33" t="n"/>
      <c r="E274" s="31" t="n"/>
      <c r="F274" s="33" t="n"/>
      <c r="G274" s="34" t="n"/>
      <c r="H274" s="34" t="n"/>
      <c r="I274" s="34" t="n"/>
      <c r="J274" s="34" t="n"/>
      <c r="K274" s="29" t="n"/>
      <c r="L274" s="24">
        <f>IF(F274="","",IFERROR(INDEX(Config!$B$11:$B$16,MATCH(F274,Config!$A$11:$A$16,0)),0))</f>
        <v/>
      </c>
      <c r="M274" s="23">
        <f>IF(OR(F274="",E274=""),"",E274*L274)</f>
        <v/>
      </c>
      <c r="N274" s="26">
        <f>IF(OR(F274="",F274="Ganha",F274="Perdida"),"",Config!$B$5-IF(H274="",G274,H274))</f>
        <v/>
      </c>
      <c r="O274" s="22">
        <f>IF(F274="","",IF(F274="Ganha","Fechada",IF(F274="Perdida","Perdida",IF(AND(I274&lt;&gt;"",I274&lt;Config!$B$5),"Fechamento vencido",IF(N274&gt;Config!$B$7,"Parada","Ativa")))))</f>
        <v/>
      </c>
      <c r="P274" s="35">
        <f>IF(OR(F274="",O274="Fechada",O274="Perdida"),0,IF(O274="Fechamento vencido",3000,IF(O274="Parada",2000,1000))+MIN(N274,500)+E274/1000000-ROW()/100000)</f>
        <v>0</v>
      </c>
    </row>
    <row r="275">
      <c r="A275" s="29" t="n"/>
      <c r="B275" s="29" t="n"/>
      <c r="C275" s="33" t="n"/>
      <c r="D275" s="33" t="n"/>
      <c r="E275" s="31" t="n"/>
      <c r="F275" s="33" t="n"/>
      <c r="G275" s="34" t="n"/>
      <c r="H275" s="34" t="n"/>
      <c r="I275" s="34" t="n"/>
      <c r="J275" s="34" t="n"/>
      <c r="K275" s="29" t="n"/>
      <c r="L275" s="24">
        <f>IF(F275="","",IFERROR(INDEX(Config!$B$11:$B$16,MATCH(F275,Config!$A$11:$A$16,0)),0))</f>
        <v/>
      </c>
      <c r="M275" s="23">
        <f>IF(OR(F275="",E275=""),"",E275*L275)</f>
        <v/>
      </c>
      <c r="N275" s="26">
        <f>IF(OR(F275="",F275="Ganha",F275="Perdida"),"",Config!$B$5-IF(H275="",G275,H275))</f>
        <v/>
      </c>
      <c r="O275" s="22">
        <f>IF(F275="","",IF(F275="Ganha","Fechada",IF(F275="Perdida","Perdida",IF(AND(I275&lt;&gt;"",I275&lt;Config!$B$5),"Fechamento vencido",IF(N275&gt;Config!$B$7,"Parada","Ativa")))))</f>
        <v/>
      </c>
      <c r="P275" s="35">
        <f>IF(OR(F275="",O275="Fechada",O275="Perdida"),0,IF(O275="Fechamento vencido",3000,IF(O275="Parada",2000,1000))+MIN(N275,500)+E275/1000000-ROW()/100000)</f>
        <v>0</v>
      </c>
    </row>
    <row r="276">
      <c r="A276" s="29" t="n"/>
      <c r="B276" s="29" t="n"/>
      <c r="C276" s="33" t="n"/>
      <c r="D276" s="33" t="n"/>
      <c r="E276" s="31" t="n"/>
      <c r="F276" s="33" t="n"/>
      <c r="G276" s="34" t="n"/>
      <c r="H276" s="34" t="n"/>
      <c r="I276" s="34" t="n"/>
      <c r="J276" s="34" t="n"/>
      <c r="K276" s="29" t="n"/>
      <c r="L276" s="24">
        <f>IF(F276="","",IFERROR(INDEX(Config!$B$11:$B$16,MATCH(F276,Config!$A$11:$A$16,0)),0))</f>
        <v/>
      </c>
      <c r="M276" s="23">
        <f>IF(OR(F276="",E276=""),"",E276*L276)</f>
        <v/>
      </c>
      <c r="N276" s="26">
        <f>IF(OR(F276="",F276="Ganha",F276="Perdida"),"",Config!$B$5-IF(H276="",G276,H276))</f>
        <v/>
      </c>
      <c r="O276" s="22">
        <f>IF(F276="","",IF(F276="Ganha","Fechada",IF(F276="Perdida","Perdida",IF(AND(I276&lt;&gt;"",I276&lt;Config!$B$5),"Fechamento vencido",IF(N276&gt;Config!$B$7,"Parada","Ativa")))))</f>
        <v/>
      </c>
      <c r="P276" s="35">
        <f>IF(OR(F276="",O276="Fechada",O276="Perdida"),0,IF(O276="Fechamento vencido",3000,IF(O276="Parada",2000,1000))+MIN(N276,500)+E276/1000000-ROW()/100000)</f>
        <v>0</v>
      </c>
    </row>
    <row r="277">
      <c r="A277" s="29" t="n"/>
      <c r="B277" s="29" t="n"/>
      <c r="C277" s="33" t="n"/>
      <c r="D277" s="33" t="n"/>
      <c r="E277" s="31" t="n"/>
      <c r="F277" s="33" t="n"/>
      <c r="G277" s="34" t="n"/>
      <c r="H277" s="34" t="n"/>
      <c r="I277" s="34" t="n"/>
      <c r="J277" s="34" t="n"/>
      <c r="K277" s="29" t="n"/>
      <c r="L277" s="24">
        <f>IF(F277="","",IFERROR(INDEX(Config!$B$11:$B$16,MATCH(F277,Config!$A$11:$A$16,0)),0))</f>
        <v/>
      </c>
      <c r="M277" s="23">
        <f>IF(OR(F277="",E277=""),"",E277*L277)</f>
        <v/>
      </c>
      <c r="N277" s="26">
        <f>IF(OR(F277="",F277="Ganha",F277="Perdida"),"",Config!$B$5-IF(H277="",G277,H277))</f>
        <v/>
      </c>
      <c r="O277" s="22">
        <f>IF(F277="","",IF(F277="Ganha","Fechada",IF(F277="Perdida","Perdida",IF(AND(I277&lt;&gt;"",I277&lt;Config!$B$5),"Fechamento vencido",IF(N277&gt;Config!$B$7,"Parada","Ativa")))))</f>
        <v/>
      </c>
      <c r="P277" s="35">
        <f>IF(OR(F277="",O277="Fechada",O277="Perdida"),0,IF(O277="Fechamento vencido",3000,IF(O277="Parada",2000,1000))+MIN(N277,500)+E277/1000000-ROW()/100000)</f>
        <v>0</v>
      </c>
    </row>
    <row r="278">
      <c r="A278" s="29" t="n"/>
      <c r="B278" s="29" t="n"/>
      <c r="C278" s="33" t="n"/>
      <c r="D278" s="33" t="n"/>
      <c r="E278" s="31" t="n"/>
      <c r="F278" s="33" t="n"/>
      <c r="G278" s="34" t="n"/>
      <c r="H278" s="34" t="n"/>
      <c r="I278" s="34" t="n"/>
      <c r="J278" s="34" t="n"/>
      <c r="K278" s="29" t="n"/>
      <c r="L278" s="24">
        <f>IF(F278="","",IFERROR(INDEX(Config!$B$11:$B$16,MATCH(F278,Config!$A$11:$A$16,0)),0))</f>
        <v/>
      </c>
      <c r="M278" s="23">
        <f>IF(OR(F278="",E278=""),"",E278*L278)</f>
        <v/>
      </c>
      <c r="N278" s="26">
        <f>IF(OR(F278="",F278="Ganha",F278="Perdida"),"",Config!$B$5-IF(H278="",G278,H278))</f>
        <v/>
      </c>
      <c r="O278" s="22">
        <f>IF(F278="","",IF(F278="Ganha","Fechada",IF(F278="Perdida","Perdida",IF(AND(I278&lt;&gt;"",I278&lt;Config!$B$5),"Fechamento vencido",IF(N278&gt;Config!$B$7,"Parada","Ativa")))))</f>
        <v/>
      </c>
      <c r="P278" s="35">
        <f>IF(OR(F278="",O278="Fechada",O278="Perdida"),0,IF(O278="Fechamento vencido",3000,IF(O278="Parada",2000,1000))+MIN(N278,500)+E278/1000000-ROW()/100000)</f>
        <v>0</v>
      </c>
    </row>
    <row r="279">
      <c r="A279" s="29" t="n"/>
      <c r="B279" s="29" t="n"/>
      <c r="C279" s="33" t="n"/>
      <c r="D279" s="33" t="n"/>
      <c r="E279" s="31" t="n"/>
      <c r="F279" s="33" t="n"/>
      <c r="G279" s="34" t="n"/>
      <c r="H279" s="34" t="n"/>
      <c r="I279" s="34" t="n"/>
      <c r="J279" s="34" t="n"/>
      <c r="K279" s="29" t="n"/>
      <c r="L279" s="24">
        <f>IF(F279="","",IFERROR(INDEX(Config!$B$11:$B$16,MATCH(F279,Config!$A$11:$A$16,0)),0))</f>
        <v/>
      </c>
      <c r="M279" s="23">
        <f>IF(OR(F279="",E279=""),"",E279*L279)</f>
        <v/>
      </c>
      <c r="N279" s="26">
        <f>IF(OR(F279="",F279="Ganha",F279="Perdida"),"",Config!$B$5-IF(H279="",G279,H279))</f>
        <v/>
      </c>
      <c r="O279" s="22">
        <f>IF(F279="","",IF(F279="Ganha","Fechada",IF(F279="Perdida","Perdida",IF(AND(I279&lt;&gt;"",I279&lt;Config!$B$5),"Fechamento vencido",IF(N279&gt;Config!$B$7,"Parada","Ativa")))))</f>
        <v/>
      </c>
      <c r="P279" s="35">
        <f>IF(OR(F279="",O279="Fechada",O279="Perdida"),0,IF(O279="Fechamento vencido",3000,IF(O279="Parada",2000,1000))+MIN(N279,500)+E279/1000000-ROW()/100000)</f>
        <v>0</v>
      </c>
    </row>
    <row r="280">
      <c r="A280" s="29" t="n"/>
      <c r="B280" s="29" t="n"/>
      <c r="C280" s="33" t="n"/>
      <c r="D280" s="33" t="n"/>
      <c r="E280" s="31" t="n"/>
      <c r="F280" s="33" t="n"/>
      <c r="G280" s="34" t="n"/>
      <c r="H280" s="34" t="n"/>
      <c r="I280" s="34" t="n"/>
      <c r="J280" s="34" t="n"/>
      <c r="K280" s="29" t="n"/>
      <c r="L280" s="24">
        <f>IF(F280="","",IFERROR(INDEX(Config!$B$11:$B$16,MATCH(F280,Config!$A$11:$A$16,0)),0))</f>
        <v/>
      </c>
      <c r="M280" s="23">
        <f>IF(OR(F280="",E280=""),"",E280*L280)</f>
        <v/>
      </c>
      <c r="N280" s="26">
        <f>IF(OR(F280="",F280="Ganha",F280="Perdida"),"",Config!$B$5-IF(H280="",G280,H280))</f>
        <v/>
      </c>
      <c r="O280" s="22">
        <f>IF(F280="","",IF(F280="Ganha","Fechada",IF(F280="Perdida","Perdida",IF(AND(I280&lt;&gt;"",I280&lt;Config!$B$5),"Fechamento vencido",IF(N280&gt;Config!$B$7,"Parada","Ativa")))))</f>
        <v/>
      </c>
      <c r="P280" s="35">
        <f>IF(OR(F280="",O280="Fechada",O280="Perdida"),0,IF(O280="Fechamento vencido",3000,IF(O280="Parada",2000,1000))+MIN(N280,500)+E280/1000000-ROW()/100000)</f>
        <v>0</v>
      </c>
    </row>
    <row r="281">
      <c r="A281" s="29" t="n"/>
      <c r="B281" s="29" t="n"/>
      <c r="C281" s="33" t="n"/>
      <c r="D281" s="33" t="n"/>
      <c r="E281" s="31" t="n"/>
      <c r="F281" s="33" t="n"/>
      <c r="G281" s="34" t="n"/>
      <c r="H281" s="34" t="n"/>
      <c r="I281" s="34" t="n"/>
      <c r="J281" s="34" t="n"/>
      <c r="K281" s="29" t="n"/>
      <c r="L281" s="24">
        <f>IF(F281="","",IFERROR(INDEX(Config!$B$11:$B$16,MATCH(F281,Config!$A$11:$A$16,0)),0))</f>
        <v/>
      </c>
      <c r="M281" s="23">
        <f>IF(OR(F281="",E281=""),"",E281*L281)</f>
        <v/>
      </c>
      <c r="N281" s="26">
        <f>IF(OR(F281="",F281="Ganha",F281="Perdida"),"",Config!$B$5-IF(H281="",G281,H281))</f>
        <v/>
      </c>
      <c r="O281" s="22">
        <f>IF(F281="","",IF(F281="Ganha","Fechada",IF(F281="Perdida","Perdida",IF(AND(I281&lt;&gt;"",I281&lt;Config!$B$5),"Fechamento vencido",IF(N281&gt;Config!$B$7,"Parada","Ativa")))))</f>
        <v/>
      </c>
      <c r="P281" s="35">
        <f>IF(OR(F281="",O281="Fechada",O281="Perdida"),0,IF(O281="Fechamento vencido",3000,IF(O281="Parada",2000,1000))+MIN(N281,500)+E281/1000000-ROW()/100000)</f>
        <v>0</v>
      </c>
    </row>
    <row r="282">
      <c r="A282" s="29" t="n"/>
      <c r="B282" s="29" t="n"/>
      <c r="C282" s="33" t="n"/>
      <c r="D282" s="33" t="n"/>
      <c r="E282" s="31" t="n"/>
      <c r="F282" s="33" t="n"/>
      <c r="G282" s="34" t="n"/>
      <c r="H282" s="34" t="n"/>
      <c r="I282" s="34" t="n"/>
      <c r="J282" s="34" t="n"/>
      <c r="K282" s="29" t="n"/>
      <c r="L282" s="24">
        <f>IF(F282="","",IFERROR(INDEX(Config!$B$11:$B$16,MATCH(F282,Config!$A$11:$A$16,0)),0))</f>
        <v/>
      </c>
      <c r="M282" s="23">
        <f>IF(OR(F282="",E282=""),"",E282*L282)</f>
        <v/>
      </c>
      <c r="N282" s="26">
        <f>IF(OR(F282="",F282="Ganha",F282="Perdida"),"",Config!$B$5-IF(H282="",G282,H282))</f>
        <v/>
      </c>
      <c r="O282" s="22">
        <f>IF(F282="","",IF(F282="Ganha","Fechada",IF(F282="Perdida","Perdida",IF(AND(I282&lt;&gt;"",I282&lt;Config!$B$5),"Fechamento vencido",IF(N282&gt;Config!$B$7,"Parada","Ativa")))))</f>
        <v/>
      </c>
      <c r="P282" s="35">
        <f>IF(OR(F282="",O282="Fechada",O282="Perdida"),0,IF(O282="Fechamento vencido",3000,IF(O282="Parada",2000,1000))+MIN(N282,500)+E282/1000000-ROW()/100000)</f>
        <v>0</v>
      </c>
    </row>
    <row r="283">
      <c r="A283" s="29" t="n"/>
      <c r="B283" s="29" t="n"/>
      <c r="C283" s="33" t="n"/>
      <c r="D283" s="33" t="n"/>
      <c r="E283" s="31" t="n"/>
      <c r="F283" s="33" t="n"/>
      <c r="G283" s="34" t="n"/>
      <c r="H283" s="34" t="n"/>
      <c r="I283" s="34" t="n"/>
      <c r="J283" s="34" t="n"/>
      <c r="K283" s="29" t="n"/>
      <c r="L283" s="24">
        <f>IF(F283="","",IFERROR(INDEX(Config!$B$11:$B$16,MATCH(F283,Config!$A$11:$A$16,0)),0))</f>
        <v/>
      </c>
      <c r="M283" s="23">
        <f>IF(OR(F283="",E283=""),"",E283*L283)</f>
        <v/>
      </c>
      <c r="N283" s="26">
        <f>IF(OR(F283="",F283="Ganha",F283="Perdida"),"",Config!$B$5-IF(H283="",G283,H283))</f>
        <v/>
      </c>
      <c r="O283" s="22">
        <f>IF(F283="","",IF(F283="Ganha","Fechada",IF(F283="Perdida","Perdida",IF(AND(I283&lt;&gt;"",I283&lt;Config!$B$5),"Fechamento vencido",IF(N283&gt;Config!$B$7,"Parada","Ativa")))))</f>
        <v/>
      </c>
      <c r="P283" s="35">
        <f>IF(OR(F283="",O283="Fechada",O283="Perdida"),0,IF(O283="Fechamento vencido",3000,IF(O283="Parada",2000,1000))+MIN(N283,500)+E283/1000000-ROW()/100000)</f>
        <v>0</v>
      </c>
    </row>
    <row r="284">
      <c r="A284" s="29" t="n"/>
      <c r="B284" s="29" t="n"/>
      <c r="C284" s="33" t="n"/>
      <c r="D284" s="33" t="n"/>
      <c r="E284" s="31" t="n"/>
      <c r="F284" s="33" t="n"/>
      <c r="G284" s="34" t="n"/>
      <c r="H284" s="34" t="n"/>
      <c r="I284" s="34" t="n"/>
      <c r="J284" s="34" t="n"/>
      <c r="K284" s="29" t="n"/>
      <c r="L284" s="24">
        <f>IF(F284="","",IFERROR(INDEX(Config!$B$11:$B$16,MATCH(F284,Config!$A$11:$A$16,0)),0))</f>
        <v/>
      </c>
      <c r="M284" s="23">
        <f>IF(OR(F284="",E284=""),"",E284*L284)</f>
        <v/>
      </c>
      <c r="N284" s="26">
        <f>IF(OR(F284="",F284="Ganha",F284="Perdida"),"",Config!$B$5-IF(H284="",G284,H284))</f>
        <v/>
      </c>
      <c r="O284" s="22">
        <f>IF(F284="","",IF(F284="Ganha","Fechada",IF(F284="Perdida","Perdida",IF(AND(I284&lt;&gt;"",I284&lt;Config!$B$5),"Fechamento vencido",IF(N284&gt;Config!$B$7,"Parada","Ativa")))))</f>
        <v/>
      </c>
      <c r="P284" s="35">
        <f>IF(OR(F284="",O284="Fechada",O284="Perdida"),0,IF(O284="Fechamento vencido",3000,IF(O284="Parada",2000,1000))+MIN(N284,500)+E284/1000000-ROW()/100000)</f>
        <v>0</v>
      </c>
    </row>
    <row r="285">
      <c r="A285" s="29" t="n"/>
      <c r="B285" s="29" t="n"/>
      <c r="C285" s="33" t="n"/>
      <c r="D285" s="33" t="n"/>
      <c r="E285" s="31" t="n"/>
      <c r="F285" s="33" t="n"/>
      <c r="G285" s="34" t="n"/>
      <c r="H285" s="34" t="n"/>
      <c r="I285" s="34" t="n"/>
      <c r="J285" s="34" t="n"/>
      <c r="K285" s="29" t="n"/>
      <c r="L285" s="24">
        <f>IF(F285="","",IFERROR(INDEX(Config!$B$11:$B$16,MATCH(F285,Config!$A$11:$A$16,0)),0))</f>
        <v/>
      </c>
      <c r="M285" s="23">
        <f>IF(OR(F285="",E285=""),"",E285*L285)</f>
        <v/>
      </c>
      <c r="N285" s="26">
        <f>IF(OR(F285="",F285="Ganha",F285="Perdida"),"",Config!$B$5-IF(H285="",G285,H285))</f>
        <v/>
      </c>
      <c r="O285" s="22">
        <f>IF(F285="","",IF(F285="Ganha","Fechada",IF(F285="Perdida","Perdida",IF(AND(I285&lt;&gt;"",I285&lt;Config!$B$5),"Fechamento vencido",IF(N285&gt;Config!$B$7,"Parada","Ativa")))))</f>
        <v/>
      </c>
      <c r="P285" s="35">
        <f>IF(OR(F285="",O285="Fechada",O285="Perdida"),0,IF(O285="Fechamento vencido",3000,IF(O285="Parada",2000,1000))+MIN(N285,500)+E285/1000000-ROW()/100000)</f>
        <v>0</v>
      </c>
    </row>
    <row r="286">
      <c r="A286" s="29" t="n"/>
      <c r="B286" s="29" t="n"/>
      <c r="C286" s="33" t="n"/>
      <c r="D286" s="33" t="n"/>
      <c r="E286" s="31" t="n"/>
      <c r="F286" s="33" t="n"/>
      <c r="G286" s="34" t="n"/>
      <c r="H286" s="34" t="n"/>
      <c r="I286" s="34" t="n"/>
      <c r="J286" s="34" t="n"/>
      <c r="K286" s="29" t="n"/>
      <c r="L286" s="24">
        <f>IF(F286="","",IFERROR(INDEX(Config!$B$11:$B$16,MATCH(F286,Config!$A$11:$A$16,0)),0))</f>
        <v/>
      </c>
      <c r="M286" s="23">
        <f>IF(OR(F286="",E286=""),"",E286*L286)</f>
        <v/>
      </c>
      <c r="N286" s="26">
        <f>IF(OR(F286="",F286="Ganha",F286="Perdida"),"",Config!$B$5-IF(H286="",G286,H286))</f>
        <v/>
      </c>
      <c r="O286" s="22">
        <f>IF(F286="","",IF(F286="Ganha","Fechada",IF(F286="Perdida","Perdida",IF(AND(I286&lt;&gt;"",I286&lt;Config!$B$5),"Fechamento vencido",IF(N286&gt;Config!$B$7,"Parada","Ativa")))))</f>
        <v/>
      </c>
      <c r="P286" s="35">
        <f>IF(OR(F286="",O286="Fechada",O286="Perdida"),0,IF(O286="Fechamento vencido",3000,IF(O286="Parada",2000,1000))+MIN(N286,500)+E286/1000000-ROW()/100000)</f>
        <v>0</v>
      </c>
    </row>
    <row r="287">
      <c r="A287" s="29" t="n"/>
      <c r="B287" s="29" t="n"/>
      <c r="C287" s="33" t="n"/>
      <c r="D287" s="33" t="n"/>
      <c r="E287" s="31" t="n"/>
      <c r="F287" s="33" t="n"/>
      <c r="G287" s="34" t="n"/>
      <c r="H287" s="34" t="n"/>
      <c r="I287" s="34" t="n"/>
      <c r="J287" s="34" t="n"/>
      <c r="K287" s="29" t="n"/>
      <c r="L287" s="24">
        <f>IF(F287="","",IFERROR(INDEX(Config!$B$11:$B$16,MATCH(F287,Config!$A$11:$A$16,0)),0))</f>
        <v/>
      </c>
      <c r="M287" s="23">
        <f>IF(OR(F287="",E287=""),"",E287*L287)</f>
        <v/>
      </c>
      <c r="N287" s="26">
        <f>IF(OR(F287="",F287="Ganha",F287="Perdida"),"",Config!$B$5-IF(H287="",G287,H287))</f>
        <v/>
      </c>
      <c r="O287" s="22">
        <f>IF(F287="","",IF(F287="Ganha","Fechada",IF(F287="Perdida","Perdida",IF(AND(I287&lt;&gt;"",I287&lt;Config!$B$5),"Fechamento vencido",IF(N287&gt;Config!$B$7,"Parada","Ativa")))))</f>
        <v/>
      </c>
      <c r="P287" s="35">
        <f>IF(OR(F287="",O287="Fechada",O287="Perdida"),0,IF(O287="Fechamento vencido",3000,IF(O287="Parada",2000,1000))+MIN(N287,500)+E287/1000000-ROW()/100000)</f>
        <v>0</v>
      </c>
    </row>
    <row r="288">
      <c r="A288" s="29" t="n"/>
      <c r="B288" s="29" t="n"/>
      <c r="C288" s="33" t="n"/>
      <c r="D288" s="33" t="n"/>
      <c r="E288" s="31" t="n"/>
      <c r="F288" s="33" t="n"/>
      <c r="G288" s="34" t="n"/>
      <c r="H288" s="34" t="n"/>
      <c r="I288" s="34" t="n"/>
      <c r="J288" s="34" t="n"/>
      <c r="K288" s="29" t="n"/>
      <c r="L288" s="24">
        <f>IF(F288="","",IFERROR(INDEX(Config!$B$11:$B$16,MATCH(F288,Config!$A$11:$A$16,0)),0))</f>
        <v/>
      </c>
      <c r="M288" s="23">
        <f>IF(OR(F288="",E288=""),"",E288*L288)</f>
        <v/>
      </c>
      <c r="N288" s="26">
        <f>IF(OR(F288="",F288="Ganha",F288="Perdida"),"",Config!$B$5-IF(H288="",G288,H288))</f>
        <v/>
      </c>
      <c r="O288" s="22">
        <f>IF(F288="","",IF(F288="Ganha","Fechada",IF(F288="Perdida","Perdida",IF(AND(I288&lt;&gt;"",I288&lt;Config!$B$5),"Fechamento vencido",IF(N288&gt;Config!$B$7,"Parada","Ativa")))))</f>
        <v/>
      </c>
      <c r="P288" s="35">
        <f>IF(OR(F288="",O288="Fechada",O288="Perdida"),0,IF(O288="Fechamento vencido",3000,IF(O288="Parada",2000,1000))+MIN(N288,500)+E288/1000000-ROW()/100000)</f>
        <v>0</v>
      </c>
    </row>
    <row r="289">
      <c r="A289" s="29" t="n"/>
      <c r="B289" s="29" t="n"/>
      <c r="C289" s="33" t="n"/>
      <c r="D289" s="33" t="n"/>
      <c r="E289" s="31" t="n"/>
      <c r="F289" s="33" t="n"/>
      <c r="G289" s="34" t="n"/>
      <c r="H289" s="34" t="n"/>
      <c r="I289" s="34" t="n"/>
      <c r="J289" s="34" t="n"/>
      <c r="K289" s="29" t="n"/>
      <c r="L289" s="24">
        <f>IF(F289="","",IFERROR(INDEX(Config!$B$11:$B$16,MATCH(F289,Config!$A$11:$A$16,0)),0))</f>
        <v/>
      </c>
      <c r="M289" s="23">
        <f>IF(OR(F289="",E289=""),"",E289*L289)</f>
        <v/>
      </c>
      <c r="N289" s="26">
        <f>IF(OR(F289="",F289="Ganha",F289="Perdida"),"",Config!$B$5-IF(H289="",G289,H289))</f>
        <v/>
      </c>
      <c r="O289" s="22">
        <f>IF(F289="","",IF(F289="Ganha","Fechada",IF(F289="Perdida","Perdida",IF(AND(I289&lt;&gt;"",I289&lt;Config!$B$5),"Fechamento vencido",IF(N289&gt;Config!$B$7,"Parada","Ativa")))))</f>
        <v/>
      </c>
      <c r="P289" s="35">
        <f>IF(OR(F289="",O289="Fechada",O289="Perdida"),0,IF(O289="Fechamento vencido",3000,IF(O289="Parada",2000,1000))+MIN(N289,500)+E289/1000000-ROW()/100000)</f>
        <v>0</v>
      </c>
    </row>
    <row r="290">
      <c r="A290" s="29" t="n"/>
      <c r="B290" s="29" t="n"/>
      <c r="C290" s="33" t="n"/>
      <c r="D290" s="33" t="n"/>
      <c r="E290" s="31" t="n"/>
      <c r="F290" s="33" t="n"/>
      <c r="G290" s="34" t="n"/>
      <c r="H290" s="34" t="n"/>
      <c r="I290" s="34" t="n"/>
      <c r="J290" s="34" t="n"/>
      <c r="K290" s="29" t="n"/>
      <c r="L290" s="24">
        <f>IF(F290="","",IFERROR(INDEX(Config!$B$11:$B$16,MATCH(F290,Config!$A$11:$A$16,0)),0))</f>
        <v/>
      </c>
      <c r="M290" s="23">
        <f>IF(OR(F290="",E290=""),"",E290*L290)</f>
        <v/>
      </c>
      <c r="N290" s="26">
        <f>IF(OR(F290="",F290="Ganha",F290="Perdida"),"",Config!$B$5-IF(H290="",G290,H290))</f>
        <v/>
      </c>
      <c r="O290" s="22">
        <f>IF(F290="","",IF(F290="Ganha","Fechada",IF(F290="Perdida","Perdida",IF(AND(I290&lt;&gt;"",I290&lt;Config!$B$5),"Fechamento vencido",IF(N290&gt;Config!$B$7,"Parada","Ativa")))))</f>
        <v/>
      </c>
      <c r="P290" s="35">
        <f>IF(OR(F290="",O290="Fechada",O290="Perdida"),0,IF(O290="Fechamento vencido",3000,IF(O290="Parada",2000,1000))+MIN(N290,500)+E290/1000000-ROW()/100000)</f>
        <v>0</v>
      </c>
    </row>
    <row r="291">
      <c r="A291" s="29" t="n"/>
      <c r="B291" s="29" t="n"/>
      <c r="C291" s="33" t="n"/>
      <c r="D291" s="33" t="n"/>
      <c r="E291" s="31" t="n"/>
      <c r="F291" s="33" t="n"/>
      <c r="G291" s="34" t="n"/>
      <c r="H291" s="34" t="n"/>
      <c r="I291" s="34" t="n"/>
      <c r="J291" s="34" t="n"/>
      <c r="K291" s="29" t="n"/>
      <c r="L291" s="24">
        <f>IF(F291="","",IFERROR(INDEX(Config!$B$11:$B$16,MATCH(F291,Config!$A$11:$A$16,0)),0))</f>
        <v/>
      </c>
      <c r="M291" s="23">
        <f>IF(OR(F291="",E291=""),"",E291*L291)</f>
        <v/>
      </c>
      <c r="N291" s="26">
        <f>IF(OR(F291="",F291="Ganha",F291="Perdida"),"",Config!$B$5-IF(H291="",G291,H291))</f>
        <v/>
      </c>
      <c r="O291" s="22">
        <f>IF(F291="","",IF(F291="Ganha","Fechada",IF(F291="Perdida","Perdida",IF(AND(I291&lt;&gt;"",I291&lt;Config!$B$5),"Fechamento vencido",IF(N291&gt;Config!$B$7,"Parada","Ativa")))))</f>
        <v/>
      </c>
      <c r="P291" s="35">
        <f>IF(OR(F291="",O291="Fechada",O291="Perdida"),0,IF(O291="Fechamento vencido",3000,IF(O291="Parada",2000,1000))+MIN(N291,500)+E291/1000000-ROW()/100000)</f>
        <v>0</v>
      </c>
    </row>
    <row r="292">
      <c r="A292" s="29" t="n"/>
      <c r="B292" s="29" t="n"/>
      <c r="C292" s="33" t="n"/>
      <c r="D292" s="33" t="n"/>
      <c r="E292" s="31" t="n"/>
      <c r="F292" s="33" t="n"/>
      <c r="G292" s="34" t="n"/>
      <c r="H292" s="34" t="n"/>
      <c r="I292" s="34" t="n"/>
      <c r="J292" s="34" t="n"/>
      <c r="K292" s="29" t="n"/>
      <c r="L292" s="24">
        <f>IF(F292="","",IFERROR(INDEX(Config!$B$11:$B$16,MATCH(F292,Config!$A$11:$A$16,0)),0))</f>
        <v/>
      </c>
      <c r="M292" s="23">
        <f>IF(OR(F292="",E292=""),"",E292*L292)</f>
        <v/>
      </c>
      <c r="N292" s="26">
        <f>IF(OR(F292="",F292="Ganha",F292="Perdida"),"",Config!$B$5-IF(H292="",G292,H292))</f>
        <v/>
      </c>
      <c r="O292" s="22">
        <f>IF(F292="","",IF(F292="Ganha","Fechada",IF(F292="Perdida","Perdida",IF(AND(I292&lt;&gt;"",I292&lt;Config!$B$5),"Fechamento vencido",IF(N292&gt;Config!$B$7,"Parada","Ativa")))))</f>
        <v/>
      </c>
      <c r="P292" s="35">
        <f>IF(OR(F292="",O292="Fechada",O292="Perdida"),0,IF(O292="Fechamento vencido",3000,IF(O292="Parada",2000,1000))+MIN(N292,500)+E292/1000000-ROW()/100000)</f>
        <v>0</v>
      </c>
    </row>
    <row r="293">
      <c r="A293" s="29" t="n"/>
      <c r="B293" s="29" t="n"/>
      <c r="C293" s="33" t="n"/>
      <c r="D293" s="33" t="n"/>
      <c r="E293" s="31" t="n"/>
      <c r="F293" s="33" t="n"/>
      <c r="G293" s="34" t="n"/>
      <c r="H293" s="34" t="n"/>
      <c r="I293" s="34" t="n"/>
      <c r="J293" s="34" t="n"/>
      <c r="K293" s="29" t="n"/>
      <c r="L293" s="24">
        <f>IF(F293="","",IFERROR(INDEX(Config!$B$11:$B$16,MATCH(F293,Config!$A$11:$A$16,0)),0))</f>
        <v/>
      </c>
      <c r="M293" s="23">
        <f>IF(OR(F293="",E293=""),"",E293*L293)</f>
        <v/>
      </c>
      <c r="N293" s="26">
        <f>IF(OR(F293="",F293="Ganha",F293="Perdida"),"",Config!$B$5-IF(H293="",G293,H293))</f>
        <v/>
      </c>
      <c r="O293" s="22">
        <f>IF(F293="","",IF(F293="Ganha","Fechada",IF(F293="Perdida","Perdida",IF(AND(I293&lt;&gt;"",I293&lt;Config!$B$5),"Fechamento vencido",IF(N293&gt;Config!$B$7,"Parada","Ativa")))))</f>
        <v/>
      </c>
      <c r="P293" s="35">
        <f>IF(OR(F293="",O293="Fechada",O293="Perdida"),0,IF(O293="Fechamento vencido",3000,IF(O293="Parada",2000,1000))+MIN(N293,500)+E293/1000000-ROW()/100000)</f>
        <v>0</v>
      </c>
    </row>
    <row r="294">
      <c r="A294" s="29" t="n"/>
      <c r="B294" s="29" t="n"/>
      <c r="C294" s="33" t="n"/>
      <c r="D294" s="33" t="n"/>
      <c r="E294" s="31" t="n"/>
      <c r="F294" s="33" t="n"/>
      <c r="G294" s="34" t="n"/>
      <c r="H294" s="34" t="n"/>
      <c r="I294" s="34" t="n"/>
      <c r="J294" s="34" t="n"/>
      <c r="K294" s="29" t="n"/>
      <c r="L294" s="24">
        <f>IF(F294="","",IFERROR(INDEX(Config!$B$11:$B$16,MATCH(F294,Config!$A$11:$A$16,0)),0))</f>
        <v/>
      </c>
      <c r="M294" s="23">
        <f>IF(OR(F294="",E294=""),"",E294*L294)</f>
        <v/>
      </c>
      <c r="N294" s="26">
        <f>IF(OR(F294="",F294="Ganha",F294="Perdida"),"",Config!$B$5-IF(H294="",G294,H294))</f>
        <v/>
      </c>
      <c r="O294" s="22">
        <f>IF(F294="","",IF(F294="Ganha","Fechada",IF(F294="Perdida","Perdida",IF(AND(I294&lt;&gt;"",I294&lt;Config!$B$5),"Fechamento vencido",IF(N294&gt;Config!$B$7,"Parada","Ativa")))))</f>
        <v/>
      </c>
      <c r="P294" s="35">
        <f>IF(OR(F294="",O294="Fechada",O294="Perdida"),0,IF(O294="Fechamento vencido",3000,IF(O294="Parada",2000,1000))+MIN(N294,500)+E294/1000000-ROW()/100000)</f>
        <v>0</v>
      </c>
    </row>
    <row r="295">
      <c r="A295" s="29" t="n"/>
      <c r="B295" s="29" t="n"/>
      <c r="C295" s="33" t="n"/>
      <c r="D295" s="33" t="n"/>
      <c r="E295" s="31" t="n"/>
      <c r="F295" s="33" t="n"/>
      <c r="G295" s="34" t="n"/>
      <c r="H295" s="34" t="n"/>
      <c r="I295" s="34" t="n"/>
      <c r="J295" s="34" t="n"/>
      <c r="K295" s="29" t="n"/>
      <c r="L295" s="24">
        <f>IF(F295="","",IFERROR(INDEX(Config!$B$11:$B$16,MATCH(F295,Config!$A$11:$A$16,0)),0))</f>
        <v/>
      </c>
      <c r="M295" s="23">
        <f>IF(OR(F295="",E295=""),"",E295*L295)</f>
        <v/>
      </c>
      <c r="N295" s="26">
        <f>IF(OR(F295="",F295="Ganha",F295="Perdida"),"",Config!$B$5-IF(H295="",G295,H295))</f>
        <v/>
      </c>
      <c r="O295" s="22">
        <f>IF(F295="","",IF(F295="Ganha","Fechada",IF(F295="Perdida","Perdida",IF(AND(I295&lt;&gt;"",I295&lt;Config!$B$5),"Fechamento vencido",IF(N295&gt;Config!$B$7,"Parada","Ativa")))))</f>
        <v/>
      </c>
      <c r="P295" s="35">
        <f>IF(OR(F295="",O295="Fechada",O295="Perdida"),0,IF(O295="Fechamento vencido",3000,IF(O295="Parada",2000,1000))+MIN(N295,500)+E295/1000000-ROW()/100000)</f>
        <v>0</v>
      </c>
    </row>
    <row r="296">
      <c r="A296" s="29" t="n"/>
      <c r="B296" s="29" t="n"/>
      <c r="C296" s="33" t="n"/>
      <c r="D296" s="33" t="n"/>
      <c r="E296" s="31" t="n"/>
      <c r="F296" s="33" t="n"/>
      <c r="G296" s="34" t="n"/>
      <c r="H296" s="34" t="n"/>
      <c r="I296" s="34" t="n"/>
      <c r="J296" s="34" t="n"/>
      <c r="K296" s="29" t="n"/>
      <c r="L296" s="24">
        <f>IF(F296="","",IFERROR(INDEX(Config!$B$11:$B$16,MATCH(F296,Config!$A$11:$A$16,0)),0))</f>
        <v/>
      </c>
      <c r="M296" s="23">
        <f>IF(OR(F296="",E296=""),"",E296*L296)</f>
        <v/>
      </c>
      <c r="N296" s="26">
        <f>IF(OR(F296="",F296="Ganha",F296="Perdida"),"",Config!$B$5-IF(H296="",G296,H296))</f>
        <v/>
      </c>
      <c r="O296" s="22">
        <f>IF(F296="","",IF(F296="Ganha","Fechada",IF(F296="Perdida","Perdida",IF(AND(I296&lt;&gt;"",I296&lt;Config!$B$5),"Fechamento vencido",IF(N296&gt;Config!$B$7,"Parada","Ativa")))))</f>
        <v/>
      </c>
      <c r="P296" s="35">
        <f>IF(OR(F296="",O296="Fechada",O296="Perdida"),0,IF(O296="Fechamento vencido",3000,IF(O296="Parada",2000,1000))+MIN(N296,500)+E296/1000000-ROW()/100000)</f>
        <v>0</v>
      </c>
    </row>
    <row r="297">
      <c r="A297" s="29" t="n"/>
      <c r="B297" s="29" t="n"/>
      <c r="C297" s="33" t="n"/>
      <c r="D297" s="33" t="n"/>
      <c r="E297" s="31" t="n"/>
      <c r="F297" s="33" t="n"/>
      <c r="G297" s="34" t="n"/>
      <c r="H297" s="34" t="n"/>
      <c r="I297" s="34" t="n"/>
      <c r="J297" s="34" t="n"/>
      <c r="K297" s="29" t="n"/>
      <c r="L297" s="24">
        <f>IF(F297="","",IFERROR(INDEX(Config!$B$11:$B$16,MATCH(F297,Config!$A$11:$A$16,0)),0))</f>
        <v/>
      </c>
      <c r="M297" s="23">
        <f>IF(OR(F297="",E297=""),"",E297*L297)</f>
        <v/>
      </c>
      <c r="N297" s="26">
        <f>IF(OR(F297="",F297="Ganha",F297="Perdida"),"",Config!$B$5-IF(H297="",G297,H297))</f>
        <v/>
      </c>
      <c r="O297" s="22">
        <f>IF(F297="","",IF(F297="Ganha","Fechada",IF(F297="Perdida","Perdida",IF(AND(I297&lt;&gt;"",I297&lt;Config!$B$5),"Fechamento vencido",IF(N297&gt;Config!$B$7,"Parada","Ativa")))))</f>
        <v/>
      </c>
      <c r="P297" s="35">
        <f>IF(OR(F297="",O297="Fechada",O297="Perdida"),0,IF(O297="Fechamento vencido",3000,IF(O297="Parada",2000,1000))+MIN(N297,500)+E297/1000000-ROW()/100000)</f>
        <v>0</v>
      </c>
    </row>
    <row r="298">
      <c r="A298" s="29" t="n"/>
      <c r="B298" s="29" t="n"/>
      <c r="C298" s="33" t="n"/>
      <c r="D298" s="33" t="n"/>
      <c r="E298" s="31" t="n"/>
      <c r="F298" s="33" t="n"/>
      <c r="G298" s="34" t="n"/>
      <c r="H298" s="34" t="n"/>
      <c r="I298" s="34" t="n"/>
      <c r="J298" s="34" t="n"/>
      <c r="K298" s="29" t="n"/>
      <c r="L298" s="24">
        <f>IF(F298="","",IFERROR(INDEX(Config!$B$11:$B$16,MATCH(F298,Config!$A$11:$A$16,0)),0))</f>
        <v/>
      </c>
      <c r="M298" s="23">
        <f>IF(OR(F298="",E298=""),"",E298*L298)</f>
        <v/>
      </c>
      <c r="N298" s="26">
        <f>IF(OR(F298="",F298="Ganha",F298="Perdida"),"",Config!$B$5-IF(H298="",G298,H298))</f>
        <v/>
      </c>
      <c r="O298" s="22">
        <f>IF(F298="","",IF(F298="Ganha","Fechada",IF(F298="Perdida","Perdida",IF(AND(I298&lt;&gt;"",I298&lt;Config!$B$5),"Fechamento vencido",IF(N298&gt;Config!$B$7,"Parada","Ativa")))))</f>
        <v/>
      </c>
      <c r="P298" s="35">
        <f>IF(OR(F298="",O298="Fechada",O298="Perdida"),0,IF(O298="Fechamento vencido",3000,IF(O298="Parada",2000,1000))+MIN(N298,500)+E298/1000000-ROW()/100000)</f>
        <v>0</v>
      </c>
    </row>
    <row r="299">
      <c r="A299" s="29" t="n"/>
      <c r="B299" s="29" t="n"/>
      <c r="C299" s="33" t="n"/>
      <c r="D299" s="33" t="n"/>
      <c r="E299" s="31" t="n"/>
      <c r="F299" s="33" t="n"/>
      <c r="G299" s="34" t="n"/>
      <c r="H299" s="34" t="n"/>
      <c r="I299" s="34" t="n"/>
      <c r="J299" s="34" t="n"/>
      <c r="K299" s="29" t="n"/>
      <c r="L299" s="24">
        <f>IF(F299="","",IFERROR(INDEX(Config!$B$11:$B$16,MATCH(F299,Config!$A$11:$A$16,0)),0))</f>
        <v/>
      </c>
      <c r="M299" s="23">
        <f>IF(OR(F299="",E299=""),"",E299*L299)</f>
        <v/>
      </c>
      <c r="N299" s="26">
        <f>IF(OR(F299="",F299="Ganha",F299="Perdida"),"",Config!$B$5-IF(H299="",G299,H299))</f>
        <v/>
      </c>
      <c r="O299" s="22">
        <f>IF(F299="","",IF(F299="Ganha","Fechada",IF(F299="Perdida","Perdida",IF(AND(I299&lt;&gt;"",I299&lt;Config!$B$5),"Fechamento vencido",IF(N299&gt;Config!$B$7,"Parada","Ativa")))))</f>
        <v/>
      </c>
      <c r="P299" s="35">
        <f>IF(OR(F299="",O299="Fechada",O299="Perdida"),0,IF(O299="Fechamento vencido",3000,IF(O299="Parada",2000,1000))+MIN(N299,500)+E299/1000000-ROW()/100000)</f>
        <v>0</v>
      </c>
    </row>
    <row r="300">
      <c r="A300" s="29" t="n"/>
      <c r="B300" s="29" t="n"/>
      <c r="C300" s="33" t="n"/>
      <c r="D300" s="33" t="n"/>
      <c r="E300" s="31" t="n"/>
      <c r="F300" s="33" t="n"/>
      <c r="G300" s="34" t="n"/>
      <c r="H300" s="34" t="n"/>
      <c r="I300" s="34" t="n"/>
      <c r="J300" s="34" t="n"/>
      <c r="K300" s="29" t="n"/>
      <c r="L300" s="24">
        <f>IF(F300="","",IFERROR(INDEX(Config!$B$11:$B$16,MATCH(F300,Config!$A$11:$A$16,0)),0))</f>
        <v/>
      </c>
      <c r="M300" s="23">
        <f>IF(OR(F300="",E300=""),"",E300*L300)</f>
        <v/>
      </c>
      <c r="N300" s="26">
        <f>IF(OR(F300="",F300="Ganha",F300="Perdida"),"",Config!$B$5-IF(H300="",G300,H300))</f>
        <v/>
      </c>
      <c r="O300" s="22">
        <f>IF(F300="","",IF(F300="Ganha","Fechada",IF(F300="Perdida","Perdida",IF(AND(I300&lt;&gt;"",I300&lt;Config!$B$5),"Fechamento vencido",IF(N300&gt;Config!$B$7,"Parada","Ativa")))))</f>
        <v/>
      </c>
      <c r="P300" s="35">
        <f>IF(OR(F300="",O300="Fechada",O300="Perdida"),0,IF(O300="Fechamento vencido",3000,IF(O300="Parada",2000,1000))+MIN(N300,500)+E300/1000000-ROW()/100000)</f>
        <v>0</v>
      </c>
    </row>
    <row r="301">
      <c r="A301" s="29" t="n"/>
      <c r="B301" s="29" t="n"/>
      <c r="C301" s="33" t="n"/>
      <c r="D301" s="33" t="n"/>
      <c r="E301" s="31" t="n"/>
      <c r="F301" s="33" t="n"/>
      <c r="G301" s="34" t="n"/>
      <c r="H301" s="34" t="n"/>
      <c r="I301" s="34" t="n"/>
      <c r="J301" s="34" t="n"/>
      <c r="K301" s="29" t="n"/>
      <c r="L301" s="24">
        <f>IF(F301="","",IFERROR(INDEX(Config!$B$11:$B$16,MATCH(F301,Config!$A$11:$A$16,0)),0))</f>
        <v/>
      </c>
      <c r="M301" s="23">
        <f>IF(OR(F301="",E301=""),"",E301*L301)</f>
        <v/>
      </c>
      <c r="N301" s="26">
        <f>IF(OR(F301="",F301="Ganha",F301="Perdida"),"",Config!$B$5-IF(H301="",G301,H301))</f>
        <v/>
      </c>
      <c r="O301" s="22">
        <f>IF(F301="","",IF(F301="Ganha","Fechada",IF(F301="Perdida","Perdida",IF(AND(I301&lt;&gt;"",I301&lt;Config!$B$5),"Fechamento vencido",IF(N301&gt;Config!$B$7,"Parada","Ativa")))))</f>
        <v/>
      </c>
      <c r="P301" s="35">
        <f>IF(OR(F301="",O301="Fechada",O301="Perdida"),0,IF(O301="Fechamento vencido",3000,IF(O301="Parada",2000,1000))+MIN(N301,500)+E301/1000000-ROW()/100000)</f>
        <v>0</v>
      </c>
    </row>
    <row r="302">
      <c r="A302" s="29" t="n"/>
      <c r="B302" s="29" t="n"/>
      <c r="C302" s="33" t="n"/>
      <c r="D302" s="33" t="n"/>
      <c r="E302" s="31" t="n"/>
      <c r="F302" s="33" t="n"/>
      <c r="G302" s="34" t="n"/>
      <c r="H302" s="34" t="n"/>
      <c r="I302" s="34" t="n"/>
      <c r="J302" s="34" t="n"/>
      <c r="K302" s="29" t="n"/>
      <c r="L302" s="24">
        <f>IF(F302="","",IFERROR(INDEX(Config!$B$11:$B$16,MATCH(F302,Config!$A$11:$A$16,0)),0))</f>
        <v/>
      </c>
      <c r="M302" s="23">
        <f>IF(OR(F302="",E302=""),"",E302*L302)</f>
        <v/>
      </c>
      <c r="N302" s="26">
        <f>IF(OR(F302="",F302="Ganha",F302="Perdida"),"",Config!$B$5-IF(H302="",G302,H302))</f>
        <v/>
      </c>
      <c r="O302" s="22">
        <f>IF(F302="","",IF(F302="Ganha","Fechada",IF(F302="Perdida","Perdida",IF(AND(I302&lt;&gt;"",I302&lt;Config!$B$5),"Fechamento vencido",IF(N302&gt;Config!$B$7,"Parada","Ativa")))))</f>
        <v/>
      </c>
      <c r="P302" s="35">
        <f>IF(OR(F302="",O302="Fechada",O302="Perdida"),0,IF(O302="Fechamento vencido",3000,IF(O302="Parada",2000,1000))+MIN(N302,500)+E302/1000000-ROW()/100000)</f>
        <v>0</v>
      </c>
    </row>
    <row r="303">
      <c r="A303" s="29" t="n"/>
      <c r="B303" s="29" t="n"/>
      <c r="C303" s="33" t="n"/>
      <c r="D303" s="33" t="n"/>
      <c r="E303" s="31" t="n"/>
      <c r="F303" s="33" t="n"/>
      <c r="G303" s="34" t="n"/>
      <c r="H303" s="34" t="n"/>
      <c r="I303" s="34" t="n"/>
      <c r="J303" s="34" t="n"/>
      <c r="K303" s="29" t="n"/>
      <c r="L303" s="24">
        <f>IF(F303="","",IFERROR(INDEX(Config!$B$11:$B$16,MATCH(F303,Config!$A$11:$A$16,0)),0))</f>
        <v/>
      </c>
      <c r="M303" s="23">
        <f>IF(OR(F303="",E303=""),"",E303*L303)</f>
        <v/>
      </c>
      <c r="N303" s="26">
        <f>IF(OR(F303="",F303="Ganha",F303="Perdida"),"",Config!$B$5-IF(H303="",G303,H303))</f>
        <v/>
      </c>
      <c r="O303" s="22">
        <f>IF(F303="","",IF(F303="Ganha","Fechada",IF(F303="Perdida","Perdida",IF(AND(I303&lt;&gt;"",I303&lt;Config!$B$5),"Fechamento vencido",IF(N303&gt;Config!$B$7,"Parada","Ativa")))))</f>
        <v/>
      </c>
      <c r="P303" s="35">
        <f>IF(OR(F303="",O303="Fechada",O303="Perdida"),0,IF(O303="Fechamento vencido",3000,IF(O303="Parada",2000,1000))+MIN(N303,500)+E303/1000000-ROW()/100000)</f>
        <v>0</v>
      </c>
    </row>
    <row r="304">
      <c r="A304" s="29" t="n"/>
      <c r="B304" s="29" t="n"/>
      <c r="C304" s="33" t="n"/>
      <c r="D304" s="33" t="n"/>
      <c r="E304" s="31" t="n"/>
      <c r="F304" s="33" t="n"/>
      <c r="G304" s="34" t="n"/>
      <c r="H304" s="34" t="n"/>
      <c r="I304" s="34" t="n"/>
      <c r="J304" s="34" t="n"/>
      <c r="K304" s="29" t="n"/>
      <c r="L304" s="24">
        <f>IF(F304="","",IFERROR(INDEX(Config!$B$11:$B$16,MATCH(F304,Config!$A$11:$A$16,0)),0))</f>
        <v/>
      </c>
      <c r="M304" s="23">
        <f>IF(OR(F304="",E304=""),"",E304*L304)</f>
        <v/>
      </c>
      <c r="N304" s="26">
        <f>IF(OR(F304="",F304="Ganha",F304="Perdida"),"",Config!$B$5-IF(H304="",G304,H304))</f>
        <v/>
      </c>
      <c r="O304" s="22">
        <f>IF(F304="","",IF(F304="Ganha","Fechada",IF(F304="Perdida","Perdida",IF(AND(I304&lt;&gt;"",I304&lt;Config!$B$5),"Fechamento vencido",IF(N304&gt;Config!$B$7,"Parada","Ativa")))))</f>
        <v/>
      </c>
      <c r="P304" s="35">
        <f>IF(OR(F304="",O304="Fechada",O304="Perdida"),0,IF(O304="Fechamento vencido",3000,IF(O304="Parada",2000,1000))+MIN(N304,500)+E304/1000000-ROW()/100000)</f>
        <v>0</v>
      </c>
    </row>
    <row r="305">
      <c r="A305" s="29" t="n"/>
      <c r="B305" s="29" t="n"/>
      <c r="C305" s="33" t="n"/>
      <c r="D305" s="33" t="n"/>
      <c r="E305" s="31" t="n"/>
      <c r="F305" s="33" t="n"/>
      <c r="G305" s="34" t="n"/>
      <c r="H305" s="34" t="n"/>
      <c r="I305" s="34" t="n"/>
      <c r="J305" s="34" t="n"/>
      <c r="K305" s="29" t="n"/>
      <c r="L305" s="24">
        <f>IF(F305="","",IFERROR(INDEX(Config!$B$11:$B$16,MATCH(F305,Config!$A$11:$A$16,0)),0))</f>
        <v/>
      </c>
      <c r="M305" s="23">
        <f>IF(OR(F305="",E305=""),"",E305*L305)</f>
        <v/>
      </c>
      <c r="N305" s="26">
        <f>IF(OR(F305="",F305="Ganha",F305="Perdida"),"",Config!$B$5-IF(H305="",G305,H305))</f>
        <v/>
      </c>
      <c r="O305" s="22">
        <f>IF(F305="","",IF(F305="Ganha","Fechada",IF(F305="Perdida","Perdida",IF(AND(I305&lt;&gt;"",I305&lt;Config!$B$5),"Fechamento vencido",IF(N305&gt;Config!$B$7,"Parada","Ativa")))))</f>
        <v/>
      </c>
      <c r="P305" s="35">
        <f>IF(OR(F305="",O305="Fechada",O305="Perdida"),0,IF(O305="Fechamento vencido",3000,IF(O305="Parada",2000,1000))+MIN(N305,500)+E305/1000000-ROW()/100000)</f>
        <v>0</v>
      </c>
    </row>
    <row r="306">
      <c r="A306" s="29" t="n"/>
      <c r="B306" s="29" t="n"/>
      <c r="C306" s="33" t="n"/>
      <c r="D306" s="33" t="n"/>
      <c r="E306" s="31" t="n"/>
      <c r="F306" s="33" t="n"/>
      <c r="G306" s="34" t="n"/>
      <c r="H306" s="34" t="n"/>
      <c r="I306" s="34" t="n"/>
      <c r="J306" s="34" t="n"/>
      <c r="K306" s="29" t="n"/>
      <c r="L306" s="24">
        <f>IF(F306="","",IFERROR(INDEX(Config!$B$11:$B$16,MATCH(F306,Config!$A$11:$A$16,0)),0))</f>
        <v/>
      </c>
      <c r="M306" s="23">
        <f>IF(OR(F306="",E306=""),"",E306*L306)</f>
        <v/>
      </c>
      <c r="N306" s="26">
        <f>IF(OR(F306="",F306="Ganha",F306="Perdida"),"",Config!$B$5-IF(H306="",G306,H306))</f>
        <v/>
      </c>
      <c r="O306" s="22">
        <f>IF(F306="","",IF(F306="Ganha","Fechada",IF(F306="Perdida","Perdida",IF(AND(I306&lt;&gt;"",I306&lt;Config!$B$5),"Fechamento vencido",IF(N306&gt;Config!$B$7,"Parada","Ativa")))))</f>
        <v/>
      </c>
      <c r="P306" s="35">
        <f>IF(OR(F306="",O306="Fechada",O306="Perdida"),0,IF(O306="Fechamento vencido",3000,IF(O306="Parada",2000,1000))+MIN(N306,500)+E306/1000000-ROW()/100000)</f>
        <v>0</v>
      </c>
    </row>
    <row r="307">
      <c r="A307" s="29" t="n"/>
      <c r="B307" s="29" t="n"/>
      <c r="C307" s="33" t="n"/>
      <c r="D307" s="33" t="n"/>
      <c r="E307" s="31" t="n"/>
      <c r="F307" s="33" t="n"/>
      <c r="G307" s="34" t="n"/>
      <c r="H307" s="34" t="n"/>
      <c r="I307" s="34" t="n"/>
      <c r="J307" s="34" t="n"/>
      <c r="K307" s="29" t="n"/>
      <c r="L307" s="24">
        <f>IF(F307="","",IFERROR(INDEX(Config!$B$11:$B$16,MATCH(F307,Config!$A$11:$A$16,0)),0))</f>
        <v/>
      </c>
      <c r="M307" s="23">
        <f>IF(OR(F307="",E307=""),"",E307*L307)</f>
        <v/>
      </c>
      <c r="N307" s="26">
        <f>IF(OR(F307="",F307="Ganha",F307="Perdida"),"",Config!$B$5-IF(H307="",G307,H307))</f>
        <v/>
      </c>
      <c r="O307" s="22">
        <f>IF(F307="","",IF(F307="Ganha","Fechada",IF(F307="Perdida","Perdida",IF(AND(I307&lt;&gt;"",I307&lt;Config!$B$5),"Fechamento vencido",IF(N307&gt;Config!$B$7,"Parada","Ativa")))))</f>
        <v/>
      </c>
      <c r="P307" s="35">
        <f>IF(OR(F307="",O307="Fechada",O307="Perdida"),0,IF(O307="Fechamento vencido",3000,IF(O307="Parada",2000,1000))+MIN(N307,500)+E307/1000000-ROW()/100000)</f>
        <v>0</v>
      </c>
    </row>
    <row r="308">
      <c r="A308" s="29" t="n"/>
      <c r="B308" s="29" t="n"/>
      <c r="C308" s="33" t="n"/>
      <c r="D308" s="33" t="n"/>
      <c r="E308" s="31" t="n"/>
      <c r="F308" s="33" t="n"/>
      <c r="G308" s="34" t="n"/>
      <c r="H308" s="34" t="n"/>
      <c r="I308" s="34" t="n"/>
      <c r="J308" s="34" t="n"/>
      <c r="K308" s="29" t="n"/>
      <c r="L308" s="24">
        <f>IF(F308="","",IFERROR(INDEX(Config!$B$11:$B$16,MATCH(F308,Config!$A$11:$A$16,0)),0))</f>
        <v/>
      </c>
      <c r="M308" s="23">
        <f>IF(OR(F308="",E308=""),"",E308*L308)</f>
        <v/>
      </c>
      <c r="N308" s="26">
        <f>IF(OR(F308="",F308="Ganha",F308="Perdida"),"",Config!$B$5-IF(H308="",G308,H308))</f>
        <v/>
      </c>
      <c r="O308" s="22">
        <f>IF(F308="","",IF(F308="Ganha","Fechada",IF(F308="Perdida","Perdida",IF(AND(I308&lt;&gt;"",I308&lt;Config!$B$5),"Fechamento vencido",IF(N308&gt;Config!$B$7,"Parada","Ativa")))))</f>
        <v/>
      </c>
      <c r="P308" s="35">
        <f>IF(OR(F308="",O308="Fechada",O308="Perdida"),0,IF(O308="Fechamento vencido",3000,IF(O308="Parada",2000,1000))+MIN(N308,500)+E308/1000000-ROW()/100000)</f>
        <v>0</v>
      </c>
    </row>
    <row r="309">
      <c r="A309" s="29" t="n"/>
      <c r="B309" s="29" t="n"/>
      <c r="C309" s="33" t="n"/>
      <c r="D309" s="33" t="n"/>
      <c r="E309" s="31" t="n"/>
      <c r="F309" s="33" t="n"/>
      <c r="G309" s="34" t="n"/>
      <c r="H309" s="34" t="n"/>
      <c r="I309" s="34" t="n"/>
      <c r="J309" s="34" t="n"/>
      <c r="K309" s="29" t="n"/>
      <c r="L309" s="24">
        <f>IF(F309="","",IFERROR(INDEX(Config!$B$11:$B$16,MATCH(F309,Config!$A$11:$A$16,0)),0))</f>
        <v/>
      </c>
      <c r="M309" s="23">
        <f>IF(OR(F309="",E309=""),"",E309*L309)</f>
        <v/>
      </c>
      <c r="N309" s="26">
        <f>IF(OR(F309="",F309="Ganha",F309="Perdida"),"",Config!$B$5-IF(H309="",G309,H309))</f>
        <v/>
      </c>
      <c r="O309" s="22">
        <f>IF(F309="","",IF(F309="Ganha","Fechada",IF(F309="Perdida","Perdida",IF(AND(I309&lt;&gt;"",I309&lt;Config!$B$5),"Fechamento vencido",IF(N309&gt;Config!$B$7,"Parada","Ativa")))))</f>
        <v/>
      </c>
      <c r="P309" s="35">
        <f>IF(OR(F309="",O309="Fechada",O309="Perdida"),0,IF(O309="Fechamento vencido",3000,IF(O309="Parada",2000,1000))+MIN(N309,500)+E309/1000000-ROW()/100000)</f>
        <v>0</v>
      </c>
    </row>
    <row r="310">
      <c r="A310" s="29" t="n"/>
      <c r="B310" s="29" t="n"/>
      <c r="C310" s="33" t="n"/>
      <c r="D310" s="33" t="n"/>
      <c r="E310" s="31" t="n"/>
      <c r="F310" s="33" t="n"/>
      <c r="G310" s="34" t="n"/>
      <c r="H310" s="34" t="n"/>
      <c r="I310" s="34" t="n"/>
      <c r="J310" s="34" t="n"/>
      <c r="K310" s="29" t="n"/>
      <c r="L310" s="24">
        <f>IF(F310="","",IFERROR(INDEX(Config!$B$11:$B$16,MATCH(F310,Config!$A$11:$A$16,0)),0))</f>
        <v/>
      </c>
      <c r="M310" s="23">
        <f>IF(OR(F310="",E310=""),"",E310*L310)</f>
        <v/>
      </c>
      <c r="N310" s="26">
        <f>IF(OR(F310="",F310="Ganha",F310="Perdida"),"",Config!$B$5-IF(H310="",G310,H310))</f>
        <v/>
      </c>
      <c r="O310" s="22">
        <f>IF(F310="","",IF(F310="Ganha","Fechada",IF(F310="Perdida","Perdida",IF(AND(I310&lt;&gt;"",I310&lt;Config!$B$5),"Fechamento vencido",IF(N310&gt;Config!$B$7,"Parada","Ativa")))))</f>
        <v/>
      </c>
      <c r="P310" s="35">
        <f>IF(OR(F310="",O310="Fechada",O310="Perdida"),0,IF(O310="Fechamento vencido",3000,IF(O310="Parada",2000,1000))+MIN(N310,500)+E310/1000000-ROW()/100000)</f>
        <v>0</v>
      </c>
    </row>
    <row r="311">
      <c r="A311" s="29" t="n"/>
      <c r="B311" s="29" t="n"/>
      <c r="C311" s="33" t="n"/>
      <c r="D311" s="33" t="n"/>
      <c r="E311" s="31" t="n"/>
      <c r="F311" s="33" t="n"/>
      <c r="G311" s="34" t="n"/>
      <c r="H311" s="34" t="n"/>
      <c r="I311" s="34" t="n"/>
      <c r="J311" s="34" t="n"/>
      <c r="K311" s="29" t="n"/>
      <c r="L311" s="24">
        <f>IF(F311="","",IFERROR(INDEX(Config!$B$11:$B$16,MATCH(F311,Config!$A$11:$A$16,0)),0))</f>
        <v/>
      </c>
      <c r="M311" s="23">
        <f>IF(OR(F311="",E311=""),"",E311*L311)</f>
        <v/>
      </c>
      <c r="N311" s="26">
        <f>IF(OR(F311="",F311="Ganha",F311="Perdida"),"",Config!$B$5-IF(H311="",G311,H311))</f>
        <v/>
      </c>
      <c r="O311" s="22">
        <f>IF(F311="","",IF(F311="Ganha","Fechada",IF(F311="Perdida","Perdida",IF(AND(I311&lt;&gt;"",I311&lt;Config!$B$5),"Fechamento vencido",IF(N311&gt;Config!$B$7,"Parada","Ativa")))))</f>
        <v/>
      </c>
      <c r="P311" s="35">
        <f>IF(OR(F311="",O311="Fechada",O311="Perdida"),0,IF(O311="Fechamento vencido",3000,IF(O311="Parada",2000,1000))+MIN(N311,500)+E311/1000000-ROW()/100000)</f>
        <v>0</v>
      </c>
    </row>
    <row r="312">
      <c r="A312" s="29" t="n"/>
      <c r="B312" s="29" t="n"/>
      <c r="C312" s="33" t="n"/>
      <c r="D312" s="33" t="n"/>
      <c r="E312" s="31" t="n"/>
      <c r="F312" s="33" t="n"/>
      <c r="G312" s="34" t="n"/>
      <c r="H312" s="34" t="n"/>
      <c r="I312" s="34" t="n"/>
      <c r="J312" s="34" t="n"/>
      <c r="K312" s="29" t="n"/>
      <c r="L312" s="24">
        <f>IF(F312="","",IFERROR(INDEX(Config!$B$11:$B$16,MATCH(F312,Config!$A$11:$A$16,0)),0))</f>
        <v/>
      </c>
      <c r="M312" s="23">
        <f>IF(OR(F312="",E312=""),"",E312*L312)</f>
        <v/>
      </c>
      <c r="N312" s="26">
        <f>IF(OR(F312="",F312="Ganha",F312="Perdida"),"",Config!$B$5-IF(H312="",G312,H312))</f>
        <v/>
      </c>
      <c r="O312" s="22">
        <f>IF(F312="","",IF(F312="Ganha","Fechada",IF(F312="Perdida","Perdida",IF(AND(I312&lt;&gt;"",I312&lt;Config!$B$5),"Fechamento vencido",IF(N312&gt;Config!$B$7,"Parada","Ativa")))))</f>
        <v/>
      </c>
      <c r="P312" s="35">
        <f>IF(OR(F312="",O312="Fechada",O312="Perdida"),0,IF(O312="Fechamento vencido",3000,IF(O312="Parada",2000,1000))+MIN(N312,500)+E312/1000000-ROW()/100000)</f>
        <v>0</v>
      </c>
    </row>
    <row r="313">
      <c r="A313" s="29" t="n"/>
      <c r="B313" s="29" t="n"/>
      <c r="C313" s="33" t="n"/>
      <c r="D313" s="33" t="n"/>
      <c r="E313" s="31" t="n"/>
      <c r="F313" s="33" t="n"/>
      <c r="G313" s="34" t="n"/>
      <c r="H313" s="34" t="n"/>
      <c r="I313" s="34" t="n"/>
      <c r="J313" s="34" t="n"/>
      <c r="K313" s="29" t="n"/>
      <c r="L313" s="24">
        <f>IF(F313="","",IFERROR(INDEX(Config!$B$11:$B$16,MATCH(F313,Config!$A$11:$A$16,0)),0))</f>
        <v/>
      </c>
      <c r="M313" s="23">
        <f>IF(OR(F313="",E313=""),"",E313*L313)</f>
        <v/>
      </c>
      <c r="N313" s="26">
        <f>IF(OR(F313="",F313="Ganha",F313="Perdida"),"",Config!$B$5-IF(H313="",G313,H313))</f>
        <v/>
      </c>
      <c r="O313" s="22">
        <f>IF(F313="","",IF(F313="Ganha","Fechada",IF(F313="Perdida","Perdida",IF(AND(I313&lt;&gt;"",I313&lt;Config!$B$5),"Fechamento vencido",IF(N313&gt;Config!$B$7,"Parada","Ativa")))))</f>
        <v/>
      </c>
      <c r="P313" s="35">
        <f>IF(OR(F313="",O313="Fechada",O313="Perdida"),0,IF(O313="Fechamento vencido",3000,IF(O313="Parada",2000,1000))+MIN(N313,500)+E313/1000000-ROW()/100000)</f>
        <v>0</v>
      </c>
    </row>
    <row r="314">
      <c r="A314" s="29" t="n"/>
      <c r="B314" s="29" t="n"/>
      <c r="C314" s="33" t="n"/>
      <c r="D314" s="33" t="n"/>
      <c r="E314" s="31" t="n"/>
      <c r="F314" s="33" t="n"/>
      <c r="G314" s="34" t="n"/>
      <c r="H314" s="34" t="n"/>
      <c r="I314" s="34" t="n"/>
      <c r="J314" s="34" t="n"/>
      <c r="K314" s="29" t="n"/>
      <c r="L314" s="24">
        <f>IF(F314="","",IFERROR(INDEX(Config!$B$11:$B$16,MATCH(F314,Config!$A$11:$A$16,0)),0))</f>
        <v/>
      </c>
      <c r="M314" s="23">
        <f>IF(OR(F314="",E314=""),"",E314*L314)</f>
        <v/>
      </c>
      <c r="N314" s="26">
        <f>IF(OR(F314="",F314="Ganha",F314="Perdida"),"",Config!$B$5-IF(H314="",G314,H314))</f>
        <v/>
      </c>
      <c r="O314" s="22">
        <f>IF(F314="","",IF(F314="Ganha","Fechada",IF(F314="Perdida","Perdida",IF(AND(I314&lt;&gt;"",I314&lt;Config!$B$5),"Fechamento vencido",IF(N314&gt;Config!$B$7,"Parada","Ativa")))))</f>
        <v/>
      </c>
      <c r="P314" s="35">
        <f>IF(OR(F314="",O314="Fechada",O314="Perdida"),0,IF(O314="Fechamento vencido",3000,IF(O314="Parada",2000,1000))+MIN(N314,500)+E314/1000000-ROW()/100000)</f>
        <v>0</v>
      </c>
    </row>
    <row r="315">
      <c r="A315" s="29" t="n"/>
      <c r="B315" s="29" t="n"/>
      <c r="C315" s="33" t="n"/>
      <c r="D315" s="33" t="n"/>
      <c r="E315" s="31" t="n"/>
      <c r="F315" s="33" t="n"/>
      <c r="G315" s="34" t="n"/>
      <c r="H315" s="34" t="n"/>
      <c r="I315" s="34" t="n"/>
      <c r="J315" s="34" t="n"/>
      <c r="K315" s="29" t="n"/>
      <c r="L315" s="24">
        <f>IF(F315="","",IFERROR(INDEX(Config!$B$11:$B$16,MATCH(F315,Config!$A$11:$A$16,0)),0))</f>
        <v/>
      </c>
      <c r="M315" s="23">
        <f>IF(OR(F315="",E315=""),"",E315*L315)</f>
        <v/>
      </c>
      <c r="N315" s="26">
        <f>IF(OR(F315="",F315="Ganha",F315="Perdida"),"",Config!$B$5-IF(H315="",G315,H315))</f>
        <v/>
      </c>
      <c r="O315" s="22">
        <f>IF(F315="","",IF(F315="Ganha","Fechada",IF(F315="Perdida","Perdida",IF(AND(I315&lt;&gt;"",I315&lt;Config!$B$5),"Fechamento vencido",IF(N315&gt;Config!$B$7,"Parada","Ativa")))))</f>
        <v/>
      </c>
      <c r="P315" s="35">
        <f>IF(OR(F315="",O315="Fechada",O315="Perdida"),0,IF(O315="Fechamento vencido",3000,IF(O315="Parada",2000,1000))+MIN(N315,500)+E315/1000000-ROW()/100000)</f>
        <v>0</v>
      </c>
    </row>
    <row r="316">
      <c r="A316" s="29" t="n"/>
      <c r="B316" s="29" t="n"/>
      <c r="C316" s="33" t="n"/>
      <c r="D316" s="33" t="n"/>
      <c r="E316" s="31" t="n"/>
      <c r="F316" s="33" t="n"/>
      <c r="G316" s="34" t="n"/>
      <c r="H316" s="34" t="n"/>
      <c r="I316" s="34" t="n"/>
      <c r="J316" s="34" t="n"/>
      <c r="K316" s="29" t="n"/>
      <c r="L316" s="24">
        <f>IF(F316="","",IFERROR(INDEX(Config!$B$11:$B$16,MATCH(F316,Config!$A$11:$A$16,0)),0))</f>
        <v/>
      </c>
      <c r="M316" s="23">
        <f>IF(OR(F316="",E316=""),"",E316*L316)</f>
        <v/>
      </c>
      <c r="N316" s="26">
        <f>IF(OR(F316="",F316="Ganha",F316="Perdida"),"",Config!$B$5-IF(H316="",G316,H316))</f>
        <v/>
      </c>
      <c r="O316" s="22">
        <f>IF(F316="","",IF(F316="Ganha","Fechada",IF(F316="Perdida","Perdida",IF(AND(I316&lt;&gt;"",I316&lt;Config!$B$5),"Fechamento vencido",IF(N316&gt;Config!$B$7,"Parada","Ativa")))))</f>
        <v/>
      </c>
      <c r="P316" s="35">
        <f>IF(OR(F316="",O316="Fechada",O316="Perdida"),0,IF(O316="Fechamento vencido",3000,IF(O316="Parada",2000,1000))+MIN(N316,500)+E316/1000000-ROW()/100000)</f>
        <v>0</v>
      </c>
    </row>
    <row r="317">
      <c r="A317" s="29" t="n"/>
      <c r="B317" s="29" t="n"/>
      <c r="C317" s="33" t="n"/>
      <c r="D317" s="33" t="n"/>
      <c r="E317" s="31" t="n"/>
      <c r="F317" s="33" t="n"/>
      <c r="G317" s="34" t="n"/>
      <c r="H317" s="34" t="n"/>
      <c r="I317" s="34" t="n"/>
      <c r="J317" s="34" t="n"/>
      <c r="K317" s="29" t="n"/>
      <c r="L317" s="24">
        <f>IF(F317="","",IFERROR(INDEX(Config!$B$11:$B$16,MATCH(F317,Config!$A$11:$A$16,0)),0))</f>
        <v/>
      </c>
      <c r="M317" s="23">
        <f>IF(OR(F317="",E317=""),"",E317*L317)</f>
        <v/>
      </c>
      <c r="N317" s="26">
        <f>IF(OR(F317="",F317="Ganha",F317="Perdida"),"",Config!$B$5-IF(H317="",G317,H317))</f>
        <v/>
      </c>
      <c r="O317" s="22">
        <f>IF(F317="","",IF(F317="Ganha","Fechada",IF(F317="Perdida","Perdida",IF(AND(I317&lt;&gt;"",I317&lt;Config!$B$5),"Fechamento vencido",IF(N317&gt;Config!$B$7,"Parada","Ativa")))))</f>
        <v/>
      </c>
      <c r="P317" s="35">
        <f>IF(OR(F317="",O317="Fechada",O317="Perdida"),0,IF(O317="Fechamento vencido",3000,IF(O317="Parada",2000,1000))+MIN(N317,500)+E317/1000000-ROW()/100000)</f>
        <v>0</v>
      </c>
    </row>
    <row r="318">
      <c r="A318" s="29" t="n"/>
      <c r="B318" s="29" t="n"/>
      <c r="C318" s="33" t="n"/>
      <c r="D318" s="33" t="n"/>
      <c r="E318" s="31" t="n"/>
      <c r="F318" s="33" t="n"/>
      <c r="G318" s="34" t="n"/>
      <c r="H318" s="34" t="n"/>
      <c r="I318" s="34" t="n"/>
      <c r="J318" s="34" t="n"/>
      <c r="K318" s="29" t="n"/>
      <c r="L318" s="24">
        <f>IF(F318="","",IFERROR(INDEX(Config!$B$11:$B$16,MATCH(F318,Config!$A$11:$A$16,0)),0))</f>
        <v/>
      </c>
      <c r="M318" s="23">
        <f>IF(OR(F318="",E318=""),"",E318*L318)</f>
        <v/>
      </c>
      <c r="N318" s="26">
        <f>IF(OR(F318="",F318="Ganha",F318="Perdida"),"",Config!$B$5-IF(H318="",G318,H318))</f>
        <v/>
      </c>
      <c r="O318" s="22">
        <f>IF(F318="","",IF(F318="Ganha","Fechada",IF(F318="Perdida","Perdida",IF(AND(I318&lt;&gt;"",I318&lt;Config!$B$5),"Fechamento vencido",IF(N318&gt;Config!$B$7,"Parada","Ativa")))))</f>
        <v/>
      </c>
      <c r="P318" s="35">
        <f>IF(OR(F318="",O318="Fechada",O318="Perdida"),0,IF(O318="Fechamento vencido",3000,IF(O318="Parada",2000,1000))+MIN(N318,500)+E318/1000000-ROW()/100000)</f>
        <v>0</v>
      </c>
    </row>
    <row r="319">
      <c r="A319" s="29" t="n"/>
      <c r="B319" s="29" t="n"/>
      <c r="C319" s="33" t="n"/>
      <c r="D319" s="33" t="n"/>
      <c r="E319" s="31" t="n"/>
      <c r="F319" s="33" t="n"/>
      <c r="G319" s="34" t="n"/>
      <c r="H319" s="34" t="n"/>
      <c r="I319" s="34" t="n"/>
      <c r="J319" s="34" t="n"/>
      <c r="K319" s="29" t="n"/>
      <c r="L319" s="24">
        <f>IF(F319="","",IFERROR(INDEX(Config!$B$11:$B$16,MATCH(F319,Config!$A$11:$A$16,0)),0))</f>
        <v/>
      </c>
      <c r="M319" s="23">
        <f>IF(OR(F319="",E319=""),"",E319*L319)</f>
        <v/>
      </c>
      <c r="N319" s="26">
        <f>IF(OR(F319="",F319="Ganha",F319="Perdida"),"",Config!$B$5-IF(H319="",G319,H319))</f>
        <v/>
      </c>
      <c r="O319" s="22">
        <f>IF(F319="","",IF(F319="Ganha","Fechada",IF(F319="Perdida","Perdida",IF(AND(I319&lt;&gt;"",I319&lt;Config!$B$5),"Fechamento vencido",IF(N319&gt;Config!$B$7,"Parada","Ativa")))))</f>
        <v/>
      </c>
      <c r="P319" s="35">
        <f>IF(OR(F319="",O319="Fechada",O319="Perdida"),0,IF(O319="Fechamento vencido",3000,IF(O319="Parada",2000,1000))+MIN(N319,500)+E319/1000000-ROW()/100000)</f>
        <v>0</v>
      </c>
    </row>
    <row r="320">
      <c r="A320" s="29" t="n"/>
      <c r="B320" s="29" t="n"/>
      <c r="C320" s="33" t="n"/>
      <c r="D320" s="33" t="n"/>
      <c r="E320" s="31" t="n"/>
      <c r="F320" s="33" t="n"/>
      <c r="G320" s="34" t="n"/>
      <c r="H320" s="34" t="n"/>
      <c r="I320" s="34" t="n"/>
      <c r="J320" s="34" t="n"/>
      <c r="K320" s="29" t="n"/>
      <c r="L320" s="24">
        <f>IF(F320="","",IFERROR(INDEX(Config!$B$11:$B$16,MATCH(F320,Config!$A$11:$A$16,0)),0))</f>
        <v/>
      </c>
      <c r="M320" s="23">
        <f>IF(OR(F320="",E320=""),"",E320*L320)</f>
        <v/>
      </c>
      <c r="N320" s="26">
        <f>IF(OR(F320="",F320="Ganha",F320="Perdida"),"",Config!$B$5-IF(H320="",G320,H320))</f>
        <v/>
      </c>
      <c r="O320" s="22">
        <f>IF(F320="","",IF(F320="Ganha","Fechada",IF(F320="Perdida","Perdida",IF(AND(I320&lt;&gt;"",I320&lt;Config!$B$5),"Fechamento vencido",IF(N320&gt;Config!$B$7,"Parada","Ativa")))))</f>
        <v/>
      </c>
      <c r="P320" s="35">
        <f>IF(OR(F320="",O320="Fechada",O320="Perdida"),0,IF(O320="Fechamento vencido",3000,IF(O320="Parada",2000,1000))+MIN(N320,500)+E320/1000000-ROW()/100000)</f>
        <v>0</v>
      </c>
    </row>
    <row r="321">
      <c r="A321" s="29" t="n"/>
      <c r="B321" s="29" t="n"/>
      <c r="C321" s="33" t="n"/>
      <c r="D321" s="33" t="n"/>
      <c r="E321" s="31" t="n"/>
      <c r="F321" s="33" t="n"/>
      <c r="G321" s="34" t="n"/>
      <c r="H321" s="34" t="n"/>
      <c r="I321" s="34" t="n"/>
      <c r="J321" s="34" t="n"/>
      <c r="K321" s="29" t="n"/>
      <c r="L321" s="24">
        <f>IF(F321="","",IFERROR(INDEX(Config!$B$11:$B$16,MATCH(F321,Config!$A$11:$A$16,0)),0))</f>
        <v/>
      </c>
      <c r="M321" s="23">
        <f>IF(OR(F321="",E321=""),"",E321*L321)</f>
        <v/>
      </c>
      <c r="N321" s="26">
        <f>IF(OR(F321="",F321="Ganha",F321="Perdida"),"",Config!$B$5-IF(H321="",G321,H321))</f>
        <v/>
      </c>
      <c r="O321" s="22">
        <f>IF(F321="","",IF(F321="Ganha","Fechada",IF(F321="Perdida","Perdida",IF(AND(I321&lt;&gt;"",I321&lt;Config!$B$5),"Fechamento vencido",IF(N321&gt;Config!$B$7,"Parada","Ativa")))))</f>
        <v/>
      </c>
      <c r="P321" s="35">
        <f>IF(OR(F321="",O321="Fechada",O321="Perdida"),0,IF(O321="Fechamento vencido",3000,IF(O321="Parada",2000,1000))+MIN(N321,500)+E321/1000000-ROW()/100000)</f>
        <v>0</v>
      </c>
    </row>
    <row r="322">
      <c r="A322" s="29" t="n"/>
      <c r="B322" s="29" t="n"/>
      <c r="C322" s="33" t="n"/>
      <c r="D322" s="33" t="n"/>
      <c r="E322" s="31" t="n"/>
      <c r="F322" s="33" t="n"/>
      <c r="G322" s="34" t="n"/>
      <c r="H322" s="34" t="n"/>
      <c r="I322" s="34" t="n"/>
      <c r="J322" s="34" t="n"/>
      <c r="K322" s="29" t="n"/>
      <c r="L322" s="24">
        <f>IF(F322="","",IFERROR(INDEX(Config!$B$11:$B$16,MATCH(F322,Config!$A$11:$A$16,0)),0))</f>
        <v/>
      </c>
      <c r="M322" s="23">
        <f>IF(OR(F322="",E322=""),"",E322*L322)</f>
        <v/>
      </c>
      <c r="N322" s="26">
        <f>IF(OR(F322="",F322="Ganha",F322="Perdida"),"",Config!$B$5-IF(H322="",G322,H322))</f>
        <v/>
      </c>
      <c r="O322" s="22">
        <f>IF(F322="","",IF(F322="Ganha","Fechada",IF(F322="Perdida","Perdida",IF(AND(I322&lt;&gt;"",I322&lt;Config!$B$5),"Fechamento vencido",IF(N322&gt;Config!$B$7,"Parada","Ativa")))))</f>
        <v/>
      </c>
      <c r="P322" s="35">
        <f>IF(OR(F322="",O322="Fechada",O322="Perdida"),0,IF(O322="Fechamento vencido",3000,IF(O322="Parada",2000,1000))+MIN(N322,500)+E322/1000000-ROW()/100000)</f>
        <v>0</v>
      </c>
    </row>
    <row r="323">
      <c r="A323" s="29" t="n"/>
      <c r="B323" s="29" t="n"/>
      <c r="C323" s="33" t="n"/>
      <c r="D323" s="33" t="n"/>
      <c r="E323" s="31" t="n"/>
      <c r="F323" s="33" t="n"/>
      <c r="G323" s="34" t="n"/>
      <c r="H323" s="34" t="n"/>
      <c r="I323" s="34" t="n"/>
      <c r="J323" s="34" t="n"/>
      <c r="K323" s="29" t="n"/>
      <c r="L323" s="24">
        <f>IF(F323="","",IFERROR(INDEX(Config!$B$11:$B$16,MATCH(F323,Config!$A$11:$A$16,0)),0))</f>
        <v/>
      </c>
      <c r="M323" s="23">
        <f>IF(OR(F323="",E323=""),"",E323*L323)</f>
        <v/>
      </c>
      <c r="N323" s="26">
        <f>IF(OR(F323="",F323="Ganha",F323="Perdida"),"",Config!$B$5-IF(H323="",G323,H323))</f>
        <v/>
      </c>
      <c r="O323" s="22">
        <f>IF(F323="","",IF(F323="Ganha","Fechada",IF(F323="Perdida","Perdida",IF(AND(I323&lt;&gt;"",I323&lt;Config!$B$5),"Fechamento vencido",IF(N323&gt;Config!$B$7,"Parada","Ativa")))))</f>
        <v/>
      </c>
      <c r="P323" s="35">
        <f>IF(OR(F323="",O323="Fechada",O323="Perdida"),0,IF(O323="Fechamento vencido",3000,IF(O323="Parada",2000,1000))+MIN(N323,500)+E323/1000000-ROW()/100000)</f>
        <v>0</v>
      </c>
    </row>
    <row r="324">
      <c r="A324" s="29" t="n"/>
      <c r="B324" s="29" t="n"/>
      <c r="C324" s="33" t="n"/>
      <c r="D324" s="33" t="n"/>
      <c r="E324" s="31" t="n"/>
      <c r="F324" s="33" t="n"/>
      <c r="G324" s="34" t="n"/>
      <c r="H324" s="34" t="n"/>
      <c r="I324" s="34" t="n"/>
      <c r="J324" s="34" t="n"/>
      <c r="K324" s="29" t="n"/>
      <c r="L324" s="24">
        <f>IF(F324="","",IFERROR(INDEX(Config!$B$11:$B$16,MATCH(F324,Config!$A$11:$A$16,0)),0))</f>
        <v/>
      </c>
      <c r="M324" s="23">
        <f>IF(OR(F324="",E324=""),"",E324*L324)</f>
        <v/>
      </c>
      <c r="N324" s="26">
        <f>IF(OR(F324="",F324="Ganha",F324="Perdida"),"",Config!$B$5-IF(H324="",G324,H324))</f>
        <v/>
      </c>
      <c r="O324" s="22">
        <f>IF(F324="","",IF(F324="Ganha","Fechada",IF(F324="Perdida","Perdida",IF(AND(I324&lt;&gt;"",I324&lt;Config!$B$5),"Fechamento vencido",IF(N324&gt;Config!$B$7,"Parada","Ativa")))))</f>
        <v/>
      </c>
      <c r="P324" s="35">
        <f>IF(OR(F324="",O324="Fechada",O324="Perdida"),0,IF(O324="Fechamento vencido",3000,IF(O324="Parada",2000,1000))+MIN(N324,500)+E324/1000000-ROW()/100000)</f>
        <v>0</v>
      </c>
    </row>
    <row r="325">
      <c r="A325" s="29" t="n"/>
      <c r="B325" s="29" t="n"/>
      <c r="C325" s="33" t="n"/>
      <c r="D325" s="33" t="n"/>
      <c r="E325" s="31" t="n"/>
      <c r="F325" s="33" t="n"/>
      <c r="G325" s="34" t="n"/>
      <c r="H325" s="34" t="n"/>
      <c r="I325" s="34" t="n"/>
      <c r="J325" s="34" t="n"/>
      <c r="K325" s="29" t="n"/>
      <c r="L325" s="24">
        <f>IF(F325="","",IFERROR(INDEX(Config!$B$11:$B$16,MATCH(F325,Config!$A$11:$A$16,0)),0))</f>
        <v/>
      </c>
      <c r="M325" s="23">
        <f>IF(OR(F325="",E325=""),"",E325*L325)</f>
        <v/>
      </c>
      <c r="N325" s="26">
        <f>IF(OR(F325="",F325="Ganha",F325="Perdida"),"",Config!$B$5-IF(H325="",G325,H325))</f>
        <v/>
      </c>
      <c r="O325" s="22">
        <f>IF(F325="","",IF(F325="Ganha","Fechada",IF(F325="Perdida","Perdida",IF(AND(I325&lt;&gt;"",I325&lt;Config!$B$5),"Fechamento vencido",IF(N325&gt;Config!$B$7,"Parada","Ativa")))))</f>
        <v/>
      </c>
      <c r="P325" s="35">
        <f>IF(OR(F325="",O325="Fechada",O325="Perdida"),0,IF(O325="Fechamento vencido",3000,IF(O325="Parada",2000,1000))+MIN(N325,500)+E325/1000000-ROW()/100000)</f>
        <v>0</v>
      </c>
    </row>
    <row r="326">
      <c r="A326" s="29" t="n"/>
      <c r="B326" s="29" t="n"/>
      <c r="C326" s="33" t="n"/>
      <c r="D326" s="33" t="n"/>
      <c r="E326" s="31" t="n"/>
      <c r="F326" s="33" t="n"/>
      <c r="G326" s="34" t="n"/>
      <c r="H326" s="34" t="n"/>
      <c r="I326" s="34" t="n"/>
      <c r="J326" s="34" t="n"/>
      <c r="K326" s="29" t="n"/>
      <c r="L326" s="24">
        <f>IF(F326="","",IFERROR(INDEX(Config!$B$11:$B$16,MATCH(F326,Config!$A$11:$A$16,0)),0))</f>
        <v/>
      </c>
      <c r="M326" s="23">
        <f>IF(OR(F326="",E326=""),"",E326*L326)</f>
        <v/>
      </c>
      <c r="N326" s="26">
        <f>IF(OR(F326="",F326="Ganha",F326="Perdida"),"",Config!$B$5-IF(H326="",G326,H326))</f>
        <v/>
      </c>
      <c r="O326" s="22">
        <f>IF(F326="","",IF(F326="Ganha","Fechada",IF(F326="Perdida","Perdida",IF(AND(I326&lt;&gt;"",I326&lt;Config!$B$5),"Fechamento vencido",IF(N326&gt;Config!$B$7,"Parada","Ativa")))))</f>
        <v/>
      </c>
      <c r="P326" s="35">
        <f>IF(OR(F326="",O326="Fechada",O326="Perdida"),0,IF(O326="Fechamento vencido",3000,IF(O326="Parada",2000,1000))+MIN(N326,500)+E326/1000000-ROW()/100000)</f>
        <v>0</v>
      </c>
    </row>
    <row r="327">
      <c r="A327" s="29" t="n"/>
      <c r="B327" s="29" t="n"/>
      <c r="C327" s="33" t="n"/>
      <c r="D327" s="33" t="n"/>
      <c r="E327" s="31" t="n"/>
      <c r="F327" s="33" t="n"/>
      <c r="G327" s="34" t="n"/>
      <c r="H327" s="34" t="n"/>
      <c r="I327" s="34" t="n"/>
      <c r="J327" s="34" t="n"/>
      <c r="K327" s="29" t="n"/>
      <c r="L327" s="24">
        <f>IF(F327="","",IFERROR(INDEX(Config!$B$11:$B$16,MATCH(F327,Config!$A$11:$A$16,0)),0))</f>
        <v/>
      </c>
      <c r="M327" s="23">
        <f>IF(OR(F327="",E327=""),"",E327*L327)</f>
        <v/>
      </c>
      <c r="N327" s="26">
        <f>IF(OR(F327="",F327="Ganha",F327="Perdida"),"",Config!$B$5-IF(H327="",G327,H327))</f>
        <v/>
      </c>
      <c r="O327" s="22">
        <f>IF(F327="","",IF(F327="Ganha","Fechada",IF(F327="Perdida","Perdida",IF(AND(I327&lt;&gt;"",I327&lt;Config!$B$5),"Fechamento vencido",IF(N327&gt;Config!$B$7,"Parada","Ativa")))))</f>
        <v/>
      </c>
      <c r="P327" s="35">
        <f>IF(OR(F327="",O327="Fechada",O327="Perdida"),0,IF(O327="Fechamento vencido",3000,IF(O327="Parada",2000,1000))+MIN(N327,500)+E327/1000000-ROW()/100000)</f>
        <v>0</v>
      </c>
    </row>
    <row r="328">
      <c r="A328" s="29" t="n"/>
      <c r="B328" s="29" t="n"/>
      <c r="C328" s="33" t="n"/>
      <c r="D328" s="33" t="n"/>
      <c r="E328" s="31" t="n"/>
      <c r="F328" s="33" t="n"/>
      <c r="G328" s="34" t="n"/>
      <c r="H328" s="34" t="n"/>
      <c r="I328" s="34" t="n"/>
      <c r="J328" s="34" t="n"/>
      <c r="K328" s="29" t="n"/>
      <c r="L328" s="24">
        <f>IF(F328="","",IFERROR(INDEX(Config!$B$11:$B$16,MATCH(F328,Config!$A$11:$A$16,0)),0))</f>
        <v/>
      </c>
      <c r="M328" s="23">
        <f>IF(OR(F328="",E328=""),"",E328*L328)</f>
        <v/>
      </c>
      <c r="N328" s="26">
        <f>IF(OR(F328="",F328="Ganha",F328="Perdida"),"",Config!$B$5-IF(H328="",G328,H328))</f>
        <v/>
      </c>
      <c r="O328" s="22">
        <f>IF(F328="","",IF(F328="Ganha","Fechada",IF(F328="Perdida","Perdida",IF(AND(I328&lt;&gt;"",I328&lt;Config!$B$5),"Fechamento vencido",IF(N328&gt;Config!$B$7,"Parada","Ativa")))))</f>
        <v/>
      </c>
      <c r="P328" s="35">
        <f>IF(OR(F328="",O328="Fechada",O328="Perdida"),0,IF(O328="Fechamento vencido",3000,IF(O328="Parada",2000,1000))+MIN(N328,500)+E328/1000000-ROW()/100000)</f>
        <v>0</v>
      </c>
    </row>
    <row r="329">
      <c r="A329" s="29" t="n"/>
      <c r="B329" s="29" t="n"/>
      <c r="C329" s="33" t="n"/>
      <c r="D329" s="33" t="n"/>
      <c r="E329" s="31" t="n"/>
      <c r="F329" s="33" t="n"/>
      <c r="G329" s="34" t="n"/>
      <c r="H329" s="34" t="n"/>
      <c r="I329" s="34" t="n"/>
      <c r="J329" s="34" t="n"/>
      <c r="K329" s="29" t="n"/>
      <c r="L329" s="24">
        <f>IF(F329="","",IFERROR(INDEX(Config!$B$11:$B$16,MATCH(F329,Config!$A$11:$A$16,0)),0))</f>
        <v/>
      </c>
      <c r="M329" s="23">
        <f>IF(OR(F329="",E329=""),"",E329*L329)</f>
        <v/>
      </c>
      <c r="N329" s="26">
        <f>IF(OR(F329="",F329="Ganha",F329="Perdida"),"",Config!$B$5-IF(H329="",G329,H329))</f>
        <v/>
      </c>
      <c r="O329" s="22">
        <f>IF(F329="","",IF(F329="Ganha","Fechada",IF(F329="Perdida","Perdida",IF(AND(I329&lt;&gt;"",I329&lt;Config!$B$5),"Fechamento vencido",IF(N329&gt;Config!$B$7,"Parada","Ativa")))))</f>
        <v/>
      </c>
      <c r="P329" s="35">
        <f>IF(OR(F329="",O329="Fechada",O329="Perdida"),0,IF(O329="Fechamento vencido",3000,IF(O329="Parada",2000,1000))+MIN(N329,500)+E329/1000000-ROW()/100000)</f>
        <v>0</v>
      </c>
    </row>
    <row r="330">
      <c r="A330" s="29" t="n"/>
      <c r="B330" s="29" t="n"/>
      <c r="C330" s="33" t="n"/>
      <c r="D330" s="33" t="n"/>
      <c r="E330" s="31" t="n"/>
      <c r="F330" s="33" t="n"/>
      <c r="G330" s="34" t="n"/>
      <c r="H330" s="34" t="n"/>
      <c r="I330" s="34" t="n"/>
      <c r="J330" s="34" t="n"/>
      <c r="K330" s="29" t="n"/>
      <c r="L330" s="24">
        <f>IF(F330="","",IFERROR(INDEX(Config!$B$11:$B$16,MATCH(F330,Config!$A$11:$A$16,0)),0))</f>
        <v/>
      </c>
      <c r="M330" s="23">
        <f>IF(OR(F330="",E330=""),"",E330*L330)</f>
        <v/>
      </c>
      <c r="N330" s="26">
        <f>IF(OR(F330="",F330="Ganha",F330="Perdida"),"",Config!$B$5-IF(H330="",G330,H330))</f>
        <v/>
      </c>
      <c r="O330" s="22">
        <f>IF(F330="","",IF(F330="Ganha","Fechada",IF(F330="Perdida","Perdida",IF(AND(I330&lt;&gt;"",I330&lt;Config!$B$5),"Fechamento vencido",IF(N330&gt;Config!$B$7,"Parada","Ativa")))))</f>
        <v/>
      </c>
      <c r="P330" s="35">
        <f>IF(OR(F330="",O330="Fechada",O330="Perdida"),0,IF(O330="Fechamento vencido",3000,IF(O330="Parada",2000,1000))+MIN(N330,500)+E330/1000000-ROW()/100000)</f>
        <v>0</v>
      </c>
    </row>
    <row r="331">
      <c r="A331" s="29" t="n"/>
      <c r="B331" s="29" t="n"/>
      <c r="C331" s="33" t="n"/>
      <c r="D331" s="33" t="n"/>
      <c r="E331" s="31" t="n"/>
      <c r="F331" s="33" t="n"/>
      <c r="G331" s="34" t="n"/>
      <c r="H331" s="34" t="n"/>
      <c r="I331" s="34" t="n"/>
      <c r="J331" s="34" t="n"/>
      <c r="K331" s="29" t="n"/>
      <c r="L331" s="24">
        <f>IF(F331="","",IFERROR(INDEX(Config!$B$11:$B$16,MATCH(F331,Config!$A$11:$A$16,0)),0))</f>
        <v/>
      </c>
      <c r="M331" s="23">
        <f>IF(OR(F331="",E331=""),"",E331*L331)</f>
        <v/>
      </c>
      <c r="N331" s="26">
        <f>IF(OR(F331="",F331="Ganha",F331="Perdida"),"",Config!$B$5-IF(H331="",G331,H331))</f>
        <v/>
      </c>
      <c r="O331" s="22">
        <f>IF(F331="","",IF(F331="Ganha","Fechada",IF(F331="Perdida","Perdida",IF(AND(I331&lt;&gt;"",I331&lt;Config!$B$5),"Fechamento vencido",IF(N331&gt;Config!$B$7,"Parada","Ativa")))))</f>
        <v/>
      </c>
      <c r="P331" s="35">
        <f>IF(OR(F331="",O331="Fechada",O331="Perdida"),0,IF(O331="Fechamento vencido",3000,IF(O331="Parada",2000,1000))+MIN(N331,500)+E331/1000000-ROW()/100000)</f>
        <v>0</v>
      </c>
    </row>
    <row r="332">
      <c r="A332" s="29" t="n"/>
      <c r="B332" s="29" t="n"/>
      <c r="C332" s="33" t="n"/>
      <c r="D332" s="33" t="n"/>
      <c r="E332" s="31" t="n"/>
      <c r="F332" s="33" t="n"/>
      <c r="G332" s="34" t="n"/>
      <c r="H332" s="34" t="n"/>
      <c r="I332" s="34" t="n"/>
      <c r="J332" s="34" t="n"/>
      <c r="K332" s="29" t="n"/>
      <c r="L332" s="24">
        <f>IF(F332="","",IFERROR(INDEX(Config!$B$11:$B$16,MATCH(F332,Config!$A$11:$A$16,0)),0))</f>
        <v/>
      </c>
      <c r="M332" s="23">
        <f>IF(OR(F332="",E332=""),"",E332*L332)</f>
        <v/>
      </c>
      <c r="N332" s="26">
        <f>IF(OR(F332="",F332="Ganha",F332="Perdida"),"",Config!$B$5-IF(H332="",G332,H332))</f>
        <v/>
      </c>
      <c r="O332" s="22">
        <f>IF(F332="","",IF(F332="Ganha","Fechada",IF(F332="Perdida","Perdida",IF(AND(I332&lt;&gt;"",I332&lt;Config!$B$5),"Fechamento vencido",IF(N332&gt;Config!$B$7,"Parada","Ativa")))))</f>
        <v/>
      </c>
      <c r="P332" s="35">
        <f>IF(OR(F332="",O332="Fechada",O332="Perdida"),0,IF(O332="Fechamento vencido",3000,IF(O332="Parada",2000,1000))+MIN(N332,500)+E332/1000000-ROW()/100000)</f>
        <v>0</v>
      </c>
    </row>
    <row r="333">
      <c r="A333" s="29" t="n"/>
      <c r="B333" s="29" t="n"/>
      <c r="C333" s="33" t="n"/>
      <c r="D333" s="33" t="n"/>
      <c r="E333" s="31" t="n"/>
      <c r="F333" s="33" t="n"/>
      <c r="G333" s="34" t="n"/>
      <c r="H333" s="34" t="n"/>
      <c r="I333" s="34" t="n"/>
      <c r="J333" s="34" t="n"/>
      <c r="K333" s="29" t="n"/>
      <c r="L333" s="24">
        <f>IF(F333="","",IFERROR(INDEX(Config!$B$11:$B$16,MATCH(F333,Config!$A$11:$A$16,0)),0))</f>
        <v/>
      </c>
      <c r="M333" s="23">
        <f>IF(OR(F333="",E333=""),"",E333*L333)</f>
        <v/>
      </c>
      <c r="N333" s="26">
        <f>IF(OR(F333="",F333="Ganha",F333="Perdida"),"",Config!$B$5-IF(H333="",G333,H333))</f>
        <v/>
      </c>
      <c r="O333" s="22">
        <f>IF(F333="","",IF(F333="Ganha","Fechada",IF(F333="Perdida","Perdida",IF(AND(I333&lt;&gt;"",I333&lt;Config!$B$5),"Fechamento vencido",IF(N333&gt;Config!$B$7,"Parada","Ativa")))))</f>
        <v/>
      </c>
      <c r="P333" s="35">
        <f>IF(OR(F333="",O333="Fechada",O333="Perdida"),0,IF(O333="Fechamento vencido",3000,IF(O333="Parada",2000,1000))+MIN(N333,500)+E333/1000000-ROW()/100000)</f>
        <v>0</v>
      </c>
    </row>
    <row r="334">
      <c r="A334" s="29" t="n"/>
      <c r="B334" s="29" t="n"/>
      <c r="C334" s="33" t="n"/>
      <c r="D334" s="33" t="n"/>
      <c r="E334" s="31" t="n"/>
      <c r="F334" s="33" t="n"/>
      <c r="G334" s="34" t="n"/>
      <c r="H334" s="34" t="n"/>
      <c r="I334" s="34" t="n"/>
      <c r="J334" s="34" t="n"/>
      <c r="K334" s="29" t="n"/>
      <c r="L334" s="24">
        <f>IF(F334="","",IFERROR(INDEX(Config!$B$11:$B$16,MATCH(F334,Config!$A$11:$A$16,0)),0))</f>
        <v/>
      </c>
      <c r="M334" s="23">
        <f>IF(OR(F334="",E334=""),"",E334*L334)</f>
        <v/>
      </c>
      <c r="N334" s="26">
        <f>IF(OR(F334="",F334="Ganha",F334="Perdida"),"",Config!$B$5-IF(H334="",G334,H334))</f>
        <v/>
      </c>
      <c r="O334" s="22">
        <f>IF(F334="","",IF(F334="Ganha","Fechada",IF(F334="Perdida","Perdida",IF(AND(I334&lt;&gt;"",I334&lt;Config!$B$5),"Fechamento vencido",IF(N334&gt;Config!$B$7,"Parada","Ativa")))))</f>
        <v/>
      </c>
      <c r="P334" s="35">
        <f>IF(OR(F334="",O334="Fechada",O334="Perdida"),0,IF(O334="Fechamento vencido",3000,IF(O334="Parada",2000,1000))+MIN(N334,500)+E334/1000000-ROW()/100000)</f>
        <v>0</v>
      </c>
    </row>
    <row r="335">
      <c r="A335" s="29" t="n"/>
      <c r="B335" s="29" t="n"/>
      <c r="C335" s="33" t="n"/>
      <c r="D335" s="33" t="n"/>
      <c r="E335" s="31" t="n"/>
      <c r="F335" s="33" t="n"/>
      <c r="G335" s="34" t="n"/>
      <c r="H335" s="34" t="n"/>
      <c r="I335" s="34" t="n"/>
      <c r="J335" s="34" t="n"/>
      <c r="K335" s="29" t="n"/>
      <c r="L335" s="24">
        <f>IF(F335="","",IFERROR(INDEX(Config!$B$11:$B$16,MATCH(F335,Config!$A$11:$A$16,0)),0))</f>
        <v/>
      </c>
      <c r="M335" s="23">
        <f>IF(OR(F335="",E335=""),"",E335*L335)</f>
        <v/>
      </c>
      <c r="N335" s="26">
        <f>IF(OR(F335="",F335="Ganha",F335="Perdida"),"",Config!$B$5-IF(H335="",G335,H335))</f>
        <v/>
      </c>
      <c r="O335" s="22">
        <f>IF(F335="","",IF(F335="Ganha","Fechada",IF(F335="Perdida","Perdida",IF(AND(I335&lt;&gt;"",I335&lt;Config!$B$5),"Fechamento vencido",IF(N335&gt;Config!$B$7,"Parada","Ativa")))))</f>
        <v/>
      </c>
      <c r="P335" s="35">
        <f>IF(OR(F335="",O335="Fechada",O335="Perdida"),0,IF(O335="Fechamento vencido",3000,IF(O335="Parada",2000,1000))+MIN(N335,500)+E335/1000000-ROW()/100000)</f>
        <v>0</v>
      </c>
    </row>
    <row r="336">
      <c r="A336" s="29" t="n"/>
      <c r="B336" s="29" t="n"/>
      <c r="C336" s="33" t="n"/>
      <c r="D336" s="33" t="n"/>
      <c r="E336" s="31" t="n"/>
      <c r="F336" s="33" t="n"/>
      <c r="G336" s="34" t="n"/>
      <c r="H336" s="34" t="n"/>
      <c r="I336" s="34" t="n"/>
      <c r="J336" s="34" t="n"/>
      <c r="K336" s="29" t="n"/>
      <c r="L336" s="24">
        <f>IF(F336="","",IFERROR(INDEX(Config!$B$11:$B$16,MATCH(F336,Config!$A$11:$A$16,0)),0))</f>
        <v/>
      </c>
      <c r="M336" s="23">
        <f>IF(OR(F336="",E336=""),"",E336*L336)</f>
        <v/>
      </c>
      <c r="N336" s="26">
        <f>IF(OR(F336="",F336="Ganha",F336="Perdida"),"",Config!$B$5-IF(H336="",G336,H336))</f>
        <v/>
      </c>
      <c r="O336" s="22">
        <f>IF(F336="","",IF(F336="Ganha","Fechada",IF(F336="Perdida","Perdida",IF(AND(I336&lt;&gt;"",I336&lt;Config!$B$5),"Fechamento vencido",IF(N336&gt;Config!$B$7,"Parada","Ativa")))))</f>
        <v/>
      </c>
      <c r="P336" s="35">
        <f>IF(OR(F336="",O336="Fechada",O336="Perdida"),0,IF(O336="Fechamento vencido",3000,IF(O336="Parada",2000,1000))+MIN(N336,500)+E336/1000000-ROW()/100000)</f>
        <v>0</v>
      </c>
    </row>
    <row r="337">
      <c r="A337" s="29" t="n"/>
      <c r="B337" s="29" t="n"/>
      <c r="C337" s="33" t="n"/>
      <c r="D337" s="33" t="n"/>
      <c r="E337" s="31" t="n"/>
      <c r="F337" s="33" t="n"/>
      <c r="G337" s="34" t="n"/>
      <c r="H337" s="34" t="n"/>
      <c r="I337" s="34" t="n"/>
      <c r="J337" s="34" t="n"/>
      <c r="K337" s="29" t="n"/>
      <c r="L337" s="24">
        <f>IF(F337="","",IFERROR(INDEX(Config!$B$11:$B$16,MATCH(F337,Config!$A$11:$A$16,0)),0))</f>
        <v/>
      </c>
      <c r="M337" s="23">
        <f>IF(OR(F337="",E337=""),"",E337*L337)</f>
        <v/>
      </c>
      <c r="N337" s="26">
        <f>IF(OR(F337="",F337="Ganha",F337="Perdida"),"",Config!$B$5-IF(H337="",G337,H337))</f>
        <v/>
      </c>
      <c r="O337" s="22">
        <f>IF(F337="","",IF(F337="Ganha","Fechada",IF(F337="Perdida","Perdida",IF(AND(I337&lt;&gt;"",I337&lt;Config!$B$5),"Fechamento vencido",IF(N337&gt;Config!$B$7,"Parada","Ativa")))))</f>
        <v/>
      </c>
      <c r="P337" s="35">
        <f>IF(OR(F337="",O337="Fechada",O337="Perdida"),0,IF(O337="Fechamento vencido",3000,IF(O337="Parada",2000,1000))+MIN(N337,500)+E337/1000000-ROW()/100000)</f>
        <v>0</v>
      </c>
    </row>
    <row r="338">
      <c r="A338" s="29" t="n"/>
      <c r="B338" s="29" t="n"/>
      <c r="C338" s="33" t="n"/>
      <c r="D338" s="33" t="n"/>
      <c r="E338" s="31" t="n"/>
      <c r="F338" s="33" t="n"/>
      <c r="G338" s="34" t="n"/>
      <c r="H338" s="34" t="n"/>
      <c r="I338" s="34" t="n"/>
      <c r="J338" s="34" t="n"/>
      <c r="K338" s="29" t="n"/>
      <c r="L338" s="24">
        <f>IF(F338="","",IFERROR(INDEX(Config!$B$11:$B$16,MATCH(F338,Config!$A$11:$A$16,0)),0))</f>
        <v/>
      </c>
      <c r="M338" s="23">
        <f>IF(OR(F338="",E338=""),"",E338*L338)</f>
        <v/>
      </c>
      <c r="N338" s="26">
        <f>IF(OR(F338="",F338="Ganha",F338="Perdida"),"",Config!$B$5-IF(H338="",G338,H338))</f>
        <v/>
      </c>
      <c r="O338" s="22">
        <f>IF(F338="","",IF(F338="Ganha","Fechada",IF(F338="Perdida","Perdida",IF(AND(I338&lt;&gt;"",I338&lt;Config!$B$5),"Fechamento vencido",IF(N338&gt;Config!$B$7,"Parada","Ativa")))))</f>
        <v/>
      </c>
      <c r="P338" s="35">
        <f>IF(OR(F338="",O338="Fechada",O338="Perdida"),0,IF(O338="Fechamento vencido",3000,IF(O338="Parada",2000,1000))+MIN(N338,500)+E338/1000000-ROW()/100000)</f>
        <v>0</v>
      </c>
    </row>
    <row r="339">
      <c r="A339" s="29" t="n"/>
      <c r="B339" s="29" t="n"/>
      <c r="C339" s="33" t="n"/>
      <c r="D339" s="33" t="n"/>
      <c r="E339" s="31" t="n"/>
      <c r="F339" s="33" t="n"/>
      <c r="G339" s="34" t="n"/>
      <c r="H339" s="34" t="n"/>
      <c r="I339" s="34" t="n"/>
      <c r="J339" s="34" t="n"/>
      <c r="K339" s="29" t="n"/>
      <c r="L339" s="24">
        <f>IF(F339="","",IFERROR(INDEX(Config!$B$11:$B$16,MATCH(F339,Config!$A$11:$A$16,0)),0))</f>
        <v/>
      </c>
      <c r="M339" s="23">
        <f>IF(OR(F339="",E339=""),"",E339*L339)</f>
        <v/>
      </c>
      <c r="N339" s="26">
        <f>IF(OR(F339="",F339="Ganha",F339="Perdida"),"",Config!$B$5-IF(H339="",G339,H339))</f>
        <v/>
      </c>
      <c r="O339" s="22">
        <f>IF(F339="","",IF(F339="Ganha","Fechada",IF(F339="Perdida","Perdida",IF(AND(I339&lt;&gt;"",I339&lt;Config!$B$5),"Fechamento vencido",IF(N339&gt;Config!$B$7,"Parada","Ativa")))))</f>
        <v/>
      </c>
      <c r="P339" s="35">
        <f>IF(OR(F339="",O339="Fechada",O339="Perdida"),0,IF(O339="Fechamento vencido",3000,IF(O339="Parada",2000,1000))+MIN(N339,500)+E339/1000000-ROW()/100000)</f>
        <v>0</v>
      </c>
    </row>
    <row r="340">
      <c r="A340" s="29" t="n"/>
      <c r="B340" s="29" t="n"/>
      <c r="C340" s="33" t="n"/>
      <c r="D340" s="33" t="n"/>
      <c r="E340" s="31" t="n"/>
      <c r="F340" s="33" t="n"/>
      <c r="G340" s="34" t="n"/>
      <c r="H340" s="34" t="n"/>
      <c r="I340" s="34" t="n"/>
      <c r="J340" s="34" t="n"/>
      <c r="K340" s="29" t="n"/>
      <c r="L340" s="24">
        <f>IF(F340="","",IFERROR(INDEX(Config!$B$11:$B$16,MATCH(F340,Config!$A$11:$A$16,0)),0))</f>
        <v/>
      </c>
      <c r="M340" s="23">
        <f>IF(OR(F340="",E340=""),"",E340*L340)</f>
        <v/>
      </c>
      <c r="N340" s="26">
        <f>IF(OR(F340="",F340="Ganha",F340="Perdida"),"",Config!$B$5-IF(H340="",G340,H340))</f>
        <v/>
      </c>
      <c r="O340" s="22">
        <f>IF(F340="","",IF(F340="Ganha","Fechada",IF(F340="Perdida","Perdida",IF(AND(I340&lt;&gt;"",I340&lt;Config!$B$5),"Fechamento vencido",IF(N340&gt;Config!$B$7,"Parada","Ativa")))))</f>
        <v/>
      </c>
      <c r="P340" s="35">
        <f>IF(OR(F340="",O340="Fechada",O340="Perdida"),0,IF(O340="Fechamento vencido",3000,IF(O340="Parada",2000,1000))+MIN(N340,500)+E340/1000000-ROW()/100000)</f>
        <v>0</v>
      </c>
    </row>
    <row r="341">
      <c r="A341" s="29" t="n"/>
      <c r="B341" s="29" t="n"/>
      <c r="C341" s="33" t="n"/>
      <c r="D341" s="33" t="n"/>
      <c r="E341" s="31" t="n"/>
      <c r="F341" s="33" t="n"/>
      <c r="G341" s="34" t="n"/>
      <c r="H341" s="34" t="n"/>
      <c r="I341" s="34" t="n"/>
      <c r="J341" s="34" t="n"/>
      <c r="K341" s="29" t="n"/>
      <c r="L341" s="24">
        <f>IF(F341="","",IFERROR(INDEX(Config!$B$11:$B$16,MATCH(F341,Config!$A$11:$A$16,0)),0))</f>
        <v/>
      </c>
      <c r="M341" s="23">
        <f>IF(OR(F341="",E341=""),"",E341*L341)</f>
        <v/>
      </c>
      <c r="N341" s="26">
        <f>IF(OR(F341="",F341="Ganha",F341="Perdida"),"",Config!$B$5-IF(H341="",G341,H341))</f>
        <v/>
      </c>
      <c r="O341" s="22">
        <f>IF(F341="","",IF(F341="Ganha","Fechada",IF(F341="Perdida","Perdida",IF(AND(I341&lt;&gt;"",I341&lt;Config!$B$5),"Fechamento vencido",IF(N341&gt;Config!$B$7,"Parada","Ativa")))))</f>
        <v/>
      </c>
      <c r="P341" s="35">
        <f>IF(OR(F341="",O341="Fechada",O341="Perdida"),0,IF(O341="Fechamento vencido",3000,IF(O341="Parada",2000,1000))+MIN(N341,500)+E341/1000000-ROW()/100000)</f>
        <v>0</v>
      </c>
    </row>
    <row r="342">
      <c r="A342" s="29" t="n"/>
      <c r="B342" s="29" t="n"/>
      <c r="C342" s="33" t="n"/>
      <c r="D342" s="33" t="n"/>
      <c r="E342" s="31" t="n"/>
      <c r="F342" s="33" t="n"/>
      <c r="G342" s="34" t="n"/>
      <c r="H342" s="34" t="n"/>
      <c r="I342" s="34" t="n"/>
      <c r="J342" s="34" t="n"/>
      <c r="K342" s="29" t="n"/>
      <c r="L342" s="24">
        <f>IF(F342="","",IFERROR(INDEX(Config!$B$11:$B$16,MATCH(F342,Config!$A$11:$A$16,0)),0))</f>
        <v/>
      </c>
      <c r="M342" s="23">
        <f>IF(OR(F342="",E342=""),"",E342*L342)</f>
        <v/>
      </c>
      <c r="N342" s="26">
        <f>IF(OR(F342="",F342="Ganha",F342="Perdida"),"",Config!$B$5-IF(H342="",G342,H342))</f>
        <v/>
      </c>
      <c r="O342" s="22">
        <f>IF(F342="","",IF(F342="Ganha","Fechada",IF(F342="Perdida","Perdida",IF(AND(I342&lt;&gt;"",I342&lt;Config!$B$5),"Fechamento vencido",IF(N342&gt;Config!$B$7,"Parada","Ativa")))))</f>
        <v/>
      </c>
      <c r="P342" s="35">
        <f>IF(OR(F342="",O342="Fechada",O342="Perdida"),0,IF(O342="Fechamento vencido",3000,IF(O342="Parada",2000,1000))+MIN(N342,500)+E342/1000000-ROW()/100000)</f>
        <v>0</v>
      </c>
    </row>
    <row r="343">
      <c r="A343" s="29" t="n"/>
      <c r="B343" s="29" t="n"/>
      <c r="C343" s="33" t="n"/>
      <c r="D343" s="33" t="n"/>
      <c r="E343" s="31" t="n"/>
      <c r="F343" s="33" t="n"/>
      <c r="G343" s="34" t="n"/>
      <c r="H343" s="34" t="n"/>
      <c r="I343" s="34" t="n"/>
      <c r="J343" s="34" t="n"/>
      <c r="K343" s="29" t="n"/>
      <c r="L343" s="24">
        <f>IF(F343="","",IFERROR(INDEX(Config!$B$11:$B$16,MATCH(F343,Config!$A$11:$A$16,0)),0))</f>
        <v/>
      </c>
      <c r="M343" s="23">
        <f>IF(OR(F343="",E343=""),"",E343*L343)</f>
        <v/>
      </c>
      <c r="N343" s="26">
        <f>IF(OR(F343="",F343="Ganha",F343="Perdida"),"",Config!$B$5-IF(H343="",G343,H343))</f>
        <v/>
      </c>
      <c r="O343" s="22">
        <f>IF(F343="","",IF(F343="Ganha","Fechada",IF(F343="Perdida","Perdida",IF(AND(I343&lt;&gt;"",I343&lt;Config!$B$5),"Fechamento vencido",IF(N343&gt;Config!$B$7,"Parada","Ativa")))))</f>
        <v/>
      </c>
      <c r="P343" s="35">
        <f>IF(OR(F343="",O343="Fechada",O343="Perdida"),0,IF(O343="Fechamento vencido",3000,IF(O343="Parada",2000,1000))+MIN(N343,500)+E343/1000000-ROW()/100000)</f>
        <v>0</v>
      </c>
    </row>
    <row r="344">
      <c r="A344" s="29" t="n"/>
      <c r="B344" s="29" t="n"/>
      <c r="C344" s="33" t="n"/>
      <c r="D344" s="33" t="n"/>
      <c r="E344" s="31" t="n"/>
      <c r="F344" s="33" t="n"/>
      <c r="G344" s="34" t="n"/>
      <c r="H344" s="34" t="n"/>
      <c r="I344" s="34" t="n"/>
      <c r="J344" s="34" t="n"/>
      <c r="K344" s="29" t="n"/>
      <c r="L344" s="24">
        <f>IF(F344="","",IFERROR(INDEX(Config!$B$11:$B$16,MATCH(F344,Config!$A$11:$A$16,0)),0))</f>
        <v/>
      </c>
      <c r="M344" s="23">
        <f>IF(OR(F344="",E344=""),"",E344*L344)</f>
        <v/>
      </c>
      <c r="N344" s="26">
        <f>IF(OR(F344="",F344="Ganha",F344="Perdida"),"",Config!$B$5-IF(H344="",G344,H344))</f>
        <v/>
      </c>
      <c r="O344" s="22">
        <f>IF(F344="","",IF(F344="Ganha","Fechada",IF(F344="Perdida","Perdida",IF(AND(I344&lt;&gt;"",I344&lt;Config!$B$5),"Fechamento vencido",IF(N344&gt;Config!$B$7,"Parada","Ativa")))))</f>
        <v/>
      </c>
      <c r="P344" s="35">
        <f>IF(OR(F344="",O344="Fechada",O344="Perdida"),0,IF(O344="Fechamento vencido",3000,IF(O344="Parada",2000,1000))+MIN(N344,500)+E344/1000000-ROW()/100000)</f>
        <v>0</v>
      </c>
    </row>
    <row r="345">
      <c r="A345" s="29" t="n"/>
      <c r="B345" s="29" t="n"/>
      <c r="C345" s="33" t="n"/>
      <c r="D345" s="33" t="n"/>
      <c r="E345" s="31" t="n"/>
      <c r="F345" s="33" t="n"/>
      <c r="G345" s="34" t="n"/>
      <c r="H345" s="34" t="n"/>
      <c r="I345" s="34" t="n"/>
      <c r="J345" s="34" t="n"/>
      <c r="K345" s="29" t="n"/>
      <c r="L345" s="24">
        <f>IF(F345="","",IFERROR(INDEX(Config!$B$11:$B$16,MATCH(F345,Config!$A$11:$A$16,0)),0))</f>
        <v/>
      </c>
      <c r="M345" s="23">
        <f>IF(OR(F345="",E345=""),"",E345*L345)</f>
        <v/>
      </c>
      <c r="N345" s="26">
        <f>IF(OR(F345="",F345="Ganha",F345="Perdida"),"",Config!$B$5-IF(H345="",G345,H345))</f>
        <v/>
      </c>
      <c r="O345" s="22">
        <f>IF(F345="","",IF(F345="Ganha","Fechada",IF(F345="Perdida","Perdida",IF(AND(I345&lt;&gt;"",I345&lt;Config!$B$5),"Fechamento vencido",IF(N345&gt;Config!$B$7,"Parada","Ativa")))))</f>
        <v/>
      </c>
      <c r="P345" s="35">
        <f>IF(OR(F345="",O345="Fechada",O345="Perdida"),0,IF(O345="Fechamento vencido",3000,IF(O345="Parada",2000,1000))+MIN(N345,500)+E345/1000000-ROW()/100000)</f>
        <v>0</v>
      </c>
    </row>
    <row r="346">
      <c r="A346" s="29" t="n"/>
      <c r="B346" s="29" t="n"/>
      <c r="C346" s="33" t="n"/>
      <c r="D346" s="33" t="n"/>
      <c r="E346" s="31" t="n"/>
      <c r="F346" s="33" t="n"/>
      <c r="G346" s="34" t="n"/>
      <c r="H346" s="34" t="n"/>
      <c r="I346" s="34" t="n"/>
      <c r="J346" s="34" t="n"/>
      <c r="K346" s="29" t="n"/>
      <c r="L346" s="24">
        <f>IF(F346="","",IFERROR(INDEX(Config!$B$11:$B$16,MATCH(F346,Config!$A$11:$A$16,0)),0))</f>
        <v/>
      </c>
      <c r="M346" s="23">
        <f>IF(OR(F346="",E346=""),"",E346*L346)</f>
        <v/>
      </c>
      <c r="N346" s="26">
        <f>IF(OR(F346="",F346="Ganha",F346="Perdida"),"",Config!$B$5-IF(H346="",G346,H346))</f>
        <v/>
      </c>
      <c r="O346" s="22">
        <f>IF(F346="","",IF(F346="Ganha","Fechada",IF(F346="Perdida","Perdida",IF(AND(I346&lt;&gt;"",I346&lt;Config!$B$5),"Fechamento vencido",IF(N346&gt;Config!$B$7,"Parada","Ativa")))))</f>
        <v/>
      </c>
      <c r="P346" s="35">
        <f>IF(OR(F346="",O346="Fechada",O346="Perdida"),0,IF(O346="Fechamento vencido",3000,IF(O346="Parada",2000,1000))+MIN(N346,500)+E346/1000000-ROW()/100000)</f>
        <v>0</v>
      </c>
    </row>
    <row r="347">
      <c r="A347" s="29" t="n"/>
      <c r="B347" s="29" t="n"/>
      <c r="C347" s="33" t="n"/>
      <c r="D347" s="33" t="n"/>
      <c r="E347" s="31" t="n"/>
      <c r="F347" s="33" t="n"/>
      <c r="G347" s="34" t="n"/>
      <c r="H347" s="34" t="n"/>
      <c r="I347" s="34" t="n"/>
      <c r="J347" s="34" t="n"/>
      <c r="K347" s="29" t="n"/>
      <c r="L347" s="24">
        <f>IF(F347="","",IFERROR(INDEX(Config!$B$11:$B$16,MATCH(F347,Config!$A$11:$A$16,0)),0))</f>
        <v/>
      </c>
      <c r="M347" s="23">
        <f>IF(OR(F347="",E347=""),"",E347*L347)</f>
        <v/>
      </c>
      <c r="N347" s="26">
        <f>IF(OR(F347="",F347="Ganha",F347="Perdida"),"",Config!$B$5-IF(H347="",G347,H347))</f>
        <v/>
      </c>
      <c r="O347" s="22">
        <f>IF(F347="","",IF(F347="Ganha","Fechada",IF(F347="Perdida","Perdida",IF(AND(I347&lt;&gt;"",I347&lt;Config!$B$5),"Fechamento vencido",IF(N347&gt;Config!$B$7,"Parada","Ativa")))))</f>
        <v/>
      </c>
      <c r="P347" s="35">
        <f>IF(OR(F347="",O347="Fechada",O347="Perdida"),0,IF(O347="Fechamento vencido",3000,IF(O347="Parada",2000,1000))+MIN(N347,500)+E347/1000000-ROW()/100000)</f>
        <v>0</v>
      </c>
    </row>
    <row r="348">
      <c r="A348" s="29" t="n"/>
      <c r="B348" s="29" t="n"/>
      <c r="C348" s="33" t="n"/>
      <c r="D348" s="33" t="n"/>
      <c r="E348" s="31" t="n"/>
      <c r="F348" s="33" t="n"/>
      <c r="G348" s="34" t="n"/>
      <c r="H348" s="34" t="n"/>
      <c r="I348" s="34" t="n"/>
      <c r="J348" s="34" t="n"/>
      <c r="K348" s="29" t="n"/>
      <c r="L348" s="24">
        <f>IF(F348="","",IFERROR(INDEX(Config!$B$11:$B$16,MATCH(F348,Config!$A$11:$A$16,0)),0))</f>
        <v/>
      </c>
      <c r="M348" s="23">
        <f>IF(OR(F348="",E348=""),"",E348*L348)</f>
        <v/>
      </c>
      <c r="N348" s="26">
        <f>IF(OR(F348="",F348="Ganha",F348="Perdida"),"",Config!$B$5-IF(H348="",G348,H348))</f>
        <v/>
      </c>
      <c r="O348" s="22">
        <f>IF(F348="","",IF(F348="Ganha","Fechada",IF(F348="Perdida","Perdida",IF(AND(I348&lt;&gt;"",I348&lt;Config!$B$5),"Fechamento vencido",IF(N348&gt;Config!$B$7,"Parada","Ativa")))))</f>
        <v/>
      </c>
      <c r="P348" s="35">
        <f>IF(OR(F348="",O348="Fechada",O348="Perdida"),0,IF(O348="Fechamento vencido",3000,IF(O348="Parada",2000,1000))+MIN(N348,500)+E348/1000000-ROW()/100000)</f>
        <v>0</v>
      </c>
    </row>
    <row r="349">
      <c r="A349" s="29" t="n"/>
      <c r="B349" s="29" t="n"/>
      <c r="C349" s="33" t="n"/>
      <c r="D349" s="33" t="n"/>
      <c r="E349" s="31" t="n"/>
      <c r="F349" s="33" t="n"/>
      <c r="G349" s="34" t="n"/>
      <c r="H349" s="34" t="n"/>
      <c r="I349" s="34" t="n"/>
      <c r="J349" s="34" t="n"/>
      <c r="K349" s="29" t="n"/>
      <c r="L349" s="24">
        <f>IF(F349="","",IFERROR(INDEX(Config!$B$11:$B$16,MATCH(F349,Config!$A$11:$A$16,0)),0))</f>
        <v/>
      </c>
      <c r="M349" s="23">
        <f>IF(OR(F349="",E349=""),"",E349*L349)</f>
        <v/>
      </c>
      <c r="N349" s="26">
        <f>IF(OR(F349="",F349="Ganha",F349="Perdida"),"",Config!$B$5-IF(H349="",G349,H349))</f>
        <v/>
      </c>
      <c r="O349" s="22">
        <f>IF(F349="","",IF(F349="Ganha","Fechada",IF(F349="Perdida","Perdida",IF(AND(I349&lt;&gt;"",I349&lt;Config!$B$5),"Fechamento vencido",IF(N349&gt;Config!$B$7,"Parada","Ativa")))))</f>
        <v/>
      </c>
      <c r="P349" s="35">
        <f>IF(OR(F349="",O349="Fechada",O349="Perdida"),0,IF(O349="Fechamento vencido",3000,IF(O349="Parada",2000,1000))+MIN(N349,500)+E349/1000000-ROW()/100000)</f>
        <v>0</v>
      </c>
    </row>
    <row r="350">
      <c r="A350" s="29" t="n"/>
      <c r="B350" s="29" t="n"/>
      <c r="C350" s="33" t="n"/>
      <c r="D350" s="33" t="n"/>
      <c r="E350" s="31" t="n"/>
      <c r="F350" s="33" t="n"/>
      <c r="G350" s="34" t="n"/>
      <c r="H350" s="34" t="n"/>
      <c r="I350" s="34" t="n"/>
      <c r="J350" s="34" t="n"/>
      <c r="K350" s="29" t="n"/>
      <c r="L350" s="24">
        <f>IF(F350="","",IFERROR(INDEX(Config!$B$11:$B$16,MATCH(F350,Config!$A$11:$A$16,0)),0))</f>
        <v/>
      </c>
      <c r="M350" s="23">
        <f>IF(OR(F350="",E350=""),"",E350*L350)</f>
        <v/>
      </c>
      <c r="N350" s="26">
        <f>IF(OR(F350="",F350="Ganha",F350="Perdida"),"",Config!$B$5-IF(H350="",G350,H350))</f>
        <v/>
      </c>
      <c r="O350" s="22">
        <f>IF(F350="","",IF(F350="Ganha","Fechada",IF(F350="Perdida","Perdida",IF(AND(I350&lt;&gt;"",I350&lt;Config!$B$5),"Fechamento vencido",IF(N350&gt;Config!$B$7,"Parada","Ativa")))))</f>
        <v/>
      </c>
      <c r="P350" s="35">
        <f>IF(OR(F350="",O350="Fechada",O350="Perdida"),0,IF(O350="Fechamento vencido",3000,IF(O350="Parada",2000,1000))+MIN(N350,500)+E350/1000000-ROW()/100000)</f>
        <v>0</v>
      </c>
    </row>
    <row r="351">
      <c r="A351" s="29" t="n"/>
      <c r="B351" s="29" t="n"/>
      <c r="C351" s="33" t="n"/>
      <c r="D351" s="33" t="n"/>
      <c r="E351" s="31" t="n"/>
      <c r="F351" s="33" t="n"/>
      <c r="G351" s="34" t="n"/>
      <c r="H351" s="34" t="n"/>
      <c r="I351" s="34" t="n"/>
      <c r="J351" s="34" t="n"/>
      <c r="K351" s="29" t="n"/>
      <c r="L351" s="24">
        <f>IF(F351="","",IFERROR(INDEX(Config!$B$11:$B$16,MATCH(F351,Config!$A$11:$A$16,0)),0))</f>
        <v/>
      </c>
      <c r="M351" s="23">
        <f>IF(OR(F351="",E351=""),"",E351*L351)</f>
        <v/>
      </c>
      <c r="N351" s="26">
        <f>IF(OR(F351="",F351="Ganha",F351="Perdida"),"",Config!$B$5-IF(H351="",G351,H351))</f>
        <v/>
      </c>
      <c r="O351" s="22">
        <f>IF(F351="","",IF(F351="Ganha","Fechada",IF(F351="Perdida","Perdida",IF(AND(I351&lt;&gt;"",I351&lt;Config!$B$5),"Fechamento vencido",IF(N351&gt;Config!$B$7,"Parada","Ativa")))))</f>
        <v/>
      </c>
      <c r="P351" s="35">
        <f>IF(OR(F351="",O351="Fechada",O351="Perdida"),0,IF(O351="Fechamento vencido",3000,IF(O351="Parada",2000,1000))+MIN(N351,500)+E351/1000000-ROW()/100000)</f>
        <v>0</v>
      </c>
    </row>
    <row r="352">
      <c r="A352" s="29" t="n"/>
      <c r="B352" s="29" t="n"/>
      <c r="C352" s="33" t="n"/>
      <c r="D352" s="33" t="n"/>
      <c r="E352" s="31" t="n"/>
      <c r="F352" s="33" t="n"/>
      <c r="G352" s="34" t="n"/>
      <c r="H352" s="34" t="n"/>
      <c r="I352" s="34" t="n"/>
      <c r="J352" s="34" t="n"/>
      <c r="K352" s="29" t="n"/>
      <c r="L352" s="24">
        <f>IF(F352="","",IFERROR(INDEX(Config!$B$11:$B$16,MATCH(F352,Config!$A$11:$A$16,0)),0))</f>
        <v/>
      </c>
      <c r="M352" s="23">
        <f>IF(OR(F352="",E352=""),"",E352*L352)</f>
        <v/>
      </c>
      <c r="N352" s="26">
        <f>IF(OR(F352="",F352="Ganha",F352="Perdida"),"",Config!$B$5-IF(H352="",G352,H352))</f>
        <v/>
      </c>
      <c r="O352" s="22">
        <f>IF(F352="","",IF(F352="Ganha","Fechada",IF(F352="Perdida","Perdida",IF(AND(I352&lt;&gt;"",I352&lt;Config!$B$5),"Fechamento vencido",IF(N352&gt;Config!$B$7,"Parada","Ativa")))))</f>
        <v/>
      </c>
      <c r="P352" s="35">
        <f>IF(OR(F352="",O352="Fechada",O352="Perdida"),0,IF(O352="Fechamento vencido",3000,IF(O352="Parada",2000,1000))+MIN(N352,500)+E352/1000000-ROW()/100000)</f>
        <v>0</v>
      </c>
    </row>
    <row r="353">
      <c r="A353" s="29" t="n"/>
      <c r="B353" s="29" t="n"/>
      <c r="C353" s="33" t="n"/>
      <c r="D353" s="33" t="n"/>
      <c r="E353" s="31" t="n"/>
      <c r="F353" s="33" t="n"/>
      <c r="G353" s="34" t="n"/>
      <c r="H353" s="34" t="n"/>
      <c r="I353" s="34" t="n"/>
      <c r="J353" s="34" t="n"/>
      <c r="K353" s="29" t="n"/>
      <c r="L353" s="24">
        <f>IF(F353="","",IFERROR(INDEX(Config!$B$11:$B$16,MATCH(F353,Config!$A$11:$A$16,0)),0))</f>
        <v/>
      </c>
      <c r="M353" s="23">
        <f>IF(OR(F353="",E353=""),"",E353*L353)</f>
        <v/>
      </c>
      <c r="N353" s="26">
        <f>IF(OR(F353="",F353="Ganha",F353="Perdida"),"",Config!$B$5-IF(H353="",G353,H353))</f>
        <v/>
      </c>
      <c r="O353" s="22">
        <f>IF(F353="","",IF(F353="Ganha","Fechada",IF(F353="Perdida","Perdida",IF(AND(I353&lt;&gt;"",I353&lt;Config!$B$5),"Fechamento vencido",IF(N353&gt;Config!$B$7,"Parada","Ativa")))))</f>
        <v/>
      </c>
      <c r="P353" s="35">
        <f>IF(OR(F353="",O353="Fechada",O353="Perdida"),0,IF(O353="Fechamento vencido",3000,IF(O353="Parada",2000,1000))+MIN(N353,500)+E353/1000000-ROW()/100000)</f>
        <v>0</v>
      </c>
    </row>
    <row r="354">
      <c r="A354" s="29" t="n"/>
      <c r="B354" s="29" t="n"/>
      <c r="C354" s="33" t="n"/>
      <c r="D354" s="33" t="n"/>
      <c r="E354" s="31" t="n"/>
      <c r="F354" s="33" t="n"/>
      <c r="G354" s="34" t="n"/>
      <c r="H354" s="34" t="n"/>
      <c r="I354" s="34" t="n"/>
      <c r="J354" s="34" t="n"/>
      <c r="K354" s="29" t="n"/>
      <c r="L354" s="24">
        <f>IF(F354="","",IFERROR(INDEX(Config!$B$11:$B$16,MATCH(F354,Config!$A$11:$A$16,0)),0))</f>
        <v/>
      </c>
      <c r="M354" s="23">
        <f>IF(OR(F354="",E354=""),"",E354*L354)</f>
        <v/>
      </c>
      <c r="N354" s="26">
        <f>IF(OR(F354="",F354="Ganha",F354="Perdida"),"",Config!$B$5-IF(H354="",G354,H354))</f>
        <v/>
      </c>
      <c r="O354" s="22">
        <f>IF(F354="","",IF(F354="Ganha","Fechada",IF(F354="Perdida","Perdida",IF(AND(I354&lt;&gt;"",I354&lt;Config!$B$5),"Fechamento vencido",IF(N354&gt;Config!$B$7,"Parada","Ativa")))))</f>
        <v/>
      </c>
      <c r="P354" s="35">
        <f>IF(OR(F354="",O354="Fechada",O354="Perdida"),0,IF(O354="Fechamento vencido",3000,IF(O354="Parada",2000,1000))+MIN(N354,500)+E354/1000000-ROW()/100000)</f>
        <v>0</v>
      </c>
    </row>
    <row r="355">
      <c r="A355" s="29" t="n"/>
      <c r="B355" s="29" t="n"/>
      <c r="C355" s="33" t="n"/>
      <c r="D355" s="33" t="n"/>
      <c r="E355" s="31" t="n"/>
      <c r="F355" s="33" t="n"/>
      <c r="G355" s="34" t="n"/>
      <c r="H355" s="34" t="n"/>
      <c r="I355" s="34" t="n"/>
      <c r="J355" s="34" t="n"/>
      <c r="K355" s="29" t="n"/>
      <c r="L355" s="24">
        <f>IF(F355="","",IFERROR(INDEX(Config!$B$11:$B$16,MATCH(F355,Config!$A$11:$A$16,0)),0))</f>
        <v/>
      </c>
      <c r="M355" s="23">
        <f>IF(OR(F355="",E355=""),"",E355*L355)</f>
        <v/>
      </c>
      <c r="N355" s="26">
        <f>IF(OR(F355="",F355="Ganha",F355="Perdida"),"",Config!$B$5-IF(H355="",G355,H355))</f>
        <v/>
      </c>
      <c r="O355" s="22">
        <f>IF(F355="","",IF(F355="Ganha","Fechada",IF(F355="Perdida","Perdida",IF(AND(I355&lt;&gt;"",I355&lt;Config!$B$5),"Fechamento vencido",IF(N355&gt;Config!$B$7,"Parada","Ativa")))))</f>
        <v/>
      </c>
      <c r="P355" s="35">
        <f>IF(OR(F355="",O355="Fechada",O355="Perdida"),0,IF(O355="Fechamento vencido",3000,IF(O355="Parada",2000,1000))+MIN(N355,500)+E355/1000000-ROW()/100000)</f>
        <v>0</v>
      </c>
    </row>
    <row r="356">
      <c r="A356" s="29" t="n"/>
      <c r="B356" s="29" t="n"/>
      <c r="C356" s="33" t="n"/>
      <c r="D356" s="33" t="n"/>
      <c r="E356" s="31" t="n"/>
      <c r="F356" s="33" t="n"/>
      <c r="G356" s="34" t="n"/>
      <c r="H356" s="34" t="n"/>
      <c r="I356" s="34" t="n"/>
      <c r="J356" s="34" t="n"/>
      <c r="K356" s="29" t="n"/>
      <c r="L356" s="24">
        <f>IF(F356="","",IFERROR(INDEX(Config!$B$11:$B$16,MATCH(F356,Config!$A$11:$A$16,0)),0))</f>
        <v/>
      </c>
      <c r="M356" s="23">
        <f>IF(OR(F356="",E356=""),"",E356*L356)</f>
        <v/>
      </c>
      <c r="N356" s="26">
        <f>IF(OR(F356="",F356="Ganha",F356="Perdida"),"",Config!$B$5-IF(H356="",G356,H356))</f>
        <v/>
      </c>
      <c r="O356" s="22">
        <f>IF(F356="","",IF(F356="Ganha","Fechada",IF(F356="Perdida","Perdida",IF(AND(I356&lt;&gt;"",I356&lt;Config!$B$5),"Fechamento vencido",IF(N356&gt;Config!$B$7,"Parada","Ativa")))))</f>
        <v/>
      </c>
      <c r="P356" s="35">
        <f>IF(OR(F356="",O356="Fechada",O356="Perdida"),0,IF(O356="Fechamento vencido",3000,IF(O356="Parada",2000,1000))+MIN(N356,500)+E356/1000000-ROW()/100000)</f>
        <v>0</v>
      </c>
    </row>
    <row r="357">
      <c r="A357" s="29" t="n"/>
      <c r="B357" s="29" t="n"/>
      <c r="C357" s="33" t="n"/>
      <c r="D357" s="33" t="n"/>
      <c r="E357" s="31" t="n"/>
      <c r="F357" s="33" t="n"/>
      <c r="G357" s="34" t="n"/>
      <c r="H357" s="34" t="n"/>
      <c r="I357" s="34" t="n"/>
      <c r="J357" s="34" t="n"/>
      <c r="K357" s="29" t="n"/>
      <c r="L357" s="24">
        <f>IF(F357="","",IFERROR(INDEX(Config!$B$11:$B$16,MATCH(F357,Config!$A$11:$A$16,0)),0))</f>
        <v/>
      </c>
      <c r="M357" s="23">
        <f>IF(OR(F357="",E357=""),"",E357*L357)</f>
        <v/>
      </c>
      <c r="N357" s="26">
        <f>IF(OR(F357="",F357="Ganha",F357="Perdida"),"",Config!$B$5-IF(H357="",G357,H357))</f>
        <v/>
      </c>
      <c r="O357" s="22">
        <f>IF(F357="","",IF(F357="Ganha","Fechada",IF(F357="Perdida","Perdida",IF(AND(I357&lt;&gt;"",I357&lt;Config!$B$5),"Fechamento vencido",IF(N357&gt;Config!$B$7,"Parada","Ativa")))))</f>
        <v/>
      </c>
      <c r="P357" s="35">
        <f>IF(OR(F357="",O357="Fechada",O357="Perdida"),0,IF(O357="Fechamento vencido",3000,IF(O357="Parada",2000,1000))+MIN(N357,500)+E357/1000000-ROW()/100000)</f>
        <v>0</v>
      </c>
    </row>
    <row r="358">
      <c r="A358" s="29" t="n"/>
      <c r="B358" s="29" t="n"/>
      <c r="C358" s="33" t="n"/>
      <c r="D358" s="33" t="n"/>
      <c r="E358" s="31" t="n"/>
      <c r="F358" s="33" t="n"/>
      <c r="G358" s="34" t="n"/>
      <c r="H358" s="34" t="n"/>
      <c r="I358" s="34" t="n"/>
      <c r="J358" s="34" t="n"/>
      <c r="K358" s="29" t="n"/>
      <c r="L358" s="24">
        <f>IF(F358="","",IFERROR(INDEX(Config!$B$11:$B$16,MATCH(F358,Config!$A$11:$A$16,0)),0))</f>
        <v/>
      </c>
      <c r="M358" s="23">
        <f>IF(OR(F358="",E358=""),"",E358*L358)</f>
        <v/>
      </c>
      <c r="N358" s="26">
        <f>IF(OR(F358="",F358="Ganha",F358="Perdida"),"",Config!$B$5-IF(H358="",G358,H358))</f>
        <v/>
      </c>
      <c r="O358" s="22">
        <f>IF(F358="","",IF(F358="Ganha","Fechada",IF(F358="Perdida","Perdida",IF(AND(I358&lt;&gt;"",I358&lt;Config!$B$5),"Fechamento vencido",IF(N358&gt;Config!$B$7,"Parada","Ativa")))))</f>
        <v/>
      </c>
      <c r="P358" s="35">
        <f>IF(OR(F358="",O358="Fechada",O358="Perdida"),0,IF(O358="Fechamento vencido",3000,IF(O358="Parada",2000,1000))+MIN(N358,500)+E358/1000000-ROW()/100000)</f>
        <v>0</v>
      </c>
    </row>
    <row r="359">
      <c r="A359" s="29" t="n"/>
      <c r="B359" s="29" t="n"/>
      <c r="C359" s="33" t="n"/>
      <c r="D359" s="33" t="n"/>
      <c r="E359" s="31" t="n"/>
      <c r="F359" s="33" t="n"/>
      <c r="G359" s="34" t="n"/>
      <c r="H359" s="34" t="n"/>
      <c r="I359" s="34" t="n"/>
      <c r="J359" s="34" t="n"/>
      <c r="K359" s="29" t="n"/>
      <c r="L359" s="24">
        <f>IF(F359="","",IFERROR(INDEX(Config!$B$11:$B$16,MATCH(F359,Config!$A$11:$A$16,0)),0))</f>
        <v/>
      </c>
      <c r="M359" s="23">
        <f>IF(OR(F359="",E359=""),"",E359*L359)</f>
        <v/>
      </c>
      <c r="N359" s="26">
        <f>IF(OR(F359="",F359="Ganha",F359="Perdida"),"",Config!$B$5-IF(H359="",G359,H359))</f>
        <v/>
      </c>
      <c r="O359" s="22">
        <f>IF(F359="","",IF(F359="Ganha","Fechada",IF(F359="Perdida","Perdida",IF(AND(I359&lt;&gt;"",I359&lt;Config!$B$5),"Fechamento vencido",IF(N359&gt;Config!$B$7,"Parada","Ativa")))))</f>
        <v/>
      </c>
      <c r="P359" s="35">
        <f>IF(OR(F359="",O359="Fechada",O359="Perdida"),0,IF(O359="Fechamento vencido",3000,IF(O359="Parada",2000,1000))+MIN(N359,500)+E359/1000000-ROW()/100000)</f>
        <v>0</v>
      </c>
    </row>
    <row r="360">
      <c r="A360" s="29" t="n"/>
      <c r="B360" s="29" t="n"/>
      <c r="C360" s="33" t="n"/>
      <c r="D360" s="33" t="n"/>
      <c r="E360" s="31" t="n"/>
      <c r="F360" s="33" t="n"/>
      <c r="G360" s="34" t="n"/>
      <c r="H360" s="34" t="n"/>
      <c r="I360" s="34" t="n"/>
      <c r="J360" s="34" t="n"/>
      <c r="K360" s="29" t="n"/>
      <c r="L360" s="24">
        <f>IF(F360="","",IFERROR(INDEX(Config!$B$11:$B$16,MATCH(F360,Config!$A$11:$A$16,0)),0))</f>
        <v/>
      </c>
      <c r="M360" s="23">
        <f>IF(OR(F360="",E360=""),"",E360*L360)</f>
        <v/>
      </c>
      <c r="N360" s="26">
        <f>IF(OR(F360="",F360="Ganha",F360="Perdida"),"",Config!$B$5-IF(H360="",G360,H360))</f>
        <v/>
      </c>
      <c r="O360" s="22">
        <f>IF(F360="","",IF(F360="Ganha","Fechada",IF(F360="Perdida","Perdida",IF(AND(I360&lt;&gt;"",I360&lt;Config!$B$5),"Fechamento vencido",IF(N360&gt;Config!$B$7,"Parada","Ativa")))))</f>
        <v/>
      </c>
      <c r="P360" s="35">
        <f>IF(OR(F360="",O360="Fechada",O360="Perdida"),0,IF(O360="Fechamento vencido",3000,IF(O360="Parada",2000,1000))+MIN(N360,500)+E360/1000000-ROW()/100000)</f>
        <v>0</v>
      </c>
    </row>
    <row r="361">
      <c r="A361" s="29" t="n"/>
      <c r="B361" s="29" t="n"/>
      <c r="C361" s="33" t="n"/>
      <c r="D361" s="33" t="n"/>
      <c r="E361" s="31" t="n"/>
      <c r="F361" s="33" t="n"/>
      <c r="G361" s="34" t="n"/>
      <c r="H361" s="34" t="n"/>
      <c r="I361" s="34" t="n"/>
      <c r="J361" s="34" t="n"/>
      <c r="K361" s="29" t="n"/>
      <c r="L361" s="24">
        <f>IF(F361="","",IFERROR(INDEX(Config!$B$11:$B$16,MATCH(F361,Config!$A$11:$A$16,0)),0))</f>
        <v/>
      </c>
      <c r="M361" s="23">
        <f>IF(OR(F361="",E361=""),"",E361*L361)</f>
        <v/>
      </c>
      <c r="N361" s="26">
        <f>IF(OR(F361="",F361="Ganha",F361="Perdida"),"",Config!$B$5-IF(H361="",G361,H361))</f>
        <v/>
      </c>
      <c r="O361" s="22">
        <f>IF(F361="","",IF(F361="Ganha","Fechada",IF(F361="Perdida","Perdida",IF(AND(I361&lt;&gt;"",I361&lt;Config!$B$5),"Fechamento vencido",IF(N361&gt;Config!$B$7,"Parada","Ativa")))))</f>
        <v/>
      </c>
      <c r="P361" s="35">
        <f>IF(OR(F361="",O361="Fechada",O361="Perdida"),0,IF(O361="Fechamento vencido",3000,IF(O361="Parada",2000,1000))+MIN(N361,500)+E361/1000000-ROW()/100000)</f>
        <v>0</v>
      </c>
    </row>
    <row r="362">
      <c r="A362" s="29" t="n"/>
      <c r="B362" s="29" t="n"/>
      <c r="C362" s="33" t="n"/>
      <c r="D362" s="33" t="n"/>
      <c r="E362" s="31" t="n"/>
      <c r="F362" s="33" t="n"/>
      <c r="G362" s="34" t="n"/>
      <c r="H362" s="34" t="n"/>
      <c r="I362" s="34" t="n"/>
      <c r="J362" s="34" t="n"/>
      <c r="K362" s="29" t="n"/>
      <c r="L362" s="24">
        <f>IF(F362="","",IFERROR(INDEX(Config!$B$11:$B$16,MATCH(F362,Config!$A$11:$A$16,0)),0))</f>
        <v/>
      </c>
      <c r="M362" s="23">
        <f>IF(OR(F362="",E362=""),"",E362*L362)</f>
        <v/>
      </c>
      <c r="N362" s="26">
        <f>IF(OR(F362="",F362="Ganha",F362="Perdida"),"",Config!$B$5-IF(H362="",G362,H362))</f>
        <v/>
      </c>
      <c r="O362" s="22">
        <f>IF(F362="","",IF(F362="Ganha","Fechada",IF(F362="Perdida","Perdida",IF(AND(I362&lt;&gt;"",I362&lt;Config!$B$5),"Fechamento vencido",IF(N362&gt;Config!$B$7,"Parada","Ativa")))))</f>
        <v/>
      </c>
      <c r="P362" s="35">
        <f>IF(OR(F362="",O362="Fechada",O362="Perdida"),0,IF(O362="Fechamento vencido",3000,IF(O362="Parada",2000,1000))+MIN(N362,500)+E362/1000000-ROW()/100000)</f>
        <v>0</v>
      </c>
    </row>
    <row r="363">
      <c r="A363" s="29" t="n"/>
      <c r="B363" s="29" t="n"/>
      <c r="C363" s="33" t="n"/>
      <c r="D363" s="33" t="n"/>
      <c r="E363" s="31" t="n"/>
      <c r="F363" s="33" t="n"/>
      <c r="G363" s="34" t="n"/>
      <c r="H363" s="34" t="n"/>
      <c r="I363" s="34" t="n"/>
      <c r="J363" s="34" t="n"/>
      <c r="K363" s="29" t="n"/>
      <c r="L363" s="24">
        <f>IF(F363="","",IFERROR(INDEX(Config!$B$11:$B$16,MATCH(F363,Config!$A$11:$A$16,0)),0))</f>
        <v/>
      </c>
      <c r="M363" s="23">
        <f>IF(OR(F363="",E363=""),"",E363*L363)</f>
        <v/>
      </c>
      <c r="N363" s="26">
        <f>IF(OR(F363="",F363="Ganha",F363="Perdida"),"",Config!$B$5-IF(H363="",G363,H363))</f>
        <v/>
      </c>
      <c r="O363" s="22">
        <f>IF(F363="","",IF(F363="Ganha","Fechada",IF(F363="Perdida","Perdida",IF(AND(I363&lt;&gt;"",I363&lt;Config!$B$5),"Fechamento vencido",IF(N363&gt;Config!$B$7,"Parada","Ativa")))))</f>
        <v/>
      </c>
      <c r="P363" s="35">
        <f>IF(OR(F363="",O363="Fechada",O363="Perdida"),0,IF(O363="Fechamento vencido",3000,IF(O363="Parada",2000,1000))+MIN(N363,500)+E363/1000000-ROW()/100000)</f>
        <v>0</v>
      </c>
    </row>
    <row r="364">
      <c r="A364" s="29" t="n"/>
      <c r="B364" s="29" t="n"/>
      <c r="C364" s="33" t="n"/>
      <c r="D364" s="33" t="n"/>
      <c r="E364" s="31" t="n"/>
      <c r="F364" s="33" t="n"/>
      <c r="G364" s="34" t="n"/>
      <c r="H364" s="34" t="n"/>
      <c r="I364" s="34" t="n"/>
      <c r="J364" s="34" t="n"/>
      <c r="K364" s="29" t="n"/>
      <c r="L364" s="24">
        <f>IF(F364="","",IFERROR(INDEX(Config!$B$11:$B$16,MATCH(F364,Config!$A$11:$A$16,0)),0))</f>
        <v/>
      </c>
      <c r="M364" s="23">
        <f>IF(OR(F364="",E364=""),"",E364*L364)</f>
        <v/>
      </c>
      <c r="N364" s="26">
        <f>IF(OR(F364="",F364="Ganha",F364="Perdida"),"",Config!$B$5-IF(H364="",G364,H364))</f>
        <v/>
      </c>
      <c r="O364" s="22">
        <f>IF(F364="","",IF(F364="Ganha","Fechada",IF(F364="Perdida","Perdida",IF(AND(I364&lt;&gt;"",I364&lt;Config!$B$5),"Fechamento vencido",IF(N364&gt;Config!$B$7,"Parada","Ativa")))))</f>
        <v/>
      </c>
      <c r="P364" s="35">
        <f>IF(OR(F364="",O364="Fechada",O364="Perdida"),0,IF(O364="Fechamento vencido",3000,IF(O364="Parada",2000,1000))+MIN(N364,500)+E364/1000000-ROW()/100000)</f>
        <v>0</v>
      </c>
    </row>
    <row r="365">
      <c r="A365" s="29" t="n"/>
      <c r="B365" s="29" t="n"/>
      <c r="C365" s="33" t="n"/>
      <c r="D365" s="33" t="n"/>
      <c r="E365" s="31" t="n"/>
      <c r="F365" s="33" t="n"/>
      <c r="G365" s="34" t="n"/>
      <c r="H365" s="34" t="n"/>
      <c r="I365" s="34" t="n"/>
      <c r="J365" s="34" t="n"/>
      <c r="K365" s="29" t="n"/>
      <c r="L365" s="24">
        <f>IF(F365="","",IFERROR(INDEX(Config!$B$11:$B$16,MATCH(F365,Config!$A$11:$A$16,0)),0))</f>
        <v/>
      </c>
      <c r="M365" s="23">
        <f>IF(OR(F365="",E365=""),"",E365*L365)</f>
        <v/>
      </c>
      <c r="N365" s="26">
        <f>IF(OR(F365="",F365="Ganha",F365="Perdida"),"",Config!$B$5-IF(H365="",G365,H365))</f>
        <v/>
      </c>
      <c r="O365" s="22">
        <f>IF(F365="","",IF(F365="Ganha","Fechada",IF(F365="Perdida","Perdida",IF(AND(I365&lt;&gt;"",I365&lt;Config!$B$5),"Fechamento vencido",IF(N365&gt;Config!$B$7,"Parada","Ativa")))))</f>
        <v/>
      </c>
      <c r="P365" s="35">
        <f>IF(OR(F365="",O365="Fechada",O365="Perdida"),0,IF(O365="Fechamento vencido",3000,IF(O365="Parada",2000,1000))+MIN(N365,500)+E365/1000000-ROW()/100000)</f>
        <v>0</v>
      </c>
    </row>
    <row r="366">
      <c r="A366" s="29" t="n"/>
      <c r="B366" s="29" t="n"/>
      <c r="C366" s="33" t="n"/>
      <c r="D366" s="33" t="n"/>
      <c r="E366" s="31" t="n"/>
      <c r="F366" s="33" t="n"/>
      <c r="G366" s="34" t="n"/>
      <c r="H366" s="34" t="n"/>
      <c r="I366" s="34" t="n"/>
      <c r="J366" s="34" t="n"/>
      <c r="K366" s="29" t="n"/>
      <c r="L366" s="24">
        <f>IF(F366="","",IFERROR(INDEX(Config!$B$11:$B$16,MATCH(F366,Config!$A$11:$A$16,0)),0))</f>
        <v/>
      </c>
      <c r="M366" s="23">
        <f>IF(OR(F366="",E366=""),"",E366*L366)</f>
        <v/>
      </c>
      <c r="N366" s="26">
        <f>IF(OR(F366="",F366="Ganha",F366="Perdida"),"",Config!$B$5-IF(H366="",G366,H366))</f>
        <v/>
      </c>
      <c r="O366" s="22">
        <f>IF(F366="","",IF(F366="Ganha","Fechada",IF(F366="Perdida","Perdida",IF(AND(I366&lt;&gt;"",I366&lt;Config!$B$5),"Fechamento vencido",IF(N366&gt;Config!$B$7,"Parada","Ativa")))))</f>
        <v/>
      </c>
      <c r="P366" s="35">
        <f>IF(OR(F366="",O366="Fechada",O366="Perdida"),0,IF(O366="Fechamento vencido",3000,IF(O366="Parada",2000,1000))+MIN(N366,500)+E366/1000000-ROW()/100000)</f>
        <v>0</v>
      </c>
    </row>
    <row r="367">
      <c r="A367" s="29" t="n"/>
      <c r="B367" s="29" t="n"/>
      <c r="C367" s="33" t="n"/>
      <c r="D367" s="33" t="n"/>
      <c r="E367" s="31" t="n"/>
      <c r="F367" s="33" t="n"/>
      <c r="G367" s="34" t="n"/>
      <c r="H367" s="34" t="n"/>
      <c r="I367" s="34" t="n"/>
      <c r="J367" s="34" t="n"/>
      <c r="K367" s="29" t="n"/>
      <c r="L367" s="24">
        <f>IF(F367="","",IFERROR(INDEX(Config!$B$11:$B$16,MATCH(F367,Config!$A$11:$A$16,0)),0))</f>
        <v/>
      </c>
      <c r="M367" s="23">
        <f>IF(OR(F367="",E367=""),"",E367*L367)</f>
        <v/>
      </c>
      <c r="N367" s="26">
        <f>IF(OR(F367="",F367="Ganha",F367="Perdida"),"",Config!$B$5-IF(H367="",G367,H367))</f>
        <v/>
      </c>
      <c r="O367" s="22">
        <f>IF(F367="","",IF(F367="Ganha","Fechada",IF(F367="Perdida","Perdida",IF(AND(I367&lt;&gt;"",I367&lt;Config!$B$5),"Fechamento vencido",IF(N367&gt;Config!$B$7,"Parada","Ativa")))))</f>
        <v/>
      </c>
      <c r="P367" s="35">
        <f>IF(OR(F367="",O367="Fechada",O367="Perdida"),0,IF(O367="Fechamento vencido",3000,IF(O367="Parada",2000,1000))+MIN(N367,500)+E367/1000000-ROW()/100000)</f>
        <v>0</v>
      </c>
    </row>
    <row r="368">
      <c r="A368" s="29" t="n"/>
      <c r="B368" s="29" t="n"/>
      <c r="C368" s="33" t="n"/>
      <c r="D368" s="33" t="n"/>
      <c r="E368" s="31" t="n"/>
      <c r="F368" s="33" t="n"/>
      <c r="G368" s="34" t="n"/>
      <c r="H368" s="34" t="n"/>
      <c r="I368" s="34" t="n"/>
      <c r="J368" s="34" t="n"/>
      <c r="K368" s="29" t="n"/>
      <c r="L368" s="24">
        <f>IF(F368="","",IFERROR(INDEX(Config!$B$11:$B$16,MATCH(F368,Config!$A$11:$A$16,0)),0))</f>
        <v/>
      </c>
      <c r="M368" s="23">
        <f>IF(OR(F368="",E368=""),"",E368*L368)</f>
        <v/>
      </c>
      <c r="N368" s="26">
        <f>IF(OR(F368="",F368="Ganha",F368="Perdida"),"",Config!$B$5-IF(H368="",G368,H368))</f>
        <v/>
      </c>
      <c r="O368" s="22">
        <f>IF(F368="","",IF(F368="Ganha","Fechada",IF(F368="Perdida","Perdida",IF(AND(I368&lt;&gt;"",I368&lt;Config!$B$5),"Fechamento vencido",IF(N368&gt;Config!$B$7,"Parada","Ativa")))))</f>
        <v/>
      </c>
      <c r="P368" s="35">
        <f>IF(OR(F368="",O368="Fechada",O368="Perdida"),0,IF(O368="Fechamento vencido",3000,IF(O368="Parada",2000,1000))+MIN(N368,500)+E368/1000000-ROW()/100000)</f>
        <v>0</v>
      </c>
    </row>
    <row r="369">
      <c r="A369" s="29" t="n"/>
      <c r="B369" s="29" t="n"/>
      <c r="C369" s="33" t="n"/>
      <c r="D369" s="33" t="n"/>
      <c r="E369" s="31" t="n"/>
      <c r="F369" s="33" t="n"/>
      <c r="G369" s="34" t="n"/>
      <c r="H369" s="34" t="n"/>
      <c r="I369" s="34" t="n"/>
      <c r="J369" s="34" t="n"/>
      <c r="K369" s="29" t="n"/>
      <c r="L369" s="24">
        <f>IF(F369="","",IFERROR(INDEX(Config!$B$11:$B$16,MATCH(F369,Config!$A$11:$A$16,0)),0))</f>
        <v/>
      </c>
      <c r="M369" s="23">
        <f>IF(OR(F369="",E369=""),"",E369*L369)</f>
        <v/>
      </c>
      <c r="N369" s="26">
        <f>IF(OR(F369="",F369="Ganha",F369="Perdida"),"",Config!$B$5-IF(H369="",G369,H369))</f>
        <v/>
      </c>
      <c r="O369" s="22">
        <f>IF(F369="","",IF(F369="Ganha","Fechada",IF(F369="Perdida","Perdida",IF(AND(I369&lt;&gt;"",I369&lt;Config!$B$5),"Fechamento vencido",IF(N369&gt;Config!$B$7,"Parada","Ativa")))))</f>
        <v/>
      </c>
      <c r="P369" s="35">
        <f>IF(OR(F369="",O369="Fechada",O369="Perdida"),0,IF(O369="Fechamento vencido",3000,IF(O369="Parada",2000,1000))+MIN(N369,500)+E369/1000000-ROW()/100000)</f>
        <v>0</v>
      </c>
    </row>
    <row r="370">
      <c r="A370" s="29" t="n"/>
      <c r="B370" s="29" t="n"/>
      <c r="C370" s="33" t="n"/>
      <c r="D370" s="33" t="n"/>
      <c r="E370" s="31" t="n"/>
      <c r="F370" s="33" t="n"/>
      <c r="G370" s="34" t="n"/>
      <c r="H370" s="34" t="n"/>
      <c r="I370" s="34" t="n"/>
      <c r="J370" s="34" t="n"/>
      <c r="K370" s="29" t="n"/>
      <c r="L370" s="24">
        <f>IF(F370="","",IFERROR(INDEX(Config!$B$11:$B$16,MATCH(F370,Config!$A$11:$A$16,0)),0))</f>
        <v/>
      </c>
      <c r="M370" s="23">
        <f>IF(OR(F370="",E370=""),"",E370*L370)</f>
        <v/>
      </c>
      <c r="N370" s="26">
        <f>IF(OR(F370="",F370="Ganha",F370="Perdida"),"",Config!$B$5-IF(H370="",G370,H370))</f>
        <v/>
      </c>
      <c r="O370" s="22">
        <f>IF(F370="","",IF(F370="Ganha","Fechada",IF(F370="Perdida","Perdida",IF(AND(I370&lt;&gt;"",I370&lt;Config!$B$5),"Fechamento vencido",IF(N370&gt;Config!$B$7,"Parada","Ativa")))))</f>
        <v/>
      </c>
      <c r="P370" s="35">
        <f>IF(OR(F370="",O370="Fechada",O370="Perdida"),0,IF(O370="Fechamento vencido",3000,IF(O370="Parada",2000,1000))+MIN(N370,500)+E370/1000000-ROW()/100000)</f>
        <v>0</v>
      </c>
    </row>
    <row r="371">
      <c r="A371" s="29" t="n"/>
      <c r="B371" s="29" t="n"/>
      <c r="C371" s="33" t="n"/>
      <c r="D371" s="33" t="n"/>
      <c r="E371" s="31" t="n"/>
      <c r="F371" s="33" t="n"/>
      <c r="G371" s="34" t="n"/>
      <c r="H371" s="34" t="n"/>
      <c r="I371" s="34" t="n"/>
      <c r="J371" s="34" t="n"/>
      <c r="K371" s="29" t="n"/>
      <c r="L371" s="24">
        <f>IF(F371="","",IFERROR(INDEX(Config!$B$11:$B$16,MATCH(F371,Config!$A$11:$A$16,0)),0))</f>
        <v/>
      </c>
      <c r="M371" s="23">
        <f>IF(OR(F371="",E371=""),"",E371*L371)</f>
        <v/>
      </c>
      <c r="N371" s="26">
        <f>IF(OR(F371="",F371="Ganha",F371="Perdida"),"",Config!$B$5-IF(H371="",G371,H371))</f>
        <v/>
      </c>
      <c r="O371" s="22">
        <f>IF(F371="","",IF(F371="Ganha","Fechada",IF(F371="Perdida","Perdida",IF(AND(I371&lt;&gt;"",I371&lt;Config!$B$5),"Fechamento vencido",IF(N371&gt;Config!$B$7,"Parada","Ativa")))))</f>
        <v/>
      </c>
      <c r="P371" s="35">
        <f>IF(OR(F371="",O371="Fechada",O371="Perdida"),0,IF(O371="Fechamento vencido",3000,IF(O371="Parada",2000,1000))+MIN(N371,500)+E371/1000000-ROW()/100000)</f>
        <v>0</v>
      </c>
    </row>
    <row r="372">
      <c r="A372" s="29" t="n"/>
      <c r="B372" s="29" t="n"/>
      <c r="C372" s="33" t="n"/>
      <c r="D372" s="33" t="n"/>
      <c r="E372" s="31" t="n"/>
      <c r="F372" s="33" t="n"/>
      <c r="G372" s="34" t="n"/>
      <c r="H372" s="34" t="n"/>
      <c r="I372" s="34" t="n"/>
      <c r="J372" s="34" t="n"/>
      <c r="K372" s="29" t="n"/>
      <c r="L372" s="24">
        <f>IF(F372="","",IFERROR(INDEX(Config!$B$11:$B$16,MATCH(F372,Config!$A$11:$A$16,0)),0))</f>
        <v/>
      </c>
      <c r="M372" s="23">
        <f>IF(OR(F372="",E372=""),"",E372*L372)</f>
        <v/>
      </c>
      <c r="N372" s="26">
        <f>IF(OR(F372="",F372="Ganha",F372="Perdida"),"",Config!$B$5-IF(H372="",G372,H372))</f>
        <v/>
      </c>
      <c r="O372" s="22">
        <f>IF(F372="","",IF(F372="Ganha","Fechada",IF(F372="Perdida","Perdida",IF(AND(I372&lt;&gt;"",I372&lt;Config!$B$5),"Fechamento vencido",IF(N372&gt;Config!$B$7,"Parada","Ativa")))))</f>
        <v/>
      </c>
      <c r="P372" s="35">
        <f>IF(OR(F372="",O372="Fechada",O372="Perdida"),0,IF(O372="Fechamento vencido",3000,IF(O372="Parada",2000,1000))+MIN(N372,500)+E372/1000000-ROW()/100000)</f>
        <v>0</v>
      </c>
    </row>
    <row r="373">
      <c r="A373" s="29" t="n"/>
      <c r="B373" s="29" t="n"/>
      <c r="C373" s="33" t="n"/>
      <c r="D373" s="33" t="n"/>
      <c r="E373" s="31" t="n"/>
      <c r="F373" s="33" t="n"/>
      <c r="G373" s="34" t="n"/>
      <c r="H373" s="34" t="n"/>
      <c r="I373" s="34" t="n"/>
      <c r="J373" s="34" t="n"/>
      <c r="K373" s="29" t="n"/>
      <c r="L373" s="24">
        <f>IF(F373="","",IFERROR(INDEX(Config!$B$11:$B$16,MATCH(F373,Config!$A$11:$A$16,0)),0))</f>
        <v/>
      </c>
      <c r="M373" s="23">
        <f>IF(OR(F373="",E373=""),"",E373*L373)</f>
        <v/>
      </c>
      <c r="N373" s="26">
        <f>IF(OR(F373="",F373="Ganha",F373="Perdida"),"",Config!$B$5-IF(H373="",G373,H373))</f>
        <v/>
      </c>
      <c r="O373" s="22">
        <f>IF(F373="","",IF(F373="Ganha","Fechada",IF(F373="Perdida","Perdida",IF(AND(I373&lt;&gt;"",I373&lt;Config!$B$5),"Fechamento vencido",IF(N373&gt;Config!$B$7,"Parada","Ativa")))))</f>
        <v/>
      </c>
      <c r="P373" s="35">
        <f>IF(OR(F373="",O373="Fechada",O373="Perdida"),0,IF(O373="Fechamento vencido",3000,IF(O373="Parada",2000,1000))+MIN(N373,500)+E373/1000000-ROW()/100000)</f>
        <v>0</v>
      </c>
    </row>
    <row r="374">
      <c r="A374" s="29" t="n"/>
      <c r="B374" s="29" t="n"/>
      <c r="C374" s="33" t="n"/>
      <c r="D374" s="33" t="n"/>
      <c r="E374" s="31" t="n"/>
      <c r="F374" s="33" t="n"/>
      <c r="G374" s="34" t="n"/>
      <c r="H374" s="34" t="n"/>
      <c r="I374" s="34" t="n"/>
      <c r="J374" s="34" t="n"/>
      <c r="K374" s="29" t="n"/>
      <c r="L374" s="24">
        <f>IF(F374="","",IFERROR(INDEX(Config!$B$11:$B$16,MATCH(F374,Config!$A$11:$A$16,0)),0))</f>
        <v/>
      </c>
      <c r="M374" s="23">
        <f>IF(OR(F374="",E374=""),"",E374*L374)</f>
        <v/>
      </c>
      <c r="N374" s="26">
        <f>IF(OR(F374="",F374="Ganha",F374="Perdida"),"",Config!$B$5-IF(H374="",G374,H374))</f>
        <v/>
      </c>
      <c r="O374" s="22">
        <f>IF(F374="","",IF(F374="Ganha","Fechada",IF(F374="Perdida","Perdida",IF(AND(I374&lt;&gt;"",I374&lt;Config!$B$5),"Fechamento vencido",IF(N374&gt;Config!$B$7,"Parada","Ativa")))))</f>
        <v/>
      </c>
      <c r="P374" s="35">
        <f>IF(OR(F374="",O374="Fechada",O374="Perdida"),0,IF(O374="Fechamento vencido",3000,IF(O374="Parada",2000,1000))+MIN(N374,500)+E374/1000000-ROW()/100000)</f>
        <v>0</v>
      </c>
    </row>
    <row r="375">
      <c r="A375" s="29" t="n"/>
      <c r="B375" s="29" t="n"/>
      <c r="C375" s="33" t="n"/>
      <c r="D375" s="33" t="n"/>
      <c r="E375" s="31" t="n"/>
      <c r="F375" s="33" t="n"/>
      <c r="G375" s="34" t="n"/>
      <c r="H375" s="34" t="n"/>
      <c r="I375" s="34" t="n"/>
      <c r="J375" s="34" t="n"/>
      <c r="K375" s="29" t="n"/>
      <c r="L375" s="24">
        <f>IF(F375="","",IFERROR(INDEX(Config!$B$11:$B$16,MATCH(F375,Config!$A$11:$A$16,0)),0))</f>
        <v/>
      </c>
      <c r="M375" s="23">
        <f>IF(OR(F375="",E375=""),"",E375*L375)</f>
        <v/>
      </c>
      <c r="N375" s="26">
        <f>IF(OR(F375="",F375="Ganha",F375="Perdida"),"",Config!$B$5-IF(H375="",G375,H375))</f>
        <v/>
      </c>
      <c r="O375" s="22">
        <f>IF(F375="","",IF(F375="Ganha","Fechada",IF(F375="Perdida","Perdida",IF(AND(I375&lt;&gt;"",I375&lt;Config!$B$5),"Fechamento vencido",IF(N375&gt;Config!$B$7,"Parada","Ativa")))))</f>
        <v/>
      </c>
      <c r="P375" s="35">
        <f>IF(OR(F375="",O375="Fechada",O375="Perdida"),0,IF(O375="Fechamento vencido",3000,IF(O375="Parada",2000,1000))+MIN(N375,500)+E375/1000000-ROW()/100000)</f>
        <v>0</v>
      </c>
    </row>
    <row r="376">
      <c r="A376" s="29" t="n"/>
      <c r="B376" s="29" t="n"/>
      <c r="C376" s="33" t="n"/>
      <c r="D376" s="33" t="n"/>
      <c r="E376" s="31" t="n"/>
      <c r="F376" s="33" t="n"/>
      <c r="G376" s="34" t="n"/>
      <c r="H376" s="34" t="n"/>
      <c r="I376" s="34" t="n"/>
      <c r="J376" s="34" t="n"/>
      <c r="K376" s="29" t="n"/>
      <c r="L376" s="24">
        <f>IF(F376="","",IFERROR(INDEX(Config!$B$11:$B$16,MATCH(F376,Config!$A$11:$A$16,0)),0))</f>
        <v/>
      </c>
      <c r="M376" s="23">
        <f>IF(OR(F376="",E376=""),"",E376*L376)</f>
        <v/>
      </c>
      <c r="N376" s="26">
        <f>IF(OR(F376="",F376="Ganha",F376="Perdida"),"",Config!$B$5-IF(H376="",G376,H376))</f>
        <v/>
      </c>
      <c r="O376" s="22">
        <f>IF(F376="","",IF(F376="Ganha","Fechada",IF(F376="Perdida","Perdida",IF(AND(I376&lt;&gt;"",I376&lt;Config!$B$5),"Fechamento vencido",IF(N376&gt;Config!$B$7,"Parada","Ativa")))))</f>
        <v/>
      </c>
      <c r="P376" s="35">
        <f>IF(OR(F376="",O376="Fechada",O376="Perdida"),0,IF(O376="Fechamento vencido",3000,IF(O376="Parada",2000,1000))+MIN(N376,500)+E376/1000000-ROW()/100000)</f>
        <v>0</v>
      </c>
    </row>
    <row r="377">
      <c r="A377" s="29" t="n"/>
      <c r="B377" s="29" t="n"/>
      <c r="C377" s="33" t="n"/>
      <c r="D377" s="33" t="n"/>
      <c r="E377" s="31" t="n"/>
      <c r="F377" s="33" t="n"/>
      <c r="G377" s="34" t="n"/>
      <c r="H377" s="34" t="n"/>
      <c r="I377" s="34" t="n"/>
      <c r="J377" s="34" t="n"/>
      <c r="K377" s="29" t="n"/>
      <c r="L377" s="24">
        <f>IF(F377="","",IFERROR(INDEX(Config!$B$11:$B$16,MATCH(F377,Config!$A$11:$A$16,0)),0))</f>
        <v/>
      </c>
      <c r="M377" s="23">
        <f>IF(OR(F377="",E377=""),"",E377*L377)</f>
        <v/>
      </c>
      <c r="N377" s="26">
        <f>IF(OR(F377="",F377="Ganha",F377="Perdida"),"",Config!$B$5-IF(H377="",G377,H377))</f>
        <v/>
      </c>
      <c r="O377" s="22">
        <f>IF(F377="","",IF(F377="Ganha","Fechada",IF(F377="Perdida","Perdida",IF(AND(I377&lt;&gt;"",I377&lt;Config!$B$5),"Fechamento vencido",IF(N377&gt;Config!$B$7,"Parada","Ativa")))))</f>
        <v/>
      </c>
      <c r="P377" s="35">
        <f>IF(OR(F377="",O377="Fechada",O377="Perdida"),0,IF(O377="Fechamento vencido",3000,IF(O377="Parada",2000,1000))+MIN(N377,500)+E377/1000000-ROW()/100000)</f>
        <v>0</v>
      </c>
    </row>
    <row r="378">
      <c r="A378" s="29" t="n"/>
      <c r="B378" s="29" t="n"/>
      <c r="C378" s="33" t="n"/>
      <c r="D378" s="33" t="n"/>
      <c r="E378" s="31" t="n"/>
      <c r="F378" s="33" t="n"/>
      <c r="G378" s="34" t="n"/>
      <c r="H378" s="34" t="n"/>
      <c r="I378" s="34" t="n"/>
      <c r="J378" s="34" t="n"/>
      <c r="K378" s="29" t="n"/>
      <c r="L378" s="24">
        <f>IF(F378="","",IFERROR(INDEX(Config!$B$11:$B$16,MATCH(F378,Config!$A$11:$A$16,0)),0))</f>
        <v/>
      </c>
      <c r="M378" s="23">
        <f>IF(OR(F378="",E378=""),"",E378*L378)</f>
        <v/>
      </c>
      <c r="N378" s="26">
        <f>IF(OR(F378="",F378="Ganha",F378="Perdida"),"",Config!$B$5-IF(H378="",G378,H378))</f>
        <v/>
      </c>
      <c r="O378" s="22">
        <f>IF(F378="","",IF(F378="Ganha","Fechada",IF(F378="Perdida","Perdida",IF(AND(I378&lt;&gt;"",I378&lt;Config!$B$5),"Fechamento vencido",IF(N378&gt;Config!$B$7,"Parada","Ativa")))))</f>
        <v/>
      </c>
      <c r="P378" s="35">
        <f>IF(OR(F378="",O378="Fechada",O378="Perdida"),0,IF(O378="Fechamento vencido",3000,IF(O378="Parada",2000,1000))+MIN(N378,500)+E378/1000000-ROW()/100000)</f>
        <v>0</v>
      </c>
    </row>
    <row r="379">
      <c r="A379" s="29" t="n"/>
      <c r="B379" s="29" t="n"/>
      <c r="C379" s="33" t="n"/>
      <c r="D379" s="33" t="n"/>
      <c r="E379" s="31" t="n"/>
      <c r="F379" s="33" t="n"/>
      <c r="G379" s="34" t="n"/>
      <c r="H379" s="34" t="n"/>
      <c r="I379" s="34" t="n"/>
      <c r="J379" s="34" t="n"/>
      <c r="K379" s="29" t="n"/>
      <c r="L379" s="24">
        <f>IF(F379="","",IFERROR(INDEX(Config!$B$11:$B$16,MATCH(F379,Config!$A$11:$A$16,0)),0))</f>
        <v/>
      </c>
      <c r="M379" s="23">
        <f>IF(OR(F379="",E379=""),"",E379*L379)</f>
        <v/>
      </c>
      <c r="N379" s="26">
        <f>IF(OR(F379="",F379="Ganha",F379="Perdida"),"",Config!$B$5-IF(H379="",G379,H379))</f>
        <v/>
      </c>
      <c r="O379" s="22">
        <f>IF(F379="","",IF(F379="Ganha","Fechada",IF(F379="Perdida","Perdida",IF(AND(I379&lt;&gt;"",I379&lt;Config!$B$5),"Fechamento vencido",IF(N379&gt;Config!$B$7,"Parada","Ativa")))))</f>
        <v/>
      </c>
      <c r="P379" s="35">
        <f>IF(OR(F379="",O379="Fechada",O379="Perdida"),0,IF(O379="Fechamento vencido",3000,IF(O379="Parada",2000,1000))+MIN(N379,500)+E379/1000000-ROW()/100000)</f>
        <v>0</v>
      </c>
    </row>
    <row r="380">
      <c r="A380" s="29" t="n"/>
      <c r="B380" s="29" t="n"/>
      <c r="C380" s="33" t="n"/>
      <c r="D380" s="33" t="n"/>
      <c r="E380" s="31" t="n"/>
      <c r="F380" s="33" t="n"/>
      <c r="G380" s="34" t="n"/>
      <c r="H380" s="34" t="n"/>
      <c r="I380" s="34" t="n"/>
      <c r="J380" s="34" t="n"/>
      <c r="K380" s="29" t="n"/>
      <c r="L380" s="24">
        <f>IF(F380="","",IFERROR(INDEX(Config!$B$11:$B$16,MATCH(F380,Config!$A$11:$A$16,0)),0))</f>
        <v/>
      </c>
      <c r="M380" s="23">
        <f>IF(OR(F380="",E380=""),"",E380*L380)</f>
        <v/>
      </c>
      <c r="N380" s="26">
        <f>IF(OR(F380="",F380="Ganha",F380="Perdida"),"",Config!$B$5-IF(H380="",G380,H380))</f>
        <v/>
      </c>
      <c r="O380" s="22">
        <f>IF(F380="","",IF(F380="Ganha","Fechada",IF(F380="Perdida","Perdida",IF(AND(I380&lt;&gt;"",I380&lt;Config!$B$5),"Fechamento vencido",IF(N380&gt;Config!$B$7,"Parada","Ativa")))))</f>
        <v/>
      </c>
      <c r="P380" s="35">
        <f>IF(OR(F380="",O380="Fechada",O380="Perdida"),0,IF(O380="Fechamento vencido",3000,IF(O380="Parada",2000,1000))+MIN(N380,500)+E380/1000000-ROW()/100000)</f>
        <v>0</v>
      </c>
    </row>
    <row r="381">
      <c r="A381" s="29" t="n"/>
      <c r="B381" s="29" t="n"/>
      <c r="C381" s="33" t="n"/>
      <c r="D381" s="33" t="n"/>
      <c r="E381" s="31" t="n"/>
      <c r="F381" s="33" t="n"/>
      <c r="G381" s="34" t="n"/>
      <c r="H381" s="34" t="n"/>
      <c r="I381" s="34" t="n"/>
      <c r="J381" s="34" t="n"/>
      <c r="K381" s="29" t="n"/>
      <c r="L381" s="24">
        <f>IF(F381="","",IFERROR(INDEX(Config!$B$11:$B$16,MATCH(F381,Config!$A$11:$A$16,0)),0))</f>
        <v/>
      </c>
      <c r="M381" s="23">
        <f>IF(OR(F381="",E381=""),"",E381*L381)</f>
        <v/>
      </c>
      <c r="N381" s="26">
        <f>IF(OR(F381="",F381="Ganha",F381="Perdida"),"",Config!$B$5-IF(H381="",G381,H381))</f>
        <v/>
      </c>
      <c r="O381" s="22">
        <f>IF(F381="","",IF(F381="Ganha","Fechada",IF(F381="Perdida","Perdida",IF(AND(I381&lt;&gt;"",I381&lt;Config!$B$5),"Fechamento vencido",IF(N381&gt;Config!$B$7,"Parada","Ativa")))))</f>
        <v/>
      </c>
      <c r="P381" s="35">
        <f>IF(OR(F381="",O381="Fechada",O381="Perdida"),0,IF(O381="Fechamento vencido",3000,IF(O381="Parada",2000,1000))+MIN(N381,500)+E381/1000000-ROW()/100000)</f>
        <v>0</v>
      </c>
    </row>
    <row r="382">
      <c r="A382" s="29" t="n"/>
      <c r="B382" s="29" t="n"/>
      <c r="C382" s="33" t="n"/>
      <c r="D382" s="33" t="n"/>
      <c r="E382" s="31" t="n"/>
      <c r="F382" s="33" t="n"/>
      <c r="G382" s="34" t="n"/>
      <c r="H382" s="34" t="n"/>
      <c r="I382" s="34" t="n"/>
      <c r="J382" s="34" t="n"/>
      <c r="K382" s="29" t="n"/>
      <c r="L382" s="24">
        <f>IF(F382="","",IFERROR(INDEX(Config!$B$11:$B$16,MATCH(F382,Config!$A$11:$A$16,0)),0))</f>
        <v/>
      </c>
      <c r="M382" s="23">
        <f>IF(OR(F382="",E382=""),"",E382*L382)</f>
        <v/>
      </c>
      <c r="N382" s="26">
        <f>IF(OR(F382="",F382="Ganha",F382="Perdida"),"",Config!$B$5-IF(H382="",G382,H382))</f>
        <v/>
      </c>
      <c r="O382" s="22">
        <f>IF(F382="","",IF(F382="Ganha","Fechada",IF(F382="Perdida","Perdida",IF(AND(I382&lt;&gt;"",I382&lt;Config!$B$5),"Fechamento vencido",IF(N382&gt;Config!$B$7,"Parada","Ativa")))))</f>
        <v/>
      </c>
      <c r="P382" s="35">
        <f>IF(OR(F382="",O382="Fechada",O382="Perdida"),0,IF(O382="Fechamento vencido",3000,IF(O382="Parada",2000,1000))+MIN(N382,500)+E382/1000000-ROW()/100000)</f>
        <v>0</v>
      </c>
    </row>
    <row r="383">
      <c r="A383" s="29" t="n"/>
      <c r="B383" s="29" t="n"/>
      <c r="C383" s="33" t="n"/>
      <c r="D383" s="33" t="n"/>
      <c r="E383" s="31" t="n"/>
      <c r="F383" s="33" t="n"/>
      <c r="G383" s="34" t="n"/>
      <c r="H383" s="34" t="n"/>
      <c r="I383" s="34" t="n"/>
      <c r="J383" s="34" t="n"/>
      <c r="K383" s="29" t="n"/>
      <c r="L383" s="24">
        <f>IF(F383="","",IFERROR(INDEX(Config!$B$11:$B$16,MATCH(F383,Config!$A$11:$A$16,0)),0))</f>
        <v/>
      </c>
      <c r="M383" s="23">
        <f>IF(OR(F383="",E383=""),"",E383*L383)</f>
        <v/>
      </c>
      <c r="N383" s="26">
        <f>IF(OR(F383="",F383="Ganha",F383="Perdida"),"",Config!$B$5-IF(H383="",G383,H383))</f>
        <v/>
      </c>
      <c r="O383" s="22">
        <f>IF(F383="","",IF(F383="Ganha","Fechada",IF(F383="Perdida","Perdida",IF(AND(I383&lt;&gt;"",I383&lt;Config!$B$5),"Fechamento vencido",IF(N383&gt;Config!$B$7,"Parada","Ativa")))))</f>
        <v/>
      </c>
      <c r="P383" s="35">
        <f>IF(OR(F383="",O383="Fechada",O383="Perdida"),0,IF(O383="Fechamento vencido",3000,IF(O383="Parada",2000,1000))+MIN(N383,500)+E383/1000000-ROW()/100000)</f>
        <v>0</v>
      </c>
    </row>
    <row r="384">
      <c r="A384" s="29" t="n"/>
      <c r="B384" s="29" t="n"/>
      <c r="C384" s="33" t="n"/>
      <c r="D384" s="33" t="n"/>
      <c r="E384" s="31" t="n"/>
      <c r="F384" s="33" t="n"/>
      <c r="G384" s="34" t="n"/>
      <c r="H384" s="34" t="n"/>
      <c r="I384" s="34" t="n"/>
      <c r="J384" s="34" t="n"/>
      <c r="K384" s="29" t="n"/>
      <c r="L384" s="24">
        <f>IF(F384="","",IFERROR(INDEX(Config!$B$11:$B$16,MATCH(F384,Config!$A$11:$A$16,0)),0))</f>
        <v/>
      </c>
      <c r="M384" s="23">
        <f>IF(OR(F384="",E384=""),"",E384*L384)</f>
        <v/>
      </c>
      <c r="N384" s="26">
        <f>IF(OR(F384="",F384="Ganha",F384="Perdida"),"",Config!$B$5-IF(H384="",G384,H384))</f>
        <v/>
      </c>
      <c r="O384" s="22">
        <f>IF(F384="","",IF(F384="Ganha","Fechada",IF(F384="Perdida","Perdida",IF(AND(I384&lt;&gt;"",I384&lt;Config!$B$5),"Fechamento vencido",IF(N384&gt;Config!$B$7,"Parada","Ativa")))))</f>
        <v/>
      </c>
      <c r="P384" s="35">
        <f>IF(OR(F384="",O384="Fechada",O384="Perdida"),0,IF(O384="Fechamento vencido",3000,IF(O384="Parada",2000,1000))+MIN(N384,500)+E384/1000000-ROW()/100000)</f>
        <v>0</v>
      </c>
    </row>
    <row r="385">
      <c r="A385" s="29" t="n"/>
      <c r="B385" s="29" t="n"/>
      <c r="C385" s="33" t="n"/>
      <c r="D385" s="33" t="n"/>
      <c r="E385" s="31" t="n"/>
      <c r="F385" s="33" t="n"/>
      <c r="G385" s="34" t="n"/>
      <c r="H385" s="34" t="n"/>
      <c r="I385" s="34" t="n"/>
      <c r="J385" s="34" t="n"/>
      <c r="K385" s="29" t="n"/>
      <c r="L385" s="24">
        <f>IF(F385="","",IFERROR(INDEX(Config!$B$11:$B$16,MATCH(F385,Config!$A$11:$A$16,0)),0))</f>
        <v/>
      </c>
      <c r="M385" s="23">
        <f>IF(OR(F385="",E385=""),"",E385*L385)</f>
        <v/>
      </c>
      <c r="N385" s="26">
        <f>IF(OR(F385="",F385="Ganha",F385="Perdida"),"",Config!$B$5-IF(H385="",G385,H385))</f>
        <v/>
      </c>
      <c r="O385" s="22">
        <f>IF(F385="","",IF(F385="Ganha","Fechada",IF(F385="Perdida","Perdida",IF(AND(I385&lt;&gt;"",I385&lt;Config!$B$5),"Fechamento vencido",IF(N385&gt;Config!$B$7,"Parada","Ativa")))))</f>
        <v/>
      </c>
      <c r="P385" s="35">
        <f>IF(OR(F385="",O385="Fechada",O385="Perdida"),0,IF(O385="Fechamento vencido",3000,IF(O385="Parada",2000,1000))+MIN(N385,500)+E385/1000000-ROW()/100000)</f>
        <v>0</v>
      </c>
    </row>
    <row r="386">
      <c r="A386" s="29" t="n"/>
      <c r="B386" s="29" t="n"/>
      <c r="C386" s="33" t="n"/>
      <c r="D386" s="33" t="n"/>
      <c r="E386" s="31" t="n"/>
      <c r="F386" s="33" t="n"/>
      <c r="G386" s="34" t="n"/>
      <c r="H386" s="34" t="n"/>
      <c r="I386" s="34" t="n"/>
      <c r="J386" s="34" t="n"/>
      <c r="K386" s="29" t="n"/>
      <c r="L386" s="24">
        <f>IF(F386="","",IFERROR(INDEX(Config!$B$11:$B$16,MATCH(F386,Config!$A$11:$A$16,0)),0))</f>
        <v/>
      </c>
      <c r="M386" s="23">
        <f>IF(OR(F386="",E386=""),"",E386*L386)</f>
        <v/>
      </c>
      <c r="N386" s="26">
        <f>IF(OR(F386="",F386="Ganha",F386="Perdida"),"",Config!$B$5-IF(H386="",G386,H386))</f>
        <v/>
      </c>
      <c r="O386" s="22">
        <f>IF(F386="","",IF(F386="Ganha","Fechada",IF(F386="Perdida","Perdida",IF(AND(I386&lt;&gt;"",I386&lt;Config!$B$5),"Fechamento vencido",IF(N386&gt;Config!$B$7,"Parada","Ativa")))))</f>
        <v/>
      </c>
      <c r="P386" s="35">
        <f>IF(OR(F386="",O386="Fechada",O386="Perdida"),0,IF(O386="Fechamento vencido",3000,IF(O386="Parada",2000,1000))+MIN(N386,500)+E386/1000000-ROW()/100000)</f>
        <v>0</v>
      </c>
    </row>
    <row r="387">
      <c r="A387" s="29" t="n"/>
      <c r="B387" s="29" t="n"/>
      <c r="C387" s="33" t="n"/>
      <c r="D387" s="33" t="n"/>
      <c r="E387" s="31" t="n"/>
      <c r="F387" s="33" t="n"/>
      <c r="G387" s="34" t="n"/>
      <c r="H387" s="34" t="n"/>
      <c r="I387" s="34" t="n"/>
      <c r="J387" s="34" t="n"/>
      <c r="K387" s="29" t="n"/>
      <c r="L387" s="24">
        <f>IF(F387="","",IFERROR(INDEX(Config!$B$11:$B$16,MATCH(F387,Config!$A$11:$A$16,0)),0))</f>
        <v/>
      </c>
      <c r="M387" s="23">
        <f>IF(OR(F387="",E387=""),"",E387*L387)</f>
        <v/>
      </c>
      <c r="N387" s="26">
        <f>IF(OR(F387="",F387="Ganha",F387="Perdida"),"",Config!$B$5-IF(H387="",G387,H387))</f>
        <v/>
      </c>
      <c r="O387" s="22">
        <f>IF(F387="","",IF(F387="Ganha","Fechada",IF(F387="Perdida","Perdida",IF(AND(I387&lt;&gt;"",I387&lt;Config!$B$5),"Fechamento vencido",IF(N387&gt;Config!$B$7,"Parada","Ativa")))))</f>
        <v/>
      </c>
      <c r="P387" s="35">
        <f>IF(OR(F387="",O387="Fechada",O387="Perdida"),0,IF(O387="Fechamento vencido",3000,IF(O387="Parada",2000,1000))+MIN(N387,500)+E387/1000000-ROW()/100000)</f>
        <v>0</v>
      </c>
    </row>
    <row r="388">
      <c r="A388" s="29" t="n"/>
      <c r="B388" s="29" t="n"/>
      <c r="C388" s="33" t="n"/>
      <c r="D388" s="33" t="n"/>
      <c r="E388" s="31" t="n"/>
      <c r="F388" s="33" t="n"/>
      <c r="G388" s="34" t="n"/>
      <c r="H388" s="34" t="n"/>
      <c r="I388" s="34" t="n"/>
      <c r="J388" s="34" t="n"/>
      <c r="K388" s="29" t="n"/>
      <c r="L388" s="24">
        <f>IF(F388="","",IFERROR(INDEX(Config!$B$11:$B$16,MATCH(F388,Config!$A$11:$A$16,0)),0))</f>
        <v/>
      </c>
      <c r="M388" s="23">
        <f>IF(OR(F388="",E388=""),"",E388*L388)</f>
        <v/>
      </c>
      <c r="N388" s="26">
        <f>IF(OR(F388="",F388="Ganha",F388="Perdida"),"",Config!$B$5-IF(H388="",G388,H388))</f>
        <v/>
      </c>
      <c r="O388" s="22">
        <f>IF(F388="","",IF(F388="Ganha","Fechada",IF(F388="Perdida","Perdida",IF(AND(I388&lt;&gt;"",I388&lt;Config!$B$5),"Fechamento vencido",IF(N388&gt;Config!$B$7,"Parada","Ativa")))))</f>
        <v/>
      </c>
      <c r="P388" s="35">
        <f>IF(OR(F388="",O388="Fechada",O388="Perdida"),0,IF(O388="Fechamento vencido",3000,IF(O388="Parada",2000,1000))+MIN(N388,500)+E388/1000000-ROW()/100000)</f>
        <v>0</v>
      </c>
    </row>
    <row r="389">
      <c r="A389" s="29" t="n"/>
      <c r="B389" s="29" t="n"/>
      <c r="C389" s="33" t="n"/>
      <c r="D389" s="33" t="n"/>
      <c r="E389" s="31" t="n"/>
      <c r="F389" s="33" t="n"/>
      <c r="G389" s="34" t="n"/>
      <c r="H389" s="34" t="n"/>
      <c r="I389" s="34" t="n"/>
      <c r="J389" s="34" t="n"/>
      <c r="K389" s="29" t="n"/>
      <c r="L389" s="24">
        <f>IF(F389="","",IFERROR(INDEX(Config!$B$11:$B$16,MATCH(F389,Config!$A$11:$A$16,0)),0))</f>
        <v/>
      </c>
      <c r="M389" s="23">
        <f>IF(OR(F389="",E389=""),"",E389*L389)</f>
        <v/>
      </c>
      <c r="N389" s="26">
        <f>IF(OR(F389="",F389="Ganha",F389="Perdida"),"",Config!$B$5-IF(H389="",G389,H389))</f>
        <v/>
      </c>
      <c r="O389" s="22">
        <f>IF(F389="","",IF(F389="Ganha","Fechada",IF(F389="Perdida","Perdida",IF(AND(I389&lt;&gt;"",I389&lt;Config!$B$5),"Fechamento vencido",IF(N389&gt;Config!$B$7,"Parada","Ativa")))))</f>
        <v/>
      </c>
      <c r="P389" s="35">
        <f>IF(OR(F389="",O389="Fechada",O389="Perdida"),0,IF(O389="Fechamento vencido",3000,IF(O389="Parada",2000,1000))+MIN(N389,500)+E389/1000000-ROW()/100000)</f>
        <v>0</v>
      </c>
    </row>
    <row r="390">
      <c r="A390" s="29" t="n"/>
      <c r="B390" s="29" t="n"/>
      <c r="C390" s="33" t="n"/>
      <c r="D390" s="33" t="n"/>
      <c r="E390" s="31" t="n"/>
      <c r="F390" s="33" t="n"/>
      <c r="G390" s="34" t="n"/>
      <c r="H390" s="34" t="n"/>
      <c r="I390" s="34" t="n"/>
      <c r="J390" s="34" t="n"/>
      <c r="K390" s="29" t="n"/>
      <c r="L390" s="24">
        <f>IF(F390="","",IFERROR(INDEX(Config!$B$11:$B$16,MATCH(F390,Config!$A$11:$A$16,0)),0))</f>
        <v/>
      </c>
      <c r="M390" s="23">
        <f>IF(OR(F390="",E390=""),"",E390*L390)</f>
        <v/>
      </c>
      <c r="N390" s="26">
        <f>IF(OR(F390="",F390="Ganha",F390="Perdida"),"",Config!$B$5-IF(H390="",G390,H390))</f>
        <v/>
      </c>
      <c r="O390" s="22">
        <f>IF(F390="","",IF(F390="Ganha","Fechada",IF(F390="Perdida","Perdida",IF(AND(I390&lt;&gt;"",I390&lt;Config!$B$5),"Fechamento vencido",IF(N390&gt;Config!$B$7,"Parada","Ativa")))))</f>
        <v/>
      </c>
      <c r="P390" s="35">
        <f>IF(OR(F390="",O390="Fechada",O390="Perdida"),0,IF(O390="Fechamento vencido",3000,IF(O390="Parada",2000,1000))+MIN(N390,500)+E390/1000000-ROW()/100000)</f>
        <v>0</v>
      </c>
    </row>
    <row r="391">
      <c r="A391" s="29" t="n"/>
      <c r="B391" s="29" t="n"/>
      <c r="C391" s="33" t="n"/>
      <c r="D391" s="33" t="n"/>
      <c r="E391" s="31" t="n"/>
      <c r="F391" s="33" t="n"/>
      <c r="G391" s="34" t="n"/>
      <c r="H391" s="34" t="n"/>
      <c r="I391" s="34" t="n"/>
      <c r="J391" s="34" t="n"/>
      <c r="K391" s="29" t="n"/>
      <c r="L391" s="24">
        <f>IF(F391="","",IFERROR(INDEX(Config!$B$11:$B$16,MATCH(F391,Config!$A$11:$A$16,0)),0))</f>
        <v/>
      </c>
      <c r="M391" s="23">
        <f>IF(OR(F391="",E391=""),"",E391*L391)</f>
        <v/>
      </c>
      <c r="N391" s="26">
        <f>IF(OR(F391="",F391="Ganha",F391="Perdida"),"",Config!$B$5-IF(H391="",G391,H391))</f>
        <v/>
      </c>
      <c r="O391" s="22">
        <f>IF(F391="","",IF(F391="Ganha","Fechada",IF(F391="Perdida","Perdida",IF(AND(I391&lt;&gt;"",I391&lt;Config!$B$5),"Fechamento vencido",IF(N391&gt;Config!$B$7,"Parada","Ativa")))))</f>
        <v/>
      </c>
      <c r="P391" s="35">
        <f>IF(OR(F391="",O391="Fechada",O391="Perdida"),0,IF(O391="Fechamento vencido",3000,IF(O391="Parada",2000,1000))+MIN(N391,500)+E391/1000000-ROW()/100000)</f>
        <v>0</v>
      </c>
    </row>
    <row r="392">
      <c r="A392" s="29" t="n"/>
      <c r="B392" s="29" t="n"/>
      <c r="C392" s="33" t="n"/>
      <c r="D392" s="33" t="n"/>
      <c r="E392" s="31" t="n"/>
      <c r="F392" s="33" t="n"/>
      <c r="G392" s="34" t="n"/>
      <c r="H392" s="34" t="n"/>
      <c r="I392" s="34" t="n"/>
      <c r="J392" s="34" t="n"/>
      <c r="K392" s="29" t="n"/>
      <c r="L392" s="24">
        <f>IF(F392="","",IFERROR(INDEX(Config!$B$11:$B$16,MATCH(F392,Config!$A$11:$A$16,0)),0))</f>
        <v/>
      </c>
      <c r="M392" s="23">
        <f>IF(OR(F392="",E392=""),"",E392*L392)</f>
        <v/>
      </c>
      <c r="N392" s="26">
        <f>IF(OR(F392="",F392="Ganha",F392="Perdida"),"",Config!$B$5-IF(H392="",G392,H392))</f>
        <v/>
      </c>
      <c r="O392" s="22">
        <f>IF(F392="","",IF(F392="Ganha","Fechada",IF(F392="Perdida","Perdida",IF(AND(I392&lt;&gt;"",I392&lt;Config!$B$5),"Fechamento vencido",IF(N392&gt;Config!$B$7,"Parada","Ativa")))))</f>
        <v/>
      </c>
      <c r="P392" s="35">
        <f>IF(OR(F392="",O392="Fechada",O392="Perdida"),0,IF(O392="Fechamento vencido",3000,IF(O392="Parada",2000,1000))+MIN(N392,500)+E392/1000000-ROW()/100000)</f>
        <v>0</v>
      </c>
    </row>
    <row r="393">
      <c r="A393" s="29" t="n"/>
      <c r="B393" s="29" t="n"/>
      <c r="C393" s="33" t="n"/>
      <c r="D393" s="33" t="n"/>
      <c r="E393" s="31" t="n"/>
      <c r="F393" s="33" t="n"/>
      <c r="G393" s="34" t="n"/>
      <c r="H393" s="34" t="n"/>
      <c r="I393" s="34" t="n"/>
      <c r="J393" s="34" t="n"/>
      <c r="K393" s="29" t="n"/>
      <c r="L393" s="24">
        <f>IF(F393="","",IFERROR(INDEX(Config!$B$11:$B$16,MATCH(F393,Config!$A$11:$A$16,0)),0))</f>
        <v/>
      </c>
      <c r="M393" s="23">
        <f>IF(OR(F393="",E393=""),"",E393*L393)</f>
        <v/>
      </c>
      <c r="N393" s="26">
        <f>IF(OR(F393="",F393="Ganha",F393="Perdida"),"",Config!$B$5-IF(H393="",G393,H393))</f>
        <v/>
      </c>
      <c r="O393" s="22">
        <f>IF(F393="","",IF(F393="Ganha","Fechada",IF(F393="Perdida","Perdida",IF(AND(I393&lt;&gt;"",I393&lt;Config!$B$5),"Fechamento vencido",IF(N393&gt;Config!$B$7,"Parada","Ativa")))))</f>
        <v/>
      </c>
      <c r="P393" s="35">
        <f>IF(OR(F393="",O393="Fechada",O393="Perdida"),0,IF(O393="Fechamento vencido",3000,IF(O393="Parada",2000,1000))+MIN(N393,500)+E393/1000000-ROW()/100000)</f>
        <v>0</v>
      </c>
    </row>
    <row r="394">
      <c r="A394" s="29" t="n"/>
      <c r="B394" s="29" t="n"/>
      <c r="C394" s="33" t="n"/>
      <c r="D394" s="33" t="n"/>
      <c r="E394" s="31" t="n"/>
      <c r="F394" s="33" t="n"/>
      <c r="G394" s="34" t="n"/>
      <c r="H394" s="34" t="n"/>
      <c r="I394" s="34" t="n"/>
      <c r="J394" s="34" t="n"/>
      <c r="K394" s="29" t="n"/>
      <c r="L394" s="24">
        <f>IF(F394="","",IFERROR(INDEX(Config!$B$11:$B$16,MATCH(F394,Config!$A$11:$A$16,0)),0))</f>
        <v/>
      </c>
      <c r="M394" s="23">
        <f>IF(OR(F394="",E394=""),"",E394*L394)</f>
        <v/>
      </c>
      <c r="N394" s="26">
        <f>IF(OR(F394="",F394="Ganha",F394="Perdida"),"",Config!$B$5-IF(H394="",G394,H394))</f>
        <v/>
      </c>
      <c r="O394" s="22">
        <f>IF(F394="","",IF(F394="Ganha","Fechada",IF(F394="Perdida","Perdida",IF(AND(I394&lt;&gt;"",I394&lt;Config!$B$5),"Fechamento vencido",IF(N394&gt;Config!$B$7,"Parada","Ativa")))))</f>
        <v/>
      </c>
      <c r="P394" s="35">
        <f>IF(OR(F394="",O394="Fechada",O394="Perdida"),0,IF(O394="Fechamento vencido",3000,IF(O394="Parada",2000,1000))+MIN(N394,500)+E394/1000000-ROW()/100000)</f>
        <v>0</v>
      </c>
    </row>
    <row r="395">
      <c r="A395" s="29" t="n"/>
      <c r="B395" s="29" t="n"/>
      <c r="C395" s="33" t="n"/>
      <c r="D395" s="33" t="n"/>
      <c r="E395" s="31" t="n"/>
      <c r="F395" s="33" t="n"/>
      <c r="G395" s="34" t="n"/>
      <c r="H395" s="34" t="n"/>
      <c r="I395" s="34" t="n"/>
      <c r="J395" s="34" t="n"/>
      <c r="K395" s="29" t="n"/>
      <c r="L395" s="24">
        <f>IF(F395="","",IFERROR(INDEX(Config!$B$11:$B$16,MATCH(F395,Config!$A$11:$A$16,0)),0))</f>
        <v/>
      </c>
      <c r="M395" s="23">
        <f>IF(OR(F395="",E395=""),"",E395*L395)</f>
        <v/>
      </c>
      <c r="N395" s="26">
        <f>IF(OR(F395="",F395="Ganha",F395="Perdida"),"",Config!$B$5-IF(H395="",G395,H395))</f>
        <v/>
      </c>
      <c r="O395" s="22">
        <f>IF(F395="","",IF(F395="Ganha","Fechada",IF(F395="Perdida","Perdida",IF(AND(I395&lt;&gt;"",I395&lt;Config!$B$5),"Fechamento vencido",IF(N395&gt;Config!$B$7,"Parada","Ativa")))))</f>
        <v/>
      </c>
      <c r="P395" s="35">
        <f>IF(OR(F395="",O395="Fechada",O395="Perdida"),0,IF(O395="Fechamento vencido",3000,IF(O395="Parada",2000,1000))+MIN(N395,500)+E395/1000000-ROW()/100000)</f>
        <v>0</v>
      </c>
    </row>
    <row r="396">
      <c r="A396" s="29" t="n"/>
      <c r="B396" s="29" t="n"/>
      <c r="C396" s="33" t="n"/>
      <c r="D396" s="33" t="n"/>
      <c r="E396" s="31" t="n"/>
      <c r="F396" s="33" t="n"/>
      <c r="G396" s="34" t="n"/>
      <c r="H396" s="34" t="n"/>
      <c r="I396" s="34" t="n"/>
      <c r="J396" s="34" t="n"/>
      <c r="K396" s="29" t="n"/>
      <c r="L396" s="24">
        <f>IF(F396="","",IFERROR(INDEX(Config!$B$11:$B$16,MATCH(F396,Config!$A$11:$A$16,0)),0))</f>
        <v/>
      </c>
      <c r="M396" s="23">
        <f>IF(OR(F396="",E396=""),"",E396*L396)</f>
        <v/>
      </c>
      <c r="N396" s="26">
        <f>IF(OR(F396="",F396="Ganha",F396="Perdida"),"",Config!$B$5-IF(H396="",G396,H396))</f>
        <v/>
      </c>
      <c r="O396" s="22">
        <f>IF(F396="","",IF(F396="Ganha","Fechada",IF(F396="Perdida","Perdida",IF(AND(I396&lt;&gt;"",I396&lt;Config!$B$5),"Fechamento vencido",IF(N396&gt;Config!$B$7,"Parada","Ativa")))))</f>
        <v/>
      </c>
      <c r="P396" s="35">
        <f>IF(OR(F396="",O396="Fechada",O396="Perdida"),0,IF(O396="Fechamento vencido",3000,IF(O396="Parada",2000,1000))+MIN(N396,500)+E396/1000000-ROW()/100000)</f>
        <v>0</v>
      </c>
    </row>
    <row r="397">
      <c r="A397" s="29" t="n"/>
      <c r="B397" s="29" t="n"/>
      <c r="C397" s="33" t="n"/>
      <c r="D397" s="33" t="n"/>
      <c r="E397" s="31" t="n"/>
      <c r="F397" s="33" t="n"/>
      <c r="G397" s="34" t="n"/>
      <c r="H397" s="34" t="n"/>
      <c r="I397" s="34" t="n"/>
      <c r="J397" s="34" t="n"/>
      <c r="K397" s="29" t="n"/>
      <c r="L397" s="24">
        <f>IF(F397="","",IFERROR(INDEX(Config!$B$11:$B$16,MATCH(F397,Config!$A$11:$A$16,0)),0))</f>
        <v/>
      </c>
      <c r="M397" s="23">
        <f>IF(OR(F397="",E397=""),"",E397*L397)</f>
        <v/>
      </c>
      <c r="N397" s="26">
        <f>IF(OR(F397="",F397="Ganha",F397="Perdida"),"",Config!$B$5-IF(H397="",G397,H397))</f>
        <v/>
      </c>
      <c r="O397" s="22">
        <f>IF(F397="","",IF(F397="Ganha","Fechada",IF(F397="Perdida","Perdida",IF(AND(I397&lt;&gt;"",I397&lt;Config!$B$5),"Fechamento vencido",IF(N397&gt;Config!$B$7,"Parada","Ativa")))))</f>
        <v/>
      </c>
      <c r="P397" s="35">
        <f>IF(OR(F397="",O397="Fechada",O397="Perdida"),0,IF(O397="Fechamento vencido",3000,IF(O397="Parada",2000,1000))+MIN(N397,500)+E397/1000000-ROW()/100000)</f>
        <v>0</v>
      </c>
    </row>
    <row r="398">
      <c r="A398" s="29" t="n"/>
      <c r="B398" s="29" t="n"/>
      <c r="C398" s="33" t="n"/>
      <c r="D398" s="33" t="n"/>
      <c r="E398" s="31" t="n"/>
      <c r="F398" s="33" t="n"/>
      <c r="G398" s="34" t="n"/>
      <c r="H398" s="34" t="n"/>
      <c r="I398" s="34" t="n"/>
      <c r="J398" s="34" t="n"/>
      <c r="K398" s="29" t="n"/>
      <c r="L398" s="24">
        <f>IF(F398="","",IFERROR(INDEX(Config!$B$11:$B$16,MATCH(F398,Config!$A$11:$A$16,0)),0))</f>
        <v/>
      </c>
      <c r="M398" s="23">
        <f>IF(OR(F398="",E398=""),"",E398*L398)</f>
        <v/>
      </c>
      <c r="N398" s="26">
        <f>IF(OR(F398="",F398="Ganha",F398="Perdida"),"",Config!$B$5-IF(H398="",G398,H398))</f>
        <v/>
      </c>
      <c r="O398" s="22">
        <f>IF(F398="","",IF(F398="Ganha","Fechada",IF(F398="Perdida","Perdida",IF(AND(I398&lt;&gt;"",I398&lt;Config!$B$5),"Fechamento vencido",IF(N398&gt;Config!$B$7,"Parada","Ativa")))))</f>
        <v/>
      </c>
      <c r="P398" s="35">
        <f>IF(OR(F398="",O398="Fechada",O398="Perdida"),0,IF(O398="Fechamento vencido",3000,IF(O398="Parada",2000,1000))+MIN(N398,500)+E398/1000000-ROW()/100000)</f>
        <v>0</v>
      </c>
    </row>
    <row r="399">
      <c r="A399" s="29" t="n"/>
      <c r="B399" s="29" t="n"/>
      <c r="C399" s="33" t="n"/>
      <c r="D399" s="33" t="n"/>
      <c r="E399" s="31" t="n"/>
      <c r="F399" s="33" t="n"/>
      <c r="G399" s="34" t="n"/>
      <c r="H399" s="34" t="n"/>
      <c r="I399" s="34" t="n"/>
      <c r="J399" s="34" t="n"/>
      <c r="K399" s="29" t="n"/>
      <c r="L399" s="24">
        <f>IF(F399="","",IFERROR(INDEX(Config!$B$11:$B$16,MATCH(F399,Config!$A$11:$A$16,0)),0))</f>
        <v/>
      </c>
      <c r="M399" s="23">
        <f>IF(OR(F399="",E399=""),"",E399*L399)</f>
        <v/>
      </c>
      <c r="N399" s="26">
        <f>IF(OR(F399="",F399="Ganha",F399="Perdida"),"",Config!$B$5-IF(H399="",G399,H399))</f>
        <v/>
      </c>
      <c r="O399" s="22">
        <f>IF(F399="","",IF(F399="Ganha","Fechada",IF(F399="Perdida","Perdida",IF(AND(I399&lt;&gt;"",I399&lt;Config!$B$5),"Fechamento vencido",IF(N399&gt;Config!$B$7,"Parada","Ativa")))))</f>
        <v/>
      </c>
      <c r="P399" s="35">
        <f>IF(OR(F399="",O399="Fechada",O399="Perdida"),0,IF(O399="Fechamento vencido",3000,IF(O399="Parada",2000,1000))+MIN(N399,500)+E399/1000000-ROW()/100000)</f>
        <v>0</v>
      </c>
    </row>
    <row r="400">
      <c r="A400" s="29" t="n"/>
      <c r="B400" s="29" t="n"/>
      <c r="C400" s="33" t="n"/>
      <c r="D400" s="33" t="n"/>
      <c r="E400" s="31" t="n"/>
      <c r="F400" s="33" t="n"/>
      <c r="G400" s="34" t="n"/>
      <c r="H400" s="34" t="n"/>
      <c r="I400" s="34" t="n"/>
      <c r="J400" s="34" t="n"/>
      <c r="K400" s="29" t="n"/>
      <c r="L400" s="24">
        <f>IF(F400="","",IFERROR(INDEX(Config!$B$11:$B$16,MATCH(F400,Config!$A$11:$A$16,0)),0))</f>
        <v/>
      </c>
      <c r="M400" s="23">
        <f>IF(OR(F400="",E400=""),"",E400*L400)</f>
        <v/>
      </c>
      <c r="N400" s="26">
        <f>IF(OR(F400="",F400="Ganha",F400="Perdida"),"",Config!$B$5-IF(H400="",G400,H400))</f>
        <v/>
      </c>
      <c r="O400" s="22">
        <f>IF(F400="","",IF(F400="Ganha","Fechada",IF(F400="Perdida","Perdida",IF(AND(I400&lt;&gt;"",I400&lt;Config!$B$5),"Fechamento vencido",IF(N400&gt;Config!$B$7,"Parada","Ativa")))))</f>
        <v/>
      </c>
      <c r="P400" s="35">
        <f>IF(OR(F400="",O400="Fechada",O400="Perdida"),0,IF(O400="Fechamento vencido",3000,IF(O400="Parada",2000,1000))+MIN(N400,500)+E400/1000000-ROW()/100000)</f>
        <v>0</v>
      </c>
    </row>
    <row r="401">
      <c r="A401" s="29" t="n"/>
      <c r="B401" s="29" t="n"/>
      <c r="C401" s="33" t="n"/>
      <c r="D401" s="33" t="n"/>
      <c r="E401" s="31" t="n"/>
      <c r="F401" s="33" t="n"/>
      <c r="G401" s="34" t="n"/>
      <c r="H401" s="34" t="n"/>
      <c r="I401" s="34" t="n"/>
      <c r="J401" s="34" t="n"/>
      <c r="K401" s="29" t="n"/>
      <c r="L401" s="24">
        <f>IF(F401="","",IFERROR(INDEX(Config!$B$11:$B$16,MATCH(F401,Config!$A$11:$A$16,0)),0))</f>
        <v/>
      </c>
      <c r="M401" s="23">
        <f>IF(OR(F401="",E401=""),"",E401*L401)</f>
        <v/>
      </c>
      <c r="N401" s="26">
        <f>IF(OR(F401="",F401="Ganha",F401="Perdida"),"",Config!$B$5-IF(H401="",G401,H401))</f>
        <v/>
      </c>
      <c r="O401" s="22">
        <f>IF(F401="","",IF(F401="Ganha","Fechada",IF(F401="Perdida","Perdida",IF(AND(I401&lt;&gt;"",I401&lt;Config!$B$5),"Fechamento vencido",IF(N401&gt;Config!$B$7,"Parada","Ativa")))))</f>
        <v/>
      </c>
      <c r="P401" s="35">
        <f>IF(OR(F401="",O401="Fechada",O401="Perdida"),0,IF(O401="Fechamento vencido",3000,IF(O401="Parada",2000,1000))+MIN(N401,500)+E401/1000000-ROW()/100000)</f>
        <v>0</v>
      </c>
    </row>
    <row r="402">
      <c r="A402" s="29" t="n"/>
      <c r="B402" s="29" t="n"/>
      <c r="C402" s="33" t="n"/>
      <c r="D402" s="33" t="n"/>
      <c r="E402" s="31" t="n"/>
      <c r="F402" s="33" t="n"/>
      <c r="G402" s="34" t="n"/>
      <c r="H402" s="34" t="n"/>
      <c r="I402" s="34" t="n"/>
      <c r="J402" s="34" t="n"/>
      <c r="K402" s="29" t="n"/>
      <c r="L402" s="24">
        <f>IF(F402="","",IFERROR(INDEX(Config!$B$11:$B$16,MATCH(F402,Config!$A$11:$A$16,0)),0))</f>
        <v/>
      </c>
      <c r="M402" s="23">
        <f>IF(OR(F402="",E402=""),"",E402*L402)</f>
        <v/>
      </c>
      <c r="N402" s="26">
        <f>IF(OR(F402="",F402="Ganha",F402="Perdida"),"",Config!$B$5-IF(H402="",G402,H402))</f>
        <v/>
      </c>
      <c r="O402" s="22">
        <f>IF(F402="","",IF(F402="Ganha","Fechada",IF(F402="Perdida","Perdida",IF(AND(I402&lt;&gt;"",I402&lt;Config!$B$5),"Fechamento vencido",IF(N402&gt;Config!$B$7,"Parada","Ativa")))))</f>
        <v/>
      </c>
      <c r="P402" s="35">
        <f>IF(OR(F402="",O402="Fechada",O402="Perdida"),0,IF(O402="Fechamento vencido",3000,IF(O402="Parada",2000,1000))+MIN(N402,500)+E402/1000000-ROW()/100000)</f>
        <v>0</v>
      </c>
    </row>
    <row r="403">
      <c r="A403" s="29" t="n"/>
      <c r="B403" s="29" t="n"/>
      <c r="C403" s="33" t="n"/>
      <c r="D403" s="33" t="n"/>
      <c r="E403" s="31" t="n"/>
      <c r="F403" s="33" t="n"/>
      <c r="G403" s="34" t="n"/>
      <c r="H403" s="34" t="n"/>
      <c r="I403" s="34" t="n"/>
      <c r="J403" s="34" t="n"/>
      <c r="K403" s="29" t="n"/>
      <c r="L403" s="24">
        <f>IF(F403="","",IFERROR(INDEX(Config!$B$11:$B$16,MATCH(F403,Config!$A$11:$A$16,0)),0))</f>
        <v/>
      </c>
      <c r="M403" s="23">
        <f>IF(OR(F403="",E403=""),"",E403*L403)</f>
        <v/>
      </c>
      <c r="N403" s="26">
        <f>IF(OR(F403="",F403="Ganha",F403="Perdida"),"",Config!$B$5-IF(H403="",G403,H403))</f>
        <v/>
      </c>
      <c r="O403" s="22">
        <f>IF(F403="","",IF(F403="Ganha","Fechada",IF(F403="Perdida","Perdida",IF(AND(I403&lt;&gt;"",I403&lt;Config!$B$5),"Fechamento vencido",IF(N403&gt;Config!$B$7,"Parada","Ativa")))))</f>
        <v/>
      </c>
      <c r="P403" s="35">
        <f>IF(OR(F403="",O403="Fechada",O403="Perdida"),0,IF(O403="Fechamento vencido",3000,IF(O403="Parada",2000,1000))+MIN(N403,500)+E403/1000000-ROW()/100000)</f>
        <v>0</v>
      </c>
    </row>
    <row r="404">
      <c r="A404" s="29" t="n"/>
      <c r="B404" s="29" t="n"/>
      <c r="C404" s="33" t="n"/>
      <c r="D404" s="33" t="n"/>
      <c r="E404" s="31" t="n"/>
      <c r="F404" s="33" t="n"/>
      <c r="G404" s="34" t="n"/>
      <c r="H404" s="34" t="n"/>
      <c r="I404" s="34" t="n"/>
      <c r="J404" s="34" t="n"/>
      <c r="K404" s="29" t="n"/>
      <c r="L404" s="24">
        <f>IF(F404="","",IFERROR(INDEX(Config!$B$11:$B$16,MATCH(F404,Config!$A$11:$A$16,0)),0))</f>
        <v/>
      </c>
      <c r="M404" s="23">
        <f>IF(OR(F404="",E404=""),"",E404*L404)</f>
        <v/>
      </c>
      <c r="N404" s="26">
        <f>IF(OR(F404="",F404="Ganha",F404="Perdida"),"",Config!$B$5-IF(H404="",G404,H404))</f>
        <v/>
      </c>
      <c r="O404" s="22">
        <f>IF(F404="","",IF(F404="Ganha","Fechada",IF(F404="Perdida","Perdida",IF(AND(I404&lt;&gt;"",I404&lt;Config!$B$5),"Fechamento vencido",IF(N404&gt;Config!$B$7,"Parada","Ativa")))))</f>
        <v/>
      </c>
      <c r="P404" s="35">
        <f>IF(OR(F404="",O404="Fechada",O404="Perdida"),0,IF(O404="Fechamento vencido",3000,IF(O404="Parada",2000,1000))+MIN(N404,500)+E404/1000000-ROW()/100000)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O404"/>
  <mergeCells count="1">
    <mergeCell ref="A2:N2"/>
  </mergeCells>
  <conditionalFormatting sqref="A5:O404">
    <cfRule type="expression" priority="1" dxfId="1">
      <formula>$O5="Parada"</formula>
    </cfRule>
    <cfRule type="expression" priority="2" dxfId="0">
      <formula>$O5="Fechamento vencido"</formula>
    </cfRule>
    <cfRule type="expression" priority="3" dxfId="2">
      <formula>$O5="Fechada"</formula>
    </cfRule>
    <cfRule type="expression" priority="4" dxfId="3">
      <formula>$O5="Perdida"</formula>
    </cfRule>
  </conditionalFormatting>
  <dataValidations count="5">
    <dataValidation sqref="C5:C404" showDropDown="0" showInputMessage="0" showErrorMessage="1" allowBlank="1" type="list">
      <formula1>=Config!$A$19:$A$26</formula1>
    </dataValidation>
    <dataValidation sqref="F5:F404" showDropDown="0" showInputMessage="0" showErrorMessage="1" allowBlank="1" type="list">
      <formula1>=Config!$A$11:$A$16</formula1>
    </dataValidation>
    <dataValidation sqref="K5:K404" showDropDown="0" showInputMessage="0" showErrorMessage="1" allowBlank="1" type="list">
      <formula1>=Config!$D$19:$D$26</formula1>
    </dataValidation>
    <dataValidation sqref="G5:J404" showDropDown="0" showInputMessage="0" showErrorMessage="1" allowBlank="1" type="date" operator="greaterThan">
      <formula1>1</formula1>
    </dataValidation>
    <dataValidation sqref="E5:E404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Funil de Propostas · Kit IA no Trabalho Completo</dc:title>
  <dcterms:created xmlns:dcterms="http://purl.org/dc/terms/" xmlns:xsi="http://www.w3.org/2001/XMLSchema-instance" xsi:type="dcterms:W3CDTF">2026-09-17T15:51:14Z</dcterms:created>
  <dcterms:modified xmlns:dcterms="http://purl.org/dc/terms/" xmlns:xsi="http://www.w3.org/2001/XMLSchema-instance" xsi:type="dcterms:W3CDTF">2026-09-17T15:51:14Z</dcterms:modified>
</cp:coreProperties>
</file>