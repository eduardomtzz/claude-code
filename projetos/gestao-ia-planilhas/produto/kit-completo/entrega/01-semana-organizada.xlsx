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Hoj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Tarefas" sheetId="4" state="visible" r:id="rId4"/>
  </sheets>
  <definedNames>
    <definedName name="_xlnm._FilterDatabase" localSheetId="3" hidden="1">'Tarefas'!$A$3:$N$303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</font>
    <font>
      <name val="Arial"/>
      <color rgb="007A5AA8"/>
      <sz val="10"/>
    </font>
    <font>
      <name val="Arial"/>
      <color rgb="001F1235"/>
    </font>
    <font>
      <name val="Arial"/>
      <b val="1"/>
      <color rgb="00FFFFFF"/>
    </font>
    <font>
      <name val="Arial"/>
      <color rgb="001F1235"/>
      <sz val="10"/>
    </font>
    <font>
      <name val="Arial"/>
      <color rgb="00B0A6C4"/>
      <sz val="9"/>
    </font>
    <font>
      <name val="Arial"/>
      <b val="1"/>
      <color rgb="003B1F5E"/>
      <sz val="18"/>
    </font>
    <font>
      <name val="Arial"/>
      <b val="1"/>
      <color rgb="007A1F1F"/>
      <sz val="9"/>
    </font>
    <font>
      <name val="Arial"/>
      <b val="1"/>
      <color rgb="007A1F1F"/>
      <sz val="22"/>
    </font>
    <font>
      <name val="Arial"/>
      <b val="1"/>
      <color rgb="003B1F5E"/>
      <sz val="9"/>
    </font>
    <font>
      <name val="Arial"/>
      <b val="1"/>
      <color rgb="003B1F5E"/>
      <sz val="22"/>
    </font>
    <font>
      <name val="Arial"/>
      <b val="1"/>
      <color rgb="00155E3C"/>
      <sz val="9"/>
    </font>
    <font>
      <name val="Arial"/>
      <b val="1"/>
      <color rgb="00155E3C"/>
      <sz val="22"/>
    </font>
    <font>
      <name val="Arial"/>
      <b val="1"/>
      <color rgb="003B1F5E"/>
      <sz val="13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20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9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0" fontId="14" fillId="8" borderId="0" applyAlignment="1" pivotButton="0" quotePrefix="0" xfId="0">
      <alignment horizontal="center"/>
    </xf>
    <xf numFmtId="0" fontId="0" fillId="8" borderId="0" pivotButton="0" quotePrefix="0" xfId="0"/>
    <xf numFmtId="0" fontId="11" fillId="5" borderId="0" applyAlignment="1" pivotButton="0" quotePrefix="0" xfId="0">
      <alignment horizontal="center"/>
    </xf>
    <xf numFmtId="0" fontId="13" fillId="6" borderId="0" applyAlignment="1" pivotButton="0" quotePrefix="0" xfId="0">
      <alignment horizontal="center"/>
    </xf>
    <xf numFmtId="0" fontId="13" fillId="7" borderId="0" applyAlignment="1" pivotButton="0" quotePrefix="0" xfId="0">
      <alignment horizontal="center"/>
    </xf>
    <xf numFmtId="0" fontId="15" fillId="8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9" fontId="7" fillId="0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5" fillId="2" borderId="1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5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2" borderId="1" applyProtection="1" pivotButton="0" quotePrefix="0" xfId="0">
      <protection locked="0" hidden="0"/>
    </xf>
    <xf numFmtId="164" fontId="7" fillId="2" borderId="1" applyProtection="1" pivotButton="0" quotePrefix="0" xfId="0">
      <protection locked="0" hidden="0"/>
    </xf>
    <xf numFmtId="0" fontId="7" fillId="2" borderId="1" applyAlignment="1" applyProtection="1" pivotButton="0" quotePrefix="0" xfId="0">
      <alignment horizontal="center"/>
      <protection locked="0" hidden="0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1BF"/>
        </patternFill>
      </fill>
    </dxf>
    <dxf>
      <font>
        <name val="Arial"/>
        <b val="1"/>
        <color rgb="007A1F1F"/>
        <sz val="10"/>
      </font>
    </dxf>
    <dxf>
      <font>
        <name val="Arial"/>
        <color rgb="008C8C8C"/>
        <sz val="10"/>
      </font>
    </dxf>
    <dxf>
      <font>
        <name val="Arial"/>
        <b val="1"/>
        <color rgb="003B1F5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Semana Organizada</t>
        </is>
      </c>
    </row>
    <row r="2">
      <c r="A2" s="2" t="inlineStr">
        <is>
          <t>Kit IA no Trabalho · Seu Sócio Gestor · versão 1.0 (setembro de 2026)</t>
        </is>
      </c>
    </row>
    <row r="4" ht="44" customHeight="1">
      <c r="A4" s="3" t="inlineStr">
        <is>
          <t>O que esta planilha faz</t>
        </is>
      </c>
      <c r="B4" s="4" t="inlineStr">
        <is>
          <t>Lista as suas tarefas com prazo e prioridade e mostra, na aba Hoje, o que fazer primeiro, a carga dos próximos 7 dias e a situação de cada responsável.</t>
        </is>
      </c>
    </row>
    <row r="5" ht="44" customHeight="1">
      <c r="A5" s="3" t="inlineStr">
        <is>
          <t>Passo 1</t>
        </is>
      </c>
      <c r="B5" s="4" t="inlineStr">
        <is>
          <t>Abra a aba Config. Confira a data de referência (fica em =HOJE()) e a capacidade de horas por dia. Ajuste a lista de responsáveis e de projetos, preenchendo de cima para baixo, sem pular linha.</t>
        </is>
      </c>
    </row>
    <row r="6" ht="44" customHeight="1">
      <c r="A6" s="3" t="inlineStr">
        <is>
          <t>Passo 2</t>
        </is>
      </c>
      <c r="B6" s="4" t="inlineStr">
        <is>
          <t>Vá para a aba Tarefas. Apague os exemplos (linhas amarelas) e digite as suas tarefas: nome, projeto, responsável, prazo, impacto (1 a 3), urgência (1 a 3), horas e status.</t>
        </is>
      </c>
    </row>
    <row r="7" ht="44" customHeight="1">
      <c r="A7" s="3" t="inlineStr">
        <is>
          <t>Passo 3</t>
        </is>
      </c>
      <c r="B7" s="4" t="inlineStr">
        <is>
          <t>Abra a aba Hoje. Ela é só leitura: prioridades, carga por dia e resumo por pessoa se atualizam sozinhos.</t>
        </is>
      </c>
    </row>
    <row r="8" ht="44" customHeight="1">
      <c r="A8" s="3" t="inlineStr">
        <is>
          <t>Passo 4</t>
        </is>
      </c>
      <c r="B8" s="4" t="inlineStr">
        <is>
          <t>Todo dia, mude o status do que terminou para Feito. Uma vez por semana, revise prazos e horas.</t>
        </is>
      </c>
    </row>
    <row r="9" ht="44" customHeight="1">
      <c r="A9" s="3" t="inlineStr">
        <is>
          <t>Com a IA</t>
        </is>
      </c>
      <c r="B9" s="4" t="inlineStr">
        <is>
          <t>Use o prompt "Organizar 01" da biblioteca do kit: cole uma lista bagunçada (e-mail, ata, áudio transcrito) e a IA devolve as tarefas no formato desta planilha, prontas para colar.</t>
        </is>
      </c>
    </row>
    <row r="10" ht="44" customHeight="1">
      <c r="A10" s="3" t="inlineStr">
        <is>
          <t>Legenda</t>
        </is>
      </c>
      <c r="B10" s="4" t="inlineStr">
        <is>
          <t>Células amarelas: você preenche. Células brancas: calculadas, não mexa. Linhas vermelhas: atrasadas. Linhas amarelas na aba Hoje: vencem hoje.</t>
        </is>
      </c>
    </row>
    <row r="11" ht="44" customHeight="1">
      <c r="A11" s="3" t="inlineStr">
        <is>
          <t>Proteção</t>
        </is>
      </c>
      <c r="B11" s="4" t="inlineStr">
        <is>
          <t>As fórmulas estão protegidas sem senha, só para evitar apagar sem querer. Para editar: Revisar &gt; Desproteger planilha (Excel) ou Dados &gt; Proteger intervalos (Google Sheets).</t>
        </is>
      </c>
    </row>
    <row r="12" ht="44" customHeight="1">
      <c r="A12" s="3" t="inlineStr">
        <is>
          <t>Google Sheets</t>
        </is>
      </c>
      <c r="B12" s="4" t="inlineStr">
        <is>
          <t>Faça upload do arquivo no Google Drive e abra com o Google Sheets. Tudo funciona: listas, cores e fórmulas.</t>
        </is>
      </c>
    </row>
    <row r="13" ht="44" customHeight="1">
      <c r="A13" s="3" t="inlineStr">
        <is>
          <t>Exemplos</t>
        </is>
      </c>
      <c r="B13" s="4" t="inlineStr">
        <is>
          <t>Os dados de exemplo são fictícios (Ana, Bruno e Carla numa agência inventada). Os exemplos usam datas relativas a hoje (prazos como =HOJE()+2); apague-os e digite as suas.</t>
        </is>
      </c>
    </row>
    <row r="14" ht="44" customHeight="1">
      <c r="A14" s="3" t="inlineStr">
        <is>
          <t>Suporte</t>
        </is>
      </c>
      <c r="B14" s="4" t="inlineStr">
        <is>
          <t>suporte@seusociogestor.com.br · resposta em até 5 dias úteis · reembolso em até 7 dias pelo mesmo canal.</t>
        </is>
      </c>
    </row>
    <row r="16">
      <c r="A16" s="5" t="inlineStr">
        <is>
          <t>Amostra</t>
        </is>
      </c>
      <c r="B16" s="2" t="inlineStr">
        <is>
          <t>Assim ficam as células que você preenche.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3" customWidth="1" min="4" max="4"/>
    <col width="12" customWidth="1" min="5" max="5"/>
    <col width="14" customWidth="1" min="6" max="6"/>
    <col width="9" customWidth="1" min="7" max="7"/>
    <col width="9" customWidth="1" min="8" max="8"/>
  </cols>
  <sheetData>
    <row r="1">
      <c r="A1" s="6" t="inlineStr">
        <is>
          <t>Hoje</t>
        </is>
      </c>
    </row>
    <row r="2">
      <c r="A2" s="7" t="str">
        <f>"Painel de "&amp;TEXT(Config!B4,"dd/mm/yyyy")&amp;". Nada para preencher aqui: tudo vem da aba Tarefas."</f>
        <v>Painel de 18/09/2026. Nada para preencher aqui: tudo vem da aba Tarefas.</v>
      </c>
    </row>
    <row r="4">
      <c r="A4" s="8" t="inlineStr">
        <is>
          <t>Atrasadas</t>
        </is>
      </c>
      <c r="B4" s="9" t="n"/>
      <c r="C4" s="10" t="inlineStr">
        <is>
          <t>Para hoje</t>
        </is>
      </c>
      <c r="D4" s="11" t="n"/>
      <c r="E4" s="12" t="inlineStr">
        <is>
          <t>Esta semana</t>
        </is>
      </c>
      <c r="F4" s="13" t="n"/>
      <c r="G4" s="12" t="inlineStr">
        <is>
          <t>Abertas no total</t>
        </is>
      </c>
      <c r="H4" s="13" t="n"/>
      <c r="I4" s="14" t="inlineStr">
        <is>
          <t>Feitas</t>
        </is>
      </c>
      <c r="J4" s="15" t="n"/>
    </row>
    <row r="5" ht="34" customHeight="1">
      <c r="A5" s="16">
        <f>COUNTIF(Tarefas!$L$4:$L$303,"Atrasada")</f>
        <v>2</v>
      </c>
      <c r="B5" s="9" t="n"/>
      <c r="C5" s="17">
        <f>COUNTIF(Tarefas!$L$4:$L$303,"Hoje")</f>
        <v>1</v>
      </c>
      <c r="D5" s="11" t="n"/>
      <c r="E5" s="18">
        <f>COUNTIF(Tarefas!$L$4:$L$303,"Esta semana")</f>
        <v>9</v>
      </c>
      <c r="F5" s="13" t="n"/>
      <c r="G5" s="18">
        <f>COUNTIFS(Tarefas!$B$4:$B$303,"&lt;&gt;",Tarefas!$I$4:$I$303,"&lt;&gt;Feito",Tarefas!$I$4:$I$303,"&lt;&gt;Cancelado")</f>
        <v>17</v>
      </c>
      <c r="H5" s="13" t="n"/>
      <c r="I5" s="19">
        <f>COUNTIF(Tarefas!$I$4:$I$303,"Feito")</f>
        <v>2</v>
      </c>
      <c r="J5" s="15" t="n"/>
    </row>
    <row r="7">
      <c r="A7" s="20" t="inlineStr">
        <is>
          <t>O que fazer primeiro</t>
        </is>
      </c>
    </row>
    <row r="8">
      <c r="A8" s="21" t="inlineStr">
        <is>
          <t>Ordem (as 12 primeiras): situação (atrasada, hoje, esta semana) combinada com impacto × urgência. Uma tarefa alta de hoje vem antes de uma baixa atrasada. As demais ficam na aba Tarefas.</t>
        </is>
      </c>
    </row>
    <row r="9">
      <c r="A9" s="22" t="inlineStr">
        <is>
          <t>#</t>
        </is>
      </c>
      <c r="B9" s="22" t="inlineStr">
        <is>
          <t>Tarefa</t>
        </is>
      </c>
      <c r="C9" s="22" t="inlineStr">
        <is>
          <t>Prazo</t>
        </is>
      </c>
      <c r="D9" s="22" t="inlineStr">
        <is>
          <t>Situação</t>
        </is>
      </c>
      <c r="E9" s="22" t="inlineStr">
        <is>
          <t>Prioridade</t>
        </is>
      </c>
      <c r="F9" s="22" t="inlineStr">
        <is>
          <t>Responsável</t>
        </is>
      </c>
      <c r="G9" s="22" t="inlineStr">
        <is>
          <t>Horas</t>
        </is>
      </c>
    </row>
    <row r="10">
      <c r="A10" s="23" t="n">
        <v>1</v>
      </c>
      <c r="B10" s="24" t="str">
        <f>IFERROR(IF(LARGE(Tarefas!$M$4:$M$303,1)&gt;0,INDEX(Tarefas!$B$4:$B$303,MATCH(LARGE(Tarefas!$M$4:$M$303,1),Tarefas!$M$4:$M$303,0)),""),"")</f>
        <v>Enviar relatório de setembro para a diretoria</v>
      </c>
      <c r="C10" s="25">
        <f>IFERROR(IF(LARGE(Tarefas!$M$4:$M$303,1)&gt;0,INDEX(Tarefas!$E$4:$E$303,MATCH(LARGE(Tarefas!$M$4:$M$303,1),Tarefas!$M$4:$M$303,0)),""),"")</f>
        <v>46282.0</v>
      </c>
      <c r="D10" s="23" t="str">
        <f>IFERROR(IF(LARGE(Tarefas!$M$4:$M$303,1)&gt;0,INDEX(Tarefas!$L$4:$L$303,MATCH(LARGE(Tarefas!$M$4:$M$303,1),Tarefas!$M$4:$M$303,0)),""),"")</f>
        <v>Atrasada</v>
      </c>
      <c r="E10" s="23" t="str">
        <f>IFERROR(IF(LARGE(Tarefas!$M$4:$M$303,1)&gt;0,INDEX(Tarefas!$J$4:$J$303,MATCH(LARGE(Tarefas!$M$4:$M$303,1),Tarefas!$M$4:$M$303,0)),""),"")</f>
        <v>Alta</v>
      </c>
      <c r="F10" s="24" t="str">
        <f>IFERROR(IF(LARGE(Tarefas!$M$4:$M$303,1)&gt;0,INDEX(Tarefas!$D$4:$D$303,MATCH(LARGE(Tarefas!$M$4:$M$303,1),Tarefas!$M$4:$M$303,0)),""),"")</f>
        <v>Ana (você)</v>
      </c>
      <c r="G10" s="23">
        <f>IFERROR(IF(LARGE(Tarefas!$M$4:$M$303,1)&gt;0,INDEX(Tarefas!$H$4:$H$303,MATCH(LARGE(Tarefas!$M$4:$M$303,1),Tarefas!$M$4:$M$303,0)),""),"")</f>
        <v>2</v>
      </c>
    </row>
    <row r="11">
      <c r="A11" s="23" t="n">
        <v>2</v>
      </c>
      <c r="B11" s="24" t="str">
        <f>IFERROR(IF(LARGE(Tarefas!$M$4:$M$303,2)&gt;0,INDEX(Tarefas!$B$4:$B$303,MATCH(LARGE(Tarefas!$M$4:$M$303,2),Tarefas!$M$4:$M$303,0)),""),"")</f>
        <v>Revisar proposta comercial da Aurora</v>
      </c>
      <c r="C11" s="25">
        <f>IFERROR(IF(LARGE(Tarefas!$M$4:$M$303,2)&gt;0,INDEX(Tarefas!$E$4:$E$303,MATCH(LARGE(Tarefas!$M$4:$M$303,2),Tarefas!$M$4:$M$303,0)),""),"")</f>
        <v>46283.0</v>
      </c>
      <c r="D11" s="23" t="str">
        <f>IFERROR(IF(LARGE(Tarefas!$M$4:$M$303,2)&gt;0,INDEX(Tarefas!$L$4:$L$303,MATCH(LARGE(Tarefas!$M$4:$M$303,2),Tarefas!$M$4:$M$303,0)),""),"")</f>
        <v>Hoje</v>
      </c>
      <c r="E11" s="23" t="str">
        <f>IFERROR(IF(LARGE(Tarefas!$M$4:$M$303,2)&gt;0,INDEX(Tarefas!$J$4:$J$303,MATCH(LARGE(Tarefas!$M$4:$M$303,2),Tarefas!$M$4:$M$303,0)),""),"")</f>
        <v>Alta</v>
      </c>
      <c r="F11" s="24" t="str">
        <f>IFERROR(IF(LARGE(Tarefas!$M$4:$M$303,2)&gt;0,INDEX(Tarefas!$D$4:$D$303,MATCH(LARGE(Tarefas!$M$4:$M$303,2),Tarefas!$M$4:$M$303,0)),""),"")</f>
        <v>Ana (você)</v>
      </c>
      <c r="G11" s="23">
        <f>IFERROR(IF(LARGE(Tarefas!$M$4:$M$303,2)&gt;0,INDEX(Tarefas!$H$4:$H$303,MATCH(LARGE(Tarefas!$M$4:$M$303,2),Tarefas!$M$4:$M$303,0)),""),"")</f>
        <v>1.5</v>
      </c>
    </row>
    <row r="12">
      <c r="A12" s="23" t="n">
        <v>3</v>
      </c>
      <c r="B12" s="24" t="str">
        <f>IFERROR(IF(LARGE(Tarefas!$M$4:$M$303,3)&gt;0,INDEX(Tarefas!$B$4:$B$303,MATCH(LARGE(Tarefas!$M$4:$M$303,3),Tarefas!$M$4:$M$303,0)),""),"")</f>
        <v>Responder pesquisa de clima</v>
      </c>
      <c r="C12" s="25">
        <f>IFERROR(IF(LARGE(Tarefas!$M$4:$M$303,3)&gt;0,INDEX(Tarefas!$E$4:$E$303,MATCH(LARGE(Tarefas!$M$4:$M$303,3),Tarefas!$M$4:$M$303,0)),""),"")</f>
        <v>46281.0</v>
      </c>
      <c r="D12" s="23" t="str">
        <f>IFERROR(IF(LARGE(Tarefas!$M$4:$M$303,3)&gt;0,INDEX(Tarefas!$L$4:$L$303,MATCH(LARGE(Tarefas!$M$4:$M$303,3),Tarefas!$M$4:$M$303,0)),""),"")</f>
        <v>Atrasada</v>
      </c>
      <c r="E12" s="23" t="str">
        <f>IFERROR(IF(LARGE(Tarefas!$M$4:$M$303,3)&gt;0,INDEX(Tarefas!$J$4:$J$303,MATCH(LARGE(Tarefas!$M$4:$M$303,3),Tarefas!$M$4:$M$303,0)),""),"")</f>
        <v>Baixa</v>
      </c>
      <c r="F12" s="24" t="str">
        <f>IFERROR(IF(LARGE(Tarefas!$M$4:$M$303,3)&gt;0,INDEX(Tarefas!$D$4:$D$303,MATCH(LARGE(Tarefas!$M$4:$M$303,3),Tarefas!$M$4:$M$303,0)),""),"")</f>
        <v>Ana (você)</v>
      </c>
      <c r="G12" s="23">
        <f>IFERROR(IF(LARGE(Tarefas!$M$4:$M$303,3)&gt;0,INDEX(Tarefas!$H$4:$H$303,MATCH(LARGE(Tarefas!$M$4:$M$303,3),Tarefas!$M$4:$M$303,0)),""),"")</f>
        <v>0.5</v>
      </c>
    </row>
    <row r="13">
      <c r="A13" s="23" t="n">
        <v>4</v>
      </c>
      <c r="B13" s="24" t="str">
        <f>IFERROR(IF(LARGE(Tarefas!$M$4:$M$303,4)&gt;0,INDEX(Tarefas!$B$4:$B$303,MATCH(LARGE(Tarefas!$M$4:$M$303,4),Tarefas!$M$4:$M$303,0)),""),"")</f>
        <v>Montar apresentação da reunião de quinta</v>
      </c>
      <c r="C13" s="25">
        <f>IFERROR(IF(LARGE(Tarefas!$M$4:$M$303,4)&gt;0,INDEX(Tarefas!$E$4:$E$303,MATCH(LARGE(Tarefas!$M$4:$M$303,4),Tarefas!$M$4:$M$303,0)),""),"")</f>
        <v>46284.0</v>
      </c>
      <c r="D13" s="23" t="str">
        <f>IFERROR(IF(LARGE(Tarefas!$M$4:$M$303,4)&gt;0,INDEX(Tarefas!$L$4:$L$303,MATCH(LARGE(Tarefas!$M$4:$M$303,4),Tarefas!$M$4:$M$303,0)),""),"")</f>
        <v>Esta semana</v>
      </c>
      <c r="E13" s="23" t="str">
        <f>IFERROR(IF(LARGE(Tarefas!$M$4:$M$303,4)&gt;0,INDEX(Tarefas!$J$4:$J$303,MATCH(LARGE(Tarefas!$M$4:$M$303,4),Tarefas!$M$4:$M$303,0)),""),"")</f>
        <v>Alta</v>
      </c>
      <c r="F13" s="24" t="str">
        <f>IFERROR(IF(LARGE(Tarefas!$M$4:$M$303,4)&gt;0,INDEX(Tarefas!$D$4:$D$303,MATCH(LARGE(Tarefas!$M$4:$M$303,4),Tarefas!$M$4:$M$303,0)),""),"")</f>
        <v>Ana (você)</v>
      </c>
      <c r="G13" s="23">
        <f>IFERROR(IF(LARGE(Tarefas!$M$4:$M$303,4)&gt;0,INDEX(Tarefas!$H$4:$H$303,MATCH(LARGE(Tarefas!$M$4:$M$303,4),Tarefas!$M$4:$M$303,0)),""),"")</f>
        <v>3</v>
      </c>
    </row>
    <row r="14">
      <c r="A14" s="23" t="n">
        <v>5</v>
      </c>
      <c r="B14" s="24" t="str">
        <f>IFERROR(IF(LARGE(Tarefas!$M$4:$M$303,5)&gt;0,INDEX(Tarefas!$B$4:$B$303,MATCH(LARGE(Tarefas!$M$4:$M$303,5),Tarefas!$M$4:$M$303,0)),""),"")</f>
        <v>Aprovar arte do post de terça</v>
      </c>
      <c r="C14" s="25">
        <f>IFERROR(IF(LARGE(Tarefas!$M$4:$M$303,5)&gt;0,INDEX(Tarefas!$E$4:$E$303,MATCH(LARGE(Tarefas!$M$4:$M$303,5),Tarefas!$M$4:$M$303,0)),""),"")</f>
        <v>46284.0</v>
      </c>
      <c r="D14" s="23" t="str">
        <f>IFERROR(IF(LARGE(Tarefas!$M$4:$M$303,5)&gt;0,INDEX(Tarefas!$L$4:$L$303,MATCH(LARGE(Tarefas!$M$4:$M$303,5),Tarefas!$M$4:$M$303,0)),""),"")</f>
        <v>Esta semana</v>
      </c>
      <c r="E14" s="23" t="str">
        <f>IFERROR(IF(LARGE(Tarefas!$M$4:$M$303,5)&gt;0,INDEX(Tarefas!$J$4:$J$303,MATCH(LARGE(Tarefas!$M$4:$M$303,5),Tarefas!$M$4:$M$303,0)),""),"")</f>
        <v>Alta</v>
      </c>
      <c r="F14" s="24" t="str">
        <f>IFERROR(IF(LARGE(Tarefas!$M$4:$M$303,5)&gt;0,INDEX(Tarefas!$D$4:$D$303,MATCH(LARGE(Tarefas!$M$4:$M$303,5),Tarefas!$M$4:$M$303,0)),""),"")</f>
        <v>Carla</v>
      </c>
      <c r="G14" s="23">
        <f>IFERROR(IF(LARGE(Tarefas!$M$4:$M$303,5)&gt;0,INDEX(Tarefas!$H$4:$H$303,MATCH(LARGE(Tarefas!$M$4:$M$303,5),Tarefas!$M$4:$M$303,0)),""),"")</f>
        <v>0.5</v>
      </c>
    </row>
    <row r="15">
      <c r="A15" s="23" t="n">
        <v>6</v>
      </c>
      <c r="B15" s="24" t="str">
        <f>IFERROR(IF(LARGE(Tarefas!$M$4:$M$303,6)&gt;0,INDEX(Tarefas!$B$4:$B$303,MATCH(LARGE(Tarefas!$M$4:$M$303,6),Tarefas!$M$4:$M$303,0)),""),"")</f>
        <v>Fechar pauta de outubro</v>
      </c>
      <c r="C15" s="25">
        <f>IFERROR(IF(LARGE(Tarefas!$M$4:$M$303,6)&gt;0,INDEX(Tarefas!$E$4:$E$303,MATCH(LARGE(Tarefas!$M$4:$M$303,6),Tarefas!$M$4:$M$303,0)),""),"")</f>
        <v>46286.0</v>
      </c>
      <c r="D15" s="23" t="str">
        <f>IFERROR(IF(LARGE(Tarefas!$M$4:$M$303,6)&gt;0,INDEX(Tarefas!$L$4:$L$303,MATCH(LARGE(Tarefas!$M$4:$M$303,6),Tarefas!$M$4:$M$303,0)),""),"")</f>
        <v>Esta semana</v>
      </c>
      <c r="E15" s="23" t="str">
        <f>IFERROR(IF(LARGE(Tarefas!$M$4:$M$303,6)&gt;0,INDEX(Tarefas!$J$4:$J$303,MATCH(LARGE(Tarefas!$M$4:$M$303,6),Tarefas!$M$4:$M$303,0)),""),"")</f>
        <v>Alta</v>
      </c>
      <c r="F15" s="24" t="str">
        <f>IFERROR(IF(LARGE(Tarefas!$M$4:$M$303,6)&gt;0,INDEX(Tarefas!$D$4:$D$303,MATCH(LARGE(Tarefas!$M$4:$M$303,6),Tarefas!$M$4:$M$303,0)),""),"")</f>
        <v>Carla</v>
      </c>
      <c r="G15" s="23">
        <f>IFERROR(IF(LARGE(Tarefas!$M$4:$M$303,6)&gt;0,INDEX(Tarefas!$H$4:$H$303,MATCH(LARGE(Tarefas!$M$4:$M$303,6),Tarefas!$M$4:$M$303,0)),""),"")</f>
        <v>2</v>
      </c>
    </row>
    <row r="16">
      <c r="A16" s="23" t="n">
        <v>7</v>
      </c>
      <c r="B16" s="24" t="str">
        <f>IFERROR(IF(LARGE(Tarefas!$M$4:$M$303,7)&gt;0,INDEX(Tarefas!$B$4:$B$303,MATCH(LARGE(Tarefas!$M$4:$M$303,7),Tarefas!$M$4:$M$303,0)),""),"")</f>
        <v>Escrever e-mail de resultados para a Horizonte</v>
      </c>
      <c r="C16" s="25">
        <f>IFERROR(IF(LARGE(Tarefas!$M$4:$M$303,7)&gt;0,INDEX(Tarefas!$E$4:$E$303,MATCH(LARGE(Tarefas!$M$4:$M$303,7),Tarefas!$M$4:$M$303,0)),""),"")</f>
        <v>46287.0</v>
      </c>
      <c r="D16" s="23" t="str">
        <f>IFERROR(IF(LARGE(Tarefas!$M$4:$M$303,7)&gt;0,INDEX(Tarefas!$L$4:$L$303,MATCH(LARGE(Tarefas!$M$4:$M$303,7),Tarefas!$M$4:$M$303,0)),""),"")</f>
        <v>Esta semana</v>
      </c>
      <c r="E16" s="23" t="str">
        <f>IFERROR(IF(LARGE(Tarefas!$M$4:$M$303,7)&gt;0,INDEX(Tarefas!$J$4:$J$303,MATCH(LARGE(Tarefas!$M$4:$M$303,7),Tarefas!$M$4:$M$303,0)),""),"")</f>
        <v>Alta</v>
      </c>
      <c r="F16" s="24" t="str">
        <f>IFERROR(IF(LARGE(Tarefas!$M$4:$M$303,7)&gt;0,INDEX(Tarefas!$D$4:$D$303,MATCH(LARGE(Tarefas!$M$4:$M$303,7),Tarefas!$M$4:$M$303,0)),""),"")</f>
        <v>Ana (você)</v>
      </c>
      <c r="G16" s="23">
        <f>IFERROR(IF(LARGE(Tarefas!$M$4:$M$303,7)&gt;0,INDEX(Tarefas!$H$4:$H$303,MATCH(LARGE(Tarefas!$M$4:$M$303,7),Tarefas!$M$4:$M$303,0)),""),"")</f>
        <v>1</v>
      </c>
    </row>
    <row r="17">
      <c r="A17" s="23" t="n">
        <v>8</v>
      </c>
      <c r="B17" s="24" t="str">
        <f>IFERROR(IF(LARGE(Tarefas!$M$4:$M$303,8)&gt;0,INDEX(Tarefas!$B$4:$B$303,MATCH(LARGE(Tarefas!$M$4:$M$303,8),Tarefas!$M$4:$M$303,0)),""),"")</f>
        <v>Atualizar planilha de leads</v>
      </c>
      <c r="C17" s="25">
        <f>IFERROR(IF(LARGE(Tarefas!$M$4:$M$303,8)&gt;0,INDEX(Tarefas!$E$4:$E$303,MATCH(LARGE(Tarefas!$M$4:$M$303,8),Tarefas!$M$4:$M$303,0)),""),"")</f>
        <v>46284.0</v>
      </c>
      <c r="D17" s="23" t="str">
        <f>IFERROR(IF(LARGE(Tarefas!$M$4:$M$303,8)&gt;0,INDEX(Tarefas!$L$4:$L$303,MATCH(LARGE(Tarefas!$M$4:$M$303,8),Tarefas!$M$4:$M$303,0)),""),"")</f>
        <v>Esta semana</v>
      </c>
      <c r="E17" s="23" t="str">
        <f>IFERROR(IF(LARGE(Tarefas!$M$4:$M$303,8)&gt;0,INDEX(Tarefas!$J$4:$J$303,MATCH(LARGE(Tarefas!$M$4:$M$303,8),Tarefas!$M$4:$M$303,0)),""),"")</f>
        <v>Média</v>
      </c>
      <c r="F17" s="24" t="str">
        <f>IFERROR(IF(LARGE(Tarefas!$M$4:$M$303,8)&gt;0,INDEX(Tarefas!$D$4:$D$303,MATCH(LARGE(Tarefas!$M$4:$M$303,8),Tarefas!$M$4:$M$303,0)),""),"")</f>
        <v>Bruno</v>
      </c>
      <c r="G17" s="23">
        <f>IFERROR(IF(LARGE(Tarefas!$M$4:$M$303,8)&gt;0,INDEX(Tarefas!$H$4:$H$303,MATCH(LARGE(Tarefas!$M$4:$M$303,8),Tarefas!$M$4:$M$303,0)),""),"")</f>
        <v>1</v>
      </c>
    </row>
    <row r="18">
      <c r="A18" s="23" t="n">
        <v>9</v>
      </c>
      <c r="B18" s="24" t="str">
        <f>IFERROR(IF(LARGE(Tarefas!$M$4:$M$303,9)&gt;0,INDEX(Tarefas!$B$4:$B$303,MATCH(LARGE(Tarefas!$M$4:$M$303,9),Tarefas!$M$4:$M$303,0)),""),"")</f>
        <v>Reunião de alinhamento com o Bruno</v>
      </c>
      <c r="C18" s="25">
        <f>IFERROR(IF(LARGE(Tarefas!$M$4:$M$303,9)&gt;0,INDEX(Tarefas!$E$4:$E$303,MATCH(LARGE(Tarefas!$M$4:$M$303,9),Tarefas!$M$4:$M$303,0)),""),"")</f>
        <v>46285.0</v>
      </c>
      <c r="D18" s="23" t="str">
        <f>IFERROR(IF(LARGE(Tarefas!$M$4:$M$303,9)&gt;0,INDEX(Tarefas!$L$4:$L$303,MATCH(LARGE(Tarefas!$M$4:$M$303,9),Tarefas!$M$4:$M$303,0)),""),"")</f>
        <v>Esta semana</v>
      </c>
      <c r="E18" s="23" t="str">
        <f>IFERROR(IF(LARGE(Tarefas!$M$4:$M$303,9)&gt;0,INDEX(Tarefas!$J$4:$J$303,MATCH(LARGE(Tarefas!$M$4:$M$303,9),Tarefas!$M$4:$M$303,0)),""),"")</f>
        <v>Média</v>
      </c>
      <c r="F18" s="24" t="str">
        <f>IFERROR(IF(LARGE(Tarefas!$M$4:$M$303,9)&gt;0,INDEX(Tarefas!$D$4:$D$303,MATCH(LARGE(Tarefas!$M$4:$M$303,9),Tarefas!$M$4:$M$303,0)),""),"")</f>
        <v>Ana (você)</v>
      </c>
      <c r="G18" s="23">
        <f>IFERROR(IF(LARGE(Tarefas!$M$4:$M$303,9)&gt;0,INDEX(Tarefas!$H$4:$H$303,MATCH(LARGE(Tarefas!$M$4:$M$303,9),Tarefas!$M$4:$M$303,0)),""),"")</f>
        <v>1</v>
      </c>
    </row>
    <row r="19">
      <c r="A19" s="23" t="n">
        <v>10</v>
      </c>
      <c r="B19" s="24" t="str">
        <f>IFERROR(IF(LARGE(Tarefas!$M$4:$M$303,10)&gt;0,INDEX(Tarefas!$B$4:$B$303,MATCH(LARGE(Tarefas!$M$4:$M$303,10),Tarefas!$M$4:$M$303,0)),""),"")</f>
        <v>Preparar orçamento do vídeo institucional</v>
      </c>
      <c r="C19" s="25">
        <f>IFERROR(IF(LARGE(Tarefas!$M$4:$M$303,10)&gt;0,INDEX(Tarefas!$E$4:$E$303,MATCH(LARGE(Tarefas!$M$4:$M$303,10),Tarefas!$M$4:$M$303,0)),""),"")</f>
        <v>46289.0</v>
      </c>
      <c r="D19" s="23" t="str">
        <f>IFERROR(IF(LARGE(Tarefas!$M$4:$M$303,10)&gt;0,INDEX(Tarefas!$L$4:$L$303,MATCH(LARGE(Tarefas!$M$4:$M$303,10),Tarefas!$M$4:$M$303,0)),""),"")</f>
        <v>Esta semana</v>
      </c>
      <c r="E19" s="23" t="str">
        <f>IFERROR(IF(LARGE(Tarefas!$M$4:$M$303,10)&gt;0,INDEX(Tarefas!$J$4:$J$303,MATCH(LARGE(Tarefas!$M$4:$M$303,10),Tarefas!$M$4:$M$303,0)),""),"")</f>
        <v>Média</v>
      </c>
      <c r="F19" s="24" t="str">
        <f>IFERROR(IF(LARGE(Tarefas!$M$4:$M$303,10)&gt;0,INDEX(Tarefas!$D$4:$D$303,MATCH(LARGE(Tarefas!$M$4:$M$303,10),Tarefas!$M$4:$M$303,0)),""),"")</f>
        <v>Ana (você)</v>
      </c>
      <c r="G19" s="23">
        <f>IFERROR(IF(LARGE(Tarefas!$M$4:$M$303,10)&gt;0,INDEX(Tarefas!$H$4:$H$303,MATCH(LARGE(Tarefas!$M$4:$M$303,10),Tarefas!$M$4:$M$303,0)),""),"")</f>
        <v>2</v>
      </c>
    </row>
    <row r="20">
      <c r="A20" s="23" t="n">
        <v>11</v>
      </c>
      <c r="B20" s="24" t="str">
        <f>IFERROR(IF(LARGE(Tarefas!$M$4:$M$303,11)&gt;0,INDEX(Tarefas!$B$4:$B$303,MATCH(LARGE(Tarefas!$M$4:$M$303,11),Tarefas!$M$4:$M$303,0)),""),"")</f>
        <v>Conferir faturas dos fornecedores</v>
      </c>
      <c r="C20" s="25">
        <f>IFERROR(IF(LARGE(Tarefas!$M$4:$M$303,11)&gt;0,INDEX(Tarefas!$E$4:$E$303,MATCH(LARGE(Tarefas!$M$4:$M$303,11),Tarefas!$M$4:$M$303,0)),""),"")</f>
        <v>46287.0</v>
      </c>
      <c r="D20" s="23" t="str">
        <f>IFERROR(IF(LARGE(Tarefas!$M$4:$M$303,11)&gt;0,INDEX(Tarefas!$L$4:$L$303,MATCH(LARGE(Tarefas!$M$4:$M$303,11),Tarefas!$M$4:$M$303,0)),""),"")</f>
        <v>Esta semana</v>
      </c>
      <c r="E20" s="23" t="str">
        <f>IFERROR(IF(LARGE(Tarefas!$M$4:$M$303,11)&gt;0,INDEX(Tarefas!$J$4:$J$303,MATCH(LARGE(Tarefas!$M$4:$M$303,11),Tarefas!$M$4:$M$303,0)),""),"")</f>
        <v>Baixa</v>
      </c>
      <c r="F20" s="24" t="str">
        <f>IFERROR(IF(LARGE(Tarefas!$M$4:$M$303,11)&gt;0,INDEX(Tarefas!$D$4:$D$303,MATCH(LARGE(Tarefas!$M$4:$M$303,11),Tarefas!$M$4:$M$303,0)),""),"")</f>
        <v>Ana (você)</v>
      </c>
      <c r="G20" s="23">
        <f>IFERROR(IF(LARGE(Tarefas!$M$4:$M$303,11)&gt;0,INDEX(Tarefas!$H$4:$H$303,MATCH(LARGE(Tarefas!$M$4:$M$303,11),Tarefas!$M$4:$M$303,0)),""),"")</f>
        <v>1</v>
      </c>
    </row>
    <row r="21">
      <c r="A21" s="23" t="n">
        <v>12</v>
      </c>
      <c r="B21" s="24" t="str">
        <f>IFERROR(IF(LARGE(Tarefas!$M$4:$M$303,12)&gt;0,INDEX(Tarefas!$B$4:$B$303,MATCH(LARGE(Tarefas!$M$4:$M$303,12),Tarefas!$M$4:$M$303,0)),""),"")</f>
        <v>Organizar pasta de fotos do evento</v>
      </c>
      <c r="C21" s="25">
        <f>IFERROR(IF(LARGE(Tarefas!$M$4:$M$303,12)&gt;0,INDEX(Tarefas!$E$4:$E$303,MATCH(LARGE(Tarefas!$M$4:$M$303,12),Tarefas!$M$4:$M$303,0)),""),"")</f>
        <v>46288.0</v>
      </c>
      <c r="D21" s="23" t="str">
        <f>IFERROR(IF(LARGE(Tarefas!$M$4:$M$303,12)&gt;0,INDEX(Tarefas!$L$4:$L$303,MATCH(LARGE(Tarefas!$M$4:$M$303,12),Tarefas!$M$4:$M$303,0)),""),"")</f>
        <v>Esta semana</v>
      </c>
      <c r="E21" s="23" t="str">
        <f>IFERROR(IF(LARGE(Tarefas!$M$4:$M$303,12)&gt;0,INDEX(Tarefas!$J$4:$J$303,MATCH(LARGE(Tarefas!$M$4:$M$303,12),Tarefas!$M$4:$M$303,0)),""),"")</f>
        <v>Baixa</v>
      </c>
      <c r="F21" s="24" t="str">
        <f>IFERROR(IF(LARGE(Tarefas!$M$4:$M$303,12)&gt;0,INDEX(Tarefas!$D$4:$D$303,MATCH(LARGE(Tarefas!$M$4:$M$303,12),Tarefas!$M$4:$M$303,0)),""),"")</f>
        <v>Bruno</v>
      </c>
      <c r="G21" s="23">
        <f>IFERROR(IF(LARGE(Tarefas!$M$4:$M$303,12)&gt;0,INDEX(Tarefas!$H$4:$H$303,MATCH(LARGE(Tarefas!$M$4:$M$303,12),Tarefas!$M$4:$M$303,0)),""),"")</f>
        <v>2</v>
      </c>
    </row>
    <row r="23">
      <c r="A23" s="20" t="inlineStr">
        <is>
          <t>Carga dos próximos 7 dias</t>
        </is>
      </c>
    </row>
    <row r="24">
      <c r="A24" s="22" t="inlineStr">
        <is>
          <t>Dia</t>
        </is>
      </c>
      <c r="B24" s="22" t="inlineStr">
        <is>
          <t>Data</t>
        </is>
      </c>
      <c r="C24" s="22" t="inlineStr">
        <is>
          <t>Tarefas</t>
        </is>
      </c>
      <c r="D24" s="22" t="inlineStr">
        <is>
          <t>Horas</t>
        </is>
      </c>
      <c r="E24" s="22" t="inlineStr">
        <is>
          <t>% da capacidade</t>
        </is>
      </c>
      <c r="F24" s="22" t="inlineStr">
        <is>
          <t>Barra</t>
        </is>
      </c>
      <c r="G24" s="26" t="n"/>
      <c r="H24" s="27" t="n"/>
    </row>
    <row r="25">
      <c r="A25" s="23" t="str">
        <f>CHOOSE(WEEKDAY(B25),"dom","seg","ter","qua","qui","sex","sáb")</f>
        <v>sex</v>
      </c>
      <c r="B25" s="25">
        <f>Config!$B$4+0</f>
        <v>46283.0</v>
      </c>
      <c r="C25" s="23">
        <f>COUNTIFS(Tarefas!$E$4:$E$303,B25,Tarefas!$I$4:$I$303,"&lt;&gt;Feito",Tarefas!$I$4:$I$303,"&lt;&gt;Cancelado",Tarefas!$B$4:$B$303,"&lt;&gt;")</f>
        <v>1</v>
      </c>
      <c r="D25" s="23">
        <f>SUMIFS(Tarefas!$H$4:$H$303,Tarefas!$E$4:$E$303,B25,Tarefas!$I$4:$I$303,"&lt;&gt;Feito",Tarefas!$I$4:$I$303,"&lt;&gt;Cancelado")</f>
        <v>1.5</v>
      </c>
      <c r="E25" s="28">
        <f>IF(Config!$B$6&gt;0,D25/Config!$B$6,0)</f>
        <v>0.25</v>
      </c>
      <c r="F25" s="29" t="str">
        <f>REPT("█",ROUND(D25,0))&amp;IF(D25&gt;Config!$B$6," ⚠ acima da capacidade","")</f>
        <v>██</v>
      </c>
      <c r="G25" s="24" t="n"/>
      <c r="H25" s="24" t="n"/>
    </row>
    <row r="26">
      <c r="A26" s="23" t="str">
        <f>CHOOSE(WEEKDAY(B26),"dom","seg","ter","qua","qui","sex","sáb")</f>
        <v>sáb</v>
      </c>
      <c r="B26" s="25">
        <f>Config!$B$4+1</f>
        <v>46284.0</v>
      </c>
      <c r="C26" s="23">
        <f>COUNTIFS(Tarefas!$E$4:$E$303,B26,Tarefas!$I$4:$I$303,"&lt;&gt;Feito",Tarefas!$I$4:$I$303,"&lt;&gt;Cancelado",Tarefas!$B$4:$B$303,"&lt;&gt;")</f>
        <v>3</v>
      </c>
      <c r="D26" s="23">
        <f>SUMIFS(Tarefas!$H$4:$H$303,Tarefas!$E$4:$E$303,B26,Tarefas!$I$4:$I$303,"&lt;&gt;Feito",Tarefas!$I$4:$I$303,"&lt;&gt;Cancelado")</f>
        <v>4.5</v>
      </c>
      <c r="E26" s="28">
        <f>IF(Config!$B$6&gt;0,D26/Config!$B$6,0)</f>
        <v>0.75</v>
      </c>
      <c r="F26" s="29" t="str">
        <f>REPT("█",ROUND(D26,0))&amp;IF(D26&gt;Config!$B$6," ⚠ acima da capacidade","")</f>
        <v>█████</v>
      </c>
      <c r="G26" s="24" t="n"/>
      <c r="H26" s="24" t="n"/>
    </row>
    <row r="27">
      <c r="A27" s="23" t="str">
        <f>CHOOSE(WEEKDAY(B27),"dom","seg","ter","qua","qui","sex","sáb")</f>
        <v>dom</v>
      </c>
      <c r="B27" s="25">
        <f>Config!$B$4+2</f>
        <v>46285.0</v>
      </c>
      <c r="C27" s="23">
        <f>COUNTIFS(Tarefas!$E$4:$E$303,B27,Tarefas!$I$4:$I$303,"&lt;&gt;Feito",Tarefas!$I$4:$I$303,"&lt;&gt;Cancelado",Tarefas!$B$4:$B$303,"&lt;&gt;")</f>
        <v>1</v>
      </c>
      <c r="D27" s="23">
        <f>SUMIFS(Tarefas!$H$4:$H$303,Tarefas!$E$4:$E$303,B27,Tarefas!$I$4:$I$303,"&lt;&gt;Feito",Tarefas!$I$4:$I$303,"&lt;&gt;Cancelado")</f>
        <v>1</v>
      </c>
      <c r="E27" s="28">
        <f>IF(Config!$B$6&gt;0,D27/Config!$B$6,0)</f>
        <v>0.166666666666667</v>
      </c>
      <c r="F27" s="29" t="str">
        <f>REPT("█",ROUND(D27,0))&amp;IF(D27&gt;Config!$B$6," ⚠ acima da capacidade","")</f>
        <v>█</v>
      </c>
      <c r="G27" s="24" t="n"/>
      <c r="H27" s="24" t="n"/>
    </row>
    <row r="28">
      <c r="A28" s="23" t="str">
        <f>CHOOSE(WEEKDAY(B28),"dom","seg","ter","qua","qui","sex","sáb")</f>
        <v>seg</v>
      </c>
      <c r="B28" s="25">
        <f>Config!$B$4+3</f>
        <v>46286.0</v>
      </c>
      <c r="C28" s="23">
        <f>COUNTIFS(Tarefas!$E$4:$E$303,B28,Tarefas!$I$4:$I$303,"&lt;&gt;Feito",Tarefas!$I$4:$I$303,"&lt;&gt;Cancelado",Tarefas!$B$4:$B$303,"&lt;&gt;")</f>
        <v>1</v>
      </c>
      <c r="D28" s="23">
        <f>SUMIFS(Tarefas!$H$4:$H$303,Tarefas!$E$4:$E$303,B28,Tarefas!$I$4:$I$303,"&lt;&gt;Feito",Tarefas!$I$4:$I$303,"&lt;&gt;Cancelado")</f>
        <v>2</v>
      </c>
      <c r="E28" s="28">
        <f>IF(Config!$B$6&gt;0,D28/Config!$B$6,0)</f>
        <v>0.333333333333333</v>
      </c>
      <c r="F28" s="29" t="str">
        <f>REPT("█",ROUND(D28,0))&amp;IF(D28&gt;Config!$B$6," ⚠ acima da capacidade","")</f>
        <v>██</v>
      </c>
      <c r="G28" s="24" t="n"/>
      <c r="H28" s="24" t="n"/>
    </row>
    <row r="29">
      <c r="A29" s="23" t="str">
        <f>CHOOSE(WEEKDAY(B29),"dom","seg","ter","qua","qui","sex","sáb")</f>
        <v>ter</v>
      </c>
      <c r="B29" s="25">
        <f>Config!$B$4+4</f>
        <v>46287.0</v>
      </c>
      <c r="C29" s="23">
        <f>COUNTIFS(Tarefas!$E$4:$E$303,B29,Tarefas!$I$4:$I$303,"&lt;&gt;Feito",Tarefas!$I$4:$I$303,"&lt;&gt;Cancelado",Tarefas!$B$4:$B$303,"&lt;&gt;")</f>
        <v>2</v>
      </c>
      <c r="D29" s="23">
        <f>SUMIFS(Tarefas!$H$4:$H$303,Tarefas!$E$4:$E$303,B29,Tarefas!$I$4:$I$303,"&lt;&gt;Feito",Tarefas!$I$4:$I$303,"&lt;&gt;Cancelado")</f>
        <v>2</v>
      </c>
      <c r="E29" s="28">
        <f>IF(Config!$B$6&gt;0,D29/Config!$B$6,0)</f>
        <v>0.333333333333333</v>
      </c>
      <c r="F29" s="29" t="str">
        <f>REPT("█",ROUND(D29,0))&amp;IF(D29&gt;Config!$B$6," ⚠ acima da capacidade","")</f>
        <v>██</v>
      </c>
      <c r="G29" s="24" t="n"/>
      <c r="H29" s="24" t="n"/>
    </row>
    <row r="30">
      <c r="A30" s="23" t="str">
        <f>CHOOSE(WEEKDAY(B30),"dom","seg","ter","qua","qui","sex","sáb")</f>
        <v>qua</v>
      </c>
      <c r="B30" s="25">
        <f>Config!$B$4+5</f>
        <v>46288.0</v>
      </c>
      <c r="C30" s="23">
        <f>COUNTIFS(Tarefas!$E$4:$E$303,B30,Tarefas!$I$4:$I$303,"&lt;&gt;Feito",Tarefas!$I$4:$I$303,"&lt;&gt;Cancelado",Tarefas!$B$4:$B$303,"&lt;&gt;")</f>
        <v>1</v>
      </c>
      <c r="D30" s="23">
        <f>SUMIFS(Tarefas!$H$4:$H$303,Tarefas!$E$4:$E$303,B30,Tarefas!$I$4:$I$303,"&lt;&gt;Feito",Tarefas!$I$4:$I$303,"&lt;&gt;Cancelado")</f>
        <v>2</v>
      </c>
      <c r="E30" s="28">
        <f>IF(Config!$B$6&gt;0,D30/Config!$B$6,0)</f>
        <v>0.333333333333333</v>
      </c>
      <c r="F30" s="29" t="str">
        <f>REPT("█",ROUND(D30,0))&amp;IF(D30&gt;Config!$B$6," ⚠ acima da capacidade","")</f>
        <v>██</v>
      </c>
      <c r="G30" s="24" t="n"/>
      <c r="H30" s="24" t="n"/>
    </row>
    <row r="31">
      <c r="A31" s="23" t="str">
        <f>CHOOSE(WEEKDAY(B31),"dom","seg","ter","qua","qui","sex","sáb")</f>
        <v>qui</v>
      </c>
      <c r="B31" s="25">
        <f>Config!$B$4+6</f>
        <v>46289.0</v>
      </c>
      <c r="C31" s="23">
        <f>COUNTIFS(Tarefas!$E$4:$E$303,B31,Tarefas!$I$4:$I$303,"&lt;&gt;Feito",Tarefas!$I$4:$I$303,"&lt;&gt;Cancelado",Tarefas!$B$4:$B$303,"&lt;&gt;")</f>
        <v>1</v>
      </c>
      <c r="D31" s="23">
        <f>SUMIFS(Tarefas!$H$4:$H$303,Tarefas!$E$4:$E$303,B31,Tarefas!$I$4:$I$303,"&lt;&gt;Feito",Tarefas!$I$4:$I$303,"&lt;&gt;Cancelado")</f>
        <v>2</v>
      </c>
      <c r="E31" s="28">
        <f>IF(Config!$B$6&gt;0,D31/Config!$B$6,0)</f>
        <v>0.333333333333333</v>
      </c>
      <c r="F31" s="29" t="str">
        <f>REPT("█",ROUND(D31,0))&amp;IF(D31&gt;Config!$B$6," ⚠ acima da capacidade","")</f>
        <v>██</v>
      </c>
      <c r="G31" s="24" t="n"/>
      <c r="H31" s="24" t="n"/>
    </row>
    <row r="32">
      <c r="A32" s="21" t="inlineStr">
        <is>
          <t>Capacidade por dia definida em Config (padrão 6 h).</t>
        </is>
      </c>
    </row>
    <row r="34">
      <c r="A34" s="20" t="inlineStr">
        <is>
          <t>Por responsável</t>
        </is>
      </c>
    </row>
    <row r="35">
      <c r="A35" s="22" t="inlineStr">
        <is>
          <t>Responsável</t>
        </is>
      </c>
      <c r="B35" s="22" t="n"/>
      <c r="C35" s="22" t="inlineStr">
        <is>
          <t>Abertas</t>
        </is>
      </c>
      <c r="D35" s="22" t="inlineStr">
        <is>
          <t>Atrasadas</t>
        </is>
      </c>
      <c r="E35" s="22" t="inlineStr">
        <is>
          <t>Para hoje</t>
        </is>
      </c>
      <c r="F35" s="22" t="inlineStr">
        <is>
          <t>Horas abertas</t>
        </is>
      </c>
    </row>
    <row r="36">
      <c r="A36" s="24" t="str">
        <f>IF(Config!$B$9="","",Config!$B$9)</f>
        <v>Ana (você)</v>
      </c>
      <c r="B36" s="24" t="n"/>
      <c r="C36" s="23">
        <f>IF(Config!$B$9="","",COUNTIFS(Tarefas!$D$4:$D$303,Config!$B$9,Tarefas!$I$4:$I$303,"&lt;&gt;Feito",Tarefas!$I$4:$I$303,"&lt;&gt;Cancelado",Tarefas!$B$4:$B$303,"&lt;&gt;"))</f>
        <v>10</v>
      </c>
      <c r="D36" s="23">
        <f>IF(Config!$B$9="","",COUNTIFS(Tarefas!$D$4:$D$303,Config!$B$9,Tarefas!$L$4:$L$303,"Atrasada"))</f>
        <v>2</v>
      </c>
      <c r="E36" s="23">
        <f>IF(Config!$B$9="","",COUNTIFS(Tarefas!$D$4:$D$303,Config!$B$9,Tarefas!$L$4:$L$303,"Hoje"))</f>
        <v>1</v>
      </c>
      <c r="F36" s="23">
        <f>IF(Config!$B$9="","",SUMIFS(Tarefas!$H$4:$H$303,Tarefas!$D$4:$D$303,Config!$B$9,Tarefas!$I$4:$I$303,"&lt;&gt;Feito",Tarefas!$I$4:$I$303,"&lt;&gt;Cancelado"))</f>
        <v>15</v>
      </c>
    </row>
    <row r="37">
      <c r="A37" s="24" t="str">
        <f>IF(Config!$B$10="","",Config!$B$10)</f>
        <v>Bruno</v>
      </c>
      <c r="B37" s="24" t="n"/>
      <c r="C37" s="23">
        <f>IF(Config!$B$10="","",COUNTIFS(Tarefas!$D$4:$D$303,Config!$B$10,Tarefas!$I$4:$I$303,"&lt;&gt;Feito",Tarefas!$I$4:$I$303,"&lt;&gt;Cancelado",Tarefas!$B$4:$B$303,"&lt;&gt;"))</f>
        <v>4</v>
      </c>
      <c r="D37" s="23">
        <f>IF(Config!$B$10="","",COUNTIFS(Tarefas!$D$4:$D$303,Config!$B$10,Tarefas!$L$4:$L$303,"Atrasada"))</f>
        <v>0</v>
      </c>
      <c r="E37" s="23">
        <f>IF(Config!$B$10="","",COUNTIFS(Tarefas!$D$4:$D$303,Config!$B$10,Tarefas!$L$4:$L$303,"Hoje"))</f>
        <v>0</v>
      </c>
      <c r="F37" s="23">
        <f>IF(Config!$B$10="","",SUMIFS(Tarefas!$H$4:$H$303,Tarefas!$D$4:$D$303,Config!$B$10,Tarefas!$I$4:$I$303,"&lt;&gt;Feito",Tarefas!$I$4:$I$303,"&lt;&gt;Cancelado"))</f>
        <v>8.5</v>
      </c>
    </row>
    <row r="38">
      <c r="A38" s="24" t="str">
        <f>IF(Config!$B$11="","",Config!$B$11)</f>
        <v>Carla</v>
      </c>
      <c r="B38" s="24" t="n"/>
      <c r="C38" s="23">
        <f>IF(Config!$B$11="","",COUNTIFS(Tarefas!$D$4:$D$303,Config!$B$11,Tarefas!$I$4:$I$303,"&lt;&gt;Feito",Tarefas!$I$4:$I$303,"&lt;&gt;Cancelado",Tarefas!$B$4:$B$303,"&lt;&gt;"))</f>
        <v>3</v>
      </c>
      <c r="D38" s="23">
        <f>IF(Config!$B$11="","",COUNTIFS(Tarefas!$D$4:$D$303,Config!$B$11,Tarefas!$L$4:$L$303,"Atrasada"))</f>
        <v>0</v>
      </c>
      <c r="E38" s="23">
        <f>IF(Config!$B$11="","",COUNTIFS(Tarefas!$D$4:$D$303,Config!$B$11,Tarefas!$L$4:$L$303,"Hoje"))</f>
        <v>0</v>
      </c>
      <c r="F38" s="23">
        <f>IF(Config!$B$11="","",SUMIFS(Tarefas!$H$4:$H$303,Tarefas!$D$4:$D$303,Config!$B$11,Tarefas!$I$4:$I$303,"&lt;&gt;Feito",Tarefas!$I$4:$I$303,"&lt;&gt;Cancelado"))</f>
        <v>3</v>
      </c>
    </row>
    <row r="39">
      <c r="A39" s="24">
        <f>IF(Config!$B$12="","",Config!$B$12)</f>
        <v/>
      </c>
      <c r="B39" s="24" t="n"/>
      <c r="C39" s="23">
        <f>IF(Config!$B$12="","",COUNTIFS(Tarefas!$D$4:$D$303,Config!$B$12,Tarefas!$I$4:$I$303,"&lt;&gt;Feito",Tarefas!$I$4:$I$303,"&lt;&gt;Cancelado",Tarefas!$B$4:$B$303,"&lt;&gt;"))</f>
        <v/>
      </c>
      <c r="D39" s="23">
        <f>IF(Config!$B$12="","",COUNTIFS(Tarefas!$D$4:$D$303,Config!$B$12,Tarefas!$L$4:$L$303,"Atrasada"))</f>
        <v/>
      </c>
      <c r="E39" s="23">
        <f>IF(Config!$B$12="","",COUNTIFS(Tarefas!$D$4:$D$303,Config!$B$12,Tarefas!$L$4:$L$303,"Hoje"))</f>
        <v/>
      </c>
      <c r="F39" s="23">
        <f>IF(Config!$B$12="","",SUMIFS(Tarefas!$H$4:$H$303,Tarefas!$D$4:$D$303,Config!$B$12,Tarefas!$I$4:$I$303,"&lt;&gt;Feito",Tarefas!$I$4:$I$303,"&lt;&gt;Cancelado"))</f>
        <v/>
      </c>
    </row>
    <row r="40">
      <c r="A40" s="24">
        <f>IF(Config!$B$13="","",Config!$B$13)</f>
        <v/>
      </c>
      <c r="B40" s="24" t="n"/>
      <c r="C40" s="23">
        <f>IF(Config!$B$13="","",COUNTIFS(Tarefas!$D$4:$D$303,Config!$B$13,Tarefas!$I$4:$I$303,"&lt;&gt;Feito",Tarefas!$I$4:$I$303,"&lt;&gt;Cancelado",Tarefas!$B$4:$B$303,"&lt;&gt;"))</f>
        <v/>
      </c>
      <c r="D40" s="23">
        <f>IF(Config!$B$13="","",COUNTIFS(Tarefas!$D$4:$D$303,Config!$B$13,Tarefas!$L$4:$L$303,"Atrasada"))</f>
        <v/>
      </c>
      <c r="E40" s="23">
        <f>IF(Config!$B$13="","",COUNTIFS(Tarefas!$D$4:$D$303,Config!$B$13,Tarefas!$L$4:$L$303,"Hoje"))</f>
        <v/>
      </c>
      <c r="F40" s="23">
        <f>IF(Config!$B$13="","",SUMIFS(Tarefas!$H$4:$H$303,Tarefas!$D$4:$D$303,Config!$B$13,Tarefas!$I$4:$I$303,"&lt;&gt;Feito",Tarefas!$I$4:$I$303,"&lt;&gt;Cancelado"))</f>
        <v/>
      </c>
    </row>
    <row r="41">
      <c r="A41" s="24">
        <f>IF(Config!$B$14="","",Config!$B$14)</f>
        <v/>
      </c>
      <c r="B41" s="24" t="n"/>
      <c r="C41" s="23">
        <f>IF(Config!$B$14="","",COUNTIFS(Tarefas!$D$4:$D$303,Config!$B$14,Tarefas!$I$4:$I$303,"&lt;&gt;Feito",Tarefas!$I$4:$I$303,"&lt;&gt;Cancelado",Tarefas!$B$4:$B$303,"&lt;&gt;"))</f>
        <v/>
      </c>
      <c r="D41" s="23">
        <f>IF(Config!$B$14="","",COUNTIFS(Tarefas!$D$4:$D$303,Config!$B$14,Tarefas!$L$4:$L$303,"Atrasada"))</f>
        <v/>
      </c>
      <c r="E41" s="23">
        <f>IF(Config!$B$14="","",COUNTIFS(Tarefas!$D$4:$D$303,Config!$B$14,Tarefas!$L$4:$L$303,"Hoje"))</f>
        <v/>
      </c>
      <c r="F41" s="23">
        <f>IF(Config!$B$14="","",SUMIFS(Tarefas!$H$4:$H$303,Tarefas!$D$4:$D$303,Config!$B$14,Tarefas!$I$4:$I$303,"&lt;&gt;Feito",Tarefas!$I$4:$I$303,"&lt;&gt;Cancelado"))</f>
        <v/>
      </c>
    </row>
    <row r="42">
      <c r="A42" s="24">
        <f>IF(Config!$B$15="","",Config!$B$15)</f>
        <v/>
      </c>
      <c r="B42" s="24" t="n"/>
      <c r="C42" s="23">
        <f>IF(Config!$B$15="","",COUNTIFS(Tarefas!$D$4:$D$303,Config!$B$15,Tarefas!$I$4:$I$303,"&lt;&gt;Feito",Tarefas!$I$4:$I$303,"&lt;&gt;Cancelado",Tarefas!$B$4:$B$303,"&lt;&gt;"))</f>
        <v/>
      </c>
      <c r="D42" s="23">
        <f>IF(Config!$B$15="","",COUNTIFS(Tarefas!$D$4:$D$303,Config!$B$15,Tarefas!$L$4:$L$303,"Atrasada"))</f>
        <v/>
      </c>
      <c r="E42" s="23">
        <f>IF(Config!$B$15="","",COUNTIFS(Tarefas!$D$4:$D$303,Config!$B$15,Tarefas!$L$4:$L$303,"Hoje"))</f>
        <v/>
      </c>
      <c r="F42" s="23">
        <f>IF(Config!$B$15="","",SUMIFS(Tarefas!$H$4:$H$303,Tarefas!$D$4:$D$303,Config!$B$15,Tarefas!$I$4:$I$303,"&lt;&gt;Feito",Tarefas!$I$4:$I$303,"&lt;&gt;Cancelado"))</f>
        <v/>
      </c>
    </row>
    <row r="43">
      <c r="A43" s="24">
        <f>IF(Config!$B$16="","",Config!$B$16)</f>
        <v/>
      </c>
      <c r="B43" s="24" t="n"/>
      <c r="C43" s="23">
        <f>IF(Config!$B$16="","",COUNTIFS(Tarefas!$D$4:$D$303,Config!$B$16,Tarefas!$I$4:$I$303,"&lt;&gt;Feito",Tarefas!$I$4:$I$303,"&lt;&gt;Cancelado",Tarefas!$B$4:$B$303,"&lt;&gt;"))</f>
        <v/>
      </c>
      <c r="D43" s="23">
        <f>IF(Config!$B$16="","",COUNTIFS(Tarefas!$D$4:$D$303,Config!$B$16,Tarefas!$L$4:$L$303,"Atrasada"))</f>
        <v/>
      </c>
      <c r="E43" s="23">
        <f>IF(Config!$B$16="","",COUNTIFS(Tarefas!$D$4:$D$303,Config!$B$16,Tarefas!$L$4:$L$303,"Hoje"))</f>
        <v/>
      </c>
      <c r="F43" s="23">
        <f>IF(Config!$B$16="","",SUMIFS(Tarefas!$H$4:$H$303,Tarefas!$D$4:$D$303,Config!$B$16,Tarefas!$I$4:$I$303,"&lt;&gt;Feito",Tarefas!$I$4:$I$303,"&lt;&gt;Cancelado"))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C5:D5"/>
    <mergeCell ref="E5:F5"/>
    <mergeCell ref="F26:H26"/>
    <mergeCell ref="A36:B36"/>
    <mergeCell ref="C4:D4"/>
    <mergeCell ref="E4:F4"/>
    <mergeCell ref="F28:H28"/>
    <mergeCell ref="F31:H31"/>
    <mergeCell ref="A41:B41"/>
    <mergeCell ref="F27:H27"/>
    <mergeCell ref="A37:B37"/>
    <mergeCell ref="A2:H2"/>
    <mergeCell ref="A5:B5"/>
    <mergeCell ref="G5:H5"/>
    <mergeCell ref="A42:B42"/>
    <mergeCell ref="I5:J5"/>
    <mergeCell ref="A32:H32"/>
    <mergeCell ref="F29:H29"/>
    <mergeCell ref="A8:H8"/>
    <mergeCell ref="F25:H25"/>
    <mergeCell ref="A4:B4"/>
    <mergeCell ref="G4:H4"/>
    <mergeCell ref="A35:B35"/>
    <mergeCell ref="A38:B38"/>
    <mergeCell ref="I4:J4"/>
    <mergeCell ref="A43:B43"/>
    <mergeCell ref="F30:H30"/>
    <mergeCell ref="A39:B39"/>
    <mergeCell ref="F24:H24"/>
    <mergeCell ref="A40:B40"/>
  </mergeCells>
  <conditionalFormatting sqref="A10:G21">
    <cfRule type="expression" priority="1" dxfId="0">
      <formula>$D10="Atrasada"</formula>
    </cfRule>
    <cfRule type="expression" priority="2" dxfId="1">
      <formula>$D10="Hoje"</formula>
    </cfRule>
  </conditionalFormatting>
  <conditionalFormatting sqref="A25:H31">
    <cfRule type="expression" priority="3" dxfId="2">
      <formula>$E25&gt;1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14" customWidth="1" min="4" max="4"/>
    <col width="4" customWidth="1" min="5" max="5"/>
    <col width="26" customWidth="1" min="6" max="6"/>
  </cols>
  <sheetData>
    <row r="1">
      <c r="A1" s="30" t="inlineStr">
        <is>
          <t>Configurações</t>
        </is>
      </c>
    </row>
    <row r="2">
      <c r="A2" s="7" t="inlineStr">
        <is>
          <t>Células amarelas: você preenche. As demais são calculadas.</t>
        </is>
      </c>
    </row>
    <row r="4">
      <c r="A4" s="31" t="inlineStr">
        <is>
          <t>Data de referência (hoje)</t>
        </is>
      </c>
      <c r="B4" s="32">
        <f>TODAY()</f>
        <v>46283.0</v>
      </c>
      <c r="C4" s="2" t="inlineStr">
        <is>
          <t>Deixe =HOJE() ou digite uma data (ex.: 13/09/2026) para simular outro dia.</t>
        </is>
      </c>
    </row>
    <row r="6">
      <c r="A6" s="31" t="inlineStr">
        <is>
          <t>Capacidade por dia (horas)</t>
        </is>
      </c>
      <c r="B6" s="33" t="n">
        <v>6</v>
      </c>
      <c r="C6" s="2" t="inlineStr">
        <is>
          <t>Quantas horas de trabalho focado cabem no seu dia.</t>
        </is>
      </c>
    </row>
    <row r="8">
      <c r="A8" s="31" t="inlineStr">
        <is>
          <t>Responsáveis</t>
        </is>
      </c>
      <c r="D8" s="31" t="inlineStr">
        <is>
          <t>Status</t>
        </is>
      </c>
      <c r="F8" s="31" t="inlineStr">
        <is>
          <t>Projetos ou clientes</t>
        </is>
      </c>
    </row>
    <row r="9">
      <c r="B9" s="33" t="inlineStr">
        <is>
          <t>Ana (você)</t>
        </is>
      </c>
      <c r="D9" s="34" t="inlineStr">
        <is>
          <t>A fazer</t>
        </is>
      </c>
      <c r="F9" s="33" t="inlineStr">
        <is>
          <t>Relatório mensal</t>
        </is>
      </c>
    </row>
    <row r="10">
      <c r="B10" s="33" t="inlineStr">
        <is>
          <t>Bruno</t>
        </is>
      </c>
      <c r="D10" s="34" t="inlineStr">
        <is>
          <t>Fazendo</t>
        </is>
      </c>
      <c r="F10" s="33" t="inlineStr">
        <is>
          <t>Cliente Aurora</t>
        </is>
      </c>
    </row>
    <row r="11">
      <c r="B11" s="33" t="inlineStr">
        <is>
          <t>Carla</t>
        </is>
      </c>
      <c r="D11" s="34" t="inlineStr">
        <is>
          <t>Feito</t>
        </is>
      </c>
      <c r="F11" s="33" t="inlineStr">
        <is>
          <t>Interno</t>
        </is>
      </c>
    </row>
    <row r="12">
      <c r="B12" s="33" t="n"/>
      <c r="D12" s="34" t="inlineStr">
        <is>
          <t>Cancelado</t>
        </is>
      </c>
      <c r="F12" s="33" t="inlineStr">
        <is>
          <t>Cliente Horizonte</t>
        </is>
      </c>
    </row>
    <row r="13">
      <c r="B13" s="33" t="n"/>
      <c r="F13" s="33" t="n"/>
    </row>
    <row r="14">
      <c r="B14" s="33" t="n"/>
      <c r="F14" s="33" t="n"/>
    </row>
    <row r="15">
      <c r="B15" s="33" t="n"/>
      <c r="F15" s="33" t="n"/>
    </row>
    <row r="16">
      <c r="B16" s="33" t="n"/>
      <c r="F16" s="33" t="n"/>
    </row>
    <row r="18">
      <c r="A18" s="2" t="inlineStr">
        <is>
          <t>A lista de status é fixa (fundo cinza): as fórmulas dependem de "Feito" e "Cancelado".</t>
        </is>
      </c>
    </row>
    <row r="19">
      <c r="A19" s="2" t="inlineStr">
        <is>
          <t>Preencha responsáveis e projetos de cima para baixo, sem pular linha: as listas suspensas param na última linha preenchida.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12" customWidth="1" min="10" max="10"/>
    <col width="12" customWidth="1" min="11" max="11"/>
    <col width="13" customWidth="1" min="12" max="12"/>
    <col hidden="1" width="9" customWidth="1" min="13" max="13"/>
    <col width="36" customWidth="1" min="14" max="14"/>
  </cols>
  <sheetData>
    <row r="1">
      <c r="A1" s="30" t="inlineStr">
        <is>
          <t>Tarefas</t>
        </is>
      </c>
    </row>
    <row r="2">
      <c r="A2" s="7" t="inlineStr">
        <is>
          <t>Preencha só as colunas amarelas. Prioridade, dias, situação e ordem são calculados. Apague os exemplos e comece a sua lista.</t>
        </is>
      </c>
    </row>
    <row r="3" ht="32" customHeight="1">
      <c r="A3" s="35" t="inlineStr">
        <is>
          <t>ID</t>
        </is>
      </c>
      <c r="B3" s="35" t="inlineStr">
        <is>
          <t>Tarefa</t>
        </is>
      </c>
      <c r="C3" s="35" t="inlineStr">
        <is>
          <t>Projeto ou cliente</t>
        </is>
      </c>
      <c r="D3" s="35" t="inlineStr">
        <is>
          <t>Responsável</t>
        </is>
      </c>
      <c r="E3" s="35" t="inlineStr">
        <is>
          <t>Prazo</t>
        </is>
      </c>
      <c r="F3" s="35" t="inlineStr">
        <is>
          <t>Impacto (1-3)</t>
        </is>
      </c>
      <c r="G3" s="35" t="inlineStr">
        <is>
          <t>Urgência (1-3)</t>
        </is>
      </c>
      <c r="H3" s="35" t="inlineStr">
        <is>
          <t>Horas</t>
        </is>
      </c>
      <c r="I3" s="35" t="inlineStr">
        <is>
          <t>Status</t>
        </is>
      </c>
      <c r="J3" s="35" t="inlineStr">
        <is>
          <t>Prioridade</t>
        </is>
      </c>
      <c r="K3" s="35" t="inlineStr">
        <is>
          <t>Dias p/ prazo</t>
        </is>
      </c>
      <c r="L3" s="35" t="inlineStr">
        <is>
          <t>Situação</t>
        </is>
      </c>
      <c r="M3" s="35" t="inlineStr">
        <is>
          <t>Ordem</t>
        </is>
      </c>
      <c r="N3" s="35" t="inlineStr">
        <is>
          <t>Observação</t>
        </is>
      </c>
    </row>
    <row r="4">
      <c r="A4" s="23">
        <f>IF(B4="","",ROW()-3)</f>
        <v>1</v>
      </c>
      <c r="B4" s="36" t="inlineStr">
        <is>
          <t>Enviar relatório de setembro para a diretoria</t>
        </is>
      </c>
      <c r="C4" s="36" t="inlineStr">
        <is>
          <t>Relatório mensal</t>
        </is>
      </c>
      <c r="D4" s="36" t="inlineStr">
        <is>
          <t>Ana (você)</t>
        </is>
      </c>
      <c r="E4" s="37">
        <f>TODAY()-1</f>
        <v>46282.0</v>
      </c>
      <c r="F4" s="38" t="n">
        <v>3</v>
      </c>
      <c r="G4" s="38" t="n">
        <v>3</v>
      </c>
      <c r="H4" s="38" t="n">
        <v>2</v>
      </c>
      <c r="I4" s="36" t="inlineStr">
        <is>
          <t>Fazendo</t>
        </is>
      </c>
      <c r="J4" s="24" t="str">
        <f>IF(B4="","",IF(F4*G4&gt;=6,"Alta",IF(F4*G4&gt;=3,"Média","Baixa")))</f>
        <v>Alta</v>
      </c>
      <c r="K4" s="23">
        <f>IF(OR(B4="",E4=""),"",E4-Config!$B$4)</f>
        <v>-1</v>
      </c>
      <c r="L4" s="24" t="str">
        <f>IF(B4="","",IF(OR(I4="Feito",I4="Cancelado"),I4,IF(E4="","Sem prazo",IF(K4&lt;0,"Atrasada",IF(K4=0,"Hoje",IF(K4&lt;=6,"Esta semana","Depois"))))))</f>
        <v>Atrasada</v>
      </c>
      <c r="M4" s="39">
        <f>IF(OR(B4="",L4="Feito",L4="Cancelado",L4="Sem prazo",L4="Depois"),0,IF(L4="Atrasada",2000,IF(L4="Hoje",1500,500))+F4*G4*100+IF(K4&lt;0,MIN(-K4,30),10-K4)-ROW()/100000)</f>
        <v>2900.99996</v>
      </c>
      <c r="N4" s="36" t="inlineStr">
        <is>
          <t>Faltam os gráficos de vendas</t>
        </is>
      </c>
    </row>
    <row r="5">
      <c r="A5" s="23">
        <f>IF(B5="","",ROW()-3)</f>
        <v>2</v>
      </c>
      <c r="B5" s="36" t="inlineStr">
        <is>
          <t>Revisar proposta comercial da Aurora</t>
        </is>
      </c>
      <c r="C5" s="36" t="inlineStr">
        <is>
          <t>Cliente Aurora</t>
        </is>
      </c>
      <c r="D5" s="36" t="inlineStr">
        <is>
          <t>Ana (você)</t>
        </is>
      </c>
      <c r="E5" s="37">
        <f>TODAY()</f>
        <v>46283.0</v>
      </c>
      <c r="F5" s="38" t="n">
        <v>3</v>
      </c>
      <c r="G5" s="38" t="n">
        <v>2</v>
      </c>
      <c r="H5" s="38" t="n">
        <v>1.5</v>
      </c>
      <c r="I5" s="36" t="inlineStr">
        <is>
          <t>A fazer</t>
        </is>
      </c>
      <c r="J5" s="24" t="str">
        <f>IF(B5="","",IF(F5*G5&gt;=6,"Alta",IF(F5*G5&gt;=3,"Média","Baixa")))</f>
        <v>Alta</v>
      </c>
      <c r="K5" s="23">
        <f>IF(OR(B5="",E5=""),"",E5-Config!$B$4)</f>
        <v>0</v>
      </c>
      <c r="L5" s="24" t="str">
        <f>IF(B5="","",IF(OR(I5="Feito",I5="Cancelado"),I5,IF(E5="","Sem prazo",IF(K5&lt;0,"Atrasada",IF(K5=0,"Hoje",IF(K5&lt;=6,"Esta semana","Depois"))))))</f>
        <v>Hoje</v>
      </c>
      <c r="M5" s="39">
        <f>IF(OR(B5="",L5="Feito",L5="Cancelado",L5="Sem prazo",L5="Depois"),0,IF(L5="Atrasada",2000,IF(L5="Hoje",1500,500))+F5*G5*100+IF(K5&lt;0,MIN(-K5,30),10-K5)-ROW()/100000)</f>
        <v>2109.99995</v>
      </c>
      <c r="N5" s="36" t="inlineStr">
        <is>
          <t>Cliente pediu desconto de 10%</t>
        </is>
      </c>
    </row>
    <row r="6">
      <c r="A6" s="23">
        <f>IF(B6="","",ROW()-3)</f>
        <v>3</v>
      </c>
      <c r="B6" s="36" t="inlineStr">
        <is>
          <t>Responder pesquisa de clima</t>
        </is>
      </c>
      <c r="C6" s="36" t="inlineStr">
        <is>
          <t>Interno</t>
        </is>
      </c>
      <c r="D6" s="36" t="inlineStr">
        <is>
          <t>Ana (você)</t>
        </is>
      </c>
      <c r="E6" s="37">
        <f>TODAY()-2</f>
        <v>46281.0</v>
      </c>
      <c r="F6" s="38" t="n">
        <v>1</v>
      </c>
      <c r="G6" s="38" t="n">
        <v>1</v>
      </c>
      <c r="H6" s="38" t="n">
        <v>0.5</v>
      </c>
      <c r="I6" s="36" t="inlineStr">
        <is>
          <t>A fazer</t>
        </is>
      </c>
      <c r="J6" s="24" t="str">
        <f>IF(B6="","",IF(F6*G6&gt;=6,"Alta",IF(F6*G6&gt;=3,"Média","Baixa")))</f>
        <v>Baixa</v>
      </c>
      <c r="K6" s="23">
        <f>IF(OR(B6="",E6=""),"",E6-Config!$B$4)</f>
        <v>-2</v>
      </c>
      <c r="L6" s="24" t="str">
        <f>IF(B6="","",IF(OR(I6="Feito",I6="Cancelado"),I6,IF(E6="","Sem prazo",IF(K6&lt;0,"Atrasada",IF(K6=0,"Hoje",IF(K6&lt;=6,"Esta semana","Depois"))))))</f>
        <v>Atrasada</v>
      </c>
      <c r="M6" s="39">
        <f>IF(OR(B6="",L6="Feito",L6="Cancelado",L6="Sem prazo",L6="Depois"),0,IF(L6="Atrasada",2000,IF(L6="Hoje",1500,500))+F6*G6*100+IF(K6&lt;0,MIN(-K6,30),10-K6)-ROW()/100000)</f>
        <v>2101.99994</v>
      </c>
      <c r="N6" s="36" t="inlineStr"/>
    </row>
    <row r="7">
      <c r="A7" s="23">
        <f>IF(B7="","",ROW()-3)</f>
        <v>4</v>
      </c>
      <c r="B7" s="36" t="inlineStr">
        <is>
          <t>Montar apresentação da reunião de quinta</t>
        </is>
      </c>
      <c r="C7" s="36" t="inlineStr">
        <is>
          <t>Cliente Horizonte</t>
        </is>
      </c>
      <c r="D7" s="36" t="inlineStr">
        <is>
          <t>Ana (você)</t>
        </is>
      </c>
      <c r="E7" s="37">
        <f>TODAY()+1</f>
        <v>46284.0</v>
      </c>
      <c r="F7" s="38" t="n">
        <v>3</v>
      </c>
      <c r="G7" s="38" t="n">
        <v>3</v>
      </c>
      <c r="H7" s="38" t="n">
        <v>3</v>
      </c>
      <c r="I7" s="36" t="inlineStr">
        <is>
          <t>A fazer</t>
        </is>
      </c>
      <c r="J7" s="24" t="str">
        <f>IF(B7="","",IF(F7*G7&gt;=6,"Alta",IF(F7*G7&gt;=3,"Média","Baixa")))</f>
        <v>Alta</v>
      </c>
      <c r="K7" s="23">
        <f>IF(OR(B7="",E7=""),"",E7-Config!$B$4)</f>
        <v>1</v>
      </c>
      <c r="L7" s="24" t="str">
        <f>IF(B7="","",IF(OR(I7="Feito",I7="Cancelado"),I7,IF(E7="","Sem prazo",IF(K7&lt;0,"Atrasada",IF(K7=0,"Hoje",IF(K7&lt;=6,"Esta semana","Depois"))))))</f>
        <v>Esta semana</v>
      </c>
      <c r="M7" s="39">
        <f>IF(OR(B7="",L7="Feito",L7="Cancelado",L7="Sem prazo",L7="Depois"),0,IF(L7="Atrasada",2000,IF(L7="Hoje",1500,500))+F7*G7*100+IF(K7&lt;0,MIN(-K7,30),10-K7)-ROW()/100000)</f>
        <v>1408.99993</v>
      </c>
      <c r="N7" s="36" t="inlineStr">
        <is>
          <t>Usar o modelo de 8 slides do kit</t>
        </is>
      </c>
    </row>
    <row r="8">
      <c r="A8" s="23">
        <f>IF(B8="","",ROW()-3)</f>
        <v>5</v>
      </c>
      <c r="B8" s="36" t="inlineStr">
        <is>
          <t>Atualizar planilha de leads</t>
        </is>
      </c>
      <c r="C8" s="36" t="inlineStr">
        <is>
          <t>Cliente Aurora</t>
        </is>
      </c>
      <c r="D8" s="36" t="inlineStr">
        <is>
          <t>Bruno</t>
        </is>
      </c>
      <c r="E8" s="37">
        <f>TODAY()+1</f>
        <v>46284.0</v>
      </c>
      <c r="F8" s="38" t="n">
        <v>2</v>
      </c>
      <c r="G8" s="38" t="n">
        <v>2</v>
      </c>
      <c r="H8" s="38" t="n">
        <v>1</v>
      </c>
      <c r="I8" s="36" t="inlineStr">
        <is>
          <t>Fazendo</t>
        </is>
      </c>
      <c r="J8" s="24" t="str">
        <f>IF(B8="","",IF(F8*G8&gt;=6,"Alta",IF(F8*G8&gt;=3,"Média","Baixa")))</f>
        <v>Média</v>
      </c>
      <c r="K8" s="23">
        <f>IF(OR(B8="",E8=""),"",E8-Config!$B$4)</f>
        <v>1</v>
      </c>
      <c r="L8" s="24" t="str">
        <f>IF(B8="","",IF(OR(I8="Feito",I8="Cancelado"),I8,IF(E8="","Sem prazo",IF(K8&lt;0,"Atrasada",IF(K8=0,"Hoje",IF(K8&lt;=6,"Esta semana","Depois"))))))</f>
        <v>Esta semana</v>
      </c>
      <c r="M8" s="39">
        <f>IF(OR(B8="",L8="Feito",L8="Cancelado",L8="Sem prazo",L8="Depois"),0,IF(L8="Atrasada",2000,IF(L8="Hoje",1500,500))+F8*G8*100+IF(K8&lt;0,MIN(-K8,30),10-K8)-ROW()/100000)</f>
        <v>908.99992</v>
      </c>
      <c r="N8" s="36" t="inlineStr"/>
    </row>
    <row r="9">
      <c r="A9" s="23">
        <f>IF(B9="","",ROW()-3)</f>
        <v>6</v>
      </c>
      <c r="B9" s="36" t="inlineStr">
        <is>
          <t>Aprovar arte do post de terça</t>
        </is>
      </c>
      <c r="C9" s="36" t="inlineStr">
        <is>
          <t>Cliente Horizonte</t>
        </is>
      </c>
      <c r="D9" s="36" t="inlineStr">
        <is>
          <t>Carla</t>
        </is>
      </c>
      <c r="E9" s="37">
        <f>TODAY()+1</f>
        <v>46284.0</v>
      </c>
      <c r="F9" s="38" t="n">
        <v>2</v>
      </c>
      <c r="G9" s="38" t="n">
        <v>3</v>
      </c>
      <c r="H9" s="38" t="n">
        <v>0.5</v>
      </c>
      <c r="I9" s="36" t="inlineStr">
        <is>
          <t>A fazer</t>
        </is>
      </c>
      <c r="J9" s="24" t="str">
        <f>IF(B9="","",IF(F9*G9&gt;=6,"Alta",IF(F9*G9&gt;=3,"Média","Baixa")))</f>
        <v>Alta</v>
      </c>
      <c r="K9" s="23">
        <f>IF(OR(B9="",E9=""),"",E9-Config!$B$4)</f>
        <v>1</v>
      </c>
      <c r="L9" s="24" t="str">
        <f>IF(B9="","",IF(OR(I9="Feito",I9="Cancelado"),I9,IF(E9="","Sem prazo",IF(K9&lt;0,"Atrasada",IF(K9=0,"Hoje",IF(K9&lt;=6,"Esta semana","Depois"))))))</f>
        <v>Esta semana</v>
      </c>
      <c r="M9" s="39">
        <f>IF(OR(B9="",L9="Feito",L9="Cancelado",L9="Sem prazo",L9="Depois"),0,IF(L9="Atrasada",2000,IF(L9="Hoje",1500,500))+F9*G9*100+IF(K9&lt;0,MIN(-K9,30),10-K9)-ROW()/100000)</f>
        <v>1108.99991</v>
      </c>
      <c r="N9" s="36" t="inlineStr"/>
    </row>
    <row r="10">
      <c r="A10" s="23">
        <f>IF(B10="","",ROW()-3)</f>
        <v>7</v>
      </c>
      <c r="B10" s="36" t="inlineStr">
        <is>
          <t>Reunião de alinhamento com o Bruno</t>
        </is>
      </c>
      <c r="C10" s="36" t="inlineStr">
        <is>
          <t>Interno</t>
        </is>
      </c>
      <c r="D10" s="36" t="inlineStr">
        <is>
          <t>Ana (você)</t>
        </is>
      </c>
      <c r="E10" s="37">
        <f>TODAY()+2</f>
        <v>46285.0</v>
      </c>
      <c r="F10" s="38" t="n">
        <v>2</v>
      </c>
      <c r="G10" s="38" t="n">
        <v>2</v>
      </c>
      <c r="H10" s="38" t="n">
        <v>1</v>
      </c>
      <c r="I10" s="36" t="inlineStr">
        <is>
          <t>A fazer</t>
        </is>
      </c>
      <c r="J10" s="24" t="str">
        <f>IF(B10="","",IF(F10*G10&gt;=6,"Alta",IF(F10*G10&gt;=3,"Média","Baixa")))</f>
        <v>Média</v>
      </c>
      <c r="K10" s="23">
        <f>IF(OR(B10="",E10=""),"",E10-Config!$B$4)</f>
        <v>2</v>
      </c>
      <c r="L10" s="24" t="str">
        <f>IF(B10="","",IF(OR(I10="Feito",I10="Cancelado"),I10,IF(E10="","Sem prazo",IF(K10&lt;0,"Atrasada",IF(K10=0,"Hoje",IF(K10&lt;=6,"Esta semana","Depois"))))))</f>
        <v>Esta semana</v>
      </c>
      <c r="M10" s="39">
        <f>IF(OR(B10="",L10="Feito",L10="Cancelado",L10="Sem prazo",L10="Depois"),0,IF(L10="Atrasada",2000,IF(L10="Hoje",1500,500))+F10*G10*100+IF(K10&lt;0,MIN(-K10,30),10-K10)-ROW()/100000)</f>
        <v>907.9999</v>
      </c>
      <c r="N10" s="36" t="inlineStr">
        <is>
          <t>14h</t>
        </is>
      </c>
    </row>
    <row r="11">
      <c r="A11" s="23">
        <f>IF(B11="","",ROW()-3)</f>
        <v>8</v>
      </c>
      <c r="B11" s="36" t="inlineStr">
        <is>
          <t>Fechar pauta de outubro</t>
        </is>
      </c>
      <c r="C11" s="36" t="inlineStr">
        <is>
          <t>Cliente Aurora</t>
        </is>
      </c>
      <c r="D11" s="36" t="inlineStr">
        <is>
          <t>Carla</t>
        </is>
      </c>
      <c r="E11" s="37">
        <f>TODAY()+3</f>
        <v>46286.0</v>
      </c>
      <c r="F11" s="38" t="n">
        <v>3</v>
      </c>
      <c r="G11" s="38" t="n">
        <v>2</v>
      </c>
      <c r="H11" s="38" t="n">
        <v>2</v>
      </c>
      <c r="I11" s="36" t="inlineStr">
        <is>
          <t>A fazer</t>
        </is>
      </c>
      <c r="J11" s="24" t="str">
        <f>IF(B11="","",IF(F11*G11&gt;=6,"Alta",IF(F11*G11&gt;=3,"Média","Baixa")))</f>
        <v>Alta</v>
      </c>
      <c r="K11" s="23">
        <f>IF(OR(B11="",E11=""),"",E11-Config!$B$4)</f>
        <v>3</v>
      </c>
      <c r="L11" s="24" t="str">
        <f>IF(B11="","",IF(OR(I11="Feito",I11="Cancelado"),I11,IF(E11="","Sem prazo",IF(K11&lt;0,"Atrasada",IF(K11=0,"Hoje",IF(K11&lt;=6,"Esta semana","Depois"))))))</f>
        <v>Esta semana</v>
      </c>
      <c r="M11" s="39">
        <f>IF(OR(B11="",L11="Feito",L11="Cancelado",L11="Sem prazo",L11="Depois"),0,IF(L11="Atrasada",2000,IF(L11="Hoje",1500,500))+F11*G11*100+IF(K11&lt;0,MIN(-K11,30),10-K11)-ROW()/100000)</f>
        <v>1106.99989</v>
      </c>
      <c r="N11" s="36" t="inlineStr"/>
    </row>
    <row r="12">
      <c r="A12" s="23">
        <f>IF(B12="","",ROW()-3)</f>
        <v>9</v>
      </c>
      <c r="B12" s="36" t="inlineStr">
        <is>
          <t>Conferir faturas dos fornecedores</t>
        </is>
      </c>
      <c r="C12" s="36" t="inlineStr">
        <is>
          <t>Interno</t>
        </is>
      </c>
      <c r="D12" s="36" t="inlineStr">
        <is>
          <t>Ana (você)</t>
        </is>
      </c>
      <c r="E12" s="37">
        <f>TODAY()+4</f>
        <v>46287.0</v>
      </c>
      <c r="F12" s="38" t="n">
        <v>2</v>
      </c>
      <c r="G12" s="38" t="n">
        <v>1</v>
      </c>
      <c r="H12" s="38" t="n">
        <v>1</v>
      </c>
      <c r="I12" s="36" t="inlineStr">
        <is>
          <t>A fazer</t>
        </is>
      </c>
      <c r="J12" s="24" t="str">
        <f>IF(B12="","",IF(F12*G12&gt;=6,"Alta",IF(F12*G12&gt;=3,"Média","Baixa")))</f>
        <v>Baixa</v>
      </c>
      <c r="K12" s="23">
        <f>IF(OR(B12="",E12=""),"",E12-Config!$B$4)</f>
        <v>4</v>
      </c>
      <c r="L12" s="24" t="str">
        <f>IF(B12="","",IF(OR(I12="Feito",I12="Cancelado"),I12,IF(E12="","Sem prazo",IF(K12&lt;0,"Atrasada",IF(K12=0,"Hoje",IF(K12&lt;=6,"Esta semana","Depois"))))))</f>
        <v>Esta semana</v>
      </c>
      <c r="M12" s="39">
        <f>IF(OR(B12="",L12="Feito",L12="Cancelado",L12="Sem prazo",L12="Depois"),0,IF(L12="Atrasada",2000,IF(L12="Hoje",1500,500))+F12*G12*100+IF(K12&lt;0,MIN(-K12,30),10-K12)-ROW()/100000)</f>
        <v>705.99988</v>
      </c>
      <c r="N12" s="36" t="inlineStr"/>
    </row>
    <row r="13">
      <c r="A13" s="23">
        <f>IF(B13="","",ROW()-3)</f>
        <v>10</v>
      </c>
      <c r="B13" s="36" t="inlineStr">
        <is>
          <t>Escrever e-mail de resultados para a Horizonte</t>
        </is>
      </c>
      <c r="C13" s="36" t="inlineStr">
        <is>
          <t>Cliente Horizonte</t>
        </is>
      </c>
      <c r="D13" s="36" t="inlineStr">
        <is>
          <t>Ana (você)</t>
        </is>
      </c>
      <c r="E13" s="37">
        <f>TODAY()+4</f>
        <v>46287.0</v>
      </c>
      <c r="F13" s="38" t="n">
        <v>3</v>
      </c>
      <c r="G13" s="38" t="n">
        <v>2</v>
      </c>
      <c r="H13" s="38" t="n">
        <v>1</v>
      </c>
      <c r="I13" s="36" t="inlineStr">
        <is>
          <t>A fazer</t>
        </is>
      </c>
      <c r="J13" s="24" t="str">
        <f>IF(B13="","",IF(F13*G13&gt;=6,"Alta",IF(F13*G13&gt;=3,"Média","Baixa")))</f>
        <v>Alta</v>
      </c>
      <c r="K13" s="23">
        <f>IF(OR(B13="",E13=""),"",E13-Config!$B$4)</f>
        <v>4</v>
      </c>
      <c r="L13" s="24" t="str">
        <f>IF(B13="","",IF(OR(I13="Feito",I13="Cancelado"),I13,IF(E13="","Sem prazo",IF(K13&lt;0,"Atrasada",IF(K13=0,"Hoje",IF(K13&lt;=6,"Esta semana","Depois"))))))</f>
        <v>Esta semana</v>
      </c>
      <c r="M13" s="39">
        <f>IF(OR(B13="",L13="Feito",L13="Cancelado",L13="Sem prazo",L13="Depois"),0,IF(L13="Atrasada",2000,IF(L13="Hoje",1500,500))+F13*G13*100+IF(K13&lt;0,MIN(-K13,30),10-K13)-ROW()/100000)</f>
        <v>1105.99987</v>
      </c>
      <c r="N13" s="36" t="inlineStr">
        <is>
          <t>Usar prompt Escrever 04</t>
        </is>
      </c>
    </row>
    <row r="14">
      <c r="A14" s="23">
        <f>IF(B14="","",ROW()-3)</f>
        <v>11</v>
      </c>
      <c r="B14" s="36" t="inlineStr">
        <is>
          <t>Organizar pasta de fotos do evento</t>
        </is>
      </c>
      <c r="C14" s="36" t="inlineStr">
        <is>
          <t>Interno</t>
        </is>
      </c>
      <c r="D14" s="36" t="inlineStr">
        <is>
          <t>Bruno</t>
        </is>
      </c>
      <c r="E14" s="37">
        <f>TODAY()+5</f>
        <v>46288.0</v>
      </c>
      <c r="F14" s="38" t="n">
        <v>1</v>
      </c>
      <c r="G14" s="38" t="n">
        <v>1</v>
      </c>
      <c r="H14" s="38" t="n">
        <v>2</v>
      </c>
      <c r="I14" s="36" t="inlineStr">
        <is>
          <t>A fazer</t>
        </is>
      </c>
      <c r="J14" s="24" t="str">
        <f>IF(B14="","",IF(F14*G14&gt;=6,"Alta",IF(F14*G14&gt;=3,"Média","Baixa")))</f>
        <v>Baixa</v>
      </c>
      <c r="K14" s="23">
        <f>IF(OR(B14="",E14=""),"",E14-Config!$B$4)</f>
        <v>5</v>
      </c>
      <c r="L14" s="24" t="str">
        <f>IF(B14="","",IF(OR(I14="Feito",I14="Cancelado"),I14,IF(E14="","Sem prazo",IF(K14&lt;0,"Atrasada",IF(K14=0,"Hoje",IF(K14&lt;=6,"Esta semana","Depois"))))))</f>
        <v>Esta semana</v>
      </c>
      <c r="M14" s="39">
        <f>IF(OR(B14="",L14="Feito",L14="Cancelado",L14="Sem prazo",L14="Depois"),0,IF(L14="Atrasada",2000,IF(L14="Hoje",1500,500))+F14*G14*100+IF(K14&lt;0,MIN(-K14,30),10-K14)-ROW()/100000)</f>
        <v>604.99986</v>
      </c>
      <c r="N14" s="36" t="inlineStr"/>
    </row>
    <row r="15">
      <c r="A15" s="23">
        <f>IF(B15="","",ROW()-3)</f>
        <v>12</v>
      </c>
      <c r="B15" s="36" t="inlineStr">
        <is>
          <t>Preparar orçamento do vídeo institucional</t>
        </is>
      </c>
      <c r="C15" s="36" t="inlineStr">
        <is>
          <t>Cliente Aurora</t>
        </is>
      </c>
      <c r="D15" s="36" t="inlineStr">
        <is>
          <t>Ana (você)</t>
        </is>
      </c>
      <c r="E15" s="37">
        <f>TODAY()+6</f>
        <v>46289.0</v>
      </c>
      <c r="F15" s="38" t="n">
        <v>3</v>
      </c>
      <c r="G15" s="38" t="n">
        <v>1</v>
      </c>
      <c r="H15" s="38" t="n">
        <v>2</v>
      </c>
      <c r="I15" s="36" t="inlineStr">
        <is>
          <t>A fazer</t>
        </is>
      </c>
      <c r="J15" s="24" t="str">
        <f>IF(B15="","",IF(F15*G15&gt;=6,"Alta",IF(F15*G15&gt;=3,"Média","Baixa")))</f>
        <v>Média</v>
      </c>
      <c r="K15" s="23">
        <f>IF(OR(B15="",E15=""),"",E15-Config!$B$4)</f>
        <v>6</v>
      </c>
      <c r="L15" s="24" t="str">
        <f>IF(B15="","",IF(OR(I15="Feito",I15="Cancelado"),I15,IF(E15="","Sem prazo",IF(K15&lt;0,"Atrasada",IF(K15=0,"Hoje",IF(K15&lt;=6,"Esta semana","Depois"))))))</f>
        <v>Esta semana</v>
      </c>
      <c r="M15" s="39">
        <f>IF(OR(B15="",L15="Feito",L15="Cancelado",L15="Sem prazo",L15="Depois"),0,IF(L15="Atrasada",2000,IF(L15="Hoje",1500,500))+F15*G15*100+IF(K15&lt;0,MIN(-K15,30),10-K15)-ROW()/100000)</f>
        <v>803.99985</v>
      </c>
      <c r="N15" s="36" t="inlineStr"/>
    </row>
    <row r="16">
      <c r="A16" s="23">
        <f>IF(B16="","",ROW()-3)</f>
        <v>13</v>
      </c>
      <c r="B16" s="36" t="inlineStr">
        <is>
          <t>Treinar estagiário na planilha de leads</t>
        </is>
      </c>
      <c r="C16" s="36" t="inlineStr">
        <is>
          <t>Interno</t>
        </is>
      </c>
      <c r="D16" s="36" t="inlineStr">
        <is>
          <t>Bruno</t>
        </is>
      </c>
      <c r="E16" s="37">
        <f>TODAY()+7</f>
        <v>46290.0</v>
      </c>
      <c r="F16" s="38" t="n">
        <v>2</v>
      </c>
      <c r="G16" s="38" t="n">
        <v>1</v>
      </c>
      <c r="H16" s="38" t="n">
        <v>1.5</v>
      </c>
      <c r="I16" s="36" t="inlineStr">
        <is>
          <t>A fazer</t>
        </is>
      </c>
      <c r="J16" s="24" t="str">
        <f>IF(B16="","",IF(F16*G16&gt;=6,"Alta",IF(F16*G16&gt;=3,"Média","Baixa")))</f>
        <v>Baixa</v>
      </c>
      <c r="K16" s="23">
        <f>IF(OR(B16="",E16=""),"",E16-Config!$B$4)</f>
        <v>7</v>
      </c>
      <c r="L16" s="24" t="str">
        <f>IF(B16="","",IF(OR(I16="Feito",I16="Cancelado"),I16,IF(E16="","Sem prazo",IF(K16&lt;0,"Atrasada",IF(K16=0,"Hoje",IF(K16&lt;=6,"Esta semana","Depois"))))))</f>
        <v>Depois</v>
      </c>
      <c r="M16" s="39">
        <f>IF(OR(B16="",L16="Feito",L16="Cancelado",L16="Sem prazo",L16="Depois"),0,IF(L16="Atrasada",2000,IF(L16="Hoje",1500,500))+F16*G16*100+IF(K16&lt;0,MIN(-K16,30),10-K16)-ROW()/100000)</f>
        <v>0</v>
      </c>
      <c r="N16" s="36" t="inlineStr"/>
    </row>
    <row r="17">
      <c r="A17" s="23">
        <f>IF(B17="","",ROW()-3)</f>
        <v>14</v>
      </c>
      <c r="B17" s="36" t="inlineStr">
        <is>
          <t>Relatório de mídia de agosto</t>
        </is>
      </c>
      <c r="C17" s="36" t="inlineStr">
        <is>
          <t>Relatório mensal</t>
        </is>
      </c>
      <c r="D17" s="36" t="inlineStr">
        <is>
          <t>Ana (você)</t>
        </is>
      </c>
      <c r="E17" s="37">
        <f>TODAY()-9</f>
        <v>46274.0</v>
      </c>
      <c r="F17" s="38" t="n">
        <v>3</v>
      </c>
      <c r="G17" s="38" t="n">
        <v>3</v>
      </c>
      <c r="H17" s="38" t="n">
        <v>3</v>
      </c>
      <c r="I17" s="36" t="inlineStr">
        <is>
          <t>Feito</t>
        </is>
      </c>
      <c r="J17" s="24" t="str">
        <f>IF(B17="","",IF(F17*G17&gt;=6,"Alta",IF(F17*G17&gt;=3,"Média","Baixa")))</f>
        <v>Alta</v>
      </c>
      <c r="K17" s="23">
        <f>IF(OR(B17="",E17=""),"",E17-Config!$B$4)</f>
        <v>-9</v>
      </c>
      <c r="L17" s="24" t="str">
        <f>IF(B17="","",IF(OR(I17="Feito",I17="Cancelado"),I17,IF(E17="","Sem prazo",IF(K17&lt;0,"Atrasada",IF(K17=0,"Hoje",IF(K17&lt;=6,"Esta semana","Depois"))))))</f>
        <v>Feito</v>
      </c>
      <c r="M17" s="39">
        <f>IF(OR(B17="",L17="Feito",L17="Cancelado",L17="Sem prazo",L17="Depois"),0,IF(L17="Atrasada",2000,IF(L17="Hoje",1500,500))+F17*G17*100+IF(K17&lt;0,MIN(-K17,30),10-K17)-ROW()/100000)</f>
        <v>0</v>
      </c>
      <c r="N17" s="36" t="inlineStr"/>
    </row>
    <row r="18">
      <c r="A18" s="23">
        <f>IF(B18="","",ROW()-3)</f>
        <v>15</v>
      </c>
      <c r="B18" s="36" t="inlineStr">
        <is>
          <t>Renovar domínio do site</t>
        </is>
      </c>
      <c r="C18" s="36" t="inlineStr">
        <is>
          <t>Interno</t>
        </is>
      </c>
      <c r="D18" s="36" t="inlineStr">
        <is>
          <t>Carla</t>
        </is>
      </c>
      <c r="E18" s="37">
        <f>TODAY()+10</f>
        <v>46293.0</v>
      </c>
      <c r="F18" s="38" t="n">
        <v>2</v>
      </c>
      <c r="G18" s="38" t="n">
        <v>1</v>
      </c>
      <c r="H18" s="38" t="n">
        <v>0.5</v>
      </c>
      <c r="I18" s="36" t="inlineStr">
        <is>
          <t>A fazer</t>
        </is>
      </c>
      <c r="J18" s="24" t="str">
        <f>IF(B18="","",IF(F18*G18&gt;=6,"Alta",IF(F18*G18&gt;=3,"Média","Baixa")))</f>
        <v>Baixa</v>
      </c>
      <c r="K18" s="23">
        <f>IF(OR(B18="",E18=""),"",E18-Config!$B$4)</f>
        <v>10</v>
      </c>
      <c r="L18" s="24" t="str">
        <f>IF(B18="","",IF(OR(I18="Feito",I18="Cancelado"),I18,IF(E18="","Sem prazo",IF(K18&lt;0,"Atrasada",IF(K18=0,"Hoje",IF(K18&lt;=6,"Esta semana","Depois"))))))</f>
        <v>Depois</v>
      </c>
      <c r="M18" s="39">
        <f>IF(OR(B18="",L18="Feito",L18="Cancelado",L18="Sem prazo",L18="Depois"),0,IF(L18="Atrasada",2000,IF(L18="Hoje",1500,500))+F18*G18*100+IF(K18&lt;0,MIN(-K18,30),10-K18)-ROW()/100000)</f>
        <v>0</v>
      </c>
      <c r="N18" s="36" t="inlineStr"/>
    </row>
    <row r="19">
      <c r="A19" s="23">
        <f>IF(B19="","",ROW()-3)</f>
        <v>16</v>
      </c>
      <c r="B19" s="36" t="inlineStr">
        <is>
          <t>Pesquisar concorrentes da Horizonte</t>
        </is>
      </c>
      <c r="C19" s="36" t="inlineStr">
        <is>
          <t>Cliente Horizonte</t>
        </is>
      </c>
      <c r="D19" s="36" t="inlineStr">
        <is>
          <t>Bruno</t>
        </is>
      </c>
      <c r="E19" s="37">
        <f>TODAY()+13</f>
        <v>46296.0</v>
      </c>
      <c r="F19" s="38" t="n">
        <v>2</v>
      </c>
      <c r="G19" s="38" t="n">
        <v>2</v>
      </c>
      <c r="H19" s="38" t="n">
        <v>4</v>
      </c>
      <c r="I19" s="36" t="inlineStr">
        <is>
          <t>A fazer</t>
        </is>
      </c>
      <c r="J19" s="24" t="str">
        <f>IF(B19="","",IF(F19*G19&gt;=6,"Alta",IF(F19*G19&gt;=3,"Média","Baixa")))</f>
        <v>Média</v>
      </c>
      <c r="K19" s="23">
        <f>IF(OR(B19="",E19=""),"",E19-Config!$B$4)</f>
        <v>13</v>
      </c>
      <c r="L19" s="24" t="str">
        <f>IF(B19="","",IF(OR(I19="Feito",I19="Cancelado"),I19,IF(E19="","Sem prazo",IF(K19&lt;0,"Atrasada",IF(K19=0,"Hoje",IF(K19&lt;=6,"Esta semana","Depois"))))))</f>
        <v>Depois</v>
      </c>
      <c r="M19" s="39">
        <f>IF(OR(B19="",L19="Feito",L19="Cancelado",L19="Sem prazo",L19="Depois"),0,IF(L19="Atrasada",2000,IF(L19="Hoje",1500,500))+F19*G19*100+IF(K19&lt;0,MIN(-K19,30),10-K19)-ROW()/100000)</f>
        <v>0</v>
      </c>
      <c r="N19" s="36" t="inlineStr"/>
    </row>
    <row r="20">
      <c r="A20" s="23">
        <f>IF(B20="","",ROW()-3)</f>
        <v>17</v>
      </c>
      <c r="B20" s="36" t="inlineStr">
        <is>
          <t>Briefing da campanha de fim de ano</t>
        </is>
      </c>
      <c r="C20" s="36" t="inlineStr">
        <is>
          <t>Cliente Aurora</t>
        </is>
      </c>
      <c r="D20" s="36" t="inlineStr">
        <is>
          <t>Ana (você)</t>
        </is>
      </c>
      <c r="E20" s="37">
        <f>TODAY()+16</f>
        <v>46299.0</v>
      </c>
      <c r="F20" s="38" t="n">
        <v>3</v>
      </c>
      <c r="G20" s="38" t="n">
        <v>1</v>
      </c>
      <c r="H20" s="38" t="n">
        <v>2</v>
      </c>
      <c r="I20" s="36" t="inlineStr">
        <is>
          <t>A fazer</t>
        </is>
      </c>
      <c r="J20" s="24" t="str">
        <f>IF(B20="","",IF(F20*G20&gt;=6,"Alta",IF(F20*G20&gt;=3,"Média","Baixa")))</f>
        <v>Média</v>
      </c>
      <c r="K20" s="23">
        <f>IF(OR(B20="",E20=""),"",E20-Config!$B$4)</f>
        <v>16</v>
      </c>
      <c r="L20" s="24" t="str">
        <f>IF(B20="","",IF(OR(I20="Feito",I20="Cancelado"),I20,IF(E20="","Sem prazo",IF(K20&lt;0,"Atrasada",IF(K20=0,"Hoje",IF(K20&lt;=6,"Esta semana","Depois"))))))</f>
        <v>Depois</v>
      </c>
      <c r="M20" s="39">
        <f>IF(OR(B20="",L20="Feito",L20="Cancelado",L20="Sem prazo",L20="Depois"),0,IF(L20="Atrasada",2000,IF(L20="Hoje",1500,500))+F20*G20*100+IF(K20&lt;0,MIN(-K20,30),10-K20)-ROW()/100000)</f>
        <v>0</v>
      </c>
      <c r="N20" s="36" t="inlineStr"/>
    </row>
    <row r="21">
      <c r="A21" s="23">
        <f>IF(B21="","",ROW()-3)</f>
        <v>18</v>
      </c>
      <c r="B21" s="36" t="inlineStr">
        <is>
          <t>Post sobre lançamento cancelado</t>
        </is>
      </c>
      <c r="C21" s="36" t="inlineStr">
        <is>
          <t>Cliente Horizonte</t>
        </is>
      </c>
      <c r="D21" s="36" t="inlineStr">
        <is>
          <t>Carla</t>
        </is>
      </c>
      <c r="E21" s="37">
        <f>TODAY()-3</f>
        <v>46280.0</v>
      </c>
      <c r="F21" s="38" t="n">
        <v>1</v>
      </c>
      <c r="G21" s="38" t="n">
        <v>2</v>
      </c>
      <c r="H21" s="38" t="n">
        <v>1</v>
      </c>
      <c r="I21" s="36" t="inlineStr">
        <is>
          <t>Cancelado</t>
        </is>
      </c>
      <c r="J21" s="24" t="str">
        <f>IF(B21="","",IF(F21*G21&gt;=6,"Alta",IF(F21*G21&gt;=3,"Média","Baixa")))</f>
        <v>Baixa</v>
      </c>
      <c r="K21" s="23">
        <f>IF(OR(B21="",E21=""),"",E21-Config!$B$4)</f>
        <v>-3</v>
      </c>
      <c r="L21" s="24" t="str">
        <f>IF(B21="","",IF(OR(I21="Feito",I21="Cancelado"),I21,IF(E21="","Sem prazo",IF(K21&lt;0,"Atrasada",IF(K21=0,"Hoje",IF(K21&lt;=6,"Esta semana","Depois"))))))</f>
        <v>Cancelado</v>
      </c>
      <c r="M21" s="39">
        <f>IF(OR(B21="",L21="Feito",L21="Cancelado",L21="Sem prazo",L21="Depois"),0,IF(L21="Atrasada",2000,IF(L21="Hoje",1500,500))+F21*G21*100+IF(K21&lt;0,MIN(-K21,30),10-K21)-ROW()/100000)</f>
        <v>0</v>
      </c>
      <c r="N21" s="36" t="inlineStr">
        <is>
          <t>Cliente adiou o lançamento</t>
        </is>
      </c>
    </row>
    <row r="22">
      <c r="A22" s="23">
        <f>IF(B22="","",ROW()-3)</f>
        <v>19</v>
      </c>
      <c r="B22" s="36" t="inlineStr">
        <is>
          <t>Revisar contrato de prestação de serviço</t>
        </is>
      </c>
      <c r="C22" s="36" t="inlineStr">
        <is>
          <t>Interno</t>
        </is>
      </c>
      <c r="D22" s="36" t="inlineStr">
        <is>
          <t>Ana (você)</t>
        </is>
      </c>
      <c r="E22" s="37" t="n"/>
      <c r="F22" s="38" t="n">
        <v>2</v>
      </c>
      <c r="G22" s="38" t="n">
        <v>1</v>
      </c>
      <c r="H22" s="38" t="n">
        <v>1</v>
      </c>
      <c r="I22" s="36" t="inlineStr">
        <is>
          <t>A fazer</t>
        </is>
      </c>
      <c r="J22" s="24" t="str">
        <f>IF(B22="","",IF(F22*G22&gt;=6,"Alta",IF(F22*G22&gt;=3,"Média","Baixa")))</f>
        <v>Baixa</v>
      </c>
      <c r="K22" s="23">
        <f>IF(OR(B22="",E22=""),"",E22-Config!$B$4)</f>
        <v/>
      </c>
      <c r="L22" s="24" t="str">
        <f>IF(B22="","",IF(OR(I22="Feito",I22="Cancelado"),I22,IF(E22="","Sem prazo",IF(K22&lt;0,"Atrasada",IF(K22=0,"Hoje",IF(K22&lt;=6,"Esta semana","Depois"))))))</f>
        <v>Sem prazo</v>
      </c>
      <c r="M22" s="39">
        <f>IF(OR(B22="",L22="Feito",L22="Cancelado",L22="Sem prazo",L22="Depois"),0,IF(L22="Atrasada",2000,IF(L22="Hoje",1500,500))+F22*G22*100+IF(K22&lt;0,MIN(-K22,30),10-K22)-ROW()/100000)</f>
        <v>0</v>
      </c>
      <c r="N22" s="36" t="inlineStr">
        <is>
          <t>Sem prazo definido ainda</t>
        </is>
      </c>
    </row>
    <row r="23">
      <c r="A23" s="23">
        <f>IF(B23="","",ROW()-3)</f>
        <v>20</v>
      </c>
      <c r="B23" s="36" t="inlineStr">
        <is>
          <t>Backup mensal dos arquivos</t>
        </is>
      </c>
      <c r="C23" s="36" t="inlineStr">
        <is>
          <t>Interno</t>
        </is>
      </c>
      <c r="D23" s="36" t="inlineStr">
        <is>
          <t>Bruno</t>
        </is>
      </c>
      <c r="E23" s="37">
        <f>TODAY()-6</f>
        <v>46277.0</v>
      </c>
      <c r="F23" s="38" t="n">
        <v>2</v>
      </c>
      <c r="G23" s="38" t="n">
        <v>2</v>
      </c>
      <c r="H23" s="38" t="n">
        <v>1</v>
      </c>
      <c r="I23" s="36" t="inlineStr">
        <is>
          <t>Feito</t>
        </is>
      </c>
      <c r="J23" s="24" t="str">
        <f>IF(B23="","",IF(F23*G23&gt;=6,"Alta",IF(F23*G23&gt;=3,"Média","Baixa")))</f>
        <v>Média</v>
      </c>
      <c r="K23" s="23">
        <f>IF(OR(B23="",E23=""),"",E23-Config!$B$4)</f>
        <v>-6</v>
      </c>
      <c r="L23" s="24" t="str">
        <f>IF(B23="","",IF(OR(I23="Feito",I23="Cancelado"),I23,IF(E23="","Sem prazo",IF(K23&lt;0,"Atrasada",IF(K23=0,"Hoje",IF(K23&lt;=6,"Esta semana","Depois"))))))</f>
        <v>Feito</v>
      </c>
      <c r="M23" s="39">
        <f>IF(OR(B23="",L23="Feito",L23="Cancelado",L23="Sem prazo",L23="Depois"),0,IF(L23="Atrasada",2000,IF(L23="Hoje",1500,500))+F23*G23*100+IF(K23&lt;0,MIN(-K23,30),10-K23)-ROW()/100000)</f>
        <v>0</v>
      </c>
      <c r="N23" s="36" t="inlineStr"/>
    </row>
    <row r="24">
      <c r="A24" s="23">
        <f>IF(B24="","",ROW()-3)</f>
        <v/>
      </c>
      <c r="B24" s="36" t="n"/>
      <c r="C24" s="36" t="n"/>
      <c r="D24" s="36" t="n"/>
      <c r="E24" s="37" t="n"/>
      <c r="F24" s="38" t="n"/>
      <c r="G24" s="38" t="n"/>
      <c r="H24" s="38" t="n"/>
      <c r="I24" s="36" t="n"/>
      <c r="J24" s="24">
        <f>IF(B24="","",IF(F24*G24&gt;=6,"Alta",IF(F24*G24&gt;=3,"Média","Baixa")))</f>
        <v/>
      </c>
      <c r="K24" s="23">
        <f>IF(OR(B24="",E24=""),"",E24-Config!$B$4)</f>
        <v/>
      </c>
      <c r="L24" s="24">
        <f>IF(B24="","",IF(OR(I24="Feito",I24="Cancelado"),I24,IF(E24="","Sem prazo",IF(K24&lt;0,"Atrasada",IF(K24=0,"Hoje",IF(K24&lt;=6,"Esta semana","Depois"))))))</f>
        <v/>
      </c>
      <c r="M24" s="39">
        <f>IF(OR(B24="",L24="Feito",L24="Cancelado",L24="Sem prazo",L24="Depois"),0,IF(L24="Atrasada",2000,IF(L24="Hoje",1500,500))+F24*G24*100+IF(K24&lt;0,MIN(-K24,30),10-K24)-ROW()/100000)</f>
        <v>0</v>
      </c>
      <c r="N24" s="36" t="n"/>
    </row>
    <row r="25">
      <c r="A25" s="23">
        <f>IF(B25="","",ROW()-3)</f>
        <v/>
      </c>
      <c r="B25" s="36" t="n"/>
      <c r="C25" s="36" t="n"/>
      <c r="D25" s="36" t="n"/>
      <c r="E25" s="37" t="n"/>
      <c r="F25" s="38" t="n"/>
      <c r="G25" s="38" t="n"/>
      <c r="H25" s="38" t="n"/>
      <c r="I25" s="36" t="n"/>
      <c r="J25" s="24">
        <f>IF(B25="","",IF(F25*G25&gt;=6,"Alta",IF(F25*G25&gt;=3,"Média","Baixa")))</f>
        <v/>
      </c>
      <c r="K25" s="23">
        <f>IF(OR(B25="",E25=""),"",E25-Config!$B$4)</f>
        <v/>
      </c>
      <c r="L25" s="24">
        <f>IF(B25="","",IF(OR(I25="Feito",I25="Cancelado"),I25,IF(E25="","Sem prazo",IF(K25&lt;0,"Atrasada",IF(K25=0,"Hoje",IF(K25&lt;=6,"Esta semana","Depois"))))))</f>
        <v/>
      </c>
      <c r="M25" s="39">
        <f>IF(OR(B25="",L25="Feito",L25="Cancelado",L25="Sem prazo",L25="Depois"),0,IF(L25="Atrasada",2000,IF(L25="Hoje",1500,500))+F25*G25*100+IF(K25&lt;0,MIN(-K25,30),10-K25)-ROW()/100000)</f>
        <v>0</v>
      </c>
      <c r="N25" s="36" t="n"/>
    </row>
    <row r="26">
      <c r="A26" s="23">
        <f>IF(B26="","",ROW()-3)</f>
        <v/>
      </c>
      <c r="B26" s="36" t="n"/>
      <c r="C26" s="36" t="n"/>
      <c r="D26" s="36" t="n"/>
      <c r="E26" s="37" t="n"/>
      <c r="F26" s="38" t="n"/>
      <c r="G26" s="38" t="n"/>
      <c r="H26" s="38" t="n"/>
      <c r="I26" s="36" t="n"/>
      <c r="J26" s="24">
        <f>IF(B26="","",IF(F26*G26&gt;=6,"Alta",IF(F26*G26&gt;=3,"Média","Baixa")))</f>
        <v/>
      </c>
      <c r="K26" s="23">
        <f>IF(OR(B26="",E26=""),"",E26-Config!$B$4)</f>
        <v/>
      </c>
      <c r="L26" s="24">
        <f>IF(B26="","",IF(OR(I26="Feito",I26="Cancelado"),I26,IF(E26="","Sem prazo",IF(K26&lt;0,"Atrasada",IF(K26=0,"Hoje",IF(K26&lt;=6,"Esta semana","Depois"))))))</f>
        <v/>
      </c>
      <c r="M26" s="39">
        <f>IF(OR(B26="",L26="Feito",L26="Cancelado",L26="Sem prazo",L26="Depois"),0,IF(L26="Atrasada",2000,IF(L26="Hoje",1500,500))+F26*G26*100+IF(K26&lt;0,MIN(-K26,30),10-K26)-ROW()/100000)</f>
        <v>0</v>
      </c>
      <c r="N26" s="36" t="n"/>
    </row>
    <row r="27">
      <c r="A27" s="23">
        <f>IF(B27="","",ROW()-3)</f>
        <v/>
      </c>
      <c r="B27" s="36" t="n"/>
      <c r="C27" s="36" t="n"/>
      <c r="D27" s="36" t="n"/>
      <c r="E27" s="37" t="n"/>
      <c r="F27" s="38" t="n"/>
      <c r="G27" s="38" t="n"/>
      <c r="H27" s="38" t="n"/>
      <c r="I27" s="36" t="n"/>
      <c r="J27" s="24">
        <f>IF(B27="","",IF(F27*G27&gt;=6,"Alta",IF(F27*G27&gt;=3,"Média","Baixa")))</f>
        <v/>
      </c>
      <c r="K27" s="23">
        <f>IF(OR(B27="",E27=""),"",E27-Config!$B$4)</f>
        <v/>
      </c>
      <c r="L27" s="24">
        <f>IF(B27="","",IF(OR(I27="Feito",I27="Cancelado"),I27,IF(E27="","Sem prazo",IF(K27&lt;0,"Atrasada",IF(K27=0,"Hoje",IF(K27&lt;=6,"Esta semana","Depois"))))))</f>
        <v/>
      </c>
      <c r="M27" s="39">
        <f>IF(OR(B27="",L27="Feito",L27="Cancelado",L27="Sem prazo",L27="Depois"),0,IF(L27="Atrasada",2000,IF(L27="Hoje",1500,500))+F27*G27*100+IF(K27&lt;0,MIN(-K27,30),10-K27)-ROW()/100000)</f>
        <v>0</v>
      </c>
      <c r="N27" s="36" t="n"/>
    </row>
    <row r="28">
      <c r="A28" s="23">
        <f>IF(B28="","",ROW()-3)</f>
        <v/>
      </c>
      <c r="B28" s="36" t="n"/>
      <c r="C28" s="36" t="n"/>
      <c r="D28" s="36" t="n"/>
      <c r="E28" s="37" t="n"/>
      <c r="F28" s="38" t="n"/>
      <c r="G28" s="38" t="n"/>
      <c r="H28" s="38" t="n"/>
      <c r="I28" s="36" t="n"/>
      <c r="J28" s="24">
        <f>IF(B28="","",IF(F28*G28&gt;=6,"Alta",IF(F28*G28&gt;=3,"Média","Baixa")))</f>
        <v/>
      </c>
      <c r="K28" s="23">
        <f>IF(OR(B28="",E28=""),"",E28-Config!$B$4)</f>
        <v/>
      </c>
      <c r="L28" s="24">
        <f>IF(B28="","",IF(OR(I28="Feito",I28="Cancelado"),I28,IF(E28="","Sem prazo",IF(K28&lt;0,"Atrasada",IF(K28=0,"Hoje",IF(K28&lt;=6,"Esta semana","Depois"))))))</f>
        <v/>
      </c>
      <c r="M28" s="39">
        <f>IF(OR(B28="",L28="Feito",L28="Cancelado",L28="Sem prazo",L28="Depois"),0,IF(L28="Atrasada",2000,IF(L28="Hoje",1500,500))+F28*G28*100+IF(K28&lt;0,MIN(-K28,30),10-K28)-ROW()/100000)</f>
        <v>0</v>
      </c>
      <c r="N28" s="36" t="n"/>
    </row>
    <row r="29">
      <c r="A29" s="23">
        <f>IF(B29="","",ROW()-3)</f>
        <v/>
      </c>
      <c r="B29" s="36" t="n"/>
      <c r="C29" s="36" t="n"/>
      <c r="D29" s="36" t="n"/>
      <c r="E29" s="37" t="n"/>
      <c r="F29" s="38" t="n"/>
      <c r="G29" s="38" t="n"/>
      <c r="H29" s="38" t="n"/>
      <c r="I29" s="36" t="n"/>
      <c r="J29" s="24">
        <f>IF(B29="","",IF(F29*G29&gt;=6,"Alta",IF(F29*G29&gt;=3,"Média","Baixa")))</f>
        <v/>
      </c>
      <c r="K29" s="23">
        <f>IF(OR(B29="",E29=""),"",E29-Config!$B$4)</f>
        <v/>
      </c>
      <c r="L29" s="24">
        <f>IF(B29="","",IF(OR(I29="Feito",I29="Cancelado"),I29,IF(E29="","Sem prazo",IF(K29&lt;0,"Atrasada",IF(K29=0,"Hoje",IF(K29&lt;=6,"Esta semana","Depois"))))))</f>
        <v/>
      </c>
      <c r="M29" s="39">
        <f>IF(OR(B29="",L29="Feito",L29="Cancelado",L29="Sem prazo",L29="Depois"),0,IF(L29="Atrasada",2000,IF(L29="Hoje",1500,500))+F29*G29*100+IF(K29&lt;0,MIN(-K29,30),10-K29)-ROW()/100000)</f>
        <v>0</v>
      </c>
      <c r="N29" s="36" t="n"/>
    </row>
    <row r="30">
      <c r="A30" s="23">
        <f>IF(B30="","",ROW()-3)</f>
        <v/>
      </c>
      <c r="B30" s="36" t="n"/>
      <c r="C30" s="36" t="n"/>
      <c r="D30" s="36" t="n"/>
      <c r="E30" s="37" t="n"/>
      <c r="F30" s="38" t="n"/>
      <c r="G30" s="38" t="n"/>
      <c r="H30" s="38" t="n"/>
      <c r="I30" s="36" t="n"/>
      <c r="J30" s="24">
        <f>IF(B30="","",IF(F30*G30&gt;=6,"Alta",IF(F30*G30&gt;=3,"Média","Baixa")))</f>
        <v/>
      </c>
      <c r="K30" s="23">
        <f>IF(OR(B30="",E30=""),"",E30-Config!$B$4)</f>
        <v/>
      </c>
      <c r="L30" s="24">
        <f>IF(B30="","",IF(OR(I30="Feito",I30="Cancelado"),I30,IF(E30="","Sem prazo",IF(K30&lt;0,"Atrasada",IF(K30=0,"Hoje",IF(K30&lt;=6,"Esta semana","Depois"))))))</f>
        <v/>
      </c>
      <c r="M30" s="39">
        <f>IF(OR(B30="",L30="Feito",L30="Cancelado",L30="Sem prazo",L30="Depois"),0,IF(L30="Atrasada",2000,IF(L30="Hoje",1500,500))+F30*G30*100+IF(K30&lt;0,MIN(-K30,30),10-K30)-ROW()/100000)</f>
        <v>0</v>
      </c>
      <c r="N30" s="36" t="n"/>
    </row>
    <row r="31">
      <c r="A31" s="23">
        <f>IF(B31="","",ROW()-3)</f>
        <v/>
      </c>
      <c r="B31" s="36" t="n"/>
      <c r="C31" s="36" t="n"/>
      <c r="D31" s="36" t="n"/>
      <c r="E31" s="37" t="n"/>
      <c r="F31" s="38" t="n"/>
      <c r="G31" s="38" t="n"/>
      <c r="H31" s="38" t="n"/>
      <c r="I31" s="36" t="n"/>
      <c r="J31" s="24">
        <f>IF(B31="","",IF(F31*G31&gt;=6,"Alta",IF(F31*G31&gt;=3,"Média","Baixa")))</f>
        <v/>
      </c>
      <c r="K31" s="23">
        <f>IF(OR(B31="",E31=""),"",E31-Config!$B$4)</f>
        <v/>
      </c>
      <c r="L31" s="24">
        <f>IF(B31="","",IF(OR(I31="Feito",I31="Cancelado"),I31,IF(E31="","Sem prazo",IF(K31&lt;0,"Atrasada",IF(K31=0,"Hoje",IF(K31&lt;=6,"Esta semana","Depois"))))))</f>
        <v/>
      </c>
      <c r="M31" s="39">
        <f>IF(OR(B31="",L31="Feito",L31="Cancelado",L31="Sem prazo",L31="Depois"),0,IF(L31="Atrasada",2000,IF(L31="Hoje",1500,500))+F31*G31*100+IF(K31&lt;0,MIN(-K31,30),10-K31)-ROW()/100000)</f>
        <v>0</v>
      </c>
      <c r="N31" s="36" t="n"/>
    </row>
    <row r="32">
      <c r="A32" s="23">
        <f>IF(B32="","",ROW()-3)</f>
        <v/>
      </c>
      <c r="B32" s="36" t="n"/>
      <c r="C32" s="36" t="n"/>
      <c r="D32" s="36" t="n"/>
      <c r="E32" s="37" t="n"/>
      <c r="F32" s="38" t="n"/>
      <c r="G32" s="38" t="n"/>
      <c r="H32" s="38" t="n"/>
      <c r="I32" s="36" t="n"/>
      <c r="J32" s="24">
        <f>IF(B32="","",IF(F32*G32&gt;=6,"Alta",IF(F32*G32&gt;=3,"Média","Baixa")))</f>
        <v/>
      </c>
      <c r="K32" s="23">
        <f>IF(OR(B32="",E32=""),"",E32-Config!$B$4)</f>
        <v/>
      </c>
      <c r="L32" s="24">
        <f>IF(B32="","",IF(OR(I32="Feito",I32="Cancelado"),I32,IF(E32="","Sem prazo",IF(K32&lt;0,"Atrasada",IF(K32=0,"Hoje",IF(K32&lt;=6,"Esta semana","Depois"))))))</f>
        <v/>
      </c>
      <c r="M32" s="39">
        <f>IF(OR(B32="",L32="Feito",L32="Cancelado",L32="Sem prazo",L32="Depois"),0,IF(L32="Atrasada",2000,IF(L32="Hoje",1500,500))+F32*G32*100+IF(K32&lt;0,MIN(-K32,30),10-K32)-ROW()/100000)</f>
        <v>0</v>
      </c>
      <c r="N32" s="36" t="n"/>
    </row>
    <row r="33">
      <c r="A33" s="23">
        <f>IF(B33="","",ROW()-3)</f>
        <v/>
      </c>
      <c r="B33" s="36" t="n"/>
      <c r="C33" s="36" t="n"/>
      <c r="D33" s="36" t="n"/>
      <c r="E33" s="37" t="n"/>
      <c r="F33" s="38" t="n"/>
      <c r="G33" s="38" t="n"/>
      <c r="H33" s="38" t="n"/>
      <c r="I33" s="36" t="n"/>
      <c r="J33" s="24">
        <f>IF(B33="","",IF(F33*G33&gt;=6,"Alta",IF(F33*G33&gt;=3,"Média","Baixa")))</f>
        <v/>
      </c>
      <c r="K33" s="23">
        <f>IF(OR(B33="",E33=""),"",E33-Config!$B$4)</f>
        <v/>
      </c>
      <c r="L33" s="24">
        <f>IF(B33="","",IF(OR(I33="Feito",I33="Cancelado"),I33,IF(E33="","Sem prazo",IF(K33&lt;0,"Atrasada",IF(K33=0,"Hoje",IF(K33&lt;=6,"Esta semana","Depois"))))))</f>
        <v/>
      </c>
      <c r="M33" s="39">
        <f>IF(OR(B33="",L33="Feito",L33="Cancelado",L33="Sem prazo",L33="Depois"),0,IF(L33="Atrasada",2000,IF(L33="Hoje",1500,500))+F33*G33*100+IF(K33&lt;0,MIN(-K33,30),10-K33)-ROW()/100000)</f>
        <v>0</v>
      </c>
      <c r="N33" s="36" t="n"/>
    </row>
    <row r="34">
      <c r="A34" s="23">
        <f>IF(B34="","",ROW()-3)</f>
        <v/>
      </c>
      <c r="B34" s="36" t="n"/>
      <c r="C34" s="36" t="n"/>
      <c r="D34" s="36" t="n"/>
      <c r="E34" s="37" t="n"/>
      <c r="F34" s="38" t="n"/>
      <c r="G34" s="38" t="n"/>
      <c r="H34" s="38" t="n"/>
      <c r="I34" s="36" t="n"/>
      <c r="J34" s="24">
        <f>IF(B34="","",IF(F34*G34&gt;=6,"Alta",IF(F34*G34&gt;=3,"Média","Baixa")))</f>
        <v/>
      </c>
      <c r="K34" s="23">
        <f>IF(OR(B34="",E34=""),"",E34-Config!$B$4)</f>
        <v/>
      </c>
      <c r="L34" s="24">
        <f>IF(B34="","",IF(OR(I34="Feito",I34="Cancelado"),I34,IF(E34="","Sem prazo",IF(K34&lt;0,"Atrasada",IF(K34=0,"Hoje",IF(K34&lt;=6,"Esta semana","Depois"))))))</f>
        <v/>
      </c>
      <c r="M34" s="39">
        <f>IF(OR(B34="",L34="Feito",L34="Cancelado",L34="Sem prazo",L34="Depois"),0,IF(L34="Atrasada",2000,IF(L34="Hoje",1500,500))+F34*G34*100+IF(K34&lt;0,MIN(-K34,30),10-K34)-ROW()/100000)</f>
        <v>0</v>
      </c>
      <c r="N34" s="36" t="n"/>
    </row>
    <row r="35">
      <c r="A35" s="23">
        <f>IF(B35="","",ROW()-3)</f>
        <v/>
      </c>
      <c r="B35" s="36" t="n"/>
      <c r="C35" s="36" t="n"/>
      <c r="D35" s="36" t="n"/>
      <c r="E35" s="37" t="n"/>
      <c r="F35" s="38" t="n"/>
      <c r="G35" s="38" t="n"/>
      <c r="H35" s="38" t="n"/>
      <c r="I35" s="36" t="n"/>
      <c r="J35" s="24">
        <f>IF(B35="","",IF(F35*G35&gt;=6,"Alta",IF(F35*G35&gt;=3,"Média","Baixa")))</f>
        <v/>
      </c>
      <c r="K35" s="23">
        <f>IF(OR(B35="",E35=""),"",E35-Config!$B$4)</f>
        <v/>
      </c>
      <c r="L35" s="24">
        <f>IF(B35="","",IF(OR(I35="Feito",I35="Cancelado"),I35,IF(E35="","Sem prazo",IF(K35&lt;0,"Atrasada",IF(K35=0,"Hoje",IF(K35&lt;=6,"Esta semana","Depois"))))))</f>
        <v/>
      </c>
      <c r="M35" s="39">
        <f>IF(OR(B35="",L35="Feito",L35="Cancelado",L35="Sem prazo",L35="Depois"),0,IF(L35="Atrasada",2000,IF(L35="Hoje",1500,500))+F35*G35*100+IF(K35&lt;0,MIN(-K35,30),10-K35)-ROW()/100000)</f>
        <v>0</v>
      </c>
      <c r="N35" s="36" t="n"/>
    </row>
    <row r="36">
      <c r="A36" s="23">
        <f>IF(B36="","",ROW()-3)</f>
        <v/>
      </c>
      <c r="B36" s="36" t="n"/>
      <c r="C36" s="36" t="n"/>
      <c r="D36" s="36" t="n"/>
      <c r="E36" s="37" t="n"/>
      <c r="F36" s="38" t="n"/>
      <c r="G36" s="38" t="n"/>
      <c r="H36" s="38" t="n"/>
      <c r="I36" s="36" t="n"/>
      <c r="J36" s="24">
        <f>IF(B36="","",IF(F36*G36&gt;=6,"Alta",IF(F36*G36&gt;=3,"Média","Baixa")))</f>
        <v/>
      </c>
      <c r="K36" s="23">
        <f>IF(OR(B36="",E36=""),"",E36-Config!$B$4)</f>
        <v/>
      </c>
      <c r="L36" s="24">
        <f>IF(B36="","",IF(OR(I36="Feito",I36="Cancelado"),I36,IF(E36="","Sem prazo",IF(K36&lt;0,"Atrasada",IF(K36=0,"Hoje",IF(K36&lt;=6,"Esta semana","Depois"))))))</f>
        <v/>
      </c>
      <c r="M36" s="39">
        <f>IF(OR(B36="",L36="Feito",L36="Cancelado",L36="Sem prazo",L36="Depois"),0,IF(L36="Atrasada",2000,IF(L36="Hoje",1500,500))+F36*G36*100+IF(K36&lt;0,MIN(-K36,30),10-K36)-ROW()/100000)</f>
        <v>0</v>
      </c>
      <c r="N36" s="36" t="n"/>
    </row>
    <row r="37">
      <c r="A37" s="23">
        <f>IF(B37="","",ROW()-3)</f>
        <v/>
      </c>
      <c r="B37" s="36" t="n"/>
      <c r="C37" s="36" t="n"/>
      <c r="D37" s="36" t="n"/>
      <c r="E37" s="37" t="n"/>
      <c r="F37" s="38" t="n"/>
      <c r="G37" s="38" t="n"/>
      <c r="H37" s="38" t="n"/>
      <c r="I37" s="36" t="n"/>
      <c r="J37" s="24">
        <f>IF(B37="","",IF(F37*G37&gt;=6,"Alta",IF(F37*G37&gt;=3,"Média","Baixa")))</f>
        <v/>
      </c>
      <c r="K37" s="23">
        <f>IF(OR(B37="",E37=""),"",E37-Config!$B$4)</f>
        <v/>
      </c>
      <c r="L37" s="24">
        <f>IF(B37="","",IF(OR(I37="Feito",I37="Cancelado"),I37,IF(E37="","Sem prazo",IF(K37&lt;0,"Atrasada",IF(K37=0,"Hoje",IF(K37&lt;=6,"Esta semana","Depois"))))))</f>
        <v/>
      </c>
      <c r="M37" s="39">
        <f>IF(OR(B37="",L37="Feito",L37="Cancelado",L37="Sem prazo",L37="Depois"),0,IF(L37="Atrasada",2000,IF(L37="Hoje",1500,500))+F37*G37*100+IF(K37&lt;0,MIN(-K37,30),10-K37)-ROW()/100000)</f>
        <v>0</v>
      </c>
      <c r="N37" s="36" t="n"/>
    </row>
    <row r="38">
      <c r="A38" s="23">
        <f>IF(B38="","",ROW()-3)</f>
        <v/>
      </c>
      <c r="B38" s="36" t="n"/>
      <c r="C38" s="36" t="n"/>
      <c r="D38" s="36" t="n"/>
      <c r="E38" s="37" t="n"/>
      <c r="F38" s="38" t="n"/>
      <c r="G38" s="38" t="n"/>
      <c r="H38" s="38" t="n"/>
      <c r="I38" s="36" t="n"/>
      <c r="J38" s="24">
        <f>IF(B38="","",IF(F38*G38&gt;=6,"Alta",IF(F38*G38&gt;=3,"Média","Baixa")))</f>
        <v/>
      </c>
      <c r="K38" s="23">
        <f>IF(OR(B38="",E38=""),"",E38-Config!$B$4)</f>
        <v/>
      </c>
      <c r="L38" s="24">
        <f>IF(B38="","",IF(OR(I38="Feito",I38="Cancelado"),I38,IF(E38="","Sem prazo",IF(K38&lt;0,"Atrasada",IF(K38=0,"Hoje",IF(K38&lt;=6,"Esta semana","Depois"))))))</f>
        <v/>
      </c>
      <c r="M38" s="39">
        <f>IF(OR(B38="",L38="Feito",L38="Cancelado",L38="Sem prazo",L38="Depois"),0,IF(L38="Atrasada",2000,IF(L38="Hoje",1500,500))+F38*G38*100+IF(K38&lt;0,MIN(-K38,30),10-K38)-ROW()/100000)</f>
        <v>0</v>
      </c>
      <c r="N38" s="36" t="n"/>
    </row>
    <row r="39">
      <c r="A39" s="23">
        <f>IF(B39="","",ROW()-3)</f>
        <v/>
      </c>
      <c r="B39" s="36" t="n"/>
      <c r="C39" s="36" t="n"/>
      <c r="D39" s="36" t="n"/>
      <c r="E39" s="37" t="n"/>
      <c r="F39" s="38" t="n"/>
      <c r="G39" s="38" t="n"/>
      <c r="H39" s="38" t="n"/>
      <c r="I39" s="36" t="n"/>
      <c r="J39" s="24">
        <f>IF(B39="","",IF(F39*G39&gt;=6,"Alta",IF(F39*G39&gt;=3,"Média","Baixa")))</f>
        <v/>
      </c>
      <c r="K39" s="23">
        <f>IF(OR(B39="",E39=""),"",E39-Config!$B$4)</f>
        <v/>
      </c>
      <c r="L39" s="24">
        <f>IF(B39="","",IF(OR(I39="Feito",I39="Cancelado"),I39,IF(E39="","Sem prazo",IF(K39&lt;0,"Atrasada",IF(K39=0,"Hoje",IF(K39&lt;=6,"Esta semana","Depois"))))))</f>
        <v/>
      </c>
      <c r="M39" s="39">
        <f>IF(OR(B39="",L39="Feito",L39="Cancelado",L39="Sem prazo",L39="Depois"),0,IF(L39="Atrasada",2000,IF(L39="Hoje",1500,500))+F39*G39*100+IF(K39&lt;0,MIN(-K39,30),10-K39)-ROW()/100000)</f>
        <v>0</v>
      </c>
      <c r="N39" s="36" t="n"/>
    </row>
    <row r="40">
      <c r="A40" s="23">
        <f>IF(B40="","",ROW()-3)</f>
        <v/>
      </c>
      <c r="B40" s="36" t="n"/>
      <c r="C40" s="36" t="n"/>
      <c r="D40" s="36" t="n"/>
      <c r="E40" s="37" t="n"/>
      <c r="F40" s="38" t="n"/>
      <c r="G40" s="38" t="n"/>
      <c r="H40" s="38" t="n"/>
      <c r="I40" s="36" t="n"/>
      <c r="J40" s="24">
        <f>IF(B40="","",IF(F40*G40&gt;=6,"Alta",IF(F40*G40&gt;=3,"Média","Baixa")))</f>
        <v/>
      </c>
      <c r="K40" s="23">
        <f>IF(OR(B40="",E40=""),"",E40-Config!$B$4)</f>
        <v/>
      </c>
      <c r="L40" s="24">
        <f>IF(B40="","",IF(OR(I40="Feito",I40="Cancelado"),I40,IF(E40="","Sem prazo",IF(K40&lt;0,"Atrasada",IF(K40=0,"Hoje",IF(K40&lt;=6,"Esta semana","Depois"))))))</f>
        <v/>
      </c>
      <c r="M40" s="39">
        <f>IF(OR(B40="",L40="Feito",L40="Cancelado",L40="Sem prazo",L40="Depois"),0,IF(L40="Atrasada",2000,IF(L40="Hoje",1500,500))+F40*G40*100+IF(K40&lt;0,MIN(-K40,30),10-K40)-ROW()/100000)</f>
        <v>0</v>
      </c>
      <c r="N40" s="36" t="n"/>
    </row>
    <row r="41">
      <c r="A41" s="23">
        <f>IF(B41="","",ROW()-3)</f>
        <v/>
      </c>
      <c r="B41" s="36" t="n"/>
      <c r="C41" s="36" t="n"/>
      <c r="D41" s="36" t="n"/>
      <c r="E41" s="37" t="n"/>
      <c r="F41" s="38" t="n"/>
      <c r="G41" s="38" t="n"/>
      <c r="H41" s="38" t="n"/>
      <c r="I41" s="36" t="n"/>
      <c r="J41" s="24">
        <f>IF(B41="","",IF(F41*G41&gt;=6,"Alta",IF(F41*G41&gt;=3,"Média","Baixa")))</f>
        <v/>
      </c>
      <c r="K41" s="23">
        <f>IF(OR(B41="",E41=""),"",E41-Config!$B$4)</f>
        <v/>
      </c>
      <c r="L41" s="24">
        <f>IF(B41="","",IF(OR(I41="Feito",I41="Cancelado"),I41,IF(E41="","Sem prazo",IF(K41&lt;0,"Atrasada",IF(K41=0,"Hoje",IF(K41&lt;=6,"Esta semana","Depois"))))))</f>
        <v/>
      </c>
      <c r="M41" s="39">
        <f>IF(OR(B41="",L41="Feito",L41="Cancelado",L41="Sem prazo",L41="Depois"),0,IF(L41="Atrasada",2000,IF(L41="Hoje",1500,500))+F41*G41*100+IF(K41&lt;0,MIN(-K41,30),10-K41)-ROW()/100000)</f>
        <v>0</v>
      </c>
      <c r="N41" s="36" t="n"/>
    </row>
    <row r="42">
      <c r="A42" s="23">
        <f>IF(B42="","",ROW()-3)</f>
        <v/>
      </c>
      <c r="B42" s="36" t="n"/>
      <c r="C42" s="36" t="n"/>
      <c r="D42" s="36" t="n"/>
      <c r="E42" s="37" t="n"/>
      <c r="F42" s="38" t="n"/>
      <c r="G42" s="38" t="n"/>
      <c r="H42" s="38" t="n"/>
      <c r="I42" s="36" t="n"/>
      <c r="J42" s="24">
        <f>IF(B42="","",IF(F42*G42&gt;=6,"Alta",IF(F42*G42&gt;=3,"Média","Baixa")))</f>
        <v/>
      </c>
      <c r="K42" s="23">
        <f>IF(OR(B42="",E42=""),"",E42-Config!$B$4)</f>
        <v/>
      </c>
      <c r="L42" s="24">
        <f>IF(B42="","",IF(OR(I42="Feito",I42="Cancelado"),I42,IF(E42="","Sem prazo",IF(K42&lt;0,"Atrasada",IF(K42=0,"Hoje",IF(K42&lt;=6,"Esta semana","Depois"))))))</f>
        <v/>
      </c>
      <c r="M42" s="39">
        <f>IF(OR(B42="",L42="Feito",L42="Cancelado",L42="Sem prazo",L42="Depois"),0,IF(L42="Atrasada",2000,IF(L42="Hoje",1500,500))+F42*G42*100+IF(K42&lt;0,MIN(-K42,30),10-K42)-ROW()/100000)</f>
        <v>0</v>
      </c>
      <c r="N42" s="36" t="n"/>
    </row>
    <row r="43">
      <c r="A43" s="23">
        <f>IF(B43="","",ROW()-3)</f>
        <v/>
      </c>
      <c r="B43" s="36" t="n"/>
      <c r="C43" s="36" t="n"/>
      <c r="D43" s="36" t="n"/>
      <c r="E43" s="37" t="n"/>
      <c r="F43" s="38" t="n"/>
      <c r="G43" s="38" t="n"/>
      <c r="H43" s="38" t="n"/>
      <c r="I43" s="36" t="n"/>
      <c r="J43" s="24">
        <f>IF(B43="","",IF(F43*G43&gt;=6,"Alta",IF(F43*G43&gt;=3,"Média","Baixa")))</f>
        <v/>
      </c>
      <c r="K43" s="23">
        <f>IF(OR(B43="",E43=""),"",E43-Config!$B$4)</f>
        <v/>
      </c>
      <c r="L43" s="24">
        <f>IF(B43="","",IF(OR(I43="Feito",I43="Cancelado"),I43,IF(E43="","Sem prazo",IF(K43&lt;0,"Atrasada",IF(K43=0,"Hoje",IF(K43&lt;=6,"Esta semana","Depois"))))))</f>
        <v/>
      </c>
      <c r="M43" s="39">
        <f>IF(OR(B43="",L43="Feito",L43="Cancelado",L43="Sem prazo",L43="Depois"),0,IF(L43="Atrasada",2000,IF(L43="Hoje",1500,500))+F43*G43*100+IF(K43&lt;0,MIN(-K43,30),10-K43)-ROW()/100000)</f>
        <v>0</v>
      </c>
      <c r="N43" s="36" t="n"/>
    </row>
    <row r="44">
      <c r="A44" s="23">
        <f>IF(B44="","",ROW()-3)</f>
        <v/>
      </c>
      <c r="B44" s="36" t="n"/>
      <c r="C44" s="36" t="n"/>
      <c r="D44" s="36" t="n"/>
      <c r="E44" s="37" t="n"/>
      <c r="F44" s="38" t="n"/>
      <c r="G44" s="38" t="n"/>
      <c r="H44" s="38" t="n"/>
      <c r="I44" s="36" t="n"/>
      <c r="J44" s="24">
        <f>IF(B44="","",IF(F44*G44&gt;=6,"Alta",IF(F44*G44&gt;=3,"Média","Baixa")))</f>
        <v/>
      </c>
      <c r="K44" s="23">
        <f>IF(OR(B44="",E44=""),"",E44-Config!$B$4)</f>
        <v/>
      </c>
      <c r="L44" s="24">
        <f>IF(B44="","",IF(OR(I44="Feito",I44="Cancelado"),I44,IF(E44="","Sem prazo",IF(K44&lt;0,"Atrasada",IF(K44=0,"Hoje",IF(K44&lt;=6,"Esta semana","Depois"))))))</f>
        <v/>
      </c>
      <c r="M44" s="39">
        <f>IF(OR(B44="",L44="Feito",L44="Cancelado",L44="Sem prazo",L44="Depois"),0,IF(L44="Atrasada",2000,IF(L44="Hoje",1500,500))+F44*G44*100+IF(K44&lt;0,MIN(-K44,30),10-K44)-ROW()/100000)</f>
        <v>0</v>
      </c>
      <c r="N44" s="36" t="n"/>
    </row>
    <row r="45">
      <c r="A45" s="23">
        <f>IF(B45="","",ROW()-3)</f>
        <v/>
      </c>
      <c r="B45" s="36" t="n"/>
      <c r="C45" s="36" t="n"/>
      <c r="D45" s="36" t="n"/>
      <c r="E45" s="37" t="n"/>
      <c r="F45" s="38" t="n"/>
      <c r="G45" s="38" t="n"/>
      <c r="H45" s="38" t="n"/>
      <c r="I45" s="36" t="n"/>
      <c r="J45" s="24">
        <f>IF(B45="","",IF(F45*G45&gt;=6,"Alta",IF(F45*G45&gt;=3,"Média","Baixa")))</f>
        <v/>
      </c>
      <c r="K45" s="23">
        <f>IF(OR(B45="",E45=""),"",E45-Config!$B$4)</f>
        <v/>
      </c>
      <c r="L45" s="24">
        <f>IF(B45="","",IF(OR(I45="Feito",I45="Cancelado"),I45,IF(E45="","Sem prazo",IF(K45&lt;0,"Atrasada",IF(K45=0,"Hoje",IF(K45&lt;=6,"Esta semana","Depois"))))))</f>
        <v/>
      </c>
      <c r="M45" s="39">
        <f>IF(OR(B45="",L45="Feito",L45="Cancelado",L45="Sem prazo",L45="Depois"),0,IF(L45="Atrasada",2000,IF(L45="Hoje",1500,500))+F45*G45*100+IF(K45&lt;0,MIN(-K45,30),10-K45)-ROW()/100000)</f>
        <v>0</v>
      </c>
      <c r="N45" s="36" t="n"/>
    </row>
    <row r="46">
      <c r="A46" s="23">
        <f>IF(B46="","",ROW()-3)</f>
        <v/>
      </c>
      <c r="B46" s="36" t="n"/>
      <c r="C46" s="36" t="n"/>
      <c r="D46" s="36" t="n"/>
      <c r="E46" s="37" t="n"/>
      <c r="F46" s="38" t="n"/>
      <c r="G46" s="38" t="n"/>
      <c r="H46" s="38" t="n"/>
      <c r="I46" s="36" t="n"/>
      <c r="J46" s="24">
        <f>IF(B46="","",IF(F46*G46&gt;=6,"Alta",IF(F46*G46&gt;=3,"Média","Baixa")))</f>
        <v/>
      </c>
      <c r="K46" s="23">
        <f>IF(OR(B46="",E46=""),"",E46-Config!$B$4)</f>
        <v/>
      </c>
      <c r="L46" s="24">
        <f>IF(B46="","",IF(OR(I46="Feito",I46="Cancelado"),I46,IF(E46="","Sem prazo",IF(K46&lt;0,"Atrasada",IF(K46=0,"Hoje",IF(K46&lt;=6,"Esta semana","Depois"))))))</f>
        <v/>
      </c>
      <c r="M46" s="39">
        <f>IF(OR(B46="",L46="Feito",L46="Cancelado",L46="Sem prazo",L46="Depois"),0,IF(L46="Atrasada",2000,IF(L46="Hoje",1500,500))+F46*G46*100+IF(K46&lt;0,MIN(-K46,30),10-K46)-ROW()/100000)</f>
        <v>0</v>
      </c>
      <c r="N46" s="36" t="n"/>
    </row>
    <row r="47">
      <c r="A47" s="23">
        <f>IF(B47="","",ROW()-3)</f>
        <v/>
      </c>
      <c r="B47" s="36" t="n"/>
      <c r="C47" s="36" t="n"/>
      <c r="D47" s="36" t="n"/>
      <c r="E47" s="37" t="n"/>
      <c r="F47" s="38" t="n"/>
      <c r="G47" s="38" t="n"/>
      <c r="H47" s="38" t="n"/>
      <c r="I47" s="36" t="n"/>
      <c r="J47" s="24">
        <f>IF(B47="","",IF(F47*G47&gt;=6,"Alta",IF(F47*G47&gt;=3,"Média","Baixa")))</f>
        <v/>
      </c>
      <c r="K47" s="23">
        <f>IF(OR(B47="",E47=""),"",E47-Config!$B$4)</f>
        <v/>
      </c>
      <c r="L47" s="24">
        <f>IF(B47="","",IF(OR(I47="Feito",I47="Cancelado"),I47,IF(E47="","Sem prazo",IF(K47&lt;0,"Atrasada",IF(K47=0,"Hoje",IF(K47&lt;=6,"Esta semana","Depois"))))))</f>
        <v/>
      </c>
      <c r="M47" s="39">
        <f>IF(OR(B47="",L47="Feito",L47="Cancelado",L47="Sem prazo",L47="Depois"),0,IF(L47="Atrasada",2000,IF(L47="Hoje",1500,500))+F47*G47*100+IF(K47&lt;0,MIN(-K47,30),10-K47)-ROW()/100000)</f>
        <v>0</v>
      </c>
      <c r="N47" s="36" t="n"/>
    </row>
    <row r="48">
      <c r="A48" s="23">
        <f>IF(B48="","",ROW()-3)</f>
        <v/>
      </c>
      <c r="B48" s="36" t="n"/>
      <c r="C48" s="36" t="n"/>
      <c r="D48" s="36" t="n"/>
      <c r="E48" s="37" t="n"/>
      <c r="F48" s="38" t="n"/>
      <c r="G48" s="38" t="n"/>
      <c r="H48" s="38" t="n"/>
      <c r="I48" s="36" t="n"/>
      <c r="J48" s="24">
        <f>IF(B48="","",IF(F48*G48&gt;=6,"Alta",IF(F48*G48&gt;=3,"Média","Baixa")))</f>
        <v/>
      </c>
      <c r="K48" s="23">
        <f>IF(OR(B48="",E48=""),"",E48-Config!$B$4)</f>
        <v/>
      </c>
      <c r="L48" s="24">
        <f>IF(B48="","",IF(OR(I48="Feito",I48="Cancelado"),I48,IF(E48="","Sem prazo",IF(K48&lt;0,"Atrasada",IF(K48=0,"Hoje",IF(K48&lt;=6,"Esta semana","Depois"))))))</f>
        <v/>
      </c>
      <c r="M48" s="39">
        <f>IF(OR(B48="",L48="Feito",L48="Cancelado",L48="Sem prazo",L48="Depois"),0,IF(L48="Atrasada",2000,IF(L48="Hoje",1500,500))+F48*G48*100+IF(K48&lt;0,MIN(-K48,30),10-K48)-ROW()/100000)</f>
        <v>0</v>
      </c>
      <c r="N48" s="36" t="n"/>
    </row>
    <row r="49">
      <c r="A49" s="23">
        <f>IF(B49="","",ROW()-3)</f>
        <v/>
      </c>
      <c r="B49" s="36" t="n"/>
      <c r="C49" s="36" t="n"/>
      <c r="D49" s="36" t="n"/>
      <c r="E49" s="37" t="n"/>
      <c r="F49" s="38" t="n"/>
      <c r="G49" s="38" t="n"/>
      <c r="H49" s="38" t="n"/>
      <c r="I49" s="36" t="n"/>
      <c r="J49" s="24">
        <f>IF(B49="","",IF(F49*G49&gt;=6,"Alta",IF(F49*G49&gt;=3,"Média","Baixa")))</f>
        <v/>
      </c>
      <c r="K49" s="23">
        <f>IF(OR(B49="",E49=""),"",E49-Config!$B$4)</f>
        <v/>
      </c>
      <c r="L49" s="24">
        <f>IF(B49="","",IF(OR(I49="Feito",I49="Cancelado"),I49,IF(E49="","Sem prazo",IF(K49&lt;0,"Atrasada",IF(K49=0,"Hoje",IF(K49&lt;=6,"Esta semana","Depois"))))))</f>
        <v/>
      </c>
      <c r="M49" s="39">
        <f>IF(OR(B49="",L49="Feito",L49="Cancelado",L49="Sem prazo",L49="Depois"),0,IF(L49="Atrasada",2000,IF(L49="Hoje",1500,500))+F49*G49*100+IF(K49&lt;0,MIN(-K49,30),10-K49)-ROW()/100000)</f>
        <v>0</v>
      </c>
      <c r="N49" s="36" t="n"/>
    </row>
    <row r="50">
      <c r="A50" s="23">
        <f>IF(B50="","",ROW()-3)</f>
        <v/>
      </c>
      <c r="B50" s="36" t="n"/>
      <c r="C50" s="36" t="n"/>
      <c r="D50" s="36" t="n"/>
      <c r="E50" s="37" t="n"/>
      <c r="F50" s="38" t="n"/>
      <c r="G50" s="38" t="n"/>
      <c r="H50" s="38" t="n"/>
      <c r="I50" s="36" t="n"/>
      <c r="J50" s="24">
        <f>IF(B50="","",IF(F50*G50&gt;=6,"Alta",IF(F50*G50&gt;=3,"Média","Baixa")))</f>
        <v/>
      </c>
      <c r="K50" s="23">
        <f>IF(OR(B50="",E50=""),"",E50-Config!$B$4)</f>
        <v/>
      </c>
      <c r="L50" s="24">
        <f>IF(B50="","",IF(OR(I50="Feito",I50="Cancelado"),I50,IF(E50="","Sem prazo",IF(K50&lt;0,"Atrasada",IF(K50=0,"Hoje",IF(K50&lt;=6,"Esta semana","Depois"))))))</f>
        <v/>
      </c>
      <c r="M50" s="39">
        <f>IF(OR(B50="",L50="Feito",L50="Cancelado",L50="Sem prazo",L50="Depois"),0,IF(L50="Atrasada",2000,IF(L50="Hoje",1500,500))+F50*G50*100+IF(K50&lt;0,MIN(-K50,30),10-K50)-ROW()/100000)</f>
        <v>0</v>
      </c>
      <c r="N50" s="36" t="n"/>
    </row>
    <row r="51">
      <c r="A51" s="23">
        <f>IF(B51="","",ROW()-3)</f>
        <v/>
      </c>
      <c r="B51" s="36" t="n"/>
      <c r="C51" s="36" t="n"/>
      <c r="D51" s="36" t="n"/>
      <c r="E51" s="37" t="n"/>
      <c r="F51" s="38" t="n"/>
      <c r="G51" s="38" t="n"/>
      <c r="H51" s="38" t="n"/>
      <c r="I51" s="36" t="n"/>
      <c r="J51" s="24">
        <f>IF(B51="","",IF(F51*G51&gt;=6,"Alta",IF(F51*G51&gt;=3,"Média","Baixa")))</f>
        <v/>
      </c>
      <c r="K51" s="23">
        <f>IF(OR(B51="",E51=""),"",E51-Config!$B$4)</f>
        <v/>
      </c>
      <c r="L51" s="24">
        <f>IF(B51="","",IF(OR(I51="Feito",I51="Cancelado"),I51,IF(E51="","Sem prazo",IF(K51&lt;0,"Atrasada",IF(K51=0,"Hoje",IF(K51&lt;=6,"Esta semana","Depois"))))))</f>
        <v/>
      </c>
      <c r="M51" s="39">
        <f>IF(OR(B51="",L51="Feito",L51="Cancelado",L51="Sem prazo",L51="Depois"),0,IF(L51="Atrasada",2000,IF(L51="Hoje",1500,500))+F51*G51*100+IF(K51&lt;0,MIN(-K51,30),10-K51)-ROW()/100000)</f>
        <v>0</v>
      </c>
      <c r="N51" s="36" t="n"/>
    </row>
    <row r="52">
      <c r="A52" s="23">
        <f>IF(B52="","",ROW()-3)</f>
        <v/>
      </c>
      <c r="B52" s="36" t="n"/>
      <c r="C52" s="36" t="n"/>
      <c r="D52" s="36" t="n"/>
      <c r="E52" s="37" t="n"/>
      <c r="F52" s="38" t="n"/>
      <c r="G52" s="38" t="n"/>
      <c r="H52" s="38" t="n"/>
      <c r="I52" s="36" t="n"/>
      <c r="J52" s="24">
        <f>IF(B52="","",IF(F52*G52&gt;=6,"Alta",IF(F52*G52&gt;=3,"Média","Baixa")))</f>
        <v/>
      </c>
      <c r="K52" s="23">
        <f>IF(OR(B52="",E52=""),"",E52-Config!$B$4)</f>
        <v/>
      </c>
      <c r="L52" s="24">
        <f>IF(B52="","",IF(OR(I52="Feito",I52="Cancelado"),I52,IF(E52="","Sem prazo",IF(K52&lt;0,"Atrasada",IF(K52=0,"Hoje",IF(K52&lt;=6,"Esta semana","Depois"))))))</f>
        <v/>
      </c>
      <c r="M52" s="39">
        <f>IF(OR(B52="",L52="Feito",L52="Cancelado",L52="Sem prazo",L52="Depois"),0,IF(L52="Atrasada",2000,IF(L52="Hoje",1500,500))+F52*G52*100+IF(K52&lt;0,MIN(-K52,30),10-K52)-ROW()/100000)</f>
        <v>0</v>
      </c>
      <c r="N52" s="36" t="n"/>
    </row>
    <row r="53">
      <c r="A53" s="23">
        <f>IF(B53="","",ROW()-3)</f>
        <v/>
      </c>
      <c r="B53" s="36" t="n"/>
      <c r="C53" s="36" t="n"/>
      <c r="D53" s="36" t="n"/>
      <c r="E53" s="37" t="n"/>
      <c r="F53" s="38" t="n"/>
      <c r="G53" s="38" t="n"/>
      <c r="H53" s="38" t="n"/>
      <c r="I53" s="36" t="n"/>
      <c r="J53" s="24">
        <f>IF(B53="","",IF(F53*G53&gt;=6,"Alta",IF(F53*G53&gt;=3,"Média","Baixa")))</f>
        <v/>
      </c>
      <c r="K53" s="23">
        <f>IF(OR(B53="",E53=""),"",E53-Config!$B$4)</f>
        <v/>
      </c>
      <c r="L53" s="24">
        <f>IF(B53="","",IF(OR(I53="Feito",I53="Cancelado"),I53,IF(E53="","Sem prazo",IF(K53&lt;0,"Atrasada",IF(K53=0,"Hoje",IF(K53&lt;=6,"Esta semana","Depois"))))))</f>
        <v/>
      </c>
      <c r="M53" s="39">
        <f>IF(OR(B53="",L53="Feito",L53="Cancelado",L53="Sem prazo",L53="Depois"),0,IF(L53="Atrasada",2000,IF(L53="Hoje",1500,500))+F53*G53*100+IF(K53&lt;0,MIN(-K53,30),10-K53)-ROW()/100000)</f>
        <v>0</v>
      </c>
      <c r="N53" s="36" t="n"/>
    </row>
    <row r="54">
      <c r="A54" s="23">
        <f>IF(B54="","",ROW()-3)</f>
        <v/>
      </c>
      <c r="B54" s="36" t="n"/>
      <c r="C54" s="36" t="n"/>
      <c r="D54" s="36" t="n"/>
      <c r="E54" s="37" t="n"/>
      <c r="F54" s="38" t="n"/>
      <c r="G54" s="38" t="n"/>
      <c r="H54" s="38" t="n"/>
      <c r="I54" s="36" t="n"/>
      <c r="J54" s="24">
        <f>IF(B54="","",IF(F54*G54&gt;=6,"Alta",IF(F54*G54&gt;=3,"Média","Baixa")))</f>
        <v/>
      </c>
      <c r="K54" s="23">
        <f>IF(OR(B54="",E54=""),"",E54-Config!$B$4)</f>
        <v/>
      </c>
      <c r="L54" s="24">
        <f>IF(B54="","",IF(OR(I54="Feito",I54="Cancelado"),I54,IF(E54="","Sem prazo",IF(K54&lt;0,"Atrasada",IF(K54=0,"Hoje",IF(K54&lt;=6,"Esta semana","Depois"))))))</f>
        <v/>
      </c>
      <c r="M54" s="39">
        <f>IF(OR(B54="",L54="Feito",L54="Cancelado",L54="Sem prazo",L54="Depois"),0,IF(L54="Atrasada",2000,IF(L54="Hoje",1500,500))+F54*G54*100+IF(K54&lt;0,MIN(-K54,30),10-K54)-ROW()/100000)</f>
        <v>0</v>
      </c>
      <c r="N54" s="36" t="n"/>
    </row>
    <row r="55">
      <c r="A55" s="23">
        <f>IF(B55="","",ROW()-3)</f>
        <v/>
      </c>
      <c r="B55" s="36" t="n"/>
      <c r="C55" s="36" t="n"/>
      <c r="D55" s="36" t="n"/>
      <c r="E55" s="37" t="n"/>
      <c r="F55" s="38" t="n"/>
      <c r="G55" s="38" t="n"/>
      <c r="H55" s="38" t="n"/>
      <c r="I55" s="36" t="n"/>
      <c r="J55" s="24">
        <f>IF(B55="","",IF(F55*G55&gt;=6,"Alta",IF(F55*G55&gt;=3,"Média","Baixa")))</f>
        <v/>
      </c>
      <c r="K55" s="23">
        <f>IF(OR(B55="",E55=""),"",E55-Config!$B$4)</f>
        <v/>
      </c>
      <c r="L55" s="24">
        <f>IF(B55="","",IF(OR(I55="Feito",I55="Cancelado"),I55,IF(E55="","Sem prazo",IF(K55&lt;0,"Atrasada",IF(K55=0,"Hoje",IF(K55&lt;=6,"Esta semana","Depois"))))))</f>
        <v/>
      </c>
      <c r="M55" s="39">
        <f>IF(OR(B55="",L55="Feito",L55="Cancelado",L55="Sem prazo",L55="Depois"),0,IF(L55="Atrasada",2000,IF(L55="Hoje",1500,500))+F55*G55*100+IF(K55&lt;0,MIN(-K55,30),10-K55)-ROW()/100000)</f>
        <v>0</v>
      </c>
      <c r="N55" s="36" t="n"/>
    </row>
    <row r="56">
      <c r="A56" s="23">
        <f>IF(B56="","",ROW()-3)</f>
        <v/>
      </c>
      <c r="B56" s="36" t="n"/>
      <c r="C56" s="36" t="n"/>
      <c r="D56" s="36" t="n"/>
      <c r="E56" s="37" t="n"/>
      <c r="F56" s="38" t="n"/>
      <c r="G56" s="38" t="n"/>
      <c r="H56" s="38" t="n"/>
      <c r="I56" s="36" t="n"/>
      <c r="J56" s="24">
        <f>IF(B56="","",IF(F56*G56&gt;=6,"Alta",IF(F56*G56&gt;=3,"Média","Baixa")))</f>
        <v/>
      </c>
      <c r="K56" s="23">
        <f>IF(OR(B56="",E56=""),"",E56-Config!$B$4)</f>
        <v/>
      </c>
      <c r="L56" s="24">
        <f>IF(B56="","",IF(OR(I56="Feito",I56="Cancelado"),I56,IF(E56="","Sem prazo",IF(K56&lt;0,"Atrasada",IF(K56=0,"Hoje",IF(K56&lt;=6,"Esta semana","Depois"))))))</f>
        <v/>
      </c>
      <c r="M56" s="39">
        <f>IF(OR(B56="",L56="Feito",L56="Cancelado",L56="Sem prazo",L56="Depois"),0,IF(L56="Atrasada",2000,IF(L56="Hoje",1500,500))+F56*G56*100+IF(K56&lt;0,MIN(-K56,30),10-K56)-ROW()/100000)</f>
        <v>0</v>
      </c>
      <c r="N56" s="36" t="n"/>
    </row>
    <row r="57">
      <c r="A57" s="23">
        <f>IF(B57="","",ROW()-3)</f>
        <v/>
      </c>
      <c r="B57" s="36" t="n"/>
      <c r="C57" s="36" t="n"/>
      <c r="D57" s="36" t="n"/>
      <c r="E57" s="37" t="n"/>
      <c r="F57" s="38" t="n"/>
      <c r="G57" s="38" t="n"/>
      <c r="H57" s="38" t="n"/>
      <c r="I57" s="36" t="n"/>
      <c r="J57" s="24">
        <f>IF(B57="","",IF(F57*G57&gt;=6,"Alta",IF(F57*G57&gt;=3,"Média","Baixa")))</f>
        <v/>
      </c>
      <c r="K57" s="23">
        <f>IF(OR(B57="",E57=""),"",E57-Config!$B$4)</f>
        <v/>
      </c>
      <c r="L57" s="24">
        <f>IF(B57="","",IF(OR(I57="Feito",I57="Cancelado"),I57,IF(E57="","Sem prazo",IF(K57&lt;0,"Atrasada",IF(K57=0,"Hoje",IF(K57&lt;=6,"Esta semana","Depois"))))))</f>
        <v/>
      </c>
      <c r="M57" s="39">
        <f>IF(OR(B57="",L57="Feito",L57="Cancelado",L57="Sem prazo",L57="Depois"),0,IF(L57="Atrasada",2000,IF(L57="Hoje",1500,500))+F57*G57*100+IF(K57&lt;0,MIN(-K57,30),10-K57)-ROW()/100000)</f>
        <v>0</v>
      </c>
      <c r="N57" s="36" t="n"/>
    </row>
    <row r="58">
      <c r="A58" s="23">
        <f>IF(B58="","",ROW()-3)</f>
        <v/>
      </c>
      <c r="B58" s="36" t="n"/>
      <c r="C58" s="36" t="n"/>
      <c r="D58" s="36" t="n"/>
      <c r="E58" s="37" t="n"/>
      <c r="F58" s="38" t="n"/>
      <c r="G58" s="38" t="n"/>
      <c r="H58" s="38" t="n"/>
      <c r="I58" s="36" t="n"/>
      <c r="J58" s="24">
        <f>IF(B58="","",IF(F58*G58&gt;=6,"Alta",IF(F58*G58&gt;=3,"Média","Baixa")))</f>
        <v/>
      </c>
      <c r="K58" s="23">
        <f>IF(OR(B58="",E58=""),"",E58-Config!$B$4)</f>
        <v/>
      </c>
      <c r="L58" s="24">
        <f>IF(B58="","",IF(OR(I58="Feito",I58="Cancelado"),I58,IF(E58="","Sem prazo",IF(K58&lt;0,"Atrasada",IF(K58=0,"Hoje",IF(K58&lt;=6,"Esta semana","Depois"))))))</f>
        <v/>
      </c>
      <c r="M58" s="39">
        <f>IF(OR(B58="",L58="Feito",L58="Cancelado",L58="Sem prazo",L58="Depois"),0,IF(L58="Atrasada",2000,IF(L58="Hoje",1500,500))+F58*G58*100+IF(K58&lt;0,MIN(-K58,30),10-K58)-ROW()/100000)</f>
        <v>0</v>
      </c>
      <c r="N58" s="36" t="n"/>
    </row>
    <row r="59">
      <c r="A59" s="23">
        <f>IF(B59="","",ROW()-3)</f>
        <v/>
      </c>
      <c r="B59" s="36" t="n"/>
      <c r="C59" s="36" t="n"/>
      <c r="D59" s="36" t="n"/>
      <c r="E59" s="37" t="n"/>
      <c r="F59" s="38" t="n"/>
      <c r="G59" s="38" t="n"/>
      <c r="H59" s="38" t="n"/>
      <c r="I59" s="36" t="n"/>
      <c r="J59" s="24">
        <f>IF(B59="","",IF(F59*G59&gt;=6,"Alta",IF(F59*G59&gt;=3,"Média","Baixa")))</f>
        <v/>
      </c>
      <c r="K59" s="23">
        <f>IF(OR(B59="",E59=""),"",E59-Config!$B$4)</f>
        <v/>
      </c>
      <c r="L59" s="24">
        <f>IF(B59="","",IF(OR(I59="Feito",I59="Cancelado"),I59,IF(E59="","Sem prazo",IF(K59&lt;0,"Atrasada",IF(K59=0,"Hoje",IF(K59&lt;=6,"Esta semana","Depois"))))))</f>
        <v/>
      </c>
      <c r="M59" s="39">
        <f>IF(OR(B59="",L59="Feito",L59="Cancelado",L59="Sem prazo",L59="Depois"),0,IF(L59="Atrasada",2000,IF(L59="Hoje",1500,500))+F59*G59*100+IF(K59&lt;0,MIN(-K59,30),10-K59)-ROW()/100000)</f>
        <v>0</v>
      </c>
      <c r="N59" s="36" t="n"/>
    </row>
    <row r="60">
      <c r="A60" s="23">
        <f>IF(B60="","",ROW()-3)</f>
        <v/>
      </c>
      <c r="B60" s="36" t="n"/>
      <c r="C60" s="36" t="n"/>
      <c r="D60" s="36" t="n"/>
      <c r="E60" s="37" t="n"/>
      <c r="F60" s="38" t="n"/>
      <c r="G60" s="38" t="n"/>
      <c r="H60" s="38" t="n"/>
      <c r="I60" s="36" t="n"/>
      <c r="J60" s="24">
        <f>IF(B60="","",IF(F60*G60&gt;=6,"Alta",IF(F60*G60&gt;=3,"Média","Baixa")))</f>
        <v/>
      </c>
      <c r="K60" s="23">
        <f>IF(OR(B60="",E60=""),"",E60-Config!$B$4)</f>
        <v/>
      </c>
      <c r="L60" s="24">
        <f>IF(B60="","",IF(OR(I60="Feito",I60="Cancelado"),I60,IF(E60="","Sem prazo",IF(K60&lt;0,"Atrasada",IF(K60=0,"Hoje",IF(K60&lt;=6,"Esta semana","Depois"))))))</f>
        <v/>
      </c>
      <c r="M60" s="39">
        <f>IF(OR(B60="",L60="Feito",L60="Cancelado",L60="Sem prazo",L60="Depois"),0,IF(L60="Atrasada",2000,IF(L60="Hoje",1500,500))+F60*G60*100+IF(K60&lt;0,MIN(-K60,30),10-K60)-ROW()/100000)</f>
        <v>0</v>
      </c>
      <c r="N60" s="36" t="n"/>
    </row>
    <row r="61">
      <c r="A61" s="23">
        <f>IF(B61="","",ROW()-3)</f>
        <v/>
      </c>
      <c r="B61" s="36" t="n"/>
      <c r="C61" s="36" t="n"/>
      <c r="D61" s="36" t="n"/>
      <c r="E61" s="37" t="n"/>
      <c r="F61" s="38" t="n"/>
      <c r="G61" s="38" t="n"/>
      <c r="H61" s="38" t="n"/>
      <c r="I61" s="36" t="n"/>
      <c r="J61" s="24">
        <f>IF(B61="","",IF(F61*G61&gt;=6,"Alta",IF(F61*G61&gt;=3,"Média","Baixa")))</f>
        <v/>
      </c>
      <c r="K61" s="23">
        <f>IF(OR(B61="",E61=""),"",E61-Config!$B$4)</f>
        <v/>
      </c>
      <c r="L61" s="24">
        <f>IF(B61="","",IF(OR(I61="Feito",I61="Cancelado"),I61,IF(E61="","Sem prazo",IF(K61&lt;0,"Atrasada",IF(K61=0,"Hoje",IF(K61&lt;=6,"Esta semana","Depois"))))))</f>
        <v/>
      </c>
      <c r="M61" s="39">
        <f>IF(OR(B61="",L61="Feito",L61="Cancelado",L61="Sem prazo",L61="Depois"),0,IF(L61="Atrasada",2000,IF(L61="Hoje",1500,500))+F61*G61*100+IF(K61&lt;0,MIN(-K61,30),10-K61)-ROW()/100000)</f>
        <v>0</v>
      </c>
      <c r="N61" s="36" t="n"/>
    </row>
    <row r="62">
      <c r="A62" s="23">
        <f>IF(B62="","",ROW()-3)</f>
        <v/>
      </c>
      <c r="B62" s="36" t="n"/>
      <c r="C62" s="36" t="n"/>
      <c r="D62" s="36" t="n"/>
      <c r="E62" s="37" t="n"/>
      <c r="F62" s="38" t="n"/>
      <c r="G62" s="38" t="n"/>
      <c r="H62" s="38" t="n"/>
      <c r="I62" s="36" t="n"/>
      <c r="J62" s="24">
        <f>IF(B62="","",IF(F62*G62&gt;=6,"Alta",IF(F62*G62&gt;=3,"Média","Baixa")))</f>
        <v/>
      </c>
      <c r="K62" s="23">
        <f>IF(OR(B62="",E62=""),"",E62-Config!$B$4)</f>
        <v/>
      </c>
      <c r="L62" s="24">
        <f>IF(B62="","",IF(OR(I62="Feito",I62="Cancelado"),I62,IF(E62="","Sem prazo",IF(K62&lt;0,"Atrasada",IF(K62=0,"Hoje",IF(K62&lt;=6,"Esta semana","Depois"))))))</f>
        <v/>
      </c>
      <c r="M62" s="39">
        <f>IF(OR(B62="",L62="Feito",L62="Cancelado",L62="Sem prazo",L62="Depois"),0,IF(L62="Atrasada",2000,IF(L62="Hoje",1500,500))+F62*G62*100+IF(K62&lt;0,MIN(-K62,30),10-K62)-ROW()/100000)</f>
        <v>0</v>
      </c>
      <c r="N62" s="36" t="n"/>
    </row>
    <row r="63">
      <c r="A63" s="23">
        <f>IF(B63="","",ROW()-3)</f>
        <v/>
      </c>
      <c r="B63" s="36" t="n"/>
      <c r="C63" s="36" t="n"/>
      <c r="D63" s="36" t="n"/>
      <c r="E63" s="37" t="n"/>
      <c r="F63" s="38" t="n"/>
      <c r="G63" s="38" t="n"/>
      <c r="H63" s="38" t="n"/>
      <c r="I63" s="36" t="n"/>
      <c r="J63" s="24">
        <f>IF(B63="","",IF(F63*G63&gt;=6,"Alta",IF(F63*G63&gt;=3,"Média","Baixa")))</f>
        <v/>
      </c>
      <c r="K63" s="23">
        <f>IF(OR(B63="",E63=""),"",E63-Config!$B$4)</f>
        <v/>
      </c>
      <c r="L63" s="24">
        <f>IF(B63="","",IF(OR(I63="Feito",I63="Cancelado"),I63,IF(E63="","Sem prazo",IF(K63&lt;0,"Atrasada",IF(K63=0,"Hoje",IF(K63&lt;=6,"Esta semana","Depois"))))))</f>
        <v/>
      </c>
      <c r="M63" s="39">
        <f>IF(OR(B63="",L63="Feito",L63="Cancelado",L63="Sem prazo",L63="Depois"),0,IF(L63="Atrasada",2000,IF(L63="Hoje",1500,500))+F63*G63*100+IF(K63&lt;0,MIN(-K63,30),10-K63)-ROW()/100000)</f>
        <v>0</v>
      </c>
      <c r="N63" s="36" t="n"/>
    </row>
    <row r="64">
      <c r="A64" s="23">
        <f>IF(B64="","",ROW()-3)</f>
        <v/>
      </c>
      <c r="B64" s="36" t="n"/>
      <c r="C64" s="36" t="n"/>
      <c r="D64" s="36" t="n"/>
      <c r="E64" s="37" t="n"/>
      <c r="F64" s="38" t="n"/>
      <c r="G64" s="38" t="n"/>
      <c r="H64" s="38" t="n"/>
      <c r="I64" s="36" t="n"/>
      <c r="J64" s="24">
        <f>IF(B64="","",IF(F64*G64&gt;=6,"Alta",IF(F64*G64&gt;=3,"Média","Baixa")))</f>
        <v/>
      </c>
      <c r="K64" s="23">
        <f>IF(OR(B64="",E64=""),"",E64-Config!$B$4)</f>
        <v/>
      </c>
      <c r="L64" s="24">
        <f>IF(B64="","",IF(OR(I64="Feito",I64="Cancelado"),I64,IF(E64="","Sem prazo",IF(K64&lt;0,"Atrasada",IF(K64=0,"Hoje",IF(K64&lt;=6,"Esta semana","Depois"))))))</f>
        <v/>
      </c>
      <c r="M64" s="39">
        <f>IF(OR(B64="",L64="Feito",L64="Cancelado",L64="Sem prazo",L64="Depois"),0,IF(L64="Atrasada",2000,IF(L64="Hoje",1500,500))+F64*G64*100+IF(K64&lt;0,MIN(-K64,30),10-K64)-ROW()/100000)</f>
        <v>0</v>
      </c>
      <c r="N64" s="36" t="n"/>
    </row>
    <row r="65">
      <c r="A65" s="23">
        <f>IF(B65="","",ROW()-3)</f>
        <v/>
      </c>
      <c r="B65" s="36" t="n"/>
      <c r="C65" s="36" t="n"/>
      <c r="D65" s="36" t="n"/>
      <c r="E65" s="37" t="n"/>
      <c r="F65" s="38" t="n"/>
      <c r="G65" s="38" t="n"/>
      <c r="H65" s="38" t="n"/>
      <c r="I65" s="36" t="n"/>
      <c r="J65" s="24">
        <f>IF(B65="","",IF(F65*G65&gt;=6,"Alta",IF(F65*G65&gt;=3,"Média","Baixa")))</f>
        <v/>
      </c>
      <c r="K65" s="23">
        <f>IF(OR(B65="",E65=""),"",E65-Config!$B$4)</f>
        <v/>
      </c>
      <c r="L65" s="24">
        <f>IF(B65="","",IF(OR(I65="Feito",I65="Cancelado"),I65,IF(E65="","Sem prazo",IF(K65&lt;0,"Atrasada",IF(K65=0,"Hoje",IF(K65&lt;=6,"Esta semana","Depois"))))))</f>
        <v/>
      </c>
      <c r="M65" s="39">
        <f>IF(OR(B65="",L65="Feito",L65="Cancelado",L65="Sem prazo",L65="Depois"),0,IF(L65="Atrasada",2000,IF(L65="Hoje",1500,500))+F65*G65*100+IF(K65&lt;0,MIN(-K65,30),10-K65)-ROW()/100000)</f>
        <v>0</v>
      </c>
      <c r="N65" s="36" t="n"/>
    </row>
    <row r="66">
      <c r="A66" s="23">
        <f>IF(B66="","",ROW()-3)</f>
        <v/>
      </c>
      <c r="B66" s="36" t="n"/>
      <c r="C66" s="36" t="n"/>
      <c r="D66" s="36" t="n"/>
      <c r="E66" s="37" t="n"/>
      <c r="F66" s="38" t="n"/>
      <c r="G66" s="38" t="n"/>
      <c r="H66" s="38" t="n"/>
      <c r="I66" s="36" t="n"/>
      <c r="J66" s="24">
        <f>IF(B66="","",IF(F66*G66&gt;=6,"Alta",IF(F66*G66&gt;=3,"Média","Baixa")))</f>
        <v/>
      </c>
      <c r="K66" s="23">
        <f>IF(OR(B66="",E66=""),"",E66-Config!$B$4)</f>
        <v/>
      </c>
      <c r="L66" s="24">
        <f>IF(B66="","",IF(OR(I66="Feito",I66="Cancelado"),I66,IF(E66="","Sem prazo",IF(K66&lt;0,"Atrasada",IF(K66=0,"Hoje",IF(K66&lt;=6,"Esta semana","Depois"))))))</f>
        <v/>
      </c>
      <c r="M66" s="39">
        <f>IF(OR(B66="",L66="Feito",L66="Cancelado",L66="Sem prazo",L66="Depois"),0,IF(L66="Atrasada",2000,IF(L66="Hoje",1500,500))+F66*G66*100+IF(K66&lt;0,MIN(-K66,30),10-K66)-ROW()/100000)</f>
        <v>0</v>
      </c>
      <c r="N66" s="36" t="n"/>
    </row>
    <row r="67">
      <c r="A67" s="23">
        <f>IF(B67="","",ROW()-3)</f>
        <v/>
      </c>
      <c r="B67" s="36" t="n"/>
      <c r="C67" s="36" t="n"/>
      <c r="D67" s="36" t="n"/>
      <c r="E67" s="37" t="n"/>
      <c r="F67" s="38" t="n"/>
      <c r="G67" s="38" t="n"/>
      <c r="H67" s="38" t="n"/>
      <c r="I67" s="36" t="n"/>
      <c r="J67" s="24">
        <f>IF(B67="","",IF(F67*G67&gt;=6,"Alta",IF(F67*G67&gt;=3,"Média","Baixa")))</f>
        <v/>
      </c>
      <c r="K67" s="23">
        <f>IF(OR(B67="",E67=""),"",E67-Config!$B$4)</f>
        <v/>
      </c>
      <c r="L67" s="24">
        <f>IF(B67="","",IF(OR(I67="Feito",I67="Cancelado"),I67,IF(E67="","Sem prazo",IF(K67&lt;0,"Atrasada",IF(K67=0,"Hoje",IF(K67&lt;=6,"Esta semana","Depois"))))))</f>
        <v/>
      </c>
      <c r="M67" s="39">
        <f>IF(OR(B67="",L67="Feito",L67="Cancelado",L67="Sem prazo",L67="Depois"),0,IF(L67="Atrasada",2000,IF(L67="Hoje",1500,500))+F67*G67*100+IF(K67&lt;0,MIN(-K67,30),10-K67)-ROW()/100000)</f>
        <v>0</v>
      </c>
      <c r="N67" s="36" t="n"/>
    </row>
    <row r="68">
      <c r="A68" s="23">
        <f>IF(B68="","",ROW()-3)</f>
        <v/>
      </c>
      <c r="B68" s="36" t="n"/>
      <c r="C68" s="36" t="n"/>
      <c r="D68" s="36" t="n"/>
      <c r="E68" s="37" t="n"/>
      <c r="F68" s="38" t="n"/>
      <c r="G68" s="38" t="n"/>
      <c r="H68" s="38" t="n"/>
      <c r="I68" s="36" t="n"/>
      <c r="J68" s="24">
        <f>IF(B68="","",IF(F68*G68&gt;=6,"Alta",IF(F68*G68&gt;=3,"Média","Baixa")))</f>
        <v/>
      </c>
      <c r="K68" s="23">
        <f>IF(OR(B68="",E68=""),"",E68-Config!$B$4)</f>
        <v/>
      </c>
      <c r="L68" s="24">
        <f>IF(B68="","",IF(OR(I68="Feito",I68="Cancelado"),I68,IF(E68="","Sem prazo",IF(K68&lt;0,"Atrasada",IF(K68=0,"Hoje",IF(K68&lt;=6,"Esta semana","Depois"))))))</f>
        <v/>
      </c>
      <c r="M68" s="39">
        <f>IF(OR(B68="",L68="Feito",L68="Cancelado",L68="Sem prazo",L68="Depois"),0,IF(L68="Atrasada",2000,IF(L68="Hoje",1500,500))+F68*G68*100+IF(K68&lt;0,MIN(-K68,30),10-K68)-ROW()/100000)</f>
        <v>0</v>
      </c>
      <c r="N68" s="36" t="n"/>
    </row>
    <row r="69">
      <c r="A69" s="23">
        <f>IF(B69="","",ROW()-3)</f>
        <v/>
      </c>
      <c r="B69" s="36" t="n"/>
      <c r="C69" s="36" t="n"/>
      <c r="D69" s="36" t="n"/>
      <c r="E69" s="37" t="n"/>
      <c r="F69" s="38" t="n"/>
      <c r="G69" s="38" t="n"/>
      <c r="H69" s="38" t="n"/>
      <c r="I69" s="36" t="n"/>
      <c r="J69" s="24">
        <f>IF(B69="","",IF(F69*G69&gt;=6,"Alta",IF(F69*G69&gt;=3,"Média","Baixa")))</f>
        <v/>
      </c>
      <c r="K69" s="23">
        <f>IF(OR(B69="",E69=""),"",E69-Config!$B$4)</f>
        <v/>
      </c>
      <c r="L69" s="24">
        <f>IF(B69="","",IF(OR(I69="Feito",I69="Cancelado"),I69,IF(E69="","Sem prazo",IF(K69&lt;0,"Atrasada",IF(K69=0,"Hoje",IF(K69&lt;=6,"Esta semana","Depois"))))))</f>
        <v/>
      </c>
      <c r="M69" s="39">
        <f>IF(OR(B69="",L69="Feito",L69="Cancelado",L69="Sem prazo",L69="Depois"),0,IF(L69="Atrasada",2000,IF(L69="Hoje",1500,500))+F69*G69*100+IF(K69&lt;0,MIN(-K69,30),10-K69)-ROW()/100000)</f>
        <v>0</v>
      </c>
      <c r="N69" s="36" t="n"/>
    </row>
    <row r="70">
      <c r="A70" s="23">
        <f>IF(B70="","",ROW()-3)</f>
        <v/>
      </c>
      <c r="B70" s="36" t="n"/>
      <c r="C70" s="36" t="n"/>
      <c r="D70" s="36" t="n"/>
      <c r="E70" s="37" t="n"/>
      <c r="F70" s="38" t="n"/>
      <c r="G70" s="38" t="n"/>
      <c r="H70" s="38" t="n"/>
      <c r="I70" s="36" t="n"/>
      <c r="J70" s="24">
        <f>IF(B70="","",IF(F70*G70&gt;=6,"Alta",IF(F70*G70&gt;=3,"Média","Baixa")))</f>
        <v/>
      </c>
      <c r="K70" s="23">
        <f>IF(OR(B70="",E70=""),"",E70-Config!$B$4)</f>
        <v/>
      </c>
      <c r="L70" s="24">
        <f>IF(B70="","",IF(OR(I70="Feito",I70="Cancelado"),I70,IF(E70="","Sem prazo",IF(K70&lt;0,"Atrasada",IF(K70=0,"Hoje",IF(K70&lt;=6,"Esta semana","Depois"))))))</f>
        <v/>
      </c>
      <c r="M70" s="39">
        <f>IF(OR(B70="",L70="Feito",L70="Cancelado",L70="Sem prazo",L70="Depois"),0,IF(L70="Atrasada",2000,IF(L70="Hoje",1500,500))+F70*G70*100+IF(K70&lt;0,MIN(-K70,30),10-K70)-ROW()/100000)</f>
        <v>0</v>
      </c>
      <c r="N70" s="36" t="n"/>
    </row>
    <row r="71">
      <c r="A71" s="23">
        <f>IF(B71="","",ROW()-3)</f>
        <v/>
      </c>
      <c r="B71" s="36" t="n"/>
      <c r="C71" s="36" t="n"/>
      <c r="D71" s="36" t="n"/>
      <c r="E71" s="37" t="n"/>
      <c r="F71" s="38" t="n"/>
      <c r="G71" s="38" t="n"/>
      <c r="H71" s="38" t="n"/>
      <c r="I71" s="36" t="n"/>
      <c r="J71" s="24">
        <f>IF(B71="","",IF(F71*G71&gt;=6,"Alta",IF(F71*G71&gt;=3,"Média","Baixa")))</f>
        <v/>
      </c>
      <c r="K71" s="23">
        <f>IF(OR(B71="",E71=""),"",E71-Config!$B$4)</f>
        <v/>
      </c>
      <c r="L71" s="24">
        <f>IF(B71="","",IF(OR(I71="Feito",I71="Cancelado"),I71,IF(E71="","Sem prazo",IF(K71&lt;0,"Atrasada",IF(K71=0,"Hoje",IF(K71&lt;=6,"Esta semana","Depois"))))))</f>
        <v/>
      </c>
      <c r="M71" s="39">
        <f>IF(OR(B71="",L71="Feito",L71="Cancelado",L71="Sem prazo",L71="Depois"),0,IF(L71="Atrasada",2000,IF(L71="Hoje",1500,500))+F71*G71*100+IF(K71&lt;0,MIN(-K71,30),10-K71)-ROW()/100000)</f>
        <v>0</v>
      </c>
      <c r="N71" s="36" t="n"/>
    </row>
    <row r="72">
      <c r="A72" s="23">
        <f>IF(B72="","",ROW()-3)</f>
        <v/>
      </c>
      <c r="B72" s="36" t="n"/>
      <c r="C72" s="36" t="n"/>
      <c r="D72" s="36" t="n"/>
      <c r="E72" s="37" t="n"/>
      <c r="F72" s="38" t="n"/>
      <c r="G72" s="38" t="n"/>
      <c r="H72" s="38" t="n"/>
      <c r="I72" s="36" t="n"/>
      <c r="J72" s="24">
        <f>IF(B72="","",IF(F72*G72&gt;=6,"Alta",IF(F72*G72&gt;=3,"Média","Baixa")))</f>
        <v/>
      </c>
      <c r="K72" s="23">
        <f>IF(OR(B72="",E72=""),"",E72-Config!$B$4)</f>
        <v/>
      </c>
      <c r="L72" s="24">
        <f>IF(B72="","",IF(OR(I72="Feito",I72="Cancelado"),I72,IF(E72="","Sem prazo",IF(K72&lt;0,"Atrasada",IF(K72=0,"Hoje",IF(K72&lt;=6,"Esta semana","Depois"))))))</f>
        <v/>
      </c>
      <c r="M72" s="39">
        <f>IF(OR(B72="",L72="Feito",L72="Cancelado",L72="Sem prazo",L72="Depois"),0,IF(L72="Atrasada",2000,IF(L72="Hoje",1500,500))+F72*G72*100+IF(K72&lt;0,MIN(-K72,30),10-K72)-ROW()/100000)</f>
        <v>0</v>
      </c>
      <c r="N72" s="36" t="n"/>
    </row>
    <row r="73">
      <c r="A73" s="23">
        <f>IF(B73="","",ROW()-3)</f>
        <v/>
      </c>
      <c r="B73" s="36" t="n"/>
      <c r="C73" s="36" t="n"/>
      <c r="D73" s="36" t="n"/>
      <c r="E73" s="37" t="n"/>
      <c r="F73" s="38" t="n"/>
      <c r="G73" s="38" t="n"/>
      <c r="H73" s="38" t="n"/>
      <c r="I73" s="36" t="n"/>
      <c r="J73" s="24">
        <f>IF(B73="","",IF(F73*G73&gt;=6,"Alta",IF(F73*G73&gt;=3,"Média","Baixa")))</f>
        <v/>
      </c>
      <c r="K73" s="23">
        <f>IF(OR(B73="",E73=""),"",E73-Config!$B$4)</f>
        <v/>
      </c>
      <c r="L73" s="24">
        <f>IF(B73="","",IF(OR(I73="Feito",I73="Cancelado"),I73,IF(E73="","Sem prazo",IF(K73&lt;0,"Atrasada",IF(K73=0,"Hoje",IF(K73&lt;=6,"Esta semana","Depois"))))))</f>
        <v/>
      </c>
      <c r="M73" s="39">
        <f>IF(OR(B73="",L73="Feito",L73="Cancelado",L73="Sem prazo",L73="Depois"),0,IF(L73="Atrasada",2000,IF(L73="Hoje",1500,500))+F73*G73*100+IF(K73&lt;0,MIN(-K73,30),10-K73)-ROW()/100000)</f>
        <v>0</v>
      </c>
      <c r="N73" s="36" t="n"/>
    </row>
    <row r="74">
      <c r="A74" s="23">
        <f>IF(B74="","",ROW()-3)</f>
        <v/>
      </c>
      <c r="B74" s="36" t="n"/>
      <c r="C74" s="36" t="n"/>
      <c r="D74" s="36" t="n"/>
      <c r="E74" s="37" t="n"/>
      <c r="F74" s="38" t="n"/>
      <c r="G74" s="38" t="n"/>
      <c r="H74" s="38" t="n"/>
      <c r="I74" s="36" t="n"/>
      <c r="J74" s="24">
        <f>IF(B74="","",IF(F74*G74&gt;=6,"Alta",IF(F74*G74&gt;=3,"Média","Baixa")))</f>
        <v/>
      </c>
      <c r="K74" s="23">
        <f>IF(OR(B74="",E74=""),"",E74-Config!$B$4)</f>
        <v/>
      </c>
      <c r="L74" s="24">
        <f>IF(B74="","",IF(OR(I74="Feito",I74="Cancelado"),I74,IF(E74="","Sem prazo",IF(K74&lt;0,"Atrasada",IF(K74=0,"Hoje",IF(K74&lt;=6,"Esta semana","Depois"))))))</f>
        <v/>
      </c>
      <c r="M74" s="39">
        <f>IF(OR(B74="",L74="Feito",L74="Cancelado",L74="Sem prazo",L74="Depois"),0,IF(L74="Atrasada",2000,IF(L74="Hoje",1500,500))+F74*G74*100+IF(K74&lt;0,MIN(-K74,30),10-K74)-ROW()/100000)</f>
        <v>0</v>
      </c>
      <c r="N74" s="36" t="n"/>
    </row>
    <row r="75">
      <c r="A75" s="23">
        <f>IF(B75="","",ROW()-3)</f>
        <v/>
      </c>
      <c r="B75" s="36" t="n"/>
      <c r="C75" s="36" t="n"/>
      <c r="D75" s="36" t="n"/>
      <c r="E75" s="37" t="n"/>
      <c r="F75" s="38" t="n"/>
      <c r="G75" s="38" t="n"/>
      <c r="H75" s="38" t="n"/>
      <c r="I75" s="36" t="n"/>
      <c r="J75" s="24">
        <f>IF(B75="","",IF(F75*G75&gt;=6,"Alta",IF(F75*G75&gt;=3,"Média","Baixa")))</f>
        <v/>
      </c>
      <c r="K75" s="23">
        <f>IF(OR(B75="",E75=""),"",E75-Config!$B$4)</f>
        <v/>
      </c>
      <c r="L75" s="24">
        <f>IF(B75="","",IF(OR(I75="Feito",I75="Cancelado"),I75,IF(E75="","Sem prazo",IF(K75&lt;0,"Atrasada",IF(K75=0,"Hoje",IF(K75&lt;=6,"Esta semana","Depois"))))))</f>
        <v/>
      </c>
      <c r="M75" s="39">
        <f>IF(OR(B75="",L75="Feito",L75="Cancelado",L75="Sem prazo",L75="Depois"),0,IF(L75="Atrasada",2000,IF(L75="Hoje",1500,500))+F75*G75*100+IF(K75&lt;0,MIN(-K75,30),10-K75)-ROW()/100000)</f>
        <v>0</v>
      </c>
      <c r="N75" s="36" t="n"/>
    </row>
    <row r="76">
      <c r="A76" s="23">
        <f>IF(B76="","",ROW()-3)</f>
        <v/>
      </c>
      <c r="B76" s="36" t="n"/>
      <c r="C76" s="36" t="n"/>
      <c r="D76" s="36" t="n"/>
      <c r="E76" s="37" t="n"/>
      <c r="F76" s="38" t="n"/>
      <c r="G76" s="38" t="n"/>
      <c r="H76" s="38" t="n"/>
      <c r="I76" s="36" t="n"/>
      <c r="J76" s="24">
        <f>IF(B76="","",IF(F76*G76&gt;=6,"Alta",IF(F76*G76&gt;=3,"Média","Baixa")))</f>
        <v/>
      </c>
      <c r="K76" s="23">
        <f>IF(OR(B76="",E76=""),"",E76-Config!$B$4)</f>
        <v/>
      </c>
      <c r="L76" s="24">
        <f>IF(B76="","",IF(OR(I76="Feito",I76="Cancelado"),I76,IF(E76="","Sem prazo",IF(K76&lt;0,"Atrasada",IF(K76=0,"Hoje",IF(K76&lt;=6,"Esta semana","Depois"))))))</f>
        <v/>
      </c>
      <c r="M76" s="39">
        <f>IF(OR(B76="",L76="Feito",L76="Cancelado",L76="Sem prazo",L76="Depois"),0,IF(L76="Atrasada",2000,IF(L76="Hoje",1500,500))+F76*G76*100+IF(K76&lt;0,MIN(-K76,30),10-K76)-ROW()/100000)</f>
        <v>0</v>
      </c>
      <c r="N76" s="36" t="n"/>
    </row>
    <row r="77">
      <c r="A77" s="23">
        <f>IF(B77="","",ROW()-3)</f>
        <v/>
      </c>
      <c r="B77" s="36" t="n"/>
      <c r="C77" s="36" t="n"/>
      <c r="D77" s="36" t="n"/>
      <c r="E77" s="37" t="n"/>
      <c r="F77" s="38" t="n"/>
      <c r="G77" s="38" t="n"/>
      <c r="H77" s="38" t="n"/>
      <c r="I77" s="36" t="n"/>
      <c r="J77" s="24">
        <f>IF(B77="","",IF(F77*G77&gt;=6,"Alta",IF(F77*G77&gt;=3,"Média","Baixa")))</f>
        <v/>
      </c>
      <c r="K77" s="23">
        <f>IF(OR(B77="",E77=""),"",E77-Config!$B$4)</f>
        <v/>
      </c>
      <c r="L77" s="24">
        <f>IF(B77="","",IF(OR(I77="Feito",I77="Cancelado"),I77,IF(E77="","Sem prazo",IF(K77&lt;0,"Atrasada",IF(K77=0,"Hoje",IF(K77&lt;=6,"Esta semana","Depois"))))))</f>
        <v/>
      </c>
      <c r="M77" s="39">
        <f>IF(OR(B77="",L77="Feito",L77="Cancelado",L77="Sem prazo",L77="Depois"),0,IF(L77="Atrasada",2000,IF(L77="Hoje",1500,500))+F77*G77*100+IF(K77&lt;0,MIN(-K77,30),10-K77)-ROW()/100000)</f>
        <v>0</v>
      </c>
      <c r="N77" s="36" t="n"/>
    </row>
    <row r="78">
      <c r="A78" s="23">
        <f>IF(B78="","",ROW()-3)</f>
        <v/>
      </c>
      <c r="B78" s="36" t="n"/>
      <c r="C78" s="36" t="n"/>
      <c r="D78" s="36" t="n"/>
      <c r="E78" s="37" t="n"/>
      <c r="F78" s="38" t="n"/>
      <c r="G78" s="38" t="n"/>
      <c r="H78" s="38" t="n"/>
      <c r="I78" s="36" t="n"/>
      <c r="J78" s="24">
        <f>IF(B78="","",IF(F78*G78&gt;=6,"Alta",IF(F78*G78&gt;=3,"Média","Baixa")))</f>
        <v/>
      </c>
      <c r="K78" s="23">
        <f>IF(OR(B78="",E78=""),"",E78-Config!$B$4)</f>
        <v/>
      </c>
      <c r="L78" s="24">
        <f>IF(B78="","",IF(OR(I78="Feito",I78="Cancelado"),I78,IF(E78="","Sem prazo",IF(K78&lt;0,"Atrasada",IF(K78=0,"Hoje",IF(K78&lt;=6,"Esta semana","Depois"))))))</f>
        <v/>
      </c>
      <c r="M78" s="39">
        <f>IF(OR(B78="",L78="Feito",L78="Cancelado",L78="Sem prazo",L78="Depois"),0,IF(L78="Atrasada",2000,IF(L78="Hoje",1500,500))+F78*G78*100+IF(K78&lt;0,MIN(-K78,30),10-K78)-ROW()/100000)</f>
        <v>0</v>
      </c>
      <c r="N78" s="36" t="n"/>
    </row>
    <row r="79">
      <c r="A79" s="23">
        <f>IF(B79="","",ROW()-3)</f>
        <v/>
      </c>
      <c r="B79" s="36" t="n"/>
      <c r="C79" s="36" t="n"/>
      <c r="D79" s="36" t="n"/>
      <c r="E79" s="37" t="n"/>
      <c r="F79" s="38" t="n"/>
      <c r="G79" s="38" t="n"/>
      <c r="H79" s="38" t="n"/>
      <c r="I79" s="36" t="n"/>
      <c r="J79" s="24">
        <f>IF(B79="","",IF(F79*G79&gt;=6,"Alta",IF(F79*G79&gt;=3,"Média","Baixa")))</f>
        <v/>
      </c>
      <c r="K79" s="23">
        <f>IF(OR(B79="",E79=""),"",E79-Config!$B$4)</f>
        <v/>
      </c>
      <c r="L79" s="24">
        <f>IF(B79="","",IF(OR(I79="Feito",I79="Cancelado"),I79,IF(E79="","Sem prazo",IF(K79&lt;0,"Atrasada",IF(K79=0,"Hoje",IF(K79&lt;=6,"Esta semana","Depois"))))))</f>
        <v/>
      </c>
      <c r="M79" s="39">
        <f>IF(OR(B79="",L79="Feito",L79="Cancelado",L79="Sem prazo",L79="Depois"),0,IF(L79="Atrasada",2000,IF(L79="Hoje",1500,500))+F79*G79*100+IF(K79&lt;0,MIN(-K79,30),10-K79)-ROW()/100000)</f>
        <v>0</v>
      </c>
      <c r="N79" s="36" t="n"/>
    </row>
    <row r="80">
      <c r="A80" s="23">
        <f>IF(B80="","",ROW()-3)</f>
        <v/>
      </c>
      <c r="B80" s="36" t="n"/>
      <c r="C80" s="36" t="n"/>
      <c r="D80" s="36" t="n"/>
      <c r="E80" s="37" t="n"/>
      <c r="F80" s="38" t="n"/>
      <c r="G80" s="38" t="n"/>
      <c r="H80" s="38" t="n"/>
      <c r="I80" s="36" t="n"/>
      <c r="J80" s="24">
        <f>IF(B80="","",IF(F80*G80&gt;=6,"Alta",IF(F80*G80&gt;=3,"Média","Baixa")))</f>
        <v/>
      </c>
      <c r="K80" s="23">
        <f>IF(OR(B80="",E80=""),"",E80-Config!$B$4)</f>
        <v/>
      </c>
      <c r="L80" s="24">
        <f>IF(B80="","",IF(OR(I80="Feito",I80="Cancelado"),I80,IF(E80="","Sem prazo",IF(K80&lt;0,"Atrasada",IF(K80=0,"Hoje",IF(K80&lt;=6,"Esta semana","Depois"))))))</f>
        <v/>
      </c>
      <c r="M80" s="39">
        <f>IF(OR(B80="",L80="Feito",L80="Cancelado",L80="Sem prazo",L80="Depois"),0,IF(L80="Atrasada",2000,IF(L80="Hoje",1500,500))+F80*G80*100+IF(K80&lt;0,MIN(-K80,30),10-K80)-ROW()/100000)</f>
        <v>0</v>
      </c>
      <c r="N80" s="36" t="n"/>
    </row>
    <row r="81">
      <c r="A81" s="23">
        <f>IF(B81="","",ROW()-3)</f>
        <v/>
      </c>
      <c r="B81" s="36" t="n"/>
      <c r="C81" s="36" t="n"/>
      <c r="D81" s="36" t="n"/>
      <c r="E81" s="37" t="n"/>
      <c r="F81" s="38" t="n"/>
      <c r="G81" s="38" t="n"/>
      <c r="H81" s="38" t="n"/>
      <c r="I81" s="36" t="n"/>
      <c r="J81" s="24">
        <f>IF(B81="","",IF(F81*G81&gt;=6,"Alta",IF(F81*G81&gt;=3,"Média","Baixa")))</f>
        <v/>
      </c>
      <c r="K81" s="23">
        <f>IF(OR(B81="",E81=""),"",E81-Config!$B$4)</f>
        <v/>
      </c>
      <c r="L81" s="24">
        <f>IF(B81="","",IF(OR(I81="Feito",I81="Cancelado"),I81,IF(E81="","Sem prazo",IF(K81&lt;0,"Atrasada",IF(K81=0,"Hoje",IF(K81&lt;=6,"Esta semana","Depois"))))))</f>
        <v/>
      </c>
      <c r="M81" s="39">
        <f>IF(OR(B81="",L81="Feito",L81="Cancelado",L81="Sem prazo",L81="Depois"),0,IF(L81="Atrasada",2000,IF(L81="Hoje",1500,500))+F81*G81*100+IF(K81&lt;0,MIN(-K81,30),10-K81)-ROW()/100000)</f>
        <v>0</v>
      </c>
      <c r="N81" s="36" t="n"/>
    </row>
    <row r="82">
      <c r="A82" s="23">
        <f>IF(B82="","",ROW()-3)</f>
        <v/>
      </c>
      <c r="B82" s="36" t="n"/>
      <c r="C82" s="36" t="n"/>
      <c r="D82" s="36" t="n"/>
      <c r="E82" s="37" t="n"/>
      <c r="F82" s="38" t="n"/>
      <c r="G82" s="38" t="n"/>
      <c r="H82" s="38" t="n"/>
      <c r="I82" s="36" t="n"/>
      <c r="J82" s="24">
        <f>IF(B82="","",IF(F82*G82&gt;=6,"Alta",IF(F82*G82&gt;=3,"Média","Baixa")))</f>
        <v/>
      </c>
      <c r="K82" s="23">
        <f>IF(OR(B82="",E82=""),"",E82-Config!$B$4)</f>
        <v/>
      </c>
      <c r="L82" s="24">
        <f>IF(B82="","",IF(OR(I82="Feito",I82="Cancelado"),I82,IF(E82="","Sem prazo",IF(K82&lt;0,"Atrasada",IF(K82=0,"Hoje",IF(K82&lt;=6,"Esta semana","Depois"))))))</f>
        <v/>
      </c>
      <c r="M82" s="39">
        <f>IF(OR(B82="",L82="Feito",L82="Cancelado",L82="Sem prazo",L82="Depois"),0,IF(L82="Atrasada",2000,IF(L82="Hoje",1500,500))+F82*G82*100+IF(K82&lt;0,MIN(-K82,30),10-K82)-ROW()/100000)</f>
        <v>0</v>
      </c>
      <c r="N82" s="36" t="n"/>
    </row>
    <row r="83">
      <c r="A83" s="23">
        <f>IF(B83="","",ROW()-3)</f>
        <v/>
      </c>
      <c r="B83" s="36" t="n"/>
      <c r="C83" s="36" t="n"/>
      <c r="D83" s="36" t="n"/>
      <c r="E83" s="37" t="n"/>
      <c r="F83" s="38" t="n"/>
      <c r="G83" s="38" t="n"/>
      <c r="H83" s="38" t="n"/>
      <c r="I83" s="36" t="n"/>
      <c r="J83" s="24">
        <f>IF(B83="","",IF(F83*G83&gt;=6,"Alta",IF(F83*G83&gt;=3,"Média","Baixa")))</f>
        <v/>
      </c>
      <c r="K83" s="23">
        <f>IF(OR(B83="",E83=""),"",E83-Config!$B$4)</f>
        <v/>
      </c>
      <c r="L83" s="24">
        <f>IF(B83="","",IF(OR(I83="Feito",I83="Cancelado"),I83,IF(E83="","Sem prazo",IF(K83&lt;0,"Atrasada",IF(K83=0,"Hoje",IF(K83&lt;=6,"Esta semana","Depois"))))))</f>
        <v/>
      </c>
      <c r="M83" s="39">
        <f>IF(OR(B83="",L83="Feito",L83="Cancelado",L83="Sem prazo",L83="Depois"),0,IF(L83="Atrasada",2000,IF(L83="Hoje",1500,500))+F83*G83*100+IF(K83&lt;0,MIN(-K83,30),10-K83)-ROW()/100000)</f>
        <v>0</v>
      </c>
      <c r="N83" s="36" t="n"/>
    </row>
    <row r="84">
      <c r="A84" s="23">
        <f>IF(B84="","",ROW()-3)</f>
        <v/>
      </c>
      <c r="B84" s="36" t="n"/>
      <c r="C84" s="36" t="n"/>
      <c r="D84" s="36" t="n"/>
      <c r="E84" s="37" t="n"/>
      <c r="F84" s="38" t="n"/>
      <c r="G84" s="38" t="n"/>
      <c r="H84" s="38" t="n"/>
      <c r="I84" s="36" t="n"/>
      <c r="J84" s="24">
        <f>IF(B84="","",IF(F84*G84&gt;=6,"Alta",IF(F84*G84&gt;=3,"Média","Baixa")))</f>
        <v/>
      </c>
      <c r="K84" s="23">
        <f>IF(OR(B84="",E84=""),"",E84-Config!$B$4)</f>
        <v/>
      </c>
      <c r="L84" s="24">
        <f>IF(B84="","",IF(OR(I84="Feito",I84="Cancelado"),I84,IF(E84="","Sem prazo",IF(K84&lt;0,"Atrasada",IF(K84=0,"Hoje",IF(K84&lt;=6,"Esta semana","Depois"))))))</f>
        <v/>
      </c>
      <c r="M84" s="39">
        <f>IF(OR(B84="",L84="Feito",L84="Cancelado",L84="Sem prazo",L84="Depois"),0,IF(L84="Atrasada",2000,IF(L84="Hoje",1500,500))+F84*G84*100+IF(K84&lt;0,MIN(-K84,30),10-K84)-ROW()/100000)</f>
        <v>0</v>
      </c>
      <c r="N84" s="36" t="n"/>
    </row>
    <row r="85">
      <c r="A85" s="23">
        <f>IF(B85="","",ROW()-3)</f>
        <v/>
      </c>
      <c r="B85" s="36" t="n"/>
      <c r="C85" s="36" t="n"/>
      <c r="D85" s="36" t="n"/>
      <c r="E85" s="37" t="n"/>
      <c r="F85" s="38" t="n"/>
      <c r="G85" s="38" t="n"/>
      <c r="H85" s="38" t="n"/>
      <c r="I85" s="36" t="n"/>
      <c r="J85" s="24">
        <f>IF(B85="","",IF(F85*G85&gt;=6,"Alta",IF(F85*G85&gt;=3,"Média","Baixa")))</f>
        <v/>
      </c>
      <c r="K85" s="23">
        <f>IF(OR(B85="",E85=""),"",E85-Config!$B$4)</f>
        <v/>
      </c>
      <c r="L85" s="24">
        <f>IF(B85="","",IF(OR(I85="Feito",I85="Cancelado"),I85,IF(E85="","Sem prazo",IF(K85&lt;0,"Atrasada",IF(K85=0,"Hoje",IF(K85&lt;=6,"Esta semana","Depois"))))))</f>
        <v/>
      </c>
      <c r="M85" s="39">
        <f>IF(OR(B85="",L85="Feito",L85="Cancelado",L85="Sem prazo",L85="Depois"),0,IF(L85="Atrasada",2000,IF(L85="Hoje",1500,500))+F85*G85*100+IF(K85&lt;0,MIN(-K85,30),10-K85)-ROW()/100000)</f>
        <v>0</v>
      </c>
      <c r="N85" s="36" t="n"/>
    </row>
    <row r="86">
      <c r="A86" s="23">
        <f>IF(B86="","",ROW()-3)</f>
        <v/>
      </c>
      <c r="B86" s="36" t="n"/>
      <c r="C86" s="36" t="n"/>
      <c r="D86" s="36" t="n"/>
      <c r="E86" s="37" t="n"/>
      <c r="F86" s="38" t="n"/>
      <c r="G86" s="38" t="n"/>
      <c r="H86" s="38" t="n"/>
      <c r="I86" s="36" t="n"/>
      <c r="J86" s="24">
        <f>IF(B86="","",IF(F86*G86&gt;=6,"Alta",IF(F86*G86&gt;=3,"Média","Baixa")))</f>
        <v/>
      </c>
      <c r="K86" s="23">
        <f>IF(OR(B86="",E86=""),"",E86-Config!$B$4)</f>
        <v/>
      </c>
      <c r="L86" s="24">
        <f>IF(B86="","",IF(OR(I86="Feito",I86="Cancelado"),I86,IF(E86="","Sem prazo",IF(K86&lt;0,"Atrasada",IF(K86=0,"Hoje",IF(K86&lt;=6,"Esta semana","Depois"))))))</f>
        <v/>
      </c>
      <c r="M86" s="39">
        <f>IF(OR(B86="",L86="Feito",L86="Cancelado",L86="Sem prazo",L86="Depois"),0,IF(L86="Atrasada",2000,IF(L86="Hoje",1500,500))+F86*G86*100+IF(K86&lt;0,MIN(-K86,30),10-K86)-ROW()/100000)</f>
        <v>0</v>
      </c>
      <c r="N86" s="36" t="n"/>
    </row>
    <row r="87">
      <c r="A87" s="23">
        <f>IF(B87="","",ROW()-3)</f>
        <v/>
      </c>
      <c r="B87" s="36" t="n"/>
      <c r="C87" s="36" t="n"/>
      <c r="D87" s="36" t="n"/>
      <c r="E87" s="37" t="n"/>
      <c r="F87" s="38" t="n"/>
      <c r="G87" s="38" t="n"/>
      <c r="H87" s="38" t="n"/>
      <c r="I87" s="36" t="n"/>
      <c r="J87" s="24">
        <f>IF(B87="","",IF(F87*G87&gt;=6,"Alta",IF(F87*G87&gt;=3,"Média","Baixa")))</f>
        <v/>
      </c>
      <c r="K87" s="23">
        <f>IF(OR(B87="",E87=""),"",E87-Config!$B$4)</f>
        <v/>
      </c>
      <c r="L87" s="24">
        <f>IF(B87="","",IF(OR(I87="Feito",I87="Cancelado"),I87,IF(E87="","Sem prazo",IF(K87&lt;0,"Atrasada",IF(K87=0,"Hoje",IF(K87&lt;=6,"Esta semana","Depois"))))))</f>
        <v/>
      </c>
      <c r="M87" s="39">
        <f>IF(OR(B87="",L87="Feito",L87="Cancelado",L87="Sem prazo",L87="Depois"),0,IF(L87="Atrasada",2000,IF(L87="Hoje",1500,500))+F87*G87*100+IF(K87&lt;0,MIN(-K87,30),10-K87)-ROW()/100000)</f>
        <v>0</v>
      </c>
      <c r="N87" s="36" t="n"/>
    </row>
    <row r="88">
      <c r="A88" s="23">
        <f>IF(B88="","",ROW()-3)</f>
        <v/>
      </c>
      <c r="B88" s="36" t="n"/>
      <c r="C88" s="36" t="n"/>
      <c r="D88" s="36" t="n"/>
      <c r="E88" s="37" t="n"/>
      <c r="F88" s="38" t="n"/>
      <c r="G88" s="38" t="n"/>
      <c r="H88" s="38" t="n"/>
      <c r="I88" s="36" t="n"/>
      <c r="J88" s="24">
        <f>IF(B88="","",IF(F88*G88&gt;=6,"Alta",IF(F88*G88&gt;=3,"Média","Baixa")))</f>
        <v/>
      </c>
      <c r="K88" s="23">
        <f>IF(OR(B88="",E88=""),"",E88-Config!$B$4)</f>
        <v/>
      </c>
      <c r="L88" s="24">
        <f>IF(B88="","",IF(OR(I88="Feito",I88="Cancelado"),I88,IF(E88="","Sem prazo",IF(K88&lt;0,"Atrasada",IF(K88=0,"Hoje",IF(K88&lt;=6,"Esta semana","Depois"))))))</f>
        <v/>
      </c>
      <c r="M88" s="39">
        <f>IF(OR(B88="",L88="Feito",L88="Cancelado",L88="Sem prazo",L88="Depois"),0,IF(L88="Atrasada",2000,IF(L88="Hoje",1500,500))+F88*G88*100+IF(K88&lt;0,MIN(-K88,30),10-K88)-ROW()/100000)</f>
        <v>0</v>
      </c>
      <c r="N88" s="36" t="n"/>
    </row>
    <row r="89">
      <c r="A89" s="23">
        <f>IF(B89="","",ROW()-3)</f>
        <v/>
      </c>
      <c r="B89" s="36" t="n"/>
      <c r="C89" s="36" t="n"/>
      <c r="D89" s="36" t="n"/>
      <c r="E89" s="37" t="n"/>
      <c r="F89" s="38" t="n"/>
      <c r="G89" s="38" t="n"/>
      <c r="H89" s="38" t="n"/>
      <c r="I89" s="36" t="n"/>
      <c r="J89" s="24">
        <f>IF(B89="","",IF(F89*G89&gt;=6,"Alta",IF(F89*G89&gt;=3,"Média","Baixa")))</f>
        <v/>
      </c>
      <c r="K89" s="23">
        <f>IF(OR(B89="",E89=""),"",E89-Config!$B$4)</f>
        <v/>
      </c>
      <c r="L89" s="24">
        <f>IF(B89="","",IF(OR(I89="Feito",I89="Cancelado"),I89,IF(E89="","Sem prazo",IF(K89&lt;0,"Atrasada",IF(K89=0,"Hoje",IF(K89&lt;=6,"Esta semana","Depois"))))))</f>
        <v/>
      </c>
      <c r="M89" s="39">
        <f>IF(OR(B89="",L89="Feito",L89="Cancelado",L89="Sem prazo",L89="Depois"),0,IF(L89="Atrasada",2000,IF(L89="Hoje",1500,500))+F89*G89*100+IF(K89&lt;0,MIN(-K89,30),10-K89)-ROW()/100000)</f>
        <v>0</v>
      </c>
      <c r="N89" s="36" t="n"/>
    </row>
    <row r="90">
      <c r="A90" s="23">
        <f>IF(B90="","",ROW()-3)</f>
        <v/>
      </c>
      <c r="B90" s="36" t="n"/>
      <c r="C90" s="36" t="n"/>
      <c r="D90" s="36" t="n"/>
      <c r="E90" s="37" t="n"/>
      <c r="F90" s="38" t="n"/>
      <c r="G90" s="38" t="n"/>
      <c r="H90" s="38" t="n"/>
      <c r="I90" s="36" t="n"/>
      <c r="J90" s="24">
        <f>IF(B90="","",IF(F90*G90&gt;=6,"Alta",IF(F90*G90&gt;=3,"Média","Baixa")))</f>
        <v/>
      </c>
      <c r="K90" s="23">
        <f>IF(OR(B90="",E90=""),"",E90-Config!$B$4)</f>
        <v/>
      </c>
      <c r="L90" s="24">
        <f>IF(B90="","",IF(OR(I90="Feito",I90="Cancelado"),I90,IF(E90="","Sem prazo",IF(K90&lt;0,"Atrasada",IF(K90=0,"Hoje",IF(K90&lt;=6,"Esta semana","Depois"))))))</f>
        <v/>
      </c>
      <c r="M90" s="39">
        <f>IF(OR(B90="",L90="Feito",L90="Cancelado",L90="Sem prazo",L90="Depois"),0,IF(L90="Atrasada",2000,IF(L90="Hoje",1500,500))+F90*G90*100+IF(K90&lt;0,MIN(-K90,30),10-K90)-ROW()/100000)</f>
        <v>0</v>
      </c>
      <c r="N90" s="36" t="n"/>
    </row>
    <row r="91">
      <c r="A91" s="23">
        <f>IF(B91="","",ROW()-3)</f>
        <v/>
      </c>
      <c r="B91" s="36" t="n"/>
      <c r="C91" s="36" t="n"/>
      <c r="D91" s="36" t="n"/>
      <c r="E91" s="37" t="n"/>
      <c r="F91" s="38" t="n"/>
      <c r="G91" s="38" t="n"/>
      <c r="H91" s="38" t="n"/>
      <c r="I91" s="36" t="n"/>
      <c r="J91" s="24">
        <f>IF(B91="","",IF(F91*G91&gt;=6,"Alta",IF(F91*G91&gt;=3,"Média","Baixa")))</f>
        <v/>
      </c>
      <c r="K91" s="23">
        <f>IF(OR(B91="",E91=""),"",E91-Config!$B$4)</f>
        <v/>
      </c>
      <c r="L91" s="24">
        <f>IF(B91="","",IF(OR(I91="Feito",I91="Cancelado"),I91,IF(E91="","Sem prazo",IF(K91&lt;0,"Atrasada",IF(K91=0,"Hoje",IF(K91&lt;=6,"Esta semana","Depois"))))))</f>
        <v/>
      </c>
      <c r="M91" s="39">
        <f>IF(OR(B91="",L91="Feito",L91="Cancelado",L91="Sem prazo",L91="Depois"),0,IF(L91="Atrasada",2000,IF(L91="Hoje",1500,500))+F91*G91*100+IF(K91&lt;0,MIN(-K91,30),10-K91)-ROW()/100000)</f>
        <v>0</v>
      </c>
      <c r="N91" s="36" t="n"/>
    </row>
    <row r="92">
      <c r="A92" s="23">
        <f>IF(B92="","",ROW()-3)</f>
        <v/>
      </c>
      <c r="B92" s="36" t="n"/>
      <c r="C92" s="36" t="n"/>
      <c r="D92" s="36" t="n"/>
      <c r="E92" s="37" t="n"/>
      <c r="F92" s="38" t="n"/>
      <c r="G92" s="38" t="n"/>
      <c r="H92" s="38" t="n"/>
      <c r="I92" s="36" t="n"/>
      <c r="J92" s="24">
        <f>IF(B92="","",IF(F92*G92&gt;=6,"Alta",IF(F92*G92&gt;=3,"Média","Baixa")))</f>
        <v/>
      </c>
      <c r="K92" s="23">
        <f>IF(OR(B92="",E92=""),"",E92-Config!$B$4)</f>
        <v/>
      </c>
      <c r="L92" s="24">
        <f>IF(B92="","",IF(OR(I92="Feito",I92="Cancelado"),I92,IF(E92="","Sem prazo",IF(K92&lt;0,"Atrasada",IF(K92=0,"Hoje",IF(K92&lt;=6,"Esta semana","Depois"))))))</f>
        <v/>
      </c>
      <c r="M92" s="39">
        <f>IF(OR(B92="",L92="Feito",L92="Cancelado",L92="Sem prazo",L92="Depois"),0,IF(L92="Atrasada",2000,IF(L92="Hoje",1500,500))+F92*G92*100+IF(K92&lt;0,MIN(-K92,30),10-K92)-ROW()/100000)</f>
        <v>0</v>
      </c>
      <c r="N92" s="36" t="n"/>
    </row>
    <row r="93">
      <c r="A93" s="23">
        <f>IF(B93="","",ROW()-3)</f>
        <v/>
      </c>
      <c r="B93" s="36" t="n"/>
      <c r="C93" s="36" t="n"/>
      <c r="D93" s="36" t="n"/>
      <c r="E93" s="37" t="n"/>
      <c r="F93" s="38" t="n"/>
      <c r="G93" s="38" t="n"/>
      <c r="H93" s="38" t="n"/>
      <c r="I93" s="36" t="n"/>
      <c r="J93" s="24">
        <f>IF(B93="","",IF(F93*G93&gt;=6,"Alta",IF(F93*G93&gt;=3,"Média","Baixa")))</f>
        <v/>
      </c>
      <c r="K93" s="23">
        <f>IF(OR(B93="",E93=""),"",E93-Config!$B$4)</f>
        <v/>
      </c>
      <c r="L93" s="24">
        <f>IF(B93="","",IF(OR(I93="Feito",I93="Cancelado"),I93,IF(E93="","Sem prazo",IF(K93&lt;0,"Atrasada",IF(K93=0,"Hoje",IF(K93&lt;=6,"Esta semana","Depois"))))))</f>
        <v/>
      </c>
      <c r="M93" s="39">
        <f>IF(OR(B93="",L93="Feito",L93="Cancelado",L93="Sem prazo",L93="Depois"),0,IF(L93="Atrasada",2000,IF(L93="Hoje",1500,500))+F93*G93*100+IF(K93&lt;0,MIN(-K93,30),10-K93)-ROW()/100000)</f>
        <v>0</v>
      </c>
      <c r="N93" s="36" t="n"/>
    </row>
    <row r="94">
      <c r="A94" s="23">
        <f>IF(B94="","",ROW()-3)</f>
        <v/>
      </c>
      <c r="B94" s="36" t="n"/>
      <c r="C94" s="36" t="n"/>
      <c r="D94" s="36" t="n"/>
      <c r="E94" s="37" t="n"/>
      <c r="F94" s="38" t="n"/>
      <c r="G94" s="38" t="n"/>
      <c r="H94" s="38" t="n"/>
      <c r="I94" s="36" t="n"/>
      <c r="J94" s="24">
        <f>IF(B94="","",IF(F94*G94&gt;=6,"Alta",IF(F94*G94&gt;=3,"Média","Baixa")))</f>
        <v/>
      </c>
      <c r="K94" s="23">
        <f>IF(OR(B94="",E94=""),"",E94-Config!$B$4)</f>
        <v/>
      </c>
      <c r="L94" s="24">
        <f>IF(B94="","",IF(OR(I94="Feito",I94="Cancelado"),I94,IF(E94="","Sem prazo",IF(K94&lt;0,"Atrasada",IF(K94=0,"Hoje",IF(K94&lt;=6,"Esta semana","Depois"))))))</f>
        <v/>
      </c>
      <c r="M94" s="39">
        <f>IF(OR(B94="",L94="Feito",L94="Cancelado",L94="Sem prazo",L94="Depois"),0,IF(L94="Atrasada",2000,IF(L94="Hoje",1500,500))+F94*G94*100+IF(K94&lt;0,MIN(-K94,30),10-K94)-ROW()/100000)</f>
        <v>0</v>
      </c>
      <c r="N94" s="36" t="n"/>
    </row>
    <row r="95">
      <c r="A95" s="23">
        <f>IF(B95="","",ROW()-3)</f>
        <v/>
      </c>
      <c r="B95" s="36" t="n"/>
      <c r="C95" s="36" t="n"/>
      <c r="D95" s="36" t="n"/>
      <c r="E95" s="37" t="n"/>
      <c r="F95" s="38" t="n"/>
      <c r="G95" s="38" t="n"/>
      <c r="H95" s="38" t="n"/>
      <c r="I95" s="36" t="n"/>
      <c r="J95" s="24">
        <f>IF(B95="","",IF(F95*G95&gt;=6,"Alta",IF(F95*G95&gt;=3,"Média","Baixa")))</f>
        <v/>
      </c>
      <c r="K95" s="23">
        <f>IF(OR(B95="",E95=""),"",E95-Config!$B$4)</f>
        <v/>
      </c>
      <c r="L95" s="24">
        <f>IF(B95="","",IF(OR(I95="Feito",I95="Cancelado"),I95,IF(E95="","Sem prazo",IF(K95&lt;0,"Atrasada",IF(K95=0,"Hoje",IF(K95&lt;=6,"Esta semana","Depois"))))))</f>
        <v/>
      </c>
      <c r="M95" s="39">
        <f>IF(OR(B95="",L95="Feito",L95="Cancelado",L95="Sem prazo",L95="Depois"),0,IF(L95="Atrasada",2000,IF(L95="Hoje",1500,500))+F95*G95*100+IF(K95&lt;0,MIN(-K95,30),10-K95)-ROW()/100000)</f>
        <v>0</v>
      </c>
      <c r="N95" s="36" t="n"/>
    </row>
    <row r="96">
      <c r="A96" s="23">
        <f>IF(B96="","",ROW()-3)</f>
        <v/>
      </c>
      <c r="B96" s="36" t="n"/>
      <c r="C96" s="36" t="n"/>
      <c r="D96" s="36" t="n"/>
      <c r="E96" s="37" t="n"/>
      <c r="F96" s="38" t="n"/>
      <c r="G96" s="38" t="n"/>
      <c r="H96" s="38" t="n"/>
      <c r="I96" s="36" t="n"/>
      <c r="J96" s="24">
        <f>IF(B96="","",IF(F96*G96&gt;=6,"Alta",IF(F96*G96&gt;=3,"Média","Baixa")))</f>
        <v/>
      </c>
      <c r="K96" s="23">
        <f>IF(OR(B96="",E96=""),"",E96-Config!$B$4)</f>
        <v/>
      </c>
      <c r="L96" s="24">
        <f>IF(B96="","",IF(OR(I96="Feito",I96="Cancelado"),I96,IF(E96="","Sem prazo",IF(K96&lt;0,"Atrasada",IF(K96=0,"Hoje",IF(K96&lt;=6,"Esta semana","Depois"))))))</f>
        <v/>
      </c>
      <c r="M96" s="39">
        <f>IF(OR(B96="",L96="Feito",L96="Cancelado",L96="Sem prazo",L96="Depois"),0,IF(L96="Atrasada",2000,IF(L96="Hoje",1500,500))+F96*G96*100+IF(K96&lt;0,MIN(-K96,30),10-K96)-ROW()/100000)</f>
        <v>0</v>
      </c>
      <c r="N96" s="36" t="n"/>
    </row>
    <row r="97">
      <c r="A97" s="23">
        <f>IF(B97="","",ROW()-3)</f>
        <v/>
      </c>
      <c r="B97" s="36" t="n"/>
      <c r="C97" s="36" t="n"/>
      <c r="D97" s="36" t="n"/>
      <c r="E97" s="37" t="n"/>
      <c r="F97" s="38" t="n"/>
      <c r="G97" s="38" t="n"/>
      <c r="H97" s="38" t="n"/>
      <c r="I97" s="36" t="n"/>
      <c r="J97" s="24">
        <f>IF(B97="","",IF(F97*G97&gt;=6,"Alta",IF(F97*G97&gt;=3,"Média","Baixa")))</f>
        <v/>
      </c>
      <c r="K97" s="23">
        <f>IF(OR(B97="",E97=""),"",E97-Config!$B$4)</f>
        <v/>
      </c>
      <c r="L97" s="24">
        <f>IF(B97="","",IF(OR(I97="Feito",I97="Cancelado"),I97,IF(E97="","Sem prazo",IF(K97&lt;0,"Atrasada",IF(K97=0,"Hoje",IF(K97&lt;=6,"Esta semana","Depois"))))))</f>
        <v/>
      </c>
      <c r="M97" s="39">
        <f>IF(OR(B97="",L97="Feito",L97="Cancelado",L97="Sem prazo",L97="Depois"),0,IF(L97="Atrasada",2000,IF(L97="Hoje",1500,500))+F97*G97*100+IF(K97&lt;0,MIN(-K97,30),10-K97)-ROW()/100000)</f>
        <v>0</v>
      </c>
      <c r="N97" s="36" t="n"/>
    </row>
    <row r="98">
      <c r="A98" s="23">
        <f>IF(B98="","",ROW()-3)</f>
        <v/>
      </c>
      <c r="B98" s="36" t="n"/>
      <c r="C98" s="36" t="n"/>
      <c r="D98" s="36" t="n"/>
      <c r="E98" s="37" t="n"/>
      <c r="F98" s="38" t="n"/>
      <c r="G98" s="38" t="n"/>
      <c r="H98" s="38" t="n"/>
      <c r="I98" s="36" t="n"/>
      <c r="J98" s="24">
        <f>IF(B98="","",IF(F98*G98&gt;=6,"Alta",IF(F98*G98&gt;=3,"Média","Baixa")))</f>
        <v/>
      </c>
      <c r="K98" s="23">
        <f>IF(OR(B98="",E98=""),"",E98-Config!$B$4)</f>
        <v/>
      </c>
      <c r="L98" s="24">
        <f>IF(B98="","",IF(OR(I98="Feito",I98="Cancelado"),I98,IF(E98="","Sem prazo",IF(K98&lt;0,"Atrasada",IF(K98=0,"Hoje",IF(K98&lt;=6,"Esta semana","Depois"))))))</f>
        <v/>
      </c>
      <c r="M98" s="39">
        <f>IF(OR(B98="",L98="Feito",L98="Cancelado",L98="Sem prazo",L98="Depois"),0,IF(L98="Atrasada",2000,IF(L98="Hoje",1500,500))+F98*G98*100+IF(K98&lt;0,MIN(-K98,30),10-K98)-ROW()/100000)</f>
        <v>0</v>
      </c>
      <c r="N98" s="36" t="n"/>
    </row>
    <row r="99">
      <c r="A99" s="23">
        <f>IF(B99="","",ROW()-3)</f>
        <v/>
      </c>
      <c r="B99" s="36" t="n"/>
      <c r="C99" s="36" t="n"/>
      <c r="D99" s="36" t="n"/>
      <c r="E99" s="37" t="n"/>
      <c r="F99" s="38" t="n"/>
      <c r="G99" s="38" t="n"/>
      <c r="H99" s="38" t="n"/>
      <c r="I99" s="36" t="n"/>
      <c r="J99" s="24">
        <f>IF(B99="","",IF(F99*G99&gt;=6,"Alta",IF(F99*G99&gt;=3,"Média","Baixa")))</f>
        <v/>
      </c>
      <c r="K99" s="23">
        <f>IF(OR(B99="",E99=""),"",E99-Config!$B$4)</f>
        <v/>
      </c>
      <c r="L99" s="24">
        <f>IF(B99="","",IF(OR(I99="Feito",I99="Cancelado"),I99,IF(E99="","Sem prazo",IF(K99&lt;0,"Atrasada",IF(K99=0,"Hoje",IF(K99&lt;=6,"Esta semana","Depois"))))))</f>
        <v/>
      </c>
      <c r="M99" s="39">
        <f>IF(OR(B99="",L99="Feito",L99="Cancelado",L99="Sem prazo",L99="Depois"),0,IF(L99="Atrasada",2000,IF(L99="Hoje",1500,500))+F99*G99*100+IF(K99&lt;0,MIN(-K99,30),10-K99)-ROW()/100000)</f>
        <v>0</v>
      </c>
      <c r="N99" s="36" t="n"/>
    </row>
    <row r="100">
      <c r="A100" s="23">
        <f>IF(B100="","",ROW()-3)</f>
        <v/>
      </c>
      <c r="B100" s="36" t="n"/>
      <c r="C100" s="36" t="n"/>
      <c r="D100" s="36" t="n"/>
      <c r="E100" s="37" t="n"/>
      <c r="F100" s="38" t="n"/>
      <c r="G100" s="38" t="n"/>
      <c r="H100" s="38" t="n"/>
      <c r="I100" s="36" t="n"/>
      <c r="J100" s="24">
        <f>IF(B100="","",IF(F100*G100&gt;=6,"Alta",IF(F100*G100&gt;=3,"Média","Baixa")))</f>
        <v/>
      </c>
      <c r="K100" s="23">
        <f>IF(OR(B100="",E100=""),"",E100-Config!$B$4)</f>
        <v/>
      </c>
      <c r="L100" s="24">
        <f>IF(B100="","",IF(OR(I100="Feito",I100="Cancelado"),I100,IF(E100="","Sem prazo",IF(K100&lt;0,"Atrasada",IF(K100=0,"Hoje",IF(K100&lt;=6,"Esta semana","Depois"))))))</f>
        <v/>
      </c>
      <c r="M100" s="39">
        <f>IF(OR(B100="",L100="Feito",L100="Cancelado",L100="Sem prazo",L100="Depois"),0,IF(L100="Atrasada",2000,IF(L100="Hoje",1500,500))+F100*G100*100+IF(K100&lt;0,MIN(-K100,30),10-K100)-ROW()/100000)</f>
        <v>0</v>
      </c>
      <c r="N100" s="36" t="n"/>
    </row>
    <row r="101">
      <c r="A101" s="23">
        <f>IF(B101="","",ROW()-3)</f>
        <v/>
      </c>
      <c r="B101" s="36" t="n"/>
      <c r="C101" s="36" t="n"/>
      <c r="D101" s="36" t="n"/>
      <c r="E101" s="37" t="n"/>
      <c r="F101" s="38" t="n"/>
      <c r="G101" s="38" t="n"/>
      <c r="H101" s="38" t="n"/>
      <c r="I101" s="36" t="n"/>
      <c r="J101" s="24">
        <f>IF(B101="","",IF(F101*G101&gt;=6,"Alta",IF(F101*G101&gt;=3,"Média","Baixa")))</f>
        <v/>
      </c>
      <c r="K101" s="23">
        <f>IF(OR(B101="",E101=""),"",E101-Config!$B$4)</f>
        <v/>
      </c>
      <c r="L101" s="24">
        <f>IF(B101="","",IF(OR(I101="Feito",I101="Cancelado"),I101,IF(E101="","Sem prazo",IF(K101&lt;0,"Atrasada",IF(K101=0,"Hoje",IF(K101&lt;=6,"Esta semana","Depois"))))))</f>
        <v/>
      </c>
      <c r="M101" s="39">
        <f>IF(OR(B101="",L101="Feito",L101="Cancelado",L101="Sem prazo",L101="Depois"),0,IF(L101="Atrasada",2000,IF(L101="Hoje",1500,500))+F101*G101*100+IF(K101&lt;0,MIN(-K101,30),10-K101)-ROW()/100000)</f>
        <v>0</v>
      </c>
      <c r="N101" s="36" t="n"/>
    </row>
    <row r="102">
      <c r="A102" s="23">
        <f>IF(B102="","",ROW()-3)</f>
        <v/>
      </c>
      <c r="B102" s="36" t="n"/>
      <c r="C102" s="36" t="n"/>
      <c r="D102" s="36" t="n"/>
      <c r="E102" s="37" t="n"/>
      <c r="F102" s="38" t="n"/>
      <c r="G102" s="38" t="n"/>
      <c r="H102" s="38" t="n"/>
      <c r="I102" s="36" t="n"/>
      <c r="J102" s="24">
        <f>IF(B102="","",IF(F102*G102&gt;=6,"Alta",IF(F102*G102&gt;=3,"Média","Baixa")))</f>
        <v/>
      </c>
      <c r="K102" s="23">
        <f>IF(OR(B102="",E102=""),"",E102-Config!$B$4)</f>
        <v/>
      </c>
      <c r="L102" s="24">
        <f>IF(B102="","",IF(OR(I102="Feito",I102="Cancelado"),I102,IF(E102="","Sem prazo",IF(K102&lt;0,"Atrasada",IF(K102=0,"Hoje",IF(K102&lt;=6,"Esta semana","Depois"))))))</f>
        <v/>
      </c>
      <c r="M102" s="39">
        <f>IF(OR(B102="",L102="Feito",L102="Cancelado",L102="Sem prazo",L102="Depois"),0,IF(L102="Atrasada",2000,IF(L102="Hoje",1500,500))+F102*G102*100+IF(K102&lt;0,MIN(-K102,30),10-K102)-ROW()/100000)</f>
        <v>0</v>
      </c>
      <c r="N102" s="36" t="n"/>
    </row>
    <row r="103">
      <c r="A103" s="23">
        <f>IF(B103="","",ROW()-3)</f>
        <v/>
      </c>
      <c r="B103" s="36" t="n"/>
      <c r="C103" s="36" t="n"/>
      <c r="D103" s="36" t="n"/>
      <c r="E103" s="37" t="n"/>
      <c r="F103" s="38" t="n"/>
      <c r="G103" s="38" t="n"/>
      <c r="H103" s="38" t="n"/>
      <c r="I103" s="36" t="n"/>
      <c r="J103" s="24">
        <f>IF(B103="","",IF(F103*G103&gt;=6,"Alta",IF(F103*G103&gt;=3,"Média","Baixa")))</f>
        <v/>
      </c>
      <c r="K103" s="23">
        <f>IF(OR(B103="",E103=""),"",E103-Config!$B$4)</f>
        <v/>
      </c>
      <c r="L103" s="24">
        <f>IF(B103="","",IF(OR(I103="Feito",I103="Cancelado"),I103,IF(E103="","Sem prazo",IF(K103&lt;0,"Atrasada",IF(K103=0,"Hoje",IF(K103&lt;=6,"Esta semana","Depois"))))))</f>
        <v/>
      </c>
      <c r="M103" s="39">
        <f>IF(OR(B103="",L103="Feito",L103="Cancelado",L103="Sem prazo",L103="Depois"),0,IF(L103="Atrasada",2000,IF(L103="Hoje",1500,500))+F103*G103*100+IF(K103&lt;0,MIN(-K103,30),10-K103)-ROW()/100000)</f>
        <v>0</v>
      </c>
      <c r="N103" s="36" t="n"/>
    </row>
    <row r="104">
      <c r="A104" s="23">
        <f>IF(B104="","",ROW()-3)</f>
        <v/>
      </c>
      <c r="B104" s="36" t="n"/>
      <c r="C104" s="36" t="n"/>
      <c r="D104" s="36" t="n"/>
      <c r="E104" s="37" t="n"/>
      <c r="F104" s="38" t="n"/>
      <c r="G104" s="38" t="n"/>
      <c r="H104" s="38" t="n"/>
      <c r="I104" s="36" t="n"/>
      <c r="J104" s="24">
        <f>IF(B104="","",IF(F104*G104&gt;=6,"Alta",IF(F104*G104&gt;=3,"Média","Baixa")))</f>
        <v/>
      </c>
      <c r="K104" s="23">
        <f>IF(OR(B104="",E104=""),"",E104-Config!$B$4)</f>
        <v/>
      </c>
      <c r="L104" s="24">
        <f>IF(B104="","",IF(OR(I104="Feito",I104="Cancelado"),I104,IF(E104="","Sem prazo",IF(K104&lt;0,"Atrasada",IF(K104=0,"Hoje",IF(K104&lt;=6,"Esta semana","Depois"))))))</f>
        <v/>
      </c>
      <c r="M104" s="39">
        <f>IF(OR(B104="",L104="Feito",L104="Cancelado",L104="Sem prazo",L104="Depois"),0,IF(L104="Atrasada",2000,IF(L104="Hoje",1500,500))+F104*G104*100+IF(K104&lt;0,MIN(-K104,30),10-K104)-ROW()/100000)</f>
        <v>0</v>
      </c>
      <c r="N104" s="36" t="n"/>
    </row>
    <row r="105">
      <c r="A105" s="23">
        <f>IF(B105="","",ROW()-3)</f>
        <v/>
      </c>
      <c r="B105" s="36" t="n"/>
      <c r="C105" s="36" t="n"/>
      <c r="D105" s="36" t="n"/>
      <c r="E105" s="37" t="n"/>
      <c r="F105" s="38" t="n"/>
      <c r="G105" s="38" t="n"/>
      <c r="H105" s="38" t="n"/>
      <c r="I105" s="36" t="n"/>
      <c r="J105" s="24">
        <f>IF(B105="","",IF(F105*G105&gt;=6,"Alta",IF(F105*G105&gt;=3,"Média","Baixa")))</f>
        <v/>
      </c>
      <c r="K105" s="23">
        <f>IF(OR(B105="",E105=""),"",E105-Config!$B$4)</f>
        <v/>
      </c>
      <c r="L105" s="24">
        <f>IF(B105="","",IF(OR(I105="Feito",I105="Cancelado"),I105,IF(E105="","Sem prazo",IF(K105&lt;0,"Atrasada",IF(K105=0,"Hoje",IF(K105&lt;=6,"Esta semana","Depois"))))))</f>
        <v/>
      </c>
      <c r="M105" s="39">
        <f>IF(OR(B105="",L105="Feito",L105="Cancelado",L105="Sem prazo",L105="Depois"),0,IF(L105="Atrasada",2000,IF(L105="Hoje",1500,500))+F105*G105*100+IF(K105&lt;0,MIN(-K105,30),10-K105)-ROW()/100000)</f>
        <v>0</v>
      </c>
      <c r="N105" s="36" t="n"/>
    </row>
    <row r="106">
      <c r="A106" s="23">
        <f>IF(B106="","",ROW()-3)</f>
        <v/>
      </c>
      <c r="B106" s="36" t="n"/>
      <c r="C106" s="36" t="n"/>
      <c r="D106" s="36" t="n"/>
      <c r="E106" s="37" t="n"/>
      <c r="F106" s="38" t="n"/>
      <c r="G106" s="38" t="n"/>
      <c r="H106" s="38" t="n"/>
      <c r="I106" s="36" t="n"/>
      <c r="J106" s="24">
        <f>IF(B106="","",IF(F106*G106&gt;=6,"Alta",IF(F106*G106&gt;=3,"Média","Baixa")))</f>
        <v/>
      </c>
      <c r="K106" s="23">
        <f>IF(OR(B106="",E106=""),"",E106-Config!$B$4)</f>
        <v/>
      </c>
      <c r="L106" s="24">
        <f>IF(B106="","",IF(OR(I106="Feito",I106="Cancelado"),I106,IF(E106="","Sem prazo",IF(K106&lt;0,"Atrasada",IF(K106=0,"Hoje",IF(K106&lt;=6,"Esta semana","Depois"))))))</f>
        <v/>
      </c>
      <c r="M106" s="39">
        <f>IF(OR(B106="",L106="Feito",L106="Cancelado",L106="Sem prazo",L106="Depois"),0,IF(L106="Atrasada",2000,IF(L106="Hoje",1500,500))+F106*G106*100+IF(K106&lt;0,MIN(-K106,30),10-K106)-ROW()/100000)</f>
        <v>0</v>
      </c>
      <c r="N106" s="36" t="n"/>
    </row>
    <row r="107">
      <c r="A107" s="23">
        <f>IF(B107="","",ROW()-3)</f>
        <v/>
      </c>
      <c r="B107" s="36" t="n"/>
      <c r="C107" s="36" t="n"/>
      <c r="D107" s="36" t="n"/>
      <c r="E107" s="37" t="n"/>
      <c r="F107" s="38" t="n"/>
      <c r="G107" s="38" t="n"/>
      <c r="H107" s="38" t="n"/>
      <c r="I107" s="36" t="n"/>
      <c r="J107" s="24">
        <f>IF(B107="","",IF(F107*G107&gt;=6,"Alta",IF(F107*G107&gt;=3,"Média","Baixa")))</f>
        <v/>
      </c>
      <c r="K107" s="23">
        <f>IF(OR(B107="",E107=""),"",E107-Config!$B$4)</f>
        <v/>
      </c>
      <c r="L107" s="24">
        <f>IF(B107="","",IF(OR(I107="Feito",I107="Cancelado"),I107,IF(E107="","Sem prazo",IF(K107&lt;0,"Atrasada",IF(K107=0,"Hoje",IF(K107&lt;=6,"Esta semana","Depois"))))))</f>
        <v/>
      </c>
      <c r="M107" s="39">
        <f>IF(OR(B107="",L107="Feito",L107="Cancelado",L107="Sem prazo",L107="Depois"),0,IF(L107="Atrasada",2000,IF(L107="Hoje",1500,500))+F107*G107*100+IF(K107&lt;0,MIN(-K107,30),10-K107)-ROW()/100000)</f>
        <v>0</v>
      </c>
      <c r="N107" s="36" t="n"/>
    </row>
    <row r="108">
      <c r="A108" s="23">
        <f>IF(B108="","",ROW()-3)</f>
        <v/>
      </c>
      <c r="B108" s="36" t="n"/>
      <c r="C108" s="36" t="n"/>
      <c r="D108" s="36" t="n"/>
      <c r="E108" s="37" t="n"/>
      <c r="F108" s="38" t="n"/>
      <c r="G108" s="38" t="n"/>
      <c r="H108" s="38" t="n"/>
      <c r="I108" s="36" t="n"/>
      <c r="J108" s="24">
        <f>IF(B108="","",IF(F108*G108&gt;=6,"Alta",IF(F108*G108&gt;=3,"Média","Baixa")))</f>
        <v/>
      </c>
      <c r="K108" s="23">
        <f>IF(OR(B108="",E108=""),"",E108-Config!$B$4)</f>
        <v/>
      </c>
      <c r="L108" s="24">
        <f>IF(B108="","",IF(OR(I108="Feito",I108="Cancelado"),I108,IF(E108="","Sem prazo",IF(K108&lt;0,"Atrasada",IF(K108=0,"Hoje",IF(K108&lt;=6,"Esta semana","Depois"))))))</f>
        <v/>
      </c>
      <c r="M108" s="39">
        <f>IF(OR(B108="",L108="Feito",L108="Cancelado",L108="Sem prazo",L108="Depois"),0,IF(L108="Atrasada",2000,IF(L108="Hoje",1500,500))+F108*G108*100+IF(K108&lt;0,MIN(-K108,30),10-K108)-ROW()/100000)</f>
        <v>0</v>
      </c>
      <c r="N108" s="36" t="n"/>
    </row>
    <row r="109">
      <c r="A109" s="23">
        <f>IF(B109="","",ROW()-3)</f>
        <v/>
      </c>
      <c r="B109" s="36" t="n"/>
      <c r="C109" s="36" t="n"/>
      <c r="D109" s="36" t="n"/>
      <c r="E109" s="37" t="n"/>
      <c r="F109" s="38" t="n"/>
      <c r="G109" s="38" t="n"/>
      <c r="H109" s="38" t="n"/>
      <c r="I109" s="36" t="n"/>
      <c r="J109" s="24">
        <f>IF(B109="","",IF(F109*G109&gt;=6,"Alta",IF(F109*G109&gt;=3,"Média","Baixa")))</f>
        <v/>
      </c>
      <c r="K109" s="23">
        <f>IF(OR(B109="",E109=""),"",E109-Config!$B$4)</f>
        <v/>
      </c>
      <c r="L109" s="24">
        <f>IF(B109="","",IF(OR(I109="Feito",I109="Cancelado"),I109,IF(E109="","Sem prazo",IF(K109&lt;0,"Atrasada",IF(K109=0,"Hoje",IF(K109&lt;=6,"Esta semana","Depois"))))))</f>
        <v/>
      </c>
      <c r="M109" s="39">
        <f>IF(OR(B109="",L109="Feito",L109="Cancelado",L109="Sem prazo",L109="Depois"),0,IF(L109="Atrasada",2000,IF(L109="Hoje",1500,500))+F109*G109*100+IF(K109&lt;0,MIN(-K109,30),10-K109)-ROW()/100000)</f>
        <v>0</v>
      </c>
      <c r="N109" s="36" t="n"/>
    </row>
    <row r="110">
      <c r="A110" s="23">
        <f>IF(B110="","",ROW()-3)</f>
        <v/>
      </c>
      <c r="B110" s="36" t="n"/>
      <c r="C110" s="36" t="n"/>
      <c r="D110" s="36" t="n"/>
      <c r="E110" s="37" t="n"/>
      <c r="F110" s="38" t="n"/>
      <c r="G110" s="38" t="n"/>
      <c r="H110" s="38" t="n"/>
      <c r="I110" s="36" t="n"/>
      <c r="J110" s="24">
        <f>IF(B110="","",IF(F110*G110&gt;=6,"Alta",IF(F110*G110&gt;=3,"Média","Baixa")))</f>
        <v/>
      </c>
      <c r="K110" s="23">
        <f>IF(OR(B110="",E110=""),"",E110-Config!$B$4)</f>
        <v/>
      </c>
      <c r="L110" s="24">
        <f>IF(B110="","",IF(OR(I110="Feito",I110="Cancelado"),I110,IF(E110="","Sem prazo",IF(K110&lt;0,"Atrasada",IF(K110=0,"Hoje",IF(K110&lt;=6,"Esta semana","Depois"))))))</f>
        <v/>
      </c>
      <c r="M110" s="39">
        <f>IF(OR(B110="",L110="Feito",L110="Cancelado",L110="Sem prazo",L110="Depois"),0,IF(L110="Atrasada",2000,IF(L110="Hoje",1500,500))+F110*G110*100+IF(K110&lt;0,MIN(-K110,30),10-K110)-ROW()/100000)</f>
        <v>0</v>
      </c>
      <c r="N110" s="36" t="n"/>
    </row>
    <row r="111">
      <c r="A111" s="23">
        <f>IF(B111="","",ROW()-3)</f>
        <v/>
      </c>
      <c r="B111" s="36" t="n"/>
      <c r="C111" s="36" t="n"/>
      <c r="D111" s="36" t="n"/>
      <c r="E111" s="37" t="n"/>
      <c r="F111" s="38" t="n"/>
      <c r="G111" s="38" t="n"/>
      <c r="H111" s="38" t="n"/>
      <c r="I111" s="36" t="n"/>
      <c r="J111" s="24">
        <f>IF(B111="","",IF(F111*G111&gt;=6,"Alta",IF(F111*G111&gt;=3,"Média","Baixa")))</f>
        <v/>
      </c>
      <c r="K111" s="23">
        <f>IF(OR(B111="",E111=""),"",E111-Config!$B$4)</f>
        <v/>
      </c>
      <c r="L111" s="24">
        <f>IF(B111="","",IF(OR(I111="Feito",I111="Cancelado"),I111,IF(E111="","Sem prazo",IF(K111&lt;0,"Atrasada",IF(K111=0,"Hoje",IF(K111&lt;=6,"Esta semana","Depois"))))))</f>
        <v/>
      </c>
      <c r="M111" s="39">
        <f>IF(OR(B111="",L111="Feito",L111="Cancelado",L111="Sem prazo",L111="Depois"),0,IF(L111="Atrasada",2000,IF(L111="Hoje",1500,500))+F111*G111*100+IF(K111&lt;0,MIN(-K111,30),10-K111)-ROW()/100000)</f>
        <v>0</v>
      </c>
      <c r="N111" s="36" t="n"/>
    </row>
    <row r="112">
      <c r="A112" s="23">
        <f>IF(B112="","",ROW()-3)</f>
        <v/>
      </c>
      <c r="B112" s="36" t="n"/>
      <c r="C112" s="36" t="n"/>
      <c r="D112" s="36" t="n"/>
      <c r="E112" s="37" t="n"/>
      <c r="F112" s="38" t="n"/>
      <c r="G112" s="38" t="n"/>
      <c r="H112" s="38" t="n"/>
      <c r="I112" s="36" t="n"/>
      <c r="J112" s="24">
        <f>IF(B112="","",IF(F112*G112&gt;=6,"Alta",IF(F112*G112&gt;=3,"Média","Baixa")))</f>
        <v/>
      </c>
      <c r="K112" s="23">
        <f>IF(OR(B112="",E112=""),"",E112-Config!$B$4)</f>
        <v/>
      </c>
      <c r="L112" s="24">
        <f>IF(B112="","",IF(OR(I112="Feito",I112="Cancelado"),I112,IF(E112="","Sem prazo",IF(K112&lt;0,"Atrasada",IF(K112=0,"Hoje",IF(K112&lt;=6,"Esta semana","Depois"))))))</f>
        <v/>
      </c>
      <c r="M112" s="39">
        <f>IF(OR(B112="",L112="Feito",L112="Cancelado",L112="Sem prazo",L112="Depois"),0,IF(L112="Atrasada",2000,IF(L112="Hoje",1500,500))+F112*G112*100+IF(K112&lt;0,MIN(-K112,30),10-K112)-ROW()/100000)</f>
        <v>0</v>
      </c>
      <c r="N112" s="36" t="n"/>
    </row>
    <row r="113">
      <c r="A113" s="23">
        <f>IF(B113="","",ROW()-3)</f>
        <v/>
      </c>
      <c r="B113" s="36" t="n"/>
      <c r="C113" s="36" t="n"/>
      <c r="D113" s="36" t="n"/>
      <c r="E113" s="37" t="n"/>
      <c r="F113" s="38" t="n"/>
      <c r="G113" s="38" t="n"/>
      <c r="H113" s="38" t="n"/>
      <c r="I113" s="36" t="n"/>
      <c r="J113" s="24">
        <f>IF(B113="","",IF(F113*G113&gt;=6,"Alta",IF(F113*G113&gt;=3,"Média","Baixa")))</f>
        <v/>
      </c>
      <c r="K113" s="23">
        <f>IF(OR(B113="",E113=""),"",E113-Config!$B$4)</f>
        <v/>
      </c>
      <c r="L113" s="24">
        <f>IF(B113="","",IF(OR(I113="Feito",I113="Cancelado"),I113,IF(E113="","Sem prazo",IF(K113&lt;0,"Atrasada",IF(K113=0,"Hoje",IF(K113&lt;=6,"Esta semana","Depois"))))))</f>
        <v/>
      </c>
      <c r="M113" s="39">
        <f>IF(OR(B113="",L113="Feito",L113="Cancelado",L113="Sem prazo",L113="Depois"),0,IF(L113="Atrasada",2000,IF(L113="Hoje",1500,500))+F113*G113*100+IF(K113&lt;0,MIN(-K113,30),10-K113)-ROW()/100000)</f>
        <v>0</v>
      </c>
      <c r="N113" s="36" t="n"/>
    </row>
    <row r="114">
      <c r="A114" s="23">
        <f>IF(B114="","",ROW()-3)</f>
        <v/>
      </c>
      <c r="B114" s="36" t="n"/>
      <c r="C114" s="36" t="n"/>
      <c r="D114" s="36" t="n"/>
      <c r="E114" s="37" t="n"/>
      <c r="F114" s="38" t="n"/>
      <c r="G114" s="38" t="n"/>
      <c r="H114" s="38" t="n"/>
      <c r="I114" s="36" t="n"/>
      <c r="J114" s="24">
        <f>IF(B114="","",IF(F114*G114&gt;=6,"Alta",IF(F114*G114&gt;=3,"Média","Baixa")))</f>
        <v/>
      </c>
      <c r="K114" s="23">
        <f>IF(OR(B114="",E114=""),"",E114-Config!$B$4)</f>
        <v/>
      </c>
      <c r="L114" s="24">
        <f>IF(B114="","",IF(OR(I114="Feito",I114="Cancelado"),I114,IF(E114="","Sem prazo",IF(K114&lt;0,"Atrasada",IF(K114=0,"Hoje",IF(K114&lt;=6,"Esta semana","Depois"))))))</f>
        <v/>
      </c>
      <c r="M114" s="39">
        <f>IF(OR(B114="",L114="Feito",L114="Cancelado",L114="Sem prazo",L114="Depois"),0,IF(L114="Atrasada",2000,IF(L114="Hoje",1500,500))+F114*G114*100+IF(K114&lt;0,MIN(-K114,30),10-K114)-ROW()/100000)</f>
        <v>0</v>
      </c>
      <c r="N114" s="36" t="n"/>
    </row>
    <row r="115">
      <c r="A115" s="23">
        <f>IF(B115="","",ROW()-3)</f>
        <v/>
      </c>
      <c r="B115" s="36" t="n"/>
      <c r="C115" s="36" t="n"/>
      <c r="D115" s="36" t="n"/>
      <c r="E115" s="37" t="n"/>
      <c r="F115" s="38" t="n"/>
      <c r="G115" s="38" t="n"/>
      <c r="H115" s="38" t="n"/>
      <c r="I115" s="36" t="n"/>
      <c r="J115" s="24">
        <f>IF(B115="","",IF(F115*G115&gt;=6,"Alta",IF(F115*G115&gt;=3,"Média","Baixa")))</f>
        <v/>
      </c>
      <c r="K115" s="23">
        <f>IF(OR(B115="",E115=""),"",E115-Config!$B$4)</f>
        <v/>
      </c>
      <c r="L115" s="24">
        <f>IF(B115="","",IF(OR(I115="Feito",I115="Cancelado"),I115,IF(E115="","Sem prazo",IF(K115&lt;0,"Atrasada",IF(K115=0,"Hoje",IF(K115&lt;=6,"Esta semana","Depois"))))))</f>
        <v/>
      </c>
      <c r="M115" s="39">
        <f>IF(OR(B115="",L115="Feito",L115="Cancelado",L115="Sem prazo",L115="Depois"),0,IF(L115="Atrasada",2000,IF(L115="Hoje",1500,500))+F115*G115*100+IF(K115&lt;0,MIN(-K115,30),10-K115)-ROW()/100000)</f>
        <v>0</v>
      </c>
      <c r="N115" s="36" t="n"/>
    </row>
    <row r="116">
      <c r="A116" s="23">
        <f>IF(B116="","",ROW()-3)</f>
        <v/>
      </c>
      <c r="B116" s="36" t="n"/>
      <c r="C116" s="36" t="n"/>
      <c r="D116" s="36" t="n"/>
      <c r="E116" s="37" t="n"/>
      <c r="F116" s="38" t="n"/>
      <c r="G116" s="38" t="n"/>
      <c r="H116" s="38" t="n"/>
      <c r="I116" s="36" t="n"/>
      <c r="J116" s="24">
        <f>IF(B116="","",IF(F116*G116&gt;=6,"Alta",IF(F116*G116&gt;=3,"Média","Baixa")))</f>
        <v/>
      </c>
      <c r="K116" s="23">
        <f>IF(OR(B116="",E116=""),"",E116-Config!$B$4)</f>
        <v/>
      </c>
      <c r="L116" s="24">
        <f>IF(B116="","",IF(OR(I116="Feito",I116="Cancelado"),I116,IF(E116="","Sem prazo",IF(K116&lt;0,"Atrasada",IF(K116=0,"Hoje",IF(K116&lt;=6,"Esta semana","Depois"))))))</f>
        <v/>
      </c>
      <c r="M116" s="39">
        <f>IF(OR(B116="",L116="Feito",L116="Cancelado",L116="Sem prazo",L116="Depois"),0,IF(L116="Atrasada",2000,IF(L116="Hoje",1500,500))+F116*G116*100+IF(K116&lt;0,MIN(-K116,30),10-K116)-ROW()/100000)</f>
        <v>0</v>
      </c>
      <c r="N116" s="36" t="n"/>
    </row>
    <row r="117">
      <c r="A117" s="23">
        <f>IF(B117="","",ROW()-3)</f>
        <v/>
      </c>
      <c r="B117" s="36" t="n"/>
      <c r="C117" s="36" t="n"/>
      <c r="D117" s="36" t="n"/>
      <c r="E117" s="37" t="n"/>
      <c r="F117" s="38" t="n"/>
      <c r="G117" s="38" t="n"/>
      <c r="H117" s="38" t="n"/>
      <c r="I117" s="36" t="n"/>
      <c r="J117" s="24">
        <f>IF(B117="","",IF(F117*G117&gt;=6,"Alta",IF(F117*G117&gt;=3,"Média","Baixa")))</f>
        <v/>
      </c>
      <c r="K117" s="23">
        <f>IF(OR(B117="",E117=""),"",E117-Config!$B$4)</f>
        <v/>
      </c>
      <c r="L117" s="24">
        <f>IF(B117="","",IF(OR(I117="Feito",I117="Cancelado"),I117,IF(E117="","Sem prazo",IF(K117&lt;0,"Atrasada",IF(K117=0,"Hoje",IF(K117&lt;=6,"Esta semana","Depois"))))))</f>
        <v/>
      </c>
      <c r="M117" s="39">
        <f>IF(OR(B117="",L117="Feito",L117="Cancelado",L117="Sem prazo",L117="Depois"),0,IF(L117="Atrasada",2000,IF(L117="Hoje",1500,500))+F117*G117*100+IF(K117&lt;0,MIN(-K117,30),10-K117)-ROW()/100000)</f>
        <v>0</v>
      </c>
      <c r="N117" s="36" t="n"/>
    </row>
    <row r="118">
      <c r="A118" s="23">
        <f>IF(B118="","",ROW()-3)</f>
        <v/>
      </c>
      <c r="B118" s="36" t="n"/>
      <c r="C118" s="36" t="n"/>
      <c r="D118" s="36" t="n"/>
      <c r="E118" s="37" t="n"/>
      <c r="F118" s="38" t="n"/>
      <c r="G118" s="38" t="n"/>
      <c r="H118" s="38" t="n"/>
      <c r="I118" s="36" t="n"/>
      <c r="J118" s="24">
        <f>IF(B118="","",IF(F118*G118&gt;=6,"Alta",IF(F118*G118&gt;=3,"Média","Baixa")))</f>
        <v/>
      </c>
      <c r="K118" s="23">
        <f>IF(OR(B118="",E118=""),"",E118-Config!$B$4)</f>
        <v/>
      </c>
      <c r="L118" s="24">
        <f>IF(B118="","",IF(OR(I118="Feito",I118="Cancelado"),I118,IF(E118="","Sem prazo",IF(K118&lt;0,"Atrasada",IF(K118=0,"Hoje",IF(K118&lt;=6,"Esta semana","Depois"))))))</f>
        <v/>
      </c>
      <c r="M118" s="39">
        <f>IF(OR(B118="",L118="Feito",L118="Cancelado",L118="Sem prazo",L118="Depois"),0,IF(L118="Atrasada",2000,IF(L118="Hoje",1500,500))+F118*G118*100+IF(K118&lt;0,MIN(-K118,30),10-K118)-ROW()/100000)</f>
        <v>0</v>
      </c>
      <c r="N118" s="36" t="n"/>
    </row>
    <row r="119">
      <c r="A119" s="23">
        <f>IF(B119="","",ROW()-3)</f>
        <v/>
      </c>
      <c r="B119" s="36" t="n"/>
      <c r="C119" s="36" t="n"/>
      <c r="D119" s="36" t="n"/>
      <c r="E119" s="37" t="n"/>
      <c r="F119" s="38" t="n"/>
      <c r="G119" s="38" t="n"/>
      <c r="H119" s="38" t="n"/>
      <c r="I119" s="36" t="n"/>
      <c r="J119" s="24">
        <f>IF(B119="","",IF(F119*G119&gt;=6,"Alta",IF(F119*G119&gt;=3,"Média","Baixa")))</f>
        <v/>
      </c>
      <c r="K119" s="23">
        <f>IF(OR(B119="",E119=""),"",E119-Config!$B$4)</f>
        <v/>
      </c>
      <c r="L119" s="24">
        <f>IF(B119="","",IF(OR(I119="Feito",I119="Cancelado"),I119,IF(E119="","Sem prazo",IF(K119&lt;0,"Atrasada",IF(K119=0,"Hoje",IF(K119&lt;=6,"Esta semana","Depois"))))))</f>
        <v/>
      </c>
      <c r="M119" s="39">
        <f>IF(OR(B119="",L119="Feito",L119="Cancelado",L119="Sem prazo",L119="Depois"),0,IF(L119="Atrasada",2000,IF(L119="Hoje",1500,500))+F119*G119*100+IF(K119&lt;0,MIN(-K119,30),10-K119)-ROW()/100000)</f>
        <v>0</v>
      </c>
      <c r="N119" s="36" t="n"/>
    </row>
    <row r="120">
      <c r="A120" s="23">
        <f>IF(B120="","",ROW()-3)</f>
        <v/>
      </c>
      <c r="B120" s="36" t="n"/>
      <c r="C120" s="36" t="n"/>
      <c r="D120" s="36" t="n"/>
      <c r="E120" s="37" t="n"/>
      <c r="F120" s="38" t="n"/>
      <c r="G120" s="38" t="n"/>
      <c r="H120" s="38" t="n"/>
      <c r="I120" s="36" t="n"/>
      <c r="J120" s="24">
        <f>IF(B120="","",IF(F120*G120&gt;=6,"Alta",IF(F120*G120&gt;=3,"Média","Baixa")))</f>
        <v/>
      </c>
      <c r="K120" s="23">
        <f>IF(OR(B120="",E120=""),"",E120-Config!$B$4)</f>
        <v/>
      </c>
      <c r="L120" s="24">
        <f>IF(B120="","",IF(OR(I120="Feito",I120="Cancelado"),I120,IF(E120="","Sem prazo",IF(K120&lt;0,"Atrasada",IF(K120=0,"Hoje",IF(K120&lt;=6,"Esta semana","Depois"))))))</f>
        <v/>
      </c>
      <c r="M120" s="39">
        <f>IF(OR(B120="",L120="Feito",L120="Cancelado",L120="Sem prazo",L120="Depois"),0,IF(L120="Atrasada",2000,IF(L120="Hoje",1500,500))+F120*G120*100+IF(K120&lt;0,MIN(-K120,30),10-K120)-ROW()/100000)</f>
        <v>0</v>
      </c>
      <c r="N120" s="36" t="n"/>
    </row>
    <row r="121">
      <c r="A121" s="23">
        <f>IF(B121="","",ROW()-3)</f>
        <v/>
      </c>
      <c r="B121" s="36" t="n"/>
      <c r="C121" s="36" t="n"/>
      <c r="D121" s="36" t="n"/>
      <c r="E121" s="37" t="n"/>
      <c r="F121" s="38" t="n"/>
      <c r="G121" s="38" t="n"/>
      <c r="H121" s="38" t="n"/>
      <c r="I121" s="36" t="n"/>
      <c r="J121" s="24">
        <f>IF(B121="","",IF(F121*G121&gt;=6,"Alta",IF(F121*G121&gt;=3,"Média","Baixa")))</f>
        <v/>
      </c>
      <c r="K121" s="23">
        <f>IF(OR(B121="",E121=""),"",E121-Config!$B$4)</f>
        <v/>
      </c>
      <c r="L121" s="24">
        <f>IF(B121="","",IF(OR(I121="Feito",I121="Cancelado"),I121,IF(E121="","Sem prazo",IF(K121&lt;0,"Atrasada",IF(K121=0,"Hoje",IF(K121&lt;=6,"Esta semana","Depois"))))))</f>
        <v/>
      </c>
      <c r="M121" s="39">
        <f>IF(OR(B121="",L121="Feito",L121="Cancelado",L121="Sem prazo",L121="Depois"),0,IF(L121="Atrasada",2000,IF(L121="Hoje",1500,500))+F121*G121*100+IF(K121&lt;0,MIN(-K121,30),10-K121)-ROW()/100000)</f>
        <v>0</v>
      </c>
      <c r="N121" s="36" t="n"/>
    </row>
    <row r="122">
      <c r="A122" s="23">
        <f>IF(B122="","",ROW()-3)</f>
        <v/>
      </c>
      <c r="B122" s="36" t="n"/>
      <c r="C122" s="36" t="n"/>
      <c r="D122" s="36" t="n"/>
      <c r="E122" s="37" t="n"/>
      <c r="F122" s="38" t="n"/>
      <c r="G122" s="38" t="n"/>
      <c r="H122" s="38" t="n"/>
      <c r="I122" s="36" t="n"/>
      <c r="J122" s="24">
        <f>IF(B122="","",IF(F122*G122&gt;=6,"Alta",IF(F122*G122&gt;=3,"Média","Baixa")))</f>
        <v/>
      </c>
      <c r="K122" s="23">
        <f>IF(OR(B122="",E122=""),"",E122-Config!$B$4)</f>
        <v/>
      </c>
      <c r="L122" s="24">
        <f>IF(B122="","",IF(OR(I122="Feito",I122="Cancelado"),I122,IF(E122="","Sem prazo",IF(K122&lt;0,"Atrasada",IF(K122=0,"Hoje",IF(K122&lt;=6,"Esta semana","Depois"))))))</f>
        <v/>
      </c>
      <c r="M122" s="39">
        <f>IF(OR(B122="",L122="Feito",L122="Cancelado",L122="Sem prazo",L122="Depois"),0,IF(L122="Atrasada",2000,IF(L122="Hoje",1500,500))+F122*G122*100+IF(K122&lt;0,MIN(-K122,30),10-K122)-ROW()/100000)</f>
        <v>0</v>
      </c>
      <c r="N122" s="36" t="n"/>
    </row>
    <row r="123">
      <c r="A123" s="23">
        <f>IF(B123="","",ROW()-3)</f>
        <v/>
      </c>
      <c r="B123" s="36" t="n"/>
      <c r="C123" s="36" t="n"/>
      <c r="D123" s="36" t="n"/>
      <c r="E123" s="37" t="n"/>
      <c r="F123" s="38" t="n"/>
      <c r="G123" s="38" t="n"/>
      <c r="H123" s="38" t="n"/>
      <c r="I123" s="36" t="n"/>
      <c r="J123" s="24">
        <f>IF(B123="","",IF(F123*G123&gt;=6,"Alta",IF(F123*G123&gt;=3,"Média","Baixa")))</f>
        <v/>
      </c>
      <c r="K123" s="23">
        <f>IF(OR(B123="",E123=""),"",E123-Config!$B$4)</f>
        <v/>
      </c>
      <c r="L123" s="24">
        <f>IF(B123="","",IF(OR(I123="Feito",I123="Cancelado"),I123,IF(E123="","Sem prazo",IF(K123&lt;0,"Atrasada",IF(K123=0,"Hoje",IF(K123&lt;=6,"Esta semana","Depois"))))))</f>
        <v/>
      </c>
      <c r="M123" s="39">
        <f>IF(OR(B123="",L123="Feito",L123="Cancelado",L123="Sem prazo",L123="Depois"),0,IF(L123="Atrasada",2000,IF(L123="Hoje",1500,500))+F123*G123*100+IF(K123&lt;0,MIN(-K123,30),10-K123)-ROW()/100000)</f>
        <v>0</v>
      </c>
      <c r="N123" s="36" t="n"/>
    </row>
    <row r="124">
      <c r="A124" s="23">
        <f>IF(B124="","",ROW()-3)</f>
        <v/>
      </c>
      <c r="B124" s="36" t="n"/>
      <c r="C124" s="36" t="n"/>
      <c r="D124" s="36" t="n"/>
      <c r="E124" s="37" t="n"/>
      <c r="F124" s="38" t="n"/>
      <c r="G124" s="38" t="n"/>
      <c r="H124" s="38" t="n"/>
      <c r="I124" s="36" t="n"/>
      <c r="J124" s="24">
        <f>IF(B124="","",IF(F124*G124&gt;=6,"Alta",IF(F124*G124&gt;=3,"Média","Baixa")))</f>
        <v/>
      </c>
      <c r="K124" s="23">
        <f>IF(OR(B124="",E124=""),"",E124-Config!$B$4)</f>
        <v/>
      </c>
      <c r="L124" s="24">
        <f>IF(B124="","",IF(OR(I124="Feito",I124="Cancelado"),I124,IF(E124="","Sem prazo",IF(K124&lt;0,"Atrasada",IF(K124=0,"Hoje",IF(K124&lt;=6,"Esta semana","Depois"))))))</f>
        <v/>
      </c>
      <c r="M124" s="39">
        <f>IF(OR(B124="",L124="Feito",L124="Cancelado",L124="Sem prazo",L124="Depois"),0,IF(L124="Atrasada",2000,IF(L124="Hoje",1500,500))+F124*G124*100+IF(K124&lt;0,MIN(-K124,30),10-K124)-ROW()/100000)</f>
        <v>0</v>
      </c>
      <c r="N124" s="36" t="n"/>
    </row>
    <row r="125">
      <c r="A125" s="23">
        <f>IF(B125="","",ROW()-3)</f>
        <v/>
      </c>
      <c r="B125" s="36" t="n"/>
      <c r="C125" s="36" t="n"/>
      <c r="D125" s="36" t="n"/>
      <c r="E125" s="37" t="n"/>
      <c r="F125" s="38" t="n"/>
      <c r="G125" s="38" t="n"/>
      <c r="H125" s="38" t="n"/>
      <c r="I125" s="36" t="n"/>
      <c r="J125" s="24">
        <f>IF(B125="","",IF(F125*G125&gt;=6,"Alta",IF(F125*G125&gt;=3,"Média","Baixa")))</f>
        <v/>
      </c>
      <c r="K125" s="23">
        <f>IF(OR(B125="",E125=""),"",E125-Config!$B$4)</f>
        <v/>
      </c>
      <c r="L125" s="24">
        <f>IF(B125="","",IF(OR(I125="Feito",I125="Cancelado"),I125,IF(E125="","Sem prazo",IF(K125&lt;0,"Atrasada",IF(K125=0,"Hoje",IF(K125&lt;=6,"Esta semana","Depois"))))))</f>
        <v/>
      </c>
      <c r="M125" s="39">
        <f>IF(OR(B125="",L125="Feito",L125="Cancelado",L125="Sem prazo",L125="Depois"),0,IF(L125="Atrasada",2000,IF(L125="Hoje",1500,500))+F125*G125*100+IF(K125&lt;0,MIN(-K125,30),10-K125)-ROW()/100000)</f>
        <v>0</v>
      </c>
      <c r="N125" s="36" t="n"/>
    </row>
    <row r="126">
      <c r="A126" s="23">
        <f>IF(B126="","",ROW()-3)</f>
        <v/>
      </c>
      <c r="B126" s="36" t="n"/>
      <c r="C126" s="36" t="n"/>
      <c r="D126" s="36" t="n"/>
      <c r="E126" s="37" t="n"/>
      <c r="F126" s="38" t="n"/>
      <c r="G126" s="38" t="n"/>
      <c r="H126" s="38" t="n"/>
      <c r="I126" s="36" t="n"/>
      <c r="J126" s="24">
        <f>IF(B126="","",IF(F126*G126&gt;=6,"Alta",IF(F126*G126&gt;=3,"Média","Baixa")))</f>
        <v/>
      </c>
      <c r="K126" s="23">
        <f>IF(OR(B126="",E126=""),"",E126-Config!$B$4)</f>
        <v/>
      </c>
      <c r="L126" s="24">
        <f>IF(B126="","",IF(OR(I126="Feito",I126="Cancelado"),I126,IF(E126="","Sem prazo",IF(K126&lt;0,"Atrasada",IF(K126=0,"Hoje",IF(K126&lt;=6,"Esta semana","Depois"))))))</f>
        <v/>
      </c>
      <c r="M126" s="39">
        <f>IF(OR(B126="",L126="Feito",L126="Cancelado",L126="Sem prazo",L126="Depois"),0,IF(L126="Atrasada",2000,IF(L126="Hoje",1500,500))+F126*G126*100+IF(K126&lt;0,MIN(-K126,30),10-K126)-ROW()/100000)</f>
        <v>0</v>
      </c>
      <c r="N126" s="36" t="n"/>
    </row>
    <row r="127">
      <c r="A127" s="23">
        <f>IF(B127="","",ROW()-3)</f>
        <v/>
      </c>
      <c r="B127" s="36" t="n"/>
      <c r="C127" s="36" t="n"/>
      <c r="D127" s="36" t="n"/>
      <c r="E127" s="37" t="n"/>
      <c r="F127" s="38" t="n"/>
      <c r="G127" s="38" t="n"/>
      <c r="H127" s="38" t="n"/>
      <c r="I127" s="36" t="n"/>
      <c r="J127" s="24">
        <f>IF(B127="","",IF(F127*G127&gt;=6,"Alta",IF(F127*G127&gt;=3,"Média","Baixa")))</f>
        <v/>
      </c>
      <c r="K127" s="23">
        <f>IF(OR(B127="",E127=""),"",E127-Config!$B$4)</f>
        <v/>
      </c>
      <c r="L127" s="24">
        <f>IF(B127="","",IF(OR(I127="Feito",I127="Cancelado"),I127,IF(E127="","Sem prazo",IF(K127&lt;0,"Atrasada",IF(K127=0,"Hoje",IF(K127&lt;=6,"Esta semana","Depois"))))))</f>
        <v/>
      </c>
      <c r="M127" s="39">
        <f>IF(OR(B127="",L127="Feito",L127="Cancelado",L127="Sem prazo",L127="Depois"),0,IF(L127="Atrasada",2000,IF(L127="Hoje",1500,500))+F127*G127*100+IF(K127&lt;0,MIN(-K127,30),10-K127)-ROW()/100000)</f>
        <v>0</v>
      </c>
      <c r="N127" s="36" t="n"/>
    </row>
    <row r="128">
      <c r="A128" s="23">
        <f>IF(B128="","",ROW()-3)</f>
        <v/>
      </c>
      <c r="B128" s="36" t="n"/>
      <c r="C128" s="36" t="n"/>
      <c r="D128" s="36" t="n"/>
      <c r="E128" s="37" t="n"/>
      <c r="F128" s="38" t="n"/>
      <c r="G128" s="38" t="n"/>
      <c r="H128" s="38" t="n"/>
      <c r="I128" s="36" t="n"/>
      <c r="J128" s="24">
        <f>IF(B128="","",IF(F128*G128&gt;=6,"Alta",IF(F128*G128&gt;=3,"Média","Baixa")))</f>
        <v/>
      </c>
      <c r="K128" s="23">
        <f>IF(OR(B128="",E128=""),"",E128-Config!$B$4)</f>
        <v/>
      </c>
      <c r="L128" s="24">
        <f>IF(B128="","",IF(OR(I128="Feito",I128="Cancelado"),I128,IF(E128="","Sem prazo",IF(K128&lt;0,"Atrasada",IF(K128=0,"Hoje",IF(K128&lt;=6,"Esta semana","Depois"))))))</f>
        <v/>
      </c>
      <c r="M128" s="39">
        <f>IF(OR(B128="",L128="Feito",L128="Cancelado",L128="Sem prazo",L128="Depois"),0,IF(L128="Atrasada",2000,IF(L128="Hoje",1500,500))+F128*G128*100+IF(K128&lt;0,MIN(-K128,30),10-K128)-ROW()/100000)</f>
        <v>0</v>
      </c>
      <c r="N128" s="36" t="n"/>
    </row>
    <row r="129">
      <c r="A129" s="23">
        <f>IF(B129="","",ROW()-3)</f>
        <v/>
      </c>
      <c r="B129" s="36" t="n"/>
      <c r="C129" s="36" t="n"/>
      <c r="D129" s="36" t="n"/>
      <c r="E129" s="37" t="n"/>
      <c r="F129" s="38" t="n"/>
      <c r="G129" s="38" t="n"/>
      <c r="H129" s="38" t="n"/>
      <c r="I129" s="36" t="n"/>
      <c r="J129" s="24">
        <f>IF(B129="","",IF(F129*G129&gt;=6,"Alta",IF(F129*G129&gt;=3,"Média","Baixa")))</f>
        <v/>
      </c>
      <c r="K129" s="23">
        <f>IF(OR(B129="",E129=""),"",E129-Config!$B$4)</f>
        <v/>
      </c>
      <c r="L129" s="24">
        <f>IF(B129="","",IF(OR(I129="Feito",I129="Cancelado"),I129,IF(E129="","Sem prazo",IF(K129&lt;0,"Atrasada",IF(K129=0,"Hoje",IF(K129&lt;=6,"Esta semana","Depois"))))))</f>
        <v/>
      </c>
      <c r="M129" s="39">
        <f>IF(OR(B129="",L129="Feito",L129="Cancelado",L129="Sem prazo",L129="Depois"),0,IF(L129="Atrasada",2000,IF(L129="Hoje",1500,500))+F129*G129*100+IF(K129&lt;0,MIN(-K129,30),10-K129)-ROW()/100000)</f>
        <v>0</v>
      </c>
      <c r="N129" s="36" t="n"/>
    </row>
    <row r="130">
      <c r="A130" s="23">
        <f>IF(B130="","",ROW()-3)</f>
        <v/>
      </c>
      <c r="B130" s="36" t="n"/>
      <c r="C130" s="36" t="n"/>
      <c r="D130" s="36" t="n"/>
      <c r="E130" s="37" t="n"/>
      <c r="F130" s="38" t="n"/>
      <c r="G130" s="38" t="n"/>
      <c r="H130" s="38" t="n"/>
      <c r="I130" s="36" t="n"/>
      <c r="J130" s="24">
        <f>IF(B130="","",IF(F130*G130&gt;=6,"Alta",IF(F130*G130&gt;=3,"Média","Baixa")))</f>
        <v/>
      </c>
      <c r="K130" s="23">
        <f>IF(OR(B130="",E130=""),"",E130-Config!$B$4)</f>
        <v/>
      </c>
      <c r="L130" s="24">
        <f>IF(B130="","",IF(OR(I130="Feito",I130="Cancelado"),I130,IF(E130="","Sem prazo",IF(K130&lt;0,"Atrasada",IF(K130=0,"Hoje",IF(K130&lt;=6,"Esta semana","Depois"))))))</f>
        <v/>
      </c>
      <c r="M130" s="39">
        <f>IF(OR(B130="",L130="Feito",L130="Cancelado",L130="Sem prazo",L130="Depois"),0,IF(L130="Atrasada",2000,IF(L130="Hoje",1500,500))+F130*G130*100+IF(K130&lt;0,MIN(-K130,30),10-K130)-ROW()/100000)</f>
        <v>0</v>
      </c>
      <c r="N130" s="36" t="n"/>
    </row>
    <row r="131">
      <c r="A131" s="23">
        <f>IF(B131="","",ROW()-3)</f>
        <v/>
      </c>
      <c r="B131" s="36" t="n"/>
      <c r="C131" s="36" t="n"/>
      <c r="D131" s="36" t="n"/>
      <c r="E131" s="37" t="n"/>
      <c r="F131" s="38" t="n"/>
      <c r="G131" s="38" t="n"/>
      <c r="H131" s="38" t="n"/>
      <c r="I131" s="36" t="n"/>
      <c r="J131" s="24">
        <f>IF(B131="","",IF(F131*G131&gt;=6,"Alta",IF(F131*G131&gt;=3,"Média","Baixa")))</f>
        <v/>
      </c>
      <c r="K131" s="23">
        <f>IF(OR(B131="",E131=""),"",E131-Config!$B$4)</f>
        <v/>
      </c>
      <c r="L131" s="24">
        <f>IF(B131="","",IF(OR(I131="Feito",I131="Cancelado"),I131,IF(E131="","Sem prazo",IF(K131&lt;0,"Atrasada",IF(K131=0,"Hoje",IF(K131&lt;=6,"Esta semana","Depois"))))))</f>
        <v/>
      </c>
      <c r="M131" s="39">
        <f>IF(OR(B131="",L131="Feito",L131="Cancelado",L131="Sem prazo",L131="Depois"),0,IF(L131="Atrasada",2000,IF(L131="Hoje",1500,500))+F131*G131*100+IF(K131&lt;0,MIN(-K131,30),10-K131)-ROW()/100000)</f>
        <v>0</v>
      </c>
      <c r="N131" s="36" t="n"/>
    </row>
    <row r="132">
      <c r="A132" s="23">
        <f>IF(B132="","",ROW()-3)</f>
        <v/>
      </c>
      <c r="B132" s="36" t="n"/>
      <c r="C132" s="36" t="n"/>
      <c r="D132" s="36" t="n"/>
      <c r="E132" s="37" t="n"/>
      <c r="F132" s="38" t="n"/>
      <c r="G132" s="38" t="n"/>
      <c r="H132" s="38" t="n"/>
      <c r="I132" s="36" t="n"/>
      <c r="J132" s="24">
        <f>IF(B132="","",IF(F132*G132&gt;=6,"Alta",IF(F132*G132&gt;=3,"Média","Baixa")))</f>
        <v/>
      </c>
      <c r="K132" s="23">
        <f>IF(OR(B132="",E132=""),"",E132-Config!$B$4)</f>
        <v/>
      </c>
      <c r="L132" s="24">
        <f>IF(B132="","",IF(OR(I132="Feito",I132="Cancelado"),I132,IF(E132="","Sem prazo",IF(K132&lt;0,"Atrasada",IF(K132=0,"Hoje",IF(K132&lt;=6,"Esta semana","Depois"))))))</f>
        <v/>
      </c>
      <c r="M132" s="39">
        <f>IF(OR(B132="",L132="Feito",L132="Cancelado",L132="Sem prazo",L132="Depois"),0,IF(L132="Atrasada",2000,IF(L132="Hoje",1500,500))+F132*G132*100+IF(K132&lt;0,MIN(-K132,30),10-K132)-ROW()/100000)</f>
        <v>0</v>
      </c>
      <c r="N132" s="36" t="n"/>
    </row>
    <row r="133">
      <c r="A133" s="23">
        <f>IF(B133="","",ROW()-3)</f>
        <v/>
      </c>
      <c r="B133" s="36" t="n"/>
      <c r="C133" s="36" t="n"/>
      <c r="D133" s="36" t="n"/>
      <c r="E133" s="37" t="n"/>
      <c r="F133" s="38" t="n"/>
      <c r="G133" s="38" t="n"/>
      <c r="H133" s="38" t="n"/>
      <c r="I133" s="36" t="n"/>
      <c r="J133" s="24">
        <f>IF(B133="","",IF(F133*G133&gt;=6,"Alta",IF(F133*G133&gt;=3,"Média","Baixa")))</f>
        <v/>
      </c>
      <c r="K133" s="23">
        <f>IF(OR(B133="",E133=""),"",E133-Config!$B$4)</f>
        <v/>
      </c>
      <c r="L133" s="24">
        <f>IF(B133="","",IF(OR(I133="Feito",I133="Cancelado"),I133,IF(E133="","Sem prazo",IF(K133&lt;0,"Atrasada",IF(K133=0,"Hoje",IF(K133&lt;=6,"Esta semana","Depois"))))))</f>
        <v/>
      </c>
      <c r="M133" s="39">
        <f>IF(OR(B133="",L133="Feito",L133="Cancelado",L133="Sem prazo",L133="Depois"),0,IF(L133="Atrasada",2000,IF(L133="Hoje",1500,500))+F133*G133*100+IF(K133&lt;0,MIN(-K133,30),10-K133)-ROW()/100000)</f>
        <v>0</v>
      </c>
      <c r="N133" s="36" t="n"/>
    </row>
    <row r="134">
      <c r="A134" s="23">
        <f>IF(B134="","",ROW()-3)</f>
        <v/>
      </c>
      <c r="B134" s="36" t="n"/>
      <c r="C134" s="36" t="n"/>
      <c r="D134" s="36" t="n"/>
      <c r="E134" s="37" t="n"/>
      <c r="F134" s="38" t="n"/>
      <c r="G134" s="38" t="n"/>
      <c r="H134" s="38" t="n"/>
      <c r="I134" s="36" t="n"/>
      <c r="J134" s="24">
        <f>IF(B134="","",IF(F134*G134&gt;=6,"Alta",IF(F134*G134&gt;=3,"Média","Baixa")))</f>
        <v/>
      </c>
      <c r="K134" s="23">
        <f>IF(OR(B134="",E134=""),"",E134-Config!$B$4)</f>
        <v/>
      </c>
      <c r="L134" s="24">
        <f>IF(B134="","",IF(OR(I134="Feito",I134="Cancelado"),I134,IF(E134="","Sem prazo",IF(K134&lt;0,"Atrasada",IF(K134=0,"Hoje",IF(K134&lt;=6,"Esta semana","Depois"))))))</f>
        <v/>
      </c>
      <c r="M134" s="39">
        <f>IF(OR(B134="",L134="Feito",L134="Cancelado",L134="Sem prazo",L134="Depois"),0,IF(L134="Atrasada",2000,IF(L134="Hoje",1500,500))+F134*G134*100+IF(K134&lt;0,MIN(-K134,30),10-K134)-ROW()/100000)</f>
        <v>0</v>
      </c>
      <c r="N134" s="36" t="n"/>
    </row>
    <row r="135">
      <c r="A135" s="23">
        <f>IF(B135="","",ROW()-3)</f>
        <v/>
      </c>
      <c r="B135" s="36" t="n"/>
      <c r="C135" s="36" t="n"/>
      <c r="D135" s="36" t="n"/>
      <c r="E135" s="37" t="n"/>
      <c r="F135" s="38" t="n"/>
      <c r="G135" s="38" t="n"/>
      <c r="H135" s="38" t="n"/>
      <c r="I135" s="36" t="n"/>
      <c r="J135" s="24">
        <f>IF(B135="","",IF(F135*G135&gt;=6,"Alta",IF(F135*G135&gt;=3,"Média","Baixa")))</f>
        <v/>
      </c>
      <c r="K135" s="23">
        <f>IF(OR(B135="",E135=""),"",E135-Config!$B$4)</f>
        <v/>
      </c>
      <c r="L135" s="24">
        <f>IF(B135="","",IF(OR(I135="Feito",I135="Cancelado"),I135,IF(E135="","Sem prazo",IF(K135&lt;0,"Atrasada",IF(K135=0,"Hoje",IF(K135&lt;=6,"Esta semana","Depois"))))))</f>
        <v/>
      </c>
      <c r="M135" s="39">
        <f>IF(OR(B135="",L135="Feito",L135="Cancelado",L135="Sem prazo",L135="Depois"),0,IF(L135="Atrasada",2000,IF(L135="Hoje",1500,500))+F135*G135*100+IF(K135&lt;0,MIN(-K135,30),10-K135)-ROW()/100000)</f>
        <v>0</v>
      </c>
      <c r="N135" s="36" t="n"/>
    </row>
    <row r="136">
      <c r="A136" s="23">
        <f>IF(B136="","",ROW()-3)</f>
        <v/>
      </c>
      <c r="B136" s="36" t="n"/>
      <c r="C136" s="36" t="n"/>
      <c r="D136" s="36" t="n"/>
      <c r="E136" s="37" t="n"/>
      <c r="F136" s="38" t="n"/>
      <c r="G136" s="38" t="n"/>
      <c r="H136" s="38" t="n"/>
      <c r="I136" s="36" t="n"/>
      <c r="J136" s="24">
        <f>IF(B136="","",IF(F136*G136&gt;=6,"Alta",IF(F136*G136&gt;=3,"Média","Baixa")))</f>
        <v/>
      </c>
      <c r="K136" s="23">
        <f>IF(OR(B136="",E136=""),"",E136-Config!$B$4)</f>
        <v/>
      </c>
      <c r="L136" s="24">
        <f>IF(B136="","",IF(OR(I136="Feito",I136="Cancelado"),I136,IF(E136="","Sem prazo",IF(K136&lt;0,"Atrasada",IF(K136=0,"Hoje",IF(K136&lt;=6,"Esta semana","Depois"))))))</f>
        <v/>
      </c>
      <c r="M136" s="39">
        <f>IF(OR(B136="",L136="Feito",L136="Cancelado",L136="Sem prazo",L136="Depois"),0,IF(L136="Atrasada",2000,IF(L136="Hoje",1500,500))+F136*G136*100+IF(K136&lt;0,MIN(-K136,30),10-K136)-ROW()/100000)</f>
        <v>0</v>
      </c>
      <c r="N136" s="36" t="n"/>
    </row>
    <row r="137">
      <c r="A137" s="23">
        <f>IF(B137="","",ROW()-3)</f>
        <v/>
      </c>
      <c r="B137" s="36" t="n"/>
      <c r="C137" s="36" t="n"/>
      <c r="D137" s="36" t="n"/>
      <c r="E137" s="37" t="n"/>
      <c r="F137" s="38" t="n"/>
      <c r="G137" s="38" t="n"/>
      <c r="H137" s="38" t="n"/>
      <c r="I137" s="36" t="n"/>
      <c r="J137" s="24">
        <f>IF(B137="","",IF(F137*G137&gt;=6,"Alta",IF(F137*G137&gt;=3,"Média","Baixa")))</f>
        <v/>
      </c>
      <c r="K137" s="23">
        <f>IF(OR(B137="",E137=""),"",E137-Config!$B$4)</f>
        <v/>
      </c>
      <c r="L137" s="24">
        <f>IF(B137="","",IF(OR(I137="Feito",I137="Cancelado"),I137,IF(E137="","Sem prazo",IF(K137&lt;0,"Atrasada",IF(K137=0,"Hoje",IF(K137&lt;=6,"Esta semana","Depois"))))))</f>
        <v/>
      </c>
      <c r="M137" s="39">
        <f>IF(OR(B137="",L137="Feito",L137="Cancelado",L137="Sem prazo",L137="Depois"),0,IF(L137="Atrasada",2000,IF(L137="Hoje",1500,500))+F137*G137*100+IF(K137&lt;0,MIN(-K137,30),10-K137)-ROW()/100000)</f>
        <v>0</v>
      </c>
      <c r="N137" s="36" t="n"/>
    </row>
    <row r="138">
      <c r="A138" s="23">
        <f>IF(B138="","",ROW()-3)</f>
        <v/>
      </c>
      <c r="B138" s="36" t="n"/>
      <c r="C138" s="36" t="n"/>
      <c r="D138" s="36" t="n"/>
      <c r="E138" s="37" t="n"/>
      <c r="F138" s="38" t="n"/>
      <c r="G138" s="38" t="n"/>
      <c r="H138" s="38" t="n"/>
      <c r="I138" s="36" t="n"/>
      <c r="J138" s="24">
        <f>IF(B138="","",IF(F138*G138&gt;=6,"Alta",IF(F138*G138&gt;=3,"Média","Baixa")))</f>
        <v/>
      </c>
      <c r="K138" s="23">
        <f>IF(OR(B138="",E138=""),"",E138-Config!$B$4)</f>
        <v/>
      </c>
      <c r="L138" s="24">
        <f>IF(B138="","",IF(OR(I138="Feito",I138="Cancelado"),I138,IF(E138="","Sem prazo",IF(K138&lt;0,"Atrasada",IF(K138=0,"Hoje",IF(K138&lt;=6,"Esta semana","Depois"))))))</f>
        <v/>
      </c>
      <c r="M138" s="39">
        <f>IF(OR(B138="",L138="Feito",L138="Cancelado",L138="Sem prazo",L138="Depois"),0,IF(L138="Atrasada",2000,IF(L138="Hoje",1500,500))+F138*G138*100+IF(K138&lt;0,MIN(-K138,30),10-K138)-ROW()/100000)</f>
        <v>0</v>
      </c>
      <c r="N138" s="36" t="n"/>
    </row>
    <row r="139">
      <c r="A139" s="23">
        <f>IF(B139="","",ROW()-3)</f>
        <v/>
      </c>
      <c r="B139" s="36" t="n"/>
      <c r="C139" s="36" t="n"/>
      <c r="D139" s="36" t="n"/>
      <c r="E139" s="37" t="n"/>
      <c r="F139" s="38" t="n"/>
      <c r="G139" s="38" t="n"/>
      <c r="H139" s="38" t="n"/>
      <c r="I139" s="36" t="n"/>
      <c r="J139" s="24">
        <f>IF(B139="","",IF(F139*G139&gt;=6,"Alta",IF(F139*G139&gt;=3,"Média","Baixa")))</f>
        <v/>
      </c>
      <c r="K139" s="23">
        <f>IF(OR(B139="",E139=""),"",E139-Config!$B$4)</f>
        <v/>
      </c>
      <c r="L139" s="24">
        <f>IF(B139="","",IF(OR(I139="Feito",I139="Cancelado"),I139,IF(E139="","Sem prazo",IF(K139&lt;0,"Atrasada",IF(K139=0,"Hoje",IF(K139&lt;=6,"Esta semana","Depois"))))))</f>
        <v/>
      </c>
      <c r="M139" s="39">
        <f>IF(OR(B139="",L139="Feito",L139="Cancelado",L139="Sem prazo",L139="Depois"),0,IF(L139="Atrasada",2000,IF(L139="Hoje",1500,500))+F139*G139*100+IF(K139&lt;0,MIN(-K139,30),10-K139)-ROW()/100000)</f>
        <v>0</v>
      </c>
      <c r="N139" s="36" t="n"/>
    </row>
    <row r="140">
      <c r="A140" s="23">
        <f>IF(B140="","",ROW()-3)</f>
        <v/>
      </c>
      <c r="B140" s="36" t="n"/>
      <c r="C140" s="36" t="n"/>
      <c r="D140" s="36" t="n"/>
      <c r="E140" s="37" t="n"/>
      <c r="F140" s="38" t="n"/>
      <c r="G140" s="38" t="n"/>
      <c r="H140" s="38" t="n"/>
      <c r="I140" s="36" t="n"/>
      <c r="J140" s="24">
        <f>IF(B140="","",IF(F140*G140&gt;=6,"Alta",IF(F140*G140&gt;=3,"Média","Baixa")))</f>
        <v/>
      </c>
      <c r="K140" s="23">
        <f>IF(OR(B140="",E140=""),"",E140-Config!$B$4)</f>
        <v/>
      </c>
      <c r="L140" s="24">
        <f>IF(B140="","",IF(OR(I140="Feito",I140="Cancelado"),I140,IF(E140="","Sem prazo",IF(K140&lt;0,"Atrasada",IF(K140=0,"Hoje",IF(K140&lt;=6,"Esta semana","Depois"))))))</f>
        <v/>
      </c>
      <c r="M140" s="39">
        <f>IF(OR(B140="",L140="Feito",L140="Cancelado",L140="Sem prazo",L140="Depois"),0,IF(L140="Atrasada",2000,IF(L140="Hoje",1500,500))+F140*G140*100+IF(K140&lt;0,MIN(-K140,30),10-K140)-ROW()/100000)</f>
        <v>0</v>
      </c>
      <c r="N140" s="36" t="n"/>
    </row>
    <row r="141">
      <c r="A141" s="23">
        <f>IF(B141="","",ROW()-3)</f>
        <v/>
      </c>
      <c r="B141" s="36" t="n"/>
      <c r="C141" s="36" t="n"/>
      <c r="D141" s="36" t="n"/>
      <c r="E141" s="37" t="n"/>
      <c r="F141" s="38" t="n"/>
      <c r="G141" s="38" t="n"/>
      <c r="H141" s="38" t="n"/>
      <c r="I141" s="36" t="n"/>
      <c r="J141" s="24">
        <f>IF(B141="","",IF(F141*G141&gt;=6,"Alta",IF(F141*G141&gt;=3,"Média","Baixa")))</f>
        <v/>
      </c>
      <c r="K141" s="23">
        <f>IF(OR(B141="",E141=""),"",E141-Config!$B$4)</f>
        <v/>
      </c>
      <c r="L141" s="24">
        <f>IF(B141="","",IF(OR(I141="Feito",I141="Cancelado"),I141,IF(E141="","Sem prazo",IF(K141&lt;0,"Atrasada",IF(K141=0,"Hoje",IF(K141&lt;=6,"Esta semana","Depois"))))))</f>
        <v/>
      </c>
      <c r="M141" s="39">
        <f>IF(OR(B141="",L141="Feito",L141="Cancelado",L141="Sem prazo",L141="Depois"),0,IF(L141="Atrasada",2000,IF(L141="Hoje",1500,500))+F141*G141*100+IF(K141&lt;0,MIN(-K141,30),10-K141)-ROW()/100000)</f>
        <v>0</v>
      </c>
      <c r="N141" s="36" t="n"/>
    </row>
    <row r="142">
      <c r="A142" s="23">
        <f>IF(B142="","",ROW()-3)</f>
        <v/>
      </c>
      <c r="B142" s="36" t="n"/>
      <c r="C142" s="36" t="n"/>
      <c r="D142" s="36" t="n"/>
      <c r="E142" s="37" t="n"/>
      <c r="F142" s="38" t="n"/>
      <c r="G142" s="38" t="n"/>
      <c r="H142" s="38" t="n"/>
      <c r="I142" s="36" t="n"/>
      <c r="J142" s="24">
        <f>IF(B142="","",IF(F142*G142&gt;=6,"Alta",IF(F142*G142&gt;=3,"Média","Baixa")))</f>
        <v/>
      </c>
      <c r="K142" s="23">
        <f>IF(OR(B142="",E142=""),"",E142-Config!$B$4)</f>
        <v/>
      </c>
      <c r="L142" s="24">
        <f>IF(B142="","",IF(OR(I142="Feito",I142="Cancelado"),I142,IF(E142="","Sem prazo",IF(K142&lt;0,"Atrasada",IF(K142=0,"Hoje",IF(K142&lt;=6,"Esta semana","Depois"))))))</f>
        <v/>
      </c>
      <c r="M142" s="39">
        <f>IF(OR(B142="",L142="Feito",L142="Cancelado",L142="Sem prazo",L142="Depois"),0,IF(L142="Atrasada",2000,IF(L142="Hoje",1500,500))+F142*G142*100+IF(K142&lt;0,MIN(-K142,30),10-K142)-ROW()/100000)</f>
        <v>0</v>
      </c>
      <c r="N142" s="36" t="n"/>
    </row>
    <row r="143">
      <c r="A143" s="23">
        <f>IF(B143="","",ROW()-3)</f>
        <v/>
      </c>
      <c r="B143" s="36" t="n"/>
      <c r="C143" s="36" t="n"/>
      <c r="D143" s="36" t="n"/>
      <c r="E143" s="37" t="n"/>
      <c r="F143" s="38" t="n"/>
      <c r="G143" s="38" t="n"/>
      <c r="H143" s="38" t="n"/>
      <c r="I143" s="36" t="n"/>
      <c r="J143" s="24">
        <f>IF(B143="","",IF(F143*G143&gt;=6,"Alta",IF(F143*G143&gt;=3,"Média","Baixa")))</f>
        <v/>
      </c>
      <c r="K143" s="23">
        <f>IF(OR(B143="",E143=""),"",E143-Config!$B$4)</f>
        <v/>
      </c>
      <c r="L143" s="24">
        <f>IF(B143="","",IF(OR(I143="Feito",I143="Cancelado"),I143,IF(E143="","Sem prazo",IF(K143&lt;0,"Atrasada",IF(K143=0,"Hoje",IF(K143&lt;=6,"Esta semana","Depois"))))))</f>
        <v/>
      </c>
      <c r="M143" s="39">
        <f>IF(OR(B143="",L143="Feito",L143="Cancelado",L143="Sem prazo",L143="Depois"),0,IF(L143="Atrasada",2000,IF(L143="Hoje",1500,500))+F143*G143*100+IF(K143&lt;0,MIN(-K143,30),10-K143)-ROW()/100000)</f>
        <v>0</v>
      </c>
      <c r="N143" s="36" t="n"/>
    </row>
    <row r="144">
      <c r="A144" s="23">
        <f>IF(B144="","",ROW()-3)</f>
        <v/>
      </c>
      <c r="B144" s="36" t="n"/>
      <c r="C144" s="36" t="n"/>
      <c r="D144" s="36" t="n"/>
      <c r="E144" s="37" t="n"/>
      <c r="F144" s="38" t="n"/>
      <c r="G144" s="38" t="n"/>
      <c r="H144" s="38" t="n"/>
      <c r="I144" s="36" t="n"/>
      <c r="J144" s="24">
        <f>IF(B144="","",IF(F144*G144&gt;=6,"Alta",IF(F144*G144&gt;=3,"Média","Baixa")))</f>
        <v/>
      </c>
      <c r="K144" s="23">
        <f>IF(OR(B144="",E144=""),"",E144-Config!$B$4)</f>
        <v/>
      </c>
      <c r="L144" s="24">
        <f>IF(B144="","",IF(OR(I144="Feito",I144="Cancelado"),I144,IF(E144="","Sem prazo",IF(K144&lt;0,"Atrasada",IF(K144=0,"Hoje",IF(K144&lt;=6,"Esta semana","Depois"))))))</f>
        <v/>
      </c>
      <c r="M144" s="39">
        <f>IF(OR(B144="",L144="Feito",L144="Cancelado",L144="Sem prazo",L144="Depois"),0,IF(L144="Atrasada",2000,IF(L144="Hoje",1500,500))+F144*G144*100+IF(K144&lt;0,MIN(-K144,30),10-K144)-ROW()/100000)</f>
        <v>0</v>
      </c>
      <c r="N144" s="36" t="n"/>
    </row>
    <row r="145">
      <c r="A145" s="23">
        <f>IF(B145="","",ROW()-3)</f>
        <v/>
      </c>
      <c r="B145" s="36" t="n"/>
      <c r="C145" s="36" t="n"/>
      <c r="D145" s="36" t="n"/>
      <c r="E145" s="37" t="n"/>
      <c r="F145" s="38" t="n"/>
      <c r="G145" s="38" t="n"/>
      <c r="H145" s="38" t="n"/>
      <c r="I145" s="36" t="n"/>
      <c r="J145" s="24">
        <f>IF(B145="","",IF(F145*G145&gt;=6,"Alta",IF(F145*G145&gt;=3,"Média","Baixa")))</f>
        <v/>
      </c>
      <c r="K145" s="23">
        <f>IF(OR(B145="",E145=""),"",E145-Config!$B$4)</f>
        <v/>
      </c>
      <c r="L145" s="24">
        <f>IF(B145="","",IF(OR(I145="Feito",I145="Cancelado"),I145,IF(E145="","Sem prazo",IF(K145&lt;0,"Atrasada",IF(K145=0,"Hoje",IF(K145&lt;=6,"Esta semana","Depois"))))))</f>
        <v/>
      </c>
      <c r="M145" s="39">
        <f>IF(OR(B145="",L145="Feito",L145="Cancelado",L145="Sem prazo",L145="Depois"),0,IF(L145="Atrasada",2000,IF(L145="Hoje",1500,500))+F145*G145*100+IF(K145&lt;0,MIN(-K145,30),10-K145)-ROW()/100000)</f>
        <v>0</v>
      </c>
      <c r="N145" s="36" t="n"/>
    </row>
    <row r="146">
      <c r="A146" s="23">
        <f>IF(B146="","",ROW()-3)</f>
        <v/>
      </c>
      <c r="B146" s="36" t="n"/>
      <c r="C146" s="36" t="n"/>
      <c r="D146" s="36" t="n"/>
      <c r="E146" s="37" t="n"/>
      <c r="F146" s="38" t="n"/>
      <c r="G146" s="38" t="n"/>
      <c r="H146" s="38" t="n"/>
      <c r="I146" s="36" t="n"/>
      <c r="J146" s="24">
        <f>IF(B146="","",IF(F146*G146&gt;=6,"Alta",IF(F146*G146&gt;=3,"Média","Baixa")))</f>
        <v/>
      </c>
      <c r="K146" s="23">
        <f>IF(OR(B146="",E146=""),"",E146-Config!$B$4)</f>
        <v/>
      </c>
      <c r="L146" s="24">
        <f>IF(B146="","",IF(OR(I146="Feito",I146="Cancelado"),I146,IF(E146="","Sem prazo",IF(K146&lt;0,"Atrasada",IF(K146=0,"Hoje",IF(K146&lt;=6,"Esta semana","Depois"))))))</f>
        <v/>
      </c>
      <c r="M146" s="39">
        <f>IF(OR(B146="",L146="Feito",L146="Cancelado",L146="Sem prazo",L146="Depois"),0,IF(L146="Atrasada",2000,IF(L146="Hoje",1500,500))+F146*G146*100+IF(K146&lt;0,MIN(-K146,30),10-K146)-ROW()/100000)</f>
        <v>0</v>
      </c>
      <c r="N146" s="36" t="n"/>
    </row>
    <row r="147">
      <c r="A147" s="23">
        <f>IF(B147="","",ROW()-3)</f>
        <v/>
      </c>
      <c r="B147" s="36" t="n"/>
      <c r="C147" s="36" t="n"/>
      <c r="D147" s="36" t="n"/>
      <c r="E147" s="37" t="n"/>
      <c r="F147" s="38" t="n"/>
      <c r="G147" s="38" t="n"/>
      <c r="H147" s="38" t="n"/>
      <c r="I147" s="36" t="n"/>
      <c r="J147" s="24">
        <f>IF(B147="","",IF(F147*G147&gt;=6,"Alta",IF(F147*G147&gt;=3,"Média","Baixa")))</f>
        <v/>
      </c>
      <c r="K147" s="23">
        <f>IF(OR(B147="",E147=""),"",E147-Config!$B$4)</f>
        <v/>
      </c>
      <c r="L147" s="24">
        <f>IF(B147="","",IF(OR(I147="Feito",I147="Cancelado"),I147,IF(E147="","Sem prazo",IF(K147&lt;0,"Atrasada",IF(K147=0,"Hoje",IF(K147&lt;=6,"Esta semana","Depois"))))))</f>
        <v/>
      </c>
      <c r="M147" s="39">
        <f>IF(OR(B147="",L147="Feito",L147="Cancelado",L147="Sem prazo",L147="Depois"),0,IF(L147="Atrasada",2000,IF(L147="Hoje",1500,500))+F147*G147*100+IF(K147&lt;0,MIN(-K147,30),10-K147)-ROW()/100000)</f>
        <v>0</v>
      </c>
      <c r="N147" s="36" t="n"/>
    </row>
    <row r="148">
      <c r="A148" s="23">
        <f>IF(B148="","",ROW()-3)</f>
        <v/>
      </c>
      <c r="B148" s="36" t="n"/>
      <c r="C148" s="36" t="n"/>
      <c r="D148" s="36" t="n"/>
      <c r="E148" s="37" t="n"/>
      <c r="F148" s="38" t="n"/>
      <c r="G148" s="38" t="n"/>
      <c r="H148" s="38" t="n"/>
      <c r="I148" s="36" t="n"/>
      <c r="J148" s="24">
        <f>IF(B148="","",IF(F148*G148&gt;=6,"Alta",IF(F148*G148&gt;=3,"Média","Baixa")))</f>
        <v/>
      </c>
      <c r="K148" s="23">
        <f>IF(OR(B148="",E148=""),"",E148-Config!$B$4)</f>
        <v/>
      </c>
      <c r="L148" s="24">
        <f>IF(B148="","",IF(OR(I148="Feito",I148="Cancelado"),I148,IF(E148="","Sem prazo",IF(K148&lt;0,"Atrasada",IF(K148=0,"Hoje",IF(K148&lt;=6,"Esta semana","Depois"))))))</f>
        <v/>
      </c>
      <c r="M148" s="39">
        <f>IF(OR(B148="",L148="Feito",L148="Cancelado",L148="Sem prazo",L148="Depois"),0,IF(L148="Atrasada",2000,IF(L148="Hoje",1500,500))+F148*G148*100+IF(K148&lt;0,MIN(-K148,30),10-K148)-ROW()/100000)</f>
        <v>0</v>
      </c>
      <c r="N148" s="36" t="n"/>
    </row>
    <row r="149">
      <c r="A149" s="23">
        <f>IF(B149="","",ROW()-3)</f>
        <v/>
      </c>
      <c r="B149" s="36" t="n"/>
      <c r="C149" s="36" t="n"/>
      <c r="D149" s="36" t="n"/>
      <c r="E149" s="37" t="n"/>
      <c r="F149" s="38" t="n"/>
      <c r="G149" s="38" t="n"/>
      <c r="H149" s="38" t="n"/>
      <c r="I149" s="36" t="n"/>
      <c r="J149" s="24">
        <f>IF(B149="","",IF(F149*G149&gt;=6,"Alta",IF(F149*G149&gt;=3,"Média","Baixa")))</f>
        <v/>
      </c>
      <c r="K149" s="23">
        <f>IF(OR(B149="",E149=""),"",E149-Config!$B$4)</f>
        <v/>
      </c>
      <c r="L149" s="24">
        <f>IF(B149="","",IF(OR(I149="Feito",I149="Cancelado"),I149,IF(E149="","Sem prazo",IF(K149&lt;0,"Atrasada",IF(K149=0,"Hoje",IF(K149&lt;=6,"Esta semana","Depois"))))))</f>
        <v/>
      </c>
      <c r="M149" s="39">
        <f>IF(OR(B149="",L149="Feito",L149="Cancelado",L149="Sem prazo",L149="Depois"),0,IF(L149="Atrasada",2000,IF(L149="Hoje",1500,500))+F149*G149*100+IF(K149&lt;0,MIN(-K149,30),10-K149)-ROW()/100000)</f>
        <v>0</v>
      </c>
      <c r="N149" s="36" t="n"/>
    </row>
    <row r="150">
      <c r="A150" s="23">
        <f>IF(B150="","",ROW()-3)</f>
        <v/>
      </c>
      <c r="B150" s="36" t="n"/>
      <c r="C150" s="36" t="n"/>
      <c r="D150" s="36" t="n"/>
      <c r="E150" s="37" t="n"/>
      <c r="F150" s="38" t="n"/>
      <c r="G150" s="38" t="n"/>
      <c r="H150" s="38" t="n"/>
      <c r="I150" s="36" t="n"/>
      <c r="J150" s="24">
        <f>IF(B150="","",IF(F150*G150&gt;=6,"Alta",IF(F150*G150&gt;=3,"Média","Baixa")))</f>
        <v/>
      </c>
      <c r="K150" s="23">
        <f>IF(OR(B150="",E150=""),"",E150-Config!$B$4)</f>
        <v/>
      </c>
      <c r="L150" s="24">
        <f>IF(B150="","",IF(OR(I150="Feito",I150="Cancelado"),I150,IF(E150="","Sem prazo",IF(K150&lt;0,"Atrasada",IF(K150=0,"Hoje",IF(K150&lt;=6,"Esta semana","Depois"))))))</f>
        <v/>
      </c>
      <c r="M150" s="39">
        <f>IF(OR(B150="",L150="Feito",L150="Cancelado",L150="Sem prazo",L150="Depois"),0,IF(L150="Atrasada",2000,IF(L150="Hoje",1500,500))+F150*G150*100+IF(K150&lt;0,MIN(-K150,30),10-K150)-ROW()/100000)</f>
        <v>0</v>
      </c>
      <c r="N150" s="36" t="n"/>
    </row>
    <row r="151">
      <c r="A151" s="23">
        <f>IF(B151="","",ROW()-3)</f>
        <v/>
      </c>
      <c r="B151" s="36" t="n"/>
      <c r="C151" s="36" t="n"/>
      <c r="D151" s="36" t="n"/>
      <c r="E151" s="37" t="n"/>
      <c r="F151" s="38" t="n"/>
      <c r="G151" s="38" t="n"/>
      <c r="H151" s="38" t="n"/>
      <c r="I151" s="36" t="n"/>
      <c r="J151" s="24">
        <f>IF(B151="","",IF(F151*G151&gt;=6,"Alta",IF(F151*G151&gt;=3,"Média","Baixa")))</f>
        <v/>
      </c>
      <c r="K151" s="23">
        <f>IF(OR(B151="",E151=""),"",E151-Config!$B$4)</f>
        <v/>
      </c>
      <c r="L151" s="24">
        <f>IF(B151="","",IF(OR(I151="Feito",I151="Cancelado"),I151,IF(E151="","Sem prazo",IF(K151&lt;0,"Atrasada",IF(K151=0,"Hoje",IF(K151&lt;=6,"Esta semana","Depois"))))))</f>
        <v/>
      </c>
      <c r="M151" s="39">
        <f>IF(OR(B151="",L151="Feito",L151="Cancelado",L151="Sem prazo",L151="Depois"),0,IF(L151="Atrasada",2000,IF(L151="Hoje",1500,500))+F151*G151*100+IF(K151&lt;0,MIN(-K151,30),10-K151)-ROW()/100000)</f>
        <v>0</v>
      </c>
      <c r="N151" s="36" t="n"/>
    </row>
    <row r="152">
      <c r="A152" s="23">
        <f>IF(B152="","",ROW()-3)</f>
        <v/>
      </c>
      <c r="B152" s="36" t="n"/>
      <c r="C152" s="36" t="n"/>
      <c r="D152" s="36" t="n"/>
      <c r="E152" s="37" t="n"/>
      <c r="F152" s="38" t="n"/>
      <c r="G152" s="38" t="n"/>
      <c r="H152" s="38" t="n"/>
      <c r="I152" s="36" t="n"/>
      <c r="J152" s="24">
        <f>IF(B152="","",IF(F152*G152&gt;=6,"Alta",IF(F152*G152&gt;=3,"Média","Baixa")))</f>
        <v/>
      </c>
      <c r="K152" s="23">
        <f>IF(OR(B152="",E152=""),"",E152-Config!$B$4)</f>
        <v/>
      </c>
      <c r="L152" s="24">
        <f>IF(B152="","",IF(OR(I152="Feito",I152="Cancelado"),I152,IF(E152="","Sem prazo",IF(K152&lt;0,"Atrasada",IF(K152=0,"Hoje",IF(K152&lt;=6,"Esta semana","Depois"))))))</f>
        <v/>
      </c>
      <c r="M152" s="39">
        <f>IF(OR(B152="",L152="Feito",L152="Cancelado",L152="Sem prazo",L152="Depois"),0,IF(L152="Atrasada",2000,IF(L152="Hoje",1500,500))+F152*G152*100+IF(K152&lt;0,MIN(-K152,30),10-K152)-ROW()/100000)</f>
        <v>0</v>
      </c>
      <c r="N152" s="36" t="n"/>
    </row>
    <row r="153">
      <c r="A153" s="23">
        <f>IF(B153="","",ROW()-3)</f>
        <v/>
      </c>
      <c r="B153" s="36" t="n"/>
      <c r="C153" s="36" t="n"/>
      <c r="D153" s="36" t="n"/>
      <c r="E153" s="37" t="n"/>
      <c r="F153" s="38" t="n"/>
      <c r="G153" s="38" t="n"/>
      <c r="H153" s="38" t="n"/>
      <c r="I153" s="36" t="n"/>
      <c r="J153" s="24">
        <f>IF(B153="","",IF(F153*G153&gt;=6,"Alta",IF(F153*G153&gt;=3,"Média","Baixa")))</f>
        <v/>
      </c>
      <c r="K153" s="23">
        <f>IF(OR(B153="",E153=""),"",E153-Config!$B$4)</f>
        <v/>
      </c>
      <c r="L153" s="24">
        <f>IF(B153="","",IF(OR(I153="Feito",I153="Cancelado"),I153,IF(E153="","Sem prazo",IF(K153&lt;0,"Atrasada",IF(K153=0,"Hoje",IF(K153&lt;=6,"Esta semana","Depois"))))))</f>
        <v/>
      </c>
      <c r="M153" s="39">
        <f>IF(OR(B153="",L153="Feito",L153="Cancelado",L153="Sem prazo",L153="Depois"),0,IF(L153="Atrasada",2000,IF(L153="Hoje",1500,500))+F153*G153*100+IF(K153&lt;0,MIN(-K153,30),10-K153)-ROW()/100000)</f>
        <v>0</v>
      </c>
      <c r="N153" s="36" t="n"/>
    </row>
    <row r="154">
      <c r="A154" s="23">
        <f>IF(B154="","",ROW()-3)</f>
        <v/>
      </c>
      <c r="B154" s="36" t="n"/>
      <c r="C154" s="36" t="n"/>
      <c r="D154" s="36" t="n"/>
      <c r="E154" s="37" t="n"/>
      <c r="F154" s="38" t="n"/>
      <c r="G154" s="38" t="n"/>
      <c r="H154" s="38" t="n"/>
      <c r="I154" s="36" t="n"/>
      <c r="J154" s="24">
        <f>IF(B154="","",IF(F154*G154&gt;=6,"Alta",IF(F154*G154&gt;=3,"Média","Baixa")))</f>
        <v/>
      </c>
      <c r="K154" s="23">
        <f>IF(OR(B154="",E154=""),"",E154-Config!$B$4)</f>
        <v/>
      </c>
      <c r="L154" s="24">
        <f>IF(B154="","",IF(OR(I154="Feito",I154="Cancelado"),I154,IF(E154="","Sem prazo",IF(K154&lt;0,"Atrasada",IF(K154=0,"Hoje",IF(K154&lt;=6,"Esta semana","Depois"))))))</f>
        <v/>
      </c>
      <c r="M154" s="39">
        <f>IF(OR(B154="",L154="Feito",L154="Cancelado",L154="Sem prazo",L154="Depois"),0,IF(L154="Atrasada",2000,IF(L154="Hoje",1500,500))+F154*G154*100+IF(K154&lt;0,MIN(-K154,30),10-K154)-ROW()/100000)</f>
        <v>0</v>
      </c>
      <c r="N154" s="36" t="n"/>
    </row>
    <row r="155">
      <c r="A155" s="23">
        <f>IF(B155="","",ROW()-3)</f>
        <v/>
      </c>
      <c r="B155" s="36" t="n"/>
      <c r="C155" s="36" t="n"/>
      <c r="D155" s="36" t="n"/>
      <c r="E155" s="37" t="n"/>
      <c r="F155" s="38" t="n"/>
      <c r="G155" s="38" t="n"/>
      <c r="H155" s="38" t="n"/>
      <c r="I155" s="36" t="n"/>
      <c r="J155" s="24">
        <f>IF(B155="","",IF(F155*G155&gt;=6,"Alta",IF(F155*G155&gt;=3,"Média","Baixa")))</f>
        <v/>
      </c>
      <c r="K155" s="23">
        <f>IF(OR(B155="",E155=""),"",E155-Config!$B$4)</f>
        <v/>
      </c>
      <c r="L155" s="24">
        <f>IF(B155="","",IF(OR(I155="Feito",I155="Cancelado"),I155,IF(E155="","Sem prazo",IF(K155&lt;0,"Atrasada",IF(K155=0,"Hoje",IF(K155&lt;=6,"Esta semana","Depois"))))))</f>
        <v/>
      </c>
      <c r="M155" s="39">
        <f>IF(OR(B155="",L155="Feito",L155="Cancelado",L155="Sem prazo",L155="Depois"),0,IF(L155="Atrasada",2000,IF(L155="Hoje",1500,500))+F155*G155*100+IF(K155&lt;0,MIN(-K155,30),10-K155)-ROW()/100000)</f>
        <v>0</v>
      </c>
      <c r="N155" s="36" t="n"/>
    </row>
    <row r="156">
      <c r="A156" s="23">
        <f>IF(B156="","",ROW()-3)</f>
        <v/>
      </c>
      <c r="B156" s="36" t="n"/>
      <c r="C156" s="36" t="n"/>
      <c r="D156" s="36" t="n"/>
      <c r="E156" s="37" t="n"/>
      <c r="F156" s="38" t="n"/>
      <c r="G156" s="38" t="n"/>
      <c r="H156" s="38" t="n"/>
      <c r="I156" s="36" t="n"/>
      <c r="J156" s="24">
        <f>IF(B156="","",IF(F156*G156&gt;=6,"Alta",IF(F156*G156&gt;=3,"Média","Baixa")))</f>
        <v/>
      </c>
      <c r="K156" s="23">
        <f>IF(OR(B156="",E156=""),"",E156-Config!$B$4)</f>
        <v/>
      </c>
      <c r="L156" s="24">
        <f>IF(B156="","",IF(OR(I156="Feito",I156="Cancelado"),I156,IF(E156="","Sem prazo",IF(K156&lt;0,"Atrasada",IF(K156=0,"Hoje",IF(K156&lt;=6,"Esta semana","Depois"))))))</f>
        <v/>
      </c>
      <c r="M156" s="39">
        <f>IF(OR(B156="",L156="Feito",L156="Cancelado",L156="Sem prazo",L156="Depois"),0,IF(L156="Atrasada",2000,IF(L156="Hoje",1500,500))+F156*G156*100+IF(K156&lt;0,MIN(-K156,30),10-K156)-ROW()/100000)</f>
        <v>0</v>
      </c>
      <c r="N156" s="36" t="n"/>
    </row>
    <row r="157">
      <c r="A157" s="23">
        <f>IF(B157="","",ROW()-3)</f>
        <v/>
      </c>
      <c r="B157" s="36" t="n"/>
      <c r="C157" s="36" t="n"/>
      <c r="D157" s="36" t="n"/>
      <c r="E157" s="37" t="n"/>
      <c r="F157" s="38" t="n"/>
      <c r="G157" s="38" t="n"/>
      <c r="H157" s="38" t="n"/>
      <c r="I157" s="36" t="n"/>
      <c r="J157" s="24">
        <f>IF(B157="","",IF(F157*G157&gt;=6,"Alta",IF(F157*G157&gt;=3,"Média","Baixa")))</f>
        <v/>
      </c>
      <c r="K157" s="23">
        <f>IF(OR(B157="",E157=""),"",E157-Config!$B$4)</f>
        <v/>
      </c>
      <c r="L157" s="24">
        <f>IF(B157="","",IF(OR(I157="Feito",I157="Cancelado"),I157,IF(E157="","Sem prazo",IF(K157&lt;0,"Atrasada",IF(K157=0,"Hoje",IF(K157&lt;=6,"Esta semana","Depois"))))))</f>
        <v/>
      </c>
      <c r="M157" s="39">
        <f>IF(OR(B157="",L157="Feito",L157="Cancelado",L157="Sem prazo",L157="Depois"),0,IF(L157="Atrasada",2000,IF(L157="Hoje",1500,500))+F157*G157*100+IF(K157&lt;0,MIN(-K157,30),10-K157)-ROW()/100000)</f>
        <v>0</v>
      </c>
      <c r="N157" s="36" t="n"/>
    </row>
    <row r="158">
      <c r="A158" s="23">
        <f>IF(B158="","",ROW()-3)</f>
        <v/>
      </c>
      <c r="B158" s="36" t="n"/>
      <c r="C158" s="36" t="n"/>
      <c r="D158" s="36" t="n"/>
      <c r="E158" s="37" t="n"/>
      <c r="F158" s="38" t="n"/>
      <c r="G158" s="38" t="n"/>
      <c r="H158" s="38" t="n"/>
      <c r="I158" s="36" t="n"/>
      <c r="J158" s="24">
        <f>IF(B158="","",IF(F158*G158&gt;=6,"Alta",IF(F158*G158&gt;=3,"Média","Baixa")))</f>
        <v/>
      </c>
      <c r="K158" s="23">
        <f>IF(OR(B158="",E158=""),"",E158-Config!$B$4)</f>
        <v/>
      </c>
      <c r="L158" s="24">
        <f>IF(B158="","",IF(OR(I158="Feito",I158="Cancelado"),I158,IF(E158="","Sem prazo",IF(K158&lt;0,"Atrasada",IF(K158=0,"Hoje",IF(K158&lt;=6,"Esta semana","Depois"))))))</f>
        <v/>
      </c>
      <c r="M158" s="39">
        <f>IF(OR(B158="",L158="Feito",L158="Cancelado",L158="Sem prazo",L158="Depois"),0,IF(L158="Atrasada",2000,IF(L158="Hoje",1500,500))+F158*G158*100+IF(K158&lt;0,MIN(-K158,30),10-K158)-ROW()/100000)</f>
        <v>0</v>
      </c>
      <c r="N158" s="36" t="n"/>
    </row>
    <row r="159">
      <c r="A159" s="23">
        <f>IF(B159="","",ROW()-3)</f>
        <v/>
      </c>
      <c r="B159" s="36" t="n"/>
      <c r="C159" s="36" t="n"/>
      <c r="D159" s="36" t="n"/>
      <c r="E159" s="37" t="n"/>
      <c r="F159" s="38" t="n"/>
      <c r="G159" s="38" t="n"/>
      <c r="H159" s="38" t="n"/>
      <c r="I159" s="36" t="n"/>
      <c r="J159" s="24">
        <f>IF(B159="","",IF(F159*G159&gt;=6,"Alta",IF(F159*G159&gt;=3,"Média","Baixa")))</f>
        <v/>
      </c>
      <c r="K159" s="23">
        <f>IF(OR(B159="",E159=""),"",E159-Config!$B$4)</f>
        <v/>
      </c>
      <c r="L159" s="24">
        <f>IF(B159="","",IF(OR(I159="Feito",I159="Cancelado"),I159,IF(E159="","Sem prazo",IF(K159&lt;0,"Atrasada",IF(K159=0,"Hoje",IF(K159&lt;=6,"Esta semana","Depois"))))))</f>
        <v/>
      </c>
      <c r="M159" s="39">
        <f>IF(OR(B159="",L159="Feito",L159="Cancelado",L159="Sem prazo",L159="Depois"),0,IF(L159="Atrasada",2000,IF(L159="Hoje",1500,500))+F159*G159*100+IF(K159&lt;0,MIN(-K159,30),10-K159)-ROW()/100000)</f>
        <v>0</v>
      </c>
      <c r="N159" s="36" t="n"/>
    </row>
    <row r="160">
      <c r="A160" s="23">
        <f>IF(B160="","",ROW()-3)</f>
        <v/>
      </c>
      <c r="B160" s="36" t="n"/>
      <c r="C160" s="36" t="n"/>
      <c r="D160" s="36" t="n"/>
      <c r="E160" s="37" t="n"/>
      <c r="F160" s="38" t="n"/>
      <c r="G160" s="38" t="n"/>
      <c r="H160" s="38" t="n"/>
      <c r="I160" s="36" t="n"/>
      <c r="J160" s="24">
        <f>IF(B160="","",IF(F160*G160&gt;=6,"Alta",IF(F160*G160&gt;=3,"Média","Baixa")))</f>
        <v/>
      </c>
      <c r="K160" s="23">
        <f>IF(OR(B160="",E160=""),"",E160-Config!$B$4)</f>
        <v/>
      </c>
      <c r="L160" s="24">
        <f>IF(B160="","",IF(OR(I160="Feito",I160="Cancelado"),I160,IF(E160="","Sem prazo",IF(K160&lt;0,"Atrasada",IF(K160=0,"Hoje",IF(K160&lt;=6,"Esta semana","Depois"))))))</f>
        <v/>
      </c>
      <c r="M160" s="39">
        <f>IF(OR(B160="",L160="Feito",L160="Cancelado",L160="Sem prazo",L160="Depois"),0,IF(L160="Atrasada",2000,IF(L160="Hoje",1500,500))+F160*G160*100+IF(K160&lt;0,MIN(-K160,30),10-K160)-ROW()/100000)</f>
        <v>0</v>
      </c>
      <c r="N160" s="36" t="n"/>
    </row>
    <row r="161">
      <c r="A161" s="23">
        <f>IF(B161="","",ROW()-3)</f>
        <v/>
      </c>
      <c r="B161" s="36" t="n"/>
      <c r="C161" s="36" t="n"/>
      <c r="D161" s="36" t="n"/>
      <c r="E161" s="37" t="n"/>
      <c r="F161" s="38" t="n"/>
      <c r="G161" s="38" t="n"/>
      <c r="H161" s="38" t="n"/>
      <c r="I161" s="36" t="n"/>
      <c r="J161" s="24">
        <f>IF(B161="","",IF(F161*G161&gt;=6,"Alta",IF(F161*G161&gt;=3,"Média","Baixa")))</f>
        <v/>
      </c>
      <c r="K161" s="23">
        <f>IF(OR(B161="",E161=""),"",E161-Config!$B$4)</f>
        <v/>
      </c>
      <c r="L161" s="24">
        <f>IF(B161="","",IF(OR(I161="Feito",I161="Cancelado"),I161,IF(E161="","Sem prazo",IF(K161&lt;0,"Atrasada",IF(K161=0,"Hoje",IF(K161&lt;=6,"Esta semana","Depois"))))))</f>
        <v/>
      </c>
      <c r="M161" s="39">
        <f>IF(OR(B161="",L161="Feito",L161="Cancelado",L161="Sem prazo",L161="Depois"),0,IF(L161="Atrasada",2000,IF(L161="Hoje",1500,500))+F161*G161*100+IF(K161&lt;0,MIN(-K161,30),10-K161)-ROW()/100000)</f>
        <v>0</v>
      </c>
      <c r="N161" s="36" t="n"/>
    </row>
    <row r="162">
      <c r="A162" s="23">
        <f>IF(B162="","",ROW()-3)</f>
        <v/>
      </c>
      <c r="B162" s="36" t="n"/>
      <c r="C162" s="36" t="n"/>
      <c r="D162" s="36" t="n"/>
      <c r="E162" s="37" t="n"/>
      <c r="F162" s="38" t="n"/>
      <c r="G162" s="38" t="n"/>
      <c r="H162" s="38" t="n"/>
      <c r="I162" s="36" t="n"/>
      <c r="J162" s="24">
        <f>IF(B162="","",IF(F162*G162&gt;=6,"Alta",IF(F162*G162&gt;=3,"Média","Baixa")))</f>
        <v/>
      </c>
      <c r="K162" s="23">
        <f>IF(OR(B162="",E162=""),"",E162-Config!$B$4)</f>
        <v/>
      </c>
      <c r="L162" s="24">
        <f>IF(B162="","",IF(OR(I162="Feito",I162="Cancelado"),I162,IF(E162="","Sem prazo",IF(K162&lt;0,"Atrasada",IF(K162=0,"Hoje",IF(K162&lt;=6,"Esta semana","Depois"))))))</f>
        <v/>
      </c>
      <c r="M162" s="39">
        <f>IF(OR(B162="",L162="Feito",L162="Cancelado",L162="Sem prazo",L162="Depois"),0,IF(L162="Atrasada",2000,IF(L162="Hoje",1500,500))+F162*G162*100+IF(K162&lt;0,MIN(-K162,30),10-K162)-ROW()/100000)</f>
        <v>0</v>
      </c>
      <c r="N162" s="36" t="n"/>
    </row>
    <row r="163">
      <c r="A163" s="23">
        <f>IF(B163="","",ROW()-3)</f>
        <v/>
      </c>
      <c r="B163" s="36" t="n"/>
      <c r="C163" s="36" t="n"/>
      <c r="D163" s="36" t="n"/>
      <c r="E163" s="37" t="n"/>
      <c r="F163" s="38" t="n"/>
      <c r="G163" s="38" t="n"/>
      <c r="H163" s="38" t="n"/>
      <c r="I163" s="36" t="n"/>
      <c r="J163" s="24">
        <f>IF(B163="","",IF(F163*G163&gt;=6,"Alta",IF(F163*G163&gt;=3,"Média","Baixa")))</f>
        <v/>
      </c>
      <c r="K163" s="23">
        <f>IF(OR(B163="",E163=""),"",E163-Config!$B$4)</f>
        <v/>
      </c>
      <c r="L163" s="24">
        <f>IF(B163="","",IF(OR(I163="Feito",I163="Cancelado"),I163,IF(E163="","Sem prazo",IF(K163&lt;0,"Atrasada",IF(K163=0,"Hoje",IF(K163&lt;=6,"Esta semana","Depois"))))))</f>
        <v/>
      </c>
      <c r="M163" s="39">
        <f>IF(OR(B163="",L163="Feito",L163="Cancelado",L163="Sem prazo",L163="Depois"),0,IF(L163="Atrasada",2000,IF(L163="Hoje",1500,500))+F163*G163*100+IF(K163&lt;0,MIN(-K163,30),10-K163)-ROW()/100000)</f>
        <v>0</v>
      </c>
      <c r="N163" s="36" t="n"/>
    </row>
    <row r="164">
      <c r="A164" s="23">
        <f>IF(B164="","",ROW()-3)</f>
        <v/>
      </c>
      <c r="B164" s="36" t="n"/>
      <c r="C164" s="36" t="n"/>
      <c r="D164" s="36" t="n"/>
      <c r="E164" s="37" t="n"/>
      <c r="F164" s="38" t="n"/>
      <c r="G164" s="38" t="n"/>
      <c r="H164" s="38" t="n"/>
      <c r="I164" s="36" t="n"/>
      <c r="J164" s="24">
        <f>IF(B164="","",IF(F164*G164&gt;=6,"Alta",IF(F164*G164&gt;=3,"Média","Baixa")))</f>
        <v/>
      </c>
      <c r="K164" s="23">
        <f>IF(OR(B164="",E164=""),"",E164-Config!$B$4)</f>
        <v/>
      </c>
      <c r="L164" s="24">
        <f>IF(B164="","",IF(OR(I164="Feito",I164="Cancelado"),I164,IF(E164="","Sem prazo",IF(K164&lt;0,"Atrasada",IF(K164=0,"Hoje",IF(K164&lt;=6,"Esta semana","Depois"))))))</f>
        <v/>
      </c>
      <c r="M164" s="39">
        <f>IF(OR(B164="",L164="Feito",L164="Cancelado",L164="Sem prazo",L164="Depois"),0,IF(L164="Atrasada",2000,IF(L164="Hoje",1500,500))+F164*G164*100+IF(K164&lt;0,MIN(-K164,30),10-K164)-ROW()/100000)</f>
        <v>0</v>
      </c>
      <c r="N164" s="36" t="n"/>
    </row>
    <row r="165">
      <c r="A165" s="23">
        <f>IF(B165="","",ROW()-3)</f>
        <v/>
      </c>
      <c r="B165" s="36" t="n"/>
      <c r="C165" s="36" t="n"/>
      <c r="D165" s="36" t="n"/>
      <c r="E165" s="37" t="n"/>
      <c r="F165" s="38" t="n"/>
      <c r="G165" s="38" t="n"/>
      <c r="H165" s="38" t="n"/>
      <c r="I165" s="36" t="n"/>
      <c r="J165" s="24">
        <f>IF(B165="","",IF(F165*G165&gt;=6,"Alta",IF(F165*G165&gt;=3,"Média","Baixa")))</f>
        <v/>
      </c>
      <c r="K165" s="23">
        <f>IF(OR(B165="",E165=""),"",E165-Config!$B$4)</f>
        <v/>
      </c>
      <c r="L165" s="24">
        <f>IF(B165="","",IF(OR(I165="Feito",I165="Cancelado"),I165,IF(E165="","Sem prazo",IF(K165&lt;0,"Atrasada",IF(K165=0,"Hoje",IF(K165&lt;=6,"Esta semana","Depois"))))))</f>
        <v/>
      </c>
      <c r="M165" s="39">
        <f>IF(OR(B165="",L165="Feito",L165="Cancelado",L165="Sem prazo",L165="Depois"),0,IF(L165="Atrasada",2000,IF(L165="Hoje",1500,500))+F165*G165*100+IF(K165&lt;0,MIN(-K165,30),10-K165)-ROW()/100000)</f>
        <v>0</v>
      </c>
      <c r="N165" s="36" t="n"/>
    </row>
    <row r="166">
      <c r="A166" s="23">
        <f>IF(B166="","",ROW()-3)</f>
        <v/>
      </c>
      <c r="B166" s="36" t="n"/>
      <c r="C166" s="36" t="n"/>
      <c r="D166" s="36" t="n"/>
      <c r="E166" s="37" t="n"/>
      <c r="F166" s="38" t="n"/>
      <c r="G166" s="38" t="n"/>
      <c r="H166" s="38" t="n"/>
      <c r="I166" s="36" t="n"/>
      <c r="J166" s="24">
        <f>IF(B166="","",IF(F166*G166&gt;=6,"Alta",IF(F166*G166&gt;=3,"Média","Baixa")))</f>
        <v/>
      </c>
      <c r="K166" s="23">
        <f>IF(OR(B166="",E166=""),"",E166-Config!$B$4)</f>
        <v/>
      </c>
      <c r="L166" s="24">
        <f>IF(B166="","",IF(OR(I166="Feito",I166="Cancelado"),I166,IF(E166="","Sem prazo",IF(K166&lt;0,"Atrasada",IF(K166=0,"Hoje",IF(K166&lt;=6,"Esta semana","Depois"))))))</f>
        <v/>
      </c>
      <c r="M166" s="39">
        <f>IF(OR(B166="",L166="Feito",L166="Cancelado",L166="Sem prazo",L166="Depois"),0,IF(L166="Atrasada",2000,IF(L166="Hoje",1500,500))+F166*G166*100+IF(K166&lt;0,MIN(-K166,30),10-K166)-ROW()/100000)</f>
        <v>0</v>
      </c>
      <c r="N166" s="36" t="n"/>
    </row>
    <row r="167">
      <c r="A167" s="23">
        <f>IF(B167="","",ROW()-3)</f>
        <v/>
      </c>
      <c r="B167" s="36" t="n"/>
      <c r="C167" s="36" t="n"/>
      <c r="D167" s="36" t="n"/>
      <c r="E167" s="37" t="n"/>
      <c r="F167" s="38" t="n"/>
      <c r="G167" s="38" t="n"/>
      <c r="H167" s="38" t="n"/>
      <c r="I167" s="36" t="n"/>
      <c r="J167" s="24">
        <f>IF(B167="","",IF(F167*G167&gt;=6,"Alta",IF(F167*G167&gt;=3,"Média","Baixa")))</f>
        <v/>
      </c>
      <c r="K167" s="23">
        <f>IF(OR(B167="",E167=""),"",E167-Config!$B$4)</f>
        <v/>
      </c>
      <c r="L167" s="24">
        <f>IF(B167="","",IF(OR(I167="Feito",I167="Cancelado"),I167,IF(E167="","Sem prazo",IF(K167&lt;0,"Atrasada",IF(K167=0,"Hoje",IF(K167&lt;=6,"Esta semana","Depois"))))))</f>
        <v/>
      </c>
      <c r="M167" s="39">
        <f>IF(OR(B167="",L167="Feito",L167="Cancelado",L167="Sem prazo",L167="Depois"),0,IF(L167="Atrasada",2000,IF(L167="Hoje",1500,500))+F167*G167*100+IF(K167&lt;0,MIN(-K167,30),10-K167)-ROW()/100000)</f>
        <v>0</v>
      </c>
      <c r="N167" s="36" t="n"/>
    </row>
    <row r="168">
      <c r="A168" s="23">
        <f>IF(B168="","",ROW()-3)</f>
        <v/>
      </c>
      <c r="B168" s="36" t="n"/>
      <c r="C168" s="36" t="n"/>
      <c r="D168" s="36" t="n"/>
      <c r="E168" s="37" t="n"/>
      <c r="F168" s="38" t="n"/>
      <c r="G168" s="38" t="n"/>
      <c r="H168" s="38" t="n"/>
      <c r="I168" s="36" t="n"/>
      <c r="J168" s="24">
        <f>IF(B168="","",IF(F168*G168&gt;=6,"Alta",IF(F168*G168&gt;=3,"Média","Baixa")))</f>
        <v/>
      </c>
      <c r="K168" s="23">
        <f>IF(OR(B168="",E168=""),"",E168-Config!$B$4)</f>
        <v/>
      </c>
      <c r="L168" s="24">
        <f>IF(B168="","",IF(OR(I168="Feito",I168="Cancelado"),I168,IF(E168="","Sem prazo",IF(K168&lt;0,"Atrasada",IF(K168=0,"Hoje",IF(K168&lt;=6,"Esta semana","Depois"))))))</f>
        <v/>
      </c>
      <c r="M168" s="39">
        <f>IF(OR(B168="",L168="Feito",L168="Cancelado",L168="Sem prazo",L168="Depois"),0,IF(L168="Atrasada",2000,IF(L168="Hoje",1500,500))+F168*G168*100+IF(K168&lt;0,MIN(-K168,30),10-K168)-ROW()/100000)</f>
        <v>0</v>
      </c>
      <c r="N168" s="36" t="n"/>
    </row>
    <row r="169">
      <c r="A169" s="23">
        <f>IF(B169="","",ROW()-3)</f>
        <v/>
      </c>
      <c r="B169" s="36" t="n"/>
      <c r="C169" s="36" t="n"/>
      <c r="D169" s="36" t="n"/>
      <c r="E169" s="37" t="n"/>
      <c r="F169" s="38" t="n"/>
      <c r="G169" s="38" t="n"/>
      <c r="H169" s="38" t="n"/>
      <c r="I169" s="36" t="n"/>
      <c r="J169" s="24">
        <f>IF(B169="","",IF(F169*G169&gt;=6,"Alta",IF(F169*G169&gt;=3,"Média","Baixa")))</f>
        <v/>
      </c>
      <c r="K169" s="23">
        <f>IF(OR(B169="",E169=""),"",E169-Config!$B$4)</f>
        <v/>
      </c>
      <c r="L169" s="24">
        <f>IF(B169="","",IF(OR(I169="Feito",I169="Cancelado"),I169,IF(E169="","Sem prazo",IF(K169&lt;0,"Atrasada",IF(K169=0,"Hoje",IF(K169&lt;=6,"Esta semana","Depois"))))))</f>
        <v/>
      </c>
      <c r="M169" s="39">
        <f>IF(OR(B169="",L169="Feito",L169="Cancelado",L169="Sem prazo",L169="Depois"),0,IF(L169="Atrasada",2000,IF(L169="Hoje",1500,500))+F169*G169*100+IF(K169&lt;0,MIN(-K169,30),10-K169)-ROW()/100000)</f>
        <v>0</v>
      </c>
      <c r="N169" s="36" t="n"/>
    </row>
    <row r="170">
      <c r="A170" s="23">
        <f>IF(B170="","",ROW()-3)</f>
        <v/>
      </c>
      <c r="B170" s="36" t="n"/>
      <c r="C170" s="36" t="n"/>
      <c r="D170" s="36" t="n"/>
      <c r="E170" s="37" t="n"/>
      <c r="F170" s="38" t="n"/>
      <c r="G170" s="38" t="n"/>
      <c r="H170" s="38" t="n"/>
      <c r="I170" s="36" t="n"/>
      <c r="J170" s="24">
        <f>IF(B170="","",IF(F170*G170&gt;=6,"Alta",IF(F170*G170&gt;=3,"Média","Baixa")))</f>
        <v/>
      </c>
      <c r="K170" s="23">
        <f>IF(OR(B170="",E170=""),"",E170-Config!$B$4)</f>
        <v/>
      </c>
      <c r="L170" s="24">
        <f>IF(B170="","",IF(OR(I170="Feito",I170="Cancelado"),I170,IF(E170="","Sem prazo",IF(K170&lt;0,"Atrasada",IF(K170=0,"Hoje",IF(K170&lt;=6,"Esta semana","Depois"))))))</f>
        <v/>
      </c>
      <c r="M170" s="39">
        <f>IF(OR(B170="",L170="Feito",L170="Cancelado",L170="Sem prazo",L170="Depois"),0,IF(L170="Atrasada",2000,IF(L170="Hoje",1500,500))+F170*G170*100+IF(K170&lt;0,MIN(-K170,30),10-K170)-ROW()/100000)</f>
        <v>0</v>
      </c>
      <c r="N170" s="36" t="n"/>
    </row>
    <row r="171">
      <c r="A171" s="23">
        <f>IF(B171="","",ROW()-3)</f>
        <v/>
      </c>
      <c r="B171" s="36" t="n"/>
      <c r="C171" s="36" t="n"/>
      <c r="D171" s="36" t="n"/>
      <c r="E171" s="37" t="n"/>
      <c r="F171" s="38" t="n"/>
      <c r="G171" s="38" t="n"/>
      <c r="H171" s="38" t="n"/>
      <c r="I171" s="36" t="n"/>
      <c r="J171" s="24">
        <f>IF(B171="","",IF(F171*G171&gt;=6,"Alta",IF(F171*G171&gt;=3,"Média","Baixa")))</f>
        <v/>
      </c>
      <c r="K171" s="23">
        <f>IF(OR(B171="",E171=""),"",E171-Config!$B$4)</f>
        <v/>
      </c>
      <c r="L171" s="24">
        <f>IF(B171="","",IF(OR(I171="Feito",I171="Cancelado"),I171,IF(E171="","Sem prazo",IF(K171&lt;0,"Atrasada",IF(K171=0,"Hoje",IF(K171&lt;=6,"Esta semana","Depois"))))))</f>
        <v/>
      </c>
      <c r="M171" s="39">
        <f>IF(OR(B171="",L171="Feito",L171="Cancelado",L171="Sem prazo",L171="Depois"),0,IF(L171="Atrasada",2000,IF(L171="Hoje",1500,500))+F171*G171*100+IF(K171&lt;0,MIN(-K171,30),10-K171)-ROW()/100000)</f>
        <v>0</v>
      </c>
      <c r="N171" s="36" t="n"/>
    </row>
    <row r="172">
      <c r="A172" s="23">
        <f>IF(B172="","",ROW()-3)</f>
        <v/>
      </c>
      <c r="B172" s="36" t="n"/>
      <c r="C172" s="36" t="n"/>
      <c r="D172" s="36" t="n"/>
      <c r="E172" s="37" t="n"/>
      <c r="F172" s="38" t="n"/>
      <c r="G172" s="38" t="n"/>
      <c r="H172" s="38" t="n"/>
      <c r="I172" s="36" t="n"/>
      <c r="J172" s="24">
        <f>IF(B172="","",IF(F172*G172&gt;=6,"Alta",IF(F172*G172&gt;=3,"Média","Baixa")))</f>
        <v/>
      </c>
      <c r="K172" s="23">
        <f>IF(OR(B172="",E172=""),"",E172-Config!$B$4)</f>
        <v/>
      </c>
      <c r="L172" s="24">
        <f>IF(B172="","",IF(OR(I172="Feito",I172="Cancelado"),I172,IF(E172="","Sem prazo",IF(K172&lt;0,"Atrasada",IF(K172=0,"Hoje",IF(K172&lt;=6,"Esta semana","Depois"))))))</f>
        <v/>
      </c>
      <c r="M172" s="39">
        <f>IF(OR(B172="",L172="Feito",L172="Cancelado",L172="Sem prazo",L172="Depois"),0,IF(L172="Atrasada",2000,IF(L172="Hoje",1500,500))+F172*G172*100+IF(K172&lt;0,MIN(-K172,30),10-K172)-ROW()/100000)</f>
        <v>0</v>
      </c>
      <c r="N172" s="36" t="n"/>
    </row>
    <row r="173">
      <c r="A173" s="23">
        <f>IF(B173="","",ROW()-3)</f>
        <v/>
      </c>
      <c r="B173" s="36" t="n"/>
      <c r="C173" s="36" t="n"/>
      <c r="D173" s="36" t="n"/>
      <c r="E173" s="37" t="n"/>
      <c r="F173" s="38" t="n"/>
      <c r="G173" s="38" t="n"/>
      <c r="H173" s="38" t="n"/>
      <c r="I173" s="36" t="n"/>
      <c r="J173" s="24">
        <f>IF(B173="","",IF(F173*G173&gt;=6,"Alta",IF(F173*G173&gt;=3,"Média","Baixa")))</f>
        <v/>
      </c>
      <c r="K173" s="23">
        <f>IF(OR(B173="",E173=""),"",E173-Config!$B$4)</f>
        <v/>
      </c>
      <c r="L173" s="24">
        <f>IF(B173="","",IF(OR(I173="Feito",I173="Cancelado"),I173,IF(E173="","Sem prazo",IF(K173&lt;0,"Atrasada",IF(K173=0,"Hoje",IF(K173&lt;=6,"Esta semana","Depois"))))))</f>
        <v/>
      </c>
      <c r="M173" s="39">
        <f>IF(OR(B173="",L173="Feito",L173="Cancelado",L173="Sem prazo",L173="Depois"),0,IF(L173="Atrasada",2000,IF(L173="Hoje",1500,500))+F173*G173*100+IF(K173&lt;0,MIN(-K173,30),10-K173)-ROW()/100000)</f>
        <v>0</v>
      </c>
      <c r="N173" s="36" t="n"/>
    </row>
    <row r="174">
      <c r="A174" s="23">
        <f>IF(B174="","",ROW()-3)</f>
        <v/>
      </c>
      <c r="B174" s="36" t="n"/>
      <c r="C174" s="36" t="n"/>
      <c r="D174" s="36" t="n"/>
      <c r="E174" s="37" t="n"/>
      <c r="F174" s="38" t="n"/>
      <c r="G174" s="38" t="n"/>
      <c r="H174" s="38" t="n"/>
      <c r="I174" s="36" t="n"/>
      <c r="J174" s="24">
        <f>IF(B174="","",IF(F174*G174&gt;=6,"Alta",IF(F174*G174&gt;=3,"Média","Baixa")))</f>
        <v/>
      </c>
      <c r="K174" s="23">
        <f>IF(OR(B174="",E174=""),"",E174-Config!$B$4)</f>
        <v/>
      </c>
      <c r="L174" s="24">
        <f>IF(B174="","",IF(OR(I174="Feito",I174="Cancelado"),I174,IF(E174="","Sem prazo",IF(K174&lt;0,"Atrasada",IF(K174=0,"Hoje",IF(K174&lt;=6,"Esta semana","Depois"))))))</f>
        <v/>
      </c>
      <c r="M174" s="39">
        <f>IF(OR(B174="",L174="Feito",L174="Cancelado",L174="Sem prazo",L174="Depois"),0,IF(L174="Atrasada",2000,IF(L174="Hoje",1500,500))+F174*G174*100+IF(K174&lt;0,MIN(-K174,30),10-K174)-ROW()/100000)</f>
        <v>0</v>
      </c>
      <c r="N174" s="36" t="n"/>
    </row>
    <row r="175">
      <c r="A175" s="23">
        <f>IF(B175="","",ROW()-3)</f>
        <v/>
      </c>
      <c r="B175" s="36" t="n"/>
      <c r="C175" s="36" t="n"/>
      <c r="D175" s="36" t="n"/>
      <c r="E175" s="37" t="n"/>
      <c r="F175" s="38" t="n"/>
      <c r="G175" s="38" t="n"/>
      <c r="H175" s="38" t="n"/>
      <c r="I175" s="36" t="n"/>
      <c r="J175" s="24">
        <f>IF(B175="","",IF(F175*G175&gt;=6,"Alta",IF(F175*G175&gt;=3,"Média","Baixa")))</f>
        <v/>
      </c>
      <c r="K175" s="23">
        <f>IF(OR(B175="",E175=""),"",E175-Config!$B$4)</f>
        <v/>
      </c>
      <c r="L175" s="24">
        <f>IF(B175="","",IF(OR(I175="Feito",I175="Cancelado"),I175,IF(E175="","Sem prazo",IF(K175&lt;0,"Atrasada",IF(K175=0,"Hoje",IF(K175&lt;=6,"Esta semana","Depois"))))))</f>
        <v/>
      </c>
      <c r="M175" s="39">
        <f>IF(OR(B175="",L175="Feito",L175="Cancelado",L175="Sem prazo",L175="Depois"),0,IF(L175="Atrasada",2000,IF(L175="Hoje",1500,500))+F175*G175*100+IF(K175&lt;0,MIN(-K175,30),10-K175)-ROW()/100000)</f>
        <v>0</v>
      </c>
      <c r="N175" s="36" t="n"/>
    </row>
    <row r="176">
      <c r="A176" s="23">
        <f>IF(B176="","",ROW()-3)</f>
        <v/>
      </c>
      <c r="B176" s="36" t="n"/>
      <c r="C176" s="36" t="n"/>
      <c r="D176" s="36" t="n"/>
      <c r="E176" s="37" t="n"/>
      <c r="F176" s="38" t="n"/>
      <c r="G176" s="38" t="n"/>
      <c r="H176" s="38" t="n"/>
      <c r="I176" s="36" t="n"/>
      <c r="J176" s="24">
        <f>IF(B176="","",IF(F176*G176&gt;=6,"Alta",IF(F176*G176&gt;=3,"Média","Baixa")))</f>
        <v/>
      </c>
      <c r="K176" s="23">
        <f>IF(OR(B176="",E176=""),"",E176-Config!$B$4)</f>
        <v/>
      </c>
      <c r="L176" s="24">
        <f>IF(B176="","",IF(OR(I176="Feito",I176="Cancelado"),I176,IF(E176="","Sem prazo",IF(K176&lt;0,"Atrasada",IF(K176=0,"Hoje",IF(K176&lt;=6,"Esta semana","Depois"))))))</f>
        <v/>
      </c>
      <c r="M176" s="39">
        <f>IF(OR(B176="",L176="Feito",L176="Cancelado",L176="Sem prazo",L176="Depois"),0,IF(L176="Atrasada",2000,IF(L176="Hoje",1500,500))+F176*G176*100+IF(K176&lt;0,MIN(-K176,30),10-K176)-ROW()/100000)</f>
        <v>0</v>
      </c>
      <c r="N176" s="36" t="n"/>
    </row>
    <row r="177">
      <c r="A177" s="23">
        <f>IF(B177="","",ROW()-3)</f>
        <v/>
      </c>
      <c r="B177" s="36" t="n"/>
      <c r="C177" s="36" t="n"/>
      <c r="D177" s="36" t="n"/>
      <c r="E177" s="37" t="n"/>
      <c r="F177" s="38" t="n"/>
      <c r="G177" s="38" t="n"/>
      <c r="H177" s="38" t="n"/>
      <c r="I177" s="36" t="n"/>
      <c r="J177" s="24">
        <f>IF(B177="","",IF(F177*G177&gt;=6,"Alta",IF(F177*G177&gt;=3,"Média","Baixa")))</f>
        <v/>
      </c>
      <c r="K177" s="23">
        <f>IF(OR(B177="",E177=""),"",E177-Config!$B$4)</f>
        <v/>
      </c>
      <c r="L177" s="24">
        <f>IF(B177="","",IF(OR(I177="Feito",I177="Cancelado"),I177,IF(E177="","Sem prazo",IF(K177&lt;0,"Atrasada",IF(K177=0,"Hoje",IF(K177&lt;=6,"Esta semana","Depois"))))))</f>
        <v/>
      </c>
      <c r="M177" s="39">
        <f>IF(OR(B177="",L177="Feito",L177="Cancelado",L177="Sem prazo",L177="Depois"),0,IF(L177="Atrasada",2000,IF(L177="Hoje",1500,500))+F177*G177*100+IF(K177&lt;0,MIN(-K177,30),10-K177)-ROW()/100000)</f>
        <v>0</v>
      </c>
      <c r="N177" s="36" t="n"/>
    </row>
    <row r="178">
      <c r="A178" s="23">
        <f>IF(B178="","",ROW()-3)</f>
        <v/>
      </c>
      <c r="B178" s="36" t="n"/>
      <c r="C178" s="36" t="n"/>
      <c r="D178" s="36" t="n"/>
      <c r="E178" s="37" t="n"/>
      <c r="F178" s="38" t="n"/>
      <c r="G178" s="38" t="n"/>
      <c r="H178" s="38" t="n"/>
      <c r="I178" s="36" t="n"/>
      <c r="J178" s="24">
        <f>IF(B178="","",IF(F178*G178&gt;=6,"Alta",IF(F178*G178&gt;=3,"Média","Baixa")))</f>
        <v/>
      </c>
      <c r="K178" s="23">
        <f>IF(OR(B178="",E178=""),"",E178-Config!$B$4)</f>
        <v/>
      </c>
      <c r="L178" s="24">
        <f>IF(B178="","",IF(OR(I178="Feito",I178="Cancelado"),I178,IF(E178="","Sem prazo",IF(K178&lt;0,"Atrasada",IF(K178=0,"Hoje",IF(K178&lt;=6,"Esta semana","Depois"))))))</f>
        <v/>
      </c>
      <c r="M178" s="39">
        <f>IF(OR(B178="",L178="Feito",L178="Cancelado",L178="Sem prazo",L178="Depois"),0,IF(L178="Atrasada",2000,IF(L178="Hoje",1500,500))+F178*G178*100+IF(K178&lt;0,MIN(-K178,30),10-K178)-ROW()/100000)</f>
        <v>0</v>
      </c>
      <c r="N178" s="36" t="n"/>
    </row>
    <row r="179">
      <c r="A179" s="23">
        <f>IF(B179="","",ROW()-3)</f>
        <v/>
      </c>
      <c r="B179" s="36" t="n"/>
      <c r="C179" s="36" t="n"/>
      <c r="D179" s="36" t="n"/>
      <c r="E179" s="37" t="n"/>
      <c r="F179" s="38" t="n"/>
      <c r="G179" s="38" t="n"/>
      <c r="H179" s="38" t="n"/>
      <c r="I179" s="36" t="n"/>
      <c r="J179" s="24">
        <f>IF(B179="","",IF(F179*G179&gt;=6,"Alta",IF(F179*G179&gt;=3,"Média","Baixa")))</f>
        <v/>
      </c>
      <c r="K179" s="23">
        <f>IF(OR(B179="",E179=""),"",E179-Config!$B$4)</f>
        <v/>
      </c>
      <c r="L179" s="24">
        <f>IF(B179="","",IF(OR(I179="Feito",I179="Cancelado"),I179,IF(E179="","Sem prazo",IF(K179&lt;0,"Atrasada",IF(K179=0,"Hoje",IF(K179&lt;=6,"Esta semana","Depois"))))))</f>
        <v/>
      </c>
      <c r="M179" s="39">
        <f>IF(OR(B179="",L179="Feito",L179="Cancelado",L179="Sem prazo",L179="Depois"),0,IF(L179="Atrasada",2000,IF(L179="Hoje",1500,500))+F179*G179*100+IF(K179&lt;0,MIN(-K179,30),10-K179)-ROW()/100000)</f>
        <v>0</v>
      </c>
      <c r="N179" s="36" t="n"/>
    </row>
    <row r="180">
      <c r="A180" s="23">
        <f>IF(B180="","",ROW()-3)</f>
        <v/>
      </c>
      <c r="B180" s="36" t="n"/>
      <c r="C180" s="36" t="n"/>
      <c r="D180" s="36" t="n"/>
      <c r="E180" s="37" t="n"/>
      <c r="F180" s="38" t="n"/>
      <c r="G180" s="38" t="n"/>
      <c r="H180" s="38" t="n"/>
      <c r="I180" s="36" t="n"/>
      <c r="J180" s="24">
        <f>IF(B180="","",IF(F180*G180&gt;=6,"Alta",IF(F180*G180&gt;=3,"Média","Baixa")))</f>
        <v/>
      </c>
      <c r="K180" s="23">
        <f>IF(OR(B180="",E180=""),"",E180-Config!$B$4)</f>
        <v/>
      </c>
      <c r="L180" s="24">
        <f>IF(B180="","",IF(OR(I180="Feito",I180="Cancelado"),I180,IF(E180="","Sem prazo",IF(K180&lt;0,"Atrasada",IF(K180=0,"Hoje",IF(K180&lt;=6,"Esta semana","Depois"))))))</f>
        <v/>
      </c>
      <c r="M180" s="39">
        <f>IF(OR(B180="",L180="Feito",L180="Cancelado",L180="Sem prazo",L180="Depois"),0,IF(L180="Atrasada",2000,IF(L180="Hoje",1500,500))+F180*G180*100+IF(K180&lt;0,MIN(-K180,30),10-K180)-ROW()/100000)</f>
        <v>0</v>
      </c>
      <c r="N180" s="36" t="n"/>
    </row>
    <row r="181">
      <c r="A181" s="23">
        <f>IF(B181="","",ROW()-3)</f>
        <v/>
      </c>
      <c r="B181" s="36" t="n"/>
      <c r="C181" s="36" t="n"/>
      <c r="D181" s="36" t="n"/>
      <c r="E181" s="37" t="n"/>
      <c r="F181" s="38" t="n"/>
      <c r="G181" s="38" t="n"/>
      <c r="H181" s="38" t="n"/>
      <c r="I181" s="36" t="n"/>
      <c r="J181" s="24">
        <f>IF(B181="","",IF(F181*G181&gt;=6,"Alta",IF(F181*G181&gt;=3,"Média","Baixa")))</f>
        <v/>
      </c>
      <c r="K181" s="23">
        <f>IF(OR(B181="",E181=""),"",E181-Config!$B$4)</f>
        <v/>
      </c>
      <c r="L181" s="24">
        <f>IF(B181="","",IF(OR(I181="Feito",I181="Cancelado"),I181,IF(E181="","Sem prazo",IF(K181&lt;0,"Atrasada",IF(K181=0,"Hoje",IF(K181&lt;=6,"Esta semana","Depois"))))))</f>
        <v/>
      </c>
      <c r="M181" s="39">
        <f>IF(OR(B181="",L181="Feito",L181="Cancelado",L181="Sem prazo",L181="Depois"),0,IF(L181="Atrasada",2000,IF(L181="Hoje",1500,500))+F181*G181*100+IF(K181&lt;0,MIN(-K181,30),10-K181)-ROW()/100000)</f>
        <v>0</v>
      </c>
      <c r="N181" s="36" t="n"/>
    </row>
    <row r="182">
      <c r="A182" s="23">
        <f>IF(B182="","",ROW()-3)</f>
        <v/>
      </c>
      <c r="B182" s="36" t="n"/>
      <c r="C182" s="36" t="n"/>
      <c r="D182" s="36" t="n"/>
      <c r="E182" s="37" t="n"/>
      <c r="F182" s="38" t="n"/>
      <c r="G182" s="38" t="n"/>
      <c r="H182" s="38" t="n"/>
      <c r="I182" s="36" t="n"/>
      <c r="J182" s="24">
        <f>IF(B182="","",IF(F182*G182&gt;=6,"Alta",IF(F182*G182&gt;=3,"Média","Baixa")))</f>
        <v/>
      </c>
      <c r="K182" s="23">
        <f>IF(OR(B182="",E182=""),"",E182-Config!$B$4)</f>
        <v/>
      </c>
      <c r="L182" s="24">
        <f>IF(B182="","",IF(OR(I182="Feito",I182="Cancelado"),I182,IF(E182="","Sem prazo",IF(K182&lt;0,"Atrasada",IF(K182=0,"Hoje",IF(K182&lt;=6,"Esta semana","Depois"))))))</f>
        <v/>
      </c>
      <c r="M182" s="39">
        <f>IF(OR(B182="",L182="Feito",L182="Cancelado",L182="Sem prazo",L182="Depois"),0,IF(L182="Atrasada",2000,IF(L182="Hoje",1500,500))+F182*G182*100+IF(K182&lt;0,MIN(-K182,30),10-K182)-ROW()/100000)</f>
        <v>0</v>
      </c>
      <c r="N182" s="36" t="n"/>
    </row>
    <row r="183">
      <c r="A183" s="23">
        <f>IF(B183="","",ROW()-3)</f>
        <v/>
      </c>
      <c r="B183" s="36" t="n"/>
      <c r="C183" s="36" t="n"/>
      <c r="D183" s="36" t="n"/>
      <c r="E183" s="37" t="n"/>
      <c r="F183" s="38" t="n"/>
      <c r="G183" s="38" t="n"/>
      <c r="H183" s="38" t="n"/>
      <c r="I183" s="36" t="n"/>
      <c r="J183" s="24">
        <f>IF(B183="","",IF(F183*G183&gt;=6,"Alta",IF(F183*G183&gt;=3,"Média","Baixa")))</f>
        <v/>
      </c>
      <c r="K183" s="23">
        <f>IF(OR(B183="",E183=""),"",E183-Config!$B$4)</f>
        <v/>
      </c>
      <c r="L183" s="24">
        <f>IF(B183="","",IF(OR(I183="Feito",I183="Cancelado"),I183,IF(E183="","Sem prazo",IF(K183&lt;0,"Atrasada",IF(K183=0,"Hoje",IF(K183&lt;=6,"Esta semana","Depois"))))))</f>
        <v/>
      </c>
      <c r="M183" s="39">
        <f>IF(OR(B183="",L183="Feito",L183="Cancelado",L183="Sem prazo",L183="Depois"),0,IF(L183="Atrasada",2000,IF(L183="Hoje",1500,500))+F183*G183*100+IF(K183&lt;0,MIN(-K183,30),10-K183)-ROW()/100000)</f>
        <v>0</v>
      </c>
      <c r="N183" s="36" t="n"/>
    </row>
    <row r="184">
      <c r="A184" s="23">
        <f>IF(B184="","",ROW()-3)</f>
        <v/>
      </c>
      <c r="B184" s="36" t="n"/>
      <c r="C184" s="36" t="n"/>
      <c r="D184" s="36" t="n"/>
      <c r="E184" s="37" t="n"/>
      <c r="F184" s="38" t="n"/>
      <c r="G184" s="38" t="n"/>
      <c r="H184" s="38" t="n"/>
      <c r="I184" s="36" t="n"/>
      <c r="J184" s="24">
        <f>IF(B184="","",IF(F184*G184&gt;=6,"Alta",IF(F184*G184&gt;=3,"Média","Baixa")))</f>
        <v/>
      </c>
      <c r="K184" s="23">
        <f>IF(OR(B184="",E184=""),"",E184-Config!$B$4)</f>
        <v/>
      </c>
      <c r="L184" s="24">
        <f>IF(B184="","",IF(OR(I184="Feito",I184="Cancelado"),I184,IF(E184="","Sem prazo",IF(K184&lt;0,"Atrasada",IF(K184=0,"Hoje",IF(K184&lt;=6,"Esta semana","Depois"))))))</f>
        <v/>
      </c>
      <c r="M184" s="39">
        <f>IF(OR(B184="",L184="Feito",L184="Cancelado",L184="Sem prazo",L184="Depois"),0,IF(L184="Atrasada",2000,IF(L184="Hoje",1500,500))+F184*G184*100+IF(K184&lt;0,MIN(-K184,30),10-K184)-ROW()/100000)</f>
        <v>0</v>
      </c>
      <c r="N184" s="36" t="n"/>
    </row>
    <row r="185">
      <c r="A185" s="23">
        <f>IF(B185="","",ROW()-3)</f>
        <v/>
      </c>
      <c r="B185" s="36" t="n"/>
      <c r="C185" s="36" t="n"/>
      <c r="D185" s="36" t="n"/>
      <c r="E185" s="37" t="n"/>
      <c r="F185" s="38" t="n"/>
      <c r="G185" s="38" t="n"/>
      <c r="H185" s="38" t="n"/>
      <c r="I185" s="36" t="n"/>
      <c r="J185" s="24">
        <f>IF(B185="","",IF(F185*G185&gt;=6,"Alta",IF(F185*G185&gt;=3,"Média","Baixa")))</f>
        <v/>
      </c>
      <c r="K185" s="23">
        <f>IF(OR(B185="",E185=""),"",E185-Config!$B$4)</f>
        <v/>
      </c>
      <c r="L185" s="24">
        <f>IF(B185="","",IF(OR(I185="Feito",I185="Cancelado"),I185,IF(E185="","Sem prazo",IF(K185&lt;0,"Atrasada",IF(K185=0,"Hoje",IF(K185&lt;=6,"Esta semana","Depois"))))))</f>
        <v/>
      </c>
      <c r="M185" s="39">
        <f>IF(OR(B185="",L185="Feito",L185="Cancelado",L185="Sem prazo",L185="Depois"),0,IF(L185="Atrasada",2000,IF(L185="Hoje",1500,500))+F185*G185*100+IF(K185&lt;0,MIN(-K185,30),10-K185)-ROW()/100000)</f>
        <v>0</v>
      </c>
      <c r="N185" s="36" t="n"/>
    </row>
    <row r="186">
      <c r="A186" s="23">
        <f>IF(B186="","",ROW()-3)</f>
        <v/>
      </c>
      <c r="B186" s="36" t="n"/>
      <c r="C186" s="36" t="n"/>
      <c r="D186" s="36" t="n"/>
      <c r="E186" s="37" t="n"/>
      <c r="F186" s="38" t="n"/>
      <c r="G186" s="38" t="n"/>
      <c r="H186" s="38" t="n"/>
      <c r="I186" s="36" t="n"/>
      <c r="J186" s="24">
        <f>IF(B186="","",IF(F186*G186&gt;=6,"Alta",IF(F186*G186&gt;=3,"Média","Baixa")))</f>
        <v/>
      </c>
      <c r="K186" s="23">
        <f>IF(OR(B186="",E186=""),"",E186-Config!$B$4)</f>
        <v/>
      </c>
      <c r="L186" s="24">
        <f>IF(B186="","",IF(OR(I186="Feito",I186="Cancelado"),I186,IF(E186="","Sem prazo",IF(K186&lt;0,"Atrasada",IF(K186=0,"Hoje",IF(K186&lt;=6,"Esta semana","Depois"))))))</f>
        <v/>
      </c>
      <c r="M186" s="39">
        <f>IF(OR(B186="",L186="Feito",L186="Cancelado",L186="Sem prazo",L186="Depois"),0,IF(L186="Atrasada",2000,IF(L186="Hoje",1500,500))+F186*G186*100+IF(K186&lt;0,MIN(-K186,30),10-K186)-ROW()/100000)</f>
        <v>0</v>
      </c>
      <c r="N186" s="36" t="n"/>
    </row>
    <row r="187">
      <c r="A187" s="23">
        <f>IF(B187="","",ROW()-3)</f>
        <v/>
      </c>
      <c r="B187" s="36" t="n"/>
      <c r="C187" s="36" t="n"/>
      <c r="D187" s="36" t="n"/>
      <c r="E187" s="37" t="n"/>
      <c r="F187" s="38" t="n"/>
      <c r="G187" s="38" t="n"/>
      <c r="H187" s="38" t="n"/>
      <c r="I187" s="36" t="n"/>
      <c r="J187" s="24">
        <f>IF(B187="","",IF(F187*G187&gt;=6,"Alta",IF(F187*G187&gt;=3,"Média","Baixa")))</f>
        <v/>
      </c>
      <c r="K187" s="23">
        <f>IF(OR(B187="",E187=""),"",E187-Config!$B$4)</f>
        <v/>
      </c>
      <c r="L187" s="24">
        <f>IF(B187="","",IF(OR(I187="Feito",I187="Cancelado"),I187,IF(E187="","Sem prazo",IF(K187&lt;0,"Atrasada",IF(K187=0,"Hoje",IF(K187&lt;=6,"Esta semana","Depois"))))))</f>
        <v/>
      </c>
      <c r="M187" s="39">
        <f>IF(OR(B187="",L187="Feito",L187="Cancelado",L187="Sem prazo",L187="Depois"),0,IF(L187="Atrasada",2000,IF(L187="Hoje",1500,500))+F187*G187*100+IF(K187&lt;0,MIN(-K187,30),10-K187)-ROW()/100000)</f>
        <v>0</v>
      </c>
      <c r="N187" s="36" t="n"/>
    </row>
    <row r="188">
      <c r="A188" s="23">
        <f>IF(B188="","",ROW()-3)</f>
        <v/>
      </c>
      <c r="B188" s="36" t="n"/>
      <c r="C188" s="36" t="n"/>
      <c r="D188" s="36" t="n"/>
      <c r="E188" s="37" t="n"/>
      <c r="F188" s="38" t="n"/>
      <c r="G188" s="38" t="n"/>
      <c r="H188" s="38" t="n"/>
      <c r="I188" s="36" t="n"/>
      <c r="J188" s="24">
        <f>IF(B188="","",IF(F188*G188&gt;=6,"Alta",IF(F188*G188&gt;=3,"Média","Baixa")))</f>
        <v/>
      </c>
      <c r="K188" s="23">
        <f>IF(OR(B188="",E188=""),"",E188-Config!$B$4)</f>
        <v/>
      </c>
      <c r="L188" s="24">
        <f>IF(B188="","",IF(OR(I188="Feito",I188="Cancelado"),I188,IF(E188="","Sem prazo",IF(K188&lt;0,"Atrasada",IF(K188=0,"Hoje",IF(K188&lt;=6,"Esta semana","Depois"))))))</f>
        <v/>
      </c>
      <c r="M188" s="39">
        <f>IF(OR(B188="",L188="Feito",L188="Cancelado",L188="Sem prazo",L188="Depois"),0,IF(L188="Atrasada",2000,IF(L188="Hoje",1500,500))+F188*G188*100+IF(K188&lt;0,MIN(-K188,30),10-K188)-ROW()/100000)</f>
        <v>0</v>
      </c>
      <c r="N188" s="36" t="n"/>
    </row>
    <row r="189">
      <c r="A189" s="23">
        <f>IF(B189="","",ROW()-3)</f>
        <v/>
      </c>
      <c r="B189" s="36" t="n"/>
      <c r="C189" s="36" t="n"/>
      <c r="D189" s="36" t="n"/>
      <c r="E189" s="37" t="n"/>
      <c r="F189" s="38" t="n"/>
      <c r="G189" s="38" t="n"/>
      <c r="H189" s="38" t="n"/>
      <c r="I189" s="36" t="n"/>
      <c r="J189" s="24">
        <f>IF(B189="","",IF(F189*G189&gt;=6,"Alta",IF(F189*G189&gt;=3,"Média","Baixa")))</f>
        <v/>
      </c>
      <c r="K189" s="23">
        <f>IF(OR(B189="",E189=""),"",E189-Config!$B$4)</f>
        <v/>
      </c>
      <c r="L189" s="24">
        <f>IF(B189="","",IF(OR(I189="Feito",I189="Cancelado"),I189,IF(E189="","Sem prazo",IF(K189&lt;0,"Atrasada",IF(K189=0,"Hoje",IF(K189&lt;=6,"Esta semana","Depois"))))))</f>
        <v/>
      </c>
      <c r="M189" s="39">
        <f>IF(OR(B189="",L189="Feito",L189="Cancelado",L189="Sem prazo",L189="Depois"),0,IF(L189="Atrasada",2000,IF(L189="Hoje",1500,500))+F189*G189*100+IF(K189&lt;0,MIN(-K189,30),10-K189)-ROW()/100000)</f>
        <v>0</v>
      </c>
      <c r="N189" s="36" t="n"/>
    </row>
    <row r="190">
      <c r="A190" s="23">
        <f>IF(B190="","",ROW()-3)</f>
        <v/>
      </c>
      <c r="B190" s="36" t="n"/>
      <c r="C190" s="36" t="n"/>
      <c r="D190" s="36" t="n"/>
      <c r="E190" s="37" t="n"/>
      <c r="F190" s="38" t="n"/>
      <c r="G190" s="38" t="n"/>
      <c r="H190" s="38" t="n"/>
      <c r="I190" s="36" t="n"/>
      <c r="J190" s="24">
        <f>IF(B190="","",IF(F190*G190&gt;=6,"Alta",IF(F190*G190&gt;=3,"Média","Baixa")))</f>
        <v/>
      </c>
      <c r="K190" s="23">
        <f>IF(OR(B190="",E190=""),"",E190-Config!$B$4)</f>
        <v/>
      </c>
      <c r="L190" s="24">
        <f>IF(B190="","",IF(OR(I190="Feito",I190="Cancelado"),I190,IF(E190="","Sem prazo",IF(K190&lt;0,"Atrasada",IF(K190=0,"Hoje",IF(K190&lt;=6,"Esta semana","Depois"))))))</f>
        <v/>
      </c>
      <c r="M190" s="39">
        <f>IF(OR(B190="",L190="Feito",L190="Cancelado",L190="Sem prazo",L190="Depois"),0,IF(L190="Atrasada",2000,IF(L190="Hoje",1500,500))+F190*G190*100+IF(K190&lt;0,MIN(-K190,30),10-K190)-ROW()/100000)</f>
        <v>0</v>
      </c>
      <c r="N190" s="36" t="n"/>
    </row>
    <row r="191">
      <c r="A191" s="23">
        <f>IF(B191="","",ROW()-3)</f>
        <v/>
      </c>
      <c r="B191" s="36" t="n"/>
      <c r="C191" s="36" t="n"/>
      <c r="D191" s="36" t="n"/>
      <c r="E191" s="37" t="n"/>
      <c r="F191" s="38" t="n"/>
      <c r="G191" s="38" t="n"/>
      <c r="H191" s="38" t="n"/>
      <c r="I191" s="36" t="n"/>
      <c r="J191" s="24">
        <f>IF(B191="","",IF(F191*G191&gt;=6,"Alta",IF(F191*G191&gt;=3,"Média","Baixa")))</f>
        <v/>
      </c>
      <c r="K191" s="23">
        <f>IF(OR(B191="",E191=""),"",E191-Config!$B$4)</f>
        <v/>
      </c>
      <c r="L191" s="24">
        <f>IF(B191="","",IF(OR(I191="Feito",I191="Cancelado"),I191,IF(E191="","Sem prazo",IF(K191&lt;0,"Atrasada",IF(K191=0,"Hoje",IF(K191&lt;=6,"Esta semana","Depois"))))))</f>
        <v/>
      </c>
      <c r="M191" s="39">
        <f>IF(OR(B191="",L191="Feito",L191="Cancelado",L191="Sem prazo",L191="Depois"),0,IF(L191="Atrasada",2000,IF(L191="Hoje",1500,500))+F191*G191*100+IF(K191&lt;0,MIN(-K191,30),10-K191)-ROW()/100000)</f>
        <v>0</v>
      </c>
      <c r="N191" s="36" t="n"/>
    </row>
    <row r="192">
      <c r="A192" s="23">
        <f>IF(B192="","",ROW()-3)</f>
        <v/>
      </c>
      <c r="B192" s="36" t="n"/>
      <c r="C192" s="36" t="n"/>
      <c r="D192" s="36" t="n"/>
      <c r="E192" s="37" t="n"/>
      <c r="F192" s="38" t="n"/>
      <c r="G192" s="38" t="n"/>
      <c r="H192" s="38" t="n"/>
      <c r="I192" s="36" t="n"/>
      <c r="J192" s="24">
        <f>IF(B192="","",IF(F192*G192&gt;=6,"Alta",IF(F192*G192&gt;=3,"Média","Baixa")))</f>
        <v/>
      </c>
      <c r="K192" s="23">
        <f>IF(OR(B192="",E192=""),"",E192-Config!$B$4)</f>
        <v/>
      </c>
      <c r="L192" s="24">
        <f>IF(B192="","",IF(OR(I192="Feito",I192="Cancelado"),I192,IF(E192="","Sem prazo",IF(K192&lt;0,"Atrasada",IF(K192=0,"Hoje",IF(K192&lt;=6,"Esta semana","Depois"))))))</f>
        <v/>
      </c>
      <c r="M192" s="39">
        <f>IF(OR(B192="",L192="Feito",L192="Cancelado",L192="Sem prazo",L192="Depois"),0,IF(L192="Atrasada",2000,IF(L192="Hoje",1500,500))+F192*G192*100+IF(K192&lt;0,MIN(-K192,30),10-K192)-ROW()/100000)</f>
        <v>0</v>
      </c>
      <c r="N192" s="36" t="n"/>
    </row>
    <row r="193">
      <c r="A193" s="23">
        <f>IF(B193="","",ROW()-3)</f>
        <v/>
      </c>
      <c r="B193" s="36" t="n"/>
      <c r="C193" s="36" t="n"/>
      <c r="D193" s="36" t="n"/>
      <c r="E193" s="37" t="n"/>
      <c r="F193" s="38" t="n"/>
      <c r="G193" s="38" t="n"/>
      <c r="H193" s="38" t="n"/>
      <c r="I193" s="36" t="n"/>
      <c r="J193" s="24">
        <f>IF(B193="","",IF(F193*G193&gt;=6,"Alta",IF(F193*G193&gt;=3,"Média","Baixa")))</f>
        <v/>
      </c>
      <c r="K193" s="23">
        <f>IF(OR(B193="",E193=""),"",E193-Config!$B$4)</f>
        <v/>
      </c>
      <c r="L193" s="24">
        <f>IF(B193="","",IF(OR(I193="Feito",I193="Cancelado"),I193,IF(E193="","Sem prazo",IF(K193&lt;0,"Atrasada",IF(K193=0,"Hoje",IF(K193&lt;=6,"Esta semana","Depois"))))))</f>
        <v/>
      </c>
      <c r="M193" s="39">
        <f>IF(OR(B193="",L193="Feito",L193="Cancelado",L193="Sem prazo",L193="Depois"),0,IF(L193="Atrasada",2000,IF(L193="Hoje",1500,500))+F193*G193*100+IF(K193&lt;0,MIN(-K193,30),10-K193)-ROW()/100000)</f>
        <v>0</v>
      </c>
      <c r="N193" s="36" t="n"/>
    </row>
    <row r="194">
      <c r="A194" s="23">
        <f>IF(B194="","",ROW()-3)</f>
        <v/>
      </c>
      <c r="B194" s="36" t="n"/>
      <c r="C194" s="36" t="n"/>
      <c r="D194" s="36" t="n"/>
      <c r="E194" s="37" t="n"/>
      <c r="F194" s="38" t="n"/>
      <c r="G194" s="38" t="n"/>
      <c r="H194" s="38" t="n"/>
      <c r="I194" s="36" t="n"/>
      <c r="J194" s="24">
        <f>IF(B194="","",IF(F194*G194&gt;=6,"Alta",IF(F194*G194&gt;=3,"Média","Baixa")))</f>
        <v/>
      </c>
      <c r="K194" s="23">
        <f>IF(OR(B194="",E194=""),"",E194-Config!$B$4)</f>
        <v/>
      </c>
      <c r="L194" s="24">
        <f>IF(B194="","",IF(OR(I194="Feito",I194="Cancelado"),I194,IF(E194="","Sem prazo",IF(K194&lt;0,"Atrasada",IF(K194=0,"Hoje",IF(K194&lt;=6,"Esta semana","Depois"))))))</f>
        <v/>
      </c>
      <c r="M194" s="39">
        <f>IF(OR(B194="",L194="Feito",L194="Cancelado",L194="Sem prazo",L194="Depois"),0,IF(L194="Atrasada",2000,IF(L194="Hoje",1500,500))+F194*G194*100+IF(K194&lt;0,MIN(-K194,30),10-K194)-ROW()/100000)</f>
        <v>0</v>
      </c>
      <c r="N194" s="36" t="n"/>
    </row>
    <row r="195">
      <c r="A195" s="23">
        <f>IF(B195="","",ROW()-3)</f>
        <v/>
      </c>
      <c r="B195" s="36" t="n"/>
      <c r="C195" s="36" t="n"/>
      <c r="D195" s="36" t="n"/>
      <c r="E195" s="37" t="n"/>
      <c r="F195" s="38" t="n"/>
      <c r="G195" s="38" t="n"/>
      <c r="H195" s="38" t="n"/>
      <c r="I195" s="36" t="n"/>
      <c r="J195" s="24">
        <f>IF(B195="","",IF(F195*G195&gt;=6,"Alta",IF(F195*G195&gt;=3,"Média","Baixa")))</f>
        <v/>
      </c>
      <c r="K195" s="23">
        <f>IF(OR(B195="",E195=""),"",E195-Config!$B$4)</f>
        <v/>
      </c>
      <c r="L195" s="24">
        <f>IF(B195="","",IF(OR(I195="Feito",I195="Cancelado"),I195,IF(E195="","Sem prazo",IF(K195&lt;0,"Atrasada",IF(K195=0,"Hoje",IF(K195&lt;=6,"Esta semana","Depois"))))))</f>
        <v/>
      </c>
      <c r="M195" s="39">
        <f>IF(OR(B195="",L195="Feito",L195="Cancelado",L195="Sem prazo",L195="Depois"),0,IF(L195="Atrasada",2000,IF(L195="Hoje",1500,500))+F195*G195*100+IF(K195&lt;0,MIN(-K195,30),10-K195)-ROW()/100000)</f>
        <v>0</v>
      </c>
      <c r="N195" s="36" t="n"/>
    </row>
    <row r="196">
      <c r="A196" s="23">
        <f>IF(B196="","",ROW()-3)</f>
        <v/>
      </c>
      <c r="B196" s="36" t="n"/>
      <c r="C196" s="36" t="n"/>
      <c r="D196" s="36" t="n"/>
      <c r="E196" s="37" t="n"/>
      <c r="F196" s="38" t="n"/>
      <c r="G196" s="38" t="n"/>
      <c r="H196" s="38" t="n"/>
      <c r="I196" s="36" t="n"/>
      <c r="J196" s="24">
        <f>IF(B196="","",IF(F196*G196&gt;=6,"Alta",IF(F196*G196&gt;=3,"Média","Baixa")))</f>
        <v/>
      </c>
      <c r="K196" s="23">
        <f>IF(OR(B196="",E196=""),"",E196-Config!$B$4)</f>
        <v/>
      </c>
      <c r="L196" s="24">
        <f>IF(B196="","",IF(OR(I196="Feito",I196="Cancelado"),I196,IF(E196="","Sem prazo",IF(K196&lt;0,"Atrasada",IF(K196=0,"Hoje",IF(K196&lt;=6,"Esta semana","Depois"))))))</f>
        <v/>
      </c>
      <c r="M196" s="39">
        <f>IF(OR(B196="",L196="Feito",L196="Cancelado",L196="Sem prazo",L196="Depois"),0,IF(L196="Atrasada",2000,IF(L196="Hoje",1500,500))+F196*G196*100+IF(K196&lt;0,MIN(-K196,30),10-K196)-ROW()/100000)</f>
        <v>0</v>
      </c>
      <c r="N196" s="36" t="n"/>
    </row>
    <row r="197">
      <c r="A197" s="23">
        <f>IF(B197="","",ROW()-3)</f>
        <v/>
      </c>
      <c r="B197" s="36" t="n"/>
      <c r="C197" s="36" t="n"/>
      <c r="D197" s="36" t="n"/>
      <c r="E197" s="37" t="n"/>
      <c r="F197" s="38" t="n"/>
      <c r="G197" s="38" t="n"/>
      <c r="H197" s="38" t="n"/>
      <c r="I197" s="36" t="n"/>
      <c r="J197" s="24">
        <f>IF(B197="","",IF(F197*G197&gt;=6,"Alta",IF(F197*G197&gt;=3,"Média","Baixa")))</f>
        <v/>
      </c>
      <c r="K197" s="23">
        <f>IF(OR(B197="",E197=""),"",E197-Config!$B$4)</f>
        <v/>
      </c>
      <c r="L197" s="24">
        <f>IF(B197="","",IF(OR(I197="Feito",I197="Cancelado"),I197,IF(E197="","Sem prazo",IF(K197&lt;0,"Atrasada",IF(K197=0,"Hoje",IF(K197&lt;=6,"Esta semana","Depois"))))))</f>
        <v/>
      </c>
      <c r="M197" s="39">
        <f>IF(OR(B197="",L197="Feito",L197="Cancelado",L197="Sem prazo",L197="Depois"),0,IF(L197="Atrasada",2000,IF(L197="Hoje",1500,500))+F197*G197*100+IF(K197&lt;0,MIN(-K197,30),10-K197)-ROW()/100000)</f>
        <v>0</v>
      </c>
      <c r="N197" s="36" t="n"/>
    </row>
    <row r="198">
      <c r="A198" s="23">
        <f>IF(B198="","",ROW()-3)</f>
        <v/>
      </c>
      <c r="B198" s="36" t="n"/>
      <c r="C198" s="36" t="n"/>
      <c r="D198" s="36" t="n"/>
      <c r="E198" s="37" t="n"/>
      <c r="F198" s="38" t="n"/>
      <c r="G198" s="38" t="n"/>
      <c r="H198" s="38" t="n"/>
      <c r="I198" s="36" t="n"/>
      <c r="J198" s="24">
        <f>IF(B198="","",IF(F198*G198&gt;=6,"Alta",IF(F198*G198&gt;=3,"Média","Baixa")))</f>
        <v/>
      </c>
      <c r="K198" s="23">
        <f>IF(OR(B198="",E198=""),"",E198-Config!$B$4)</f>
        <v/>
      </c>
      <c r="L198" s="24">
        <f>IF(B198="","",IF(OR(I198="Feito",I198="Cancelado"),I198,IF(E198="","Sem prazo",IF(K198&lt;0,"Atrasada",IF(K198=0,"Hoje",IF(K198&lt;=6,"Esta semana","Depois"))))))</f>
        <v/>
      </c>
      <c r="M198" s="39">
        <f>IF(OR(B198="",L198="Feito",L198="Cancelado",L198="Sem prazo",L198="Depois"),0,IF(L198="Atrasada",2000,IF(L198="Hoje",1500,500))+F198*G198*100+IF(K198&lt;0,MIN(-K198,30),10-K198)-ROW()/100000)</f>
        <v>0</v>
      </c>
      <c r="N198" s="36" t="n"/>
    </row>
    <row r="199">
      <c r="A199" s="23">
        <f>IF(B199="","",ROW()-3)</f>
        <v/>
      </c>
      <c r="B199" s="36" t="n"/>
      <c r="C199" s="36" t="n"/>
      <c r="D199" s="36" t="n"/>
      <c r="E199" s="37" t="n"/>
      <c r="F199" s="38" t="n"/>
      <c r="G199" s="38" t="n"/>
      <c r="H199" s="38" t="n"/>
      <c r="I199" s="36" t="n"/>
      <c r="J199" s="24">
        <f>IF(B199="","",IF(F199*G199&gt;=6,"Alta",IF(F199*G199&gt;=3,"Média","Baixa")))</f>
        <v/>
      </c>
      <c r="K199" s="23">
        <f>IF(OR(B199="",E199=""),"",E199-Config!$B$4)</f>
        <v/>
      </c>
      <c r="L199" s="24">
        <f>IF(B199="","",IF(OR(I199="Feito",I199="Cancelado"),I199,IF(E199="","Sem prazo",IF(K199&lt;0,"Atrasada",IF(K199=0,"Hoje",IF(K199&lt;=6,"Esta semana","Depois"))))))</f>
        <v/>
      </c>
      <c r="M199" s="39">
        <f>IF(OR(B199="",L199="Feito",L199="Cancelado",L199="Sem prazo",L199="Depois"),0,IF(L199="Atrasada",2000,IF(L199="Hoje",1500,500))+F199*G199*100+IF(K199&lt;0,MIN(-K199,30),10-K199)-ROW()/100000)</f>
        <v>0</v>
      </c>
      <c r="N199" s="36" t="n"/>
    </row>
    <row r="200">
      <c r="A200" s="23">
        <f>IF(B200="","",ROW()-3)</f>
        <v/>
      </c>
      <c r="B200" s="36" t="n"/>
      <c r="C200" s="36" t="n"/>
      <c r="D200" s="36" t="n"/>
      <c r="E200" s="37" t="n"/>
      <c r="F200" s="38" t="n"/>
      <c r="G200" s="38" t="n"/>
      <c r="H200" s="38" t="n"/>
      <c r="I200" s="36" t="n"/>
      <c r="J200" s="24">
        <f>IF(B200="","",IF(F200*G200&gt;=6,"Alta",IF(F200*G200&gt;=3,"Média","Baixa")))</f>
        <v/>
      </c>
      <c r="K200" s="23">
        <f>IF(OR(B200="",E200=""),"",E200-Config!$B$4)</f>
        <v/>
      </c>
      <c r="L200" s="24">
        <f>IF(B200="","",IF(OR(I200="Feito",I200="Cancelado"),I200,IF(E200="","Sem prazo",IF(K200&lt;0,"Atrasada",IF(K200=0,"Hoje",IF(K200&lt;=6,"Esta semana","Depois"))))))</f>
        <v/>
      </c>
      <c r="M200" s="39">
        <f>IF(OR(B200="",L200="Feito",L200="Cancelado",L200="Sem prazo",L200="Depois"),0,IF(L200="Atrasada",2000,IF(L200="Hoje",1500,500))+F200*G200*100+IF(K200&lt;0,MIN(-K200,30),10-K200)-ROW()/100000)</f>
        <v>0</v>
      </c>
      <c r="N200" s="36" t="n"/>
    </row>
    <row r="201">
      <c r="A201" s="23">
        <f>IF(B201="","",ROW()-3)</f>
        <v/>
      </c>
      <c r="B201" s="36" t="n"/>
      <c r="C201" s="36" t="n"/>
      <c r="D201" s="36" t="n"/>
      <c r="E201" s="37" t="n"/>
      <c r="F201" s="38" t="n"/>
      <c r="G201" s="38" t="n"/>
      <c r="H201" s="38" t="n"/>
      <c r="I201" s="36" t="n"/>
      <c r="J201" s="24">
        <f>IF(B201="","",IF(F201*G201&gt;=6,"Alta",IF(F201*G201&gt;=3,"Média","Baixa")))</f>
        <v/>
      </c>
      <c r="K201" s="23">
        <f>IF(OR(B201="",E201=""),"",E201-Config!$B$4)</f>
        <v/>
      </c>
      <c r="L201" s="24">
        <f>IF(B201="","",IF(OR(I201="Feito",I201="Cancelado"),I201,IF(E201="","Sem prazo",IF(K201&lt;0,"Atrasada",IF(K201=0,"Hoje",IF(K201&lt;=6,"Esta semana","Depois"))))))</f>
        <v/>
      </c>
      <c r="M201" s="39">
        <f>IF(OR(B201="",L201="Feito",L201="Cancelado",L201="Sem prazo",L201="Depois"),0,IF(L201="Atrasada",2000,IF(L201="Hoje",1500,500))+F201*G201*100+IF(K201&lt;0,MIN(-K201,30),10-K201)-ROW()/100000)</f>
        <v>0</v>
      </c>
      <c r="N201" s="36" t="n"/>
    </row>
    <row r="202">
      <c r="A202" s="23">
        <f>IF(B202="","",ROW()-3)</f>
        <v/>
      </c>
      <c r="B202" s="36" t="n"/>
      <c r="C202" s="36" t="n"/>
      <c r="D202" s="36" t="n"/>
      <c r="E202" s="37" t="n"/>
      <c r="F202" s="38" t="n"/>
      <c r="G202" s="38" t="n"/>
      <c r="H202" s="38" t="n"/>
      <c r="I202" s="36" t="n"/>
      <c r="J202" s="24">
        <f>IF(B202="","",IF(F202*G202&gt;=6,"Alta",IF(F202*G202&gt;=3,"Média","Baixa")))</f>
        <v/>
      </c>
      <c r="K202" s="23">
        <f>IF(OR(B202="",E202=""),"",E202-Config!$B$4)</f>
        <v/>
      </c>
      <c r="L202" s="24">
        <f>IF(B202="","",IF(OR(I202="Feito",I202="Cancelado"),I202,IF(E202="","Sem prazo",IF(K202&lt;0,"Atrasada",IF(K202=0,"Hoje",IF(K202&lt;=6,"Esta semana","Depois"))))))</f>
        <v/>
      </c>
      <c r="M202" s="39">
        <f>IF(OR(B202="",L202="Feito",L202="Cancelado",L202="Sem prazo",L202="Depois"),0,IF(L202="Atrasada",2000,IF(L202="Hoje",1500,500))+F202*G202*100+IF(K202&lt;0,MIN(-K202,30),10-K202)-ROW()/100000)</f>
        <v>0</v>
      </c>
      <c r="N202" s="36" t="n"/>
    </row>
    <row r="203">
      <c r="A203" s="23">
        <f>IF(B203="","",ROW()-3)</f>
        <v/>
      </c>
      <c r="B203" s="36" t="n"/>
      <c r="C203" s="36" t="n"/>
      <c r="D203" s="36" t="n"/>
      <c r="E203" s="37" t="n"/>
      <c r="F203" s="38" t="n"/>
      <c r="G203" s="38" t="n"/>
      <c r="H203" s="38" t="n"/>
      <c r="I203" s="36" t="n"/>
      <c r="J203" s="24">
        <f>IF(B203="","",IF(F203*G203&gt;=6,"Alta",IF(F203*G203&gt;=3,"Média","Baixa")))</f>
        <v/>
      </c>
      <c r="K203" s="23">
        <f>IF(OR(B203="",E203=""),"",E203-Config!$B$4)</f>
        <v/>
      </c>
      <c r="L203" s="24">
        <f>IF(B203="","",IF(OR(I203="Feito",I203="Cancelado"),I203,IF(E203="","Sem prazo",IF(K203&lt;0,"Atrasada",IF(K203=0,"Hoje",IF(K203&lt;=6,"Esta semana","Depois"))))))</f>
        <v/>
      </c>
      <c r="M203" s="39">
        <f>IF(OR(B203="",L203="Feito",L203="Cancelado",L203="Sem prazo",L203="Depois"),0,IF(L203="Atrasada",2000,IF(L203="Hoje",1500,500))+F203*G203*100+IF(K203&lt;0,MIN(-K203,30),10-K203)-ROW()/100000)</f>
        <v>0</v>
      </c>
      <c r="N203" s="36" t="n"/>
    </row>
    <row r="204">
      <c r="A204" s="23">
        <f>IF(B204="","",ROW()-3)</f>
        <v/>
      </c>
      <c r="B204" s="36" t="n"/>
      <c r="C204" s="36" t="n"/>
      <c r="D204" s="36" t="n"/>
      <c r="E204" s="37" t="n"/>
      <c r="F204" s="38" t="n"/>
      <c r="G204" s="38" t="n"/>
      <c r="H204" s="38" t="n"/>
      <c r="I204" s="36" t="n"/>
      <c r="J204" s="24">
        <f>IF(B204="","",IF(F204*G204&gt;=6,"Alta",IF(F204*G204&gt;=3,"Média","Baixa")))</f>
        <v/>
      </c>
      <c r="K204" s="23">
        <f>IF(OR(B204="",E204=""),"",E204-Config!$B$4)</f>
        <v/>
      </c>
      <c r="L204" s="24">
        <f>IF(B204="","",IF(OR(I204="Feito",I204="Cancelado"),I204,IF(E204="","Sem prazo",IF(K204&lt;0,"Atrasada",IF(K204=0,"Hoje",IF(K204&lt;=6,"Esta semana","Depois"))))))</f>
        <v/>
      </c>
      <c r="M204" s="39">
        <f>IF(OR(B204="",L204="Feito",L204="Cancelado",L204="Sem prazo",L204="Depois"),0,IF(L204="Atrasada",2000,IF(L204="Hoje",1500,500))+F204*G204*100+IF(K204&lt;0,MIN(-K204,30),10-K204)-ROW()/100000)</f>
        <v>0</v>
      </c>
      <c r="N204" s="36" t="n"/>
    </row>
    <row r="205">
      <c r="A205" s="23">
        <f>IF(B205="","",ROW()-3)</f>
        <v/>
      </c>
      <c r="B205" s="36" t="n"/>
      <c r="C205" s="36" t="n"/>
      <c r="D205" s="36" t="n"/>
      <c r="E205" s="37" t="n"/>
      <c r="F205" s="38" t="n"/>
      <c r="G205" s="38" t="n"/>
      <c r="H205" s="38" t="n"/>
      <c r="I205" s="36" t="n"/>
      <c r="J205" s="24">
        <f>IF(B205="","",IF(F205*G205&gt;=6,"Alta",IF(F205*G205&gt;=3,"Média","Baixa")))</f>
        <v/>
      </c>
      <c r="K205" s="23">
        <f>IF(OR(B205="",E205=""),"",E205-Config!$B$4)</f>
        <v/>
      </c>
      <c r="L205" s="24">
        <f>IF(B205="","",IF(OR(I205="Feito",I205="Cancelado"),I205,IF(E205="","Sem prazo",IF(K205&lt;0,"Atrasada",IF(K205=0,"Hoje",IF(K205&lt;=6,"Esta semana","Depois"))))))</f>
        <v/>
      </c>
      <c r="M205" s="39">
        <f>IF(OR(B205="",L205="Feito",L205="Cancelado",L205="Sem prazo",L205="Depois"),0,IF(L205="Atrasada",2000,IF(L205="Hoje",1500,500))+F205*G205*100+IF(K205&lt;0,MIN(-K205,30),10-K205)-ROW()/100000)</f>
        <v>0</v>
      </c>
      <c r="N205" s="36" t="n"/>
    </row>
    <row r="206">
      <c r="A206" s="23">
        <f>IF(B206="","",ROW()-3)</f>
        <v/>
      </c>
      <c r="B206" s="36" t="n"/>
      <c r="C206" s="36" t="n"/>
      <c r="D206" s="36" t="n"/>
      <c r="E206" s="37" t="n"/>
      <c r="F206" s="38" t="n"/>
      <c r="G206" s="38" t="n"/>
      <c r="H206" s="38" t="n"/>
      <c r="I206" s="36" t="n"/>
      <c r="J206" s="24">
        <f>IF(B206="","",IF(F206*G206&gt;=6,"Alta",IF(F206*G206&gt;=3,"Média","Baixa")))</f>
        <v/>
      </c>
      <c r="K206" s="23">
        <f>IF(OR(B206="",E206=""),"",E206-Config!$B$4)</f>
        <v/>
      </c>
      <c r="L206" s="24">
        <f>IF(B206="","",IF(OR(I206="Feito",I206="Cancelado"),I206,IF(E206="","Sem prazo",IF(K206&lt;0,"Atrasada",IF(K206=0,"Hoje",IF(K206&lt;=6,"Esta semana","Depois"))))))</f>
        <v/>
      </c>
      <c r="M206" s="39">
        <f>IF(OR(B206="",L206="Feito",L206="Cancelado",L206="Sem prazo",L206="Depois"),0,IF(L206="Atrasada",2000,IF(L206="Hoje",1500,500))+F206*G206*100+IF(K206&lt;0,MIN(-K206,30),10-K206)-ROW()/100000)</f>
        <v>0</v>
      </c>
      <c r="N206" s="36" t="n"/>
    </row>
    <row r="207">
      <c r="A207" s="23">
        <f>IF(B207="","",ROW()-3)</f>
        <v/>
      </c>
      <c r="B207" s="36" t="n"/>
      <c r="C207" s="36" t="n"/>
      <c r="D207" s="36" t="n"/>
      <c r="E207" s="37" t="n"/>
      <c r="F207" s="38" t="n"/>
      <c r="G207" s="38" t="n"/>
      <c r="H207" s="38" t="n"/>
      <c r="I207" s="36" t="n"/>
      <c r="J207" s="24">
        <f>IF(B207="","",IF(F207*G207&gt;=6,"Alta",IF(F207*G207&gt;=3,"Média","Baixa")))</f>
        <v/>
      </c>
      <c r="K207" s="23">
        <f>IF(OR(B207="",E207=""),"",E207-Config!$B$4)</f>
        <v/>
      </c>
      <c r="L207" s="24">
        <f>IF(B207="","",IF(OR(I207="Feito",I207="Cancelado"),I207,IF(E207="","Sem prazo",IF(K207&lt;0,"Atrasada",IF(K207=0,"Hoje",IF(K207&lt;=6,"Esta semana","Depois"))))))</f>
        <v/>
      </c>
      <c r="M207" s="39">
        <f>IF(OR(B207="",L207="Feito",L207="Cancelado",L207="Sem prazo",L207="Depois"),0,IF(L207="Atrasada",2000,IF(L207="Hoje",1500,500))+F207*G207*100+IF(K207&lt;0,MIN(-K207,30),10-K207)-ROW()/100000)</f>
        <v>0</v>
      </c>
      <c r="N207" s="36" t="n"/>
    </row>
    <row r="208">
      <c r="A208" s="23">
        <f>IF(B208="","",ROW()-3)</f>
        <v/>
      </c>
      <c r="B208" s="36" t="n"/>
      <c r="C208" s="36" t="n"/>
      <c r="D208" s="36" t="n"/>
      <c r="E208" s="37" t="n"/>
      <c r="F208" s="38" t="n"/>
      <c r="G208" s="38" t="n"/>
      <c r="H208" s="38" t="n"/>
      <c r="I208" s="36" t="n"/>
      <c r="J208" s="24">
        <f>IF(B208="","",IF(F208*G208&gt;=6,"Alta",IF(F208*G208&gt;=3,"Média","Baixa")))</f>
        <v/>
      </c>
      <c r="K208" s="23">
        <f>IF(OR(B208="",E208=""),"",E208-Config!$B$4)</f>
        <v/>
      </c>
      <c r="L208" s="24">
        <f>IF(B208="","",IF(OR(I208="Feito",I208="Cancelado"),I208,IF(E208="","Sem prazo",IF(K208&lt;0,"Atrasada",IF(K208=0,"Hoje",IF(K208&lt;=6,"Esta semana","Depois"))))))</f>
        <v/>
      </c>
      <c r="M208" s="39">
        <f>IF(OR(B208="",L208="Feito",L208="Cancelado",L208="Sem prazo",L208="Depois"),0,IF(L208="Atrasada",2000,IF(L208="Hoje",1500,500))+F208*G208*100+IF(K208&lt;0,MIN(-K208,30),10-K208)-ROW()/100000)</f>
        <v>0</v>
      </c>
      <c r="N208" s="36" t="n"/>
    </row>
    <row r="209">
      <c r="A209" s="23">
        <f>IF(B209="","",ROW()-3)</f>
        <v/>
      </c>
      <c r="B209" s="36" t="n"/>
      <c r="C209" s="36" t="n"/>
      <c r="D209" s="36" t="n"/>
      <c r="E209" s="37" t="n"/>
      <c r="F209" s="38" t="n"/>
      <c r="G209" s="38" t="n"/>
      <c r="H209" s="38" t="n"/>
      <c r="I209" s="36" t="n"/>
      <c r="J209" s="24">
        <f>IF(B209="","",IF(F209*G209&gt;=6,"Alta",IF(F209*G209&gt;=3,"Média","Baixa")))</f>
        <v/>
      </c>
      <c r="K209" s="23">
        <f>IF(OR(B209="",E209=""),"",E209-Config!$B$4)</f>
        <v/>
      </c>
      <c r="L209" s="24">
        <f>IF(B209="","",IF(OR(I209="Feito",I209="Cancelado"),I209,IF(E209="","Sem prazo",IF(K209&lt;0,"Atrasada",IF(K209=0,"Hoje",IF(K209&lt;=6,"Esta semana","Depois"))))))</f>
        <v/>
      </c>
      <c r="M209" s="39">
        <f>IF(OR(B209="",L209="Feito",L209="Cancelado",L209="Sem prazo",L209="Depois"),0,IF(L209="Atrasada",2000,IF(L209="Hoje",1500,500))+F209*G209*100+IF(K209&lt;0,MIN(-K209,30),10-K209)-ROW()/100000)</f>
        <v>0</v>
      </c>
      <c r="N209" s="36" t="n"/>
    </row>
    <row r="210">
      <c r="A210" s="23">
        <f>IF(B210="","",ROW()-3)</f>
        <v/>
      </c>
      <c r="B210" s="36" t="n"/>
      <c r="C210" s="36" t="n"/>
      <c r="D210" s="36" t="n"/>
      <c r="E210" s="37" t="n"/>
      <c r="F210" s="38" t="n"/>
      <c r="G210" s="38" t="n"/>
      <c r="H210" s="38" t="n"/>
      <c r="I210" s="36" t="n"/>
      <c r="J210" s="24">
        <f>IF(B210="","",IF(F210*G210&gt;=6,"Alta",IF(F210*G210&gt;=3,"Média","Baixa")))</f>
        <v/>
      </c>
      <c r="K210" s="23">
        <f>IF(OR(B210="",E210=""),"",E210-Config!$B$4)</f>
        <v/>
      </c>
      <c r="L210" s="24">
        <f>IF(B210="","",IF(OR(I210="Feito",I210="Cancelado"),I210,IF(E210="","Sem prazo",IF(K210&lt;0,"Atrasada",IF(K210=0,"Hoje",IF(K210&lt;=6,"Esta semana","Depois"))))))</f>
        <v/>
      </c>
      <c r="M210" s="39">
        <f>IF(OR(B210="",L210="Feito",L210="Cancelado",L210="Sem prazo",L210="Depois"),0,IF(L210="Atrasada",2000,IF(L210="Hoje",1500,500))+F210*G210*100+IF(K210&lt;0,MIN(-K210,30),10-K210)-ROW()/100000)</f>
        <v>0</v>
      </c>
      <c r="N210" s="36" t="n"/>
    </row>
    <row r="211">
      <c r="A211" s="23">
        <f>IF(B211="","",ROW()-3)</f>
        <v/>
      </c>
      <c r="B211" s="36" t="n"/>
      <c r="C211" s="36" t="n"/>
      <c r="D211" s="36" t="n"/>
      <c r="E211" s="37" t="n"/>
      <c r="F211" s="38" t="n"/>
      <c r="G211" s="38" t="n"/>
      <c r="H211" s="38" t="n"/>
      <c r="I211" s="36" t="n"/>
      <c r="J211" s="24">
        <f>IF(B211="","",IF(F211*G211&gt;=6,"Alta",IF(F211*G211&gt;=3,"Média","Baixa")))</f>
        <v/>
      </c>
      <c r="K211" s="23">
        <f>IF(OR(B211="",E211=""),"",E211-Config!$B$4)</f>
        <v/>
      </c>
      <c r="L211" s="24">
        <f>IF(B211="","",IF(OR(I211="Feito",I211="Cancelado"),I211,IF(E211="","Sem prazo",IF(K211&lt;0,"Atrasada",IF(K211=0,"Hoje",IF(K211&lt;=6,"Esta semana","Depois"))))))</f>
        <v/>
      </c>
      <c r="M211" s="39">
        <f>IF(OR(B211="",L211="Feito",L211="Cancelado",L211="Sem prazo",L211="Depois"),0,IF(L211="Atrasada",2000,IF(L211="Hoje",1500,500))+F211*G211*100+IF(K211&lt;0,MIN(-K211,30),10-K211)-ROW()/100000)</f>
        <v>0</v>
      </c>
      <c r="N211" s="36" t="n"/>
    </row>
    <row r="212">
      <c r="A212" s="23">
        <f>IF(B212="","",ROW()-3)</f>
        <v/>
      </c>
      <c r="B212" s="36" t="n"/>
      <c r="C212" s="36" t="n"/>
      <c r="D212" s="36" t="n"/>
      <c r="E212" s="37" t="n"/>
      <c r="F212" s="38" t="n"/>
      <c r="G212" s="38" t="n"/>
      <c r="H212" s="38" t="n"/>
      <c r="I212" s="36" t="n"/>
      <c r="J212" s="24">
        <f>IF(B212="","",IF(F212*G212&gt;=6,"Alta",IF(F212*G212&gt;=3,"Média","Baixa")))</f>
        <v/>
      </c>
      <c r="K212" s="23">
        <f>IF(OR(B212="",E212=""),"",E212-Config!$B$4)</f>
        <v/>
      </c>
      <c r="L212" s="24">
        <f>IF(B212="","",IF(OR(I212="Feito",I212="Cancelado"),I212,IF(E212="","Sem prazo",IF(K212&lt;0,"Atrasada",IF(K212=0,"Hoje",IF(K212&lt;=6,"Esta semana","Depois"))))))</f>
        <v/>
      </c>
      <c r="M212" s="39">
        <f>IF(OR(B212="",L212="Feito",L212="Cancelado",L212="Sem prazo",L212="Depois"),0,IF(L212="Atrasada",2000,IF(L212="Hoje",1500,500))+F212*G212*100+IF(K212&lt;0,MIN(-K212,30),10-K212)-ROW()/100000)</f>
        <v>0</v>
      </c>
      <c r="N212" s="36" t="n"/>
    </row>
    <row r="213">
      <c r="A213" s="23">
        <f>IF(B213="","",ROW()-3)</f>
        <v/>
      </c>
      <c r="B213" s="36" t="n"/>
      <c r="C213" s="36" t="n"/>
      <c r="D213" s="36" t="n"/>
      <c r="E213" s="37" t="n"/>
      <c r="F213" s="38" t="n"/>
      <c r="G213" s="38" t="n"/>
      <c r="H213" s="38" t="n"/>
      <c r="I213" s="36" t="n"/>
      <c r="J213" s="24">
        <f>IF(B213="","",IF(F213*G213&gt;=6,"Alta",IF(F213*G213&gt;=3,"Média","Baixa")))</f>
        <v/>
      </c>
      <c r="K213" s="23">
        <f>IF(OR(B213="",E213=""),"",E213-Config!$B$4)</f>
        <v/>
      </c>
      <c r="L213" s="24">
        <f>IF(B213="","",IF(OR(I213="Feito",I213="Cancelado"),I213,IF(E213="","Sem prazo",IF(K213&lt;0,"Atrasada",IF(K213=0,"Hoje",IF(K213&lt;=6,"Esta semana","Depois"))))))</f>
        <v/>
      </c>
      <c r="M213" s="39">
        <f>IF(OR(B213="",L213="Feito",L213="Cancelado",L213="Sem prazo",L213="Depois"),0,IF(L213="Atrasada",2000,IF(L213="Hoje",1500,500))+F213*G213*100+IF(K213&lt;0,MIN(-K213,30),10-K213)-ROW()/100000)</f>
        <v>0</v>
      </c>
      <c r="N213" s="36" t="n"/>
    </row>
    <row r="214">
      <c r="A214" s="23">
        <f>IF(B214="","",ROW()-3)</f>
        <v/>
      </c>
      <c r="B214" s="36" t="n"/>
      <c r="C214" s="36" t="n"/>
      <c r="D214" s="36" t="n"/>
      <c r="E214" s="37" t="n"/>
      <c r="F214" s="38" t="n"/>
      <c r="G214" s="38" t="n"/>
      <c r="H214" s="38" t="n"/>
      <c r="I214" s="36" t="n"/>
      <c r="J214" s="24">
        <f>IF(B214="","",IF(F214*G214&gt;=6,"Alta",IF(F214*G214&gt;=3,"Média","Baixa")))</f>
        <v/>
      </c>
      <c r="K214" s="23">
        <f>IF(OR(B214="",E214=""),"",E214-Config!$B$4)</f>
        <v/>
      </c>
      <c r="L214" s="24">
        <f>IF(B214="","",IF(OR(I214="Feito",I214="Cancelado"),I214,IF(E214="","Sem prazo",IF(K214&lt;0,"Atrasada",IF(K214=0,"Hoje",IF(K214&lt;=6,"Esta semana","Depois"))))))</f>
        <v/>
      </c>
      <c r="M214" s="39">
        <f>IF(OR(B214="",L214="Feito",L214="Cancelado",L214="Sem prazo",L214="Depois"),0,IF(L214="Atrasada",2000,IF(L214="Hoje",1500,500))+F214*G214*100+IF(K214&lt;0,MIN(-K214,30),10-K214)-ROW()/100000)</f>
        <v>0</v>
      </c>
      <c r="N214" s="36" t="n"/>
    </row>
    <row r="215">
      <c r="A215" s="23">
        <f>IF(B215="","",ROW()-3)</f>
        <v/>
      </c>
      <c r="B215" s="36" t="n"/>
      <c r="C215" s="36" t="n"/>
      <c r="D215" s="36" t="n"/>
      <c r="E215" s="37" t="n"/>
      <c r="F215" s="38" t="n"/>
      <c r="G215" s="38" t="n"/>
      <c r="H215" s="38" t="n"/>
      <c r="I215" s="36" t="n"/>
      <c r="J215" s="24">
        <f>IF(B215="","",IF(F215*G215&gt;=6,"Alta",IF(F215*G215&gt;=3,"Média","Baixa")))</f>
        <v/>
      </c>
      <c r="K215" s="23">
        <f>IF(OR(B215="",E215=""),"",E215-Config!$B$4)</f>
        <v/>
      </c>
      <c r="L215" s="24">
        <f>IF(B215="","",IF(OR(I215="Feito",I215="Cancelado"),I215,IF(E215="","Sem prazo",IF(K215&lt;0,"Atrasada",IF(K215=0,"Hoje",IF(K215&lt;=6,"Esta semana","Depois"))))))</f>
        <v/>
      </c>
      <c r="M215" s="39">
        <f>IF(OR(B215="",L215="Feito",L215="Cancelado",L215="Sem prazo",L215="Depois"),0,IF(L215="Atrasada",2000,IF(L215="Hoje",1500,500))+F215*G215*100+IF(K215&lt;0,MIN(-K215,30),10-K215)-ROW()/100000)</f>
        <v>0</v>
      </c>
      <c r="N215" s="36" t="n"/>
    </row>
    <row r="216">
      <c r="A216" s="23">
        <f>IF(B216="","",ROW()-3)</f>
        <v/>
      </c>
      <c r="B216" s="36" t="n"/>
      <c r="C216" s="36" t="n"/>
      <c r="D216" s="36" t="n"/>
      <c r="E216" s="37" t="n"/>
      <c r="F216" s="38" t="n"/>
      <c r="G216" s="38" t="n"/>
      <c r="H216" s="38" t="n"/>
      <c r="I216" s="36" t="n"/>
      <c r="J216" s="24">
        <f>IF(B216="","",IF(F216*G216&gt;=6,"Alta",IF(F216*G216&gt;=3,"Média","Baixa")))</f>
        <v/>
      </c>
      <c r="K216" s="23">
        <f>IF(OR(B216="",E216=""),"",E216-Config!$B$4)</f>
        <v/>
      </c>
      <c r="L216" s="24">
        <f>IF(B216="","",IF(OR(I216="Feito",I216="Cancelado"),I216,IF(E216="","Sem prazo",IF(K216&lt;0,"Atrasada",IF(K216=0,"Hoje",IF(K216&lt;=6,"Esta semana","Depois"))))))</f>
        <v/>
      </c>
      <c r="M216" s="39">
        <f>IF(OR(B216="",L216="Feito",L216="Cancelado",L216="Sem prazo",L216="Depois"),0,IF(L216="Atrasada",2000,IF(L216="Hoje",1500,500))+F216*G216*100+IF(K216&lt;0,MIN(-K216,30),10-K216)-ROW()/100000)</f>
        <v>0</v>
      </c>
      <c r="N216" s="36" t="n"/>
    </row>
    <row r="217">
      <c r="A217" s="23">
        <f>IF(B217="","",ROW()-3)</f>
        <v/>
      </c>
      <c r="B217" s="36" t="n"/>
      <c r="C217" s="36" t="n"/>
      <c r="D217" s="36" t="n"/>
      <c r="E217" s="37" t="n"/>
      <c r="F217" s="38" t="n"/>
      <c r="G217" s="38" t="n"/>
      <c r="H217" s="38" t="n"/>
      <c r="I217" s="36" t="n"/>
      <c r="J217" s="24">
        <f>IF(B217="","",IF(F217*G217&gt;=6,"Alta",IF(F217*G217&gt;=3,"Média","Baixa")))</f>
        <v/>
      </c>
      <c r="K217" s="23">
        <f>IF(OR(B217="",E217=""),"",E217-Config!$B$4)</f>
        <v/>
      </c>
      <c r="L217" s="24">
        <f>IF(B217="","",IF(OR(I217="Feito",I217="Cancelado"),I217,IF(E217="","Sem prazo",IF(K217&lt;0,"Atrasada",IF(K217=0,"Hoje",IF(K217&lt;=6,"Esta semana","Depois"))))))</f>
        <v/>
      </c>
      <c r="M217" s="39">
        <f>IF(OR(B217="",L217="Feito",L217="Cancelado",L217="Sem prazo",L217="Depois"),0,IF(L217="Atrasada",2000,IF(L217="Hoje",1500,500))+F217*G217*100+IF(K217&lt;0,MIN(-K217,30),10-K217)-ROW()/100000)</f>
        <v>0</v>
      </c>
      <c r="N217" s="36" t="n"/>
    </row>
    <row r="218">
      <c r="A218" s="23">
        <f>IF(B218="","",ROW()-3)</f>
        <v/>
      </c>
      <c r="B218" s="36" t="n"/>
      <c r="C218" s="36" t="n"/>
      <c r="D218" s="36" t="n"/>
      <c r="E218" s="37" t="n"/>
      <c r="F218" s="38" t="n"/>
      <c r="G218" s="38" t="n"/>
      <c r="H218" s="38" t="n"/>
      <c r="I218" s="36" t="n"/>
      <c r="J218" s="24">
        <f>IF(B218="","",IF(F218*G218&gt;=6,"Alta",IF(F218*G218&gt;=3,"Média","Baixa")))</f>
        <v/>
      </c>
      <c r="K218" s="23">
        <f>IF(OR(B218="",E218=""),"",E218-Config!$B$4)</f>
        <v/>
      </c>
      <c r="L218" s="24">
        <f>IF(B218="","",IF(OR(I218="Feito",I218="Cancelado"),I218,IF(E218="","Sem prazo",IF(K218&lt;0,"Atrasada",IF(K218=0,"Hoje",IF(K218&lt;=6,"Esta semana","Depois"))))))</f>
        <v/>
      </c>
      <c r="M218" s="39">
        <f>IF(OR(B218="",L218="Feito",L218="Cancelado",L218="Sem prazo",L218="Depois"),0,IF(L218="Atrasada",2000,IF(L218="Hoje",1500,500))+F218*G218*100+IF(K218&lt;0,MIN(-K218,30),10-K218)-ROW()/100000)</f>
        <v>0</v>
      </c>
      <c r="N218" s="36" t="n"/>
    </row>
    <row r="219">
      <c r="A219" s="23">
        <f>IF(B219="","",ROW()-3)</f>
        <v/>
      </c>
      <c r="B219" s="36" t="n"/>
      <c r="C219" s="36" t="n"/>
      <c r="D219" s="36" t="n"/>
      <c r="E219" s="37" t="n"/>
      <c r="F219" s="38" t="n"/>
      <c r="G219" s="38" t="n"/>
      <c r="H219" s="38" t="n"/>
      <c r="I219" s="36" t="n"/>
      <c r="J219" s="24">
        <f>IF(B219="","",IF(F219*G219&gt;=6,"Alta",IF(F219*G219&gt;=3,"Média","Baixa")))</f>
        <v/>
      </c>
      <c r="K219" s="23">
        <f>IF(OR(B219="",E219=""),"",E219-Config!$B$4)</f>
        <v/>
      </c>
      <c r="L219" s="24">
        <f>IF(B219="","",IF(OR(I219="Feito",I219="Cancelado"),I219,IF(E219="","Sem prazo",IF(K219&lt;0,"Atrasada",IF(K219=0,"Hoje",IF(K219&lt;=6,"Esta semana","Depois"))))))</f>
        <v/>
      </c>
      <c r="M219" s="39">
        <f>IF(OR(B219="",L219="Feito",L219="Cancelado",L219="Sem prazo",L219="Depois"),0,IF(L219="Atrasada",2000,IF(L219="Hoje",1500,500))+F219*G219*100+IF(K219&lt;0,MIN(-K219,30),10-K219)-ROW()/100000)</f>
        <v>0</v>
      </c>
      <c r="N219" s="36" t="n"/>
    </row>
    <row r="220">
      <c r="A220" s="23">
        <f>IF(B220="","",ROW()-3)</f>
        <v/>
      </c>
      <c r="B220" s="36" t="n"/>
      <c r="C220" s="36" t="n"/>
      <c r="D220" s="36" t="n"/>
      <c r="E220" s="37" t="n"/>
      <c r="F220" s="38" t="n"/>
      <c r="G220" s="38" t="n"/>
      <c r="H220" s="38" t="n"/>
      <c r="I220" s="36" t="n"/>
      <c r="J220" s="24">
        <f>IF(B220="","",IF(F220*G220&gt;=6,"Alta",IF(F220*G220&gt;=3,"Média","Baixa")))</f>
        <v/>
      </c>
      <c r="K220" s="23">
        <f>IF(OR(B220="",E220=""),"",E220-Config!$B$4)</f>
        <v/>
      </c>
      <c r="L220" s="24">
        <f>IF(B220="","",IF(OR(I220="Feito",I220="Cancelado"),I220,IF(E220="","Sem prazo",IF(K220&lt;0,"Atrasada",IF(K220=0,"Hoje",IF(K220&lt;=6,"Esta semana","Depois"))))))</f>
        <v/>
      </c>
      <c r="M220" s="39">
        <f>IF(OR(B220="",L220="Feito",L220="Cancelado",L220="Sem prazo",L220="Depois"),0,IF(L220="Atrasada",2000,IF(L220="Hoje",1500,500))+F220*G220*100+IF(K220&lt;0,MIN(-K220,30),10-K220)-ROW()/100000)</f>
        <v>0</v>
      </c>
      <c r="N220" s="36" t="n"/>
    </row>
    <row r="221">
      <c r="A221" s="23">
        <f>IF(B221="","",ROW()-3)</f>
        <v/>
      </c>
      <c r="B221" s="36" t="n"/>
      <c r="C221" s="36" t="n"/>
      <c r="D221" s="36" t="n"/>
      <c r="E221" s="37" t="n"/>
      <c r="F221" s="38" t="n"/>
      <c r="G221" s="38" t="n"/>
      <c r="H221" s="38" t="n"/>
      <c r="I221" s="36" t="n"/>
      <c r="J221" s="24">
        <f>IF(B221="","",IF(F221*G221&gt;=6,"Alta",IF(F221*G221&gt;=3,"Média","Baixa")))</f>
        <v/>
      </c>
      <c r="K221" s="23">
        <f>IF(OR(B221="",E221=""),"",E221-Config!$B$4)</f>
        <v/>
      </c>
      <c r="L221" s="24">
        <f>IF(B221="","",IF(OR(I221="Feito",I221="Cancelado"),I221,IF(E221="","Sem prazo",IF(K221&lt;0,"Atrasada",IF(K221=0,"Hoje",IF(K221&lt;=6,"Esta semana","Depois"))))))</f>
        <v/>
      </c>
      <c r="M221" s="39">
        <f>IF(OR(B221="",L221="Feito",L221="Cancelado",L221="Sem prazo",L221="Depois"),0,IF(L221="Atrasada",2000,IF(L221="Hoje",1500,500))+F221*G221*100+IF(K221&lt;0,MIN(-K221,30),10-K221)-ROW()/100000)</f>
        <v>0</v>
      </c>
      <c r="N221" s="36" t="n"/>
    </row>
    <row r="222">
      <c r="A222" s="23">
        <f>IF(B222="","",ROW()-3)</f>
        <v/>
      </c>
      <c r="B222" s="36" t="n"/>
      <c r="C222" s="36" t="n"/>
      <c r="D222" s="36" t="n"/>
      <c r="E222" s="37" t="n"/>
      <c r="F222" s="38" t="n"/>
      <c r="G222" s="38" t="n"/>
      <c r="H222" s="38" t="n"/>
      <c r="I222" s="36" t="n"/>
      <c r="J222" s="24">
        <f>IF(B222="","",IF(F222*G222&gt;=6,"Alta",IF(F222*G222&gt;=3,"Média","Baixa")))</f>
        <v/>
      </c>
      <c r="K222" s="23">
        <f>IF(OR(B222="",E222=""),"",E222-Config!$B$4)</f>
        <v/>
      </c>
      <c r="L222" s="24">
        <f>IF(B222="","",IF(OR(I222="Feito",I222="Cancelado"),I222,IF(E222="","Sem prazo",IF(K222&lt;0,"Atrasada",IF(K222=0,"Hoje",IF(K222&lt;=6,"Esta semana","Depois"))))))</f>
        <v/>
      </c>
      <c r="M222" s="39">
        <f>IF(OR(B222="",L222="Feito",L222="Cancelado",L222="Sem prazo",L222="Depois"),0,IF(L222="Atrasada",2000,IF(L222="Hoje",1500,500))+F222*G222*100+IF(K222&lt;0,MIN(-K222,30),10-K222)-ROW()/100000)</f>
        <v>0</v>
      </c>
      <c r="N222" s="36" t="n"/>
    </row>
    <row r="223">
      <c r="A223" s="23">
        <f>IF(B223="","",ROW()-3)</f>
        <v/>
      </c>
      <c r="B223" s="36" t="n"/>
      <c r="C223" s="36" t="n"/>
      <c r="D223" s="36" t="n"/>
      <c r="E223" s="37" t="n"/>
      <c r="F223" s="38" t="n"/>
      <c r="G223" s="38" t="n"/>
      <c r="H223" s="38" t="n"/>
      <c r="I223" s="36" t="n"/>
      <c r="J223" s="24">
        <f>IF(B223="","",IF(F223*G223&gt;=6,"Alta",IF(F223*G223&gt;=3,"Média","Baixa")))</f>
        <v/>
      </c>
      <c r="K223" s="23">
        <f>IF(OR(B223="",E223=""),"",E223-Config!$B$4)</f>
        <v/>
      </c>
      <c r="L223" s="24">
        <f>IF(B223="","",IF(OR(I223="Feito",I223="Cancelado"),I223,IF(E223="","Sem prazo",IF(K223&lt;0,"Atrasada",IF(K223=0,"Hoje",IF(K223&lt;=6,"Esta semana","Depois"))))))</f>
        <v/>
      </c>
      <c r="M223" s="39">
        <f>IF(OR(B223="",L223="Feito",L223="Cancelado",L223="Sem prazo",L223="Depois"),0,IF(L223="Atrasada",2000,IF(L223="Hoje",1500,500))+F223*G223*100+IF(K223&lt;0,MIN(-K223,30),10-K223)-ROW()/100000)</f>
        <v>0</v>
      </c>
      <c r="N223" s="36" t="n"/>
    </row>
    <row r="224">
      <c r="A224" s="23">
        <f>IF(B224="","",ROW()-3)</f>
        <v/>
      </c>
      <c r="B224" s="36" t="n"/>
      <c r="C224" s="36" t="n"/>
      <c r="D224" s="36" t="n"/>
      <c r="E224" s="37" t="n"/>
      <c r="F224" s="38" t="n"/>
      <c r="G224" s="38" t="n"/>
      <c r="H224" s="38" t="n"/>
      <c r="I224" s="36" t="n"/>
      <c r="J224" s="24">
        <f>IF(B224="","",IF(F224*G224&gt;=6,"Alta",IF(F224*G224&gt;=3,"Média","Baixa")))</f>
        <v/>
      </c>
      <c r="K224" s="23">
        <f>IF(OR(B224="",E224=""),"",E224-Config!$B$4)</f>
        <v/>
      </c>
      <c r="L224" s="24">
        <f>IF(B224="","",IF(OR(I224="Feito",I224="Cancelado"),I224,IF(E224="","Sem prazo",IF(K224&lt;0,"Atrasada",IF(K224=0,"Hoje",IF(K224&lt;=6,"Esta semana","Depois"))))))</f>
        <v/>
      </c>
      <c r="M224" s="39">
        <f>IF(OR(B224="",L224="Feito",L224="Cancelado",L224="Sem prazo",L224="Depois"),0,IF(L224="Atrasada",2000,IF(L224="Hoje",1500,500))+F224*G224*100+IF(K224&lt;0,MIN(-K224,30),10-K224)-ROW()/100000)</f>
        <v>0</v>
      </c>
      <c r="N224" s="36" t="n"/>
    </row>
    <row r="225">
      <c r="A225" s="23">
        <f>IF(B225="","",ROW()-3)</f>
        <v/>
      </c>
      <c r="B225" s="36" t="n"/>
      <c r="C225" s="36" t="n"/>
      <c r="D225" s="36" t="n"/>
      <c r="E225" s="37" t="n"/>
      <c r="F225" s="38" t="n"/>
      <c r="G225" s="38" t="n"/>
      <c r="H225" s="38" t="n"/>
      <c r="I225" s="36" t="n"/>
      <c r="J225" s="24">
        <f>IF(B225="","",IF(F225*G225&gt;=6,"Alta",IF(F225*G225&gt;=3,"Média","Baixa")))</f>
        <v/>
      </c>
      <c r="K225" s="23">
        <f>IF(OR(B225="",E225=""),"",E225-Config!$B$4)</f>
        <v/>
      </c>
      <c r="L225" s="24">
        <f>IF(B225="","",IF(OR(I225="Feito",I225="Cancelado"),I225,IF(E225="","Sem prazo",IF(K225&lt;0,"Atrasada",IF(K225=0,"Hoje",IF(K225&lt;=6,"Esta semana","Depois"))))))</f>
        <v/>
      </c>
      <c r="M225" s="39">
        <f>IF(OR(B225="",L225="Feito",L225="Cancelado",L225="Sem prazo",L225="Depois"),0,IF(L225="Atrasada",2000,IF(L225="Hoje",1500,500))+F225*G225*100+IF(K225&lt;0,MIN(-K225,30),10-K225)-ROW()/100000)</f>
        <v>0</v>
      </c>
      <c r="N225" s="36" t="n"/>
    </row>
    <row r="226">
      <c r="A226" s="23">
        <f>IF(B226="","",ROW()-3)</f>
        <v/>
      </c>
      <c r="B226" s="36" t="n"/>
      <c r="C226" s="36" t="n"/>
      <c r="D226" s="36" t="n"/>
      <c r="E226" s="37" t="n"/>
      <c r="F226" s="38" t="n"/>
      <c r="G226" s="38" t="n"/>
      <c r="H226" s="38" t="n"/>
      <c r="I226" s="36" t="n"/>
      <c r="J226" s="24">
        <f>IF(B226="","",IF(F226*G226&gt;=6,"Alta",IF(F226*G226&gt;=3,"Média","Baixa")))</f>
        <v/>
      </c>
      <c r="K226" s="23">
        <f>IF(OR(B226="",E226=""),"",E226-Config!$B$4)</f>
        <v/>
      </c>
      <c r="L226" s="24">
        <f>IF(B226="","",IF(OR(I226="Feito",I226="Cancelado"),I226,IF(E226="","Sem prazo",IF(K226&lt;0,"Atrasada",IF(K226=0,"Hoje",IF(K226&lt;=6,"Esta semana","Depois"))))))</f>
        <v/>
      </c>
      <c r="M226" s="39">
        <f>IF(OR(B226="",L226="Feito",L226="Cancelado",L226="Sem prazo",L226="Depois"),0,IF(L226="Atrasada",2000,IF(L226="Hoje",1500,500))+F226*G226*100+IF(K226&lt;0,MIN(-K226,30),10-K226)-ROW()/100000)</f>
        <v>0</v>
      </c>
      <c r="N226" s="36" t="n"/>
    </row>
    <row r="227">
      <c r="A227" s="23">
        <f>IF(B227="","",ROW()-3)</f>
        <v/>
      </c>
      <c r="B227" s="36" t="n"/>
      <c r="C227" s="36" t="n"/>
      <c r="D227" s="36" t="n"/>
      <c r="E227" s="37" t="n"/>
      <c r="F227" s="38" t="n"/>
      <c r="G227" s="38" t="n"/>
      <c r="H227" s="38" t="n"/>
      <c r="I227" s="36" t="n"/>
      <c r="J227" s="24">
        <f>IF(B227="","",IF(F227*G227&gt;=6,"Alta",IF(F227*G227&gt;=3,"Média","Baixa")))</f>
        <v/>
      </c>
      <c r="K227" s="23">
        <f>IF(OR(B227="",E227=""),"",E227-Config!$B$4)</f>
        <v/>
      </c>
      <c r="L227" s="24">
        <f>IF(B227="","",IF(OR(I227="Feito",I227="Cancelado"),I227,IF(E227="","Sem prazo",IF(K227&lt;0,"Atrasada",IF(K227=0,"Hoje",IF(K227&lt;=6,"Esta semana","Depois"))))))</f>
        <v/>
      </c>
      <c r="M227" s="39">
        <f>IF(OR(B227="",L227="Feito",L227="Cancelado",L227="Sem prazo",L227="Depois"),0,IF(L227="Atrasada",2000,IF(L227="Hoje",1500,500))+F227*G227*100+IF(K227&lt;0,MIN(-K227,30),10-K227)-ROW()/100000)</f>
        <v>0</v>
      </c>
      <c r="N227" s="36" t="n"/>
    </row>
    <row r="228">
      <c r="A228" s="23">
        <f>IF(B228="","",ROW()-3)</f>
        <v/>
      </c>
      <c r="B228" s="36" t="n"/>
      <c r="C228" s="36" t="n"/>
      <c r="D228" s="36" t="n"/>
      <c r="E228" s="37" t="n"/>
      <c r="F228" s="38" t="n"/>
      <c r="G228" s="38" t="n"/>
      <c r="H228" s="38" t="n"/>
      <c r="I228" s="36" t="n"/>
      <c r="J228" s="24">
        <f>IF(B228="","",IF(F228*G228&gt;=6,"Alta",IF(F228*G228&gt;=3,"Média","Baixa")))</f>
        <v/>
      </c>
      <c r="K228" s="23">
        <f>IF(OR(B228="",E228=""),"",E228-Config!$B$4)</f>
        <v/>
      </c>
      <c r="L228" s="24">
        <f>IF(B228="","",IF(OR(I228="Feito",I228="Cancelado"),I228,IF(E228="","Sem prazo",IF(K228&lt;0,"Atrasada",IF(K228=0,"Hoje",IF(K228&lt;=6,"Esta semana","Depois"))))))</f>
        <v/>
      </c>
      <c r="M228" s="39">
        <f>IF(OR(B228="",L228="Feito",L228="Cancelado",L228="Sem prazo",L228="Depois"),0,IF(L228="Atrasada",2000,IF(L228="Hoje",1500,500))+F228*G228*100+IF(K228&lt;0,MIN(-K228,30),10-K228)-ROW()/100000)</f>
        <v>0</v>
      </c>
      <c r="N228" s="36" t="n"/>
    </row>
    <row r="229">
      <c r="A229" s="23">
        <f>IF(B229="","",ROW()-3)</f>
        <v/>
      </c>
      <c r="B229" s="36" t="n"/>
      <c r="C229" s="36" t="n"/>
      <c r="D229" s="36" t="n"/>
      <c r="E229" s="37" t="n"/>
      <c r="F229" s="38" t="n"/>
      <c r="G229" s="38" t="n"/>
      <c r="H229" s="38" t="n"/>
      <c r="I229" s="36" t="n"/>
      <c r="J229" s="24">
        <f>IF(B229="","",IF(F229*G229&gt;=6,"Alta",IF(F229*G229&gt;=3,"Média","Baixa")))</f>
        <v/>
      </c>
      <c r="K229" s="23">
        <f>IF(OR(B229="",E229=""),"",E229-Config!$B$4)</f>
        <v/>
      </c>
      <c r="L229" s="24">
        <f>IF(B229="","",IF(OR(I229="Feito",I229="Cancelado"),I229,IF(E229="","Sem prazo",IF(K229&lt;0,"Atrasada",IF(K229=0,"Hoje",IF(K229&lt;=6,"Esta semana","Depois"))))))</f>
        <v/>
      </c>
      <c r="M229" s="39">
        <f>IF(OR(B229="",L229="Feito",L229="Cancelado",L229="Sem prazo",L229="Depois"),0,IF(L229="Atrasada",2000,IF(L229="Hoje",1500,500))+F229*G229*100+IF(K229&lt;0,MIN(-K229,30),10-K229)-ROW()/100000)</f>
        <v>0</v>
      </c>
      <c r="N229" s="36" t="n"/>
    </row>
    <row r="230">
      <c r="A230" s="23">
        <f>IF(B230="","",ROW()-3)</f>
        <v/>
      </c>
      <c r="B230" s="36" t="n"/>
      <c r="C230" s="36" t="n"/>
      <c r="D230" s="36" t="n"/>
      <c r="E230" s="37" t="n"/>
      <c r="F230" s="38" t="n"/>
      <c r="G230" s="38" t="n"/>
      <c r="H230" s="38" t="n"/>
      <c r="I230" s="36" t="n"/>
      <c r="J230" s="24">
        <f>IF(B230="","",IF(F230*G230&gt;=6,"Alta",IF(F230*G230&gt;=3,"Média","Baixa")))</f>
        <v/>
      </c>
      <c r="K230" s="23">
        <f>IF(OR(B230="",E230=""),"",E230-Config!$B$4)</f>
        <v/>
      </c>
      <c r="L230" s="24">
        <f>IF(B230="","",IF(OR(I230="Feito",I230="Cancelado"),I230,IF(E230="","Sem prazo",IF(K230&lt;0,"Atrasada",IF(K230=0,"Hoje",IF(K230&lt;=6,"Esta semana","Depois"))))))</f>
        <v/>
      </c>
      <c r="M230" s="39">
        <f>IF(OR(B230="",L230="Feito",L230="Cancelado",L230="Sem prazo",L230="Depois"),0,IF(L230="Atrasada",2000,IF(L230="Hoje",1500,500))+F230*G230*100+IF(K230&lt;0,MIN(-K230,30),10-K230)-ROW()/100000)</f>
        <v>0</v>
      </c>
      <c r="N230" s="36" t="n"/>
    </row>
    <row r="231">
      <c r="A231" s="23">
        <f>IF(B231="","",ROW()-3)</f>
        <v/>
      </c>
      <c r="B231" s="36" t="n"/>
      <c r="C231" s="36" t="n"/>
      <c r="D231" s="36" t="n"/>
      <c r="E231" s="37" t="n"/>
      <c r="F231" s="38" t="n"/>
      <c r="G231" s="38" t="n"/>
      <c r="H231" s="38" t="n"/>
      <c r="I231" s="36" t="n"/>
      <c r="J231" s="24">
        <f>IF(B231="","",IF(F231*G231&gt;=6,"Alta",IF(F231*G231&gt;=3,"Média","Baixa")))</f>
        <v/>
      </c>
      <c r="K231" s="23">
        <f>IF(OR(B231="",E231=""),"",E231-Config!$B$4)</f>
        <v/>
      </c>
      <c r="L231" s="24">
        <f>IF(B231="","",IF(OR(I231="Feito",I231="Cancelado"),I231,IF(E231="","Sem prazo",IF(K231&lt;0,"Atrasada",IF(K231=0,"Hoje",IF(K231&lt;=6,"Esta semana","Depois"))))))</f>
        <v/>
      </c>
      <c r="M231" s="39">
        <f>IF(OR(B231="",L231="Feito",L231="Cancelado",L231="Sem prazo",L231="Depois"),0,IF(L231="Atrasada",2000,IF(L231="Hoje",1500,500))+F231*G231*100+IF(K231&lt;0,MIN(-K231,30),10-K231)-ROW()/100000)</f>
        <v>0</v>
      </c>
      <c r="N231" s="36" t="n"/>
    </row>
    <row r="232">
      <c r="A232" s="23">
        <f>IF(B232="","",ROW()-3)</f>
        <v/>
      </c>
      <c r="B232" s="36" t="n"/>
      <c r="C232" s="36" t="n"/>
      <c r="D232" s="36" t="n"/>
      <c r="E232" s="37" t="n"/>
      <c r="F232" s="38" t="n"/>
      <c r="G232" s="38" t="n"/>
      <c r="H232" s="38" t="n"/>
      <c r="I232" s="36" t="n"/>
      <c r="J232" s="24">
        <f>IF(B232="","",IF(F232*G232&gt;=6,"Alta",IF(F232*G232&gt;=3,"Média","Baixa")))</f>
        <v/>
      </c>
      <c r="K232" s="23">
        <f>IF(OR(B232="",E232=""),"",E232-Config!$B$4)</f>
        <v/>
      </c>
      <c r="L232" s="24">
        <f>IF(B232="","",IF(OR(I232="Feito",I232="Cancelado"),I232,IF(E232="","Sem prazo",IF(K232&lt;0,"Atrasada",IF(K232=0,"Hoje",IF(K232&lt;=6,"Esta semana","Depois"))))))</f>
        <v/>
      </c>
      <c r="M232" s="39">
        <f>IF(OR(B232="",L232="Feito",L232="Cancelado",L232="Sem prazo",L232="Depois"),0,IF(L232="Atrasada",2000,IF(L232="Hoje",1500,500))+F232*G232*100+IF(K232&lt;0,MIN(-K232,30),10-K232)-ROW()/100000)</f>
        <v>0</v>
      </c>
      <c r="N232" s="36" t="n"/>
    </row>
    <row r="233">
      <c r="A233" s="23">
        <f>IF(B233="","",ROW()-3)</f>
        <v/>
      </c>
      <c r="B233" s="36" t="n"/>
      <c r="C233" s="36" t="n"/>
      <c r="D233" s="36" t="n"/>
      <c r="E233" s="37" t="n"/>
      <c r="F233" s="38" t="n"/>
      <c r="G233" s="38" t="n"/>
      <c r="H233" s="38" t="n"/>
      <c r="I233" s="36" t="n"/>
      <c r="J233" s="24">
        <f>IF(B233="","",IF(F233*G233&gt;=6,"Alta",IF(F233*G233&gt;=3,"Média","Baixa")))</f>
        <v/>
      </c>
      <c r="K233" s="23">
        <f>IF(OR(B233="",E233=""),"",E233-Config!$B$4)</f>
        <v/>
      </c>
      <c r="L233" s="24">
        <f>IF(B233="","",IF(OR(I233="Feito",I233="Cancelado"),I233,IF(E233="","Sem prazo",IF(K233&lt;0,"Atrasada",IF(K233=0,"Hoje",IF(K233&lt;=6,"Esta semana","Depois"))))))</f>
        <v/>
      </c>
      <c r="M233" s="39">
        <f>IF(OR(B233="",L233="Feito",L233="Cancelado",L233="Sem prazo",L233="Depois"),0,IF(L233="Atrasada",2000,IF(L233="Hoje",1500,500))+F233*G233*100+IF(K233&lt;0,MIN(-K233,30),10-K233)-ROW()/100000)</f>
        <v>0</v>
      </c>
      <c r="N233" s="36" t="n"/>
    </row>
    <row r="234">
      <c r="A234" s="23">
        <f>IF(B234="","",ROW()-3)</f>
        <v/>
      </c>
      <c r="B234" s="36" t="n"/>
      <c r="C234" s="36" t="n"/>
      <c r="D234" s="36" t="n"/>
      <c r="E234" s="37" t="n"/>
      <c r="F234" s="38" t="n"/>
      <c r="G234" s="38" t="n"/>
      <c r="H234" s="38" t="n"/>
      <c r="I234" s="36" t="n"/>
      <c r="J234" s="24">
        <f>IF(B234="","",IF(F234*G234&gt;=6,"Alta",IF(F234*G234&gt;=3,"Média","Baixa")))</f>
        <v/>
      </c>
      <c r="K234" s="23">
        <f>IF(OR(B234="",E234=""),"",E234-Config!$B$4)</f>
        <v/>
      </c>
      <c r="L234" s="24">
        <f>IF(B234="","",IF(OR(I234="Feito",I234="Cancelado"),I234,IF(E234="","Sem prazo",IF(K234&lt;0,"Atrasada",IF(K234=0,"Hoje",IF(K234&lt;=6,"Esta semana","Depois"))))))</f>
        <v/>
      </c>
      <c r="M234" s="39">
        <f>IF(OR(B234="",L234="Feito",L234="Cancelado",L234="Sem prazo",L234="Depois"),0,IF(L234="Atrasada",2000,IF(L234="Hoje",1500,500))+F234*G234*100+IF(K234&lt;0,MIN(-K234,30),10-K234)-ROW()/100000)</f>
        <v>0</v>
      </c>
      <c r="N234" s="36" t="n"/>
    </row>
    <row r="235">
      <c r="A235" s="23">
        <f>IF(B235="","",ROW()-3)</f>
        <v/>
      </c>
      <c r="B235" s="36" t="n"/>
      <c r="C235" s="36" t="n"/>
      <c r="D235" s="36" t="n"/>
      <c r="E235" s="37" t="n"/>
      <c r="F235" s="38" t="n"/>
      <c r="G235" s="38" t="n"/>
      <c r="H235" s="38" t="n"/>
      <c r="I235" s="36" t="n"/>
      <c r="J235" s="24">
        <f>IF(B235="","",IF(F235*G235&gt;=6,"Alta",IF(F235*G235&gt;=3,"Média","Baixa")))</f>
        <v/>
      </c>
      <c r="K235" s="23">
        <f>IF(OR(B235="",E235=""),"",E235-Config!$B$4)</f>
        <v/>
      </c>
      <c r="L235" s="24">
        <f>IF(B235="","",IF(OR(I235="Feito",I235="Cancelado"),I235,IF(E235="","Sem prazo",IF(K235&lt;0,"Atrasada",IF(K235=0,"Hoje",IF(K235&lt;=6,"Esta semana","Depois"))))))</f>
        <v/>
      </c>
      <c r="M235" s="39">
        <f>IF(OR(B235="",L235="Feito",L235="Cancelado",L235="Sem prazo",L235="Depois"),0,IF(L235="Atrasada",2000,IF(L235="Hoje",1500,500))+F235*G235*100+IF(K235&lt;0,MIN(-K235,30),10-K235)-ROW()/100000)</f>
        <v>0</v>
      </c>
      <c r="N235" s="36" t="n"/>
    </row>
    <row r="236">
      <c r="A236" s="23">
        <f>IF(B236="","",ROW()-3)</f>
        <v/>
      </c>
      <c r="B236" s="36" t="n"/>
      <c r="C236" s="36" t="n"/>
      <c r="D236" s="36" t="n"/>
      <c r="E236" s="37" t="n"/>
      <c r="F236" s="38" t="n"/>
      <c r="G236" s="38" t="n"/>
      <c r="H236" s="38" t="n"/>
      <c r="I236" s="36" t="n"/>
      <c r="J236" s="24">
        <f>IF(B236="","",IF(F236*G236&gt;=6,"Alta",IF(F236*G236&gt;=3,"Média","Baixa")))</f>
        <v/>
      </c>
      <c r="K236" s="23">
        <f>IF(OR(B236="",E236=""),"",E236-Config!$B$4)</f>
        <v/>
      </c>
      <c r="L236" s="24">
        <f>IF(B236="","",IF(OR(I236="Feito",I236="Cancelado"),I236,IF(E236="","Sem prazo",IF(K236&lt;0,"Atrasada",IF(K236=0,"Hoje",IF(K236&lt;=6,"Esta semana","Depois"))))))</f>
        <v/>
      </c>
      <c r="M236" s="39">
        <f>IF(OR(B236="",L236="Feito",L236="Cancelado",L236="Sem prazo",L236="Depois"),0,IF(L236="Atrasada",2000,IF(L236="Hoje",1500,500))+F236*G236*100+IF(K236&lt;0,MIN(-K236,30),10-K236)-ROW()/100000)</f>
        <v>0</v>
      </c>
      <c r="N236" s="36" t="n"/>
    </row>
    <row r="237">
      <c r="A237" s="23">
        <f>IF(B237="","",ROW()-3)</f>
        <v/>
      </c>
      <c r="B237" s="36" t="n"/>
      <c r="C237" s="36" t="n"/>
      <c r="D237" s="36" t="n"/>
      <c r="E237" s="37" t="n"/>
      <c r="F237" s="38" t="n"/>
      <c r="G237" s="38" t="n"/>
      <c r="H237" s="38" t="n"/>
      <c r="I237" s="36" t="n"/>
      <c r="J237" s="24">
        <f>IF(B237="","",IF(F237*G237&gt;=6,"Alta",IF(F237*G237&gt;=3,"Média","Baixa")))</f>
        <v/>
      </c>
      <c r="K237" s="23">
        <f>IF(OR(B237="",E237=""),"",E237-Config!$B$4)</f>
        <v/>
      </c>
      <c r="L237" s="24">
        <f>IF(B237="","",IF(OR(I237="Feito",I237="Cancelado"),I237,IF(E237="","Sem prazo",IF(K237&lt;0,"Atrasada",IF(K237=0,"Hoje",IF(K237&lt;=6,"Esta semana","Depois"))))))</f>
        <v/>
      </c>
      <c r="M237" s="39">
        <f>IF(OR(B237="",L237="Feito",L237="Cancelado",L237="Sem prazo",L237="Depois"),0,IF(L237="Atrasada",2000,IF(L237="Hoje",1500,500))+F237*G237*100+IF(K237&lt;0,MIN(-K237,30),10-K237)-ROW()/100000)</f>
        <v>0</v>
      </c>
      <c r="N237" s="36" t="n"/>
    </row>
    <row r="238">
      <c r="A238" s="23">
        <f>IF(B238="","",ROW()-3)</f>
        <v/>
      </c>
      <c r="B238" s="36" t="n"/>
      <c r="C238" s="36" t="n"/>
      <c r="D238" s="36" t="n"/>
      <c r="E238" s="37" t="n"/>
      <c r="F238" s="38" t="n"/>
      <c r="G238" s="38" t="n"/>
      <c r="H238" s="38" t="n"/>
      <c r="I238" s="36" t="n"/>
      <c r="J238" s="24">
        <f>IF(B238="","",IF(F238*G238&gt;=6,"Alta",IF(F238*G238&gt;=3,"Média","Baixa")))</f>
        <v/>
      </c>
      <c r="K238" s="23">
        <f>IF(OR(B238="",E238=""),"",E238-Config!$B$4)</f>
        <v/>
      </c>
      <c r="L238" s="24">
        <f>IF(B238="","",IF(OR(I238="Feito",I238="Cancelado"),I238,IF(E238="","Sem prazo",IF(K238&lt;0,"Atrasada",IF(K238=0,"Hoje",IF(K238&lt;=6,"Esta semana","Depois"))))))</f>
        <v/>
      </c>
      <c r="M238" s="39">
        <f>IF(OR(B238="",L238="Feito",L238="Cancelado",L238="Sem prazo",L238="Depois"),0,IF(L238="Atrasada",2000,IF(L238="Hoje",1500,500))+F238*G238*100+IF(K238&lt;0,MIN(-K238,30),10-K238)-ROW()/100000)</f>
        <v>0</v>
      </c>
      <c r="N238" s="36" t="n"/>
    </row>
    <row r="239">
      <c r="A239" s="23">
        <f>IF(B239="","",ROW()-3)</f>
        <v/>
      </c>
      <c r="B239" s="36" t="n"/>
      <c r="C239" s="36" t="n"/>
      <c r="D239" s="36" t="n"/>
      <c r="E239" s="37" t="n"/>
      <c r="F239" s="38" t="n"/>
      <c r="G239" s="38" t="n"/>
      <c r="H239" s="38" t="n"/>
      <c r="I239" s="36" t="n"/>
      <c r="J239" s="24">
        <f>IF(B239="","",IF(F239*G239&gt;=6,"Alta",IF(F239*G239&gt;=3,"Média","Baixa")))</f>
        <v/>
      </c>
      <c r="K239" s="23">
        <f>IF(OR(B239="",E239=""),"",E239-Config!$B$4)</f>
        <v/>
      </c>
      <c r="L239" s="24">
        <f>IF(B239="","",IF(OR(I239="Feito",I239="Cancelado"),I239,IF(E239="","Sem prazo",IF(K239&lt;0,"Atrasada",IF(K239=0,"Hoje",IF(K239&lt;=6,"Esta semana","Depois"))))))</f>
        <v/>
      </c>
      <c r="M239" s="39">
        <f>IF(OR(B239="",L239="Feito",L239="Cancelado",L239="Sem prazo",L239="Depois"),0,IF(L239="Atrasada",2000,IF(L239="Hoje",1500,500))+F239*G239*100+IF(K239&lt;0,MIN(-K239,30),10-K239)-ROW()/100000)</f>
        <v>0</v>
      </c>
      <c r="N239" s="36" t="n"/>
    </row>
    <row r="240">
      <c r="A240" s="23">
        <f>IF(B240="","",ROW()-3)</f>
        <v/>
      </c>
      <c r="B240" s="36" t="n"/>
      <c r="C240" s="36" t="n"/>
      <c r="D240" s="36" t="n"/>
      <c r="E240" s="37" t="n"/>
      <c r="F240" s="38" t="n"/>
      <c r="G240" s="38" t="n"/>
      <c r="H240" s="38" t="n"/>
      <c r="I240" s="36" t="n"/>
      <c r="J240" s="24">
        <f>IF(B240="","",IF(F240*G240&gt;=6,"Alta",IF(F240*G240&gt;=3,"Média","Baixa")))</f>
        <v/>
      </c>
      <c r="K240" s="23">
        <f>IF(OR(B240="",E240=""),"",E240-Config!$B$4)</f>
        <v/>
      </c>
      <c r="L240" s="24">
        <f>IF(B240="","",IF(OR(I240="Feito",I240="Cancelado"),I240,IF(E240="","Sem prazo",IF(K240&lt;0,"Atrasada",IF(K240=0,"Hoje",IF(K240&lt;=6,"Esta semana","Depois"))))))</f>
        <v/>
      </c>
      <c r="M240" s="39">
        <f>IF(OR(B240="",L240="Feito",L240="Cancelado",L240="Sem prazo",L240="Depois"),0,IF(L240="Atrasada",2000,IF(L240="Hoje",1500,500))+F240*G240*100+IF(K240&lt;0,MIN(-K240,30),10-K240)-ROW()/100000)</f>
        <v>0</v>
      </c>
      <c r="N240" s="36" t="n"/>
    </row>
    <row r="241">
      <c r="A241" s="23">
        <f>IF(B241="","",ROW()-3)</f>
        <v/>
      </c>
      <c r="B241" s="36" t="n"/>
      <c r="C241" s="36" t="n"/>
      <c r="D241" s="36" t="n"/>
      <c r="E241" s="37" t="n"/>
      <c r="F241" s="38" t="n"/>
      <c r="G241" s="38" t="n"/>
      <c r="H241" s="38" t="n"/>
      <c r="I241" s="36" t="n"/>
      <c r="J241" s="24">
        <f>IF(B241="","",IF(F241*G241&gt;=6,"Alta",IF(F241*G241&gt;=3,"Média","Baixa")))</f>
        <v/>
      </c>
      <c r="K241" s="23">
        <f>IF(OR(B241="",E241=""),"",E241-Config!$B$4)</f>
        <v/>
      </c>
      <c r="L241" s="24">
        <f>IF(B241="","",IF(OR(I241="Feito",I241="Cancelado"),I241,IF(E241="","Sem prazo",IF(K241&lt;0,"Atrasada",IF(K241=0,"Hoje",IF(K241&lt;=6,"Esta semana","Depois"))))))</f>
        <v/>
      </c>
      <c r="M241" s="39">
        <f>IF(OR(B241="",L241="Feito",L241="Cancelado",L241="Sem prazo",L241="Depois"),0,IF(L241="Atrasada",2000,IF(L241="Hoje",1500,500))+F241*G241*100+IF(K241&lt;0,MIN(-K241,30),10-K241)-ROW()/100000)</f>
        <v>0</v>
      </c>
      <c r="N241" s="36" t="n"/>
    </row>
    <row r="242">
      <c r="A242" s="23">
        <f>IF(B242="","",ROW()-3)</f>
        <v/>
      </c>
      <c r="B242" s="36" t="n"/>
      <c r="C242" s="36" t="n"/>
      <c r="D242" s="36" t="n"/>
      <c r="E242" s="37" t="n"/>
      <c r="F242" s="38" t="n"/>
      <c r="G242" s="38" t="n"/>
      <c r="H242" s="38" t="n"/>
      <c r="I242" s="36" t="n"/>
      <c r="J242" s="24">
        <f>IF(B242="","",IF(F242*G242&gt;=6,"Alta",IF(F242*G242&gt;=3,"Média","Baixa")))</f>
        <v/>
      </c>
      <c r="K242" s="23">
        <f>IF(OR(B242="",E242=""),"",E242-Config!$B$4)</f>
        <v/>
      </c>
      <c r="L242" s="24">
        <f>IF(B242="","",IF(OR(I242="Feito",I242="Cancelado"),I242,IF(E242="","Sem prazo",IF(K242&lt;0,"Atrasada",IF(K242=0,"Hoje",IF(K242&lt;=6,"Esta semana","Depois"))))))</f>
        <v/>
      </c>
      <c r="M242" s="39">
        <f>IF(OR(B242="",L242="Feito",L242="Cancelado",L242="Sem prazo",L242="Depois"),0,IF(L242="Atrasada",2000,IF(L242="Hoje",1500,500))+F242*G242*100+IF(K242&lt;0,MIN(-K242,30),10-K242)-ROW()/100000)</f>
        <v>0</v>
      </c>
      <c r="N242" s="36" t="n"/>
    </row>
    <row r="243">
      <c r="A243" s="23">
        <f>IF(B243="","",ROW()-3)</f>
        <v/>
      </c>
      <c r="B243" s="36" t="n"/>
      <c r="C243" s="36" t="n"/>
      <c r="D243" s="36" t="n"/>
      <c r="E243" s="37" t="n"/>
      <c r="F243" s="38" t="n"/>
      <c r="G243" s="38" t="n"/>
      <c r="H243" s="38" t="n"/>
      <c r="I243" s="36" t="n"/>
      <c r="J243" s="24">
        <f>IF(B243="","",IF(F243*G243&gt;=6,"Alta",IF(F243*G243&gt;=3,"Média","Baixa")))</f>
        <v/>
      </c>
      <c r="K243" s="23">
        <f>IF(OR(B243="",E243=""),"",E243-Config!$B$4)</f>
        <v/>
      </c>
      <c r="L243" s="24">
        <f>IF(B243="","",IF(OR(I243="Feito",I243="Cancelado"),I243,IF(E243="","Sem prazo",IF(K243&lt;0,"Atrasada",IF(K243=0,"Hoje",IF(K243&lt;=6,"Esta semana","Depois"))))))</f>
        <v/>
      </c>
      <c r="M243" s="39">
        <f>IF(OR(B243="",L243="Feito",L243="Cancelado",L243="Sem prazo",L243="Depois"),0,IF(L243="Atrasada",2000,IF(L243="Hoje",1500,500))+F243*G243*100+IF(K243&lt;0,MIN(-K243,30),10-K243)-ROW()/100000)</f>
        <v>0</v>
      </c>
      <c r="N243" s="36" t="n"/>
    </row>
    <row r="244">
      <c r="A244" s="23">
        <f>IF(B244="","",ROW()-3)</f>
        <v/>
      </c>
      <c r="B244" s="36" t="n"/>
      <c r="C244" s="36" t="n"/>
      <c r="D244" s="36" t="n"/>
      <c r="E244" s="37" t="n"/>
      <c r="F244" s="38" t="n"/>
      <c r="G244" s="38" t="n"/>
      <c r="H244" s="38" t="n"/>
      <c r="I244" s="36" t="n"/>
      <c r="J244" s="24">
        <f>IF(B244="","",IF(F244*G244&gt;=6,"Alta",IF(F244*G244&gt;=3,"Média","Baixa")))</f>
        <v/>
      </c>
      <c r="K244" s="23">
        <f>IF(OR(B244="",E244=""),"",E244-Config!$B$4)</f>
        <v/>
      </c>
      <c r="L244" s="24">
        <f>IF(B244="","",IF(OR(I244="Feito",I244="Cancelado"),I244,IF(E244="","Sem prazo",IF(K244&lt;0,"Atrasada",IF(K244=0,"Hoje",IF(K244&lt;=6,"Esta semana","Depois"))))))</f>
        <v/>
      </c>
      <c r="M244" s="39">
        <f>IF(OR(B244="",L244="Feito",L244="Cancelado",L244="Sem prazo",L244="Depois"),0,IF(L244="Atrasada",2000,IF(L244="Hoje",1500,500))+F244*G244*100+IF(K244&lt;0,MIN(-K244,30),10-K244)-ROW()/100000)</f>
        <v>0</v>
      </c>
      <c r="N244" s="36" t="n"/>
    </row>
    <row r="245">
      <c r="A245" s="23">
        <f>IF(B245="","",ROW()-3)</f>
        <v/>
      </c>
      <c r="B245" s="36" t="n"/>
      <c r="C245" s="36" t="n"/>
      <c r="D245" s="36" t="n"/>
      <c r="E245" s="37" t="n"/>
      <c r="F245" s="38" t="n"/>
      <c r="G245" s="38" t="n"/>
      <c r="H245" s="38" t="n"/>
      <c r="I245" s="36" t="n"/>
      <c r="J245" s="24">
        <f>IF(B245="","",IF(F245*G245&gt;=6,"Alta",IF(F245*G245&gt;=3,"Média","Baixa")))</f>
        <v/>
      </c>
      <c r="K245" s="23">
        <f>IF(OR(B245="",E245=""),"",E245-Config!$B$4)</f>
        <v/>
      </c>
      <c r="L245" s="24">
        <f>IF(B245="","",IF(OR(I245="Feito",I245="Cancelado"),I245,IF(E245="","Sem prazo",IF(K245&lt;0,"Atrasada",IF(K245=0,"Hoje",IF(K245&lt;=6,"Esta semana","Depois"))))))</f>
        <v/>
      </c>
      <c r="M245" s="39">
        <f>IF(OR(B245="",L245="Feito",L245="Cancelado",L245="Sem prazo",L245="Depois"),0,IF(L245="Atrasada",2000,IF(L245="Hoje",1500,500))+F245*G245*100+IF(K245&lt;0,MIN(-K245,30),10-K245)-ROW()/100000)</f>
        <v>0</v>
      </c>
      <c r="N245" s="36" t="n"/>
    </row>
    <row r="246">
      <c r="A246" s="23">
        <f>IF(B246="","",ROW()-3)</f>
        <v/>
      </c>
      <c r="B246" s="36" t="n"/>
      <c r="C246" s="36" t="n"/>
      <c r="D246" s="36" t="n"/>
      <c r="E246" s="37" t="n"/>
      <c r="F246" s="38" t="n"/>
      <c r="G246" s="38" t="n"/>
      <c r="H246" s="38" t="n"/>
      <c r="I246" s="36" t="n"/>
      <c r="J246" s="24">
        <f>IF(B246="","",IF(F246*G246&gt;=6,"Alta",IF(F246*G246&gt;=3,"Média","Baixa")))</f>
        <v/>
      </c>
      <c r="K246" s="23">
        <f>IF(OR(B246="",E246=""),"",E246-Config!$B$4)</f>
        <v/>
      </c>
      <c r="L246" s="24">
        <f>IF(B246="","",IF(OR(I246="Feito",I246="Cancelado"),I246,IF(E246="","Sem prazo",IF(K246&lt;0,"Atrasada",IF(K246=0,"Hoje",IF(K246&lt;=6,"Esta semana","Depois"))))))</f>
        <v/>
      </c>
      <c r="M246" s="39">
        <f>IF(OR(B246="",L246="Feito",L246="Cancelado",L246="Sem prazo",L246="Depois"),0,IF(L246="Atrasada",2000,IF(L246="Hoje",1500,500))+F246*G246*100+IF(K246&lt;0,MIN(-K246,30),10-K246)-ROW()/100000)</f>
        <v>0</v>
      </c>
      <c r="N246" s="36" t="n"/>
    </row>
    <row r="247">
      <c r="A247" s="23">
        <f>IF(B247="","",ROW()-3)</f>
        <v/>
      </c>
      <c r="B247" s="36" t="n"/>
      <c r="C247" s="36" t="n"/>
      <c r="D247" s="36" t="n"/>
      <c r="E247" s="37" t="n"/>
      <c r="F247" s="38" t="n"/>
      <c r="G247" s="38" t="n"/>
      <c r="H247" s="38" t="n"/>
      <c r="I247" s="36" t="n"/>
      <c r="J247" s="24">
        <f>IF(B247="","",IF(F247*G247&gt;=6,"Alta",IF(F247*G247&gt;=3,"Média","Baixa")))</f>
        <v/>
      </c>
      <c r="K247" s="23">
        <f>IF(OR(B247="",E247=""),"",E247-Config!$B$4)</f>
        <v/>
      </c>
      <c r="L247" s="24">
        <f>IF(B247="","",IF(OR(I247="Feito",I247="Cancelado"),I247,IF(E247="","Sem prazo",IF(K247&lt;0,"Atrasada",IF(K247=0,"Hoje",IF(K247&lt;=6,"Esta semana","Depois"))))))</f>
        <v/>
      </c>
      <c r="M247" s="39">
        <f>IF(OR(B247="",L247="Feito",L247="Cancelado",L247="Sem prazo",L247="Depois"),0,IF(L247="Atrasada",2000,IF(L247="Hoje",1500,500))+F247*G247*100+IF(K247&lt;0,MIN(-K247,30),10-K247)-ROW()/100000)</f>
        <v>0</v>
      </c>
      <c r="N247" s="36" t="n"/>
    </row>
    <row r="248">
      <c r="A248" s="23">
        <f>IF(B248="","",ROW()-3)</f>
        <v/>
      </c>
      <c r="B248" s="36" t="n"/>
      <c r="C248" s="36" t="n"/>
      <c r="D248" s="36" t="n"/>
      <c r="E248" s="37" t="n"/>
      <c r="F248" s="38" t="n"/>
      <c r="G248" s="38" t="n"/>
      <c r="H248" s="38" t="n"/>
      <c r="I248" s="36" t="n"/>
      <c r="J248" s="24">
        <f>IF(B248="","",IF(F248*G248&gt;=6,"Alta",IF(F248*G248&gt;=3,"Média","Baixa")))</f>
        <v/>
      </c>
      <c r="K248" s="23">
        <f>IF(OR(B248="",E248=""),"",E248-Config!$B$4)</f>
        <v/>
      </c>
      <c r="L248" s="24">
        <f>IF(B248="","",IF(OR(I248="Feito",I248="Cancelado"),I248,IF(E248="","Sem prazo",IF(K248&lt;0,"Atrasada",IF(K248=0,"Hoje",IF(K248&lt;=6,"Esta semana","Depois"))))))</f>
        <v/>
      </c>
      <c r="M248" s="39">
        <f>IF(OR(B248="",L248="Feito",L248="Cancelado",L248="Sem prazo",L248="Depois"),0,IF(L248="Atrasada",2000,IF(L248="Hoje",1500,500))+F248*G248*100+IF(K248&lt;0,MIN(-K248,30),10-K248)-ROW()/100000)</f>
        <v>0</v>
      </c>
      <c r="N248" s="36" t="n"/>
    </row>
    <row r="249">
      <c r="A249" s="23">
        <f>IF(B249="","",ROW()-3)</f>
        <v/>
      </c>
      <c r="B249" s="36" t="n"/>
      <c r="C249" s="36" t="n"/>
      <c r="D249" s="36" t="n"/>
      <c r="E249" s="37" t="n"/>
      <c r="F249" s="38" t="n"/>
      <c r="G249" s="38" t="n"/>
      <c r="H249" s="38" t="n"/>
      <c r="I249" s="36" t="n"/>
      <c r="J249" s="24">
        <f>IF(B249="","",IF(F249*G249&gt;=6,"Alta",IF(F249*G249&gt;=3,"Média","Baixa")))</f>
        <v/>
      </c>
      <c r="K249" s="23">
        <f>IF(OR(B249="",E249=""),"",E249-Config!$B$4)</f>
        <v/>
      </c>
      <c r="L249" s="24">
        <f>IF(B249="","",IF(OR(I249="Feito",I249="Cancelado"),I249,IF(E249="","Sem prazo",IF(K249&lt;0,"Atrasada",IF(K249=0,"Hoje",IF(K249&lt;=6,"Esta semana","Depois"))))))</f>
        <v/>
      </c>
      <c r="M249" s="39">
        <f>IF(OR(B249="",L249="Feito",L249="Cancelado",L249="Sem prazo",L249="Depois"),0,IF(L249="Atrasada",2000,IF(L249="Hoje",1500,500))+F249*G249*100+IF(K249&lt;0,MIN(-K249,30),10-K249)-ROW()/100000)</f>
        <v>0</v>
      </c>
      <c r="N249" s="36" t="n"/>
    </row>
    <row r="250">
      <c r="A250" s="23">
        <f>IF(B250="","",ROW()-3)</f>
        <v/>
      </c>
      <c r="B250" s="36" t="n"/>
      <c r="C250" s="36" t="n"/>
      <c r="D250" s="36" t="n"/>
      <c r="E250" s="37" t="n"/>
      <c r="F250" s="38" t="n"/>
      <c r="G250" s="38" t="n"/>
      <c r="H250" s="38" t="n"/>
      <c r="I250" s="36" t="n"/>
      <c r="J250" s="24">
        <f>IF(B250="","",IF(F250*G250&gt;=6,"Alta",IF(F250*G250&gt;=3,"Média","Baixa")))</f>
        <v/>
      </c>
      <c r="K250" s="23">
        <f>IF(OR(B250="",E250=""),"",E250-Config!$B$4)</f>
        <v/>
      </c>
      <c r="L250" s="24">
        <f>IF(B250="","",IF(OR(I250="Feito",I250="Cancelado"),I250,IF(E250="","Sem prazo",IF(K250&lt;0,"Atrasada",IF(K250=0,"Hoje",IF(K250&lt;=6,"Esta semana","Depois"))))))</f>
        <v/>
      </c>
      <c r="M250" s="39">
        <f>IF(OR(B250="",L250="Feito",L250="Cancelado",L250="Sem prazo",L250="Depois"),0,IF(L250="Atrasada",2000,IF(L250="Hoje",1500,500))+F250*G250*100+IF(K250&lt;0,MIN(-K250,30),10-K250)-ROW()/100000)</f>
        <v>0</v>
      </c>
      <c r="N250" s="36" t="n"/>
    </row>
    <row r="251">
      <c r="A251" s="23">
        <f>IF(B251="","",ROW()-3)</f>
        <v/>
      </c>
      <c r="B251" s="36" t="n"/>
      <c r="C251" s="36" t="n"/>
      <c r="D251" s="36" t="n"/>
      <c r="E251" s="37" t="n"/>
      <c r="F251" s="38" t="n"/>
      <c r="G251" s="38" t="n"/>
      <c r="H251" s="38" t="n"/>
      <c r="I251" s="36" t="n"/>
      <c r="J251" s="24">
        <f>IF(B251="","",IF(F251*G251&gt;=6,"Alta",IF(F251*G251&gt;=3,"Média","Baixa")))</f>
        <v/>
      </c>
      <c r="K251" s="23">
        <f>IF(OR(B251="",E251=""),"",E251-Config!$B$4)</f>
        <v/>
      </c>
      <c r="L251" s="24">
        <f>IF(B251="","",IF(OR(I251="Feito",I251="Cancelado"),I251,IF(E251="","Sem prazo",IF(K251&lt;0,"Atrasada",IF(K251=0,"Hoje",IF(K251&lt;=6,"Esta semana","Depois"))))))</f>
        <v/>
      </c>
      <c r="M251" s="39">
        <f>IF(OR(B251="",L251="Feito",L251="Cancelado",L251="Sem prazo",L251="Depois"),0,IF(L251="Atrasada",2000,IF(L251="Hoje",1500,500))+F251*G251*100+IF(K251&lt;0,MIN(-K251,30),10-K251)-ROW()/100000)</f>
        <v>0</v>
      </c>
      <c r="N251" s="36" t="n"/>
    </row>
    <row r="252">
      <c r="A252" s="23">
        <f>IF(B252="","",ROW()-3)</f>
        <v/>
      </c>
      <c r="B252" s="36" t="n"/>
      <c r="C252" s="36" t="n"/>
      <c r="D252" s="36" t="n"/>
      <c r="E252" s="37" t="n"/>
      <c r="F252" s="38" t="n"/>
      <c r="G252" s="38" t="n"/>
      <c r="H252" s="38" t="n"/>
      <c r="I252" s="36" t="n"/>
      <c r="J252" s="24">
        <f>IF(B252="","",IF(F252*G252&gt;=6,"Alta",IF(F252*G252&gt;=3,"Média","Baixa")))</f>
        <v/>
      </c>
      <c r="K252" s="23">
        <f>IF(OR(B252="",E252=""),"",E252-Config!$B$4)</f>
        <v/>
      </c>
      <c r="L252" s="24">
        <f>IF(B252="","",IF(OR(I252="Feito",I252="Cancelado"),I252,IF(E252="","Sem prazo",IF(K252&lt;0,"Atrasada",IF(K252=0,"Hoje",IF(K252&lt;=6,"Esta semana","Depois"))))))</f>
        <v/>
      </c>
      <c r="M252" s="39">
        <f>IF(OR(B252="",L252="Feito",L252="Cancelado",L252="Sem prazo",L252="Depois"),0,IF(L252="Atrasada",2000,IF(L252="Hoje",1500,500))+F252*G252*100+IF(K252&lt;0,MIN(-K252,30),10-K252)-ROW()/100000)</f>
        <v>0</v>
      </c>
      <c r="N252" s="36" t="n"/>
    </row>
    <row r="253">
      <c r="A253" s="23">
        <f>IF(B253="","",ROW()-3)</f>
        <v/>
      </c>
      <c r="B253" s="36" t="n"/>
      <c r="C253" s="36" t="n"/>
      <c r="D253" s="36" t="n"/>
      <c r="E253" s="37" t="n"/>
      <c r="F253" s="38" t="n"/>
      <c r="G253" s="38" t="n"/>
      <c r="H253" s="38" t="n"/>
      <c r="I253" s="36" t="n"/>
      <c r="J253" s="24">
        <f>IF(B253="","",IF(F253*G253&gt;=6,"Alta",IF(F253*G253&gt;=3,"Média","Baixa")))</f>
        <v/>
      </c>
      <c r="K253" s="23">
        <f>IF(OR(B253="",E253=""),"",E253-Config!$B$4)</f>
        <v/>
      </c>
      <c r="L253" s="24">
        <f>IF(B253="","",IF(OR(I253="Feito",I253="Cancelado"),I253,IF(E253="","Sem prazo",IF(K253&lt;0,"Atrasada",IF(K253=0,"Hoje",IF(K253&lt;=6,"Esta semana","Depois"))))))</f>
        <v/>
      </c>
      <c r="M253" s="39">
        <f>IF(OR(B253="",L253="Feito",L253="Cancelado",L253="Sem prazo",L253="Depois"),0,IF(L253="Atrasada",2000,IF(L253="Hoje",1500,500))+F253*G253*100+IF(K253&lt;0,MIN(-K253,30),10-K253)-ROW()/100000)</f>
        <v>0</v>
      </c>
      <c r="N253" s="36" t="n"/>
    </row>
    <row r="254">
      <c r="A254" s="23">
        <f>IF(B254="","",ROW()-3)</f>
        <v/>
      </c>
      <c r="B254" s="36" t="n"/>
      <c r="C254" s="36" t="n"/>
      <c r="D254" s="36" t="n"/>
      <c r="E254" s="37" t="n"/>
      <c r="F254" s="38" t="n"/>
      <c r="G254" s="38" t="n"/>
      <c r="H254" s="38" t="n"/>
      <c r="I254" s="36" t="n"/>
      <c r="J254" s="24">
        <f>IF(B254="","",IF(F254*G254&gt;=6,"Alta",IF(F254*G254&gt;=3,"Média","Baixa")))</f>
        <v/>
      </c>
      <c r="K254" s="23">
        <f>IF(OR(B254="",E254=""),"",E254-Config!$B$4)</f>
        <v/>
      </c>
      <c r="L254" s="24">
        <f>IF(B254="","",IF(OR(I254="Feito",I254="Cancelado"),I254,IF(E254="","Sem prazo",IF(K254&lt;0,"Atrasada",IF(K254=0,"Hoje",IF(K254&lt;=6,"Esta semana","Depois"))))))</f>
        <v/>
      </c>
      <c r="M254" s="39">
        <f>IF(OR(B254="",L254="Feito",L254="Cancelado",L254="Sem prazo",L254="Depois"),0,IF(L254="Atrasada",2000,IF(L254="Hoje",1500,500))+F254*G254*100+IF(K254&lt;0,MIN(-K254,30),10-K254)-ROW()/100000)</f>
        <v>0</v>
      </c>
      <c r="N254" s="36" t="n"/>
    </row>
    <row r="255">
      <c r="A255" s="23">
        <f>IF(B255="","",ROW()-3)</f>
        <v/>
      </c>
      <c r="B255" s="36" t="n"/>
      <c r="C255" s="36" t="n"/>
      <c r="D255" s="36" t="n"/>
      <c r="E255" s="37" t="n"/>
      <c r="F255" s="38" t="n"/>
      <c r="G255" s="38" t="n"/>
      <c r="H255" s="38" t="n"/>
      <c r="I255" s="36" t="n"/>
      <c r="J255" s="24">
        <f>IF(B255="","",IF(F255*G255&gt;=6,"Alta",IF(F255*G255&gt;=3,"Média","Baixa")))</f>
        <v/>
      </c>
      <c r="K255" s="23">
        <f>IF(OR(B255="",E255=""),"",E255-Config!$B$4)</f>
        <v/>
      </c>
      <c r="L255" s="24">
        <f>IF(B255="","",IF(OR(I255="Feito",I255="Cancelado"),I255,IF(E255="","Sem prazo",IF(K255&lt;0,"Atrasada",IF(K255=0,"Hoje",IF(K255&lt;=6,"Esta semana","Depois"))))))</f>
        <v/>
      </c>
      <c r="M255" s="39">
        <f>IF(OR(B255="",L255="Feito",L255="Cancelado",L255="Sem prazo",L255="Depois"),0,IF(L255="Atrasada",2000,IF(L255="Hoje",1500,500))+F255*G255*100+IF(K255&lt;0,MIN(-K255,30),10-K255)-ROW()/100000)</f>
        <v>0</v>
      </c>
      <c r="N255" s="36" t="n"/>
    </row>
    <row r="256">
      <c r="A256" s="23">
        <f>IF(B256="","",ROW()-3)</f>
        <v/>
      </c>
      <c r="B256" s="36" t="n"/>
      <c r="C256" s="36" t="n"/>
      <c r="D256" s="36" t="n"/>
      <c r="E256" s="37" t="n"/>
      <c r="F256" s="38" t="n"/>
      <c r="G256" s="38" t="n"/>
      <c r="H256" s="38" t="n"/>
      <c r="I256" s="36" t="n"/>
      <c r="J256" s="24">
        <f>IF(B256="","",IF(F256*G256&gt;=6,"Alta",IF(F256*G256&gt;=3,"Média","Baixa")))</f>
        <v/>
      </c>
      <c r="K256" s="23">
        <f>IF(OR(B256="",E256=""),"",E256-Config!$B$4)</f>
        <v/>
      </c>
      <c r="L256" s="24">
        <f>IF(B256="","",IF(OR(I256="Feito",I256="Cancelado"),I256,IF(E256="","Sem prazo",IF(K256&lt;0,"Atrasada",IF(K256=0,"Hoje",IF(K256&lt;=6,"Esta semana","Depois"))))))</f>
        <v/>
      </c>
      <c r="M256" s="39">
        <f>IF(OR(B256="",L256="Feito",L256="Cancelado",L256="Sem prazo",L256="Depois"),0,IF(L256="Atrasada",2000,IF(L256="Hoje",1500,500))+F256*G256*100+IF(K256&lt;0,MIN(-K256,30),10-K256)-ROW()/100000)</f>
        <v>0</v>
      </c>
      <c r="N256" s="36" t="n"/>
    </row>
    <row r="257">
      <c r="A257" s="23">
        <f>IF(B257="","",ROW()-3)</f>
        <v/>
      </c>
      <c r="B257" s="36" t="n"/>
      <c r="C257" s="36" t="n"/>
      <c r="D257" s="36" t="n"/>
      <c r="E257" s="37" t="n"/>
      <c r="F257" s="38" t="n"/>
      <c r="G257" s="38" t="n"/>
      <c r="H257" s="38" t="n"/>
      <c r="I257" s="36" t="n"/>
      <c r="J257" s="24">
        <f>IF(B257="","",IF(F257*G257&gt;=6,"Alta",IF(F257*G257&gt;=3,"Média","Baixa")))</f>
        <v/>
      </c>
      <c r="K257" s="23">
        <f>IF(OR(B257="",E257=""),"",E257-Config!$B$4)</f>
        <v/>
      </c>
      <c r="L257" s="24">
        <f>IF(B257="","",IF(OR(I257="Feito",I257="Cancelado"),I257,IF(E257="","Sem prazo",IF(K257&lt;0,"Atrasada",IF(K257=0,"Hoje",IF(K257&lt;=6,"Esta semana","Depois"))))))</f>
        <v/>
      </c>
      <c r="M257" s="39">
        <f>IF(OR(B257="",L257="Feito",L257="Cancelado",L257="Sem prazo",L257="Depois"),0,IF(L257="Atrasada",2000,IF(L257="Hoje",1500,500))+F257*G257*100+IF(K257&lt;0,MIN(-K257,30),10-K257)-ROW()/100000)</f>
        <v>0</v>
      </c>
      <c r="N257" s="36" t="n"/>
    </row>
    <row r="258">
      <c r="A258" s="23">
        <f>IF(B258="","",ROW()-3)</f>
        <v/>
      </c>
      <c r="B258" s="36" t="n"/>
      <c r="C258" s="36" t="n"/>
      <c r="D258" s="36" t="n"/>
      <c r="E258" s="37" t="n"/>
      <c r="F258" s="38" t="n"/>
      <c r="G258" s="38" t="n"/>
      <c r="H258" s="38" t="n"/>
      <c r="I258" s="36" t="n"/>
      <c r="J258" s="24">
        <f>IF(B258="","",IF(F258*G258&gt;=6,"Alta",IF(F258*G258&gt;=3,"Média","Baixa")))</f>
        <v/>
      </c>
      <c r="K258" s="23">
        <f>IF(OR(B258="",E258=""),"",E258-Config!$B$4)</f>
        <v/>
      </c>
      <c r="L258" s="24">
        <f>IF(B258="","",IF(OR(I258="Feito",I258="Cancelado"),I258,IF(E258="","Sem prazo",IF(K258&lt;0,"Atrasada",IF(K258=0,"Hoje",IF(K258&lt;=6,"Esta semana","Depois"))))))</f>
        <v/>
      </c>
      <c r="M258" s="39">
        <f>IF(OR(B258="",L258="Feito",L258="Cancelado",L258="Sem prazo",L258="Depois"),0,IF(L258="Atrasada",2000,IF(L258="Hoje",1500,500))+F258*G258*100+IF(K258&lt;0,MIN(-K258,30),10-K258)-ROW()/100000)</f>
        <v>0</v>
      </c>
      <c r="N258" s="36" t="n"/>
    </row>
    <row r="259">
      <c r="A259" s="23">
        <f>IF(B259="","",ROW()-3)</f>
        <v/>
      </c>
      <c r="B259" s="36" t="n"/>
      <c r="C259" s="36" t="n"/>
      <c r="D259" s="36" t="n"/>
      <c r="E259" s="37" t="n"/>
      <c r="F259" s="38" t="n"/>
      <c r="G259" s="38" t="n"/>
      <c r="H259" s="38" t="n"/>
      <c r="I259" s="36" t="n"/>
      <c r="J259" s="24">
        <f>IF(B259="","",IF(F259*G259&gt;=6,"Alta",IF(F259*G259&gt;=3,"Média","Baixa")))</f>
        <v/>
      </c>
      <c r="K259" s="23">
        <f>IF(OR(B259="",E259=""),"",E259-Config!$B$4)</f>
        <v/>
      </c>
      <c r="L259" s="24">
        <f>IF(B259="","",IF(OR(I259="Feito",I259="Cancelado"),I259,IF(E259="","Sem prazo",IF(K259&lt;0,"Atrasada",IF(K259=0,"Hoje",IF(K259&lt;=6,"Esta semana","Depois"))))))</f>
        <v/>
      </c>
      <c r="M259" s="39">
        <f>IF(OR(B259="",L259="Feito",L259="Cancelado",L259="Sem prazo",L259="Depois"),0,IF(L259="Atrasada",2000,IF(L259="Hoje",1500,500))+F259*G259*100+IF(K259&lt;0,MIN(-K259,30),10-K259)-ROW()/100000)</f>
        <v>0</v>
      </c>
      <c r="N259" s="36" t="n"/>
    </row>
    <row r="260">
      <c r="A260" s="23">
        <f>IF(B260="","",ROW()-3)</f>
        <v/>
      </c>
      <c r="B260" s="36" t="n"/>
      <c r="C260" s="36" t="n"/>
      <c r="D260" s="36" t="n"/>
      <c r="E260" s="37" t="n"/>
      <c r="F260" s="38" t="n"/>
      <c r="G260" s="38" t="n"/>
      <c r="H260" s="38" t="n"/>
      <c r="I260" s="36" t="n"/>
      <c r="J260" s="24">
        <f>IF(B260="","",IF(F260*G260&gt;=6,"Alta",IF(F260*G260&gt;=3,"Média","Baixa")))</f>
        <v/>
      </c>
      <c r="K260" s="23">
        <f>IF(OR(B260="",E260=""),"",E260-Config!$B$4)</f>
        <v/>
      </c>
      <c r="L260" s="24">
        <f>IF(B260="","",IF(OR(I260="Feito",I260="Cancelado"),I260,IF(E260="","Sem prazo",IF(K260&lt;0,"Atrasada",IF(K260=0,"Hoje",IF(K260&lt;=6,"Esta semana","Depois"))))))</f>
        <v/>
      </c>
      <c r="M260" s="39">
        <f>IF(OR(B260="",L260="Feito",L260="Cancelado",L260="Sem prazo",L260="Depois"),0,IF(L260="Atrasada",2000,IF(L260="Hoje",1500,500))+F260*G260*100+IF(K260&lt;0,MIN(-K260,30),10-K260)-ROW()/100000)</f>
        <v>0</v>
      </c>
      <c r="N260" s="36" t="n"/>
    </row>
    <row r="261">
      <c r="A261" s="23">
        <f>IF(B261="","",ROW()-3)</f>
        <v/>
      </c>
      <c r="B261" s="36" t="n"/>
      <c r="C261" s="36" t="n"/>
      <c r="D261" s="36" t="n"/>
      <c r="E261" s="37" t="n"/>
      <c r="F261" s="38" t="n"/>
      <c r="G261" s="38" t="n"/>
      <c r="H261" s="38" t="n"/>
      <c r="I261" s="36" t="n"/>
      <c r="J261" s="24">
        <f>IF(B261="","",IF(F261*G261&gt;=6,"Alta",IF(F261*G261&gt;=3,"Média","Baixa")))</f>
        <v/>
      </c>
      <c r="K261" s="23">
        <f>IF(OR(B261="",E261=""),"",E261-Config!$B$4)</f>
        <v/>
      </c>
      <c r="L261" s="24">
        <f>IF(B261="","",IF(OR(I261="Feito",I261="Cancelado"),I261,IF(E261="","Sem prazo",IF(K261&lt;0,"Atrasada",IF(K261=0,"Hoje",IF(K261&lt;=6,"Esta semana","Depois"))))))</f>
        <v/>
      </c>
      <c r="M261" s="39">
        <f>IF(OR(B261="",L261="Feito",L261="Cancelado",L261="Sem prazo",L261="Depois"),0,IF(L261="Atrasada",2000,IF(L261="Hoje",1500,500))+F261*G261*100+IF(K261&lt;0,MIN(-K261,30),10-K261)-ROW()/100000)</f>
        <v>0</v>
      </c>
      <c r="N261" s="36" t="n"/>
    </row>
    <row r="262">
      <c r="A262" s="23">
        <f>IF(B262="","",ROW()-3)</f>
        <v/>
      </c>
      <c r="B262" s="36" t="n"/>
      <c r="C262" s="36" t="n"/>
      <c r="D262" s="36" t="n"/>
      <c r="E262" s="37" t="n"/>
      <c r="F262" s="38" t="n"/>
      <c r="G262" s="38" t="n"/>
      <c r="H262" s="38" t="n"/>
      <c r="I262" s="36" t="n"/>
      <c r="J262" s="24">
        <f>IF(B262="","",IF(F262*G262&gt;=6,"Alta",IF(F262*G262&gt;=3,"Média","Baixa")))</f>
        <v/>
      </c>
      <c r="K262" s="23">
        <f>IF(OR(B262="",E262=""),"",E262-Config!$B$4)</f>
        <v/>
      </c>
      <c r="L262" s="24">
        <f>IF(B262="","",IF(OR(I262="Feito",I262="Cancelado"),I262,IF(E262="","Sem prazo",IF(K262&lt;0,"Atrasada",IF(K262=0,"Hoje",IF(K262&lt;=6,"Esta semana","Depois"))))))</f>
        <v/>
      </c>
      <c r="M262" s="39">
        <f>IF(OR(B262="",L262="Feito",L262="Cancelado",L262="Sem prazo",L262="Depois"),0,IF(L262="Atrasada",2000,IF(L262="Hoje",1500,500))+F262*G262*100+IF(K262&lt;0,MIN(-K262,30),10-K262)-ROW()/100000)</f>
        <v>0</v>
      </c>
      <c r="N262" s="36" t="n"/>
    </row>
    <row r="263">
      <c r="A263" s="23">
        <f>IF(B263="","",ROW()-3)</f>
        <v/>
      </c>
      <c r="B263" s="36" t="n"/>
      <c r="C263" s="36" t="n"/>
      <c r="D263" s="36" t="n"/>
      <c r="E263" s="37" t="n"/>
      <c r="F263" s="38" t="n"/>
      <c r="G263" s="38" t="n"/>
      <c r="H263" s="38" t="n"/>
      <c r="I263" s="36" t="n"/>
      <c r="J263" s="24">
        <f>IF(B263="","",IF(F263*G263&gt;=6,"Alta",IF(F263*G263&gt;=3,"Média","Baixa")))</f>
        <v/>
      </c>
      <c r="K263" s="23">
        <f>IF(OR(B263="",E263=""),"",E263-Config!$B$4)</f>
        <v/>
      </c>
      <c r="L263" s="24">
        <f>IF(B263="","",IF(OR(I263="Feito",I263="Cancelado"),I263,IF(E263="","Sem prazo",IF(K263&lt;0,"Atrasada",IF(K263=0,"Hoje",IF(K263&lt;=6,"Esta semana","Depois"))))))</f>
        <v/>
      </c>
      <c r="M263" s="39">
        <f>IF(OR(B263="",L263="Feito",L263="Cancelado",L263="Sem prazo",L263="Depois"),0,IF(L263="Atrasada",2000,IF(L263="Hoje",1500,500))+F263*G263*100+IF(K263&lt;0,MIN(-K263,30),10-K263)-ROW()/100000)</f>
        <v>0</v>
      </c>
      <c r="N263" s="36" t="n"/>
    </row>
    <row r="264">
      <c r="A264" s="23">
        <f>IF(B264="","",ROW()-3)</f>
        <v/>
      </c>
      <c r="B264" s="36" t="n"/>
      <c r="C264" s="36" t="n"/>
      <c r="D264" s="36" t="n"/>
      <c r="E264" s="37" t="n"/>
      <c r="F264" s="38" t="n"/>
      <c r="G264" s="38" t="n"/>
      <c r="H264" s="38" t="n"/>
      <c r="I264" s="36" t="n"/>
      <c r="J264" s="24">
        <f>IF(B264="","",IF(F264*G264&gt;=6,"Alta",IF(F264*G264&gt;=3,"Média","Baixa")))</f>
        <v/>
      </c>
      <c r="K264" s="23">
        <f>IF(OR(B264="",E264=""),"",E264-Config!$B$4)</f>
        <v/>
      </c>
      <c r="L264" s="24">
        <f>IF(B264="","",IF(OR(I264="Feito",I264="Cancelado"),I264,IF(E264="","Sem prazo",IF(K264&lt;0,"Atrasada",IF(K264=0,"Hoje",IF(K264&lt;=6,"Esta semana","Depois"))))))</f>
        <v/>
      </c>
      <c r="M264" s="39">
        <f>IF(OR(B264="",L264="Feito",L264="Cancelado",L264="Sem prazo",L264="Depois"),0,IF(L264="Atrasada",2000,IF(L264="Hoje",1500,500))+F264*G264*100+IF(K264&lt;0,MIN(-K264,30),10-K264)-ROW()/100000)</f>
        <v>0</v>
      </c>
      <c r="N264" s="36" t="n"/>
    </row>
    <row r="265">
      <c r="A265" s="23">
        <f>IF(B265="","",ROW()-3)</f>
        <v/>
      </c>
      <c r="B265" s="36" t="n"/>
      <c r="C265" s="36" t="n"/>
      <c r="D265" s="36" t="n"/>
      <c r="E265" s="37" t="n"/>
      <c r="F265" s="38" t="n"/>
      <c r="G265" s="38" t="n"/>
      <c r="H265" s="38" t="n"/>
      <c r="I265" s="36" t="n"/>
      <c r="J265" s="24">
        <f>IF(B265="","",IF(F265*G265&gt;=6,"Alta",IF(F265*G265&gt;=3,"Média","Baixa")))</f>
        <v/>
      </c>
      <c r="K265" s="23">
        <f>IF(OR(B265="",E265=""),"",E265-Config!$B$4)</f>
        <v/>
      </c>
      <c r="L265" s="24">
        <f>IF(B265="","",IF(OR(I265="Feito",I265="Cancelado"),I265,IF(E265="","Sem prazo",IF(K265&lt;0,"Atrasada",IF(K265=0,"Hoje",IF(K265&lt;=6,"Esta semana","Depois"))))))</f>
        <v/>
      </c>
      <c r="M265" s="39">
        <f>IF(OR(B265="",L265="Feito",L265="Cancelado",L265="Sem prazo",L265="Depois"),0,IF(L265="Atrasada",2000,IF(L265="Hoje",1500,500))+F265*G265*100+IF(K265&lt;0,MIN(-K265,30),10-K265)-ROW()/100000)</f>
        <v>0</v>
      </c>
      <c r="N265" s="36" t="n"/>
    </row>
    <row r="266">
      <c r="A266" s="23">
        <f>IF(B266="","",ROW()-3)</f>
        <v/>
      </c>
      <c r="B266" s="36" t="n"/>
      <c r="C266" s="36" t="n"/>
      <c r="D266" s="36" t="n"/>
      <c r="E266" s="37" t="n"/>
      <c r="F266" s="38" t="n"/>
      <c r="G266" s="38" t="n"/>
      <c r="H266" s="38" t="n"/>
      <c r="I266" s="36" t="n"/>
      <c r="J266" s="24">
        <f>IF(B266="","",IF(F266*G266&gt;=6,"Alta",IF(F266*G266&gt;=3,"Média","Baixa")))</f>
        <v/>
      </c>
      <c r="K266" s="23">
        <f>IF(OR(B266="",E266=""),"",E266-Config!$B$4)</f>
        <v/>
      </c>
      <c r="L266" s="24">
        <f>IF(B266="","",IF(OR(I266="Feito",I266="Cancelado"),I266,IF(E266="","Sem prazo",IF(K266&lt;0,"Atrasada",IF(K266=0,"Hoje",IF(K266&lt;=6,"Esta semana","Depois"))))))</f>
        <v/>
      </c>
      <c r="M266" s="39">
        <f>IF(OR(B266="",L266="Feito",L266="Cancelado",L266="Sem prazo",L266="Depois"),0,IF(L266="Atrasada",2000,IF(L266="Hoje",1500,500))+F266*G266*100+IF(K266&lt;0,MIN(-K266,30),10-K266)-ROW()/100000)</f>
        <v>0</v>
      </c>
      <c r="N266" s="36" t="n"/>
    </row>
    <row r="267">
      <c r="A267" s="23">
        <f>IF(B267="","",ROW()-3)</f>
        <v/>
      </c>
      <c r="B267" s="36" t="n"/>
      <c r="C267" s="36" t="n"/>
      <c r="D267" s="36" t="n"/>
      <c r="E267" s="37" t="n"/>
      <c r="F267" s="38" t="n"/>
      <c r="G267" s="38" t="n"/>
      <c r="H267" s="38" t="n"/>
      <c r="I267" s="36" t="n"/>
      <c r="J267" s="24">
        <f>IF(B267="","",IF(F267*G267&gt;=6,"Alta",IF(F267*G267&gt;=3,"Média","Baixa")))</f>
        <v/>
      </c>
      <c r="K267" s="23">
        <f>IF(OR(B267="",E267=""),"",E267-Config!$B$4)</f>
        <v/>
      </c>
      <c r="L267" s="24">
        <f>IF(B267="","",IF(OR(I267="Feito",I267="Cancelado"),I267,IF(E267="","Sem prazo",IF(K267&lt;0,"Atrasada",IF(K267=0,"Hoje",IF(K267&lt;=6,"Esta semana","Depois"))))))</f>
        <v/>
      </c>
      <c r="M267" s="39">
        <f>IF(OR(B267="",L267="Feito",L267="Cancelado",L267="Sem prazo",L267="Depois"),0,IF(L267="Atrasada",2000,IF(L267="Hoje",1500,500))+F267*G267*100+IF(K267&lt;0,MIN(-K267,30),10-K267)-ROW()/100000)</f>
        <v>0</v>
      </c>
      <c r="N267" s="36" t="n"/>
    </row>
    <row r="268">
      <c r="A268" s="23">
        <f>IF(B268="","",ROW()-3)</f>
        <v/>
      </c>
      <c r="B268" s="36" t="n"/>
      <c r="C268" s="36" t="n"/>
      <c r="D268" s="36" t="n"/>
      <c r="E268" s="37" t="n"/>
      <c r="F268" s="38" t="n"/>
      <c r="G268" s="38" t="n"/>
      <c r="H268" s="38" t="n"/>
      <c r="I268" s="36" t="n"/>
      <c r="J268" s="24">
        <f>IF(B268="","",IF(F268*G268&gt;=6,"Alta",IF(F268*G268&gt;=3,"Média","Baixa")))</f>
        <v/>
      </c>
      <c r="K268" s="23">
        <f>IF(OR(B268="",E268=""),"",E268-Config!$B$4)</f>
        <v/>
      </c>
      <c r="L268" s="24">
        <f>IF(B268="","",IF(OR(I268="Feito",I268="Cancelado"),I268,IF(E268="","Sem prazo",IF(K268&lt;0,"Atrasada",IF(K268=0,"Hoje",IF(K268&lt;=6,"Esta semana","Depois"))))))</f>
        <v/>
      </c>
      <c r="M268" s="39">
        <f>IF(OR(B268="",L268="Feito",L268="Cancelado",L268="Sem prazo",L268="Depois"),0,IF(L268="Atrasada",2000,IF(L268="Hoje",1500,500))+F268*G268*100+IF(K268&lt;0,MIN(-K268,30),10-K268)-ROW()/100000)</f>
        <v>0</v>
      </c>
      <c r="N268" s="36" t="n"/>
    </row>
    <row r="269">
      <c r="A269" s="23">
        <f>IF(B269="","",ROW()-3)</f>
        <v/>
      </c>
      <c r="B269" s="36" t="n"/>
      <c r="C269" s="36" t="n"/>
      <c r="D269" s="36" t="n"/>
      <c r="E269" s="37" t="n"/>
      <c r="F269" s="38" t="n"/>
      <c r="G269" s="38" t="n"/>
      <c r="H269" s="38" t="n"/>
      <c r="I269" s="36" t="n"/>
      <c r="J269" s="24">
        <f>IF(B269="","",IF(F269*G269&gt;=6,"Alta",IF(F269*G269&gt;=3,"Média","Baixa")))</f>
        <v/>
      </c>
      <c r="K269" s="23">
        <f>IF(OR(B269="",E269=""),"",E269-Config!$B$4)</f>
        <v/>
      </c>
      <c r="L269" s="24">
        <f>IF(B269="","",IF(OR(I269="Feito",I269="Cancelado"),I269,IF(E269="","Sem prazo",IF(K269&lt;0,"Atrasada",IF(K269=0,"Hoje",IF(K269&lt;=6,"Esta semana","Depois"))))))</f>
        <v/>
      </c>
      <c r="M269" s="39">
        <f>IF(OR(B269="",L269="Feito",L269="Cancelado",L269="Sem prazo",L269="Depois"),0,IF(L269="Atrasada",2000,IF(L269="Hoje",1500,500))+F269*G269*100+IF(K269&lt;0,MIN(-K269,30),10-K269)-ROW()/100000)</f>
        <v>0</v>
      </c>
      <c r="N269" s="36" t="n"/>
    </row>
    <row r="270">
      <c r="A270" s="23">
        <f>IF(B270="","",ROW()-3)</f>
        <v/>
      </c>
      <c r="B270" s="36" t="n"/>
      <c r="C270" s="36" t="n"/>
      <c r="D270" s="36" t="n"/>
      <c r="E270" s="37" t="n"/>
      <c r="F270" s="38" t="n"/>
      <c r="G270" s="38" t="n"/>
      <c r="H270" s="38" t="n"/>
      <c r="I270" s="36" t="n"/>
      <c r="J270" s="24">
        <f>IF(B270="","",IF(F270*G270&gt;=6,"Alta",IF(F270*G270&gt;=3,"Média","Baixa")))</f>
        <v/>
      </c>
      <c r="K270" s="23">
        <f>IF(OR(B270="",E270=""),"",E270-Config!$B$4)</f>
        <v/>
      </c>
      <c r="L270" s="24">
        <f>IF(B270="","",IF(OR(I270="Feito",I270="Cancelado"),I270,IF(E270="","Sem prazo",IF(K270&lt;0,"Atrasada",IF(K270=0,"Hoje",IF(K270&lt;=6,"Esta semana","Depois"))))))</f>
        <v/>
      </c>
      <c r="M270" s="39">
        <f>IF(OR(B270="",L270="Feito",L270="Cancelado",L270="Sem prazo",L270="Depois"),0,IF(L270="Atrasada",2000,IF(L270="Hoje",1500,500))+F270*G270*100+IF(K270&lt;0,MIN(-K270,30),10-K270)-ROW()/100000)</f>
        <v>0</v>
      </c>
      <c r="N270" s="36" t="n"/>
    </row>
    <row r="271">
      <c r="A271" s="23">
        <f>IF(B271="","",ROW()-3)</f>
        <v/>
      </c>
      <c r="B271" s="36" t="n"/>
      <c r="C271" s="36" t="n"/>
      <c r="D271" s="36" t="n"/>
      <c r="E271" s="37" t="n"/>
      <c r="F271" s="38" t="n"/>
      <c r="G271" s="38" t="n"/>
      <c r="H271" s="38" t="n"/>
      <c r="I271" s="36" t="n"/>
      <c r="J271" s="24">
        <f>IF(B271="","",IF(F271*G271&gt;=6,"Alta",IF(F271*G271&gt;=3,"Média","Baixa")))</f>
        <v/>
      </c>
      <c r="K271" s="23">
        <f>IF(OR(B271="",E271=""),"",E271-Config!$B$4)</f>
        <v/>
      </c>
      <c r="L271" s="24">
        <f>IF(B271="","",IF(OR(I271="Feito",I271="Cancelado"),I271,IF(E271="","Sem prazo",IF(K271&lt;0,"Atrasada",IF(K271=0,"Hoje",IF(K271&lt;=6,"Esta semana","Depois"))))))</f>
        <v/>
      </c>
      <c r="M271" s="39">
        <f>IF(OR(B271="",L271="Feito",L271="Cancelado",L271="Sem prazo",L271="Depois"),0,IF(L271="Atrasada",2000,IF(L271="Hoje",1500,500))+F271*G271*100+IF(K271&lt;0,MIN(-K271,30),10-K271)-ROW()/100000)</f>
        <v>0</v>
      </c>
      <c r="N271" s="36" t="n"/>
    </row>
    <row r="272">
      <c r="A272" s="23">
        <f>IF(B272="","",ROW()-3)</f>
        <v/>
      </c>
      <c r="B272" s="36" t="n"/>
      <c r="C272" s="36" t="n"/>
      <c r="D272" s="36" t="n"/>
      <c r="E272" s="37" t="n"/>
      <c r="F272" s="38" t="n"/>
      <c r="G272" s="38" t="n"/>
      <c r="H272" s="38" t="n"/>
      <c r="I272" s="36" t="n"/>
      <c r="J272" s="24">
        <f>IF(B272="","",IF(F272*G272&gt;=6,"Alta",IF(F272*G272&gt;=3,"Média","Baixa")))</f>
        <v/>
      </c>
      <c r="K272" s="23">
        <f>IF(OR(B272="",E272=""),"",E272-Config!$B$4)</f>
        <v/>
      </c>
      <c r="L272" s="24">
        <f>IF(B272="","",IF(OR(I272="Feito",I272="Cancelado"),I272,IF(E272="","Sem prazo",IF(K272&lt;0,"Atrasada",IF(K272=0,"Hoje",IF(K272&lt;=6,"Esta semana","Depois"))))))</f>
        <v/>
      </c>
      <c r="M272" s="39">
        <f>IF(OR(B272="",L272="Feito",L272="Cancelado",L272="Sem prazo",L272="Depois"),0,IF(L272="Atrasada",2000,IF(L272="Hoje",1500,500))+F272*G272*100+IF(K272&lt;0,MIN(-K272,30),10-K272)-ROW()/100000)</f>
        <v>0</v>
      </c>
      <c r="N272" s="36" t="n"/>
    </row>
    <row r="273">
      <c r="A273" s="23">
        <f>IF(B273="","",ROW()-3)</f>
        <v/>
      </c>
      <c r="B273" s="36" t="n"/>
      <c r="C273" s="36" t="n"/>
      <c r="D273" s="36" t="n"/>
      <c r="E273" s="37" t="n"/>
      <c r="F273" s="38" t="n"/>
      <c r="G273" s="38" t="n"/>
      <c r="H273" s="38" t="n"/>
      <c r="I273" s="36" t="n"/>
      <c r="J273" s="24">
        <f>IF(B273="","",IF(F273*G273&gt;=6,"Alta",IF(F273*G273&gt;=3,"Média","Baixa")))</f>
        <v/>
      </c>
      <c r="K273" s="23">
        <f>IF(OR(B273="",E273=""),"",E273-Config!$B$4)</f>
        <v/>
      </c>
      <c r="L273" s="24">
        <f>IF(B273="","",IF(OR(I273="Feito",I273="Cancelado"),I273,IF(E273="","Sem prazo",IF(K273&lt;0,"Atrasada",IF(K273=0,"Hoje",IF(K273&lt;=6,"Esta semana","Depois"))))))</f>
        <v/>
      </c>
      <c r="M273" s="39">
        <f>IF(OR(B273="",L273="Feito",L273="Cancelado",L273="Sem prazo",L273="Depois"),0,IF(L273="Atrasada",2000,IF(L273="Hoje",1500,500))+F273*G273*100+IF(K273&lt;0,MIN(-K273,30),10-K273)-ROW()/100000)</f>
        <v>0</v>
      </c>
      <c r="N273" s="36" t="n"/>
    </row>
    <row r="274">
      <c r="A274" s="23">
        <f>IF(B274="","",ROW()-3)</f>
        <v/>
      </c>
      <c r="B274" s="36" t="n"/>
      <c r="C274" s="36" t="n"/>
      <c r="D274" s="36" t="n"/>
      <c r="E274" s="37" t="n"/>
      <c r="F274" s="38" t="n"/>
      <c r="G274" s="38" t="n"/>
      <c r="H274" s="38" t="n"/>
      <c r="I274" s="36" t="n"/>
      <c r="J274" s="24">
        <f>IF(B274="","",IF(F274*G274&gt;=6,"Alta",IF(F274*G274&gt;=3,"Média","Baixa")))</f>
        <v/>
      </c>
      <c r="K274" s="23">
        <f>IF(OR(B274="",E274=""),"",E274-Config!$B$4)</f>
        <v/>
      </c>
      <c r="L274" s="24">
        <f>IF(B274="","",IF(OR(I274="Feito",I274="Cancelado"),I274,IF(E274="","Sem prazo",IF(K274&lt;0,"Atrasada",IF(K274=0,"Hoje",IF(K274&lt;=6,"Esta semana","Depois"))))))</f>
        <v/>
      </c>
      <c r="M274" s="39">
        <f>IF(OR(B274="",L274="Feito",L274="Cancelado",L274="Sem prazo",L274="Depois"),0,IF(L274="Atrasada",2000,IF(L274="Hoje",1500,500))+F274*G274*100+IF(K274&lt;0,MIN(-K274,30),10-K274)-ROW()/100000)</f>
        <v>0</v>
      </c>
      <c r="N274" s="36" t="n"/>
    </row>
    <row r="275">
      <c r="A275" s="23">
        <f>IF(B275="","",ROW()-3)</f>
        <v/>
      </c>
      <c r="B275" s="36" t="n"/>
      <c r="C275" s="36" t="n"/>
      <c r="D275" s="36" t="n"/>
      <c r="E275" s="37" t="n"/>
      <c r="F275" s="38" t="n"/>
      <c r="G275" s="38" t="n"/>
      <c r="H275" s="38" t="n"/>
      <c r="I275" s="36" t="n"/>
      <c r="J275" s="24">
        <f>IF(B275="","",IF(F275*G275&gt;=6,"Alta",IF(F275*G275&gt;=3,"Média","Baixa")))</f>
        <v/>
      </c>
      <c r="K275" s="23">
        <f>IF(OR(B275="",E275=""),"",E275-Config!$B$4)</f>
        <v/>
      </c>
      <c r="L275" s="24">
        <f>IF(B275="","",IF(OR(I275="Feito",I275="Cancelado"),I275,IF(E275="","Sem prazo",IF(K275&lt;0,"Atrasada",IF(K275=0,"Hoje",IF(K275&lt;=6,"Esta semana","Depois"))))))</f>
        <v/>
      </c>
      <c r="M275" s="39">
        <f>IF(OR(B275="",L275="Feito",L275="Cancelado",L275="Sem prazo",L275="Depois"),0,IF(L275="Atrasada",2000,IF(L275="Hoje",1500,500))+F275*G275*100+IF(K275&lt;0,MIN(-K275,30),10-K275)-ROW()/100000)</f>
        <v>0</v>
      </c>
      <c r="N275" s="36" t="n"/>
    </row>
    <row r="276">
      <c r="A276" s="23">
        <f>IF(B276="","",ROW()-3)</f>
        <v/>
      </c>
      <c r="B276" s="36" t="n"/>
      <c r="C276" s="36" t="n"/>
      <c r="D276" s="36" t="n"/>
      <c r="E276" s="37" t="n"/>
      <c r="F276" s="38" t="n"/>
      <c r="G276" s="38" t="n"/>
      <c r="H276" s="38" t="n"/>
      <c r="I276" s="36" t="n"/>
      <c r="J276" s="24">
        <f>IF(B276="","",IF(F276*G276&gt;=6,"Alta",IF(F276*G276&gt;=3,"Média","Baixa")))</f>
        <v/>
      </c>
      <c r="K276" s="23">
        <f>IF(OR(B276="",E276=""),"",E276-Config!$B$4)</f>
        <v/>
      </c>
      <c r="L276" s="24">
        <f>IF(B276="","",IF(OR(I276="Feito",I276="Cancelado"),I276,IF(E276="","Sem prazo",IF(K276&lt;0,"Atrasada",IF(K276=0,"Hoje",IF(K276&lt;=6,"Esta semana","Depois"))))))</f>
        <v/>
      </c>
      <c r="M276" s="39">
        <f>IF(OR(B276="",L276="Feito",L276="Cancelado",L276="Sem prazo",L276="Depois"),0,IF(L276="Atrasada",2000,IF(L276="Hoje",1500,500))+F276*G276*100+IF(K276&lt;0,MIN(-K276,30),10-K276)-ROW()/100000)</f>
        <v>0</v>
      </c>
      <c r="N276" s="36" t="n"/>
    </row>
    <row r="277">
      <c r="A277" s="23">
        <f>IF(B277="","",ROW()-3)</f>
        <v/>
      </c>
      <c r="B277" s="36" t="n"/>
      <c r="C277" s="36" t="n"/>
      <c r="D277" s="36" t="n"/>
      <c r="E277" s="37" t="n"/>
      <c r="F277" s="38" t="n"/>
      <c r="G277" s="38" t="n"/>
      <c r="H277" s="38" t="n"/>
      <c r="I277" s="36" t="n"/>
      <c r="J277" s="24">
        <f>IF(B277="","",IF(F277*G277&gt;=6,"Alta",IF(F277*G277&gt;=3,"Média","Baixa")))</f>
        <v/>
      </c>
      <c r="K277" s="23">
        <f>IF(OR(B277="",E277=""),"",E277-Config!$B$4)</f>
        <v/>
      </c>
      <c r="L277" s="24">
        <f>IF(B277="","",IF(OR(I277="Feito",I277="Cancelado"),I277,IF(E277="","Sem prazo",IF(K277&lt;0,"Atrasada",IF(K277=0,"Hoje",IF(K277&lt;=6,"Esta semana","Depois"))))))</f>
        <v/>
      </c>
      <c r="M277" s="39">
        <f>IF(OR(B277="",L277="Feito",L277="Cancelado",L277="Sem prazo",L277="Depois"),0,IF(L277="Atrasada",2000,IF(L277="Hoje",1500,500))+F277*G277*100+IF(K277&lt;0,MIN(-K277,30),10-K277)-ROW()/100000)</f>
        <v>0</v>
      </c>
      <c r="N277" s="36" t="n"/>
    </row>
    <row r="278">
      <c r="A278" s="23">
        <f>IF(B278="","",ROW()-3)</f>
        <v/>
      </c>
      <c r="B278" s="36" t="n"/>
      <c r="C278" s="36" t="n"/>
      <c r="D278" s="36" t="n"/>
      <c r="E278" s="37" t="n"/>
      <c r="F278" s="38" t="n"/>
      <c r="G278" s="38" t="n"/>
      <c r="H278" s="38" t="n"/>
      <c r="I278" s="36" t="n"/>
      <c r="J278" s="24">
        <f>IF(B278="","",IF(F278*G278&gt;=6,"Alta",IF(F278*G278&gt;=3,"Média","Baixa")))</f>
        <v/>
      </c>
      <c r="K278" s="23">
        <f>IF(OR(B278="",E278=""),"",E278-Config!$B$4)</f>
        <v/>
      </c>
      <c r="L278" s="24">
        <f>IF(B278="","",IF(OR(I278="Feito",I278="Cancelado"),I278,IF(E278="","Sem prazo",IF(K278&lt;0,"Atrasada",IF(K278=0,"Hoje",IF(K278&lt;=6,"Esta semana","Depois"))))))</f>
        <v/>
      </c>
      <c r="M278" s="39">
        <f>IF(OR(B278="",L278="Feito",L278="Cancelado",L278="Sem prazo",L278="Depois"),0,IF(L278="Atrasada",2000,IF(L278="Hoje",1500,500))+F278*G278*100+IF(K278&lt;0,MIN(-K278,30),10-K278)-ROW()/100000)</f>
        <v>0</v>
      </c>
      <c r="N278" s="36" t="n"/>
    </row>
    <row r="279">
      <c r="A279" s="23">
        <f>IF(B279="","",ROW()-3)</f>
        <v/>
      </c>
      <c r="B279" s="36" t="n"/>
      <c r="C279" s="36" t="n"/>
      <c r="D279" s="36" t="n"/>
      <c r="E279" s="37" t="n"/>
      <c r="F279" s="38" t="n"/>
      <c r="G279" s="38" t="n"/>
      <c r="H279" s="38" t="n"/>
      <c r="I279" s="36" t="n"/>
      <c r="J279" s="24">
        <f>IF(B279="","",IF(F279*G279&gt;=6,"Alta",IF(F279*G279&gt;=3,"Média","Baixa")))</f>
        <v/>
      </c>
      <c r="K279" s="23">
        <f>IF(OR(B279="",E279=""),"",E279-Config!$B$4)</f>
        <v/>
      </c>
      <c r="L279" s="24">
        <f>IF(B279="","",IF(OR(I279="Feito",I279="Cancelado"),I279,IF(E279="","Sem prazo",IF(K279&lt;0,"Atrasada",IF(K279=0,"Hoje",IF(K279&lt;=6,"Esta semana","Depois"))))))</f>
        <v/>
      </c>
      <c r="M279" s="39">
        <f>IF(OR(B279="",L279="Feito",L279="Cancelado",L279="Sem prazo",L279="Depois"),0,IF(L279="Atrasada",2000,IF(L279="Hoje",1500,500))+F279*G279*100+IF(K279&lt;0,MIN(-K279,30),10-K279)-ROW()/100000)</f>
        <v>0</v>
      </c>
      <c r="N279" s="36" t="n"/>
    </row>
    <row r="280">
      <c r="A280" s="23">
        <f>IF(B280="","",ROW()-3)</f>
        <v/>
      </c>
      <c r="B280" s="36" t="n"/>
      <c r="C280" s="36" t="n"/>
      <c r="D280" s="36" t="n"/>
      <c r="E280" s="37" t="n"/>
      <c r="F280" s="38" t="n"/>
      <c r="G280" s="38" t="n"/>
      <c r="H280" s="38" t="n"/>
      <c r="I280" s="36" t="n"/>
      <c r="J280" s="24">
        <f>IF(B280="","",IF(F280*G280&gt;=6,"Alta",IF(F280*G280&gt;=3,"Média","Baixa")))</f>
        <v/>
      </c>
      <c r="K280" s="23">
        <f>IF(OR(B280="",E280=""),"",E280-Config!$B$4)</f>
        <v/>
      </c>
      <c r="L280" s="24">
        <f>IF(B280="","",IF(OR(I280="Feito",I280="Cancelado"),I280,IF(E280="","Sem prazo",IF(K280&lt;0,"Atrasada",IF(K280=0,"Hoje",IF(K280&lt;=6,"Esta semana","Depois"))))))</f>
        <v/>
      </c>
      <c r="M280" s="39">
        <f>IF(OR(B280="",L280="Feito",L280="Cancelado",L280="Sem prazo",L280="Depois"),0,IF(L280="Atrasada",2000,IF(L280="Hoje",1500,500))+F280*G280*100+IF(K280&lt;0,MIN(-K280,30),10-K280)-ROW()/100000)</f>
        <v>0</v>
      </c>
      <c r="N280" s="36" t="n"/>
    </row>
    <row r="281">
      <c r="A281" s="23">
        <f>IF(B281="","",ROW()-3)</f>
        <v/>
      </c>
      <c r="B281" s="36" t="n"/>
      <c r="C281" s="36" t="n"/>
      <c r="D281" s="36" t="n"/>
      <c r="E281" s="37" t="n"/>
      <c r="F281" s="38" t="n"/>
      <c r="G281" s="38" t="n"/>
      <c r="H281" s="38" t="n"/>
      <c r="I281" s="36" t="n"/>
      <c r="J281" s="24">
        <f>IF(B281="","",IF(F281*G281&gt;=6,"Alta",IF(F281*G281&gt;=3,"Média","Baixa")))</f>
        <v/>
      </c>
      <c r="K281" s="23">
        <f>IF(OR(B281="",E281=""),"",E281-Config!$B$4)</f>
        <v/>
      </c>
      <c r="L281" s="24">
        <f>IF(B281="","",IF(OR(I281="Feito",I281="Cancelado"),I281,IF(E281="","Sem prazo",IF(K281&lt;0,"Atrasada",IF(K281=0,"Hoje",IF(K281&lt;=6,"Esta semana","Depois"))))))</f>
        <v/>
      </c>
      <c r="M281" s="39">
        <f>IF(OR(B281="",L281="Feito",L281="Cancelado",L281="Sem prazo",L281="Depois"),0,IF(L281="Atrasada",2000,IF(L281="Hoje",1500,500))+F281*G281*100+IF(K281&lt;0,MIN(-K281,30),10-K281)-ROW()/100000)</f>
        <v>0</v>
      </c>
      <c r="N281" s="36" t="n"/>
    </row>
    <row r="282">
      <c r="A282" s="23">
        <f>IF(B282="","",ROW()-3)</f>
        <v/>
      </c>
      <c r="B282" s="36" t="n"/>
      <c r="C282" s="36" t="n"/>
      <c r="D282" s="36" t="n"/>
      <c r="E282" s="37" t="n"/>
      <c r="F282" s="38" t="n"/>
      <c r="G282" s="38" t="n"/>
      <c r="H282" s="38" t="n"/>
      <c r="I282" s="36" t="n"/>
      <c r="J282" s="24">
        <f>IF(B282="","",IF(F282*G282&gt;=6,"Alta",IF(F282*G282&gt;=3,"Média","Baixa")))</f>
        <v/>
      </c>
      <c r="K282" s="23">
        <f>IF(OR(B282="",E282=""),"",E282-Config!$B$4)</f>
        <v/>
      </c>
      <c r="L282" s="24">
        <f>IF(B282="","",IF(OR(I282="Feito",I282="Cancelado"),I282,IF(E282="","Sem prazo",IF(K282&lt;0,"Atrasada",IF(K282=0,"Hoje",IF(K282&lt;=6,"Esta semana","Depois"))))))</f>
        <v/>
      </c>
      <c r="M282" s="39">
        <f>IF(OR(B282="",L282="Feito",L282="Cancelado",L282="Sem prazo",L282="Depois"),0,IF(L282="Atrasada",2000,IF(L282="Hoje",1500,500))+F282*G282*100+IF(K282&lt;0,MIN(-K282,30),10-K282)-ROW()/100000)</f>
        <v>0</v>
      </c>
      <c r="N282" s="36" t="n"/>
    </row>
    <row r="283">
      <c r="A283" s="23">
        <f>IF(B283="","",ROW()-3)</f>
        <v/>
      </c>
      <c r="B283" s="36" t="n"/>
      <c r="C283" s="36" t="n"/>
      <c r="D283" s="36" t="n"/>
      <c r="E283" s="37" t="n"/>
      <c r="F283" s="38" t="n"/>
      <c r="G283" s="38" t="n"/>
      <c r="H283" s="38" t="n"/>
      <c r="I283" s="36" t="n"/>
      <c r="J283" s="24">
        <f>IF(B283="","",IF(F283*G283&gt;=6,"Alta",IF(F283*G283&gt;=3,"Média","Baixa")))</f>
        <v/>
      </c>
      <c r="K283" s="23">
        <f>IF(OR(B283="",E283=""),"",E283-Config!$B$4)</f>
        <v/>
      </c>
      <c r="L283" s="24">
        <f>IF(B283="","",IF(OR(I283="Feito",I283="Cancelado"),I283,IF(E283="","Sem prazo",IF(K283&lt;0,"Atrasada",IF(K283=0,"Hoje",IF(K283&lt;=6,"Esta semana","Depois"))))))</f>
        <v/>
      </c>
      <c r="M283" s="39">
        <f>IF(OR(B283="",L283="Feito",L283="Cancelado",L283="Sem prazo",L283="Depois"),0,IF(L283="Atrasada",2000,IF(L283="Hoje",1500,500))+F283*G283*100+IF(K283&lt;0,MIN(-K283,30),10-K283)-ROW()/100000)</f>
        <v>0</v>
      </c>
      <c r="N283" s="36" t="n"/>
    </row>
    <row r="284">
      <c r="A284" s="23">
        <f>IF(B284="","",ROW()-3)</f>
        <v/>
      </c>
      <c r="B284" s="36" t="n"/>
      <c r="C284" s="36" t="n"/>
      <c r="D284" s="36" t="n"/>
      <c r="E284" s="37" t="n"/>
      <c r="F284" s="38" t="n"/>
      <c r="G284" s="38" t="n"/>
      <c r="H284" s="38" t="n"/>
      <c r="I284" s="36" t="n"/>
      <c r="J284" s="24">
        <f>IF(B284="","",IF(F284*G284&gt;=6,"Alta",IF(F284*G284&gt;=3,"Média","Baixa")))</f>
        <v/>
      </c>
      <c r="K284" s="23">
        <f>IF(OR(B284="",E284=""),"",E284-Config!$B$4)</f>
        <v/>
      </c>
      <c r="L284" s="24">
        <f>IF(B284="","",IF(OR(I284="Feito",I284="Cancelado"),I284,IF(E284="","Sem prazo",IF(K284&lt;0,"Atrasada",IF(K284=0,"Hoje",IF(K284&lt;=6,"Esta semana","Depois"))))))</f>
        <v/>
      </c>
      <c r="M284" s="39">
        <f>IF(OR(B284="",L284="Feito",L284="Cancelado",L284="Sem prazo",L284="Depois"),0,IF(L284="Atrasada",2000,IF(L284="Hoje",1500,500))+F284*G284*100+IF(K284&lt;0,MIN(-K284,30),10-K284)-ROW()/100000)</f>
        <v>0</v>
      </c>
      <c r="N284" s="36" t="n"/>
    </row>
    <row r="285">
      <c r="A285" s="23">
        <f>IF(B285="","",ROW()-3)</f>
        <v/>
      </c>
      <c r="B285" s="36" t="n"/>
      <c r="C285" s="36" t="n"/>
      <c r="D285" s="36" t="n"/>
      <c r="E285" s="37" t="n"/>
      <c r="F285" s="38" t="n"/>
      <c r="G285" s="38" t="n"/>
      <c r="H285" s="38" t="n"/>
      <c r="I285" s="36" t="n"/>
      <c r="J285" s="24">
        <f>IF(B285="","",IF(F285*G285&gt;=6,"Alta",IF(F285*G285&gt;=3,"Média","Baixa")))</f>
        <v/>
      </c>
      <c r="K285" s="23">
        <f>IF(OR(B285="",E285=""),"",E285-Config!$B$4)</f>
        <v/>
      </c>
      <c r="L285" s="24">
        <f>IF(B285="","",IF(OR(I285="Feito",I285="Cancelado"),I285,IF(E285="","Sem prazo",IF(K285&lt;0,"Atrasada",IF(K285=0,"Hoje",IF(K285&lt;=6,"Esta semana","Depois"))))))</f>
        <v/>
      </c>
      <c r="M285" s="39">
        <f>IF(OR(B285="",L285="Feito",L285="Cancelado",L285="Sem prazo",L285="Depois"),0,IF(L285="Atrasada",2000,IF(L285="Hoje",1500,500))+F285*G285*100+IF(K285&lt;0,MIN(-K285,30),10-K285)-ROW()/100000)</f>
        <v>0</v>
      </c>
      <c r="N285" s="36" t="n"/>
    </row>
    <row r="286">
      <c r="A286" s="23">
        <f>IF(B286="","",ROW()-3)</f>
        <v/>
      </c>
      <c r="B286" s="36" t="n"/>
      <c r="C286" s="36" t="n"/>
      <c r="D286" s="36" t="n"/>
      <c r="E286" s="37" t="n"/>
      <c r="F286" s="38" t="n"/>
      <c r="G286" s="38" t="n"/>
      <c r="H286" s="38" t="n"/>
      <c r="I286" s="36" t="n"/>
      <c r="J286" s="24">
        <f>IF(B286="","",IF(F286*G286&gt;=6,"Alta",IF(F286*G286&gt;=3,"Média","Baixa")))</f>
        <v/>
      </c>
      <c r="K286" s="23">
        <f>IF(OR(B286="",E286=""),"",E286-Config!$B$4)</f>
        <v/>
      </c>
      <c r="L286" s="24">
        <f>IF(B286="","",IF(OR(I286="Feito",I286="Cancelado"),I286,IF(E286="","Sem prazo",IF(K286&lt;0,"Atrasada",IF(K286=0,"Hoje",IF(K286&lt;=6,"Esta semana","Depois"))))))</f>
        <v/>
      </c>
      <c r="M286" s="39">
        <f>IF(OR(B286="",L286="Feito",L286="Cancelado",L286="Sem prazo",L286="Depois"),0,IF(L286="Atrasada",2000,IF(L286="Hoje",1500,500))+F286*G286*100+IF(K286&lt;0,MIN(-K286,30),10-K286)-ROW()/100000)</f>
        <v>0</v>
      </c>
      <c r="N286" s="36" t="n"/>
    </row>
    <row r="287">
      <c r="A287" s="23">
        <f>IF(B287="","",ROW()-3)</f>
        <v/>
      </c>
      <c r="B287" s="36" t="n"/>
      <c r="C287" s="36" t="n"/>
      <c r="D287" s="36" t="n"/>
      <c r="E287" s="37" t="n"/>
      <c r="F287" s="38" t="n"/>
      <c r="G287" s="38" t="n"/>
      <c r="H287" s="38" t="n"/>
      <c r="I287" s="36" t="n"/>
      <c r="J287" s="24">
        <f>IF(B287="","",IF(F287*G287&gt;=6,"Alta",IF(F287*G287&gt;=3,"Média","Baixa")))</f>
        <v/>
      </c>
      <c r="K287" s="23">
        <f>IF(OR(B287="",E287=""),"",E287-Config!$B$4)</f>
        <v/>
      </c>
      <c r="L287" s="24">
        <f>IF(B287="","",IF(OR(I287="Feito",I287="Cancelado"),I287,IF(E287="","Sem prazo",IF(K287&lt;0,"Atrasada",IF(K287=0,"Hoje",IF(K287&lt;=6,"Esta semana","Depois"))))))</f>
        <v/>
      </c>
      <c r="M287" s="39">
        <f>IF(OR(B287="",L287="Feito",L287="Cancelado",L287="Sem prazo",L287="Depois"),0,IF(L287="Atrasada",2000,IF(L287="Hoje",1500,500))+F287*G287*100+IF(K287&lt;0,MIN(-K287,30),10-K287)-ROW()/100000)</f>
        <v>0</v>
      </c>
      <c r="N287" s="36" t="n"/>
    </row>
    <row r="288">
      <c r="A288" s="23">
        <f>IF(B288="","",ROW()-3)</f>
        <v/>
      </c>
      <c r="B288" s="36" t="n"/>
      <c r="C288" s="36" t="n"/>
      <c r="D288" s="36" t="n"/>
      <c r="E288" s="37" t="n"/>
      <c r="F288" s="38" t="n"/>
      <c r="G288" s="38" t="n"/>
      <c r="H288" s="38" t="n"/>
      <c r="I288" s="36" t="n"/>
      <c r="J288" s="24">
        <f>IF(B288="","",IF(F288*G288&gt;=6,"Alta",IF(F288*G288&gt;=3,"Média","Baixa")))</f>
        <v/>
      </c>
      <c r="K288" s="23">
        <f>IF(OR(B288="",E288=""),"",E288-Config!$B$4)</f>
        <v/>
      </c>
      <c r="L288" s="24">
        <f>IF(B288="","",IF(OR(I288="Feito",I288="Cancelado"),I288,IF(E288="","Sem prazo",IF(K288&lt;0,"Atrasada",IF(K288=0,"Hoje",IF(K288&lt;=6,"Esta semana","Depois"))))))</f>
        <v/>
      </c>
      <c r="M288" s="39">
        <f>IF(OR(B288="",L288="Feito",L288="Cancelado",L288="Sem prazo",L288="Depois"),0,IF(L288="Atrasada",2000,IF(L288="Hoje",1500,500))+F288*G288*100+IF(K288&lt;0,MIN(-K288,30),10-K288)-ROW()/100000)</f>
        <v>0</v>
      </c>
      <c r="N288" s="36" t="n"/>
    </row>
    <row r="289">
      <c r="A289" s="23">
        <f>IF(B289="","",ROW()-3)</f>
        <v/>
      </c>
      <c r="B289" s="36" t="n"/>
      <c r="C289" s="36" t="n"/>
      <c r="D289" s="36" t="n"/>
      <c r="E289" s="37" t="n"/>
      <c r="F289" s="38" t="n"/>
      <c r="G289" s="38" t="n"/>
      <c r="H289" s="38" t="n"/>
      <c r="I289" s="36" t="n"/>
      <c r="J289" s="24">
        <f>IF(B289="","",IF(F289*G289&gt;=6,"Alta",IF(F289*G289&gt;=3,"Média","Baixa")))</f>
        <v/>
      </c>
      <c r="K289" s="23">
        <f>IF(OR(B289="",E289=""),"",E289-Config!$B$4)</f>
        <v/>
      </c>
      <c r="L289" s="24">
        <f>IF(B289="","",IF(OR(I289="Feito",I289="Cancelado"),I289,IF(E289="","Sem prazo",IF(K289&lt;0,"Atrasada",IF(K289=0,"Hoje",IF(K289&lt;=6,"Esta semana","Depois"))))))</f>
        <v/>
      </c>
      <c r="M289" s="39">
        <f>IF(OR(B289="",L289="Feito",L289="Cancelado",L289="Sem prazo",L289="Depois"),0,IF(L289="Atrasada",2000,IF(L289="Hoje",1500,500))+F289*G289*100+IF(K289&lt;0,MIN(-K289,30),10-K289)-ROW()/100000)</f>
        <v>0</v>
      </c>
      <c r="N289" s="36" t="n"/>
    </row>
    <row r="290">
      <c r="A290" s="23">
        <f>IF(B290="","",ROW()-3)</f>
        <v/>
      </c>
      <c r="B290" s="36" t="n"/>
      <c r="C290" s="36" t="n"/>
      <c r="D290" s="36" t="n"/>
      <c r="E290" s="37" t="n"/>
      <c r="F290" s="38" t="n"/>
      <c r="G290" s="38" t="n"/>
      <c r="H290" s="38" t="n"/>
      <c r="I290" s="36" t="n"/>
      <c r="J290" s="24">
        <f>IF(B290="","",IF(F290*G290&gt;=6,"Alta",IF(F290*G290&gt;=3,"Média","Baixa")))</f>
        <v/>
      </c>
      <c r="K290" s="23">
        <f>IF(OR(B290="",E290=""),"",E290-Config!$B$4)</f>
        <v/>
      </c>
      <c r="L290" s="24">
        <f>IF(B290="","",IF(OR(I290="Feito",I290="Cancelado"),I290,IF(E290="","Sem prazo",IF(K290&lt;0,"Atrasada",IF(K290=0,"Hoje",IF(K290&lt;=6,"Esta semana","Depois"))))))</f>
        <v/>
      </c>
      <c r="M290" s="39">
        <f>IF(OR(B290="",L290="Feito",L290="Cancelado",L290="Sem prazo",L290="Depois"),0,IF(L290="Atrasada",2000,IF(L290="Hoje",1500,500))+F290*G290*100+IF(K290&lt;0,MIN(-K290,30),10-K290)-ROW()/100000)</f>
        <v>0</v>
      </c>
      <c r="N290" s="36" t="n"/>
    </row>
    <row r="291">
      <c r="A291" s="23">
        <f>IF(B291="","",ROW()-3)</f>
        <v/>
      </c>
      <c r="B291" s="36" t="n"/>
      <c r="C291" s="36" t="n"/>
      <c r="D291" s="36" t="n"/>
      <c r="E291" s="37" t="n"/>
      <c r="F291" s="38" t="n"/>
      <c r="G291" s="38" t="n"/>
      <c r="H291" s="38" t="n"/>
      <c r="I291" s="36" t="n"/>
      <c r="J291" s="24">
        <f>IF(B291="","",IF(F291*G291&gt;=6,"Alta",IF(F291*G291&gt;=3,"Média","Baixa")))</f>
        <v/>
      </c>
      <c r="K291" s="23">
        <f>IF(OR(B291="",E291=""),"",E291-Config!$B$4)</f>
        <v/>
      </c>
      <c r="L291" s="24">
        <f>IF(B291="","",IF(OR(I291="Feito",I291="Cancelado"),I291,IF(E291="","Sem prazo",IF(K291&lt;0,"Atrasada",IF(K291=0,"Hoje",IF(K291&lt;=6,"Esta semana","Depois"))))))</f>
        <v/>
      </c>
      <c r="M291" s="39">
        <f>IF(OR(B291="",L291="Feito",L291="Cancelado",L291="Sem prazo",L291="Depois"),0,IF(L291="Atrasada",2000,IF(L291="Hoje",1500,500))+F291*G291*100+IF(K291&lt;0,MIN(-K291,30),10-K291)-ROW()/100000)</f>
        <v>0</v>
      </c>
      <c r="N291" s="36" t="n"/>
    </row>
    <row r="292">
      <c r="A292" s="23">
        <f>IF(B292="","",ROW()-3)</f>
        <v/>
      </c>
      <c r="B292" s="36" t="n"/>
      <c r="C292" s="36" t="n"/>
      <c r="D292" s="36" t="n"/>
      <c r="E292" s="37" t="n"/>
      <c r="F292" s="38" t="n"/>
      <c r="G292" s="38" t="n"/>
      <c r="H292" s="38" t="n"/>
      <c r="I292" s="36" t="n"/>
      <c r="J292" s="24">
        <f>IF(B292="","",IF(F292*G292&gt;=6,"Alta",IF(F292*G292&gt;=3,"Média","Baixa")))</f>
        <v/>
      </c>
      <c r="K292" s="23">
        <f>IF(OR(B292="",E292=""),"",E292-Config!$B$4)</f>
        <v/>
      </c>
      <c r="L292" s="24">
        <f>IF(B292="","",IF(OR(I292="Feito",I292="Cancelado"),I292,IF(E292="","Sem prazo",IF(K292&lt;0,"Atrasada",IF(K292=0,"Hoje",IF(K292&lt;=6,"Esta semana","Depois"))))))</f>
        <v/>
      </c>
      <c r="M292" s="39">
        <f>IF(OR(B292="",L292="Feito",L292="Cancelado",L292="Sem prazo",L292="Depois"),0,IF(L292="Atrasada",2000,IF(L292="Hoje",1500,500))+F292*G292*100+IF(K292&lt;0,MIN(-K292,30),10-K292)-ROW()/100000)</f>
        <v>0</v>
      </c>
      <c r="N292" s="36" t="n"/>
    </row>
    <row r="293">
      <c r="A293" s="23">
        <f>IF(B293="","",ROW()-3)</f>
        <v/>
      </c>
      <c r="B293" s="36" t="n"/>
      <c r="C293" s="36" t="n"/>
      <c r="D293" s="36" t="n"/>
      <c r="E293" s="37" t="n"/>
      <c r="F293" s="38" t="n"/>
      <c r="G293" s="38" t="n"/>
      <c r="H293" s="38" t="n"/>
      <c r="I293" s="36" t="n"/>
      <c r="J293" s="24">
        <f>IF(B293="","",IF(F293*G293&gt;=6,"Alta",IF(F293*G293&gt;=3,"Média","Baixa")))</f>
        <v/>
      </c>
      <c r="K293" s="23">
        <f>IF(OR(B293="",E293=""),"",E293-Config!$B$4)</f>
        <v/>
      </c>
      <c r="L293" s="24">
        <f>IF(B293="","",IF(OR(I293="Feito",I293="Cancelado"),I293,IF(E293="","Sem prazo",IF(K293&lt;0,"Atrasada",IF(K293=0,"Hoje",IF(K293&lt;=6,"Esta semana","Depois"))))))</f>
        <v/>
      </c>
      <c r="M293" s="39">
        <f>IF(OR(B293="",L293="Feito",L293="Cancelado",L293="Sem prazo",L293="Depois"),0,IF(L293="Atrasada",2000,IF(L293="Hoje",1500,500))+F293*G293*100+IF(K293&lt;0,MIN(-K293,30),10-K293)-ROW()/100000)</f>
        <v>0</v>
      </c>
      <c r="N293" s="36" t="n"/>
    </row>
    <row r="294">
      <c r="A294" s="23">
        <f>IF(B294="","",ROW()-3)</f>
        <v/>
      </c>
      <c r="B294" s="36" t="n"/>
      <c r="C294" s="36" t="n"/>
      <c r="D294" s="36" t="n"/>
      <c r="E294" s="37" t="n"/>
      <c r="F294" s="38" t="n"/>
      <c r="G294" s="38" t="n"/>
      <c r="H294" s="38" t="n"/>
      <c r="I294" s="36" t="n"/>
      <c r="J294" s="24">
        <f>IF(B294="","",IF(F294*G294&gt;=6,"Alta",IF(F294*G294&gt;=3,"Média","Baixa")))</f>
        <v/>
      </c>
      <c r="K294" s="23">
        <f>IF(OR(B294="",E294=""),"",E294-Config!$B$4)</f>
        <v/>
      </c>
      <c r="L294" s="24">
        <f>IF(B294="","",IF(OR(I294="Feito",I294="Cancelado"),I294,IF(E294="","Sem prazo",IF(K294&lt;0,"Atrasada",IF(K294=0,"Hoje",IF(K294&lt;=6,"Esta semana","Depois"))))))</f>
        <v/>
      </c>
      <c r="M294" s="39">
        <f>IF(OR(B294="",L294="Feito",L294="Cancelado",L294="Sem prazo",L294="Depois"),0,IF(L294="Atrasada",2000,IF(L294="Hoje",1500,500))+F294*G294*100+IF(K294&lt;0,MIN(-K294,30),10-K294)-ROW()/100000)</f>
        <v>0</v>
      </c>
      <c r="N294" s="36" t="n"/>
    </row>
    <row r="295">
      <c r="A295" s="23">
        <f>IF(B295="","",ROW()-3)</f>
        <v/>
      </c>
      <c r="B295" s="36" t="n"/>
      <c r="C295" s="36" t="n"/>
      <c r="D295" s="36" t="n"/>
      <c r="E295" s="37" t="n"/>
      <c r="F295" s="38" t="n"/>
      <c r="G295" s="38" t="n"/>
      <c r="H295" s="38" t="n"/>
      <c r="I295" s="36" t="n"/>
      <c r="J295" s="24">
        <f>IF(B295="","",IF(F295*G295&gt;=6,"Alta",IF(F295*G295&gt;=3,"Média","Baixa")))</f>
        <v/>
      </c>
      <c r="K295" s="23">
        <f>IF(OR(B295="",E295=""),"",E295-Config!$B$4)</f>
        <v/>
      </c>
      <c r="L295" s="24">
        <f>IF(B295="","",IF(OR(I295="Feito",I295="Cancelado"),I295,IF(E295="","Sem prazo",IF(K295&lt;0,"Atrasada",IF(K295=0,"Hoje",IF(K295&lt;=6,"Esta semana","Depois"))))))</f>
        <v/>
      </c>
      <c r="M295" s="39">
        <f>IF(OR(B295="",L295="Feito",L295="Cancelado",L295="Sem prazo",L295="Depois"),0,IF(L295="Atrasada",2000,IF(L295="Hoje",1500,500))+F295*G295*100+IF(K295&lt;0,MIN(-K295,30),10-K295)-ROW()/100000)</f>
        <v>0</v>
      </c>
      <c r="N295" s="36" t="n"/>
    </row>
    <row r="296">
      <c r="A296" s="23">
        <f>IF(B296="","",ROW()-3)</f>
        <v/>
      </c>
      <c r="B296" s="36" t="n"/>
      <c r="C296" s="36" t="n"/>
      <c r="D296" s="36" t="n"/>
      <c r="E296" s="37" t="n"/>
      <c r="F296" s="38" t="n"/>
      <c r="G296" s="38" t="n"/>
      <c r="H296" s="38" t="n"/>
      <c r="I296" s="36" t="n"/>
      <c r="J296" s="24">
        <f>IF(B296="","",IF(F296*G296&gt;=6,"Alta",IF(F296*G296&gt;=3,"Média","Baixa")))</f>
        <v/>
      </c>
      <c r="K296" s="23">
        <f>IF(OR(B296="",E296=""),"",E296-Config!$B$4)</f>
        <v/>
      </c>
      <c r="L296" s="24">
        <f>IF(B296="","",IF(OR(I296="Feito",I296="Cancelado"),I296,IF(E296="","Sem prazo",IF(K296&lt;0,"Atrasada",IF(K296=0,"Hoje",IF(K296&lt;=6,"Esta semana","Depois"))))))</f>
        <v/>
      </c>
      <c r="M296" s="39">
        <f>IF(OR(B296="",L296="Feito",L296="Cancelado",L296="Sem prazo",L296="Depois"),0,IF(L296="Atrasada",2000,IF(L296="Hoje",1500,500))+F296*G296*100+IF(K296&lt;0,MIN(-K296,30),10-K296)-ROW()/100000)</f>
        <v>0</v>
      </c>
      <c r="N296" s="36" t="n"/>
    </row>
    <row r="297">
      <c r="A297" s="23">
        <f>IF(B297="","",ROW()-3)</f>
        <v/>
      </c>
      <c r="B297" s="36" t="n"/>
      <c r="C297" s="36" t="n"/>
      <c r="D297" s="36" t="n"/>
      <c r="E297" s="37" t="n"/>
      <c r="F297" s="38" t="n"/>
      <c r="G297" s="38" t="n"/>
      <c r="H297" s="38" t="n"/>
      <c r="I297" s="36" t="n"/>
      <c r="J297" s="24">
        <f>IF(B297="","",IF(F297*G297&gt;=6,"Alta",IF(F297*G297&gt;=3,"Média","Baixa")))</f>
        <v/>
      </c>
      <c r="K297" s="23">
        <f>IF(OR(B297="",E297=""),"",E297-Config!$B$4)</f>
        <v/>
      </c>
      <c r="L297" s="24">
        <f>IF(B297="","",IF(OR(I297="Feito",I297="Cancelado"),I297,IF(E297="","Sem prazo",IF(K297&lt;0,"Atrasada",IF(K297=0,"Hoje",IF(K297&lt;=6,"Esta semana","Depois"))))))</f>
        <v/>
      </c>
      <c r="M297" s="39">
        <f>IF(OR(B297="",L297="Feito",L297="Cancelado",L297="Sem prazo",L297="Depois"),0,IF(L297="Atrasada",2000,IF(L297="Hoje",1500,500))+F297*G297*100+IF(K297&lt;0,MIN(-K297,30),10-K297)-ROW()/100000)</f>
        <v>0</v>
      </c>
      <c r="N297" s="36" t="n"/>
    </row>
    <row r="298">
      <c r="A298" s="23">
        <f>IF(B298="","",ROW()-3)</f>
        <v/>
      </c>
      <c r="B298" s="36" t="n"/>
      <c r="C298" s="36" t="n"/>
      <c r="D298" s="36" t="n"/>
      <c r="E298" s="37" t="n"/>
      <c r="F298" s="38" t="n"/>
      <c r="G298" s="38" t="n"/>
      <c r="H298" s="38" t="n"/>
      <c r="I298" s="36" t="n"/>
      <c r="J298" s="24">
        <f>IF(B298="","",IF(F298*G298&gt;=6,"Alta",IF(F298*G298&gt;=3,"Média","Baixa")))</f>
        <v/>
      </c>
      <c r="K298" s="23">
        <f>IF(OR(B298="",E298=""),"",E298-Config!$B$4)</f>
        <v/>
      </c>
      <c r="L298" s="24">
        <f>IF(B298="","",IF(OR(I298="Feito",I298="Cancelado"),I298,IF(E298="","Sem prazo",IF(K298&lt;0,"Atrasada",IF(K298=0,"Hoje",IF(K298&lt;=6,"Esta semana","Depois"))))))</f>
        <v/>
      </c>
      <c r="M298" s="39">
        <f>IF(OR(B298="",L298="Feito",L298="Cancelado",L298="Sem prazo",L298="Depois"),0,IF(L298="Atrasada",2000,IF(L298="Hoje",1500,500))+F298*G298*100+IF(K298&lt;0,MIN(-K298,30),10-K298)-ROW()/100000)</f>
        <v>0</v>
      </c>
      <c r="N298" s="36" t="n"/>
    </row>
    <row r="299">
      <c r="A299" s="23">
        <f>IF(B299="","",ROW()-3)</f>
        <v/>
      </c>
      <c r="B299" s="36" t="n"/>
      <c r="C299" s="36" t="n"/>
      <c r="D299" s="36" t="n"/>
      <c r="E299" s="37" t="n"/>
      <c r="F299" s="38" t="n"/>
      <c r="G299" s="38" t="n"/>
      <c r="H299" s="38" t="n"/>
      <c r="I299" s="36" t="n"/>
      <c r="J299" s="24">
        <f>IF(B299="","",IF(F299*G299&gt;=6,"Alta",IF(F299*G299&gt;=3,"Média","Baixa")))</f>
        <v/>
      </c>
      <c r="K299" s="23">
        <f>IF(OR(B299="",E299=""),"",E299-Config!$B$4)</f>
        <v/>
      </c>
      <c r="L299" s="24">
        <f>IF(B299="","",IF(OR(I299="Feito",I299="Cancelado"),I299,IF(E299="","Sem prazo",IF(K299&lt;0,"Atrasada",IF(K299=0,"Hoje",IF(K299&lt;=6,"Esta semana","Depois"))))))</f>
        <v/>
      </c>
      <c r="M299" s="39">
        <f>IF(OR(B299="",L299="Feito",L299="Cancelado",L299="Sem prazo",L299="Depois"),0,IF(L299="Atrasada",2000,IF(L299="Hoje",1500,500))+F299*G299*100+IF(K299&lt;0,MIN(-K299,30),10-K299)-ROW()/100000)</f>
        <v>0</v>
      </c>
      <c r="N299" s="36" t="n"/>
    </row>
    <row r="300">
      <c r="A300" s="23">
        <f>IF(B300="","",ROW()-3)</f>
        <v/>
      </c>
      <c r="B300" s="36" t="n"/>
      <c r="C300" s="36" t="n"/>
      <c r="D300" s="36" t="n"/>
      <c r="E300" s="37" t="n"/>
      <c r="F300" s="38" t="n"/>
      <c r="G300" s="38" t="n"/>
      <c r="H300" s="38" t="n"/>
      <c r="I300" s="36" t="n"/>
      <c r="J300" s="24">
        <f>IF(B300="","",IF(F300*G300&gt;=6,"Alta",IF(F300*G300&gt;=3,"Média","Baixa")))</f>
        <v/>
      </c>
      <c r="K300" s="23">
        <f>IF(OR(B300="",E300=""),"",E300-Config!$B$4)</f>
        <v/>
      </c>
      <c r="L300" s="24">
        <f>IF(B300="","",IF(OR(I300="Feito",I300="Cancelado"),I300,IF(E300="","Sem prazo",IF(K300&lt;0,"Atrasada",IF(K300=0,"Hoje",IF(K300&lt;=6,"Esta semana","Depois"))))))</f>
        <v/>
      </c>
      <c r="M300" s="39">
        <f>IF(OR(B300="",L300="Feito",L300="Cancelado",L300="Sem prazo",L300="Depois"),0,IF(L300="Atrasada",2000,IF(L300="Hoje",1500,500))+F300*G300*100+IF(K300&lt;0,MIN(-K300,30),10-K300)-ROW()/100000)</f>
        <v>0</v>
      </c>
      <c r="N300" s="36" t="n"/>
    </row>
    <row r="301">
      <c r="A301" s="23">
        <f>IF(B301="","",ROW()-3)</f>
        <v/>
      </c>
      <c r="B301" s="36" t="n"/>
      <c r="C301" s="36" t="n"/>
      <c r="D301" s="36" t="n"/>
      <c r="E301" s="37" t="n"/>
      <c r="F301" s="38" t="n"/>
      <c r="G301" s="38" t="n"/>
      <c r="H301" s="38" t="n"/>
      <c r="I301" s="36" t="n"/>
      <c r="J301" s="24">
        <f>IF(B301="","",IF(F301*G301&gt;=6,"Alta",IF(F301*G301&gt;=3,"Média","Baixa")))</f>
        <v/>
      </c>
      <c r="K301" s="23">
        <f>IF(OR(B301="",E301=""),"",E301-Config!$B$4)</f>
        <v/>
      </c>
      <c r="L301" s="24">
        <f>IF(B301="","",IF(OR(I301="Feito",I301="Cancelado"),I301,IF(E301="","Sem prazo",IF(K301&lt;0,"Atrasada",IF(K301=0,"Hoje",IF(K301&lt;=6,"Esta semana","Depois"))))))</f>
        <v/>
      </c>
      <c r="M301" s="39">
        <f>IF(OR(B301="",L301="Feito",L301="Cancelado",L301="Sem prazo",L301="Depois"),0,IF(L301="Atrasada",2000,IF(L301="Hoje",1500,500))+F301*G301*100+IF(K301&lt;0,MIN(-K301,30),10-K301)-ROW()/100000)</f>
        <v>0</v>
      </c>
      <c r="N301" s="36" t="n"/>
    </row>
    <row r="302">
      <c r="A302" s="23">
        <f>IF(B302="","",ROW()-3)</f>
        <v/>
      </c>
      <c r="B302" s="36" t="n"/>
      <c r="C302" s="36" t="n"/>
      <c r="D302" s="36" t="n"/>
      <c r="E302" s="37" t="n"/>
      <c r="F302" s="38" t="n"/>
      <c r="G302" s="38" t="n"/>
      <c r="H302" s="38" t="n"/>
      <c r="I302" s="36" t="n"/>
      <c r="J302" s="24">
        <f>IF(B302="","",IF(F302*G302&gt;=6,"Alta",IF(F302*G302&gt;=3,"Média","Baixa")))</f>
        <v/>
      </c>
      <c r="K302" s="23">
        <f>IF(OR(B302="",E302=""),"",E302-Config!$B$4)</f>
        <v/>
      </c>
      <c r="L302" s="24">
        <f>IF(B302="","",IF(OR(I302="Feito",I302="Cancelado"),I302,IF(E302="","Sem prazo",IF(K302&lt;0,"Atrasada",IF(K302=0,"Hoje",IF(K302&lt;=6,"Esta semana","Depois"))))))</f>
        <v/>
      </c>
      <c r="M302" s="39">
        <f>IF(OR(B302="",L302="Feito",L302="Cancelado",L302="Sem prazo",L302="Depois"),0,IF(L302="Atrasada",2000,IF(L302="Hoje",1500,500))+F302*G302*100+IF(K302&lt;0,MIN(-K302,30),10-K302)-ROW()/100000)</f>
        <v>0</v>
      </c>
      <c r="N302" s="36" t="n"/>
    </row>
    <row r="303">
      <c r="A303" s="23">
        <f>IF(B303="","",ROW()-3)</f>
        <v/>
      </c>
      <c r="B303" s="36" t="n"/>
      <c r="C303" s="36" t="n"/>
      <c r="D303" s="36" t="n"/>
      <c r="E303" s="37" t="n"/>
      <c r="F303" s="38" t="n"/>
      <c r="G303" s="38" t="n"/>
      <c r="H303" s="38" t="n"/>
      <c r="I303" s="36" t="n"/>
      <c r="J303" s="24">
        <f>IF(B303="","",IF(F303*G303&gt;=6,"Alta",IF(F303*G303&gt;=3,"Média","Baixa")))</f>
        <v/>
      </c>
      <c r="K303" s="23">
        <f>IF(OR(B303="",E303=""),"",E303-Config!$B$4)</f>
        <v/>
      </c>
      <c r="L303" s="24">
        <f>IF(B303="","",IF(OR(I303="Feito",I303="Cancelado"),I303,IF(E303="","Sem prazo",IF(K303&lt;0,"Atrasada",IF(K303=0,"Hoje",IF(K303&lt;=6,"Esta semana","Depois"))))))</f>
        <v/>
      </c>
      <c r="M303" s="39">
        <f>IF(OR(B303="",L303="Feito",L303="Cancelado",L303="Sem prazo",L303="Depois"),0,IF(L303="Atrasada",2000,IF(L303="Hoje",1500,500))+F303*G303*100+IF(K303&lt;0,MIN(-K303,30),10-K303)-ROW()/100000)</f>
        <v>0</v>
      </c>
      <c r="N303" s="3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3:N303"/>
  <mergeCells count="1">
    <mergeCell ref="A2:N2"/>
  </mergeCells>
  <conditionalFormatting sqref="A4:N303">
    <cfRule type="expression" priority="1" dxfId="0">
      <formula>$L4="Atrasada"</formula>
    </cfRule>
    <cfRule type="expression" priority="2" dxfId="1">
      <formula>$L4="Hoje"</formula>
    </cfRule>
    <cfRule type="expression" priority="3" dxfId="3">
      <formula>OR($L4="Feito",$L4="Cancelado")</formula>
    </cfRule>
  </conditionalFormatting>
  <conditionalFormatting sqref="J4:J303">
    <cfRule type="expression" priority="4" dxfId="4">
      <formula>$J4="Alta"</formula>
    </cfRule>
  </conditionalFormatting>
  <dataValidations count="6">
    <dataValidation sqref="D4:D303" showDropDown="0" showInputMessage="0" showErrorMessage="1" allowBlank="1" type="list">
      <formula1>=OFFSET(Config!$B$9,0,0,MAX(1,COUNTA(Config!$B$9:$B$16)),1)</formula1>
    </dataValidation>
    <dataValidation sqref="F4:G303" showDropDown="0" showInputMessage="0" showErrorMessage="1" allowBlank="1" type="list">
      <formula1>"1,2,3"</formula1>
    </dataValidation>
    <dataValidation sqref="I4:I303" showDropDown="0" showInputMessage="0" showErrorMessage="1" allowBlank="1" type="list">
      <formula1>=Config!$D$9:$D$12</formula1>
    </dataValidation>
    <dataValidation sqref="C4:C303" showDropDown="0" showInputMessage="0" showErrorMessage="1" allowBlank="1" type="list">
      <formula1>=OFFSET(Config!$F$9,0,0,MAX(1,COUNTA(Config!$F$9:$F$16)),1)</formula1>
    </dataValidation>
    <dataValidation sqref="E4:E303" showDropDown="0" showInputMessage="0" showErrorMessage="1" allowBlank="1" type="date" operator="greaterThan">
      <formula1>1</formula1>
    </dataValidation>
    <dataValidation sqref="H4:H303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Semana Organizada · Kit IA no Trabalho</dc:title>
  <dcterms:created xmlns:dcterms="http://purl.org/dc/terms/" xmlns:xsi="http://www.w3.org/2001/XMLSchema-instance" xsi:type="dcterms:W3CDTF">2026-09-18T13:59:20Z</dcterms:created>
  <dcterms:modified xmlns:dcterms="http://purl.org/dc/terms/" xmlns:xsi="http://www.w3.org/2001/XMLSchema-instance" xsi:type="dcterms:W3CDTF">2026-09-18T13:59:21Z</dcterms:modified>
</cp:coreProperties>
</file>