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Em abert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Reuniões" sheetId="5" state="visible" r:id="rId5"/>
    <sheet xmlns:r="http://schemas.openxmlformats.org/officeDocument/2006/relationships" name="Pendências" sheetId="6" state="visible" r:id="rId6"/>
  </sheets>
  <definedNames>
    <definedName name="_xlnm._FilterDatabase" localSheetId="4" hidden="1">'Reuniões'!$A$4:$G$104</definedName>
    <definedName name="_xlnm._FilterDatabase" localSheetId="5" hidden="1">'Pendências'!$A$4:$I$304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color rgb="007A5AA8"/>
      <sz val="9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2" fillId="7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4" fillId="0" borderId="0" pivotButton="0" quotePrefix="0" xfId="0"/>
    <xf numFmtId="165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center"/>
      <protection locked="0" hidden="0"/>
    </xf>
    <xf numFmtId="165" fontId="5" fillId="2" borderId="1" applyAlignment="1" applyProtection="1" pivotButton="0" quotePrefix="0" xfId="0">
      <alignment horizontal="center"/>
      <protection locked="0" hidden="0"/>
    </xf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Ata e Pendências</t>
        </is>
      </c>
    </row>
    <row r="2">
      <c r="A2" s="2" t="inlineStr">
        <is>
          <t>Kit IA no Trabalho · Completo · Seu Sócio Gestor · versão 1.0 (setembro de 2026)</t>
        </is>
      </c>
    </row>
    <row r="3"/>
    <row r="4" ht="46" customHeight="1">
      <c r="A4" s="3" t="inlineStr">
        <is>
          <t>O que esta planilha faz</t>
        </is>
      </c>
      <c r="B4" s="4" t="inlineStr">
        <is>
          <t>Registra cada reunião (data, assunto, participantes, decisões) e cada pendência com dono e prazo. Mostra o que cobrar primeiro, a carga por pessoa e monta o resumo pronto para a IA transformar em e-mail ou ata.</t>
        </is>
      </c>
    </row>
    <row r="5" ht="46" customHeight="1">
      <c r="A5" s="3" t="inlineStr">
        <is>
          <t>Passo 1</t>
        </is>
      </c>
      <c r="B5" s="4" t="inlineStr">
        <is>
          <t>Em Config, preencha o nome da equipe e as pessoas. Troque a data de referência por =HOJE() (no exemplo ela está congelada em 14/09/2026).</t>
        </is>
      </c>
    </row>
    <row r="6" ht="46" customHeight="1">
      <c r="A6" s="3" t="inlineStr">
        <is>
          <t>Passo 2</t>
        </is>
      </c>
      <c r="B6" s="4" t="inlineStr">
        <is>
          <t>Em Reuniões, uma linha por reunião. Escreva as decisões em frases curtas separadas por ponto e vírgula. O código (R-001, R-002...) é automático.</t>
        </is>
      </c>
    </row>
    <row r="7" ht="46" customHeight="1">
      <c r="A7" s="3" t="inlineStr">
        <is>
          <t>Passo 3</t>
        </is>
      </c>
      <c r="B7" s="4" t="inlineStr">
        <is>
          <t>Em Pendências, uma linha por tarefa que saiu da reunião: reunião (lista), pendência, dono (lista), prazo, prioridade e status. Ao concluir, mude o status para Feito.</t>
        </is>
      </c>
    </row>
    <row r="8" ht="46" customHeight="1">
      <c r="A8" s="3" t="inlineStr">
        <is>
          <t>Passo 4</t>
        </is>
      </c>
      <c r="B8" s="4" t="inlineStr">
        <is>
          <t>Em Em aberto, veja o que cobrar primeiro e a carga por pessoa. Em Resumo, escolha a reunião em Config e copie o bloco único.</t>
        </is>
      </c>
    </row>
    <row r="9" ht="46" customHeight="1">
      <c r="A9" s="3" t="inlineStr">
        <is>
          <t>Rotina</t>
        </is>
      </c>
      <c r="B9" s="4" t="inlineStr">
        <is>
          <t>Logo depois da reunião, 5 minutos para registrar. Segunda de manhã, olhe Em aberto e cobre por e-mail com o prompt "Escrever 02".</t>
        </is>
      </c>
    </row>
    <row r="10" ht="46" customHeight="1">
      <c r="A10" s="3" t="inlineStr">
        <is>
          <t>Com a IA</t>
        </is>
      </c>
      <c r="B10" s="4" t="inlineStr">
        <is>
          <t>Bloco único da aba Resumo + prompt "Escrever 07: resumo de reunião para quem não foi". Para cobrar uma pendência atrasada: "Escrever 10: mensagem de cobrança educada".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semáforos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Exemplos</t>
        </is>
      </c>
      <c r="B16" s="4" t="inlineStr">
        <is>
          <t>Prisma Comunicação é uma empresa fictícia. Nomes e valores são inventados. Apague-os antes de começar.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2" customWidth="1" min="4" max="4"/>
    <col width="13" customWidth="1" min="5" max="5"/>
    <col width="11" customWidth="1" min="6" max="6"/>
    <col width="10" customWidth="1" min="7" max="7"/>
    <col width="8" customWidth="1" min="8" max="8"/>
  </cols>
  <sheetData>
    <row r="1">
      <c r="A1" s="5" t="str">
        <f>Config!B4&amp;" · pendências em "&amp;TEXT(DAY(Config!B5),"00")&amp;"/"&amp;TEXT(MONTH(Config!B5),"00")&amp;"/"&amp;YEAR(Config!B5)</f>
        <v>Prisma Comunicação (exemplo fictício) · pendências em 14/09/2026</v>
      </c>
    </row>
    <row r="2">
      <c r="A2" s="6" t="inlineStr">
        <is>
          <t>Nada para preencher aqui: tudo vem de Reuniões e Pendências.</t>
        </is>
      </c>
    </row>
    <row r="4">
      <c r="A4" s="7" t="inlineStr">
        <is>
          <t>Abertas</t>
        </is>
      </c>
      <c r="B4" s="8" t="n"/>
      <c r="C4" s="9" t="inlineStr">
        <is>
          <t>Atrasadas</t>
        </is>
      </c>
      <c r="D4" s="10" t="n"/>
      <c r="E4" s="11" t="inlineStr">
        <is>
          <t>Para hoje</t>
        </is>
      </c>
      <c r="F4" s="12" t="n"/>
      <c r="G4" s="13" t="inlineStr">
        <is>
          <t>Feitas no total</t>
        </is>
      </c>
      <c r="H4" s="14" t="n"/>
    </row>
    <row r="5" ht="30" customHeight="1">
      <c r="A5" s="15">
        <f>COUNTIFS(Pendências!$B$5:$B$304,"&lt;&gt;",Pendências!$F$5:$F$304,"&lt;&gt;Feito")</f>
        <v>7</v>
      </c>
      <c r="B5" s="8" t="n"/>
      <c r="C5" s="16">
        <f>COUNTIFS(Pendências!$H$5:$H$304,"Atrasada")</f>
        <v>3</v>
      </c>
      <c r="D5" s="10" t="n"/>
      <c r="E5" s="17">
        <f>COUNTIFS(Pendências!$H$5:$H$304,"Hoje")</f>
        <v>0</v>
      </c>
      <c r="F5" s="12" t="n"/>
      <c r="G5" s="18">
        <f>COUNTIFS(Pendências!$F$5:$F$304,"Feito")</f>
        <v>5</v>
      </c>
      <c r="H5" s="14" t="n"/>
    </row>
    <row r="7">
      <c r="A7" s="19" t="inlineStr">
        <is>
          <t>O que cobrar primeiro</t>
        </is>
      </c>
    </row>
    <row r="8">
      <c r="A8" s="6" t="inlineStr">
        <is>
          <t>Ordem: atrasadas, hoje, esta semana; dentro de cada grupo, prioridade alta primeiro.</t>
        </is>
      </c>
    </row>
    <row r="9" ht="26" customHeight="1">
      <c r="A9" s="20" t="inlineStr">
        <is>
          <t>#</t>
        </is>
      </c>
      <c r="B9" s="20" t="inlineStr">
        <is>
          <t>Pendência</t>
        </is>
      </c>
      <c r="C9" s="20" t="inlineStr">
        <is>
          <t>Dono</t>
        </is>
      </c>
      <c r="D9" s="20" t="inlineStr">
        <is>
          <t>Prazo</t>
        </is>
      </c>
      <c r="E9" s="20" t="inlineStr">
        <is>
          <t>Situação</t>
        </is>
      </c>
      <c r="F9" s="20" t="inlineStr">
        <is>
          <t>Prioridade</t>
        </is>
      </c>
      <c r="G9" s="20" t="inlineStr">
        <is>
          <t>Reunião</t>
        </is>
      </c>
      <c r="H9" s="20" t="inlineStr">
        <is>
          <t>Dias</t>
        </is>
      </c>
    </row>
    <row r="10">
      <c r="A10" s="21" t="n">
        <v>1</v>
      </c>
      <c r="B10" s="22" t="str">
        <f>IFERROR(IF(LARGE(Pendências!$J$5:$J$304,1)&gt;0,IF(INDEX(Pendências!$B$5:$B$304,MATCH(LARGE(Pendências!$J$5:$J$304,1),Pendências!$J$5:$J$304,0))="","",INDEX(Pendências!$B$5:$B$304,MATCH(LARGE(Pendências!$J$5:$J$304,1),Pendências!$J$5:$J$304,0))),""),"")</f>
        <v>Escrever os textos das 5 páginas do site</v>
      </c>
      <c r="C10" s="21" t="str">
        <f>IFERROR(IF(LARGE(Pendências!$J$5:$J$304,1)&gt;0,IF(INDEX(Pendências!$C$5:$C$304,MATCH(LARGE(Pendências!$J$5:$J$304,1),Pendências!$J$5:$J$304,0))="","",INDEX(Pendências!$C$5:$C$304,MATCH(LARGE(Pendências!$J$5:$J$304,1),Pendências!$J$5:$J$304,0))),""),"")</f>
        <v>Carla</v>
      </c>
      <c r="D10" s="23">
        <f>IFERROR(IF(LARGE(Pendências!$J$5:$J$304,1)&gt;0,IF(INDEX(Pendências!$D$5:$D$304,MATCH(LARGE(Pendências!$J$5:$J$304,1),Pendências!$J$5:$J$304,0))="","",INDEX(Pendências!$D$5:$D$304,MATCH(LARGE(Pendências!$J$5:$J$304,1),Pendências!$J$5:$J$304,0))),""),"")</f>
        <v>46277.0</v>
      </c>
      <c r="E10" s="21" t="str">
        <f>IFERROR(IF(LARGE(Pendências!$J$5:$J$304,1)&gt;0,IF(INDEX(Pendências!$H$5:$H$304,MATCH(LARGE(Pendências!$J$5:$J$304,1),Pendências!$J$5:$J$304,0))="","",INDEX(Pendências!$H$5:$H$304,MATCH(LARGE(Pendências!$J$5:$J$304,1),Pendências!$J$5:$J$304,0))),""),"")</f>
        <v>Atrasada</v>
      </c>
      <c r="F10" s="21" t="str">
        <f>IFERROR(IF(LARGE(Pendências!$J$5:$J$304,1)&gt;0,IF(INDEX(Pendências!$E$5:$E$304,MATCH(LARGE(Pendências!$J$5:$J$304,1),Pendências!$J$5:$J$304,0))="","",INDEX(Pendências!$E$5:$E$304,MATCH(LARGE(Pendências!$J$5:$J$304,1),Pendências!$J$5:$J$304,0))),""),"")</f>
        <v>Alta</v>
      </c>
      <c r="G10" s="21" t="str">
        <f>IFERROR(IF(LARGE(Pendências!$J$5:$J$304,1)&gt;0,IF(INDEX(Pendências!$A$5:$A$304,MATCH(LARGE(Pendências!$J$5:$J$304,1),Pendências!$J$5:$J$304,0))="","",INDEX(Pendências!$A$5:$A$304,MATCH(LARGE(Pendências!$J$5:$J$304,1),Pendências!$J$5:$J$304,0))),""),"")</f>
        <v>R-002</v>
      </c>
      <c r="H10" s="24">
        <f>IFERROR(IF(LARGE(Pendências!$J$5:$J$304,1)&gt;0,IF(INDEX(Pendências!$I$5:$I$304,MATCH(LARGE(Pendências!$J$5:$J$304,1),Pendências!$J$5:$J$304,0))="","",INDEX(Pendências!$I$5:$I$304,MATCH(LARGE(Pendências!$J$5:$J$304,1),Pendências!$J$5:$J$304,0))),""),"")</f>
        <v>-2</v>
      </c>
    </row>
    <row r="11">
      <c r="A11" s="21" t="n">
        <v>2</v>
      </c>
      <c r="B11" s="22" t="str">
        <f>IFERROR(IF(LARGE(Pendências!$J$5:$J$304,2)&gt;0,IF(INDEX(Pendências!$B$5:$B$304,MATCH(LARGE(Pendências!$J$5:$J$304,2),Pendências!$J$5:$J$304,0))="","",INDEX(Pendências!$B$5:$B$304,MATCH(LARGE(Pendências!$J$5:$J$304,2),Pendências!$J$5:$J$304,0))),""),"")</f>
        <v>Confirmar a reunião de quarta com o Bistrô</v>
      </c>
      <c r="C11" s="21" t="str">
        <f>IFERROR(IF(LARGE(Pendências!$J$5:$J$304,2)&gt;0,IF(INDEX(Pendências!$C$5:$C$304,MATCH(LARGE(Pendências!$J$5:$J$304,2),Pendências!$J$5:$J$304,0))="","",INDEX(Pendências!$C$5:$C$304,MATCH(LARGE(Pendências!$J$5:$J$304,2),Pendências!$J$5:$J$304,0))),""),"")</f>
        <v>Ana</v>
      </c>
      <c r="D11" s="23">
        <f>IFERROR(IF(LARGE(Pendências!$J$5:$J$304,2)&gt;0,IF(INDEX(Pendências!$D$5:$D$304,MATCH(LARGE(Pendências!$J$5:$J$304,2),Pendências!$J$5:$J$304,0))="","",INDEX(Pendências!$D$5:$D$304,MATCH(LARGE(Pendências!$J$5:$J$304,2),Pendências!$J$5:$J$304,0))),""),"")</f>
        <v>46276.0</v>
      </c>
      <c r="E11" s="21" t="str">
        <f>IFERROR(IF(LARGE(Pendências!$J$5:$J$304,2)&gt;0,IF(INDEX(Pendências!$H$5:$H$304,MATCH(LARGE(Pendências!$J$5:$J$304,2),Pendências!$J$5:$J$304,0))="","",INDEX(Pendências!$H$5:$H$304,MATCH(LARGE(Pendências!$J$5:$J$304,2),Pendências!$J$5:$J$304,0))),""),"")</f>
        <v>Atrasada</v>
      </c>
      <c r="F11" s="21" t="str">
        <f>IFERROR(IF(LARGE(Pendências!$J$5:$J$304,2)&gt;0,IF(INDEX(Pendências!$E$5:$E$304,MATCH(LARGE(Pendências!$J$5:$J$304,2),Pendências!$J$5:$J$304,0))="","",INDEX(Pendências!$E$5:$E$304,MATCH(LARGE(Pendências!$J$5:$J$304,2),Pendências!$J$5:$J$304,0))),""),"")</f>
        <v>Média</v>
      </c>
      <c r="G11" s="21" t="str">
        <f>IFERROR(IF(LARGE(Pendências!$J$5:$J$304,2)&gt;0,IF(INDEX(Pendências!$A$5:$A$304,MATCH(LARGE(Pendências!$J$5:$J$304,2),Pendências!$J$5:$J$304,0))="","",INDEX(Pendências!$A$5:$A$304,MATCH(LARGE(Pendências!$J$5:$J$304,2),Pendências!$J$5:$J$304,0))),""),"")</f>
        <v>R-004</v>
      </c>
      <c r="H11" s="24">
        <f>IFERROR(IF(LARGE(Pendências!$J$5:$J$304,2)&gt;0,IF(INDEX(Pendências!$I$5:$I$304,MATCH(LARGE(Pendências!$J$5:$J$304,2),Pendências!$J$5:$J$304,0))="","",INDEX(Pendências!$I$5:$I$304,MATCH(LARGE(Pendências!$J$5:$J$304,2),Pendências!$J$5:$J$304,0))),""),"")</f>
        <v>-3</v>
      </c>
    </row>
    <row r="12">
      <c r="A12" s="21" t="n">
        <v>3</v>
      </c>
      <c r="B12" s="22" t="str">
        <f>IFERROR(IF(LARGE(Pendências!$J$5:$J$304,3)&gt;0,IF(INDEX(Pendências!$B$5:$B$304,MATCH(LARGE(Pendências!$J$5:$J$304,3),Pendências!$J$5:$J$304,0))="","",INDEX(Pendências!$B$5:$B$304,MATCH(LARGE(Pendências!$J$5:$J$304,3),Pendências!$J$5:$J$304,0))),""),"")</f>
        <v>Levantar custo do freela de motion</v>
      </c>
      <c r="C12" s="21" t="str">
        <f>IFERROR(IF(LARGE(Pendências!$J$5:$J$304,3)&gt;0,IF(INDEX(Pendências!$C$5:$C$304,MATCH(LARGE(Pendências!$J$5:$J$304,3),Pendências!$J$5:$J$304,0))="","",INDEX(Pendências!$C$5:$C$304,MATCH(LARGE(Pendências!$J$5:$J$304,3),Pendências!$J$5:$J$304,0))),""),"")</f>
        <v>Ana</v>
      </c>
      <c r="D12" s="23">
        <f>IFERROR(IF(LARGE(Pendências!$J$5:$J$304,3)&gt;0,IF(INDEX(Pendências!$D$5:$D$304,MATCH(LARGE(Pendências!$J$5:$J$304,3),Pendências!$J$5:$J$304,0))="","",INDEX(Pendências!$D$5:$D$304,MATCH(LARGE(Pendências!$J$5:$J$304,3),Pendências!$J$5:$J$304,0))),""),"")</f>
        <v>46278.0</v>
      </c>
      <c r="E12" s="21" t="str">
        <f>IFERROR(IF(LARGE(Pendências!$J$5:$J$304,3)&gt;0,IF(INDEX(Pendências!$H$5:$H$304,MATCH(LARGE(Pendências!$J$5:$J$304,3),Pendências!$J$5:$J$304,0))="","",INDEX(Pendências!$H$5:$H$304,MATCH(LARGE(Pendências!$J$5:$J$304,3),Pendências!$J$5:$J$304,0))),""),"")</f>
        <v>Atrasada</v>
      </c>
      <c r="F12" s="21" t="str">
        <f>IFERROR(IF(LARGE(Pendências!$J$5:$J$304,3)&gt;0,IF(INDEX(Pendências!$E$5:$E$304,MATCH(LARGE(Pendências!$J$5:$J$304,3),Pendências!$J$5:$J$304,0))="","",INDEX(Pendências!$E$5:$E$304,MATCH(LARGE(Pendências!$J$5:$J$304,3),Pendências!$J$5:$J$304,0))),""),"")</f>
        <v>Baixa</v>
      </c>
      <c r="G12" s="21" t="str">
        <f>IFERROR(IF(LARGE(Pendências!$J$5:$J$304,3)&gt;0,IF(INDEX(Pendências!$A$5:$A$304,MATCH(LARGE(Pendências!$J$5:$J$304,3),Pendências!$J$5:$J$304,0))="","",INDEX(Pendências!$A$5:$A$304,MATCH(LARGE(Pendências!$J$5:$J$304,3),Pendências!$J$5:$J$304,0))),""),"")</f>
        <v>R-004</v>
      </c>
      <c r="H12" s="24">
        <f>IFERROR(IF(LARGE(Pendências!$J$5:$J$304,3)&gt;0,IF(INDEX(Pendências!$I$5:$I$304,MATCH(LARGE(Pendências!$J$5:$J$304,3),Pendências!$J$5:$J$304,0))="","",INDEX(Pendências!$I$5:$I$304,MATCH(LARGE(Pendências!$J$5:$J$304,3),Pendências!$J$5:$J$304,0))),""),"")</f>
        <v>-1</v>
      </c>
    </row>
    <row r="13">
      <c r="A13" s="21" t="n">
        <v>4</v>
      </c>
      <c r="B13" s="22" t="str">
        <f>IFERROR(IF(LARGE(Pendências!$J$5:$J$304,4)&gt;0,IF(INDEX(Pendências!$B$5:$B$304,MATCH(LARGE(Pendências!$J$5:$J$304,4),Pendências!$J$5:$J$304,0))="","",INDEX(Pendências!$B$5:$B$304,MATCH(LARGE(Pendências!$J$5:$J$304,4),Pendências!$J$5:$J$304,0))),""),"")</f>
        <v>Fechar o manual da marca da Padaria</v>
      </c>
      <c r="C13" s="21" t="str">
        <f>IFERROR(IF(LARGE(Pendências!$J$5:$J$304,4)&gt;0,IF(INDEX(Pendências!$C$5:$C$304,MATCH(LARGE(Pendências!$J$5:$J$304,4),Pendências!$J$5:$J$304,0))="","",INDEX(Pendências!$C$5:$C$304,MATCH(LARGE(Pendências!$J$5:$J$304,4),Pendências!$J$5:$J$304,0))),""),"")</f>
        <v>Carla</v>
      </c>
      <c r="D13" s="23">
        <f>IFERROR(IF(LARGE(Pendências!$J$5:$J$304,4)&gt;0,IF(INDEX(Pendências!$D$5:$D$304,MATCH(LARGE(Pendências!$J$5:$J$304,4),Pendências!$J$5:$J$304,0))="","",INDEX(Pendências!$D$5:$D$304,MATCH(LARGE(Pendências!$J$5:$J$304,4),Pendências!$J$5:$J$304,0))),""),"")</f>
        <v>46280.0</v>
      </c>
      <c r="E13" s="21" t="str">
        <f>IFERROR(IF(LARGE(Pendências!$J$5:$J$304,4)&gt;0,IF(INDEX(Pendências!$H$5:$H$304,MATCH(LARGE(Pendências!$J$5:$J$304,4),Pendências!$J$5:$J$304,0))="","",INDEX(Pendências!$H$5:$H$304,MATCH(LARGE(Pendências!$J$5:$J$304,4),Pendências!$J$5:$J$304,0))),""),"")</f>
        <v>Esta semana</v>
      </c>
      <c r="F13" s="21" t="str">
        <f>IFERROR(IF(LARGE(Pendências!$J$5:$J$304,4)&gt;0,IF(INDEX(Pendências!$E$5:$E$304,MATCH(LARGE(Pendências!$J$5:$J$304,4),Pendências!$J$5:$J$304,0))="","",INDEX(Pendências!$E$5:$E$304,MATCH(LARGE(Pendências!$J$5:$J$304,4),Pendências!$J$5:$J$304,0))),""),"")</f>
        <v>Alta</v>
      </c>
      <c r="G13" s="21" t="str">
        <f>IFERROR(IF(LARGE(Pendências!$J$5:$J$304,4)&gt;0,IF(INDEX(Pendências!$A$5:$A$304,MATCH(LARGE(Pendências!$J$5:$J$304,4),Pendências!$J$5:$J$304,0))="","",INDEX(Pendências!$A$5:$A$304,MATCH(LARGE(Pendências!$J$5:$J$304,4),Pendências!$J$5:$J$304,0))),""),"")</f>
        <v>R-004</v>
      </c>
      <c r="H13" s="24">
        <f>IFERROR(IF(LARGE(Pendências!$J$5:$J$304,4)&gt;0,IF(INDEX(Pendências!$I$5:$I$304,MATCH(LARGE(Pendências!$J$5:$J$304,4),Pendências!$J$5:$J$304,0))="","",INDEX(Pendências!$I$5:$I$304,MATCH(LARGE(Pendências!$J$5:$J$304,4),Pendências!$J$5:$J$304,0))),""),"")</f>
        <v>1</v>
      </c>
    </row>
    <row r="14">
      <c r="A14" s="21" t="n">
        <v>5</v>
      </c>
      <c r="B14" s="22" t="str">
        <f>IFERROR(IF(LARGE(Pendências!$J$5:$J$304,5)&gt;0,IF(INDEX(Pendências!$B$5:$B$304,MATCH(LARGE(Pendências!$J$5:$J$304,5),Pendências!$J$5:$J$304,0))="","",INDEX(Pendências!$B$5:$B$304,MATCH(LARGE(Pendências!$J$5:$J$304,5),Pendências!$J$5:$J$304,0))),""),"")</f>
        <v>Enviar 3 referências de diagramação</v>
      </c>
      <c r="C14" s="21" t="str">
        <f>IFERROR(IF(LARGE(Pendências!$J$5:$J$304,5)&gt;0,IF(INDEX(Pendências!$C$5:$C$304,MATCH(LARGE(Pendências!$J$5:$J$304,5),Pendências!$J$5:$J$304,0))="","",INDEX(Pendências!$C$5:$C$304,MATCH(LARGE(Pendências!$J$5:$J$304,5),Pendências!$J$5:$J$304,0))),""),"")</f>
        <v>Bruno</v>
      </c>
      <c r="D14" s="23">
        <f>IFERROR(IF(LARGE(Pendências!$J$5:$J$304,5)&gt;0,IF(INDEX(Pendências!$D$5:$D$304,MATCH(LARGE(Pendências!$J$5:$J$304,5),Pendências!$J$5:$J$304,0))="","",INDEX(Pendências!$D$5:$D$304,MATCH(LARGE(Pendências!$J$5:$J$304,5),Pendências!$J$5:$J$304,0))),""),"")</f>
        <v>46281.0</v>
      </c>
      <c r="E14" s="21" t="str">
        <f>IFERROR(IF(LARGE(Pendências!$J$5:$J$304,5)&gt;0,IF(INDEX(Pendências!$H$5:$H$304,MATCH(LARGE(Pendências!$J$5:$J$304,5),Pendências!$J$5:$J$304,0))="","",INDEX(Pendências!$H$5:$H$304,MATCH(LARGE(Pendências!$J$5:$J$304,5),Pendências!$J$5:$J$304,0))),""),"")</f>
        <v>Esta semana</v>
      </c>
      <c r="F14" s="21" t="str">
        <f>IFERROR(IF(LARGE(Pendências!$J$5:$J$304,5)&gt;0,IF(INDEX(Pendências!$E$5:$E$304,MATCH(LARGE(Pendências!$J$5:$J$304,5),Pendências!$J$5:$J$304,0))="","",INDEX(Pendências!$E$5:$E$304,MATCH(LARGE(Pendências!$J$5:$J$304,5),Pendências!$J$5:$J$304,0))),""),"")</f>
        <v>Média</v>
      </c>
      <c r="G14" s="21" t="str">
        <f>IFERROR(IF(LARGE(Pendências!$J$5:$J$304,5)&gt;0,IF(INDEX(Pendências!$A$5:$A$304,MATCH(LARGE(Pendências!$J$5:$J$304,5),Pendências!$J$5:$J$304,0))="","",INDEX(Pendências!$A$5:$A$304,MATCH(LARGE(Pendências!$J$5:$J$304,5),Pendências!$J$5:$J$304,0))),""),"")</f>
        <v>R-003</v>
      </c>
      <c r="H14" s="24">
        <f>IFERROR(IF(LARGE(Pendências!$J$5:$J$304,5)&gt;0,IF(INDEX(Pendências!$I$5:$I$304,MATCH(LARGE(Pendências!$J$5:$J$304,5),Pendências!$J$5:$J$304,0))="","",INDEX(Pendências!$I$5:$I$304,MATCH(LARGE(Pendências!$J$5:$J$304,5),Pendências!$J$5:$J$304,0))),""),"")</f>
        <v>2</v>
      </c>
    </row>
    <row r="15">
      <c r="A15" s="21" t="n">
        <v>6</v>
      </c>
      <c r="B15" s="22" t="str">
        <f>IFERROR(IF(LARGE(Pendências!$J$5:$J$304,6)&gt;0,IF(INDEX(Pendências!$B$5:$B$304,MATCH(LARGE(Pendências!$J$5:$J$304,6),Pendências!$J$5:$J$304,0))="","",INDEX(Pendências!$B$5:$B$304,MATCH(LARGE(Pendências!$J$5:$J$304,6),Pendências!$J$5:$J$304,0))),""),"")</f>
        <v>Preparar o servidor e o domínio do site</v>
      </c>
      <c r="C15" s="21" t="str">
        <f>IFERROR(IF(LARGE(Pendências!$J$5:$J$304,6)&gt;0,IF(INDEX(Pendências!$C$5:$C$304,MATCH(LARGE(Pendências!$J$5:$J$304,6),Pendências!$J$5:$J$304,0))="","",INDEX(Pendências!$C$5:$C$304,MATCH(LARGE(Pendências!$J$5:$J$304,6),Pendências!$J$5:$J$304,0))),""),"")</f>
        <v>Diego</v>
      </c>
      <c r="D15" s="23">
        <f>IFERROR(IF(LARGE(Pendências!$J$5:$J$304,6)&gt;0,IF(INDEX(Pendências!$D$5:$D$304,MATCH(LARGE(Pendências!$J$5:$J$304,6),Pendências!$J$5:$J$304,0))="","",INDEX(Pendências!$D$5:$D$304,MATCH(LARGE(Pendências!$J$5:$J$304,6),Pendências!$J$5:$J$304,0))),""),"")</f>
        <v>46283.0</v>
      </c>
      <c r="E15" s="21" t="str">
        <f>IFERROR(IF(LARGE(Pendências!$J$5:$J$304,6)&gt;0,IF(INDEX(Pendências!$H$5:$H$304,MATCH(LARGE(Pendências!$J$5:$J$304,6),Pendências!$J$5:$J$304,0))="","",INDEX(Pendências!$H$5:$H$304,MATCH(LARGE(Pendências!$J$5:$J$304,6),Pendências!$J$5:$J$304,0))),""),"")</f>
        <v>Esta semana</v>
      </c>
      <c r="F15" s="21" t="str">
        <f>IFERROR(IF(LARGE(Pendências!$J$5:$J$304,6)&gt;0,IF(INDEX(Pendências!$E$5:$E$304,MATCH(LARGE(Pendências!$J$5:$J$304,6),Pendências!$J$5:$J$304,0))="","",INDEX(Pendências!$E$5:$E$304,MATCH(LARGE(Pendências!$J$5:$J$304,6),Pendências!$J$5:$J$304,0))),""),"")</f>
        <v>Média</v>
      </c>
      <c r="G15" s="21" t="str">
        <f>IFERROR(IF(LARGE(Pendências!$J$5:$J$304,6)&gt;0,IF(INDEX(Pendências!$A$5:$A$304,MATCH(LARGE(Pendências!$J$5:$J$304,6),Pendências!$J$5:$J$304,0))="","",INDEX(Pendências!$A$5:$A$304,MATCH(LARGE(Pendências!$J$5:$J$304,6),Pendências!$J$5:$J$304,0))),""),"")</f>
        <v>R-004</v>
      </c>
      <c r="H15" s="24">
        <f>IFERROR(IF(LARGE(Pendências!$J$5:$J$304,6)&gt;0,IF(INDEX(Pendências!$I$5:$I$304,MATCH(LARGE(Pendências!$J$5:$J$304,6),Pendências!$J$5:$J$304,0))="","",INDEX(Pendências!$I$5:$I$304,MATCH(LARGE(Pendências!$J$5:$J$304,6),Pendências!$J$5:$J$304,0))),""),"")</f>
        <v>4</v>
      </c>
    </row>
    <row r="16">
      <c r="A16" s="21" t="n">
        <v>7</v>
      </c>
      <c r="B16" s="22" t="str">
        <f>IFERROR(IF(LARGE(Pendências!$J$5:$J$304,7)&gt;0,IF(INDEX(Pendências!$B$5:$B$304,MATCH(LARGE(Pendências!$J$5:$J$304,7),Pendências!$J$5:$J$304,0))="","",INDEX(Pendências!$B$5:$B$304,MATCH(LARGE(Pendências!$J$5:$J$304,7),Pendências!$J$5:$J$304,0))),""),"")</f>
        <v>Revisar a proposta comercial da Aurora</v>
      </c>
      <c r="C16" s="21" t="str">
        <f>IFERROR(IF(LARGE(Pendências!$J$5:$J$304,7)&gt;0,IF(INDEX(Pendências!$C$5:$C$304,MATCH(LARGE(Pendências!$J$5:$J$304,7),Pendências!$J$5:$J$304,0))="","",INDEX(Pendências!$C$5:$C$304,MATCH(LARGE(Pendências!$J$5:$J$304,7),Pendências!$J$5:$J$304,0))),""),"")</f>
        <v>Ana</v>
      </c>
      <c r="D16" s="23">
        <f>IFERROR(IF(LARGE(Pendências!$J$5:$J$304,7)&gt;0,IF(INDEX(Pendências!$D$5:$D$304,MATCH(LARGE(Pendências!$J$5:$J$304,7),Pendências!$J$5:$J$304,0))="","",INDEX(Pendências!$D$5:$D$304,MATCH(LARGE(Pendências!$J$5:$J$304,7),Pendências!$J$5:$J$304,0))),""),"")</f>
        <v/>
      </c>
      <c r="E16" s="21" t="str">
        <f>IFERROR(IF(LARGE(Pendências!$J$5:$J$304,7)&gt;0,IF(INDEX(Pendências!$H$5:$H$304,MATCH(LARGE(Pendências!$J$5:$J$304,7),Pendências!$J$5:$J$304,0))="","",INDEX(Pendências!$H$5:$H$304,MATCH(LARGE(Pendências!$J$5:$J$304,7),Pendências!$J$5:$J$304,0))),""),"")</f>
        <v>Sem prazo</v>
      </c>
      <c r="F16" s="21" t="str">
        <f>IFERROR(IF(LARGE(Pendências!$J$5:$J$304,7)&gt;0,IF(INDEX(Pendências!$E$5:$E$304,MATCH(LARGE(Pendências!$J$5:$J$304,7),Pendências!$J$5:$J$304,0))="","",INDEX(Pendências!$E$5:$E$304,MATCH(LARGE(Pendências!$J$5:$J$304,7),Pendências!$J$5:$J$304,0))),""),"")</f>
        <v>Média</v>
      </c>
      <c r="G16" s="21" t="str">
        <f>IFERROR(IF(LARGE(Pendências!$J$5:$J$304,7)&gt;0,IF(INDEX(Pendências!$A$5:$A$304,MATCH(LARGE(Pendências!$J$5:$J$304,7),Pendências!$J$5:$J$304,0))="","",INDEX(Pendências!$A$5:$A$304,MATCH(LARGE(Pendências!$J$5:$J$304,7),Pendências!$J$5:$J$304,0))),""),"")</f>
        <v>R-004</v>
      </c>
      <c r="H16" s="24">
        <f>IFERROR(IF(LARGE(Pendências!$J$5:$J$304,7)&gt;0,IF(INDEX(Pendências!$I$5:$I$304,MATCH(LARGE(Pendências!$J$5:$J$304,7),Pendências!$J$5:$J$304,0))="","",INDEX(Pendências!$I$5:$I$304,MATCH(LARGE(Pendências!$J$5:$J$304,7),Pendências!$J$5:$J$304,0))),""),"")</f>
        <v/>
      </c>
    </row>
    <row r="17">
      <c r="A17" s="21" t="n">
        <v>8</v>
      </c>
      <c r="B17" s="22">
        <f>IFERROR(IF(LARGE(Pendências!$J$5:$J$304,8)&gt;0,IF(INDEX(Pendências!$B$5:$B$304,MATCH(LARGE(Pendências!$J$5:$J$304,8),Pendências!$J$5:$J$304,0))="","",INDEX(Pendências!$B$5:$B$304,MATCH(LARGE(Pendências!$J$5:$J$304,8),Pendências!$J$5:$J$304,0))),""),"")</f>
        <v/>
      </c>
      <c r="C17" s="21">
        <f>IFERROR(IF(LARGE(Pendências!$J$5:$J$304,8)&gt;0,IF(INDEX(Pendências!$C$5:$C$304,MATCH(LARGE(Pendências!$J$5:$J$304,8),Pendências!$J$5:$J$304,0))="","",INDEX(Pendências!$C$5:$C$304,MATCH(LARGE(Pendências!$J$5:$J$304,8),Pendências!$J$5:$J$304,0))),""),"")</f>
        <v/>
      </c>
      <c r="D17" s="23">
        <f>IFERROR(IF(LARGE(Pendências!$J$5:$J$304,8)&gt;0,IF(INDEX(Pendências!$D$5:$D$304,MATCH(LARGE(Pendências!$J$5:$J$304,8),Pendências!$J$5:$J$304,0))="","",INDEX(Pendências!$D$5:$D$304,MATCH(LARGE(Pendências!$J$5:$J$304,8),Pendências!$J$5:$J$304,0))),""),"")</f>
        <v/>
      </c>
      <c r="E17" s="21">
        <f>IFERROR(IF(LARGE(Pendências!$J$5:$J$304,8)&gt;0,IF(INDEX(Pendências!$H$5:$H$304,MATCH(LARGE(Pendências!$J$5:$J$304,8),Pendências!$J$5:$J$304,0))="","",INDEX(Pendências!$H$5:$H$304,MATCH(LARGE(Pendências!$J$5:$J$304,8),Pendências!$J$5:$J$304,0))),""),"")</f>
        <v/>
      </c>
      <c r="F17" s="21">
        <f>IFERROR(IF(LARGE(Pendências!$J$5:$J$304,8)&gt;0,IF(INDEX(Pendências!$E$5:$E$304,MATCH(LARGE(Pendências!$J$5:$J$304,8),Pendências!$J$5:$J$304,0))="","",INDEX(Pendências!$E$5:$E$304,MATCH(LARGE(Pendências!$J$5:$J$304,8),Pendências!$J$5:$J$304,0))),""),"")</f>
        <v/>
      </c>
      <c r="G17" s="21">
        <f>IFERROR(IF(LARGE(Pendências!$J$5:$J$304,8)&gt;0,IF(INDEX(Pendências!$A$5:$A$304,MATCH(LARGE(Pendências!$J$5:$J$304,8),Pendências!$J$5:$J$304,0))="","",INDEX(Pendências!$A$5:$A$304,MATCH(LARGE(Pendências!$J$5:$J$304,8),Pendências!$J$5:$J$304,0))),""),"")</f>
        <v/>
      </c>
      <c r="H17" s="24">
        <f>IFERROR(IF(LARGE(Pendências!$J$5:$J$304,8)&gt;0,IF(INDEX(Pendências!$I$5:$I$304,MATCH(LARGE(Pendências!$J$5:$J$304,8),Pendências!$J$5:$J$304,0))="","",INDEX(Pendências!$I$5:$I$304,MATCH(LARGE(Pendências!$J$5:$J$304,8),Pendências!$J$5:$J$304,0))),""),"")</f>
        <v/>
      </c>
    </row>
    <row r="18">
      <c r="A18" s="21" t="n">
        <v>9</v>
      </c>
      <c r="B18" s="22">
        <f>IFERROR(IF(LARGE(Pendências!$J$5:$J$304,9)&gt;0,IF(INDEX(Pendências!$B$5:$B$304,MATCH(LARGE(Pendências!$J$5:$J$304,9),Pendências!$J$5:$J$304,0))="","",INDEX(Pendências!$B$5:$B$304,MATCH(LARGE(Pendências!$J$5:$J$304,9),Pendências!$J$5:$J$304,0))),""),"")</f>
        <v/>
      </c>
      <c r="C18" s="21">
        <f>IFERROR(IF(LARGE(Pendências!$J$5:$J$304,9)&gt;0,IF(INDEX(Pendências!$C$5:$C$304,MATCH(LARGE(Pendências!$J$5:$J$304,9),Pendências!$J$5:$J$304,0))="","",INDEX(Pendências!$C$5:$C$304,MATCH(LARGE(Pendências!$J$5:$J$304,9),Pendências!$J$5:$J$304,0))),""),"")</f>
        <v/>
      </c>
      <c r="D18" s="23">
        <f>IFERROR(IF(LARGE(Pendências!$J$5:$J$304,9)&gt;0,IF(INDEX(Pendências!$D$5:$D$304,MATCH(LARGE(Pendências!$J$5:$J$304,9),Pendências!$J$5:$J$304,0))="","",INDEX(Pendências!$D$5:$D$304,MATCH(LARGE(Pendências!$J$5:$J$304,9),Pendências!$J$5:$J$304,0))),""),"")</f>
        <v/>
      </c>
      <c r="E18" s="21">
        <f>IFERROR(IF(LARGE(Pendências!$J$5:$J$304,9)&gt;0,IF(INDEX(Pendências!$H$5:$H$304,MATCH(LARGE(Pendências!$J$5:$J$304,9),Pendências!$J$5:$J$304,0))="","",INDEX(Pendências!$H$5:$H$304,MATCH(LARGE(Pendências!$J$5:$J$304,9),Pendências!$J$5:$J$304,0))),""),"")</f>
        <v/>
      </c>
      <c r="F18" s="21">
        <f>IFERROR(IF(LARGE(Pendências!$J$5:$J$304,9)&gt;0,IF(INDEX(Pendências!$E$5:$E$304,MATCH(LARGE(Pendências!$J$5:$J$304,9),Pendências!$J$5:$J$304,0))="","",INDEX(Pendências!$E$5:$E$304,MATCH(LARGE(Pendências!$J$5:$J$304,9),Pendências!$J$5:$J$304,0))),""),"")</f>
        <v/>
      </c>
      <c r="G18" s="21">
        <f>IFERROR(IF(LARGE(Pendências!$J$5:$J$304,9)&gt;0,IF(INDEX(Pendências!$A$5:$A$304,MATCH(LARGE(Pendências!$J$5:$J$304,9),Pendências!$J$5:$J$304,0))="","",INDEX(Pendências!$A$5:$A$304,MATCH(LARGE(Pendências!$J$5:$J$304,9),Pendências!$J$5:$J$304,0))),""),"")</f>
        <v/>
      </c>
      <c r="H18" s="24">
        <f>IFERROR(IF(LARGE(Pendências!$J$5:$J$304,9)&gt;0,IF(INDEX(Pendências!$I$5:$I$304,MATCH(LARGE(Pendências!$J$5:$J$304,9),Pendências!$J$5:$J$304,0))="","",INDEX(Pendências!$I$5:$I$304,MATCH(LARGE(Pendências!$J$5:$J$304,9),Pendências!$J$5:$J$304,0))),""),"")</f>
        <v/>
      </c>
    </row>
    <row r="19">
      <c r="A19" s="21" t="n">
        <v>10</v>
      </c>
      <c r="B19" s="22">
        <f>IFERROR(IF(LARGE(Pendências!$J$5:$J$304,10)&gt;0,IF(INDEX(Pendências!$B$5:$B$304,MATCH(LARGE(Pendências!$J$5:$J$304,10),Pendências!$J$5:$J$304,0))="","",INDEX(Pendências!$B$5:$B$304,MATCH(LARGE(Pendências!$J$5:$J$304,10),Pendências!$J$5:$J$304,0))),""),"")</f>
        <v/>
      </c>
      <c r="C19" s="21">
        <f>IFERROR(IF(LARGE(Pendências!$J$5:$J$304,10)&gt;0,IF(INDEX(Pendências!$C$5:$C$304,MATCH(LARGE(Pendências!$J$5:$J$304,10),Pendências!$J$5:$J$304,0))="","",INDEX(Pendências!$C$5:$C$304,MATCH(LARGE(Pendências!$J$5:$J$304,10),Pendências!$J$5:$J$304,0))),""),"")</f>
        <v/>
      </c>
      <c r="D19" s="23">
        <f>IFERROR(IF(LARGE(Pendências!$J$5:$J$304,10)&gt;0,IF(INDEX(Pendências!$D$5:$D$304,MATCH(LARGE(Pendências!$J$5:$J$304,10),Pendências!$J$5:$J$304,0))="","",INDEX(Pendências!$D$5:$D$304,MATCH(LARGE(Pendências!$J$5:$J$304,10),Pendências!$J$5:$J$304,0))),""),"")</f>
        <v/>
      </c>
      <c r="E19" s="21">
        <f>IFERROR(IF(LARGE(Pendências!$J$5:$J$304,10)&gt;0,IF(INDEX(Pendências!$H$5:$H$304,MATCH(LARGE(Pendências!$J$5:$J$304,10),Pendências!$J$5:$J$304,0))="","",INDEX(Pendências!$H$5:$H$304,MATCH(LARGE(Pendências!$J$5:$J$304,10),Pendências!$J$5:$J$304,0))),""),"")</f>
        <v/>
      </c>
      <c r="F19" s="21">
        <f>IFERROR(IF(LARGE(Pendências!$J$5:$J$304,10)&gt;0,IF(INDEX(Pendências!$E$5:$E$304,MATCH(LARGE(Pendências!$J$5:$J$304,10),Pendências!$J$5:$J$304,0))="","",INDEX(Pendências!$E$5:$E$304,MATCH(LARGE(Pendências!$J$5:$J$304,10),Pendências!$J$5:$J$304,0))),""),"")</f>
        <v/>
      </c>
      <c r="G19" s="21">
        <f>IFERROR(IF(LARGE(Pendências!$J$5:$J$304,10)&gt;0,IF(INDEX(Pendências!$A$5:$A$304,MATCH(LARGE(Pendências!$J$5:$J$304,10),Pendências!$J$5:$J$304,0))="","",INDEX(Pendências!$A$5:$A$304,MATCH(LARGE(Pendências!$J$5:$J$304,10),Pendências!$J$5:$J$304,0))),""),"")</f>
        <v/>
      </c>
      <c r="H19" s="24">
        <f>IFERROR(IF(LARGE(Pendências!$J$5:$J$304,10)&gt;0,IF(INDEX(Pendências!$I$5:$I$304,MATCH(LARGE(Pendências!$J$5:$J$304,10),Pendências!$J$5:$J$304,0))="","",INDEX(Pendências!$I$5:$I$304,MATCH(LARGE(Pendências!$J$5:$J$304,10),Pendências!$J$5:$J$304,0))),""),"")</f>
        <v/>
      </c>
    </row>
    <row r="20">
      <c r="A20" s="21" t="n">
        <v>11</v>
      </c>
      <c r="B20" s="22">
        <f>IFERROR(IF(LARGE(Pendências!$J$5:$J$304,11)&gt;0,IF(INDEX(Pendências!$B$5:$B$304,MATCH(LARGE(Pendências!$J$5:$J$304,11),Pendências!$J$5:$J$304,0))="","",INDEX(Pendências!$B$5:$B$304,MATCH(LARGE(Pendências!$J$5:$J$304,11),Pendências!$J$5:$J$304,0))),""),"")</f>
        <v/>
      </c>
      <c r="C20" s="21">
        <f>IFERROR(IF(LARGE(Pendências!$J$5:$J$304,11)&gt;0,IF(INDEX(Pendências!$C$5:$C$304,MATCH(LARGE(Pendências!$J$5:$J$304,11),Pendências!$J$5:$J$304,0))="","",INDEX(Pendências!$C$5:$C$304,MATCH(LARGE(Pendências!$J$5:$J$304,11),Pendências!$J$5:$J$304,0))),""),"")</f>
        <v/>
      </c>
      <c r="D20" s="23">
        <f>IFERROR(IF(LARGE(Pendências!$J$5:$J$304,11)&gt;0,IF(INDEX(Pendências!$D$5:$D$304,MATCH(LARGE(Pendências!$J$5:$J$304,11),Pendências!$J$5:$J$304,0))="","",INDEX(Pendências!$D$5:$D$304,MATCH(LARGE(Pendências!$J$5:$J$304,11),Pendências!$J$5:$J$304,0))),""),"")</f>
        <v/>
      </c>
      <c r="E20" s="21">
        <f>IFERROR(IF(LARGE(Pendências!$J$5:$J$304,11)&gt;0,IF(INDEX(Pendências!$H$5:$H$304,MATCH(LARGE(Pendências!$J$5:$J$304,11),Pendências!$J$5:$J$304,0))="","",INDEX(Pendências!$H$5:$H$304,MATCH(LARGE(Pendências!$J$5:$J$304,11),Pendências!$J$5:$J$304,0))),""),"")</f>
        <v/>
      </c>
      <c r="F20" s="21">
        <f>IFERROR(IF(LARGE(Pendências!$J$5:$J$304,11)&gt;0,IF(INDEX(Pendências!$E$5:$E$304,MATCH(LARGE(Pendências!$J$5:$J$304,11),Pendências!$J$5:$J$304,0))="","",INDEX(Pendências!$E$5:$E$304,MATCH(LARGE(Pendências!$J$5:$J$304,11),Pendências!$J$5:$J$304,0))),""),"")</f>
        <v/>
      </c>
      <c r="G20" s="21">
        <f>IFERROR(IF(LARGE(Pendências!$J$5:$J$304,11)&gt;0,IF(INDEX(Pendências!$A$5:$A$304,MATCH(LARGE(Pendências!$J$5:$J$304,11),Pendências!$J$5:$J$304,0))="","",INDEX(Pendências!$A$5:$A$304,MATCH(LARGE(Pendências!$J$5:$J$304,11),Pendências!$J$5:$J$304,0))),""),"")</f>
        <v/>
      </c>
      <c r="H20" s="24">
        <f>IFERROR(IF(LARGE(Pendências!$J$5:$J$304,11)&gt;0,IF(INDEX(Pendências!$I$5:$I$304,MATCH(LARGE(Pendências!$J$5:$J$304,11),Pendências!$J$5:$J$304,0))="","",INDEX(Pendências!$I$5:$I$304,MATCH(LARGE(Pendências!$J$5:$J$304,11),Pendências!$J$5:$J$304,0))),""),"")</f>
        <v/>
      </c>
    </row>
    <row r="21">
      <c r="A21" s="21" t="n">
        <v>12</v>
      </c>
      <c r="B21" s="22">
        <f>IFERROR(IF(LARGE(Pendências!$J$5:$J$304,12)&gt;0,IF(INDEX(Pendências!$B$5:$B$304,MATCH(LARGE(Pendências!$J$5:$J$304,12),Pendências!$J$5:$J$304,0))="","",INDEX(Pendências!$B$5:$B$304,MATCH(LARGE(Pendências!$J$5:$J$304,12),Pendências!$J$5:$J$304,0))),""),"")</f>
        <v/>
      </c>
      <c r="C21" s="21">
        <f>IFERROR(IF(LARGE(Pendências!$J$5:$J$304,12)&gt;0,IF(INDEX(Pendências!$C$5:$C$304,MATCH(LARGE(Pendências!$J$5:$J$304,12),Pendências!$J$5:$J$304,0))="","",INDEX(Pendências!$C$5:$C$304,MATCH(LARGE(Pendências!$J$5:$J$304,12),Pendências!$J$5:$J$304,0))),""),"")</f>
        <v/>
      </c>
      <c r="D21" s="23">
        <f>IFERROR(IF(LARGE(Pendências!$J$5:$J$304,12)&gt;0,IF(INDEX(Pendências!$D$5:$D$304,MATCH(LARGE(Pendências!$J$5:$J$304,12),Pendências!$J$5:$J$304,0))="","",INDEX(Pendências!$D$5:$D$304,MATCH(LARGE(Pendências!$J$5:$J$304,12),Pendências!$J$5:$J$304,0))),""),"")</f>
        <v/>
      </c>
      <c r="E21" s="21">
        <f>IFERROR(IF(LARGE(Pendências!$J$5:$J$304,12)&gt;0,IF(INDEX(Pendências!$H$5:$H$304,MATCH(LARGE(Pendências!$J$5:$J$304,12),Pendências!$J$5:$J$304,0))="","",INDEX(Pendências!$H$5:$H$304,MATCH(LARGE(Pendências!$J$5:$J$304,12),Pendências!$J$5:$J$304,0))),""),"")</f>
        <v/>
      </c>
      <c r="F21" s="21">
        <f>IFERROR(IF(LARGE(Pendências!$J$5:$J$304,12)&gt;0,IF(INDEX(Pendências!$E$5:$E$304,MATCH(LARGE(Pendências!$J$5:$J$304,12),Pendências!$J$5:$J$304,0))="","",INDEX(Pendências!$E$5:$E$304,MATCH(LARGE(Pendências!$J$5:$J$304,12),Pendências!$J$5:$J$304,0))),""),"")</f>
        <v/>
      </c>
      <c r="G21" s="21">
        <f>IFERROR(IF(LARGE(Pendências!$J$5:$J$304,12)&gt;0,IF(INDEX(Pendências!$A$5:$A$304,MATCH(LARGE(Pendências!$J$5:$J$304,12),Pendências!$J$5:$J$304,0))="","",INDEX(Pendências!$A$5:$A$304,MATCH(LARGE(Pendências!$J$5:$J$304,12),Pendências!$J$5:$J$304,0))),""),"")</f>
        <v/>
      </c>
      <c r="H21" s="24">
        <f>IFERROR(IF(LARGE(Pendências!$J$5:$J$304,12)&gt;0,IF(INDEX(Pendências!$I$5:$I$304,MATCH(LARGE(Pendências!$J$5:$J$304,12),Pendências!$J$5:$J$304,0))="","",INDEX(Pendências!$I$5:$I$304,MATCH(LARGE(Pendências!$J$5:$J$304,12),Pendências!$J$5:$J$304,0))),""),"")</f>
        <v/>
      </c>
    </row>
    <row r="22">
      <c r="A22" s="21" t="n">
        <v>13</v>
      </c>
      <c r="B22" s="22">
        <f>IFERROR(IF(LARGE(Pendências!$J$5:$J$304,13)&gt;0,IF(INDEX(Pendências!$B$5:$B$304,MATCH(LARGE(Pendências!$J$5:$J$304,13),Pendências!$J$5:$J$304,0))="","",INDEX(Pendências!$B$5:$B$304,MATCH(LARGE(Pendências!$J$5:$J$304,13),Pendências!$J$5:$J$304,0))),""),"")</f>
        <v/>
      </c>
      <c r="C22" s="21">
        <f>IFERROR(IF(LARGE(Pendências!$J$5:$J$304,13)&gt;0,IF(INDEX(Pendências!$C$5:$C$304,MATCH(LARGE(Pendências!$J$5:$J$304,13),Pendências!$J$5:$J$304,0))="","",INDEX(Pendências!$C$5:$C$304,MATCH(LARGE(Pendências!$J$5:$J$304,13),Pendências!$J$5:$J$304,0))),""),"")</f>
        <v/>
      </c>
      <c r="D22" s="23">
        <f>IFERROR(IF(LARGE(Pendências!$J$5:$J$304,13)&gt;0,IF(INDEX(Pendências!$D$5:$D$304,MATCH(LARGE(Pendências!$J$5:$J$304,13),Pendências!$J$5:$J$304,0))="","",INDEX(Pendências!$D$5:$D$304,MATCH(LARGE(Pendências!$J$5:$J$304,13),Pendências!$J$5:$J$304,0))),""),"")</f>
        <v/>
      </c>
      <c r="E22" s="21">
        <f>IFERROR(IF(LARGE(Pendências!$J$5:$J$304,13)&gt;0,IF(INDEX(Pendências!$H$5:$H$304,MATCH(LARGE(Pendências!$J$5:$J$304,13),Pendências!$J$5:$J$304,0))="","",INDEX(Pendências!$H$5:$H$304,MATCH(LARGE(Pendências!$J$5:$J$304,13),Pendências!$J$5:$J$304,0))),""),"")</f>
        <v/>
      </c>
      <c r="F22" s="21">
        <f>IFERROR(IF(LARGE(Pendências!$J$5:$J$304,13)&gt;0,IF(INDEX(Pendências!$E$5:$E$304,MATCH(LARGE(Pendências!$J$5:$J$304,13),Pendências!$J$5:$J$304,0))="","",INDEX(Pendências!$E$5:$E$304,MATCH(LARGE(Pendências!$J$5:$J$304,13),Pendências!$J$5:$J$304,0))),""),"")</f>
        <v/>
      </c>
      <c r="G22" s="21">
        <f>IFERROR(IF(LARGE(Pendências!$J$5:$J$304,13)&gt;0,IF(INDEX(Pendências!$A$5:$A$304,MATCH(LARGE(Pendências!$J$5:$J$304,13),Pendências!$J$5:$J$304,0))="","",INDEX(Pendências!$A$5:$A$304,MATCH(LARGE(Pendências!$J$5:$J$304,13),Pendências!$J$5:$J$304,0))),""),"")</f>
        <v/>
      </c>
      <c r="H22" s="24">
        <f>IFERROR(IF(LARGE(Pendências!$J$5:$J$304,13)&gt;0,IF(INDEX(Pendências!$I$5:$I$304,MATCH(LARGE(Pendências!$J$5:$J$304,13),Pendências!$J$5:$J$304,0))="","",INDEX(Pendências!$I$5:$I$304,MATCH(LARGE(Pendências!$J$5:$J$304,13),Pendências!$J$5:$J$304,0))),""),"")</f>
        <v/>
      </c>
    </row>
    <row r="23">
      <c r="A23" s="21" t="n">
        <v>14</v>
      </c>
      <c r="B23" s="22">
        <f>IFERROR(IF(LARGE(Pendências!$J$5:$J$304,14)&gt;0,IF(INDEX(Pendências!$B$5:$B$304,MATCH(LARGE(Pendências!$J$5:$J$304,14),Pendências!$J$5:$J$304,0))="","",INDEX(Pendências!$B$5:$B$304,MATCH(LARGE(Pendências!$J$5:$J$304,14),Pendências!$J$5:$J$304,0))),""),"")</f>
        <v/>
      </c>
      <c r="C23" s="21">
        <f>IFERROR(IF(LARGE(Pendências!$J$5:$J$304,14)&gt;0,IF(INDEX(Pendências!$C$5:$C$304,MATCH(LARGE(Pendências!$J$5:$J$304,14),Pendências!$J$5:$J$304,0))="","",INDEX(Pendências!$C$5:$C$304,MATCH(LARGE(Pendências!$J$5:$J$304,14),Pendências!$J$5:$J$304,0))),""),"")</f>
        <v/>
      </c>
      <c r="D23" s="23">
        <f>IFERROR(IF(LARGE(Pendências!$J$5:$J$304,14)&gt;0,IF(INDEX(Pendências!$D$5:$D$304,MATCH(LARGE(Pendências!$J$5:$J$304,14),Pendências!$J$5:$J$304,0))="","",INDEX(Pendências!$D$5:$D$304,MATCH(LARGE(Pendências!$J$5:$J$304,14),Pendências!$J$5:$J$304,0))),""),"")</f>
        <v/>
      </c>
      <c r="E23" s="21">
        <f>IFERROR(IF(LARGE(Pendências!$J$5:$J$304,14)&gt;0,IF(INDEX(Pendências!$H$5:$H$304,MATCH(LARGE(Pendências!$J$5:$J$304,14),Pendências!$J$5:$J$304,0))="","",INDEX(Pendências!$H$5:$H$304,MATCH(LARGE(Pendências!$J$5:$J$304,14),Pendências!$J$5:$J$304,0))),""),"")</f>
        <v/>
      </c>
      <c r="F23" s="21">
        <f>IFERROR(IF(LARGE(Pendências!$J$5:$J$304,14)&gt;0,IF(INDEX(Pendências!$E$5:$E$304,MATCH(LARGE(Pendências!$J$5:$J$304,14),Pendências!$J$5:$J$304,0))="","",INDEX(Pendências!$E$5:$E$304,MATCH(LARGE(Pendências!$J$5:$J$304,14),Pendências!$J$5:$J$304,0))),""),"")</f>
        <v/>
      </c>
      <c r="G23" s="21">
        <f>IFERROR(IF(LARGE(Pendências!$J$5:$J$304,14)&gt;0,IF(INDEX(Pendências!$A$5:$A$304,MATCH(LARGE(Pendências!$J$5:$J$304,14),Pendências!$J$5:$J$304,0))="","",INDEX(Pendências!$A$5:$A$304,MATCH(LARGE(Pendências!$J$5:$J$304,14),Pendências!$J$5:$J$304,0))),""),"")</f>
        <v/>
      </c>
      <c r="H23" s="24">
        <f>IFERROR(IF(LARGE(Pendências!$J$5:$J$304,14)&gt;0,IF(INDEX(Pendências!$I$5:$I$304,MATCH(LARGE(Pendências!$J$5:$J$304,14),Pendências!$J$5:$J$304,0))="","",INDEX(Pendências!$I$5:$I$304,MATCH(LARGE(Pendências!$J$5:$J$304,14),Pendências!$J$5:$J$304,0))),""),"")</f>
        <v/>
      </c>
    </row>
    <row r="24">
      <c r="A24" s="21" t="n">
        <v>15</v>
      </c>
      <c r="B24" s="22">
        <f>IFERROR(IF(LARGE(Pendências!$J$5:$J$304,15)&gt;0,IF(INDEX(Pendências!$B$5:$B$304,MATCH(LARGE(Pendências!$J$5:$J$304,15),Pendências!$J$5:$J$304,0))="","",INDEX(Pendências!$B$5:$B$304,MATCH(LARGE(Pendências!$J$5:$J$304,15),Pendências!$J$5:$J$304,0))),""),"")</f>
        <v/>
      </c>
      <c r="C24" s="21">
        <f>IFERROR(IF(LARGE(Pendências!$J$5:$J$304,15)&gt;0,IF(INDEX(Pendências!$C$5:$C$304,MATCH(LARGE(Pendências!$J$5:$J$304,15),Pendências!$J$5:$J$304,0))="","",INDEX(Pendências!$C$5:$C$304,MATCH(LARGE(Pendências!$J$5:$J$304,15),Pendências!$J$5:$J$304,0))),""),"")</f>
        <v/>
      </c>
      <c r="D24" s="23">
        <f>IFERROR(IF(LARGE(Pendências!$J$5:$J$304,15)&gt;0,IF(INDEX(Pendências!$D$5:$D$304,MATCH(LARGE(Pendências!$J$5:$J$304,15),Pendências!$J$5:$J$304,0))="","",INDEX(Pendências!$D$5:$D$304,MATCH(LARGE(Pendências!$J$5:$J$304,15),Pendências!$J$5:$J$304,0))),""),"")</f>
        <v/>
      </c>
      <c r="E24" s="21">
        <f>IFERROR(IF(LARGE(Pendências!$J$5:$J$304,15)&gt;0,IF(INDEX(Pendências!$H$5:$H$304,MATCH(LARGE(Pendências!$J$5:$J$304,15),Pendências!$J$5:$J$304,0))="","",INDEX(Pendências!$H$5:$H$304,MATCH(LARGE(Pendências!$J$5:$J$304,15),Pendências!$J$5:$J$304,0))),""),"")</f>
        <v/>
      </c>
      <c r="F24" s="21">
        <f>IFERROR(IF(LARGE(Pendências!$J$5:$J$304,15)&gt;0,IF(INDEX(Pendências!$E$5:$E$304,MATCH(LARGE(Pendências!$J$5:$J$304,15),Pendências!$J$5:$J$304,0))="","",INDEX(Pendências!$E$5:$E$304,MATCH(LARGE(Pendências!$J$5:$J$304,15),Pendências!$J$5:$J$304,0))),""),"")</f>
        <v/>
      </c>
      <c r="G24" s="21">
        <f>IFERROR(IF(LARGE(Pendências!$J$5:$J$304,15)&gt;0,IF(INDEX(Pendências!$A$5:$A$304,MATCH(LARGE(Pendências!$J$5:$J$304,15),Pendências!$J$5:$J$304,0))="","",INDEX(Pendências!$A$5:$A$304,MATCH(LARGE(Pendências!$J$5:$J$304,15),Pendências!$J$5:$J$304,0))),""),"")</f>
        <v/>
      </c>
      <c r="H24" s="24">
        <f>IFERROR(IF(LARGE(Pendências!$J$5:$J$304,15)&gt;0,IF(INDEX(Pendências!$I$5:$I$304,MATCH(LARGE(Pendências!$J$5:$J$304,15),Pendências!$J$5:$J$304,0))="","",INDEX(Pendências!$I$5:$I$304,MATCH(LARGE(Pendências!$J$5:$J$304,15),Pendências!$J$5:$J$304,0))),""),"")</f>
        <v/>
      </c>
    </row>
    <row r="26">
      <c r="A26" s="19" t="inlineStr">
        <is>
          <t>Por pessoa</t>
        </is>
      </c>
    </row>
    <row r="27" ht="26" customHeight="1">
      <c r="A27" s="20" t="inlineStr">
        <is>
          <t>Pessoa</t>
        </is>
      </c>
      <c r="B27" s="20" t="inlineStr">
        <is>
          <t>Abertas</t>
        </is>
      </c>
      <c r="C27" s="20" t="inlineStr">
        <is>
          <t>Atrasadas</t>
        </is>
      </c>
      <c r="D27" s="20" t="inlineStr">
        <is>
          <t>Esta semana</t>
        </is>
      </c>
      <c r="E27" s="20" t="inlineStr">
        <is>
          <t>Feitas</t>
        </is>
      </c>
      <c r="F27" s="20" t="inlineStr">
        <is>
          <t>Próximo prazo</t>
        </is>
      </c>
    </row>
    <row r="28">
      <c r="A28" s="22" t="str">
        <f>IF(Config!$A$9="","",Config!$A$9)</f>
        <v>Ana</v>
      </c>
      <c r="B28" s="21">
        <f>IF(Config!$A$9="","",COUNTIFS(Pendências!$C$5:$C$304,Config!$A$9,Pendências!$B$5:$B$304,"&lt;&gt;",Pendências!$F$5:$F$304,"&lt;&gt;Feito"))</f>
        <v>3</v>
      </c>
      <c r="C28" s="21">
        <f>IF(Config!$A$9="","",COUNTIFS(Pendências!$C$5:$C$304,Config!$A$9,Pendências!$H$5:$H$304,"Atrasada"))</f>
        <v>2</v>
      </c>
      <c r="D28" s="21">
        <f>IF(Config!$A$9="","",COUNTIFS(Pendências!$C$5:$C$304,Config!$A$9,Pendências!$H$5:$H$304,"Esta semana")+COUNTIFS(Pendências!$C$5:$C$304,Config!$A$9,Pendências!$H$5:$H$304,"Hoje"))</f>
        <v>0</v>
      </c>
      <c r="E28" s="21">
        <f>IF(Config!$A$9="","",COUNTIFS(Pendências!$C$5:$C$304,Config!$A$9,Pendências!$F$5:$F$304,"Feito"))</f>
        <v>3</v>
      </c>
      <c r="F28" s="23">
        <f>IF(Config!$A$9="","",IFERROR(IF(OR(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=0,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&gt;=1E+10),"",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),""))</f>
        <v>46276.0</v>
      </c>
    </row>
    <row r="29">
      <c r="A29" s="22" t="str">
        <f>IF(Config!$A$10="","",Config!$A$10)</f>
        <v>Bruno</v>
      </c>
      <c r="B29" s="21">
        <f>IF(Config!$A$10="","",COUNTIFS(Pendências!$C$5:$C$304,Config!$A$10,Pendências!$B$5:$B$304,"&lt;&gt;",Pendências!$F$5:$F$304,"&lt;&gt;Feito"))</f>
        <v>1</v>
      </c>
      <c r="C29" s="21">
        <f>IF(Config!$A$10="","",COUNTIFS(Pendências!$C$5:$C$304,Config!$A$10,Pendências!$H$5:$H$304,"Atrasada"))</f>
        <v>0</v>
      </c>
      <c r="D29" s="21">
        <f>IF(Config!$A$10="","",COUNTIFS(Pendências!$C$5:$C$304,Config!$A$10,Pendências!$H$5:$H$304,"Esta semana")+COUNTIFS(Pendências!$C$5:$C$304,Config!$A$10,Pendências!$H$5:$H$304,"Hoje"))</f>
        <v>1</v>
      </c>
      <c r="E29" s="21">
        <f>IF(Config!$A$10="","",COUNTIFS(Pendências!$C$5:$C$304,Config!$A$10,Pendências!$F$5:$F$304,"Feito"))</f>
        <v>1</v>
      </c>
      <c r="F29" s="23">
        <f>IF(Config!$A$10="","",IFERROR(IF(OR(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=0,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&gt;=1E+10),"",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),""))</f>
        <v>46281.0</v>
      </c>
    </row>
    <row r="30">
      <c r="A30" s="22" t="str">
        <f>IF(Config!$A$11="","",Config!$A$11)</f>
        <v>Carla</v>
      </c>
      <c r="B30" s="21">
        <f>IF(Config!$A$11="","",COUNTIFS(Pendências!$C$5:$C$304,Config!$A$11,Pendências!$B$5:$B$304,"&lt;&gt;",Pendências!$F$5:$F$304,"&lt;&gt;Feito"))</f>
        <v>2</v>
      </c>
      <c r="C30" s="21">
        <f>IF(Config!$A$11="","",COUNTIFS(Pendências!$C$5:$C$304,Config!$A$11,Pendências!$H$5:$H$304,"Atrasada"))</f>
        <v>1</v>
      </c>
      <c r="D30" s="21">
        <f>IF(Config!$A$11="","",COUNTIFS(Pendências!$C$5:$C$304,Config!$A$11,Pendências!$H$5:$H$304,"Esta semana")+COUNTIFS(Pendências!$C$5:$C$304,Config!$A$11,Pendências!$H$5:$H$304,"Hoje"))</f>
        <v>1</v>
      </c>
      <c r="E30" s="21">
        <f>IF(Config!$A$11="","",COUNTIFS(Pendências!$C$5:$C$304,Config!$A$11,Pendências!$F$5:$F$304,"Feito"))</f>
        <v>0</v>
      </c>
      <c r="F30" s="23">
        <f>IF(Config!$A$11="","",IFERROR(IF(OR(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=0,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&gt;=1E+10),"",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),""))</f>
        <v>46277.0</v>
      </c>
    </row>
    <row r="31">
      <c r="A31" s="22" t="str">
        <f>IF(Config!$A$12="","",Config!$A$12)</f>
        <v>Diego</v>
      </c>
      <c r="B31" s="21">
        <f>IF(Config!$A$12="","",COUNTIFS(Pendências!$C$5:$C$304,Config!$A$12,Pendências!$B$5:$B$304,"&lt;&gt;",Pendências!$F$5:$F$304,"&lt;&gt;Feito"))</f>
        <v>1</v>
      </c>
      <c r="C31" s="21">
        <f>IF(Config!$A$12="","",COUNTIFS(Pendências!$C$5:$C$304,Config!$A$12,Pendências!$H$5:$H$304,"Atrasada"))</f>
        <v>0</v>
      </c>
      <c r="D31" s="21">
        <f>IF(Config!$A$12="","",COUNTIFS(Pendências!$C$5:$C$304,Config!$A$12,Pendências!$H$5:$H$304,"Esta semana")+COUNTIFS(Pendências!$C$5:$C$304,Config!$A$12,Pendências!$H$5:$H$304,"Hoje"))</f>
        <v>1</v>
      </c>
      <c r="E31" s="21">
        <f>IF(Config!$A$12="","",COUNTIFS(Pendências!$C$5:$C$304,Config!$A$12,Pendências!$F$5:$F$304,"Feito"))</f>
        <v>0</v>
      </c>
      <c r="F31" s="23">
        <f>IF(Config!$A$12="","",IFERROR(IF(OR(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=0,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&gt;=1E+10),"",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),""))</f>
        <v>46283.0</v>
      </c>
    </row>
    <row r="32">
      <c r="A32" s="22" t="str">
        <f>IF(Config!$A$13="","",Config!$A$13)</f>
        <v>Marina (cliente)</v>
      </c>
      <c r="B32" s="21">
        <f>IF(Config!$A$13="","",COUNTIFS(Pendências!$C$5:$C$304,Config!$A$13,Pendências!$B$5:$B$304,"&lt;&gt;",Pendências!$F$5:$F$304,"&lt;&gt;Feito"))</f>
        <v>0</v>
      </c>
      <c r="C32" s="21">
        <f>IF(Config!$A$13="","",COUNTIFS(Pendências!$C$5:$C$304,Config!$A$13,Pendências!$H$5:$H$304,"Atrasada"))</f>
        <v>0</v>
      </c>
      <c r="D32" s="21">
        <f>IF(Config!$A$13="","",COUNTIFS(Pendências!$C$5:$C$304,Config!$A$13,Pendências!$H$5:$H$304,"Esta semana")+COUNTIFS(Pendências!$C$5:$C$304,Config!$A$13,Pendências!$H$5:$H$304,"Hoje"))</f>
        <v>0</v>
      </c>
      <c r="E32" s="21">
        <f>IF(Config!$A$13="","",COUNTIFS(Pendências!$C$5:$C$304,Config!$A$13,Pendências!$F$5:$F$304,"Feito"))</f>
        <v>1</v>
      </c>
      <c r="F32" s="23">
        <f>IF(Config!$A$13="","",IFERROR(IF(OR(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=0,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&gt;=1E+10),"",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),""))</f>
        <v/>
      </c>
    </row>
    <row r="33">
      <c r="A33" s="22">
        <f>IF(Config!$A$14="","",Config!$A$14)</f>
        <v/>
      </c>
      <c r="B33" s="21">
        <f>IF(Config!$A$14="","",COUNTIFS(Pendências!$C$5:$C$304,Config!$A$14,Pendências!$B$5:$B$304,"&lt;&gt;",Pendências!$F$5:$F$304,"&lt;&gt;Feito"))</f>
        <v/>
      </c>
      <c r="C33" s="21">
        <f>IF(Config!$A$14="","",COUNTIFS(Pendências!$C$5:$C$304,Config!$A$14,Pendências!$H$5:$H$304,"Atrasada"))</f>
        <v/>
      </c>
      <c r="D33" s="21">
        <f>IF(Config!$A$14="","",COUNTIFS(Pendências!$C$5:$C$304,Config!$A$14,Pendências!$H$5:$H$304,"Esta semana")+COUNTIFS(Pendências!$C$5:$C$304,Config!$A$14,Pendências!$H$5:$H$304,"Hoje"))</f>
        <v/>
      </c>
      <c r="E33" s="21">
        <f>IF(Config!$A$14="","",COUNTIFS(Pendências!$C$5:$C$304,Config!$A$14,Pendências!$F$5:$F$304,"Feito"))</f>
        <v/>
      </c>
      <c r="F33" s="23">
        <f>IF(Config!$A$14="","",IFERROR(IF(OR(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=0,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&gt;=1E+10),"",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),""))</f>
        <v/>
      </c>
    </row>
    <row r="34">
      <c r="A34" s="22">
        <f>IF(Config!$A$15="","",Config!$A$15)</f>
        <v/>
      </c>
      <c r="B34" s="21">
        <f>IF(Config!$A$15="","",COUNTIFS(Pendências!$C$5:$C$304,Config!$A$15,Pendências!$B$5:$B$304,"&lt;&gt;",Pendências!$F$5:$F$304,"&lt;&gt;Feito"))</f>
        <v/>
      </c>
      <c r="C34" s="21">
        <f>IF(Config!$A$15="","",COUNTIFS(Pendências!$C$5:$C$304,Config!$A$15,Pendências!$H$5:$H$304,"Atrasada"))</f>
        <v/>
      </c>
      <c r="D34" s="21">
        <f>IF(Config!$A$15="","",COUNTIFS(Pendências!$C$5:$C$304,Config!$A$15,Pendências!$H$5:$H$304,"Esta semana")+COUNTIFS(Pendências!$C$5:$C$304,Config!$A$15,Pendências!$H$5:$H$304,"Hoje"))</f>
        <v/>
      </c>
      <c r="E34" s="21">
        <f>IF(Config!$A$15="","",COUNTIFS(Pendências!$C$5:$C$304,Config!$A$15,Pendências!$F$5:$F$304,"Feito"))</f>
        <v/>
      </c>
      <c r="F34" s="23">
        <f>IF(Config!$A$15="","",IFERROR(IF(OR(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=0,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&gt;=1E+10),"",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),""))</f>
        <v/>
      </c>
    </row>
    <row r="35">
      <c r="A35" s="22">
        <f>IF(Config!$A$16="","",Config!$A$16)</f>
        <v/>
      </c>
      <c r="B35" s="21">
        <f>IF(Config!$A$16="","",COUNTIFS(Pendências!$C$5:$C$304,Config!$A$16,Pendências!$B$5:$B$304,"&lt;&gt;",Pendências!$F$5:$F$304,"&lt;&gt;Feito"))</f>
        <v/>
      </c>
      <c r="C35" s="21">
        <f>IF(Config!$A$16="","",COUNTIFS(Pendências!$C$5:$C$304,Config!$A$16,Pendências!$H$5:$H$304,"Atrasada"))</f>
        <v/>
      </c>
      <c r="D35" s="21">
        <f>IF(Config!$A$16="","",COUNTIFS(Pendências!$C$5:$C$304,Config!$A$16,Pendências!$H$5:$H$304,"Esta semana")+COUNTIFS(Pendências!$C$5:$C$304,Config!$A$16,Pendências!$H$5:$H$304,"Hoje"))</f>
        <v/>
      </c>
      <c r="E35" s="21">
        <f>IF(Config!$A$16="","",COUNTIFS(Pendências!$C$5:$C$304,Config!$A$16,Pendências!$F$5:$F$304,"Feito"))</f>
        <v/>
      </c>
      <c r="F35" s="23">
        <f>IF(Config!$A$16="","",IFERROR(IF(OR(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=0,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&gt;=1E+10),"",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),""))</f>
        <v/>
      </c>
    </row>
    <row r="36">
      <c r="A36" s="22">
        <f>IF(Config!$A$17="","",Config!$A$17)</f>
        <v/>
      </c>
      <c r="B36" s="21">
        <f>IF(Config!$A$17="","",COUNTIFS(Pendências!$C$5:$C$304,Config!$A$17,Pendências!$B$5:$B$304,"&lt;&gt;",Pendências!$F$5:$F$304,"&lt;&gt;Feito"))</f>
        <v/>
      </c>
      <c r="C36" s="21">
        <f>IF(Config!$A$17="","",COUNTIFS(Pendências!$C$5:$C$304,Config!$A$17,Pendências!$H$5:$H$304,"Atrasada"))</f>
        <v/>
      </c>
      <c r="D36" s="21">
        <f>IF(Config!$A$17="","",COUNTIFS(Pendências!$C$5:$C$304,Config!$A$17,Pendências!$H$5:$H$304,"Esta semana")+COUNTIFS(Pendências!$C$5:$C$304,Config!$A$17,Pendências!$H$5:$H$304,"Hoje"))</f>
        <v/>
      </c>
      <c r="E36" s="21">
        <f>IF(Config!$A$17="","",COUNTIFS(Pendências!$C$5:$C$304,Config!$A$17,Pendências!$F$5:$F$304,"Feito"))</f>
        <v/>
      </c>
      <c r="F36" s="23">
        <f>IF(Config!$A$17="","",IFERROR(IF(OR(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=0,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&gt;=1E+10),"",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),""))</f>
        <v/>
      </c>
    </row>
    <row r="37">
      <c r="A37" s="22">
        <f>IF(Config!$A$18="","",Config!$A$18)</f>
        <v/>
      </c>
      <c r="B37" s="21">
        <f>IF(Config!$A$18="","",COUNTIFS(Pendências!$C$5:$C$304,Config!$A$18,Pendências!$B$5:$B$304,"&lt;&gt;",Pendências!$F$5:$F$304,"&lt;&gt;Feito"))</f>
        <v/>
      </c>
      <c r="C37" s="21">
        <f>IF(Config!$A$18="","",COUNTIFS(Pendências!$C$5:$C$304,Config!$A$18,Pendências!$H$5:$H$304,"Atrasada"))</f>
        <v/>
      </c>
      <c r="D37" s="21">
        <f>IF(Config!$A$18="","",COUNTIFS(Pendências!$C$5:$C$304,Config!$A$18,Pendências!$H$5:$H$304,"Esta semana")+COUNTIFS(Pendências!$C$5:$C$304,Config!$A$18,Pendências!$H$5:$H$304,"Hoje"))</f>
        <v/>
      </c>
      <c r="E37" s="21">
        <f>IF(Config!$A$18="","",COUNTIFS(Pendências!$C$5:$C$304,Config!$A$18,Pendências!$F$5:$F$304,"Feito"))</f>
        <v/>
      </c>
      <c r="F37" s="23">
        <f>IF(Config!$A$18="","",IFERROR(IF(OR(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=0,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&gt;=1E+10),"",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),""))</f>
        <v/>
      </c>
    </row>
    <row r="38">
      <c r="A38" s="22">
        <f>IF(Config!$A$19="","",Config!$A$19)</f>
        <v/>
      </c>
      <c r="B38" s="21">
        <f>IF(Config!$A$19="","",COUNTIFS(Pendências!$C$5:$C$304,Config!$A$19,Pendências!$B$5:$B$304,"&lt;&gt;",Pendências!$F$5:$F$304,"&lt;&gt;Feito"))</f>
        <v/>
      </c>
      <c r="C38" s="21">
        <f>IF(Config!$A$19="","",COUNTIFS(Pendências!$C$5:$C$304,Config!$A$19,Pendências!$H$5:$H$304,"Atrasada"))</f>
        <v/>
      </c>
      <c r="D38" s="21">
        <f>IF(Config!$A$19="","",COUNTIFS(Pendências!$C$5:$C$304,Config!$A$19,Pendências!$H$5:$H$304,"Esta semana")+COUNTIFS(Pendências!$C$5:$C$304,Config!$A$19,Pendências!$H$5:$H$304,"Hoje"))</f>
        <v/>
      </c>
      <c r="E38" s="21">
        <f>IF(Config!$A$19="","",COUNTIFS(Pendências!$C$5:$C$304,Config!$A$19,Pendências!$F$5:$F$304,"Feito"))</f>
        <v/>
      </c>
      <c r="F38" s="23">
        <f>IF(Config!$A$19="","",IFERROR(IF(OR(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=0,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&gt;=1E+10),"",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),""))</f>
        <v/>
      </c>
    </row>
    <row r="39">
      <c r="A39" s="22">
        <f>IF(Config!$A$20="","",Config!$A$20)</f>
        <v/>
      </c>
      <c r="B39" s="21">
        <f>IF(Config!$A$20="","",COUNTIFS(Pendências!$C$5:$C$304,Config!$A$20,Pendências!$B$5:$B$304,"&lt;&gt;",Pendências!$F$5:$F$304,"&lt;&gt;Feito"))</f>
        <v/>
      </c>
      <c r="C39" s="21">
        <f>IF(Config!$A$20="","",COUNTIFS(Pendências!$C$5:$C$304,Config!$A$20,Pendências!$H$5:$H$304,"Atrasada"))</f>
        <v/>
      </c>
      <c r="D39" s="21">
        <f>IF(Config!$A$20="","",COUNTIFS(Pendências!$C$5:$C$304,Config!$A$20,Pendências!$H$5:$H$304,"Esta semana")+COUNTIFS(Pendências!$C$5:$C$304,Config!$A$20,Pendências!$H$5:$H$304,"Hoje"))</f>
        <v/>
      </c>
      <c r="E39" s="21">
        <f>IF(Config!$A$20="","",COUNTIFS(Pendências!$C$5:$C$304,Config!$A$20,Pendências!$F$5:$F$304,"Feito"))</f>
        <v/>
      </c>
      <c r="F39" s="23">
        <f>IF(Config!$A$20="","",IFERROR(IF(OR(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=0,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&gt;=1E+10),"",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conditionalFormatting sqref="A10:H24">
    <cfRule type="expression" priority="1" dxfId="0">
      <formula>$E10="Atrasada"</formula>
    </cfRule>
    <cfRule type="expression" priority="2" dxfId="1">
      <formula>$E10="Hoje"</formula>
    </cfRule>
  </conditionalFormatting>
  <conditionalFormatting sqref="C28:C39">
    <cfRule type="expression" priority="3" dxfId="2">
      <formula>AND(ISNUMBER(C28),C28&gt;0)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2" customWidth="1" min="4" max="4"/>
    <col width="10" customWidth="1" min="5" max="5"/>
    <col width="13" customWidth="1" min="6" max="6"/>
    <col hidden="1" width="13" customWidth="1" min="8" max="8"/>
  </cols>
  <sheetData>
    <row r="1">
      <c r="A1" s="5" t="str">
        <f>"Resumo da reunião "&amp;Config!B6&amp;" · "&amp;IFERROR(INDEX(Reuniões!$C$5:$C$104,MATCH(Config!B6,Reuniões!$A$5:$A$104,0)),"")</f>
        <v>Resumo da reunião R-004 · Semanal da equipe</v>
      </c>
    </row>
    <row r="2">
      <c r="A2" s="6" t="inlineStr">
        <is>
          <t>Escolha a reunião em Config. Copie o bloco abaixo e cole no prompt "Escrever 07: resumo de reunião para quem não foi" ou "Escrever 02: e-mail curto que pede algo".</t>
        </is>
      </c>
    </row>
    <row r="4">
      <c r="A4" s="25" t="inlineStr">
        <is>
          <t>Data</t>
        </is>
      </c>
      <c r="B4" s="26">
        <f>IFERROR(INDEX(Reuniões!$B$5:$B$104,MATCH(Config!$B$6,Reuniões!$A$5:$A$104,0)),"")</f>
        <v>46275.0</v>
      </c>
    </row>
    <row r="5">
      <c r="A5" s="25" t="inlineStr">
        <is>
          <t>Assunto</t>
        </is>
      </c>
      <c r="B5" s="27" t="str">
        <f>IFERROR(INDEX(Reuniões!$C$5:$C$104,MATCH(Config!$B$6,Reuniões!$A$5:$A$104,0)),"")</f>
        <v>Semanal da equipe</v>
      </c>
    </row>
    <row r="6">
      <c r="A6" s="25" t="inlineStr">
        <is>
          <t>Participantes</t>
        </is>
      </c>
      <c r="B6" s="27" t="str">
        <f>IFERROR(INDEX(Reuniões!$D$5:$D$104,MATCH(Config!$B$6,Reuniões!$A$5:$A$104,0)),"")</f>
        <v>Ana; Bruno; Carla; Diego</v>
      </c>
    </row>
    <row r="7" ht="48" customHeight="1">
      <c r="A7" s="25" t="inlineStr">
        <is>
          <t>Decisões</t>
        </is>
      </c>
      <c r="B7" s="27" t="str">
        <f>IFERROR(INDEX(Reuniões!$E$5:$E$104,MATCH(Config!$B$6,Reuniões!$A$5:$A$104,0)),"")</f>
        <v>Manual da Padaria atrasou: Carla fecha até 15/09; Diego prepara o servidor do site; reunião com o Bistrô na quarta</v>
      </c>
    </row>
    <row r="9">
      <c r="A9" s="19" t="inlineStr">
        <is>
          <t>Pendências desta reunião</t>
        </is>
      </c>
    </row>
    <row r="10" ht="26" customHeight="1">
      <c r="A10" s="20" t="inlineStr">
        <is>
          <t>#</t>
        </is>
      </c>
      <c r="B10" s="20" t="inlineStr">
        <is>
          <t>Pendência</t>
        </is>
      </c>
      <c r="C10" s="20" t="inlineStr">
        <is>
          <t>Dono</t>
        </is>
      </c>
      <c r="D10" s="20" t="inlineStr">
        <is>
          <t>Prazo</t>
        </is>
      </c>
      <c r="E10" s="20" t="inlineStr">
        <is>
          <t>Status</t>
        </is>
      </c>
      <c r="F10" s="20" t="inlineStr">
        <is>
          <t>Situação</t>
        </is>
      </c>
    </row>
    <row r="11">
      <c r="A11" s="21" t="n">
        <v>1</v>
      </c>
      <c r="B11" s="22" t="str">
        <f>IFERROR(IF(INDEX(Pendências!$B$5:$B$304,MATCH(1,Pendências!$K$5:$K$304,0))="","",INDEX(Pendências!$B$5:$B$304,MATCH(1,Pendências!$K$5:$K$304,0))),"")</f>
        <v>Fechar o manual da marca da Padaria</v>
      </c>
      <c r="C11" s="21" t="str">
        <f>IFERROR(IF(INDEX(Pendências!$C$5:$C$304,MATCH(1,Pendências!$K$5:$K$304,0))="","",INDEX(Pendências!$C$5:$C$304,MATCH(1,Pendências!$K$5:$K$304,0))),"")</f>
        <v>Carla</v>
      </c>
      <c r="D11" s="23">
        <f>IFERROR(IF(INDEX(Pendências!$D$5:$D$304,MATCH(1,Pendências!$K$5:$K$304,0))="","",INDEX(Pendências!$D$5:$D$304,MATCH(1,Pendências!$K$5:$K$304,0))),"")</f>
        <v>46280.0</v>
      </c>
      <c r="E11" s="21" t="str">
        <f>IFERROR(IF(INDEX(Pendências!$F$5:$F$304,MATCH(1,Pendências!$K$5:$K$304,0))="","",INDEX(Pendências!$F$5:$F$304,MATCH(1,Pendências!$K$5:$K$304,0))),"")</f>
        <v>Fazendo</v>
      </c>
      <c r="F11" s="21" t="str">
        <f>IFERROR(IF(INDEX(Pendências!$H$5:$H$304,MATCH(1,Pendências!$K$5:$K$304,0))="","",INDEX(Pendências!$H$5:$H$304,MATCH(1,Pendências!$K$5:$K$304,0))),"")</f>
        <v>Esta semana</v>
      </c>
      <c r="H11" s="28" t="str">
        <f>""&amp;IF(B11="","",B11&amp;" (dono: "&amp;C11&amp;"; prazo: "&amp;IF(D11="","sem prazo",TEXT(DAY(D11),"00")&amp;"/"&amp;TEXT(MONTH(D11),"00"))&amp;IF(F11="Sem prazo","","; "&amp;LOWER(F11))&amp;") | ")</f>
        <v>Fechar o manual da marca da Padaria (dono: Carla; prazo: 15/09; esta semana) | </v>
      </c>
    </row>
    <row r="12">
      <c r="A12" s="21" t="n">
        <v>2</v>
      </c>
      <c r="B12" s="22" t="str">
        <f>IFERROR(IF(INDEX(Pendências!$B$5:$B$304,MATCH(2,Pendências!$K$5:$K$304,0))="","",INDEX(Pendências!$B$5:$B$304,MATCH(2,Pendências!$K$5:$K$304,0))),"")</f>
        <v>Preparar o servidor e o domínio do site</v>
      </c>
      <c r="C12" s="21" t="str">
        <f>IFERROR(IF(INDEX(Pendências!$C$5:$C$304,MATCH(2,Pendências!$K$5:$K$304,0))="","",INDEX(Pendências!$C$5:$C$304,MATCH(2,Pendências!$K$5:$K$304,0))),"")</f>
        <v>Diego</v>
      </c>
      <c r="D12" s="23">
        <f>IFERROR(IF(INDEX(Pendências!$D$5:$D$304,MATCH(2,Pendências!$K$5:$K$304,0))="","",INDEX(Pendências!$D$5:$D$304,MATCH(2,Pendências!$K$5:$K$304,0))),"")</f>
        <v>46283.0</v>
      </c>
      <c r="E12" s="21" t="str">
        <f>IFERROR(IF(INDEX(Pendências!$F$5:$F$304,MATCH(2,Pendências!$K$5:$K$304,0))="","",INDEX(Pendências!$F$5:$F$304,MATCH(2,Pendências!$K$5:$K$304,0))),"")</f>
        <v>A fazer</v>
      </c>
      <c r="F12" s="21" t="str">
        <f>IFERROR(IF(INDEX(Pendências!$H$5:$H$304,MATCH(2,Pendências!$K$5:$K$304,0))="","",INDEX(Pendências!$H$5:$H$304,MATCH(2,Pendências!$K$5:$K$304,0))),"")</f>
        <v>Esta semana</v>
      </c>
      <c r="H12" s="28" t="str">
        <f>H11&amp;IF(B12="","",B12&amp;" (dono: "&amp;C12&amp;"; prazo: "&amp;IF(D12="","sem prazo",TEXT(DAY(D12),"00")&amp;"/"&amp;TEXT(MONTH(D12),"00"))&amp;IF(F12="Sem prazo","","; "&amp;LOWER(F12))&amp;") | ")</f>
        <v>Fechar o manual da marca da Padaria (dono: Carla; prazo: 15/09; esta semana) | Preparar o servidor e o domínio do site (dono: Diego; prazo: 18/09; esta semana) | </v>
      </c>
    </row>
    <row r="13">
      <c r="A13" s="21" t="n">
        <v>3</v>
      </c>
      <c r="B13" s="22" t="str">
        <f>IFERROR(IF(INDEX(Pendências!$B$5:$B$304,MATCH(3,Pendências!$K$5:$K$304,0))="","",INDEX(Pendências!$B$5:$B$304,MATCH(3,Pendências!$K$5:$K$304,0))),"")</f>
        <v>Confirmar a reunião de quarta com o Bistrô</v>
      </c>
      <c r="C13" s="21" t="str">
        <f>IFERROR(IF(INDEX(Pendências!$C$5:$C$304,MATCH(3,Pendências!$K$5:$K$304,0))="","",INDEX(Pendências!$C$5:$C$304,MATCH(3,Pendências!$K$5:$K$304,0))),"")</f>
        <v>Ana</v>
      </c>
      <c r="D13" s="23">
        <f>IFERROR(IF(INDEX(Pendências!$D$5:$D$304,MATCH(3,Pendências!$K$5:$K$304,0))="","",INDEX(Pendências!$D$5:$D$304,MATCH(3,Pendências!$K$5:$K$304,0))),"")</f>
        <v>46276.0</v>
      </c>
      <c r="E13" s="21" t="str">
        <f>IFERROR(IF(INDEX(Pendências!$F$5:$F$304,MATCH(3,Pendências!$K$5:$K$304,0))="","",INDEX(Pendências!$F$5:$F$304,MATCH(3,Pendências!$K$5:$K$304,0))),"")</f>
        <v>A fazer</v>
      </c>
      <c r="F13" s="21" t="str">
        <f>IFERROR(IF(INDEX(Pendências!$H$5:$H$304,MATCH(3,Pendências!$K$5:$K$304,0))="","",INDEX(Pendências!$H$5:$H$304,MATCH(3,Pendências!$K$5:$K$304,0))),"")</f>
        <v>Atrasada</v>
      </c>
      <c r="H13" s="28" t="str">
        <f>H12&amp;IF(B13="","",B13&amp;" (dono: "&amp;C13&amp;"; prazo: "&amp;IF(D13="","sem prazo",TEXT(DAY(D13),"00")&amp;"/"&amp;TEXT(MONTH(D13),"00"))&amp;IF(F13="Sem prazo","","; "&amp;LOWER(F13))&amp;") | ")</f>
        <v>Fechar o manual da marca da Padaria (dono: Carla; prazo: 15/09; esta semana) | Preparar o servidor e o domínio do site (dono: Diego; prazo: 18/09; esta semana) | Confirmar a reunião de quarta com o Bistrô (dono: Ana; prazo: 11/09; atrasada) | </v>
      </c>
    </row>
    <row r="14">
      <c r="A14" s="21" t="n">
        <v>4</v>
      </c>
      <c r="B14" s="22" t="str">
        <f>IFERROR(IF(INDEX(Pendências!$B$5:$B$304,MATCH(4,Pendências!$K$5:$K$304,0))="","",INDEX(Pendências!$B$5:$B$304,MATCH(4,Pendências!$K$5:$K$304,0))),"")</f>
        <v>Levantar custo do freela de motion</v>
      </c>
      <c r="C14" s="21" t="str">
        <f>IFERROR(IF(INDEX(Pendências!$C$5:$C$304,MATCH(4,Pendências!$K$5:$K$304,0))="","",INDEX(Pendências!$C$5:$C$304,MATCH(4,Pendências!$K$5:$K$304,0))),"")</f>
        <v>Ana</v>
      </c>
      <c r="D14" s="23">
        <f>IFERROR(IF(INDEX(Pendências!$D$5:$D$304,MATCH(4,Pendências!$K$5:$K$304,0))="","",INDEX(Pendências!$D$5:$D$304,MATCH(4,Pendências!$K$5:$K$304,0))),"")</f>
        <v>46278.0</v>
      </c>
      <c r="E14" s="21" t="str">
        <f>IFERROR(IF(INDEX(Pendências!$F$5:$F$304,MATCH(4,Pendências!$K$5:$K$304,0))="","",INDEX(Pendências!$F$5:$F$304,MATCH(4,Pendências!$K$5:$K$304,0))),"")</f>
        <v>A fazer</v>
      </c>
      <c r="F14" s="21" t="str">
        <f>IFERROR(IF(INDEX(Pendências!$H$5:$H$304,MATCH(4,Pendências!$K$5:$K$304,0))="","",INDEX(Pendências!$H$5:$H$304,MATCH(4,Pendências!$K$5:$K$304,0))),"")</f>
        <v>Atrasada</v>
      </c>
      <c r="H14" s="28" t="str">
        <f>H13&amp;IF(B14="","",B14&amp;" (dono: "&amp;C14&amp;"; prazo: "&amp;IF(D14="","sem prazo",TEXT(DAY(D14),"00")&amp;"/"&amp;TEXT(MONTH(D14),"00"))&amp;IF(F14="Sem prazo","","; "&amp;LOWER(F14))&amp;")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</v>
      </c>
    </row>
    <row r="15">
      <c r="A15" s="21" t="n">
        <v>5</v>
      </c>
      <c r="B15" s="22" t="str">
        <f>IFERROR(IF(INDEX(Pendências!$B$5:$B$304,MATCH(5,Pendências!$K$5:$K$304,0))="","",INDEX(Pendências!$B$5:$B$304,MATCH(5,Pendências!$K$5:$K$304,0))),"")</f>
        <v>Revisar a proposta comercial da Aurora</v>
      </c>
      <c r="C15" s="21" t="str">
        <f>IFERROR(IF(INDEX(Pendências!$C$5:$C$304,MATCH(5,Pendências!$K$5:$K$304,0))="","",INDEX(Pendências!$C$5:$C$304,MATCH(5,Pendências!$K$5:$K$304,0))),"")</f>
        <v>Ana</v>
      </c>
      <c r="D15" s="23">
        <f>IFERROR(IF(INDEX(Pendências!$D$5:$D$304,MATCH(5,Pendências!$K$5:$K$304,0))="","",INDEX(Pendências!$D$5:$D$304,MATCH(5,Pendências!$K$5:$K$304,0))),"")</f>
        <v/>
      </c>
      <c r="E15" s="21" t="str">
        <f>IFERROR(IF(INDEX(Pendências!$F$5:$F$304,MATCH(5,Pendências!$K$5:$K$304,0))="","",INDEX(Pendências!$F$5:$F$304,MATCH(5,Pendências!$K$5:$K$304,0))),"")</f>
        <v>A fazer</v>
      </c>
      <c r="F15" s="21" t="str">
        <f>IFERROR(IF(INDEX(Pendências!$H$5:$H$304,MATCH(5,Pendências!$K$5:$K$304,0))="","",INDEX(Pendências!$H$5:$H$304,MATCH(5,Pendências!$K$5:$K$304,0))),"")</f>
        <v>Sem prazo</v>
      </c>
      <c r="H15" s="28" t="str">
        <f>H14&amp;IF(B15="","",B15&amp;" (dono: "&amp;C15&amp;"; prazo: "&amp;IF(D15="","sem prazo",TEXT(DAY(D15),"00")&amp;"/"&amp;TEXT(MONTH(D15),"00"))&amp;IF(F15="Sem prazo","","; "&amp;LOWER(F15))&amp;")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6">
      <c r="A16" s="21" t="n">
        <v>6</v>
      </c>
      <c r="B16" s="22">
        <f>IFERROR(IF(INDEX(Pendências!$B$5:$B$304,MATCH(6,Pendências!$K$5:$K$304,0))="","",INDEX(Pendências!$B$5:$B$304,MATCH(6,Pendências!$K$5:$K$304,0))),"")</f>
        <v/>
      </c>
      <c r="C16" s="21">
        <f>IFERROR(IF(INDEX(Pendências!$C$5:$C$304,MATCH(6,Pendências!$K$5:$K$304,0))="","",INDEX(Pendências!$C$5:$C$304,MATCH(6,Pendências!$K$5:$K$304,0))),"")</f>
        <v/>
      </c>
      <c r="D16" s="23">
        <f>IFERROR(IF(INDEX(Pendências!$D$5:$D$304,MATCH(6,Pendências!$K$5:$K$304,0))="","",INDEX(Pendências!$D$5:$D$304,MATCH(6,Pendências!$K$5:$K$304,0))),"")</f>
        <v/>
      </c>
      <c r="E16" s="21">
        <f>IFERROR(IF(INDEX(Pendências!$F$5:$F$304,MATCH(6,Pendências!$K$5:$K$304,0))="","",INDEX(Pendências!$F$5:$F$304,MATCH(6,Pendências!$K$5:$K$304,0))),"")</f>
        <v/>
      </c>
      <c r="F16" s="21">
        <f>IFERROR(IF(INDEX(Pendências!$H$5:$H$304,MATCH(6,Pendências!$K$5:$K$304,0))="","",INDEX(Pendências!$H$5:$H$304,MATCH(6,Pendências!$K$5:$K$304,0))),"")</f>
        <v/>
      </c>
      <c r="H16" s="28" t="str">
        <f>H15&amp;IF(B16="","",B16&amp;" (dono: "&amp;C16&amp;"; prazo: "&amp;IF(D16="","sem prazo",TEXT(DAY(D16),"00")&amp;"/"&amp;TEXT(MONTH(D16),"00"))&amp;IF(F16="Sem prazo","","; "&amp;LOWER(F16))&amp;")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7">
      <c r="A17" s="21" t="n">
        <v>7</v>
      </c>
      <c r="B17" s="22">
        <f>IFERROR(IF(INDEX(Pendências!$B$5:$B$304,MATCH(7,Pendências!$K$5:$K$304,0))="","",INDEX(Pendências!$B$5:$B$304,MATCH(7,Pendências!$K$5:$K$304,0))),"")</f>
        <v/>
      </c>
      <c r="C17" s="21">
        <f>IFERROR(IF(INDEX(Pendências!$C$5:$C$304,MATCH(7,Pendências!$K$5:$K$304,0))="","",INDEX(Pendências!$C$5:$C$304,MATCH(7,Pendências!$K$5:$K$304,0))),"")</f>
        <v/>
      </c>
      <c r="D17" s="23">
        <f>IFERROR(IF(INDEX(Pendências!$D$5:$D$304,MATCH(7,Pendências!$K$5:$K$304,0))="","",INDEX(Pendências!$D$5:$D$304,MATCH(7,Pendências!$K$5:$K$304,0))),"")</f>
        <v/>
      </c>
      <c r="E17" s="21">
        <f>IFERROR(IF(INDEX(Pendências!$F$5:$F$304,MATCH(7,Pendências!$K$5:$K$304,0))="","",INDEX(Pendências!$F$5:$F$304,MATCH(7,Pendências!$K$5:$K$304,0))),"")</f>
        <v/>
      </c>
      <c r="F17" s="21">
        <f>IFERROR(IF(INDEX(Pendências!$H$5:$H$304,MATCH(7,Pendências!$K$5:$K$304,0))="","",INDEX(Pendências!$H$5:$H$304,MATCH(7,Pendências!$K$5:$K$304,0))),"")</f>
        <v/>
      </c>
      <c r="H17" s="28" t="str">
        <f>H16&amp;IF(B17="","",B17&amp;" (dono: "&amp;C17&amp;"; prazo: "&amp;IF(D17="","sem prazo",TEXT(DAY(D17),"00")&amp;"/"&amp;TEXT(MONTH(D17),"00"))&amp;IF(F17="Sem prazo","","; "&amp;LOWER(F17))&amp;")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8">
      <c r="A18" s="21" t="n">
        <v>8</v>
      </c>
      <c r="B18" s="22">
        <f>IFERROR(IF(INDEX(Pendências!$B$5:$B$304,MATCH(8,Pendências!$K$5:$K$304,0))="","",INDEX(Pendências!$B$5:$B$304,MATCH(8,Pendências!$K$5:$K$304,0))),"")</f>
        <v/>
      </c>
      <c r="C18" s="21">
        <f>IFERROR(IF(INDEX(Pendências!$C$5:$C$304,MATCH(8,Pendências!$K$5:$K$304,0))="","",INDEX(Pendências!$C$5:$C$304,MATCH(8,Pendências!$K$5:$K$304,0))),"")</f>
        <v/>
      </c>
      <c r="D18" s="23">
        <f>IFERROR(IF(INDEX(Pendências!$D$5:$D$304,MATCH(8,Pendências!$K$5:$K$304,0))="","",INDEX(Pendências!$D$5:$D$304,MATCH(8,Pendências!$K$5:$K$304,0))),"")</f>
        <v/>
      </c>
      <c r="E18" s="21">
        <f>IFERROR(IF(INDEX(Pendências!$F$5:$F$304,MATCH(8,Pendências!$K$5:$K$304,0))="","",INDEX(Pendências!$F$5:$F$304,MATCH(8,Pendências!$K$5:$K$304,0))),"")</f>
        <v/>
      </c>
      <c r="F18" s="21">
        <f>IFERROR(IF(INDEX(Pendências!$H$5:$H$304,MATCH(8,Pendências!$K$5:$K$304,0))="","",INDEX(Pendências!$H$5:$H$304,MATCH(8,Pendências!$K$5:$K$304,0))),"")</f>
        <v/>
      </c>
      <c r="H18" s="28" t="str">
        <f>H17&amp;IF(B18="","",B18&amp;" (dono: "&amp;C18&amp;"; prazo: "&amp;IF(D18="","sem prazo",TEXT(DAY(D18),"00")&amp;"/"&amp;TEXT(MONTH(D18),"00"))&amp;IF(F18="Sem prazo","","; "&amp;LOWER(F18))&amp;")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9">
      <c r="A19" s="21" t="n">
        <v>9</v>
      </c>
      <c r="B19" s="22">
        <f>IFERROR(IF(INDEX(Pendências!$B$5:$B$304,MATCH(9,Pendências!$K$5:$K$304,0))="","",INDEX(Pendências!$B$5:$B$304,MATCH(9,Pendências!$K$5:$K$304,0))),"")</f>
        <v/>
      </c>
      <c r="C19" s="21">
        <f>IFERROR(IF(INDEX(Pendências!$C$5:$C$304,MATCH(9,Pendências!$K$5:$K$304,0))="","",INDEX(Pendências!$C$5:$C$304,MATCH(9,Pendências!$K$5:$K$304,0))),"")</f>
        <v/>
      </c>
      <c r="D19" s="23">
        <f>IFERROR(IF(INDEX(Pendências!$D$5:$D$304,MATCH(9,Pendências!$K$5:$K$304,0))="","",INDEX(Pendências!$D$5:$D$304,MATCH(9,Pendências!$K$5:$K$304,0))),"")</f>
        <v/>
      </c>
      <c r="E19" s="21">
        <f>IFERROR(IF(INDEX(Pendências!$F$5:$F$304,MATCH(9,Pendências!$K$5:$K$304,0))="","",INDEX(Pendências!$F$5:$F$304,MATCH(9,Pendências!$K$5:$K$304,0))),"")</f>
        <v/>
      </c>
      <c r="F19" s="21">
        <f>IFERROR(IF(INDEX(Pendências!$H$5:$H$304,MATCH(9,Pendências!$K$5:$K$304,0))="","",INDEX(Pendências!$H$5:$H$304,MATCH(9,Pendências!$K$5:$K$304,0))),"")</f>
        <v/>
      </c>
      <c r="H19" s="28" t="str">
        <f>H18&amp;IF(B19="","",B19&amp;" (dono: "&amp;C19&amp;"; prazo: "&amp;IF(D19="","sem prazo",TEXT(DAY(D19),"00")&amp;"/"&amp;TEXT(MONTH(D19),"00"))&amp;IF(F19="Sem prazo","","; "&amp;LOWER(F19))&amp;")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0">
      <c r="A20" s="21" t="n">
        <v>10</v>
      </c>
      <c r="B20" s="22">
        <f>IFERROR(IF(INDEX(Pendências!$B$5:$B$304,MATCH(10,Pendências!$K$5:$K$304,0))="","",INDEX(Pendências!$B$5:$B$304,MATCH(10,Pendências!$K$5:$K$304,0))),"")</f>
        <v/>
      </c>
      <c r="C20" s="21">
        <f>IFERROR(IF(INDEX(Pendências!$C$5:$C$304,MATCH(10,Pendências!$K$5:$K$304,0))="","",INDEX(Pendências!$C$5:$C$304,MATCH(10,Pendências!$K$5:$K$304,0))),"")</f>
        <v/>
      </c>
      <c r="D20" s="23">
        <f>IFERROR(IF(INDEX(Pendências!$D$5:$D$304,MATCH(10,Pendências!$K$5:$K$304,0))="","",INDEX(Pendências!$D$5:$D$304,MATCH(10,Pendências!$K$5:$K$304,0))),"")</f>
        <v/>
      </c>
      <c r="E20" s="21">
        <f>IFERROR(IF(INDEX(Pendências!$F$5:$F$304,MATCH(10,Pendências!$K$5:$K$304,0))="","",INDEX(Pendências!$F$5:$F$304,MATCH(10,Pendências!$K$5:$K$304,0))),"")</f>
        <v/>
      </c>
      <c r="F20" s="21">
        <f>IFERROR(IF(INDEX(Pendências!$H$5:$H$304,MATCH(10,Pendências!$K$5:$K$304,0))="","",INDEX(Pendências!$H$5:$H$304,MATCH(10,Pendências!$K$5:$K$304,0))),"")</f>
        <v/>
      </c>
      <c r="H20" s="28" t="str">
        <f>H19&amp;IF(B20="","",B20&amp;" (dono: "&amp;C20&amp;"; prazo: "&amp;IF(D20="","sem prazo",TEXT(DAY(D20),"00")&amp;"/"&amp;TEXT(MONTH(D20),"00"))&amp;IF(F20="Sem prazo","","; "&amp;LOWER(F20))&amp;")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1">
      <c r="A21" s="21" t="n">
        <v>11</v>
      </c>
      <c r="B21" s="22">
        <f>IFERROR(IF(INDEX(Pendências!$B$5:$B$304,MATCH(11,Pendências!$K$5:$K$304,0))="","",INDEX(Pendências!$B$5:$B$304,MATCH(11,Pendências!$K$5:$K$304,0))),"")</f>
        <v/>
      </c>
      <c r="C21" s="21">
        <f>IFERROR(IF(INDEX(Pendências!$C$5:$C$304,MATCH(11,Pendências!$K$5:$K$304,0))="","",INDEX(Pendências!$C$5:$C$304,MATCH(11,Pendências!$K$5:$K$304,0))),"")</f>
        <v/>
      </c>
      <c r="D21" s="23">
        <f>IFERROR(IF(INDEX(Pendências!$D$5:$D$304,MATCH(11,Pendências!$K$5:$K$304,0))="","",INDEX(Pendências!$D$5:$D$304,MATCH(11,Pendências!$K$5:$K$304,0))),"")</f>
        <v/>
      </c>
      <c r="E21" s="21">
        <f>IFERROR(IF(INDEX(Pendências!$F$5:$F$304,MATCH(11,Pendências!$K$5:$K$304,0))="","",INDEX(Pendências!$F$5:$F$304,MATCH(11,Pendências!$K$5:$K$304,0))),"")</f>
        <v/>
      </c>
      <c r="F21" s="21">
        <f>IFERROR(IF(INDEX(Pendências!$H$5:$H$304,MATCH(11,Pendências!$K$5:$K$304,0))="","",INDEX(Pendências!$H$5:$H$304,MATCH(11,Pendências!$K$5:$K$304,0))),"")</f>
        <v/>
      </c>
      <c r="H21" s="28" t="str">
        <f>H20&amp;IF(B21="","",B21&amp;" (dono: "&amp;C21&amp;"; prazo: "&amp;IF(D21="","sem prazo",TEXT(DAY(D21),"00")&amp;"/"&amp;TEXT(MONTH(D21),"00"))&amp;IF(F21="Sem prazo","","; "&amp;LOWER(F21))&amp;")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2">
      <c r="A22" s="21" t="n">
        <v>12</v>
      </c>
      <c r="B22" s="22">
        <f>IFERROR(IF(INDEX(Pendências!$B$5:$B$304,MATCH(12,Pendências!$K$5:$K$304,0))="","",INDEX(Pendências!$B$5:$B$304,MATCH(12,Pendências!$K$5:$K$304,0))),"")</f>
        <v/>
      </c>
      <c r="C22" s="21">
        <f>IFERROR(IF(INDEX(Pendências!$C$5:$C$304,MATCH(12,Pendências!$K$5:$K$304,0))="","",INDEX(Pendências!$C$5:$C$304,MATCH(12,Pendências!$K$5:$K$304,0))),"")</f>
        <v/>
      </c>
      <c r="D22" s="23">
        <f>IFERROR(IF(INDEX(Pendências!$D$5:$D$304,MATCH(12,Pendências!$K$5:$K$304,0))="","",INDEX(Pendências!$D$5:$D$304,MATCH(12,Pendências!$K$5:$K$304,0))),"")</f>
        <v/>
      </c>
      <c r="E22" s="21">
        <f>IFERROR(IF(INDEX(Pendências!$F$5:$F$304,MATCH(12,Pendências!$K$5:$K$304,0))="","",INDEX(Pendências!$F$5:$F$304,MATCH(12,Pendências!$K$5:$K$304,0))),"")</f>
        <v/>
      </c>
      <c r="F22" s="21">
        <f>IFERROR(IF(INDEX(Pendências!$H$5:$H$304,MATCH(12,Pendências!$K$5:$K$304,0))="","",INDEX(Pendências!$H$5:$H$304,MATCH(12,Pendências!$K$5:$K$304,0))),"")</f>
        <v/>
      </c>
      <c r="H22" s="28" t="str">
        <f>H21&amp;IF(B22="","",B22&amp;" (dono: "&amp;C22&amp;"; prazo: "&amp;IF(D22="","sem prazo",TEXT(DAY(D22),"00")&amp;"/"&amp;TEXT(MONTH(D22),"00"))&amp;IF(F22="Sem prazo","","; "&amp;LOWER(F22))&amp;")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3">
      <c r="A23" s="21" t="n">
        <v>13</v>
      </c>
      <c r="B23" s="22">
        <f>IFERROR(IF(INDEX(Pendências!$B$5:$B$304,MATCH(13,Pendências!$K$5:$K$304,0))="","",INDEX(Pendências!$B$5:$B$304,MATCH(13,Pendências!$K$5:$K$304,0))),"")</f>
        <v/>
      </c>
      <c r="C23" s="21">
        <f>IFERROR(IF(INDEX(Pendências!$C$5:$C$304,MATCH(13,Pendências!$K$5:$K$304,0))="","",INDEX(Pendências!$C$5:$C$304,MATCH(13,Pendências!$K$5:$K$304,0))),"")</f>
        <v/>
      </c>
      <c r="D23" s="23">
        <f>IFERROR(IF(INDEX(Pendências!$D$5:$D$304,MATCH(13,Pendências!$K$5:$K$304,0))="","",INDEX(Pendências!$D$5:$D$304,MATCH(13,Pendências!$K$5:$K$304,0))),"")</f>
        <v/>
      </c>
      <c r="E23" s="21">
        <f>IFERROR(IF(INDEX(Pendências!$F$5:$F$304,MATCH(13,Pendências!$K$5:$K$304,0))="","",INDEX(Pendências!$F$5:$F$304,MATCH(13,Pendências!$K$5:$K$304,0))),"")</f>
        <v/>
      </c>
      <c r="F23" s="21">
        <f>IFERROR(IF(INDEX(Pendências!$H$5:$H$304,MATCH(13,Pendências!$K$5:$K$304,0))="","",INDEX(Pendências!$H$5:$H$304,MATCH(13,Pendências!$K$5:$K$304,0))),"")</f>
        <v/>
      </c>
      <c r="H23" s="28" t="str">
        <f>H22&amp;IF(B23="","",B23&amp;" (dono: "&amp;C23&amp;"; prazo: "&amp;IF(D23="","sem prazo",TEXT(DAY(D23),"00")&amp;"/"&amp;TEXT(MONTH(D23),"00"))&amp;IF(F23="Sem prazo","","; "&amp;LOWER(F23))&amp;")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4">
      <c r="A24" s="21" t="n">
        <v>14</v>
      </c>
      <c r="B24" s="22">
        <f>IFERROR(IF(INDEX(Pendências!$B$5:$B$304,MATCH(14,Pendências!$K$5:$K$304,0))="","",INDEX(Pendências!$B$5:$B$304,MATCH(14,Pendências!$K$5:$K$304,0))),"")</f>
        <v/>
      </c>
      <c r="C24" s="21">
        <f>IFERROR(IF(INDEX(Pendências!$C$5:$C$304,MATCH(14,Pendências!$K$5:$K$304,0))="","",INDEX(Pendências!$C$5:$C$304,MATCH(14,Pendências!$K$5:$K$304,0))),"")</f>
        <v/>
      </c>
      <c r="D24" s="23">
        <f>IFERROR(IF(INDEX(Pendências!$D$5:$D$304,MATCH(14,Pendências!$K$5:$K$304,0))="","",INDEX(Pendências!$D$5:$D$304,MATCH(14,Pendências!$K$5:$K$304,0))),"")</f>
        <v/>
      </c>
      <c r="E24" s="21">
        <f>IFERROR(IF(INDEX(Pendências!$F$5:$F$304,MATCH(14,Pendências!$K$5:$K$304,0))="","",INDEX(Pendências!$F$5:$F$304,MATCH(14,Pendências!$K$5:$K$304,0))),"")</f>
        <v/>
      </c>
      <c r="F24" s="21">
        <f>IFERROR(IF(INDEX(Pendências!$H$5:$H$304,MATCH(14,Pendências!$K$5:$K$304,0))="","",INDEX(Pendências!$H$5:$H$304,MATCH(14,Pendências!$K$5:$K$304,0))),"")</f>
        <v/>
      </c>
      <c r="H24" s="28" t="str">
        <f>H23&amp;IF(B24="","",B24&amp;" (dono: "&amp;C24&amp;"; prazo: "&amp;IF(D24="","sem prazo",TEXT(DAY(D24),"00")&amp;"/"&amp;TEXT(MONTH(D24),"00"))&amp;IF(F24="Sem prazo","","; "&amp;LOWER(F24))&amp;")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5">
      <c r="A25" s="21" t="n">
        <v>15</v>
      </c>
      <c r="B25" s="22">
        <f>IFERROR(IF(INDEX(Pendências!$B$5:$B$304,MATCH(15,Pendências!$K$5:$K$304,0))="","",INDEX(Pendências!$B$5:$B$304,MATCH(15,Pendências!$K$5:$K$304,0))),"")</f>
        <v/>
      </c>
      <c r="C25" s="21">
        <f>IFERROR(IF(INDEX(Pendências!$C$5:$C$304,MATCH(15,Pendências!$K$5:$K$304,0))="","",INDEX(Pendências!$C$5:$C$304,MATCH(15,Pendências!$K$5:$K$304,0))),"")</f>
        <v/>
      </c>
      <c r="D25" s="23">
        <f>IFERROR(IF(INDEX(Pendências!$D$5:$D$304,MATCH(15,Pendências!$K$5:$K$304,0))="","",INDEX(Pendências!$D$5:$D$304,MATCH(15,Pendências!$K$5:$K$304,0))),"")</f>
        <v/>
      </c>
      <c r="E25" s="21">
        <f>IFERROR(IF(INDEX(Pendências!$F$5:$F$304,MATCH(15,Pendências!$K$5:$K$304,0))="","",INDEX(Pendências!$F$5:$F$304,MATCH(15,Pendências!$K$5:$K$304,0))),"")</f>
        <v/>
      </c>
      <c r="F25" s="21">
        <f>IFERROR(IF(INDEX(Pendências!$H$5:$H$304,MATCH(15,Pendências!$K$5:$K$304,0))="","",INDEX(Pendências!$H$5:$H$304,MATCH(15,Pendências!$K$5:$K$304,0))),"")</f>
        <v/>
      </c>
      <c r="H25" s="28" t="str">
        <f>H24&amp;IF(B25="","",B25&amp;" (dono: "&amp;C25&amp;"; prazo: "&amp;IF(D25="","sem prazo",TEXT(DAY(D25),"00")&amp;"/"&amp;TEXT(MONTH(D25),"00"))&amp;IF(F25="Sem prazo","","; "&amp;LOWER(F25))&amp;")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6">
      <c r="A26" s="21" t="n">
        <v>16</v>
      </c>
      <c r="B26" s="22">
        <f>IFERROR(IF(INDEX(Pendências!$B$5:$B$304,MATCH(16,Pendências!$K$5:$K$304,0))="","",INDEX(Pendências!$B$5:$B$304,MATCH(16,Pendências!$K$5:$K$304,0))),"")</f>
        <v/>
      </c>
      <c r="C26" s="21">
        <f>IFERROR(IF(INDEX(Pendências!$C$5:$C$304,MATCH(16,Pendências!$K$5:$K$304,0))="","",INDEX(Pendências!$C$5:$C$304,MATCH(16,Pendências!$K$5:$K$304,0))),"")</f>
        <v/>
      </c>
      <c r="D26" s="23">
        <f>IFERROR(IF(INDEX(Pendências!$D$5:$D$304,MATCH(16,Pendências!$K$5:$K$304,0))="","",INDEX(Pendências!$D$5:$D$304,MATCH(16,Pendências!$K$5:$K$304,0))),"")</f>
        <v/>
      </c>
      <c r="E26" s="21">
        <f>IFERROR(IF(INDEX(Pendências!$F$5:$F$304,MATCH(16,Pendências!$K$5:$K$304,0))="","",INDEX(Pendências!$F$5:$F$304,MATCH(16,Pendências!$K$5:$K$304,0))),"")</f>
        <v/>
      </c>
      <c r="F26" s="21">
        <f>IFERROR(IF(INDEX(Pendências!$H$5:$H$304,MATCH(16,Pendências!$K$5:$K$304,0))="","",INDEX(Pendências!$H$5:$H$304,MATCH(16,Pendências!$K$5:$K$304,0))),"")</f>
        <v/>
      </c>
      <c r="H26" s="28" t="str">
        <f>H25&amp;IF(B26="","",B26&amp;" (dono: "&amp;C26&amp;"; prazo: "&amp;IF(D26="","sem prazo",TEXT(DAY(D26),"00")&amp;"/"&amp;TEXT(MONTH(D26),"00"))&amp;IF(F26="Sem prazo","","; "&amp;LOWER(F26))&amp;")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7">
      <c r="A27" s="21" t="n">
        <v>17</v>
      </c>
      <c r="B27" s="22">
        <f>IFERROR(IF(INDEX(Pendências!$B$5:$B$304,MATCH(17,Pendências!$K$5:$K$304,0))="","",INDEX(Pendências!$B$5:$B$304,MATCH(17,Pendências!$K$5:$K$304,0))),"")</f>
        <v/>
      </c>
      <c r="C27" s="21">
        <f>IFERROR(IF(INDEX(Pendências!$C$5:$C$304,MATCH(17,Pendências!$K$5:$K$304,0))="","",INDEX(Pendências!$C$5:$C$304,MATCH(17,Pendências!$K$5:$K$304,0))),"")</f>
        <v/>
      </c>
      <c r="D27" s="23">
        <f>IFERROR(IF(INDEX(Pendências!$D$5:$D$304,MATCH(17,Pendências!$K$5:$K$304,0))="","",INDEX(Pendências!$D$5:$D$304,MATCH(17,Pendências!$K$5:$K$304,0))),"")</f>
        <v/>
      </c>
      <c r="E27" s="21">
        <f>IFERROR(IF(INDEX(Pendências!$F$5:$F$304,MATCH(17,Pendências!$K$5:$K$304,0))="","",INDEX(Pendências!$F$5:$F$304,MATCH(17,Pendências!$K$5:$K$304,0))),"")</f>
        <v/>
      </c>
      <c r="F27" s="21">
        <f>IFERROR(IF(INDEX(Pendências!$H$5:$H$304,MATCH(17,Pendências!$K$5:$K$304,0))="","",INDEX(Pendências!$H$5:$H$304,MATCH(17,Pendências!$K$5:$K$304,0))),"")</f>
        <v/>
      </c>
      <c r="H27" s="28" t="str">
        <f>H26&amp;IF(B27="","",B27&amp;" (dono: "&amp;C27&amp;"; prazo: "&amp;IF(D27="","sem prazo",TEXT(DAY(D27),"00")&amp;"/"&amp;TEXT(MONTH(D27),"00"))&amp;IF(F27="Sem prazo","","; "&amp;LOWER(F27))&amp;")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8">
      <c r="A28" s="21" t="n">
        <v>18</v>
      </c>
      <c r="B28" s="22">
        <f>IFERROR(IF(INDEX(Pendências!$B$5:$B$304,MATCH(18,Pendências!$K$5:$K$304,0))="","",INDEX(Pendências!$B$5:$B$304,MATCH(18,Pendências!$K$5:$K$304,0))),"")</f>
        <v/>
      </c>
      <c r="C28" s="21">
        <f>IFERROR(IF(INDEX(Pendências!$C$5:$C$304,MATCH(18,Pendências!$K$5:$K$304,0))="","",INDEX(Pendências!$C$5:$C$304,MATCH(18,Pendências!$K$5:$K$304,0))),"")</f>
        <v/>
      </c>
      <c r="D28" s="23">
        <f>IFERROR(IF(INDEX(Pendências!$D$5:$D$304,MATCH(18,Pendências!$K$5:$K$304,0))="","",INDEX(Pendências!$D$5:$D$304,MATCH(18,Pendências!$K$5:$K$304,0))),"")</f>
        <v/>
      </c>
      <c r="E28" s="21">
        <f>IFERROR(IF(INDEX(Pendências!$F$5:$F$304,MATCH(18,Pendências!$K$5:$K$304,0))="","",INDEX(Pendências!$F$5:$F$304,MATCH(18,Pendências!$K$5:$K$304,0))),"")</f>
        <v/>
      </c>
      <c r="F28" s="21">
        <f>IFERROR(IF(INDEX(Pendências!$H$5:$H$304,MATCH(18,Pendências!$K$5:$K$304,0))="","",INDEX(Pendências!$H$5:$H$304,MATCH(18,Pendências!$K$5:$K$304,0))),"")</f>
        <v/>
      </c>
      <c r="H28" s="28" t="str">
        <f>H27&amp;IF(B28="","",B28&amp;" (dono: "&amp;C28&amp;"; prazo: "&amp;IF(D28="","sem prazo",TEXT(DAY(D28),"00")&amp;"/"&amp;TEXT(MONTH(D28),"00"))&amp;IF(F28="Sem prazo","","; "&amp;LOWER(F28))&amp;")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9">
      <c r="A29" s="21" t="n">
        <v>19</v>
      </c>
      <c r="B29" s="22">
        <f>IFERROR(IF(INDEX(Pendências!$B$5:$B$304,MATCH(19,Pendências!$K$5:$K$304,0))="","",INDEX(Pendências!$B$5:$B$304,MATCH(19,Pendências!$K$5:$K$304,0))),"")</f>
        <v/>
      </c>
      <c r="C29" s="21">
        <f>IFERROR(IF(INDEX(Pendências!$C$5:$C$304,MATCH(19,Pendências!$K$5:$K$304,0))="","",INDEX(Pendências!$C$5:$C$304,MATCH(19,Pendências!$K$5:$K$304,0))),"")</f>
        <v/>
      </c>
      <c r="D29" s="23">
        <f>IFERROR(IF(INDEX(Pendências!$D$5:$D$304,MATCH(19,Pendências!$K$5:$K$304,0))="","",INDEX(Pendências!$D$5:$D$304,MATCH(19,Pendências!$K$5:$K$304,0))),"")</f>
        <v/>
      </c>
      <c r="E29" s="21">
        <f>IFERROR(IF(INDEX(Pendências!$F$5:$F$304,MATCH(19,Pendências!$K$5:$K$304,0))="","",INDEX(Pendências!$F$5:$F$304,MATCH(19,Pendências!$K$5:$K$304,0))),"")</f>
        <v/>
      </c>
      <c r="F29" s="21">
        <f>IFERROR(IF(INDEX(Pendências!$H$5:$H$304,MATCH(19,Pendências!$K$5:$K$304,0))="","",INDEX(Pendências!$H$5:$H$304,MATCH(19,Pendências!$K$5:$K$304,0))),"")</f>
        <v/>
      </c>
      <c r="H29" s="28" t="str">
        <f>H28&amp;IF(B29="","",B29&amp;" (dono: "&amp;C29&amp;"; prazo: "&amp;IF(D29="","sem prazo",TEXT(DAY(D29),"00")&amp;"/"&amp;TEXT(MONTH(D29),"00"))&amp;IF(F29="Sem prazo","","; "&amp;LOWER(F29))&amp;")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30">
      <c r="A30" s="21" t="n">
        <v>20</v>
      </c>
      <c r="B30" s="22">
        <f>IFERROR(IF(INDEX(Pendências!$B$5:$B$304,MATCH(20,Pendências!$K$5:$K$304,0))="","",INDEX(Pendências!$B$5:$B$304,MATCH(20,Pendências!$K$5:$K$304,0))),"")</f>
        <v/>
      </c>
      <c r="C30" s="21">
        <f>IFERROR(IF(INDEX(Pendências!$C$5:$C$304,MATCH(20,Pendências!$K$5:$K$304,0))="","",INDEX(Pendências!$C$5:$C$304,MATCH(20,Pendências!$K$5:$K$304,0))),"")</f>
        <v/>
      </c>
      <c r="D30" s="23">
        <f>IFERROR(IF(INDEX(Pendências!$D$5:$D$304,MATCH(20,Pendências!$K$5:$K$304,0))="","",INDEX(Pendências!$D$5:$D$304,MATCH(20,Pendências!$K$5:$K$304,0))),"")</f>
        <v/>
      </c>
      <c r="E30" s="21">
        <f>IFERROR(IF(INDEX(Pendências!$F$5:$F$304,MATCH(20,Pendências!$K$5:$K$304,0))="","",INDEX(Pendências!$F$5:$F$304,MATCH(20,Pendências!$K$5:$K$304,0))),"")</f>
        <v/>
      </c>
      <c r="F30" s="21">
        <f>IFERROR(IF(INDEX(Pendências!$H$5:$H$304,MATCH(20,Pendências!$K$5:$K$304,0))="","",INDEX(Pendências!$H$5:$H$304,MATCH(20,Pendências!$K$5:$K$304,0))),"")</f>
        <v/>
      </c>
      <c r="H30" s="28" t="str">
        <f>H29&amp;IF(B30="","",B30&amp;" (dono: "&amp;C30&amp;"; prazo: "&amp;IF(D30="","sem prazo",TEXT(DAY(D30),"00")&amp;"/"&amp;TEXT(MONTH(D30),"00"))&amp;IF(F30="Sem prazo","","; "&amp;LOWER(F30))&amp;")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32">
      <c r="A32" s="19" t="inlineStr">
        <is>
          <t>Bloco único para copiar</t>
        </is>
      </c>
    </row>
    <row r="33">
      <c r="A33" s="29" t="str">
        <f>"Reunião: "&amp;B5&amp;" · "&amp;TEXT(DAY(B4),"00")&amp;"/"&amp;TEXT(MONTH(B4),"00")&amp;"/"&amp;YEAR(B4)&amp;CHAR(10)&amp;"Participantes: "&amp;B6&amp;CHAR(10)&amp;"Decisões: "&amp;B7&amp;CHAR(10)&amp;"Pendências: "&amp;IF(LEN(H30)&gt;3,LEFT(H30,LEN(H30)-3),"nenhuma")</f>
        <v>Reunião: Semanal da equipe · 10/09/2026
Participantes: Ana; Bruno; Carla; Diego
Decisões: Manual da Padaria atrasou: Carla fecha até 15/09; Diego prepara o servidor do site; reunião com o Bistrô na quarta
Pendências: 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</v>
      </c>
    </row>
    <row r="34"/>
    <row r="35"/>
    <row r="36"/>
    <row r="37"/>
    <row r="38"/>
    <row r="39"/>
    <row r="4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B4:F4"/>
    <mergeCell ref="A2:F2"/>
    <mergeCell ref="B7:F7"/>
    <mergeCell ref="A33:F40"/>
    <mergeCell ref="B6:F6"/>
    <mergeCell ref="A1:F1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50" customWidth="1" min="3" max="3"/>
  </cols>
  <sheetData>
    <row r="1">
      <c r="A1" s="5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25" t="inlineStr">
        <is>
          <t>Equipe ou empresa</t>
        </is>
      </c>
      <c r="B4" s="31" t="inlineStr">
        <is>
          <t>Prisma Comunicação (exemplo fictício)</t>
        </is>
      </c>
    </row>
    <row r="5">
      <c r="A5" s="25" t="inlineStr">
        <is>
          <t>Data de referência (hoje)</t>
        </is>
      </c>
      <c r="B5" s="32" t="n">
        <v>46279</v>
      </c>
      <c r="C5" s="6" t="inlineStr">
        <is>
          <t>O exemplo está congelado em 14/09/2026, para os arquivos do kit mostrarem a mesma foto. Ao usar com os seus dados, troque por =HOJE().</t>
        </is>
      </c>
    </row>
    <row r="6">
      <c r="A6" s="25" t="inlineStr">
        <is>
          <t>Reunião selecionada (para o Resumo)</t>
        </is>
      </c>
      <c r="B6" s="33" t="inlineStr">
        <is>
          <t>R-004</t>
        </is>
      </c>
      <c r="C6" s="6" t="inlineStr">
        <is>
          <t>Escolha o código da reunião na lista; a aba Resumo monta o texto dela.</t>
        </is>
      </c>
    </row>
    <row r="8">
      <c r="A8" s="25" t="inlineStr">
        <is>
          <t>Pessoas (até 12)</t>
        </is>
      </c>
    </row>
    <row r="9">
      <c r="A9" s="31" t="inlineStr">
        <is>
          <t>Ana</t>
        </is>
      </c>
    </row>
    <row r="10">
      <c r="A10" s="31" t="inlineStr">
        <is>
          <t>Bruno</t>
        </is>
      </c>
    </row>
    <row r="11">
      <c r="A11" s="31" t="inlineStr">
        <is>
          <t>Carla</t>
        </is>
      </c>
    </row>
    <row r="12">
      <c r="A12" s="31" t="inlineStr">
        <is>
          <t>Diego</t>
        </is>
      </c>
    </row>
    <row r="13">
      <c r="A13" s="31" t="inlineStr">
        <is>
          <t>Marina (cliente)</t>
        </is>
      </c>
    </row>
    <row r="14">
      <c r="A14" s="31" t="n"/>
    </row>
    <row r="15">
      <c r="A15" s="31" t="n"/>
    </row>
    <row r="16">
      <c r="A16" s="31" t="n"/>
    </row>
    <row r="17">
      <c r="A17" s="31" t="n"/>
    </row>
    <row r="18">
      <c r="A18" s="31" t="n"/>
    </row>
    <row r="19">
      <c r="A19" s="31" t="n"/>
    </row>
    <row r="20">
      <c r="A20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dataValidations count="1">
    <dataValidation sqref="B6" showDropDown="0" showInputMessage="0" showErrorMessage="1" allowBlank="1" type="list">
      <formula1>=Reuniões!$A$5:$A$104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2" customWidth="1" min="3" max="3"/>
    <col width="26" customWidth="1" min="4" max="4"/>
    <col width="60" customWidth="1" min="5" max="5"/>
    <col width="11" customWidth="1" min="6" max="6"/>
    <col width="11" customWidth="1" min="7" max="7"/>
  </cols>
  <sheetData>
    <row r="1">
      <c r="A1" s="5" t="inlineStr">
        <is>
          <t>Reuniões</t>
        </is>
      </c>
    </row>
    <row r="2">
      <c r="A2" s="30" t="inlineStr">
        <is>
          <t>Uma linha por reunião. O código é automático. Escreva as decisões em frases curtas, separadas por ponto e vírgula.</t>
        </is>
      </c>
    </row>
    <row r="4" ht="26" customHeight="1">
      <c r="A4" s="20" t="inlineStr">
        <is>
          <t>Código</t>
        </is>
      </c>
      <c r="B4" s="20" t="inlineStr">
        <is>
          <t>Data</t>
        </is>
      </c>
      <c r="C4" s="20" t="inlineStr">
        <is>
          <t>Assunto</t>
        </is>
      </c>
      <c r="D4" s="20" t="inlineStr">
        <is>
          <t>Participantes</t>
        </is>
      </c>
      <c r="E4" s="20" t="inlineStr">
        <is>
          <t>Decisões</t>
        </is>
      </c>
      <c r="F4" s="20" t="inlineStr">
        <is>
          <t>Pendências abertas</t>
        </is>
      </c>
      <c r="G4" s="20" t="inlineStr">
        <is>
          <t>Pendências atrasadas</t>
        </is>
      </c>
    </row>
    <row r="5">
      <c r="A5" s="21" t="str">
        <f>IF(C5="","","R-"&amp;TEXT(ROW()-4,"000"))</f>
        <v>R-001</v>
      </c>
      <c r="B5" s="34" t="n">
        <v>46258</v>
      </c>
      <c r="C5" s="31" t="inlineStr">
        <is>
          <t>Semanal da equipe</t>
        </is>
      </c>
      <c r="D5" s="31" t="inlineStr">
        <is>
          <t>Ana; Bruno; Carla; Diego</t>
        </is>
      </c>
      <c r="E5" s="35" t="inlineStr">
        <is>
          <t>Priorizar o site da Loja Verde; Bruno assume o layout; contratar freela de motion só se a campanha do Bistrô for aprovada</t>
        </is>
      </c>
      <c r="F5" s="21">
        <f>IF(C5="","",COUNTIFS(Pendências!$A$5:$A$304,A5,Pendências!$F$5:$F$304,"&lt;&gt;Feito"))</f>
        <v>0</v>
      </c>
      <c r="G5" s="21">
        <f>IF(C5="","",COUNTIFS(Pendências!$A$5:$A$304,A5,Pendências!$H$5:$H$304,"Atrasada"))</f>
        <v>0</v>
      </c>
    </row>
    <row r="6">
      <c r="A6" s="21" t="str">
        <f>IF(C6="","","R-"&amp;TEXT(ROW()-4,"000"))</f>
        <v>R-002</v>
      </c>
      <c r="B6" s="34" t="n">
        <v>46265</v>
      </c>
      <c r="C6" s="31" t="inlineStr">
        <is>
          <t>Semanal da equipe</t>
        </is>
      </c>
      <c r="D6" s="31" t="inlineStr">
        <is>
          <t>Ana; Bruno; Carla</t>
        </is>
      </c>
      <c r="E6" s="35" t="inlineStr">
        <is>
          <t>Adiar a newsletter para outubro; Carla escreve os textos do site até 12/09</t>
        </is>
      </c>
      <c r="F6" s="21">
        <f>IF(C6="","",COUNTIFS(Pendências!$A$5:$A$304,A6,Pendências!$F$5:$F$304,"&lt;&gt;Feito"))</f>
        <v>1</v>
      </c>
      <c r="G6" s="21">
        <f>IF(C6="","",COUNTIFS(Pendências!$A$5:$A$304,A6,Pendências!$H$5:$H$304,"Atrasada"))</f>
        <v>1</v>
      </c>
    </row>
    <row r="7">
      <c r="A7" s="21" t="str">
        <f>IF(C7="","","R-"&amp;TEXT(ROW()-4,"000"))</f>
        <v>R-003</v>
      </c>
      <c r="B7" s="34" t="n">
        <v>46268</v>
      </c>
      <c r="C7" s="31" t="inlineStr">
        <is>
          <t>Kickoff · Relatório anual Horizonte</t>
        </is>
      </c>
      <c r="D7" s="31" t="inlineStr">
        <is>
          <t>Ana; Marina (cliente)</t>
        </is>
      </c>
      <c r="E7" s="35" t="inlineStr">
        <is>
          <t>Relatório em PDF de 24 páginas; entrega em 30/09; Marina manda os números até 12/09; uma rodada de revisão</t>
        </is>
      </c>
      <c r="F7" s="21">
        <f>IF(C7="","",COUNTIFS(Pendências!$A$5:$A$304,A7,Pendências!$F$5:$F$304,"&lt;&gt;Feito"))</f>
        <v>1</v>
      </c>
      <c r="G7" s="21">
        <f>IF(C7="","",COUNTIFS(Pendências!$A$5:$A$304,A7,Pendências!$H$5:$H$304,"Atrasada"))</f>
        <v>0</v>
      </c>
    </row>
    <row r="8">
      <c r="A8" s="21" t="str">
        <f>IF(C8="","","R-"&amp;TEXT(ROW()-4,"000"))</f>
        <v>R-004</v>
      </c>
      <c r="B8" s="34" t="n">
        <v>46275</v>
      </c>
      <c r="C8" s="31" t="inlineStr">
        <is>
          <t>Semanal da equipe</t>
        </is>
      </c>
      <c r="D8" s="31" t="inlineStr">
        <is>
          <t>Ana; Bruno; Carla; Diego</t>
        </is>
      </c>
      <c r="E8" s="35" t="inlineStr">
        <is>
          <t>Manual da Padaria atrasou: Carla fecha até 15/09; Diego prepara o servidor do site; reunião com o Bistrô na quarta</t>
        </is>
      </c>
      <c r="F8" s="21">
        <f>IF(C8="","",COUNTIFS(Pendências!$A$5:$A$304,A8,Pendências!$F$5:$F$304,"&lt;&gt;Feito"))</f>
        <v>5</v>
      </c>
      <c r="G8" s="21">
        <f>IF(C8="","",COUNTIFS(Pendências!$A$5:$A$304,A8,Pendências!$H$5:$H$304,"Atrasada"))</f>
        <v>2</v>
      </c>
    </row>
    <row r="9">
      <c r="A9" s="21">
        <f>IF(C9="","","R-"&amp;TEXT(ROW()-4,"000"))</f>
        <v/>
      </c>
      <c r="B9" s="34" t="n"/>
      <c r="C9" s="31" t="n"/>
      <c r="D9" s="31" t="n"/>
      <c r="E9" s="35" t="n"/>
      <c r="F9" s="21">
        <f>IF(C9="","",COUNTIFS(Pendências!$A$5:$A$304,A9,Pendências!$F$5:$F$304,"&lt;&gt;Feito"))</f>
        <v/>
      </c>
      <c r="G9" s="21">
        <f>IF(C9="","",COUNTIFS(Pendências!$A$5:$A$304,A9,Pendências!$H$5:$H$304,"Atrasada"))</f>
        <v/>
      </c>
    </row>
    <row r="10">
      <c r="A10" s="21">
        <f>IF(C10="","","R-"&amp;TEXT(ROW()-4,"000"))</f>
        <v/>
      </c>
      <c r="B10" s="34" t="n"/>
      <c r="C10" s="31" t="n"/>
      <c r="D10" s="31" t="n"/>
      <c r="E10" s="35" t="n"/>
      <c r="F10" s="21">
        <f>IF(C10="","",COUNTIFS(Pendências!$A$5:$A$304,A10,Pendências!$F$5:$F$304,"&lt;&gt;Feito"))</f>
        <v/>
      </c>
      <c r="G10" s="21">
        <f>IF(C10="","",COUNTIFS(Pendências!$A$5:$A$304,A10,Pendências!$H$5:$H$304,"Atrasada"))</f>
        <v/>
      </c>
    </row>
    <row r="11">
      <c r="A11" s="21">
        <f>IF(C11="","","R-"&amp;TEXT(ROW()-4,"000"))</f>
        <v/>
      </c>
      <c r="B11" s="34" t="n"/>
      <c r="C11" s="31" t="n"/>
      <c r="D11" s="31" t="n"/>
      <c r="E11" s="35" t="n"/>
      <c r="F11" s="21">
        <f>IF(C11="","",COUNTIFS(Pendências!$A$5:$A$304,A11,Pendências!$F$5:$F$304,"&lt;&gt;Feito"))</f>
        <v/>
      </c>
      <c r="G11" s="21">
        <f>IF(C11="","",COUNTIFS(Pendências!$A$5:$A$304,A11,Pendências!$H$5:$H$304,"Atrasada"))</f>
        <v/>
      </c>
    </row>
    <row r="12">
      <c r="A12" s="21">
        <f>IF(C12="","","R-"&amp;TEXT(ROW()-4,"000"))</f>
        <v/>
      </c>
      <c r="B12" s="34" t="n"/>
      <c r="C12" s="31" t="n"/>
      <c r="D12" s="31" t="n"/>
      <c r="E12" s="35" t="n"/>
      <c r="F12" s="21">
        <f>IF(C12="","",COUNTIFS(Pendências!$A$5:$A$304,A12,Pendências!$F$5:$F$304,"&lt;&gt;Feito"))</f>
        <v/>
      </c>
      <c r="G12" s="21">
        <f>IF(C12="","",COUNTIFS(Pendências!$A$5:$A$304,A12,Pendências!$H$5:$H$304,"Atrasada"))</f>
        <v/>
      </c>
    </row>
    <row r="13">
      <c r="A13" s="21">
        <f>IF(C13="","","R-"&amp;TEXT(ROW()-4,"000"))</f>
        <v/>
      </c>
      <c r="B13" s="34" t="n"/>
      <c r="C13" s="31" t="n"/>
      <c r="D13" s="31" t="n"/>
      <c r="E13" s="35" t="n"/>
      <c r="F13" s="21">
        <f>IF(C13="","",COUNTIFS(Pendências!$A$5:$A$304,A13,Pendências!$F$5:$F$304,"&lt;&gt;Feito"))</f>
        <v/>
      </c>
      <c r="G13" s="21">
        <f>IF(C13="","",COUNTIFS(Pendências!$A$5:$A$304,A13,Pendências!$H$5:$H$304,"Atrasada"))</f>
        <v/>
      </c>
    </row>
    <row r="14">
      <c r="A14" s="21">
        <f>IF(C14="","","R-"&amp;TEXT(ROW()-4,"000"))</f>
        <v/>
      </c>
      <c r="B14" s="34" t="n"/>
      <c r="C14" s="31" t="n"/>
      <c r="D14" s="31" t="n"/>
      <c r="E14" s="35" t="n"/>
      <c r="F14" s="21">
        <f>IF(C14="","",COUNTIFS(Pendências!$A$5:$A$304,A14,Pendências!$F$5:$F$304,"&lt;&gt;Feito"))</f>
        <v/>
      </c>
      <c r="G14" s="21">
        <f>IF(C14="","",COUNTIFS(Pendências!$A$5:$A$304,A14,Pendências!$H$5:$H$304,"Atrasada"))</f>
        <v/>
      </c>
    </row>
    <row r="15">
      <c r="A15" s="21">
        <f>IF(C15="","","R-"&amp;TEXT(ROW()-4,"000"))</f>
        <v/>
      </c>
      <c r="B15" s="34" t="n"/>
      <c r="C15" s="31" t="n"/>
      <c r="D15" s="31" t="n"/>
      <c r="E15" s="35" t="n"/>
      <c r="F15" s="21">
        <f>IF(C15="","",COUNTIFS(Pendências!$A$5:$A$304,A15,Pendências!$F$5:$F$304,"&lt;&gt;Feito"))</f>
        <v/>
      </c>
      <c r="G15" s="21">
        <f>IF(C15="","",COUNTIFS(Pendências!$A$5:$A$304,A15,Pendências!$H$5:$H$304,"Atrasada"))</f>
        <v/>
      </c>
    </row>
    <row r="16">
      <c r="A16" s="21">
        <f>IF(C16="","","R-"&amp;TEXT(ROW()-4,"000"))</f>
        <v/>
      </c>
      <c r="B16" s="34" t="n"/>
      <c r="C16" s="31" t="n"/>
      <c r="D16" s="31" t="n"/>
      <c r="E16" s="35" t="n"/>
      <c r="F16" s="21">
        <f>IF(C16="","",COUNTIFS(Pendências!$A$5:$A$304,A16,Pendências!$F$5:$F$304,"&lt;&gt;Feito"))</f>
        <v/>
      </c>
      <c r="G16" s="21">
        <f>IF(C16="","",COUNTIFS(Pendências!$A$5:$A$304,A16,Pendências!$H$5:$H$304,"Atrasada"))</f>
        <v/>
      </c>
    </row>
    <row r="17">
      <c r="A17" s="21">
        <f>IF(C17="","","R-"&amp;TEXT(ROW()-4,"000"))</f>
        <v/>
      </c>
      <c r="B17" s="34" t="n"/>
      <c r="C17" s="31" t="n"/>
      <c r="D17" s="31" t="n"/>
      <c r="E17" s="35" t="n"/>
      <c r="F17" s="21">
        <f>IF(C17="","",COUNTIFS(Pendências!$A$5:$A$304,A17,Pendências!$F$5:$F$304,"&lt;&gt;Feito"))</f>
        <v/>
      </c>
      <c r="G17" s="21">
        <f>IF(C17="","",COUNTIFS(Pendências!$A$5:$A$304,A17,Pendências!$H$5:$H$304,"Atrasada"))</f>
        <v/>
      </c>
    </row>
    <row r="18">
      <c r="A18" s="21">
        <f>IF(C18="","","R-"&amp;TEXT(ROW()-4,"000"))</f>
        <v/>
      </c>
      <c r="B18" s="34" t="n"/>
      <c r="C18" s="31" t="n"/>
      <c r="D18" s="31" t="n"/>
      <c r="E18" s="35" t="n"/>
      <c r="F18" s="21">
        <f>IF(C18="","",COUNTIFS(Pendências!$A$5:$A$304,A18,Pendências!$F$5:$F$304,"&lt;&gt;Feito"))</f>
        <v/>
      </c>
      <c r="G18" s="21">
        <f>IF(C18="","",COUNTIFS(Pendências!$A$5:$A$304,A18,Pendências!$H$5:$H$304,"Atrasada"))</f>
        <v/>
      </c>
    </row>
    <row r="19">
      <c r="A19" s="21">
        <f>IF(C19="","","R-"&amp;TEXT(ROW()-4,"000"))</f>
        <v/>
      </c>
      <c r="B19" s="34" t="n"/>
      <c r="C19" s="31" t="n"/>
      <c r="D19" s="31" t="n"/>
      <c r="E19" s="35" t="n"/>
      <c r="F19" s="21">
        <f>IF(C19="","",COUNTIFS(Pendências!$A$5:$A$304,A19,Pendências!$F$5:$F$304,"&lt;&gt;Feito"))</f>
        <v/>
      </c>
      <c r="G19" s="21">
        <f>IF(C19="","",COUNTIFS(Pendências!$A$5:$A$304,A19,Pendências!$H$5:$H$304,"Atrasada"))</f>
        <v/>
      </c>
    </row>
    <row r="20">
      <c r="A20" s="21">
        <f>IF(C20="","","R-"&amp;TEXT(ROW()-4,"000"))</f>
        <v/>
      </c>
      <c r="B20" s="34" t="n"/>
      <c r="C20" s="31" t="n"/>
      <c r="D20" s="31" t="n"/>
      <c r="E20" s="35" t="n"/>
      <c r="F20" s="21">
        <f>IF(C20="","",COUNTIFS(Pendências!$A$5:$A$304,A20,Pendências!$F$5:$F$304,"&lt;&gt;Feito"))</f>
        <v/>
      </c>
      <c r="G20" s="21">
        <f>IF(C20="","",COUNTIFS(Pendências!$A$5:$A$304,A20,Pendências!$H$5:$H$304,"Atrasada"))</f>
        <v/>
      </c>
    </row>
    <row r="21">
      <c r="A21" s="21">
        <f>IF(C21="","","R-"&amp;TEXT(ROW()-4,"000"))</f>
        <v/>
      </c>
      <c r="B21" s="34" t="n"/>
      <c r="C21" s="31" t="n"/>
      <c r="D21" s="31" t="n"/>
      <c r="E21" s="35" t="n"/>
      <c r="F21" s="21">
        <f>IF(C21="","",COUNTIFS(Pendências!$A$5:$A$304,A21,Pendências!$F$5:$F$304,"&lt;&gt;Feito"))</f>
        <v/>
      </c>
      <c r="G21" s="21">
        <f>IF(C21="","",COUNTIFS(Pendências!$A$5:$A$304,A21,Pendências!$H$5:$H$304,"Atrasada"))</f>
        <v/>
      </c>
    </row>
    <row r="22">
      <c r="A22" s="21">
        <f>IF(C22="","","R-"&amp;TEXT(ROW()-4,"000"))</f>
        <v/>
      </c>
      <c r="B22" s="34" t="n"/>
      <c r="C22" s="31" t="n"/>
      <c r="D22" s="31" t="n"/>
      <c r="E22" s="35" t="n"/>
      <c r="F22" s="21">
        <f>IF(C22="","",COUNTIFS(Pendências!$A$5:$A$304,A22,Pendências!$F$5:$F$304,"&lt;&gt;Feito"))</f>
        <v/>
      </c>
      <c r="G22" s="21">
        <f>IF(C22="","",COUNTIFS(Pendências!$A$5:$A$304,A22,Pendências!$H$5:$H$304,"Atrasada"))</f>
        <v/>
      </c>
    </row>
    <row r="23">
      <c r="A23" s="21">
        <f>IF(C23="","","R-"&amp;TEXT(ROW()-4,"000"))</f>
        <v/>
      </c>
      <c r="B23" s="34" t="n"/>
      <c r="C23" s="31" t="n"/>
      <c r="D23" s="31" t="n"/>
      <c r="E23" s="35" t="n"/>
      <c r="F23" s="21">
        <f>IF(C23="","",COUNTIFS(Pendências!$A$5:$A$304,A23,Pendências!$F$5:$F$304,"&lt;&gt;Feito"))</f>
        <v/>
      </c>
      <c r="G23" s="21">
        <f>IF(C23="","",COUNTIFS(Pendências!$A$5:$A$304,A23,Pendências!$H$5:$H$304,"Atrasada"))</f>
        <v/>
      </c>
    </row>
    <row r="24">
      <c r="A24" s="21">
        <f>IF(C24="","","R-"&amp;TEXT(ROW()-4,"000"))</f>
        <v/>
      </c>
      <c r="B24" s="34" t="n"/>
      <c r="C24" s="31" t="n"/>
      <c r="D24" s="31" t="n"/>
      <c r="E24" s="35" t="n"/>
      <c r="F24" s="21">
        <f>IF(C24="","",COUNTIFS(Pendências!$A$5:$A$304,A24,Pendências!$F$5:$F$304,"&lt;&gt;Feito"))</f>
        <v/>
      </c>
      <c r="G24" s="21">
        <f>IF(C24="","",COUNTIFS(Pendências!$A$5:$A$304,A24,Pendências!$H$5:$H$304,"Atrasada"))</f>
        <v/>
      </c>
    </row>
    <row r="25">
      <c r="A25" s="21">
        <f>IF(C25="","","R-"&amp;TEXT(ROW()-4,"000"))</f>
        <v/>
      </c>
      <c r="B25" s="34" t="n"/>
      <c r="C25" s="31" t="n"/>
      <c r="D25" s="31" t="n"/>
      <c r="E25" s="35" t="n"/>
      <c r="F25" s="21">
        <f>IF(C25="","",COUNTIFS(Pendências!$A$5:$A$304,A25,Pendências!$F$5:$F$304,"&lt;&gt;Feito"))</f>
        <v/>
      </c>
      <c r="G25" s="21">
        <f>IF(C25="","",COUNTIFS(Pendências!$A$5:$A$304,A25,Pendências!$H$5:$H$304,"Atrasada"))</f>
        <v/>
      </c>
    </row>
    <row r="26">
      <c r="A26" s="21">
        <f>IF(C26="","","R-"&amp;TEXT(ROW()-4,"000"))</f>
        <v/>
      </c>
      <c r="B26" s="34" t="n"/>
      <c r="C26" s="31" t="n"/>
      <c r="D26" s="31" t="n"/>
      <c r="E26" s="35" t="n"/>
      <c r="F26" s="21">
        <f>IF(C26="","",COUNTIFS(Pendências!$A$5:$A$304,A26,Pendências!$F$5:$F$304,"&lt;&gt;Feito"))</f>
        <v/>
      </c>
      <c r="G26" s="21">
        <f>IF(C26="","",COUNTIFS(Pendências!$A$5:$A$304,A26,Pendências!$H$5:$H$304,"Atrasada"))</f>
        <v/>
      </c>
    </row>
    <row r="27">
      <c r="A27" s="21">
        <f>IF(C27="","","R-"&amp;TEXT(ROW()-4,"000"))</f>
        <v/>
      </c>
      <c r="B27" s="34" t="n"/>
      <c r="C27" s="31" t="n"/>
      <c r="D27" s="31" t="n"/>
      <c r="E27" s="35" t="n"/>
      <c r="F27" s="21">
        <f>IF(C27="","",COUNTIFS(Pendências!$A$5:$A$304,A27,Pendências!$F$5:$F$304,"&lt;&gt;Feito"))</f>
        <v/>
      </c>
      <c r="G27" s="21">
        <f>IF(C27="","",COUNTIFS(Pendências!$A$5:$A$304,A27,Pendências!$H$5:$H$304,"Atrasada"))</f>
        <v/>
      </c>
    </row>
    <row r="28">
      <c r="A28" s="21">
        <f>IF(C28="","","R-"&amp;TEXT(ROW()-4,"000"))</f>
        <v/>
      </c>
      <c r="B28" s="34" t="n"/>
      <c r="C28" s="31" t="n"/>
      <c r="D28" s="31" t="n"/>
      <c r="E28" s="35" t="n"/>
      <c r="F28" s="21">
        <f>IF(C28="","",COUNTIFS(Pendências!$A$5:$A$304,A28,Pendências!$F$5:$F$304,"&lt;&gt;Feito"))</f>
        <v/>
      </c>
      <c r="G28" s="21">
        <f>IF(C28="","",COUNTIFS(Pendências!$A$5:$A$304,A28,Pendências!$H$5:$H$304,"Atrasada"))</f>
        <v/>
      </c>
    </row>
    <row r="29">
      <c r="A29" s="21">
        <f>IF(C29="","","R-"&amp;TEXT(ROW()-4,"000"))</f>
        <v/>
      </c>
      <c r="B29" s="34" t="n"/>
      <c r="C29" s="31" t="n"/>
      <c r="D29" s="31" t="n"/>
      <c r="E29" s="35" t="n"/>
      <c r="F29" s="21">
        <f>IF(C29="","",COUNTIFS(Pendências!$A$5:$A$304,A29,Pendências!$F$5:$F$304,"&lt;&gt;Feito"))</f>
        <v/>
      </c>
      <c r="G29" s="21">
        <f>IF(C29="","",COUNTIFS(Pendências!$A$5:$A$304,A29,Pendências!$H$5:$H$304,"Atrasada"))</f>
        <v/>
      </c>
    </row>
    <row r="30">
      <c r="A30" s="21">
        <f>IF(C30="","","R-"&amp;TEXT(ROW()-4,"000"))</f>
        <v/>
      </c>
      <c r="B30" s="34" t="n"/>
      <c r="C30" s="31" t="n"/>
      <c r="D30" s="31" t="n"/>
      <c r="E30" s="35" t="n"/>
      <c r="F30" s="21">
        <f>IF(C30="","",COUNTIFS(Pendências!$A$5:$A$304,A30,Pendências!$F$5:$F$304,"&lt;&gt;Feito"))</f>
        <v/>
      </c>
      <c r="G30" s="21">
        <f>IF(C30="","",COUNTIFS(Pendências!$A$5:$A$304,A30,Pendências!$H$5:$H$304,"Atrasada"))</f>
        <v/>
      </c>
    </row>
    <row r="31">
      <c r="A31" s="21">
        <f>IF(C31="","","R-"&amp;TEXT(ROW()-4,"000"))</f>
        <v/>
      </c>
      <c r="B31" s="34" t="n"/>
      <c r="C31" s="31" t="n"/>
      <c r="D31" s="31" t="n"/>
      <c r="E31" s="35" t="n"/>
      <c r="F31" s="21">
        <f>IF(C31="","",COUNTIFS(Pendências!$A$5:$A$304,A31,Pendências!$F$5:$F$304,"&lt;&gt;Feito"))</f>
        <v/>
      </c>
      <c r="G31" s="21">
        <f>IF(C31="","",COUNTIFS(Pendências!$A$5:$A$304,A31,Pendências!$H$5:$H$304,"Atrasada"))</f>
        <v/>
      </c>
    </row>
    <row r="32">
      <c r="A32" s="21">
        <f>IF(C32="","","R-"&amp;TEXT(ROW()-4,"000"))</f>
        <v/>
      </c>
      <c r="B32" s="34" t="n"/>
      <c r="C32" s="31" t="n"/>
      <c r="D32" s="31" t="n"/>
      <c r="E32" s="35" t="n"/>
      <c r="F32" s="21">
        <f>IF(C32="","",COUNTIFS(Pendências!$A$5:$A$304,A32,Pendências!$F$5:$F$304,"&lt;&gt;Feito"))</f>
        <v/>
      </c>
      <c r="G32" s="21">
        <f>IF(C32="","",COUNTIFS(Pendências!$A$5:$A$304,A32,Pendências!$H$5:$H$304,"Atrasada"))</f>
        <v/>
      </c>
    </row>
    <row r="33">
      <c r="A33" s="21">
        <f>IF(C33="","","R-"&amp;TEXT(ROW()-4,"000"))</f>
        <v/>
      </c>
      <c r="B33" s="34" t="n"/>
      <c r="C33" s="31" t="n"/>
      <c r="D33" s="31" t="n"/>
      <c r="E33" s="35" t="n"/>
      <c r="F33" s="21">
        <f>IF(C33="","",COUNTIFS(Pendências!$A$5:$A$304,A33,Pendências!$F$5:$F$304,"&lt;&gt;Feito"))</f>
        <v/>
      </c>
      <c r="G33" s="21">
        <f>IF(C33="","",COUNTIFS(Pendências!$A$5:$A$304,A33,Pendências!$H$5:$H$304,"Atrasada"))</f>
        <v/>
      </c>
    </row>
    <row r="34">
      <c r="A34" s="21">
        <f>IF(C34="","","R-"&amp;TEXT(ROW()-4,"000"))</f>
        <v/>
      </c>
      <c r="B34" s="34" t="n"/>
      <c r="C34" s="31" t="n"/>
      <c r="D34" s="31" t="n"/>
      <c r="E34" s="35" t="n"/>
      <c r="F34" s="21">
        <f>IF(C34="","",COUNTIFS(Pendências!$A$5:$A$304,A34,Pendências!$F$5:$F$304,"&lt;&gt;Feito"))</f>
        <v/>
      </c>
      <c r="G34" s="21">
        <f>IF(C34="","",COUNTIFS(Pendências!$A$5:$A$304,A34,Pendências!$H$5:$H$304,"Atrasada"))</f>
        <v/>
      </c>
    </row>
    <row r="35">
      <c r="A35" s="21">
        <f>IF(C35="","","R-"&amp;TEXT(ROW()-4,"000"))</f>
        <v/>
      </c>
      <c r="B35" s="34" t="n"/>
      <c r="C35" s="31" t="n"/>
      <c r="D35" s="31" t="n"/>
      <c r="E35" s="35" t="n"/>
      <c r="F35" s="21">
        <f>IF(C35="","",COUNTIFS(Pendências!$A$5:$A$304,A35,Pendências!$F$5:$F$304,"&lt;&gt;Feito"))</f>
        <v/>
      </c>
      <c r="G35" s="21">
        <f>IF(C35="","",COUNTIFS(Pendências!$A$5:$A$304,A35,Pendências!$H$5:$H$304,"Atrasada"))</f>
        <v/>
      </c>
    </row>
    <row r="36">
      <c r="A36" s="21">
        <f>IF(C36="","","R-"&amp;TEXT(ROW()-4,"000"))</f>
        <v/>
      </c>
      <c r="B36" s="34" t="n"/>
      <c r="C36" s="31" t="n"/>
      <c r="D36" s="31" t="n"/>
      <c r="E36" s="35" t="n"/>
      <c r="F36" s="21">
        <f>IF(C36="","",COUNTIFS(Pendências!$A$5:$A$304,A36,Pendências!$F$5:$F$304,"&lt;&gt;Feito"))</f>
        <v/>
      </c>
      <c r="G36" s="21">
        <f>IF(C36="","",COUNTIFS(Pendências!$A$5:$A$304,A36,Pendências!$H$5:$H$304,"Atrasada"))</f>
        <v/>
      </c>
    </row>
    <row r="37">
      <c r="A37" s="21">
        <f>IF(C37="","","R-"&amp;TEXT(ROW()-4,"000"))</f>
        <v/>
      </c>
      <c r="B37" s="34" t="n"/>
      <c r="C37" s="31" t="n"/>
      <c r="D37" s="31" t="n"/>
      <c r="E37" s="35" t="n"/>
      <c r="F37" s="21">
        <f>IF(C37="","",COUNTIFS(Pendências!$A$5:$A$304,A37,Pendências!$F$5:$F$304,"&lt;&gt;Feito"))</f>
        <v/>
      </c>
      <c r="G37" s="21">
        <f>IF(C37="","",COUNTIFS(Pendências!$A$5:$A$304,A37,Pendências!$H$5:$H$304,"Atrasada"))</f>
        <v/>
      </c>
    </row>
    <row r="38">
      <c r="A38" s="21">
        <f>IF(C38="","","R-"&amp;TEXT(ROW()-4,"000"))</f>
        <v/>
      </c>
      <c r="B38" s="34" t="n"/>
      <c r="C38" s="31" t="n"/>
      <c r="D38" s="31" t="n"/>
      <c r="E38" s="35" t="n"/>
      <c r="F38" s="21">
        <f>IF(C38="","",COUNTIFS(Pendências!$A$5:$A$304,A38,Pendências!$F$5:$F$304,"&lt;&gt;Feito"))</f>
        <v/>
      </c>
      <c r="G38" s="21">
        <f>IF(C38="","",COUNTIFS(Pendências!$A$5:$A$304,A38,Pendências!$H$5:$H$304,"Atrasada"))</f>
        <v/>
      </c>
    </row>
    <row r="39">
      <c r="A39" s="21">
        <f>IF(C39="","","R-"&amp;TEXT(ROW()-4,"000"))</f>
        <v/>
      </c>
      <c r="B39" s="34" t="n"/>
      <c r="C39" s="31" t="n"/>
      <c r="D39" s="31" t="n"/>
      <c r="E39" s="35" t="n"/>
      <c r="F39" s="21">
        <f>IF(C39="","",COUNTIFS(Pendências!$A$5:$A$304,A39,Pendências!$F$5:$F$304,"&lt;&gt;Feito"))</f>
        <v/>
      </c>
      <c r="G39" s="21">
        <f>IF(C39="","",COUNTIFS(Pendências!$A$5:$A$304,A39,Pendências!$H$5:$H$304,"Atrasada"))</f>
        <v/>
      </c>
    </row>
    <row r="40">
      <c r="A40" s="21">
        <f>IF(C40="","","R-"&amp;TEXT(ROW()-4,"000"))</f>
        <v/>
      </c>
      <c r="B40" s="34" t="n"/>
      <c r="C40" s="31" t="n"/>
      <c r="D40" s="31" t="n"/>
      <c r="E40" s="35" t="n"/>
      <c r="F40" s="21">
        <f>IF(C40="","",COUNTIFS(Pendências!$A$5:$A$304,A40,Pendências!$F$5:$F$304,"&lt;&gt;Feito"))</f>
        <v/>
      </c>
      <c r="G40" s="21">
        <f>IF(C40="","",COUNTIFS(Pendências!$A$5:$A$304,A40,Pendências!$H$5:$H$304,"Atrasada"))</f>
        <v/>
      </c>
    </row>
    <row r="41">
      <c r="A41" s="21">
        <f>IF(C41="","","R-"&amp;TEXT(ROW()-4,"000"))</f>
        <v/>
      </c>
      <c r="B41" s="34" t="n"/>
      <c r="C41" s="31" t="n"/>
      <c r="D41" s="31" t="n"/>
      <c r="E41" s="35" t="n"/>
      <c r="F41" s="21">
        <f>IF(C41="","",COUNTIFS(Pendências!$A$5:$A$304,A41,Pendências!$F$5:$F$304,"&lt;&gt;Feito"))</f>
        <v/>
      </c>
      <c r="G41" s="21">
        <f>IF(C41="","",COUNTIFS(Pendências!$A$5:$A$304,A41,Pendências!$H$5:$H$304,"Atrasada"))</f>
        <v/>
      </c>
    </row>
    <row r="42">
      <c r="A42" s="21">
        <f>IF(C42="","","R-"&amp;TEXT(ROW()-4,"000"))</f>
        <v/>
      </c>
      <c r="B42" s="34" t="n"/>
      <c r="C42" s="31" t="n"/>
      <c r="D42" s="31" t="n"/>
      <c r="E42" s="35" t="n"/>
      <c r="F42" s="21">
        <f>IF(C42="","",COUNTIFS(Pendências!$A$5:$A$304,A42,Pendências!$F$5:$F$304,"&lt;&gt;Feito"))</f>
        <v/>
      </c>
      <c r="G42" s="21">
        <f>IF(C42="","",COUNTIFS(Pendências!$A$5:$A$304,A42,Pendências!$H$5:$H$304,"Atrasada"))</f>
        <v/>
      </c>
    </row>
    <row r="43">
      <c r="A43" s="21">
        <f>IF(C43="","","R-"&amp;TEXT(ROW()-4,"000"))</f>
        <v/>
      </c>
      <c r="B43" s="34" t="n"/>
      <c r="C43" s="31" t="n"/>
      <c r="D43" s="31" t="n"/>
      <c r="E43" s="35" t="n"/>
      <c r="F43" s="21">
        <f>IF(C43="","",COUNTIFS(Pendências!$A$5:$A$304,A43,Pendências!$F$5:$F$304,"&lt;&gt;Feito"))</f>
        <v/>
      </c>
      <c r="G43" s="21">
        <f>IF(C43="","",COUNTIFS(Pendências!$A$5:$A$304,A43,Pendências!$H$5:$H$304,"Atrasada"))</f>
        <v/>
      </c>
    </row>
    <row r="44">
      <c r="A44" s="21">
        <f>IF(C44="","","R-"&amp;TEXT(ROW()-4,"000"))</f>
        <v/>
      </c>
      <c r="B44" s="34" t="n"/>
      <c r="C44" s="31" t="n"/>
      <c r="D44" s="31" t="n"/>
      <c r="E44" s="35" t="n"/>
      <c r="F44" s="21">
        <f>IF(C44="","",COUNTIFS(Pendências!$A$5:$A$304,A44,Pendências!$F$5:$F$304,"&lt;&gt;Feito"))</f>
        <v/>
      </c>
      <c r="G44" s="21">
        <f>IF(C44="","",COUNTIFS(Pendências!$A$5:$A$304,A44,Pendências!$H$5:$H$304,"Atrasada"))</f>
        <v/>
      </c>
    </row>
    <row r="45">
      <c r="A45" s="21">
        <f>IF(C45="","","R-"&amp;TEXT(ROW()-4,"000"))</f>
        <v/>
      </c>
      <c r="B45" s="34" t="n"/>
      <c r="C45" s="31" t="n"/>
      <c r="D45" s="31" t="n"/>
      <c r="E45" s="35" t="n"/>
      <c r="F45" s="21">
        <f>IF(C45="","",COUNTIFS(Pendências!$A$5:$A$304,A45,Pendências!$F$5:$F$304,"&lt;&gt;Feito"))</f>
        <v/>
      </c>
      <c r="G45" s="21">
        <f>IF(C45="","",COUNTIFS(Pendências!$A$5:$A$304,A45,Pendências!$H$5:$H$304,"Atrasada"))</f>
        <v/>
      </c>
    </row>
    <row r="46">
      <c r="A46" s="21">
        <f>IF(C46="","","R-"&amp;TEXT(ROW()-4,"000"))</f>
        <v/>
      </c>
      <c r="B46" s="34" t="n"/>
      <c r="C46" s="31" t="n"/>
      <c r="D46" s="31" t="n"/>
      <c r="E46" s="35" t="n"/>
      <c r="F46" s="21">
        <f>IF(C46="","",COUNTIFS(Pendências!$A$5:$A$304,A46,Pendências!$F$5:$F$304,"&lt;&gt;Feito"))</f>
        <v/>
      </c>
      <c r="G46" s="21">
        <f>IF(C46="","",COUNTIFS(Pendências!$A$5:$A$304,A46,Pendências!$H$5:$H$304,"Atrasada"))</f>
        <v/>
      </c>
    </row>
    <row r="47">
      <c r="A47" s="21">
        <f>IF(C47="","","R-"&amp;TEXT(ROW()-4,"000"))</f>
        <v/>
      </c>
      <c r="B47" s="34" t="n"/>
      <c r="C47" s="31" t="n"/>
      <c r="D47" s="31" t="n"/>
      <c r="E47" s="35" t="n"/>
      <c r="F47" s="21">
        <f>IF(C47="","",COUNTIFS(Pendências!$A$5:$A$304,A47,Pendências!$F$5:$F$304,"&lt;&gt;Feito"))</f>
        <v/>
      </c>
      <c r="G47" s="21">
        <f>IF(C47="","",COUNTIFS(Pendências!$A$5:$A$304,A47,Pendências!$H$5:$H$304,"Atrasada"))</f>
        <v/>
      </c>
    </row>
    <row r="48">
      <c r="A48" s="21">
        <f>IF(C48="","","R-"&amp;TEXT(ROW()-4,"000"))</f>
        <v/>
      </c>
      <c r="B48" s="34" t="n"/>
      <c r="C48" s="31" t="n"/>
      <c r="D48" s="31" t="n"/>
      <c r="E48" s="35" t="n"/>
      <c r="F48" s="21">
        <f>IF(C48="","",COUNTIFS(Pendências!$A$5:$A$304,A48,Pendências!$F$5:$F$304,"&lt;&gt;Feito"))</f>
        <v/>
      </c>
      <c r="G48" s="21">
        <f>IF(C48="","",COUNTIFS(Pendências!$A$5:$A$304,A48,Pendências!$H$5:$H$304,"Atrasada"))</f>
        <v/>
      </c>
    </row>
    <row r="49">
      <c r="A49" s="21">
        <f>IF(C49="","","R-"&amp;TEXT(ROW()-4,"000"))</f>
        <v/>
      </c>
      <c r="B49" s="34" t="n"/>
      <c r="C49" s="31" t="n"/>
      <c r="D49" s="31" t="n"/>
      <c r="E49" s="35" t="n"/>
      <c r="F49" s="21">
        <f>IF(C49="","",COUNTIFS(Pendências!$A$5:$A$304,A49,Pendências!$F$5:$F$304,"&lt;&gt;Feito"))</f>
        <v/>
      </c>
      <c r="G49" s="21">
        <f>IF(C49="","",COUNTIFS(Pendências!$A$5:$A$304,A49,Pendências!$H$5:$H$304,"Atrasada"))</f>
        <v/>
      </c>
    </row>
    <row r="50">
      <c r="A50" s="21">
        <f>IF(C50="","","R-"&amp;TEXT(ROW()-4,"000"))</f>
        <v/>
      </c>
      <c r="B50" s="34" t="n"/>
      <c r="C50" s="31" t="n"/>
      <c r="D50" s="31" t="n"/>
      <c r="E50" s="35" t="n"/>
      <c r="F50" s="21">
        <f>IF(C50="","",COUNTIFS(Pendências!$A$5:$A$304,A50,Pendências!$F$5:$F$304,"&lt;&gt;Feito"))</f>
        <v/>
      </c>
      <c r="G50" s="21">
        <f>IF(C50="","",COUNTIFS(Pendências!$A$5:$A$304,A50,Pendências!$H$5:$H$304,"Atrasada"))</f>
        <v/>
      </c>
    </row>
    <row r="51">
      <c r="A51" s="21">
        <f>IF(C51="","","R-"&amp;TEXT(ROW()-4,"000"))</f>
        <v/>
      </c>
      <c r="B51" s="34" t="n"/>
      <c r="C51" s="31" t="n"/>
      <c r="D51" s="31" t="n"/>
      <c r="E51" s="35" t="n"/>
      <c r="F51" s="21">
        <f>IF(C51="","",COUNTIFS(Pendências!$A$5:$A$304,A51,Pendências!$F$5:$F$304,"&lt;&gt;Feito"))</f>
        <v/>
      </c>
      <c r="G51" s="21">
        <f>IF(C51="","",COUNTIFS(Pendências!$A$5:$A$304,A51,Pendências!$H$5:$H$304,"Atrasada"))</f>
        <v/>
      </c>
    </row>
    <row r="52">
      <c r="A52" s="21">
        <f>IF(C52="","","R-"&amp;TEXT(ROW()-4,"000"))</f>
        <v/>
      </c>
      <c r="B52" s="34" t="n"/>
      <c r="C52" s="31" t="n"/>
      <c r="D52" s="31" t="n"/>
      <c r="E52" s="35" t="n"/>
      <c r="F52" s="21">
        <f>IF(C52="","",COUNTIFS(Pendências!$A$5:$A$304,A52,Pendências!$F$5:$F$304,"&lt;&gt;Feito"))</f>
        <v/>
      </c>
      <c r="G52" s="21">
        <f>IF(C52="","",COUNTIFS(Pendências!$A$5:$A$304,A52,Pendências!$H$5:$H$304,"Atrasada"))</f>
        <v/>
      </c>
    </row>
    <row r="53">
      <c r="A53" s="21">
        <f>IF(C53="","","R-"&amp;TEXT(ROW()-4,"000"))</f>
        <v/>
      </c>
      <c r="B53" s="34" t="n"/>
      <c r="C53" s="31" t="n"/>
      <c r="D53" s="31" t="n"/>
      <c r="E53" s="35" t="n"/>
      <c r="F53" s="21">
        <f>IF(C53="","",COUNTIFS(Pendências!$A$5:$A$304,A53,Pendências!$F$5:$F$304,"&lt;&gt;Feito"))</f>
        <v/>
      </c>
      <c r="G53" s="21">
        <f>IF(C53="","",COUNTIFS(Pendências!$A$5:$A$304,A53,Pendências!$H$5:$H$304,"Atrasada"))</f>
        <v/>
      </c>
    </row>
    <row r="54">
      <c r="A54" s="21">
        <f>IF(C54="","","R-"&amp;TEXT(ROW()-4,"000"))</f>
        <v/>
      </c>
      <c r="B54" s="34" t="n"/>
      <c r="C54" s="31" t="n"/>
      <c r="D54" s="31" t="n"/>
      <c r="E54" s="35" t="n"/>
      <c r="F54" s="21">
        <f>IF(C54="","",COUNTIFS(Pendências!$A$5:$A$304,A54,Pendências!$F$5:$F$304,"&lt;&gt;Feito"))</f>
        <v/>
      </c>
      <c r="G54" s="21">
        <f>IF(C54="","",COUNTIFS(Pendências!$A$5:$A$304,A54,Pendências!$H$5:$H$304,"Atrasada"))</f>
        <v/>
      </c>
    </row>
    <row r="55">
      <c r="A55" s="21">
        <f>IF(C55="","","R-"&amp;TEXT(ROW()-4,"000"))</f>
        <v/>
      </c>
      <c r="B55" s="34" t="n"/>
      <c r="C55" s="31" t="n"/>
      <c r="D55" s="31" t="n"/>
      <c r="E55" s="35" t="n"/>
      <c r="F55" s="21">
        <f>IF(C55="","",COUNTIFS(Pendências!$A$5:$A$304,A55,Pendências!$F$5:$F$304,"&lt;&gt;Feito"))</f>
        <v/>
      </c>
      <c r="G55" s="21">
        <f>IF(C55="","",COUNTIFS(Pendências!$A$5:$A$304,A55,Pendências!$H$5:$H$304,"Atrasada"))</f>
        <v/>
      </c>
    </row>
    <row r="56">
      <c r="A56" s="21">
        <f>IF(C56="","","R-"&amp;TEXT(ROW()-4,"000"))</f>
        <v/>
      </c>
      <c r="B56" s="34" t="n"/>
      <c r="C56" s="31" t="n"/>
      <c r="D56" s="31" t="n"/>
      <c r="E56" s="35" t="n"/>
      <c r="F56" s="21">
        <f>IF(C56="","",COUNTIFS(Pendências!$A$5:$A$304,A56,Pendências!$F$5:$F$304,"&lt;&gt;Feito"))</f>
        <v/>
      </c>
      <c r="G56" s="21">
        <f>IF(C56="","",COUNTIFS(Pendências!$A$5:$A$304,A56,Pendências!$H$5:$H$304,"Atrasada"))</f>
        <v/>
      </c>
    </row>
    <row r="57">
      <c r="A57" s="21">
        <f>IF(C57="","","R-"&amp;TEXT(ROW()-4,"000"))</f>
        <v/>
      </c>
      <c r="B57" s="34" t="n"/>
      <c r="C57" s="31" t="n"/>
      <c r="D57" s="31" t="n"/>
      <c r="E57" s="35" t="n"/>
      <c r="F57" s="21">
        <f>IF(C57="","",COUNTIFS(Pendências!$A$5:$A$304,A57,Pendências!$F$5:$F$304,"&lt;&gt;Feito"))</f>
        <v/>
      </c>
      <c r="G57" s="21">
        <f>IF(C57="","",COUNTIFS(Pendências!$A$5:$A$304,A57,Pendências!$H$5:$H$304,"Atrasada"))</f>
        <v/>
      </c>
    </row>
    <row r="58">
      <c r="A58" s="21">
        <f>IF(C58="","","R-"&amp;TEXT(ROW()-4,"000"))</f>
        <v/>
      </c>
      <c r="B58" s="34" t="n"/>
      <c r="C58" s="31" t="n"/>
      <c r="D58" s="31" t="n"/>
      <c r="E58" s="35" t="n"/>
      <c r="F58" s="21">
        <f>IF(C58="","",COUNTIFS(Pendências!$A$5:$A$304,A58,Pendências!$F$5:$F$304,"&lt;&gt;Feito"))</f>
        <v/>
      </c>
      <c r="G58" s="21">
        <f>IF(C58="","",COUNTIFS(Pendências!$A$5:$A$304,A58,Pendências!$H$5:$H$304,"Atrasada"))</f>
        <v/>
      </c>
    </row>
    <row r="59">
      <c r="A59" s="21">
        <f>IF(C59="","","R-"&amp;TEXT(ROW()-4,"000"))</f>
        <v/>
      </c>
      <c r="B59" s="34" t="n"/>
      <c r="C59" s="31" t="n"/>
      <c r="D59" s="31" t="n"/>
      <c r="E59" s="35" t="n"/>
      <c r="F59" s="21">
        <f>IF(C59="","",COUNTIFS(Pendências!$A$5:$A$304,A59,Pendências!$F$5:$F$304,"&lt;&gt;Feito"))</f>
        <v/>
      </c>
      <c r="G59" s="21">
        <f>IF(C59="","",COUNTIFS(Pendências!$A$5:$A$304,A59,Pendências!$H$5:$H$304,"Atrasada"))</f>
        <v/>
      </c>
    </row>
    <row r="60">
      <c r="A60" s="21">
        <f>IF(C60="","","R-"&amp;TEXT(ROW()-4,"000"))</f>
        <v/>
      </c>
      <c r="B60" s="34" t="n"/>
      <c r="C60" s="31" t="n"/>
      <c r="D60" s="31" t="n"/>
      <c r="E60" s="35" t="n"/>
      <c r="F60" s="21">
        <f>IF(C60="","",COUNTIFS(Pendências!$A$5:$A$304,A60,Pendências!$F$5:$F$304,"&lt;&gt;Feito"))</f>
        <v/>
      </c>
      <c r="G60" s="21">
        <f>IF(C60="","",COUNTIFS(Pendências!$A$5:$A$304,A60,Pendências!$H$5:$H$304,"Atrasada"))</f>
        <v/>
      </c>
    </row>
    <row r="61">
      <c r="A61" s="21">
        <f>IF(C61="","","R-"&amp;TEXT(ROW()-4,"000"))</f>
        <v/>
      </c>
      <c r="B61" s="34" t="n"/>
      <c r="C61" s="31" t="n"/>
      <c r="D61" s="31" t="n"/>
      <c r="E61" s="35" t="n"/>
      <c r="F61" s="21">
        <f>IF(C61="","",COUNTIFS(Pendências!$A$5:$A$304,A61,Pendências!$F$5:$F$304,"&lt;&gt;Feito"))</f>
        <v/>
      </c>
      <c r="G61" s="21">
        <f>IF(C61="","",COUNTIFS(Pendências!$A$5:$A$304,A61,Pendências!$H$5:$H$304,"Atrasada"))</f>
        <v/>
      </c>
    </row>
    <row r="62">
      <c r="A62" s="21">
        <f>IF(C62="","","R-"&amp;TEXT(ROW()-4,"000"))</f>
        <v/>
      </c>
      <c r="B62" s="34" t="n"/>
      <c r="C62" s="31" t="n"/>
      <c r="D62" s="31" t="n"/>
      <c r="E62" s="35" t="n"/>
      <c r="F62" s="21">
        <f>IF(C62="","",COUNTIFS(Pendências!$A$5:$A$304,A62,Pendências!$F$5:$F$304,"&lt;&gt;Feito"))</f>
        <v/>
      </c>
      <c r="G62" s="21">
        <f>IF(C62="","",COUNTIFS(Pendências!$A$5:$A$304,A62,Pendências!$H$5:$H$304,"Atrasada"))</f>
        <v/>
      </c>
    </row>
    <row r="63">
      <c r="A63" s="21">
        <f>IF(C63="","","R-"&amp;TEXT(ROW()-4,"000"))</f>
        <v/>
      </c>
      <c r="B63" s="34" t="n"/>
      <c r="C63" s="31" t="n"/>
      <c r="D63" s="31" t="n"/>
      <c r="E63" s="35" t="n"/>
      <c r="F63" s="21">
        <f>IF(C63="","",COUNTIFS(Pendências!$A$5:$A$304,A63,Pendências!$F$5:$F$304,"&lt;&gt;Feito"))</f>
        <v/>
      </c>
      <c r="G63" s="21">
        <f>IF(C63="","",COUNTIFS(Pendências!$A$5:$A$304,A63,Pendências!$H$5:$H$304,"Atrasada"))</f>
        <v/>
      </c>
    </row>
    <row r="64">
      <c r="A64" s="21">
        <f>IF(C64="","","R-"&amp;TEXT(ROW()-4,"000"))</f>
        <v/>
      </c>
      <c r="B64" s="34" t="n"/>
      <c r="C64" s="31" t="n"/>
      <c r="D64" s="31" t="n"/>
      <c r="E64" s="35" t="n"/>
      <c r="F64" s="21">
        <f>IF(C64="","",COUNTIFS(Pendências!$A$5:$A$304,A64,Pendências!$F$5:$F$304,"&lt;&gt;Feito"))</f>
        <v/>
      </c>
      <c r="G64" s="21">
        <f>IF(C64="","",COUNTIFS(Pendências!$A$5:$A$304,A64,Pendências!$H$5:$H$304,"Atrasada"))</f>
        <v/>
      </c>
    </row>
    <row r="65">
      <c r="A65" s="21">
        <f>IF(C65="","","R-"&amp;TEXT(ROW()-4,"000"))</f>
        <v/>
      </c>
      <c r="B65" s="34" t="n"/>
      <c r="C65" s="31" t="n"/>
      <c r="D65" s="31" t="n"/>
      <c r="E65" s="35" t="n"/>
      <c r="F65" s="21">
        <f>IF(C65="","",COUNTIFS(Pendências!$A$5:$A$304,A65,Pendências!$F$5:$F$304,"&lt;&gt;Feito"))</f>
        <v/>
      </c>
      <c r="G65" s="21">
        <f>IF(C65="","",COUNTIFS(Pendências!$A$5:$A$304,A65,Pendências!$H$5:$H$304,"Atrasada"))</f>
        <v/>
      </c>
    </row>
    <row r="66">
      <c r="A66" s="21">
        <f>IF(C66="","","R-"&amp;TEXT(ROW()-4,"000"))</f>
        <v/>
      </c>
      <c r="B66" s="34" t="n"/>
      <c r="C66" s="31" t="n"/>
      <c r="D66" s="31" t="n"/>
      <c r="E66" s="35" t="n"/>
      <c r="F66" s="21">
        <f>IF(C66="","",COUNTIFS(Pendências!$A$5:$A$304,A66,Pendências!$F$5:$F$304,"&lt;&gt;Feito"))</f>
        <v/>
      </c>
      <c r="G66" s="21">
        <f>IF(C66="","",COUNTIFS(Pendências!$A$5:$A$304,A66,Pendências!$H$5:$H$304,"Atrasada"))</f>
        <v/>
      </c>
    </row>
    <row r="67">
      <c r="A67" s="21">
        <f>IF(C67="","","R-"&amp;TEXT(ROW()-4,"000"))</f>
        <v/>
      </c>
      <c r="B67" s="34" t="n"/>
      <c r="C67" s="31" t="n"/>
      <c r="D67" s="31" t="n"/>
      <c r="E67" s="35" t="n"/>
      <c r="F67" s="21">
        <f>IF(C67="","",COUNTIFS(Pendências!$A$5:$A$304,A67,Pendências!$F$5:$F$304,"&lt;&gt;Feito"))</f>
        <v/>
      </c>
      <c r="G67" s="21">
        <f>IF(C67="","",COUNTIFS(Pendências!$A$5:$A$304,A67,Pendências!$H$5:$H$304,"Atrasada"))</f>
        <v/>
      </c>
    </row>
    <row r="68">
      <c r="A68" s="21">
        <f>IF(C68="","","R-"&amp;TEXT(ROW()-4,"000"))</f>
        <v/>
      </c>
      <c r="B68" s="34" t="n"/>
      <c r="C68" s="31" t="n"/>
      <c r="D68" s="31" t="n"/>
      <c r="E68" s="35" t="n"/>
      <c r="F68" s="21">
        <f>IF(C68="","",COUNTIFS(Pendências!$A$5:$A$304,A68,Pendências!$F$5:$F$304,"&lt;&gt;Feito"))</f>
        <v/>
      </c>
      <c r="G68" s="21">
        <f>IF(C68="","",COUNTIFS(Pendências!$A$5:$A$304,A68,Pendências!$H$5:$H$304,"Atrasada"))</f>
        <v/>
      </c>
    </row>
    <row r="69">
      <c r="A69" s="21">
        <f>IF(C69="","","R-"&amp;TEXT(ROW()-4,"000"))</f>
        <v/>
      </c>
      <c r="B69" s="34" t="n"/>
      <c r="C69" s="31" t="n"/>
      <c r="D69" s="31" t="n"/>
      <c r="E69" s="35" t="n"/>
      <c r="F69" s="21">
        <f>IF(C69="","",COUNTIFS(Pendências!$A$5:$A$304,A69,Pendências!$F$5:$F$304,"&lt;&gt;Feito"))</f>
        <v/>
      </c>
      <c r="G69" s="21">
        <f>IF(C69="","",COUNTIFS(Pendências!$A$5:$A$304,A69,Pendências!$H$5:$H$304,"Atrasada"))</f>
        <v/>
      </c>
    </row>
    <row r="70">
      <c r="A70" s="21">
        <f>IF(C70="","","R-"&amp;TEXT(ROW()-4,"000"))</f>
        <v/>
      </c>
      <c r="B70" s="34" t="n"/>
      <c r="C70" s="31" t="n"/>
      <c r="D70" s="31" t="n"/>
      <c r="E70" s="35" t="n"/>
      <c r="F70" s="21">
        <f>IF(C70="","",COUNTIFS(Pendências!$A$5:$A$304,A70,Pendências!$F$5:$F$304,"&lt;&gt;Feito"))</f>
        <v/>
      </c>
      <c r="G70" s="21">
        <f>IF(C70="","",COUNTIFS(Pendências!$A$5:$A$304,A70,Pendências!$H$5:$H$304,"Atrasada"))</f>
        <v/>
      </c>
    </row>
    <row r="71">
      <c r="A71" s="21">
        <f>IF(C71="","","R-"&amp;TEXT(ROW()-4,"000"))</f>
        <v/>
      </c>
      <c r="B71" s="34" t="n"/>
      <c r="C71" s="31" t="n"/>
      <c r="D71" s="31" t="n"/>
      <c r="E71" s="35" t="n"/>
      <c r="F71" s="21">
        <f>IF(C71="","",COUNTIFS(Pendências!$A$5:$A$304,A71,Pendências!$F$5:$F$304,"&lt;&gt;Feito"))</f>
        <v/>
      </c>
      <c r="G71" s="21">
        <f>IF(C71="","",COUNTIFS(Pendências!$A$5:$A$304,A71,Pendências!$H$5:$H$304,"Atrasada"))</f>
        <v/>
      </c>
    </row>
    <row r="72">
      <c r="A72" s="21">
        <f>IF(C72="","","R-"&amp;TEXT(ROW()-4,"000"))</f>
        <v/>
      </c>
      <c r="B72" s="34" t="n"/>
      <c r="C72" s="31" t="n"/>
      <c r="D72" s="31" t="n"/>
      <c r="E72" s="35" t="n"/>
      <c r="F72" s="21">
        <f>IF(C72="","",COUNTIFS(Pendências!$A$5:$A$304,A72,Pendências!$F$5:$F$304,"&lt;&gt;Feito"))</f>
        <v/>
      </c>
      <c r="G72" s="21">
        <f>IF(C72="","",COUNTIFS(Pendências!$A$5:$A$304,A72,Pendências!$H$5:$H$304,"Atrasada"))</f>
        <v/>
      </c>
    </row>
    <row r="73">
      <c r="A73" s="21">
        <f>IF(C73="","","R-"&amp;TEXT(ROW()-4,"000"))</f>
        <v/>
      </c>
      <c r="B73" s="34" t="n"/>
      <c r="C73" s="31" t="n"/>
      <c r="D73" s="31" t="n"/>
      <c r="E73" s="35" t="n"/>
      <c r="F73" s="21">
        <f>IF(C73="","",COUNTIFS(Pendências!$A$5:$A$304,A73,Pendências!$F$5:$F$304,"&lt;&gt;Feito"))</f>
        <v/>
      </c>
      <c r="G73" s="21">
        <f>IF(C73="","",COUNTIFS(Pendências!$A$5:$A$304,A73,Pendências!$H$5:$H$304,"Atrasada"))</f>
        <v/>
      </c>
    </row>
    <row r="74">
      <c r="A74" s="21">
        <f>IF(C74="","","R-"&amp;TEXT(ROW()-4,"000"))</f>
        <v/>
      </c>
      <c r="B74" s="34" t="n"/>
      <c r="C74" s="31" t="n"/>
      <c r="D74" s="31" t="n"/>
      <c r="E74" s="35" t="n"/>
      <c r="F74" s="21">
        <f>IF(C74="","",COUNTIFS(Pendências!$A$5:$A$304,A74,Pendências!$F$5:$F$304,"&lt;&gt;Feito"))</f>
        <v/>
      </c>
      <c r="G74" s="21">
        <f>IF(C74="","",COUNTIFS(Pendências!$A$5:$A$304,A74,Pendências!$H$5:$H$304,"Atrasada"))</f>
        <v/>
      </c>
    </row>
    <row r="75">
      <c r="A75" s="21">
        <f>IF(C75="","","R-"&amp;TEXT(ROW()-4,"000"))</f>
        <v/>
      </c>
      <c r="B75" s="34" t="n"/>
      <c r="C75" s="31" t="n"/>
      <c r="D75" s="31" t="n"/>
      <c r="E75" s="35" t="n"/>
      <c r="F75" s="21">
        <f>IF(C75="","",COUNTIFS(Pendências!$A$5:$A$304,A75,Pendências!$F$5:$F$304,"&lt;&gt;Feito"))</f>
        <v/>
      </c>
      <c r="G75" s="21">
        <f>IF(C75="","",COUNTIFS(Pendências!$A$5:$A$304,A75,Pendências!$H$5:$H$304,"Atrasada"))</f>
        <v/>
      </c>
    </row>
    <row r="76">
      <c r="A76" s="21">
        <f>IF(C76="","","R-"&amp;TEXT(ROW()-4,"000"))</f>
        <v/>
      </c>
      <c r="B76" s="34" t="n"/>
      <c r="C76" s="31" t="n"/>
      <c r="D76" s="31" t="n"/>
      <c r="E76" s="35" t="n"/>
      <c r="F76" s="21">
        <f>IF(C76="","",COUNTIFS(Pendências!$A$5:$A$304,A76,Pendências!$F$5:$F$304,"&lt;&gt;Feito"))</f>
        <v/>
      </c>
      <c r="G76" s="21">
        <f>IF(C76="","",COUNTIFS(Pendências!$A$5:$A$304,A76,Pendências!$H$5:$H$304,"Atrasada"))</f>
        <v/>
      </c>
    </row>
    <row r="77">
      <c r="A77" s="21">
        <f>IF(C77="","","R-"&amp;TEXT(ROW()-4,"000"))</f>
        <v/>
      </c>
      <c r="B77" s="34" t="n"/>
      <c r="C77" s="31" t="n"/>
      <c r="D77" s="31" t="n"/>
      <c r="E77" s="35" t="n"/>
      <c r="F77" s="21">
        <f>IF(C77="","",COUNTIFS(Pendências!$A$5:$A$304,A77,Pendências!$F$5:$F$304,"&lt;&gt;Feito"))</f>
        <v/>
      </c>
      <c r="G77" s="21">
        <f>IF(C77="","",COUNTIFS(Pendências!$A$5:$A$304,A77,Pendências!$H$5:$H$304,"Atrasada"))</f>
        <v/>
      </c>
    </row>
    <row r="78">
      <c r="A78" s="21">
        <f>IF(C78="","","R-"&amp;TEXT(ROW()-4,"000"))</f>
        <v/>
      </c>
      <c r="B78" s="34" t="n"/>
      <c r="C78" s="31" t="n"/>
      <c r="D78" s="31" t="n"/>
      <c r="E78" s="35" t="n"/>
      <c r="F78" s="21">
        <f>IF(C78="","",COUNTIFS(Pendências!$A$5:$A$304,A78,Pendências!$F$5:$F$304,"&lt;&gt;Feito"))</f>
        <v/>
      </c>
      <c r="G78" s="21">
        <f>IF(C78="","",COUNTIFS(Pendências!$A$5:$A$304,A78,Pendências!$H$5:$H$304,"Atrasada"))</f>
        <v/>
      </c>
    </row>
    <row r="79">
      <c r="A79" s="21">
        <f>IF(C79="","","R-"&amp;TEXT(ROW()-4,"000"))</f>
        <v/>
      </c>
      <c r="B79" s="34" t="n"/>
      <c r="C79" s="31" t="n"/>
      <c r="D79" s="31" t="n"/>
      <c r="E79" s="35" t="n"/>
      <c r="F79" s="21">
        <f>IF(C79="","",COUNTIFS(Pendências!$A$5:$A$304,A79,Pendências!$F$5:$F$304,"&lt;&gt;Feito"))</f>
        <v/>
      </c>
      <c r="G79" s="21">
        <f>IF(C79="","",COUNTIFS(Pendências!$A$5:$A$304,A79,Pendências!$H$5:$H$304,"Atrasada"))</f>
        <v/>
      </c>
    </row>
    <row r="80">
      <c r="A80" s="21">
        <f>IF(C80="","","R-"&amp;TEXT(ROW()-4,"000"))</f>
        <v/>
      </c>
      <c r="B80" s="34" t="n"/>
      <c r="C80" s="31" t="n"/>
      <c r="D80" s="31" t="n"/>
      <c r="E80" s="35" t="n"/>
      <c r="F80" s="21">
        <f>IF(C80="","",COUNTIFS(Pendências!$A$5:$A$304,A80,Pendências!$F$5:$F$304,"&lt;&gt;Feito"))</f>
        <v/>
      </c>
      <c r="G80" s="21">
        <f>IF(C80="","",COUNTIFS(Pendências!$A$5:$A$304,A80,Pendências!$H$5:$H$304,"Atrasada"))</f>
        <v/>
      </c>
    </row>
    <row r="81">
      <c r="A81" s="21">
        <f>IF(C81="","","R-"&amp;TEXT(ROW()-4,"000"))</f>
        <v/>
      </c>
      <c r="B81" s="34" t="n"/>
      <c r="C81" s="31" t="n"/>
      <c r="D81" s="31" t="n"/>
      <c r="E81" s="35" t="n"/>
      <c r="F81" s="21">
        <f>IF(C81="","",COUNTIFS(Pendências!$A$5:$A$304,A81,Pendências!$F$5:$F$304,"&lt;&gt;Feito"))</f>
        <v/>
      </c>
      <c r="G81" s="21">
        <f>IF(C81="","",COUNTIFS(Pendências!$A$5:$A$304,A81,Pendências!$H$5:$H$304,"Atrasada"))</f>
        <v/>
      </c>
    </row>
    <row r="82">
      <c r="A82" s="21">
        <f>IF(C82="","","R-"&amp;TEXT(ROW()-4,"000"))</f>
        <v/>
      </c>
      <c r="B82" s="34" t="n"/>
      <c r="C82" s="31" t="n"/>
      <c r="D82" s="31" t="n"/>
      <c r="E82" s="35" t="n"/>
      <c r="F82" s="21">
        <f>IF(C82="","",COUNTIFS(Pendências!$A$5:$A$304,A82,Pendências!$F$5:$F$304,"&lt;&gt;Feito"))</f>
        <v/>
      </c>
      <c r="G82" s="21">
        <f>IF(C82="","",COUNTIFS(Pendências!$A$5:$A$304,A82,Pendências!$H$5:$H$304,"Atrasada"))</f>
        <v/>
      </c>
    </row>
    <row r="83">
      <c r="A83" s="21">
        <f>IF(C83="","","R-"&amp;TEXT(ROW()-4,"000"))</f>
        <v/>
      </c>
      <c r="B83" s="34" t="n"/>
      <c r="C83" s="31" t="n"/>
      <c r="D83" s="31" t="n"/>
      <c r="E83" s="35" t="n"/>
      <c r="F83" s="21">
        <f>IF(C83="","",COUNTIFS(Pendências!$A$5:$A$304,A83,Pendências!$F$5:$F$304,"&lt;&gt;Feito"))</f>
        <v/>
      </c>
      <c r="G83" s="21">
        <f>IF(C83="","",COUNTIFS(Pendências!$A$5:$A$304,A83,Pendências!$H$5:$H$304,"Atrasada"))</f>
        <v/>
      </c>
    </row>
    <row r="84">
      <c r="A84" s="21">
        <f>IF(C84="","","R-"&amp;TEXT(ROW()-4,"000"))</f>
        <v/>
      </c>
      <c r="B84" s="34" t="n"/>
      <c r="C84" s="31" t="n"/>
      <c r="D84" s="31" t="n"/>
      <c r="E84" s="35" t="n"/>
      <c r="F84" s="21">
        <f>IF(C84="","",COUNTIFS(Pendências!$A$5:$A$304,A84,Pendências!$F$5:$F$304,"&lt;&gt;Feito"))</f>
        <v/>
      </c>
      <c r="G84" s="21">
        <f>IF(C84="","",COUNTIFS(Pendências!$A$5:$A$304,A84,Pendências!$H$5:$H$304,"Atrasada"))</f>
        <v/>
      </c>
    </row>
    <row r="85">
      <c r="A85" s="21">
        <f>IF(C85="","","R-"&amp;TEXT(ROW()-4,"000"))</f>
        <v/>
      </c>
      <c r="B85" s="34" t="n"/>
      <c r="C85" s="31" t="n"/>
      <c r="D85" s="31" t="n"/>
      <c r="E85" s="35" t="n"/>
      <c r="F85" s="21">
        <f>IF(C85="","",COUNTIFS(Pendências!$A$5:$A$304,A85,Pendências!$F$5:$F$304,"&lt;&gt;Feito"))</f>
        <v/>
      </c>
      <c r="G85" s="21">
        <f>IF(C85="","",COUNTIFS(Pendências!$A$5:$A$304,A85,Pendências!$H$5:$H$304,"Atrasada"))</f>
        <v/>
      </c>
    </row>
    <row r="86">
      <c r="A86" s="21">
        <f>IF(C86="","","R-"&amp;TEXT(ROW()-4,"000"))</f>
        <v/>
      </c>
      <c r="B86" s="34" t="n"/>
      <c r="C86" s="31" t="n"/>
      <c r="D86" s="31" t="n"/>
      <c r="E86" s="35" t="n"/>
      <c r="F86" s="21">
        <f>IF(C86="","",COUNTIFS(Pendências!$A$5:$A$304,A86,Pendências!$F$5:$F$304,"&lt;&gt;Feito"))</f>
        <v/>
      </c>
      <c r="G86" s="21">
        <f>IF(C86="","",COUNTIFS(Pendências!$A$5:$A$304,A86,Pendências!$H$5:$H$304,"Atrasada"))</f>
        <v/>
      </c>
    </row>
    <row r="87">
      <c r="A87" s="21">
        <f>IF(C87="","","R-"&amp;TEXT(ROW()-4,"000"))</f>
        <v/>
      </c>
      <c r="B87" s="34" t="n"/>
      <c r="C87" s="31" t="n"/>
      <c r="D87" s="31" t="n"/>
      <c r="E87" s="35" t="n"/>
      <c r="F87" s="21">
        <f>IF(C87="","",COUNTIFS(Pendências!$A$5:$A$304,A87,Pendências!$F$5:$F$304,"&lt;&gt;Feito"))</f>
        <v/>
      </c>
      <c r="G87" s="21">
        <f>IF(C87="","",COUNTIFS(Pendências!$A$5:$A$304,A87,Pendências!$H$5:$H$304,"Atrasada"))</f>
        <v/>
      </c>
    </row>
    <row r="88">
      <c r="A88" s="21">
        <f>IF(C88="","","R-"&amp;TEXT(ROW()-4,"000"))</f>
        <v/>
      </c>
      <c r="B88" s="34" t="n"/>
      <c r="C88" s="31" t="n"/>
      <c r="D88" s="31" t="n"/>
      <c r="E88" s="35" t="n"/>
      <c r="F88" s="21">
        <f>IF(C88="","",COUNTIFS(Pendências!$A$5:$A$304,A88,Pendências!$F$5:$F$304,"&lt;&gt;Feito"))</f>
        <v/>
      </c>
      <c r="G88" s="21">
        <f>IF(C88="","",COUNTIFS(Pendências!$A$5:$A$304,A88,Pendências!$H$5:$H$304,"Atrasada"))</f>
        <v/>
      </c>
    </row>
    <row r="89">
      <c r="A89" s="21">
        <f>IF(C89="","","R-"&amp;TEXT(ROW()-4,"000"))</f>
        <v/>
      </c>
      <c r="B89" s="34" t="n"/>
      <c r="C89" s="31" t="n"/>
      <c r="D89" s="31" t="n"/>
      <c r="E89" s="35" t="n"/>
      <c r="F89" s="21">
        <f>IF(C89="","",COUNTIFS(Pendências!$A$5:$A$304,A89,Pendências!$F$5:$F$304,"&lt;&gt;Feito"))</f>
        <v/>
      </c>
      <c r="G89" s="21">
        <f>IF(C89="","",COUNTIFS(Pendências!$A$5:$A$304,A89,Pendências!$H$5:$H$304,"Atrasada"))</f>
        <v/>
      </c>
    </row>
    <row r="90">
      <c r="A90" s="21">
        <f>IF(C90="","","R-"&amp;TEXT(ROW()-4,"000"))</f>
        <v/>
      </c>
      <c r="B90" s="34" t="n"/>
      <c r="C90" s="31" t="n"/>
      <c r="D90" s="31" t="n"/>
      <c r="E90" s="35" t="n"/>
      <c r="F90" s="21">
        <f>IF(C90="","",COUNTIFS(Pendências!$A$5:$A$304,A90,Pendências!$F$5:$F$304,"&lt;&gt;Feito"))</f>
        <v/>
      </c>
      <c r="G90" s="21">
        <f>IF(C90="","",COUNTIFS(Pendências!$A$5:$A$304,A90,Pendências!$H$5:$H$304,"Atrasada"))</f>
        <v/>
      </c>
    </row>
    <row r="91">
      <c r="A91" s="21">
        <f>IF(C91="","","R-"&amp;TEXT(ROW()-4,"000"))</f>
        <v/>
      </c>
      <c r="B91" s="34" t="n"/>
      <c r="C91" s="31" t="n"/>
      <c r="D91" s="31" t="n"/>
      <c r="E91" s="35" t="n"/>
      <c r="F91" s="21">
        <f>IF(C91="","",COUNTIFS(Pendências!$A$5:$A$304,A91,Pendências!$F$5:$F$304,"&lt;&gt;Feito"))</f>
        <v/>
      </c>
      <c r="G91" s="21">
        <f>IF(C91="","",COUNTIFS(Pendências!$A$5:$A$304,A91,Pendências!$H$5:$H$304,"Atrasada"))</f>
        <v/>
      </c>
    </row>
    <row r="92">
      <c r="A92" s="21">
        <f>IF(C92="","","R-"&amp;TEXT(ROW()-4,"000"))</f>
        <v/>
      </c>
      <c r="B92" s="34" t="n"/>
      <c r="C92" s="31" t="n"/>
      <c r="D92" s="31" t="n"/>
      <c r="E92" s="35" t="n"/>
      <c r="F92" s="21">
        <f>IF(C92="","",COUNTIFS(Pendências!$A$5:$A$304,A92,Pendências!$F$5:$F$304,"&lt;&gt;Feito"))</f>
        <v/>
      </c>
      <c r="G92" s="21">
        <f>IF(C92="","",COUNTIFS(Pendências!$A$5:$A$304,A92,Pendências!$H$5:$H$304,"Atrasada"))</f>
        <v/>
      </c>
    </row>
    <row r="93">
      <c r="A93" s="21">
        <f>IF(C93="","","R-"&amp;TEXT(ROW()-4,"000"))</f>
        <v/>
      </c>
      <c r="B93" s="34" t="n"/>
      <c r="C93" s="31" t="n"/>
      <c r="D93" s="31" t="n"/>
      <c r="E93" s="35" t="n"/>
      <c r="F93" s="21">
        <f>IF(C93="","",COUNTIFS(Pendências!$A$5:$A$304,A93,Pendências!$F$5:$F$304,"&lt;&gt;Feito"))</f>
        <v/>
      </c>
      <c r="G93" s="21">
        <f>IF(C93="","",COUNTIFS(Pendências!$A$5:$A$304,A93,Pendências!$H$5:$H$304,"Atrasada"))</f>
        <v/>
      </c>
    </row>
    <row r="94">
      <c r="A94" s="21">
        <f>IF(C94="","","R-"&amp;TEXT(ROW()-4,"000"))</f>
        <v/>
      </c>
      <c r="B94" s="34" t="n"/>
      <c r="C94" s="31" t="n"/>
      <c r="D94" s="31" t="n"/>
      <c r="E94" s="35" t="n"/>
      <c r="F94" s="21">
        <f>IF(C94="","",COUNTIFS(Pendências!$A$5:$A$304,A94,Pendências!$F$5:$F$304,"&lt;&gt;Feito"))</f>
        <v/>
      </c>
      <c r="G94" s="21">
        <f>IF(C94="","",COUNTIFS(Pendências!$A$5:$A$304,A94,Pendências!$H$5:$H$304,"Atrasada"))</f>
        <v/>
      </c>
    </row>
    <row r="95">
      <c r="A95" s="21">
        <f>IF(C95="","","R-"&amp;TEXT(ROW()-4,"000"))</f>
        <v/>
      </c>
      <c r="B95" s="34" t="n"/>
      <c r="C95" s="31" t="n"/>
      <c r="D95" s="31" t="n"/>
      <c r="E95" s="35" t="n"/>
      <c r="F95" s="21">
        <f>IF(C95="","",COUNTIFS(Pendências!$A$5:$A$304,A95,Pendências!$F$5:$F$304,"&lt;&gt;Feito"))</f>
        <v/>
      </c>
      <c r="G95" s="21">
        <f>IF(C95="","",COUNTIFS(Pendências!$A$5:$A$304,A95,Pendências!$H$5:$H$304,"Atrasada"))</f>
        <v/>
      </c>
    </row>
    <row r="96">
      <c r="A96" s="21">
        <f>IF(C96="","","R-"&amp;TEXT(ROW()-4,"000"))</f>
        <v/>
      </c>
      <c r="B96" s="34" t="n"/>
      <c r="C96" s="31" t="n"/>
      <c r="D96" s="31" t="n"/>
      <c r="E96" s="35" t="n"/>
      <c r="F96" s="21">
        <f>IF(C96="","",COUNTIFS(Pendências!$A$5:$A$304,A96,Pendências!$F$5:$F$304,"&lt;&gt;Feito"))</f>
        <v/>
      </c>
      <c r="G96" s="21">
        <f>IF(C96="","",COUNTIFS(Pendências!$A$5:$A$304,A96,Pendências!$H$5:$H$304,"Atrasada"))</f>
        <v/>
      </c>
    </row>
    <row r="97">
      <c r="A97" s="21">
        <f>IF(C97="","","R-"&amp;TEXT(ROW()-4,"000"))</f>
        <v/>
      </c>
      <c r="B97" s="34" t="n"/>
      <c r="C97" s="31" t="n"/>
      <c r="D97" s="31" t="n"/>
      <c r="E97" s="35" t="n"/>
      <c r="F97" s="21">
        <f>IF(C97="","",COUNTIFS(Pendências!$A$5:$A$304,A97,Pendências!$F$5:$F$304,"&lt;&gt;Feito"))</f>
        <v/>
      </c>
      <c r="G97" s="21">
        <f>IF(C97="","",COUNTIFS(Pendências!$A$5:$A$304,A97,Pendências!$H$5:$H$304,"Atrasada"))</f>
        <v/>
      </c>
    </row>
    <row r="98">
      <c r="A98" s="21">
        <f>IF(C98="","","R-"&amp;TEXT(ROW()-4,"000"))</f>
        <v/>
      </c>
      <c r="B98" s="34" t="n"/>
      <c r="C98" s="31" t="n"/>
      <c r="D98" s="31" t="n"/>
      <c r="E98" s="35" t="n"/>
      <c r="F98" s="21">
        <f>IF(C98="","",COUNTIFS(Pendências!$A$5:$A$304,A98,Pendências!$F$5:$F$304,"&lt;&gt;Feito"))</f>
        <v/>
      </c>
      <c r="G98" s="21">
        <f>IF(C98="","",COUNTIFS(Pendências!$A$5:$A$304,A98,Pendências!$H$5:$H$304,"Atrasada"))</f>
        <v/>
      </c>
    </row>
    <row r="99">
      <c r="A99" s="21">
        <f>IF(C99="","","R-"&amp;TEXT(ROW()-4,"000"))</f>
        <v/>
      </c>
      <c r="B99" s="34" t="n"/>
      <c r="C99" s="31" t="n"/>
      <c r="D99" s="31" t="n"/>
      <c r="E99" s="35" t="n"/>
      <c r="F99" s="21">
        <f>IF(C99="","",COUNTIFS(Pendências!$A$5:$A$304,A99,Pendências!$F$5:$F$304,"&lt;&gt;Feito"))</f>
        <v/>
      </c>
      <c r="G99" s="21">
        <f>IF(C99="","",COUNTIFS(Pendências!$A$5:$A$304,A99,Pendências!$H$5:$H$304,"Atrasada"))</f>
        <v/>
      </c>
    </row>
    <row r="100">
      <c r="A100" s="21">
        <f>IF(C100="","","R-"&amp;TEXT(ROW()-4,"000"))</f>
        <v/>
      </c>
      <c r="B100" s="34" t="n"/>
      <c r="C100" s="31" t="n"/>
      <c r="D100" s="31" t="n"/>
      <c r="E100" s="35" t="n"/>
      <c r="F100" s="21">
        <f>IF(C100="","",COUNTIFS(Pendências!$A$5:$A$304,A100,Pendências!$F$5:$F$304,"&lt;&gt;Feito"))</f>
        <v/>
      </c>
      <c r="G100" s="21">
        <f>IF(C100="","",COUNTIFS(Pendências!$A$5:$A$304,A100,Pendências!$H$5:$H$304,"Atrasada"))</f>
        <v/>
      </c>
    </row>
    <row r="101">
      <c r="A101" s="21">
        <f>IF(C101="","","R-"&amp;TEXT(ROW()-4,"000"))</f>
        <v/>
      </c>
      <c r="B101" s="34" t="n"/>
      <c r="C101" s="31" t="n"/>
      <c r="D101" s="31" t="n"/>
      <c r="E101" s="35" t="n"/>
      <c r="F101" s="21">
        <f>IF(C101="","",COUNTIFS(Pendências!$A$5:$A$304,A101,Pendências!$F$5:$F$304,"&lt;&gt;Feito"))</f>
        <v/>
      </c>
      <c r="G101" s="21">
        <f>IF(C101="","",COUNTIFS(Pendências!$A$5:$A$304,A101,Pendências!$H$5:$H$304,"Atrasada"))</f>
        <v/>
      </c>
    </row>
    <row r="102">
      <c r="A102" s="21">
        <f>IF(C102="","","R-"&amp;TEXT(ROW()-4,"000"))</f>
        <v/>
      </c>
      <c r="B102" s="34" t="n"/>
      <c r="C102" s="31" t="n"/>
      <c r="D102" s="31" t="n"/>
      <c r="E102" s="35" t="n"/>
      <c r="F102" s="21">
        <f>IF(C102="","",COUNTIFS(Pendências!$A$5:$A$304,A102,Pendências!$F$5:$F$304,"&lt;&gt;Feito"))</f>
        <v/>
      </c>
      <c r="G102" s="21">
        <f>IF(C102="","",COUNTIFS(Pendências!$A$5:$A$304,A102,Pendências!$H$5:$H$304,"Atrasada"))</f>
        <v/>
      </c>
    </row>
    <row r="103">
      <c r="A103" s="21">
        <f>IF(C103="","","R-"&amp;TEXT(ROW()-4,"000"))</f>
        <v/>
      </c>
      <c r="B103" s="34" t="n"/>
      <c r="C103" s="31" t="n"/>
      <c r="D103" s="31" t="n"/>
      <c r="E103" s="35" t="n"/>
      <c r="F103" s="21">
        <f>IF(C103="","",COUNTIFS(Pendências!$A$5:$A$304,A103,Pendências!$F$5:$F$304,"&lt;&gt;Feito"))</f>
        <v/>
      </c>
      <c r="G103" s="21">
        <f>IF(C103="","",COUNTIFS(Pendências!$A$5:$A$304,A103,Pendências!$H$5:$H$304,"Atrasada"))</f>
        <v/>
      </c>
    </row>
    <row r="104">
      <c r="A104" s="21">
        <f>IF(C104="","","R-"&amp;TEXT(ROW()-4,"000"))</f>
        <v/>
      </c>
      <c r="B104" s="34" t="n"/>
      <c r="C104" s="31" t="n"/>
      <c r="D104" s="31" t="n"/>
      <c r="E104" s="35" t="n"/>
      <c r="F104" s="21">
        <f>IF(C104="","",COUNTIFS(Pendências!$A$5:$A$304,A104,Pendências!$F$5:$F$304,"&lt;&gt;Feito"))</f>
        <v/>
      </c>
      <c r="G104" s="21">
        <f>IF(C104="","",COUNTIFS(Pendências!$A$5:$A$304,A104,Pendências!$H$5:$H$304,"Atrasada"))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G104"/>
  <mergeCells count="1">
    <mergeCell ref="A2:G2"/>
  </mergeCells>
  <conditionalFormatting sqref="G5:G104">
    <cfRule type="expression" priority="1" dxfId="2">
      <formula>AND(ISNUMBER(G5),G5&gt;0)</formula>
    </cfRule>
  </conditionalFormatting>
  <dataValidations count="1">
    <dataValidation sqref="B5:B1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1" customWidth="1" min="4" max="4"/>
    <col width="11" customWidth="1" min="5" max="5"/>
    <col width="10" customWidth="1" min="6" max="6"/>
    <col width="12" customWidth="1" min="7" max="7"/>
    <col width="13" customWidth="1" min="8" max="8"/>
    <col width="7" customWidth="1" min="9" max="9"/>
    <col hidden="1" width="6" customWidth="1" min="10" max="10"/>
    <col hidden="1" width="13" customWidth="1" min="11" max="11"/>
  </cols>
  <sheetData>
    <row r="1">
      <c r="A1" s="5" t="inlineStr">
        <is>
          <t>Pendências</t>
        </is>
      </c>
    </row>
    <row r="2">
      <c r="A2" s="30" t="inlineStr">
        <is>
          <t>Uma linha por pendência. Reunião e dono vêm de listas; situação e dias são calculados. Ao concluir, mude o status para Feito.</t>
        </is>
      </c>
    </row>
    <row r="4" ht="26" customHeight="1">
      <c r="A4" s="20" t="inlineStr">
        <is>
          <t>Reunião</t>
        </is>
      </c>
      <c r="B4" s="20" t="inlineStr">
        <is>
          <t>Pendência</t>
        </is>
      </c>
      <c r="C4" s="20" t="inlineStr">
        <is>
          <t>Dono</t>
        </is>
      </c>
      <c r="D4" s="20" t="inlineStr">
        <is>
          <t>Prazo</t>
        </is>
      </c>
      <c r="E4" s="20" t="inlineStr">
        <is>
          <t>Prioridade</t>
        </is>
      </c>
      <c r="F4" s="20" t="inlineStr">
        <is>
          <t>Status</t>
        </is>
      </c>
      <c r="G4" s="20" t="inlineStr">
        <is>
          <t>Concluída em</t>
        </is>
      </c>
      <c r="H4" s="20" t="inlineStr">
        <is>
          <t>Situação</t>
        </is>
      </c>
      <c r="I4" s="20" t="inlineStr">
        <is>
          <t>Dias</t>
        </is>
      </c>
      <c r="J4" s="20" t="inlineStr">
        <is>
          <t>Chave</t>
        </is>
      </c>
    </row>
    <row r="5">
      <c r="A5" s="33" t="inlineStr">
        <is>
          <t>R-001</t>
        </is>
      </c>
      <c r="B5" s="31" t="inlineStr">
        <is>
          <t>Enviar proposta de motion para o Bistrô</t>
        </is>
      </c>
      <c r="C5" s="33" t="inlineStr">
        <is>
          <t>Ana</t>
        </is>
      </c>
      <c r="D5" s="34" t="n">
        <v>46262</v>
      </c>
      <c r="E5" s="33" t="inlineStr">
        <is>
          <t>Média</t>
        </is>
      </c>
      <c r="F5" s="33" t="inlineStr">
        <is>
          <t>Feito</t>
        </is>
      </c>
      <c r="G5" s="34" t="n">
        <v>46261</v>
      </c>
      <c r="H5" s="21" t="str">
        <f>IF(B5="","",IF(F5="Feito","Feita",IF(D5="","Sem prazo",IF(D5&lt;Config!$B$5,"Atrasada",IF(D5=Config!$B$5,"Hoje",IF(D5-Config!$B$5&lt;=7,"Esta semana","No prazo"))))))</f>
        <v>Feita</v>
      </c>
      <c r="I5" s="24">
        <f>IF(OR(B5="",F5="Feito",D5=""),"",D5-Config!$B$5)</f>
        <v/>
      </c>
      <c r="J5" s="28">
        <f>IF(OR(B5="",F5="Feito"),0,IF(H5="Atrasada",3000+MIN(Config!$B$5-D5,60),IF(H5="Hoje",2500,IF(H5="Esta semana",2000-(D5-Config!$B$5),IF(H5="Sem prazo",500,1000-MIN(D5-Config!$B$5,900)))))+IF(E5="Alta",200,IF(E5="Média",100,0))-ROW()/100000)</f>
        <v>0</v>
      </c>
      <c r="K5" s="28">
        <f>IF(AND(B5&lt;&gt;"",A5=Config!$B$6),COUNTIFS($A$5:A5,Config!$B$6,$B$5:B5,"&lt;&gt;"),"")</f>
        <v/>
      </c>
    </row>
    <row r="6">
      <c r="A6" s="33" t="inlineStr">
        <is>
          <t>R-001</t>
        </is>
      </c>
      <c r="B6" s="31" t="inlineStr">
        <is>
          <t>Definir paleta do site da Loja Verde</t>
        </is>
      </c>
      <c r="C6" s="33" t="inlineStr">
        <is>
          <t>Bruno</t>
        </is>
      </c>
      <c r="D6" s="34" t="n">
        <v>46263</v>
      </c>
      <c r="E6" s="33" t="inlineStr">
        <is>
          <t>Alta</t>
        </is>
      </c>
      <c r="F6" s="33" t="inlineStr">
        <is>
          <t>Feito</t>
        </is>
      </c>
      <c r="G6" s="34" t="n">
        <v>46263</v>
      </c>
      <c r="H6" s="21" t="str">
        <f>IF(B6="","",IF(F6="Feito","Feita",IF(D6="","Sem prazo",IF(D6&lt;Config!$B$5,"Atrasada",IF(D6=Config!$B$5,"Hoje",IF(D6-Config!$B$5&lt;=7,"Esta semana","No prazo"))))))</f>
        <v>Feita</v>
      </c>
      <c r="I6" s="24">
        <f>IF(OR(B6="",F6="Feito",D6=""),"",D6-Config!$B$5)</f>
        <v/>
      </c>
      <c r="J6" s="28">
        <f>IF(OR(B6="",F6="Feito"),0,IF(H6="Atrasada",3000+MIN(Config!$B$5-D6,60),IF(H6="Hoje",2500,IF(H6="Esta semana",2000-(D6-Config!$B$5),IF(H6="Sem prazo",500,1000-MIN(D6-Config!$B$5,900)))))+IF(E6="Alta",200,IF(E6="Média",100,0))-ROW()/100000)</f>
        <v>0</v>
      </c>
      <c r="K6" s="28">
        <f>IF(AND(B6&lt;&gt;"",A6=Config!$B$6),COUNTIFS($A$5:A6,Config!$B$6,$B$5:B6,"&lt;&gt;"),"")</f>
        <v/>
      </c>
    </row>
    <row r="7">
      <c r="A7" s="33" t="inlineStr">
        <is>
          <t>R-002</t>
        </is>
      </c>
      <c r="B7" s="31" t="inlineStr">
        <is>
          <t>Escrever os textos das 5 páginas do site</t>
        </is>
      </c>
      <c r="C7" s="33" t="inlineStr">
        <is>
          <t>Carla</t>
        </is>
      </c>
      <c r="D7" s="34" t="n">
        <v>46277</v>
      </c>
      <c r="E7" s="33" t="inlineStr">
        <is>
          <t>Alta</t>
        </is>
      </c>
      <c r="F7" s="33" t="inlineStr">
        <is>
          <t>Fazendo</t>
        </is>
      </c>
      <c r="G7" s="34" t="n"/>
      <c r="H7" s="21" t="str">
        <f>IF(B7="","",IF(F7="Feito","Feita",IF(D7="","Sem prazo",IF(D7&lt;Config!$B$5,"Atrasada",IF(D7=Config!$B$5,"Hoje",IF(D7-Config!$B$5&lt;=7,"Esta semana","No prazo"))))))</f>
        <v>Atrasada</v>
      </c>
      <c r="I7" s="24">
        <f>IF(OR(B7="",F7="Feito",D7=""),"",D7-Config!$B$5)</f>
        <v>-2</v>
      </c>
      <c r="J7" s="28">
        <f>IF(OR(B7="",F7="Feito"),0,IF(H7="Atrasada",3000+MIN(Config!$B$5-D7,60),IF(H7="Hoje",2500,IF(H7="Esta semana",2000-(D7-Config!$B$5),IF(H7="Sem prazo",500,1000-MIN(D7-Config!$B$5,900)))))+IF(E7="Alta",200,IF(E7="Média",100,0))-ROW()/100000)</f>
        <v>3201.99993</v>
      </c>
      <c r="K7" s="28">
        <f>IF(AND(B7&lt;&gt;"",A7=Config!$B$6),COUNTIFS($A$5:A7,Config!$B$6,$B$5:B7,"&lt;&gt;"),"")</f>
        <v/>
      </c>
    </row>
    <row r="8">
      <c r="A8" s="33" t="inlineStr">
        <is>
          <t>R-002</t>
        </is>
      </c>
      <c r="B8" s="31" t="inlineStr">
        <is>
          <t>Avisar a lista que a newsletter volta em outubro</t>
        </is>
      </c>
      <c r="C8" s="33" t="inlineStr">
        <is>
          <t>Ana</t>
        </is>
      </c>
      <c r="D8" s="34" t="n">
        <v>46270</v>
      </c>
      <c r="E8" s="33" t="inlineStr">
        <is>
          <t>Baixa</t>
        </is>
      </c>
      <c r="F8" s="33" t="inlineStr">
        <is>
          <t>Feito</t>
        </is>
      </c>
      <c r="G8" s="34" t="n">
        <v>46269</v>
      </c>
      <c r="H8" s="21" t="str">
        <f>IF(B8="","",IF(F8="Feito","Feita",IF(D8="","Sem prazo",IF(D8&lt;Config!$B$5,"Atrasada",IF(D8=Config!$B$5,"Hoje",IF(D8-Config!$B$5&lt;=7,"Esta semana","No prazo"))))))</f>
        <v>Feita</v>
      </c>
      <c r="I8" s="24">
        <f>IF(OR(B8="",F8="Feito",D8=""),"",D8-Config!$B$5)</f>
        <v/>
      </c>
      <c r="J8" s="28">
        <f>IF(OR(B8="",F8="Feito"),0,IF(H8="Atrasada",3000+MIN(Config!$B$5-D8,60),IF(H8="Hoje",2500,IF(H8="Esta semana",2000-(D8-Config!$B$5),IF(H8="Sem prazo",500,1000-MIN(D8-Config!$B$5,900)))))+IF(E8="Alta",200,IF(E8="Média",100,0))-ROW()/100000)</f>
        <v>0</v>
      </c>
      <c r="K8" s="28">
        <f>IF(AND(B8&lt;&gt;"",A8=Config!$B$6),COUNTIFS($A$5:A8,Config!$B$6,$B$5:B8,"&lt;&gt;"),"")</f>
        <v/>
      </c>
    </row>
    <row r="9">
      <c r="A9" s="33" t="inlineStr">
        <is>
          <t>R-003</t>
        </is>
      </c>
      <c r="B9" s="31" t="inlineStr">
        <is>
          <t>Enviar os números do ano para o relatório</t>
        </is>
      </c>
      <c r="C9" s="33" t="inlineStr">
        <is>
          <t>Marina (cliente)</t>
        </is>
      </c>
      <c r="D9" s="34" t="n">
        <v>46277</v>
      </c>
      <c r="E9" s="33" t="inlineStr">
        <is>
          <t>Alta</t>
        </is>
      </c>
      <c r="F9" s="33" t="inlineStr">
        <is>
          <t>Feito</t>
        </is>
      </c>
      <c r="G9" s="34" t="n">
        <v>46277</v>
      </c>
      <c r="H9" s="21" t="str">
        <f>IF(B9="","",IF(F9="Feito","Feita",IF(D9="","Sem prazo",IF(D9&lt;Config!$B$5,"Atrasada",IF(D9=Config!$B$5,"Hoje",IF(D9-Config!$B$5&lt;=7,"Esta semana","No prazo"))))))</f>
        <v>Feita</v>
      </c>
      <c r="I9" s="24">
        <f>IF(OR(B9="",F9="Feito",D9=""),"",D9-Config!$B$5)</f>
        <v/>
      </c>
      <c r="J9" s="28">
        <f>IF(OR(B9="",F9="Feito"),0,IF(H9="Atrasada",3000+MIN(Config!$B$5-D9,60),IF(H9="Hoje",2500,IF(H9="Esta semana",2000-(D9-Config!$B$5),IF(H9="Sem prazo",500,1000-MIN(D9-Config!$B$5,900)))))+IF(E9="Alta",200,IF(E9="Média",100,0))-ROW()/100000)</f>
        <v>0</v>
      </c>
      <c r="K9" s="28">
        <f>IF(AND(B9&lt;&gt;"",A9=Config!$B$6),COUNTIFS($A$5:A9,Config!$B$6,$B$5:B9,"&lt;&gt;"),"")</f>
        <v/>
      </c>
    </row>
    <row r="10">
      <c r="A10" s="33" t="inlineStr">
        <is>
          <t>R-003</t>
        </is>
      </c>
      <c r="B10" s="31" t="inlineStr">
        <is>
          <t>Montar a estrutura do relatório (sumário)</t>
        </is>
      </c>
      <c r="C10" s="33" t="inlineStr">
        <is>
          <t>Ana</t>
        </is>
      </c>
      <c r="D10" s="34" t="n">
        <v>46274</v>
      </c>
      <c r="E10" s="33" t="inlineStr">
        <is>
          <t>Alta</t>
        </is>
      </c>
      <c r="F10" s="33" t="inlineStr">
        <is>
          <t>Feito</t>
        </is>
      </c>
      <c r="G10" s="34" t="n">
        <v>46274</v>
      </c>
      <c r="H10" s="21" t="str">
        <f>IF(B10="","",IF(F10="Feito","Feita",IF(D10="","Sem prazo",IF(D10&lt;Config!$B$5,"Atrasada",IF(D10=Config!$B$5,"Hoje",IF(D10-Config!$B$5&lt;=7,"Esta semana","No prazo"))))))</f>
        <v>Feita</v>
      </c>
      <c r="I10" s="24">
        <f>IF(OR(B10="",F10="Feito",D10=""),"",D10-Config!$B$5)</f>
        <v/>
      </c>
      <c r="J10" s="28">
        <f>IF(OR(B10="",F10="Feito"),0,IF(H10="Atrasada",3000+MIN(Config!$B$5-D10,60),IF(H10="Hoje",2500,IF(H10="Esta semana",2000-(D10-Config!$B$5),IF(H10="Sem prazo",500,1000-MIN(D10-Config!$B$5,900)))))+IF(E10="Alta",200,IF(E10="Média",100,0))-ROW()/100000)</f>
        <v>0</v>
      </c>
      <c r="K10" s="28">
        <f>IF(AND(B10&lt;&gt;"",A10=Config!$B$6),COUNTIFS($A$5:A10,Config!$B$6,$B$5:B10,"&lt;&gt;"),"")</f>
        <v/>
      </c>
    </row>
    <row r="11">
      <c r="A11" s="33" t="inlineStr">
        <is>
          <t>R-003</t>
        </is>
      </c>
      <c r="B11" s="31" t="inlineStr">
        <is>
          <t>Enviar 3 referências de diagramação</t>
        </is>
      </c>
      <c r="C11" s="33" t="inlineStr">
        <is>
          <t>Bruno</t>
        </is>
      </c>
      <c r="D11" s="34" t="n">
        <v>46281</v>
      </c>
      <c r="E11" s="33" t="inlineStr">
        <is>
          <t>Média</t>
        </is>
      </c>
      <c r="F11" s="33" t="inlineStr">
        <is>
          <t>A fazer</t>
        </is>
      </c>
      <c r="G11" s="34" t="n"/>
      <c r="H11" s="21" t="str">
        <f>IF(B11="","",IF(F11="Feito","Feita",IF(D11="","Sem prazo",IF(D11&lt;Config!$B$5,"Atrasada",IF(D11=Config!$B$5,"Hoje",IF(D11-Config!$B$5&lt;=7,"Esta semana","No prazo"))))))</f>
        <v>Esta semana</v>
      </c>
      <c r="I11" s="24">
        <f>IF(OR(B11="",F11="Feito",D11=""),"",D11-Config!$B$5)</f>
        <v>2</v>
      </c>
      <c r="J11" s="28">
        <f>IF(OR(B11="",F11="Feito"),0,IF(H11="Atrasada",3000+MIN(Config!$B$5-D11,60),IF(H11="Hoje",2500,IF(H11="Esta semana",2000-(D11-Config!$B$5),IF(H11="Sem prazo",500,1000-MIN(D11-Config!$B$5,900)))))+IF(E11="Alta",200,IF(E11="Média",100,0))-ROW()/100000)</f>
        <v>2097.99989</v>
      </c>
      <c r="K11" s="28">
        <f>IF(AND(B11&lt;&gt;"",A11=Config!$B$6),COUNTIFS($A$5:A11,Config!$B$6,$B$5:B11,"&lt;&gt;"),"")</f>
        <v/>
      </c>
    </row>
    <row r="12">
      <c r="A12" s="33" t="inlineStr">
        <is>
          <t>R-004</t>
        </is>
      </c>
      <c r="B12" s="31" t="inlineStr">
        <is>
          <t>Fechar o manual da marca da Padaria</t>
        </is>
      </c>
      <c r="C12" s="33" t="inlineStr">
        <is>
          <t>Carla</t>
        </is>
      </c>
      <c r="D12" s="34" t="n">
        <v>46280</v>
      </c>
      <c r="E12" s="33" t="inlineStr">
        <is>
          <t>Alta</t>
        </is>
      </c>
      <c r="F12" s="33" t="inlineStr">
        <is>
          <t>Fazendo</t>
        </is>
      </c>
      <c r="G12" s="34" t="n"/>
      <c r="H12" s="21" t="str">
        <f>IF(B12="","",IF(F12="Feito","Feita",IF(D12="","Sem prazo",IF(D12&lt;Config!$B$5,"Atrasada",IF(D12=Config!$B$5,"Hoje",IF(D12-Config!$B$5&lt;=7,"Esta semana","No prazo"))))))</f>
        <v>Esta semana</v>
      </c>
      <c r="I12" s="24">
        <f>IF(OR(B12="",F12="Feito",D12=""),"",D12-Config!$B$5)</f>
        <v>1</v>
      </c>
      <c r="J12" s="28">
        <f>IF(OR(B12="",F12="Feito"),0,IF(H12="Atrasada",3000+MIN(Config!$B$5-D12,60),IF(H12="Hoje",2500,IF(H12="Esta semana",2000-(D12-Config!$B$5),IF(H12="Sem prazo",500,1000-MIN(D12-Config!$B$5,900)))))+IF(E12="Alta",200,IF(E12="Média",100,0))-ROW()/100000)</f>
        <v>2198.99988</v>
      </c>
      <c r="K12" s="28">
        <f>IF(AND(B12&lt;&gt;"",A12=Config!$B$6),COUNTIFS($A$5:A12,Config!$B$6,$B$5:B12,"&lt;&gt;"),"")</f>
        <v>1</v>
      </c>
    </row>
    <row r="13">
      <c r="A13" s="33" t="inlineStr">
        <is>
          <t>R-004</t>
        </is>
      </c>
      <c r="B13" s="31" t="inlineStr">
        <is>
          <t>Preparar o servidor e o domínio do site</t>
        </is>
      </c>
      <c r="C13" s="33" t="inlineStr">
        <is>
          <t>Diego</t>
        </is>
      </c>
      <c r="D13" s="34" t="n">
        <v>46283</v>
      </c>
      <c r="E13" s="33" t="inlineStr">
        <is>
          <t>Média</t>
        </is>
      </c>
      <c r="F13" s="33" t="inlineStr">
        <is>
          <t>A fazer</t>
        </is>
      </c>
      <c r="G13" s="34" t="n"/>
      <c r="H13" s="21" t="str">
        <f>IF(B13="","",IF(F13="Feito","Feita",IF(D13="","Sem prazo",IF(D13&lt;Config!$B$5,"Atrasada",IF(D13=Config!$B$5,"Hoje",IF(D13-Config!$B$5&lt;=7,"Esta semana","No prazo"))))))</f>
        <v>Esta semana</v>
      </c>
      <c r="I13" s="24">
        <f>IF(OR(B13="",F13="Feito",D13=""),"",D13-Config!$B$5)</f>
        <v>4</v>
      </c>
      <c r="J13" s="28">
        <f>IF(OR(B13="",F13="Feito"),0,IF(H13="Atrasada",3000+MIN(Config!$B$5-D13,60),IF(H13="Hoje",2500,IF(H13="Esta semana",2000-(D13-Config!$B$5),IF(H13="Sem prazo",500,1000-MIN(D13-Config!$B$5,900)))))+IF(E13="Alta",200,IF(E13="Média",100,0))-ROW()/100000)</f>
        <v>2095.99987</v>
      </c>
      <c r="K13" s="28">
        <f>IF(AND(B13&lt;&gt;"",A13=Config!$B$6),COUNTIFS($A$5:A13,Config!$B$6,$B$5:B13,"&lt;&gt;"),"")</f>
        <v>2</v>
      </c>
    </row>
    <row r="14">
      <c r="A14" s="33" t="inlineStr">
        <is>
          <t>R-004</t>
        </is>
      </c>
      <c r="B14" s="31" t="inlineStr">
        <is>
          <t>Confirmar a reunião de quarta com o Bistrô</t>
        </is>
      </c>
      <c r="C14" s="33" t="inlineStr">
        <is>
          <t>Ana</t>
        </is>
      </c>
      <c r="D14" s="34" t="n">
        <v>46276</v>
      </c>
      <c r="E14" s="33" t="inlineStr">
        <is>
          <t>Média</t>
        </is>
      </c>
      <c r="F14" s="33" t="inlineStr">
        <is>
          <t>A fazer</t>
        </is>
      </c>
      <c r="G14" s="34" t="n"/>
      <c r="H14" s="21" t="str">
        <f>IF(B14="","",IF(F14="Feito","Feita",IF(D14="","Sem prazo",IF(D14&lt;Config!$B$5,"Atrasada",IF(D14=Config!$B$5,"Hoje",IF(D14-Config!$B$5&lt;=7,"Esta semana","No prazo"))))))</f>
        <v>Atrasada</v>
      </c>
      <c r="I14" s="24">
        <f>IF(OR(B14="",F14="Feito",D14=""),"",D14-Config!$B$5)</f>
        <v>-3</v>
      </c>
      <c r="J14" s="28">
        <f>IF(OR(B14="",F14="Feito"),0,IF(H14="Atrasada",3000+MIN(Config!$B$5-D14,60),IF(H14="Hoje",2500,IF(H14="Esta semana",2000-(D14-Config!$B$5),IF(H14="Sem prazo",500,1000-MIN(D14-Config!$B$5,900)))))+IF(E14="Alta",200,IF(E14="Média",100,0))-ROW()/100000)</f>
        <v>3102.99986</v>
      </c>
      <c r="K14" s="28">
        <f>IF(AND(B14&lt;&gt;"",A14=Config!$B$6),COUNTIFS($A$5:A14,Config!$B$6,$B$5:B14,"&lt;&gt;"),"")</f>
        <v>3</v>
      </c>
    </row>
    <row r="15">
      <c r="A15" s="33" t="inlineStr">
        <is>
          <t>R-004</t>
        </is>
      </c>
      <c r="B15" s="31" t="inlineStr">
        <is>
          <t>Levantar custo do freela de motion</t>
        </is>
      </c>
      <c r="C15" s="33" t="inlineStr">
        <is>
          <t>Ana</t>
        </is>
      </c>
      <c r="D15" s="34" t="n">
        <v>46278</v>
      </c>
      <c r="E15" s="33" t="inlineStr">
        <is>
          <t>Baixa</t>
        </is>
      </c>
      <c r="F15" s="33" t="inlineStr">
        <is>
          <t>A fazer</t>
        </is>
      </c>
      <c r="G15" s="34" t="n"/>
      <c r="H15" s="21" t="str">
        <f>IF(B15="","",IF(F15="Feito","Feita",IF(D15="","Sem prazo",IF(D15&lt;Config!$B$5,"Atrasada",IF(D15=Config!$B$5,"Hoje",IF(D15-Config!$B$5&lt;=7,"Esta semana","No prazo"))))))</f>
        <v>Atrasada</v>
      </c>
      <c r="I15" s="24">
        <f>IF(OR(B15="",F15="Feito",D15=""),"",D15-Config!$B$5)</f>
        <v>-1</v>
      </c>
      <c r="J15" s="28">
        <f>IF(OR(B15="",F15="Feito"),0,IF(H15="Atrasada",3000+MIN(Config!$B$5-D15,60),IF(H15="Hoje",2500,IF(H15="Esta semana",2000-(D15-Config!$B$5),IF(H15="Sem prazo",500,1000-MIN(D15-Config!$B$5,900)))))+IF(E15="Alta",200,IF(E15="Média",100,0))-ROW()/100000)</f>
        <v>3000.99985</v>
      </c>
      <c r="K15" s="28">
        <f>IF(AND(B15&lt;&gt;"",A15=Config!$B$6),COUNTIFS($A$5:A15,Config!$B$6,$B$5:B15,"&lt;&gt;"),"")</f>
        <v>4</v>
      </c>
    </row>
    <row r="16">
      <c r="A16" s="33" t="inlineStr">
        <is>
          <t>R-004</t>
        </is>
      </c>
      <c r="B16" s="31" t="inlineStr">
        <is>
          <t>Revisar a proposta comercial da Aurora</t>
        </is>
      </c>
      <c r="C16" s="33" t="inlineStr">
        <is>
          <t>Ana</t>
        </is>
      </c>
      <c r="D16" s="34" t="n"/>
      <c r="E16" s="33" t="inlineStr">
        <is>
          <t>Média</t>
        </is>
      </c>
      <c r="F16" s="33" t="inlineStr">
        <is>
          <t>A fazer</t>
        </is>
      </c>
      <c r="G16" s="34" t="n"/>
      <c r="H16" s="21" t="str">
        <f>IF(B16="","",IF(F16="Feito","Feita",IF(D16="","Sem prazo",IF(D16&lt;Config!$B$5,"Atrasada",IF(D16=Config!$B$5,"Hoje",IF(D16-Config!$B$5&lt;=7,"Esta semana","No prazo"))))))</f>
        <v>Sem prazo</v>
      </c>
      <c r="I16" s="24">
        <f>IF(OR(B16="",F16="Feito",D16=""),"",D16-Config!$B$5)</f>
        <v/>
      </c>
      <c r="J16" s="28">
        <f>IF(OR(B16="",F16="Feito"),0,IF(H16="Atrasada",3000+MIN(Config!$B$5-D16,60),IF(H16="Hoje",2500,IF(H16="Esta semana",2000-(D16-Config!$B$5),IF(H16="Sem prazo",500,1000-MIN(D16-Config!$B$5,900)))))+IF(E16="Alta",200,IF(E16="Média",100,0))-ROW()/100000)</f>
        <v>599.99984</v>
      </c>
      <c r="K16" s="28">
        <f>IF(AND(B16&lt;&gt;"",A16=Config!$B$6),COUNTIFS($A$5:A16,Config!$B$6,$B$5:B16,"&lt;&gt;"),"")</f>
        <v>5</v>
      </c>
    </row>
    <row r="17">
      <c r="A17" s="33" t="n"/>
      <c r="B17" s="31" t="n"/>
      <c r="C17" s="33" t="n"/>
      <c r="D17" s="34" t="n"/>
      <c r="E17" s="33" t="n"/>
      <c r="F17" s="33" t="n"/>
      <c r="G17" s="34" t="n"/>
      <c r="H17" s="21">
        <f>IF(B17="","",IF(F17="Feito","Feita",IF(D17="","Sem prazo",IF(D17&lt;Config!$B$5,"Atrasada",IF(D17=Config!$B$5,"Hoje",IF(D17-Config!$B$5&lt;=7,"Esta semana","No prazo"))))))</f>
        <v/>
      </c>
      <c r="I17" s="24">
        <f>IF(OR(B17="",F17="Feito",D17=""),"",D17-Config!$B$5)</f>
        <v/>
      </c>
      <c r="J17" s="28">
        <f>IF(OR(B17="",F17="Feito"),0,IF(H17="Atrasada",3000+MIN(Config!$B$5-D17,60),IF(H17="Hoje",2500,IF(H17="Esta semana",2000-(D17-Config!$B$5),IF(H17="Sem prazo",500,1000-MIN(D17-Config!$B$5,900)))))+IF(E17="Alta",200,IF(E17="Média",100,0))-ROW()/100000)</f>
        <v>0</v>
      </c>
      <c r="K17" s="28">
        <f>IF(AND(B17&lt;&gt;"",A17=Config!$B$6),COUNTIFS($A$5:A17,Config!$B$6,$B$5:B17,"&lt;&gt;"),"")</f>
        <v/>
      </c>
    </row>
    <row r="18">
      <c r="A18" s="33" t="n"/>
      <c r="B18" s="31" t="n"/>
      <c r="C18" s="33" t="n"/>
      <c r="D18" s="34" t="n"/>
      <c r="E18" s="33" t="n"/>
      <c r="F18" s="33" t="n"/>
      <c r="G18" s="34" t="n"/>
      <c r="H18" s="21">
        <f>IF(B18="","",IF(F18="Feito","Feita",IF(D18="","Sem prazo",IF(D18&lt;Config!$B$5,"Atrasada",IF(D18=Config!$B$5,"Hoje",IF(D18-Config!$B$5&lt;=7,"Esta semana","No prazo"))))))</f>
        <v/>
      </c>
      <c r="I18" s="24">
        <f>IF(OR(B18="",F18="Feito",D18=""),"",D18-Config!$B$5)</f>
        <v/>
      </c>
      <c r="J18" s="28">
        <f>IF(OR(B18="",F18="Feito"),0,IF(H18="Atrasada",3000+MIN(Config!$B$5-D18,60),IF(H18="Hoje",2500,IF(H18="Esta semana",2000-(D18-Config!$B$5),IF(H18="Sem prazo",500,1000-MIN(D18-Config!$B$5,900)))))+IF(E18="Alta",200,IF(E18="Média",100,0))-ROW()/100000)</f>
        <v>0</v>
      </c>
      <c r="K18" s="28">
        <f>IF(AND(B18&lt;&gt;"",A18=Config!$B$6),COUNTIFS($A$5:A18,Config!$B$6,$B$5:B18,"&lt;&gt;"),"")</f>
        <v/>
      </c>
    </row>
    <row r="19">
      <c r="A19" s="33" t="n"/>
      <c r="B19" s="31" t="n"/>
      <c r="C19" s="33" t="n"/>
      <c r="D19" s="34" t="n"/>
      <c r="E19" s="33" t="n"/>
      <c r="F19" s="33" t="n"/>
      <c r="G19" s="34" t="n"/>
      <c r="H19" s="21">
        <f>IF(B19="","",IF(F19="Feito","Feita",IF(D19="","Sem prazo",IF(D19&lt;Config!$B$5,"Atrasada",IF(D19=Config!$B$5,"Hoje",IF(D19-Config!$B$5&lt;=7,"Esta semana","No prazo"))))))</f>
        <v/>
      </c>
      <c r="I19" s="24">
        <f>IF(OR(B19="",F19="Feito",D19=""),"",D19-Config!$B$5)</f>
        <v/>
      </c>
      <c r="J19" s="28">
        <f>IF(OR(B19="",F19="Feito"),0,IF(H19="Atrasada",3000+MIN(Config!$B$5-D19,60),IF(H19="Hoje",2500,IF(H19="Esta semana",2000-(D19-Config!$B$5),IF(H19="Sem prazo",500,1000-MIN(D19-Config!$B$5,900)))))+IF(E19="Alta",200,IF(E19="Média",100,0))-ROW()/100000)</f>
        <v>0</v>
      </c>
      <c r="K19" s="28">
        <f>IF(AND(B19&lt;&gt;"",A19=Config!$B$6),COUNTIFS($A$5:A19,Config!$B$6,$B$5:B19,"&lt;&gt;"),"")</f>
        <v/>
      </c>
    </row>
    <row r="20">
      <c r="A20" s="33" t="n"/>
      <c r="B20" s="31" t="n"/>
      <c r="C20" s="33" t="n"/>
      <c r="D20" s="34" t="n"/>
      <c r="E20" s="33" t="n"/>
      <c r="F20" s="33" t="n"/>
      <c r="G20" s="34" t="n"/>
      <c r="H20" s="21">
        <f>IF(B20="","",IF(F20="Feito","Feita",IF(D20="","Sem prazo",IF(D20&lt;Config!$B$5,"Atrasada",IF(D20=Config!$B$5,"Hoje",IF(D20-Config!$B$5&lt;=7,"Esta semana","No prazo"))))))</f>
        <v/>
      </c>
      <c r="I20" s="24">
        <f>IF(OR(B20="",F20="Feito",D20=""),"",D20-Config!$B$5)</f>
        <v/>
      </c>
      <c r="J20" s="28">
        <f>IF(OR(B20="",F20="Feito"),0,IF(H20="Atrasada",3000+MIN(Config!$B$5-D20,60),IF(H20="Hoje",2500,IF(H20="Esta semana",2000-(D20-Config!$B$5),IF(H20="Sem prazo",500,1000-MIN(D20-Config!$B$5,900)))))+IF(E20="Alta",200,IF(E20="Média",100,0))-ROW()/100000)</f>
        <v>0</v>
      </c>
      <c r="K20" s="28">
        <f>IF(AND(B20&lt;&gt;"",A20=Config!$B$6),COUNTIFS($A$5:A20,Config!$B$6,$B$5:B20,"&lt;&gt;"),"")</f>
        <v/>
      </c>
    </row>
    <row r="21">
      <c r="A21" s="33" t="n"/>
      <c r="B21" s="31" t="n"/>
      <c r="C21" s="33" t="n"/>
      <c r="D21" s="34" t="n"/>
      <c r="E21" s="33" t="n"/>
      <c r="F21" s="33" t="n"/>
      <c r="G21" s="34" t="n"/>
      <c r="H21" s="21">
        <f>IF(B21="","",IF(F21="Feito","Feita",IF(D21="","Sem prazo",IF(D21&lt;Config!$B$5,"Atrasada",IF(D21=Config!$B$5,"Hoje",IF(D21-Config!$B$5&lt;=7,"Esta semana","No prazo"))))))</f>
        <v/>
      </c>
      <c r="I21" s="24">
        <f>IF(OR(B21="",F21="Feito",D21=""),"",D21-Config!$B$5)</f>
        <v/>
      </c>
      <c r="J21" s="28">
        <f>IF(OR(B21="",F21="Feito"),0,IF(H21="Atrasada",3000+MIN(Config!$B$5-D21,60),IF(H21="Hoje",2500,IF(H21="Esta semana",2000-(D21-Config!$B$5),IF(H21="Sem prazo",500,1000-MIN(D21-Config!$B$5,900)))))+IF(E21="Alta",200,IF(E21="Média",100,0))-ROW()/100000)</f>
        <v>0</v>
      </c>
      <c r="K21" s="28">
        <f>IF(AND(B21&lt;&gt;"",A21=Config!$B$6),COUNTIFS($A$5:A21,Config!$B$6,$B$5:B21,"&lt;&gt;"),"")</f>
        <v/>
      </c>
    </row>
    <row r="22">
      <c r="A22" s="33" t="n"/>
      <c r="B22" s="31" t="n"/>
      <c r="C22" s="33" t="n"/>
      <c r="D22" s="34" t="n"/>
      <c r="E22" s="33" t="n"/>
      <c r="F22" s="33" t="n"/>
      <c r="G22" s="34" t="n"/>
      <c r="H22" s="21">
        <f>IF(B22="","",IF(F22="Feito","Feita",IF(D22="","Sem prazo",IF(D22&lt;Config!$B$5,"Atrasada",IF(D22=Config!$B$5,"Hoje",IF(D22-Config!$B$5&lt;=7,"Esta semana","No prazo"))))))</f>
        <v/>
      </c>
      <c r="I22" s="24">
        <f>IF(OR(B22="",F22="Feito",D22=""),"",D22-Config!$B$5)</f>
        <v/>
      </c>
      <c r="J22" s="28">
        <f>IF(OR(B22="",F22="Feito"),0,IF(H22="Atrasada",3000+MIN(Config!$B$5-D22,60),IF(H22="Hoje",2500,IF(H22="Esta semana",2000-(D22-Config!$B$5),IF(H22="Sem prazo",500,1000-MIN(D22-Config!$B$5,900)))))+IF(E22="Alta",200,IF(E22="Média",100,0))-ROW()/100000)</f>
        <v>0</v>
      </c>
      <c r="K22" s="28">
        <f>IF(AND(B22&lt;&gt;"",A22=Config!$B$6),COUNTIFS($A$5:A22,Config!$B$6,$B$5:B22,"&lt;&gt;"),"")</f>
        <v/>
      </c>
    </row>
    <row r="23">
      <c r="A23" s="33" t="n"/>
      <c r="B23" s="31" t="n"/>
      <c r="C23" s="33" t="n"/>
      <c r="D23" s="34" t="n"/>
      <c r="E23" s="33" t="n"/>
      <c r="F23" s="33" t="n"/>
      <c r="G23" s="34" t="n"/>
      <c r="H23" s="21">
        <f>IF(B23="","",IF(F23="Feito","Feita",IF(D23="","Sem prazo",IF(D23&lt;Config!$B$5,"Atrasada",IF(D23=Config!$B$5,"Hoje",IF(D23-Config!$B$5&lt;=7,"Esta semana","No prazo"))))))</f>
        <v/>
      </c>
      <c r="I23" s="24">
        <f>IF(OR(B23="",F23="Feito",D23=""),"",D23-Config!$B$5)</f>
        <v/>
      </c>
      <c r="J23" s="28">
        <f>IF(OR(B23="",F23="Feito"),0,IF(H23="Atrasada",3000+MIN(Config!$B$5-D23,60),IF(H23="Hoje",2500,IF(H23="Esta semana",2000-(D23-Config!$B$5),IF(H23="Sem prazo",500,1000-MIN(D23-Config!$B$5,900)))))+IF(E23="Alta",200,IF(E23="Média",100,0))-ROW()/100000)</f>
        <v>0</v>
      </c>
      <c r="K23" s="28">
        <f>IF(AND(B23&lt;&gt;"",A23=Config!$B$6),COUNTIFS($A$5:A23,Config!$B$6,$B$5:B23,"&lt;&gt;"),"")</f>
        <v/>
      </c>
    </row>
    <row r="24">
      <c r="A24" s="33" t="n"/>
      <c r="B24" s="31" t="n"/>
      <c r="C24" s="33" t="n"/>
      <c r="D24" s="34" t="n"/>
      <c r="E24" s="33" t="n"/>
      <c r="F24" s="33" t="n"/>
      <c r="G24" s="34" t="n"/>
      <c r="H24" s="21">
        <f>IF(B24="","",IF(F24="Feito","Feita",IF(D24="","Sem prazo",IF(D24&lt;Config!$B$5,"Atrasada",IF(D24=Config!$B$5,"Hoje",IF(D24-Config!$B$5&lt;=7,"Esta semana","No prazo"))))))</f>
        <v/>
      </c>
      <c r="I24" s="24">
        <f>IF(OR(B24="",F24="Feito",D24=""),"",D24-Config!$B$5)</f>
        <v/>
      </c>
      <c r="J24" s="28">
        <f>IF(OR(B24="",F24="Feito"),0,IF(H24="Atrasada",3000+MIN(Config!$B$5-D24,60),IF(H24="Hoje",2500,IF(H24="Esta semana",2000-(D24-Config!$B$5),IF(H24="Sem prazo",500,1000-MIN(D24-Config!$B$5,900)))))+IF(E24="Alta",200,IF(E24="Média",100,0))-ROW()/100000)</f>
        <v>0</v>
      </c>
      <c r="K24" s="28">
        <f>IF(AND(B24&lt;&gt;"",A24=Config!$B$6),COUNTIFS($A$5:A24,Config!$B$6,$B$5:B24,"&lt;&gt;"),"")</f>
        <v/>
      </c>
    </row>
    <row r="25">
      <c r="A25" s="33" t="n"/>
      <c r="B25" s="31" t="n"/>
      <c r="C25" s="33" t="n"/>
      <c r="D25" s="34" t="n"/>
      <c r="E25" s="33" t="n"/>
      <c r="F25" s="33" t="n"/>
      <c r="G25" s="34" t="n"/>
      <c r="H25" s="21">
        <f>IF(B25="","",IF(F25="Feito","Feita",IF(D25="","Sem prazo",IF(D25&lt;Config!$B$5,"Atrasada",IF(D25=Config!$B$5,"Hoje",IF(D25-Config!$B$5&lt;=7,"Esta semana","No prazo"))))))</f>
        <v/>
      </c>
      <c r="I25" s="24">
        <f>IF(OR(B25="",F25="Feito",D25=""),"",D25-Config!$B$5)</f>
        <v/>
      </c>
      <c r="J25" s="28">
        <f>IF(OR(B25="",F25="Feito"),0,IF(H25="Atrasada",3000+MIN(Config!$B$5-D25,60),IF(H25="Hoje",2500,IF(H25="Esta semana",2000-(D25-Config!$B$5),IF(H25="Sem prazo",500,1000-MIN(D25-Config!$B$5,900)))))+IF(E25="Alta",200,IF(E25="Média",100,0))-ROW()/100000)</f>
        <v>0</v>
      </c>
      <c r="K25" s="28">
        <f>IF(AND(B25&lt;&gt;"",A25=Config!$B$6),COUNTIFS($A$5:A25,Config!$B$6,$B$5:B25,"&lt;&gt;"),"")</f>
        <v/>
      </c>
    </row>
    <row r="26">
      <c r="A26" s="33" t="n"/>
      <c r="B26" s="31" t="n"/>
      <c r="C26" s="33" t="n"/>
      <c r="D26" s="34" t="n"/>
      <c r="E26" s="33" t="n"/>
      <c r="F26" s="33" t="n"/>
      <c r="G26" s="34" t="n"/>
      <c r="H26" s="21">
        <f>IF(B26="","",IF(F26="Feito","Feita",IF(D26="","Sem prazo",IF(D26&lt;Config!$B$5,"Atrasada",IF(D26=Config!$B$5,"Hoje",IF(D26-Config!$B$5&lt;=7,"Esta semana","No prazo"))))))</f>
        <v/>
      </c>
      <c r="I26" s="24">
        <f>IF(OR(B26="",F26="Feito",D26=""),"",D26-Config!$B$5)</f>
        <v/>
      </c>
      <c r="J26" s="28">
        <f>IF(OR(B26="",F26="Feito"),0,IF(H26="Atrasada",3000+MIN(Config!$B$5-D26,60),IF(H26="Hoje",2500,IF(H26="Esta semana",2000-(D26-Config!$B$5),IF(H26="Sem prazo",500,1000-MIN(D26-Config!$B$5,900)))))+IF(E26="Alta",200,IF(E26="Média",100,0))-ROW()/100000)</f>
        <v>0</v>
      </c>
      <c r="K26" s="28">
        <f>IF(AND(B26&lt;&gt;"",A26=Config!$B$6),COUNTIFS($A$5:A26,Config!$B$6,$B$5:B26,"&lt;&gt;"),"")</f>
        <v/>
      </c>
    </row>
    <row r="27">
      <c r="A27" s="33" t="n"/>
      <c r="B27" s="31" t="n"/>
      <c r="C27" s="33" t="n"/>
      <c r="D27" s="34" t="n"/>
      <c r="E27" s="33" t="n"/>
      <c r="F27" s="33" t="n"/>
      <c r="G27" s="34" t="n"/>
      <c r="H27" s="21">
        <f>IF(B27="","",IF(F27="Feito","Feita",IF(D27="","Sem prazo",IF(D27&lt;Config!$B$5,"Atrasada",IF(D27=Config!$B$5,"Hoje",IF(D27-Config!$B$5&lt;=7,"Esta semana","No prazo"))))))</f>
        <v/>
      </c>
      <c r="I27" s="24">
        <f>IF(OR(B27="",F27="Feito",D27=""),"",D27-Config!$B$5)</f>
        <v/>
      </c>
      <c r="J27" s="28">
        <f>IF(OR(B27="",F27="Feito"),0,IF(H27="Atrasada",3000+MIN(Config!$B$5-D27,60),IF(H27="Hoje",2500,IF(H27="Esta semana",2000-(D27-Config!$B$5),IF(H27="Sem prazo",500,1000-MIN(D27-Config!$B$5,900)))))+IF(E27="Alta",200,IF(E27="Média",100,0))-ROW()/100000)</f>
        <v>0</v>
      </c>
      <c r="K27" s="28">
        <f>IF(AND(B27&lt;&gt;"",A27=Config!$B$6),COUNTIFS($A$5:A27,Config!$B$6,$B$5:B27,"&lt;&gt;"),"")</f>
        <v/>
      </c>
    </row>
    <row r="28">
      <c r="A28" s="33" t="n"/>
      <c r="B28" s="31" t="n"/>
      <c r="C28" s="33" t="n"/>
      <c r="D28" s="34" t="n"/>
      <c r="E28" s="33" t="n"/>
      <c r="F28" s="33" t="n"/>
      <c r="G28" s="34" t="n"/>
      <c r="H28" s="21">
        <f>IF(B28="","",IF(F28="Feito","Feita",IF(D28="","Sem prazo",IF(D28&lt;Config!$B$5,"Atrasada",IF(D28=Config!$B$5,"Hoje",IF(D28-Config!$B$5&lt;=7,"Esta semana","No prazo"))))))</f>
        <v/>
      </c>
      <c r="I28" s="24">
        <f>IF(OR(B28="",F28="Feito",D28=""),"",D28-Config!$B$5)</f>
        <v/>
      </c>
      <c r="J28" s="28">
        <f>IF(OR(B28="",F28="Feito"),0,IF(H28="Atrasada",3000+MIN(Config!$B$5-D28,60),IF(H28="Hoje",2500,IF(H28="Esta semana",2000-(D28-Config!$B$5),IF(H28="Sem prazo",500,1000-MIN(D28-Config!$B$5,900)))))+IF(E28="Alta",200,IF(E28="Média",100,0))-ROW()/100000)</f>
        <v>0</v>
      </c>
      <c r="K28" s="28">
        <f>IF(AND(B28&lt;&gt;"",A28=Config!$B$6),COUNTIFS($A$5:A28,Config!$B$6,$B$5:B28,"&lt;&gt;"),"")</f>
        <v/>
      </c>
    </row>
    <row r="29">
      <c r="A29" s="33" t="n"/>
      <c r="B29" s="31" t="n"/>
      <c r="C29" s="33" t="n"/>
      <c r="D29" s="34" t="n"/>
      <c r="E29" s="33" t="n"/>
      <c r="F29" s="33" t="n"/>
      <c r="G29" s="34" t="n"/>
      <c r="H29" s="21">
        <f>IF(B29="","",IF(F29="Feito","Feita",IF(D29="","Sem prazo",IF(D29&lt;Config!$B$5,"Atrasada",IF(D29=Config!$B$5,"Hoje",IF(D29-Config!$B$5&lt;=7,"Esta semana","No prazo"))))))</f>
        <v/>
      </c>
      <c r="I29" s="24">
        <f>IF(OR(B29="",F29="Feito",D29=""),"",D29-Config!$B$5)</f>
        <v/>
      </c>
      <c r="J29" s="28">
        <f>IF(OR(B29="",F29="Feito"),0,IF(H29="Atrasada",3000+MIN(Config!$B$5-D29,60),IF(H29="Hoje",2500,IF(H29="Esta semana",2000-(D29-Config!$B$5),IF(H29="Sem prazo",500,1000-MIN(D29-Config!$B$5,900)))))+IF(E29="Alta",200,IF(E29="Média",100,0))-ROW()/100000)</f>
        <v>0</v>
      </c>
      <c r="K29" s="28">
        <f>IF(AND(B29&lt;&gt;"",A29=Config!$B$6),COUNTIFS($A$5:A29,Config!$B$6,$B$5:B29,"&lt;&gt;"),"")</f>
        <v/>
      </c>
    </row>
    <row r="30">
      <c r="A30" s="33" t="n"/>
      <c r="B30" s="31" t="n"/>
      <c r="C30" s="33" t="n"/>
      <c r="D30" s="34" t="n"/>
      <c r="E30" s="33" t="n"/>
      <c r="F30" s="33" t="n"/>
      <c r="G30" s="34" t="n"/>
      <c r="H30" s="21">
        <f>IF(B30="","",IF(F30="Feito","Feita",IF(D30="","Sem prazo",IF(D30&lt;Config!$B$5,"Atrasada",IF(D30=Config!$B$5,"Hoje",IF(D30-Config!$B$5&lt;=7,"Esta semana","No prazo"))))))</f>
        <v/>
      </c>
      <c r="I30" s="24">
        <f>IF(OR(B30="",F30="Feito",D30=""),"",D30-Config!$B$5)</f>
        <v/>
      </c>
      <c r="J30" s="28">
        <f>IF(OR(B30="",F30="Feito"),0,IF(H30="Atrasada",3000+MIN(Config!$B$5-D30,60),IF(H30="Hoje",2500,IF(H30="Esta semana",2000-(D30-Config!$B$5),IF(H30="Sem prazo",500,1000-MIN(D30-Config!$B$5,900)))))+IF(E30="Alta",200,IF(E30="Média",100,0))-ROW()/100000)</f>
        <v>0</v>
      </c>
      <c r="K30" s="28">
        <f>IF(AND(B30&lt;&gt;"",A30=Config!$B$6),COUNTIFS($A$5:A30,Config!$B$6,$B$5:B30,"&lt;&gt;"),"")</f>
        <v/>
      </c>
    </row>
    <row r="31">
      <c r="A31" s="33" t="n"/>
      <c r="B31" s="31" t="n"/>
      <c r="C31" s="33" t="n"/>
      <c r="D31" s="34" t="n"/>
      <c r="E31" s="33" t="n"/>
      <c r="F31" s="33" t="n"/>
      <c r="G31" s="34" t="n"/>
      <c r="H31" s="21">
        <f>IF(B31="","",IF(F31="Feito","Feita",IF(D31="","Sem prazo",IF(D31&lt;Config!$B$5,"Atrasada",IF(D31=Config!$B$5,"Hoje",IF(D31-Config!$B$5&lt;=7,"Esta semana","No prazo"))))))</f>
        <v/>
      </c>
      <c r="I31" s="24">
        <f>IF(OR(B31="",F31="Feito",D31=""),"",D31-Config!$B$5)</f>
        <v/>
      </c>
      <c r="J31" s="28">
        <f>IF(OR(B31="",F31="Feito"),0,IF(H31="Atrasada",3000+MIN(Config!$B$5-D31,60),IF(H31="Hoje",2500,IF(H31="Esta semana",2000-(D31-Config!$B$5),IF(H31="Sem prazo",500,1000-MIN(D31-Config!$B$5,900)))))+IF(E31="Alta",200,IF(E31="Média",100,0))-ROW()/100000)</f>
        <v>0</v>
      </c>
      <c r="K31" s="28">
        <f>IF(AND(B31&lt;&gt;"",A31=Config!$B$6),COUNTIFS($A$5:A31,Config!$B$6,$B$5:B31,"&lt;&gt;"),"")</f>
        <v/>
      </c>
    </row>
    <row r="32">
      <c r="A32" s="33" t="n"/>
      <c r="B32" s="31" t="n"/>
      <c r="C32" s="33" t="n"/>
      <c r="D32" s="34" t="n"/>
      <c r="E32" s="33" t="n"/>
      <c r="F32" s="33" t="n"/>
      <c r="G32" s="34" t="n"/>
      <c r="H32" s="21">
        <f>IF(B32="","",IF(F32="Feito","Feita",IF(D32="","Sem prazo",IF(D32&lt;Config!$B$5,"Atrasada",IF(D32=Config!$B$5,"Hoje",IF(D32-Config!$B$5&lt;=7,"Esta semana","No prazo"))))))</f>
        <v/>
      </c>
      <c r="I32" s="24">
        <f>IF(OR(B32="",F32="Feito",D32=""),"",D32-Config!$B$5)</f>
        <v/>
      </c>
      <c r="J32" s="28">
        <f>IF(OR(B32="",F32="Feito"),0,IF(H32="Atrasada",3000+MIN(Config!$B$5-D32,60),IF(H32="Hoje",2500,IF(H32="Esta semana",2000-(D32-Config!$B$5),IF(H32="Sem prazo",500,1000-MIN(D32-Config!$B$5,900)))))+IF(E32="Alta",200,IF(E32="Média",100,0))-ROW()/100000)</f>
        <v>0</v>
      </c>
      <c r="K32" s="28">
        <f>IF(AND(B32&lt;&gt;"",A32=Config!$B$6),COUNTIFS($A$5:A32,Config!$B$6,$B$5:B32,"&lt;&gt;"),"")</f>
        <v/>
      </c>
    </row>
    <row r="33">
      <c r="A33" s="33" t="n"/>
      <c r="B33" s="31" t="n"/>
      <c r="C33" s="33" t="n"/>
      <c r="D33" s="34" t="n"/>
      <c r="E33" s="33" t="n"/>
      <c r="F33" s="33" t="n"/>
      <c r="G33" s="34" t="n"/>
      <c r="H33" s="21">
        <f>IF(B33="","",IF(F33="Feito","Feita",IF(D33="","Sem prazo",IF(D33&lt;Config!$B$5,"Atrasada",IF(D33=Config!$B$5,"Hoje",IF(D33-Config!$B$5&lt;=7,"Esta semana","No prazo"))))))</f>
        <v/>
      </c>
      <c r="I33" s="24">
        <f>IF(OR(B33="",F33="Feito",D33=""),"",D33-Config!$B$5)</f>
        <v/>
      </c>
      <c r="J33" s="28">
        <f>IF(OR(B33="",F33="Feito"),0,IF(H33="Atrasada",3000+MIN(Config!$B$5-D33,60),IF(H33="Hoje",2500,IF(H33="Esta semana",2000-(D33-Config!$B$5),IF(H33="Sem prazo",500,1000-MIN(D33-Config!$B$5,900)))))+IF(E33="Alta",200,IF(E33="Média",100,0))-ROW()/100000)</f>
        <v>0</v>
      </c>
      <c r="K33" s="28">
        <f>IF(AND(B33&lt;&gt;"",A33=Config!$B$6),COUNTIFS($A$5:A33,Config!$B$6,$B$5:B33,"&lt;&gt;"),"")</f>
        <v/>
      </c>
    </row>
    <row r="34">
      <c r="A34" s="33" t="n"/>
      <c r="B34" s="31" t="n"/>
      <c r="C34" s="33" t="n"/>
      <c r="D34" s="34" t="n"/>
      <c r="E34" s="33" t="n"/>
      <c r="F34" s="33" t="n"/>
      <c r="G34" s="34" t="n"/>
      <c r="H34" s="21">
        <f>IF(B34="","",IF(F34="Feito","Feita",IF(D34="","Sem prazo",IF(D34&lt;Config!$B$5,"Atrasada",IF(D34=Config!$B$5,"Hoje",IF(D34-Config!$B$5&lt;=7,"Esta semana","No prazo"))))))</f>
        <v/>
      </c>
      <c r="I34" s="24">
        <f>IF(OR(B34="",F34="Feito",D34=""),"",D34-Config!$B$5)</f>
        <v/>
      </c>
      <c r="J34" s="28">
        <f>IF(OR(B34="",F34="Feito"),0,IF(H34="Atrasada",3000+MIN(Config!$B$5-D34,60),IF(H34="Hoje",2500,IF(H34="Esta semana",2000-(D34-Config!$B$5),IF(H34="Sem prazo",500,1000-MIN(D34-Config!$B$5,900)))))+IF(E34="Alta",200,IF(E34="Média",100,0))-ROW()/100000)</f>
        <v>0</v>
      </c>
      <c r="K34" s="28">
        <f>IF(AND(B34&lt;&gt;"",A34=Config!$B$6),COUNTIFS($A$5:A34,Config!$B$6,$B$5:B34,"&lt;&gt;"),"")</f>
        <v/>
      </c>
    </row>
    <row r="35">
      <c r="A35" s="33" t="n"/>
      <c r="B35" s="31" t="n"/>
      <c r="C35" s="33" t="n"/>
      <c r="D35" s="34" t="n"/>
      <c r="E35" s="33" t="n"/>
      <c r="F35" s="33" t="n"/>
      <c r="G35" s="34" t="n"/>
      <c r="H35" s="21">
        <f>IF(B35="","",IF(F35="Feito","Feita",IF(D35="","Sem prazo",IF(D35&lt;Config!$B$5,"Atrasada",IF(D35=Config!$B$5,"Hoje",IF(D35-Config!$B$5&lt;=7,"Esta semana","No prazo"))))))</f>
        <v/>
      </c>
      <c r="I35" s="24">
        <f>IF(OR(B35="",F35="Feito",D35=""),"",D35-Config!$B$5)</f>
        <v/>
      </c>
      <c r="J35" s="28">
        <f>IF(OR(B35="",F35="Feito"),0,IF(H35="Atrasada",3000+MIN(Config!$B$5-D35,60),IF(H35="Hoje",2500,IF(H35="Esta semana",2000-(D35-Config!$B$5),IF(H35="Sem prazo",500,1000-MIN(D35-Config!$B$5,900)))))+IF(E35="Alta",200,IF(E35="Média",100,0))-ROW()/100000)</f>
        <v>0</v>
      </c>
      <c r="K35" s="28">
        <f>IF(AND(B35&lt;&gt;"",A35=Config!$B$6),COUNTIFS($A$5:A35,Config!$B$6,$B$5:B35,"&lt;&gt;"),"")</f>
        <v/>
      </c>
    </row>
    <row r="36">
      <c r="A36" s="33" t="n"/>
      <c r="B36" s="31" t="n"/>
      <c r="C36" s="33" t="n"/>
      <c r="D36" s="34" t="n"/>
      <c r="E36" s="33" t="n"/>
      <c r="F36" s="33" t="n"/>
      <c r="G36" s="34" t="n"/>
      <c r="H36" s="21">
        <f>IF(B36="","",IF(F36="Feito","Feita",IF(D36="","Sem prazo",IF(D36&lt;Config!$B$5,"Atrasada",IF(D36=Config!$B$5,"Hoje",IF(D36-Config!$B$5&lt;=7,"Esta semana","No prazo"))))))</f>
        <v/>
      </c>
      <c r="I36" s="24">
        <f>IF(OR(B36="",F36="Feito",D36=""),"",D36-Config!$B$5)</f>
        <v/>
      </c>
      <c r="J36" s="28">
        <f>IF(OR(B36="",F36="Feito"),0,IF(H36="Atrasada",3000+MIN(Config!$B$5-D36,60),IF(H36="Hoje",2500,IF(H36="Esta semana",2000-(D36-Config!$B$5),IF(H36="Sem prazo",500,1000-MIN(D36-Config!$B$5,900)))))+IF(E36="Alta",200,IF(E36="Média",100,0))-ROW()/100000)</f>
        <v>0</v>
      </c>
      <c r="K36" s="28">
        <f>IF(AND(B36&lt;&gt;"",A36=Config!$B$6),COUNTIFS($A$5:A36,Config!$B$6,$B$5:B36,"&lt;&gt;"),"")</f>
        <v/>
      </c>
    </row>
    <row r="37">
      <c r="A37" s="33" t="n"/>
      <c r="B37" s="31" t="n"/>
      <c r="C37" s="33" t="n"/>
      <c r="D37" s="34" t="n"/>
      <c r="E37" s="33" t="n"/>
      <c r="F37" s="33" t="n"/>
      <c r="G37" s="34" t="n"/>
      <c r="H37" s="21">
        <f>IF(B37="","",IF(F37="Feito","Feita",IF(D37="","Sem prazo",IF(D37&lt;Config!$B$5,"Atrasada",IF(D37=Config!$B$5,"Hoje",IF(D37-Config!$B$5&lt;=7,"Esta semana","No prazo"))))))</f>
        <v/>
      </c>
      <c r="I37" s="24">
        <f>IF(OR(B37="",F37="Feito",D37=""),"",D37-Config!$B$5)</f>
        <v/>
      </c>
      <c r="J37" s="28">
        <f>IF(OR(B37="",F37="Feito"),0,IF(H37="Atrasada",3000+MIN(Config!$B$5-D37,60),IF(H37="Hoje",2500,IF(H37="Esta semana",2000-(D37-Config!$B$5),IF(H37="Sem prazo",500,1000-MIN(D37-Config!$B$5,900)))))+IF(E37="Alta",200,IF(E37="Média",100,0))-ROW()/100000)</f>
        <v>0</v>
      </c>
      <c r="K37" s="28">
        <f>IF(AND(B37&lt;&gt;"",A37=Config!$B$6),COUNTIFS($A$5:A37,Config!$B$6,$B$5:B37,"&lt;&gt;"),"")</f>
        <v/>
      </c>
    </row>
    <row r="38">
      <c r="A38" s="33" t="n"/>
      <c r="B38" s="31" t="n"/>
      <c r="C38" s="33" t="n"/>
      <c r="D38" s="34" t="n"/>
      <c r="E38" s="33" t="n"/>
      <c r="F38" s="33" t="n"/>
      <c r="G38" s="34" t="n"/>
      <c r="H38" s="21">
        <f>IF(B38="","",IF(F38="Feito","Feita",IF(D38="","Sem prazo",IF(D38&lt;Config!$B$5,"Atrasada",IF(D38=Config!$B$5,"Hoje",IF(D38-Config!$B$5&lt;=7,"Esta semana","No prazo"))))))</f>
        <v/>
      </c>
      <c r="I38" s="24">
        <f>IF(OR(B38="",F38="Feito",D38=""),"",D38-Config!$B$5)</f>
        <v/>
      </c>
      <c r="J38" s="28">
        <f>IF(OR(B38="",F38="Feito"),0,IF(H38="Atrasada",3000+MIN(Config!$B$5-D38,60),IF(H38="Hoje",2500,IF(H38="Esta semana",2000-(D38-Config!$B$5),IF(H38="Sem prazo",500,1000-MIN(D38-Config!$B$5,900)))))+IF(E38="Alta",200,IF(E38="Média",100,0))-ROW()/100000)</f>
        <v>0</v>
      </c>
      <c r="K38" s="28">
        <f>IF(AND(B38&lt;&gt;"",A38=Config!$B$6),COUNTIFS($A$5:A38,Config!$B$6,$B$5:B38,"&lt;&gt;"),"")</f>
        <v/>
      </c>
    </row>
    <row r="39">
      <c r="A39" s="33" t="n"/>
      <c r="B39" s="31" t="n"/>
      <c r="C39" s="33" t="n"/>
      <c r="D39" s="34" t="n"/>
      <c r="E39" s="33" t="n"/>
      <c r="F39" s="33" t="n"/>
      <c r="G39" s="34" t="n"/>
      <c r="H39" s="21">
        <f>IF(B39="","",IF(F39="Feito","Feita",IF(D39="","Sem prazo",IF(D39&lt;Config!$B$5,"Atrasada",IF(D39=Config!$B$5,"Hoje",IF(D39-Config!$B$5&lt;=7,"Esta semana","No prazo"))))))</f>
        <v/>
      </c>
      <c r="I39" s="24">
        <f>IF(OR(B39="",F39="Feito",D39=""),"",D39-Config!$B$5)</f>
        <v/>
      </c>
      <c r="J39" s="28">
        <f>IF(OR(B39="",F39="Feito"),0,IF(H39="Atrasada",3000+MIN(Config!$B$5-D39,60),IF(H39="Hoje",2500,IF(H39="Esta semana",2000-(D39-Config!$B$5),IF(H39="Sem prazo",500,1000-MIN(D39-Config!$B$5,900)))))+IF(E39="Alta",200,IF(E39="Média",100,0))-ROW()/100000)</f>
        <v>0</v>
      </c>
      <c r="K39" s="28">
        <f>IF(AND(B39&lt;&gt;"",A39=Config!$B$6),COUNTIFS($A$5:A39,Config!$B$6,$B$5:B39,"&lt;&gt;"),"")</f>
        <v/>
      </c>
    </row>
    <row r="40">
      <c r="A40" s="33" t="n"/>
      <c r="B40" s="31" t="n"/>
      <c r="C40" s="33" t="n"/>
      <c r="D40" s="34" t="n"/>
      <c r="E40" s="33" t="n"/>
      <c r="F40" s="33" t="n"/>
      <c r="G40" s="34" t="n"/>
      <c r="H40" s="21">
        <f>IF(B40="","",IF(F40="Feito","Feita",IF(D40="","Sem prazo",IF(D40&lt;Config!$B$5,"Atrasada",IF(D40=Config!$B$5,"Hoje",IF(D40-Config!$B$5&lt;=7,"Esta semana","No prazo"))))))</f>
        <v/>
      </c>
      <c r="I40" s="24">
        <f>IF(OR(B40="",F40="Feito",D40=""),"",D40-Config!$B$5)</f>
        <v/>
      </c>
      <c r="J40" s="28">
        <f>IF(OR(B40="",F40="Feito"),0,IF(H40="Atrasada",3000+MIN(Config!$B$5-D40,60),IF(H40="Hoje",2500,IF(H40="Esta semana",2000-(D40-Config!$B$5),IF(H40="Sem prazo",500,1000-MIN(D40-Config!$B$5,900)))))+IF(E40="Alta",200,IF(E40="Média",100,0))-ROW()/100000)</f>
        <v>0</v>
      </c>
      <c r="K40" s="28">
        <f>IF(AND(B40&lt;&gt;"",A40=Config!$B$6),COUNTIFS($A$5:A40,Config!$B$6,$B$5:B40,"&lt;&gt;"),"")</f>
        <v/>
      </c>
    </row>
    <row r="41">
      <c r="A41" s="33" t="n"/>
      <c r="B41" s="31" t="n"/>
      <c r="C41" s="33" t="n"/>
      <c r="D41" s="34" t="n"/>
      <c r="E41" s="33" t="n"/>
      <c r="F41" s="33" t="n"/>
      <c r="G41" s="34" t="n"/>
      <c r="H41" s="21">
        <f>IF(B41="","",IF(F41="Feito","Feita",IF(D41="","Sem prazo",IF(D41&lt;Config!$B$5,"Atrasada",IF(D41=Config!$B$5,"Hoje",IF(D41-Config!$B$5&lt;=7,"Esta semana","No prazo"))))))</f>
        <v/>
      </c>
      <c r="I41" s="24">
        <f>IF(OR(B41="",F41="Feito",D41=""),"",D41-Config!$B$5)</f>
        <v/>
      </c>
      <c r="J41" s="28">
        <f>IF(OR(B41="",F41="Feito"),0,IF(H41="Atrasada",3000+MIN(Config!$B$5-D41,60),IF(H41="Hoje",2500,IF(H41="Esta semana",2000-(D41-Config!$B$5),IF(H41="Sem prazo",500,1000-MIN(D41-Config!$B$5,900)))))+IF(E41="Alta",200,IF(E41="Média",100,0))-ROW()/100000)</f>
        <v>0</v>
      </c>
      <c r="K41" s="28">
        <f>IF(AND(B41&lt;&gt;"",A41=Config!$B$6),COUNTIFS($A$5:A41,Config!$B$6,$B$5:B41,"&lt;&gt;"),"")</f>
        <v/>
      </c>
    </row>
    <row r="42">
      <c r="A42" s="33" t="n"/>
      <c r="B42" s="31" t="n"/>
      <c r="C42" s="33" t="n"/>
      <c r="D42" s="34" t="n"/>
      <c r="E42" s="33" t="n"/>
      <c r="F42" s="33" t="n"/>
      <c r="G42" s="34" t="n"/>
      <c r="H42" s="21">
        <f>IF(B42="","",IF(F42="Feito","Feita",IF(D42="","Sem prazo",IF(D42&lt;Config!$B$5,"Atrasada",IF(D42=Config!$B$5,"Hoje",IF(D42-Config!$B$5&lt;=7,"Esta semana","No prazo"))))))</f>
        <v/>
      </c>
      <c r="I42" s="24">
        <f>IF(OR(B42="",F42="Feito",D42=""),"",D42-Config!$B$5)</f>
        <v/>
      </c>
      <c r="J42" s="28">
        <f>IF(OR(B42="",F42="Feito"),0,IF(H42="Atrasada",3000+MIN(Config!$B$5-D42,60),IF(H42="Hoje",2500,IF(H42="Esta semana",2000-(D42-Config!$B$5),IF(H42="Sem prazo",500,1000-MIN(D42-Config!$B$5,900)))))+IF(E42="Alta",200,IF(E42="Média",100,0))-ROW()/100000)</f>
        <v>0</v>
      </c>
      <c r="K42" s="28">
        <f>IF(AND(B42&lt;&gt;"",A42=Config!$B$6),COUNTIFS($A$5:A42,Config!$B$6,$B$5:B42,"&lt;&gt;"),"")</f>
        <v/>
      </c>
    </row>
    <row r="43">
      <c r="A43" s="33" t="n"/>
      <c r="B43" s="31" t="n"/>
      <c r="C43" s="33" t="n"/>
      <c r="D43" s="34" t="n"/>
      <c r="E43" s="33" t="n"/>
      <c r="F43" s="33" t="n"/>
      <c r="G43" s="34" t="n"/>
      <c r="H43" s="21">
        <f>IF(B43="","",IF(F43="Feito","Feita",IF(D43="","Sem prazo",IF(D43&lt;Config!$B$5,"Atrasada",IF(D43=Config!$B$5,"Hoje",IF(D43-Config!$B$5&lt;=7,"Esta semana","No prazo"))))))</f>
        <v/>
      </c>
      <c r="I43" s="24">
        <f>IF(OR(B43="",F43="Feito",D43=""),"",D43-Config!$B$5)</f>
        <v/>
      </c>
      <c r="J43" s="28">
        <f>IF(OR(B43="",F43="Feito"),0,IF(H43="Atrasada",3000+MIN(Config!$B$5-D43,60),IF(H43="Hoje",2500,IF(H43="Esta semana",2000-(D43-Config!$B$5),IF(H43="Sem prazo",500,1000-MIN(D43-Config!$B$5,900)))))+IF(E43="Alta",200,IF(E43="Média",100,0))-ROW()/100000)</f>
        <v>0</v>
      </c>
      <c r="K43" s="28">
        <f>IF(AND(B43&lt;&gt;"",A43=Config!$B$6),COUNTIFS($A$5:A43,Config!$B$6,$B$5:B43,"&lt;&gt;"),"")</f>
        <v/>
      </c>
    </row>
    <row r="44">
      <c r="A44" s="33" t="n"/>
      <c r="B44" s="31" t="n"/>
      <c r="C44" s="33" t="n"/>
      <c r="D44" s="34" t="n"/>
      <c r="E44" s="33" t="n"/>
      <c r="F44" s="33" t="n"/>
      <c r="G44" s="34" t="n"/>
      <c r="H44" s="21">
        <f>IF(B44="","",IF(F44="Feito","Feita",IF(D44="","Sem prazo",IF(D44&lt;Config!$B$5,"Atrasada",IF(D44=Config!$B$5,"Hoje",IF(D44-Config!$B$5&lt;=7,"Esta semana","No prazo"))))))</f>
        <v/>
      </c>
      <c r="I44" s="24">
        <f>IF(OR(B44="",F44="Feito",D44=""),"",D44-Config!$B$5)</f>
        <v/>
      </c>
      <c r="J44" s="28">
        <f>IF(OR(B44="",F44="Feito"),0,IF(H44="Atrasada",3000+MIN(Config!$B$5-D44,60),IF(H44="Hoje",2500,IF(H44="Esta semana",2000-(D44-Config!$B$5),IF(H44="Sem prazo",500,1000-MIN(D44-Config!$B$5,900)))))+IF(E44="Alta",200,IF(E44="Média",100,0))-ROW()/100000)</f>
        <v>0</v>
      </c>
      <c r="K44" s="28">
        <f>IF(AND(B44&lt;&gt;"",A44=Config!$B$6),COUNTIFS($A$5:A44,Config!$B$6,$B$5:B44,"&lt;&gt;"),"")</f>
        <v/>
      </c>
    </row>
    <row r="45">
      <c r="A45" s="33" t="n"/>
      <c r="B45" s="31" t="n"/>
      <c r="C45" s="33" t="n"/>
      <c r="D45" s="34" t="n"/>
      <c r="E45" s="33" t="n"/>
      <c r="F45" s="33" t="n"/>
      <c r="G45" s="34" t="n"/>
      <c r="H45" s="21">
        <f>IF(B45="","",IF(F45="Feito","Feita",IF(D45="","Sem prazo",IF(D45&lt;Config!$B$5,"Atrasada",IF(D45=Config!$B$5,"Hoje",IF(D45-Config!$B$5&lt;=7,"Esta semana","No prazo"))))))</f>
        <v/>
      </c>
      <c r="I45" s="24">
        <f>IF(OR(B45="",F45="Feito",D45=""),"",D45-Config!$B$5)</f>
        <v/>
      </c>
      <c r="J45" s="28">
        <f>IF(OR(B45="",F45="Feito"),0,IF(H45="Atrasada",3000+MIN(Config!$B$5-D45,60),IF(H45="Hoje",2500,IF(H45="Esta semana",2000-(D45-Config!$B$5),IF(H45="Sem prazo",500,1000-MIN(D45-Config!$B$5,900)))))+IF(E45="Alta",200,IF(E45="Média",100,0))-ROW()/100000)</f>
        <v>0</v>
      </c>
      <c r="K45" s="28">
        <f>IF(AND(B45&lt;&gt;"",A45=Config!$B$6),COUNTIFS($A$5:A45,Config!$B$6,$B$5:B45,"&lt;&gt;"),"")</f>
        <v/>
      </c>
    </row>
    <row r="46">
      <c r="A46" s="33" t="n"/>
      <c r="B46" s="31" t="n"/>
      <c r="C46" s="33" t="n"/>
      <c r="D46" s="34" t="n"/>
      <c r="E46" s="33" t="n"/>
      <c r="F46" s="33" t="n"/>
      <c r="G46" s="34" t="n"/>
      <c r="H46" s="21">
        <f>IF(B46="","",IF(F46="Feito","Feita",IF(D46="","Sem prazo",IF(D46&lt;Config!$B$5,"Atrasada",IF(D46=Config!$B$5,"Hoje",IF(D46-Config!$B$5&lt;=7,"Esta semana","No prazo"))))))</f>
        <v/>
      </c>
      <c r="I46" s="24">
        <f>IF(OR(B46="",F46="Feito",D46=""),"",D46-Config!$B$5)</f>
        <v/>
      </c>
      <c r="J46" s="28">
        <f>IF(OR(B46="",F46="Feito"),0,IF(H46="Atrasada",3000+MIN(Config!$B$5-D46,60),IF(H46="Hoje",2500,IF(H46="Esta semana",2000-(D46-Config!$B$5),IF(H46="Sem prazo",500,1000-MIN(D46-Config!$B$5,900)))))+IF(E46="Alta",200,IF(E46="Média",100,0))-ROW()/100000)</f>
        <v>0</v>
      </c>
      <c r="K46" s="28">
        <f>IF(AND(B46&lt;&gt;"",A46=Config!$B$6),COUNTIFS($A$5:A46,Config!$B$6,$B$5:B46,"&lt;&gt;"),"")</f>
        <v/>
      </c>
    </row>
    <row r="47">
      <c r="A47" s="33" t="n"/>
      <c r="B47" s="31" t="n"/>
      <c r="C47" s="33" t="n"/>
      <c r="D47" s="34" t="n"/>
      <c r="E47" s="33" t="n"/>
      <c r="F47" s="33" t="n"/>
      <c r="G47" s="34" t="n"/>
      <c r="H47" s="21">
        <f>IF(B47="","",IF(F47="Feito","Feita",IF(D47="","Sem prazo",IF(D47&lt;Config!$B$5,"Atrasada",IF(D47=Config!$B$5,"Hoje",IF(D47-Config!$B$5&lt;=7,"Esta semana","No prazo"))))))</f>
        <v/>
      </c>
      <c r="I47" s="24">
        <f>IF(OR(B47="",F47="Feito",D47=""),"",D47-Config!$B$5)</f>
        <v/>
      </c>
      <c r="J47" s="28">
        <f>IF(OR(B47="",F47="Feito"),0,IF(H47="Atrasada",3000+MIN(Config!$B$5-D47,60),IF(H47="Hoje",2500,IF(H47="Esta semana",2000-(D47-Config!$B$5),IF(H47="Sem prazo",500,1000-MIN(D47-Config!$B$5,900)))))+IF(E47="Alta",200,IF(E47="Média",100,0))-ROW()/100000)</f>
        <v>0</v>
      </c>
      <c r="K47" s="28">
        <f>IF(AND(B47&lt;&gt;"",A47=Config!$B$6),COUNTIFS($A$5:A47,Config!$B$6,$B$5:B47,"&lt;&gt;"),"")</f>
        <v/>
      </c>
    </row>
    <row r="48">
      <c r="A48" s="33" t="n"/>
      <c r="B48" s="31" t="n"/>
      <c r="C48" s="33" t="n"/>
      <c r="D48" s="34" t="n"/>
      <c r="E48" s="33" t="n"/>
      <c r="F48" s="33" t="n"/>
      <c r="G48" s="34" t="n"/>
      <c r="H48" s="21">
        <f>IF(B48="","",IF(F48="Feito","Feita",IF(D48="","Sem prazo",IF(D48&lt;Config!$B$5,"Atrasada",IF(D48=Config!$B$5,"Hoje",IF(D48-Config!$B$5&lt;=7,"Esta semana","No prazo"))))))</f>
        <v/>
      </c>
      <c r="I48" s="24">
        <f>IF(OR(B48="",F48="Feito",D48=""),"",D48-Config!$B$5)</f>
        <v/>
      </c>
      <c r="J48" s="28">
        <f>IF(OR(B48="",F48="Feito"),0,IF(H48="Atrasada",3000+MIN(Config!$B$5-D48,60),IF(H48="Hoje",2500,IF(H48="Esta semana",2000-(D48-Config!$B$5),IF(H48="Sem prazo",500,1000-MIN(D48-Config!$B$5,900)))))+IF(E48="Alta",200,IF(E48="Média",100,0))-ROW()/100000)</f>
        <v>0</v>
      </c>
      <c r="K48" s="28">
        <f>IF(AND(B48&lt;&gt;"",A48=Config!$B$6),COUNTIFS($A$5:A48,Config!$B$6,$B$5:B48,"&lt;&gt;"),"")</f>
        <v/>
      </c>
    </row>
    <row r="49">
      <c r="A49" s="33" t="n"/>
      <c r="B49" s="31" t="n"/>
      <c r="C49" s="33" t="n"/>
      <c r="D49" s="34" t="n"/>
      <c r="E49" s="33" t="n"/>
      <c r="F49" s="33" t="n"/>
      <c r="G49" s="34" t="n"/>
      <c r="H49" s="21">
        <f>IF(B49="","",IF(F49="Feito","Feita",IF(D49="","Sem prazo",IF(D49&lt;Config!$B$5,"Atrasada",IF(D49=Config!$B$5,"Hoje",IF(D49-Config!$B$5&lt;=7,"Esta semana","No prazo"))))))</f>
        <v/>
      </c>
      <c r="I49" s="24">
        <f>IF(OR(B49="",F49="Feito",D49=""),"",D49-Config!$B$5)</f>
        <v/>
      </c>
      <c r="J49" s="28">
        <f>IF(OR(B49="",F49="Feito"),0,IF(H49="Atrasada",3000+MIN(Config!$B$5-D49,60),IF(H49="Hoje",2500,IF(H49="Esta semana",2000-(D49-Config!$B$5),IF(H49="Sem prazo",500,1000-MIN(D49-Config!$B$5,900)))))+IF(E49="Alta",200,IF(E49="Média",100,0))-ROW()/100000)</f>
        <v>0</v>
      </c>
      <c r="K49" s="28">
        <f>IF(AND(B49&lt;&gt;"",A49=Config!$B$6),COUNTIFS($A$5:A49,Config!$B$6,$B$5:B49,"&lt;&gt;"),"")</f>
        <v/>
      </c>
    </row>
    <row r="50">
      <c r="A50" s="33" t="n"/>
      <c r="B50" s="31" t="n"/>
      <c r="C50" s="33" t="n"/>
      <c r="D50" s="34" t="n"/>
      <c r="E50" s="33" t="n"/>
      <c r="F50" s="33" t="n"/>
      <c r="G50" s="34" t="n"/>
      <c r="H50" s="21">
        <f>IF(B50="","",IF(F50="Feito","Feita",IF(D50="","Sem prazo",IF(D50&lt;Config!$B$5,"Atrasada",IF(D50=Config!$B$5,"Hoje",IF(D50-Config!$B$5&lt;=7,"Esta semana","No prazo"))))))</f>
        <v/>
      </c>
      <c r="I50" s="24">
        <f>IF(OR(B50="",F50="Feito",D50=""),"",D50-Config!$B$5)</f>
        <v/>
      </c>
      <c r="J50" s="28">
        <f>IF(OR(B50="",F50="Feito"),0,IF(H50="Atrasada",3000+MIN(Config!$B$5-D50,60),IF(H50="Hoje",2500,IF(H50="Esta semana",2000-(D50-Config!$B$5),IF(H50="Sem prazo",500,1000-MIN(D50-Config!$B$5,900)))))+IF(E50="Alta",200,IF(E50="Média",100,0))-ROW()/100000)</f>
        <v>0</v>
      </c>
      <c r="K50" s="28">
        <f>IF(AND(B50&lt;&gt;"",A50=Config!$B$6),COUNTIFS($A$5:A50,Config!$B$6,$B$5:B50,"&lt;&gt;"),"")</f>
        <v/>
      </c>
    </row>
    <row r="51">
      <c r="A51" s="33" t="n"/>
      <c r="B51" s="31" t="n"/>
      <c r="C51" s="33" t="n"/>
      <c r="D51" s="34" t="n"/>
      <c r="E51" s="33" t="n"/>
      <c r="F51" s="33" t="n"/>
      <c r="G51" s="34" t="n"/>
      <c r="H51" s="21">
        <f>IF(B51="","",IF(F51="Feito","Feita",IF(D51="","Sem prazo",IF(D51&lt;Config!$B$5,"Atrasada",IF(D51=Config!$B$5,"Hoje",IF(D51-Config!$B$5&lt;=7,"Esta semana","No prazo"))))))</f>
        <v/>
      </c>
      <c r="I51" s="24">
        <f>IF(OR(B51="",F51="Feito",D51=""),"",D51-Config!$B$5)</f>
        <v/>
      </c>
      <c r="J51" s="28">
        <f>IF(OR(B51="",F51="Feito"),0,IF(H51="Atrasada",3000+MIN(Config!$B$5-D51,60),IF(H51="Hoje",2500,IF(H51="Esta semana",2000-(D51-Config!$B$5),IF(H51="Sem prazo",500,1000-MIN(D51-Config!$B$5,900)))))+IF(E51="Alta",200,IF(E51="Média",100,0))-ROW()/100000)</f>
        <v>0</v>
      </c>
      <c r="K51" s="28">
        <f>IF(AND(B51&lt;&gt;"",A51=Config!$B$6),COUNTIFS($A$5:A51,Config!$B$6,$B$5:B51,"&lt;&gt;"),"")</f>
        <v/>
      </c>
    </row>
    <row r="52">
      <c r="A52" s="33" t="n"/>
      <c r="B52" s="31" t="n"/>
      <c r="C52" s="33" t="n"/>
      <c r="D52" s="34" t="n"/>
      <c r="E52" s="33" t="n"/>
      <c r="F52" s="33" t="n"/>
      <c r="G52" s="34" t="n"/>
      <c r="H52" s="21">
        <f>IF(B52="","",IF(F52="Feito","Feita",IF(D52="","Sem prazo",IF(D52&lt;Config!$B$5,"Atrasada",IF(D52=Config!$B$5,"Hoje",IF(D52-Config!$B$5&lt;=7,"Esta semana","No prazo"))))))</f>
        <v/>
      </c>
      <c r="I52" s="24">
        <f>IF(OR(B52="",F52="Feito",D52=""),"",D52-Config!$B$5)</f>
        <v/>
      </c>
      <c r="J52" s="28">
        <f>IF(OR(B52="",F52="Feito"),0,IF(H52="Atrasada",3000+MIN(Config!$B$5-D52,60),IF(H52="Hoje",2500,IF(H52="Esta semana",2000-(D52-Config!$B$5),IF(H52="Sem prazo",500,1000-MIN(D52-Config!$B$5,900)))))+IF(E52="Alta",200,IF(E52="Média",100,0))-ROW()/100000)</f>
        <v>0</v>
      </c>
      <c r="K52" s="28">
        <f>IF(AND(B52&lt;&gt;"",A52=Config!$B$6),COUNTIFS($A$5:A52,Config!$B$6,$B$5:B52,"&lt;&gt;"),"")</f>
        <v/>
      </c>
    </row>
    <row r="53">
      <c r="A53" s="33" t="n"/>
      <c r="B53" s="31" t="n"/>
      <c r="C53" s="33" t="n"/>
      <c r="D53" s="34" t="n"/>
      <c r="E53" s="33" t="n"/>
      <c r="F53" s="33" t="n"/>
      <c r="G53" s="34" t="n"/>
      <c r="H53" s="21">
        <f>IF(B53="","",IF(F53="Feito","Feita",IF(D53="","Sem prazo",IF(D53&lt;Config!$B$5,"Atrasada",IF(D53=Config!$B$5,"Hoje",IF(D53-Config!$B$5&lt;=7,"Esta semana","No prazo"))))))</f>
        <v/>
      </c>
      <c r="I53" s="24">
        <f>IF(OR(B53="",F53="Feito",D53=""),"",D53-Config!$B$5)</f>
        <v/>
      </c>
      <c r="J53" s="28">
        <f>IF(OR(B53="",F53="Feito"),0,IF(H53="Atrasada",3000+MIN(Config!$B$5-D53,60),IF(H53="Hoje",2500,IF(H53="Esta semana",2000-(D53-Config!$B$5),IF(H53="Sem prazo",500,1000-MIN(D53-Config!$B$5,900)))))+IF(E53="Alta",200,IF(E53="Média",100,0))-ROW()/100000)</f>
        <v>0</v>
      </c>
      <c r="K53" s="28">
        <f>IF(AND(B53&lt;&gt;"",A53=Config!$B$6),COUNTIFS($A$5:A53,Config!$B$6,$B$5:B53,"&lt;&gt;"),"")</f>
        <v/>
      </c>
    </row>
    <row r="54">
      <c r="A54" s="33" t="n"/>
      <c r="B54" s="31" t="n"/>
      <c r="C54" s="33" t="n"/>
      <c r="D54" s="34" t="n"/>
      <c r="E54" s="33" t="n"/>
      <c r="F54" s="33" t="n"/>
      <c r="G54" s="34" t="n"/>
      <c r="H54" s="21">
        <f>IF(B54="","",IF(F54="Feito","Feita",IF(D54="","Sem prazo",IF(D54&lt;Config!$B$5,"Atrasada",IF(D54=Config!$B$5,"Hoje",IF(D54-Config!$B$5&lt;=7,"Esta semana","No prazo"))))))</f>
        <v/>
      </c>
      <c r="I54" s="24">
        <f>IF(OR(B54="",F54="Feito",D54=""),"",D54-Config!$B$5)</f>
        <v/>
      </c>
      <c r="J54" s="28">
        <f>IF(OR(B54="",F54="Feito"),0,IF(H54="Atrasada",3000+MIN(Config!$B$5-D54,60),IF(H54="Hoje",2500,IF(H54="Esta semana",2000-(D54-Config!$B$5),IF(H54="Sem prazo",500,1000-MIN(D54-Config!$B$5,900)))))+IF(E54="Alta",200,IF(E54="Média",100,0))-ROW()/100000)</f>
        <v>0</v>
      </c>
      <c r="K54" s="28">
        <f>IF(AND(B54&lt;&gt;"",A54=Config!$B$6),COUNTIFS($A$5:A54,Config!$B$6,$B$5:B54,"&lt;&gt;"),"")</f>
        <v/>
      </c>
    </row>
    <row r="55">
      <c r="A55" s="33" t="n"/>
      <c r="B55" s="31" t="n"/>
      <c r="C55" s="33" t="n"/>
      <c r="D55" s="34" t="n"/>
      <c r="E55" s="33" t="n"/>
      <c r="F55" s="33" t="n"/>
      <c r="G55" s="34" t="n"/>
      <c r="H55" s="21">
        <f>IF(B55="","",IF(F55="Feito","Feita",IF(D55="","Sem prazo",IF(D55&lt;Config!$B$5,"Atrasada",IF(D55=Config!$B$5,"Hoje",IF(D55-Config!$B$5&lt;=7,"Esta semana","No prazo"))))))</f>
        <v/>
      </c>
      <c r="I55" s="24">
        <f>IF(OR(B55="",F55="Feito",D55=""),"",D55-Config!$B$5)</f>
        <v/>
      </c>
      <c r="J55" s="28">
        <f>IF(OR(B55="",F55="Feito"),0,IF(H55="Atrasada",3000+MIN(Config!$B$5-D55,60),IF(H55="Hoje",2500,IF(H55="Esta semana",2000-(D55-Config!$B$5),IF(H55="Sem prazo",500,1000-MIN(D55-Config!$B$5,900)))))+IF(E55="Alta",200,IF(E55="Média",100,0))-ROW()/100000)</f>
        <v>0</v>
      </c>
      <c r="K55" s="28">
        <f>IF(AND(B55&lt;&gt;"",A55=Config!$B$6),COUNTIFS($A$5:A55,Config!$B$6,$B$5:B55,"&lt;&gt;"),"")</f>
        <v/>
      </c>
    </row>
    <row r="56">
      <c r="A56" s="33" t="n"/>
      <c r="B56" s="31" t="n"/>
      <c r="C56" s="33" t="n"/>
      <c r="D56" s="34" t="n"/>
      <c r="E56" s="33" t="n"/>
      <c r="F56" s="33" t="n"/>
      <c r="G56" s="34" t="n"/>
      <c r="H56" s="21">
        <f>IF(B56="","",IF(F56="Feito","Feita",IF(D56="","Sem prazo",IF(D56&lt;Config!$B$5,"Atrasada",IF(D56=Config!$B$5,"Hoje",IF(D56-Config!$B$5&lt;=7,"Esta semana","No prazo"))))))</f>
        <v/>
      </c>
      <c r="I56" s="24">
        <f>IF(OR(B56="",F56="Feito",D56=""),"",D56-Config!$B$5)</f>
        <v/>
      </c>
      <c r="J56" s="28">
        <f>IF(OR(B56="",F56="Feito"),0,IF(H56="Atrasada",3000+MIN(Config!$B$5-D56,60),IF(H56="Hoje",2500,IF(H56="Esta semana",2000-(D56-Config!$B$5),IF(H56="Sem prazo",500,1000-MIN(D56-Config!$B$5,900)))))+IF(E56="Alta",200,IF(E56="Média",100,0))-ROW()/100000)</f>
        <v>0</v>
      </c>
      <c r="K56" s="28">
        <f>IF(AND(B56&lt;&gt;"",A56=Config!$B$6),COUNTIFS($A$5:A56,Config!$B$6,$B$5:B56,"&lt;&gt;"),"")</f>
        <v/>
      </c>
    </row>
    <row r="57">
      <c r="A57" s="33" t="n"/>
      <c r="B57" s="31" t="n"/>
      <c r="C57" s="33" t="n"/>
      <c r="D57" s="34" t="n"/>
      <c r="E57" s="33" t="n"/>
      <c r="F57" s="33" t="n"/>
      <c r="G57" s="34" t="n"/>
      <c r="H57" s="21">
        <f>IF(B57="","",IF(F57="Feito","Feita",IF(D57="","Sem prazo",IF(D57&lt;Config!$B$5,"Atrasada",IF(D57=Config!$B$5,"Hoje",IF(D57-Config!$B$5&lt;=7,"Esta semana","No prazo"))))))</f>
        <v/>
      </c>
      <c r="I57" s="24">
        <f>IF(OR(B57="",F57="Feito",D57=""),"",D57-Config!$B$5)</f>
        <v/>
      </c>
      <c r="J57" s="28">
        <f>IF(OR(B57="",F57="Feito"),0,IF(H57="Atrasada",3000+MIN(Config!$B$5-D57,60),IF(H57="Hoje",2500,IF(H57="Esta semana",2000-(D57-Config!$B$5),IF(H57="Sem prazo",500,1000-MIN(D57-Config!$B$5,900)))))+IF(E57="Alta",200,IF(E57="Média",100,0))-ROW()/100000)</f>
        <v>0</v>
      </c>
      <c r="K57" s="28">
        <f>IF(AND(B57&lt;&gt;"",A57=Config!$B$6),COUNTIFS($A$5:A57,Config!$B$6,$B$5:B57,"&lt;&gt;"),"")</f>
        <v/>
      </c>
    </row>
    <row r="58">
      <c r="A58" s="33" t="n"/>
      <c r="B58" s="31" t="n"/>
      <c r="C58" s="33" t="n"/>
      <c r="D58" s="34" t="n"/>
      <c r="E58" s="33" t="n"/>
      <c r="F58" s="33" t="n"/>
      <c r="G58" s="34" t="n"/>
      <c r="H58" s="21">
        <f>IF(B58="","",IF(F58="Feito","Feita",IF(D58="","Sem prazo",IF(D58&lt;Config!$B$5,"Atrasada",IF(D58=Config!$B$5,"Hoje",IF(D58-Config!$B$5&lt;=7,"Esta semana","No prazo"))))))</f>
        <v/>
      </c>
      <c r="I58" s="24">
        <f>IF(OR(B58="",F58="Feito",D58=""),"",D58-Config!$B$5)</f>
        <v/>
      </c>
      <c r="J58" s="28">
        <f>IF(OR(B58="",F58="Feito"),0,IF(H58="Atrasada",3000+MIN(Config!$B$5-D58,60),IF(H58="Hoje",2500,IF(H58="Esta semana",2000-(D58-Config!$B$5),IF(H58="Sem prazo",500,1000-MIN(D58-Config!$B$5,900)))))+IF(E58="Alta",200,IF(E58="Média",100,0))-ROW()/100000)</f>
        <v>0</v>
      </c>
      <c r="K58" s="28">
        <f>IF(AND(B58&lt;&gt;"",A58=Config!$B$6),COUNTIFS($A$5:A58,Config!$B$6,$B$5:B58,"&lt;&gt;"),"")</f>
        <v/>
      </c>
    </row>
    <row r="59">
      <c r="A59" s="33" t="n"/>
      <c r="B59" s="31" t="n"/>
      <c r="C59" s="33" t="n"/>
      <c r="D59" s="34" t="n"/>
      <c r="E59" s="33" t="n"/>
      <c r="F59" s="33" t="n"/>
      <c r="G59" s="34" t="n"/>
      <c r="H59" s="21">
        <f>IF(B59="","",IF(F59="Feito","Feita",IF(D59="","Sem prazo",IF(D59&lt;Config!$B$5,"Atrasada",IF(D59=Config!$B$5,"Hoje",IF(D59-Config!$B$5&lt;=7,"Esta semana","No prazo"))))))</f>
        <v/>
      </c>
      <c r="I59" s="24">
        <f>IF(OR(B59="",F59="Feito",D59=""),"",D59-Config!$B$5)</f>
        <v/>
      </c>
      <c r="J59" s="28">
        <f>IF(OR(B59="",F59="Feito"),0,IF(H59="Atrasada",3000+MIN(Config!$B$5-D59,60),IF(H59="Hoje",2500,IF(H59="Esta semana",2000-(D59-Config!$B$5),IF(H59="Sem prazo",500,1000-MIN(D59-Config!$B$5,900)))))+IF(E59="Alta",200,IF(E59="Média",100,0))-ROW()/100000)</f>
        <v>0</v>
      </c>
      <c r="K59" s="28">
        <f>IF(AND(B59&lt;&gt;"",A59=Config!$B$6),COUNTIFS($A$5:A59,Config!$B$6,$B$5:B59,"&lt;&gt;"),"")</f>
        <v/>
      </c>
    </row>
    <row r="60">
      <c r="A60" s="33" t="n"/>
      <c r="B60" s="31" t="n"/>
      <c r="C60" s="33" t="n"/>
      <c r="D60" s="34" t="n"/>
      <c r="E60" s="33" t="n"/>
      <c r="F60" s="33" t="n"/>
      <c r="G60" s="34" t="n"/>
      <c r="H60" s="21">
        <f>IF(B60="","",IF(F60="Feito","Feita",IF(D60="","Sem prazo",IF(D60&lt;Config!$B$5,"Atrasada",IF(D60=Config!$B$5,"Hoje",IF(D60-Config!$B$5&lt;=7,"Esta semana","No prazo"))))))</f>
        <v/>
      </c>
      <c r="I60" s="24">
        <f>IF(OR(B60="",F60="Feito",D60=""),"",D60-Config!$B$5)</f>
        <v/>
      </c>
      <c r="J60" s="28">
        <f>IF(OR(B60="",F60="Feito"),0,IF(H60="Atrasada",3000+MIN(Config!$B$5-D60,60),IF(H60="Hoje",2500,IF(H60="Esta semana",2000-(D60-Config!$B$5),IF(H60="Sem prazo",500,1000-MIN(D60-Config!$B$5,900)))))+IF(E60="Alta",200,IF(E60="Média",100,0))-ROW()/100000)</f>
        <v>0</v>
      </c>
      <c r="K60" s="28">
        <f>IF(AND(B60&lt;&gt;"",A60=Config!$B$6),COUNTIFS($A$5:A60,Config!$B$6,$B$5:B60,"&lt;&gt;"),"")</f>
        <v/>
      </c>
    </row>
    <row r="61">
      <c r="A61" s="33" t="n"/>
      <c r="B61" s="31" t="n"/>
      <c r="C61" s="33" t="n"/>
      <c r="D61" s="34" t="n"/>
      <c r="E61" s="33" t="n"/>
      <c r="F61" s="33" t="n"/>
      <c r="G61" s="34" t="n"/>
      <c r="H61" s="21">
        <f>IF(B61="","",IF(F61="Feito","Feita",IF(D61="","Sem prazo",IF(D61&lt;Config!$B$5,"Atrasada",IF(D61=Config!$B$5,"Hoje",IF(D61-Config!$B$5&lt;=7,"Esta semana","No prazo"))))))</f>
        <v/>
      </c>
      <c r="I61" s="24">
        <f>IF(OR(B61="",F61="Feito",D61=""),"",D61-Config!$B$5)</f>
        <v/>
      </c>
      <c r="J61" s="28">
        <f>IF(OR(B61="",F61="Feito"),0,IF(H61="Atrasada",3000+MIN(Config!$B$5-D61,60),IF(H61="Hoje",2500,IF(H61="Esta semana",2000-(D61-Config!$B$5),IF(H61="Sem prazo",500,1000-MIN(D61-Config!$B$5,900)))))+IF(E61="Alta",200,IF(E61="Média",100,0))-ROW()/100000)</f>
        <v>0</v>
      </c>
      <c r="K61" s="28">
        <f>IF(AND(B61&lt;&gt;"",A61=Config!$B$6),COUNTIFS($A$5:A61,Config!$B$6,$B$5:B61,"&lt;&gt;"),"")</f>
        <v/>
      </c>
    </row>
    <row r="62">
      <c r="A62" s="33" t="n"/>
      <c r="B62" s="31" t="n"/>
      <c r="C62" s="33" t="n"/>
      <c r="D62" s="34" t="n"/>
      <c r="E62" s="33" t="n"/>
      <c r="F62" s="33" t="n"/>
      <c r="G62" s="34" t="n"/>
      <c r="H62" s="21">
        <f>IF(B62="","",IF(F62="Feito","Feita",IF(D62="","Sem prazo",IF(D62&lt;Config!$B$5,"Atrasada",IF(D62=Config!$B$5,"Hoje",IF(D62-Config!$B$5&lt;=7,"Esta semana","No prazo"))))))</f>
        <v/>
      </c>
      <c r="I62" s="24">
        <f>IF(OR(B62="",F62="Feito",D62=""),"",D62-Config!$B$5)</f>
        <v/>
      </c>
      <c r="J62" s="28">
        <f>IF(OR(B62="",F62="Feito"),0,IF(H62="Atrasada",3000+MIN(Config!$B$5-D62,60),IF(H62="Hoje",2500,IF(H62="Esta semana",2000-(D62-Config!$B$5),IF(H62="Sem prazo",500,1000-MIN(D62-Config!$B$5,900)))))+IF(E62="Alta",200,IF(E62="Média",100,0))-ROW()/100000)</f>
        <v>0</v>
      </c>
      <c r="K62" s="28">
        <f>IF(AND(B62&lt;&gt;"",A62=Config!$B$6),COUNTIFS($A$5:A62,Config!$B$6,$B$5:B62,"&lt;&gt;"),"")</f>
        <v/>
      </c>
    </row>
    <row r="63">
      <c r="A63" s="33" t="n"/>
      <c r="B63" s="31" t="n"/>
      <c r="C63" s="33" t="n"/>
      <c r="D63" s="34" t="n"/>
      <c r="E63" s="33" t="n"/>
      <c r="F63" s="33" t="n"/>
      <c r="G63" s="34" t="n"/>
      <c r="H63" s="21">
        <f>IF(B63="","",IF(F63="Feito","Feita",IF(D63="","Sem prazo",IF(D63&lt;Config!$B$5,"Atrasada",IF(D63=Config!$B$5,"Hoje",IF(D63-Config!$B$5&lt;=7,"Esta semana","No prazo"))))))</f>
        <v/>
      </c>
      <c r="I63" s="24">
        <f>IF(OR(B63="",F63="Feito",D63=""),"",D63-Config!$B$5)</f>
        <v/>
      </c>
      <c r="J63" s="28">
        <f>IF(OR(B63="",F63="Feito"),0,IF(H63="Atrasada",3000+MIN(Config!$B$5-D63,60),IF(H63="Hoje",2500,IF(H63="Esta semana",2000-(D63-Config!$B$5),IF(H63="Sem prazo",500,1000-MIN(D63-Config!$B$5,900)))))+IF(E63="Alta",200,IF(E63="Média",100,0))-ROW()/100000)</f>
        <v>0</v>
      </c>
      <c r="K63" s="28">
        <f>IF(AND(B63&lt;&gt;"",A63=Config!$B$6),COUNTIFS($A$5:A63,Config!$B$6,$B$5:B63,"&lt;&gt;"),"")</f>
        <v/>
      </c>
    </row>
    <row r="64">
      <c r="A64" s="33" t="n"/>
      <c r="B64" s="31" t="n"/>
      <c r="C64" s="33" t="n"/>
      <c r="D64" s="34" t="n"/>
      <c r="E64" s="33" t="n"/>
      <c r="F64" s="33" t="n"/>
      <c r="G64" s="34" t="n"/>
      <c r="H64" s="21">
        <f>IF(B64="","",IF(F64="Feito","Feita",IF(D64="","Sem prazo",IF(D64&lt;Config!$B$5,"Atrasada",IF(D64=Config!$B$5,"Hoje",IF(D64-Config!$B$5&lt;=7,"Esta semana","No prazo"))))))</f>
        <v/>
      </c>
      <c r="I64" s="24">
        <f>IF(OR(B64="",F64="Feito",D64=""),"",D64-Config!$B$5)</f>
        <v/>
      </c>
      <c r="J64" s="28">
        <f>IF(OR(B64="",F64="Feito"),0,IF(H64="Atrasada",3000+MIN(Config!$B$5-D64,60),IF(H64="Hoje",2500,IF(H64="Esta semana",2000-(D64-Config!$B$5),IF(H64="Sem prazo",500,1000-MIN(D64-Config!$B$5,900)))))+IF(E64="Alta",200,IF(E64="Média",100,0))-ROW()/100000)</f>
        <v>0</v>
      </c>
      <c r="K64" s="28">
        <f>IF(AND(B64&lt;&gt;"",A64=Config!$B$6),COUNTIFS($A$5:A64,Config!$B$6,$B$5:B64,"&lt;&gt;"),"")</f>
        <v/>
      </c>
    </row>
    <row r="65">
      <c r="A65" s="33" t="n"/>
      <c r="B65" s="31" t="n"/>
      <c r="C65" s="33" t="n"/>
      <c r="D65" s="34" t="n"/>
      <c r="E65" s="33" t="n"/>
      <c r="F65" s="33" t="n"/>
      <c r="G65" s="34" t="n"/>
      <c r="H65" s="21">
        <f>IF(B65="","",IF(F65="Feito","Feita",IF(D65="","Sem prazo",IF(D65&lt;Config!$B$5,"Atrasada",IF(D65=Config!$B$5,"Hoje",IF(D65-Config!$B$5&lt;=7,"Esta semana","No prazo"))))))</f>
        <v/>
      </c>
      <c r="I65" s="24">
        <f>IF(OR(B65="",F65="Feito",D65=""),"",D65-Config!$B$5)</f>
        <v/>
      </c>
      <c r="J65" s="28">
        <f>IF(OR(B65="",F65="Feito"),0,IF(H65="Atrasada",3000+MIN(Config!$B$5-D65,60),IF(H65="Hoje",2500,IF(H65="Esta semana",2000-(D65-Config!$B$5),IF(H65="Sem prazo",500,1000-MIN(D65-Config!$B$5,900)))))+IF(E65="Alta",200,IF(E65="Média",100,0))-ROW()/100000)</f>
        <v>0</v>
      </c>
      <c r="K65" s="28">
        <f>IF(AND(B65&lt;&gt;"",A65=Config!$B$6),COUNTIFS($A$5:A65,Config!$B$6,$B$5:B65,"&lt;&gt;"),"")</f>
        <v/>
      </c>
    </row>
    <row r="66">
      <c r="A66" s="33" t="n"/>
      <c r="B66" s="31" t="n"/>
      <c r="C66" s="33" t="n"/>
      <c r="D66" s="34" t="n"/>
      <c r="E66" s="33" t="n"/>
      <c r="F66" s="33" t="n"/>
      <c r="G66" s="34" t="n"/>
      <c r="H66" s="21">
        <f>IF(B66="","",IF(F66="Feito","Feita",IF(D66="","Sem prazo",IF(D66&lt;Config!$B$5,"Atrasada",IF(D66=Config!$B$5,"Hoje",IF(D66-Config!$B$5&lt;=7,"Esta semana","No prazo"))))))</f>
        <v/>
      </c>
      <c r="I66" s="24">
        <f>IF(OR(B66="",F66="Feito",D66=""),"",D66-Config!$B$5)</f>
        <v/>
      </c>
      <c r="J66" s="28">
        <f>IF(OR(B66="",F66="Feito"),0,IF(H66="Atrasada",3000+MIN(Config!$B$5-D66,60),IF(H66="Hoje",2500,IF(H66="Esta semana",2000-(D66-Config!$B$5),IF(H66="Sem prazo",500,1000-MIN(D66-Config!$B$5,900)))))+IF(E66="Alta",200,IF(E66="Média",100,0))-ROW()/100000)</f>
        <v>0</v>
      </c>
      <c r="K66" s="28">
        <f>IF(AND(B66&lt;&gt;"",A66=Config!$B$6),COUNTIFS($A$5:A66,Config!$B$6,$B$5:B66,"&lt;&gt;"),"")</f>
        <v/>
      </c>
    </row>
    <row r="67">
      <c r="A67" s="33" t="n"/>
      <c r="B67" s="31" t="n"/>
      <c r="C67" s="33" t="n"/>
      <c r="D67" s="34" t="n"/>
      <c r="E67" s="33" t="n"/>
      <c r="F67" s="33" t="n"/>
      <c r="G67" s="34" t="n"/>
      <c r="H67" s="21">
        <f>IF(B67="","",IF(F67="Feito","Feita",IF(D67="","Sem prazo",IF(D67&lt;Config!$B$5,"Atrasada",IF(D67=Config!$B$5,"Hoje",IF(D67-Config!$B$5&lt;=7,"Esta semana","No prazo"))))))</f>
        <v/>
      </c>
      <c r="I67" s="24">
        <f>IF(OR(B67="",F67="Feito",D67=""),"",D67-Config!$B$5)</f>
        <v/>
      </c>
      <c r="J67" s="28">
        <f>IF(OR(B67="",F67="Feito"),0,IF(H67="Atrasada",3000+MIN(Config!$B$5-D67,60),IF(H67="Hoje",2500,IF(H67="Esta semana",2000-(D67-Config!$B$5),IF(H67="Sem prazo",500,1000-MIN(D67-Config!$B$5,900)))))+IF(E67="Alta",200,IF(E67="Média",100,0))-ROW()/100000)</f>
        <v>0</v>
      </c>
      <c r="K67" s="28">
        <f>IF(AND(B67&lt;&gt;"",A67=Config!$B$6),COUNTIFS($A$5:A67,Config!$B$6,$B$5:B67,"&lt;&gt;"),"")</f>
        <v/>
      </c>
    </row>
    <row r="68">
      <c r="A68" s="33" t="n"/>
      <c r="B68" s="31" t="n"/>
      <c r="C68" s="33" t="n"/>
      <c r="D68" s="34" t="n"/>
      <c r="E68" s="33" t="n"/>
      <c r="F68" s="33" t="n"/>
      <c r="G68" s="34" t="n"/>
      <c r="H68" s="21">
        <f>IF(B68="","",IF(F68="Feito","Feita",IF(D68="","Sem prazo",IF(D68&lt;Config!$B$5,"Atrasada",IF(D68=Config!$B$5,"Hoje",IF(D68-Config!$B$5&lt;=7,"Esta semana","No prazo"))))))</f>
        <v/>
      </c>
      <c r="I68" s="24">
        <f>IF(OR(B68="",F68="Feito",D68=""),"",D68-Config!$B$5)</f>
        <v/>
      </c>
      <c r="J68" s="28">
        <f>IF(OR(B68="",F68="Feito"),0,IF(H68="Atrasada",3000+MIN(Config!$B$5-D68,60),IF(H68="Hoje",2500,IF(H68="Esta semana",2000-(D68-Config!$B$5),IF(H68="Sem prazo",500,1000-MIN(D68-Config!$B$5,900)))))+IF(E68="Alta",200,IF(E68="Média",100,0))-ROW()/100000)</f>
        <v>0</v>
      </c>
      <c r="K68" s="28">
        <f>IF(AND(B68&lt;&gt;"",A68=Config!$B$6),COUNTIFS($A$5:A68,Config!$B$6,$B$5:B68,"&lt;&gt;"),"")</f>
        <v/>
      </c>
    </row>
    <row r="69">
      <c r="A69" s="33" t="n"/>
      <c r="B69" s="31" t="n"/>
      <c r="C69" s="33" t="n"/>
      <c r="D69" s="34" t="n"/>
      <c r="E69" s="33" t="n"/>
      <c r="F69" s="33" t="n"/>
      <c r="G69" s="34" t="n"/>
      <c r="H69" s="21">
        <f>IF(B69="","",IF(F69="Feito","Feita",IF(D69="","Sem prazo",IF(D69&lt;Config!$B$5,"Atrasada",IF(D69=Config!$B$5,"Hoje",IF(D69-Config!$B$5&lt;=7,"Esta semana","No prazo"))))))</f>
        <v/>
      </c>
      <c r="I69" s="24">
        <f>IF(OR(B69="",F69="Feito",D69=""),"",D69-Config!$B$5)</f>
        <v/>
      </c>
      <c r="J69" s="28">
        <f>IF(OR(B69="",F69="Feito"),0,IF(H69="Atrasada",3000+MIN(Config!$B$5-D69,60),IF(H69="Hoje",2500,IF(H69="Esta semana",2000-(D69-Config!$B$5),IF(H69="Sem prazo",500,1000-MIN(D69-Config!$B$5,900)))))+IF(E69="Alta",200,IF(E69="Média",100,0))-ROW()/100000)</f>
        <v>0</v>
      </c>
      <c r="K69" s="28">
        <f>IF(AND(B69&lt;&gt;"",A69=Config!$B$6),COUNTIFS($A$5:A69,Config!$B$6,$B$5:B69,"&lt;&gt;"),"")</f>
        <v/>
      </c>
    </row>
    <row r="70">
      <c r="A70" s="33" t="n"/>
      <c r="B70" s="31" t="n"/>
      <c r="C70" s="33" t="n"/>
      <c r="D70" s="34" t="n"/>
      <c r="E70" s="33" t="n"/>
      <c r="F70" s="33" t="n"/>
      <c r="G70" s="34" t="n"/>
      <c r="H70" s="21">
        <f>IF(B70="","",IF(F70="Feito","Feita",IF(D70="","Sem prazo",IF(D70&lt;Config!$B$5,"Atrasada",IF(D70=Config!$B$5,"Hoje",IF(D70-Config!$B$5&lt;=7,"Esta semana","No prazo"))))))</f>
        <v/>
      </c>
      <c r="I70" s="24">
        <f>IF(OR(B70="",F70="Feito",D70=""),"",D70-Config!$B$5)</f>
        <v/>
      </c>
      <c r="J70" s="28">
        <f>IF(OR(B70="",F70="Feito"),0,IF(H70="Atrasada",3000+MIN(Config!$B$5-D70,60),IF(H70="Hoje",2500,IF(H70="Esta semana",2000-(D70-Config!$B$5),IF(H70="Sem prazo",500,1000-MIN(D70-Config!$B$5,900)))))+IF(E70="Alta",200,IF(E70="Média",100,0))-ROW()/100000)</f>
        <v>0</v>
      </c>
      <c r="K70" s="28">
        <f>IF(AND(B70&lt;&gt;"",A70=Config!$B$6),COUNTIFS($A$5:A70,Config!$B$6,$B$5:B70,"&lt;&gt;"),"")</f>
        <v/>
      </c>
    </row>
    <row r="71">
      <c r="A71" s="33" t="n"/>
      <c r="B71" s="31" t="n"/>
      <c r="C71" s="33" t="n"/>
      <c r="D71" s="34" t="n"/>
      <c r="E71" s="33" t="n"/>
      <c r="F71" s="33" t="n"/>
      <c r="G71" s="34" t="n"/>
      <c r="H71" s="21">
        <f>IF(B71="","",IF(F71="Feito","Feita",IF(D71="","Sem prazo",IF(D71&lt;Config!$B$5,"Atrasada",IF(D71=Config!$B$5,"Hoje",IF(D71-Config!$B$5&lt;=7,"Esta semana","No prazo"))))))</f>
        <v/>
      </c>
      <c r="I71" s="24">
        <f>IF(OR(B71="",F71="Feito",D71=""),"",D71-Config!$B$5)</f>
        <v/>
      </c>
      <c r="J71" s="28">
        <f>IF(OR(B71="",F71="Feito"),0,IF(H71="Atrasada",3000+MIN(Config!$B$5-D71,60),IF(H71="Hoje",2500,IF(H71="Esta semana",2000-(D71-Config!$B$5),IF(H71="Sem prazo",500,1000-MIN(D71-Config!$B$5,900)))))+IF(E71="Alta",200,IF(E71="Média",100,0))-ROW()/100000)</f>
        <v>0</v>
      </c>
      <c r="K71" s="28">
        <f>IF(AND(B71&lt;&gt;"",A71=Config!$B$6),COUNTIFS($A$5:A71,Config!$B$6,$B$5:B71,"&lt;&gt;"),"")</f>
        <v/>
      </c>
    </row>
    <row r="72">
      <c r="A72" s="33" t="n"/>
      <c r="B72" s="31" t="n"/>
      <c r="C72" s="33" t="n"/>
      <c r="D72" s="34" t="n"/>
      <c r="E72" s="33" t="n"/>
      <c r="F72" s="33" t="n"/>
      <c r="G72" s="34" t="n"/>
      <c r="H72" s="21">
        <f>IF(B72="","",IF(F72="Feito","Feita",IF(D72="","Sem prazo",IF(D72&lt;Config!$B$5,"Atrasada",IF(D72=Config!$B$5,"Hoje",IF(D72-Config!$B$5&lt;=7,"Esta semana","No prazo"))))))</f>
        <v/>
      </c>
      <c r="I72" s="24">
        <f>IF(OR(B72="",F72="Feito",D72=""),"",D72-Config!$B$5)</f>
        <v/>
      </c>
      <c r="J72" s="28">
        <f>IF(OR(B72="",F72="Feito"),0,IF(H72="Atrasada",3000+MIN(Config!$B$5-D72,60),IF(H72="Hoje",2500,IF(H72="Esta semana",2000-(D72-Config!$B$5),IF(H72="Sem prazo",500,1000-MIN(D72-Config!$B$5,900)))))+IF(E72="Alta",200,IF(E72="Média",100,0))-ROW()/100000)</f>
        <v>0</v>
      </c>
      <c r="K72" s="28">
        <f>IF(AND(B72&lt;&gt;"",A72=Config!$B$6),COUNTIFS($A$5:A72,Config!$B$6,$B$5:B72,"&lt;&gt;"),"")</f>
        <v/>
      </c>
    </row>
    <row r="73">
      <c r="A73" s="33" t="n"/>
      <c r="B73" s="31" t="n"/>
      <c r="C73" s="33" t="n"/>
      <c r="D73" s="34" t="n"/>
      <c r="E73" s="33" t="n"/>
      <c r="F73" s="33" t="n"/>
      <c r="G73" s="34" t="n"/>
      <c r="H73" s="21">
        <f>IF(B73="","",IF(F73="Feito","Feita",IF(D73="","Sem prazo",IF(D73&lt;Config!$B$5,"Atrasada",IF(D73=Config!$B$5,"Hoje",IF(D73-Config!$B$5&lt;=7,"Esta semana","No prazo"))))))</f>
        <v/>
      </c>
      <c r="I73" s="24">
        <f>IF(OR(B73="",F73="Feito",D73=""),"",D73-Config!$B$5)</f>
        <v/>
      </c>
      <c r="J73" s="28">
        <f>IF(OR(B73="",F73="Feito"),0,IF(H73="Atrasada",3000+MIN(Config!$B$5-D73,60),IF(H73="Hoje",2500,IF(H73="Esta semana",2000-(D73-Config!$B$5),IF(H73="Sem prazo",500,1000-MIN(D73-Config!$B$5,900)))))+IF(E73="Alta",200,IF(E73="Média",100,0))-ROW()/100000)</f>
        <v>0</v>
      </c>
      <c r="K73" s="28">
        <f>IF(AND(B73&lt;&gt;"",A73=Config!$B$6),COUNTIFS($A$5:A73,Config!$B$6,$B$5:B73,"&lt;&gt;"),"")</f>
        <v/>
      </c>
    </row>
    <row r="74">
      <c r="A74" s="33" t="n"/>
      <c r="B74" s="31" t="n"/>
      <c r="C74" s="33" t="n"/>
      <c r="D74" s="34" t="n"/>
      <c r="E74" s="33" t="n"/>
      <c r="F74" s="33" t="n"/>
      <c r="G74" s="34" t="n"/>
      <c r="H74" s="21">
        <f>IF(B74="","",IF(F74="Feito","Feita",IF(D74="","Sem prazo",IF(D74&lt;Config!$B$5,"Atrasada",IF(D74=Config!$B$5,"Hoje",IF(D74-Config!$B$5&lt;=7,"Esta semana","No prazo"))))))</f>
        <v/>
      </c>
      <c r="I74" s="24">
        <f>IF(OR(B74="",F74="Feito",D74=""),"",D74-Config!$B$5)</f>
        <v/>
      </c>
      <c r="J74" s="28">
        <f>IF(OR(B74="",F74="Feito"),0,IF(H74="Atrasada",3000+MIN(Config!$B$5-D74,60),IF(H74="Hoje",2500,IF(H74="Esta semana",2000-(D74-Config!$B$5),IF(H74="Sem prazo",500,1000-MIN(D74-Config!$B$5,900)))))+IF(E74="Alta",200,IF(E74="Média",100,0))-ROW()/100000)</f>
        <v>0</v>
      </c>
      <c r="K74" s="28">
        <f>IF(AND(B74&lt;&gt;"",A74=Config!$B$6),COUNTIFS($A$5:A74,Config!$B$6,$B$5:B74,"&lt;&gt;"),"")</f>
        <v/>
      </c>
    </row>
    <row r="75">
      <c r="A75" s="33" t="n"/>
      <c r="B75" s="31" t="n"/>
      <c r="C75" s="33" t="n"/>
      <c r="D75" s="34" t="n"/>
      <c r="E75" s="33" t="n"/>
      <c r="F75" s="33" t="n"/>
      <c r="G75" s="34" t="n"/>
      <c r="H75" s="21">
        <f>IF(B75="","",IF(F75="Feito","Feita",IF(D75="","Sem prazo",IF(D75&lt;Config!$B$5,"Atrasada",IF(D75=Config!$B$5,"Hoje",IF(D75-Config!$B$5&lt;=7,"Esta semana","No prazo"))))))</f>
        <v/>
      </c>
      <c r="I75" s="24">
        <f>IF(OR(B75="",F75="Feito",D75=""),"",D75-Config!$B$5)</f>
        <v/>
      </c>
      <c r="J75" s="28">
        <f>IF(OR(B75="",F75="Feito"),0,IF(H75="Atrasada",3000+MIN(Config!$B$5-D75,60),IF(H75="Hoje",2500,IF(H75="Esta semana",2000-(D75-Config!$B$5),IF(H75="Sem prazo",500,1000-MIN(D75-Config!$B$5,900)))))+IF(E75="Alta",200,IF(E75="Média",100,0))-ROW()/100000)</f>
        <v>0</v>
      </c>
      <c r="K75" s="28">
        <f>IF(AND(B75&lt;&gt;"",A75=Config!$B$6),COUNTIFS($A$5:A75,Config!$B$6,$B$5:B75,"&lt;&gt;"),"")</f>
        <v/>
      </c>
    </row>
    <row r="76">
      <c r="A76" s="33" t="n"/>
      <c r="B76" s="31" t="n"/>
      <c r="C76" s="33" t="n"/>
      <c r="D76" s="34" t="n"/>
      <c r="E76" s="33" t="n"/>
      <c r="F76" s="33" t="n"/>
      <c r="G76" s="34" t="n"/>
      <c r="H76" s="21">
        <f>IF(B76="","",IF(F76="Feito","Feita",IF(D76="","Sem prazo",IF(D76&lt;Config!$B$5,"Atrasada",IF(D76=Config!$B$5,"Hoje",IF(D76-Config!$B$5&lt;=7,"Esta semana","No prazo"))))))</f>
        <v/>
      </c>
      <c r="I76" s="24">
        <f>IF(OR(B76="",F76="Feito",D76=""),"",D76-Config!$B$5)</f>
        <v/>
      </c>
      <c r="J76" s="28">
        <f>IF(OR(B76="",F76="Feito"),0,IF(H76="Atrasada",3000+MIN(Config!$B$5-D76,60),IF(H76="Hoje",2500,IF(H76="Esta semana",2000-(D76-Config!$B$5),IF(H76="Sem prazo",500,1000-MIN(D76-Config!$B$5,900)))))+IF(E76="Alta",200,IF(E76="Média",100,0))-ROW()/100000)</f>
        <v>0</v>
      </c>
      <c r="K76" s="28">
        <f>IF(AND(B76&lt;&gt;"",A76=Config!$B$6),COUNTIFS($A$5:A76,Config!$B$6,$B$5:B76,"&lt;&gt;"),"")</f>
        <v/>
      </c>
    </row>
    <row r="77">
      <c r="A77" s="33" t="n"/>
      <c r="B77" s="31" t="n"/>
      <c r="C77" s="33" t="n"/>
      <c r="D77" s="34" t="n"/>
      <c r="E77" s="33" t="n"/>
      <c r="F77" s="33" t="n"/>
      <c r="G77" s="34" t="n"/>
      <c r="H77" s="21">
        <f>IF(B77="","",IF(F77="Feito","Feita",IF(D77="","Sem prazo",IF(D77&lt;Config!$B$5,"Atrasada",IF(D77=Config!$B$5,"Hoje",IF(D77-Config!$B$5&lt;=7,"Esta semana","No prazo"))))))</f>
        <v/>
      </c>
      <c r="I77" s="24">
        <f>IF(OR(B77="",F77="Feito",D77=""),"",D77-Config!$B$5)</f>
        <v/>
      </c>
      <c r="J77" s="28">
        <f>IF(OR(B77="",F77="Feito"),0,IF(H77="Atrasada",3000+MIN(Config!$B$5-D77,60),IF(H77="Hoje",2500,IF(H77="Esta semana",2000-(D77-Config!$B$5),IF(H77="Sem prazo",500,1000-MIN(D77-Config!$B$5,900)))))+IF(E77="Alta",200,IF(E77="Média",100,0))-ROW()/100000)</f>
        <v>0</v>
      </c>
      <c r="K77" s="28">
        <f>IF(AND(B77&lt;&gt;"",A77=Config!$B$6),COUNTIFS($A$5:A77,Config!$B$6,$B$5:B77,"&lt;&gt;"),"")</f>
        <v/>
      </c>
    </row>
    <row r="78">
      <c r="A78" s="33" t="n"/>
      <c r="B78" s="31" t="n"/>
      <c r="C78" s="33" t="n"/>
      <c r="D78" s="34" t="n"/>
      <c r="E78" s="33" t="n"/>
      <c r="F78" s="33" t="n"/>
      <c r="G78" s="34" t="n"/>
      <c r="H78" s="21">
        <f>IF(B78="","",IF(F78="Feito","Feita",IF(D78="","Sem prazo",IF(D78&lt;Config!$B$5,"Atrasada",IF(D78=Config!$B$5,"Hoje",IF(D78-Config!$B$5&lt;=7,"Esta semana","No prazo"))))))</f>
        <v/>
      </c>
      <c r="I78" s="24">
        <f>IF(OR(B78="",F78="Feito",D78=""),"",D78-Config!$B$5)</f>
        <v/>
      </c>
      <c r="J78" s="28">
        <f>IF(OR(B78="",F78="Feito"),0,IF(H78="Atrasada",3000+MIN(Config!$B$5-D78,60),IF(H78="Hoje",2500,IF(H78="Esta semana",2000-(D78-Config!$B$5),IF(H78="Sem prazo",500,1000-MIN(D78-Config!$B$5,900)))))+IF(E78="Alta",200,IF(E78="Média",100,0))-ROW()/100000)</f>
        <v>0</v>
      </c>
      <c r="K78" s="28">
        <f>IF(AND(B78&lt;&gt;"",A78=Config!$B$6),COUNTIFS($A$5:A78,Config!$B$6,$B$5:B78,"&lt;&gt;"),"")</f>
        <v/>
      </c>
    </row>
    <row r="79">
      <c r="A79" s="33" t="n"/>
      <c r="B79" s="31" t="n"/>
      <c r="C79" s="33" t="n"/>
      <c r="D79" s="34" t="n"/>
      <c r="E79" s="33" t="n"/>
      <c r="F79" s="33" t="n"/>
      <c r="G79" s="34" t="n"/>
      <c r="H79" s="21">
        <f>IF(B79="","",IF(F79="Feito","Feita",IF(D79="","Sem prazo",IF(D79&lt;Config!$B$5,"Atrasada",IF(D79=Config!$B$5,"Hoje",IF(D79-Config!$B$5&lt;=7,"Esta semana","No prazo"))))))</f>
        <v/>
      </c>
      <c r="I79" s="24">
        <f>IF(OR(B79="",F79="Feito",D79=""),"",D79-Config!$B$5)</f>
        <v/>
      </c>
      <c r="J79" s="28">
        <f>IF(OR(B79="",F79="Feito"),0,IF(H79="Atrasada",3000+MIN(Config!$B$5-D79,60),IF(H79="Hoje",2500,IF(H79="Esta semana",2000-(D79-Config!$B$5),IF(H79="Sem prazo",500,1000-MIN(D79-Config!$B$5,900)))))+IF(E79="Alta",200,IF(E79="Média",100,0))-ROW()/100000)</f>
        <v>0</v>
      </c>
      <c r="K79" s="28">
        <f>IF(AND(B79&lt;&gt;"",A79=Config!$B$6),COUNTIFS($A$5:A79,Config!$B$6,$B$5:B79,"&lt;&gt;"),"")</f>
        <v/>
      </c>
    </row>
    <row r="80">
      <c r="A80" s="33" t="n"/>
      <c r="B80" s="31" t="n"/>
      <c r="C80" s="33" t="n"/>
      <c r="D80" s="34" t="n"/>
      <c r="E80" s="33" t="n"/>
      <c r="F80" s="33" t="n"/>
      <c r="G80" s="34" t="n"/>
      <c r="H80" s="21">
        <f>IF(B80="","",IF(F80="Feito","Feita",IF(D80="","Sem prazo",IF(D80&lt;Config!$B$5,"Atrasada",IF(D80=Config!$B$5,"Hoje",IF(D80-Config!$B$5&lt;=7,"Esta semana","No prazo"))))))</f>
        <v/>
      </c>
      <c r="I80" s="24">
        <f>IF(OR(B80="",F80="Feito",D80=""),"",D80-Config!$B$5)</f>
        <v/>
      </c>
      <c r="J80" s="28">
        <f>IF(OR(B80="",F80="Feito"),0,IF(H80="Atrasada",3000+MIN(Config!$B$5-D80,60),IF(H80="Hoje",2500,IF(H80="Esta semana",2000-(D80-Config!$B$5),IF(H80="Sem prazo",500,1000-MIN(D80-Config!$B$5,900)))))+IF(E80="Alta",200,IF(E80="Média",100,0))-ROW()/100000)</f>
        <v>0</v>
      </c>
      <c r="K80" s="28">
        <f>IF(AND(B80&lt;&gt;"",A80=Config!$B$6),COUNTIFS($A$5:A80,Config!$B$6,$B$5:B80,"&lt;&gt;"),"")</f>
        <v/>
      </c>
    </row>
    <row r="81">
      <c r="A81" s="33" t="n"/>
      <c r="B81" s="31" t="n"/>
      <c r="C81" s="33" t="n"/>
      <c r="D81" s="34" t="n"/>
      <c r="E81" s="33" t="n"/>
      <c r="F81" s="33" t="n"/>
      <c r="G81" s="34" t="n"/>
      <c r="H81" s="21">
        <f>IF(B81="","",IF(F81="Feito","Feita",IF(D81="","Sem prazo",IF(D81&lt;Config!$B$5,"Atrasada",IF(D81=Config!$B$5,"Hoje",IF(D81-Config!$B$5&lt;=7,"Esta semana","No prazo"))))))</f>
        <v/>
      </c>
      <c r="I81" s="24">
        <f>IF(OR(B81="",F81="Feito",D81=""),"",D81-Config!$B$5)</f>
        <v/>
      </c>
      <c r="J81" s="28">
        <f>IF(OR(B81="",F81="Feito"),0,IF(H81="Atrasada",3000+MIN(Config!$B$5-D81,60),IF(H81="Hoje",2500,IF(H81="Esta semana",2000-(D81-Config!$B$5),IF(H81="Sem prazo",500,1000-MIN(D81-Config!$B$5,900)))))+IF(E81="Alta",200,IF(E81="Média",100,0))-ROW()/100000)</f>
        <v>0</v>
      </c>
      <c r="K81" s="28">
        <f>IF(AND(B81&lt;&gt;"",A81=Config!$B$6),COUNTIFS($A$5:A81,Config!$B$6,$B$5:B81,"&lt;&gt;"),"")</f>
        <v/>
      </c>
    </row>
    <row r="82">
      <c r="A82" s="33" t="n"/>
      <c r="B82" s="31" t="n"/>
      <c r="C82" s="33" t="n"/>
      <c r="D82" s="34" t="n"/>
      <c r="E82" s="33" t="n"/>
      <c r="F82" s="33" t="n"/>
      <c r="G82" s="34" t="n"/>
      <c r="H82" s="21">
        <f>IF(B82="","",IF(F82="Feito","Feita",IF(D82="","Sem prazo",IF(D82&lt;Config!$B$5,"Atrasada",IF(D82=Config!$B$5,"Hoje",IF(D82-Config!$B$5&lt;=7,"Esta semana","No prazo"))))))</f>
        <v/>
      </c>
      <c r="I82" s="24">
        <f>IF(OR(B82="",F82="Feito",D82=""),"",D82-Config!$B$5)</f>
        <v/>
      </c>
      <c r="J82" s="28">
        <f>IF(OR(B82="",F82="Feito"),0,IF(H82="Atrasada",3000+MIN(Config!$B$5-D82,60),IF(H82="Hoje",2500,IF(H82="Esta semana",2000-(D82-Config!$B$5),IF(H82="Sem prazo",500,1000-MIN(D82-Config!$B$5,900)))))+IF(E82="Alta",200,IF(E82="Média",100,0))-ROW()/100000)</f>
        <v>0</v>
      </c>
      <c r="K82" s="28">
        <f>IF(AND(B82&lt;&gt;"",A82=Config!$B$6),COUNTIFS($A$5:A82,Config!$B$6,$B$5:B82,"&lt;&gt;"),"")</f>
        <v/>
      </c>
    </row>
    <row r="83">
      <c r="A83" s="33" t="n"/>
      <c r="B83" s="31" t="n"/>
      <c r="C83" s="33" t="n"/>
      <c r="D83" s="34" t="n"/>
      <c r="E83" s="33" t="n"/>
      <c r="F83" s="33" t="n"/>
      <c r="G83" s="34" t="n"/>
      <c r="H83" s="21">
        <f>IF(B83="","",IF(F83="Feito","Feita",IF(D83="","Sem prazo",IF(D83&lt;Config!$B$5,"Atrasada",IF(D83=Config!$B$5,"Hoje",IF(D83-Config!$B$5&lt;=7,"Esta semana","No prazo"))))))</f>
        <v/>
      </c>
      <c r="I83" s="24">
        <f>IF(OR(B83="",F83="Feito",D83=""),"",D83-Config!$B$5)</f>
        <v/>
      </c>
      <c r="J83" s="28">
        <f>IF(OR(B83="",F83="Feito"),0,IF(H83="Atrasada",3000+MIN(Config!$B$5-D83,60),IF(H83="Hoje",2500,IF(H83="Esta semana",2000-(D83-Config!$B$5),IF(H83="Sem prazo",500,1000-MIN(D83-Config!$B$5,900)))))+IF(E83="Alta",200,IF(E83="Média",100,0))-ROW()/100000)</f>
        <v>0</v>
      </c>
      <c r="K83" s="28">
        <f>IF(AND(B83&lt;&gt;"",A83=Config!$B$6),COUNTIFS($A$5:A83,Config!$B$6,$B$5:B83,"&lt;&gt;"),"")</f>
        <v/>
      </c>
    </row>
    <row r="84">
      <c r="A84" s="33" t="n"/>
      <c r="B84" s="31" t="n"/>
      <c r="C84" s="33" t="n"/>
      <c r="D84" s="34" t="n"/>
      <c r="E84" s="33" t="n"/>
      <c r="F84" s="33" t="n"/>
      <c r="G84" s="34" t="n"/>
      <c r="H84" s="21">
        <f>IF(B84="","",IF(F84="Feito","Feita",IF(D84="","Sem prazo",IF(D84&lt;Config!$B$5,"Atrasada",IF(D84=Config!$B$5,"Hoje",IF(D84-Config!$B$5&lt;=7,"Esta semana","No prazo"))))))</f>
        <v/>
      </c>
      <c r="I84" s="24">
        <f>IF(OR(B84="",F84="Feito",D84=""),"",D84-Config!$B$5)</f>
        <v/>
      </c>
      <c r="J84" s="28">
        <f>IF(OR(B84="",F84="Feito"),0,IF(H84="Atrasada",3000+MIN(Config!$B$5-D84,60),IF(H84="Hoje",2500,IF(H84="Esta semana",2000-(D84-Config!$B$5),IF(H84="Sem prazo",500,1000-MIN(D84-Config!$B$5,900)))))+IF(E84="Alta",200,IF(E84="Média",100,0))-ROW()/100000)</f>
        <v>0</v>
      </c>
      <c r="K84" s="28">
        <f>IF(AND(B84&lt;&gt;"",A84=Config!$B$6),COUNTIFS($A$5:A84,Config!$B$6,$B$5:B84,"&lt;&gt;"),"")</f>
        <v/>
      </c>
    </row>
    <row r="85">
      <c r="A85" s="33" t="n"/>
      <c r="B85" s="31" t="n"/>
      <c r="C85" s="33" t="n"/>
      <c r="D85" s="34" t="n"/>
      <c r="E85" s="33" t="n"/>
      <c r="F85" s="33" t="n"/>
      <c r="G85" s="34" t="n"/>
      <c r="H85" s="21">
        <f>IF(B85="","",IF(F85="Feito","Feita",IF(D85="","Sem prazo",IF(D85&lt;Config!$B$5,"Atrasada",IF(D85=Config!$B$5,"Hoje",IF(D85-Config!$B$5&lt;=7,"Esta semana","No prazo"))))))</f>
        <v/>
      </c>
      <c r="I85" s="24">
        <f>IF(OR(B85="",F85="Feito",D85=""),"",D85-Config!$B$5)</f>
        <v/>
      </c>
      <c r="J85" s="28">
        <f>IF(OR(B85="",F85="Feito"),0,IF(H85="Atrasada",3000+MIN(Config!$B$5-D85,60),IF(H85="Hoje",2500,IF(H85="Esta semana",2000-(D85-Config!$B$5),IF(H85="Sem prazo",500,1000-MIN(D85-Config!$B$5,900)))))+IF(E85="Alta",200,IF(E85="Média",100,0))-ROW()/100000)</f>
        <v>0</v>
      </c>
      <c r="K85" s="28">
        <f>IF(AND(B85&lt;&gt;"",A85=Config!$B$6),COUNTIFS($A$5:A85,Config!$B$6,$B$5:B85,"&lt;&gt;"),"")</f>
        <v/>
      </c>
    </row>
    <row r="86">
      <c r="A86" s="33" t="n"/>
      <c r="B86" s="31" t="n"/>
      <c r="C86" s="33" t="n"/>
      <c r="D86" s="34" t="n"/>
      <c r="E86" s="33" t="n"/>
      <c r="F86" s="33" t="n"/>
      <c r="G86" s="34" t="n"/>
      <c r="H86" s="21">
        <f>IF(B86="","",IF(F86="Feito","Feita",IF(D86="","Sem prazo",IF(D86&lt;Config!$B$5,"Atrasada",IF(D86=Config!$B$5,"Hoje",IF(D86-Config!$B$5&lt;=7,"Esta semana","No prazo"))))))</f>
        <v/>
      </c>
      <c r="I86" s="24">
        <f>IF(OR(B86="",F86="Feito",D86=""),"",D86-Config!$B$5)</f>
        <v/>
      </c>
      <c r="J86" s="28">
        <f>IF(OR(B86="",F86="Feito"),0,IF(H86="Atrasada",3000+MIN(Config!$B$5-D86,60),IF(H86="Hoje",2500,IF(H86="Esta semana",2000-(D86-Config!$B$5),IF(H86="Sem prazo",500,1000-MIN(D86-Config!$B$5,900)))))+IF(E86="Alta",200,IF(E86="Média",100,0))-ROW()/100000)</f>
        <v>0</v>
      </c>
      <c r="K86" s="28">
        <f>IF(AND(B86&lt;&gt;"",A86=Config!$B$6),COUNTIFS($A$5:A86,Config!$B$6,$B$5:B86,"&lt;&gt;"),"")</f>
        <v/>
      </c>
    </row>
    <row r="87">
      <c r="A87" s="33" t="n"/>
      <c r="B87" s="31" t="n"/>
      <c r="C87" s="33" t="n"/>
      <c r="D87" s="34" t="n"/>
      <c r="E87" s="33" t="n"/>
      <c r="F87" s="33" t="n"/>
      <c r="G87" s="34" t="n"/>
      <c r="H87" s="21">
        <f>IF(B87="","",IF(F87="Feito","Feita",IF(D87="","Sem prazo",IF(D87&lt;Config!$B$5,"Atrasada",IF(D87=Config!$B$5,"Hoje",IF(D87-Config!$B$5&lt;=7,"Esta semana","No prazo"))))))</f>
        <v/>
      </c>
      <c r="I87" s="24">
        <f>IF(OR(B87="",F87="Feito",D87=""),"",D87-Config!$B$5)</f>
        <v/>
      </c>
      <c r="J87" s="28">
        <f>IF(OR(B87="",F87="Feito"),0,IF(H87="Atrasada",3000+MIN(Config!$B$5-D87,60),IF(H87="Hoje",2500,IF(H87="Esta semana",2000-(D87-Config!$B$5),IF(H87="Sem prazo",500,1000-MIN(D87-Config!$B$5,900)))))+IF(E87="Alta",200,IF(E87="Média",100,0))-ROW()/100000)</f>
        <v>0</v>
      </c>
      <c r="K87" s="28">
        <f>IF(AND(B87&lt;&gt;"",A87=Config!$B$6),COUNTIFS($A$5:A87,Config!$B$6,$B$5:B87,"&lt;&gt;"),"")</f>
        <v/>
      </c>
    </row>
    <row r="88">
      <c r="A88" s="33" t="n"/>
      <c r="B88" s="31" t="n"/>
      <c r="C88" s="33" t="n"/>
      <c r="D88" s="34" t="n"/>
      <c r="E88" s="33" t="n"/>
      <c r="F88" s="33" t="n"/>
      <c r="G88" s="34" t="n"/>
      <c r="H88" s="21">
        <f>IF(B88="","",IF(F88="Feito","Feita",IF(D88="","Sem prazo",IF(D88&lt;Config!$B$5,"Atrasada",IF(D88=Config!$B$5,"Hoje",IF(D88-Config!$B$5&lt;=7,"Esta semana","No prazo"))))))</f>
        <v/>
      </c>
      <c r="I88" s="24">
        <f>IF(OR(B88="",F88="Feito",D88=""),"",D88-Config!$B$5)</f>
        <v/>
      </c>
      <c r="J88" s="28">
        <f>IF(OR(B88="",F88="Feito"),0,IF(H88="Atrasada",3000+MIN(Config!$B$5-D88,60),IF(H88="Hoje",2500,IF(H88="Esta semana",2000-(D88-Config!$B$5),IF(H88="Sem prazo",500,1000-MIN(D88-Config!$B$5,900)))))+IF(E88="Alta",200,IF(E88="Média",100,0))-ROW()/100000)</f>
        <v>0</v>
      </c>
      <c r="K88" s="28">
        <f>IF(AND(B88&lt;&gt;"",A88=Config!$B$6),COUNTIFS($A$5:A88,Config!$B$6,$B$5:B88,"&lt;&gt;"),"")</f>
        <v/>
      </c>
    </row>
    <row r="89">
      <c r="A89" s="33" t="n"/>
      <c r="B89" s="31" t="n"/>
      <c r="C89" s="33" t="n"/>
      <c r="D89" s="34" t="n"/>
      <c r="E89" s="33" t="n"/>
      <c r="F89" s="33" t="n"/>
      <c r="G89" s="34" t="n"/>
      <c r="H89" s="21">
        <f>IF(B89="","",IF(F89="Feito","Feita",IF(D89="","Sem prazo",IF(D89&lt;Config!$B$5,"Atrasada",IF(D89=Config!$B$5,"Hoje",IF(D89-Config!$B$5&lt;=7,"Esta semana","No prazo"))))))</f>
        <v/>
      </c>
      <c r="I89" s="24">
        <f>IF(OR(B89="",F89="Feito",D89=""),"",D89-Config!$B$5)</f>
        <v/>
      </c>
      <c r="J89" s="28">
        <f>IF(OR(B89="",F89="Feito"),0,IF(H89="Atrasada",3000+MIN(Config!$B$5-D89,60),IF(H89="Hoje",2500,IF(H89="Esta semana",2000-(D89-Config!$B$5),IF(H89="Sem prazo",500,1000-MIN(D89-Config!$B$5,900)))))+IF(E89="Alta",200,IF(E89="Média",100,0))-ROW()/100000)</f>
        <v>0</v>
      </c>
      <c r="K89" s="28">
        <f>IF(AND(B89&lt;&gt;"",A89=Config!$B$6),COUNTIFS($A$5:A89,Config!$B$6,$B$5:B89,"&lt;&gt;"),"")</f>
        <v/>
      </c>
    </row>
    <row r="90">
      <c r="A90" s="33" t="n"/>
      <c r="B90" s="31" t="n"/>
      <c r="C90" s="33" t="n"/>
      <c r="D90" s="34" t="n"/>
      <c r="E90" s="33" t="n"/>
      <c r="F90" s="33" t="n"/>
      <c r="G90" s="34" t="n"/>
      <c r="H90" s="21">
        <f>IF(B90="","",IF(F90="Feito","Feita",IF(D90="","Sem prazo",IF(D90&lt;Config!$B$5,"Atrasada",IF(D90=Config!$B$5,"Hoje",IF(D90-Config!$B$5&lt;=7,"Esta semana","No prazo"))))))</f>
        <v/>
      </c>
      <c r="I90" s="24">
        <f>IF(OR(B90="",F90="Feito",D90=""),"",D90-Config!$B$5)</f>
        <v/>
      </c>
      <c r="J90" s="28">
        <f>IF(OR(B90="",F90="Feito"),0,IF(H90="Atrasada",3000+MIN(Config!$B$5-D90,60),IF(H90="Hoje",2500,IF(H90="Esta semana",2000-(D90-Config!$B$5),IF(H90="Sem prazo",500,1000-MIN(D90-Config!$B$5,900)))))+IF(E90="Alta",200,IF(E90="Média",100,0))-ROW()/100000)</f>
        <v>0</v>
      </c>
      <c r="K90" s="28">
        <f>IF(AND(B90&lt;&gt;"",A90=Config!$B$6),COUNTIFS($A$5:A90,Config!$B$6,$B$5:B90,"&lt;&gt;"),"")</f>
        <v/>
      </c>
    </row>
    <row r="91">
      <c r="A91" s="33" t="n"/>
      <c r="B91" s="31" t="n"/>
      <c r="C91" s="33" t="n"/>
      <c r="D91" s="34" t="n"/>
      <c r="E91" s="33" t="n"/>
      <c r="F91" s="33" t="n"/>
      <c r="G91" s="34" t="n"/>
      <c r="H91" s="21">
        <f>IF(B91="","",IF(F91="Feito","Feita",IF(D91="","Sem prazo",IF(D91&lt;Config!$B$5,"Atrasada",IF(D91=Config!$B$5,"Hoje",IF(D91-Config!$B$5&lt;=7,"Esta semana","No prazo"))))))</f>
        <v/>
      </c>
      <c r="I91" s="24">
        <f>IF(OR(B91="",F91="Feito",D91=""),"",D91-Config!$B$5)</f>
        <v/>
      </c>
      <c r="J91" s="28">
        <f>IF(OR(B91="",F91="Feito"),0,IF(H91="Atrasada",3000+MIN(Config!$B$5-D91,60),IF(H91="Hoje",2500,IF(H91="Esta semana",2000-(D91-Config!$B$5),IF(H91="Sem prazo",500,1000-MIN(D91-Config!$B$5,900)))))+IF(E91="Alta",200,IF(E91="Média",100,0))-ROW()/100000)</f>
        <v>0</v>
      </c>
      <c r="K91" s="28">
        <f>IF(AND(B91&lt;&gt;"",A91=Config!$B$6),COUNTIFS($A$5:A91,Config!$B$6,$B$5:B91,"&lt;&gt;"),"")</f>
        <v/>
      </c>
    </row>
    <row r="92">
      <c r="A92" s="33" t="n"/>
      <c r="B92" s="31" t="n"/>
      <c r="C92" s="33" t="n"/>
      <c r="D92" s="34" t="n"/>
      <c r="E92" s="33" t="n"/>
      <c r="F92" s="33" t="n"/>
      <c r="G92" s="34" t="n"/>
      <c r="H92" s="21">
        <f>IF(B92="","",IF(F92="Feito","Feita",IF(D92="","Sem prazo",IF(D92&lt;Config!$B$5,"Atrasada",IF(D92=Config!$B$5,"Hoje",IF(D92-Config!$B$5&lt;=7,"Esta semana","No prazo"))))))</f>
        <v/>
      </c>
      <c r="I92" s="24">
        <f>IF(OR(B92="",F92="Feito",D92=""),"",D92-Config!$B$5)</f>
        <v/>
      </c>
      <c r="J92" s="28">
        <f>IF(OR(B92="",F92="Feito"),0,IF(H92="Atrasada",3000+MIN(Config!$B$5-D92,60),IF(H92="Hoje",2500,IF(H92="Esta semana",2000-(D92-Config!$B$5),IF(H92="Sem prazo",500,1000-MIN(D92-Config!$B$5,900)))))+IF(E92="Alta",200,IF(E92="Média",100,0))-ROW()/100000)</f>
        <v>0</v>
      </c>
      <c r="K92" s="28">
        <f>IF(AND(B92&lt;&gt;"",A92=Config!$B$6),COUNTIFS($A$5:A92,Config!$B$6,$B$5:B92,"&lt;&gt;"),"")</f>
        <v/>
      </c>
    </row>
    <row r="93">
      <c r="A93" s="33" t="n"/>
      <c r="B93" s="31" t="n"/>
      <c r="C93" s="33" t="n"/>
      <c r="D93" s="34" t="n"/>
      <c r="E93" s="33" t="n"/>
      <c r="F93" s="33" t="n"/>
      <c r="G93" s="34" t="n"/>
      <c r="H93" s="21">
        <f>IF(B93="","",IF(F93="Feito","Feita",IF(D93="","Sem prazo",IF(D93&lt;Config!$B$5,"Atrasada",IF(D93=Config!$B$5,"Hoje",IF(D93-Config!$B$5&lt;=7,"Esta semana","No prazo"))))))</f>
        <v/>
      </c>
      <c r="I93" s="24">
        <f>IF(OR(B93="",F93="Feito",D93=""),"",D93-Config!$B$5)</f>
        <v/>
      </c>
      <c r="J93" s="28">
        <f>IF(OR(B93="",F93="Feito"),0,IF(H93="Atrasada",3000+MIN(Config!$B$5-D93,60),IF(H93="Hoje",2500,IF(H93="Esta semana",2000-(D93-Config!$B$5),IF(H93="Sem prazo",500,1000-MIN(D93-Config!$B$5,900)))))+IF(E93="Alta",200,IF(E93="Média",100,0))-ROW()/100000)</f>
        <v>0</v>
      </c>
      <c r="K93" s="28">
        <f>IF(AND(B93&lt;&gt;"",A93=Config!$B$6),COUNTIFS($A$5:A93,Config!$B$6,$B$5:B93,"&lt;&gt;"),"")</f>
        <v/>
      </c>
    </row>
    <row r="94">
      <c r="A94" s="33" t="n"/>
      <c r="B94" s="31" t="n"/>
      <c r="C94" s="33" t="n"/>
      <c r="D94" s="34" t="n"/>
      <c r="E94" s="33" t="n"/>
      <c r="F94" s="33" t="n"/>
      <c r="G94" s="34" t="n"/>
      <c r="H94" s="21">
        <f>IF(B94="","",IF(F94="Feito","Feita",IF(D94="","Sem prazo",IF(D94&lt;Config!$B$5,"Atrasada",IF(D94=Config!$B$5,"Hoje",IF(D94-Config!$B$5&lt;=7,"Esta semana","No prazo"))))))</f>
        <v/>
      </c>
      <c r="I94" s="24">
        <f>IF(OR(B94="",F94="Feito",D94=""),"",D94-Config!$B$5)</f>
        <v/>
      </c>
      <c r="J94" s="28">
        <f>IF(OR(B94="",F94="Feito"),0,IF(H94="Atrasada",3000+MIN(Config!$B$5-D94,60),IF(H94="Hoje",2500,IF(H94="Esta semana",2000-(D94-Config!$B$5),IF(H94="Sem prazo",500,1000-MIN(D94-Config!$B$5,900)))))+IF(E94="Alta",200,IF(E94="Média",100,0))-ROW()/100000)</f>
        <v>0</v>
      </c>
      <c r="K94" s="28">
        <f>IF(AND(B94&lt;&gt;"",A94=Config!$B$6),COUNTIFS($A$5:A94,Config!$B$6,$B$5:B94,"&lt;&gt;"),"")</f>
        <v/>
      </c>
    </row>
    <row r="95">
      <c r="A95" s="33" t="n"/>
      <c r="B95" s="31" t="n"/>
      <c r="C95" s="33" t="n"/>
      <c r="D95" s="34" t="n"/>
      <c r="E95" s="33" t="n"/>
      <c r="F95" s="33" t="n"/>
      <c r="G95" s="34" t="n"/>
      <c r="H95" s="21">
        <f>IF(B95="","",IF(F95="Feito","Feita",IF(D95="","Sem prazo",IF(D95&lt;Config!$B$5,"Atrasada",IF(D95=Config!$B$5,"Hoje",IF(D95-Config!$B$5&lt;=7,"Esta semana","No prazo"))))))</f>
        <v/>
      </c>
      <c r="I95" s="24">
        <f>IF(OR(B95="",F95="Feito",D95=""),"",D95-Config!$B$5)</f>
        <v/>
      </c>
      <c r="J95" s="28">
        <f>IF(OR(B95="",F95="Feito"),0,IF(H95="Atrasada",3000+MIN(Config!$B$5-D95,60),IF(H95="Hoje",2500,IF(H95="Esta semana",2000-(D95-Config!$B$5),IF(H95="Sem prazo",500,1000-MIN(D95-Config!$B$5,900)))))+IF(E95="Alta",200,IF(E95="Média",100,0))-ROW()/100000)</f>
        <v>0</v>
      </c>
      <c r="K95" s="28">
        <f>IF(AND(B95&lt;&gt;"",A95=Config!$B$6),COUNTIFS($A$5:A95,Config!$B$6,$B$5:B95,"&lt;&gt;"),"")</f>
        <v/>
      </c>
    </row>
    <row r="96">
      <c r="A96" s="33" t="n"/>
      <c r="B96" s="31" t="n"/>
      <c r="C96" s="33" t="n"/>
      <c r="D96" s="34" t="n"/>
      <c r="E96" s="33" t="n"/>
      <c r="F96" s="33" t="n"/>
      <c r="G96" s="34" t="n"/>
      <c r="H96" s="21">
        <f>IF(B96="","",IF(F96="Feito","Feita",IF(D96="","Sem prazo",IF(D96&lt;Config!$B$5,"Atrasada",IF(D96=Config!$B$5,"Hoje",IF(D96-Config!$B$5&lt;=7,"Esta semana","No prazo"))))))</f>
        <v/>
      </c>
      <c r="I96" s="24">
        <f>IF(OR(B96="",F96="Feito",D96=""),"",D96-Config!$B$5)</f>
        <v/>
      </c>
      <c r="J96" s="28">
        <f>IF(OR(B96="",F96="Feito"),0,IF(H96="Atrasada",3000+MIN(Config!$B$5-D96,60),IF(H96="Hoje",2500,IF(H96="Esta semana",2000-(D96-Config!$B$5),IF(H96="Sem prazo",500,1000-MIN(D96-Config!$B$5,900)))))+IF(E96="Alta",200,IF(E96="Média",100,0))-ROW()/100000)</f>
        <v>0</v>
      </c>
      <c r="K96" s="28">
        <f>IF(AND(B96&lt;&gt;"",A96=Config!$B$6),COUNTIFS($A$5:A96,Config!$B$6,$B$5:B96,"&lt;&gt;"),"")</f>
        <v/>
      </c>
    </row>
    <row r="97">
      <c r="A97" s="33" t="n"/>
      <c r="B97" s="31" t="n"/>
      <c r="C97" s="33" t="n"/>
      <c r="D97" s="34" t="n"/>
      <c r="E97" s="33" t="n"/>
      <c r="F97" s="33" t="n"/>
      <c r="G97" s="34" t="n"/>
      <c r="H97" s="21">
        <f>IF(B97="","",IF(F97="Feito","Feita",IF(D97="","Sem prazo",IF(D97&lt;Config!$B$5,"Atrasada",IF(D97=Config!$B$5,"Hoje",IF(D97-Config!$B$5&lt;=7,"Esta semana","No prazo"))))))</f>
        <v/>
      </c>
      <c r="I97" s="24">
        <f>IF(OR(B97="",F97="Feito",D97=""),"",D97-Config!$B$5)</f>
        <v/>
      </c>
      <c r="J97" s="28">
        <f>IF(OR(B97="",F97="Feito"),0,IF(H97="Atrasada",3000+MIN(Config!$B$5-D97,60),IF(H97="Hoje",2500,IF(H97="Esta semana",2000-(D97-Config!$B$5),IF(H97="Sem prazo",500,1000-MIN(D97-Config!$B$5,900)))))+IF(E97="Alta",200,IF(E97="Média",100,0))-ROW()/100000)</f>
        <v>0</v>
      </c>
      <c r="K97" s="28">
        <f>IF(AND(B97&lt;&gt;"",A97=Config!$B$6),COUNTIFS($A$5:A97,Config!$B$6,$B$5:B97,"&lt;&gt;"),"")</f>
        <v/>
      </c>
    </row>
    <row r="98">
      <c r="A98" s="33" t="n"/>
      <c r="B98" s="31" t="n"/>
      <c r="C98" s="33" t="n"/>
      <c r="D98" s="34" t="n"/>
      <c r="E98" s="33" t="n"/>
      <c r="F98" s="33" t="n"/>
      <c r="G98" s="34" t="n"/>
      <c r="H98" s="21">
        <f>IF(B98="","",IF(F98="Feito","Feita",IF(D98="","Sem prazo",IF(D98&lt;Config!$B$5,"Atrasada",IF(D98=Config!$B$5,"Hoje",IF(D98-Config!$B$5&lt;=7,"Esta semana","No prazo"))))))</f>
        <v/>
      </c>
      <c r="I98" s="24">
        <f>IF(OR(B98="",F98="Feito",D98=""),"",D98-Config!$B$5)</f>
        <v/>
      </c>
      <c r="J98" s="28">
        <f>IF(OR(B98="",F98="Feito"),0,IF(H98="Atrasada",3000+MIN(Config!$B$5-D98,60),IF(H98="Hoje",2500,IF(H98="Esta semana",2000-(D98-Config!$B$5),IF(H98="Sem prazo",500,1000-MIN(D98-Config!$B$5,900)))))+IF(E98="Alta",200,IF(E98="Média",100,0))-ROW()/100000)</f>
        <v>0</v>
      </c>
      <c r="K98" s="28">
        <f>IF(AND(B98&lt;&gt;"",A98=Config!$B$6),COUNTIFS($A$5:A98,Config!$B$6,$B$5:B98,"&lt;&gt;"),"")</f>
        <v/>
      </c>
    </row>
    <row r="99">
      <c r="A99" s="33" t="n"/>
      <c r="B99" s="31" t="n"/>
      <c r="C99" s="33" t="n"/>
      <c r="D99" s="34" t="n"/>
      <c r="E99" s="33" t="n"/>
      <c r="F99" s="33" t="n"/>
      <c r="G99" s="34" t="n"/>
      <c r="H99" s="21">
        <f>IF(B99="","",IF(F99="Feito","Feita",IF(D99="","Sem prazo",IF(D99&lt;Config!$B$5,"Atrasada",IF(D99=Config!$B$5,"Hoje",IF(D99-Config!$B$5&lt;=7,"Esta semana","No prazo"))))))</f>
        <v/>
      </c>
      <c r="I99" s="24">
        <f>IF(OR(B99="",F99="Feito",D99=""),"",D99-Config!$B$5)</f>
        <v/>
      </c>
      <c r="J99" s="28">
        <f>IF(OR(B99="",F99="Feito"),0,IF(H99="Atrasada",3000+MIN(Config!$B$5-D99,60),IF(H99="Hoje",2500,IF(H99="Esta semana",2000-(D99-Config!$B$5),IF(H99="Sem prazo",500,1000-MIN(D99-Config!$B$5,900)))))+IF(E99="Alta",200,IF(E99="Média",100,0))-ROW()/100000)</f>
        <v>0</v>
      </c>
      <c r="K99" s="28">
        <f>IF(AND(B99&lt;&gt;"",A99=Config!$B$6),COUNTIFS($A$5:A99,Config!$B$6,$B$5:B99,"&lt;&gt;"),"")</f>
        <v/>
      </c>
    </row>
    <row r="100">
      <c r="A100" s="33" t="n"/>
      <c r="B100" s="31" t="n"/>
      <c r="C100" s="33" t="n"/>
      <c r="D100" s="34" t="n"/>
      <c r="E100" s="33" t="n"/>
      <c r="F100" s="33" t="n"/>
      <c r="G100" s="34" t="n"/>
      <c r="H100" s="21">
        <f>IF(B100="","",IF(F100="Feito","Feita",IF(D100="","Sem prazo",IF(D100&lt;Config!$B$5,"Atrasada",IF(D100=Config!$B$5,"Hoje",IF(D100-Config!$B$5&lt;=7,"Esta semana","No prazo"))))))</f>
        <v/>
      </c>
      <c r="I100" s="24">
        <f>IF(OR(B100="",F100="Feito",D100=""),"",D100-Config!$B$5)</f>
        <v/>
      </c>
      <c r="J100" s="28">
        <f>IF(OR(B100="",F100="Feito"),0,IF(H100="Atrasada",3000+MIN(Config!$B$5-D100,60),IF(H100="Hoje",2500,IF(H100="Esta semana",2000-(D100-Config!$B$5),IF(H100="Sem prazo",500,1000-MIN(D100-Config!$B$5,900)))))+IF(E100="Alta",200,IF(E100="Média",100,0))-ROW()/100000)</f>
        <v>0</v>
      </c>
      <c r="K100" s="28">
        <f>IF(AND(B100&lt;&gt;"",A100=Config!$B$6),COUNTIFS($A$5:A100,Config!$B$6,$B$5:B100,"&lt;&gt;"),"")</f>
        <v/>
      </c>
    </row>
    <row r="101">
      <c r="A101" s="33" t="n"/>
      <c r="B101" s="31" t="n"/>
      <c r="C101" s="33" t="n"/>
      <c r="D101" s="34" t="n"/>
      <c r="E101" s="33" t="n"/>
      <c r="F101" s="33" t="n"/>
      <c r="G101" s="34" t="n"/>
      <c r="H101" s="21">
        <f>IF(B101="","",IF(F101="Feito","Feita",IF(D101="","Sem prazo",IF(D101&lt;Config!$B$5,"Atrasada",IF(D101=Config!$B$5,"Hoje",IF(D101-Config!$B$5&lt;=7,"Esta semana","No prazo"))))))</f>
        <v/>
      </c>
      <c r="I101" s="24">
        <f>IF(OR(B101="",F101="Feito",D101=""),"",D101-Config!$B$5)</f>
        <v/>
      </c>
      <c r="J101" s="28">
        <f>IF(OR(B101="",F101="Feito"),0,IF(H101="Atrasada",3000+MIN(Config!$B$5-D101,60),IF(H101="Hoje",2500,IF(H101="Esta semana",2000-(D101-Config!$B$5),IF(H101="Sem prazo",500,1000-MIN(D101-Config!$B$5,900)))))+IF(E101="Alta",200,IF(E101="Média",100,0))-ROW()/100000)</f>
        <v>0</v>
      </c>
      <c r="K101" s="28">
        <f>IF(AND(B101&lt;&gt;"",A101=Config!$B$6),COUNTIFS($A$5:A101,Config!$B$6,$B$5:B101,"&lt;&gt;"),"")</f>
        <v/>
      </c>
    </row>
    <row r="102">
      <c r="A102" s="33" t="n"/>
      <c r="B102" s="31" t="n"/>
      <c r="C102" s="33" t="n"/>
      <c r="D102" s="34" t="n"/>
      <c r="E102" s="33" t="n"/>
      <c r="F102" s="33" t="n"/>
      <c r="G102" s="34" t="n"/>
      <c r="H102" s="21">
        <f>IF(B102="","",IF(F102="Feito","Feita",IF(D102="","Sem prazo",IF(D102&lt;Config!$B$5,"Atrasada",IF(D102=Config!$B$5,"Hoje",IF(D102-Config!$B$5&lt;=7,"Esta semana","No prazo"))))))</f>
        <v/>
      </c>
      <c r="I102" s="24">
        <f>IF(OR(B102="",F102="Feito",D102=""),"",D102-Config!$B$5)</f>
        <v/>
      </c>
      <c r="J102" s="28">
        <f>IF(OR(B102="",F102="Feito"),0,IF(H102="Atrasada",3000+MIN(Config!$B$5-D102,60),IF(H102="Hoje",2500,IF(H102="Esta semana",2000-(D102-Config!$B$5),IF(H102="Sem prazo",500,1000-MIN(D102-Config!$B$5,900)))))+IF(E102="Alta",200,IF(E102="Média",100,0))-ROW()/100000)</f>
        <v>0</v>
      </c>
      <c r="K102" s="28">
        <f>IF(AND(B102&lt;&gt;"",A102=Config!$B$6),COUNTIFS($A$5:A102,Config!$B$6,$B$5:B102,"&lt;&gt;"),"")</f>
        <v/>
      </c>
    </row>
    <row r="103">
      <c r="A103" s="33" t="n"/>
      <c r="B103" s="31" t="n"/>
      <c r="C103" s="33" t="n"/>
      <c r="D103" s="34" t="n"/>
      <c r="E103" s="33" t="n"/>
      <c r="F103" s="33" t="n"/>
      <c r="G103" s="34" t="n"/>
      <c r="H103" s="21">
        <f>IF(B103="","",IF(F103="Feito","Feita",IF(D103="","Sem prazo",IF(D103&lt;Config!$B$5,"Atrasada",IF(D103=Config!$B$5,"Hoje",IF(D103-Config!$B$5&lt;=7,"Esta semana","No prazo"))))))</f>
        <v/>
      </c>
      <c r="I103" s="24">
        <f>IF(OR(B103="",F103="Feito",D103=""),"",D103-Config!$B$5)</f>
        <v/>
      </c>
      <c r="J103" s="28">
        <f>IF(OR(B103="",F103="Feito"),0,IF(H103="Atrasada",3000+MIN(Config!$B$5-D103,60),IF(H103="Hoje",2500,IF(H103="Esta semana",2000-(D103-Config!$B$5),IF(H103="Sem prazo",500,1000-MIN(D103-Config!$B$5,900)))))+IF(E103="Alta",200,IF(E103="Média",100,0))-ROW()/100000)</f>
        <v>0</v>
      </c>
      <c r="K103" s="28">
        <f>IF(AND(B103&lt;&gt;"",A103=Config!$B$6),COUNTIFS($A$5:A103,Config!$B$6,$B$5:B103,"&lt;&gt;"),"")</f>
        <v/>
      </c>
    </row>
    <row r="104">
      <c r="A104" s="33" t="n"/>
      <c r="B104" s="31" t="n"/>
      <c r="C104" s="33" t="n"/>
      <c r="D104" s="34" t="n"/>
      <c r="E104" s="33" t="n"/>
      <c r="F104" s="33" t="n"/>
      <c r="G104" s="34" t="n"/>
      <c r="H104" s="21">
        <f>IF(B104="","",IF(F104="Feito","Feita",IF(D104="","Sem prazo",IF(D104&lt;Config!$B$5,"Atrasada",IF(D104=Config!$B$5,"Hoje",IF(D104-Config!$B$5&lt;=7,"Esta semana","No prazo"))))))</f>
        <v/>
      </c>
      <c r="I104" s="24">
        <f>IF(OR(B104="",F104="Feito",D104=""),"",D104-Config!$B$5)</f>
        <v/>
      </c>
      <c r="J104" s="28">
        <f>IF(OR(B104="",F104="Feito"),0,IF(H104="Atrasada",3000+MIN(Config!$B$5-D104,60),IF(H104="Hoje",2500,IF(H104="Esta semana",2000-(D104-Config!$B$5),IF(H104="Sem prazo",500,1000-MIN(D104-Config!$B$5,900)))))+IF(E104="Alta",200,IF(E104="Média",100,0))-ROW()/100000)</f>
        <v>0</v>
      </c>
      <c r="K104" s="28">
        <f>IF(AND(B104&lt;&gt;"",A104=Config!$B$6),COUNTIFS($A$5:A104,Config!$B$6,$B$5:B104,"&lt;&gt;"),"")</f>
        <v/>
      </c>
    </row>
    <row r="105">
      <c r="A105" s="33" t="n"/>
      <c r="B105" s="31" t="n"/>
      <c r="C105" s="33" t="n"/>
      <c r="D105" s="34" t="n"/>
      <c r="E105" s="33" t="n"/>
      <c r="F105" s="33" t="n"/>
      <c r="G105" s="34" t="n"/>
      <c r="H105" s="21">
        <f>IF(B105="","",IF(F105="Feito","Feita",IF(D105="","Sem prazo",IF(D105&lt;Config!$B$5,"Atrasada",IF(D105=Config!$B$5,"Hoje",IF(D105-Config!$B$5&lt;=7,"Esta semana","No prazo"))))))</f>
        <v/>
      </c>
      <c r="I105" s="24">
        <f>IF(OR(B105="",F105="Feito",D105=""),"",D105-Config!$B$5)</f>
        <v/>
      </c>
      <c r="J105" s="28">
        <f>IF(OR(B105="",F105="Feito"),0,IF(H105="Atrasada",3000+MIN(Config!$B$5-D105,60),IF(H105="Hoje",2500,IF(H105="Esta semana",2000-(D105-Config!$B$5),IF(H105="Sem prazo",500,1000-MIN(D105-Config!$B$5,900)))))+IF(E105="Alta",200,IF(E105="Média",100,0))-ROW()/100000)</f>
        <v>0</v>
      </c>
      <c r="K105" s="28">
        <f>IF(AND(B105&lt;&gt;"",A105=Config!$B$6),COUNTIFS($A$5:A105,Config!$B$6,$B$5:B105,"&lt;&gt;"),"")</f>
        <v/>
      </c>
    </row>
    <row r="106">
      <c r="A106" s="33" t="n"/>
      <c r="B106" s="31" t="n"/>
      <c r="C106" s="33" t="n"/>
      <c r="D106" s="34" t="n"/>
      <c r="E106" s="33" t="n"/>
      <c r="F106" s="33" t="n"/>
      <c r="G106" s="34" t="n"/>
      <c r="H106" s="21">
        <f>IF(B106="","",IF(F106="Feito","Feita",IF(D106="","Sem prazo",IF(D106&lt;Config!$B$5,"Atrasada",IF(D106=Config!$B$5,"Hoje",IF(D106-Config!$B$5&lt;=7,"Esta semana","No prazo"))))))</f>
        <v/>
      </c>
      <c r="I106" s="24">
        <f>IF(OR(B106="",F106="Feito",D106=""),"",D106-Config!$B$5)</f>
        <v/>
      </c>
      <c r="J106" s="28">
        <f>IF(OR(B106="",F106="Feito"),0,IF(H106="Atrasada",3000+MIN(Config!$B$5-D106,60),IF(H106="Hoje",2500,IF(H106="Esta semana",2000-(D106-Config!$B$5),IF(H106="Sem prazo",500,1000-MIN(D106-Config!$B$5,900)))))+IF(E106="Alta",200,IF(E106="Média",100,0))-ROW()/100000)</f>
        <v>0</v>
      </c>
      <c r="K106" s="28">
        <f>IF(AND(B106&lt;&gt;"",A106=Config!$B$6),COUNTIFS($A$5:A106,Config!$B$6,$B$5:B106,"&lt;&gt;"),"")</f>
        <v/>
      </c>
    </row>
    <row r="107">
      <c r="A107" s="33" t="n"/>
      <c r="B107" s="31" t="n"/>
      <c r="C107" s="33" t="n"/>
      <c r="D107" s="34" t="n"/>
      <c r="E107" s="33" t="n"/>
      <c r="F107" s="33" t="n"/>
      <c r="G107" s="34" t="n"/>
      <c r="H107" s="21">
        <f>IF(B107="","",IF(F107="Feito","Feita",IF(D107="","Sem prazo",IF(D107&lt;Config!$B$5,"Atrasada",IF(D107=Config!$B$5,"Hoje",IF(D107-Config!$B$5&lt;=7,"Esta semana","No prazo"))))))</f>
        <v/>
      </c>
      <c r="I107" s="24">
        <f>IF(OR(B107="",F107="Feito",D107=""),"",D107-Config!$B$5)</f>
        <v/>
      </c>
      <c r="J107" s="28">
        <f>IF(OR(B107="",F107="Feito"),0,IF(H107="Atrasada",3000+MIN(Config!$B$5-D107,60),IF(H107="Hoje",2500,IF(H107="Esta semana",2000-(D107-Config!$B$5),IF(H107="Sem prazo",500,1000-MIN(D107-Config!$B$5,900)))))+IF(E107="Alta",200,IF(E107="Média",100,0))-ROW()/100000)</f>
        <v>0</v>
      </c>
      <c r="K107" s="28">
        <f>IF(AND(B107&lt;&gt;"",A107=Config!$B$6),COUNTIFS($A$5:A107,Config!$B$6,$B$5:B107,"&lt;&gt;"),"")</f>
        <v/>
      </c>
    </row>
    <row r="108">
      <c r="A108" s="33" t="n"/>
      <c r="B108" s="31" t="n"/>
      <c r="C108" s="33" t="n"/>
      <c r="D108" s="34" t="n"/>
      <c r="E108" s="33" t="n"/>
      <c r="F108" s="33" t="n"/>
      <c r="G108" s="34" t="n"/>
      <c r="H108" s="21">
        <f>IF(B108="","",IF(F108="Feito","Feita",IF(D108="","Sem prazo",IF(D108&lt;Config!$B$5,"Atrasada",IF(D108=Config!$B$5,"Hoje",IF(D108-Config!$B$5&lt;=7,"Esta semana","No prazo"))))))</f>
        <v/>
      </c>
      <c r="I108" s="24">
        <f>IF(OR(B108="",F108="Feito",D108=""),"",D108-Config!$B$5)</f>
        <v/>
      </c>
      <c r="J108" s="28">
        <f>IF(OR(B108="",F108="Feito"),0,IF(H108="Atrasada",3000+MIN(Config!$B$5-D108,60),IF(H108="Hoje",2500,IF(H108="Esta semana",2000-(D108-Config!$B$5),IF(H108="Sem prazo",500,1000-MIN(D108-Config!$B$5,900)))))+IF(E108="Alta",200,IF(E108="Média",100,0))-ROW()/100000)</f>
        <v>0</v>
      </c>
      <c r="K108" s="28">
        <f>IF(AND(B108&lt;&gt;"",A108=Config!$B$6),COUNTIFS($A$5:A108,Config!$B$6,$B$5:B108,"&lt;&gt;"),"")</f>
        <v/>
      </c>
    </row>
    <row r="109">
      <c r="A109" s="33" t="n"/>
      <c r="B109" s="31" t="n"/>
      <c r="C109" s="33" t="n"/>
      <c r="D109" s="34" t="n"/>
      <c r="E109" s="33" t="n"/>
      <c r="F109" s="33" t="n"/>
      <c r="G109" s="34" t="n"/>
      <c r="H109" s="21">
        <f>IF(B109="","",IF(F109="Feito","Feita",IF(D109="","Sem prazo",IF(D109&lt;Config!$B$5,"Atrasada",IF(D109=Config!$B$5,"Hoje",IF(D109-Config!$B$5&lt;=7,"Esta semana","No prazo"))))))</f>
        <v/>
      </c>
      <c r="I109" s="24">
        <f>IF(OR(B109="",F109="Feito",D109=""),"",D109-Config!$B$5)</f>
        <v/>
      </c>
      <c r="J109" s="28">
        <f>IF(OR(B109="",F109="Feito"),0,IF(H109="Atrasada",3000+MIN(Config!$B$5-D109,60),IF(H109="Hoje",2500,IF(H109="Esta semana",2000-(D109-Config!$B$5),IF(H109="Sem prazo",500,1000-MIN(D109-Config!$B$5,900)))))+IF(E109="Alta",200,IF(E109="Média",100,0))-ROW()/100000)</f>
        <v>0</v>
      </c>
      <c r="K109" s="28">
        <f>IF(AND(B109&lt;&gt;"",A109=Config!$B$6),COUNTIFS($A$5:A109,Config!$B$6,$B$5:B109,"&lt;&gt;"),"")</f>
        <v/>
      </c>
    </row>
    <row r="110">
      <c r="A110" s="33" t="n"/>
      <c r="B110" s="31" t="n"/>
      <c r="C110" s="33" t="n"/>
      <c r="D110" s="34" t="n"/>
      <c r="E110" s="33" t="n"/>
      <c r="F110" s="33" t="n"/>
      <c r="G110" s="34" t="n"/>
      <c r="H110" s="21">
        <f>IF(B110="","",IF(F110="Feito","Feita",IF(D110="","Sem prazo",IF(D110&lt;Config!$B$5,"Atrasada",IF(D110=Config!$B$5,"Hoje",IF(D110-Config!$B$5&lt;=7,"Esta semana","No prazo"))))))</f>
        <v/>
      </c>
      <c r="I110" s="24">
        <f>IF(OR(B110="",F110="Feito",D110=""),"",D110-Config!$B$5)</f>
        <v/>
      </c>
      <c r="J110" s="28">
        <f>IF(OR(B110="",F110="Feito"),0,IF(H110="Atrasada",3000+MIN(Config!$B$5-D110,60),IF(H110="Hoje",2500,IF(H110="Esta semana",2000-(D110-Config!$B$5),IF(H110="Sem prazo",500,1000-MIN(D110-Config!$B$5,900)))))+IF(E110="Alta",200,IF(E110="Média",100,0))-ROW()/100000)</f>
        <v>0</v>
      </c>
      <c r="K110" s="28">
        <f>IF(AND(B110&lt;&gt;"",A110=Config!$B$6),COUNTIFS($A$5:A110,Config!$B$6,$B$5:B110,"&lt;&gt;"),"")</f>
        <v/>
      </c>
    </row>
    <row r="111">
      <c r="A111" s="33" t="n"/>
      <c r="B111" s="31" t="n"/>
      <c r="C111" s="33" t="n"/>
      <c r="D111" s="34" t="n"/>
      <c r="E111" s="33" t="n"/>
      <c r="F111" s="33" t="n"/>
      <c r="G111" s="34" t="n"/>
      <c r="H111" s="21">
        <f>IF(B111="","",IF(F111="Feito","Feita",IF(D111="","Sem prazo",IF(D111&lt;Config!$B$5,"Atrasada",IF(D111=Config!$B$5,"Hoje",IF(D111-Config!$B$5&lt;=7,"Esta semana","No prazo"))))))</f>
        <v/>
      </c>
      <c r="I111" s="24">
        <f>IF(OR(B111="",F111="Feito",D111=""),"",D111-Config!$B$5)</f>
        <v/>
      </c>
      <c r="J111" s="28">
        <f>IF(OR(B111="",F111="Feito"),0,IF(H111="Atrasada",3000+MIN(Config!$B$5-D111,60),IF(H111="Hoje",2500,IF(H111="Esta semana",2000-(D111-Config!$B$5),IF(H111="Sem prazo",500,1000-MIN(D111-Config!$B$5,900)))))+IF(E111="Alta",200,IF(E111="Média",100,0))-ROW()/100000)</f>
        <v>0</v>
      </c>
      <c r="K111" s="28">
        <f>IF(AND(B111&lt;&gt;"",A111=Config!$B$6),COUNTIFS($A$5:A111,Config!$B$6,$B$5:B111,"&lt;&gt;"),"")</f>
        <v/>
      </c>
    </row>
    <row r="112">
      <c r="A112" s="33" t="n"/>
      <c r="B112" s="31" t="n"/>
      <c r="C112" s="33" t="n"/>
      <c r="D112" s="34" t="n"/>
      <c r="E112" s="33" t="n"/>
      <c r="F112" s="33" t="n"/>
      <c r="G112" s="34" t="n"/>
      <c r="H112" s="21">
        <f>IF(B112="","",IF(F112="Feito","Feita",IF(D112="","Sem prazo",IF(D112&lt;Config!$B$5,"Atrasada",IF(D112=Config!$B$5,"Hoje",IF(D112-Config!$B$5&lt;=7,"Esta semana","No prazo"))))))</f>
        <v/>
      </c>
      <c r="I112" s="24">
        <f>IF(OR(B112="",F112="Feito",D112=""),"",D112-Config!$B$5)</f>
        <v/>
      </c>
      <c r="J112" s="28">
        <f>IF(OR(B112="",F112="Feito"),0,IF(H112="Atrasada",3000+MIN(Config!$B$5-D112,60),IF(H112="Hoje",2500,IF(H112="Esta semana",2000-(D112-Config!$B$5),IF(H112="Sem prazo",500,1000-MIN(D112-Config!$B$5,900)))))+IF(E112="Alta",200,IF(E112="Média",100,0))-ROW()/100000)</f>
        <v>0</v>
      </c>
      <c r="K112" s="28">
        <f>IF(AND(B112&lt;&gt;"",A112=Config!$B$6),COUNTIFS($A$5:A112,Config!$B$6,$B$5:B112,"&lt;&gt;"),"")</f>
        <v/>
      </c>
    </row>
    <row r="113">
      <c r="A113" s="33" t="n"/>
      <c r="B113" s="31" t="n"/>
      <c r="C113" s="33" t="n"/>
      <c r="D113" s="34" t="n"/>
      <c r="E113" s="33" t="n"/>
      <c r="F113" s="33" t="n"/>
      <c r="G113" s="34" t="n"/>
      <c r="H113" s="21">
        <f>IF(B113="","",IF(F113="Feito","Feita",IF(D113="","Sem prazo",IF(D113&lt;Config!$B$5,"Atrasada",IF(D113=Config!$B$5,"Hoje",IF(D113-Config!$B$5&lt;=7,"Esta semana","No prazo"))))))</f>
        <v/>
      </c>
      <c r="I113" s="24">
        <f>IF(OR(B113="",F113="Feito",D113=""),"",D113-Config!$B$5)</f>
        <v/>
      </c>
      <c r="J113" s="28">
        <f>IF(OR(B113="",F113="Feito"),0,IF(H113="Atrasada",3000+MIN(Config!$B$5-D113,60),IF(H113="Hoje",2500,IF(H113="Esta semana",2000-(D113-Config!$B$5),IF(H113="Sem prazo",500,1000-MIN(D113-Config!$B$5,900)))))+IF(E113="Alta",200,IF(E113="Média",100,0))-ROW()/100000)</f>
        <v>0</v>
      </c>
      <c r="K113" s="28">
        <f>IF(AND(B113&lt;&gt;"",A113=Config!$B$6),COUNTIFS($A$5:A113,Config!$B$6,$B$5:B113,"&lt;&gt;"),"")</f>
        <v/>
      </c>
    </row>
    <row r="114">
      <c r="A114" s="33" t="n"/>
      <c r="B114" s="31" t="n"/>
      <c r="C114" s="33" t="n"/>
      <c r="D114" s="34" t="n"/>
      <c r="E114" s="33" t="n"/>
      <c r="F114" s="33" t="n"/>
      <c r="G114" s="34" t="n"/>
      <c r="H114" s="21">
        <f>IF(B114="","",IF(F114="Feito","Feita",IF(D114="","Sem prazo",IF(D114&lt;Config!$B$5,"Atrasada",IF(D114=Config!$B$5,"Hoje",IF(D114-Config!$B$5&lt;=7,"Esta semana","No prazo"))))))</f>
        <v/>
      </c>
      <c r="I114" s="24">
        <f>IF(OR(B114="",F114="Feito",D114=""),"",D114-Config!$B$5)</f>
        <v/>
      </c>
      <c r="J114" s="28">
        <f>IF(OR(B114="",F114="Feito"),0,IF(H114="Atrasada",3000+MIN(Config!$B$5-D114,60),IF(H114="Hoje",2500,IF(H114="Esta semana",2000-(D114-Config!$B$5),IF(H114="Sem prazo",500,1000-MIN(D114-Config!$B$5,900)))))+IF(E114="Alta",200,IF(E114="Média",100,0))-ROW()/100000)</f>
        <v>0</v>
      </c>
      <c r="K114" s="28">
        <f>IF(AND(B114&lt;&gt;"",A114=Config!$B$6),COUNTIFS($A$5:A114,Config!$B$6,$B$5:B114,"&lt;&gt;"),"")</f>
        <v/>
      </c>
    </row>
    <row r="115">
      <c r="A115" s="33" t="n"/>
      <c r="B115" s="31" t="n"/>
      <c r="C115" s="33" t="n"/>
      <c r="D115" s="34" t="n"/>
      <c r="E115" s="33" t="n"/>
      <c r="F115" s="33" t="n"/>
      <c r="G115" s="34" t="n"/>
      <c r="H115" s="21">
        <f>IF(B115="","",IF(F115="Feito","Feita",IF(D115="","Sem prazo",IF(D115&lt;Config!$B$5,"Atrasada",IF(D115=Config!$B$5,"Hoje",IF(D115-Config!$B$5&lt;=7,"Esta semana","No prazo"))))))</f>
        <v/>
      </c>
      <c r="I115" s="24">
        <f>IF(OR(B115="",F115="Feito",D115=""),"",D115-Config!$B$5)</f>
        <v/>
      </c>
      <c r="J115" s="28">
        <f>IF(OR(B115="",F115="Feito"),0,IF(H115="Atrasada",3000+MIN(Config!$B$5-D115,60),IF(H115="Hoje",2500,IF(H115="Esta semana",2000-(D115-Config!$B$5),IF(H115="Sem prazo",500,1000-MIN(D115-Config!$B$5,900)))))+IF(E115="Alta",200,IF(E115="Média",100,0))-ROW()/100000)</f>
        <v>0</v>
      </c>
      <c r="K115" s="28">
        <f>IF(AND(B115&lt;&gt;"",A115=Config!$B$6),COUNTIFS($A$5:A115,Config!$B$6,$B$5:B115,"&lt;&gt;"),"")</f>
        <v/>
      </c>
    </row>
    <row r="116">
      <c r="A116" s="33" t="n"/>
      <c r="B116" s="31" t="n"/>
      <c r="C116" s="33" t="n"/>
      <c r="D116" s="34" t="n"/>
      <c r="E116" s="33" t="n"/>
      <c r="F116" s="33" t="n"/>
      <c r="G116" s="34" t="n"/>
      <c r="H116" s="21">
        <f>IF(B116="","",IF(F116="Feito","Feita",IF(D116="","Sem prazo",IF(D116&lt;Config!$B$5,"Atrasada",IF(D116=Config!$B$5,"Hoje",IF(D116-Config!$B$5&lt;=7,"Esta semana","No prazo"))))))</f>
        <v/>
      </c>
      <c r="I116" s="24">
        <f>IF(OR(B116="",F116="Feito",D116=""),"",D116-Config!$B$5)</f>
        <v/>
      </c>
      <c r="J116" s="28">
        <f>IF(OR(B116="",F116="Feito"),0,IF(H116="Atrasada",3000+MIN(Config!$B$5-D116,60),IF(H116="Hoje",2500,IF(H116="Esta semana",2000-(D116-Config!$B$5),IF(H116="Sem prazo",500,1000-MIN(D116-Config!$B$5,900)))))+IF(E116="Alta",200,IF(E116="Média",100,0))-ROW()/100000)</f>
        <v>0</v>
      </c>
      <c r="K116" s="28">
        <f>IF(AND(B116&lt;&gt;"",A116=Config!$B$6),COUNTIFS($A$5:A116,Config!$B$6,$B$5:B116,"&lt;&gt;"),"")</f>
        <v/>
      </c>
    </row>
    <row r="117">
      <c r="A117" s="33" t="n"/>
      <c r="B117" s="31" t="n"/>
      <c r="C117" s="33" t="n"/>
      <c r="D117" s="34" t="n"/>
      <c r="E117" s="33" t="n"/>
      <c r="F117" s="33" t="n"/>
      <c r="G117" s="34" t="n"/>
      <c r="H117" s="21">
        <f>IF(B117="","",IF(F117="Feito","Feita",IF(D117="","Sem prazo",IF(D117&lt;Config!$B$5,"Atrasada",IF(D117=Config!$B$5,"Hoje",IF(D117-Config!$B$5&lt;=7,"Esta semana","No prazo"))))))</f>
        <v/>
      </c>
      <c r="I117" s="24">
        <f>IF(OR(B117="",F117="Feito",D117=""),"",D117-Config!$B$5)</f>
        <v/>
      </c>
      <c r="J117" s="28">
        <f>IF(OR(B117="",F117="Feito"),0,IF(H117="Atrasada",3000+MIN(Config!$B$5-D117,60),IF(H117="Hoje",2500,IF(H117="Esta semana",2000-(D117-Config!$B$5),IF(H117="Sem prazo",500,1000-MIN(D117-Config!$B$5,900)))))+IF(E117="Alta",200,IF(E117="Média",100,0))-ROW()/100000)</f>
        <v>0</v>
      </c>
      <c r="K117" s="28">
        <f>IF(AND(B117&lt;&gt;"",A117=Config!$B$6),COUNTIFS($A$5:A117,Config!$B$6,$B$5:B117,"&lt;&gt;"),"")</f>
        <v/>
      </c>
    </row>
    <row r="118">
      <c r="A118" s="33" t="n"/>
      <c r="B118" s="31" t="n"/>
      <c r="C118" s="33" t="n"/>
      <c r="D118" s="34" t="n"/>
      <c r="E118" s="33" t="n"/>
      <c r="F118" s="33" t="n"/>
      <c r="G118" s="34" t="n"/>
      <c r="H118" s="21">
        <f>IF(B118="","",IF(F118="Feito","Feita",IF(D118="","Sem prazo",IF(D118&lt;Config!$B$5,"Atrasada",IF(D118=Config!$B$5,"Hoje",IF(D118-Config!$B$5&lt;=7,"Esta semana","No prazo"))))))</f>
        <v/>
      </c>
      <c r="I118" s="24">
        <f>IF(OR(B118="",F118="Feito",D118=""),"",D118-Config!$B$5)</f>
        <v/>
      </c>
      <c r="J118" s="28">
        <f>IF(OR(B118="",F118="Feito"),0,IF(H118="Atrasada",3000+MIN(Config!$B$5-D118,60),IF(H118="Hoje",2500,IF(H118="Esta semana",2000-(D118-Config!$B$5),IF(H118="Sem prazo",500,1000-MIN(D118-Config!$B$5,900)))))+IF(E118="Alta",200,IF(E118="Média",100,0))-ROW()/100000)</f>
        <v>0</v>
      </c>
      <c r="K118" s="28">
        <f>IF(AND(B118&lt;&gt;"",A118=Config!$B$6),COUNTIFS($A$5:A118,Config!$B$6,$B$5:B118,"&lt;&gt;"),"")</f>
        <v/>
      </c>
    </row>
    <row r="119">
      <c r="A119" s="33" t="n"/>
      <c r="B119" s="31" t="n"/>
      <c r="C119" s="33" t="n"/>
      <c r="D119" s="34" t="n"/>
      <c r="E119" s="33" t="n"/>
      <c r="F119" s="33" t="n"/>
      <c r="G119" s="34" t="n"/>
      <c r="H119" s="21">
        <f>IF(B119="","",IF(F119="Feito","Feita",IF(D119="","Sem prazo",IF(D119&lt;Config!$B$5,"Atrasada",IF(D119=Config!$B$5,"Hoje",IF(D119-Config!$B$5&lt;=7,"Esta semana","No prazo"))))))</f>
        <v/>
      </c>
      <c r="I119" s="24">
        <f>IF(OR(B119="",F119="Feito",D119=""),"",D119-Config!$B$5)</f>
        <v/>
      </c>
      <c r="J119" s="28">
        <f>IF(OR(B119="",F119="Feito"),0,IF(H119="Atrasada",3000+MIN(Config!$B$5-D119,60),IF(H119="Hoje",2500,IF(H119="Esta semana",2000-(D119-Config!$B$5),IF(H119="Sem prazo",500,1000-MIN(D119-Config!$B$5,900)))))+IF(E119="Alta",200,IF(E119="Média",100,0))-ROW()/100000)</f>
        <v>0</v>
      </c>
      <c r="K119" s="28">
        <f>IF(AND(B119&lt;&gt;"",A119=Config!$B$6),COUNTIFS($A$5:A119,Config!$B$6,$B$5:B119,"&lt;&gt;"),"")</f>
        <v/>
      </c>
    </row>
    <row r="120">
      <c r="A120" s="33" t="n"/>
      <c r="B120" s="31" t="n"/>
      <c r="C120" s="33" t="n"/>
      <c r="D120" s="34" t="n"/>
      <c r="E120" s="33" t="n"/>
      <c r="F120" s="33" t="n"/>
      <c r="G120" s="34" t="n"/>
      <c r="H120" s="21">
        <f>IF(B120="","",IF(F120="Feito","Feita",IF(D120="","Sem prazo",IF(D120&lt;Config!$B$5,"Atrasada",IF(D120=Config!$B$5,"Hoje",IF(D120-Config!$B$5&lt;=7,"Esta semana","No prazo"))))))</f>
        <v/>
      </c>
      <c r="I120" s="24">
        <f>IF(OR(B120="",F120="Feito",D120=""),"",D120-Config!$B$5)</f>
        <v/>
      </c>
      <c r="J120" s="28">
        <f>IF(OR(B120="",F120="Feito"),0,IF(H120="Atrasada",3000+MIN(Config!$B$5-D120,60),IF(H120="Hoje",2500,IF(H120="Esta semana",2000-(D120-Config!$B$5),IF(H120="Sem prazo",500,1000-MIN(D120-Config!$B$5,900)))))+IF(E120="Alta",200,IF(E120="Média",100,0))-ROW()/100000)</f>
        <v>0</v>
      </c>
      <c r="K120" s="28">
        <f>IF(AND(B120&lt;&gt;"",A120=Config!$B$6),COUNTIFS($A$5:A120,Config!$B$6,$B$5:B120,"&lt;&gt;"),"")</f>
        <v/>
      </c>
    </row>
    <row r="121">
      <c r="A121" s="33" t="n"/>
      <c r="B121" s="31" t="n"/>
      <c r="C121" s="33" t="n"/>
      <c r="D121" s="34" t="n"/>
      <c r="E121" s="33" t="n"/>
      <c r="F121" s="33" t="n"/>
      <c r="G121" s="34" t="n"/>
      <c r="H121" s="21">
        <f>IF(B121="","",IF(F121="Feito","Feita",IF(D121="","Sem prazo",IF(D121&lt;Config!$B$5,"Atrasada",IF(D121=Config!$B$5,"Hoje",IF(D121-Config!$B$5&lt;=7,"Esta semana","No prazo"))))))</f>
        <v/>
      </c>
      <c r="I121" s="24">
        <f>IF(OR(B121="",F121="Feito",D121=""),"",D121-Config!$B$5)</f>
        <v/>
      </c>
      <c r="J121" s="28">
        <f>IF(OR(B121="",F121="Feito"),0,IF(H121="Atrasada",3000+MIN(Config!$B$5-D121,60),IF(H121="Hoje",2500,IF(H121="Esta semana",2000-(D121-Config!$B$5),IF(H121="Sem prazo",500,1000-MIN(D121-Config!$B$5,900)))))+IF(E121="Alta",200,IF(E121="Média",100,0))-ROW()/100000)</f>
        <v>0</v>
      </c>
      <c r="K121" s="28">
        <f>IF(AND(B121&lt;&gt;"",A121=Config!$B$6),COUNTIFS($A$5:A121,Config!$B$6,$B$5:B121,"&lt;&gt;"),"")</f>
        <v/>
      </c>
    </row>
    <row r="122">
      <c r="A122" s="33" t="n"/>
      <c r="B122" s="31" t="n"/>
      <c r="C122" s="33" t="n"/>
      <c r="D122" s="34" t="n"/>
      <c r="E122" s="33" t="n"/>
      <c r="F122" s="33" t="n"/>
      <c r="G122" s="34" t="n"/>
      <c r="H122" s="21">
        <f>IF(B122="","",IF(F122="Feito","Feita",IF(D122="","Sem prazo",IF(D122&lt;Config!$B$5,"Atrasada",IF(D122=Config!$B$5,"Hoje",IF(D122-Config!$B$5&lt;=7,"Esta semana","No prazo"))))))</f>
        <v/>
      </c>
      <c r="I122" s="24">
        <f>IF(OR(B122="",F122="Feito",D122=""),"",D122-Config!$B$5)</f>
        <v/>
      </c>
      <c r="J122" s="28">
        <f>IF(OR(B122="",F122="Feito"),0,IF(H122="Atrasada",3000+MIN(Config!$B$5-D122,60),IF(H122="Hoje",2500,IF(H122="Esta semana",2000-(D122-Config!$B$5),IF(H122="Sem prazo",500,1000-MIN(D122-Config!$B$5,900)))))+IF(E122="Alta",200,IF(E122="Média",100,0))-ROW()/100000)</f>
        <v>0</v>
      </c>
      <c r="K122" s="28">
        <f>IF(AND(B122&lt;&gt;"",A122=Config!$B$6),COUNTIFS($A$5:A122,Config!$B$6,$B$5:B122,"&lt;&gt;"),"")</f>
        <v/>
      </c>
    </row>
    <row r="123">
      <c r="A123" s="33" t="n"/>
      <c r="B123" s="31" t="n"/>
      <c r="C123" s="33" t="n"/>
      <c r="D123" s="34" t="n"/>
      <c r="E123" s="33" t="n"/>
      <c r="F123" s="33" t="n"/>
      <c r="G123" s="34" t="n"/>
      <c r="H123" s="21">
        <f>IF(B123="","",IF(F123="Feito","Feita",IF(D123="","Sem prazo",IF(D123&lt;Config!$B$5,"Atrasada",IF(D123=Config!$B$5,"Hoje",IF(D123-Config!$B$5&lt;=7,"Esta semana","No prazo"))))))</f>
        <v/>
      </c>
      <c r="I123" s="24">
        <f>IF(OR(B123="",F123="Feito",D123=""),"",D123-Config!$B$5)</f>
        <v/>
      </c>
      <c r="J123" s="28">
        <f>IF(OR(B123="",F123="Feito"),0,IF(H123="Atrasada",3000+MIN(Config!$B$5-D123,60),IF(H123="Hoje",2500,IF(H123="Esta semana",2000-(D123-Config!$B$5),IF(H123="Sem prazo",500,1000-MIN(D123-Config!$B$5,900)))))+IF(E123="Alta",200,IF(E123="Média",100,0))-ROW()/100000)</f>
        <v>0</v>
      </c>
      <c r="K123" s="28">
        <f>IF(AND(B123&lt;&gt;"",A123=Config!$B$6),COUNTIFS($A$5:A123,Config!$B$6,$B$5:B123,"&lt;&gt;"),"")</f>
        <v/>
      </c>
    </row>
    <row r="124">
      <c r="A124" s="33" t="n"/>
      <c r="B124" s="31" t="n"/>
      <c r="C124" s="33" t="n"/>
      <c r="D124" s="34" t="n"/>
      <c r="E124" s="33" t="n"/>
      <c r="F124" s="33" t="n"/>
      <c r="G124" s="34" t="n"/>
      <c r="H124" s="21">
        <f>IF(B124="","",IF(F124="Feito","Feita",IF(D124="","Sem prazo",IF(D124&lt;Config!$B$5,"Atrasada",IF(D124=Config!$B$5,"Hoje",IF(D124-Config!$B$5&lt;=7,"Esta semana","No prazo"))))))</f>
        <v/>
      </c>
      <c r="I124" s="24">
        <f>IF(OR(B124="",F124="Feito",D124=""),"",D124-Config!$B$5)</f>
        <v/>
      </c>
      <c r="J124" s="28">
        <f>IF(OR(B124="",F124="Feito"),0,IF(H124="Atrasada",3000+MIN(Config!$B$5-D124,60),IF(H124="Hoje",2500,IF(H124="Esta semana",2000-(D124-Config!$B$5),IF(H124="Sem prazo",500,1000-MIN(D124-Config!$B$5,900)))))+IF(E124="Alta",200,IF(E124="Média",100,0))-ROW()/100000)</f>
        <v>0</v>
      </c>
      <c r="K124" s="28">
        <f>IF(AND(B124&lt;&gt;"",A124=Config!$B$6),COUNTIFS($A$5:A124,Config!$B$6,$B$5:B124,"&lt;&gt;"),"")</f>
        <v/>
      </c>
    </row>
    <row r="125">
      <c r="A125" s="33" t="n"/>
      <c r="B125" s="31" t="n"/>
      <c r="C125" s="33" t="n"/>
      <c r="D125" s="34" t="n"/>
      <c r="E125" s="33" t="n"/>
      <c r="F125" s="33" t="n"/>
      <c r="G125" s="34" t="n"/>
      <c r="H125" s="21">
        <f>IF(B125="","",IF(F125="Feito","Feita",IF(D125="","Sem prazo",IF(D125&lt;Config!$B$5,"Atrasada",IF(D125=Config!$B$5,"Hoje",IF(D125-Config!$B$5&lt;=7,"Esta semana","No prazo"))))))</f>
        <v/>
      </c>
      <c r="I125" s="24">
        <f>IF(OR(B125="",F125="Feito",D125=""),"",D125-Config!$B$5)</f>
        <v/>
      </c>
      <c r="J125" s="28">
        <f>IF(OR(B125="",F125="Feito"),0,IF(H125="Atrasada",3000+MIN(Config!$B$5-D125,60),IF(H125="Hoje",2500,IF(H125="Esta semana",2000-(D125-Config!$B$5),IF(H125="Sem prazo",500,1000-MIN(D125-Config!$B$5,900)))))+IF(E125="Alta",200,IF(E125="Média",100,0))-ROW()/100000)</f>
        <v>0</v>
      </c>
      <c r="K125" s="28">
        <f>IF(AND(B125&lt;&gt;"",A125=Config!$B$6),COUNTIFS($A$5:A125,Config!$B$6,$B$5:B125,"&lt;&gt;"),"")</f>
        <v/>
      </c>
    </row>
    <row r="126">
      <c r="A126" s="33" t="n"/>
      <c r="B126" s="31" t="n"/>
      <c r="C126" s="33" t="n"/>
      <c r="D126" s="34" t="n"/>
      <c r="E126" s="33" t="n"/>
      <c r="F126" s="33" t="n"/>
      <c r="G126" s="34" t="n"/>
      <c r="H126" s="21">
        <f>IF(B126="","",IF(F126="Feito","Feita",IF(D126="","Sem prazo",IF(D126&lt;Config!$B$5,"Atrasada",IF(D126=Config!$B$5,"Hoje",IF(D126-Config!$B$5&lt;=7,"Esta semana","No prazo"))))))</f>
        <v/>
      </c>
      <c r="I126" s="24">
        <f>IF(OR(B126="",F126="Feito",D126=""),"",D126-Config!$B$5)</f>
        <v/>
      </c>
      <c r="J126" s="28">
        <f>IF(OR(B126="",F126="Feito"),0,IF(H126="Atrasada",3000+MIN(Config!$B$5-D126,60),IF(H126="Hoje",2500,IF(H126="Esta semana",2000-(D126-Config!$B$5),IF(H126="Sem prazo",500,1000-MIN(D126-Config!$B$5,900)))))+IF(E126="Alta",200,IF(E126="Média",100,0))-ROW()/100000)</f>
        <v>0</v>
      </c>
      <c r="K126" s="28">
        <f>IF(AND(B126&lt;&gt;"",A126=Config!$B$6),COUNTIFS($A$5:A126,Config!$B$6,$B$5:B126,"&lt;&gt;"),"")</f>
        <v/>
      </c>
    </row>
    <row r="127">
      <c r="A127" s="33" t="n"/>
      <c r="B127" s="31" t="n"/>
      <c r="C127" s="33" t="n"/>
      <c r="D127" s="34" t="n"/>
      <c r="E127" s="33" t="n"/>
      <c r="F127" s="33" t="n"/>
      <c r="G127" s="34" t="n"/>
      <c r="H127" s="21">
        <f>IF(B127="","",IF(F127="Feito","Feita",IF(D127="","Sem prazo",IF(D127&lt;Config!$B$5,"Atrasada",IF(D127=Config!$B$5,"Hoje",IF(D127-Config!$B$5&lt;=7,"Esta semana","No prazo"))))))</f>
        <v/>
      </c>
      <c r="I127" s="24">
        <f>IF(OR(B127="",F127="Feito",D127=""),"",D127-Config!$B$5)</f>
        <v/>
      </c>
      <c r="J127" s="28">
        <f>IF(OR(B127="",F127="Feito"),0,IF(H127="Atrasada",3000+MIN(Config!$B$5-D127,60),IF(H127="Hoje",2500,IF(H127="Esta semana",2000-(D127-Config!$B$5),IF(H127="Sem prazo",500,1000-MIN(D127-Config!$B$5,900)))))+IF(E127="Alta",200,IF(E127="Média",100,0))-ROW()/100000)</f>
        <v>0</v>
      </c>
      <c r="K127" s="28">
        <f>IF(AND(B127&lt;&gt;"",A127=Config!$B$6),COUNTIFS($A$5:A127,Config!$B$6,$B$5:B127,"&lt;&gt;"),"")</f>
        <v/>
      </c>
    </row>
    <row r="128">
      <c r="A128" s="33" t="n"/>
      <c r="B128" s="31" t="n"/>
      <c r="C128" s="33" t="n"/>
      <c r="D128" s="34" t="n"/>
      <c r="E128" s="33" t="n"/>
      <c r="F128" s="33" t="n"/>
      <c r="G128" s="34" t="n"/>
      <c r="H128" s="21">
        <f>IF(B128="","",IF(F128="Feito","Feita",IF(D128="","Sem prazo",IF(D128&lt;Config!$B$5,"Atrasada",IF(D128=Config!$B$5,"Hoje",IF(D128-Config!$B$5&lt;=7,"Esta semana","No prazo"))))))</f>
        <v/>
      </c>
      <c r="I128" s="24">
        <f>IF(OR(B128="",F128="Feito",D128=""),"",D128-Config!$B$5)</f>
        <v/>
      </c>
      <c r="J128" s="28">
        <f>IF(OR(B128="",F128="Feito"),0,IF(H128="Atrasada",3000+MIN(Config!$B$5-D128,60),IF(H128="Hoje",2500,IF(H128="Esta semana",2000-(D128-Config!$B$5),IF(H128="Sem prazo",500,1000-MIN(D128-Config!$B$5,900)))))+IF(E128="Alta",200,IF(E128="Média",100,0))-ROW()/100000)</f>
        <v>0</v>
      </c>
      <c r="K128" s="28">
        <f>IF(AND(B128&lt;&gt;"",A128=Config!$B$6),COUNTIFS($A$5:A128,Config!$B$6,$B$5:B128,"&lt;&gt;"),"")</f>
        <v/>
      </c>
    </row>
    <row r="129">
      <c r="A129" s="33" t="n"/>
      <c r="B129" s="31" t="n"/>
      <c r="C129" s="33" t="n"/>
      <c r="D129" s="34" t="n"/>
      <c r="E129" s="33" t="n"/>
      <c r="F129" s="33" t="n"/>
      <c r="G129" s="34" t="n"/>
      <c r="H129" s="21">
        <f>IF(B129="","",IF(F129="Feito","Feita",IF(D129="","Sem prazo",IF(D129&lt;Config!$B$5,"Atrasada",IF(D129=Config!$B$5,"Hoje",IF(D129-Config!$B$5&lt;=7,"Esta semana","No prazo"))))))</f>
        <v/>
      </c>
      <c r="I129" s="24">
        <f>IF(OR(B129="",F129="Feito",D129=""),"",D129-Config!$B$5)</f>
        <v/>
      </c>
      <c r="J129" s="28">
        <f>IF(OR(B129="",F129="Feito"),0,IF(H129="Atrasada",3000+MIN(Config!$B$5-D129,60),IF(H129="Hoje",2500,IF(H129="Esta semana",2000-(D129-Config!$B$5),IF(H129="Sem prazo",500,1000-MIN(D129-Config!$B$5,900)))))+IF(E129="Alta",200,IF(E129="Média",100,0))-ROW()/100000)</f>
        <v>0</v>
      </c>
      <c r="K129" s="28">
        <f>IF(AND(B129&lt;&gt;"",A129=Config!$B$6),COUNTIFS($A$5:A129,Config!$B$6,$B$5:B129,"&lt;&gt;"),"")</f>
        <v/>
      </c>
    </row>
    <row r="130">
      <c r="A130" s="33" t="n"/>
      <c r="B130" s="31" t="n"/>
      <c r="C130" s="33" t="n"/>
      <c r="D130" s="34" t="n"/>
      <c r="E130" s="33" t="n"/>
      <c r="F130" s="33" t="n"/>
      <c r="G130" s="34" t="n"/>
      <c r="H130" s="21">
        <f>IF(B130="","",IF(F130="Feito","Feita",IF(D130="","Sem prazo",IF(D130&lt;Config!$B$5,"Atrasada",IF(D130=Config!$B$5,"Hoje",IF(D130-Config!$B$5&lt;=7,"Esta semana","No prazo"))))))</f>
        <v/>
      </c>
      <c r="I130" s="24">
        <f>IF(OR(B130="",F130="Feito",D130=""),"",D130-Config!$B$5)</f>
        <v/>
      </c>
      <c r="J130" s="28">
        <f>IF(OR(B130="",F130="Feito"),0,IF(H130="Atrasada",3000+MIN(Config!$B$5-D130,60),IF(H130="Hoje",2500,IF(H130="Esta semana",2000-(D130-Config!$B$5),IF(H130="Sem prazo",500,1000-MIN(D130-Config!$B$5,900)))))+IF(E130="Alta",200,IF(E130="Média",100,0))-ROW()/100000)</f>
        <v>0</v>
      </c>
      <c r="K130" s="28">
        <f>IF(AND(B130&lt;&gt;"",A130=Config!$B$6),COUNTIFS($A$5:A130,Config!$B$6,$B$5:B130,"&lt;&gt;"),"")</f>
        <v/>
      </c>
    </row>
    <row r="131">
      <c r="A131" s="33" t="n"/>
      <c r="B131" s="31" t="n"/>
      <c r="C131" s="33" t="n"/>
      <c r="D131" s="34" t="n"/>
      <c r="E131" s="33" t="n"/>
      <c r="F131" s="33" t="n"/>
      <c r="G131" s="34" t="n"/>
      <c r="H131" s="21">
        <f>IF(B131="","",IF(F131="Feito","Feita",IF(D131="","Sem prazo",IF(D131&lt;Config!$B$5,"Atrasada",IF(D131=Config!$B$5,"Hoje",IF(D131-Config!$B$5&lt;=7,"Esta semana","No prazo"))))))</f>
        <v/>
      </c>
      <c r="I131" s="24">
        <f>IF(OR(B131="",F131="Feito",D131=""),"",D131-Config!$B$5)</f>
        <v/>
      </c>
      <c r="J131" s="28">
        <f>IF(OR(B131="",F131="Feito"),0,IF(H131="Atrasada",3000+MIN(Config!$B$5-D131,60),IF(H131="Hoje",2500,IF(H131="Esta semana",2000-(D131-Config!$B$5),IF(H131="Sem prazo",500,1000-MIN(D131-Config!$B$5,900)))))+IF(E131="Alta",200,IF(E131="Média",100,0))-ROW()/100000)</f>
        <v>0</v>
      </c>
      <c r="K131" s="28">
        <f>IF(AND(B131&lt;&gt;"",A131=Config!$B$6),COUNTIFS($A$5:A131,Config!$B$6,$B$5:B131,"&lt;&gt;"),"")</f>
        <v/>
      </c>
    </row>
    <row r="132">
      <c r="A132" s="33" t="n"/>
      <c r="B132" s="31" t="n"/>
      <c r="C132" s="33" t="n"/>
      <c r="D132" s="34" t="n"/>
      <c r="E132" s="33" t="n"/>
      <c r="F132" s="33" t="n"/>
      <c r="G132" s="34" t="n"/>
      <c r="H132" s="21">
        <f>IF(B132="","",IF(F132="Feito","Feita",IF(D132="","Sem prazo",IF(D132&lt;Config!$B$5,"Atrasada",IF(D132=Config!$B$5,"Hoje",IF(D132-Config!$B$5&lt;=7,"Esta semana","No prazo"))))))</f>
        <v/>
      </c>
      <c r="I132" s="24">
        <f>IF(OR(B132="",F132="Feito",D132=""),"",D132-Config!$B$5)</f>
        <v/>
      </c>
      <c r="J132" s="28">
        <f>IF(OR(B132="",F132="Feito"),0,IF(H132="Atrasada",3000+MIN(Config!$B$5-D132,60),IF(H132="Hoje",2500,IF(H132="Esta semana",2000-(D132-Config!$B$5),IF(H132="Sem prazo",500,1000-MIN(D132-Config!$B$5,900)))))+IF(E132="Alta",200,IF(E132="Média",100,0))-ROW()/100000)</f>
        <v>0</v>
      </c>
      <c r="K132" s="28">
        <f>IF(AND(B132&lt;&gt;"",A132=Config!$B$6),COUNTIFS($A$5:A132,Config!$B$6,$B$5:B132,"&lt;&gt;"),"")</f>
        <v/>
      </c>
    </row>
    <row r="133">
      <c r="A133" s="33" t="n"/>
      <c r="B133" s="31" t="n"/>
      <c r="C133" s="33" t="n"/>
      <c r="D133" s="34" t="n"/>
      <c r="E133" s="33" t="n"/>
      <c r="F133" s="33" t="n"/>
      <c r="G133" s="34" t="n"/>
      <c r="H133" s="21">
        <f>IF(B133="","",IF(F133="Feito","Feita",IF(D133="","Sem prazo",IF(D133&lt;Config!$B$5,"Atrasada",IF(D133=Config!$B$5,"Hoje",IF(D133-Config!$B$5&lt;=7,"Esta semana","No prazo"))))))</f>
        <v/>
      </c>
      <c r="I133" s="24">
        <f>IF(OR(B133="",F133="Feito",D133=""),"",D133-Config!$B$5)</f>
        <v/>
      </c>
      <c r="J133" s="28">
        <f>IF(OR(B133="",F133="Feito"),0,IF(H133="Atrasada",3000+MIN(Config!$B$5-D133,60),IF(H133="Hoje",2500,IF(H133="Esta semana",2000-(D133-Config!$B$5),IF(H133="Sem prazo",500,1000-MIN(D133-Config!$B$5,900)))))+IF(E133="Alta",200,IF(E133="Média",100,0))-ROW()/100000)</f>
        <v>0</v>
      </c>
      <c r="K133" s="28">
        <f>IF(AND(B133&lt;&gt;"",A133=Config!$B$6),COUNTIFS($A$5:A133,Config!$B$6,$B$5:B133,"&lt;&gt;"),"")</f>
        <v/>
      </c>
    </row>
    <row r="134">
      <c r="A134" s="33" t="n"/>
      <c r="B134" s="31" t="n"/>
      <c r="C134" s="33" t="n"/>
      <c r="D134" s="34" t="n"/>
      <c r="E134" s="33" t="n"/>
      <c r="F134" s="33" t="n"/>
      <c r="G134" s="34" t="n"/>
      <c r="H134" s="21">
        <f>IF(B134="","",IF(F134="Feito","Feita",IF(D134="","Sem prazo",IF(D134&lt;Config!$B$5,"Atrasada",IF(D134=Config!$B$5,"Hoje",IF(D134-Config!$B$5&lt;=7,"Esta semana","No prazo"))))))</f>
        <v/>
      </c>
      <c r="I134" s="24">
        <f>IF(OR(B134="",F134="Feito",D134=""),"",D134-Config!$B$5)</f>
        <v/>
      </c>
      <c r="J134" s="28">
        <f>IF(OR(B134="",F134="Feito"),0,IF(H134="Atrasada",3000+MIN(Config!$B$5-D134,60),IF(H134="Hoje",2500,IF(H134="Esta semana",2000-(D134-Config!$B$5),IF(H134="Sem prazo",500,1000-MIN(D134-Config!$B$5,900)))))+IF(E134="Alta",200,IF(E134="Média",100,0))-ROW()/100000)</f>
        <v>0</v>
      </c>
      <c r="K134" s="28">
        <f>IF(AND(B134&lt;&gt;"",A134=Config!$B$6),COUNTIFS($A$5:A134,Config!$B$6,$B$5:B134,"&lt;&gt;"),"")</f>
        <v/>
      </c>
    </row>
    <row r="135">
      <c r="A135" s="33" t="n"/>
      <c r="B135" s="31" t="n"/>
      <c r="C135" s="33" t="n"/>
      <c r="D135" s="34" t="n"/>
      <c r="E135" s="33" t="n"/>
      <c r="F135" s="33" t="n"/>
      <c r="G135" s="34" t="n"/>
      <c r="H135" s="21">
        <f>IF(B135="","",IF(F135="Feito","Feita",IF(D135="","Sem prazo",IF(D135&lt;Config!$B$5,"Atrasada",IF(D135=Config!$B$5,"Hoje",IF(D135-Config!$B$5&lt;=7,"Esta semana","No prazo"))))))</f>
        <v/>
      </c>
      <c r="I135" s="24">
        <f>IF(OR(B135="",F135="Feito",D135=""),"",D135-Config!$B$5)</f>
        <v/>
      </c>
      <c r="J135" s="28">
        <f>IF(OR(B135="",F135="Feito"),0,IF(H135="Atrasada",3000+MIN(Config!$B$5-D135,60),IF(H135="Hoje",2500,IF(H135="Esta semana",2000-(D135-Config!$B$5),IF(H135="Sem prazo",500,1000-MIN(D135-Config!$B$5,900)))))+IF(E135="Alta",200,IF(E135="Média",100,0))-ROW()/100000)</f>
        <v>0</v>
      </c>
      <c r="K135" s="28">
        <f>IF(AND(B135&lt;&gt;"",A135=Config!$B$6),COUNTIFS($A$5:A135,Config!$B$6,$B$5:B135,"&lt;&gt;"),"")</f>
        <v/>
      </c>
    </row>
    <row r="136">
      <c r="A136" s="33" t="n"/>
      <c r="B136" s="31" t="n"/>
      <c r="C136" s="33" t="n"/>
      <c r="D136" s="34" t="n"/>
      <c r="E136" s="33" t="n"/>
      <c r="F136" s="33" t="n"/>
      <c r="G136" s="34" t="n"/>
      <c r="H136" s="21">
        <f>IF(B136="","",IF(F136="Feito","Feita",IF(D136="","Sem prazo",IF(D136&lt;Config!$B$5,"Atrasada",IF(D136=Config!$B$5,"Hoje",IF(D136-Config!$B$5&lt;=7,"Esta semana","No prazo"))))))</f>
        <v/>
      </c>
      <c r="I136" s="24">
        <f>IF(OR(B136="",F136="Feito",D136=""),"",D136-Config!$B$5)</f>
        <v/>
      </c>
      <c r="J136" s="28">
        <f>IF(OR(B136="",F136="Feito"),0,IF(H136="Atrasada",3000+MIN(Config!$B$5-D136,60),IF(H136="Hoje",2500,IF(H136="Esta semana",2000-(D136-Config!$B$5),IF(H136="Sem prazo",500,1000-MIN(D136-Config!$B$5,900)))))+IF(E136="Alta",200,IF(E136="Média",100,0))-ROW()/100000)</f>
        <v>0</v>
      </c>
      <c r="K136" s="28">
        <f>IF(AND(B136&lt;&gt;"",A136=Config!$B$6),COUNTIFS($A$5:A136,Config!$B$6,$B$5:B136,"&lt;&gt;"),"")</f>
        <v/>
      </c>
    </row>
    <row r="137">
      <c r="A137" s="33" t="n"/>
      <c r="B137" s="31" t="n"/>
      <c r="C137" s="33" t="n"/>
      <c r="D137" s="34" t="n"/>
      <c r="E137" s="33" t="n"/>
      <c r="F137" s="33" t="n"/>
      <c r="G137" s="34" t="n"/>
      <c r="H137" s="21">
        <f>IF(B137="","",IF(F137="Feito","Feita",IF(D137="","Sem prazo",IF(D137&lt;Config!$B$5,"Atrasada",IF(D137=Config!$B$5,"Hoje",IF(D137-Config!$B$5&lt;=7,"Esta semana","No prazo"))))))</f>
        <v/>
      </c>
      <c r="I137" s="24">
        <f>IF(OR(B137="",F137="Feito",D137=""),"",D137-Config!$B$5)</f>
        <v/>
      </c>
      <c r="J137" s="28">
        <f>IF(OR(B137="",F137="Feito"),0,IF(H137="Atrasada",3000+MIN(Config!$B$5-D137,60),IF(H137="Hoje",2500,IF(H137="Esta semana",2000-(D137-Config!$B$5),IF(H137="Sem prazo",500,1000-MIN(D137-Config!$B$5,900)))))+IF(E137="Alta",200,IF(E137="Média",100,0))-ROW()/100000)</f>
        <v>0</v>
      </c>
      <c r="K137" s="28">
        <f>IF(AND(B137&lt;&gt;"",A137=Config!$B$6),COUNTIFS($A$5:A137,Config!$B$6,$B$5:B137,"&lt;&gt;"),"")</f>
        <v/>
      </c>
    </row>
    <row r="138">
      <c r="A138" s="33" t="n"/>
      <c r="B138" s="31" t="n"/>
      <c r="C138" s="33" t="n"/>
      <c r="D138" s="34" t="n"/>
      <c r="E138" s="33" t="n"/>
      <c r="F138" s="33" t="n"/>
      <c r="G138" s="34" t="n"/>
      <c r="H138" s="21">
        <f>IF(B138="","",IF(F138="Feito","Feita",IF(D138="","Sem prazo",IF(D138&lt;Config!$B$5,"Atrasada",IF(D138=Config!$B$5,"Hoje",IF(D138-Config!$B$5&lt;=7,"Esta semana","No prazo"))))))</f>
        <v/>
      </c>
      <c r="I138" s="24">
        <f>IF(OR(B138="",F138="Feito",D138=""),"",D138-Config!$B$5)</f>
        <v/>
      </c>
      <c r="J138" s="28">
        <f>IF(OR(B138="",F138="Feito"),0,IF(H138="Atrasada",3000+MIN(Config!$B$5-D138,60),IF(H138="Hoje",2500,IF(H138="Esta semana",2000-(D138-Config!$B$5),IF(H138="Sem prazo",500,1000-MIN(D138-Config!$B$5,900)))))+IF(E138="Alta",200,IF(E138="Média",100,0))-ROW()/100000)</f>
        <v>0</v>
      </c>
      <c r="K138" s="28">
        <f>IF(AND(B138&lt;&gt;"",A138=Config!$B$6),COUNTIFS($A$5:A138,Config!$B$6,$B$5:B138,"&lt;&gt;"),"")</f>
        <v/>
      </c>
    </row>
    <row r="139">
      <c r="A139" s="33" t="n"/>
      <c r="B139" s="31" t="n"/>
      <c r="C139" s="33" t="n"/>
      <c r="D139" s="34" t="n"/>
      <c r="E139" s="33" t="n"/>
      <c r="F139" s="33" t="n"/>
      <c r="G139" s="34" t="n"/>
      <c r="H139" s="21">
        <f>IF(B139="","",IF(F139="Feito","Feita",IF(D139="","Sem prazo",IF(D139&lt;Config!$B$5,"Atrasada",IF(D139=Config!$B$5,"Hoje",IF(D139-Config!$B$5&lt;=7,"Esta semana","No prazo"))))))</f>
        <v/>
      </c>
      <c r="I139" s="24">
        <f>IF(OR(B139="",F139="Feito",D139=""),"",D139-Config!$B$5)</f>
        <v/>
      </c>
      <c r="J139" s="28">
        <f>IF(OR(B139="",F139="Feito"),0,IF(H139="Atrasada",3000+MIN(Config!$B$5-D139,60),IF(H139="Hoje",2500,IF(H139="Esta semana",2000-(D139-Config!$B$5),IF(H139="Sem prazo",500,1000-MIN(D139-Config!$B$5,900)))))+IF(E139="Alta",200,IF(E139="Média",100,0))-ROW()/100000)</f>
        <v>0</v>
      </c>
      <c r="K139" s="28">
        <f>IF(AND(B139&lt;&gt;"",A139=Config!$B$6),COUNTIFS($A$5:A139,Config!$B$6,$B$5:B139,"&lt;&gt;"),"")</f>
        <v/>
      </c>
    </row>
    <row r="140">
      <c r="A140" s="33" t="n"/>
      <c r="B140" s="31" t="n"/>
      <c r="C140" s="33" t="n"/>
      <c r="D140" s="34" t="n"/>
      <c r="E140" s="33" t="n"/>
      <c r="F140" s="33" t="n"/>
      <c r="G140" s="34" t="n"/>
      <c r="H140" s="21">
        <f>IF(B140="","",IF(F140="Feito","Feita",IF(D140="","Sem prazo",IF(D140&lt;Config!$B$5,"Atrasada",IF(D140=Config!$B$5,"Hoje",IF(D140-Config!$B$5&lt;=7,"Esta semana","No prazo"))))))</f>
        <v/>
      </c>
      <c r="I140" s="24">
        <f>IF(OR(B140="",F140="Feito",D140=""),"",D140-Config!$B$5)</f>
        <v/>
      </c>
      <c r="J140" s="28">
        <f>IF(OR(B140="",F140="Feito"),0,IF(H140="Atrasada",3000+MIN(Config!$B$5-D140,60),IF(H140="Hoje",2500,IF(H140="Esta semana",2000-(D140-Config!$B$5),IF(H140="Sem prazo",500,1000-MIN(D140-Config!$B$5,900)))))+IF(E140="Alta",200,IF(E140="Média",100,0))-ROW()/100000)</f>
        <v>0</v>
      </c>
      <c r="K140" s="28">
        <f>IF(AND(B140&lt;&gt;"",A140=Config!$B$6),COUNTIFS($A$5:A140,Config!$B$6,$B$5:B140,"&lt;&gt;"),"")</f>
        <v/>
      </c>
    </row>
    <row r="141">
      <c r="A141" s="33" t="n"/>
      <c r="B141" s="31" t="n"/>
      <c r="C141" s="33" t="n"/>
      <c r="D141" s="34" t="n"/>
      <c r="E141" s="33" t="n"/>
      <c r="F141" s="33" t="n"/>
      <c r="G141" s="34" t="n"/>
      <c r="H141" s="21">
        <f>IF(B141="","",IF(F141="Feito","Feita",IF(D141="","Sem prazo",IF(D141&lt;Config!$B$5,"Atrasada",IF(D141=Config!$B$5,"Hoje",IF(D141-Config!$B$5&lt;=7,"Esta semana","No prazo"))))))</f>
        <v/>
      </c>
      <c r="I141" s="24">
        <f>IF(OR(B141="",F141="Feito",D141=""),"",D141-Config!$B$5)</f>
        <v/>
      </c>
      <c r="J141" s="28">
        <f>IF(OR(B141="",F141="Feito"),0,IF(H141="Atrasada",3000+MIN(Config!$B$5-D141,60),IF(H141="Hoje",2500,IF(H141="Esta semana",2000-(D141-Config!$B$5),IF(H141="Sem prazo",500,1000-MIN(D141-Config!$B$5,900)))))+IF(E141="Alta",200,IF(E141="Média",100,0))-ROW()/100000)</f>
        <v>0</v>
      </c>
      <c r="K141" s="28">
        <f>IF(AND(B141&lt;&gt;"",A141=Config!$B$6),COUNTIFS($A$5:A141,Config!$B$6,$B$5:B141,"&lt;&gt;"),"")</f>
        <v/>
      </c>
    </row>
    <row r="142">
      <c r="A142" s="33" t="n"/>
      <c r="B142" s="31" t="n"/>
      <c r="C142" s="33" t="n"/>
      <c r="D142" s="34" t="n"/>
      <c r="E142" s="33" t="n"/>
      <c r="F142" s="33" t="n"/>
      <c r="G142" s="34" t="n"/>
      <c r="H142" s="21">
        <f>IF(B142="","",IF(F142="Feito","Feita",IF(D142="","Sem prazo",IF(D142&lt;Config!$B$5,"Atrasada",IF(D142=Config!$B$5,"Hoje",IF(D142-Config!$B$5&lt;=7,"Esta semana","No prazo"))))))</f>
        <v/>
      </c>
      <c r="I142" s="24">
        <f>IF(OR(B142="",F142="Feito",D142=""),"",D142-Config!$B$5)</f>
        <v/>
      </c>
      <c r="J142" s="28">
        <f>IF(OR(B142="",F142="Feito"),0,IF(H142="Atrasada",3000+MIN(Config!$B$5-D142,60),IF(H142="Hoje",2500,IF(H142="Esta semana",2000-(D142-Config!$B$5),IF(H142="Sem prazo",500,1000-MIN(D142-Config!$B$5,900)))))+IF(E142="Alta",200,IF(E142="Média",100,0))-ROW()/100000)</f>
        <v>0</v>
      </c>
      <c r="K142" s="28">
        <f>IF(AND(B142&lt;&gt;"",A142=Config!$B$6),COUNTIFS($A$5:A142,Config!$B$6,$B$5:B142,"&lt;&gt;"),"")</f>
        <v/>
      </c>
    </row>
    <row r="143">
      <c r="A143" s="33" t="n"/>
      <c r="B143" s="31" t="n"/>
      <c r="C143" s="33" t="n"/>
      <c r="D143" s="34" t="n"/>
      <c r="E143" s="33" t="n"/>
      <c r="F143" s="33" t="n"/>
      <c r="G143" s="34" t="n"/>
      <c r="H143" s="21">
        <f>IF(B143="","",IF(F143="Feito","Feita",IF(D143="","Sem prazo",IF(D143&lt;Config!$B$5,"Atrasada",IF(D143=Config!$B$5,"Hoje",IF(D143-Config!$B$5&lt;=7,"Esta semana","No prazo"))))))</f>
        <v/>
      </c>
      <c r="I143" s="24">
        <f>IF(OR(B143="",F143="Feito",D143=""),"",D143-Config!$B$5)</f>
        <v/>
      </c>
      <c r="J143" s="28">
        <f>IF(OR(B143="",F143="Feito"),0,IF(H143="Atrasada",3000+MIN(Config!$B$5-D143,60),IF(H143="Hoje",2500,IF(H143="Esta semana",2000-(D143-Config!$B$5),IF(H143="Sem prazo",500,1000-MIN(D143-Config!$B$5,900)))))+IF(E143="Alta",200,IF(E143="Média",100,0))-ROW()/100000)</f>
        <v>0</v>
      </c>
      <c r="K143" s="28">
        <f>IF(AND(B143&lt;&gt;"",A143=Config!$B$6),COUNTIFS($A$5:A143,Config!$B$6,$B$5:B143,"&lt;&gt;"),"")</f>
        <v/>
      </c>
    </row>
    <row r="144">
      <c r="A144" s="33" t="n"/>
      <c r="B144" s="31" t="n"/>
      <c r="C144" s="33" t="n"/>
      <c r="D144" s="34" t="n"/>
      <c r="E144" s="33" t="n"/>
      <c r="F144" s="33" t="n"/>
      <c r="G144" s="34" t="n"/>
      <c r="H144" s="21">
        <f>IF(B144="","",IF(F144="Feito","Feita",IF(D144="","Sem prazo",IF(D144&lt;Config!$B$5,"Atrasada",IF(D144=Config!$B$5,"Hoje",IF(D144-Config!$B$5&lt;=7,"Esta semana","No prazo"))))))</f>
        <v/>
      </c>
      <c r="I144" s="24">
        <f>IF(OR(B144="",F144="Feito",D144=""),"",D144-Config!$B$5)</f>
        <v/>
      </c>
      <c r="J144" s="28">
        <f>IF(OR(B144="",F144="Feito"),0,IF(H144="Atrasada",3000+MIN(Config!$B$5-D144,60),IF(H144="Hoje",2500,IF(H144="Esta semana",2000-(D144-Config!$B$5),IF(H144="Sem prazo",500,1000-MIN(D144-Config!$B$5,900)))))+IF(E144="Alta",200,IF(E144="Média",100,0))-ROW()/100000)</f>
        <v>0</v>
      </c>
      <c r="K144" s="28">
        <f>IF(AND(B144&lt;&gt;"",A144=Config!$B$6),COUNTIFS($A$5:A144,Config!$B$6,$B$5:B144,"&lt;&gt;"),"")</f>
        <v/>
      </c>
    </row>
    <row r="145">
      <c r="A145" s="33" t="n"/>
      <c r="B145" s="31" t="n"/>
      <c r="C145" s="33" t="n"/>
      <c r="D145" s="34" t="n"/>
      <c r="E145" s="33" t="n"/>
      <c r="F145" s="33" t="n"/>
      <c r="G145" s="34" t="n"/>
      <c r="H145" s="21">
        <f>IF(B145="","",IF(F145="Feito","Feita",IF(D145="","Sem prazo",IF(D145&lt;Config!$B$5,"Atrasada",IF(D145=Config!$B$5,"Hoje",IF(D145-Config!$B$5&lt;=7,"Esta semana","No prazo"))))))</f>
        <v/>
      </c>
      <c r="I145" s="24">
        <f>IF(OR(B145="",F145="Feito",D145=""),"",D145-Config!$B$5)</f>
        <v/>
      </c>
      <c r="J145" s="28">
        <f>IF(OR(B145="",F145="Feito"),0,IF(H145="Atrasada",3000+MIN(Config!$B$5-D145,60),IF(H145="Hoje",2500,IF(H145="Esta semana",2000-(D145-Config!$B$5),IF(H145="Sem prazo",500,1000-MIN(D145-Config!$B$5,900)))))+IF(E145="Alta",200,IF(E145="Média",100,0))-ROW()/100000)</f>
        <v>0</v>
      </c>
      <c r="K145" s="28">
        <f>IF(AND(B145&lt;&gt;"",A145=Config!$B$6),COUNTIFS($A$5:A145,Config!$B$6,$B$5:B145,"&lt;&gt;"),"")</f>
        <v/>
      </c>
    </row>
    <row r="146">
      <c r="A146" s="33" t="n"/>
      <c r="B146" s="31" t="n"/>
      <c r="C146" s="33" t="n"/>
      <c r="D146" s="34" t="n"/>
      <c r="E146" s="33" t="n"/>
      <c r="F146" s="33" t="n"/>
      <c r="G146" s="34" t="n"/>
      <c r="H146" s="21">
        <f>IF(B146="","",IF(F146="Feito","Feita",IF(D146="","Sem prazo",IF(D146&lt;Config!$B$5,"Atrasada",IF(D146=Config!$B$5,"Hoje",IF(D146-Config!$B$5&lt;=7,"Esta semana","No prazo"))))))</f>
        <v/>
      </c>
      <c r="I146" s="24">
        <f>IF(OR(B146="",F146="Feito",D146=""),"",D146-Config!$B$5)</f>
        <v/>
      </c>
      <c r="J146" s="28">
        <f>IF(OR(B146="",F146="Feito"),0,IF(H146="Atrasada",3000+MIN(Config!$B$5-D146,60),IF(H146="Hoje",2500,IF(H146="Esta semana",2000-(D146-Config!$B$5),IF(H146="Sem prazo",500,1000-MIN(D146-Config!$B$5,900)))))+IF(E146="Alta",200,IF(E146="Média",100,0))-ROW()/100000)</f>
        <v>0</v>
      </c>
      <c r="K146" s="28">
        <f>IF(AND(B146&lt;&gt;"",A146=Config!$B$6),COUNTIFS($A$5:A146,Config!$B$6,$B$5:B146,"&lt;&gt;"),"")</f>
        <v/>
      </c>
    </row>
    <row r="147">
      <c r="A147" s="33" t="n"/>
      <c r="B147" s="31" t="n"/>
      <c r="C147" s="33" t="n"/>
      <c r="D147" s="34" t="n"/>
      <c r="E147" s="33" t="n"/>
      <c r="F147" s="33" t="n"/>
      <c r="G147" s="34" t="n"/>
      <c r="H147" s="21">
        <f>IF(B147="","",IF(F147="Feito","Feita",IF(D147="","Sem prazo",IF(D147&lt;Config!$B$5,"Atrasada",IF(D147=Config!$B$5,"Hoje",IF(D147-Config!$B$5&lt;=7,"Esta semana","No prazo"))))))</f>
        <v/>
      </c>
      <c r="I147" s="24">
        <f>IF(OR(B147="",F147="Feito",D147=""),"",D147-Config!$B$5)</f>
        <v/>
      </c>
      <c r="J147" s="28">
        <f>IF(OR(B147="",F147="Feito"),0,IF(H147="Atrasada",3000+MIN(Config!$B$5-D147,60),IF(H147="Hoje",2500,IF(H147="Esta semana",2000-(D147-Config!$B$5),IF(H147="Sem prazo",500,1000-MIN(D147-Config!$B$5,900)))))+IF(E147="Alta",200,IF(E147="Média",100,0))-ROW()/100000)</f>
        <v>0</v>
      </c>
      <c r="K147" s="28">
        <f>IF(AND(B147&lt;&gt;"",A147=Config!$B$6),COUNTIFS($A$5:A147,Config!$B$6,$B$5:B147,"&lt;&gt;"),"")</f>
        <v/>
      </c>
    </row>
    <row r="148">
      <c r="A148" s="33" t="n"/>
      <c r="B148" s="31" t="n"/>
      <c r="C148" s="33" t="n"/>
      <c r="D148" s="34" t="n"/>
      <c r="E148" s="33" t="n"/>
      <c r="F148" s="33" t="n"/>
      <c r="G148" s="34" t="n"/>
      <c r="H148" s="21">
        <f>IF(B148="","",IF(F148="Feito","Feita",IF(D148="","Sem prazo",IF(D148&lt;Config!$B$5,"Atrasada",IF(D148=Config!$B$5,"Hoje",IF(D148-Config!$B$5&lt;=7,"Esta semana","No prazo"))))))</f>
        <v/>
      </c>
      <c r="I148" s="24">
        <f>IF(OR(B148="",F148="Feito",D148=""),"",D148-Config!$B$5)</f>
        <v/>
      </c>
      <c r="J148" s="28">
        <f>IF(OR(B148="",F148="Feito"),0,IF(H148="Atrasada",3000+MIN(Config!$B$5-D148,60),IF(H148="Hoje",2500,IF(H148="Esta semana",2000-(D148-Config!$B$5),IF(H148="Sem prazo",500,1000-MIN(D148-Config!$B$5,900)))))+IF(E148="Alta",200,IF(E148="Média",100,0))-ROW()/100000)</f>
        <v>0</v>
      </c>
      <c r="K148" s="28">
        <f>IF(AND(B148&lt;&gt;"",A148=Config!$B$6),COUNTIFS($A$5:A148,Config!$B$6,$B$5:B148,"&lt;&gt;"),"")</f>
        <v/>
      </c>
    </row>
    <row r="149">
      <c r="A149" s="33" t="n"/>
      <c r="B149" s="31" t="n"/>
      <c r="C149" s="33" t="n"/>
      <c r="D149" s="34" t="n"/>
      <c r="E149" s="33" t="n"/>
      <c r="F149" s="33" t="n"/>
      <c r="G149" s="34" t="n"/>
      <c r="H149" s="21">
        <f>IF(B149="","",IF(F149="Feito","Feita",IF(D149="","Sem prazo",IF(D149&lt;Config!$B$5,"Atrasada",IF(D149=Config!$B$5,"Hoje",IF(D149-Config!$B$5&lt;=7,"Esta semana","No prazo"))))))</f>
        <v/>
      </c>
      <c r="I149" s="24">
        <f>IF(OR(B149="",F149="Feito",D149=""),"",D149-Config!$B$5)</f>
        <v/>
      </c>
      <c r="J149" s="28">
        <f>IF(OR(B149="",F149="Feito"),0,IF(H149="Atrasada",3000+MIN(Config!$B$5-D149,60),IF(H149="Hoje",2500,IF(H149="Esta semana",2000-(D149-Config!$B$5),IF(H149="Sem prazo",500,1000-MIN(D149-Config!$B$5,900)))))+IF(E149="Alta",200,IF(E149="Média",100,0))-ROW()/100000)</f>
        <v>0</v>
      </c>
      <c r="K149" s="28">
        <f>IF(AND(B149&lt;&gt;"",A149=Config!$B$6),COUNTIFS($A$5:A149,Config!$B$6,$B$5:B149,"&lt;&gt;"),"")</f>
        <v/>
      </c>
    </row>
    <row r="150">
      <c r="A150" s="33" t="n"/>
      <c r="B150" s="31" t="n"/>
      <c r="C150" s="33" t="n"/>
      <c r="D150" s="34" t="n"/>
      <c r="E150" s="33" t="n"/>
      <c r="F150" s="33" t="n"/>
      <c r="G150" s="34" t="n"/>
      <c r="H150" s="21">
        <f>IF(B150="","",IF(F150="Feito","Feita",IF(D150="","Sem prazo",IF(D150&lt;Config!$B$5,"Atrasada",IF(D150=Config!$B$5,"Hoje",IF(D150-Config!$B$5&lt;=7,"Esta semana","No prazo"))))))</f>
        <v/>
      </c>
      <c r="I150" s="24">
        <f>IF(OR(B150="",F150="Feito",D150=""),"",D150-Config!$B$5)</f>
        <v/>
      </c>
      <c r="J150" s="28">
        <f>IF(OR(B150="",F150="Feito"),0,IF(H150="Atrasada",3000+MIN(Config!$B$5-D150,60),IF(H150="Hoje",2500,IF(H150="Esta semana",2000-(D150-Config!$B$5),IF(H150="Sem prazo",500,1000-MIN(D150-Config!$B$5,900)))))+IF(E150="Alta",200,IF(E150="Média",100,0))-ROW()/100000)</f>
        <v>0</v>
      </c>
      <c r="K150" s="28">
        <f>IF(AND(B150&lt;&gt;"",A150=Config!$B$6),COUNTIFS($A$5:A150,Config!$B$6,$B$5:B150,"&lt;&gt;"),"")</f>
        <v/>
      </c>
    </row>
    <row r="151">
      <c r="A151" s="33" t="n"/>
      <c r="B151" s="31" t="n"/>
      <c r="C151" s="33" t="n"/>
      <c r="D151" s="34" t="n"/>
      <c r="E151" s="33" t="n"/>
      <c r="F151" s="33" t="n"/>
      <c r="G151" s="34" t="n"/>
      <c r="H151" s="21">
        <f>IF(B151="","",IF(F151="Feito","Feita",IF(D151="","Sem prazo",IF(D151&lt;Config!$B$5,"Atrasada",IF(D151=Config!$B$5,"Hoje",IF(D151-Config!$B$5&lt;=7,"Esta semana","No prazo"))))))</f>
        <v/>
      </c>
      <c r="I151" s="24">
        <f>IF(OR(B151="",F151="Feito",D151=""),"",D151-Config!$B$5)</f>
        <v/>
      </c>
      <c r="J151" s="28">
        <f>IF(OR(B151="",F151="Feito"),0,IF(H151="Atrasada",3000+MIN(Config!$B$5-D151,60),IF(H151="Hoje",2500,IF(H151="Esta semana",2000-(D151-Config!$B$5),IF(H151="Sem prazo",500,1000-MIN(D151-Config!$B$5,900)))))+IF(E151="Alta",200,IF(E151="Média",100,0))-ROW()/100000)</f>
        <v>0</v>
      </c>
      <c r="K151" s="28">
        <f>IF(AND(B151&lt;&gt;"",A151=Config!$B$6),COUNTIFS($A$5:A151,Config!$B$6,$B$5:B151,"&lt;&gt;"),"")</f>
        <v/>
      </c>
    </row>
    <row r="152">
      <c r="A152" s="33" t="n"/>
      <c r="B152" s="31" t="n"/>
      <c r="C152" s="33" t="n"/>
      <c r="D152" s="34" t="n"/>
      <c r="E152" s="33" t="n"/>
      <c r="F152" s="33" t="n"/>
      <c r="G152" s="34" t="n"/>
      <c r="H152" s="21">
        <f>IF(B152="","",IF(F152="Feito","Feita",IF(D152="","Sem prazo",IF(D152&lt;Config!$B$5,"Atrasada",IF(D152=Config!$B$5,"Hoje",IF(D152-Config!$B$5&lt;=7,"Esta semana","No prazo"))))))</f>
        <v/>
      </c>
      <c r="I152" s="24">
        <f>IF(OR(B152="",F152="Feito",D152=""),"",D152-Config!$B$5)</f>
        <v/>
      </c>
      <c r="J152" s="28">
        <f>IF(OR(B152="",F152="Feito"),0,IF(H152="Atrasada",3000+MIN(Config!$B$5-D152,60),IF(H152="Hoje",2500,IF(H152="Esta semana",2000-(D152-Config!$B$5),IF(H152="Sem prazo",500,1000-MIN(D152-Config!$B$5,900)))))+IF(E152="Alta",200,IF(E152="Média",100,0))-ROW()/100000)</f>
        <v>0</v>
      </c>
      <c r="K152" s="28">
        <f>IF(AND(B152&lt;&gt;"",A152=Config!$B$6),COUNTIFS($A$5:A152,Config!$B$6,$B$5:B152,"&lt;&gt;"),"")</f>
        <v/>
      </c>
    </row>
    <row r="153">
      <c r="A153" s="33" t="n"/>
      <c r="B153" s="31" t="n"/>
      <c r="C153" s="33" t="n"/>
      <c r="D153" s="34" t="n"/>
      <c r="E153" s="33" t="n"/>
      <c r="F153" s="33" t="n"/>
      <c r="G153" s="34" t="n"/>
      <c r="H153" s="21">
        <f>IF(B153="","",IF(F153="Feito","Feita",IF(D153="","Sem prazo",IF(D153&lt;Config!$B$5,"Atrasada",IF(D153=Config!$B$5,"Hoje",IF(D153-Config!$B$5&lt;=7,"Esta semana","No prazo"))))))</f>
        <v/>
      </c>
      <c r="I153" s="24">
        <f>IF(OR(B153="",F153="Feito",D153=""),"",D153-Config!$B$5)</f>
        <v/>
      </c>
      <c r="J153" s="28">
        <f>IF(OR(B153="",F153="Feito"),0,IF(H153="Atrasada",3000+MIN(Config!$B$5-D153,60),IF(H153="Hoje",2500,IF(H153="Esta semana",2000-(D153-Config!$B$5),IF(H153="Sem prazo",500,1000-MIN(D153-Config!$B$5,900)))))+IF(E153="Alta",200,IF(E153="Média",100,0))-ROW()/100000)</f>
        <v>0</v>
      </c>
      <c r="K153" s="28">
        <f>IF(AND(B153&lt;&gt;"",A153=Config!$B$6),COUNTIFS($A$5:A153,Config!$B$6,$B$5:B153,"&lt;&gt;"),"")</f>
        <v/>
      </c>
    </row>
    <row r="154">
      <c r="A154" s="33" t="n"/>
      <c r="B154" s="31" t="n"/>
      <c r="C154" s="33" t="n"/>
      <c r="D154" s="34" t="n"/>
      <c r="E154" s="33" t="n"/>
      <c r="F154" s="33" t="n"/>
      <c r="G154" s="34" t="n"/>
      <c r="H154" s="21">
        <f>IF(B154="","",IF(F154="Feito","Feita",IF(D154="","Sem prazo",IF(D154&lt;Config!$B$5,"Atrasada",IF(D154=Config!$B$5,"Hoje",IF(D154-Config!$B$5&lt;=7,"Esta semana","No prazo"))))))</f>
        <v/>
      </c>
      <c r="I154" s="24">
        <f>IF(OR(B154="",F154="Feito",D154=""),"",D154-Config!$B$5)</f>
        <v/>
      </c>
      <c r="J154" s="28">
        <f>IF(OR(B154="",F154="Feito"),0,IF(H154="Atrasada",3000+MIN(Config!$B$5-D154,60),IF(H154="Hoje",2500,IF(H154="Esta semana",2000-(D154-Config!$B$5),IF(H154="Sem prazo",500,1000-MIN(D154-Config!$B$5,900)))))+IF(E154="Alta",200,IF(E154="Média",100,0))-ROW()/100000)</f>
        <v>0</v>
      </c>
      <c r="K154" s="28">
        <f>IF(AND(B154&lt;&gt;"",A154=Config!$B$6),COUNTIFS($A$5:A154,Config!$B$6,$B$5:B154,"&lt;&gt;"),"")</f>
        <v/>
      </c>
    </row>
    <row r="155">
      <c r="A155" s="33" t="n"/>
      <c r="B155" s="31" t="n"/>
      <c r="C155" s="33" t="n"/>
      <c r="D155" s="34" t="n"/>
      <c r="E155" s="33" t="n"/>
      <c r="F155" s="33" t="n"/>
      <c r="G155" s="34" t="n"/>
      <c r="H155" s="21">
        <f>IF(B155="","",IF(F155="Feito","Feita",IF(D155="","Sem prazo",IF(D155&lt;Config!$B$5,"Atrasada",IF(D155=Config!$B$5,"Hoje",IF(D155-Config!$B$5&lt;=7,"Esta semana","No prazo"))))))</f>
        <v/>
      </c>
      <c r="I155" s="24">
        <f>IF(OR(B155="",F155="Feito",D155=""),"",D155-Config!$B$5)</f>
        <v/>
      </c>
      <c r="J155" s="28">
        <f>IF(OR(B155="",F155="Feito"),0,IF(H155="Atrasada",3000+MIN(Config!$B$5-D155,60),IF(H155="Hoje",2500,IF(H155="Esta semana",2000-(D155-Config!$B$5),IF(H155="Sem prazo",500,1000-MIN(D155-Config!$B$5,900)))))+IF(E155="Alta",200,IF(E155="Média",100,0))-ROW()/100000)</f>
        <v>0</v>
      </c>
      <c r="K155" s="28">
        <f>IF(AND(B155&lt;&gt;"",A155=Config!$B$6),COUNTIFS($A$5:A155,Config!$B$6,$B$5:B155,"&lt;&gt;"),"")</f>
        <v/>
      </c>
    </row>
    <row r="156">
      <c r="A156" s="33" t="n"/>
      <c r="B156" s="31" t="n"/>
      <c r="C156" s="33" t="n"/>
      <c r="D156" s="34" t="n"/>
      <c r="E156" s="33" t="n"/>
      <c r="F156" s="33" t="n"/>
      <c r="G156" s="34" t="n"/>
      <c r="H156" s="21">
        <f>IF(B156="","",IF(F156="Feito","Feita",IF(D156="","Sem prazo",IF(D156&lt;Config!$B$5,"Atrasada",IF(D156=Config!$B$5,"Hoje",IF(D156-Config!$B$5&lt;=7,"Esta semana","No prazo"))))))</f>
        <v/>
      </c>
      <c r="I156" s="24">
        <f>IF(OR(B156="",F156="Feito",D156=""),"",D156-Config!$B$5)</f>
        <v/>
      </c>
      <c r="J156" s="28">
        <f>IF(OR(B156="",F156="Feito"),0,IF(H156="Atrasada",3000+MIN(Config!$B$5-D156,60),IF(H156="Hoje",2500,IF(H156="Esta semana",2000-(D156-Config!$B$5),IF(H156="Sem prazo",500,1000-MIN(D156-Config!$B$5,900)))))+IF(E156="Alta",200,IF(E156="Média",100,0))-ROW()/100000)</f>
        <v>0</v>
      </c>
      <c r="K156" s="28">
        <f>IF(AND(B156&lt;&gt;"",A156=Config!$B$6),COUNTIFS($A$5:A156,Config!$B$6,$B$5:B156,"&lt;&gt;"),"")</f>
        <v/>
      </c>
    </row>
    <row r="157">
      <c r="A157" s="33" t="n"/>
      <c r="B157" s="31" t="n"/>
      <c r="C157" s="33" t="n"/>
      <c r="D157" s="34" t="n"/>
      <c r="E157" s="33" t="n"/>
      <c r="F157" s="33" t="n"/>
      <c r="G157" s="34" t="n"/>
      <c r="H157" s="21">
        <f>IF(B157="","",IF(F157="Feito","Feita",IF(D157="","Sem prazo",IF(D157&lt;Config!$B$5,"Atrasada",IF(D157=Config!$B$5,"Hoje",IF(D157-Config!$B$5&lt;=7,"Esta semana","No prazo"))))))</f>
        <v/>
      </c>
      <c r="I157" s="24">
        <f>IF(OR(B157="",F157="Feito",D157=""),"",D157-Config!$B$5)</f>
        <v/>
      </c>
      <c r="J157" s="28">
        <f>IF(OR(B157="",F157="Feito"),0,IF(H157="Atrasada",3000+MIN(Config!$B$5-D157,60),IF(H157="Hoje",2500,IF(H157="Esta semana",2000-(D157-Config!$B$5),IF(H157="Sem prazo",500,1000-MIN(D157-Config!$B$5,900)))))+IF(E157="Alta",200,IF(E157="Média",100,0))-ROW()/100000)</f>
        <v>0</v>
      </c>
      <c r="K157" s="28">
        <f>IF(AND(B157&lt;&gt;"",A157=Config!$B$6),COUNTIFS($A$5:A157,Config!$B$6,$B$5:B157,"&lt;&gt;"),"")</f>
        <v/>
      </c>
    </row>
    <row r="158">
      <c r="A158" s="33" t="n"/>
      <c r="B158" s="31" t="n"/>
      <c r="C158" s="33" t="n"/>
      <c r="D158" s="34" t="n"/>
      <c r="E158" s="33" t="n"/>
      <c r="F158" s="33" t="n"/>
      <c r="G158" s="34" t="n"/>
      <c r="H158" s="21">
        <f>IF(B158="","",IF(F158="Feito","Feita",IF(D158="","Sem prazo",IF(D158&lt;Config!$B$5,"Atrasada",IF(D158=Config!$B$5,"Hoje",IF(D158-Config!$B$5&lt;=7,"Esta semana","No prazo"))))))</f>
        <v/>
      </c>
      <c r="I158" s="24">
        <f>IF(OR(B158="",F158="Feito",D158=""),"",D158-Config!$B$5)</f>
        <v/>
      </c>
      <c r="J158" s="28">
        <f>IF(OR(B158="",F158="Feito"),0,IF(H158="Atrasada",3000+MIN(Config!$B$5-D158,60),IF(H158="Hoje",2500,IF(H158="Esta semana",2000-(D158-Config!$B$5),IF(H158="Sem prazo",500,1000-MIN(D158-Config!$B$5,900)))))+IF(E158="Alta",200,IF(E158="Média",100,0))-ROW()/100000)</f>
        <v>0</v>
      </c>
      <c r="K158" s="28">
        <f>IF(AND(B158&lt;&gt;"",A158=Config!$B$6),COUNTIFS($A$5:A158,Config!$B$6,$B$5:B158,"&lt;&gt;"),"")</f>
        <v/>
      </c>
    </row>
    <row r="159">
      <c r="A159" s="33" t="n"/>
      <c r="B159" s="31" t="n"/>
      <c r="C159" s="33" t="n"/>
      <c r="D159" s="34" t="n"/>
      <c r="E159" s="33" t="n"/>
      <c r="F159" s="33" t="n"/>
      <c r="G159" s="34" t="n"/>
      <c r="H159" s="21">
        <f>IF(B159="","",IF(F159="Feito","Feita",IF(D159="","Sem prazo",IF(D159&lt;Config!$B$5,"Atrasada",IF(D159=Config!$B$5,"Hoje",IF(D159-Config!$B$5&lt;=7,"Esta semana","No prazo"))))))</f>
        <v/>
      </c>
      <c r="I159" s="24">
        <f>IF(OR(B159="",F159="Feito",D159=""),"",D159-Config!$B$5)</f>
        <v/>
      </c>
      <c r="J159" s="28">
        <f>IF(OR(B159="",F159="Feito"),0,IF(H159="Atrasada",3000+MIN(Config!$B$5-D159,60),IF(H159="Hoje",2500,IF(H159="Esta semana",2000-(D159-Config!$B$5),IF(H159="Sem prazo",500,1000-MIN(D159-Config!$B$5,900)))))+IF(E159="Alta",200,IF(E159="Média",100,0))-ROW()/100000)</f>
        <v>0</v>
      </c>
      <c r="K159" s="28">
        <f>IF(AND(B159&lt;&gt;"",A159=Config!$B$6),COUNTIFS($A$5:A159,Config!$B$6,$B$5:B159,"&lt;&gt;"),"")</f>
        <v/>
      </c>
    </row>
    <row r="160">
      <c r="A160" s="33" t="n"/>
      <c r="B160" s="31" t="n"/>
      <c r="C160" s="33" t="n"/>
      <c r="D160" s="34" t="n"/>
      <c r="E160" s="33" t="n"/>
      <c r="F160" s="33" t="n"/>
      <c r="G160" s="34" t="n"/>
      <c r="H160" s="21">
        <f>IF(B160="","",IF(F160="Feito","Feita",IF(D160="","Sem prazo",IF(D160&lt;Config!$B$5,"Atrasada",IF(D160=Config!$B$5,"Hoje",IF(D160-Config!$B$5&lt;=7,"Esta semana","No prazo"))))))</f>
        <v/>
      </c>
      <c r="I160" s="24">
        <f>IF(OR(B160="",F160="Feito",D160=""),"",D160-Config!$B$5)</f>
        <v/>
      </c>
      <c r="J160" s="28">
        <f>IF(OR(B160="",F160="Feito"),0,IF(H160="Atrasada",3000+MIN(Config!$B$5-D160,60),IF(H160="Hoje",2500,IF(H160="Esta semana",2000-(D160-Config!$B$5),IF(H160="Sem prazo",500,1000-MIN(D160-Config!$B$5,900)))))+IF(E160="Alta",200,IF(E160="Média",100,0))-ROW()/100000)</f>
        <v>0</v>
      </c>
      <c r="K160" s="28">
        <f>IF(AND(B160&lt;&gt;"",A160=Config!$B$6),COUNTIFS($A$5:A160,Config!$B$6,$B$5:B160,"&lt;&gt;"),"")</f>
        <v/>
      </c>
    </row>
    <row r="161">
      <c r="A161" s="33" t="n"/>
      <c r="B161" s="31" t="n"/>
      <c r="C161" s="33" t="n"/>
      <c r="D161" s="34" t="n"/>
      <c r="E161" s="33" t="n"/>
      <c r="F161" s="33" t="n"/>
      <c r="G161" s="34" t="n"/>
      <c r="H161" s="21">
        <f>IF(B161="","",IF(F161="Feito","Feita",IF(D161="","Sem prazo",IF(D161&lt;Config!$B$5,"Atrasada",IF(D161=Config!$B$5,"Hoje",IF(D161-Config!$B$5&lt;=7,"Esta semana","No prazo"))))))</f>
        <v/>
      </c>
      <c r="I161" s="24">
        <f>IF(OR(B161="",F161="Feito",D161=""),"",D161-Config!$B$5)</f>
        <v/>
      </c>
      <c r="J161" s="28">
        <f>IF(OR(B161="",F161="Feito"),0,IF(H161="Atrasada",3000+MIN(Config!$B$5-D161,60),IF(H161="Hoje",2500,IF(H161="Esta semana",2000-(D161-Config!$B$5),IF(H161="Sem prazo",500,1000-MIN(D161-Config!$B$5,900)))))+IF(E161="Alta",200,IF(E161="Média",100,0))-ROW()/100000)</f>
        <v>0</v>
      </c>
      <c r="K161" s="28">
        <f>IF(AND(B161&lt;&gt;"",A161=Config!$B$6),COUNTIFS($A$5:A161,Config!$B$6,$B$5:B161,"&lt;&gt;"),"")</f>
        <v/>
      </c>
    </row>
    <row r="162">
      <c r="A162" s="33" t="n"/>
      <c r="B162" s="31" t="n"/>
      <c r="C162" s="33" t="n"/>
      <c r="D162" s="34" t="n"/>
      <c r="E162" s="33" t="n"/>
      <c r="F162" s="33" t="n"/>
      <c r="G162" s="34" t="n"/>
      <c r="H162" s="21">
        <f>IF(B162="","",IF(F162="Feito","Feita",IF(D162="","Sem prazo",IF(D162&lt;Config!$B$5,"Atrasada",IF(D162=Config!$B$5,"Hoje",IF(D162-Config!$B$5&lt;=7,"Esta semana","No prazo"))))))</f>
        <v/>
      </c>
      <c r="I162" s="24">
        <f>IF(OR(B162="",F162="Feito",D162=""),"",D162-Config!$B$5)</f>
        <v/>
      </c>
      <c r="J162" s="28">
        <f>IF(OR(B162="",F162="Feito"),0,IF(H162="Atrasada",3000+MIN(Config!$B$5-D162,60),IF(H162="Hoje",2500,IF(H162="Esta semana",2000-(D162-Config!$B$5),IF(H162="Sem prazo",500,1000-MIN(D162-Config!$B$5,900)))))+IF(E162="Alta",200,IF(E162="Média",100,0))-ROW()/100000)</f>
        <v>0</v>
      </c>
      <c r="K162" s="28">
        <f>IF(AND(B162&lt;&gt;"",A162=Config!$B$6),COUNTIFS($A$5:A162,Config!$B$6,$B$5:B162,"&lt;&gt;"),"")</f>
        <v/>
      </c>
    </row>
    <row r="163">
      <c r="A163" s="33" t="n"/>
      <c r="B163" s="31" t="n"/>
      <c r="C163" s="33" t="n"/>
      <c r="D163" s="34" t="n"/>
      <c r="E163" s="33" t="n"/>
      <c r="F163" s="33" t="n"/>
      <c r="G163" s="34" t="n"/>
      <c r="H163" s="21">
        <f>IF(B163="","",IF(F163="Feito","Feita",IF(D163="","Sem prazo",IF(D163&lt;Config!$B$5,"Atrasada",IF(D163=Config!$B$5,"Hoje",IF(D163-Config!$B$5&lt;=7,"Esta semana","No prazo"))))))</f>
        <v/>
      </c>
      <c r="I163" s="24">
        <f>IF(OR(B163="",F163="Feito",D163=""),"",D163-Config!$B$5)</f>
        <v/>
      </c>
      <c r="J163" s="28">
        <f>IF(OR(B163="",F163="Feito"),0,IF(H163="Atrasada",3000+MIN(Config!$B$5-D163,60),IF(H163="Hoje",2500,IF(H163="Esta semana",2000-(D163-Config!$B$5),IF(H163="Sem prazo",500,1000-MIN(D163-Config!$B$5,900)))))+IF(E163="Alta",200,IF(E163="Média",100,0))-ROW()/100000)</f>
        <v>0</v>
      </c>
      <c r="K163" s="28">
        <f>IF(AND(B163&lt;&gt;"",A163=Config!$B$6),COUNTIFS($A$5:A163,Config!$B$6,$B$5:B163,"&lt;&gt;"),"")</f>
        <v/>
      </c>
    </row>
    <row r="164">
      <c r="A164" s="33" t="n"/>
      <c r="B164" s="31" t="n"/>
      <c r="C164" s="33" t="n"/>
      <c r="D164" s="34" t="n"/>
      <c r="E164" s="33" t="n"/>
      <c r="F164" s="33" t="n"/>
      <c r="G164" s="34" t="n"/>
      <c r="H164" s="21">
        <f>IF(B164="","",IF(F164="Feito","Feita",IF(D164="","Sem prazo",IF(D164&lt;Config!$B$5,"Atrasada",IF(D164=Config!$B$5,"Hoje",IF(D164-Config!$B$5&lt;=7,"Esta semana","No prazo"))))))</f>
        <v/>
      </c>
      <c r="I164" s="24">
        <f>IF(OR(B164="",F164="Feito",D164=""),"",D164-Config!$B$5)</f>
        <v/>
      </c>
      <c r="J164" s="28">
        <f>IF(OR(B164="",F164="Feito"),0,IF(H164="Atrasada",3000+MIN(Config!$B$5-D164,60),IF(H164="Hoje",2500,IF(H164="Esta semana",2000-(D164-Config!$B$5),IF(H164="Sem prazo",500,1000-MIN(D164-Config!$B$5,900)))))+IF(E164="Alta",200,IF(E164="Média",100,0))-ROW()/100000)</f>
        <v>0</v>
      </c>
      <c r="K164" s="28">
        <f>IF(AND(B164&lt;&gt;"",A164=Config!$B$6),COUNTIFS($A$5:A164,Config!$B$6,$B$5:B164,"&lt;&gt;"),"")</f>
        <v/>
      </c>
    </row>
    <row r="165">
      <c r="A165" s="33" t="n"/>
      <c r="B165" s="31" t="n"/>
      <c r="C165" s="33" t="n"/>
      <c r="D165" s="34" t="n"/>
      <c r="E165" s="33" t="n"/>
      <c r="F165" s="33" t="n"/>
      <c r="G165" s="34" t="n"/>
      <c r="H165" s="21">
        <f>IF(B165="","",IF(F165="Feito","Feita",IF(D165="","Sem prazo",IF(D165&lt;Config!$B$5,"Atrasada",IF(D165=Config!$B$5,"Hoje",IF(D165-Config!$B$5&lt;=7,"Esta semana","No prazo"))))))</f>
        <v/>
      </c>
      <c r="I165" s="24">
        <f>IF(OR(B165="",F165="Feito",D165=""),"",D165-Config!$B$5)</f>
        <v/>
      </c>
      <c r="J165" s="28">
        <f>IF(OR(B165="",F165="Feito"),0,IF(H165="Atrasada",3000+MIN(Config!$B$5-D165,60),IF(H165="Hoje",2500,IF(H165="Esta semana",2000-(D165-Config!$B$5),IF(H165="Sem prazo",500,1000-MIN(D165-Config!$B$5,900)))))+IF(E165="Alta",200,IF(E165="Média",100,0))-ROW()/100000)</f>
        <v>0</v>
      </c>
      <c r="K165" s="28">
        <f>IF(AND(B165&lt;&gt;"",A165=Config!$B$6),COUNTIFS($A$5:A165,Config!$B$6,$B$5:B165,"&lt;&gt;"),"")</f>
        <v/>
      </c>
    </row>
    <row r="166">
      <c r="A166" s="33" t="n"/>
      <c r="B166" s="31" t="n"/>
      <c r="C166" s="33" t="n"/>
      <c r="D166" s="34" t="n"/>
      <c r="E166" s="33" t="n"/>
      <c r="F166" s="33" t="n"/>
      <c r="G166" s="34" t="n"/>
      <c r="H166" s="21">
        <f>IF(B166="","",IF(F166="Feito","Feita",IF(D166="","Sem prazo",IF(D166&lt;Config!$B$5,"Atrasada",IF(D166=Config!$B$5,"Hoje",IF(D166-Config!$B$5&lt;=7,"Esta semana","No prazo"))))))</f>
        <v/>
      </c>
      <c r="I166" s="24">
        <f>IF(OR(B166="",F166="Feito",D166=""),"",D166-Config!$B$5)</f>
        <v/>
      </c>
      <c r="J166" s="28">
        <f>IF(OR(B166="",F166="Feito"),0,IF(H166="Atrasada",3000+MIN(Config!$B$5-D166,60),IF(H166="Hoje",2500,IF(H166="Esta semana",2000-(D166-Config!$B$5),IF(H166="Sem prazo",500,1000-MIN(D166-Config!$B$5,900)))))+IF(E166="Alta",200,IF(E166="Média",100,0))-ROW()/100000)</f>
        <v>0</v>
      </c>
      <c r="K166" s="28">
        <f>IF(AND(B166&lt;&gt;"",A166=Config!$B$6),COUNTIFS($A$5:A166,Config!$B$6,$B$5:B166,"&lt;&gt;"),"")</f>
        <v/>
      </c>
    </row>
    <row r="167">
      <c r="A167" s="33" t="n"/>
      <c r="B167" s="31" t="n"/>
      <c r="C167" s="33" t="n"/>
      <c r="D167" s="34" t="n"/>
      <c r="E167" s="33" t="n"/>
      <c r="F167" s="33" t="n"/>
      <c r="G167" s="34" t="n"/>
      <c r="H167" s="21">
        <f>IF(B167="","",IF(F167="Feito","Feita",IF(D167="","Sem prazo",IF(D167&lt;Config!$B$5,"Atrasada",IF(D167=Config!$B$5,"Hoje",IF(D167-Config!$B$5&lt;=7,"Esta semana","No prazo"))))))</f>
        <v/>
      </c>
      <c r="I167" s="24">
        <f>IF(OR(B167="",F167="Feito",D167=""),"",D167-Config!$B$5)</f>
        <v/>
      </c>
      <c r="J167" s="28">
        <f>IF(OR(B167="",F167="Feito"),0,IF(H167="Atrasada",3000+MIN(Config!$B$5-D167,60),IF(H167="Hoje",2500,IF(H167="Esta semana",2000-(D167-Config!$B$5),IF(H167="Sem prazo",500,1000-MIN(D167-Config!$B$5,900)))))+IF(E167="Alta",200,IF(E167="Média",100,0))-ROW()/100000)</f>
        <v>0</v>
      </c>
      <c r="K167" s="28">
        <f>IF(AND(B167&lt;&gt;"",A167=Config!$B$6),COUNTIFS($A$5:A167,Config!$B$6,$B$5:B167,"&lt;&gt;"),"")</f>
        <v/>
      </c>
    </row>
    <row r="168">
      <c r="A168" s="33" t="n"/>
      <c r="B168" s="31" t="n"/>
      <c r="C168" s="33" t="n"/>
      <c r="D168" s="34" t="n"/>
      <c r="E168" s="33" t="n"/>
      <c r="F168" s="33" t="n"/>
      <c r="G168" s="34" t="n"/>
      <c r="H168" s="21">
        <f>IF(B168="","",IF(F168="Feito","Feita",IF(D168="","Sem prazo",IF(D168&lt;Config!$B$5,"Atrasada",IF(D168=Config!$B$5,"Hoje",IF(D168-Config!$B$5&lt;=7,"Esta semana","No prazo"))))))</f>
        <v/>
      </c>
      <c r="I168" s="24">
        <f>IF(OR(B168="",F168="Feito",D168=""),"",D168-Config!$B$5)</f>
        <v/>
      </c>
      <c r="J168" s="28">
        <f>IF(OR(B168="",F168="Feito"),0,IF(H168="Atrasada",3000+MIN(Config!$B$5-D168,60),IF(H168="Hoje",2500,IF(H168="Esta semana",2000-(D168-Config!$B$5),IF(H168="Sem prazo",500,1000-MIN(D168-Config!$B$5,900)))))+IF(E168="Alta",200,IF(E168="Média",100,0))-ROW()/100000)</f>
        <v>0</v>
      </c>
      <c r="K168" s="28">
        <f>IF(AND(B168&lt;&gt;"",A168=Config!$B$6),COUNTIFS($A$5:A168,Config!$B$6,$B$5:B168,"&lt;&gt;"),"")</f>
        <v/>
      </c>
    </row>
    <row r="169">
      <c r="A169" s="33" t="n"/>
      <c r="B169" s="31" t="n"/>
      <c r="C169" s="33" t="n"/>
      <c r="D169" s="34" t="n"/>
      <c r="E169" s="33" t="n"/>
      <c r="F169" s="33" t="n"/>
      <c r="G169" s="34" t="n"/>
      <c r="H169" s="21">
        <f>IF(B169="","",IF(F169="Feito","Feita",IF(D169="","Sem prazo",IF(D169&lt;Config!$B$5,"Atrasada",IF(D169=Config!$B$5,"Hoje",IF(D169-Config!$B$5&lt;=7,"Esta semana","No prazo"))))))</f>
        <v/>
      </c>
      <c r="I169" s="24">
        <f>IF(OR(B169="",F169="Feito",D169=""),"",D169-Config!$B$5)</f>
        <v/>
      </c>
      <c r="J169" s="28">
        <f>IF(OR(B169="",F169="Feito"),0,IF(H169="Atrasada",3000+MIN(Config!$B$5-D169,60),IF(H169="Hoje",2500,IF(H169="Esta semana",2000-(D169-Config!$B$5),IF(H169="Sem prazo",500,1000-MIN(D169-Config!$B$5,900)))))+IF(E169="Alta",200,IF(E169="Média",100,0))-ROW()/100000)</f>
        <v>0</v>
      </c>
      <c r="K169" s="28">
        <f>IF(AND(B169&lt;&gt;"",A169=Config!$B$6),COUNTIFS($A$5:A169,Config!$B$6,$B$5:B169,"&lt;&gt;"),"")</f>
        <v/>
      </c>
    </row>
    <row r="170">
      <c r="A170" s="33" t="n"/>
      <c r="B170" s="31" t="n"/>
      <c r="C170" s="33" t="n"/>
      <c r="D170" s="34" t="n"/>
      <c r="E170" s="33" t="n"/>
      <c r="F170" s="33" t="n"/>
      <c r="G170" s="34" t="n"/>
      <c r="H170" s="21">
        <f>IF(B170="","",IF(F170="Feito","Feita",IF(D170="","Sem prazo",IF(D170&lt;Config!$B$5,"Atrasada",IF(D170=Config!$B$5,"Hoje",IF(D170-Config!$B$5&lt;=7,"Esta semana","No prazo"))))))</f>
        <v/>
      </c>
      <c r="I170" s="24">
        <f>IF(OR(B170="",F170="Feito",D170=""),"",D170-Config!$B$5)</f>
        <v/>
      </c>
      <c r="J170" s="28">
        <f>IF(OR(B170="",F170="Feito"),0,IF(H170="Atrasada",3000+MIN(Config!$B$5-D170,60),IF(H170="Hoje",2500,IF(H170="Esta semana",2000-(D170-Config!$B$5),IF(H170="Sem prazo",500,1000-MIN(D170-Config!$B$5,900)))))+IF(E170="Alta",200,IF(E170="Média",100,0))-ROW()/100000)</f>
        <v>0</v>
      </c>
      <c r="K170" s="28">
        <f>IF(AND(B170&lt;&gt;"",A170=Config!$B$6),COUNTIFS($A$5:A170,Config!$B$6,$B$5:B170,"&lt;&gt;"),"")</f>
        <v/>
      </c>
    </row>
    <row r="171">
      <c r="A171" s="33" t="n"/>
      <c r="B171" s="31" t="n"/>
      <c r="C171" s="33" t="n"/>
      <c r="D171" s="34" t="n"/>
      <c r="E171" s="33" t="n"/>
      <c r="F171" s="33" t="n"/>
      <c r="G171" s="34" t="n"/>
      <c r="H171" s="21">
        <f>IF(B171="","",IF(F171="Feito","Feita",IF(D171="","Sem prazo",IF(D171&lt;Config!$B$5,"Atrasada",IF(D171=Config!$B$5,"Hoje",IF(D171-Config!$B$5&lt;=7,"Esta semana","No prazo"))))))</f>
        <v/>
      </c>
      <c r="I171" s="24">
        <f>IF(OR(B171="",F171="Feito",D171=""),"",D171-Config!$B$5)</f>
        <v/>
      </c>
      <c r="J171" s="28">
        <f>IF(OR(B171="",F171="Feito"),0,IF(H171="Atrasada",3000+MIN(Config!$B$5-D171,60),IF(H171="Hoje",2500,IF(H171="Esta semana",2000-(D171-Config!$B$5),IF(H171="Sem prazo",500,1000-MIN(D171-Config!$B$5,900)))))+IF(E171="Alta",200,IF(E171="Média",100,0))-ROW()/100000)</f>
        <v>0</v>
      </c>
      <c r="K171" s="28">
        <f>IF(AND(B171&lt;&gt;"",A171=Config!$B$6),COUNTIFS($A$5:A171,Config!$B$6,$B$5:B171,"&lt;&gt;"),"")</f>
        <v/>
      </c>
    </row>
    <row r="172">
      <c r="A172" s="33" t="n"/>
      <c r="B172" s="31" t="n"/>
      <c r="C172" s="33" t="n"/>
      <c r="D172" s="34" t="n"/>
      <c r="E172" s="33" t="n"/>
      <c r="F172" s="33" t="n"/>
      <c r="G172" s="34" t="n"/>
      <c r="H172" s="21">
        <f>IF(B172="","",IF(F172="Feito","Feita",IF(D172="","Sem prazo",IF(D172&lt;Config!$B$5,"Atrasada",IF(D172=Config!$B$5,"Hoje",IF(D172-Config!$B$5&lt;=7,"Esta semana","No prazo"))))))</f>
        <v/>
      </c>
      <c r="I172" s="24">
        <f>IF(OR(B172="",F172="Feito",D172=""),"",D172-Config!$B$5)</f>
        <v/>
      </c>
      <c r="J172" s="28">
        <f>IF(OR(B172="",F172="Feito"),0,IF(H172="Atrasada",3000+MIN(Config!$B$5-D172,60),IF(H172="Hoje",2500,IF(H172="Esta semana",2000-(D172-Config!$B$5),IF(H172="Sem prazo",500,1000-MIN(D172-Config!$B$5,900)))))+IF(E172="Alta",200,IF(E172="Média",100,0))-ROW()/100000)</f>
        <v>0</v>
      </c>
      <c r="K172" s="28">
        <f>IF(AND(B172&lt;&gt;"",A172=Config!$B$6),COUNTIFS($A$5:A172,Config!$B$6,$B$5:B172,"&lt;&gt;"),"")</f>
        <v/>
      </c>
    </row>
    <row r="173">
      <c r="A173" s="33" t="n"/>
      <c r="B173" s="31" t="n"/>
      <c r="C173" s="33" t="n"/>
      <c r="D173" s="34" t="n"/>
      <c r="E173" s="33" t="n"/>
      <c r="F173" s="33" t="n"/>
      <c r="G173" s="34" t="n"/>
      <c r="H173" s="21">
        <f>IF(B173="","",IF(F173="Feito","Feita",IF(D173="","Sem prazo",IF(D173&lt;Config!$B$5,"Atrasada",IF(D173=Config!$B$5,"Hoje",IF(D173-Config!$B$5&lt;=7,"Esta semana","No prazo"))))))</f>
        <v/>
      </c>
      <c r="I173" s="24">
        <f>IF(OR(B173="",F173="Feito",D173=""),"",D173-Config!$B$5)</f>
        <v/>
      </c>
      <c r="J173" s="28">
        <f>IF(OR(B173="",F173="Feito"),0,IF(H173="Atrasada",3000+MIN(Config!$B$5-D173,60),IF(H173="Hoje",2500,IF(H173="Esta semana",2000-(D173-Config!$B$5),IF(H173="Sem prazo",500,1000-MIN(D173-Config!$B$5,900)))))+IF(E173="Alta",200,IF(E173="Média",100,0))-ROW()/100000)</f>
        <v>0</v>
      </c>
      <c r="K173" s="28">
        <f>IF(AND(B173&lt;&gt;"",A173=Config!$B$6),COUNTIFS($A$5:A173,Config!$B$6,$B$5:B173,"&lt;&gt;"),"")</f>
        <v/>
      </c>
    </row>
    <row r="174">
      <c r="A174" s="33" t="n"/>
      <c r="B174" s="31" t="n"/>
      <c r="C174" s="33" t="n"/>
      <c r="D174" s="34" t="n"/>
      <c r="E174" s="33" t="n"/>
      <c r="F174" s="33" t="n"/>
      <c r="G174" s="34" t="n"/>
      <c r="H174" s="21">
        <f>IF(B174="","",IF(F174="Feito","Feita",IF(D174="","Sem prazo",IF(D174&lt;Config!$B$5,"Atrasada",IF(D174=Config!$B$5,"Hoje",IF(D174-Config!$B$5&lt;=7,"Esta semana","No prazo"))))))</f>
        <v/>
      </c>
      <c r="I174" s="24">
        <f>IF(OR(B174="",F174="Feito",D174=""),"",D174-Config!$B$5)</f>
        <v/>
      </c>
      <c r="J174" s="28">
        <f>IF(OR(B174="",F174="Feito"),0,IF(H174="Atrasada",3000+MIN(Config!$B$5-D174,60),IF(H174="Hoje",2500,IF(H174="Esta semana",2000-(D174-Config!$B$5),IF(H174="Sem prazo",500,1000-MIN(D174-Config!$B$5,900)))))+IF(E174="Alta",200,IF(E174="Média",100,0))-ROW()/100000)</f>
        <v>0</v>
      </c>
      <c r="K174" s="28">
        <f>IF(AND(B174&lt;&gt;"",A174=Config!$B$6),COUNTIFS($A$5:A174,Config!$B$6,$B$5:B174,"&lt;&gt;"),"")</f>
        <v/>
      </c>
    </row>
    <row r="175">
      <c r="A175" s="33" t="n"/>
      <c r="B175" s="31" t="n"/>
      <c r="C175" s="33" t="n"/>
      <c r="D175" s="34" t="n"/>
      <c r="E175" s="33" t="n"/>
      <c r="F175" s="33" t="n"/>
      <c r="G175" s="34" t="n"/>
      <c r="H175" s="21">
        <f>IF(B175="","",IF(F175="Feito","Feita",IF(D175="","Sem prazo",IF(D175&lt;Config!$B$5,"Atrasada",IF(D175=Config!$B$5,"Hoje",IF(D175-Config!$B$5&lt;=7,"Esta semana","No prazo"))))))</f>
        <v/>
      </c>
      <c r="I175" s="24">
        <f>IF(OR(B175="",F175="Feito",D175=""),"",D175-Config!$B$5)</f>
        <v/>
      </c>
      <c r="J175" s="28">
        <f>IF(OR(B175="",F175="Feito"),0,IF(H175="Atrasada",3000+MIN(Config!$B$5-D175,60),IF(H175="Hoje",2500,IF(H175="Esta semana",2000-(D175-Config!$B$5),IF(H175="Sem prazo",500,1000-MIN(D175-Config!$B$5,900)))))+IF(E175="Alta",200,IF(E175="Média",100,0))-ROW()/100000)</f>
        <v>0</v>
      </c>
      <c r="K175" s="28">
        <f>IF(AND(B175&lt;&gt;"",A175=Config!$B$6),COUNTIFS($A$5:A175,Config!$B$6,$B$5:B175,"&lt;&gt;"),"")</f>
        <v/>
      </c>
    </row>
    <row r="176">
      <c r="A176" s="33" t="n"/>
      <c r="B176" s="31" t="n"/>
      <c r="C176" s="33" t="n"/>
      <c r="D176" s="34" t="n"/>
      <c r="E176" s="33" t="n"/>
      <c r="F176" s="33" t="n"/>
      <c r="G176" s="34" t="n"/>
      <c r="H176" s="21">
        <f>IF(B176="","",IF(F176="Feito","Feita",IF(D176="","Sem prazo",IF(D176&lt;Config!$B$5,"Atrasada",IF(D176=Config!$B$5,"Hoje",IF(D176-Config!$B$5&lt;=7,"Esta semana","No prazo"))))))</f>
        <v/>
      </c>
      <c r="I176" s="24">
        <f>IF(OR(B176="",F176="Feito",D176=""),"",D176-Config!$B$5)</f>
        <v/>
      </c>
      <c r="J176" s="28">
        <f>IF(OR(B176="",F176="Feito"),0,IF(H176="Atrasada",3000+MIN(Config!$B$5-D176,60),IF(H176="Hoje",2500,IF(H176="Esta semana",2000-(D176-Config!$B$5),IF(H176="Sem prazo",500,1000-MIN(D176-Config!$B$5,900)))))+IF(E176="Alta",200,IF(E176="Média",100,0))-ROW()/100000)</f>
        <v>0</v>
      </c>
      <c r="K176" s="28">
        <f>IF(AND(B176&lt;&gt;"",A176=Config!$B$6),COUNTIFS($A$5:A176,Config!$B$6,$B$5:B176,"&lt;&gt;"),"")</f>
        <v/>
      </c>
    </row>
    <row r="177">
      <c r="A177" s="33" t="n"/>
      <c r="B177" s="31" t="n"/>
      <c r="C177" s="33" t="n"/>
      <c r="D177" s="34" t="n"/>
      <c r="E177" s="33" t="n"/>
      <c r="F177" s="33" t="n"/>
      <c r="G177" s="34" t="n"/>
      <c r="H177" s="21">
        <f>IF(B177="","",IF(F177="Feito","Feita",IF(D177="","Sem prazo",IF(D177&lt;Config!$B$5,"Atrasada",IF(D177=Config!$B$5,"Hoje",IF(D177-Config!$B$5&lt;=7,"Esta semana","No prazo"))))))</f>
        <v/>
      </c>
      <c r="I177" s="24">
        <f>IF(OR(B177="",F177="Feito",D177=""),"",D177-Config!$B$5)</f>
        <v/>
      </c>
      <c r="J177" s="28">
        <f>IF(OR(B177="",F177="Feito"),0,IF(H177="Atrasada",3000+MIN(Config!$B$5-D177,60),IF(H177="Hoje",2500,IF(H177="Esta semana",2000-(D177-Config!$B$5),IF(H177="Sem prazo",500,1000-MIN(D177-Config!$B$5,900)))))+IF(E177="Alta",200,IF(E177="Média",100,0))-ROW()/100000)</f>
        <v>0</v>
      </c>
      <c r="K177" s="28">
        <f>IF(AND(B177&lt;&gt;"",A177=Config!$B$6),COUNTIFS($A$5:A177,Config!$B$6,$B$5:B177,"&lt;&gt;"),"")</f>
        <v/>
      </c>
    </row>
    <row r="178">
      <c r="A178" s="33" t="n"/>
      <c r="B178" s="31" t="n"/>
      <c r="C178" s="33" t="n"/>
      <c r="D178" s="34" t="n"/>
      <c r="E178" s="33" t="n"/>
      <c r="F178" s="33" t="n"/>
      <c r="G178" s="34" t="n"/>
      <c r="H178" s="21">
        <f>IF(B178="","",IF(F178="Feito","Feita",IF(D178="","Sem prazo",IF(D178&lt;Config!$B$5,"Atrasada",IF(D178=Config!$B$5,"Hoje",IF(D178-Config!$B$5&lt;=7,"Esta semana","No prazo"))))))</f>
        <v/>
      </c>
      <c r="I178" s="24">
        <f>IF(OR(B178="",F178="Feito",D178=""),"",D178-Config!$B$5)</f>
        <v/>
      </c>
      <c r="J178" s="28">
        <f>IF(OR(B178="",F178="Feito"),0,IF(H178="Atrasada",3000+MIN(Config!$B$5-D178,60),IF(H178="Hoje",2500,IF(H178="Esta semana",2000-(D178-Config!$B$5),IF(H178="Sem prazo",500,1000-MIN(D178-Config!$B$5,900)))))+IF(E178="Alta",200,IF(E178="Média",100,0))-ROW()/100000)</f>
        <v>0</v>
      </c>
      <c r="K178" s="28">
        <f>IF(AND(B178&lt;&gt;"",A178=Config!$B$6),COUNTIFS($A$5:A178,Config!$B$6,$B$5:B178,"&lt;&gt;"),"")</f>
        <v/>
      </c>
    </row>
    <row r="179">
      <c r="A179" s="33" t="n"/>
      <c r="B179" s="31" t="n"/>
      <c r="C179" s="33" t="n"/>
      <c r="D179" s="34" t="n"/>
      <c r="E179" s="33" t="n"/>
      <c r="F179" s="33" t="n"/>
      <c r="G179" s="34" t="n"/>
      <c r="H179" s="21">
        <f>IF(B179="","",IF(F179="Feito","Feita",IF(D179="","Sem prazo",IF(D179&lt;Config!$B$5,"Atrasada",IF(D179=Config!$B$5,"Hoje",IF(D179-Config!$B$5&lt;=7,"Esta semana","No prazo"))))))</f>
        <v/>
      </c>
      <c r="I179" s="24">
        <f>IF(OR(B179="",F179="Feito",D179=""),"",D179-Config!$B$5)</f>
        <v/>
      </c>
      <c r="J179" s="28">
        <f>IF(OR(B179="",F179="Feito"),0,IF(H179="Atrasada",3000+MIN(Config!$B$5-D179,60),IF(H179="Hoje",2500,IF(H179="Esta semana",2000-(D179-Config!$B$5),IF(H179="Sem prazo",500,1000-MIN(D179-Config!$B$5,900)))))+IF(E179="Alta",200,IF(E179="Média",100,0))-ROW()/100000)</f>
        <v>0</v>
      </c>
      <c r="K179" s="28">
        <f>IF(AND(B179&lt;&gt;"",A179=Config!$B$6),COUNTIFS($A$5:A179,Config!$B$6,$B$5:B179,"&lt;&gt;"),"")</f>
        <v/>
      </c>
    </row>
    <row r="180">
      <c r="A180" s="33" t="n"/>
      <c r="B180" s="31" t="n"/>
      <c r="C180" s="33" t="n"/>
      <c r="D180" s="34" t="n"/>
      <c r="E180" s="33" t="n"/>
      <c r="F180" s="33" t="n"/>
      <c r="G180" s="34" t="n"/>
      <c r="H180" s="21">
        <f>IF(B180="","",IF(F180="Feito","Feita",IF(D180="","Sem prazo",IF(D180&lt;Config!$B$5,"Atrasada",IF(D180=Config!$B$5,"Hoje",IF(D180-Config!$B$5&lt;=7,"Esta semana","No prazo"))))))</f>
        <v/>
      </c>
      <c r="I180" s="24">
        <f>IF(OR(B180="",F180="Feito",D180=""),"",D180-Config!$B$5)</f>
        <v/>
      </c>
      <c r="J180" s="28">
        <f>IF(OR(B180="",F180="Feito"),0,IF(H180="Atrasada",3000+MIN(Config!$B$5-D180,60),IF(H180="Hoje",2500,IF(H180="Esta semana",2000-(D180-Config!$B$5),IF(H180="Sem prazo",500,1000-MIN(D180-Config!$B$5,900)))))+IF(E180="Alta",200,IF(E180="Média",100,0))-ROW()/100000)</f>
        <v>0</v>
      </c>
      <c r="K180" s="28">
        <f>IF(AND(B180&lt;&gt;"",A180=Config!$B$6),COUNTIFS($A$5:A180,Config!$B$6,$B$5:B180,"&lt;&gt;"),"")</f>
        <v/>
      </c>
    </row>
    <row r="181">
      <c r="A181" s="33" t="n"/>
      <c r="B181" s="31" t="n"/>
      <c r="C181" s="33" t="n"/>
      <c r="D181" s="34" t="n"/>
      <c r="E181" s="33" t="n"/>
      <c r="F181" s="33" t="n"/>
      <c r="G181" s="34" t="n"/>
      <c r="H181" s="21">
        <f>IF(B181="","",IF(F181="Feito","Feita",IF(D181="","Sem prazo",IF(D181&lt;Config!$B$5,"Atrasada",IF(D181=Config!$B$5,"Hoje",IF(D181-Config!$B$5&lt;=7,"Esta semana","No prazo"))))))</f>
        <v/>
      </c>
      <c r="I181" s="24">
        <f>IF(OR(B181="",F181="Feito",D181=""),"",D181-Config!$B$5)</f>
        <v/>
      </c>
      <c r="J181" s="28">
        <f>IF(OR(B181="",F181="Feito"),0,IF(H181="Atrasada",3000+MIN(Config!$B$5-D181,60),IF(H181="Hoje",2500,IF(H181="Esta semana",2000-(D181-Config!$B$5),IF(H181="Sem prazo",500,1000-MIN(D181-Config!$B$5,900)))))+IF(E181="Alta",200,IF(E181="Média",100,0))-ROW()/100000)</f>
        <v>0</v>
      </c>
      <c r="K181" s="28">
        <f>IF(AND(B181&lt;&gt;"",A181=Config!$B$6),COUNTIFS($A$5:A181,Config!$B$6,$B$5:B181,"&lt;&gt;"),"")</f>
        <v/>
      </c>
    </row>
    <row r="182">
      <c r="A182" s="33" t="n"/>
      <c r="B182" s="31" t="n"/>
      <c r="C182" s="33" t="n"/>
      <c r="D182" s="34" t="n"/>
      <c r="E182" s="33" t="n"/>
      <c r="F182" s="33" t="n"/>
      <c r="G182" s="34" t="n"/>
      <c r="H182" s="21">
        <f>IF(B182="","",IF(F182="Feito","Feita",IF(D182="","Sem prazo",IF(D182&lt;Config!$B$5,"Atrasada",IF(D182=Config!$B$5,"Hoje",IF(D182-Config!$B$5&lt;=7,"Esta semana","No prazo"))))))</f>
        <v/>
      </c>
      <c r="I182" s="24">
        <f>IF(OR(B182="",F182="Feito",D182=""),"",D182-Config!$B$5)</f>
        <v/>
      </c>
      <c r="J182" s="28">
        <f>IF(OR(B182="",F182="Feito"),0,IF(H182="Atrasada",3000+MIN(Config!$B$5-D182,60),IF(H182="Hoje",2500,IF(H182="Esta semana",2000-(D182-Config!$B$5),IF(H182="Sem prazo",500,1000-MIN(D182-Config!$B$5,900)))))+IF(E182="Alta",200,IF(E182="Média",100,0))-ROW()/100000)</f>
        <v>0</v>
      </c>
      <c r="K182" s="28">
        <f>IF(AND(B182&lt;&gt;"",A182=Config!$B$6),COUNTIFS($A$5:A182,Config!$B$6,$B$5:B182,"&lt;&gt;"),"")</f>
        <v/>
      </c>
    </row>
    <row r="183">
      <c r="A183" s="33" t="n"/>
      <c r="B183" s="31" t="n"/>
      <c r="C183" s="33" t="n"/>
      <c r="D183" s="34" t="n"/>
      <c r="E183" s="33" t="n"/>
      <c r="F183" s="33" t="n"/>
      <c r="G183" s="34" t="n"/>
      <c r="H183" s="21">
        <f>IF(B183="","",IF(F183="Feito","Feita",IF(D183="","Sem prazo",IF(D183&lt;Config!$B$5,"Atrasada",IF(D183=Config!$B$5,"Hoje",IF(D183-Config!$B$5&lt;=7,"Esta semana","No prazo"))))))</f>
        <v/>
      </c>
      <c r="I183" s="24">
        <f>IF(OR(B183="",F183="Feito",D183=""),"",D183-Config!$B$5)</f>
        <v/>
      </c>
      <c r="J183" s="28">
        <f>IF(OR(B183="",F183="Feito"),0,IF(H183="Atrasada",3000+MIN(Config!$B$5-D183,60),IF(H183="Hoje",2500,IF(H183="Esta semana",2000-(D183-Config!$B$5),IF(H183="Sem prazo",500,1000-MIN(D183-Config!$B$5,900)))))+IF(E183="Alta",200,IF(E183="Média",100,0))-ROW()/100000)</f>
        <v>0</v>
      </c>
      <c r="K183" s="28">
        <f>IF(AND(B183&lt;&gt;"",A183=Config!$B$6),COUNTIFS($A$5:A183,Config!$B$6,$B$5:B183,"&lt;&gt;"),"")</f>
        <v/>
      </c>
    </row>
    <row r="184">
      <c r="A184" s="33" t="n"/>
      <c r="B184" s="31" t="n"/>
      <c r="C184" s="33" t="n"/>
      <c r="D184" s="34" t="n"/>
      <c r="E184" s="33" t="n"/>
      <c r="F184" s="33" t="n"/>
      <c r="G184" s="34" t="n"/>
      <c r="H184" s="21">
        <f>IF(B184="","",IF(F184="Feito","Feita",IF(D184="","Sem prazo",IF(D184&lt;Config!$B$5,"Atrasada",IF(D184=Config!$B$5,"Hoje",IF(D184-Config!$B$5&lt;=7,"Esta semana","No prazo"))))))</f>
        <v/>
      </c>
      <c r="I184" s="24">
        <f>IF(OR(B184="",F184="Feito",D184=""),"",D184-Config!$B$5)</f>
        <v/>
      </c>
      <c r="J184" s="28">
        <f>IF(OR(B184="",F184="Feito"),0,IF(H184="Atrasada",3000+MIN(Config!$B$5-D184,60),IF(H184="Hoje",2500,IF(H184="Esta semana",2000-(D184-Config!$B$5),IF(H184="Sem prazo",500,1000-MIN(D184-Config!$B$5,900)))))+IF(E184="Alta",200,IF(E184="Média",100,0))-ROW()/100000)</f>
        <v>0</v>
      </c>
      <c r="K184" s="28">
        <f>IF(AND(B184&lt;&gt;"",A184=Config!$B$6),COUNTIFS($A$5:A184,Config!$B$6,$B$5:B184,"&lt;&gt;"),"")</f>
        <v/>
      </c>
    </row>
    <row r="185">
      <c r="A185" s="33" t="n"/>
      <c r="B185" s="31" t="n"/>
      <c r="C185" s="33" t="n"/>
      <c r="D185" s="34" t="n"/>
      <c r="E185" s="33" t="n"/>
      <c r="F185" s="33" t="n"/>
      <c r="G185" s="34" t="n"/>
      <c r="H185" s="21">
        <f>IF(B185="","",IF(F185="Feito","Feita",IF(D185="","Sem prazo",IF(D185&lt;Config!$B$5,"Atrasada",IF(D185=Config!$B$5,"Hoje",IF(D185-Config!$B$5&lt;=7,"Esta semana","No prazo"))))))</f>
        <v/>
      </c>
      <c r="I185" s="24">
        <f>IF(OR(B185="",F185="Feito",D185=""),"",D185-Config!$B$5)</f>
        <v/>
      </c>
      <c r="J185" s="28">
        <f>IF(OR(B185="",F185="Feito"),0,IF(H185="Atrasada",3000+MIN(Config!$B$5-D185,60),IF(H185="Hoje",2500,IF(H185="Esta semana",2000-(D185-Config!$B$5),IF(H185="Sem prazo",500,1000-MIN(D185-Config!$B$5,900)))))+IF(E185="Alta",200,IF(E185="Média",100,0))-ROW()/100000)</f>
        <v>0</v>
      </c>
      <c r="K185" s="28">
        <f>IF(AND(B185&lt;&gt;"",A185=Config!$B$6),COUNTIFS($A$5:A185,Config!$B$6,$B$5:B185,"&lt;&gt;"),"")</f>
        <v/>
      </c>
    </row>
    <row r="186">
      <c r="A186" s="33" t="n"/>
      <c r="B186" s="31" t="n"/>
      <c r="C186" s="33" t="n"/>
      <c r="D186" s="34" t="n"/>
      <c r="E186" s="33" t="n"/>
      <c r="F186" s="33" t="n"/>
      <c r="G186" s="34" t="n"/>
      <c r="H186" s="21">
        <f>IF(B186="","",IF(F186="Feito","Feita",IF(D186="","Sem prazo",IF(D186&lt;Config!$B$5,"Atrasada",IF(D186=Config!$B$5,"Hoje",IF(D186-Config!$B$5&lt;=7,"Esta semana","No prazo"))))))</f>
        <v/>
      </c>
      <c r="I186" s="24">
        <f>IF(OR(B186="",F186="Feito",D186=""),"",D186-Config!$B$5)</f>
        <v/>
      </c>
      <c r="J186" s="28">
        <f>IF(OR(B186="",F186="Feito"),0,IF(H186="Atrasada",3000+MIN(Config!$B$5-D186,60),IF(H186="Hoje",2500,IF(H186="Esta semana",2000-(D186-Config!$B$5),IF(H186="Sem prazo",500,1000-MIN(D186-Config!$B$5,900)))))+IF(E186="Alta",200,IF(E186="Média",100,0))-ROW()/100000)</f>
        <v>0</v>
      </c>
      <c r="K186" s="28">
        <f>IF(AND(B186&lt;&gt;"",A186=Config!$B$6),COUNTIFS($A$5:A186,Config!$B$6,$B$5:B186,"&lt;&gt;"),"")</f>
        <v/>
      </c>
    </row>
    <row r="187">
      <c r="A187" s="33" t="n"/>
      <c r="B187" s="31" t="n"/>
      <c r="C187" s="33" t="n"/>
      <c r="D187" s="34" t="n"/>
      <c r="E187" s="33" t="n"/>
      <c r="F187" s="33" t="n"/>
      <c r="G187" s="34" t="n"/>
      <c r="H187" s="21">
        <f>IF(B187="","",IF(F187="Feito","Feita",IF(D187="","Sem prazo",IF(D187&lt;Config!$B$5,"Atrasada",IF(D187=Config!$B$5,"Hoje",IF(D187-Config!$B$5&lt;=7,"Esta semana","No prazo"))))))</f>
        <v/>
      </c>
      <c r="I187" s="24">
        <f>IF(OR(B187="",F187="Feito",D187=""),"",D187-Config!$B$5)</f>
        <v/>
      </c>
      <c r="J187" s="28">
        <f>IF(OR(B187="",F187="Feito"),0,IF(H187="Atrasada",3000+MIN(Config!$B$5-D187,60),IF(H187="Hoje",2500,IF(H187="Esta semana",2000-(D187-Config!$B$5),IF(H187="Sem prazo",500,1000-MIN(D187-Config!$B$5,900)))))+IF(E187="Alta",200,IF(E187="Média",100,0))-ROW()/100000)</f>
        <v>0</v>
      </c>
      <c r="K187" s="28">
        <f>IF(AND(B187&lt;&gt;"",A187=Config!$B$6),COUNTIFS($A$5:A187,Config!$B$6,$B$5:B187,"&lt;&gt;"),"")</f>
        <v/>
      </c>
    </row>
    <row r="188">
      <c r="A188" s="33" t="n"/>
      <c r="B188" s="31" t="n"/>
      <c r="C188" s="33" t="n"/>
      <c r="D188" s="34" t="n"/>
      <c r="E188" s="33" t="n"/>
      <c r="F188" s="33" t="n"/>
      <c r="G188" s="34" t="n"/>
      <c r="H188" s="21">
        <f>IF(B188="","",IF(F188="Feito","Feita",IF(D188="","Sem prazo",IF(D188&lt;Config!$B$5,"Atrasada",IF(D188=Config!$B$5,"Hoje",IF(D188-Config!$B$5&lt;=7,"Esta semana","No prazo"))))))</f>
        <v/>
      </c>
      <c r="I188" s="24">
        <f>IF(OR(B188="",F188="Feito",D188=""),"",D188-Config!$B$5)</f>
        <v/>
      </c>
      <c r="J188" s="28">
        <f>IF(OR(B188="",F188="Feito"),0,IF(H188="Atrasada",3000+MIN(Config!$B$5-D188,60),IF(H188="Hoje",2500,IF(H188="Esta semana",2000-(D188-Config!$B$5),IF(H188="Sem prazo",500,1000-MIN(D188-Config!$B$5,900)))))+IF(E188="Alta",200,IF(E188="Média",100,0))-ROW()/100000)</f>
        <v>0</v>
      </c>
      <c r="K188" s="28">
        <f>IF(AND(B188&lt;&gt;"",A188=Config!$B$6),COUNTIFS($A$5:A188,Config!$B$6,$B$5:B188,"&lt;&gt;"),"")</f>
        <v/>
      </c>
    </row>
    <row r="189">
      <c r="A189" s="33" t="n"/>
      <c r="B189" s="31" t="n"/>
      <c r="C189" s="33" t="n"/>
      <c r="D189" s="34" t="n"/>
      <c r="E189" s="33" t="n"/>
      <c r="F189" s="33" t="n"/>
      <c r="G189" s="34" t="n"/>
      <c r="H189" s="21">
        <f>IF(B189="","",IF(F189="Feito","Feita",IF(D189="","Sem prazo",IF(D189&lt;Config!$B$5,"Atrasada",IF(D189=Config!$B$5,"Hoje",IF(D189-Config!$B$5&lt;=7,"Esta semana","No prazo"))))))</f>
        <v/>
      </c>
      <c r="I189" s="24">
        <f>IF(OR(B189="",F189="Feito",D189=""),"",D189-Config!$B$5)</f>
        <v/>
      </c>
      <c r="J189" s="28">
        <f>IF(OR(B189="",F189="Feito"),0,IF(H189="Atrasada",3000+MIN(Config!$B$5-D189,60),IF(H189="Hoje",2500,IF(H189="Esta semana",2000-(D189-Config!$B$5),IF(H189="Sem prazo",500,1000-MIN(D189-Config!$B$5,900)))))+IF(E189="Alta",200,IF(E189="Média",100,0))-ROW()/100000)</f>
        <v>0</v>
      </c>
      <c r="K189" s="28">
        <f>IF(AND(B189&lt;&gt;"",A189=Config!$B$6),COUNTIFS($A$5:A189,Config!$B$6,$B$5:B189,"&lt;&gt;"),"")</f>
        <v/>
      </c>
    </row>
    <row r="190">
      <c r="A190" s="33" t="n"/>
      <c r="B190" s="31" t="n"/>
      <c r="C190" s="33" t="n"/>
      <c r="D190" s="34" t="n"/>
      <c r="E190" s="33" t="n"/>
      <c r="F190" s="33" t="n"/>
      <c r="G190" s="34" t="n"/>
      <c r="H190" s="21">
        <f>IF(B190="","",IF(F190="Feito","Feita",IF(D190="","Sem prazo",IF(D190&lt;Config!$B$5,"Atrasada",IF(D190=Config!$B$5,"Hoje",IF(D190-Config!$B$5&lt;=7,"Esta semana","No prazo"))))))</f>
        <v/>
      </c>
      <c r="I190" s="24">
        <f>IF(OR(B190="",F190="Feito",D190=""),"",D190-Config!$B$5)</f>
        <v/>
      </c>
      <c r="J190" s="28">
        <f>IF(OR(B190="",F190="Feito"),0,IF(H190="Atrasada",3000+MIN(Config!$B$5-D190,60),IF(H190="Hoje",2500,IF(H190="Esta semana",2000-(D190-Config!$B$5),IF(H190="Sem prazo",500,1000-MIN(D190-Config!$B$5,900)))))+IF(E190="Alta",200,IF(E190="Média",100,0))-ROW()/100000)</f>
        <v>0</v>
      </c>
      <c r="K190" s="28">
        <f>IF(AND(B190&lt;&gt;"",A190=Config!$B$6),COUNTIFS($A$5:A190,Config!$B$6,$B$5:B190,"&lt;&gt;"),"")</f>
        <v/>
      </c>
    </row>
    <row r="191">
      <c r="A191" s="33" t="n"/>
      <c r="B191" s="31" t="n"/>
      <c r="C191" s="33" t="n"/>
      <c r="D191" s="34" t="n"/>
      <c r="E191" s="33" t="n"/>
      <c r="F191" s="33" t="n"/>
      <c r="G191" s="34" t="n"/>
      <c r="H191" s="21">
        <f>IF(B191="","",IF(F191="Feito","Feita",IF(D191="","Sem prazo",IF(D191&lt;Config!$B$5,"Atrasada",IF(D191=Config!$B$5,"Hoje",IF(D191-Config!$B$5&lt;=7,"Esta semana","No prazo"))))))</f>
        <v/>
      </c>
      <c r="I191" s="24">
        <f>IF(OR(B191="",F191="Feito",D191=""),"",D191-Config!$B$5)</f>
        <v/>
      </c>
      <c r="J191" s="28">
        <f>IF(OR(B191="",F191="Feito"),0,IF(H191="Atrasada",3000+MIN(Config!$B$5-D191,60),IF(H191="Hoje",2500,IF(H191="Esta semana",2000-(D191-Config!$B$5),IF(H191="Sem prazo",500,1000-MIN(D191-Config!$B$5,900)))))+IF(E191="Alta",200,IF(E191="Média",100,0))-ROW()/100000)</f>
        <v>0</v>
      </c>
      <c r="K191" s="28">
        <f>IF(AND(B191&lt;&gt;"",A191=Config!$B$6),COUNTIFS($A$5:A191,Config!$B$6,$B$5:B191,"&lt;&gt;"),"")</f>
        <v/>
      </c>
    </row>
    <row r="192">
      <c r="A192" s="33" t="n"/>
      <c r="B192" s="31" t="n"/>
      <c r="C192" s="33" t="n"/>
      <c r="D192" s="34" t="n"/>
      <c r="E192" s="33" t="n"/>
      <c r="F192" s="33" t="n"/>
      <c r="G192" s="34" t="n"/>
      <c r="H192" s="21">
        <f>IF(B192="","",IF(F192="Feito","Feita",IF(D192="","Sem prazo",IF(D192&lt;Config!$B$5,"Atrasada",IF(D192=Config!$B$5,"Hoje",IF(D192-Config!$B$5&lt;=7,"Esta semana","No prazo"))))))</f>
        <v/>
      </c>
      <c r="I192" s="24">
        <f>IF(OR(B192="",F192="Feito",D192=""),"",D192-Config!$B$5)</f>
        <v/>
      </c>
      <c r="J192" s="28">
        <f>IF(OR(B192="",F192="Feito"),0,IF(H192="Atrasada",3000+MIN(Config!$B$5-D192,60),IF(H192="Hoje",2500,IF(H192="Esta semana",2000-(D192-Config!$B$5),IF(H192="Sem prazo",500,1000-MIN(D192-Config!$B$5,900)))))+IF(E192="Alta",200,IF(E192="Média",100,0))-ROW()/100000)</f>
        <v>0</v>
      </c>
      <c r="K192" s="28">
        <f>IF(AND(B192&lt;&gt;"",A192=Config!$B$6),COUNTIFS($A$5:A192,Config!$B$6,$B$5:B192,"&lt;&gt;"),"")</f>
        <v/>
      </c>
    </row>
    <row r="193">
      <c r="A193" s="33" t="n"/>
      <c r="B193" s="31" t="n"/>
      <c r="C193" s="33" t="n"/>
      <c r="D193" s="34" t="n"/>
      <c r="E193" s="33" t="n"/>
      <c r="F193" s="33" t="n"/>
      <c r="G193" s="34" t="n"/>
      <c r="H193" s="21">
        <f>IF(B193="","",IF(F193="Feito","Feita",IF(D193="","Sem prazo",IF(D193&lt;Config!$B$5,"Atrasada",IF(D193=Config!$B$5,"Hoje",IF(D193-Config!$B$5&lt;=7,"Esta semana","No prazo"))))))</f>
        <v/>
      </c>
      <c r="I193" s="24">
        <f>IF(OR(B193="",F193="Feito",D193=""),"",D193-Config!$B$5)</f>
        <v/>
      </c>
      <c r="J193" s="28">
        <f>IF(OR(B193="",F193="Feito"),0,IF(H193="Atrasada",3000+MIN(Config!$B$5-D193,60),IF(H193="Hoje",2500,IF(H193="Esta semana",2000-(D193-Config!$B$5),IF(H193="Sem prazo",500,1000-MIN(D193-Config!$B$5,900)))))+IF(E193="Alta",200,IF(E193="Média",100,0))-ROW()/100000)</f>
        <v>0</v>
      </c>
      <c r="K193" s="28">
        <f>IF(AND(B193&lt;&gt;"",A193=Config!$B$6),COUNTIFS($A$5:A193,Config!$B$6,$B$5:B193,"&lt;&gt;"),"")</f>
        <v/>
      </c>
    </row>
    <row r="194">
      <c r="A194" s="33" t="n"/>
      <c r="B194" s="31" t="n"/>
      <c r="C194" s="33" t="n"/>
      <c r="D194" s="34" t="n"/>
      <c r="E194" s="33" t="n"/>
      <c r="F194" s="33" t="n"/>
      <c r="G194" s="34" t="n"/>
      <c r="H194" s="21">
        <f>IF(B194="","",IF(F194="Feito","Feita",IF(D194="","Sem prazo",IF(D194&lt;Config!$B$5,"Atrasada",IF(D194=Config!$B$5,"Hoje",IF(D194-Config!$B$5&lt;=7,"Esta semana","No prazo"))))))</f>
        <v/>
      </c>
      <c r="I194" s="24">
        <f>IF(OR(B194="",F194="Feito",D194=""),"",D194-Config!$B$5)</f>
        <v/>
      </c>
      <c r="J194" s="28">
        <f>IF(OR(B194="",F194="Feito"),0,IF(H194="Atrasada",3000+MIN(Config!$B$5-D194,60),IF(H194="Hoje",2500,IF(H194="Esta semana",2000-(D194-Config!$B$5),IF(H194="Sem prazo",500,1000-MIN(D194-Config!$B$5,900)))))+IF(E194="Alta",200,IF(E194="Média",100,0))-ROW()/100000)</f>
        <v>0</v>
      </c>
      <c r="K194" s="28">
        <f>IF(AND(B194&lt;&gt;"",A194=Config!$B$6),COUNTIFS($A$5:A194,Config!$B$6,$B$5:B194,"&lt;&gt;"),"")</f>
        <v/>
      </c>
    </row>
    <row r="195">
      <c r="A195" s="33" t="n"/>
      <c r="B195" s="31" t="n"/>
      <c r="C195" s="33" t="n"/>
      <c r="D195" s="34" t="n"/>
      <c r="E195" s="33" t="n"/>
      <c r="F195" s="33" t="n"/>
      <c r="G195" s="34" t="n"/>
      <c r="H195" s="21">
        <f>IF(B195="","",IF(F195="Feito","Feita",IF(D195="","Sem prazo",IF(D195&lt;Config!$B$5,"Atrasada",IF(D195=Config!$B$5,"Hoje",IF(D195-Config!$B$5&lt;=7,"Esta semana","No prazo"))))))</f>
        <v/>
      </c>
      <c r="I195" s="24">
        <f>IF(OR(B195="",F195="Feito",D195=""),"",D195-Config!$B$5)</f>
        <v/>
      </c>
      <c r="J195" s="28">
        <f>IF(OR(B195="",F195="Feito"),0,IF(H195="Atrasada",3000+MIN(Config!$B$5-D195,60),IF(H195="Hoje",2500,IF(H195="Esta semana",2000-(D195-Config!$B$5),IF(H195="Sem prazo",500,1000-MIN(D195-Config!$B$5,900)))))+IF(E195="Alta",200,IF(E195="Média",100,0))-ROW()/100000)</f>
        <v>0</v>
      </c>
      <c r="K195" s="28">
        <f>IF(AND(B195&lt;&gt;"",A195=Config!$B$6),COUNTIFS($A$5:A195,Config!$B$6,$B$5:B195,"&lt;&gt;"),"")</f>
        <v/>
      </c>
    </row>
    <row r="196">
      <c r="A196" s="33" t="n"/>
      <c r="B196" s="31" t="n"/>
      <c r="C196" s="33" t="n"/>
      <c r="D196" s="34" t="n"/>
      <c r="E196" s="33" t="n"/>
      <c r="F196" s="33" t="n"/>
      <c r="G196" s="34" t="n"/>
      <c r="H196" s="21">
        <f>IF(B196="","",IF(F196="Feito","Feita",IF(D196="","Sem prazo",IF(D196&lt;Config!$B$5,"Atrasada",IF(D196=Config!$B$5,"Hoje",IF(D196-Config!$B$5&lt;=7,"Esta semana","No prazo"))))))</f>
        <v/>
      </c>
      <c r="I196" s="24">
        <f>IF(OR(B196="",F196="Feito",D196=""),"",D196-Config!$B$5)</f>
        <v/>
      </c>
      <c r="J196" s="28">
        <f>IF(OR(B196="",F196="Feito"),0,IF(H196="Atrasada",3000+MIN(Config!$B$5-D196,60),IF(H196="Hoje",2500,IF(H196="Esta semana",2000-(D196-Config!$B$5),IF(H196="Sem prazo",500,1000-MIN(D196-Config!$B$5,900)))))+IF(E196="Alta",200,IF(E196="Média",100,0))-ROW()/100000)</f>
        <v>0</v>
      </c>
      <c r="K196" s="28">
        <f>IF(AND(B196&lt;&gt;"",A196=Config!$B$6),COUNTIFS($A$5:A196,Config!$B$6,$B$5:B196,"&lt;&gt;"),"")</f>
        <v/>
      </c>
    </row>
    <row r="197">
      <c r="A197" s="33" t="n"/>
      <c r="B197" s="31" t="n"/>
      <c r="C197" s="33" t="n"/>
      <c r="D197" s="34" t="n"/>
      <c r="E197" s="33" t="n"/>
      <c r="F197" s="33" t="n"/>
      <c r="G197" s="34" t="n"/>
      <c r="H197" s="21">
        <f>IF(B197="","",IF(F197="Feito","Feita",IF(D197="","Sem prazo",IF(D197&lt;Config!$B$5,"Atrasada",IF(D197=Config!$B$5,"Hoje",IF(D197-Config!$B$5&lt;=7,"Esta semana","No prazo"))))))</f>
        <v/>
      </c>
      <c r="I197" s="24">
        <f>IF(OR(B197="",F197="Feito",D197=""),"",D197-Config!$B$5)</f>
        <v/>
      </c>
      <c r="J197" s="28">
        <f>IF(OR(B197="",F197="Feito"),0,IF(H197="Atrasada",3000+MIN(Config!$B$5-D197,60),IF(H197="Hoje",2500,IF(H197="Esta semana",2000-(D197-Config!$B$5),IF(H197="Sem prazo",500,1000-MIN(D197-Config!$B$5,900)))))+IF(E197="Alta",200,IF(E197="Média",100,0))-ROW()/100000)</f>
        <v>0</v>
      </c>
      <c r="K197" s="28">
        <f>IF(AND(B197&lt;&gt;"",A197=Config!$B$6),COUNTIFS($A$5:A197,Config!$B$6,$B$5:B197,"&lt;&gt;"),"")</f>
        <v/>
      </c>
    </row>
    <row r="198">
      <c r="A198" s="33" t="n"/>
      <c r="B198" s="31" t="n"/>
      <c r="C198" s="33" t="n"/>
      <c r="D198" s="34" t="n"/>
      <c r="E198" s="33" t="n"/>
      <c r="F198" s="33" t="n"/>
      <c r="G198" s="34" t="n"/>
      <c r="H198" s="21">
        <f>IF(B198="","",IF(F198="Feito","Feita",IF(D198="","Sem prazo",IF(D198&lt;Config!$B$5,"Atrasada",IF(D198=Config!$B$5,"Hoje",IF(D198-Config!$B$5&lt;=7,"Esta semana","No prazo"))))))</f>
        <v/>
      </c>
      <c r="I198" s="24">
        <f>IF(OR(B198="",F198="Feito",D198=""),"",D198-Config!$B$5)</f>
        <v/>
      </c>
      <c r="J198" s="28">
        <f>IF(OR(B198="",F198="Feito"),0,IF(H198="Atrasada",3000+MIN(Config!$B$5-D198,60),IF(H198="Hoje",2500,IF(H198="Esta semana",2000-(D198-Config!$B$5),IF(H198="Sem prazo",500,1000-MIN(D198-Config!$B$5,900)))))+IF(E198="Alta",200,IF(E198="Média",100,0))-ROW()/100000)</f>
        <v>0</v>
      </c>
      <c r="K198" s="28">
        <f>IF(AND(B198&lt;&gt;"",A198=Config!$B$6),COUNTIFS($A$5:A198,Config!$B$6,$B$5:B198,"&lt;&gt;"),"")</f>
        <v/>
      </c>
    </row>
    <row r="199">
      <c r="A199" s="33" t="n"/>
      <c r="B199" s="31" t="n"/>
      <c r="C199" s="33" t="n"/>
      <c r="D199" s="34" t="n"/>
      <c r="E199" s="33" t="n"/>
      <c r="F199" s="33" t="n"/>
      <c r="G199" s="34" t="n"/>
      <c r="H199" s="21">
        <f>IF(B199="","",IF(F199="Feito","Feita",IF(D199="","Sem prazo",IF(D199&lt;Config!$B$5,"Atrasada",IF(D199=Config!$B$5,"Hoje",IF(D199-Config!$B$5&lt;=7,"Esta semana","No prazo"))))))</f>
        <v/>
      </c>
      <c r="I199" s="24">
        <f>IF(OR(B199="",F199="Feito",D199=""),"",D199-Config!$B$5)</f>
        <v/>
      </c>
      <c r="J199" s="28">
        <f>IF(OR(B199="",F199="Feito"),0,IF(H199="Atrasada",3000+MIN(Config!$B$5-D199,60),IF(H199="Hoje",2500,IF(H199="Esta semana",2000-(D199-Config!$B$5),IF(H199="Sem prazo",500,1000-MIN(D199-Config!$B$5,900)))))+IF(E199="Alta",200,IF(E199="Média",100,0))-ROW()/100000)</f>
        <v>0</v>
      </c>
      <c r="K199" s="28">
        <f>IF(AND(B199&lt;&gt;"",A199=Config!$B$6),COUNTIFS($A$5:A199,Config!$B$6,$B$5:B199,"&lt;&gt;"),"")</f>
        <v/>
      </c>
    </row>
    <row r="200">
      <c r="A200" s="33" t="n"/>
      <c r="B200" s="31" t="n"/>
      <c r="C200" s="33" t="n"/>
      <c r="D200" s="34" t="n"/>
      <c r="E200" s="33" t="n"/>
      <c r="F200" s="33" t="n"/>
      <c r="G200" s="34" t="n"/>
      <c r="H200" s="21">
        <f>IF(B200="","",IF(F200="Feito","Feita",IF(D200="","Sem prazo",IF(D200&lt;Config!$B$5,"Atrasada",IF(D200=Config!$B$5,"Hoje",IF(D200-Config!$B$5&lt;=7,"Esta semana","No prazo"))))))</f>
        <v/>
      </c>
      <c r="I200" s="24">
        <f>IF(OR(B200="",F200="Feito",D200=""),"",D200-Config!$B$5)</f>
        <v/>
      </c>
      <c r="J200" s="28">
        <f>IF(OR(B200="",F200="Feito"),0,IF(H200="Atrasada",3000+MIN(Config!$B$5-D200,60),IF(H200="Hoje",2500,IF(H200="Esta semana",2000-(D200-Config!$B$5),IF(H200="Sem prazo",500,1000-MIN(D200-Config!$B$5,900)))))+IF(E200="Alta",200,IF(E200="Média",100,0))-ROW()/100000)</f>
        <v>0</v>
      </c>
      <c r="K200" s="28">
        <f>IF(AND(B200&lt;&gt;"",A200=Config!$B$6),COUNTIFS($A$5:A200,Config!$B$6,$B$5:B200,"&lt;&gt;"),"")</f>
        <v/>
      </c>
    </row>
    <row r="201">
      <c r="A201" s="33" t="n"/>
      <c r="B201" s="31" t="n"/>
      <c r="C201" s="33" t="n"/>
      <c r="D201" s="34" t="n"/>
      <c r="E201" s="33" t="n"/>
      <c r="F201" s="33" t="n"/>
      <c r="G201" s="34" t="n"/>
      <c r="H201" s="21">
        <f>IF(B201="","",IF(F201="Feito","Feita",IF(D201="","Sem prazo",IF(D201&lt;Config!$B$5,"Atrasada",IF(D201=Config!$B$5,"Hoje",IF(D201-Config!$B$5&lt;=7,"Esta semana","No prazo"))))))</f>
        <v/>
      </c>
      <c r="I201" s="24">
        <f>IF(OR(B201="",F201="Feito",D201=""),"",D201-Config!$B$5)</f>
        <v/>
      </c>
      <c r="J201" s="28">
        <f>IF(OR(B201="",F201="Feito"),0,IF(H201="Atrasada",3000+MIN(Config!$B$5-D201,60),IF(H201="Hoje",2500,IF(H201="Esta semana",2000-(D201-Config!$B$5),IF(H201="Sem prazo",500,1000-MIN(D201-Config!$B$5,900)))))+IF(E201="Alta",200,IF(E201="Média",100,0))-ROW()/100000)</f>
        <v>0</v>
      </c>
      <c r="K201" s="28">
        <f>IF(AND(B201&lt;&gt;"",A201=Config!$B$6),COUNTIFS($A$5:A201,Config!$B$6,$B$5:B201,"&lt;&gt;"),"")</f>
        <v/>
      </c>
    </row>
    <row r="202">
      <c r="A202" s="33" t="n"/>
      <c r="B202" s="31" t="n"/>
      <c r="C202" s="33" t="n"/>
      <c r="D202" s="34" t="n"/>
      <c r="E202" s="33" t="n"/>
      <c r="F202" s="33" t="n"/>
      <c r="G202" s="34" t="n"/>
      <c r="H202" s="21">
        <f>IF(B202="","",IF(F202="Feito","Feita",IF(D202="","Sem prazo",IF(D202&lt;Config!$B$5,"Atrasada",IF(D202=Config!$B$5,"Hoje",IF(D202-Config!$B$5&lt;=7,"Esta semana","No prazo"))))))</f>
        <v/>
      </c>
      <c r="I202" s="24">
        <f>IF(OR(B202="",F202="Feito",D202=""),"",D202-Config!$B$5)</f>
        <v/>
      </c>
      <c r="J202" s="28">
        <f>IF(OR(B202="",F202="Feito"),0,IF(H202="Atrasada",3000+MIN(Config!$B$5-D202,60),IF(H202="Hoje",2500,IF(H202="Esta semana",2000-(D202-Config!$B$5),IF(H202="Sem prazo",500,1000-MIN(D202-Config!$B$5,900)))))+IF(E202="Alta",200,IF(E202="Média",100,0))-ROW()/100000)</f>
        <v>0</v>
      </c>
      <c r="K202" s="28">
        <f>IF(AND(B202&lt;&gt;"",A202=Config!$B$6),COUNTIFS($A$5:A202,Config!$B$6,$B$5:B202,"&lt;&gt;"),"")</f>
        <v/>
      </c>
    </row>
    <row r="203">
      <c r="A203" s="33" t="n"/>
      <c r="B203" s="31" t="n"/>
      <c r="C203" s="33" t="n"/>
      <c r="D203" s="34" t="n"/>
      <c r="E203" s="33" t="n"/>
      <c r="F203" s="33" t="n"/>
      <c r="G203" s="34" t="n"/>
      <c r="H203" s="21">
        <f>IF(B203="","",IF(F203="Feito","Feita",IF(D203="","Sem prazo",IF(D203&lt;Config!$B$5,"Atrasada",IF(D203=Config!$B$5,"Hoje",IF(D203-Config!$B$5&lt;=7,"Esta semana","No prazo"))))))</f>
        <v/>
      </c>
      <c r="I203" s="24">
        <f>IF(OR(B203="",F203="Feito",D203=""),"",D203-Config!$B$5)</f>
        <v/>
      </c>
      <c r="J203" s="28">
        <f>IF(OR(B203="",F203="Feito"),0,IF(H203="Atrasada",3000+MIN(Config!$B$5-D203,60),IF(H203="Hoje",2500,IF(H203="Esta semana",2000-(D203-Config!$B$5),IF(H203="Sem prazo",500,1000-MIN(D203-Config!$B$5,900)))))+IF(E203="Alta",200,IF(E203="Média",100,0))-ROW()/100000)</f>
        <v>0</v>
      </c>
      <c r="K203" s="28">
        <f>IF(AND(B203&lt;&gt;"",A203=Config!$B$6),COUNTIFS($A$5:A203,Config!$B$6,$B$5:B203,"&lt;&gt;"),"")</f>
        <v/>
      </c>
    </row>
    <row r="204">
      <c r="A204" s="33" t="n"/>
      <c r="B204" s="31" t="n"/>
      <c r="C204" s="33" t="n"/>
      <c r="D204" s="34" t="n"/>
      <c r="E204" s="33" t="n"/>
      <c r="F204" s="33" t="n"/>
      <c r="G204" s="34" t="n"/>
      <c r="H204" s="21">
        <f>IF(B204="","",IF(F204="Feito","Feita",IF(D204="","Sem prazo",IF(D204&lt;Config!$B$5,"Atrasada",IF(D204=Config!$B$5,"Hoje",IF(D204-Config!$B$5&lt;=7,"Esta semana","No prazo"))))))</f>
        <v/>
      </c>
      <c r="I204" s="24">
        <f>IF(OR(B204="",F204="Feito",D204=""),"",D204-Config!$B$5)</f>
        <v/>
      </c>
      <c r="J204" s="28">
        <f>IF(OR(B204="",F204="Feito"),0,IF(H204="Atrasada",3000+MIN(Config!$B$5-D204,60),IF(H204="Hoje",2500,IF(H204="Esta semana",2000-(D204-Config!$B$5),IF(H204="Sem prazo",500,1000-MIN(D204-Config!$B$5,900)))))+IF(E204="Alta",200,IF(E204="Média",100,0))-ROW()/100000)</f>
        <v>0</v>
      </c>
      <c r="K204" s="28">
        <f>IF(AND(B204&lt;&gt;"",A204=Config!$B$6),COUNTIFS($A$5:A204,Config!$B$6,$B$5:B204,"&lt;&gt;"),"")</f>
        <v/>
      </c>
    </row>
    <row r="205">
      <c r="A205" s="33" t="n"/>
      <c r="B205" s="31" t="n"/>
      <c r="C205" s="33" t="n"/>
      <c r="D205" s="34" t="n"/>
      <c r="E205" s="33" t="n"/>
      <c r="F205" s="33" t="n"/>
      <c r="G205" s="34" t="n"/>
      <c r="H205" s="21">
        <f>IF(B205="","",IF(F205="Feito","Feita",IF(D205="","Sem prazo",IF(D205&lt;Config!$B$5,"Atrasada",IF(D205=Config!$B$5,"Hoje",IF(D205-Config!$B$5&lt;=7,"Esta semana","No prazo"))))))</f>
        <v/>
      </c>
      <c r="I205" s="24">
        <f>IF(OR(B205="",F205="Feito",D205=""),"",D205-Config!$B$5)</f>
        <v/>
      </c>
      <c r="J205" s="28">
        <f>IF(OR(B205="",F205="Feito"),0,IF(H205="Atrasada",3000+MIN(Config!$B$5-D205,60),IF(H205="Hoje",2500,IF(H205="Esta semana",2000-(D205-Config!$B$5),IF(H205="Sem prazo",500,1000-MIN(D205-Config!$B$5,900)))))+IF(E205="Alta",200,IF(E205="Média",100,0))-ROW()/100000)</f>
        <v>0</v>
      </c>
      <c r="K205" s="28">
        <f>IF(AND(B205&lt;&gt;"",A205=Config!$B$6),COUNTIFS($A$5:A205,Config!$B$6,$B$5:B205,"&lt;&gt;"),"")</f>
        <v/>
      </c>
    </row>
    <row r="206">
      <c r="A206" s="33" t="n"/>
      <c r="B206" s="31" t="n"/>
      <c r="C206" s="33" t="n"/>
      <c r="D206" s="34" t="n"/>
      <c r="E206" s="33" t="n"/>
      <c r="F206" s="33" t="n"/>
      <c r="G206" s="34" t="n"/>
      <c r="H206" s="21">
        <f>IF(B206="","",IF(F206="Feito","Feita",IF(D206="","Sem prazo",IF(D206&lt;Config!$B$5,"Atrasada",IF(D206=Config!$B$5,"Hoje",IF(D206-Config!$B$5&lt;=7,"Esta semana","No prazo"))))))</f>
        <v/>
      </c>
      <c r="I206" s="24">
        <f>IF(OR(B206="",F206="Feito",D206=""),"",D206-Config!$B$5)</f>
        <v/>
      </c>
      <c r="J206" s="28">
        <f>IF(OR(B206="",F206="Feito"),0,IF(H206="Atrasada",3000+MIN(Config!$B$5-D206,60),IF(H206="Hoje",2500,IF(H206="Esta semana",2000-(D206-Config!$B$5),IF(H206="Sem prazo",500,1000-MIN(D206-Config!$B$5,900)))))+IF(E206="Alta",200,IF(E206="Média",100,0))-ROW()/100000)</f>
        <v>0</v>
      </c>
      <c r="K206" s="28">
        <f>IF(AND(B206&lt;&gt;"",A206=Config!$B$6),COUNTIFS($A$5:A206,Config!$B$6,$B$5:B206,"&lt;&gt;"),"")</f>
        <v/>
      </c>
    </row>
    <row r="207">
      <c r="A207" s="33" t="n"/>
      <c r="B207" s="31" t="n"/>
      <c r="C207" s="33" t="n"/>
      <c r="D207" s="34" t="n"/>
      <c r="E207" s="33" t="n"/>
      <c r="F207" s="33" t="n"/>
      <c r="G207" s="34" t="n"/>
      <c r="H207" s="21">
        <f>IF(B207="","",IF(F207="Feito","Feita",IF(D207="","Sem prazo",IF(D207&lt;Config!$B$5,"Atrasada",IF(D207=Config!$B$5,"Hoje",IF(D207-Config!$B$5&lt;=7,"Esta semana","No prazo"))))))</f>
        <v/>
      </c>
      <c r="I207" s="24">
        <f>IF(OR(B207="",F207="Feito",D207=""),"",D207-Config!$B$5)</f>
        <v/>
      </c>
      <c r="J207" s="28">
        <f>IF(OR(B207="",F207="Feito"),0,IF(H207="Atrasada",3000+MIN(Config!$B$5-D207,60),IF(H207="Hoje",2500,IF(H207="Esta semana",2000-(D207-Config!$B$5),IF(H207="Sem prazo",500,1000-MIN(D207-Config!$B$5,900)))))+IF(E207="Alta",200,IF(E207="Média",100,0))-ROW()/100000)</f>
        <v>0</v>
      </c>
      <c r="K207" s="28">
        <f>IF(AND(B207&lt;&gt;"",A207=Config!$B$6),COUNTIFS($A$5:A207,Config!$B$6,$B$5:B207,"&lt;&gt;"),"")</f>
        <v/>
      </c>
    </row>
    <row r="208">
      <c r="A208" s="33" t="n"/>
      <c r="B208" s="31" t="n"/>
      <c r="C208" s="33" t="n"/>
      <c r="D208" s="34" t="n"/>
      <c r="E208" s="33" t="n"/>
      <c r="F208" s="33" t="n"/>
      <c r="G208" s="34" t="n"/>
      <c r="H208" s="21">
        <f>IF(B208="","",IF(F208="Feito","Feita",IF(D208="","Sem prazo",IF(D208&lt;Config!$B$5,"Atrasada",IF(D208=Config!$B$5,"Hoje",IF(D208-Config!$B$5&lt;=7,"Esta semana","No prazo"))))))</f>
        <v/>
      </c>
      <c r="I208" s="24">
        <f>IF(OR(B208="",F208="Feito",D208=""),"",D208-Config!$B$5)</f>
        <v/>
      </c>
      <c r="J208" s="28">
        <f>IF(OR(B208="",F208="Feito"),0,IF(H208="Atrasada",3000+MIN(Config!$B$5-D208,60),IF(H208="Hoje",2500,IF(H208="Esta semana",2000-(D208-Config!$B$5),IF(H208="Sem prazo",500,1000-MIN(D208-Config!$B$5,900)))))+IF(E208="Alta",200,IF(E208="Média",100,0))-ROW()/100000)</f>
        <v>0</v>
      </c>
      <c r="K208" s="28">
        <f>IF(AND(B208&lt;&gt;"",A208=Config!$B$6),COUNTIFS($A$5:A208,Config!$B$6,$B$5:B208,"&lt;&gt;"),"")</f>
        <v/>
      </c>
    </row>
    <row r="209">
      <c r="A209" s="33" t="n"/>
      <c r="B209" s="31" t="n"/>
      <c r="C209" s="33" t="n"/>
      <c r="D209" s="34" t="n"/>
      <c r="E209" s="33" t="n"/>
      <c r="F209" s="33" t="n"/>
      <c r="G209" s="34" t="n"/>
      <c r="H209" s="21">
        <f>IF(B209="","",IF(F209="Feito","Feita",IF(D209="","Sem prazo",IF(D209&lt;Config!$B$5,"Atrasada",IF(D209=Config!$B$5,"Hoje",IF(D209-Config!$B$5&lt;=7,"Esta semana","No prazo"))))))</f>
        <v/>
      </c>
      <c r="I209" s="24">
        <f>IF(OR(B209="",F209="Feito",D209=""),"",D209-Config!$B$5)</f>
        <v/>
      </c>
      <c r="J209" s="28">
        <f>IF(OR(B209="",F209="Feito"),0,IF(H209="Atrasada",3000+MIN(Config!$B$5-D209,60),IF(H209="Hoje",2500,IF(H209="Esta semana",2000-(D209-Config!$B$5),IF(H209="Sem prazo",500,1000-MIN(D209-Config!$B$5,900)))))+IF(E209="Alta",200,IF(E209="Média",100,0))-ROW()/100000)</f>
        <v>0</v>
      </c>
      <c r="K209" s="28">
        <f>IF(AND(B209&lt;&gt;"",A209=Config!$B$6),COUNTIFS($A$5:A209,Config!$B$6,$B$5:B209,"&lt;&gt;"),"")</f>
        <v/>
      </c>
    </row>
    <row r="210">
      <c r="A210" s="33" t="n"/>
      <c r="B210" s="31" t="n"/>
      <c r="C210" s="33" t="n"/>
      <c r="D210" s="34" t="n"/>
      <c r="E210" s="33" t="n"/>
      <c r="F210" s="33" t="n"/>
      <c r="G210" s="34" t="n"/>
      <c r="H210" s="21">
        <f>IF(B210="","",IF(F210="Feito","Feita",IF(D210="","Sem prazo",IF(D210&lt;Config!$B$5,"Atrasada",IF(D210=Config!$B$5,"Hoje",IF(D210-Config!$B$5&lt;=7,"Esta semana","No prazo"))))))</f>
        <v/>
      </c>
      <c r="I210" s="24">
        <f>IF(OR(B210="",F210="Feito",D210=""),"",D210-Config!$B$5)</f>
        <v/>
      </c>
      <c r="J210" s="28">
        <f>IF(OR(B210="",F210="Feito"),0,IF(H210="Atrasada",3000+MIN(Config!$B$5-D210,60),IF(H210="Hoje",2500,IF(H210="Esta semana",2000-(D210-Config!$B$5),IF(H210="Sem prazo",500,1000-MIN(D210-Config!$B$5,900)))))+IF(E210="Alta",200,IF(E210="Média",100,0))-ROW()/100000)</f>
        <v>0</v>
      </c>
      <c r="K210" s="28">
        <f>IF(AND(B210&lt;&gt;"",A210=Config!$B$6),COUNTIFS($A$5:A210,Config!$B$6,$B$5:B210,"&lt;&gt;"),"")</f>
        <v/>
      </c>
    </row>
    <row r="211">
      <c r="A211" s="33" t="n"/>
      <c r="B211" s="31" t="n"/>
      <c r="C211" s="33" t="n"/>
      <c r="D211" s="34" t="n"/>
      <c r="E211" s="33" t="n"/>
      <c r="F211" s="33" t="n"/>
      <c r="G211" s="34" t="n"/>
      <c r="H211" s="21">
        <f>IF(B211="","",IF(F211="Feito","Feita",IF(D211="","Sem prazo",IF(D211&lt;Config!$B$5,"Atrasada",IF(D211=Config!$B$5,"Hoje",IF(D211-Config!$B$5&lt;=7,"Esta semana","No prazo"))))))</f>
        <v/>
      </c>
      <c r="I211" s="24">
        <f>IF(OR(B211="",F211="Feito",D211=""),"",D211-Config!$B$5)</f>
        <v/>
      </c>
      <c r="J211" s="28">
        <f>IF(OR(B211="",F211="Feito"),0,IF(H211="Atrasada",3000+MIN(Config!$B$5-D211,60),IF(H211="Hoje",2500,IF(H211="Esta semana",2000-(D211-Config!$B$5),IF(H211="Sem prazo",500,1000-MIN(D211-Config!$B$5,900)))))+IF(E211="Alta",200,IF(E211="Média",100,0))-ROW()/100000)</f>
        <v>0</v>
      </c>
      <c r="K211" s="28">
        <f>IF(AND(B211&lt;&gt;"",A211=Config!$B$6),COUNTIFS($A$5:A211,Config!$B$6,$B$5:B211,"&lt;&gt;"),"")</f>
        <v/>
      </c>
    </row>
    <row r="212">
      <c r="A212" s="33" t="n"/>
      <c r="B212" s="31" t="n"/>
      <c r="C212" s="33" t="n"/>
      <c r="D212" s="34" t="n"/>
      <c r="E212" s="33" t="n"/>
      <c r="F212" s="33" t="n"/>
      <c r="G212" s="34" t="n"/>
      <c r="H212" s="21">
        <f>IF(B212="","",IF(F212="Feito","Feita",IF(D212="","Sem prazo",IF(D212&lt;Config!$B$5,"Atrasada",IF(D212=Config!$B$5,"Hoje",IF(D212-Config!$B$5&lt;=7,"Esta semana","No prazo"))))))</f>
        <v/>
      </c>
      <c r="I212" s="24">
        <f>IF(OR(B212="",F212="Feito",D212=""),"",D212-Config!$B$5)</f>
        <v/>
      </c>
      <c r="J212" s="28">
        <f>IF(OR(B212="",F212="Feito"),0,IF(H212="Atrasada",3000+MIN(Config!$B$5-D212,60),IF(H212="Hoje",2500,IF(H212="Esta semana",2000-(D212-Config!$B$5),IF(H212="Sem prazo",500,1000-MIN(D212-Config!$B$5,900)))))+IF(E212="Alta",200,IF(E212="Média",100,0))-ROW()/100000)</f>
        <v>0</v>
      </c>
      <c r="K212" s="28">
        <f>IF(AND(B212&lt;&gt;"",A212=Config!$B$6),COUNTIFS($A$5:A212,Config!$B$6,$B$5:B212,"&lt;&gt;"),"")</f>
        <v/>
      </c>
    </row>
    <row r="213">
      <c r="A213" s="33" t="n"/>
      <c r="B213" s="31" t="n"/>
      <c r="C213" s="33" t="n"/>
      <c r="D213" s="34" t="n"/>
      <c r="E213" s="33" t="n"/>
      <c r="F213" s="33" t="n"/>
      <c r="G213" s="34" t="n"/>
      <c r="H213" s="21">
        <f>IF(B213="","",IF(F213="Feito","Feita",IF(D213="","Sem prazo",IF(D213&lt;Config!$B$5,"Atrasada",IF(D213=Config!$B$5,"Hoje",IF(D213-Config!$B$5&lt;=7,"Esta semana","No prazo"))))))</f>
        <v/>
      </c>
      <c r="I213" s="24">
        <f>IF(OR(B213="",F213="Feito",D213=""),"",D213-Config!$B$5)</f>
        <v/>
      </c>
      <c r="J213" s="28">
        <f>IF(OR(B213="",F213="Feito"),0,IF(H213="Atrasada",3000+MIN(Config!$B$5-D213,60),IF(H213="Hoje",2500,IF(H213="Esta semana",2000-(D213-Config!$B$5),IF(H213="Sem prazo",500,1000-MIN(D213-Config!$B$5,900)))))+IF(E213="Alta",200,IF(E213="Média",100,0))-ROW()/100000)</f>
        <v>0</v>
      </c>
      <c r="K213" s="28">
        <f>IF(AND(B213&lt;&gt;"",A213=Config!$B$6),COUNTIFS($A$5:A213,Config!$B$6,$B$5:B213,"&lt;&gt;"),"")</f>
        <v/>
      </c>
    </row>
    <row r="214">
      <c r="A214" s="33" t="n"/>
      <c r="B214" s="31" t="n"/>
      <c r="C214" s="33" t="n"/>
      <c r="D214" s="34" t="n"/>
      <c r="E214" s="33" t="n"/>
      <c r="F214" s="33" t="n"/>
      <c r="G214" s="34" t="n"/>
      <c r="H214" s="21">
        <f>IF(B214="","",IF(F214="Feito","Feita",IF(D214="","Sem prazo",IF(D214&lt;Config!$B$5,"Atrasada",IF(D214=Config!$B$5,"Hoje",IF(D214-Config!$B$5&lt;=7,"Esta semana","No prazo"))))))</f>
        <v/>
      </c>
      <c r="I214" s="24">
        <f>IF(OR(B214="",F214="Feito",D214=""),"",D214-Config!$B$5)</f>
        <v/>
      </c>
      <c r="J214" s="28">
        <f>IF(OR(B214="",F214="Feito"),0,IF(H214="Atrasada",3000+MIN(Config!$B$5-D214,60),IF(H214="Hoje",2500,IF(H214="Esta semana",2000-(D214-Config!$B$5),IF(H214="Sem prazo",500,1000-MIN(D214-Config!$B$5,900)))))+IF(E214="Alta",200,IF(E214="Média",100,0))-ROW()/100000)</f>
        <v>0</v>
      </c>
      <c r="K214" s="28">
        <f>IF(AND(B214&lt;&gt;"",A214=Config!$B$6),COUNTIFS($A$5:A214,Config!$B$6,$B$5:B214,"&lt;&gt;"),"")</f>
        <v/>
      </c>
    </row>
    <row r="215">
      <c r="A215" s="33" t="n"/>
      <c r="B215" s="31" t="n"/>
      <c r="C215" s="33" t="n"/>
      <c r="D215" s="34" t="n"/>
      <c r="E215" s="33" t="n"/>
      <c r="F215" s="33" t="n"/>
      <c r="G215" s="34" t="n"/>
      <c r="H215" s="21">
        <f>IF(B215="","",IF(F215="Feito","Feita",IF(D215="","Sem prazo",IF(D215&lt;Config!$B$5,"Atrasada",IF(D215=Config!$B$5,"Hoje",IF(D215-Config!$B$5&lt;=7,"Esta semana","No prazo"))))))</f>
        <v/>
      </c>
      <c r="I215" s="24">
        <f>IF(OR(B215="",F215="Feito",D215=""),"",D215-Config!$B$5)</f>
        <v/>
      </c>
      <c r="J215" s="28">
        <f>IF(OR(B215="",F215="Feito"),0,IF(H215="Atrasada",3000+MIN(Config!$B$5-D215,60),IF(H215="Hoje",2500,IF(H215="Esta semana",2000-(D215-Config!$B$5),IF(H215="Sem prazo",500,1000-MIN(D215-Config!$B$5,900)))))+IF(E215="Alta",200,IF(E215="Média",100,0))-ROW()/100000)</f>
        <v>0</v>
      </c>
      <c r="K215" s="28">
        <f>IF(AND(B215&lt;&gt;"",A215=Config!$B$6),COUNTIFS($A$5:A215,Config!$B$6,$B$5:B215,"&lt;&gt;"),"")</f>
        <v/>
      </c>
    </row>
    <row r="216">
      <c r="A216" s="33" t="n"/>
      <c r="B216" s="31" t="n"/>
      <c r="C216" s="33" t="n"/>
      <c r="D216" s="34" t="n"/>
      <c r="E216" s="33" t="n"/>
      <c r="F216" s="33" t="n"/>
      <c r="G216" s="34" t="n"/>
      <c r="H216" s="21">
        <f>IF(B216="","",IF(F216="Feito","Feita",IF(D216="","Sem prazo",IF(D216&lt;Config!$B$5,"Atrasada",IF(D216=Config!$B$5,"Hoje",IF(D216-Config!$B$5&lt;=7,"Esta semana","No prazo"))))))</f>
        <v/>
      </c>
      <c r="I216" s="24">
        <f>IF(OR(B216="",F216="Feito",D216=""),"",D216-Config!$B$5)</f>
        <v/>
      </c>
      <c r="J216" s="28">
        <f>IF(OR(B216="",F216="Feito"),0,IF(H216="Atrasada",3000+MIN(Config!$B$5-D216,60),IF(H216="Hoje",2500,IF(H216="Esta semana",2000-(D216-Config!$B$5),IF(H216="Sem prazo",500,1000-MIN(D216-Config!$B$5,900)))))+IF(E216="Alta",200,IF(E216="Média",100,0))-ROW()/100000)</f>
        <v>0</v>
      </c>
      <c r="K216" s="28">
        <f>IF(AND(B216&lt;&gt;"",A216=Config!$B$6),COUNTIFS($A$5:A216,Config!$B$6,$B$5:B216,"&lt;&gt;"),"")</f>
        <v/>
      </c>
    </row>
    <row r="217">
      <c r="A217" s="33" t="n"/>
      <c r="B217" s="31" t="n"/>
      <c r="C217" s="33" t="n"/>
      <c r="D217" s="34" t="n"/>
      <c r="E217" s="33" t="n"/>
      <c r="F217" s="33" t="n"/>
      <c r="G217" s="34" t="n"/>
      <c r="H217" s="21">
        <f>IF(B217="","",IF(F217="Feito","Feita",IF(D217="","Sem prazo",IF(D217&lt;Config!$B$5,"Atrasada",IF(D217=Config!$B$5,"Hoje",IF(D217-Config!$B$5&lt;=7,"Esta semana","No prazo"))))))</f>
        <v/>
      </c>
      <c r="I217" s="24">
        <f>IF(OR(B217="",F217="Feito",D217=""),"",D217-Config!$B$5)</f>
        <v/>
      </c>
      <c r="J217" s="28">
        <f>IF(OR(B217="",F217="Feito"),0,IF(H217="Atrasada",3000+MIN(Config!$B$5-D217,60),IF(H217="Hoje",2500,IF(H217="Esta semana",2000-(D217-Config!$B$5),IF(H217="Sem prazo",500,1000-MIN(D217-Config!$B$5,900)))))+IF(E217="Alta",200,IF(E217="Média",100,0))-ROW()/100000)</f>
        <v>0</v>
      </c>
      <c r="K217" s="28">
        <f>IF(AND(B217&lt;&gt;"",A217=Config!$B$6),COUNTIFS($A$5:A217,Config!$B$6,$B$5:B217,"&lt;&gt;"),"")</f>
        <v/>
      </c>
    </row>
    <row r="218">
      <c r="A218" s="33" t="n"/>
      <c r="B218" s="31" t="n"/>
      <c r="C218" s="33" t="n"/>
      <c r="D218" s="34" t="n"/>
      <c r="E218" s="33" t="n"/>
      <c r="F218" s="33" t="n"/>
      <c r="G218" s="34" t="n"/>
      <c r="H218" s="21">
        <f>IF(B218="","",IF(F218="Feito","Feita",IF(D218="","Sem prazo",IF(D218&lt;Config!$B$5,"Atrasada",IF(D218=Config!$B$5,"Hoje",IF(D218-Config!$B$5&lt;=7,"Esta semana","No prazo"))))))</f>
        <v/>
      </c>
      <c r="I218" s="24">
        <f>IF(OR(B218="",F218="Feito",D218=""),"",D218-Config!$B$5)</f>
        <v/>
      </c>
      <c r="J218" s="28">
        <f>IF(OR(B218="",F218="Feito"),0,IF(H218="Atrasada",3000+MIN(Config!$B$5-D218,60),IF(H218="Hoje",2500,IF(H218="Esta semana",2000-(D218-Config!$B$5),IF(H218="Sem prazo",500,1000-MIN(D218-Config!$B$5,900)))))+IF(E218="Alta",200,IF(E218="Média",100,0))-ROW()/100000)</f>
        <v>0</v>
      </c>
      <c r="K218" s="28">
        <f>IF(AND(B218&lt;&gt;"",A218=Config!$B$6),COUNTIFS($A$5:A218,Config!$B$6,$B$5:B218,"&lt;&gt;"),"")</f>
        <v/>
      </c>
    </row>
    <row r="219">
      <c r="A219" s="33" t="n"/>
      <c r="B219" s="31" t="n"/>
      <c r="C219" s="33" t="n"/>
      <c r="D219" s="34" t="n"/>
      <c r="E219" s="33" t="n"/>
      <c r="F219" s="33" t="n"/>
      <c r="G219" s="34" t="n"/>
      <c r="H219" s="21">
        <f>IF(B219="","",IF(F219="Feito","Feita",IF(D219="","Sem prazo",IF(D219&lt;Config!$B$5,"Atrasada",IF(D219=Config!$B$5,"Hoje",IF(D219-Config!$B$5&lt;=7,"Esta semana","No prazo"))))))</f>
        <v/>
      </c>
      <c r="I219" s="24">
        <f>IF(OR(B219="",F219="Feito",D219=""),"",D219-Config!$B$5)</f>
        <v/>
      </c>
      <c r="J219" s="28">
        <f>IF(OR(B219="",F219="Feito"),0,IF(H219="Atrasada",3000+MIN(Config!$B$5-D219,60),IF(H219="Hoje",2500,IF(H219="Esta semana",2000-(D219-Config!$B$5),IF(H219="Sem prazo",500,1000-MIN(D219-Config!$B$5,900)))))+IF(E219="Alta",200,IF(E219="Média",100,0))-ROW()/100000)</f>
        <v>0</v>
      </c>
      <c r="K219" s="28">
        <f>IF(AND(B219&lt;&gt;"",A219=Config!$B$6),COUNTIFS($A$5:A219,Config!$B$6,$B$5:B219,"&lt;&gt;"),"")</f>
        <v/>
      </c>
    </row>
    <row r="220">
      <c r="A220" s="33" t="n"/>
      <c r="B220" s="31" t="n"/>
      <c r="C220" s="33" t="n"/>
      <c r="D220" s="34" t="n"/>
      <c r="E220" s="33" t="n"/>
      <c r="F220" s="33" t="n"/>
      <c r="G220" s="34" t="n"/>
      <c r="H220" s="21">
        <f>IF(B220="","",IF(F220="Feito","Feita",IF(D220="","Sem prazo",IF(D220&lt;Config!$B$5,"Atrasada",IF(D220=Config!$B$5,"Hoje",IF(D220-Config!$B$5&lt;=7,"Esta semana","No prazo"))))))</f>
        <v/>
      </c>
      <c r="I220" s="24">
        <f>IF(OR(B220="",F220="Feito",D220=""),"",D220-Config!$B$5)</f>
        <v/>
      </c>
      <c r="J220" s="28">
        <f>IF(OR(B220="",F220="Feito"),0,IF(H220="Atrasada",3000+MIN(Config!$B$5-D220,60),IF(H220="Hoje",2500,IF(H220="Esta semana",2000-(D220-Config!$B$5),IF(H220="Sem prazo",500,1000-MIN(D220-Config!$B$5,900)))))+IF(E220="Alta",200,IF(E220="Média",100,0))-ROW()/100000)</f>
        <v>0</v>
      </c>
      <c r="K220" s="28">
        <f>IF(AND(B220&lt;&gt;"",A220=Config!$B$6),COUNTIFS($A$5:A220,Config!$B$6,$B$5:B220,"&lt;&gt;"),"")</f>
        <v/>
      </c>
    </row>
    <row r="221">
      <c r="A221" s="33" t="n"/>
      <c r="B221" s="31" t="n"/>
      <c r="C221" s="33" t="n"/>
      <c r="D221" s="34" t="n"/>
      <c r="E221" s="33" t="n"/>
      <c r="F221" s="33" t="n"/>
      <c r="G221" s="34" t="n"/>
      <c r="H221" s="21">
        <f>IF(B221="","",IF(F221="Feito","Feita",IF(D221="","Sem prazo",IF(D221&lt;Config!$B$5,"Atrasada",IF(D221=Config!$B$5,"Hoje",IF(D221-Config!$B$5&lt;=7,"Esta semana","No prazo"))))))</f>
        <v/>
      </c>
      <c r="I221" s="24">
        <f>IF(OR(B221="",F221="Feito",D221=""),"",D221-Config!$B$5)</f>
        <v/>
      </c>
      <c r="J221" s="28">
        <f>IF(OR(B221="",F221="Feito"),0,IF(H221="Atrasada",3000+MIN(Config!$B$5-D221,60),IF(H221="Hoje",2500,IF(H221="Esta semana",2000-(D221-Config!$B$5),IF(H221="Sem prazo",500,1000-MIN(D221-Config!$B$5,900)))))+IF(E221="Alta",200,IF(E221="Média",100,0))-ROW()/100000)</f>
        <v>0</v>
      </c>
      <c r="K221" s="28">
        <f>IF(AND(B221&lt;&gt;"",A221=Config!$B$6),COUNTIFS($A$5:A221,Config!$B$6,$B$5:B221,"&lt;&gt;"),"")</f>
        <v/>
      </c>
    </row>
    <row r="222">
      <c r="A222" s="33" t="n"/>
      <c r="B222" s="31" t="n"/>
      <c r="C222" s="33" t="n"/>
      <c r="D222" s="34" t="n"/>
      <c r="E222" s="33" t="n"/>
      <c r="F222" s="33" t="n"/>
      <c r="G222" s="34" t="n"/>
      <c r="H222" s="21">
        <f>IF(B222="","",IF(F222="Feito","Feita",IF(D222="","Sem prazo",IF(D222&lt;Config!$B$5,"Atrasada",IF(D222=Config!$B$5,"Hoje",IF(D222-Config!$B$5&lt;=7,"Esta semana","No prazo"))))))</f>
        <v/>
      </c>
      <c r="I222" s="24">
        <f>IF(OR(B222="",F222="Feito",D222=""),"",D222-Config!$B$5)</f>
        <v/>
      </c>
      <c r="J222" s="28">
        <f>IF(OR(B222="",F222="Feito"),0,IF(H222="Atrasada",3000+MIN(Config!$B$5-D222,60),IF(H222="Hoje",2500,IF(H222="Esta semana",2000-(D222-Config!$B$5),IF(H222="Sem prazo",500,1000-MIN(D222-Config!$B$5,900)))))+IF(E222="Alta",200,IF(E222="Média",100,0))-ROW()/100000)</f>
        <v>0</v>
      </c>
      <c r="K222" s="28">
        <f>IF(AND(B222&lt;&gt;"",A222=Config!$B$6),COUNTIFS($A$5:A222,Config!$B$6,$B$5:B222,"&lt;&gt;"),"")</f>
        <v/>
      </c>
    </row>
    <row r="223">
      <c r="A223" s="33" t="n"/>
      <c r="B223" s="31" t="n"/>
      <c r="C223" s="33" t="n"/>
      <c r="D223" s="34" t="n"/>
      <c r="E223" s="33" t="n"/>
      <c r="F223" s="33" t="n"/>
      <c r="G223" s="34" t="n"/>
      <c r="H223" s="21">
        <f>IF(B223="","",IF(F223="Feito","Feita",IF(D223="","Sem prazo",IF(D223&lt;Config!$B$5,"Atrasada",IF(D223=Config!$B$5,"Hoje",IF(D223-Config!$B$5&lt;=7,"Esta semana","No prazo"))))))</f>
        <v/>
      </c>
      <c r="I223" s="24">
        <f>IF(OR(B223="",F223="Feito",D223=""),"",D223-Config!$B$5)</f>
        <v/>
      </c>
      <c r="J223" s="28">
        <f>IF(OR(B223="",F223="Feito"),0,IF(H223="Atrasada",3000+MIN(Config!$B$5-D223,60),IF(H223="Hoje",2500,IF(H223="Esta semana",2000-(D223-Config!$B$5),IF(H223="Sem prazo",500,1000-MIN(D223-Config!$B$5,900)))))+IF(E223="Alta",200,IF(E223="Média",100,0))-ROW()/100000)</f>
        <v>0</v>
      </c>
      <c r="K223" s="28">
        <f>IF(AND(B223&lt;&gt;"",A223=Config!$B$6),COUNTIFS($A$5:A223,Config!$B$6,$B$5:B223,"&lt;&gt;"),"")</f>
        <v/>
      </c>
    </row>
    <row r="224">
      <c r="A224" s="33" t="n"/>
      <c r="B224" s="31" t="n"/>
      <c r="C224" s="33" t="n"/>
      <c r="D224" s="34" t="n"/>
      <c r="E224" s="33" t="n"/>
      <c r="F224" s="33" t="n"/>
      <c r="G224" s="34" t="n"/>
      <c r="H224" s="21">
        <f>IF(B224="","",IF(F224="Feito","Feita",IF(D224="","Sem prazo",IF(D224&lt;Config!$B$5,"Atrasada",IF(D224=Config!$B$5,"Hoje",IF(D224-Config!$B$5&lt;=7,"Esta semana","No prazo"))))))</f>
        <v/>
      </c>
      <c r="I224" s="24">
        <f>IF(OR(B224="",F224="Feito",D224=""),"",D224-Config!$B$5)</f>
        <v/>
      </c>
      <c r="J224" s="28">
        <f>IF(OR(B224="",F224="Feito"),0,IF(H224="Atrasada",3000+MIN(Config!$B$5-D224,60),IF(H224="Hoje",2500,IF(H224="Esta semana",2000-(D224-Config!$B$5),IF(H224="Sem prazo",500,1000-MIN(D224-Config!$B$5,900)))))+IF(E224="Alta",200,IF(E224="Média",100,0))-ROW()/100000)</f>
        <v>0</v>
      </c>
      <c r="K224" s="28">
        <f>IF(AND(B224&lt;&gt;"",A224=Config!$B$6),COUNTIFS($A$5:A224,Config!$B$6,$B$5:B224,"&lt;&gt;"),"")</f>
        <v/>
      </c>
    </row>
    <row r="225">
      <c r="A225" s="33" t="n"/>
      <c r="B225" s="31" t="n"/>
      <c r="C225" s="33" t="n"/>
      <c r="D225" s="34" t="n"/>
      <c r="E225" s="33" t="n"/>
      <c r="F225" s="33" t="n"/>
      <c r="G225" s="34" t="n"/>
      <c r="H225" s="21">
        <f>IF(B225="","",IF(F225="Feito","Feita",IF(D225="","Sem prazo",IF(D225&lt;Config!$B$5,"Atrasada",IF(D225=Config!$B$5,"Hoje",IF(D225-Config!$B$5&lt;=7,"Esta semana","No prazo"))))))</f>
        <v/>
      </c>
      <c r="I225" s="24">
        <f>IF(OR(B225="",F225="Feito",D225=""),"",D225-Config!$B$5)</f>
        <v/>
      </c>
      <c r="J225" s="28">
        <f>IF(OR(B225="",F225="Feito"),0,IF(H225="Atrasada",3000+MIN(Config!$B$5-D225,60),IF(H225="Hoje",2500,IF(H225="Esta semana",2000-(D225-Config!$B$5),IF(H225="Sem prazo",500,1000-MIN(D225-Config!$B$5,900)))))+IF(E225="Alta",200,IF(E225="Média",100,0))-ROW()/100000)</f>
        <v>0</v>
      </c>
      <c r="K225" s="28">
        <f>IF(AND(B225&lt;&gt;"",A225=Config!$B$6),COUNTIFS($A$5:A225,Config!$B$6,$B$5:B225,"&lt;&gt;"),"")</f>
        <v/>
      </c>
    </row>
    <row r="226">
      <c r="A226" s="33" t="n"/>
      <c r="B226" s="31" t="n"/>
      <c r="C226" s="33" t="n"/>
      <c r="D226" s="34" t="n"/>
      <c r="E226" s="33" t="n"/>
      <c r="F226" s="33" t="n"/>
      <c r="G226" s="34" t="n"/>
      <c r="H226" s="21">
        <f>IF(B226="","",IF(F226="Feito","Feita",IF(D226="","Sem prazo",IF(D226&lt;Config!$B$5,"Atrasada",IF(D226=Config!$B$5,"Hoje",IF(D226-Config!$B$5&lt;=7,"Esta semana","No prazo"))))))</f>
        <v/>
      </c>
      <c r="I226" s="24">
        <f>IF(OR(B226="",F226="Feito",D226=""),"",D226-Config!$B$5)</f>
        <v/>
      </c>
      <c r="J226" s="28">
        <f>IF(OR(B226="",F226="Feito"),0,IF(H226="Atrasada",3000+MIN(Config!$B$5-D226,60),IF(H226="Hoje",2500,IF(H226="Esta semana",2000-(D226-Config!$B$5),IF(H226="Sem prazo",500,1000-MIN(D226-Config!$B$5,900)))))+IF(E226="Alta",200,IF(E226="Média",100,0))-ROW()/100000)</f>
        <v>0</v>
      </c>
      <c r="K226" s="28">
        <f>IF(AND(B226&lt;&gt;"",A226=Config!$B$6),COUNTIFS($A$5:A226,Config!$B$6,$B$5:B226,"&lt;&gt;"),"")</f>
        <v/>
      </c>
    </row>
    <row r="227">
      <c r="A227" s="33" t="n"/>
      <c r="B227" s="31" t="n"/>
      <c r="C227" s="33" t="n"/>
      <c r="D227" s="34" t="n"/>
      <c r="E227" s="33" t="n"/>
      <c r="F227" s="33" t="n"/>
      <c r="G227" s="34" t="n"/>
      <c r="H227" s="21">
        <f>IF(B227="","",IF(F227="Feito","Feita",IF(D227="","Sem prazo",IF(D227&lt;Config!$B$5,"Atrasada",IF(D227=Config!$B$5,"Hoje",IF(D227-Config!$B$5&lt;=7,"Esta semana","No prazo"))))))</f>
        <v/>
      </c>
      <c r="I227" s="24">
        <f>IF(OR(B227="",F227="Feito",D227=""),"",D227-Config!$B$5)</f>
        <v/>
      </c>
      <c r="J227" s="28">
        <f>IF(OR(B227="",F227="Feito"),0,IF(H227="Atrasada",3000+MIN(Config!$B$5-D227,60),IF(H227="Hoje",2500,IF(H227="Esta semana",2000-(D227-Config!$B$5),IF(H227="Sem prazo",500,1000-MIN(D227-Config!$B$5,900)))))+IF(E227="Alta",200,IF(E227="Média",100,0))-ROW()/100000)</f>
        <v>0</v>
      </c>
      <c r="K227" s="28">
        <f>IF(AND(B227&lt;&gt;"",A227=Config!$B$6),COUNTIFS($A$5:A227,Config!$B$6,$B$5:B227,"&lt;&gt;"),"")</f>
        <v/>
      </c>
    </row>
    <row r="228">
      <c r="A228" s="33" t="n"/>
      <c r="B228" s="31" t="n"/>
      <c r="C228" s="33" t="n"/>
      <c r="D228" s="34" t="n"/>
      <c r="E228" s="33" t="n"/>
      <c r="F228" s="33" t="n"/>
      <c r="G228" s="34" t="n"/>
      <c r="H228" s="21">
        <f>IF(B228="","",IF(F228="Feito","Feita",IF(D228="","Sem prazo",IF(D228&lt;Config!$B$5,"Atrasada",IF(D228=Config!$B$5,"Hoje",IF(D228-Config!$B$5&lt;=7,"Esta semana","No prazo"))))))</f>
        <v/>
      </c>
      <c r="I228" s="24">
        <f>IF(OR(B228="",F228="Feito",D228=""),"",D228-Config!$B$5)</f>
        <v/>
      </c>
      <c r="J228" s="28">
        <f>IF(OR(B228="",F228="Feito"),0,IF(H228="Atrasada",3000+MIN(Config!$B$5-D228,60),IF(H228="Hoje",2500,IF(H228="Esta semana",2000-(D228-Config!$B$5),IF(H228="Sem prazo",500,1000-MIN(D228-Config!$B$5,900)))))+IF(E228="Alta",200,IF(E228="Média",100,0))-ROW()/100000)</f>
        <v>0</v>
      </c>
      <c r="K228" s="28">
        <f>IF(AND(B228&lt;&gt;"",A228=Config!$B$6),COUNTIFS($A$5:A228,Config!$B$6,$B$5:B228,"&lt;&gt;"),"")</f>
        <v/>
      </c>
    </row>
    <row r="229">
      <c r="A229" s="33" t="n"/>
      <c r="B229" s="31" t="n"/>
      <c r="C229" s="33" t="n"/>
      <c r="D229" s="34" t="n"/>
      <c r="E229" s="33" t="n"/>
      <c r="F229" s="33" t="n"/>
      <c r="G229" s="34" t="n"/>
      <c r="H229" s="21">
        <f>IF(B229="","",IF(F229="Feito","Feita",IF(D229="","Sem prazo",IF(D229&lt;Config!$B$5,"Atrasada",IF(D229=Config!$B$5,"Hoje",IF(D229-Config!$B$5&lt;=7,"Esta semana","No prazo"))))))</f>
        <v/>
      </c>
      <c r="I229" s="24">
        <f>IF(OR(B229="",F229="Feito",D229=""),"",D229-Config!$B$5)</f>
        <v/>
      </c>
      <c r="J229" s="28">
        <f>IF(OR(B229="",F229="Feito"),0,IF(H229="Atrasada",3000+MIN(Config!$B$5-D229,60),IF(H229="Hoje",2500,IF(H229="Esta semana",2000-(D229-Config!$B$5),IF(H229="Sem prazo",500,1000-MIN(D229-Config!$B$5,900)))))+IF(E229="Alta",200,IF(E229="Média",100,0))-ROW()/100000)</f>
        <v>0</v>
      </c>
      <c r="K229" s="28">
        <f>IF(AND(B229&lt;&gt;"",A229=Config!$B$6),COUNTIFS($A$5:A229,Config!$B$6,$B$5:B229,"&lt;&gt;"),"")</f>
        <v/>
      </c>
    </row>
    <row r="230">
      <c r="A230" s="33" t="n"/>
      <c r="B230" s="31" t="n"/>
      <c r="C230" s="33" t="n"/>
      <c r="D230" s="34" t="n"/>
      <c r="E230" s="33" t="n"/>
      <c r="F230" s="33" t="n"/>
      <c r="G230" s="34" t="n"/>
      <c r="H230" s="21">
        <f>IF(B230="","",IF(F230="Feito","Feita",IF(D230="","Sem prazo",IF(D230&lt;Config!$B$5,"Atrasada",IF(D230=Config!$B$5,"Hoje",IF(D230-Config!$B$5&lt;=7,"Esta semana","No prazo"))))))</f>
        <v/>
      </c>
      <c r="I230" s="24">
        <f>IF(OR(B230="",F230="Feito",D230=""),"",D230-Config!$B$5)</f>
        <v/>
      </c>
      <c r="J230" s="28">
        <f>IF(OR(B230="",F230="Feito"),0,IF(H230="Atrasada",3000+MIN(Config!$B$5-D230,60),IF(H230="Hoje",2500,IF(H230="Esta semana",2000-(D230-Config!$B$5),IF(H230="Sem prazo",500,1000-MIN(D230-Config!$B$5,900)))))+IF(E230="Alta",200,IF(E230="Média",100,0))-ROW()/100000)</f>
        <v>0</v>
      </c>
      <c r="K230" s="28">
        <f>IF(AND(B230&lt;&gt;"",A230=Config!$B$6),COUNTIFS($A$5:A230,Config!$B$6,$B$5:B230,"&lt;&gt;"),"")</f>
        <v/>
      </c>
    </row>
    <row r="231">
      <c r="A231" s="33" t="n"/>
      <c r="B231" s="31" t="n"/>
      <c r="C231" s="33" t="n"/>
      <c r="D231" s="34" t="n"/>
      <c r="E231" s="33" t="n"/>
      <c r="F231" s="33" t="n"/>
      <c r="G231" s="34" t="n"/>
      <c r="H231" s="21">
        <f>IF(B231="","",IF(F231="Feito","Feita",IF(D231="","Sem prazo",IF(D231&lt;Config!$B$5,"Atrasada",IF(D231=Config!$B$5,"Hoje",IF(D231-Config!$B$5&lt;=7,"Esta semana","No prazo"))))))</f>
        <v/>
      </c>
      <c r="I231" s="24">
        <f>IF(OR(B231="",F231="Feito",D231=""),"",D231-Config!$B$5)</f>
        <v/>
      </c>
      <c r="J231" s="28">
        <f>IF(OR(B231="",F231="Feito"),0,IF(H231="Atrasada",3000+MIN(Config!$B$5-D231,60),IF(H231="Hoje",2500,IF(H231="Esta semana",2000-(D231-Config!$B$5),IF(H231="Sem prazo",500,1000-MIN(D231-Config!$B$5,900)))))+IF(E231="Alta",200,IF(E231="Média",100,0))-ROW()/100000)</f>
        <v>0</v>
      </c>
      <c r="K231" s="28">
        <f>IF(AND(B231&lt;&gt;"",A231=Config!$B$6),COUNTIFS($A$5:A231,Config!$B$6,$B$5:B231,"&lt;&gt;"),"")</f>
        <v/>
      </c>
    </row>
    <row r="232">
      <c r="A232" s="33" t="n"/>
      <c r="B232" s="31" t="n"/>
      <c r="C232" s="33" t="n"/>
      <c r="D232" s="34" t="n"/>
      <c r="E232" s="33" t="n"/>
      <c r="F232" s="33" t="n"/>
      <c r="G232" s="34" t="n"/>
      <c r="H232" s="21">
        <f>IF(B232="","",IF(F232="Feito","Feita",IF(D232="","Sem prazo",IF(D232&lt;Config!$B$5,"Atrasada",IF(D232=Config!$B$5,"Hoje",IF(D232-Config!$B$5&lt;=7,"Esta semana","No prazo"))))))</f>
        <v/>
      </c>
      <c r="I232" s="24">
        <f>IF(OR(B232="",F232="Feito",D232=""),"",D232-Config!$B$5)</f>
        <v/>
      </c>
      <c r="J232" s="28">
        <f>IF(OR(B232="",F232="Feito"),0,IF(H232="Atrasada",3000+MIN(Config!$B$5-D232,60),IF(H232="Hoje",2500,IF(H232="Esta semana",2000-(D232-Config!$B$5),IF(H232="Sem prazo",500,1000-MIN(D232-Config!$B$5,900)))))+IF(E232="Alta",200,IF(E232="Média",100,0))-ROW()/100000)</f>
        <v>0</v>
      </c>
      <c r="K232" s="28">
        <f>IF(AND(B232&lt;&gt;"",A232=Config!$B$6),COUNTIFS($A$5:A232,Config!$B$6,$B$5:B232,"&lt;&gt;"),"")</f>
        <v/>
      </c>
    </row>
    <row r="233">
      <c r="A233" s="33" t="n"/>
      <c r="B233" s="31" t="n"/>
      <c r="C233" s="33" t="n"/>
      <c r="D233" s="34" t="n"/>
      <c r="E233" s="33" t="n"/>
      <c r="F233" s="33" t="n"/>
      <c r="G233" s="34" t="n"/>
      <c r="H233" s="21">
        <f>IF(B233="","",IF(F233="Feito","Feita",IF(D233="","Sem prazo",IF(D233&lt;Config!$B$5,"Atrasada",IF(D233=Config!$B$5,"Hoje",IF(D233-Config!$B$5&lt;=7,"Esta semana","No prazo"))))))</f>
        <v/>
      </c>
      <c r="I233" s="24">
        <f>IF(OR(B233="",F233="Feito",D233=""),"",D233-Config!$B$5)</f>
        <v/>
      </c>
      <c r="J233" s="28">
        <f>IF(OR(B233="",F233="Feito"),0,IF(H233="Atrasada",3000+MIN(Config!$B$5-D233,60),IF(H233="Hoje",2500,IF(H233="Esta semana",2000-(D233-Config!$B$5),IF(H233="Sem prazo",500,1000-MIN(D233-Config!$B$5,900)))))+IF(E233="Alta",200,IF(E233="Média",100,0))-ROW()/100000)</f>
        <v>0</v>
      </c>
      <c r="K233" s="28">
        <f>IF(AND(B233&lt;&gt;"",A233=Config!$B$6),COUNTIFS($A$5:A233,Config!$B$6,$B$5:B233,"&lt;&gt;"),"")</f>
        <v/>
      </c>
    </row>
    <row r="234">
      <c r="A234" s="33" t="n"/>
      <c r="B234" s="31" t="n"/>
      <c r="C234" s="33" t="n"/>
      <c r="D234" s="34" t="n"/>
      <c r="E234" s="33" t="n"/>
      <c r="F234" s="33" t="n"/>
      <c r="G234" s="34" t="n"/>
      <c r="H234" s="21">
        <f>IF(B234="","",IF(F234="Feito","Feita",IF(D234="","Sem prazo",IF(D234&lt;Config!$B$5,"Atrasada",IF(D234=Config!$B$5,"Hoje",IF(D234-Config!$B$5&lt;=7,"Esta semana","No prazo"))))))</f>
        <v/>
      </c>
      <c r="I234" s="24">
        <f>IF(OR(B234="",F234="Feito",D234=""),"",D234-Config!$B$5)</f>
        <v/>
      </c>
      <c r="J234" s="28">
        <f>IF(OR(B234="",F234="Feito"),0,IF(H234="Atrasada",3000+MIN(Config!$B$5-D234,60),IF(H234="Hoje",2500,IF(H234="Esta semana",2000-(D234-Config!$B$5),IF(H234="Sem prazo",500,1000-MIN(D234-Config!$B$5,900)))))+IF(E234="Alta",200,IF(E234="Média",100,0))-ROW()/100000)</f>
        <v>0</v>
      </c>
      <c r="K234" s="28">
        <f>IF(AND(B234&lt;&gt;"",A234=Config!$B$6),COUNTIFS($A$5:A234,Config!$B$6,$B$5:B234,"&lt;&gt;"),"")</f>
        <v/>
      </c>
    </row>
    <row r="235">
      <c r="A235" s="33" t="n"/>
      <c r="B235" s="31" t="n"/>
      <c r="C235" s="33" t="n"/>
      <c r="D235" s="34" t="n"/>
      <c r="E235" s="33" t="n"/>
      <c r="F235" s="33" t="n"/>
      <c r="G235" s="34" t="n"/>
      <c r="H235" s="21">
        <f>IF(B235="","",IF(F235="Feito","Feita",IF(D235="","Sem prazo",IF(D235&lt;Config!$B$5,"Atrasada",IF(D235=Config!$B$5,"Hoje",IF(D235-Config!$B$5&lt;=7,"Esta semana","No prazo"))))))</f>
        <v/>
      </c>
      <c r="I235" s="24">
        <f>IF(OR(B235="",F235="Feito",D235=""),"",D235-Config!$B$5)</f>
        <v/>
      </c>
      <c r="J235" s="28">
        <f>IF(OR(B235="",F235="Feito"),0,IF(H235="Atrasada",3000+MIN(Config!$B$5-D235,60),IF(H235="Hoje",2500,IF(H235="Esta semana",2000-(D235-Config!$B$5),IF(H235="Sem prazo",500,1000-MIN(D235-Config!$B$5,900)))))+IF(E235="Alta",200,IF(E235="Média",100,0))-ROW()/100000)</f>
        <v>0</v>
      </c>
      <c r="K235" s="28">
        <f>IF(AND(B235&lt;&gt;"",A235=Config!$B$6),COUNTIFS($A$5:A235,Config!$B$6,$B$5:B235,"&lt;&gt;"),"")</f>
        <v/>
      </c>
    </row>
    <row r="236">
      <c r="A236" s="33" t="n"/>
      <c r="B236" s="31" t="n"/>
      <c r="C236" s="33" t="n"/>
      <c r="D236" s="34" t="n"/>
      <c r="E236" s="33" t="n"/>
      <c r="F236" s="33" t="n"/>
      <c r="G236" s="34" t="n"/>
      <c r="H236" s="21">
        <f>IF(B236="","",IF(F236="Feito","Feita",IF(D236="","Sem prazo",IF(D236&lt;Config!$B$5,"Atrasada",IF(D236=Config!$B$5,"Hoje",IF(D236-Config!$B$5&lt;=7,"Esta semana","No prazo"))))))</f>
        <v/>
      </c>
      <c r="I236" s="24">
        <f>IF(OR(B236="",F236="Feito",D236=""),"",D236-Config!$B$5)</f>
        <v/>
      </c>
      <c r="J236" s="28">
        <f>IF(OR(B236="",F236="Feito"),0,IF(H236="Atrasada",3000+MIN(Config!$B$5-D236,60),IF(H236="Hoje",2500,IF(H236="Esta semana",2000-(D236-Config!$B$5),IF(H236="Sem prazo",500,1000-MIN(D236-Config!$B$5,900)))))+IF(E236="Alta",200,IF(E236="Média",100,0))-ROW()/100000)</f>
        <v>0</v>
      </c>
      <c r="K236" s="28">
        <f>IF(AND(B236&lt;&gt;"",A236=Config!$B$6),COUNTIFS($A$5:A236,Config!$B$6,$B$5:B236,"&lt;&gt;"),"")</f>
        <v/>
      </c>
    </row>
    <row r="237">
      <c r="A237" s="33" t="n"/>
      <c r="B237" s="31" t="n"/>
      <c r="C237" s="33" t="n"/>
      <c r="D237" s="34" t="n"/>
      <c r="E237" s="33" t="n"/>
      <c r="F237" s="33" t="n"/>
      <c r="G237" s="34" t="n"/>
      <c r="H237" s="21">
        <f>IF(B237="","",IF(F237="Feito","Feita",IF(D237="","Sem prazo",IF(D237&lt;Config!$B$5,"Atrasada",IF(D237=Config!$B$5,"Hoje",IF(D237-Config!$B$5&lt;=7,"Esta semana","No prazo"))))))</f>
        <v/>
      </c>
      <c r="I237" s="24">
        <f>IF(OR(B237="",F237="Feito",D237=""),"",D237-Config!$B$5)</f>
        <v/>
      </c>
      <c r="J237" s="28">
        <f>IF(OR(B237="",F237="Feito"),0,IF(H237="Atrasada",3000+MIN(Config!$B$5-D237,60),IF(H237="Hoje",2500,IF(H237="Esta semana",2000-(D237-Config!$B$5),IF(H237="Sem prazo",500,1000-MIN(D237-Config!$B$5,900)))))+IF(E237="Alta",200,IF(E237="Média",100,0))-ROW()/100000)</f>
        <v>0</v>
      </c>
      <c r="K237" s="28">
        <f>IF(AND(B237&lt;&gt;"",A237=Config!$B$6),COUNTIFS($A$5:A237,Config!$B$6,$B$5:B237,"&lt;&gt;"),"")</f>
        <v/>
      </c>
    </row>
    <row r="238">
      <c r="A238" s="33" t="n"/>
      <c r="B238" s="31" t="n"/>
      <c r="C238" s="33" t="n"/>
      <c r="D238" s="34" t="n"/>
      <c r="E238" s="33" t="n"/>
      <c r="F238" s="33" t="n"/>
      <c r="G238" s="34" t="n"/>
      <c r="H238" s="21">
        <f>IF(B238="","",IF(F238="Feito","Feita",IF(D238="","Sem prazo",IF(D238&lt;Config!$B$5,"Atrasada",IF(D238=Config!$B$5,"Hoje",IF(D238-Config!$B$5&lt;=7,"Esta semana","No prazo"))))))</f>
        <v/>
      </c>
      <c r="I238" s="24">
        <f>IF(OR(B238="",F238="Feito",D238=""),"",D238-Config!$B$5)</f>
        <v/>
      </c>
      <c r="J238" s="28">
        <f>IF(OR(B238="",F238="Feito"),0,IF(H238="Atrasada",3000+MIN(Config!$B$5-D238,60),IF(H238="Hoje",2500,IF(H238="Esta semana",2000-(D238-Config!$B$5),IF(H238="Sem prazo",500,1000-MIN(D238-Config!$B$5,900)))))+IF(E238="Alta",200,IF(E238="Média",100,0))-ROW()/100000)</f>
        <v>0</v>
      </c>
      <c r="K238" s="28">
        <f>IF(AND(B238&lt;&gt;"",A238=Config!$B$6),COUNTIFS($A$5:A238,Config!$B$6,$B$5:B238,"&lt;&gt;"),"")</f>
        <v/>
      </c>
    </row>
    <row r="239">
      <c r="A239" s="33" t="n"/>
      <c r="B239" s="31" t="n"/>
      <c r="C239" s="33" t="n"/>
      <c r="D239" s="34" t="n"/>
      <c r="E239" s="33" t="n"/>
      <c r="F239" s="33" t="n"/>
      <c r="G239" s="34" t="n"/>
      <c r="H239" s="21">
        <f>IF(B239="","",IF(F239="Feito","Feita",IF(D239="","Sem prazo",IF(D239&lt;Config!$B$5,"Atrasada",IF(D239=Config!$B$5,"Hoje",IF(D239-Config!$B$5&lt;=7,"Esta semana","No prazo"))))))</f>
        <v/>
      </c>
      <c r="I239" s="24">
        <f>IF(OR(B239="",F239="Feito",D239=""),"",D239-Config!$B$5)</f>
        <v/>
      </c>
      <c r="J239" s="28">
        <f>IF(OR(B239="",F239="Feito"),0,IF(H239="Atrasada",3000+MIN(Config!$B$5-D239,60),IF(H239="Hoje",2500,IF(H239="Esta semana",2000-(D239-Config!$B$5),IF(H239="Sem prazo",500,1000-MIN(D239-Config!$B$5,900)))))+IF(E239="Alta",200,IF(E239="Média",100,0))-ROW()/100000)</f>
        <v>0</v>
      </c>
      <c r="K239" s="28">
        <f>IF(AND(B239&lt;&gt;"",A239=Config!$B$6),COUNTIFS($A$5:A239,Config!$B$6,$B$5:B239,"&lt;&gt;"),"")</f>
        <v/>
      </c>
    </row>
    <row r="240">
      <c r="A240" s="33" t="n"/>
      <c r="B240" s="31" t="n"/>
      <c r="C240" s="33" t="n"/>
      <c r="D240" s="34" t="n"/>
      <c r="E240" s="33" t="n"/>
      <c r="F240" s="33" t="n"/>
      <c r="G240" s="34" t="n"/>
      <c r="H240" s="21">
        <f>IF(B240="","",IF(F240="Feito","Feita",IF(D240="","Sem prazo",IF(D240&lt;Config!$B$5,"Atrasada",IF(D240=Config!$B$5,"Hoje",IF(D240-Config!$B$5&lt;=7,"Esta semana","No prazo"))))))</f>
        <v/>
      </c>
      <c r="I240" s="24">
        <f>IF(OR(B240="",F240="Feito",D240=""),"",D240-Config!$B$5)</f>
        <v/>
      </c>
      <c r="J240" s="28">
        <f>IF(OR(B240="",F240="Feito"),0,IF(H240="Atrasada",3000+MIN(Config!$B$5-D240,60),IF(H240="Hoje",2500,IF(H240="Esta semana",2000-(D240-Config!$B$5),IF(H240="Sem prazo",500,1000-MIN(D240-Config!$B$5,900)))))+IF(E240="Alta",200,IF(E240="Média",100,0))-ROW()/100000)</f>
        <v>0</v>
      </c>
      <c r="K240" s="28">
        <f>IF(AND(B240&lt;&gt;"",A240=Config!$B$6),COUNTIFS($A$5:A240,Config!$B$6,$B$5:B240,"&lt;&gt;"),"")</f>
        <v/>
      </c>
    </row>
    <row r="241">
      <c r="A241" s="33" t="n"/>
      <c r="B241" s="31" t="n"/>
      <c r="C241" s="33" t="n"/>
      <c r="D241" s="34" t="n"/>
      <c r="E241" s="33" t="n"/>
      <c r="F241" s="33" t="n"/>
      <c r="G241" s="34" t="n"/>
      <c r="H241" s="21">
        <f>IF(B241="","",IF(F241="Feito","Feita",IF(D241="","Sem prazo",IF(D241&lt;Config!$B$5,"Atrasada",IF(D241=Config!$B$5,"Hoje",IF(D241-Config!$B$5&lt;=7,"Esta semana","No prazo"))))))</f>
        <v/>
      </c>
      <c r="I241" s="24">
        <f>IF(OR(B241="",F241="Feito",D241=""),"",D241-Config!$B$5)</f>
        <v/>
      </c>
      <c r="J241" s="28">
        <f>IF(OR(B241="",F241="Feito"),0,IF(H241="Atrasada",3000+MIN(Config!$B$5-D241,60),IF(H241="Hoje",2500,IF(H241="Esta semana",2000-(D241-Config!$B$5),IF(H241="Sem prazo",500,1000-MIN(D241-Config!$B$5,900)))))+IF(E241="Alta",200,IF(E241="Média",100,0))-ROW()/100000)</f>
        <v>0</v>
      </c>
      <c r="K241" s="28">
        <f>IF(AND(B241&lt;&gt;"",A241=Config!$B$6),COUNTIFS($A$5:A241,Config!$B$6,$B$5:B241,"&lt;&gt;"),"")</f>
        <v/>
      </c>
    </row>
    <row r="242">
      <c r="A242" s="33" t="n"/>
      <c r="B242" s="31" t="n"/>
      <c r="C242" s="33" t="n"/>
      <c r="D242" s="34" t="n"/>
      <c r="E242" s="33" t="n"/>
      <c r="F242" s="33" t="n"/>
      <c r="G242" s="34" t="n"/>
      <c r="H242" s="21">
        <f>IF(B242="","",IF(F242="Feito","Feita",IF(D242="","Sem prazo",IF(D242&lt;Config!$B$5,"Atrasada",IF(D242=Config!$B$5,"Hoje",IF(D242-Config!$B$5&lt;=7,"Esta semana","No prazo"))))))</f>
        <v/>
      </c>
      <c r="I242" s="24">
        <f>IF(OR(B242="",F242="Feito",D242=""),"",D242-Config!$B$5)</f>
        <v/>
      </c>
      <c r="J242" s="28">
        <f>IF(OR(B242="",F242="Feito"),0,IF(H242="Atrasada",3000+MIN(Config!$B$5-D242,60),IF(H242="Hoje",2500,IF(H242="Esta semana",2000-(D242-Config!$B$5),IF(H242="Sem prazo",500,1000-MIN(D242-Config!$B$5,900)))))+IF(E242="Alta",200,IF(E242="Média",100,0))-ROW()/100000)</f>
        <v>0</v>
      </c>
      <c r="K242" s="28">
        <f>IF(AND(B242&lt;&gt;"",A242=Config!$B$6),COUNTIFS($A$5:A242,Config!$B$6,$B$5:B242,"&lt;&gt;"),"")</f>
        <v/>
      </c>
    </row>
    <row r="243">
      <c r="A243" s="33" t="n"/>
      <c r="B243" s="31" t="n"/>
      <c r="C243" s="33" t="n"/>
      <c r="D243" s="34" t="n"/>
      <c r="E243" s="33" t="n"/>
      <c r="F243" s="33" t="n"/>
      <c r="G243" s="34" t="n"/>
      <c r="H243" s="21">
        <f>IF(B243="","",IF(F243="Feito","Feita",IF(D243="","Sem prazo",IF(D243&lt;Config!$B$5,"Atrasada",IF(D243=Config!$B$5,"Hoje",IF(D243-Config!$B$5&lt;=7,"Esta semana","No prazo"))))))</f>
        <v/>
      </c>
      <c r="I243" s="24">
        <f>IF(OR(B243="",F243="Feito",D243=""),"",D243-Config!$B$5)</f>
        <v/>
      </c>
      <c r="J243" s="28">
        <f>IF(OR(B243="",F243="Feito"),0,IF(H243="Atrasada",3000+MIN(Config!$B$5-D243,60),IF(H243="Hoje",2500,IF(H243="Esta semana",2000-(D243-Config!$B$5),IF(H243="Sem prazo",500,1000-MIN(D243-Config!$B$5,900)))))+IF(E243="Alta",200,IF(E243="Média",100,0))-ROW()/100000)</f>
        <v>0</v>
      </c>
      <c r="K243" s="28">
        <f>IF(AND(B243&lt;&gt;"",A243=Config!$B$6),COUNTIFS($A$5:A243,Config!$B$6,$B$5:B243,"&lt;&gt;"),"")</f>
        <v/>
      </c>
    </row>
    <row r="244">
      <c r="A244" s="33" t="n"/>
      <c r="B244" s="31" t="n"/>
      <c r="C244" s="33" t="n"/>
      <c r="D244" s="34" t="n"/>
      <c r="E244" s="33" t="n"/>
      <c r="F244" s="33" t="n"/>
      <c r="G244" s="34" t="n"/>
      <c r="H244" s="21">
        <f>IF(B244="","",IF(F244="Feito","Feita",IF(D244="","Sem prazo",IF(D244&lt;Config!$B$5,"Atrasada",IF(D244=Config!$B$5,"Hoje",IF(D244-Config!$B$5&lt;=7,"Esta semana","No prazo"))))))</f>
        <v/>
      </c>
      <c r="I244" s="24">
        <f>IF(OR(B244="",F244="Feito",D244=""),"",D244-Config!$B$5)</f>
        <v/>
      </c>
      <c r="J244" s="28">
        <f>IF(OR(B244="",F244="Feito"),0,IF(H244="Atrasada",3000+MIN(Config!$B$5-D244,60),IF(H244="Hoje",2500,IF(H244="Esta semana",2000-(D244-Config!$B$5),IF(H244="Sem prazo",500,1000-MIN(D244-Config!$B$5,900)))))+IF(E244="Alta",200,IF(E244="Média",100,0))-ROW()/100000)</f>
        <v>0</v>
      </c>
      <c r="K244" s="28">
        <f>IF(AND(B244&lt;&gt;"",A244=Config!$B$6),COUNTIFS($A$5:A244,Config!$B$6,$B$5:B244,"&lt;&gt;"),"")</f>
        <v/>
      </c>
    </row>
    <row r="245">
      <c r="A245" s="33" t="n"/>
      <c r="B245" s="31" t="n"/>
      <c r="C245" s="33" t="n"/>
      <c r="D245" s="34" t="n"/>
      <c r="E245" s="33" t="n"/>
      <c r="F245" s="33" t="n"/>
      <c r="G245" s="34" t="n"/>
      <c r="H245" s="21">
        <f>IF(B245="","",IF(F245="Feito","Feita",IF(D245="","Sem prazo",IF(D245&lt;Config!$B$5,"Atrasada",IF(D245=Config!$B$5,"Hoje",IF(D245-Config!$B$5&lt;=7,"Esta semana","No prazo"))))))</f>
        <v/>
      </c>
      <c r="I245" s="24">
        <f>IF(OR(B245="",F245="Feito",D245=""),"",D245-Config!$B$5)</f>
        <v/>
      </c>
      <c r="J245" s="28">
        <f>IF(OR(B245="",F245="Feito"),0,IF(H245="Atrasada",3000+MIN(Config!$B$5-D245,60),IF(H245="Hoje",2500,IF(H245="Esta semana",2000-(D245-Config!$B$5),IF(H245="Sem prazo",500,1000-MIN(D245-Config!$B$5,900)))))+IF(E245="Alta",200,IF(E245="Média",100,0))-ROW()/100000)</f>
        <v>0</v>
      </c>
      <c r="K245" s="28">
        <f>IF(AND(B245&lt;&gt;"",A245=Config!$B$6),COUNTIFS($A$5:A245,Config!$B$6,$B$5:B245,"&lt;&gt;"),"")</f>
        <v/>
      </c>
    </row>
    <row r="246">
      <c r="A246" s="33" t="n"/>
      <c r="B246" s="31" t="n"/>
      <c r="C246" s="33" t="n"/>
      <c r="D246" s="34" t="n"/>
      <c r="E246" s="33" t="n"/>
      <c r="F246" s="33" t="n"/>
      <c r="G246" s="34" t="n"/>
      <c r="H246" s="21">
        <f>IF(B246="","",IF(F246="Feito","Feita",IF(D246="","Sem prazo",IF(D246&lt;Config!$B$5,"Atrasada",IF(D246=Config!$B$5,"Hoje",IF(D246-Config!$B$5&lt;=7,"Esta semana","No prazo"))))))</f>
        <v/>
      </c>
      <c r="I246" s="24">
        <f>IF(OR(B246="",F246="Feito",D246=""),"",D246-Config!$B$5)</f>
        <v/>
      </c>
      <c r="J246" s="28">
        <f>IF(OR(B246="",F246="Feito"),0,IF(H246="Atrasada",3000+MIN(Config!$B$5-D246,60),IF(H246="Hoje",2500,IF(H246="Esta semana",2000-(D246-Config!$B$5),IF(H246="Sem prazo",500,1000-MIN(D246-Config!$B$5,900)))))+IF(E246="Alta",200,IF(E246="Média",100,0))-ROW()/100000)</f>
        <v>0</v>
      </c>
      <c r="K246" s="28">
        <f>IF(AND(B246&lt;&gt;"",A246=Config!$B$6),COUNTIFS($A$5:A246,Config!$B$6,$B$5:B246,"&lt;&gt;"),"")</f>
        <v/>
      </c>
    </row>
    <row r="247">
      <c r="A247" s="33" t="n"/>
      <c r="B247" s="31" t="n"/>
      <c r="C247" s="33" t="n"/>
      <c r="D247" s="34" t="n"/>
      <c r="E247" s="33" t="n"/>
      <c r="F247" s="33" t="n"/>
      <c r="G247" s="34" t="n"/>
      <c r="H247" s="21">
        <f>IF(B247="","",IF(F247="Feito","Feita",IF(D247="","Sem prazo",IF(D247&lt;Config!$B$5,"Atrasada",IF(D247=Config!$B$5,"Hoje",IF(D247-Config!$B$5&lt;=7,"Esta semana","No prazo"))))))</f>
        <v/>
      </c>
      <c r="I247" s="24">
        <f>IF(OR(B247="",F247="Feito",D247=""),"",D247-Config!$B$5)</f>
        <v/>
      </c>
      <c r="J247" s="28">
        <f>IF(OR(B247="",F247="Feito"),0,IF(H247="Atrasada",3000+MIN(Config!$B$5-D247,60),IF(H247="Hoje",2500,IF(H247="Esta semana",2000-(D247-Config!$B$5),IF(H247="Sem prazo",500,1000-MIN(D247-Config!$B$5,900)))))+IF(E247="Alta",200,IF(E247="Média",100,0))-ROW()/100000)</f>
        <v>0</v>
      </c>
      <c r="K247" s="28">
        <f>IF(AND(B247&lt;&gt;"",A247=Config!$B$6),COUNTIFS($A$5:A247,Config!$B$6,$B$5:B247,"&lt;&gt;"),"")</f>
        <v/>
      </c>
    </row>
    <row r="248">
      <c r="A248" s="33" t="n"/>
      <c r="B248" s="31" t="n"/>
      <c r="C248" s="33" t="n"/>
      <c r="D248" s="34" t="n"/>
      <c r="E248" s="33" t="n"/>
      <c r="F248" s="33" t="n"/>
      <c r="G248" s="34" t="n"/>
      <c r="H248" s="21">
        <f>IF(B248="","",IF(F248="Feito","Feita",IF(D248="","Sem prazo",IF(D248&lt;Config!$B$5,"Atrasada",IF(D248=Config!$B$5,"Hoje",IF(D248-Config!$B$5&lt;=7,"Esta semana","No prazo"))))))</f>
        <v/>
      </c>
      <c r="I248" s="24">
        <f>IF(OR(B248="",F248="Feito",D248=""),"",D248-Config!$B$5)</f>
        <v/>
      </c>
      <c r="J248" s="28">
        <f>IF(OR(B248="",F248="Feito"),0,IF(H248="Atrasada",3000+MIN(Config!$B$5-D248,60),IF(H248="Hoje",2500,IF(H248="Esta semana",2000-(D248-Config!$B$5),IF(H248="Sem prazo",500,1000-MIN(D248-Config!$B$5,900)))))+IF(E248="Alta",200,IF(E248="Média",100,0))-ROW()/100000)</f>
        <v>0</v>
      </c>
      <c r="K248" s="28">
        <f>IF(AND(B248&lt;&gt;"",A248=Config!$B$6),COUNTIFS($A$5:A248,Config!$B$6,$B$5:B248,"&lt;&gt;"),"")</f>
        <v/>
      </c>
    </row>
    <row r="249">
      <c r="A249" s="33" t="n"/>
      <c r="B249" s="31" t="n"/>
      <c r="C249" s="33" t="n"/>
      <c r="D249" s="34" t="n"/>
      <c r="E249" s="33" t="n"/>
      <c r="F249" s="33" t="n"/>
      <c r="G249" s="34" t="n"/>
      <c r="H249" s="21">
        <f>IF(B249="","",IF(F249="Feito","Feita",IF(D249="","Sem prazo",IF(D249&lt;Config!$B$5,"Atrasada",IF(D249=Config!$B$5,"Hoje",IF(D249-Config!$B$5&lt;=7,"Esta semana","No prazo"))))))</f>
        <v/>
      </c>
      <c r="I249" s="24">
        <f>IF(OR(B249="",F249="Feito",D249=""),"",D249-Config!$B$5)</f>
        <v/>
      </c>
      <c r="J249" s="28">
        <f>IF(OR(B249="",F249="Feito"),0,IF(H249="Atrasada",3000+MIN(Config!$B$5-D249,60),IF(H249="Hoje",2500,IF(H249="Esta semana",2000-(D249-Config!$B$5),IF(H249="Sem prazo",500,1000-MIN(D249-Config!$B$5,900)))))+IF(E249="Alta",200,IF(E249="Média",100,0))-ROW()/100000)</f>
        <v>0</v>
      </c>
      <c r="K249" s="28">
        <f>IF(AND(B249&lt;&gt;"",A249=Config!$B$6),COUNTIFS($A$5:A249,Config!$B$6,$B$5:B249,"&lt;&gt;"),"")</f>
        <v/>
      </c>
    </row>
    <row r="250">
      <c r="A250" s="33" t="n"/>
      <c r="B250" s="31" t="n"/>
      <c r="C250" s="33" t="n"/>
      <c r="D250" s="34" t="n"/>
      <c r="E250" s="33" t="n"/>
      <c r="F250" s="33" t="n"/>
      <c r="G250" s="34" t="n"/>
      <c r="H250" s="21">
        <f>IF(B250="","",IF(F250="Feito","Feita",IF(D250="","Sem prazo",IF(D250&lt;Config!$B$5,"Atrasada",IF(D250=Config!$B$5,"Hoje",IF(D250-Config!$B$5&lt;=7,"Esta semana","No prazo"))))))</f>
        <v/>
      </c>
      <c r="I250" s="24">
        <f>IF(OR(B250="",F250="Feito",D250=""),"",D250-Config!$B$5)</f>
        <v/>
      </c>
      <c r="J250" s="28">
        <f>IF(OR(B250="",F250="Feito"),0,IF(H250="Atrasada",3000+MIN(Config!$B$5-D250,60),IF(H250="Hoje",2500,IF(H250="Esta semana",2000-(D250-Config!$B$5),IF(H250="Sem prazo",500,1000-MIN(D250-Config!$B$5,900)))))+IF(E250="Alta",200,IF(E250="Média",100,0))-ROW()/100000)</f>
        <v>0</v>
      </c>
      <c r="K250" s="28">
        <f>IF(AND(B250&lt;&gt;"",A250=Config!$B$6),COUNTIFS($A$5:A250,Config!$B$6,$B$5:B250,"&lt;&gt;"),"")</f>
        <v/>
      </c>
    </row>
    <row r="251">
      <c r="A251" s="33" t="n"/>
      <c r="B251" s="31" t="n"/>
      <c r="C251" s="33" t="n"/>
      <c r="D251" s="34" t="n"/>
      <c r="E251" s="33" t="n"/>
      <c r="F251" s="33" t="n"/>
      <c r="G251" s="34" t="n"/>
      <c r="H251" s="21">
        <f>IF(B251="","",IF(F251="Feito","Feita",IF(D251="","Sem prazo",IF(D251&lt;Config!$B$5,"Atrasada",IF(D251=Config!$B$5,"Hoje",IF(D251-Config!$B$5&lt;=7,"Esta semana","No prazo"))))))</f>
        <v/>
      </c>
      <c r="I251" s="24">
        <f>IF(OR(B251="",F251="Feito",D251=""),"",D251-Config!$B$5)</f>
        <v/>
      </c>
      <c r="J251" s="28">
        <f>IF(OR(B251="",F251="Feito"),0,IF(H251="Atrasada",3000+MIN(Config!$B$5-D251,60),IF(H251="Hoje",2500,IF(H251="Esta semana",2000-(D251-Config!$B$5),IF(H251="Sem prazo",500,1000-MIN(D251-Config!$B$5,900)))))+IF(E251="Alta",200,IF(E251="Média",100,0))-ROW()/100000)</f>
        <v>0</v>
      </c>
      <c r="K251" s="28">
        <f>IF(AND(B251&lt;&gt;"",A251=Config!$B$6),COUNTIFS($A$5:A251,Config!$B$6,$B$5:B251,"&lt;&gt;"),"")</f>
        <v/>
      </c>
    </row>
    <row r="252">
      <c r="A252" s="33" t="n"/>
      <c r="B252" s="31" t="n"/>
      <c r="C252" s="33" t="n"/>
      <c r="D252" s="34" t="n"/>
      <c r="E252" s="33" t="n"/>
      <c r="F252" s="33" t="n"/>
      <c r="G252" s="34" t="n"/>
      <c r="H252" s="21">
        <f>IF(B252="","",IF(F252="Feito","Feita",IF(D252="","Sem prazo",IF(D252&lt;Config!$B$5,"Atrasada",IF(D252=Config!$B$5,"Hoje",IF(D252-Config!$B$5&lt;=7,"Esta semana","No prazo"))))))</f>
        <v/>
      </c>
      <c r="I252" s="24">
        <f>IF(OR(B252="",F252="Feito",D252=""),"",D252-Config!$B$5)</f>
        <v/>
      </c>
      <c r="J252" s="28">
        <f>IF(OR(B252="",F252="Feito"),0,IF(H252="Atrasada",3000+MIN(Config!$B$5-D252,60),IF(H252="Hoje",2500,IF(H252="Esta semana",2000-(D252-Config!$B$5),IF(H252="Sem prazo",500,1000-MIN(D252-Config!$B$5,900)))))+IF(E252="Alta",200,IF(E252="Média",100,0))-ROW()/100000)</f>
        <v>0</v>
      </c>
      <c r="K252" s="28">
        <f>IF(AND(B252&lt;&gt;"",A252=Config!$B$6),COUNTIFS($A$5:A252,Config!$B$6,$B$5:B252,"&lt;&gt;"),"")</f>
        <v/>
      </c>
    </row>
    <row r="253">
      <c r="A253" s="33" t="n"/>
      <c r="B253" s="31" t="n"/>
      <c r="C253" s="33" t="n"/>
      <c r="D253" s="34" t="n"/>
      <c r="E253" s="33" t="n"/>
      <c r="F253" s="33" t="n"/>
      <c r="G253" s="34" t="n"/>
      <c r="H253" s="21">
        <f>IF(B253="","",IF(F253="Feito","Feita",IF(D253="","Sem prazo",IF(D253&lt;Config!$B$5,"Atrasada",IF(D253=Config!$B$5,"Hoje",IF(D253-Config!$B$5&lt;=7,"Esta semana","No prazo"))))))</f>
        <v/>
      </c>
      <c r="I253" s="24">
        <f>IF(OR(B253="",F253="Feito",D253=""),"",D253-Config!$B$5)</f>
        <v/>
      </c>
      <c r="J253" s="28">
        <f>IF(OR(B253="",F253="Feito"),0,IF(H253="Atrasada",3000+MIN(Config!$B$5-D253,60),IF(H253="Hoje",2500,IF(H253="Esta semana",2000-(D253-Config!$B$5),IF(H253="Sem prazo",500,1000-MIN(D253-Config!$B$5,900)))))+IF(E253="Alta",200,IF(E253="Média",100,0))-ROW()/100000)</f>
        <v>0</v>
      </c>
      <c r="K253" s="28">
        <f>IF(AND(B253&lt;&gt;"",A253=Config!$B$6),COUNTIFS($A$5:A253,Config!$B$6,$B$5:B253,"&lt;&gt;"),"")</f>
        <v/>
      </c>
    </row>
    <row r="254">
      <c r="A254" s="33" t="n"/>
      <c r="B254" s="31" t="n"/>
      <c r="C254" s="33" t="n"/>
      <c r="D254" s="34" t="n"/>
      <c r="E254" s="33" t="n"/>
      <c r="F254" s="33" t="n"/>
      <c r="G254" s="34" t="n"/>
      <c r="H254" s="21">
        <f>IF(B254="","",IF(F254="Feito","Feita",IF(D254="","Sem prazo",IF(D254&lt;Config!$B$5,"Atrasada",IF(D254=Config!$B$5,"Hoje",IF(D254-Config!$B$5&lt;=7,"Esta semana","No prazo"))))))</f>
        <v/>
      </c>
      <c r="I254" s="24">
        <f>IF(OR(B254="",F254="Feito",D254=""),"",D254-Config!$B$5)</f>
        <v/>
      </c>
      <c r="J254" s="28">
        <f>IF(OR(B254="",F254="Feito"),0,IF(H254="Atrasada",3000+MIN(Config!$B$5-D254,60),IF(H254="Hoje",2500,IF(H254="Esta semana",2000-(D254-Config!$B$5),IF(H254="Sem prazo",500,1000-MIN(D254-Config!$B$5,900)))))+IF(E254="Alta",200,IF(E254="Média",100,0))-ROW()/100000)</f>
        <v>0</v>
      </c>
      <c r="K254" s="28">
        <f>IF(AND(B254&lt;&gt;"",A254=Config!$B$6),COUNTIFS($A$5:A254,Config!$B$6,$B$5:B254,"&lt;&gt;"),"")</f>
        <v/>
      </c>
    </row>
    <row r="255">
      <c r="A255" s="33" t="n"/>
      <c r="B255" s="31" t="n"/>
      <c r="C255" s="33" t="n"/>
      <c r="D255" s="34" t="n"/>
      <c r="E255" s="33" t="n"/>
      <c r="F255" s="33" t="n"/>
      <c r="G255" s="34" t="n"/>
      <c r="H255" s="21">
        <f>IF(B255="","",IF(F255="Feito","Feita",IF(D255="","Sem prazo",IF(D255&lt;Config!$B$5,"Atrasada",IF(D255=Config!$B$5,"Hoje",IF(D255-Config!$B$5&lt;=7,"Esta semana","No prazo"))))))</f>
        <v/>
      </c>
      <c r="I255" s="24">
        <f>IF(OR(B255="",F255="Feito",D255=""),"",D255-Config!$B$5)</f>
        <v/>
      </c>
      <c r="J255" s="28">
        <f>IF(OR(B255="",F255="Feito"),0,IF(H255="Atrasada",3000+MIN(Config!$B$5-D255,60),IF(H255="Hoje",2500,IF(H255="Esta semana",2000-(D255-Config!$B$5),IF(H255="Sem prazo",500,1000-MIN(D255-Config!$B$5,900)))))+IF(E255="Alta",200,IF(E255="Média",100,0))-ROW()/100000)</f>
        <v>0</v>
      </c>
      <c r="K255" s="28">
        <f>IF(AND(B255&lt;&gt;"",A255=Config!$B$6),COUNTIFS($A$5:A255,Config!$B$6,$B$5:B255,"&lt;&gt;"),"")</f>
        <v/>
      </c>
    </row>
    <row r="256">
      <c r="A256" s="33" t="n"/>
      <c r="B256" s="31" t="n"/>
      <c r="C256" s="33" t="n"/>
      <c r="D256" s="34" t="n"/>
      <c r="E256" s="33" t="n"/>
      <c r="F256" s="33" t="n"/>
      <c r="G256" s="34" t="n"/>
      <c r="H256" s="21">
        <f>IF(B256="","",IF(F256="Feito","Feita",IF(D256="","Sem prazo",IF(D256&lt;Config!$B$5,"Atrasada",IF(D256=Config!$B$5,"Hoje",IF(D256-Config!$B$5&lt;=7,"Esta semana","No prazo"))))))</f>
        <v/>
      </c>
      <c r="I256" s="24">
        <f>IF(OR(B256="",F256="Feito",D256=""),"",D256-Config!$B$5)</f>
        <v/>
      </c>
      <c r="J256" s="28">
        <f>IF(OR(B256="",F256="Feito"),0,IF(H256="Atrasada",3000+MIN(Config!$B$5-D256,60),IF(H256="Hoje",2500,IF(H256="Esta semana",2000-(D256-Config!$B$5),IF(H256="Sem prazo",500,1000-MIN(D256-Config!$B$5,900)))))+IF(E256="Alta",200,IF(E256="Média",100,0))-ROW()/100000)</f>
        <v>0</v>
      </c>
      <c r="K256" s="28">
        <f>IF(AND(B256&lt;&gt;"",A256=Config!$B$6),COUNTIFS($A$5:A256,Config!$B$6,$B$5:B256,"&lt;&gt;"),"")</f>
        <v/>
      </c>
    </row>
    <row r="257">
      <c r="A257" s="33" t="n"/>
      <c r="B257" s="31" t="n"/>
      <c r="C257" s="33" t="n"/>
      <c r="D257" s="34" t="n"/>
      <c r="E257" s="33" t="n"/>
      <c r="F257" s="33" t="n"/>
      <c r="G257" s="34" t="n"/>
      <c r="H257" s="21">
        <f>IF(B257="","",IF(F257="Feito","Feita",IF(D257="","Sem prazo",IF(D257&lt;Config!$B$5,"Atrasada",IF(D257=Config!$B$5,"Hoje",IF(D257-Config!$B$5&lt;=7,"Esta semana","No prazo"))))))</f>
        <v/>
      </c>
      <c r="I257" s="24">
        <f>IF(OR(B257="",F257="Feito",D257=""),"",D257-Config!$B$5)</f>
        <v/>
      </c>
      <c r="J257" s="28">
        <f>IF(OR(B257="",F257="Feito"),0,IF(H257="Atrasada",3000+MIN(Config!$B$5-D257,60),IF(H257="Hoje",2500,IF(H257="Esta semana",2000-(D257-Config!$B$5),IF(H257="Sem prazo",500,1000-MIN(D257-Config!$B$5,900)))))+IF(E257="Alta",200,IF(E257="Média",100,0))-ROW()/100000)</f>
        <v>0</v>
      </c>
      <c r="K257" s="28">
        <f>IF(AND(B257&lt;&gt;"",A257=Config!$B$6),COUNTIFS($A$5:A257,Config!$B$6,$B$5:B257,"&lt;&gt;"),"")</f>
        <v/>
      </c>
    </row>
    <row r="258">
      <c r="A258" s="33" t="n"/>
      <c r="B258" s="31" t="n"/>
      <c r="C258" s="33" t="n"/>
      <c r="D258" s="34" t="n"/>
      <c r="E258" s="33" t="n"/>
      <c r="F258" s="33" t="n"/>
      <c r="G258" s="34" t="n"/>
      <c r="H258" s="21">
        <f>IF(B258="","",IF(F258="Feito","Feita",IF(D258="","Sem prazo",IF(D258&lt;Config!$B$5,"Atrasada",IF(D258=Config!$B$5,"Hoje",IF(D258-Config!$B$5&lt;=7,"Esta semana","No prazo"))))))</f>
        <v/>
      </c>
      <c r="I258" s="24">
        <f>IF(OR(B258="",F258="Feito",D258=""),"",D258-Config!$B$5)</f>
        <v/>
      </c>
      <c r="J258" s="28">
        <f>IF(OR(B258="",F258="Feito"),0,IF(H258="Atrasada",3000+MIN(Config!$B$5-D258,60),IF(H258="Hoje",2500,IF(H258="Esta semana",2000-(D258-Config!$B$5),IF(H258="Sem prazo",500,1000-MIN(D258-Config!$B$5,900)))))+IF(E258="Alta",200,IF(E258="Média",100,0))-ROW()/100000)</f>
        <v>0</v>
      </c>
      <c r="K258" s="28">
        <f>IF(AND(B258&lt;&gt;"",A258=Config!$B$6),COUNTIFS($A$5:A258,Config!$B$6,$B$5:B258,"&lt;&gt;"),"")</f>
        <v/>
      </c>
    </row>
    <row r="259">
      <c r="A259" s="33" t="n"/>
      <c r="B259" s="31" t="n"/>
      <c r="C259" s="33" t="n"/>
      <c r="D259" s="34" t="n"/>
      <c r="E259" s="33" t="n"/>
      <c r="F259" s="33" t="n"/>
      <c r="G259" s="34" t="n"/>
      <c r="H259" s="21">
        <f>IF(B259="","",IF(F259="Feito","Feita",IF(D259="","Sem prazo",IF(D259&lt;Config!$B$5,"Atrasada",IF(D259=Config!$B$5,"Hoje",IF(D259-Config!$B$5&lt;=7,"Esta semana","No prazo"))))))</f>
        <v/>
      </c>
      <c r="I259" s="24">
        <f>IF(OR(B259="",F259="Feito",D259=""),"",D259-Config!$B$5)</f>
        <v/>
      </c>
      <c r="J259" s="28">
        <f>IF(OR(B259="",F259="Feito"),0,IF(H259="Atrasada",3000+MIN(Config!$B$5-D259,60),IF(H259="Hoje",2500,IF(H259="Esta semana",2000-(D259-Config!$B$5),IF(H259="Sem prazo",500,1000-MIN(D259-Config!$B$5,900)))))+IF(E259="Alta",200,IF(E259="Média",100,0))-ROW()/100000)</f>
        <v>0</v>
      </c>
      <c r="K259" s="28">
        <f>IF(AND(B259&lt;&gt;"",A259=Config!$B$6),COUNTIFS($A$5:A259,Config!$B$6,$B$5:B259,"&lt;&gt;"),"")</f>
        <v/>
      </c>
    </row>
    <row r="260">
      <c r="A260" s="33" t="n"/>
      <c r="B260" s="31" t="n"/>
      <c r="C260" s="33" t="n"/>
      <c r="D260" s="34" t="n"/>
      <c r="E260" s="33" t="n"/>
      <c r="F260" s="33" t="n"/>
      <c r="G260" s="34" t="n"/>
      <c r="H260" s="21">
        <f>IF(B260="","",IF(F260="Feito","Feita",IF(D260="","Sem prazo",IF(D260&lt;Config!$B$5,"Atrasada",IF(D260=Config!$B$5,"Hoje",IF(D260-Config!$B$5&lt;=7,"Esta semana","No prazo"))))))</f>
        <v/>
      </c>
      <c r="I260" s="24">
        <f>IF(OR(B260="",F260="Feito",D260=""),"",D260-Config!$B$5)</f>
        <v/>
      </c>
      <c r="J260" s="28">
        <f>IF(OR(B260="",F260="Feito"),0,IF(H260="Atrasada",3000+MIN(Config!$B$5-D260,60),IF(H260="Hoje",2500,IF(H260="Esta semana",2000-(D260-Config!$B$5),IF(H260="Sem prazo",500,1000-MIN(D260-Config!$B$5,900)))))+IF(E260="Alta",200,IF(E260="Média",100,0))-ROW()/100000)</f>
        <v>0</v>
      </c>
      <c r="K260" s="28">
        <f>IF(AND(B260&lt;&gt;"",A260=Config!$B$6),COUNTIFS($A$5:A260,Config!$B$6,$B$5:B260,"&lt;&gt;"),"")</f>
        <v/>
      </c>
    </row>
    <row r="261">
      <c r="A261" s="33" t="n"/>
      <c r="B261" s="31" t="n"/>
      <c r="C261" s="33" t="n"/>
      <c r="D261" s="34" t="n"/>
      <c r="E261" s="33" t="n"/>
      <c r="F261" s="33" t="n"/>
      <c r="G261" s="34" t="n"/>
      <c r="H261" s="21">
        <f>IF(B261="","",IF(F261="Feito","Feita",IF(D261="","Sem prazo",IF(D261&lt;Config!$B$5,"Atrasada",IF(D261=Config!$B$5,"Hoje",IF(D261-Config!$B$5&lt;=7,"Esta semana","No prazo"))))))</f>
        <v/>
      </c>
      <c r="I261" s="24">
        <f>IF(OR(B261="",F261="Feito",D261=""),"",D261-Config!$B$5)</f>
        <v/>
      </c>
      <c r="J261" s="28">
        <f>IF(OR(B261="",F261="Feito"),0,IF(H261="Atrasada",3000+MIN(Config!$B$5-D261,60),IF(H261="Hoje",2500,IF(H261="Esta semana",2000-(D261-Config!$B$5),IF(H261="Sem prazo",500,1000-MIN(D261-Config!$B$5,900)))))+IF(E261="Alta",200,IF(E261="Média",100,0))-ROW()/100000)</f>
        <v>0</v>
      </c>
      <c r="K261" s="28">
        <f>IF(AND(B261&lt;&gt;"",A261=Config!$B$6),COUNTIFS($A$5:A261,Config!$B$6,$B$5:B261,"&lt;&gt;"),"")</f>
        <v/>
      </c>
    </row>
    <row r="262">
      <c r="A262" s="33" t="n"/>
      <c r="B262" s="31" t="n"/>
      <c r="C262" s="33" t="n"/>
      <c r="D262" s="34" t="n"/>
      <c r="E262" s="33" t="n"/>
      <c r="F262" s="33" t="n"/>
      <c r="G262" s="34" t="n"/>
      <c r="H262" s="21">
        <f>IF(B262="","",IF(F262="Feito","Feita",IF(D262="","Sem prazo",IF(D262&lt;Config!$B$5,"Atrasada",IF(D262=Config!$B$5,"Hoje",IF(D262-Config!$B$5&lt;=7,"Esta semana","No prazo"))))))</f>
        <v/>
      </c>
      <c r="I262" s="24">
        <f>IF(OR(B262="",F262="Feito",D262=""),"",D262-Config!$B$5)</f>
        <v/>
      </c>
      <c r="J262" s="28">
        <f>IF(OR(B262="",F262="Feito"),0,IF(H262="Atrasada",3000+MIN(Config!$B$5-D262,60),IF(H262="Hoje",2500,IF(H262="Esta semana",2000-(D262-Config!$B$5),IF(H262="Sem prazo",500,1000-MIN(D262-Config!$B$5,900)))))+IF(E262="Alta",200,IF(E262="Média",100,0))-ROW()/100000)</f>
        <v>0</v>
      </c>
      <c r="K262" s="28">
        <f>IF(AND(B262&lt;&gt;"",A262=Config!$B$6),COUNTIFS($A$5:A262,Config!$B$6,$B$5:B262,"&lt;&gt;"),"")</f>
        <v/>
      </c>
    </row>
    <row r="263">
      <c r="A263" s="33" t="n"/>
      <c r="B263" s="31" t="n"/>
      <c r="C263" s="33" t="n"/>
      <c r="D263" s="34" t="n"/>
      <c r="E263" s="33" t="n"/>
      <c r="F263" s="33" t="n"/>
      <c r="G263" s="34" t="n"/>
      <c r="H263" s="21">
        <f>IF(B263="","",IF(F263="Feito","Feita",IF(D263="","Sem prazo",IF(D263&lt;Config!$B$5,"Atrasada",IF(D263=Config!$B$5,"Hoje",IF(D263-Config!$B$5&lt;=7,"Esta semana","No prazo"))))))</f>
        <v/>
      </c>
      <c r="I263" s="24">
        <f>IF(OR(B263="",F263="Feito",D263=""),"",D263-Config!$B$5)</f>
        <v/>
      </c>
      <c r="J263" s="28">
        <f>IF(OR(B263="",F263="Feito"),0,IF(H263="Atrasada",3000+MIN(Config!$B$5-D263,60),IF(H263="Hoje",2500,IF(H263="Esta semana",2000-(D263-Config!$B$5),IF(H263="Sem prazo",500,1000-MIN(D263-Config!$B$5,900)))))+IF(E263="Alta",200,IF(E263="Média",100,0))-ROW()/100000)</f>
        <v>0</v>
      </c>
      <c r="K263" s="28">
        <f>IF(AND(B263&lt;&gt;"",A263=Config!$B$6),COUNTIFS($A$5:A263,Config!$B$6,$B$5:B263,"&lt;&gt;"),"")</f>
        <v/>
      </c>
    </row>
    <row r="264">
      <c r="A264" s="33" t="n"/>
      <c r="B264" s="31" t="n"/>
      <c r="C264" s="33" t="n"/>
      <c r="D264" s="34" t="n"/>
      <c r="E264" s="33" t="n"/>
      <c r="F264" s="33" t="n"/>
      <c r="G264" s="34" t="n"/>
      <c r="H264" s="21">
        <f>IF(B264="","",IF(F264="Feito","Feita",IF(D264="","Sem prazo",IF(D264&lt;Config!$B$5,"Atrasada",IF(D264=Config!$B$5,"Hoje",IF(D264-Config!$B$5&lt;=7,"Esta semana","No prazo"))))))</f>
        <v/>
      </c>
      <c r="I264" s="24">
        <f>IF(OR(B264="",F264="Feito",D264=""),"",D264-Config!$B$5)</f>
        <v/>
      </c>
      <c r="J264" s="28">
        <f>IF(OR(B264="",F264="Feito"),0,IF(H264="Atrasada",3000+MIN(Config!$B$5-D264,60),IF(H264="Hoje",2500,IF(H264="Esta semana",2000-(D264-Config!$B$5),IF(H264="Sem prazo",500,1000-MIN(D264-Config!$B$5,900)))))+IF(E264="Alta",200,IF(E264="Média",100,0))-ROW()/100000)</f>
        <v>0</v>
      </c>
      <c r="K264" s="28">
        <f>IF(AND(B264&lt;&gt;"",A264=Config!$B$6),COUNTIFS($A$5:A264,Config!$B$6,$B$5:B264,"&lt;&gt;"),"")</f>
        <v/>
      </c>
    </row>
    <row r="265">
      <c r="A265" s="33" t="n"/>
      <c r="B265" s="31" t="n"/>
      <c r="C265" s="33" t="n"/>
      <c r="D265" s="34" t="n"/>
      <c r="E265" s="33" t="n"/>
      <c r="F265" s="33" t="n"/>
      <c r="G265" s="34" t="n"/>
      <c r="H265" s="21">
        <f>IF(B265="","",IF(F265="Feito","Feita",IF(D265="","Sem prazo",IF(D265&lt;Config!$B$5,"Atrasada",IF(D265=Config!$B$5,"Hoje",IF(D265-Config!$B$5&lt;=7,"Esta semana","No prazo"))))))</f>
        <v/>
      </c>
      <c r="I265" s="24">
        <f>IF(OR(B265="",F265="Feito",D265=""),"",D265-Config!$B$5)</f>
        <v/>
      </c>
      <c r="J265" s="28">
        <f>IF(OR(B265="",F265="Feito"),0,IF(H265="Atrasada",3000+MIN(Config!$B$5-D265,60),IF(H265="Hoje",2500,IF(H265="Esta semana",2000-(D265-Config!$B$5),IF(H265="Sem prazo",500,1000-MIN(D265-Config!$B$5,900)))))+IF(E265="Alta",200,IF(E265="Média",100,0))-ROW()/100000)</f>
        <v>0</v>
      </c>
      <c r="K265" s="28">
        <f>IF(AND(B265&lt;&gt;"",A265=Config!$B$6),COUNTIFS($A$5:A265,Config!$B$6,$B$5:B265,"&lt;&gt;"),"")</f>
        <v/>
      </c>
    </row>
    <row r="266">
      <c r="A266" s="33" t="n"/>
      <c r="B266" s="31" t="n"/>
      <c r="C266" s="33" t="n"/>
      <c r="D266" s="34" t="n"/>
      <c r="E266" s="33" t="n"/>
      <c r="F266" s="33" t="n"/>
      <c r="G266" s="34" t="n"/>
      <c r="H266" s="21">
        <f>IF(B266="","",IF(F266="Feito","Feita",IF(D266="","Sem prazo",IF(D266&lt;Config!$B$5,"Atrasada",IF(D266=Config!$B$5,"Hoje",IF(D266-Config!$B$5&lt;=7,"Esta semana","No prazo"))))))</f>
        <v/>
      </c>
      <c r="I266" s="24">
        <f>IF(OR(B266="",F266="Feito",D266=""),"",D266-Config!$B$5)</f>
        <v/>
      </c>
      <c r="J266" s="28">
        <f>IF(OR(B266="",F266="Feito"),0,IF(H266="Atrasada",3000+MIN(Config!$B$5-D266,60),IF(H266="Hoje",2500,IF(H266="Esta semana",2000-(D266-Config!$B$5),IF(H266="Sem prazo",500,1000-MIN(D266-Config!$B$5,900)))))+IF(E266="Alta",200,IF(E266="Média",100,0))-ROW()/100000)</f>
        <v>0</v>
      </c>
      <c r="K266" s="28">
        <f>IF(AND(B266&lt;&gt;"",A266=Config!$B$6),COUNTIFS($A$5:A266,Config!$B$6,$B$5:B266,"&lt;&gt;"),"")</f>
        <v/>
      </c>
    </row>
    <row r="267">
      <c r="A267" s="33" t="n"/>
      <c r="B267" s="31" t="n"/>
      <c r="C267" s="33" t="n"/>
      <c r="D267" s="34" t="n"/>
      <c r="E267" s="33" t="n"/>
      <c r="F267" s="33" t="n"/>
      <c r="G267" s="34" t="n"/>
      <c r="H267" s="21">
        <f>IF(B267="","",IF(F267="Feito","Feita",IF(D267="","Sem prazo",IF(D267&lt;Config!$B$5,"Atrasada",IF(D267=Config!$B$5,"Hoje",IF(D267-Config!$B$5&lt;=7,"Esta semana","No prazo"))))))</f>
        <v/>
      </c>
      <c r="I267" s="24">
        <f>IF(OR(B267="",F267="Feito",D267=""),"",D267-Config!$B$5)</f>
        <v/>
      </c>
      <c r="J267" s="28">
        <f>IF(OR(B267="",F267="Feito"),0,IF(H267="Atrasada",3000+MIN(Config!$B$5-D267,60),IF(H267="Hoje",2500,IF(H267="Esta semana",2000-(D267-Config!$B$5),IF(H267="Sem prazo",500,1000-MIN(D267-Config!$B$5,900)))))+IF(E267="Alta",200,IF(E267="Média",100,0))-ROW()/100000)</f>
        <v>0</v>
      </c>
      <c r="K267" s="28">
        <f>IF(AND(B267&lt;&gt;"",A267=Config!$B$6),COUNTIFS($A$5:A267,Config!$B$6,$B$5:B267,"&lt;&gt;"),"")</f>
        <v/>
      </c>
    </row>
    <row r="268">
      <c r="A268" s="33" t="n"/>
      <c r="B268" s="31" t="n"/>
      <c r="C268" s="33" t="n"/>
      <c r="D268" s="34" t="n"/>
      <c r="E268" s="33" t="n"/>
      <c r="F268" s="33" t="n"/>
      <c r="G268" s="34" t="n"/>
      <c r="H268" s="21">
        <f>IF(B268="","",IF(F268="Feito","Feita",IF(D268="","Sem prazo",IF(D268&lt;Config!$B$5,"Atrasada",IF(D268=Config!$B$5,"Hoje",IF(D268-Config!$B$5&lt;=7,"Esta semana","No prazo"))))))</f>
        <v/>
      </c>
      <c r="I268" s="24">
        <f>IF(OR(B268="",F268="Feito",D268=""),"",D268-Config!$B$5)</f>
        <v/>
      </c>
      <c r="J268" s="28">
        <f>IF(OR(B268="",F268="Feito"),0,IF(H268="Atrasada",3000+MIN(Config!$B$5-D268,60),IF(H268="Hoje",2500,IF(H268="Esta semana",2000-(D268-Config!$B$5),IF(H268="Sem prazo",500,1000-MIN(D268-Config!$B$5,900)))))+IF(E268="Alta",200,IF(E268="Média",100,0))-ROW()/100000)</f>
        <v>0</v>
      </c>
      <c r="K268" s="28">
        <f>IF(AND(B268&lt;&gt;"",A268=Config!$B$6),COUNTIFS($A$5:A268,Config!$B$6,$B$5:B268,"&lt;&gt;"),"")</f>
        <v/>
      </c>
    </row>
    <row r="269">
      <c r="A269" s="33" t="n"/>
      <c r="B269" s="31" t="n"/>
      <c r="C269" s="33" t="n"/>
      <c r="D269" s="34" t="n"/>
      <c r="E269" s="33" t="n"/>
      <c r="F269" s="33" t="n"/>
      <c r="G269" s="34" t="n"/>
      <c r="H269" s="21">
        <f>IF(B269="","",IF(F269="Feito","Feita",IF(D269="","Sem prazo",IF(D269&lt;Config!$B$5,"Atrasada",IF(D269=Config!$B$5,"Hoje",IF(D269-Config!$B$5&lt;=7,"Esta semana","No prazo"))))))</f>
        <v/>
      </c>
      <c r="I269" s="24">
        <f>IF(OR(B269="",F269="Feito",D269=""),"",D269-Config!$B$5)</f>
        <v/>
      </c>
      <c r="J269" s="28">
        <f>IF(OR(B269="",F269="Feito"),0,IF(H269="Atrasada",3000+MIN(Config!$B$5-D269,60),IF(H269="Hoje",2500,IF(H269="Esta semana",2000-(D269-Config!$B$5),IF(H269="Sem prazo",500,1000-MIN(D269-Config!$B$5,900)))))+IF(E269="Alta",200,IF(E269="Média",100,0))-ROW()/100000)</f>
        <v>0</v>
      </c>
      <c r="K269" s="28">
        <f>IF(AND(B269&lt;&gt;"",A269=Config!$B$6),COUNTIFS($A$5:A269,Config!$B$6,$B$5:B269,"&lt;&gt;"),"")</f>
        <v/>
      </c>
    </row>
    <row r="270">
      <c r="A270" s="33" t="n"/>
      <c r="B270" s="31" t="n"/>
      <c r="C270" s="33" t="n"/>
      <c r="D270" s="34" t="n"/>
      <c r="E270" s="33" t="n"/>
      <c r="F270" s="33" t="n"/>
      <c r="G270" s="34" t="n"/>
      <c r="H270" s="21">
        <f>IF(B270="","",IF(F270="Feito","Feita",IF(D270="","Sem prazo",IF(D270&lt;Config!$B$5,"Atrasada",IF(D270=Config!$B$5,"Hoje",IF(D270-Config!$B$5&lt;=7,"Esta semana","No prazo"))))))</f>
        <v/>
      </c>
      <c r="I270" s="24">
        <f>IF(OR(B270="",F270="Feito",D270=""),"",D270-Config!$B$5)</f>
        <v/>
      </c>
      <c r="J270" s="28">
        <f>IF(OR(B270="",F270="Feito"),0,IF(H270="Atrasada",3000+MIN(Config!$B$5-D270,60),IF(H270="Hoje",2500,IF(H270="Esta semana",2000-(D270-Config!$B$5),IF(H270="Sem prazo",500,1000-MIN(D270-Config!$B$5,900)))))+IF(E270="Alta",200,IF(E270="Média",100,0))-ROW()/100000)</f>
        <v>0</v>
      </c>
      <c r="K270" s="28">
        <f>IF(AND(B270&lt;&gt;"",A270=Config!$B$6),COUNTIFS($A$5:A270,Config!$B$6,$B$5:B270,"&lt;&gt;"),"")</f>
        <v/>
      </c>
    </row>
    <row r="271">
      <c r="A271" s="33" t="n"/>
      <c r="B271" s="31" t="n"/>
      <c r="C271" s="33" t="n"/>
      <c r="D271" s="34" t="n"/>
      <c r="E271" s="33" t="n"/>
      <c r="F271" s="33" t="n"/>
      <c r="G271" s="34" t="n"/>
      <c r="H271" s="21">
        <f>IF(B271="","",IF(F271="Feito","Feita",IF(D271="","Sem prazo",IF(D271&lt;Config!$B$5,"Atrasada",IF(D271=Config!$B$5,"Hoje",IF(D271-Config!$B$5&lt;=7,"Esta semana","No prazo"))))))</f>
        <v/>
      </c>
      <c r="I271" s="24">
        <f>IF(OR(B271="",F271="Feito",D271=""),"",D271-Config!$B$5)</f>
        <v/>
      </c>
      <c r="J271" s="28">
        <f>IF(OR(B271="",F271="Feito"),0,IF(H271="Atrasada",3000+MIN(Config!$B$5-D271,60),IF(H271="Hoje",2500,IF(H271="Esta semana",2000-(D271-Config!$B$5),IF(H271="Sem prazo",500,1000-MIN(D271-Config!$B$5,900)))))+IF(E271="Alta",200,IF(E271="Média",100,0))-ROW()/100000)</f>
        <v>0</v>
      </c>
      <c r="K271" s="28">
        <f>IF(AND(B271&lt;&gt;"",A271=Config!$B$6),COUNTIFS($A$5:A271,Config!$B$6,$B$5:B271,"&lt;&gt;"),"")</f>
        <v/>
      </c>
    </row>
    <row r="272">
      <c r="A272" s="33" t="n"/>
      <c r="B272" s="31" t="n"/>
      <c r="C272" s="33" t="n"/>
      <c r="D272" s="34" t="n"/>
      <c r="E272" s="33" t="n"/>
      <c r="F272" s="33" t="n"/>
      <c r="G272" s="34" t="n"/>
      <c r="H272" s="21">
        <f>IF(B272="","",IF(F272="Feito","Feita",IF(D272="","Sem prazo",IF(D272&lt;Config!$B$5,"Atrasada",IF(D272=Config!$B$5,"Hoje",IF(D272-Config!$B$5&lt;=7,"Esta semana","No prazo"))))))</f>
        <v/>
      </c>
      <c r="I272" s="24">
        <f>IF(OR(B272="",F272="Feito",D272=""),"",D272-Config!$B$5)</f>
        <v/>
      </c>
      <c r="J272" s="28">
        <f>IF(OR(B272="",F272="Feito"),0,IF(H272="Atrasada",3000+MIN(Config!$B$5-D272,60),IF(H272="Hoje",2500,IF(H272="Esta semana",2000-(D272-Config!$B$5),IF(H272="Sem prazo",500,1000-MIN(D272-Config!$B$5,900)))))+IF(E272="Alta",200,IF(E272="Média",100,0))-ROW()/100000)</f>
        <v>0</v>
      </c>
      <c r="K272" s="28">
        <f>IF(AND(B272&lt;&gt;"",A272=Config!$B$6),COUNTIFS($A$5:A272,Config!$B$6,$B$5:B272,"&lt;&gt;"),"")</f>
        <v/>
      </c>
    </row>
    <row r="273">
      <c r="A273" s="33" t="n"/>
      <c r="B273" s="31" t="n"/>
      <c r="C273" s="33" t="n"/>
      <c r="D273" s="34" t="n"/>
      <c r="E273" s="33" t="n"/>
      <c r="F273" s="33" t="n"/>
      <c r="G273" s="34" t="n"/>
      <c r="H273" s="21">
        <f>IF(B273="","",IF(F273="Feito","Feita",IF(D273="","Sem prazo",IF(D273&lt;Config!$B$5,"Atrasada",IF(D273=Config!$B$5,"Hoje",IF(D273-Config!$B$5&lt;=7,"Esta semana","No prazo"))))))</f>
        <v/>
      </c>
      <c r="I273" s="24">
        <f>IF(OR(B273="",F273="Feito",D273=""),"",D273-Config!$B$5)</f>
        <v/>
      </c>
      <c r="J273" s="28">
        <f>IF(OR(B273="",F273="Feito"),0,IF(H273="Atrasada",3000+MIN(Config!$B$5-D273,60),IF(H273="Hoje",2500,IF(H273="Esta semana",2000-(D273-Config!$B$5),IF(H273="Sem prazo",500,1000-MIN(D273-Config!$B$5,900)))))+IF(E273="Alta",200,IF(E273="Média",100,0))-ROW()/100000)</f>
        <v>0</v>
      </c>
      <c r="K273" s="28">
        <f>IF(AND(B273&lt;&gt;"",A273=Config!$B$6),COUNTIFS($A$5:A273,Config!$B$6,$B$5:B273,"&lt;&gt;"),"")</f>
        <v/>
      </c>
    </row>
    <row r="274">
      <c r="A274" s="33" t="n"/>
      <c r="B274" s="31" t="n"/>
      <c r="C274" s="33" t="n"/>
      <c r="D274" s="34" t="n"/>
      <c r="E274" s="33" t="n"/>
      <c r="F274" s="33" t="n"/>
      <c r="G274" s="34" t="n"/>
      <c r="H274" s="21">
        <f>IF(B274="","",IF(F274="Feito","Feita",IF(D274="","Sem prazo",IF(D274&lt;Config!$B$5,"Atrasada",IF(D274=Config!$B$5,"Hoje",IF(D274-Config!$B$5&lt;=7,"Esta semana","No prazo"))))))</f>
        <v/>
      </c>
      <c r="I274" s="24">
        <f>IF(OR(B274="",F274="Feito",D274=""),"",D274-Config!$B$5)</f>
        <v/>
      </c>
      <c r="J274" s="28">
        <f>IF(OR(B274="",F274="Feito"),0,IF(H274="Atrasada",3000+MIN(Config!$B$5-D274,60),IF(H274="Hoje",2500,IF(H274="Esta semana",2000-(D274-Config!$B$5),IF(H274="Sem prazo",500,1000-MIN(D274-Config!$B$5,900)))))+IF(E274="Alta",200,IF(E274="Média",100,0))-ROW()/100000)</f>
        <v>0</v>
      </c>
      <c r="K274" s="28">
        <f>IF(AND(B274&lt;&gt;"",A274=Config!$B$6),COUNTIFS($A$5:A274,Config!$B$6,$B$5:B274,"&lt;&gt;"),"")</f>
        <v/>
      </c>
    </row>
    <row r="275">
      <c r="A275" s="33" t="n"/>
      <c r="B275" s="31" t="n"/>
      <c r="C275" s="33" t="n"/>
      <c r="D275" s="34" t="n"/>
      <c r="E275" s="33" t="n"/>
      <c r="F275" s="33" t="n"/>
      <c r="G275" s="34" t="n"/>
      <c r="H275" s="21">
        <f>IF(B275="","",IF(F275="Feito","Feita",IF(D275="","Sem prazo",IF(D275&lt;Config!$B$5,"Atrasada",IF(D275=Config!$B$5,"Hoje",IF(D275-Config!$B$5&lt;=7,"Esta semana","No prazo"))))))</f>
        <v/>
      </c>
      <c r="I275" s="24">
        <f>IF(OR(B275="",F275="Feito",D275=""),"",D275-Config!$B$5)</f>
        <v/>
      </c>
      <c r="J275" s="28">
        <f>IF(OR(B275="",F275="Feito"),0,IF(H275="Atrasada",3000+MIN(Config!$B$5-D275,60),IF(H275="Hoje",2500,IF(H275="Esta semana",2000-(D275-Config!$B$5),IF(H275="Sem prazo",500,1000-MIN(D275-Config!$B$5,900)))))+IF(E275="Alta",200,IF(E275="Média",100,0))-ROW()/100000)</f>
        <v>0</v>
      </c>
      <c r="K275" s="28">
        <f>IF(AND(B275&lt;&gt;"",A275=Config!$B$6),COUNTIFS($A$5:A275,Config!$B$6,$B$5:B275,"&lt;&gt;"),"")</f>
        <v/>
      </c>
    </row>
    <row r="276">
      <c r="A276" s="33" t="n"/>
      <c r="B276" s="31" t="n"/>
      <c r="C276" s="33" t="n"/>
      <c r="D276" s="34" t="n"/>
      <c r="E276" s="33" t="n"/>
      <c r="F276" s="33" t="n"/>
      <c r="G276" s="34" t="n"/>
      <c r="H276" s="21">
        <f>IF(B276="","",IF(F276="Feito","Feita",IF(D276="","Sem prazo",IF(D276&lt;Config!$B$5,"Atrasada",IF(D276=Config!$B$5,"Hoje",IF(D276-Config!$B$5&lt;=7,"Esta semana","No prazo"))))))</f>
        <v/>
      </c>
      <c r="I276" s="24">
        <f>IF(OR(B276="",F276="Feito",D276=""),"",D276-Config!$B$5)</f>
        <v/>
      </c>
      <c r="J276" s="28">
        <f>IF(OR(B276="",F276="Feito"),0,IF(H276="Atrasada",3000+MIN(Config!$B$5-D276,60),IF(H276="Hoje",2500,IF(H276="Esta semana",2000-(D276-Config!$B$5),IF(H276="Sem prazo",500,1000-MIN(D276-Config!$B$5,900)))))+IF(E276="Alta",200,IF(E276="Média",100,0))-ROW()/100000)</f>
        <v>0</v>
      </c>
      <c r="K276" s="28">
        <f>IF(AND(B276&lt;&gt;"",A276=Config!$B$6),COUNTIFS($A$5:A276,Config!$B$6,$B$5:B276,"&lt;&gt;"),"")</f>
        <v/>
      </c>
    </row>
    <row r="277">
      <c r="A277" s="33" t="n"/>
      <c r="B277" s="31" t="n"/>
      <c r="C277" s="33" t="n"/>
      <c r="D277" s="34" t="n"/>
      <c r="E277" s="33" t="n"/>
      <c r="F277" s="33" t="n"/>
      <c r="G277" s="34" t="n"/>
      <c r="H277" s="21">
        <f>IF(B277="","",IF(F277="Feito","Feita",IF(D277="","Sem prazo",IF(D277&lt;Config!$B$5,"Atrasada",IF(D277=Config!$B$5,"Hoje",IF(D277-Config!$B$5&lt;=7,"Esta semana","No prazo"))))))</f>
        <v/>
      </c>
      <c r="I277" s="24">
        <f>IF(OR(B277="",F277="Feito",D277=""),"",D277-Config!$B$5)</f>
        <v/>
      </c>
      <c r="J277" s="28">
        <f>IF(OR(B277="",F277="Feito"),0,IF(H277="Atrasada",3000+MIN(Config!$B$5-D277,60),IF(H277="Hoje",2500,IF(H277="Esta semana",2000-(D277-Config!$B$5),IF(H277="Sem prazo",500,1000-MIN(D277-Config!$B$5,900)))))+IF(E277="Alta",200,IF(E277="Média",100,0))-ROW()/100000)</f>
        <v>0</v>
      </c>
      <c r="K277" s="28">
        <f>IF(AND(B277&lt;&gt;"",A277=Config!$B$6),COUNTIFS($A$5:A277,Config!$B$6,$B$5:B277,"&lt;&gt;"),"")</f>
        <v/>
      </c>
    </row>
    <row r="278">
      <c r="A278" s="33" t="n"/>
      <c r="B278" s="31" t="n"/>
      <c r="C278" s="33" t="n"/>
      <c r="D278" s="34" t="n"/>
      <c r="E278" s="33" t="n"/>
      <c r="F278" s="33" t="n"/>
      <c r="G278" s="34" t="n"/>
      <c r="H278" s="21">
        <f>IF(B278="","",IF(F278="Feito","Feita",IF(D278="","Sem prazo",IF(D278&lt;Config!$B$5,"Atrasada",IF(D278=Config!$B$5,"Hoje",IF(D278-Config!$B$5&lt;=7,"Esta semana","No prazo"))))))</f>
        <v/>
      </c>
      <c r="I278" s="24">
        <f>IF(OR(B278="",F278="Feito",D278=""),"",D278-Config!$B$5)</f>
        <v/>
      </c>
      <c r="J278" s="28">
        <f>IF(OR(B278="",F278="Feito"),0,IF(H278="Atrasada",3000+MIN(Config!$B$5-D278,60),IF(H278="Hoje",2500,IF(H278="Esta semana",2000-(D278-Config!$B$5),IF(H278="Sem prazo",500,1000-MIN(D278-Config!$B$5,900)))))+IF(E278="Alta",200,IF(E278="Média",100,0))-ROW()/100000)</f>
        <v>0</v>
      </c>
      <c r="K278" s="28">
        <f>IF(AND(B278&lt;&gt;"",A278=Config!$B$6),COUNTIFS($A$5:A278,Config!$B$6,$B$5:B278,"&lt;&gt;"),"")</f>
        <v/>
      </c>
    </row>
    <row r="279">
      <c r="A279" s="33" t="n"/>
      <c r="B279" s="31" t="n"/>
      <c r="C279" s="33" t="n"/>
      <c r="D279" s="34" t="n"/>
      <c r="E279" s="33" t="n"/>
      <c r="F279" s="33" t="n"/>
      <c r="G279" s="34" t="n"/>
      <c r="H279" s="21">
        <f>IF(B279="","",IF(F279="Feito","Feita",IF(D279="","Sem prazo",IF(D279&lt;Config!$B$5,"Atrasada",IF(D279=Config!$B$5,"Hoje",IF(D279-Config!$B$5&lt;=7,"Esta semana","No prazo"))))))</f>
        <v/>
      </c>
      <c r="I279" s="24">
        <f>IF(OR(B279="",F279="Feito",D279=""),"",D279-Config!$B$5)</f>
        <v/>
      </c>
      <c r="J279" s="28">
        <f>IF(OR(B279="",F279="Feito"),0,IF(H279="Atrasada",3000+MIN(Config!$B$5-D279,60),IF(H279="Hoje",2500,IF(H279="Esta semana",2000-(D279-Config!$B$5),IF(H279="Sem prazo",500,1000-MIN(D279-Config!$B$5,900)))))+IF(E279="Alta",200,IF(E279="Média",100,0))-ROW()/100000)</f>
        <v>0</v>
      </c>
      <c r="K279" s="28">
        <f>IF(AND(B279&lt;&gt;"",A279=Config!$B$6),COUNTIFS($A$5:A279,Config!$B$6,$B$5:B279,"&lt;&gt;"),"")</f>
        <v/>
      </c>
    </row>
    <row r="280">
      <c r="A280" s="33" t="n"/>
      <c r="B280" s="31" t="n"/>
      <c r="C280" s="33" t="n"/>
      <c r="D280" s="34" t="n"/>
      <c r="E280" s="33" t="n"/>
      <c r="F280" s="33" t="n"/>
      <c r="G280" s="34" t="n"/>
      <c r="H280" s="21">
        <f>IF(B280="","",IF(F280="Feito","Feita",IF(D280="","Sem prazo",IF(D280&lt;Config!$B$5,"Atrasada",IF(D280=Config!$B$5,"Hoje",IF(D280-Config!$B$5&lt;=7,"Esta semana","No prazo"))))))</f>
        <v/>
      </c>
      <c r="I280" s="24">
        <f>IF(OR(B280="",F280="Feito",D280=""),"",D280-Config!$B$5)</f>
        <v/>
      </c>
      <c r="J280" s="28">
        <f>IF(OR(B280="",F280="Feito"),0,IF(H280="Atrasada",3000+MIN(Config!$B$5-D280,60),IF(H280="Hoje",2500,IF(H280="Esta semana",2000-(D280-Config!$B$5),IF(H280="Sem prazo",500,1000-MIN(D280-Config!$B$5,900)))))+IF(E280="Alta",200,IF(E280="Média",100,0))-ROW()/100000)</f>
        <v>0</v>
      </c>
      <c r="K280" s="28">
        <f>IF(AND(B280&lt;&gt;"",A280=Config!$B$6),COUNTIFS($A$5:A280,Config!$B$6,$B$5:B280,"&lt;&gt;"),"")</f>
        <v/>
      </c>
    </row>
    <row r="281">
      <c r="A281" s="33" t="n"/>
      <c r="B281" s="31" t="n"/>
      <c r="C281" s="33" t="n"/>
      <c r="D281" s="34" t="n"/>
      <c r="E281" s="33" t="n"/>
      <c r="F281" s="33" t="n"/>
      <c r="G281" s="34" t="n"/>
      <c r="H281" s="21">
        <f>IF(B281="","",IF(F281="Feito","Feita",IF(D281="","Sem prazo",IF(D281&lt;Config!$B$5,"Atrasada",IF(D281=Config!$B$5,"Hoje",IF(D281-Config!$B$5&lt;=7,"Esta semana","No prazo"))))))</f>
        <v/>
      </c>
      <c r="I281" s="24">
        <f>IF(OR(B281="",F281="Feito",D281=""),"",D281-Config!$B$5)</f>
        <v/>
      </c>
      <c r="J281" s="28">
        <f>IF(OR(B281="",F281="Feito"),0,IF(H281="Atrasada",3000+MIN(Config!$B$5-D281,60),IF(H281="Hoje",2500,IF(H281="Esta semana",2000-(D281-Config!$B$5),IF(H281="Sem prazo",500,1000-MIN(D281-Config!$B$5,900)))))+IF(E281="Alta",200,IF(E281="Média",100,0))-ROW()/100000)</f>
        <v>0</v>
      </c>
      <c r="K281" s="28">
        <f>IF(AND(B281&lt;&gt;"",A281=Config!$B$6),COUNTIFS($A$5:A281,Config!$B$6,$B$5:B281,"&lt;&gt;"),"")</f>
        <v/>
      </c>
    </row>
    <row r="282">
      <c r="A282" s="33" t="n"/>
      <c r="B282" s="31" t="n"/>
      <c r="C282" s="33" t="n"/>
      <c r="D282" s="34" t="n"/>
      <c r="E282" s="33" t="n"/>
      <c r="F282" s="33" t="n"/>
      <c r="G282" s="34" t="n"/>
      <c r="H282" s="21">
        <f>IF(B282="","",IF(F282="Feito","Feita",IF(D282="","Sem prazo",IF(D282&lt;Config!$B$5,"Atrasada",IF(D282=Config!$B$5,"Hoje",IF(D282-Config!$B$5&lt;=7,"Esta semana","No prazo"))))))</f>
        <v/>
      </c>
      <c r="I282" s="24">
        <f>IF(OR(B282="",F282="Feito",D282=""),"",D282-Config!$B$5)</f>
        <v/>
      </c>
      <c r="J282" s="28">
        <f>IF(OR(B282="",F282="Feito"),0,IF(H282="Atrasada",3000+MIN(Config!$B$5-D282,60),IF(H282="Hoje",2500,IF(H282="Esta semana",2000-(D282-Config!$B$5),IF(H282="Sem prazo",500,1000-MIN(D282-Config!$B$5,900)))))+IF(E282="Alta",200,IF(E282="Média",100,0))-ROW()/100000)</f>
        <v>0</v>
      </c>
      <c r="K282" s="28">
        <f>IF(AND(B282&lt;&gt;"",A282=Config!$B$6),COUNTIFS($A$5:A282,Config!$B$6,$B$5:B282,"&lt;&gt;"),"")</f>
        <v/>
      </c>
    </row>
    <row r="283">
      <c r="A283" s="33" t="n"/>
      <c r="B283" s="31" t="n"/>
      <c r="C283" s="33" t="n"/>
      <c r="D283" s="34" t="n"/>
      <c r="E283" s="33" t="n"/>
      <c r="F283" s="33" t="n"/>
      <c r="G283" s="34" t="n"/>
      <c r="H283" s="21">
        <f>IF(B283="","",IF(F283="Feito","Feita",IF(D283="","Sem prazo",IF(D283&lt;Config!$B$5,"Atrasada",IF(D283=Config!$B$5,"Hoje",IF(D283-Config!$B$5&lt;=7,"Esta semana","No prazo"))))))</f>
        <v/>
      </c>
      <c r="I283" s="24">
        <f>IF(OR(B283="",F283="Feito",D283=""),"",D283-Config!$B$5)</f>
        <v/>
      </c>
      <c r="J283" s="28">
        <f>IF(OR(B283="",F283="Feito"),0,IF(H283="Atrasada",3000+MIN(Config!$B$5-D283,60),IF(H283="Hoje",2500,IF(H283="Esta semana",2000-(D283-Config!$B$5),IF(H283="Sem prazo",500,1000-MIN(D283-Config!$B$5,900)))))+IF(E283="Alta",200,IF(E283="Média",100,0))-ROW()/100000)</f>
        <v>0</v>
      </c>
      <c r="K283" s="28">
        <f>IF(AND(B283&lt;&gt;"",A283=Config!$B$6),COUNTIFS($A$5:A283,Config!$B$6,$B$5:B283,"&lt;&gt;"),"")</f>
        <v/>
      </c>
    </row>
    <row r="284">
      <c r="A284" s="33" t="n"/>
      <c r="B284" s="31" t="n"/>
      <c r="C284" s="33" t="n"/>
      <c r="D284" s="34" t="n"/>
      <c r="E284" s="33" t="n"/>
      <c r="F284" s="33" t="n"/>
      <c r="G284" s="34" t="n"/>
      <c r="H284" s="21">
        <f>IF(B284="","",IF(F284="Feito","Feita",IF(D284="","Sem prazo",IF(D284&lt;Config!$B$5,"Atrasada",IF(D284=Config!$B$5,"Hoje",IF(D284-Config!$B$5&lt;=7,"Esta semana","No prazo"))))))</f>
        <v/>
      </c>
      <c r="I284" s="24">
        <f>IF(OR(B284="",F284="Feito",D284=""),"",D284-Config!$B$5)</f>
        <v/>
      </c>
      <c r="J284" s="28">
        <f>IF(OR(B284="",F284="Feito"),0,IF(H284="Atrasada",3000+MIN(Config!$B$5-D284,60),IF(H284="Hoje",2500,IF(H284="Esta semana",2000-(D284-Config!$B$5),IF(H284="Sem prazo",500,1000-MIN(D284-Config!$B$5,900)))))+IF(E284="Alta",200,IF(E284="Média",100,0))-ROW()/100000)</f>
        <v>0</v>
      </c>
      <c r="K284" s="28">
        <f>IF(AND(B284&lt;&gt;"",A284=Config!$B$6),COUNTIFS($A$5:A284,Config!$B$6,$B$5:B284,"&lt;&gt;"),"")</f>
        <v/>
      </c>
    </row>
    <row r="285">
      <c r="A285" s="33" t="n"/>
      <c r="B285" s="31" t="n"/>
      <c r="C285" s="33" t="n"/>
      <c r="D285" s="34" t="n"/>
      <c r="E285" s="33" t="n"/>
      <c r="F285" s="33" t="n"/>
      <c r="G285" s="34" t="n"/>
      <c r="H285" s="21">
        <f>IF(B285="","",IF(F285="Feito","Feita",IF(D285="","Sem prazo",IF(D285&lt;Config!$B$5,"Atrasada",IF(D285=Config!$B$5,"Hoje",IF(D285-Config!$B$5&lt;=7,"Esta semana","No prazo"))))))</f>
        <v/>
      </c>
      <c r="I285" s="24">
        <f>IF(OR(B285="",F285="Feito",D285=""),"",D285-Config!$B$5)</f>
        <v/>
      </c>
      <c r="J285" s="28">
        <f>IF(OR(B285="",F285="Feito"),0,IF(H285="Atrasada",3000+MIN(Config!$B$5-D285,60),IF(H285="Hoje",2500,IF(H285="Esta semana",2000-(D285-Config!$B$5),IF(H285="Sem prazo",500,1000-MIN(D285-Config!$B$5,900)))))+IF(E285="Alta",200,IF(E285="Média",100,0))-ROW()/100000)</f>
        <v>0</v>
      </c>
      <c r="K285" s="28">
        <f>IF(AND(B285&lt;&gt;"",A285=Config!$B$6),COUNTIFS($A$5:A285,Config!$B$6,$B$5:B285,"&lt;&gt;"),"")</f>
        <v/>
      </c>
    </row>
    <row r="286">
      <c r="A286" s="33" t="n"/>
      <c r="B286" s="31" t="n"/>
      <c r="C286" s="33" t="n"/>
      <c r="D286" s="34" t="n"/>
      <c r="E286" s="33" t="n"/>
      <c r="F286" s="33" t="n"/>
      <c r="G286" s="34" t="n"/>
      <c r="H286" s="21">
        <f>IF(B286="","",IF(F286="Feito","Feita",IF(D286="","Sem prazo",IF(D286&lt;Config!$B$5,"Atrasada",IF(D286=Config!$B$5,"Hoje",IF(D286-Config!$B$5&lt;=7,"Esta semana","No prazo"))))))</f>
        <v/>
      </c>
      <c r="I286" s="24">
        <f>IF(OR(B286="",F286="Feito",D286=""),"",D286-Config!$B$5)</f>
        <v/>
      </c>
      <c r="J286" s="28">
        <f>IF(OR(B286="",F286="Feito"),0,IF(H286="Atrasada",3000+MIN(Config!$B$5-D286,60),IF(H286="Hoje",2500,IF(H286="Esta semana",2000-(D286-Config!$B$5),IF(H286="Sem prazo",500,1000-MIN(D286-Config!$B$5,900)))))+IF(E286="Alta",200,IF(E286="Média",100,0))-ROW()/100000)</f>
        <v>0</v>
      </c>
      <c r="K286" s="28">
        <f>IF(AND(B286&lt;&gt;"",A286=Config!$B$6),COUNTIFS($A$5:A286,Config!$B$6,$B$5:B286,"&lt;&gt;"),"")</f>
        <v/>
      </c>
    </row>
    <row r="287">
      <c r="A287" s="33" t="n"/>
      <c r="B287" s="31" t="n"/>
      <c r="C287" s="33" t="n"/>
      <c r="D287" s="34" t="n"/>
      <c r="E287" s="33" t="n"/>
      <c r="F287" s="33" t="n"/>
      <c r="G287" s="34" t="n"/>
      <c r="H287" s="21">
        <f>IF(B287="","",IF(F287="Feito","Feita",IF(D287="","Sem prazo",IF(D287&lt;Config!$B$5,"Atrasada",IF(D287=Config!$B$5,"Hoje",IF(D287-Config!$B$5&lt;=7,"Esta semana","No prazo"))))))</f>
        <v/>
      </c>
      <c r="I287" s="24">
        <f>IF(OR(B287="",F287="Feito",D287=""),"",D287-Config!$B$5)</f>
        <v/>
      </c>
      <c r="J287" s="28">
        <f>IF(OR(B287="",F287="Feito"),0,IF(H287="Atrasada",3000+MIN(Config!$B$5-D287,60),IF(H287="Hoje",2500,IF(H287="Esta semana",2000-(D287-Config!$B$5),IF(H287="Sem prazo",500,1000-MIN(D287-Config!$B$5,900)))))+IF(E287="Alta",200,IF(E287="Média",100,0))-ROW()/100000)</f>
        <v>0</v>
      </c>
      <c r="K287" s="28">
        <f>IF(AND(B287&lt;&gt;"",A287=Config!$B$6),COUNTIFS($A$5:A287,Config!$B$6,$B$5:B287,"&lt;&gt;"),"")</f>
        <v/>
      </c>
    </row>
    <row r="288">
      <c r="A288" s="33" t="n"/>
      <c r="B288" s="31" t="n"/>
      <c r="C288" s="33" t="n"/>
      <c r="D288" s="34" t="n"/>
      <c r="E288" s="33" t="n"/>
      <c r="F288" s="33" t="n"/>
      <c r="G288" s="34" t="n"/>
      <c r="H288" s="21">
        <f>IF(B288="","",IF(F288="Feito","Feita",IF(D288="","Sem prazo",IF(D288&lt;Config!$B$5,"Atrasada",IF(D288=Config!$B$5,"Hoje",IF(D288-Config!$B$5&lt;=7,"Esta semana","No prazo"))))))</f>
        <v/>
      </c>
      <c r="I288" s="24">
        <f>IF(OR(B288="",F288="Feito",D288=""),"",D288-Config!$B$5)</f>
        <v/>
      </c>
      <c r="J288" s="28">
        <f>IF(OR(B288="",F288="Feito"),0,IF(H288="Atrasada",3000+MIN(Config!$B$5-D288,60),IF(H288="Hoje",2500,IF(H288="Esta semana",2000-(D288-Config!$B$5),IF(H288="Sem prazo",500,1000-MIN(D288-Config!$B$5,900)))))+IF(E288="Alta",200,IF(E288="Média",100,0))-ROW()/100000)</f>
        <v>0</v>
      </c>
      <c r="K288" s="28">
        <f>IF(AND(B288&lt;&gt;"",A288=Config!$B$6),COUNTIFS($A$5:A288,Config!$B$6,$B$5:B288,"&lt;&gt;"),"")</f>
        <v/>
      </c>
    </row>
    <row r="289">
      <c r="A289" s="33" t="n"/>
      <c r="B289" s="31" t="n"/>
      <c r="C289" s="33" t="n"/>
      <c r="D289" s="34" t="n"/>
      <c r="E289" s="33" t="n"/>
      <c r="F289" s="33" t="n"/>
      <c r="G289" s="34" t="n"/>
      <c r="H289" s="21">
        <f>IF(B289="","",IF(F289="Feito","Feita",IF(D289="","Sem prazo",IF(D289&lt;Config!$B$5,"Atrasada",IF(D289=Config!$B$5,"Hoje",IF(D289-Config!$B$5&lt;=7,"Esta semana","No prazo"))))))</f>
        <v/>
      </c>
      <c r="I289" s="24">
        <f>IF(OR(B289="",F289="Feito",D289=""),"",D289-Config!$B$5)</f>
        <v/>
      </c>
      <c r="J289" s="28">
        <f>IF(OR(B289="",F289="Feito"),0,IF(H289="Atrasada",3000+MIN(Config!$B$5-D289,60),IF(H289="Hoje",2500,IF(H289="Esta semana",2000-(D289-Config!$B$5),IF(H289="Sem prazo",500,1000-MIN(D289-Config!$B$5,900)))))+IF(E289="Alta",200,IF(E289="Média",100,0))-ROW()/100000)</f>
        <v>0</v>
      </c>
      <c r="K289" s="28">
        <f>IF(AND(B289&lt;&gt;"",A289=Config!$B$6),COUNTIFS($A$5:A289,Config!$B$6,$B$5:B289,"&lt;&gt;"),"")</f>
        <v/>
      </c>
    </row>
    <row r="290">
      <c r="A290" s="33" t="n"/>
      <c r="B290" s="31" t="n"/>
      <c r="C290" s="33" t="n"/>
      <c r="D290" s="34" t="n"/>
      <c r="E290" s="33" t="n"/>
      <c r="F290" s="33" t="n"/>
      <c r="G290" s="34" t="n"/>
      <c r="H290" s="21">
        <f>IF(B290="","",IF(F290="Feito","Feita",IF(D290="","Sem prazo",IF(D290&lt;Config!$B$5,"Atrasada",IF(D290=Config!$B$5,"Hoje",IF(D290-Config!$B$5&lt;=7,"Esta semana","No prazo"))))))</f>
        <v/>
      </c>
      <c r="I290" s="24">
        <f>IF(OR(B290="",F290="Feito",D290=""),"",D290-Config!$B$5)</f>
        <v/>
      </c>
      <c r="J290" s="28">
        <f>IF(OR(B290="",F290="Feito"),0,IF(H290="Atrasada",3000+MIN(Config!$B$5-D290,60),IF(H290="Hoje",2500,IF(H290="Esta semana",2000-(D290-Config!$B$5),IF(H290="Sem prazo",500,1000-MIN(D290-Config!$B$5,900)))))+IF(E290="Alta",200,IF(E290="Média",100,0))-ROW()/100000)</f>
        <v>0</v>
      </c>
      <c r="K290" s="28">
        <f>IF(AND(B290&lt;&gt;"",A290=Config!$B$6),COUNTIFS($A$5:A290,Config!$B$6,$B$5:B290,"&lt;&gt;"),"")</f>
        <v/>
      </c>
    </row>
    <row r="291">
      <c r="A291" s="33" t="n"/>
      <c r="B291" s="31" t="n"/>
      <c r="C291" s="33" t="n"/>
      <c r="D291" s="34" t="n"/>
      <c r="E291" s="33" t="n"/>
      <c r="F291" s="33" t="n"/>
      <c r="G291" s="34" t="n"/>
      <c r="H291" s="21">
        <f>IF(B291="","",IF(F291="Feito","Feita",IF(D291="","Sem prazo",IF(D291&lt;Config!$B$5,"Atrasada",IF(D291=Config!$B$5,"Hoje",IF(D291-Config!$B$5&lt;=7,"Esta semana","No prazo"))))))</f>
        <v/>
      </c>
      <c r="I291" s="24">
        <f>IF(OR(B291="",F291="Feito",D291=""),"",D291-Config!$B$5)</f>
        <v/>
      </c>
      <c r="J291" s="28">
        <f>IF(OR(B291="",F291="Feito"),0,IF(H291="Atrasada",3000+MIN(Config!$B$5-D291,60),IF(H291="Hoje",2500,IF(H291="Esta semana",2000-(D291-Config!$B$5),IF(H291="Sem prazo",500,1000-MIN(D291-Config!$B$5,900)))))+IF(E291="Alta",200,IF(E291="Média",100,0))-ROW()/100000)</f>
        <v>0</v>
      </c>
      <c r="K291" s="28">
        <f>IF(AND(B291&lt;&gt;"",A291=Config!$B$6),COUNTIFS($A$5:A291,Config!$B$6,$B$5:B291,"&lt;&gt;"),"")</f>
        <v/>
      </c>
    </row>
    <row r="292">
      <c r="A292" s="33" t="n"/>
      <c r="B292" s="31" t="n"/>
      <c r="C292" s="33" t="n"/>
      <c r="D292" s="34" t="n"/>
      <c r="E292" s="33" t="n"/>
      <c r="F292" s="33" t="n"/>
      <c r="G292" s="34" t="n"/>
      <c r="H292" s="21">
        <f>IF(B292="","",IF(F292="Feito","Feita",IF(D292="","Sem prazo",IF(D292&lt;Config!$B$5,"Atrasada",IF(D292=Config!$B$5,"Hoje",IF(D292-Config!$B$5&lt;=7,"Esta semana","No prazo"))))))</f>
        <v/>
      </c>
      <c r="I292" s="24">
        <f>IF(OR(B292="",F292="Feito",D292=""),"",D292-Config!$B$5)</f>
        <v/>
      </c>
      <c r="J292" s="28">
        <f>IF(OR(B292="",F292="Feito"),0,IF(H292="Atrasada",3000+MIN(Config!$B$5-D292,60),IF(H292="Hoje",2500,IF(H292="Esta semana",2000-(D292-Config!$B$5),IF(H292="Sem prazo",500,1000-MIN(D292-Config!$B$5,900)))))+IF(E292="Alta",200,IF(E292="Média",100,0))-ROW()/100000)</f>
        <v>0</v>
      </c>
      <c r="K292" s="28">
        <f>IF(AND(B292&lt;&gt;"",A292=Config!$B$6),COUNTIFS($A$5:A292,Config!$B$6,$B$5:B292,"&lt;&gt;"),"")</f>
        <v/>
      </c>
    </row>
    <row r="293">
      <c r="A293" s="33" t="n"/>
      <c r="B293" s="31" t="n"/>
      <c r="C293" s="33" t="n"/>
      <c r="D293" s="34" t="n"/>
      <c r="E293" s="33" t="n"/>
      <c r="F293" s="33" t="n"/>
      <c r="G293" s="34" t="n"/>
      <c r="H293" s="21">
        <f>IF(B293="","",IF(F293="Feito","Feita",IF(D293="","Sem prazo",IF(D293&lt;Config!$B$5,"Atrasada",IF(D293=Config!$B$5,"Hoje",IF(D293-Config!$B$5&lt;=7,"Esta semana","No prazo"))))))</f>
        <v/>
      </c>
      <c r="I293" s="24">
        <f>IF(OR(B293="",F293="Feito",D293=""),"",D293-Config!$B$5)</f>
        <v/>
      </c>
      <c r="J293" s="28">
        <f>IF(OR(B293="",F293="Feito"),0,IF(H293="Atrasada",3000+MIN(Config!$B$5-D293,60),IF(H293="Hoje",2500,IF(H293="Esta semana",2000-(D293-Config!$B$5),IF(H293="Sem prazo",500,1000-MIN(D293-Config!$B$5,900)))))+IF(E293="Alta",200,IF(E293="Média",100,0))-ROW()/100000)</f>
        <v>0</v>
      </c>
      <c r="K293" s="28">
        <f>IF(AND(B293&lt;&gt;"",A293=Config!$B$6),COUNTIFS($A$5:A293,Config!$B$6,$B$5:B293,"&lt;&gt;"),"")</f>
        <v/>
      </c>
    </row>
    <row r="294">
      <c r="A294" s="33" t="n"/>
      <c r="B294" s="31" t="n"/>
      <c r="C294" s="33" t="n"/>
      <c r="D294" s="34" t="n"/>
      <c r="E294" s="33" t="n"/>
      <c r="F294" s="33" t="n"/>
      <c r="G294" s="34" t="n"/>
      <c r="H294" s="21">
        <f>IF(B294="","",IF(F294="Feito","Feita",IF(D294="","Sem prazo",IF(D294&lt;Config!$B$5,"Atrasada",IF(D294=Config!$B$5,"Hoje",IF(D294-Config!$B$5&lt;=7,"Esta semana","No prazo"))))))</f>
        <v/>
      </c>
      <c r="I294" s="24">
        <f>IF(OR(B294="",F294="Feito",D294=""),"",D294-Config!$B$5)</f>
        <v/>
      </c>
      <c r="J294" s="28">
        <f>IF(OR(B294="",F294="Feito"),0,IF(H294="Atrasada",3000+MIN(Config!$B$5-D294,60),IF(H294="Hoje",2500,IF(H294="Esta semana",2000-(D294-Config!$B$5),IF(H294="Sem prazo",500,1000-MIN(D294-Config!$B$5,900)))))+IF(E294="Alta",200,IF(E294="Média",100,0))-ROW()/100000)</f>
        <v>0</v>
      </c>
      <c r="K294" s="28">
        <f>IF(AND(B294&lt;&gt;"",A294=Config!$B$6),COUNTIFS($A$5:A294,Config!$B$6,$B$5:B294,"&lt;&gt;"),"")</f>
        <v/>
      </c>
    </row>
    <row r="295">
      <c r="A295" s="33" t="n"/>
      <c r="B295" s="31" t="n"/>
      <c r="C295" s="33" t="n"/>
      <c r="D295" s="34" t="n"/>
      <c r="E295" s="33" t="n"/>
      <c r="F295" s="33" t="n"/>
      <c r="G295" s="34" t="n"/>
      <c r="H295" s="21">
        <f>IF(B295="","",IF(F295="Feito","Feita",IF(D295="","Sem prazo",IF(D295&lt;Config!$B$5,"Atrasada",IF(D295=Config!$B$5,"Hoje",IF(D295-Config!$B$5&lt;=7,"Esta semana","No prazo"))))))</f>
        <v/>
      </c>
      <c r="I295" s="24">
        <f>IF(OR(B295="",F295="Feito",D295=""),"",D295-Config!$B$5)</f>
        <v/>
      </c>
      <c r="J295" s="28">
        <f>IF(OR(B295="",F295="Feito"),0,IF(H295="Atrasada",3000+MIN(Config!$B$5-D295,60),IF(H295="Hoje",2500,IF(H295="Esta semana",2000-(D295-Config!$B$5),IF(H295="Sem prazo",500,1000-MIN(D295-Config!$B$5,900)))))+IF(E295="Alta",200,IF(E295="Média",100,0))-ROW()/100000)</f>
        <v>0</v>
      </c>
      <c r="K295" s="28">
        <f>IF(AND(B295&lt;&gt;"",A295=Config!$B$6),COUNTIFS($A$5:A295,Config!$B$6,$B$5:B295,"&lt;&gt;"),"")</f>
        <v/>
      </c>
    </row>
    <row r="296">
      <c r="A296" s="33" t="n"/>
      <c r="B296" s="31" t="n"/>
      <c r="C296" s="33" t="n"/>
      <c r="D296" s="34" t="n"/>
      <c r="E296" s="33" t="n"/>
      <c r="F296" s="33" t="n"/>
      <c r="G296" s="34" t="n"/>
      <c r="H296" s="21">
        <f>IF(B296="","",IF(F296="Feito","Feita",IF(D296="","Sem prazo",IF(D296&lt;Config!$B$5,"Atrasada",IF(D296=Config!$B$5,"Hoje",IF(D296-Config!$B$5&lt;=7,"Esta semana","No prazo"))))))</f>
        <v/>
      </c>
      <c r="I296" s="24">
        <f>IF(OR(B296="",F296="Feito",D296=""),"",D296-Config!$B$5)</f>
        <v/>
      </c>
      <c r="J296" s="28">
        <f>IF(OR(B296="",F296="Feito"),0,IF(H296="Atrasada",3000+MIN(Config!$B$5-D296,60),IF(H296="Hoje",2500,IF(H296="Esta semana",2000-(D296-Config!$B$5),IF(H296="Sem prazo",500,1000-MIN(D296-Config!$B$5,900)))))+IF(E296="Alta",200,IF(E296="Média",100,0))-ROW()/100000)</f>
        <v>0</v>
      </c>
      <c r="K296" s="28">
        <f>IF(AND(B296&lt;&gt;"",A296=Config!$B$6),COUNTIFS($A$5:A296,Config!$B$6,$B$5:B296,"&lt;&gt;"),"")</f>
        <v/>
      </c>
    </row>
    <row r="297">
      <c r="A297" s="33" t="n"/>
      <c r="B297" s="31" t="n"/>
      <c r="C297" s="33" t="n"/>
      <c r="D297" s="34" t="n"/>
      <c r="E297" s="33" t="n"/>
      <c r="F297" s="33" t="n"/>
      <c r="G297" s="34" t="n"/>
      <c r="H297" s="21">
        <f>IF(B297="","",IF(F297="Feito","Feita",IF(D297="","Sem prazo",IF(D297&lt;Config!$B$5,"Atrasada",IF(D297=Config!$B$5,"Hoje",IF(D297-Config!$B$5&lt;=7,"Esta semana","No prazo"))))))</f>
        <v/>
      </c>
      <c r="I297" s="24">
        <f>IF(OR(B297="",F297="Feito",D297=""),"",D297-Config!$B$5)</f>
        <v/>
      </c>
      <c r="J297" s="28">
        <f>IF(OR(B297="",F297="Feito"),0,IF(H297="Atrasada",3000+MIN(Config!$B$5-D297,60),IF(H297="Hoje",2500,IF(H297="Esta semana",2000-(D297-Config!$B$5),IF(H297="Sem prazo",500,1000-MIN(D297-Config!$B$5,900)))))+IF(E297="Alta",200,IF(E297="Média",100,0))-ROW()/100000)</f>
        <v>0</v>
      </c>
      <c r="K297" s="28">
        <f>IF(AND(B297&lt;&gt;"",A297=Config!$B$6),COUNTIFS($A$5:A297,Config!$B$6,$B$5:B297,"&lt;&gt;"),"")</f>
        <v/>
      </c>
    </row>
    <row r="298">
      <c r="A298" s="33" t="n"/>
      <c r="B298" s="31" t="n"/>
      <c r="C298" s="33" t="n"/>
      <c r="D298" s="34" t="n"/>
      <c r="E298" s="33" t="n"/>
      <c r="F298" s="33" t="n"/>
      <c r="G298" s="34" t="n"/>
      <c r="H298" s="21">
        <f>IF(B298="","",IF(F298="Feito","Feita",IF(D298="","Sem prazo",IF(D298&lt;Config!$B$5,"Atrasada",IF(D298=Config!$B$5,"Hoje",IF(D298-Config!$B$5&lt;=7,"Esta semana","No prazo"))))))</f>
        <v/>
      </c>
      <c r="I298" s="24">
        <f>IF(OR(B298="",F298="Feito",D298=""),"",D298-Config!$B$5)</f>
        <v/>
      </c>
      <c r="J298" s="28">
        <f>IF(OR(B298="",F298="Feito"),0,IF(H298="Atrasada",3000+MIN(Config!$B$5-D298,60),IF(H298="Hoje",2500,IF(H298="Esta semana",2000-(D298-Config!$B$5),IF(H298="Sem prazo",500,1000-MIN(D298-Config!$B$5,900)))))+IF(E298="Alta",200,IF(E298="Média",100,0))-ROW()/100000)</f>
        <v>0</v>
      </c>
      <c r="K298" s="28">
        <f>IF(AND(B298&lt;&gt;"",A298=Config!$B$6),COUNTIFS($A$5:A298,Config!$B$6,$B$5:B298,"&lt;&gt;"),"")</f>
        <v/>
      </c>
    </row>
    <row r="299">
      <c r="A299" s="33" t="n"/>
      <c r="B299" s="31" t="n"/>
      <c r="C299" s="33" t="n"/>
      <c r="D299" s="34" t="n"/>
      <c r="E299" s="33" t="n"/>
      <c r="F299" s="33" t="n"/>
      <c r="G299" s="34" t="n"/>
      <c r="H299" s="21">
        <f>IF(B299="","",IF(F299="Feito","Feita",IF(D299="","Sem prazo",IF(D299&lt;Config!$B$5,"Atrasada",IF(D299=Config!$B$5,"Hoje",IF(D299-Config!$B$5&lt;=7,"Esta semana","No prazo"))))))</f>
        <v/>
      </c>
      <c r="I299" s="24">
        <f>IF(OR(B299="",F299="Feito",D299=""),"",D299-Config!$B$5)</f>
        <v/>
      </c>
      <c r="J299" s="28">
        <f>IF(OR(B299="",F299="Feito"),0,IF(H299="Atrasada",3000+MIN(Config!$B$5-D299,60),IF(H299="Hoje",2500,IF(H299="Esta semana",2000-(D299-Config!$B$5),IF(H299="Sem prazo",500,1000-MIN(D299-Config!$B$5,900)))))+IF(E299="Alta",200,IF(E299="Média",100,0))-ROW()/100000)</f>
        <v>0</v>
      </c>
      <c r="K299" s="28">
        <f>IF(AND(B299&lt;&gt;"",A299=Config!$B$6),COUNTIFS($A$5:A299,Config!$B$6,$B$5:B299,"&lt;&gt;"),"")</f>
        <v/>
      </c>
    </row>
    <row r="300">
      <c r="A300" s="33" t="n"/>
      <c r="B300" s="31" t="n"/>
      <c r="C300" s="33" t="n"/>
      <c r="D300" s="34" t="n"/>
      <c r="E300" s="33" t="n"/>
      <c r="F300" s="33" t="n"/>
      <c r="G300" s="34" t="n"/>
      <c r="H300" s="21">
        <f>IF(B300="","",IF(F300="Feito","Feita",IF(D300="","Sem prazo",IF(D300&lt;Config!$B$5,"Atrasada",IF(D300=Config!$B$5,"Hoje",IF(D300-Config!$B$5&lt;=7,"Esta semana","No prazo"))))))</f>
        <v/>
      </c>
      <c r="I300" s="24">
        <f>IF(OR(B300="",F300="Feito",D300=""),"",D300-Config!$B$5)</f>
        <v/>
      </c>
      <c r="J300" s="28">
        <f>IF(OR(B300="",F300="Feito"),0,IF(H300="Atrasada",3000+MIN(Config!$B$5-D300,60),IF(H300="Hoje",2500,IF(H300="Esta semana",2000-(D300-Config!$B$5),IF(H300="Sem prazo",500,1000-MIN(D300-Config!$B$5,900)))))+IF(E300="Alta",200,IF(E300="Média",100,0))-ROW()/100000)</f>
        <v>0</v>
      </c>
      <c r="K300" s="28">
        <f>IF(AND(B300&lt;&gt;"",A300=Config!$B$6),COUNTIFS($A$5:A300,Config!$B$6,$B$5:B300,"&lt;&gt;"),"")</f>
        <v/>
      </c>
    </row>
    <row r="301">
      <c r="A301" s="33" t="n"/>
      <c r="B301" s="31" t="n"/>
      <c r="C301" s="33" t="n"/>
      <c r="D301" s="34" t="n"/>
      <c r="E301" s="33" t="n"/>
      <c r="F301" s="33" t="n"/>
      <c r="G301" s="34" t="n"/>
      <c r="H301" s="21">
        <f>IF(B301="","",IF(F301="Feito","Feita",IF(D301="","Sem prazo",IF(D301&lt;Config!$B$5,"Atrasada",IF(D301=Config!$B$5,"Hoje",IF(D301-Config!$B$5&lt;=7,"Esta semana","No prazo"))))))</f>
        <v/>
      </c>
      <c r="I301" s="24">
        <f>IF(OR(B301="",F301="Feito",D301=""),"",D301-Config!$B$5)</f>
        <v/>
      </c>
      <c r="J301" s="28">
        <f>IF(OR(B301="",F301="Feito"),0,IF(H301="Atrasada",3000+MIN(Config!$B$5-D301,60),IF(H301="Hoje",2500,IF(H301="Esta semana",2000-(D301-Config!$B$5),IF(H301="Sem prazo",500,1000-MIN(D301-Config!$B$5,900)))))+IF(E301="Alta",200,IF(E301="Média",100,0))-ROW()/100000)</f>
        <v>0</v>
      </c>
      <c r="K301" s="28">
        <f>IF(AND(B301&lt;&gt;"",A301=Config!$B$6),COUNTIFS($A$5:A301,Config!$B$6,$B$5:B301,"&lt;&gt;"),"")</f>
        <v/>
      </c>
    </row>
    <row r="302">
      <c r="A302" s="33" t="n"/>
      <c r="B302" s="31" t="n"/>
      <c r="C302" s="33" t="n"/>
      <c r="D302" s="34" t="n"/>
      <c r="E302" s="33" t="n"/>
      <c r="F302" s="33" t="n"/>
      <c r="G302" s="34" t="n"/>
      <c r="H302" s="21">
        <f>IF(B302="","",IF(F302="Feito","Feita",IF(D302="","Sem prazo",IF(D302&lt;Config!$B$5,"Atrasada",IF(D302=Config!$B$5,"Hoje",IF(D302-Config!$B$5&lt;=7,"Esta semana","No prazo"))))))</f>
        <v/>
      </c>
      <c r="I302" s="24">
        <f>IF(OR(B302="",F302="Feito",D302=""),"",D302-Config!$B$5)</f>
        <v/>
      </c>
      <c r="J302" s="28">
        <f>IF(OR(B302="",F302="Feito"),0,IF(H302="Atrasada",3000+MIN(Config!$B$5-D302,60),IF(H302="Hoje",2500,IF(H302="Esta semana",2000-(D302-Config!$B$5),IF(H302="Sem prazo",500,1000-MIN(D302-Config!$B$5,900)))))+IF(E302="Alta",200,IF(E302="Média",100,0))-ROW()/100000)</f>
        <v>0</v>
      </c>
      <c r="K302" s="28">
        <f>IF(AND(B302&lt;&gt;"",A302=Config!$B$6),COUNTIFS($A$5:A302,Config!$B$6,$B$5:B302,"&lt;&gt;"),"")</f>
        <v/>
      </c>
    </row>
    <row r="303">
      <c r="A303" s="33" t="n"/>
      <c r="B303" s="31" t="n"/>
      <c r="C303" s="33" t="n"/>
      <c r="D303" s="34" t="n"/>
      <c r="E303" s="33" t="n"/>
      <c r="F303" s="33" t="n"/>
      <c r="G303" s="34" t="n"/>
      <c r="H303" s="21">
        <f>IF(B303="","",IF(F303="Feito","Feita",IF(D303="","Sem prazo",IF(D303&lt;Config!$B$5,"Atrasada",IF(D303=Config!$B$5,"Hoje",IF(D303-Config!$B$5&lt;=7,"Esta semana","No prazo"))))))</f>
        <v/>
      </c>
      <c r="I303" s="24">
        <f>IF(OR(B303="",F303="Feito",D303=""),"",D303-Config!$B$5)</f>
        <v/>
      </c>
      <c r="J303" s="28">
        <f>IF(OR(B303="",F303="Feito"),0,IF(H303="Atrasada",3000+MIN(Config!$B$5-D303,60),IF(H303="Hoje",2500,IF(H303="Esta semana",2000-(D303-Config!$B$5),IF(H303="Sem prazo",500,1000-MIN(D303-Config!$B$5,900)))))+IF(E303="Alta",200,IF(E303="Média",100,0))-ROW()/100000)</f>
        <v>0</v>
      </c>
      <c r="K303" s="28">
        <f>IF(AND(B303&lt;&gt;"",A303=Config!$B$6),COUNTIFS($A$5:A303,Config!$B$6,$B$5:B303,"&lt;&gt;"),"")</f>
        <v/>
      </c>
    </row>
    <row r="304">
      <c r="A304" s="33" t="n"/>
      <c r="B304" s="31" t="n"/>
      <c r="C304" s="33" t="n"/>
      <c r="D304" s="34" t="n"/>
      <c r="E304" s="33" t="n"/>
      <c r="F304" s="33" t="n"/>
      <c r="G304" s="34" t="n"/>
      <c r="H304" s="21">
        <f>IF(B304="","",IF(F304="Feito","Feita",IF(D304="","Sem prazo",IF(D304&lt;Config!$B$5,"Atrasada",IF(D304=Config!$B$5,"Hoje",IF(D304-Config!$B$5&lt;=7,"Esta semana","No prazo"))))))</f>
        <v/>
      </c>
      <c r="I304" s="24">
        <f>IF(OR(B304="",F304="Feito",D304=""),"",D304-Config!$B$5)</f>
        <v/>
      </c>
      <c r="J304" s="28">
        <f>IF(OR(B304="",F304="Feito"),0,IF(H304="Atrasada",3000+MIN(Config!$B$5-D304,60),IF(H304="Hoje",2500,IF(H304="Esta semana",2000-(D304-Config!$B$5),IF(H304="Sem prazo",500,1000-MIN(D304-Config!$B$5,900)))))+IF(E304="Alta",200,IF(E304="Média",100,0))-ROW()/100000)</f>
        <v>0</v>
      </c>
      <c r="K304" s="28">
        <f>IF(AND(B304&lt;&gt;"",A304=Config!$B$6),COUNTIFS($A$5:A304,Config!$B$6,$B$5:B304,"&lt;&gt;"),"")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304"/>
  <mergeCells count="1">
    <mergeCell ref="A2:J2"/>
  </mergeCells>
  <conditionalFormatting sqref="A5:I304">
    <cfRule type="expression" priority="1" dxfId="0">
      <formula>$H5="Atrasada"</formula>
    </cfRule>
    <cfRule type="expression" priority="2" dxfId="1">
      <formula>$H5="Hoje"</formula>
    </cfRule>
    <cfRule type="expression" priority="3" dxfId="3">
      <formula>$H5="Feita"</formula>
    </cfRule>
  </conditionalFormatting>
  <dataValidations count="5">
    <dataValidation sqref="A5:A304" showDropDown="0" showInputMessage="0" showErrorMessage="1" allowBlank="1" type="list">
      <formula1>=Reuniões!$A$5:$A$104</formula1>
    </dataValidation>
    <dataValidation sqref="C5:C304" showDropDown="0" showInputMessage="0" showErrorMessage="1" allowBlank="1" type="list">
      <formula1>=Config!$A$9:$A$20</formula1>
    </dataValidation>
    <dataValidation sqref="E5:E304" showDropDown="0" showInputMessage="0" showErrorMessage="1" allowBlank="1" type="list">
      <formula1>"Alta,Média,Baixa"</formula1>
    </dataValidation>
    <dataValidation sqref="F5:F304" showDropDown="0" showInputMessage="0" showErrorMessage="1" allowBlank="1" type="list">
      <formula1>"A fazer,Fazendo,Feito"</formula1>
    </dataValidation>
    <dataValidation sqref="D5:D304 G5:G3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Ata e Pendências · Kit IA no Trabalho Completo</dc:title>
  <dcterms:created xmlns:dcterms="http://purl.org/dc/terms/" xmlns:xsi="http://www.w3.org/2001/XMLSchema-instance" xsi:type="dcterms:W3CDTF">2026-09-24T11:42:10Z</dcterms:created>
  <dcterms:modified xmlns:dcterms="http://purl.org/dc/terms/" xmlns:xsi="http://www.w3.org/2001/XMLSchema-instance" xsi:type="dcterms:W3CDTF">2026-09-24T11:42:10Z</dcterms:modified>
</cp:coreProperties>
</file>