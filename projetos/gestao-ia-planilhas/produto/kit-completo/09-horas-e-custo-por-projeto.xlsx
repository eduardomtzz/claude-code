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Horas" sheetId="4" state="visible" r:id="rId4"/>
  </sheets>
  <definedNames>
    <definedName name="_xlnm._FilterDatabase" localSheetId="3" hidden="1">'Horas'!$A$4:$I$804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;[Red]-&quot;R$&quot; #,##0"/>
    <numFmt numFmtId="165" formatCode="&quot;R$&quot; #,##0.00;[Red]-&quot;R$&quot; #,##0.00"/>
    <numFmt numFmtId="166" formatCode="dd/mm/yyyy"/>
    <numFmt numFmtId="167" formatCode="0.0"/>
    <numFmt numFmtId="168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7" fillId="6" borderId="0" applyAlignment="1" pivotButton="0" quotePrefix="0" xfId="0">
      <alignment horizontal="center"/>
    </xf>
    <xf numFmtId="0" fontId="0" fillId="6" borderId="0" pivotButton="0" quotePrefix="0" xfId="0"/>
    <xf numFmtId="168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9" fontId="9" fillId="5" borderId="0" applyAlignment="1" pivotButton="0" quotePrefix="0" xfId="0">
      <alignment horizontal="center"/>
    </xf>
    <xf numFmtId="9" fontId="1" fillId="6" borderId="0" applyAlignment="1" pivotButton="0" quotePrefix="0" xfId="0">
      <alignment horizontal="center"/>
    </xf>
    <xf numFmtId="0" fontId="1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4" fontId="4" fillId="2" borderId="1" applyProtection="1" pivotButton="0" quotePrefix="0" xfId="0"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4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usadas × orçadas por projeto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'Painel'!C8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'Painel'!$C$9:$C$20</f>
            </numRef>
          </val>
        </ser>
        <ser>
          <idx val="1"/>
          <order val="1"/>
          <tx>
            <strRef>
              <f>'Painel'!D8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'Painel'!$A$9:$A$20</f>
            </numRef>
          </cat>
          <val>
            <numRef>
              <f>'Painel'!$D$9:$D$20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Horas e Custo por Projeto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pessoa lança as horas por projeto; ela transforma em custo (pelo custo-hora), compara com as horas orçadas e o valor cobrado, mostra a margem de cada projeto e a ocupação de cada pessoa no mês.</t>
        </is>
      </c>
    </row>
    <row r="5" ht="46" customHeight="1">
      <c r="A5" s="3" t="inlineStr">
        <is>
          <t>Passo 1</t>
        </is>
      </c>
      <c r="B5" s="4" t="inlineStr">
        <is>
          <t>Em Config, cadastre as pessoas com custo mensal e horas disponíveis (o custo-hora é calculado), e os projetos com horas orçadas, valor cobrado e status. Projetos internos (comercial, gestão) entram com status Interno; proposta ainda não fechada pode entrar como Proposta, sem horas.</t>
        </is>
      </c>
    </row>
    <row r="6" ht="46" customHeight="1">
      <c r="A6" s="3" t="inlineStr">
        <is>
          <t>Passo 2</t>
        </is>
      </c>
      <c r="B6" s="4" t="inlineStr">
        <is>
          <t>Em Horas, uma linha por pessoa, por dia, por projeto: data, pessoa, projeto, atividade, horas e se é faturável.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Config. Por projeto: horas usadas contra orçadas, custo, margem e situação. Por pessoa: ocupação e horas faturáveis.</t>
        </is>
      </c>
    </row>
    <row r="8" ht="46" customHeight="1">
      <c r="A8" s="3" t="inlineStr">
        <is>
          <t>Rotina</t>
        </is>
      </c>
      <c r="B8" s="4" t="inlineStr">
        <is>
          <t>Cada pessoa lança no fim do dia (2 minutos) ou na sexta (10 minutos). Dia 1 do mês: olhe margem por projeto antes de precificar o próximo.</t>
        </is>
      </c>
    </row>
    <row r="9" ht="46" customHeight="1">
      <c r="A9" s="3" t="inlineStr">
        <is>
          <t>Com a IA</t>
        </is>
      </c>
      <c r="B9" s="4" t="inlineStr">
        <is>
          <t>Copie "Por projeto" e use "Analisar 02: comparar dois períodos" ou "Analisar 06: perguntas antes de decidir" para revisar preços. Para justificar horas a um cliente, "Escrever 04".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Google Sheets</t>
        </is>
      </c>
      <c r="B12" s="4" t="inlineStr">
        <is>
          <t>Faça upload no Google Drive e abra com o Google Sheets. Fórmulas, listas, cores e gráficos funcionam.</t>
        </is>
      </c>
    </row>
    <row r="13" ht="46" customHeight="1">
      <c r="A13" s="3" t="inlineStr">
        <is>
          <t>Exemplos</t>
        </is>
      </c>
      <c r="B13" s="4" t="inlineStr">
        <is>
          <t>Prisma Comunicação é uma empresa fictícia. Nomes e valores são inventados. Apague-os antes de começar.</t>
        </is>
      </c>
    </row>
    <row r="14" ht="46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  <col width="11" customWidth="1" min="9" max="9"/>
    <col width="17" customWidth="1" min="10" max="10"/>
  </cols>
  <sheetData>
    <row r="1">
      <c r="A1" s="5">
        <f>Config!B4&amp;" · "&amp;Config!B6&amp;" de "&amp;Config!B5</f>
        <v/>
      </c>
    </row>
    <row r="2">
      <c r="A2" s="6" t="inlineStr">
        <is>
          <t>Nada para preencher aqui. Escolha o mês em Config; tudo vem de Horas.</t>
        </is>
      </c>
    </row>
    <row r="4">
      <c r="A4" s="7" t="inlineStr">
        <is>
          <t>Horas no mês</t>
        </is>
      </c>
      <c r="B4" s="8" t="n"/>
      <c r="C4" s="7" t="inlineStr">
        <is>
          <t>Custo no mês</t>
        </is>
      </c>
      <c r="D4" s="8" t="n"/>
      <c r="E4" s="9" t="inlineStr">
        <is>
          <t>Horas faturáveis</t>
        </is>
      </c>
      <c r="F4" s="10" t="n"/>
      <c r="G4" s="11" t="inlineStr">
        <is>
          <t>Ocupação da equipe</t>
        </is>
      </c>
      <c r="H4" s="12" t="n"/>
    </row>
    <row r="5" ht="30" customHeight="1">
      <c r="A5" s="13">
        <f>SUMIFS(Horas!$E$5:$E$804,Horas!$G$5:$G$804,Config!$B$7,Horas!$H$5:$H$804,Config!$B$5)</f>
        <v/>
      </c>
      <c r="B5" s="8" t="n"/>
      <c r="C5" s="14">
        <f>SUMIFS(Horas!$F$5:$F$804,Horas!$G$5:$G$804,Config!$B$7,Horas!$H$5:$H$804,Config!$B$5)</f>
        <v/>
      </c>
      <c r="D5" s="8" t="n"/>
      <c r="E5" s="15">
        <f>IFERROR(SUMIFS(Horas!$E$5:$E$804,Horas!$G$5:$G$804,Config!$B$7,Horas!$H$5:$H$804,Config!$B$5,Horas!$I$5:$I$804,"Sim")/A5,0)</f>
        <v/>
      </c>
      <c r="F5" s="10" t="n"/>
      <c r="G5" s="16">
        <f>IFERROR(A5/SUMIFS(Config!$C$11:$C$20,Config!$A$11:$A$20,"&lt;&gt;"),0)</f>
        <v/>
      </c>
      <c r="H5" s="12" t="n"/>
    </row>
    <row r="7">
      <c r="A7" s="17" t="inlineStr">
        <is>
          <t>Por projeto (todo o período)</t>
        </is>
      </c>
    </row>
    <row r="8" ht="26" customHeight="1">
      <c r="A8" s="18" t="inlineStr">
        <is>
          <t>Projeto</t>
        </is>
      </c>
      <c r="B8" s="18" t="inlineStr">
        <is>
          <t>Cliente</t>
        </is>
      </c>
      <c r="C8" s="18" t="inlineStr">
        <is>
          <t>Horas orçadas</t>
        </is>
      </c>
      <c r="D8" s="18" t="inlineStr">
        <is>
          <t>Horas usadas</t>
        </is>
      </c>
      <c r="E8" s="18" t="inlineStr">
        <is>
          <t>% do orçado</t>
        </is>
      </c>
      <c r="F8" s="18" t="inlineStr">
        <is>
          <t>Custo (R$)</t>
        </is>
      </c>
      <c r="G8" s="18" t="inlineStr">
        <is>
          <t>Valor cobrado</t>
        </is>
      </c>
      <c r="H8" s="18" t="inlineStr">
        <is>
          <t>Margem (R$)</t>
        </is>
      </c>
      <c r="I8" s="18" t="inlineStr">
        <is>
          <t>Margem (%)</t>
        </is>
      </c>
      <c r="J8" s="18" t="inlineStr">
        <is>
          <t>Situação</t>
        </is>
      </c>
    </row>
    <row r="9">
      <c r="A9" s="19">
        <f>IF(Config!$A$24="","",Config!$A$24)</f>
        <v/>
      </c>
      <c r="B9" s="19">
        <f>IF(Config!$A$24="","",Config!$B$24)</f>
        <v/>
      </c>
      <c r="C9" s="20">
        <f>IF(Config!$A$24="","",Config!$C$24)</f>
        <v/>
      </c>
      <c r="D9" s="21">
        <f>IF(Config!$A$24="","",SUMIFS(Horas!$E$5:$E$804,Horas!$C$5:$C$804,Config!$A$24))</f>
        <v/>
      </c>
      <c r="E9" s="22">
        <f>IF(OR(Config!$A$24="",C9=0,C9=""),"",D9/C9)</f>
        <v/>
      </c>
      <c r="F9" s="23">
        <f>IF(Config!$A$24="","",SUMIFS(Horas!$F$5:$F$804,Horas!$C$5:$C$804,Config!$A$24))</f>
        <v/>
      </c>
      <c r="G9" s="23">
        <f>IF(Config!$A$24="","",Config!$D$24)</f>
        <v/>
      </c>
      <c r="H9" s="23">
        <f>IF(OR(Config!$A$24="",G9=""),"",G9-F9)</f>
        <v/>
      </c>
      <c r="I9" s="22">
        <f>IF(OR(Config!$A$24="",G9="",G9=0),"",H9/G9)</f>
        <v/>
      </c>
      <c r="J9" s="24">
        <f>IF(Config!$A$24="","",IF(Config!$E$24="Interno","Interno",IF(Config!$E$24="Proposta","Proposta",IF(AND(E9&lt;&gt;"",E9&gt;1),"Estourou as horas",IF(AND(I9&lt;&gt;"",I9&lt;0.2),"Margem baixa",IF(AND(E9&lt;&gt;"",E9&gt;0.85,Config!$E$24="Em andamento"),"Perto do limite","Saudável"))))))</f>
        <v/>
      </c>
    </row>
    <row r="10">
      <c r="A10" s="19">
        <f>IF(Config!$A$25="","",Config!$A$25)</f>
        <v/>
      </c>
      <c r="B10" s="19">
        <f>IF(Config!$A$25="","",Config!$B$25)</f>
        <v/>
      </c>
      <c r="C10" s="20">
        <f>IF(Config!$A$25="","",Config!$C$25)</f>
        <v/>
      </c>
      <c r="D10" s="21">
        <f>IF(Config!$A$25="","",SUMIFS(Horas!$E$5:$E$804,Horas!$C$5:$C$804,Config!$A$25))</f>
        <v/>
      </c>
      <c r="E10" s="22">
        <f>IF(OR(Config!$A$25="",C10=0,C10=""),"",D10/C10)</f>
        <v/>
      </c>
      <c r="F10" s="23">
        <f>IF(Config!$A$25="","",SUMIFS(Horas!$F$5:$F$804,Horas!$C$5:$C$804,Config!$A$25))</f>
        <v/>
      </c>
      <c r="G10" s="23">
        <f>IF(Config!$A$25="","",Config!$D$25)</f>
        <v/>
      </c>
      <c r="H10" s="23">
        <f>IF(OR(Config!$A$25="",G10=""),"",G10-F10)</f>
        <v/>
      </c>
      <c r="I10" s="22">
        <f>IF(OR(Config!$A$25="",G10="",G10=0),"",H10/G10)</f>
        <v/>
      </c>
      <c r="J10" s="24">
        <f>IF(Config!$A$25="","",IF(Config!$E$25="Interno","Interno",IF(Config!$E$25="Proposta","Proposta",IF(AND(E10&lt;&gt;"",E10&gt;1),"Estourou as horas",IF(AND(I10&lt;&gt;"",I10&lt;0.2),"Margem baixa",IF(AND(E10&lt;&gt;"",E10&gt;0.85,Config!$E$25="Em andamento"),"Perto do limite","Saudável"))))))</f>
        <v/>
      </c>
    </row>
    <row r="11">
      <c r="A11" s="19">
        <f>IF(Config!$A$26="","",Config!$A$26)</f>
        <v/>
      </c>
      <c r="B11" s="19">
        <f>IF(Config!$A$26="","",Config!$B$26)</f>
        <v/>
      </c>
      <c r="C11" s="20">
        <f>IF(Config!$A$26="","",Config!$C$26)</f>
        <v/>
      </c>
      <c r="D11" s="21">
        <f>IF(Config!$A$26="","",SUMIFS(Horas!$E$5:$E$804,Horas!$C$5:$C$804,Config!$A$26))</f>
        <v/>
      </c>
      <c r="E11" s="22">
        <f>IF(OR(Config!$A$26="",C11=0,C11=""),"",D11/C11)</f>
        <v/>
      </c>
      <c r="F11" s="23">
        <f>IF(Config!$A$26="","",SUMIFS(Horas!$F$5:$F$804,Horas!$C$5:$C$804,Config!$A$26))</f>
        <v/>
      </c>
      <c r="G11" s="23">
        <f>IF(Config!$A$26="","",Config!$D$26)</f>
        <v/>
      </c>
      <c r="H11" s="23">
        <f>IF(OR(Config!$A$26="",G11=""),"",G11-F11)</f>
        <v/>
      </c>
      <c r="I11" s="22">
        <f>IF(OR(Config!$A$26="",G11="",G11=0),"",H11/G11)</f>
        <v/>
      </c>
      <c r="J11" s="24">
        <f>IF(Config!$A$26="","",IF(Config!$E$26="Interno","Interno",IF(Config!$E$26="Proposta","Proposta",IF(AND(E11&lt;&gt;"",E11&gt;1),"Estourou as horas",IF(AND(I11&lt;&gt;"",I11&lt;0.2),"Margem baixa",IF(AND(E11&lt;&gt;"",E11&gt;0.85,Config!$E$26="Em andamento"),"Perto do limite","Saudável"))))))</f>
        <v/>
      </c>
    </row>
    <row r="12">
      <c r="A12" s="19">
        <f>IF(Config!$A$27="","",Config!$A$27)</f>
        <v/>
      </c>
      <c r="B12" s="19">
        <f>IF(Config!$A$27="","",Config!$B$27)</f>
        <v/>
      </c>
      <c r="C12" s="20">
        <f>IF(Config!$A$27="","",Config!$C$27)</f>
        <v/>
      </c>
      <c r="D12" s="21">
        <f>IF(Config!$A$27="","",SUMIFS(Horas!$E$5:$E$804,Horas!$C$5:$C$804,Config!$A$27))</f>
        <v/>
      </c>
      <c r="E12" s="22">
        <f>IF(OR(Config!$A$27="",C12=0,C12=""),"",D12/C12)</f>
        <v/>
      </c>
      <c r="F12" s="23">
        <f>IF(Config!$A$27="","",SUMIFS(Horas!$F$5:$F$804,Horas!$C$5:$C$804,Config!$A$27))</f>
        <v/>
      </c>
      <c r="G12" s="23">
        <f>IF(Config!$A$27="","",Config!$D$27)</f>
        <v/>
      </c>
      <c r="H12" s="23">
        <f>IF(OR(Config!$A$27="",G12=""),"",G12-F12)</f>
        <v/>
      </c>
      <c r="I12" s="22">
        <f>IF(OR(Config!$A$27="",G12="",G12=0),"",H12/G12)</f>
        <v/>
      </c>
      <c r="J12" s="24">
        <f>IF(Config!$A$27="","",IF(Config!$E$27="Interno","Interno",IF(Config!$E$27="Proposta","Proposta",IF(AND(E12&lt;&gt;"",E12&gt;1),"Estourou as horas",IF(AND(I12&lt;&gt;"",I12&lt;0.2),"Margem baixa",IF(AND(E12&lt;&gt;"",E12&gt;0.85,Config!$E$27="Em andamento"),"Perto do limite","Saudável"))))))</f>
        <v/>
      </c>
    </row>
    <row r="13">
      <c r="A13" s="19">
        <f>IF(Config!$A$28="","",Config!$A$28)</f>
        <v/>
      </c>
      <c r="B13" s="19">
        <f>IF(Config!$A$28="","",Config!$B$28)</f>
        <v/>
      </c>
      <c r="C13" s="20">
        <f>IF(Config!$A$28="","",Config!$C$28)</f>
        <v/>
      </c>
      <c r="D13" s="21">
        <f>IF(Config!$A$28="","",SUMIFS(Horas!$E$5:$E$804,Horas!$C$5:$C$804,Config!$A$28))</f>
        <v/>
      </c>
      <c r="E13" s="22">
        <f>IF(OR(Config!$A$28="",C13=0,C13=""),"",D13/C13)</f>
        <v/>
      </c>
      <c r="F13" s="23">
        <f>IF(Config!$A$28="","",SUMIFS(Horas!$F$5:$F$804,Horas!$C$5:$C$804,Config!$A$28))</f>
        <v/>
      </c>
      <c r="G13" s="23">
        <f>IF(Config!$A$28="","",Config!$D$28)</f>
        <v/>
      </c>
      <c r="H13" s="23">
        <f>IF(OR(Config!$A$28="",G13=""),"",G13-F13)</f>
        <v/>
      </c>
      <c r="I13" s="22">
        <f>IF(OR(Config!$A$28="",G13="",G13=0),"",H13/G13)</f>
        <v/>
      </c>
      <c r="J13" s="24">
        <f>IF(Config!$A$28="","",IF(Config!$E$28="Interno","Interno",IF(Config!$E$28="Proposta","Proposta",IF(AND(E13&lt;&gt;"",E13&gt;1),"Estourou as horas",IF(AND(I13&lt;&gt;"",I13&lt;0.2),"Margem baixa",IF(AND(E13&lt;&gt;"",E13&gt;0.85,Config!$E$28="Em andamento"),"Perto do limite","Saudável"))))))</f>
        <v/>
      </c>
    </row>
    <row r="14">
      <c r="A14" s="19">
        <f>IF(Config!$A$29="","",Config!$A$29)</f>
        <v/>
      </c>
      <c r="B14" s="19">
        <f>IF(Config!$A$29="","",Config!$B$29)</f>
        <v/>
      </c>
      <c r="C14" s="20">
        <f>IF(Config!$A$29="","",Config!$C$29)</f>
        <v/>
      </c>
      <c r="D14" s="21">
        <f>IF(Config!$A$29="","",SUMIFS(Horas!$E$5:$E$804,Horas!$C$5:$C$804,Config!$A$29))</f>
        <v/>
      </c>
      <c r="E14" s="22">
        <f>IF(OR(Config!$A$29="",C14=0,C14=""),"",D14/C14)</f>
        <v/>
      </c>
      <c r="F14" s="23">
        <f>IF(Config!$A$29="","",SUMIFS(Horas!$F$5:$F$804,Horas!$C$5:$C$804,Config!$A$29))</f>
        <v/>
      </c>
      <c r="G14" s="23">
        <f>IF(Config!$A$29="","",Config!$D$29)</f>
        <v/>
      </c>
      <c r="H14" s="23">
        <f>IF(OR(Config!$A$29="",G14=""),"",G14-F14)</f>
        <v/>
      </c>
      <c r="I14" s="22">
        <f>IF(OR(Config!$A$29="",G14="",G14=0),"",H14/G14)</f>
        <v/>
      </c>
      <c r="J14" s="24">
        <f>IF(Config!$A$29="","",IF(Config!$E$29="Interno","Interno",IF(Config!$E$29="Proposta","Proposta",IF(AND(E14&lt;&gt;"",E14&gt;1),"Estourou as horas",IF(AND(I14&lt;&gt;"",I14&lt;0.2),"Margem baixa",IF(AND(E14&lt;&gt;"",E14&gt;0.85,Config!$E$29="Em andamento"),"Perto do limite","Saudável"))))))</f>
        <v/>
      </c>
    </row>
    <row r="15">
      <c r="A15" s="19">
        <f>IF(Config!$A$30="","",Config!$A$30)</f>
        <v/>
      </c>
      <c r="B15" s="19">
        <f>IF(Config!$A$30="","",Config!$B$30)</f>
        <v/>
      </c>
      <c r="C15" s="20">
        <f>IF(Config!$A$30="","",Config!$C$30)</f>
        <v/>
      </c>
      <c r="D15" s="21">
        <f>IF(Config!$A$30="","",SUMIFS(Horas!$E$5:$E$804,Horas!$C$5:$C$804,Config!$A$30))</f>
        <v/>
      </c>
      <c r="E15" s="22">
        <f>IF(OR(Config!$A$30="",C15=0,C15=""),"",D15/C15)</f>
        <v/>
      </c>
      <c r="F15" s="23">
        <f>IF(Config!$A$30="","",SUMIFS(Horas!$F$5:$F$804,Horas!$C$5:$C$804,Config!$A$30))</f>
        <v/>
      </c>
      <c r="G15" s="23">
        <f>IF(Config!$A$30="","",Config!$D$30)</f>
        <v/>
      </c>
      <c r="H15" s="23">
        <f>IF(OR(Config!$A$30="",G15=""),"",G15-F15)</f>
        <v/>
      </c>
      <c r="I15" s="22">
        <f>IF(OR(Config!$A$30="",G15="",G15=0),"",H15/G15)</f>
        <v/>
      </c>
      <c r="J15" s="24">
        <f>IF(Config!$A$30="","",IF(Config!$E$30="Interno","Interno",IF(Config!$E$30="Proposta","Proposta",IF(AND(E15&lt;&gt;"",E15&gt;1),"Estourou as horas",IF(AND(I15&lt;&gt;"",I15&lt;0.2),"Margem baixa",IF(AND(E15&lt;&gt;"",E15&gt;0.85,Config!$E$30="Em andamento"),"Perto do limite","Saudável"))))))</f>
        <v/>
      </c>
    </row>
    <row r="16">
      <c r="A16" s="19">
        <f>IF(Config!$A$31="","",Config!$A$31)</f>
        <v/>
      </c>
      <c r="B16" s="19">
        <f>IF(Config!$A$31="","",Config!$B$31)</f>
        <v/>
      </c>
      <c r="C16" s="20">
        <f>IF(Config!$A$31="","",Config!$C$31)</f>
        <v/>
      </c>
      <c r="D16" s="21">
        <f>IF(Config!$A$31="","",SUMIFS(Horas!$E$5:$E$804,Horas!$C$5:$C$804,Config!$A$31))</f>
        <v/>
      </c>
      <c r="E16" s="22">
        <f>IF(OR(Config!$A$31="",C16=0,C16=""),"",D16/C16)</f>
        <v/>
      </c>
      <c r="F16" s="23">
        <f>IF(Config!$A$31="","",SUMIFS(Horas!$F$5:$F$804,Horas!$C$5:$C$804,Config!$A$31))</f>
        <v/>
      </c>
      <c r="G16" s="23">
        <f>IF(Config!$A$31="","",Config!$D$31)</f>
        <v/>
      </c>
      <c r="H16" s="23">
        <f>IF(OR(Config!$A$31="",G16=""),"",G16-F16)</f>
        <v/>
      </c>
      <c r="I16" s="22">
        <f>IF(OR(Config!$A$31="",G16="",G16=0),"",H16/G16)</f>
        <v/>
      </c>
      <c r="J16" s="24">
        <f>IF(Config!$A$31="","",IF(Config!$E$31="Interno","Interno",IF(Config!$E$31="Proposta","Proposta",IF(AND(E16&lt;&gt;"",E16&gt;1),"Estourou as horas",IF(AND(I16&lt;&gt;"",I16&lt;0.2),"Margem baixa",IF(AND(E16&lt;&gt;"",E16&gt;0.85,Config!$E$31="Em andamento"),"Perto do limite","Saudável"))))))</f>
        <v/>
      </c>
    </row>
    <row r="17">
      <c r="A17" s="19">
        <f>IF(Config!$A$32="","",Config!$A$32)</f>
        <v/>
      </c>
      <c r="B17" s="19">
        <f>IF(Config!$A$32="","",Config!$B$32)</f>
        <v/>
      </c>
      <c r="C17" s="20">
        <f>IF(Config!$A$32="","",Config!$C$32)</f>
        <v/>
      </c>
      <c r="D17" s="21">
        <f>IF(Config!$A$32="","",SUMIFS(Horas!$E$5:$E$804,Horas!$C$5:$C$804,Config!$A$32))</f>
        <v/>
      </c>
      <c r="E17" s="22">
        <f>IF(OR(Config!$A$32="",C17=0,C17=""),"",D17/C17)</f>
        <v/>
      </c>
      <c r="F17" s="23">
        <f>IF(Config!$A$32="","",SUMIFS(Horas!$F$5:$F$804,Horas!$C$5:$C$804,Config!$A$32))</f>
        <v/>
      </c>
      <c r="G17" s="23">
        <f>IF(Config!$A$32="","",Config!$D$32)</f>
        <v/>
      </c>
      <c r="H17" s="23">
        <f>IF(OR(Config!$A$32="",G17=""),"",G17-F17)</f>
        <v/>
      </c>
      <c r="I17" s="22">
        <f>IF(OR(Config!$A$32="",G17="",G17=0),"",H17/G17)</f>
        <v/>
      </c>
      <c r="J17" s="24">
        <f>IF(Config!$A$32="","",IF(Config!$E$32="Interno","Interno",IF(Config!$E$32="Proposta","Proposta",IF(AND(E17&lt;&gt;"",E17&gt;1),"Estourou as horas",IF(AND(I17&lt;&gt;"",I17&lt;0.2),"Margem baixa",IF(AND(E17&lt;&gt;"",E17&gt;0.85,Config!$E$32="Em andamento"),"Perto do limite","Saudável"))))))</f>
        <v/>
      </c>
    </row>
    <row r="18">
      <c r="A18" s="19">
        <f>IF(Config!$A$33="","",Config!$A$33)</f>
        <v/>
      </c>
      <c r="B18" s="19">
        <f>IF(Config!$A$33="","",Config!$B$33)</f>
        <v/>
      </c>
      <c r="C18" s="20">
        <f>IF(Config!$A$33="","",Config!$C$33)</f>
        <v/>
      </c>
      <c r="D18" s="21">
        <f>IF(Config!$A$33="","",SUMIFS(Horas!$E$5:$E$804,Horas!$C$5:$C$804,Config!$A$33))</f>
        <v/>
      </c>
      <c r="E18" s="22">
        <f>IF(OR(Config!$A$33="",C18=0,C18=""),"",D18/C18)</f>
        <v/>
      </c>
      <c r="F18" s="23">
        <f>IF(Config!$A$33="","",SUMIFS(Horas!$F$5:$F$804,Horas!$C$5:$C$804,Config!$A$33))</f>
        <v/>
      </c>
      <c r="G18" s="23">
        <f>IF(Config!$A$33="","",Config!$D$33)</f>
        <v/>
      </c>
      <c r="H18" s="23">
        <f>IF(OR(Config!$A$33="",G18=""),"",G18-F18)</f>
        <v/>
      </c>
      <c r="I18" s="22">
        <f>IF(OR(Config!$A$33="",G18="",G18=0),"",H18/G18)</f>
        <v/>
      </c>
      <c r="J18" s="24">
        <f>IF(Config!$A$33="","",IF(Config!$E$33="Interno","Interno",IF(Config!$E$33="Proposta","Proposta",IF(AND(E18&lt;&gt;"",E18&gt;1),"Estourou as horas",IF(AND(I18&lt;&gt;"",I18&lt;0.2),"Margem baixa",IF(AND(E18&lt;&gt;"",E18&gt;0.85,Config!$E$33="Em andamento"),"Perto do limite","Saudável"))))))</f>
        <v/>
      </c>
    </row>
    <row r="19">
      <c r="A19" s="19">
        <f>IF(Config!$A$34="","",Config!$A$34)</f>
        <v/>
      </c>
      <c r="B19" s="19">
        <f>IF(Config!$A$34="","",Config!$B$34)</f>
        <v/>
      </c>
      <c r="C19" s="20">
        <f>IF(Config!$A$34="","",Config!$C$34)</f>
        <v/>
      </c>
      <c r="D19" s="21">
        <f>IF(Config!$A$34="","",SUMIFS(Horas!$E$5:$E$804,Horas!$C$5:$C$804,Config!$A$34))</f>
        <v/>
      </c>
      <c r="E19" s="22">
        <f>IF(OR(Config!$A$34="",C19=0,C19=""),"",D19/C19)</f>
        <v/>
      </c>
      <c r="F19" s="23">
        <f>IF(Config!$A$34="","",SUMIFS(Horas!$F$5:$F$804,Horas!$C$5:$C$804,Config!$A$34))</f>
        <v/>
      </c>
      <c r="G19" s="23">
        <f>IF(Config!$A$34="","",Config!$D$34)</f>
        <v/>
      </c>
      <c r="H19" s="23">
        <f>IF(OR(Config!$A$34="",G19=""),"",G19-F19)</f>
        <v/>
      </c>
      <c r="I19" s="22">
        <f>IF(OR(Config!$A$34="",G19="",G19=0),"",H19/G19)</f>
        <v/>
      </c>
      <c r="J19" s="24">
        <f>IF(Config!$A$34="","",IF(Config!$E$34="Interno","Interno",IF(Config!$E$34="Proposta","Proposta",IF(AND(E19&lt;&gt;"",E19&gt;1),"Estourou as horas",IF(AND(I19&lt;&gt;"",I19&lt;0.2),"Margem baixa",IF(AND(E19&lt;&gt;"",E19&gt;0.85,Config!$E$34="Em andamento"),"Perto do limite","Saudável"))))))</f>
        <v/>
      </c>
    </row>
    <row r="20">
      <c r="A20" s="19">
        <f>IF(Config!$A$35="","",Config!$A$35)</f>
        <v/>
      </c>
      <c r="B20" s="19">
        <f>IF(Config!$A$35="","",Config!$B$35)</f>
        <v/>
      </c>
      <c r="C20" s="20">
        <f>IF(Config!$A$35="","",Config!$C$35)</f>
        <v/>
      </c>
      <c r="D20" s="21">
        <f>IF(Config!$A$35="","",SUMIFS(Horas!$E$5:$E$804,Horas!$C$5:$C$804,Config!$A$35))</f>
        <v/>
      </c>
      <c r="E20" s="22">
        <f>IF(OR(Config!$A$35="",C20=0,C20=""),"",D20/C20)</f>
        <v/>
      </c>
      <c r="F20" s="23">
        <f>IF(Config!$A$35="","",SUMIFS(Horas!$F$5:$F$804,Horas!$C$5:$C$804,Config!$A$35))</f>
        <v/>
      </c>
      <c r="G20" s="23">
        <f>IF(Config!$A$35="","",Config!$D$35)</f>
        <v/>
      </c>
      <c r="H20" s="23">
        <f>IF(OR(Config!$A$35="",G20=""),"",G20-F20)</f>
        <v/>
      </c>
      <c r="I20" s="22">
        <f>IF(OR(Config!$A$35="",G20="",G20=0),"",H20/G20)</f>
        <v/>
      </c>
      <c r="J20" s="24">
        <f>IF(Config!$A$35="","",IF(Config!$E$35="Interno","Interno",IF(Config!$E$35="Proposta","Proposta",IF(AND(E20&lt;&gt;"",E20&gt;1),"Estourou as horas",IF(AND(I20&lt;&gt;"",I20&lt;0.2),"Margem baixa",IF(AND(E20&lt;&gt;"",E20&gt;0.85,Config!$E$35="Em andamento"),"Perto do limite","Saudável"))))))</f>
        <v/>
      </c>
    </row>
    <row r="22">
      <c r="A22" s="17" t="inlineStr">
        <is>
          <t>Por pessoa no mês</t>
        </is>
      </c>
    </row>
    <row r="23" ht="26" customHeight="1">
      <c r="A23" s="18" t="inlineStr">
        <is>
          <t>Pessoa</t>
        </is>
      </c>
      <c r="B23" s="18" t="inlineStr">
        <is>
          <t>Horas lançadas</t>
        </is>
      </c>
      <c r="C23" s="18" t="inlineStr">
        <is>
          <t>Disponíveis</t>
        </is>
      </c>
      <c r="D23" s="18" t="inlineStr">
        <is>
          <t>Ocupação</t>
        </is>
      </c>
      <c r="E23" s="18" t="inlineStr">
        <is>
          <t>Faturáveis</t>
        </is>
      </c>
      <c r="F23" s="18" t="inlineStr">
        <is>
          <t>Custo no mês</t>
        </is>
      </c>
      <c r="G23" s="18" t="inlineStr">
        <is>
          <t>Custo-hora</t>
        </is>
      </c>
    </row>
    <row r="24">
      <c r="A24" s="19">
        <f>IF(Config!$A$11="","",Config!$A$11)</f>
        <v/>
      </c>
      <c r="B24" s="21">
        <f>IF(Config!$A$11="","",SUMIFS(Horas!$E$5:$E$804,Horas!$B$5:$B$804,Config!$A$11,Horas!$G$5:$G$804,Config!$B$7,Horas!$H$5:$H$804,Config!$B$5))</f>
        <v/>
      </c>
      <c r="C24" s="20">
        <f>IF(Config!$A$11="","",Config!$C$11)</f>
        <v/>
      </c>
      <c r="D24" s="22">
        <f>IF(OR(Config!$A$11="",C24=0,C24=""),"",B24/C24)</f>
        <v/>
      </c>
      <c r="E24" s="22">
        <f>IF(OR(Config!$A$11="",B24=0),"",SUMIFS(Horas!$E$5:$E$804,Horas!$B$5:$B$804,Config!$A$11,Horas!$G$5:$G$804,Config!$B$7,Horas!$H$5:$H$804,Config!$B$5,Horas!$I$5:$I$804,"Sim")/B24)</f>
        <v/>
      </c>
      <c r="F24" s="23">
        <f>IF(Config!$A$11="","",SUMIFS(Horas!$F$5:$F$804,Horas!$B$5:$B$804,Config!$A$11,Horas!$G$5:$G$804,Config!$B$7,Horas!$H$5:$H$804,Config!$B$5))</f>
        <v/>
      </c>
      <c r="G24" s="25">
        <f>IF(Config!$A$11="","",Config!$D$11)</f>
        <v/>
      </c>
    </row>
    <row r="25">
      <c r="A25" s="19">
        <f>IF(Config!$A$12="","",Config!$A$12)</f>
        <v/>
      </c>
      <c r="B25" s="21">
        <f>IF(Config!$A$12="","",SUMIFS(Horas!$E$5:$E$804,Horas!$B$5:$B$804,Config!$A$12,Horas!$G$5:$G$804,Config!$B$7,Horas!$H$5:$H$804,Config!$B$5))</f>
        <v/>
      </c>
      <c r="C25" s="20">
        <f>IF(Config!$A$12="","",Config!$C$12)</f>
        <v/>
      </c>
      <c r="D25" s="22">
        <f>IF(OR(Config!$A$12="",C25=0,C25=""),"",B25/C25)</f>
        <v/>
      </c>
      <c r="E25" s="22">
        <f>IF(OR(Config!$A$12="",B25=0),"",SUMIFS(Horas!$E$5:$E$804,Horas!$B$5:$B$804,Config!$A$12,Horas!$G$5:$G$804,Config!$B$7,Horas!$H$5:$H$804,Config!$B$5,Horas!$I$5:$I$804,"Sim")/B25)</f>
        <v/>
      </c>
      <c r="F25" s="23">
        <f>IF(Config!$A$12="","",SUMIFS(Horas!$F$5:$F$804,Horas!$B$5:$B$804,Config!$A$12,Horas!$G$5:$G$804,Config!$B$7,Horas!$H$5:$H$804,Config!$B$5))</f>
        <v/>
      </c>
      <c r="G25" s="25">
        <f>IF(Config!$A$12="","",Config!$D$12)</f>
        <v/>
      </c>
    </row>
    <row r="26">
      <c r="A26" s="19">
        <f>IF(Config!$A$13="","",Config!$A$13)</f>
        <v/>
      </c>
      <c r="B26" s="21">
        <f>IF(Config!$A$13="","",SUMIFS(Horas!$E$5:$E$804,Horas!$B$5:$B$804,Config!$A$13,Horas!$G$5:$G$804,Config!$B$7,Horas!$H$5:$H$804,Config!$B$5))</f>
        <v/>
      </c>
      <c r="C26" s="20">
        <f>IF(Config!$A$13="","",Config!$C$13)</f>
        <v/>
      </c>
      <c r="D26" s="22">
        <f>IF(OR(Config!$A$13="",C26=0,C26=""),"",B26/C26)</f>
        <v/>
      </c>
      <c r="E26" s="22">
        <f>IF(OR(Config!$A$13="",B26=0),"",SUMIFS(Horas!$E$5:$E$804,Horas!$B$5:$B$804,Config!$A$13,Horas!$G$5:$G$804,Config!$B$7,Horas!$H$5:$H$804,Config!$B$5,Horas!$I$5:$I$804,"Sim")/B26)</f>
        <v/>
      </c>
      <c r="F26" s="23">
        <f>IF(Config!$A$13="","",SUMIFS(Horas!$F$5:$F$804,Horas!$B$5:$B$804,Config!$A$13,Horas!$G$5:$G$804,Config!$B$7,Horas!$H$5:$H$804,Config!$B$5))</f>
        <v/>
      </c>
      <c r="G26" s="25">
        <f>IF(Config!$A$13="","",Config!$D$13)</f>
        <v/>
      </c>
    </row>
    <row r="27">
      <c r="A27" s="19">
        <f>IF(Config!$A$14="","",Config!$A$14)</f>
        <v/>
      </c>
      <c r="B27" s="21">
        <f>IF(Config!$A$14="","",SUMIFS(Horas!$E$5:$E$804,Horas!$B$5:$B$804,Config!$A$14,Horas!$G$5:$G$804,Config!$B$7,Horas!$H$5:$H$804,Config!$B$5))</f>
        <v/>
      </c>
      <c r="C27" s="20">
        <f>IF(Config!$A$14="","",Config!$C$14)</f>
        <v/>
      </c>
      <c r="D27" s="22">
        <f>IF(OR(Config!$A$14="",C27=0,C27=""),"",B27/C27)</f>
        <v/>
      </c>
      <c r="E27" s="22">
        <f>IF(OR(Config!$A$14="",B27=0),"",SUMIFS(Horas!$E$5:$E$804,Horas!$B$5:$B$804,Config!$A$14,Horas!$G$5:$G$804,Config!$B$7,Horas!$H$5:$H$804,Config!$B$5,Horas!$I$5:$I$804,"Sim")/B27)</f>
        <v/>
      </c>
      <c r="F27" s="23">
        <f>IF(Config!$A$14="","",SUMIFS(Horas!$F$5:$F$804,Horas!$B$5:$B$804,Config!$A$14,Horas!$G$5:$G$804,Config!$B$7,Horas!$H$5:$H$804,Config!$B$5))</f>
        <v/>
      </c>
      <c r="G27" s="25">
        <f>IF(Config!$A$14="","",Config!$D$14)</f>
        <v/>
      </c>
    </row>
    <row r="28">
      <c r="A28" s="19">
        <f>IF(Config!$A$15="","",Config!$A$15)</f>
        <v/>
      </c>
      <c r="B28" s="21">
        <f>IF(Config!$A$15="","",SUMIFS(Horas!$E$5:$E$804,Horas!$B$5:$B$804,Config!$A$15,Horas!$G$5:$G$804,Config!$B$7,Horas!$H$5:$H$804,Config!$B$5))</f>
        <v/>
      </c>
      <c r="C28" s="20">
        <f>IF(Config!$A$15="","",Config!$C$15)</f>
        <v/>
      </c>
      <c r="D28" s="22">
        <f>IF(OR(Config!$A$15="",C28=0,C28=""),"",B28/C28)</f>
        <v/>
      </c>
      <c r="E28" s="22">
        <f>IF(OR(Config!$A$15="",B28=0),"",SUMIFS(Horas!$E$5:$E$804,Horas!$B$5:$B$804,Config!$A$15,Horas!$G$5:$G$804,Config!$B$7,Horas!$H$5:$H$804,Config!$B$5,Horas!$I$5:$I$804,"Sim")/B28)</f>
        <v/>
      </c>
      <c r="F28" s="23">
        <f>IF(Config!$A$15="","",SUMIFS(Horas!$F$5:$F$804,Horas!$B$5:$B$804,Config!$A$15,Horas!$G$5:$G$804,Config!$B$7,Horas!$H$5:$H$804,Config!$B$5))</f>
        <v/>
      </c>
      <c r="G28" s="25">
        <f>IF(Config!$A$15="","",Config!$D$15)</f>
        <v/>
      </c>
    </row>
    <row r="29">
      <c r="A29" s="19">
        <f>IF(Config!$A$16="","",Config!$A$16)</f>
        <v/>
      </c>
      <c r="B29" s="21">
        <f>IF(Config!$A$16="","",SUMIFS(Horas!$E$5:$E$804,Horas!$B$5:$B$804,Config!$A$16,Horas!$G$5:$G$804,Config!$B$7,Horas!$H$5:$H$804,Config!$B$5))</f>
        <v/>
      </c>
      <c r="C29" s="20">
        <f>IF(Config!$A$16="","",Config!$C$16)</f>
        <v/>
      </c>
      <c r="D29" s="22">
        <f>IF(OR(Config!$A$16="",C29=0,C29=""),"",B29/C29)</f>
        <v/>
      </c>
      <c r="E29" s="22">
        <f>IF(OR(Config!$A$16="",B29=0),"",SUMIFS(Horas!$E$5:$E$804,Horas!$B$5:$B$804,Config!$A$16,Horas!$G$5:$G$804,Config!$B$7,Horas!$H$5:$H$804,Config!$B$5,Horas!$I$5:$I$804,"Sim")/B29)</f>
        <v/>
      </c>
      <c r="F29" s="23">
        <f>IF(Config!$A$16="","",SUMIFS(Horas!$F$5:$F$804,Horas!$B$5:$B$804,Config!$A$16,Horas!$G$5:$G$804,Config!$B$7,Horas!$H$5:$H$804,Config!$B$5))</f>
        <v/>
      </c>
      <c r="G29" s="25">
        <f>IF(Config!$A$16="","",Config!$D$16)</f>
        <v/>
      </c>
    </row>
    <row r="30">
      <c r="A30" s="19">
        <f>IF(Config!$A$17="","",Config!$A$17)</f>
        <v/>
      </c>
      <c r="B30" s="21">
        <f>IF(Config!$A$17="","",SUMIFS(Horas!$E$5:$E$804,Horas!$B$5:$B$804,Config!$A$17,Horas!$G$5:$G$804,Config!$B$7,Horas!$H$5:$H$804,Config!$B$5))</f>
        <v/>
      </c>
      <c r="C30" s="20">
        <f>IF(Config!$A$17="","",Config!$C$17)</f>
        <v/>
      </c>
      <c r="D30" s="22">
        <f>IF(OR(Config!$A$17="",C30=0,C30=""),"",B30/C30)</f>
        <v/>
      </c>
      <c r="E30" s="22">
        <f>IF(OR(Config!$A$17="",B30=0),"",SUMIFS(Horas!$E$5:$E$804,Horas!$B$5:$B$804,Config!$A$17,Horas!$G$5:$G$804,Config!$B$7,Horas!$H$5:$H$804,Config!$B$5,Horas!$I$5:$I$804,"Sim")/B30)</f>
        <v/>
      </c>
      <c r="F30" s="23">
        <f>IF(Config!$A$17="","",SUMIFS(Horas!$F$5:$F$804,Horas!$B$5:$B$804,Config!$A$17,Horas!$G$5:$G$804,Config!$B$7,Horas!$H$5:$H$804,Config!$B$5))</f>
        <v/>
      </c>
      <c r="G30" s="25">
        <f>IF(Config!$A$17="","",Config!$D$17)</f>
        <v/>
      </c>
    </row>
    <row r="31">
      <c r="A31" s="19">
        <f>IF(Config!$A$18="","",Config!$A$18)</f>
        <v/>
      </c>
      <c r="B31" s="21">
        <f>IF(Config!$A$18="","",SUMIFS(Horas!$E$5:$E$804,Horas!$B$5:$B$804,Config!$A$18,Horas!$G$5:$G$804,Config!$B$7,Horas!$H$5:$H$804,Config!$B$5))</f>
        <v/>
      </c>
      <c r="C31" s="20">
        <f>IF(Config!$A$18="","",Config!$C$18)</f>
        <v/>
      </c>
      <c r="D31" s="22">
        <f>IF(OR(Config!$A$18="",C31=0,C31=""),"",B31/C31)</f>
        <v/>
      </c>
      <c r="E31" s="22">
        <f>IF(OR(Config!$A$18="",B31=0),"",SUMIFS(Horas!$E$5:$E$804,Horas!$B$5:$B$804,Config!$A$18,Horas!$G$5:$G$804,Config!$B$7,Horas!$H$5:$H$804,Config!$B$5,Horas!$I$5:$I$804,"Sim")/B31)</f>
        <v/>
      </c>
      <c r="F31" s="23">
        <f>IF(Config!$A$18="","",SUMIFS(Horas!$F$5:$F$804,Horas!$B$5:$B$804,Config!$A$18,Horas!$G$5:$G$804,Config!$B$7,Horas!$H$5:$H$804,Config!$B$5))</f>
        <v/>
      </c>
      <c r="G31" s="25">
        <f>IF(Config!$A$18="","",Config!$D$18)</f>
        <v/>
      </c>
    </row>
    <row r="32">
      <c r="A32" s="19">
        <f>IF(Config!$A$19="","",Config!$A$19)</f>
        <v/>
      </c>
      <c r="B32" s="21">
        <f>IF(Config!$A$19="","",SUMIFS(Horas!$E$5:$E$804,Horas!$B$5:$B$804,Config!$A$19,Horas!$G$5:$G$804,Config!$B$7,Horas!$H$5:$H$804,Config!$B$5))</f>
        <v/>
      </c>
      <c r="C32" s="20">
        <f>IF(Config!$A$19="","",Config!$C$19)</f>
        <v/>
      </c>
      <c r="D32" s="22">
        <f>IF(OR(Config!$A$19="",C32=0,C32=""),"",B32/C32)</f>
        <v/>
      </c>
      <c r="E32" s="22">
        <f>IF(OR(Config!$A$19="",B32=0),"",SUMIFS(Horas!$E$5:$E$804,Horas!$B$5:$B$804,Config!$A$19,Horas!$G$5:$G$804,Config!$B$7,Horas!$H$5:$H$804,Config!$B$5,Horas!$I$5:$I$804,"Sim")/B32)</f>
        <v/>
      </c>
      <c r="F32" s="23">
        <f>IF(Config!$A$19="","",SUMIFS(Horas!$F$5:$F$804,Horas!$B$5:$B$804,Config!$A$19,Horas!$G$5:$G$804,Config!$B$7,Horas!$H$5:$H$804,Config!$B$5))</f>
        <v/>
      </c>
      <c r="G32" s="25">
        <f>IF(Config!$A$19="","",Config!$D$19)</f>
        <v/>
      </c>
    </row>
    <row r="33">
      <c r="A33" s="19">
        <f>IF(Config!$A$20="","",Config!$A$20)</f>
        <v/>
      </c>
      <c r="B33" s="21">
        <f>IF(Config!$A$20="","",SUMIFS(Horas!$E$5:$E$804,Horas!$B$5:$B$804,Config!$A$20,Horas!$G$5:$G$804,Config!$B$7,Horas!$H$5:$H$804,Config!$B$5))</f>
        <v/>
      </c>
      <c r="C33" s="20">
        <f>IF(Config!$A$20="","",Config!$C$20)</f>
        <v/>
      </c>
      <c r="D33" s="22">
        <f>IF(OR(Config!$A$20="",C33=0,C33=""),"",B33/C33)</f>
        <v/>
      </c>
      <c r="E33" s="22">
        <f>IF(OR(Config!$A$20="",B33=0),"",SUMIFS(Horas!$E$5:$E$804,Horas!$B$5:$B$804,Config!$A$20,Horas!$G$5:$G$804,Config!$B$7,Horas!$H$5:$H$804,Config!$B$5,Horas!$I$5:$I$804,"Sim")/B33)</f>
        <v/>
      </c>
      <c r="F33" s="23">
        <f>IF(Config!$A$20="","",SUMIFS(Horas!$F$5:$F$804,Horas!$B$5:$B$804,Config!$A$20,Horas!$G$5:$G$804,Config!$B$7,Horas!$H$5:$H$804,Config!$B$5))</f>
        <v/>
      </c>
      <c r="G33" s="25">
        <f>IF(Config!$A$20="","",Config!$D$20)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C4:D4"/>
  </mergeCells>
  <conditionalFormatting sqref="J9:J20">
    <cfRule type="expression" priority="1" dxfId="0">
      <formula>OR(J9="Estourou as horas",J9="Margem baixa")</formula>
    </cfRule>
    <cfRule type="expression" priority="2" dxfId="1">
      <formula>J9="Perto do limite"</formula>
    </cfRule>
    <cfRule type="expression" priority="3" dxfId="2">
      <formula>J9="Saudável"</formula>
    </cfRule>
  </conditionalFormatting>
  <conditionalFormatting sqref="H9:H20">
    <cfRule type="expression" priority="4" dxfId="3">
      <formula>AND(ISNUMBER(H9),H9&lt;0)</formula>
    </cfRule>
  </conditionalFormatting>
  <conditionalFormatting sqref="D24:D33">
    <cfRule type="expression" priority="5" dxfId="0">
      <formula>AND(ISNUMBER(D24),D24&gt;1)</formula>
    </cfRule>
    <cfRule type="expression" priority="6" dxfId="1">
      <formula>AND(ISNUMBER(D24),D24&lt;0.6)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6" customWidth="1" min="4" max="4"/>
    <col width="14" customWidth="1" min="5" max="5"/>
    <col width="3" customWidth="1" min="6" max="6"/>
    <col width="3" customWidth="1" min="7" max="7"/>
    <col width="12" customWidth="1" min="8" max="8"/>
  </cols>
  <sheetData>
    <row r="1">
      <c r="A1" s="5" t="inlineStr">
        <is>
          <t>Configurações</t>
        </is>
      </c>
    </row>
    <row r="2">
      <c r="A2" s="26" t="inlineStr">
        <is>
          <t>Células amarelas: você preenche. Custo-hora = custo mensal da pessoa ÷ horas disponíveis no mês.</t>
        </is>
      </c>
    </row>
    <row r="4">
      <c r="A4" s="27" t="inlineStr">
        <is>
          <t>Empresa ou equipe</t>
        </is>
      </c>
      <c r="B4" s="28" t="inlineStr">
        <is>
          <t>Prisma Comunicação (exemplo fictício)</t>
        </is>
      </c>
      <c r="H4" s="27" t="inlineStr">
        <is>
          <t>Meses</t>
        </is>
      </c>
    </row>
    <row r="5">
      <c r="A5" s="27" t="inlineStr">
        <is>
          <t>Ano</t>
        </is>
      </c>
      <c r="B5" s="28" t="n">
        <v>2026</v>
      </c>
      <c r="H5" s="29" t="inlineStr">
        <is>
          <t>Janeiro</t>
        </is>
      </c>
    </row>
    <row r="6">
      <c r="A6" s="27" t="inlineStr">
        <is>
          <t>Mês do painel</t>
        </is>
      </c>
      <c r="B6" s="30" t="inlineStr">
        <is>
          <t>Setembro</t>
        </is>
      </c>
      <c r="H6" s="29" t="inlineStr">
        <is>
          <t>Fevereiro</t>
        </is>
      </c>
    </row>
    <row r="7">
      <c r="A7" s="27" t="inlineStr">
        <is>
          <t>Número do mês</t>
        </is>
      </c>
      <c r="B7" s="24">
        <f>MATCH(B6,$H$5:$H$16,0)</f>
        <v/>
      </c>
      <c r="H7" s="29" t="inlineStr">
        <is>
          <t>Março</t>
        </is>
      </c>
    </row>
    <row r="8">
      <c r="H8" s="29" t="inlineStr">
        <is>
          <t>Abril</t>
        </is>
      </c>
    </row>
    <row r="9">
      <c r="A9" s="27" t="inlineStr">
        <is>
          <t>Pessoas (até 10)</t>
        </is>
      </c>
      <c r="H9" s="29" t="inlineStr">
        <is>
          <t>Maio</t>
        </is>
      </c>
    </row>
    <row r="10" ht="26" customHeight="1">
      <c r="A10" s="18" t="inlineStr">
        <is>
          <t>Pessoa</t>
        </is>
      </c>
      <c r="B10" s="18" t="inlineStr">
        <is>
          <t>Custo mensal (R$)</t>
        </is>
      </c>
      <c r="C10" s="18" t="inlineStr">
        <is>
          <t>Horas disponíveis/mês</t>
        </is>
      </c>
      <c r="D10" s="18" t="inlineStr">
        <is>
          <t>Custo-hora (R$)</t>
        </is>
      </c>
      <c r="H10" s="29" t="inlineStr">
        <is>
          <t>Junho</t>
        </is>
      </c>
    </row>
    <row r="11">
      <c r="A11" s="28" t="inlineStr">
        <is>
          <t>Ana</t>
        </is>
      </c>
      <c r="B11" s="31" t="n">
        <v>9800</v>
      </c>
      <c r="C11" s="30" t="n">
        <v>140</v>
      </c>
      <c r="D11" s="25">
        <f>IF(OR(A11="",C11=0),"",B11/C11)</f>
        <v/>
      </c>
      <c r="H11" s="29" t="inlineStr">
        <is>
          <t>Julho</t>
        </is>
      </c>
    </row>
    <row r="12">
      <c r="A12" s="28" t="inlineStr">
        <is>
          <t>Bruno</t>
        </is>
      </c>
      <c r="B12" s="31" t="n">
        <v>7200</v>
      </c>
      <c r="C12" s="30" t="n">
        <v>140</v>
      </c>
      <c r="D12" s="25">
        <f>IF(OR(A12="",C12=0),"",B12/C12)</f>
        <v/>
      </c>
      <c r="H12" s="29" t="inlineStr">
        <is>
          <t>Agosto</t>
        </is>
      </c>
    </row>
    <row r="13">
      <c r="A13" s="28" t="inlineStr">
        <is>
          <t>Carla</t>
        </is>
      </c>
      <c r="B13" s="31" t="n">
        <v>6500</v>
      </c>
      <c r="C13" s="30" t="n">
        <v>140</v>
      </c>
      <c r="D13" s="25">
        <f>IF(OR(A13="",C13=0),"",B13/C13)</f>
        <v/>
      </c>
      <c r="H13" s="29" t="inlineStr">
        <is>
          <t>Setembro</t>
        </is>
      </c>
    </row>
    <row r="14">
      <c r="A14" s="28" t="inlineStr">
        <is>
          <t>Diego</t>
        </is>
      </c>
      <c r="B14" s="31" t="n">
        <v>5800</v>
      </c>
      <c r="C14" s="30" t="n">
        <v>120</v>
      </c>
      <c r="D14" s="25">
        <f>IF(OR(A14="",C14=0),"",B14/C14)</f>
        <v/>
      </c>
      <c r="H14" s="29" t="inlineStr">
        <is>
          <t>Outubro</t>
        </is>
      </c>
    </row>
    <row r="15">
      <c r="A15" s="28" t="n"/>
      <c r="B15" s="31" t="n"/>
      <c r="C15" s="30" t="n"/>
      <c r="D15" s="25">
        <f>IF(OR(A15="",C15=0),"",B15/C15)</f>
        <v/>
      </c>
      <c r="H15" s="29" t="inlineStr">
        <is>
          <t>Novembro</t>
        </is>
      </c>
    </row>
    <row r="16">
      <c r="A16" s="28" t="n"/>
      <c r="B16" s="31" t="n"/>
      <c r="C16" s="30" t="n"/>
      <c r="D16" s="25">
        <f>IF(OR(A16="",C16=0),"",B16/C16)</f>
        <v/>
      </c>
      <c r="H16" s="29" t="inlineStr">
        <is>
          <t>Dezembro</t>
        </is>
      </c>
    </row>
    <row r="17">
      <c r="A17" s="28" t="n"/>
      <c r="B17" s="31" t="n"/>
      <c r="C17" s="30" t="n"/>
      <c r="D17" s="25">
        <f>IF(OR(A17="",C17=0),"",B17/C17)</f>
        <v/>
      </c>
    </row>
    <row r="18">
      <c r="A18" s="28" t="n"/>
      <c r="B18" s="31" t="n"/>
      <c r="C18" s="30" t="n"/>
      <c r="D18" s="25">
        <f>IF(OR(A18="",C18=0),"",B18/C18)</f>
        <v/>
      </c>
    </row>
    <row r="19">
      <c r="A19" s="28" t="n"/>
      <c r="B19" s="31" t="n"/>
      <c r="C19" s="30" t="n"/>
      <c r="D19" s="25">
        <f>IF(OR(A19="",C19=0),"",B19/C19)</f>
        <v/>
      </c>
    </row>
    <row r="20">
      <c r="A20" s="28" t="n"/>
      <c r="B20" s="31" t="n"/>
      <c r="C20" s="30" t="n"/>
      <c r="D20" s="25">
        <f>IF(OR(A20="",C20=0),"",B20/C20)</f>
        <v/>
      </c>
    </row>
    <row r="22">
      <c r="A22" s="27" t="inlineStr">
        <is>
          <t>Projetos (até 12)</t>
        </is>
      </c>
    </row>
    <row r="23" ht="26" customHeight="1">
      <c r="A23" s="18" t="inlineStr">
        <is>
          <t>Projeto</t>
        </is>
      </c>
      <c r="B23" s="18" t="inlineStr">
        <is>
          <t>Cliente</t>
        </is>
      </c>
      <c r="C23" s="18" t="inlineStr">
        <is>
          <t>Horas orçadas</t>
        </is>
      </c>
      <c r="D23" s="18" t="inlineStr">
        <is>
          <t>Valor cobrado (R$)</t>
        </is>
      </c>
      <c r="E23" s="18" t="inlineStr">
        <is>
          <t>Status</t>
        </is>
      </c>
    </row>
    <row r="24">
      <c r="A24" s="28" t="inlineStr">
        <is>
          <t>Site novo · Loja Verde</t>
        </is>
      </c>
      <c r="B24" s="28" t="inlineStr">
        <is>
          <t>Loja Verde</t>
        </is>
      </c>
      <c r="C24" s="30" t="n">
        <v>560</v>
      </c>
      <c r="D24" s="32" t="n">
        <v>24000</v>
      </c>
      <c r="E24" s="30" t="inlineStr">
        <is>
          <t>Em andamento</t>
        </is>
      </c>
    </row>
    <row r="25">
      <c r="A25" s="28" t="inlineStr">
        <is>
          <t>Campanha de fim de ano · Bistrô 42</t>
        </is>
      </c>
      <c r="B25" s="28" t="inlineStr">
        <is>
          <t>Bistrô 42</t>
        </is>
      </c>
      <c r="C25" s="30" t="n">
        <v>300</v>
      </c>
      <c r="D25" s="32" t="n">
        <v>38000</v>
      </c>
      <c r="E25" s="30" t="inlineStr">
        <is>
          <t>Em andamento</t>
        </is>
      </c>
    </row>
    <row r="26">
      <c r="A26" s="28" t="inlineStr">
        <is>
          <t>Relatório anual · Horizonte</t>
        </is>
      </c>
      <c r="B26" s="28" t="inlineStr">
        <is>
          <t>Horizonte</t>
        </is>
      </c>
      <c r="C26" s="30" t="n">
        <v>130</v>
      </c>
      <c r="D26" s="32" t="n">
        <v>16000</v>
      </c>
      <c r="E26" s="30" t="inlineStr">
        <is>
          <t>Em andamento</t>
        </is>
      </c>
    </row>
    <row r="27">
      <c r="A27" s="28" t="inlineStr">
        <is>
          <t>Identidade visual · Padaria do Sol</t>
        </is>
      </c>
      <c r="B27" s="28" t="inlineStr">
        <is>
          <t>Padaria do Sol</t>
        </is>
      </c>
      <c r="C27" s="30" t="n">
        <v>70</v>
      </c>
      <c r="D27" s="32" t="n">
        <v>9500</v>
      </c>
      <c r="E27" s="30" t="inlineStr">
        <is>
          <t>Concluído</t>
        </is>
      </c>
    </row>
    <row r="28">
      <c r="A28" s="28" t="inlineStr">
        <is>
          <t>Redes sociais · Clínica Bem-Estar</t>
        </is>
      </c>
      <c r="B28" s="28" t="inlineStr">
        <is>
          <t>Clínica Bem-Estar</t>
        </is>
      </c>
      <c r="C28" s="30" t="n">
        <v>40</v>
      </c>
      <c r="D28" s="32" t="n">
        <v>4500</v>
      </c>
      <c r="E28" s="30" t="inlineStr">
        <is>
          <t>Proposta</t>
        </is>
      </c>
    </row>
    <row r="29">
      <c r="A29" s="28" t="inlineStr">
        <is>
          <t>Comercial e propostas</t>
        </is>
      </c>
      <c r="B29" s="28" t="inlineStr">
        <is>
          <t>Interno</t>
        </is>
      </c>
      <c r="C29" s="30" t="n">
        <v>0</v>
      </c>
      <c r="D29" s="32" t="n">
        <v>0</v>
      </c>
      <c r="E29" s="30" t="inlineStr">
        <is>
          <t>Interno</t>
        </is>
      </c>
    </row>
    <row r="30">
      <c r="A30" s="28" t="inlineStr">
        <is>
          <t>Gestão e reuniões</t>
        </is>
      </c>
      <c r="B30" s="28" t="inlineStr">
        <is>
          <t>Interno</t>
        </is>
      </c>
      <c r="C30" s="30" t="n">
        <v>0</v>
      </c>
      <c r="D30" s="32" t="n">
        <v>0</v>
      </c>
      <c r="E30" s="30" t="inlineStr">
        <is>
          <t>Interno</t>
        </is>
      </c>
    </row>
    <row r="31">
      <c r="A31" s="28" t="n"/>
      <c r="B31" s="28" t="n"/>
      <c r="C31" s="30" t="n"/>
      <c r="D31" s="32" t="n"/>
      <c r="E31" s="30" t="n"/>
    </row>
    <row r="32">
      <c r="A32" s="28" t="n"/>
      <c r="B32" s="28" t="n"/>
      <c r="C32" s="30" t="n"/>
      <c r="D32" s="32" t="n"/>
      <c r="E32" s="30" t="n"/>
    </row>
    <row r="33">
      <c r="A33" s="28" t="n"/>
      <c r="B33" s="28" t="n"/>
      <c r="C33" s="30" t="n"/>
      <c r="D33" s="32" t="n"/>
      <c r="E33" s="30" t="n"/>
    </row>
    <row r="34">
      <c r="A34" s="28" t="n"/>
      <c r="B34" s="28" t="n"/>
      <c r="C34" s="30" t="n"/>
      <c r="D34" s="32" t="n"/>
      <c r="E34" s="30" t="n"/>
    </row>
    <row r="35">
      <c r="A35" s="28" t="n"/>
      <c r="B35" s="28" t="n"/>
      <c r="C35" s="30" t="n"/>
      <c r="D35" s="32" t="n"/>
      <c r="E35" s="30" t="n"/>
    </row>
    <row r="37">
      <c r="A37" s="6" t="inlineStr">
        <is>
          <t>Custo mensal: salário + encargos, ou o valor que a pessoa cobra por mês. Horas disponíveis: 160 para tempo integral, menos reuniões e folgas (140 é realista). Status Proposta: projeto ainda não fechado; entra na lista para você já orçar, mas sem horas lançadas.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dataValidations count="2">
    <dataValidation sqref="B6" showDropDown="0" showInputMessage="0" showErrorMessage="1" allowBlank="1" type="list">
      <formula1>=Config!$H$5:$H$16</formula1>
    </dataValidation>
    <dataValidation sqref="E24:E35" showDropDown="0" showInputMessage="0" showErrorMessage="1" allowBlank="1" type="list">
      <formula1>"Em andamento,Concluído,Interno,Proposta"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2" customWidth="1" min="4" max="4"/>
    <col width="8" customWidth="1" min="5" max="5"/>
    <col width="13" customWidth="1" min="6" max="6"/>
    <col width="6" customWidth="1" min="7" max="7"/>
    <col width="7" customWidth="1" min="8" max="8"/>
    <col width="11" customWidth="1" min="9" max="9"/>
  </cols>
  <sheetData>
    <row r="1">
      <c r="A1" s="5" t="inlineStr">
        <is>
          <t>Lançamento de horas</t>
        </is>
      </c>
    </row>
    <row r="2">
      <c r="A2" s="26" t="inlineStr">
        <is>
          <t>Uma linha por pessoa, por dia, por projeto. Pessoa e projeto vêm de listas; custo e mês são calculados.</t>
        </is>
      </c>
    </row>
    <row r="4" ht="26" customHeight="1">
      <c r="A4" s="18" t="inlineStr">
        <is>
          <t>Data</t>
        </is>
      </c>
      <c r="B4" s="18" t="inlineStr">
        <is>
          <t>Pessoa</t>
        </is>
      </c>
      <c r="C4" s="18" t="inlineStr">
        <is>
          <t>Projeto</t>
        </is>
      </c>
      <c r="D4" s="18" t="inlineStr">
        <is>
          <t>Atividade</t>
        </is>
      </c>
      <c r="E4" s="18" t="inlineStr">
        <is>
          <t>Horas</t>
        </is>
      </c>
      <c r="F4" s="18" t="inlineStr">
        <is>
          <t>Custo (R$)</t>
        </is>
      </c>
      <c r="G4" s="18" t="inlineStr">
        <is>
          <t>Mês</t>
        </is>
      </c>
      <c r="H4" s="18" t="inlineStr">
        <is>
          <t>Ano</t>
        </is>
      </c>
      <c r="I4" s="18" t="inlineStr">
        <is>
          <t>Faturável?</t>
        </is>
      </c>
    </row>
    <row r="5">
      <c r="A5" s="33" t="n">
        <v>46204</v>
      </c>
      <c r="B5" s="30" t="inlineStr">
        <is>
          <t>Ana</t>
        </is>
      </c>
      <c r="C5" s="30" t="inlineStr">
        <is>
          <t>Comercial e propostas</t>
        </is>
      </c>
      <c r="D5" s="28" t="inlineStr">
        <is>
          <t>Reunião comercial</t>
        </is>
      </c>
      <c r="E5" s="34" t="n">
        <v>6</v>
      </c>
      <c r="F5" s="25">
        <f>IF(OR(B5="",E5=""),"",E5*IFERROR(INDEX(Config!$D$11:$D$20,MATCH(B5,Config!$A$11:$A$20,0)),0))</f>
        <v/>
      </c>
      <c r="G5" s="24">
        <f>IF(A5="","",MONTH(A5))</f>
        <v/>
      </c>
      <c r="H5" s="24">
        <f>IF(A5="","",YEAR(A5))</f>
        <v/>
      </c>
      <c r="I5" s="30" t="inlineStr">
        <is>
          <t>Não</t>
        </is>
      </c>
    </row>
    <row r="6">
      <c r="A6" s="33" t="n">
        <v>46204</v>
      </c>
      <c r="B6" s="30" t="inlineStr">
        <is>
          <t>Ana</t>
        </is>
      </c>
      <c r="C6" s="30" t="inlineStr">
        <is>
          <t>Gestão e reuniões</t>
        </is>
      </c>
      <c r="D6" s="28" t="inlineStr">
        <is>
          <t>Planejamento</t>
        </is>
      </c>
      <c r="E6" s="34" t="n">
        <v>3</v>
      </c>
      <c r="F6" s="25">
        <f>IF(OR(B6="",E6=""),"",E6*IFERROR(INDEX(Config!$D$11:$D$20,MATCH(B6,Config!$A$11:$A$20,0)),0))</f>
        <v/>
      </c>
      <c r="G6" s="24">
        <f>IF(A6="","",MONTH(A6))</f>
        <v/>
      </c>
      <c r="H6" s="24">
        <f>IF(A6="","",YEAR(A6))</f>
        <v/>
      </c>
      <c r="I6" s="30" t="inlineStr">
        <is>
          <t>Não</t>
        </is>
      </c>
    </row>
    <row r="7">
      <c r="A7" s="33" t="n">
        <v>46204</v>
      </c>
      <c r="B7" s="30" t="inlineStr">
        <is>
          <t>Bruno</t>
        </is>
      </c>
      <c r="C7" s="30" t="inlineStr">
        <is>
          <t>Gestão e reuniões</t>
        </is>
      </c>
      <c r="D7" s="28" t="inlineStr">
        <is>
          <t>Planejamento</t>
        </is>
      </c>
      <c r="E7" s="34" t="n">
        <v>1</v>
      </c>
      <c r="F7" s="25">
        <f>IF(OR(B7="",E7=""),"",E7*IFERROR(INDEX(Config!$D$11:$D$20,MATCH(B7,Config!$A$11:$A$20,0)),0))</f>
        <v/>
      </c>
      <c r="G7" s="24">
        <f>IF(A7="","",MONTH(A7))</f>
        <v/>
      </c>
      <c r="H7" s="24">
        <f>IF(A7="","",YEAR(A7))</f>
        <v/>
      </c>
      <c r="I7" s="30" t="inlineStr">
        <is>
          <t>Não</t>
        </is>
      </c>
    </row>
    <row r="8">
      <c r="A8" s="33" t="n">
        <v>46204</v>
      </c>
      <c r="B8" s="30" t="inlineStr">
        <is>
          <t>Bruno</t>
        </is>
      </c>
      <c r="C8" s="30" t="inlineStr">
        <is>
          <t>Comercial e propostas</t>
        </is>
      </c>
      <c r="D8" s="28" t="inlineStr">
        <is>
          <t>Proposta</t>
        </is>
      </c>
      <c r="E8" s="34" t="n">
        <v>6</v>
      </c>
      <c r="F8" s="25">
        <f>IF(OR(B8="",E8=""),"",E8*IFERROR(INDEX(Config!$D$11:$D$20,MATCH(B8,Config!$A$11:$A$20,0)),0))</f>
        <v/>
      </c>
      <c r="G8" s="24">
        <f>IF(A8="","",MONTH(A8))</f>
        <v/>
      </c>
      <c r="H8" s="24">
        <f>IF(A8="","",YEAR(A8))</f>
        <v/>
      </c>
      <c r="I8" s="30" t="inlineStr">
        <is>
          <t>Não</t>
        </is>
      </c>
    </row>
    <row r="9">
      <c r="A9" s="33" t="n">
        <v>46204</v>
      </c>
      <c r="B9" s="30" t="inlineStr">
        <is>
          <t>Carla</t>
        </is>
      </c>
      <c r="C9" s="30" t="inlineStr">
        <is>
          <t>Comercial e propostas</t>
        </is>
      </c>
      <c r="D9" s="28" t="inlineStr">
        <is>
          <t>Proposta</t>
        </is>
      </c>
      <c r="E9" s="34" t="n">
        <v>5</v>
      </c>
      <c r="F9" s="25">
        <f>IF(OR(B9="",E9=""),"",E9*IFERROR(INDEX(Config!$D$11:$D$20,MATCH(B9,Config!$A$11:$A$20,0)),0))</f>
        <v/>
      </c>
      <c r="G9" s="24">
        <f>IF(A9="","",MONTH(A9))</f>
        <v/>
      </c>
      <c r="H9" s="24">
        <f>IF(A9="","",YEAR(A9))</f>
        <v/>
      </c>
      <c r="I9" s="30" t="inlineStr">
        <is>
          <t>Não</t>
        </is>
      </c>
    </row>
    <row r="10">
      <c r="A10" s="33" t="n">
        <v>46204</v>
      </c>
      <c r="B10" s="30" t="inlineStr">
        <is>
          <t>Carla</t>
        </is>
      </c>
      <c r="C10" s="30" t="inlineStr">
        <is>
          <t>Gestão e reuniões</t>
        </is>
      </c>
      <c r="D10" s="28" t="inlineStr">
        <is>
          <t>Planejamento</t>
        </is>
      </c>
      <c r="E10" s="34" t="n">
        <v>0.5</v>
      </c>
      <c r="F10" s="25">
        <f>IF(OR(B10="",E10=""),"",E10*IFERROR(INDEX(Config!$D$11:$D$20,MATCH(B10,Config!$A$11:$A$20,0)),0))</f>
        <v/>
      </c>
      <c r="G10" s="24">
        <f>IF(A10="","",MONTH(A10))</f>
        <v/>
      </c>
      <c r="H10" s="24">
        <f>IF(A10="","",YEAR(A10))</f>
        <v/>
      </c>
      <c r="I10" s="30" t="inlineStr">
        <is>
          <t>Não</t>
        </is>
      </c>
    </row>
    <row r="11">
      <c r="A11" s="33" t="n">
        <v>46204</v>
      </c>
      <c r="B11" s="30" t="inlineStr">
        <is>
          <t>Diego</t>
        </is>
      </c>
      <c r="C11" s="30" t="inlineStr">
        <is>
          <t>Comercial e propostas</t>
        </is>
      </c>
      <c r="D11" s="28" t="inlineStr">
        <is>
          <t>Reunião comercial</t>
        </is>
      </c>
      <c r="E11" s="34" t="n">
        <v>3.5</v>
      </c>
      <c r="F11" s="25">
        <f>IF(OR(B11="",E11=""),"",E11*IFERROR(INDEX(Config!$D$11:$D$20,MATCH(B11,Config!$A$11:$A$20,0)),0))</f>
        <v/>
      </c>
      <c r="G11" s="24">
        <f>IF(A11="","",MONTH(A11))</f>
        <v/>
      </c>
      <c r="H11" s="24">
        <f>IF(A11="","",YEAR(A11))</f>
        <v/>
      </c>
      <c r="I11" s="30" t="inlineStr">
        <is>
          <t>Não</t>
        </is>
      </c>
    </row>
    <row r="12">
      <c r="A12" s="33" t="n">
        <v>46204</v>
      </c>
      <c r="B12" s="30" t="inlineStr">
        <is>
          <t>Diego</t>
        </is>
      </c>
      <c r="C12" s="30" t="inlineStr">
        <is>
          <t>Gestão e reuniões</t>
        </is>
      </c>
      <c r="D12" s="28" t="inlineStr">
        <is>
          <t>Planejamento</t>
        </is>
      </c>
      <c r="E12" s="34" t="n">
        <v>5</v>
      </c>
      <c r="F12" s="25">
        <f>IF(OR(B12="",E12=""),"",E12*IFERROR(INDEX(Config!$D$11:$D$20,MATCH(B12,Config!$A$11:$A$20,0)),0))</f>
        <v/>
      </c>
      <c r="G12" s="24">
        <f>IF(A12="","",MONTH(A12))</f>
        <v/>
      </c>
      <c r="H12" s="24">
        <f>IF(A12="","",YEAR(A12))</f>
        <v/>
      </c>
      <c r="I12" s="30" t="inlineStr">
        <is>
          <t>Não</t>
        </is>
      </c>
    </row>
    <row r="13">
      <c r="A13" s="33" t="n">
        <v>46205</v>
      </c>
      <c r="B13" s="30" t="inlineStr">
        <is>
          <t>Ana</t>
        </is>
      </c>
      <c r="C13" s="30" t="inlineStr">
        <is>
          <t>Comercial e propostas</t>
        </is>
      </c>
      <c r="D13" s="28" t="inlineStr">
        <is>
          <t>Proposta</t>
        </is>
      </c>
      <c r="E13" s="34" t="n">
        <v>5.5</v>
      </c>
      <c r="F13" s="25">
        <f>IF(OR(B13="",E13=""),"",E13*IFERROR(INDEX(Config!$D$11:$D$20,MATCH(B13,Config!$A$11:$A$20,0)),0))</f>
        <v/>
      </c>
      <c r="G13" s="24">
        <f>IF(A13="","",MONTH(A13))</f>
        <v/>
      </c>
      <c r="H13" s="24">
        <f>IF(A13="","",YEAR(A13))</f>
        <v/>
      </c>
      <c r="I13" s="30" t="inlineStr">
        <is>
          <t>Não</t>
        </is>
      </c>
    </row>
    <row r="14">
      <c r="A14" s="33" t="n">
        <v>46205</v>
      </c>
      <c r="B14" s="30" t="inlineStr">
        <is>
          <t>Ana</t>
        </is>
      </c>
      <c r="C14" s="30" t="inlineStr">
        <is>
          <t>Gestão e reuniões</t>
        </is>
      </c>
      <c r="D14" s="28" t="inlineStr">
        <is>
          <t>Planejamento</t>
        </is>
      </c>
      <c r="E14" s="34" t="n">
        <v>3.5</v>
      </c>
      <c r="F14" s="25">
        <f>IF(OR(B14="",E14=""),"",E14*IFERROR(INDEX(Config!$D$11:$D$20,MATCH(B14,Config!$A$11:$A$20,0)),0))</f>
        <v/>
      </c>
      <c r="G14" s="24">
        <f>IF(A14="","",MONTH(A14))</f>
        <v/>
      </c>
      <c r="H14" s="24">
        <f>IF(A14="","",YEAR(A14))</f>
        <v/>
      </c>
      <c r="I14" s="30" t="inlineStr">
        <is>
          <t>Não</t>
        </is>
      </c>
    </row>
    <row r="15">
      <c r="A15" s="33" t="n">
        <v>46205</v>
      </c>
      <c r="B15" s="30" t="inlineStr">
        <is>
          <t>Bruno</t>
        </is>
      </c>
      <c r="C15" s="30" t="inlineStr">
        <is>
          <t>Gestão e reuniões</t>
        </is>
      </c>
      <c r="D15" s="28" t="inlineStr">
        <is>
          <t>Semanal</t>
        </is>
      </c>
      <c r="E15" s="34" t="n">
        <v>0.5</v>
      </c>
      <c r="F15" s="25">
        <f>IF(OR(B15="",E15=""),"",E15*IFERROR(INDEX(Config!$D$11:$D$20,MATCH(B15,Config!$A$11:$A$20,0)),0))</f>
        <v/>
      </c>
      <c r="G15" s="24">
        <f>IF(A15="","",MONTH(A15))</f>
        <v/>
      </c>
      <c r="H15" s="24">
        <f>IF(A15="","",YEAR(A15))</f>
        <v/>
      </c>
      <c r="I15" s="30" t="inlineStr">
        <is>
          <t>Não</t>
        </is>
      </c>
    </row>
    <row r="16">
      <c r="A16" s="33" t="n">
        <v>46205</v>
      </c>
      <c r="B16" s="30" t="inlineStr">
        <is>
          <t>Bruno</t>
        </is>
      </c>
      <c r="C16" s="30" t="inlineStr">
        <is>
          <t>Comercial e propostas</t>
        </is>
      </c>
      <c r="D16" s="28" t="inlineStr">
        <is>
          <t>Proposta</t>
        </is>
      </c>
      <c r="E16" s="34" t="n">
        <v>6.5</v>
      </c>
      <c r="F16" s="25">
        <f>IF(OR(B16="",E16=""),"",E16*IFERROR(INDEX(Config!$D$11:$D$20,MATCH(B16,Config!$A$11:$A$20,0)),0))</f>
        <v/>
      </c>
      <c r="G16" s="24">
        <f>IF(A16="","",MONTH(A16))</f>
        <v/>
      </c>
      <c r="H16" s="24">
        <f>IF(A16="","",YEAR(A16))</f>
        <v/>
      </c>
      <c r="I16" s="30" t="inlineStr">
        <is>
          <t>Não</t>
        </is>
      </c>
    </row>
    <row r="17">
      <c r="A17" s="33" t="n">
        <v>46205</v>
      </c>
      <c r="B17" s="30" t="inlineStr">
        <is>
          <t>Carla</t>
        </is>
      </c>
      <c r="C17" s="30" t="inlineStr">
        <is>
          <t>Comercial e propostas</t>
        </is>
      </c>
      <c r="D17" s="28" t="inlineStr">
        <is>
          <t>Reunião comercial</t>
        </is>
      </c>
      <c r="E17" s="34" t="n">
        <v>7.5</v>
      </c>
      <c r="F17" s="25">
        <f>IF(OR(B17="",E17=""),"",E17*IFERROR(INDEX(Config!$D$11:$D$20,MATCH(B17,Config!$A$11:$A$20,0)),0))</f>
        <v/>
      </c>
      <c r="G17" s="24">
        <f>IF(A17="","",MONTH(A17))</f>
        <v/>
      </c>
      <c r="H17" s="24">
        <f>IF(A17="","",YEAR(A17))</f>
        <v/>
      </c>
      <c r="I17" s="30" t="inlineStr">
        <is>
          <t>Não</t>
        </is>
      </c>
    </row>
    <row r="18">
      <c r="A18" s="33" t="n">
        <v>46205</v>
      </c>
      <c r="B18" s="30" t="inlineStr">
        <is>
          <t>Carla</t>
        </is>
      </c>
      <c r="C18" s="30" t="inlineStr">
        <is>
          <t>Gestão e reuniões</t>
        </is>
      </c>
      <c r="D18" s="28" t="inlineStr">
        <is>
          <t>Semanal</t>
        </is>
      </c>
      <c r="E18" s="34" t="n">
        <v>1.5</v>
      </c>
      <c r="F18" s="25">
        <f>IF(OR(B18="",E18=""),"",E18*IFERROR(INDEX(Config!$D$11:$D$20,MATCH(B18,Config!$A$11:$A$20,0)),0))</f>
        <v/>
      </c>
      <c r="G18" s="24">
        <f>IF(A18="","",MONTH(A18))</f>
        <v/>
      </c>
      <c r="H18" s="24">
        <f>IF(A18="","",YEAR(A18))</f>
        <v/>
      </c>
      <c r="I18" s="30" t="inlineStr">
        <is>
          <t>Não</t>
        </is>
      </c>
    </row>
    <row r="19">
      <c r="A19" s="33" t="n">
        <v>46205</v>
      </c>
      <c r="B19" s="30" t="inlineStr">
        <is>
          <t>Diego</t>
        </is>
      </c>
      <c r="C19" s="30" t="inlineStr">
        <is>
          <t>Comercial e propostas</t>
        </is>
      </c>
      <c r="D19" s="28" t="inlineStr">
        <is>
          <t>Reunião comercial</t>
        </is>
      </c>
      <c r="E19" s="34" t="n">
        <v>3.5</v>
      </c>
      <c r="F19" s="25">
        <f>IF(OR(B19="",E19=""),"",E19*IFERROR(INDEX(Config!$D$11:$D$20,MATCH(B19,Config!$A$11:$A$20,0)),0))</f>
        <v/>
      </c>
      <c r="G19" s="24">
        <f>IF(A19="","",MONTH(A19))</f>
        <v/>
      </c>
      <c r="H19" s="24">
        <f>IF(A19="","",YEAR(A19))</f>
        <v/>
      </c>
      <c r="I19" s="30" t="inlineStr">
        <is>
          <t>Não</t>
        </is>
      </c>
    </row>
    <row r="20">
      <c r="A20" s="33" t="n">
        <v>46205</v>
      </c>
      <c r="B20" s="30" t="inlineStr">
        <is>
          <t>Diego</t>
        </is>
      </c>
      <c r="C20" s="30" t="inlineStr">
        <is>
          <t>Gestão e reuniões</t>
        </is>
      </c>
      <c r="D20" s="28" t="inlineStr">
        <is>
          <t>Planejamento</t>
        </is>
      </c>
      <c r="E20" s="34" t="n">
        <v>3.5</v>
      </c>
      <c r="F20" s="25">
        <f>IF(OR(B20="",E20=""),"",E20*IFERROR(INDEX(Config!$D$11:$D$20,MATCH(B20,Config!$A$11:$A$20,0)),0))</f>
        <v/>
      </c>
      <c r="G20" s="24">
        <f>IF(A20="","",MONTH(A20))</f>
        <v/>
      </c>
      <c r="H20" s="24">
        <f>IF(A20="","",YEAR(A20))</f>
        <v/>
      </c>
      <c r="I20" s="30" t="inlineStr">
        <is>
          <t>Não</t>
        </is>
      </c>
    </row>
    <row r="21">
      <c r="A21" s="33" t="n">
        <v>46206</v>
      </c>
      <c r="B21" s="30" t="inlineStr">
        <is>
          <t>Ana</t>
        </is>
      </c>
      <c r="C21" s="30" t="inlineStr">
        <is>
          <t>Comercial e propostas</t>
        </is>
      </c>
      <c r="D21" s="28" t="inlineStr">
        <is>
          <t>Reunião comercial</t>
        </is>
      </c>
      <c r="E21" s="34" t="n">
        <v>3.5</v>
      </c>
      <c r="F21" s="25">
        <f>IF(OR(B21="",E21=""),"",E21*IFERROR(INDEX(Config!$D$11:$D$20,MATCH(B21,Config!$A$11:$A$20,0)),0))</f>
        <v/>
      </c>
      <c r="G21" s="24">
        <f>IF(A21="","",MONTH(A21))</f>
        <v/>
      </c>
      <c r="H21" s="24">
        <f>IF(A21="","",YEAR(A21))</f>
        <v/>
      </c>
      <c r="I21" s="30" t="inlineStr">
        <is>
          <t>Não</t>
        </is>
      </c>
    </row>
    <row r="22">
      <c r="A22" s="33" t="n">
        <v>46206</v>
      </c>
      <c r="B22" s="30" t="inlineStr">
        <is>
          <t>Ana</t>
        </is>
      </c>
      <c r="C22" s="30" t="inlineStr">
        <is>
          <t>Gestão e reuniões</t>
        </is>
      </c>
      <c r="D22" s="28" t="inlineStr">
        <is>
          <t>Planejamento</t>
        </is>
      </c>
      <c r="E22" s="34" t="n">
        <v>2</v>
      </c>
      <c r="F22" s="25">
        <f>IF(OR(B22="",E22=""),"",E22*IFERROR(INDEX(Config!$D$11:$D$20,MATCH(B22,Config!$A$11:$A$20,0)),0))</f>
        <v/>
      </c>
      <c r="G22" s="24">
        <f>IF(A22="","",MONTH(A22))</f>
        <v/>
      </c>
      <c r="H22" s="24">
        <f>IF(A22="","",YEAR(A22))</f>
        <v/>
      </c>
      <c r="I22" s="30" t="inlineStr">
        <is>
          <t>Não</t>
        </is>
      </c>
    </row>
    <row r="23">
      <c r="A23" s="33" t="n">
        <v>46206</v>
      </c>
      <c r="B23" s="30" t="inlineStr">
        <is>
          <t>Bruno</t>
        </is>
      </c>
      <c r="C23" s="30" t="inlineStr">
        <is>
          <t>Gestão e reuniões</t>
        </is>
      </c>
      <c r="D23" s="28" t="inlineStr">
        <is>
          <t>Financeiro</t>
        </is>
      </c>
      <c r="E23" s="34" t="n">
        <v>1</v>
      </c>
      <c r="F23" s="25">
        <f>IF(OR(B23="",E23=""),"",E23*IFERROR(INDEX(Config!$D$11:$D$20,MATCH(B23,Config!$A$11:$A$20,0)),0))</f>
        <v/>
      </c>
      <c r="G23" s="24">
        <f>IF(A23="","",MONTH(A23))</f>
        <v/>
      </c>
      <c r="H23" s="24">
        <f>IF(A23="","",YEAR(A23))</f>
        <v/>
      </c>
      <c r="I23" s="30" t="inlineStr">
        <is>
          <t>Não</t>
        </is>
      </c>
    </row>
    <row r="24">
      <c r="A24" s="33" t="n">
        <v>46206</v>
      </c>
      <c r="B24" s="30" t="inlineStr">
        <is>
          <t>Bruno</t>
        </is>
      </c>
      <c r="C24" s="30" t="inlineStr">
        <is>
          <t>Comercial e propostas</t>
        </is>
      </c>
      <c r="D24" s="28" t="inlineStr">
        <is>
          <t>Proposta</t>
        </is>
      </c>
      <c r="E24" s="34" t="n">
        <v>7</v>
      </c>
      <c r="F24" s="25">
        <f>IF(OR(B24="",E24=""),"",E24*IFERROR(INDEX(Config!$D$11:$D$20,MATCH(B24,Config!$A$11:$A$20,0)),0))</f>
        <v/>
      </c>
      <c r="G24" s="24">
        <f>IF(A24="","",MONTH(A24))</f>
        <v/>
      </c>
      <c r="H24" s="24">
        <f>IF(A24="","",YEAR(A24))</f>
        <v/>
      </c>
      <c r="I24" s="30" t="inlineStr">
        <is>
          <t>Não</t>
        </is>
      </c>
    </row>
    <row r="25">
      <c r="A25" s="33" t="n">
        <v>46206</v>
      </c>
      <c r="B25" s="30" t="inlineStr">
        <is>
          <t>Carla</t>
        </is>
      </c>
      <c r="C25" s="30" t="inlineStr">
        <is>
          <t>Comercial e propostas</t>
        </is>
      </c>
      <c r="D25" s="28" t="inlineStr">
        <is>
          <t>Proposta</t>
        </is>
      </c>
      <c r="E25" s="34" t="n">
        <v>6</v>
      </c>
      <c r="F25" s="25">
        <f>IF(OR(B25="",E25=""),"",E25*IFERROR(INDEX(Config!$D$11:$D$20,MATCH(B25,Config!$A$11:$A$20,0)),0))</f>
        <v/>
      </c>
      <c r="G25" s="24">
        <f>IF(A25="","",MONTH(A25))</f>
        <v/>
      </c>
      <c r="H25" s="24">
        <f>IF(A25="","",YEAR(A25))</f>
        <v/>
      </c>
      <c r="I25" s="30" t="inlineStr">
        <is>
          <t>Não</t>
        </is>
      </c>
    </row>
    <row r="26">
      <c r="A26" s="33" t="n">
        <v>46206</v>
      </c>
      <c r="B26" s="30" t="inlineStr">
        <is>
          <t>Carla</t>
        </is>
      </c>
      <c r="C26" s="30" t="inlineStr">
        <is>
          <t>Gestão e reuniões</t>
        </is>
      </c>
      <c r="D26" s="28" t="inlineStr">
        <is>
          <t>Semanal</t>
        </is>
      </c>
      <c r="E26" s="34" t="n">
        <v>1</v>
      </c>
      <c r="F26" s="25">
        <f>IF(OR(B26="",E26=""),"",E26*IFERROR(INDEX(Config!$D$11:$D$20,MATCH(B26,Config!$A$11:$A$20,0)),0))</f>
        <v/>
      </c>
      <c r="G26" s="24">
        <f>IF(A26="","",MONTH(A26))</f>
        <v/>
      </c>
      <c r="H26" s="24">
        <f>IF(A26="","",YEAR(A26))</f>
        <v/>
      </c>
      <c r="I26" s="30" t="inlineStr">
        <is>
          <t>Não</t>
        </is>
      </c>
    </row>
    <row r="27">
      <c r="A27" s="33" t="n">
        <v>46206</v>
      </c>
      <c r="B27" s="30" t="inlineStr">
        <is>
          <t>Diego</t>
        </is>
      </c>
      <c r="C27" s="30" t="inlineStr">
        <is>
          <t>Comercial e propostas</t>
        </is>
      </c>
      <c r="D27" s="28" t="inlineStr">
        <is>
          <t>Reunião comercial</t>
        </is>
      </c>
      <c r="E27" s="34" t="n">
        <v>3.5</v>
      </c>
      <c r="F27" s="25">
        <f>IF(OR(B27="",E27=""),"",E27*IFERROR(INDEX(Config!$D$11:$D$20,MATCH(B27,Config!$A$11:$A$20,0)),0))</f>
        <v/>
      </c>
      <c r="G27" s="24">
        <f>IF(A27="","",MONTH(A27))</f>
        <v/>
      </c>
      <c r="H27" s="24">
        <f>IF(A27="","",YEAR(A27))</f>
        <v/>
      </c>
      <c r="I27" s="30" t="inlineStr">
        <is>
          <t>Não</t>
        </is>
      </c>
    </row>
    <row r="28">
      <c r="A28" s="33" t="n">
        <v>46206</v>
      </c>
      <c r="B28" s="30" t="inlineStr">
        <is>
          <t>Diego</t>
        </is>
      </c>
      <c r="C28" s="30" t="inlineStr">
        <is>
          <t>Gestão e reuniões</t>
        </is>
      </c>
      <c r="D28" s="28" t="inlineStr">
        <is>
          <t>Semanal</t>
        </is>
      </c>
      <c r="E28" s="34" t="n">
        <v>3.5</v>
      </c>
      <c r="F28" s="25">
        <f>IF(OR(B28="",E28=""),"",E28*IFERROR(INDEX(Config!$D$11:$D$20,MATCH(B28,Config!$A$11:$A$20,0)),0))</f>
        <v/>
      </c>
      <c r="G28" s="24">
        <f>IF(A28="","",MONTH(A28))</f>
        <v/>
      </c>
      <c r="H28" s="24">
        <f>IF(A28="","",YEAR(A28))</f>
        <v/>
      </c>
      <c r="I28" s="30" t="inlineStr">
        <is>
          <t>Não</t>
        </is>
      </c>
    </row>
    <row r="29">
      <c r="A29" s="33" t="n">
        <v>46209</v>
      </c>
      <c r="B29" s="30" t="inlineStr">
        <is>
          <t>Ana</t>
        </is>
      </c>
      <c r="C29" s="30" t="inlineStr">
        <is>
          <t>Comercial e propostas</t>
        </is>
      </c>
      <c r="D29" s="28" t="inlineStr">
        <is>
          <t>Proposta</t>
        </is>
      </c>
      <c r="E29" s="34" t="n">
        <v>6</v>
      </c>
      <c r="F29" s="25">
        <f>IF(OR(B29="",E29=""),"",E29*IFERROR(INDEX(Config!$D$11:$D$20,MATCH(B29,Config!$A$11:$A$20,0)),0))</f>
        <v/>
      </c>
      <c r="G29" s="24">
        <f>IF(A29="","",MONTH(A29))</f>
        <v/>
      </c>
      <c r="H29" s="24">
        <f>IF(A29="","",YEAR(A29))</f>
        <v/>
      </c>
      <c r="I29" s="30" t="inlineStr">
        <is>
          <t>Não</t>
        </is>
      </c>
    </row>
    <row r="30">
      <c r="A30" s="33" t="n">
        <v>46209</v>
      </c>
      <c r="B30" s="30" t="inlineStr">
        <is>
          <t>Ana</t>
        </is>
      </c>
      <c r="C30" s="30" t="inlineStr">
        <is>
          <t>Gestão e reuniões</t>
        </is>
      </c>
      <c r="D30" s="28" t="inlineStr">
        <is>
          <t>Semanal</t>
        </is>
      </c>
      <c r="E30" s="34" t="n">
        <v>3</v>
      </c>
      <c r="F30" s="25">
        <f>IF(OR(B30="",E30=""),"",E30*IFERROR(INDEX(Config!$D$11:$D$20,MATCH(B30,Config!$A$11:$A$20,0)),0))</f>
        <v/>
      </c>
      <c r="G30" s="24">
        <f>IF(A30="","",MONTH(A30))</f>
        <v/>
      </c>
      <c r="H30" s="24">
        <f>IF(A30="","",YEAR(A30))</f>
        <v/>
      </c>
      <c r="I30" s="30" t="inlineStr">
        <is>
          <t>Não</t>
        </is>
      </c>
    </row>
    <row r="31">
      <c r="A31" s="33" t="n">
        <v>46209</v>
      </c>
      <c r="B31" s="30" t="inlineStr">
        <is>
          <t>Bruno</t>
        </is>
      </c>
      <c r="C31" s="30" t="inlineStr">
        <is>
          <t>Gestão e reuniões</t>
        </is>
      </c>
      <c r="D31" s="28" t="inlineStr">
        <is>
          <t>Planejamento</t>
        </is>
      </c>
      <c r="E31" s="34" t="n">
        <v>1</v>
      </c>
      <c r="F31" s="25">
        <f>IF(OR(B31="",E31=""),"",E31*IFERROR(INDEX(Config!$D$11:$D$20,MATCH(B31,Config!$A$11:$A$20,0)),0))</f>
        <v/>
      </c>
      <c r="G31" s="24">
        <f>IF(A31="","",MONTH(A31))</f>
        <v/>
      </c>
      <c r="H31" s="24">
        <f>IF(A31="","",YEAR(A31))</f>
        <v/>
      </c>
      <c r="I31" s="30" t="inlineStr">
        <is>
          <t>Não</t>
        </is>
      </c>
    </row>
    <row r="32">
      <c r="A32" s="33" t="n">
        <v>46209</v>
      </c>
      <c r="B32" s="30" t="inlineStr">
        <is>
          <t>Bruno</t>
        </is>
      </c>
      <c r="C32" s="30" t="inlineStr">
        <is>
          <t>Comercial e propostas</t>
        </is>
      </c>
      <c r="D32" s="28" t="inlineStr">
        <is>
          <t>Proposta</t>
        </is>
      </c>
      <c r="E32" s="34" t="n">
        <v>6.5</v>
      </c>
      <c r="F32" s="25">
        <f>IF(OR(B32="",E32=""),"",E32*IFERROR(INDEX(Config!$D$11:$D$20,MATCH(B32,Config!$A$11:$A$20,0)),0))</f>
        <v/>
      </c>
      <c r="G32" s="24">
        <f>IF(A32="","",MONTH(A32))</f>
        <v/>
      </c>
      <c r="H32" s="24">
        <f>IF(A32="","",YEAR(A32))</f>
        <v/>
      </c>
      <c r="I32" s="30" t="inlineStr">
        <is>
          <t>Não</t>
        </is>
      </c>
    </row>
    <row r="33">
      <c r="A33" s="33" t="n">
        <v>46209</v>
      </c>
      <c r="B33" s="30" t="inlineStr">
        <is>
          <t>Carla</t>
        </is>
      </c>
      <c r="C33" s="30" t="inlineStr">
        <is>
          <t>Comercial e propostas</t>
        </is>
      </c>
      <c r="D33" s="28" t="inlineStr">
        <is>
          <t>Reunião comercial</t>
        </is>
      </c>
      <c r="E33" s="34" t="n">
        <v>7.5</v>
      </c>
      <c r="F33" s="25">
        <f>IF(OR(B33="",E33=""),"",E33*IFERROR(INDEX(Config!$D$11:$D$20,MATCH(B33,Config!$A$11:$A$20,0)),0))</f>
        <v/>
      </c>
      <c r="G33" s="24">
        <f>IF(A33="","",MONTH(A33))</f>
        <v/>
      </c>
      <c r="H33" s="24">
        <f>IF(A33="","",YEAR(A33))</f>
        <v/>
      </c>
      <c r="I33" s="30" t="inlineStr">
        <is>
          <t>Não</t>
        </is>
      </c>
    </row>
    <row r="34">
      <c r="A34" s="33" t="n">
        <v>46209</v>
      </c>
      <c r="B34" s="30" t="inlineStr">
        <is>
          <t>Carla</t>
        </is>
      </c>
      <c r="C34" s="30" t="inlineStr">
        <is>
          <t>Gestão e reuniões</t>
        </is>
      </c>
      <c r="D34" s="28" t="inlineStr">
        <is>
          <t>Financeiro</t>
        </is>
      </c>
      <c r="E34" s="34" t="n">
        <v>1</v>
      </c>
      <c r="F34" s="25">
        <f>IF(OR(B34="",E34=""),"",E34*IFERROR(INDEX(Config!$D$11:$D$20,MATCH(B34,Config!$A$11:$A$20,0)),0))</f>
        <v/>
      </c>
      <c r="G34" s="24">
        <f>IF(A34="","",MONTH(A34))</f>
        <v/>
      </c>
      <c r="H34" s="24">
        <f>IF(A34="","",YEAR(A34))</f>
        <v/>
      </c>
      <c r="I34" s="30" t="inlineStr">
        <is>
          <t>Não</t>
        </is>
      </c>
    </row>
    <row r="35">
      <c r="A35" s="33" t="n">
        <v>46209</v>
      </c>
      <c r="B35" s="30" t="inlineStr">
        <is>
          <t>Diego</t>
        </is>
      </c>
      <c r="C35" s="30" t="inlineStr">
        <is>
          <t>Comercial e propostas</t>
        </is>
      </c>
      <c r="D35" s="28" t="inlineStr">
        <is>
          <t>Reunião comercial</t>
        </is>
      </c>
      <c r="E35" s="34" t="n">
        <v>2.5</v>
      </c>
      <c r="F35" s="25">
        <f>IF(OR(B35="",E35=""),"",E35*IFERROR(INDEX(Config!$D$11:$D$20,MATCH(B35,Config!$A$11:$A$20,0)),0))</f>
        <v/>
      </c>
      <c r="G35" s="24">
        <f>IF(A35="","",MONTH(A35))</f>
        <v/>
      </c>
      <c r="H35" s="24">
        <f>IF(A35="","",YEAR(A35))</f>
        <v/>
      </c>
      <c r="I35" s="30" t="inlineStr">
        <is>
          <t>Não</t>
        </is>
      </c>
    </row>
    <row r="36">
      <c r="A36" s="33" t="n">
        <v>46209</v>
      </c>
      <c r="B36" s="30" t="inlineStr">
        <is>
          <t>Diego</t>
        </is>
      </c>
      <c r="C36" s="30" t="inlineStr">
        <is>
          <t>Gestão e reuniões</t>
        </is>
      </c>
      <c r="D36" s="28" t="inlineStr">
        <is>
          <t>Semanal</t>
        </is>
      </c>
      <c r="E36" s="34" t="n">
        <v>3.5</v>
      </c>
      <c r="F36" s="25">
        <f>IF(OR(B36="",E36=""),"",E36*IFERROR(INDEX(Config!$D$11:$D$20,MATCH(B36,Config!$A$11:$A$20,0)),0))</f>
        <v/>
      </c>
      <c r="G36" s="24">
        <f>IF(A36="","",MONTH(A36))</f>
        <v/>
      </c>
      <c r="H36" s="24">
        <f>IF(A36="","",YEAR(A36))</f>
        <v/>
      </c>
      <c r="I36" s="30" t="inlineStr">
        <is>
          <t>Não</t>
        </is>
      </c>
    </row>
    <row r="37">
      <c r="A37" s="33" t="n">
        <v>46210</v>
      </c>
      <c r="B37" s="30" t="inlineStr">
        <is>
          <t>Ana</t>
        </is>
      </c>
      <c r="C37" s="30" t="inlineStr">
        <is>
          <t>Comercial e propostas</t>
        </is>
      </c>
      <c r="D37" s="28" t="inlineStr">
        <is>
          <t>Proposta</t>
        </is>
      </c>
      <c r="E37" s="34" t="n">
        <v>3.5</v>
      </c>
      <c r="F37" s="25">
        <f>IF(OR(B37="",E37=""),"",E37*IFERROR(INDEX(Config!$D$11:$D$20,MATCH(B37,Config!$A$11:$A$20,0)),0))</f>
        <v/>
      </c>
      <c r="G37" s="24">
        <f>IF(A37="","",MONTH(A37))</f>
        <v/>
      </c>
      <c r="H37" s="24">
        <f>IF(A37="","",YEAR(A37))</f>
        <v/>
      </c>
      <c r="I37" s="30" t="inlineStr">
        <is>
          <t>Não</t>
        </is>
      </c>
    </row>
    <row r="38">
      <c r="A38" s="33" t="n">
        <v>46210</v>
      </c>
      <c r="B38" s="30" t="inlineStr">
        <is>
          <t>Ana</t>
        </is>
      </c>
      <c r="C38" s="30" t="inlineStr">
        <is>
          <t>Gestão e reuniões</t>
        </is>
      </c>
      <c r="D38" s="28" t="inlineStr">
        <is>
          <t>Financeiro</t>
        </is>
      </c>
      <c r="E38" s="34" t="n">
        <v>2</v>
      </c>
      <c r="F38" s="25">
        <f>IF(OR(B38="",E38=""),"",E38*IFERROR(INDEX(Config!$D$11:$D$20,MATCH(B38,Config!$A$11:$A$20,0)),0))</f>
        <v/>
      </c>
      <c r="G38" s="24">
        <f>IF(A38="","",MONTH(A38))</f>
        <v/>
      </c>
      <c r="H38" s="24">
        <f>IF(A38="","",YEAR(A38))</f>
        <v/>
      </c>
      <c r="I38" s="30" t="inlineStr">
        <is>
          <t>Não</t>
        </is>
      </c>
    </row>
    <row r="39">
      <c r="A39" s="33" t="n">
        <v>46210</v>
      </c>
      <c r="B39" s="30" t="inlineStr">
        <is>
          <t>Bruno</t>
        </is>
      </c>
      <c r="C39" s="30" t="inlineStr">
        <is>
          <t>Gestão e reuniões</t>
        </is>
      </c>
      <c r="D39" s="28" t="inlineStr">
        <is>
          <t>Planejamento</t>
        </is>
      </c>
      <c r="E39" s="34" t="n">
        <v>1.5</v>
      </c>
      <c r="F39" s="25">
        <f>IF(OR(B39="",E39=""),"",E39*IFERROR(INDEX(Config!$D$11:$D$20,MATCH(B39,Config!$A$11:$A$20,0)),0))</f>
        <v/>
      </c>
      <c r="G39" s="24">
        <f>IF(A39="","",MONTH(A39))</f>
        <v/>
      </c>
      <c r="H39" s="24">
        <f>IF(A39="","",YEAR(A39))</f>
        <v/>
      </c>
      <c r="I39" s="30" t="inlineStr">
        <is>
          <t>Não</t>
        </is>
      </c>
    </row>
    <row r="40">
      <c r="A40" s="33" t="n">
        <v>46210</v>
      </c>
      <c r="B40" s="30" t="inlineStr">
        <is>
          <t>Bruno</t>
        </is>
      </c>
      <c r="C40" s="30" t="inlineStr">
        <is>
          <t>Comercial e propostas</t>
        </is>
      </c>
      <c r="D40" s="28" t="inlineStr">
        <is>
          <t>Reunião comercial</t>
        </is>
      </c>
      <c r="E40" s="34" t="n">
        <v>8</v>
      </c>
      <c r="F40" s="25">
        <f>IF(OR(B40="",E40=""),"",E40*IFERROR(INDEX(Config!$D$11:$D$20,MATCH(B40,Config!$A$11:$A$20,0)),0))</f>
        <v/>
      </c>
      <c r="G40" s="24">
        <f>IF(A40="","",MONTH(A40))</f>
        <v/>
      </c>
      <c r="H40" s="24">
        <f>IF(A40="","",YEAR(A40))</f>
        <v/>
      </c>
      <c r="I40" s="30" t="inlineStr">
        <is>
          <t>Não</t>
        </is>
      </c>
    </row>
    <row r="41">
      <c r="A41" s="33" t="n">
        <v>46210</v>
      </c>
      <c r="B41" s="30" t="inlineStr">
        <is>
          <t>Carla</t>
        </is>
      </c>
      <c r="C41" s="30" t="inlineStr">
        <is>
          <t>Comercial e propostas</t>
        </is>
      </c>
      <c r="D41" s="28" t="inlineStr">
        <is>
          <t>Proposta</t>
        </is>
      </c>
      <c r="E41" s="34" t="n">
        <v>5.5</v>
      </c>
      <c r="F41" s="25">
        <f>IF(OR(B41="",E41=""),"",E41*IFERROR(INDEX(Config!$D$11:$D$20,MATCH(B41,Config!$A$11:$A$20,0)),0))</f>
        <v/>
      </c>
      <c r="G41" s="24">
        <f>IF(A41="","",MONTH(A41))</f>
        <v/>
      </c>
      <c r="H41" s="24">
        <f>IF(A41="","",YEAR(A41))</f>
        <v/>
      </c>
      <c r="I41" s="30" t="inlineStr">
        <is>
          <t>Não</t>
        </is>
      </c>
    </row>
    <row r="42">
      <c r="A42" s="33" t="n">
        <v>46210</v>
      </c>
      <c r="B42" s="30" t="inlineStr">
        <is>
          <t>Carla</t>
        </is>
      </c>
      <c r="C42" s="30" t="inlineStr">
        <is>
          <t>Gestão e reuniões</t>
        </is>
      </c>
      <c r="D42" s="28" t="inlineStr">
        <is>
          <t>Financeiro</t>
        </is>
      </c>
      <c r="E42" s="34" t="n">
        <v>1</v>
      </c>
      <c r="F42" s="25">
        <f>IF(OR(B42="",E42=""),"",E42*IFERROR(INDEX(Config!$D$11:$D$20,MATCH(B42,Config!$A$11:$A$20,0)),0))</f>
        <v/>
      </c>
      <c r="G42" s="24">
        <f>IF(A42="","",MONTH(A42))</f>
        <v/>
      </c>
      <c r="H42" s="24">
        <f>IF(A42="","",YEAR(A42))</f>
        <v/>
      </c>
      <c r="I42" s="30" t="inlineStr">
        <is>
          <t>Não</t>
        </is>
      </c>
    </row>
    <row r="43">
      <c r="A43" s="33" t="n">
        <v>46210</v>
      </c>
      <c r="B43" s="30" t="inlineStr">
        <is>
          <t>Diego</t>
        </is>
      </c>
      <c r="C43" s="30" t="inlineStr">
        <is>
          <t>Comercial e propostas</t>
        </is>
      </c>
      <c r="D43" s="28" t="inlineStr">
        <is>
          <t>Proposta</t>
        </is>
      </c>
      <c r="E43" s="34" t="n">
        <v>3</v>
      </c>
      <c r="F43" s="25">
        <f>IF(OR(B43="",E43=""),"",E43*IFERROR(INDEX(Config!$D$11:$D$20,MATCH(B43,Config!$A$11:$A$20,0)),0))</f>
        <v/>
      </c>
      <c r="G43" s="24">
        <f>IF(A43="","",MONTH(A43))</f>
        <v/>
      </c>
      <c r="H43" s="24">
        <f>IF(A43="","",YEAR(A43))</f>
        <v/>
      </c>
      <c r="I43" s="30" t="inlineStr">
        <is>
          <t>Não</t>
        </is>
      </c>
    </row>
    <row r="44">
      <c r="A44" s="33" t="n">
        <v>46210</v>
      </c>
      <c r="B44" s="30" t="inlineStr">
        <is>
          <t>Diego</t>
        </is>
      </c>
      <c r="C44" s="30" t="inlineStr">
        <is>
          <t>Gestão e reuniões</t>
        </is>
      </c>
      <c r="D44" s="28" t="inlineStr">
        <is>
          <t>Planejamento</t>
        </is>
      </c>
      <c r="E44" s="34" t="n">
        <v>2</v>
      </c>
      <c r="F44" s="25">
        <f>IF(OR(B44="",E44=""),"",E44*IFERROR(INDEX(Config!$D$11:$D$20,MATCH(B44,Config!$A$11:$A$20,0)),0))</f>
        <v/>
      </c>
      <c r="G44" s="24">
        <f>IF(A44="","",MONTH(A44))</f>
        <v/>
      </c>
      <c r="H44" s="24">
        <f>IF(A44="","",YEAR(A44))</f>
        <v/>
      </c>
      <c r="I44" s="30" t="inlineStr">
        <is>
          <t>Não</t>
        </is>
      </c>
    </row>
    <row r="45">
      <c r="A45" s="33" t="n">
        <v>46211</v>
      </c>
      <c r="B45" s="30" t="inlineStr">
        <is>
          <t>Ana</t>
        </is>
      </c>
      <c r="C45" s="30" t="inlineStr">
        <is>
          <t>Comercial e propostas</t>
        </is>
      </c>
      <c r="D45" s="28" t="inlineStr">
        <is>
          <t>Proposta</t>
        </is>
      </c>
      <c r="E45" s="34" t="n">
        <v>5.5</v>
      </c>
      <c r="F45" s="25">
        <f>IF(OR(B45="",E45=""),"",E45*IFERROR(INDEX(Config!$D$11:$D$20,MATCH(B45,Config!$A$11:$A$20,0)),0))</f>
        <v/>
      </c>
      <c r="G45" s="24">
        <f>IF(A45="","",MONTH(A45))</f>
        <v/>
      </c>
      <c r="H45" s="24">
        <f>IF(A45="","",YEAR(A45))</f>
        <v/>
      </c>
      <c r="I45" s="30" t="inlineStr">
        <is>
          <t>Não</t>
        </is>
      </c>
    </row>
    <row r="46">
      <c r="A46" s="33" t="n">
        <v>46211</v>
      </c>
      <c r="B46" s="30" t="inlineStr">
        <is>
          <t>Ana</t>
        </is>
      </c>
      <c r="C46" s="30" t="inlineStr">
        <is>
          <t>Gestão e reuniões</t>
        </is>
      </c>
      <c r="D46" s="28" t="inlineStr">
        <is>
          <t>Financeiro</t>
        </is>
      </c>
      <c r="E46" s="34" t="n">
        <v>2</v>
      </c>
      <c r="F46" s="25">
        <f>IF(OR(B46="",E46=""),"",E46*IFERROR(INDEX(Config!$D$11:$D$20,MATCH(B46,Config!$A$11:$A$20,0)),0))</f>
        <v/>
      </c>
      <c r="G46" s="24">
        <f>IF(A46="","",MONTH(A46))</f>
        <v/>
      </c>
      <c r="H46" s="24">
        <f>IF(A46="","",YEAR(A46))</f>
        <v/>
      </c>
      <c r="I46" s="30" t="inlineStr">
        <is>
          <t>Não</t>
        </is>
      </c>
    </row>
    <row r="47">
      <c r="A47" s="33" t="n">
        <v>46211</v>
      </c>
      <c r="B47" s="30" t="inlineStr">
        <is>
          <t>Bruno</t>
        </is>
      </c>
      <c r="C47" s="30" t="inlineStr">
        <is>
          <t>Gestão e reuniões</t>
        </is>
      </c>
      <c r="D47" s="28" t="inlineStr">
        <is>
          <t>Planejamento</t>
        </is>
      </c>
      <c r="E47" s="34" t="n">
        <v>1.5</v>
      </c>
      <c r="F47" s="25">
        <f>IF(OR(B47="",E47=""),"",E47*IFERROR(INDEX(Config!$D$11:$D$20,MATCH(B47,Config!$A$11:$A$20,0)),0))</f>
        <v/>
      </c>
      <c r="G47" s="24">
        <f>IF(A47="","",MONTH(A47))</f>
        <v/>
      </c>
      <c r="H47" s="24">
        <f>IF(A47="","",YEAR(A47))</f>
        <v/>
      </c>
      <c r="I47" s="30" t="inlineStr">
        <is>
          <t>Não</t>
        </is>
      </c>
    </row>
    <row r="48">
      <c r="A48" s="33" t="n">
        <v>46211</v>
      </c>
      <c r="B48" s="30" t="inlineStr">
        <is>
          <t>Bruno</t>
        </is>
      </c>
      <c r="C48" s="30" t="inlineStr">
        <is>
          <t>Comercial e propostas</t>
        </is>
      </c>
      <c r="D48" s="28" t="inlineStr">
        <is>
          <t>Proposta</t>
        </is>
      </c>
      <c r="E48" s="34" t="n">
        <v>6</v>
      </c>
      <c r="F48" s="25">
        <f>IF(OR(B48="",E48=""),"",E48*IFERROR(INDEX(Config!$D$11:$D$20,MATCH(B48,Config!$A$11:$A$20,0)),0))</f>
        <v/>
      </c>
      <c r="G48" s="24">
        <f>IF(A48="","",MONTH(A48))</f>
        <v/>
      </c>
      <c r="H48" s="24">
        <f>IF(A48="","",YEAR(A48))</f>
        <v/>
      </c>
      <c r="I48" s="30" t="inlineStr">
        <is>
          <t>Não</t>
        </is>
      </c>
    </row>
    <row r="49">
      <c r="A49" s="33" t="n">
        <v>46211</v>
      </c>
      <c r="B49" s="30" t="inlineStr">
        <is>
          <t>Carla</t>
        </is>
      </c>
      <c r="C49" s="30" t="inlineStr">
        <is>
          <t>Comercial e propostas</t>
        </is>
      </c>
      <c r="D49" s="28" t="inlineStr">
        <is>
          <t>Proposta</t>
        </is>
      </c>
      <c r="E49" s="34" t="n">
        <v>5.5</v>
      </c>
      <c r="F49" s="25">
        <f>IF(OR(B49="",E49=""),"",E49*IFERROR(INDEX(Config!$D$11:$D$20,MATCH(B49,Config!$A$11:$A$20,0)),0))</f>
        <v/>
      </c>
      <c r="G49" s="24">
        <f>IF(A49="","",MONTH(A49))</f>
        <v/>
      </c>
      <c r="H49" s="24">
        <f>IF(A49="","",YEAR(A49))</f>
        <v/>
      </c>
      <c r="I49" s="30" t="inlineStr">
        <is>
          <t>Não</t>
        </is>
      </c>
    </row>
    <row r="50">
      <c r="A50" s="33" t="n">
        <v>46211</v>
      </c>
      <c r="B50" s="30" t="inlineStr">
        <is>
          <t>Carla</t>
        </is>
      </c>
      <c r="C50" s="30" t="inlineStr">
        <is>
          <t>Gestão e reuniões</t>
        </is>
      </c>
      <c r="D50" s="28" t="inlineStr">
        <is>
          <t>Financeiro</t>
        </is>
      </c>
      <c r="E50" s="34" t="n">
        <v>1</v>
      </c>
      <c r="F50" s="25">
        <f>IF(OR(B50="",E50=""),"",E50*IFERROR(INDEX(Config!$D$11:$D$20,MATCH(B50,Config!$A$11:$A$20,0)),0))</f>
        <v/>
      </c>
      <c r="G50" s="24">
        <f>IF(A50="","",MONTH(A50))</f>
        <v/>
      </c>
      <c r="H50" s="24">
        <f>IF(A50="","",YEAR(A50))</f>
        <v/>
      </c>
      <c r="I50" s="30" t="inlineStr">
        <is>
          <t>Não</t>
        </is>
      </c>
    </row>
    <row r="51">
      <c r="A51" s="33" t="n">
        <v>46211</v>
      </c>
      <c r="B51" s="30" t="inlineStr">
        <is>
          <t>Diego</t>
        </is>
      </c>
      <c r="C51" s="30" t="inlineStr">
        <is>
          <t>Comercial e propostas</t>
        </is>
      </c>
      <c r="D51" s="28" t="inlineStr">
        <is>
          <t>Proposta</t>
        </is>
      </c>
      <c r="E51" s="34" t="n">
        <v>4.5</v>
      </c>
      <c r="F51" s="25">
        <f>IF(OR(B51="",E51=""),"",E51*IFERROR(INDEX(Config!$D$11:$D$20,MATCH(B51,Config!$A$11:$A$20,0)),0))</f>
        <v/>
      </c>
      <c r="G51" s="24">
        <f>IF(A51="","",MONTH(A51))</f>
        <v/>
      </c>
      <c r="H51" s="24">
        <f>IF(A51="","",YEAR(A51))</f>
        <v/>
      </c>
      <c r="I51" s="30" t="inlineStr">
        <is>
          <t>Não</t>
        </is>
      </c>
    </row>
    <row r="52">
      <c r="A52" s="33" t="n">
        <v>46211</v>
      </c>
      <c r="B52" s="30" t="inlineStr">
        <is>
          <t>Diego</t>
        </is>
      </c>
      <c r="C52" s="30" t="inlineStr">
        <is>
          <t>Gestão e reuniões</t>
        </is>
      </c>
      <c r="D52" s="28" t="inlineStr">
        <is>
          <t>Semanal</t>
        </is>
      </c>
      <c r="E52" s="34" t="n">
        <v>3</v>
      </c>
      <c r="F52" s="25">
        <f>IF(OR(B52="",E52=""),"",E52*IFERROR(INDEX(Config!$D$11:$D$20,MATCH(B52,Config!$A$11:$A$20,0)),0))</f>
        <v/>
      </c>
      <c r="G52" s="24">
        <f>IF(A52="","",MONTH(A52))</f>
        <v/>
      </c>
      <c r="H52" s="24">
        <f>IF(A52="","",YEAR(A52))</f>
        <v/>
      </c>
      <c r="I52" s="30" t="inlineStr">
        <is>
          <t>Não</t>
        </is>
      </c>
    </row>
    <row r="53">
      <c r="A53" s="33" t="n">
        <v>46212</v>
      </c>
      <c r="B53" s="30" t="inlineStr">
        <is>
          <t>Ana</t>
        </is>
      </c>
      <c r="C53" s="30" t="inlineStr">
        <is>
          <t>Comercial e propostas</t>
        </is>
      </c>
      <c r="D53" s="28" t="inlineStr">
        <is>
          <t>Proposta</t>
        </is>
      </c>
      <c r="E53" s="34" t="n">
        <v>5.5</v>
      </c>
      <c r="F53" s="25">
        <f>IF(OR(B53="",E53=""),"",E53*IFERROR(INDEX(Config!$D$11:$D$20,MATCH(B53,Config!$A$11:$A$20,0)),0))</f>
        <v/>
      </c>
      <c r="G53" s="24">
        <f>IF(A53="","",MONTH(A53))</f>
        <v/>
      </c>
      <c r="H53" s="24">
        <f>IF(A53="","",YEAR(A53))</f>
        <v/>
      </c>
      <c r="I53" s="30" t="inlineStr">
        <is>
          <t>Não</t>
        </is>
      </c>
    </row>
    <row r="54">
      <c r="A54" s="33" t="n">
        <v>46212</v>
      </c>
      <c r="B54" s="30" t="inlineStr">
        <is>
          <t>Ana</t>
        </is>
      </c>
      <c r="C54" s="30" t="inlineStr">
        <is>
          <t>Gestão e reuniões</t>
        </is>
      </c>
      <c r="D54" s="28" t="inlineStr">
        <is>
          <t>Financeiro</t>
        </is>
      </c>
      <c r="E54" s="34" t="n">
        <v>3</v>
      </c>
      <c r="F54" s="25">
        <f>IF(OR(B54="",E54=""),"",E54*IFERROR(INDEX(Config!$D$11:$D$20,MATCH(B54,Config!$A$11:$A$20,0)),0))</f>
        <v/>
      </c>
      <c r="G54" s="24">
        <f>IF(A54="","",MONTH(A54))</f>
        <v/>
      </c>
      <c r="H54" s="24">
        <f>IF(A54="","",YEAR(A54))</f>
        <v/>
      </c>
      <c r="I54" s="30" t="inlineStr">
        <is>
          <t>Não</t>
        </is>
      </c>
    </row>
    <row r="55">
      <c r="A55" s="33" t="n">
        <v>46212</v>
      </c>
      <c r="B55" s="30" t="inlineStr">
        <is>
          <t>Bruno</t>
        </is>
      </c>
      <c r="C55" s="30" t="inlineStr">
        <is>
          <t>Gestão e reuniões</t>
        </is>
      </c>
      <c r="D55" s="28" t="inlineStr">
        <is>
          <t>Planejamento</t>
        </is>
      </c>
      <c r="E55" s="34" t="n">
        <v>1</v>
      </c>
      <c r="F55" s="25">
        <f>IF(OR(B55="",E55=""),"",E55*IFERROR(INDEX(Config!$D$11:$D$20,MATCH(B55,Config!$A$11:$A$20,0)),0))</f>
        <v/>
      </c>
      <c r="G55" s="24">
        <f>IF(A55="","",MONTH(A55))</f>
        <v/>
      </c>
      <c r="H55" s="24">
        <f>IF(A55="","",YEAR(A55))</f>
        <v/>
      </c>
      <c r="I55" s="30" t="inlineStr">
        <is>
          <t>Não</t>
        </is>
      </c>
    </row>
    <row r="56">
      <c r="A56" s="33" t="n">
        <v>46212</v>
      </c>
      <c r="B56" s="30" t="inlineStr">
        <is>
          <t>Bruno</t>
        </is>
      </c>
      <c r="C56" s="30" t="inlineStr">
        <is>
          <t>Comercial e propostas</t>
        </is>
      </c>
      <c r="D56" s="28" t="inlineStr">
        <is>
          <t>Proposta</t>
        </is>
      </c>
      <c r="E56" s="34" t="n">
        <v>6.5</v>
      </c>
      <c r="F56" s="25">
        <f>IF(OR(B56="",E56=""),"",E56*IFERROR(INDEX(Config!$D$11:$D$20,MATCH(B56,Config!$A$11:$A$20,0)),0))</f>
        <v/>
      </c>
      <c r="G56" s="24">
        <f>IF(A56="","",MONTH(A56))</f>
        <v/>
      </c>
      <c r="H56" s="24">
        <f>IF(A56="","",YEAR(A56))</f>
        <v/>
      </c>
      <c r="I56" s="30" t="inlineStr">
        <is>
          <t>Não</t>
        </is>
      </c>
    </row>
    <row r="57">
      <c r="A57" s="33" t="n">
        <v>46212</v>
      </c>
      <c r="B57" s="30" t="inlineStr">
        <is>
          <t>Carla</t>
        </is>
      </c>
      <c r="C57" s="30" t="inlineStr">
        <is>
          <t>Comercial e propostas</t>
        </is>
      </c>
      <c r="D57" s="28" t="inlineStr">
        <is>
          <t>Proposta</t>
        </is>
      </c>
      <c r="E57" s="34" t="n">
        <v>7</v>
      </c>
      <c r="F57" s="25">
        <f>IF(OR(B57="",E57=""),"",E57*IFERROR(INDEX(Config!$D$11:$D$20,MATCH(B57,Config!$A$11:$A$20,0)),0))</f>
        <v/>
      </c>
      <c r="G57" s="24">
        <f>IF(A57="","",MONTH(A57))</f>
        <v/>
      </c>
      <c r="H57" s="24">
        <f>IF(A57="","",YEAR(A57))</f>
        <v/>
      </c>
      <c r="I57" s="30" t="inlineStr">
        <is>
          <t>Não</t>
        </is>
      </c>
    </row>
    <row r="58">
      <c r="A58" s="33" t="n">
        <v>46212</v>
      </c>
      <c r="B58" s="30" t="inlineStr">
        <is>
          <t>Carla</t>
        </is>
      </c>
      <c r="C58" s="30" t="inlineStr">
        <is>
          <t>Gestão e reuniões</t>
        </is>
      </c>
      <c r="D58" s="28" t="inlineStr">
        <is>
          <t>Semanal</t>
        </is>
      </c>
      <c r="E58" s="34" t="n">
        <v>1</v>
      </c>
      <c r="F58" s="25">
        <f>IF(OR(B58="",E58=""),"",E58*IFERROR(INDEX(Config!$D$11:$D$20,MATCH(B58,Config!$A$11:$A$20,0)),0))</f>
        <v/>
      </c>
      <c r="G58" s="24">
        <f>IF(A58="","",MONTH(A58))</f>
        <v/>
      </c>
      <c r="H58" s="24">
        <f>IF(A58="","",YEAR(A58))</f>
        <v/>
      </c>
      <c r="I58" s="30" t="inlineStr">
        <is>
          <t>Não</t>
        </is>
      </c>
    </row>
    <row r="59">
      <c r="A59" s="33" t="n">
        <v>46212</v>
      </c>
      <c r="B59" s="30" t="inlineStr">
        <is>
          <t>Diego</t>
        </is>
      </c>
      <c r="C59" s="30" t="inlineStr">
        <is>
          <t>Comercial e propostas</t>
        </is>
      </c>
      <c r="D59" s="28" t="inlineStr">
        <is>
          <t>Proposta</t>
        </is>
      </c>
      <c r="E59" s="34" t="n">
        <v>5.5</v>
      </c>
      <c r="F59" s="25">
        <f>IF(OR(B59="",E59=""),"",E59*IFERROR(INDEX(Config!$D$11:$D$20,MATCH(B59,Config!$A$11:$A$20,0)),0))</f>
        <v/>
      </c>
      <c r="G59" s="24">
        <f>IF(A59="","",MONTH(A59))</f>
        <v/>
      </c>
      <c r="H59" s="24">
        <f>IF(A59="","",YEAR(A59))</f>
        <v/>
      </c>
      <c r="I59" s="30" t="inlineStr">
        <is>
          <t>Não</t>
        </is>
      </c>
    </row>
    <row r="60">
      <c r="A60" s="33" t="n">
        <v>46212</v>
      </c>
      <c r="B60" s="30" t="inlineStr">
        <is>
          <t>Diego</t>
        </is>
      </c>
      <c r="C60" s="30" t="inlineStr">
        <is>
          <t>Gestão e reuniões</t>
        </is>
      </c>
      <c r="D60" s="28" t="inlineStr">
        <is>
          <t>Planejamento</t>
        </is>
      </c>
      <c r="E60" s="34" t="n">
        <v>3</v>
      </c>
      <c r="F60" s="25">
        <f>IF(OR(B60="",E60=""),"",E60*IFERROR(INDEX(Config!$D$11:$D$20,MATCH(B60,Config!$A$11:$A$20,0)),0))</f>
        <v/>
      </c>
      <c r="G60" s="24">
        <f>IF(A60="","",MONTH(A60))</f>
        <v/>
      </c>
      <c r="H60" s="24">
        <f>IF(A60="","",YEAR(A60))</f>
        <v/>
      </c>
      <c r="I60" s="30" t="inlineStr">
        <is>
          <t>Não</t>
        </is>
      </c>
    </row>
    <row r="61">
      <c r="A61" s="33" t="n">
        <v>46213</v>
      </c>
      <c r="B61" s="30" t="inlineStr">
        <is>
          <t>Ana</t>
        </is>
      </c>
      <c r="C61" s="30" t="inlineStr">
        <is>
          <t>Comercial e propostas</t>
        </is>
      </c>
      <c r="D61" s="28" t="inlineStr">
        <is>
          <t>Reunião comercial</t>
        </is>
      </c>
      <c r="E61" s="34" t="n">
        <v>4</v>
      </c>
      <c r="F61" s="25">
        <f>IF(OR(B61="",E61=""),"",E61*IFERROR(INDEX(Config!$D$11:$D$20,MATCH(B61,Config!$A$11:$A$20,0)),0))</f>
        <v/>
      </c>
      <c r="G61" s="24">
        <f>IF(A61="","",MONTH(A61))</f>
        <v/>
      </c>
      <c r="H61" s="24">
        <f>IF(A61="","",YEAR(A61))</f>
        <v/>
      </c>
      <c r="I61" s="30" t="inlineStr">
        <is>
          <t>Não</t>
        </is>
      </c>
    </row>
    <row r="62">
      <c r="A62" s="33" t="n">
        <v>46213</v>
      </c>
      <c r="B62" s="30" t="inlineStr">
        <is>
          <t>Ana</t>
        </is>
      </c>
      <c r="C62" s="30" t="inlineStr">
        <is>
          <t>Gestão e reuniões</t>
        </is>
      </c>
      <c r="D62" s="28" t="inlineStr">
        <is>
          <t>Planejamento</t>
        </is>
      </c>
      <c r="E62" s="34" t="n">
        <v>3.5</v>
      </c>
      <c r="F62" s="25">
        <f>IF(OR(B62="",E62=""),"",E62*IFERROR(INDEX(Config!$D$11:$D$20,MATCH(B62,Config!$A$11:$A$20,0)),0))</f>
        <v/>
      </c>
      <c r="G62" s="24">
        <f>IF(A62="","",MONTH(A62))</f>
        <v/>
      </c>
      <c r="H62" s="24">
        <f>IF(A62="","",YEAR(A62))</f>
        <v/>
      </c>
      <c r="I62" s="30" t="inlineStr">
        <is>
          <t>Não</t>
        </is>
      </c>
    </row>
    <row r="63">
      <c r="A63" s="33" t="n">
        <v>46213</v>
      </c>
      <c r="B63" s="30" t="inlineStr">
        <is>
          <t>Bruno</t>
        </is>
      </c>
      <c r="C63" s="30" t="inlineStr">
        <is>
          <t>Gestão e reuniões</t>
        </is>
      </c>
      <c r="D63" s="28" t="inlineStr">
        <is>
          <t>Semanal</t>
        </is>
      </c>
      <c r="E63" s="34" t="n">
        <v>1</v>
      </c>
      <c r="F63" s="25">
        <f>IF(OR(B63="",E63=""),"",E63*IFERROR(INDEX(Config!$D$11:$D$20,MATCH(B63,Config!$A$11:$A$20,0)),0))</f>
        <v/>
      </c>
      <c r="G63" s="24">
        <f>IF(A63="","",MONTH(A63))</f>
        <v/>
      </c>
      <c r="H63" s="24">
        <f>IF(A63="","",YEAR(A63))</f>
        <v/>
      </c>
      <c r="I63" s="30" t="inlineStr">
        <is>
          <t>Não</t>
        </is>
      </c>
    </row>
    <row r="64">
      <c r="A64" s="33" t="n">
        <v>46213</v>
      </c>
      <c r="B64" s="30" t="inlineStr">
        <is>
          <t>Bruno</t>
        </is>
      </c>
      <c r="C64" s="30" t="inlineStr">
        <is>
          <t>Comercial e propostas</t>
        </is>
      </c>
      <c r="D64" s="28" t="inlineStr">
        <is>
          <t>Reunião comercial</t>
        </is>
      </c>
      <c r="E64" s="34" t="n">
        <v>4</v>
      </c>
      <c r="F64" s="25">
        <f>IF(OR(B64="",E64=""),"",E64*IFERROR(INDEX(Config!$D$11:$D$20,MATCH(B64,Config!$A$11:$A$20,0)),0))</f>
        <v/>
      </c>
      <c r="G64" s="24">
        <f>IF(A64="","",MONTH(A64))</f>
        <v/>
      </c>
      <c r="H64" s="24">
        <f>IF(A64="","",YEAR(A64))</f>
        <v/>
      </c>
      <c r="I64" s="30" t="inlineStr">
        <is>
          <t>Não</t>
        </is>
      </c>
    </row>
    <row r="65">
      <c r="A65" s="33" t="n">
        <v>46213</v>
      </c>
      <c r="B65" s="30" t="inlineStr">
        <is>
          <t>Carla</t>
        </is>
      </c>
      <c r="C65" s="30" t="inlineStr">
        <is>
          <t>Comercial e propostas</t>
        </is>
      </c>
      <c r="D65" s="28" t="inlineStr">
        <is>
          <t>Reunião comercial</t>
        </is>
      </c>
      <c r="E65" s="34" t="n">
        <v>7</v>
      </c>
      <c r="F65" s="25">
        <f>IF(OR(B65="",E65=""),"",E65*IFERROR(INDEX(Config!$D$11:$D$20,MATCH(B65,Config!$A$11:$A$20,0)),0))</f>
        <v/>
      </c>
      <c r="G65" s="24">
        <f>IF(A65="","",MONTH(A65))</f>
        <v/>
      </c>
      <c r="H65" s="24">
        <f>IF(A65="","",YEAR(A65))</f>
        <v/>
      </c>
      <c r="I65" s="30" t="inlineStr">
        <is>
          <t>Não</t>
        </is>
      </c>
    </row>
    <row r="66">
      <c r="A66" s="33" t="n">
        <v>46213</v>
      </c>
      <c r="B66" s="30" t="inlineStr">
        <is>
          <t>Carla</t>
        </is>
      </c>
      <c r="C66" s="30" t="inlineStr">
        <is>
          <t>Gestão e reuniões</t>
        </is>
      </c>
      <c r="D66" s="28" t="inlineStr">
        <is>
          <t>Planejamento</t>
        </is>
      </c>
      <c r="E66" s="34" t="n">
        <v>1</v>
      </c>
      <c r="F66" s="25">
        <f>IF(OR(B66="",E66=""),"",E66*IFERROR(INDEX(Config!$D$11:$D$20,MATCH(B66,Config!$A$11:$A$20,0)),0))</f>
        <v/>
      </c>
      <c r="G66" s="24">
        <f>IF(A66="","",MONTH(A66))</f>
        <v/>
      </c>
      <c r="H66" s="24">
        <f>IF(A66="","",YEAR(A66))</f>
        <v/>
      </c>
      <c r="I66" s="30" t="inlineStr">
        <is>
          <t>Não</t>
        </is>
      </c>
    </row>
    <row r="67">
      <c r="A67" s="33" t="n">
        <v>46213</v>
      </c>
      <c r="B67" s="30" t="inlineStr">
        <is>
          <t>Diego</t>
        </is>
      </c>
      <c r="C67" s="30" t="inlineStr">
        <is>
          <t>Comercial e propostas</t>
        </is>
      </c>
      <c r="D67" s="28" t="inlineStr">
        <is>
          <t>Proposta</t>
        </is>
      </c>
      <c r="E67" s="34" t="n">
        <v>4</v>
      </c>
      <c r="F67" s="25">
        <f>IF(OR(B67="",E67=""),"",E67*IFERROR(INDEX(Config!$D$11:$D$20,MATCH(B67,Config!$A$11:$A$20,0)),0))</f>
        <v/>
      </c>
      <c r="G67" s="24">
        <f>IF(A67="","",MONTH(A67))</f>
        <v/>
      </c>
      <c r="H67" s="24">
        <f>IF(A67="","",YEAR(A67))</f>
        <v/>
      </c>
      <c r="I67" s="30" t="inlineStr">
        <is>
          <t>Não</t>
        </is>
      </c>
    </row>
    <row r="68">
      <c r="A68" s="33" t="n">
        <v>46213</v>
      </c>
      <c r="B68" s="30" t="inlineStr">
        <is>
          <t>Diego</t>
        </is>
      </c>
      <c r="C68" s="30" t="inlineStr">
        <is>
          <t>Gestão e reuniões</t>
        </is>
      </c>
      <c r="D68" s="28" t="inlineStr">
        <is>
          <t>Semanal</t>
        </is>
      </c>
      <c r="E68" s="34" t="n">
        <v>4.5</v>
      </c>
      <c r="F68" s="25">
        <f>IF(OR(B68="",E68=""),"",E68*IFERROR(INDEX(Config!$D$11:$D$20,MATCH(B68,Config!$A$11:$A$20,0)),0))</f>
        <v/>
      </c>
      <c r="G68" s="24">
        <f>IF(A68="","",MONTH(A68))</f>
        <v/>
      </c>
      <c r="H68" s="24">
        <f>IF(A68="","",YEAR(A68))</f>
        <v/>
      </c>
      <c r="I68" s="30" t="inlineStr">
        <is>
          <t>Não</t>
        </is>
      </c>
    </row>
    <row r="69">
      <c r="A69" s="33" t="n">
        <v>46216</v>
      </c>
      <c r="B69" s="30" t="inlineStr">
        <is>
          <t>Ana</t>
        </is>
      </c>
      <c r="C69" s="30" t="inlineStr">
        <is>
          <t>Comercial e propostas</t>
        </is>
      </c>
      <c r="D69" s="28" t="inlineStr">
        <is>
          <t>Proposta</t>
        </is>
      </c>
      <c r="E69" s="34" t="n">
        <v>3.5</v>
      </c>
      <c r="F69" s="25">
        <f>IF(OR(B69="",E69=""),"",E69*IFERROR(INDEX(Config!$D$11:$D$20,MATCH(B69,Config!$A$11:$A$20,0)),0))</f>
        <v/>
      </c>
      <c r="G69" s="24">
        <f>IF(A69="","",MONTH(A69))</f>
        <v/>
      </c>
      <c r="H69" s="24">
        <f>IF(A69="","",YEAR(A69))</f>
        <v/>
      </c>
      <c r="I69" s="30" t="inlineStr">
        <is>
          <t>Não</t>
        </is>
      </c>
    </row>
    <row r="70">
      <c r="A70" s="33" t="n">
        <v>46216</v>
      </c>
      <c r="B70" s="30" t="inlineStr">
        <is>
          <t>Ana</t>
        </is>
      </c>
      <c r="C70" s="30" t="inlineStr">
        <is>
          <t>Gestão e reuniões</t>
        </is>
      </c>
      <c r="D70" s="28" t="inlineStr">
        <is>
          <t>Semanal</t>
        </is>
      </c>
      <c r="E70" s="34" t="n">
        <v>2.5</v>
      </c>
      <c r="F70" s="25">
        <f>IF(OR(B70="",E70=""),"",E70*IFERROR(INDEX(Config!$D$11:$D$20,MATCH(B70,Config!$A$11:$A$20,0)),0))</f>
        <v/>
      </c>
      <c r="G70" s="24">
        <f>IF(A70="","",MONTH(A70))</f>
        <v/>
      </c>
      <c r="H70" s="24">
        <f>IF(A70="","",YEAR(A70))</f>
        <v/>
      </c>
      <c r="I70" s="30" t="inlineStr">
        <is>
          <t>Não</t>
        </is>
      </c>
    </row>
    <row r="71">
      <c r="A71" s="33" t="n">
        <v>46216</v>
      </c>
      <c r="B71" s="30" t="inlineStr">
        <is>
          <t>Bruno</t>
        </is>
      </c>
      <c r="C71" s="30" t="inlineStr">
        <is>
          <t>Gestão e reuniões</t>
        </is>
      </c>
      <c r="D71" s="28" t="inlineStr">
        <is>
          <t>Financeiro</t>
        </is>
      </c>
      <c r="E71" s="34" t="n">
        <v>1</v>
      </c>
      <c r="F71" s="25">
        <f>IF(OR(B71="",E71=""),"",E71*IFERROR(INDEX(Config!$D$11:$D$20,MATCH(B71,Config!$A$11:$A$20,0)),0))</f>
        <v/>
      </c>
      <c r="G71" s="24">
        <f>IF(A71="","",MONTH(A71))</f>
        <v/>
      </c>
      <c r="H71" s="24">
        <f>IF(A71="","",YEAR(A71))</f>
        <v/>
      </c>
      <c r="I71" s="30" t="inlineStr">
        <is>
          <t>Não</t>
        </is>
      </c>
    </row>
    <row r="72">
      <c r="A72" s="33" t="n">
        <v>46216</v>
      </c>
      <c r="B72" s="30" t="inlineStr">
        <is>
          <t>Bruno</t>
        </is>
      </c>
      <c r="C72" s="30" t="inlineStr">
        <is>
          <t>Comercial e propostas</t>
        </is>
      </c>
      <c r="D72" s="28" t="inlineStr">
        <is>
          <t>Proposta</t>
        </is>
      </c>
      <c r="E72" s="34" t="n">
        <v>7</v>
      </c>
      <c r="F72" s="25">
        <f>IF(OR(B72="",E72=""),"",E72*IFERROR(INDEX(Config!$D$11:$D$20,MATCH(B72,Config!$A$11:$A$20,0)),0))</f>
        <v/>
      </c>
      <c r="G72" s="24">
        <f>IF(A72="","",MONTH(A72))</f>
        <v/>
      </c>
      <c r="H72" s="24">
        <f>IF(A72="","",YEAR(A72))</f>
        <v/>
      </c>
      <c r="I72" s="30" t="inlineStr">
        <is>
          <t>Não</t>
        </is>
      </c>
    </row>
    <row r="73">
      <c r="A73" s="33" t="n">
        <v>46216</v>
      </c>
      <c r="B73" s="30" t="inlineStr">
        <is>
          <t>Carla</t>
        </is>
      </c>
      <c r="C73" s="30" t="inlineStr">
        <is>
          <t>Comercial e propostas</t>
        </is>
      </c>
      <c r="D73" s="28" t="inlineStr">
        <is>
          <t>Reunião comercial</t>
        </is>
      </c>
      <c r="E73" s="34" t="n">
        <v>3.5</v>
      </c>
      <c r="F73" s="25">
        <f>IF(OR(B73="",E73=""),"",E73*IFERROR(INDEX(Config!$D$11:$D$20,MATCH(B73,Config!$A$11:$A$20,0)),0))</f>
        <v/>
      </c>
      <c r="G73" s="24">
        <f>IF(A73="","",MONTH(A73))</f>
        <v/>
      </c>
      <c r="H73" s="24">
        <f>IF(A73="","",YEAR(A73))</f>
        <v/>
      </c>
      <c r="I73" s="30" t="inlineStr">
        <is>
          <t>Não</t>
        </is>
      </c>
    </row>
    <row r="74">
      <c r="A74" s="33" t="n">
        <v>46216</v>
      </c>
      <c r="B74" s="30" t="inlineStr">
        <is>
          <t>Carla</t>
        </is>
      </c>
      <c r="C74" s="30" t="inlineStr">
        <is>
          <t>Gestão e reuniões</t>
        </is>
      </c>
      <c r="D74" s="28" t="inlineStr">
        <is>
          <t>Planejamento</t>
        </is>
      </c>
      <c r="E74" s="34" t="n">
        <v>1</v>
      </c>
      <c r="F74" s="25">
        <f>IF(OR(B74="",E74=""),"",E74*IFERROR(INDEX(Config!$D$11:$D$20,MATCH(B74,Config!$A$11:$A$20,0)),0))</f>
        <v/>
      </c>
      <c r="G74" s="24">
        <f>IF(A74="","",MONTH(A74))</f>
        <v/>
      </c>
      <c r="H74" s="24">
        <f>IF(A74="","",YEAR(A74))</f>
        <v/>
      </c>
      <c r="I74" s="30" t="inlineStr">
        <is>
          <t>Não</t>
        </is>
      </c>
    </row>
    <row r="75">
      <c r="A75" s="33" t="n">
        <v>46216</v>
      </c>
      <c r="B75" s="30" t="inlineStr">
        <is>
          <t>Diego</t>
        </is>
      </c>
      <c r="C75" s="30" t="inlineStr">
        <is>
          <t>Comercial e propostas</t>
        </is>
      </c>
      <c r="D75" s="28" t="inlineStr">
        <is>
          <t>Proposta</t>
        </is>
      </c>
      <c r="E75" s="34" t="n">
        <v>3</v>
      </c>
      <c r="F75" s="25">
        <f>IF(OR(B75="",E75=""),"",E75*IFERROR(INDEX(Config!$D$11:$D$20,MATCH(B75,Config!$A$11:$A$20,0)),0))</f>
        <v/>
      </c>
      <c r="G75" s="24">
        <f>IF(A75="","",MONTH(A75))</f>
        <v/>
      </c>
      <c r="H75" s="24">
        <f>IF(A75="","",YEAR(A75))</f>
        <v/>
      </c>
      <c r="I75" s="30" t="inlineStr">
        <is>
          <t>Não</t>
        </is>
      </c>
    </row>
    <row r="76">
      <c r="A76" s="33" t="n">
        <v>46216</v>
      </c>
      <c r="B76" s="30" t="inlineStr">
        <is>
          <t>Diego</t>
        </is>
      </c>
      <c r="C76" s="30" t="inlineStr">
        <is>
          <t>Gestão e reuniões</t>
        </is>
      </c>
      <c r="D76" s="28" t="inlineStr">
        <is>
          <t>Financeiro</t>
        </is>
      </c>
      <c r="E76" s="34" t="n">
        <v>4</v>
      </c>
      <c r="F76" s="25">
        <f>IF(OR(B76="",E76=""),"",E76*IFERROR(INDEX(Config!$D$11:$D$20,MATCH(B76,Config!$A$11:$A$20,0)),0))</f>
        <v/>
      </c>
      <c r="G76" s="24">
        <f>IF(A76="","",MONTH(A76))</f>
        <v/>
      </c>
      <c r="H76" s="24">
        <f>IF(A76="","",YEAR(A76))</f>
        <v/>
      </c>
      <c r="I76" s="30" t="inlineStr">
        <is>
          <t>Não</t>
        </is>
      </c>
    </row>
    <row r="77">
      <c r="A77" s="33" t="n">
        <v>46217</v>
      </c>
      <c r="B77" s="30" t="inlineStr">
        <is>
          <t>Ana</t>
        </is>
      </c>
      <c r="C77" s="30" t="inlineStr">
        <is>
          <t>Comercial e propostas</t>
        </is>
      </c>
      <c r="D77" s="28" t="inlineStr">
        <is>
          <t>Proposta</t>
        </is>
      </c>
      <c r="E77" s="34" t="n">
        <v>6</v>
      </c>
      <c r="F77" s="25">
        <f>IF(OR(B77="",E77=""),"",E77*IFERROR(INDEX(Config!$D$11:$D$20,MATCH(B77,Config!$A$11:$A$20,0)),0))</f>
        <v/>
      </c>
      <c r="G77" s="24">
        <f>IF(A77="","",MONTH(A77))</f>
        <v/>
      </c>
      <c r="H77" s="24">
        <f>IF(A77="","",YEAR(A77))</f>
        <v/>
      </c>
      <c r="I77" s="30" t="inlineStr">
        <is>
          <t>Não</t>
        </is>
      </c>
    </row>
    <row r="78">
      <c r="A78" s="33" t="n">
        <v>46217</v>
      </c>
      <c r="B78" s="30" t="inlineStr">
        <is>
          <t>Ana</t>
        </is>
      </c>
      <c r="C78" s="30" t="inlineStr">
        <is>
          <t>Gestão e reuniões</t>
        </is>
      </c>
      <c r="D78" s="28" t="inlineStr">
        <is>
          <t>Semanal</t>
        </is>
      </c>
      <c r="E78" s="34" t="n">
        <v>3.5</v>
      </c>
      <c r="F78" s="25">
        <f>IF(OR(B78="",E78=""),"",E78*IFERROR(INDEX(Config!$D$11:$D$20,MATCH(B78,Config!$A$11:$A$20,0)),0))</f>
        <v/>
      </c>
      <c r="G78" s="24">
        <f>IF(A78="","",MONTH(A78))</f>
        <v/>
      </c>
      <c r="H78" s="24">
        <f>IF(A78="","",YEAR(A78))</f>
        <v/>
      </c>
      <c r="I78" s="30" t="inlineStr">
        <is>
          <t>Não</t>
        </is>
      </c>
    </row>
    <row r="79">
      <c r="A79" s="33" t="n">
        <v>46217</v>
      </c>
      <c r="B79" s="30" t="inlineStr">
        <is>
          <t>Bruno</t>
        </is>
      </c>
      <c r="C79" s="30" t="inlineStr">
        <is>
          <t>Gestão e reuniões</t>
        </is>
      </c>
      <c r="D79" s="28" t="inlineStr">
        <is>
          <t>Planejamento</t>
        </is>
      </c>
      <c r="E79" s="34" t="n">
        <v>1.5</v>
      </c>
      <c r="F79" s="25">
        <f>IF(OR(B79="",E79=""),"",E79*IFERROR(INDEX(Config!$D$11:$D$20,MATCH(B79,Config!$A$11:$A$20,0)),0))</f>
        <v/>
      </c>
      <c r="G79" s="24">
        <f>IF(A79="","",MONTH(A79))</f>
        <v/>
      </c>
      <c r="H79" s="24">
        <f>IF(A79="","",YEAR(A79))</f>
        <v/>
      </c>
      <c r="I79" s="30" t="inlineStr">
        <is>
          <t>Não</t>
        </is>
      </c>
    </row>
    <row r="80">
      <c r="A80" s="33" t="n">
        <v>46217</v>
      </c>
      <c r="B80" s="30" t="inlineStr">
        <is>
          <t>Bruno</t>
        </is>
      </c>
      <c r="C80" s="30" t="inlineStr">
        <is>
          <t>Comercial e propostas</t>
        </is>
      </c>
      <c r="D80" s="28" t="inlineStr">
        <is>
          <t>Proposta</t>
        </is>
      </c>
      <c r="E80" s="34" t="n">
        <v>6</v>
      </c>
      <c r="F80" s="25">
        <f>IF(OR(B80="",E80=""),"",E80*IFERROR(INDEX(Config!$D$11:$D$20,MATCH(B80,Config!$A$11:$A$20,0)),0))</f>
        <v/>
      </c>
      <c r="G80" s="24">
        <f>IF(A80="","",MONTH(A80))</f>
        <v/>
      </c>
      <c r="H80" s="24">
        <f>IF(A80="","",YEAR(A80))</f>
        <v/>
      </c>
      <c r="I80" s="30" t="inlineStr">
        <is>
          <t>Não</t>
        </is>
      </c>
    </row>
    <row r="81">
      <c r="A81" s="33" t="n">
        <v>46217</v>
      </c>
      <c r="B81" s="30" t="inlineStr">
        <is>
          <t>Carla</t>
        </is>
      </c>
      <c r="C81" s="30" t="inlineStr">
        <is>
          <t>Comercial e propostas</t>
        </is>
      </c>
      <c r="D81" s="28" t="inlineStr">
        <is>
          <t>Proposta</t>
        </is>
      </c>
      <c r="E81" s="34" t="n">
        <v>5.5</v>
      </c>
      <c r="F81" s="25">
        <f>IF(OR(B81="",E81=""),"",E81*IFERROR(INDEX(Config!$D$11:$D$20,MATCH(B81,Config!$A$11:$A$20,0)),0))</f>
        <v/>
      </c>
      <c r="G81" s="24">
        <f>IF(A81="","",MONTH(A81))</f>
        <v/>
      </c>
      <c r="H81" s="24">
        <f>IF(A81="","",YEAR(A81))</f>
        <v/>
      </c>
      <c r="I81" s="30" t="inlineStr">
        <is>
          <t>Não</t>
        </is>
      </c>
    </row>
    <row r="82">
      <c r="A82" s="33" t="n">
        <v>46217</v>
      </c>
      <c r="B82" s="30" t="inlineStr">
        <is>
          <t>Carla</t>
        </is>
      </c>
      <c r="C82" s="30" t="inlineStr">
        <is>
          <t>Gestão e reuniões</t>
        </is>
      </c>
      <c r="D82" s="28" t="inlineStr">
        <is>
          <t>Planejamento</t>
        </is>
      </c>
      <c r="E82" s="34" t="n">
        <v>1</v>
      </c>
      <c r="F82" s="25">
        <f>IF(OR(B82="",E82=""),"",E82*IFERROR(INDEX(Config!$D$11:$D$20,MATCH(B82,Config!$A$11:$A$20,0)),0))</f>
        <v/>
      </c>
      <c r="G82" s="24">
        <f>IF(A82="","",MONTH(A82))</f>
        <v/>
      </c>
      <c r="H82" s="24">
        <f>IF(A82="","",YEAR(A82))</f>
        <v/>
      </c>
      <c r="I82" s="30" t="inlineStr">
        <is>
          <t>Não</t>
        </is>
      </c>
    </row>
    <row r="83">
      <c r="A83" s="33" t="n">
        <v>46217</v>
      </c>
      <c r="B83" s="30" t="inlineStr">
        <is>
          <t>Diego</t>
        </is>
      </c>
      <c r="C83" s="30" t="inlineStr">
        <is>
          <t>Comercial e propostas</t>
        </is>
      </c>
      <c r="D83" s="28" t="inlineStr">
        <is>
          <t>Proposta</t>
        </is>
      </c>
      <c r="E83" s="34" t="n">
        <v>3.5</v>
      </c>
      <c r="F83" s="25">
        <f>IF(OR(B83="",E83=""),"",E83*IFERROR(INDEX(Config!$D$11:$D$20,MATCH(B83,Config!$A$11:$A$20,0)),0))</f>
        <v/>
      </c>
      <c r="G83" s="24">
        <f>IF(A83="","",MONTH(A83))</f>
        <v/>
      </c>
      <c r="H83" s="24">
        <f>IF(A83="","",YEAR(A83))</f>
        <v/>
      </c>
      <c r="I83" s="30" t="inlineStr">
        <is>
          <t>Não</t>
        </is>
      </c>
    </row>
    <row r="84">
      <c r="A84" s="33" t="n">
        <v>46217</v>
      </c>
      <c r="B84" s="30" t="inlineStr">
        <is>
          <t>Diego</t>
        </is>
      </c>
      <c r="C84" s="30" t="inlineStr">
        <is>
          <t>Gestão e reuniões</t>
        </is>
      </c>
      <c r="D84" s="28" t="inlineStr">
        <is>
          <t>Planejamento</t>
        </is>
      </c>
      <c r="E84" s="34" t="n">
        <v>2.5</v>
      </c>
      <c r="F84" s="25">
        <f>IF(OR(B84="",E84=""),"",E84*IFERROR(INDEX(Config!$D$11:$D$20,MATCH(B84,Config!$A$11:$A$20,0)),0))</f>
        <v/>
      </c>
      <c r="G84" s="24">
        <f>IF(A84="","",MONTH(A84))</f>
        <v/>
      </c>
      <c r="H84" s="24">
        <f>IF(A84="","",YEAR(A84))</f>
        <v/>
      </c>
      <c r="I84" s="30" t="inlineStr">
        <is>
          <t>Não</t>
        </is>
      </c>
    </row>
    <row r="85">
      <c r="A85" s="33" t="n">
        <v>46218</v>
      </c>
      <c r="B85" s="30" t="inlineStr">
        <is>
          <t>Ana</t>
        </is>
      </c>
      <c r="C85" s="30" t="inlineStr">
        <is>
          <t>Comercial e propostas</t>
        </is>
      </c>
      <c r="D85" s="28" t="inlineStr">
        <is>
          <t>Proposta</t>
        </is>
      </c>
      <c r="E85" s="34" t="n">
        <v>5</v>
      </c>
      <c r="F85" s="25">
        <f>IF(OR(B85="",E85=""),"",E85*IFERROR(INDEX(Config!$D$11:$D$20,MATCH(B85,Config!$A$11:$A$20,0)),0))</f>
        <v/>
      </c>
      <c r="G85" s="24">
        <f>IF(A85="","",MONTH(A85))</f>
        <v/>
      </c>
      <c r="H85" s="24">
        <f>IF(A85="","",YEAR(A85))</f>
        <v/>
      </c>
      <c r="I85" s="30" t="inlineStr">
        <is>
          <t>Não</t>
        </is>
      </c>
    </row>
    <row r="86">
      <c r="A86" s="33" t="n">
        <v>46218</v>
      </c>
      <c r="B86" s="30" t="inlineStr">
        <is>
          <t>Ana</t>
        </is>
      </c>
      <c r="C86" s="30" t="inlineStr">
        <is>
          <t>Gestão e reuniões</t>
        </is>
      </c>
      <c r="D86" s="28" t="inlineStr">
        <is>
          <t>Financeiro</t>
        </is>
      </c>
      <c r="E86" s="34" t="n">
        <v>3</v>
      </c>
      <c r="F86" s="25">
        <f>IF(OR(B86="",E86=""),"",E86*IFERROR(INDEX(Config!$D$11:$D$20,MATCH(B86,Config!$A$11:$A$20,0)),0))</f>
        <v/>
      </c>
      <c r="G86" s="24">
        <f>IF(A86="","",MONTH(A86))</f>
        <v/>
      </c>
      <c r="H86" s="24">
        <f>IF(A86="","",YEAR(A86))</f>
        <v/>
      </c>
      <c r="I86" s="30" t="inlineStr">
        <is>
          <t>Não</t>
        </is>
      </c>
    </row>
    <row r="87">
      <c r="A87" s="33" t="n">
        <v>46218</v>
      </c>
      <c r="B87" s="30" t="inlineStr">
        <is>
          <t>Bruno</t>
        </is>
      </c>
      <c r="C87" s="30" t="inlineStr">
        <is>
          <t>Identidade visual · Padaria do Sol</t>
        </is>
      </c>
      <c r="D87" s="28" t="inlineStr">
        <is>
          <t>Aplicações</t>
        </is>
      </c>
      <c r="E87" s="34" t="n">
        <v>1</v>
      </c>
      <c r="F87" s="25">
        <f>IF(OR(B87="",E87=""),"",E87*IFERROR(INDEX(Config!$D$11:$D$20,MATCH(B87,Config!$A$11:$A$20,0)),0))</f>
        <v/>
      </c>
      <c r="G87" s="24">
        <f>IF(A87="","",MONTH(A87))</f>
        <v/>
      </c>
      <c r="H87" s="24">
        <f>IF(A87="","",YEAR(A87))</f>
        <v/>
      </c>
      <c r="I87" s="30" t="inlineStr">
        <is>
          <t>Sim</t>
        </is>
      </c>
    </row>
    <row r="88">
      <c r="A88" s="33" t="n">
        <v>46218</v>
      </c>
      <c r="B88" s="30" t="inlineStr">
        <is>
          <t>Bruno</t>
        </is>
      </c>
      <c r="C88" s="30" t="inlineStr">
        <is>
          <t>Gestão e reuniões</t>
        </is>
      </c>
      <c r="D88" s="28" t="inlineStr">
        <is>
          <t>Financeiro</t>
        </is>
      </c>
      <c r="E88" s="34" t="n">
        <v>1.5</v>
      </c>
      <c r="F88" s="25">
        <f>IF(OR(B88="",E88=""),"",E88*IFERROR(INDEX(Config!$D$11:$D$20,MATCH(B88,Config!$A$11:$A$20,0)),0))</f>
        <v/>
      </c>
      <c r="G88" s="24">
        <f>IF(A88="","",MONTH(A88))</f>
        <v/>
      </c>
      <c r="H88" s="24">
        <f>IF(A88="","",YEAR(A88))</f>
        <v/>
      </c>
      <c r="I88" s="30" t="inlineStr">
        <is>
          <t>Não</t>
        </is>
      </c>
    </row>
    <row r="89">
      <c r="A89" s="33" t="n">
        <v>46218</v>
      </c>
      <c r="B89" s="30" t="inlineStr">
        <is>
          <t>Bruno</t>
        </is>
      </c>
      <c r="C89" s="30" t="inlineStr">
        <is>
          <t>Comercial e propostas</t>
        </is>
      </c>
      <c r="D89" s="28" t="inlineStr">
        <is>
          <t>Proposta</t>
        </is>
      </c>
      <c r="E89" s="34" t="n">
        <v>5.5</v>
      </c>
      <c r="F89" s="25">
        <f>IF(OR(B89="",E89=""),"",E89*IFERROR(INDEX(Config!$D$11:$D$20,MATCH(B89,Config!$A$11:$A$20,0)),0))</f>
        <v/>
      </c>
      <c r="G89" s="24">
        <f>IF(A89="","",MONTH(A89))</f>
        <v/>
      </c>
      <c r="H89" s="24">
        <f>IF(A89="","",YEAR(A89))</f>
        <v/>
      </c>
      <c r="I89" s="30" t="inlineStr">
        <is>
          <t>Não</t>
        </is>
      </c>
    </row>
    <row r="90">
      <c r="A90" s="33" t="n">
        <v>46218</v>
      </c>
      <c r="B90" s="30" t="inlineStr">
        <is>
          <t>Carla</t>
        </is>
      </c>
      <c r="C90" s="30" t="inlineStr">
        <is>
          <t>Comercial e propostas</t>
        </is>
      </c>
      <c r="D90" s="28" t="inlineStr">
        <is>
          <t>Proposta</t>
        </is>
      </c>
      <c r="E90" s="34" t="n">
        <v>7.5</v>
      </c>
      <c r="F90" s="25">
        <f>IF(OR(B90="",E90=""),"",E90*IFERROR(INDEX(Config!$D$11:$D$20,MATCH(B90,Config!$A$11:$A$20,0)),0))</f>
        <v/>
      </c>
      <c r="G90" s="24">
        <f>IF(A90="","",MONTH(A90))</f>
        <v/>
      </c>
      <c r="H90" s="24">
        <f>IF(A90="","",YEAR(A90))</f>
        <v/>
      </c>
      <c r="I90" s="30" t="inlineStr">
        <is>
          <t>Não</t>
        </is>
      </c>
    </row>
    <row r="91">
      <c r="A91" s="33" t="n">
        <v>46218</v>
      </c>
      <c r="B91" s="30" t="inlineStr">
        <is>
          <t>Carla</t>
        </is>
      </c>
      <c r="C91" s="30" t="inlineStr">
        <is>
          <t>Gestão e reuniões</t>
        </is>
      </c>
      <c r="D91" s="28" t="inlineStr">
        <is>
          <t>Financeiro</t>
        </is>
      </c>
      <c r="E91" s="34" t="n">
        <v>1.5</v>
      </c>
      <c r="F91" s="25">
        <f>IF(OR(B91="",E91=""),"",E91*IFERROR(INDEX(Config!$D$11:$D$20,MATCH(B91,Config!$A$11:$A$20,0)),0))</f>
        <v/>
      </c>
      <c r="G91" s="24">
        <f>IF(A91="","",MONTH(A91))</f>
        <v/>
      </c>
      <c r="H91" s="24">
        <f>IF(A91="","",YEAR(A91))</f>
        <v/>
      </c>
      <c r="I91" s="30" t="inlineStr">
        <is>
          <t>Não</t>
        </is>
      </c>
    </row>
    <row r="92">
      <c r="A92" s="33" t="n">
        <v>46218</v>
      </c>
      <c r="B92" s="30" t="inlineStr">
        <is>
          <t>Diego</t>
        </is>
      </c>
      <c r="C92" s="30" t="inlineStr">
        <is>
          <t>Comercial e propostas</t>
        </is>
      </c>
      <c r="D92" s="28" t="inlineStr">
        <is>
          <t>Proposta</t>
        </is>
      </c>
      <c r="E92" s="34" t="n">
        <v>4.5</v>
      </c>
      <c r="F92" s="25">
        <f>IF(OR(B92="",E92=""),"",E92*IFERROR(INDEX(Config!$D$11:$D$20,MATCH(B92,Config!$A$11:$A$20,0)),0))</f>
        <v/>
      </c>
      <c r="G92" s="24">
        <f>IF(A92="","",MONTH(A92))</f>
        <v/>
      </c>
      <c r="H92" s="24">
        <f>IF(A92="","",YEAR(A92))</f>
        <v/>
      </c>
      <c r="I92" s="30" t="inlineStr">
        <is>
          <t>Não</t>
        </is>
      </c>
    </row>
    <row r="93">
      <c r="A93" s="33" t="n">
        <v>46218</v>
      </c>
      <c r="B93" s="30" t="inlineStr">
        <is>
          <t>Diego</t>
        </is>
      </c>
      <c r="C93" s="30" t="inlineStr">
        <is>
          <t>Gestão e reuniões</t>
        </is>
      </c>
      <c r="D93" s="28" t="inlineStr">
        <is>
          <t>Planejamento</t>
        </is>
      </c>
      <c r="E93" s="34" t="n">
        <v>2.5</v>
      </c>
      <c r="F93" s="25">
        <f>IF(OR(B93="",E93=""),"",E93*IFERROR(INDEX(Config!$D$11:$D$20,MATCH(B93,Config!$A$11:$A$20,0)),0))</f>
        <v/>
      </c>
      <c r="G93" s="24">
        <f>IF(A93="","",MONTH(A93))</f>
        <v/>
      </c>
      <c r="H93" s="24">
        <f>IF(A93="","",YEAR(A93))</f>
        <v/>
      </c>
      <c r="I93" s="30" t="inlineStr">
        <is>
          <t>Não</t>
        </is>
      </c>
    </row>
    <row r="94">
      <c r="A94" s="33" t="n">
        <v>46219</v>
      </c>
      <c r="B94" s="30" t="inlineStr">
        <is>
          <t>Ana</t>
        </is>
      </c>
      <c r="C94" s="30" t="inlineStr">
        <is>
          <t>Comercial e propostas</t>
        </is>
      </c>
      <c r="D94" s="28" t="inlineStr">
        <is>
          <t>Reunião comercial</t>
        </is>
      </c>
      <c r="E94" s="34" t="n">
        <v>5</v>
      </c>
      <c r="F94" s="25">
        <f>IF(OR(B94="",E94=""),"",E94*IFERROR(INDEX(Config!$D$11:$D$20,MATCH(B94,Config!$A$11:$A$20,0)),0))</f>
        <v/>
      </c>
      <c r="G94" s="24">
        <f>IF(A94="","",MONTH(A94))</f>
        <v/>
      </c>
      <c r="H94" s="24">
        <f>IF(A94="","",YEAR(A94))</f>
        <v/>
      </c>
      <c r="I94" s="30" t="inlineStr">
        <is>
          <t>Não</t>
        </is>
      </c>
    </row>
    <row r="95">
      <c r="A95" s="33" t="n">
        <v>46219</v>
      </c>
      <c r="B95" s="30" t="inlineStr">
        <is>
          <t>Ana</t>
        </is>
      </c>
      <c r="C95" s="30" t="inlineStr">
        <is>
          <t>Gestão e reuniões</t>
        </is>
      </c>
      <c r="D95" s="28" t="inlineStr">
        <is>
          <t>Financeiro</t>
        </is>
      </c>
      <c r="E95" s="34" t="n">
        <v>2.5</v>
      </c>
      <c r="F95" s="25">
        <f>IF(OR(B95="",E95=""),"",E95*IFERROR(INDEX(Config!$D$11:$D$20,MATCH(B95,Config!$A$11:$A$20,0)),0))</f>
        <v/>
      </c>
      <c r="G95" s="24">
        <f>IF(A95="","",MONTH(A95))</f>
        <v/>
      </c>
      <c r="H95" s="24">
        <f>IF(A95="","",YEAR(A95))</f>
        <v/>
      </c>
      <c r="I95" s="30" t="inlineStr">
        <is>
          <t>Não</t>
        </is>
      </c>
    </row>
    <row r="96">
      <c r="A96" s="33" t="n">
        <v>46219</v>
      </c>
      <c r="B96" s="30" t="inlineStr">
        <is>
          <t>Bruno</t>
        </is>
      </c>
      <c r="C96" s="30" t="inlineStr">
        <is>
          <t>Identidade visual · Padaria do Sol</t>
        </is>
      </c>
      <c r="D96" s="28" t="inlineStr">
        <is>
          <t>Aplicações</t>
        </is>
      </c>
      <c r="E96" s="34" t="n">
        <v>2</v>
      </c>
      <c r="F96" s="25">
        <f>IF(OR(B96="",E96=""),"",E96*IFERROR(INDEX(Config!$D$11:$D$20,MATCH(B96,Config!$A$11:$A$20,0)),0))</f>
        <v/>
      </c>
      <c r="G96" s="24">
        <f>IF(A96="","",MONTH(A96))</f>
        <v/>
      </c>
      <c r="H96" s="24">
        <f>IF(A96="","",YEAR(A96))</f>
        <v/>
      </c>
      <c r="I96" s="30" t="inlineStr">
        <is>
          <t>Sim</t>
        </is>
      </c>
    </row>
    <row r="97">
      <c r="A97" s="33" t="n">
        <v>46219</v>
      </c>
      <c r="B97" s="30" t="inlineStr">
        <is>
          <t>Bruno</t>
        </is>
      </c>
      <c r="C97" s="30" t="inlineStr">
        <is>
          <t>Gestão e reuniões</t>
        </is>
      </c>
      <c r="D97" s="28" t="inlineStr">
        <is>
          <t>Planejamento</t>
        </is>
      </c>
      <c r="E97" s="34" t="n">
        <v>1</v>
      </c>
      <c r="F97" s="25">
        <f>IF(OR(B97="",E97=""),"",E97*IFERROR(INDEX(Config!$D$11:$D$20,MATCH(B97,Config!$A$11:$A$20,0)),0))</f>
        <v/>
      </c>
      <c r="G97" s="24">
        <f>IF(A97="","",MONTH(A97))</f>
        <v/>
      </c>
      <c r="H97" s="24">
        <f>IF(A97="","",YEAR(A97))</f>
        <v/>
      </c>
      <c r="I97" s="30" t="inlineStr">
        <is>
          <t>Não</t>
        </is>
      </c>
    </row>
    <row r="98">
      <c r="A98" s="33" t="n">
        <v>46219</v>
      </c>
      <c r="B98" s="30" t="inlineStr">
        <is>
          <t>Bruno</t>
        </is>
      </c>
      <c r="C98" s="30" t="inlineStr">
        <is>
          <t>Comercial e propostas</t>
        </is>
      </c>
      <c r="D98" s="28" t="inlineStr">
        <is>
          <t>Proposta</t>
        </is>
      </c>
      <c r="E98" s="34" t="n">
        <v>4</v>
      </c>
      <c r="F98" s="25">
        <f>IF(OR(B98="",E98=""),"",E98*IFERROR(INDEX(Config!$D$11:$D$20,MATCH(B98,Config!$A$11:$A$20,0)),0))</f>
        <v/>
      </c>
      <c r="G98" s="24">
        <f>IF(A98="","",MONTH(A98))</f>
        <v/>
      </c>
      <c r="H98" s="24">
        <f>IF(A98="","",YEAR(A98))</f>
        <v/>
      </c>
      <c r="I98" s="30" t="inlineStr">
        <is>
          <t>Não</t>
        </is>
      </c>
    </row>
    <row r="99">
      <c r="A99" s="33" t="n">
        <v>46219</v>
      </c>
      <c r="B99" s="30" t="inlineStr">
        <is>
          <t>Carla</t>
        </is>
      </c>
      <c r="C99" s="30" t="inlineStr">
        <is>
          <t>Comercial e propostas</t>
        </is>
      </c>
      <c r="D99" s="28" t="inlineStr">
        <is>
          <t>Reunião comercial</t>
        </is>
      </c>
      <c r="E99" s="34" t="n">
        <v>6.5</v>
      </c>
      <c r="F99" s="25">
        <f>IF(OR(B99="",E99=""),"",E99*IFERROR(INDEX(Config!$D$11:$D$20,MATCH(B99,Config!$A$11:$A$20,0)),0))</f>
        <v/>
      </c>
      <c r="G99" s="24">
        <f>IF(A99="","",MONTH(A99))</f>
        <v/>
      </c>
      <c r="H99" s="24">
        <f>IF(A99="","",YEAR(A99))</f>
        <v/>
      </c>
      <c r="I99" s="30" t="inlineStr">
        <is>
          <t>Não</t>
        </is>
      </c>
    </row>
    <row r="100">
      <c r="A100" s="33" t="n">
        <v>46219</v>
      </c>
      <c r="B100" s="30" t="inlineStr">
        <is>
          <t>Carla</t>
        </is>
      </c>
      <c r="C100" s="30" t="inlineStr">
        <is>
          <t>Gestão e reuniões</t>
        </is>
      </c>
      <c r="D100" s="28" t="inlineStr">
        <is>
          <t>Planejamento</t>
        </is>
      </c>
      <c r="E100" s="34" t="n">
        <v>0.5</v>
      </c>
      <c r="F100" s="25">
        <f>IF(OR(B100="",E100=""),"",E100*IFERROR(INDEX(Config!$D$11:$D$20,MATCH(B100,Config!$A$11:$A$20,0)),0))</f>
        <v/>
      </c>
      <c r="G100" s="24">
        <f>IF(A100="","",MONTH(A100))</f>
        <v/>
      </c>
      <c r="H100" s="24">
        <f>IF(A100="","",YEAR(A100))</f>
        <v/>
      </c>
      <c r="I100" s="30" t="inlineStr">
        <is>
          <t>Não</t>
        </is>
      </c>
    </row>
    <row r="101">
      <c r="A101" s="33" t="n">
        <v>46219</v>
      </c>
      <c r="B101" s="30" t="inlineStr">
        <is>
          <t>Diego</t>
        </is>
      </c>
      <c r="C101" s="30" t="inlineStr">
        <is>
          <t>Comercial e propostas</t>
        </is>
      </c>
      <c r="D101" s="28" t="inlineStr">
        <is>
          <t>Reunião comercial</t>
        </is>
      </c>
      <c r="E101" s="34" t="n">
        <v>3.5</v>
      </c>
      <c r="F101" s="25">
        <f>IF(OR(B101="",E101=""),"",E101*IFERROR(INDEX(Config!$D$11:$D$20,MATCH(B101,Config!$A$11:$A$20,0)),0))</f>
        <v/>
      </c>
      <c r="G101" s="24">
        <f>IF(A101="","",MONTH(A101))</f>
        <v/>
      </c>
      <c r="H101" s="24">
        <f>IF(A101="","",YEAR(A101))</f>
        <v/>
      </c>
      <c r="I101" s="30" t="inlineStr">
        <is>
          <t>Não</t>
        </is>
      </c>
    </row>
    <row r="102">
      <c r="A102" s="33" t="n">
        <v>46219</v>
      </c>
      <c r="B102" s="30" t="inlineStr">
        <is>
          <t>Diego</t>
        </is>
      </c>
      <c r="C102" s="30" t="inlineStr">
        <is>
          <t>Gestão e reuniões</t>
        </is>
      </c>
      <c r="D102" s="28" t="inlineStr">
        <is>
          <t>Semanal</t>
        </is>
      </c>
      <c r="E102" s="34" t="n">
        <v>2.5</v>
      </c>
      <c r="F102" s="25">
        <f>IF(OR(B102="",E102=""),"",E102*IFERROR(INDEX(Config!$D$11:$D$20,MATCH(B102,Config!$A$11:$A$20,0)),0))</f>
        <v/>
      </c>
      <c r="G102" s="24">
        <f>IF(A102="","",MONTH(A102))</f>
        <v/>
      </c>
      <c r="H102" s="24">
        <f>IF(A102="","",YEAR(A102))</f>
        <v/>
      </c>
      <c r="I102" s="30" t="inlineStr">
        <is>
          <t>Não</t>
        </is>
      </c>
    </row>
    <row r="103">
      <c r="A103" s="33" t="n">
        <v>46220</v>
      </c>
      <c r="B103" s="30" t="inlineStr">
        <is>
          <t>Ana</t>
        </is>
      </c>
      <c r="C103" s="30" t="inlineStr">
        <is>
          <t>Comercial e propostas</t>
        </is>
      </c>
      <c r="D103" s="28" t="inlineStr">
        <is>
          <t>Proposta</t>
        </is>
      </c>
      <c r="E103" s="34" t="n">
        <v>4</v>
      </c>
      <c r="F103" s="25">
        <f>IF(OR(B103="",E103=""),"",E103*IFERROR(INDEX(Config!$D$11:$D$20,MATCH(B103,Config!$A$11:$A$20,0)),0))</f>
        <v/>
      </c>
      <c r="G103" s="24">
        <f>IF(A103="","",MONTH(A103))</f>
        <v/>
      </c>
      <c r="H103" s="24">
        <f>IF(A103="","",YEAR(A103))</f>
        <v/>
      </c>
      <c r="I103" s="30" t="inlineStr">
        <is>
          <t>Não</t>
        </is>
      </c>
    </row>
    <row r="104">
      <c r="A104" s="33" t="n">
        <v>46220</v>
      </c>
      <c r="B104" s="30" t="inlineStr">
        <is>
          <t>Ana</t>
        </is>
      </c>
      <c r="C104" s="30" t="inlineStr">
        <is>
          <t>Gestão e reuniões</t>
        </is>
      </c>
      <c r="D104" s="28" t="inlineStr">
        <is>
          <t>Financeiro</t>
        </is>
      </c>
      <c r="E104" s="34" t="n">
        <v>2.5</v>
      </c>
      <c r="F104" s="25">
        <f>IF(OR(B104="",E104=""),"",E104*IFERROR(INDEX(Config!$D$11:$D$20,MATCH(B104,Config!$A$11:$A$20,0)),0))</f>
        <v/>
      </c>
      <c r="G104" s="24">
        <f>IF(A104="","",MONTH(A104))</f>
        <v/>
      </c>
      <c r="H104" s="24">
        <f>IF(A104="","",YEAR(A104))</f>
        <v/>
      </c>
      <c r="I104" s="30" t="inlineStr">
        <is>
          <t>Não</t>
        </is>
      </c>
    </row>
    <row r="105">
      <c r="A105" s="33" t="n">
        <v>46220</v>
      </c>
      <c r="B105" s="30" t="inlineStr">
        <is>
          <t>Bruno</t>
        </is>
      </c>
      <c r="C105" s="30" t="inlineStr">
        <is>
          <t>Identidade visual · Padaria do Sol</t>
        </is>
      </c>
      <c r="D105" s="28" t="inlineStr">
        <is>
          <t>Aplicações</t>
        </is>
      </c>
      <c r="E105" s="34" t="n">
        <v>2.5</v>
      </c>
      <c r="F105" s="25">
        <f>IF(OR(B105="",E105=""),"",E105*IFERROR(INDEX(Config!$D$11:$D$20,MATCH(B105,Config!$A$11:$A$20,0)),0))</f>
        <v/>
      </c>
      <c r="G105" s="24">
        <f>IF(A105="","",MONTH(A105))</f>
        <v/>
      </c>
      <c r="H105" s="24">
        <f>IF(A105="","",YEAR(A105))</f>
        <v/>
      </c>
      <c r="I105" s="30" t="inlineStr">
        <is>
          <t>Sim</t>
        </is>
      </c>
    </row>
    <row r="106">
      <c r="A106" s="33" t="n">
        <v>46220</v>
      </c>
      <c r="B106" s="30" t="inlineStr">
        <is>
          <t>Bruno</t>
        </is>
      </c>
      <c r="C106" s="30" t="inlineStr">
        <is>
          <t>Gestão e reuniões</t>
        </is>
      </c>
      <c r="D106" s="28" t="inlineStr">
        <is>
          <t>Financeiro</t>
        </is>
      </c>
      <c r="E106" s="34" t="n">
        <v>1.5</v>
      </c>
      <c r="F106" s="25">
        <f>IF(OR(B106="",E106=""),"",E106*IFERROR(INDEX(Config!$D$11:$D$20,MATCH(B106,Config!$A$11:$A$20,0)),0))</f>
        <v/>
      </c>
      <c r="G106" s="24">
        <f>IF(A106="","",MONTH(A106))</f>
        <v/>
      </c>
      <c r="H106" s="24">
        <f>IF(A106="","",YEAR(A106))</f>
        <v/>
      </c>
      <c r="I106" s="30" t="inlineStr">
        <is>
          <t>Não</t>
        </is>
      </c>
    </row>
    <row r="107">
      <c r="A107" s="33" t="n">
        <v>46220</v>
      </c>
      <c r="B107" s="30" t="inlineStr">
        <is>
          <t>Bruno</t>
        </is>
      </c>
      <c r="C107" s="30" t="inlineStr">
        <is>
          <t>Comercial e propostas</t>
        </is>
      </c>
      <c r="D107" s="28" t="inlineStr">
        <is>
          <t>Reunião comercial</t>
        </is>
      </c>
      <c r="E107" s="34" t="n">
        <v>5</v>
      </c>
      <c r="F107" s="25">
        <f>IF(OR(B107="",E107=""),"",E107*IFERROR(INDEX(Config!$D$11:$D$20,MATCH(B107,Config!$A$11:$A$20,0)),0))</f>
        <v/>
      </c>
      <c r="G107" s="24">
        <f>IF(A107="","",MONTH(A107))</f>
        <v/>
      </c>
      <c r="H107" s="24">
        <f>IF(A107="","",YEAR(A107))</f>
        <v/>
      </c>
      <c r="I107" s="30" t="inlineStr">
        <is>
          <t>Não</t>
        </is>
      </c>
    </row>
    <row r="108">
      <c r="A108" s="33" t="n">
        <v>46220</v>
      </c>
      <c r="B108" s="30" t="inlineStr">
        <is>
          <t>Carla</t>
        </is>
      </c>
      <c r="C108" s="30" t="inlineStr">
        <is>
          <t>Comercial e propostas</t>
        </is>
      </c>
      <c r="D108" s="28" t="inlineStr">
        <is>
          <t>Proposta</t>
        </is>
      </c>
      <c r="E108" s="34" t="n">
        <v>6.5</v>
      </c>
      <c r="F108" s="25">
        <f>IF(OR(B108="",E108=""),"",E108*IFERROR(INDEX(Config!$D$11:$D$20,MATCH(B108,Config!$A$11:$A$20,0)),0))</f>
        <v/>
      </c>
      <c r="G108" s="24">
        <f>IF(A108="","",MONTH(A108))</f>
        <v/>
      </c>
      <c r="H108" s="24">
        <f>IF(A108="","",YEAR(A108))</f>
        <v/>
      </c>
      <c r="I108" s="30" t="inlineStr">
        <is>
          <t>Não</t>
        </is>
      </c>
    </row>
    <row r="109">
      <c r="A109" s="33" t="n">
        <v>46220</v>
      </c>
      <c r="B109" s="30" t="inlineStr">
        <is>
          <t>Carla</t>
        </is>
      </c>
      <c r="C109" s="30" t="inlineStr">
        <is>
          <t>Gestão e reuniões</t>
        </is>
      </c>
      <c r="D109" s="28" t="inlineStr">
        <is>
          <t>Financeiro</t>
        </is>
      </c>
      <c r="E109" s="34" t="n">
        <v>1.5</v>
      </c>
      <c r="F109" s="25">
        <f>IF(OR(B109="",E109=""),"",E109*IFERROR(INDEX(Config!$D$11:$D$20,MATCH(B109,Config!$A$11:$A$20,0)),0))</f>
        <v/>
      </c>
      <c r="G109" s="24">
        <f>IF(A109="","",MONTH(A109))</f>
        <v/>
      </c>
      <c r="H109" s="24">
        <f>IF(A109="","",YEAR(A109))</f>
        <v/>
      </c>
      <c r="I109" s="30" t="inlineStr">
        <is>
          <t>Não</t>
        </is>
      </c>
    </row>
    <row r="110">
      <c r="A110" s="33" t="n">
        <v>46220</v>
      </c>
      <c r="B110" s="30" t="inlineStr">
        <is>
          <t>Diego</t>
        </is>
      </c>
      <c r="C110" s="30" t="inlineStr">
        <is>
          <t>Comercial e propostas</t>
        </is>
      </c>
      <c r="D110" s="28" t="inlineStr">
        <is>
          <t>Reunião comercial</t>
        </is>
      </c>
      <c r="E110" s="34" t="n">
        <v>4</v>
      </c>
      <c r="F110" s="25">
        <f>IF(OR(B110="",E110=""),"",E110*IFERROR(INDEX(Config!$D$11:$D$20,MATCH(B110,Config!$A$11:$A$20,0)),0))</f>
        <v/>
      </c>
      <c r="G110" s="24">
        <f>IF(A110="","",MONTH(A110))</f>
        <v/>
      </c>
      <c r="H110" s="24">
        <f>IF(A110="","",YEAR(A110))</f>
        <v/>
      </c>
      <c r="I110" s="30" t="inlineStr">
        <is>
          <t>Não</t>
        </is>
      </c>
    </row>
    <row r="111">
      <c r="A111" s="33" t="n">
        <v>46220</v>
      </c>
      <c r="B111" s="30" t="inlineStr">
        <is>
          <t>Diego</t>
        </is>
      </c>
      <c r="C111" s="30" t="inlineStr">
        <is>
          <t>Gestão e reuniões</t>
        </is>
      </c>
      <c r="D111" s="28" t="inlineStr">
        <is>
          <t>Semanal</t>
        </is>
      </c>
      <c r="E111" s="34" t="n">
        <v>2.5</v>
      </c>
      <c r="F111" s="25">
        <f>IF(OR(B111="",E111=""),"",E111*IFERROR(INDEX(Config!$D$11:$D$20,MATCH(B111,Config!$A$11:$A$20,0)),0))</f>
        <v/>
      </c>
      <c r="G111" s="24">
        <f>IF(A111="","",MONTH(A111))</f>
        <v/>
      </c>
      <c r="H111" s="24">
        <f>IF(A111="","",YEAR(A111))</f>
        <v/>
      </c>
      <c r="I111" s="30" t="inlineStr">
        <is>
          <t>Não</t>
        </is>
      </c>
    </row>
    <row r="112">
      <c r="A112" s="33" t="n">
        <v>46223</v>
      </c>
      <c r="B112" s="30" t="inlineStr">
        <is>
          <t>Ana</t>
        </is>
      </c>
      <c r="C112" s="30" t="inlineStr">
        <is>
          <t>Comercial e propostas</t>
        </is>
      </c>
      <c r="D112" s="28" t="inlineStr">
        <is>
          <t>Proposta</t>
        </is>
      </c>
      <c r="E112" s="34" t="n">
        <v>4.5</v>
      </c>
      <c r="F112" s="25">
        <f>IF(OR(B112="",E112=""),"",E112*IFERROR(INDEX(Config!$D$11:$D$20,MATCH(B112,Config!$A$11:$A$20,0)),0))</f>
        <v/>
      </c>
      <c r="G112" s="24">
        <f>IF(A112="","",MONTH(A112))</f>
        <v/>
      </c>
      <c r="H112" s="24">
        <f>IF(A112="","",YEAR(A112))</f>
        <v/>
      </c>
      <c r="I112" s="30" t="inlineStr">
        <is>
          <t>Não</t>
        </is>
      </c>
    </row>
    <row r="113">
      <c r="A113" s="33" t="n">
        <v>46223</v>
      </c>
      <c r="B113" s="30" t="inlineStr">
        <is>
          <t>Ana</t>
        </is>
      </c>
      <c r="C113" s="30" t="inlineStr">
        <is>
          <t>Gestão e reuniões</t>
        </is>
      </c>
      <c r="D113" s="28" t="inlineStr">
        <is>
          <t>Financeiro</t>
        </is>
      </c>
      <c r="E113" s="34" t="n">
        <v>3.5</v>
      </c>
      <c r="F113" s="25">
        <f>IF(OR(B113="",E113=""),"",E113*IFERROR(INDEX(Config!$D$11:$D$20,MATCH(B113,Config!$A$11:$A$20,0)),0))</f>
        <v/>
      </c>
      <c r="G113" s="24">
        <f>IF(A113="","",MONTH(A113))</f>
        <v/>
      </c>
      <c r="H113" s="24">
        <f>IF(A113="","",YEAR(A113))</f>
        <v/>
      </c>
      <c r="I113" s="30" t="inlineStr">
        <is>
          <t>Não</t>
        </is>
      </c>
    </row>
    <row r="114">
      <c r="A114" s="33" t="n">
        <v>46223</v>
      </c>
      <c r="B114" s="30" t="inlineStr">
        <is>
          <t>Bruno</t>
        </is>
      </c>
      <c r="C114" s="30" t="inlineStr">
        <is>
          <t>Identidade visual · Padaria do Sol</t>
        </is>
      </c>
      <c r="D114" s="28" t="inlineStr">
        <is>
          <t>Aplicações</t>
        </is>
      </c>
      <c r="E114" s="34" t="n">
        <v>1.5</v>
      </c>
      <c r="F114" s="25">
        <f>IF(OR(B114="",E114=""),"",E114*IFERROR(INDEX(Config!$D$11:$D$20,MATCH(B114,Config!$A$11:$A$20,0)),0))</f>
        <v/>
      </c>
      <c r="G114" s="24">
        <f>IF(A114="","",MONTH(A114))</f>
        <v/>
      </c>
      <c r="H114" s="24">
        <f>IF(A114="","",YEAR(A114))</f>
        <v/>
      </c>
      <c r="I114" s="30" t="inlineStr">
        <is>
          <t>Sim</t>
        </is>
      </c>
    </row>
    <row r="115">
      <c r="A115" s="33" t="n">
        <v>46223</v>
      </c>
      <c r="B115" s="30" t="inlineStr">
        <is>
          <t>Bruno</t>
        </is>
      </c>
      <c r="C115" s="30" t="inlineStr">
        <is>
          <t>Gestão e reuniões</t>
        </is>
      </c>
      <c r="D115" s="28" t="inlineStr">
        <is>
          <t>Semanal</t>
        </is>
      </c>
      <c r="E115" s="34" t="n">
        <v>1.5</v>
      </c>
      <c r="F115" s="25">
        <f>IF(OR(B115="",E115=""),"",E115*IFERROR(INDEX(Config!$D$11:$D$20,MATCH(B115,Config!$A$11:$A$20,0)),0))</f>
        <v/>
      </c>
      <c r="G115" s="24">
        <f>IF(A115="","",MONTH(A115))</f>
        <v/>
      </c>
      <c r="H115" s="24">
        <f>IF(A115="","",YEAR(A115))</f>
        <v/>
      </c>
      <c r="I115" s="30" t="inlineStr">
        <is>
          <t>Não</t>
        </is>
      </c>
    </row>
    <row r="116">
      <c r="A116" s="33" t="n">
        <v>46223</v>
      </c>
      <c r="B116" s="30" t="inlineStr">
        <is>
          <t>Bruno</t>
        </is>
      </c>
      <c r="C116" s="30" t="inlineStr">
        <is>
          <t>Comercial e propostas</t>
        </is>
      </c>
      <c r="D116" s="28" t="inlineStr">
        <is>
          <t>Reunião comercial</t>
        </is>
      </c>
      <c r="E116" s="34" t="n">
        <v>6.5</v>
      </c>
      <c r="F116" s="25">
        <f>IF(OR(B116="",E116=""),"",E116*IFERROR(INDEX(Config!$D$11:$D$20,MATCH(B116,Config!$A$11:$A$20,0)),0))</f>
        <v/>
      </c>
      <c r="G116" s="24">
        <f>IF(A116="","",MONTH(A116))</f>
        <v/>
      </c>
      <c r="H116" s="24">
        <f>IF(A116="","",YEAR(A116))</f>
        <v/>
      </c>
      <c r="I116" s="30" t="inlineStr">
        <is>
          <t>Não</t>
        </is>
      </c>
    </row>
    <row r="117">
      <c r="A117" s="33" t="n">
        <v>46223</v>
      </c>
      <c r="B117" s="30" t="inlineStr">
        <is>
          <t>Carla</t>
        </is>
      </c>
      <c r="C117" s="30" t="inlineStr">
        <is>
          <t>Comercial e propostas</t>
        </is>
      </c>
      <c r="D117" s="28" t="inlineStr">
        <is>
          <t>Reunião comercial</t>
        </is>
      </c>
      <c r="E117" s="34" t="n">
        <v>7.5</v>
      </c>
      <c r="F117" s="25">
        <f>IF(OR(B117="",E117=""),"",E117*IFERROR(INDEX(Config!$D$11:$D$20,MATCH(B117,Config!$A$11:$A$20,0)),0))</f>
        <v/>
      </c>
      <c r="G117" s="24">
        <f>IF(A117="","",MONTH(A117))</f>
        <v/>
      </c>
      <c r="H117" s="24">
        <f>IF(A117="","",YEAR(A117))</f>
        <v/>
      </c>
      <c r="I117" s="30" t="inlineStr">
        <is>
          <t>Não</t>
        </is>
      </c>
    </row>
    <row r="118">
      <c r="A118" s="33" t="n">
        <v>46223</v>
      </c>
      <c r="B118" s="30" t="inlineStr">
        <is>
          <t>Carla</t>
        </is>
      </c>
      <c r="C118" s="30" t="inlineStr">
        <is>
          <t>Gestão e reuniões</t>
        </is>
      </c>
      <c r="D118" s="28" t="inlineStr">
        <is>
          <t>Planejamento</t>
        </is>
      </c>
      <c r="E118" s="34" t="n">
        <v>1.5</v>
      </c>
      <c r="F118" s="25">
        <f>IF(OR(B118="",E118=""),"",E118*IFERROR(INDEX(Config!$D$11:$D$20,MATCH(B118,Config!$A$11:$A$20,0)),0))</f>
        <v/>
      </c>
      <c r="G118" s="24">
        <f>IF(A118="","",MONTH(A118))</f>
        <v/>
      </c>
      <c r="H118" s="24">
        <f>IF(A118="","",YEAR(A118))</f>
        <v/>
      </c>
      <c r="I118" s="30" t="inlineStr">
        <is>
          <t>Não</t>
        </is>
      </c>
    </row>
    <row r="119">
      <c r="A119" s="33" t="n">
        <v>46223</v>
      </c>
      <c r="B119" s="30" t="inlineStr">
        <is>
          <t>Diego</t>
        </is>
      </c>
      <c r="C119" s="30" t="inlineStr">
        <is>
          <t>Comercial e propostas</t>
        </is>
      </c>
      <c r="D119" s="28" t="inlineStr">
        <is>
          <t>Proposta</t>
        </is>
      </c>
      <c r="E119" s="34" t="n">
        <v>4</v>
      </c>
      <c r="F119" s="25">
        <f>IF(OR(B119="",E119=""),"",E119*IFERROR(INDEX(Config!$D$11:$D$20,MATCH(B119,Config!$A$11:$A$20,0)),0))</f>
        <v/>
      </c>
      <c r="G119" s="24">
        <f>IF(A119="","",MONTH(A119))</f>
        <v/>
      </c>
      <c r="H119" s="24">
        <f>IF(A119="","",YEAR(A119))</f>
        <v/>
      </c>
      <c r="I119" s="30" t="inlineStr">
        <is>
          <t>Não</t>
        </is>
      </c>
    </row>
    <row r="120">
      <c r="A120" s="33" t="n">
        <v>46223</v>
      </c>
      <c r="B120" s="30" t="inlineStr">
        <is>
          <t>Diego</t>
        </is>
      </c>
      <c r="C120" s="30" t="inlineStr">
        <is>
          <t>Gestão e reuniões</t>
        </is>
      </c>
      <c r="D120" s="28" t="inlineStr">
        <is>
          <t>Planejamento</t>
        </is>
      </c>
      <c r="E120" s="34" t="n">
        <v>3</v>
      </c>
      <c r="F120" s="25">
        <f>IF(OR(B120="",E120=""),"",E120*IFERROR(INDEX(Config!$D$11:$D$20,MATCH(B120,Config!$A$11:$A$20,0)),0))</f>
        <v/>
      </c>
      <c r="G120" s="24">
        <f>IF(A120="","",MONTH(A120))</f>
        <v/>
      </c>
      <c r="H120" s="24">
        <f>IF(A120="","",YEAR(A120))</f>
        <v/>
      </c>
      <c r="I120" s="30" t="inlineStr">
        <is>
          <t>Não</t>
        </is>
      </c>
    </row>
    <row r="121">
      <c r="A121" s="33" t="n">
        <v>46224</v>
      </c>
      <c r="B121" s="30" t="inlineStr">
        <is>
          <t>Ana</t>
        </is>
      </c>
      <c r="C121" s="30" t="inlineStr">
        <is>
          <t>Comercial e propostas</t>
        </is>
      </c>
      <c r="D121" s="28" t="inlineStr">
        <is>
          <t>Reunião comercial</t>
        </is>
      </c>
      <c r="E121" s="34" t="n">
        <v>4</v>
      </c>
      <c r="F121" s="25">
        <f>IF(OR(B121="",E121=""),"",E121*IFERROR(INDEX(Config!$D$11:$D$20,MATCH(B121,Config!$A$11:$A$20,0)),0))</f>
        <v/>
      </c>
      <c r="G121" s="24">
        <f>IF(A121="","",MONTH(A121))</f>
        <v/>
      </c>
      <c r="H121" s="24">
        <f>IF(A121="","",YEAR(A121))</f>
        <v/>
      </c>
      <c r="I121" s="30" t="inlineStr">
        <is>
          <t>Não</t>
        </is>
      </c>
    </row>
    <row r="122">
      <c r="A122" s="33" t="n">
        <v>46224</v>
      </c>
      <c r="B122" s="30" t="inlineStr">
        <is>
          <t>Ana</t>
        </is>
      </c>
      <c r="C122" s="30" t="inlineStr">
        <is>
          <t>Gestão e reuniões</t>
        </is>
      </c>
      <c r="D122" s="28" t="inlineStr">
        <is>
          <t>Financeiro</t>
        </is>
      </c>
      <c r="E122" s="34" t="n">
        <v>2.5</v>
      </c>
      <c r="F122" s="25">
        <f>IF(OR(B122="",E122=""),"",E122*IFERROR(INDEX(Config!$D$11:$D$20,MATCH(B122,Config!$A$11:$A$20,0)),0))</f>
        <v/>
      </c>
      <c r="G122" s="24">
        <f>IF(A122="","",MONTH(A122))</f>
        <v/>
      </c>
      <c r="H122" s="24">
        <f>IF(A122="","",YEAR(A122))</f>
        <v/>
      </c>
      <c r="I122" s="30" t="inlineStr">
        <is>
          <t>Não</t>
        </is>
      </c>
    </row>
    <row r="123">
      <c r="A123" s="33" t="n">
        <v>46224</v>
      </c>
      <c r="B123" s="30" t="inlineStr">
        <is>
          <t>Bruno</t>
        </is>
      </c>
      <c r="C123" s="30" t="inlineStr">
        <is>
          <t>Identidade visual · Padaria do Sol</t>
        </is>
      </c>
      <c r="D123" s="28" t="inlineStr">
        <is>
          <t>Logo</t>
        </is>
      </c>
      <c r="E123" s="34" t="n">
        <v>2</v>
      </c>
      <c r="F123" s="25">
        <f>IF(OR(B123="",E123=""),"",E123*IFERROR(INDEX(Config!$D$11:$D$20,MATCH(B123,Config!$A$11:$A$20,0)),0))</f>
        <v/>
      </c>
      <c r="G123" s="24">
        <f>IF(A123="","",MONTH(A123))</f>
        <v/>
      </c>
      <c r="H123" s="24">
        <f>IF(A123="","",YEAR(A123))</f>
        <v/>
      </c>
      <c r="I123" s="30" t="inlineStr">
        <is>
          <t>Sim</t>
        </is>
      </c>
    </row>
    <row r="124">
      <c r="A124" s="33" t="n">
        <v>46224</v>
      </c>
      <c r="B124" s="30" t="inlineStr">
        <is>
          <t>Bruno</t>
        </is>
      </c>
      <c r="C124" s="30" t="inlineStr">
        <is>
          <t>Gestão e reuniões</t>
        </is>
      </c>
      <c r="D124" s="28" t="inlineStr">
        <is>
          <t>Financeiro</t>
        </is>
      </c>
      <c r="E124" s="34" t="n">
        <v>1.5</v>
      </c>
      <c r="F124" s="25">
        <f>IF(OR(B124="",E124=""),"",E124*IFERROR(INDEX(Config!$D$11:$D$20,MATCH(B124,Config!$A$11:$A$20,0)),0))</f>
        <v/>
      </c>
      <c r="G124" s="24">
        <f>IF(A124="","",MONTH(A124))</f>
        <v/>
      </c>
      <c r="H124" s="24">
        <f>IF(A124="","",YEAR(A124))</f>
        <v/>
      </c>
      <c r="I124" s="30" t="inlineStr">
        <is>
          <t>Não</t>
        </is>
      </c>
    </row>
    <row r="125">
      <c r="A125" s="33" t="n">
        <v>46224</v>
      </c>
      <c r="B125" s="30" t="inlineStr">
        <is>
          <t>Bruno</t>
        </is>
      </c>
      <c r="C125" s="30" t="inlineStr">
        <is>
          <t>Comercial e propostas</t>
        </is>
      </c>
      <c r="D125" s="28" t="inlineStr">
        <is>
          <t>Proposta</t>
        </is>
      </c>
      <c r="E125" s="34" t="n">
        <v>5</v>
      </c>
      <c r="F125" s="25">
        <f>IF(OR(B125="",E125=""),"",E125*IFERROR(INDEX(Config!$D$11:$D$20,MATCH(B125,Config!$A$11:$A$20,0)),0))</f>
        <v/>
      </c>
      <c r="G125" s="24">
        <f>IF(A125="","",MONTH(A125))</f>
        <v/>
      </c>
      <c r="H125" s="24">
        <f>IF(A125="","",YEAR(A125))</f>
        <v/>
      </c>
      <c r="I125" s="30" t="inlineStr">
        <is>
          <t>Não</t>
        </is>
      </c>
    </row>
    <row r="126">
      <c r="A126" s="33" t="n">
        <v>46224</v>
      </c>
      <c r="B126" s="30" t="inlineStr">
        <is>
          <t>Carla</t>
        </is>
      </c>
      <c r="C126" s="30" t="inlineStr">
        <is>
          <t>Comercial e propostas</t>
        </is>
      </c>
      <c r="D126" s="28" t="inlineStr">
        <is>
          <t>Proposta</t>
        </is>
      </c>
      <c r="E126" s="34" t="n">
        <v>9</v>
      </c>
      <c r="F126" s="25">
        <f>IF(OR(B126="",E126=""),"",E126*IFERROR(INDEX(Config!$D$11:$D$20,MATCH(B126,Config!$A$11:$A$20,0)),0))</f>
        <v/>
      </c>
      <c r="G126" s="24">
        <f>IF(A126="","",MONTH(A126))</f>
        <v/>
      </c>
      <c r="H126" s="24">
        <f>IF(A126="","",YEAR(A126))</f>
        <v/>
      </c>
      <c r="I126" s="30" t="inlineStr">
        <is>
          <t>Não</t>
        </is>
      </c>
    </row>
    <row r="127">
      <c r="A127" s="33" t="n">
        <v>46224</v>
      </c>
      <c r="B127" s="30" t="inlineStr">
        <is>
          <t>Carla</t>
        </is>
      </c>
      <c r="C127" s="30" t="inlineStr">
        <is>
          <t>Gestão e reuniões</t>
        </is>
      </c>
      <c r="D127" s="28" t="inlineStr">
        <is>
          <t>Semanal</t>
        </is>
      </c>
      <c r="E127" s="34" t="n">
        <v>1.5</v>
      </c>
      <c r="F127" s="25">
        <f>IF(OR(B127="",E127=""),"",E127*IFERROR(INDEX(Config!$D$11:$D$20,MATCH(B127,Config!$A$11:$A$20,0)),0))</f>
        <v/>
      </c>
      <c r="G127" s="24">
        <f>IF(A127="","",MONTH(A127))</f>
        <v/>
      </c>
      <c r="H127" s="24">
        <f>IF(A127="","",YEAR(A127))</f>
        <v/>
      </c>
      <c r="I127" s="30" t="inlineStr">
        <is>
          <t>Não</t>
        </is>
      </c>
    </row>
    <row r="128">
      <c r="A128" s="33" t="n">
        <v>46224</v>
      </c>
      <c r="B128" s="30" t="inlineStr">
        <is>
          <t>Diego</t>
        </is>
      </c>
      <c r="C128" s="30" t="inlineStr">
        <is>
          <t>Comercial e propostas</t>
        </is>
      </c>
      <c r="D128" s="28" t="inlineStr">
        <is>
          <t>Proposta</t>
        </is>
      </c>
      <c r="E128" s="34" t="n">
        <v>3.5</v>
      </c>
      <c r="F128" s="25">
        <f>IF(OR(B128="",E128=""),"",E128*IFERROR(INDEX(Config!$D$11:$D$20,MATCH(B128,Config!$A$11:$A$20,0)),0))</f>
        <v/>
      </c>
      <c r="G128" s="24">
        <f>IF(A128="","",MONTH(A128))</f>
        <v/>
      </c>
      <c r="H128" s="24">
        <f>IF(A128="","",YEAR(A128))</f>
        <v/>
      </c>
      <c r="I128" s="30" t="inlineStr">
        <is>
          <t>Não</t>
        </is>
      </c>
    </row>
    <row r="129">
      <c r="A129" s="33" t="n">
        <v>46224</v>
      </c>
      <c r="B129" s="30" t="inlineStr">
        <is>
          <t>Diego</t>
        </is>
      </c>
      <c r="C129" s="30" t="inlineStr">
        <is>
          <t>Gestão e reuniões</t>
        </is>
      </c>
      <c r="D129" s="28" t="inlineStr">
        <is>
          <t>Planejamento</t>
        </is>
      </c>
      <c r="E129" s="34" t="n">
        <v>4</v>
      </c>
      <c r="F129" s="25">
        <f>IF(OR(B129="",E129=""),"",E129*IFERROR(INDEX(Config!$D$11:$D$20,MATCH(B129,Config!$A$11:$A$20,0)),0))</f>
        <v/>
      </c>
      <c r="G129" s="24">
        <f>IF(A129="","",MONTH(A129))</f>
        <v/>
      </c>
      <c r="H129" s="24">
        <f>IF(A129="","",YEAR(A129))</f>
        <v/>
      </c>
      <c r="I129" s="30" t="inlineStr">
        <is>
          <t>Não</t>
        </is>
      </c>
    </row>
    <row r="130">
      <c r="A130" s="33" t="n">
        <v>46225</v>
      </c>
      <c r="B130" s="30" t="inlineStr">
        <is>
          <t>Ana</t>
        </is>
      </c>
      <c r="C130" s="30" t="inlineStr">
        <is>
          <t>Comercial e propostas</t>
        </is>
      </c>
      <c r="D130" s="28" t="inlineStr">
        <is>
          <t>Proposta</t>
        </is>
      </c>
      <c r="E130" s="34" t="n">
        <v>6.5</v>
      </c>
      <c r="F130" s="25">
        <f>IF(OR(B130="",E130=""),"",E130*IFERROR(INDEX(Config!$D$11:$D$20,MATCH(B130,Config!$A$11:$A$20,0)),0))</f>
        <v/>
      </c>
      <c r="G130" s="24">
        <f>IF(A130="","",MONTH(A130))</f>
        <v/>
      </c>
      <c r="H130" s="24">
        <f>IF(A130="","",YEAR(A130))</f>
        <v/>
      </c>
      <c r="I130" s="30" t="inlineStr">
        <is>
          <t>Não</t>
        </is>
      </c>
    </row>
    <row r="131">
      <c r="A131" s="33" t="n">
        <v>46225</v>
      </c>
      <c r="B131" s="30" t="inlineStr">
        <is>
          <t>Ana</t>
        </is>
      </c>
      <c r="C131" s="30" t="inlineStr">
        <is>
          <t>Gestão e reuniões</t>
        </is>
      </c>
      <c r="D131" s="28" t="inlineStr">
        <is>
          <t>Semanal</t>
        </is>
      </c>
      <c r="E131" s="34" t="n">
        <v>3.5</v>
      </c>
      <c r="F131" s="25">
        <f>IF(OR(B131="",E131=""),"",E131*IFERROR(INDEX(Config!$D$11:$D$20,MATCH(B131,Config!$A$11:$A$20,0)),0))</f>
        <v/>
      </c>
      <c r="G131" s="24">
        <f>IF(A131="","",MONTH(A131))</f>
        <v/>
      </c>
      <c r="H131" s="24">
        <f>IF(A131="","",YEAR(A131))</f>
        <v/>
      </c>
      <c r="I131" s="30" t="inlineStr">
        <is>
          <t>Não</t>
        </is>
      </c>
    </row>
    <row r="132">
      <c r="A132" s="33" t="n">
        <v>46225</v>
      </c>
      <c r="B132" s="30" t="inlineStr">
        <is>
          <t>Bruno</t>
        </is>
      </c>
      <c r="C132" s="30" t="inlineStr">
        <is>
          <t>Identidade visual · Padaria do Sol</t>
        </is>
      </c>
      <c r="D132" s="28" t="inlineStr">
        <is>
          <t>Logo</t>
        </is>
      </c>
      <c r="E132" s="34" t="n">
        <v>2</v>
      </c>
      <c r="F132" s="25">
        <f>IF(OR(B132="",E132=""),"",E132*IFERROR(INDEX(Config!$D$11:$D$20,MATCH(B132,Config!$A$11:$A$20,0)),0))</f>
        <v/>
      </c>
      <c r="G132" s="24">
        <f>IF(A132="","",MONTH(A132))</f>
        <v/>
      </c>
      <c r="H132" s="24">
        <f>IF(A132="","",YEAR(A132))</f>
        <v/>
      </c>
      <c r="I132" s="30" t="inlineStr">
        <is>
          <t>Sim</t>
        </is>
      </c>
    </row>
    <row r="133">
      <c r="A133" s="33" t="n">
        <v>46225</v>
      </c>
      <c r="B133" s="30" t="inlineStr">
        <is>
          <t>Bruno</t>
        </is>
      </c>
      <c r="C133" s="30" t="inlineStr">
        <is>
          <t>Gestão e reuniões</t>
        </is>
      </c>
      <c r="D133" s="28" t="inlineStr">
        <is>
          <t>Financeiro</t>
        </is>
      </c>
      <c r="E133" s="34" t="n">
        <v>1.5</v>
      </c>
      <c r="F133" s="25">
        <f>IF(OR(B133="",E133=""),"",E133*IFERROR(INDEX(Config!$D$11:$D$20,MATCH(B133,Config!$A$11:$A$20,0)),0))</f>
        <v/>
      </c>
      <c r="G133" s="24">
        <f>IF(A133="","",MONTH(A133))</f>
        <v/>
      </c>
      <c r="H133" s="24">
        <f>IF(A133="","",YEAR(A133))</f>
        <v/>
      </c>
      <c r="I133" s="30" t="inlineStr">
        <is>
          <t>Não</t>
        </is>
      </c>
    </row>
    <row r="134">
      <c r="A134" s="33" t="n">
        <v>46225</v>
      </c>
      <c r="B134" s="30" t="inlineStr">
        <is>
          <t>Bruno</t>
        </is>
      </c>
      <c r="C134" s="30" t="inlineStr">
        <is>
          <t>Comercial e propostas</t>
        </is>
      </c>
      <c r="D134" s="28" t="inlineStr">
        <is>
          <t>Proposta</t>
        </is>
      </c>
      <c r="E134" s="34" t="n">
        <v>5.5</v>
      </c>
      <c r="F134" s="25">
        <f>IF(OR(B134="",E134=""),"",E134*IFERROR(INDEX(Config!$D$11:$D$20,MATCH(B134,Config!$A$11:$A$20,0)),0))</f>
        <v/>
      </c>
      <c r="G134" s="24">
        <f>IF(A134="","",MONTH(A134))</f>
        <v/>
      </c>
      <c r="H134" s="24">
        <f>IF(A134="","",YEAR(A134))</f>
        <v/>
      </c>
      <c r="I134" s="30" t="inlineStr">
        <is>
          <t>Não</t>
        </is>
      </c>
    </row>
    <row r="135">
      <c r="A135" s="33" t="n">
        <v>46225</v>
      </c>
      <c r="B135" s="30" t="inlineStr">
        <is>
          <t>Carla</t>
        </is>
      </c>
      <c r="C135" s="30" t="inlineStr">
        <is>
          <t>Comercial e propostas</t>
        </is>
      </c>
      <c r="D135" s="28" t="inlineStr">
        <is>
          <t>Reunião comercial</t>
        </is>
      </c>
      <c r="E135" s="34" t="n">
        <v>5</v>
      </c>
      <c r="F135" s="25">
        <f>IF(OR(B135="",E135=""),"",E135*IFERROR(INDEX(Config!$D$11:$D$20,MATCH(B135,Config!$A$11:$A$20,0)),0))</f>
        <v/>
      </c>
      <c r="G135" s="24">
        <f>IF(A135="","",MONTH(A135))</f>
        <v/>
      </c>
      <c r="H135" s="24">
        <f>IF(A135="","",YEAR(A135))</f>
        <v/>
      </c>
      <c r="I135" s="30" t="inlineStr">
        <is>
          <t>Não</t>
        </is>
      </c>
    </row>
    <row r="136">
      <c r="A136" s="33" t="n">
        <v>46225</v>
      </c>
      <c r="B136" s="30" t="inlineStr">
        <is>
          <t>Carla</t>
        </is>
      </c>
      <c r="C136" s="30" t="inlineStr">
        <is>
          <t>Gestão e reuniões</t>
        </is>
      </c>
      <c r="D136" s="28" t="inlineStr">
        <is>
          <t>Planejamento</t>
        </is>
      </c>
      <c r="E136" s="34" t="n">
        <v>1</v>
      </c>
      <c r="F136" s="25">
        <f>IF(OR(B136="",E136=""),"",E136*IFERROR(INDEX(Config!$D$11:$D$20,MATCH(B136,Config!$A$11:$A$20,0)),0))</f>
        <v/>
      </c>
      <c r="G136" s="24">
        <f>IF(A136="","",MONTH(A136))</f>
        <v/>
      </c>
      <c r="H136" s="24">
        <f>IF(A136="","",YEAR(A136))</f>
        <v/>
      </c>
      <c r="I136" s="30" t="inlineStr">
        <is>
          <t>Não</t>
        </is>
      </c>
    </row>
    <row r="137">
      <c r="A137" s="33" t="n">
        <v>46225</v>
      </c>
      <c r="B137" s="30" t="inlineStr">
        <is>
          <t>Diego</t>
        </is>
      </c>
      <c r="C137" s="30" t="inlineStr">
        <is>
          <t>Comercial e propostas</t>
        </is>
      </c>
      <c r="D137" s="28" t="inlineStr">
        <is>
          <t>Proposta</t>
        </is>
      </c>
      <c r="E137" s="34" t="n">
        <v>4.5</v>
      </c>
      <c r="F137" s="25">
        <f>IF(OR(B137="",E137=""),"",E137*IFERROR(INDEX(Config!$D$11:$D$20,MATCH(B137,Config!$A$11:$A$20,0)),0))</f>
        <v/>
      </c>
      <c r="G137" s="24">
        <f>IF(A137="","",MONTH(A137))</f>
        <v/>
      </c>
      <c r="H137" s="24">
        <f>IF(A137="","",YEAR(A137))</f>
        <v/>
      </c>
      <c r="I137" s="30" t="inlineStr">
        <is>
          <t>Não</t>
        </is>
      </c>
    </row>
    <row r="138">
      <c r="A138" s="33" t="n">
        <v>46225</v>
      </c>
      <c r="B138" s="30" t="inlineStr">
        <is>
          <t>Diego</t>
        </is>
      </c>
      <c r="C138" s="30" t="inlineStr">
        <is>
          <t>Gestão e reuniões</t>
        </is>
      </c>
      <c r="D138" s="28" t="inlineStr">
        <is>
          <t>Planejamento</t>
        </is>
      </c>
      <c r="E138" s="34" t="n">
        <v>3.5</v>
      </c>
      <c r="F138" s="25">
        <f>IF(OR(B138="",E138=""),"",E138*IFERROR(INDEX(Config!$D$11:$D$20,MATCH(B138,Config!$A$11:$A$20,0)),0))</f>
        <v/>
      </c>
      <c r="G138" s="24">
        <f>IF(A138="","",MONTH(A138))</f>
        <v/>
      </c>
      <c r="H138" s="24">
        <f>IF(A138="","",YEAR(A138))</f>
        <v/>
      </c>
      <c r="I138" s="30" t="inlineStr">
        <is>
          <t>Não</t>
        </is>
      </c>
    </row>
    <row r="139">
      <c r="A139" s="33" t="n">
        <v>46226</v>
      </c>
      <c r="B139" s="30" t="inlineStr">
        <is>
          <t>Ana</t>
        </is>
      </c>
      <c r="C139" s="30" t="inlineStr">
        <is>
          <t>Comercial e propostas</t>
        </is>
      </c>
      <c r="D139" s="28" t="inlineStr">
        <is>
          <t>Reunião comercial</t>
        </is>
      </c>
      <c r="E139" s="34" t="n">
        <v>3.5</v>
      </c>
      <c r="F139" s="25">
        <f>IF(OR(B139="",E139=""),"",E139*IFERROR(INDEX(Config!$D$11:$D$20,MATCH(B139,Config!$A$11:$A$20,0)),0))</f>
        <v/>
      </c>
      <c r="G139" s="24">
        <f>IF(A139="","",MONTH(A139))</f>
        <v/>
      </c>
      <c r="H139" s="24">
        <f>IF(A139="","",YEAR(A139))</f>
        <v/>
      </c>
      <c r="I139" s="30" t="inlineStr">
        <is>
          <t>Não</t>
        </is>
      </c>
    </row>
    <row r="140">
      <c r="A140" s="33" t="n">
        <v>46226</v>
      </c>
      <c r="B140" s="30" t="inlineStr">
        <is>
          <t>Ana</t>
        </is>
      </c>
      <c r="C140" s="30" t="inlineStr">
        <is>
          <t>Gestão e reuniões</t>
        </is>
      </c>
      <c r="D140" s="28" t="inlineStr">
        <is>
          <t>Financeiro</t>
        </is>
      </c>
      <c r="E140" s="34" t="n">
        <v>2</v>
      </c>
      <c r="F140" s="25">
        <f>IF(OR(B140="",E140=""),"",E140*IFERROR(INDEX(Config!$D$11:$D$20,MATCH(B140,Config!$A$11:$A$20,0)),0))</f>
        <v/>
      </c>
      <c r="G140" s="24">
        <f>IF(A140="","",MONTH(A140))</f>
        <v/>
      </c>
      <c r="H140" s="24">
        <f>IF(A140="","",YEAR(A140))</f>
        <v/>
      </c>
      <c r="I140" s="30" t="inlineStr">
        <is>
          <t>Não</t>
        </is>
      </c>
    </row>
    <row r="141">
      <c r="A141" s="33" t="n">
        <v>46226</v>
      </c>
      <c r="B141" s="30" t="inlineStr">
        <is>
          <t>Bruno</t>
        </is>
      </c>
      <c r="C141" s="30" t="inlineStr">
        <is>
          <t>Identidade visual · Padaria do Sol</t>
        </is>
      </c>
      <c r="D141" s="28" t="inlineStr">
        <is>
          <t>Logo</t>
        </is>
      </c>
      <c r="E141" s="34" t="n">
        <v>1.5</v>
      </c>
      <c r="F141" s="25">
        <f>IF(OR(B141="",E141=""),"",E141*IFERROR(INDEX(Config!$D$11:$D$20,MATCH(B141,Config!$A$11:$A$20,0)),0))</f>
        <v/>
      </c>
      <c r="G141" s="24">
        <f>IF(A141="","",MONTH(A141))</f>
        <v/>
      </c>
      <c r="H141" s="24">
        <f>IF(A141="","",YEAR(A141))</f>
        <v/>
      </c>
      <c r="I141" s="30" t="inlineStr">
        <is>
          <t>Sim</t>
        </is>
      </c>
    </row>
    <row r="142">
      <c r="A142" s="33" t="n">
        <v>46226</v>
      </c>
      <c r="B142" s="30" t="inlineStr">
        <is>
          <t>Bruno</t>
        </is>
      </c>
      <c r="C142" s="30" t="inlineStr">
        <is>
          <t>Gestão e reuniões</t>
        </is>
      </c>
      <c r="D142" s="28" t="inlineStr">
        <is>
          <t>Planejamento</t>
        </is>
      </c>
      <c r="E142" s="34" t="n">
        <v>1</v>
      </c>
      <c r="F142" s="25">
        <f>IF(OR(B142="",E142=""),"",E142*IFERROR(INDEX(Config!$D$11:$D$20,MATCH(B142,Config!$A$11:$A$20,0)),0))</f>
        <v/>
      </c>
      <c r="G142" s="24">
        <f>IF(A142="","",MONTH(A142))</f>
        <v/>
      </c>
      <c r="H142" s="24">
        <f>IF(A142="","",YEAR(A142))</f>
        <v/>
      </c>
      <c r="I142" s="30" t="inlineStr">
        <is>
          <t>Não</t>
        </is>
      </c>
    </row>
    <row r="143">
      <c r="A143" s="33" t="n">
        <v>46226</v>
      </c>
      <c r="B143" s="30" t="inlineStr">
        <is>
          <t>Bruno</t>
        </is>
      </c>
      <c r="C143" s="30" t="inlineStr">
        <is>
          <t>Comercial e propostas</t>
        </is>
      </c>
      <c r="D143" s="28" t="inlineStr">
        <is>
          <t>Reunião comercial</t>
        </is>
      </c>
      <c r="E143" s="34" t="n">
        <v>5</v>
      </c>
      <c r="F143" s="25">
        <f>IF(OR(B143="",E143=""),"",E143*IFERROR(INDEX(Config!$D$11:$D$20,MATCH(B143,Config!$A$11:$A$20,0)),0))</f>
        <v/>
      </c>
      <c r="G143" s="24">
        <f>IF(A143="","",MONTH(A143))</f>
        <v/>
      </c>
      <c r="H143" s="24">
        <f>IF(A143="","",YEAR(A143))</f>
        <v/>
      </c>
      <c r="I143" s="30" t="inlineStr">
        <is>
          <t>Não</t>
        </is>
      </c>
    </row>
    <row r="144">
      <c r="A144" s="33" t="n">
        <v>46226</v>
      </c>
      <c r="B144" s="30" t="inlineStr">
        <is>
          <t>Carla</t>
        </is>
      </c>
      <c r="C144" s="30" t="inlineStr">
        <is>
          <t>Comercial e propostas</t>
        </is>
      </c>
      <c r="D144" s="28" t="inlineStr">
        <is>
          <t>Proposta</t>
        </is>
      </c>
      <c r="E144" s="34" t="n">
        <v>6</v>
      </c>
      <c r="F144" s="25">
        <f>IF(OR(B144="",E144=""),"",E144*IFERROR(INDEX(Config!$D$11:$D$20,MATCH(B144,Config!$A$11:$A$20,0)),0))</f>
        <v/>
      </c>
      <c r="G144" s="24">
        <f>IF(A144="","",MONTH(A144))</f>
        <v/>
      </c>
      <c r="H144" s="24">
        <f>IF(A144="","",YEAR(A144))</f>
        <v/>
      </c>
      <c r="I144" s="30" t="inlineStr">
        <is>
          <t>Não</t>
        </is>
      </c>
    </row>
    <row r="145">
      <c r="A145" s="33" t="n">
        <v>46226</v>
      </c>
      <c r="B145" s="30" t="inlineStr">
        <is>
          <t>Carla</t>
        </is>
      </c>
      <c r="C145" s="30" t="inlineStr">
        <is>
          <t>Gestão e reuniões</t>
        </is>
      </c>
      <c r="D145" s="28" t="inlineStr">
        <is>
          <t>Planejamento</t>
        </is>
      </c>
      <c r="E145" s="34" t="n">
        <v>1</v>
      </c>
      <c r="F145" s="25">
        <f>IF(OR(B145="",E145=""),"",E145*IFERROR(INDEX(Config!$D$11:$D$20,MATCH(B145,Config!$A$11:$A$20,0)),0))</f>
        <v/>
      </c>
      <c r="G145" s="24">
        <f>IF(A145="","",MONTH(A145))</f>
        <v/>
      </c>
      <c r="H145" s="24">
        <f>IF(A145="","",YEAR(A145))</f>
        <v/>
      </c>
      <c r="I145" s="30" t="inlineStr">
        <is>
          <t>Não</t>
        </is>
      </c>
    </row>
    <row r="146">
      <c r="A146" s="33" t="n">
        <v>46226</v>
      </c>
      <c r="B146" s="30" t="inlineStr">
        <is>
          <t>Diego</t>
        </is>
      </c>
      <c r="C146" s="30" t="inlineStr">
        <is>
          <t>Comercial e propostas</t>
        </is>
      </c>
      <c r="D146" s="28" t="inlineStr">
        <is>
          <t>Proposta</t>
        </is>
      </c>
      <c r="E146" s="34" t="n">
        <v>3.5</v>
      </c>
      <c r="F146" s="25">
        <f>IF(OR(B146="",E146=""),"",E146*IFERROR(INDEX(Config!$D$11:$D$20,MATCH(B146,Config!$A$11:$A$20,0)),0))</f>
        <v/>
      </c>
      <c r="G146" s="24">
        <f>IF(A146="","",MONTH(A146))</f>
        <v/>
      </c>
      <c r="H146" s="24">
        <f>IF(A146="","",YEAR(A146))</f>
        <v/>
      </c>
      <c r="I146" s="30" t="inlineStr">
        <is>
          <t>Não</t>
        </is>
      </c>
    </row>
    <row r="147">
      <c r="A147" s="33" t="n">
        <v>46226</v>
      </c>
      <c r="B147" s="30" t="inlineStr">
        <is>
          <t>Diego</t>
        </is>
      </c>
      <c r="C147" s="30" t="inlineStr">
        <is>
          <t>Gestão e reuniões</t>
        </is>
      </c>
      <c r="D147" s="28" t="inlineStr">
        <is>
          <t>Semanal</t>
        </is>
      </c>
      <c r="E147" s="34" t="n">
        <v>4.5</v>
      </c>
      <c r="F147" s="25">
        <f>IF(OR(B147="",E147=""),"",E147*IFERROR(INDEX(Config!$D$11:$D$20,MATCH(B147,Config!$A$11:$A$20,0)),0))</f>
        <v/>
      </c>
      <c r="G147" s="24">
        <f>IF(A147="","",MONTH(A147))</f>
        <v/>
      </c>
      <c r="H147" s="24">
        <f>IF(A147="","",YEAR(A147))</f>
        <v/>
      </c>
      <c r="I147" s="30" t="inlineStr">
        <is>
          <t>Não</t>
        </is>
      </c>
    </row>
    <row r="148">
      <c r="A148" s="33" t="n">
        <v>46227</v>
      </c>
      <c r="B148" s="30" t="inlineStr">
        <is>
          <t>Ana</t>
        </is>
      </c>
      <c r="C148" s="30" t="inlineStr">
        <is>
          <t>Comercial e propostas</t>
        </is>
      </c>
      <c r="D148" s="28" t="inlineStr">
        <is>
          <t>Reunião comercial</t>
        </is>
      </c>
      <c r="E148" s="34" t="n">
        <v>4.5</v>
      </c>
      <c r="F148" s="25">
        <f>IF(OR(B148="",E148=""),"",E148*IFERROR(INDEX(Config!$D$11:$D$20,MATCH(B148,Config!$A$11:$A$20,0)),0))</f>
        <v/>
      </c>
      <c r="G148" s="24">
        <f>IF(A148="","",MONTH(A148))</f>
        <v/>
      </c>
      <c r="H148" s="24">
        <f>IF(A148="","",YEAR(A148))</f>
        <v/>
      </c>
      <c r="I148" s="30" t="inlineStr">
        <is>
          <t>Não</t>
        </is>
      </c>
    </row>
    <row r="149">
      <c r="A149" s="33" t="n">
        <v>46227</v>
      </c>
      <c r="B149" s="30" t="inlineStr">
        <is>
          <t>Ana</t>
        </is>
      </c>
      <c r="C149" s="30" t="inlineStr">
        <is>
          <t>Gestão e reuniões</t>
        </is>
      </c>
      <c r="D149" s="28" t="inlineStr">
        <is>
          <t>Planejamento</t>
        </is>
      </c>
      <c r="E149" s="34" t="n">
        <v>2</v>
      </c>
      <c r="F149" s="25">
        <f>IF(OR(B149="",E149=""),"",E149*IFERROR(INDEX(Config!$D$11:$D$20,MATCH(B149,Config!$A$11:$A$20,0)),0))</f>
        <v/>
      </c>
      <c r="G149" s="24">
        <f>IF(A149="","",MONTH(A149))</f>
        <v/>
      </c>
      <c r="H149" s="24">
        <f>IF(A149="","",YEAR(A149))</f>
        <v/>
      </c>
      <c r="I149" s="30" t="inlineStr">
        <is>
          <t>Não</t>
        </is>
      </c>
    </row>
    <row r="150">
      <c r="A150" s="33" t="n">
        <v>46227</v>
      </c>
      <c r="B150" s="30" t="inlineStr">
        <is>
          <t>Bruno</t>
        </is>
      </c>
      <c r="C150" s="30" t="inlineStr">
        <is>
          <t>Identidade visual · Padaria do Sol</t>
        </is>
      </c>
      <c r="D150" s="28" t="inlineStr">
        <is>
          <t>Manual</t>
        </is>
      </c>
      <c r="E150" s="34" t="n">
        <v>1.5</v>
      </c>
      <c r="F150" s="25">
        <f>IF(OR(B150="",E150=""),"",E150*IFERROR(INDEX(Config!$D$11:$D$20,MATCH(B150,Config!$A$11:$A$20,0)),0))</f>
        <v/>
      </c>
      <c r="G150" s="24">
        <f>IF(A150="","",MONTH(A150))</f>
        <v/>
      </c>
      <c r="H150" s="24">
        <f>IF(A150="","",YEAR(A150))</f>
        <v/>
      </c>
      <c r="I150" s="30" t="inlineStr">
        <is>
          <t>Sim</t>
        </is>
      </c>
    </row>
    <row r="151">
      <c r="A151" s="33" t="n">
        <v>46227</v>
      </c>
      <c r="B151" s="30" t="inlineStr">
        <is>
          <t>Bruno</t>
        </is>
      </c>
      <c r="C151" s="30" t="inlineStr">
        <is>
          <t>Gestão e reuniões</t>
        </is>
      </c>
      <c r="D151" s="28" t="inlineStr">
        <is>
          <t>Financeiro</t>
        </is>
      </c>
      <c r="E151" s="34" t="n">
        <v>1</v>
      </c>
      <c r="F151" s="25">
        <f>IF(OR(B151="",E151=""),"",E151*IFERROR(INDEX(Config!$D$11:$D$20,MATCH(B151,Config!$A$11:$A$20,0)),0))</f>
        <v/>
      </c>
      <c r="G151" s="24">
        <f>IF(A151="","",MONTH(A151))</f>
        <v/>
      </c>
      <c r="H151" s="24">
        <f>IF(A151="","",YEAR(A151))</f>
        <v/>
      </c>
      <c r="I151" s="30" t="inlineStr">
        <is>
          <t>Não</t>
        </is>
      </c>
    </row>
    <row r="152">
      <c r="A152" s="33" t="n">
        <v>46227</v>
      </c>
      <c r="B152" s="30" t="inlineStr">
        <is>
          <t>Bruno</t>
        </is>
      </c>
      <c r="C152" s="30" t="inlineStr">
        <is>
          <t>Comercial e propostas</t>
        </is>
      </c>
      <c r="D152" s="28" t="inlineStr">
        <is>
          <t>Reunião comercial</t>
        </is>
      </c>
      <c r="E152" s="34" t="n">
        <v>5</v>
      </c>
      <c r="F152" s="25">
        <f>IF(OR(B152="",E152=""),"",E152*IFERROR(INDEX(Config!$D$11:$D$20,MATCH(B152,Config!$A$11:$A$20,0)),0))</f>
        <v/>
      </c>
      <c r="G152" s="24">
        <f>IF(A152="","",MONTH(A152))</f>
        <v/>
      </c>
      <c r="H152" s="24">
        <f>IF(A152="","",YEAR(A152))</f>
        <v/>
      </c>
      <c r="I152" s="30" t="inlineStr">
        <is>
          <t>Não</t>
        </is>
      </c>
    </row>
    <row r="153">
      <c r="A153" s="33" t="n">
        <v>46227</v>
      </c>
      <c r="B153" s="30" t="inlineStr">
        <is>
          <t>Carla</t>
        </is>
      </c>
      <c r="C153" s="30" t="inlineStr">
        <is>
          <t>Comercial e propostas</t>
        </is>
      </c>
      <c r="D153" s="28" t="inlineStr">
        <is>
          <t>Proposta</t>
        </is>
      </c>
      <c r="E153" s="34" t="n">
        <v>6.5</v>
      </c>
      <c r="F153" s="25">
        <f>IF(OR(B153="",E153=""),"",E153*IFERROR(INDEX(Config!$D$11:$D$20,MATCH(B153,Config!$A$11:$A$20,0)),0))</f>
        <v/>
      </c>
      <c r="G153" s="24">
        <f>IF(A153="","",MONTH(A153))</f>
        <v/>
      </c>
      <c r="H153" s="24">
        <f>IF(A153="","",YEAR(A153))</f>
        <v/>
      </c>
      <c r="I153" s="30" t="inlineStr">
        <is>
          <t>Não</t>
        </is>
      </c>
    </row>
    <row r="154">
      <c r="A154" s="33" t="n">
        <v>46227</v>
      </c>
      <c r="B154" s="30" t="inlineStr">
        <is>
          <t>Carla</t>
        </is>
      </c>
      <c r="C154" s="30" t="inlineStr">
        <is>
          <t>Gestão e reuniões</t>
        </is>
      </c>
      <c r="D154" s="28" t="inlineStr">
        <is>
          <t>Semanal</t>
        </is>
      </c>
      <c r="E154" s="34" t="n">
        <v>1</v>
      </c>
      <c r="F154" s="25">
        <f>IF(OR(B154="",E154=""),"",E154*IFERROR(INDEX(Config!$D$11:$D$20,MATCH(B154,Config!$A$11:$A$20,0)),0))</f>
        <v/>
      </c>
      <c r="G154" s="24">
        <f>IF(A154="","",MONTH(A154))</f>
        <v/>
      </c>
      <c r="H154" s="24">
        <f>IF(A154="","",YEAR(A154))</f>
        <v/>
      </c>
      <c r="I154" s="30" t="inlineStr">
        <is>
          <t>Não</t>
        </is>
      </c>
    </row>
    <row r="155">
      <c r="A155" s="33" t="n">
        <v>46227</v>
      </c>
      <c r="B155" s="30" t="inlineStr">
        <is>
          <t>Diego</t>
        </is>
      </c>
      <c r="C155" s="30" t="inlineStr">
        <is>
          <t>Comercial e propostas</t>
        </is>
      </c>
      <c r="D155" s="28" t="inlineStr">
        <is>
          <t>Proposta</t>
        </is>
      </c>
      <c r="E155" s="34" t="n">
        <v>5</v>
      </c>
      <c r="F155" s="25">
        <f>IF(OR(B155="",E155=""),"",E155*IFERROR(INDEX(Config!$D$11:$D$20,MATCH(B155,Config!$A$11:$A$20,0)),0))</f>
        <v/>
      </c>
      <c r="G155" s="24">
        <f>IF(A155="","",MONTH(A155))</f>
        <v/>
      </c>
      <c r="H155" s="24">
        <f>IF(A155="","",YEAR(A155))</f>
        <v/>
      </c>
      <c r="I155" s="30" t="inlineStr">
        <is>
          <t>Não</t>
        </is>
      </c>
    </row>
    <row r="156">
      <c r="A156" s="33" t="n">
        <v>46227</v>
      </c>
      <c r="B156" s="30" t="inlineStr">
        <is>
          <t>Diego</t>
        </is>
      </c>
      <c r="C156" s="30" t="inlineStr">
        <is>
          <t>Gestão e reuniões</t>
        </is>
      </c>
      <c r="D156" s="28" t="inlineStr">
        <is>
          <t>Planejamento</t>
        </is>
      </c>
      <c r="E156" s="34" t="n">
        <v>3.5</v>
      </c>
      <c r="F156" s="25">
        <f>IF(OR(B156="",E156=""),"",E156*IFERROR(INDEX(Config!$D$11:$D$20,MATCH(B156,Config!$A$11:$A$20,0)),0))</f>
        <v/>
      </c>
      <c r="G156" s="24">
        <f>IF(A156="","",MONTH(A156))</f>
        <v/>
      </c>
      <c r="H156" s="24">
        <f>IF(A156="","",YEAR(A156))</f>
        <v/>
      </c>
      <c r="I156" s="30" t="inlineStr">
        <is>
          <t>Não</t>
        </is>
      </c>
    </row>
    <row r="157">
      <c r="A157" s="33" t="n">
        <v>46230</v>
      </c>
      <c r="B157" s="30" t="inlineStr">
        <is>
          <t>Ana</t>
        </is>
      </c>
      <c r="C157" s="30" t="inlineStr">
        <is>
          <t>Comercial e propostas</t>
        </is>
      </c>
      <c r="D157" s="28" t="inlineStr">
        <is>
          <t>Reunião comercial</t>
        </is>
      </c>
      <c r="E157" s="34" t="n">
        <v>7</v>
      </c>
      <c r="F157" s="25">
        <f>IF(OR(B157="",E157=""),"",E157*IFERROR(INDEX(Config!$D$11:$D$20,MATCH(B157,Config!$A$11:$A$20,0)),0))</f>
        <v/>
      </c>
      <c r="G157" s="24">
        <f>IF(A157="","",MONTH(A157))</f>
        <v/>
      </c>
      <c r="H157" s="24">
        <f>IF(A157="","",YEAR(A157))</f>
        <v/>
      </c>
      <c r="I157" s="30" t="inlineStr">
        <is>
          <t>Não</t>
        </is>
      </c>
    </row>
    <row r="158">
      <c r="A158" s="33" t="n">
        <v>46230</v>
      </c>
      <c r="B158" s="30" t="inlineStr">
        <is>
          <t>Ana</t>
        </is>
      </c>
      <c r="C158" s="30" t="inlineStr">
        <is>
          <t>Gestão e reuniões</t>
        </is>
      </c>
      <c r="D158" s="28" t="inlineStr">
        <is>
          <t>Planejamento</t>
        </is>
      </c>
      <c r="E158" s="34" t="n">
        <v>2.5</v>
      </c>
      <c r="F158" s="25">
        <f>IF(OR(B158="",E158=""),"",E158*IFERROR(INDEX(Config!$D$11:$D$20,MATCH(B158,Config!$A$11:$A$20,0)),0))</f>
        <v/>
      </c>
      <c r="G158" s="24">
        <f>IF(A158="","",MONTH(A158))</f>
        <v/>
      </c>
      <c r="H158" s="24">
        <f>IF(A158="","",YEAR(A158))</f>
        <v/>
      </c>
      <c r="I158" s="30" t="inlineStr">
        <is>
          <t>Não</t>
        </is>
      </c>
    </row>
    <row r="159">
      <c r="A159" s="33" t="n">
        <v>46230</v>
      </c>
      <c r="B159" s="30" t="inlineStr">
        <is>
          <t>Bruno</t>
        </is>
      </c>
      <c r="C159" s="30" t="inlineStr">
        <is>
          <t>Identidade visual · Padaria do Sol</t>
        </is>
      </c>
      <c r="D159" s="28" t="inlineStr">
        <is>
          <t>Manual</t>
        </is>
      </c>
      <c r="E159" s="34" t="n">
        <v>2</v>
      </c>
      <c r="F159" s="25">
        <f>IF(OR(B159="",E159=""),"",E159*IFERROR(INDEX(Config!$D$11:$D$20,MATCH(B159,Config!$A$11:$A$20,0)),0))</f>
        <v/>
      </c>
      <c r="G159" s="24">
        <f>IF(A159="","",MONTH(A159))</f>
        <v/>
      </c>
      <c r="H159" s="24">
        <f>IF(A159="","",YEAR(A159))</f>
        <v/>
      </c>
      <c r="I159" s="30" t="inlineStr">
        <is>
          <t>Sim</t>
        </is>
      </c>
    </row>
    <row r="160">
      <c r="A160" s="33" t="n">
        <v>46230</v>
      </c>
      <c r="B160" s="30" t="inlineStr">
        <is>
          <t>Bruno</t>
        </is>
      </c>
      <c r="C160" s="30" t="inlineStr">
        <is>
          <t>Gestão e reuniões</t>
        </is>
      </c>
      <c r="D160" s="28" t="inlineStr">
        <is>
          <t>Financeiro</t>
        </is>
      </c>
      <c r="E160" s="34" t="n">
        <v>1.5</v>
      </c>
      <c r="F160" s="25">
        <f>IF(OR(B160="",E160=""),"",E160*IFERROR(INDEX(Config!$D$11:$D$20,MATCH(B160,Config!$A$11:$A$20,0)),0))</f>
        <v/>
      </c>
      <c r="G160" s="24">
        <f>IF(A160="","",MONTH(A160))</f>
        <v/>
      </c>
      <c r="H160" s="24">
        <f>IF(A160="","",YEAR(A160))</f>
        <v/>
      </c>
      <c r="I160" s="30" t="inlineStr">
        <is>
          <t>Não</t>
        </is>
      </c>
    </row>
    <row r="161">
      <c r="A161" s="33" t="n">
        <v>46230</v>
      </c>
      <c r="B161" s="30" t="inlineStr">
        <is>
          <t>Bruno</t>
        </is>
      </c>
      <c r="C161" s="30" t="inlineStr">
        <is>
          <t>Comercial e propostas</t>
        </is>
      </c>
      <c r="D161" s="28" t="inlineStr">
        <is>
          <t>Proposta</t>
        </is>
      </c>
      <c r="E161" s="34" t="n">
        <v>5.5</v>
      </c>
      <c r="F161" s="25">
        <f>IF(OR(B161="",E161=""),"",E161*IFERROR(INDEX(Config!$D$11:$D$20,MATCH(B161,Config!$A$11:$A$20,0)),0))</f>
        <v/>
      </c>
      <c r="G161" s="24">
        <f>IF(A161="","",MONTH(A161))</f>
        <v/>
      </c>
      <c r="H161" s="24">
        <f>IF(A161="","",YEAR(A161))</f>
        <v/>
      </c>
      <c r="I161" s="30" t="inlineStr">
        <is>
          <t>Não</t>
        </is>
      </c>
    </row>
    <row r="162">
      <c r="A162" s="33" t="n">
        <v>46230</v>
      </c>
      <c r="B162" s="30" t="inlineStr">
        <is>
          <t>Carla</t>
        </is>
      </c>
      <c r="C162" s="30" t="inlineStr">
        <is>
          <t>Comercial e propostas</t>
        </is>
      </c>
      <c r="D162" s="28" t="inlineStr">
        <is>
          <t>Reunião comercial</t>
        </is>
      </c>
      <c r="E162" s="34" t="n">
        <v>6.5</v>
      </c>
      <c r="F162" s="25">
        <f>IF(OR(B162="",E162=""),"",E162*IFERROR(INDEX(Config!$D$11:$D$20,MATCH(B162,Config!$A$11:$A$20,0)),0))</f>
        <v/>
      </c>
      <c r="G162" s="24">
        <f>IF(A162="","",MONTH(A162))</f>
        <v/>
      </c>
      <c r="H162" s="24">
        <f>IF(A162="","",YEAR(A162))</f>
        <v/>
      </c>
      <c r="I162" s="30" t="inlineStr">
        <is>
          <t>Não</t>
        </is>
      </c>
    </row>
    <row r="163">
      <c r="A163" s="33" t="n">
        <v>46230</v>
      </c>
      <c r="B163" s="30" t="inlineStr">
        <is>
          <t>Carla</t>
        </is>
      </c>
      <c r="C163" s="30" t="inlineStr">
        <is>
          <t>Gestão e reuniões</t>
        </is>
      </c>
      <c r="D163" s="28" t="inlineStr">
        <is>
          <t>Planejamento</t>
        </is>
      </c>
      <c r="E163" s="34" t="n">
        <v>1.5</v>
      </c>
      <c r="F163" s="25">
        <f>IF(OR(B163="",E163=""),"",E163*IFERROR(INDEX(Config!$D$11:$D$20,MATCH(B163,Config!$A$11:$A$20,0)),0))</f>
        <v/>
      </c>
      <c r="G163" s="24">
        <f>IF(A163="","",MONTH(A163))</f>
        <v/>
      </c>
      <c r="H163" s="24">
        <f>IF(A163="","",YEAR(A163))</f>
        <v/>
      </c>
      <c r="I163" s="30" t="inlineStr">
        <is>
          <t>Não</t>
        </is>
      </c>
    </row>
    <row r="164">
      <c r="A164" s="33" t="n">
        <v>46230</v>
      </c>
      <c r="B164" s="30" t="inlineStr">
        <is>
          <t>Diego</t>
        </is>
      </c>
      <c r="C164" s="30" t="inlineStr">
        <is>
          <t>Comercial e propostas</t>
        </is>
      </c>
      <c r="D164" s="28" t="inlineStr">
        <is>
          <t>Reunião comercial</t>
        </is>
      </c>
      <c r="E164" s="34" t="n">
        <v>3.5</v>
      </c>
      <c r="F164" s="25">
        <f>IF(OR(B164="",E164=""),"",E164*IFERROR(INDEX(Config!$D$11:$D$20,MATCH(B164,Config!$A$11:$A$20,0)),0))</f>
        <v/>
      </c>
      <c r="G164" s="24">
        <f>IF(A164="","",MONTH(A164))</f>
        <v/>
      </c>
      <c r="H164" s="24">
        <f>IF(A164="","",YEAR(A164))</f>
        <v/>
      </c>
      <c r="I164" s="30" t="inlineStr">
        <is>
          <t>Não</t>
        </is>
      </c>
    </row>
    <row r="165">
      <c r="A165" s="33" t="n">
        <v>46230</v>
      </c>
      <c r="B165" s="30" t="inlineStr">
        <is>
          <t>Diego</t>
        </is>
      </c>
      <c r="C165" s="30" t="inlineStr">
        <is>
          <t>Gestão e reuniões</t>
        </is>
      </c>
      <c r="D165" s="28" t="inlineStr">
        <is>
          <t>Financeiro</t>
        </is>
      </c>
      <c r="E165" s="34" t="n">
        <v>3.5</v>
      </c>
      <c r="F165" s="25">
        <f>IF(OR(B165="",E165=""),"",E165*IFERROR(INDEX(Config!$D$11:$D$20,MATCH(B165,Config!$A$11:$A$20,0)),0))</f>
        <v/>
      </c>
      <c r="G165" s="24">
        <f>IF(A165="","",MONTH(A165))</f>
        <v/>
      </c>
      <c r="H165" s="24">
        <f>IF(A165="","",YEAR(A165))</f>
        <v/>
      </c>
      <c r="I165" s="30" t="inlineStr">
        <is>
          <t>Não</t>
        </is>
      </c>
    </row>
    <row r="166">
      <c r="A166" s="33" t="n">
        <v>46231</v>
      </c>
      <c r="B166" s="30" t="inlineStr">
        <is>
          <t>Ana</t>
        </is>
      </c>
      <c r="C166" s="30" t="inlineStr">
        <is>
          <t>Comercial e propostas</t>
        </is>
      </c>
      <c r="D166" s="28" t="inlineStr">
        <is>
          <t>Proposta</t>
        </is>
      </c>
      <c r="E166" s="34" t="n">
        <v>7</v>
      </c>
      <c r="F166" s="25">
        <f>IF(OR(B166="",E166=""),"",E166*IFERROR(INDEX(Config!$D$11:$D$20,MATCH(B166,Config!$A$11:$A$20,0)),0))</f>
        <v/>
      </c>
      <c r="G166" s="24">
        <f>IF(A166="","",MONTH(A166))</f>
        <v/>
      </c>
      <c r="H166" s="24">
        <f>IF(A166="","",YEAR(A166))</f>
        <v/>
      </c>
      <c r="I166" s="30" t="inlineStr">
        <is>
          <t>Não</t>
        </is>
      </c>
    </row>
    <row r="167">
      <c r="A167" s="33" t="n">
        <v>46231</v>
      </c>
      <c r="B167" s="30" t="inlineStr">
        <is>
          <t>Ana</t>
        </is>
      </c>
      <c r="C167" s="30" t="inlineStr">
        <is>
          <t>Gestão e reuniões</t>
        </is>
      </c>
      <c r="D167" s="28" t="inlineStr">
        <is>
          <t>Semanal</t>
        </is>
      </c>
      <c r="E167" s="34" t="n">
        <v>3</v>
      </c>
      <c r="F167" s="25">
        <f>IF(OR(B167="",E167=""),"",E167*IFERROR(INDEX(Config!$D$11:$D$20,MATCH(B167,Config!$A$11:$A$20,0)),0))</f>
        <v/>
      </c>
      <c r="G167" s="24">
        <f>IF(A167="","",MONTH(A167))</f>
        <v/>
      </c>
      <c r="H167" s="24">
        <f>IF(A167="","",YEAR(A167))</f>
        <v/>
      </c>
      <c r="I167" s="30" t="inlineStr">
        <is>
          <t>Não</t>
        </is>
      </c>
    </row>
    <row r="168">
      <c r="A168" s="33" t="n">
        <v>46231</v>
      </c>
      <c r="B168" s="30" t="inlineStr">
        <is>
          <t>Bruno</t>
        </is>
      </c>
      <c r="C168" s="30" t="inlineStr">
        <is>
          <t>Identidade visual · Padaria do Sol</t>
        </is>
      </c>
      <c r="D168" s="28" t="inlineStr">
        <is>
          <t>Manual</t>
        </is>
      </c>
      <c r="E168" s="34" t="n">
        <v>2</v>
      </c>
      <c r="F168" s="25">
        <f>IF(OR(B168="",E168=""),"",E168*IFERROR(INDEX(Config!$D$11:$D$20,MATCH(B168,Config!$A$11:$A$20,0)),0))</f>
        <v/>
      </c>
      <c r="G168" s="24">
        <f>IF(A168="","",MONTH(A168))</f>
        <v/>
      </c>
      <c r="H168" s="24">
        <f>IF(A168="","",YEAR(A168))</f>
        <v/>
      </c>
      <c r="I168" s="30" t="inlineStr">
        <is>
          <t>Sim</t>
        </is>
      </c>
    </row>
    <row r="169">
      <c r="A169" s="33" t="n">
        <v>46231</v>
      </c>
      <c r="B169" s="30" t="inlineStr">
        <is>
          <t>Bruno</t>
        </is>
      </c>
      <c r="C169" s="30" t="inlineStr">
        <is>
          <t>Gestão e reuniões</t>
        </is>
      </c>
      <c r="D169" s="28" t="inlineStr">
        <is>
          <t>Financeiro</t>
        </is>
      </c>
      <c r="E169" s="34" t="n">
        <v>1</v>
      </c>
      <c r="F169" s="25">
        <f>IF(OR(B169="",E169=""),"",E169*IFERROR(INDEX(Config!$D$11:$D$20,MATCH(B169,Config!$A$11:$A$20,0)),0))</f>
        <v/>
      </c>
      <c r="G169" s="24">
        <f>IF(A169="","",MONTH(A169))</f>
        <v/>
      </c>
      <c r="H169" s="24">
        <f>IF(A169="","",YEAR(A169))</f>
        <v/>
      </c>
      <c r="I169" s="30" t="inlineStr">
        <is>
          <t>Não</t>
        </is>
      </c>
    </row>
    <row r="170">
      <c r="A170" s="33" t="n">
        <v>46231</v>
      </c>
      <c r="B170" s="30" t="inlineStr">
        <is>
          <t>Bruno</t>
        </is>
      </c>
      <c r="C170" s="30" t="inlineStr">
        <is>
          <t>Comercial e propostas</t>
        </is>
      </c>
      <c r="D170" s="28" t="inlineStr">
        <is>
          <t>Proposta</t>
        </is>
      </c>
      <c r="E170" s="34" t="n">
        <v>5</v>
      </c>
      <c r="F170" s="25">
        <f>IF(OR(B170="",E170=""),"",E170*IFERROR(INDEX(Config!$D$11:$D$20,MATCH(B170,Config!$A$11:$A$20,0)),0))</f>
        <v/>
      </c>
      <c r="G170" s="24">
        <f>IF(A170="","",MONTH(A170))</f>
        <v/>
      </c>
      <c r="H170" s="24">
        <f>IF(A170="","",YEAR(A170))</f>
        <v/>
      </c>
      <c r="I170" s="30" t="inlineStr">
        <is>
          <t>Não</t>
        </is>
      </c>
    </row>
    <row r="171">
      <c r="A171" s="33" t="n">
        <v>46231</v>
      </c>
      <c r="B171" s="30" t="inlineStr">
        <is>
          <t>Carla</t>
        </is>
      </c>
      <c r="C171" s="30" t="inlineStr">
        <is>
          <t>Comercial e propostas</t>
        </is>
      </c>
      <c r="D171" s="28" t="inlineStr">
        <is>
          <t>Proposta</t>
        </is>
      </c>
      <c r="E171" s="34" t="n">
        <v>6.5</v>
      </c>
      <c r="F171" s="25">
        <f>IF(OR(B171="",E171=""),"",E171*IFERROR(INDEX(Config!$D$11:$D$20,MATCH(B171,Config!$A$11:$A$20,0)),0))</f>
        <v/>
      </c>
      <c r="G171" s="24">
        <f>IF(A171="","",MONTH(A171))</f>
        <v/>
      </c>
      <c r="H171" s="24">
        <f>IF(A171="","",YEAR(A171))</f>
        <v/>
      </c>
      <c r="I171" s="30" t="inlineStr">
        <is>
          <t>Não</t>
        </is>
      </c>
    </row>
    <row r="172">
      <c r="A172" s="33" t="n">
        <v>46231</v>
      </c>
      <c r="B172" s="30" t="inlineStr">
        <is>
          <t>Carla</t>
        </is>
      </c>
      <c r="C172" s="30" t="inlineStr">
        <is>
          <t>Gestão e reuniões</t>
        </is>
      </c>
      <c r="D172" s="28" t="inlineStr">
        <is>
          <t>Financeiro</t>
        </is>
      </c>
      <c r="E172" s="34" t="n">
        <v>1</v>
      </c>
      <c r="F172" s="25">
        <f>IF(OR(B172="",E172=""),"",E172*IFERROR(INDEX(Config!$D$11:$D$20,MATCH(B172,Config!$A$11:$A$20,0)),0))</f>
        <v/>
      </c>
      <c r="G172" s="24">
        <f>IF(A172="","",MONTH(A172))</f>
        <v/>
      </c>
      <c r="H172" s="24">
        <f>IF(A172="","",YEAR(A172))</f>
        <v/>
      </c>
      <c r="I172" s="30" t="inlineStr">
        <is>
          <t>Não</t>
        </is>
      </c>
    </row>
    <row r="173">
      <c r="A173" s="33" t="n">
        <v>46231</v>
      </c>
      <c r="B173" s="30" t="inlineStr">
        <is>
          <t>Diego</t>
        </is>
      </c>
      <c r="C173" s="30" t="inlineStr">
        <is>
          <t>Comercial e propostas</t>
        </is>
      </c>
      <c r="D173" s="28" t="inlineStr">
        <is>
          <t>Proposta</t>
        </is>
      </c>
      <c r="E173" s="34" t="n">
        <v>5</v>
      </c>
      <c r="F173" s="25">
        <f>IF(OR(B173="",E173=""),"",E173*IFERROR(INDEX(Config!$D$11:$D$20,MATCH(B173,Config!$A$11:$A$20,0)),0))</f>
        <v/>
      </c>
      <c r="G173" s="24">
        <f>IF(A173="","",MONTH(A173))</f>
        <v/>
      </c>
      <c r="H173" s="24">
        <f>IF(A173="","",YEAR(A173))</f>
        <v/>
      </c>
      <c r="I173" s="30" t="inlineStr">
        <is>
          <t>Não</t>
        </is>
      </c>
    </row>
    <row r="174">
      <c r="A174" s="33" t="n">
        <v>46231</v>
      </c>
      <c r="B174" s="30" t="inlineStr">
        <is>
          <t>Diego</t>
        </is>
      </c>
      <c r="C174" s="30" t="inlineStr">
        <is>
          <t>Gestão e reuniões</t>
        </is>
      </c>
      <c r="D174" s="28" t="inlineStr">
        <is>
          <t>Planejamento</t>
        </is>
      </c>
      <c r="E174" s="34" t="n">
        <v>3.5</v>
      </c>
      <c r="F174" s="25">
        <f>IF(OR(B174="",E174=""),"",E174*IFERROR(INDEX(Config!$D$11:$D$20,MATCH(B174,Config!$A$11:$A$20,0)),0))</f>
        <v/>
      </c>
      <c r="G174" s="24">
        <f>IF(A174="","",MONTH(A174))</f>
        <v/>
      </c>
      <c r="H174" s="24">
        <f>IF(A174="","",YEAR(A174))</f>
        <v/>
      </c>
      <c r="I174" s="30" t="inlineStr">
        <is>
          <t>Não</t>
        </is>
      </c>
    </row>
    <row r="175">
      <c r="A175" s="33" t="n">
        <v>46232</v>
      </c>
      <c r="B175" s="30" t="inlineStr">
        <is>
          <t>Ana</t>
        </is>
      </c>
      <c r="C175" s="30" t="inlineStr">
        <is>
          <t>Comercial e propostas</t>
        </is>
      </c>
      <c r="D175" s="28" t="inlineStr">
        <is>
          <t>Reunião comercial</t>
        </is>
      </c>
      <c r="E175" s="34" t="n">
        <v>3</v>
      </c>
      <c r="F175" s="25">
        <f>IF(OR(B175="",E175=""),"",E175*IFERROR(INDEX(Config!$D$11:$D$20,MATCH(B175,Config!$A$11:$A$20,0)),0))</f>
        <v/>
      </c>
      <c r="G175" s="24">
        <f>IF(A175="","",MONTH(A175))</f>
        <v/>
      </c>
      <c r="H175" s="24">
        <f>IF(A175="","",YEAR(A175))</f>
        <v/>
      </c>
      <c r="I175" s="30" t="inlineStr">
        <is>
          <t>Não</t>
        </is>
      </c>
    </row>
    <row r="176">
      <c r="A176" s="33" t="n">
        <v>46232</v>
      </c>
      <c r="B176" s="30" t="inlineStr">
        <is>
          <t>Ana</t>
        </is>
      </c>
      <c r="C176" s="30" t="inlineStr">
        <is>
          <t>Gestão e reuniões</t>
        </is>
      </c>
      <c r="D176" s="28" t="inlineStr">
        <is>
          <t>Financeiro</t>
        </is>
      </c>
      <c r="E176" s="34" t="n">
        <v>2.5</v>
      </c>
      <c r="F176" s="25">
        <f>IF(OR(B176="",E176=""),"",E176*IFERROR(INDEX(Config!$D$11:$D$20,MATCH(B176,Config!$A$11:$A$20,0)),0))</f>
        <v/>
      </c>
      <c r="G176" s="24">
        <f>IF(A176="","",MONTH(A176))</f>
        <v/>
      </c>
      <c r="H176" s="24">
        <f>IF(A176="","",YEAR(A176))</f>
        <v/>
      </c>
      <c r="I176" s="30" t="inlineStr">
        <is>
          <t>Não</t>
        </is>
      </c>
    </row>
    <row r="177">
      <c r="A177" s="33" t="n">
        <v>46232</v>
      </c>
      <c r="B177" s="30" t="inlineStr">
        <is>
          <t>Bruno</t>
        </is>
      </c>
      <c r="C177" s="30" t="inlineStr">
        <is>
          <t>Identidade visual · Padaria do Sol</t>
        </is>
      </c>
      <c r="D177" s="28" t="inlineStr">
        <is>
          <t>Aplicações</t>
        </is>
      </c>
      <c r="E177" s="34" t="n">
        <v>1.5</v>
      </c>
      <c r="F177" s="25">
        <f>IF(OR(B177="",E177=""),"",E177*IFERROR(INDEX(Config!$D$11:$D$20,MATCH(B177,Config!$A$11:$A$20,0)),0))</f>
        <v/>
      </c>
      <c r="G177" s="24">
        <f>IF(A177="","",MONTH(A177))</f>
        <v/>
      </c>
      <c r="H177" s="24">
        <f>IF(A177="","",YEAR(A177))</f>
        <v/>
      </c>
      <c r="I177" s="30" t="inlineStr">
        <is>
          <t>Sim</t>
        </is>
      </c>
    </row>
    <row r="178">
      <c r="A178" s="33" t="n">
        <v>46232</v>
      </c>
      <c r="B178" s="30" t="inlineStr">
        <is>
          <t>Bruno</t>
        </is>
      </c>
      <c r="C178" s="30" t="inlineStr">
        <is>
          <t>Gestão e reuniões</t>
        </is>
      </c>
      <c r="D178" s="28" t="inlineStr">
        <is>
          <t>Financeiro</t>
        </is>
      </c>
      <c r="E178" s="34" t="n">
        <v>1</v>
      </c>
      <c r="F178" s="25">
        <f>IF(OR(B178="",E178=""),"",E178*IFERROR(INDEX(Config!$D$11:$D$20,MATCH(B178,Config!$A$11:$A$20,0)),0))</f>
        <v/>
      </c>
      <c r="G178" s="24">
        <f>IF(A178="","",MONTH(A178))</f>
        <v/>
      </c>
      <c r="H178" s="24">
        <f>IF(A178="","",YEAR(A178))</f>
        <v/>
      </c>
      <c r="I178" s="30" t="inlineStr">
        <is>
          <t>Não</t>
        </is>
      </c>
    </row>
    <row r="179">
      <c r="A179" s="33" t="n">
        <v>46232</v>
      </c>
      <c r="B179" s="30" t="inlineStr">
        <is>
          <t>Bruno</t>
        </is>
      </c>
      <c r="C179" s="30" t="inlineStr">
        <is>
          <t>Comercial e propostas</t>
        </is>
      </c>
      <c r="D179" s="28" t="inlineStr">
        <is>
          <t>Reunião comercial</t>
        </is>
      </c>
      <c r="E179" s="34" t="n">
        <v>5.5</v>
      </c>
      <c r="F179" s="25">
        <f>IF(OR(B179="",E179=""),"",E179*IFERROR(INDEX(Config!$D$11:$D$20,MATCH(B179,Config!$A$11:$A$20,0)),0))</f>
        <v/>
      </c>
      <c r="G179" s="24">
        <f>IF(A179="","",MONTH(A179))</f>
        <v/>
      </c>
      <c r="H179" s="24">
        <f>IF(A179="","",YEAR(A179))</f>
        <v/>
      </c>
      <c r="I179" s="30" t="inlineStr">
        <is>
          <t>Não</t>
        </is>
      </c>
    </row>
    <row r="180">
      <c r="A180" s="33" t="n">
        <v>46232</v>
      </c>
      <c r="B180" s="30" t="inlineStr">
        <is>
          <t>Carla</t>
        </is>
      </c>
      <c r="C180" s="30" t="inlineStr">
        <is>
          <t>Comercial e propostas</t>
        </is>
      </c>
      <c r="D180" s="28" t="inlineStr">
        <is>
          <t>Proposta</t>
        </is>
      </c>
      <c r="E180" s="34" t="n">
        <v>6</v>
      </c>
      <c r="F180" s="25">
        <f>IF(OR(B180="",E180=""),"",E180*IFERROR(INDEX(Config!$D$11:$D$20,MATCH(B180,Config!$A$11:$A$20,0)),0))</f>
        <v/>
      </c>
      <c r="G180" s="24">
        <f>IF(A180="","",MONTH(A180))</f>
        <v/>
      </c>
      <c r="H180" s="24">
        <f>IF(A180="","",YEAR(A180))</f>
        <v/>
      </c>
      <c r="I180" s="30" t="inlineStr">
        <is>
          <t>Não</t>
        </is>
      </c>
    </row>
    <row r="181">
      <c r="A181" s="33" t="n">
        <v>46232</v>
      </c>
      <c r="B181" s="30" t="inlineStr">
        <is>
          <t>Carla</t>
        </is>
      </c>
      <c r="C181" s="30" t="inlineStr">
        <is>
          <t>Gestão e reuniões</t>
        </is>
      </c>
      <c r="D181" s="28" t="inlineStr">
        <is>
          <t>Semanal</t>
        </is>
      </c>
      <c r="E181" s="34" t="n">
        <v>1</v>
      </c>
      <c r="F181" s="25">
        <f>IF(OR(B181="",E181=""),"",E181*IFERROR(INDEX(Config!$D$11:$D$20,MATCH(B181,Config!$A$11:$A$20,0)),0))</f>
        <v/>
      </c>
      <c r="G181" s="24">
        <f>IF(A181="","",MONTH(A181))</f>
        <v/>
      </c>
      <c r="H181" s="24">
        <f>IF(A181="","",YEAR(A181))</f>
        <v/>
      </c>
      <c r="I181" s="30" t="inlineStr">
        <is>
          <t>Não</t>
        </is>
      </c>
    </row>
    <row r="182">
      <c r="A182" s="33" t="n">
        <v>46232</v>
      </c>
      <c r="B182" s="30" t="inlineStr">
        <is>
          <t>Diego</t>
        </is>
      </c>
      <c r="C182" s="30" t="inlineStr">
        <is>
          <t>Comercial e propostas</t>
        </is>
      </c>
      <c r="D182" s="28" t="inlineStr">
        <is>
          <t>Proposta</t>
        </is>
      </c>
      <c r="E182" s="34" t="n">
        <v>3</v>
      </c>
      <c r="F182" s="25">
        <f>IF(OR(B182="",E182=""),"",E182*IFERROR(INDEX(Config!$D$11:$D$20,MATCH(B182,Config!$A$11:$A$20,0)),0))</f>
        <v/>
      </c>
      <c r="G182" s="24">
        <f>IF(A182="","",MONTH(A182))</f>
        <v/>
      </c>
      <c r="H182" s="24">
        <f>IF(A182="","",YEAR(A182))</f>
        <v/>
      </c>
      <c r="I182" s="30" t="inlineStr">
        <is>
          <t>Não</t>
        </is>
      </c>
    </row>
    <row r="183">
      <c r="A183" s="33" t="n">
        <v>46232</v>
      </c>
      <c r="B183" s="30" t="inlineStr">
        <is>
          <t>Diego</t>
        </is>
      </c>
      <c r="C183" s="30" t="inlineStr">
        <is>
          <t>Gestão e reuniões</t>
        </is>
      </c>
      <c r="D183" s="28" t="inlineStr">
        <is>
          <t>Semanal</t>
        </is>
      </c>
      <c r="E183" s="34" t="n">
        <v>2.5</v>
      </c>
      <c r="F183" s="25">
        <f>IF(OR(B183="",E183=""),"",E183*IFERROR(INDEX(Config!$D$11:$D$20,MATCH(B183,Config!$A$11:$A$20,0)),0))</f>
        <v/>
      </c>
      <c r="G183" s="24">
        <f>IF(A183="","",MONTH(A183))</f>
        <v/>
      </c>
      <c r="H183" s="24">
        <f>IF(A183="","",YEAR(A183))</f>
        <v/>
      </c>
      <c r="I183" s="30" t="inlineStr">
        <is>
          <t>Não</t>
        </is>
      </c>
    </row>
    <row r="184">
      <c r="A184" s="33" t="n">
        <v>46233</v>
      </c>
      <c r="B184" s="30" t="inlineStr">
        <is>
          <t>Ana</t>
        </is>
      </c>
      <c r="C184" s="30" t="inlineStr">
        <is>
          <t>Comercial e propostas</t>
        </is>
      </c>
      <c r="D184" s="28" t="inlineStr">
        <is>
          <t>Reunião comercial</t>
        </is>
      </c>
      <c r="E184" s="34" t="n">
        <v>3</v>
      </c>
      <c r="F184" s="25">
        <f>IF(OR(B184="",E184=""),"",E184*IFERROR(INDEX(Config!$D$11:$D$20,MATCH(B184,Config!$A$11:$A$20,0)),0))</f>
        <v/>
      </c>
      <c r="G184" s="24">
        <f>IF(A184="","",MONTH(A184))</f>
        <v/>
      </c>
      <c r="H184" s="24">
        <f>IF(A184="","",YEAR(A184))</f>
        <v/>
      </c>
      <c r="I184" s="30" t="inlineStr">
        <is>
          <t>Não</t>
        </is>
      </c>
    </row>
    <row r="185">
      <c r="A185" s="33" t="n">
        <v>46233</v>
      </c>
      <c r="B185" s="30" t="inlineStr">
        <is>
          <t>Ana</t>
        </is>
      </c>
      <c r="C185" s="30" t="inlineStr">
        <is>
          <t>Gestão e reuniões</t>
        </is>
      </c>
      <c r="D185" s="28" t="inlineStr">
        <is>
          <t>Financeiro</t>
        </is>
      </c>
      <c r="E185" s="34" t="n">
        <v>2.5</v>
      </c>
      <c r="F185" s="25">
        <f>IF(OR(B185="",E185=""),"",E185*IFERROR(INDEX(Config!$D$11:$D$20,MATCH(B185,Config!$A$11:$A$20,0)),0))</f>
        <v/>
      </c>
      <c r="G185" s="24">
        <f>IF(A185="","",MONTH(A185))</f>
        <v/>
      </c>
      <c r="H185" s="24">
        <f>IF(A185="","",YEAR(A185))</f>
        <v/>
      </c>
      <c r="I185" s="30" t="inlineStr">
        <is>
          <t>Não</t>
        </is>
      </c>
    </row>
    <row r="186">
      <c r="A186" s="33" t="n">
        <v>46233</v>
      </c>
      <c r="B186" s="30" t="inlineStr">
        <is>
          <t>Bruno</t>
        </is>
      </c>
      <c r="C186" s="30" t="inlineStr">
        <is>
          <t>Identidade visual · Padaria do Sol</t>
        </is>
      </c>
      <c r="D186" s="28" t="inlineStr">
        <is>
          <t>Logo</t>
        </is>
      </c>
      <c r="E186" s="34" t="n">
        <v>1.5</v>
      </c>
      <c r="F186" s="25">
        <f>IF(OR(B186="",E186=""),"",E186*IFERROR(INDEX(Config!$D$11:$D$20,MATCH(B186,Config!$A$11:$A$20,0)),0))</f>
        <v/>
      </c>
      <c r="G186" s="24">
        <f>IF(A186="","",MONTH(A186))</f>
        <v/>
      </c>
      <c r="H186" s="24">
        <f>IF(A186="","",YEAR(A186))</f>
        <v/>
      </c>
      <c r="I186" s="30" t="inlineStr">
        <is>
          <t>Sim</t>
        </is>
      </c>
    </row>
    <row r="187">
      <c r="A187" s="33" t="n">
        <v>46233</v>
      </c>
      <c r="B187" s="30" t="inlineStr">
        <is>
          <t>Bruno</t>
        </is>
      </c>
      <c r="C187" s="30" t="inlineStr">
        <is>
          <t>Gestão e reuniões</t>
        </is>
      </c>
      <c r="D187" s="28" t="inlineStr">
        <is>
          <t>Planejamento</t>
        </is>
      </c>
      <c r="E187" s="34" t="n">
        <v>1</v>
      </c>
      <c r="F187" s="25">
        <f>IF(OR(B187="",E187=""),"",E187*IFERROR(INDEX(Config!$D$11:$D$20,MATCH(B187,Config!$A$11:$A$20,0)),0))</f>
        <v/>
      </c>
      <c r="G187" s="24">
        <f>IF(A187="","",MONTH(A187))</f>
        <v/>
      </c>
      <c r="H187" s="24">
        <f>IF(A187="","",YEAR(A187))</f>
        <v/>
      </c>
      <c r="I187" s="30" t="inlineStr">
        <is>
          <t>Não</t>
        </is>
      </c>
    </row>
    <row r="188">
      <c r="A188" s="33" t="n">
        <v>46233</v>
      </c>
      <c r="B188" s="30" t="inlineStr">
        <is>
          <t>Bruno</t>
        </is>
      </c>
      <c r="C188" s="30" t="inlineStr">
        <is>
          <t>Comercial e propostas</t>
        </is>
      </c>
      <c r="D188" s="28" t="inlineStr">
        <is>
          <t>Reunião comercial</t>
        </is>
      </c>
      <c r="E188" s="34" t="n">
        <v>3.5</v>
      </c>
      <c r="F188" s="25">
        <f>IF(OR(B188="",E188=""),"",E188*IFERROR(INDEX(Config!$D$11:$D$20,MATCH(B188,Config!$A$11:$A$20,0)),0))</f>
        <v/>
      </c>
      <c r="G188" s="24">
        <f>IF(A188="","",MONTH(A188))</f>
        <v/>
      </c>
      <c r="H188" s="24">
        <f>IF(A188="","",YEAR(A188))</f>
        <v/>
      </c>
      <c r="I188" s="30" t="inlineStr">
        <is>
          <t>Não</t>
        </is>
      </c>
    </row>
    <row r="189">
      <c r="A189" s="33" t="n">
        <v>46233</v>
      </c>
      <c r="B189" s="30" t="inlineStr">
        <is>
          <t>Carla</t>
        </is>
      </c>
      <c r="C189" s="30" t="inlineStr">
        <is>
          <t>Comercial e propostas</t>
        </is>
      </c>
      <c r="D189" s="28" t="inlineStr">
        <is>
          <t>Reunião comercial</t>
        </is>
      </c>
      <c r="E189" s="34" t="n">
        <v>6</v>
      </c>
      <c r="F189" s="25">
        <f>IF(OR(B189="",E189=""),"",E189*IFERROR(INDEX(Config!$D$11:$D$20,MATCH(B189,Config!$A$11:$A$20,0)),0))</f>
        <v/>
      </c>
      <c r="G189" s="24">
        <f>IF(A189="","",MONTH(A189))</f>
        <v/>
      </c>
      <c r="H189" s="24">
        <f>IF(A189="","",YEAR(A189))</f>
        <v/>
      </c>
      <c r="I189" s="30" t="inlineStr">
        <is>
          <t>Não</t>
        </is>
      </c>
    </row>
    <row r="190">
      <c r="A190" s="33" t="n">
        <v>46233</v>
      </c>
      <c r="B190" s="30" t="inlineStr">
        <is>
          <t>Carla</t>
        </is>
      </c>
      <c r="C190" s="30" t="inlineStr">
        <is>
          <t>Gestão e reuniões</t>
        </is>
      </c>
      <c r="D190" s="28" t="inlineStr">
        <is>
          <t>Planejamento</t>
        </is>
      </c>
      <c r="E190" s="34" t="n">
        <v>1</v>
      </c>
      <c r="F190" s="25">
        <f>IF(OR(B190="",E190=""),"",E190*IFERROR(INDEX(Config!$D$11:$D$20,MATCH(B190,Config!$A$11:$A$20,0)),0))</f>
        <v/>
      </c>
      <c r="G190" s="24">
        <f>IF(A190="","",MONTH(A190))</f>
        <v/>
      </c>
      <c r="H190" s="24">
        <f>IF(A190="","",YEAR(A190))</f>
        <v/>
      </c>
      <c r="I190" s="30" t="inlineStr">
        <is>
          <t>Não</t>
        </is>
      </c>
    </row>
    <row r="191">
      <c r="A191" s="33" t="n">
        <v>46233</v>
      </c>
      <c r="B191" s="30" t="inlineStr">
        <is>
          <t>Diego</t>
        </is>
      </c>
      <c r="C191" s="30" t="inlineStr">
        <is>
          <t>Comercial e propostas</t>
        </is>
      </c>
      <c r="D191" s="28" t="inlineStr">
        <is>
          <t>Proposta</t>
        </is>
      </c>
      <c r="E191" s="34" t="n">
        <v>5.5</v>
      </c>
      <c r="F191" s="25">
        <f>IF(OR(B191="",E191=""),"",E191*IFERROR(INDEX(Config!$D$11:$D$20,MATCH(B191,Config!$A$11:$A$20,0)),0))</f>
        <v/>
      </c>
      <c r="G191" s="24">
        <f>IF(A191="","",MONTH(A191))</f>
        <v/>
      </c>
      <c r="H191" s="24">
        <f>IF(A191="","",YEAR(A191))</f>
        <v/>
      </c>
      <c r="I191" s="30" t="inlineStr">
        <is>
          <t>Não</t>
        </is>
      </c>
    </row>
    <row r="192">
      <c r="A192" s="33" t="n">
        <v>46233</v>
      </c>
      <c r="B192" s="30" t="inlineStr">
        <is>
          <t>Diego</t>
        </is>
      </c>
      <c r="C192" s="30" t="inlineStr">
        <is>
          <t>Gestão e reuniões</t>
        </is>
      </c>
      <c r="D192" s="28" t="inlineStr">
        <is>
          <t>Planejamento</t>
        </is>
      </c>
      <c r="E192" s="34" t="n">
        <v>3.5</v>
      </c>
      <c r="F192" s="25">
        <f>IF(OR(B192="",E192=""),"",E192*IFERROR(INDEX(Config!$D$11:$D$20,MATCH(B192,Config!$A$11:$A$20,0)),0))</f>
        <v/>
      </c>
      <c r="G192" s="24">
        <f>IF(A192="","",MONTH(A192))</f>
        <v/>
      </c>
      <c r="H192" s="24">
        <f>IF(A192="","",YEAR(A192))</f>
        <v/>
      </c>
      <c r="I192" s="30" t="inlineStr">
        <is>
          <t>Não</t>
        </is>
      </c>
    </row>
    <row r="193">
      <c r="A193" s="33" t="n">
        <v>46234</v>
      </c>
      <c r="B193" s="30" t="inlineStr">
        <is>
          <t>Ana</t>
        </is>
      </c>
      <c r="C193" s="30" t="inlineStr">
        <is>
          <t>Comercial e propostas</t>
        </is>
      </c>
      <c r="D193" s="28" t="inlineStr">
        <is>
          <t>Proposta</t>
        </is>
      </c>
      <c r="E193" s="34" t="n">
        <v>5.5</v>
      </c>
      <c r="F193" s="25">
        <f>IF(OR(B193="",E193=""),"",E193*IFERROR(INDEX(Config!$D$11:$D$20,MATCH(B193,Config!$A$11:$A$20,0)),0))</f>
        <v/>
      </c>
      <c r="G193" s="24">
        <f>IF(A193="","",MONTH(A193))</f>
        <v/>
      </c>
      <c r="H193" s="24">
        <f>IF(A193="","",YEAR(A193))</f>
        <v/>
      </c>
      <c r="I193" s="30" t="inlineStr">
        <is>
          <t>Não</t>
        </is>
      </c>
    </row>
    <row r="194">
      <c r="A194" s="33" t="n">
        <v>46234</v>
      </c>
      <c r="B194" s="30" t="inlineStr">
        <is>
          <t>Ana</t>
        </is>
      </c>
      <c r="C194" s="30" t="inlineStr">
        <is>
          <t>Gestão e reuniões</t>
        </is>
      </c>
      <c r="D194" s="28" t="inlineStr">
        <is>
          <t>Planejamento</t>
        </is>
      </c>
      <c r="E194" s="34" t="n">
        <v>3.5</v>
      </c>
      <c r="F194" s="25">
        <f>IF(OR(B194="",E194=""),"",E194*IFERROR(INDEX(Config!$D$11:$D$20,MATCH(B194,Config!$A$11:$A$20,0)),0))</f>
        <v/>
      </c>
      <c r="G194" s="24">
        <f>IF(A194="","",MONTH(A194))</f>
        <v/>
      </c>
      <c r="H194" s="24">
        <f>IF(A194="","",YEAR(A194))</f>
        <v/>
      </c>
      <c r="I194" s="30" t="inlineStr">
        <is>
          <t>Não</t>
        </is>
      </c>
    </row>
    <row r="195">
      <c r="A195" s="33" t="n">
        <v>46234</v>
      </c>
      <c r="B195" s="30" t="inlineStr">
        <is>
          <t>Bruno</t>
        </is>
      </c>
      <c r="C195" s="30" t="inlineStr">
        <is>
          <t>Identidade visual · Padaria do Sol</t>
        </is>
      </c>
      <c r="D195" s="28" t="inlineStr">
        <is>
          <t>Logo</t>
        </is>
      </c>
      <c r="E195" s="34" t="n">
        <v>2</v>
      </c>
      <c r="F195" s="25">
        <f>IF(OR(B195="",E195=""),"",E195*IFERROR(INDEX(Config!$D$11:$D$20,MATCH(B195,Config!$A$11:$A$20,0)),0))</f>
        <v/>
      </c>
      <c r="G195" s="24">
        <f>IF(A195="","",MONTH(A195))</f>
        <v/>
      </c>
      <c r="H195" s="24">
        <f>IF(A195="","",YEAR(A195))</f>
        <v/>
      </c>
      <c r="I195" s="30" t="inlineStr">
        <is>
          <t>Sim</t>
        </is>
      </c>
    </row>
    <row r="196">
      <c r="A196" s="33" t="n">
        <v>46234</v>
      </c>
      <c r="B196" s="30" t="inlineStr">
        <is>
          <t>Bruno</t>
        </is>
      </c>
      <c r="C196" s="30" t="inlineStr">
        <is>
          <t>Gestão e reuniões</t>
        </is>
      </c>
      <c r="D196" s="28" t="inlineStr">
        <is>
          <t>Planejamento</t>
        </is>
      </c>
      <c r="E196" s="34" t="n">
        <v>1.5</v>
      </c>
      <c r="F196" s="25">
        <f>IF(OR(B196="",E196=""),"",E196*IFERROR(INDEX(Config!$D$11:$D$20,MATCH(B196,Config!$A$11:$A$20,0)),0))</f>
        <v/>
      </c>
      <c r="G196" s="24">
        <f>IF(A196="","",MONTH(A196))</f>
        <v/>
      </c>
      <c r="H196" s="24">
        <f>IF(A196="","",YEAR(A196))</f>
        <v/>
      </c>
      <c r="I196" s="30" t="inlineStr">
        <is>
          <t>Não</t>
        </is>
      </c>
    </row>
    <row r="197">
      <c r="A197" s="33" t="n">
        <v>46234</v>
      </c>
      <c r="B197" s="30" t="inlineStr">
        <is>
          <t>Bruno</t>
        </is>
      </c>
      <c r="C197" s="30" t="inlineStr">
        <is>
          <t>Comercial e propostas</t>
        </is>
      </c>
      <c r="D197" s="28" t="inlineStr">
        <is>
          <t>Proposta</t>
        </is>
      </c>
      <c r="E197" s="34" t="n">
        <v>6</v>
      </c>
      <c r="F197" s="25">
        <f>IF(OR(B197="",E197=""),"",E197*IFERROR(INDEX(Config!$D$11:$D$20,MATCH(B197,Config!$A$11:$A$20,0)),0))</f>
        <v/>
      </c>
      <c r="G197" s="24">
        <f>IF(A197="","",MONTH(A197))</f>
        <v/>
      </c>
      <c r="H197" s="24">
        <f>IF(A197="","",YEAR(A197))</f>
        <v/>
      </c>
      <c r="I197" s="30" t="inlineStr">
        <is>
          <t>Não</t>
        </is>
      </c>
    </row>
    <row r="198">
      <c r="A198" s="33" t="n">
        <v>46234</v>
      </c>
      <c r="B198" s="30" t="inlineStr">
        <is>
          <t>Carla</t>
        </is>
      </c>
      <c r="C198" s="30" t="inlineStr">
        <is>
          <t>Comercial e propostas</t>
        </is>
      </c>
      <c r="D198" s="28" t="inlineStr">
        <is>
          <t>Proposta</t>
        </is>
      </c>
      <c r="E198" s="34" t="n">
        <v>6.5</v>
      </c>
      <c r="F198" s="25">
        <f>IF(OR(B198="",E198=""),"",E198*IFERROR(INDEX(Config!$D$11:$D$20,MATCH(B198,Config!$A$11:$A$20,0)),0))</f>
        <v/>
      </c>
      <c r="G198" s="24">
        <f>IF(A198="","",MONTH(A198))</f>
        <v/>
      </c>
      <c r="H198" s="24">
        <f>IF(A198="","",YEAR(A198))</f>
        <v/>
      </c>
      <c r="I198" s="30" t="inlineStr">
        <is>
          <t>Não</t>
        </is>
      </c>
    </row>
    <row r="199">
      <c r="A199" s="33" t="n">
        <v>46234</v>
      </c>
      <c r="B199" s="30" t="inlineStr">
        <is>
          <t>Carla</t>
        </is>
      </c>
      <c r="C199" s="30" t="inlineStr">
        <is>
          <t>Gestão e reuniões</t>
        </is>
      </c>
      <c r="D199" s="28" t="inlineStr">
        <is>
          <t>Semanal</t>
        </is>
      </c>
      <c r="E199" s="34" t="n">
        <v>1</v>
      </c>
      <c r="F199" s="25">
        <f>IF(OR(B199="",E199=""),"",E199*IFERROR(INDEX(Config!$D$11:$D$20,MATCH(B199,Config!$A$11:$A$20,0)),0))</f>
        <v/>
      </c>
      <c r="G199" s="24">
        <f>IF(A199="","",MONTH(A199))</f>
        <v/>
      </c>
      <c r="H199" s="24">
        <f>IF(A199="","",YEAR(A199))</f>
        <v/>
      </c>
      <c r="I199" s="30" t="inlineStr">
        <is>
          <t>Não</t>
        </is>
      </c>
    </row>
    <row r="200">
      <c r="A200" s="33" t="n">
        <v>46234</v>
      </c>
      <c r="B200" s="30" t="inlineStr">
        <is>
          <t>Diego</t>
        </is>
      </c>
      <c r="C200" s="30" t="inlineStr">
        <is>
          <t>Comercial e propostas</t>
        </is>
      </c>
      <c r="D200" s="28" t="inlineStr">
        <is>
          <t>Proposta</t>
        </is>
      </c>
      <c r="E200" s="34" t="n">
        <v>2.5</v>
      </c>
      <c r="F200" s="25">
        <f>IF(OR(B200="",E200=""),"",E200*IFERROR(INDEX(Config!$D$11:$D$20,MATCH(B200,Config!$A$11:$A$20,0)),0))</f>
        <v/>
      </c>
      <c r="G200" s="24">
        <f>IF(A200="","",MONTH(A200))</f>
        <v/>
      </c>
      <c r="H200" s="24">
        <f>IF(A200="","",YEAR(A200))</f>
        <v/>
      </c>
      <c r="I200" s="30" t="inlineStr">
        <is>
          <t>Não</t>
        </is>
      </c>
    </row>
    <row r="201">
      <c r="A201" s="33" t="n">
        <v>46234</v>
      </c>
      <c r="B201" s="30" t="inlineStr">
        <is>
          <t>Diego</t>
        </is>
      </c>
      <c r="C201" s="30" t="inlineStr">
        <is>
          <t>Gestão e reuniões</t>
        </is>
      </c>
      <c r="D201" s="28" t="inlineStr">
        <is>
          <t>Semanal</t>
        </is>
      </c>
      <c r="E201" s="34" t="n">
        <v>2</v>
      </c>
      <c r="F201" s="25">
        <f>IF(OR(B201="",E201=""),"",E201*IFERROR(INDEX(Config!$D$11:$D$20,MATCH(B201,Config!$A$11:$A$20,0)),0))</f>
        <v/>
      </c>
      <c r="G201" s="24">
        <f>IF(A201="","",MONTH(A201))</f>
        <v/>
      </c>
      <c r="H201" s="24">
        <f>IF(A201="","",YEAR(A201))</f>
        <v/>
      </c>
      <c r="I201" s="30" t="inlineStr">
        <is>
          <t>Não</t>
        </is>
      </c>
    </row>
    <row r="202">
      <c r="A202" s="33" t="n">
        <v>46237</v>
      </c>
      <c r="B202" s="30" t="inlineStr">
        <is>
          <t>Ana</t>
        </is>
      </c>
      <c r="C202" s="30" t="inlineStr">
        <is>
          <t>Comercial e propostas</t>
        </is>
      </c>
      <c r="D202" s="28" t="inlineStr">
        <is>
          <t>Reunião comercial</t>
        </is>
      </c>
      <c r="E202" s="34" t="n">
        <v>4</v>
      </c>
      <c r="F202" s="25">
        <f>IF(OR(B202="",E202=""),"",E202*IFERROR(INDEX(Config!$D$11:$D$20,MATCH(B202,Config!$A$11:$A$20,0)),0))</f>
        <v/>
      </c>
      <c r="G202" s="24">
        <f>IF(A202="","",MONTH(A202))</f>
        <v/>
      </c>
      <c r="H202" s="24">
        <f>IF(A202="","",YEAR(A202))</f>
        <v/>
      </c>
      <c r="I202" s="30" t="inlineStr">
        <is>
          <t>Não</t>
        </is>
      </c>
    </row>
    <row r="203">
      <c r="A203" s="33" t="n">
        <v>46237</v>
      </c>
      <c r="B203" s="30" t="inlineStr">
        <is>
          <t>Ana</t>
        </is>
      </c>
      <c r="C203" s="30" t="inlineStr">
        <is>
          <t>Gestão e reuniões</t>
        </is>
      </c>
      <c r="D203" s="28" t="inlineStr">
        <is>
          <t>Financeiro</t>
        </is>
      </c>
      <c r="E203" s="34" t="n">
        <v>3</v>
      </c>
      <c r="F203" s="25">
        <f>IF(OR(B203="",E203=""),"",E203*IFERROR(INDEX(Config!$D$11:$D$20,MATCH(B203,Config!$A$11:$A$20,0)),0))</f>
        <v/>
      </c>
      <c r="G203" s="24">
        <f>IF(A203="","",MONTH(A203))</f>
        <v/>
      </c>
      <c r="H203" s="24">
        <f>IF(A203="","",YEAR(A203))</f>
        <v/>
      </c>
      <c r="I203" s="30" t="inlineStr">
        <is>
          <t>Não</t>
        </is>
      </c>
    </row>
    <row r="204">
      <c r="A204" s="33" t="n">
        <v>46237</v>
      </c>
      <c r="B204" s="30" t="inlineStr">
        <is>
          <t>Bruno</t>
        </is>
      </c>
      <c r="C204" s="30" t="inlineStr">
        <is>
          <t>Identidade visual · Padaria do Sol</t>
        </is>
      </c>
      <c r="D204" s="28" t="inlineStr">
        <is>
          <t>Logo</t>
        </is>
      </c>
      <c r="E204" s="34" t="n">
        <v>2</v>
      </c>
      <c r="F204" s="25">
        <f>IF(OR(B204="",E204=""),"",E204*IFERROR(INDEX(Config!$D$11:$D$20,MATCH(B204,Config!$A$11:$A$20,0)),0))</f>
        <v/>
      </c>
      <c r="G204" s="24">
        <f>IF(A204="","",MONTH(A204))</f>
        <v/>
      </c>
      <c r="H204" s="24">
        <f>IF(A204="","",YEAR(A204))</f>
        <v/>
      </c>
      <c r="I204" s="30" t="inlineStr">
        <is>
          <t>Sim</t>
        </is>
      </c>
    </row>
    <row r="205">
      <c r="A205" s="33" t="n">
        <v>46237</v>
      </c>
      <c r="B205" s="30" t="inlineStr">
        <is>
          <t>Bruno</t>
        </is>
      </c>
      <c r="C205" s="30" t="inlineStr">
        <is>
          <t>Gestão e reuniões</t>
        </is>
      </c>
      <c r="D205" s="28" t="inlineStr">
        <is>
          <t>Planejamento</t>
        </is>
      </c>
      <c r="E205" s="34" t="n">
        <v>1</v>
      </c>
      <c r="F205" s="25">
        <f>IF(OR(B205="",E205=""),"",E205*IFERROR(INDEX(Config!$D$11:$D$20,MATCH(B205,Config!$A$11:$A$20,0)),0))</f>
        <v/>
      </c>
      <c r="G205" s="24">
        <f>IF(A205="","",MONTH(A205))</f>
        <v/>
      </c>
      <c r="H205" s="24">
        <f>IF(A205="","",YEAR(A205))</f>
        <v/>
      </c>
      <c r="I205" s="30" t="inlineStr">
        <is>
          <t>Não</t>
        </is>
      </c>
    </row>
    <row r="206">
      <c r="A206" s="33" t="n">
        <v>46237</v>
      </c>
      <c r="B206" s="30" t="inlineStr">
        <is>
          <t>Bruno</t>
        </is>
      </c>
      <c r="C206" s="30" t="inlineStr">
        <is>
          <t>Comercial e propostas</t>
        </is>
      </c>
      <c r="D206" s="28" t="inlineStr">
        <is>
          <t>Proposta</t>
        </is>
      </c>
      <c r="E206" s="34" t="n">
        <v>5.5</v>
      </c>
      <c r="F206" s="25">
        <f>IF(OR(B206="",E206=""),"",E206*IFERROR(INDEX(Config!$D$11:$D$20,MATCH(B206,Config!$A$11:$A$20,0)),0))</f>
        <v/>
      </c>
      <c r="G206" s="24">
        <f>IF(A206="","",MONTH(A206))</f>
        <v/>
      </c>
      <c r="H206" s="24">
        <f>IF(A206="","",YEAR(A206))</f>
        <v/>
      </c>
      <c r="I206" s="30" t="inlineStr">
        <is>
          <t>Não</t>
        </is>
      </c>
    </row>
    <row r="207">
      <c r="A207" s="33" t="n">
        <v>46237</v>
      </c>
      <c r="B207" s="30" t="inlineStr">
        <is>
          <t>Carla</t>
        </is>
      </c>
      <c r="C207" s="30" t="inlineStr">
        <is>
          <t>Comercial e propostas</t>
        </is>
      </c>
      <c r="D207" s="28" t="inlineStr">
        <is>
          <t>Reunião comercial</t>
        </is>
      </c>
      <c r="E207" s="34" t="n">
        <v>4</v>
      </c>
      <c r="F207" s="25">
        <f>IF(OR(B207="",E207=""),"",E207*IFERROR(INDEX(Config!$D$11:$D$20,MATCH(B207,Config!$A$11:$A$20,0)),0))</f>
        <v/>
      </c>
      <c r="G207" s="24">
        <f>IF(A207="","",MONTH(A207))</f>
        <v/>
      </c>
      <c r="H207" s="24">
        <f>IF(A207="","",YEAR(A207))</f>
        <v/>
      </c>
      <c r="I207" s="30" t="inlineStr">
        <is>
          <t>Não</t>
        </is>
      </c>
    </row>
    <row r="208">
      <c r="A208" s="33" t="n">
        <v>46237</v>
      </c>
      <c r="B208" s="30" t="inlineStr">
        <is>
          <t>Carla</t>
        </is>
      </c>
      <c r="C208" s="30" t="inlineStr">
        <is>
          <t>Gestão e reuniões</t>
        </is>
      </c>
      <c r="D208" s="28" t="inlineStr">
        <is>
          <t>Financeiro</t>
        </is>
      </c>
      <c r="E208" s="34" t="n">
        <v>1</v>
      </c>
      <c r="F208" s="25">
        <f>IF(OR(B208="",E208=""),"",E208*IFERROR(INDEX(Config!$D$11:$D$20,MATCH(B208,Config!$A$11:$A$20,0)),0))</f>
        <v/>
      </c>
      <c r="G208" s="24">
        <f>IF(A208="","",MONTH(A208))</f>
        <v/>
      </c>
      <c r="H208" s="24">
        <f>IF(A208="","",YEAR(A208))</f>
        <v/>
      </c>
      <c r="I208" s="30" t="inlineStr">
        <is>
          <t>Não</t>
        </is>
      </c>
    </row>
    <row r="209">
      <c r="A209" s="33" t="n">
        <v>46237</v>
      </c>
      <c r="B209" s="30" t="inlineStr">
        <is>
          <t>Diego</t>
        </is>
      </c>
      <c r="C209" s="30" t="inlineStr">
        <is>
          <t>Comercial e propostas</t>
        </is>
      </c>
      <c r="D209" s="28" t="inlineStr">
        <is>
          <t>Reunião comercial</t>
        </is>
      </c>
      <c r="E209" s="34" t="n">
        <v>3.5</v>
      </c>
      <c r="F209" s="25">
        <f>IF(OR(B209="",E209=""),"",E209*IFERROR(INDEX(Config!$D$11:$D$20,MATCH(B209,Config!$A$11:$A$20,0)),0))</f>
        <v/>
      </c>
      <c r="G209" s="24">
        <f>IF(A209="","",MONTH(A209))</f>
        <v/>
      </c>
      <c r="H209" s="24">
        <f>IF(A209="","",YEAR(A209))</f>
        <v/>
      </c>
      <c r="I209" s="30" t="inlineStr">
        <is>
          <t>Não</t>
        </is>
      </c>
    </row>
    <row r="210">
      <c r="A210" s="33" t="n">
        <v>46237</v>
      </c>
      <c r="B210" s="30" t="inlineStr">
        <is>
          <t>Diego</t>
        </is>
      </c>
      <c r="C210" s="30" t="inlineStr">
        <is>
          <t>Gestão e reuniões</t>
        </is>
      </c>
      <c r="D210" s="28" t="inlineStr">
        <is>
          <t>Planejamento</t>
        </is>
      </c>
      <c r="E210" s="34" t="n">
        <v>2.5</v>
      </c>
      <c r="F210" s="25">
        <f>IF(OR(B210="",E210=""),"",E210*IFERROR(INDEX(Config!$D$11:$D$20,MATCH(B210,Config!$A$11:$A$20,0)),0))</f>
        <v/>
      </c>
      <c r="G210" s="24">
        <f>IF(A210="","",MONTH(A210))</f>
        <v/>
      </c>
      <c r="H210" s="24">
        <f>IF(A210="","",YEAR(A210))</f>
        <v/>
      </c>
      <c r="I210" s="30" t="inlineStr">
        <is>
          <t>Não</t>
        </is>
      </c>
    </row>
    <row r="211">
      <c r="A211" s="33" t="n">
        <v>46238</v>
      </c>
      <c r="B211" s="30" t="inlineStr">
        <is>
          <t>Ana</t>
        </is>
      </c>
      <c r="C211" s="30" t="inlineStr">
        <is>
          <t>Comercial e propostas</t>
        </is>
      </c>
      <c r="D211" s="28" t="inlineStr">
        <is>
          <t>Proposta</t>
        </is>
      </c>
      <c r="E211" s="34" t="n">
        <v>4.5</v>
      </c>
      <c r="F211" s="25">
        <f>IF(OR(B211="",E211=""),"",E211*IFERROR(INDEX(Config!$D$11:$D$20,MATCH(B211,Config!$A$11:$A$20,0)),0))</f>
        <v/>
      </c>
      <c r="G211" s="24">
        <f>IF(A211="","",MONTH(A211))</f>
        <v/>
      </c>
      <c r="H211" s="24">
        <f>IF(A211="","",YEAR(A211))</f>
        <v/>
      </c>
      <c r="I211" s="30" t="inlineStr">
        <is>
          <t>Não</t>
        </is>
      </c>
    </row>
    <row r="212">
      <c r="A212" s="33" t="n">
        <v>46238</v>
      </c>
      <c r="B212" s="30" t="inlineStr">
        <is>
          <t>Ana</t>
        </is>
      </c>
      <c r="C212" s="30" t="inlineStr">
        <is>
          <t>Gestão e reuniões</t>
        </is>
      </c>
      <c r="D212" s="28" t="inlineStr">
        <is>
          <t>Semanal</t>
        </is>
      </c>
      <c r="E212" s="34" t="n">
        <v>3.5</v>
      </c>
      <c r="F212" s="25">
        <f>IF(OR(B212="",E212=""),"",E212*IFERROR(INDEX(Config!$D$11:$D$20,MATCH(B212,Config!$A$11:$A$20,0)),0))</f>
        <v/>
      </c>
      <c r="G212" s="24">
        <f>IF(A212="","",MONTH(A212))</f>
        <v/>
      </c>
      <c r="H212" s="24">
        <f>IF(A212="","",YEAR(A212))</f>
        <v/>
      </c>
      <c r="I212" s="30" t="inlineStr">
        <is>
          <t>Não</t>
        </is>
      </c>
    </row>
    <row r="213">
      <c r="A213" s="33" t="n">
        <v>46238</v>
      </c>
      <c r="B213" s="30" t="inlineStr">
        <is>
          <t>Bruno</t>
        </is>
      </c>
      <c r="C213" s="30" t="inlineStr">
        <is>
          <t>Identidade visual · Padaria do Sol</t>
        </is>
      </c>
      <c r="D213" s="28" t="inlineStr">
        <is>
          <t>Manual</t>
        </is>
      </c>
      <c r="E213" s="34" t="n">
        <v>1.5</v>
      </c>
      <c r="F213" s="25">
        <f>IF(OR(B213="",E213=""),"",E213*IFERROR(INDEX(Config!$D$11:$D$20,MATCH(B213,Config!$A$11:$A$20,0)),0))</f>
        <v/>
      </c>
      <c r="G213" s="24">
        <f>IF(A213="","",MONTH(A213))</f>
        <v/>
      </c>
      <c r="H213" s="24">
        <f>IF(A213="","",YEAR(A213))</f>
        <v/>
      </c>
      <c r="I213" s="30" t="inlineStr">
        <is>
          <t>Sim</t>
        </is>
      </c>
    </row>
    <row r="214">
      <c r="A214" s="33" t="n">
        <v>46238</v>
      </c>
      <c r="B214" s="30" t="inlineStr">
        <is>
          <t>Bruno</t>
        </is>
      </c>
      <c r="C214" s="30" t="inlineStr">
        <is>
          <t>Gestão e reuniões</t>
        </is>
      </c>
      <c r="D214" s="28" t="inlineStr">
        <is>
          <t>Planejamento</t>
        </is>
      </c>
      <c r="E214" s="34" t="n">
        <v>1</v>
      </c>
      <c r="F214" s="25">
        <f>IF(OR(B214="",E214=""),"",E214*IFERROR(INDEX(Config!$D$11:$D$20,MATCH(B214,Config!$A$11:$A$20,0)),0))</f>
        <v/>
      </c>
      <c r="G214" s="24">
        <f>IF(A214="","",MONTH(A214))</f>
        <v/>
      </c>
      <c r="H214" s="24">
        <f>IF(A214="","",YEAR(A214))</f>
        <v/>
      </c>
      <c r="I214" s="30" t="inlineStr">
        <is>
          <t>Não</t>
        </is>
      </c>
    </row>
    <row r="215">
      <c r="A215" s="33" t="n">
        <v>46238</v>
      </c>
      <c r="B215" s="30" t="inlineStr">
        <is>
          <t>Bruno</t>
        </is>
      </c>
      <c r="C215" s="30" t="inlineStr">
        <is>
          <t>Comercial e propostas</t>
        </is>
      </c>
      <c r="D215" s="28" t="inlineStr">
        <is>
          <t>Proposta</t>
        </is>
      </c>
      <c r="E215" s="34" t="n">
        <v>3.5</v>
      </c>
      <c r="F215" s="25">
        <f>IF(OR(B215="",E215=""),"",E215*IFERROR(INDEX(Config!$D$11:$D$20,MATCH(B215,Config!$A$11:$A$20,0)),0))</f>
        <v/>
      </c>
      <c r="G215" s="24">
        <f>IF(A215="","",MONTH(A215))</f>
        <v/>
      </c>
      <c r="H215" s="24">
        <f>IF(A215="","",YEAR(A215))</f>
        <v/>
      </c>
      <c r="I215" s="30" t="inlineStr">
        <is>
          <t>Não</t>
        </is>
      </c>
    </row>
    <row r="216">
      <c r="A216" s="33" t="n">
        <v>46238</v>
      </c>
      <c r="B216" s="30" t="inlineStr">
        <is>
          <t>Carla</t>
        </is>
      </c>
      <c r="C216" s="30" t="inlineStr">
        <is>
          <t>Comercial e propostas</t>
        </is>
      </c>
      <c r="D216" s="28" t="inlineStr">
        <is>
          <t>Proposta</t>
        </is>
      </c>
      <c r="E216" s="34" t="n">
        <v>4.5</v>
      </c>
      <c r="F216" s="25">
        <f>IF(OR(B216="",E216=""),"",E216*IFERROR(INDEX(Config!$D$11:$D$20,MATCH(B216,Config!$A$11:$A$20,0)),0))</f>
        <v/>
      </c>
      <c r="G216" s="24">
        <f>IF(A216="","",MONTH(A216))</f>
        <v/>
      </c>
      <c r="H216" s="24">
        <f>IF(A216="","",YEAR(A216))</f>
        <v/>
      </c>
      <c r="I216" s="30" t="inlineStr">
        <is>
          <t>Não</t>
        </is>
      </c>
    </row>
    <row r="217">
      <c r="A217" s="33" t="n">
        <v>46238</v>
      </c>
      <c r="B217" s="30" t="inlineStr">
        <is>
          <t>Carla</t>
        </is>
      </c>
      <c r="C217" s="30" t="inlineStr">
        <is>
          <t>Gestão e reuniões</t>
        </is>
      </c>
      <c r="D217" s="28" t="inlineStr">
        <is>
          <t>Financeiro</t>
        </is>
      </c>
      <c r="E217" s="34" t="n">
        <v>1.5</v>
      </c>
      <c r="F217" s="25">
        <f>IF(OR(B217="",E217=""),"",E217*IFERROR(INDEX(Config!$D$11:$D$20,MATCH(B217,Config!$A$11:$A$20,0)),0))</f>
        <v/>
      </c>
      <c r="G217" s="24">
        <f>IF(A217="","",MONTH(A217))</f>
        <v/>
      </c>
      <c r="H217" s="24">
        <f>IF(A217="","",YEAR(A217))</f>
        <v/>
      </c>
      <c r="I217" s="30" t="inlineStr">
        <is>
          <t>Não</t>
        </is>
      </c>
    </row>
    <row r="218">
      <c r="A218" s="33" t="n">
        <v>46238</v>
      </c>
      <c r="B218" s="30" t="inlineStr">
        <is>
          <t>Diego</t>
        </is>
      </c>
      <c r="C218" s="30" t="inlineStr">
        <is>
          <t>Comercial e propostas</t>
        </is>
      </c>
      <c r="D218" s="28" t="inlineStr">
        <is>
          <t>Proposta</t>
        </is>
      </c>
      <c r="E218" s="34" t="n">
        <v>3.5</v>
      </c>
      <c r="F218" s="25">
        <f>IF(OR(B218="",E218=""),"",E218*IFERROR(INDEX(Config!$D$11:$D$20,MATCH(B218,Config!$A$11:$A$20,0)),0))</f>
        <v/>
      </c>
      <c r="G218" s="24">
        <f>IF(A218="","",MONTH(A218))</f>
        <v/>
      </c>
      <c r="H218" s="24">
        <f>IF(A218="","",YEAR(A218))</f>
        <v/>
      </c>
      <c r="I218" s="30" t="inlineStr">
        <is>
          <t>Não</t>
        </is>
      </c>
    </row>
    <row r="219">
      <c r="A219" s="33" t="n">
        <v>46238</v>
      </c>
      <c r="B219" s="30" t="inlineStr">
        <is>
          <t>Diego</t>
        </is>
      </c>
      <c r="C219" s="30" t="inlineStr">
        <is>
          <t>Gestão e reuniões</t>
        </is>
      </c>
      <c r="D219" s="28" t="inlineStr">
        <is>
          <t>Planejamento</t>
        </is>
      </c>
      <c r="E219" s="34" t="n">
        <v>3</v>
      </c>
      <c r="F219" s="25">
        <f>IF(OR(B219="",E219=""),"",E219*IFERROR(INDEX(Config!$D$11:$D$20,MATCH(B219,Config!$A$11:$A$20,0)),0))</f>
        <v/>
      </c>
      <c r="G219" s="24">
        <f>IF(A219="","",MONTH(A219))</f>
        <v/>
      </c>
      <c r="H219" s="24">
        <f>IF(A219="","",YEAR(A219))</f>
        <v/>
      </c>
      <c r="I219" s="30" t="inlineStr">
        <is>
          <t>Não</t>
        </is>
      </c>
    </row>
    <row r="220">
      <c r="A220" s="33" t="n">
        <v>46239</v>
      </c>
      <c r="B220" s="30" t="inlineStr">
        <is>
          <t>Ana</t>
        </is>
      </c>
      <c r="C220" s="30" t="inlineStr">
        <is>
          <t>Comercial e propostas</t>
        </is>
      </c>
      <c r="D220" s="28" t="inlineStr">
        <is>
          <t>Proposta</t>
        </is>
      </c>
      <c r="E220" s="34" t="n">
        <v>3.5</v>
      </c>
      <c r="F220" s="25">
        <f>IF(OR(B220="",E220=""),"",E220*IFERROR(INDEX(Config!$D$11:$D$20,MATCH(B220,Config!$A$11:$A$20,0)),0))</f>
        <v/>
      </c>
      <c r="G220" s="24">
        <f>IF(A220="","",MONTH(A220))</f>
        <v/>
      </c>
      <c r="H220" s="24">
        <f>IF(A220="","",YEAR(A220))</f>
        <v/>
      </c>
      <c r="I220" s="30" t="inlineStr">
        <is>
          <t>Não</t>
        </is>
      </c>
    </row>
    <row r="221">
      <c r="A221" s="33" t="n">
        <v>46239</v>
      </c>
      <c r="B221" s="30" t="inlineStr">
        <is>
          <t>Ana</t>
        </is>
      </c>
      <c r="C221" s="30" t="inlineStr">
        <is>
          <t>Gestão e reuniões</t>
        </is>
      </c>
      <c r="D221" s="28" t="inlineStr">
        <is>
          <t>Financeiro</t>
        </is>
      </c>
      <c r="E221" s="34" t="n">
        <v>2.5</v>
      </c>
      <c r="F221" s="25">
        <f>IF(OR(B221="",E221=""),"",E221*IFERROR(INDEX(Config!$D$11:$D$20,MATCH(B221,Config!$A$11:$A$20,0)),0))</f>
        <v/>
      </c>
      <c r="G221" s="24">
        <f>IF(A221="","",MONTH(A221))</f>
        <v/>
      </c>
      <c r="H221" s="24">
        <f>IF(A221="","",YEAR(A221))</f>
        <v/>
      </c>
      <c r="I221" s="30" t="inlineStr">
        <is>
          <t>Não</t>
        </is>
      </c>
    </row>
    <row r="222">
      <c r="A222" s="33" t="n">
        <v>46239</v>
      </c>
      <c r="B222" s="30" t="inlineStr">
        <is>
          <t>Bruno</t>
        </is>
      </c>
      <c r="C222" s="30" t="inlineStr">
        <is>
          <t>Identidade visual · Padaria do Sol</t>
        </is>
      </c>
      <c r="D222" s="28" t="inlineStr">
        <is>
          <t>Aplicações</t>
        </is>
      </c>
      <c r="E222" s="34" t="n">
        <v>2</v>
      </c>
      <c r="F222" s="25">
        <f>IF(OR(B222="",E222=""),"",E222*IFERROR(INDEX(Config!$D$11:$D$20,MATCH(B222,Config!$A$11:$A$20,0)),0))</f>
        <v/>
      </c>
      <c r="G222" s="24">
        <f>IF(A222="","",MONTH(A222))</f>
        <v/>
      </c>
      <c r="H222" s="24">
        <f>IF(A222="","",YEAR(A222))</f>
        <v/>
      </c>
      <c r="I222" s="30" t="inlineStr">
        <is>
          <t>Sim</t>
        </is>
      </c>
    </row>
    <row r="223">
      <c r="A223" s="33" t="n">
        <v>46239</v>
      </c>
      <c r="B223" s="30" t="inlineStr">
        <is>
          <t>Bruno</t>
        </is>
      </c>
      <c r="C223" s="30" t="inlineStr">
        <is>
          <t>Gestão e reuniões</t>
        </is>
      </c>
      <c r="D223" s="28" t="inlineStr">
        <is>
          <t>Financeiro</t>
        </is>
      </c>
      <c r="E223" s="34" t="n">
        <v>1</v>
      </c>
      <c r="F223" s="25">
        <f>IF(OR(B223="",E223=""),"",E223*IFERROR(INDEX(Config!$D$11:$D$20,MATCH(B223,Config!$A$11:$A$20,0)),0))</f>
        <v/>
      </c>
      <c r="G223" s="24">
        <f>IF(A223="","",MONTH(A223))</f>
        <v/>
      </c>
      <c r="H223" s="24">
        <f>IF(A223="","",YEAR(A223))</f>
        <v/>
      </c>
      <c r="I223" s="30" t="inlineStr">
        <is>
          <t>Não</t>
        </is>
      </c>
    </row>
    <row r="224">
      <c r="A224" s="33" t="n">
        <v>46239</v>
      </c>
      <c r="B224" s="30" t="inlineStr">
        <is>
          <t>Bruno</t>
        </is>
      </c>
      <c r="C224" s="30" t="inlineStr">
        <is>
          <t>Comercial e propostas</t>
        </is>
      </c>
      <c r="D224" s="28" t="inlineStr">
        <is>
          <t>Proposta</t>
        </is>
      </c>
      <c r="E224" s="34" t="n">
        <v>3.5</v>
      </c>
      <c r="F224" s="25">
        <f>IF(OR(B224="",E224=""),"",E224*IFERROR(INDEX(Config!$D$11:$D$20,MATCH(B224,Config!$A$11:$A$20,0)),0))</f>
        <v/>
      </c>
      <c r="G224" s="24">
        <f>IF(A224="","",MONTH(A224))</f>
        <v/>
      </c>
      <c r="H224" s="24">
        <f>IF(A224="","",YEAR(A224))</f>
        <v/>
      </c>
      <c r="I224" s="30" t="inlineStr">
        <is>
          <t>Não</t>
        </is>
      </c>
    </row>
    <row r="225">
      <c r="A225" s="33" t="n">
        <v>46239</v>
      </c>
      <c r="B225" s="30" t="inlineStr">
        <is>
          <t>Carla</t>
        </is>
      </c>
      <c r="C225" s="30" t="inlineStr">
        <is>
          <t>Comercial e propostas</t>
        </is>
      </c>
      <c r="D225" s="28" t="inlineStr">
        <is>
          <t>Reunião comercial</t>
        </is>
      </c>
      <c r="E225" s="34" t="n">
        <v>6.5</v>
      </c>
      <c r="F225" s="25">
        <f>IF(OR(B225="",E225=""),"",E225*IFERROR(INDEX(Config!$D$11:$D$20,MATCH(B225,Config!$A$11:$A$20,0)),0))</f>
        <v/>
      </c>
      <c r="G225" s="24">
        <f>IF(A225="","",MONTH(A225))</f>
        <v/>
      </c>
      <c r="H225" s="24">
        <f>IF(A225="","",YEAR(A225))</f>
        <v/>
      </c>
      <c r="I225" s="30" t="inlineStr">
        <is>
          <t>Não</t>
        </is>
      </c>
    </row>
    <row r="226">
      <c r="A226" s="33" t="n">
        <v>46239</v>
      </c>
      <c r="B226" s="30" t="inlineStr">
        <is>
          <t>Carla</t>
        </is>
      </c>
      <c r="C226" s="30" t="inlineStr">
        <is>
          <t>Gestão e reuniões</t>
        </is>
      </c>
      <c r="D226" s="28" t="inlineStr">
        <is>
          <t>Planejamento</t>
        </is>
      </c>
      <c r="E226" s="34" t="n">
        <v>1.5</v>
      </c>
      <c r="F226" s="25">
        <f>IF(OR(B226="",E226=""),"",E226*IFERROR(INDEX(Config!$D$11:$D$20,MATCH(B226,Config!$A$11:$A$20,0)),0))</f>
        <v/>
      </c>
      <c r="G226" s="24">
        <f>IF(A226="","",MONTH(A226))</f>
        <v/>
      </c>
      <c r="H226" s="24">
        <f>IF(A226="","",YEAR(A226))</f>
        <v/>
      </c>
      <c r="I226" s="30" t="inlineStr">
        <is>
          <t>Não</t>
        </is>
      </c>
    </row>
    <row r="227">
      <c r="A227" s="33" t="n">
        <v>46239</v>
      </c>
      <c r="B227" s="30" t="inlineStr">
        <is>
          <t>Diego</t>
        </is>
      </c>
      <c r="C227" s="30" t="inlineStr">
        <is>
          <t>Comercial e propostas</t>
        </is>
      </c>
      <c r="D227" s="28" t="inlineStr">
        <is>
          <t>Proposta</t>
        </is>
      </c>
      <c r="E227" s="34" t="n">
        <v>3.5</v>
      </c>
      <c r="F227" s="25">
        <f>IF(OR(B227="",E227=""),"",E227*IFERROR(INDEX(Config!$D$11:$D$20,MATCH(B227,Config!$A$11:$A$20,0)),0))</f>
        <v/>
      </c>
      <c r="G227" s="24">
        <f>IF(A227="","",MONTH(A227))</f>
        <v/>
      </c>
      <c r="H227" s="24">
        <f>IF(A227="","",YEAR(A227))</f>
        <v/>
      </c>
      <c r="I227" s="30" t="inlineStr">
        <is>
          <t>Não</t>
        </is>
      </c>
    </row>
    <row r="228">
      <c r="A228" s="33" t="n">
        <v>46239</v>
      </c>
      <c r="B228" s="30" t="inlineStr">
        <is>
          <t>Diego</t>
        </is>
      </c>
      <c r="C228" s="30" t="inlineStr">
        <is>
          <t>Gestão e reuniões</t>
        </is>
      </c>
      <c r="D228" s="28" t="inlineStr">
        <is>
          <t>Semanal</t>
        </is>
      </c>
      <c r="E228" s="34" t="n">
        <v>3.5</v>
      </c>
      <c r="F228" s="25">
        <f>IF(OR(B228="",E228=""),"",E228*IFERROR(INDEX(Config!$D$11:$D$20,MATCH(B228,Config!$A$11:$A$20,0)),0))</f>
        <v/>
      </c>
      <c r="G228" s="24">
        <f>IF(A228="","",MONTH(A228))</f>
        <v/>
      </c>
      <c r="H228" s="24">
        <f>IF(A228="","",YEAR(A228))</f>
        <v/>
      </c>
      <c r="I228" s="30" t="inlineStr">
        <is>
          <t>Não</t>
        </is>
      </c>
    </row>
    <row r="229">
      <c r="A229" s="33" t="n">
        <v>46240</v>
      </c>
      <c r="B229" s="30" t="inlineStr">
        <is>
          <t>Ana</t>
        </is>
      </c>
      <c r="C229" s="30" t="inlineStr">
        <is>
          <t>Comercial e propostas</t>
        </is>
      </c>
      <c r="D229" s="28" t="inlineStr">
        <is>
          <t>Reunião comercial</t>
        </is>
      </c>
      <c r="E229" s="34" t="n">
        <v>6</v>
      </c>
      <c r="F229" s="25">
        <f>IF(OR(B229="",E229=""),"",E229*IFERROR(INDEX(Config!$D$11:$D$20,MATCH(B229,Config!$A$11:$A$20,0)),0))</f>
        <v/>
      </c>
      <c r="G229" s="24">
        <f>IF(A229="","",MONTH(A229))</f>
        <v/>
      </c>
      <c r="H229" s="24">
        <f>IF(A229="","",YEAR(A229))</f>
        <v/>
      </c>
      <c r="I229" s="30" t="inlineStr">
        <is>
          <t>Não</t>
        </is>
      </c>
    </row>
    <row r="230">
      <c r="A230" s="33" t="n">
        <v>46240</v>
      </c>
      <c r="B230" s="30" t="inlineStr">
        <is>
          <t>Ana</t>
        </is>
      </c>
      <c r="C230" s="30" t="inlineStr">
        <is>
          <t>Gestão e reuniões</t>
        </is>
      </c>
      <c r="D230" s="28" t="inlineStr">
        <is>
          <t>Planejamento</t>
        </is>
      </c>
      <c r="E230" s="34" t="n">
        <v>3.5</v>
      </c>
      <c r="F230" s="25">
        <f>IF(OR(B230="",E230=""),"",E230*IFERROR(INDEX(Config!$D$11:$D$20,MATCH(B230,Config!$A$11:$A$20,0)),0))</f>
        <v/>
      </c>
      <c r="G230" s="24">
        <f>IF(A230="","",MONTH(A230))</f>
        <v/>
      </c>
      <c r="H230" s="24">
        <f>IF(A230="","",YEAR(A230))</f>
        <v/>
      </c>
      <c r="I230" s="30" t="inlineStr">
        <is>
          <t>Não</t>
        </is>
      </c>
    </row>
    <row r="231">
      <c r="A231" s="33" t="n">
        <v>46240</v>
      </c>
      <c r="B231" s="30" t="inlineStr">
        <is>
          <t>Bruno</t>
        </is>
      </c>
      <c r="C231" s="30" t="inlineStr">
        <is>
          <t>Identidade visual · Padaria do Sol</t>
        </is>
      </c>
      <c r="D231" s="28" t="inlineStr">
        <is>
          <t>Aplicações</t>
        </is>
      </c>
      <c r="E231" s="34" t="n">
        <v>2.5</v>
      </c>
      <c r="F231" s="25">
        <f>IF(OR(B231="",E231=""),"",E231*IFERROR(INDEX(Config!$D$11:$D$20,MATCH(B231,Config!$A$11:$A$20,0)),0))</f>
        <v/>
      </c>
      <c r="G231" s="24">
        <f>IF(A231="","",MONTH(A231))</f>
        <v/>
      </c>
      <c r="H231" s="24">
        <f>IF(A231="","",YEAR(A231))</f>
        <v/>
      </c>
      <c r="I231" s="30" t="inlineStr">
        <is>
          <t>Sim</t>
        </is>
      </c>
    </row>
    <row r="232">
      <c r="A232" s="33" t="n">
        <v>46240</v>
      </c>
      <c r="B232" s="30" t="inlineStr">
        <is>
          <t>Bruno</t>
        </is>
      </c>
      <c r="C232" s="30" t="inlineStr">
        <is>
          <t>Gestão e reuniões</t>
        </is>
      </c>
      <c r="D232" s="28" t="inlineStr">
        <is>
          <t>Semanal</t>
        </is>
      </c>
      <c r="E232" s="34" t="n">
        <v>1.5</v>
      </c>
      <c r="F232" s="25">
        <f>IF(OR(B232="",E232=""),"",E232*IFERROR(INDEX(Config!$D$11:$D$20,MATCH(B232,Config!$A$11:$A$20,0)),0))</f>
        <v/>
      </c>
      <c r="G232" s="24">
        <f>IF(A232="","",MONTH(A232))</f>
        <v/>
      </c>
      <c r="H232" s="24">
        <f>IF(A232="","",YEAR(A232))</f>
        <v/>
      </c>
      <c r="I232" s="30" t="inlineStr">
        <is>
          <t>Não</t>
        </is>
      </c>
    </row>
    <row r="233">
      <c r="A233" s="33" t="n">
        <v>46240</v>
      </c>
      <c r="B233" s="30" t="inlineStr">
        <is>
          <t>Bruno</t>
        </is>
      </c>
      <c r="C233" s="30" t="inlineStr">
        <is>
          <t>Comercial e propostas</t>
        </is>
      </c>
      <c r="D233" s="28" t="inlineStr">
        <is>
          <t>Reunião comercial</t>
        </is>
      </c>
      <c r="E233" s="34" t="n">
        <v>5.5</v>
      </c>
      <c r="F233" s="25">
        <f>IF(OR(B233="",E233=""),"",E233*IFERROR(INDEX(Config!$D$11:$D$20,MATCH(B233,Config!$A$11:$A$20,0)),0))</f>
        <v/>
      </c>
      <c r="G233" s="24">
        <f>IF(A233="","",MONTH(A233))</f>
        <v/>
      </c>
      <c r="H233" s="24">
        <f>IF(A233="","",YEAR(A233))</f>
        <v/>
      </c>
      <c r="I233" s="30" t="inlineStr">
        <is>
          <t>Não</t>
        </is>
      </c>
    </row>
    <row r="234">
      <c r="A234" s="33" t="n">
        <v>46240</v>
      </c>
      <c r="B234" s="30" t="inlineStr">
        <is>
          <t>Carla</t>
        </is>
      </c>
      <c r="C234" s="30" t="inlineStr">
        <is>
          <t>Comercial e propostas</t>
        </is>
      </c>
      <c r="D234" s="28" t="inlineStr">
        <is>
          <t>Reunião comercial</t>
        </is>
      </c>
      <c r="E234" s="34" t="n">
        <v>9</v>
      </c>
      <c r="F234" s="25">
        <f>IF(OR(B234="",E234=""),"",E234*IFERROR(INDEX(Config!$D$11:$D$20,MATCH(B234,Config!$A$11:$A$20,0)),0))</f>
        <v/>
      </c>
      <c r="G234" s="24">
        <f>IF(A234="","",MONTH(A234))</f>
        <v/>
      </c>
      <c r="H234" s="24">
        <f>IF(A234="","",YEAR(A234))</f>
        <v/>
      </c>
      <c r="I234" s="30" t="inlineStr">
        <is>
          <t>Não</t>
        </is>
      </c>
    </row>
    <row r="235">
      <c r="A235" s="33" t="n">
        <v>46240</v>
      </c>
      <c r="B235" s="30" t="inlineStr">
        <is>
          <t>Carla</t>
        </is>
      </c>
      <c r="C235" s="30" t="inlineStr">
        <is>
          <t>Gestão e reuniões</t>
        </is>
      </c>
      <c r="D235" s="28" t="inlineStr">
        <is>
          <t>Planejamento</t>
        </is>
      </c>
      <c r="E235" s="34" t="n">
        <v>1.5</v>
      </c>
      <c r="F235" s="25">
        <f>IF(OR(B235="",E235=""),"",E235*IFERROR(INDEX(Config!$D$11:$D$20,MATCH(B235,Config!$A$11:$A$20,0)),0))</f>
        <v/>
      </c>
      <c r="G235" s="24">
        <f>IF(A235="","",MONTH(A235))</f>
        <v/>
      </c>
      <c r="H235" s="24">
        <f>IF(A235="","",YEAR(A235))</f>
        <v/>
      </c>
      <c r="I235" s="30" t="inlineStr">
        <is>
          <t>Não</t>
        </is>
      </c>
    </row>
    <row r="236">
      <c r="A236" s="33" t="n">
        <v>46240</v>
      </c>
      <c r="B236" s="30" t="inlineStr">
        <is>
          <t>Diego</t>
        </is>
      </c>
      <c r="C236" s="30" t="inlineStr">
        <is>
          <t>Comercial e propostas</t>
        </is>
      </c>
      <c r="D236" s="28" t="inlineStr">
        <is>
          <t>Reunião comercial</t>
        </is>
      </c>
      <c r="E236" s="34" t="n">
        <v>5.5</v>
      </c>
      <c r="F236" s="25">
        <f>IF(OR(B236="",E236=""),"",E236*IFERROR(INDEX(Config!$D$11:$D$20,MATCH(B236,Config!$A$11:$A$20,0)),0))</f>
        <v/>
      </c>
      <c r="G236" s="24">
        <f>IF(A236="","",MONTH(A236))</f>
        <v/>
      </c>
      <c r="H236" s="24">
        <f>IF(A236="","",YEAR(A236))</f>
        <v/>
      </c>
      <c r="I236" s="30" t="inlineStr">
        <is>
          <t>Não</t>
        </is>
      </c>
    </row>
    <row r="237">
      <c r="A237" s="33" t="n">
        <v>46240</v>
      </c>
      <c r="B237" s="30" t="inlineStr">
        <is>
          <t>Diego</t>
        </is>
      </c>
      <c r="C237" s="30" t="inlineStr">
        <is>
          <t>Gestão e reuniões</t>
        </is>
      </c>
      <c r="D237" s="28" t="inlineStr">
        <is>
          <t>Financeiro</t>
        </is>
      </c>
      <c r="E237" s="34" t="n">
        <v>3</v>
      </c>
      <c r="F237" s="25">
        <f>IF(OR(B237="",E237=""),"",E237*IFERROR(INDEX(Config!$D$11:$D$20,MATCH(B237,Config!$A$11:$A$20,0)),0))</f>
        <v/>
      </c>
      <c r="G237" s="24">
        <f>IF(A237="","",MONTH(A237))</f>
        <v/>
      </c>
      <c r="H237" s="24">
        <f>IF(A237="","",YEAR(A237))</f>
        <v/>
      </c>
      <c r="I237" s="30" t="inlineStr">
        <is>
          <t>Não</t>
        </is>
      </c>
    </row>
    <row r="238">
      <c r="A238" s="33" t="n">
        <v>46241</v>
      </c>
      <c r="B238" s="30" t="inlineStr">
        <is>
          <t>Ana</t>
        </is>
      </c>
      <c r="C238" s="30" t="inlineStr">
        <is>
          <t>Comercial e propostas</t>
        </is>
      </c>
      <c r="D238" s="28" t="inlineStr">
        <is>
          <t>Reunião comercial</t>
        </is>
      </c>
      <c r="E238" s="34" t="n">
        <v>5.5</v>
      </c>
      <c r="F238" s="25">
        <f>IF(OR(B238="",E238=""),"",E238*IFERROR(INDEX(Config!$D$11:$D$20,MATCH(B238,Config!$A$11:$A$20,0)),0))</f>
        <v/>
      </c>
      <c r="G238" s="24">
        <f>IF(A238="","",MONTH(A238))</f>
        <v/>
      </c>
      <c r="H238" s="24">
        <f>IF(A238="","",YEAR(A238))</f>
        <v/>
      </c>
      <c r="I238" s="30" t="inlineStr">
        <is>
          <t>Não</t>
        </is>
      </c>
    </row>
    <row r="239">
      <c r="A239" s="33" t="n">
        <v>46241</v>
      </c>
      <c r="B239" s="30" t="inlineStr">
        <is>
          <t>Ana</t>
        </is>
      </c>
      <c r="C239" s="30" t="inlineStr">
        <is>
          <t>Gestão e reuniões</t>
        </is>
      </c>
      <c r="D239" s="28" t="inlineStr">
        <is>
          <t>Financeiro</t>
        </is>
      </c>
      <c r="E239" s="34" t="n">
        <v>3.5</v>
      </c>
      <c r="F239" s="25">
        <f>IF(OR(B239="",E239=""),"",E239*IFERROR(INDEX(Config!$D$11:$D$20,MATCH(B239,Config!$A$11:$A$20,0)),0))</f>
        <v/>
      </c>
      <c r="G239" s="24">
        <f>IF(A239="","",MONTH(A239))</f>
        <v/>
      </c>
      <c r="H239" s="24">
        <f>IF(A239="","",YEAR(A239))</f>
        <v/>
      </c>
      <c r="I239" s="30" t="inlineStr">
        <is>
          <t>Não</t>
        </is>
      </c>
    </row>
    <row r="240">
      <c r="A240" s="33" t="n">
        <v>46241</v>
      </c>
      <c r="B240" s="30" t="inlineStr">
        <is>
          <t>Bruno</t>
        </is>
      </c>
      <c r="C240" s="30" t="inlineStr">
        <is>
          <t>Identidade visual · Padaria do Sol</t>
        </is>
      </c>
      <c r="D240" s="28" t="inlineStr">
        <is>
          <t>Logo</t>
        </is>
      </c>
      <c r="E240" s="34" t="n">
        <v>2</v>
      </c>
      <c r="F240" s="25">
        <f>IF(OR(B240="",E240=""),"",E240*IFERROR(INDEX(Config!$D$11:$D$20,MATCH(B240,Config!$A$11:$A$20,0)),0))</f>
        <v/>
      </c>
      <c r="G240" s="24">
        <f>IF(A240="","",MONTH(A240))</f>
        <v/>
      </c>
      <c r="H240" s="24">
        <f>IF(A240="","",YEAR(A240))</f>
        <v/>
      </c>
      <c r="I240" s="30" t="inlineStr">
        <is>
          <t>Sim</t>
        </is>
      </c>
    </row>
    <row r="241">
      <c r="A241" s="33" t="n">
        <v>46241</v>
      </c>
      <c r="B241" s="30" t="inlineStr">
        <is>
          <t>Bruno</t>
        </is>
      </c>
      <c r="C241" s="30" t="inlineStr">
        <is>
          <t>Gestão e reuniões</t>
        </is>
      </c>
      <c r="D241" s="28" t="inlineStr">
        <is>
          <t>Financeiro</t>
        </is>
      </c>
      <c r="E241" s="34" t="n">
        <v>1</v>
      </c>
      <c r="F241" s="25">
        <f>IF(OR(B241="",E241=""),"",E241*IFERROR(INDEX(Config!$D$11:$D$20,MATCH(B241,Config!$A$11:$A$20,0)),0))</f>
        <v/>
      </c>
      <c r="G241" s="24">
        <f>IF(A241="","",MONTH(A241))</f>
        <v/>
      </c>
      <c r="H241" s="24">
        <f>IF(A241="","",YEAR(A241))</f>
        <v/>
      </c>
      <c r="I241" s="30" t="inlineStr">
        <is>
          <t>Não</t>
        </is>
      </c>
    </row>
    <row r="242">
      <c r="A242" s="33" t="n">
        <v>46241</v>
      </c>
      <c r="B242" s="30" t="inlineStr">
        <is>
          <t>Bruno</t>
        </is>
      </c>
      <c r="C242" s="30" t="inlineStr">
        <is>
          <t>Comercial e propostas</t>
        </is>
      </c>
      <c r="D242" s="28" t="inlineStr">
        <is>
          <t>Proposta</t>
        </is>
      </c>
      <c r="E242" s="34" t="n">
        <v>4.5</v>
      </c>
      <c r="F242" s="25">
        <f>IF(OR(B242="",E242=""),"",E242*IFERROR(INDEX(Config!$D$11:$D$20,MATCH(B242,Config!$A$11:$A$20,0)),0))</f>
        <v/>
      </c>
      <c r="G242" s="24">
        <f>IF(A242="","",MONTH(A242))</f>
        <v/>
      </c>
      <c r="H242" s="24">
        <f>IF(A242="","",YEAR(A242))</f>
        <v/>
      </c>
      <c r="I242" s="30" t="inlineStr">
        <is>
          <t>Não</t>
        </is>
      </c>
    </row>
    <row r="243">
      <c r="A243" s="33" t="n">
        <v>46241</v>
      </c>
      <c r="B243" s="30" t="inlineStr">
        <is>
          <t>Carla</t>
        </is>
      </c>
      <c r="C243" s="30" t="inlineStr">
        <is>
          <t>Comercial e propostas</t>
        </is>
      </c>
      <c r="D243" s="28" t="inlineStr">
        <is>
          <t>Proposta</t>
        </is>
      </c>
      <c r="E243" s="34" t="n">
        <v>7.5</v>
      </c>
      <c r="F243" s="25">
        <f>IF(OR(B243="",E243=""),"",E243*IFERROR(INDEX(Config!$D$11:$D$20,MATCH(B243,Config!$A$11:$A$20,0)),0))</f>
        <v/>
      </c>
      <c r="G243" s="24">
        <f>IF(A243="","",MONTH(A243))</f>
        <v/>
      </c>
      <c r="H243" s="24">
        <f>IF(A243="","",YEAR(A243))</f>
        <v/>
      </c>
      <c r="I243" s="30" t="inlineStr">
        <is>
          <t>Não</t>
        </is>
      </c>
    </row>
    <row r="244">
      <c r="A244" s="33" t="n">
        <v>46241</v>
      </c>
      <c r="B244" s="30" t="inlineStr">
        <is>
          <t>Carla</t>
        </is>
      </c>
      <c r="C244" s="30" t="inlineStr">
        <is>
          <t>Gestão e reuniões</t>
        </is>
      </c>
      <c r="D244" s="28" t="inlineStr">
        <is>
          <t>Planejamento</t>
        </is>
      </c>
      <c r="E244" s="34" t="n">
        <v>1</v>
      </c>
      <c r="F244" s="25">
        <f>IF(OR(B244="",E244=""),"",E244*IFERROR(INDEX(Config!$D$11:$D$20,MATCH(B244,Config!$A$11:$A$20,0)),0))</f>
        <v/>
      </c>
      <c r="G244" s="24">
        <f>IF(A244="","",MONTH(A244))</f>
        <v/>
      </c>
      <c r="H244" s="24">
        <f>IF(A244="","",YEAR(A244))</f>
        <v/>
      </c>
      <c r="I244" s="30" t="inlineStr">
        <is>
          <t>Não</t>
        </is>
      </c>
    </row>
    <row r="245">
      <c r="A245" s="33" t="n">
        <v>46241</v>
      </c>
      <c r="B245" s="30" t="inlineStr">
        <is>
          <t>Diego</t>
        </is>
      </c>
      <c r="C245" s="30" t="inlineStr">
        <is>
          <t>Comercial e propostas</t>
        </is>
      </c>
      <c r="D245" s="28" t="inlineStr">
        <is>
          <t>Reunião comercial</t>
        </is>
      </c>
      <c r="E245" s="34" t="n">
        <v>3.5</v>
      </c>
      <c r="F245" s="25">
        <f>IF(OR(B245="",E245=""),"",E245*IFERROR(INDEX(Config!$D$11:$D$20,MATCH(B245,Config!$A$11:$A$20,0)),0))</f>
        <v/>
      </c>
      <c r="G245" s="24">
        <f>IF(A245="","",MONTH(A245))</f>
        <v/>
      </c>
      <c r="H245" s="24">
        <f>IF(A245="","",YEAR(A245))</f>
        <v/>
      </c>
      <c r="I245" s="30" t="inlineStr">
        <is>
          <t>Não</t>
        </is>
      </c>
    </row>
    <row r="246">
      <c r="A246" s="33" t="n">
        <v>46241</v>
      </c>
      <c r="B246" s="30" t="inlineStr">
        <is>
          <t>Diego</t>
        </is>
      </c>
      <c r="C246" s="30" t="inlineStr">
        <is>
          <t>Gestão e reuniões</t>
        </is>
      </c>
      <c r="D246" s="28" t="inlineStr">
        <is>
          <t>Planejamento</t>
        </is>
      </c>
      <c r="E246" s="34" t="n">
        <v>3.5</v>
      </c>
      <c r="F246" s="25">
        <f>IF(OR(B246="",E246=""),"",E246*IFERROR(INDEX(Config!$D$11:$D$20,MATCH(B246,Config!$A$11:$A$20,0)),0))</f>
        <v/>
      </c>
      <c r="G246" s="24">
        <f>IF(A246="","",MONTH(A246))</f>
        <v/>
      </c>
      <c r="H246" s="24">
        <f>IF(A246="","",YEAR(A246))</f>
        <v/>
      </c>
      <c r="I246" s="30" t="inlineStr">
        <is>
          <t>Não</t>
        </is>
      </c>
    </row>
    <row r="247">
      <c r="A247" s="33" t="n">
        <v>46244</v>
      </c>
      <c r="B247" s="30" t="inlineStr">
        <is>
          <t>Ana</t>
        </is>
      </c>
      <c r="C247" s="30" t="inlineStr">
        <is>
          <t>Site novo · Loja Verde</t>
        </is>
      </c>
      <c r="D247" s="28" t="inlineStr">
        <is>
          <t>Implementação</t>
        </is>
      </c>
      <c r="E247" s="34" t="n">
        <v>1.5</v>
      </c>
      <c r="F247" s="25">
        <f>IF(OR(B247="",E247=""),"",E247*IFERROR(INDEX(Config!$D$11:$D$20,MATCH(B247,Config!$A$11:$A$20,0)),0))</f>
        <v/>
      </c>
      <c r="G247" s="24">
        <f>IF(A247="","",MONTH(A247))</f>
        <v/>
      </c>
      <c r="H247" s="24">
        <f>IF(A247="","",YEAR(A247))</f>
        <v/>
      </c>
      <c r="I247" s="30" t="inlineStr">
        <is>
          <t>Sim</t>
        </is>
      </c>
    </row>
    <row r="248">
      <c r="A248" s="33" t="n">
        <v>46244</v>
      </c>
      <c r="B248" s="30" t="inlineStr">
        <is>
          <t>Ana</t>
        </is>
      </c>
      <c r="C248" s="30" t="inlineStr">
        <is>
          <t>Comercial e propostas</t>
        </is>
      </c>
      <c r="D248" s="28" t="inlineStr">
        <is>
          <t>Proposta</t>
        </is>
      </c>
      <c r="E248" s="34" t="n">
        <v>2.5</v>
      </c>
      <c r="F248" s="25">
        <f>IF(OR(B248="",E248=""),"",E248*IFERROR(INDEX(Config!$D$11:$D$20,MATCH(B248,Config!$A$11:$A$20,0)),0))</f>
        <v/>
      </c>
      <c r="G248" s="24">
        <f>IF(A248="","",MONTH(A248))</f>
        <v/>
      </c>
      <c r="H248" s="24">
        <f>IF(A248="","",YEAR(A248))</f>
        <v/>
      </c>
      <c r="I248" s="30" t="inlineStr">
        <is>
          <t>Não</t>
        </is>
      </c>
    </row>
    <row r="249">
      <c r="A249" s="33" t="n">
        <v>46244</v>
      </c>
      <c r="B249" s="30" t="inlineStr">
        <is>
          <t>Ana</t>
        </is>
      </c>
      <c r="C249" s="30" t="inlineStr">
        <is>
          <t>Gestão e reuniões</t>
        </is>
      </c>
      <c r="D249" s="28" t="inlineStr">
        <is>
          <t>Planejamento</t>
        </is>
      </c>
      <c r="E249" s="34" t="n">
        <v>2.5</v>
      </c>
      <c r="F249" s="25">
        <f>IF(OR(B249="",E249=""),"",E249*IFERROR(INDEX(Config!$D$11:$D$20,MATCH(B249,Config!$A$11:$A$20,0)),0))</f>
        <v/>
      </c>
      <c r="G249" s="24">
        <f>IF(A249="","",MONTH(A249))</f>
        <v/>
      </c>
      <c r="H249" s="24">
        <f>IF(A249="","",YEAR(A249))</f>
        <v/>
      </c>
      <c r="I249" s="30" t="inlineStr">
        <is>
          <t>Não</t>
        </is>
      </c>
    </row>
    <row r="250">
      <c r="A250" s="33" t="n">
        <v>46244</v>
      </c>
      <c r="B250" s="30" t="inlineStr">
        <is>
          <t>Bruno</t>
        </is>
      </c>
      <c r="C250" s="30" t="inlineStr">
        <is>
          <t>Site novo · Loja Verde</t>
        </is>
      </c>
      <c r="D250" s="28" t="inlineStr">
        <is>
          <t>Wireframe</t>
        </is>
      </c>
      <c r="E250" s="34" t="n">
        <v>3</v>
      </c>
      <c r="F250" s="25">
        <f>IF(OR(B250="",E250=""),"",E250*IFERROR(INDEX(Config!$D$11:$D$20,MATCH(B250,Config!$A$11:$A$20,0)),0))</f>
        <v/>
      </c>
      <c r="G250" s="24">
        <f>IF(A250="","",MONTH(A250))</f>
        <v/>
      </c>
      <c r="H250" s="24">
        <f>IF(A250="","",YEAR(A250))</f>
        <v/>
      </c>
      <c r="I250" s="30" t="inlineStr">
        <is>
          <t>Sim</t>
        </is>
      </c>
    </row>
    <row r="251">
      <c r="A251" s="33" t="n">
        <v>46244</v>
      </c>
      <c r="B251" s="30" t="inlineStr">
        <is>
          <t>Bruno</t>
        </is>
      </c>
      <c r="C251" s="30" t="inlineStr">
        <is>
          <t>Identidade visual · Padaria do Sol</t>
        </is>
      </c>
      <c r="D251" s="28" t="inlineStr">
        <is>
          <t>Aplicações</t>
        </is>
      </c>
      <c r="E251" s="34" t="n">
        <v>1.5</v>
      </c>
      <c r="F251" s="25">
        <f>IF(OR(B251="",E251=""),"",E251*IFERROR(INDEX(Config!$D$11:$D$20,MATCH(B251,Config!$A$11:$A$20,0)),0))</f>
        <v/>
      </c>
      <c r="G251" s="24">
        <f>IF(A251="","",MONTH(A251))</f>
        <v/>
      </c>
      <c r="H251" s="24">
        <f>IF(A251="","",YEAR(A251))</f>
        <v/>
      </c>
      <c r="I251" s="30" t="inlineStr">
        <is>
          <t>Sim</t>
        </is>
      </c>
    </row>
    <row r="252">
      <c r="A252" s="33" t="n">
        <v>46244</v>
      </c>
      <c r="B252" s="30" t="inlineStr">
        <is>
          <t>Bruno</t>
        </is>
      </c>
      <c r="C252" s="30" t="inlineStr">
        <is>
          <t>Gestão e reuniões</t>
        </is>
      </c>
      <c r="D252" s="28" t="inlineStr">
        <is>
          <t>Planejamento</t>
        </is>
      </c>
      <c r="E252" s="34" t="n">
        <v>1</v>
      </c>
      <c r="F252" s="25">
        <f>IF(OR(B252="",E252=""),"",E252*IFERROR(INDEX(Config!$D$11:$D$20,MATCH(B252,Config!$A$11:$A$20,0)),0))</f>
        <v/>
      </c>
      <c r="G252" s="24">
        <f>IF(A252="","",MONTH(A252))</f>
        <v/>
      </c>
      <c r="H252" s="24">
        <f>IF(A252="","",YEAR(A252))</f>
        <v/>
      </c>
      <c r="I252" s="30" t="inlineStr">
        <is>
          <t>Não</t>
        </is>
      </c>
    </row>
    <row r="253">
      <c r="A253" s="33" t="n">
        <v>46244</v>
      </c>
      <c r="B253" s="30" t="inlineStr">
        <is>
          <t>Carla</t>
        </is>
      </c>
      <c r="C253" s="30" t="inlineStr">
        <is>
          <t>Site novo · Loja Verde</t>
        </is>
      </c>
      <c r="D253" s="28" t="inlineStr">
        <is>
          <t>Implementação</t>
        </is>
      </c>
      <c r="E253" s="34" t="n">
        <v>2</v>
      </c>
      <c r="F253" s="25">
        <f>IF(OR(B253="",E253=""),"",E253*IFERROR(INDEX(Config!$D$11:$D$20,MATCH(B253,Config!$A$11:$A$20,0)),0))</f>
        <v/>
      </c>
      <c r="G253" s="24">
        <f>IF(A253="","",MONTH(A253))</f>
        <v/>
      </c>
      <c r="H253" s="24">
        <f>IF(A253="","",YEAR(A253))</f>
        <v/>
      </c>
      <c r="I253" s="30" t="inlineStr">
        <is>
          <t>Sim</t>
        </is>
      </c>
    </row>
    <row r="254">
      <c r="A254" s="33" t="n">
        <v>46244</v>
      </c>
      <c r="B254" s="30" t="inlineStr">
        <is>
          <t>Carla</t>
        </is>
      </c>
      <c r="C254" s="30" t="inlineStr">
        <is>
          <t>Comercial e propostas</t>
        </is>
      </c>
      <c r="D254" s="28" t="inlineStr">
        <is>
          <t>Reunião comercial</t>
        </is>
      </c>
      <c r="E254" s="34" t="n">
        <v>2.5</v>
      </c>
      <c r="F254" s="25">
        <f>IF(OR(B254="",E254=""),"",E254*IFERROR(INDEX(Config!$D$11:$D$20,MATCH(B254,Config!$A$11:$A$20,0)),0))</f>
        <v/>
      </c>
      <c r="G254" s="24">
        <f>IF(A254="","",MONTH(A254))</f>
        <v/>
      </c>
      <c r="H254" s="24">
        <f>IF(A254="","",YEAR(A254))</f>
        <v/>
      </c>
      <c r="I254" s="30" t="inlineStr">
        <is>
          <t>Não</t>
        </is>
      </c>
    </row>
    <row r="255">
      <c r="A255" s="33" t="n">
        <v>46244</v>
      </c>
      <c r="B255" s="30" t="inlineStr">
        <is>
          <t>Carla</t>
        </is>
      </c>
      <c r="C255" s="30" t="inlineStr">
        <is>
          <t>Gestão e reuniões</t>
        </is>
      </c>
      <c r="D255" s="28" t="inlineStr">
        <is>
          <t>Financeiro</t>
        </is>
      </c>
      <c r="E255" s="34" t="n">
        <v>1</v>
      </c>
      <c r="F255" s="25">
        <f>IF(OR(B255="",E255=""),"",E255*IFERROR(INDEX(Config!$D$11:$D$20,MATCH(B255,Config!$A$11:$A$20,0)),0))</f>
        <v/>
      </c>
      <c r="G255" s="24">
        <f>IF(A255="","",MONTH(A255))</f>
        <v/>
      </c>
      <c r="H255" s="24">
        <f>IF(A255="","",YEAR(A255))</f>
        <v/>
      </c>
      <c r="I255" s="30" t="inlineStr">
        <is>
          <t>Não</t>
        </is>
      </c>
    </row>
    <row r="256">
      <c r="A256" s="33" t="n">
        <v>46244</v>
      </c>
      <c r="B256" s="30" t="inlineStr">
        <is>
          <t>Diego</t>
        </is>
      </c>
      <c r="C256" s="30" t="inlineStr">
        <is>
          <t>Site novo · Loja Verde</t>
        </is>
      </c>
      <c r="D256" s="28" t="inlineStr">
        <is>
          <t>Implementação</t>
        </is>
      </c>
      <c r="E256" s="34" t="n">
        <v>5</v>
      </c>
      <c r="F256" s="25">
        <f>IF(OR(B256="",E256=""),"",E256*IFERROR(INDEX(Config!$D$11:$D$20,MATCH(B256,Config!$A$11:$A$20,0)),0))</f>
        <v/>
      </c>
      <c r="G256" s="24">
        <f>IF(A256="","",MONTH(A256))</f>
        <v/>
      </c>
      <c r="H256" s="24">
        <f>IF(A256="","",YEAR(A256))</f>
        <v/>
      </c>
      <c r="I256" s="30" t="inlineStr">
        <is>
          <t>Sim</t>
        </is>
      </c>
    </row>
    <row r="257">
      <c r="A257" s="33" t="n">
        <v>46244</v>
      </c>
      <c r="B257" s="30" t="inlineStr">
        <is>
          <t>Diego</t>
        </is>
      </c>
      <c r="C257" s="30" t="inlineStr">
        <is>
          <t>Comercial e propostas</t>
        </is>
      </c>
      <c r="D257" s="28" t="inlineStr">
        <is>
          <t>Proposta</t>
        </is>
      </c>
      <c r="E257" s="34" t="n">
        <v>1</v>
      </c>
      <c r="F257" s="25">
        <f>IF(OR(B257="",E257=""),"",E257*IFERROR(INDEX(Config!$D$11:$D$20,MATCH(B257,Config!$A$11:$A$20,0)),0))</f>
        <v/>
      </c>
      <c r="G257" s="24">
        <f>IF(A257="","",MONTH(A257))</f>
        <v/>
      </c>
      <c r="H257" s="24">
        <f>IF(A257="","",YEAR(A257))</f>
        <v/>
      </c>
      <c r="I257" s="30" t="inlineStr">
        <is>
          <t>Não</t>
        </is>
      </c>
    </row>
    <row r="258">
      <c r="A258" s="33" t="n">
        <v>46244</v>
      </c>
      <c r="B258" s="30" t="inlineStr">
        <is>
          <t>Diego</t>
        </is>
      </c>
      <c r="C258" s="30" t="inlineStr">
        <is>
          <t>Gestão e reuniões</t>
        </is>
      </c>
      <c r="D258" s="28" t="inlineStr">
        <is>
          <t>Planejamento</t>
        </is>
      </c>
      <c r="E258" s="34" t="n">
        <v>2.5</v>
      </c>
      <c r="F258" s="25">
        <f>IF(OR(B258="",E258=""),"",E258*IFERROR(INDEX(Config!$D$11:$D$20,MATCH(B258,Config!$A$11:$A$20,0)),0))</f>
        <v/>
      </c>
      <c r="G258" s="24">
        <f>IF(A258="","",MONTH(A258))</f>
        <v/>
      </c>
      <c r="H258" s="24">
        <f>IF(A258="","",YEAR(A258))</f>
        <v/>
      </c>
      <c r="I258" s="30" t="inlineStr">
        <is>
          <t>Não</t>
        </is>
      </c>
    </row>
    <row r="259">
      <c r="A259" s="33" t="n">
        <v>46245</v>
      </c>
      <c r="B259" s="30" t="inlineStr">
        <is>
          <t>Ana</t>
        </is>
      </c>
      <c r="C259" s="30" t="inlineStr">
        <is>
          <t>Site novo · Loja Verde</t>
        </is>
      </c>
      <c r="D259" s="28" t="inlineStr">
        <is>
          <t>Wireframe</t>
        </is>
      </c>
      <c r="E259" s="34" t="n">
        <v>2</v>
      </c>
      <c r="F259" s="25">
        <f>IF(OR(B259="",E259=""),"",E259*IFERROR(INDEX(Config!$D$11:$D$20,MATCH(B259,Config!$A$11:$A$20,0)),0))</f>
        <v/>
      </c>
      <c r="G259" s="24">
        <f>IF(A259="","",MONTH(A259))</f>
        <v/>
      </c>
      <c r="H259" s="24">
        <f>IF(A259="","",YEAR(A259))</f>
        <v/>
      </c>
      <c r="I259" s="30" t="inlineStr">
        <is>
          <t>Sim</t>
        </is>
      </c>
    </row>
    <row r="260">
      <c r="A260" s="33" t="n">
        <v>46245</v>
      </c>
      <c r="B260" s="30" t="inlineStr">
        <is>
          <t>Ana</t>
        </is>
      </c>
      <c r="C260" s="30" t="inlineStr">
        <is>
          <t>Comercial e propostas</t>
        </is>
      </c>
      <c r="D260" s="28" t="inlineStr">
        <is>
          <t>Proposta</t>
        </is>
      </c>
      <c r="E260" s="34" t="n">
        <v>2</v>
      </c>
      <c r="F260" s="25">
        <f>IF(OR(B260="",E260=""),"",E260*IFERROR(INDEX(Config!$D$11:$D$20,MATCH(B260,Config!$A$11:$A$20,0)),0))</f>
        <v/>
      </c>
      <c r="G260" s="24">
        <f>IF(A260="","",MONTH(A260))</f>
        <v/>
      </c>
      <c r="H260" s="24">
        <f>IF(A260="","",YEAR(A260))</f>
        <v/>
      </c>
      <c r="I260" s="30" t="inlineStr">
        <is>
          <t>Não</t>
        </is>
      </c>
    </row>
    <row r="261">
      <c r="A261" s="33" t="n">
        <v>46245</v>
      </c>
      <c r="B261" s="30" t="inlineStr">
        <is>
          <t>Ana</t>
        </is>
      </c>
      <c r="C261" s="30" t="inlineStr">
        <is>
          <t>Gestão e reuniões</t>
        </is>
      </c>
      <c r="D261" s="28" t="inlineStr">
        <is>
          <t>Semanal</t>
        </is>
      </c>
      <c r="E261" s="34" t="n">
        <v>2</v>
      </c>
      <c r="F261" s="25">
        <f>IF(OR(B261="",E261=""),"",E261*IFERROR(INDEX(Config!$D$11:$D$20,MATCH(B261,Config!$A$11:$A$20,0)),0))</f>
        <v/>
      </c>
      <c r="G261" s="24">
        <f>IF(A261="","",MONTH(A261))</f>
        <v/>
      </c>
      <c r="H261" s="24">
        <f>IF(A261="","",YEAR(A261))</f>
        <v/>
      </c>
      <c r="I261" s="30" t="inlineStr">
        <is>
          <t>Não</t>
        </is>
      </c>
    </row>
    <row r="262">
      <c r="A262" s="33" t="n">
        <v>46245</v>
      </c>
      <c r="B262" s="30" t="inlineStr">
        <is>
          <t>Bruno</t>
        </is>
      </c>
      <c r="C262" s="30" t="inlineStr">
        <is>
          <t>Site novo · Loja Verde</t>
        </is>
      </c>
      <c r="D262" s="28" t="inlineStr">
        <is>
          <t>Reunião com cliente</t>
        </is>
      </c>
      <c r="E262" s="34" t="n">
        <v>6</v>
      </c>
      <c r="F262" s="25">
        <f>IF(OR(B262="",E262=""),"",E262*IFERROR(INDEX(Config!$D$11:$D$20,MATCH(B262,Config!$A$11:$A$20,0)),0))</f>
        <v/>
      </c>
      <c r="G262" s="24">
        <f>IF(A262="","",MONTH(A262))</f>
        <v/>
      </c>
      <c r="H262" s="24">
        <f>IF(A262="","",YEAR(A262))</f>
        <v/>
      </c>
      <c r="I262" s="30" t="inlineStr">
        <is>
          <t>Sim</t>
        </is>
      </c>
    </row>
    <row r="263">
      <c r="A263" s="33" t="n">
        <v>46245</v>
      </c>
      <c r="B263" s="30" t="inlineStr">
        <is>
          <t>Bruno</t>
        </is>
      </c>
      <c r="C263" s="30" t="inlineStr">
        <is>
          <t>Identidade visual · Padaria do Sol</t>
        </is>
      </c>
      <c r="D263" s="28" t="inlineStr">
        <is>
          <t>Aplicações</t>
        </is>
      </c>
      <c r="E263" s="34" t="n">
        <v>2</v>
      </c>
      <c r="F263" s="25">
        <f>IF(OR(B263="",E263=""),"",E263*IFERROR(INDEX(Config!$D$11:$D$20,MATCH(B263,Config!$A$11:$A$20,0)),0))</f>
        <v/>
      </c>
      <c r="G263" s="24">
        <f>IF(A263="","",MONTH(A263))</f>
        <v/>
      </c>
      <c r="H263" s="24">
        <f>IF(A263="","",YEAR(A263))</f>
        <v/>
      </c>
      <c r="I263" s="30" t="inlineStr">
        <is>
          <t>Sim</t>
        </is>
      </c>
    </row>
    <row r="264">
      <c r="A264" s="33" t="n">
        <v>46245</v>
      </c>
      <c r="B264" s="30" t="inlineStr">
        <is>
          <t>Bruno</t>
        </is>
      </c>
      <c r="C264" s="30" t="inlineStr">
        <is>
          <t>Gestão e reuniões</t>
        </is>
      </c>
      <c r="D264" s="28" t="inlineStr">
        <is>
          <t>Financeiro</t>
        </is>
      </c>
      <c r="E264" s="34" t="n">
        <v>1.5</v>
      </c>
      <c r="F264" s="25">
        <f>IF(OR(B264="",E264=""),"",E264*IFERROR(INDEX(Config!$D$11:$D$20,MATCH(B264,Config!$A$11:$A$20,0)),0))</f>
        <v/>
      </c>
      <c r="G264" s="24">
        <f>IF(A264="","",MONTH(A264))</f>
        <v/>
      </c>
      <c r="H264" s="24">
        <f>IF(A264="","",YEAR(A264))</f>
        <v/>
      </c>
      <c r="I264" s="30" t="inlineStr">
        <is>
          <t>Não</t>
        </is>
      </c>
    </row>
    <row r="265">
      <c r="A265" s="33" t="n">
        <v>46245</v>
      </c>
      <c r="B265" s="30" t="inlineStr">
        <is>
          <t>Carla</t>
        </is>
      </c>
      <c r="C265" s="30" t="inlineStr">
        <is>
          <t>Site novo · Loja Verde</t>
        </is>
      </c>
      <c r="D265" s="28" t="inlineStr">
        <is>
          <t>Reunião com cliente</t>
        </is>
      </c>
      <c r="E265" s="34" t="n">
        <v>2</v>
      </c>
      <c r="F265" s="25">
        <f>IF(OR(B265="",E265=""),"",E265*IFERROR(INDEX(Config!$D$11:$D$20,MATCH(B265,Config!$A$11:$A$20,0)),0))</f>
        <v/>
      </c>
      <c r="G265" s="24">
        <f>IF(A265="","",MONTH(A265))</f>
        <v/>
      </c>
      <c r="H265" s="24">
        <f>IF(A265="","",YEAR(A265))</f>
        <v/>
      </c>
      <c r="I265" s="30" t="inlineStr">
        <is>
          <t>Sim</t>
        </is>
      </c>
    </row>
    <row r="266">
      <c r="A266" s="33" t="n">
        <v>46245</v>
      </c>
      <c r="B266" s="30" t="inlineStr">
        <is>
          <t>Carla</t>
        </is>
      </c>
      <c r="C266" s="30" t="inlineStr">
        <is>
          <t>Comercial e propostas</t>
        </is>
      </c>
      <c r="D266" s="28" t="inlineStr">
        <is>
          <t>Reunião comercial</t>
        </is>
      </c>
      <c r="E266" s="34" t="n">
        <v>3.5</v>
      </c>
      <c r="F266" s="25">
        <f>IF(OR(B266="",E266=""),"",E266*IFERROR(INDEX(Config!$D$11:$D$20,MATCH(B266,Config!$A$11:$A$20,0)),0))</f>
        <v/>
      </c>
      <c r="G266" s="24">
        <f>IF(A266="","",MONTH(A266))</f>
        <v/>
      </c>
      <c r="H266" s="24">
        <f>IF(A266="","",YEAR(A266))</f>
        <v/>
      </c>
      <c r="I266" s="30" t="inlineStr">
        <is>
          <t>Não</t>
        </is>
      </c>
    </row>
    <row r="267">
      <c r="A267" s="33" t="n">
        <v>46245</v>
      </c>
      <c r="B267" s="30" t="inlineStr">
        <is>
          <t>Carla</t>
        </is>
      </c>
      <c r="C267" s="30" t="inlineStr">
        <is>
          <t>Gestão e reuniões</t>
        </is>
      </c>
      <c r="D267" s="28" t="inlineStr">
        <is>
          <t>Financeiro</t>
        </is>
      </c>
      <c r="E267" s="34" t="n">
        <v>1</v>
      </c>
      <c r="F267" s="25">
        <f>IF(OR(B267="",E267=""),"",E267*IFERROR(INDEX(Config!$D$11:$D$20,MATCH(B267,Config!$A$11:$A$20,0)),0))</f>
        <v/>
      </c>
      <c r="G267" s="24">
        <f>IF(A267="","",MONTH(A267))</f>
        <v/>
      </c>
      <c r="H267" s="24">
        <f>IF(A267="","",YEAR(A267))</f>
        <v/>
      </c>
      <c r="I267" s="30" t="inlineStr">
        <is>
          <t>Não</t>
        </is>
      </c>
    </row>
    <row r="268">
      <c r="A268" s="33" t="n">
        <v>46245</v>
      </c>
      <c r="B268" s="30" t="inlineStr">
        <is>
          <t>Diego</t>
        </is>
      </c>
      <c r="C268" s="30" t="inlineStr">
        <is>
          <t>Site novo · Loja Verde</t>
        </is>
      </c>
      <c r="D268" s="28" t="inlineStr">
        <is>
          <t>Textos</t>
        </is>
      </c>
      <c r="E268" s="34" t="n">
        <v>6</v>
      </c>
      <c r="F268" s="25">
        <f>IF(OR(B268="",E268=""),"",E268*IFERROR(INDEX(Config!$D$11:$D$20,MATCH(B268,Config!$A$11:$A$20,0)),0))</f>
        <v/>
      </c>
      <c r="G268" s="24">
        <f>IF(A268="","",MONTH(A268))</f>
        <v/>
      </c>
      <c r="H268" s="24">
        <f>IF(A268="","",YEAR(A268))</f>
        <v/>
      </c>
      <c r="I268" s="30" t="inlineStr">
        <is>
          <t>Sim</t>
        </is>
      </c>
    </row>
    <row r="269">
      <c r="A269" s="33" t="n">
        <v>46245</v>
      </c>
      <c r="B269" s="30" t="inlineStr">
        <is>
          <t>Diego</t>
        </is>
      </c>
      <c r="C269" s="30" t="inlineStr">
        <is>
          <t>Comercial e propostas</t>
        </is>
      </c>
      <c r="D269" s="28" t="inlineStr">
        <is>
          <t>Proposta</t>
        </is>
      </c>
      <c r="E269" s="34" t="n">
        <v>0.5</v>
      </c>
      <c r="F269" s="25">
        <f>IF(OR(B269="",E269=""),"",E269*IFERROR(INDEX(Config!$D$11:$D$20,MATCH(B269,Config!$A$11:$A$20,0)),0))</f>
        <v/>
      </c>
      <c r="G269" s="24">
        <f>IF(A269="","",MONTH(A269))</f>
        <v/>
      </c>
      <c r="H269" s="24">
        <f>IF(A269="","",YEAR(A269))</f>
        <v/>
      </c>
      <c r="I269" s="30" t="inlineStr">
        <is>
          <t>Não</t>
        </is>
      </c>
    </row>
    <row r="270">
      <c r="A270" s="33" t="n">
        <v>46245</v>
      </c>
      <c r="B270" s="30" t="inlineStr">
        <is>
          <t>Diego</t>
        </is>
      </c>
      <c r="C270" s="30" t="inlineStr">
        <is>
          <t>Gestão e reuniões</t>
        </is>
      </c>
      <c r="D270" s="28" t="inlineStr">
        <is>
          <t>Planejamento</t>
        </is>
      </c>
      <c r="E270" s="34" t="n">
        <v>2.5</v>
      </c>
      <c r="F270" s="25">
        <f>IF(OR(B270="",E270=""),"",E270*IFERROR(INDEX(Config!$D$11:$D$20,MATCH(B270,Config!$A$11:$A$20,0)),0))</f>
        <v/>
      </c>
      <c r="G270" s="24">
        <f>IF(A270="","",MONTH(A270))</f>
        <v/>
      </c>
      <c r="H270" s="24">
        <f>IF(A270="","",YEAR(A270))</f>
        <v/>
      </c>
      <c r="I270" s="30" t="inlineStr">
        <is>
          <t>Não</t>
        </is>
      </c>
    </row>
    <row r="271">
      <c r="A271" s="33" t="n">
        <v>46246</v>
      </c>
      <c r="B271" s="30" t="inlineStr">
        <is>
          <t>Ana</t>
        </is>
      </c>
      <c r="C271" s="30" t="inlineStr">
        <is>
          <t>Site novo · Loja Verde</t>
        </is>
      </c>
      <c r="D271" s="28" t="inlineStr">
        <is>
          <t>Implementação</t>
        </is>
      </c>
      <c r="E271" s="34" t="n">
        <v>2</v>
      </c>
      <c r="F271" s="25">
        <f>IF(OR(B271="",E271=""),"",E271*IFERROR(INDEX(Config!$D$11:$D$20,MATCH(B271,Config!$A$11:$A$20,0)),0))</f>
        <v/>
      </c>
      <c r="G271" s="24">
        <f>IF(A271="","",MONTH(A271))</f>
        <v/>
      </c>
      <c r="H271" s="24">
        <f>IF(A271="","",YEAR(A271))</f>
        <v/>
      </c>
      <c r="I271" s="30" t="inlineStr">
        <is>
          <t>Sim</t>
        </is>
      </c>
    </row>
    <row r="272">
      <c r="A272" s="33" t="n">
        <v>46246</v>
      </c>
      <c r="B272" s="30" t="inlineStr">
        <is>
          <t>Ana</t>
        </is>
      </c>
      <c r="C272" s="30" t="inlineStr">
        <is>
          <t>Comercial e propostas</t>
        </is>
      </c>
      <c r="D272" s="28" t="inlineStr">
        <is>
          <t>Reunião comercial</t>
        </is>
      </c>
      <c r="E272" s="34" t="n">
        <v>2</v>
      </c>
      <c r="F272" s="25">
        <f>IF(OR(B272="",E272=""),"",E272*IFERROR(INDEX(Config!$D$11:$D$20,MATCH(B272,Config!$A$11:$A$20,0)),0))</f>
        <v/>
      </c>
      <c r="G272" s="24">
        <f>IF(A272="","",MONTH(A272))</f>
        <v/>
      </c>
      <c r="H272" s="24">
        <f>IF(A272="","",YEAR(A272))</f>
        <v/>
      </c>
      <c r="I272" s="30" t="inlineStr">
        <is>
          <t>Não</t>
        </is>
      </c>
    </row>
    <row r="273">
      <c r="A273" s="33" t="n">
        <v>46246</v>
      </c>
      <c r="B273" s="30" t="inlineStr">
        <is>
          <t>Ana</t>
        </is>
      </c>
      <c r="C273" s="30" t="inlineStr">
        <is>
          <t>Gestão e reuniões</t>
        </is>
      </c>
      <c r="D273" s="28" t="inlineStr">
        <is>
          <t>Semanal</t>
        </is>
      </c>
      <c r="E273" s="34" t="n">
        <v>3</v>
      </c>
      <c r="F273" s="25">
        <f>IF(OR(B273="",E273=""),"",E273*IFERROR(INDEX(Config!$D$11:$D$20,MATCH(B273,Config!$A$11:$A$20,0)),0))</f>
        <v/>
      </c>
      <c r="G273" s="24">
        <f>IF(A273="","",MONTH(A273))</f>
        <v/>
      </c>
      <c r="H273" s="24">
        <f>IF(A273="","",YEAR(A273))</f>
        <v/>
      </c>
      <c r="I273" s="30" t="inlineStr">
        <is>
          <t>Não</t>
        </is>
      </c>
    </row>
    <row r="274">
      <c r="A274" s="33" t="n">
        <v>46246</v>
      </c>
      <c r="B274" s="30" t="inlineStr">
        <is>
          <t>Bruno</t>
        </is>
      </c>
      <c r="C274" s="30" t="inlineStr">
        <is>
          <t>Site novo · Loja Verde</t>
        </is>
      </c>
      <c r="D274" s="28" t="inlineStr">
        <is>
          <t>Textos</t>
        </is>
      </c>
      <c r="E274" s="34" t="n">
        <v>6.5</v>
      </c>
      <c r="F274" s="25">
        <f>IF(OR(B274="",E274=""),"",E274*IFERROR(INDEX(Config!$D$11:$D$20,MATCH(B274,Config!$A$11:$A$20,0)),0))</f>
        <v/>
      </c>
      <c r="G274" s="24">
        <f>IF(A274="","",MONTH(A274))</f>
        <v/>
      </c>
      <c r="H274" s="24">
        <f>IF(A274="","",YEAR(A274))</f>
        <v/>
      </c>
      <c r="I274" s="30" t="inlineStr">
        <is>
          <t>Sim</t>
        </is>
      </c>
    </row>
    <row r="275">
      <c r="A275" s="33" t="n">
        <v>46246</v>
      </c>
      <c r="B275" s="30" t="inlineStr">
        <is>
          <t>Bruno</t>
        </is>
      </c>
      <c r="C275" s="30" t="inlineStr">
        <is>
          <t>Identidade visual · Padaria do Sol</t>
        </is>
      </c>
      <c r="D275" s="28" t="inlineStr">
        <is>
          <t>Logo</t>
        </is>
      </c>
      <c r="E275" s="34" t="n">
        <v>1.5</v>
      </c>
      <c r="F275" s="25">
        <f>IF(OR(B275="",E275=""),"",E275*IFERROR(INDEX(Config!$D$11:$D$20,MATCH(B275,Config!$A$11:$A$20,0)),0))</f>
        <v/>
      </c>
      <c r="G275" s="24">
        <f>IF(A275="","",MONTH(A275))</f>
        <v/>
      </c>
      <c r="H275" s="24">
        <f>IF(A275="","",YEAR(A275))</f>
        <v/>
      </c>
      <c r="I275" s="30" t="inlineStr">
        <is>
          <t>Sim</t>
        </is>
      </c>
    </row>
    <row r="276">
      <c r="A276" s="33" t="n">
        <v>46246</v>
      </c>
      <c r="B276" s="30" t="inlineStr">
        <is>
          <t>Bruno</t>
        </is>
      </c>
      <c r="C276" s="30" t="inlineStr">
        <is>
          <t>Gestão e reuniões</t>
        </is>
      </c>
      <c r="D276" s="28" t="inlineStr">
        <is>
          <t>Financeiro</t>
        </is>
      </c>
      <c r="E276" s="34" t="n">
        <v>1</v>
      </c>
      <c r="F276" s="25">
        <f>IF(OR(B276="",E276=""),"",E276*IFERROR(INDEX(Config!$D$11:$D$20,MATCH(B276,Config!$A$11:$A$20,0)),0))</f>
        <v/>
      </c>
      <c r="G276" s="24">
        <f>IF(A276="","",MONTH(A276))</f>
        <v/>
      </c>
      <c r="H276" s="24">
        <f>IF(A276="","",YEAR(A276))</f>
        <v/>
      </c>
      <c r="I276" s="30" t="inlineStr">
        <is>
          <t>Não</t>
        </is>
      </c>
    </row>
    <row r="277">
      <c r="A277" s="33" t="n">
        <v>46246</v>
      </c>
      <c r="B277" s="30" t="inlineStr">
        <is>
          <t>Carla</t>
        </is>
      </c>
      <c r="C277" s="30" t="inlineStr">
        <is>
          <t>Site novo · Loja Verde</t>
        </is>
      </c>
      <c r="D277" s="28" t="inlineStr">
        <is>
          <t>Layout</t>
        </is>
      </c>
      <c r="E277" s="34" t="n">
        <v>2.5</v>
      </c>
      <c r="F277" s="25">
        <f>IF(OR(B277="",E277=""),"",E277*IFERROR(INDEX(Config!$D$11:$D$20,MATCH(B277,Config!$A$11:$A$20,0)),0))</f>
        <v/>
      </c>
      <c r="G277" s="24">
        <f>IF(A277="","",MONTH(A277))</f>
        <v/>
      </c>
      <c r="H277" s="24">
        <f>IF(A277="","",YEAR(A277))</f>
        <v/>
      </c>
      <c r="I277" s="30" t="inlineStr">
        <is>
          <t>Sim</t>
        </is>
      </c>
    </row>
    <row r="278">
      <c r="A278" s="33" t="n">
        <v>46246</v>
      </c>
      <c r="B278" s="30" t="inlineStr">
        <is>
          <t>Carla</t>
        </is>
      </c>
      <c r="C278" s="30" t="inlineStr">
        <is>
          <t>Comercial e propostas</t>
        </is>
      </c>
      <c r="D278" s="28" t="inlineStr">
        <is>
          <t>Proposta</t>
        </is>
      </c>
      <c r="E278" s="34" t="n">
        <v>3</v>
      </c>
      <c r="F278" s="25">
        <f>IF(OR(B278="",E278=""),"",E278*IFERROR(INDEX(Config!$D$11:$D$20,MATCH(B278,Config!$A$11:$A$20,0)),0))</f>
        <v/>
      </c>
      <c r="G278" s="24">
        <f>IF(A278="","",MONTH(A278))</f>
        <v/>
      </c>
      <c r="H278" s="24">
        <f>IF(A278="","",YEAR(A278))</f>
        <v/>
      </c>
      <c r="I278" s="30" t="inlineStr">
        <is>
          <t>Não</t>
        </is>
      </c>
    </row>
    <row r="279">
      <c r="A279" s="33" t="n">
        <v>46246</v>
      </c>
      <c r="B279" s="30" t="inlineStr">
        <is>
          <t>Carla</t>
        </is>
      </c>
      <c r="C279" s="30" t="inlineStr">
        <is>
          <t>Gestão e reuniões</t>
        </is>
      </c>
      <c r="D279" s="28" t="inlineStr">
        <is>
          <t>Planejamento</t>
        </is>
      </c>
      <c r="E279" s="34" t="n">
        <v>1.5</v>
      </c>
      <c r="F279" s="25">
        <f>IF(OR(B279="",E279=""),"",E279*IFERROR(INDEX(Config!$D$11:$D$20,MATCH(B279,Config!$A$11:$A$20,0)),0))</f>
        <v/>
      </c>
      <c r="G279" s="24">
        <f>IF(A279="","",MONTH(A279))</f>
        <v/>
      </c>
      <c r="H279" s="24">
        <f>IF(A279="","",YEAR(A279))</f>
        <v/>
      </c>
      <c r="I279" s="30" t="inlineStr">
        <is>
          <t>Não</t>
        </is>
      </c>
    </row>
    <row r="280">
      <c r="A280" s="33" t="n">
        <v>46246</v>
      </c>
      <c r="B280" s="30" t="inlineStr">
        <is>
          <t>Diego</t>
        </is>
      </c>
      <c r="C280" s="30" t="inlineStr">
        <is>
          <t>Site novo · Loja Verde</t>
        </is>
      </c>
      <c r="D280" s="28" t="inlineStr">
        <is>
          <t>Layout</t>
        </is>
      </c>
      <c r="E280" s="34" t="n">
        <v>4</v>
      </c>
      <c r="F280" s="25">
        <f>IF(OR(B280="",E280=""),"",E280*IFERROR(INDEX(Config!$D$11:$D$20,MATCH(B280,Config!$A$11:$A$20,0)),0))</f>
        <v/>
      </c>
      <c r="G280" s="24">
        <f>IF(A280="","",MONTH(A280))</f>
        <v/>
      </c>
      <c r="H280" s="24">
        <f>IF(A280="","",YEAR(A280))</f>
        <v/>
      </c>
      <c r="I280" s="30" t="inlineStr">
        <is>
          <t>Sim</t>
        </is>
      </c>
    </row>
    <row r="281">
      <c r="A281" s="33" t="n">
        <v>46246</v>
      </c>
      <c r="B281" s="30" t="inlineStr">
        <is>
          <t>Diego</t>
        </is>
      </c>
      <c r="C281" s="30" t="inlineStr">
        <is>
          <t>Comercial e propostas</t>
        </is>
      </c>
      <c r="D281" s="28" t="inlineStr">
        <is>
          <t>Proposta</t>
        </is>
      </c>
      <c r="E281" s="34" t="n">
        <v>1</v>
      </c>
      <c r="F281" s="25">
        <f>IF(OR(B281="",E281=""),"",E281*IFERROR(INDEX(Config!$D$11:$D$20,MATCH(B281,Config!$A$11:$A$20,0)),0))</f>
        <v/>
      </c>
      <c r="G281" s="24">
        <f>IF(A281="","",MONTH(A281))</f>
        <v/>
      </c>
      <c r="H281" s="24">
        <f>IF(A281="","",YEAR(A281))</f>
        <v/>
      </c>
      <c r="I281" s="30" t="inlineStr">
        <is>
          <t>Não</t>
        </is>
      </c>
    </row>
    <row r="282">
      <c r="A282" s="33" t="n">
        <v>46246</v>
      </c>
      <c r="B282" s="30" t="inlineStr">
        <is>
          <t>Diego</t>
        </is>
      </c>
      <c r="C282" s="30" t="inlineStr">
        <is>
          <t>Gestão e reuniões</t>
        </is>
      </c>
      <c r="D282" s="28" t="inlineStr">
        <is>
          <t>Financeiro</t>
        </is>
      </c>
      <c r="E282" s="34" t="n">
        <v>2</v>
      </c>
      <c r="F282" s="25">
        <f>IF(OR(B282="",E282=""),"",E282*IFERROR(INDEX(Config!$D$11:$D$20,MATCH(B282,Config!$A$11:$A$20,0)),0))</f>
        <v/>
      </c>
      <c r="G282" s="24">
        <f>IF(A282="","",MONTH(A282))</f>
        <v/>
      </c>
      <c r="H282" s="24">
        <f>IF(A282="","",YEAR(A282))</f>
        <v/>
      </c>
      <c r="I282" s="30" t="inlineStr">
        <is>
          <t>Não</t>
        </is>
      </c>
    </row>
    <row r="283">
      <c r="A283" s="33" t="n">
        <v>46247</v>
      </c>
      <c r="B283" s="30" t="inlineStr">
        <is>
          <t>Ana</t>
        </is>
      </c>
      <c r="C283" s="30" t="inlineStr">
        <is>
          <t>Site novo · Loja Verde</t>
        </is>
      </c>
      <c r="D283" s="28" t="inlineStr">
        <is>
          <t>Wireframe</t>
        </is>
      </c>
      <c r="E283" s="34" t="n">
        <v>2</v>
      </c>
      <c r="F283" s="25">
        <f>IF(OR(B283="",E283=""),"",E283*IFERROR(INDEX(Config!$D$11:$D$20,MATCH(B283,Config!$A$11:$A$20,0)),0))</f>
        <v/>
      </c>
      <c r="G283" s="24">
        <f>IF(A283="","",MONTH(A283))</f>
        <v/>
      </c>
      <c r="H283" s="24">
        <f>IF(A283="","",YEAR(A283))</f>
        <v/>
      </c>
      <c r="I283" s="30" t="inlineStr">
        <is>
          <t>Sim</t>
        </is>
      </c>
    </row>
    <row r="284">
      <c r="A284" s="33" t="n">
        <v>46247</v>
      </c>
      <c r="B284" s="30" t="inlineStr">
        <is>
          <t>Ana</t>
        </is>
      </c>
      <c r="C284" s="30" t="inlineStr">
        <is>
          <t>Comercial e propostas</t>
        </is>
      </c>
      <c r="D284" s="28" t="inlineStr">
        <is>
          <t>Proposta</t>
        </is>
      </c>
      <c r="E284" s="34" t="n">
        <v>2.5</v>
      </c>
      <c r="F284" s="25">
        <f>IF(OR(B284="",E284=""),"",E284*IFERROR(INDEX(Config!$D$11:$D$20,MATCH(B284,Config!$A$11:$A$20,0)),0))</f>
        <v/>
      </c>
      <c r="G284" s="24">
        <f>IF(A284="","",MONTH(A284))</f>
        <v/>
      </c>
      <c r="H284" s="24">
        <f>IF(A284="","",YEAR(A284))</f>
        <v/>
      </c>
      <c r="I284" s="30" t="inlineStr">
        <is>
          <t>Não</t>
        </is>
      </c>
    </row>
    <row r="285">
      <c r="A285" s="33" t="n">
        <v>46247</v>
      </c>
      <c r="B285" s="30" t="inlineStr">
        <is>
          <t>Ana</t>
        </is>
      </c>
      <c r="C285" s="30" t="inlineStr">
        <is>
          <t>Gestão e reuniões</t>
        </is>
      </c>
      <c r="D285" s="28" t="inlineStr">
        <is>
          <t>Financeiro</t>
        </is>
      </c>
      <c r="E285" s="34" t="n">
        <v>2</v>
      </c>
      <c r="F285" s="25">
        <f>IF(OR(B285="",E285=""),"",E285*IFERROR(INDEX(Config!$D$11:$D$20,MATCH(B285,Config!$A$11:$A$20,0)),0))</f>
        <v/>
      </c>
      <c r="G285" s="24">
        <f>IF(A285="","",MONTH(A285))</f>
        <v/>
      </c>
      <c r="H285" s="24">
        <f>IF(A285="","",YEAR(A285))</f>
        <v/>
      </c>
      <c r="I285" s="30" t="inlineStr">
        <is>
          <t>Não</t>
        </is>
      </c>
    </row>
    <row r="286">
      <c r="A286" s="33" t="n">
        <v>46247</v>
      </c>
      <c r="B286" s="30" t="inlineStr">
        <is>
          <t>Bruno</t>
        </is>
      </c>
      <c r="C286" s="30" t="inlineStr">
        <is>
          <t>Site novo · Loja Verde</t>
        </is>
      </c>
      <c r="D286" s="28" t="inlineStr">
        <is>
          <t>Implementação</t>
        </is>
      </c>
      <c r="E286" s="34" t="n">
        <v>5</v>
      </c>
      <c r="F286" s="25">
        <f>IF(OR(B286="",E286=""),"",E286*IFERROR(INDEX(Config!$D$11:$D$20,MATCH(B286,Config!$A$11:$A$20,0)),0))</f>
        <v/>
      </c>
      <c r="G286" s="24">
        <f>IF(A286="","",MONTH(A286))</f>
        <v/>
      </c>
      <c r="H286" s="24">
        <f>IF(A286="","",YEAR(A286))</f>
        <v/>
      </c>
      <c r="I286" s="30" t="inlineStr">
        <is>
          <t>Sim</t>
        </is>
      </c>
    </row>
    <row r="287">
      <c r="A287" s="33" t="n">
        <v>46247</v>
      </c>
      <c r="B287" s="30" t="inlineStr">
        <is>
          <t>Bruno</t>
        </is>
      </c>
      <c r="C287" s="30" t="inlineStr">
        <is>
          <t>Identidade visual · Padaria do Sol</t>
        </is>
      </c>
      <c r="D287" s="28" t="inlineStr">
        <is>
          <t>Manual</t>
        </is>
      </c>
      <c r="E287" s="34" t="n">
        <v>1.5</v>
      </c>
      <c r="F287" s="25">
        <f>IF(OR(B287="",E287=""),"",E287*IFERROR(INDEX(Config!$D$11:$D$20,MATCH(B287,Config!$A$11:$A$20,0)),0))</f>
        <v/>
      </c>
      <c r="G287" s="24">
        <f>IF(A287="","",MONTH(A287))</f>
        <v/>
      </c>
      <c r="H287" s="24">
        <f>IF(A287="","",YEAR(A287))</f>
        <v/>
      </c>
      <c r="I287" s="30" t="inlineStr">
        <is>
          <t>Sim</t>
        </is>
      </c>
    </row>
    <row r="288">
      <c r="A288" s="33" t="n">
        <v>46247</v>
      </c>
      <c r="B288" s="30" t="inlineStr">
        <is>
          <t>Bruno</t>
        </is>
      </c>
      <c r="C288" s="30" t="inlineStr">
        <is>
          <t>Gestão e reuniões</t>
        </is>
      </c>
      <c r="D288" s="28" t="inlineStr">
        <is>
          <t>Financeiro</t>
        </is>
      </c>
      <c r="E288" s="34" t="n">
        <v>1</v>
      </c>
      <c r="F288" s="25">
        <f>IF(OR(B288="",E288=""),"",E288*IFERROR(INDEX(Config!$D$11:$D$20,MATCH(B288,Config!$A$11:$A$20,0)),0))</f>
        <v/>
      </c>
      <c r="G288" s="24">
        <f>IF(A288="","",MONTH(A288))</f>
        <v/>
      </c>
      <c r="H288" s="24">
        <f>IF(A288="","",YEAR(A288))</f>
        <v/>
      </c>
      <c r="I288" s="30" t="inlineStr">
        <is>
          <t>Não</t>
        </is>
      </c>
    </row>
    <row r="289">
      <c r="A289" s="33" t="n">
        <v>46247</v>
      </c>
      <c r="B289" s="30" t="inlineStr">
        <is>
          <t>Carla</t>
        </is>
      </c>
      <c r="C289" s="30" t="inlineStr">
        <is>
          <t>Site novo · Loja Verde</t>
        </is>
      </c>
      <c r="D289" s="28" t="inlineStr">
        <is>
          <t>Reunião com cliente</t>
        </is>
      </c>
      <c r="E289" s="34" t="n">
        <v>2.5</v>
      </c>
      <c r="F289" s="25">
        <f>IF(OR(B289="",E289=""),"",E289*IFERROR(INDEX(Config!$D$11:$D$20,MATCH(B289,Config!$A$11:$A$20,0)),0))</f>
        <v/>
      </c>
      <c r="G289" s="24">
        <f>IF(A289="","",MONTH(A289))</f>
        <v/>
      </c>
      <c r="H289" s="24">
        <f>IF(A289="","",YEAR(A289))</f>
        <v/>
      </c>
      <c r="I289" s="30" t="inlineStr">
        <is>
          <t>Sim</t>
        </is>
      </c>
    </row>
    <row r="290">
      <c r="A290" s="33" t="n">
        <v>46247</v>
      </c>
      <c r="B290" s="30" t="inlineStr">
        <is>
          <t>Carla</t>
        </is>
      </c>
      <c r="C290" s="30" t="inlineStr">
        <is>
          <t>Comercial e propostas</t>
        </is>
      </c>
      <c r="D290" s="28" t="inlineStr">
        <is>
          <t>Proposta</t>
        </is>
      </c>
      <c r="E290" s="34" t="n">
        <v>4.5</v>
      </c>
      <c r="F290" s="25">
        <f>IF(OR(B290="",E290=""),"",E290*IFERROR(INDEX(Config!$D$11:$D$20,MATCH(B290,Config!$A$11:$A$20,0)),0))</f>
        <v/>
      </c>
      <c r="G290" s="24">
        <f>IF(A290="","",MONTH(A290))</f>
        <v/>
      </c>
      <c r="H290" s="24">
        <f>IF(A290="","",YEAR(A290))</f>
        <v/>
      </c>
      <c r="I290" s="30" t="inlineStr">
        <is>
          <t>Não</t>
        </is>
      </c>
    </row>
    <row r="291">
      <c r="A291" s="33" t="n">
        <v>46247</v>
      </c>
      <c r="B291" s="30" t="inlineStr">
        <is>
          <t>Carla</t>
        </is>
      </c>
      <c r="C291" s="30" t="inlineStr">
        <is>
          <t>Gestão e reuniões</t>
        </is>
      </c>
      <c r="D291" s="28" t="inlineStr">
        <is>
          <t>Planejamento</t>
        </is>
      </c>
      <c r="E291" s="34" t="n">
        <v>1.5</v>
      </c>
      <c r="F291" s="25">
        <f>IF(OR(B291="",E291=""),"",E291*IFERROR(INDEX(Config!$D$11:$D$20,MATCH(B291,Config!$A$11:$A$20,0)),0))</f>
        <v/>
      </c>
      <c r="G291" s="24">
        <f>IF(A291="","",MONTH(A291))</f>
        <v/>
      </c>
      <c r="H291" s="24">
        <f>IF(A291="","",YEAR(A291))</f>
        <v/>
      </c>
      <c r="I291" s="30" t="inlineStr">
        <is>
          <t>Não</t>
        </is>
      </c>
    </row>
    <row r="292">
      <c r="A292" s="33" t="n">
        <v>46247</v>
      </c>
      <c r="B292" s="30" t="inlineStr">
        <is>
          <t>Diego</t>
        </is>
      </c>
      <c r="C292" s="30" t="inlineStr">
        <is>
          <t>Site novo · Loja Verde</t>
        </is>
      </c>
      <c r="D292" s="28" t="inlineStr">
        <is>
          <t>Wireframe</t>
        </is>
      </c>
      <c r="E292" s="34" t="n">
        <v>3.5</v>
      </c>
      <c r="F292" s="25">
        <f>IF(OR(B292="",E292=""),"",E292*IFERROR(INDEX(Config!$D$11:$D$20,MATCH(B292,Config!$A$11:$A$20,0)),0))</f>
        <v/>
      </c>
      <c r="G292" s="24">
        <f>IF(A292="","",MONTH(A292))</f>
        <v/>
      </c>
      <c r="H292" s="24">
        <f>IF(A292="","",YEAR(A292))</f>
        <v/>
      </c>
      <c r="I292" s="30" t="inlineStr">
        <is>
          <t>Sim</t>
        </is>
      </c>
    </row>
    <row r="293">
      <c r="A293" s="33" t="n">
        <v>46247</v>
      </c>
      <c r="B293" s="30" t="inlineStr">
        <is>
          <t>Diego</t>
        </is>
      </c>
      <c r="C293" s="30" t="inlineStr">
        <is>
          <t>Comercial e propostas</t>
        </is>
      </c>
      <c r="D293" s="28" t="inlineStr">
        <is>
          <t>Reunião comercial</t>
        </is>
      </c>
      <c r="E293" s="34" t="n">
        <v>0.5</v>
      </c>
      <c r="F293" s="25">
        <f>IF(OR(B293="",E293=""),"",E293*IFERROR(INDEX(Config!$D$11:$D$20,MATCH(B293,Config!$A$11:$A$20,0)),0))</f>
        <v/>
      </c>
      <c r="G293" s="24">
        <f>IF(A293="","",MONTH(A293))</f>
        <v/>
      </c>
      <c r="H293" s="24">
        <f>IF(A293="","",YEAR(A293))</f>
        <v/>
      </c>
      <c r="I293" s="30" t="inlineStr">
        <is>
          <t>Não</t>
        </is>
      </c>
    </row>
    <row r="294">
      <c r="A294" s="33" t="n">
        <v>46247</v>
      </c>
      <c r="B294" s="30" t="inlineStr">
        <is>
          <t>Diego</t>
        </is>
      </c>
      <c r="C294" s="30" t="inlineStr">
        <is>
          <t>Gestão e reuniões</t>
        </is>
      </c>
      <c r="D294" s="28" t="inlineStr">
        <is>
          <t>Planejamento</t>
        </is>
      </c>
      <c r="E294" s="34" t="n">
        <v>2.5</v>
      </c>
      <c r="F294" s="25">
        <f>IF(OR(B294="",E294=""),"",E294*IFERROR(INDEX(Config!$D$11:$D$20,MATCH(B294,Config!$A$11:$A$20,0)),0))</f>
        <v/>
      </c>
      <c r="G294" s="24">
        <f>IF(A294="","",MONTH(A294))</f>
        <v/>
      </c>
      <c r="H294" s="24">
        <f>IF(A294="","",YEAR(A294))</f>
        <v/>
      </c>
      <c r="I294" s="30" t="inlineStr">
        <is>
          <t>Não</t>
        </is>
      </c>
    </row>
    <row r="295">
      <c r="A295" s="33" t="n">
        <v>46248</v>
      </c>
      <c r="B295" s="30" t="inlineStr">
        <is>
          <t>Ana</t>
        </is>
      </c>
      <c r="C295" s="30" t="inlineStr">
        <is>
          <t>Site novo · Loja Verde</t>
        </is>
      </c>
      <c r="D295" s="28" t="inlineStr">
        <is>
          <t>Textos</t>
        </is>
      </c>
      <c r="E295" s="34" t="n">
        <v>2.5</v>
      </c>
      <c r="F295" s="25">
        <f>IF(OR(B295="",E295=""),"",E295*IFERROR(INDEX(Config!$D$11:$D$20,MATCH(B295,Config!$A$11:$A$20,0)),0))</f>
        <v/>
      </c>
      <c r="G295" s="24">
        <f>IF(A295="","",MONTH(A295))</f>
        <v/>
      </c>
      <c r="H295" s="24">
        <f>IF(A295="","",YEAR(A295))</f>
        <v/>
      </c>
      <c r="I295" s="30" t="inlineStr">
        <is>
          <t>Sim</t>
        </is>
      </c>
    </row>
    <row r="296">
      <c r="A296" s="33" t="n">
        <v>46248</v>
      </c>
      <c r="B296" s="30" t="inlineStr">
        <is>
          <t>Ana</t>
        </is>
      </c>
      <c r="C296" s="30" t="inlineStr">
        <is>
          <t>Comercial e propostas</t>
        </is>
      </c>
      <c r="D296" s="28" t="inlineStr">
        <is>
          <t>Proposta</t>
        </is>
      </c>
      <c r="E296" s="34" t="n">
        <v>3.5</v>
      </c>
      <c r="F296" s="25">
        <f>IF(OR(B296="",E296=""),"",E296*IFERROR(INDEX(Config!$D$11:$D$20,MATCH(B296,Config!$A$11:$A$20,0)),0))</f>
        <v/>
      </c>
      <c r="G296" s="24">
        <f>IF(A296="","",MONTH(A296))</f>
        <v/>
      </c>
      <c r="H296" s="24">
        <f>IF(A296="","",YEAR(A296))</f>
        <v/>
      </c>
      <c r="I296" s="30" t="inlineStr">
        <is>
          <t>Não</t>
        </is>
      </c>
    </row>
    <row r="297">
      <c r="A297" s="33" t="n">
        <v>46248</v>
      </c>
      <c r="B297" s="30" t="inlineStr">
        <is>
          <t>Ana</t>
        </is>
      </c>
      <c r="C297" s="30" t="inlineStr">
        <is>
          <t>Gestão e reuniões</t>
        </is>
      </c>
      <c r="D297" s="28" t="inlineStr">
        <is>
          <t>Semanal</t>
        </is>
      </c>
      <c r="E297" s="34" t="n">
        <v>3.5</v>
      </c>
      <c r="F297" s="25">
        <f>IF(OR(B297="",E297=""),"",E297*IFERROR(INDEX(Config!$D$11:$D$20,MATCH(B297,Config!$A$11:$A$20,0)),0))</f>
        <v/>
      </c>
      <c r="G297" s="24">
        <f>IF(A297="","",MONTH(A297))</f>
        <v/>
      </c>
      <c r="H297" s="24">
        <f>IF(A297="","",YEAR(A297))</f>
        <v/>
      </c>
      <c r="I297" s="30" t="inlineStr">
        <is>
          <t>Não</t>
        </is>
      </c>
    </row>
    <row r="298">
      <c r="A298" s="33" t="n">
        <v>46248</v>
      </c>
      <c r="B298" s="30" t="inlineStr">
        <is>
          <t>Bruno</t>
        </is>
      </c>
      <c r="C298" s="30" t="inlineStr">
        <is>
          <t>Site novo · Loja Verde</t>
        </is>
      </c>
      <c r="D298" s="28" t="inlineStr">
        <is>
          <t>Reunião com cliente</t>
        </is>
      </c>
      <c r="E298" s="34" t="n">
        <v>5.5</v>
      </c>
      <c r="F298" s="25">
        <f>IF(OR(B298="",E298=""),"",E298*IFERROR(INDEX(Config!$D$11:$D$20,MATCH(B298,Config!$A$11:$A$20,0)),0))</f>
        <v/>
      </c>
      <c r="G298" s="24">
        <f>IF(A298="","",MONTH(A298))</f>
        <v/>
      </c>
      <c r="H298" s="24">
        <f>IF(A298="","",YEAR(A298))</f>
        <v/>
      </c>
      <c r="I298" s="30" t="inlineStr">
        <is>
          <t>Sim</t>
        </is>
      </c>
    </row>
    <row r="299">
      <c r="A299" s="33" t="n">
        <v>46248</v>
      </c>
      <c r="B299" s="30" t="inlineStr">
        <is>
          <t>Bruno</t>
        </is>
      </c>
      <c r="C299" s="30" t="inlineStr">
        <is>
          <t>Identidade visual · Padaria do Sol</t>
        </is>
      </c>
      <c r="D299" s="28" t="inlineStr">
        <is>
          <t>Logo</t>
        </is>
      </c>
      <c r="E299" s="34" t="n">
        <v>2</v>
      </c>
      <c r="F299" s="25">
        <f>IF(OR(B299="",E299=""),"",E299*IFERROR(INDEX(Config!$D$11:$D$20,MATCH(B299,Config!$A$11:$A$20,0)),0))</f>
        <v/>
      </c>
      <c r="G299" s="24">
        <f>IF(A299="","",MONTH(A299))</f>
        <v/>
      </c>
      <c r="H299" s="24">
        <f>IF(A299="","",YEAR(A299))</f>
        <v/>
      </c>
      <c r="I299" s="30" t="inlineStr">
        <is>
          <t>Sim</t>
        </is>
      </c>
    </row>
    <row r="300">
      <c r="A300" s="33" t="n">
        <v>46248</v>
      </c>
      <c r="B300" s="30" t="inlineStr">
        <is>
          <t>Bruno</t>
        </is>
      </c>
      <c r="C300" s="30" t="inlineStr">
        <is>
          <t>Gestão e reuniões</t>
        </is>
      </c>
      <c r="D300" s="28" t="inlineStr">
        <is>
          <t>Semanal</t>
        </is>
      </c>
      <c r="E300" s="34" t="n">
        <v>1</v>
      </c>
      <c r="F300" s="25">
        <f>IF(OR(B300="",E300=""),"",E300*IFERROR(INDEX(Config!$D$11:$D$20,MATCH(B300,Config!$A$11:$A$20,0)),0))</f>
        <v/>
      </c>
      <c r="G300" s="24">
        <f>IF(A300="","",MONTH(A300))</f>
        <v/>
      </c>
      <c r="H300" s="24">
        <f>IF(A300="","",YEAR(A300))</f>
        <v/>
      </c>
      <c r="I300" s="30" t="inlineStr">
        <is>
          <t>Não</t>
        </is>
      </c>
    </row>
    <row r="301">
      <c r="A301" s="33" t="n">
        <v>46248</v>
      </c>
      <c r="B301" s="30" t="inlineStr">
        <is>
          <t>Carla</t>
        </is>
      </c>
      <c r="C301" s="30" t="inlineStr">
        <is>
          <t>Site novo · Loja Verde</t>
        </is>
      </c>
      <c r="D301" s="28" t="inlineStr">
        <is>
          <t>Textos</t>
        </is>
      </c>
      <c r="E301" s="34" t="n">
        <v>2</v>
      </c>
      <c r="F301" s="25">
        <f>IF(OR(B301="",E301=""),"",E301*IFERROR(INDEX(Config!$D$11:$D$20,MATCH(B301,Config!$A$11:$A$20,0)),0))</f>
        <v/>
      </c>
      <c r="G301" s="24">
        <f>IF(A301="","",MONTH(A301))</f>
        <v/>
      </c>
      <c r="H301" s="24">
        <f>IF(A301="","",YEAR(A301))</f>
        <v/>
      </c>
      <c r="I301" s="30" t="inlineStr">
        <is>
          <t>Sim</t>
        </is>
      </c>
    </row>
    <row r="302">
      <c r="A302" s="33" t="n">
        <v>46248</v>
      </c>
      <c r="B302" s="30" t="inlineStr">
        <is>
          <t>Carla</t>
        </is>
      </c>
      <c r="C302" s="30" t="inlineStr">
        <is>
          <t>Comercial e propostas</t>
        </is>
      </c>
      <c r="D302" s="28" t="inlineStr">
        <is>
          <t>Proposta</t>
        </is>
      </c>
      <c r="E302" s="34" t="n">
        <v>4</v>
      </c>
      <c r="F302" s="25">
        <f>IF(OR(B302="",E302=""),"",E302*IFERROR(INDEX(Config!$D$11:$D$20,MATCH(B302,Config!$A$11:$A$20,0)),0))</f>
        <v/>
      </c>
      <c r="G302" s="24">
        <f>IF(A302="","",MONTH(A302))</f>
        <v/>
      </c>
      <c r="H302" s="24">
        <f>IF(A302="","",YEAR(A302))</f>
        <v/>
      </c>
      <c r="I302" s="30" t="inlineStr">
        <is>
          <t>Não</t>
        </is>
      </c>
    </row>
    <row r="303">
      <c r="A303" s="33" t="n">
        <v>46248</v>
      </c>
      <c r="B303" s="30" t="inlineStr">
        <is>
          <t>Carla</t>
        </is>
      </c>
      <c r="C303" s="30" t="inlineStr">
        <is>
          <t>Gestão e reuniões</t>
        </is>
      </c>
      <c r="D303" s="28" t="inlineStr">
        <is>
          <t>Semanal</t>
        </is>
      </c>
      <c r="E303" s="34" t="n">
        <v>1.5</v>
      </c>
      <c r="F303" s="25">
        <f>IF(OR(B303="",E303=""),"",E303*IFERROR(INDEX(Config!$D$11:$D$20,MATCH(B303,Config!$A$11:$A$20,0)),0))</f>
        <v/>
      </c>
      <c r="G303" s="24">
        <f>IF(A303="","",MONTH(A303))</f>
        <v/>
      </c>
      <c r="H303" s="24">
        <f>IF(A303="","",YEAR(A303))</f>
        <v/>
      </c>
      <c r="I303" s="30" t="inlineStr">
        <is>
          <t>Não</t>
        </is>
      </c>
    </row>
    <row r="304">
      <c r="A304" s="33" t="n">
        <v>46248</v>
      </c>
      <c r="B304" s="30" t="inlineStr">
        <is>
          <t>Diego</t>
        </is>
      </c>
      <c r="C304" s="30" t="inlineStr">
        <is>
          <t>Site novo · Loja Verde</t>
        </is>
      </c>
      <c r="D304" s="28" t="inlineStr">
        <is>
          <t>Wireframe</t>
        </is>
      </c>
      <c r="E304" s="34" t="n">
        <v>4.5</v>
      </c>
      <c r="F304" s="25">
        <f>IF(OR(B304="",E304=""),"",E304*IFERROR(INDEX(Config!$D$11:$D$20,MATCH(B304,Config!$A$11:$A$20,0)),0))</f>
        <v/>
      </c>
      <c r="G304" s="24">
        <f>IF(A304="","",MONTH(A304))</f>
        <v/>
      </c>
      <c r="H304" s="24">
        <f>IF(A304="","",YEAR(A304))</f>
        <v/>
      </c>
      <c r="I304" s="30" t="inlineStr">
        <is>
          <t>Sim</t>
        </is>
      </c>
    </row>
    <row r="305">
      <c r="A305" s="33" t="n">
        <v>46248</v>
      </c>
      <c r="B305" s="30" t="inlineStr">
        <is>
          <t>Diego</t>
        </is>
      </c>
      <c r="C305" s="30" t="inlineStr">
        <is>
          <t>Comercial e propostas</t>
        </is>
      </c>
      <c r="D305" s="28" t="inlineStr">
        <is>
          <t>Proposta</t>
        </is>
      </c>
      <c r="E305" s="34" t="n">
        <v>1</v>
      </c>
      <c r="F305" s="25">
        <f>IF(OR(B305="",E305=""),"",E305*IFERROR(INDEX(Config!$D$11:$D$20,MATCH(B305,Config!$A$11:$A$20,0)),0))</f>
        <v/>
      </c>
      <c r="G305" s="24">
        <f>IF(A305="","",MONTH(A305))</f>
        <v/>
      </c>
      <c r="H305" s="24">
        <f>IF(A305="","",YEAR(A305))</f>
        <v/>
      </c>
      <c r="I305" s="30" t="inlineStr">
        <is>
          <t>Não</t>
        </is>
      </c>
    </row>
    <row r="306">
      <c r="A306" s="33" t="n">
        <v>46248</v>
      </c>
      <c r="B306" s="30" t="inlineStr">
        <is>
          <t>Diego</t>
        </is>
      </c>
      <c r="C306" s="30" t="inlineStr">
        <is>
          <t>Gestão e reuniões</t>
        </is>
      </c>
      <c r="D306" s="28" t="inlineStr">
        <is>
          <t>Planejamento</t>
        </is>
      </c>
      <c r="E306" s="34" t="n">
        <v>2</v>
      </c>
      <c r="F306" s="25">
        <f>IF(OR(B306="",E306=""),"",E306*IFERROR(INDEX(Config!$D$11:$D$20,MATCH(B306,Config!$A$11:$A$20,0)),0))</f>
        <v/>
      </c>
      <c r="G306" s="24">
        <f>IF(A306="","",MONTH(A306))</f>
        <v/>
      </c>
      <c r="H306" s="24">
        <f>IF(A306="","",YEAR(A306))</f>
        <v/>
      </c>
      <c r="I306" s="30" t="inlineStr">
        <is>
          <t>Não</t>
        </is>
      </c>
    </row>
    <row r="307">
      <c r="A307" s="33" t="n">
        <v>46251</v>
      </c>
      <c r="B307" s="30" t="inlineStr">
        <is>
          <t>Ana</t>
        </is>
      </c>
      <c r="C307" s="30" t="inlineStr">
        <is>
          <t>Site novo · Loja Verde</t>
        </is>
      </c>
      <c r="D307" s="28" t="inlineStr">
        <is>
          <t>Textos</t>
        </is>
      </c>
      <c r="E307" s="34" t="n">
        <v>2</v>
      </c>
      <c r="F307" s="25">
        <f>IF(OR(B307="",E307=""),"",E307*IFERROR(INDEX(Config!$D$11:$D$20,MATCH(B307,Config!$A$11:$A$20,0)),0))</f>
        <v/>
      </c>
      <c r="G307" s="24">
        <f>IF(A307="","",MONTH(A307))</f>
        <v/>
      </c>
      <c r="H307" s="24">
        <f>IF(A307="","",YEAR(A307))</f>
        <v/>
      </c>
      <c r="I307" s="30" t="inlineStr">
        <is>
          <t>Sim</t>
        </is>
      </c>
    </row>
    <row r="308">
      <c r="A308" s="33" t="n">
        <v>46251</v>
      </c>
      <c r="B308" s="30" t="inlineStr">
        <is>
          <t>Ana</t>
        </is>
      </c>
      <c r="C308" s="30" t="inlineStr">
        <is>
          <t>Comercial e propostas</t>
        </is>
      </c>
      <c r="D308" s="28" t="inlineStr">
        <is>
          <t>Reunião comercial</t>
        </is>
      </c>
      <c r="E308" s="34" t="n">
        <v>2</v>
      </c>
      <c r="F308" s="25">
        <f>IF(OR(B308="",E308=""),"",E308*IFERROR(INDEX(Config!$D$11:$D$20,MATCH(B308,Config!$A$11:$A$20,0)),0))</f>
        <v/>
      </c>
      <c r="G308" s="24">
        <f>IF(A308="","",MONTH(A308))</f>
        <v/>
      </c>
      <c r="H308" s="24">
        <f>IF(A308="","",YEAR(A308))</f>
        <v/>
      </c>
      <c r="I308" s="30" t="inlineStr">
        <is>
          <t>Não</t>
        </is>
      </c>
    </row>
    <row r="309">
      <c r="A309" s="33" t="n">
        <v>46251</v>
      </c>
      <c r="B309" s="30" t="inlineStr">
        <is>
          <t>Ana</t>
        </is>
      </c>
      <c r="C309" s="30" t="inlineStr">
        <is>
          <t>Gestão e reuniões</t>
        </is>
      </c>
      <c r="D309" s="28" t="inlineStr">
        <is>
          <t>Semanal</t>
        </is>
      </c>
      <c r="E309" s="34" t="n">
        <v>2.5</v>
      </c>
      <c r="F309" s="25">
        <f>IF(OR(B309="",E309=""),"",E309*IFERROR(INDEX(Config!$D$11:$D$20,MATCH(B309,Config!$A$11:$A$20,0)),0))</f>
        <v/>
      </c>
      <c r="G309" s="24">
        <f>IF(A309="","",MONTH(A309))</f>
        <v/>
      </c>
      <c r="H309" s="24">
        <f>IF(A309="","",YEAR(A309))</f>
        <v/>
      </c>
      <c r="I309" s="30" t="inlineStr">
        <is>
          <t>Não</t>
        </is>
      </c>
    </row>
    <row r="310">
      <c r="A310" s="33" t="n">
        <v>46251</v>
      </c>
      <c r="B310" s="30" t="inlineStr">
        <is>
          <t>Bruno</t>
        </is>
      </c>
      <c r="C310" s="30" t="inlineStr">
        <is>
          <t>Site novo · Loja Verde</t>
        </is>
      </c>
      <c r="D310" s="28" t="inlineStr">
        <is>
          <t>Wireframe</t>
        </is>
      </c>
      <c r="E310" s="34" t="n">
        <v>7</v>
      </c>
      <c r="F310" s="25">
        <f>IF(OR(B310="",E310=""),"",E310*IFERROR(INDEX(Config!$D$11:$D$20,MATCH(B310,Config!$A$11:$A$20,0)),0))</f>
        <v/>
      </c>
      <c r="G310" s="24">
        <f>IF(A310="","",MONTH(A310))</f>
        <v/>
      </c>
      <c r="H310" s="24">
        <f>IF(A310="","",YEAR(A310))</f>
        <v/>
      </c>
      <c r="I310" s="30" t="inlineStr">
        <is>
          <t>Sim</t>
        </is>
      </c>
    </row>
    <row r="311">
      <c r="A311" s="33" t="n">
        <v>46251</v>
      </c>
      <c r="B311" s="30" t="inlineStr">
        <is>
          <t>Bruno</t>
        </is>
      </c>
      <c r="C311" s="30" t="inlineStr">
        <is>
          <t>Identidade visual · Padaria do Sol</t>
        </is>
      </c>
      <c r="D311" s="28" t="inlineStr">
        <is>
          <t>Manual</t>
        </is>
      </c>
      <c r="E311" s="34" t="n">
        <v>2</v>
      </c>
      <c r="F311" s="25">
        <f>IF(OR(B311="",E311=""),"",E311*IFERROR(INDEX(Config!$D$11:$D$20,MATCH(B311,Config!$A$11:$A$20,0)),0))</f>
        <v/>
      </c>
      <c r="G311" s="24">
        <f>IF(A311="","",MONTH(A311))</f>
        <v/>
      </c>
      <c r="H311" s="24">
        <f>IF(A311="","",YEAR(A311))</f>
        <v/>
      </c>
      <c r="I311" s="30" t="inlineStr">
        <is>
          <t>Sim</t>
        </is>
      </c>
    </row>
    <row r="312">
      <c r="A312" s="33" t="n">
        <v>46251</v>
      </c>
      <c r="B312" s="30" t="inlineStr">
        <is>
          <t>Bruno</t>
        </is>
      </c>
      <c r="C312" s="30" t="inlineStr">
        <is>
          <t>Gestão e reuniões</t>
        </is>
      </c>
      <c r="D312" s="28" t="inlineStr">
        <is>
          <t>Semanal</t>
        </is>
      </c>
      <c r="E312" s="34" t="n">
        <v>1.5</v>
      </c>
      <c r="F312" s="25">
        <f>IF(OR(B312="",E312=""),"",E312*IFERROR(INDEX(Config!$D$11:$D$20,MATCH(B312,Config!$A$11:$A$20,0)),0))</f>
        <v/>
      </c>
      <c r="G312" s="24">
        <f>IF(A312="","",MONTH(A312))</f>
        <v/>
      </c>
      <c r="H312" s="24">
        <f>IF(A312="","",YEAR(A312))</f>
        <v/>
      </c>
      <c r="I312" s="30" t="inlineStr">
        <is>
          <t>Não</t>
        </is>
      </c>
    </row>
    <row r="313">
      <c r="A313" s="33" t="n">
        <v>46251</v>
      </c>
      <c r="B313" s="30" t="inlineStr">
        <is>
          <t>Carla</t>
        </is>
      </c>
      <c r="C313" s="30" t="inlineStr">
        <is>
          <t>Site novo · Loja Verde</t>
        </is>
      </c>
      <c r="D313" s="28" t="inlineStr">
        <is>
          <t>Textos</t>
        </is>
      </c>
      <c r="E313" s="34" t="n">
        <v>2.5</v>
      </c>
      <c r="F313" s="25">
        <f>IF(OR(B313="",E313=""),"",E313*IFERROR(INDEX(Config!$D$11:$D$20,MATCH(B313,Config!$A$11:$A$20,0)),0))</f>
        <v/>
      </c>
      <c r="G313" s="24">
        <f>IF(A313="","",MONTH(A313))</f>
        <v/>
      </c>
      <c r="H313" s="24">
        <f>IF(A313="","",YEAR(A313))</f>
        <v/>
      </c>
      <c r="I313" s="30" t="inlineStr">
        <is>
          <t>Sim</t>
        </is>
      </c>
    </row>
    <row r="314">
      <c r="A314" s="33" t="n">
        <v>46251</v>
      </c>
      <c r="B314" s="30" t="inlineStr">
        <is>
          <t>Carla</t>
        </is>
      </c>
      <c r="C314" s="30" t="inlineStr">
        <is>
          <t>Comercial e propostas</t>
        </is>
      </c>
      <c r="D314" s="28" t="inlineStr">
        <is>
          <t>Proposta</t>
        </is>
      </c>
      <c r="E314" s="34" t="n">
        <v>4</v>
      </c>
      <c r="F314" s="25">
        <f>IF(OR(B314="",E314=""),"",E314*IFERROR(INDEX(Config!$D$11:$D$20,MATCH(B314,Config!$A$11:$A$20,0)),0))</f>
        <v/>
      </c>
      <c r="G314" s="24">
        <f>IF(A314="","",MONTH(A314))</f>
        <v/>
      </c>
      <c r="H314" s="24">
        <f>IF(A314="","",YEAR(A314))</f>
        <v/>
      </c>
      <c r="I314" s="30" t="inlineStr">
        <is>
          <t>Não</t>
        </is>
      </c>
    </row>
    <row r="315">
      <c r="A315" s="33" t="n">
        <v>46251</v>
      </c>
      <c r="B315" s="30" t="inlineStr">
        <is>
          <t>Carla</t>
        </is>
      </c>
      <c r="C315" s="30" t="inlineStr">
        <is>
          <t>Gestão e reuniões</t>
        </is>
      </c>
      <c r="D315" s="28" t="inlineStr">
        <is>
          <t>Planejamento</t>
        </is>
      </c>
      <c r="E315" s="34" t="n">
        <v>1</v>
      </c>
      <c r="F315" s="25">
        <f>IF(OR(B315="",E315=""),"",E315*IFERROR(INDEX(Config!$D$11:$D$20,MATCH(B315,Config!$A$11:$A$20,0)),0))</f>
        <v/>
      </c>
      <c r="G315" s="24">
        <f>IF(A315="","",MONTH(A315))</f>
        <v/>
      </c>
      <c r="H315" s="24">
        <f>IF(A315="","",YEAR(A315))</f>
        <v/>
      </c>
      <c r="I315" s="30" t="inlineStr">
        <is>
          <t>Não</t>
        </is>
      </c>
    </row>
    <row r="316">
      <c r="A316" s="33" t="n">
        <v>46251</v>
      </c>
      <c r="B316" s="30" t="inlineStr">
        <is>
          <t>Diego</t>
        </is>
      </c>
      <c r="C316" s="30" t="inlineStr">
        <is>
          <t>Site novo · Loja Verde</t>
        </is>
      </c>
      <c r="D316" s="28" t="inlineStr">
        <is>
          <t>Textos</t>
        </is>
      </c>
      <c r="E316" s="34" t="n">
        <v>7</v>
      </c>
      <c r="F316" s="25">
        <f>IF(OR(B316="",E316=""),"",E316*IFERROR(INDEX(Config!$D$11:$D$20,MATCH(B316,Config!$A$11:$A$20,0)),0))</f>
        <v/>
      </c>
      <c r="G316" s="24">
        <f>IF(A316="","",MONTH(A316))</f>
        <v/>
      </c>
      <c r="H316" s="24">
        <f>IF(A316="","",YEAR(A316))</f>
        <v/>
      </c>
      <c r="I316" s="30" t="inlineStr">
        <is>
          <t>Sim</t>
        </is>
      </c>
    </row>
    <row r="317">
      <c r="A317" s="33" t="n">
        <v>46251</v>
      </c>
      <c r="B317" s="30" t="inlineStr">
        <is>
          <t>Diego</t>
        </is>
      </c>
      <c r="C317" s="30" t="inlineStr">
        <is>
          <t>Comercial e propostas</t>
        </is>
      </c>
      <c r="D317" s="28" t="inlineStr">
        <is>
          <t>Proposta</t>
        </is>
      </c>
      <c r="E317" s="34" t="n">
        <v>1</v>
      </c>
      <c r="F317" s="25">
        <f>IF(OR(B317="",E317=""),"",E317*IFERROR(INDEX(Config!$D$11:$D$20,MATCH(B317,Config!$A$11:$A$20,0)),0))</f>
        <v/>
      </c>
      <c r="G317" s="24">
        <f>IF(A317="","",MONTH(A317))</f>
        <v/>
      </c>
      <c r="H317" s="24">
        <f>IF(A317="","",YEAR(A317))</f>
        <v/>
      </c>
      <c r="I317" s="30" t="inlineStr">
        <is>
          <t>Não</t>
        </is>
      </c>
    </row>
    <row r="318">
      <c r="A318" s="33" t="n">
        <v>46251</v>
      </c>
      <c r="B318" s="30" t="inlineStr">
        <is>
          <t>Diego</t>
        </is>
      </c>
      <c r="C318" s="30" t="inlineStr">
        <is>
          <t>Gestão e reuniões</t>
        </is>
      </c>
      <c r="D318" s="28" t="inlineStr">
        <is>
          <t>Financeiro</t>
        </is>
      </c>
      <c r="E318" s="34" t="n">
        <v>2.5</v>
      </c>
      <c r="F318" s="25">
        <f>IF(OR(B318="",E318=""),"",E318*IFERROR(INDEX(Config!$D$11:$D$20,MATCH(B318,Config!$A$11:$A$20,0)),0))</f>
        <v/>
      </c>
      <c r="G318" s="24">
        <f>IF(A318="","",MONTH(A318))</f>
        <v/>
      </c>
      <c r="H318" s="24">
        <f>IF(A318="","",YEAR(A318))</f>
        <v/>
      </c>
      <c r="I318" s="30" t="inlineStr">
        <is>
          <t>Não</t>
        </is>
      </c>
    </row>
    <row r="319">
      <c r="A319" s="33" t="n">
        <v>46252</v>
      </c>
      <c r="B319" s="30" t="inlineStr">
        <is>
          <t>Ana</t>
        </is>
      </c>
      <c r="C319" s="30" t="inlineStr">
        <is>
          <t>Site novo · Loja Verde</t>
        </is>
      </c>
      <c r="D319" s="28" t="inlineStr">
        <is>
          <t>Textos</t>
        </is>
      </c>
      <c r="E319" s="34" t="n">
        <v>1.5</v>
      </c>
      <c r="F319" s="25">
        <f>IF(OR(B319="",E319=""),"",E319*IFERROR(INDEX(Config!$D$11:$D$20,MATCH(B319,Config!$A$11:$A$20,0)),0))</f>
        <v/>
      </c>
      <c r="G319" s="24">
        <f>IF(A319="","",MONTH(A319))</f>
        <v/>
      </c>
      <c r="H319" s="24">
        <f>IF(A319="","",YEAR(A319))</f>
        <v/>
      </c>
      <c r="I319" s="30" t="inlineStr">
        <is>
          <t>Sim</t>
        </is>
      </c>
    </row>
    <row r="320">
      <c r="A320" s="33" t="n">
        <v>46252</v>
      </c>
      <c r="B320" s="30" t="inlineStr">
        <is>
          <t>Ana</t>
        </is>
      </c>
      <c r="C320" s="30" t="inlineStr">
        <is>
          <t>Comercial e propostas</t>
        </is>
      </c>
      <c r="D320" s="28" t="inlineStr">
        <is>
          <t>Proposta</t>
        </is>
      </c>
      <c r="E320" s="34" t="n">
        <v>2</v>
      </c>
      <c r="F320" s="25">
        <f>IF(OR(B320="",E320=""),"",E320*IFERROR(INDEX(Config!$D$11:$D$20,MATCH(B320,Config!$A$11:$A$20,0)),0))</f>
        <v/>
      </c>
      <c r="G320" s="24">
        <f>IF(A320="","",MONTH(A320))</f>
        <v/>
      </c>
      <c r="H320" s="24">
        <f>IF(A320="","",YEAR(A320))</f>
        <v/>
      </c>
      <c r="I320" s="30" t="inlineStr">
        <is>
          <t>Não</t>
        </is>
      </c>
    </row>
    <row r="321">
      <c r="A321" s="33" t="n">
        <v>46252</v>
      </c>
      <c r="B321" s="30" t="inlineStr">
        <is>
          <t>Ana</t>
        </is>
      </c>
      <c r="C321" s="30" t="inlineStr">
        <is>
          <t>Gestão e reuniões</t>
        </is>
      </c>
      <c r="D321" s="28" t="inlineStr">
        <is>
          <t>Planejamento</t>
        </is>
      </c>
      <c r="E321" s="34" t="n">
        <v>2.5</v>
      </c>
      <c r="F321" s="25">
        <f>IF(OR(B321="",E321=""),"",E321*IFERROR(INDEX(Config!$D$11:$D$20,MATCH(B321,Config!$A$11:$A$20,0)),0))</f>
        <v/>
      </c>
      <c r="G321" s="24">
        <f>IF(A321="","",MONTH(A321))</f>
        <v/>
      </c>
      <c r="H321" s="24">
        <f>IF(A321="","",YEAR(A321))</f>
        <v/>
      </c>
      <c r="I321" s="30" t="inlineStr">
        <is>
          <t>Não</t>
        </is>
      </c>
    </row>
    <row r="322">
      <c r="A322" s="33" t="n">
        <v>46252</v>
      </c>
      <c r="B322" s="30" t="inlineStr">
        <is>
          <t>Bruno</t>
        </is>
      </c>
      <c r="C322" s="30" t="inlineStr">
        <is>
          <t>Site novo · Loja Verde</t>
        </is>
      </c>
      <c r="D322" s="28" t="inlineStr">
        <is>
          <t>Implementação</t>
        </is>
      </c>
      <c r="E322" s="34" t="n">
        <v>6</v>
      </c>
      <c r="F322" s="25">
        <f>IF(OR(B322="",E322=""),"",E322*IFERROR(INDEX(Config!$D$11:$D$20,MATCH(B322,Config!$A$11:$A$20,0)),0))</f>
        <v/>
      </c>
      <c r="G322" s="24">
        <f>IF(A322="","",MONTH(A322))</f>
        <v/>
      </c>
      <c r="H322" s="24">
        <f>IF(A322="","",YEAR(A322))</f>
        <v/>
      </c>
      <c r="I322" s="30" t="inlineStr">
        <is>
          <t>Sim</t>
        </is>
      </c>
    </row>
    <row r="323">
      <c r="A323" s="33" t="n">
        <v>46252</v>
      </c>
      <c r="B323" s="30" t="inlineStr">
        <is>
          <t>Bruno</t>
        </is>
      </c>
      <c r="C323" s="30" t="inlineStr">
        <is>
          <t>Identidade visual · Padaria do Sol</t>
        </is>
      </c>
      <c r="D323" s="28" t="inlineStr">
        <is>
          <t>Logo</t>
        </is>
      </c>
      <c r="E323" s="34" t="n">
        <v>1.5</v>
      </c>
      <c r="F323" s="25">
        <f>IF(OR(B323="",E323=""),"",E323*IFERROR(INDEX(Config!$D$11:$D$20,MATCH(B323,Config!$A$11:$A$20,0)),0))</f>
        <v/>
      </c>
      <c r="G323" s="24">
        <f>IF(A323="","",MONTH(A323))</f>
        <v/>
      </c>
      <c r="H323" s="24">
        <f>IF(A323="","",YEAR(A323))</f>
        <v/>
      </c>
      <c r="I323" s="30" t="inlineStr">
        <is>
          <t>Sim</t>
        </is>
      </c>
    </row>
    <row r="324">
      <c r="A324" s="33" t="n">
        <v>46252</v>
      </c>
      <c r="B324" s="30" t="inlineStr">
        <is>
          <t>Bruno</t>
        </is>
      </c>
      <c r="C324" s="30" t="inlineStr">
        <is>
          <t>Gestão e reuniões</t>
        </is>
      </c>
      <c r="D324" s="28" t="inlineStr">
        <is>
          <t>Semanal</t>
        </is>
      </c>
      <c r="E324" s="34" t="n">
        <v>1</v>
      </c>
      <c r="F324" s="25">
        <f>IF(OR(B324="",E324=""),"",E324*IFERROR(INDEX(Config!$D$11:$D$20,MATCH(B324,Config!$A$11:$A$20,0)),0))</f>
        <v/>
      </c>
      <c r="G324" s="24">
        <f>IF(A324="","",MONTH(A324))</f>
        <v/>
      </c>
      <c r="H324" s="24">
        <f>IF(A324="","",YEAR(A324))</f>
        <v/>
      </c>
      <c r="I324" s="30" t="inlineStr">
        <is>
          <t>Não</t>
        </is>
      </c>
    </row>
    <row r="325">
      <c r="A325" s="33" t="n">
        <v>46252</v>
      </c>
      <c r="B325" s="30" t="inlineStr">
        <is>
          <t>Carla</t>
        </is>
      </c>
      <c r="C325" s="30" t="inlineStr">
        <is>
          <t>Site novo · Loja Verde</t>
        </is>
      </c>
      <c r="D325" s="28" t="inlineStr">
        <is>
          <t>Textos</t>
        </is>
      </c>
      <c r="E325" s="34" t="n">
        <v>2.5</v>
      </c>
      <c r="F325" s="25">
        <f>IF(OR(B325="",E325=""),"",E325*IFERROR(INDEX(Config!$D$11:$D$20,MATCH(B325,Config!$A$11:$A$20,0)),0))</f>
        <v/>
      </c>
      <c r="G325" s="24">
        <f>IF(A325="","",MONTH(A325))</f>
        <v/>
      </c>
      <c r="H325" s="24">
        <f>IF(A325="","",YEAR(A325))</f>
        <v/>
      </c>
      <c r="I325" s="30" t="inlineStr">
        <is>
          <t>Sim</t>
        </is>
      </c>
    </row>
    <row r="326">
      <c r="A326" s="33" t="n">
        <v>46252</v>
      </c>
      <c r="B326" s="30" t="inlineStr">
        <is>
          <t>Carla</t>
        </is>
      </c>
      <c r="C326" s="30" t="inlineStr">
        <is>
          <t>Comercial e propostas</t>
        </is>
      </c>
      <c r="D326" s="28" t="inlineStr">
        <is>
          <t>Reunião comercial</t>
        </is>
      </c>
      <c r="E326" s="34" t="n">
        <v>4.5</v>
      </c>
      <c r="F326" s="25">
        <f>IF(OR(B326="",E326=""),"",E326*IFERROR(INDEX(Config!$D$11:$D$20,MATCH(B326,Config!$A$11:$A$20,0)),0))</f>
        <v/>
      </c>
      <c r="G326" s="24">
        <f>IF(A326="","",MONTH(A326))</f>
        <v/>
      </c>
      <c r="H326" s="24">
        <f>IF(A326="","",YEAR(A326))</f>
        <v/>
      </c>
      <c r="I326" s="30" t="inlineStr">
        <is>
          <t>Não</t>
        </is>
      </c>
    </row>
    <row r="327">
      <c r="A327" s="33" t="n">
        <v>46252</v>
      </c>
      <c r="B327" s="30" t="inlineStr">
        <is>
          <t>Carla</t>
        </is>
      </c>
      <c r="C327" s="30" t="inlineStr">
        <is>
          <t>Gestão e reuniões</t>
        </is>
      </c>
      <c r="D327" s="28" t="inlineStr">
        <is>
          <t>Semanal</t>
        </is>
      </c>
      <c r="E327" s="34" t="n">
        <v>1</v>
      </c>
      <c r="F327" s="25">
        <f>IF(OR(B327="",E327=""),"",E327*IFERROR(INDEX(Config!$D$11:$D$20,MATCH(B327,Config!$A$11:$A$20,0)),0))</f>
        <v/>
      </c>
      <c r="G327" s="24">
        <f>IF(A327="","",MONTH(A327))</f>
        <v/>
      </c>
      <c r="H327" s="24">
        <f>IF(A327="","",YEAR(A327))</f>
        <v/>
      </c>
      <c r="I327" s="30" t="inlineStr">
        <is>
          <t>Não</t>
        </is>
      </c>
    </row>
    <row r="328">
      <c r="A328" s="33" t="n">
        <v>46252</v>
      </c>
      <c r="B328" s="30" t="inlineStr">
        <is>
          <t>Diego</t>
        </is>
      </c>
      <c r="C328" s="30" t="inlineStr">
        <is>
          <t>Site novo · Loja Verde</t>
        </is>
      </c>
      <c r="D328" s="28" t="inlineStr">
        <is>
          <t>Textos</t>
        </is>
      </c>
      <c r="E328" s="34" t="n">
        <v>4</v>
      </c>
      <c r="F328" s="25">
        <f>IF(OR(B328="",E328=""),"",E328*IFERROR(INDEX(Config!$D$11:$D$20,MATCH(B328,Config!$A$11:$A$20,0)),0))</f>
        <v/>
      </c>
      <c r="G328" s="24">
        <f>IF(A328="","",MONTH(A328))</f>
        <v/>
      </c>
      <c r="H328" s="24">
        <f>IF(A328="","",YEAR(A328))</f>
        <v/>
      </c>
      <c r="I328" s="30" t="inlineStr">
        <is>
          <t>Sim</t>
        </is>
      </c>
    </row>
    <row r="329">
      <c r="A329" s="33" t="n">
        <v>46252</v>
      </c>
      <c r="B329" s="30" t="inlineStr">
        <is>
          <t>Diego</t>
        </is>
      </c>
      <c r="C329" s="30" t="inlineStr">
        <is>
          <t>Comercial e propostas</t>
        </is>
      </c>
      <c r="D329" s="28" t="inlineStr">
        <is>
          <t>Proposta</t>
        </is>
      </c>
      <c r="E329" s="34" t="n">
        <v>0.5</v>
      </c>
      <c r="F329" s="25">
        <f>IF(OR(B329="",E329=""),"",E329*IFERROR(INDEX(Config!$D$11:$D$20,MATCH(B329,Config!$A$11:$A$20,0)),0))</f>
        <v/>
      </c>
      <c r="G329" s="24">
        <f>IF(A329="","",MONTH(A329))</f>
        <v/>
      </c>
      <c r="H329" s="24">
        <f>IF(A329="","",YEAR(A329))</f>
        <v/>
      </c>
      <c r="I329" s="30" t="inlineStr">
        <is>
          <t>Não</t>
        </is>
      </c>
    </row>
    <row r="330">
      <c r="A330" s="33" t="n">
        <v>46252</v>
      </c>
      <c r="B330" s="30" t="inlineStr">
        <is>
          <t>Diego</t>
        </is>
      </c>
      <c r="C330" s="30" t="inlineStr">
        <is>
          <t>Gestão e reuniões</t>
        </is>
      </c>
      <c r="D330" s="28" t="inlineStr">
        <is>
          <t>Financeiro</t>
        </is>
      </c>
      <c r="E330" s="34" t="n">
        <v>2</v>
      </c>
      <c r="F330" s="25">
        <f>IF(OR(B330="",E330=""),"",E330*IFERROR(INDEX(Config!$D$11:$D$20,MATCH(B330,Config!$A$11:$A$20,0)),0))</f>
        <v/>
      </c>
      <c r="G330" s="24">
        <f>IF(A330="","",MONTH(A330))</f>
        <v/>
      </c>
      <c r="H330" s="24">
        <f>IF(A330="","",YEAR(A330))</f>
        <v/>
      </c>
      <c r="I330" s="30" t="inlineStr">
        <is>
          <t>Não</t>
        </is>
      </c>
    </row>
    <row r="331">
      <c r="A331" s="33" t="n">
        <v>46253</v>
      </c>
      <c r="B331" s="30" t="inlineStr">
        <is>
          <t>Ana</t>
        </is>
      </c>
      <c r="C331" s="30" t="inlineStr">
        <is>
          <t>Site novo · Loja Verde</t>
        </is>
      </c>
      <c r="D331" s="28" t="inlineStr">
        <is>
          <t>Textos</t>
        </is>
      </c>
      <c r="E331" s="34" t="n">
        <v>2.5</v>
      </c>
      <c r="F331" s="25">
        <f>IF(OR(B331="",E331=""),"",E331*IFERROR(INDEX(Config!$D$11:$D$20,MATCH(B331,Config!$A$11:$A$20,0)),0))</f>
        <v/>
      </c>
      <c r="G331" s="24">
        <f>IF(A331="","",MONTH(A331))</f>
        <v/>
      </c>
      <c r="H331" s="24">
        <f>IF(A331="","",YEAR(A331))</f>
        <v/>
      </c>
      <c r="I331" s="30" t="inlineStr">
        <is>
          <t>Sim</t>
        </is>
      </c>
    </row>
    <row r="332">
      <c r="A332" s="33" t="n">
        <v>46253</v>
      </c>
      <c r="B332" s="30" t="inlineStr">
        <is>
          <t>Ana</t>
        </is>
      </c>
      <c r="C332" s="30" t="inlineStr">
        <is>
          <t>Comercial e propostas</t>
        </is>
      </c>
      <c r="D332" s="28" t="inlineStr">
        <is>
          <t>Reunião comercial</t>
        </is>
      </c>
      <c r="E332" s="34" t="n">
        <v>3</v>
      </c>
      <c r="F332" s="25">
        <f>IF(OR(B332="",E332=""),"",E332*IFERROR(INDEX(Config!$D$11:$D$20,MATCH(B332,Config!$A$11:$A$20,0)),0))</f>
        <v/>
      </c>
      <c r="G332" s="24">
        <f>IF(A332="","",MONTH(A332))</f>
        <v/>
      </c>
      <c r="H332" s="24">
        <f>IF(A332="","",YEAR(A332))</f>
        <v/>
      </c>
      <c r="I332" s="30" t="inlineStr">
        <is>
          <t>Não</t>
        </is>
      </c>
    </row>
    <row r="333">
      <c r="A333" s="33" t="n">
        <v>46253</v>
      </c>
      <c r="B333" s="30" t="inlineStr">
        <is>
          <t>Ana</t>
        </is>
      </c>
      <c r="C333" s="30" t="inlineStr">
        <is>
          <t>Gestão e reuniões</t>
        </is>
      </c>
      <c r="D333" s="28" t="inlineStr">
        <is>
          <t>Semanal</t>
        </is>
      </c>
      <c r="E333" s="34" t="n">
        <v>3</v>
      </c>
      <c r="F333" s="25">
        <f>IF(OR(B333="",E333=""),"",E333*IFERROR(INDEX(Config!$D$11:$D$20,MATCH(B333,Config!$A$11:$A$20,0)),0))</f>
        <v/>
      </c>
      <c r="G333" s="24">
        <f>IF(A333="","",MONTH(A333))</f>
        <v/>
      </c>
      <c r="H333" s="24">
        <f>IF(A333="","",YEAR(A333))</f>
        <v/>
      </c>
      <c r="I333" s="30" t="inlineStr">
        <is>
          <t>Não</t>
        </is>
      </c>
    </row>
    <row r="334">
      <c r="A334" s="33" t="n">
        <v>46253</v>
      </c>
      <c r="B334" s="30" t="inlineStr">
        <is>
          <t>Bruno</t>
        </is>
      </c>
      <c r="C334" s="30" t="inlineStr">
        <is>
          <t>Site novo · Loja Verde</t>
        </is>
      </c>
      <c r="D334" s="28" t="inlineStr">
        <is>
          <t>Reunião com cliente</t>
        </is>
      </c>
      <c r="E334" s="34" t="n">
        <v>6.5</v>
      </c>
      <c r="F334" s="25">
        <f>IF(OR(B334="",E334=""),"",E334*IFERROR(INDEX(Config!$D$11:$D$20,MATCH(B334,Config!$A$11:$A$20,0)),0))</f>
        <v/>
      </c>
      <c r="G334" s="24">
        <f>IF(A334="","",MONTH(A334))</f>
        <v/>
      </c>
      <c r="H334" s="24">
        <f>IF(A334="","",YEAR(A334))</f>
        <v/>
      </c>
      <c r="I334" s="30" t="inlineStr">
        <is>
          <t>Sim</t>
        </is>
      </c>
    </row>
    <row r="335">
      <c r="A335" s="33" t="n">
        <v>46253</v>
      </c>
      <c r="B335" s="30" t="inlineStr">
        <is>
          <t>Bruno</t>
        </is>
      </c>
      <c r="C335" s="30" t="inlineStr">
        <is>
          <t>Identidade visual · Padaria do Sol</t>
        </is>
      </c>
      <c r="D335" s="28" t="inlineStr">
        <is>
          <t>Aplicações</t>
        </is>
      </c>
      <c r="E335" s="34" t="n">
        <v>1.5</v>
      </c>
      <c r="F335" s="25">
        <f>IF(OR(B335="",E335=""),"",E335*IFERROR(INDEX(Config!$D$11:$D$20,MATCH(B335,Config!$A$11:$A$20,0)),0))</f>
        <v/>
      </c>
      <c r="G335" s="24">
        <f>IF(A335="","",MONTH(A335))</f>
        <v/>
      </c>
      <c r="H335" s="24">
        <f>IF(A335="","",YEAR(A335))</f>
        <v/>
      </c>
      <c r="I335" s="30" t="inlineStr">
        <is>
          <t>Sim</t>
        </is>
      </c>
    </row>
    <row r="336">
      <c r="A336" s="33" t="n">
        <v>46253</v>
      </c>
      <c r="B336" s="30" t="inlineStr">
        <is>
          <t>Bruno</t>
        </is>
      </c>
      <c r="C336" s="30" t="inlineStr">
        <is>
          <t>Gestão e reuniões</t>
        </is>
      </c>
      <c r="D336" s="28" t="inlineStr">
        <is>
          <t>Semanal</t>
        </is>
      </c>
      <c r="E336" s="34" t="n">
        <v>1.5</v>
      </c>
      <c r="F336" s="25">
        <f>IF(OR(B336="",E336=""),"",E336*IFERROR(INDEX(Config!$D$11:$D$20,MATCH(B336,Config!$A$11:$A$20,0)),0))</f>
        <v/>
      </c>
      <c r="G336" s="24">
        <f>IF(A336="","",MONTH(A336))</f>
        <v/>
      </c>
      <c r="H336" s="24">
        <f>IF(A336="","",YEAR(A336))</f>
        <v/>
      </c>
      <c r="I336" s="30" t="inlineStr">
        <is>
          <t>Não</t>
        </is>
      </c>
    </row>
    <row r="337">
      <c r="A337" s="33" t="n">
        <v>46253</v>
      </c>
      <c r="B337" s="30" t="inlineStr">
        <is>
          <t>Carla</t>
        </is>
      </c>
      <c r="C337" s="30" t="inlineStr">
        <is>
          <t>Site novo · Loja Verde</t>
        </is>
      </c>
      <c r="D337" s="28" t="inlineStr">
        <is>
          <t>Reunião com cliente</t>
        </is>
      </c>
      <c r="E337" s="34" t="n">
        <v>2.5</v>
      </c>
      <c r="F337" s="25">
        <f>IF(OR(B337="",E337=""),"",E337*IFERROR(INDEX(Config!$D$11:$D$20,MATCH(B337,Config!$A$11:$A$20,0)),0))</f>
        <v/>
      </c>
      <c r="G337" s="24">
        <f>IF(A337="","",MONTH(A337))</f>
        <v/>
      </c>
      <c r="H337" s="24">
        <f>IF(A337="","",YEAR(A337))</f>
        <v/>
      </c>
      <c r="I337" s="30" t="inlineStr">
        <is>
          <t>Sim</t>
        </is>
      </c>
    </row>
    <row r="338">
      <c r="A338" s="33" t="n">
        <v>46253</v>
      </c>
      <c r="B338" s="30" t="inlineStr">
        <is>
          <t>Carla</t>
        </is>
      </c>
      <c r="C338" s="30" t="inlineStr">
        <is>
          <t>Comercial e propostas</t>
        </is>
      </c>
      <c r="D338" s="28" t="inlineStr">
        <is>
          <t>Proposta</t>
        </is>
      </c>
      <c r="E338" s="34" t="n">
        <v>3.5</v>
      </c>
      <c r="F338" s="25">
        <f>IF(OR(B338="",E338=""),"",E338*IFERROR(INDEX(Config!$D$11:$D$20,MATCH(B338,Config!$A$11:$A$20,0)),0))</f>
        <v/>
      </c>
      <c r="G338" s="24">
        <f>IF(A338="","",MONTH(A338))</f>
        <v/>
      </c>
      <c r="H338" s="24">
        <f>IF(A338="","",YEAR(A338))</f>
        <v/>
      </c>
      <c r="I338" s="30" t="inlineStr">
        <is>
          <t>Não</t>
        </is>
      </c>
    </row>
    <row r="339">
      <c r="A339" s="33" t="n">
        <v>46253</v>
      </c>
      <c r="B339" s="30" t="inlineStr">
        <is>
          <t>Carla</t>
        </is>
      </c>
      <c r="C339" s="30" t="inlineStr">
        <is>
          <t>Gestão e reuniões</t>
        </is>
      </c>
      <c r="D339" s="28" t="inlineStr">
        <is>
          <t>Financeiro</t>
        </is>
      </c>
      <c r="E339" s="34" t="n">
        <v>1</v>
      </c>
      <c r="F339" s="25">
        <f>IF(OR(B339="",E339=""),"",E339*IFERROR(INDEX(Config!$D$11:$D$20,MATCH(B339,Config!$A$11:$A$20,0)),0))</f>
        <v/>
      </c>
      <c r="G339" s="24">
        <f>IF(A339="","",MONTH(A339))</f>
        <v/>
      </c>
      <c r="H339" s="24">
        <f>IF(A339="","",YEAR(A339))</f>
        <v/>
      </c>
      <c r="I339" s="30" t="inlineStr">
        <is>
          <t>Não</t>
        </is>
      </c>
    </row>
    <row r="340">
      <c r="A340" s="33" t="n">
        <v>46253</v>
      </c>
      <c r="B340" s="30" t="inlineStr">
        <is>
          <t>Diego</t>
        </is>
      </c>
      <c r="C340" s="30" t="inlineStr">
        <is>
          <t>Site novo · Loja Verde</t>
        </is>
      </c>
      <c r="D340" s="28" t="inlineStr">
        <is>
          <t>Layout</t>
        </is>
      </c>
      <c r="E340" s="34" t="n">
        <v>5</v>
      </c>
      <c r="F340" s="25">
        <f>IF(OR(B340="",E340=""),"",E340*IFERROR(INDEX(Config!$D$11:$D$20,MATCH(B340,Config!$A$11:$A$20,0)),0))</f>
        <v/>
      </c>
      <c r="G340" s="24">
        <f>IF(A340="","",MONTH(A340))</f>
        <v/>
      </c>
      <c r="H340" s="24">
        <f>IF(A340="","",YEAR(A340))</f>
        <v/>
      </c>
      <c r="I340" s="30" t="inlineStr">
        <is>
          <t>Sim</t>
        </is>
      </c>
    </row>
    <row r="341">
      <c r="A341" s="33" t="n">
        <v>46253</v>
      </c>
      <c r="B341" s="30" t="inlineStr">
        <is>
          <t>Diego</t>
        </is>
      </c>
      <c r="C341" s="30" t="inlineStr">
        <is>
          <t>Comercial e propostas</t>
        </is>
      </c>
      <c r="D341" s="28" t="inlineStr">
        <is>
          <t>Proposta</t>
        </is>
      </c>
      <c r="E341" s="34" t="n">
        <v>1</v>
      </c>
      <c r="F341" s="25">
        <f>IF(OR(B341="",E341=""),"",E341*IFERROR(INDEX(Config!$D$11:$D$20,MATCH(B341,Config!$A$11:$A$20,0)),0))</f>
        <v/>
      </c>
      <c r="G341" s="24">
        <f>IF(A341="","",MONTH(A341))</f>
        <v/>
      </c>
      <c r="H341" s="24">
        <f>IF(A341="","",YEAR(A341))</f>
        <v/>
      </c>
      <c r="I341" s="30" t="inlineStr">
        <is>
          <t>Não</t>
        </is>
      </c>
    </row>
    <row r="342">
      <c r="A342" s="33" t="n">
        <v>46253</v>
      </c>
      <c r="B342" s="30" t="inlineStr">
        <is>
          <t>Diego</t>
        </is>
      </c>
      <c r="C342" s="30" t="inlineStr">
        <is>
          <t>Gestão e reuniões</t>
        </is>
      </c>
      <c r="D342" s="28" t="inlineStr">
        <is>
          <t>Financeiro</t>
        </is>
      </c>
      <c r="E342" s="34" t="n">
        <v>2</v>
      </c>
      <c r="F342" s="25">
        <f>IF(OR(B342="",E342=""),"",E342*IFERROR(INDEX(Config!$D$11:$D$20,MATCH(B342,Config!$A$11:$A$20,0)),0))</f>
        <v/>
      </c>
      <c r="G342" s="24">
        <f>IF(A342="","",MONTH(A342))</f>
        <v/>
      </c>
      <c r="H342" s="24">
        <f>IF(A342="","",YEAR(A342))</f>
        <v/>
      </c>
      <c r="I342" s="30" t="inlineStr">
        <is>
          <t>Não</t>
        </is>
      </c>
    </row>
    <row r="343">
      <c r="A343" s="33" t="n">
        <v>46254</v>
      </c>
      <c r="B343" s="30" t="inlineStr">
        <is>
          <t>Ana</t>
        </is>
      </c>
      <c r="C343" s="30" t="inlineStr">
        <is>
          <t>Site novo · Loja Verde</t>
        </is>
      </c>
      <c r="D343" s="28" t="inlineStr">
        <is>
          <t>Wireframe</t>
        </is>
      </c>
      <c r="E343" s="34" t="n">
        <v>2</v>
      </c>
      <c r="F343" s="25">
        <f>IF(OR(B343="",E343=""),"",E343*IFERROR(INDEX(Config!$D$11:$D$20,MATCH(B343,Config!$A$11:$A$20,0)),0))</f>
        <v/>
      </c>
      <c r="G343" s="24">
        <f>IF(A343="","",MONTH(A343))</f>
        <v/>
      </c>
      <c r="H343" s="24">
        <f>IF(A343="","",YEAR(A343))</f>
        <v/>
      </c>
      <c r="I343" s="30" t="inlineStr">
        <is>
          <t>Sim</t>
        </is>
      </c>
    </row>
    <row r="344">
      <c r="A344" s="33" t="n">
        <v>46254</v>
      </c>
      <c r="B344" s="30" t="inlineStr">
        <is>
          <t>Ana</t>
        </is>
      </c>
      <c r="C344" s="30" t="inlineStr">
        <is>
          <t>Comercial e propostas</t>
        </is>
      </c>
      <c r="D344" s="28" t="inlineStr">
        <is>
          <t>Proposta</t>
        </is>
      </c>
      <c r="E344" s="34" t="n">
        <v>2.5</v>
      </c>
      <c r="F344" s="25">
        <f>IF(OR(B344="",E344=""),"",E344*IFERROR(INDEX(Config!$D$11:$D$20,MATCH(B344,Config!$A$11:$A$20,0)),0))</f>
        <v/>
      </c>
      <c r="G344" s="24">
        <f>IF(A344="","",MONTH(A344))</f>
        <v/>
      </c>
      <c r="H344" s="24">
        <f>IF(A344="","",YEAR(A344))</f>
        <v/>
      </c>
      <c r="I344" s="30" t="inlineStr">
        <is>
          <t>Não</t>
        </is>
      </c>
    </row>
    <row r="345">
      <c r="A345" s="33" t="n">
        <v>46254</v>
      </c>
      <c r="B345" s="30" t="inlineStr">
        <is>
          <t>Ana</t>
        </is>
      </c>
      <c r="C345" s="30" t="inlineStr">
        <is>
          <t>Gestão e reuniões</t>
        </is>
      </c>
      <c r="D345" s="28" t="inlineStr">
        <is>
          <t>Planejamento</t>
        </is>
      </c>
      <c r="E345" s="34" t="n">
        <v>3.5</v>
      </c>
      <c r="F345" s="25">
        <f>IF(OR(B345="",E345=""),"",E345*IFERROR(INDEX(Config!$D$11:$D$20,MATCH(B345,Config!$A$11:$A$20,0)),0))</f>
        <v/>
      </c>
      <c r="G345" s="24">
        <f>IF(A345="","",MONTH(A345))</f>
        <v/>
      </c>
      <c r="H345" s="24">
        <f>IF(A345="","",YEAR(A345))</f>
        <v/>
      </c>
      <c r="I345" s="30" t="inlineStr">
        <is>
          <t>Não</t>
        </is>
      </c>
    </row>
    <row r="346">
      <c r="A346" s="33" t="n">
        <v>46254</v>
      </c>
      <c r="B346" s="30" t="inlineStr">
        <is>
          <t>Bruno</t>
        </is>
      </c>
      <c r="C346" s="30" t="inlineStr">
        <is>
          <t>Site novo · Loja Verde</t>
        </is>
      </c>
      <c r="D346" s="28" t="inlineStr">
        <is>
          <t>Implementação</t>
        </is>
      </c>
      <c r="E346" s="34" t="n">
        <v>6</v>
      </c>
      <c r="F346" s="25">
        <f>IF(OR(B346="",E346=""),"",E346*IFERROR(INDEX(Config!$D$11:$D$20,MATCH(B346,Config!$A$11:$A$20,0)),0))</f>
        <v/>
      </c>
      <c r="G346" s="24">
        <f>IF(A346="","",MONTH(A346))</f>
        <v/>
      </c>
      <c r="H346" s="24">
        <f>IF(A346="","",YEAR(A346))</f>
        <v/>
      </c>
      <c r="I346" s="30" t="inlineStr">
        <is>
          <t>Sim</t>
        </is>
      </c>
    </row>
    <row r="347">
      <c r="A347" s="33" t="n">
        <v>46254</v>
      </c>
      <c r="B347" s="30" t="inlineStr">
        <is>
          <t>Bruno</t>
        </is>
      </c>
      <c r="C347" s="30" t="inlineStr">
        <is>
          <t>Identidade visual · Padaria do Sol</t>
        </is>
      </c>
      <c r="D347" s="28" t="inlineStr">
        <is>
          <t>Manual</t>
        </is>
      </c>
      <c r="E347" s="34" t="n">
        <v>1</v>
      </c>
      <c r="F347" s="25">
        <f>IF(OR(B347="",E347=""),"",E347*IFERROR(INDEX(Config!$D$11:$D$20,MATCH(B347,Config!$A$11:$A$20,0)),0))</f>
        <v/>
      </c>
      <c r="G347" s="24">
        <f>IF(A347="","",MONTH(A347))</f>
        <v/>
      </c>
      <c r="H347" s="24">
        <f>IF(A347="","",YEAR(A347))</f>
        <v/>
      </c>
      <c r="I347" s="30" t="inlineStr">
        <is>
          <t>Sim</t>
        </is>
      </c>
    </row>
    <row r="348">
      <c r="A348" s="33" t="n">
        <v>46254</v>
      </c>
      <c r="B348" s="30" t="inlineStr">
        <is>
          <t>Bruno</t>
        </is>
      </c>
      <c r="C348" s="30" t="inlineStr">
        <is>
          <t>Gestão e reuniões</t>
        </is>
      </c>
      <c r="D348" s="28" t="inlineStr">
        <is>
          <t>Planejamento</t>
        </is>
      </c>
      <c r="E348" s="34" t="n">
        <v>1</v>
      </c>
      <c r="F348" s="25">
        <f>IF(OR(B348="",E348=""),"",E348*IFERROR(INDEX(Config!$D$11:$D$20,MATCH(B348,Config!$A$11:$A$20,0)),0))</f>
        <v/>
      </c>
      <c r="G348" s="24">
        <f>IF(A348="","",MONTH(A348))</f>
        <v/>
      </c>
      <c r="H348" s="24">
        <f>IF(A348="","",YEAR(A348))</f>
        <v/>
      </c>
      <c r="I348" s="30" t="inlineStr">
        <is>
          <t>Não</t>
        </is>
      </c>
    </row>
    <row r="349">
      <c r="A349" s="33" t="n">
        <v>46254</v>
      </c>
      <c r="B349" s="30" t="inlineStr">
        <is>
          <t>Carla</t>
        </is>
      </c>
      <c r="C349" s="30" t="inlineStr">
        <is>
          <t>Site novo · Loja Verde</t>
        </is>
      </c>
      <c r="D349" s="28" t="inlineStr">
        <is>
          <t>Textos</t>
        </is>
      </c>
      <c r="E349" s="34" t="n">
        <v>1.5</v>
      </c>
      <c r="F349" s="25">
        <f>IF(OR(B349="",E349=""),"",E349*IFERROR(INDEX(Config!$D$11:$D$20,MATCH(B349,Config!$A$11:$A$20,0)),0))</f>
        <v/>
      </c>
      <c r="G349" s="24">
        <f>IF(A349="","",MONTH(A349))</f>
        <v/>
      </c>
      <c r="H349" s="24">
        <f>IF(A349="","",YEAR(A349))</f>
        <v/>
      </c>
      <c r="I349" s="30" t="inlineStr">
        <is>
          <t>Sim</t>
        </is>
      </c>
    </row>
    <row r="350">
      <c r="A350" s="33" t="n">
        <v>46254</v>
      </c>
      <c r="B350" s="30" t="inlineStr">
        <is>
          <t>Carla</t>
        </is>
      </c>
      <c r="C350" s="30" t="inlineStr">
        <is>
          <t>Comercial e propostas</t>
        </is>
      </c>
      <c r="D350" s="28" t="inlineStr">
        <is>
          <t>Reunião comercial</t>
        </is>
      </c>
      <c r="E350" s="34" t="n">
        <v>4</v>
      </c>
      <c r="F350" s="25">
        <f>IF(OR(B350="",E350=""),"",E350*IFERROR(INDEX(Config!$D$11:$D$20,MATCH(B350,Config!$A$11:$A$20,0)),0))</f>
        <v/>
      </c>
      <c r="G350" s="24">
        <f>IF(A350="","",MONTH(A350))</f>
        <v/>
      </c>
      <c r="H350" s="24">
        <f>IF(A350="","",YEAR(A350))</f>
        <v/>
      </c>
      <c r="I350" s="30" t="inlineStr">
        <is>
          <t>Não</t>
        </is>
      </c>
    </row>
    <row r="351">
      <c r="A351" s="33" t="n">
        <v>46254</v>
      </c>
      <c r="B351" s="30" t="inlineStr">
        <is>
          <t>Carla</t>
        </is>
      </c>
      <c r="C351" s="30" t="inlineStr">
        <is>
          <t>Gestão e reuniões</t>
        </is>
      </c>
      <c r="D351" s="28" t="inlineStr">
        <is>
          <t>Planejamento</t>
        </is>
      </c>
      <c r="E351" s="34" t="n">
        <v>0.5</v>
      </c>
      <c r="F351" s="25">
        <f>IF(OR(B351="",E351=""),"",E351*IFERROR(INDEX(Config!$D$11:$D$20,MATCH(B351,Config!$A$11:$A$20,0)),0))</f>
        <v/>
      </c>
      <c r="G351" s="24">
        <f>IF(A351="","",MONTH(A351))</f>
        <v/>
      </c>
      <c r="H351" s="24">
        <f>IF(A351="","",YEAR(A351))</f>
        <v/>
      </c>
      <c r="I351" s="30" t="inlineStr">
        <is>
          <t>Não</t>
        </is>
      </c>
    </row>
    <row r="352">
      <c r="A352" s="33" t="n">
        <v>46254</v>
      </c>
      <c r="B352" s="30" t="inlineStr">
        <is>
          <t>Diego</t>
        </is>
      </c>
      <c r="C352" s="30" t="inlineStr">
        <is>
          <t>Site novo · Loja Verde</t>
        </is>
      </c>
      <c r="D352" s="28" t="inlineStr">
        <is>
          <t>Implementação</t>
        </is>
      </c>
      <c r="E352" s="34" t="n">
        <v>4</v>
      </c>
      <c r="F352" s="25">
        <f>IF(OR(B352="",E352=""),"",E352*IFERROR(INDEX(Config!$D$11:$D$20,MATCH(B352,Config!$A$11:$A$20,0)),0))</f>
        <v/>
      </c>
      <c r="G352" s="24">
        <f>IF(A352="","",MONTH(A352))</f>
        <v/>
      </c>
      <c r="H352" s="24">
        <f>IF(A352="","",YEAR(A352))</f>
        <v/>
      </c>
      <c r="I352" s="30" t="inlineStr">
        <is>
          <t>Sim</t>
        </is>
      </c>
    </row>
    <row r="353">
      <c r="A353" s="33" t="n">
        <v>46254</v>
      </c>
      <c r="B353" s="30" t="inlineStr">
        <is>
          <t>Diego</t>
        </is>
      </c>
      <c r="C353" s="30" t="inlineStr">
        <is>
          <t>Comercial e propostas</t>
        </is>
      </c>
      <c r="D353" s="28" t="inlineStr">
        <is>
          <t>Proposta</t>
        </is>
      </c>
      <c r="E353" s="34" t="n">
        <v>0.5</v>
      </c>
      <c r="F353" s="25">
        <f>IF(OR(B353="",E353=""),"",E353*IFERROR(INDEX(Config!$D$11:$D$20,MATCH(B353,Config!$A$11:$A$20,0)),0))</f>
        <v/>
      </c>
      <c r="G353" s="24">
        <f>IF(A353="","",MONTH(A353))</f>
        <v/>
      </c>
      <c r="H353" s="24">
        <f>IF(A353="","",YEAR(A353))</f>
        <v/>
      </c>
      <c r="I353" s="30" t="inlineStr">
        <is>
          <t>Não</t>
        </is>
      </c>
    </row>
    <row r="354">
      <c r="A354" s="33" t="n">
        <v>46254</v>
      </c>
      <c r="B354" s="30" t="inlineStr">
        <is>
          <t>Diego</t>
        </is>
      </c>
      <c r="C354" s="30" t="inlineStr">
        <is>
          <t>Gestão e reuniões</t>
        </is>
      </c>
      <c r="D354" s="28" t="inlineStr">
        <is>
          <t>Planejamento</t>
        </is>
      </c>
      <c r="E354" s="34" t="n">
        <v>2.5</v>
      </c>
      <c r="F354" s="25">
        <f>IF(OR(B354="",E354=""),"",E354*IFERROR(INDEX(Config!$D$11:$D$20,MATCH(B354,Config!$A$11:$A$20,0)),0))</f>
        <v/>
      </c>
      <c r="G354" s="24">
        <f>IF(A354="","",MONTH(A354))</f>
        <v/>
      </c>
      <c r="H354" s="24">
        <f>IF(A354="","",YEAR(A354))</f>
        <v/>
      </c>
      <c r="I354" s="30" t="inlineStr">
        <is>
          <t>Não</t>
        </is>
      </c>
    </row>
    <row r="355">
      <c r="A355" s="33" t="n">
        <v>46255</v>
      </c>
      <c r="B355" s="30" t="inlineStr">
        <is>
          <t>Ana</t>
        </is>
      </c>
      <c r="C355" s="30" t="inlineStr">
        <is>
          <t>Site novo · Loja Verde</t>
        </is>
      </c>
      <c r="D355" s="28" t="inlineStr">
        <is>
          <t>Implementação</t>
        </is>
      </c>
      <c r="E355" s="34" t="n">
        <v>2.5</v>
      </c>
      <c r="F355" s="25">
        <f>IF(OR(B355="",E355=""),"",E355*IFERROR(INDEX(Config!$D$11:$D$20,MATCH(B355,Config!$A$11:$A$20,0)),0))</f>
        <v/>
      </c>
      <c r="G355" s="24">
        <f>IF(A355="","",MONTH(A355))</f>
        <v/>
      </c>
      <c r="H355" s="24">
        <f>IF(A355="","",YEAR(A355))</f>
        <v/>
      </c>
      <c r="I355" s="30" t="inlineStr">
        <is>
          <t>Sim</t>
        </is>
      </c>
    </row>
    <row r="356">
      <c r="A356" s="33" t="n">
        <v>46255</v>
      </c>
      <c r="B356" s="30" t="inlineStr">
        <is>
          <t>Ana</t>
        </is>
      </c>
      <c r="C356" s="30" t="inlineStr">
        <is>
          <t>Comercial e propostas</t>
        </is>
      </c>
      <c r="D356" s="28" t="inlineStr">
        <is>
          <t>Reunião comercial</t>
        </is>
      </c>
      <c r="E356" s="34" t="n">
        <v>2.5</v>
      </c>
      <c r="F356" s="25">
        <f>IF(OR(B356="",E356=""),"",E356*IFERROR(INDEX(Config!$D$11:$D$20,MATCH(B356,Config!$A$11:$A$20,0)),0))</f>
        <v/>
      </c>
      <c r="G356" s="24">
        <f>IF(A356="","",MONTH(A356))</f>
        <v/>
      </c>
      <c r="H356" s="24">
        <f>IF(A356="","",YEAR(A356))</f>
        <v/>
      </c>
      <c r="I356" s="30" t="inlineStr">
        <is>
          <t>Não</t>
        </is>
      </c>
    </row>
    <row r="357">
      <c r="A357" s="33" t="n">
        <v>46255</v>
      </c>
      <c r="B357" s="30" t="inlineStr">
        <is>
          <t>Ana</t>
        </is>
      </c>
      <c r="C357" s="30" t="inlineStr">
        <is>
          <t>Gestão e reuniões</t>
        </is>
      </c>
      <c r="D357" s="28" t="inlineStr">
        <is>
          <t>Financeiro</t>
        </is>
      </c>
      <c r="E357" s="34" t="n">
        <v>3</v>
      </c>
      <c r="F357" s="25">
        <f>IF(OR(B357="",E357=""),"",E357*IFERROR(INDEX(Config!$D$11:$D$20,MATCH(B357,Config!$A$11:$A$20,0)),0))</f>
        <v/>
      </c>
      <c r="G357" s="24">
        <f>IF(A357="","",MONTH(A357))</f>
        <v/>
      </c>
      <c r="H357" s="24">
        <f>IF(A357="","",YEAR(A357))</f>
        <v/>
      </c>
      <c r="I357" s="30" t="inlineStr">
        <is>
          <t>Não</t>
        </is>
      </c>
    </row>
    <row r="358">
      <c r="A358" s="33" t="n">
        <v>46255</v>
      </c>
      <c r="B358" s="30" t="inlineStr">
        <is>
          <t>Bruno</t>
        </is>
      </c>
      <c r="C358" s="30" t="inlineStr">
        <is>
          <t>Site novo · Loja Verde</t>
        </is>
      </c>
      <c r="D358" s="28" t="inlineStr">
        <is>
          <t>Wireframe</t>
        </is>
      </c>
      <c r="E358" s="34" t="n">
        <v>5.5</v>
      </c>
      <c r="F358" s="25">
        <f>IF(OR(B358="",E358=""),"",E358*IFERROR(INDEX(Config!$D$11:$D$20,MATCH(B358,Config!$A$11:$A$20,0)),0))</f>
        <v/>
      </c>
      <c r="G358" s="24">
        <f>IF(A358="","",MONTH(A358))</f>
        <v/>
      </c>
      <c r="H358" s="24">
        <f>IF(A358="","",YEAR(A358))</f>
        <v/>
      </c>
      <c r="I358" s="30" t="inlineStr">
        <is>
          <t>Sim</t>
        </is>
      </c>
    </row>
    <row r="359">
      <c r="A359" s="33" t="n">
        <v>46255</v>
      </c>
      <c r="B359" s="30" t="inlineStr">
        <is>
          <t>Bruno</t>
        </is>
      </c>
      <c r="C359" s="30" t="inlineStr">
        <is>
          <t>Identidade visual · Padaria do Sol</t>
        </is>
      </c>
      <c r="D359" s="28" t="inlineStr">
        <is>
          <t>Logo</t>
        </is>
      </c>
      <c r="E359" s="34" t="n">
        <v>2</v>
      </c>
      <c r="F359" s="25">
        <f>IF(OR(B359="",E359=""),"",E359*IFERROR(INDEX(Config!$D$11:$D$20,MATCH(B359,Config!$A$11:$A$20,0)),0))</f>
        <v/>
      </c>
      <c r="G359" s="24">
        <f>IF(A359="","",MONTH(A359))</f>
        <v/>
      </c>
      <c r="H359" s="24">
        <f>IF(A359="","",YEAR(A359))</f>
        <v/>
      </c>
      <c r="I359" s="30" t="inlineStr">
        <is>
          <t>Sim</t>
        </is>
      </c>
    </row>
    <row r="360">
      <c r="A360" s="33" t="n">
        <v>46255</v>
      </c>
      <c r="B360" s="30" t="inlineStr">
        <is>
          <t>Bruno</t>
        </is>
      </c>
      <c r="C360" s="30" t="inlineStr">
        <is>
          <t>Gestão e reuniões</t>
        </is>
      </c>
      <c r="D360" s="28" t="inlineStr">
        <is>
          <t>Planejamento</t>
        </is>
      </c>
      <c r="E360" s="34" t="n">
        <v>1</v>
      </c>
      <c r="F360" s="25">
        <f>IF(OR(B360="",E360=""),"",E360*IFERROR(INDEX(Config!$D$11:$D$20,MATCH(B360,Config!$A$11:$A$20,0)),0))</f>
        <v/>
      </c>
      <c r="G360" s="24">
        <f>IF(A360="","",MONTH(A360))</f>
        <v/>
      </c>
      <c r="H360" s="24">
        <f>IF(A360="","",YEAR(A360))</f>
        <v/>
      </c>
      <c r="I360" s="30" t="inlineStr">
        <is>
          <t>Não</t>
        </is>
      </c>
    </row>
    <row r="361">
      <c r="A361" s="33" t="n">
        <v>46255</v>
      </c>
      <c r="B361" s="30" t="inlineStr">
        <is>
          <t>Carla</t>
        </is>
      </c>
      <c r="C361" s="30" t="inlineStr">
        <is>
          <t>Site novo · Loja Verde</t>
        </is>
      </c>
      <c r="D361" s="28" t="inlineStr">
        <is>
          <t>Implementação</t>
        </is>
      </c>
      <c r="E361" s="34" t="n">
        <v>2.5</v>
      </c>
      <c r="F361" s="25">
        <f>IF(OR(B361="",E361=""),"",E361*IFERROR(INDEX(Config!$D$11:$D$20,MATCH(B361,Config!$A$11:$A$20,0)),0))</f>
        <v/>
      </c>
      <c r="G361" s="24">
        <f>IF(A361="","",MONTH(A361))</f>
        <v/>
      </c>
      <c r="H361" s="24">
        <f>IF(A361="","",YEAR(A361))</f>
        <v/>
      </c>
      <c r="I361" s="30" t="inlineStr">
        <is>
          <t>Sim</t>
        </is>
      </c>
    </row>
    <row r="362">
      <c r="A362" s="33" t="n">
        <v>46255</v>
      </c>
      <c r="B362" s="30" t="inlineStr">
        <is>
          <t>Carla</t>
        </is>
      </c>
      <c r="C362" s="30" t="inlineStr">
        <is>
          <t>Comercial e propostas</t>
        </is>
      </c>
      <c r="D362" s="28" t="inlineStr">
        <is>
          <t>Reunião comercial</t>
        </is>
      </c>
      <c r="E362" s="34" t="n">
        <v>4.5</v>
      </c>
      <c r="F362" s="25">
        <f>IF(OR(B362="",E362=""),"",E362*IFERROR(INDEX(Config!$D$11:$D$20,MATCH(B362,Config!$A$11:$A$20,0)),0))</f>
        <v/>
      </c>
      <c r="G362" s="24">
        <f>IF(A362="","",MONTH(A362))</f>
        <v/>
      </c>
      <c r="H362" s="24">
        <f>IF(A362="","",YEAR(A362))</f>
        <v/>
      </c>
      <c r="I362" s="30" t="inlineStr">
        <is>
          <t>Não</t>
        </is>
      </c>
    </row>
    <row r="363">
      <c r="A363" s="33" t="n">
        <v>46255</v>
      </c>
      <c r="B363" s="30" t="inlineStr">
        <is>
          <t>Carla</t>
        </is>
      </c>
      <c r="C363" s="30" t="inlineStr">
        <is>
          <t>Gestão e reuniões</t>
        </is>
      </c>
      <c r="D363" s="28" t="inlineStr">
        <is>
          <t>Planejamento</t>
        </is>
      </c>
      <c r="E363" s="34" t="n">
        <v>1.5</v>
      </c>
      <c r="F363" s="25">
        <f>IF(OR(B363="",E363=""),"",E363*IFERROR(INDEX(Config!$D$11:$D$20,MATCH(B363,Config!$A$11:$A$20,0)),0))</f>
        <v/>
      </c>
      <c r="G363" s="24">
        <f>IF(A363="","",MONTH(A363))</f>
        <v/>
      </c>
      <c r="H363" s="24">
        <f>IF(A363="","",YEAR(A363))</f>
        <v/>
      </c>
      <c r="I363" s="30" t="inlineStr">
        <is>
          <t>Não</t>
        </is>
      </c>
    </row>
    <row r="364">
      <c r="A364" s="33" t="n">
        <v>46255</v>
      </c>
      <c r="B364" s="30" t="inlineStr">
        <is>
          <t>Diego</t>
        </is>
      </c>
      <c r="C364" s="30" t="inlineStr">
        <is>
          <t>Site novo · Loja Verde</t>
        </is>
      </c>
      <c r="D364" s="28" t="inlineStr">
        <is>
          <t>Wireframe</t>
        </is>
      </c>
      <c r="E364" s="34" t="n">
        <v>3.5</v>
      </c>
      <c r="F364" s="25">
        <f>IF(OR(B364="",E364=""),"",E364*IFERROR(INDEX(Config!$D$11:$D$20,MATCH(B364,Config!$A$11:$A$20,0)),0))</f>
        <v/>
      </c>
      <c r="G364" s="24">
        <f>IF(A364="","",MONTH(A364))</f>
        <v/>
      </c>
      <c r="H364" s="24">
        <f>IF(A364="","",YEAR(A364))</f>
        <v/>
      </c>
      <c r="I364" s="30" t="inlineStr">
        <is>
          <t>Sim</t>
        </is>
      </c>
    </row>
    <row r="365">
      <c r="A365" s="33" t="n">
        <v>46255</v>
      </c>
      <c r="B365" s="30" t="inlineStr">
        <is>
          <t>Diego</t>
        </is>
      </c>
      <c r="C365" s="30" t="inlineStr">
        <is>
          <t>Comercial e propostas</t>
        </is>
      </c>
      <c r="D365" s="28" t="inlineStr">
        <is>
          <t>Reunião comercial</t>
        </is>
      </c>
      <c r="E365" s="34" t="n">
        <v>0.5</v>
      </c>
      <c r="F365" s="25">
        <f>IF(OR(B365="",E365=""),"",E365*IFERROR(INDEX(Config!$D$11:$D$20,MATCH(B365,Config!$A$11:$A$20,0)),0))</f>
        <v/>
      </c>
      <c r="G365" s="24">
        <f>IF(A365="","",MONTH(A365))</f>
        <v/>
      </c>
      <c r="H365" s="24">
        <f>IF(A365="","",YEAR(A365))</f>
        <v/>
      </c>
      <c r="I365" s="30" t="inlineStr">
        <is>
          <t>Não</t>
        </is>
      </c>
    </row>
    <row r="366">
      <c r="A366" s="33" t="n">
        <v>46255</v>
      </c>
      <c r="B366" s="30" t="inlineStr">
        <is>
          <t>Diego</t>
        </is>
      </c>
      <c r="C366" s="30" t="inlineStr">
        <is>
          <t>Gestão e reuniões</t>
        </is>
      </c>
      <c r="D366" s="28" t="inlineStr">
        <is>
          <t>Semanal</t>
        </is>
      </c>
      <c r="E366" s="34" t="n">
        <v>2.5</v>
      </c>
      <c r="F366" s="25">
        <f>IF(OR(B366="",E366=""),"",E366*IFERROR(INDEX(Config!$D$11:$D$20,MATCH(B366,Config!$A$11:$A$20,0)),0))</f>
        <v/>
      </c>
      <c r="G366" s="24">
        <f>IF(A366="","",MONTH(A366))</f>
        <v/>
      </c>
      <c r="H366" s="24">
        <f>IF(A366="","",YEAR(A366))</f>
        <v/>
      </c>
      <c r="I366" s="30" t="inlineStr">
        <is>
          <t>Não</t>
        </is>
      </c>
    </row>
    <row r="367">
      <c r="A367" s="33" t="n">
        <v>46258</v>
      </c>
      <c r="B367" s="30" t="inlineStr">
        <is>
          <t>Ana</t>
        </is>
      </c>
      <c r="C367" s="30" t="inlineStr">
        <is>
          <t>Site novo · Loja Verde</t>
        </is>
      </c>
      <c r="D367" s="28" t="inlineStr">
        <is>
          <t>Implementação</t>
        </is>
      </c>
      <c r="E367" s="34" t="n">
        <v>2.5</v>
      </c>
      <c r="F367" s="25">
        <f>IF(OR(B367="",E367=""),"",E367*IFERROR(INDEX(Config!$D$11:$D$20,MATCH(B367,Config!$A$11:$A$20,0)),0))</f>
        <v/>
      </c>
      <c r="G367" s="24">
        <f>IF(A367="","",MONTH(A367))</f>
        <v/>
      </c>
      <c r="H367" s="24">
        <f>IF(A367="","",YEAR(A367))</f>
        <v/>
      </c>
      <c r="I367" s="30" t="inlineStr">
        <is>
          <t>Sim</t>
        </is>
      </c>
    </row>
    <row r="368">
      <c r="A368" s="33" t="n">
        <v>46258</v>
      </c>
      <c r="B368" s="30" t="inlineStr">
        <is>
          <t>Ana</t>
        </is>
      </c>
      <c r="C368" s="30" t="inlineStr">
        <is>
          <t>Comercial e propostas</t>
        </is>
      </c>
      <c r="D368" s="28" t="inlineStr">
        <is>
          <t>Reunião comercial</t>
        </is>
      </c>
      <c r="E368" s="34" t="n">
        <v>3</v>
      </c>
      <c r="F368" s="25">
        <f>IF(OR(B368="",E368=""),"",E368*IFERROR(INDEX(Config!$D$11:$D$20,MATCH(B368,Config!$A$11:$A$20,0)),0))</f>
        <v/>
      </c>
      <c r="G368" s="24">
        <f>IF(A368="","",MONTH(A368))</f>
        <v/>
      </c>
      <c r="H368" s="24">
        <f>IF(A368="","",YEAR(A368))</f>
        <v/>
      </c>
      <c r="I368" s="30" t="inlineStr">
        <is>
          <t>Não</t>
        </is>
      </c>
    </row>
    <row r="369">
      <c r="A369" s="33" t="n">
        <v>46258</v>
      </c>
      <c r="B369" s="30" t="inlineStr">
        <is>
          <t>Ana</t>
        </is>
      </c>
      <c r="C369" s="30" t="inlineStr">
        <is>
          <t>Gestão e reuniões</t>
        </is>
      </c>
      <c r="D369" s="28" t="inlineStr">
        <is>
          <t>Financeiro</t>
        </is>
      </c>
      <c r="E369" s="34" t="n">
        <v>2</v>
      </c>
      <c r="F369" s="25">
        <f>IF(OR(B369="",E369=""),"",E369*IFERROR(INDEX(Config!$D$11:$D$20,MATCH(B369,Config!$A$11:$A$20,0)),0))</f>
        <v/>
      </c>
      <c r="G369" s="24">
        <f>IF(A369="","",MONTH(A369))</f>
        <v/>
      </c>
      <c r="H369" s="24">
        <f>IF(A369="","",YEAR(A369))</f>
        <v/>
      </c>
      <c r="I369" s="30" t="inlineStr">
        <is>
          <t>Não</t>
        </is>
      </c>
    </row>
    <row r="370">
      <c r="A370" s="33" t="n">
        <v>46258</v>
      </c>
      <c r="B370" s="30" t="inlineStr">
        <is>
          <t>Bruno</t>
        </is>
      </c>
      <c r="C370" s="30" t="inlineStr">
        <is>
          <t>Site novo · Loja Verde</t>
        </is>
      </c>
      <c r="D370" s="28" t="inlineStr">
        <is>
          <t>Wireframe</t>
        </is>
      </c>
      <c r="E370" s="34" t="n">
        <v>4.5</v>
      </c>
      <c r="F370" s="25">
        <f>IF(OR(B370="",E370=""),"",E370*IFERROR(INDEX(Config!$D$11:$D$20,MATCH(B370,Config!$A$11:$A$20,0)),0))</f>
        <v/>
      </c>
      <c r="G370" s="24">
        <f>IF(A370="","",MONTH(A370))</f>
        <v/>
      </c>
      <c r="H370" s="24">
        <f>IF(A370="","",YEAR(A370))</f>
        <v/>
      </c>
      <c r="I370" s="30" t="inlineStr">
        <is>
          <t>Sim</t>
        </is>
      </c>
    </row>
    <row r="371">
      <c r="A371" s="33" t="n">
        <v>46258</v>
      </c>
      <c r="B371" s="30" t="inlineStr">
        <is>
          <t>Bruno</t>
        </is>
      </c>
      <c r="C371" s="30" t="inlineStr">
        <is>
          <t>Identidade visual · Padaria do Sol</t>
        </is>
      </c>
      <c r="D371" s="28" t="inlineStr">
        <is>
          <t>Manual</t>
        </is>
      </c>
      <c r="E371" s="34" t="n">
        <v>1.5</v>
      </c>
      <c r="F371" s="25">
        <f>IF(OR(B371="",E371=""),"",E371*IFERROR(INDEX(Config!$D$11:$D$20,MATCH(B371,Config!$A$11:$A$20,0)),0))</f>
        <v/>
      </c>
      <c r="G371" s="24">
        <f>IF(A371="","",MONTH(A371))</f>
        <v/>
      </c>
      <c r="H371" s="24">
        <f>IF(A371="","",YEAR(A371))</f>
        <v/>
      </c>
      <c r="I371" s="30" t="inlineStr">
        <is>
          <t>Sim</t>
        </is>
      </c>
    </row>
    <row r="372">
      <c r="A372" s="33" t="n">
        <v>46258</v>
      </c>
      <c r="B372" s="30" t="inlineStr">
        <is>
          <t>Bruno</t>
        </is>
      </c>
      <c r="C372" s="30" t="inlineStr">
        <is>
          <t>Gestão e reuniões</t>
        </is>
      </c>
      <c r="D372" s="28" t="inlineStr">
        <is>
          <t>Planejamento</t>
        </is>
      </c>
      <c r="E372" s="34" t="n">
        <v>1</v>
      </c>
      <c r="F372" s="25">
        <f>IF(OR(B372="",E372=""),"",E372*IFERROR(INDEX(Config!$D$11:$D$20,MATCH(B372,Config!$A$11:$A$20,0)),0))</f>
        <v/>
      </c>
      <c r="G372" s="24">
        <f>IF(A372="","",MONTH(A372))</f>
        <v/>
      </c>
      <c r="H372" s="24">
        <f>IF(A372="","",YEAR(A372))</f>
        <v/>
      </c>
      <c r="I372" s="30" t="inlineStr">
        <is>
          <t>Não</t>
        </is>
      </c>
    </row>
    <row r="373">
      <c r="A373" s="33" t="n">
        <v>46258</v>
      </c>
      <c r="B373" s="30" t="inlineStr">
        <is>
          <t>Carla</t>
        </is>
      </c>
      <c r="C373" s="30" t="inlineStr">
        <is>
          <t>Site novo · Loja Verde</t>
        </is>
      </c>
      <c r="D373" s="28" t="inlineStr">
        <is>
          <t>Layout</t>
        </is>
      </c>
      <c r="E373" s="34" t="n">
        <v>2.5</v>
      </c>
      <c r="F373" s="25">
        <f>IF(OR(B373="",E373=""),"",E373*IFERROR(INDEX(Config!$D$11:$D$20,MATCH(B373,Config!$A$11:$A$20,0)),0))</f>
        <v/>
      </c>
      <c r="G373" s="24">
        <f>IF(A373="","",MONTH(A373))</f>
        <v/>
      </c>
      <c r="H373" s="24">
        <f>IF(A373="","",YEAR(A373))</f>
        <v/>
      </c>
      <c r="I373" s="30" t="inlineStr">
        <is>
          <t>Sim</t>
        </is>
      </c>
    </row>
    <row r="374">
      <c r="A374" s="33" t="n">
        <v>46258</v>
      </c>
      <c r="B374" s="30" t="inlineStr">
        <is>
          <t>Carla</t>
        </is>
      </c>
      <c r="C374" s="30" t="inlineStr">
        <is>
          <t>Comercial e propostas</t>
        </is>
      </c>
      <c r="D374" s="28" t="inlineStr">
        <is>
          <t>Reunião comercial</t>
        </is>
      </c>
      <c r="E374" s="34" t="n">
        <v>5</v>
      </c>
      <c r="F374" s="25">
        <f>IF(OR(B374="",E374=""),"",E374*IFERROR(INDEX(Config!$D$11:$D$20,MATCH(B374,Config!$A$11:$A$20,0)),0))</f>
        <v/>
      </c>
      <c r="G374" s="24">
        <f>IF(A374="","",MONTH(A374))</f>
        <v/>
      </c>
      <c r="H374" s="24">
        <f>IF(A374="","",YEAR(A374))</f>
        <v/>
      </c>
      <c r="I374" s="30" t="inlineStr">
        <is>
          <t>Não</t>
        </is>
      </c>
    </row>
    <row r="375">
      <c r="A375" s="33" t="n">
        <v>46258</v>
      </c>
      <c r="B375" s="30" t="inlineStr">
        <is>
          <t>Carla</t>
        </is>
      </c>
      <c r="C375" s="30" t="inlineStr">
        <is>
          <t>Gestão e reuniões</t>
        </is>
      </c>
      <c r="D375" s="28" t="inlineStr">
        <is>
          <t>Financeiro</t>
        </is>
      </c>
      <c r="E375" s="34" t="n">
        <v>0.5</v>
      </c>
      <c r="F375" s="25">
        <f>IF(OR(B375="",E375=""),"",E375*IFERROR(INDEX(Config!$D$11:$D$20,MATCH(B375,Config!$A$11:$A$20,0)),0))</f>
        <v/>
      </c>
      <c r="G375" s="24">
        <f>IF(A375="","",MONTH(A375))</f>
        <v/>
      </c>
      <c r="H375" s="24">
        <f>IF(A375="","",YEAR(A375))</f>
        <v/>
      </c>
      <c r="I375" s="30" t="inlineStr">
        <is>
          <t>Não</t>
        </is>
      </c>
    </row>
    <row r="376">
      <c r="A376" s="33" t="n">
        <v>46258</v>
      </c>
      <c r="B376" s="30" t="inlineStr">
        <is>
          <t>Diego</t>
        </is>
      </c>
      <c r="C376" s="30" t="inlineStr">
        <is>
          <t>Site novo · Loja Verde</t>
        </is>
      </c>
      <c r="D376" s="28" t="inlineStr">
        <is>
          <t>Wireframe</t>
        </is>
      </c>
      <c r="E376" s="34" t="n">
        <v>4</v>
      </c>
      <c r="F376" s="25">
        <f>IF(OR(B376="",E376=""),"",E376*IFERROR(INDEX(Config!$D$11:$D$20,MATCH(B376,Config!$A$11:$A$20,0)),0))</f>
        <v/>
      </c>
      <c r="G376" s="24">
        <f>IF(A376="","",MONTH(A376))</f>
        <v/>
      </c>
      <c r="H376" s="24">
        <f>IF(A376="","",YEAR(A376))</f>
        <v/>
      </c>
      <c r="I376" s="30" t="inlineStr">
        <is>
          <t>Sim</t>
        </is>
      </c>
    </row>
    <row r="377">
      <c r="A377" s="33" t="n">
        <v>46258</v>
      </c>
      <c r="B377" s="30" t="inlineStr">
        <is>
          <t>Diego</t>
        </is>
      </c>
      <c r="C377" s="30" t="inlineStr">
        <is>
          <t>Comercial e propostas</t>
        </is>
      </c>
      <c r="D377" s="28" t="inlineStr">
        <is>
          <t>Reunião comercial</t>
        </is>
      </c>
      <c r="E377" s="34" t="n">
        <v>0.5</v>
      </c>
      <c r="F377" s="25">
        <f>IF(OR(B377="",E377=""),"",E377*IFERROR(INDEX(Config!$D$11:$D$20,MATCH(B377,Config!$A$11:$A$20,0)),0))</f>
        <v/>
      </c>
      <c r="G377" s="24">
        <f>IF(A377="","",MONTH(A377))</f>
        <v/>
      </c>
      <c r="H377" s="24">
        <f>IF(A377="","",YEAR(A377))</f>
        <v/>
      </c>
      <c r="I377" s="30" t="inlineStr">
        <is>
          <t>Não</t>
        </is>
      </c>
    </row>
    <row r="378">
      <c r="A378" s="33" t="n">
        <v>46258</v>
      </c>
      <c r="B378" s="30" t="inlineStr">
        <is>
          <t>Diego</t>
        </is>
      </c>
      <c r="C378" s="30" t="inlineStr">
        <is>
          <t>Gestão e reuniões</t>
        </is>
      </c>
      <c r="D378" s="28" t="inlineStr">
        <is>
          <t>Semanal</t>
        </is>
      </c>
      <c r="E378" s="34" t="n">
        <v>2</v>
      </c>
      <c r="F378" s="25">
        <f>IF(OR(B378="",E378=""),"",E378*IFERROR(INDEX(Config!$D$11:$D$20,MATCH(B378,Config!$A$11:$A$20,0)),0))</f>
        <v/>
      </c>
      <c r="G378" s="24">
        <f>IF(A378="","",MONTH(A378))</f>
        <v/>
      </c>
      <c r="H378" s="24">
        <f>IF(A378="","",YEAR(A378))</f>
        <v/>
      </c>
      <c r="I378" s="30" t="inlineStr">
        <is>
          <t>Não</t>
        </is>
      </c>
    </row>
    <row r="379">
      <c r="A379" s="33" t="n">
        <v>46259</v>
      </c>
      <c r="B379" s="30" t="inlineStr">
        <is>
          <t>Ana</t>
        </is>
      </c>
      <c r="C379" s="30" t="inlineStr">
        <is>
          <t>Site novo · Loja Verde</t>
        </is>
      </c>
      <c r="D379" s="28" t="inlineStr">
        <is>
          <t>Reunião com cliente</t>
        </is>
      </c>
      <c r="E379" s="34" t="n">
        <v>2.5</v>
      </c>
      <c r="F379" s="25">
        <f>IF(OR(B379="",E379=""),"",E379*IFERROR(INDEX(Config!$D$11:$D$20,MATCH(B379,Config!$A$11:$A$20,0)),0))</f>
        <v/>
      </c>
      <c r="G379" s="24">
        <f>IF(A379="","",MONTH(A379))</f>
        <v/>
      </c>
      <c r="H379" s="24">
        <f>IF(A379="","",YEAR(A379))</f>
        <v/>
      </c>
      <c r="I379" s="30" t="inlineStr">
        <is>
          <t>Sim</t>
        </is>
      </c>
    </row>
    <row r="380">
      <c r="A380" s="33" t="n">
        <v>46259</v>
      </c>
      <c r="B380" s="30" t="inlineStr">
        <is>
          <t>Ana</t>
        </is>
      </c>
      <c r="C380" s="30" t="inlineStr">
        <is>
          <t>Comercial e propostas</t>
        </is>
      </c>
      <c r="D380" s="28" t="inlineStr">
        <is>
          <t>Reunião comercial</t>
        </is>
      </c>
      <c r="E380" s="34" t="n">
        <v>3</v>
      </c>
      <c r="F380" s="25">
        <f>IF(OR(B380="",E380=""),"",E380*IFERROR(INDEX(Config!$D$11:$D$20,MATCH(B380,Config!$A$11:$A$20,0)),0))</f>
        <v/>
      </c>
      <c r="G380" s="24">
        <f>IF(A380="","",MONTH(A380))</f>
        <v/>
      </c>
      <c r="H380" s="24">
        <f>IF(A380="","",YEAR(A380))</f>
        <v/>
      </c>
      <c r="I380" s="30" t="inlineStr">
        <is>
          <t>Não</t>
        </is>
      </c>
    </row>
    <row r="381">
      <c r="A381" s="33" t="n">
        <v>46259</v>
      </c>
      <c r="B381" s="30" t="inlineStr">
        <is>
          <t>Ana</t>
        </is>
      </c>
      <c r="C381" s="30" t="inlineStr">
        <is>
          <t>Gestão e reuniões</t>
        </is>
      </c>
      <c r="D381" s="28" t="inlineStr">
        <is>
          <t>Financeiro</t>
        </is>
      </c>
      <c r="E381" s="34" t="n">
        <v>2.5</v>
      </c>
      <c r="F381" s="25">
        <f>IF(OR(B381="",E381=""),"",E381*IFERROR(INDEX(Config!$D$11:$D$20,MATCH(B381,Config!$A$11:$A$20,0)),0))</f>
        <v/>
      </c>
      <c r="G381" s="24">
        <f>IF(A381="","",MONTH(A381))</f>
        <v/>
      </c>
      <c r="H381" s="24">
        <f>IF(A381="","",YEAR(A381))</f>
        <v/>
      </c>
      <c r="I381" s="30" t="inlineStr">
        <is>
          <t>Não</t>
        </is>
      </c>
    </row>
    <row r="382">
      <c r="A382" s="33" t="n">
        <v>46259</v>
      </c>
      <c r="B382" s="30" t="inlineStr">
        <is>
          <t>Bruno</t>
        </is>
      </c>
      <c r="C382" s="30" t="inlineStr">
        <is>
          <t>Site novo · Loja Verde</t>
        </is>
      </c>
      <c r="D382" s="28" t="inlineStr">
        <is>
          <t>Textos</t>
        </is>
      </c>
      <c r="E382" s="34" t="n">
        <v>4</v>
      </c>
      <c r="F382" s="25">
        <f>IF(OR(B382="",E382=""),"",E382*IFERROR(INDEX(Config!$D$11:$D$20,MATCH(B382,Config!$A$11:$A$20,0)),0))</f>
        <v/>
      </c>
      <c r="G382" s="24">
        <f>IF(A382="","",MONTH(A382))</f>
        <v/>
      </c>
      <c r="H382" s="24">
        <f>IF(A382="","",YEAR(A382))</f>
        <v/>
      </c>
      <c r="I382" s="30" t="inlineStr">
        <is>
          <t>Sim</t>
        </is>
      </c>
    </row>
    <row r="383">
      <c r="A383" s="33" t="n">
        <v>46259</v>
      </c>
      <c r="B383" s="30" t="inlineStr">
        <is>
          <t>Bruno</t>
        </is>
      </c>
      <c r="C383" s="30" t="inlineStr">
        <is>
          <t>Identidade visual · Padaria do Sol</t>
        </is>
      </c>
      <c r="D383" s="28" t="inlineStr">
        <is>
          <t>Manual</t>
        </is>
      </c>
      <c r="E383" s="34" t="n">
        <v>2</v>
      </c>
      <c r="F383" s="25">
        <f>IF(OR(B383="",E383=""),"",E383*IFERROR(INDEX(Config!$D$11:$D$20,MATCH(B383,Config!$A$11:$A$20,0)),0))</f>
        <v/>
      </c>
      <c r="G383" s="24">
        <f>IF(A383="","",MONTH(A383))</f>
        <v/>
      </c>
      <c r="H383" s="24">
        <f>IF(A383="","",YEAR(A383))</f>
        <v/>
      </c>
      <c r="I383" s="30" t="inlineStr">
        <is>
          <t>Sim</t>
        </is>
      </c>
    </row>
    <row r="384">
      <c r="A384" s="33" t="n">
        <v>46259</v>
      </c>
      <c r="B384" s="30" t="inlineStr">
        <is>
          <t>Bruno</t>
        </is>
      </c>
      <c r="C384" s="30" t="inlineStr">
        <is>
          <t>Gestão e reuniões</t>
        </is>
      </c>
      <c r="D384" s="28" t="inlineStr">
        <is>
          <t>Financeiro</t>
        </is>
      </c>
      <c r="E384" s="34" t="n">
        <v>1</v>
      </c>
      <c r="F384" s="25">
        <f>IF(OR(B384="",E384=""),"",E384*IFERROR(INDEX(Config!$D$11:$D$20,MATCH(B384,Config!$A$11:$A$20,0)),0))</f>
        <v/>
      </c>
      <c r="G384" s="24">
        <f>IF(A384="","",MONTH(A384))</f>
        <v/>
      </c>
      <c r="H384" s="24">
        <f>IF(A384="","",YEAR(A384))</f>
        <v/>
      </c>
      <c r="I384" s="30" t="inlineStr">
        <is>
          <t>Não</t>
        </is>
      </c>
    </row>
    <row r="385">
      <c r="A385" s="33" t="n">
        <v>46259</v>
      </c>
      <c r="B385" s="30" t="inlineStr">
        <is>
          <t>Carla</t>
        </is>
      </c>
      <c r="C385" s="30" t="inlineStr">
        <is>
          <t>Site novo · Loja Verde</t>
        </is>
      </c>
      <c r="D385" s="28" t="inlineStr">
        <is>
          <t>Textos</t>
        </is>
      </c>
      <c r="E385" s="34" t="n">
        <v>3</v>
      </c>
      <c r="F385" s="25">
        <f>IF(OR(B385="",E385=""),"",E385*IFERROR(INDEX(Config!$D$11:$D$20,MATCH(B385,Config!$A$11:$A$20,0)),0))</f>
        <v/>
      </c>
      <c r="G385" s="24">
        <f>IF(A385="","",MONTH(A385))</f>
        <v/>
      </c>
      <c r="H385" s="24">
        <f>IF(A385="","",YEAR(A385))</f>
        <v/>
      </c>
      <c r="I385" s="30" t="inlineStr">
        <is>
          <t>Sim</t>
        </is>
      </c>
    </row>
    <row r="386">
      <c r="A386" s="33" t="n">
        <v>46259</v>
      </c>
      <c r="B386" s="30" t="inlineStr">
        <is>
          <t>Carla</t>
        </is>
      </c>
      <c r="C386" s="30" t="inlineStr">
        <is>
          <t>Comercial e propostas</t>
        </is>
      </c>
      <c r="D386" s="28" t="inlineStr">
        <is>
          <t>Proposta</t>
        </is>
      </c>
      <c r="E386" s="34" t="n">
        <v>5</v>
      </c>
      <c r="F386" s="25">
        <f>IF(OR(B386="",E386=""),"",E386*IFERROR(INDEX(Config!$D$11:$D$20,MATCH(B386,Config!$A$11:$A$20,0)),0))</f>
        <v/>
      </c>
      <c r="G386" s="24">
        <f>IF(A386="","",MONTH(A386))</f>
        <v/>
      </c>
      <c r="H386" s="24">
        <f>IF(A386="","",YEAR(A386))</f>
        <v/>
      </c>
      <c r="I386" s="30" t="inlineStr">
        <is>
          <t>Não</t>
        </is>
      </c>
    </row>
    <row r="387">
      <c r="A387" s="33" t="n">
        <v>46259</v>
      </c>
      <c r="B387" s="30" t="inlineStr">
        <is>
          <t>Carla</t>
        </is>
      </c>
      <c r="C387" s="30" t="inlineStr">
        <is>
          <t>Gestão e reuniões</t>
        </is>
      </c>
      <c r="D387" s="28" t="inlineStr">
        <is>
          <t>Semanal</t>
        </is>
      </c>
      <c r="E387" s="34" t="n">
        <v>1</v>
      </c>
      <c r="F387" s="25">
        <f>IF(OR(B387="",E387=""),"",E387*IFERROR(INDEX(Config!$D$11:$D$20,MATCH(B387,Config!$A$11:$A$20,0)),0))</f>
        <v/>
      </c>
      <c r="G387" s="24">
        <f>IF(A387="","",MONTH(A387))</f>
        <v/>
      </c>
      <c r="H387" s="24">
        <f>IF(A387="","",YEAR(A387))</f>
        <v/>
      </c>
      <c r="I387" s="30" t="inlineStr">
        <is>
          <t>Não</t>
        </is>
      </c>
    </row>
    <row r="388">
      <c r="A388" s="33" t="n">
        <v>46259</v>
      </c>
      <c r="B388" s="30" t="inlineStr">
        <is>
          <t>Diego</t>
        </is>
      </c>
      <c r="C388" s="30" t="inlineStr">
        <is>
          <t>Site novo · Loja Verde</t>
        </is>
      </c>
      <c r="D388" s="28" t="inlineStr">
        <is>
          <t>Layout</t>
        </is>
      </c>
      <c r="E388" s="34" t="n">
        <v>3.5</v>
      </c>
      <c r="F388" s="25">
        <f>IF(OR(B388="",E388=""),"",E388*IFERROR(INDEX(Config!$D$11:$D$20,MATCH(B388,Config!$A$11:$A$20,0)),0))</f>
        <v/>
      </c>
      <c r="G388" s="24">
        <f>IF(A388="","",MONTH(A388))</f>
        <v/>
      </c>
      <c r="H388" s="24">
        <f>IF(A388="","",YEAR(A388))</f>
        <v/>
      </c>
      <c r="I388" s="30" t="inlineStr">
        <is>
          <t>Sim</t>
        </is>
      </c>
    </row>
    <row r="389">
      <c r="A389" s="33" t="n">
        <v>46259</v>
      </c>
      <c r="B389" s="30" t="inlineStr">
        <is>
          <t>Diego</t>
        </is>
      </c>
      <c r="C389" s="30" t="inlineStr">
        <is>
          <t>Comercial e propostas</t>
        </is>
      </c>
      <c r="D389" s="28" t="inlineStr">
        <is>
          <t>Reunião comercial</t>
        </is>
      </c>
      <c r="E389" s="34" t="n">
        <v>1</v>
      </c>
      <c r="F389" s="25">
        <f>IF(OR(B389="",E389=""),"",E389*IFERROR(INDEX(Config!$D$11:$D$20,MATCH(B389,Config!$A$11:$A$20,0)),0))</f>
        <v/>
      </c>
      <c r="G389" s="24">
        <f>IF(A389="","",MONTH(A389))</f>
        <v/>
      </c>
      <c r="H389" s="24">
        <f>IF(A389="","",YEAR(A389))</f>
        <v/>
      </c>
      <c r="I389" s="30" t="inlineStr">
        <is>
          <t>Não</t>
        </is>
      </c>
    </row>
    <row r="390">
      <c r="A390" s="33" t="n">
        <v>46259</v>
      </c>
      <c r="B390" s="30" t="inlineStr">
        <is>
          <t>Diego</t>
        </is>
      </c>
      <c r="C390" s="30" t="inlineStr">
        <is>
          <t>Gestão e reuniões</t>
        </is>
      </c>
      <c r="D390" s="28" t="inlineStr">
        <is>
          <t>Planejamento</t>
        </is>
      </c>
      <c r="E390" s="34" t="n">
        <v>3</v>
      </c>
      <c r="F390" s="25">
        <f>IF(OR(B390="",E390=""),"",E390*IFERROR(INDEX(Config!$D$11:$D$20,MATCH(B390,Config!$A$11:$A$20,0)),0))</f>
        <v/>
      </c>
      <c r="G390" s="24">
        <f>IF(A390="","",MONTH(A390))</f>
        <v/>
      </c>
      <c r="H390" s="24">
        <f>IF(A390="","",YEAR(A390))</f>
        <v/>
      </c>
      <c r="I390" s="30" t="inlineStr">
        <is>
          <t>Não</t>
        </is>
      </c>
    </row>
    <row r="391">
      <c r="A391" s="33" t="n">
        <v>46260</v>
      </c>
      <c r="B391" s="30" t="inlineStr">
        <is>
          <t>Ana</t>
        </is>
      </c>
      <c r="C391" s="30" t="inlineStr">
        <is>
          <t>Site novo · Loja Verde</t>
        </is>
      </c>
      <c r="D391" s="28" t="inlineStr">
        <is>
          <t>Wireframe</t>
        </is>
      </c>
      <c r="E391" s="34" t="n">
        <v>2</v>
      </c>
      <c r="F391" s="25">
        <f>IF(OR(B391="",E391=""),"",E391*IFERROR(INDEX(Config!$D$11:$D$20,MATCH(B391,Config!$A$11:$A$20,0)),0))</f>
        <v/>
      </c>
      <c r="G391" s="24">
        <f>IF(A391="","",MONTH(A391))</f>
        <v/>
      </c>
      <c r="H391" s="24">
        <f>IF(A391="","",YEAR(A391))</f>
        <v/>
      </c>
      <c r="I391" s="30" t="inlineStr">
        <is>
          <t>Sim</t>
        </is>
      </c>
    </row>
    <row r="392">
      <c r="A392" s="33" t="n">
        <v>46260</v>
      </c>
      <c r="B392" s="30" t="inlineStr">
        <is>
          <t>Ana</t>
        </is>
      </c>
      <c r="C392" s="30" t="inlineStr">
        <is>
          <t>Comercial e propostas</t>
        </is>
      </c>
      <c r="D392" s="28" t="inlineStr">
        <is>
          <t>Proposta</t>
        </is>
      </c>
      <c r="E392" s="34" t="n">
        <v>3.5</v>
      </c>
      <c r="F392" s="25">
        <f>IF(OR(B392="",E392=""),"",E392*IFERROR(INDEX(Config!$D$11:$D$20,MATCH(B392,Config!$A$11:$A$20,0)),0))</f>
        <v/>
      </c>
      <c r="G392" s="24">
        <f>IF(A392="","",MONTH(A392))</f>
        <v/>
      </c>
      <c r="H392" s="24">
        <f>IF(A392="","",YEAR(A392))</f>
        <v/>
      </c>
      <c r="I392" s="30" t="inlineStr">
        <is>
          <t>Não</t>
        </is>
      </c>
    </row>
    <row r="393">
      <c r="A393" s="33" t="n">
        <v>46260</v>
      </c>
      <c r="B393" s="30" t="inlineStr">
        <is>
          <t>Ana</t>
        </is>
      </c>
      <c r="C393" s="30" t="inlineStr">
        <is>
          <t>Gestão e reuniões</t>
        </is>
      </c>
      <c r="D393" s="28" t="inlineStr">
        <is>
          <t>Financeiro</t>
        </is>
      </c>
      <c r="E393" s="34" t="n">
        <v>4</v>
      </c>
      <c r="F393" s="25">
        <f>IF(OR(B393="",E393=""),"",E393*IFERROR(INDEX(Config!$D$11:$D$20,MATCH(B393,Config!$A$11:$A$20,0)),0))</f>
        <v/>
      </c>
      <c r="G393" s="24">
        <f>IF(A393="","",MONTH(A393))</f>
        <v/>
      </c>
      <c r="H393" s="24">
        <f>IF(A393="","",YEAR(A393))</f>
        <v/>
      </c>
      <c r="I393" s="30" t="inlineStr">
        <is>
          <t>Não</t>
        </is>
      </c>
    </row>
    <row r="394">
      <c r="A394" s="33" t="n">
        <v>46260</v>
      </c>
      <c r="B394" s="30" t="inlineStr">
        <is>
          <t>Bruno</t>
        </is>
      </c>
      <c r="C394" s="30" t="inlineStr">
        <is>
          <t>Site novo · Loja Verde</t>
        </is>
      </c>
      <c r="D394" s="28" t="inlineStr">
        <is>
          <t>Layout</t>
        </is>
      </c>
      <c r="E394" s="34" t="n">
        <v>4.5</v>
      </c>
      <c r="F394" s="25">
        <f>IF(OR(B394="",E394=""),"",E394*IFERROR(INDEX(Config!$D$11:$D$20,MATCH(B394,Config!$A$11:$A$20,0)),0))</f>
        <v/>
      </c>
      <c r="G394" s="24">
        <f>IF(A394="","",MONTH(A394))</f>
        <v/>
      </c>
      <c r="H394" s="24">
        <f>IF(A394="","",YEAR(A394))</f>
        <v/>
      </c>
      <c r="I394" s="30" t="inlineStr">
        <is>
          <t>Sim</t>
        </is>
      </c>
    </row>
    <row r="395">
      <c r="A395" s="33" t="n">
        <v>46260</v>
      </c>
      <c r="B395" s="30" t="inlineStr">
        <is>
          <t>Bruno</t>
        </is>
      </c>
      <c r="C395" s="30" t="inlineStr">
        <is>
          <t>Identidade visual · Padaria do Sol</t>
        </is>
      </c>
      <c r="D395" s="28" t="inlineStr">
        <is>
          <t>Manual</t>
        </is>
      </c>
      <c r="E395" s="34" t="n">
        <v>1.5</v>
      </c>
      <c r="F395" s="25">
        <f>IF(OR(B395="",E395=""),"",E395*IFERROR(INDEX(Config!$D$11:$D$20,MATCH(B395,Config!$A$11:$A$20,0)),0))</f>
        <v/>
      </c>
      <c r="G395" s="24">
        <f>IF(A395="","",MONTH(A395))</f>
        <v/>
      </c>
      <c r="H395" s="24">
        <f>IF(A395="","",YEAR(A395))</f>
        <v/>
      </c>
      <c r="I395" s="30" t="inlineStr">
        <is>
          <t>Sim</t>
        </is>
      </c>
    </row>
    <row r="396">
      <c r="A396" s="33" t="n">
        <v>46260</v>
      </c>
      <c r="B396" s="30" t="inlineStr">
        <is>
          <t>Bruno</t>
        </is>
      </c>
      <c r="C396" s="30" t="inlineStr">
        <is>
          <t>Gestão e reuniões</t>
        </is>
      </c>
      <c r="D396" s="28" t="inlineStr">
        <is>
          <t>Financeiro</t>
        </is>
      </c>
      <c r="E396" s="34" t="n">
        <v>1</v>
      </c>
      <c r="F396" s="25">
        <f>IF(OR(B396="",E396=""),"",E396*IFERROR(INDEX(Config!$D$11:$D$20,MATCH(B396,Config!$A$11:$A$20,0)),0))</f>
        <v/>
      </c>
      <c r="G396" s="24">
        <f>IF(A396="","",MONTH(A396))</f>
        <v/>
      </c>
      <c r="H396" s="24">
        <f>IF(A396="","",YEAR(A396))</f>
        <v/>
      </c>
      <c r="I396" s="30" t="inlineStr">
        <is>
          <t>Não</t>
        </is>
      </c>
    </row>
    <row r="397">
      <c r="A397" s="33" t="n">
        <v>46260</v>
      </c>
      <c r="B397" s="30" t="inlineStr">
        <is>
          <t>Carla</t>
        </is>
      </c>
      <c r="C397" s="30" t="inlineStr">
        <is>
          <t>Site novo · Loja Verde</t>
        </is>
      </c>
      <c r="D397" s="28" t="inlineStr">
        <is>
          <t>Layout</t>
        </is>
      </c>
      <c r="E397" s="34" t="n">
        <v>2.5</v>
      </c>
      <c r="F397" s="25">
        <f>IF(OR(B397="",E397=""),"",E397*IFERROR(INDEX(Config!$D$11:$D$20,MATCH(B397,Config!$A$11:$A$20,0)),0))</f>
        <v/>
      </c>
      <c r="G397" s="24">
        <f>IF(A397="","",MONTH(A397))</f>
        <v/>
      </c>
      <c r="H397" s="24">
        <f>IF(A397="","",YEAR(A397))</f>
        <v/>
      </c>
      <c r="I397" s="30" t="inlineStr">
        <is>
          <t>Sim</t>
        </is>
      </c>
    </row>
    <row r="398">
      <c r="A398" s="33" t="n">
        <v>46260</v>
      </c>
      <c r="B398" s="30" t="inlineStr">
        <is>
          <t>Carla</t>
        </is>
      </c>
      <c r="C398" s="30" t="inlineStr">
        <is>
          <t>Comercial e propostas</t>
        </is>
      </c>
      <c r="D398" s="28" t="inlineStr">
        <is>
          <t>Proposta</t>
        </is>
      </c>
      <c r="E398" s="34" t="n">
        <v>3.5</v>
      </c>
      <c r="F398" s="25">
        <f>IF(OR(B398="",E398=""),"",E398*IFERROR(INDEX(Config!$D$11:$D$20,MATCH(B398,Config!$A$11:$A$20,0)),0))</f>
        <v/>
      </c>
      <c r="G398" s="24">
        <f>IF(A398="","",MONTH(A398))</f>
        <v/>
      </c>
      <c r="H398" s="24">
        <f>IF(A398="","",YEAR(A398))</f>
        <v/>
      </c>
      <c r="I398" s="30" t="inlineStr">
        <is>
          <t>Não</t>
        </is>
      </c>
    </row>
    <row r="399">
      <c r="A399" s="33" t="n">
        <v>46260</v>
      </c>
      <c r="B399" s="30" t="inlineStr">
        <is>
          <t>Carla</t>
        </is>
      </c>
      <c r="C399" s="30" t="inlineStr">
        <is>
          <t>Gestão e reuniões</t>
        </is>
      </c>
      <c r="D399" s="28" t="inlineStr">
        <is>
          <t>Planejamento</t>
        </is>
      </c>
      <c r="E399" s="34" t="n">
        <v>1</v>
      </c>
      <c r="F399" s="25">
        <f>IF(OR(B399="",E399=""),"",E399*IFERROR(INDEX(Config!$D$11:$D$20,MATCH(B399,Config!$A$11:$A$20,0)),0))</f>
        <v/>
      </c>
      <c r="G399" s="24">
        <f>IF(A399="","",MONTH(A399))</f>
        <v/>
      </c>
      <c r="H399" s="24">
        <f>IF(A399="","",YEAR(A399))</f>
        <v/>
      </c>
      <c r="I399" s="30" t="inlineStr">
        <is>
          <t>Não</t>
        </is>
      </c>
    </row>
    <row r="400">
      <c r="A400" s="33" t="n">
        <v>46260</v>
      </c>
      <c r="B400" s="30" t="inlineStr">
        <is>
          <t>Diego</t>
        </is>
      </c>
      <c r="C400" s="30" t="inlineStr">
        <is>
          <t>Site novo · Loja Verde</t>
        </is>
      </c>
      <c r="D400" s="28" t="inlineStr">
        <is>
          <t>Wireframe</t>
        </is>
      </c>
      <c r="E400" s="34" t="n">
        <v>4</v>
      </c>
      <c r="F400" s="25">
        <f>IF(OR(B400="",E400=""),"",E400*IFERROR(INDEX(Config!$D$11:$D$20,MATCH(B400,Config!$A$11:$A$20,0)),0))</f>
        <v/>
      </c>
      <c r="G400" s="24">
        <f>IF(A400="","",MONTH(A400))</f>
        <v/>
      </c>
      <c r="H400" s="24">
        <f>IF(A400="","",YEAR(A400))</f>
        <v/>
      </c>
      <c r="I400" s="30" t="inlineStr">
        <is>
          <t>Sim</t>
        </is>
      </c>
    </row>
    <row r="401">
      <c r="A401" s="33" t="n">
        <v>46260</v>
      </c>
      <c r="B401" s="30" t="inlineStr">
        <is>
          <t>Diego</t>
        </is>
      </c>
      <c r="C401" s="30" t="inlineStr">
        <is>
          <t>Comercial e propostas</t>
        </is>
      </c>
      <c r="D401" s="28" t="inlineStr">
        <is>
          <t>Proposta</t>
        </is>
      </c>
      <c r="E401" s="34" t="n">
        <v>0.5</v>
      </c>
      <c r="F401" s="25">
        <f>IF(OR(B401="",E401=""),"",E401*IFERROR(INDEX(Config!$D$11:$D$20,MATCH(B401,Config!$A$11:$A$20,0)),0))</f>
        <v/>
      </c>
      <c r="G401" s="24">
        <f>IF(A401="","",MONTH(A401))</f>
        <v/>
      </c>
      <c r="H401" s="24">
        <f>IF(A401="","",YEAR(A401))</f>
        <v/>
      </c>
      <c r="I401" s="30" t="inlineStr">
        <is>
          <t>Não</t>
        </is>
      </c>
    </row>
    <row r="402">
      <c r="A402" s="33" t="n">
        <v>46260</v>
      </c>
      <c r="B402" s="30" t="inlineStr">
        <is>
          <t>Diego</t>
        </is>
      </c>
      <c r="C402" s="30" t="inlineStr">
        <is>
          <t>Gestão e reuniões</t>
        </is>
      </c>
      <c r="D402" s="28" t="inlineStr">
        <is>
          <t>Semanal</t>
        </is>
      </c>
      <c r="E402" s="34" t="n">
        <v>1.5</v>
      </c>
      <c r="F402" s="25">
        <f>IF(OR(B402="",E402=""),"",E402*IFERROR(INDEX(Config!$D$11:$D$20,MATCH(B402,Config!$A$11:$A$20,0)),0))</f>
        <v/>
      </c>
      <c r="G402" s="24">
        <f>IF(A402="","",MONTH(A402))</f>
        <v/>
      </c>
      <c r="H402" s="24">
        <f>IF(A402="","",YEAR(A402))</f>
        <v/>
      </c>
      <c r="I402" s="30" t="inlineStr">
        <is>
          <t>Não</t>
        </is>
      </c>
    </row>
    <row r="403">
      <c r="A403" s="33" t="n">
        <v>46261</v>
      </c>
      <c r="B403" s="30" t="inlineStr">
        <is>
          <t>Ana</t>
        </is>
      </c>
      <c r="C403" s="30" t="inlineStr">
        <is>
          <t>Site novo · Loja Verde</t>
        </is>
      </c>
      <c r="D403" s="28" t="inlineStr">
        <is>
          <t>Textos</t>
        </is>
      </c>
      <c r="E403" s="34" t="n">
        <v>2</v>
      </c>
      <c r="F403" s="25">
        <f>IF(OR(B403="",E403=""),"",E403*IFERROR(INDEX(Config!$D$11:$D$20,MATCH(B403,Config!$A$11:$A$20,0)),0))</f>
        <v/>
      </c>
      <c r="G403" s="24">
        <f>IF(A403="","",MONTH(A403))</f>
        <v/>
      </c>
      <c r="H403" s="24">
        <f>IF(A403="","",YEAR(A403))</f>
        <v/>
      </c>
      <c r="I403" s="30" t="inlineStr">
        <is>
          <t>Sim</t>
        </is>
      </c>
    </row>
    <row r="404">
      <c r="A404" s="33" t="n">
        <v>46261</v>
      </c>
      <c r="B404" s="30" t="inlineStr">
        <is>
          <t>Ana</t>
        </is>
      </c>
      <c r="C404" s="30" t="inlineStr">
        <is>
          <t>Comercial e propostas</t>
        </is>
      </c>
      <c r="D404" s="28" t="inlineStr">
        <is>
          <t>Proposta</t>
        </is>
      </c>
      <c r="E404" s="34" t="n">
        <v>3</v>
      </c>
      <c r="F404" s="25">
        <f>IF(OR(B404="",E404=""),"",E404*IFERROR(INDEX(Config!$D$11:$D$20,MATCH(B404,Config!$A$11:$A$20,0)),0))</f>
        <v/>
      </c>
      <c r="G404" s="24">
        <f>IF(A404="","",MONTH(A404))</f>
        <v/>
      </c>
      <c r="H404" s="24">
        <f>IF(A404="","",YEAR(A404))</f>
        <v/>
      </c>
      <c r="I404" s="30" t="inlineStr">
        <is>
          <t>Não</t>
        </is>
      </c>
    </row>
    <row r="405">
      <c r="A405" s="33" t="n">
        <v>46261</v>
      </c>
      <c r="B405" s="30" t="inlineStr">
        <is>
          <t>Ana</t>
        </is>
      </c>
      <c r="C405" s="30" t="inlineStr">
        <is>
          <t>Gestão e reuniões</t>
        </is>
      </c>
      <c r="D405" s="28" t="inlineStr">
        <is>
          <t>Planejamento</t>
        </is>
      </c>
      <c r="E405" s="34" t="n">
        <v>4</v>
      </c>
      <c r="F405" s="25">
        <f>IF(OR(B405="",E405=""),"",E405*IFERROR(INDEX(Config!$D$11:$D$20,MATCH(B405,Config!$A$11:$A$20,0)),0))</f>
        <v/>
      </c>
      <c r="G405" s="24">
        <f>IF(A405="","",MONTH(A405))</f>
        <v/>
      </c>
      <c r="H405" s="24">
        <f>IF(A405="","",YEAR(A405))</f>
        <v/>
      </c>
      <c r="I405" s="30" t="inlineStr">
        <is>
          <t>Não</t>
        </is>
      </c>
    </row>
    <row r="406">
      <c r="A406" s="33" t="n">
        <v>46261</v>
      </c>
      <c r="B406" s="30" t="inlineStr">
        <is>
          <t>Bruno</t>
        </is>
      </c>
      <c r="C406" s="30" t="inlineStr">
        <is>
          <t>Site novo · Loja Verde</t>
        </is>
      </c>
      <c r="D406" s="28" t="inlineStr">
        <is>
          <t>Reunião com cliente</t>
        </is>
      </c>
      <c r="E406" s="34" t="n">
        <v>4</v>
      </c>
      <c r="F406" s="25">
        <f>IF(OR(B406="",E406=""),"",E406*IFERROR(INDEX(Config!$D$11:$D$20,MATCH(B406,Config!$A$11:$A$20,0)),0))</f>
        <v/>
      </c>
      <c r="G406" s="24">
        <f>IF(A406="","",MONTH(A406))</f>
        <v/>
      </c>
      <c r="H406" s="24">
        <f>IF(A406="","",YEAR(A406))</f>
        <v/>
      </c>
      <c r="I406" s="30" t="inlineStr">
        <is>
          <t>Sim</t>
        </is>
      </c>
    </row>
    <row r="407">
      <c r="A407" s="33" t="n">
        <v>46261</v>
      </c>
      <c r="B407" s="30" t="inlineStr">
        <is>
          <t>Bruno</t>
        </is>
      </c>
      <c r="C407" s="30" t="inlineStr">
        <is>
          <t>Identidade visual · Padaria do Sol</t>
        </is>
      </c>
      <c r="D407" s="28" t="inlineStr">
        <is>
          <t>Manual</t>
        </is>
      </c>
      <c r="E407" s="34" t="n">
        <v>2</v>
      </c>
      <c r="F407" s="25">
        <f>IF(OR(B407="",E407=""),"",E407*IFERROR(INDEX(Config!$D$11:$D$20,MATCH(B407,Config!$A$11:$A$20,0)),0))</f>
        <v/>
      </c>
      <c r="G407" s="24">
        <f>IF(A407="","",MONTH(A407))</f>
        <v/>
      </c>
      <c r="H407" s="24">
        <f>IF(A407="","",YEAR(A407))</f>
        <v/>
      </c>
      <c r="I407" s="30" t="inlineStr">
        <is>
          <t>Sim</t>
        </is>
      </c>
    </row>
    <row r="408">
      <c r="A408" s="33" t="n">
        <v>46261</v>
      </c>
      <c r="B408" s="30" t="inlineStr">
        <is>
          <t>Bruno</t>
        </is>
      </c>
      <c r="C408" s="30" t="inlineStr">
        <is>
          <t>Gestão e reuniões</t>
        </is>
      </c>
      <c r="D408" s="28" t="inlineStr">
        <is>
          <t>Semanal</t>
        </is>
      </c>
      <c r="E408" s="34" t="n">
        <v>1</v>
      </c>
      <c r="F408" s="25">
        <f>IF(OR(B408="",E408=""),"",E408*IFERROR(INDEX(Config!$D$11:$D$20,MATCH(B408,Config!$A$11:$A$20,0)),0))</f>
        <v/>
      </c>
      <c r="G408" s="24">
        <f>IF(A408="","",MONTH(A408))</f>
        <v/>
      </c>
      <c r="H408" s="24">
        <f>IF(A408="","",YEAR(A408))</f>
        <v/>
      </c>
      <c r="I408" s="30" t="inlineStr">
        <is>
          <t>Não</t>
        </is>
      </c>
    </row>
    <row r="409">
      <c r="A409" s="33" t="n">
        <v>46261</v>
      </c>
      <c r="B409" s="30" t="inlineStr">
        <is>
          <t>Carla</t>
        </is>
      </c>
      <c r="C409" s="30" t="inlineStr">
        <is>
          <t>Site novo · Loja Verde</t>
        </is>
      </c>
      <c r="D409" s="28" t="inlineStr">
        <is>
          <t>Wireframe</t>
        </is>
      </c>
      <c r="E409" s="34" t="n">
        <v>2</v>
      </c>
      <c r="F409" s="25">
        <f>IF(OR(B409="",E409=""),"",E409*IFERROR(INDEX(Config!$D$11:$D$20,MATCH(B409,Config!$A$11:$A$20,0)),0))</f>
        <v/>
      </c>
      <c r="G409" s="24">
        <f>IF(A409="","",MONTH(A409))</f>
        <v/>
      </c>
      <c r="H409" s="24">
        <f>IF(A409="","",YEAR(A409))</f>
        <v/>
      </c>
      <c r="I409" s="30" t="inlineStr">
        <is>
          <t>Sim</t>
        </is>
      </c>
    </row>
    <row r="410">
      <c r="A410" s="33" t="n">
        <v>46261</v>
      </c>
      <c r="B410" s="30" t="inlineStr">
        <is>
          <t>Carla</t>
        </is>
      </c>
      <c r="C410" s="30" t="inlineStr">
        <is>
          <t>Comercial e propostas</t>
        </is>
      </c>
      <c r="D410" s="28" t="inlineStr">
        <is>
          <t>Reunião comercial</t>
        </is>
      </c>
      <c r="E410" s="34" t="n">
        <v>5</v>
      </c>
      <c r="F410" s="25">
        <f>IF(OR(B410="",E410=""),"",E410*IFERROR(INDEX(Config!$D$11:$D$20,MATCH(B410,Config!$A$11:$A$20,0)),0))</f>
        <v/>
      </c>
      <c r="G410" s="24">
        <f>IF(A410="","",MONTH(A410))</f>
        <v/>
      </c>
      <c r="H410" s="24">
        <f>IF(A410="","",YEAR(A410))</f>
        <v/>
      </c>
      <c r="I410" s="30" t="inlineStr">
        <is>
          <t>Não</t>
        </is>
      </c>
    </row>
    <row r="411">
      <c r="A411" s="33" t="n">
        <v>46261</v>
      </c>
      <c r="B411" s="30" t="inlineStr">
        <is>
          <t>Carla</t>
        </is>
      </c>
      <c r="C411" s="30" t="inlineStr">
        <is>
          <t>Gestão e reuniões</t>
        </is>
      </c>
      <c r="D411" s="28" t="inlineStr">
        <is>
          <t>Planejamento</t>
        </is>
      </c>
      <c r="E411" s="34" t="n">
        <v>1</v>
      </c>
      <c r="F411" s="25">
        <f>IF(OR(B411="",E411=""),"",E411*IFERROR(INDEX(Config!$D$11:$D$20,MATCH(B411,Config!$A$11:$A$20,0)),0))</f>
        <v/>
      </c>
      <c r="G411" s="24">
        <f>IF(A411="","",MONTH(A411))</f>
        <v/>
      </c>
      <c r="H411" s="24">
        <f>IF(A411="","",YEAR(A411))</f>
        <v/>
      </c>
      <c r="I411" s="30" t="inlineStr">
        <is>
          <t>Não</t>
        </is>
      </c>
    </row>
    <row r="412">
      <c r="A412" s="33" t="n">
        <v>46261</v>
      </c>
      <c r="B412" s="30" t="inlineStr">
        <is>
          <t>Diego</t>
        </is>
      </c>
      <c r="C412" s="30" t="inlineStr">
        <is>
          <t>Site novo · Loja Verde</t>
        </is>
      </c>
      <c r="D412" s="28" t="inlineStr">
        <is>
          <t>Layout</t>
        </is>
      </c>
      <c r="E412" s="34" t="n">
        <v>5</v>
      </c>
      <c r="F412" s="25">
        <f>IF(OR(B412="",E412=""),"",E412*IFERROR(INDEX(Config!$D$11:$D$20,MATCH(B412,Config!$A$11:$A$20,0)),0))</f>
        <v/>
      </c>
      <c r="G412" s="24">
        <f>IF(A412="","",MONTH(A412))</f>
        <v/>
      </c>
      <c r="H412" s="24">
        <f>IF(A412="","",YEAR(A412))</f>
        <v/>
      </c>
      <c r="I412" s="30" t="inlineStr">
        <is>
          <t>Sim</t>
        </is>
      </c>
    </row>
    <row r="413">
      <c r="A413" s="33" t="n">
        <v>46261</v>
      </c>
      <c r="B413" s="30" t="inlineStr">
        <is>
          <t>Diego</t>
        </is>
      </c>
      <c r="C413" s="30" t="inlineStr">
        <is>
          <t>Comercial e propostas</t>
        </is>
      </c>
      <c r="D413" s="28" t="inlineStr">
        <is>
          <t>Reunião comercial</t>
        </is>
      </c>
      <c r="E413" s="34" t="n">
        <v>1</v>
      </c>
      <c r="F413" s="25">
        <f>IF(OR(B413="",E413=""),"",E413*IFERROR(INDEX(Config!$D$11:$D$20,MATCH(B413,Config!$A$11:$A$20,0)),0))</f>
        <v/>
      </c>
      <c r="G413" s="24">
        <f>IF(A413="","",MONTH(A413))</f>
        <v/>
      </c>
      <c r="H413" s="24">
        <f>IF(A413="","",YEAR(A413))</f>
        <v/>
      </c>
      <c r="I413" s="30" t="inlineStr">
        <is>
          <t>Não</t>
        </is>
      </c>
    </row>
    <row r="414">
      <c r="A414" s="33" t="n">
        <v>46261</v>
      </c>
      <c r="B414" s="30" t="inlineStr">
        <is>
          <t>Diego</t>
        </is>
      </c>
      <c r="C414" s="30" t="inlineStr">
        <is>
          <t>Gestão e reuniões</t>
        </is>
      </c>
      <c r="D414" s="28" t="inlineStr">
        <is>
          <t>Financeiro</t>
        </is>
      </c>
      <c r="E414" s="34" t="n">
        <v>2</v>
      </c>
      <c r="F414" s="25">
        <f>IF(OR(B414="",E414=""),"",E414*IFERROR(INDEX(Config!$D$11:$D$20,MATCH(B414,Config!$A$11:$A$20,0)),0))</f>
        <v/>
      </c>
      <c r="G414" s="24">
        <f>IF(A414="","",MONTH(A414))</f>
        <v/>
      </c>
      <c r="H414" s="24">
        <f>IF(A414="","",YEAR(A414))</f>
        <v/>
      </c>
      <c r="I414" s="30" t="inlineStr">
        <is>
          <t>Não</t>
        </is>
      </c>
    </row>
    <row r="415">
      <c r="A415" s="33" t="n">
        <v>46262</v>
      </c>
      <c r="B415" s="30" t="inlineStr">
        <is>
          <t>Ana</t>
        </is>
      </c>
      <c r="C415" s="30" t="inlineStr">
        <is>
          <t>Site novo · Loja Verde</t>
        </is>
      </c>
      <c r="D415" s="28" t="inlineStr">
        <is>
          <t>Implementação</t>
        </is>
      </c>
      <c r="E415" s="34" t="n">
        <v>2</v>
      </c>
      <c r="F415" s="25">
        <f>IF(OR(B415="",E415=""),"",E415*IFERROR(INDEX(Config!$D$11:$D$20,MATCH(B415,Config!$A$11:$A$20,0)),0))</f>
        <v/>
      </c>
      <c r="G415" s="24">
        <f>IF(A415="","",MONTH(A415))</f>
        <v/>
      </c>
      <c r="H415" s="24">
        <f>IF(A415="","",YEAR(A415))</f>
        <v/>
      </c>
      <c r="I415" s="30" t="inlineStr">
        <is>
          <t>Sim</t>
        </is>
      </c>
    </row>
    <row r="416">
      <c r="A416" s="33" t="n">
        <v>46262</v>
      </c>
      <c r="B416" s="30" t="inlineStr">
        <is>
          <t>Ana</t>
        </is>
      </c>
      <c r="C416" s="30" t="inlineStr">
        <is>
          <t>Comercial e propostas</t>
        </is>
      </c>
      <c r="D416" s="28" t="inlineStr">
        <is>
          <t>Proposta</t>
        </is>
      </c>
      <c r="E416" s="34" t="n">
        <v>2.5</v>
      </c>
      <c r="F416" s="25">
        <f>IF(OR(B416="",E416=""),"",E416*IFERROR(INDEX(Config!$D$11:$D$20,MATCH(B416,Config!$A$11:$A$20,0)),0))</f>
        <v/>
      </c>
      <c r="G416" s="24">
        <f>IF(A416="","",MONTH(A416))</f>
        <v/>
      </c>
      <c r="H416" s="24">
        <f>IF(A416="","",YEAR(A416))</f>
        <v/>
      </c>
      <c r="I416" s="30" t="inlineStr">
        <is>
          <t>Não</t>
        </is>
      </c>
    </row>
    <row r="417">
      <c r="A417" s="33" t="n">
        <v>46262</v>
      </c>
      <c r="B417" s="30" t="inlineStr">
        <is>
          <t>Ana</t>
        </is>
      </c>
      <c r="C417" s="30" t="inlineStr">
        <is>
          <t>Gestão e reuniões</t>
        </is>
      </c>
      <c r="D417" s="28" t="inlineStr">
        <is>
          <t>Planejamento</t>
        </is>
      </c>
      <c r="E417" s="34" t="n">
        <v>2</v>
      </c>
      <c r="F417" s="25">
        <f>IF(OR(B417="",E417=""),"",E417*IFERROR(INDEX(Config!$D$11:$D$20,MATCH(B417,Config!$A$11:$A$20,0)),0))</f>
        <v/>
      </c>
      <c r="G417" s="24">
        <f>IF(A417="","",MONTH(A417))</f>
        <v/>
      </c>
      <c r="H417" s="24">
        <f>IF(A417="","",YEAR(A417))</f>
        <v/>
      </c>
      <c r="I417" s="30" t="inlineStr">
        <is>
          <t>Não</t>
        </is>
      </c>
    </row>
    <row r="418">
      <c r="A418" s="33" t="n">
        <v>46262</v>
      </c>
      <c r="B418" s="30" t="inlineStr">
        <is>
          <t>Bruno</t>
        </is>
      </c>
      <c r="C418" s="30" t="inlineStr">
        <is>
          <t>Site novo · Loja Verde</t>
        </is>
      </c>
      <c r="D418" s="28" t="inlineStr">
        <is>
          <t>Implementação</t>
        </is>
      </c>
      <c r="E418" s="34" t="n">
        <v>3.5</v>
      </c>
      <c r="F418" s="25">
        <f>IF(OR(B418="",E418=""),"",E418*IFERROR(INDEX(Config!$D$11:$D$20,MATCH(B418,Config!$A$11:$A$20,0)),0))</f>
        <v/>
      </c>
      <c r="G418" s="24">
        <f>IF(A418="","",MONTH(A418))</f>
        <v/>
      </c>
      <c r="H418" s="24">
        <f>IF(A418="","",YEAR(A418))</f>
        <v/>
      </c>
      <c r="I418" s="30" t="inlineStr">
        <is>
          <t>Sim</t>
        </is>
      </c>
    </row>
    <row r="419">
      <c r="A419" s="33" t="n">
        <v>46262</v>
      </c>
      <c r="B419" s="30" t="inlineStr">
        <is>
          <t>Bruno</t>
        </is>
      </c>
      <c r="C419" s="30" t="inlineStr">
        <is>
          <t>Identidade visual · Padaria do Sol</t>
        </is>
      </c>
      <c r="D419" s="28" t="inlineStr">
        <is>
          <t>Manual</t>
        </is>
      </c>
      <c r="E419" s="34" t="n">
        <v>1.5</v>
      </c>
      <c r="F419" s="25">
        <f>IF(OR(B419="",E419=""),"",E419*IFERROR(INDEX(Config!$D$11:$D$20,MATCH(B419,Config!$A$11:$A$20,0)),0))</f>
        <v/>
      </c>
      <c r="G419" s="24">
        <f>IF(A419="","",MONTH(A419))</f>
        <v/>
      </c>
      <c r="H419" s="24">
        <f>IF(A419="","",YEAR(A419))</f>
        <v/>
      </c>
      <c r="I419" s="30" t="inlineStr">
        <is>
          <t>Sim</t>
        </is>
      </c>
    </row>
    <row r="420">
      <c r="A420" s="33" t="n">
        <v>46262</v>
      </c>
      <c r="B420" s="30" t="inlineStr">
        <is>
          <t>Bruno</t>
        </is>
      </c>
      <c r="C420" s="30" t="inlineStr">
        <is>
          <t>Gestão e reuniões</t>
        </is>
      </c>
      <c r="D420" s="28" t="inlineStr">
        <is>
          <t>Semanal</t>
        </is>
      </c>
      <c r="E420" s="34" t="n">
        <v>1.5</v>
      </c>
      <c r="F420" s="25">
        <f>IF(OR(B420="",E420=""),"",E420*IFERROR(INDEX(Config!$D$11:$D$20,MATCH(B420,Config!$A$11:$A$20,0)),0))</f>
        <v/>
      </c>
      <c r="G420" s="24">
        <f>IF(A420="","",MONTH(A420))</f>
        <v/>
      </c>
      <c r="H420" s="24">
        <f>IF(A420="","",YEAR(A420))</f>
        <v/>
      </c>
      <c r="I420" s="30" t="inlineStr">
        <is>
          <t>Não</t>
        </is>
      </c>
    </row>
    <row r="421">
      <c r="A421" s="33" t="n">
        <v>46262</v>
      </c>
      <c r="B421" s="30" t="inlineStr">
        <is>
          <t>Carla</t>
        </is>
      </c>
      <c r="C421" s="30" t="inlineStr">
        <is>
          <t>Site novo · Loja Verde</t>
        </is>
      </c>
      <c r="D421" s="28" t="inlineStr">
        <is>
          <t>Implementação</t>
        </is>
      </c>
      <c r="E421" s="34" t="n">
        <v>2.5</v>
      </c>
      <c r="F421" s="25">
        <f>IF(OR(B421="",E421=""),"",E421*IFERROR(INDEX(Config!$D$11:$D$20,MATCH(B421,Config!$A$11:$A$20,0)),0))</f>
        <v/>
      </c>
      <c r="G421" s="24">
        <f>IF(A421="","",MONTH(A421))</f>
        <v/>
      </c>
      <c r="H421" s="24">
        <f>IF(A421="","",YEAR(A421))</f>
        <v/>
      </c>
      <c r="I421" s="30" t="inlineStr">
        <is>
          <t>Sim</t>
        </is>
      </c>
    </row>
    <row r="422">
      <c r="A422" s="33" t="n">
        <v>46262</v>
      </c>
      <c r="B422" s="30" t="inlineStr">
        <is>
          <t>Carla</t>
        </is>
      </c>
      <c r="C422" s="30" t="inlineStr">
        <is>
          <t>Comercial e propostas</t>
        </is>
      </c>
      <c r="D422" s="28" t="inlineStr">
        <is>
          <t>Reunião comercial</t>
        </is>
      </c>
      <c r="E422" s="34" t="n">
        <v>5.5</v>
      </c>
      <c r="F422" s="25">
        <f>IF(OR(B422="",E422=""),"",E422*IFERROR(INDEX(Config!$D$11:$D$20,MATCH(B422,Config!$A$11:$A$20,0)),0))</f>
        <v/>
      </c>
      <c r="G422" s="24">
        <f>IF(A422="","",MONTH(A422))</f>
        <v/>
      </c>
      <c r="H422" s="24">
        <f>IF(A422="","",YEAR(A422))</f>
        <v/>
      </c>
      <c r="I422" s="30" t="inlineStr">
        <is>
          <t>Não</t>
        </is>
      </c>
    </row>
    <row r="423">
      <c r="A423" s="33" t="n">
        <v>46262</v>
      </c>
      <c r="B423" s="30" t="inlineStr">
        <is>
          <t>Carla</t>
        </is>
      </c>
      <c r="C423" s="30" t="inlineStr">
        <is>
          <t>Gestão e reuniões</t>
        </is>
      </c>
      <c r="D423" s="28" t="inlineStr">
        <is>
          <t>Planejamento</t>
        </is>
      </c>
      <c r="E423" s="34" t="n">
        <v>1</v>
      </c>
      <c r="F423" s="25">
        <f>IF(OR(B423="",E423=""),"",E423*IFERROR(INDEX(Config!$D$11:$D$20,MATCH(B423,Config!$A$11:$A$20,0)),0))</f>
        <v/>
      </c>
      <c r="G423" s="24">
        <f>IF(A423="","",MONTH(A423))</f>
        <v/>
      </c>
      <c r="H423" s="24">
        <f>IF(A423="","",YEAR(A423))</f>
        <v/>
      </c>
      <c r="I423" s="30" t="inlineStr">
        <is>
          <t>Não</t>
        </is>
      </c>
    </row>
    <row r="424">
      <c r="A424" s="33" t="n">
        <v>46262</v>
      </c>
      <c r="B424" s="30" t="inlineStr">
        <is>
          <t>Diego</t>
        </is>
      </c>
      <c r="C424" s="30" t="inlineStr">
        <is>
          <t>Site novo · Loja Verde</t>
        </is>
      </c>
      <c r="D424" s="28" t="inlineStr">
        <is>
          <t>Wireframe</t>
        </is>
      </c>
      <c r="E424" s="34" t="n">
        <v>3.5</v>
      </c>
      <c r="F424" s="25">
        <f>IF(OR(B424="",E424=""),"",E424*IFERROR(INDEX(Config!$D$11:$D$20,MATCH(B424,Config!$A$11:$A$20,0)),0))</f>
        <v/>
      </c>
      <c r="G424" s="24">
        <f>IF(A424="","",MONTH(A424))</f>
        <v/>
      </c>
      <c r="H424" s="24">
        <f>IF(A424="","",YEAR(A424))</f>
        <v/>
      </c>
      <c r="I424" s="30" t="inlineStr">
        <is>
          <t>Sim</t>
        </is>
      </c>
    </row>
    <row r="425">
      <c r="A425" s="33" t="n">
        <v>46262</v>
      </c>
      <c r="B425" s="30" t="inlineStr">
        <is>
          <t>Diego</t>
        </is>
      </c>
      <c r="C425" s="30" t="inlineStr">
        <is>
          <t>Comercial e propostas</t>
        </is>
      </c>
      <c r="D425" s="28" t="inlineStr">
        <is>
          <t>Proposta</t>
        </is>
      </c>
      <c r="E425" s="34" t="n">
        <v>0.5</v>
      </c>
      <c r="F425" s="25">
        <f>IF(OR(B425="",E425=""),"",E425*IFERROR(INDEX(Config!$D$11:$D$20,MATCH(B425,Config!$A$11:$A$20,0)),0))</f>
        <v/>
      </c>
      <c r="G425" s="24">
        <f>IF(A425="","",MONTH(A425))</f>
        <v/>
      </c>
      <c r="H425" s="24">
        <f>IF(A425="","",YEAR(A425))</f>
        <v/>
      </c>
      <c r="I425" s="30" t="inlineStr">
        <is>
          <t>Não</t>
        </is>
      </c>
    </row>
    <row r="426">
      <c r="A426" s="33" t="n">
        <v>46262</v>
      </c>
      <c r="B426" s="30" t="inlineStr">
        <is>
          <t>Diego</t>
        </is>
      </c>
      <c r="C426" s="30" t="inlineStr">
        <is>
          <t>Gestão e reuniões</t>
        </is>
      </c>
      <c r="D426" s="28" t="inlineStr">
        <is>
          <t>Semanal</t>
        </is>
      </c>
      <c r="E426" s="34" t="n">
        <v>2</v>
      </c>
      <c r="F426" s="25">
        <f>IF(OR(B426="",E426=""),"",E426*IFERROR(INDEX(Config!$D$11:$D$20,MATCH(B426,Config!$A$11:$A$20,0)),0))</f>
        <v/>
      </c>
      <c r="G426" s="24">
        <f>IF(A426="","",MONTH(A426))</f>
        <v/>
      </c>
      <c r="H426" s="24">
        <f>IF(A426="","",YEAR(A426))</f>
        <v/>
      </c>
      <c r="I426" s="30" t="inlineStr">
        <is>
          <t>Não</t>
        </is>
      </c>
    </row>
    <row r="427">
      <c r="A427" s="33" t="n">
        <v>46265</v>
      </c>
      <c r="B427" s="30" t="inlineStr">
        <is>
          <t>Ana</t>
        </is>
      </c>
      <c r="C427" s="30" t="inlineStr">
        <is>
          <t>Site novo · Loja Verde</t>
        </is>
      </c>
      <c r="D427" s="28" t="inlineStr">
        <is>
          <t>Reunião com cliente</t>
        </is>
      </c>
      <c r="E427" s="34" t="n">
        <v>2</v>
      </c>
      <c r="F427" s="25">
        <f>IF(OR(B427="",E427=""),"",E427*IFERROR(INDEX(Config!$D$11:$D$20,MATCH(B427,Config!$A$11:$A$20,0)),0))</f>
        <v/>
      </c>
      <c r="G427" s="24">
        <f>IF(A427="","",MONTH(A427))</f>
        <v/>
      </c>
      <c r="H427" s="24">
        <f>IF(A427="","",YEAR(A427))</f>
        <v/>
      </c>
      <c r="I427" s="30" t="inlineStr">
        <is>
          <t>Sim</t>
        </is>
      </c>
    </row>
    <row r="428">
      <c r="A428" s="33" t="n">
        <v>46265</v>
      </c>
      <c r="B428" s="30" t="inlineStr">
        <is>
          <t>Ana</t>
        </is>
      </c>
      <c r="C428" s="30" t="inlineStr">
        <is>
          <t>Comercial e propostas</t>
        </is>
      </c>
      <c r="D428" s="28" t="inlineStr">
        <is>
          <t>Reunião comercial</t>
        </is>
      </c>
      <c r="E428" s="34" t="n">
        <v>3</v>
      </c>
      <c r="F428" s="25">
        <f>IF(OR(B428="",E428=""),"",E428*IFERROR(INDEX(Config!$D$11:$D$20,MATCH(B428,Config!$A$11:$A$20,0)),0))</f>
        <v/>
      </c>
      <c r="G428" s="24">
        <f>IF(A428="","",MONTH(A428))</f>
        <v/>
      </c>
      <c r="H428" s="24">
        <f>IF(A428="","",YEAR(A428))</f>
        <v/>
      </c>
      <c r="I428" s="30" t="inlineStr">
        <is>
          <t>Não</t>
        </is>
      </c>
    </row>
    <row r="429">
      <c r="A429" s="33" t="n">
        <v>46265</v>
      </c>
      <c r="B429" s="30" t="inlineStr">
        <is>
          <t>Ana</t>
        </is>
      </c>
      <c r="C429" s="30" t="inlineStr">
        <is>
          <t>Gestão e reuniões</t>
        </is>
      </c>
      <c r="D429" s="28" t="inlineStr">
        <is>
          <t>Planejamento</t>
        </is>
      </c>
      <c r="E429" s="34" t="n">
        <v>3</v>
      </c>
      <c r="F429" s="25">
        <f>IF(OR(B429="",E429=""),"",E429*IFERROR(INDEX(Config!$D$11:$D$20,MATCH(B429,Config!$A$11:$A$20,0)),0))</f>
        <v/>
      </c>
      <c r="G429" s="24">
        <f>IF(A429="","",MONTH(A429))</f>
        <v/>
      </c>
      <c r="H429" s="24">
        <f>IF(A429="","",YEAR(A429))</f>
        <v/>
      </c>
      <c r="I429" s="30" t="inlineStr">
        <is>
          <t>Não</t>
        </is>
      </c>
    </row>
    <row r="430">
      <c r="A430" s="33" t="n">
        <v>46265</v>
      </c>
      <c r="B430" s="30" t="inlineStr">
        <is>
          <t>Bruno</t>
        </is>
      </c>
      <c r="C430" s="30" t="inlineStr">
        <is>
          <t>Site novo · Loja Verde</t>
        </is>
      </c>
      <c r="D430" s="28" t="inlineStr">
        <is>
          <t>Layout</t>
        </is>
      </c>
      <c r="E430" s="34" t="n">
        <v>4</v>
      </c>
      <c r="F430" s="25">
        <f>IF(OR(B430="",E430=""),"",E430*IFERROR(INDEX(Config!$D$11:$D$20,MATCH(B430,Config!$A$11:$A$20,0)),0))</f>
        <v/>
      </c>
      <c r="G430" s="24">
        <f>IF(A430="","",MONTH(A430))</f>
        <v/>
      </c>
      <c r="H430" s="24">
        <f>IF(A430="","",YEAR(A430))</f>
        <v/>
      </c>
      <c r="I430" s="30" t="inlineStr">
        <is>
          <t>Sim</t>
        </is>
      </c>
    </row>
    <row r="431">
      <c r="A431" s="33" t="n">
        <v>46265</v>
      </c>
      <c r="B431" s="30" t="inlineStr">
        <is>
          <t>Bruno</t>
        </is>
      </c>
      <c r="C431" s="30" t="inlineStr">
        <is>
          <t>Identidade visual · Padaria do Sol</t>
        </is>
      </c>
      <c r="D431" s="28" t="inlineStr">
        <is>
          <t>Manual</t>
        </is>
      </c>
      <c r="E431" s="34" t="n">
        <v>1.5</v>
      </c>
      <c r="F431" s="25">
        <f>IF(OR(B431="",E431=""),"",E431*IFERROR(INDEX(Config!$D$11:$D$20,MATCH(B431,Config!$A$11:$A$20,0)),0))</f>
        <v/>
      </c>
      <c r="G431" s="24">
        <f>IF(A431="","",MONTH(A431))</f>
        <v/>
      </c>
      <c r="H431" s="24">
        <f>IF(A431="","",YEAR(A431))</f>
        <v/>
      </c>
      <c r="I431" s="30" t="inlineStr">
        <is>
          <t>Sim</t>
        </is>
      </c>
    </row>
    <row r="432">
      <c r="A432" s="33" t="n">
        <v>46265</v>
      </c>
      <c r="B432" s="30" t="inlineStr">
        <is>
          <t>Bruno</t>
        </is>
      </c>
      <c r="C432" s="30" t="inlineStr">
        <is>
          <t>Gestão e reuniões</t>
        </is>
      </c>
      <c r="D432" s="28" t="inlineStr">
        <is>
          <t>Financeiro</t>
        </is>
      </c>
      <c r="E432" s="34" t="n">
        <v>1</v>
      </c>
      <c r="F432" s="25">
        <f>IF(OR(B432="",E432=""),"",E432*IFERROR(INDEX(Config!$D$11:$D$20,MATCH(B432,Config!$A$11:$A$20,0)),0))</f>
        <v/>
      </c>
      <c r="G432" s="24">
        <f>IF(A432="","",MONTH(A432))</f>
        <v/>
      </c>
      <c r="H432" s="24">
        <f>IF(A432="","",YEAR(A432))</f>
        <v/>
      </c>
      <c r="I432" s="30" t="inlineStr">
        <is>
          <t>Não</t>
        </is>
      </c>
    </row>
    <row r="433">
      <c r="A433" s="33" t="n">
        <v>46265</v>
      </c>
      <c r="B433" s="30" t="inlineStr">
        <is>
          <t>Carla</t>
        </is>
      </c>
      <c r="C433" s="30" t="inlineStr">
        <is>
          <t>Site novo · Loja Verde</t>
        </is>
      </c>
      <c r="D433" s="28" t="inlineStr">
        <is>
          <t>Textos</t>
        </is>
      </c>
      <c r="E433" s="34" t="n">
        <v>2</v>
      </c>
      <c r="F433" s="25">
        <f>IF(OR(B433="",E433=""),"",E433*IFERROR(INDEX(Config!$D$11:$D$20,MATCH(B433,Config!$A$11:$A$20,0)),0))</f>
        <v/>
      </c>
      <c r="G433" s="24">
        <f>IF(A433="","",MONTH(A433))</f>
        <v/>
      </c>
      <c r="H433" s="24">
        <f>IF(A433="","",YEAR(A433))</f>
        <v/>
      </c>
      <c r="I433" s="30" t="inlineStr">
        <is>
          <t>Sim</t>
        </is>
      </c>
    </row>
    <row r="434">
      <c r="A434" s="33" t="n">
        <v>46265</v>
      </c>
      <c r="B434" s="30" t="inlineStr">
        <is>
          <t>Carla</t>
        </is>
      </c>
      <c r="C434" s="30" t="inlineStr">
        <is>
          <t>Comercial e propostas</t>
        </is>
      </c>
      <c r="D434" s="28" t="inlineStr">
        <is>
          <t>Reunião comercial</t>
        </is>
      </c>
      <c r="E434" s="34" t="n">
        <v>3.5</v>
      </c>
      <c r="F434" s="25">
        <f>IF(OR(B434="",E434=""),"",E434*IFERROR(INDEX(Config!$D$11:$D$20,MATCH(B434,Config!$A$11:$A$20,0)),0))</f>
        <v/>
      </c>
      <c r="G434" s="24">
        <f>IF(A434="","",MONTH(A434))</f>
        <v/>
      </c>
      <c r="H434" s="24">
        <f>IF(A434="","",YEAR(A434))</f>
        <v/>
      </c>
      <c r="I434" s="30" t="inlineStr">
        <is>
          <t>Não</t>
        </is>
      </c>
    </row>
    <row r="435">
      <c r="A435" s="33" t="n">
        <v>46265</v>
      </c>
      <c r="B435" s="30" t="inlineStr">
        <is>
          <t>Carla</t>
        </is>
      </c>
      <c r="C435" s="30" t="inlineStr">
        <is>
          <t>Gestão e reuniões</t>
        </is>
      </c>
      <c r="D435" s="28" t="inlineStr">
        <is>
          <t>Semanal</t>
        </is>
      </c>
      <c r="E435" s="34" t="n">
        <v>1</v>
      </c>
      <c r="F435" s="25">
        <f>IF(OR(B435="",E435=""),"",E435*IFERROR(INDEX(Config!$D$11:$D$20,MATCH(B435,Config!$A$11:$A$20,0)),0))</f>
        <v/>
      </c>
      <c r="G435" s="24">
        <f>IF(A435="","",MONTH(A435))</f>
        <v/>
      </c>
      <c r="H435" s="24">
        <f>IF(A435="","",YEAR(A435))</f>
        <v/>
      </c>
      <c r="I435" s="30" t="inlineStr">
        <is>
          <t>Não</t>
        </is>
      </c>
    </row>
    <row r="436">
      <c r="A436" s="33" t="n">
        <v>46265</v>
      </c>
      <c r="B436" s="30" t="inlineStr">
        <is>
          <t>Diego</t>
        </is>
      </c>
      <c r="C436" s="30" t="inlineStr">
        <is>
          <t>Site novo · Loja Verde</t>
        </is>
      </c>
      <c r="D436" s="28" t="inlineStr">
        <is>
          <t>Layout</t>
        </is>
      </c>
      <c r="E436" s="34" t="n">
        <v>3.5</v>
      </c>
      <c r="F436" s="25">
        <f>IF(OR(B436="",E436=""),"",E436*IFERROR(INDEX(Config!$D$11:$D$20,MATCH(B436,Config!$A$11:$A$20,0)),0))</f>
        <v/>
      </c>
      <c r="G436" s="24">
        <f>IF(A436="","",MONTH(A436))</f>
        <v/>
      </c>
      <c r="H436" s="24">
        <f>IF(A436="","",YEAR(A436))</f>
        <v/>
      </c>
      <c r="I436" s="30" t="inlineStr">
        <is>
          <t>Sim</t>
        </is>
      </c>
    </row>
    <row r="437">
      <c r="A437" s="33" t="n">
        <v>46265</v>
      </c>
      <c r="B437" s="30" t="inlineStr">
        <is>
          <t>Diego</t>
        </is>
      </c>
      <c r="C437" s="30" t="inlineStr">
        <is>
          <t>Comercial e propostas</t>
        </is>
      </c>
      <c r="D437" s="28" t="inlineStr">
        <is>
          <t>Reunião comercial</t>
        </is>
      </c>
      <c r="E437" s="34" t="n">
        <v>0.5</v>
      </c>
      <c r="F437" s="25">
        <f>IF(OR(B437="",E437=""),"",E437*IFERROR(INDEX(Config!$D$11:$D$20,MATCH(B437,Config!$A$11:$A$20,0)),0))</f>
        <v/>
      </c>
      <c r="G437" s="24">
        <f>IF(A437="","",MONTH(A437))</f>
        <v/>
      </c>
      <c r="H437" s="24">
        <f>IF(A437="","",YEAR(A437))</f>
        <v/>
      </c>
      <c r="I437" s="30" t="inlineStr">
        <is>
          <t>Não</t>
        </is>
      </c>
    </row>
    <row r="438">
      <c r="A438" s="33" t="n">
        <v>46265</v>
      </c>
      <c r="B438" s="30" t="inlineStr">
        <is>
          <t>Diego</t>
        </is>
      </c>
      <c r="C438" s="30" t="inlineStr">
        <is>
          <t>Gestão e reuniões</t>
        </is>
      </c>
      <c r="D438" s="28" t="inlineStr">
        <is>
          <t>Financeiro</t>
        </is>
      </c>
      <c r="E438" s="34" t="n">
        <v>1.5</v>
      </c>
      <c r="F438" s="25">
        <f>IF(OR(B438="",E438=""),"",E438*IFERROR(INDEX(Config!$D$11:$D$20,MATCH(B438,Config!$A$11:$A$20,0)),0))</f>
        <v/>
      </c>
      <c r="G438" s="24">
        <f>IF(A438="","",MONTH(A438))</f>
        <v/>
      </c>
      <c r="H438" s="24">
        <f>IF(A438="","",YEAR(A438))</f>
        <v/>
      </c>
      <c r="I438" s="30" t="inlineStr">
        <is>
          <t>Não</t>
        </is>
      </c>
    </row>
    <row r="439">
      <c r="A439" s="33" t="n">
        <v>46266</v>
      </c>
      <c r="B439" s="30" t="inlineStr">
        <is>
          <t>Ana</t>
        </is>
      </c>
      <c r="C439" s="30" t="inlineStr">
        <is>
          <t>Site novo · Loja Verde</t>
        </is>
      </c>
      <c r="D439" s="28" t="inlineStr">
        <is>
          <t>Wireframe</t>
        </is>
      </c>
      <c r="E439" s="34" t="n">
        <v>2.5</v>
      </c>
      <c r="F439" s="25">
        <f>IF(OR(B439="",E439=""),"",E439*IFERROR(INDEX(Config!$D$11:$D$20,MATCH(B439,Config!$A$11:$A$20,0)),0))</f>
        <v/>
      </c>
      <c r="G439" s="24">
        <f>IF(A439="","",MONTH(A439))</f>
        <v/>
      </c>
      <c r="H439" s="24">
        <f>IF(A439="","",YEAR(A439))</f>
        <v/>
      </c>
      <c r="I439" s="30" t="inlineStr">
        <is>
          <t>Sim</t>
        </is>
      </c>
    </row>
    <row r="440">
      <c r="A440" s="33" t="n">
        <v>46266</v>
      </c>
      <c r="B440" s="30" t="inlineStr">
        <is>
          <t>Ana</t>
        </is>
      </c>
      <c r="C440" s="30" t="inlineStr">
        <is>
          <t>Comercial e propostas</t>
        </is>
      </c>
      <c r="D440" s="28" t="inlineStr">
        <is>
          <t>Proposta</t>
        </is>
      </c>
      <c r="E440" s="34" t="n">
        <v>2.5</v>
      </c>
      <c r="F440" s="25">
        <f>IF(OR(B440="",E440=""),"",E440*IFERROR(INDEX(Config!$D$11:$D$20,MATCH(B440,Config!$A$11:$A$20,0)),0))</f>
        <v/>
      </c>
      <c r="G440" s="24">
        <f>IF(A440="","",MONTH(A440))</f>
        <v/>
      </c>
      <c r="H440" s="24">
        <f>IF(A440="","",YEAR(A440))</f>
        <v/>
      </c>
      <c r="I440" s="30" t="inlineStr">
        <is>
          <t>Não</t>
        </is>
      </c>
    </row>
    <row r="441">
      <c r="A441" s="33" t="n">
        <v>46266</v>
      </c>
      <c r="B441" s="30" t="inlineStr">
        <is>
          <t>Ana</t>
        </is>
      </c>
      <c r="C441" s="30" t="inlineStr">
        <is>
          <t>Gestão e reuniões</t>
        </is>
      </c>
      <c r="D441" s="28" t="inlineStr">
        <is>
          <t>Financeiro</t>
        </is>
      </c>
      <c r="E441" s="34" t="n">
        <v>3.5</v>
      </c>
      <c r="F441" s="25">
        <f>IF(OR(B441="",E441=""),"",E441*IFERROR(INDEX(Config!$D$11:$D$20,MATCH(B441,Config!$A$11:$A$20,0)),0))</f>
        <v/>
      </c>
      <c r="G441" s="24">
        <f>IF(A441="","",MONTH(A441))</f>
        <v/>
      </c>
      <c r="H441" s="24">
        <f>IF(A441="","",YEAR(A441))</f>
        <v/>
      </c>
      <c r="I441" s="30" t="inlineStr">
        <is>
          <t>Não</t>
        </is>
      </c>
    </row>
    <row r="442">
      <c r="A442" s="33" t="n">
        <v>46266</v>
      </c>
      <c r="B442" s="30" t="inlineStr">
        <is>
          <t>Bruno</t>
        </is>
      </c>
      <c r="C442" s="30" t="inlineStr">
        <is>
          <t>Site novo · Loja Verde</t>
        </is>
      </c>
      <c r="D442" s="28" t="inlineStr">
        <is>
          <t>Textos</t>
        </is>
      </c>
      <c r="E442" s="34" t="n">
        <v>4</v>
      </c>
      <c r="F442" s="25">
        <f>IF(OR(B442="",E442=""),"",E442*IFERROR(INDEX(Config!$D$11:$D$20,MATCH(B442,Config!$A$11:$A$20,0)),0))</f>
        <v/>
      </c>
      <c r="G442" s="24">
        <f>IF(A442="","",MONTH(A442))</f>
        <v/>
      </c>
      <c r="H442" s="24">
        <f>IF(A442="","",YEAR(A442))</f>
        <v/>
      </c>
      <c r="I442" s="30" t="inlineStr">
        <is>
          <t>Sim</t>
        </is>
      </c>
    </row>
    <row r="443">
      <c r="A443" s="33" t="n">
        <v>46266</v>
      </c>
      <c r="B443" s="30" t="inlineStr">
        <is>
          <t>Bruno</t>
        </is>
      </c>
      <c r="C443" s="30" t="inlineStr">
        <is>
          <t>Campanha de fim de ano · Bistrô 42</t>
        </is>
      </c>
      <c r="D443" s="28" t="inlineStr">
        <is>
          <t>Reunião com cliente</t>
        </is>
      </c>
      <c r="E443" s="34" t="n">
        <v>3</v>
      </c>
      <c r="F443" s="25">
        <f>IF(OR(B443="",E443=""),"",E443*IFERROR(INDEX(Config!$D$11:$D$20,MATCH(B443,Config!$A$11:$A$20,0)),0))</f>
        <v/>
      </c>
      <c r="G443" s="24">
        <f>IF(A443="","",MONTH(A443))</f>
        <v/>
      </c>
      <c r="H443" s="24">
        <f>IF(A443="","",YEAR(A443))</f>
        <v/>
      </c>
      <c r="I443" s="30" t="inlineStr">
        <is>
          <t>Sim</t>
        </is>
      </c>
    </row>
    <row r="444">
      <c r="A444" s="33" t="n">
        <v>46266</v>
      </c>
      <c r="B444" s="30" t="inlineStr">
        <is>
          <t>Bruno</t>
        </is>
      </c>
      <c r="C444" s="30" t="inlineStr">
        <is>
          <t>Identidade visual · Padaria do Sol</t>
        </is>
      </c>
      <c r="D444" s="28" t="inlineStr">
        <is>
          <t>Logo</t>
        </is>
      </c>
      <c r="E444" s="34" t="n">
        <v>1.5</v>
      </c>
      <c r="F444" s="25">
        <f>IF(OR(B444="",E444=""),"",E444*IFERROR(INDEX(Config!$D$11:$D$20,MATCH(B444,Config!$A$11:$A$20,0)),0))</f>
        <v/>
      </c>
      <c r="G444" s="24">
        <f>IF(A444="","",MONTH(A444))</f>
        <v/>
      </c>
      <c r="H444" s="24">
        <f>IF(A444="","",YEAR(A444))</f>
        <v/>
      </c>
      <c r="I444" s="30" t="inlineStr">
        <is>
          <t>Sim</t>
        </is>
      </c>
    </row>
    <row r="445">
      <c r="A445" s="33" t="n">
        <v>46266</v>
      </c>
      <c r="B445" s="30" t="inlineStr">
        <is>
          <t>Bruno</t>
        </is>
      </c>
      <c r="C445" s="30" t="inlineStr">
        <is>
          <t>Gestão e reuniões</t>
        </is>
      </c>
      <c r="D445" s="28" t="inlineStr">
        <is>
          <t>Semanal</t>
        </is>
      </c>
      <c r="E445" s="34" t="n">
        <v>1</v>
      </c>
      <c r="F445" s="25">
        <f>IF(OR(B445="",E445=""),"",E445*IFERROR(INDEX(Config!$D$11:$D$20,MATCH(B445,Config!$A$11:$A$20,0)),0))</f>
        <v/>
      </c>
      <c r="G445" s="24">
        <f>IF(A445="","",MONTH(A445))</f>
        <v/>
      </c>
      <c r="H445" s="24">
        <f>IF(A445="","",YEAR(A445))</f>
        <v/>
      </c>
      <c r="I445" s="30" t="inlineStr">
        <is>
          <t>Não</t>
        </is>
      </c>
    </row>
    <row r="446">
      <c r="A446" s="33" t="n">
        <v>46266</v>
      </c>
      <c r="B446" s="30" t="inlineStr">
        <is>
          <t>Carla</t>
        </is>
      </c>
      <c r="C446" s="30" t="inlineStr">
        <is>
          <t>Campanha de fim de ano · Bistrô 42</t>
        </is>
      </c>
      <c r="D446" s="28" t="inlineStr">
        <is>
          <t>Reunião com cliente</t>
        </is>
      </c>
      <c r="E446" s="34" t="n">
        <v>4</v>
      </c>
      <c r="F446" s="25">
        <f>IF(OR(B446="",E446=""),"",E446*IFERROR(INDEX(Config!$D$11:$D$20,MATCH(B446,Config!$A$11:$A$20,0)),0))</f>
        <v/>
      </c>
      <c r="G446" s="24">
        <f>IF(A446="","",MONTH(A446))</f>
        <v/>
      </c>
      <c r="H446" s="24">
        <f>IF(A446="","",YEAR(A446))</f>
        <v/>
      </c>
      <c r="I446" s="30" t="inlineStr">
        <is>
          <t>Sim</t>
        </is>
      </c>
    </row>
    <row r="447">
      <c r="A447" s="33" t="n">
        <v>46266</v>
      </c>
      <c r="B447" s="30" t="inlineStr">
        <is>
          <t>Carla</t>
        </is>
      </c>
      <c r="C447" s="30" t="inlineStr">
        <is>
          <t>Site novo · Loja Verde</t>
        </is>
      </c>
      <c r="D447" s="28" t="inlineStr">
        <is>
          <t>Implementação</t>
        </is>
      </c>
      <c r="E447" s="34" t="n">
        <v>1.5</v>
      </c>
      <c r="F447" s="25">
        <f>IF(OR(B447="",E447=""),"",E447*IFERROR(INDEX(Config!$D$11:$D$20,MATCH(B447,Config!$A$11:$A$20,0)),0))</f>
        <v/>
      </c>
      <c r="G447" s="24">
        <f>IF(A447="","",MONTH(A447))</f>
        <v/>
      </c>
      <c r="H447" s="24">
        <f>IF(A447="","",YEAR(A447))</f>
        <v/>
      </c>
      <c r="I447" s="30" t="inlineStr">
        <is>
          <t>Sim</t>
        </is>
      </c>
    </row>
    <row r="448">
      <c r="A448" s="33" t="n">
        <v>46266</v>
      </c>
      <c r="B448" s="30" t="inlineStr">
        <is>
          <t>Carla</t>
        </is>
      </c>
      <c r="C448" s="30" t="inlineStr">
        <is>
          <t>Comercial e propostas</t>
        </is>
      </c>
      <c r="D448" s="28" t="inlineStr">
        <is>
          <t>Reunião comercial</t>
        </is>
      </c>
      <c r="E448" s="34" t="n">
        <v>3</v>
      </c>
      <c r="F448" s="25">
        <f>IF(OR(B448="",E448=""),"",E448*IFERROR(INDEX(Config!$D$11:$D$20,MATCH(B448,Config!$A$11:$A$20,0)),0))</f>
        <v/>
      </c>
      <c r="G448" s="24">
        <f>IF(A448="","",MONTH(A448))</f>
        <v/>
      </c>
      <c r="H448" s="24">
        <f>IF(A448="","",YEAR(A448))</f>
        <v/>
      </c>
      <c r="I448" s="30" t="inlineStr">
        <is>
          <t>Não</t>
        </is>
      </c>
    </row>
    <row r="449">
      <c r="A449" s="33" t="n">
        <v>46266</v>
      </c>
      <c r="B449" s="30" t="inlineStr">
        <is>
          <t>Carla</t>
        </is>
      </c>
      <c r="C449" s="30" t="inlineStr">
        <is>
          <t>Gestão e reuniões</t>
        </is>
      </c>
      <c r="D449" s="28" t="inlineStr">
        <is>
          <t>Financeiro</t>
        </is>
      </c>
      <c r="E449" s="34" t="n">
        <v>1</v>
      </c>
      <c r="F449" s="25">
        <f>IF(OR(B449="",E449=""),"",E449*IFERROR(INDEX(Config!$D$11:$D$20,MATCH(B449,Config!$A$11:$A$20,0)),0))</f>
        <v/>
      </c>
      <c r="G449" s="24">
        <f>IF(A449="","",MONTH(A449))</f>
        <v/>
      </c>
      <c r="H449" s="24">
        <f>IF(A449="","",YEAR(A449))</f>
        <v/>
      </c>
      <c r="I449" s="30" t="inlineStr">
        <is>
          <t>Não</t>
        </is>
      </c>
    </row>
    <row r="450">
      <c r="A450" s="33" t="n">
        <v>46266</v>
      </c>
      <c r="B450" s="30" t="inlineStr">
        <is>
          <t>Diego</t>
        </is>
      </c>
      <c r="C450" s="30" t="inlineStr">
        <is>
          <t>Site novo · Loja Verde</t>
        </is>
      </c>
      <c r="D450" s="28" t="inlineStr">
        <is>
          <t>Reunião com cliente</t>
        </is>
      </c>
      <c r="E450" s="34" t="n">
        <v>6.5</v>
      </c>
      <c r="F450" s="25">
        <f>IF(OR(B450="",E450=""),"",E450*IFERROR(INDEX(Config!$D$11:$D$20,MATCH(B450,Config!$A$11:$A$20,0)),0))</f>
        <v/>
      </c>
      <c r="G450" s="24">
        <f>IF(A450="","",MONTH(A450))</f>
        <v/>
      </c>
      <c r="H450" s="24">
        <f>IF(A450="","",YEAR(A450))</f>
        <v/>
      </c>
      <c r="I450" s="30" t="inlineStr">
        <is>
          <t>Sim</t>
        </is>
      </c>
    </row>
    <row r="451">
      <c r="A451" s="33" t="n">
        <v>46266</v>
      </c>
      <c r="B451" s="30" t="inlineStr">
        <is>
          <t>Diego</t>
        </is>
      </c>
      <c r="C451" s="30" t="inlineStr">
        <is>
          <t>Comercial e propostas</t>
        </is>
      </c>
      <c r="D451" s="28" t="inlineStr">
        <is>
          <t>Reunião comercial</t>
        </is>
      </c>
      <c r="E451" s="34" t="n">
        <v>1</v>
      </c>
      <c r="F451" s="25">
        <f>IF(OR(B451="",E451=""),"",E451*IFERROR(INDEX(Config!$D$11:$D$20,MATCH(B451,Config!$A$11:$A$20,0)),0))</f>
        <v/>
      </c>
      <c r="G451" s="24">
        <f>IF(A451="","",MONTH(A451))</f>
        <v/>
      </c>
      <c r="H451" s="24">
        <f>IF(A451="","",YEAR(A451))</f>
        <v/>
      </c>
      <c r="I451" s="30" t="inlineStr">
        <is>
          <t>Não</t>
        </is>
      </c>
    </row>
    <row r="452">
      <c r="A452" s="33" t="n">
        <v>46266</v>
      </c>
      <c r="B452" s="30" t="inlineStr">
        <is>
          <t>Diego</t>
        </is>
      </c>
      <c r="C452" s="30" t="inlineStr">
        <is>
          <t>Gestão e reuniões</t>
        </is>
      </c>
      <c r="D452" s="28" t="inlineStr">
        <is>
          <t>Financeiro</t>
        </is>
      </c>
      <c r="E452" s="34" t="n">
        <v>2.5</v>
      </c>
      <c r="F452" s="25">
        <f>IF(OR(B452="",E452=""),"",E452*IFERROR(INDEX(Config!$D$11:$D$20,MATCH(B452,Config!$A$11:$A$20,0)),0))</f>
        <v/>
      </c>
      <c r="G452" s="24">
        <f>IF(A452="","",MONTH(A452))</f>
        <v/>
      </c>
      <c r="H452" s="24">
        <f>IF(A452="","",YEAR(A452))</f>
        <v/>
      </c>
      <c r="I452" s="30" t="inlineStr">
        <is>
          <t>Não</t>
        </is>
      </c>
    </row>
    <row r="453">
      <c r="A453" s="33" t="n">
        <v>46267</v>
      </c>
      <c r="B453" s="30" t="inlineStr">
        <is>
          <t>Ana</t>
        </is>
      </c>
      <c r="C453" s="30" t="inlineStr">
        <is>
          <t>Site novo · Loja Verde</t>
        </is>
      </c>
      <c r="D453" s="28" t="inlineStr">
        <is>
          <t>Wireframe</t>
        </is>
      </c>
      <c r="E453" s="34" t="n">
        <v>2</v>
      </c>
      <c r="F453" s="25">
        <f>IF(OR(B453="",E453=""),"",E453*IFERROR(INDEX(Config!$D$11:$D$20,MATCH(B453,Config!$A$11:$A$20,0)),0))</f>
        <v/>
      </c>
      <c r="G453" s="24">
        <f>IF(A453="","",MONTH(A453))</f>
        <v/>
      </c>
      <c r="H453" s="24">
        <f>IF(A453="","",YEAR(A453))</f>
        <v/>
      </c>
      <c r="I453" s="30" t="inlineStr">
        <is>
          <t>Sim</t>
        </is>
      </c>
    </row>
    <row r="454">
      <c r="A454" s="33" t="n">
        <v>46267</v>
      </c>
      <c r="B454" s="30" t="inlineStr">
        <is>
          <t>Ana</t>
        </is>
      </c>
      <c r="C454" s="30" t="inlineStr">
        <is>
          <t>Comercial e propostas</t>
        </is>
      </c>
      <c r="D454" s="28" t="inlineStr">
        <is>
          <t>Proposta</t>
        </is>
      </c>
      <c r="E454" s="34" t="n">
        <v>2.5</v>
      </c>
      <c r="F454" s="25">
        <f>IF(OR(B454="",E454=""),"",E454*IFERROR(INDEX(Config!$D$11:$D$20,MATCH(B454,Config!$A$11:$A$20,0)),0))</f>
        <v/>
      </c>
      <c r="G454" s="24">
        <f>IF(A454="","",MONTH(A454))</f>
        <v/>
      </c>
      <c r="H454" s="24">
        <f>IF(A454="","",YEAR(A454))</f>
        <v/>
      </c>
      <c r="I454" s="30" t="inlineStr">
        <is>
          <t>Não</t>
        </is>
      </c>
    </row>
    <row r="455">
      <c r="A455" s="33" t="n">
        <v>46267</v>
      </c>
      <c r="B455" s="30" t="inlineStr">
        <is>
          <t>Ana</t>
        </is>
      </c>
      <c r="C455" s="30" t="inlineStr">
        <is>
          <t>Gestão e reuniões</t>
        </is>
      </c>
      <c r="D455" s="28" t="inlineStr">
        <is>
          <t>Financeiro</t>
        </is>
      </c>
      <c r="E455" s="34" t="n">
        <v>2.5</v>
      </c>
      <c r="F455" s="25">
        <f>IF(OR(B455="",E455=""),"",E455*IFERROR(INDEX(Config!$D$11:$D$20,MATCH(B455,Config!$A$11:$A$20,0)),0))</f>
        <v/>
      </c>
      <c r="G455" s="24">
        <f>IF(A455="","",MONTH(A455))</f>
        <v/>
      </c>
      <c r="H455" s="24">
        <f>IF(A455="","",YEAR(A455))</f>
        <v/>
      </c>
      <c r="I455" s="30" t="inlineStr">
        <is>
          <t>Não</t>
        </is>
      </c>
    </row>
    <row r="456">
      <c r="A456" s="33" t="n">
        <v>46267</v>
      </c>
      <c r="B456" s="30" t="inlineStr">
        <is>
          <t>Bruno</t>
        </is>
      </c>
      <c r="C456" s="30" t="inlineStr">
        <is>
          <t>Site novo · Loja Verde</t>
        </is>
      </c>
      <c r="D456" s="28" t="inlineStr">
        <is>
          <t>Layout</t>
        </is>
      </c>
      <c r="E456" s="34" t="n">
        <v>3</v>
      </c>
      <c r="F456" s="25">
        <f>IF(OR(B456="",E456=""),"",E456*IFERROR(INDEX(Config!$D$11:$D$20,MATCH(B456,Config!$A$11:$A$20,0)),0))</f>
        <v/>
      </c>
      <c r="G456" s="24">
        <f>IF(A456="","",MONTH(A456))</f>
        <v/>
      </c>
      <c r="H456" s="24">
        <f>IF(A456="","",YEAR(A456))</f>
        <v/>
      </c>
      <c r="I456" s="30" t="inlineStr">
        <is>
          <t>Sim</t>
        </is>
      </c>
    </row>
    <row r="457">
      <c r="A457" s="33" t="n">
        <v>46267</v>
      </c>
      <c r="B457" s="30" t="inlineStr">
        <is>
          <t>Bruno</t>
        </is>
      </c>
      <c r="C457" s="30" t="inlineStr">
        <is>
          <t>Campanha de fim de ano · Bistrô 42</t>
        </is>
      </c>
      <c r="D457" s="28" t="inlineStr">
        <is>
          <t>Ajustes</t>
        </is>
      </c>
      <c r="E457" s="34" t="n">
        <v>2.5</v>
      </c>
      <c r="F457" s="25">
        <f>IF(OR(B457="",E457=""),"",E457*IFERROR(INDEX(Config!$D$11:$D$20,MATCH(B457,Config!$A$11:$A$20,0)),0))</f>
        <v/>
      </c>
      <c r="G457" s="24">
        <f>IF(A457="","",MONTH(A457))</f>
        <v/>
      </c>
      <c r="H457" s="24">
        <f>IF(A457="","",YEAR(A457))</f>
        <v/>
      </c>
      <c r="I457" s="30" t="inlineStr">
        <is>
          <t>Sim</t>
        </is>
      </c>
    </row>
    <row r="458">
      <c r="A458" s="33" t="n">
        <v>46267</v>
      </c>
      <c r="B458" s="30" t="inlineStr">
        <is>
          <t>Bruno</t>
        </is>
      </c>
      <c r="C458" s="30" t="inlineStr">
        <is>
          <t>Identidade visual · Padaria do Sol</t>
        </is>
      </c>
      <c r="D458" s="28" t="inlineStr">
        <is>
          <t>Aplicações</t>
        </is>
      </c>
      <c r="E458" s="34" t="n">
        <v>1.5</v>
      </c>
      <c r="F458" s="25">
        <f>IF(OR(B458="",E458=""),"",E458*IFERROR(INDEX(Config!$D$11:$D$20,MATCH(B458,Config!$A$11:$A$20,0)),0))</f>
        <v/>
      </c>
      <c r="G458" s="24">
        <f>IF(A458="","",MONTH(A458))</f>
        <v/>
      </c>
      <c r="H458" s="24">
        <f>IF(A458="","",YEAR(A458))</f>
        <v/>
      </c>
      <c r="I458" s="30" t="inlineStr">
        <is>
          <t>Sim</t>
        </is>
      </c>
    </row>
    <row r="459">
      <c r="A459" s="33" t="n">
        <v>46267</v>
      </c>
      <c r="B459" s="30" t="inlineStr">
        <is>
          <t>Bruno</t>
        </is>
      </c>
      <c r="C459" s="30" t="inlineStr">
        <is>
          <t>Gestão e reuniões</t>
        </is>
      </c>
      <c r="D459" s="28" t="inlineStr">
        <is>
          <t>Planejamento</t>
        </is>
      </c>
      <c r="E459" s="34" t="n">
        <v>1</v>
      </c>
      <c r="F459" s="25">
        <f>IF(OR(B459="",E459=""),"",E459*IFERROR(INDEX(Config!$D$11:$D$20,MATCH(B459,Config!$A$11:$A$20,0)),0))</f>
        <v/>
      </c>
      <c r="G459" s="24">
        <f>IF(A459="","",MONTH(A459))</f>
        <v/>
      </c>
      <c r="H459" s="24">
        <f>IF(A459="","",YEAR(A459))</f>
        <v/>
      </c>
      <c r="I459" s="30" t="inlineStr">
        <is>
          <t>Não</t>
        </is>
      </c>
    </row>
    <row r="460">
      <c r="A460" s="33" t="n">
        <v>46267</v>
      </c>
      <c r="B460" s="30" t="inlineStr">
        <is>
          <t>Carla</t>
        </is>
      </c>
      <c r="C460" s="30" t="inlineStr">
        <is>
          <t>Campanha de fim de ano · Bistrô 42</t>
        </is>
      </c>
      <c r="D460" s="28" t="inlineStr">
        <is>
          <t>Peças</t>
        </is>
      </c>
      <c r="E460" s="34" t="n">
        <v>3</v>
      </c>
      <c r="F460" s="25">
        <f>IF(OR(B460="",E460=""),"",E460*IFERROR(INDEX(Config!$D$11:$D$20,MATCH(B460,Config!$A$11:$A$20,0)),0))</f>
        <v/>
      </c>
      <c r="G460" s="24">
        <f>IF(A460="","",MONTH(A460))</f>
        <v/>
      </c>
      <c r="H460" s="24">
        <f>IF(A460="","",YEAR(A460))</f>
        <v/>
      </c>
      <c r="I460" s="30" t="inlineStr">
        <is>
          <t>Sim</t>
        </is>
      </c>
    </row>
    <row r="461">
      <c r="A461" s="33" t="n">
        <v>46267</v>
      </c>
      <c r="B461" s="30" t="inlineStr">
        <is>
          <t>Carla</t>
        </is>
      </c>
      <c r="C461" s="30" t="inlineStr">
        <is>
          <t>Site novo · Loja Verde</t>
        </is>
      </c>
      <c r="D461" s="28" t="inlineStr">
        <is>
          <t>Reunião com cliente</t>
        </is>
      </c>
      <c r="E461" s="34" t="n">
        <v>2</v>
      </c>
      <c r="F461" s="25">
        <f>IF(OR(B461="",E461=""),"",E461*IFERROR(INDEX(Config!$D$11:$D$20,MATCH(B461,Config!$A$11:$A$20,0)),0))</f>
        <v/>
      </c>
      <c r="G461" s="24">
        <f>IF(A461="","",MONTH(A461))</f>
        <v/>
      </c>
      <c r="H461" s="24">
        <f>IF(A461="","",YEAR(A461))</f>
        <v/>
      </c>
      <c r="I461" s="30" t="inlineStr">
        <is>
          <t>Sim</t>
        </is>
      </c>
    </row>
    <row r="462">
      <c r="A462" s="33" t="n">
        <v>46267</v>
      </c>
      <c r="B462" s="30" t="inlineStr">
        <is>
          <t>Carla</t>
        </is>
      </c>
      <c r="C462" s="30" t="inlineStr">
        <is>
          <t>Comercial e propostas</t>
        </is>
      </c>
      <c r="D462" s="28" t="inlineStr">
        <is>
          <t>Proposta</t>
        </is>
      </c>
      <c r="E462" s="34" t="n">
        <v>2.5</v>
      </c>
      <c r="F462" s="25">
        <f>IF(OR(B462="",E462=""),"",E462*IFERROR(INDEX(Config!$D$11:$D$20,MATCH(B462,Config!$A$11:$A$20,0)),0))</f>
        <v/>
      </c>
      <c r="G462" s="24">
        <f>IF(A462="","",MONTH(A462))</f>
        <v/>
      </c>
      <c r="H462" s="24">
        <f>IF(A462="","",YEAR(A462))</f>
        <v/>
      </c>
      <c r="I462" s="30" t="inlineStr">
        <is>
          <t>Não</t>
        </is>
      </c>
    </row>
    <row r="463">
      <c r="A463" s="33" t="n">
        <v>46267</v>
      </c>
      <c r="B463" s="30" t="inlineStr">
        <is>
          <t>Carla</t>
        </is>
      </c>
      <c r="C463" s="30" t="inlineStr">
        <is>
          <t>Gestão e reuniões</t>
        </is>
      </c>
      <c r="D463" s="28" t="inlineStr">
        <is>
          <t>Semanal</t>
        </is>
      </c>
      <c r="E463" s="34" t="n">
        <v>0.5</v>
      </c>
      <c r="F463" s="25">
        <f>IF(OR(B463="",E463=""),"",E463*IFERROR(INDEX(Config!$D$11:$D$20,MATCH(B463,Config!$A$11:$A$20,0)),0))</f>
        <v/>
      </c>
      <c r="G463" s="24">
        <f>IF(A463="","",MONTH(A463))</f>
        <v/>
      </c>
      <c r="H463" s="24">
        <f>IF(A463="","",YEAR(A463))</f>
        <v/>
      </c>
      <c r="I463" s="30" t="inlineStr">
        <is>
          <t>Não</t>
        </is>
      </c>
    </row>
    <row r="464">
      <c r="A464" s="33" t="n">
        <v>46267</v>
      </c>
      <c r="B464" s="30" t="inlineStr">
        <is>
          <t>Diego</t>
        </is>
      </c>
      <c r="C464" s="30" t="inlineStr">
        <is>
          <t>Site novo · Loja Verde</t>
        </is>
      </c>
      <c r="D464" s="28" t="inlineStr">
        <is>
          <t>Wireframe</t>
        </is>
      </c>
      <c r="E464" s="34" t="n">
        <v>5.5</v>
      </c>
      <c r="F464" s="25">
        <f>IF(OR(B464="",E464=""),"",E464*IFERROR(INDEX(Config!$D$11:$D$20,MATCH(B464,Config!$A$11:$A$20,0)),0))</f>
        <v/>
      </c>
      <c r="G464" s="24">
        <f>IF(A464="","",MONTH(A464))</f>
        <v/>
      </c>
      <c r="H464" s="24">
        <f>IF(A464="","",YEAR(A464))</f>
        <v/>
      </c>
      <c r="I464" s="30" t="inlineStr">
        <is>
          <t>Sim</t>
        </is>
      </c>
    </row>
    <row r="465">
      <c r="A465" s="33" t="n">
        <v>46267</v>
      </c>
      <c r="B465" s="30" t="inlineStr">
        <is>
          <t>Diego</t>
        </is>
      </c>
      <c r="C465" s="30" t="inlineStr">
        <is>
          <t>Comercial e propostas</t>
        </is>
      </c>
      <c r="D465" s="28" t="inlineStr">
        <is>
          <t>Reunião comercial</t>
        </is>
      </c>
      <c r="E465" s="34" t="n">
        <v>0.5</v>
      </c>
      <c r="F465" s="25">
        <f>IF(OR(B465="",E465=""),"",E465*IFERROR(INDEX(Config!$D$11:$D$20,MATCH(B465,Config!$A$11:$A$20,0)),0))</f>
        <v/>
      </c>
      <c r="G465" s="24">
        <f>IF(A465="","",MONTH(A465))</f>
        <v/>
      </c>
      <c r="H465" s="24">
        <f>IF(A465="","",YEAR(A465))</f>
        <v/>
      </c>
      <c r="I465" s="30" t="inlineStr">
        <is>
          <t>Não</t>
        </is>
      </c>
    </row>
    <row r="466">
      <c r="A466" s="33" t="n">
        <v>46267</v>
      </c>
      <c r="B466" s="30" t="inlineStr">
        <is>
          <t>Diego</t>
        </is>
      </c>
      <c r="C466" s="30" t="inlineStr">
        <is>
          <t>Gestão e reuniões</t>
        </is>
      </c>
      <c r="D466" s="28" t="inlineStr">
        <is>
          <t>Planejamento</t>
        </is>
      </c>
      <c r="E466" s="34" t="n">
        <v>2.5</v>
      </c>
      <c r="F466" s="25">
        <f>IF(OR(B466="",E466=""),"",E466*IFERROR(INDEX(Config!$D$11:$D$20,MATCH(B466,Config!$A$11:$A$20,0)),0))</f>
        <v/>
      </c>
      <c r="G466" s="24">
        <f>IF(A466="","",MONTH(A466))</f>
        <v/>
      </c>
      <c r="H466" s="24">
        <f>IF(A466="","",YEAR(A466))</f>
        <v/>
      </c>
      <c r="I466" s="30" t="inlineStr">
        <is>
          <t>Não</t>
        </is>
      </c>
    </row>
    <row r="467">
      <c r="A467" s="33" t="n">
        <v>46268</v>
      </c>
      <c r="B467" s="30" t="inlineStr">
        <is>
          <t>Ana</t>
        </is>
      </c>
      <c r="C467" s="30" t="inlineStr">
        <is>
          <t>Site novo · Loja Verde</t>
        </is>
      </c>
      <c r="D467" s="28" t="inlineStr">
        <is>
          <t>Textos</t>
        </is>
      </c>
      <c r="E467" s="34" t="n">
        <v>2</v>
      </c>
      <c r="F467" s="25">
        <f>IF(OR(B467="",E467=""),"",E467*IFERROR(INDEX(Config!$D$11:$D$20,MATCH(B467,Config!$A$11:$A$20,0)),0))</f>
        <v/>
      </c>
      <c r="G467" s="24">
        <f>IF(A467="","",MONTH(A467))</f>
        <v/>
      </c>
      <c r="H467" s="24">
        <f>IF(A467="","",YEAR(A467))</f>
        <v/>
      </c>
      <c r="I467" s="30" t="inlineStr">
        <is>
          <t>Sim</t>
        </is>
      </c>
    </row>
    <row r="468">
      <c r="A468" s="33" t="n">
        <v>46268</v>
      </c>
      <c r="B468" s="30" t="inlineStr">
        <is>
          <t>Ana</t>
        </is>
      </c>
      <c r="C468" s="30" t="inlineStr">
        <is>
          <t>Comercial e propostas</t>
        </is>
      </c>
      <c r="D468" s="28" t="inlineStr">
        <is>
          <t>Proposta</t>
        </is>
      </c>
      <c r="E468" s="34" t="n">
        <v>2</v>
      </c>
      <c r="F468" s="25">
        <f>IF(OR(B468="",E468=""),"",E468*IFERROR(INDEX(Config!$D$11:$D$20,MATCH(B468,Config!$A$11:$A$20,0)),0))</f>
        <v/>
      </c>
      <c r="G468" s="24">
        <f>IF(A468="","",MONTH(A468))</f>
        <v/>
      </c>
      <c r="H468" s="24">
        <f>IF(A468="","",YEAR(A468))</f>
        <v/>
      </c>
      <c r="I468" s="30" t="inlineStr">
        <is>
          <t>Não</t>
        </is>
      </c>
    </row>
    <row r="469">
      <c r="A469" s="33" t="n">
        <v>46268</v>
      </c>
      <c r="B469" s="30" t="inlineStr">
        <is>
          <t>Ana</t>
        </is>
      </c>
      <c r="C469" s="30" t="inlineStr">
        <is>
          <t>Gestão e reuniões</t>
        </is>
      </c>
      <c r="D469" s="28" t="inlineStr">
        <is>
          <t>Planejamento</t>
        </is>
      </c>
      <c r="E469" s="34" t="n">
        <v>2.5</v>
      </c>
      <c r="F469" s="25">
        <f>IF(OR(B469="",E469=""),"",E469*IFERROR(INDEX(Config!$D$11:$D$20,MATCH(B469,Config!$A$11:$A$20,0)),0))</f>
        <v/>
      </c>
      <c r="G469" s="24">
        <f>IF(A469="","",MONTH(A469))</f>
        <v/>
      </c>
      <c r="H469" s="24">
        <f>IF(A469="","",YEAR(A469))</f>
        <v/>
      </c>
      <c r="I469" s="30" t="inlineStr">
        <is>
          <t>Não</t>
        </is>
      </c>
    </row>
    <row r="470">
      <c r="A470" s="33" t="n">
        <v>46268</v>
      </c>
      <c r="B470" s="30" t="inlineStr">
        <is>
          <t>Bruno</t>
        </is>
      </c>
      <c r="C470" s="30" t="inlineStr">
        <is>
          <t>Site novo · Loja Verde</t>
        </is>
      </c>
      <c r="D470" s="28" t="inlineStr">
        <is>
          <t>Reunião com cliente</t>
        </is>
      </c>
      <c r="E470" s="34" t="n">
        <v>2.5</v>
      </c>
      <c r="F470" s="25">
        <f>IF(OR(B470="",E470=""),"",E470*IFERROR(INDEX(Config!$D$11:$D$20,MATCH(B470,Config!$A$11:$A$20,0)),0))</f>
        <v/>
      </c>
      <c r="G470" s="24">
        <f>IF(A470="","",MONTH(A470))</f>
        <v/>
      </c>
      <c r="H470" s="24">
        <f>IF(A470="","",YEAR(A470))</f>
        <v/>
      </c>
      <c r="I470" s="30" t="inlineStr">
        <is>
          <t>Sim</t>
        </is>
      </c>
    </row>
    <row r="471">
      <c r="A471" s="33" t="n">
        <v>46268</v>
      </c>
      <c r="B471" s="30" t="inlineStr">
        <is>
          <t>Bruno</t>
        </is>
      </c>
      <c r="C471" s="30" t="inlineStr">
        <is>
          <t>Campanha de fim de ano · Bistrô 42</t>
        </is>
      </c>
      <c r="D471" s="28" t="inlineStr">
        <is>
          <t>Conceito</t>
        </is>
      </c>
      <c r="E471" s="34" t="n">
        <v>2</v>
      </c>
      <c r="F471" s="25">
        <f>IF(OR(B471="",E471=""),"",E471*IFERROR(INDEX(Config!$D$11:$D$20,MATCH(B471,Config!$A$11:$A$20,0)),0))</f>
        <v/>
      </c>
      <c r="G471" s="24">
        <f>IF(A471="","",MONTH(A471))</f>
        <v/>
      </c>
      <c r="H471" s="24">
        <f>IF(A471="","",YEAR(A471))</f>
        <v/>
      </c>
      <c r="I471" s="30" t="inlineStr">
        <is>
          <t>Sim</t>
        </is>
      </c>
    </row>
    <row r="472">
      <c r="A472" s="33" t="n">
        <v>46268</v>
      </c>
      <c r="B472" s="30" t="inlineStr">
        <is>
          <t>Bruno</t>
        </is>
      </c>
      <c r="C472" s="30" t="inlineStr">
        <is>
          <t>Identidade visual · Padaria do Sol</t>
        </is>
      </c>
      <c r="D472" s="28" t="inlineStr">
        <is>
          <t>Aplicações</t>
        </is>
      </c>
      <c r="E472" s="34" t="n">
        <v>1</v>
      </c>
      <c r="F472" s="25">
        <f>IF(OR(B472="",E472=""),"",E472*IFERROR(INDEX(Config!$D$11:$D$20,MATCH(B472,Config!$A$11:$A$20,0)),0))</f>
        <v/>
      </c>
      <c r="G472" s="24">
        <f>IF(A472="","",MONTH(A472))</f>
        <v/>
      </c>
      <c r="H472" s="24">
        <f>IF(A472="","",YEAR(A472))</f>
        <v/>
      </c>
      <c r="I472" s="30" t="inlineStr">
        <is>
          <t>Sim</t>
        </is>
      </c>
    </row>
    <row r="473">
      <c r="A473" s="33" t="n">
        <v>46268</v>
      </c>
      <c r="B473" s="30" t="inlineStr">
        <is>
          <t>Bruno</t>
        </is>
      </c>
      <c r="C473" s="30" t="inlineStr">
        <is>
          <t>Gestão e reuniões</t>
        </is>
      </c>
      <c r="D473" s="28" t="inlineStr">
        <is>
          <t>Planejamento</t>
        </is>
      </c>
      <c r="E473" s="34" t="n">
        <v>0.5</v>
      </c>
      <c r="F473" s="25">
        <f>IF(OR(B473="",E473=""),"",E473*IFERROR(INDEX(Config!$D$11:$D$20,MATCH(B473,Config!$A$11:$A$20,0)),0))</f>
        <v/>
      </c>
      <c r="G473" s="24">
        <f>IF(A473="","",MONTH(A473))</f>
        <v/>
      </c>
      <c r="H473" s="24">
        <f>IF(A473="","",YEAR(A473))</f>
        <v/>
      </c>
      <c r="I473" s="30" t="inlineStr">
        <is>
          <t>Não</t>
        </is>
      </c>
    </row>
    <row r="474">
      <c r="A474" s="33" t="n">
        <v>46268</v>
      </c>
      <c r="B474" s="30" t="inlineStr">
        <is>
          <t>Carla</t>
        </is>
      </c>
      <c r="C474" s="30" t="inlineStr">
        <is>
          <t>Campanha de fim de ano · Bistrô 42</t>
        </is>
      </c>
      <c r="D474" s="28" t="inlineStr">
        <is>
          <t>Peças</t>
        </is>
      </c>
      <c r="E474" s="34" t="n">
        <v>3</v>
      </c>
      <c r="F474" s="25">
        <f>IF(OR(B474="",E474=""),"",E474*IFERROR(INDEX(Config!$D$11:$D$20,MATCH(B474,Config!$A$11:$A$20,0)),0))</f>
        <v/>
      </c>
      <c r="G474" s="24">
        <f>IF(A474="","",MONTH(A474))</f>
        <v/>
      </c>
      <c r="H474" s="24">
        <f>IF(A474="","",YEAR(A474))</f>
        <v/>
      </c>
      <c r="I474" s="30" t="inlineStr">
        <is>
          <t>Sim</t>
        </is>
      </c>
    </row>
    <row r="475">
      <c r="A475" s="33" t="n">
        <v>46268</v>
      </c>
      <c r="B475" s="30" t="inlineStr">
        <is>
          <t>Carla</t>
        </is>
      </c>
      <c r="C475" s="30" t="inlineStr">
        <is>
          <t>Site novo · Loja Verde</t>
        </is>
      </c>
      <c r="D475" s="28" t="inlineStr">
        <is>
          <t>Wireframe</t>
        </is>
      </c>
      <c r="E475" s="34" t="n">
        <v>1.5</v>
      </c>
      <c r="F475" s="25">
        <f>IF(OR(B475="",E475=""),"",E475*IFERROR(INDEX(Config!$D$11:$D$20,MATCH(B475,Config!$A$11:$A$20,0)),0))</f>
        <v/>
      </c>
      <c r="G475" s="24">
        <f>IF(A475="","",MONTH(A475))</f>
        <v/>
      </c>
      <c r="H475" s="24">
        <f>IF(A475="","",YEAR(A475))</f>
        <v/>
      </c>
      <c r="I475" s="30" t="inlineStr">
        <is>
          <t>Sim</t>
        </is>
      </c>
    </row>
    <row r="476">
      <c r="A476" s="33" t="n">
        <v>46268</v>
      </c>
      <c r="B476" s="30" t="inlineStr">
        <is>
          <t>Carla</t>
        </is>
      </c>
      <c r="C476" s="30" t="inlineStr">
        <is>
          <t>Comercial e propostas</t>
        </is>
      </c>
      <c r="D476" s="28" t="inlineStr">
        <is>
          <t>Reunião comercial</t>
        </is>
      </c>
      <c r="E476" s="34" t="n">
        <v>2.5</v>
      </c>
      <c r="F476" s="25">
        <f>IF(OR(B476="",E476=""),"",E476*IFERROR(INDEX(Config!$D$11:$D$20,MATCH(B476,Config!$A$11:$A$20,0)),0))</f>
        <v/>
      </c>
      <c r="G476" s="24">
        <f>IF(A476="","",MONTH(A476))</f>
        <v/>
      </c>
      <c r="H476" s="24">
        <f>IF(A476="","",YEAR(A476))</f>
        <v/>
      </c>
      <c r="I476" s="30" t="inlineStr">
        <is>
          <t>Não</t>
        </is>
      </c>
    </row>
    <row r="477">
      <c r="A477" s="33" t="n">
        <v>46268</v>
      </c>
      <c r="B477" s="30" t="inlineStr">
        <is>
          <t>Carla</t>
        </is>
      </c>
      <c r="C477" s="30" t="inlineStr">
        <is>
          <t>Gestão e reuniões</t>
        </is>
      </c>
      <c r="D477" s="28" t="inlineStr">
        <is>
          <t>Planejamento</t>
        </is>
      </c>
      <c r="E477" s="34" t="n">
        <v>1</v>
      </c>
      <c r="F477" s="25">
        <f>IF(OR(B477="",E477=""),"",E477*IFERROR(INDEX(Config!$D$11:$D$20,MATCH(B477,Config!$A$11:$A$20,0)),0))</f>
        <v/>
      </c>
      <c r="G477" s="24">
        <f>IF(A477="","",MONTH(A477))</f>
        <v/>
      </c>
      <c r="H477" s="24">
        <f>IF(A477="","",YEAR(A477))</f>
        <v/>
      </c>
      <c r="I477" s="30" t="inlineStr">
        <is>
          <t>Não</t>
        </is>
      </c>
    </row>
    <row r="478">
      <c r="A478" s="33" t="n">
        <v>46268</v>
      </c>
      <c r="B478" s="30" t="inlineStr">
        <is>
          <t>Diego</t>
        </is>
      </c>
      <c r="C478" s="30" t="inlineStr">
        <is>
          <t>Site novo · Loja Verde</t>
        </is>
      </c>
      <c r="D478" s="28" t="inlineStr">
        <is>
          <t>Layout</t>
        </is>
      </c>
      <c r="E478" s="34" t="n">
        <v>5</v>
      </c>
      <c r="F478" s="25">
        <f>IF(OR(B478="",E478=""),"",E478*IFERROR(INDEX(Config!$D$11:$D$20,MATCH(B478,Config!$A$11:$A$20,0)),0))</f>
        <v/>
      </c>
      <c r="G478" s="24">
        <f>IF(A478="","",MONTH(A478))</f>
        <v/>
      </c>
      <c r="H478" s="24">
        <f>IF(A478="","",YEAR(A478))</f>
        <v/>
      </c>
      <c r="I478" s="30" t="inlineStr">
        <is>
          <t>Sim</t>
        </is>
      </c>
    </row>
    <row r="479">
      <c r="A479" s="33" t="n">
        <v>46268</v>
      </c>
      <c r="B479" s="30" t="inlineStr">
        <is>
          <t>Diego</t>
        </is>
      </c>
      <c r="C479" s="30" t="inlineStr">
        <is>
          <t>Comercial e propostas</t>
        </is>
      </c>
      <c r="D479" s="28" t="inlineStr">
        <is>
          <t>Proposta</t>
        </is>
      </c>
      <c r="E479" s="34" t="n">
        <v>0.5</v>
      </c>
      <c r="F479" s="25">
        <f>IF(OR(B479="",E479=""),"",E479*IFERROR(INDEX(Config!$D$11:$D$20,MATCH(B479,Config!$A$11:$A$20,0)),0))</f>
        <v/>
      </c>
      <c r="G479" s="24">
        <f>IF(A479="","",MONTH(A479))</f>
        <v/>
      </c>
      <c r="H479" s="24">
        <f>IF(A479="","",YEAR(A479))</f>
        <v/>
      </c>
      <c r="I479" s="30" t="inlineStr">
        <is>
          <t>Não</t>
        </is>
      </c>
    </row>
    <row r="480">
      <c r="A480" s="33" t="n">
        <v>46268</v>
      </c>
      <c r="B480" s="30" t="inlineStr">
        <is>
          <t>Diego</t>
        </is>
      </c>
      <c r="C480" s="30" t="inlineStr">
        <is>
          <t>Gestão e reuniões</t>
        </is>
      </c>
      <c r="D480" s="28" t="inlineStr">
        <is>
          <t>Financeiro</t>
        </is>
      </c>
      <c r="E480" s="34" t="n">
        <v>2</v>
      </c>
      <c r="F480" s="25">
        <f>IF(OR(B480="",E480=""),"",E480*IFERROR(INDEX(Config!$D$11:$D$20,MATCH(B480,Config!$A$11:$A$20,0)),0))</f>
        <v/>
      </c>
      <c r="G480" s="24">
        <f>IF(A480="","",MONTH(A480))</f>
        <v/>
      </c>
      <c r="H480" s="24">
        <f>IF(A480="","",YEAR(A480))</f>
        <v/>
      </c>
      <c r="I480" s="30" t="inlineStr">
        <is>
          <t>Não</t>
        </is>
      </c>
    </row>
    <row r="481">
      <c r="A481" s="33" t="n">
        <v>46269</v>
      </c>
      <c r="B481" s="30" t="inlineStr">
        <is>
          <t>Ana</t>
        </is>
      </c>
      <c r="C481" s="30" t="inlineStr">
        <is>
          <t>Site novo · Loja Verde</t>
        </is>
      </c>
      <c r="D481" s="28" t="inlineStr">
        <is>
          <t>Layout</t>
        </is>
      </c>
      <c r="E481" s="34" t="n">
        <v>2.5</v>
      </c>
      <c r="F481" s="25">
        <f>IF(OR(B481="",E481=""),"",E481*IFERROR(INDEX(Config!$D$11:$D$20,MATCH(B481,Config!$A$11:$A$20,0)),0))</f>
        <v/>
      </c>
      <c r="G481" s="24">
        <f>IF(A481="","",MONTH(A481))</f>
        <v/>
      </c>
      <c r="H481" s="24">
        <f>IF(A481="","",YEAR(A481))</f>
        <v/>
      </c>
      <c r="I481" s="30" t="inlineStr">
        <is>
          <t>Sim</t>
        </is>
      </c>
    </row>
    <row r="482">
      <c r="A482" s="33" t="n">
        <v>46269</v>
      </c>
      <c r="B482" s="30" t="inlineStr">
        <is>
          <t>Ana</t>
        </is>
      </c>
      <c r="C482" s="30" t="inlineStr">
        <is>
          <t>Comercial e propostas</t>
        </is>
      </c>
      <c r="D482" s="28" t="inlineStr">
        <is>
          <t>Reunião comercial</t>
        </is>
      </c>
      <c r="E482" s="34" t="n">
        <v>2</v>
      </c>
      <c r="F482" s="25">
        <f>IF(OR(B482="",E482=""),"",E482*IFERROR(INDEX(Config!$D$11:$D$20,MATCH(B482,Config!$A$11:$A$20,0)),0))</f>
        <v/>
      </c>
      <c r="G482" s="24">
        <f>IF(A482="","",MONTH(A482))</f>
        <v/>
      </c>
      <c r="H482" s="24">
        <f>IF(A482="","",YEAR(A482))</f>
        <v/>
      </c>
      <c r="I482" s="30" t="inlineStr">
        <is>
          <t>Não</t>
        </is>
      </c>
    </row>
    <row r="483">
      <c r="A483" s="33" t="n">
        <v>46269</v>
      </c>
      <c r="B483" s="30" t="inlineStr">
        <is>
          <t>Ana</t>
        </is>
      </c>
      <c r="C483" s="30" t="inlineStr">
        <is>
          <t>Gestão e reuniões</t>
        </is>
      </c>
      <c r="D483" s="28" t="inlineStr">
        <is>
          <t>Planejamento</t>
        </is>
      </c>
      <c r="E483" s="34" t="n">
        <v>2.5</v>
      </c>
      <c r="F483" s="25">
        <f>IF(OR(B483="",E483=""),"",E483*IFERROR(INDEX(Config!$D$11:$D$20,MATCH(B483,Config!$A$11:$A$20,0)),0))</f>
        <v/>
      </c>
      <c r="G483" s="24">
        <f>IF(A483="","",MONTH(A483))</f>
        <v/>
      </c>
      <c r="H483" s="24">
        <f>IF(A483="","",YEAR(A483))</f>
        <v/>
      </c>
      <c r="I483" s="30" t="inlineStr">
        <is>
          <t>Não</t>
        </is>
      </c>
    </row>
    <row r="484">
      <c r="A484" s="33" t="n">
        <v>46269</v>
      </c>
      <c r="B484" s="30" t="inlineStr">
        <is>
          <t>Bruno</t>
        </is>
      </c>
      <c r="C484" s="30" t="inlineStr">
        <is>
          <t>Site novo · Loja Verde</t>
        </is>
      </c>
      <c r="D484" s="28" t="inlineStr">
        <is>
          <t>Layout</t>
        </is>
      </c>
      <c r="E484" s="34" t="n">
        <v>4.5</v>
      </c>
      <c r="F484" s="25">
        <f>IF(OR(B484="",E484=""),"",E484*IFERROR(INDEX(Config!$D$11:$D$20,MATCH(B484,Config!$A$11:$A$20,0)),0))</f>
        <v/>
      </c>
      <c r="G484" s="24">
        <f>IF(A484="","",MONTH(A484))</f>
        <v/>
      </c>
      <c r="H484" s="24">
        <f>IF(A484="","",YEAR(A484))</f>
        <v/>
      </c>
      <c r="I484" s="30" t="inlineStr">
        <is>
          <t>Sim</t>
        </is>
      </c>
    </row>
    <row r="485">
      <c r="A485" s="33" t="n">
        <v>46269</v>
      </c>
      <c r="B485" s="30" t="inlineStr">
        <is>
          <t>Bruno</t>
        </is>
      </c>
      <c r="C485" s="30" t="inlineStr">
        <is>
          <t>Campanha de fim de ano · Bistrô 42</t>
        </is>
      </c>
      <c r="D485" s="28" t="inlineStr">
        <is>
          <t>Reunião com cliente</t>
        </is>
      </c>
      <c r="E485" s="34" t="n">
        <v>2</v>
      </c>
      <c r="F485" s="25">
        <f>IF(OR(B485="",E485=""),"",E485*IFERROR(INDEX(Config!$D$11:$D$20,MATCH(B485,Config!$A$11:$A$20,0)),0))</f>
        <v/>
      </c>
      <c r="G485" s="24">
        <f>IF(A485="","",MONTH(A485))</f>
        <v/>
      </c>
      <c r="H485" s="24">
        <f>IF(A485="","",YEAR(A485))</f>
        <v/>
      </c>
      <c r="I485" s="30" t="inlineStr">
        <is>
          <t>Sim</t>
        </is>
      </c>
    </row>
    <row r="486">
      <c r="A486" s="33" t="n">
        <v>46269</v>
      </c>
      <c r="B486" s="30" t="inlineStr">
        <is>
          <t>Bruno</t>
        </is>
      </c>
      <c r="C486" s="30" t="inlineStr">
        <is>
          <t>Identidade visual · Padaria do Sol</t>
        </is>
      </c>
      <c r="D486" s="28" t="inlineStr">
        <is>
          <t>Manual</t>
        </is>
      </c>
      <c r="E486" s="34" t="n">
        <v>1</v>
      </c>
      <c r="F486" s="25">
        <f>IF(OR(B486="",E486=""),"",E486*IFERROR(INDEX(Config!$D$11:$D$20,MATCH(B486,Config!$A$11:$A$20,0)),0))</f>
        <v/>
      </c>
      <c r="G486" s="24">
        <f>IF(A486="","",MONTH(A486))</f>
        <v/>
      </c>
      <c r="H486" s="24">
        <f>IF(A486="","",YEAR(A486))</f>
        <v/>
      </c>
      <c r="I486" s="30" t="inlineStr">
        <is>
          <t>Sim</t>
        </is>
      </c>
    </row>
    <row r="487">
      <c r="A487" s="33" t="n">
        <v>46269</v>
      </c>
      <c r="B487" s="30" t="inlineStr">
        <is>
          <t>Bruno</t>
        </is>
      </c>
      <c r="C487" s="30" t="inlineStr">
        <is>
          <t>Gestão e reuniões</t>
        </is>
      </c>
      <c r="D487" s="28" t="inlineStr">
        <is>
          <t>Planejamento</t>
        </is>
      </c>
      <c r="E487" s="34" t="n">
        <v>1</v>
      </c>
      <c r="F487" s="25">
        <f>IF(OR(B487="",E487=""),"",E487*IFERROR(INDEX(Config!$D$11:$D$20,MATCH(B487,Config!$A$11:$A$20,0)),0))</f>
        <v/>
      </c>
      <c r="G487" s="24">
        <f>IF(A487="","",MONTH(A487))</f>
        <v/>
      </c>
      <c r="H487" s="24">
        <f>IF(A487="","",YEAR(A487))</f>
        <v/>
      </c>
      <c r="I487" s="30" t="inlineStr">
        <is>
          <t>Não</t>
        </is>
      </c>
    </row>
    <row r="488">
      <c r="A488" s="33" t="n">
        <v>46269</v>
      </c>
      <c r="B488" s="30" t="inlineStr">
        <is>
          <t>Carla</t>
        </is>
      </c>
      <c r="C488" s="30" t="inlineStr">
        <is>
          <t>Campanha de fim de ano · Bistrô 42</t>
        </is>
      </c>
      <c r="D488" s="28" t="inlineStr">
        <is>
          <t>Peças</t>
        </is>
      </c>
      <c r="E488" s="34" t="n">
        <v>2.5</v>
      </c>
      <c r="F488" s="25">
        <f>IF(OR(B488="",E488=""),"",E488*IFERROR(INDEX(Config!$D$11:$D$20,MATCH(B488,Config!$A$11:$A$20,0)),0))</f>
        <v/>
      </c>
      <c r="G488" s="24">
        <f>IF(A488="","",MONTH(A488))</f>
        <v/>
      </c>
      <c r="H488" s="24">
        <f>IF(A488="","",YEAR(A488))</f>
        <v/>
      </c>
      <c r="I488" s="30" t="inlineStr">
        <is>
          <t>Sim</t>
        </is>
      </c>
    </row>
    <row r="489">
      <c r="A489" s="33" t="n">
        <v>46269</v>
      </c>
      <c r="B489" s="30" t="inlineStr">
        <is>
          <t>Carla</t>
        </is>
      </c>
      <c r="C489" s="30" t="inlineStr">
        <is>
          <t>Site novo · Loja Verde</t>
        </is>
      </c>
      <c r="D489" s="28" t="inlineStr">
        <is>
          <t>Reunião com cliente</t>
        </is>
      </c>
      <c r="E489" s="34" t="n">
        <v>1.5</v>
      </c>
      <c r="F489" s="25">
        <f>IF(OR(B489="",E489=""),"",E489*IFERROR(INDEX(Config!$D$11:$D$20,MATCH(B489,Config!$A$11:$A$20,0)),0))</f>
        <v/>
      </c>
      <c r="G489" s="24">
        <f>IF(A489="","",MONTH(A489))</f>
        <v/>
      </c>
      <c r="H489" s="24">
        <f>IF(A489="","",YEAR(A489))</f>
        <v/>
      </c>
      <c r="I489" s="30" t="inlineStr">
        <is>
          <t>Sim</t>
        </is>
      </c>
    </row>
    <row r="490">
      <c r="A490" s="33" t="n">
        <v>46269</v>
      </c>
      <c r="B490" s="30" t="inlineStr">
        <is>
          <t>Carla</t>
        </is>
      </c>
      <c r="C490" s="30" t="inlineStr">
        <is>
          <t>Comercial e propostas</t>
        </is>
      </c>
      <c r="D490" s="28" t="inlineStr">
        <is>
          <t>Proposta</t>
        </is>
      </c>
      <c r="E490" s="34" t="n">
        <v>3</v>
      </c>
      <c r="F490" s="25">
        <f>IF(OR(B490="",E490=""),"",E490*IFERROR(INDEX(Config!$D$11:$D$20,MATCH(B490,Config!$A$11:$A$20,0)),0))</f>
        <v/>
      </c>
      <c r="G490" s="24">
        <f>IF(A490="","",MONTH(A490))</f>
        <v/>
      </c>
      <c r="H490" s="24">
        <f>IF(A490="","",YEAR(A490))</f>
        <v/>
      </c>
      <c r="I490" s="30" t="inlineStr">
        <is>
          <t>Não</t>
        </is>
      </c>
    </row>
    <row r="491">
      <c r="A491" s="33" t="n">
        <v>46269</v>
      </c>
      <c r="B491" s="30" t="inlineStr">
        <is>
          <t>Carla</t>
        </is>
      </c>
      <c r="C491" s="30" t="inlineStr">
        <is>
          <t>Gestão e reuniões</t>
        </is>
      </c>
      <c r="D491" s="28" t="inlineStr">
        <is>
          <t>Semanal</t>
        </is>
      </c>
      <c r="E491" s="34" t="n">
        <v>1</v>
      </c>
      <c r="F491" s="25">
        <f>IF(OR(B491="",E491=""),"",E491*IFERROR(INDEX(Config!$D$11:$D$20,MATCH(B491,Config!$A$11:$A$20,0)),0))</f>
        <v/>
      </c>
      <c r="G491" s="24">
        <f>IF(A491="","",MONTH(A491))</f>
        <v/>
      </c>
      <c r="H491" s="24">
        <f>IF(A491="","",YEAR(A491))</f>
        <v/>
      </c>
      <c r="I491" s="30" t="inlineStr">
        <is>
          <t>Não</t>
        </is>
      </c>
    </row>
    <row r="492">
      <c r="A492" s="33" t="n">
        <v>46269</v>
      </c>
      <c r="B492" s="30" t="inlineStr">
        <is>
          <t>Diego</t>
        </is>
      </c>
      <c r="C492" s="30" t="inlineStr">
        <is>
          <t>Site novo · Loja Verde</t>
        </is>
      </c>
      <c r="D492" s="28" t="inlineStr">
        <is>
          <t>Layout</t>
        </is>
      </c>
      <c r="E492" s="34" t="n">
        <v>5.5</v>
      </c>
      <c r="F492" s="25">
        <f>IF(OR(B492="",E492=""),"",E492*IFERROR(INDEX(Config!$D$11:$D$20,MATCH(B492,Config!$A$11:$A$20,0)),0))</f>
        <v/>
      </c>
      <c r="G492" s="24">
        <f>IF(A492="","",MONTH(A492))</f>
        <v/>
      </c>
      <c r="H492" s="24">
        <f>IF(A492="","",YEAR(A492))</f>
        <v/>
      </c>
      <c r="I492" s="30" t="inlineStr">
        <is>
          <t>Sim</t>
        </is>
      </c>
    </row>
    <row r="493">
      <c r="A493" s="33" t="n">
        <v>46269</v>
      </c>
      <c r="B493" s="30" t="inlineStr">
        <is>
          <t>Diego</t>
        </is>
      </c>
      <c r="C493" s="30" t="inlineStr">
        <is>
          <t>Comercial e propostas</t>
        </is>
      </c>
      <c r="D493" s="28" t="inlineStr">
        <is>
          <t>Reunião comercial</t>
        </is>
      </c>
      <c r="E493" s="34" t="n">
        <v>1</v>
      </c>
      <c r="F493" s="25">
        <f>IF(OR(B493="",E493=""),"",E493*IFERROR(INDEX(Config!$D$11:$D$20,MATCH(B493,Config!$A$11:$A$20,0)),0))</f>
        <v/>
      </c>
      <c r="G493" s="24">
        <f>IF(A493="","",MONTH(A493))</f>
        <v/>
      </c>
      <c r="H493" s="24">
        <f>IF(A493="","",YEAR(A493))</f>
        <v/>
      </c>
      <c r="I493" s="30" t="inlineStr">
        <is>
          <t>Não</t>
        </is>
      </c>
    </row>
    <row r="494">
      <c r="A494" s="33" t="n">
        <v>46269</v>
      </c>
      <c r="B494" s="30" t="inlineStr">
        <is>
          <t>Diego</t>
        </is>
      </c>
      <c r="C494" s="30" t="inlineStr">
        <is>
          <t>Gestão e reuniões</t>
        </is>
      </c>
      <c r="D494" s="28" t="inlineStr">
        <is>
          <t>Financeiro</t>
        </is>
      </c>
      <c r="E494" s="34" t="n">
        <v>2.5</v>
      </c>
      <c r="F494" s="25">
        <f>IF(OR(B494="",E494=""),"",E494*IFERROR(INDEX(Config!$D$11:$D$20,MATCH(B494,Config!$A$11:$A$20,0)),0))</f>
        <v/>
      </c>
      <c r="G494" s="24">
        <f>IF(A494="","",MONTH(A494))</f>
        <v/>
      </c>
      <c r="H494" s="24">
        <f>IF(A494="","",YEAR(A494))</f>
        <v/>
      </c>
      <c r="I494" s="30" t="inlineStr">
        <is>
          <t>Não</t>
        </is>
      </c>
    </row>
    <row r="495">
      <c r="A495" s="33" t="n">
        <v>46272</v>
      </c>
      <c r="B495" s="30" t="inlineStr">
        <is>
          <t>Ana</t>
        </is>
      </c>
      <c r="C495" s="30" t="inlineStr">
        <is>
          <t>Site novo · Loja Verde</t>
        </is>
      </c>
      <c r="D495" s="28" t="inlineStr">
        <is>
          <t>Reunião com cliente</t>
        </is>
      </c>
      <c r="E495" s="34" t="n">
        <v>2</v>
      </c>
      <c r="F495" s="25">
        <f>IF(OR(B495="",E495=""),"",E495*IFERROR(INDEX(Config!$D$11:$D$20,MATCH(B495,Config!$A$11:$A$20,0)),0))</f>
        <v/>
      </c>
      <c r="G495" s="24">
        <f>IF(A495="","",MONTH(A495))</f>
        <v/>
      </c>
      <c r="H495" s="24">
        <f>IF(A495="","",YEAR(A495))</f>
        <v/>
      </c>
      <c r="I495" s="30" t="inlineStr">
        <is>
          <t>Sim</t>
        </is>
      </c>
    </row>
    <row r="496">
      <c r="A496" s="33" t="n">
        <v>46272</v>
      </c>
      <c r="B496" s="30" t="inlineStr">
        <is>
          <t>Ana</t>
        </is>
      </c>
      <c r="C496" s="30" t="inlineStr">
        <is>
          <t>Comercial e propostas</t>
        </is>
      </c>
      <c r="D496" s="28" t="inlineStr">
        <is>
          <t>Reunião comercial</t>
        </is>
      </c>
      <c r="E496" s="34" t="n">
        <v>3</v>
      </c>
      <c r="F496" s="25">
        <f>IF(OR(B496="",E496=""),"",E496*IFERROR(INDEX(Config!$D$11:$D$20,MATCH(B496,Config!$A$11:$A$20,0)),0))</f>
        <v/>
      </c>
      <c r="G496" s="24">
        <f>IF(A496="","",MONTH(A496))</f>
        <v/>
      </c>
      <c r="H496" s="24">
        <f>IF(A496="","",YEAR(A496))</f>
        <v/>
      </c>
      <c r="I496" s="30" t="inlineStr">
        <is>
          <t>Não</t>
        </is>
      </c>
    </row>
    <row r="497">
      <c r="A497" s="33" t="n">
        <v>46272</v>
      </c>
      <c r="B497" s="30" t="inlineStr">
        <is>
          <t>Ana</t>
        </is>
      </c>
      <c r="C497" s="30" t="inlineStr">
        <is>
          <t>Gestão e reuniões</t>
        </is>
      </c>
      <c r="D497" s="28" t="inlineStr">
        <is>
          <t>Financeiro</t>
        </is>
      </c>
      <c r="E497" s="34" t="n">
        <v>3</v>
      </c>
      <c r="F497" s="25">
        <f>IF(OR(B497="",E497=""),"",E497*IFERROR(INDEX(Config!$D$11:$D$20,MATCH(B497,Config!$A$11:$A$20,0)),0))</f>
        <v/>
      </c>
      <c r="G497" s="24">
        <f>IF(A497="","",MONTH(A497))</f>
        <v/>
      </c>
      <c r="H497" s="24">
        <f>IF(A497="","",YEAR(A497))</f>
        <v/>
      </c>
      <c r="I497" s="30" t="inlineStr">
        <is>
          <t>Não</t>
        </is>
      </c>
    </row>
    <row r="498">
      <c r="A498" s="33" t="n">
        <v>46272</v>
      </c>
      <c r="B498" s="30" t="inlineStr">
        <is>
          <t>Bruno</t>
        </is>
      </c>
      <c r="C498" s="30" t="inlineStr">
        <is>
          <t>Site novo · Loja Verde</t>
        </is>
      </c>
      <c r="D498" s="28" t="inlineStr">
        <is>
          <t>Implementação</t>
        </is>
      </c>
      <c r="E498" s="34" t="n">
        <v>5</v>
      </c>
      <c r="F498" s="25">
        <f>IF(OR(B498="",E498=""),"",E498*IFERROR(INDEX(Config!$D$11:$D$20,MATCH(B498,Config!$A$11:$A$20,0)),0))</f>
        <v/>
      </c>
      <c r="G498" s="24">
        <f>IF(A498="","",MONTH(A498))</f>
        <v/>
      </c>
      <c r="H498" s="24">
        <f>IF(A498="","",YEAR(A498))</f>
        <v/>
      </c>
      <c r="I498" s="30" t="inlineStr">
        <is>
          <t>Sim</t>
        </is>
      </c>
    </row>
    <row r="499">
      <c r="A499" s="33" t="n">
        <v>46272</v>
      </c>
      <c r="B499" s="30" t="inlineStr">
        <is>
          <t>Bruno</t>
        </is>
      </c>
      <c r="C499" s="30" t="inlineStr">
        <is>
          <t>Campanha de fim de ano · Bistrô 42</t>
        </is>
      </c>
      <c r="D499" s="28" t="inlineStr">
        <is>
          <t>Conceito</t>
        </is>
      </c>
      <c r="E499" s="34" t="n">
        <v>3.5</v>
      </c>
      <c r="F499" s="25">
        <f>IF(OR(B499="",E499=""),"",E499*IFERROR(INDEX(Config!$D$11:$D$20,MATCH(B499,Config!$A$11:$A$20,0)),0))</f>
        <v/>
      </c>
      <c r="G499" s="24">
        <f>IF(A499="","",MONTH(A499))</f>
        <v/>
      </c>
      <c r="H499" s="24">
        <f>IF(A499="","",YEAR(A499))</f>
        <v/>
      </c>
      <c r="I499" s="30" t="inlineStr">
        <is>
          <t>Sim</t>
        </is>
      </c>
    </row>
    <row r="500">
      <c r="A500" s="33" t="n">
        <v>46272</v>
      </c>
      <c r="B500" s="30" t="inlineStr">
        <is>
          <t>Bruno</t>
        </is>
      </c>
      <c r="C500" s="30" t="inlineStr">
        <is>
          <t>Gestão e reuniões</t>
        </is>
      </c>
      <c r="D500" s="28" t="inlineStr">
        <is>
          <t>Planejamento</t>
        </is>
      </c>
      <c r="E500" s="34" t="n">
        <v>1</v>
      </c>
      <c r="F500" s="25">
        <f>IF(OR(B500="",E500=""),"",E500*IFERROR(INDEX(Config!$D$11:$D$20,MATCH(B500,Config!$A$11:$A$20,0)),0))</f>
        <v/>
      </c>
      <c r="G500" s="24">
        <f>IF(A500="","",MONTH(A500))</f>
        <v/>
      </c>
      <c r="H500" s="24">
        <f>IF(A500="","",YEAR(A500))</f>
        <v/>
      </c>
      <c r="I500" s="30" t="inlineStr">
        <is>
          <t>Não</t>
        </is>
      </c>
    </row>
    <row r="501">
      <c r="A501" s="33" t="n">
        <v>46272</v>
      </c>
      <c r="B501" s="30" t="inlineStr">
        <is>
          <t>Carla</t>
        </is>
      </c>
      <c r="C501" s="30" t="inlineStr">
        <is>
          <t>Campanha de fim de ano · Bistrô 42</t>
        </is>
      </c>
      <c r="D501" s="28" t="inlineStr">
        <is>
          <t>Reunião com cliente</t>
        </is>
      </c>
      <c r="E501" s="34" t="n">
        <v>3</v>
      </c>
      <c r="F501" s="25">
        <f>IF(OR(B501="",E501=""),"",E501*IFERROR(INDEX(Config!$D$11:$D$20,MATCH(B501,Config!$A$11:$A$20,0)),0))</f>
        <v/>
      </c>
      <c r="G501" s="24">
        <f>IF(A501="","",MONTH(A501))</f>
        <v/>
      </c>
      <c r="H501" s="24">
        <f>IF(A501="","",YEAR(A501))</f>
        <v/>
      </c>
      <c r="I501" s="30" t="inlineStr">
        <is>
          <t>Sim</t>
        </is>
      </c>
    </row>
    <row r="502">
      <c r="A502" s="33" t="n">
        <v>46272</v>
      </c>
      <c r="B502" s="30" t="inlineStr">
        <is>
          <t>Carla</t>
        </is>
      </c>
      <c r="C502" s="30" t="inlineStr">
        <is>
          <t>Site novo · Loja Verde</t>
        </is>
      </c>
      <c r="D502" s="28" t="inlineStr">
        <is>
          <t>Wireframe</t>
        </is>
      </c>
      <c r="E502" s="34" t="n">
        <v>1.5</v>
      </c>
      <c r="F502" s="25">
        <f>IF(OR(B502="",E502=""),"",E502*IFERROR(INDEX(Config!$D$11:$D$20,MATCH(B502,Config!$A$11:$A$20,0)),0))</f>
        <v/>
      </c>
      <c r="G502" s="24">
        <f>IF(A502="","",MONTH(A502))</f>
        <v/>
      </c>
      <c r="H502" s="24">
        <f>IF(A502="","",YEAR(A502))</f>
        <v/>
      </c>
      <c r="I502" s="30" t="inlineStr">
        <is>
          <t>Sim</t>
        </is>
      </c>
    </row>
    <row r="503">
      <c r="A503" s="33" t="n">
        <v>46272</v>
      </c>
      <c r="B503" s="30" t="inlineStr">
        <is>
          <t>Carla</t>
        </is>
      </c>
      <c r="C503" s="30" t="inlineStr">
        <is>
          <t>Comercial e propostas</t>
        </is>
      </c>
      <c r="D503" s="28" t="inlineStr">
        <is>
          <t>Proposta</t>
        </is>
      </c>
      <c r="E503" s="34" t="n">
        <v>2</v>
      </c>
      <c r="F503" s="25">
        <f>IF(OR(B503="",E503=""),"",E503*IFERROR(INDEX(Config!$D$11:$D$20,MATCH(B503,Config!$A$11:$A$20,0)),0))</f>
        <v/>
      </c>
      <c r="G503" s="24">
        <f>IF(A503="","",MONTH(A503))</f>
        <v/>
      </c>
      <c r="H503" s="24">
        <f>IF(A503="","",YEAR(A503))</f>
        <v/>
      </c>
      <c r="I503" s="30" t="inlineStr">
        <is>
          <t>Não</t>
        </is>
      </c>
    </row>
    <row r="504">
      <c r="A504" s="33" t="n">
        <v>46272</v>
      </c>
      <c r="B504" s="30" t="inlineStr">
        <is>
          <t>Carla</t>
        </is>
      </c>
      <c r="C504" s="30" t="inlineStr">
        <is>
          <t>Gestão e reuniões</t>
        </is>
      </c>
      <c r="D504" s="28" t="inlineStr">
        <is>
          <t>Planejamento</t>
        </is>
      </c>
      <c r="E504" s="34" t="n">
        <v>0.5</v>
      </c>
      <c r="F504" s="25">
        <f>IF(OR(B504="",E504=""),"",E504*IFERROR(INDEX(Config!$D$11:$D$20,MATCH(B504,Config!$A$11:$A$20,0)),0))</f>
        <v/>
      </c>
      <c r="G504" s="24">
        <f>IF(A504="","",MONTH(A504))</f>
        <v/>
      </c>
      <c r="H504" s="24">
        <f>IF(A504="","",YEAR(A504))</f>
        <v/>
      </c>
      <c r="I504" s="30" t="inlineStr">
        <is>
          <t>Não</t>
        </is>
      </c>
    </row>
    <row r="505">
      <c r="A505" s="33" t="n">
        <v>46272</v>
      </c>
      <c r="B505" s="30" t="inlineStr">
        <is>
          <t>Diego</t>
        </is>
      </c>
      <c r="C505" s="30" t="inlineStr">
        <is>
          <t>Site novo · Loja Verde</t>
        </is>
      </c>
      <c r="D505" s="28" t="inlineStr">
        <is>
          <t>Reunião com cliente</t>
        </is>
      </c>
      <c r="E505" s="34" t="n">
        <v>5.5</v>
      </c>
      <c r="F505" s="25">
        <f>IF(OR(B505="",E505=""),"",E505*IFERROR(INDEX(Config!$D$11:$D$20,MATCH(B505,Config!$A$11:$A$20,0)),0))</f>
        <v/>
      </c>
      <c r="G505" s="24">
        <f>IF(A505="","",MONTH(A505))</f>
        <v/>
      </c>
      <c r="H505" s="24">
        <f>IF(A505="","",YEAR(A505))</f>
        <v/>
      </c>
      <c r="I505" s="30" t="inlineStr">
        <is>
          <t>Sim</t>
        </is>
      </c>
    </row>
    <row r="506">
      <c r="A506" s="33" t="n">
        <v>46272</v>
      </c>
      <c r="B506" s="30" t="inlineStr">
        <is>
          <t>Diego</t>
        </is>
      </c>
      <c r="C506" s="30" t="inlineStr">
        <is>
          <t>Comercial e propostas</t>
        </is>
      </c>
      <c r="D506" s="28" t="inlineStr">
        <is>
          <t>Reunião comercial</t>
        </is>
      </c>
      <c r="E506" s="34" t="n">
        <v>0.5</v>
      </c>
      <c r="F506" s="25">
        <f>IF(OR(B506="",E506=""),"",E506*IFERROR(INDEX(Config!$D$11:$D$20,MATCH(B506,Config!$A$11:$A$20,0)),0))</f>
        <v/>
      </c>
      <c r="G506" s="24">
        <f>IF(A506="","",MONTH(A506))</f>
        <v/>
      </c>
      <c r="H506" s="24">
        <f>IF(A506="","",YEAR(A506))</f>
        <v/>
      </c>
      <c r="I506" s="30" t="inlineStr">
        <is>
          <t>Não</t>
        </is>
      </c>
    </row>
    <row r="507">
      <c r="A507" s="33" t="n">
        <v>46272</v>
      </c>
      <c r="B507" s="30" t="inlineStr">
        <is>
          <t>Diego</t>
        </is>
      </c>
      <c r="C507" s="30" t="inlineStr">
        <is>
          <t>Gestão e reuniões</t>
        </is>
      </c>
      <c r="D507" s="28" t="inlineStr">
        <is>
          <t>Semanal</t>
        </is>
      </c>
      <c r="E507" s="34" t="n">
        <v>3</v>
      </c>
      <c r="F507" s="25">
        <f>IF(OR(B507="",E507=""),"",E507*IFERROR(INDEX(Config!$D$11:$D$20,MATCH(B507,Config!$A$11:$A$20,0)),0))</f>
        <v/>
      </c>
      <c r="G507" s="24">
        <f>IF(A507="","",MONTH(A507))</f>
        <v/>
      </c>
      <c r="H507" s="24">
        <f>IF(A507="","",YEAR(A507))</f>
        <v/>
      </c>
      <c r="I507" s="30" t="inlineStr">
        <is>
          <t>Não</t>
        </is>
      </c>
    </row>
    <row r="508">
      <c r="A508" s="33" t="n">
        <v>46273</v>
      </c>
      <c r="B508" s="30" t="inlineStr">
        <is>
          <t>Ana</t>
        </is>
      </c>
      <c r="C508" s="30" t="inlineStr">
        <is>
          <t>Site novo · Loja Verde</t>
        </is>
      </c>
      <c r="D508" s="28" t="inlineStr">
        <is>
          <t>Implementação</t>
        </is>
      </c>
      <c r="E508" s="34" t="n">
        <v>1</v>
      </c>
      <c r="F508" s="25">
        <f>IF(OR(B508="",E508=""),"",E508*IFERROR(INDEX(Config!$D$11:$D$20,MATCH(B508,Config!$A$11:$A$20,0)),0))</f>
        <v/>
      </c>
      <c r="G508" s="24">
        <f>IF(A508="","",MONTH(A508))</f>
        <v/>
      </c>
      <c r="H508" s="24">
        <f>IF(A508="","",YEAR(A508))</f>
        <v/>
      </c>
      <c r="I508" s="30" t="inlineStr">
        <is>
          <t>Sim</t>
        </is>
      </c>
    </row>
    <row r="509">
      <c r="A509" s="33" t="n">
        <v>46273</v>
      </c>
      <c r="B509" s="30" t="inlineStr">
        <is>
          <t>Ana</t>
        </is>
      </c>
      <c r="C509" s="30" t="inlineStr">
        <is>
          <t>Relatório anual · Horizonte</t>
        </is>
      </c>
      <c r="D509" s="28" t="inlineStr">
        <is>
          <t>Redação</t>
        </is>
      </c>
      <c r="E509" s="34" t="n">
        <v>2</v>
      </c>
      <c r="F509" s="25">
        <f>IF(OR(B509="",E509=""),"",E509*IFERROR(INDEX(Config!$D$11:$D$20,MATCH(B509,Config!$A$11:$A$20,0)),0))</f>
        <v/>
      </c>
      <c r="G509" s="24">
        <f>IF(A509="","",MONTH(A509))</f>
        <v/>
      </c>
      <c r="H509" s="24">
        <f>IF(A509="","",YEAR(A509))</f>
        <v/>
      </c>
      <c r="I509" s="30" t="inlineStr">
        <is>
          <t>Sim</t>
        </is>
      </c>
    </row>
    <row r="510">
      <c r="A510" s="33" t="n">
        <v>46273</v>
      </c>
      <c r="B510" s="30" t="inlineStr">
        <is>
          <t>Ana</t>
        </is>
      </c>
      <c r="C510" s="30" t="inlineStr">
        <is>
          <t>Comercial e propostas</t>
        </is>
      </c>
      <c r="D510" s="28" t="inlineStr">
        <is>
          <t>Reunião comercial</t>
        </is>
      </c>
      <c r="E510" s="34" t="n">
        <v>2</v>
      </c>
      <c r="F510" s="25">
        <f>IF(OR(B510="",E510=""),"",E510*IFERROR(INDEX(Config!$D$11:$D$20,MATCH(B510,Config!$A$11:$A$20,0)),0))</f>
        <v/>
      </c>
      <c r="G510" s="24">
        <f>IF(A510="","",MONTH(A510))</f>
        <v/>
      </c>
      <c r="H510" s="24">
        <f>IF(A510="","",YEAR(A510))</f>
        <v/>
      </c>
      <c r="I510" s="30" t="inlineStr">
        <is>
          <t>Não</t>
        </is>
      </c>
    </row>
    <row r="511">
      <c r="A511" s="33" t="n">
        <v>46273</v>
      </c>
      <c r="B511" s="30" t="inlineStr">
        <is>
          <t>Ana</t>
        </is>
      </c>
      <c r="C511" s="30" t="inlineStr">
        <is>
          <t>Gestão e reuniões</t>
        </is>
      </c>
      <c r="D511" s="28" t="inlineStr">
        <is>
          <t>Planejamento</t>
        </is>
      </c>
      <c r="E511" s="34" t="n">
        <v>2</v>
      </c>
      <c r="F511" s="25">
        <f>IF(OR(B511="",E511=""),"",E511*IFERROR(INDEX(Config!$D$11:$D$20,MATCH(B511,Config!$A$11:$A$20,0)),0))</f>
        <v/>
      </c>
      <c r="G511" s="24">
        <f>IF(A511="","",MONTH(A511))</f>
        <v/>
      </c>
      <c r="H511" s="24">
        <f>IF(A511="","",YEAR(A511))</f>
        <v/>
      </c>
      <c r="I511" s="30" t="inlineStr">
        <is>
          <t>Não</t>
        </is>
      </c>
    </row>
    <row r="512">
      <c r="A512" s="33" t="n">
        <v>46273</v>
      </c>
      <c r="B512" s="30" t="inlineStr">
        <is>
          <t>Bruno</t>
        </is>
      </c>
      <c r="C512" s="30" t="inlineStr">
        <is>
          <t>Site novo · Loja Verde</t>
        </is>
      </c>
      <c r="D512" s="28" t="inlineStr">
        <is>
          <t>Implementação</t>
        </is>
      </c>
      <c r="E512" s="34" t="n">
        <v>4</v>
      </c>
      <c r="F512" s="25">
        <f>IF(OR(B512="",E512=""),"",E512*IFERROR(INDEX(Config!$D$11:$D$20,MATCH(B512,Config!$A$11:$A$20,0)),0))</f>
        <v/>
      </c>
      <c r="G512" s="24">
        <f>IF(A512="","",MONTH(A512))</f>
        <v/>
      </c>
      <c r="H512" s="24">
        <f>IF(A512="","",YEAR(A512))</f>
        <v/>
      </c>
      <c r="I512" s="30" t="inlineStr">
        <is>
          <t>Sim</t>
        </is>
      </c>
    </row>
    <row r="513">
      <c r="A513" s="33" t="n">
        <v>46273</v>
      </c>
      <c r="B513" s="30" t="inlineStr">
        <is>
          <t>Bruno</t>
        </is>
      </c>
      <c r="C513" s="30" t="inlineStr">
        <is>
          <t>Campanha de fim de ano · Bistrô 42</t>
        </is>
      </c>
      <c r="D513" s="28" t="inlineStr">
        <is>
          <t>Conceito</t>
        </is>
      </c>
      <c r="E513" s="34" t="n">
        <v>3</v>
      </c>
      <c r="F513" s="25">
        <f>IF(OR(B513="",E513=""),"",E513*IFERROR(INDEX(Config!$D$11:$D$20,MATCH(B513,Config!$A$11:$A$20,0)),0))</f>
        <v/>
      </c>
      <c r="G513" s="24">
        <f>IF(A513="","",MONTH(A513))</f>
        <v/>
      </c>
      <c r="H513" s="24">
        <f>IF(A513="","",YEAR(A513))</f>
        <v/>
      </c>
      <c r="I513" s="30" t="inlineStr">
        <is>
          <t>Sim</t>
        </is>
      </c>
    </row>
    <row r="514">
      <c r="A514" s="33" t="n">
        <v>46273</v>
      </c>
      <c r="B514" s="30" t="inlineStr">
        <is>
          <t>Bruno</t>
        </is>
      </c>
      <c r="C514" s="30" t="inlineStr">
        <is>
          <t>Gestão e reuniões</t>
        </is>
      </c>
      <c r="D514" s="28" t="inlineStr">
        <is>
          <t>Planejamento</t>
        </is>
      </c>
      <c r="E514" s="34" t="n">
        <v>1</v>
      </c>
      <c r="F514" s="25">
        <f>IF(OR(B514="",E514=""),"",E514*IFERROR(INDEX(Config!$D$11:$D$20,MATCH(B514,Config!$A$11:$A$20,0)),0))</f>
        <v/>
      </c>
      <c r="G514" s="24">
        <f>IF(A514="","",MONTH(A514))</f>
        <v/>
      </c>
      <c r="H514" s="24">
        <f>IF(A514="","",YEAR(A514))</f>
        <v/>
      </c>
      <c r="I514" s="30" t="inlineStr">
        <is>
          <t>Não</t>
        </is>
      </c>
    </row>
    <row r="515">
      <c r="A515" s="33" t="n">
        <v>46273</v>
      </c>
      <c r="B515" s="30" t="inlineStr">
        <is>
          <t>Carla</t>
        </is>
      </c>
      <c r="C515" s="30" t="inlineStr">
        <is>
          <t>Campanha de fim de ano · Bistrô 42</t>
        </is>
      </c>
      <c r="D515" s="28" t="inlineStr">
        <is>
          <t>Reunião com cliente</t>
        </is>
      </c>
      <c r="E515" s="34" t="n">
        <v>4</v>
      </c>
      <c r="F515" s="25">
        <f>IF(OR(B515="",E515=""),"",E515*IFERROR(INDEX(Config!$D$11:$D$20,MATCH(B515,Config!$A$11:$A$20,0)),0))</f>
        <v/>
      </c>
      <c r="G515" s="24">
        <f>IF(A515="","",MONTH(A515))</f>
        <v/>
      </c>
      <c r="H515" s="24">
        <f>IF(A515="","",YEAR(A515))</f>
        <v/>
      </c>
      <c r="I515" s="30" t="inlineStr">
        <is>
          <t>Sim</t>
        </is>
      </c>
    </row>
    <row r="516">
      <c r="A516" s="33" t="n">
        <v>46273</v>
      </c>
      <c r="B516" s="30" t="inlineStr">
        <is>
          <t>Carla</t>
        </is>
      </c>
      <c r="C516" s="30" t="inlineStr">
        <is>
          <t>Site novo · Loja Verde</t>
        </is>
      </c>
      <c r="D516" s="28" t="inlineStr">
        <is>
          <t>Layout</t>
        </is>
      </c>
      <c r="E516" s="34" t="n">
        <v>2</v>
      </c>
      <c r="F516" s="25">
        <f>IF(OR(B516="",E516=""),"",E516*IFERROR(INDEX(Config!$D$11:$D$20,MATCH(B516,Config!$A$11:$A$20,0)),0))</f>
        <v/>
      </c>
      <c r="G516" s="24">
        <f>IF(A516="","",MONTH(A516))</f>
        <v/>
      </c>
      <c r="H516" s="24">
        <f>IF(A516="","",YEAR(A516))</f>
        <v/>
      </c>
      <c r="I516" s="30" t="inlineStr">
        <is>
          <t>Sim</t>
        </is>
      </c>
    </row>
    <row r="517">
      <c r="A517" s="33" t="n">
        <v>46273</v>
      </c>
      <c r="B517" s="30" t="inlineStr">
        <is>
          <t>Carla</t>
        </is>
      </c>
      <c r="C517" s="30" t="inlineStr">
        <is>
          <t>Comercial e propostas</t>
        </is>
      </c>
      <c r="D517" s="28" t="inlineStr">
        <is>
          <t>Reunião comercial</t>
        </is>
      </c>
      <c r="E517" s="34" t="n">
        <v>2</v>
      </c>
      <c r="F517" s="25">
        <f>IF(OR(B517="",E517=""),"",E517*IFERROR(INDEX(Config!$D$11:$D$20,MATCH(B517,Config!$A$11:$A$20,0)),0))</f>
        <v/>
      </c>
      <c r="G517" s="24">
        <f>IF(A517="","",MONTH(A517))</f>
        <v/>
      </c>
      <c r="H517" s="24">
        <f>IF(A517="","",YEAR(A517))</f>
        <v/>
      </c>
      <c r="I517" s="30" t="inlineStr">
        <is>
          <t>Não</t>
        </is>
      </c>
    </row>
    <row r="518">
      <c r="A518" s="33" t="n">
        <v>46273</v>
      </c>
      <c r="B518" s="30" t="inlineStr">
        <is>
          <t>Carla</t>
        </is>
      </c>
      <c r="C518" s="30" t="inlineStr">
        <is>
          <t>Gestão e reuniões</t>
        </is>
      </c>
      <c r="D518" s="28" t="inlineStr">
        <is>
          <t>Semanal</t>
        </is>
      </c>
      <c r="E518" s="34" t="n">
        <v>1</v>
      </c>
      <c r="F518" s="25">
        <f>IF(OR(B518="",E518=""),"",E518*IFERROR(INDEX(Config!$D$11:$D$20,MATCH(B518,Config!$A$11:$A$20,0)),0))</f>
        <v/>
      </c>
      <c r="G518" s="24">
        <f>IF(A518="","",MONTH(A518))</f>
        <v/>
      </c>
      <c r="H518" s="24">
        <f>IF(A518="","",YEAR(A518))</f>
        <v/>
      </c>
      <c r="I518" s="30" t="inlineStr">
        <is>
          <t>Não</t>
        </is>
      </c>
    </row>
    <row r="519">
      <c r="A519" s="33" t="n">
        <v>46273</v>
      </c>
      <c r="B519" s="30" t="inlineStr">
        <is>
          <t>Diego</t>
        </is>
      </c>
      <c r="C519" s="30" t="inlineStr">
        <is>
          <t>Site novo · Loja Verde</t>
        </is>
      </c>
      <c r="D519" s="28" t="inlineStr">
        <is>
          <t>Layout</t>
        </is>
      </c>
      <c r="E519" s="34" t="n">
        <v>3.5</v>
      </c>
      <c r="F519" s="25">
        <f>IF(OR(B519="",E519=""),"",E519*IFERROR(INDEX(Config!$D$11:$D$20,MATCH(B519,Config!$A$11:$A$20,0)),0))</f>
        <v/>
      </c>
      <c r="G519" s="24">
        <f>IF(A519="","",MONTH(A519))</f>
        <v/>
      </c>
      <c r="H519" s="24">
        <f>IF(A519="","",YEAR(A519))</f>
        <v/>
      </c>
      <c r="I519" s="30" t="inlineStr">
        <is>
          <t>Sim</t>
        </is>
      </c>
    </row>
    <row r="520">
      <c r="A520" s="33" t="n">
        <v>46273</v>
      </c>
      <c r="B520" s="30" t="inlineStr">
        <is>
          <t>Diego</t>
        </is>
      </c>
      <c r="C520" s="30" t="inlineStr">
        <is>
          <t>Comercial e propostas</t>
        </is>
      </c>
      <c r="D520" s="28" t="inlineStr">
        <is>
          <t>Reunião comercial</t>
        </is>
      </c>
      <c r="E520" s="34" t="n">
        <v>0.5</v>
      </c>
      <c r="F520" s="25">
        <f>IF(OR(B520="",E520=""),"",E520*IFERROR(INDEX(Config!$D$11:$D$20,MATCH(B520,Config!$A$11:$A$20,0)),0))</f>
        <v/>
      </c>
      <c r="G520" s="24">
        <f>IF(A520="","",MONTH(A520))</f>
        <v/>
      </c>
      <c r="H520" s="24">
        <f>IF(A520="","",YEAR(A520))</f>
        <v/>
      </c>
      <c r="I520" s="30" t="inlineStr">
        <is>
          <t>Não</t>
        </is>
      </c>
    </row>
    <row r="521">
      <c r="A521" s="33" t="n">
        <v>46273</v>
      </c>
      <c r="B521" s="30" t="inlineStr">
        <is>
          <t>Diego</t>
        </is>
      </c>
      <c r="C521" s="30" t="inlineStr">
        <is>
          <t>Gestão e reuniões</t>
        </is>
      </c>
      <c r="D521" s="28" t="inlineStr">
        <is>
          <t>Semanal</t>
        </is>
      </c>
      <c r="E521" s="34" t="n">
        <v>1.5</v>
      </c>
      <c r="F521" s="25">
        <f>IF(OR(B521="",E521=""),"",E521*IFERROR(INDEX(Config!$D$11:$D$20,MATCH(B521,Config!$A$11:$A$20,0)),0))</f>
        <v/>
      </c>
      <c r="G521" s="24">
        <f>IF(A521="","",MONTH(A521))</f>
        <v/>
      </c>
      <c r="H521" s="24">
        <f>IF(A521="","",YEAR(A521))</f>
        <v/>
      </c>
      <c r="I521" s="30" t="inlineStr">
        <is>
          <t>Não</t>
        </is>
      </c>
    </row>
    <row r="522">
      <c r="A522" s="33" t="n">
        <v>46274</v>
      </c>
      <c r="B522" s="30" t="inlineStr">
        <is>
          <t>Ana</t>
        </is>
      </c>
      <c r="C522" s="30" t="inlineStr">
        <is>
          <t>Site novo · Loja Verde</t>
        </is>
      </c>
      <c r="D522" s="28" t="inlineStr">
        <is>
          <t>Textos</t>
        </is>
      </c>
      <c r="E522" s="34" t="n">
        <v>1.5</v>
      </c>
      <c r="F522" s="25">
        <f>IF(OR(B522="",E522=""),"",E522*IFERROR(INDEX(Config!$D$11:$D$20,MATCH(B522,Config!$A$11:$A$20,0)),0))</f>
        <v/>
      </c>
      <c r="G522" s="24">
        <f>IF(A522="","",MONTH(A522))</f>
        <v/>
      </c>
      <c r="H522" s="24">
        <f>IF(A522="","",YEAR(A522))</f>
        <v/>
      </c>
      <c r="I522" s="30" t="inlineStr">
        <is>
          <t>Sim</t>
        </is>
      </c>
    </row>
    <row r="523">
      <c r="A523" s="33" t="n">
        <v>46274</v>
      </c>
      <c r="B523" s="30" t="inlineStr">
        <is>
          <t>Ana</t>
        </is>
      </c>
      <c r="C523" s="30" t="inlineStr">
        <is>
          <t>Relatório anual · Horizonte</t>
        </is>
      </c>
      <c r="D523" s="28" t="inlineStr">
        <is>
          <t>Redação</t>
        </is>
      </c>
      <c r="E523" s="34" t="n">
        <v>2</v>
      </c>
      <c r="F523" s="25">
        <f>IF(OR(B523="",E523=""),"",E523*IFERROR(INDEX(Config!$D$11:$D$20,MATCH(B523,Config!$A$11:$A$20,0)),0))</f>
        <v/>
      </c>
      <c r="G523" s="24">
        <f>IF(A523="","",MONTH(A523))</f>
        <v/>
      </c>
      <c r="H523" s="24">
        <f>IF(A523="","",YEAR(A523))</f>
        <v/>
      </c>
      <c r="I523" s="30" t="inlineStr">
        <is>
          <t>Sim</t>
        </is>
      </c>
    </row>
    <row r="524">
      <c r="A524" s="33" t="n">
        <v>46274</v>
      </c>
      <c r="B524" s="30" t="inlineStr">
        <is>
          <t>Ana</t>
        </is>
      </c>
      <c r="C524" s="30" t="inlineStr">
        <is>
          <t>Comercial e propostas</t>
        </is>
      </c>
      <c r="D524" s="28" t="inlineStr">
        <is>
          <t>Reunião comercial</t>
        </is>
      </c>
      <c r="E524" s="34" t="n">
        <v>2.5</v>
      </c>
      <c r="F524" s="25">
        <f>IF(OR(B524="",E524=""),"",E524*IFERROR(INDEX(Config!$D$11:$D$20,MATCH(B524,Config!$A$11:$A$20,0)),0))</f>
        <v/>
      </c>
      <c r="G524" s="24">
        <f>IF(A524="","",MONTH(A524))</f>
        <v/>
      </c>
      <c r="H524" s="24">
        <f>IF(A524="","",YEAR(A524))</f>
        <v/>
      </c>
      <c r="I524" s="30" t="inlineStr">
        <is>
          <t>Não</t>
        </is>
      </c>
    </row>
    <row r="525">
      <c r="A525" s="33" t="n">
        <v>46274</v>
      </c>
      <c r="B525" s="30" t="inlineStr">
        <is>
          <t>Ana</t>
        </is>
      </c>
      <c r="C525" s="30" t="inlineStr">
        <is>
          <t>Gestão e reuniões</t>
        </is>
      </c>
      <c r="D525" s="28" t="inlineStr">
        <is>
          <t>Planejamento</t>
        </is>
      </c>
      <c r="E525" s="34" t="n">
        <v>1.5</v>
      </c>
      <c r="F525" s="25">
        <f>IF(OR(B525="",E525=""),"",E525*IFERROR(INDEX(Config!$D$11:$D$20,MATCH(B525,Config!$A$11:$A$20,0)),0))</f>
        <v/>
      </c>
      <c r="G525" s="24">
        <f>IF(A525="","",MONTH(A525))</f>
        <v/>
      </c>
      <c r="H525" s="24">
        <f>IF(A525="","",YEAR(A525))</f>
        <v/>
      </c>
      <c r="I525" s="30" t="inlineStr">
        <is>
          <t>Não</t>
        </is>
      </c>
    </row>
    <row r="526">
      <c r="A526" s="33" t="n">
        <v>46274</v>
      </c>
      <c r="B526" s="30" t="inlineStr">
        <is>
          <t>Bruno</t>
        </is>
      </c>
      <c r="C526" s="30" t="inlineStr">
        <is>
          <t>Site novo · Loja Verde</t>
        </is>
      </c>
      <c r="D526" s="28" t="inlineStr">
        <is>
          <t>Textos</t>
        </is>
      </c>
      <c r="E526" s="34" t="n">
        <v>3.5</v>
      </c>
      <c r="F526" s="25">
        <f>IF(OR(B526="",E526=""),"",E526*IFERROR(INDEX(Config!$D$11:$D$20,MATCH(B526,Config!$A$11:$A$20,0)),0))</f>
        <v/>
      </c>
      <c r="G526" s="24">
        <f>IF(A526="","",MONTH(A526))</f>
        <v/>
      </c>
      <c r="H526" s="24">
        <f>IF(A526="","",YEAR(A526))</f>
        <v/>
      </c>
      <c r="I526" s="30" t="inlineStr">
        <is>
          <t>Sim</t>
        </is>
      </c>
    </row>
    <row r="527">
      <c r="A527" s="33" t="n">
        <v>46274</v>
      </c>
      <c r="B527" s="30" t="inlineStr">
        <is>
          <t>Bruno</t>
        </is>
      </c>
      <c r="C527" s="30" t="inlineStr">
        <is>
          <t>Campanha de fim de ano · Bistrô 42</t>
        </is>
      </c>
      <c r="D527" s="28" t="inlineStr">
        <is>
          <t>Ajustes</t>
        </is>
      </c>
      <c r="E527" s="34" t="n">
        <v>2</v>
      </c>
      <c r="F527" s="25">
        <f>IF(OR(B527="",E527=""),"",E527*IFERROR(INDEX(Config!$D$11:$D$20,MATCH(B527,Config!$A$11:$A$20,0)),0))</f>
        <v/>
      </c>
      <c r="G527" s="24">
        <f>IF(A527="","",MONTH(A527))</f>
        <v/>
      </c>
      <c r="H527" s="24">
        <f>IF(A527="","",YEAR(A527))</f>
        <v/>
      </c>
      <c r="I527" s="30" t="inlineStr">
        <is>
          <t>Sim</t>
        </is>
      </c>
    </row>
    <row r="528">
      <c r="A528" s="33" t="n">
        <v>46274</v>
      </c>
      <c r="B528" s="30" t="inlineStr">
        <is>
          <t>Bruno</t>
        </is>
      </c>
      <c r="C528" s="30" t="inlineStr">
        <is>
          <t>Gestão e reuniões</t>
        </is>
      </c>
      <c r="D528" s="28" t="inlineStr">
        <is>
          <t>Financeiro</t>
        </is>
      </c>
      <c r="E528" s="34" t="n">
        <v>1</v>
      </c>
      <c r="F528" s="25">
        <f>IF(OR(B528="",E528=""),"",E528*IFERROR(INDEX(Config!$D$11:$D$20,MATCH(B528,Config!$A$11:$A$20,0)),0))</f>
        <v/>
      </c>
      <c r="G528" s="24">
        <f>IF(A528="","",MONTH(A528))</f>
        <v/>
      </c>
      <c r="H528" s="24">
        <f>IF(A528="","",YEAR(A528))</f>
        <v/>
      </c>
      <c r="I528" s="30" t="inlineStr">
        <is>
          <t>Não</t>
        </is>
      </c>
    </row>
    <row r="529">
      <c r="A529" s="33" t="n">
        <v>46274</v>
      </c>
      <c r="B529" s="30" t="inlineStr">
        <is>
          <t>Carla</t>
        </is>
      </c>
      <c r="C529" s="30" t="inlineStr">
        <is>
          <t>Campanha de fim de ano · Bistrô 42</t>
        </is>
      </c>
      <c r="D529" s="28" t="inlineStr">
        <is>
          <t>Reunião com cliente</t>
        </is>
      </c>
      <c r="E529" s="34" t="n">
        <v>3.5</v>
      </c>
      <c r="F529" s="25">
        <f>IF(OR(B529="",E529=""),"",E529*IFERROR(INDEX(Config!$D$11:$D$20,MATCH(B529,Config!$A$11:$A$20,0)),0))</f>
        <v/>
      </c>
      <c r="G529" s="24">
        <f>IF(A529="","",MONTH(A529))</f>
        <v/>
      </c>
      <c r="H529" s="24">
        <f>IF(A529="","",YEAR(A529))</f>
        <v/>
      </c>
      <c r="I529" s="30" t="inlineStr">
        <is>
          <t>Sim</t>
        </is>
      </c>
    </row>
    <row r="530">
      <c r="A530" s="33" t="n">
        <v>46274</v>
      </c>
      <c r="B530" s="30" t="inlineStr">
        <is>
          <t>Carla</t>
        </is>
      </c>
      <c r="C530" s="30" t="inlineStr">
        <is>
          <t>Site novo · Loja Verde</t>
        </is>
      </c>
      <c r="D530" s="28" t="inlineStr">
        <is>
          <t>Layout</t>
        </is>
      </c>
      <c r="E530" s="34" t="n">
        <v>1.5</v>
      </c>
      <c r="F530" s="25">
        <f>IF(OR(B530="",E530=""),"",E530*IFERROR(INDEX(Config!$D$11:$D$20,MATCH(B530,Config!$A$11:$A$20,0)),0))</f>
        <v/>
      </c>
      <c r="G530" s="24">
        <f>IF(A530="","",MONTH(A530))</f>
        <v/>
      </c>
      <c r="H530" s="24">
        <f>IF(A530="","",YEAR(A530))</f>
        <v/>
      </c>
      <c r="I530" s="30" t="inlineStr">
        <is>
          <t>Sim</t>
        </is>
      </c>
    </row>
    <row r="531">
      <c r="A531" s="33" t="n">
        <v>46274</v>
      </c>
      <c r="B531" s="30" t="inlineStr">
        <is>
          <t>Carla</t>
        </is>
      </c>
      <c r="C531" s="30" t="inlineStr">
        <is>
          <t>Comercial e propostas</t>
        </is>
      </c>
      <c r="D531" s="28" t="inlineStr">
        <is>
          <t>Proposta</t>
        </is>
      </c>
      <c r="E531" s="34" t="n">
        <v>2</v>
      </c>
      <c r="F531" s="25">
        <f>IF(OR(B531="",E531=""),"",E531*IFERROR(INDEX(Config!$D$11:$D$20,MATCH(B531,Config!$A$11:$A$20,0)),0))</f>
        <v/>
      </c>
      <c r="G531" s="24">
        <f>IF(A531="","",MONTH(A531))</f>
        <v/>
      </c>
      <c r="H531" s="24">
        <f>IF(A531="","",YEAR(A531))</f>
        <v/>
      </c>
      <c r="I531" s="30" t="inlineStr">
        <is>
          <t>Não</t>
        </is>
      </c>
    </row>
    <row r="532">
      <c r="A532" s="33" t="n">
        <v>46274</v>
      </c>
      <c r="B532" s="30" t="inlineStr">
        <is>
          <t>Carla</t>
        </is>
      </c>
      <c r="C532" s="30" t="inlineStr">
        <is>
          <t>Gestão e reuniões</t>
        </is>
      </c>
      <c r="D532" s="28" t="inlineStr">
        <is>
          <t>Financeiro</t>
        </is>
      </c>
      <c r="E532" s="34" t="n">
        <v>0.5</v>
      </c>
      <c r="F532" s="25">
        <f>IF(OR(B532="",E532=""),"",E532*IFERROR(INDEX(Config!$D$11:$D$20,MATCH(B532,Config!$A$11:$A$20,0)),0))</f>
        <v/>
      </c>
      <c r="G532" s="24">
        <f>IF(A532="","",MONTH(A532))</f>
        <v/>
      </c>
      <c r="H532" s="24">
        <f>IF(A532="","",YEAR(A532))</f>
        <v/>
      </c>
      <c r="I532" s="30" t="inlineStr">
        <is>
          <t>Não</t>
        </is>
      </c>
    </row>
    <row r="533">
      <c r="A533" s="33" t="n">
        <v>46274</v>
      </c>
      <c r="B533" s="30" t="inlineStr">
        <is>
          <t>Diego</t>
        </is>
      </c>
      <c r="C533" s="30" t="inlineStr">
        <is>
          <t>Site novo · Loja Verde</t>
        </is>
      </c>
      <c r="D533" s="28" t="inlineStr">
        <is>
          <t>Reunião com cliente</t>
        </is>
      </c>
      <c r="E533" s="34" t="n">
        <v>3.5</v>
      </c>
      <c r="F533" s="25">
        <f>IF(OR(B533="",E533=""),"",E533*IFERROR(INDEX(Config!$D$11:$D$20,MATCH(B533,Config!$A$11:$A$20,0)),0))</f>
        <v/>
      </c>
      <c r="G533" s="24">
        <f>IF(A533="","",MONTH(A533))</f>
        <v/>
      </c>
      <c r="H533" s="24">
        <f>IF(A533="","",YEAR(A533))</f>
        <v/>
      </c>
      <c r="I533" s="30" t="inlineStr">
        <is>
          <t>Sim</t>
        </is>
      </c>
    </row>
    <row r="534">
      <c r="A534" s="33" t="n">
        <v>46274</v>
      </c>
      <c r="B534" s="30" t="inlineStr">
        <is>
          <t>Diego</t>
        </is>
      </c>
      <c r="C534" s="30" t="inlineStr">
        <is>
          <t>Comercial e propostas</t>
        </is>
      </c>
      <c r="D534" s="28" t="inlineStr">
        <is>
          <t>Proposta</t>
        </is>
      </c>
      <c r="E534" s="34" t="n">
        <v>0.5</v>
      </c>
      <c r="F534" s="25">
        <f>IF(OR(B534="",E534=""),"",E534*IFERROR(INDEX(Config!$D$11:$D$20,MATCH(B534,Config!$A$11:$A$20,0)),0))</f>
        <v/>
      </c>
      <c r="G534" s="24">
        <f>IF(A534="","",MONTH(A534))</f>
        <v/>
      </c>
      <c r="H534" s="24">
        <f>IF(A534="","",YEAR(A534))</f>
        <v/>
      </c>
      <c r="I534" s="30" t="inlineStr">
        <is>
          <t>Não</t>
        </is>
      </c>
    </row>
    <row r="535">
      <c r="A535" s="33" t="n">
        <v>46274</v>
      </c>
      <c r="B535" s="30" t="inlineStr">
        <is>
          <t>Diego</t>
        </is>
      </c>
      <c r="C535" s="30" t="inlineStr">
        <is>
          <t>Gestão e reuniões</t>
        </is>
      </c>
      <c r="D535" s="28" t="inlineStr">
        <is>
          <t>Semanal</t>
        </is>
      </c>
      <c r="E535" s="34" t="n">
        <v>2</v>
      </c>
      <c r="F535" s="25">
        <f>IF(OR(B535="",E535=""),"",E535*IFERROR(INDEX(Config!$D$11:$D$20,MATCH(B535,Config!$A$11:$A$20,0)),0))</f>
        <v/>
      </c>
      <c r="G535" s="24">
        <f>IF(A535="","",MONTH(A535))</f>
        <v/>
      </c>
      <c r="H535" s="24">
        <f>IF(A535="","",YEAR(A535))</f>
        <v/>
      </c>
      <c r="I535" s="30" t="inlineStr">
        <is>
          <t>Não</t>
        </is>
      </c>
    </row>
    <row r="536">
      <c r="A536" s="33" t="n">
        <v>46275</v>
      </c>
      <c r="B536" s="30" t="inlineStr">
        <is>
          <t>Ana</t>
        </is>
      </c>
      <c r="C536" s="30" t="inlineStr">
        <is>
          <t>Site novo · Loja Verde</t>
        </is>
      </c>
      <c r="D536" s="28" t="inlineStr">
        <is>
          <t>Textos</t>
        </is>
      </c>
      <c r="E536" s="34" t="n">
        <v>1.5</v>
      </c>
      <c r="F536" s="25">
        <f>IF(OR(B536="",E536=""),"",E536*IFERROR(INDEX(Config!$D$11:$D$20,MATCH(B536,Config!$A$11:$A$20,0)),0))</f>
        <v/>
      </c>
      <c r="G536" s="24">
        <f>IF(A536="","",MONTH(A536))</f>
        <v/>
      </c>
      <c r="H536" s="24">
        <f>IF(A536="","",YEAR(A536))</f>
        <v/>
      </c>
      <c r="I536" s="30" t="inlineStr">
        <is>
          <t>Sim</t>
        </is>
      </c>
    </row>
    <row r="537">
      <c r="A537" s="33" t="n">
        <v>46275</v>
      </c>
      <c r="B537" s="30" t="inlineStr">
        <is>
          <t>Ana</t>
        </is>
      </c>
      <c r="C537" s="30" t="inlineStr">
        <is>
          <t>Relatório anual · Horizonte</t>
        </is>
      </c>
      <c r="D537" s="28" t="inlineStr">
        <is>
          <t>Redação</t>
        </is>
      </c>
      <c r="E537" s="34" t="n">
        <v>3.5</v>
      </c>
      <c r="F537" s="25">
        <f>IF(OR(B537="",E537=""),"",E537*IFERROR(INDEX(Config!$D$11:$D$20,MATCH(B537,Config!$A$11:$A$20,0)),0))</f>
        <v/>
      </c>
      <c r="G537" s="24">
        <f>IF(A537="","",MONTH(A537))</f>
        <v/>
      </c>
      <c r="H537" s="24">
        <f>IF(A537="","",YEAR(A537))</f>
        <v/>
      </c>
      <c r="I537" s="30" t="inlineStr">
        <is>
          <t>Sim</t>
        </is>
      </c>
    </row>
    <row r="538">
      <c r="A538" s="33" t="n">
        <v>46275</v>
      </c>
      <c r="B538" s="30" t="inlineStr">
        <is>
          <t>Ana</t>
        </is>
      </c>
      <c r="C538" s="30" t="inlineStr">
        <is>
          <t>Comercial e propostas</t>
        </is>
      </c>
      <c r="D538" s="28" t="inlineStr">
        <is>
          <t>Proposta</t>
        </is>
      </c>
      <c r="E538" s="34" t="n">
        <v>2.5</v>
      </c>
      <c r="F538" s="25">
        <f>IF(OR(B538="",E538=""),"",E538*IFERROR(INDEX(Config!$D$11:$D$20,MATCH(B538,Config!$A$11:$A$20,0)),0))</f>
        <v/>
      </c>
      <c r="G538" s="24">
        <f>IF(A538="","",MONTH(A538))</f>
        <v/>
      </c>
      <c r="H538" s="24">
        <f>IF(A538="","",YEAR(A538))</f>
        <v/>
      </c>
      <c r="I538" s="30" t="inlineStr">
        <is>
          <t>Não</t>
        </is>
      </c>
    </row>
    <row r="539">
      <c r="A539" s="33" t="n">
        <v>46275</v>
      </c>
      <c r="B539" s="30" t="inlineStr">
        <is>
          <t>Ana</t>
        </is>
      </c>
      <c r="C539" s="30" t="inlineStr">
        <is>
          <t>Gestão e reuniões</t>
        </is>
      </c>
      <c r="D539" s="28" t="inlineStr">
        <is>
          <t>Financeiro</t>
        </is>
      </c>
      <c r="E539" s="34" t="n">
        <v>2</v>
      </c>
      <c r="F539" s="25">
        <f>IF(OR(B539="",E539=""),"",E539*IFERROR(INDEX(Config!$D$11:$D$20,MATCH(B539,Config!$A$11:$A$20,0)),0))</f>
        <v/>
      </c>
      <c r="G539" s="24">
        <f>IF(A539="","",MONTH(A539))</f>
        <v/>
      </c>
      <c r="H539" s="24">
        <f>IF(A539="","",YEAR(A539))</f>
        <v/>
      </c>
      <c r="I539" s="30" t="inlineStr">
        <is>
          <t>Não</t>
        </is>
      </c>
    </row>
    <row r="540">
      <c r="A540" s="33" t="n">
        <v>46275</v>
      </c>
      <c r="B540" s="30" t="inlineStr">
        <is>
          <t>Bruno</t>
        </is>
      </c>
      <c r="C540" s="30" t="inlineStr">
        <is>
          <t>Site novo · Loja Verde</t>
        </is>
      </c>
      <c r="D540" s="28" t="inlineStr">
        <is>
          <t>Layout</t>
        </is>
      </c>
      <c r="E540" s="34" t="n">
        <v>3</v>
      </c>
      <c r="F540" s="25">
        <f>IF(OR(B540="",E540=""),"",E540*IFERROR(INDEX(Config!$D$11:$D$20,MATCH(B540,Config!$A$11:$A$20,0)),0))</f>
        <v/>
      </c>
      <c r="G540" s="24">
        <f>IF(A540="","",MONTH(A540))</f>
        <v/>
      </c>
      <c r="H540" s="24">
        <f>IF(A540="","",YEAR(A540))</f>
        <v/>
      </c>
      <c r="I540" s="30" t="inlineStr">
        <is>
          <t>Sim</t>
        </is>
      </c>
    </row>
    <row r="541">
      <c r="A541" s="33" t="n">
        <v>46275</v>
      </c>
      <c r="B541" s="30" t="inlineStr">
        <is>
          <t>Bruno</t>
        </is>
      </c>
      <c r="C541" s="30" t="inlineStr">
        <is>
          <t>Campanha de fim de ano · Bistrô 42</t>
        </is>
      </c>
      <c r="D541" s="28" t="inlineStr">
        <is>
          <t>Conceito</t>
        </is>
      </c>
      <c r="E541" s="34" t="n">
        <v>3.5</v>
      </c>
      <c r="F541" s="25">
        <f>IF(OR(B541="",E541=""),"",E541*IFERROR(INDEX(Config!$D$11:$D$20,MATCH(B541,Config!$A$11:$A$20,0)),0))</f>
        <v/>
      </c>
      <c r="G541" s="24">
        <f>IF(A541="","",MONTH(A541))</f>
        <v/>
      </c>
      <c r="H541" s="24">
        <f>IF(A541="","",YEAR(A541))</f>
        <v/>
      </c>
      <c r="I541" s="30" t="inlineStr">
        <is>
          <t>Sim</t>
        </is>
      </c>
    </row>
    <row r="542">
      <c r="A542" s="33" t="n">
        <v>46275</v>
      </c>
      <c r="B542" s="30" t="inlineStr">
        <is>
          <t>Bruno</t>
        </is>
      </c>
      <c r="C542" s="30" t="inlineStr">
        <is>
          <t>Gestão e reuniões</t>
        </is>
      </c>
      <c r="D542" s="28" t="inlineStr">
        <is>
          <t>Semanal</t>
        </is>
      </c>
      <c r="E542" s="34" t="n">
        <v>1</v>
      </c>
      <c r="F542" s="25">
        <f>IF(OR(B542="",E542=""),"",E542*IFERROR(INDEX(Config!$D$11:$D$20,MATCH(B542,Config!$A$11:$A$20,0)),0))</f>
        <v/>
      </c>
      <c r="G542" s="24">
        <f>IF(A542="","",MONTH(A542))</f>
        <v/>
      </c>
      <c r="H542" s="24">
        <f>IF(A542="","",YEAR(A542))</f>
        <v/>
      </c>
      <c r="I542" s="30" t="inlineStr">
        <is>
          <t>Não</t>
        </is>
      </c>
    </row>
    <row r="543">
      <c r="A543" s="33" t="n">
        <v>46275</v>
      </c>
      <c r="B543" s="30" t="inlineStr">
        <is>
          <t>Carla</t>
        </is>
      </c>
      <c r="C543" s="30" t="inlineStr">
        <is>
          <t>Campanha de fim de ano · Bistrô 42</t>
        </is>
      </c>
      <c r="D543" s="28" t="inlineStr">
        <is>
          <t>Peças</t>
        </is>
      </c>
      <c r="E543" s="34" t="n">
        <v>2.5</v>
      </c>
      <c r="F543" s="25">
        <f>IF(OR(B543="",E543=""),"",E543*IFERROR(INDEX(Config!$D$11:$D$20,MATCH(B543,Config!$A$11:$A$20,0)),0))</f>
        <v/>
      </c>
      <c r="G543" s="24">
        <f>IF(A543="","",MONTH(A543))</f>
        <v/>
      </c>
      <c r="H543" s="24">
        <f>IF(A543="","",YEAR(A543))</f>
        <v/>
      </c>
      <c r="I543" s="30" t="inlineStr">
        <is>
          <t>Sim</t>
        </is>
      </c>
    </row>
    <row r="544">
      <c r="A544" s="33" t="n">
        <v>46275</v>
      </c>
      <c r="B544" s="30" t="inlineStr">
        <is>
          <t>Carla</t>
        </is>
      </c>
      <c r="C544" s="30" t="inlineStr">
        <is>
          <t>Site novo · Loja Verde</t>
        </is>
      </c>
      <c r="D544" s="28" t="inlineStr">
        <is>
          <t>Textos</t>
        </is>
      </c>
      <c r="E544" s="34" t="n">
        <v>1.5</v>
      </c>
      <c r="F544" s="25">
        <f>IF(OR(B544="",E544=""),"",E544*IFERROR(INDEX(Config!$D$11:$D$20,MATCH(B544,Config!$A$11:$A$20,0)),0))</f>
        <v/>
      </c>
      <c r="G544" s="24">
        <f>IF(A544="","",MONTH(A544))</f>
        <v/>
      </c>
      <c r="H544" s="24">
        <f>IF(A544="","",YEAR(A544))</f>
        <v/>
      </c>
      <c r="I544" s="30" t="inlineStr">
        <is>
          <t>Sim</t>
        </is>
      </c>
    </row>
    <row r="545">
      <c r="A545" s="33" t="n">
        <v>46275</v>
      </c>
      <c r="B545" s="30" t="inlineStr">
        <is>
          <t>Carla</t>
        </is>
      </c>
      <c r="C545" s="30" t="inlineStr">
        <is>
          <t>Comercial e propostas</t>
        </is>
      </c>
      <c r="D545" s="28" t="inlineStr">
        <is>
          <t>Reunião comercial</t>
        </is>
      </c>
      <c r="E545" s="34" t="n">
        <v>2.5</v>
      </c>
      <c r="F545" s="25">
        <f>IF(OR(B545="",E545=""),"",E545*IFERROR(INDEX(Config!$D$11:$D$20,MATCH(B545,Config!$A$11:$A$20,0)),0))</f>
        <v/>
      </c>
      <c r="G545" s="24">
        <f>IF(A545="","",MONTH(A545))</f>
        <v/>
      </c>
      <c r="H545" s="24">
        <f>IF(A545="","",YEAR(A545))</f>
        <v/>
      </c>
      <c r="I545" s="30" t="inlineStr">
        <is>
          <t>Não</t>
        </is>
      </c>
    </row>
    <row r="546">
      <c r="A546" s="33" t="n">
        <v>46275</v>
      </c>
      <c r="B546" s="30" t="inlineStr">
        <is>
          <t>Carla</t>
        </is>
      </c>
      <c r="C546" s="30" t="inlineStr">
        <is>
          <t>Gestão e reuniões</t>
        </is>
      </c>
      <c r="D546" s="28" t="inlineStr">
        <is>
          <t>Planejamento</t>
        </is>
      </c>
      <c r="E546" s="34" t="n">
        <v>1</v>
      </c>
      <c r="F546" s="25">
        <f>IF(OR(B546="",E546=""),"",E546*IFERROR(INDEX(Config!$D$11:$D$20,MATCH(B546,Config!$A$11:$A$20,0)),0))</f>
        <v/>
      </c>
      <c r="G546" s="24">
        <f>IF(A546="","",MONTH(A546))</f>
        <v/>
      </c>
      <c r="H546" s="24">
        <f>IF(A546="","",YEAR(A546))</f>
        <v/>
      </c>
      <c r="I546" s="30" t="inlineStr">
        <is>
          <t>Não</t>
        </is>
      </c>
    </row>
    <row r="547">
      <c r="A547" s="33" t="n">
        <v>46275</v>
      </c>
      <c r="B547" s="30" t="inlineStr">
        <is>
          <t>Diego</t>
        </is>
      </c>
      <c r="C547" s="30" t="inlineStr">
        <is>
          <t>Site novo · Loja Verde</t>
        </is>
      </c>
      <c r="D547" s="28" t="inlineStr">
        <is>
          <t>Layout</t>
        </is>
      </c>
      <c r="E547" s="34" t="n">
        <v>4</v>
      </c>
      <c r="F547" s="25">
        <f>IF(OR(B547="",E547=""),"",E547*IFERROR(INDEX(Config!$D$11:$D$20,MATCH(B547,Config!$A$11:$A$20,0)),0))</f>
        <v/>
      </c>
      <c r="G547" s="24">
        <f>IF(A547="","",MONTH(A547))</f>
        <v/>
      </c>
      <c r="H547" s="24">
        <f>IF(A547="","",YEAR(A547))</f>
        <v/>
      </c>
      <c r="I547" s="30" t="inlineStr">
        <is>
          <t>Sim</t>
        </is>
      </c>
    </row>
    <row r="548">
      <c r="A548" s="33" t="n">
        <v>46275</v>
      </c>
      <c r="B548" s="30" t="inlineStr">
        <is>
          <t>Diego</t>
        </is>
      </c>
      <c r="C548" s="30" t="inlineStr">
        <is>
          <t>Comercial e propostas</t>
        </is>
      </c>
      <c r="D548" s="28" t="inlineStr">
        <is>
          <t>Proposta</t>
        </is>
      </c>
      <c r="E548" s="34" t="n">
        <v>1</v>
      </c>
      <c r="F548" s="25">
        <f>IF(OR(B548="",E548=""),"",E548*IFERROR(INDEX(Config!$D$11:$D$20,MATCH(B548,Config!$A$11:$A$20,0)),0))</f>
        <v/>
      </c>
      <c r="G548" s="24">
        <f>IF(A548="","",MONTH(A548))</f>
        <v/>
      </c>
      <c r="H548" s="24">
        <f>IF(A548="","",YEAR(A548))</f>
        <v/>
      </c>
      <c r="I548" s="30" t="inlineStr">
        <is>
          <t>Não</t>
        </is>
      </c>
    </row>
    <row r="549">
      <c r="A549" s="33" t="n">
        <v>46275</v>
      </c>
      <c r="B549" s="30" t="inlineStr">
        <is>
          <t>Diego</t>
        </is>
      </c>
      <c r="C549" s="30" t="inlineStr">
        <is>
          <t>Gestão e reuniões</t>
        </is>
      </c>
      <c r="D549" s="28" t="inlineStr">
        <is>
          <t>Financeiro</t>
        </is>
      </c>
      <c r="E549" s="34" t="n">
        <v>2</v>
      </c>
      <c r="F549" s="25">
        <f>IF(OR(B549="",E549=""),"",E549*IFERROR(INDEX(Config!$D$11:$D$20,MATCH(B549,Config!$A$11:$A$20,0)),0))</f>
        <v/>
      </c>
      <c r="G549" s="24">
        <f>IF(A549="","",MONTH(A549))</f>
        <v/>
      </c>
      <c r="H549" s="24">
        <f>IF(A549="","",YEAR(A549))</f>
        <v/>
      </c>
      <c r="I549" s="30" t="inlineStr">
        <is>
          <t>Não</t>
        </is>
      </c>
    </row>
    <row r="550">
      <c r="A550" s="33" t="n">
        <v>46276</v>
      </c>
      <c r="B550" s="30" t="inlineStr">
        <is>
          <t>Ana</t>
        </is>
      </c>
      <c r="C550" s="30" t="inlineStr">
        <is>
          <t>Site novo · Loja Verde</t>
        </is>
      </c>
      <c r="D550" s="28" t="inlineStr">
        <is>
          <t>Wireframe</t>
        </is>
      </c>
      <c r="E550" s="34" t="n">
        <v>1.5</v>
      </c>
      <c r="F550" s="25">
        <f>IF(OR(B550="",E550=""),"",E550*IFERROR(INDEX(Config!$D$11:$D$20,MATCH(B550,Config!$A$11:$A$20,0)),0))</f>
        <v/>
      </c>
      <c r="G550" s="24">
        <f>IF(A550="","",MONTH(A550))</f>
        <v/>
      </c>
      <c r="H550" s="24">
        <f>IF(A550="","",YEAR(A550))</f>
        <v/>
      </c>
      <c r="I550" s="30" t="inlineStr">
        <is>
          <t>Sim</t>
        </is>
      </c>
    </row>
    <row r="551">
      <c r="A551" s="33" t="n">
        <v>46276</v>
      </c>
      <c r="B551" s="30" t="inlineStr">
        <is>
          <t>Ana</t>
        </is>
      </c>
      <c r="C551" s="30" t="inlineStr">
        <is>
          <t>Relatório anual · Horizonte</t>
        </is>
      </c>
      <c r="D551" s="28" t="inlineStr">
        <is>
          <t>Coleta de dados</t>
        </is>
      </c>
      <c r="E551" s="34" t="n">
        <v>2</v>
      </c>
      <c r="F551" s="25">
        <f>IF(OR(B551="",E551=""),"",E551*IFERROR(INDEX(Config!$D$11:$D$20,MATCH(B551,Config!$A$11:$A$20,0)),0))</f>
        <v/>
      </c>
      <c r="G551" s="24">
        <f>IF(A551="","",MONTH(A551))</f>
        <v/>
      </c>
      <c r="H551" s="24">
        <f>IF(A551="","",YEAR(A551))</f>
        <v/>
      </c>
      <c r="I551" s="30" t="inlineStr">
        <is>
          <t>Sim</t>
        </is>
      </c>
    </row>
    <row r="552">
      <c r="A552" s="33" t="n">
        <v>46276</v>
      </c>
      <c r="B552" s="30" t="inlineStr">
        <is>
          <t>Ana</t>
        </is>
      </c>
      <c r="C552" s="30" t="inlineStr">
        <is>
          <t>Comercial e propostas</t>
        </is>
      </c>
      <c r="D552" s="28" t="inlineStr">
        <is>
          <t>Proposta</t>
        </is>
      </c>
      <c r="E552" s="34" t="n">
        <v>1.5</v>
      </c>
      <c r="F552" s="25">
        <f>IF(OR(B552="",E552=""),"",E552*IFERROR(INDEX(Config!$D$11:$D$20,MATCH(B552,Config!$A$11:$A$20,0)),0))</f>
        <v/>
      </c>
      <c r="G552" s="24">
        <f>IF(A552="","",MONTH(A552))</f>
        <v/>
      </c>
      <c r="H552" s="24">
        <f>IF(A552="","",YEAR(A552))</f>
        <v/>
      </c>
      <c r="I552" s="30" t="inlineStr">
        <is>
          <t>Não</t>
        </is>
      </c>
    </row>
    <row r="553">
      <c r="A553" s="33" t="n">
        <v>46276</v>
      </c>
      <c r="B553" s="30" t="inlineStr">
        <is>
          <t>Ana</t>
        </is>
      </c>
      <c r="C553" s="30" t="inlineStr">
        <is>
          <t>Gestão e reuniões</t>
        </is>
      </c>
      <c r="D553" s="28" t="inlineStr">
        <is>
          <t>Semanal</t>
        </is>
      </c>
      <c r="E553" s="34" t="n">
        <v>2</v>
      </c>
      <c r="F553" s="25">
        <f>IF(OR(B553="",E553=""),"",E553*IFERROR(INDEX(Config!$D$11:$D$20,MATCH(B553,Config!$A$11:$A$20,0)),0))</f>
        <v/>
      </c>
      <c r="G553" s="24">
        <f>IF(A553="","",MONTH(A553))</f>
        <v/>
      </c>
      <c r="H553" s="24">
        <f>IF(A553="","",YEAR(A553))</f>
        <v/>
      </c>
      <c r="I553" s="30" t="inlineStr">
        <is>
          <t>Não</t>
        </is>
      </c>
    </row>
    <row r="554">
      <c r="A554" s="33" t="n">
        <v>46276</v>
      </c>
      <c r="B554" s="30" t="inlineStr">
        <is>
          <t>Bruno</t>
        </is>
      </c>
      <c r="C554" s="30" t="inlineStr">
        <is>
          <t>Site novo · Loja Verde</t>
        </is>
      </c>
      <c r="D554" s="28" t="inlineStr">
        <is>
          <t>Textos</t>
        </is>
      </c>
      <c r="E554" s="34" t="n">
        <v>3.5</v>
      </c>
      <c r="F554" s="25">
        <f>IF(OR(B554="",E554=""),"",E554*IFERROR(INDEX(Config!$D$11:$D$20,MATCH(B554,Config!$A$11:$A$20,0)),0))</f>
        <v/>
      </c>
      <c r="G554" s="24">
        <f>IF(A554="","",MONTH(A554))</f>
        <v/>
      </c>
      <c r="H554" s="24">
        <f>IF(A554="","",YEAR(A554))</f>
        <v/>
      </c>
      <c r="I554" s="30" t="inlineStr">
        <is>
          <t>Sim</t>
        </is>
      </c>
    </row>
    <row r="555">
      <c r="A555" s="33" t="n">
        <v>46276</v>
      </c>
      <c r="B555" s="30" t="inlineStr">
        <is>
          <t>Bruno</t>
        </is>
      </c>
      <c r="C555" s="30" t="inlineStr">
        <is>
          <t>Campanha de fim de ano · Bistrô 42</t>
        </is>
      </c>
      <c r="D555" s="28" t="inlineStr">
        <is>
          <t>Reunião com cliente</t>
        </is>
      </c>
      <c r="E555" s="34" t="n">
        <v>2</v>
      </c>
      <c r="F555" s="25">
        <f>IF(OR(B555="",E555=""),"",E555*IFERROR(INDEX(Config!$D$11:$D$20,MATCH(B555,Config!$A$11:$A$20,0)),0))</f>
        <v/>
      </c>
      <c r="G555" s="24">
        <f>IF(A555="","",MONTH(A555))</f>
        <v/>
      </c>
      <c r="H555" s="24">
        <f>IF(A555="","",YEAR(A555))</f>
        <v/>
      </c>
      <c r="I555" s="30" t="inlineStr">
        <is>
          <t>Sim</t>
        </is>
      </c>
    </row>
    <row r="556">
      <c r="A556" s="33" t="n">
        <v>46276</v>
      </c>
      <c r="B556" s="30" t="inlineStr">
        <is>
          <t>Bruno</t>
        </is>
      </c>
      <c r="C556" s="30" t="inlineStr">
        <is>
          <t>Gestão e reuniões</t>
        </is>
      </c>
      <c r="D556" s="28" t="inlineStr">
        <is>
          <t>Semanal</t>
        </is>
      </c>
      <c r="E556" s="34" t="n">
        <v>1</v>
      </c>
      <c r="F556" s="25">
        <f>IF(OR(B556="",E556=""),"",E556*IFERROR(INDEX(Config!$D$11:$D$20,MATCH(B556,Config!$A$11:$A$20,0)),0))</f>
        <v/>
      </c>
      <c r="G556" s="24">
        <f>IF(A556="","",MONTH(A556))</f>
        <v/>
      </c>
      <c r="H556" s="24">
        <f>IF(A556="","",YEAR(A556))</f>
        <v/>
      </c>
      <c r="I556" s="30" t="inlineStr">
        <is>
          <t>Não</t>
        </is>
      </c>
    </row>
    <row r="557">
      <c r="A557" s="33" t="n">
        <v>46276</v>
      </c>
      <c r="B557" s="30" t="inlineStr">
        <is>
          <t>Carla</t>
        </is>
      </c>
      <c r="C557" s="30" t="inlineStr">
        <is>
          <t>Campanha de fim de ano · Bistrô 42</t>
        </is>
      </c>
      <c r="D557" s="28" t="inlineStr">
        <is>
          <t>Peças</t>
        </is>
      </c>
      <c r="E557" s="34" t="n">
        <v>2.5</v>
      </c>
      <c r="F557" s="25">
        <f>IF(OR(B557="",E557=""),"",E557*IFERROR(INDEX(Config!$D$11:$D$20,MATCH(B557,Config!$A$11:$A$20,0)),0))</f>
        <v/>
      </c>
      <c r="G557" s="24">
        <f>IF(A557="","",MONTH(A557))</f>
        <v/>
      </c>
      <c r="H557" s="24">
        <f>IF(A557="","",YEAR(A557))</f>
        <v/>
      </c>
      <c r="I557" s="30" t="inlineStr">
        <is>
          <t>Sim</t>
        </is>
      </c>
    </row>
    <row r="558">
      <c r="A558" s="33" t="n">
        <v>46276</v>
      </c>
      <c r="B558" s="30" t="inlineStr">
        <is>
          <t>Carla</t>
        </is>
      </c>
      <c r="C558" s="30" t="inlineStr">
        <is>
          <t>Site novo · Loja Verde</t>
        </is>
      </c>
      <c r="D558" s="28" t="inlineStr">
        <is>
          <t>Textos</t>
        </is>
      </c>
      <c r="E558" s="34" t="n">
        <v>1</v>
      </c>
      <c r="F558" s="25">
        <f>IF(OR(B558="",E558=""),"",E558*IFERROR(INDEX(Config!$D$11:$D$20,MATCH(B558,Config!$A$11:$A$20,0)),0))</f>
        <v/>
      </c>
      <c r="G558" s="24">
        <f>IF(A558="","",MONTH(A558))</f>
        <v/>
      </c>
      <c r="H558" s="24">
        <f>IF(A558="","",YEAR(A558))</f>
        <v/>
      </c>
      <c r="I558" s="30" t="inlineStr">
        <is>
          <t>Sim</t>
        </is>
      </c>
    </row>
    <row r="559">
      <c r="A559" s="33" t="n">
        <v>46276</v>
      </c>
      <c r="B559" s="30" t="inlineStr">
        <is>
          <t>Carla</t>
        </is>
      </c>
      <c r="C559" s="30" t="inlineStr">
        <is>
          <t>Comercial e propostas</t>
        </is>
      </c>
      <c r="D559" s="28" t="inlineStr">
        <is>
          <t>Proposta</t>
        </is>
      </c>
      <c r="E559" s="34" t="n">
        <v>2.5</v>
      </c>
      <c r="F559" s="25">
        <f>IF(OR(B559="",E559=""),"",E559*IFERROR(INDEX(Config!$D$11:$D$20,MATCH(B559,Config!$A$11:$A$20,0)),0))</f>
        <v/>
      </c>
      <c r="G559" s="24">
        <f>IF(A559="","",MONTH(A559))</f>
        <v/>
      </c>
      <c r="H559" s="24">
        <f>IF(A559="","",YEAR(A559))</f>
        <v/>
      </c>
      <c r="I559" s="30" t="inlineStr">
        <is>
          <t>Não</t>
        </is>
      </c>
    </row>
    <row r="560">
      <c r="A560" s="33" t="n">
        <v>46276</v>
      </c>
      <c r="B560" s="30" t="inlineStr">
        <is>
          <t>Carla</t>
        </is>
      </c>
      <c r="C560" s="30" t="inlineStr">
        <is>
          <t>Gestão e reuniões</t>
        </is>
      </c>
      <c r="D560" s="28" t="inlineStr">
        <is>
          <t>Semanal</t>
        </is>
      </c>
      <c r="E560" s="34" t="n">
        <v>0.5</v>
      </c>
      <c r="F560" s="25">
        <f>IF(OR(B560="",E560=""),"",E560*IFERROR(INDEX(Config!$D$11:$D$20,MATCH(B560,Config!$A$11:$A$20,0)),0))</f>
        <v/>
      </c>
      <c r="G560" s="24">
        <f>IF(A560="","",MONTH(A560))</f>
        <v/>
      </c>
      <c r="H560" s="24">
        <f>IF(A560="","",YEAR(A560))</f>
        <v/>
      </c>
      <c r="I560" s="30" t="inlineStr">
        <is>
          <t>Não</t>
        </is>
      </c>
    </row>
    <row r="561">
      <c r="A561" s="33" t="n">
        <v>46276</v>
      </c>
      <c r="B561" s="30" t="inlineStr">
        <is>
          <t>Diego</t>
        </is>
      </c>
      <c r="C561" s="30" t="inlineStr">
        <is>
          <t>Site novo · Loja Verde</t>
        </is>
      </c>
      <c r="D561" s="28" t="inlineStr">
        <is>
          <t>Reunião com cliente</t>
        </is>
      </c>
      <c r="E561" s="34" t="n">
        <v>4</v>
      </c>
      <c r="F561" s="25">
        <f>IF(OR(B561="",E561=""),"",E561*IFERROR(INDEX(Config!$D$11:$D$20,MATCH(B561,Config!$A$11:$A$20,0)),0))</f>
        <v/>
      </c>
      <c r="G561" s="24">
        <f>IF(A561="","",MONTH(A561))</f>
        <v/>
      </c>
      <c r="H561" s="24">
        <f>IF(A561="","",YEAR(A561))</f>
        <v/>
      </c>
      <c r="I561" s="30" t="inlineStr">
        <is>
          <t>Sim</t>
        </is>
      </c>
    </row>
    <row r="562">
      <c r="A562" s="33" t="n">
        <v>46276</v>
      </c>
      <c r="B562" s="30" t="inlineStr">
        <is>
          <t>Diego</t>
        </is>
      </c>
      <c r="C562" s="30" t="inlineStr">
        <is>
          <t>Comercial e propostas</t>
        </is>
      </c>
      <c r="D562" s="28" t="inlineStr">
        <is>
          <t>Reunião comercial</t>
        </is>
      </c>
      <c r="E562" s="34" t="n">
        <v>0.5</v>
      </c>
      <c r="F562" s="25">
        <f>IF(OR(B562="",E562=""),"",E562*IFERROR(INDEX(Config!$D$11:$D$20,MATCH(B562,Config!$A$11:$A$20,0)),0))</f>
        <v/>
      </c>
      <c r="G562" s="24">
        <f>IF(A562="","",MONTH(A562))</f>
        <v/>
      </c>
      <c r="H562" s="24">
        <f>IF(A562="","",YEAR(A562))</f>
        <v/>
      </c>
      <c r="I562" s="30" t="inlineStr">
        <is>
          <t>Não</t>
        </is>
      </c>
    </row>
    <row r="563">
      <c r="A563" s="33" t="n">
        <v>46276</v>
      </c>
      <c r="B563" s="30" t="inlineStr">
        <is>
          <t>Diego</t>
        </is>
      </c>
      <c r="C563" s="30" t="inlineStr">
        <is>
          <t>Gestão e reuniões</t>
        </is>
      </c>
      <c r="D563" s="28" t="inlineStr">
        <is>
          <t>Semanal</t>
        </is>
      </c>
      <c r="E563" s="34" t="n">
        <v>1.5</v>
      </c>
      <c r="F563" s="25">
        <f>IF(OR(B563="",E563=""),"",E563*IFERROR(INDEX(Config!$D$11:$D$20,MATCH(B563,Config!$A$11:$A$20,0)),0))</f>
        <v/>
      </c>
      <c r="G563" s="24">
        <f>IF(A563="","",MONTH(A563))</f>
        <v/>
      </c>
      <c r="H563" s="24">
        <f>IF(A563="","",YEAR(A563))</f>
        <v/>
      </c>
      <c r="I563" s="30" t="inlineStr">
        <is>
          <t>Não</t>
        </is>
      </c>
    </row>
    <row r="564">
      <c r="A564" s="33" t="n"/>
      <c r="B564" s="30" t="n"/>
      <c r="C564" s="30" t="n"/>
      <c r="D564" s="28" t="n"/>
      <c r="E564" s="34" t="n"/>
      <c r="F564" s="25">
        <f>IF(OR(B564="",E564=""),"",E564*IFERROR(INDEX(Config!$D$11:$D$20,MATCH(B564,Config!$A$11:$A$20,0)),0))</f>
        <v/>
      </c>
      <c r="G564" s="24">
        <f>IF(A564="","",MONTH(A564))</f>
        <v/>
      </c>
      <c r="H564" s="24">
        <f>IF(A564="","",YEAR(A564))</f>
        <v/>
      </c>
      <c r="I564" s="30" t="n"/>
    </row>
    <row r="565">
      <c r="A565" s="33" t="n"/>
      <c r="B565" s="30" t="n"/>
      <c r="C565" s="30" t="n"/>
      <c r="D565" s="28" t="n"/>
      <c r="E565" s="34" t="n"/>
      <c r="F565" s="25">
        <f>IF(OR(B565="",E565=""),"",E565*IFERROR(INDEX(Config!$D$11:$D$20,MATCH(B565,Config!$A$11:$A$20,0)),0))</f>
        <v/>
      </c>
      <c r="G565" s="24">
        <f>IF(A565="","",MONTH(A565))</f>
        <v/>
      </c>
      <c r="H565" s="24">
        <f>IF(A565="","",YEAR(A565))</f>
        <v/>
      </c>
      <c r="I565" s="30" t="n"/>
    </row>
    <row r="566">
      <c r="A566" s="33" t="n"/>
      <c r="B566" s="30" t="n"/>
      <c r="C566" s="30" t="n"/>
      <c r="D566" s="28" t="n"/>
      <c r="E566" s="34" t="n"/>
      <c r="F566" s="25">
        <f>IF(OR(B566="",E566=""),"",E566*IFERROR(INDEX(Config!$D$11:$D$20,MATCH(B566,Config!$A$11:$A$20,0)),0))</f>
        <v/>
      </c>
      <c r="G566" s="24">
        <f>IF(A566="","",MONTH(A566))</f>
        <v/>
      </c>
      <c r="H566" s="24">
        <f>IF(A566="","",YEAR(A566))</f>
        <v/>
      </c>
      <c r="I566" s="30" t="n"/>
    </row>
    <row r="567">
      <c r="A567" s="33" t="n"/>
      <c r="B567" s="30" t="n"/>
      <c r="C567" s="30" t="n"/>
      <c r="D567" s="28" t="n"/>
      <c r="E567" s="34" t="n"/>
      <c r="F567" s="25">
        <f>IF(OR(B567="",E567=""),"",E567*IFERROR(INDEX(Config!$D$11:$D$20,MATCH(B567,Config!$A$11:$A$20,0)),0))</f>
        <v/>
      </c>
      <c r="G567" s="24">
        <f>IF(A567="","",MONTH(A567))</f>
        <v/>
      </c>
      <c r="H567" s="24">
        <f>IF(A567="","",YEAR(A567))</f>
        <v/>
      </c>
      <c r="I567" s="30" t="n"/>
    </row>
    <row r="568">
      <c r="A568" s="33" t="n"/>
      <c r="B568" s="30" t="n"/>
      <c r="C568" s="30" t="n"/>
      <c r="D568" s="28" t="n"/>
      <c r="E568" s="34" t="n"/>
      <c r="F568" s="25">
        <f>IF(OR(B568="",E568=""),"",E568*IFERROR(INDEX(Config!$D$11:$D$20,MATCH(B568,Config!$A$11:$A$20,0)),0))</f>
        <v/>
      </c>
      <c r="G568" s="24">
        <f>IF(A568="","",MONTH(A568))</f>
        <v/>
      </c>
      <c r="H568" s="24">
        <f>IF(A568="","",YEAR(A568))</f>
        <v/>
      </c>
      <c r="I568" s="30" t="n"/>
    </row>
    <row r="569">
      <c r="A569" s="33" t="n"/>
      <c r="B569" s="30" t="n"/>
      <c r="C569" s="30" t="n"/>
      <c r="D569" s="28" t="n"/>
      <c r="E569" s="34" t="n"/>
      <c r="F569" s="25">
        <f>IF(OR(B569="",E569=""),"",E569*IFERROR(INDEX(Config!$D$11:$D$20,MATCH(B569,Config!$A$11:$A$20,0)),0))</f>
        <v/>
      </c>
      <c r="G569" s="24">
        <f>IF(A569="","",MONTH(A569))</f>
        <v/>
      </c>
      <c r="H569" s="24">
        <f>IF(A569="","",YEAR(A569))</f>
        <v/>
      </c>
      <c r="I569" s="30" t="n"/>
    </row>
    <row r="570">
      <c r="A570" s="33" t="n"/>
      <c r="B570" s="30" t="n"/>
      <c r="C570" s="30" t="n"/>
      <c r="D570" s="28" t="n"/>
      <c r="E570" s="34" t="n"/>
      <c r="F570" s="25">
        <f>IF(OR(B570="",E570=""),"",E570*IFERROR(INDEX(Config!$D$11:$D$20,MATCH(B570,Config!$A$11:$A$20,0)),0))</f>
        <v/>
      </c>
      <c r="G570" s="24">
        <f>IF(A570="","",MONTH(A570))</f>
        <v/>
      </c>
      <c r="H570" s="24">
        <f>IF(A570="","",YEAR(A570))</f>
        <v/>
      </c>
      <c r="I570" s="30" t="n"/>
    </row>
    <row r="571">
      <c r="A571" s="33" t="n"/>
      <c r="B571" s="30" t="n"/>
      <c r="C571" s="30" t="n"/>
      <c r="D571" s="28" t="n"/>
      <c r="E571" s="34" t="n"/>
      <c r="F571" s="25">
        <f>IF(OR(B571="",E571=""),"",E571*IFERROR(INDEX(Config!$D$11:$D$20,MATCH(B571,Config!$A$11:$A$20,0)),0))</f>
        <v/>
      </c>
      <c r="G571" s="24">
        <f>IF(A571="","",MONTH(A571))</f>
        <v/>
      </c>
      <c r="H571" s="24">
        <f>IF(A571="","",YEAR(A571))</f>
        <v/>
      </c>
      <c r="I571" s="30" t="n"/>
    </row>
    <row r="572">
      <c r="A572" s="33" t="n"/>
      <c r="B572" s="30" t="n"/>
      <c r="C572" s="30" t="n"/>
      <c r="D572" s="28" t="n"/>
      <c r="E572" s="34" t="n"/>
      <c r="F572" s="25">
        <f>IF(OR(B572="",E572=""),"",E572*IFERROR(INDEX(Config!$D$11:$D$20,MATCH(B572,Config!$A$11:$A$20,0)),0))</f>
        <v/>
      </c>
      <c r="G572" s="24">
        <f>IF(A572="","",MONTH(A572))</f>
        <v/>
      </c>
      <c r="H572" s="24">
        <f>IF(A572="","",YEAR(A572))</f>
        <v/>
      </c>
      <c r="I572" s="30" t="n"/>
    </row>
    <row r="573">
      <c r="A573" s="33" t="n"/>
      <c r="B573" s="30" t="n"/>
      <c r="C573" s="30" t="n"/>
      <c r="D573" s="28" t="n"/>
      <c r="E573" s="34" t="n"/>
      <c r="F573" s="25">
        <f>IF(OR(B573="",E573=""),"",E573*IFERROR(INDEX(Config!$D$11:$D$20,MATCH(B573,Config!$A$11:$A$20,0)),0))</f>
        <v/>
      </c>
      <c r="G573" s="24">
        <f>IF(A573="","",MONTH(A573))</f>
        <v/>
      </c>
      <c r="H573" s="24">
        <f>IF(A573="","",YEAR(A573))</f>
        <v/>
      </c>
      <c r="I573" s="30" t="n"/>
    </row>
    <row r="574">
      <c r="A574" s="33" t="n"/>
      <c r="B574" s="30" t="n"/>
      <c r="C574" s="30" t="n"/>
      <c r="D574" s="28" t="n"/>
      <c r="E574" s="34" t="n"/>
      <c r="F574" s="25">
        <f>IF(OR(B574="",E574=""),"",E574*IFERROR(INDEX(Config!$D$11:$D$20,MATCH(B574,Config!$A$11:$A$20,0)),0))</f>
        <v/>
      </c>
      <c r="G574" s="24">
        <f>IF(A574="","",MONTH(A574))</f>
        <v/>
      </c>
      <c r="H574" s="24">
        <f>IF(A574="","",YEAR(A574))</f>
        <v/>
      </c>
      <c r="I574" s="30" t="n"/>
    </row>
    <row r="575">
      <c r="A575" s="33" t="n"/>
      <c r="B575" s="30" t="n"/>
      <c r="C575" s="30" t="n"/>
      <c r="D575" s="28" t="n"/>
      <c r="E575" s="34" t="n"/>
      <c r="F575" s="25">
        <f>IF(OR(B575="",E575=""),"",E575*IFERROR(INDEX(Config!$D$11:$D$20,MATCH(B575,Config!$A$11:$A$20,0)),0))</f>
        <v/>
      </c>
      <c r="G575" s="24">
        <f>IF(A575="","",MONTH(A575))</f>
        <v/>
      </c>
      <c r="H575" s="24">
        <f>IF(A575="","",YEAR(A575))</f>
        <v/>
      </c>
      <c r="I575" s="30" t="n"/>
    </row>
    <row r="576">
      <c r="A576" s="33" t="n"/>
      <c r="B576" s="30" t="n"/>
      <c r="C576" s="30" t="n"/>
      <c r="D576" s="28" t="n"/>
      <c r="E576" s="34" t="n"/>
      <c r="F576" s="25">
        <f>IF(OR(B576="",E576=""),"",E576*IFERROR(INDEX(Config!$D$11:$D$20,MATCH(B576,Config!$A$11:$A$20,0)),0))</f>
        <v/>
      </c>
      <c r="G576" s="24">
        <f>IF(A576="","",MONTH(A576))</f>
        <v/>
      </c>
      <c r="H576" s="24">
        <f>IF(A576="","",YEAR(A576))</f>
        <v/>
      </c>
      <c r="I576" s="30" t="n"/>
    </row>
    <row r="577">
      <c r="A577" s="33" t="n"/>
      <c r="B577" s="30" t="n"/>
      <c r="C577" s="30" t="n"/>
      <c r="D577" s="28" t="n"/>
      <c r="E577" s="34" t="n"/>
      <c r="F577" s="25">
        <f>IF(OR(B577="",E577=""),"",E577*IFERROR(INDEX(Config!$D$11:$D$20,MATCH(B577,Config!$A$11:$A$20,0)),0))</f>
        <v/>
      </c>
      <c r="G577" s="24">
        <f>IF(A577="","",MONTH(A577))</f>
        <v/>
      </c>
      <c r="H577" s="24">
        <f>IF(A577="","",YEAR(A577))</f>
        <v/>
      </c>
      <c r="I577" s="30" t="n"/>
    </row>
    <row r="578">
      <c r="A578" s="33" t="n"/>
      <c r="B578" s="30" t="n"/>
      <c r="C578" s="30" t="n"/>
      <c r="D578" s="28" t="n"/>
      <c r="E578" s="34" t="n"/>
      <c r="F578" s="25">
        <f>IF(OR(B578="",E578=""),"",E578*IFERROR(INDEX(Config!$D$11:$D$20,MATCH(B578,Config!$A$11:$A$20,0)),0))</f>
        <v/>
      </c>
      <c r="G578" s="24">
        <f>IF(A578="","",MONTH(A578))</f>
        <v/>
      </c>
      <c r="H578" s="24">
        <f>IF(A578="","",YEAR(A578))</f>
        <v/>
      </c>
      <c r="I578" s="30" t="n"/>
    </row>
    <row r="579">
      <c r="A579" s="33" t="n"/>
      <c r="B579" s="30" t="n"/>
      <c r="C579" s="30" t="n"/>
      <c r="D579" s="28" t="n"/>
      <c r="E579" s="34" t="n"/>
      <c r="F579" s="25">
        <f>IF(OR(B579="",E579=""),"",E579*IFERROR(INDEX(Config!$D$11:$D$20,MATCH(B579,Config!$A$11:$A$20,0)),0))</f>
        <v/>
      </c>
      <c r="G579" s="24">
        <f>IF(A579="","",MONTH(A579))</f>
        <v/>
      </c>
      <c r="H579" s="24">
        <f>IF(A579="","",YEAR(A579))</f>
        <v/>
      </c>
      <c r="I579" s="30" t="n"/>
    </row>
    <row r="580">
      <c r="A580" s="33" t="n"/>
      <c r="B580" s="30" t="n"/>
      <c r="C580" s="30" t="n"/>
      <c r="D580" s="28" t="n"/>
      <c r="E580" s="34" t="n"/>
      <c r="F580" s="25">
        <f>IF(OR(B580="",E580=""),"",E580*IFERROR(INDEX(Config!$D$11:$D$20,MATCH(B580,Config!$A$11:$A$20,0)),0))</f>
        <v/>
      </c>
      <c r="G580" s="24">
        <f>IF(A580="","",MONTH(A580))</f>
        <v/>
      </c>
      <c r="H580" s="24">
        <f>IF(A580="","",YEAR(A580))</f>
        <v/>
      </c>
      <c r="I580" s="30" t="n"/>
    </row>
    <row r="581">
      <c r="A581" s="33" t="n"/>
      <c r="B581" s="30" t="n"/>
      <c r="C581" s="30" t="n"/>
      <c r="D581" s="28" t="n"/>
      <c r="E581" s="34" t="n"/>
      <c r="F581" s="25">
        <f>IF(OR(B581="",E581=""),"",E581*IFERROR(INDEX(Config!$D$11:$D$20,MATCH(B581,Config!$A$11:$A$20,0)),0))</f>
        <v/>
      </c>
      <c r="G581" s="24">
        <f>IF(A581="","",MONTH(A581))</f>
        <v/>
      </c>
      <c r="H581" s="24">
        <f>IF(A581="","",YEAR(A581))</f>
        <v/>
      </c>
      <c r="I581" s="30" t="n"/>
    </row>
    <row r="582">
      <c r="A582" s="33" t="n"/>
      <c r="B582" s="30" t="n"/>
      <c r="C582" s="30" t="n"/>
      <c r="D582" s="28" t="n"/>
      <c r="E582" s="34" t="n"/>
      <c r="F582" s="25">
        <f>IF(OR(B582="",E582=""),"",E582*IFERROR(INDEX(Config!$D$11:$D$20,MATCH(B582,Config!$A$11:$A$20,0)),0))</f>
        <v/>
      </c>
      <c r="G582" s="24">
        <f>IF(A582="","",MONTH(A582))</f>
        <v/>
      </c>
      <c r="H582" s="24">
        <f>IF(A582="","",YEAR(A582))</f>
        <v/>
      </c>
      <c r="I582" s="30" t="n"/>
    </row>
    <row r="583">
      <c r="A583" s="33" t="n"/>
      <c r="B583" s="30" t="n"/>
      <c r="C583" s="30" t="n"/>
      <c r="D583" s="28" t="n"/>
      <c r="E583" s="34" t="n"/>
      <c r="F583" s="25">
        <f>IF(OR(B583="",E583=""),"",E583*IFERROR(INDEX(Config!$D$11:$D$20,MATCH(B583,Config!$A$11:$A$20,0)),0))</f>
        <v/>
      </c>
      <c r="G583" s="24">
        <f>IF(A583="","",MONTH(A583))</f>
        <v/>
      </c>
      <c r="H583" s="24">
        <f>IF(A583="","",YEAR(A583))</f>
        <v/>
      </c>
      <c r="I583" s="30" t="n"/>
    </row>
    <row r="584">
      <c r="A584" s="33" t="n"/>
      <c r="B584" s="30" t="n"/>
      <c r="C584" s="30" t="n"/>
      <c r="D584" s="28" t="n"/>
      <c r="E584" s="34" t="n"/>
      <c r="F584" s="25">
        <f>IF(OR(B584="",E584=""),"",E584*IFERROR(INDEX(Config!$D$11:$D$20,MATCH(B584,Config!$A$11:$A$20,0)),0))</f>
        <v/>
      </c>
      <c r="G584" s="24">
        <f>IF(A584="","",MONTH(A584))</f>
        <v/>
      </c>
      <c r="H584" s="24">
        <f>IF(A584="","",YEAR(A584))</f>
        <v/>
      </c>
      <c r="I584" s="30" t="n"/>
    </row>
    <row r="585">
      <c r="A585" s="33" t="n"/>
      <c r="B585" s="30" t="n"/>
      <c r="C585" s="30" t="n"/>
      <c r="D585" s="28" t="n"/>
      <c r="E585" s="34" t="n"/>
      <c r="F585" s="25">
        <f>IF(OR(B585="",E585=""),"",E585*IFERROR(INDEX(Config!$D$11:$D$20,MATCH(B585,Config!$A$11:$A$20,0)),0))</f>
        <v/>
      </c>
      <c r="G585" s="24">
        <f>IF(A585="","",MONTH(A585))</f>
        <v/>
      </c>
      <c r="H585" s="24">
        <f>IF(A585="","",YEAR(A585))</f>
        <v/>
      </c>
      <c r="I585" s="30" t="n"/>
    </row>
    <row r="586">
      <c r="A586" s="33" t="n"/>
      <c r="B586" s="30" t="n"/>
      <c r="C586" s="30" t="n"/>
      <c r="D586" s="28" t="n"/>
      <c r="E586" s="34" t="n"/>
      <c r="F586" s="25">
        <f>IF(OR(B586="",E586=""),"",E586*IFERROR(INDEX(Config!$D$11:$D$20,MATCH(B586,Config!$A$11:$A$20,0)),0))</f>
        <v/>
      </c>
      <c r="G586" s="24">
        <f>IF(A586="","",MONTH(A586))</f>
        <v/>
      </c>
      <c r="H586" s="24">
        <f>IF(A586="","",YEAR(A586))</f>
        <v/>
      </c>
      <c r="I586" s="30" t="n"/>
    </row>
    <row r="587">
      <c r="A587" s="33" t="n"/>
      <c r="B587" s="30" t="n"/>
      <c r="C587" s="30" t="n"/>
      <c r="D587" s="28" t="n"/>
      <c r="E587" s="34" t="n"/>
      <c r="F587" s="25">
        <f>IF(OR(B587="",E587=""),"",E587*IFERROR(INDEX(Config!$D$11:$D$20,MATCH(B587,Config!$A$11:$A$20,0)),0))</f>
        <v/>
      </c>
      <c r="G587" s="24">
        <f>IF(A587="","",MONTH(A587))</f>
        <v/>
      </c>
      <c r="H587" s="24">
        <f>IF(A587="","",YEAR(A587))</f>
        <v/>
      </c>
      <c r="I587" s="30" t="n"/>
    </row>
    <row r="588">
      <c r="A588" s="33" t="n"/>
      <c r="B588" s="30" t="n"/>
      <c r="C588" s="30" t="n"/>
      <c r="D588" s="28" t="n"/>
      <c r="E588" s="34" t="n"/>
      <c r="F588" s="25">
        <f>IF(OR(B588="",E588=""),"",E588*IFERROR(INDEX(Config!$D$11:$D$20,MATCH(B588,Config!$A$11:$A$20,0)),0))</f>
        <v/>
      </c>
      <c r="G588" s="24">
        <f>IF(A588="","",MONTH(A588))</f>
        <v/>
      </c>
      <c r="H588" s="24">
        <f>IF(A588="","",YEAR(A588))</f>
        <v/>
      </c>
      <c r="I588" s="30" t="n"/>
    </row>
    <row r="589">
      <c r="A589" s="33" t="n"/>
      <c r="B589" s="30" t="n"/>
      <c r="C589" s="30" t="n"/>
      <c r="D589" s="28" t="n"/>
      <c r="E589" s="34" t="n"/>
      <c r="F589" s="25">
        <f>IF(OR(B589="",E589=""),"",E589*IFERROR(INDEX(Config!$D$11:$D$20,MATCH(B589,Config!$A$11:$A$20,0)),0))</f>
        <v/>
      </c>
      <c r="G589" s="24">
        <f>IF(A589="","",MONTH(A589))</f>
        <v/>
      </c>
      <c r="H589" s="24">
        <f>IF(A589="","",YEAR(A589))</f>
        <v/>
      </c>
      <c r="I589" s="30" t="n"/>
    </row>
    <row r="590">
      <c r="A590" s="33" t="n"/>
      <c r="B590" s="30" t="n"/>
      <c r="C590" s="30" t="n"/>
      <c r="D590" s="28" t="n"/>
      <c r="E590" s="34" t="n"/>
      <c r="F590" s="25">
        <f>IF(OR(B590="",E590=""),"",E590*IFERROR(INDEX(Config!$D$11:$D$20,MATCH(B590,Config!$A$11:$A$20,0)),0))</f>
        <v/>
      </c>
      <c r="G590" s="24">
        <f>IF(A590="","",MONTH(A590))</f>
        <v/>
      </c>
      <c r="H590" s="24">
        <f>IF(A590="","",YEAR(A590))</f>
        <v/>
      </c>
      <c r="I590" s="30" t="n"/>
    </row>
    <row r="591">
      <c r="A591" s="33" t="n"/>
      <c r="B591" s="30" t="n"/>
      <c r="C591" s="30" t="n"/>
      <c r="D591" s="28" t="n"/>
      <c r="E591" s="34" t="n"/>
      <c r="F591" s="25">
        <f>IF(OR(B591="",E591=""),"",E591*IFERROR(INDEX(Config!$D$11:$D$20,MATCH(B591,Config!$A$11:$A$20,0)),0))</f>
        <v/>
      </c>
      <c r="G591" s="24">
        <f>IF(A591="","",MONTH(A591))</f>
        <v/>
      </c>
      <c r="H591" s="24">
        <f>IF(A591="","",YEAR(A591))</f>
        <v/>
      </c>
      <c r="I591" s="30" t="n"/>
    </row>
    <row r="592">
      <c r="A592" s="33" t="n"/>
      <c r="B592" s="30" t="n"/>
      <c r="C592" s="30" t="n"/>
      <c r="D592" s="28" t="n"/>
      <c r="E592" s="34" t="n"/>
      <c r="F592" s="25">
        <f>IF(OR(B592="",E592=""),"",E592*IFERROR(INDEX(Config!$D$11:$D$20,MATCH(B592,Config!$A$11:$A$20,0)),0))</f>
        <v/>
      </c>
      <c r="G592" s="24">
        <f>IF(A592="","",MONTH(A592))</f>
        <v/>
      </c>
      <c r="H592" s="24">
        <f>IF(A592="","",YEAR(A592))</f>
        <v/>
      </c>
      <c r="I592" s="30" t="n"/>
    </row>
    <row r="593">
      <c r="A593" s="33" t="n"/>
      <c r="B593" s="30" t="n"/>
      <c r="C593" s="30" t="n"/>
      <c r="D593" s="28" t="n"/>
      <c r="E593" s="34" t="n"/>
      <c r="F593" s="25">
        <f>IF(OR(B593="",E593=""),"",E593*IFERROR(INDEX(Config!$D$11:$D$20,MATCH(B593,Config!$A$11:$A$20,0)),0))</f>
        <v/>
      </c>
      <c r="G593" s="24">
        <f>IF(A593="","",MONTH(A593))</f>
        <v/>
      </c>
      <c r="H593" s="24">
        <f>IF(A593="","",YEAR(A593))</f>
        <v/>
      </c>
      <c r="I593" s="30" t="n"/>
    </row>
    <row r="594">
      <c r="A594" s="33" t="n"/>
      <c r="B594" s="30" t="n"/>
      <c r="C594" s="30" t="n"/>
      <c r="D594" s="28" t="n"/>
      <c r="E594" s="34" t="n"/>
      <c r="F594" s="25">
        <f>IF(OR(B594="",E594=""),"",E594*IFERROR(INDEX(Config!$D$11:$D$20,MATCH(B594,Config!$A$11:$A$20,0)),0))</f>
        <v/>
      </c>
      <c r="G594" s="24">
        <f>IF(A594="","",MONTH(A594))</f>
        <v/>
      </c>
      <c r="H594" s="24">
        <f>IF(A594="","",YEAR(A594))</f>
        <v/>
      </c>
      <c r="I594" s="30" t="n"/>
    </row>
    <row r="595">
      <c r="A595" s="33" t="n"/>
      <c r="B595" s="30" t="n"/>
      <c r="C595" s="30" t="n"/>
      <c r="D595" s="28" t="n"/>
      <c r="E595" s="34" t="n"/>
      <c r="F595" s="25">
        <f>IF(OR(B595="",E595=""),"",E595*IFERROR(INDEX(Config!$D$11:$D$20,MATCH(B595,Config!$A$11:$A$20,0)),0))</f>
        <v/>
      </c>
      <c r="G595" s="24">
        <f>IF(A595="","",MONTH(A595))</f>
        <v/>
      </c>
      <c r="H595" s="24">
        <f>IF(A595="","",YEAR(A595))</f>
        <v/>
      </c>
      <c r="I595" s="30" t="n"/>
    </row>
    <row r="596">
      <c r="A596" s="33" t="n"/>
      <c r="B596" s="30" t="n"/>
      <c r="C596" s="30" t="n"/>
      <c r="D596" s="28" t="n"/>
      <c r="E596" s="34" t="n"/>
      <c r="F596" s="25">
        <f>IF(OR(B596="",E596=""),"",E596*IFERROR(INDEX(Config!$D$11:$D$20,MATCH(B596,Config!$A$11:$A$20,0)),0))</f>
        <v/>
      </c>
      <c r="G596" s="24">
        <f>IF(A596="","",MONTH(A596))</f>
        <v/>
      </c>
      <c r="H596" s="24">
        <f>IF(A596="","",YEAR(A596))</f>
        <v/>
      </c>
      <c r="I596" s="30" t="n"/>
    </row>
    <row r="597">
      <c r="A597" s="33" t="n"/>
      <c r="B597" s="30" t="n"/>
      <c r="C597" s="30" t="n"/>
      <c r="D597" s="28" t="n"/>
      <c r="E597" s="34" t="n"/>
      <c r="F597" s="25">
        <f>IF(OR(B597="",E597=""),"",E597*IFERROR(INDEX(Config!$D$11:$D$20,MATCH(B597,Config!$A$11:$A$20,0)),0))</f>
        <v/>
      </c>
      <c r="G597" s="24">
        <f>IF(A597="","",MONTH(A597))</f>
        <v/>
      </c>
      <c r="H597" s="24">
        <f>IF(A597="","",YEAR(A597))</f>
        <v/>
      </c>
      <c r="I597" s="30" t="n"/>
    </row>
    <row r="598">
      <c r="A598" s="33" t="n"/>
      <c r="B598" s="30" t="n"/>
      <c r="C598" s="30" t="n"/>
      <c r="D598" s="28" t="n"/>
      <c r="E598" s="34" t="n"/>
      <c r="F598" s="25">
        <f>IF(OR(B598="",E598=""),"",E598*IFERROR(INDEX(Config!$D$11:$D$20,MATCH(B598,Config!$A$11:$A$20,0)),0))</f>
        <v/>
      </c>
      <c r="G598" s="24">
        <f>IF(A598="","",MONTH(A598))</f>
        <v/>
      </c>
      <c r="H598" s="24">
        <f>IF(A598="","",YEAR(A598))</f>
        <v/>
      </c>
      <c r="I598" s="30" t="n"/>
    </row>
    <row r="599">
      <c r="A599" s="33" t="n"/>
      <c r="B599" s="30" t="n"/>
      <c r="C599" s="30" t="n"/>
      <c r="D599" s="28" t="n"/>
      <c r="E599" s="34" t="n"/>
      <c r="F599" s="25">
        <f>IF(OR(B599="",E599=""),"",E599*IFERROR(INDEX(Config!$D$11:$D$20,MATCH(B599,Config!$A$11:$A$20,0)),0))</f>
        <v/>
      </c>
      <c r="G599" s="24">
        <f>IF(A599="","",MONTH(A599))</f>
        <v/>
      </c>
      <c r="H599" s="24">
        <f>IF(A599="","",YEAR(A599))</f>
        <v/>
      </c>
      <c r="I599" s="30" t="n"/>
    </row>
    <row r="600">
      <c r="A600" s="33" t="n"/>
      <c r="B600" s="30" t="n"/>
      <c r="C600" s="30" t="n"/>
      <c r="D600" s="28" t="n"/>
      <c r="E600" s="34" t="n"/>
      <c r="F600" s="25">
        <f>IF(OR(B600="",E600=""),"",E600*IFERROR(INDEX(Config!$D$11:$D$20,MATCH(B600,Config!$A$11:$A$20,0)),0))</f>
        <v/>
      </c>
      <c r="G600" s="24">
        <f>IF(A600="","",MONTH(A600))</f>
        <v/>
      </c>
      <c r="H600" s="24">
        <f>IF(A600="","",YEAR(A600))</f>
        <v/>
      </c>
      <c r="I600" s="30" t="n"/>
    </row>
    <row r="601">
      <c r="A601" s="33" t="n"/>
      <c r="B601" s="30" t="n"/>
      <c r="C601" s="30" t="n"/>
      <c r="D601" s="28" t="n"/>
      <c r="E601" s="34" t="n"/>
      <c r="F601" s="25">
        <f>IF(OR(B601="",E601=""),"",E601*IFERROR(INDEX(Config!$D$11:$D$20,MATCH(B601,Config!$A$11:$A$20,0)),0))</f>
        <v/>
      </c>
      <c r="G601" s="24">
        <f>IF(A601="","",MONTH(A601))</f>
        <v/>
      </c>
      <c r="H601" s="24">
        <f>IF(A601="","",YEAR(A601))</f>
        <v/>
      </c>
      <c r="I601" s="30" t="n"/>
    </row>
    <row r="602">
      <c r="A602" s="33" t="n"/>
      <c r="B602" s="30" t="n"/>
      <c r="C602" s="30" t="n"/>
      <c r="D602" s="28" t="n"/>
      <c r="E602" s="34" t="n"/>
      <c r="F602" s="25">
        <f>IF(OR(B602="",E602=""),"",E602*IFERROR(INDEX(Config!$D$11:$D$20,MATCH(B602,Config!$A$11:$A$20,0)),0))</f>
        <v/>
      </c>
      <c r="G602" s="24">
        <f>IF(A602="","",MONTH(A602))</f>
        <v/>
      </c>
      <c r="H602" s="24">
        <f>IF(A602="","",YEAR(A602))</f>
        <v/>
      </c>
      <c r="I602" s="30" t="n"/>
    </row>
    <row r="603">
      <c r="A603" s="33" t="n"/>
      <c r="B603" s="30" t="n"/>
      <c r="C603" s="30" t="n"/>
      <c r="D603" s="28" t="n"/>
      <c r="E603" s="34" t="n"/>
      <c r="F603" s="25">
        <f>IF(OR(B603="",E603=""),"",E603*IFERROR(INDEX(Config!$D$11:$D$20,MATCH(B603,Config!$A$11:$A$20,0)),0))</f>
        <v/>
      </c>
      <c r="G603" s="24">
        <f>IF(A603="","",MONTH(A603))</f>
        <v/>
      </c>
      <c r="H603" s="24">
        <f>IF(A603="","",YEAR(A603))</f>
        <v/>
      </c>
      <c r="I603" s="30" t="n"/>
    </row>
    <row r="604">
      <c r="A604" s="33" t="n"/>
      <c r="B604" s="30" t="n"/>
      <c r="C604" s="30" t="n"/>
      <c r="D604" s="28" t="n"/>
      <c r="E604" s="34" t="n"/>
      <c r="F604" s="25">
        <f>IF(OR(B604="",E604=""),"",E604*IFERROR(INDEX(Config!$D$11:$D$20,MATCH(B604,Config!$A$11:$A$20,0)),0))</f>
        <v/>
      </c>
      <c r="G604" s="24">
        <f>IF(A604="","",MONTH(A604))</f>
        <v/>
      </c>
      <c r="H604" s="24">
        <f>IF(A604="","",YEAR(A604))</f>
        <v/>
      </c>
      <c r="I604" s="30" t="n"/>
    </row>
    <row r="605">
      <c r="A605" s="33" t="n"/>
      <c r="B605" s="30" t="n"/>
      <c r="C605" s="30" t="n"/>
      <c r="D605" s="28" t="n"/>
      <c r="E605" s="34" t="n"/>
      <c r="F605" s="25">
        <f>IF(OR(B605="",E605=""),"",E605*IFERROR(INDEX(Config!$D$11:$D$20,MATCH(B605,Config!$A$11:$A$20,0)),0))</f>
        <v/>
      </c>
      <c r="G605" s="24">
        <f>IF(A605="","",MONTH(A605))</f>
        <v/>
      </c>
      <c r="H605" s="24">
        <f>IF(A605="","",YEAR(A605))</f>
        <v/>
      </c>
      <c r="I605" s="30" t="n"/>
    </row>
    <row r="606">
      <c r="A606" s="33" t="n"/>
      <c r="B606" s="30" t="n"/>
      <c r="C606" s="30" t="n"/>
      <c r="D606" s="28" t="n"/>
      <c r="E606" s="34" t="n"/>
      <c r="F606" s="25">
        <f>IF(OR(B606="",E606=""),"",E606*IFERROR(INDEX(Config!$D$11:$D$20,MATCH(B606,Config!$A$11:$A$20,0)),0))</f>
        <v/>
      </c>
      <c r="G606" s="24">
        <f>IF(A606="","",MONTH(A606))</f>
        <v/>
      </c>
      <c r="H606" s="24">
        <f>IF(A606="","",YEAR(A606))</f>
        <v/>
      </c>
      <c r="I606" s="30" t="n"/>
    </row>
    <row r="607">
      <c r="A607" s="33" t="n"/>
      <c r="B607" s="30" t="n"/>
      <c r="C607" s="30" t="n"/>
      <c r="D607" s="28" t="n"/>
      <c r="E607" s="34" t="n"/>
      <c r="F607" s="25">
        <f>IF(OR(B607="",E607=""),"",E607*IFERROR(INDEX(Config!$D$11:$D$20,MATCH(B607,Config!$A$11:$A$20,0)),0))</f>
        <v/>
      </c>
      <c r="G607" s="24">
        <f>IF(A607="","",MONTH(A607))</f>
        <v/>
      </c>
      <c r="H607" s="24">
        <f>IF(A607="","",YEAR(A607))</f>
        <v/>
      </c>
      <c r="I607" s="30" t="n"/>
    </row>
    <row r="608">
      <c r="A608" s="33" t="n"/>
      <c r="B608" s="30" t="n"/>
      <c r="C608" s="30" t="n"/>
      <c r="D608" s="28" t="n"/>
      <c r="E608" s="34" t="n"/>
      <c r="F608" s="25">
        <f>IF(OR(B608="",E608=""),"",E608*IFERROR(INDEX(Config!$D$11:$D$20,MATCH(B608,Config!$A$11:$A$20,0)),0))</f>
        <v/>
      </c>
      <c r="G608" s="24">
        <f>IF(A608="","",MONTH(A608))</f>
        <v/>
      </c>
      <c r="H608" s="24">
        <f>IF(A608="","",YEAR(A608))</f>
        <v/>
      </c>
      <c r="I608" s="30" t="n"/>
    </row>
    <row r="609">
      <c r="A609" s="33" t="n"/>
      <c r="B609" s="30" t="n"/>
      <c r="C609" s="30" t="n"/>
      <c r="D609" s="28" t="n"/>
      <c r="E609" s="34" t="n"/>
      <c r="F609" s="25">
        <f>IF(OR(B609="",E609=""),"",E609*IFERROR(INDEX(Config!$D$11:$D$20,MATCH(B609,Config!$A$11:$A$20,0)),0))</f>
        <v/>
      </c>
      <c r="G609" s="24">
        <f>IF(A609="","",MONTH(A609))</f>
        <v/>
      </c>
      <c r="H609" s="24">
        <f>IF(A609="","",YEAR(A609))</f>
        <v/>
      </c>
      <c r="I609" s="30" t="n"/>
    </row>
    <row r="610">
      <c r="A610" s="33" t="n"/>
      <c r="B610" s="30" t="n"/>
      <c r="C610" s="30" t="n"/>
      <c r="D610" s="28" t="n"/>
      <c r="E610" s="34" t="n"/>
      <c r="F610" s="25">
        <f>IF(OR(B610="",E610=""),"",E610*IFERROR(INDEX(Config!$D$11:$D$20,MATCH(B610,Config!$A$11:$A$20,0)),0))</f>
        <v/>
      </c>
      <c r="G610" s="24">
        <f>IF(A610="","",MONTH(A610))</f>
        <v/>
      </c>
      <c r="H610" s="24">
        <f>IF(A610="","",YEAR(A610))</f>
        <v/>
      </c>
      <c r="I610" s="30" t="n"/>
    </row>
    <row r="611">
      <c r="A611" s="33" t="n"/>
      <c r="B611" s="30" t="n"/>
      <c r="C611" s="30" t="n"/>
      <c r="D611" s="28" t="n"/>
      <c r="E611" s="34" t="n"/>
      <c r="F611" s="25">
        <f>IF(OR(B611="",E611=""),"",E611*IFERROR(INDEX(Config!$D$11:$D$20,MATCH(B611,Config!$A$11:$A$20,0)),0))</f>
        <v/>
      </c>
      <c r="G611" s="24">
        <f>IF(A611="","",MONTH(A611))</f>
        <v/>
      </c>
      <c r="H611" s="24">
        <f>IF(A611="","",YEAR(A611))</f>
        <v/>
      </c>
      <c r="I611" s="30" t="n"/>
    </row>
    <row r="612">
      <c r="A612" s="33" t="n"/>
      <c r="B612" s="30" t="n"/>
      <c r="C612" s="30" t="n"/>
      <c r="D612" s="28" t="n"/>
      <c r="E612" s="34" t="n"/>
      <c r="F612" s="25">
        <f>IF(OR(B612="",E612=""),"",E612*IFERROR(INDEX(Config!$D$11:$D$20,MATCH(B612,Config!$A$11:$A$20,0)),0))</f>
        <v/>
      </c>
      <c r="G612" s="24">
        <f>IF(A612="","",MONTH(A612))</f>
        <v/>
      </c>
      <c r="H612" s="24">
        <f>IF(A612="","",YEAR(A612))</f>
        <v/>
      </c>
      <c r="I612" s="30" t="n"/>
    </row>
    <row r="613">
      <c r="A613" s="33" t="n"/>
      <c r="B613" s="30" t="n"/>
      <c r="C613" s="30" t="n"/>
      <c r="D613" s="28" t="n"/>
      <c r="E613" s="34" t="n"/>
      <c r="F613" s="25">
        <f>IF(OR(B613="",E613=""),"",E613*IFERROR(INDEX(Config!$D$11:$D$20,MATCH(B613,Config!$A$11:$A$20,0)),0))</f>
        <v/>
      </c>
      <c r="G613" s="24">
        <f>IF(A613="","",MONTH(A613))</f>
        <v/>
      </c>
      <c r="H613" s="24">
        <f>IF(A613="","",YEAR(A613))</f>
        <v/>
      </c>
      <c r="I613" s="30" t="n"/>
    </row>
    <row r="614">
      <c r="A614" s="33" t="n"/>
      <c r="B614" s="30" t="n"/>
      <c r="C614" s="30" t="n"/>
      <c r="D614" s="28" t="n"/>
      <c r="E614" s="34" t="n"/>
      <c r="F614" s="25">
        <f>IF(OR(B614="",E614=""),"",E614*IFERROR(INDEX(Config!$D$11:$D$20,MATCH(B614,Config!$A$11:$A$20,0)),0))</f>
        <v/>
      </c>
      <c r="G614" s="24">
        <f>IF(A614="","",MONTH(A614))</f>
        <v/>
      </c>
      <c r="H614" s="24">
        <f>IF(A614="","",YEAR(A614))</f>
        <v/>
      </c>
      <c r="I614" s="30" t="n"/>
    </row>
    <row r="615">
      <c r="A615" s="33" t="n"/>
      <c r="B615" s="30" t="n"/>
      <c r="C615" s="30" t="n"/>
      <c r="D615" s="28" t="n"/>
      <c r="E615" s="34" t="n"/>
      <c r="F615" s="25">
        <f>IF(OR(B615="",E615=""),"",E615*IFERROR(INDEX(Config!$D$11:$D$20,MATCH(B615,Config!$A$11:$A$20,0)),0))</f>
        <v/>
      </c>
      <c r="G615" s="24">
        <f>IF(A615="","",MONTH(A615))</f>
        <v/>
      </c>
      <c r="H615" s="24">
        <f>IF(A615="","",YEAR(A615))</f>
        <v/>
      </c>
      <c r="I615" s="30" t="n"/>
    </row>
    <row r="616">
      <c r="A616" s="33" t="n"/>
      <c r="B616" s="30" t="n"/>
      <c r="C616" s="30" t="n"/>
      <c r="D616" s="28" t="n"/>
      <c r="E616" s="34" t="n"/>
      <c r="F616" s="25">
        <f>IF(OR(B616="",E616=""),"",E616*IFERROR(INDEX(Config!$D$11:$D$20,MATCH(B616,Config!$A$11:$A$20,0)),0))</f>
        <v/>
      </c>
      <c r="G616" s="24">
        <f>IF(A616="","",MONTH(A616))</f>
        <v/>
      </c>
      <c r="H616" s="24">
        <f>IF(A616="","",YEAR(A616))</f>
        <v/>
      </c>
      <c r="I616" s="30" t="n"/>
    </row>
    <row r="617">
      <c r="A617" s="33" t="n"/>
      <c r="B617" s="30" t="n"/>
      <c r="C617" s="30" t="n"/>
      <c r="D617" s="28" t="n"/>
      <c r="E617" s="34" t="n"/>
      <c r="F617" s="25">
        <f>IF(OR(B617="",E617=""),"",E617*IFERROR(INDEX(Config!$D$11:$D$20,MATCH(B617,Config!$A$11:$A$20,0)),0))</f>
        <v/>
      </c>
      <c r="G617" s="24">
        <f>IF(A617="","",MONTH(A617))</f>
        <v/>
      </c>
      <c r="H617" s="24">
        <f>IF(A617="","",YEAR(A617))</f>
        <v/>
      </c>
      <c r="I617" s="30" t="n"/>
    </row>
    <row r="618">
      <c r="A618" s="33" t="n"/>
      <c r="B618" s="30" t="n"/>
      <c r="C618" s="30" t="n"/>
      <c r="D618" s="28" t="n"/>
      <c r="E618" s="34" t="n"/>
      <c r="F618" s="25">
        <f>IF(OR(B618="",E618=""),"",E618*IFERROR(INDEX(Config!$D$11:$D$20,MATCH(B618,Config!$A$11:$A$20,0)),0))</f>
        <v/>
      </c>
      <c r="G618" s="24">
        <f>IF(A618="","",MONTH(A618))</f>
        <v/>
      </c>
      <c r="H618" s="24">
        <f>IF(A618="","",YEAR(A618))</f>
        <v/>
      </c>
      <c r="I618" s="30" t="n"/>
    </row>
    <row r="619">
      <c r="A619" s="33" t="n"/>
      <c r="B619" s="30" t="n"/>
      <c r="C619" s="30" t="n"/>
      <c r="D619" s="28" t="n"/>
      <c r="E619" s="34" t="n"/>
      <c r="F619" s="25">
        <f>IF(OR(B619="",E619=""),"",E619*IFERROR(INDEX(Config!$D$11:$D$20,MATCH(B619,Config!$A$11:$A$20,0)),0))</f>
        <v/>
      </c>
      <c r="G619" s="24">
        <f>IF(A619="","",MONTH(A619))</f>
        <v/>
      </c>
      <c r="H619" s="24">
        <f>IF(A619="","",YEAR(A619))</f>
        <v/>
      </c>
      <c r="I619" s="30" t="n"/>
    </row>
    <row r="620">
      <c r="A620" s="33" t="n"/>
      <c r="B620" s="30" t="n"/>
      <c r="C620" s="30" t="n"/>
      <c r="D620" s="28" t="n"/>
      <c r="E620" s="34" t="n"/>
      <c r="F620" s="25">
        <f>IF(OR(B620="",E620=""),"",E620*IFERROR(INDEX(Config!$D$11:$D$20,MATCH(B620,Config!$A$11:$A$20,0)),0))</f>
        <v/>
      </c>
      <c r="G620" s="24">
        <f>IF(A620="","",MONTH(A620))</f>
        <v/>
      </c>
      <c r="H620" s="24">
        <f>IF(A620="","",YEAR(A620))</f>
        <v/>
      </c>
      <c r="I620" s="30" t="n"/>
    </row>
    <row r="621">
      <c r="A621" s="33" t="n"/>
      <c r="B621" s="30" t="n"/>
      <c r="C621" s="30" t="n"/>
      <c r="D621" s="28" t="n"/>
      <c r="E621" s="34" t="n"/>
      <c r="F621" s="25">
        <f>IF(OR(B621="",E621=""),"",E621*IFERROR(INDEX(Config!$D$11:$D$20,MATCH(B621,Config!$A$11:$A$20,0)),0))</f>
        <v/>
      </c>
      <c r="G621" s="24">
        <f>IF(A621="","",MONTH(A621))</f>
        <v/>
      </c>
      <c r="H621" s="24">
        <f>IF(A621="","",YEAR(A621))</f>
        <v/>
      </c>
      <c r="I621" s="30" t="n"/>
    </row>
    <row r="622">
      <c r="A622" s="33" t="n"/>
      <c r="B622" s="30" t="n"/>
      <c r="C622" s="30" t="n"/>
      <c r="D622" s="28" t="n"/>
      <c r="E622" s="34" t="n"/>
      <c r="F622" s="25">
        <f>IF(OR(B622="",E622=""),"",E622*IFERROR(INDEX(Config!$D$11:$D$20,MATCH(B622,Config!$A$11:$A$20,0)),0))</f>
        <v/>
      </c>
      <c r="G622" s="24">
        <f>IF(A622="","",MONTH(A622))</f>
        <v/>
      </c>
      <c r="H622" s="24">
        <f>IF(A622="","",YEAR(A622))</f>
        <v/>
      </c>
      <c r="I622" s="30" t="n"/>
    </row>
    <row r="623">
      <c r="A623" s="33" t="n"/>
      <c r="B623" s="30" t="n"/>
      <c r="C623" s="30" t="n"/>
      <c r="D623" s="28" t="n"/>
      <c r="E623" s="34" t="n"/>
      <c r="F623" s="25">
        <f>IF(OR(B623="",E623=""),"",E623*IFERROR(INDEX(Config!$D$11:$D$20,MATCH(B623,Config!$A$11:$A$20,0)),0))</f>
        <v/>
      </c>
      <c r="G623" s="24">
        <f>IF(A623="","",MONTH(A623))</f>
        <v/>
      </c>
      <c r="H623" s="24">
        <f>IF(A623="","",YEAR(A623))</f>
        <v/>
      </c>
      <c r="I623" s="30" t="n"/>
    </row>
    <row r="624">
      <c r="A624" s="33" t="n"/>
      <c r="B624" s="30" t="n"/>
      <c r="C624" s="30" t="n"/>
      <c r="D624" s="28" t="n"/>
      <c r="E624" s="34" t="n"/>
      <c r="F624" s="25">
        <f>IF(OR(B624="",E624=""),"",E624*IFERROR(INDEX(Config!$D$11:$D$20,MATCH(B624,Config!$A$11:$A$20,0)),0))</f>
        <v/>
      </c>
      <c r="G624" s="24">
        <f>IF(A624="","",MONTH(A624))</f>
        <v/>
      </c>
      <c r="H624" s="24">
        <f>IF(A624="","",YEAR(A624))</f>
        <v/>
      </c>
      <c r="I624" s="30" t="n"/>
    </row>
    <row r="625">
      <c r="A625" s="33" t="n"/>
      <c r="B625" s="30" t="n"/>
      <c r="C625" s="30" t="n"/>
      <c r="D625" s="28" t="n"/>
      <c r="E625" s="34" t="n"/>
      <c r="F625" s="25">
        <f>IF(OR(B625="",E625=""),"",E625*IFERROR(INDEX(Config!$D$11:$D$20,MATCH(B625,Config!$A$11:$A$20,0)),0))</f>
        <v/>
      </c>
      <c r="G625" s="24">
        <f>IF(A625="","",MONTH(A625))</f>
        <v/>
      </c>
      <c r="H625" s="24">
        <f>IF(A625="","",YEAR(A625))</f>
        <v/>
      </c>
      <c r="I625" s="30" t="n"/>
    </row>
    <row r="626">
      <c r="A626" s="33" t="n"/>
      <c r="B626" s="30" t="n"/>
      <c r="C626" s="30" t="n"/>
      <c r="D626" s="28" t="n"/>
      <c r="E626" s="34" t="n"/>
      <c r="F626" s="25">
        <f>IF(OR(B626="",E626=""),"",E626*IFERROR(INDEX(Config!$D$11:$D$20,MATCH(B626,Config!$A$11:$A$20,0)),0))</f>
        <v/>
      </c>
      <c r="G626" s="24">
        <f>IF(A626="","",MONTH(A626))</f>
        <v/>
      </c>
      <c r="H626" s="24">
        <f>IF(A626="","",YEAR(A626))</f>
        <v/>
      </c>
      <c r="I626" s="30" t="n"/>
    </row>
    <row r="627">
      <c r="A627" s="33" t="n"/>
      <c r="B627" s="30" t="n"/>
      <c r="C627" s="30" t="n"/>
      <c r="D627" s="28" t="n"/>
      <c r="E627" s="34" t="n"/>
      <c r="F627" s="25">
        <f>IF(OR(B627="",E627=""),"",E627*IFERROR(INDEX(Config!$D$11:$D$20,MATCH(B627,Config!$A$11:$A$20,0)),0))</f>
        <v/>
      </c>
      <c r="G627" s="24">
        <f>IF(A627="","",MONTH(A627))</f>
        <v/>
      </c>
      <c r="H627" s="24">
        <f>IF(A627="","",YEAR(A627))</f>
        <v/>
      </c>
      <c r="I627" s="30" t="n"/>
    </row>
    <row r="628">
      <c r="A628" s="33" t="n"/>
      <c r="B628" s="30" t="n"/>
      <c r="C628" s="30" t="n"/>
      <c r="D628" s="28" t="n"/>
      <c r="E628" s="34" t="n"/>
      <c r="F628" s="25">
        <f>IF(OR(B628="",E628=""),"",E628*IFERROR(INDEX(Config!$D$11:$D$20,MATCH(B628,Config!$A$11:$A$20,0)),0))</f>
        <v/>
      </c>
      <c r="G628" s="24">
        <f>IF(A628="","",MONTH(A628))</f>
        <v/>
      </c>
      <c r="H628" s="24">
        <f>IF(A628="","",YEAR(A628))</f>
        <v/>
      </c>
      <c r="I628" s="30" t="n"/>
    </row>
    <row r="629">
      <c r="A629" s="33" t="n"/>
      <c r="B629" s="30" t="n"/>
      <c r="C629" s="30" t="n"/>
      <c r="D629" s="28" t="n"/>
      <c r="E629" s="34" t="n"/>
      <c r="F629" s="25">
        <f>IF(OR(B629="",E629=""),"",E629*IFERROR(INDEX(Config!$D$11:$D$20,MATCH(B629,Config!$A$11:$A$20,0)),0))</f>
        <v/>
      </c>
      <c r="G629" s="24">
        <f>IF(A629="","",MONTH(A629))</f>
        <v/>
      </c>
      <c r="H629" s="24">
        <f>IF(A629="","",YEAR(A629))</f>
        <v/>
      </c>
      <c r="I629" s="30" t="n"/>
    </row>
    <row r="630">
      <c r="A630" s="33" t="n"/>
      <c r="B630" s="30" t="n"/>
      <c r="C630" s="30" t="n"/>
      <c r="D630" s="28" t="n"/>
      <c r="E630" s="34" t="n"/>
      <c r="F630" s="25">
        <f>IF(OR(B630="",E630=""),"",E630*IFERROR(INDEX(Config!$D$11:$D$20,MATCH(B630,Config!$A$11:$A$20,0)),0))</f>
        <v/>
      </c>
      <c r="G630" s="24">
        <f>IF(A630="","",MONTH(A630))</f>
        <v/>
      </c>
      <c r="H630" s="24">
        <f>IF(A630="","",YEAR(A630))</f>
        <v/>
      </c>
      <c r="I630" s="30" t="n"/>
    </row>
    <row r="631">
      <c r="A631" s="33" t="n"/>
      <c r="B631" s="30" t="n"/>
      <c r="C631" s="30" t="n"/>
      <c r="D631" s="28" t="n"/>
      <c r="E631" s="34" t="n"/>
      <c r="F631" s="25">
        <f>IF(OR(B631="",E631=""),"",E631*IFERROR(INDEX(Config!$D$11:$D$20,MATCH(B631,Config!$A$11:$A$20,0)),0))</f>
        <v/>
      </c>
      <c r="G631" s="24">
        <f>IF(A631="","",MONTH(A631))</f>
        <v/>
      </c>
      <c r="H631" s="24">
        <f>IF(A631="","",YEAR(A631))</f>
        <v/>
      </c>
      <c r="I631" s="30" t="n"/>
    </row>
    <row r="632">
      <c r="A632" s="33" t="n"/>
      <c r="B632" s="30" t="n"/>
      <c r="C632" s="30" t="n"/>
      <c r="D632" s="28" t="n"/>
      <c r="E632" s="34" t="n"/>
      <c r="F632" s="25">
        <f>IF(OR(B632="",E632=""),"",E632*IFERROR(INDEX(Config!$D$11:$D$20,MATCH(B632,Config!$A$11:$A$20,0)),0))</f>
        <v/>
      </c>
      <c r="G632" s="24">
        <f>IF(A632="","",MONTH(A632))</f>
        <v/>
      </c>
      <c r="H632" s="24">
        <f>IF(A632="","",YEAR(A632))</f>
        <v/>
      </c>
      <c r="I632" s="30" t="n"/>
    </row>
    <row r="633">
      <c r="A633" s="33" t="n"/>
      <c r="B633" s="30" t="n"/>
      <c r="C633" s="30" t="n"/>
      <c r="D633" s="28" t="n"/>
      <c r="E633" s="34" t="n"/>
      <c r="F633" s="25">
        <f>IF(OR(B633="",E633=""),"",E633*IFERROR(INDEX(Config!$D$11:$D$20,MATCH(B633,Config!$A$11:$A$20,0)),0))</f>
        <v/>
      </c>
      <c r="G633" s="24">
        <f>IF(A633="","",MONTH(A633))</f>
        <v/>
      </c>
      <c r="H633" s="24">
        <f>IF(A633="","",YEAR(A633))</f>
        <v/>
      </c>
      <c r="I633" s="30" t="n"/>
    </row>
    <row r="634">
      <c r="A634" s="33" t="n"/>
      <c r="B634" s="30" t="n"/>
      <c r="C634" s="30" t="n"/>
      <c r="D634" s="28" t="n"/>
      <c r="E634" s="34" t="n"/>
      <c r="F634" s="25">
        <f>IF(OR(B634="",E634=""),"",E634*IFERROR(INDEX(Config!$D$11:$D$20,MATCH(B634,Config!$A$11:$A$20,0)),0))</f>
        <v/>
      </c>
      <c r="G634" s="24">
        <f>IF(A634="","",MONTH(A634))</f>
        <v/>
      </c>
      <c r="H634" s="24">
        <f>IF(A634="","",YEAR(A634))</f>
        <v/>
      </c>
      <c r="I634" s="30" t="n"/>
    </row>
    <row r="635">
      <c r="A635" s="33" t="n"/>
      <c r="B635" s="30" t="n"/>
      <c r="C635" s="30" t="n"/>
      <c r="D635" s="28" t="n"/>
      <c r="E635" s="34" t="n"/>
      <c r="F635" s="25">
        <f>IF(OR(B635="",E635=""),"",E635*IFERROR(INDEX(Config!$D$11:$D$20,MATCH(B635,Config!$A$11:$A$20,0)),0))</f>
        <v/>
      </c>
      <c r="G635" s="24">
        <f>IF(A635="","",MONTH(A635))</f>
        <v/>
      </c>
      <c r="H635" s="24">
        <f>IF(A635="","",YEAR(A635))</f>
        <v/>
      </c>
      <c r="I635" s="30" t="n"/>
    </row>
    <row r="636">
      <c r="A636" s="33" t="n"/>
      <c r="B636" s="30" t="n"/>
      <c r="C636" s="30" t="n"/>
      <c r="D636" s="28" t="n"/>
      <c r="E636" s="34" t="n"/>
      <c r="F636" s="25">
        <f>IF(OR(B636="",E636=""),"",E636*IFERROR(INDEX(Config!$D$11:$D$20,MATCH(B636,Config!$A$11:$A$20,0)),0))</f>
        <v/>
      </c>
      <c r="G636" s="24">
        <f>IF(A636="","",MONTH(A636))</f>
        <v/>
      </c>
      <c r="H636" s="24">
        <f>IF(A636="","",YEAR(A636))</f>
        <v/>
      </c>
      <c r="I636" s="30" t="n"/>
    </row>
    <row r="637">
      <c r="A637" s="33" t="n"/>
      <c r="B637" s="30" t="n"/>
      <c r="C637" s="30" t="n"/>
      <c r="D637" s="28" t="n"/>
      <c r="E637" s="34" t="n"/>
      <c r="F637" s="25">
        <f>IF(OR(B637="",E637=""),"",E637*IFERROR(INDEX(Config!$D$11:$D$20,MATCH(B637,Config!$A$11:$A$20,0)),0))</f>
        <v/>
      </c>
      <c r="G637" s="24">
        <f>IF(A637="","",MONTH(A637))</f>
        <v/>
      </c>
      <c r="H637" s="24">
        <f>IF(A637="","",YEAR(A637))</f>
        <v/>
      </c>
      <c r="I637" s="30" t="n"/>
    </row>
    <row r="638">
      <c r="A638" s="33" t="n"/>
      <c r="B638" s="30" t="n"/>
      <c r="C638" s="30" t="n"/>
      <c r="D638" s="28" t="n"/>
      <c r="E638" s="34" t="n"/>
      <c r="F638" s="25">
        <f>IF(OR(B638="",E638=""),"",E638*IFERROR(INDEX(Config!$D$11:$D$20,MATCH(B638,Config!$A$11:$A$20,0)),0))</f>
        <v/>
      </c>
      <c r="G638" s="24">
        <f>IF(A638="","",MONTH(A638))</f>
        <v/>
      </c>
      <c r="H638" s="24">
        <f>IF(A638="","",YEAR(A638))</f>
        <v/>
      </c>
      <c r="I638" s="30" t="n"/>
    </row>
    <row r="639">
      <c r="A639" s="33" t="n"/>
      <c r="B639" s="30" t="n"/>
      <c r="C639" s="30" t="n"/>
      <c r="D639" s="28" t="n"/>
      <c r="E639" s="34" t="n"/>
      <c r="F639" s="25">
        <f>IF(OR(B639="",E639=""),"",E639*IFERROR(INDEX(Config!$D$11:$D$20,MATCH(B639,Config!$A$11:$A$20,0)),0))</f>
        <v/>
      </c>
      <c r="G639" s="24">
        <f>IF(A639="","",MONTH(A639))</f>
        <v/>
      </c>
      <c r="H639" s="24">
        <f>IF(A639="","",YEAR(A639))</f>
        <v/>
      </c>
      <c r="I639" s="30" t="n"/>
    </row>
    <row r="640">
      <c r="A640" s="33" t="n"/>
      <c r="B640" s="30" t="n"/>
      <c r="C640" s="30" t="n"/>
      <c r="D640" s="28" t="n"/>
      <c r="E640" s="34" t="n"/>
      <c r="F640" s="25">
        <f>IF(OR(B640="",E640=""),"",E640*IFERROR(INDEX(Config!$D$11:$D$20,MATCH(B640,Config!$A$11:$A$20,0)),0))</f>
        <v/>
      </c>
      <c r="G640" s="24">
        <f>IF(A640="","",MONTH(A640))</f>
        <v/>
      </c>
      <c r="H640" s="24">
        <f>IF(A640="","",YEAR(A640))</f>
        <v/>
      </c>
      <c r="I640" s="30" t="n"/>
    </row>
    <row r="641">
      <c r="A641" s="33" t="n"/>
      <c r="B641" s="30" t="n"/>
      <c r="C641" s="30" t="n"/>
      <c r="D641" s="28" t="n"/>
      <c r="E641" s="34" t="n"/>
      <c r="F641" s="25">
        <f>IF(OR(B641="",E641=""),"",E641*IFERROR(INDEX(Config!$D$11:$D$20,MATCH(B641,Config!$A$11:$A$20,0)),0))</f>
        <v/>
      </c>
      <c r="G641" s="24">
        <f>IF(A641="","",MONTH(A641))</f>
        <v/>
      </c>
      <c r="H641" s="24">
        <f>IF(A641="","",YEAR(A641))</f>
        <v/>
      </c>
      <c r="I641" s="30" t="n"/>
    </row>
    <row r="642">
      <c r="A642" s="33" t="n"/>
      <c r="B642" s="30" t="n"/>
      <c r="C642" s="30" t="n"/>
      <c r="D642" s="28" t="n"/>
      <c r="E642" s="34" t="n"/>
      <c r="F642" s="25">
        <f>IF(OR(B642="",E642=""),"",E642*IFERROR(INDEX(Config!$D$11:$D$20,MATCH(B642,Config!$A$11:$A$20,0)),0))</f>
        <v/>
      </c>
      <c r="G642" s="24">
        <f>IF(A642="","",MONTH(A642))</f>
        <v/>
      </c>
      <c r="H642" s="24">
        <f>IF(A642="","",YEAR(A642))</f>
        <v/>
      </c>
      <c r="I642" s="30" t="n"/>
    </row>
    <row r="643">
      <c r="A643" s="33" t="n"/>
      <c r="B643" s="30" t="n"/>
      <c r="C643" s="30" t="n"/>
      <c r="D643" s="28" t="n"/>
      <c r="E643" s="34" t="n"/>
      <c r="F643" s="25">
        <f>IF(OR(B643="",E643=""),"",E643*IFERROR(INDEX(Config!$D$11:$D$20,MATCH(B643,Config!$A$11:$A$20,0)),0))</f>
        <v/>
      </c>
      <c r="G643" s="24">
        <f>IF(A643="","",MONTH(A643))</f>
        <v/>
      </c>
      <c r="H643" s="24">
        <f>IF(A643="","",YEAR(A643))</f>
        <v/>
      </c>
      <c r="I643" s="30" t="n"/>
    </row>
    <row r="644">
      <c r="A644" s="33" t="n"/>
      <c r="B644" s="30" t="n"/>
      <c r="C644" s="30" t="n"/>
      <c r="D644" s="28" t="n"/>
      <c r="E644" s="34" t="n"/>
      <c r="F644" s="25">
        <f>IF(OR(B644="",E644=""),"",E644*IFERROR(INDEX(Config!$D$11:$D$20,MATCH(B644,Config!$A$11:$A$20,0)),0))</f>
        <v/>
      </c>
      <c r="G644" s="24">
        <f>IF(A644="","",MONTH(A644))</f>
        <v/>
      </c>
      <c r="H644" s="24">
        <f>IF(A644="","",YEAR(A644))</f>
        <v/>
      </c>
      <c r="I644" s="30" t="n"/>
    </row>
    <row r="645">
      <c r="A645" s="33" t="n"/>
      <c r="B645" s="30" t="n"/>
      <c r="C645" s="30" t="n"/>
      <c r="D645" s="28" t="n"/>
      <c r="E645" s="34" t="n"/>
      <c r="F645" s="25">
        <f>IF(OR(B645="",E645=""),"",E645*IFERROR(INDEX(Config!$D$11:$D$20,MATCH(B645,Config!$A$11:$A$20,0)),0))</f>
        <v/>
      </c>
      <c r="G645" s="24">
        <f>IF(A645="","",MONTH(A645))</f>
        <v/>
      </c>
      <c r="H645" s="24">
        <f>IF(A645="","",YEAR(A645))</f>
        <v/>
      </c>
      <c r="I645" s="30" t="n"/>
    </row>
    <row r="646">
      <c r="A646" s="33" t="n"/>
      <c r="B646" s="30" t="n"/>
      <c r="C646" s="30" t="n"/>
      <c r="D646" s="28" t="n"/>
      <c r="E646" s="34" t="n"/>
      <c r="F646" s="25">
        <f>IF(OR(B646="",E646=""),"",E646*IFERROR(INDEX(Config!$D$11:$D$20,MATCH(B646,Config!$A$11:$A$20,0)),0))</f>
        <v/>
      </c>
      <c r="G646" s="24">
        <f>IF(A646="","",MONTH(A646))</f>
        <v/>
      </c>
      <c r="H646" s="24">
        <f>IF(A646="","",YEAR(A646))</f>
        <v/>
      </c>
      <c r="I646" s="30" t="n"/>
    </row>
    <row r="647">
      <c r="A647" s="33" t="n"/>
      <c r="B647" s="30" t="n"/>
      <c r="C647" s="30" t="n"/>
      <c r="D647" s="28" t="n"/>
      <c r="E647" s="34" t="n"/>
      <c r="F647" s="25">
        <f>IF(OR(B647="",E647=""),"",E647*IFERROR(INDEX(Config!$D$11:$D$20,MATCH(B647,Config!$A$11:$A$20,0)),0))</f>
        <v/>
      </c>
      <c r="G647" s="24">
        <f>IF(A647="","",MONTH(A647))</f>
        <v/>
      </c>
      <c r="H647" s="24">
        <f>IF(A647="","",YEAR(A647))</f>
        <v/>
      </c>
      <c r="I647" s="30" t="n"/>
    </row>
    <row r="648">
      <c r="A648" s="33" t="n"/>
      <c r="B648" s="30" t="n"/>
      <c r="C648" s="30" t="n"/>
      <c r="D648" s="28" t="n"/>
      <c r="E648" s="34" t="n"/>
      <c r="F648" s="25">
        <f>IF(OR(B648="",E648=""),"",E648*IFERROR(INDEX(Config!$D$11:$D$20,MATCH(B648,Config!$A$11:$A$20,0)),0))</f>
        <v/>
      </c>
      <c r="G648" s="24">
        <f>IF(A648="","",MONTH(A648))</f>
        <v/>
      </c>
      <c r="H648" s="24">
        <f>IF(A648="","",YEAR(A648))</f>
        <v/>
      </c>
      <c r="I648" s="30" t="n"/>
    </row>
    <row r="649">
      <c r="A649" s="33" t="n"/>
      <c r="B649" s="30" t="n"/>
      <c r="C649" s="30" t="n"/>
      <c r="D649" s="28" t="n"/>
      <c r="E649" s="34" t="n"/>
      <c r="F649" s="25">
        <f>IF(OR(B649="",E649=""),"",E649*IFERROR(INDEX(Config!$D$11:$D$20,MATCH(B649,Config!$A$11:$A$20,0)),0))</f>
        <v/>
      </c>
      <c r="G649" s="24">
        <f>IF(A649="","",MONTH(A649))</f>
        <v/>
      </c>
      <c r="H649" s="24">
        <f>IF(A649="","",YEAR(A649))</f>
        <v/>
      </c>
      <c r="I649" s="30" t="n"/>
    </row>
    <row r="650">
      <c r="A650" s="33" t="n"/>
      <c r="B650" s="30" t="n"/>
      <c r="C650" s="30" t="n"/>
      <c r="D650" s="28" t="n"/>
      <c r="E650" s="34" t="n"/>
      <c r="F650" s="25">
        <f>IF(OR(B650="",E650=""),"",E650*IFERROR(INDEX(Config!$D$11:$D$20,MATCH(B650,Config!$A$11:$A$20,0)),0))</f>
        <v/>
      </c>
      <c r="G650" s="24">
        <f>IF(A650="","",MONTH(A650))</f>
        <v/>
      </c>
      <c r="H650" s="24">
        <f>IF(A650="","",YEAR(A650))</f>
        <v/>
      </c>
      <c r="I650" s="30" t="n"/>
    </row>
    <row r="651">
      <c r="A651" s="33" t="n"/>
      <c r="B651" s="30" t="n"/>
      <c r="C651" s="30" t="n"/>
      <c r="D651" s="28" t="n"/>
      <c r="E651" s="34" t="n"/>
      <c r="F651" s="25">
        <f>IF(OR(B651="",E651=""),"",E651*IFERROR(INDEX(Config!$D$11:$D$20,MATCH(B651,Config!$A$11:$A$20,0)),0))</f>
        <v/>
      </c>
      <c r="G651" s="24">
        <f>IF(A651="","",MONTH(A651))</f>
        <v/>
      </c>
      <c r="H651" s="24">
        <f>IF(A651="","",YEAR(A651))</f>
        <v/>
      </c>
      <c r="I651" s="30" t="n"/>
    </row>
    <row r="652">
      <c r="A652" s="33" t="n"/>
      <c r="B652" s="30" t="n"/>
      <c r="C652" s="30" t="n"/>
      <c r="D652" s="28" t="n"/>
      <c r="E652" s="34" t="n"/>
      <c r="F652" s="25">
        <f>IF(OR(B652="",E652=""),"",E652*IFERROR(INDEX(Config!$D$11:$D$20,MATCH(B652,Config!$A$11:$A$20,0)),0))</f>
        <v/>
      </c>
      <c r="G652" s="24">
        <f>IF(A652="","",MONTH(A652))</f>
        <v/>
      </c>
      <c r="H652" s="24">
        <f>IF(A652="","",YEAR(A652))</f>
        <v/>
      </c>
      <c r="I652" s="30" t="n"/>
    </row>
    <row r="653">
      <c r="A653" s="33" t="n"/>
      <c r="B653" s="30" t="n"/>
      <c r="C653" s="30" t="n"/>
      <c r="D653" s="28" t="n"/>
      <c r="E653" s="34" t="n"/>
      <c r="F653" s="25">
        <f>IF(OR(B653="",E653=""),"",E653*IFERROR(INDEX(Config!$D$11:$D$20,MATCH(B653,Config!$A$11:$A$20,0)),0))</f>
        <v/>
      </c>
      <c r="G653" s="24">
        <f>IF(A653="","",MONTH(A653))</f>
        <v/>
      </c>
      <c r="H653" s="24">
        <f>IF(A653="","",YEAR(A653))</f>
        <v/>
      </c>
      <c r="I653" s="30" t="n"/>
    </row>
    <row r="654">
      <c r="A654" s="33" t="n"/>
      <c r="B654" s="30" t="n"/>
      <c r="C654" s="30" t="n"/>
      <c r="D654" s="28" t="n"/>
      <c r="E654" s="34" t="n"/>
      <c r="F654" s="25">
        <f>IF(OR(B654="",E654=""),"",E654*IFERROR(INDEX(Config!$D$11:$D$20,MATCH(B654,Config!$A$11:$A$20,0)),0))</f>
        <v/>
      </c>
      <c r="G654" s="24">
        <f>IF(A654="","",MONTH(A654))</f>
        <v/>
      </c>
      <c r="H654" s="24">
        <f>IF(A654="","",YEAR(A654))</f>
        <v/>
      </c>
      <c r="I654" s="30" t="n"/>
    </row>
    <row r="655">
      <c r="A655" s="33" t="n"/>
      <c r="B655" s="30" t="n"/>
      <c r="C655" s="30" t="n"/>
      <c r="D655" s="28" t="n"/>
      <c r="E655" s="34" t="n"/>
      <c r="F655" s="25">
        <f>IF(OR(B655="",E655=""),"",E655*IFERROR(INDEX(Config!$D$11:$D$20,MATCH(B655,Config!$A$11:$A$20,0)),0))</f>
        <v/>
      </c>
      <c r="G655" s="24">
        <f>IF(A655="","",MONTH(A655))</f>
        <v/>
      </c>
      <c r="H655" s="24">
        <f>IF(A655="","",YEAR(A655))</f>
        <v/>
      </c>
      <c r="I655" s="30" t="n"/>
    </row>
    <row r="656">
      <c r="A656" s="33" t="n"/>
      <c r="B656" s="30" t="n"/>
      <c r="C656" s="30" t="n"/>
      <c r="D656" s="28" t="n"/>
      <c r="E656" s="34" t="n"/>
      <c r="F656" s="25">
        <f>IF(OR(B656="",E656=""),"",E656*IFERROR(INDEX(Config!$D$11:$D$20,MATCH(B656,Config!$A$11:$A$20,0)),0))</f>
        <v/>
      </c>
      <c r="G656" s="24">
        <f>IF(A656="","",MONTH(A656))</f>
        <v/>
      </c>
      <c r="H656" s="24">
        <f>IF(A656="","",YEAR(A656))</f>
        <v/>
      </c>
      <c r="I656" s="30" t="n"/>
    </row>
    <row r="657">
      <c r="A657" s="33" t="n"/>
      <c r="B657" s="30" t="n"/>
      <c r="C657" s="30" t="n"/>
      <c r="D657" s="28" t="n"/>
      <c r="E657" s="34" t="n"/>
      <c r="F657" s="25">
        <f>IF(OR(B657="",E657=""),"",E657*IFERROR(INDEX(Config!$D$11:$D$20,MATCH(B657,Config!$A$11:$A$20,0)),0))</f>
        <v/>
      </c>
      <c r="G657" s="24">
        <f>IF(A657="","",MONTH(A657))</f>
        <v/>
      </c>
      <c r="H657" s="24">
        <f>IF(A657="","",YEAR(A657))</f>
        <v/>
      </c>
      <c r="I657" s="30" t="n"/>
    </row>
    <row r="658">
      <c r="A658" s="33" t="n"/>
      <c r="B658" s="30" t="n"/>
      <c r="C658" s="30" t="n"/>
      <c r="D658" s="28" t="n"/>
      <c r="E658" s="34" t="n"/>
      <c r="F658" s="25">
        <f>IF(OR(B658="",E658=""),"",E658*IFERROR(INDEX(Config!$D$11:$D$20,MATCH(B658,Config!$A$11:$A$20,0)),0))</f>
        <v/>
      </c>
      <c r="G658" s="24">
        <f>IF(A658="","",MONTH(A658))</f>
        <v/>
      </c>
      <c r="H658" s="24">
        <f>IF(A658="","",YEAR(A658))</f>
        <v/>
      </c>
      <c r="I658" s="30" t="n"/>
    </row>
    <row r="659">
      <c r="A659" s="33" t="n"/>
      <c r="B659" s="30" t="n"/>
      <c r="C659" s="30" t="n"/>
      <c r="D659" s="28" t="n"/>
      <c r="E659" s="34" t="n"/>
      <c r="F659" s="25">
        <f>IF(OR(B659="",E659=""),"",E659*IFERROR(INDEX(Config!$D$11:$D$20,MATCH(B659,Config!$A$11:$A$20,0)),0))</f>
        <v/>
      </c>
      <c r="G659" s="24">
        <f>IF(A659="","",MONTH(A659))</f>
        <v/>
      </c>
      <c r="H659" s="24">
        <f>IF(A659="","",YEAR(A659))</f>
        <v/>
      </c>
      <c r="I659" s="30" t="n"/>
    </row>
    <row r="660">
      <c r="A660" s="33" t="n"/>
      <c r="B660" s="30" t="n"/>
      <c r="C660" s="30" t="n"/>
      <c r="D660" s="28" t="n"/>
      <c r="E660" s="34" t="n"/>
      <c r="F660" s="25">
        <f>IF(OR(B660="",E660=""),"",E660*IFERROR(INDEX(Config!$D$11:$D$20,MATCH(B660,Config!$A$11:$A$20,0)),0))</f>
        <v/>
      </c>
      <c r="G660" s="24">
        <f>IF(A660="","",MONTH(A660))</f>
        <v/>
      </c>
      <c r="H660" s="24">
        <f>IF(A660="","",YEAR(A660))</f>
        <v/>
      </c>
      <c r="I660" s="30" t="n"/>
    </row>
    <row r="661">
      <c r="A661" s="33" t="n"/>
      <c r="B661" s="30" t="n"/>
      <c r="C661" s="30" t="n"/>
      <c r="D661" s="28" t="n"/>
      <c r="E661" s="34" t="n"/>
      <c r="F661" s="25">
        <f>IF(OR(B661="",E661=""),"",E661*IFERROR(INDEX(Config!$D$11:$D$20,MATCH(B661,Config!$A$11:$A$20,0)),0))</f>
        <v/>
      </c>
      <c r="G661" s="24">
        <f>IF(A661="","",MONTH(A661))</f>
        <v/>
      </c>
      <c r="H661" s="24">
        <f>IF(A661="","",YEAR(A661))</f>
        <v/>
      </c>
      <c r="I661" s="30" t="n"/>
    </row>
    <row r="662">
      <c r="A662" s="33" t="n"/>
      <c r="B662" s="30" t="n"/>
      <c r="C662" s="30" t="n"/>
      <c r="D662" s="28" t="n"/>
      <c r="E662" s="34" t="n"/>
      <c r="F662" s="25">
        <f>IF(OR(B662="",E662=""),"",E662*IFERROR(INDEX(Config!$D$11:$D$20,MATCH(B662,Config!$A$11:$A$20,0)),0))</f>
        <v/>
      </c>
      <c r="G662" s="24">
        <f>IF(A662="","",MONTH(A662))</f>
        <v/>
      </c>
      <c r="H662" s="24">
        <f>IF(A662="","",YEAR(A662))</f>
        <v/>
      </c>
      <c r="I662" s="30" t="n"/>
    </row>
    <row r="663">
      <c r="A663" s="33" t="n"/>
      <c r="B663" s="30" t="n"/>
      <c r="C663" s="30" t="n"/>
      <c r="D663" s="28" t="n"/>
      <c r="E663" s="34" t="n"/>
      <c r="F663" s="25">
        <f>IF(OR(B663="",E663=""),"",E663*IFERROR(INDEX(Config!$D$11:$D$20,MATCH(B663,Config!$A$11:$A$20,0)),0))</f>
        <v/>
      </c>
      <c r="G663" s="24">
        <f>IF(A663="","",MONTH(A663))</f>
        <v/>
      </c>
      <c r="H663" s="24">
        <f>IF(A663="","",YEAR(A663))</f>
        <v/>
      </c>
      <c r="I663" s="30" t="n"/>
    </row>
    <row r="664">
      <c r="A664" s="33" t="n"/>
      <c r="B664" s="30" t="n"/>
      <c r="C664" s="30" t="n"/>
      <c r="D664" s="28" t="n"/>
      <c r="E664" s="34" t="n"/>
      <c r="F664" s="25">
        <f>IF(OR(B664="",E664=""),"",E664*IFERROR(INDEX(Config!$D$11:$D$20,MATCH(B664,Config!$A$11:$A$20,0)),0))</f>
        <v/>
      </c>
      <c r="G664" s="24">
        <f>IF(A664="","",MONTH(A664))</f>
        <v/>
      </c>
      <c r="H664" s="24">
        <f>IF(A664="","",YEAR(A664))</f>
        <v/>
      </c>
      <c r="I664" s="30" t="n"/>
    </row>
    <row r="665">
      <c r="A665" s="33" t="n"/>
      <c r="B665" s="30" t="n"/>
      <c r="C665" s="30" t="n"/>
      <c r="D665" s="28" t="n"/>
      <c r="E665" s="34" t="n"/>
      <c r="F665" s="25">
        <f>IF(OR(B665="",E665=""),"",E665*IFERROR(INDEX(Config!$D$11:$D$20,MATCH(B665,Config!$A$11:$A$20,0)),0))</f>
        <v/>
      </c>
      <c r="G665" s="24">
        <f>IF(A665="","",MONTH(A665))</f>
        <v/>
      </c>
      <c r="H665" s="24">
        <f>IF(A665="","",YEAR(A665))</f>
        <v/>
      </c>
      <c r="I665" s="30" t="n"/>
    </row>
    <row r="666">
      <c r="A666" s="33" t="n"/>
      <c r="B666" s="30" t="n"/>
      <c r="C666" s="30" t="n"/>
      <c r="D666" s="28" t="n"/>
      <c r="E666" s="34" t="n"/>
      <c r="F666" s="25">
        <f>IF(OR(B666="",E666=""),"",E666*IFERROR(INDEX(Config!$D$11:$D$20,MATCH(B666,Config!$A$11:$A$20,0)),0))</f>
        <v/>
      </c>
      <c r="G666" s="24">
        <f>IF(A666="","",MONTH(A666))</f>
        <v/>
      </c>
      <c r="H666" s="24">
        <f>IF(A666="","",YEAR(A666))</f>
        <v/>
      </c>
      <c r="I666" s="30" t="n"/>
    </row>
    <row r="667">
      <c r="A667" s="33" t="n"/>
      <c r="B667" s="30" t="n"/>
      <c r="C667" s="30" t="n"/>
      <c r="D667" s="28" t="n"/>
      <c r="E667" s="34" t="n"/>
      <c r="F667" s="25">
        <f>IF(OR(B667="",E667=""),"",E667*IFERROR(INDEX(Config!$D$11:$D$20,MATCH(B667,Config!$A$11:$A$20,0)),0))</f>
        <v/>
      </c>
      <c r="G667" s="24">
        <f>IF(A667="","",MONTH(A667))</f>
        <v/>
      </c>
      <c r="H667" s="24">
        <f>IF(A667="","",YEAR(A667))</f>
        <v/>
      </c>
      <c r="I667" s="30" t="n"/>
    </row>
    <row r="668">
      <c r="A668" s="33" t="n"/>
      <c r="B668" s="30" t="n"/>
      <c r="C668" s="30" t="n"/>
      <c r="D668" s="28" t="n"/>
      <c r="E668" s="34" t="n"/>
      <c r="F668" s="25">
        <f>IF(OR(B668="",E668=""),"",E668*IFERROR(INDEX(Config!$D$11:$D$20,MATCH(B668,Config!$A$11:$A$20,0)),0))</f>
        <v/>
      </c>
      <c r="G668" s="24">
        <f>IF(A668="","",MONTH(A668))</f>
        <v/>
      </c>
      <c r="H668" s="24">
        <f>IF(A668="","",YEAR(A668))</f>
        <v/>
      </c>
      <c r="I668" s="30" t="n"/>
    </row>
    <row r="669">
      <c r="A669" s="33" t="n"/>
      <c r="B669" s="30" t="n"/>
      <c r="C669" s="30" t="n"/>
      <c r="D669" s="28" t="n"/>
      <c r="E669" s="34" t="n"/>
      <c r="F669" s="25">
        <f>IF(OR(B669="",E669=""),"",E669*IFERROR(INDEX(Config!$D$11:$D$20,MATCH(B669,Config!$A$11:$A$20,0)),0))</f>
        <v/>
      </c>
      <c r="G669" s="24">
        <f>IF(A669="","",MONTH(A669))</f>
        <v/>
      </c>
      <c r="H669" s="24">
        <f>IF(A669="","",YEAR(A669))</f>
        <v/>
      </c>
      <c r="I669" s="30" t="n"/>
    </row>
    <row r="670">
      <c r="A670" s="33" t="n"/>
      <c r="B670" s="30" t="n"/>
      <c r="C670" s="30" t="n"/>
      <c r="D670" s="28" t="n"/>
      <c r="E670" s="34" t="n"/>
      <c r="F670" s="25">
        <f>IF(OR(B670="",E670=""),"",E670*IFERROR(INDEX(Config!$D$11:$D$20,MATCH(B670,Config!$A$11:$A$20,0)),0))</f>
        <v/>
      </c>
      <c r="G670" s="24">
        <f>IF(A670="","",MONTH(A670))</f>
        <v/>
      </c>
      <c r="H670" s="24">
        <f>IF(A670="","",YEAR(A670))</f>
        <v/>
      </c>
      <c r="I670" s="30" t="n"/>
    </row>
    <row r="671">
      <c r="A671" s="33" t="n"/>
      <c r="B671" s="30" t="n"/>
      <c r="C671" s="30" t="n"/>
      <c r="D671" s="28" t="n"/>
      <c r="E671" s="34" t="n"/>
      <c r="F671" s="25">
        <f>IF(OR(B671="",E671=""),"",E671*IFERROR(INDEX(Config!$D$11:$D$20,MATCH(B671,Config!$A$11:$A$20,0)),0))</f>
        <v/>
      </c>
      <c r="G671" s="24">
        <f>IF(A671="","",MONTH(A671))</f>
        <v/>
      </c>
      <c r="H671" s="24">
        <f>IF(A671="","",YEAR(A671))</f>
        <v/>
      </c>
      <c r="I671" s="30" t="n"/>
    </row>
    <row r="672">
      <c r="A672" s="33" t="n"/>
      <c r="B672" s="30" t="n"/>
      <c r="C672" s="30" t="n"/>
      <c r="D672" s="28" t="n"/>
      <c r="E672" s="34" t="n"/>
      <c r="F672" s="25">
        <f>IF(OR(B672="",E672=""),"",E672*IFERROR(INDEX(Config!$D$11:$D$20,MATCH(B672,Config!$A$11:$A$20,0)),0))</f>
        <v/>
      </c>
      <c r="G672" s="24">
        <f>IF(A672="","",MONTH(A672))</f>
        <v/>
      </c>
      <c r="H672" s="24">
        <f>IF(A672="","",YEAR(A672))</f>
        <v/>
      </c>
      <c r="I672" s="30" t="n"/>
    </row>
    <row r="673">
      <c r="A673" s="33" t="n"/>
      <c r="B673" s="30" t="n"/>
      <c r="C673" s="30" t="n"/>
      <c r="D673" s="28" t="n"/>
      <c r="E673" s="34" t="n"/>
      <c r="F673" s="25">
        <f>IF(OR(B673="",E673=""),"",E673*IFERROR(INDEX(Config!$D$11:$D$20,MATCH(B673,Config!$A$11:$A$20,0)),0))</f>
        <v/>
      </c>
      <c r="G673" s="24">
        <f>IF(A673="","",MONTH(A673))</f>
        <v/>
      </c>
      <c r="H673" s="24">
        <f>IF(A673="","",YEAR(A673))</f>
        <v/>
      </c>
      <c r="I673" s="30" t="n"/>
    </row>
    <row r="674">
      <c r="A674" s="33" t="n"/>
      <c r="B674" s="30" t="n"/>
      <c r="C674" s="30" t="n"/>
      <c r="D674" s="28" t="n"/>
      <c r="E674" s="34" t="n"/>
      <c r="F674" s="25">
        <f>IF(OR(B674="",E674=""),"",E674*IFERROR(INDEX(Config!$D$11:$D$20,MATCH(B674,Config!$A$11:$A$20,0)),0))</f>
        <v/>
      </c>
      <c r="G674" s="24">
        <f>IF(A674="","",MONTH(A674))</f>
        <v/>
      </c>
      <c r="H674" s="24">
        <f>IF(A674="","",YEAR(A674))</f>
        <v/>
      </c>
      <c r="I674" s="30" t="n"/>
    </row>
    <row r="675">
      <c r="A675" s="33" t="n"/>
      <c r="B675" s="30" t="n"/>
      <c r="C675" s="30" t="n"/>
      <c r="D675" s="28" t="n"/>
      <c r="E675" s="34" t="n"/>
      <c r="F675" s="25">
        <f>IF(OR(B675="",E675=""),"",E675*IFERROR(INDEX(Config!$D$11:$D$20,MATCH(B675,Config!$A$11:$A$20,0)),0))</f>
        <v/>
      </c>
      <c r="G675" s="24">
        <f>IF(A675="","",MONTH(A675))</f>
        <v/>
      </c>
      <c r="H675" s="24">
        <f>IF(A675="","",YEAR(A675))</f>
        <v/>
      </c>
      <c r="I675" s="30" t="n"/>
    </row>
    <row r="676">
      <c r="A676" s="33" t="n"/>
      <c r="B676" s="30" t="n"/>
      <c r="C676" s="30" t="n"/>
      <c r="D676" s="28" t="n"/>
      <c r="E676" s="34" t="n"/>
      <c r="F676" s="25">
        <f>IF(OR(B676="",E676=""),"",E676*IFERROR(INDEX(Config!$D$11:$D$20,MATCH(B676,Config!$A$11:$A$20,0)),0))</f>
        <v/>
      </c>
      <c r="G676" s="24">
        <f>IF(A676="","",MONTH(A676))</f>
        <v/>
      </c>
      <c r="H676" s="24">
        <f>IF(A676="","",YEAR(A676))</f>
        <v/>
      </c>
      <c r="I676" s="30" t="n"/>
    </row>
    <row r="677">
      <c r="A677" s="33" t="n"/>
      <c r="B677" s="30" t="n"/>
      <c r="C677" s="30" t="n"/>
      <c r="D677" s="28" t="n"/>
      <c r="E677" s="34" t="n"/>
      <c r="F677" s="25">
        <f>IF(OR(B677="",E677=""),"",E677*IFERROR(INDEX(Config!$D$11:$D$20,MATCH(B677,Config!$A$11:$A$20,0)),0))</f>
        <v/>
      </c>
      <c r="G677" s="24">
        <f>IF(A677="","",MONTH(A677))</f>
        <v/>
      </c>
      <c r="H677" s="24">
        <f>IF(A677="","",YEAR(A677))</f>
        <v/>
      </c>
      <c r="I677" s="30" t="n"/>
    </row>
    <row r="678">
      <c r="A678" s="33" t="n"/>
      <c r="B678" s="30" t="n"/>
      <c r="C678" s="30" t="n"/>
      <c r="D678" s="28" t="n"/>
      <c r="E678" s="34" t="n"/>
      <c r="F678" s="25">
        <f>IF(OR(B678="",E678=""),"",E678*IFERROR(INDEX(Config!$D$11:$D$20,MATCH(B678,Config!$A$11:$A$20,0)),0))</f>
        <v/>
      </c>
      <c r="G678" s="24">
        <f>IF(A678="","",MONTH(A678))</f>
        <v/>
      </c>
      <c r="H678" s="24">
        <f>IF(A678="","",YEAR(A678))</f>
        <v/>
      </c>
      <c r="I678" s="30" t="n"/>
    </row>
    <row r="679">
      <c r="A679" s="33" t="n"/>
      <c r="B679" s="30" t="n"/>
      <c r="C679" s="30" t="n"/>
      <c r="D679" s="28" t="n"/>
      <c r="E679" s="34" t="n"/>
      <c r="F679" s="25">
        <f>IF(OR(B679="",E679=""),"",E679*IFERROR(INDEX(Config!$D$11:$D$20,MATCH(B679,Config!$A$11:$A$20,0)),0))</f>
        <v/>
      </c>
      <c r="G679" s="24">
        <f>IF(A679="","",MONTH(A679))</f>
        <v/>
      </c>
      <c r="H679" s="24">
        <f>IF(A679="","",YEAR(A679))</f>
        <v/>
      </c>
      <c r="I679" s="30" t="n"/>
    </row>
    <row r="680">
      <c r="A680" s="33" t="n"/>
      <c r="B680" s="30" t="n"/>
      <c r="C680" s="30" t="n"/>
      <c r="D680" s="28" t="n"/>
      <c r="E680" s="34" t="n"/>
      <c r="F680" s="25">
        <f>IF(OR(B680="",E680=""),"",E680*IFERROR(INDEX(Config!$D$11:$D$20,MATCH(B680,Config!$A$11:$A$20,0)),0))</f>
        <v/>
      </c>
      <c r="G680" s="24">
        <f>IF(A680="","",MONTH(A680))</f>
        <v/>
      </c>
      <c r="H680" s="24">
        <f>IF(A680="","",YEAR(A680))</f>
        <v/>
      </c>
      <c r="I680" s="30" t="n"/>
    </row>
    <row r="681">
      <c r="A681" s="33" t="n"/>
      <c r="B681" s="30" t="n"/>
      <c r="C681" s="30" t="n"/>
      <c r="D681" s="28" t="n"/>
      <c r="E681" s="34" t="n"/>
      <c r="F681" s="25">
        <f>IF(OR(B681="",E681=""),"",E681*IFERROR(INDEX(Config!$D$11:$D$20,MATCH(B681,Config!$A$11:$A$20,0)),0))</f>
        <v/>
      </c>
      <c r="G681" s="24">
        <f>IF(A681="","",MONTH(A681))</f>
        <v/>
      </c>
      <c r="H681" s="24">
        <f>IF(A681="","",YEAR(A681))</f>
        <v/>
      </c>
      <c r="I681" s="30" t="n"/>
    </row>
    <row r="682">
      <c r="A682" s="33" t="n"/>
      <c r="B682" s="30" t="n"/>
      <c r="C682" s="30" t="n"/>
      <c r="D682" s="28" t="n"/>
      <c r="E682" s="34" t="n"/>
      <c r="F682" s="25">
        <f>IF(OR(B682="",E682=""),"",E682*IFERROR(INDEX(Config!$D$11:$D$20,MATCH(B682,Config!$A$11:$A$20,0)),0))</f>
        <v/>
      </c>
      <c r="G682" s="24">
        <f>IF(A682="","",MONTH(A682))</f>
        <v/>
      </c>
      <c r="H682" s="24">
        <f>IF(A682="","",YEAR(A682))</f>
        <v/>
      </c>
      <c r="I682" s="30" t="n"/>
    </row>
    <row r="683">
      <c r="A683" s="33" t="n"/>
      <c r="B683" s="30" t="n"/>
      <c r="C683" s="30" t="n"/>
      <c r="D683" s="28" t="n"/>
      <c r="E683" s="34" t="n"/>
      <c r="F683" s="25">
        <f>IF(OR(B683="",E683=""),"",E683*IFERROR(INDEX(Config!$D$11:$D$20,MATCH(B683,Config!$A$11:$A$20,0)),0))</f>
        <v/>
      </c>
      <c r="G683" s="24">
        <f>IF(A683="","",MONTH(A683))</f>
        <v/>
      </c>
      <c r="H683" s="24">
        <f>IF(A683="","",YEAR(A683))</f>
        <v/>
      </c>
      <c r="I683" s="30" t="n"/>
    </row>
    <row r="684">
      <c r="A684" s="33" t="n"/>
      <c r="B684" s="30" t="n"/>
      <c r="C684" s="30" t="n"/>
      <c r="D684" s="28" t="n"/>
      <c r="E684" s="34" t="n"/>
      <c r="F684" s="25">
        <f>IF(OR(B684="",E684=""),"",E684*IFERROR(INDEX(Config!$D$11:$D$20,MATCH(B684,Config!$A$11:$A$20,0)),0))</f>
        <v/>
      </c>
      <c r="G684" s="24">
        <f>IF(A684="","",MONTH(A684))</f>
        <v/>
      </c>
      <c r="H684" s="24">
        <f>IF(A684="","",YEAR(A684))</f>
        <v/>
      </c>
      <c r="I684" s="30" t="n"/>
    </row>
    <row r="685">
      <c r="A685" s="33" t="n"/>
      <c r="B685" s="30" t="n"/>
      <c r="C685" s="30" t="n"/>
      <c r="D685" s="28" t="n"/>
      <c r="E685" s="34" t="n"/>
      <c r="F685" s="25">
        <f>IF(OR(B685="",E685=""),"",E685*IFERROR(INDEX(Config!$D$11:$D$20,MATCH(B685,Config!$A$11:$A$20,0)),0))</f>
        <v/>
      </c>
      <c r="G685" s="24">
        <f>IF(A685="","",MONTH(A685))</f>
        <v/>
      </c>
      <c r="H685" s="24">
        <f>IF(A685="","",YEAR(A685))</f>
        <v/>
      </c>
      <c r="I685" s="30" t="n"/>
    </row>
    <row r="686">
      <c r="A686" s="33" t="n"/>
      <c r="B686" s="30" t="n"/>
      <c r="C686" s="30" t="n"/>
      <c r="D686" s="28" t="n"/>
      <c r="E686" s="34" t="n"/>
      <c r="F686" s="25">
        <f>IF(OR(B686="",E686=""),"",E686*IFERROR(INDEX(Config!$D$11:$D$20,MATCH(B686,Config!$A$11:$A$20,0)),0))</f>
        <v/>
      </c>
      <c r="G686" s="24">
        <f>IF(A686="","",MONTH(A686))</f>
        <v/>
      </c>
      <c r="H686" s="24">
        <f>IF(A686="","",YEAR(A686))</f>
        <v/>
      </c>
      <c r="I686" s="30" t="n"/>
    </row>
    <row r="687">
      <c r="A687" s="33" t="n"/>
      <c r="B687" s="30" t="n"/>
      <c r="C687" s="30" t="n"/>
      <c r="D687" s="28" t="n"/>
      <c r="E687" s="34" t="n"/>
      <c r="F687" s="25">
        <f>IF(OR(B687="",E687=""),"",E687*IFERROR(INDEX(Config!$D$11:$D$20,MATCH(B687,Config!$A$11:$A$20,0)),0))</f>
        <v/>
      </c>
      <c r="G687" s="24">
        <f>IF(A687="","",MONTH(A687))</f>
        <v/>
      </c>
      <c r="H687" s="24">
        <f>IF(A687="","",YEAR(A687))</f>
        <v/>
      </c>
      <c r="I687" s="30" t="n"/>
    </row>
    <row r="688">
      <c r="A688" s="33" t="n"/>
      <c r="B688" s="30" t="n"/>
      <c r="C688" s="30" t="n"/>
      <c r="D688" s="28" t="n"/>
      <c r="E688" s="34" t="n"/>
      <c r="F688" s="25">
        <f>IF(OR(B688="",E688=""),"",E688*IFERROR(INDEX(Config!$D$11:$D$20,MATCH(B688,Config!$A$11:$A$20,0)),0))</f>
        <v/>
      </c>
      <c r="G688" s="24">
        <f>IF(A688="","",MONTH(A688))</f>
        <v/>
      </c>
      <c r="H688" s="24">
        <f>IF(A688="","",YEAR(A688))</f>
        <v/>
      </c>
      <c r="I688" s="30" t="n"/>
    </row>
    <row r="689">
      <c r="A689" s="33" t="n"/>
      <c r="B689" s="30" t="n"/>
      <c r="C689" s="30" t="n"/>
      <c r="D689" s="28" t="n"/>
      <c r="E689" s="34" t="n"/>
      <c r="F689" s="25">
        <f>IF(OR(B689="",E689=""),"",E689*IFERROR(INDEX(Config!$D$11:$D$20,MATCH(B689,Config!$A$11:$A$20,0)),0))</f>
        <v/>
      </c>
      <c r="G689" s="24">
        <f>IF(A689="","",MONTH(A689))</f>
        <v/>
      </c>
      <c r="H689" s="24">
        <f>IF(A689="","",YEAR(A689))</f>
        <v/>
      </c>
      <c r="I689" s="30" t="n"/>
    </row>
    <row r="690">
      <c r="A690" s="33" t="n"/>
      <c r="B690" s="30" t="n"/>
      <c r="C690" s="30" t="n"/>
      <c r="D690" s="28" t="n"/>
      <c r="E690" s="34" t="n"/>
      <c r="F690" s="25">
        <f>IF(OR(B690="",E690=""),"",E690*IFERROR(INDEX(Config!$D$11:$D$20,MATCH(B690,Config!$A$11:$A$20,0)),0))</f>
        <v/>
      </c>
      <c r="G690" s="24">
        <f>IF(A690="","",MONTH(A690))</f>
        <v/>
      </c>
      <c r="H690" s="24">
        <f>IF(A690="","",YEAR(A690))</f>
        <v/>
      </c>
      <c r="I690" s="30" t="n"/>
    </row>
    <row r="691">
      <c r="A691" s="33" t="n"/>
      <c r="B691" s="30" t="n"/>
      <c r="C691" s="30" t="n"/>
      <c r="D691" s="28" t="n"/>
      <c r="E691" s="34" t="n"/>
      <c r="F691" s="25">
        <f>IF(OR(B691="",E691=""),"",E691*IFERROR(INDEX(Config!$D$11:$D$20,MATCH(B691,Config!$A$11:$A$20,0)),0))</f>
        <v/>
      </c>
      <c r="G691" s="24">
        <f>IF(A691="","",MONTH(A691))</f>
        <v/>
      </c>
      <c r="H691" s="24">
        <f>IF(A691="","",YEAR(A691))</f>
        <v/>
      </c>
      <c r="I691" s="30" t="n"/>
    </row>
    <row r="692">
      <c r="A692" s="33" t="n"/>
      <c r="B692" s="30" t="n"/>
      <c r="C692" s="30" t="n"/>
      <c r="D692" s="28" t="n"/>
      <c r="E692" s="34" t="n"/>
      <c r="F692" s="25">
        <f>IF(OR(B692="",E692=""),"",E692*IFERROR(INDEX(Config!$D$11:$D$20,MATCH(B692,Config!$A$11:$A$20,0)),0))</f>
        <v/>
      </c>
      <c r="G692" s="24">
        <f>IF(A692="","",MONTH(A692))</f>
        <v/>
      </c>
      <c r="H692" s="24">
        <f>IF(A692="","",YEAR(A692))</f>
        <v/>
      </c>
      <c r="I692" s="30" t="n"/>
    </row>
    <row r="693">
      <c r="A693" s="33" t="n"/>
      <c r="B693" s="30" t="n"/>
      <c r="C693" s="30" t="n"/>
      <c r="D693" s="28" t="n"/>
      <c r="E693" s="34" t="n"/>
      <c r="F693" s="25">
        <f>IF(OR(B693="",E693=""),"",E693*IFERROR(INDEX(Config!$D$11:$D$20,MATCH(B693,Config!$A$11:$A$20,0)),0))</f>
        <v/>
      </c>
      <c r="G693" s="24">
        <f>IF(A693="","",MONTH(A693))</f>
        <v/>
      </c>
      <c r="H693" s="24">
        <f>IF(A693="","",YEAR(A693))</f>
        <v/>
      </c>
      <c r="I693" s="30" t="n"/>
    </row>
    <row r="694">
      <c r="A694" s="33" t="n"/>
      <c r="B694" s="30" t="n"/>
      <c r="C694" s="30" t="n"/>
      <c r="D694" s="28" t="n"/>
      <c r="E694" s="34" t="n"/>
      <c r="F694" s="25">
        <f>IF(OR(B694="",E694=""),"",E694*IFERROR(INDEX(Config!$D$11:$D$20,MATCH(B694,Config!$A$11:$A$20,0)),0))</f>
        <v/>
      </c>
      <c r="G694" s="24">
        <f>IF(A694="","",MONTH(A694))</f>
        <v/>
      </c>
      <c r="H694" s="24">
        <f>IF(A694="","",YEAR(A694))</f>
        <v/>
      </c>
      <c r="I694" s="30" t="n"/>
    </row>
    <row r="695">
      <c r="A695" s="33" t="n"/>
      <c r="B695" s="30" t="n"/>
      <c r="C695" s="30" t="n"/>
      <c r="D695" s="28" t="n"/>
      <c r="E695" s="34" t="n"/>
      <c r="F695" s="25">
        <f>IF(OR(B695="",E695=""),"",E695*IFERROR(INDEX(Config!$D$11:$D$20,MATCH(B695,Config!$A$11:$A$20,0)),0))</f>
        <v/>
      </c>
      <c r="G695" s="24">
        <f>IF(A695="","",MONTH(A695))</f>
        <v/>
      </c>
      <c r="H695" s="24">
        <f>IF(A695="","",YEAR(A695))</f>
        <v/>
      </c>
      <c r="I695" s="30" t="n"/>
    </row>
    <row r="696">
      <c r="A696" s="33" t="n"/>
      <c r="B696" s="30" t="n"/>
      <c r="C696" s="30" t="n"/>
      <c r="D696" s="28" t="n"/>
      <c r="E696" s="34" t="n"/>
      <c r="F696" s="25">
        <f>IF(OR(B696="",E696=""),"",E696*IFERROR(INDEX(Config!$D$11:$D$20,MATCH(B696,Config!$A$11:$A$20,0)),0))</f>
        <v/>
      </c>
      <c r="G696" s="24">
        <f>IF(A696="","",MONTH(A696))</f>
        <v/>
      </c>
      <c r="H696" s="24">
        <f>IF(A696="","",YEAR(A696))</f>
        <v/>
      </c>
      <c r="I696" s="30" t="n"/>
    </row>
    <row r="697">
      <c r="A697" s="33" t="n"/>
      <c r="B697" s="30" t="n"/>
      <c r="C697" s="30" t="n"/>
      <c r="D697" s="28" t="n"/>
      <c r="E697" s="34" t="n"/>
      <c r="F697" s="25">
        <f>IF(OR(B697="",E697=""),"",E697*IFERROR(INDEX(Config!$D$11:$D$20,MATCH(B697,Config!$A$11:$A$20,0)),0))</f>
        <v/>
      </c>
      <c r="G697" s="24">
        <f>IF(A697="","",MONTH(A697))</f>
        <v/>
      </c>
      <c r="H697" s="24">
        <f>IF(A697="","",YEAR(A697))</f>
        <v/>
      </c>
      <c r="I697" s="30" t="n"/>
    </row>
    <row r="698">
      <c r="A698" s="33" t="n"/>
      <c r="B698" s="30" t="n"/>
      <c r="C698" s="30" t="n"/>
      <c r="D698" s="28" t="n"/>
      <c r="E698" s="34" t="n"/>
      <c r="F698" s="25">
        <f>IF(OR(B698="",E698=""),"",E698*IFERROR(INDEX(Config!$D$11:$D$20,MATCH(B698,Config!$A$11:$A$20,0)),0))</f>
        <v/>
      </c>
      <c r="G698" s="24">
        <f>IF(A698="","",MONTH(A698))</f>
        <v/>
      </c>
      <c r="H698" s="24">
        <f>IF(A698="","",YEAR(A698))</f>
        <v/>
      </c>
      <c r="I698" s="30" t="n"/>
    </row>
    <row r="699">
      <c r="A699" s="33" t="n"/>
      <c r="B699" s="30" t="n"/>
      <c r="C699" s="30" t="n"/>
      <c r="D699" s="28" t="n"/>
      <c r="E699" s="34" t="n"/>
      <c r="F699" s="25">
        <f>IF(OR(B699="",E699=""),"",E699*IFERROR(INDEX(Config!$D$11:$D$20,MATCH(B699,Config!$A$11:$A$20,0)),0))</f>
        <v/>
      </c>
      <c r="G699" s="24">
        <f>IF(A699="","",MONTH(A699))</f>
        <v/>
      </c>
      <c r="H699" s="24">
        <f>IF(A699="","",YEAR(A699))</f>
        <v/>
      </c>
      <c r="I699" s="30" t="n"/>
    </row>
    <row r="700">
      <c r="A700" s="33" t="n"/>
      <c r="B700" s="30" t="n"/>
      <c r="C700" s="30" t="n"/>
      <c r="D700" s="28" t="n"/>
      <c r="E700" s="34" t="n"/>
      <c r="F700" s="25">
        <f>IF(OR(B700="",E700=""),"",E700*IFERROR(INDEX(Config!$D$11:$D$20,MATCH(B700,Config!$A$11:$A$20,0)),0))</f>
        <v/>
      </c>
      <c r="G700" s="24">
        <f>IF(A700="","",MONTH(A700))</f>
        <v/>
      </c>
      <c r="H700" s="24">
        <f>IF(A700="","",YEAR(A700))</f>
        <v/>
      </c>
      <c r="I700" s="30" t="n"/>
    </row>
    <row r="701">
      <c r="A701" s="33" t="n"/>
      <c r="B701" s="30" t="n"/>
      <c r="C701" s="30" t="n"/>
      <c r="D701" s="28" t="n"/>
      <c r="E701" s="34" t="n"/>
      <c r="F701" s="25">
        <f>IF(OR(B701="",E701=""),"",E701*IFERROR(INDEX(Config!$D$11:$D$20,MATCH(B701,Config!$A$11:$A$20,0)),0))</f>
        <v/>
      </c>
      <c r="G701" s="24">
        <f>IF(A701="","",MONTH(A701))</f>
        <v/>
      </c>
      <c r="H701" s="24">
        <f>IF(A701="","",YEAR(A701))</f>
        <v/>
      </c>
      <c r="I701" s="30" t="n"/>
    </row>
    <row r="702">
      <c r="A702" s="33" t="n"/>
      <c r="B702" s="30" t="n"/>
      <c r="C702" s="30" t="n"/>
      <c r="D702" s="28" t="n"/>
      <c r="E702" s="34" t="n"/>
      <c r="F702" s="25">
        <f>IF(OR(B702="",E702=""),"",E702*IFERROR(INDEX(Config!$D$11:$D$20,MATCH(B702,Config!$A$11:$A$20,0)),0))</f>
        <v/>
      </c>
      <c r="G702" s="24">
        <f>IF(A702="","",MONTH(A702))</f>
        <v/>
      </c>
      <c r="H702" s="24">
        <f>IF(A702="","",YEAR(A702))</f>
        <v/>
      </c>
      <c r="I702" s="30" t="n"/>
    </row>
    <row r="703">
      <c r="A703" s="33" t="n"/>
      <c r="B703" s="30" t="n"/>
      <c r="C703" s="30" t="n"/>
      <c r="D703" s="28" t="n"/>
      <c r="E703" s="34" t="n"/>
      <c r="F703" s="25">
        <f>IF(OR(B703="",E703=""),"",E703*IFERROR(INDEX(Config!$D$11:$D$20,MATCH(B703,Config!$A$11:$A$20,0)),0))</f>
        <v/>
      </c>
      <c r="G703" s="24">
        <f>IF(A703="","",MONTH(A703))</f>
        <v/>
      </c>
      <c r="H703" s="24">
        <f>IF(A703="","",YEAR(A703))</f>
        <v/>
      </c>
      <c r="I703" s="30" t="n"/>
    </row>
    <row r="704">
      <c r="A704" s="33" t="n"/>
      <c r="B704" s="30" t="n"/>
      <c r="C704" s="30" t="n"/>
      <c r="D704" s="28" t="n"/>
      <c r="E704" s="34" t="n"/>
      <c r="F704" s="25">
        <f>IF(OR(B704="",E704=""),"",E704*IFERROR(INDEX(Config!$D$11:$D$20,MATCH(B704,Config!$A$11:$A$20,0)),0))</f>
        <v/>
      </c>
      <c r="G704" s="24">
        <f>IF(A704="","",MONTH(A704))</f>
        <v/>
      </c>
      <c r="H704" s="24">
        <f>IF(A704="","",YEAR(A704))</f>
        <v/>
      </c>
      <c r="I704" s="30" t="n"/>
    </row>
    <row r="705">
      <c r="A705" s="33" t="n"/>
      <c r="B705" s="30" t="n"/>
      <c r="C705" s="30" t="n"/>
      <c r="D705" s="28" t="n"/>
      <c r="E705" s="34" t="n"/>
      <c r="F705" s="25">
        <f>IF(OR(B705="",E705=""),"",E705*IFERROR(INDEX(Config!$D$11:$D$20,MATCH(B705,Config!$A$11:$A$20,0)),0))</f>
        <v/>
      </c>
      <c r="G705" s="24">
        <f>IF(A705="","",MONTH(A705))</f>
        <v/>
      </c>
      <c r="H705" s="24">
        <f>IF(A705="","",YEAR(A705))</f>
        <v/>
      </c>
      <c r="I705" s="30" t="n"/>
    </row>
    <row r="706">
      <c r="A706" s="33" t="n"/>
      <c r="B706" s="30" t="n"/>
      <c r="C706" s="30" t="n"/>
      <c r="D706" s="28" t="n"/>
      <c r="E706" s="34" t="n"/>
      <c r="F706" s="25">
        <f>IF(OR(B706="",E706=""),"",E706*IFERROR(INDEX(Config!$D$11:$D$20,MATCH(B706,Config!$A$11:$A$20,0)),0))</f>
        <v/>
      </c>
      <c r="G706" s="24">
        <f>IF(A706="","",MONTH(A706))</f>
        <v/>
      </c>
      <c r="H706" s="24">
        <f>IF(A706="","",YEAR(A706))</f>
        <v/>
      </c>
      <c r="I706" s="30" t="n"/>
    </row>
    <row r="707">
      <c r="A707" s="33" t="n"/>
      <c r="B707" s="30" t="n"/>
      <c r="C707" s="30" t="n"/>
      <c r="D707" s="28" t="n"/>
      <c r="E707" s="34" t="n"/>
      <c r="F707" s="25">
        <f>IF(OR(B707="",E707=""),"",E707*IFERROR(INDEX(Config!$D$11:$D$20,MATCH(B707,Config!$A$11:$A$20,0)),0))</f>
        <v/>
      </c>
      <c r="G707" s="24">
        <f>IF(A707="","",MONTH(A707))</f>
        <v/>
      </c>
      <c r="H707" s="24">
        <f>IF(A707="","",YEAR(A707))</f>
        <v/>
      </c>
      <c r="I707" s="30" t="n"/>
    </row>
    <row r="708">
      <c r="A708" s="33" t="n"/>
      <c r="B708" s="30" t="n"/>
      <c r="C708" s="30" t="n"/>
      <c r="D708" s="28" t="n"/>
      <c r="E708" s="34" t="n"/>
      <c r="F708" s="25">
        <f>IF(OR(B708="",E708=""),"",E708*IFERROR(INDEX(Config!$D$11:$D$20,MATCH(B708,Config!$A$11:$A$20,0)),0))</f>
        <v/>
      </c>
      <c r="G708" s="24">
        <f>IF(A708="","",MONTH(A708))</f>
        <v/>
      </c>
      <c r="H708" s="24">
        <f>IF(A708="","",YEAR(A708))</f>
        <v/>
      </c>
      <c r="I708" s="30" t="n"/>
    </row>
    <row r="709">
      <c r="A709" s="33" t="n"/>
      <c r="B709" s="30" t="n"/>
      <c r="C709" s="30" t="n"/>
      <c r="D709" s="28" t="n"/>
      <c r="E709" s="34" t="n"/>
      <c r="F709" s="25">
        <f>IF(OR(B709="",E709=""),"",E709*IFERROR(INDEX(Config!$D$11:$D$20,MATCH(B709,Config!$A$11:$A$20,0)),0))</f>
        <v/>
      </c>
      <c r="G709" s="24">
        <f>IF(A709="","",MONTH(A709))</f>
        <v/>
      </c>
      <c r="H709" s="24">
        <f>IF(A709="","",YEAR(A709))</f>
        <v/>
      </c>
      <c r="I709" s="30" t="n"/>
    </row>
    <row r="710">
      <c r="A710" s="33" t="n"/>
      <c r="B710" s="30" t="n"/>
      <c r="C710" s="30" t="n"/>
      <c r="D710" s="28" t="n"/>
      <c r="E710" s="34" t="n"/>
      <c r="F710" s="25">
        <f>IF(OR(B710="",E710=""),"",E710*IFERROR(INDEX(Config!$D$11:$D$20,MATCH(B710,Config!$A$11:$A$20,0)),0))</f>
        <v/>
      </c>
      <c r="G710" s="24">
        <f>IF(A710="","",MONTH(A710))</f>
        <v/>
      </c>
      <c r="H710" s="24">
        <f>IF(A710="","",YEAR(A710))</f>
        <v/>
      </c>
      <c r="I710" s="30" t="n"/>
    </row>
    <row r="711">
      <c r="A711" s="33" t="n"/>
      <c r="B711" s="30" t="n"/>
      <c r="C711" s="30" t="n"/>
      <c r="D711" s="28" t="n"/>
      <c r="E711" s="34" t="n"/>
      <c r="F711" s="25">
        <f>IF(OR(B711="",E711=""),"",E711*IFERROR(INDEX(Config!$D$11:$D$20,MATCH(B711,Config!$A$11:$A$20,0)),0))</f>
        <v/>
      </c>
      <c r="G711" s="24">
        <f>IF(A711="","",MONTH(A711))</f>
        <v/>
      </c>
      <c r="H711" s="24">
        <f>IF(A711="","",YEAR(A711))</f>
        <v/>
      </c>
      <c r="I711" s="30" t="n"/>
    </row>
    <row r="712">
      <c r="A712" s="33" t="n"/>
      <c r="B712" s="30" t="n"/>
      <c r="C712" s="30" t="n"/>
      <c r="D712" s="28" t="n"/>
      <c r="E712" s="34" t="n"/>
      <c r="F712" s="25">
        <f>IF(OR(B712="",E712=""),"",E712*IFERROR(INDEX(Config!$D$11:$D$20,MATCH(B712,Config!$A$11:$A$20,0)),0))</f>
        <v/>
      </c>
      <c r="G712" s="24">
        <f>IF(A712="","",MONTH(A712))</f>
        <v/>
      </c>
      <c r="H712" s="24">
        <f>IF(A712="","",YEAR(A712))</f>
        <v/>
      </c>
      <c r="I712" s="30" t="n"/>
    </row>
    <row r="713">
      <c r="A713" s="33" t="n"/>
      <c r="B713" s="30" t="n"/>
      <c r="C713" s="30" t="n"/>
      <c r="D713" s="28" t="n"/>
      <c r="E713" s="34" t="n"/>
      <c r="F713" s="25">
        <f>IF(OR(B713="",E713=""),"",E713*IFERROR(INDEX(Config!$D$11:$D$20,MATCH(B713,Config!$A$11:$A$20,0)),0))</f>
        <v/>
      </c>
      <c r="G713" s="24">
        <f>IF(A713="","",MONTH(A713))</f>
        <v/>
      </c>
      <c r="H713" s="24">
        <f>IF(A713="","",YEAR(A713))</f>
        <v/>
      </c>
      <c r="I713" s="30" t="n"/>
    </row>
    <row r="714">
      <c r="A714" s="33" t="n"/>
      <c r="B714" s="30" t="n"/>
      <c r="C714" s="30" t="n"/>
      <c r="D714" s="28" t="n"/>
      <c r="E714" s="34" t="n"/>
      <c r="F714" s="25">
        <f>IF(OR(B714="",E714=""),"",E714*IFERROR(INDEX(Config!$D$11:$D$20,MATCH(B714,Config!$A$11:$A$20,0)),0))</f>
        <v/>
      </c>
      <c r="G714" s="24">
        <f>IF(A714="","",MONTH(A714))</f>
        <v/>
      </c>
      <c r="H714" s="24">
        <f>IF(A714="","",YEAR(A714))</f>
        <v/>
      </c>
      <c r="I714" s="30" t="n"/>
    </row>
    <row r="715">
      <c r="A715" s="33" t="n"/>
      <c r="B715" s="30" t="n"/>
      <c r="C715" s="30" t="n"/>
      <c r="D715" s="28" t="n"/>
      <c r="E715" s="34" t="n"/>
      <c r="F715" s="25">
        <f>IF(OR(B715="",E715=""),"",E715*IFERROR(INDEX(Config!$D$11:$D$20,MATCH(B715,Config!$A$11:$A$20,0)),0))</f>
        <v/>
      </c>
      <c r="G715" s="24">
        <f>IF(A715="","",MONTH(A715))</f>
        <v/>
      </c>
      <c r="H715" s="24">
        <f>IF(A715="","",YEAR(A715))</f>
        <v/>
      </c>
      <c r="I715" s="30" t="n"/>
    </row>
    <row r="716">
      <c r="A716" s="33" t="n"/>
      <c r="B716" s="30" t="n"/>
      <c r="C716" s="30" t="n"/>
      <c r="D716" s="28" t="n"/>
      <c r="E716" s="34" t="n"/>
      <c r="F716" s="25">
        <f>IF(OR(B716="",E716=""),"",E716*IFERROR(INDEX(Config!$D$11:$D$20,MATCH(B716,Config!$A$11:$A$20,0)),0))</f>
        <v/>
      </c>
      <c r="G716" s="24">
        <f>IF(A716="","",MONTH(A716))</f>
        <v/>
      </c>
      <c r="H716" s="24">
        <f>IF(A716="","",YEAR(A716))</f>
        <v/>
      </c>
      <c r="I716" s="30" t="n"/>
    </row>
    <row r="717">
      <c r="A717" s="33" t="n"/>
      <c r="B717" s="30" t="n"/>
      <c r="C717" s="30" t="n"/>
      <c r="D717" s="28" t="n"/>
      <c r="E717" s="34" t="n"/>
      <c r="F717" s="25">
        <f>IF(OR(B717="",E717=""),"",E717*IFERROR(INDEX(Config!$D$11:$D$20,MATCH(B717,Config!$A$11:$A$20,0)),0))</f>
        <v/>
      </c>
      <c r="G717" s="24">
        <f>IF(A717="","",MONTH(A717))</f>
        <v/>
      </c>
      <c r="H717" s="24">
        <f>IF(A717="","",YEAR(A717))</f>
        <v/>
      </c>
      <c r="I717" s="30" t="n"/>
    </row>
    <row r="718">
      <c r="A718" s="33" t="n"/>
      <c r="B718" s="30" t="n"/>
      <c r="C718" s="30" t="n"/>
      <c r="D718" s="28" t="n"/>
      <c r="E718" s="34" t="n"/>
      <c r="F718" s="25">
        <f>IF(OR(B718="",E718=""),"",E718*IFERROR(INDEX(Config!$D$11:$D$20,MATCH(B718,Config!$A$11:$A$20,0)),0))</f>
        <v/>
      </c>
      <c r="G718" s="24">
        <f>IF(A718="","",MONTH(A718))</f>
        <v/>
      </c>
      <c r="H718" s="24">
        <f>IF(A718="","",YEAR(A718))</f>
        <v/>
      </c>
      <c r="I718" s="30" t="n"/>
    </row>
    <row r="719">
      <c r="A719" s="33" t="n"/>
      <c r="B719" s="30" t="n"/>
      <c r="C719" s="30" t="n"/>
      <c r="D719" s="28" t="n"/>
      <c r="E719" s="34" t="n"/>
      <c r="F719" s="25">
        <f>IF(OR(B719="",E719=""),"",E719*IFERROR(INDEX(Config!$D$11:$D$20,MATCH(B719,Config!$A$11:$A$20,0)),0))</f>
        <v/>
      </c>
      <c r="G719" s="24">
        <f>IF(A719="","",MONTH(A719))</f>
        <v/>
      </c>
      <c r="H719" s="24">
        <f>IF(A719="","",YEAR(A719))</f>
        <v/>
      </c>
      <c r="I719" s="30" t="n"/>
    </row>
    <row r="720">
      <c r="A720" s="33" t="n"/>
      <c r="B720" s="30" t="n"/>
      <c r="C720" s="30" t="n"/>
      <c r="D720" s="28" t="n"/>
      <c r="E720" s="34" t="n"/>
      <c r="F720" s="25">
        <f>IF(OR(B720="",E720=""),"",E720*IFERROR(INDEX(Config!$D$11:$D$20,MATCH(B720,Config!$A$11:$A$20,0)),0))</f>
        <v/>
      </c>
      <c r="G720" s="24">
        <f>IF(A720="","",MONTH(A720))</f>
        <v/>
      </c>
      <c r="H720" s="24">
        <f>IF(A720="","",YEAR(A720))</f>
        <v/>
      </c>
      <c r="I720" s="30" t="n"/>
    </row>
    <row r="721">
      <c r="A721" s="33" t="n"/>
      <c r="B721" s="30" t="n"/>
      <c r="C721" s="30" t="n"/>
      <c r="D721" s="28" t="n"/>
      <c r="E721" s="34" t="n"/>
      <c r="F721" s="25">
        <f>IF(OR(B721="",E721=""),"",E721*IFERROR(INDEX(Config!$D$11:$D$20,MATCH(B721,Config!$A$11:$A$20,0)),0))</f>
        <v/>
      </c>
      <c r="G721" s="24">
        <f>IF(A721="","",MONTH(A721))</f>
        <v/>
      </c>
      <c r="H721" s="24">
        <f>IF(A721="","",YEAR(A721))</f>
        <v/>
      </c>
      <c r="I721" s="30" t="n"/>
    </row>
    <row r="722">
      <c r="A722" s="33" t="n"/>
      <c r="B722" s="30" t="n"/>
      <c r="C722" s="30" t="n"/>
      <c r="D722" s="28" t="n"/>
      <c r="E722" s="34" t="n"/>
      <c r="F722" s="25">
        <f>IF(OR(B722="",E722=""),"",E722*IFERROR(INDEX(Config!$D$11:$D$20,MATCH(B722,Config!$A$11:$A$20,0)),0))</f>
        <v/>
      </c>
      <c r="G722" s="24">
        <f>IF(A722="","",MONTH(A722))</f>
        <v/>
      </c>
      <c r="H722" s="24">
        <f>IF(A722="","",YEAR(A722))</f>
        <v/>
      </c>
      <c r="I722" s="30" t="n"/>
    </row>
    <row r="723">
      <c r="A723" s="33" t="n"/>
      <c r="B723" s="30" t="n"/>
      <c r="C723" s="30" t="n"/>
      <c r="D723" s="28" t="n"/>
      <c r="E723" s="34" t="n"/>
      <c r="F723" s="25">
        <f>IF(OR(B723="",E723=""),"",E723*IFERROR(INDEX(Config!$D$11:$D$20,MATCH(B723,Config!$A$11:$A$20,0)),0))</f>
        <v/>
      </c>
      <c r="G723" s="24">
        <f>IF(A723="","",MONTH(A723))</f>
        <v/>
      </c>
      <c r="H723" s="24">
        <f>IF(A723="","",YEAR(A723))</f>
        <v/>
      </c>
      <c r="I723" s="30" t="n"/>
    </row>
    <row r="724">
      <c r="A724" s="33" t="n"/>
      <c r="B724" s="30" t="n"/>
      <c r="C724" s="30" t="n"/>
      <c r="D724" s="28" t="n"/>
      <c r="E724" s="34" t="n"/>
      <c r="F724" s="25">
        <f>IF(OR(B724="",E724=""),"",E724*IFERROR(INDEX(Config!$D$11:$D$20,MATCH(B724,Config!$A$11:$A$20,0)),0))</f>
        <v/>
      </c>
      <c r="G724" s="24">
        <f>IF(A724="","",MONTH(A724))</f>
        <v/>
      </c>
      <c r="H724" s="24">
        <f>IF(A724="","",YEAR(A724))</f>
        <v/>
      </c>
      <c r="I724" s="30" t="n"/>
    </row>
    <row r="725">
      <c r="A725" s="33" t="n"/>
      <c r="B725" s="30" t="n"/>
      <c r="C725" s="30" t="n"/>
      <c r="D725" s="28" t="n"/>
      <c r="E725" s="34" t="n"/>
      <c r="F725" s="25">
        <f>IF(OR(B725="",E725=""),"",E725*IFERROR(INDEX(Config!$D$11:$D$20,MATCH(B725,Config!$A$11:$A$20,0)),0))</f>
        <v/>
      </c>
      <c r="G725" s="24">
        <f>IF(A725="","",MONTH(A725))</f>
        <v/>
      </c>
      <c r="H725" s="24">
        <f>IF(A725="","",YEAR(A725))</f>
        <v/>
      </c>
      <c r="I725" s="30" t="n"/>
    </row>
    <row r="726">
      <c r="A726" s="33" t="n"/>
      <c r="B726" s="30" t="n"/>
      <c r="C726" s="30" t="n"/>
      <c r="D726" s="28" t="n"/>
      <c r="E726" s="34" t="n"/>
      <c r="F726" s="25">
        <f>IF(OR(B726="",E726=""),"",E726*IFERROR(INDEX(Config!$D$11:$D$20,MATCH(B726,Config!$A$11:$A$20,0)),0))</f>
        <v/>
      </c>
      <c r="G726" s="24">
        <f>IF(A726="","",MONTH(A726))</f>
        <v/>
      </c>
      <c r="H726" s="24">
        <f>IF(A726="","",YEAR(A726))</f>
        <v/>
      </c>
      <c r="I726" s="30" t="n"/>
    </row>
    <row r="727">
      <c r="A727" s="33" t="n"/>
      <c r="B727" s="30" t="n"/>
      <c r="C727" s="30" t="n"/>
      <c r="D727" s="28" t="n"/>
      <c r="E727" s="34" t="n"/>
      <c r="F727" s="25">
        <f>IF(OR(B727="",E727=""),"",E727*IFERROR(INDEX(Config!$D$11:$D$20,MATCH(B727,Config!$A$11:$A$20,0)),0))</f>
        <v/>
      </c>
      <c r="G727" s="24">
        <f>IF(A727="","",MONTH(A727))</f>
        <v/>
      </c>
      <c r="H727" s="24">
        <f>IF(A727="","",YEAR(A727))</f>
        <v/>
      </c>
      <c r="I727" s="30" t="n"/>
    </row>
    <row r="728">
      <c r="A728" s="33" t="n"/>
      <c r="B728" s="30" t="n"/>
      <c r="C728" s="30" t="n"/>
      <c r="D728" s="28" t="n"/>
      <c r="E728" s="34" t="n"/>
      <c r="F728" s="25">
        <f>IF(OR(B728="",E728=""),"",E728*IFERROR(INDEX(Config!$D$11:$D$20,MATCH(B728,Config!$A$11:$A$20,0)),0))</f>
        <v/>
      </c>
      <c r="G728" s="24">
        <f>IF(A728="","",MONTH(A728))</f>
        <v/>
      </c>
      <c r="H728" s="24">
        <f>IF(A728="","",YEAR(A728))</f>
        <v/>
      </c>
      <c r="I728" s="30" t="n"/>
    </row>
    <row r="729">
      <c r="A729" s="33" t="n"/>
      <c r="B729" s="30" t="n"/>
      <c r="C729" s="30" t="n"/>
      <c r="D729" s="28" t="n"/>
      <c r="E729" s="34" t="n"/>
      <c r="F729" s="25">
        <f>IF(OR(B729="",E729=""),"",E729*IFERROR(INDEX(Config!$D$11:$D$20,MATCH(B729,Config!$A$11:$A$20,0)),0))</f>
        <v/>
      </c>
      <c r="G729" s="24">
        <f>IF(A729="","",MONTH(A729))</f>
        <v/>
      </c>
      <c r="H729" s="24">
        <f>IF(A729="","",YEAR(A729))</f>
        <v/>
      </c>
      <c r="I729" s="30" t="n"/>
    </row>
    <row r="730">
      <c r="A730" s="33" t="n"/>
      <c r="B730" s="30" t="n"/>
      <c r="C730" s="30" t="n"/>
      <c r="D730" s="28" t="n"/>
      <c r="E730" s="34" t="n"/>
      <c r="F730" s="25">
        <f>IF(OR(B730="",E730=""),"",E730*IFERROR(INDEX(Config!$D$11:$D$20,MATCH(B730,Config!$A$11:$A$20,0)),0))</f>
        <v/>
      </c>
      <c r="G730" s="24">
        <f>IF(A730="","",MONTH(A730))</f>
        <v/>
      </c>
      <c r="H730" s="24">
        <f>IF(A730="","",YEAR(A730))</f>
        <v/>
      </c>
      <c r="I730" s="30" t="n"/>
    </row>
    <row r="731">
      <c r="A731" s="33" t="n"/>
      <c r="B731" s="30" t="n"/>
      <c r="C731" s="30" t="n"/>
      <c r="D731" s="28" t="n"/>
      <c r="E731" s="34" t="n"/>
      <c r="F731" s="25">
        <f>IF(OR(B731="",E731=""),"",E731*IFERROR(INDEX(Config!$D$11:$D$20,MATCH(B731,Config!$A$11:$A$20,0)),0))</f>
        <v/>
      </c>
      <c r="G731" s="24">
        <f>IF(A731="","",MONTH(A731))</f>
        <v/>
      </c>
      <c r="H731" s="24">
        <f>IF(A731="","",YEAR(A731))</f>
        <v/>
      </c>
      <c r="I731" s="30" t="n"/>
    </row>
    <row r="732">
      <c r="A732" s="33" t="n"/>
      <c r="B732" s="30" t="n"/>
      <c r="C732" s="30" t="n"/>
      <c r="D732" s="28" t="n"/>
      <c r="E732" s="34" t="n"/>
      <c r="F732" s="25">
        <f>IF(OR(B732="",E732=""),"",E732*IFERROR(INDEX(Config!$D$11:$D$20,MATCH(B732,Config!$A$11:$A$20,0)),0))</f>
        <v/>
      </c>
      <c r="G732" s="24">
        <f>IF(A732="","",MONTH(A732))</f>
        <v/>
      </c>
      <c r="H732" s="24">
        <f>IF(A732="","",YEAR(A732))</f>
        <v/>
      </c>
      <c r="I732" s="30" t="n"/>
    </row>
    <row r="733">
      <c r="A733" s="33" t="n"/>
      <c r="B733" s="30" t="n"/>
      <c r="C733" s="30" t="n"/>
      <c r="D733" s="28" t="n"/>
      <c r="E733" s="34" t="n"/>
      <c r="F733" s="25">
        <f>IF(OR(B733="",E733=""),"",E733*IFERROR(INDEX(Config!$D$11:$D$20,MATCH(B733,Config!$A$11:$A$20,0)),0))</f>
        <v/>
      </c>
      <c r="G733" s="24">
        <f>IF(A733="","",MONTH(A733))</f>
        <v/>
      </c>
      <c r="H733" s="24">
        <f>IF(A733="","",YEAR(A733))</f>
        <v/>
      </c>
      <c r="I733" s="30" t="n"/>
    </row>
    <row r="734">
      <c r="A734" s="33" t="n"/>
      <c r="B734" s="30" t="n"/>
      <c r="C734" s="30" t="n"/>
      <c r="D734" s="28" t="n"/>
      <c r="E734" s="34" t="n"/>
      <c r="F734" s="25">
        <f>IF(OR(B734="",E734=""),"",E734*IFERROR(INDEX(Config!$D$11:$D$20,MATCH(B734,Config!$A$11:$A$20,0)),0))</f>
        <v/>
      </c>
      <c r="G734" s="24">
        <f>IF(A734="","",MONTH(A734))</f>
        <v/>
      </c>
      <c r="H734" s="24">
        <f>IF(A734="","",YEAR(A734))</f>
        <v/>
      </c>
      <c r="I734" s="30" t="n"/>
    </row>
    <row r="735">
      <c r="A735" s="33" t="n"/>
      <c r="B735" s="30" t="n"/>
      <c r="C735" s="30" t="n"/>
      <c r="D735" s="28" t="n"/>
      <c r="E735" s="34" t="n"/>
      <c r="F735" s="25">
        <f>IF(OR(B735="",E735=""),"",E735*IFERROR(INDEX(Config!$D$11:$D$20,MATCH(B735,Config!$A$11:$A$20,0)),0))</f>
        <v/>
      </c>
      <c r="G735" s="24">
        <f>IF(A735="","",MONTH(A735))</f>
        <v/>
      </c>
      <c r="H735" s="24">
        <f>IF(A735="","",YEAR(A735))</f>
        <v/>
      </c>
      <c r="I735" s="30" t="n"/>
    </row>
    <row r="736">
      <c r="A736" s="33" t="n"/>
      <c r="B736" s="30" t="n"/>
      <c r="C736" s="30" t="n"/>
      <c r="D736" s="28" t="n"/>
      <c r="E736" s="34" t="n"/>
      <c r="F736" s="25">
        <f>IF(OR(B736="",E736=""),"",E736*IFERROR(INDEX(Config!$D$11:$D$20,MATCH(B736,Config!$A$11:$A$20,0)),0))</f>
        <v/>
      </c>
      <c r="G736" s="24">
        <f>IF(A736="","",MONTH(A736))</f>
        <v/>
      </c>
      <c r="H736" s="24">
        <f>IF(A736="","",YEAR(A736))</f>
        <v/>
      </c>
      <c r="I736" s="30" t="n"/>
    </row>
    <row r="737">
      <c r="A737" s="33" t="n"/>
      <c r="B737" s="30" t="n"/>
      <c r="C737" s="30" t="n"/>
      <c r="D737" s="28" t="n"/>
      <c r="E737" s="34" t="n"/>
      <c r="F737" s="25">
        <f>IF(OR(B737="",E737=""),"",E737*IFERROR(INDEX(Config!$D$11:$D$20,MATCH(B737,Config!$A$11:$A$20,0)),0))</f>
        <v/>
      </c>
      <c r="G737" s="24">
        <f>IF(A737="","",MONTH(A737))</f>
        <v/>
      </c>
      <c r="H737" s="24">
        <f>IF(A737="","",YEAR(A737))</f>
        <v/>
      </c>
      <c r="I737" s="30" t="n"/>
    </row>
    <row r="738">
      <c r="A738" s="33" t="n"/>
      <c r="B738" s="30" t="n"/>
      <c r="C738" s="30" t="n"/>
      <c r="D738" s="28" t="n"/>
      <c r="E738" s="34" t="n"/>
      <c r="F738" s="25">
        <f>IF(OR(B738="",E738=""),"",E738*IFERROR(INDEX(Config!$D$11:$D$20,MATCH(B738,Config!$A$11:$A$20,0)),0))</f>
        <v/>
      </c>
      <c r="G738" s="24">
        <f>IF(A738="","",MONTH(A738))</f>
        <v/>
      </c>
      <c r="H738" s="24">
        <f>IF(A738="","",YEAR(A738))</f>
        <v/>
      </c>
      <c r="I738" s="30" t="n"/>
    </row>
    <row r="739">
      <c r="A739" s="33" t="n"/>
      <c r="B739" s="30" t="n"/>
      <c r="C739" s="30" t="n"/>
      <c r="D739" s="28" t="n"/>
      <c r="E739" s="34" t="n"/>
      <c r="F739" s="25">
        <f>IF(OR(B739="",E739=""),"",E739*IFERROR(INDEX(Config!$D$11:$D$20,MATCH(B739,Config!$A$11:$A$20,0)),0))</f>
        <v/>
      </c>
      <c r="G739" s="24">
        <f>IF(A739="","",MONTH(A739))</f>
        <v/>
      </c>
      <c r="H739" s="24">
        <f>IF(A739="","",YEAR(A739))</f>
        <v/>
      </c>
      <c r="I739" s="30" t="n"/>
    </row>
    <row r="740">
      <c r="A740" s="33" t="n"/>
      <c r="B740" s="30" t="n"/>
      <c r="C740" s="30" t="n"/>
      <c r="D740" s="28" t="n"/>
      <c r="E740" s="34" t="n"/>
      <c r="F740" s="25">
        <f>IF(OR(B740="",E740=""),"",E740*IFERROR(INDEX(Config!$D$11:$D$20,MATCH(B740,Config!$A$11:$A$20,0)),0))</f>
        <v/>
      </c>
      <c r="G740" s="24">
        <f>IF(A740="","",MONTH(A740))</f>
        <v/>
      </c>
      <c r="H740" s="24">
        <f>IF(A740="","",YEAR(A740))</f>
        <v/>
      </c>
      <c r="I740" s="30" t="n"/>
    </row>
    <row r="741">
      <c r="A741" s="33" t="n"/>
      <c r="B741" s="30" t="n"/>
      <c r="C741" s="30" t="n"/>
      <c r="D741" s="28" t="n"/>
      <c r="E741" s="34" t="n"/>
      <c r="F741" s="25">
        <f>IF(OR(B741="",E741=""),"",E741*IFERROR(INDEX(Config!$D$11:$D$20,MATCH(B741,Config!$A$11:$A$20,0)),0))</f>
        <v/>
      </c>
      <c r="G741" s="24">
        <f>IF(A741="","",MONTH(A741))</f>
        <v/>
      </c>
      <c r="H741" s="24">
        <f>IF(A741="","",YEAR(A741))</f>
        <v/>
      </c>
      <c r="I741" s="30" t="n"/>
    </row>
    <row r="742">
      <c r="A742" s="33" t="n"/>
      <c r="B742" s="30" t="n"/>
      <c r="C742" s="30" t="n"/>
      <c r="D742" s="28" t="n"/>
      <c r="E742" s="34" t="n"/>
      <c r="F742" s="25">
        <f>IF(OR(B742="",E742=""),"",E742*IFERROR(INDEX(Config!$D$11:$D$20,MATCH(B742,Config!$A$11:$A$20,0)),0))</f>
        <v/>
      </c>
      <c r="G742" s="24">
        <f>IF(A742="","",MONTH(A742))</f>
        <v/>
      </c>
      <c r="H742" s="24">
        <f>IF(A742="","",YEAR(A742))</f>
        <v/>
      </c>
      <c r="I742" s="30" t="n"/>
    </row>
    <row r="743">
      <c r="A743" s="33" t="n"/>
      <c r="B743" s="30" t="n"/>
      <c r="C743" s="30" t="n"/>
      <c r="D743" s="28" t="n"/>
      <c r="E743" s="34" t="n"/>
      <c r="F743" s="25">
        <f>IF(OR(B743="",E743=""),"",E743*IFERROR(INDEX(Config!$D$11:$D$20,MATCH(B743,Config!$A$11:$A$20,0)),0))</f>
        <v/>
      </c>
      <c r="G743" s="24">
        <f>IF(A743="","",MONTH(A743))</f>
        <v/>
      </c>
      <c r="H743" s="24">
        <f>IF(A743="","",YEAR(A743))</f>
        <v/>
      </c>
      <c r="I743" s="30" t="n"/>
    </row>
    <row r="744">
      <c r="A744" s="33" t="n"/>
      <c r="B744" s="30" t="n"/>
      <c r="C744" s="30" t="n"/>
      <c r="D744" s="28" t="n"/>
      <c r="E744" s="34" t="n"/>
      <c r="F744" s="25">
        <f>IF(OR(B744="",E744=""),"",E744*IFERROR(INDEX(Config!$D$11:$D$20,MATCH(B744,Config!$A$11:$A$20,0)),0))</f>
        <v/>
      </c>
      <c r="G744" s="24">
        <f>IF(A744="","",MONTH(A744))</f>
        <v/>
      </c>
      <c r="H744" s="24">
        <f>IF(A744="","",YEAR(A744))</f>
        <v/>
      </c>
      <c r="I744" s="30" t="n"/>
    </row>
    <row r="745">
      <c r="A745" s="33" t="n"/>
      <c r="B745" s="30" t="n"/>
      <c r="C745" s="30" t="n"/>
      <c r="D745" s="28" t="n"/>
      <c r="E745" s="34" t="n"/>
      <c r="F745" s="25">
        <f>IF(OR(B745="",E745=""),"",E745*IFERROR(INDEX(Config!$D$11:$D$20,MATCH(B745,Config!$A$11:$A$20,0)),0))</f>
        <v/>
      </c>
      <c r="G745" s="24">
        <f>IF(A745="","",MONTH(A745))</f>
        <v/>
      </c>
      <c r="H745" s="24">
        <f>IF(A745="","",YEAR(A745))</f>
        <v/>
      </c>
      <c r="I745" s="30" t="n"/>
    </row>
    <row r="746">
      <c r="A746" s="33" t="n"/>
      <c r="B746" s="30" t="n"/>
      <c r="C746" s="30" t="n"/>
      <c r="D746" s="28" t="n"/>
      <c r="E746" s="34" t="n"/>
      <c r="F746" s="25">
        <f>IF(OR(B746="",E746=""),"",E746*IFERROR(INDEX(Config!$D$11:$D$20,MATCH(B746,Config!$A$11:$A$20,0)),0))</f>
        <v/>
      </c>
      <c r="G746" s="24">
        <f>IF(A746="","",MONTH(A746))</f>
        <v/>
      </c>
      <c r="H746" s="24">
        <f>IF(A746="","",YEAR(A746))</f>
        <v/>
      </c>
      <c r="I746" s="30" t="n"/>
    </row>
    <row r="747">
      <c r="A747" s="33" t="n"/>
      <c r="B747" s="30" t="n"/>
      <c r="C747" s="30" t="n"/>
      <c r="D747" s="28" t="n"/>
      <c r="E747" s="34" t="n"/>
      <c r="F747" s="25">
        <f>IF(OR(B747="",E747=""),"",E747*IFERROR(INDEX(Config!$D$11:$D$20,MATCH(B747,Config!$A$11:$A$20,0)),0))</f>
        <v/>
      </c>
      <c r="G747" s="24">
        <f>IF(A747="","",MONTH(A747))</f>
        <v/>
      </c>
      <c r="H747" s="24">
        <f>IF(A747="","",YEAR(A747))</f>
        <v/>
      </c>
      <c r="I747" s="30" t="n"/>
    </row>
    <row r="748">
      <c r="A748" s="33" t="n"/>
      <c r="B748" s="30" t="n"/>
      <c r="C748" s="30" t="n"/>
      <c r="D748" s="28" t="n"/>
      <c r="E748" s="34" t="n"/>
      <c r="F748" s="25">
        <f>IF(OR(B748="",E748=""),"",E748*IFERROR(INDEX(Config!$D$11:$D$20,MATCH(B748,Config!$A$11:$A$20,0)),0))</f>
        <v/>
      </c>
      <c r="G748" s="24">
        <f>IF(A748="","",MONTH(A748))</f>
        <v/>
      </c>
      <c r="H748" s="24">
        <f>IF(A748="","",YEAR(A748))</f>
        <v/>
      </c>
      <c r="I748" s="30" t="n"/>
    </row>
    <row r="749">
      <c r="A749" s="33" t="n"/>
      <c r="B749" s="30" t="n"/>
      <c r="C749" s="30" t="n"/>
      <c r="D749" s="28" t="n"/>
      <c r="E749" s="34" t="n"/>
      <c r="F749" s="25">
        <f>IF(OR(B749="",E749=""),"",E749*IFERROR(INDEX(Config!$D$11:$D$20,MATCH(B749,Config!$A$11:$A$20,0)),0))</f>
        <v/>
      </c>
      <c r="G749" s="24">
        <f>IF(A749="","",MONTH(A749))</f>
        <v/>
      </c>
      <c r="H749" s="24">
        <f>IF(A749="","",YEAR(A749))</f>
        <v/>
      </c>
      <c r="I749" s="30" t="n"/>
    </row>
    <row r="750">
      <c r="A750" s="33" t="n"/>
      <c r="B750" s="30" t="n"/>
      <c r="C750" s="30" t="n"/>
      <c r="D750" s="28" t="n"/>
      <c r="E750" s="34" t="n"/>
      <c r="F750" s="25">
        <f>IF(OR(B750="",E750=""),"",E750*IFERROR(INDEX(Config!$D$11:$D$20,MATCH(B750,Config!$A$11:$A$20,0)),0))</f>
        <v/>
      </c>
      <c r="G750" s="24">
        <f>IF(A750="","",MONTH(A750))</f>
        <v/>
      </c>
      <c r="H750" s="24">
        <f>IF(A750="","",YEAR(A750))</f>
        <v/>
      </c>
      <c r="I750" s="30" t="n"/>
    </row>
    <row r="751">
      <c r="A751" s="33" t="n"/>
      <c r="B751" s="30" t="n"/>
      <c r="C751" s="30" t="n"/>
      <c r="D751" s="28" t="n"/>
      <c r="E751" s="34" t="n"/>
      <c r="F751" s="25">
        <f>IF(OR(B751="",E751=""),"",E751*IFERROR(INDEX(Config!$D$11:$D$20,MATCH(B751,Config!$A$11:$A$20,0)),0))</f>
        <v/>
      </c>
      <c r="G751" s="24">
        <f>IF(A751="","",MONTH(A751))</f>
        <v/>
      </c>
      <c r="H751" s="24">
        <f>IF(A751="","",YEAR(A751))</f>
        <v/>
      </c>
      <c r="I751" s="30" t="n"/>
    </row>
    <row r="752">
      <c r="A752" s="33" t="n"/>
      <c r="B752" s="30" t="n"/>
      <c r="C752" s="30" t="n"/>
      <c r="D752" s="28" t="n"/>
      <c r="E752" s="34" t="n"/>
      <c r="F752" s="25">
        <f>IF(OR(B752="",E752=""),"",E752*IFERROR(INDEX(Config!$D$11:$D$20,MATCH(B752,Config!$A$11:$A$20,0)),0))</f>
        <v/>
      </c>
      <c r="G752" s="24">
        <f>IF(A752="","",MONTH(A752))</f>
        <v/>
      </c>
      <c r="H752" s="24">
        <f>IF(A752="","",YEAR(A752))</f>
        <v/>
      </c>
      <c r="I752" s="30" t="n"/>
    </row>
    <row r="753">
      <c r="A753" s="33" t="n"/>
      <c r="B753" s="30" t="n"/>
      <c r="C753" s="30" t="n"/>
      <c r="D753" s="28" t="n"/>
      <c r="E753" s="34" t="n"/>
      <c r="F753" s="25">
        <f>IF(OR(B753="",E753=""),"",E753*IFERROR(INDEX(Config!$D$11:$D$20,MATCH(B753,Config!$A$11:$A$20,0)),0))</f>
        <v/>
      </c>
      <c r="G753" s="24">
        <f>IF(A753="","",MONTH(A753))</f>
        <v/>
      </c>
      <c r="H753" s="24">
        <f>IF(A753="","",YEAR(A753))</f>
        <v/>
      </c>
      <c r="I753" s="30" t="n"/>
    </row>
    <row r="754">
      <c r="A754" s="33" t="n"/>
      <c r="B754" s="30" t="n"/>
      <c r="C754" s="30" t="n"/>
      <c r="D754" s="28" t="n"/>
      <c r="E754" s="34" t="n"/>
      <c r="F754" s="25">
        <f>IF(OR(B754="",E754=""),"",E754*IFERROR(INDEX(Config!$D$11:$D$20,MATCH(B754,Config!$A$11:$A$20,0)),0))</f>
        <v/>
      </c>
      <c r="G754" s="24">
        <f>IF(A754="","",MONTH(A754))</f>
        <v/>
      </c>
      <c r="H754" s="24">
        <f>IF(A754="","",YEAR(A754))</f>
        <v/>
      </c>
      <c r="I754" s="30" t="n"/>
    </row>
    <row r="755">
      <c r="A755" s="33" t="n"/>
      <c r="B755" s="30" t="n"/>
      <c r="C755" s="30" t="n"/>
      <c r="D755" s="28" t="n"/>
      <c r="E755" s="34" t="n"/>
      <c r="F755" s="25">
        <f>IF(OR(B755="",E755=""),"",E755*IFERROR(INDEX(Config!$D$11:$D$20,MATCH(B755,Config!$A$11:$A$20,0)),0))</f>
        <v/>
      </c>
      <c r="G755" s="24">
        <f>IF(A755="","",MONTH(A755))</f>
        <v/>
      </c>
      <c r="H755" s="24">
        <f>IF(A755="","",YEAR(A755))</f>
        <v/>
      </c>
      <c r="I755" s="30" t="n"/>
    </row>
    <row r="756">
      <c r="A756" s="33" t="n"/>
      <c r="B756" s="30" t="n"/>
      <c r="C756" s="30" t="n"/>
      <c r="D756" s="28" t="n"/>
      <c r="E756" s="34" t="n"/>
      <c r="F756" s="25">
        <f>IF(OR(B756="",E756=""),"",E756*IFERROR(INDEX(Config!$D$11:$D$20,MATCH(B756,Config!$A$11:$A$20,0)),0))</f>
        <v/>
      </c>
      <c r="G756" s="24">
        <f>IF(A756="","",MONTH(A756))</f>
        <v/>
      </c>
      <c r="H756" s="24">
        <f>IF(A756="","",YEAR(A756))</f>
        <v/>
      </c>
      <c r="I756" s="30" t="n"/>
    </row>
    <row r="757">
      <c r="A757" s="33" t="n"/>
      <c r="B757" s="30" t="n"/>
      <c r="C757" s="30" t="n"/>
      <c r="D757" s="28" t="n"/>
      <c r="E757" s="34" t="n"/>
      <c r="F757" s="25">
        <f>IF(OR(B757="",E757=""),"",E757*IFERROR(INDEX(Config!$D$11:$D$20,MATCH(B757,Config!$A$11:$A$20,0)),0))</f>
        <v/>
      </c>
      <c r="G757" s="24">
        <f>IF(A757="","",MONTH(A757))</f>
        <v/>
      </c>
      <c r="H757" s="24">
        <f>IF(A757="","",YEAR(A757))</f>
        <v/>
      </c>
      <c r="I757" s="30" t="n"/>
    </row>
    <row r="758">
      <c r="A758" s="33" t="n"/>
      <c r="B758" s="30" t="n"/>
      <c r="C758" s="30" t="n"/>
      <c r="D758" s="28" t="n"/>
      <c r="E758" s="34" t="n"/>
      <c r="F758" s="25">
        <f>IF(OR(B758="",E758=""),"",E758*IFERROR(INDEX(Config!$D$11:$D$20,MATCH(B758,Config!$A$11:$A$20,0)),0))</f>
        <v/>
      </c>
      <c r="G758" s="24">
        <f>IF(A758="","",MONTH(A758))</f>
        <v/>
      </c>
      <c r="H758" s="24">
        <f>IF(A758="","",YEAR(A758))</f>
        <v/>
      </c>
      <c r="I758" s="30" t="n"/>
    </row>
    <row r="759">
      <c r="A759" s="33" t="n"/>
      <c r="B759" s="30" t="n"/>
      <c r="C759" s="30" t="n"/>
      <c r="D759" s="28" t="n"/>
      <c r="E759" s="34" t="n"/>
      <c r="F759" s="25">
        <f>IF(OR(B759="",E759=""),"",E759*IFERROR(INDEX(Config!$D$11:$D$20,MATCH(B759,Config!$A$11:$A$20,0)),0))</f>
        <v/>
      </c>
      <c r="G759" s="24">
        <f>IF(A759="","",MONTH(A759))</f>
        <v/>
      </c>
      <c r="H759" s="24">
        <f>IF(A759="","",YEAR(A759))</f>
        <v/>
      </c>
      <c r="I759" s="30" t="n"/>
    </row>
    <row r="760">
      <c r="A760" s="33" t="n"/>
      <c r="B760" s="30" t="n"/>
      <c r="C760" s="30" t="n"/>
      <c r="D760" s="28" t="n"/>
      <c r="E760" s="34" t="n"/>
      <c r="F760" s="25">
        <f>IF(OR(B760="",E760=""),"",E760*IFERROR(INDEX(Config!$D$11:$D$20,MATCH(B760,Config!$A$11:$A$20,0)),0))</f>
        <v/>
      </c>
      <c r="G760" s="24">
        <f>IF(A760="","",MONTH(A760))</f>
        <v/>
      </c>
      <c r="H760" s="24">
        <f>IF(A760="","",YEAR(A760))</f>
        <v/>
      </c>
      <c r="I760" s="30" t="n"/>
    </row>
    <row r="761">
      <c r="A761" s="33" t="n"/>
      <c r="B761" s="30" t="n"/>
      <c r="C761" s="30" t="n"/>
      <c r="D761" s="28" t="n"/>
      <c r="E761" s="34" t="n"/>
      <c r="F761" s="25">
        <f>IF(OR(B761="",E761=""),"",E761*IFERROR(INDEX(Config!$D$11:$D$20,MATCH(B761,Config!$A$11:$A$20,0)),0))</f>
        <v/>
      </c>
      <c r="G761" s="24">
        <f>IF(A761="","",MONTH(A761))</f>
        <v/>
      </c>
      <c r="H761" s="24">
        <f>IF(A761="","",YEAR(A761))</f>
        <v/>
      </c>
      <c r="I761" s="30" t="n"/>
    </row>
    <row r="762">
      <c r="A762" s="33" t="n"/>
      <c r="B762" s="30" t="n"/>
      <c r="C762" s="30" t="n"/>
      <c r="D762" s="28" t="n"/>
      <c r="E762" s="34" t="n"/>
      <c r="F762" s="25">
        <f>IF(OR(B762="",E762=""),"",E762*IFERROR(INDEX(Config!$D$11:$D$20,MATCH(B762,Config!$A$11:$A$20,0)),0))</f>
        <v/>
      </c>
      <c r="G762" s="24">
        <f>IF(A762="","",MONTH(A762))</f>
        <v/>
      </c>
      <c r="H762" s="24">
        <f>IF(A762="","",YEAR(A762))</f>
        <v/>
      </c>
      <c r="I762" s="30" t="n"/>
    </row>
    <row r="763">
      <c r="A763" s="33" t="n"/>
      <c r="B763" s="30" t="n"/>
      <c r="C763" s="30" t="n"/>
      <c r="D763" s="28" t="n"/>
      <c r="E763" s="34" t="n"/>
      <c r="F763" s="25">
        <f>IF(OR(B763="",E763=""),"",E763*IFERROR(INDEX(Config!$D$11:$D$20,MATCH(B763,Config!$A$11:$A$20,0)),0))</f>
        <v/>
      </c>
      <c r="G763" s="24">
        <f>IF(A763="","",MONTH(A763))</f>
        <v/>
      </c>
      <c r="H763" s="24">
        <f>IF(A763="","",YEAR(A763))</f>
        <v/>
      </c>
      <c r="I763" s="30" t="n"/>
    </row>
    <row r="764">
      <c r="A764" s="33" t="n"/>
      <c r="B764" s="30" t="n"/>
      <c r="C764" s="30" t="n"/>
      <c r="D764" s="28" t="n"/>
      <c r="E764" s="34" t="n"/>
      <c r="F764" s="25">
        <f>IF(OR(B764="",E764=""),"",E764*IFERROR(INDEX(Config!$D$11:$D$20,MATCH(B764,Config!$A$11:$A$20,0)),0))</f>
        <v/>
      </c>
      <c r="G764" s="24">
        <f>IF(A764="","",MONTH(A764))</f>
        <v/>
      </c>
      <c r="H764" s="24">
        <f>IF(A764="","",YEAR(A764))</f>
        <v/>
      </c>
      <c r="I764" s="30" t="n"/>
    </row>
    <row r="765">
      <c r="A765" s="33" t="n"/>
      <c r="B765" s="30" t="n"/>
      <c r="C765" s="30" t="n"/>
      <c r="D765" s="28" t="n"/>
      <c r="E765" s="34" t="n"/>
      <c r="F765" s="25">
        <f>IF(OR(B765="",E765=""),"",E765*IFERROR(INDEX(Config!$D$11:$D$20,MATCH(B765,Config!$A$11:$A$20,0)),0))</f>
        <v/>
      </c>
      <c r="G765" s="24">
        <f>IF(A765="","",MONTH(A765))</f>
        <v/>
      </c>
      <c r="H765" s="24">
        <f>IF(A765="","",YEAR(A765))</f>
        <v/>
      </c>
      <c r="I765" s="30" t="n"/>
    </row>
    <row r="766">
      <c r="A766" s="33" t="n"/>
      <c r="B766" s="30" t="n"/>
      <c r="C766" s="30" t="n"/>
      <c r="D766" s="28" t="n"/>
      <c r="E766" s="34" t="n"/>
      <c r="F766" s="25">
        <f>IF(OR(B766="",E766=""),"",E766*IFERROR(INDEX(Config!$D$11:$D$20,MATCH(B766,Config!$A$11:$A$20,0)),0))</f>
        <v/>
      </c>
      <c r="G766" s="24">
        <f>IF(A766="","",MONTH(A766))</f>
        <v/>
      </c>
      <c r="H766" s="24">
        <f>IF(A766="","",YEAR(A766))</f>
        <v/>
      </c>
      <c r="I766" s="30" t="n"/>
    </row>
    <row r="767">
      <c r="A767" s="33" t="n"/>
      <c r="B767" s="30" t="n"/>
      <c r="C767" s="30" t="n"/>
      <c r="D767" s="28" t="n"/>
      <c r="E767" s="34" t="n"/>
      <c r="F767" s="25">
        <f>IF(OR(B767="",E767=""),"",E767*IFERROR(INDEX(Config!$D$11:$D$20,MATCH(B767,Config!$A$11:$A$20,0)),0))</f>
        <v/>
      </c>
      <c r="G767" s="24">
        <f>IF(A767="","",MONTH(A767))</f>
        <v/>
      </c>
      <c r="H767" s="24">
        <f>IF(A767="","",YEAR(A767))</f>
        <v/>
      </c>
      <c r="I767" s="30" t="n"/>
    </row>
    <row r="768">
      <c r="A768" s="33" t="n"/>
      <c r="B768" s="30" t="n"/>
      <c r="C768" s="30" t="n"/>
      <c r="D768" s="28" t="n"/>
      <c r="E768" s="34" t="n"/>
      <c r="F768" s="25">
        <f>IF(OR(B768="",E768=""),"",E768*IFERROR(INDEX(Config!$D$11:$D$20,MATCH(B768,Config!$A$11:$A$20,0)),0))</f>
        <v/>
      </c>
      <c r="G768" s="24">
        <f>IF(A768="","",MONTH(A768))</f>
        <v/>
      </c>
      <c r="H768" s="24">
        <f>IF(A768="","",YEAR(A768))</f>
        <v/>
      </c>
      <c r="I768" s="30" t="n"/>
    </row>
    <row r="769">
      <c r="A769" s="33" t="n"/>
      <c r="B769" s="30" t="n"/>
      <c r="C769" s="30" t="n"/>
      <c r="D769" s="28" t="n"/>
      <c r="E769" s="34" t="n"/>
      <c r="F769" s="25">
        <f>IF(OR(B769="",E769=""),"",E769*IFERROR(INDEX(Config!$D$11:$D$20,MATCH(B769,Config!$A$11:$A$20,0)),0))</f>
        <v/>
      </c>
      <c r="G769" s="24">
        <f>IF(A769="","",MONTH(A769))</f>
        <v/>
      </c>
      <c r="H769" s="24">
        <f>IF(A769="","",YEAR(A769))</f>
        <v/>
      </c>
      <c r="I769" s="30" t="n"/>
    </row>
    <row r="770">
      <c r="A770" s="33" t="n"/>
      <c r="B770" s="30" t="n"/>
      <c r="C770" s="30" t="n"/>
      <c r="D770" s="28" t="n"/>
      <c r="E770" s="34" t="n"/>
      <c r="F770" s="25">
        <f>IF(OR(B770="",E770=""),"",E770*IFERROR(INDEX(Config!$D$11:$D$20,MATCH(B770,Config!$A$11:$A$20,0)),0))</f>
        <v/>
      </c>
      <c r="G770" s="24">
        <f>IF(A770="","",MONTH(A770))</f>
        <v/>
      </c>
      <c r="H770" s="24">
        <f>IF(A770="","",YEAR(A770))</f>
        <v/>
      </c>
      <c r="I770" s="30" t="n"/>
    </row>
    <row r="771">
      <c r="A771" s="33" t="n"/>
      <c r="B771" s="30" t="n"/>
      <c r="C771" s="30" t="n"/>
      <c r="D771" s="28" t="n"/>
      <c r="E771" s="34" t="n"/>
      <c r="F771" s="25">
        <f>IF(OR(B771="",E771=""),"",E771*IFERROR(INDEX(Config!$D$11:$D$20,MATCH(B771,Config!$A$11:$A$20,0)),0))</f>
        <v/>
      </c>
      <c r="G771" s="24">
        <f>IF(A771="","",MONTH(A771))</f>
        <v/>
      </c>
      <c r="H771" s="24">
        <f>IF(A771="","",YEAR(A771))</f>
        <v/>
      </c>
      <c r="I771" s="30" t="n"/>
    </row>
    <row r="772">
      <c r="A772" s="33" t="n"/>
      <c r="B772" s="30" t="n"/>
      <c r="C772" s="30" t="n"/>
      <c r="D772" s="28" t="n"/>
      <c r="E772" s="34" t="n"/>
      <c r="F772" s="25">
        <f>IF(OR(B772="",E772=""),"",E772*IFERROR(INDEX(Config!$D$11:$D$20,MATCH(B772,Config!$A$11:$A$20,0)),0))</f>
        <v/>
      </c>
      <c r="G772" s="24">
        <f>IF(A772="","",MONTH(A772))</f>
        <v/>
      </c>
      <c r="H772" s="24">
        <f>IF(A772="","",YEAR(A772))</f>
        <v/>
      </c>
      <c r="I772" s="30" t="n"/>
    </row>
    <row r="773">
      <c r="A773" s="33" t="n"/>
      <c r="B773" s="30" t="n"/>
      <c r="C773" s="30" t="n"/>
      <c r="D773" s="28" t="n"/>
      <c r="E773" s="34" t="n"/>
      <c r="F773" s="25">
        <f>IF(OR(B773="",E773=""),"",E773*IFERROR(INDEX(Config!$D$11:$D$20,MATCH(B773,Config!$A$11:$A$20,0)),0))</f>
        <v/>
      </c>
      <c r="G773" s="24">
        <f>IF(A773="","",MONTH(A773))</f>
        <v/>
      </c>
      <c r="H773" s="24">
        <f>IF(A773="","",YEAR(A773))</f>
        <v/>
      </c>
      <c r="I773" s="30" t="n"/>
    </row>
    <row r="774">
      <c r="A774" s="33" t="n"/>
      <c r="B774" s="30" t="n"/>
      <c r="C774" s="30" t="n"/>
      <c r="D774" s="28" t="n"/>
      <c r="E774" s="34" t="n"/>
      <c r="F774" s="25">
        <f>IF(OR(B774="",E774=""),"",E774*IFERROR(INDEX(Config!$D$11:$D$20,MATCH(B774,Config!$A$11:$A$20,0)),0))</f>
        <v/>
      </c>
      <c r="G774" s="24">
        <f>IF(A774="","",MONTH(A774))</f>
        <v/>
      </c>
      <c r="H774" s="24">
        <f>IF(A774="","",YEAR(A774))</f>
        <v/>
      </c>
      <c r="I774" s="30" t="n"/>
    </row>
    <row r="775">
      <c r="A775" s="33" t="n"/>
      <c r="B775" s="30" t="n"/>
      <c r="C775" s="30" t="n"/>
      <c r="D775" s="28" t="n"/>
      <c r="E775" s="34" t="n"/>
      <c r="F775" s="25">
        <f>IF(OR(B775="",E775=""),"",E775*IFERROR(INDEX(Config!$D$11:$D$20,MATCH(B775,Config!$A$11:$A$20,0)),0))</f>
        <v/>
      </c>
      <c r="G775" s="24">
        <f>IF(A775="","",MONTH(A775))</f>
        <v/>
      </c>
      <c r="H775" s="24">
        <f>IF(A775="","",YEAR(A775))</f>
        <v/>
      </c>
      <c r="I775" s="30" t="n"/>
    </row>
    <row r="776">
      <c r="A776" s="33" t="n"/>
      <c r="B776" s="30" t="n"/>
      <c r="C776" s="30" t="n"/>
      <c r="D776" s="28" t="n"/>
      <c r="E776" s="34" t="n"/>
      <c r="F776" s="25">
        <f>IF(OR(B776="",E776=""),"",E776*IFERROR(INDEX(Config!$D$11:$D$20,MATCH(B776,Config!$A$11:$A$20,0)),0))</f>
        <v/>
      </c>
      <c r="G776" s="24">
        <f>IF(A776="","",MONTH(A776))</f>
        <v/>
      </c>
      <c r="H776" s="24">
        <f>IF(A776="","",YEAR(A776))</f>
        <v/>
      </c>
      <c r="I776" s="30" t="n"/>
    </row>
    <row r="777">
      <c r="A777" s="33" t="n"/>
      <c r="B777" s="30" t="n"/>
      <c r="C777" s="30" t="n"/>
      <c r="D777" s="28" t="n"/>
      <c r="E777" s="34" t="n"/>
      <c r="F777" s="25">
        <f>IF(OR(B777="",E777=""),"",E777*IFERROR(INDEX(Config!$D$11:$D$20,MATCH(B777,Config!$A$11:$A$20,0)),0))</f>
        <v/>
      </c>
      <c r="G777" s="24">
        <f>IF(A777="","",MONTH(A777))</f>
        <v/>
      </c>
      <c r="H777" s="24">
        <f>IF(A777="","",YEAR(A777))</f>
        <v/>
      </c>
      <c r="I777" s="30" t="n"/>
    </row>
    <row r="778">
      <c r="A778" s="33" t="n"/>
      <c r="B778" s="30" t="n"/>
      <c r="C778" s="30" t="n"/>
      <c r="D778" s="28" t="n"/>
      <c r="E778" s="34" t="n"/>
      <c r="F778" s="25">
        <f>IF(OR(B778="",E778=""),"",E778*IFERROR(INDEX(Config!$D$11:$D$20,MATCH(B778,Config!$A$11:$A$20,0)),0))</f>
        <v/>
      </c>
      <c r="G778" s="24">
        <f>IF(A778="","",MONTH(A778))</f>
        <v/>
      </c>
      <c r="H778" s="24">
        <f>IF(A778="","",YEAR(A778))</f>
        <v/>
      </c>
      <c r="I778" s="30" t="n"/>
    </row>
    <row r="779">
      <c r="A779" s="33" t="n"/>
      <c r="B779" s="30" t="n"/>
      <c r="C779" s="30" t="n"/>
      <c r="D779" s="28" t="n"/>
      <c r="E779" s="34" t="n"/>
      <c r="F779" s="25">
        <f>IF(OR(B779="",E779=""),"",E779*IFERROR(INDEX(Config!$D$11:$D$20,MATCH(B779,Config!$A$11:$A$20,0)),0))</f>
        <v/>
      </c>
      <c r="G779" s="24">
        <f>IF(A779="","",MONTH(A779))</f>
        <v/>
      </c>
      <c r="H779" s="24">
        <f>IF(A779="","",YEAR(A779))</f>
        <v/>
      </c>
      <c r="I779" s="30" t="n"/>
    </row>
    <row r="780">
      <c r="A780" s="33" t="n"/>
      <c r="B780" s="30" t="n"/>
      <c r="C780" s="30" t="n"/>
      <c r="D780" s="28" t="n"/>
      <c r="E780" s="34" t="n"/>
      <c r="F780" s="25">
        <f>IF(OR(B780="",E780=""),"",E780*IFERROR(INDEX(Config!$D$11:$D$20,MATCH(B780,Config!$A$11:$A$20,0)),0))</f>
        <v/>
      </c>
      <c r="G780" s="24">
        <f>IF(A780="","",MONTH(A780))</f>
        <v/>
      </c>
      <c r="H780" s="24">
        <f>IF(A780="","",YEAR(A780))</f>
        <v/>
      </c>
      <c r="I780" s="30" t="n"/>
    </row>
    <row r="781">
      <c r="A781" s="33" t="n"/>
      <c r="B781" s="30" t="n"/>
      <c r="C781" s="30" t="n"/>
      <c r="D781" s="28" t="n"/>
      <c r="E781" s="34" t="n"/>
      <c r="F781" s="25">
        <f>IF(OR(B781="",E781=""),"",E781*IFERROR(INDEX(Config!$D$11:$D$20,MATCH(B781,Config!$A$11:$A$20,0)),0))</f>
        <v/>
      </c>
      <c r="G781" s="24">
        <f>IF(A781="","",MONTH(A781))</f>
        <v/>
      </c>
      <c r="H781" s="24">
        <f>IF(A781="","",YEAR(A781))</f>
        <v/>
      </c>
      <c r="I781" s="30" t="n"/>
    </row>
    <row r="782">
      <c r="A782" s="33" t="n"/>
      <c r="B782" s="30" t="n"/>
      <c r="C782" s="30" t="n"/>
      <c r="D782" s="28" t="n"/>
      <c r="E782" s="34" t="n"/>
      <c r="F782" s="25">
        <f>IF(OR(B782="",E782=""),"",E782*IFERROR(INDEX(Config!$D$11:$D$20,MATCH(B782,Config!$A$11:$A$20,0)),0))</f>
        <v/>
      </c>
      <c r="G782" s="24">
        <f>IF(A782="","",MONTH(A782))</f>
        <v/>
      </c>
      <c r="H782" s="24">
        <f>IF(A782="","",YEAR(A782))</f>
        <v/>
      </c>
      <c r="I782" s="30" t="n"/>
    </row>
    <row r="783">
      <c r="A783" s="33" t="n"/>
      <c r="B783" s="30" t="n"/>
      <c r="C783" s="30" t="n"/>
      <c r="D783" s="28" t="n"/>
      <c r="E783" s="34" t="n"/>
      <c r="F783" s="25">
        <f>IF(OR(B783="",E783=""),"",E783*IFERROR(INDEX(Config!$D$11:$D$20,MATCH(B783,Config!$A$11:$A$20,0)),0))</f>
        <v/>
      </c>
      <c r="G783" s="24">
        <f>IF(A783="","",MONTH(A783))</f>
        <v/>
      </c>
      <c r="H783" s="24">
        <f>IF(A783="","",YEAR(A783))</f>
        <v/>
      </c>
      <c r="I783" s="30" t="n"/>
    </row>
    <row r="784">
      <c r="A784" s="33" t="n"/>
      <c r="B784" s="30" t="n"/>
      <c r="C784" s="30" t="n"/>
      <c r="D784" s="28" t="n"/>
      <c r="E784" s="34" t="n"/>
      <c r="F784" s="25">
        <f>IF(OR(B784="",E784=""),"",E784*IFERROR(INDEX(Config!$D$11:$D$20,MATCH(B784,Config!$A$11:$A$20,0)),0))</f>
        <v/>
      </c>
      <c r="G784" s="24">
        <f>IF(A784="","",MONTH(A784))</f>
        <v/>
      </c>
      <c r="H784" s="24">
        <f>IF(A784="","",YEAR(A784))</f>
        <v/>
      </c>
      <c r="I784" s="30" t="n"/>
    </row>
    <row r="785">
      <c r="A785" s="33" t="n"/>
      <c r="B785" s="30" t="n"/>
      <c r="C785" s="30" t="n"/>
      <c r="D785" s="28" t="n"/>
      <c r="E785" s="34" t="n"/>
      <c r="F785" s="25">
        <f>IF(OR(B785="",E785=""),"",E785*IFERROR(INDEX(Config!$D$11:$D$20,MATCH(B785,Config!$A$11:$A$20,0)),0))</f>
        <v/>
      </c>
      <c r="G785" s="24">
        <f>IF(A785="","",MONTH(A785))</f>
        <v/>
      </c>
      <c r="H785" s="24">
        <f>IF(A785="","",YEAR(A785))</f>
        <v/>
      </c>
      <c r="I785" s="30" t="n"/>
    </row>
    <row r="786">
      <c r="A786" s="33" t="n"/>
      <c r="B786" s="30" t="n"/>
      <c r="C786" s="30" t="n"/>
      <c r="D786" s="28" t="n"/>
      <c r="E786" s="34" t="n"/>
      <c r="F786" s="25">
        <f>IF(OR(B786="",E786=""),"",E786*IFERROR(INDEX(Config!$D$11:$D$20,MATCH(B786,Config!$A$11:$A$20,0)),0))</f>
        <v/>
      </c>
      <c r="G786" s="24">
        <f>IF(A786="","",MONTH(A786))</f>
        <v/>
      </c>
      <c r="H786" s="24">
        <f>IF(A786="","",YEAR(A786))</f>
        <v/>
      </c>
      <c r="I786" s="30" t="n"/>
    </row>
    <row r="787">
      <c r="A787" s="33" t="n"/>
      <c r="B787" s="30" t="n"/>
      <c r="C787" s="30" t="n"/>
      <c r="D787" s="28" t="n"/>
      <c r="E787" s="34" t="n"/>
      <c r="F787" s="25">
        <f>IF(OR(B787="",E787=""),"",E787*IFERROR(INDEX(Config!$D$11:$D$20,MATCH(B787,Config!$A$11:$A$20,0)),0))</f>
        <v/>
      </c>
      <c r="G787" s="24">
        <f>IF(A787="","",MONTH(A787))</f>
        <v/>
      </c>
      <c r="H787" s="24">
        <f>IF(A787="","",YEAR(A787))</f>
        <v/>
      </c>
      <c r="I787" s="30" t="n"/>
    </row>
    <row r="788">
      <c r="A788" s="33" t="n"/>
      <c r="B788" s="30" t="n"/>
      <c r="C788" s="30" t="n"/>
      <c r="D788" s="28" t="n"/>
      <c r="E788" s="34" t="n"/>
      <c r="F788" s="25">
        <f>IF(OR(B788="",E788=""),"",E788*IFERROR(INDEX(Config!$D$11:$D$20,MATCH(B788,Config!$A$11:$A$20,0)),0))</f>
        <v/>
      </c>
      <c r="G788" s="24">
        <f>IF(A788="","",MONTH(A788))</f>
        <v/>
      </c>
      <c r="H788" s="24">
        <f>IF(A788="","",YEAR(A788))</f>
        <v/>
      </c>
      <c r="I788" s="30" t="n"/>
    </row>
    <row r="789">
      <c r="A789" s="33" t="n"/>
      <c r="B789" s="30" t="n"/>
      <c r="C789" s="30" t="n"/>
      <c r="D789" s="28" t="n"/>
      <c r="E789" s="34" t="n"/>
      <c r="F789" s="25">
        <f>IF(OR(B789="",E789=""),"",E789*IFERROR(INDEX(Config!$D$11:$D$20,MATCH(B789,Config!$A$11:$A$20,0)),0))</f>
        <v/>
      </c>
      <c r="G789" s="24">
        <f>IF(A789="","",MONTH(A789))</f>
        <v/>
      </c>
      <c r="H789" s="24">
        <f>IF(A789="","",YEAR(A789))</f>
        <v/>
      </c>
      <c r="I789" s="30" t="n"/>
    </row>
    <row r="790">
      <c r="A790" s="33" t="n"/>
      <c r="B790" s="30" t="n"/>
      <c r="C790" s="30" t="n"/>
      <c r="D790" s="28" t="n"/>
      <c r="E790" s="34" t="n"/>
      <c r="F790" s="25">
        <f>IF(OR(B790="",E790=""),"",E790*IFERROR(INDEX(Config!$D$11:$D$20,MATCH(B790,Config!$A$11:$A$20,0)),0))</f>
        <v/>
      </c>
      <c r="G790" s="24">
        <f>IF(A790="","",MONTH(A790))</f>
        <v/>
      </c>
      <c r="H790" s="24">
        <f>IF(A790="","",YEAR(A790))</f>
        <v/>
      </c>
      <c r="I790" s="30" t="n"/>
    </row>
    <row r="791">
      <c r="A791" s="33" t="n"/>
      <c r="B791" s="30" t="n"/>
      <c r="C791" s="30" t="n"/>
      <c r="D791" s="28" t="n"/>
      <c r="E791" s="34" t="n"/>
      <c r="F791" s="25">
        <f>IF(OR(B791="",E791=""),"",E791*IFERROR(INDEX(Config!$D$11:$D$20,MATCH(B791,Config!$A$11:$A$20,0)),0))</f>
        <v/>
      </c>
      <c r="G791" s="24">
        <f>IF(A791="","",MONTH(A791))</f>
        <v/>
      </c>
      <c r="H791" s="24">
        <f>IF(A791="","",YEAR(A791))</f>
        <v/>
      </c>
      <c r="I791" s="30" t="n"/>
    </row>
    <row r="792">
      <c r="A792" s="33" t="n"/>
      <c r="B792" s="30" t="n"/>
      <c r="C792" s="30" t="n"/>
      <c r="D792" s="28" t="n"/>
      <c r="E792" s="34" t="n"/>
      <c r="F792" s="25">
        <f>IF(OR(B792="",E792=""),"",E792*IFERROR(INDEX(Config!$D$11:$D$20,MATCH(B792,Config!$A$11:$A$20,0)),0))</f>
        <v/>
      </c>
      <c r="G792" s="24">
        <f>IF(A792="","",MONTH(A792))</f>
        <v/>
      </c>
      <c r="H792" s="24">
        <f>IF(A792="","",YEAR(A792))</f>
        <v/>
      </c>
      <c r="I792" s="30" t="n"/>
    </row>
    <row r="793">
      <c r="A793" s="33" t="n"/>
      <c r="B793" s="30" t="n"/>
      <c r="C793" s="30" t="n"/>
      <c r="D793" s="28" t="n"/>
      <c r="E793" s="34" t="n"/>
      <c r="F793" s="25">
        <f>IF(OR(B793="",E793=""),"",E793*IFERROR(INDEX(Config!$D$11:$D$20,MATCH(B793,Config!$A$11:$A$20,0)),0))</f>
        <v/>
      </c>
      <c r="G793" s="24">
        <f>IF(A793="","",MONTH(A793))</f>
        <v/>
      </c>
      <c r="H793" s="24">
        <f>IF(A793="","",YEAR(A793))</f>
        <v/>
      </c>
      <c r="I793" s="30" t="n"/>
    </row>
    <row r="794">
      <c r="A794" s="33" t="n"/>
      <c r="B794" s="30" t="n"/>
      <c r="C794" s="30" t="n"/>
      <c r="D794" s="28" t="n"/>
      <c r="E794" s="34" t="n"/>
      <c r="F794" s="25">
        <f>IF(OR(B794="",E794=""),"",E794*IFERROR(INDEX(Config!$D$11:$D$20,MATCH(B794,Config!$A$11:$A$20,0)),0))</f>
        <v/>
      </c>
      <c r="G794" s="24">
        <f>IF(A794="","",MONTH(A794))</f>
        <v/>
      </c>
      <c r="H794" s="24">
        <f>IF(A794="","",YEAR(A794))</f>
        <v/>
      </c>
      <c r="I794" s="30" t="n"/>
    </row>
    <row r="795">
      <c r="A795" s="33" t="n"/>
      <c r="B795" s="30" t="n"/>
      <c r="C795" s="30" t="n"/>
      <c r="D795" s="28" t="n"/>
      <c r="E795" s="34" t="n"/>
      <c r="F795" s="25">
        <f>IF(OR(B795="",E795=""),"",E795*IFERROR(INDEX(Config!$D$11:$D$20,MATCH(B795,Config!$A$11:$A$20,0)),0))</f>
        <v/>
      </c>
      <c r="G795" s="24">
        <f>IF(A795="","",MONTH(A795))</f>
        <v/>
      </c>
      <c r="H795" s="24">
        <f>IF(A795="","",YEAR(A795))</f>
        <v/>
      </c>
      <c r="I795" s="30" t="n"/>
    </row>
    <row r="796">
      <c r="A796" s="33" t="n"/>
      <c r="B796" s="30" t="n"/>
      <c r="C796" s="30" t="n"/>
      <c r="D796" s="28" t="n"/>
      <c r="E796" s="34" t="n"/>
      <c r="F796" s="25">
        <f>IF(OR(B796="",E796=""),"",E796*IFERROR(INDEX(Config!$D$11:$D$20,MATCH(B796,Config!$A$11:$A$20,0)),0))</f>
        <v/>
      </c>
      <c r="G796" s="24">
        <f>IF(A796="","",MONTH(A796))</f>
        <v/>
      </c>
      <c r="H796" s="24">
        <f>IF(A796="","",YEAR(A796))</f>
        <v/>
      </c>
      <c r="I796" s="30" t="n"/>
    </row>
    <row r="797">
      <c r="A797" s="33" t="n"/>
      <c r="B797" s="30" t="n"/>
      <c r="C797" s="30" t="n"/>
      <c r="D797" s="28" t="n"/>
      <c r="E797" s="34" t="n"/>
      <c r="F797" s="25">
        <f>IF(OR(B797="",E797=""),"",E797*IFERROR(INDEX(Config!$D$11:$D$20,MATCH(B797,Config!$A$11:$A$20,0)),0))</f>
        <v/>
      </c>
      <c r="G797" s="24">
        <f>IF(A797="","",MONTH(A797))</f>
        <v/>
      </c>
      <c r="H797" s="24">
        <f>IF(A797="","",YEAR(A797))</f>
        <v/>
      </c>
      <c r="I797" s="30" t="n"/>
    </row>
    <row r="798">
      <c r="A798" s="33" t="n"/>
      <c r="B798" s="30" t="n"/>
      <c r="C798" s="30" t="n"/>
      <c r="D798" s="28" t="n"/>
      <c r="E798" s="34" t="n"/>
      <c r="F798" s="25">
        <f>IF(OR(B798="",E798=""),"",E798*IFERROR(INDEX(Config!$D$11:$D$20,MATCH(B798,Config!$A$11:$A$20,0)),0))</f>
        <v/>
      </c>
      <c r="G798" s="24">
        <f>IF(A798="","",MONTH(A798))</f>
        <v/>
      </c>
      <c r="H798" s="24">
        <f>IF(A798="","",YEAR(A798))</f>
        <v/>
      </c>
      <c r="I798" s="30" t="n"/>
    </row>
    <row r="799">
      <c r="A799" s="33" t="n"/>
      <c r="B799" s="30" t="n"/>
      <c r="C799" s="30" t="n"/>
      <c r="D799" s="28" t="n"/>
      <c r="E799" s="34" t="n"/>
      <c r="F799" s="25">
        <f>IF(OR(B799="",E799=""),"",E799*IFERROR(INDEX(Config!$D$11:$D$20,MATCH(B799,Config!$A$11:$A$20,0)),0))</f>
        <v/>
      </c>
      <c r="G799" s="24">
        <f>IF(A799="","",MONTH(A799))</f>
        <v/>
      </c>
      <c r="H799" s="24">
        <f>IF(A799="","",YEAR(A799))</f>
        <v/>
      </c>
      <c r="I799" s="30" t="n"/>
    </row>
    <row r="800">
      <c r="A800" s="33" t="n"/>
      <c r="B800" s="30" t="n"/>
      <c r="C800" s="30" t="n"/>
      <c r="D800" s="28" t="n"/>
      <c r="E800" s="34" t="n"/>
      <c r="F800" s="25">
        <f>IF(OR(B800="",E800=""),"",E800*IFERROR(INDEX(Config!$D$11:$D$20,MATCH(B800,Config!$A$11:$A$20,0)),0))</f>
        <v/>
      </c>
      <c r="G800" s="24">
        <f>IF(A800="","",MONTH(A800))</f>
        <v/>
      </c>
      <c r="H800" s="24">
        <f>IF(A800="","",YEAR(A800))</f>
        <v/>
      </c>
      <c r="I800" s="30" t="n"/>
    </row>
    <row r="801">
      <c r="A801" s="33" t="n"/>
      <c r="B801" s="30" t="n"/>
      <c r="C801" s="30" t="n"/>
      <c r="D801" s="28" t="n"/>
      <c r="E801" s="34" t="n"/>
      <c r="F801" s="25">
        <f>IF(OR(B801="",E801=""),"",E801*IFERROR(INDEX(Config!$D$11:$D$20,MATCH(B801,Config!$A$11:$A$20,0)),0))</f>
        <v/>
      </c>
      <c r="G801" s="24">
        <f>IF(A801="","",MONTH(A801))</f>
        <v/>
      </c>
      <c r="H801" s="24">
        <f>IF(A801="","",YEAR(A801))</f>
        <v/>
      </c>
      <c r="I801" s="30" t="n"/>
    </row>
    <row r="802">
      <c r="A802" s="33" t="n"/>
      <c r="B802" s="30" t="n"/>
      <c r="C802" s="30" t="n"/>
      <c r="D802" s="28" t="n"/>
      <c r="E802" s="34" t="n"/>
      <c r="F802" s="25">
        <f>IF(OR(B802="",E802=""),"",E802*IFERROR(INDEX(Config!$D$11:$D$20,MATCH(B802,Config!$A$11:$A$20,0)),0))</f>
        <v/>
      </c>
      <c r="G802" s="24">
        <f>IF(A802="","",MONTH(A802))</f>
        <v/>
      </c>
      <c r="H802" s="24">
        <f>IF(A802="","",YEAR(A802))</f>
        <v/>
      </c>
      <c r="I802" s="30" t="n"/>
    </row>
    <row r="803">
      <c r="A803" s="33" t="n"/>
      <c r="B803" s="30" t="n"/>
      <c r="C803" s="30" t="n"/>
      <c r="D803" s="28" t="n"/>
      <c r="E803" s="34" t="n"/>
      <c r="F803" s="25">
        <f>IF(OR(B803="",E803=""),"",E803*IFERROR(INDEX(Config!$D$11:$D$20,MATCH(B803,Config!$A$11:$A$20,0)),0))</f>
        <v/>
      </c>
      <c r="G803" s="24">
        <f>IF(A803="","",MONTH(A803))</f>
        <v/>
      </c>
      <c r="H803" s="24">
        <f>IF(A803="","",YEAR(A803))</f>
        <v/>
      </c>
      <c r="I803" s="30" t="n"/>
    </row>
    <row r="804">
      <c r="A804" s="33" t="n"/>
      <c r="B804" s="30" t="n"/>
      <c r="C804" s="30" t="n"/>
      <c r="D804" s="28" t="n"/>
      <c r="E804" s="34" t="n"/>
      <c r="F804" s="25">
        <f>IF(OR(B804="",E804=""),"",E804*IFERROR(INDEX(Config!$D$11:$D$20,MATCH(B804,Config!$A$11:$A$20,0)),0))</f>
        <v/>
      </c>
      <c r="G804" s="24">
        <f>IF(A804="","",MONTH(A804))</f>
        <v/>
      </c>
      <c r="H804" s="24">
        <f>IF(A804="","",YEAR(A804))</f>
        <v/>
      </c>
      <c r="I804" s="3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804"/>
  <mergeCells count="1">
    <mergeCell ref="A2:I2"/>
  </mergeCells>
  <dataValidations count="5">
    <dataValidation sqref="B5:B804" showDropDown="0" showInputMessage="0" showErrorMessage="0" allowBlank="1" type="list">
      <formula1>=Config!$A$11:$A$20</formula1>
    </dataValidation>
    <dataValidation sqref="C5:C804" showDropDown="0" showInputMessage="0" showErrorMessage="0" allowBlank="1" type="list">
      <formula1>=Config!$A$24:$A$35</formula1>
    </dataValidation>
    <dataValidation sqref="I5:I804" showDropDown="0" showInputMessage="0" showErrorMessage="1" allowBlank="1" type="list">
      <formula1>"Sim,Não"</formula1>
    </dataValidation>
    <dataValidation sqref="A5:A804" showDropDown="0" showInputMessage="0" showErrorMessage="0" allowBlank="1" type="date" operator="greaterThan">
      <formula1>1</formula1>
    </dataValidation>
    <dataValidation sqref="E5:E804" showDropDown="0" showInputMessage="0" showErrorMessage="0" allowBlank="1" type="decimal" operator="between">
      <formula1>0</formula1>
      <formula2>24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Horas e Custo por Projeto · Kit IA no Trabalho Completo</dc:title>
  <dcterms:created xmlns:dcterms="http://purl.org/dc/terms/" xmlns:xsi="http://www.w3.org/2001/XMLSchema-instance" xsi:type="dcterms:W3CDTF">2026-09-13T23:24:46Z</dcterms:created>
  <dcterms:modified xmlns:dcterms="http://purl.org/dc/terms/" xmlns:xsi="http://www.w3.org/2001/XMLSchema-instance" xsi:type="dcterms:W3CDTF">2026-09-13T23:24:47Z</dcterms:modified>
</cp:coreProperties>
</file>