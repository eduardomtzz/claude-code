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Horas" sheetId="4" state="visible" r:id="rId4"/>
  </sheets>
  <definedNames>
    <definedName name="_xlnm._FilterDatabase" localSheetId="3" hidden="1">'Horas'!$A$4:$I$804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dd/mm/yyyy"/>
    <numFmt numFmtId="167" formatCode="0.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8" fontId="1" fillId="4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10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4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usadas × orçadas por projeto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'Painel'!C9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'Painel'!$A$10:$A$21</f>
            </numRef>
          </cat>
          <val>
            <numRef>
              <f>'Painel'!$C$10:$C$21</f>
            </numRef>
          </val>
        </ser>
        <ser>
          <idx val="1"/>
          <order val="1"/>
          <tx>
            <strRef>
              <f>'Painel'!D9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'Painel'!$A$10:$A$21</f>
            </numRef>
          </cat>
          <val>
            <numRef>
              <f>'Painel'!$D$10:$D$21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e Custo por Projeto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projeto; ela transforma em custo (pelo custo-hora), compara com as horas orçadas e o valor cobrado, mostra a margem de cada projeto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horas disponíveis: os dois são obrigatórios, porque o custo-hora sai da divisão. Faltando um, a planilha escreve o que falta em vez de calcular um custo zerado, e o custo e a margem dos projetos e pessoas com horas dessa pessoa aparecem como "cadastro incompleto" no Painel (uma soma parcial mentiria para menos). Cadastre também os projetos com horas orçadas, valor cobrado e status. Projetos internos (comercial, gestão) entram com status Interno; proposta ainda não fechada pode entrar como Proposta, sem horas.</t>
        </is>
      </c>
    </row>
    <row r="6" ht="46" customHeight="1">
      <c r="A6" s="3" t="inlineStr">
        <is>
          <t>Passo 2</t>
        </is>
      </c>
      <c r="B6" s="4" t="inlineStr">
        <is>
          <t>Em Horas, uma linha por pessoa, por dia, por projeto: data, pessoa, projeto, atividade, horas e se é faturável.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Por projeto: horas usadas contra orçadas, custo, margem e situação. Por pessoa: ocupação e horas faturáveis.</t>
        </is>
      </c>
    </row>
    <row r="8" ht="46" customHeight="1">
      <c r="A8" s="3" t="inlineStr">
        <is>
          <t>Rotina</t>
        </is>
      </c>
      <c r="B8" s="4" t="inlineStr">
        <is>
          <t>Cada pessoa lança no fim do dia (2 minutos) ou na sexta (10 minutos). Dia 1 do mês: olhe margem por projeto antes de precificar o próximo.</t>
        </is>
      </c>
    </row>
    <row r="9" ht="46" customHeight="1">
      <c r="A9" s="3" t="inlineStr">
        <is>
          <t>Com a IA</t>
        </is>
      </c>
      <c r="B9" s="4" t="inlineStr">
        <is>
          <t>Copie "Por projeto" e use "Analisar 02: comparar dois períodos" ou "Analisar 06: perguntas antes de decidir" para revisar preços. Para justificar horas a um cliente, "Escrever 04".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1" customWidth="1" min="5" max="5"/>
    <col width="13" customWidth="1" min="6" max="6"/>
    <col width="14" customWidth="1" min="7" max="7"/>
    <col width="13" customWidth="1" min="8" max="8"/>
    <col width="11" customWidth="1" min="9" max="9"/>
    <col width="17" customWidth="1" min="10" max="10"/>
  </cols>
  <sheetData>
    <row r="1">
      <c r="A1" s="5" t="str">
        <f>Config!B4&amp;" · "&amp;Config!B6&amp;" de "&amp;Config!B5</f>
        <v>Prisma Comunicação (exemplo fictício) · Setembro de 2026</v>
      </c>
    </row>
    <row r="2">
      <c r="A2" s="6" t="inlineStr">
        <is>
          <t>Nada para preencher aqui. Escolha o mês em Config; tudo vem de Horas.</t>
        </is>
      </c>
    </row>
    <row r="4">
      <c r="A4" s="7" t="inlineStr">
        <is>
          <t>Horas no mês</t>
        </is>
      </c>
      <c r="B4" s="8" t="n"/>
      <c r="C4" s="7" t="inlineStr">
        <is>
          <t>Custo no mês</t>
        </is>
      </c>
      <c r="D4" s="8" t="n"/>
      <c r="E4" s="9" t="inlineStr">
        <is>
          <t>Horas faturáveis</t>
        </is>
      </c>
      <c r="F4" s="10" t="n"/>
      <c r="G4" s="11" t="inlineStr">
        <is>
          <t>Ocupação da equipe</t>
        </is>
      </c>
      <c r="H4" s="12" t="n"/>
    </row>
    <row r="5" ht="30" customHeight="1">
      <c r="A5" s="13">
        <f>SUMIFS(Horas!$E$5:$E$804,Horas!$G$5:$G$804,Config!$B$7,Horas!$H$5:$H$804,Config!$B$5)</f>
        <v>277.5</v>
      </c>
      <c r="B5" s="8" t="n"/>
      <c r="C5" s="14">
        <f>IF(SUMIFS(Horas!$J$5:$J$804,Horas!$G$5:$G$804,Config!$B$7,Horas!$H$5:$H$804,Config!$B$5)&gt;0,"cadastro incompleto",SUMIFS(Horas!$F$5:$F$804,Horas!$G$5:$G$804,Config!$B$7,Horas!$H$5:$H$804,Config!$B$5))</f>
        <v>14967.2619047619</v>
      </c>
      <c r="D5" s="8" t="n"/>
      <c r="E5" s="15">
        <f>IFERROR(SUMIFS(Horas!$E$5:$E$804,Horas!$G$5:$G$804,Config!$B$7,Horas!$H$5:$H$804,Config!$B$5,Horas!$I$5:$I$804,"Sim")/A5,0)</f>
        <v>0.621621621621622</v>
      </c>
      <c r="F5" s="10" t="n"/>
      <c r="G5" s="16">
        <f>IFERROR(A5/SUMIFS(Config!$C$11:$C$20,Config!$A$11:$A$20,"&lt;&gt;"),0)</f>
        <v>0.513888888888889</v>
      </c>
      <c r="H5" s="12" t="n"/>
    </row>
    <row r="7">
      <c r="A7" s="17">
        <f>IF(SUM(Horas!$J$5:$J$804)=0,"","Atenção: "&amp;SUM(Horas!$J$5:$J$804)&amp;" lançamento(s) de hora sem custo-hora (cadastro incompleto em Config). O custo desses lançamentos não está contado: o custo real é MAIOR e a margem real é MENOR do que qualquer soma parcial, por isso custo e margem dos projetos e pessoas afetados aparecem como 'cadastro incompleto' até você completar o custo mensal e as horas disponíveis da pessoa.")</f>
        <v/>
      </c>
    </row>
    <row r="8">
      <c r="A8" s="18" t="inlineStr">
        <is>
          <t>Por projeto (todo o período)</t>
        </is>
      </c>
    </row>
    <row r="9" ht="26" customHeight="1">
      <c r="A9" s="19" t="inlineStr">
        <is>
          <t>Projeto</t>
        </is>
      </c>
      <c r="B9" s="19" t="inlineStr">
        <is>
          <t>Cliente</t>
        </is>
      </c>
      <c r="C9" s="19" t="inlineStr">
        <is>
          <t>Horas orçadas</t>
        </is>
      </c>
      <c r="D9" s="19" t="inlineStr">
        <is>
          <t>Horas usadas</t>
        </is>
      </c>
      <c r="E9" s="19" t="inlineStr">
        <is>
          <t>% do orçado</t>
        </is>
      </c>
      <c r="F9" s="19" t="inlineStr">
        <is>
          <t>Custo (R$)</t>
        </is>
      </c>
      <c r="G9" s="19" t="inlineStr">
        <is>
          <t>Valor cobrado</t>
        </is>
      </c>
      <c r="H9" s="19" t="inlineStr">
        <is>
          <t>Margem (R$)</t>
        </is>
      </c>
      <c r="I9" s="19" t="inlineStr">
        <is>
          <t>Margem (%)</t>
        </is>
      </c>
      <c r="J9" s="19" t="inlineStr">
        <is>
          <t>Situação</t>
        </is>
      </c>
    </row>
    <row r="10">
      <c r="A10" s="20" t="str">
        <f>IF(Config!$A$24="","",Config!$A$24)</f>
        <v>Site novo · Loja Verde</v>
      </c>
      <c r="B10" s="20" t="str">
        <f>IF(Config!$A$24="","",Config!$B$24)</f>
        <v>Loja Verde</v>
      </c>
      <c r="C10" s="21">
        <f>IF(Config!$A$24="","",Config!$C$24)</f>
        <v>560</v>
      </c>
      <c r="D10" s="22">
        <f>IF(Config!$A$24="","",SUMIFS(Horas!$E$5:$E$804,Horas!$C$5:$C$804,Config!$A$24))</f>
        <v>328.5</v>
      </c>
      <c r="E10" s="23">
        <f>IF(OR(Config!$A$24="",C10=0,C10=""),"",D10/C10)</f>
        <v>0.586607142857143</v>
      </c>
      <c r="F10" s="24">
        <f>IF(Config!$A$24="","",IF(SUMIFS(Horas!$J$5:$J$804,Horas!$C$5:$C$804,Config!$A$24)&gt;0,"cadastro incompleto",SUMIFS(Horas!$F$5:$F$804,Horas!$C$5:$C$804,Config!$A$24)))</f>
        <v>17218.0952380952</v>
      </c>
      <c r="G10" s="24">
        <f>IF(Config!$A$24="","",Config!$D$24)</f>
        <v>24000</v>
      </c>
      <c r="H10" s="24">
        <f>IF(OR(Config!$A$24="",G10=""),"",IF(ISNUMBER(F10),G10-F10,"cadastro incompleto"))</f>
        <v>6781.90476190476</v>
      </c>
      <c r="I10" s="23">
        <f>IF(OR(Config!$A$24="",G10="",G10=0,NOT(ISNUMBER(H10))),"",H10/G10)</f>
        <v>0.282579365079365</v>
      </c>
      <c r="J10" s="25" t="str">
        <f>IF(Config!$A$24="","",IF(Config!$E$24="Interno","Interno",IF(Config!$E$24="Proposta","Proposta",IF(NOT(ISNUMBER(F10)),"Custo incompleto",IF(AND(E10&lt;&gt;"",E10&gt;1),"Estourou as horas",IF(AND(I10&lt;&gt;"",I10&lt;0.2),"Margem baixa",IF(AND(E10&lt;&gt;"",E10&gt;0.85,Config!$E$24="Em andamento"),"Perto do limite","Saudável")))))))</f>
        <v>Saudável</v>
      </c>
    </row>
    <row r="11">
      <c r="A11" s="20" t="str">
        <f>IF(Config!$A$25="","",Config!$A$25)</f>
        <v>Campanha de fim de ano · Bistrô 42</v>
      </c>
      <c r="B11" s="20" t="str">
        <f>IF(Config!$A$25="","",Config!$B$25)</f>
        <v>Bistrô 42</v>
      </c>
      <c r="C11" s="21">
        <f>IF(Config!$A$25="","",Config!$C$25)</f>
        <v>300</v>
      </c>
      <c r="D11" s="22">
        <f>IF(Config!$A$25="","",SUMIFS(Horas!$E$5:$E$804,Horas!$C$5:$C$804,Config!$A$25))</f>
        <v>51.5</v>
      </c>
      <c r="E11" s="23">
        <f>IF(OR(Config!$A$25="",C11=0,C11=""),"",D11/C11)</f>
        <v>0.171666666666667</v>
      </c>
      <c r="F11" s="24">
        <f>IF(Config!$A$25="","",IF(SUMIFS(Horas!$J$5:$J$804,Horas!$C$5:$C$804,Config!$A$25)&gt;0,"cadastro incompleto",SUMIFS(Horas!$F$5:$F$804,Horas!$C$5:$C$804,Config!$A$25)))</f>
        <v>2508.57142857143</v>
      </c>
      <c r="G11" s="24">
        <f>IF(Config!$A$25="","",Config!$D$25)</f>
        <v>38000</v>
      </c>
      <c r="H11" s="24">
        <f>IF(OR(Config!$A$25="",G11=""),"",IF(ISNUMBER(F11),G11-F11,"cadastro incompleto"))</f>
        <v>35491.4285714286</v>
      </c>
      <c r="I11" s="23">
        <f>IF(OR(Config!$A$25="",G11="",G11=0,NOT(ISNUMBER(H11))),"",H11/G11)</f>
        <v>0.933984962406015</v>
      </c>
      <c r="J11" s="25" t="str">
        <f>IF(Config!$A$25="","",IF(Config!$E$25="Interno","Interno",IF(Config!$E$25="Proposta","Proposta",IF(NOT(ISNUMBER(F11)),"Custo incompleto",IF(AND(E11&lt;&gt;"",E11&gt;1),"Estourou as horas",IF(AND(I11&lt;&gt;"",I11&lt;0.2),"Margem baixa",IF(AND(E11&lt;&gt;"",E11&gt;0.85,Config!$E$25="Em andamento"),"Perto do limite","Saudável")))))))</f>
        <v>Saudável</v>
      </c>
    </row>
    <row r="12">
      <c r="A12" s="20" t="str">
        <f>IF(Config!$A$26="","",Config!$A$26)</f>
        <v>Relatório anual · Horizonte</v>
      </c>
      <c r="B12" s="20" t="str">
        <f>IF(Config!$A$26="","",Config!$B$26)</f>
        <v>Horizonte</v>
      </c>
      <c r="C12" s="21">
        <f>IF(Config!$A$26="","",Config!$C$26)</f>
        <v>130</v>
      </c>
      <c r="D12" s="22">
        <f>IF(Config!$A$26="","",SUMIFS(Horas!$E$5:$E$804,Horas!$C$5:$C$804,Config!$A$26))</f>
        <v>9.5</v>
      </c>
      <c r="E12" s="23">
        <f>IF(OR(Config!$A$26="",C12=0,C12=""),"",D12/C12)</f>
        <v>0.0730769230769231</v>
      </c>
      <c r="F12" s="24">
        <f>IF(Config!$A$26="","",IF(SUMIFS(Horas!$J$5:$J$804,Horas!$C$5:$C$804,Config!$A$26)&gt;0,"cadastro incompleto",SUMIFS(Horas!$F$5:$F$804,Horas!$C$5:$C$804,Config!$A$26)))</f>
        <v>665</v>
      </c>
      <c r="G12" s="24">
        <f>IF(Config!$A$26="","",Config!$D$26)</f>
        <v>16000</v>
      </c>
      <c r="H12" s="24">
        <f>IF(OR(Config!$A$26="",G12=""),"",IF(ISNUMBER(F12),G12-F12,"cadastro incompleto"))</f>
        <v>15335</v>
      </c>
      <c r="I12" s="23">
        <f>IF(OR(Config!$A$26="",G12="",G12=0,NOT(ISNUMBER(H12))),"",H12/G12)</f>
        <v>0.9584375</v>
      </c>
      <c r="J12" s="25" t="str">
        <f>IF(Config!$A$26="","",IF(Config!$E$26="Interno","Interno",IF(Config!$E$26="Proposta","Proposta",IF(NOT(ISNUMBER(F12)),"Custo incompleto",IF(AND(E12&lt;&gt;"",E12&gt;1),"Estourou as horas",IF(AND(I12&lt;&gt;"",I12&lt;0.2),"Margem baixa",IF(AND(E12&lt;&gt;"",E12&gt;0.85,Config!$E$26="Em andamento"),"Perto do limite","Saudável")))))))</f>
        <v>Saudável</v>
      </c>
    </row>
    <row r="13">
      <c r="A13" s="20" t="str">
        <f>IF(Config!$A$27="","",Config!$A$27)</f>
        <v>Identidade visual · Padaria do Sol</v>
      </c>
      <c r="B13" s="20" t="str">
        <f>IF(Config!$A$27="","",Config!$B$27)</f>
        <v>Padaria do Sol</v>
      </c>
      <c r="C13" s="21">
        <f>IF(Config!$A$27="","",Config!$C$27)</f>
        <v>70</v>
      </c>
      <c r="D13" s="22">
        <f>IF(Config!$A$27="","",SUMIFS(Horas!$E$5:$E$804,Horas!$C$5:$C$804,Config!$A$27))</f>
        <v>64.5</v>
      </c>
      <c r="E13" s="23">
        <f>IF(OR(Config!$A$27="",C13=0,C13=""),"",D13/C13)</f>
        <v>0.921428571428571</v>
      </c>
      <c r="F13" s="24">
        <f>IF(Config!$A$27="","",IF(SUMIFS(Horas!$J$5:$J$804,Horas!$C$5:$C$804,Config!$A$27)&gt;0,"cadastro incompleto",SUMIFS(Horas!$F$5:$F$804,Horas!$C$5:$C$804,Config!$A$27)))</f>
        <v>3317.14285714286</v>
      </c>
      <c r="G13" s="24">
        <f>IF(Config!$A$27="","",Config!$D$27)</f>
        <v>9500</v>
      </c>
      <c r="H13" s="24">
        <f>IF(OR(Config!$A$27="",G13=""),"",IF(ISNUMBER(F13),G13-F13,"cadastro incompleto"))</f>
        <v>6182.85714285714</v>
      </c>
      <c r="I13" s="23">
        <f>IF(OR(Config!$A$27="",G13="",G13=0,NOT(ISNUMBER(H13))),"",H13/G13)</f>
        <v>0.650827067669173</v>
      </c>
      <c r="J13" s="25" t="str">
        <f>IF(Config!$A$27="","",IF(Config!$E$27="Interno","Interno",IF(Config!$E$27="Proposta","Proposta",IF(NOT(ISNUMBER(F13)),"Custo incompleto",IF(AND(E13&lt;&gt;"",E13&gt;1),"Estourou as horas",IF(AND(I13&lt;&gt;"",I13&lt;0.2),"Margem baixa",IF(AND(E13&lt;&gt;"",E13&gt;0.85,Config!$E$27="Em andamento"),"Perto do limite","Saudável")))))))</f>
        <v>Saudável</v>
      </c>
    </row>
    <row r="14">
      <c r="A14" s="20" t="str">
        <f>IF(Config!$A$28="","",Config!$A$28)</f>
        <v>Redes sociais · Clínica Bem-Estar</v>
      </c>
      <c r="B14" s="20" t="str">
        <f>IF(Config!$A$28="","",Config!$B$28)</f>
        <v>Clínica Bem-Estar</v>
      </c>
      <c r="C14" s="21">
        <f>IF(Config!$A$28="","",Config!$C$28)</f>
        <v>40</v>
      </c>
      <c r="D14" s="22">
        <f>IF(Config!$A$28="","",SUMIFS(Horas!$E$5:$E$804,Horas!$C$5:$C$804,Config!$A$28))</f>
        <v>0</v>
      </c>
      <c r="E14" s="23">
        <f>IF(OR(Config!$A$28="",C14=0,C14=""),"",D14/C14)</f>
        <v>0</v>
      </c>
      <c r="F14" s="24">
        <f>IF(Config!$A$28="","",IF(SUMIFS(Horas!$J$5:$J$804,Horas!$C$5:$C$804,Config!$A$28)&gt;0,"cadastro incompleto",SUMIFS(Horas!$F$5:$F$804,Horas!$C$5:$C$804,Config!$A$28)))</f>
        <v>0</v>
      </c>
      <c r="G14" s="24">
        <f>IF(Config!$A$28="","",Config!$D$28)</f>
        <v>4500</v>
      </c>
      <c r="H14" s="24">
        <f>IF(OR(Config!$A$28="",G14=""),"",IF(ISNUMBER(F14),G14-F14,"cadastro incompleto"))</f>
        <v>4500</v>
      </c>
      <c r="I14" s="23">
        <f>IF(OR(Config!$A$28="",G14="",G14=0,NOT(ISNUMBER(H14))),"",H14/G14)</f>
        <v>1</v>
      </c>
      <c r="J14" s="25" t="str">
        <f>IF(Config!$A$28="","",IF(Config!$E$28="Interno","Interno",IF(Config!$E$28="Proposta","Proposta",IF(NOT(ISNUMBER(F14)),"Custo incompleto",IF(AND(E14&lt;&gt;"",E14&gt;1),"Estourou as horas",IF(AND(I14&lt;&gt;"",I14&lt;0.2),"Margem baixa",IF(AND(E14&lt;&gt;"",E14&gt;0.85,Config!$E$28="Em andamento"),"Perto do limite","Saudável")))))))</f>
        <v>Proposta</v>
      </c>
    </row>
    <row r="15">
      <c r="A15" s="20" t="str">
        <f>IF(Config!$A$29="","",Config!$A$29)</f>
        <v>Comercial e propostas</v>
      </c>
      <c r="B15" s="20" t="str">
        <f>IF(Config!$A$29="","",Config!$B$29)</f>
        <v>Interno</v>
      </c>
      <c r="C15" s="21">
        <f>IF(Config!$A$29="","",Config!$C$29)</f>
        <v>0</v>
      </c>
      <c r="D15" s="22">
        <f>IF(Config!$A$29="","",SUMIFS(Horas!$E$5:$E$804,Horas!$C$5:$C$804,Config!$A$29))</f>
        <v>741.5</v>
      </c>
      <c r="E15" s="23">
        <f>IF(OR(Config!$A$29="",C15=0,C15=""),"",D15/C15)</f>
        <v/>
      </c>
      <c r="F15" s="24">
        <f>IF(Config!$A$29="","",IF(SUMIFS(Horas!$J$5:$J$804,Horas!$C$5:$C$804,Config!$A$29)&gt;0,"cadastro incompleto",SUMIFS(Horas!$F$5:$F$804,Horas!$C$5:$C$804,Config!$A$29)))</f>
        <v>40097.9761904762</v>
      </c>
      <c r="G15" s="24">
        <f>IF(Config!$A$29="","",Config!$D$29)</f>
        <v>0</v>
      </c>
      <c r="H15" s="24">
        <f>IF(OR(Config!$A$29="",G15=""),"",IF(ISNUMBER(F15),G15-F15,"cadastro incompleto"))</f>
        <v>-40097.9761904762</v>
      </c>
      <c r="I15" s="23">
        <f>IF(OR(Config!$A$29="",G15="",G15=0,NOT(ISNUMBER(H15))),"",H15/G15)</f>
        <v/>
      </c>
      <c r="J15" s="25" t="str">
        <f>IF(Config!$A$29="","",IF(Config!$E$29="Interno","Interno",IF(Config!$E$29="Proposta","Proposta",IF(NOT(ISNUMBER(F15)),"Custo incompleto",IF(AND(E15&lt;&gt;"",E15&gt;1),"Estourou as horas",IF(AND(I15&lt;&gt;"",I15&lt;0.2),"Margem baixa",IF(AND(E15&lt;&gt;"",E15&gt;0.85,Config!$E$29="Em andamento"),"Perto do limite","Saudável")))))))</f>
        <v>Interno</v>
      </c>
    </row>
    <row r="16">
      <c r="A16" s="20" t="str">
        <f>IF(Config!$A$30="","",Config!$A$30)</f>
        <v>Gestão e reuniões</v>
      </c>
      <c r="B16" s="20" t="str">
        <f>IF(Config!$A$30="","",Config!$B$30)</f>
        <v>Interno</v>
      </c>
      <c r="C16" s="21">
        <f>IF(Config!$A$30="","",Config!$C$30)</f>
        <v>0</v>
      </c>
      <c r="D16" s="22">
        <f>IF(Config!$A$30="","",SUMIFS(Horas!$E$5:$E$804,Horas!$C$5:$C$804,Config!$A$30))</f>
        <v>406.5</v>
      </c>
      <c r="E16" s="23">
        <f>IF(OR(Config!$A$30="",C16=0,C16=""),"",D16/C16)</f>
        <v/>
      </c>
      <c r="F16" s="24">
        <f>IF(Config!$A$30="","",IF(SUMIFS(Horas!$J$5:$J$804,Horas!$C$5:$C$804,Config!$A$30)&gt;0,"cadastro incompleto",SUMIFS(Horas!$F$5:$F$804,Horas!$C$5:$C$804,Config!$A$30)))</f>
        <v>22889.2857142857</v>
      </c>
      <c r="G16" s="24">
        <f>IF(Config!$A$30="","",Config!$D$30)</f>
        <v>0</v>
      </c>
      <c r="H16" s="24">
        <f>IF(OR(Config!$A$30="",G16=""),"",IF(ISNUMBER(F16),G16-F16,"cadastro incompleto"))</f>
        <v>-22889.2857142857</v>
      </c>
      <c r="I16" s="23">
        <f>IF(OR(Config!$A$30="",G16="",G16=0,NOT(ISNUMBER(H16))),"",H16/G16)</f>
        <v/>
      </c>
      <c r="J16" s="25" t="str">
        <f>IF(Config!$A$30="","",IF(Config!$E$30="Interno","Interno",IF(Config!$E$30="Proposta","Proposta",IF(NOT(ISNUMBER(F16)),"Custo incompleto",IF(AND(E16&lt;&gt;"",E16&gt;1),"Estourou as horas",IF(AND(I16&lt;&gt;"",I16&lt;0.2),"Margem baixa",IF(AND(E16&lt;&gt;"",E16&gt;0.85,Config!$E$30="Em andamento"),"Perto do limite","Saudável")))))))</f>
        <v>Interno</v>
      </c>
    </row>
    <row r="17">
      <c r="A17" s="20">
        <f>IF(Config!$A$31="","",Config!$A$31)</f>
        <v/>
      </c>
      <c r="B17" s="20">
        <f>IF(Config!$A$31="","",Config!$B$31)</f>
        <v/>
      </c>
      <c r="C17" s="21">
        <f>IF(Config!$A$31="","",Config!$C$31)</f>
        <v/>
      </c>
      <c r="D17" s="22">
        <f>IF(Config!$A$31="","",SUMIFS(Horas!$E$5:$E$804,Horas!$C$5:$C$804,Config!$A$31))</f>
        <v/>
      </c>
      <c r="E17" s="23">
        <f>IF(OR(Config!$A$31="",C17=0,C17=""),"",D17/C17)</f>
        <v/>
      </c>
      <c r="F17" s="24">
        <f>IF(Config!$A$31="","",IF(SUMIFS(Horas!$J$5:$J$804,Horas!$C$5:$C$804,Config!$A$31)&gt;0,"cadastro incompleto",SUMIFS(Horas!$F$5:$F$804,Horas!$C$5:$C$804,Config!$A$31)))</f>
        <v/>
      </c>
      <c r="G17" s="24">
        <f>IF(Config!$A$31="","",Config!$D$31)</f>
        <v/>
      </c>
      <c r="H17" s="24">
        <f>IF(OR(Config!$A$31="",G17=""),"",IF(ISNUMBER(F17),G17-F17,"cadastro incompleto"))</f>
        <v/>
      </c>
      <c r="I17" s="23">
        <f>IF(OR(Config!$A$31="",G17="",G17=0,NOT(ISNUMBER(H17))),"",H17/G17)</f>
        <v/>
      </c>
      <c r="J17" s="25">
        <f>IF(Config!$A$31="","",IF(Config!$E$31="Interno","Interno",IF(Config!$E$31="Proposta","Proposta",IF(NOT(ISNUMBER(F17)),"Custo incompleto",IF(AND(E17&lt;&gt;"",E17&gt;1),"Estourou as horas",IF(AND(I17&lt;&gt;"",I17&lt;0.2),"Margem baixa",IF(AND(E17&lt;&gt;"",E17&gt;0.85,Config!$E$31="Em andamento"),"Perto do limite","Saudável")))))))</f>
        <v/>
      </c>
    </row>
    <row r="18">
      <c r="A18" s="20">
        <f>IF(Config!$A$32="","",Config!$A$32)</f>
        <v/>
      </c>
      <c r="B18" s="20">
        <f>IF(Config!$A$32="","",Config!$B$32)</f>
        <v/>
      </c>
      <c r="C18" s="21">
        <f>IF(Config!$A$32="","",Config!$C$32)</f>
        <v/>
      </c>
      <c r="D18" s="22">
        <f>IF(Config!$A$32="","",SUMIFS(Horas!$E$5:$E$804,Horas!$C$5:$C$804,Config!$A$32))</f>
        <v/>
      </c>
      <c r="E18" s="23">
        <f>IF(OR(Config!$A$32="",C18=0,C18=""),"",D18/C18)</f>
        <v/>
      </c>
      <c r="F18" s="24">
        <f>IF(Config!$A$32="","",IF(SUMIFS(Horas!$J$5:$J$804,Horas!$C$5:$C$804,Config!$A$32)&gt;0,"cadastro incompleto",SUMIFS(Horas!$F$5:$F$804,Horas!$C$5:$C$804,Config!$A$32)))</f>
        <v/>
      </c>
      <c r="G18" s="24">
        <f>IF(Config!$A$32="","",Config!$D$32)</f>
        <v/>
      </c>
      <c r="H18" s="24">
        <f>IF(OR(Config!$A$32="",G18=""),"",IF(ISNUMBER(F18),G18-F18,"cadastro incompleto"))</f>
        <v/>
      </c>
      <c r="I18" s="23">
        <f>IF(OR(Config!$A$32="",G18="",G18=0,NOT(ISNUMBER(H18))),"",H18/G18)</f>
        <v/>
      </c>
      <c r="J18" s="25">
        <f>IF(Config!$A$32="","",IF(Config!$E$32="Interno","Interno",IF(Config!$E$32="Proposta","Proposta",IF(NOT(ISNUMBER(F18)),"Custo incompleto",IF(AND(E18&lt;&gt;"",E18&gt;1),"Estourou as horas",IF(AND(I18&lt;&gt;"",I18&lt;0.2),"Margem baixa",IF(AND(E18&lt;&gt;"",E18&gt;0.85,Config!$E$32="Em andamento"),"Perto do limite","Saudável")))))))</f>
        <v/>
      </c>
    </row>
    <row r="19">
      <c r="A19" s="20">
        <f>IF(Config!$A$33="","",Config!$A$33)</f>
        <v/>
      </c>
      <c r="B19" s="20">
        <f>IF(Config!$A$33="","",Config!$B$33)</f>
        <v/>
      </c>
      <c r="C19" s="21">
        <f>IF(Config!$A$33="","",Config!$C$33)</f>
        <v/>
      </c>
      <c r="D19" s="22">
        <f>IF(Config!$A$33="","",SUMIFS(Horas!$E$5:$E$804,Horas!$C$5:$C$804,Config!$A$33))</f>
        <v/>
      </c>
      <c r="E19" s="23">
        <f>IF(OR(Config!$A$33="",C19=0,C19=""),"",D19/C19)</f>
        <v/>
      </c>
      <c r="F19" s="24">
        <f>IF(Config!$A$33="","",IF(SUMIFS(Horas!$J$5:$J$804,Horas!$C$5:$C$804,Config!$A$33)&gt;0,"cadastro incompleto",SUMIFS(Horas!$F$5:$F$804,Horas!$C$5:$C$804,Config!$A$33)))</f>
        <v/>
      </c>
      <c r="G19" s="24">
        <f>IF(Config!$A$33="","",Config!$D$33)</f>
        <v/>
      </c>
      <c r="H19" s="24">
        <f>IF(OR(Config!$A$33="",G19=""),"",IF(ISNUMBER(F19),G19-F19,"cadastro incompleto"))</f>
        <v/>
      </c>
      <c r="I19" s="23">
        <f>IF(OR(Config!$A$33="",G19="",G19=0,NOT(ISNUMBER(H19))),"",H19/G19)</f>
        <v/>
      </c>
      <c r="J19" s="25">
        <f>IF(Config!$A$33="","",IF(Config!$E$33="Interno","Interno",IF(Config!$E$33="Proposta","Proposta",IF(NOT(ISNUMBER(F19)),"Custo incompleto",IF(AND(E19&lt;&gt;"",E19&gt;1),"Estourou as horas",IF(AND(I19&lt;&gt;"",I19&lt;0.2),"Margem baixa",IF(AND(E19&lt;&gt;"",E19&gt;0.85,Config!$E$33="Em andamento"),"Perto do limite","Saudável")))))))</f>
        <v/>
      </c>
    </row>
    <row r="20">
      <c r="A20" s="20">
        <f>IF(Config!$A$34="","",Config!$A$34)</f>
        <v/>
      </c>
      <c r="B20" s="20">
        <f>IF(Config!$A$34="","",Config!$B$34)</f>
        <v/>
      </c>
      <c r="C20" s="21">
        <f>IF(Config!$A$34="","",Config!$C$34)</f>
        <v/>
      </c>
      <c r="D20" s="22">
        <f>IF(Config!$A$34="","",SUMIFS(Horas!$E$5:$E$804,Horas!$C$5:$C$804,Config!$A$34))</f>
        <v/>
      </c>
      <c r="E20" s="23">
        <f>IF(OR(Config!$A$34="",C20=0,C20=""),"",D20/C20)</f>
        <v/>
      </c>
      <c r="F20" s="24">
        <f>IF(Config!$A$34="","",IF(SUMIFS(Horas!$J$5:$J$804,Horas!$C$5:$C$804,Config!$A$34)&gt;0,"cadastro incompleto",SUMIFS(Horas!$F$5:$F$804,Horas!$C$5:$C$804,Config!$A$34)))</f>
        <v/>
      </c>
      <c r="G20" s="24">
        <f>IF(Config!$A$34="","",Config!$D$34)</f>
        <v/>
      </c>
      <c r="H20" s="24">
        <f>IF(OR(Config!$A$34="",G20=""),"",IF(ISNUMBER(F20),G20-F20,"cadastro incompleto"))</f>
        <v/>
      </c>
      <c r="I20" s="23">
        <f>IF(OR(Config!$A$34="",G20="",G20=0,NOT(ISNUMBER(H20))),"",H20/G20)</f>
        <v/>
      </c>
      <c r="J20" s="25">
        <f>IF(Config!$A$34="","",IF(Config!$E$34="Interno","Interno",IF(Config!$E$34="Proposta","Proposta",IF(NOT(ISNUMBER(F20)),"Custo incompleto",IF(AND(E20&lt;&gt;"",E20&gt;1),"Estourou as horas",IF(AND(I20&lt;&gt;"",I20&lt;0.2),"Margem baixa",IF(AND(E20&lt;&gt;"",E20&gt;0.85,Config!$E$34="Em andamento"),"Perto do limite","Saudável")))))))</f>
        <v/>
      </c>
    </row>
    <row r="21">
      <c r="A21" s="20">
        <f>IF(Config!$A$35="","",Config!$A$35)</f>
        <v/>
      </c>
      <c r="B21" s="20">
        <f>IF(Config!$A$35="","",Config!$B$35)</f>
        <v/>
      </c>
      <c r="C21" s="21">
        <f>IF(Config!$A$35="","",Config!$C$35)</f>
        <v/>
      </c>
      <c r="D21" s="22">
        <f>IF(Config!$A$35="","",SUMIFS(Horas!$E$5:$E$804,Horas!$C$5:$C$804,Config!$A$35))</f>
        <v/>
      </c>
      <c r="E21" s="23">
        <f>IF(OR(Config!$A$35="",C21=0,C21=""),"",D21/C21)</f>
        <v/>
      </c>
      <c r="F21" s="24">
        <f>IF(Config!$A$35="","",IF(SUMIFS(Horas!$J$5:$J$804,Horas!$C$5:$C$804,Config!$A$35)&gt;0,"cadastro incompleto",SUMIFS(Horas!$F$5:$F$804,Horas!$C$5:$C$804,Config!$A$35)))</f>
        <v/>
      </c>
      <c r="G21" s="24">
        <f>IF(Config!$A$35="","",Config!$D$35)</f>
        <v/>
      </c>
      <c r="H21" s="24">
        <f>IF(OR(Config!$A$35="",G21=""),"",IF(ISNUMBER(F21),G21-F21,"cadastro incompleto"))</f>
        <v/>
      </c>
      <c r="I21" s="23">
        <f>IF(OR(Config!$A$35="",G21="",G21=0,NOT(ISNUMBER(H21))),"",H21/G21)</f>
        <v/>
      </c>
      <c r="J21" s="25">
        <f>IF(Config!$A$35="","",IF(Config!$E$35="Interno","Interno",IF(Config!$E$35="Proposta","Proposta",IF(NOT(ISNUMBER(F21)),"Custo incompleto",IF(AND(E21&lt;&gt;"",E21&gt;1),"Estourou as horas",IF(AND(I21&lt;&gt;"",I21&lt;0.2),"Margem baixa",IF(AND(E21&lt;&gt;"",E21&gt;0.85,Config!$E$35="Em andamento"),"Perto do limite","Saudável")))))))</f>
        <v/>
      </c>
    </row>
    <row r="23">
      <c r="A23" s="18" t="inlineStr">
        <is>
          <t>Por pessoa no mês</t>
        </is>
      </c>
    </row>
    <row r="24" ht="26" customHeight="1">
      <c r="A24" s="19" t="inlineStr">
        <is>
          <t>Pessoa</t>
        </is>
      </c>
      <c r="B24" s="19" t="inlineStr">
        <is>
          <t>Horas lançadas</t>
        </is>
      </c>
      <c r="C24" s="19" t="inlineStr">
        <is>
          <t>Disponíveis</t>
        </is>
      </c>
      <c r="D24" s="19" t="inlineStr">
        <is>
          <t>Ocupação</t>
        </is>
      </c>
      <c r="E24" s="19" t="inlineStr">
        <is>
          <t>Faturáveis</t>
        </is>
      </c>
      <c r="F24" s="19" t="inlineStr">
        <is>
          <t>Custo no mês</t>
        </is>
      </c>
      <c r="G24" s="19" t="inlineStr">
        <is>
          <t>Custo-hora</t>
        </is>
      </c>
    </row>
    <row r="25">
      <c r="A25" s="20" t="str">
        <f>IF(Config!$A$11="","",Config!$A$11)</f>
        <v>Ana</v>
      </c>
      <c r="B25" s="22">
        <f>IF(Config!$A$11="","",SUMIFS(Horas!$E$5:$E$804,Horas!$B$5:$B$804,Config!$A$11,Horas!$G$5:$G$804,Config!$B$7,Horas!$H$5:$H$804,Config!$B$5))</f>
        <v>68</v>
      </c>
      <c r="C25" s="21">
        <f>IF(Config!$A$11="","",Config!$C$11)</f>
        <v>140</v>
      </c>
      <c r="D25" s="23">
        <f>IF(OR(Config!$A$11="",C25=0,C25=""),"",B25/C25)</f>
        <v>0.485714285714286</v>
      </c>
      <c r="E25" s="23">
        <f>IF(OR(Config!$A$11="",B25=0),"",SUMIFS(Horas!$E$5:$E$804,Horas!$B$5:$B$804,Config!$A$11,Horas!$G$5:$G$804,Config!$B$7,Horas!$H$5:$H$804,Config!$B$5,Horas!$I$5:$I$804,"Sim")/B25)</f>
        <v>0.382352941176471</v>
      </c>
      <c r="F25" s="24">
        <f>IF(Config!$A$11="","",IF(SUMIFS(Horas!$J$5:$J$804,Horas!$B$5:$B$804,Config!$A$11,Horas!$G$5:$G$804,Config!$B$7,Horas!$H$5:$H$804,Config!$B$5)&gt;0,"cadastro incompleto",SUMIFS(Horas!$F$5:$F$804,Horas!$B$5:$B$804,Config!$A$11,Horas!$G$5:$G$804,Config!$B$7,Horas!$H$5:$H$804,Config!$B$5)))</f>
        <v>4760</v>
      </c>
      <c r="G25" s="26">
        <f>IF(Config!$A$11="","",Config!$D$11)</f>
        <v>70</v>
      </c>
    </row>
    <row r="26">
      <c r="A26" s="20" t="str">
        <f>IF(Config!$A$12="","",Config!$A$12)</f>
        <v>Bruno</v>
      </c>
      <c r="B26" s="22">
        <f>IF(Config!$A$12="","",SUMIFS(Horas!$E$5:$E$804,Horas!$B$5:$B$804,Config!$A$12,Horas!$G$5:$G$804,Config!$B$7,Horas!$H$5:$H$804,Config!$B$5))</f>
        <v>70</v>
      </c>
      <c r="C26" s="21">
        <f>IF(Config!$A$12="","",Config!$C$12)</f>
        <v>140</v>
      </c>
      <c r="D26" s="23">
        <f>IF(OR(Config!$A$12="",C26=0,C26=""),"",B26/C26)</f>
        <v>0.5</v>
      </c>
      <c r="E26" s="23">
        <f>IF(OR(Config!$A$12="",B26=0),"",SUMIFS(Horas!$E$5:$E$804,Horas!$B$5:$B$804,Config!$A$12,Horas!$G$5:$G$804,Config!$B$7,Horas!$H$5:$H$804,Config!$B$5,Horas!$I$5:$I$804,"Sim")/B26)</f>
        <v>0.878571428571429</v>
      </c>
      <c r="F26" s="24">
        <f>IF(Config!$A$12="","",IF(SUMIFS(Horas!$J$5:$J$804,Horas!$B$5:$B$804,Config!$A$12,Horas!$G$5:$G$804,Config!$B$7,Horas!$H$5:$H$804,Config!$B$5)&gt;0,"cadastro incompleto",SUMIFS(Horas!$F$5:$F$804,Horas!$B$5:$B$804,Config!$A$12,Horas!$G$5:$G$804,Config!$B$7,Horas!$H$5:$H$804,Config!$B$5)))</f>
        <v>3600</v>
      </c>
      <c r="G26" s="26">
        <f>IF(Config!$A$12="","",Config!$D$12)</f>
        <v>51.4285714285714</v>
      </c>
    </row>
    <row r="27">
      <c r="A27" s="20" t="str">
        <f>IF(Config!$A$13="","",Config!$A$13)</f>
        <v>Carla</v>
      </c>
      <c r="B27" s="22">
        <f>IF(Config!$A$13="","",SUMIFS(Horas!$E$5:$E$804,Horas!$B$5:$B$804,Config!$A$13,Horas!$G$5:$G$804,Config!$B$7,Horas!$H$5:$H$804,Config!$B$5))</f>
        <v>71</v>
      </c>
      <c r="C27" s="21">
        <f>IF(Config!$A$13="","",Config!$C$13)</f>
        <v>140</v>
      </c>
      <c r="D27" s="23">
        <f>IF(OR(Config!$A$13="",C27=0,C27=""),"",B27/C27)</f>
        <v>0.507142857142857</v>
      </c>
      <c r="E27" s="23">
        <f>IF(OR(Config!$A$13="",B27=0),"",SUMIFS(Horas!$E$5:$E$804,Horas!$B$5:$B$804,Config!$A$13,Horas!$G$5:$G$804,Config!$B$7,Horas!$H$5:$H$804,Config!$B$5,Horas!$I$5:$I$804,"Sim")/B27)</f>
        <v>0.591549295774648</v>
      </c>
      <c r="F27" s="24">
        <f>IF(Config!$A$13="","",IF(SUMIFS(Horas!$J$5:$J$804,Horas!$B$5:$B$804,Config!$A$13,Horas!$G$5:$G$804,Config!$B$7,Horas!$H$5:$H$804,Config!$B$5)&gt;0,"cadastro incompleto",SUMIFS(Horas!$F$5:$F$804,Horas!$B$5:$B$804,Config!$A$13,Horas!$G$5:$G$804,Config!$B$7,Horas!$H$5:$H$804,Config!$B$5)))</f>
        <v>3296.42857142857</v>
      </c>
      <c r="G27" s="26">
        <f>IF(Config!$A$13="","",Config!$D$13)</f>
        <v>46.4285714285714</v>
      </c>
    </row>
    <row r="28">
      <c r="A28" s="20" t="str">
        <f>IF(Config!$A$14="","",Config!$A$14)</f>
        <v>Diego</v>
      </c>
      <c r="B28" s="22">
        <f>IF(Config!$A$14="","",SUMIFS(Horas!$E$5:$E$804,Horas!$B$5:$B$804,Config!$A$14,Horas!$G$5:$G$804,Config!$B$7,Horas!$H$5:$H$804,Config!$B$5))</f>
        <v>68.5</v>
      </c>
      <c r="C28" s="21">
        <f>IF(Config!$A$14="","",Config!$C$14)</f>
        <v>120</v>
      </c>
      <c r="D28" s="23">
        <f>IF(OR(Config!$A$14="",C28=0,C28=""),"",B28/C28)</f>
        <v>0.570833333333333</v>
      </c>
      <c r="E28" s="23">
        <f>IF(OR(Config!$A$14="",B28=0),"",SUMIFS(Horas!$E$5:$E$804,Horas!$B$5:$B$804,Config!$A$14,Horas!$G$5:$G$804,Config!$B$7,Horas!$H$5:$H$804,Config!$B$5,Horas!$I$5:$I$804,"Sim")/B28)</f>
        <v>0.627737226277372</v>
      </c>
      <c r="F28" s="24">
        <f>IF(Config!$A$14="","",IF(SUMIFS(Horas!$J$5:$J$804,Horas!$B$5:$B$804,Config!$A$14,Horas!$G$5:$G$804,Config!$B$7,Horas!$H$5:$H$804,Config!$B$5)&gt;0,"cadastro incompleto",SUMIFS(Horas!$F$5:$F$804,Horas!$B$5:$B$804,Config!$A$14,Horas!$G$5:$G$804,Config!$B$7,Horas!$H$5:$H$804,Config!$B$5)))</f>
        <v>3310.83333333333</v>
      </c>
      <c r="G28" s="26">
        <f>IF(Config!$A$14="","",Config!$D$14)</f>
        <v>48.3333333333333</v>
      </c>
    </row>
    <row r="29">
      <c r="A29" s="20">
        <f>IF(Config!$A$15="","",Config!$A$15)</f>
        <v/>
      </c>
      <c r="B29" s="22">
        <f>IF(Config!$A$15="","",SUMIFS(Horas!$E$5:$E$804,Horas!$B$5:$B$804,Config!$A$15,Horas!$G$5:$G$804,Config!$B$7,Horas!$H$5:$H$804,Config!$B$5))</f>
        <v/>
      </c>
      <c r="C29" s="21">
        <f>IF(Config!$A$15="","",Config!$C$15)</f>
        <v/>
      </c>
      <c r="D29" s="23">
        <f>IF(OR(Config!$A$15="",C29=0,C29=""),"",B29/C29)</f>
        <v/>
      </c>
      <c r="E29" s="23">
        <f>IF(OR(Config!$A$15="",B29=0),"",SUMIFS(Horas!$E$5:$E$804,Horas!$B$5:$B$804,Config!$A$15,Horas!$G$5:$G$804,Config!$B$7,Horas!$H$5:$H$804,Config!$B$5,Horas!$I$5:$I$804,"Sim")/B29)</f>
        <v/>
      </c>
      <c r="F29" s="24">
        <f>IF(Config!$A$15="","",IF(SUMIFS(Horas!$J$5:$J$804,Horas!$B$5:$B$804,Config!$A$15,Horas!$G$5:$G$804,Config!$B$7,Horas!$H$5:$H$804,Config!$B$5)&gt;0,"cadastro incompleto",SUMIFS(Horas!$F$5:$F$804,Horas!$B$5:$B$804,Config!$A$15,Horas!$G$5:$G$804,Config!$B$7,Horas!$H$5:$H$804,Config!$B$5)))</f>
        <v/>
      </c>
      <c r="G29" s="26">
        <f>IF(Config!$A$15="","",Config!$D$15)</f>
        <v/>
      </c>
    </row>
    <row r="30">
      <c r="A30" s="20">
        <f>IF(Config!$A$16="","",Config!$A$16)</f>
        <v/>
      </c>
      <c r="B30" s="22">
        <f>IF(Config!$A$16="","",SUMIFS(Horas!$E$5:$E$804,Horas!$B$5:$B$804,Config!$A$16,Horas!$G$5:$G$804,Config!$B$7,Horas!$H$5:$H$804,Config!$B$5))</f>
        <v/>
      </c>
      <c r="C30" s="21">
        <f>IF(Config!$A$16="","",Config!$C$16)</f>
        <v/>
      </c>
      <c r="D30" s="23">
        <f>IF(OR(Config!$A$16="",C30=0,C30=""),"",B30/C30)</f>
        <v/>
      </c>
      <c r="E30" s="23">
        <f>IF(OR(Config!$A$16="",B30=0),"",SUMIFS(Horas!$E$5:$E$804,Horas!$B$5:$B$804,Config!$A$16,Horas!$G$5:$G$804,Config!$B$7,Horas!$H$5:$H$804,Config!$B$5,Horas!$I$5:$I$804,"Sim")/B30)</f>
        <v/>
      </c>
      <c r="F30" s="24">
        <f>IF(Config!$A$16="","",IF(SUMIFS(Horas!$J$5:$J$804,Horas!$B$5:$B$804,Config!$A$16,Horas!$G$5:$G$804,Config!$B$7,Horas!$H$5:$H$804,Config!$B$5)&gt;0,"cadastro incompleto",SUMIFS(Horas!$F$5:$F$804,Horas!$B$5:$B$804,Config!$A$16,Horas!$G$5:$G$804,Config!$B$7,Horas!$H$5:$H$804,Config!$B$5)))</f>
        <v/>
      </c>
      <c r="G30" s="26">
        <f>IF(Config!$A$16="","",Config!$D$16)</f>
        <v/>
      </c>
    </row>
    <row r="31">
      <c r="A31" s="20">
        <f>IF(Config!$A$17="","",Config!$A$17)</f>
        <v/>
      </c>
      <c r="B31" s="22">
        <f>IF(Config!$A$17="","",SUMIFS(Horas!$E$5:$E$804,Horas!$B$5:$B$804,Config!$A$17,Horas!$G$5:$G$804,Config!$B$7,Horas!$H$5:$H$804,Config!$B$5))</f>
        <v/>
      </c>
      <c r="C31" s="21">
        <f>IF(Config!$A$17="","",Config!$C$17)</f>
        <v/>
      </c>
      <c r="D31" s="23">
        <f>IF(OR(Config!$A$17="",C31=0,C31=""),"",B31/C31)</f>
        <v/>
      </c>
      <c r="E31" s="23">
        <f>IF(OR(Config!$A$17="",B31=0),"",SUMIFS(Horas!$E$5:$E$804,Horas!$B$5:$B$804,Config!$A$17,Horas!$G$5:$G$804,Config!$B$7,Horas!$H$5:$H$804,Config!$B$5,Horas!$I$5:$I$804,"Sim")/B31)</f>
        <v/>
      </c>
      <c r="F31" s="24">
        <f>IF(Config!$A$17="","",IF(SUMIFS(Horas!$J$5:$J$804,Horas!$B$5:$B$804,Config!$A$17,Horas!$G$5:$G$804,Config!$B$7,Horas!$H$5:$H$804,Config!$B$5)&gt;0,"cadastro incompleto",SUMIFS(Horas!$F$5:$F$804,Horas!$B$5:$B$804,Config!$A$17,Horas!$G$5:$G$804,Config!$B$7,Horas!$H$5:$H$804,Config!$B$5)))</f>
        <v/>
      </c>
      <c r="G31" s="26">
        <f>IF(Config!$A$17="","",Config!$D$17)</f>
        <v/>
      </c>
    </row>
    <row r="32">
      <c r="A32" s="20">
        <f>IF(Config!$A$18="","",Config!$A$18)</f>
        <v/>
      </c>
      <c r="B32" s="22">
        <f>IF(Config!$A$18="","",SUMIFS(Horas!$E$5:$E$804,Horas!$B$5:$B$804,Config!$A$18,Horas!$G$5:$G$804,Config!$B$7,Horas!$H$5:$H$804,Config!$B$5))</f>
        <v/>
      </c>
      <c r="C32" s="21">
        <f>IF(Config!$A$18="","",Config!$C$18)</f>
        <v/>
      </c>
      <c r="D32" s="23">
        <f>IF(OR(Config!$A$18="",C32=0,C32=""),"",B32/C32)</f>
        <v/>
      </c>
      <c r="E32" s="23">
        <f>IF(OR(Config!$A$18="",B32=0),"",SUMIFS(Horas!$E$5:$E$804,Horas!$B$5:$B$804,Config!$A$18,Horas!$G$5:$G$804,Config!$B$7,Horas!$H$5:$H$804,Config!$B$5,Horas!$I$5:$I$804,"Sim")/B32)</f>
        <v/>
      </c>
      <c r="F32" s="24">
        <f>IF(Config!$A$18="","",IF(SUMIFS(Horas!$J$5:$J$804,Horas!$B$5:$B$804,Config!$A$18,Horas!$G$5:$G$804,Config!$B$7,Horas!$H$5:$H$804,Config!$B$5)&gt;0,"cadastro incompleto",SUMIFS(Horas!$F$5:$F$804,Horas!$B$5:$B$804,Config!$A$18,Horas!$G$5:$G$804,Config!$B$7,Horas!$H$5:$H$804,Config!$B$5)))</f>
        <v/>
      </c>
      <c r="G32" s="26">
        <f>IF(Config!$A$18="","",Config!$D$18)</f>
        <v/>
      </c>
    </row>
    <row r="33">
      <c r="A33" s="20">
        <f>IF(Config!$A$19="","",Config!$A$19)</f>
        <v/>
      </c>
      <c r="B33" s="22">
        <f>IF(Config!$A$19="","",SUMIFS(Horas!$E$5:$E$804,Horas!$B$5:$B$804,Config!$A$19,Horas!$G$5:$G$804,Config!$B$7,Horas!$H$5:$H$804,Config!$B$5))</f>
        <v/>
      </c>
      <c r="C33" s="21">
        <f>IF(Config!$A$19="","",Config!$C$19)</f>
        <v/>
      </c>
      <c r="D33" s="23">
        <f>IF(OR(Config!$A$19="",C33=0,C33=""),"",B33/C33)</f>
        <v/>
      </c>
      <c r="E33" s="23">
        <f>IF(OR(Config!$A$19="",B33=0),"",SUMIFS(Horas!$E$5:$E$804,Horas!$B$5:$B$804,Config!$A$19,Horas!$G$5:$G$804,Config!$B$7,Horas!$H$5:$H$804,Config!$B$5,Horas!$I$5:$I$804,"Sim")/B33)</f>
        <v/>
      </c>
      <c r="F33" s="24">
        <f>IF(Config!$A$19="","",IF(SUMIFS(Horas!$J$5:$J$804,Horas!$B$5:$B$804,Config!$A$19,Horas!$G$5:$G$804,Config!$B$7,Horas!$H$5:$H$804,Config!$B$5)&gt;0,"cadastro incompleto",SUMIFS(Horas!$F$5:$F$804,Horas!$B$5:$B$804,Config!$A$19,Horas!$G$5:$G$804,Config!$B$7,Horas!$H$5:$H$804,Config!$B$5)))</f>
        <v/>
      </c>
      <c r="G33" s="26">
        <f>IF(Config!$A$19="","",Config!$D$19)</f>
        <v/>
      </c>
    </row>
    <row r="34">
      <c r="A34" s="20">
        <f>IF(Config!$A$20="","",Config!$A$20)</f>
        <v/>
      </c>
      <c r="B34" s="22">
        <f>IF(Config!$A$20="","",SUMIFS(Horas!$E$5:$E$804,Horas!$B$5:$B$804,Config!$A$20,Horas!$G$5:$G$804,Config!$B$7,Horas!$H$5:$H$804,Config!$B$5))</f>
        <v/>
      </c>
      <c r="C34" s="21">
        <f>IF(Config!$A$20="","",Config!$C$20)</f>
        <v/>
      </c>
      <c r="D34" s="23">
        <f>IF(OR(Config!$A$20="",C34=0,C34=""),"",B34/C34)</f>
        <v/>
      </c>
      <c r="E34" s="23">
        <f>IF(OR(Config!$A$20="",B34=0),"",SUMIFS(Horas!$E$5:$E$804,Horas!$B$5:$B$804,Config!$A$20,Horas!$G$5:$G$804,Config!$B$7,Horas!$H$5:$H$804,Config!$B$5,Horas!$I$5:$I$804,"Sim")/B34)</f>
        <v/>
      </c>
      <c r="F34" s="24">
        <f>IF(Config!$A$20="","",IF(SUMIFS(Horas!$J$5:$J$804,Horas!$B$5:$B$804,Config!$A$20,Horas!$G$5:$G$804,Config!$B$7,Horas!$H$5:$H$804,Config!$B$5)&gt;0,"cadastro incompleto",SUMIFS(Horas!$F$5:$F$804,Horas!$B$5:$B$804,Config!$A$20,Horas!$G$5:$G$804,Config!$B$7,Horas!$H$5:$H$804,Config!$B$5)))</f>
        <v/>
      </c>
      <c r="G34" s="26">
        <f>IF(Config!$A$20="","",Config!$D$20)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A4:B4"/>
    <mergeCell ref="G4:H4"/>
    <mergeCell ref="E4:F4"/>
    <mergeCell ref="A2:I2"/>
    <mergeCell ref="C5:D5"/>
    <mergeCell ref="A5:B5"/>
    <mergeCell ref="A1:I1"/>
    <mergeCell ref="E5:F5"/>
    <mergeCell ref="G5:H5"/>
    <mergeCell ref="A7:J7"/>
    <mergeCell ref="C4:D4"/>
  </mergeCells>
  <conditionalFormatting sqref="J10:J21">
    <cfRule type="expression" priority="1" dxfId="0">
      <formula>OR(J10="Estourou as horas",J10="Margem baixa",J10="Custo incompleto")</formula>
    </cfRule>
    <cfRule type="expression" priority="2" dxfId="1">
      <formula>J10="Perto do limite"</formula>
    </cfRule>
    <cfRule type="expression" priority="3" dxfId="2">
      <formula>J10="Saudável"</formula>
    </cfRule>
  </conditionalFormatting>
  <conditionalFormatting sqref="H10:H21">
    <cfRule type="expression" priority="4" dxfId="3">
      <formula>AND(ISNUMBER(H10),H10&lt;0)</formula>
    </cfRule>
  </conditionalFormatting>
  <conditionalFormatting sqref="D25:D34">
    <cfRule type="expression" priority="5" dxfId="0">
      <formula>AND(ISNUMBER(D25),D25&gt;1)</formula>
    </cfRule>
    <cfRule type="expression" priority="6" dxfId="1">
      <formula>AND(ISNUMBER(D25),D25&lt;0.6)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</cols>
  <sheetData>
    <row r="1">
      <c r="A1" s="5" t="inlineStr">
        <is>
          <t>Configurações</t>
        </is>
      </c>
    </row>
    <row r="2">
      <c r="A2" s="27" t="inlineStr">
        <is>
          <t>Células amarelas: você preenche. Custo-hora = custo mensal da pessoa ÷ horas disponíveis no mês.</t>
        </is>
      </c>
    </row>
    <row r="4">
      <c r="A4" s="28" t="inlineStr">
        <is>
          <t>Empresa ou equipe</t>
        </is>
      </c>
      <c r="B4" s="29" t="inlineStr">
        <is>
          <t>Prisma Comunicação (exemplo fictício)</t>
        </is>
      </c>
      <c r="H4" s="28" t="inlineStr">
        <is>
          <t>Meses</t>
        </is>
      </c>
    </row>
    <row r="5">
      <c r="A5" s="28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8" t="inlineStr">
        <is>
          <t>Mês do painel</t>
        </is>
      </c>
      <c r="B6" s="31" t="inlineStr">
        <is>
          <t>Setembro</t>
        </is>
      </c>
      <c r="H6" s="30" t="inlineStr">
        <is>
          <t>Fevereiro</t>
        </is>
      </c>
    </row>
    <row r="7">
      <c r="A7" s="28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>
      <c r="H8" s="30" t="inlineStr">
        <is>
          <t>Abril</t>
        </is>
      </c>
    </row>
    <row r="9">
      <c r="A9" s="28" t="inlineStr">
        <is>
          <t>Pessoas (até 10)</t>
        </is>
      </c>
      <c r="H9" s="30" t="inlineStr">
        <is>
          <t>Maio</t>
        </is>
      </c>
    </row>
    <row r="10" ht="26" customHeight="1">
      <c r="A10" s="19" t="inlineStr">
        <is>
          <t>Pessoa</t>
        </is>
      </c>
      <c r="B10" s="19" t="inlineStr">
        <is>
          <t>Custo mensal (R$)</t>
        </is>
      </c>
      <c r="C10" s="19" t="inlineStr">
        <is>
          <t>Horas disponíveis/mês</t>
        </is>
      </c>
      <c r="D10" s="19" t="inlineStr">
        <is>
          <t>Custo-hora (R$)</t>
        </is>
      </c>
      <c r="H10" s="30" t="inlineStr">
        <is>
          <t>Junho</t>
        </is>
      </c>
    </row>
    <row r="11">
      <c r="A11" s="29" t="inlineStr">
        <is>
          <t>Ana</t>
        </is>
      </c>
      <c r="B11" s="32" t="n">
        <v>9800</v>
      </c>
      <c r="C11" s="31" t="n">
        <v>140</v>
      </c>
      <c r="D11" s="26">
        <f>IF(A11="","",IF(OR(B11="",N(B11)&lt;=0),"falta o custo mensal",IF(OR(C11="",N(C11)&lt;=0),"faltam as horas disponíveis",B11/C11)))</f>
        <v>70</v>
      </c>
      <c r="H11" s="30" t="inlineStr">
        <is>
          <t>Julho</t>
        </is>
      </c>
    </row>
    <row r="12">
      <c r="A12" s="29" t="inlineStr">
        <is>
          <t>Bruno</t>
        </is>
      </c>
      <c r="B12" s="32" t="n">
        <v>7200</v>
      </c>
      <c r="C12" s="31" t="n">
        <v>140</v>
      </c>
      <c r="D12" s="26">
        <f>IF(A12="","",IF(OR(B12="",N(B12)&lt;=0),"falta o custo mensal",IF(OR(C12="",N(C12)&lt;=0),"faltam as horas disponíveis",B12/C12)))</f>
        <v>51.4285714285714</v>
      </c>
      <c r="H12" s="30" t="inlineStr">
        <is>
          <t>Agosto</t>
        </is>
      </c>
    </row>
    <row r="13">
      <c r="A13" s="29" t="inlineStr">
        <is>
          <t>Carla</t>
        </is>
      </c>
      <c r="B13" s="32" t="n">
        <v>6500</v>
      </c>
      <c r="C13" s="31" t="n">
        <v>140</v>
      </c>
      <c r="D13" s="26">
        <f>IF(A13="","",IF(OR(B13="",N(B13)&lt;=0),"falta o custo mensal",IF(OR(C13="",N(C13)&lt;=0),"faltam as horas disponíveis",B13/C13)))</f>
        <v>46.4285714285714</v>
      </c>
      <c r="H13" s="30" t="inlineStr">
        <is>
          <t>Setembro</t>
        </is>
      </c>
    </row>
    <row r="14">
      <c r="A14" s="29" t="inlineStr">
        <is>
          <t>Diego</t>
        </is>
      </c>
      <c r="B14" s="32" t="n">
        <v>5800</v>
      </c>
      <c r="C14" s="31" t="n">
        <v>120</v>
      </c>
      <c r="D14" s="26">
        <f>IF(A14="","",IF(OR(B14="",N(B14)&lt;=0),"falta o custo mensal",IF(OR(C14="",N(C14)&lt;=0),"faltam as horas disponíveis",B14/C14)))</f>
        <v>48.3333333333333</v>
      </c>
      <c r="H14" s="30" t="inlineStr">
        <is>
          <t>Outubro</t>
        </is>
      </c>
    </row>
    <row r="15">
      <c r="A15" s="29" t="n"/>
      <c r="B15" s="32" t="n"/>
      <c r="C15" s="31" t="n"/>
      <c r="D15" s="26">
        <f>IF(A15="","",IF(OR(B15="",N(B15)&lt;=0),"falta o custo mensal",IF(OR(C15="",N(C15)&lt;=0),"faltam as horas disponíveis",B15/C15)))</f>
        <v/>
      </c>
      <c r="H15" s="30" t="inlineStr">
        <is>
          <t>Novembro</t>
        </is>
      </c>
    </row>
    <row r="16">
      <c r="A16" s="29" t="n"/>
      <c r="B16" s="32" t="n"/>
      <c r="C16" s="31" t="n"/>
      <c r="D16" s="26">
        <f>IF(A16="","",IF(OR(B16="",N(B16)&lt;=0),"falta o custo mensal",IF(OR(C16="",N(C16)&lt;=0),"faltam as horas disponíveis",B16/C16)))</f>
        <v/>
      </c>
      <c r="H16" s="30" t="inlineStr">
        <is>
          <t>Dezembro</t>
        </is>
      </c>
    </row>
    <row r="17">
      <c r="A17" s="29" t="n"/>
      <c r="B17" s="32" t="n"/>
      <c r="C17" s="31" t="n"/>
      <c r="D17" s="26">
        <f>IF(A17="","",IF(OR(B17="",N(B17)&lt;=0),"falta o custo mensal",IF(OR(C17="",N(C17)&lt;=0),"faltam as horas disponíveis",B17/C17)))</f>
        <v/>
      </c>
    </row>
    <row r="18">
      <c r="A18" s="29" t="n"/>
      <c r="B18" s="32" t="n"/>
      <c r="C18" s="31" t="n"/>
      <c r="D18" s="26">
        <f>IF(A18="","",IF(OR(B18="",N(B18)&lt;=0),"falta o custo mensal",IF(OR(C18="",N(C18)&lt;=0),"faltam as horas disponíveis",B18/C18)))</f>
        <v/>
      </c>
    </row>
    <row r="19">
      <c r="A19" s="29" t="n"/>
      <c r="B19" s="32" t="n"/>
      <c r="C19" s="31" t="n"/>
      <c r="D19" s="26">
        <f>IF(A19="","",IF(OR(B19="",N(B19)&lt;=0),"falta o custo mensal",IF(OR(C19="",N(C19)&lt;=0),"faltam as horas disponíveis",B19/C19)))</f>
        <v/>
      </c>
    </row>
    <row r="20">
      <c r="A20" s="29" t="n"/>
      <c r="B20" s="32" t="n"/>
      <c r="C20" s="31" t="n"/>
      <c r="D20" s="26">
        <f>IF(A20="","",IF(OR(B20="",N(B20)&lt;=0),"falta o custo mensal",IF(OR(C20="",N(C20)&lt;=0),"faltam as horas disponíveis",B20/C20)))</f>
        <v/>
      </c>
    </row>
    <row r="22">
      <c r="A22" s="28" t="inlineStr">
        <is>
          <t>Projetos (até 12)</t>
        </is>
      </c>
    </row>
    <row r="23" ht="26" customHeight="1">
      <c r="A23" s="19" t="inlineStr">
        <is>
          <t>Projeto</t>
        </is>
      </c>
      <c r="B23" s="19" t="inlineStr">
        <is>
          <t>Cliente</t>
        </is>
      </c>
      <c r="C23" s="19" t="inlineStr">
        <is>
          <t>Horas orçadas</t>
        </is>
      </c>
      <c r="D23" s="19" t="inlineStr">
        <is>
          <t>Valor cobrado (R$)</t>
        </is>
      </c>
      <c r="E23" s="19" t="inlineStr">
        <is>
          <t>Status</t>
        </is>
      </c>
    </row>
    <row r="24">
      <c r="A24" s="29" t="inlineStr">
        <is>
          <t>Site novo · Loja Verde</t>
        </is>
      </c>
      <c r="B24" s="29" t="inlineStr">
        <is>
          <t>Loja Verde</t>
        </is>
      </c>
      <c r="C24" s="31" t="n">
        <v>560</v>
      </c>
      <c r="D24" s="33" t="n">
        <v>24000</v>
      </c>
      <c r="E24" s="31" t="inlineStr">
        <is>
          <t>Em andamento</t>
        </is>
      </c>
    </row>
    <row r="25">
      <c r="A25" s="29" t="inlineStr">
        <is>
          <t>Campanha de fim de ano · Bistrô 42</t>
        </is>
      </c>
      <c r="B25" s="29" t="inlineStr">
        <is>
          <t>Bistrô 42</t>
        </is>
      </c>
      <c r="C25" s="31" t="n">
        <v>300</v>
      </c>
      <c r="D25" s="33" t="n">
        <v>38000</v>
      </c>
      <c r="E25" s="31" t="inlineStr">
        <is>
          <t>Em andamento</t>
        </is>
      </c>
    </row>
    <row r="26">
      <c r="A26" s="29" t="inlineStr">
        <is>
          <t>Relatório anual · Horizonte</t>
        </is>
      </c>
      <c r="B26" s="29" t="inlineStr">
        <is>
          <t>Horizonte</t>
        </is>
      </c>
      <c r="C26" s="31" t="n">
        <v>130</v>
      </c>
      <c r="D26" s="33" t="n">
        <v>16000</v>
      </c>
      <c r="E26" s="31" t="inlineStr">
        <is>
          <t>Em andamento</t>
        </is>
      </c>
    </row>
    <row r="27">
      <c r="A27" s="29" t="inlineStr">
        <is>
          <t>Identidade visual · Padaria do Sol</t>
        </is>
      </c>
      <c r="B27" s="29" t="inlineStr">
        <is>
          <t>Padaria do Sol</t>
        </is>
      </c>
      <c r="C27" s="31" t="n">
        <v>70</v>
      </c>
      <c r="D27" s="33" t="n">
        <v>9500</v>
      </c>
      <c r="E27" s="31" t="inlineStr">
        <is>
          <t>Concluído</t>
        </is>
      </c>
    </row>
    <row r="28">
      <c r="A28" s="29" t="inlineStr">
        <is>
          <t>Redes sociais · Clínica Bem-Estar</t>
        </is>
      </c>
      <c r="B28" s="29" t="inlineStr">
        <is>
          <t>Clínica Bem-Estar</t>
        </is>
      </c>
      <c r="C28" s="31" t="n">
        <v>40</v>
      </c>
      <c r="D28" s="33" t="n">
        <v>4500</v>
      </c>
      <c r="E28" s="31" t="inlineStr">
        <is>
          <t>Proposta</t>
        </is>
      </c>
    </row>
    <row r="29">
      <c r="A29" s="29" t="inlineStr">
        <is>
          <t>Comercial e propostas</t>
        </is>
      </c>
      <c r="B29" s="29" t="inlineStr">
        <is>
          <t>Interno</t>
        </is>
      </c>
      <c r="C29" s="31" t="n">
        <v>0</v>
      </c>
      <c r="D29" s="33" t="n">
        <v>0</v>
      </c>
      <c r="E29" s="31" t="inlineStr">
        <is>
          <t>Interno</t>
        </is>
      </c>
    </row>
    <row r="30">
      <c r="A30" s="29" t="inlineStr">
        <is>
          <t>Gestão e reuniões</t>
        </is>
      </c>
      <c r="B30" s="29" t="inlineStr">
        <is>
          <t>Interno</t>
        </is>
      </c>
      <c r="C30" s="31" t="n">
        <v>0</v>
      </c>
      <c r="D30" s="33" t="n">
        <v>0</v>
      </c>
      <c r="E30" s="31" t="inlineStr">
        <is>
          <t>Interno</t>
        </is>
      </c>
    </row>
    <row r="31">
      <c r="A31" s="29" t="n"/>
      <c r="B31" s="29" t="n"/>
      <c r="C31" s="31" t="n"/>
      <c r="D31" s="33" t="n"/>
      <c r="E31" s="31" t="n"/>
    </row>
    <row r="32">
      <c r="A32" s="29" t="n"/>
      <c r="B32" s="29" t="n"/>
      <c r="C32" s="31" t="n"/>
      <c r="D32" s="33" t="n"/>
      <c r="E32" s="31" t="n"/>
    </row>
    <row r="33">
      <c r="A33" s="29" t="n"/>
      <c r="B33" s="29" t="n"/>
      <c r="C33" s="31" t="n"/>
      <c r="D33" s="33" t="n"/>
      <c r="E33" s="31" t="n"/>
    </row>
    <row r="34">
      <c r="A34" s="29" t="n"/>
      <c r="B34" s="29" t="n"/>
      <c r="C34" s="31" t="n"/>
      <c r="D34" s="33" t="n"/>
      <c r="E34" s="31" t="n"/>
    </row>
    <row r="35">
      <c r="A35" s="29" t="n"/>
      <c r="B35" s="29" t="n"/>
      <c r="C35" s="31" t="n"/>
      <c r="D35" s="33" t="n"/>
      <c r="E35" s="31" t="n"/>
    </row>
    <row r="37">
      <c r="A37" s="6" t="inlineStr">
        <is>
          <t>Custo mensal: salário + encargos, ou o valor que a pessoa cobra por mês. Horas disponíveis: 160 para tempo integral, menos reuniões e folgas (140 é realista). Status Proposta: projeto ainda não fechado; entra na lista para você já orçar, mas sem horas lançadas.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2">
    <dataValidation sqref="B6" showDropDown="0" showInputMessage="0" showErrorMessage="1" allowBlank="1" type="list">
      <formula1>=Config!$H$5:$H$16</formula1>
    </dataValidation>
    <dataValidation sqref="E24:E35" showDropDown="0" showInputMessage="0" showErrorMessage="1" allowBlank="1" type="list">
      <formula1>"Em andamento,Concluído,Interno,Proposta"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32" customWidth="1" min="4" max="4"/>
    <col width="8" customWidth="1" min="5" max="5"/>
    <col width="13" customWidth="1" min="6" max="6"/>
    <col width="6" customWidth="1" min="7" max="7"/>
    <col width="7" customWidth="1" min="8" max="8"/>
    <col width="11" customWidth="1" min="9" max="9"/>
    <col hidden="1" width="13" customWidth="1" min="10" max="10"/>
  </cols>
  <sheetData>
    <row r="1">
      <c r="A1" s="5" t="inlineStr">
        <is>
          <t>Lançamento de horas</t>
        </is>
      </c>
    </row>
    <row r="2">
      <c r="A2" s="27" t="inlineStr">
        <is>
          <t>Uma linha por pessoa, por dia, por projeto. Pessoa e projeto vêm de listas; custo e mês são calculados.</t>
        </is>
      </c>
    </row>
    <row r="4" ht="26" customHeight="1">
      <c r="A4" s="19" t="inlineStr">
        <is>
          <t>Data</t>
        </is>
      </c>
      <c r="B4" s="19" t="inlineStr">
        <is>
          <t>Pessoa</t>
        </is>
      </c>
      <c r="C4" s="19" t="inlineStr">
        <is>
          <t>Projeto</t>
        </is>
      </c>
      <c r="D4" s="19" t="inlineStr">
        <is>
          <t>Atividade</t>
        </is>
      </c>
      <c r="E4" s="19" t="inlineStr">
        <is>
          <t>Horas</t>
        </is>
      </c>
      <c r="F4" s="19" t="inlineStr">
        <is>
          <t>Custo (R$)</t>
        </is>
      </c>
      <c r="G4" s="19" t="inlineStr">
        <is>
          <t>Mês</t>
        </is>
      </c>
      <c r="H4" s="19" t="inlineStr">
        <is>
          <t>Ano</t>
        </is>
      </c>
      <c r="I4" s="19" t="inlineStr">
        <is>
          <t>Faturável?</t>
        </is>
      </c>
    </row>
    <row r="5">
      <c r="A5" s="34" t="n">
        <v>46204</v>
      </c>
      <c r="B5" s="31" t="inlineStr">
        <is>
          <t>Ana</t>
        </is>
      </c>
      <c r="C5" s="31" t="inlineStr">
        <is>
          <t>Comercial e propostas</t>
        </is>
      </c>
      <c r="D5" s="29" t="inlineStr">
        <is>
          <t>Reunião comercial</t>
        </is>
      </c>
      <c r="E5" s="35" t="n">
        <v>6</v>
      </c>
      <c r="F5" s="26">
        <f>IF(OR(B5="",E5=""),"",IFERROR(IF(ISNUMBER(INDEX(Config!$D$11:$D$20,MATCH(B5,Config!$A$11:$A$20,0))),E5*INDEX(Config!$D$11:$D$20,MATCH(B5,Config!$A$11:$A$20,0)),"cadastro de custo incompleto em Config"),"pessoa sem custo-hora em Config"))</f>
        <v>420</v>
      </c>
      <c r="G5" s="25">
        <f>IF(A5="","",MONTH(A5))</f>
        <v>7</v>
      </c>
      <c r="H5" s="25">
        <f>IF(A5="","",YEAR(A5))</f>
        <v>2026</v>
      </c>
      <c r="I5" s="31" t="inlineStr">
        <is>
          <t>Não</t>
        </is>
      </c>
      <c r="J5" s="36">
        <f>IF(AND(B5&lt;&gt;"",E5&lt;&gt;"",NOT(ISNUMBER(F5))),1,0)</f>
        <v>0</v>
      </c>
    </row>
    <row r="6">
      <c r="A6" s="34" t="n">
        <v>46204</v>
      </c>
      <c r="B6" s="31" t="inlineStr">
        <is>
          <t>Ana</t>
        </is>
      </c>
      <c r="C6" s="31" t="inlineStr">
        <is>
          <t>Gestão e reuniões</t>
        </is>
      </c>
      <c r="D6" s="29" t="inlineStr">
        <is>
          <t>Planejamento</t>
        </is>
      </c>
      <c r="E6" s="35" t="n">
        <v>3</v>
      </c>
      <c r="F6" s="26">
        <f>IF(OR(B6="",E6=""),"",IFERROR(IF(ISNUMBER(INDEX(Config!$D$11:$D$20,MATCH(B6,Config!$A$11:$A$20,0))),E6*INDEX(Config!$D$11:$D$20,MATCH(B6,Config!$A$11:$A$20,0)),"cadastro de custo incompleto em Config"),"pessoa sem custo-hora em Config"))</f>
        <v>210</v>
      </c>
      <c r="G6" s="25">
        <f>IF(A6="","",MONTH(A6))</f>
        <v>7</v>
      </c>
      <c r="H6" s="25">
        <f>IF(A6="","",YEAR(A6))</f>
        <v>2026</v>
      </c>
      <c r="I6" s="31" t="inlineStr">
        <is>
          <t>Não</t>
        </is>
      </c>
      <c r="J6" s="36">
        <f>IF(AND(B6&lt;&gt;"",E6&lt;&gt;"",NOT(ISNUMBER(F6))),1,0)</f>
        <v>0</v>
      </c>
    </row>
    <row r="7">
      <c r="A7" s="34" t="n">
        <v>46204</v>
      </c>
      <c r="B7" s="31" t="inlineStr">
        <is>
          <t>Bruno</t>
        </is>
      </c>
      <c r="C7" s="31" t="inlineStr">
        <is>
          <t>Gestão e reuniões</t>
        </is>
      </c>
      <c r="D7" s="29" t="inlineStr">
        <is>
          <t>Planejamento</t>
        </is>
      </c>
      <c r="E7" s="35" t="n">
        <v>1</v>
      </c>
      <c r="F7" s="26">
        <f>IF(OR(B7="",E7=""),"",IFERROR(IF(ISNUMBER(INDEX(Config!$D$11:$D$20,MATCH(B7,Config!$A$11:$A$20,0))),E7*INDEX(Config!$D$11:$D$20,MATCH(B7,Config!$A$11:$A$20,0)),"cadastro de custo incompleto em Config"),"pessoa sem custo-hora em Config"))</f>
        <v>51.4285714285714</v>
      </c>
      <c r="G7" s="25">
        <f>IF(A7="","",MONTH(A7))</f>
        <v>7</v>
      </c>
      <c r="H7" s="25">
        <f>IF(A7="","",YEAR(A7))</f>
        <v>2026</v>
      </c>
      <c r="I7" s="31" t="inlineStr">
        <is>
          <t>Não</t>
        </is>
      </c>
      <c r="J7" s="36">
        <f>IF(AND(B7&lt;&gt;"",E7&lt;&gt;"",NOT(ISNUMBER(F7))),1,0)</f>
        <v>0</v>
      </c>
    </row>
    <row r="8">
      <c r="A8" s="34" t="n">
        <v>46204</v>
      </c>
      <c r="B8" s="31" t="inlineStr">
        <is>
          <t>Bruno</t>
        </is>
      </c>
      <c r="C8" s="31" t="inlineStr">
        <is>
          <t>Comercial e propostas</t>
        </is>
      </c>
      <c r="D8" s="29" t="inlineStr">
        <is>
          <t>Proposta</t>
        </is>
      </c>
      <c r="E8" s="35" t="n">
        <v>6</v>
      </c>
      <c r="F8" s="26">
        <f>IF(OR(B8="",E8=""),"",IFERROR(IF(ISNUMBER(INDEX(Config!$D$11:$D$20,MATCH(B8,Config!$A$11:$A$20,0))),E8*INDEX(Config!$D$11:$D$20,MATCH(B8,Config!$A$11:$A$20,0)),"cadastro de custo incompleto em Config"),"pessoa sem custo-hora em Config"))</f>
        <v>308.571428571429</v>
      </c>
      <c r="G8" s="25">
        <f>IF(A8="","",MONTH(A8))</f>
        <v>7</v>
      </c>
      <c r="H8" s="25">
        <f>IF(A8="","",YEAR(A8))</f>
        <v>2026</v>
      </c>
      <c r="I8" s="31" t="inlineStr">
        <is>
          <t>Não</t>
        </is>
      </c>
      <c r="J8" s="36">
        <f>IF(AND(B8&lt;&gt;"",E8&lt;&gt;"",NOT(ISNUMBER(F8))),1,0)</f>
        <v>0</v>
      </c>
    </row>
    <row r="9">
      <c r="A9" s="34" t="n">
        <v>46204</v>
      </c>
      <c r="B9" s="31" t="inlineStr">
        <is>
          <t>Carla</t>
        </is>
      </c>
      <c r="C9" s="31" t="inlineStr">
        <is>
          <t>Comercial e propostas</t>
        </is>
      </c>
      <c r="D9" s="29" t="inlineStr">
        <is>
          <t>Proposta</t>
        </is>
      </c>
      <c r="E9" s="35" t="n">
        <v>5</v>
      </c>
      <c r="F9" s="26">
        <f>IF(OR(B9="",E9=""),"",IFERROR(IF(ISNUMBER(INDEX(Config!$D$11:$D$20,MATCH(B9,Config!$A$11:$A$20,0))),E9*INDEX(Config!$D$11:$D$20,MATCH(B9,Config!$A$11:$A$20,0)),"cadastro de custo incompleto em Config"),"pessoa sem custo-hora em Config"))</f>
        <v>232.142857142857</v>
      </c>
      <c r="G9" s="25">
        <f>IF(A9="","",MONTH(A9))</f>
        <v>7</v>
      </c>
      <c r="H9" s="25">
        <f>IF(A9="","",YEAR(A9))</f>
        <v>2026</v>
      </c>
      <c r="I9" s="31" t="inlineStr">
        <is>
          <t>Não</t>
        </is>
      </c>
      <c r="J9" s="36">
        <f>IF(AND(B9&lt;&gt;"",E9&lt;&gt;"",NOT(ISNUMBER(F9))),1,0)</f>
        <v>0</v>
      </c>
    </row>
    <row r="10">
      <c r="A10" s="34" t="n">
        <v>46204</v>
      </c>
      <c r="B10" s="31" t="inlineStr">
        <is>
          <t>Carla</t>
        </is>
      </c>
      <c r="C10" s="31" t="inlineStr">
        <is>
          <t>Gestão e reuniões</t>
        </is>
      </c>
      <c r="D10" s="29" t="inlineStr">
        <is>
          <t>Planejamento</t>
        </is>
      </c>
      <c r="E10" s="35" t="n">
        <v>0.5</v>
      </c>
      <c r="F10" s="26">
        <f>IF(OR(B10="",E10=""),"",IFERROR(IF(ISNUMBER(INDEX(Config!$D$11:$D$20,MATCH(B10,Config!$A$11:$A$20,0))),E10*INDEX(Config!$D$11:$D$20,MATCH(B10,Config!$A$11:$A$20,0)),"cadastro de custo incompleto em Config"),"pessoa sem custo-hora em Config"))</f>
        <v>23.2142857142857</v>
      </c>
      <c r="G10" s="25">
        <f>IF(A10="","",MONTH(A10))</f>
        <v>7</v>
      </c>
      <c r="H10" s="25">
        <f>IF(A10="","",YEAR(A10))</f>
        <v>2026</v>
      </c>
      <c r="I10" s="31" t="inlineStr">
        <is>
          <t>Não</t>
        </is>
      </c>
      <c r="J10" s="36">
        <f>IF(AND(B10&lt;&gt;"",E10&lt;&gt;"",NOT(ISNUMBER(F10))),1,0)</f>
        <v>0</v>
      </c>
    </row>
    <row r="11">
      <c r="A11" s="34" t="n">
        <v>46204</v>
      </c>
      <c r="B11" s="31" t="inlineStr">
        <is>
          <t>Diego</t>
        </is>
      </c>
      <c r="C11" s="31" t="inlineStr">
        <is>
          <t>Comercial e propostas</t>
        </is>
      </c>
      <c r="D11" s="29" t="inlineStr">
        <is>
          <t>Reunião comercial</t>
        </is>
      </c>
      <c r="E11" s="35" t="n">
        <v>3.5</v>
      </c>
      <c r="F11" s="26">
        <f>IF(OR(B11="",E11=""),"",IFERROR(IF(ISNUMBER(INDEX(Config!$D$11:$D$20,MATCH(B11,Config!$A$11:$A$20,0))),E11*INDEX(Config!$D$11:$D$20,MATCH(B11,Config!$A$11:$A$20,0)),"cadastro de custo incompleto em Config"),"pessoa sem custo-hora em Config"))</f>
        <v>169.166666666667</v>
      </c>
      <c r="G11" s="25">
        <f>IF(A11="","",MONTH(A11))</f>
        <v>7</v>
      </c>
      <c r="H11" s="25">
        <f>IF(A11="","",YEAR(A11))</f>
        <v>2026</v>
      </c>
      <c r="I11" s="31" t="inlineStr">
        <is>
          <t>Não</t>
        </is>
      </c>
      <c r="J11" s="36">
        <f>IF(AND(B11&lt;&gt;"",E11&lt;&gt;"",NOT(ISNUMBER(F11))),1,0)</f>
        <v>0</v>
      </c>
    </row>
    <row r="12">
      <c r="A12" s="34" t="n">
        <v>46204</v>
      </c>
      <c r="B12" s="31" t="inlineStr">
        <is>
          <t>Diego</t>
        </is>
      </c>
      <c r="C12" s="31" t="inlineStr">
        <is>
          <t>Gestão e reuniões</t>
        </is>
      </c>
      <c r="D12" s="29" t="inlineStr">
        <is>
          <t>Planejamento</t>
        </is>
      </c>
      <c r="E12" s="35" t="n">
        <v>5</v>
      </c>
      <c r="F12" s="26">
        <f>IF(OR(B12="",E12=""),"",IFERROR(IF(ISNUMBER(INDEX(Config!$D$11:$D$20,MATCH(B12,Config!$A$11:$A$20,0))),E12*INDEX(Config!$D$11:$D$20,MATCH(B12,Config!$A$11:$A$20,0)),"cadastro de custo incompleto em Config"),"pessoa sem custo-hora em Config"))</f>
        <v>241.666666666667</v>
      </c>
      <c r="G12" s="25">
        <f>IF(A12="","",MONTH(A12))</f>
        <v>7</v>
      </c>
      <c r="H12" s="25">
        <f>IF(A12="","",YEAR(A12))</f>
        <v>2026</v>
      </c>
      <c r="I12" s="31" t="inlineStr">
        <is>
          <t>Não</t>
        </is>
      </c>
      <c r="J12" s="36">
        <f>IF(AND(B12&lt;&gt;"",E12&lt;&gt;"",NOT(ISNUMBER(F12))),1,0)</f>
        <v>0</v>
      </c>
    </row>
    <row r="13">
      <c r="A13" s="34" t="n">
        <v>46205</v>
      </c>
      <c r="B13" s="31" t="inlineStr">
        <is>
          <t>Ana</t>
        </is>
      </c>
      <c r="C13" s="31" t="inlineStr">
        <is>
          <t>Comercial e propostas</t>
        </is>
      </c>
      <c r="D13" s="29" t="inlineStr">
        <is>
          <t>Proposta</t>
        </is>
      </c>
      <c r="E13" s="35" t="n">
        <v>5.5</v>
      </c>
      <c r="F13" s="26">
        <f>IF(OR(B13="",E13=""),"",IFERROR(IF(ISNUMBER(INDEX(Config!$D$11:$D$20,MATCH(B13,Config!$A$11:$A$20,0))),E13*INDEX(Config!$D$11:$D$20,MATCH(B13,Config!$A$11:$A$20,0)),"cadastro de custo incompleto em Config"),"pessoa sem custo-hora em Config"))</f>
        <v>385</v>
      </c>
      <c r="G13" s="25">
        <f>IF(A13="","",MONTH(A13))</f>
        <v>7</v>
      </c>
      <c r="H13" s="25">
        <f>IF(A13="","",YEAR(A13))</f>
        <v>2026</v>
      </c>
      <c r="I13" s="31" t="inlineStr">
        <is>
          <t>Não</t>
        </is>
      </c>
      <c r="J13" s="36">
        <f>IF(AND(B13&lt;&gt;"",E13&lt;&gt;"",NOT(ISNUMBER(F13))),1,0)</f>
        <v>0</v>
      </c>
    </row>
    <row r="14">
      <c r="A14" s="34" t="n">
        <v>46205</v>
      </c>
      <c r="B14" s="31" t="inlineStr">
        <is>
          <t>Ana</t>
        </is>
      </c>
      <c r="C14" s="31" t="inlineStr">
        <is>
          <t>Gestão e reuniões</t>
        </is>
      </c>
      <c r="D14" s="29" t="inlineStr">
        <is>
          <t>Planejamento</t>
        </is>
      </c>
      <c r="E14" s="35" t="n">
        <v>3.5</v>
      </c>
      <c r="F14" s="26">
        <f>IF(OR(B14="",E14=""),"",IFERROR(IF(ISNUMBER(INDEX(Config!$D$11:$D$20,MATCH(B14,Config!$A$11:$A$20,0))),E14*INDEX(Config!$D$11:$D$20,MATCH(B14,Config!$A$11:$A$20,0)),"cadastro de custo incompleto em Config"),"pessoa sem custo-hora em Config"))</f>
        <v>245</v>
      </c>
      <c r="G14" s="25">
        <f>IF(A14="","",MONTH(A14))</f>
        <v>7</v>
      </c>
      <c r="H14" s="25">
        <f>IF(A14="","",YEAR(A14))</f>
        <v>2026</v>
      </c>
      <c r="I14" s="31" t="inlineStr">
        <is>
          <t>Não</t>
        </is>
      </c>
      <c r="J14" s="36">
        <f>IF(AND(B14&lt;&gt;"",E14&lt;&gt;"",NOT(ISNUMBER(F14))),1,0)</f>
        <v>0</v>
      </c>
    </row>
    <row r="15">
      <c r="A15" s="34" t="n">
        <v>46205</v>
      </c>
      <c r="B15" s="31" t="inlineStr">
        <is>
          <t>Bruno</t>
        </is>
      </c>
      <c r="C15" s="31" t="inlineStr">
        <is>
          <t>Gestão e reuniões</t>
        </is>
      </c>
      <c r="D15" s="29" t="inlineStr">
        <is>
          <t>Semanal</t>
        </is>
      </c>
      <c r="E15" s="35" t="n">
        <v>0.5</v>
      </c>
      <c r="F15" s="26">
        <f>IF(OR(B15="",E15=""),"",IFERROR(IF(ISNUMBER(INDEX(Config!$D$11:$D$20,MATCH(B15,Config!$A$11:$A$20,0))),E15*INDEX(Config!$D$11:$D$20,MATCH(B15,Config!$A$11:$A$20,0)),"cadastro de custo incompleto em Config"),"pessoa sem custo-hora em Config"))</f>
        <v>25.7142857142857</v>
      </c>
      <c r="G15" s="25">
        <f>IF(A15="","",MONTH(A15))</f>
        <v>7</v>
      </c>
      <c r="H15" s="25">
        <f>IF(A15="","",YEAR(A15))</f>
        <v>2026</v>
      </c>
      <c r="I15" s="31" t="inlineStr">
        <is>
          <t>Não</t>
        </is>
      </c>
      <c r="J15" s="36">
        <f>IF(AND(B15&lt;&gt;"",E15&lt;&gt;"",NOT(ISNUMBER(F15))),1,0)</f>
        <v>0</v>
      </c>
    </row>
    <row r="16">
      <c r="A16" s="34" t="n">
        <v>46205</v>
      </c>
      <c r="B16" s="31" t="inlineStr">
        <is>
          <t>Bruno</t>
        </is>
      </c>
      <c r="C16" s="31" t="inlineStr">
        <is>
          <t>Comercial e propostas</t>
        </is>
      </c>
      <c r="D16" s="29" t="inlineStr">
        <is>
          <t>Proposta</t>
        </is>
      </c>
      <c r="E16" s="35" t="n">
        <v>6.5</v>
      </c>
      <c r="F16" s="26">
        <f>IF(OR(B16="",E16=""),"",IFERROR(IF(ISNUMBER(INDEX(Config!$D$11:$D$20,MATCH(B16,Config!$A$11:$A$20,0))),E16*INDEX(Config!$D$11:$D$20,MATCH(B16,Config!$A$11:$A$20,0)),"cadastro de custo incompleto em Config"),"pessoa sem custo-hora em Config"))</f>
        <v>334.285714285714</v>
      </c>
      <c r="G16" s="25">
        <f>IF(A16="","",MONTH(A16))</f>
        <v>7</v>
      </c>
      <c r="H16" s="25">
        <f>IF(A16="","",YEAR(A16))</f>
        <v>2026</v>
      </c>
      <c r="I16" s="31" t="inlineStr">
        <is>
          <t>Não</t>
        </is>
      </c>
      <c r="J16" s="36">
        <f>IF(AND(B16&lt;&gt;"",E16&lt;&gt;"",NOT(ISNUMBER(F16))),1,0)</f>
        <v>0</v>
      </c>
    </row>
    <row r="17">
      <c r="A17" s="34" t="n">
        <v>46205</v>
      </c>
      <c r="B17" s="31" t="inlineStr">
        <is>
          <t>Carla</t>
        </is>
      </c>
      <c r="C17" s="31" t="inlineStr">
        <is>
          <t>Comercial e propostas</t>
        </is>
      </c>
      <c r="D17" s="29" t="inlineStr">
        <is>
          <t>Reunião comercial</t>
        </is>
      </c>
      <c r="E17" s="35" t="n">
        <v>7.5</v>
      </c>
      <c r="F17" s="26">
        <f>IF(OR(B17="",E17=""),"",IFERROR(IF(ISNUMBER(INDEX(Config!$D$11:$D$20,MATCH(B17,Config!$A$11:$A$20,0))),E17*INDEX(Config!$D$11:$D$20,MATCH(B17,Config!$A$11:$A$20,0)),"cadastro de custo incompleto em Config"),"pessoa sem custo-hora em Config"))</f>
        <v>348.214285714286</v>
      </c>
      <c r="G17" s="25">
        <f>IF(A17="","",MONTH(A17))</f>
        <v>7</v>
      </c>
      <c r="H17" s="25">
        <f>IF(A17="","",YEAR(A17))</f>
        <v>2026</v>
      </c>
      <c r="I17" s="31" t="inlineStr">
        <is>
          <t>Não</t>
        </is>
      </c>
      <c r="J17" s="36">
        <f>IF(AND(B17&lt;&gt;"",E17&lt;&gt;"",NOT(ISNUMBER(F17))),1,0)</f>
        <v>0</v>
      </c>
    </row>
    <row r="18">
      <c r="A18" s="34" t="n">
        <v>46205</v>
      </c>
      <c r="B18" s="31" t="inlineStr">
        <is>
          <t>Carla</t>
        </is>
      </c>
      <c r="C18" s="31" t="inlineStr">
        <is>
          <t>Gestão e reuniões</t>
        </is>
      </c>
      <c r="D18" s="29" t="inlineStr">
        <is>
          <t>Semanal</t>
        </is>
      </c>
      <c r="E18" s="35" t="n">
        <v>1.5</v>
      </c>
      <c r="F18" s="26">
        <f>IF(OR(B18="",E18=""),"",IFERROR(IF(ISNUMBER(INDEX(Config!$D$11:$D$20,MATCH(B18,Config!$A$11:$A$20,0))),E18*INDEX(Config!$D$11:$D$20,MATCH(B18,Config!$A$11:$A$20,0)),"cadastro de custo incompleto em Config"),"pessoa sem custo-hora em Config"))</f>
        <v>69.6428571428571</v>
      </c>
      <c r="G18" s="25">
        <f>IF(A18="","",MONTH(A18))</f>
        <v>7</v>
      </c>
      <c r="H18" s="25">
        <f>IF(A18="","",YEAR(A18))</f>
        <v>2026</v>
      </c>
      <c r="I18" s="31" t="inlineStr">
        <is>
          <t>Não</t>
        </is>
      </c>
      <c r="J18" s="36">
        <f>IF(AND(B18&lt;&gt;"",E18&lt;&gt;"",NOT(ISNUMBER(F18))),1,0)</f>
        <v>0</v>
      </c>
    </row>
    <row r="19">
      <c r="A19" s="34" t="n">
        <v>46205</v>
      </c>
      <c r="B19" s="31" t="inlineStr">
        <is>
          <t>Diego</t>
        </is>
      </c>
      <c r="C19" s="31" t="inlineStr">
        <is>
          <t>Comercial e propostas</t>
        </is>
      </c>
      <c r="D19" s="29" t="inlineStr">
        <is>
          <t>Reunião comercial</t>
        </is>
      </c>
      <c r="E19" s="35" t="n">
        <v>3.5</v>
      </c>
      <c r="F19" s="26">
        <f>IF(OR(B19="",E19=""),"",IFERROR(IF(ISNUMBER(INDEX(Config!$D$11:$D$20,MATCH(B19,Config!$A$11:$A$20,0))),E19*INDEX(Config!$D$11:$D$20,MATCH(B19,Config!$A$11:$A$20,0)),"cadastro de custo incompleto em Config"),"pessoa sem custo-hora em Config"))</f>
        <v>169.166666666667</v>
      </c>
      <c r="G19" s="25">
        <f>IF(A19="","",MONTH(A19))</f>
        <v>7</v>
      </c>
      <c r="H19" s="25">
        <f>IF(A19="","",YEAR(A19))</f>
        <v>2026</v>
      </c>
      <c r="I19" s="31" t="inlineStr">
        <is>
          <t>Não</t>
        </is>
      </c>
      <c r="J19" s="36">
        <f>IF(AND(B19&lt;&gt;"",E19&lt;&gt;"",NOT(ISNUMBER(F19))),1,0)</f>
        <v>0</v>
      </c>
    </row>
    <row r="20">
      <c r="A20" s="34" t="n">
        <v>46205</v>
      </c>
      <c r="B20" s="31" t="inlineStr">
        <is>
          <t>Diego</t>
        </is>
      </c>
      <c r="C20" s="31" t="inlineStr">
        <is>
          <t>Gestão e reuniões</t>
        </is>
      </c>
      <c r="D20" s="29" t="inlineStr">
        <is>
          <t>Planejamento</t>
        </is>
      </c>
      <c r="E20" s="35" t="n">
        <v>3.5</v>
      </c>
      <c r="F20" s="26">
        <f>IF(OR(B20="",E20=""),"",IFERROR(IF(ISNUMBER(INDEX(Config!$D$11:$D$20,MATCH(B20,Config!$A$11:$A$20,0))),E20*INDEX(Config!$D$11:$D$20,MATCH(B20,Config!$A$11:$A$20,0)),"cadastro de custo incompleto em Config"),"pessoa sem custo-hora em Config"))</f>
        <v>169.166666666667</v>
      </c>
      <c r="G20" s="25">
        <f>IF(A20="","",MONTH(A20))</f>
        <v>7</v>
      </c>
      <c r="H20" s="25">
        <f>IF(A20="","",YEAR(A20))</f>
        <v>2026</v>
      </c>
      <c r="I20" s="31" t="inlineStr">
        <is>
          <t>Não</t>
        </is>
      </c>
      <c r="J20" s="36">
        <f>IF(AND(B20&lt;&gt;"",E20&lt;&gt;"",NOT(ISNUMBER(F20))),1,0)</f>
        <v>0</v>
      </c>
    </row>
    <row r="21">
      <c r="A21" s="34" t="n">
        <v>46206</v>
      </c>
      <c r="B21" s="31" t="inlineStr">
        <is>
          <t>Ana</t>
        </is>
      </c>
      <c r="C21" s="31" t="inlineStr">
        <is>
          <t>Comercial e propostas</t>
        </is>
      </c>
      <c r="D21" s="29" t="inlineStr">
        <is>
          <t>Reunião comercial</t>
        </is>
      </c>
      <c r="E21" s="35" t="n">
        <v>3.5</v>
      </c>
      <c r="F21" s="26">
        <f>IF(OR(B21="",E21=""),"",IFERROR(IF(ISNUMBER(INDEX(Config!$D$11:$D$20,MATCH(B21,Config!$A$11:$A$20,0))),E21*INDEX(Config!$D$11:$D$20,MATCH(B21,Config!$A$11:$A$20,0)),"cadastro de custo incompleto em Config"),"pessoa sem custo-hora em Config"))</f>
        <v>245</v>
      </c>
      <c r="G21" s="25">
        <f>IF(A21="","",MONTH(A21))</f>
        <v>7</v>
      </c>
      <c r="H21" s="25">
        <f>IF(A21="","",YEAR(A21))</f>
        <v>2026</v>
      </c>
      <c r="I21" s="31" t="inlineStr">
        <is>
          <t>Não</t>
        </is>
      </c>
      <c r="J21" s="36">
        <f>IF(AND(B21&lt;&gt;"",E21&lt;&gt;"",NOT(ISNUMBER(F21))),1,0)</f>
        <v>0</v>
      </c>
    </row>
    <row r="22">
      <c r="A22" s="34" t="n">
        <v>46206</v>
      </c>
      <c r="B22" s="31" t="inlineStr">
        <is>
          <t>Ana</t>
        </is>
      </c>
      <c r="C22" s="31" t="inlineStr">
        <is>
          <t>Gestão e reuniões</t>
        </is>
      </c>
      <c r="D22" s="29" t="inlineStr">
        <is>
          <t>Planejamento</t>
        </is>
      </c>
      <c r="E22" s="35" t="n">
        <v>2</v>
      </c>
      <c r="F22" s="26">
        <f>IF(OR(B22="",E22=""),"",IFERROR(IF(ISNUMBER(INDEX(Config!$D$11:$D$20,MATCH(B22,Config!$A$11:$A$20,0))),E22*INDEX(Config!$D$11:$D$20,MATCH(B22,Config!$A$11:$A$20,0)),"cadastro de custo incompleto em Config"),"pessoa sem custo-hora em Config"))</f>
        <v>140</v>
      </c>
      <c r="G22" s="25">
        <f>IF(A22="","",MONTH(A22))</f>
        <v>7</v>
      </c>
      <c r="H22" s="25">
        <f>IF(A22="","",YEAR(A22))</f>
        <v>2026</v>
      </c>
      <c r="I22" s="31" t="inlineStr">
        <is>
          <t>Não</t>
        </is>
      </c>
      <c r="J22" s="36">
        <f>IF(AND(B22&lt;&gt;"",E22&lt;&gt;"",NOT(ISNUMBER(F22))),1,0)</f>
        <v>0</v>
      </c>
    </row>
    <row r="23">
      <c r="A23" s="34" t="n">
        <v>46206</v>
      </c>
      <c r="B23" s="31" t="inlineStr">
        <is>
          <t>Bruno</t>
        </is>
      </c>
      <c r="C23" s="31" t="inlineStr">
        <is>
          <t>Gestão e reuniões</t>
        </is>
      </c>
      <c r="D23" s="29" t="inlineStr">
        <is>
          <t>Financeiro</t>
        </is>
      </c>
      <c r="E23" s="35" t="n">
        <v>1</v>
      </c>
      <c r="F23" s="26">
        <f>IF(OR(B23="",E23=""),"",IFERROR(IF(ISNUMBER(INDEX(Config!$D$11:$D$20,MATCH(B23,Config!$A$11:$A$20,0))),E23*INDEX(Config!$D$11:$D$20,MATCH(B23,Config!$A$11:$A$20,0)),"cadastro de custo incompleto em Config"),"pessoa sem custo-hora em Config"))</f>
        <v>51.4285714285714</v>
      </c>
      <c r="G23" s="25">
        <f>IF(A23="","",MONTH(A23))</f>
        <v>7</v>
      </c>
      <c r="H23" s="25">
        <f>IF(A23="","",YEAR(A23))</f>
        <v>2026</v>
      </c>
      <c r="I23" s="31" t="inlineStr">
        <is>
          <t>Não</t>
        </is>
      </c>
      <c r="J23" s="36">
        <f>IF(AND(B23&lt;&gt;"",E23&lt;&gt;"",NOT(ISNUMBER(F23))),1,0)</f>
        <v>0</v>
      </c>
    </row>
    <row r="24">
      <c r="A24" s="34" t="n">
        <v>46206</v>
      </c>
      <c r="B24" s="31" t="inlineStr">
        <is>
          <t>Bruno</t>
        </is>
      </c>
      <c r="C24" s="31" t="inlineStr">
        <is>
          <t>Comercial e propostas</t>
        </is>
      </c>
      <c r="D24" s="29" t="inlineStr">
        <is>
          <t>Proposta</t>
        </is>
      </c>
      <c r="E24" s="35" t="n">
        <v>7</v>
      </c>
      <c r="F24" s="26">
        <f>IF(OR(B24="",E24=""),"",IFERROR(IF(ISNUMBER(INDEX(Config!$D$11:$D$20,MATCH(B24,Config!$A$11:$A$20,0))),E24*INDEX(Config!$D$11:$D$20,MATCH(B24,Config!$A$11:$A$20,0)),"cadastro de custo incompleto em Config"),"pessoa sem custo-hora em Config"))</f>
        <v>360</v>
      </c>
      <c r="G24" s="25">
        <f>IF(A24="","",MONTH(A24))</f>
        <v>7</v>
      </c>
      <c r="H24" s="25">
        <f>IF(A24="","",YEAR(A24))</f>
        <v>2026</v>
      </c>
      <c r="I24" s="31" t="inlineStr">
        <is>
          <t>Não</t>
        </is>
      </c>
      <c r="J24" s="36">
        <f>IF(AND(B24&lt;&gt;"",E24&lt;&gt;"",NOT(ISNUMBER(F24))),1,0)</f>
        <v>0</v>
      </c>
    </row>
    <row r="25">
      <c r="A25" s="34" t="n">
        <v>46206</v>
      </c>
      <c r="B25" s="31" t="inlineStr">
        <is>
          <t>Carla</t>
        </is>
      </c>
      <c r="C25" s="31" t="inlineStr">
        <is>
          <t>Comercial e propostas</t>
        </is>
      </c>
      <c r="D25" s="29" t="inlineStr">
        <is>
          <t>Proposta</t>
        </is>
      </c>
      <c r="E25" s="35" t="n">
        <v>6</v>
      </c>
      <c r="F25" s="26">
        <f>IF(OR(B25="",E25=""),"",IFERROR(IF(ISNUMBER(INDEX(Config!$D$11:$D$20,MATCH(B25,Config!$A$11:$A$20,0))),E25*INDEX(Config!$D$11:$D$20,MATCH(B25,Config!$A$11:$A$20,0)),"cadastro de custo incompleto em Config"),"pessoa sem custo-hora em Config"))</f>
        <v>278.571428571429</v>
      </c>
      <c r="G25" s="25">
        <f>IF(A25="","",MONTH(A25))</f>
        <v>7</v>
      </c>
      <c r="H25" s="25">
        <f>IF(A25="","",YEAR(A25))</f>
        <v>2026</v>
      </c>
      <c r="I25" s="31" t="inlineStr">
        <is>
          <t>Não</t>
        </is>
      </c>
      <c r="J25" s="36">
        <f>IF(AND(B25&lt;&gt;"",E25&lt;&gt;"",NOT(ISNUMBER(F25))),1,0)</f>
        <v>0</v>
      </c>
    </row>
    <row r="26">
      <c r="A26" s="34" t="n">
        <v>46206</v>
      </c>
      <c r="B26" s="31" t="inlineStr">
        <is>
          <t>Carla</t>
        </is>
      </c>
      <c r="C26" s="31" t="inlineStr">
        <is>
          <t>Gestão e reuniões</t>
        </is>
      </c>
      <c r="D26" s="29" t="inlineStr">
        <is>
          <t>Semanal</t>
        </is>
      </c>
      <c r="E26" s="35" t="n">
        <v>1</v>
      </c>
      <c r="F26" s="26">
        <f>IF(OR(B26="",E26=""),"",IFERROR(IF(ISNUMBER(INDEX(Config!$D$11:$D$20,MATCH(B26,Config!$A$11:$A$20,0))),E26*INDEX(Config!$D$11:$D$20,MATCH(B26,Config!$A$11:$A$20,0)),"cadastro de custo incompleto em Config"),"pessoa sem custo-hora em Config"))</f>
        <v>46.4285714285714</v>
      </c>
      <c r="G26" s="25">
        <f>IF(A26="","",MONTH(A26))</f>
        <v>7</v>
      </c>
      <c r="H26" s="25">
        <f>IF(A26="","",YEAR(A26))</f>
        <v>2026</v>
      </c>
      <c r="I26" s="31" t="inlineStr">
        <is>
          <t>Não</t>
        </is>
      </c>
      <c r="J26" s="36">
        <f>IF(AND(B26&lt;&gt;"",E26&lt;&gt;"",NOT(ISNUMBER(F26))),1,0)</f>
        <v>0</v>
      </c>
    </row>
    <row r="27">
      <c r="A27" s="34" t="n">
        <v>46206</v>
      </c>
      <c r="B27" s="31" t="inlineStr">
        <is>
          <t>Diego</t>
        </is>
      </c>
      <c r="C27" s="31" t="inlineStr">
        <is>
          <t>Comercial e propostas</t>
        </is>
      </c>
      <c r="D27" s="29" t="inlineStr">
        <is>
          <t>Reunião comercial</t>
        </is>
      </c>
      <c r="E27" s="35" t="n">
        <v>3.5</v>
      </c>
      <c r="F27" s="26">
        <f>IF(OR(B27="",E27=""),"",IFERROR(IF(ISNUMBER(INDEX(Config!$D$11:$D$20,MATCH(B27,Config!$A$11:$A$20,0))),E27*INDEX(Config!$D$11:$D$20,MATCH(B27,Config!$A$11:$A$20,0)),"cadastro de custo incompleto em Config"),"pessoa sem custo-hora em Config"))</f>
        <v>169.166666666667</v>
      </c>
      <c r="G27" s="25">
        <f>IF(A27="","",MONTH(A27))</f>
        <v>7</v>
      </c>
      <c r="H27" s="25">
        <f>IF(A27="","",YEAR(A27))</f>
        <v>2026</v>
      </c>
      <c r="I27" s="31" t="inlineStr">
        <is>
          <t>Não</t>
        </is>
      </c>
      <c r="J27" s="36">
        <f>IF(AND(B27&lt;&gt;"",E27&lt;&gt;"",NOT(ISNUMBER(F27))),1,0)</f>
        <v>0</v>
      </c>
    </row>
    <row r="28">
      <c r="A28" s="34" t="n">
        <v>46206</v>
      </c>
      <c r="B28" s="31" t="inlineStr">
        <is>
          <t>Diego</t>
        </is>
      </c>
      <c r="C28" s="31" t="inlineStr">
        <is>
          <t>Gestão e reuniões</t>
        </is>
      </c>
      <c r="D28" s="29" t="inlineStr">
        <is>
          <t>Semanal</t>
        </is>
      </c>
      <c r="E28" s="35" t="n">
        <v>3.5</v>
      </c>
      <c r="F28" s="26">
        <f>IF(OR(B28="",E28=""),"",IFERROR(IF(ISNUMBER(INDEX(Config!$D$11:$D$20,MATCH(B28,Config!$A$11:$A$20,0))),E28*INDEX(Config!$D$11:$D$20,MATCH(B28,Config!$A$11:$A$20,0)),"cadastro de custo incompleto em Config"),"pessoa sem custo-hora em Config"))</f>
        <v>169.166666666667</v>
      </c>
      <c r="G28" s="25">
        <f>IF(A28="","",MONTH(A28))</f>
        <v>7</v>
      </c>
      <c r="H28" s="25">
        <f>IF(A28="","",YEAR(A28))</f>
        <v>2026</v>
      </c>
      <c r="I28" s="31" t="inlineStr">
        <is>
          <t>Não</t>
        </is>
      </c>
      <c r="J28" s="36">
        <f>IF(AND(B28&lt;&gt;"",E28&lt;&gt;"",NOT(ISNUMBER(F28))),1,0)</f>
        <v>0</v>
      </c>
    </row>
    <row r="29">
      <c r="A29" s="34" t="n">
        <v>46209</v>
      </c>
      <c r="B29" s="31" t="inlineStr">
        <is>
          <t>Ana</t>
        </is>
      </c>
      <c r="C29" s="31" t="inlineStr">
        <is>
          <t>Comercial e propostas</t>
        </is>
      </c>
      <c r="D29" s="29" t="inlineStr">
        <is>
          <t>Proposta</t>
        </is>
      </c>
      <c r="E29" s="35" t="n">
        <v>6</v>
      </c>
      <c r="F29" s="26">
        <f>IF(OR(B29="",E29=""),"",IFERROR(IF(ISNUMBER(INDEX(Config!$D$11:$D$20,MATCH(B29,Config!$A$11:$A$20,0))),E29*INDEX(Config!$D$11:$D$20,MATCH(B29,Config!$A$11:$A$20,0)),"cadastro de custo incompleto em Config"),"pessoa sem custo-hora em Config"))</f>
        <v>420</v>
      </c>
      <c r="G29" s="25">
        <f>IF(A29="","",MONTH(A29))</f>
        <v>7</v>
      </c>
      <c r="H29" s="25">
        <f>IF(A29="","",YEAR(A29))</f>
        <v>2026</v>
      </c>
      <c r="I29" s="31" t="inlineStr">
        <is>
          <t>Não</t>
        </is>
      </c>
      <c r="J29" s="36">
        <f>IF(AND(B29&lt;&gt;"",E29&lt;&gt;"",NOT(ISNUMBER(F29))),1,0)</f>
        <v>0</v>
      </c>
    </row>
    <row r="30">
      <c r="A30" s="34" t="n">
        <v>46209</v>
      </c>
      <c r="B30" s="31" t="inlineStr">
        <is>
          <t>Ana</t>
        </is>
      </c>
      <c r="C30" s="31" t="inlineStr">
        <is>
          <t>Gestão e reuniões</t>
        </is>
      </c>
      <c r="D30" s="29" t="inlineStr">
        <is>
          <t>Semanal</t>
        </is>
      </c>
      <c r="E30" s="35" t="n">
        <v>3</v>
      </c>
      <c r="F30" s="26">
        <f>IF(OR(B30="",E30=""),"",IFERROR(IF(ISNUMBER(INDEX(Config!$D$11:$D$20,MATCH(B30,Config!$A$11:$A$20,0))),E30*INDEX(Config!$D$11:$D$20,MATCH(B30,Config!$A$11:$A$20,0)),"cadastro de custo incompleto em Config"),"pessoa sem custo-hora em Config"))</f>
        <v>210</v>
      </c>
      <c r="G30" s="25">
        <f>IF(A30="","",MONTH(A30))</f>
        <v>7</v>
      </c>
      <c r="H30" s="25">
        <f>IF(A30="","",YEAR(A30))</f>
        <v>2026</v>
      </c>
      <c r="I30" s="31" t="inlineStr">
        <is>
          <t>Não</t>
        </is>
      </c>
      <c r="J30" s="36">
        <f>IF(AND(B30&lt;&gt;"",E30&lt;&gt;"",NOT(ISNUMBER(F30))),1,0)</f>
        <v>0</v>
      </c>
    </row>
    <row r="31">
      <c r="A31" s="34" t="n">
        <v>46209</v>
      </c>
      <c r="B31" s="31" t="inlineStr">
        <is>
          <t>Bruno</t>
        </is>
      </c>
      <c r="C31" s="31" t="inlineStr">
        <is>
          <t>Gestão e reuniões</t>
        </is>
      </c>
      <c r="D31" s="29" t="inlineStr">
        <is>
          <t>Planejamento</t>
        </is>
      </c>
      <c r="E31" s="35" t="n">
        <v>1</v>
      </c>
      <c r="F31" s="26">
        <f>IF(OR(B31="",E31=""),"",IFERROR(IF(ISNUMBER(INDEX(Config!$D$11:$D$20,MATCH(B31,Config!$A$11:$A$20,0))),E31*INDEX(Config!$D$11:$D$20,MATCH(B31,Config!$A$11:$A$20,0)),"cadastro de custo incompleto em Config"),"pessoa sem custo-hora em Config"))</f>
        <v>51.4285714285714</v>
      </c>
      <c r="G31" s="25">
        <f>IF(A31="","",MONTH(A31))</f>
        <v>7</v>
      </c>
      <c r="H31" s="25">
        <f>IF(A31="","",YEAR(A31))</f>
        <v>2026</v>
      </c>
      <c r="I31" s="31" t="inlineStr">
        <is>
          <t>Não</t>
        </is>
      </c>
      <c r="J31" s="36">
        <f>IF(AND(B31&lt;&gt;"",E31&lt;&gt;"",NOT(ISNUMBER(F31))),1,0)</f>
        <v>0</v>
      </c>
    </row>
    <row r="32">
      <c r="A32" s="34" t="n">
        <v>46209</v>
      </c>
      <c r="B32" s="31" t="inlineStr">
        <is>
          <t>Bruno</t>
        </is>
      </c>
      <c r="C32" s="31" t="inlineStr">
        <is>
          <t>Comercial e propostas</t>
        </is>
      </c>
      <c r="D32" s="29" t="inlineStr">
        <is>
          <t>Proposta</t>
        </is>
      </c>
      <c r="E32" s="35" t="n">
        <v>6.5</v>
      </c>
      <c r="F32" s="26">
        <f>IF(OR(B32="",E32=""),"",IFERROR(IF(ISNUMBER(INDEX(Config!$D$11:$D$20,MATCH(B32,Config!$A$11:$A$20,0))),E32*INDEX(Config!$D$11:$D$20,MATCH(B32,Config!$A$11:$A$20,0)),"cadastro de custo incompleto em Config"),"pessoa sem custo-hora em Config"))</f>
        <v>334.285714285714</v>
      </c>
      <c r="G32" s="25">
        <f>IF(A32="","",MONTH(A32))</f>
        <v>7</v>
      </c>
      <c r="H32" s="25">
        <f>IF(A32="","",YEAR(A32))</f>
        <v>2026</v>
      </c>
      <c r="I32" s="31" t="inlineStr">
        <is>
          <t>Não</t>
        </is>
      </c>
      <c r="J32" s="36">
        <f>IF(AND(B32&lt;&gt;"",E32&lt;&gt;"",NOT(ISNUMBER(F32))),1,0)</f>
        <v>0</v>
      </c>
    </row>
    <row r="33">
      <c r="A33" s="34" t="n">
        <v>46209</v>
      </c>
      <c r="B33" s="31" t="inlineStr">
        <is>
          <t>Carla</t>
        </is>
      </c>
      <c r="C33" s="31" t="inlineStr">
        <is>
          <t>Comercial e propostas</t>
        </is>
      </c>
      <c r="D33" s="29" t="inlineStr">
        <is>
          <t>Reunião comercial</t>
        </is>
      </c>
      <c r="E33" s="35" t="n">
        <v>7.5</v>
      </c>
      <c r="F33" s="26">
        <f>IF(OR(B33="",E33=""),"",IFERROR(IF(ISNUMBER(INDEX(Config!$D$11:$D$20,MATCH(B33,Config!$A$11:$A$20,0))),E33*INDEX(Config!$D$11:$D$20,MATCH(B33,Config!$A$11:$A$20,0)),"cadastro de custo incompleto em Config"),"pessoa sem custo-hora em Config"))</f>
        <v>348.214285714286</v>
      </c>
      <c r="G33" s="25">
        <f>IF(A33="","",MONTH(A33))</f>
        <v>7</v>
      </c>
      <c r="H33" s="25">
        <f>IF(A33="","",YEAR(A33))</f>
        <v>2026</v>
      </c>
      <c r="I33" s="31" t="inlineStr">
        <is>
          <t>Não</t>
        </is>
      </c>
      <c r="J33" s="36">
        <f>IF(AND(B33&lt;&gt;"",E33&lt;&gt;"",NOT(ISNUMBER(F33))),1,0)</f>
        <v>0</v>
      </c>
    </row>
    <row r="34">
      <c r="A34" s="34" t="n">
        <v>46209</v>
      </c>
      <c r="B34" s="31" t="inlineStr">
        <is>
          <t>Carla</t>
        </is>
      </c>
      <c r="C34" s="31" t="inlineStr">
        <is>
          <t>Gestão e reuniões</t>
        </is>
      </c>
      <c r="D34" s="29" t="inlineStr">
        <is>
          <t>Financeiro</t>
        </is>
      </c>
      <c r="E34" s="35" t="n">
        <v>1</v>
      </c>
      <c r="F34" s="26">
        <f>IF(OR(B34="",E34=""),"",IFERROR(IF(ISNUMBER(INDEX(Config!$D$11:$D$20,MATCH(B34,Config!$A$11:$A$20,0))),E34*INDEX(Config!$D$11:$D$20,MATCH(B34,Config!$A$11:$A$20,0)),"cadastro de custo incompleto em Config"),"pessoa sem custo-hora em Config"))</f>
        <v>46.4285714285714</v>
      </c>
      <c r="G34" s="25">
        <f>IF(A34="","",MONTH(A34))</f>
        <v>7</v>
      </c>
      <c r="H34" s="25">
        <f>IF(A34="","",YEAR(A34))</f>
        <v>2026</v>
      </c>
      <c r="I34" s="31" t="inlineStr">
        <is>
          <t>Não</t>
        </is>
      </c>
      <c r="J34" s="36">
        <f>IF(AND(B34&lt;&gt;"",E34&lt;&gt;"",NOT(ISNUMBER(F34))),1,0)</f>
        <v>0</v>
      </c>
    </row>
    <row r="35">
      <c r="A35" s="34" t="n">
        <v>46209</v>
      </c>
      <c r="B35" s="31" t="inlineStr">
        <is>
          <t>Diego</t>
        </is>
      </c>
      <c r="C35" s="31" t="inlineStr">
        <is>
          <t>Comercial e propostas</t>
        </is>
      </c>
      <c r="D35" s="29" t="inlineStr">
        <is>
          <t>Reunião comercial</t>
        </is>
      </c>
      <c r="E35" s="35" t="n">
        <v>2.5</v>
      </c>
      <c r="F35" s="26">
        <f>IF(OR(B35="",E35=""),"",IFERROR(IF(ISNUMBER(INDEX(Config!$D$11:$D$20,MATCH(B35,Config!$A$11:$A$20,0))),E35*INDEX(Config!$D$11:$D$20,MATCH(B35,Config!$A$11:$A$20,0)),"cadastro de custo incompleto em Config"),"pessoa sem custo-hora em Config"))</f>
        <v>120.833333333333</v>
      </c>
      <c r="G35" s="25">
        <f>IF(A35="","",MONTH(A35))</f>
        <v>7</v>
      </c>
      <c r="H35" s="25">
        <f>IF(A35="","",YEAR(A35))</f>
        <v>2026</v>
      </c>
      <c r="I35" s="31" t="inlineStr">
        <is>
          <t>Não</t>
        </is>
      </c>
      <c r="J35" s="36">
        <f>IF(AND(B35&lt;&gt;"",E35&lt;&gt;"",NOT(ISNUMBER(F35))),1,0)</f>
        <v>0</v>
      </c>
    </row>
    <row r="36">
      <c r="A36" s="34" t="n">
        <v>46209</v>
      </c>
      <c r="B36" s="31" t="inlineStr">
        <is>
          <t>Diego</t>
        </is>
      </c>
      <c r="C36" s="31" t="inlineStr">
        <is>
          <t>Gestão e reuniões</t>
        </is>
      </c>
      <c r="D36" s="29" t="inlineStr">
        <is>
          <t>Semanal</t>
        </is>
      </c>
      <c r="E36" s="35" t="n">
        <v>3.5</v>
      </c>
      <c r="F36" s="26">
        <f>IF(OR(B36="",E36=""),"",IFERROR(IF(ISNUMBER(INDEX(Config!$D$11:$D$20,MATCH(B36,Config!$A$11:$A$20,0))),E36*INDEX(Config!$D$11:$D$20,MATCH(B36,Config!$A$11:$A$20,0)),"cadastro de custo incompleto em Config"),"pessoa sem custo-hora em Config"))</f>
        <v>169.166666666667</v>
      </c>
      <c r="G36" s="25">
        <f>IF(A36="","",MONTH(A36))</f>
        <v>7</v>
      </c>
      <c r="H36" s="25">
        <f>IF(A36="","",YEAR(A36))</f>
        <v>2026</v>
      </c>
      <c r="I36" s="31" t="inlineStr">
        <is>
          <t>Não</t>
        </is>
      </c>
      <c r="J36" s="36">
        <f>IF(AND(B36&lt;&gt;"",E36&lt;&gt;"",NOT(ISNUMBER(F36))),1,0)</f>
        <v>0</v>
      </c>
    </row>
    <row r="37">
      <c r="A37" s="34" t="n">
        <v>46210</v>
      </c>
      <c r="B37" s="31" t="inlineStr">
        <is>
          <t>Ana</t>
        </is>
      </c>
      <c r="C37" s="31" t="inlineStr">
        <is>
          <t>Comercial e propostas</t>
        </is>
      </c>
      <c r="D37" s="29" t="inlineStr">
        <is>
          <t>Proposta</t>
        </is>
      </c>
      <c r="E37" s="35" t="n">
        <v>3.5</v>
      </c>
      <c r="F37" s="26">
        <f>IF(OR(B37="",E37=""),"",IFERROR(IF(ISNUMBER(INDEX(Config!$D$11:$D$20,MATCH(B37,Config!$A$11:$A$20,0))),E37*INDEX(Config!$D$11:$D$20,MATCH(B37,Config!$A$11:$A$20,0)),"cadastro de custo incompleto em Config"),"pessoa sem custo-hora em Config"))</f>
        <v>245</v>
      </c>
      <c r="G37" s="25">
        <f>IF(A37="","",MONTH(A37))</f>
        <v>7</v>
      </c>
      <c r="H37" s="25">
        <f>IF(A37="","",YEAR(A37))</f>
        <v>2026</v>
      </c>
      <c r="I37" s="31" t="inlineStr">
        <is>
          <t>Não</t>
        </is>
      </c>
      <c r="J37" s="36">
        <f>IF(AND(B37&lt;&gt;"",E37&lt;&gt;"",NOT(ISNUMBER(F37))),1,0)</f>
        <v>0</v>
      </c>
    </row>
    <row r="38">
      <c r="A38" s="34" t="n">
        <v>46210</v>
      </c>
      <c r="B38" s="31" t="inlineStr">
        <is>
          <t>Ana</t>
        </is>
      </c>
      <c r="C38" s="31" t="inlineStr">
        <is>
          <t>Gestão e reuniões</t>
        </is>
      </c>
      <c r="D38" s="29" t="inlineStr">
        <is>
          <t>Financeiro</t>
        </is>
      </c>
      <c r="E38" s="35" t="n">
        <v>2</v>
      </c>
      <c r="F38" s="26">
        <f>IF(OR(B38="",E38=""),"",IFERROR(IF(ISNUMBER(INDEX(Config!$D$11:$D$20,MATCH(B38,Config!$A$11:$A$20,0))),E38*INDEX(Config!$D$11:$D$20,MATCH(B38,Config!$A$11:$A$20,0)),"cadastro de custo incompleto em Config"),"pessoa sem custo-hora em Config"))</f>
        <v>140</v>
      </c>
      <c r="G38" s="25">
        <f>IF(A38="","",MONTH(A38))</f>
        <v>7</v>
      </c>
      <c r="H38" s="25">
        <f>IF(A38="","",YEAR(A38))</f>
        <v>2026</v>
      </c>
      <c r="I38" s="31" t="inlineStr">
        <is>
          <t>Não</t>
        </is>
      </c>
      <c r="J38" s="36">
        <f>IF(AND(B38&lt;&gt;"",E38&lt;&gt;"",NOT(ISNUMBER(F38))),1,0)</f>
        <v>0</v>
      </c>
    </row>
    <row r="39">
      <c r="A39" s="34" t="n">
        <v>46210</v>
      </c>
      <c r="B39" s="31" t="inlineStr">
        <is>
          <t>Bruno</t>
        </is>
      </c>
      <c r="C39" s="31" t="inlineStr">
        <is>
          <t>Gestão e reuniões</t>
        </is>
      </c>
      <c r="D39" s="29" t="inlineStr">
        <is>
          <t>Planejamento</t>
        </is>
      </c>
      <c r="E39" s="35" t="n">
        <v>1.5</v>
      </c>
      <c r="F39" s="26">
        <f>IF(OR(B39="",E39=""),"",IFERROR(IF(ISNUMBER(INDEX(Config!$D$11:$D$20,MATCH(B39,Config!$A$11:$A$20,0))),E39*INDEX(Config!$D$11:$D$20,MATCH(B39,Config!$A$11:$A$20,0)),"cadastro de custo incompleto em Config"),"pessoa sem custo-hora em Config"))</f>
        <v>77.1428571428571</v>
      </c>
      <c r="G39" s="25">
        <f>IF(A39="","",MONTH(A39))</f>
        <v>7</v>
      </c>
      <c r="H39" s="25">
        <f>IF(A39="","",YEAR(A39))</f>
        <v>2026</v>
      </c>
      <c r="I39" s="31" t="inlineStr">
        <is>
          <t>Não</t>
        </is>
      </c>
      <c r="J39" s="36">
        <f>IF(AND(B39&lt;&gt;"",E39&lt;&gt;"",NOT(ISNUMBER(F39))),1,0)</f>
        <v>0</v>
      </c>
    </row>
    <row r="40">
      <c r="A40" s="34" t="n">
        <v>46210</v>
      </c>
      <c r="B40" s="31" t="inlineStr">
        <is>
          <t>Bruno</t>
        </is>
      </c>
      <c r="C40" s="31" t="inlineStr">
        <is>
          <t>Comercial e propostas</t>
        </is>
      </c>
      <c r="D40" s="29" t="inlineStr">
        <is>
          <t>Reunião comercial</t>
        </is>
      </c>
      <c r="E40" s="35" t="n">
        <v>8</v>
      </c>
      <c r="F40" s="26">
        <f>IF(OR(B40="",E40=""),"",IFERROR(IF(ISNUMBER(INDEX(Config!$D$11:$D$20,MATCH(B40,Config!$A$11:$A$20,0))),E40*INDEX(Config!$D$11:$D$20,MATCH(B40,Config!$A$11:$A$20,0)),"cadastro de custo incompleto em Config"),"pessoa sem custo-hora em Config"))</f>
        <v>411.428571428571</v>
      </c>
      <c r="G40" s="25">
        <f>IF(A40="","",MONTH(A40))</f>
        <v>7</v>
      </c>
      <c r="H40" s="25">
        <f>IF(A40="","",YEAR(A40))</f>
        <v>2026</v>
      </c>
      <c r="I40" s="31" t="inlineStr">
        <is>
          <t>Não</t>
        </is>
      </c>
      <c r="J40" s="36">
        <f>IF(AND(B40&lt;&gt;"",E40&lt;&gt;"",NOT(ISNUMBER(F40))),1,0)</f>
        <v>0</v>
      </c>
    </row>
    <row r="41">
      <c r="A41" s="34" t="n">
        <v>46210</v>
      </c>
      <c r="B41" s="31" t="inlineStr">
        <is>
          <t>Carla</t>
        </is>
      </c>
      <c r="C41" s="31" t="inlineStr">
        <is>
          <t>Comercial e propostas</t>
        </is>
      </c>
      <c r="D41" s="29" t="inlineStr">
        <is>
          <t>Proposta</t>
        </is>
      </c>
      <c r="E41" s="35" t="n">
        <v>5.5</v>
      </c>
      <c r="F41" s="26">
        <f>IF(OR(B41="",E41=""),"",IFERROR(IF(ISNUMBER(INDEX(Config!$D$11:$D$20,MATCH(B41,Config!$A$11:$A$20,0))),E41*INDEX(Config!$D$11:$D$20,MATCH(B41,Config!$A$11:$A$20,0)),"cadastro de custo incompleto em Config"),"pessoa sem custo-hora em Config"))</f>
        <v>255.357142857143</v>
      </c>
      <c r="G41" s="25">
        <f>IF(A41="","",MONTH(A41))</f>
        <v>7</v>
      </c>
      <c r="H41" s="25">
        <f>IF(A41="","",YEAR(A41))</f>
        <v>2026</v>
      </c>
      <c r="I41" s="31" t="inlineStr">
        <is>
          <t>Não</t>
        </is>
      </c>
      <c r="J41" s="36">
        <f>IF(AND(B41&lt;&gt;"",E41&lt;&gt;"",NOT(ISNUMBER(F41))),1,0)</f>
        <v>0</v>
      </c>
    </row>
    <row r="42">
      <c r="A42" s="34" t="n">
        <v>46210</v>
      </c>
      <c r="B42" s="31" t="inlineStr">
        <is>
          <t>Carla</t>
        </is>
      </c>
      <c r="C42" s="31" t="inlineStr">
        <is>
          <t>Gestão e reuniões</t>
        </is>
      </c>
      <c r="D42" s="29" t="inlineStr">
        <is>
          <t>Financeiro</t>
        </is>
      </c>
      <c r="E42" s="35" t="n">
        <v>1</v>
      </c>
      <c r="F42" s="26">
        <f>IF(OR(B42="",E42=""),"",IFERROR(IF(ISNUMBER(INDEX(Config!$D$11:$D$20,MATCH(B42,Config!$A$11:$A$20,0))),E42*INDEX(Config!$D$11:$D$20,MATCH(B42,Config!$A$11:$A$20,0)),"cadastro de custo incompleto em Config"),"pessoa sem custo-hora em Config"))</f>
        <v>46.4285714285714</v>
      </c>
      <c r="G42" s="25">
        <f>IF(A42="","",MONTH(A42))</f>
        <v>7</v>
      </c>
      <c r="H42" s="25">
        <f>IF(A42="","",YEAR(A42))</f>
        <v>2026</v>
      </c>
      <c r="I42" s="31" t="inlineStr">
        <is>
          <t>Não</t>
        </is>
      </c>
      <c r="J42" s="36">
        <f>IF(AND(B42&lt;&gt;"",E42&lt;&gt;"",NOT(ISNUMBER(F42))),1,0)</f>
        <v>0</v>
      </c>
    </row>
    <row r="43">
      <c r="A43" s="34" t="n">
        <v>46210</v>
      </c>
      <c r="B43" s="31" t="inlineStr">
        <is>
          <t>Diego</t>
        </is>
      </c>
      <c r="C43" s="31" t="inlineStr">
        <is>
          <t>Comercial e propostas</t>
        </is>
      </c>
      <c r="D43" s="29" t="inlineStr">
        <is>
          <t>Proposta</t>
        </is>
      </c>
      <c r="E43" s="35" t="n">
        <v>3</v>
      </c>
      <c r="F43" s="26">
        <f>IF(OR(B43="",E43=""),"",IFERROR(IF(ISNUMBER(INDEX(Config!$D$11:$D$20,MATCH(B43,Config!$A$11:$A$20,0))),E43*INDEX(Config!$D$11:$D$20,MATCH(B43,Config!$A$11:$A$20,0)),"cadastro de custo incompleto em Config"),"pessoa sem custo-hora em Config"))</f>
        <v>145</v>
      </c>
      <c r="G43" s="25">
        <f>IF(A43="","",MONTH(A43))</f>
        <v>7</v>
      </c>
      <c r="H43" s="25">
        <f>IF(A43="","",YEAR(A43))</f>
        <v>2026</v>
      </c>
      <c r="I43" s="31" t="inlineStr">
        <is>
          <t>Não</t>
        </is>
      </c>
      <c r="J43" s="36">
        <f>IF(AND(B43&lt;&gt;"",E43&lt;&gt;"",NOT(ISNUMBER(F43))),1,0)</f>
        <v>0</v>
      </c>
    </row>
    <row r="44">
      <c r="A44" s="34" t="n">
        <v>46210</v>
      </c>
      <c r="B44" s="31" t="inlineStr">
        <is>
          <t>Diego</t>
        </is>
      </c>
      <c r="C44" s="31" t="inlineStr">
        <is>
          <t>Gestão e reuniões</t>
        </is>
      </c>
      <c r="D44" s="29" t="inlineStr">
        <is>
          <t>Planejamento</t>
        </is>
      </c>
      <c r="E44" s="35" t="n">
        <v>2</v>
      </c>
      <c r="F44" s="26">
        <f>IF(OR(B44="",E44=""),"",IFERROR(IF(ISNUMBER(INDEX(Config!$D$11:$D$20,MATCH(B44,Config!$A$11:$A$20,0))),E44*INDEX(Config!$D$11:$D$20,MATCH(B44,Config!$A$11:$A$20,0)),"cadastro de custo incompleto em Config"),"pessoa sem custo-hora em Config"))</f>
        <v>96.6666666666667</v>
      </c>
      <c r="G44" s="25">
        <f>IF(A44="","",MONTH(A44))</f>
        <v>7</v>
      </c>
      <c r="H44" s="25">
        <f>IF(A44="","",YEAR(A44))</f>
        <v>2026</v>
      </c>
      <c r="I44" s="31" t="inlineStr">
        <is>
          <t>Não</t>
        </is>
      </c>
      <c r="J44" s="36">
        <f>IF(AND(B44&lt;&gt;"",E44&lt;&gt;"",NOT(ISNUMBER(F44))),1,0)</f>
        <v>0</v>
      </c>
    </row>
    <row r="45">
      <c r="A45" s="34" t="n">
        <v>46211</v>
      </c>
      <c r="B45" s="31" t="inlineStr">
        <is>
          <t>Ana</t>
        </is>
      </c>
      <c r="C45" s="31" t="inlineStr">
        <is>
          <t>Comercial e propostas</t>
        </is>
      </c>
      <c r="D45" s="29" t="inlineStr">
        <is>
          <t>Proposta</t>
        </is>
      </c>
      <c r="E45" s="35" t="n">
        <v>5.5</v>
      </c>
      <c r="F45" s="26">
        <f>IF(OR(B45="",E45=""),"",IFERROR(IF(ISNUMBER(INDEX(Config!$D$11:$D$20,MATCH(B45,Config!$A$11:$A$20,0))),E45*INDEX(Config!$D$11:$D$20,MATCH(B45,Config!$A$11:$A$20,0)),"cadastro de custo incompleto em Config"),"pessoa sem custo-hora em Config"))</f>
        <v>385</v>
      </c>
      <c r="G45" s="25">
        <f>IF(A45="","",MONTH(A45))</f>
        <v>7</v>
      </c>
      <c r="H45" s="25">
        <f>IF(A45="","",YEAR(A45))</f>
        <v>2026</v>
      </c>
      <c r="I45" s="31" t="inlineStr">
        <is>
          <t>Não</t>
        </is>
      </c>
      <c r="J45" s="36">
        <f>IF(AND(B45&lt;&gt;"",E45&lt;&gt;"",NOT(ISNUMBER(F45))),1,0)</f>
        <v>0</v>
      </c>
    </row>
    <row r="46">
      <c r="A46" s="34" t="n">
        <v>46211</v>
      </c>
      <c r="B46" s="31" t="inlineStr">
        <is>
          <t>Ana</t>
        </is>
      </c>
      <c r="C46" s="31" t="inlineStr">
        <is>
          <t>Gestão e reuniões</t>
        </is>
      </c>
      <c r="D46" s="29" t="inlineStr">
        <is>
          <t>Financeiro</t>
        </is>
      </c>
      <c r="E46" s="35" t="n">
        <v>2</v>
      </c>
      <c r="F46" s="26">
        <f>IF(OR(B46="",E46=""),"",IFERROR(IF(ISNUMBER(INDEX(Config!$D$11:$D$20,MATCH(B46,Config!$A$11:$A$20,0))),E46*INDEX(Config!$D$11:$D$20,MATCH(B46,Config!$A$11:$A$20,0)),"cadastro de custo incompleto em Config"),"pessoa sem custo-hora em Config"))</f>
        <v>140</v>
      </c>
      <c r="G46" s="25">
        <f>IF(A46="","",MONTH(A46))</f>
        <v>7</v>
      </c>
      <c r="H46" s="25">
        <f>IF(A46="","",YEAR(A46))</f>
        <v>2026</v>
      </c>
      <c r="I46" s="31" t="inlineStr">
        <is>
          <t>Não</t>
        </is>
      </c>
      <c r="J46" s="36">
        <f>IF(AND(B46&lt;&gt;"",E46&lt;&gt;"",NOT(ISNUMBER(F46))),1,0)</f>
        <v>0</v>
      </c>
    </row>
    <row r="47">
      <c r="A47" s="34" t="n">
        <v>46211</v>
      </c>
      <c r="B47" s="31" t="inlineStr">
        <is>
          <t>Bruno</t>
        </is>
      </c>
      <c r="C47" s="31" t="inlineStr">
        <is>
          <t>Gestão e reuniões</t>
        </is>
      </c>
      <c r="D47" s="29" t="inlineStr">
        <is>
          <t>Planejamento</t>
        </is>
      </c>
      <c r="E47" s="35" t="n">
        <v>1.5</v>
      </c>
      <c r="F47" s="26">
        <f>IF(OR(B47="",E47=""),"",IFERROR(IF(ISNUMBER(INDEX(Config!$D$11:$D$20,MATCH(B47,Config!$A$11:$A$20,0))),E47*INDEX(Config!$D$11:$D$20,MATCH(B47,Config!$A$11:$A$20,0)),"cadastro de custo incompleto em Config"),"pessoa sem custo-hora em Config"))</f>
        <v>77.1428571428571</v>
      </c>
      <c r="G47" s="25">
        <f>IF(A47="","",MONTH(A47))</f>
        <v>7</v>
      </c>
      <c r="H47" s="25">
        <f>IF(A47="","",YEAR(A47))</f>
        <v>2026</v>
      </c>
      <c r="I47" s="31" t="inlineStr">
        <is>
          <t>Não</t>
        </is>
      </c>
      <c r="J47" s="36">
        <f>IF(AND(B47&lt;&gt;"",E47&lt;&gt;"",NOT(ISNUMBER(F47))),1,0)</f>
        <v>0</v>
      </c>
    </row>
    <row r="48">
      <c r="A48" s="34" t="n">
        <v>46211</v>
      </c>
      <c r="B48" s="31" t="inlineStr">
        <is>
          <t>Bruno</t>
        </is>
      </c>
      <c r="C48" s="31" t="inlineStr">
        <is>
          <t>Comercial e propostas</t>
        </is>
      </c>
      <c r="D48" s="29" t="inlineStr">
        <is>
          <t>Proposta</t>
        </is>
      </c>
      <c r="E48" s="35" t="n">
        <v>6</v>
      </c>
      <c r="F48" s="26">
        <f>IF(OR(B48="",E48=""),"",IFERROR(IF(ISNUMBER(INDEX(Config!$D$11:$D$20,MATCH(B48,Config!$A$11:$A$20,0))),E48*INDEX(Config!$D$11:$D$20,MATCH(B48,Config!$A$11:$A$20,0)),"cadastro de custo incompleto em Config"),"pessoa sem custo-hora em Config"))</f>
        <v>308.571428571429</v>
      </c>
      <c r="G48" s="25">
        <f>IF(A48="","",MONTH(A48))</f>
        <v>7</v>
      </c>
      <c r="H48" s="25">
        <f>IF(A48="","",YEAR(A48))</f>
        <v>2026</v>
      </c>
      <c r="I48" s="31" t="inlineStr">
        <is>
          <t>Não</t>
        </is>
      </c>
      <c r="J48" s="36">
        <f>IF(AND(B48&lt;&gt;"",E48&lt;&gt;"",NOT(ISNUMBER(F48))),1,0)</f>
        <v>0</v>
      </c>
    </row>
    <row r="49">
      <c r="A49" s="34" t="n">
        <v>46211</v>
      </c>
      <c r="B49" s="31" t="inlineStr">
        <is>
          <t>Carla</t>
        </is>
      </c>
      <c r="C49" s="31" t="inlineStr">
        <is>
          <t>Comercial e propostas</t>
        </is>
      </c>
      <c r="D49" s="29" t="inlineStr">
        <is>
          <t>Proposta</t>
        </is>
      </c>
      <c r="E49" s="35" t="n">
        <v>5.5</v>
      </c>
      <c r="F49" s="26">
        <f>IF(OR(B49="",E49=""),"",IFERROR(IF(ISNUMBER(INDEX(Config!$D$11:$D$20,MATCH(B49,Config!$A$11:$A$20,0))),E49*INDEX(Config!$D$11:$D$20,MATCH(B49,Config!$A$11:$A$20,0)),"cadastro de custo incompleto em Config"),"pessoa sem custo-hora em Config"))</f>
        <v>255.357142857143</v>
      </c>
      <c r="G49" s="25">
        <f>IF(A49="","",MONTH(A49))</f>
        <v>7</v>
      </c>
      <c r="H49" s="25">
        <f>IF(A49="","",YEAR(A49))</f>
        <v>2026</v>
      </c>
      <c r="I49" s="31" t="inlineStr">
        <is>
          <t>Não</t>
        </is>
      </c>
      <c r="J49" s="36">
        <f>IF(AND(B49&lt;&gt;"",E49&lt;&gt;"",NOT(ISNUMBER(F49))),1,0)</f>
        <v>0</v>
      </c>
    </row>
    <row r="50">
      <c r="A50" s="34" t="n">
        <v>46211</v>
      </c>
      <c r="B50" s="31" t="inlineStr">
        <is>
          <t>Carla</t>
        </is>
      </c>
      <c r="C50" s="31" t="inlineStr">
        <is>
          <t>Gestão e reuniões</t>
        </is>
      </c>
      <c r="D50" s="29" t="inlineStr">
        <is>
          <t>Financeiro</t>
        </is>
      </c>
      <c r="E50" s="35" t="n">
        <v>1</v>
      </c>
      <c r="F50" s="26">
        <f>IF(OR(B50="",E50=""),"",IFERROR(IF(ISNUMBER(INDEX(Config!$D$11:$D$20,MATCH(B50,Config!$A$11:$A$20,0))),E50*INDEX(Config!$D$11:$D$20,MATCH(B50,Config!$A$11:$A$20,0)),"cadastro de custo incompleto em Config"),"pessoa sem custo-hora em Config"))</f>
        <v>46.4285714285714</v>
      </c>
      <c r="G50" s="25">
        <f>IF(A50="","",MONTH(A50))</f>
        <v>7</v>
      </c>
      <c r="H50" s="25">
        <f>IF(A50="","",YEAR(A50))</f>
        <v>2026</v>
      </c>
      <c r="I50" s="31" t="inlineStr">
        <is>
          <t>Não</t>
        </is>
      </c>
      <c r="J50" s="36">
        <f>IF(AND(B50&lt;&gt;"",E50&lt;&gt;"",NOT(ISNUMBER(F50))),1,0)</f>
        <v>0</v>
      </c>
    </row>
    <row r="51">
      <c r="A51" s="34" t="n">
        <v>46211</v>
      </c>
      <c r="B51" s="31" t="inlineStr">
        <is>
          <t>Diego</t>
        </is>
      </c>
      <c r="C51" s="31" t="inlineStr">
        <is>
          <t>Comercial e propostas</t>
        </is>
      </c>
      <c r="D51" s="29" t="inlineStr">
        <is>
          <t>Proposta</t>
        </is>
      </c>
      <c r="E51" s="35" t="n">
        <v>4.5</v>
      </c>
      <c r="F51" s="26">
        <f>IF(OR(B51="",E51=""),"",IFERROR(IF(ISNUMBER(INDEX(Config!$D$11:$D$20,MATCH(B51,Config!$A$11:$A$20,0))),E51*INDEX(Config!$D$11:$D$20,MATCH(B51,Config!$A$11:$A$20,0)),"cadastro de custo incompleto em Config"),"pessoa sem custo-hora em Config"))</f>
        <v>217.5</v>
      </c>
      <c r="G51" s="25">
        <f>IF(A51="","",MONTH(A51))</f>
        <v>7</v>
      </c>
      <c r="H51" s="25">
        <f>IF(A51="","",YEAR(A51))</f>
        <v>2026</v>
      </c>
      <c r="I51" s="31" t="inlineStr">
        <is>
          <t>Não</t>
        </is>
      </c>
      <c r="J51" s="36">
        <f>IF(AND(B51&lt;&gt;"",E51&lt;&gt;"",NOT(ISNUMBER(F51))),1,0)</f>
        <v>0</v>
      </c>
    </row>
    <row r="52">
      <c r="A52" s="34" t="n">
        <v>46211</v>
      </c>
      <c r="B52" s="31" t="inlineStr">
        <is>
          <t>Diego</t>
        </is>
      </c>
      <c r="C52" s="31" t="inlineStr">
        <is>
          <t>Gestão e reuniões</t>
        </is>
      </c>
      <c r="D52" s="29" t="inlineStr">
        <is>
          <t>Semanal</t>
        </is>
      </c>
      <c r="E52" s="35" t="n">
        <v>3</v>
      </c>
      <c r="F52" s="26">
        <f>IF(OR(B52="",E52=""),"",IFERROR(IF(ISNUMBER(INDEX(Config!$D$11:$D$20,MATCH(B52,Config!$A$11:$A$20,0))),E52*INDEX(Config!$D$11:$D$20,MATCH(B52,Config!$A$11:$A$20,0)),"cadastro de custo incompleto em Config"),"pessoa sem custo-hora em Config"))</f>
        <v>145</v>
      </c>
      <c r="G52" s="25">
        <f>IF(A52="","",MONTH(A52))</f>
        <v>7</v>
      </c>
      <c r="H52" s="25">
        <f>IF(A52="","",YEAR(A52))</f>
        <v>2026</v>
      </c>
      <c r="I52" s="31" t="inlineStr">
        <is>
          <t>Não</t>
        </is>
      </c>
      <c r="J52" s="36">
        <f>IF(AND(B52&lt;&gt;"",E52&lt;&gt;"",NOT(ISNUMBER(F52))),1,0)</f>
        <v>0</v>
      </c>
    </row>
    <row r="53">
      <c r="A53" s="34" t="n">
        <v>46212</v>
      </c>
      <c r="B53" s="31" t="inlineStr">
        <is>
          <t>Ana</t>
        </is>
      </c>
      <c r="C53" s="31" t="inlineStr">
        <is>
          <t>Comercial e propostas</t>
        </is>
      </c>
      <c r="D53" s="29" t="inlineStr">
        <is>
          <t>Proposta</t>
        </is>
      </c>
      <c r="E53" s="35" t="n">
        <v>5.5</v>
      </c>
      <c r="F53" s="26">
        <f>IF(OR(B53="",E53=""),"",IFERROR(IF(ISNUMBER(INDEX(Config!$D$11:$D$20,MATCH(B53,Config!$A$11:$A$20,0))),E53*INDEX(Config!$D$11:$D$20,MATCH(B53,Config!$A$11:$A$20,0)),"cadastro de custo incompleto em Config"),"pessoa sem custo-hora em Config"))</f>
        <v>385</v>
      </c>
      <c r="G53" s="25">
        <f>IF(A53="","",MONTH(A53))</f>
        <v>7</v>
      </c>
      <c r="H53" s="25">
        <f>IF(A53="","",YEAR(A53))</f>
        <v>2026</v>
      </c>
      <c r="I53" s="31" t="inlineStr">
        <is>
          <t>Não</t>
        </is>
      </c>
      <c r="J53" s="36">
        <f>IF(AND(B53&lt;&gt;"",E53&lt;&gt;"",NOT(ISNUMBER(F53))),1,0)</f>
        <v>0</v>
      </c>
    </row>
    <row r="54">
      <c r="A54" s="34" t="n">
        <v>46212</v>
      </c>
      <c r="B54" s="31" t="inlineStr">
        <is>
          <t>Ana</t>
        </is>
      </c>
      <c r="C54" s="31" t="inlineStr">
        <is>
          <t>Gestão e reuniões</t>
        </is>
      </c>
      <c r="D54" s="29" t="inlineStr">
        <is>
          <t>Financeiro</t>
        </is>
      </c>
      <c r="E54" s="35" t="n">
        <v>3</v>
      </c>
      <c r="F54" s="26">
        <f>IF(OR(B54="",E54=""),"",IFERROR(IF(ISNUMBER(INDEX(Config!$D$11:$D$20,MATCH(B54,Config!$A$11:$A$20,0))),E54*INDEX(Config!$D$11:$D$20,MATCH(B54,Config!$A$11:$A$20,0)),"cadastro de custo incompleto em Config"),"pessoa sem custo-hora em Config"))</f>
        <v>210</v>
      </c>
      <c r="G54" s="25">
        <f>IF(A54="","",MONTH(A54))</f>
        <v>7</v>
      </c>
      <c r="H54" s="25">
        <f>IF(A54="","",YEAR(A54))</f>
        <v>2026</v>
      </c>
      <c r="I54" s="31" t="inlineStr">
        <is>
          <t>Não</t>
        </is>
      </c>
      <c r="J54" s="36">
        <f>IF(AND(B54&lt;&gt;"",E54&lt;&gt;"",NOT(ISNUMBER(F54))),1,0)</f>
        <v>0</v>
      </c>
    </row>
    <row r="55">
      <c r="A55" s="34" t="n">
        <v>46212</v>
      </c>
      <c r="B55" s="31" t="inlineStr">
        <is>
          <t>Bruno</t>
        </is>
      </c>
      <c r="C55" s="31" t="inlineStr">
        <is>
          <t>Gestão e reuniões</t>
        </is>
      </c>
      <c r="D55" s="29" t="inlineStr">
        <is>
          <t>Planejamento</t>
        </is>
      </c>
      <c r="E55" s="35" t="n">
        <v>1</v>
      </c>
      <c r="F55" s="26">
        <f>IF(OR(B55="",E55=""),"",IFERROR(IF(ISNUMBER(INDEX(Config!$D$11:$D$20,MATCH(B55,Config!$A$11:$A$20,0))),E55*INDEX(Config!$D$11:$D$20,MATCH(B55,Config!$A$11:$A$20,0)),"cadastro de custo incompleto em Config"),"pessoa sem custo-hora em Config"))</f>
        <v>51.4285714285714</v>
      </c>
      <c r="G55" s="25">
        <f>IF(A55="","",MONTH(A55))</f>
        <v>7</v>
      </c>
      <c r="H55" s="25">
        <f>IF(A55="","",YEAR(A55))</f>
        <v>2026</v>
      </c>
      <c r="I55" s="31" t="inlineStr">
        <is>
          <t>Não</t>
        </is>
      </c>
      <c r="J55" s="36">
        <f>IF(AND(B55&lt;&gt;"",E55&lt;&gt;"",NOT(ISNUMBER(F55))),1,0)</f>
        <v>0</v>
      </c>
    </row>
    <row r="56">
      <c r="A56" s="34" t="n">
        <v>46212</v>
      </c>
      <c r="B56" s="31" t="inlineStr">
        <is>
          <t>Bruno</t>
        </is>
      </c>
      <c r="C56" s="31" t="inlineStr">
        <is>
          <t>Comercial e propostas</t>
        </is>
      </c>
      <c r="D56" s="29" t="inlineStr">
        <is>
          <t>Proposta</t>
        </is>
      </c>
      <c r="E56" s="35" t="n">
        <v>6.5</v>
      </c>
      <c r="F56" s="26">
        <f>IF(OR(B56="",E56=""),"",IFERROR(IF(ISNUMBER(INDEX(Config!$D$11:$D$20,MATCH(B56,Config!$A$11:$A$20,0))),E56*INDEX(Config!$D$11:$D$20,MATCH(B56,Config!$A$11:$A$20,0)),"cadastro de custo incompleto em Config"),"pessoa sem custo-hora em Config"))</f>
        <v>334.285714285714</v>
      </c>
      <c r="G56" s="25">
        <f>IF(A56="","",MONTH(A56))</f>
        <v>7</v>
      </c>
      <c r="H56" s="25">
        <f>IF(A56="","",YEAR(A56))</f>
        <v>2026</v>
      </c>
      <c r="I56" s="31" t="inlineStr">
        <is>
          <t>Não</t>
        </is>
      </c>
      <c r="J56" s="36">
        <f>IF(AND(B56&lt;&gt;"",E56&lt;&gt;"",NOT(ISNUMBER(F56))),1,0)</f>
        <v>0</v>
      </c>
    </row>
    <row r="57">
      <c r="A57" s="34" t="n">
        <v>46212</v>
      </c>
      <c r="B57" s="31" t="inlineStr">
        <is>
          <t>Carla</t>
        </is>
      </c>
      <c r="C57" s="31" t="inlineStr">
        <is>
          <t>Comercial e propostas</t>
        </is>
      </c>
      <c r="D57" s="29" t="inlineStr">
        <is>
          <t>Proposta</t>
        </is>
      </c>
      <c r="E57" s="35" t="n">
        <v>7</v>
      </c>
      <c r="F57" s="26">
        <f>IF(OR(B57="",E57=""),"",IFERROR(IF(ISNUMBER(INDEX(Config!$D$11:$D$20,MATCH(B57,Config!$A$11:$A$20,0))),E57*INDEX(Config!$D$11:$D$20,MATCH(B57,Config!$A$11:$A$20,0)),"cadastro de custo incompleto em Config"),"pessoa sem custo-hora em Config"))</f>
        <v>325</v>
      </c>
      <c r="G57" s="25">
        <f>IF(A57="","",MONTH(A57))</f>
        <v>7</v>
      </c>
      <c r="H57" s="25">
        <f>IF(A57="","",YEAR(A57))</f>
        <v>2026</v>
      </c>
      <c r="I57" s="31" t="inlineStr">
        <is>
          <t>Não</t>
        </is>
      </c>
      <c r="J57" s="36">
        <f>IF(AND(B57&lt;&gt;"",E57&lt;&gt;"",NOT(ISNUMBER(F57))),1,0)</f>
        <v>0</v>
      </c>
    </row>
    <row r="58">
      <c r="A58" s="34" t="n">
        <v>46212</v>
      </c>
      <c r="B58" s="31" t="inlineStr">
        <is>
          <t>Carla</t>
        </is>
      </c>
      <c r="C58" s="31" t="inlineStr">
        <is>
          <t>Gestão e reuniões</t>
        </is>
      </c>
      <c r="D58" s="29" t="inlineStr">
        <is>
          <t>Semanal</t>
        </is>
      </c>
      <c r="E58" s="35" t="n">
        <v>1</v>
      </c>
      <c r="F58" s="26">
        <f>IF(OR(B58="",E58=""),"",IFERROR(IF(ISNUMBER(INDEX(Config!$D$11:$D$20,MATCH(B58,Config!$A$11:$A$20,0))),E58*INDEX(Config!$D$11:$D$20,MATCH(B58,Config!$A$11:$A$20,0)),"cadastro de custo incompleto em Config"),"pessoa sem custo-hora em Config"))</f>
        <v>46.4285714285714</v>
      </c>
      <c r="G58" s="25">
        <f>IF(A58="","",MONTH(A58))</f>
        <v>7</v>
      </c>
      <c r="H58" s="25">
        <f>IF(A58="","",YEAR(A58))</f>
        <v>2026</v>
      </c>
      <c r="I58" s="31" t="inlineStr">
        <is>
          <t>Não</t>
        </is>
      </c>
      <c r="J58" s="36">
        <f>IF(AND(B58&lt;&gt;"",E58&lt;&gt;"",NOT(ISNUMBER(F58))),1,0)</f>
        <v>0</v>
      </c>
    </row>
    <row r="59">
      <c r="A59" s="34" t="n">
        <v>46212</v>
      </c>
      <c r="B59" s="31" t="inlineStr">
        <is>
          <t>Diego</t>
        </is>
      </c>
      <c r="C59" s="31" t="inlineStr">
        <is>
          <t>Comercial e propostas</t>
        </is>
      </c>
      <c r="D59" s="29" t="inlineStr">
        <is>
          <t>Proposta</t>
        </is>
      </c>
      <c r="E59" s="35" t="n">
        <v>5.5</v>
      </c>
      <c r="F59" s="26">
        <f>IF(OR(B59="",E59=""),"",IFERROR(IF(ISNUMBER(INDEX(Config!$D$11:$D$20,MATCH(B59,Config!$A$11:$A$20,0))),E59*INDEX(Config!$D$11:$D$20,MATCH(B59,Config!$A$11:$A$20,0)),"cadastro de custo incompleto em Config"),"pessoa sem custo-hora em Config"))</f>
        <v>265.833333333333</v>
      </c>
      <c r="G59" s="25">
        <f>IF(A59="","",MONTH(A59))</f>
        <v>7</v>
      </c>
      <c r="H59" s="25">
        <f>IF(A59="","",YEAR(A59))</f>
        <v>2026</v>
      </c>
      <c r="I59" s="31" t="inlineStr">
        <is>
          <t>Não</t>
        </is>
      </c>
      <c r="J59" s="36">
        <f>IF(AND(B59&lt;&gt;"",E59&lt;&gt;"",NOT(ISNUMBER(F59))),1,0)</f>
        <v>0</v>
      </c>
    </row>
    <row r="60">
      <c r="A60" s="34" t="n">
        <v>46212</v>
      </c>
      <c r="B60" s="31" t="inlineStr">
        <is>
          <t>Diego</t>
        </is>
      </c>
      <c r="C60" s="31" t="inlineStr">
        <is>
          <t>Gestão e reuniões</t>
        </is>
      </c>
      <c r="D60" s="29" t="inlineStr">
        <is>
          <t>Planejamento</t>
        </is>
      </c>
      <c r="E60" s="35" t="n">
        <v>3</v>
      </c>
      <c r="F60" s="26">
        <f>IF(OR(B60="",E60=""),"",IFERROR(IF(ISNUMBER(INDEX(Config!$D$11:$D$20,MATCH(B60,Config!$A$11:$A$20,0))),E60*INDEX(Config!$D$11:$D$20,MATCH(B60,Config!$A$11:$A$20,0)),"cadastro de custo incompleto em Config"),"pessoa sem custo-hora em Config"))</f>
        <v>145</v>
      </c>
      <c r="G60" s="25">
        <f>IF(A60="","",MONTH(A60))</f>
        <v>7</v>
      </c>
      <c r="H60" s="25">
        <f>IF(A60="","",YEAR(A60))</f>
        <v>2026</v>
      </c>
      <c r="I60" s="31" t="inlineStr">
        <is>
          <t>Não</t>
        </is>
      </c>
      <c r="J60" s="36">
        <f>IF(AND(B60&lt;&gt;"",E60&lt;&gt;"",NOT(ISNUMBER(F60))),1,0)</f>
        <v>0</v>
      </c>
    </row>
    <row r="61">
      <c r="A61" s="34" t="n">
        <v>46213</v>
      </c>
      <c r="B61" s="31" t="inlineStr">
        <is>
          <t>Ana</t>
        </is>
      </c>
      <c r="C61" s="31" t="inlineStr">
        <is>
          <t>Comercial e propostas</t>
        </is>
      </c>
      <c r="D61" s="29" t="inlineStr">
        <is>
          <t>Reunião comercial</t>
        </is>
      </c>
      <c r="E61" s="35" t="n">
        <v>4</v>
      </c>
      <c r="F61" s="26">
        <f>IF(OR(B61="",E61=""),"",IFERROR(IF(ISNUMBER(INDEX(Config!$D$11:$D$20,MATCH(B61,Config!$A$11:$A$20,0))),E61*INDEX(Config!$D$11:$D$20,MATCH(B61,Config!$A$11:$A$20,0)),"cadastro de custo incompleto em Config"),"pessoa sem custo-hora em Config"))</f>
        <v>280</v>
      </c>
      <c r="G61" s="25">
        <f>IF(A61="","",MONTH(A61))</f>
        <v>7</v>
      </c>
      <c r="H61" s="25">
        <f>IF(A61="","",YEAR(A61))</f>
        <v>2026</v>
      </c>
      <c r="I61" s="31" t="inlineStr">
        <is>
          <t>Não</t>
        </is>
      </c>
      <c r="J61" s="36">
        <f>IF(AND(B61&lt;&gt;"",E61&lt;&gt;"",NOT(ISNUMBER(F61))),1,0)</f>
        <v>0</v>
      </c>
    </row>
    <row r="62">
      <c r="A62" s="34" t="n">
        <v>46213</v>
      </c>
      <c r="B62" s="31" t="inlineStr">
        <is>
          <t>Ana</t>
        </is>
      </c>
      <c r="C62" s="31" t="inlineStr">
        <is>
          <t>Gestão e reuniões</t>
        </is>
      </c>
      <c r="D62" s="29" t="inlineStr">
        <is>
          <t>Planejamento</t>
        </is>
      </c>
      <c r="E62" s="35" t="n">
        <v>3.5</v>
      </c>
      <c r="F62" s="26">
        <f>IF(OR(B62="",E62=""),"",IFERROR(IF(ISNUMBER(INDEX(Config!$D$11:$D$20,MATCH(B62,Config!$A$11:$A$20,0))),E62*INDEX(Config!$D$11:$D$20,MATCH(B62,Config!$A$11:$A$20,0)),"cadastro de custo incompleto em Config"),"pessoa sem custo-hora em Config"))</f>
        <v>245</v>
      </c>
      <c r="G62" s="25">
        <f>IF(A62="","",MONTH(A62))</f>
        <v>7</v>
      </c>
      <c r="H62" s="25">
        <f>IF(A62="","",YEAR(A62))</f>
        <v>2026</v>
      </c>
      <c r="I62" s="31" t="inlineStr">
        <is>
          <t>Não</t>
        </is>
      </c>
      <c r="J62" s="36">
        <f>IF(AND(B62&lt;&gt;"",E62&lt;&gt;"",NOT(ISNUMBER(F62))),1,0)</f>
        <v>0</v>
      </c>
    </row>
    <row r="63">
      <c r="A63" s="34" t="n">
        <v>46213</v>
      </c>
      <c r="B63" s="31" t="inlineStr">
        <is>
          <t>Bruno</t>
        </is>
      </c>
      <c r="C63" s="31" t="inlineStr">
        <is>
          <t>Gestão e reuniões</t>
        </is>
      </c>
      <c r="D63" s="29" t="inlineStr">
        <is>
          <t>Semanal</t>
        </is>
      </c>
      <c r="E63" s="35" t="n">
        <v>1</v>
      </c>
      <c r="F63" s="26">
        <f>IF(OR(B63="",E63=""),"",IFERROR(IF(ISNUMBER(INDEX(Config!$D$11:$D$20,MATCH(B63,Config!$A$11:$A$20,0))),E63*INDEX(Config!$D$11:$D$20,MATCH(B63,Config!$A$11:$A$20,0)),"cadastro de custo incompleto em Config"),"pessoa sem custo-hora em Config"))</f>
        <v>51.4285714285714</v>
      </c>
      <c r="G63" s="25">
        <f>IF(A63="","",MONTH(A63))</f>
        <v>7</v>
      </c>
      <c r="H63" s="25">
        <f>IF(A63="","",YEAR(A63))</f>
        <v>2026</v>
      </c>
      <c r="I63" s="31" t="inlineStr">
        <is>
          <t>Não</t>
        </is>
      </c>
      <c r="J63" s="36">
        <f>IF(AND(B63&lt;&gt;"",E63&lt;&gt;"",NOT(ISNUMBER(F63))),1,0)</f>
        <v>0</v>
      </c>
    </row>
    <row r="64">
      <c r="A64" s="34" t="n">
        <v>46213</v>
      </c>
      <c r="B64" s="31" t="inlineStr">
        <is>
          <t>Bruno</t>
        </is>
      </c>
      <c r="C64" s="31" t="inlineStr">
        <is>
          <t>Comercial e propostas</t>
        </is>
      </c>
      <c r="D64" s="29" t="inlineStr">
        <is>
          <t>Reunião comercial</t>
        </is>
      </c>
      <c r="E64" s="35" t="n">
        <v>4</v>
      </c>
      <c r="F64" s="26">
        <f>IF(OR(B64="",E64=""),"",IFERROR(IF(ISNUMBER(INDEX(Config!$D$11:$D$20,MATCH(B64,Config!$A$11:$A$20,0))),E64*INDEX(Config!$D$11:$D$20,MATCH(B64,Config!$A$11:$A$20,0)),"cadastro de custo incompleto em Config"),"pessoa sem custo-hora em Config"))</f>
        <v>205.714285714286</v>
      </c>
      <c r="G64" s="25">
        <f>IF(A64="","",MONTH(A64))</f>
        <v>7</v>
      </c>
      <c r="H64" s="25">
        <f>IF(A64="","",YEAR(A64))</f>
        <v>2026</v>
      </c>
      <c r="I64" s="31" t="inlineStr">
        <is>
          <t>Não</t>
        </is>
      </c>
      <c r="J64" s="36">
        <f>IF(AND(B64&lt;&gt;"",E64&lt;&gt;"",NOT(ISNUMBER(F64))),1,0)</f>
        <v>0</v>
      </c>
    </row>
    <row r="65">
      <c r="A65" s="34" t="n">
        <v>46213</v>
      </c>
      <c r="B65" s="31" t="inlineStr">
        <is>
          <t>Carla</t>
        </is>
      </c>
      <c r="C65" s="31" t="inlineStr">
        <is>
          <t>Comercial e propostas</t>
        </is>
      </c>
      <c r="D65" s="29" t="inlineStr">
        <is>
          <t>Reunião comercial</t>
        </is>
      </c>
      <c r="E65" s="35" t="n">
        <v>7</v>
      </c>
      <c r="F65" s="26">
        <f>IF(OR(B65="",E65=""),"",IFERROR(IF(ISNUMBER(INDEX(Config!$D$11:$D$20,MATCH(B65,Config!$A$11:$A$20,0))),E65*INDEX(Config!$D$11:$D$20,MATCH(B65,Config!$A$11:$A$20,0)),"cadastro de custo incompleto em Config"),"pessoa sem custo-hora em Config"))</f>
        <v>325</v>
      </c>
      <c r="G65" s="25">
        <f>IF(A65="","",MONTH(A65))</f>
        <v>7</v>
      </c>
      <c r="H65" s="25">
        <f>IF(A65="","",YEAR(A65))</f>
        <v>2026</v>
      </c>
      <c r="I65" s="31" t="inlineStr">
        <is>
          <t>Não</t>
        </is>
      </c>
      <c r="J65" s="36">
        <f>IF(AND(B65&lt;&gt;"",E65&lt;&gt;"",NOT(ISNUMBER(F65))),1,0)</f>
        <v>0</v>
      </c>
    </row>
    <row r="66">
      <c r="A66" s="34" t="n">
        <v>46213</v>
      </c>
      <c r="B66" s="31" t="inlineStr">
        <is>
          <t>Carla</t>
        </is>
      </c>
      <c r="C66" s="31" t="inlineStr">
        <is>
          <t>Gestão e reuniões</t>
        </is>
      </c>
      <c r="D66" s="29" t="inlineStr">
        <is>
          <t>Planejamento</t>
        </is>
      </c>
      <c r="E66" s="35" t="n">
        <v>1</v>
      </c>
      <c r="F66" s="26">
        <f>IF(OR(B66="",E66=""),"",IFERROR(IF(ISNUMBER(INDEX(Config!$D$11:$D$20,MATCH(B66,Config!$A$11:$A$20,0))),E66*INDEX(Config!$D$11:$D$20,MATCH(B66,Config!$A$11:$A$20,0)),"cadastro de custo incompleto em Config"),"pessoa sem custo-hora em Config"))</f>
        <v>46.4285714285714</v>
      </c>
      <c r="G66" s="25">
        <f>IF(A66="","",MONTH(A66))</f>
        <v>7</v>
      </c>
      <c r="H66" s="25">
        <f>IF(A66="","",YEAR(A66))</f>
        <v>2026</v>
      </c>
      <c r="I66" s="31" t="inlineStr">
        <is>
          <t>Não</t>
        </is>
      </c>
      <c r="J66" s="36">
        <f>IF(AND(B66&lt;&gt;"",E66&lt;&gt;"",NOT(ISNUMBER(F66))),1,0)</f>
        <v>0</v>
      </c>
    </row>
    <row r="67">
      <c r="A67" s="34" t="n">
        <v>46213</v>
      </c>
      <c r="B67" s="31" t="inlineStr">
        <is>
          <t>Diego</t>
        </is>
      </c>
      <c r="C67" s="31" t="inlineStr">
        <is>
          <t>Comercial e propostas</t>
        </is>
      </c>
      <c r="D67" s="29" t="inlineStr">
        <is>
          <t>Proposta</t>
        </is>
      </c>
      <c r="E67" s="35" t="n">
        <v>4</v>
      </c>
      <c r="F67" s="26">
        <f>IF(OR(B67="",E67=""),"",IFERROR(IF(ISNUMBER(INDEX(Config!$D$11:$D$20,MATCH(B67,Config!$A$11:$A$20,0))),E67*INDEX(Config!$D$11:$D$20,MATCH(B67,Config!$A$11:$A$20,0)),"cadastro de custo incompleto em Config"),"pessoa sem custo-hora em Config"))</f>
        <v>193.333333333333</v>
      </c>
      <c r="G67" s="25">
        <f>IF(A67="","",MONTH(A67))</f>
        <v>7</v>
      </c>
      <c r="H67" s="25">
        <f>IF(A67="","",YEAR(A67))</f>
        <v>2026</v>
      </c>
      <c r="I67" s="31" t="inlineStr">
        <is>
          <t>Não</t>
        </is>
      </c>
      <c r="J67" s="36">
        <f>IF(AND(B67&lt;&gt;"",E67&lt;&gt;"",NOT(ISNUMBER(F67))),1,0)</f>
        <v>0</v>
      </c>
    </row>
    <row r="68">
      <c r="A68" s="34" t="n">
        <v>46213</v>
      </c>
      <c r="B68" s="31" t="inlineStr">
        <is>
          <t>Diego</t>
        </is>
      </c>
      <c r="C68" s="31" t="inlineStr">
        <is>
          <t>Gestão e reuniões</t>
        </is>
      </c>
      <c r="D68" s="29" t="inlineStr">
        <is>
          <t>Semanal</t>
        </is>
      </c>
      <c r="E68" s="35" t="n">
        <v>4.5</v>
      </c>
      <c r="F68" s="26">
        <f>IF(OR(B68="",E68=""),"",IFERROR(IF(ISNUMBER(INDEX(Config!$D$11:$D$20,MATCH(B68,Config!$A$11:$A$20,0))),E68*INDEX(Config!$D$11:$D$20,MATCH(B68,Config!$A$11:$A$20,0)),"cadastro de custo incompleto em Config"),"pessoa sem custo-hora em Config"))</f>
        <v>217.5</v>
      </c>
      <c r="G68" s="25">
        <f>IF(A68="","",MONTH(A68))</f>
        <v>7</v>
      </c>
      <c r="H68" s="25">
        <f>IF(A68="","",YEAR(A68))</f>
        <v>2026</v>
      </c>
      <c r="I68" s="31" t="inlineStr">
        <is>
          <t>Não</t>
        </is>
      </c>
      <c r="J68" s="36">
        <f>IF(AND(B68&lt;&gt;"",E68&lt;&gt;"",NOT(ISNUMBER(F68))),1,0)</f>
        <v>0</v>
      </c>
    </row>
    <row r="69">
      <c r="A69" s="34" t="n">
        <v>46216</v>
      </c>
      <c r="B69" s="31" t="inlineStr">
        <is>
          <t>Ana</t>
        </is>
      </c>
      <c r="C69" s="31" t="inlineStr">
        <is>
          <t>Comercial e propostas</t>
        </is>
      </c>
      <c r="D69" s="29" t="inlineStr">
        <is>
          <t>Proposta</t>
        </is>
      </c>
      <c r="E69" s="35" t="n">
        <v>3.5</v>
      </c>
      <c r="F69" s="26">
        <f>IF(OR(B69="",E69=""),"",IFERROR(IF(ISNUMBER(INDEX(Config!$D$11:$D$20,MATCH(B69,Config!$A$11:$A$20,0))),E69*INDEX(Config!$D$11:$D$20,MATCH(B69,Config!$A$11:$A$20,0)),"cadastro de custo incompleto em Config"),"pessoa sem custo-hora em Config"))</f>
        <v>245</v>
      </c>
      <c r="G69" s="25">
        <f>IF(A69="","",MONTH(A69))</f>
        <v>7</v>
      </c>
      <c r="H69" s="25">
        <f>IF(A69="","",YEAR(A69))</f>
        <v>2026</v>
      </c>
      <c r="I69" s="31" t="inlineStr">
        <is>
          <t>Não</t>
        </is>
      </c>
      <c r="J69" s="36">
        <f>IF(AND(B69&lt;&gt;"",E69&lt;&gt;"",NOT(ISNUMBER(F69))),1,0)</f>
        <v>0</v>
      </c>
    </row>
    <row r="70">
      <c r="A70" s="34" t="n">
        <v>46216</v>
      </c>
      <c r="B70" s="31" t="inlineStr">
        <is>
          <t>Ana</t>
        </is>
      </c>
      <c r="C70" s="31" t="inlineStr">
        <is>
          <t>Gestão e reuniões</t>
        </is>
      </c>
      <c r="D70" s="29" t="inlineStr">
        <is>
          <t>Semanal</t>
        </is>
      </c>
      <c r="E70" s="35" t="n">
        <v>2.5</v>
      </c>
      <c r="F70" s="26">
        <f>IF(OR(B70="",E70=""),"",IFERROR(IF(ISNUMBER(INDEX(Config!$D$11:$D$20,MATCH(B70,Config!$A$11:$A$20,0))),E70*INDEX(Config!$D$11:$D$20,MATCH(B70,Config!$A$11:$A$20,0)),"cadastro de custo incompleto em Config"),"pessoa sem custo-hora em Config"))</f>
        <v>175</v>
      </c>
      <c r="G70" s="25">
        <f>IF(A70="","",MONTH(A70))</f>
        <v>7</v>
      </c>
      <c r="H70" s="25">
        <f>IF(A70="","",YEAR(A70))</f>
        <v>2026</v>
      </c>
      <c r="I70" s="31" t="inlineStr">
        <is>
          <t>Não</t>
        </is>
      </c>
      <c r="J70" s="36">
        <f>IF(AND(B70&lt;&gt;"",E70&lt;&gt;"",NOT(ISNUMBER(F70))),1,0)</f>
        <v>0</v>
      </c>
    </row>
    <row r="71">
      <c r="A71" s="34" t="n">
        <v>46216</v>
      </c>
      <c r="B71" s="31" t="inlineStr">
        <is>
          <t>Bruno</t>
        </is>
      </c>
      <c r="C71" s="31" t="inlineStr">
        <is>
          <t>Gestão e reuniões</t>
        </is>
      </c>
      <c r="D71" s="29" t="inlineStr">
        <is>
          <t>Financeiro</t>
        </is>
      </c>
      <c r="E71" s="35" t="n">
        <v>1</v>
      </c>
      <c r="F71" s="26">
        <f>IF(OR(B71="",E71=""),"",IFERROR(IF(ISNUMBER(INDEX(Config!$D$11:$D$20,MATCH(B71,Config!$A$11:$A$20,0))),E71*INDEX(Config!$D$11:$D$20,MATCH(B71,Config!$A$11:$A$20,0)),"cadastro de custo incompleto em Config"),"pessoa sem custo-hora em Config"))</f>
        <v>51.4285714285714</v>
      </c>
      <c r="G71" s="25">
        <f>IF(A71="","",MONTH(A71))</f>
        <v>7</v>
      </c>
      <c r="H71" s="25">
        <f>IF(A71="","",YEAR(A71))</f>
        <v>2026</v>
      </c>
      <c r="I71" s="31" t="inlineStr">
        <is>
          <t>Não</t>
        </is>
      </c>
      <c r="J71" s="36">
        <f>IF(AND(B71&lt;&gt;"",E71&lt;&gt;"",NOT(ISNUMBER(F71))),1,0)</f>
        <v>0</v>
      </c>
    </row>
    <row r="72">
      <c r="A72" s="34" t="n">
        <v>46216</v>
      </c>
      <c r="B72" s="31" t="inlineStr">
        <is>
          <t>Bruno</t>
        </is>
      </c>
      <c r="C72" s="31" t="inlineStr">
        <is>
          <t>Comercial e propostas</t>
        </is>
      </c>
      <c r="D72" s="29" t="inlineStr">
        <is>
          <t>Proposta</t>
        </is>
      </c>
      <c r="E72" s="35" t="n">
        <v>7</v>
      </c>
      <c r="F72" s="26">
        <f>IF(OR(B72="",E72=""),"",IFERROR(IF(ISNUMBER(INDEX(Config!$D$11:$D$20,MATCH(B72,Config!$A$11:$A$20,0))),E72*INDEX(Config!$D$11:$D$20,MATCH(B72,Config!$A$11:$A$20,0)),"cadastro de custo incompleto em Config"),"pessoa sem custo-hora em Config"))</f>
        <v>360</v>
      </c>
      <c r="G72" s="25">
        <f>IF(A72="","",MONTH(A72))</f>
        <v>7</v>
      </c>
      <c r="H72" s="25">
        <f>IF(A72="","",YEAR(A72))</f>
        <v>2026</v>
      </c>
      <c r="I72" s="31" t="inlineStr">
        <is>
          <t>Não</t>
        </is>
      </c>
      <c r="J72" s="36">
        <f>IF(AND(B72&lt;&gt;"",E72&lt;&gt;"",NOT(ISNUMBER(F72))),1,0)</f>
        <v>0</v>
      </c>
    </row>
    <row r="73">
      <c r="A73" s="34" t="n">
        <v>46216</v>
      </c>
      <c r="B73" s="31" t="inlineStr">
        <is>
          <t>Carla</t>
        </is>
      </c>
      <c r="C73" s="31" t="inlineStr">
        <is>
          <t>Comercial e propostas</t>
        </is>
      </c>
      <c r="D73" s="29" t="inlineStr">
        <is>
          <t>Reunião comercial</t>
        </is>
      </c>
      <c r="E73" s="35" t="n">
        <v>3.5</v>
      </c>
      <c r="F73" s="26">
        <f>IF(OR(B73="",E73=""),"",IFERROR(IF(ISNUMBER(INDEX(Config!$D$11:$D$20,MATCH(B73,Config!$A$11:$A$20,0))),E73*INDEX(Config!$D$11:$D$20,MATCH(B73,Config!$A$11:$A$20,0)),"cadastro de custo incompleto em Config"),"pessoa sem custo-hora em Config"))</f>
        <v>162.5</v>
      </c>
      <c r="G73" s="25">
        <f>IF(A73="","",MONTH(A73))</f>
        <v>7</v>
      </c>
      <c r="H73" s="25">
        <f>IF(A73="","",YEAR(A73))</f>
        <v>2026</v>
      </c>
      <c r="I73" s="31" t="inlineStr">
        <is>
          <t>Não</t>
        </is>
      </c>
      <c r="J73" s="36">
        <f>IF(AND(B73&lt;&gt;"",E73&lt;&gt;"",NOT(ISNUMBER(F73))),1,0)</f>
        <v>0</v>
      </c>
    </row>
    <row r="74">
      <c r="A74" s="34" t="n">
        <v>46216</v>
      </c>
      <c r="B74" s="31" t="inlineStr">
        <is>
          <t>Carla</t>
        </is>
      </c>
      <c r="C74" s="31" t="inlineStr">
        <is>
          <t>Gestão e reuniões</t>
        </is>
      </c>
      <c r="D74" s="29" t="inlineStr">
        <is>
          <t>Planejamento</t>
        </is>
      </c>
      <c r="E74" s="35" t="n">
        <v>1</v>
      </c>
      <c r="F74" s="26">
        <f>IF(OR(B74="",E74=""),"",IFERROR(IF(ISNUMBER(INDEX(Config!$D$11:$D$20,MATCH(B74,Config!$A$11:$A$20,0))),E74*INDEX(Config!$D$11:$D$20,MATCH(B74,Config!$A$11:$A$20,0)),"cadastro de custo incompleto em Config"),"pessoa sem custo-hora em Config"))</f>
        <v>46.4285714285714</v>
      </c>
      <c r="G74" s="25">
        <f>IF(A74="","",MONTH(A74))</f>
        <v>7</v>
      </c>
      <c r="H74" s="25">
        <f>IF(A74="","",YEAR(A74))</f>
        <v>2026</v>
      </c>
      <c r="I74" s="31" t="inlineStr">
        <is>
          <t>Não</t>
        </is>
      </c>
      <c r="J74" s="36">
        <f>IF(AND(B74&lt;&gt;"",E74&lt;&gt;"",NOT(ISNUMBER(F74))),1,0)</f>
        <v>0</v>
      </c>
    </row>
    <row r="75">
      <c r="A75" s="34" t="n">
        <v>46216</v>
      </c>
      <c r="B75" s="31" t="inlineStr">
        <is>
          <t>Diego</t>
        </is>
      </c>
      <c r="C75" s="31" t="inlineStr">
        <is>
          <t>Comercial e propostas</t>
        </is>
      </c>
      <c r="D75" s="29" t="inlineStr">
        <is>
          <t>Proposta</t>
        </is>
      </c>
      <c r="E75" s="35" t="n">
        <v>3</v>
      </c>
      <c r="F75" s="26">
        <f>IF(OR(B75="",E75=""),"",IFERROR(IF(ISNUMBER(INDEX(Config!$D$11:$D$20,MATCH(B75,Config!$A$11:$A$20,0))),E75*INDEX(Config!$D$11:$D$20,MATCH(B75,Config!$A$11:$A$20,0)),"cadastro de custo incompleto em Config"),"pessoa sem custo-hora em Config"))</f>
        <v>145</v>
      </c>
      <c r="G75" s="25">
        <f>IF(A75="","",MONTH(A75))</f>
        <v>7</v>
      </c>
      <c r="H75" s="25">
        <f>IF(A75="","",YEAR(A75))</f>
        <v>2026</v>
      </c>
      <c r="I75" s="31" t="inlineStr">
        <is>
          <t>Não</t>
        </is>
      </c>
      <c r="J75" s="36">
        <f>IF(AND(B75&lt;&gt;"",E75&lt;&gt;"",NOT(ISNUMBER(F75))),1,0)</f>
        <v>0</v>
      </c>
    </row>
    <row r="76">
      <c r="A76" s="34" t="n">
        <v>46216</v>
      </c>
      <c r="B76" s="31" t="inlineStr">
        <is>
          <t>Diego</t>
        </is>
      </c>
      <c r="C76" s="31" t="inlineStr">
        <is>
          <t>Gestão e reuniões</t>
        </is>
      </c>
      <c r="D76" s="29" t="inlineStr">
        <is>
          <t>Financeiro</t>
        </is>
      </c>
      <c r="E76" s="35" t="n">
        <v>4</v>
      </c>
      <c r="F76" s="26">
        <f>IF(OR(B76="",E76=""),"",IFERROR(IF(ISNUMBER(INDEX(Config!$D$11:$D$20,MATCH(B76,Config!$A$11:$A$20,0))),E76*INDEX(Config!$D$11:$D$20,MATCH(B76,Config!$A$11:$A$20,0)),"cadastro de custo incompleto em Config"),"pessoa sem custo-hora em Config"))</f>
        <v>193.333333333333</v>
      </c>
      <c r="G76" s="25">
        <f>IF(A76="","",MONTH(A76))</f>
        <v>7</v>
      </c>
      <c r="H76" s="25">
        <f>IF(A76="","",YEAR(A76))</f>
        <v>2026</v>
      </c>
      <c r="I76" s="31" t="inlineStr">
        <is>
          <t>Não</t>
        </is>
      </c>
      <c r="J76" s="36">
        <f>IF(AND(B76&lt;&gt;"",E76&lt;&gt;"",NOT(ISNUMBER(F76))),1,0)</f>
        <v>0</v>
      </c>
    </row>
    <row r="77">
      <c r="A77" s="34" t="n">
        <v>46217</v>
      </c>
      <c r="B77" s="31" t="inlineStr">
        <is>
          <t>Ana</t>
        </is>
      </c>
      <c r="C77" s="31" t="inlineStr">
        <is>
          <t>Comercial e propostas</t>
        </is>
      </c>
      <c r="D77" s="29" t="inlineStr">
        <is>
          <t>Proposta</t>
        </is>
      </c>
      <c r="E77" s="35" t="n">
        <v>6</v>
      </c>
      <c r="F77" s="26">
        <f>IF(OR(B77="",E77=""),"",IFERROR(IF(ISNUMBER(INDEX(Config!$D$11:$D$20,MATCH(B77,Config!$A$11:$A$20,0))),E77*INDEX(Config!$D$11:$D$20,MATCH(B77,Config!$A$11:$A$20,0)),"cadastro de custo incompleto em Config"),"pessoa sem custo-hora em Config"))</f>
        <v>420</v>
      </c>
      <c r="G77" s="25">
        <f>IF(A77="","",MONTH(A77))</f>
        <v>7</v>
      </c>
      <c r="H77" s="25">
        <f>IF(A77="","",YEAR(A77))</f>
        <v>2026</v>
      </c>
      <c r="I77" s="31" t="inlineStr">
        <is>
          <t>Não</t>
        </is>
      </c>
      <c r="J77" s="36">
        <f>IF(AND(B77&lt;&gt;"",E77&lt;&gt;"",NOT(ISNUMBER(F77))),1,0)</f>
        <v>0</v>
      </c>
    </row>
    <row r="78">
      <c r="A78" s="34" t="n">
        <v>46217</v>
      </c>
      <c r="B78" s="31" t="inlineStr">
        <is>
          <t>Ana</t>
        </is>
      </c>
      <c r="C78" s="31" t="inlineStr">
        <is>
          <t>Gestão e reuniões</t>
        </is>
      </c>
      <c r="D78" s="29" t="inlineStr">
        <is>
          <t>Semanal</t>
        </is>
      </c>
      <c r="E78" s="35" t="n">
        <v>3.5</v>
      </c>
      <c r="F78" s="26">
        <f>IF(OR(B78="",E78=""),"",IFERROR(IF(ISNUMBER(INDEX(Config!$D$11:$D$20,MATCH(B78,Config!$A$11:$A$20,0))),E78*INDEX(Config!$D$11:$D$20,MATCH(B78,Config!$A$11:$A$20,0)),"cadastro de custo incompleto em Config"),"pessoa sem custo-hora em Config"))</f>
        <v>245</v>
      </c>
      <c r="G78" s="25">
        <f>IF(A78="","",MONTH(A78))</f>
        <v>7</v>
      </c>
      <c r="H78" s="25">
        <f>IF(A78="","",YEAR(A78))</f>
        <v>2026</v>
      </c>
      <c r="I78" s="31" t="inlineStr">
        <is>
          <t>Não</t>
        </is>
      </c>
      <c r="J78" s="36">
        <f>IF(AND(B78&lt;&gt;"",E78&lt;&gt;"",NOT(ISNUMBER(F78))),1,0)</f>
        <v>0</v>
      </c>
    </row>
    <row r="79">
      <c r="A79" s="34" t="n">
        <v>46217</v>
      </c>
      <c r="B79" s="31" t="inlineStr">
        <is>
          <t>Bruno</t>
        </is>
      </c>
      <c r="C79" s="31" t="inlineStr">
        <is>
          <t>Gestão e reuniões</t>
        </is>
      </c>
      <c r="D79" s="29" t="inlineStr">
        <is>
          <t>Planejamento</t>
        </is>
      </c>
      <c r="E79" s="35" t="n">
        <v>1.5</v>
      </c>
      <c r="F79" s="26">
        <f>IF(OR(B79="",E79=""),"",IFERROR(IF(ISNUMBER(INDEX(Config!$D$11:$D$20,MATCH(B79,Config!$A$11:$A$20,0))),E79*INDEX(Config!$D$11:$D$20,MATCH(B79,Config!$A$11:$A$20,0)),"cadastro de custo incompleto em Config"),"pessoa sem custo-hora em Config"))</f>
        <v>77.1428571428571</v>
      </c>
      <c r="G79" s="25">
        <f>IF(A79="","",MONTH(A79))</f>
        <v>7</v>
      </c>
      <c r="H79" s="25">
        <f>IF(A79="","",YEAR(A79))</f>
        <v>2026</v>
      </c>
      <c r="I79" s="31" t="inlineStr">
        <is>
          <t>Não</t>
        </is>
      </c>
      <c r="J79" s="36">
        <f>IF(AND(B79&lt;&gt;"",E79&lt;&gt;"",NOT(ISNUMBER(F79))),1,0)</f>
        <v>0</v>
      </c>
    </row>
    <row r="80">
      <c r="A80" s="34" t="n">
        <v>46217</v>
      </c>
      <c r="B80" s="31" t="inlineStr">
        <is>
          <t>Bruno</t>
        </is>
      </c>
      <c r="C80" s="31" t="inlineStr">
        <is>
          <t>Comercial e propostas</t>
        </is>
      </c>
      <c r="D80" s="29" t="inlineStr">
        <is>
          <t>Proposta</t>
        </is>
      </c>
      <c r="E80" s="35" t="n">
        <v>6</v>
      </c>
      <c r="F80" s="26">
        <f>IF(OR(B80="",E80=""),"",IFERROR(IF(ISNUMBER(INDEX(Config!$D$11:$D$20,MATCH(B80,Config!$A$11:$A$20,0))),E80*INDEX(Config!$D$11:$D$20,MATCH(B80,Config!$A$11:$A$20,0)),"cadastro de custo incompleto em Config"),"pessoa sem custo-hora em Config"))</f>
        <v>308.571428571429</v>
      </c>
      <c r="G80" s="25">
        <f>IF(A80="","",MONTH(A80))</f>
        <v>7</v>
      </c>
      <c r="H80" s="25">
        <f>IF(A80="","",YEAR(A80))</f>
        <v>2026</v>
      </c>
      <c r="I80" s="31" t="inlineStr">
        <is>
          <t>Não</t>
        </is>
      </c>
      <c r="J80" s="36">
        <f>IF(AND(B80&lt;&gt;"",E80&lt;&gt;"",NOT(ISNUMBER(F80))),1,0)</f>
        <v>0</v>
      </c>
    </row>
    <row r="81">
      <c r="A81" s="34" t="n">
        <v>46217</v>
      </c>
      <c r="B81" s="31" t="inlineStr">
        <is>
          <t>Carla</t>
        </is>
      </c>
      <c r="C81" s="31" t="inlineStr">
        <is>
          <t>Comercial e propostas</t>
        </is>
      </c>
      <c r="D81" s="29" t="inlineStr">
        <is>
          <t>Proposta</t>
        </is>
      </c>
      <c r="E81" s="35" t="n">
        <v>5.5</v>
      </c>
      <c r="F81" s="26">
        <f>IF(OR(B81="",E81=""),"",IFERROR(IF(ISNUMBER(INDEX(Config!$D$11:$D$20,MATCH(B81,Config!$A$11:$A$20,0))),E81*INDEX(Config!$D$11:$D$20,MATCH(B81,Config!$A$11:$A$20,0)),"cadastro de custo incompleto em Config"),"pessoa sem custo-hora em Config"))</f>
        <v>255.357142857143</v>
      </c>
      <c r="G81" s="25">
        <f>IF(A81="","",MONTH(A81))</f>
        <v>7</v>
      </c>
      <c r="H81" s="25">
        <f>IF(A81="","",YEAR(A81))</f>
        <v>2026</v>
      </c>
      <c r="I81" s="31" t="inlineStr">
        <is>
          <t>Não</t>
        </is>
      </c>
      <c r="J81" s="36">
        <f>IF(AND(B81&lt;&gt;"",E81&lt;&gt;"",NOT(ISNUMBER(F81))),1,0)</f>
        <v>0</v>
      </c>
    </row>
    <row r="82">
      <c r="A82" s="34" t="n">
        <v>46217</v>
      </c>
      <c r="B82" s="31" t="inlineStr">
        <is>
          <t>Carla</t>
        </is>
      </c>
      <c r="C82" s="31" t="inlineStr">
        <is>
          <t>Gestão e reuniões</t>
        </is>
      </c>
      <c r="D82" s="29" t="inlineStr">
        <is>
          <t>Planejamento</t>
        </is>
      </c>
      <c r="E82" s="35" t="n">
        <v>1</v>
      </c>
      <c r="F82" s="26">
        <f>IF(OR(B82="",E82=""),"",IFERROR(IF(ISNUMBER(INDEX(Config!$D$11:$D$20,MATCH(B82,Config!$A$11:$A$20,0))),E82*INDEX(Config!$D$11:$D$20,MATCH(B82,Config!$A$11:$A$20,0)),"cadastro de custo incompleto em Config"),"pessoa sem custo-hora em Config"))</f>
        <v>46.4285714285714</v>
      </c>
      <c r="G82" s="25">
        <f>IF(A82="","",MONTH(A82))</f>
        <v>7</v>
      </c>
      <c r="H82" s="25">
        <f>IF(A82="","",YEAR(A82))</f>
        <v>2026</v>
      </c>
      <c r="I82" s="31" t="inlineStr">
        <is>
          <t>Não</t>
        </is>
      </c>
      <c r="J82" s="36">
        <f>IF(AND(B82&lt;&gt;"",E82&lt;&gt;"",NOT(ISNUMBER(F82))),1,0)</f>
        <v>0</v>
      </c>
    </row>
    <row r="83">
      <c r="A83" s="34" t="n">
        <v>46217</v>
      </c>
      <c r="B83" s="31" t="inlineStr">
        <is>
          <t>Diego</t>
        </is>
      </c>
      <c r="C83" s="31" t="inlineStr">
        <is>
          <t>Comercial e propostas</t>
        </is>
      </c>
      <c r="D83" s="29" t="inlineStr">
        <is>
          <t>Proposta</t>
        </is>
      </c>
      <c r="E83" s="35" t="n">
        <v>3.5</v>
      </c>
      <c r="F83" s="26">
        <f>IF(OR(B83="",E83=""),"",IFERROR(IF(ISNUMBER(INDEX(Config!$D$11:$D$20,MATCH(B83,Config!$A$11:$A$20,0))),E83*INDEX(Config!$D$11:$D$20,MATCH(B83,Config!$A$11:$A$20,0)),"cadastro de custo incompleto em Config"),"pessoa sem custo-hora em Config"))</f>
        <v>169.166666666667</v>
      </c>
      <c r="G83" s="25">
        <f>IF(A83="","",MONTH(A83))</f>
        <v>7</v>
      </c>
      <c r="H83" s="25">
        <f>IF(A83="","",YEAR(A83))</f>
        <v>2026</v>
      </c>
      <c r="I83" s="31" t="inlineStr">
        <is>
          <t>Não</t>
        </is>
      </c>
      <c r="J83" s="36">
        <f>IF(AND(B83&lt;&gt;"",E83&lt;&gt;"",NOT(ISNUMBER(F83))),1,0)</f>
        <v>0</v>
      </c>
    </row>
    <row r="84">
      <c r="A84" s="34" t="n">
        <v>46217</v>
      </c>
      <c r="B84" s="31" t="inlineStr">
        <is>
          <t>Diego</t>
        </is>
      </c>
      <c r="C84" s="31" t="inlineStr">
        <is>
          <t>Gestão e reuniões</t>
        </is>
      </c>
      <c r="D84" s="29" t="inlineStr">
        <is>
          <t>Planejamento</t>
        </is>
      </c>
      <c r="E84" s="35" t="n">
        <v>2.5</v>
      </c>
      <c r="F84" s="26">
        <f>IF(OR(B84="",E84=""),"",IFERROR(IF(ISNUMBER(INDEX(Config!$D$11:$D$20,MATCH(B84,Config!$A$11:$A$20,0))),E84*INDEX(Config!$D$11:$D$20,MATCH(B84,Config!$A$11:$A$20,0)),"cadastro de custo incompleto em Config"),"pessoa sem custo-hora em Config"))</f>
        <v>120.833333333333</v>
      </c>
      <c r="G84" s="25">
        <f>IF(A84="","",MONTH(A84))</f>
        <v>7</v>
      </c>
      <c r="H84" s="25">
        <f>IF(A84="","",YEAR(A84))</f>
        <v>2026</v>
      </c>
      <c r="I84" s="31" t="inlineStr">
        <is>
          <t>Não</t>
        </is>
      </c>
      <c r="J84" s="36">
        <f>IF(AND(B84&lt;&gt;"",E84&lt;&gt;"",NOT(ISNUMBER(F84))),1,0)</f>
        <v>0</v>
      </c>
    </row>
    <row r="85">
      <c r="A85" s="34" t="n">
        <v>46218</v>
      </c>
      <c r="B85" s="31" t="inlineStr">
        <is>
          <t>Ana</t>
        </is>
      </c>
      <c r="C85" s="31" t="inlineStr">
        <is>
          <t>Comercial e propostas</t>
        </is>
      </c>
      <c r="D85" s="29" t="inlineStr">
        <is>
          <t>Proposta</t>
        </is>
      </c>
      <c r="E85" s="35" t="n">
        <v>5</v>
      </c>
      <c r="F85" s="26">
        <f>IF(OR(B85="",E85=""),"",IFERROR(IF(ISNUMBER(INDEX(Config!$D$11:$D$20,MATCH(B85,Config!$A$11:$A$20,0))),E85*INDEX(Config!$D$11:$D$20,MATCH(B85,Config!$A$11:$A$20,0)),"cadastro de custo incompleto em Config"),"pessoa sem custo-hora em Config"))</f>
        <v>350</v>
      </c>
      <c r="G85" s="25">
        <f>IF(A85="","",MONTH(A85))</f>
        <v>7</v>
      </c>
      <c r="H85" s="25">
        <f>IF(A85="","",YEAR(A85))</f>
        <v>2026</v>
      </c>
      <c r="I85" s="31" t="inlineStr">
        <is>
          <t>Não</t>
        </is>
      </c>
      <c r="J85" s="36">
        <f>IF(AND(B85&lt;&gt;"",E85&lt;&gt;"",NOT(ISNUMBER(F85))),1,0)</f>
        <v>0</v>
      </c>
    </row>
    <row r="86">
      <c r="A86" s="34" t="n">
        <v>46218</v>
      </c>
      <c r="B86" s="31" t="inlineStr">
        <is>
          <t>Ana</t>
        </is>
      </c>
      <c r="C86" s="31" t="inlineStr">
        <is>
          <t>Gestão e reuniões</t>
        </is>
      </c>
      <c r="D86" s="29" t="inlineStr">
        <is>
          <t>Financeiro</t>
        </is>
      </c>
      <c r="E86" s="35" t="n">
        <v>3</v>
      </c>
      <c r="F86" s="26">
        <f>IF(OR(B86="",E86=""),"",IFERROR(IF(ISNUMBER(INDEX(Config!$D$11:$D$20,MATCH(B86,Config!$A$11:$A$20,0))),E86*INDEX(Config!$D$11:$D$20,MATCH(B86,Config!$A$11:$A$20,0)),"cadastro de custo incompleto em Config"),"pessoa sem custo-hora em Config"))</f>
        <v>210</v>
      </c>
      <c r="G86" s="25">
        <f>IF(A86="","",MONTH(A86))</f>
        <v>7</v>
      </c>
      <c r="H86" s="25">
        <f>IF(A86="","",YEAR(A86))</f>
        <v>2026</v>
      </c>
      <c r="I86" s="31" t="inlineStr">
        <is>
          <t>Não</t>
        </is>
      </c>
      <c r="J86" s="36">
        <f>IF(AND(B86&lt;&gt;"",E86&lt;&gt;"",NOT(ISNUMBER(F86))),1,0)</f>
        <v>0</v>
      </c>
    </row>
    <row r="87">
      <c r="A87" s="34" t="n">
        <v>46218</v>
      </c>
      <c r="B87" s="31" t="inlineStr">
        <is>
          <t>Bruno</t>
        </is>
      </c>
      <c r="C87" s="31" t="inlineStr">
        <is>
          <t>Identidade visual · Padaria do Sol</t>
        </is>
      </c>
      <c r="D87" s="29" t="inlineStr">
        <is>
          <t>Aplicações</t>
        </is>
      </c>
      <c r="E87" s="35" t="n">
        <v>1</v>
      </c>
      <c r="F87" s="26">
        <f>IF(OR(B87="",E87=""),"",IFERROR(IF(ISNUMBER(INDEX(Config!$D$11:$D$20,MATCH(B87,Config!$A$11:$A$20,0))),E87*INDEX(Config!$D$11:$D$20,MATCH(B87,Config!$A$11:$A$20,0)),"cadastro de custo incompleto em Config"),"pessoa sem custo-hora em Config"))</f>
        <v>51.4285714285714</v>
      </c>
      <c r="G87" s="25">
        <f>IF(A87="","",MONTH(A87))</f>
        <v>7</v>
      </c>
      <c r="H87" s="25">
        <f>IF(A87="","",YEAR(A87))</f>
        <v>2026</v>
      </c>
      <c r="I87" s="31" t="inlineStr">
        <is>
          <t>Sim</t>
        </is>
      </c>
      <c r="J87" s="36">
        <f>IF(AND(B87&lt;&gt;"",E87&lt;&gt;"",NOT(ISNUMBER(F87))),1,0)</f>
        <v>0</v>
      </c>
    </row>
    <row r="88">
      <c r="A88" s="34" t="n">
        <v>46218</v>
      </c>
      <c r="B88" s="31" t="inlineStr">
        <is>
          <t>Bruno</t>
        </is>
      </c>
      <c r="C88" s="31" t="inlineStr">
        <is>
          <t>Gestão e reuniões</t>
        </is>
      </c>
      <c r="D88" s="29" t="inlineStr">
        <is>
          <t>Financeiro</t>
        </is>
      </c>
      <c r="E88" s="35" t="n">
        <v>1.5</v>
      </c>
      <c r="F88" s="26">
        <f>IF(OR(B88="",E88=""),"",IFERROR(IF(ISNUMBER(INDEX(Config!$D$11:$D$20,MATCH(B88,Config!$A$11:$A$20,0))),E88*INDEX(Config!$D$11:$D$20,MATCH(B88,Config!$A$11:$A$20,0)),"cadastro de custo incompleto em Config"),"pessoa sem custo-hora em Config"))</f>
        <v>77.1428571428571</v>
      </c>
      <c r="G88" s="25">
        <f>IF(A88="","",MONTH(A88))</f>
        <v>7</v>
      </c>
      <c r="H88" s="25">
        <f>IF(A88="","",YEAR(A88))</f>
        <v>2026</v>
      </c>
      <c r="I88" s="31" t="inlineStr">
        <is>
          <t>Não</t>
        </is>
      </c>
      <c r="J88" s="36">
        <f>IF(AND(B88&lt;&gt;"",E88&lt;&gt;"",NOT(ISNUMBER(F88))),1,0)</f>
        <v>0</v>
      </c>
    </row>
    <row r="89">
      <c r="A89" s="34" t="n">
        <v>46218</v>
      </c>
      <c r="B89" s="31" t="inlineStr">
        <is>
          <t>Bruno</t>
        </is>
      </c>
      <c r="C89" s="31" t="inlineStr">
        <is>
          <t>Comercial e propostas</t>
        </is>
      </c>
      <c r="D89" s="29" t="inlineStr">
        <is>
          <t>Proposta</t>
        </is>
      </c>
      <c r="E89" s="35" t="n">
        <v>5.5</v>
      </c>
      <c r="F89" s="26">
        <f>IF(OR(B89="",E89=""),"",IFERROR(IF(ISNUMBER(INDEX(Config!$D$11:$D$20,MATCH(B89,Config!$A$11:$A$20,0))),E89*INDEX(Config!$D$11:$D$20,MATCH(B89,Config!$A$11:$A$20,0)),"cadastro de custo incompleto em Config"),"pessoa sem custo-hora em Config"))</f>
        <v>282.857142857143</v>
      </c>
      <c r="G89" s="25">
        <f>IF(A89="","",MONTH(A89))</f>
        <v>7</v>
      </c>
      <c r="H89" s="25">
        <f>IF(A89="","",YEAR(A89))</f>
        <v>2026</v>
      </c>
      <c r="I89" s="31" t="inlineStr">
        <is>
          <t>Não</t>
        </is>
      </c>
      <c r="J89" s="36">
        <f>IF(AND(B89&lt;&gt;"",E89&lt;&gt;"",NOT(ISNUMBER(F89))),1,0)</f>
        <v>0</v>
      </c>
    </row>
    <row r="90">
      <c r="A90" s="34" t="n">
        <v>46218</v>
      </c>
      <c r="B90" s="31" t="inlineStr">
        <is>
          <t>Carla</t>
        </is>
      </c>
      <c r="C90" s="31" t="inlineStr">
        <is>
          <t>Comercial e propostas</t>
        </is>
      </c>
      <c r="D90" s="29" t="inlineStr">
        <is>
          <t>Proposta</t>
        </is>
      </c>
      <c r="E90" s="35" t="n">
        <v>7.5</v>
      </c>
      <c r="F90" s="26">
        <f>IF(OR(B90="",E90=""),"",IFERROR(IF(ISNUMBER(INDEX(Config!$D$11:$D$20,MATCH(B90,Config!$A$11:$A$20,0))),E90*INDEX(Config!$D$11:$D$20,MATCH(B90,Config!$A$11:$A$20,0)),"cadastro de custo incompleto em Config"),"pessoa sem custo-hora em Config"))</f>
        <v>348.214285714286</v>
      </c>
      <c r="G90" s="25">
        <f>IF(A90="","",MONTH(A90))</f>
        <v>7</v>
      </c>
      <c r="H90" s="25">
        <f>IF(A90="","",YEAR(A90))</f>
        <v>2026</v>
      </c>
      <c r="I90" s="31" t="inlineStr">
        <is>
          <t>Não</t>
        </is>
      </c>
      <c r="J90" s="36">
        <f>IF(AND(B90&lt;&gt;"",E90&lt;&gt;"",NOT(ISNUMBER(F90))),1,0)</f>
        <v>0</v>
      </c>
    </row>
    <row r="91">
      <c r="A91" s="34" t="n">
        <v>46218</v>
      </c>
      <c r="B91" s="31" t="inlineStr">
        <is>
          <t>Carla</t>
        </is>
      </c>
      <c r="C91" s="31" t="inlineStr">
        <is>
          <t>Gestão e reuniões</t>
        </is>
      </c>
      <c r="D91" s="29" t="inlineStr">
        <is>
          <t>Financeiro</t>
        </is>
      </c>
      <c r="E91" s="35" t="n">
        <v>1.5</v>
      </c>
      <c r="F91" s="26">
        <f>IF(OR(B91="",E91=""),"",IFERROR(IF(ISNUMBER(INDEX(Config!$D$11:$D$20,MATCH(B91,Config!$A$11:$A$20,0))),E91*INDEX(Config!$D$11:$D$20,MATCH(B91,Config!$A$11:$A$20,0)),"cadastro de custo incompleto em Config"),"pessoa sem custo-hora em Config"))</f>
        <v>69.6428571428571</v>
      </c>
      <c r="G91" s="25">
        <f>IF(A91="","",MONTH(A91))</f>
        <v>7</v>
      </c>
      <c r="H91" s="25">
        <f>IF(A91="","",YEAR(A91))</f>
        <v>2026</v>
      </c>
      <c r="I91" s="31" t="inlineStr">
        <is>
          <t>Não</t>
        </is>
      </c>
      <c r="J91" s="36">
        <f>IF(AND(B91&lt;&gt;"",E91&lt;&gt;"",NOT(ISNUMBER(F91))),1,0)</f>
        <v>0</v>
      </c>
    </row>
    <row r="92">
      <c r="A92" s="34" t="n">
        <v>46218</v>
      </c>
      <c r="B92" s="31" t="inlineStr">
        <is>
          <t>Diego</t>
        </is>
      </c>
      <c r="C92" s="31" t="inlineStr">
        <is>
          <t>Comercial e propostas</t>
        </is>
      </c>
      <c r="D92" s="29" t="inlineStr">
        <is>
          <t>Proposta</t>
        </is>
      </c>
      <c r="E92" s="35" t="n">
        <v>4.5</v>
      </c>
      <c r="F92" s="26">
        <f>IF(OR(B92="",E92=""),"",IFERROR(IF(ISNUMBER(INDEX(Config!$D$11:$D$20,MATCH(B92,Config!$A$11:$A$20,0))),E92*INDEX(Config!$D$11:$D$20,MATCH(B92,Config!$A$11:$A$20,0)),"cadastro de custo incompleto em Config"),"pessoa sem custo-hora em Config"))</f>
        <v>217.5</v>
      </c>
      <c r="G92" s="25">
        <f>IF(A92="","",MONTH(A92))</f>
        <v>7</v>
      </c>
      <c r="H92" s="25">
        <f>IF(A92="","",YEAR(A92))</f>
        <v>2026</v>
      </c>
      <c r="I92" s="31" t="inlineStr">
        <is>
          <t>Não</t>
        </is>
      </c>
      <c r="J92" s="36">
        <f>IF(AND(B92&lt;&gt;"",E92&lt;&gt;"",NOT(ISNUMBER(F92))),1,0)</f>
        <v>0</v>
      </c>
    </row>
    <row r="93">
      <c r="A93" s="34" t="n">
        <v>46218</v>
      </c>
      <c r="B93" s="31" t="inlineStr">
        <is>
          <t>Diego</t>
        </is>
      </c>
      <c r="C93" s="31" t="inlineStr">
        <is>
          <t>Gestão e reuniões</t>
        </is>
      </c>
      <c r="D93" s="29" t="inlineStr">
        <is>
          <t>Planejamento</t>
        </is>
      </c>
      <c r="E93" s="35" t="n">
        <v>2.5</v>
      </c>
      <c r="F93" s="26">
        <f>IF(OR(B93="",E93=""),"",IFERROR(IF(ISNUMBER(INDEX(Config!$D$11:$D$20,MATCH(B93,Config!$A$11:$A$20,0))),E93*INDEX(Config!$D$11:$D$20,MATCH(B93,Config!$A$11:$A$20,0)),"cadastro de custo incompleto em Config"),"pessoa sem custo-hora em Config"))</f>
        <v>120.833333333333</v>
      </c>
      <c r="G93" s="25">
        <f>IF(A93="","",MONTH(A93))</f>
        <v>7</v>
      </c>
      <c r="H93" s="25">
        <f>IF(A93="","",YEAR(A93))</f>
        <v>2026</v>
      </c>
      <c r="I93" s="31" t="inlineStr">
        <is>
          <t>Não</t>
        </is>
      </c>
      <c r="J93" s="36">
        <f>IF(AND(B93&lt;&gt;"",E93&lt;&gt;"",NOT(ISNUMBER(F93))),1,0)</f>
        <v>0</v>
      </c>
    </row>
    <row r="94">
      <c r="A94" s="34" t="n">
        <v>46219</v>
      </c>
      <c r="B94" s="31" t="inlineStr">
        <is>
          <t>Ana</t>
        </is>
      </c>
      <c r="C94" s="31" t="inlineStr">
        <is>
          <t>Comercial e propostas</t>
        </is>
      </c>
      <c r="D94" s="29" t="inlineStr">
        <is>
          <t>Reunião comercial</t>
        </is>
      </c>
      <c r="E94" s="35" t="n">
        <v>5</v>
      </c>
      <c r="F94" s="26">
        <f>IF(OR(B94="",E94=""),"",IFERROR(IF(ISNUMBER(INDEX(Config!$D$11:$D$20,MATCH(B94,Config!$A$11:$A$20,0))),E94*INDEX(Config!$D$11:$D$20,MATCH(B94,Config!$A$11:$A$20,0)),"cadastro de custo incompleto em Config"),"pessoa sem custo-hora em Config"))</f>
        <v>350</v>
      </c>
      <c r="G94" s="25">
        <f>IF(A94="","",MONTH(A94))</f>
        <v>7</v>
      </c>
      <c r="H94" s="25">
        <f>IF(A94="","",YEAR(A94))</f>
        <v>2026</v>
      </c>
      <c r="I94" s="31" t="inlineStr">
        <is>
          <t>Não</t>
        </is>
      </c>
      <c r="J94" s="36">
        <f>IF(AND(B94&lt;&gt;"",E94&lt;&gt;"",NOT(ISNUMBER(F94))),1,0)</f>
        <v>0</v>
      </c>
    </row>
    <row r="95">
      <c r="A95" s="34" t="n">
        <v>46219</v>
      </c>
      <c r="B95" s="31" t="inlineStr">
        <is>
          <t>Ana</t>
        </is>
      </c>
      <c r="C95" s="31" t="inlineStr">
        <is>
          <t>Gestão e reuniões</t>
        </is>
      </c>
      <c r="D95" s="29" t="inlineStr">
        <is>
          <t>Financeiro</t>
        </is>
      </c>
      <c r="E95" s="35" t="n">
        <v>2.5</v>
      </c>
      <c r="F95" s="26">
        <f>IF(OR(B95="",E95=""),"",IFERROR(IF(ISNUMBER(INDEX(Config!$D$11:$D$20,MATCH(B95,Config!$A$11:$A$20,0))),E95*INDEX(Config!$D$11:$D$20,MATCH(B95,Config!$A$11:$A$20,0)),"cadastro de custo incompleto em Config"),"pessoa sem custo-hora em Config"))</f>
        <v>175</v>
      </c>
      <c r="G95" s="25">
        <f>IF(A95="","",MONTH(A95))</f>
        <v>7</v>
      </c>
      <c r="H95" s="25">
        <f>IF(A95="","",YEAR(A95))</f>
        <v>2026</v>
      </c>
      <c r="I95" s="31" t="inlineStr">
        <is>
          <t>Não</t>
        </is>
      </c>
      <c r="J95" s="36">
        <f>IF(AND(B95&lt;&gt;"",E95&lt;&gt;"",NOT(ISNUMBER(F95))),1,0)</f>
        <v>0</v>
      </c>
    </row>
    <row r="96">
      <c r="A96" s="34" t="n">
        <v>46219</v>
      </c>
      <c r="B96" s="31" t="inlineStr">
        <is>
          <t>Bruno</t>
        </is>
      </c>
      <c r="C96" s="31" t="inlineStr">
        <is>
          <t>Identidade visual · Padaria do Sol</t>
        </is>
      </c>
      <c r="D96" s="29" t="inlineStr">
        <is>
          <t>Aplicações</t>
        </is>
      </c>
      <c r="E96" s="35" t="n">
        <v>2</v>
      </c>
      <c r="F96" s="26">
        <f>IF(OR(B96="",E96=""),"",IFERROR(IF(ISNUMBER(INDEX(Config!$D$11:$D$20,MATCH(B96,Config!$A$11:$A$20,0))),E96*INDEX(Config!$D$11:$D$20,MATCH(B96,Config!$A$11:$A$20,0)),"cadastro de custo incompleto em Config"),"pessoa sem custo-hora em Config"))</f>
        <v>102.857142857143</v>
      </c>
      <c r="G96" s="25">
        <f>IF(A96="","",MONTH(A96))</f>
        <v>7</v>
      </c>
      <c r="H96" s="25">
        <f>IF(A96="","",YEAR(A96))</f>
        <v>2026</v>
      </c>
      <c r="I96" s="31" t="inlineStr">
        <is>
          <t>Sim</t>
        </is>
      </c>
      <c r="J96" s="36">
        <f>IF(AND(B96&lt;&gt;"",E96&lt;&gt;"",NOT(ISNUMBER(F96))),1,0)</f>
        <v>0</v>
      </c>
    </row>
    <row r="97">
      <c r="A97" s="34" t="n">
        <v>46219</v>
      </c>
      <c r="B97" s="31" t="inlineStr">
        <is>
          <t>Bruno</t>
        </is>
      </c>
      <c r="C97" s="31" t="inlineStr">
        <is>
          <t>Gestão e reuniões</t>
        </is>
      </c>
      <c r="D97" s="29" t="inlineStr">
        <is>
          <t>Planejamento</t>
        </is>
      </c>
      <c r="E97" s="35" t="n">
        <v>1</v>
      </c>
      <c r="F97" s="26">
        <f>IF(OR(B97="",E97=""),"",IFERROR(IF(ISNUMBER(INDEX(Config!$D$11:$D$20,MATCH(B97,Config!$A$11:$A$20,0))),E97*INDEX(Config!$D$11:$D$20,MATCH(B97,Config!$A$11:$A$20,0)),"cadastro de custo incompleto em Config"),"pessoa sem custo-hora em Config"))</f>
        <v>51.4285714285714</v>
      </c>
      <c r="G97" s="25">
        <f>IF(A97="","",MONTH(A97))</f>
        <v>7</v>
      </c>
      <c r="H97" s="25">
        <f>IF(A97="","",YEAR(A97))</f>
        <v>2026</v>
      </c>
      <c r="I97" s="31" t="inlineStr">
        <is>
          <t>Não</t>
        </is>
      </c>
      <c r="J97" s="36">
        <f>IF(AND(B97&lt;&gt;"",E97&lt;&gt;"",NOT(ISNUMBER(F97))),1,0)</f>
        <v>0</v>
      </c>
    </row>
    <row r="98">
      <c r="A98" s="34" t="n">
        <v>46219</v>
      </c>
      <c r="B98" s="31" t="inlineStr">
        <is>
          <t>Bruno</t>
        </is>
      </c>
      <c r="C98" s="31" t="inlineStr">
        <is>
          <t>Comercial e propostas</t>
        </is>
      </c>
      <c r="D98" s="29" t="inlineStr">
        <is>
          <t>Proposta</t>
        </is>
      </c>
      <c r="E98" s="35" t="n">
        <v>4</v>
      </c>
      <c r="F98" s="26">
        <f>IF(OR(B98="",E98=""),"",IFERROR(IF(ISNUMBER(INDEX(Config!$D$11:$D$20,MATCH(B98,Config!$A$11:$A$20,0))),E98*INDEX(Config!$D$11:$D$20,MATCH(B98,Config!$A$11:$A$20,0)),"cadastro de custo incompleto em Config"),"pessoa sem custo-hora em Config"))</f>
        <v>205.714285714286</v>
      </c>
      <c r="G98" s="25">
        <f>IF(A98="","",MONTH(A98))</f>
        <v>7</v>
      </c>
      <c r="H98" s="25">
        <f>IF(A98="","",YEAR(A98))</f>
        <v>2026</v>
      </c>
      <c r="I98" s="31" t="inlineStr">
        <is>
          <t>Não</t>
        </is>
      </c>
      <c r="J98" s="36">
        <f>IF(AND(B98&lt;&gt;"",E98&lt;&gt;"",NOT(ISNUMBER(F98))),1,0)</f>
        <v>0</v>
      </c>
    </row>
    <row r="99">
      <c r="A99" s="34" t="n">
        <v>46219</v>
      </c>
      <c r="B99" s="31" t="inlineStr">
        <is>
          <t>Carla</t>
        </is>
      </c>
      <c r="C99" s="31" t="inlineStr">
        <is>
          <t>Comercial e propostas</t>
        </is>
      </c>
      <c r="D99" s="29" t="inlineStr">
        <is>
          <t>Reunião comercial</t>
        </is>
      </c>
      <c r="E99" s="35" t="n">
        <v>6.5</v>
      </c>
      <c r="F99" s="26">
        <f>IF(OR(B99="",E99=""),"",IFERROR(IF(ISNUMBER(INDEX(Config!$D$11:$D$20,MATCH(B99,Config!$A$11:$A$20,0))),E99*INDEX(Config!$D$11:$D$20,MATCH(B99,Config!$A$11:$A$20,0)),"cadastro de custo incompleto em Config"),"pessoa sem custo-hora em Config"))</f>
        <v>301.785714285714</v>
      </c>
      <c r="G99" s="25">
        <f>IF(A99="","",MONTH(A99))</f>
        <v>7</v>
      </c>
      <c r="H99" s="25">
        <f>IF(A99="","",YEAR(A99))</f>
        <v>2026</v>
      </c>
      <c r="I99" s="31" t="inlineStr">
        <is>
          <t>Não</t>
        </is>
      </c>
      <c r="J99" s="36">
        <f>IF(AND(B99&lt;&gt;"",E99&lt;&gt;"",NOT(ISNUMBER(F99))),1,0)</f>
        <v>0</v>
      </c>
    </row>
    <row r="100">
      <c r="A100" s="34" t="n">
        <v>46219</v>
      </c>
      <c r="B100" s="31" t="inlineStr">
        <is>
          <t>Carla</t>
        </is>
      </c>
      <c r="C100" s="31" t="inlineStr">
        <is>
          <t>Gestão e reuniões</t>
        </is>
      </c>
      <c r="D100" s="29" t="inlineStr">
        <is>
          <t>Planejamento</t>
        </is>
      </c>
      <c r="E100" s="35" t="n">
        <v>0.5</v>
      </c>
      <c r="F100" s="26">
        <f>IF(OR(B100="",E100=""),"",IFERROR(IF(ISNUMBER(INDEX(Config!$D$11:$D$20,MATCH(B100,Config!$A$11:$A$20,0))),E100*INDEX(Config!$D$11:$D$20,MATCH(B100,Config!$A$11:$A$20,0)),"cadastro de custo incompleto em Config"),"pessoa sem custo-hora em Config"))</f>
        <v>23.2142857142857</v>
      </c>
      <c r="G100" s="25">
        <f>IF(A100="","",MONTH(A100))</f>
        <v>7</v>
      </c>
      <c r="H100" s="25">
        <f>IF(A100="","",YEAR(A100))</f>
        <v>2026</v>
      </c>
      <c r="I100" s="31" t="inlineStr">
        <is>
          <t>Não</t>
        </is>
      </c>
      <c r="J100" s="36">
        <f>IF(AND(B100&lt;&gt;"",E100&lt;&gt;"",NOT(ISNUMBER(F100))),1,0)</f>
        <v>0</v>
      </c>
    </row>
    <row r="101">
      <c r="A101" s="34" t="n">
        <v>46219</v>
      </c>
      <c r="B101" s="31" t="inlineStr">
        <is>
          <t>Diego</t>
        </is>
      </c>
      <c r="C101" s="31" t="inlineStr">
        <is>
          <t>Comercial e propostas</t>
        </is>
      </c>
      <c r="D101" s="29" t="inlineStr">
        <is>
          <t>Reunião comercial</t>
        </is>
      </c>
      <c r="E101" s="35" t="n">
        <v>3.5</v>
      </c>
      <c r="F101" s="26">
        <f>IF(OR(B101="",E101=""),"",IFERROR(IF(ISNUMBER(INDEX(Config!$D$11:$D$20,MATCH(B101,Config!$A$11:$A$20,0))),E101*INDEX(Config!$D$11:$D$20,MATCH(B101,Config!$A$11:$A$20,0)),"cadastro de custo incompleto em Config"),"pessoa sem custo-hora em Config"))</f>
        <v>169.166666666667</v>
      </c>
      <c r="G101" s="25">
        <f>IF(A101="","",MONTH(A101))</f>
        <v>7</v>
      </c>
      <c r="H101" s="25">
        <f>IF(A101="","",YEAR(A101))</f>
        <v>2026</v>
      </c>
      <c r="I101" s="31" t="inlineStr">
        <is>
          <t>Não</t>
        </is>
      </c>
      <c r="J101" s="36">
        <f>IF(AND(B101&lt;&gt;"",E101&lt;&gt;"",NOT(ISNUMBER(F101))),1,0)</f>
        <v>0</v>
      </c>
    </row>
    <row r="102">
      <c r="A102" s="34" t="n">
        <v>46219</v>
      </c>
      <c r="B102" s="31" t="inlineStr">
        <is>
          <t>Diego</t>
        </is>
      </c>
      <c r="C102" s="31" t="inlineStr">
        <is>
          <t>Gestão e reuniões</t>
        </is>
      </c>
      <c r="D102" s="29" t="inlineStr">
        <is>
          <t>Semanal</t>
        </is>
      </c>
      <c r="E102" s="35" t="n">
        <v>2.5</v>
      </c>
      <c r="F102" s="26">
        <f>IF(OR(B102="",E102=""),"",IFERROR(IF(ISNUMBER(INDEX(Config!$D$11:$D$20,MATCH(B102,Config!$A$11:$A$20,0))),E102*INDEX(Config!$D$11:$D$20,MATCH(B102,Config!$A$11:$A$20,0)),"cadastro de custo incompleto em Config"),"pessoa sem custo-hora em Config"))</f>
        <v>120.833333333333</v>
      </c>
      <c r="G102" s="25">
        <f>IF(A102="","",MONTH(A102))</f>
        <v>7</v>
      </c>
      <c r="H102" s="25">
        <f>IF(A102="","",YEAR(A102))</f>
        <v>2026</v>
      </c>
      <c r="I102" s="31" t="inlineStr">
        <is>
          <t>Não</t>
        </is>
      </c>
      <c r="J102" s="36">
        <f>IF(AND(B102&lt;&gt;"",E102&lt;&gt;"",NOT(ISNUMBER(F102))),1,0)</f>
        <v>0</v>
      </c>
    </row>
    <row r="103">
      <c r="A103" s="34" t="n">
        <v>46220</v>
      </c>
      <c r="B103" s="31" t="inlineStr">
        <is>
          <t>Ana</t>
        </is>
      </c>
      <c r="C103" s="31" t="inlineStr">
        <is>
          <t>Comercial e propostas</t>
        </is>
      </c>
      <c r="D103" s="29" t="inlineStr">
        <is>
          <t>Proposta</t>
        </is>
      </c>
      <c r="E103" s="35" t="n">
        <v>4</v>
      </c>
      <c r="F103" s="26">
        <f>IF(OR(B103="",E103=""),"",IFERROR(IF(ISNUMBER(INDEX(Config!$D$11:$D$20,MATCH(B103,Config!$A$11:$A$20,0))),E103*INDEX(Config!$D$11:$D$20,MATCH(B103,Config!$A$11:$A$20,0)),"cadastro de custo incompleto em Config"),"pessoa sem custo-hora em Config"))</f>
        <v>280</v>
      </c>
      <c r="G103" s="25">
        <f>IF(A103="","",MONTH(A103))</f>
        <v>7</v>
      </c>
      <c r="H103" s="25">
        <f>IF(A103="","",YEAR(A103))</f>
        <v>2026</v>
      </c>
      <c r="I103" s="31" t="inlineStr">
        <is>
          <t>Não</t>
        </is>
      </c>
      <c r="J103" s="36">
        <f>IF(AND(B103&lt;&gt;"",E103&lt;&gt;"",NOT(ISNUMBER(F103))),1,0)</f>
        <v>0</v>
      </c>
    </row>
    <row r="104">
      <c r="A104" s="34" t="n">
        <v>46220</v>
      </c>
      <c r="B104" s="31" t="inlineStr">
        <is>
          <t>Ana</t>
        </is>
      </c>
      <c r="C104" s="31" t="inlineStr">
        <is>
          <t>Gestão e reuniões</t>
        </is>
      </c>
      <c r="D104" s="29" t="inlineStr">
        <is>
          <t>Financeiro</t>
        </is>
      </c>
      <c r="E104" s="35" t="n">
        <v>2.5</v>
      </c>
      <c r="F104" s="26">
        <f>IF(OR(B104="",E104=""),"",IFERROR(IF(ISNUMBER(INDEX(Config!$D$11:$D$20,MATCH(B104,Config!$A$11:$A$20,0))),E104*INDEX(Config!$D$11:$D$20,MATCH(B104,Config!$A$11:$A$20,0)),"cadastro de custo incompleto em Config"),"pessoa sem custo-hora em Config"))</f>
        <v>175</v>
      </c>
      <c r="G104" s="25">
        <f>IF(A104="","",MONTH(A104))</f>
        <v>7</v>
      </c>
      <c r="H104" s="25">
        <f>IF(A104="","",YEAR(A104))</f>
        <v>2026</v>
      </c>
      <c r="I104" s="31" t="inlineStr">
        <is>
          <t>Não</t>
        </is>
      </c>
      <c r="J104" s="36">
        <f>IF(AND(B104&lt;&gt;"",E104&lt;&gt;"",NOT(ISNUMBER(F104))),1,0)</f>
        <v>0</v>
      </c>
    </row>
    <row r="105">
      <c r="A105" s="34" t="n">
        <v>46220</v>
      </c>
      <c r="B105" s="31" t="inlineStr">
        <is>
          <t>Bruno</t>
        </is>
      </c>
      <c r="C105" s="31" t="inlineStr">
        <is>
          <t>Identidade visual · Padaria do Sol</t>
        </is>
      </c>
      <c r="D105" s="29" t="inlineStr">
        <is>
          <t>Aplicações</t>
        </is>
      </c>
      <c r="E105" s="35" t="n">
        <v>2.5</v>
      </c>
      <c r="F105" s="26">
        <f>IF(OR(B105="",E105=""),"",IFERROR(IF(ISNUMBER(INDEX(Config!$D$11:$D$20,MATCH(B105,Config!$A$11:$A$20,0))),E105*INDEX(Config!$D$11:$D$20,MATCH(B105,Config!$A$11:$A$20,0)),"cadastro de custo incompleto em Config"),"pessoa sem custo-hora em Config"))</f>
        <v>128.571428571429</v>
      </c>
      <c r="G105" s="25">
        <f>IF(A105="","",MONTH(A105))</f>
        <v>7</v>
      </c>
      <c r="H105" s="25">
        <f>IF(A105="","",YEAR(A105))</f>
        <v>2026</v>
      </c>
      <c r="I105" s="31" t="inlineStr">
        <is>
          <t>Sim</t>
        </is>
      </c>
      <c r="J105" s="36">
        <f>IF(AND(B105&lt;&gt;"",E105&lt;&gt;"",NOT(ISNUMBER(F105))),1,0)</f>
        <v>0</v>
      </c>
    </row>
    <row r="106">
      <c r="A106" s="34" t="n">
        <v>46220</v>
      </c>
      <c r="B106" s="31" t="inlineStr">
        <is>
          <t>Bruno</t>
        </is>
      </c>
      <c r="C106" s="31" t="inlineStr">
        <is>
          <t>Gestão e reuniões</t>
        </is>
      </c>
      <c r="D106" s="29" t="inlineStr">
        <is>
          <t>Financeiro</t>
        </is>
      </c>
      <c r="E106" s="35" t="n">
        <v>1.5</v>
      </c>
      <c r="F106" s="26">
        <f>IF(OR(B106="",E106=""),"",IFERROR(IF(ISNUMBER(INDEX(Config!$D$11:$D$20,MATCH(B106,Config!$A$11:$A$20,0))),E106*INDEX(Config!$D$11:$D$20,MATCH(B106,Config!$A$11:$A$20,0)),"cadastro de custo incompleto em Config"),"pessoa sem custo-hora em Config"))</f>
        <v>77.1428571428571</v>
      </c>
      <c r="G106" s="25">
        <f>IF(A106="","",MONTH(A106))</f>
        <v>7</v>
      </c>
      <c r="H106" s="25">
        <f>IF(A106="","",YEAR(A106))</f>
        <v>2026</v>
      </c>
      <c r="I106" s="31" t="inlineStr">
        <is>
          <t>Não</t>
        </is>
      </c>
      <c r="J106" s="36">
        <f>IF(AND(B106&lt;&gt;"",E106&lt;&gt;"",NOT(ISNUMBER(F106))),1,0)</f>
        <v>0</v>
      </c>
    </row>
    <row r="107">
      <c r="A107" s="34" t="n">
        <v>46220</v>
      </c>
      <c r="B107" s="31" t="inlineStr">
        <is>
          <t>Bruno</t>
        </is>
      </c>
      <c r="C107" s="31" t="inlineStr">
        <is>
          <t>Comercial e propostas</t>
        </is>
      </c>
      <c r="D107" s="29" t="inlineStr">
        <is>
          <t>Reunião comercial</t>
        </is>
      </c>
      <c r="E107" s="35" t="n">
        <v>5</v>
      </c>
      <c r="F107" s="26">
        <f>IF(OR(B107="",E107=""),"",IFERROR(IF(ISNUMBER(INDEX(Config!$D$11:$D$20,MATCH(B107,Config!$A$11:$A$20,0))),E107*INDEX(Config!$D$11:$D$20,MATCH(B107,Config!$A$11:$A$20,0)),"cadastro de custo incompleto em Config"),"pessoa sem custo-hora em Config"))</f>
        <v>257.142857142857</v>
      </c>
      <c r="G107" s="25">
        <f>IF(A107="","",MONTH(A107))</f>
        <v>7</v>
      </c>
      <c r="H107" s="25">
        <f>IF(A107="","",YEAR(A107))</f>
        <v>2026</v>
      </c>
      <c r="I107" s="31" t="inlineStr">
        <is>
          <t>Não</t>
        </is>
      </c>
      <c r="J107" s="36">
        <f>IF(AND(B107&lt;&gt;"",E107&lt;&gt;"",NOT(ISNUMBER(F107))),1,0)</f>
        <v>0</v>
      </c>
    </row>
    <row r="108">
      <c r="A108" s="34" t="n">
        <v>46220</v>
      </c>
      <c r="B108" s="31" t="inlineStr">
        <is>
          <t>Carla</t>
        </is>
      </c>
      <c r="C108" s="31" t="inlineStr">
        <is>
          <t>Comercial e propostas</t>
        </is>
      </c>
      <c r="D108" s="29" t="inlineStr">
        <is>
          <t>Proposta</t>
        </is>
      </c>
      <c r="E108" s="35" t="n">
        <v>6.5</v>
      </c>
      <c r="F108" s="26">
        <f>IF(OR(B108="",E108=""),"",IFERROR(IF(ISNUMBER(INDEX(Config!$D$11:$D$20,MATCH(B108,Config!$A$11:$A$20,0))),E108*INDEX(Config!$D$11:$D$20,MATCH(B108,Config!$A$11:$A$20,0)),"cadastro de custo incompleto em Config"),"pessoa sem custo-hora em Config"))</f>
        <v>301.785714285714</v>
      </c>
      <c r="G108" s="25">
        <f>IF(A108="","",MONTH(A108))</f>
        <v>7</v>
      </c>
      <c r="H108" s="25">
        <f>IF(A108="","",YEAR(A108))</f>
        <v>2026</v>
      </c>
      <c r="I108" s="31" t="inlineStr">
        <is>
          <t>Não</t>
        </is>
      </c>
      <c r="J108" s="36">
        <f>IF(AND(B108&lt;&gt;"",E108&lt;&gt;"",NOT(ISNUMBER(F108))),1,0)</f>
        <v>0</v>
      </c>
    </row>
    <row r="109">
      <c r="A109" s="34" t="n">
        <v>46220</v>
      </c>
      <c r="B109" s="31" t="inlineStr">
        <is>
          <t>Carla</t>
        </is>
      </c>
      <c r="C109" s="31" t="inlineStr">
        <is>
          <t>Gestão e reuniões</t>
        </is>
      </c>
      <c r="D109" s="29" t="inlineStr">
        <is>
          <t>Financeiro</t>
        </is>
      </c>
      <c r="E109" s="35" t="n">
        <v>1.5</v>
      </c>
      <c r="F109" s="26">
        <f>IF(OR(B109="",E109=""),"",IFERROR(IF(ISNUMBER(INDEX(Config!$D$11:$D$20,MATCH(B109,Config!$A$11:$A$20,0))),E109*INDEX(Config!$D$11:$D$20,MATCH(B109,Config!$A$11:$A$20,0)),"cadastro de custo incompleto em Config"),"pessoa sem custo-hora em Config"))</f>
        <v>69.6428571428571</v>
      </c>
      <c r="G109" s="25">
        <f>IF(A109="","",MONTH(A109))</f>
        <v>7</v>
      </c>
      <c r="H109" s="25">
        <f>IF(A109="","",YEAR(A109))</f>
        <v>2026</v>
      </c>
      <c r="I109" s="31" t="inlineStr">
        <is>
          <t>Não</t>
        </is>
      </c>
      <c r="J109" s="36">
        <f>IF(AND(B109&lt;&gt;"",E109&lt;&gt;"",NOT(ISNUMBER(F109))),1,0)</f>
        <v>0</v>
      </c>
    </row>
    <row r="110">
      <c r="A110" s="34" t="n">
        <v>46220</v>
      </c>
      <c r="B110" s="31" t="inlineStr">
        <is>
          <t>Diego</t>
        </is>
      </c>
      <c r="C110" s="31" t="inlineStr">
        <is>
          <t>Comercial e propostas</t>
        </is>
      </c>
      <c r="D110" s="29" t="inlineStr">
        <is>
          <t>Reunião comercial</t>
        </is>
      </c>
      <c r="E110" s="35" t="n">
        <v>4</v>
      </c>
      <c r="F110" s="26">
        <f>IF(OR(B110="",E110=""),"",IFERROR(IF(ISNUMBER(INDEX(Config!$D$11:$D$20,MATCH(B110,Config!$A$11:$A$20,0))),E110*INDEX(Config!$D$11:$D$20,MATCH(B110,Config!$A$11:$A$20,0)),"cadastro de custo incompleto em Config"),"pessoa sem custo-hora em Config"))</f>
        <v>193.333333333333</v>
      </c>
      <c r="G110" s="25">
        <f>IF(A110="","",MONTH(A110))</f>
        <v>7</v>
      </c>
      <c r="H110" s="25">
        <f>IF(A110="","",YEAR(A110))</f>
        <v>2026</v>
      </c>
      <c r="I110" s="31" t="inlineStr">
        <is>
          <t>Não</t>
        </is>
      </c>
      <c r="J110" s="36">
        <f>IF(AND(B110&lt;&gt;"",E110&lt;&gt;"",NOT(ISNUMBER(F110))),1,0)</f>
        <v>0</v>
      </c>
    </row>
    <row r="111">
      <c r="A111" s="34" t="n">
        <v>46220</v>
      </c>
      <c r="B111" s="31" t="inlineStr">
        <is>
          <t>Diego</t>
        </is>
      </c>
      <c r="C111" s="31" t="inlineStr">
        <is>
          <t>Gestão e reuniões</t>
        </is>
      </c>
      <c r="D111" s="29" t="inlineStr">
        <is>
          <t>Semanal</t>
        </is>
      </c>
      <c r="E111" s="35" t="n">
        <v>2.5</v>
      </c>
      <c r="F111" s="26">
        <f>IF(OR(B111="",E111=""),"",IFERROR(IF(ISNUMBER(INDEX(Config!$D$11:$D$20,MATCH(B111,Config!$A$11:$A$20,0))),E111*INDEX(Config!$D$11:$D$20,MATCH(B111,Config!$A$11:$A$20,0)),"cadastro de custo incompleto em Config"),"pessoa sem custo-hora em Config"))</f>
        <v>120.833333333333</v>
      </c>
      <c r="G111" s="25">
        <f>IF(A111="","",MONTH(A111))</f>
        <v>7</v>
      </c>
      <c r="H111" s="25">
        <f>IF(A111="","",YEAR(A111))</f>
        <v>2026</v>
      </c>
      <c r="I111" s="31" t="inlineStr">
        <is>
          <t>Não</t>
        </is>
      </c>
      <c r="J111" s="36">
        <f>IF(AND(B111&lt;&gt;"",E111&lt;&gt;"",NOT(ISNUMBER(F111))),1,0)</f>
        <v>0</v>
      </c>
    </row>
    <row r="112">
      <c r="A112" s="34" t="n">
        <v>46223</v>
      </c>
      <c r="B112" s="31" t="inlineStr">
        <is>
          <t>Ana</t>
        </is>
      </c>
      <c r="C112" s="31" t="inlineStr">
        <is>
          <t>Comercial e propostas</t>
        </is>
      </c>
      <c r="D112" s="29" t="inlineStr">
        <is>
          <t>Proposta</t>
        </is>
      </c>
      <c r="E112" s="35" t="n">
        <v>4.5</v>
      </c>
      <c r="F112" s="26">
        <f>IF(OR(B112="",E112=""),"",IFERROR(IF(ISNUMBER(INDEX(Config!$D$11:$D$20,MATCH(B112,Config!$A$11:$A$20,0))),E112*INDEX(Config!$D$11:$D$20,MATCH(B112,Config!$A$11:$A$20,0)),"cadastro de custo incompleto em Config"),"pessoa sem custo-hora em Config"))</f>
        <v>315</v>
      </c>
      <c r="G112" s="25">
        <f>IF(A112="","",MONTH(A112))</f>
        <v>7</v>
      </c>
      <c r="H112" s="25">
        <f>IF(A112="","",YEAR(A112))</f>
        <v>2026</v>
      </c>
      <c r="I112" s="31" t="inlineStr">
        <is>
          <t>Não</t>
        </is>
      </c>
      <c r="J112" s="36">
        <f>IF(AND(B112&lt;&gt;"",E112&lt;&gt;"",NOT(ISNUMBER(F112))),1,0)</f>
        <v>0</v>
      </c>
    </row>
    <row r="113">
      <c r="A113" s="34" t="n">
        <v>46223</v>
      </c>
      <c r="B113" s="31" t="inlineStr">
        <is>
          <t>Ana</t>
        </is>
      </c>
      <c r="C113" s="31" t="inlineStr">
        <is>
          <t>Gestão e reuniões</t>
        </is>
      </c>
      <c r="D113" s="29" t="inlineStr">
        <is>
          <t>Financeiro</t>
        </is>
      </c>
      <c r="E113" s="35" t="n">
        <v>3.5</v>
      </c>
      <c r="F113" s="26">
        <f>IF(OR(B113="",E113=""),"",IFERROR(IF(ISNUMBER(INDEX(Config!$D$11:$D$20,MATCH(B113,Config!$A$11:$A$20,0))),E113*INDEX(Config!$D$11:$D$20,MATCH(B113,Config!$A$11:$A$20,0)),"cadastro de custo incompleto em Config"),"pessoa sem custo-hora em Config"))</f>
        <v>245</v>
      </c>
      <c r="G113" s="25">
        <f>IF(A113="","",MONTH(A113))</f>
        <v>7</v>
      </c>
      <c r="H113" s="25">
        <f>IF(A113="","",YEAR(A113))</f>
        <v>2026</v>
      </c>
      <c r="I113" s="31" t="inlineStr">
        <is>
          <t>Não</t>
        </is>
      </c>
      <c r="J113" s="36">
        <f>IF(AND(B113&lt;&gt;"",E113&lt;&gt;"",NOT(ISNUMBER(F113))),1,0)</f>
        <v>0</v>
      </c>
    </row>
    <row r="114">
      <c r="A114" s="34" t="n">
        <v>46223</v>
      </c>
      <c r="B114" s="31" t="inlineStr">
        <is>
          <t>Bruno</t>
        </is>
      </c>
      <c r="C114" s="31" t="inlineStr">
        <is>
          <t>Identidade visual · Padaria do Sol</t>
        </is>
      </c>
      <c r="D114" s="29" t="inlineStr">
        <is>
          <t>Aplicações</t>
        </is>
      </c>
      <c r="E114" s="35" t="n">
        <v>1.5</v>
      </c>
      <c r="F114" s="26">
        <f>IF(OR(B114="",E114=""),"",IFERROR(IF(ISNUMBER(INDEX(Config!$D$11:$D$20,MATCH(B114,Config!$A$11:$A$20,0))),E114*INDEX(Config!$D$11:$D$20,MATCH(B114,Config!$A$11:$A$20,0)),"cadastro de custo incompleto em Config"),"pessoa sem custo-hora em Config"))</f>
        <v>77.1428571428571</v>
      </c>
      <c r="G114" s="25">
        <f>IF(A114="","",MONTH(A114))</f>
        <v>7</v>
      </c>
      <c r="H114" s="25">
        <f>IF(A114="","",YEAR(A114))</f>
        <v>2026</v>
      </c>
      <c r="I114" s="31" t="inlineStr">
        <is>
          <t>Sim</t>
        </is>
      </c>
      <c r="J114" s="36">
        <f>IF(AND(B114&lt;&gt;"",E114&lt;&gt;"",NOT(ISNUMBER(F114))),1,0)</f>
        <v>0</v>
      </c>
    </row>
    <row r="115">
      <c r="A115" s="34" t="n">
        <v>46223</v>
      </c>
      <c r="B115" s="31" t="inlineStr">
        <is>
          <t>Bruno</t>
        </is>
      </c>
      <c r="C115" s="31" t="inlineStr">
        <is>
          <t>Gestão e reuniões</t>
        </is>
      </c>
      <c r="D115" s="29" t="inlineStr">
        <is>
          <t>Semanal</t>
        </is>
      </c>
      <c r="E115" s="35" t="n">
        <v>1.5</v>
      </c>
      <c r="F115" s="26">
        <f>IF(OR(B115="",E115=""),"",IFERROR(IF(ISNUMBER(INDEX(Config!$D$11:$D$20,MATCH(B115,Config!$A$11:$A$20,0))),E115*INDEX(Config!$D$11:$D$20,MATCH(B115,Config!$A$11:$A$20,0)),"cadastro de custo incompleto em Config"),"pessoa sem custo-hora em Config"))</f>
        <v>77.1428571428571</v>
      </c>
      <c r="G115" s="25">
        <f>IF(A115="","",MONTH(A115))</f>
        <v>7</v>
      </c>
      <c r="H115" s="25">
        <f>IF(A115="","",YEAR(A115))</f>
        <v>2026</v>
      </c>
      <c r="I115" s="31" t="inlineStr">
        <is>
          <t>Não</t>
        </is>
      </c>
      <c r="J115" s="36">
        <f>IF(AND(B115&lt;&gt;"",E115&lt;&gt;"",NOT(ISNUMBER(F115))),1,0)</f>
        <v>0</v>
      </c>
    </row>
    <row r="116">
      <c r="A116" s="34" t="n">
        <v>46223</v>
      </c>
      <c r="B116" s="31" t="inlineStr">
        <is>
          <t>Bruno</t>
        </is>
      </c>
      <c r="C116" s="31" t="inlineStr">
        <is>
          <t>Comercial e propostas</t>
        </is>
      </c>
      <c r="D116" s="29" t="inlineStr">
        <is>
          <t>Reunião comercial</t>
        </is>
      </c>
      <c r="E116" s="35" t="n">
        <v>6.5</v>
      </c>
      <c r="F116" s="26">
        <f>IF(OR(B116="",E116=""),"",IFERROR(IF(ISNUMBER(INDEX(Config!$D$11:$D$20,MATCH(B116,Config!$A$11:$A$20,0))),E116*INDEX(Config!$D$11:$D$20,MATCH(B116,Config!$A$11:$A$20,0)),"cadastro de custo incompleto em Config"),"pessoa sem custo-hora em Config"))</f>
        <v>334.285714285714</v>
      </c>
      <c r="G116" s="25">
        <f>IF(A116="","",MONTH(A116))</f>
        <v>7</v>
      </c>
      <c r="H116" s="25">
        <f>IF(A116="","",YEAR(A116))</f>
        <v>2026</v>
      </c>
      <c r="I116" s="31" t="inlineStr">
        <is>
          <t>Não</t>
        </is>
      </c>
      <c r="J116" s="36">
        <f>IF(AND(B116&lt;&gt;"",E116&lt;&gt;"",NOT(ISNUMBER(F116))),1,0)</f>
        <v>0</v>
      </c>
    </row>
    <row r="117">
      <c r="A117" s="34" t="n">
        <v>46223</v>
      </c>
      <c r="B117" s="31" t="inlineStr">
        <is>
          <t>Carla</t>
        </is>
      </c>
      <c r="C117" s="31" t="inlineStr">
        <is>
          <t>Comercial e propostas</t>
        </is>
      </c>
      <c r="D117" s="29" t="inlineStr">
        <is>
          <t>Reunião comercial</t>
        </is>
      </c>
      <c r="E117" s="35" t="n">
        <v>7.5</v>
      </c>
      <c r="F117" s="26">
        <f>IF(OR(B117="",E117=""),"",IFERROR(IF(ISNUMBER(INDEX(Config!$D$11:$D$20,MATCH(B117,Config!$A$11:$A$20,0))),E117*INDEX(Config!$D$11:$D$20,MATCH(B117,Config!$A$11:$A$20,0)),"cadastro de custo incompleto em Config"),"pessoa sem custo-hora em Config"))</f>
        <v>348.214285714286</v>
      </c>
      <c r="G117" s="25">
        <f>IF(A117="","",MONTH(A117))</f>
        <v>7</v>
      </c>
      <c r="H117" s="25">
        <f>IF(A117="","",YEAR(A117))</f>
        <v>2026</v>
      </c>
      <c r="I117" s="31" t="inlineStr">
        <is>
          <t>Não</t>
        </is>
      </c>
      <c r="J117" s="36">
        <f>IF(AND(B117&lt;&gt;"",E117&lt;&gt;"",NOT(ISNUMBER(F117))),1,0)</f>
        <v>0</v>
      </c>
    </row>
    <row r="118">
      <c r="A118" s="34" t="n">
        <v>46223</v>
      </c>
      <c r="B118" s="31" t="inlineStr">
        <is>
          <t>Carla</t>
        </is>
      </c>
      <c r="C118" s="31" t="inlineStr">
        <is>
          <t>Gestão e reuniões</t>
        </is>
      </c>
      <c r="D118" s="29" t="inlineStr">
        <is>
          <t>Planejamento</t>
        </is>
      </c>
      <c r="E118" s="35" t="n">
        <v>1.5</v>
      </c>
      <c r="F118" s="26">
        <f>IF(OR(B118="",E118=""),"",IFERROR(IF(ISNUMBER(INDEX(Config!$D$11:$D$20,MATCH(B118,Config!$A$11:$A$20,0))),E118*INDEX(Config!$D$11:$D$20,MATCH(B118,Config!$A$11:$A$20,0)),"cadastro de custo incompleto em Config"),"pessoa sem custo-hora em Config"))</f>
        <v>69.6428571428571</v>
      </c>
      <c r="G118" s="25">
        <f>IF(A118="","",MONTH(A118))</f>
        <v>7</v>
      </c>
      <c r="H118" s="25">
        <f>IF(A118="","",YEAR(A118))</f>
        <v>2026</v>
      </c>
      <c r="I118" s="31" t="inlineStr">
        <is>
          <t>Não</t>
        </is>
      </c>
      <c r="J118" s="36">
        <f>IF(AND(B118&lt;&gt;"",E118&lt;&gt;"",NOT(ISNUMBER(F118))),1,0)</f>
        <v>0</v>
      </c>
    </row>
    <row r="119">
      <c r="A119" s="34" t="n">
        <v>46223</v>
      </c>
      <c r="B119" s="31" t="inlineStr">
        <is>
          <t>Diego</t>
        </is>
      </c>
      <c r="C119" s="31" t="inlineStr">
        <is>
          <t>Comercial e propostas</t>
        </is>
      </c>
      <c r="D119" s="29" t="inlineStr">
        <is>
          <t>Proposta</t>
        </is>
      </c>
      <c r="E119" s="35" t="n">
        <v>4</v>
      </c>
      <c r="F119" s="26">
        <f>IF(OR(B119="",E119=""),"",IFERROR(IF(ISNUMBER(INDEX(Config!$D$11:$D$20,MATCH(B119,Config!$A$11:$A$20,0))),E119*INDEX(Config!$D$11:$D$20,MATCH(B119,Config!$A$11:$A$20,0)),"cadastro de custo incompleto em Config"),"pessoa sem custo-hora em Config"))</f>
        <v>193.333333333333</v>
      </c>
      <c r="G119" s="25">
        <f>IF(A119="","",MONTH(A119))</f>
        <v>7</v>
      </c>
      <c r="H119" s="25">
        <f>IF(A119="","",YEAR(A119))</f>
        <v>2026</v>
      </c>
      <c r="I119" s="31" t="inlineStr">
        <is>
          <t>Não</t>
        </is>
      </c>
      <c r="J119" s="36">
        <f>IF(AND(B119&lt;&gt;"",E119&lt;&gt;"",NOT(ISNUMBER(F119))),1,0)</f>
        <v>0</v>
      </c>
    </row>
    <row r="120">
      <c r="A120" s="34" t="n">
        <v>46223</v>
      </c>
      <c r="B120" s="31" t="inlineStr">
        <is>
          <t>Diego</t>
        </is>
      </c>
      <c r="C120" s="31" t="inlineStr">
        <is>
          <t>Gestão e reuniões</t>
        </is>
      </c>
      <c r="D120" s="29" t="inlineStr">
        <is>
          <t>Planejamento</t>
        </is>
      </c>
      <c r="E120" s="35" t="n">
        <v>3</v>
      </c>
      <c r="F120" s="26">
        <f>IF(OR(B120="",E120=""),"",IFERROR(IF(ISNUMBER(INDEX(Config!$D$11:$D$20,MATCH(B120,Config!$A$11:$A$20,0))),E120*INDEX(Config!$D$11:$D$20,MATCH(B120,Config!$A$11:$A$20,0)),"cadastro de custo incompleto em Config"),"pessoa sem custo-hora em Config"))</f>
        <v>145</v>
      </c>
      <c r="G120" s="25">
        <f>IF(A120="","",MONTH(A120))</f>
        <v>7</v>
      </c>
      <c r="H120" s="25">
        <f>IF(A120="","",YEAR(A120))</f>
        <v>2026</v>
      </c>
      <c r="I120" s="31" t="inlineStr">
        <is>
          <t>Não</t>
        </is>
      </c>
      <c r="J120" s="36">
        <f>IF(AND(B120&lt;&gt;"",E120&lt;&gt;"",NOT(ISNUMBER(F120))),1,0)</f>
        <v>0</v>
      </c>
    </row>
    <row r="121">
      <c r="A121" s="34" t="n">
        <v>46224</v>
      </c>
      <c r="B121" s="31" t="inlineStr">
        <is>
          <t>Ana</t>
        </is>
      </c>
      <c r="C121" s="31" t="inlineStr">
        <is>
          <t>Comercial e propostas</t>
        </is>
      </c>
      <c r="D121" s="29" t="inlineStr">
        <is>
          <t>Reunião comercial</t>
        </is>
      </c>
      <c r="E121" s="35" t="n">
        <v>4</v>
      </c>
      <c r="F121" s="26">
        <f>IF(OR(B121="",E121=""),"",IFERROR(IF(ISNUMBER(INDEX(Config!$D$11:$D$20,MATCH(B121,Config!$A$11:$A$20,0))),E121*INDEX(Config!$D$11:$D$20,MATCH(B121,Config!$A$11:$A$20,0)),"cadastro de custo incompleto em Config"),"pessoa sem custo-hora em Config"))</f>
        <v>280</v>
      </c>
      <c r="G121" s="25">
        <f>IF(A121="","",MONTH(A121))</f>
        <v>7</v>
      </c>
      <c r="H121" s="25">
        <f>IF(A121="","",YEAR(A121))</f>
        <v>2026</v>
      </c>
      <c r="I121" s="31" t="inlineStr">
        <is>
          <t>Não</t>
        </is>
      </c>
      <c r="J121" s="36">
        <f>IF(AND(B121&lt;&gt;"",E121&lt;&gt;"",NOT(ISNUMBER(F121))),1,0)</f>
        <v>0</v>
      </c>
    </row>
    <row r="122">
      <c r="A122" s="34" t="n">
        <v>46224</v>
      </c>
      <c r="B122" s="31" t="inlineStr">
        <is>
          <t>Ana</t>
        </is>
      </c>
      <c r="C122" s="31" t="inlineStr">
        <is>
          <t>Gestão e reuniões</t>
        </is>
      </c>
      <c r="D122" s="29" t="inlineStr">
        <is>
          <t>Financeiro</t>
        </is>
      </c>
      <c r="E122" s="35" t="n">
        <v>2.5</v>
      </c>
      <c r="F122" s="26">
        <f>IF(OR(B122="",E122=""),"",IFERROR(IF(ISNUMBER(INDEX(Config!$D$11:$D$20,MATCH(B122,Config!$A$11:$A$20,0))),E122*INDEX(Config!$D$11:$D$20,MATCH(B122,Config!$A$11:$A$20,0)),"cadastro de custo incompleto em Config"),"pessoa sem custo-hora em Config"))</f>
        <v>175</v>
      </c>
      <c r="G122" s="25">
        <f>IF(A122="","",MONTH(A122))</f>
        <v>7</v>
      </c>
      <c r="H122" s="25">
        <f>IF(A122="","",YEAR(A122))</f>
        <v>2026</v>
      </c>
      <c r="I122" s="31" t="inlineStr">
        <is>
          <t>Não</t>
        </is>
      </c>
      <c r="J122" s="36">
        <f>IF(AND(B122&lt;&gt;"",E122&lt;&gt;"",NOT(ISNUMBER(F122))),1,0)</f>
        <v>0</v>
      </c>
    </row>
    <row r="123">
      <c r="A123" s="34" t="n">
        <v>46224</v>
      </c>
      <c r="B123" s="31" t="inlineStr">
        <is>
          <t>Bruno</t>
        </is>
      </c>
      <c r="C123" s="31" t="inlineStr">
        <is>
          <t>Identidade visual · Padaria do Sol</t>
        </is>
      </c>
      <c r="D123" s="29" t="inlineStr">
        <is>
          <t>Logo</t>
        </is>
      </c>
      <c r="E123" s="35" t="n">
        <v>2</v>
      </c>
      <c r="F123" s="26">
        <f>IF(OR(B123="",E123=""),"",IFERROR(IF(ISNUMBER(INDEX(Config!$D$11:$D$20,MATCH(B123,Config!$A$11:$A$20,0))),E123*INDEX(Config!$D$11:$D$20,MATCH(B123,Config!$A$11:$A$20,0)),"cadastro de custo incompleto em Config"),"pessoa sem custo-hora em Config"))</f>
        <v>102.857142857143</v>
      </c>
      <c r="G123" s="25">
        <f>IF(A123="","",MONTH(A123))</f>
        <v>7</v>
      </c>
      <c r="H123" s="25">
        <f>IF(A123="","",YEAR(A123))</f>
        <v>2026</v>
      </c>
      <c r="I123" s="31" t="inlineStr">
        <is>
          <t>Sim</t>
        </is>
      </c>
      <c r="J123" s="36">
        <f>IF(AND(B123&lt;&gt;"",E123&lt;&gt;"",NOT(ISNUMBER(F123))),1,0)</f>
        <v>0</v>
      </c>
    </row>
    <row r="124">
      <c r="A124" s="34" t="n">
        <v>46224</v>
      </c>
      <c r="B124" s="31" t="inlineStr">
        <is>
          <t>Bruno</t>
        </is>
      </c>
      <c r="C124" s="31" t="inlineStr">
        <is>
          <t>Gestão e reuniões</t>
        </is>
      </c>
      <c r="D124" s="29" t="inlineStr">
        <is>
          <t>Financeiro</t>
        </is>
      </c>
      <c r="E124" s="35" t="n">
        <v>1.5</v>
      </c>
      <c r="F124" s="26">
        <f>IF(OR(B124="",E124=""),"",IFERROR(IF(ISNUMBER(INDEX(Config!$D$11:$D$20,MATCH(B124,Config!$A$11:$A$20,0))),E124*INDEX(Config!$D$11:$D$20,MATCH(B124,Config!$A$11:$A$20,0)),"cadastro de custo incompleto em Config"),"pessoa sem custo-hora em Config"))</f>
        <v>77.1428571428571</v>
      </c>
      <c r="G124" s="25">
        <f>IF(A124="","",MONTH(A124))</f>
        <v>7</v>
      </c>
      <c r="H124" s="25">
        <f>IF(A124="","",YEAR(A124))</f>
        <v>2026</v>
      </c>
      <c r="I124" s="31" t="inlineStr">
        <is>
          <t>Não</t>
        </is>
      </c>
      <c r="J124" s="36">
        <f>IF(AND(B124&lt;&gt;"",E124&lt;&gt;"",NOT(ISNUMBER(F124))),1,0)</f>
        <v>0</v>
      </c>
    </row>
    <row r="125">
      <c r="A125" s="34" t="n">
        <v>46224</v>
      </c>
      <c r="B125" s="31" t="inlineStr">
        <is>
          <t>Bruno</t>
        </is>
      </c>
      <c r="C125" s="31" t="inlineStr">
        <is>
          <t>Comercial e propostas</t>
        </is>
      </c>
      <c r="D125" s="29" t="inlineStr">
        <is>
          <t>Proposta</t>
        </is>
      </c>
      <c r="E125" s="35" t="n">
        <v>5</v>
      </c>
      <c r="F125" s="26">
        <f>IF(OR(B125="",E125=""),"",IFERROR(IF(ISNUMBER(INDEX(Config!$D$11:$D$20,MATCH(B125,Config!$A$11:$A$20,0))),E125*INDEX(Config!$D$11:$D$20,MATCH(B125,Config!$A$11:$A$20,0)),"cadastro de custo incompleto em Config"),"pessoa sem custo-hora em Config"))</f>
        <v>257.142857142857</v>
      </c>
      <c r="G125" s="25">
        <f>IF(A125="","",MONTH(A125))</f>
        <v>7</v>
      </c>
      <c r="H125" s="25">
        <f>IF(A125="","",YEAR(A125))</f>
        <v>2026</v>
      </c>
      <c r="I125" s="31" t="inlineStr">
        <is>
          <t>Não</t>
        </is>
      </c>
      <c r="J125" s="36">
        <f>IF(AND(B125&lt;&gt;"",E125&lt;&gt;"",NOT(ISNUMBER(F125))),1,0)</f>
        <v>0</v>
      </c>
    </row>
    <row r="126">
      <c r="A126" s="34" t="n">
        <v>46224</v>
      </c>
      <c r="B126" s="31" t="inlineStr">
        <is>
          <t>Carla</t>
        </is>
      </c>
      <c r="C126" s="31" t="inlineStr">
        <is>
          <t>Comercial e propostas</t>
        </is>
      </c>
      <c r="D126" s="29" t="inlineStr">
        <is>
          <t>Proposta</t>
        </is>
      </c>
      <c r="E126" s="35" t="n">
        <v>9</v>
      </c>
      <c r="F126" s="26">
        <f>IF(OR(B126="",E126=""),"",IFERROR(IF(ISNUMBER(INDEX(Config!$D$11:$D$20,MATCH(B126,Config!$A$11:$A$20,0))),E126*INDEX(Config!$D$11:$D$20,MATCH(B126,Config!$A$11:$A$20,0)),"cadastro de custo incompleto em Config"),"pessoa sem custo-hora em Config"))</f>
        <v>417.857142857143</v>
      </c>
      <c r="G126" s="25">
        <f>IF(A126="","",MONTH(A126))</f>
        <v>7</v>
      </c>
      <c r="H126" s="25">
        <f>IF(A126="","",YEAR(A126))</f>
        <v>2026</v>
      </c>
      <c r="I126" s="31" t="inlineStr">
        <is>
          <t>Não</t>
        </is>
      </c>
      <c r="J126" s="36">
        <f>IF(AND(B126&lt;&gt;"",E126&lt;&gt;"",NOT(ISNUMBER(F126))),1,0)</f>
        <v>0</v>
      </c>
    </row>
    <row r="127">
      <c r="A127" s="34" t="n">
        <v>46224</v>
      </c>
      <c r="B127" s="31" t="inlineStr">
        <is>
          <t>Carla</t>
        </is>
      </c>
      <c r="C127" s="31" t="inlineStr">
        <is>
          <t>Gestão e reuniões</t>
        </is>
      </c>
      <c r="D127" s="29" t="inlineStr">
        <is>
          <t>Semanal</t>
        </is>
      </c>
      <c r="E127" s="35" t="n">
        <v>1.5</v>
      </c>
      <c r="F127" s="26">
        <f>IF(OR(B127="",E127=""),"",IFERROR(IF(ISNUMBER(INDEX(Config!$D$11:$D$20,MATCH(B127,Config!$A$11:$A$20,0))),E127*INDEX(Config!$D$11:$D$20,MATCH(B127,Config!$A$11:$A$20,0)),"cadastro de custo incompleto em Config"),"pessoa sem custo-hora em Config"))</f>
        <v>69.6428571428571</v>
      </c>
      <c r="G127" s="25">
        <f>IF(A127="","",MONTH(A127))</f>
        <v>7</v>
      </c>
      <c r="H127" s="25">
        <f>IF(A127="","",YEAR(A127))</f>
        <v>2026</v>
      </c>
      <c r="I127" s="31" t="inlineStr">
        <is>
          <t>Não</t>
        </is>
      </c>
      <c r="J127" s="36">
        <f>IF(AND(B127&lt;&gt;"",E127&lt;&gt;"",NOT(ISNUMBER(F127))),1,0)</f>
        <v>0</v>
      </c>
    </row>
    <row r="128">
      <c r="A128" s="34" t="n">
        <v>46224</v>
      </c>
      <c r="B128" s="31" t="inlineStr">
        <is>
          <t>Diego</t>
        </is>
      </c>
      <c r="C128" s="31" t="inlineStr">
        <is>
          <t>Comercial e propostas</t>
        </is>
      </c>
      <c r="D128" s="29" t="inlineStr">
        <is>
          <t>Proposta</t>
        </is>
      </c>
      <c r="E128" s="35" t="n">
        <v>3.5</v>
      </c>
      <c r="F128" s="26">
        <f>IF(OR(B128="",E128=""),"",IFERROR(IF(ISNUMBER(INDEX(Config!$D$11:$D$20,MATCH(B128,Config!$A$11:$A$20,0))),E128*INDEX(Config!$D$11:$D$20,MATCH(B128,Config!$A$11:$A$20,0)),"cadastro de custo incompleto em Config"),"pessoa sem custo-hora em Config"))</f>
        <v>169.166666666667</v>
      </c>
      <c r="G128" s="25">
        <f>IF(A128="","",MONTH(A128))</f>
        <v>7</v>
      </c>
      <c r="H128" s="25">
        <f>IF(A128="","",YEAR(A128))</f>
        <v>2026</v>
      </c>
      <c r="I128" s="31" t="inlineStr">
        <is>
          <t>Não</t>
        </is>
      </c>
      <c r="J128" s="36">
        <f>IF(AND(B128&lt;&gt;"",E128&lt;&gt;"",NOT(ISNUMBER(F128))),1,0)</f>
        <v>0</v>
      </c>
    </row>
    <row r="129">
      <c r="A129" s="34" t="n">
        <v>46224</v>
      </c>
      <c r="B129" s="31" t="inlineStr">
        <is>
          <t>Diego</t>
        </is>
      </c>
      <c r="C129" s="31" t="inlineStr">
        <is>
          <t>Gestão e reuniões</t>
        </is>
      </c>
      <c r="D129" s="29" t="inlineStr">
        <is>
          <t>Planejamento</t>
        </is>
      </c>
      <c r="E129" s="35" t="n">
        <v>4</v>
      </c>
      <c r="F129" s="26">
        <f>IF(OR(B129="",E129=""),"",IFERROR(IF(ISNUMBER(INDEX(Config!$D$11:$D$20,MATCH(B129,Config!$A$11:$A$20,0))),E129*INDEX(Config!$D$11:$D$20,MATCH(B129,Config!$A$11:$A$20,0)),"cadastro de custo incompleto em Config"),"pessoa sem custo-hora em Config"))</f>
        <v>193.333333333333</v>
      </c>
      <c r="G129" s="25">
        <f>IF(A129="","",MONTH(A129))</f>
        <v>7</v>
      </c>
      <c r="H129" s="25">
        <f>IF(A129="","",YEAR(A129))</f>
        <v>2026</v>
      </c>
      <c r="I129" s="31" t="inlineStr">
        <is>
          <t>Não</t>
        </is>
      </c>
      <c r="J129" s="36">
        <f>IF(AND(B129&lt;&gt;"",E129&lt;&gt;"",NOT(ISNUMBER(F129))),1,0)</f>
        <v>0</v>
      </c>
    </row>
    <row r="130">
      <c r="A130" s="34" t="n">
        <v>46225</v>
      </c>
      <c r="B130" s="31" t="inlineStr">
        <is>
          <t>Ana</t>
        </is>
      </c>
      <c r="C130" s="31" t="inlineStr">
        <is>
          <t>Comercial e propostas</t>
        </is>
      </c>
      <c r="D130" s="29" t="inlineStr">
        <is>
          <t>Proposta</t>
        </is>
      </c>
      <c r="E130" s="35" t="n">
        <v>6.5</v>
      </c>
      <c r="F130" s="26">
        <f>IF(OR(B130="",E130=""),"",IFERROR(IF(ISNUMBER(INDEX(Config!$D$11:$D$20,MATCH(B130,Config!$A$11:$A$20,0))),E130*INDEX(Config!$D$11:$D$20,MATCH(B130,Config!$A$11:$A$20,0)),"cadastro de custo incompleto em Config"),"pessoa sem custo-hora em Config"))</f>
        <v>455</v>
      </c>
      <c r="G130" s="25">
        <f>IF(A130="","",MONTH(A130))</f>
        <v>7</v>
      </c>
      <c r="H130" s="25">
        <f>IF(A130="","",YEAR(A130))</f>
        <v>2026</v>
      </c>
      <c r="I130" s="31" t="inlineStr">
        <is>
          <t>Não</t>
        </is>
      </c>
      <c r="J130" s="36">
        <f>IF(AND(B130&lt;&gt;"",E130&lt;&gt;"",NOT(ISNUMBER(F130))),1,0)</f>
        <v>0</v>
      </c>
    </row>
    <row r="131">
      <c r="A131" s="34" t="n">
        <v>46225</v>
      </c>
      <c r="B131" s="31" t="inlineStr">
        <is>
          <t>Ana</t>
        </is>
      </c>
      <c r="C131" s="31" t="inlineStr">
        <is>
          <t>Gestão e reuniões</t>
        </is>
      </c>
      <c r="D131" s="29" t="inlineStr">
        <is>
          <t>Semanal</t>
        </is>
      </c>
      <c r="E131" s="35" t="n">
        <v>3.5</v>
      </c>
      <c r="F131" s="26">
        <f>IF(OR(B131="",E131=""),"",IFERROR(IF(ISNUMBER(INDEX(Config!$D$11:$D$20,MATCH(B131,Config!$A$11:$A$20,0))),E131*INDEX(Config!$D$11:$D$20,MATCH(B131,Config!$A$11:$A$20,0)),"cadastro de custo incompleto em Config"),"pessoa sem custo-hora em Config"))</f>
        <v>245</v>
      </c>
      <c r="G131" s="25">
        <f>IF(A131="","",MONTH(A131))</f>
        <v>7</v>
      </c>
      <c r="H131" s="25">
        <f>IF(A131="","",YEAR(A131))</f>
        <v>2026</v>
      </c>
      <c r="I131" s="31" t="inlineStr">
        <is>
          <t>Não</t>
        </is>
      </c>
      <c r="J131" s="36">
        <f>IF(AND(B131&lt;&gt;"",E131&lt;&gt;"",NOT(ISNUMBER(F131))),1,0)</f>
        <v>0</v>
      </c>
    </row>
    <row r="132">
      <c r="A132" s="34" t="n">
        <v>46225</v>
      </c>
      <c r="B132" s="31" t="inlineStr">
        <is>
          <t>Bruno</t>
        </is>
      </c>
      <c r="C132" s="31" t="inlineStr">
        <is>
          <t>Identidade visual · Padaria do Sol</t>
        </is>
      </c>
      <c r="D132" s="29" t="inlineStr">
        <is>
          <t>Logo</t>
        </is>
      </c>
      <c r="E132" s="35" t="n">
        <v>2</v>
      </c>
      <c r="F132" s="26">
        <f>IF(OR(B132="",E132=""),"",IFERROR(IF(ISNUMBER(INDEX(Config!$D$11:$D$20,MATCH(B132,Config!$A$11:$A$20,0))),E132*INDEX(Config!$D$11:$D$20,MATCH(B132,Config!$A$11:$A$20,0)),"cadastro de custo incompleto em Config"),"pessoa sem custo-hora em Config"))</f>
        <v>102.857142857143</v>
      </c>
      <c r="G132" s="25">
        <f>IF(A132="","",MONTH(A132))</f>
        <v>7</v>
      </c>
      <c r="H132" s="25">
        <f>IF(A132="","",YEAR(A132))</f>
        <v>2026</v>
      </c>
      <c r="I132" s="31" t="inlineStr">
        <is>
          <t>Sim</t>
        </is>
      </c>
      <c r="J132" s="36">
        <f>IF(AND(B132&lt;&gt;"",E132&lt;&gt;"",NOT(ISNUMBER(F132))),1,0)</f>
        <v>0</v>
      </c>
    </row>
    <row r="133">
      <c r="A133" s="34" t="n">
        <v>46225</v>
      </c>
      <c r="B133" s="31" t="inlineStr">
        <is>
          <t>Bruno</t>
        </is>
      </c>
      <c r="C133" s="31" t="inlineStr">
        <is>
          <t>Gestão e reuniões</t>
        </is>
      </c>
      <c r="D133" s="29" t="inlineStr">
        <is>
          <t>Financeiro</t>
        </is>
      </c>
      <c r="E133" s="35" t="n">
        <v>1.5</v>
      </c>
      <c r="F133" s="26">
        <f>IF(OR(B133="",E133=""),"",IFERROR(IF(ISNUMBER(INDEX(Config!$D$11:$D$20,MATCH(B133,Config!$A$11:$A$20,0))),E133*INDEX(Config!$D$11:$D$20,MATCH(B133,Config!$A$11:$A$20,0)),"cadastro de custo incompleto em Config"),"pessoa sem custo-hora em Config"))</f>
        <v>77.1428571428571</v>
      </c>
      <c r="G133" s="25">
        <f>IF(A133="","",MONTH(A133))</f>
        <v>7</v>
      </c>
      <c r="H133" s="25">
        <f>IF(A133="","",YEAR(A133))</f>
        <v>2026</v>
      </c>
      <c r="I133" s="31" t="inlineStr">
        <is>
          <t>Não</t>
        </is>
      </c>
      <c r="J133" s="36">
        <f>IF(AND(B133&lt;&gt;"",E133&lt;&gt;"",NOT(ISNUMBER(F133))),1,0)</f>
        <v>0</v>
      </c>
    </row>
    <row r="134">
      <c r="A134" s="34" t="n">
        <v>46225</v>
      </c>
      <c r="B134" s="31" t="inlineStr">
        <is>
          <t>Bruno</t>
        </is>
      </c>
      <c r="C134" s="31" t="inlineStr">
        <is>
          <t>Comercial e propostas</t>
        </is>
      </c>
      <c r="D134" s="29" t="inlineStr">
        <is>
          <t>Proposta</t>
        </is>
      </c>
      <c r="E134" s="35" t="n">
        <v>5.5</v>
      </c>
      <c r="F134" s="26">
        <f>IF(OR(B134="",E134=""),"",IFERROR(IF(ISNUMBER(INDEX(Config!$D$11:$D$20,MATCH(B134,Config!$A$11:$A$20,0))),E134*INDEX(Config!$D$11:$D$20,MATCH(B134,Config!$A$11:$A$20,0)),"cadastro de custo incompleto em Config"),"pessoa sem custo-hora em Config"))</f>
        <v>282.857142857143</v>
      </c>
      <c r="G134" s="25">
        <f>IF(A134="","",MONTH(A134))</f>
        <v>7</v>
      </c>
      <c r="H134" s="25">
        <f>IF(A134="","",YEAR(A134))</f>
        <v>2026</v>
      </c>
      <c r="I134" s="31" t="inlineStr">
        <is>
          <t>Não</t>
        </is>
      </c>
      <c r="J134" s="36">
        <f>IF(AND(B134&lt;&gt;"",E134&lt;&gt;"",NOT(ISNUMBER(F134))),1,0)</f>
        <v>0</v>
      </c>
    </row>
    <row r="135">
      <c r="A135" s="34" t="n">
        <v>46225</v>
      </c>
      <c r="B135" s="31" t="inlineStr">
        <is>
          <t>Carla</t>
        </is>
      </c>
      <c r="C135" s="31" t="inlineStr">
        <is>
          <t>Comercial e propostas</t>
        </is>
      </c>
      <c r="D135" s="29" t="inlineStr">
        <is>
          <t>Reunião comercial</t>
        </is>
      </c>
      <c r="E135" s="35" t="n">
        <v>5</v>
      </c>
      <c r="F135" s="26">
        <f>IF(OR(B135="",E135=""),"",IFERROR(IF(ISNUMBER(INDEX(Config!$D$11:$D$20,MATCH(B135,Config!$A$11:$A$20,0))),E135*INDEX(Config!$D$11:$D$20,MATCH(B135,Config!$A$11:$A$20,0)),"cadastro de custo incompleto em Config"),"pessoa sem custo-hora em Config"))</f>
        <v>232.142857142857</v>
      </c>
      <c r="G135" s="25">
        <f>IF(A135="","",MONTH(A135))</f>
        <v>7</v>
      </c>
      <c r="H135" s="25">
        <f>IF(A135="","",YEAR(A135))</f>
        <v>2026</v>
      </c>
      <c r="I135" s="31" t="inlineStr">
        <is>
          <t>Não</t>
        </is>
      </c>
      <c r="J135" s="36">
        <f>IF(AND(B135&lt;&gt;"",E135&lt;&gt;"",NOT(ISNUMBER(F135))),1,0)</f>
        <v>0</v>
      </c>
    </row>
    <row r="136">
      <c r="A136" s="34" t="n">
        <v>46225</v>
      </c>
      <c r="B136" s="31" t="inlineStr">
        <is>
          <t>Carla</t>
        </is>
      </c>
      <c r="C136" s="31" t="inlineStr">
        <is>
          <t>Gestão e reuniões</t>
        </is>
      </c>
      <c r="D136" s="29" t="inlineStr">
        <is>
          <t>Planejamento</t>
        </is>
      </c>
      <c r="E136" s="35" t="n">
        <v>1</v>
      </c>
      <c r="F136" s="26">
        <f>IF(OR(B136="",E136=""),"",IFERROR(IF(ISNUMBER(INDEX(Config!$D$11:$D$20,MATCH(B136,Config!$A$11:$A$20,0))),E136*INDEX(Config!$D$11:$D$20,MATCH(B136,Config!$A$11:$A$20,0)),"cadastro de custo incompleto em Config"),"pessoa sem custo-hora em Config"))</f>
        <v>46.4285714285714</v>
      </c>
      <c r="G136" s="25">
        <f>IF(A136="","",MONTH(A136))</f>
        <v>7</v>
      </c>
      <c r="H136" s="25">
        <f>IF(A136="","",YEAR(A136))</f>
        <v>2026</v>
      </c>
      <c r="I136" s="31" t="inlineStr">
        <is>
          <t>Não</t>
        </is>
      </c>
      <c r="J136" s="36">
        <f>IF(AND(B136&lt;&gt;"",E136&lt;&gt;"",NOT(ISNUMBER(F136))),1,0)</f>
        <v>0</v>
      </c>
    </row>
    <row r="137">
      <c r="A137" s="34" t="n">
        <v>46225</v>
      </c>
      <c r="B137" s="31" t="inlineStr">
        <is>
          <t>Diego</t>
        </is>
      </c>
      <c r="C137" s="31" t="inlineStr">
        <is>
          <t>Comercial e propostas</t>
        </is>
      </c>
      <c r="D137" s="29" t="inlineStr">
        <is>
          <t>Proposta</t>
        </is>
      </c>
      <c r="E137" s="35" t="n">
        <v>4.5</v>
      </c>
      <c r="F137" s="26">
        <f>IF(OR(B137="",E137=""),"",IFERROR(IF(ISNUMBER(INDEX(Config!$D$11:$D$20,MATCH(B137,Config!$A$11:$A$20,0))),E137*INDEX(Config!$D$11:$D$20,MATCH(B137,Config!$A$11:$A$20,0)),"cadastro de custo incompleto em Config"),"pessoa sem custo-hora em Config"))</f>
        <v>217.5</v>
      </c>
      <c r="G137" s="25">
        <f>IF(A137="","",MONTH(A137))</f>
        <v>7</v>
      </c>
      <c r="H137" s="25">
        <f>IF(A137="","",YEAR(A137))</f>
        <v>2026</v>
      </c>
      <c r="I137" s="31" t="inlineStr">
        <is>
          <t>Não</t>
        </is>
      </c>
      <c r="J137" s="36">
        <f>IF(AND(B137&lt;&gt;"",E137&lt;&gt;"",NOT(ISNUMBER(F137))),1,0)</f>
        <v>0</v>
      </c>
    </row>
    <row r="138">
      <c r="A138" s="34" t="n">
        <v>46225</v>
      </c>
      <c r="B138" s="31" t="inlineStr">
        <is>
          <t>Diego</t>
        </is>
      </c>
      <c r="C138" s="31" t="inlineStr">
        <is>
          <t>Gestão e reuniões</t>
        </is>
      </c>
      <c r="D138" s="29" t="inlineStr">
        <is>
          <t>Planejamento</t>
        </is>
      </c>
      <c r="E138" s="35" t="n">
        <v>3.5</v>
      </c>
      <c r="F138" s="26">
        <f>IF(OR(B138="",E138=""),"",IFERROR(IF(ISNUMBER(INDEX(Config!$D$11:$D$20,MATCH(B138,Config!$A$11:$A$20,0))),E138*INDEX(Config!$D$11:$D$20,MATCH(B138,Config!$A$11:$A$20,0)),"cadastro de custo incompleto em Config"),"pessoa sem custo-hora em Config"))</f>
        <v>169.166666666667</v>
      </c>
      <c r="G138" s="25">
        <f>IF(A138="","",MONTH(A138))</f>
        <v>7</v>
      </c>
      <c r="H138" s="25">
        <f>IF(A138="","",YEAR(A138))</f>
        <v>2026</v>
      </c>
      <c r="I138" s="31" t="inlineStr">
        <is>
          <t>Não</t>
        </is>
      </c>
      <c r="J138" s="36">
        <f>IF(AND(B138&lt;&gt;"",E138&lt;&gt;"",NOT(ISNUMBER(F138))),1,0)</f>
        <v>0</v>
      </c>
    </row>
    <row r="139">
      <c r="A139" s="34" t="n">
        <v>46226</v>
      </c>
      <c r="B139" s="31" t="inlineStr">
        <is>
          <t>Ana</t>
        </is>
      </c>
      <c r="C139" s="31" t="inlineStr">
        <is>
          <t>Comercial e propostas</t>
        </is>
      </c>
      <c r="D139" s="29" t="inlineStr">
        <is>
          <t>Reunião comercial</t>
        </is>
      </c>
      <c r="E139" s="35" t="n">
        <v>3.5</v>
      </c>
      <c r="F139" s="26">
        <f>IF(OR(B139="",E139=""),"",IFERROR(IF(ISNUMBER(INDEX(Config!$D$11:$D$20,MATCH(B139,Config!$A$11:$A$20,0))),E139*INDEX(Config!$D$11:$D$20,MATCH(B139,Config!$A$11:$A$20,0)),"cadastro de custo incompleto em Config"),"pessoa sem custo-hora em Config"))</f>
        <v>245</v>
      </c>
      <c r="G139" s="25">
        <f>IF(A139="","",MONTH(A139))</f>
        <v>7</v>
      </c>
      <c r="H139" s="25">
        <f>IF(A139="","",YEAR(A139))</f>
        <v>2026</v>
      </c>
      <c r="I139" s="31" t="inlineStr">
        <is>
          <t>Não</t>
        </is>
      </c>
      <c r="J139" s="36">
        <f>IF(AND(B139&lt;&gt;"",E139&lt;&gt;"",NOT(ISNUMBER(F139))),1,0)</f>
        <v>0</v>
      </c>
    </row>
    <row r="140">
      <c r="A140" s="34" t="n">
        <v>46226</v>
      </c>
      <c r="B140" s="31" t="inlineStr">
        <is>
          <t>Ana</t>
        </is>
      </c>
      <c r="C140" s="31" t="inlineStr">
        <is>
          <t>Gestão e reuniões</t>
        </is>
      </c>
      <c r="D140" s="29" t="inlineStr">
        <is>
          <t>Financeiro</t>
        </is>
      </c>
      <c r="E140" s="35" t="n">
        <v>2</v>
      </c>
      <c r="F140" s="26">
        <f>IF(OR(B140="",E140=""),"",IFERROR(IF(ISNUMBER(INDEX(Config!$D$11:$D$20,MATCH(B140,Config!$A$11:$A$20,0))),E140*INDEX(Config!$D$11:$D$20,MATCH(B140,Config!$A$11:$A$20,0)),"cadastro de custo incompleto em Config"),"pessoa sem custo-hora em Config"))</f>
        <v>140</v>
      </c>
      <c r="G140" s="25">
        <f>IF(A140="","",MONTH(A140))</f>
        <v>7</v>
      </c>
      <c r="H140" s="25">
        <f>IF(A140="","",YEAR(A140))</f>
        <v>2026</v>
      </c>
      <c r="I140" s="31" t="inlineStr">
        <is>
          <t>Não</t>
        </is>
      </c>
      <c r="J140" s="36">
        <f>IF(AND(B140&lt;&gt;"",E140&lt;&gt;"",NOT(ISNUMBER(F140))),1,0)</f>
        <v>0</v>
      </c>
    </row>
    <row r="141">
      <c r="A141" s="34" t="n">
        <v>46226</v>
      </c>
      <c r="B141" s="31" t="inlineStr">
        <is>
          <t>Bruno</t>
        </is>
      </c>
      <c r="C141" s="31" t="inlineStr">
        <is>
          <t>Identidade visual · Padaria do Sol</t>
        </is>
      </c>
      <c r="D141" s="29" t="inlineStr">
        <is>
          <t>Logo</t>
        </is>
      </c>
      <c r="E141" s="35" t="n">
        <v>1.5</v>
      </c>
      <c r="F141" s="26">
        <f>IF(OR(B141="",E141=""),"",IFERROR(IF(ISNUMBER(INDEX(Config!$D$11:$D$20,MATCH(B141,Config!$A$11:$A$20,0))),E141*INDEX(Config!$D$11:$D$20,MATCH(B141,Config!$A$11:$A$20,0)),"cadastro de custo incompleto em Config"),"pessoa sem custo-hora em Config"))</f>
        <v>77.1428571428571</v>
      </c>
      <c r="G141" s="25">
        <f>IF(A141="","",MONTH(A141))</f>
        <v>7</v>
      </c>
      <c r="H141" s="25">
        <f>IF(A141="","",YEAR(A141))</f>
        <v>2026</v>
      </c>
      <c r="I141" s="31" t="inlineStr">
        <is>
          <t>Sim</t>
        </is>
      </c>
      <c r="J141" s="36">
        <f>IF(AND(B141&lt;&gt;"",E141&lt;&gt;"",NOT(ISNUMBER(F141))),1,0)</f>
        <v>0</v>
      </c>
    </row>
    <row r="142">
      <c r="A142" s="34" t="n">
        <v>46226</v>
      </c>
      <c r="B142" s="31" t="inlineStr">
        <is>
          <t>Bruno</t>
        </is>
      </c>
      <c r="C142" s="31" t="inlineStr">
        <is>
          <t>Gestão e reuniões</t>
        </is>
      </c>
      <c r="D142" s="29" t="inlineStr">
        <is>
          <t>Planejamento</t>
        </is>
      </c>
      <c r="E142" s="35" t="n">
        <v>1</v>
      </c>
      <c r="F142" s="26">
        <f>IF(OR(B142="",E142=""),"",IFERROR(IF(ISNUMBER(INDEX(Config!$D$11:$D$20,MATCH(B142,Config!$A$11:$A$20,0))),E142*INDEX(Config!$D$11:$D$20,MATCH(B142,Config!$A$11:$A$20,0)),"cadastro de custo incompleto em Config"),"pessoa sem custo-hora em Config"))</f>
        <v>51.4285714285714</v>
      </c>
      <c r="G142" s="25">
        <f>IF(A142="","",MONTH(A142))</f>
        <v>7</v>
      </c>
      <c r="H142" s="25">
        <f>IF(A142="","",YEAR(A142))</f>
        <v>2026</v>
      </c>
      <c r="I142" s="31" t="inlineStr">
        <is>
          <t>Não</t>
        </is>
      </c>
      <c r="J142" s="36">
        <f>IF(AND(B142&lt;&gt;"",E142&lt;&gt;"",NOT(ISNUMBER(F142))),1,0)</f>
        <v>0</v>
      </c>
    </row>
    <row r="143">
      <c r="A143" s="34" t="n">
        <v>46226</v>
      </c>
      <c r="B143" s="31" t="inlineStr">
        <is>
          <t>Bruno</t>
        </is>
      </c>
      <c r="C143" s="31" t="inlineStr">
        <is>
          <t>Comercial e propostas</t>
        </is>
      </c>
      <c r="D143" s="29" t="inlineStr">
        <is>
          <t>Reunião comercial</t>
        </is>
      </c>
      <c r="E143" s="35" t="n">
        <v>5</v>
      </c>
      <c r="F143" s="26">
        <f>IF(OR(B143="",E143=""),"",IFERROR(IF(ISNUMBER(INDEX(Config!$D$11:$D$20,MATCH(B143,Config!$A$11:$A$20,0))),E143*INDEX(Config!$D$11:$D$20,MATCH(B143,Config!$A$11:$A$20,0)),"cadastro de custo incompleto em Config"),"pessoa sem custo-hora em Config"))</f>
        <v>257.142857142857</v>
      </c>
      <c r="G143" s="25">
        <f>IF(A143="","",MONTH(A143))</f>
        <v>7</v>
      </c>
      <c r="H143" s="25">
        <f>IF(A143="","",YEAR(A143))</f>
        <v>2026</v>
      </c>
      <c r="I143" s="31" t="inlineStr">
        <is>
          <t>Não</t>
        </is>
      </c>
      <c r="J143" s="36">
        <f>IF(AND(B143&lt;&gt;"",E143&lt;&gt;"",NOT(ISNUMBER(F143))),1,0)</f>
        <v>0</v>
      </c>
    </row>
    <row r="144">
      <c r="A144" s="34" t="n">
        <v>46226</v>
      </c>
      <c r="B144" s="31" t="inlineStr">
        <is>
          <t>Carla</t>
        </is>
      </c>
      <c r="C144" s="31" t="inlineStr">
        <is>
          <t>Comercial e propostas</t>
        </is>
      </c>
      <c r="D144" s="29" t="inlineStr">
        <is>
          <t>Proposta</t>
        </is>
      </c>
      <c r="E144" s="35" t="n">
        <v>6</v>
      </c>
      <c r="F144" s="26">
        <f>IF(OR(B144="",E144=""),"",IFERROR(IF(ISNUMBER(INDEX(Config!$D$11:$D$20,MATCH(B144,Config!$A$11:$A$20,0))),E144*INDEX(Config!$D$11:$D$20,MATCH(B144,Config!$A$11:$A$20,0)),"cadastro de custo incompleto em Config"),"pessoa sem custo-hora em Config"))</f>
        <v>278.571428571429</v>
      </c>
      <c r="G144" s="25">
        <f>IF(A144="","",MONTH(A144))</f>
        <v>7</v>
      </c>
      <c r="H144" s="25">
        <f>IF(A144="","",YEAR(A144))</f>
        <v>2026</v>
      </c>
      <c r="I144" s="31" t="inlineStr">
        <is>
          <t>Não</t>
        </is>
      </c>
      <c r="J144" s="36">
        <f>IF(AND(B144&lt;&gt;"",E144&lt;&gt;"",NOT(ISNUMBER(F144))),1,0)</f>
        <v>0</v>
      </c>
    </row>
    <row r="145">
      <c r="A145" s="34" t="n">
        <v>46226</v>
      </c>
      <c r="B145" s="31" t="inlineStr">
        <is>
          <t>Carla</t>
        </is>
      </c>
      <c r="C145" s="31" t="inlineStr">
        <is>
          <t>Gestão e reuniões</t>
        </is>
      </c>
      <c r="D145" s="29" t="inlineStr">
        <is>
          <t>Planejamento</t>
        </is>
      </c>
      <c r="E145" s="35" t="n">
        <v>1</v>
      </c>
      <c r="F145" s="26">
        <f>IF(OR(B145="",E145=""),"",IFERROR(IF(ISNUMBER(INDEX(Config!$D$11:$D$20,MATCH(B145,Config!$A$11:$A$20,0))),E145*INDEX(Config!$D$11:$D$20,MATCH(B145,Config!$A$11:$A$20,0)),"cadastro de custo incompleto em Config"),"pessoa sem custo-hora em Config"))</f>
        <v>46.4285714285714</v>
      </c>
      <c r="G145" s="25">
        <f>IF(A145="","",MONTH(A145))</f>
        <v>7</v>
      </c>
      <c r="H145" s="25">
        <f>IF(A145="","",YEAR(A145))</f>
        <v>2026</v>
      </c>
      <c r="I145" s="31" t="inlineStr">
        <is>
          <t>Não</t>
        </is>
      </c>
      <c r="J145" s="36">
        <f>IF(AND(B145&lt;&gt;"",E145&lt;&gt;"",NOT(ISNUMBER(F145))),1,0)</f>
        <v>0</v>
      </c>
    </row>
    <row r="146">
      <c r="A146" s="34" t="n">
        <v>46226</v>
      </c>
      <c r="B146" s="31" t="inlineStr">
        <is>
          <t>Diego</t>
        </is>
      </c>
      <c r="C146" s="31" t="inlineStr">
        <is>
          <t>Comercial e propostas</t>
        </is>
      </c>
      <c r="D146" s="29" t="inlineStr">
        <is>
          <t>Proposta</t>
        </is>
      </c>
      <c r="E146" s="35" t="n">
        <v>3.5</v>
      </c>
      <c r="F146" s="26">
        <f>IF(OR(B146="",E146=""),"",IFERROR(IF(ISNUMBER(INDEX(Config!$D$11:$D$20,MATCH(B146,Config!$A$11:$A$20,0))),E146*INDEX(Config!$D$11:$D$20,MATCH(B146,Config!$A$11:$A$20,0)),"cadastro de custo incompleto em Config"),"pessoa sem custo-hora em Config"))</f>
        <v>169.166666666667</v>
      </c>
      <c r="G146" s="25">
        <f>IF(A146="","",MONTH(A146))</f>
        <v>7</v>
      </c>
      <c r="H146" s="25">
        <f>IF(A146="","",YEAR(A146))</f>
        <v>2026</v>
      </c>
      <c r="I146" s="31" t="inlineStr">
        <is>
          <t>Não</t>
        </is>
      </c>
      <c r="J146" s="36">
        <f>IF(AND(B146&lt;&gt;"",E146&lt;&gt;"",NOT(ISNUMBER(F146))),1,0)</f>
        <v>0</v>
      </c>
    </row>
    <row r="147">
      <c r="A147" s="34" t="n">
        <v>46226</v>
      </c>
      <c r="B147" s="31" t="inlineStr">
        <is>
          <t>Diego</t>
        </is>
      </c>
      <c r="C147" s="31" t="inlineStr">
        <is>
          <t>Gestão e reuniões</t>
        </is>
      </c>
      <c r="D147" s="29" t="inlineStr">
        <is>
          <t>Semanal</t>
        </is>
      </c>
      <c r="E147" s="35" t="n">
        <v>4.5</v>
      </c>
      <c r="F147" s="26">
        <f>IF(OR(B147="",E147=""),"",IFERROR(IF(ISNUMBER(INDEX(Config!$D$11:$D$20,MATCH(B147,Config!$A$11:$A$20,0))),E147*INDEX(Config!$D$11:$D$20,MATCH(B147,Config!$A$11:$A$20,0)),"cadastro de custo incompleto em Config"),"pessoa sem custo-hora em Config"))</f>
        <v>217.5</v>
      </c>
      <c r="G147" s="25">
        <f>IF(A147="","",MONTH(A147))</f>
        <v>7</v>
      </c>
      <c r="H147" s="25">
        <f>IF(A147="","",YEAR(A147))</f>
        <v>2026</v>
      </c>
      <c r="I147" s="31" t="inlineStr">
        <is>
          <t>Não</t>
        </is>
      </c>
      <c r="J147" s="36">
        <f>IF(AND(B147&lt;&gt;"",E147&lt;&gt;"",NOT(ISNUMBER(F147))),1,0)</f>
        <v>0</v>
      </c>
    </row>
    <row r="148">
      <c r="A148" s="34" t="n">
        <v>46227</v>
      </c>
      <c r="B148" s="31" t="inlineStr">
        <is>
          <t>Ana</t>
        </is>
      </c>
      <c r="C148" s="31" t="inlineStr">
        <is>
          <t>Comercial e propostas</t>
        </is>
      </c>
      <c r="D148" s="29" t="inlineStr">
        <is>
          <t>Reunião comercial</t>
        </is>
      </c>
      <c r="E148" s="35" t="n">
        <v>4.5</v>
      </c>
      <c r="F148" s="26">
        <f>IF(OR(B148="",E148=""),"",IFERROR(IF(ISNUMBER(INDEX(Config!$D$11:$D$20,MATCH(B148,Config!$A$11:$A$20,0))),E148*INDEX(Config!$D$11:$D$20,MATCH(B148,Config!$A$11:$A$20,0)),"cadastro de custo incompleto em Config"),"pessoa sem custo-hora em Config"))</f>
        <v>315</v>
      </c>
      <c r="G148" s="25">
        <f>IF(A148="","",MONTH(A148))</f>
        <v>7</v>
      </c>
      <c r="H148" s="25">
        <f>IF(A148="","",YEAR(A148))</f>
        <v>2026</v>
      </c>
      <c r="I148" s="31" t="inlineStr">
        <is>
          <t>Não</t>
        </is>
      </c>
      <c r="J148" s="36">
        <f>IF(AND(B148&lt;&gt;"",E148&lt;&gt;"",NOT(ISNUMBER(F148))),1,0)</f>
        <v>0</v>
      </c>
    </row>
    <row r="149">
      <c r="A149" s="34" t="n">
        <v>46227</v>
      </c>
      <c r="B149" s="31" t="inlineStr">
        <is>
          <t>Ana</t>
        </is>
      </c>
      <c r="C149" s="31" t="inlineStr">
        <is>
          <t>Gestão e reuniões</t>
        </is>
      </c>
      <c r="D149" s="29" t="inlineStr">
        <is>
          <t>Planejamento</t>
        </is>
      </c>
      <c r="E149" s="35" t="n">
        <v>2</v>
      </c>
      <c r="F149" s="26">
        <f>IF(OR(B149="",E149=""),"",IFERROR(IF(ISNUMBER(INDEX(Config!$D$11:$D$20,MATCH(B149,Config!$A$11:$A$20,0))),E149*INDEX(Config!$D$11:$D$20,MATCH(B149,Config!$A$11:$A$20,0)),"cadastro de custo incompleto em Config"),"pessoa sem custo-hora em Config"))</f>
        <v>140</v>
      </c>
      <c r="G149" s="25">
        <f>IF(A149="","",MONTH(A149))</f>
        <v>7</v>
      </c>
      <c r="H149" s="25">
        <f>IF(A149="","",YEAR(A149))</f>
        <v>2026</v>
      </c>
      <c r="I149" s="31" t="inlineStr">
        <is>
          <t>Não</t>
        </is>
      </c>
      <c r="J149" s="36">
        <f>IF(AND(B149&lt;&gt;"",E149&lt;&gt;"",NOT(ISNUMBER(F149))),1,0)</f>
        <v>0</v>
      </c>
    </row>
    <row r="150">
      <c r="A150" s="34" t="n">
        <v>46227</v>
      </c>
      <c r="B150" s="31" t="inlineStr">
        <is>
          <t>Bruno</t>
        </is>
      </c>
      <c r="C150" s="31" t="inlineStr">
        <is>
          <t>Identidade visual · Padaria do Sol</t>
        </is>
      </c>
      <c r="D150" s="29" t="inlineStr">
        <is>
          <t>Manual</t>
        </is>
      </c>
      <c r="E150" s="35" t="n">
        <v>1.5</v>
      </c>
      <c r="F150" s="26">
        <f>IF(OR(B150="",E150=""),"",IFERROR(IF(ISNUMBER(INDEX(Config!$D$11:$D$20,MATCH(B150,Config!$A$11:$A$20,0))),E150*INDEX(Config!$D$11:$D$20,MATCH(B150,Config!$A$11:$A$20,0)),"cadastro de custo incompleto em Config"),"pessoa sem custo-hora em Config"))</f>
        <v>77.1428571428571</v>
      </c>
      <c r="G150" s="25">
        <f>IF(A150="","",MONTH(A150))</f>
        <v>7</v>
      </c>
      <c r="H150" s="25">
        <f>IF(A150="","",YEAR(A150))</f>
        <v>2026</v>
      </c>
      <c r="I150" s="31" t="inlineStr">
        <is>
          <t>Sim</t>
        </is>
      </c>
      <c r="J150" s="36">
        <f>IF(AND(B150&lt;&gt;"",E150&lt;&gt;"",NOT(ISNUMBER(F150))),1,0)</f>
        <v>0</v>
      </c>
    </row>
    <row r="151">
      <c r="A151" s="34" t="n">
        <v>46227</v>
      </c>
      <c r="B151" s="31" t="inlineStr">
        <is>
          <t>Bruno</t>
        </is>
      </c>
      <c r="C151" s="31" t="inlineStr">
        <is>
          <t>Gestão e reuniões</t>
        </is>
      </c>
      <c r="D151" s="29" t="inlineStr">
        <is>
          <t>Financeiro</t>
        </is>
      </c>
      <c r="E151" s="35" t="n">
        <v>1</v>
      </c>
      <c r="F151" s="26">
        <f>IF(OR(B151="",E151=""),"",IFERROR(IF(ISNUMBER(INDEX(Config!$D$11:$D$20,MATCH(B151,Config!$A$11:$A$20,0))),E151*INDEX(Config!$D$11:$D$20,MATCH(B151,Config!$A$11:$A$20,0)),"cadastro de custo incompleto em Config"),"pessoa sem custo-hora em Config"))</f>
        <v>51.4285714285714</v>
      </c>
      <c r="G151" s="25">
        <f>IF(A151="","",MONTH(A151))</f>
        <v>7</v>
      </c>
      <c r="H151" s="25">
        <f>IF(A151="","",YEAR(A151))</f>
        <v>2026</v>
      </c>
      <c r="I151" s="31" t="inlineStr">
        <is>
          <t>Não</t>
        </is>
      </c>
      <c r="J151" s="36">
        <f>IF(AND(B151&lt;&gt;"",E151&lt;&gt;"",NOT(ISNUMBER(F151))),1,0)</f>
        <v>0</v>
      </c>
    </row>
    <row r="152">
      <c r="A152" s="34" t="n">
        <v>46227</v>
      </c>
      <c r="B152" s="31" t="inlineStr">
        <is>
          <t>Bruno</t>
        </is>
      </c>
      <c r="C152" s="31" t="inlineStr">
        <is>
          <t>Comercial e propostas</t>
        </is>
      </c>
      <c r="D152" s="29" t="inlineStr">
        <is>
          <t>Reunião comercial</t>
        </is>
      </c>
      <c r="E152" s="35" t="n">
        <v>5</v>
      </c>
      <c r="F152" s="26">
        <f>IF(OR(B152="",E152=""),"",IFERROR(IF(ISNUMBER(INDEX(Config!$D$11:$D$20,MATCH(B152,Config!$A$11:$A$20,0))),E152*INDEX(Config!$D$11:$D$20,MATCH(B152,Config!$A$11:$A$20,0)),"cadastro de custo incompleto em Config"),"pessoa sem custo-hora em Config"))</f>
        <v>257.142857142857</v>
      </c>
      <c r="G152" s="25">
        <f>IF(A152="","",MONTH(A152))</f>
        <v>7</v>
      </c>
      <c r="H152" s="25">
        <f>IF(A152="","",YEAR(A152))</f>
        <v>2026</v>
      </c>
      <c r="I152" s="31" t="inlineStr">
        <is>
          <t>Não</t>
        </is>
      </c>
      <c r="J152" s="36">
        <f>IF(AND(B152&lt;&gt;"",E152&lt;&gt;"",NOT(ISNUMBER(F152))),1,0)</f>
        <v>0</v>
      </c>
    </row>
    <row r="153">
      <c r="A153" s="34" t="n">
        <v>46227</v>
      </c>
      <c r="B153" s="31" t="inlineStr">
        <is>
          <t>Carla</t>
        </is>
      </c>
      <c r="C153" s="31" t="inlineStr">
        <is>
          <t>Comercial e propostas</t>
        </is>
      </c>
      <c r="D153" s="29" t="inlineStr">
        <is>
          <t>Proposta</t>
        </is>
      </c>
      <c r="E153" s="35" t="n">
        <v>6.5</v>
      </c>
      <c r="F153" s="26">
        <f>IF(OR(B153="",E153=""),"",IFERROR(IF(ISNUMBER(INDEX(Config!$D$11:$D$20,MATCH(B153,Config!$A$11:$A$20,0))),E153*INDEX(Config!$D$11:$D$20,MATCH(B153,Config!$A$11:$A$20,0)),"cadastro de custo incompleto em Config"),"pessoa sem custo-hora em Config"))</f>
        <v>301.785714285714</v>
      </c>
      <c r="G153" s="25">
        <f>IF(A153="","",MONTH(A153))</f>
        <v>7</v>
      </c>
      <c r="H153" s="25">
        <f>IF(A153="","",YEAR(A153))</f>
        <v>2026</v>
      </c>
      <c r="I153" s="31" t="inlineStr">
        <is>
          <t>Não</t>
        </is>
      </c>
      <c r="J153" s="36">
        <f>IF(AND(B153&lt;&gt;"",E153&lt;&gt;"",NOT(ISNUMBER(F153))),1,0)</f>
        <v>0</v>
      </c>
    </row>
    <row r="154">
      <c r="A154" s="34" t="n">
        <v>46227</v>
      </c>
      <c r="B154" s="31" t="inlineStr">
        <is>
          <t>Carla</t>
        </is>
      </c>
      <c r="C154" s="31" t="inlineStr">
        <is>
          <t>Gestão e reuniões</t>
        </is>
      </c>
      <c r="D154" s="29" t="inlineStr">
        <is>
          <t>Semanal</t>
        </is>
      </c>
      <c r="E154" s="35" t="n">
        <v>1</v>
      </c>
      <c r="F154" s="26">
        <f>IF(OR(B154="",E154=""),"",IFERROR(IF(ISNUMBER(INDEX(Config!$D$11:$D$20,MATCH(B154,Config!$A$11:$A$20,0))),E154*INDEX(Config!$D$11:$D$20,MATCH(B154,Config!$A$11:$A$20,0)),"cadastro de custo incompleto em Config"),"pessoa sem custo-hora em Config"))</f>
        <v>46.4285714285714</v>
      </c>
      <c r="G154" s="25">
        <f>IF(A154="","",MONTH(A154))</f>
        <v>7</v>
      </c>
      <c r="H154" s="25">
        <f>IF(A154="","",YEAR(A154))</f>
        <v>2026</v>
      </c>
      <c r="I154" s="31" t="inlineStr">
        <is>
          <t>Não</t>
        </is>
      </c>
      <c r="J154" s="36">
        <f>IF(AND(B154&lt;&gt;"",E154&lt;&gt;"",NOT(ISNUMBER(F154))),1,0)</f>
        <v>0</v>
      </c>
    </row>
    <row r="155">
      <c r="A155" s="34" t="n">
        <v>46227</v>
      </c>
      <c r="B155" s="31" t="inlineStr">
        <is>
          <t>Diego</t>
        </is>
      </c>
      <c r="C155" s="31" t="inlineStr">
        <is>
          <t>Comercial e propostas</t>
        </is>
      </c>
      <c r="D155" s="29" t="inlineStr">
        <is>
          <t>Proposta</t>
        </is>
      </c>
      <c r="E155" s="35" t="n">
        <v>5</v>
      </c>
      <c r="F155" s="26">
        <f>IF(OR(B155="",E155=""),"",IFERROR(IF(ISNUMBER(INDEX(Config!$D$11:$D$20,MATCH(B155,Config!$A$11:$A$20,0))),E155*INDEX(Config!$D$11:$D$20,MATCH(B155,Config!$A$11:$A$20,0)),"cadastro de custo incompleto em Config"),"pessoa sem custo-hora em Config"))</f>
        <v>241.666666666667</v>
      </c>
      <c r="G155" s="25">
        <f>IF(A155="","",MONTH(A155))</f>
        <v>7</v>
      </c>
      <c r="H155" s="25">
        <f>IF(A155="","",YEAR(A155))</f>
        <v>2026</v>
      </c>
      <c r="I155" s="31" t="inlineStr">
        <is>
          <t>Não</t>
        </is>
      </c>
      <c r="J155" s="36">
        <f>IF(AND(B155&lt;&gt;"",E155&lt;&gt;"",NOT(ISNUMBER(F155))),1,0)</f>
        <v>0</v>
      </c>
    </row>
    <row r="156">
      <c r="A156" s="34" t="n">
        <v>46227</v>
      </c>
      <c r="B156" s="31" t="inlineStr">
        <is>
          <t>Diego</t>
        </is>
      </c>
      <c r="C156" s="31" t="inlineStr">
        <is>
          <t>Gestão e reuniões</t>
        </is>
      </c>
      <c r="D156" s="29" t="inlineStr">
        <is>
          <t>Planejamento</t>
        </is>
      </c>
      <c r="E156" s="35" t="n">
        <v>3.5</v>
      </c>
      <c r="F156" s="26">
        <f>IF(OR(B156="",E156=""),"",IFERROR(IF(ISNUMBER(INDEX(Config!$D$11:$D$20,MATCH(B156,Config!$A$11:$A$20,0))),E156*INDEX(Config!$D$11:$D$20,MATCH(B156,Config!$A$11:$A$20,0)),"cadastro de custo incompleto em Config"),"pessoa sem custo-hora em Config"))</f>
        <v>169.166666666667</v>
      </c>
      <c r="G156" s="25">
        <f>IF(A156="","",MONTH(A156))</f>
        <v>7</v>
      </c>
      <c r="H156" s="25">
        <f>IF(A156="","",YEAR(A156))</f>
        <v>2026</v>
      </c>
      <c r="I156" s="31" t="inlineStr">
        <is>
          <t>Não</t>
        </is>
      </c>
      <c r="J156" s="36">
        <f>IF(AND(B156&lt;&gt;"",E156&lt;&gt;"",NOT(ISNUMBER(F156))),1,0)</f>
        <v>0</v>
      </c>
    </row>
    <row r="157">
      <c r="A157" s="34" t="n">
        <v>46230</v>
      </c>
      <c r="B157" s="31" t="inlineStr">
        <is>
          <t>Ana</t>
        </is>
      </c>
      <c r="C157" s="31" t="inlineStr">
        <is>
          <t>Comercial e propostas</t>
        </is>
      </c>
      <c r="D157" s="29" t="inlineStr">
        <is>
          <t>Reunião comercial</t>
        </is>
      </c>
      <c r="E157" s="35" t="n">
        <v>7</v>
      </c>
      <c r="F157" s="26">
        <f>IF(OR(B157="",E157=""),"",IFERROR(IF(ISNUMBER(INDEX(Config!$D$11:$D$20,MATCH(B157,Config!$A$11:$A$20,0))),E157*INDEX(Config!$D$11:$D$20,MATCH(B157,Config!$A$11:$A$20,0)),"cadastro de custo incompleto em Config"),"pessoa sem custo-hora em Config"))</f>
        <v>490</v>
      </c>
      <c r="G157" s="25">
        <f>IF(A157="","",MONTH(A157))</f>
        <v>7</v>
      </c>
      <c r="H157" s="25">
        <f>IF(A157="","",YEAR(A157))</f>
        <v>2026</v>
      </c>
      <c r="I157" s="31" t="inlineStr">
        <is>
          <t>Não</t>
        </is>
      </c>
      <c r="J157" s="36">
        <f>IF(AND(B157&lt;&gt;"",E157&lt;&gt;"",NOT(ISNUMBER(F157))),1,0)</f>
        <v>0</v>
      </c>
    </row>
    <row r="158">
      <c r="A158" s="34" t="n">
        <v>46230</v>
      </c>
      <c r="B158" s="31" t="inlineStr">
        <is>
          <t>Ana</t>
        </is>
      </c>
      <c r="C158" s="31" t="inlineStr">
        <is>
          <t>Gestão e reuniões</t>
        </is>
      </c>
      <c r="D158" s="29" t="inlineStr">
        <is>
          <t>Planejamento</t>
        </is>
      </c>
      <c r="E158" s="35" t="n">
        <v>2.5</v>
      </c>
      <c r="F158" s="26">
        <f>IF(OR(B158="",E158=""),"",IFERROR(IF(ISNUMBER(INDEX(Config!$D$11:$D$20,MATCH(B158,Config!$A$11:$A$20,0))),E158*INDEX(Config!$D$11:$D$20,MATCH(B158,Config!$A$11:$A$20,0)),"cadastro de custo incompleto em Config"),"pessoa sem custo-hora em Config"))</f>
        <v>175</v>
      </c>
      <c r="G158" s="25">
        <f>IF(A158="","",MONTH(A158))</f>
        <v>7</v>
      </c>
      <c r="H158" s="25">
        <f>IF(A158="","",YEAR(A158))</f>
        <v>2026</v>
      </c>
      <c r="I158" s="31" t="inlineStr">
        <is>
          <t>Não</t>
        </is>
      </c>
      <c r="J158" s="36">
        <f>IF(AND(B158&lt;&gt;"",E158&lt;&gt;"",NOT(ISNUMBER(F158))),1,0)</f>
        <v>0</v>
      </c>
    </row>
    <row r="159">
      <c r="A159" s="34" t="n">
        <v>46230</v>
      </c>
      <c r="B159" s="31" t="inlineStr">
        <is>
          <t>Bruno</t>
        </is>
      </c>
      <c r="C159" s="31" t="inlineStr">
        <is>
          <t>Identidade visual · Padaria do Sol</t>
        </is>
      </c>
      <c r="D159" s="29" t="inlineStr">
        <is>
          <t>Manual</t>
        </is>
      </c>
      <c r="E159" s="35" t="n">
        <v>2</v>
      </c>
      <c r="F159" s="26">
        <f>IF(OR(B159="",E159=""),"",IFERROR(IF(ISNUMBER(INDEX(Config!$D$11:$D$20,MATCH(B159,Config!$A$11:$A$20,0))),E159*INDEX(Config!$D$11:$D$20,MATCH(B159,Config!$A$11:$A$20,0)),"cadastro de custo incompleto em Config"),"pessoa sem custo-hora em Config"))</f>
        <v>102.857142857143</v>
      </c>
      <c r="G159" s="25">
        <f>IF(A159="","",MONTH(A159))</f>
        <v>7</v>
      </c>
      <c r="H159" s="25">
        <f>IF(A159="","",YEAR(A159))</f>
        <v>2026</v>
      </c>
      <c r="I159" s="31" t="inlineStr">
        <is>
          <t>Sim</t>
        </is>
      </c>
      <c r="J159" s="36">
        <f>IF(AND(B159&lt;&gt;"",E159&lt;&gt;"",NOT(ISNUMBER(F159))),1,0)</f>
        <v>0</v>
      </c>
    </row>
    <row r="160">
      <c r="A160" s="34" t="n">
        <v>46230</v>
      </c>
      <c r="B160" s="31" t="inlineStr">
        <is>
          <t>Bruno</t>
        </is>
      </c>
      <c r="C160" s="31" t="inlineStr">
        <is>
          <t>Gestão e reuniões</t>
        </is>
      </c>
      <c r="D160" s="29" t="inlineStr">
        <is>
          <t>Financeiro</t>
        </is>
      </c>
      <c r="E160" s="35" t="n">
        <v>1.5</v>
      </c>
      <c r="F160" s="26">
        <f>IF(OR(B160="",E160=""),"",IFERROR(IF(ISNUMBER(INDEX(Config!$D$11:$D$20,MATCH(B160,Config!$A$11:$A$20,0))),E160*INDEX(Config!$D$11:$D$20,MATCH(B160,Config!$A$11:$A$20,0)),"cadastro de custo incompleto em Config"),"pessoa sem custo-hora em Config"))</f>
        <v>77.1428571428571</v>
      </c>
      <c r="G160" s="25">
        <f>IF(A160="","",MONTH(A160))</f>
        <v>7</v>
      </c>
      <c r="H160" s="25">
        <f>IF(A160="","",YEAR(A160))</f>
        <v>2026</v>
      </c>
      <c r="I160" s="31" t="inlineStr">
        <is>
          <t>Não</t>
        </is>
      </c>
      <c r="J160" s="36">
        <f>IF(AND(B160&lt;&gt;"",E160&lt;&gt;"",NOT(ISNUMBER(F160))),1,0)</f>
        <v>0</v>
      </c>
    </row>
    <row r="161">
      <c r="A161" s="34" t="n">
        <v>46230</v>
      </c>
      <c r="B161" s="31" t="inlineStr">
        <is>
          <t>Bruno</t>
        </is>
      </c>
      <c r="C161" s="31" t="inlineStr">
        <is>
          <t>Comercial e propostas</t>
        </is>
      </c>
      <c r="D161" s="29" t="inlineStr">
        <is>
          <t>Proposta</t>
        </is>
      </c>
      <c r="E161" s="35" t="n">
        <v>5.5</v>
      </c>
      <c r="F161" s="26">
        <f>IF(OR(B161="",E161=""),"",IFERROR(IF(ISNUMBER(INDEX(Config!$D$11:$D$20,MATCH(B161,Config!$A$11:$A$20,0))),E161*INDEX(Config!$D$11:$D$20,MATCH(B161,Config!$A$11:$A$20,0)),"cadastro de custo incompleto em Config"),"pessoa sem custo-hora em Config"))</f>
        <v>282.857142857143</v>
      </c>
      <c r="G161" s="25">
        <f>IF(A161="","",MONTH(A161))</f>
        <v>7</v>
      </c>
      <c r="H161" s="25">
        <f>IF(A161="","",YEAR(A161))</f>
        <v>2026</v>
      </c>
      <c r="I161" s="31" t="inlineStr">
        <is>
          <t>Não</t>
        </is>
      </c>
      <c r="J161" s="36">
        <f>IF(AND(B161&lt;&gt;"",E161&lt;&gt;"",NOT(ISNUMBER(F161))),1,0)</f>
        <v>0</v>
      </c>
    </row>
    <row r="162">
      <c r="A162" s="34" t="n">
        <v>46230</v>
      </c>
      <c r="B162" s="31" t="inlineStr">
        <is>
          <t>Carla</t>
        </is>
      </c>
      <c r="C162" s="31" t="inlineStr">
        <is>
          <t>Comercial e propostas</t>
        </is>
      </c>
      <c r="D162" s="29" t="inlineStr">
        <is>
          <t>Reunião comercial</t>
        </is>
      </c>
      <c r="E162" s="35" t="n">
        <v>6.5</v>
      </c>
      <c r="F162" s="26">
        <f>IF(OR(B162="",E162=""),"",IFERROR(IF(ISNUMBER(INDEX(Config!$D$11:$D$20,MATCH(B162,Config!$A$11:$A$20,0))),E162*INDEX(Config!$D$11:$D$20,MATCH(B162,Config!$A$11:$A$20,0)),"cadastro de custo incompleto em Config"),"pessoa sem custo-hora em Config"))</f>
        <v>301.785714285714</v>
      </c>
      <c r="G162" s="25">
        <f>IF(A162="","",MONTH(A162))</f>
        <v>7</v>
      </c>
      <c r="H162" s="25">
        <f>IF(A162="","",YEAR(A162))</f>
        <v>2026</v>
      </c>
      <c r="I162" s="31" t="inlineStr">
        <is>
          <t>Não</t>
        </is>
      </c>
      <c r="J162" s="36">
        <f>IF(AND(B162&lt;&gt;"",E162&lt;&gt;"",NOT(ISNUMBER(F162))),1,0)</f>
        <v>0</v>
      </c>
    </row>
    <row r="163">
      <c r="A163" s="34" t="n">
        <v>46230</v>
      </c>
      <c r="B163" s="31" t="inlineStr">
        <is>
          <t>Carla</t>
        </is>
      </c>
      <c r="C163" s="31" t="inlineStr">
        <is>
          <t>Gestão e reuniões</t>
        </is>
      </c>
      <c r="D163" s="29" t="inlineStr">
        <is>
          <t>Planejamento</t>
        </is>
      </c>
      <c r="E163" s="35" t="n">
        <v>1.5</v>
      </c>
      <c r="F163" s="26">
        <f>IF(OR(B163="",E163=""),"",IFERROR(IF(ISNUMBER(INDEX(Config!$D$11:$D$20,MATCH(B163,Config!$A$11:$A$20,0))),E163*INDEX(Config!$D$11:$D$20,MATCH(B163,Config!$A$11:$A$20,0)),"cadastro de custo incompleto em Config"),"pessoa sem custo-hora em Config"))</f>
        <v>69.6428571428571</v>
      </c>
      <c r="G163" s="25">
        <f>IF(A163="","",MONTH(A163))</f>
        <v>7</v>
      </c>
      <c r="H163" s="25">
        <f>IF(A163="","",YEAR(A163))</f>
        <v>2026</v>
      </c>
      <c r="I163" s="31" t="inlineStr">
        <is>
          <t>Não</t>
        </is>
      </c>
      <c r="J163" s="36">
        <f>IF(AND(B163&lt;&gt;"",E163&lt;&gt;"",NOT(ISNUMBER(F163))),1,0)</f>
        <v>0</v>
      </c>
    </row>
    <row r="164">
      <c r="A164" s="34" t="n">
        <v>46230</v>
      </c>
      <c r="B164" s="31" t="inlineStr">
        <is>
          <t>Diego</t>
        </is>
      </c>
      <c r="C164" s="31" t="inlineStr">
        <is>
          <t>Comercial e propostas</t>
        </is>
      </c>
      <c r="D164" s="29" t="inlineStr">
        <is>
          <t>Reunião comercial</t>
        </is>
      </c>
      <c r="E164" s="35" t="n">
        <v>3.5</v>
      </c>
      <c r="F164" s="26">
        <f>IF(OR(B164="",E164=""),"",IFERROR(IF(ISNUMBER(INDEX(Config!$D$11:$D$20,MATCH(B164,Config!$A$11:$A$20,0))),E164*INDEX(Config!$D$11:$D$20,MATCH(B164,Config!$A$11:$A$20,0)),"cadastro de custo incompleto em Config"),"pessoa sem custo-hora em Config"))</f>
        <v>169.166666666667</v>
      </c>
      <c r="G164" s="25">
        <f>IF(A164="","",MONTH(A164))</f>
        <v>7</v>
      </c>
      <c r="H164" s="25">
        <f>IF(A164="","",YEAR(A164))</f>
        <v>2026</v>
      </c>
      <c r="I164" s="31" t="inlineStr">
        <is>
          <t>Não</t>
        </is>
      </c>
      <c r="J164" s="36">
        <f>IF(AND(B164&lt;&gt;"",E164&lt;&gt;"",NOT(ISNUMBER(F164))),1,0)</f>
        <v>0</v>
      </c>
    </row>
    <row r="165">
      <c r="A165" s="34" t="n">
        <v>46230</v>
      </c>
      <c r="B165" s="31" t="inlineStr">
        <is>
          <t>Diego</t>
        </is>
      </c>
      <c r="C165" s="31" t="inlineStr">
        <is>
          <t>Gestão e reuniões</t>
        </is>
      </c>
      <c r="D165" s="29" t="inlineStr">
        <is>
          <t>Financeiro</t>
        </is>
      </c>
      <c r="E165" s="35" t="n">
        <v>3.5</v>
      </c>
      <c r="F165" s="26">
        <f>IF(OR(B165="",E165=""),"",IFERROR(IF(ISNUMBER(INDEX(Config!$D$11:$D$20,MATCH(B165,Config!$A$11:$A$20,0))),E165*INDEX(Config!$D$11:$D$20,MATCH(B165,Config!$A$11:$A$20,0)),"cadastro de custo incompleto em Config"),"pessoa sem custo-hora em Config"))</f>
        <v>169.166666666667</v>
      </c>
      <c r="G165" s="25">
        <f>IF(A165="","",MONTH(A165))</f>
        <v>7</v>
      </c>
      <c r="H165" s="25">
        <f>IF(A165="","",YEAR(A165))</f>
        <v>2026</v>
      </c>
      <c r="I165" s="31" t="inlineStr">
        <is>
          <t>Não</t>
        </is>
      </c>
      <c r="J165" s="36">
        <f>IF(AND(B165&lt;&gt;"",E165&lt;&gt;"",NOT(ISNUMBER(F165))),1,0)</f>
        <v>0</v>
      </c>
    </row>
    <row r="166">
      <c r="A166" s="34" t="n">
        <v>46231</v>
      </c>
      <c r="B166" s="31" t="inlineStr">
        <is>
          <t>Ana</t>
        </is>
      </c>
      <c r="C166" s="31" t="inlineStr">
        <is>
          <t>Comercial e propostas</t>
        </is>
      </c>
      <c r="D166" s="29" t="inlineStr">
        <is>
          <t>Proposta</t>
        </is>
      </c>
      <c r="E166" s="35" t="n">
        <v>7</v>
      </c>
      <c r="F166" s="26">
        <f>IF(OR(B166="",E166=""),"",IFERROR(IF(ISNUMBER(INDEX(Config!$D$11:$D$20,MATCH(B166,Config!$A$11:$A$20,0))),E166*INDEX(Config!$D$11:$D$20,MATCH(B166,Config!$A$11:$A$20,0)),"cadastro de custo incompleto em Config"),"pessoa sem custo-hora em Config"))</f>
        <v>490</v>
      </c>
      <c r="G166" s="25">
        <f>IF(A166="","",MONTH(A166))</f>
        <v>7</v>
      </c>
      <c r="H166" s="25">
        <f>IF(A166="","",YEAR(A166))</f>
        <v>2026</v>
      </c>
      <c r="I166" s="31" t="inlineStr">
        <is>
          <t>Não</t>
        </is>
      </c>
      <c r="J166" s="36">
        <f>IF(AND(B166&lt;&gt;"",E166&lt;&gt;"",NOT(ISNUMBER(F166))),1,0)</f>
        <v>0</v>
      </c>
    </row>
    <row r="167">
      <c r="A167" s="34" t="n">
        <v>46231</v>
      </c>
      <c r="B167" s="31" t="inlineStr">
        <is>
          <t>Ana</t>
        </is>
      </c>
      <c r="C167" s="31" t="inlineStr">
        <is>
          <t>Gestão e reuniões</t>
        </is>
      </c>
      <c r="D167" s="29" t="inlineStr">
        <is>
          <t>Semanal</t>
        </is>
      </c>
      <c r="E167" s="35" t="n">
        <v>3</v>
      </c>
      <c r="F167" s="26">
        <f>IF(OR(B167="",E167=""),"",IFERROR(IF(ISNUMBER(INDEX(Config!$D$11:$D$20,MATCH(B167,Config!$A$11:$A$20,0))),E167*INDEX(Config!$D$11:$D$20,MATCH(B167,Config!$A$11:$A$20,0)),"cadastro de custo incompleto em Config"),"pessoa sem custo-hora em Config"))</f>
        <v>210</v>
      </c>
      <c r="G167" s="25">
        <f>IF(A167="","",MONTH(A167))</f>
        <v>7</v>
      </c>
      <c r="H167" s="25">
        <f>IF(A167="","",YEAR(A167))</f>
        <v>2026</v>
      </c>
      <c r="I167" s="31" t="inlineStr">
        <is>
          <t>Não</t>
        </is>
      </c>
      <c r="J167" s="36">
        <f>IF(AND(B167&lt;&gt;"",E167&lt;&gt;"",NOT(ISNUMBER(F167))),1,0)</f>
        <v>0</v>
      </c>
    </row>
    <row r="168">
      <c r="A168" s="34" t="n">
        <v>46231</v>
      </c>
      <c r="B168" s="31" t="inlineStr">
        <is>
          <t>Bruno</t>
        </is>
      </c>
      <c r="C168" s="31" t="inlineStr">
        <is>
          <t>Identidade visual · Padaria do Sol</t>
        </is>
      </c>
      <c r="D168" s="29" t="inlineStr">
        <is>
          <t>Manual</t>
        </is>
      </c>
      <c r="E168" s="35" t="n">
        <v>2</v>
      </c>
      <c r="F168" s="26">
        <f>IF(OR(B168="",E168=""),"",IFERROR(IF(ISNUMBER(INDEX(Config!$D$11:$D$20,MATCH(B168,Config!$A$11:$A$20,0))),E168*INDEX(Config!$D$11:$D$20,MATCH(B168,Config!$A$11:$A$20,0)),"cadastro de custo incompleto em Config"),"pessoa sem custo-hora em Config"))</f>
        <v>102.857142857143</v>
      </c>
      <c r="G168" s="25">
        <f>IF(A168="","",MONTH(A168))</f>
        <v>7</v>
      </c>
      <c r="H168" s="25">
        <f>IF(A168="","",YEAR(A168))</f>
        <v>2026</v>
      </c>
      <c r="I168" s="31" t="inlineStr">
        <is>
          <t>Sim</t>
        </is>
      </c>
      <c r="J168" s="36">
        <f>IF(AND(B168&lt;&gt;"",E168&lt;&gt;"",NOT(ISNUMBER(F168))),1,0)</f>
        <v>0</v>
      </c>
    </row>
    <row r="169">
      <c r="A169" s="34" t="n">
        <v>46231</v>
      </c>
      <c r="B169" s="31" t="inlineStr">
        <is>
          <t>Bruno</t>
        </is>
      </c>
      <c r="C169" s="31" t="inlineStr">
        <is>
          <t>Gestão e reuniões</t>
        </is>
      </c>
      <c r="D169" s="29" t="inlineStr">
        <is>
          <t>Financeiro</t>
        </is>
      </c>
      <c r="E169" s="35" t="n">
        <v>1</v>
      </c>
      <c r="F169" s="26">
        <f>IF(OR(B169="",E169=""),"",IFERROR(IF(ISNUMBER(INDEX(Config!$D$11:$D$20,MATCH(B169,Config!$A$11:$A$20,0))),E169*INDEX(Config!$D$11:$D$20,MATCH(B169,Config!$A$11:$A$20,0)),"cadastro de custo incompleto em Config"),"pessoa sem custo-hora em Config"))</f>
        <v>51.4285714285714</v>
      </c>
      <c r="G169" s="25">
        <f>IF(A169="","",MONTH(A169))</f>
        <v>7</v>
      </c>
      <c r="H169" s="25">
        <f>IF(A169="","",YEAR(A169))</f>
        <v>2026</v>
      </c>
      <c r="I169" s="31" t="inlineStr">
        <is>
          <t>Não</t>
        </is>
      </c>
      <c r="J169" s="36">
        <f>IF(AND(B169&lt;&gt;"",E169&lt;&gt;"",NOT(ISNUMBER(F169))),1,0)</f>
        <v>0</v>
      </c>
    </row>
    <row r="170">
      <c r="A170" s="34" t="n">
        <v>46231</v>
      </c>
      <c r="B170" s="31" t="inlineStr">
        <is>
          <t>Bruno</t>
        </is>
      </c>
      <c r="C170" s="31" t="inlineStr">
        <is>
          <t>Comercial e propostas</t>
        </is>
      </c>
      <c r="D170" s="29" t="inlineStr">
        <is>
          <t>Proposta</t>
        </is>
      </c>
      <c r="E170" s="35" t="n">
        <v>5</v>
      </c>
      <c r="F170" s="26">
        <f>IF(OR(B170="",E170=""),"",IFERROR(IF(ISNUMBER(INDEX(Config!$D$11:$D$20,MATCH(B170,Config!$A$11:$A$20,0))),E170*INDEX(Config!$D$11:$D$20,MATCH(B170,Config!$A$11:$A$20,0)),"cadastro de custo incompleto em Config"),"pessoa sem custo-hora em Config"))</f>
        <v>257.142857142857</v>
      </c>
      <c r="G170" s="25">
        <f>IF(A170="","",MONTH(A170))</f>
        <v>7</v>
      </c>
      <c r="H170" s="25">
        <f>IF(A170="","",YEAR(A170))</f>
        <v>2026</v>
      </c>
      <c r="I170" s="31" t="inlineStr">
        <is>
          <t>Não</t>
        </is>
      </c>
      <c r="J170" s="36">
        <f>IF(AND(B170&lt;&gt;"",E170&lt;&gt;"",NOT(ISNUMBER(F170))),1,0)</f>
        <v>0</v>
      </c>
    </row>
    <row r="171">
      <c r="A171" s="34" t="n">
        <v>46231</v>
      </c>
      <c r="B171" s="31" t="inlineStr">
        <is>
          <t>Carla</t>
        </is>
      </c>
      <c r="C171" s="31" t="inlineStr">
        <is>
          <t>Comercial e propostas</t>
        </is>
      </c>
      <c r="D171" s="29" t="inlineStr">
        <is>
          <t>Proposta</t>
        </is>
      </c>
      <c r="E171" s="35" t="n">
        <v>6.5</v>
      </c>
      <c r="F171" s="26">
        <f>IF(OR(B171="",E171=""),"",IFERROR(IF(ISNUMBER(INDEX(Config!$D$11:$D$20,MATCH(B171,Config!$A$11:$A$20,0))),E171*INDEX(Config!$D$11:$D$20,MATCH(B171,Config!$A$11:$A$20,0)),"cadastro de custo incompleto em Config"),"pessoa sem custo-hora em Config"))</f>
        <v>301.785714285714</v>
      </c>
      <c r="G171" s="25">
        <f>IF(A171="","",MONTH(A171))</f>
        <v>7</v>
      </c>
      <c r="H171" s="25">
        <f>IF(A171="","",YEAR(A171))</f>
        <v>2026</v>
      </c>
      <c r="I171" s="31" t="inlineStr">
        <is>
          <t>Não</t>
        </is>
      </c>
      <c r="J171" s="36">
        <f>IF(AND(B171&lt;&gt;"",E171&lt;&gt;"",NOT(ISNUMBER(F171))),1,0)</f>
        <v>0</v>
      </c>
    </row>
    <row r="172">
      <c r="A172" s="34" t="n">
        <v>46231</v>
      </c>
      <c r="B172" s="31" t="inlineStr">
        <is>
          <t>Carla</t>
        </is>
      </c>
      <c r="C172" s="31" t="inlineStr">
        <is>
          <t>Gestão e reuniões</t>
        </is>
      </c>
      <c r="D172" s="29" t="inlineStr">
        <is>
          <t>Financeiro</t>
        </is>
      </c>
      <c r="E172" s="35" t="n">
        <v>1</v>
      </c>
      <c r="F172" s="26">
        <f>IF(OR(B172="",E172=""),"",IFERROR(IF(ISNUMBER(INDEX(Config!$D$11:$D$20,MATCH(B172,Config!$A$11:$A$20,0))),E172*INDEX(Config!$D$11:$D$20,MATCH(B172,Config!$A$11:$A$20,0)),"cadastro de custo incompleto em Config"),"pessoa sem custo-hora em Config"))</f>
        <v>46.4285714285714</v>
      </c>
      <c r="G172" s="25">
        <f>IF(A172="","",MONTH(A172))</f>
        <v>7</v>
      </c>
      <c r="H172" s="25">
        <f>IF(A172="","",YEAR(A172))</f>
        <v>2026</v>
      </c>
      <c r="I172" s="31" t="inlineStr">
        <is>
          <t>Não</t>
        </is>
      </c>
      <c r="J172" s="36">
        <f>IF(AND(B172&lt;&gt;"",E172&lt;&gt;"",NOT(ISNUMBER(F172))),1,0)</f>
        <v>0</v>
      </c>
    </row>
    <row r="173">
      <c r="A173" s="34" t="n">
        <v>46231</v>
      </c>
      <c r="B173" s="31" t="inlineStr">
        <is>
          <t>Diego</t>
        </is>
      </c>
      <c r="C173" s="31" t="inlineStr">
        <is>
          <t>Comercial e propostas</t>
        </is>
      </c>
      <c r="D173" s="29" t="inlineStr">
        <is>
          <t>Proposta</t>
        </is>
      </c>
      <c r="E173" s="35" t="n">
        <v>5</v>
      </c>
      <c r="F173" s="26">
        <f>IF(OR(B173="",E173=""),"",IFERROR(IF(ISNUMBER(INDEX(Config!$D$11:$D$20,MATCH(B173,Config!$A$11:$A$20,0))),E173*INDEX(Config!$D$11:$D$20,MATCH(B173,Config!$A$11:$A$20,0)),"cadastro de custo incompleto em Config"),"pessoa sem custo-hora em Config"))</f>
        <v>241.666666666667</v>
      </c>
      <c r="G173" s="25">
        <f>IF(A173="","",MONTH(A173))</f>
        <v>7</v>
      </c>
      <c r="H173" s="25">
        <f>IF(A173="","",YEAR(A173))</f>
        <v>2026</v>
      </c>
      <c r="I173" s="31" t="inlineStr">
        <is>
          <t>Não</t>
        </is>
      </c>
      <c r="J173" s="36">
        <f>IF(AND(B173&lt;&gt;"",E173&lt;&gt;"",NOT(ISNUMBER(F173))),1,0)</f>
        <v>0</v>
      </c>
    </row>
    <row r="174">
      <c r="A174" s="34" t="n">
        <v>46231</v>
      </c>
      <c r="B174" s="31" t="inlineStr">
        <is>
          <t>Diego</t>
        </is>
      </c>
      <c r="C174" s="31" t="inlineStr">
        <is>
          <t>Gestão e reuniões</t>
        </is>
      </c>
      <c r="D174" s="29" t="inlineStr">
        <is>
          <t>Planejamento</t>
        </is>
      </c>
      <c r="E174" s="35" t="n">
        <v>3.5</v>
      </c>
      <c r="F174" s="26">
        <f>IF(OR(B174="",E174=""),"",IFERROR(IF(ISNUMBER(INDEX(Config!$D$11:$D$20,MATCH(B174,Config!$A$11:$A$20,0))),E174*INDEX(Config!$D$11:$D$20,MATCH(B174,Config!$A$11:$A$20,0)),"cadastro de custo incompleto em Config"),"pessoa sem custo-hora em Config"))</f>
        <v>169.166666666667</v>
      </c>
      <c r="G174" s="25">
        <f>IF(A174="","",MONTH(A174))</f>
        <v>7</v>
      </c>
      <c r="H174" s="25">
        <f>IF(A174="","",YEAR(A174))</f>
        <v>2026</v>
      </c>
      <c r="I174" s="31" t="inlineStr">
        <is>
          <t>Não</t>
        </is>
      </c>
      <c r="J174" s="36">
        <f>IF(AND(B174&lt;&gt;"",E174&lt;&gt;"",NOT(ISNUMBER(F174))),1,0)</f>
        <v>0</v>
      </c>
    </row>
    <row r="175">
      <c r="A175" s="34" t="n">
        <v>46232</v>
      </c>
      <c r="B175" s="31" t="inlineStr">
        <is>
          <t>Ana</t>
        </is>
      </c>
      <c r="C175" s="31" t="inlineStr">
        <is>
          <t>Comercial e propostas</t>
        </is>
      </c>
      <c r="D175" s="29" t="inlineStr">
        <is>
          <t>Reunião comercial</t>
        </is>
      </c>
      <c r="E175" s="35" t="n">
        <v>3</v>
      </c>
      <c r="F175" s="26">
        <f>IF(OR(B175="",E175=""),"",IFERROR(IF(ISNUMBER(INDEX(Config!$D$11:$D$20,MATCH(B175,Config!$A$11:$A$20,0))),E175*INDEX(Config!$D$11:$D$20,MATCH(B175,Config!$A$11:$A$20,0)),"cadastro de custo incompleto em Config"),"pessoa sem custo-hora em Config"))</f>
        <v>210</v>
      </c>
      <c r="G175" s="25">
        <f>IF(A175="","",MONTH(A175))</f>
        <v>7</v>
      </c>
      <c r="H175" s="25">
        <f>IF(A175="","",YEAR(A175))</f>
        <v>2026</v>
      </c>
      <c r="I175" s="31" t="inlineStr">
        <is>
          <t>Não</t>
        </is>
      </c>
      <c r="J175" s="36">
        <f>IF(AND(B175&lt;&gt;"",E175&lt;&gt;"",NOT(ISNUMBER(F175))),1,0)</f>
        <v>0</v>
      </c>
    </row>
    <row r="176">
      <c r="A176" s="34" t="n">
        <v>46232</v>
      </c>
      <c r="B176" s="31" t="inlineStr">
        <is>
          <t>Ana</t>
        </is>
      </c>
      <c r="C176" s="31" t="inlineStr">
        <is>
          <t>Gestão e reuniões</t>
        </is>
      </c>
      <c r="D176" s="29" t="inlineStr">
        <is>
          <t>Financeiro</t>
        </is>
      </c>
      <c r="E176" s="35" t="n">
        <v>2.5</v>
      </c>
      <c r="F176" s="26">
        <f>IF(OR(B176="",E176=""),"",IFERROR(IF(ISNUMBER(INDEX(Config!$D$11:$D$20,MATCH(B176,Config!$A$11:$A$20,0))),E176*INDEX(Config!$D$11:$D$20,MATCH(B176,Config!$A$11:$A$20,0)),"cadastro de custo incompleto em Config"),"pessoa sem custo-hora em Config"))</f>
        <v>175</v>
      </c>
      <c r="G176" s="25">
        <f>IF(A176="","",MONTH(A176))</f>
        <v>7</v>
      </c>
      <c r="H176" s="25">
        <f>IF(A176="","",YEAR(A176))</f>
        <v>2026</v>
      </c>
      <c r="I176" s="31" t="inlineStr">
        <is>
          <t>Não</t>
        </is>
      </c>
      <c r="J176" s="36">
        <f>IF(AND(B176&lt;&gt;"",E176&lt;&gt;"",NOT(ISNUMBER(F176))),1,0)</f>
        <v>0</v>
      </c>
    </row>
    <row r="177">
      <c r="A177" s="34" t="n">
        <v>46232</v>
      </c>
      <c r="B177" s="31" t="inlineStr">
        <is>
          <t>Bruno</t>
        </is>
      </c>
      <c r="C177" s="31" t="inlineStr">
        <is>
          <t>Identidade visual · Padaria do Sol</t>
        </is>
      </c>
      <c r="D177" s="29" t="inlineStr">
        <is>
          <t>Aplicações</t>
        </is>
      </c>
      <c r="E177" s="35" t="n">
        <v>1.5</v>
      </c>
      <c r="F177" s="26">
        <f>IF(OR(B177="",E177=""),"",IFERROR(IF(ISNUMBER(INDEX(Config!$D$11:$D$20,MATCH(B177,Config!$A$11:$A$20,0))),E177*INDEX(Config!$D$11:$D$20,MATCH(B177,Config!$A$11:$A$20,0)),"cadastro de custo incompleto em Config"),"pessoa sem custo-hora em Config"))</f>
        <v>77.1428571428571</v>
      </c>
      <c r="G177" s="25">
        <f>IF(A177="","",MONTH(A177))</f>
        <v>7</v>
      </c>
      <c r="H177" s="25">
        <f>IF(A177="","",YEAR(A177))</f>
        <v>2026</v>
      </c>
      <c r="I177" s="31" t="inlineStr">
        <is>
          <t>Sim</t>
        </is>
      </c>
      <c r="J177" s="36">
        <f>IF(AND(B177&lt;&gt;"",E177&lt;&gt;"",NOT(ISNUMBER(F177))),1,0)</f>
        <v>0</v>
      </c>
    </row>
    <row r="178">
      <c r="A178" s="34" t="n">
        <v>46232</v>
      </c>
      <c r="B178" s="31" t="inlineStr">
        <is>
          <t>Bruno</t>
        </is>
      </c>
      <c r="C178" s="31" t="inlineStr">
        <is>
          <t>Gestão e reuniões</t>
        </is>
      </c>
      <c r="D178" s="29" t="inlineStr">
        <is>
          <t>Financeiro</t>
        </is>
      </c>
      <c r="E178" s="35" t="n">
        <v>1</v>
      </c>
      <c r="F178" s="26">
        <f>IF(OR(B178="",E178=""),"",IFERROR(IF(ISNUMBER(INDEX(Config!$D$11:$D$20,MATCH(B178,Config!$A$11:$A$20,0))),E178*INDEX(Config!$D$11:$D$20,MATCH(B178,Config!$A$11:$A$20,0)),"cadastro de custo incompleto em Config"),"pessoa sem custo-hora em Config"))</f>
        <v>51.4285714285714</v>
      </c>
      <c r="G178" s="25">
        <f>IF(A178="","",MONTH(A178))</f>
        <v>7</v>
      </c>
      <c r="H178" s="25">
        <f>IF(A178="","",YEAR(A178))</f>
        <v>2026</v>
      </c>
      <c r="I178" s="31" t="inlineStr">
        <is>
          <t>Não</t>
        </is>
      </c>
      <c r="J178" s="36">
        <f>IF(AND(B178&lt;&gt;"",E178&lt;&gt;"",NOT(ISNUMBER(F178))),1,0)</f>
        <v>0</v>
      </c>
    </row>
    <row r="179">
      <c r="A179" s="34" t="n">
        <v>46232</v>
      </c>
      <c r="B179" s="31" t="inlineStr">
        <is>
          <t>Bruno</t>
        </is>
      </c>
      <c r="C179" s="31" t="inlineStr">
        <is>
          <t>Comercial e propostas</t>
        </is>
      </c>
      <c r="D179" s="29" t="inlineStr">
        <is>
          <t>Reunião comercial</t>
        </is>
      </c>
      <c r="E179" s="35" t="n">
        <v>5.5</v>
      </c>
      <c r="F179" s="26">
        <f>IF(OR(B179="",E179=""),"",IFERROR(IF(ISNUMBER(INDEX(Config!$D$11:$D$20,MATCH(B179,Config!$A$11:$A$20,0))),E179*INDEX(Config!$D$11:$D$20,MATCH(B179,Config!$A$11:$A$20,0)),"cadastro de custo incompleto em Config"),"pessoa sem custo-hora em Config"))</f>
        <v>282.857142857143</v>
      </c>
      <c r="G179" s="25">
        <f>IF(A179="","",MONTH(A179))</f>
        <v>7</v>
      </c>
      <c r="H179" s="25">
        <f>IF(A179="","",YEAR(A179))</f>
        <v>2026</v>
      </c>
      <c r="I179" s="31" t="inlineStr">
        <is>
          <t>Não</t>
        </is>
      </c>
      <c r="J179" s="36">
        <f>IF(AND(B179&lt;&gt;"",E179&lt;&gt;"",NOT(ISNUMBER(F179))),1,0)</f>
        <v>0</v>
      </c>
    </row>
    <row r="180">
      <c r="A180" s="34" t="n">
        <v>46232</v>
      </c>
      <c r="B180" s="31" t="inlineStr">
        <is>
          <t>Carla</t>
        </is>
      </c>
      <c r="C180" s="31" t="inlineStr">
        <is>
          <t>Comercial e propostas</t>
        </is>
      </c>
      <c r="D180" s="29" t="inlineStr">
        <is>
          <t>Proposta</t>
        </is>
      </c>
      <c r="E180" s="35" t="n">
        <v>6</v>
      </c>
      <c r="F180" s="26">
        <f>IF(OR(B180="",E180=""),"",IFERROR(IF(ISNUMBER(INDEX(Config!$D$11:$D$20,MATCH(B180,Config!$A$11:$A$20,0))),E180*INDEX(Config!$D$11:$D$20,MATCH(B180,Config!$A$11:$A$20,0)),"cadastro de custo incompleto em Config"),"pessoa sem custo-hora em Config"))</f>
        <v>278.571428571429</v>
      </c>
      <c r="G180" s="25">
        <f>IF(A180="","",MONTH(A180))</f>
        <v>7</v>
      </c>
      <c r="H180" s="25">
        <f>IF(A180="","",YEAR(A180))</f>
        <v>2026</v>
      </c>
      <c r="I180" s="31" t="inlineStr">
        <is>
          <t>Não</t>
        </is>
      </c>
      <c r="J180" s="36">
        <f>IF(AND(B180&lt;&gt;"",E180&lt;&gt;"",NOT(ISNUMBER(F180))),1,0)</f>
        <v>0</v>
      </c>
    </row>
    <row r="181">
      <c r="A181" s="34" t="n">
        <v>46232</v>
      </c>
      <c r="B181" s="31" t="inlineStr">
        <is>
          <t>Carla</t>
        </is>
      </c>
      <c r="C181" s="31" t="inlineStr">
        <is>
          <t>Gestão e reuniões</t>
        </is>
      </c>
      <c r="D181" s="29" t="inlineStr">
        <is>
          <t>Semanal</t>
        </is>
      </c>
      <c r="E181" s="35" t="n">
        <v>1</v>
      </c>
      <c r="F181" s="26">
        <f>IF(OR(B181="",E181=""),"",IFERROR(IF(ISNUMBER(INDEX(Config!$D$11:$D$20,MATCH(B181,Config!$A$11:$A$20,0))),E181*INDEX(Config!$D$11:$D$20,MATCH(B181,Config!$A$11:$A$20,0)),"cadastro de custo incompleto em Config"),"pessoa sem custo-hora em Config"))</f>
        <v>46.4285714285714</v>
      </c>
      <c r="G181" s="25">
        <f>IF(A181="","",MONTH(A181))</f>
        <v>7</v>
      </c>
      <c r="H181" s="25">
        <f>IF(A181="","",YEAR(A181))</f>
        <v>2026</v>
      </c>
      <c r="I181" s="31" t="inlineStr">
        <is>
          <t>Não</t>
        </is>
      </c>
      <c r="J181" s="36">
        <f>IF(AND(B181&lt;&gt;"",E181&lt;&gt;"",NOT(ISNUMBER(F181))),1,0)</f>
        <v>0</v>
      </c>
    </row>
    <row r="182">
      <c r="A182" s="34" t="n">
        <v>46232</v>
      </c>
      <c r="B182" s="31" t="inlineStr">
        <is>
          <t>Diego</t>
        </is>
      </c>
      <c r="C182" s="31" t="inlineStr">
        <is>
          <t>Comercial e propostas</t>
        </is>
      </c>
      <c r="D182" s="29" t="inlineStr">
        <is>
          <t>Proposta</t>
        </is>
      </c>
      <c r="E182" s="35" t="n">
        <v>3</v>
      </c>
      <c r="F182" s="26">
        <f>IF(OR(B182="",E182=""),"",IFERROR(IF(ISNUMBER(INDEX(Config!$D$11:$D$20,MATCH(B182,Config!$A$11:$A$20,0))),E182*INDEX(Config!$D$11:$D$20,MATCH(B182,Config!$A$11:$A$20,0)),"cadastro de custo incompleto em Config"),"pessoa sem custo-hora em Config"))</f>
        <v>145</v>
      </c>
      <c r="G182" s="25">
        <f>IF(A182="","",MONTH(A182))</f>
        <v>7</v>
      </c>
      <c r="H182" s="25">
        <f>IF(A182="","",YEAR(A182))</f>
        <v>2026</v>
      </c>
      <c r="I182" s="31" t="inlineStr">
        <is>
          <t>Não</t>
        </is>
      </c>
      <c r="J182" s="36">
        <f>IF(AND(B182&lt;&gt;"",E182&lt;&gt;"",NOT(ISNUMBER(F182))),1,0)</f>
        <v>0</v>
      </c>
    </row>
    <row r="183">
      <c r="A183" s="34" t="n">
        <v>46232</v>
      </c>
      <c r="B183" s="31" t="inlineStr">
        <is>
          <t>Diego</t>
        </is>
      </c>
      <c r="C183" s="31" t="inlineStr">
        <is>
          <t>Gestão e reuniões</t>
        </is>
      </c>
      <c r="D183" s="29" t="inlineStr">
        <is>
          <t>Semanal</t>
        </is>
      </c>
      <c r="E183" s="35" t="n">
        <v>2.5</v>
      </c>
      <c r="F183" s="26">
        <f>IF(OR(B183="",E183=""),"",IFERROR(IF(ISNUMBER(INDEX(Config!$D$11:$D$20,MATCH(B183,Config!$A$11:$A$20,0))),E183*INDEX(Config!$D$11:$D$20,MATCH(B183,Config!$A$11:$A$20,0)),"cadastro de custo incompleto em Config"),"pessoa sem custo-hora em Config"))</f>
        <v>120.833333333333</v>
      </c>
      <c r="G183" s="25">
        <f>IF(A183="","",MONTH(A183))</f>
        <v>7</v>
      </c>
      <c r="H183" s="25">
        <f>IF(A183="","",YEAR(A183))</f>
        <v>2026</v>
      </c>
      <c r="I183" s="31" t="inlineStr">
        <is>
          <t>Não</t>
        </is>
      </c>
      <c r="J183" s="36">
        <f>IF(AND(B183&lt;&gt;"",E183&lt;&gt;"",NOT(ISNUMBER(F183))),1,0)</f>
        <v>0</v>
      </c>
    </row>
    <row r="184">
      <c r="A184" s="34" t="n">
        <v>46233</v>
      </c>
      <c r="B184" s="31" t="inlineStr">
        <is>
          <t>Ana</t>
        </is>
      </c>
      <c r="C184" s="31" t="inlineStr">
        <is>
          <t>Comercial e propostas</t>
        </is>
      </c>
      <c r="D184" s="29" t="inlineStr">
        <is>
          <t>Reunião comercial</t>
        </is>
      </c>
      <c r="E184" s="35" t="n">
        <v>3</v>
      </c>
      <c r="F184" s="26">
        <f>IF(OR(B184="",E184=""),"",IFERROR(IF(ISNUMBER(INDEX(Config!$D$11:$D$20,MATCH(B184,Config!$A$11:$A$20,0))),E184*INDEX(Config!$D$11:$D$20,MATCH(B184,Config!$A$11:$A$20,0)),"cadastro de custo incompleto em Config"),"pessoa sem custo-hora em Config"))</f>
        <v>210</v>
      </c>
      <c r="G184" s="25">
        <f>IF(A184="","",MONTH(A184))</f>
        <v>7</v>
      </c>
      <c r="H184" s="25">
        <f>IF(A184="","",YEAR(A184))</f>
        <v>2026</v>
      </c>
      <c r="I184" s="31" t="inlineStr">
        <is>
          <t>Não</t>
        </is>
      </c>
      <c r="J184" s="36">
        <f>IF(AND(B184&lt;&gt;"",E184&lt;&gt;"",NOT(ISNUMBER(F184))),1,0)</f>
        <v>0</v>
      </c>
    </row>
    <row r="185">
      <c r="A185" s="34" t="n">
        <v>46233</v>
      </c>
      <c r="B185" s="31" t="inlineStr">
        <is>
          <t>Ana</t>
        </is>
      </c>
      <c r="C185" s="31" t="inlineStr">
        <is>
          <t>Gestão e reuniões</t>
        </is>
      </c>
      <c r="D185" s="29" t="inlineStr">
        <is>
          <t>Financeiro</t>
        </is>
      </c>
      <c r="E185" s="35" t="n">
        <v>2.5</v>
      </c>
      <c r="F185" s="26">
        <f>IF(OR(B185="",E185=""),"",IFERROR(IF(ISNUMBER(INDEX(Config!$D$11:$D$20,MATCH(B185,Config!$A$11:$A$20,0))),E185*INDEX(Config!$D$11:$D$20,MATCH(B185,Config!$A$11:$A$20,0)),"cadastro de custo incompleto em Config"),"pessoa sem custo-hora em Config"))</f>
        <v>175</v>
      </c>
      <c r="G185" s="25">
        <f>IF(A185="","",MONTH(A185))</f>
        <v>7</v>
      </c>
      <c r="H185" s="25">
        <f>IF(A185="","",YEAR(A185))</f>
        <v>2026</v>
      </c>
      <c r="I185" s="31" t="inlineStr">
        <is>
          <t>Não</t>
        </is>
      </c>
      <c r="J185" s="36">
        <f>IF(AND(B185&lt;&gt;"",E185&lt;&gt;"",NOT(ISNUMBER(F185))),1,0)</f>
        <v>0</v>
      </c>
    </row>
    <row r="186">
      <c r="A186" s="34" t="n">
        <v>46233</v>
      </c>
      <c r="B186" s="31" t="inlineStr">
        <is>
          <t>Bruno</t>
        </is>
      </c>
      <c r="C186" s="31" t="inlineStr">
        <is>
          <t>Identidade visual · Padaria do Sol</t>
        </is>
      </c>
      <c r="D186" s="29" t="inlineStr">
        <is>
          <t>Logo</t>
        </is>
      </c>
      <c r="E186" s="35" t="n">
        <v>1.5</v>
      </c>
      <c r="F186" s="26">
        <f>IF(OR(B186="",E186=""),"",IFERROR(IF(ISNUMBER(INDEX(Config!$D$11:$D$20,MATCH(B186,Config!$A$11:$A$20,0))),E186*INDEX(Config!$D$11:$D$20,MATCH(B186,Config!$A$11:$A$20,0)),"cadastro de custo incompleto em Config"),"pessoa sem custo-hora em Config"))</f>
        <v>77.1428571428571</v>
      </c>
      <c r="G186" s="25">
        <f>IF(A186="","",MONTH(A186))</f>
        <v>7</v>
      </c>
      <c r="H186" s="25">
        <f>IF(A186="","",YEAR(A186))</f>
        <v>2026</v>
      </c>
      <c r="I186" s="31" t="inlineStr">
        <is>
          <t>Sim</t>
        </is>
      </c>
      <c r="J186" s="36">
        <f>IF(AND(B186&lt;&gt;"",E186&lt;&gt;"",NOT(ISNUMBER(F186))),1,0)</f>
        <v>0</v>
      </c>
    </row>
    <row r="187">
      <c r="A187" s="34" t="n">
        <v>46233</v>
      </c>
      <c r="B187" s="31" t="inlineStr">
        <is>
          <t>Bruno</t>
        </is>
      </c>
      <c r="C187" s="31" t="inlineStr">
        <is>
          <t>Gestão e reuniões</t>
        </is>
      </c>
      <c r="D187" s="29" t="inlineStr">
        <is>
          <t>Planejamento</t>
        </is>
      </c>
      <c r="E187" s="35" t="n">
        <v>1</v>
      </c>
      <c r="F187" s="26">
        <f>IF(OR(B187="",E187=""),"",IFERROR(IF(ISNUMBER(INDEX(Config!$D$11:$D$20,MATCH(B187,Config!$A$11:$A$20,0))),E187*INDEX(Config!$D$11:$D$20,MATCH(B187,Config!$A$11:$A$20,0)),"cadastro de custo incompleto em Config"),"pessoa sem custo-hora em Config"))</f>
        <v>51.4285714285714</v>
      </c>
      <c r="G187" s="25">
        <f>IF(A187="","",MONTH(A187))</f>
        <v>7</v>
      </c>
      <c r="H187" s="25">
        <f>IF(A187="","",YEAR(A187))</f>
        <v>2026</v>
      </c>
      <c r="I187" s="31" t="inlineStr">
        <is>
          <t>Não</t>
        </is>
      </c>
      <c r="J187" s="36">
        <f>IF(AND(B187&lt;&gt;"",E187&lt;&gt;"",NOT(ISNUMBER(F187))),1,0)</f>
        <v>0</v>
      </c>
    </row>
    <row r="188">
      <c r="A188" s="34" t="n">
        <v>46233</v>
      </c>
      <c r="B188" s="31" t="inlineStr">
        <is>
          <t>Bruno</t>
        </is>
      </c>
      <c r="C188" s="31" t="inlineStr">
        <is>
          <t>Comercial e propostas</t>
        </is>
      </c>
      <c r="D188" s="29" t="inlineStr">
        <is>
          <t>Reunião comercial</t>
        </is>
      </c>
      <c r="E188" s="35" t="n">
        <v>3.5</v>
      </c>
      <c r="F188" s="26">
        <f>IF(OR(B188="",E188=""),"",IFERROR(IF(ISNUMBER(INDEX(Config!$D$11:$D$20,MATCH(B188,Config!$A$11:$A$20,0))),E188*INDEX(Config!$D$11:$D$20,MATCH(B188,Config!$A$11:$A$20,0)),"cadastro de custo incompleto em Config"),"pessoa sem custo-hora em Config"))</f>
        <v>180</v>
      </c>
      <c r="G188" s="25">
        <f>IF(A188="","",MONTH(A188))</f>
        <v>7</v>
      </c>
      <c r="H188" s="25">
        <f>IF(A188="","",YEAR(A188))</f>
        <v>2026</v>
      </c>
      <c r="I188" s="31" t="inlineStr">
        <is>
          <t>Não</t>
        </is>
      </c>
      <c r="J188" s="36">
        <f>IF(AND(B188&lt;&gt;"",E188&lt;&gt;"",NOT(ISNUMBER(F188))),1,0)</f>
        <v>0</v>
      </c>
    </row>
    <row r="189">
      <c r="A189" s="34" t="n">
        <v>46233</v>
      </c>
      <c r="B189" s="31" t="inlineStr">
        <is>
          <t>Carla</t>
        </is>
      </c>
      <c r="C189" s="31" t="inlineStr">
        <is>
          <t>Comercial e propostas</t>
        </is>
      </c>
      <c r="D189" s="29" t="inlineStr">
        <is>
          <t>Reunião comercial</t>
        </is>
      </c>
      <c r="E189" s="35" t="n">
        <v>6</v>
      </c>
      <c r="F189" s="26">
        <f>IF(OR(B189="",E189=""),"",IFERROR(IF(ISNUMBER(INDEX(Config!$D$11:$D$20,MATCH(B189,Config!$A$11:$A$20,0))),E189*INDEX(Config!$D$11:$D$20,MATCH(B189,Config!$A$11:$A$20,0)),"cadastro de custo incompleto em Config"),"pessoa sem custo-hora em Config"))</f>
        <v>278.571428571429</v>
      </c>
      <c r="G189" s="25">
        <f>IF(A189="","",MONTH(A189))</f>
        <v>7</v>
      </c>
      <c r="H189" s="25">
        <f>IF(A189="","",YEAR(A189))</f>
        <v>2026</v>
      </c>
      <c r="I189" s="31" t="inlineStr">
        <is>
          <t>Não</t>
        </is>
      </c>
      <c r="J189" s="36">
        <f>IF(AND(B189&lt;&gt;"",E189&lt;&gt;"",NOT(ISNUMBER(F189))),1,0)</f>
        <v>0</v>
      </c>
    </row>
    <row r="190">
      <c r="A190" s="34" t="n">
        <v>46233</v>
      </c>
      <c r="B190" s="31" t="inlineStr">
        <is>
          <t>Carla</t>
        </is>
      </c>
      <c r="C190" s="31" t="inlineStr">
        <is>
          <t>Gestão e reuniões</t>
        </is>
      </c>
      <c r="D190" s="29" t="inlineStr">
        <is>
          <t>Planejamento</t>
        </is>
      </c>
      <c r="E190" s="35" t="n">
        <v>1</v>
      </c>
      <c r="F190" s="26">
        <f>IF(OR(B190="",E190=""),"",IFERROR(IF(ISNUMBER(INDEX(Config!$D$11:$D$20,MATCH(B190,Config!$A$11:$A$20,0))),E190*INDEX(Config!$D$11:$D$20,MATCH(B190,Config!$A$11:$A$20,0)),"cadastro de custo incompleto em Config"),"pessoa sem custo-hora em Config"))</f>
        <v>46.4285714285714</v>
      </c>
      <c r="G190" s="25">
        <f>IF(A190="","",MONTH(A190))</f>
        <v>7</v>
      </c>
      <c r="H190" s="25">
        <f>IF(A190="","",YEAR(A190))</f>
        <v>2026</v>
      </c>
      <c r="I190" s="31" t="inlineStr">
        <is>
          <t>Não</t>
        </is>
      </c>
      <c r="J190" s="36">
        <f>IF(AND(B190&lt;&gt;"",E190&lt;&gt;"",NOT(ISNUMBER(F190))),1,0)</f>
        <v>0</v>
      </c>
    </row>
    <row r="191">
      <c r="A191" s="34" t="n">
        <v>46233</v>
      </c>
      <c r="B191" s="31" t="inlineStr">
        <is>
          <t>Diego</t>
        </is>
      </c>
      <c r="C191" s="31" t="inlineStr">
        <is>
          <t>Comercial e propostas</t>
        </is>
      </c>
      <c r="D191" s="29" t="inlineStr">
        <is>
          <t>Proposta</t>
        </is>
      </c>
      <c r="E191" s="35" t="n">
        <v>5.5</v>
      </c>
      <c r="F191" s="26">
        <f>IF(OR(B191="",E191=""),"",IFERROR(IF(ISNUMBER(INDEX(Config!$D$11:$D$20,MATCH(B191,Config!$A$11:$A$20,0))),E191*INDEX(Config!$D$11:$D$20,MATCH(B191,Config!$A$11:$A$20,0)),"cadastro de custo incompleto em Config"),"pessoa sem custo-hora em Config"))</f>
        <v>265.833333333333</v>
      </c>
      <c r="G191" s="25">
        <f>IF(A191="","",MONTH(A191))</f>
        <v>7</v>
      </c>
      <c r="H191" s="25">
        <f>IF(A191="","",YEAR(A191))</f>
        <v>2026</v>
      </c>
      <c r="I191" s="31" t="inlineStr">
        <is>
          <t>Não</t>
        </is>
      </c>
      <c r="J191" s="36">
        <f>IF(AND(B191&lt;&gt;"",E191&lt;&gt;"",NOT(ISNUMBER(F191))),1,0)</f>
        <v>0</v>
      </c>
    </row>
    <row r="192">
      <c r="A192" s="34" t="n">
        <v>46233</v>
      </c>
      <c r="B192" s="31" t="inlineStr">
        <is>
          <t>Diego</t>
        </is>
      </c>
      <c r="C192" s="31" t="inlineStr">
        <is>
          <t>Gestão e reuniões</t>
        </is>
      </c>
      <c r="D192" s="29" t="inlineStr">
        <is>
          <t>Planejamento</t>
        </is>
      </c>
      <c r="E192" s="35" t="n">
        <v>3.5</v>
      </c>
      <c r="F192" s="26">
        <f>IF(OR(B192="",E192=""),"",IFERROR(IF(ISNUMBER(INDEX(Config!$D$11:$D$20,MATCH(B192,Config!$A$11:$A$20,0))),E192*INDEX(Config!$D$11:$D$20,MATCH(B192,Config!$A$11:$A$20,0)),"cadastro de custo incompleto em Config"),"pessoa sem custo-hora em Config"))</f>
        <v>169.166666666667</v>
      </c>
      <c r="G192" s="25">
        <f>IF(A192="","",MONTH(A192))</f>
        <v>7</v>
      </c>
      <c r="H192" s="25">
        <f>IF(A192="","",YEAR(A192))</f>
        <v>2026</v>
      </c>
      <c r="I192" s="31" t="inlineStr">
        <is>
          <t>Não</t>
        </is>
      </c>
      <c r="J192" s="36">
        <f>IF(AND(B192&lt;&gt;"",E192&lt;&gt;"",NOT(ISNUMBER(F192))),1,0)</f>
        <v>0</v>
      </c>
    </row>
    <row r="193">
      <c r="A193" s="34" t="n">
        <v>46234</v>
      </c>
      <c r="B193" s="31" t="inlineStr">
        <is>
          <t>Ana</t>
        </is>
      </c>
      <c r="C193" s="31" t="inlineStr">
        <is>
          <t>Comercial e propostas</t>
        </is>
      </c>
      <c r="D193" s="29" t="inlineStr">
        <is>
          <t>Proposta</t>
        </is>
      </c>
      <c r="E193" s="35" t="n">
        <v>5.5</v>
      </c>
      <c r="F193" s="26">
        <f>IF(OR(B193="",E193=""),"",IFERROR(IF(ISNUMBER(INDEX(Config!$D$11:$D$20,MATCH(B193,Config!$A$11:$A$20,0))),E193*INDEX(Config!$D$11:$D$20,MATCH(B193,Config!$A$11:$A$20,0)),"cadastro de custo incompleto em Config"),"pessoa sem custo-hora em Config"))</f>
        <v>385</v>
      </c>
      <c r="G193" s="25">
        <f>IF(A193="","",MONTH(A193))</f>
        <v>7</v>
      </c>
      <c r="H193" s="25">
        <f>IF(A193="","",YEAR(A193))</f>
        <v>2026</v>
      </c>
      <c r="I193" s="31" t="inlineStr">
        <is>
          <t>Não</t>
        </is>
      </c>
      <c r="J193" s="36">
        <f>IF(AND(B193&lt;&gt;"",E193&lt;&gt;"",NOT(ISNUMBER(F193))),1,0)</f>
        <v>0</v>
      </c>
    </row>
    <row r="194">
      <c r="A194" s="34" t="n">
        <v>46234</v>
      </c>
      <c r="B194" s="31" t="inlineStr">
        <is>
          <t>Ana</t>
        </is>
      </c>
      <c r="C194" s="31" t="inlineStr">
        <is>
          <t>Gestão e reuniões</t>
        </is>
      </c>
      <c r="D194" s="29" t="inlineStr">
        <is>
          <t>Planejamento</t>
        </is>
      </c>
      <c r="E194" s="35" t="n">
        <v>3.5</v>
      </c>
      <c r="F194" s="26">
        <f>IF(OR(B194="",E194=""),"",IFERROR(IF(ISNUMBER(INDEX(Config!$D$11:$D$20,MATCH(B194,Config!$A$11:$A$20,0))),E194*INDEX(Config!$D$11:$D$20,MATCH(B194,Config!$A$11:$A$20,0)),"cadastro de custo incompleto em Config"),"pessoa sem custo-hora em Config"))</f>
        <v>245</v>
      </c>
      <c r="G194" s="25">
        <f>IF(A194="","",MONTH(A194))</f>
        <v>7</v>
      </c>
      <c r="H194" s="25">
        <f>IF(A194="","",YEAR(A194))</f>
        <v>2026</v>
      </c>
      <c r="I194" s="31" t="inlineStr">
        <is>
          <t>Não</t>
        </is>
      </c>
      <c r="J194" s="36">
        <f>IF(AND(B194&lt;&gt;"",E194&lt;&gt;"",NOT(ISNUMBER(F194))),1,0)</f>
        <v>0</v>
      </c>
    </row>
    <row r="195">
      <c r="A195" s="34" t="n">
        <v>46234</v>
      </c>
      <c r="B195" s="31" t="inlineStr">
        <is>
          <t>Bruno</t>
        </is>
      </c>
      <c r="C195" s="31" t="inlineStr">
        <is>
          <t>Identidade visual · Padaria do Sol</t>
        </is>
      </c>
      <c r="D195" s="29" t="inlineStr">
        <is>
          <t>Logo</t>
        </is>
      </c>
      <c r="E195" s="35" t="n">
        <v>2</v>
      </c>
      <c r="F195" s="26">
        <f>IF(OR(B195="",E195=""),"",IFERROR(IF(ISNUMBER(INDEX(Config!$D$11:$D$20,MATCH(B195,Config!$A$11:$A$20,0))),E195*INDEX(Config!$D$11:$D$20,MATCH(B195,Config!$A$11:$A$20,0)),"cadastro de custo incompleto em Config"),"pessoa sem custo-hora em Config"))</f>
        <v>102.857142857143</v>
      </c>
      <c r="G195" s="25">
        <f>IF(A195="","",MONTH(A195))</f>
        <v>7</v>
      </c>
      <c r="H195" s="25">
        <f>IF(A195="","",YEAR(A195))</f>
        <v>2026</v>
      </c>
      <c r="I195" s="31" t="inlineStr">
        <is>
          <t>Sim</t>
        </is>
      </c>
      <c r="J195" s="36">
        <f>IF(AND(B195&lt;&gt;"",E195&lt;&gt;"",NOT(ISNUMBER(F195))),1,0)</f>
        <v>0</v>
      </c>
    </row>
    <row r="196">
      <c r="A196" s="34" t="n">
        <v>46234</v>
      </c>
      <c r="B196" s="31" t="inlineStr">
        <is>
          <t>Bruno</t>
        </is>
      </c>
      <c r="C196" s="31" t="inlineStr">
        <is>
          <t>Gestão e reuniões</t>
        </is>
      </c>
      <c r="D196" s="29" t="inlineStr">
        <is>
          <t>Planejamento</t>
        </is>
      </c>
      <c r="E196" s="35" t="n">
        <v>1.5</v>
      </c>
      <c r="F196" s="26">
        <f>IF(OR(B196="",E196=""),"",IFERROR(IF(ISNUMBER(INDEX(Config!$D$11:$D$20,MATCH(B196,Config!$A$11:$A$20,0))),E196*INDEX(Config!$D$11:$D$20,MATCH(B196,Config!$A$11:$A$20,0)),"cadastro de custo incompleto em Config"),"pessoa sem custo-hora em Config"))</f>
        <v>77.1428571428571</v>
      </c>
      <c r="G196" s="25">
        <f>IF(A196="","",MONTH(A196))</f>
        <v>7</v>
      </c>
      <c r="H196" s="25">
        <f>IF(A196="","",YEAR(A196))</f>
        <v>2026</v>
      </c>
      <c r="I196" s="31" t="inlineStr">
        <is>
          <t>Não</t>
        </is>
      </c>
      <c r="J196" s="36">
        <f>IF(AND(B196&lt;&gt;"",E196&lt;&gt;"",NOT(ISNUMBER(F196))),1,0)</f>
        <v>0</v>
      </c>
    </row>
    <row r="197">
      <c r="A197" s="34" t="n">
        <v>46234</v>
      </c>
      <c r="B197" s="31" t="inlineStr">
        <is>
          <t>Bruno</t>
        </is>
      </c>
      <c r="C197" s="31" t="inlineStr">
        <is>
          <t>Comercial e propostas</t>
        </is>
      </c>
      <c r="D197" s="29" t="inlineStr">
        <is>
          <t>Proposta</t>
        </is>
      </c>
      <c r="E197" s="35" t="n">
        <v>6</v>
      </c>
      <c r="F197" s="26">
        <f>IF(OR(B197="",E197=""),"",IFERROR(IF(ISNUMBER(INDEX(Config!$D$11:$D$20,MATCH(B197,Config!$A$11:$A$20,0))),E197*INDEX(Config!$D$11:$D$20,MATCH(B197,Config!$A$11:$A$20,0)),"cadastro de custo incompleto em Config"),"pessoa sem custo-hora em Config"))</f>
        <v>308.571428571429</v>
      </c>
      <c r="G197" s="25">
        <f>IF(A197="","",MONTH(A197))</f>
        <v>7</v>
      </c>
      <c r="H197" s="25">
        <f>IF(A197="","",YEAR(A197))</f>
        <v>2026</v>
      </c>
      <c r="I197" s="31" t="inlineStr">
        <is>
          <t>Não</t>
        </is>
      </c>
      <c r="J197" s="36">
        <f>IF(AND(B197&lt;&gt;"",E197&lt;&gt;"",NOT(ISNUMBER(F197))),1,0)</f>
        <v>0</v>
      </c>
    </row>
    <row r="198">
      <c r="A198" s="34" t="n">
        <v>46234</v>
      </c>
      <c r="B198" s="31" t="inlineStr">
        <is>
          <t>Carla</t>
        </is>
      </c>
      <c r="C198" s="31" t="inlineStr">
        <is>
          <t>Comercial e propostas</t>
        </is>
      </c>
      <c r="D198" s="29" t="inlineStr">
        <is>
          <t>Proposta</t>
        </is>
      </c>
      <c r="E198" s="35" t="n">
        <v>6.5</v>
      </c>
      <c r="F198" s="26">
        <f>IF(OR(B198="",E198=""),"",IFERROR(IF(ISNUMBER(INDEX(Config!$D$11:$D$20,MATCH(B198,Config!$A$11:$A$20,0))),E198*INDEX(Config!$D$11:$D$20,MATCH(B198,Config!$A$11:$A$20,0)),"cadastro de custo incompleto em Config"),"pessoa sem custo-hora em Config"))</f>
        <v>301.785714285714</v>
      </c>
      <c r="G198" s="25">
        <f>IF(A198="","",MONTH(A198))</f>
        <v>7</v>
      </c>
      <c r="H198" s="25">
        <f>IF(A198="","",YEAR(A198))</f>
        <v>2026</v>
      </c>
      <c r="I198" s="31" t="inlineStr">
        <is>
          <t>Não</t>
        </is>
      </c>
      <c r="J198" s="36">
        <f>IF(AND(B198&lt;&gt;"",E198&lt;&gt;"",NOT(ISNUMBER(F198))),1,0)</f>
        <v>0</v>
      </c>
    </row>
    <row r="199">
      <c r="A199" s="34" t="n">
        <v>46234</v>
      </c>
      <c r="B199" s="31" t="inlineStr">
        <is>
          <t>Carla</t>
        </is>
      </c>
      <c r="C199" s="31" t="inlineStr">
        <is>
          <t>Gestão e reuniões</t>
        </is>
      </c>
      <c r="D199" s="29" t="inlineStr">
        <is>
          <t>Semanal</t>
        </is>
      </c>
      <c r="E199" s="35" t="n">
        <v>1</v>
      </c>
      <c r="F199" s="26">
        <f>IF(OR(B199="",E199=""),"",IFERROR(IF(ISNUMBER(INDEX(Config!$D$11:$D$20,MATCH(B199,Config!$A$11:$A$20,0))),E199*INDEX(Config!$D$11:$D$20,MATCH(B199,Config!$A$11:$A$20,0)),"cadastro de custo incompleto em Config"),"pessoa sem custo-hora em Config"))</f>
        <v>46.4285714285714</v>
      </c>
      <c r="G199" s="25">
        <f>IF(A199="","",MONTH(A199))</f>
        <v>7</v>
      </c>
      <c r="H199" s="25">
        <f>IF(A199="","",YEAR(A199))</f>
        <v>2026</v>
      </c>
      <c r="I199" s="31" t="inlineStr">
        <is>
          <t>Não</t>
        </is>
      </c>
      <c r="J199" s="36">
        <f>IF(AND(B199&lt;&gt;"",E199&lt;&gt;"",NOT(ISNUMBER(F199))),1,0)</f>
        <v>0</v>
      </c>
    </row>
    <row r="200">
      <c r="A200" s="34" t="n">
        <v>46234</v>
      </c>
      <c r="B200" s="31" t="inlineStr">
        <is>
          <t>Diego</t>
        </is>
      </c>
      <c r="C200" s="31" t="inlineStr">
        <is>
          <t>Comercial e propostas</t>
        </is>
      </c>
      <c r="D200" s="29" t="inlineStr">
        <is>
          <t>Proposta</t>
        </is>
      </c>
      <c r="E200" s="35" t="n">
        <v>2.5</v>
      </c>
      <c r="F200" s="26">
        <f>IF(OR(B200="",E200=""),"",IFERROR(IF(ISNUMBER(INDEX(Config!$D$11:$D$20,MATCH(B200,Config!$A$11:$A$20,0))),E200*INDEX(Config!$D$11:$D$20,MATCH(B200,Config!$A$11:$A$20,0)),"cadastro de custo incompleto em Config"),"pessoa sem custo-hora em Config"))</f>
        <v>120.833333333333</v>
      </c>
      <c r="G200" s="25">
        <f>IF(A200="","",MONTH(A200))</f>
        <v>7</v>
      </c>
      <c r="H200" s="25">
        <f>IF(A200="","",YEAR(A200))</f>
        <v>2026</v>
      </c>
      <c r="I200" s="31" t="inlineStr">
        <is>
          <t>Não</t>
        </is>
      </c>
      <c r="J200" s="36">
        <f>IF(AND(B200&lt;&gt;"",E200&lt;&gt;"",NOT(ISNUMBER(F200))),1,0)</f>
        <v>0</v>
      </c>
    </row>
    <row r="201">
      <c r="A201" s="34" t="n">
        <v>46234</v>
      </c>
      <c r="B201" s="31" t="inlineStr">
        <is>
          <t>Diego</t>
        </is>
      </c>
      <c r="C201" s="31" t="inlineStr">
        <is>
          <t>Gestão e reuniões</t>
        </is>
      </c>
      <c r="D201" s="29" t="inlineStr">
        <is>
          <t>Semanal</t>
        </is>
      </c>
      <c r="E201" s="35" t="n">
        <v>2</v>
      </c>
      <c r="F201" s="26">
        <f>IF(OR(B201="",E201=""),"",IFERROR(IF(ISNUMBER(INDEX(Config!$D$11:$D$20,MATCH(B201,Config!$A$11:$A$20,0))),E201*INDEX(Config!$D$11:$D$20,MATCH(B201,Config!$A$11:$A$20,0)),"cadastro de custo incompleto em Config"),"pessoa sem custo-hora em Config"))</f>
        <v>96.6666666666667</v>
      </c>
      <c r="G201" s="25">
        <f>IF(A201="","",MONTH(A201))</f>
        <v>7</v>
      </c>
      <c r="H201" s="25">
        <f>IF(A201="","",YEAR(A201))</f>
        <v>2026</v>
      </c>
      <c r="I201" s="31" t="inlineStr">
        <is>
          <t>Não</t>
        </is>
      </c>
      <c r="J201" s="36">
        <f>IF(AND(B201&lt;&gt;"",E201&lt;&gt;"",NOT(ISNUMBER(F201))),1,0)</f>
        <v>0</v>
      </c>
    </row>
    <row r="202">
      <c r="A202" s="34" t="n">
        <v>46237</v>
      </c>
      <c r="B202" s="31" t="inlineStr">
        <is>
          <t>Ana</t>
        </is>
      </c>
      <c r="C202" s="31" t="inlineStr">
        <is>
          <t>Comercial e propostas</t>
        </is>
      </c>
      <c r="D202" s="29" t="inlineStr">
        <is>
          <t>Reunião comercial</t>
        </is>
      </c>
      <c r="E202" s="35" t="n">
        <v>4</v>
      </c>
      <c r="F202" s="26">
        <f>IF(OR(B202="",E202=""),"",IFERROR(IF(ISNUMBER(INDEX(Config!$D$11:$D$20,MATCH(B202,Config!$A$11:$A$20,0))),E202*INDEX(Config!$D$11:$D$20,MATCH(B202,Config!$A$11:$A$20,0)),"cadastro de custo incompleto em Config"),"pessoa sem custo-hora em Config"))</f>
        <v>280</v>
      </c>
      <c r="G202" s="25">
        <f>IF(A202="","",MONTH(A202))</f>
        <v>8</v>
      </c>
      <c r="H202" s="25">
        <f>IF(A202="","",YEAR(A202))</f>
        <v>2026</v>
      </c>
      <c r="I202" s="31" t="inlineStr">
        <is>
          <t>Não</t>
        </is>
      </c>
      <c r="J202" s="36">
        <f>IF(AND(B202&lt;&gt;"",E202&lt;&gt;"",NOT(ISNUMBER(F202))),1,0)</f>
        <v>0</v>
      </c>
    </row>
    <row r="203">
      <c r="A203" s="34" t="n">
        <v>46237</v>
      </c>
      <c r="B203" s="31" t="inlineStr">
        <is>
          <t>Ana</t>
        </is>
      </c>
      <c r="C203" s="31" t="inlineStr">
        <is>
          <t>Gestão e reuniões</t>
        </is>
      </c>
      <c r="D203" s="29" t="inlineStr">
        <is>
          <t>Financeiro</t>
        </is>
      </c>
      <c r="E203" s="35" t="n">
        <v>3</v>
      </c>
      <c r="F203" s="26">
        <f>IF(OR(B203="",E203=""),"",IFERROR(IF(ISNUMBER(INDEX(Config!$D$11:$D$20,MATCH(B203,Config!$A$11:$A$20,0))),E203*INDEX(Config!$D$11:$D$20,MATCH(B203,Config!$A$11:$A$20,0)),"cadastro de custo incompleto em Config"),"pessoa sem custo-hora em Config"))</f>
        <v>210</v>
      </c>
      <c r="G203" s="25">
        <f>IF(A203="","",MONTH(A203))</f>
        <v>8</v>
      </c>
      <c r="H203" s="25">
        <f>IF(A203="","",YEAR(A203))</f>
        <v>2026</v>
      </c>
      <c r="I203" s="31" t="inlineStr">
        <is>
          <t>Não</t>
        </is>
      </c>
      <c r="J203" s="36">
        <f>IF(AND(B203&lt;&gt;"",E203&lt;&gt;"",NOT(ISNUMBER(F203))),1,0)</f>
        <v>0</v>
      </c>
    </row>
    <row r="204">
      <c r="A204" s="34" t="n">
        <v>46237</v>
      </c>
      <c r="B204" s="31" t="inlineStr">
        <is>
          <t>Bruno</t>
        </is>
      </c>
      <c r="C204" s="31" t="inlineStr">
        <is>
          <t>Identidade visual · Padaria do Sol</t>
        </is>
      </c>
      <c r="D204" s="29" t="inlineStr">
        <is>
          <t>Logo</t>
        </is>
      </c>
      <c r="E204" s="35" t="n">
        <v>2</v>
      </c>
      <c r="F204" s="26">
        <f>IF(OR(B204="",E204=""),"",IFERROR(IF(ISNUMBER(INDEX(Config!$D$11:$D$20,MATCH(B204,Config!$A$11:$A$20,0))),E204*INDEX(Config!$D$11:$D$20,MATCH(B204,Config!$A$11:$A$20,0)),"cadastro de custo incompleto em Config"),"pessoa sem custo-hora em Config"))</f>
        <v>102.857142857143</v>
      </c>
      <c r="G204" s="25">
        <f>IF(A204="","",MONTH(A204))</f>
        <v>8</v>
      </c>
      <c r="H204" s="25">
        <f>IF(A204="","",YEAR(A204))</f>
        <v>2026</v>
      </c>
      <c r="I204" s="31" t="inlineStr">
        <is>
          <t>Sim</t>
        </is>
      </c>
      <c r="J204" s="36">
        <f>IF(AND(B204&lt;&gt;"",E204&lt;&gt;"",NOT(ISNUMBER(F204))),1,0)</f>
        <v>0</v>
      </c>
    </row>
    <row r="205">
      <c r="A205" s="34" t="n">
        <v>46237</v>
      </c>
      <c r="B205" s="31" t="inlineStr">
        <is>
          <t>Bruno</t>
        </is>
      </c>
      <c r="C205" s="31" t="inlineStr">
        <is>
          <t>Gestão e reuniões</t>
        </is>
      </c>
      <c r="D205" s="29" t="inlineStr">
        <is>
          <t>Planejamento</t>
        </is>
      </c>
      <c r="E205" s="35" t="n">
        <v>1</v>
      </c>
      <c r="F205" s="26">
        <f>IF(OR(B205="",E205=""),"",IFERROR(IF(ISNUMBER(INDEX(Config!$D$11:$D$20,MATCH(B205,Config!$A$11:$A$20,0))),E205*INDEX(Config!$D$11:$D$20,MATCH(B205,Config!$A$11:$A$20,0)),"cadastro de custo incompleto em Config"),"pessoa sem custo-hora em Config"))</f>
        <v>51.4285714285714</v>
      </c>
      <c r="G205" s="25">
        <f>IF(A205="","",MONTH(A205))</f>
        <v>8</v>
      </c>
      <c r="H205" s="25">
        <f>IF(A205="","",YEAR(A205))</f>
        <v>2026</v>
      </c>
      <c r="I205" s="31" t="inlineStr">
        <is>
          <t>Não</t>
        </is>
      </c>
      <c r="J205" s="36">
        <f>IF(AND(B205&lt;&gt;"",E205&lt;&gt;"",NOT(ISNUMBER(F205))),1,0)</f>
        <v>0</v>
      </c>
    </row>
    <row r="206">
      <c r="A206" s="34" t="n">
        <v>46237</v>
      </c>
      <c r="B206" s="31" t="inlineStr">
        <is>
          <t>Bruno</t>
        </is>
      </c>
      <c r="C206" s="31" t="inlineStr">
        <is>
          <t>Comercial e propostas</t>
        </is>
      </c>
      <c r="D206" s="29" t="inlineStr">
        <is>
          <t>Proposta</t>
        </is>
      </c>
      <c r="E206" s="35" t="n">
        <v>5.5</v>
      </c>
      <c r="F206" s="26">
        <f>IF(OR(B206="",E206=""),"",IFERROR(IF(ISNUMBER(INDEX(Config!$D$11:$D$20,MATCH(B206,Config!$A$11:$A$20,0))),E206*INDEX(Config!$D$11:$D$20,MATCH(B206,Config!$A$11:$A$20,0)),"cadastro de custo incompleto em Config"),"pessoa sem custo-hora em Config"))</f>
        <v>282.857142857143</v>
      </c>
      <c r="G206" s="25">
        <f>IF(A206="","",MONTH(A206))</f>
        <v>8</v>
      </c>
      <c r="H206" s="25">
        <f>IF(A206="","",YEAR(A206))</f>
        <v>2026</v>
      </c>
      <c r="I206" s="31" t="inlineStr">
        <is>
          <t>Não</t>
        </is>
      </c>
      <c r="J206" s="36">
        <f>IF(AND(B206&lt;&gt;"",E206&lt;&gt;"",NOT(ISNUMBER(F206))),1,0)</f>
        <v>0</v>
      </c>
    </row>
    <row r="207">
      <c r="A207" s="34" t="n">
        <v>46237</v>
      </c>
      <c r="B207" s="31" t="inlineStr">
        <is>
          <t>Carla</t>
        </is>
      </c>
      <c r="C207" s="31" t="inlineStr">
        <is>
          <t>Comercial e propostas</t>
        </is>
      </c>
      <c r="D207" s="29" t="inlineStr">
        <is>
          <t>Reunião comercial</t>
        </is>
      </c>
      <c r="E207" s="35" t="n">
        <v>4</v>
      </c>
      <c r="F207" s="26">
        <f>IF(OR(B207="",E207=""),"",IFERROR(IF(ISNUMBER(INDEX(Config!$D$11:$D$20,MATCH(B207,Config!$A$11:$A$20,0))),E207*INDEX(Config!$D$11:$D$20,MATCH(B207,Config!$A$11:$A$20,0)),"cadastro de custo incompleto em Config"),"pessoa sem custo-hora em Config"))</f>
        <v>185.714285714286</v>
      </c>
      <c r="G207" s="25">
        <f>IF(A207="","",MONTH(A207))</f>
        <v>8</v>
      </c>
      <c r="H207" s="25">
        <f>IF(A207="","",YEAR(A207))</f>
        <v>2026</v>
      </c>
      <c r="I207" s="31" t="inlineStr">
        <is>
          <t>Não</t>
        </is>
      </c>
      <c r="J207" s="36">
        <f>IF(AND(B207&lt;&gt;"",E207&lt;&gt;"",NOT(ISNUMBER(F207))),1,0)</f>
        <v>0</v>
      </c>
    </row>
    <row r="208">
      <c r="A208" s="34" t="n">
        <v>46237</v>
      </c>
      <c r="B208" s="31" t="inlineStr">
        <is>
          <t>Carla</t>
        </is>
      </c>
      <c r="C208" s="31" t="inlineStr">
        <is>
          <t>Gestão e reuniões</t>
        </is>
      </c>
      <c r="D208" s="29" t="inlineStr">
        <is>
          <t>Financeiro</t>
        </is>
      </c>
      <c r="E208" s="35" t="n">
        <v>1</v>
      </c>
      <c r="F208" s="26">
        <f>IF(OR(B208="",E208=""),"",IFERROR(IF(ISNUMBER(INDEX(Config!$D$11:$D$20,MATCH(B208,Config!$A$11:$A$20,0))),E208*INDEX(Config!$D$11:$D$20,MATCH(B208,Config!$A$11:$A$20,0)),"cadastro de custo incompleto em Config"),"pessoa sem custo-hora em Config"))</f>
        <v>46.4285714285714</v>
      </c>
      <c r="G208" s="25">
        <f>IF(A208="","",MONTH(A208))</f>
        <v>8</v>
      </c>
      <c r="H208" s="25">
        <f>IF(A208="","",YEAR(A208))</f>
        <v>2026</v>
      </c>
      <c r="I208" s="31" t="inlineStr">
        <is>
          <t>Não</t>
        </is>
      </c>
      <c r="J208" s="36">
        <f>IF(AND(B208&lt;&gt;"",E208&lt;&gt;"",NOT(ISNUMBER(F208))),1,0)</f>
        <v>0</v>
      </c>
    </row>
    <row r="209">
      <c r="A209" s="34" t="n">
        <v>46237</v>
      </c>
      <c r="B209" s="31" t="inlineStr">
        <is>
          <t>Diego</t>
        </is>
      </c>
      <c r="C209" s="31" t="inlineStr">
        <is>
          <t>Comercial e propostas</t>
        </is>
      </c>
      <c r="D209" s="29" t="inlineStr">
        <is>
          <t>Reunião comercial</t>
        </is>
      </c>
      <c r="E209" s="35" t="n">
        <v>3.5</v>
      </c>
      <c r="F209" s="26">
        <f>IF(OR(B209="",E209=""),"",IFERROR(IF(ISNUMBER(INDEX(Config!$D$11:$D$20,MATCH(B209,Config!$A$11:$A$20,0))),E209*INDEX(Config!$D$11:$D$20,MATCH(B209,Config!$A$11:$A$20,0)),"cadastro de custo incompleto em Config"),"pessoa sem custo-hora em Config"))</f>
        <v>169.166666666667</v>
      </c>
      <c r="G209" s="25">
        <f>IF(A209="","",MONTH(A209))</f>
        <v>8</v>
      </c>
      <c r="H209" s="25">
        <f>IF(A209="","",YEAR(A209))</f>
        <v>2026</v>
      </c>
      <c r="I209" s="31" t="inlineStr">
        <is>
          <t>Não</t>
        </is>
      </c>
      <c r="J209" s="36">
        <f>IF(AND(B209&lt;&gt;"",E209&lt;&gt;"",NOT(ISNUMBER(F209))),1,0)</f>
        <v>0</v>
      </c>
    </row>
    <row r="210">
      <c r="A210" s="34" t="n">
        <v>46237</v>
      </c>
      <c r="B210" s="31" t="inlineStr">
        <is>
          <t>Diego</t>
        </is>
      </c>
      <c r="C210" s="31" t="inlineStr">
        <is>
          <t>Gestão e reuniões</t>
        </is>
      </c>
      <c r="D210" s="29" t="inlineStr">
        <is>
          <t>Planejamento</t>
        </is>
      </c>
      <c r="E210" s="35" t="n">
        <v>2.5</v>
      </c>
      <c r="F210" s="26">
        <f>IF(OR(B210="",E210=""),"",IFERROR(IF(ISNUMBER(INDEX(Config!$D$11:$D$20,MATCH(B210,Config!$A$11:$A$20,0))),E210*INDEX(Config!$D$11:$D$20,MATCH(B210,Config!$A$11:$A$20,0)),"cadastro de custo incompleto em Config"),"pessoa sem custo-hora em Config"))</f>
        <v>120.833333333333</v>
      </c>
      <c r="G210" s="25">
        <f>IF(A210="","",MONTH(A210))</f>
        <v>8</v>
      </c>
      <c r="H210" s="25">
        <f>IF(A210="","",YEAR(A210))</f>
        <v>2026</v>
      </c>
      <c r="I210" s="31" t="inlineStr">
        <is>
          <t>Não</t>
        </is>
      </c>
      <c r="J210" s="36">
        <f>IF(AND(B210&lt;&gt;"",E210&lt;&gt;"",NOT(ISNUMBER(F210))),1,0)</f>
        <v>0</v>
      </c>
    </row>
    <row r="211">
      <c r="A211" s="34" t="n">
        <v>46238</v>
      </c>
      <c r="B211" s="31" t="inlineStr">
        <is>
          <t>Ana</t>
        </is>
      </c>
      <c r="C211" s="31" t="inlineStr">
        <is>
          <t>Comercial e propostas</t>
        </is>
      </c>
      <c r="D211" s="29" t="inlineStr">
        <is>
          <t>Proposta</t>
        </is>
      </c>
      <c r="E211" s="35" t="n">
        <v>4.5</v>
      </c>
      <c r="F211" s="26">
        <f>IF(OR(B211="",E211=""),"",IFERROR(IF(ISNUMBER(INDEX(Config!$D$11:$D$20,MATCH(B211,Config!$A$11:$A$20,0))),E211*INDEX(Config!$D$11:$D$20,MATCH(B211,Config!$A$11:$A$20,0)),"cadastro de custo incompleto em Config"),"pessoa sem custo-hora em Config"))</f>
        <v>315</v>
      </c>
      <c r="G211" s="25">
        <f>IF(A211="","",MONTH(A211))</f>
        <v>8</v>
      </c>
      <c r="H211" s="25">
        <f>IF(A211="","",YEAR(A211))</f>
        <v>2026</v>
      </c>
      <c r="I211" s="31" t="inlineStr">
        <is>
          <t>Não</t>
        </is>
      </c>
      <c r="J211" s="36">
        <f>IF(AND(B211&lt;&gt;"",E211&lt;&gt;"",NOT(ISNUMBER(F211))),1,0)</f>
        <v>0</v>
      </c>
    </row>
    <row r="212">
      <c r="A212" s="34" t="n">
        <v>46238</v>
      </c>
      <c r="B212" s="31" t="inlineStr">
        <is>
          <t>Ana</t>
        </is>
      </c>
      <c r="C212" s="31" t="inlineStr">
        <is>
          <t>Gestão e reuniões</t>
        </is>
      </c>
      <c r="D212" s="29" t="inlineStr">
        <is>
          <t>Semanal</t>
        </is>
      </c>
      <c r="E212" s="35" t="n">
        <v>3.5</v>
      </c>
      <c r="F212" s="26">
        <f>IF(OR(B212="",E212=""),"",IFERROR(IF(ISNUMBER(INDEX(Config!$D$11:$D$20,MATCH(B212,Config!$A$11:$A$20,0))),E212*INDEX(Config!$D$11:$D$20,MATCH(B212,Config!$A$11:$A$20,0)),"cadastro de custo incompleto em Config"),"pessoa sem custo-hora em Config"))</f>
        <v>245</v>
      </c>
      <c r="G212" s="25">
        <f>IF(A212="","",MONTH(A212))</f>
        <v>8</v>
      </c>
      <c r="H212" s="25">
        <f>IF(A212="","",YEAR(A212))</f>
        <v>2026</v>
      </c>
      <c r="I212" s="31" t="inlineStr">
        <is>
          <t>Não</t>
        </is>
      </c>
      <c r="J212" s="36">
        <f>IF(AND(B212&lt;&gt;"",E212&lt;&gt;"",NOT(ISNUMBER(F212))),1,0)</f>
        <v>0</v>
      </c>
    </row>
    <row r="213">
      <c r="A213" s="34" t="n">
        <v>46238</v>
      </c>
      <c r="B213" s="31" t="inlineStr">
        <is>
          <t>Bruno</t>
        </is>
      </c>
      <c r="C213" s="31" t="inlineStr">
        <is>
          <t>Identidade visual · Padaria do Sol</t>
        </is>
      </c>
      <c r="D213" s="29" t="inlineStr">
        <is>
          <t>Manual</t>
        </is>
      </c>
      <c r="E213" s="35" t="n">
        <v>1.5</v>
      </c>
      <c r="F213" s="26">
        <f>IF(OR(B213="",E213=""),"",IFERROR(IF(ISNUMBER(INDEX(Config!$D$11:$D$20,MATCH(B213,Config!$A$11:$A$20,0))),E213*INDEX(Config!$D$11:$D$20,MATCH(B213,Config!$A$11:$A$20,0)),"cadastro de custo incompleto em Config"),"pessoa sem custo-hora em Config"))</f>
        <v>77.1428571428571</v>
      </c>
      <c r="G213" s="25">
        <f>IF(A213="","",MONTH(A213))</f>
        <v>8</v>
      </c>
      <c r="H213" s="25">
        <f>IF(A213="","",YEAR(A213))</f>
        <v>2026</v>
      </c>
      <c r="I213" s="31" t="inlineStr">
        <is>
          <t>Sim</t>
        </is>
      </c>
      <c r="J213" s="36">
        <f>IF(AND(B213&lt;&gt;"",E213&lt;&gt;"",NOT(ISNUMBER(F213))),1,0)</f>
        <v>0</v>
      </c>
    </row>
    <row r="214">
      <c r="A214" s="34" t="n">
        <v>46238</v>
      </c>
      <c r="B214" s="31" t="inlineStr">
        <is>
          <t>Bruno</t>
        </is>
      </c>
      <c r="C214" s="31" t="inlineStr">
        <is>
          <t>Gestão e reuniões</t>
        </is>
      </c>
      <c r="D214" s="29" t="inlineStr">
        <is>
          <t>Planejamento</t>
        </is>
      </c>
      <c r="E214" s="35" t="n">
        <v>1</v>
      </c>
      <c r="F214" s="26">
        <f>IF(OR(B214="",E214=""),"",IFERROR(IF(ISNUMBER(INDEX(Config!$D$11:$D$20,MATCH(B214,Config!$A$11:$A$20,0))),E214*INDEX(Config!$D$11:$D$20,MATCH(B214,Config!$A$11:$A$20,0)),"cadastro de custo incompleto em Config"),"pessoa sem custo-hora em Config"))</f>
        <v>51.4285714285714</v>
      </c>
      <c r="G214" s="25">
        <f>IF(A214="","",MONTH(A214))</f>
        <v>8</v>
      </c>
      <c r="H214" s="25">
        <f>IF(A214="","",YEAR(A214))</f>
        <v>2026</v>
      </c>
      <c r="I214" s="31" t="inlineStr">
        <is>
          <t>Não</t>
        </is>
      </c>
      <c r="J214" s="36">
        <f>IF(AND(B214&lt;&gt;"",E214&lt;&gt;"",NOT(ISNUMBER(F214))),1,0)</f>
        <v>0</v>
      </c>
    </row>
    <row r="215">
      <c r="A215" s="34" t="n">
        <v>46238</v>
      </c>
      <c r="B215" s="31" t="inlineStr">
        <is>
          <t>Bruno</t>
        </is>
      </c>
      <c r="C215" s="31" t="inlineStr">
        <is>
          <t>Comercial e propostas</t>
        </is>
      </c>
      <c r="D215" s="29" t="inlineStr">
        <is>
          <t>Proposta</t>
        </is>
      </c>
      <c r="E215" s="35" t="n">
        <v>3.5</v>
      </c>
      <c r="F215" s="26">
        <f>IF(OR(B215="",E215=""),"",IFERROR(IF(ISNUMBER(INDEX(Config!$D$11:$D$20,MATCH(B215,Config!$A$11:$A$20,0))),E215*INDEX(Config!$D$11:$D$20,MATCH(B215,Config!$A$11:$A$20,0)),"cadastro de custo incompleto em Config"),"pessoa sem custo-hora em Config"))</f>
        <v>180</v>
      </c>
      <c r="G215" s="25">
        <f>IF(A215="","",MONTH(A215))</f>
        <v>8</v>
      </c>
      <c r="H215" s="25">
        <f>IF(A215="","",YEAR(A215))</f>
        <v>2026</v>
      </c>
      <c r="I215" s="31" t="inlineStr">
        <is>
          <t>Não</t>
        </is>
      </c>
      <c r="J215" s="36">
        <f>IF(AND(B215&lt;&gt;"",E215&lt;&gt;"",NOT(ISNUMBER(F215))),1,0)</f>
        <v>0</v>
      </c>
    </row>
    <row r="216">
      <c r="A216" s="34" t="n">
        <v>46238</v>
      </c>
      <c r="B216" s="31" t="inlineStr">
        <is>
          <t>Carla</t>
        </is>
      </c>
      <c r="C216" s="31" t="inlineStr">
        <is>
          <t>Comercial e propostas</t>
        </is>
      </c>
      <c r="D216" s="29" t="inlineStr">
        <is>
          <t>Proposta</t>
        </is>
      </c>
      <c r="E216" s="35" t="n">
        <v>4.5</v>
      </c>
      <c r="F216" s="26">
        <f>IF(OR(B216="",E216=""),"",IFERROR(IF(ISNUMBER(INDEX(Config!$D$11:$D$20,MATCH(B216,Config!$A$11:$A$20,0))),E216*INDEX(Config!$D$11:$D$20,MATCH(B216,Config!$A$11:$A$20,0)),"cadastro de custo incompleto em Config"),"pessoa sem custo-hora em Config"))</f>
        <v>208.928571428571</v>
      </c>
      <c r="G216" s="25">
        <f>IF(A216="","",MONTH(A216))</f>
        <v>8</v>
      </c>
      <c r="H216" s="25">
        <f>IF(A216="","",YEAR(A216))</f>
        <v>2026</v>
      </c>
      <c r="I216" s="31" t="inlineStr">
        <is>
          <t>Não</t>
        </is>
      </c>
      <c r="J216" s="36">
        <f>IF(AND(B216&lt;&gt;"",E216&lt;&gt;"",NOT(ISNUMBER(F216))),1,0)</f>
        <v>0</v>
      </c>
    </row>
    <row r="217">
      <c r="A217" s="34" t="n">
        <v>46238</v>
      </c>
      <c r="B217" s="31" t="inlineStr">
        <is>
          <t>Carla</t>
        </is>
      </c>
      <c r="C217" s="31" t="inlineStr">
        <is>
          <t>Gestão e reuniões</t>
        </is>
      </c>
      <c r="D217" s="29" t="inlineStr">
        <is>
          <t>Financeiro</t>
        </is>
      </c>
      <c r="E217" s="35" t="n">
        <v>1.5</v>
      </c>
      <c r="F217" s="26">
        <f>IF(OR(B217="",E217=""),"",IFERROR(IF(ISNUMBER(INDEX(Config!$D$11:$D$20,MATCH(B217,Config!$A$11:$A$20,0))),E217*INDEX(Config!$D$11:$D$20,MATCH(B217,Config!$A$11:$A$20,0)),"cadastro de custo incompleto em Config"),"pessoa sem custo-hora em Config"))</f>
        <v>69.6428571428571</v>
      </c>
      <c r="G217" s="25">
        <f>IF(A217="","",MONTH(A217))</f>
        <v>8</v>
      </c>
      <c r="H217" s="25">
        <f>IF(A217="","",YEAR(A217))</f>
        <v>2026</v>
      </c>
      <c r="I217" s="31" t="inlineStr">
        <is>
          <t>Não</t>
        </is>
      </c>
      <c r="J217" s="36">
        <f>IF(AND(B217&lt;&gt;"",E217&lt;&gt;"",NOT(ISNUMBER(F217))),1,0)</f>
        <v>0</v>
      </c>
    </row>
    <row r="218">
      <c r="A218" s="34" t="n">
        <v>46238</v>
      </c>
      <c r="B218" s="31" t="inlineStr">
        <is>
          <t>Diego</t>
        </is>
      </c>
      <c r="C218" s="31" t="inlineStr">
        <is>
          <t>Comercial e propostas</t>
        </is>
      </c>
      <c r="D218" s="29" t="inlineStr">
        <is>
          <t>Proposta</t>
        </is>
      </c>
      <c r="E218" s="35" t="n">
        <v>3.5</v>
      </c>
      <c r="F218" s="26">
        <f>IF(OR(B218="",E218=""),"",IFERROR(IF(ISNUMBER(INDEX(Config!$D$11:$D$20,MATCH(B218,Config!$A$11:$A$20,0))),E218*INDEX(Config!$D$11:$D$20,MATCH(B218,Config!$A$11:$A$20,0)),"cadastro de custo incompleto em Config"),"pessoa sem custo-hora em Config"))</f>
        <v>169.166666666667</v>
      </c>
      <c r="G218" s="25">
        <f>IF(A218="","",MONTH(A218))</f>
        <v>8</v>
      </c>
      <c r="H218" s="25">
        <f>IF(A218="","",YEAR(A218))</f>
        <v>2026</v>
      </c>
      <c r="I218" s="31" t="inlineStr">
        <is>
          <t>Não</t>
        </is>
      </c>
      <c r="J218" s="36">
        <f>IF(AND(B218&lt;&gt;"",E218&lt;&gt;"",NOT(ISNUMBER(F218))),1,0)</f>
        <v>0</v>
      </c>
    </row>
    <row r="219">
      <c r="A219" s="34" t="n">
        <v>46238</v>
      </c>
      <c r="B219" s="31" t="inlineStr">
        <is>
          <t>Diego</t>
        </is>
      </c>
      <c r="C219" s="31" t="inlineStr">
        <is>
          <t>Gestão e reuniões</t>
        </is>
      </c>
      <c r="D219" s="29" t="inlineStr">
        <is>
          <t>Planejamento</t>
        </is>
      </c>
      <c r="E219" s="35" t="n">
        <v>3</v>
      </c>
      <c r="F219" s="26">
        <f>IF(OR(B219="",E219=""),"",IFERROR(IF(ISNUMBER(INDEX(Config!$D$11:$D$20,MATCH(B219,Config!$A$11:$A$20,0))),E219*INDEX(Config!$D$11:$D$20,MATCH(B219,Config!$A$11:$A$20,0)),"cadastro de custo incompleto em Config"),"pessoa sem custo-hora em Config"))</f>
        <v>145</v>
      </c>
      <c r="G219" s="25">
        <f>IF(A219="","",MONTH(A219))</f>
        <v>8</v>
      </c>
      <c r="H219" s="25">
        <f>IF(A219="","",YEAR(A219))</f>
        <v>2026</v>
      </c>
      <c r="I219" s="31" t="inlineStr">
        <is>
          <t>Não</t>
        </is>
      </c>
      <c r="J219" s="36">
        <f>IF(AND(B219&lt;&gt;"",E219&lt;&gt;"",NOT(ISNUMBER(F219))),1,0)</f>
        <v>0</v>
      </c>
    </row>
    <row r="220">
      <c r="A220" s="34" t="n">
        <v>46239</v>
      </c>
      <c r="B220" s="31" t="inlineStr">
        <is>
          <t>Ana</t>
        </is>
      </c>
      <c r="C220" s="31" t="inlineStr">
        <is>
          <t>Comercial e propostas</t>
        </is>
      </c>
      <c r="D220" s="29" t="inlineStr">
        <is>
          <t>Proposta</t>
        </is>
      </c>
      <c r="E220" s="35" t="n">
        <v>3.5</v>
      </c>
      <c r="F220" s="26">
        <f>IF(OR(B220="",E220=""),"",IFERROR(IF(ISNUMBER(INDEX(Config!$D$11:$D$20,MATCH(B220,Config!$A$11:$A$20,0))),E220*INDEX(Config!$D$11:$D$20,MATCH(B220,Config!$A$11:$A$20,0)),"cadastro de custo incompleto em Config"),"pessoa sem custo-hora em Config"))</f>
        <v>245</v>
      </c>
      <c r="G220" s="25">
        <f>IF(A220="","",MONTH(A220))</f>
        <v>8</v>
      </c>
      <c r="H220" s="25">
        <f>IF(A220="","",YEAR(A220))</f>
        <v>2026</v>
      </c>
      <c r="I220" s="31" t="inlineStr">
        <is>
          <t>Não</t>
        </is>
      </c>
      <c r="J220" s="36">
        <f>IF(AND(B220&lt;&gt;"",E220&lt;&gt;"",NOT(ISNUMBER(F220))),1,0)</f>
        <v>0</v>
      </c>
    </row>
    <row r="221">
      <c r="A221" s="34" t="n">
        <v>46239</v>
      </c>
      <c r="B221" s="31" t="inlineStr">
        <is>
          <t>Ana</t>
        </is>
      </c>
      <c r="C221" s="31" t="inlineStr">
        <is>
          <t>Gestão e reuniões</t>
        </is>
      </c>
      <c r="D221" s="29" t="inlineStr">
        <is>
          <t>Financeiro</t>
        </is>
      </c>
      <c r="E221" s="35" t="n">
        <v>2.5</v>
      </c>
      <c r="F221" s="26">
        <f>IF(OR(B221="",E221=""),"",IFERROR(IF(ISNUMBER(INDEX(Config!$D$11:$D$20,MATCH(B221,Config!$A$11:$A$20,0))),E221*INDEX(Config!$D$11:$D$20,MATCH(B221,Config!$A$11:$A$20,0)),"cadastro de custo incompleto em Config"),"pessoa sem custo-hora em Config"))</f>
        <v>175</v>
      </c>
      <c r="G221" s="25">
        <f>IF(A221="","",MONTH(A221))</f>
        <v>8</v>
      </c>
      <c r="H221" s="25">
        <f>IF(A221="","",YEAR(A221))</f>
        <v>2026</v>
      </c>
      <c r="I221" s="31" t="inlineStr">
        <is>
          <t>Não</t>
        </is>
      </c>
      <c r="J221" s="36">
        <f>IF(AND(B221&lt;&gt;"",E221&lt;&gt;"",NOT(ISNUMBER(F221))),1,0)</f>
        <v>0</v>
      </c>
    </row>
    <row r="222">
      <c r="A222" s="34" t="n">
        <v>46239</v>
      </c>
      <c r="B222" s="31" t="inlineStr">
        <is>
          <t>Bruno</t>
        </is>
      </c>
      <c r="C222" s="31" t="inlineStr">
        <is>
          <t>Identidade visual · Padaria do Sol</t>
        </is>
      </c>
      <c r="D222" s="29" t="inlineStr">
        <is>
          <t>Aplicações</t>
        </is>
      </c>
      <c r="E222" s="35" t="n">
        <v>2</v>
      </c>
      <c r="F222" s="26">
        <f>IF(OR(B222="",E222=""),"",IFERROR(IF(ISNUMBER(INDEX(Config!$D$11:$D$20,MATCH(B222,Config!$A$11:$A$20,0))),E222*INDEX(Config!$D$11:$D$20,MATCH(B222,Config!$A$11:$A$20,0)),"cadastro de custo incompleto em Config"),"pessoa sem custo-hora em Config"))</f>
        <v>102.857142857143</v>
      </c>
      <c r="G222" s="25">
        <f>IF(A222="","",MONTH(A222))</f>
        <v>8</v>
      </c>
      <c r="H222" s="25">
        <f>IF(A222="","",YEAR(A222))</f>
        <v>2026</v>
      </c>
      <c r="I222" s="31" t="inlineStr">
        <is>
          <t>Sim</t>
        </is>
      </c>
      <c r="J222" s="36">
        <f>IF(AND(B222&lt;&gt;"",E222&lt;&gt;"",NOT(ISNUMBER(F222))),1,0)</f>
        <v>0</v>
      </c>
    </row>
    <row r="223">
      <c r="A223" s="34" t="n">
        <v>46239</v>
      </c>
      <c r="B223" s="31" t="inlineStr">
        <is>
          <t>Bruno</t>
        </is>
      </c>
      <c r="C223" s="31" t="inlineStr">
        <is>
          <t>Gestão e reuniões</t>
        </is>
      </c>
      <c r="D223" s="29" t="inlineStr">
        <is>
          <t>Financeiro</t>
        </is>
      </c>
      <c r="E223" s="35" t="n">
        <v>1</v>
      </c>
      <c r="F223" s="26">
        <f>IF(OR(B223="",E223=""),"",IFERROR(IF(ISNUMBER(INDEX(Config!$D$11:$D$20,MATCH(B223,Config!$A$11:$A$20,0))),E223*INDEX(Config!$D$11:$D$20,MATCH(B223,Config!$A$11:$A$20,0)),"cadastro de custo incompleto em Config"),"pessoa sem custo-hora em Config"))</f>
        <v>51.4285714285714</v>
      </c>
      <c r="G223" s="25">
        <f>IF(A223="","",MONTH(A223))</f>
        <v>8</v>
      </c>
      <c r="H223" s="25">
        <f>IF(A223="","",YEAR(A223))</f>
        <v>2026</v>
      </c>
      <c r="I223" s="31" t="inlineStr">
        <is>
          <t>Não</t>
        </is>
      </c>
      <c r="J223" s="36">
        <f>IF(AND(B223&lt;&gt;"",E223&lt;&gt;"",NOT(ISNUMBER(F223))),1,0)</f>
        <v>0</v>
      </c>
    </row>
    <row r="224">
      <c r="A224" s="34" t="n">
        <v>46239</v>
      </c>
      <c r="B224" s="31" t="inlineStr">
        <is>
          <t>Bruno</t>
        </is>
      </c>
      <c r="C224" s="31" t="inlineStr">
        <is>
          <t>Comercial e propostas</t>
        </is>
      </c>
      <c r="D224" s="29" t="inlineStr">
        <is>
          <t>Proposta</t>
        </is>
      </c>
      <c r="E224" s="35" t="n">
        <v>3.5</v>
      </c>
      <c r="F224" s="26">
        <f>IF(OR(B224="",E224=""),"",IFERROR(IF(ISNUMBER(INDEX(Config!$D$11:$D$20,MATCH(B224,Config!$A$11:$A$20,0))),E224*INDEX(Config!$D$11:$D$20,MATCH(B224,Config!$A$11:$A$20,0)),"cadastro de custo incompleto em Config"),"pessoa sem custo-hora em Config"))</f>
        <v>180</v>
      </c>
      <c r="G224" s="25">
        <f>IF(A224="","",MONTH(A224))</f>
        <v>8</v>
      </c>
      <c r="H224" s="25">
        <f>IF(A224="","",YEAR(A224))</f>
        <v>2026</v>
      </c>
      <c r="I224" s="31" t="inlineStr">
        <is>
          <t>Não</t>
        </is>
      </c>
      <c r="J224" s="36">
        <f>IF(AND(B224&lt;&gt;"",E224&lt;&gt;"",NOT(ISNUMBER(F224))),1,0)</f>
        <v>0</v>
      </c>
    </row>
    <row r="225">
      <c r="A225" s="34" t="n">
        <v>46239</v>
      </c>
      <c r="B225" s="31" t="inlineStr">
        <is>
          <t>Carla</t>
        </is>
      </c>
      <c r="C225" s="31" t="inlineStr">
        <is>
          <t>Comercial e propostas</t>
        </is>
      </c>
      <c r="D225" s="29" t="inlineStr">
        <is>
          <t>Reunião comercial</t>
        </is>
      </c>
      <c r="E225" s="35" t="n">
        <v>6.5</v>
      </c>
      <c r="F225" s="26">
        <f>IF(OR(B225="",E225=""),"",IFERROR(IF(ISNUMBER(INDEX(Config!$D$11:$D$20,MATCH(B225,Config!$A$11:$A$20,0))),E225*INDEX(Config!$D$11:$D$20,MATCH(B225,Config!$A$11:$A$20,0)),"cadastro de custo incompleto em Config"),"pessoa sem custo-hora em Config"))</f>
        <v>301.785714285714</v>
      </c>
      <c r="G225" s="25">
        <f>IF(A225="","",MONTH(A225))</f>
        <v>8</v>
      </c>
      <c r="H225" s="25">
        <f>IF(A225="","",YEAR(A225))</f>
        <v>2026</v>
      </c>
      <c r="I225" s="31" t="inlineStr">
        <is>
          <t>Não</t>
        </is>
      </c>
      <c r="J225" s="36">
        <f>IF(AND(B225&lt;&gt;"",E225&lt;&gt;"",NOT(ISNUMBER(F225))),1,0)</f>
        <v>0</v>
      </c>
    </row>
    <row r="226">
      <c r="A226" s="34" t="n">
        <v>46239</v>
      </c>
      <c r="B226" s="31" t="inlineStr">
        <is>
          <t>Carla</t>
        </is>
      </c>
      <c r="C226" s="31" t="inlineStr">
        <is>
          <t>Gestão e reuniões</t>
        </is>
      </c>
      <c r="D226" s="29" t="inlineStr">
        <is>
          <t>Planejamento</t>
        </is>
      </c>
      <c r="E226" s="35" t="n">
        <v>1.5</v>
      </c>
      <c r="F226" s="26">
        <f>IF(OR(B226="",E226=""),"",IFERROR(IF(ISNUMBER(INDEX(Config!$D$11:$D$20,MATCH(B226,Config!$A$11:$A$20,0))),E226*INDEX(Config!$D$11:$D$20,MATCH(B226,Config!$A$11:$A$20,0)),"cadastro de custo incompleto em Config"),"pessoa sem custo-hora em Config"))</f>
        <v>69.6428571428571</v>
      </c>
      <c r="G226" s="25">
        <f>IF(A226="","",MONTH(A226))</f>
        <v>8</v>
      </c>
      <c r="H226" s="25">
        <f>IF(A226="","",YEAR(A226))</f>
        <v>2026</v>
      </c>
      <c r="I226" s="31" t="inlineStr">
        <is>
          <t>Não</t>
        </is>
      </c>
      <c r="J226" s="36">
        <f>IF(AND(B226&lt;&gt;"",E226&lt;&gt;"",NOT(ISNUMBER(F226))),1,0)</f>
        <v>0</v>
      </c>
    </row>
    <row r="227">
      <c r="A227" s="34" t="n">
        <v>46239</v>
      </c>
      <c r="B227" s="31" t="inlineStr">
        <is>
          <t>Diego</t>
        </is>
      </c>
      <c r="C227" s="31" t="inlineStr">
        <is>
          <t>Comercial e propostas</t>
        </is>
      </c>
      <c r="D227" s="29" t="inlineStr">
        <is>
          <t>Proposta</t>
        </is>
      </c>
      <c r="E227" s="35" t="n">
        <v>3.5</v>
      </c>
      <c r="F227" s="26">
        <f>IF(OR(B227="",E227=""),"",IFERROR(IF(ISNUMBER(INDEX(Config!$D$11:$D$20,MATCH(B227,Config!$A$11:$A$20,0))),E227*INDEX(Config!$D$11:$D$20,MATCH(B227,Config!$A$11:$A$20,0)),"cadastro de custo incompleto em Config"),"pessoa sem custo-hora em Config"))</f>
        <v>169.166666666667</v>
      </c>
      <c r="G227" s="25">
        <f>IF(A227="","",MONTH(A227))</f>
        <v>8</v>
      </c>
      <c r="H227" s="25">
        <f>IF(A227="","",YEAR(A227))</f>
        <v>2026</v>
      </c>
      <c r="I227" s="31" t="inlineStr">
        <is>
          <t>Não</t>
        </is>
      </c>
      <c r="J227" s="36">
        <f>IF(AND(B227&lt;&gt;"",E227&lt;&gt;"",NOT(ISNUMBER(F227))),1,0)</f>
        <v>0</v>
      </c>
    </row>
    <row r="228">
      <c r="A228" s="34" t="n">
        <v>46239</v>
      </c>
      <c r="B228" s="31" t="inlineStr">
        <is>
          <t>Diego</t>
        </is>
      </c>
      <c r="C228" s="31" t="inlineStr">
        <is>
          <t>Gestão e reuniões</t>
        </is>
      </c>
      <c r="D228" s="29" t="inlineStr">
        <is>
          <t>Semanal</t>
        </is>
      </c>
      <c r="E228" s="35" t="n">
        <v>3.5</v>
      </c>
      <c r="F228" s="26">
        <f>IF(OR(B228="",E228=""),"",IFERROR(IF(ISNUMBER(INDEX(Config!$D$11:$D$20,MATCH(B228,Config!$A$11:$A$20,0))),E228*INDEX(Config!$D$11:$D$20,MATCH(B228,Config!$A$11:$A$20,0)),"cadastro de custo incompleto em Config"),"pessoa sem custo-hora em Config"))</f>
        <v>169.166666666667</v>
      </c>
      <c r="G228" s="25">
        <f>IF(A228="","",MONTH(A228))</f>
        <v>8</v>
      </c>
      <c r="H228" s="25">
        <f>IF(A228="","",YEAR(A228))</f>
        <v>2026</v>
      </c>
      <c r="I228" s="31" t="inlineStr">
        <is>
          <t>Não</t>
        </is>
      </c>
      <c r="J228" s="36">
        <f>IF(AND(B228&lt;&gt;"",E228&lt;&gt;"",NOT(ISNUMBER(F228))),1,0)</f>
        <v>0</v>
      </c>
    </row>
    <row r="229">
      <c r="A229" s="34" t="n">
        <v>46240</v>
      </c>
      <c r="B229" s="31" t="inlineStr">
        <is>
          <t>Ana</t>
        </is>
      </c>
      <c r="C229" s="31" t="inlineStr">
        <is>
          <t>Comercial e propostas</t>
        </is>
      </c>
      <c r="D229" s="29" t="inlineStr">
        <is>
          <t>Reunião comercial</t>
        </is>
      </c>
      <c r="E229" s="35" t="n">
        <v>6</v>
      </c>
      <c r="F229" s="26">
        <f>IF(OR(B229="",E229=""),"",IFERROR(IF(ISNUMBER(INDEX(Config!$D$11:$D$20,MATCH(B229,Config!$A$11:$A$20,0))),E229*INDEX(Config!$D$11:$D$20,MATCH(B229,Config!$A$11:$A$20,0)),"cadastro de custo incompleto em Config"),"pessoa sem custo-hora em Config"))</f>
        <v>420</v>
      </c>
      <c r="G229" s="25">
        <f>IF(A229="","",MONTH(A229))</f>
        <v>8</v>
      </c>
      <c r="H229" s="25">
        <f>IF(A229="","",YEAR(A229))</f>
        <v>2026</v>
      </c>
      <c r="I229" s="31" t="inlineStr">
        <is>
          <t>Não</t>
        </is>
      </c>
      <c r="J229" s="36">
        <f>IF(AND(B229&lt;&gt;"",E229&lt;&gt;"",NOT(ISNUMBER(F229))),1,0)</f>
        <v>0</v>
      </c>
    </row>
    <row r="230">
      <c r="A230" s="34" t="n">
        <v>46240</v>
      </c>
      <c r="B230" s="31" t="inlineStr">
        <is>
          <t>Ana</t>
        </is>
      </c>
      <c r="C230" s="31" t="inlineStr">
        <is>
          <t>Gestão e reuniões</t>
        </is>
      </c>
      <c r="D230" s="29" t="inlineStr">
        <is>
          <t>Planejamento</t>
        </is>
      </c>
      <c r="E230" s="35" t="n">
        <v>3.5</v>
      </c>
      <c r="F230" s="26">
        <f>IF(OR(B230="",E230=""),"",IFERROR(IF(ISNUMBER(INDEX(Config!$D$11:$D$20,MATCH(B230,Config!$A$11:$A$20,0))),E230*INDEX(Config!$D$11:$D$20,MATCH(B230,Config!$A$11:$A$20,0)),"cadastro de custo incompleto em Config"),"pessoa sem custo-hora em Config"))</f>
        <v>245</v>
      </c>
      <c r="G230" s="25">
        <f>IF(A230="","",MONTH(A230))</f>
        <v>8</v>
      </c>
      <c r="H230" s="25">
        <f>IF(A230="","",YEAR(A230))</f>
        <v>2026</v>
      </c>
      <c r="I230" s="31" t="inlineStr">
        <is>
          <t>Não</t>
        </is>
      </c>
      <c r="J230" s="36">
        <f>IF(AND(B230&lt;&gt;"",E230&lt;&gt;"",NOT(ISNUMBER(F230))),1,0)</f>
        <v>0</v>
      </c>
    </row>
    <row r="231">
      <c r="A231" s="34" t="n">
        <v>46240</v>
      </c>
      <c r="B231" s="31" t="inlineStr">
        <is>
          <t>Bruno</t>
        </is>
      </c>
      <c r="C231" s="31" t="inlineStr">
        <is>
          <t>Identidade visual · Padaria do Sol</t>
        </is>
      </c>
      <c r="D231" s="29" t="inlineStr">
        <is>
          <t>Aplicações</t>
        </is>
      </c>
      <c r="E231" s="35" t="n">
        <v>2.5</v>
      </c>
      <c r="F231" s="26">
        <f>IF(OR(B231="",E231=""),"",IFERROR(IF(ISNUMBER(INDEX(Config!$D$11:$D$20,MATCH(B231,Config!$A$11:$A$20,0))),E231*INDEX(Config!$D$11:$D$20,MATCH(B231,Config!$A$11:$A$20,0)),"cadastro de custo incompleto em Config"),"pessoa sem custo-hora em Config"))</f>
        <v>128.571428571429</v>
      </c>
      <c r="G231" s="25">
        <f>IF(A231="","",MONTH(A231))</f>
        <v>8</v>
      </c>
      <c r="H231" s="25">
        <f>IF(A231="","",YEAR(A231))</f>
        <v>2026</v>
      </c>
      <c r="I231" s="31" t="inlineStr">
        <is>
          <t>Sim</t>
        </is>
      </c>
      <c r="J231" s="36">
        <f>IF(AND(B231&lt;&gt;"",E231&lt;&gt;"",NOT(ISNUMBER(F231))),1,0)</f>
        <v>0</v>
      </c>
    </row>
    <row r="232">
      <c r="A232" s="34" t="n">
        <v>46240</v>
      </c>
      <c r="B232" s="31" t="inlineStr">
        <is>
          <t>Bruno</t>
        </is>
      </c>
      <c r="C232" s="31" t="inlineStr">
        <is>
          <t>Gestão e reuniões</t>
        </is>
      </c>
      <c r="D232" s="29" t="inlineStr">
        <is>
          <t>Semanal</t>
        </is>
      </c>
      <c r="E232" s="35" t="n">
        <v>1.5</v>
      </c>
      <c r="F232" s="26">
        <f>IF(OR(B232="",E232=""),"",IFERROR(IF(ISNUMBER(INDEX(Config!$D$11:$D$20,MATCH(B232,Config!$A$11:$A$20,0))),E232*INDEX(Config!$D$11:$D$20,MATCH(B232,Config!$A$11:$A$20,0)),"cadastro de custo incompleto em Config"),"pessoa sem custo-hora em Config"))</f>
        <v>77.1428571428571</v>
      </c>
      <c r="G232" s="25">
        <f>IF(A232="","",MONTH(A232))</f>
        <v>8</v>
      </c>
      <c r="H232" s="25">
        <f>IF(A232="","",YEAR(A232))</f>
        <v>2026</v>
      </c>
      <c r="I232" s="31" t="inlineStr">
        <is>
          <t>Não</t>
        </is>
      </c>
      <c r="J232" s="36">
        <f>IF(AND(B232&lt;&gt;"",E232&lt;&gt;"",NOT(ISNUMBER(F232))),1,0)</f>
        <v>0</v>
      </c>
    </row>
    <row r="233">
      <c r="A233" s="34" t="n">
        <v>46240</v>
      </c>
      <c r="B233" s="31" t="inlineStr">
        <is>
          <t>Bruno</t>
        </is>
      </c>
      <c r="C233" s="31" t="inlineStr">
        <is>
          <t>Comercial e propostas</t>
        </is>
      </c>
      <c r="D233" s="29" t="inlineStr">
        <is>
          <t>Reunião comercial</t>
        </is>
      </c>
      <c r="E233" s="35" t="n">
        <v>5.5</v>
      </c>
      <c r="F233" s="26">
        <f>IF(OR(B233="",E233=""),"",IFERROR(IF(ISNUMBER(INDEX(Config!$D$11:$D$20,MATCH(B233,Config!$A$11:$A$20,0))),E233*INDEX(Config!$D$11:$D$20,MATCH(B233,Config!$A$11:$A$20,0)),"cadastro de custo incompleto em Config"),"pessoa sem custo-hora em Config"))</f>
        <v>282.857142857143</v>
      </c>
      <c r="G233" s="25">
        <f>IF(A233="","",MONTH(A233))</f>
        <v>8</v>
      </c>
      <c r="H233" s="25">
        <f>IF(A233="","",YEAR(A233))</f>
        <v>2026</v>
      </c>
      <c r="I233" s="31" t="inlineStr">
        <is>
          <t>Não</t>
        </is>
      </c>
      <c r="J233" s="36">
        <f>IF(AND(B233&lt;&gt;"",E233&lt;&gt;"",NOT(ISNUMBER(F233))),1,0)</f>
        <v>0</v>
      </c>
    </row>
    <row r="234">
      <c r="A234" s="34" t="n">
        <v>46240</v>
      </c>
      <c r="B234" s="31" t="inlineStr">
        <is>
          <t>Carla</t>
        </is>
      </c>
      <c r="C234" s="31" t="inlineStr">
        <is>
          <t>Comercial e propostas</t>
        </is>
      </c>
      <c r="D234" s="29" t="inlineStr">
        <is>
          <t>Reunião comercial</t>
        </is>
      </c>
      <c r="E234" s="35" t="n">
        <v>9</v>
      </c>
      <c r="F234" s="26">
        <f>IF(OR(B234="",E234=""),"",IFERROR(IF(ISNUMBER(INDEX(Config!$D$11:$D$20,MATCH(B234,Config!$A$11:$A$20,0))),E234*INDEX(Config!$D$11:$D$20,MATCH(B234,Config!$A$11:$A$20,0)),"cadastro de custo incompleto em Config"),"pessoa sem custo-hora em Config"))</f>
        <v>417.857142857143</v>
      </c>
      <c r="G234" s="25">
        <f>IF(A234="","",MONTH(A234))</f>
        <v>8</v>
      </c>
      <c r="H234" s="25">
        <f>IF(A234="","",YEAR(A234))</f>
        <v>2026</v>
      </c>
      <c r="I234" s="31" t="inlineStr">
        <is>
          <t>Não</t>
        </is>
      </c>
      <c r="J234" s="36">
        <f>IF(AND(B234&lt;&gt;"",E234&lt;&gt;"",NOT(ISNUMBER(F234))),1,0)</f>
        <v>0</v>
      </c>
    </row>
    <row r="235">
      <c r="A235" s="34" t="n">
        <v>46240</v>
      </c>
      <c r="B235" s="31" t="inlineStr">
        <is>
          <t>Carla</t>
        </is>
      </c>
      <c r="C235" s="31" t="inlineStr">
        <is>
          <t>Gestão e reuniões</t>
        </is>
      </c>
      <c r="D235" s="29" t="inlineStr">
        <is>
          <t>Planejamento</t>
        </is>
      </c>
      <c r="E235" s="35" t="n">
        <v>1.5</v>
      </c>
      <c r="F235" s="26">
        <f>IF(OR(B235="",E235=""),"",IFERROR(IF(ISNUMBER(INDEX(Config!$D$11:$D$20,MATCH(B235,Config!$A$11:$A$20,0))),E235*INDEX(Config!$D$11:$D$20,MATCH(B235,Config!$A$11:$A$20,0)),"cadastro de custo incompleto em Config"),"pessoa sem custo-hora em Config"))</f>
        <v>69.6428571428571</v>
      </c>
      <c r="G235" s="25">
        <f>IF(A235="","",MONTH(A235))</f>
        <v>8</v>
      </c>
      <c r="H235" s="25">
        <f>IF(A235="","",YEAR(A235))</f>
        <v>2026</v>
      </c>
      <c r="I235" s="31" t="inlineStr">
        <is>
          <t>Não</t>
        </is>
      </c>
      <c r="J235" s="36">
        <f>IF(AND(B235&lt;&gt;"",E235&lt;&gt;"",NOT(ISNUMBER(F235))),1,0)</f>
        <v>0</v>
      </c>
    </row>
    <row r="236">
      <c r="A236" s="34" t="n">
        <v>46240</v>
      </c>
      <c r="B236" s="31" t="inlineStr">
        <is>
          <t>Diego</t>
        </is>
      </c>
      <c r="C236" s="31" t="inlineStr">
        <is>
          <t>Comercial e propostas</t>
        </is>
      </c>
      <c r="D236" s="29" t="inlineStr">
        <is>
          <t>Reunião comercial</t>
        </is>
      </c>
      <c r="E236" s="35" t="n">
        <v>5.5</v>
      </c>
      <c r="F236" s="26">
        <f>IF(OR(B236="",E236=""),"",IFERROR(IF(ISNUMBER(INDEX(Config!$D$11:$D$20,MATCH(B236,Config!$A$11:$A$20,0))),E236*INDEX(Config!$D$11:$D$20,MATCH(B236,Config!$A$11:$A$20,0)),"cadastro de custo incompleto em Config"),"pessoa sem custo-hora em Config"))</f>
        <v>265.833333333333</v>
      </c>
      <c r="G236" s="25">
        <f>IF(A236="","",MONTH(A236))</f>
        <v>8</v>
      </c>
      <c r="H236" s="25">
        <f>IF(A236="","",YEAR(A236))</f>
        <v>2026</v>
      </c>
      <c r="I236" s="31" t="inlineStr">
        <is>
          <t>Não</t>
        </is>
      </c>
      <c r="J236" s="36">
        <f>IF(AND(B236&lt;&gt;"",E236&lt;&gt;"",NOT(ISNUMBER(F236))),1,0)</f>
        <v>0</v>
      </c>
    </row>
    <row r="237">
      <c r="A237" s="34" t="n">
        <v>46240</v>
      </c>
      <c r="B237" s="31" t="inlineStr">
        <is>
          <t>Diego</t>
        </is>
      </c>
      <c r="C237" s="31" t="inlineStr">
        <is>
          <t>Gestão e reuniões</t>
        </is>
      </c>
      <c r="D237" s="29" t="inlineStr">
        <is>
          <t>Financeiro</t>
        </is>
      </c>
      <c r="E237" s="35" t="n">
        <v>3</v>
      </c>
      <c r="F237" s="26">
        <f>IF(OR(B237="",E237=""),"",IFERROR(IF(ISNUMBER(INDEX(Config!$D$11:$D$20,MATCH(B237,Config!$A$11:$A$20,0))),E237*INDEX(Config!$D$11:$D$20,MATCH(B237,Config!$A$11:$A$20,0)),"cadastro de custo incompleto em Config"),"pessoa sem custo-hora em Config"))</f>
        <v>145</v>
      </c>
      <c r="G237" s="25">
        <f>IF(A237="","",MONTH(A237))</f>
        <v>8</v>
      </c>
      <c r="H237" s="25">
        <f>IF(A237="","",YEAR(A237))</f>
        <v>2026</v>
      </c>
      <c r="I237" s="31" t="inlineStr">
        <is>
          <t>Não</t>
        </is>
      </c>
      <c r="J237" s="36">
        <f>IF(AND(B237&lt;&gt;"",E237&lt;&gt;"",NOT(ISNUMBER(F237))),1,0)</f>
        <v>0</v>
      </c>
    </row>
    <row r="238">
      <c r="A238" s="34" t="n">
        <v>46241</v>
      </c>
      <c r="B238" s="31" t="inlineStr">
        <is>
          <t>Ana</t>
        </is>
      </c>
      <c r="C238" s="31" t="inlineStr">
        <is>
          <t>Comercial e propostas</t>
        </is>
      </c>
      <c r="D238" s="29" t="inlineStr">
        <is>
          <t>Reunião comercial</t>
        </is>
      </c>
      <c r="E238" s="35" t="n">
        <v>5.5</v>
      </c>
      <c r="F238" s="26">
        <f>IF(OR(B238="",E238=""),"",IFERROR(IF(ISNUMBER(INDEX(Config!$D$11:$D$20,MATCH(B238,Config!$A$11:$A$20,0))),E238*INDEX(Config!$D$11:$D$20,MATCH(B238,Config!$A$11:$A$20,0)),"cadastro de custo incompleto em Config"),"pessoa sem custo-hora em Config"))</f>
        <v>385</v>
      </c>
      <c r="G238" s="25">
        <f>IF(A238="","",MONTH(A238))</f>
        <v>8</v>
      </c>
      <c r="H238" s="25">
        <f>IF(A238="","",YEAR(A238))</f>
        <v>2026</v>
      </c>
      <c r="I238" s="31" t="inlineStr">
        <is>
          <t>Não</t>
        </is>
      </c>
      <c r="J238" s="36">
        <f>IF(AND(B238&lt;&gt;"",E238&lt;&gt;"",NOT(ISNUMBER(F238))),1,0)</f>
        <v>0</v>
      </c>
    </row>
    <row r="239">
      <c r="A239" s="34" t="n">
        <v>46241</v>
      </c>
      <c r="B239" s="31" t="inlineStr">
        <is>
          <t>Ana</t>
        </is>
      </c>
      <c r="C239" s="31" t="inlineStr">
        <is>
          <t>Gestão e reuniões</t>
        </is>
      </c>
      <c r="D239" s="29" t="inlineStr">
        <is>
          <t>Financeiro</t>
        </is>
      </c>
      <c r="E239" s="35" t="n">
        <v>3.5</v>
      </c>
      <c r="F239" s="26">
        <f>IF(OR(B239="",E239=""),"",IFERROR(IF(ISNUMBER(INDEX(Config!$D$11:$D$20,MATCH(B239,Config!$A$11:$A$20,0))),E239*INDEX(Config!$D$11:$D$20,MATCH(B239,Config!$A$11:$A$20,0)),"cadastro de custo incompleto em Config"),"pessoa sem custo-hora em Config"))</f>
        <v>245</v>
      </c>
      <c r="G239" s="25">
        <f>IF(A239="","",MONTH(A239))</f>
        <v>8</v>
      </c>
      <c r="H239" s="25">
        <f>IF(A239="","",YEAR(A239))</f>
        <v>2026</v>
      </c>
      <c r="I239" s="31" t="inlineStr">
        <is>
          <t>Não</t>
        </is>
      </c>
      <c r="J239" s="36">
        <f>IF(AND(B239&lt;&gt;"",E239&lt;&gt;"",NOT(ISNUMBER(F239))),1,0)</f>
        <v>0</v>
      </c>
    </row>
    <row r="240">
      <c r="A240" s="34" t="n">
        <v>46241</v>
      </c>
      <c r="B240" s="31" t="inlineStr">
        <is>
          <t>Bruno</t>
        </is>
      </c>
      <c r="C240" s="31" t="inlineStr">
        <is>
          <t>Identidade visual · Padaria do Sol</t>
        </is>
      </c>
      <c r="D240" s="29" t="inlineStr">
        <is>
          <t>Logo</t>
        </is>
      </c>
      <c r="E240" s="35" t="n">
        <v>2</v>
      </c>
      <c r="F240" s="26">
        <f>IF(OR(B240="",E240=""),"",IFERROR(IF(ISNUMBER(INDEX(Config!$D$11:$D$20,MATCH(B240,Config!$A$11:$A$20,0))),E240*INDEX(Config!$D$11:$D$20,MATCH(B240,Config!$A$11:$A$20,0)),"cadastro de custo incompleto em Config"),"pessoa sem custo-hora em Config"))</f>
        <v>102.857142857143</v>
      </c>
      <c r="G240" s="25">
        <f>IF(A240="","",MONTH(A240))</f>
        <v>8</v>
      </c>
      <c r="H240" s="25">
        <f>IF(A240="","",YEAR(A240))</f>
        <v>2026</v>
      </c>
      <c r="I240" s="31" t="inlineStr">
        <is>
          <t>Sim</t>
        </is>
      </c>
      <c r="J240" s="36">
        <f>IF(AND(B240&lt;&gt;"",E240&lt;&gt;"",NOT(ISNUMBER(F240))),1,0)</f>
        <v>0</v>
      </c>
    </row>
    <row r="241">
      <c r="A241" s="34" t="n">
        <v>46241</v>
      </c>
      <c r="B241" s="31" t="inlineStr">
        <is>
          <t>Bruno</t>
        </is>
      </c>
      <c r="C241" s="31" t="inlineStr">
        <is>
          <t>Gestão e reuniões</t>
        </is>
      </c>
      <c r="D241" s="29" t="inlineStr">
        <is>
          <t>Financeiro</t>
        </is>
      </c>
      <c r="E241" s="35" t="n">
        <v>1</v>
      </c>
      <c r="F241" s="26">
        <f>IF(OR(B241="",E241=""),"",IFERROR(IF(ISNUMBER(INDEX(Config!$D$11:$D$20,MATCH(B241,Config!$A$11:$A$20,0))),E241*INDEX(Config!$D$11:$D$20,MATCH(B241,Config!$A$11:$A$20,0)),"cadastro de custo incompleto em Config"),"pessoa sem custo-hora em Config"))</f>
        <v>51.4285714285714</v>
      </c>
      <c r="G241" s="25">
        <f>IF(A241="","",MONTH(A241))</f>
        <v>8</v>
      </c>
      <c r="H241" s="25">
        <f>IF(A241="","",YEAR(A241))</f>
        <v>2026</v>
      </c>
      <c r="I241" s="31" t="inlineStr">
        <is>
          <t>Não</t>
        </is>
      </c>
      <c r="J241" s="36">
        <f>IF(AND(B241&lt;&gt;"",E241&lt;&gt;"",NOT(ISNUMBER(F241))),1,0)</f>
        <v>0</v>
      </c>
    </row>
    <row r="242">
      <c r="A242" s="34" t="n">
        <v>46241</v>
      </c>
      <c r="B242" s="31" t="inlineStr">
        <is>
          <t>Bruno</t>
        </is>
      </c>
      <c r="C242" s="31" t="inlineStr">
        <is>
          <t>Comercial e propostas</t>
        </is>
      </c>
      <c r="D242" s="29" t="inlineStr">
        <is>
          <t>Proposta</t>
        </is>
      </c>
      <c r="E242" s="35" t="n">
        <v>4.5</v>
      </c>
      <c r="F242" s="26">
        <f>IF(OR(B242="",E242=""),"",IFERROR(IF(ISNUMBER(INDEX(Config!$D$11:$D$20,MATCH(B242,Config!$A$11:$A$20,0))),E242*INDEX(Config!$D$11:$D$20,MATCH(B242,Config!$A$11:$A$20,0)),"cadastro de custo incompleto em Config"),"pessoa sem custo-hora em Config"))</f>
        <v>231.428571428571</v>
      </c>
      <c r="G242" s="25">
        <f>IF(A242="","",MONTH(A242))</f>
        <v>8</v>
      </c>
      <c r="H242" s="25">
        <f>IF(A242="","",YEAR(A242))</f>
        <v>2026</v>
      </c>
      <c r="I242" s="31" t="inlineStr">
        <is>
          <t>Não</t>
        </is>
      </c>
      <c r="J242" s="36">
        <f>IF(AND(B242&lt;&gt;"",E242&lt;&gt;"",NOT(ISNUMBER(F242))),1,0)</f>
        <v>0</v>
      </c>
    </row>
    <row r="243">
      <c r="A243" s="34" t="n">
        <v>46241</v>
      </c>
      <c r="B243" s="31" t="inlineStr">
        <is>
          <t>Carla</t>
        </is>
      </c>
      <c r="C243" s="31" t="inlineStr">
        <is>
          <t>Comercial e propostas</t>
        </is>
      </c>
      <c r="D243" s="29" t="inlineStr">
        <is>
          <t>Proposta</t>
        </is>
      </c>
      <c r="E243" s="35" t="n">
        <v>7.5</v>
      </c>
      <c r="F243" s="26">
        <f>IF(OR(B243="",E243=""),"",IFERROR(IF(ISNUMBER(INDEX(Config!$D$11:$D$20,MATCH(B243,Config!$A$11:$A$20,0))),E243*INDEX(Config!$D$11:$D$20,MATCH(B243,Config!$A$11:$A$20,0)),"cadastro de custo incompleto em Config"),"pessoa sem custo-hora em Config"))</f>
        <v>348.214285714286</v>
      </c>
      <c r="G243" s="25">
        <f>IF(A243="","",MONTH(A243))</f>
        <v>8</v>
      </c>
      <c r="H243" s="25">
        <f>IF(A243="","",YEAR(A243))</f>
        <v>2026</v>
      </c>
      <c r="I243" s="31" t="inlineStr">
        <is>
          <t>Não</t>
        </is>
      </c>
      <c r="J243" s="36">
        <f>IF(AND(B243&lt;&gt;"",E243&lt;&gt;"",NOT(ISNUMBER(F243))),1,0)</f>
        <v>0</v>
      </c>
    </row>
    <row r="244">
      <c r="A244" s="34" t="n">
        <v>46241</v>
      </c>
      <c r="B244" s="31" t="inlineStr">
        <is>
          <t>Carla</t>
        </is>
      </c>
      <c r="C244" s="31" t="inlineStr">
        <is>
          <t>Gestão e reuniões</t>
        </is>
      </c>
      <c r="D244" s="29" t="inlineStr">
        <is>
          <t>Planejamento</t>
        </is>
      </c>
      <c r="E244" s="35" t="n">
        <v>1</v>
      </c>
      <c r="F244" s="26">
        <f>IF(OR(B244="",E244=""),"",IFERROR(IF(ISNUMBER(INDEX(Config!$D$11:$D$20,MATCH(B244,Config!$A$11:$A$20,0))),E244*INDEX(Config!$D$11:$D$20,MATCH(B244,Config!$A$11:$A$20,0)),"cadastro de custo incompleto em Config"),"pessoa sem custo-hora em Config"))</f>
        <v>46.4285714285714</v>
      </c>
      <c r="G244" s="25">
        <f>IF(A244="","",MONTH(A244))</f>
        <v>8</v>
      </c>
      <c r="H244" s="25">
        <f>IF(A244="","",YEAR(A244))</f>
        <v>2026</v>
      </c>
      <c r="I244" s="31" t="inlineStr">
        <is>
          <t>Não</t>
        </is>
      </c>
      <c r="J244" s="36">
        <f>IF(AND(B244&lt;&gt;"",E244&lt;&gt;"",NOT(ISNUMBER(F244))),1,0)</f>
        <v>0</v>
      </c>
    </row>
    <row r="245">
      <c r="A245" s="34" t="n">
        <v>46241</v>
      </c>
      <c r="B245" s="31" t="inlineStr">
        <is>
          <t>Diego</t>
        </is>
      </c>
      <c r="C245" s="31" t="inlineStr">
        <is>
          <t>Comercial e propostas</t>
        </is>
      </c>
      <c r="D245" s="29" t="inlineStr">
        <is>
          <t>Reunião comercial</t>
        </is>
      </c>
      <c r="E245" s="35" t="n">
        <v>3.5</v>
      </c>
      <c r="F245" s="26">
        <f>IF(OR(B245="",E245=""),"",IFERROR(IF(ISNUMBER(INDEX(Config!$D$11:$D$20,MATCH(B245,Config!$A$11:$A$20,0))),E245*INDEX(Config!$D$11:$D$20,MATCH(B245,Config!$A$11:$A$20,0)),"cadastro de custo incompleto em Config"),"pessoa sem custo-hora em Config"))</f>
        <v>169.166666666667</v>
      </c>
      <c r="G245" s="25">
        <f>IF(A245="","",MONTH(A245))</f>
        <v>8</v>
      </c>
      <c r="H245" s="25">
        <f>IF(A245="","",YEAR(A245))</f>
        <v>2026</v>
      </c>
      <c r="I245" s="31" t="inlineStr">
        <is>
          <t>Não</t>
        </is>
      </c>
      <c r="J245" s="36">
        <f>IF(AND(B245&lt;&gt;"",E245&lt;&gt;"",NOT(ISNUMBER(F245))),1,0)</f>
        <v>0</v>
      </c>
    </row>
    <row r="246">
      <c r="A246" s="34" t="n">
        <v>46241</v>
      </c>
      <c r="B246" s="31" t="inlineStr">
        <is>
          <t>Diego</t>
        </is>
      </c>
      <c r="C246" s="31" t="inlineStr">
        <is>
          <t>Gestão e reuniões</t>
        </is>
      </c>
      <c r="D246" s="29" t="inlineStr">
        <is>
          <t>Planejamento</t>
        </is>
      </c>
      <c r="E246" s="35" t="n">
        <v>3.5</v>
      </c>
      <c r="F246" s="26">
        <f>IF(OR(B246="",E246=""),"",IFERROR(IF(ISNUMBER(INDEX(Config!$D$11:$D$20,MATCH(B246,Config!$A$11:$A$20,0))),E246*INDEX(Config!$D$11:$D$20,MATCH(B246,Config!$A$11:$A$20,0)),"cadastro de custo incompleto em Config"),"pessoa sem custo-hora em Config"))</f>
        <v>169.166666666667</v>
      </c>
      <c r="G246" s="25">
        <f>IF(A246="","",MONTH(A246))</f>
        <v>8</v>
      </c>
      <c r="H246" s="25">
        <f>IF(A246="","",YEAR(A246))</f>
        <v>2026</v>
      </c>
      <c r="I246" s="31" t="inlineStr">
        <is>
          <t>Não</t>
        </is>
      </c>
      <c r="J246" s="36">
        <f>IF(AND(B246&lt;&gt;"",E246&lt;&gt;"",NOT(ISNUMBER(F246))),1,0)</f>
        <v>0</v>
      </c>
    </row>
    <row r="247">
      <c r="A247" s="34" t="n">
        <v>46244</v>
      </c>
      <c r="B247" s="31" t="inlineStr">
        <is>
          <t>Ana</t>
        </is>
      </c>
      <c r="C247" s="31" t="inlineStr">
        <is>
          <t>Site novo · Loja Verde</t>
        </is>
      </c>
      <c r="D247" s="29" t="inlineStr">
        <is>
          <t>Implementação</t>
        </is>
      </c>
      <c r="E247" s="35" t="n">
        <v>1.5</v>
      </c>
      <c r="F247" s="26">
        <f>IF(OR(B247="",E247=""),"",IFERROR(IF(ISNUMBER(INDEX(Config!$D$11:$D$20,MATCH(B247,Config!$A$11:$A$20,0))),E247*INDEX(Config!$D$11:$D$20,MATCH(B247,Config!$A$11:$A$20,0)),"cadastro de custo incompleto em Config"),"pessoa sem custo-hora em Config"))</f>
        <v>105</v>
      </c>
      <c r="G247" s="25">
        <f>IF(A247="","",MONTH(A247))</f>
        <v>8</v>
      </c>
      <c r="H247" s="25">
        <f>IF(A247="","",YEAR(A247))</f>
        <v>2026</v>
      </c>
      <c r="I247" s="31" t="inlineStr">
        <is>
          <t>Sim</t>
        </is>
      </c>
      <c r="J247" s="36">
        <f>IF(AND(B247&lt;&gt;"",E247&lt;&gt;"",NOT(ISNUMBER(F247))),1,0)</f>
        <v>0</v>
      </c>
    </row>
    <row r="248">
      <c r="A248" s="34" t="n">
        <v>46244</v>
      </c>
      <c r="B248" s="31" t="inlineStr">
        <is>
          <t>Ana</t>
        </is>
      </c>
      <c r="C248" s="31" t="inlineStr">
        <is>
          <t>Comercial e propostas</t>
        </is>
      </c>
      <c r="D248" s="29" t="inlineStr">
        <is>
          <t>Proposta</t>
        </is>
      </c>
      <c r="E248" s="35" t="n">
        <v>2.5</v>
      </c>
      <c r="F248" s="26">
        <f>IF(OR(B248="",E248=""),"",IFERROR(IF(ISNUMBER(INDEX(Config!$D$11:$D$20,MATCH(B248,Config!$A$11:$A$20,0))),E248*INDEX(Config!$D$11:$D$20,MATCH(B248,Config!$A$11:$A$20,0)),"cadastro de custo incompleto em Config"),"pessoa sem custo-hora em Config"))</f>
        <v>175</v>
      </c>
      <c r="G248" s="25">
        <f>IF(A248="","",MONTH(A248))</f>
        <v>8</v>
      </c>
      <c r="H248" s="25">
        <f>IF(A248="","",YEAR(A248))</f>
        <v>2026</v>
      </c>
      <c r="I248" s="31" t="inlineStr">
        <is>
          <t>Não</t>
        </is>
      </c>
      <c r="J248" s="36">
        <f>IF(AND(B248&lt;&gt;"",E248&lt;&gt;"",NOT(ISNUMBER(F248))),1,0)</f>
        <v>0</v>
      </c>
    </row>
    <row r="249">
      <c r="A249" s="34" t="n">
        <v>46244</v>
      </c>
      <c r="B249" s="31" t="inlineStr">
        <is>
          <t>Ana</t>
        </is>
      </c>
      <c r="C249" s="31" t="inlineStr">
        <is>
          <t>Gestão e reuniões</t>
        </is>
      </c>
      <c r="D249" s="29" t="inlineStr">
        <is>
          <t>Planejamento</t>
        </is>
      </c>
      <c r="E249" s="35" t="n">
        <v>2.5</v>
      </c>
      <c r="F249" s="26">
        <f>IF(OR(B249="",E249=""),"",IFERROR(IF(ISNUMBER(INDEX(Config!$D$11:$D$20,MATCH(B249,Config!$A$11:$A$20,0))),E249*INDEX(Config!$D$11:$D$20,MATCH(B249,Config!$A$11:$A$20,0)),"cadastro de custo incompleto em Config"),"pessoa sem custo-hora em Config"))</f>
        <v>175</v>
      </c>
      <c r="G249" s="25">
        <f>IF(A249="","",MONTH(A249))</f>
        <v>8</v>
      </c>
      <c r="H249" s="25">
        <f>IF(A249="","",YEAR(A249))</f>
        <v>2026</v>
      </c>
      <c r="I249" s="31" t="inlineStr">
        <is>
          <t>Não</t>
        </is>
      </c>
      <c r="J249" s="36">
        <f>IF(AND(B249&lt;&gt;"",E249&lt;&gt;"",NOT(ISNUMBER(F249))),1,0)</f>
        <v>0</v>
      </c>
    </row>
    <row r="250">
      <c r="A250" s="34" t="n">
        <v>46244</v>
      </c>
      <c r="B250" s="31" t="inlineStr">
        <is>
          <t>Bruno</t>
        </is>
      </c>
      <c r="C250" s="31" t="inlineStr">
        <is>
          <t>Site novo · Loja Verde</t>
        </is>
      </c>
      <c r="D250" s="29" t="inlineStr">
        <is>
          <t>Wireframe</t>
        </is>
      </c>
      <c r="E250" s="35" t="n">
        <v>3</v>
      </c>
      <c r="F250" s="26">
        <f>IF(OR(B250="",E250=""),"",IFERROR(IF(ISNUMBER(INDEX(Config!$D$11:$D$20,MATCH(B250,Config!$A$11:$A$20,0))),E250*INDEX(Config!$D$11:$D$20,MATCH(B250,Config!$A$11:$A$20,0)),"cadastro de custo incompleto em Config"),"pessoa sem custo-hora em Config"))</f>
        <v>154.285714285714</v>
      </c>
      <c r="G250" s="25">
        <f>IF(A250="","",MONTH(A250))</f>
        <v>8</v>
      </c>
      <c r="H250" s="25">
        <f>IF(A250="","",YEAR(A250))</f>
        <v>2026</v>
      </c>
      <c r="I250" s="31" t="inlineStr">
        <is>
          <t>Sim</t>
        </is>
      </c>
      <c r="J250" s="36">
        <f>IF(AND(B250&lt;&gt;"",E250&lt;&gt;"",NOT(ISNUMBER(F250))),1,0)</f>
        <v>0</v>
      </c>
    </row>
    <row r="251">
      <c r="A251" s="34" t="n">
        <v>46244</v>
      </c>
      <c r="B251" s="31" t="inlineStr">
        <is>
          <t>Bruno</t>
        </is>
      </c>
      <c r="C251" s="31" t="inlineStr">
        <is>
          <t>Identidade visual · Padaria do Sol</t>
        </is>
      </c>
      <c r="D251" s="29" t="inlineStr">
        <is>
          <t>Aplicações</t>
        </is>
      </c>
      <c r="E251" s="35" t="n">
        <v>1.5</v>
      </c>
      <c r="F251" s="26">
        <f>IF(OR(B251="",E251=""),"",IFERROR(IF(ISNUMBER(INDEX(Config!$D$11:$D$20,MATCH(B251,Config!$A$11:$A$20,0))),E251*INDEX(Config!$D$11:$D$20,MATCH(B251,Config!$A$11:$A$20,0)),"cadastro de custo incompleto em Config"),"pessoa sem custo-hora em Config"))</f>
        <v>77.1428571428571</v>
      </c>
      <c r="G251" s="25">
        <f>IF(A251="","",MONTH(A251))</f>
        <v>8</v>
      </c>
      <c r="H251" s="25">
        <f>IF(A251="","",YEAR(A251))</f>
        <v>2026</v>
      </c>
      <c r="I251" s="31" t="inlineStr">
        <is>
          <t>Sim</t>
        </is>
      </c>
      <c r="J251" s="36">
        <f>IF(AND(B251&lt;&gt;"",E251&lt;&gt;"",NOT(ISNUMBER(F251))),1,0)</f>
        <v>0</v>
      </c>
    </row>
    <row r="252">
      <c r="A252" s="34" t="n">
        <v>46244</v>
      </c>
      <c r="B252" s="31" t="inlineStr">
        <is>
          <t>Bruno</t>
        </is>
      </c>
      <c r="C252" s="31" t="inlineStr">
        <is>
          <t>Gestão e reuniões</t>
        </is>
      </c>
      <c r="D252" s="29" t="inlineStr">
        <is>
          <t>Planejamento</t>
        </is>
      </c>
      <c r="E252" s="35" t="n">
        <v>1</v>
      </c>
      <c r="F252" s="26">
        <f>IF(OR(B252="",E252=""),"",IFERROR(IF(ISNUMBER(INDEX(Config!$D$11:$D$20,MATCH(B252,Config!$A$11:$A$20,0))),E252*INDEX(Config!$D$11:$D$20,MATCH(B252,Config!$A$11:$A$20,0)),"cadastro de custo incompleto em Config"),"pessoa sem custo-hora em Config"))</f>
        <v>51.4285714285714</v>
      </c>
      <c r="G252" s="25">
        <f>IF(A252="","",MONTH(A252))</f>
        <v>8</v>
      </c>
      <c r="H252" s="25">
        <f>IF(A252="","",YEAR(A252))</f>
        <v>2026</v>
      </c>
      <c r="I252" s="31" t="inlineStr">
        <is>
          <t>Não</t>
        </is>
      </c>
      <c r="J252" s="36">
        <f>IF(AND(B252&lt;&gt;"",E252&lt;&gt;"",NOT(ISNUMBER(F252))),1,0)</f>
        <v>0</v>
      </c>
    </row>
    <row r="253">
      <c r="A253" s="34" t="n">
        <v>46244</v>
      </c>
      <c r="B253" s="31" t="inlineStr">
        <is>
          <t>Carla</t>
        </is>
      </c>
      <c r="C253" s="31" t="inlineStr">
        <is>
          <t>Site novo · Loja Verde</t>
        </is>
      </c>
      <c r="D253" s="29" t="inlineStr">
        <is>
          <t>Implementação</t>
        </is>
      </c>
      <c r="E253" s="35" t="n">
        <v>2</v>
      </c>
      <c r="F253" s="26">
        <f>IF(OR(B253="",E253=""),"",IFERROR(IF(ISNUMBER(INDEX(Config!$D$11:$D$20,MATCH(B253,Config!$A$11:$A$20,0))),E253*INDEX(Config!$D$11:$D$20,MATCH(B253,Config!$A$11:$A$20,0)),"cadastro de custo incompleto em Config"),"pessoa sem custo-hora em Config"))</f>
        <v>92.8571428571429</v>
      </c>
      <c r="G253" s="25">
        <f>IF(A253="","",MONTH(A253))</f>
        <v>8</v>
      </c>
      <c r="H253" s="25">
        <f>IF(A253="","",YEAR(A253))</f>
        <v>2026</v>
      </c>
      <c r="I253" s="31" t="inlineStr">
        <is>
          <t>Sim</t>
        </is>
      </c>
      <c r="J253" s="36">
        <f>IF(AND(B253&lt;&gt;"",E253&lt;&gt;"",NOT(ISNUMBER(F253))),1,0)</f>
        <v>0</v>
      </c>
    </row>
    <row r="254">
      <c r="A254" s="34" t="n">
        <v>46244</v>
      </c>
      <c r="B254" s="31" t="inlineStr">
        <is>
          <t>Carla</t>
        </is>
      </c>
      <c r="C254" s="31" t="inlineStr">
        <is>
          <t>Comercial e propostas</t>
        </is>
      </c>
      <c r="D254" s="29" t="inlineStr">
        <is>
          <t>Reunião comercial</t>
        </is>
      </c>
      <c r="E254" s="35" t="n">
        <v>2.5</v>
      </c>
      <c r="F254" s="26">
        <f>IF(OR(B254="",E254=""),"",IFERROR(IF(ISNUMBER(INDEX(Config!$D$11:$D$20,MATCH(B254,Config!$A$11:$A$20,0))),E254*INDEX(Config!$D$11:$D$20,MATCH(B254,Config!$A$11:$A$20,0)),"cadastro de custo incompleto em Config"),"pessoa sem custo-hora em Config"))</f>
        <v>116.071428571429</v>
      </c>
      <c r="G254" s="25">
        <f>IF(A254="","",MONTH(A254))</f>
        <v>8</v>
      </c>
      <c r="H254" s="25">
        <f>IF(A254="","",YEAR(A254))</f>
        <v>2026</v>
      </c>
      <c r="I254" s="31" t="inlineStr">
        <is>
          <t>Não</t>
        </is>
      </c>
      <c r="J254" s="36">
        <f>IF(AND(B254&lt;&gt;"",E254&lt;&gt;"",NOT(ISNUMBER(F254))),1,0)</f>
        <v>0</v>
      </c>
    </row>
    <row r="255">
      <c r="A255" s="34" t="n">
        <v>46244</v>
      </c>
      <c r="B255" s="31" t="inlineStr">
        <is>
          <t>Carla</t>
        </is>
      </c>
      <c r="C255" s="31" t="inlineStr">
        <is>
          <t>Gestão e reuniões</t>
        </is>
      </c>
      <c r="D255" s="29" t="inlineStr">
        <is>
          <t>Financeiro</t>
        </is>
      </c>
      <c r="E255" s="35" t="n">
        <v>1</v>
      </c>
      <c r="F255" s="26">
        <f>IF(OR(B255="",E255=""),"",IFERROR(IF(ISNUMBER(INDEX(Config!$D$11:$D$20,MATCH(B255,Config!$A$11:$A$20,0))),E255*INDEX(Config!$D$11:$D$20,MATCH(B255,Config!$A$11:$A$20,0)),"cadastro de custo incompleto em Config"),"pessoa sem custo-hora em Config"))</f>
        <v>46.4285714285714</v>
      </c>
      <c r="G255" s="25">
        <f>IF(A255="","",MONTH(A255))</f>
        <v>8</v>
      </c>
      <c r="H255" s="25">
        <f>IF(A255="","",YEAR(A255))</f>
        <v>2026</v>
      </c>
      <c r="I255" s="31" t="inlineStr">
        <is>
          <t>Não</t>
        </is>
      </c>
      <c r="J255" s="36">
        <f>IF(AND(B255&lt;&gt;"",E255&lt;&gt;"",NOT(ISNUMBER(F255))),1,0)</f>
        <v>0</v>
      </c>
    </row>
    <row r="256">
      <c r="A256" s="34" t="n">
        <v>46244</v>
      </c>
      <c r="B256" s="31" t="inlineStr">
        <is>
          <t>Diego</t>
        </is>
      </c>
      <c r="C256" s="31" t="inlineStr">
        <is>
          <t>Site novo · Loja Verde</t>
        </is>
      </c>
      <c r="D256" s="29" t="inlineStr">
        <is>
          <t>Implementação</t>
        </is>
      </c>
      <c r="E256" s="35" t="n">
        <v>5</v>
      </c>
      <c r="F256" s="26">
        <f>IF(OR(B256="",E256=""),"",IFERROR(IF(ISNUMBER(INDEX(Config!$D$11:$D$20,MATCH(B256,Config!$A$11:$A$20,0))),E256*INDEX(Config!$D$11:$D$20,MATCH(B256,Config!$A$11:$A$20,0)),"cadastro de custo incompleto em Config"),"pessoa sem custo-hora em Config"))</f>
        <v>241.666666666667</v>
      </c>
      <c r="G256" s="25">
        <f>IF(A256="","",MONTH(A256))</f>
        <v>8</v>
      </c>
      <c r="H256" s="25">
        <f>IF(A256="","",YEAR(A256))</f>
        <v>2026</v>
      </c>
      <c r="I256" s="31" t="inlineStr">
        <is>
          <t>Sim</t>
        </is>
      </c>
      <c r="J256" s="36">
        <f>IF(AND(B256&lt;&gt;"",E256&lt;&gt;"",NOT(ISNUMBER(F256))),1,0)</f>
        <v>0</v>
      </c>
    </row>
    <row r="257">
      <c r="A257" s="34" t="n">
        <v>46244</v>
      </c>
      <c r="B257" s="31" t="inlineStr">
        <is>
          <t>Diego</t>
        </is>
      </c>
      <c r="C257" s="31" t="inlineStr">
        <is>
          <t>Comercial e propostas</t>
        </is>
      </c>
      <c r="D257" s="29" t="inlineStr">
        <is>
          <t>Proposta</t>
        </is>
      </c>
      <c r="E257" s="35" t="n">
        <v>1</v>
      </c>
      <c r="F257" s="26">
        <f>IF(OR(B257="",E257=""),"",IFERROR(IF(ISNUMBER(INDEX(Config!$D$11:$D$20,MATCH(B257,Config!$A$11:$A$20,0))),E257*INDEX(Config!$D$11:$D$20,MATCH(B257,Config!$A$11:$A$20,0)),"cadastro de custo incompleto em Config"),"pessoa sem custo-hora em Config"))</f>
        <v>48.3333333333333</v>
      </c>
      <c r="G257" s="25">
        <f>IF(A257="","",MONTH(A257))</f>
        <v>8</v>
      </c>
      <c r="H257" s="25">
        <f>IF(A257="","",YEAR(A257))</f>
        <v>2026</v>
      </c>
      <c r="I257" s="31" t="inlineStr">
        <is>
          <t>Não</t>
        </is>
      </c>
      <c r="J257" s="36">
        <f>IF(AND(B257&lt;&gt;"",E257&lt;&gt;"",NOT(ISNUMBER(F257))),1,0)</f>
        <v>0</v>
      </c>
    </row>
    <row r="258">
      <c r="A258" s="34" t="n">
        <v>46244</v>
      </c>
      <c r="B258" s="31" t="inlineStr">
        <is>
          <t>Diego</t>
        </is>
      </c>
      <c r="C258" s="31" t="inlineStr">
        <is>
          <t>Gestão e reuniões</t>
        </is>
      </c>
      <c r="D258" s="29" t="inlineStr">
        <is>
          <t>Planejamento</t>
        </is>
      </c>
      <c r="E258" s="35" t="n">
        <v>2.5</v>
      </c>
      <c r="F258" s="26">
        <f>IF(OR(B258="",E258=""),"",IFERROR(IF(ISNUMBER(INDEX(Config!$D$11:$D$20,MATCH(B258,Config!$A$11:$A$20,0))),E258*INDEX(Config!$D$11:$D$20,MATCH(B258,Config!$A$11:$A$20,0)),"cadastro de custo incompleto em Config"),"pessoa sem custo-hora em Config"))</f>
        <v>120.833333333333</v>
      </c>
      <c r="G258" s="25">
        <f>IF(A258="","",MONTH(A258))</f>
        <v>8</v>
      </c>
      <c r="H258" s="25">
        <f>IF(A258="","",YEAR(A258))</f>
        <v>2026</v>
      </c>
      <c r="I258" s="31" t="inlineStr">
        <is>
          <t>Não</t>
        </is>
      </c>
      <c r="J258" s="36">
        <f>IF(AND(B258&lt;&gt;"",E258&lt;&gt;"",NOT(ISNUMBER(F258))),1,0)</f>
        <v>0</v>
      </c>
    </row>
    <row r="259">
      <c r="A259" s="34" t="n">
        <v>46245</v>
      </c>
      <c r="B259" s="31" t="inlineStr">
        <is>
          <t>Ana</t>
        </is>
      </c>
      <c r="C259" s="31" t="inlineStr">
        <is>
          <t>Site novo · Loja Verde</t>
        </is>
      </c>
      <c r="D259" s="29" t="inlineStr">
        <is>
          <t>Wireframe</t>
        </is>
      </c>
      <c r="E259" s="35" t="n">
        <v>2</v>
      </c>
      <c r="F259" s="26">
        <f>IF(OR(B259="",E259=""),"",IFERROR(IF(ISNUMBER(INDEX(Config!$D$11:$D$20,MATCH(B259,Config!$A$11:$A$20,0))),E259*INDEX(Config!$D$11:$D$20,MATCH(B259,Config!$A$11:$A$20,0)),"cadastro de custo incompleto em Config"),"pessoa sem custo-hora em Config"))</f>
        <v>140</v>
      </c>
      <c r="G259" s="25">
        <f>IF(A259="","",MONTH(A259))</f>
        <v>8</v>
      </c>
      <c r="H259" s="25">
        <f>IF(A259="","",YEAR(A259))</f>
        <v>2026</v>
      </c>
      <c r="I259" s="31" t="inlineStr">
        <is>
          <t>Sim</t>
        </is>
      </c>
      <c r="J259" s="36">
        <f>IF(AND(B259&lt;&gt;"",E259&lt;&gt;"",NOT(ISNUMBER(F259))),1,0)</f>
        <v>0</v>
      </c>
    </row>
    <row r="260">
      <c r="A260" s="34" t="n">
        <v>46245</v>
      </c>
      <c r="B260" s="31" t="inlineStr">
        <is>
          <t>Ana</t>
        </is>
      </c>
      <c r="C260" s="31" t="inlineStr">
        <is>
          <t>Comercial e propostas</t>
        </is>
      </c>
      <c r="D260" s="29" t="inlineStr">
        <is>
          <t>Proposta</t>
        </is>
      </c>
      <c r="E260" s="35" t="n">
        <v>2</v>
      </c>
      <c r="F260" s="26">
        <f>IF(OR(B260="",E260=""),"",IFERROR(IF(ISNUMBER(INDEX(Config!$D$11:$D$20,MATCH(B260,Config!$A$11:$A$20,0))),E260*INDEX(Config!$D$11:$D$20,MATCH(B260,Config!$A$11:$A$20,0)),"cadastro de custo incompleto em Config"),"pessoa sem custo-hora em Config"))</f>
        <v>140</v>
      </c>
      <c r="G260" s="25">
        <f>IF(A260="","",MONTH(A260))</f>
        <v>8</v>
      </c>
      <c r="H260" s="25">
        <f>IF(A260="","",YEAR(A260))</f>
        <v>2026</v>
      </c>
      <c r="I260" s="31" t="inlineStr">
        <is>
          <t>Não</t>
        </is>
      </c>
      <c r="J260" s="36">
        <f>IF(AND(B260&lt;&gt;"",E260&lt;&gt;"",NOT(ISNUMBER(F260))),1,0)</f>
        <v>0</v>
      </c>
    </row>
    <row r="261">
      <c r="A261" s="34" t="n">
        <v>46245</v>
      </c>
      <c r="B261" s="31" t="inlineStr">
        <is>
          <t>Ana</t>
        </is>
      </c>
      <c r="C261" s="31" t="inlineStr">
        <is>
          <t>Gestão e reuniões</t>
        </is>
      </c>
      <c r="D261" s="29" t="inlineStr">
        <is>
          <t>Semanal</t>
        </is>
      </c>
      <c r="E261" s="35" t="n">
        <v>2</v>
      </c>
      <c r="F261" s="26">
        <f>IF(OR(B261="",E261=""),"",IFERROR(IF(ISNUMBER(INDEX(Config!$D$11:$D$20,MATCH(B261,Config!$A$11:$A$20,0))),E261*INDEX(Config!$D$11:$D$20,MATCH(B261,Config!$A$11:$A$20,0)),"cadastro de custo incompleto em Config"),"pessoa sem custo-hora em Config"))</f>
        <v>140</v>
      </c>
      <c r="G261" s="25">
        <f>IF(A261="","",MONTH(A261))</f>
        <v>8</v>
      </c>
      <c r="H261" s="25">
        <f>IF(A261="","",YEAR(A261))</f>
        <v>2026</v>
      </c>
      <c r="I261" s="31" t="inlineStr">
        <is>
          <t>Não</t>
        </is>
      </c>
      <c r="J261" s="36">
        <f>IF(AND(B261&lt;&gt;"",E261&lt;&gt;"",NOT(ISNUMBER(F261))),1,0)</f>
        <v>0</v>
      </c>
    </row>
    <row r="262">
      <c r="A262" s="34" t="n">
        <v>46245</v>
      </c>
      <c r="B262" s="31" t="inlineStr">
        <is>
          <t>Bruno</t>
        </is>
      </c>
      <c r="C262" s="31" t="inlineStr">
        <is>
          <t>Site novo · Loja Verde</t>
        </is>
      </c>
      <c r="D262" s="29" t="inlineStr">
        <is>
          <t>Reunião com cliente</t>
        </is>
      </c>
      <c r="E262" s="35" t="n">
        <v>6</v>
      </c>
      <c r="F262" s="26">
        <f>IF(OR(B262="",E262=""),"",IFERROR(IF(ISNUMBER(INDEX(Config!$D$11:$D$20,MATCH(B262,Config!$A$11:$A$20,0))),E262*INDEX(Config!$D$11:$D$20,MATCH(B262,Config!$A$11:$A$20,0)),"cadastro de custo incompleto em Config"),"pessoa sem custo-hora em Config"))</f>
        <v>308.571428571429</v>
      </c>
      <c r="G262" s="25">
        <f>IF(A262="","",MONTH(A262))</f>
        <v>8</v>
      </c>
      <c r="H262" s="25">
        <f>IF(A262="","",YEAR(A262))</f>
        <v>2026</v>
      </c>
      <c r="I262" s="31" t="inlineStr">
        <is>
          <t>Sim</t>
        </is>
      </c>
      <c r="J262" s="36">
        <f>IF(AND(B262&lt;&gt;"",E262&lt;&gt;"",NOT(ISNUMBER(F262))),1,0)</f>
        <v>0</v>
      </c>
    </row>
    <row r="263">
      <c r="A263" s="34" t="n">
        <v>46245</v>
      </c>
      <c r="B263" s="31" t="inlineStr">
        <is>
          <t>Bruno</t>
        </is>
      </c>
      <c r="C263" s="31" t="inlineStr">
        <is>
          <t>Identidade visual · Padaria do Sol</t>
        </is>
      </c>
      <c r="D263" s="29" t="inlineStr">
        <is>
          <t>Aplicações</t>
        </is>
      </c>
      <c r="E263" s="35" t="n">
        <v>2</v>
      </c>
      <c r="F263" s="26">
        <f>IF(OR(B263="",E263=""),"",IFERROR(IF(ISNUMBER(INDEX(Config!$D$11:$D$20,MATCH(B263,Config!$A$11:$A$20,0))),E263*INDEX(Config!$D$11:$D$20,MATCH(B263,Config!$A$11:$A$20,0)),"cadastro de custo incompleto em Config"),"pessoa sem custo-hora em Config"))</f>
        <v>102.857142857143</v>
      </c>
      <c r="G263" s="25">
        <f>IF(A263="","",MONTH(A263))</f>
        <v>8</v>
      </c>
      <c r="H263" s="25">
        <f>IF(A263="","",YEAR(A263))</f>
        <v>2026</v>
      </c>
      <c r="I263" s="31" t="inlineStr">
        <is>
          <t>Sim</t>
        </is>
      </c>
      <c r="J263" s="36">
        <f>IF(AND(B263&lt;&gt;"",E263&lt;&gt;"",NOT(ISNUMBER(F263))),1,0)</f>
        <v>0</v>
      </c>
    </row>
    <row r="264">
      <c r="A264" s="34" t="n">
        <v>46245</v>
      </c>
      <c r="B264" s="31" t="inlineStr">
        <is>
          <t>Bruno</t>
        </is>
      </c>
      <c r="C264" s="31" t="inlineStr">
        <is>
          <t>Gestão e reuniões</t>
        </is>
      </c>
      <c r="D264" s="29" t="inlineStr">
        <is>
          <t>Financeiro</t>
        </is>
      </c>
      <c r="E264" s="35" t="n">
        <v>1.5</v>
      </c>
      <c r="F264" s="26">
        <f>IF(OR(B264="",E264=""),"",IFERROR(IF(ISNUMBER(INDEX(Config!$D$11:$D$20,MATCH(B264,Config!$A$11:$A$20,0))),E264*INDEX(Config!$D$11:$D$20,MATCH(B264,Config!$A$11:$A$20,0)),"cadastro de custo incompleto em Config"),"pessoa sem custo-hora em Config"))</f>
        <v>77.1428571428571</v>
      </c>
      <c r="G264" s="25">
        <f>IF(A264="","",MONTH(A264))</f>
        <v>8</v>
      </c>
      <c r="H264" s="25">
        <f>IF(A264="","",YEAR(A264))</f>
        <v>2026</v>
      </c>
      <c r="I264" s="31" t="inlineStr">
        <is>
          <t>Não</t>
        </is>
      </c>
      <c r="J264" s="36">
        <f>IF(AND(B264&lt;&gt;"",E264&lt;&gt;"",NOT(ISNUMBER(F264))),1,0)</f>
        <v>0</v>
      </c>
    </row>
    <row r="265">
      <c r="A265" s="34" t="n">
        <v>46245</v>
      </c>
      <c r="B265" s="31" t="inlineStr">
        <is>
          <t>Carla</t>
        </is>
      </c>
      <c r="C265" s="31" t="inlineStr">
        <is>
          <t>Site novo · Loja Verde</t>
        </is>
      </c>
      <c r="D265" s="29" t="inlineStr">
        <is>
          <t>Reunião com cliente</t>
        </is>
      </c>
      <c r="E265" s="35" t="n">
        <v>2</v>
      </c>
      <c r="F265" s="26">
        <f>IF(OR(B265="",E265=""),"",IFERROR(IF(ISNUMBER(INDEX(Config!$D$11:$D$20,MATCH(B265,Config!$A$11:$A$20,0))),E265*INDEX(Config!$D$11:$D$20,MATCH(B265,Config!$A$11:$A$20,0)),"cadastro de custo incompleto em Config"),"pessoa sem custo-hora em Config"))</f>
        <v>92.8571428571429</v>
      </c>
      <c r="G265" s="25">
        <f>IF(A265="","",MONTH(A265))</f>
        <v>8</v>
      </c>
      <c r="H265" s="25">
        <f>IF(A265="","",YEAR(A265))</f>
        <v>2026</v>
      </c>
      <c r="I265" s="31" t="inlineStr">
        <is>
          <t>Sim</t>
        </is>
      </c>
      <c r="J265" s="36">
        <f>IF(AND(B265&lt;&gt;"",E265&lt;&gt;"",NOT(ISNUMBER(F265))),1,0)</f>
        <v>0</v>
      </c>
    </row>
    <row r="266">
      <c r="A266" s="34" t="n">
        <v>46245</v>
      </c>
      <c r="B266" s="31" t="inlineStr">
        <is>
          <t>Carla</t>
        </is>
      </c>
      <c r="C266" s="31" t="inlineStr">
        <is>
          <t>Comercial e propostas</t>
        </is>
      </c>
      <c r="D266" s="29" t="inlineStr">
        <is>
          <t>Reunião comercial</t>
        </is>
      </c>
      <c r="E266" s="35" t="n">
        <v>3.5</v>
      </c>
      <c r="F266" s="26">
        <f>IF(OR(B266="",E266=""),"",IFERROR(IF(ISNUMBER(INDEX(Config!$D$11:$D$20,MATCH(B266,Config!$A$11:$A$20,0))),E266*INDEX(Config!$D$11:$D$20,MATCH(B266,Config!$A$11:$A$20,0)),"cadastro de custo incompleto em Config"),"pessoa sem custo-hora em Config"))</f>
        <v>162.5</v>
      </c>
      <c r="G266" s="25">
        <f>IF(A266="","",MONTH(A266))</f>
        <v>8</v>
      </c>
      <c r="H266" s="25">
        <f>IF(A266="","",YEAR(A266))</f>
        <v>2026</v>
      </c>
      <c r="I266" s="31" t="inlineStr">
        <is>
          <t>Não</t>
        </is>
      </c>
      <c r="J266" s="36">
        <f>IF(AND(B266&lt;&gt;"",E266&lt;&gt;"",NOT(ISNUMBER(F266))),1,0)</f>
        <v>0</v>
      </c>
    </row>
    <row r="267">
      <c r="A267" s="34" t="n">
        <v>46245</v>
      </c>
      <c r="B267" s="31" t="inlineStr">
        <is>
          <t>Carla</t>
        </is>
      </c>
      <c r="C267" s="31" t="inlineStr">
        <is>
          <t>Gestão e reuniões</t>
        </is>
      </c>
      <c r="D267" s="29" t="inlineStr">
        <is>
          <t>Financeiro</t>
        </is>
      </c>
      <c r="E267" s="35" t="n">
        <v>1</v>
      </c>
      <c r="F267" s="26">
        <f>IF(OR(B267="",E267=""),"",IFERROR(IF(ISNUMBER(INDEX(Config!$D$11:$D$20,MATCH(B267,Config!$A$11:$A$20,0))),E267*INDEX(Config!$D$11:$D$20,MATCH(B267,Config!$A$11:$A$20,0)),"cadastro de custo incompleto em Config"),"pessoa sem custo-hora em Config"))</f>
        <v>46.4285714285714</v>
      </c>
      <c r="G267" s="25">
        <f>IF(A267="","",MONTH(A267))</f>
        <v>8</v>
      </c>
      <c r="H267" s="25">
        <f>IF(A267="","",YEAR(A267))</f>
        <v>2026</v>
      </c>
      <c r="I267" s="31" t="inlineStr">
        <is>
          <t>Não</t>
        </is>
      </c>
      <c r="J267" s="36">
        <f>IF(AND(B267&lt;&gt;"",E267&lt;&gt;"",NOT(ISNUMBER(F267))),1,0)</f>
        <v>0</v>
      </c>
    </row>
    <row r="268">
      <c r="A268" s="34" t="n">
        <v>46245</v>
      </c>
      <c r="B268" s="31" t="inlineStr">
        <is>
          <t>Diego</t>
        </is>
      </c>
      <c r="C268" s="31" t="inlineStr">
        <is>
          <t>Site novo · Loja Verde</t>
        </is>
      </c>
      <c r="D268" s="29" t="inlineStr">
        <is>
          <t>Textos</t>
        </is>
      </c>
      <c r="E268" s="35" t="n">
        <v>6</v>
      </c>
      <c r="F268" s="26">
        <f>IF(OR(B268="",E268=""),"",IFERROR(IF(ISNUMBER(INDEX(Config!$D$11:$D$20,MATCH(B268,Config!$A$11:$A$20,0))),E268*INDEX(Config!$D$11:$D$20,MATCH(B268,Config!$A$11:$A$20,0)),"cadastro de custo incompleto em Config"),"pessoa sem custo-hora em Config"))</f>
        <v>290</v>
      </c>
      <c r="G268" s="25">
        <f>IF(A268="","",MONTH(A268))</f>
        <v>8</v>
      </c>
      <c r="H268" s="25">
        <f>IF(A268="","",YEAR(A268))</f>
        <v>2026</v>
      </c>
      <c r="I268" s="31" t="inlineStr">
        <is>
          <t>Sim</t>
        </is>
      </c>
      <c r="J268" s="36">
        <f>IF(AND(B268&lt;&gt;"",E268&lt;&gt;"",NOT(ISNUMBER(F268))),1,0)</f>
        <v>0</v>
      </c>
    </row>
    <row r="269">
      <c r="A269" s="34" t="n">
        <v>46245</v>
      </c>
      <c r="B269" s="31" t="inlineStr">
        <is>
          <t>Diego</t>
        </is>
      </c>
      <c r="C269" s="31" t="inlineStr">
        <is>
          <t>Comercial e propostas</t>
        </is>
      </c>
      <c r="D269" s="29" t="inlineStr">
        <is>
          <t>Proposta</t>
        </is>
      </c>
      <c r="E269" s="35" t="n">
        <v>0.5</v>
      </c>
      <c r="F269" s="26">
        <f>IF(OR(B269="",E269=""),"",IFERROR(IF(ISNUMBER(INDEX(Config!$D$11:$D$20,MATCH(B269,Config!$A$11:$A$20,0))),E269*INDEX(Config!$D$11:$D$20,MATCH(B269,Config!$A$11:$A$20,0)),"cadastro de custo incompleto em Config"),"pessoa sem custo-hora em Config"))</f>
        <v>24.1666666666667</v>
      </c>
      <c r="G269" s="25">
        <f>IF(A269="","",MONTH(A269))</f>
        <v>8</v>
      </c>
      <c r="H269" s="25">
        <f>IF(A269="","",YEAR(A269))</f>
        <v>2026</v>
      </c>
      <c r="I269" s="31" t="inlineStr">
        <is>
          <t>Não</t>
        </is>
      </c>
      <c r="J269" s="36">
        <f>IF(AND(B269&lt;&gt;"",E269&lt;&gt;"",NOT(ISNUMBER(F269))),1,0)</f>
        <v>0</v>
      </c>
    </row>
    <row r="270">
      <c r="A270" s="34" t="n">
        <v>46245</v>
      </c>
      <c r="B270" s="31" t="inlineStr">
        <is>
          <t>Diego</t>
        </is>
      </c>
      <c r="C270" s="31" t="inlineStr">
        <is>
          <t>Gestão e reuniões</t>
        </is>
      </c>
      <c r="D270" s="29" t="inlineStr">
        <is>
          <t>Planejamento</t>
        </is>
      </c>
      <c r="E270" s="35" t="n">
        <v>2.5</v>
      </c>
      <c r="F270" s="26">
        <f>IF(OR(B270="",E270=""),"",IFERROR(IF(ISNUMBER(INDEX(Config!$D$11:$D$20,MATCH(B270,Config!$A$11:$A$20,0))),E270*INDEX(Config!$D$11:$D$20,MATCH(B270,Config!$A$11:$A$20,0)),"cadastro de custo incompleto em Config"),"pessoa sem custo-hora em Config"))</f>
        <v>120.833333333333</v>
      </c>
      <c r="G270" s="25">
        <f>IF(A270="","",MONTH(A270))</f>
        <v>8</v>
      </c>
      <c r="H270" s="25">
        <f>IF(A270="","",YEAR(A270))</f>
        <v>2026</v>
      </c>
      <c r="I270" s="31" t="inlineStr">
        <is>
          <t>Não</t>
        </is>
      </c>
      <c r="J270" s="36">
        <f>IF(AND(B270&lt;&gt;"",E270&lt;&gt;"",NOT(ISNUMBER(F270))),1,0)</f>
        <v>0</v>
      </c>
    </row>
    <row r="271">
      <c r="A271" s="34" t="n">
        <v>46246</v>
      </c>
      <c r="B271" s="31" t="inlineStr">
        <is>
          <t>Ana</t>
        </is>
      </c>
      <c r="C271" s="31" t="inlineStr">
        <is>
          <t>Site novo · Loja Verde</t>
        </is>
      </c>
      <c r="D271" s="29" t="inlineStr">
        <is>
          <t>Implementação</t>
        </is>
      </c>
      <c r="E271" s="35" t="n">
        <v>2</v>
      </c>
      <c r="F271" s="26">
        <f>IF(OR(B271="",E271=""),"",IFERROR(IF(ISNUMBER(INDEX(Config!$D$11:$D$20,MATCH(B271,Config!$A$11:$A$20,0))),E271*INDEX(Config!$D$11:$D$20,MATCH(B271,Config!$A$11:$A$20,0)),"cadastro de custo incompleto em Config"),"pessoa sem custo-hora em Config"))</f>
        <v>140</v>
      </c>
      <c r="G271" s="25">
        <f>IF(A271="","",MONTH(A271))</f>
        <v>8</v>
      </c>
      <c r="H271" s="25">
        <f>IF(A271="","",YEAR(A271))</f>
        <v>2026</v>
      </c>
      <c r="I271" s="31" t="inlineStr">
        <is>
          <t>Sim</t>
        </is>
      </c>
      <c r="J271" s="36">
        <f>IF(AND(B271&lt;&gt;"",E271&lt;&gt;"",NOT(ISNUMBER(F271))),1,0)</f>
        <v>0</v>
      </c>
    </row>
    <row r="272">
      <c r="A272" s="34" t="n">
        <v>46246</v>
      </c>
      <c r="B272" s="31" t="inlineStr">
        <is>
          <t>Ana</t>
        </is>
      </c>
      <c r="C272" s="31" t="inlineStr">
        <is>
          <t>Comercial e propostas</t>
        </is>
      </c>
      <c r="D272" s="29" t="inlineStr">
        <is>
          <t>Reunião comercial</t>
        </is>
      </c>
      <c r="E272" s="35" t="n">
        <v>2</v>
      </c>
      <c r="F272" s="26">
        <f>IF(OR(B272="",E272=""),"",IFERROR(IF(ISNUMBER(INDEX(Config!$D$11:$D$20,MATCH(B272,Config!$A$11:$A$20,0))),E272*INDEX(Config!$D$11:$D$20,MATCH(B272,Config!$A$11:$A$20,0)),"cadastro de custo incompleto em Config"),"pessoa sem custo-hora em Config"))</f>
        <v>140</v>
      </c>
      <c r="G272" s="25">
        <f>IF(A272="","",MONTH(A272))</f>
        <v>8</v>
      </c>
      <c r="H272" s="25">
        <f>IF(A272="","",YEAR(A272))</f>
        <v>2026</v>
      </c>
      <c r="I272" s="31" t="inlineStr">
        <is>
          <t>Não</t>
        </is>
      </c>
      <c r="J272" s="36">
        <f>IF(AND(B272&lt;&gt;"",E272&lt;&gt;"",NOT(ISNUMBER(F272))),1,0)</f>
        <v>0</v>
      </c>
    </row>
    <row r="273">
      <c r="A273" s="34" t="n">
        <v>46246</v>
      </c>
      <c r="B273" s="31" t="inlineStr">
        <is>
          <t>Ana</t>
        </is>
      </c>
      <c r="C273" s="31" t="inlineStr">
        <is>
          <t>Gestão e reuniões</t>
        </is>
      </c>
      <c r="D273" s="29" t="inlineStr">
        <is>
          <t>Semanal</t>
        </is>
      </c>
      <c r="E273" s="35" t="n">
        <v>3</v>
      </c>
      <c r="F273" s="26">
        <f>IF(OR(B273="",E273=""),"",IFERROR(IF(ISNUMBER(INDEX(Config!$D$11:$D$20,MATCH(B273,Config!$A$11:$A$20,0))),E273*INDEX(Config!$D$11:$D$20,MATCH(B273,Config!$A$11:$A$20,0)),"cadastro de custo incompleto em Config"),"pessoa sem custo-hora em Config"))</f>
        <v>210</v>
      </c>
      <c r="G273" s="25">
        <f>IF(A273="","",MONTH(A273))</f>
        <v>8</v>
      </c>
      <c r="H273" s="25">
        <f>IF(A273="","",YEAR(A273))</f>
        <v>2026</v>
      </c>
      <c r="I273" s="31" t="inlineStr">
        <is>
          <t>Não</t>
        </is>
      </c>
      <c r="J273" s="36">
        <f>IF(AND(B273&lt;&gt;"",E273&lt;&gt;"",NOT(ISNUMBER(F273))),1,0)</f>
        <v>0</v>
      </c>
    </row>
    <row r="274">
      <c r="A274" s="34" t="n">
        <v>46246</v>
      </c>
      <c r="B274" s="31" t="inlineStr">
        <is>
          <t>Bruno</t>
        </is>
      </c>
      <c r="C274" s="31" t="inlineStr">
        <is>
          <t>Site novo · Loja Verde</t>
        </is>
      </c>
      <c r="D274" s="29" t="inlineStr">
        <is>
          <t>Textos</t>
        </is>
      </c>
      <c r="E274" s="35" t="n">
        <v>6.5</v>
      </c>
      <c r="F274" s="26">
        <f>IF(OR(B274="",E274=""),"",IFERROR(IF(ISNUMBER(INDEX(Config!$D$11:$D$20,MATCH(B274,Config!$A$11:$A$20,0))),E274*INDEX(Config!$D$11:$D$20,MATCH(B274,Config!$A$11:$A$20,0)),"cadastro de custo incompleto em Config"),"pessoa sem custo-hora em Config"))</f>
        <v>334.285714285714</v>
      </c>
      <c r="G274" s="25">
        <f>IF(A274="","",MONTH(A274))</f>
        <v>8</v>
      </c>
      <c r="H274" s="25">
        <f>IF(A274="","",YEAR(A274))</f>
        <v>2026</v>
      </c>
      <c r="I274" s="31" t="inlineStr">
        <is>
          <t>Sim</t>
        </is>
      </c>
      <c r="J274" s="36">
        <f>IF(AND(B274&lt;&gt;"",E274&lt;&gt;"",NOT(ISNUMBER(F274))),1,0)</f>
        <v>0</v>
      </c>
    </row>
    <row r="275">
      <c r="A275" s="34" t="n">
        <v>46246</v>
      </c>
      <c r="B275" s="31" t="inlineStr">
        <is>
          <t>Bruno</t>
        </is>
      </c>
      <c r="C275" s="31" t="inlineStr">
        <is>
          <t>Identidade visual · Padaria do Sol</t>
        </is>
      </c>
      <c r="D275" s="29" t="inlineStr">
        <is>
          <t>Logo</t>
        </is>
      </c>
      <c r="E275" s="35" t="n">
        <v>1.5</v>
      </c>
      <c r="F275" s="26">
        <f>IF(OR(B275="",E275=""),"",IFERROR(IF(ISNUMBER(INDEX(Config!$D$11:$D$20,MATCH(B275,Config!$A$11:$A$20,0))),E275*INDEX(Config!$D$11:$D$20,MATCH(B275,Config!$A$11:$A$20,0)),"cadastro de custo incompleto em Config"),"pessoa sem custo-hora em Config"))</f>
        <v>77.1428571428571</v>
      </c>
      <c r="G275" s="25">
        <f>IF(A275="","",MONTH(A275))</f>
        <v>8</v>
      </c>
      <c r="H275" s="25">
        <f>IF(A275="","",YEAR(A275))</f>
        <v>2026</v>
      </c>
      <c r="I275" s="31" t="inlineStr">
        <is>
          <t>Sim</t>
        </is>
      </c>
      <c r="J275" s="36">
        <f>IF(AND(B275&lt;&gt;"",E275&lt;&gt;"",NOT(ISNUMBER(F275))),1,0)</f>
        <v>0</v>
      </c>
    </row>
    <row r="276">
      <c r="A276" s="34" t="n">
        <v>46246</v>
      </c>
      <c r="B276" s="31" t="inlineStr">
        <is>
          <t>Bruno</t>
        </is>
      </c>
      <c r="C276" s="31" t="inlineStr">
        <is>
          <t>Gestão e reuniões</t>
        </is>
      </c>
      <c r="D276" s="29" t="inlineStr">
        <is>
          <t>Financeiro</t>
        </is>
      </c>
      <c r="E276" s="35" t="n">
        <v>1</v>
      </c>
      <c r="F276" s="26">
        <f>IF(OR(B276="",E276=""),"",IFERROR(IF(ISNUMBER(INDEX(Config!$D$11:$D$20,MATCH(B276,Config!$A$11:$A$20,0))),E276*INDEX(Config!$D$11:$D$20,MATCH(B276,Config!$A$11:$A$20,0)),"cadastro de custo incompleto em Config"),"pessoa sem custo-hora em Config"))</f>
        <v>51.4285714285714</v>
      </c>
      <c r="G276" s="25">
        <f>IF(A276="","",MONTH(A276))</f>
        <v>8</v>
      </c>
      <c r="H276" s="25">
        <f>IF(A276="","",YEAR(A276))</f>
        <v>2026</v>
      </c>
      <c r="I276" s="31" t="inlineStr">
        <is>
          <t>Não</t>
        </is>
      </c>
      <c r="J276" s="36">
        <f>IF(AND(B276&lt;&gt;"",E276&lt;&gt;"",NOT(ISNUMBER(F276))),1,0)</f>
        <v>0</v>
      </c>
    </row>
    <row r="277">
      <c r="A277" s="34" t="n">
        <v>46246</v>
      </c>
      <c r="B277" s="31" t="inlineStr">
        <is>
          <t>Carla</t>
        </is>
      </c>
      <c r="C277" s="31" t="inlineStr">
        <is>
          <t>Site novo · Loja Verde</t>
        </is>
      </c>
      <c r="D277" s="29" t="inlineStr">
        <is>
          <t>Layout</t>
        </is>
      </c>
      <c r="E277" s="35" t="n">
        <v>2.5</v>
      </c>
      <c r="F277" s="26">
        <f>IF(OR(B277="",E277=""),"",IFERROR(IF(ISNUMBER(INDEX(Config!$D$11:$D$20,MATCH(B277,Config!$A$11:$A$20,0))),E277*INDEX(Config!$D$11:$D$20,MATCH(B277,Config!$A$11:$A$20,0)),"cadastro de custo incompleto em Config"),"pessoa sem custo-hora em Config"))</f>
        <v>116.071428571429</v>
      </c>
      <c r="G277" s="25">
        <f>IF(A277="","",MONTH(A277))</f>
        <v>8</v>
      </c>
      <c r="H277" s="25">
        <f>IF(A277="","",YEAR(A277))</f>
        <v>2026</v>
      </c>
      <c r="I277" s="31" t="inlineStr">
        <is>
          <t>Sim</t>
        </is>
      </c>
      <c r="J277" s="36">
        <f>IF(AND(B277&lt;&gt;"",E277&lt;&gt;"",NOT(ISNUMBER(F277))),1,0)</f>
        <v>0</v>
      </c>
    </row>
    <row r="278">
      <c r="A278" s="34" t="n">
        <v>46246</v>
      </c>
      <c r="B278" s="31" t="inlineStr">
        <is>
          <t>Carla</t>
        </is>
      </c>
      <c r="C278" s="31" t="inlineStr">
        <is>
          <t>Comercial e propostas</t>
        </is>
      </c>
      <c r="D278" s="29" t="inlineStr">
        <is>
          <t>Proposta</t>
        </is>
      </c>
      <c r="E278" s="35" t="n">
        <v>3</v>
      </c>
      <c r="F278" s="26">
        <f>IF(OR(B278="",E278=""),"",IFERROR(IF(ISNUMBER(INDEX(Config!$D$11:$D$20,MATCH(B278,Config!$A$11:$A$20,0))),E278*INDEX(Config!$D$11:$D$20,MATCH(B278,Config!$A$11:$A$20,0)),"cadastro de custo incompleto em Config"),"pessoa sem custo-hora em Config"))</f>
        <v>139.285714285714</v>
      </c>
      <c r="G278" s="25">
        <f>IF(A278="","",MONTH(A278))</f>
        <v>8</v>
      </c>
      <c r="H278" s="25">
        <f>IF(A278="","",YEAR(A278))</f>
        <v>2026</v>
      </c>
      <c r="I278" s="31" t="inlineStr">
        <is>
          <t>Não</t>
        </is>
      </c>
      <c r="J278" s="36">
        <f>IF(AND(B278&lt;&gt;"",E278&lt;&gt;"",NOT(ISNUMBER(F278))),1,0)</f>
        <v>0</v>
      </c>
    </row>
    <row r="279">
      <c r="A279" s="34" t="n">
        <v>46246</v>
      </c>
      <c r="B279" s="31" t="inlineStr">
        <is>
          <t>Carla</t>
        </is>
      </c>
      <c r="C279" s="31" t="inlineStr">
        <is>
          <t>Gestão e reuniões</t>
        </is>
      </c>
      <c r="D279" s="29" t="inlineStr">
        <is>
          <t>Planejamento</t>
        </is>
      </c>
      <c r="E279" s="35" t="n">
        <v>1.5</v>
      </c>
      <c r="F279" s="26">
        <f>IF(OR(B279="",E279=""),"",IFERROR(IF(ISNUMBER(INDEX(Config!$D$11:$D$20,MATCH(B279,Config!$A$11:$A$20,0))),E279*INDEX(Config!$D$11:$D$20,MATCH(B279,Config!$A$11:$A$20,0)),"cadastro de custo incompleto em Config"),"pessoa sem custo-hora em Config"))</f>
        <v>69.6428571428571</v>
      </c>
      <c r="G279" s="25">
        <f>IF(A279="","",MONTH(A279))</f>
        <v>8</v>
      </c>
      <c r="H279" s="25">
        <f>IF(A279="","",YEAR(A279))</f>
        <v>2026</v>
      </c>
      <c r="I279" s="31" t="inlineStr">
        <is>
          <t>Não</t>
        </is>
      </c>
      <c r="J279" s="36">
        <f>IF(AND(B279&lt;&gt;"",E279&lt;&gt;"",NOT(ISNUMBER(F279))),1,0)</f>
        <v>0</v>
      </c>
    </row>
    <row r="280">
      <c r="A280" s="34" t="n">
        <v>46246</v>
      </c>
      <c r="B280" s="31" t="inlineStr">
        <is>
          <t>Diego</t>
        </is>
      </c>
      <c r="C280" s="31" t="inlineStr">
        <is>
          <t>Site novo · Loja Verde</t>
        </is>
      </c>
      <c r="D280" s="29" t="inlineStr">
        <is>
          <t>Layout</t>
        </is>
      </c>
      <c r="E280" s="35" t="n">
        <v>4</v>
      </c>
      <c r="F280" s="26">
        <f>IF(OR(B280="",E280=""),"",IFERROR(IF(ISNUMBER(INDEX(Config!$D$11:$D$20,MATCH(B280,Config!$A$11:$A$20,0))),E280*INDEX(Config!$D$11:$D$20,MATCH(B280,Config!$A$11:$A$20,0)),"cadastro de custo incompleto em Config"),"pessoa sem custo-hora em Config"))</f>
        <v>193.333333333333</v>
      </c>
      <c r="G280" s="25">
        <f>IF(A280="","",MONTH(A280))</f>
        <v>8</v>
      </c>
      <c r="H280" s="25">
        <f>IF(A280="","",YEAR(A280))</f>
        <v>2026</v>
      </c>
      <c r="I280" s="31" t="inlineStr">
        <is>
          <t>Sim</t>
        </is>
      </c>
      <c r="J280" s="36">
        <f>IF(AND(B280&lt;&gt;"",E280&lt;&gt;"",NOT(ISNUMBER(F280))),1,0)</f>
        <v>0</v>
      </c>
    </row>
    <row r="281">
      <c r="A281" s="34" t="n">
        <v>46246</v>
      </c>
      <c r="B281" s="31" t="inlineStr">
        <is>
          <t>Diego</t>
        </is>
      </c>
      <c r="C281" s="31" t="inlineStr">
        <is>
          <t>Comercial e propostas</t>
        </is>
      </c>
      <c r="D281" s="29" t="inlineStr">
        <is>
          <t>Proposta</t>
        </is>
      </c>
      <c r="E281" s="35" t="n">
        <v>1</v>
      </c>
      <c r="F281" s="26">
        <f>IF(OR(B281="",E281=""),"",IFERROR(IF(ISNUMBER(INDEX(Config!$D$11:$D$20,MATCH(B281,Config!$A$11:$A$20,0))),E281*INDEX(Config!$D$11:$D$20,MATCH(B281,Config!$A$11:$A$20,0)),"cadastro de custo incompleto em Config"),"pessoa sem custo-hora em Config"))</f>
        <v>48.3333333333333</v>
      </c>
      <c r="G281" s="25">
        <f>IF(A281="","",MONTH(A281))</f>
        <v>8</v>
      </c>
      <c r="H281" s="25">
        <f>IF(A281="","",YEAR(A281))</f>
        <v>2026</v>
      </c>
      <c r="I281" s="31" t="inlineStr">
        <is>
          <t>Não</t>
        </is>
      </c>
      <c r="J281" s="36">
        <f>IF(AND(B281&lt;&gt;"",E281&lt;&gt;"",NOT(ISNUMBER(F281))),1,0)</f>
        <v>0</v>
      </c>
    </row>
    <row r="282">
      <c r="A282" s="34" t="n">
        <v>46246</v>
      </c>
      <c r="B282" s="31" t="inlineStr">
        <is>
          <t>Diego</t>
        </is>
      </c>
      <c r="C282" s="31" t="inlineStr">
        <is>
          <t>Gestão e reuniões</t>
        </is>
      </c>
      <c r="D282" s="29" t="inlineStr">
        <is>
          <t>Financeiro</t>
        </is>
      </c>
      <c r="E282" s="35" t="n">
        <v>2</v>
      </c>
      <c r="F282" s="26">
        <f>IF(OR(B282="",E282=""),"",IFERROR(IF(ISNUMBER(INDEX(Config!$D$11:$D$20,MATCH(B282,Config!$A$11:$A$20,0))),E282*INDEX(Config!$D$11:$D$20,MATCH(B282,Config!$A$11:$A$20,0)),"cadastro de custo incompleto em Config"),"pessoa sem custo-hora em Config"))</f>
        <v>96.6666666666667</v>
      </c>
      <c r="G282" s="25">
        <f>IF(A282="","",MONTH(A282))</f>
        <v>8</v>
      </c>
      <c r="H282" s="25">
        <f>IF(A282="","",YEAR(A282))</f>
        <v>2026</v>
      </c>
      <c r="I282" s="31" t="inlineStr">
        <is>
          <t>Não</t>
        </is>
      </c>
      <c r="J282" s="36">
        <f>IF(AND(B282&lt;&gt;"",E282&lt;&gt;"",NOT(ISNUMBER(F282))),1,0)</f>
        <v>0</v>
      </c>
    </row>
    <row r="283">
      <c r="A283" s="34" t="n">
        <v>46247</v>
      </c>
      <c r="B283" s="31" t="inlineStr">
        <is>
          <t>Ana</t>
        </is>
      </c>
      <c r="C283" s="31" t="inlineStr">
        <is>
          <t>Site novo · Loja Verde</t>
        </is>
      </c>
      <c r="D283" s="29" t="inlineStr">
        <is>
          <t>Wireframe</t>
        </is>
      </c>
      <c r="E283" s="35" t="n">
        <v>2</v>
      </c>
      <c r="F283" s="26">
        <f>IF(OR(B283="",E283=""),"",IFERROR(IF(ISNUMBER(INDEX(Config!$D$11:$D$20,MATCH(B283,Config!$A$11:$A$20,0))),E283*INDEX(Config!$D$11:$D$20,MATCH(B283,Config!$A$11:$A$20,0)),"cadastro de custo incompleto em Config"),"pessoa sem custo-hora em Config"))</f>
        <v>140</v>
      </c>
      <c r="G283" s="25">
        <f>IF(A283="","",MONTH(A283))</f>
        <v>8</v>
      </c>
      <c r="H283" s="25">
        <f>IF(A283="","",YEAR(A283))</f>
        <v>2026</v>
      </c>
      <c r="I283" s="31" t="inlineStr">
        <is>
          <t>Sim</t>
        </is>
      </c>
      <c r="J283" s="36">
        <f>IF(AND(B283&lt;&gt;"",E283&lt;&gt;"",NOT(ISNUMBER(F283))),1,0)</f>
        <v>0</v>
      </c>
    </row>
    <row r="284">
      <c r="A284" s="34" t="n">
        <v>46247</v>
      </c>
      <c r="B284" s="31" t="inlineStr">
        <is>
          <t>Ana</t>
        </is>
      </c>
      <c r="C284" s="31" t="inlineStr">
        <is>
          <t>Comercial e propostas</t>
        </is>
      </c>
      <c r="D284" s="29" t="inlineStr">
        <is>
          <t>Proposta</t>
        </is>
      </c>
      <c r="E284" s="35" t="n">
        <v>2.5</v>
      </c>
      <c r="F284" s="26">
        <f>IF(OR(B284="",E284=""),"",IFERROR(IF(ISNUMBER(INDEX(Config!$D$11:$D$20,MATCH(B284,Config!$A$11:$A$20,0))),E284*INDEX(Config!$D$11:$D$20,MATCH(B284,Config!$A$11:$A$20,0)),"cadastro de custo incompleto em Config"),"pessoa sem custo-hora em Config"))</f>
        <v>175</v>
      </c>
      <c r="G284" s="25">
        <f>IF(A284="","",MONTH(A284))</f>
        <v>8</v>
      </c>
      <c r="H284" s="25">
        <f>IF(A284="","",YEAR(A284))</f>
        <v>2026</v>
      </c>
      <c r="I284" s="31" t="inlineStr">
        <is>
          <t>Não</t>
        </is>
      </c>
      <c r="J284" s="36">
        <f>IF(AND(B284&lt;&gt;"",E284&lt;&gt;"",NOT(ISNUMBER(F284))),1,0)</f>
        <v>0</v>
      </c>
    </row>
    <row r="285">
      <c r="A285" s="34" t="n">
        <v>46247</v>
      </c>
      <c r="B285" s="31" t="inlineStr">
        <is>
          <t>Ana</t>
        </is>
      </c>
      <c r="C285" s="31" t="inlineStr">
        <is>
          <t>Gestão e reuniões</t>
        </is>
      </c>
      <c r="D285" s="29" t="inlineStr">
        <is>
          <t>Financeiro</t>
        </is>
      </c>
      <c r="E285" s="35" t="n">
        <v>2</v>
      </c>
      <c r="F285" s="26">
        <f>IF(OR(B285="",E285=""),"",IFERROR(IF(ISNUMBER(INDEX(Config!$D$11:$D$20,MATCH(B285,Config!$A$11:$A$20,0))),E285*INDEX(Config!$D$11:$D$20,MATCH(B285,Config!$A$11:$A$20,0)),"cadastro de custo incompleto em Config"),"pessoa sem custo-hora em Config"))</f>
        <v>140</v>
      </c>
      <c r="G285" s="25">
        <f>IF(A285="","",MONTH(A285))</f>
        <v>8</v>
      </c>
      <c r="H285" s="25">
        <f>IF(A285="","",YEAR(A285))</f>
        <v>2026</v>
      </c>
      <c r="I285" s="31" t="inlineStr">
        <is>
          <t>Não</t>
        </is>
      </c>
      <c r="J285" s="36">
        <f>IF(AND(B285&lt;&gt;"",E285&lt;&gt;"",NOT(ISNUMBER(F285))),1,0)</f>
        <v>0</v>
      </c>
    </row>
    <row r="286">
      <c r="A286" s="34" t="n">
        <v>46247</v>
      </c>
      <c r="B286" s="31" t="inlineStr">
        <is>
          <t>Bruno</t>
        </is>
      </c>
      <c r="C286" s="31" t="inlineStr">
        <is>
          <t>Site novo · Loja Verde</t>
        </is>
      </c>
      <c r="D286" s="29" t="inlineStr">
        <is>
          <t>Implementação</t>
        </is>
      </c>
      <c r="E286" s="35" t="n">
        <v>5</v>
      </c>
      <c r="F286" s="26">
        <f>IF(OR(B286="",E286=""),"",IFERROR(IF(ISNUMBER(INDEX(Config!$D$11:$D$20,MATCH(B286,Config!$A$11:$A$20,0))),E286*INDEX(Config!$D$11:$D$20,MATCH(B286,Config!$A$11:$A$20,0)),"cadastro de custo incompleto em Config"),"pessoa sem custo-hora em Config"))</f>
        <v>257.142857142857</v>
      </c>
      <c r="G286" s="25">
        <f>IF(A286="","",MONTH(A286))</f>
        <v>8</v>
      </c>
      <c r="H286" s="25">
        <f>IF(A286="","",YEAR(A286))</f>
        <v>2026</v>
      </c>
      <c r="I286" s="31" t="inlineStr">
        <is>
          <t>Sim</t>
        </is>
      </c>
      <c r="J286" s="36">
        <f>IF(AND(B286&lt;&gt;"",E286&lt;&gt;"",NOT(ISNUMBER(F286))),1,0)</f>
        <v>0</v>
      </c>
    </row>
    <row r="287">
      <c r="A287" s="34" t="n">
        <v>46247</v>
      </c>
      <c r="B287" s="31" t="inlineStr">
        <is>
          <t>Bruno</t>
        </is>
      </c>
      <c r="C287" s="31" t="inlineStr">
        <is>
          <t>Identidade visual · Padaria do Sol</t>
        </is>
      </c>
      <c r="D287" s="29" t="inlineStr">
        <is>
          <t>Manual</t>
        </is>
      </c>
      <c r="E287" s="35" t="n">
        <v>1.5</v>
      </c>
      <c r="F287" s="26">
        <f>IF(OR(B287="",E287=""),"",IFERROR(IF(ISNUMBER(INDEX(Config!$D$11:$D$20,MATCH(B287,Config!$A$11:$A$20,0))),E287*INDEX(Config!$D$11:$D$20,MATCH(B287,Config!$A$11:$A$20,0)),"cadastro de custo incompleto em Config"),"pessoa sem custo-hora em Config"))</f>
        <v>77.1428571428571</v>
      </c>
      <c r="G287" s="25">
        <f>IF(A287="","",MONTH(A287))</f>
        <v>8</v>
      </c>
      <c r="H287" s="25">
        <f>IF(A287="","",YEAR(A287))</f>
        <v>2026</v>
      </c>
      <c r="I287" s="31" t="inlineStr">
        <is>
          <t>Sim</t>
        </is>
      </c>
      <c r="J287" s="36">
        <f>IF(AND(B287&lt;&gt;"",E287&lt;&gt;"",NOT(ISNUMBER(F287))),1,0)</f>
        <v>0</v>
      </c>
    </row>
    <row r="288">
      <c r="A288" s="34" t="n">
        <v>46247</v>
      </c>
      <c r="B288" s="31" t="inlineStr">
        <is>
          <t>Bruno</t>
        </is>
      </c>
      <c r="C288" s="31" t="inlineStr">
        <is>
          <t>Gestão e reuniões</t>
        </is>
      </c>
      <c r="D288" s="29" t="inlineStr">
        <is>
          <t>Financeiro</t>
        </is>
      </c>
      <c r="E288" s="35" t="n">
        <v>1</v>
      </c>
      <c r="F288" s="26">
        <f>IF(OR(B288="",E288=""),"",IFERROR(IF(ISNUMBER(INDEX(Config!$D$11:$D$20,MATCH(B288,Config!$A$11:$A$20,0))),E288*INDEX(Config!$D$11:$D$20,MATCH(B288,Config!$A$11:$A$20,0)),"cadastro de custo incompleto em Config"),"pessoa sem custo-hora em Config"))</f>
        <v>51.4285714285714</v>
      </c>
      <c r="G288" s="25">
        <f>IF(A288="","",MONTH(A288))</f>
        <v>8</v>
      </c>
      <c r="H288" s="25">
        <f>IF(A288="","",YEAR(A288))</f>
        <v>2026</v>
      </c>
      <c r="I288" s="31" t="inlineStr">
        <is>
          <t>Não</t>
        </is>
      </c>
      <c r="J288" s="36">
        <f>IF(AND(B288&lt;&gt;"",E288&lt;&gt;"",NOT(ISNUMBER(F288))),1,0)</f>
        <v>0</v>
      </c>
    </row>
    <row r="289">
      <c r="A289" s="34" t="n">
        <v>46247</v>
      </c>
      <c r="B289" s="31" t="inlineStr">
        <is>
          <t>Carla</t>
        </is>
      </c>
      <c r="C289" s="31" t="inlineStr">
        <is>
          <t>Site novo · Loja Verde</t>
        </is>
      </c>
      <c r="D289" s="29" t="inlineStr">
        <is>
          <t>Reunião com cliente</t>
        </is>
      </c>
      <c r="E289" s="35" t="n">
        <v>2.5</v>
      </c>
      <c r="F289" s="26">
        <f>IF(OR(B289="",E289=""),"",IFERROR(IF(ISNUMBER(INDEX(Config!$D$11:$D$20,MATCH(B289,Config!$A$11:$A$20,0))),E289*INDEX(Config!$D$11:$D$20,MATCH(B289,Config!$A$11:$A$20,0)),"cadastro de custo incompleto em Config"),"pessoa sem custo-hora em Config"))</f>
        <v>116.071428571429</v>
      </c>
      <c r="G289" s="25">
        <f>IF(A289="","",MONTH(A289))</f>
        <v>8</v>
      </c>
      <c r="H289" s="25">
        <f>IF(A289="","",YEAR(A289))</f>
        <v>2026</v>
      </c>
      <c r="I289" s="31" t="inlineStr">
        <is>
          <t>Sim</t>
        </is>
      </c>
      <c r="J289" s="36">
        <f>IF(AND(B289&lt;&gt;"",E289&lt;&gt;"",NOT(ISNUMBER(F289))),1,0)</f>
        <v>0</v>
      </c>
    </row>
    <row r="290">
      <c r="A290" s="34" t="n">
        <v>46247</v>
      </c>
      <c r="B290" s="31" t="inlineStr">
        <is>
          <t>Carla</t>
        </is>
      </c>
      <c r="C290" s="31" t="inlineStr">
        <is>
          <t>Comercial e propostas</t>
        </is>
      </c>
      <c r="D290" s="29" t="inlineStr">
        <is>
          <t>Proposta</t>
        </is>
      </c>
      <c r="E290" s="35" t="n">
        <v>4.5</v>
      </c>
      <c r="F290" s="26">
        <f>IF(OR(B290="",E290=""),"",IFERROR(IF(ISNUMBER(INDEX(Config!$D$11:$D$20,MATCH(B290,Config!$A$11:$A$20,0))),E290*INDEX(Config!$D$11:$D$20,MATCH(B290,Config!$A$11:$A$20,0)),"cadastro de custo incompleto em Config"),"pessoa sem custo-hora em Config"))</f>
        <v>208.928571428571</v>
      </c>
      <c r="G290" s="25">
        <f>IF(A290="","",MONTH(A290))</f>
        <v>8</v>
      </c>
      <c r="H290" s="25">
        <f>IF(A290="","",YEAR(A290))</f>
        <v>2026</v>
      </c>
      <c r="I290" s="31" t="inlineStr">
        <is>
          <t>Não</t>
        </is>
      </c>
      <c r="J290" s="36">
        <f>IF(AND(B290&lt;&gt;"",E290&lt;&gt;"",NOT(ISNUMBER(F290))),1,0)</f>
        <v>0</v>
      </c>
    </row>
    <row r="291">
      <c r="A291" s="34" t="n">
        <v>46247</v>
      </c>
      <c r="B291" s="31" t="inlineStr">
        <is>
          <t>Carla</t>
        </is>
      </c>
      <c r="C291" s="31" t="inlineStr">
        <is>
          <t>Gestão e reuniões</t>
        </is>
      </c>
      <c r="D291" s="29" t="inlineStr">
        <is>
          <t>Planejamento</t>
        </is>
      </c>
      <c r="E291" s="35" t="n">
        <v>1.5</v>
      </c>
      <c r="F291" s="26">
        <f>IF(OR(B291="",E291=""),"",IFERROR(IF(ISNUMBER(INDEX(Config!$D$11:$D$20,MATCH(B291,Config!$A$11:$A$20,0))),E291*INDEX(Config!$D$11:$D$20,MATCH(B291,Config!$A$11:$A$20,0)),"cadastro de custo incompleto em Config"),"pessoa sem custo-hora em Config"))</f>
        <v>69.6428571428571</v>
      </c>
      <c r="G291" s="25">
        <f>IF(A291="","",MONTH(A291))</f>
        <v>8</v>
      </c>
      <c r="H291" s="25">
        <f>IF(A291="","",YEAR(A291))</f>
        <v>2026</v>
      </c>
      <c r="I291" s="31" t="inlineStr">
        <is>
          <t>Não</t>
        </is>
      </c>
      <c r="J291" s="36">
        <f>IF(AND(B291&lt;&gt;"",E291&lt;&gt;"",NOT(ISNUMBER(F291))),1,0)</f>
        <v>0</v>
      </c>
    </row>
    <row r="292">
      <c r="A292" s="34" t="n">
        <v>46247</v>
      </c>
      <c r="B292" s="31" t="inlineStr">
        <is>
          <t>Diego</t>
        </is>
      </c>
      <c r="C292" s="31" t="inlineStr">
        <is>
          <t>Site novo · Loja Verde</t>
        </is>
      </c>
      <c r="D292" s="29" t="inlineStr">
        <is>
          <t>Wireframe</t>
        </is>
      </c>
      <c r="E292" s="35" t="n">
        <v>3.5</v>
      </c>
      <c r="F292" s="26">
        <f>IF(OR(B292="",E292=""),"",IFERROR(IF(ISNUMBER(INDEX(Config!$D$11:$D$20,MATCH(B292,Config!$A$11:$A$20,0))),E292*INDEX(Config!$D$11:$D$20,MATCH(B292,Config!$A$11:$A$20,0)),"cadastro de custo incompleto em Config"),"pessoa sem custo-hora em Config"))</f>
        <v>169.166666666667</v>
      </c>
      <c r="G292" s="25">
        <f>IF(A292="","",MONTH(A292))</f>
        <v>8</v>
      </c>
      <c r="H292" s="25">
        <f>IF(A292="","",YEAR(A292))</f>
        <v>2026</v>
      </c>
      <c r="I292" s="31" t="inlineStr">
        <is>
          <t>Sim</t>
        </is>
      </c>
      <c r="J292" s="36">
        <f>IF(AND(B292&lt;&gt;"",E292&lt;&gt;"",NOT(ISNUMBER(F292))),1,0)</f>
        <v>0</v>
      </c>
    </row>
    <row r="293">
      <c r="A293" s="34" t="n">
        <v>46247</v>
      </c>
      <c r="B293" s="31" t="inlineStr">
        <is>
          <t>Diego</t>
        </is>
      </c>
      <c r="C293" s="31" t="inlineStr">
        <is>
          <t>Comercial e propostas</t>
        </is>
      </c>
      <c r="D293" s="29" t="inlineStr">
        <is>
          <t>Reunião comercial</t>
        </is>
      </c>
      <c r="E293" s="35" t="n">
        <v>0.5</v>
      </c>
      <c r="F293" s="26">
        <f>IF(OR(B293="",E293=""),"",IFERROR(IF(ISNUMBER(INDEX(Config!$D$11:$D$20,MATCH(B293,Config!$A$11:$A$20,0))),E293*INDEX(Config!$D$11:$D$20,MATCH(B293,Config!$A$11:$A$20,0)),"cadastro de custo incompleto em Config"),"pessoa sem custo-hora em Config"))</f>
        <v>24.1666666666667</v>
      </c>
      <c r="G293" s="25">
        <f>IF(A293="","",MONTH(A293))</f>
        <v>8</v>
      </c>
      <c r="H293" s="25">
        <f>IF(A293="","",YEAR(A293))</f>
        <v>2026</v>
      </c>
      <c r="I293" s="31" t="inlineStr">
        <is>
          <t>Não</t>
        </is>
      </c>
      <c r="J293" s="36">
        <f>IF(AND(B293&lt;&gt;"",E293&lt;&gt;"",NOT(ISNUMBER(F293))),1,0)</f>
        <v>0</v>
      </c>
    </row>
    <row r="294">
      <c r="A294" s="34" t="n">
        <v>46247</v>
      </c>
      <c r="B294" s="31" t="inlineStr">
        <is>
          <t>Diego</t>
        </is>
      </c>
      <c r="C294" s="31" t="inlineStr">
        <is>
          <t>Gestão e reuniões</t>
        </is>
      </c>
      <c r="D294" s="29" t="inlineStr">
        <is>
          <t>Planejamento</t>
        </is>
      </c>
      <c r="E294" s="35" t="n">
        <v>2.5</v>
      </c>
      <c r="F294" s="26">
        <f>IF(OR(B294="",E294=""),"",IFERROR(IF(ISNUMBER(INDEX(Config!$D$11:$D$20,MATCH(B294,Config!$A$11:$A$20,0))),E294*INDEX(Config!$D$11:$D$20,MATCH(B294,Config!$A$11:$A$20,0)),"cadastro de custo incompleto em Config"),"pessoa sem custo-hora em Config"))</f>
        <v>120.833333333333</v>
      </c>
      <c r="G294" s="25">
        <f>IF(A294="","",MONTH(A294))</f>
        <v>8</v>
      </c>
      <c r="H294" s="25">
        <f>IF(A294="","",YEAR(A294))</f>
        <v>2026</v>
      </c>
      <c r="I294" s="31" t="inlineStr">
        <is>
          <t>Não</t>
        </is>
      </c>
      <c r="J294" s="36">
        <f>IF(AND(B294&lt;&gt;"",E294&lt;&gt;"",NOT(ISNUMBER(F294))),1,0)</f>
        <v>0</v>
      </c>
    </row>
    <row r="295">
      <c r="A295" s="34" t="n">
        <v>46248</v>
      </c>
      <c r="B295" s="31" t="inlineStr">
        <is>
          <t>Ana</t>
        </is>
      </c>
      <c r="C295" s="31" t="inlineStr">
        <is>
          <t>Site novo · Loja Verde</t>
        </is>
      </c>
      <c r="D295" s="29" t="inlineStr">
        <is>
          <t>Textos</t>
        </is>
      </c>
      <c r="E295" s="35" t="n">
        <v>2.5</v>
      </c>
      <c r="F295" s="26">
        <f>IF(OR(B295="",E295=""),"",IFERROR(IF(ISNUMBER(INDEX(Config!$D$11:$D$20,MATCH(B295,Config!$A$11:$A$20,0))),E295*INDEX(Config!$D$11:$D$20,MATCH(B295,Config!$A$11:$A$20,0)),"cadastro de custo incompleto em Config"),"pessoa sem custo-hora em Config"))</f>
        <v>175</v>
      </c>
      <c r="G295" s="25">
        <f>IF(A295="","",MONTH(A295))</f>
        <v>8</v>
      </c>
      <c r="H295" s="25">
        <f>IF(A295="","",YEAR(A295))</f>
        <v>2026</v>
      </c>
      <c r="I295" s="31" t="inlineStr">
        <is>
          <t>Sim</t>
        </is>
      </c>
      <c r="J295" s="36">
        <f>IF(AND(B295&lt;&gt;"",E295&lt;&gt;"",NOT(ISNUMBER(F295))),1,0)</f>
        <v>0</v>
      </c>
    </row>
    <row r="296">
      <c r="A296" s="34" t="n">
        <v>46248</v>
      </c>
      <c r="B296" s="31" t="inlineStr">
        <is>
          <t>Ana</t>
        </is>
      </c>
      <c r="C296" s="31" t="inlineStr">
        <is>
          <t>Comercial e propostas</t>
        </is>
      </c>
      <c r="D296" s="29" t="inlineStr">
        <is>
          <t>Proposta</t>
        </is>
      </c>
      <c r="E296" s="35" t="n">
        <v>3.5</v>
      </c>
      <c r="F296" s="26">
        <f>IF(OR(B296="",E296=""),"",IFERROR(IF(ISNUMBER(INDEX(Config!$D$11:$D$20,MATCH(B296,Config!$A$11:$A$20,0))),E296*INDEX(Config!$D$11:$D$20,MATCH(B296,Config!$A$11:$A$20,0)),"cadastro de custo incompleto em Config"),"pessoa sem custo-hora em Config"))</f>
        <v>245</v>
      </c>
      <c r="G296" s="25">
        <f>IF(A296="","",MONTH(A296))</f>
        <v>8</v>
      </c>
      <c r="H296" s="25">
        <f>IF(A296="","",YEAR(A296))</f>
        <v>2026</v>
      </c>
      <c r="I296" s="31" t="inlineStr">
        <is>
          <t>Não</t>
        </is>
      </c>
      <c r="J296" s="36">
        <f>IF(AND(B296&lt;&gt;"",E296&lt;&gt;"",NOT(ISNUMBER(F296))),1,0)</f>
        <v>0</v>
      </c>
    </row>
    <row r="297">
      <c r="A297" s="34" t="n">
        <v>46248</v>
      </c>
      <c r="B297" s="31" t="inlineStr">
        <is>
          <t>Ana</t>
        </is>
      </c>
      <c r="C297" s="31" t="inlineStr">
        <is>
          <t>Gestão e reuniões</t>
        </is>
      </c>
      <c r="D297" s="29" t="inlineStr">
        <is>
          <t>Semanal</t>
        </is>
      </c>
      <c r="E297" s="35" t="n">
        <v>3.5</v>
      </c>
      <c r="F297" s="26">
        <f>IF(OR(B297="",E297=""),"",IFERROR(IF(ISNUMBER(INDEX(Config!$D$11:$D$20,MATCH(B297,Config!$A$11:$A$20,0))),E297*INDEX(Config!$D$11:$D$20,MATCH(B297,Config!$A$11:$A$20,0)),"cadastro de custo incompleto em Config"),"pessoa sem custo-hora em Config"))</f>
        <v>245</v>
      </c>
      <c r="G297" s="25">
        <f>IF(A297="","",MONTH(A297))</f>
        <v>8</v>
      </c>
      <c r="H297" s="25">
        <f>IF(A297="","",YEAR(A297))</f>
        <v>2026</v>
      </c>
      <c r="I297" s="31" t="inlineStr">
        <is>
          <t>Não</t>
        </is>
      </c>
      <c r="J297" s="36">
        <f>IF(AND(B297&lt;&gt;"",E297&lt;&gt;"",NOT(ISNUMBER(F297))),1,0)</f>
        <v>0</v>
      </c>
    </row>
    <row r="298">
      <c r="A298" s="34" t="n">
        <v>46248</v>
      </c>
      <c r="B298" s="31" t="inlineStr">
        <is>
          <t>Bruno</t>
        </is>
      </c>
      <c r="C298" s="31" t="inlineStr">
        <is>
          <t>Site novo · Loja Verde</t>
        </is>
      </c>
      <c r="D298" s="29" t="inlineStr">
        <is>
          <t>Reunião com cliente</t>
        </is>
      </c>
      <c r="E298" s="35" t="n">
        <v>5.5</v>
      </c>
      <c r="F298" s="26">
        <f>IF(OR(B298="",E298=""),"",IFERROR(IF(ISNUMBER(INDEX(Config!$D$11:$D$20,MATCH(B298,Config!$A$11:$A$20,0))),E298*INDEX(Config!$D$11:$D$20,MATCH(B298,Config!$A$11:$A$20,0)),"cadastro de custo incompleto em Config"),"pessoa sem custo-hora em Config"))</f>
        <v>282.857142857143</v>
      </c>
      <c r="G298" s="25">
        <f>IF(A298="","",MONTH(A298))</f>
        <v>8</v>
      </c>
      <c r="H298" s="25">
        <f>IF(A298="","",YEAR(A298))</f>
        <v>2026</v>
      </c>
      <c r="I298" s="31" t="inlineStr">
        <is>
          <t>Sim</t>
        </is>
      </c>
      <c r="J298" s="36">
        <f>IF(AND(B298&lt;&gt;"",E298&lt;&gt;"",NOT(ISNUMBER(F298))),1,0)</f>
        <v>0</v>
      </c>
    </row>
    <row r="299">
      <c r="A299" s="34" t="n">
        <v>46248</v>
      </c>
      <c r="B299" s="31" t="inlineStr">
        <is>
          <t>Bruno</t>
        </is>
      </c>
      <c r="C299" s="31" t="inlineStr">
        <is>
          <t>Identidade visual · Padaria do Sol</t>
        </is>
      </c>
      <c r="D299" s="29" t="inlineStr">
        <is>
          <t>Logo</t>
        </is>
      </c>
      <c r="E299" s="35" t="n">
        <v>2</v>
      </c>
      <c r="F299" s="26">
        <f>IF(OR(B299="",E299=""),"",IFERROR(IF(ISNUMBER(INDEX(Config!$D$11:$D$20,MATCH(B299,Config!$A$11:$A$20,0))),E299*INDEX(Config!$D$11:$D$20,MATCH(B299,Config!$A$11:$A$20,0)),"cadastro de custo incompleto em Config"),"pessoa sem custo-hora em Config"))</f>
        <v>102.857142857143</v>
      </c>
      <c r="G299" s="25">
        <f>IF(A299="","",MONTH(A299))</f>
        <v>8</v>
      </c>
      <c r="H299" s="25">
        <f>IF(A299="","",YEAR(A299))</f>
        <v>2026</v>
      </c>
      <c r="I299" s="31" t="inlineStr">
        <is>
          <t>Sim</t>
        </is>
      </c>
      <c r="J299" s="36">
        <f>IF(AND(B299&lt;&gt;"",E299&lt;&gt;"",NOT(ISNUMBER(F299))),1,0)</f>
        <v>0</v>
      </c>
    </row>
    <row r="300">
      <c r="A300" s="34" t="n">
        <v>46248</v>
      </c>
      <c r="B300" s="31" t="inlineStr">
        <is>
          <t>Bruno</t>
        </is>
      </c>
      <c r="C300" s="31" t="inlineStr">
        <is>
          <t>Gestão e reuniões</t>
        </is>
      </c>
      <c r="D300" s="29" t="inlineStr">
        <is>
          <t>Semanal</t>
        </is>
      </c>
      <c r="E300" s="35" t="n">
        <v>1</v>
      </c>
      <c r="F300" s="26">
        <f>IF(OR(B300="",E300=""),"",IFERROR(IF(ISNUMBER(INDEX(Config!$D$11:$D$20,MATCH(B300,Config!$A$11:$A$20,0))),E300*INDEX(Config!$D$11:$D$20,MATCH(B300,Config!$A$11:$A$20,0)),"cadastro de custo incompleto em Config"),"pessoa sem custo-hora em Config"))</f>
        <v>51.4285714285714</v>
      </c>
      <c r="G300" s="25">
        <f>IF(A300="","",MONTH(A300))</f>
        <v>8</v>
      </c>
      <c r="H300" s="25">
        <f>IF(A300="","",YEAR(A300))</f>
        <v>2026</v>
      </c>
      <c r="I300" s="31" t="inlineStr">
        <is>
          <t>Não</t>
        </is>
      </c>
      <c r="J300" s="36">
        <f>IF(AND(B300&lt;&gt;"",E300&lt;&gt;"",NOT(ISNUMBER(F300))),1,0)</f>
        <v>0</v>
      </c>
    </row>
    <row r="301">
      <c r="A301" s="34" t="n">
        <v>46248</v>
      </c>
      <c r="B301" s="31" t="inlineStr">
        <is>
          <t>Carla</t>
        </is>
      </c>
      <c r="C301" s="31" t="inlineStr">
        <is>
          <t>Site novo · Loja Verde</t>
        </is>
      </c>
      <c r="D301" s="29" t="inlineStr">
        <is>
          <t>Textos</t>
        </is>
      </c>
      <c r="E301" s="35" t="n">
        <v>2</v>
      </c>
      <c r="F301" s="26">
        <f>IF(OR(B301="",E301=""),"",IFERROR(IF(ISNUMBER(INDEX(Config!$D$11:$D$20,MATCH(B301,Config!$A$11:$A$20,0))),E301*INDEX(Config!$D$11:$D$20,MATCH(B301,Config!$A$11:$A$20,0)),"cadastro de custo incompleto em Config"),"pessoa sem custo-hora em Config"))</f>
        <v>92.8571428571429</v>
      </c>
      <c r="G301" s="25">
        <f>IF(A301="","",MONTH(A301))</f>
        <v>8</v>
      </c>
      <c r="H301" s="25">
        <f>IF(A301="","",YEAR(A301))</f>
        <v>2026</v>
      </c>
      <c r="I301" s="31" t="inlineStr">
        <is>
          <t>Sim</t>
        </is>
      </c>
      <c r="J301" s="36">
        <f>IF(AND(B301&lt;&gt;"",E301&lt;&gt;"",NOT(ISNUMBER(F301))),1,0)</f>
        <v>0</v>
      </c>
    </row>
    <row r="302">
      <c r="A302" s="34" t="n">
        <v>46248</v>
      </c>
      <c r="B302" s="31" t="inlineStr">
        <is>
          <t>Carla</t>
        </is>
      </c>
      <c r="C302" s="31" t="inlineStr">
        <is>
          <t>Comercial e propostas</t>
        </is>
      </c>
      <c r="D302" s="29" t="inlineStr">
        <is>
          <t>Proposta</t>
        </is>
      </c>
      <c r="E302" s="35" t="n">
        <v>4</v>
      </c>
      <c r="F302" s="26">
        <f>IF(OR(B302="",E302=""),"",IFERROR(IF(ISNUMBER(INDEX(Config!$D$11:$D$20,MATCH(B302,Config!$A$11:$A$20,0))),E302*INDEX(Config!$D$11:$D$20,MATCH(B302,Config!$A$11:$A$20,0)),"cadastro de custo incompleto em Config"),"pessoa sem custo-hora em Config"))</f>
        <v>185.714285714286</v>
      </c>
      <c r="G302" s="25">
        <f>IF(A302="","",MONTH(A302))</f>
        <v>8</v>
      </c>
      <c r="H302" s="25">
        <f>IF(A302="","",YEAR(A302))</f>
        <v>2026</v>
      </c>
      <c r="I302" s="31" t="inlineStr">
        <is>
          <t>Não</t>
        </is>
      </c>
      <c r="J302" s="36">
        <f>IF(AND(B302&lt;&gt;"",E302&lt;&gt;"",NOT(ISNUMBER(F302))),1,0)</f>
        <v>0</v>
      </c>
    </row>
    <row r="303">
      <c r="A303" s="34" t="n">
        <v>46248</v>
      </c>
      <c r="B303" s="31" t="inlineStr">
        <is>
          <t>Carla</t>
        </is>
      </c>
      <c r="C303" s="31" t="inlineStr">
        <is>
          <t>Gestão e reuniões</t>
        </is>
      </c>
      <c r="D303" s="29" t="inlineStr">
        <is>
          <t>Semanal</t>
        </is>
      </c>
      <c r="E303" s="35" t="n">
        <v>1.5</v>
      </c>
      <c r="F303" s="26">
        <f>IF(OR(B303="",E303=""),"",IFERROR(IF(ISNUMBER(INDEX(Config!$D$11:$D$20,MATCH(B303,Config!$A$11:$A$20,0))),E303*INDEX(Config!$D$11:$D$20,MATCH(B303,Config!$A$11:$A$20,0)),"cadastro de custo incompleto em Config"),"pessoa sem custo-hora em Config"))</f>
        <v>69.6428571428571</v>
      </c>
      <c r="G303" s="25">
        <f>IF(A303="","",MONTH(A303))</f>
        <v>8</v>
      </c>
      <c r="H303" s="25">
        <f>IF(A303="","",YEAR(A303))</f>
        <v>2026</v>
      </c>
      <c r="I303" s="31" t="inlineStr">
        <is>
          <t>Não</t>
        </is>
      </c>
      <c r="J303" s="36">
        <f>IF(AND(B303&lt;&gt;"",E303&lt;&gt;"",NOT(ISNUMBER(F303))),1,0)</f>
        <v>0</v>
      </c>
    </row>
    <row r="304">
      <c r="A304" s="34" t="n">
        <v>46248</v>
      </c>
      <c r="B304" s="31" t="inlineStr">
        <is>
          <t>Diego</t>
        </is>
      </c>
      <c r="C304" s="31" t="inlineStr">
        <is>
          <t>Site novo · Loja Verde</t>
        </is>
      </c>
      <c r="D304" s="29" t="inlineStr">
        <is>
          <t>Wireframe</t>
        </is>
      </c>
      <c r="E304" s="35" t="n">
        <v>4.5</v>
      </c>
      <c r="F304" s="26">
        <f>IF(OR(B304="",E304=""),"",IFERROR(IF(ISNUMBER(INDEX(Config!$D$11:$D$20,MATCH(B304,Config!$A$11:$A$20,0))),E304*INDEX(Config!$D$11:$D$20,MATCH(B304,Config!$A$11:$A$20,0)),"cadastro de custo incompleto em Config"),"pessoa sem custo-hora em Config"))</f>
        <v>217.5</v>
      </c>
      <c r="G304" s="25">
        <f>IF(A304="","",MONTH(A304))</f>
        <v>8</v>
      </c>
      <c r="H304" s="25">
        <f>IF(A304="","",YEAR(A304))</f>
        <v>2026</v>
      </c>
      <c r="I304" s="31" t="inlineStr">
        <is>
          <t>Sim</t>
        </is>
      </c>
      <c r="J304" s="36">
        <f>IF(AND(B304&lt;&gt;"",E304&lt;&gt;"",NOT(ISNUMBER(F304))),1,0)</f>
        <v>0</v>
      </c>
    </row>
    <row r="305">
      <c r="A305" s="34" t="n">
        <v>46248</v>
      </c>
      <c r="B305" s="31" t="inlineStr">
        <is>
          <t>Diego</t>
        </is>
      </c>
      <c r="C305" s="31" t="inlineStr">
        <is>
          <t>Comercial e propostas</t>
        </is>
      </c>
      <c r="D305" s="29" t="inlineStr">
        <is>
          <t>Proposta</t>
        </is>
      </c>
      <c r="E305" s="35" t="n">
        <v>1</v>
      </c>
      <c r="F305" s="26">
        <f>IF(OR(B305="",E305=""),"",IFERROR(IF(ISNUMBER(INDEX(Config!$D$11:$D$20,MATCH(B305,Config!$A$11:$A$20,0))),E305*INDEX(Config!$D$11:$D$20,MATCH(B305,Config!$A$11:$A$20,0)),"cadastro de custo incompleto em Config"),"pessoa sem custo-hora em Config"))</f>
        <v>48.3333333333333</v>
      </c>
      <c r="G305" s="25">
        <f>IF(A305="","",MONTH(A305))</f>
        <v>8</v>
      </c>
      <c r="H305" s="25">
        <f>IF(A305="","",YEAR(A305))</f>
        <v>2026</v>
      </c>
      <c r="I305" s="31" t="inlineStr">
        <is>
          <t>Não</t>
        </is>
      </c>
      <c r="J305" s="36">
        <f>IF(AND(B305&lt;&gt;"",E305&lt;&gt;"",NOT(ISNUMBER(F305))),1,0)</f>
        <v>0</v>
      </c>
    </row>
    <row r="306">
      <c r="A306" s="34" t="n">
        <v>46248</v>
      </c>
      <c r="B306" s="31" t="inlineStr">
        <is>
          <t>Diego</t>
        </is>
      </c>
      <c r="C306" s="31" t="inlineStr">
        <is>
          <t>Gestão e reuniões</t>
        </is>
      </c>
      <c r="D306" s="29" t="inlineStr">
        <is>
          <t>Planejamento</t>
        </is>
      </c>
      <c r="E306" s="35" t="n">
        <v>2</v>
      </c>
      <c r="F306" s="26">
        <f>IF(OR(B306="",E306=""),"",IFERROR(IF(ISNUMBER(INDEX(Config!$D$11:$D$20,MATCH(B306,Config!$A$11:$A$20,0))),E306*INDEX(Config!$D$11:$D$20,MATCH(B306,Config!$A$11:$A$20,0)),"cadastro de custo incompleto em Config"),"pessoa sem custo-hora em Config"))</f>
        <v>96.6666666666667</v>
      </c>
      <c r="G306" s="25">
        <f>IF(A306="","",MONTH(A306))</f>
        <v>8</v>
      </c>
      <c r="H306" s="25">
        <f>IF(A306="","",YEAR(A306))</f>
        <v>2026</v>
      </c>
      <c r="I306" s="31" t="inlineStr">
        <is>
          <t>Não</t>
        </is>
      </c>
      <c r="J306" s="36">
        <f>IF(AND(B306&lt;&gt;"",E306&lt;&gt;"",NOT(ISNUMBER(F306))),1,0)</f>
        <v>0</v>
      </c>
    </row>
    <row r="307">
      <c r="A307" s="34" t="n">
        <v>46251</v>
      </c>
      <c r="B307" s="31" t="inlineStr">
        <is>
          <t>Ana</t>
        </is>
      </c>
      <c r="C307" s="31" t="inlineStr">
        <is>
          <t>Site novo · Loja Verde</t>
        </is>
      </c>
      <c r="D307" s="29" t="inlineStr">
        <is>
          <t>Textos</t>
        </is>
      </c>
      <c r="E307" s="35" t="n">
        <v>2</v>
      </c>
      <c r="F307" s="26">
        <f>IF(OR(B307="",E307=""),"",IFERROR(IF(ISNUMBER(INDEX(Config!$D$11:$D$20,MATCH(B307,Config!$A$11:$A$20,0))),E307*INDEX(Config!$D$11:$D$20,MATCH(B307,Config!$A$11:$A$20,0)),"cadastro de custo incompleto em Config"),"pessoa sem custo-hora em Config"))</f>
        <v>140</v>
      </c>
      <c r="G307" s="25">
        <f>IF(A307="","",MONTH(A307))</f>
        <v>8</v>
      </c>
      <c r="H307" s="25">
        <f>IF(A307="","",YEAR(A307))</f>
        <v>2026</v>
      </c>
      <c r="I307" s="31" t="inlineStr">
        <is>
          <t>Sim</t>
        </is>
      </c>
      <c r="J307" s="36">
        <f>IF(AND(B307&lt;&gt;"",E307&lt;&gt;"",NOT(ISNUMBER(F307))),1,0)</f>
        <v>0</v>
      </c>
    </row>
    <row r="308">
      <c r="A308" s="34" t="n">
        <v>46251</v>
      </c>
      <c r="B308" s="31" t="inlineStr">
        <is>
          <t>Ana</t>
        </is>
      </c>
      <c r="C308" s="31" t="inlineStr">
        <is>
          <t>Comercial e propostas</t>
        </is>
      </c>
      <c r="D308" s="29" t="inlineStr">
        <is>
          <t>Reunião comercial</t>
        </is>
      </c>
      <c r="E308" s="35" t="n">
        <v>2</v>
      </c>
      <c r="F308" s="26">
        <f>IF(OR(B308="",E308=""),"",IFERROR(IF(ISNUMBER(INDEX(Config!$D$11:$D$20,MATCH(B308,Config!$A$11:$A$20,0))),E308*INDEX(Config!$D$11:$D$20,MATCH(B308,Config!$A$11:$A$20,0)),"cadastro de custo incompleto em Config"),"pessoa sem custo-hora em Config"))</f>
        <v>140</v>
      </c>
      <c r="G308" s="25">
        <f>IF(A308="","",MONTH(A308))</f>
        <v>8</v>
      </c>
      <c r="H308" s="25">
        <f>IF(A308="","",YEAR(A308))</f>
        <v>2026</v>
      </c>
      <c r="I308" s="31" t="inlineStr">
        <is>
          <t>Não</t>
        </is>
      </c>
      <c r="J308" s="36">
        <f>IF(AND(B308&lt;&gt;"",E308&lt;&gt;"",NOT(ISNUMBER(F308))),1,0)</f>
        <v>0</v>
      </c>
    </row>
    <row r="309">
      <c r="A309" s="34" t="n">
        <v>46251</v>
      </c>
      <c r="B309" s="31" t="inlineStr">
        <is>
          <t>Ana</t>
        </is>
      </c>
      <c r="C309" s="31" t="inlineStr">
        <is>
          <t>Gestão e reuniões</t>
        </is>
      </c>
      <c r="D309" s="29" t="inlineStr">
        <is>
          <t>Semanal</t>
        </is>
      </c>
      <c r="E309" s="35" t="n">
        <v>2.5</v>
      </c>
      <c r="F309" s="26">
        <f>IF(OR(B309="",E309=""),"",IFERROR(IF(ISNUMBER(INDEX(Config!$D$11:$D$20,MATCH(B309,Config!$A$11:$A$20,0))),E309*INDEX(Config!$D$11:$D$20,MATCH(B309,Config!$A$11:$A$20,0)),"cadastro de custo incompleto em Config"),"pessoa sem custo-hora em Config"))</f>
        <v>175</v>
      </c>
      <c r="G309" s="25">
        <f>IF(A309="","",MONTH(A309))</f>
        <v>8</v>
      </c>
      <c r="H309" s="25">
        <f>IF(A309="","",YEAR(A309))</f>
        <v>2026</v>
      </c>
      <c r="I309" s="31" t="inlineStr">
        <is>
          <t>Não</t>
        </is>
      </c>
      <c r="J309" s="36">
        <f>IF(AND(B309&lt;&gt;"",E309&lt;&gt;"",NOT(ISNUMBER(F309))),1,0)</f>
        <v>0</v>
      </c>
    </row>
    <row r="310">
      <c r="A310" s="34" t="n">
        <v>46251</v>
      </c>
      <c r="B310" s="31" t="inlineStr">
        <is>
          <t>Bruno</t>
        </is>
      </c>
      <c r="C310" s="31" t="inlineStr">
        <is>
          <t>Site novo · Loja Verde</t>
        </is>
      </c>
      <c r="D310" s="29" t="inlineStr">
        <is>
          <t>Wireframe</t>
        </is>
      </c>
      <c r="E310" s="35" t="n">
        <v>7</v>
      </c>
      <c r="F310" s="26">
        <f>IF(OR(B310="",E310=""),"",IFERROR(IF(ISNUMBER(INDEX(Config!$D$11:$D$20,MATCH(B310,Config!$A$11:$A$20,0))),E310*INDEX(Config!$D$11:$D$20,MATCH(B310,Config!$A$11:$A$20,0)),"cadastro de custo incompleto em Config"),"pessoa sem custo-hora em Config"))</f>
        <v>360</v>
      </c>
      <c r="G310" s="25">
        <f>IF(A310="","",MONTH(A310))</f>
        <v>8</v>
      </c>
      <c r="H310" s="25">
        <f>IF(A310="","",YEAR(A310))</f>
        <v>2026</v>
      </c>
      <c r="I310" s="31" t="inlineStr">
        <is>
          <t>Sim</t>
        </is>
      </c>
      <c r="J310" s="36">
        <f>IF(AND(B310&lt;&gt;"",E310&lt;&gt;"",NOT(ISNUMBER(F310))),1,0)</f>
        <v>0</v>
      </c>
    </row>
    <row r="311">
      <c r="A311" s="34" t="n">
        <v>46251</v>
      </c>
      <c r="B311" s="31" t="inlineStr">
        <is>
          <t>Bruno</t>
        </is>
      </c>
      <c r="C311" s="31" t="inlineStr">
        <is>
          <t>Identidade visual · Padaria do Sol</t>
        </is>
      </c>
      <c r="D311" s="29" t="inlineStr">
        <is>
          <t>Manual</t>
        </is>
      </c>
      <c r="E311" s="35" t="n">
        <v>2</v>
      </c>
      <c r="F311" s="26">
        <f>IF(OR(B311="",E311=""),"",IFERROR(IF(ISNUMBER(INDEX(Config!$D$11:$D$20,MATCH(B311,Config!$A$11:$A$20,0))),E311*INDEX(Config!$D$11:$D$20,MATCH(B311,Config!$A$11:$A$20,0)),"cadastro de custo incompleto em Config"),"pessoa sem custo-hora em Config"))</f>
        <v>102.857142857143</v>
      </c>
      <c r="G311" s="25">
        <f>IF(A311="","",MONTH(A311))</f>
        <v>8</v>
      </c>
      <c r="H311" s="25">
        <f>IF(A311="","",YEAR(A311))</f>
        <v>2026</v>
      </c>
      <c r="I311" s="31" t="inlineStr">
        <is>
          <t>Sim</t>
        </is>
      </c>
      <c r="J311" s="36">
        <f>IF(AND(B311&lt;&gt;"",E311&lt;&gt;"",NOT(ISNUMBER(F311))),1,0)</f>
        <v>0</v>
      </c>
    </row>
    <row r="312">
      <c r="A312" s="34" t="n">
        <v>46251</v>
      </c>
      <c r="B312" s="31" t="inlineStr">
        <is>
          <t>Bruno</t>
        </is>
      </c>
      <c r="C312" s="31" t="inlineStr">
        <is>
          <t>Gestão e reuniões</t>
        </is>
      </c>
      <c r="D312" s="29" t="inlineStr">
        <is>
          <t>Semanal</t>
        </is>
      </c>
      <c r="E312" s="35" t="n">
        <v>1.5</v>
      </c>
      <c r="F312" s="26">
        <f>IF(OR(B312="",E312=""),"",IFERROR(IF(ISNUMBER(INDEX(Config!$D$11:$D$20,MATCH(B312,Config!$A$11:$A$20,0))),E312*INDEX(Config!$D$11:$D$20,MATCH(B312,Config!$A$11:$A$20,0)),"cadastro de custo incompleto em Config"),"pessoa sem custo-hora em Config"))</f>
        <v>77.1428571428571</v>
      </c>
      <c r="G312" s="25">
        <f>IF(A312="","",MONTH(A312))</f>
        <v>8</v>
      </c>
      <c r="H312" s="25">
        <f>IF(A312="","",YEAR(A312))</f>
        <v>2026</v>
      </c>
      <c r="I312" s="31" t="inlineStr">
        <is>
          <t>Não</t>
        </is>
      </c>
      <c r="J312" s="36">
        <f>IF(AND(B312&lt;&gt;"",E312&lt;&gt;"",NOT(ISNUMBER(F312))),1,0)</f>
        <v>0</v>
      </c>
    </row>
    <row r="313">
      <c r="A313" s="34" t="n">
        <v>46251</v>
      </c>
      <c r="B313" s="31" t="inlineStr">
        <is>
          <t>Carla</t>
        </is>
      </c>
      <c r="C313" s="31" t="inlineStr">
        <is>
          <t>Site novo · Loja Verde</t>
        </is>
      </c>
      <c r="D313" s="29" t="inlineStr">
        <is>
          <t>Textos</t>
        </is>
      </c>
      <c r="E313" s="35" t="n">
        <v>2.5</v>
      </c>
      <c r="F313" s="26">
        <f>IF(OR(B313="",E313=""),"",IFERROR(IF(ISNUMBER(INDEX(Config!$D$11:$D$20,MATCH(B313,Config!$A$11:$A$20,0))),E313*INDEX(Config!$D$11:$D$20,MATCH(B313,Config!$A$11:$A$20,0)),"cadastro de custo incompleto em Config"),"pessoa sem custo-hora em Config"))</f>
        <v>116.071428571429</v>
      </c>
      <c r="G313" s="25">
        <f>IF(A313="","",MONTH(A313))</f>
        <v>8</v>
      </c>
      <c r="H313" s="25">
        <f>IF(A313="","",YEAR(A313))</f>
        <v>2026</v>
      </c>
      <c r="I313" s="31" t="inlineStr">
        <is>
          <t>Sim</t>
        </is>
      </c>
      <c r="J313" s="36">
        <f>IF(AND(B313&lt;&gt;"",E313&lt;&gt;"",NOT(ISNUMBER(F313))),1,0)</f>
        <v>0</v>
      </c>
    </row>
    <row r="314">
      <c r="A314" s="34" t="n">
        <v>46251</v>
      </c>
      <c r="B314" s="31" t="inlineStr">
        <is>
          <t>Carla</t>
        </is>
      </c>
      <c r="C314" s="31" t="inlineStr">
        <is>
          <t>Comercial e propostas</t>
        </is>
      </c>
      <c r="D314" s="29" t="inlineStr">
        <is>
          <t>Proposta</t>
        </is>
      </c>
      <c r="E314" s="35" t="n">
        <v>4</v>
      </c>
      <c r="F314" s="26">
        <f>IF(OR(B314="",E314=""),"",IFERROR(IF(ISNUMBER(INDEX(Config!$D$11:$D$20,MATCH(B314,Config!$A$11:$A$20,0))),E314*INDEX(Config!$D$11:$D$20,MATCH(B314,Config!$A$11:$A$20,0)),"cadastro de custo incompleto em Config"),"pessoa sem custo-hora em Config"))</f>
        <v>185.714285714286</v>
      </c>
      <c r="G314" s="25">
        <f>IF(A314="","",MONTH(A314))</f>
        <v>8</v>
      </c>
      <c r="H314" s="25">
        <f>IF(A314="","",YEAR(A314))</f>
        <v>2026</v>
      </c>
      <c r="I314" s="31" t="inlineStr">
        <is>
          <t>Não</t>
        </is>
      </c>
      <c r="J314" s="36">
        <f>IF(AND(B314&lt;&gt;"",E314&lt;&gt;"",NOT(ISNUMBER(F314))),1,0)</f>
        <v>0</v>
      </c>
    </row>
    <row r="315">
      <c r="A315" s="34" t="n">
        <v>46251</v>
      </c>
      <c r="B315" s="31" t="inlineStr">
        <is>
          <t>Carla</t>
        </is>
      </c>
      <c r="C315" s="31" t="inlineStr">
        <is>
          <t>Gestão e reuniões</t>
        </is>
      </c>
      <c r="D315" s="29" t="inlineStr">
        <is>
          <t>Planejamento</t>
        </is>
      </c>
      <c r="E315" s="35" t="n">
        <v>1</v>
      </c>
      <c r="F315" s="26">
        <f>IF(OR(B315="",E315=""),"",IFERROR(IF(ISNUMBER(INDEX(Config!$D$11:$D$20,MATCH(B315,Config!$A$11:$A$20,0))),E315*INDEX(Config!$D$11:$D$20,MATCH(B315,Config!$A$11:$A$20,0)),"cadastro de custo incompleto em Config"),"pessoa sem custo-hora em Config"))</f>
        <v>46.4285714285714</v>
      </c>
      <c r="G315" s="25">
        <f>IF(A315="","",MONTH(A315))</f>
        <v>8</v>
      </c>
      <c r="H315" s="25">
        <f>IF(A315="","",YEAR(A315))</f>
        <v>2026</v>
      </c>
      <c r="I315" s="31" t="inlineStr">
        <is>
          <t>Não</t>
        </is>
      </c>
      <c r="J315" s="36">
        <f>IF(AND(B315&lt;&gt;"",E315&lt;&gt;"",NOT(ISNUMBER(F315))),1,0)</f>
        <v>0</v>
      </c>
    </row>
    <row r="316">
      <c r="A316" s="34" t="n">
        <v>46251</v>
      </c>
      <c r="B316" s="31" t="inlineStr">
        <is>
          <t>Diego</t>
        </is>
      </c>
      <c r="C316" s="31" t="inlineStr">
        <is>
          <t>Site novo · Loja Verde</t>
        </is>
      </c>
      <c r="D316" s="29" t="inlineStr">
        <is>
          <t>Textos</t>
        </is>
      </c>
      <c r="E316" s="35" t="n">
        <v>7</v>
      </c>
      <c r="F316" s="26">
        <f>IF(OR(B316="",E316=""),"",IFERROR(IF(ISNUMBER(INDEX(Config!$D$11:$D$20,MATCH(B316,Config!$A$11:$A$20,0))),E316*INDEX(Config!$D$11:$D$20,MATCH(B316,Config!$A$11:$A$20,0)),"cadastro de custo incompleto em Config"),"pessoa sem custo-hora em Config"))</f>
        <v>338.333333333333</v>
      </c>
      <c r="G316" s="25">
        <f>IF(A316="","",MONTH(A316))</f>
        <v>8</v>
      </c>
      <c r="H316" s="25">
        <f>IF(A316="","",YEAR(A316))</f>
        <v>2026</v>
      </c>
      <c r="I316" s="31" t="inlineStr">
        <is>
          <t>Sim</t>
        </is>
      </c>
      <c r="J316" s="36">
        <f>IF(AND(B316&lt;&gt;"",E316&lt;&gt;"",NOT(ISNUMBER(F316))),1,0)</f>
        <v>0</v>
      </c>
    </row>
    <row r="317">
      <c r="A317" s="34" t="n">
        <v>46251</v>
      </c>
      <c r="B317" s="31" t="inlineStr">
        <is>
          <t>Diego</t>
        </is>
      </c>
      <c r="C317" s="31" t="inlineStr">
        <is>
          <t>Comercial e propostas</t>
        </is>
      </c>
      <c r="D317" s="29" t="inlineStr">
        <is>
          <t>Proposta</t>
        </is>
      </c>
      <c r="E317" s="35" t="n">
        <v>1</v>
      </c>
      <c r="F317" s="26">
        <f>IF(OR(B317="",E317=""),"",IFERROR(IF(ISNUMBER(INDEX(Config!$D$11:$D$20,MATCH(B317,Config!$A$11:$A$20,0))),E317*INDEX(Config!$D$11:$D$20,MATCH(B317,Config!$A$11:$A$20,0)),"cadastro de custo incompleto em Config"),"pessoa sem custo-hora em Config"))</f>
        <v>48.3333333333333</v>
      </c>
      <c r="G317" s="25">
        <f>IF(A317="","",MONTH(A317))</f>
        <v>8</v>
      </c>
      <c r="H317" s="25">
        <f>IF(A317="","",YEAR(A317))</f>
        <v>2026</v>
      </c>
      <c r="I317" s="31" t="inlineStr">
        <is>
          <t>Não</t>
        </is>
      </c>
      <c r="J317" s="36">
        <f>IF(AND(B317&lt;&gt;"",E317&lt;&gt;"",NOT(ISNUMBER(F317))),1,0)</f>
        <v>0</v>
      </c>
    </row>
    <row r="318">
      <c r="A318" s="34" t="n">
        <v>46251</v>
      </c>
      <c r="B318" s="31" t="inlineStr">
        <is>
          <t>Diego</t>
        </is>
      </c>
      <c r="C318" s="31" t="inlineStr">
        <is>
          <t>Gestão e reuniões</t>
        </is>
      </c>
      <c r="D318" s="29" t="inlineStr">
        <is>
          <t>Financeiro</t>
        </is>
      </c>
      <c r="E318" s="35" t="n">
        <v>2.5</v>
      </c>
      <c r="F318" s="26">
        <f>IF(OR(B318="",E318=""),"",IFERROR(IF(ISNUMBER(INDEX(Config!$D$11:$D$20,MATCH(B318,Config!$A$11:$A$20,0))),E318*INDEX(Config!$D$11:$D$20,MATCH(B318,Config!$A$11:$A$20,0)),"cadastro de custo incompleto em Config"),"pessoa sem custo-hora em Config"))</f>
        <v>120.833333333333</v>
      </c>
      <c r="G318" s="25">
        <f>IF(A318="","",MONTH(A318))</f>
        <v>8</v>
      </c>
      <c r="H318" s="25">
        <f>IF(A318="","",YEAR(A318))</f>
        <v>2026</v>
      </c>
      <c r="I318" s="31" t="inlineStr">
        <is>
          <t>Não</t>
        </is>
      </c>
      <c r="J318" s="36">
        <f>IF(AND(B318&lt;&gt;"",E318&lt;&gt;"",NOT(ISNUMBER(F318))),1,0)</f>
        <v>0</v>
      </c>
    </row>
    <row r="319">
      <c r="A319" s="34" t="n">
        <v>46252</v>
      </c>
      <c r="B319" s="31" t="inlineStr">
        <is>
          <t>Ana</t>
        </is>
      </c>
      <c r="C319" s="31" t="inlineStr">
        <is>
          <t>Site novo · Loja Verde</t>
        </is>
      </c>
      <c r="D319" s="29" t="inlineStr">
        <is>
          <t>Textos</t>
        </is>
      </c>
      <c r="E319" s="35" t="n">
        <v>1.5</v>
      </c>
      <c r="F319" s="26">
        <f>IF(OR(B319="",E319=""),"",IFERROR(IF(ISNUMBER(INDEX(Config!$D$11:$D$20,MATCH(B319,Config!$A$11:$A$20,0))),E319*INDEX(Config!$D$11:$D$20,MATCH(B319,Config!$A$11:$A$20,0)),"cadastro de custo incompleto em Config"),"pessoa sem custo-hora em Config"))</f>
        <v>105</v>
      </c>
      <c r="G319" s="25">
        <f>IF(A319="","",MONTH(A319))</f>
        <v>8</v>
      </c>
      <c r="H319" s="25">
        <f>IF(A319="","",YEAR(A319))</f>
        <v>2026</v>
      </c>
      <c r="I319" s="31" t="inlineStr">
        <is>
          <t>Sim</t>
        </is>
      </c>
      <c r="J319" s="36">
        <f>IF(AND(B319&lt;&gt;"",E319&lt;&gt;"",NOT(ISNUMBER(F319))),1,0)</f>
        <v>0</v>
      </c>
    </row>
    <row r="320">
      <c r="A320" s="34" t="n">
        <v>46252</v>
      </c>
      <c r="B320" s="31" t="inlineStr">
        <is>
          <t>Ana</t>
        </is>
      </c>
      <c r="C320" s="31" t="inlineStr">
        <is>
          <t>Comercial e propostas</t>
        </is>
      </c>
      <c r="D320" s="29" t="inlineStr">
        <is>
          <t>Proposta</t>
        </is>
      </c>
      <c r="E320" s="35" t="n">
        <v>2</v>
      </c>
      <c r="F320" s="26">
        <f>IF(OR(B320="",E320=""),"",IFERROR(IF(ISNUMBER(INDEX(Config!$D$11:$D$20,MATCH(B320,Config!$A$11:$A$20,0))),E320*INDEX(Config!$D$11:$D$20,MATCH(B320,Config!$A$11:$A$20,0)),"cadastro de custo incompleto em Config"),"pessoa sem custo-hora em Config"))</f>
        <v>140</v>
      </c>
      <c r="G320" s="25">
        <f>IF(A320="","",MONTH(A320))</f>
        <v>8</v>
      </c>
      <c r="H320" s="25">
        <f>IF(A320="","",YEAR(A320))</f>
        <v>2026</v>
      </c>
      <c r="I320" s="31" t="inlineStr">
        <is>
          <t>Não</t>
        </is>
      </c>
      <c r="J320" s="36">
        <f>IF(AND(B320&lt;&gt;"",E320&lt;&gt;"",NOT(ISNUMBER(F320))),1,0)</f>
        <v>0</v>
      </c>
    </row>
    <row r="321">
      <c r="A321" s="34" t="n">
        <v>46252</v>
      </c>
      <c r="B321" s="31" t="inlineStr">
        <is>
          <t>Ana</t>
        </is>
      </c>
      <c r="C321" s="31" t="inlineStr">
        <is>
          <t>Gestão e reuniões</t>
        </is>
      </c>
      <c r="D321" s="29" t="inlineStr">
        <is>
          <t>Planejamento</t>
        </is>
      </c>
      <c r="E321" s="35" t="n">
        <v>2.5</v>
      </c>
      <c r="F321" s="26">
        <f>IF(OR(B321="",E321=""),"",IFERROR(IF(ISNUMBER(INDEX(Config!$D$11:$D$20,MATCH(B321,Config!$A$11:$A$20,0))),E321*INDEX(Config!$D$11:$D$20,MATCH(B321,Config!$A$11:$A$20,0)),"cadastro de custo incompleto em Config"),"pessoa sem custo-hora em Config"))</f>
        <v>175</v>
      </c>
      <c r="G321" s="25">
        <f>IF(A321="","",MONTH(A321))</f>
        <v>8</v>
      </c>
      <c r="H321" s="25">
        <f>IF(A321="","",YEAR(A321))</f>
        <v>2026</v>
      </c>
      <c r="I321" s="31" t="inlineStr">
        <is>
          <t>Não</t>
        </is>
      </c>
      <c r="J321" s="36">
        <f>IF(AND(B321&lt;&gt;"",E321&lt;&gt;"",NOT(ISNUMBER(F321))),1,0)</f>
        <v>0</v>
      </c>
    </row>
    <row r="322">
      <c r="A322" s="34" t="n">
        <v>46252</v>
      </c>
      <c r="B322" s="31" t="inlineStr">
        <is>
          <t>Bruno</t>
        </is>
      </c>
      <c r="C322" s="31" t="inlineStr">
        <is>
          <t>Site novo · Loja Verde</t>
        </is>
      </c>
      <c r="D322" s="29" t="inlineStr">
        <is>
          <t>Implementação</t>
        </is>
      </c>
      <c r="E322" s="35" t="n">
        <v>6</v>
      </c>
      <c r="F322" s="26">
        <f>IF(OR(B322="",E322=""),"",IFERROR(IF(ISNUMBER(INDEX(Config!$D$11:$D$20,MATCH(B322,Config!$A$11:$A$20,0))),E322*INDEX(Config!$D$11:$D$20,MATCH(B322,Config!$A$11:$A$20,0)),"cadastro de custo incompleto em Config"),"pessoa sem custo-hora em Config"))</f>
        <v>308.571428571429</v>
      </c>
      <c r="G322" s="25">
        <f>IF(A322="","",MONTH(A322))</f>
        <v>8</v>
      </c>
      <c r="H322" s="25">
        <f>IF(A322="","",YEAR(A322))</f>
        <v>2026</v>
      </c>
      <c r="I322" s="31" t="inlineStr">
        <is>
          <t>Sim</t>
        </is>
      </c>
      <c r="J322" s="36">
        <f>IF(AND(B322&lt;&gt;"",E322&lt;&gt;"",NOT(ISNUMBER(F322))),1,0)</f>
        <v>0</v>
      </c>
    </row>
    <row r="323">
      <c r="A323" s="34" t="n">
        <v>46252</v>
      </c>
      <c r="B323" s="31" t="inlineStr">
        <is>
          <t>Bruno</t>
        </is>
      </c>
      <c r="C323" s="31" t="inlineStr">
        <is>
          <t>Identidade visual · Padaria do Sol</t>
        </is>
      </c>
      <c r="D323" s="29" t="inlineStr">
        <is>
          <t>Logo</t>
        </is>
      </c>
      <c r="E323" s="35" t="n">
        <v>1.5</v>
      </c>
      <c r="F323" s="26">
        <f>IF(OR(B323="",E323=""),"",IFERROR(IF(ISNUMBER(INDEX(Config!$D$11:$D$20,MATCH(B323,Config!$A$11:$A$20,0))),E323*INDEX(Config!$D$11:$D$20,MATCH(B323,Config!$A$11:$A$20,0)),"cadastro de custo incompleto em Config"),"pessoa sem custo-hora em Config"))</f>
        <v>77.1428571428571</v>
      </c>
      <c r="G323" s="25">
        <f>IF(A323="","",MONTH(A323))</f>
        <v>8</v>
      </c>
      <c r="H323" s="25">
        <f>IF(A323="","",YEAR(A323))</f>
        <v>2026</v>
      </c>
      <c r="I323" s="31" t="inlineStr">
        <is>
          <t>Sim</t>
        </is>
      </c>
      <c r="J323" s="36">
        <f>IF(AND(B323&lt;&gt;"",E323&lt;&gt;"",NOT(ISNUMBER(F323))),1,0)</f>
        <v>0</v>
      </c>
    </row>
    <row r="324">
      <c r="A324" s="34" t="n">
        <v>46252</v>
      </c>
      <c r="B324" s="31" t="inlineStr">
        <is>
          <t>Bruno</t>
        </is>
      </c>
      <c r="C324" s="31" t="inlineStr">
        <is>
          <t>Gestão e reuniões</t>
        </is>
      </c>
      <c r="D324" s="29" t="inlineStr">
        <is>
          <t>Semanal</t>
        </is>
      </c>
      <c r="E324" s="35" t="n">
        <v>1</v>
      </c>
      <c r="F324" s="26">
        <f>IF(OR(B324="",E324=""),"",IFERROR(IF(ISNUMBER(INDEX(Config!$D$11:$D$20,MATCH(B324,Config!$A$11:$A$20,0))),E324*INDEX(Config!$D$11:$D$20,MATCH(B324,Config!$A$11:$A$20,0)),"cadastro de custo incompleto em Config"),"pessoa sem custo-hora em Config"))</f>
        <v>51.4285714285714</v>
      </c>
      <c r="G324" s="25">
        <f>IF(A324="","",MONTH(A324))</f>
        <v>8</v>
      </c>
      <c r="H324" s="25">
        <f>IF(A324="","",YEAR(A324))</f>
        <v>2026</v>
      </c>
      <c r="I324" s="31" t="inlineStr">
        <is>
          <t>Não</t>
        </is>
      </c>
      <c r="J324" s="36">
        <f>IF(AND(B324&lt;&gt;"",E324&lt;&gt;"",NOT(ISNUMBER(F324))),1,0)</f>
        <v>0</v>
      </c>
    </row>
    <row r="325">
      <c r="A325" s="34" t="n">
        <v>46252</v>
      </c>
      <c r="B325" s="31" t="inlineStr">
        <is>
          <t>Carla</t>
        </is>
      </c>
      <c r="C325" s="31" t="inlineStr">
        <is>
          <t>Site novo · Loja Verde</t>
        </is>
      </c>
      <c r="D325" s="29" t="inlineStr">
        <is>
          <t>Textos</t>
        </is>
      </c>
      <c r="E325" s="35" t="n">
        <v>2.5</v>
      </c>
      <c r="F325" s="26">
        <f>IF(OR(B325="",E325=""),"",IFERROR(IF(ISNUMBER(INDEX(Config!$D$11:$D$20,MATCH(B325,Config!$A$11:$A$20,0))),E325*INDEX(Config!$D$11:$D$20,MATCH(B325,Config!$A$11:$A$20,0)),"cadastro de custo incompleto em Config"),"pessoa sem custo-hora em Config"))</f>
        <v>116.071428571429</v>
      </c>
      <c r="G325" s="25">
        <f>IF(A325="","",MONTH(A325))</f>
        <v>8</v>
      </c>
      <c r="H325" s="25">
        <f>IF(A325="","",YEAR(A325))</f>
        <v>2026</v>
      </c>
      <c r="I325" s="31" t="inlineStr">
        <is>
          <t>Sim</t>
        </is>
      </c>
      <c r="J325" s="36">
        <f>IF(AND(B325&lt;&gt;"",E325&lt;&gt;"",NOT(ISNUMBER(F325))),1,0)</f>
        <v>0</v>
      </c>
    </row>
    <row r="326">
      <c r="A326" s="34" t="n">
        <v>46252</v>
      </c>
      <c r="B326" s="31" t="inlineStr">
        <is>
          <t>Carla</t>
        </is>
      </c>
      <c r="C326" s="31" t="inlineStr">
        <is>
          <t>Comercial e propostas</t>
        </is>
      </c>
      <c r="D326" s="29" t="inlineStr">
        <is>
          <t>Reunião comercial</t>
        </is>
      </c>
      <c r="E326" s="35" t="n">
        <v>4.5</v>
      </c>
      <c r="F326" s="26">
        <f>IF(OR(B326="",E326=""),"",IFERROR(IF(ISNUMBER(INDEX(Config!$D$11:$D$20,MATCH(B326,Config!$A$11:$A$20,0))),E326*INDEX(Config!$D$11:$D$20,MATCH(B326,Config!$A$11:$A$20,0)),"cadastro de custo incompleto em Config"),"pessoa sem custo-hora em Config"))</f>
        <v>208.928571428571</v>
      </c>
      <c r="G326" s="25">
        <f>IF(A326="","",MONTH(A326))</f>
        <v>8</v>
      </c>
      <c r="H326" s="25">
        <f>IF(A326="","",YEAR(A326))</f>
        <v>2026</v>
      </c>
      <c r="I326" s="31" t="inlineStr">
        <is>
          <t>Não</t>
        </is>
      </c>
      <c r="J326" s="36">
        <f>IF(AND(B326&lt;&gt;"",E326&lt;&gt;"",NOT(ISNUMBER(F326))),1,0)</f>
        <v>0</v>
      </c>
    </row>
    <row r="327">
      <c r="A327" s="34" t="n">
        <v>46252</v>
      </c>
      <c r="B327" s="31" t="inlineStr">
        <is>
          <t>Carla</t>
        </is>
      </c>
      <c r="C327" s="31" t="inlineStr">
        <is>
          <t>Gestão e reuniões</t>
        </is>
      </c>
      <c r="D327" s="29" t="inlineStr">
        <is>
          <t>Semanal</t>
        </is>
      </c>
      <c r="E327" s="35" t="n">
        <v>1</v>
      </c>
      <c r="F327" s="26">
        <f>IF(OR(B327="",E327=""),"",IFERROR(IF(ISNUMBER(INDEX(Config!$D$11:$D$20,MATCH(B327,Config!$A$11:$A$20,0))),E327*INDEX(Config!$D$11:$D$20,MATCH(B327,Config!$A$11:$A$20,0)),"cadastro de custo incompleto em Config"),"pessoa sem custo-hora em Config"))</f>
        <v>46.4285714285714</v>
      </c>
      <c r="G327" s="25">
        <f>IF(A327="","",MONTH(A327))</f>
        <v>8</v>
      </c>
      <c r="H327" s="25">
        <f>IF(A327="","",YEAR(A327))</f>
        <v>2026</v>
      </c>
      <c r="I327" s="31" t="inlineStr">
        <is>
          <t>Não</t>
        </is>
      </c>
      <c r="J327" s="36">
        <f>IF(AND(B327&lt;&gt;"",E327&lt;&gt;"",NOT(ISNUMBER(F327))),1,0)</f>
        <v>0</v>
      </c>
    </row>
    <row r="328">
      <c r="A328" s="34" t="n">
        <v>46252</v>
      </c>
      <c r="B328" s="31" t="inlineStr">
        <is>
          <t>Diego</t>
        </is>
      </c>
      <c r="C328" s="31" t="inlineStr">
        <is>
          <t>Site novo · Loja Verde</t>
        </is>
      </c>
      <c r="D328" s="29" t="inlineStr">
        <is>
          <t>Textos</t>
        </is>
      </c>
      <c r="E328" s="35" t="n">
        <v>4</v>
      </c>
      <c r="F328" s="26">
        <f>IF(OR(B328="",E328=""),"",IFERROR(IF(ISNUMBER(INDEX(Config!$D$11:$D$20,MATCH(B328,Config!$A$11:$A$20,0))),E328*INDEX(Config!$D$11:$D$20,MATCH(B328,Config!$A$11:$A$20,0)),"cadastro de custo incompleto em Config"),"pessoa sem custo-hora em Config"))</f>
        <v>193.333333333333</v>
      </c>
      <c r="G328" s="25">
        <f>IF(A328="","",MONTH(A328))</f>
        <v>8</v>
      </c>
      <c r="H328" s="25">
        <f>IF(A328="","",YEAR(A328))</f>
        <v>2026</v>
      </c>
      <c r="I328" s="31" t="inlineStr">
        <is>
          <t>Sim</t>
        </is>
      </c>
      <c r="J328" s="36">
        <f>IF(AND(B328&lt;&gt;"",E328&lt;&gt;"",NOT(ISNUMBER(F328))),1,0)</f>
        <v>0</v>
      </c>
    </row>
    <row r="329">
      <c r="A329" s="34" t="n">
        <v>46252</v>
      </c>
      <c r="B329" s="31" t="inlineStr">
        <is>
          <t>Diego</t>
        </is>
      </c>
      <c r="C329" s="31" t="inlineStr">
        <is>
          <t>Comercial e propostas</t>
        </is>
      </c>
      <c r="D329" s="29" t="inlineStr">
        <is>
          <t>Proposta</t>
        </is>
      </c>
      <c r="E329" s="35" t="n">
        <v>0.5</v>
      </c>
      <c r="F329" s="26">
        <f>IF(OR(B329="",E329=""),"",IFERROR(IF(ISNUMBER(INDEX(Config!$D$11:$D$20,MATCH(B329,Config!$A$11:$A$20,0))),E329*INDEX(Config!$D$11:$D$20,MATCH(B329,Config!$A$11:$A$20,0)),"cadastro de custo incompleto em Config"),"pessoa sem custo-hora em Config"))</f>
        <v>24.1666666666667</v>
      </c>
      <c r="G329" s="25">
        <f>IF(A329="","",MONTH(A329))</f>
        <v>8</v>
      </c>
      <c r="H329" s="25">
        <f>IF(A329="","",YEAR(A329))</f>
        <v>2026</v>
      </c>
      <c r="I329" s="31" t="inlineStr">
        <is>
          <t>Não</t>
        </is>
      </c>
      <c r="J329" s="36">
        <f>IF(AND(B329&lt;&gt;"",E329&lt;&gt;"",NOT(ISNUMBER(F329))),1,0)</f>
        <v>0</v>
      </c>
    </row>
    <row r="330">
      <c r="A330" s="34" t="n">
        <v>46252</v>
      </c>
      <c r="B330" s="31" t="inlineStr">
        <is>
          <t>Diego</t>
        </is>
      </c>
      <c r="C330" s="31" t="inlineStr">
        <is>
          <t>Gestão e reuniões</t>
        </is>
      </c>
      <c r="D330" s="29" t="inlineStr">
        <is>
          <t>Financeiro</t>
        </is>
      </c>
      <c r="E330" s="35" t="n">
        <v>2</v>
      </c>
      <c r="F330" s="26">
        <f>IF(OR(B330="",E330=""),"",IFERROR(IF(ISNUMBER(INDEX(Config!$D$11:$D$20,MATCH(B330,Config!$A$11:$A$20,0))),E330*INDEX(Config!$D$11:$D$20,MATCH(B330,Config!$A$11:$A$20,0)),"cadastro de custo incompleto em Config"),"pessoa sem custo-hora em Config"))</f>
        <v>96.6666666666667</v>
      </c>
      <c r="G330" s="25">
        <f>IF(A330="","",MONTH(A330))</f>
        <v>8</v>
      </c>
      <c r="H330" s="25">
        <f>IF(A330="","",YEAR(A330))</f>
        <v>2026</v>
      </c>
      <c r="I330" s="31" t="inlineStr">
        <is>
          <t>Não</t>
        </is>
      </c>
      <c r="J330" s="36">
        <f>IF(AND(B330&lt;&gt;"",E330&lt;&gt;"",NOT(ISNUMBER(F330))),1,0)</f>
        <v>0</v>
      </c>
    </row>
    <row r="331">
      <c r="A331" s="34" t="n">
        <v>46253</v>
      </c>
      <c r="B331" s="31" t="inlineStr">
        <is>
          <t>Ana</t>
        </is>
      </c>
      <c r="C331" s="31" t="inlineStr">
        <is>
          <t>Site novo · Loja Verde</t>
        </is>
      </c>
      <c r="D331" s="29" t="inlineStr">
        <is>
          <t>Textos</t>
        </is>
      </c>
      <c r="E331" s="35" t="n">
        <v>2.5</v>
      </c>
      <c r="F331" s="26">
        <f>IF(OR(B331="",E331=""),"",IFERROR(IF(ISNUMBER(INDEX(Config!$D$11:$D$20,MATCH(B331,Config!$A$11:$A$20,0))),E331*INDEX(Config!$D$11:$D$20,MATCH(B331,Config!$A$11:$A$20,0)),"cadastro de custo incompleto em Config"),"pessoa sem custo-hora em Config"))</f>
        <v>175</v>
      </c>
      <c r="G331" s="25">
        <f>IF(A331="","",MONTH(A331))</f>
        <v>8</v>
      </c>
      <c r="H331" s="25">
        <f>IF(A331="","",YEAR(A331))</f>
        <v>2026</v>
      </c>
      <c r="I331" s="31" t="inlineStr">
        <is>
          <t>Sim</t>
        </is>
      </c>
      <c r="J331" s="36">
        <f>IF(AND(B331&lt;&gt;"",E331&lt;&gt;"",NOT(ISNUMBER(F331))),1,0)</f>
        <v>0</v>
      </c>
    </row>
    <row r="332">
      <c r="A332" s="34" t="n">
        <v>46253</v>
      </c>
      <c r="B332" s="31" t="inlineStr">
        <is>
          <t>Ana</t>
        </is>
      </c>
      <c r="C332" s="31" t="inlineStr">
        <is>
          <t>Comercial e propostas</t>
        </is>
      </c>
      <c r="D332" s="29" t="inlineStr">
        <is>
          <t>Reunião comercial</t>
        </is>
      </c>
      <c r="E332" s="35" t="n">
        <v>3</v>
      </c>
      <c r="F332" s="26">
        <f>IF(OR(B332="",E332=""),"",IFERROR(IF(ISNUMBER(INDEX(Config!$D$11:$D$20,MATCH(B332,Config!$A$11:$A$20,0))),E332*INDEX(Config!$D$11:$D$20,MATCH(B332,Config!$A$11:$A$20,0)),"cadastro de custo incompleto em Config"),"pessoa sem custo-hora em Config"))</f>
        <v>210</v>
      </c>
      <c r="G332" s="25">
        <f>IF(A332="","",MONTH(A332))</f>
        <v>8</v>
      </c>
      <c r="H332" s="25">
        <f>IF(A332="","",YEAR(A332))</f>
        <v>2026</v>
      </c>
      <c r="I332" s="31" t="inlineStr">
        <is>
          <t>Não</t>
        </is>
      </c>
      <c r="J332" s="36">
        <f>IF(AND(B332&lt;&gt;"",E332&lt;&gt;"",NOT(ISNUMBER(F332))),1,0)</f>
        <v>0</v>
      </c>
    </row>
    <row r="333">
      <c r="A333" s="34" t="n">
        <v>46253</v>
      </c>
      <c r="B333" s="31" t="inlineStr">
        <is>
          <t>Ana</t>
        </is>
      </c>
      <c r="C333" s="31" t="inlineStr">
        <is>
          <t>Gestão e reuniões</t>
        </is>
      </c>
      <c r="D333" s="29" t="inlineStr">
        <is>
          <t>Semanal</t>
        </is>
      </c>
      <c r="E333" s="35" t="n">
        <v>3</v>
      </c>
      <c r="F333" s="26">
        <f>IF(OR(B333="",E333=""),"",IFERROR(IF(ISNUMBER(INDEX(Config!$D$11:$D$20,MATCH(B333,Config!$A$11:$A$20,0))),E333*INDEX(Config!$D$11:$D$20,MATCH(B333,Config!$A$11:$A$20,0)),"cadastro de custo incompleto em Config"),"pessoa sem custo-hora em Config"))</f>
        <v>210</v>
      </c>
      <c r="G333" s="25">
        <f>IF(A333="","",MONTH(A333))</f>
        <v>8</v>
      </c>
      <c r="H333" s="25">
        <f>IF(A333="","",YEAR(A333))</f>
        <v>2026</v>
      </c>
      <c r="I333" s="31" t="inlineStr">
        <is>
          <t>Não</t>
        </is>
      </c>
      <c r="J333" s="36">
        <f>IF(AND(B333&lt;&gt;"",E333&lt;&gt;"",NOT(ISNUMBER(F333))),1,0)</f>
        <v>0</v>
      </c>
    </row>
    <row r="334">
      <c r="A334" s="34" t="n">
        <v>46253</v>
      </c>
      <c r="B334" s="31" t="inlineStr">
        <is>
          <t>Bruno</t>
        </is>
      </c>
      <c r="C334" s="31" t="inlineStr">
        <is>
          <t>Site novo · Loja Verde</t>
        </is>
      </c>
      <c r="D334" s="29" t="inlineStr">
        <is>
          <t>Reunião com cliente</t>
        </is>
      </c>
      <c r="E334" s="35" t="n">
        <v>6.5</v>
      </c>
      <c r="F334" s="26">
        <f>IF(OR(B334="",E334=""),"",IFERROR(IF(ISNUMBER(INDEX(Config!$D$11:$D$20,MATCH(B334,Config!$A$11:$A$20,0))),E334*INDEX(Config!$D$11:$D$20,MATCH(B334,Config!$A$11:$A$20,0)),"cadastro de custo incompleto em Config"),"pessoa sem custo-hora em Config"))</f>
        <v>334.285714285714</v>
      </c>
      <c r="G334" s="25">
        <f>IF(A334="","",MONTH(A334))</f>
        <v>8</v>
      </c>
      <c r="H334" s="25">
        <f>IF(A334="","",YEAR(A334))</f>
        <v>2026</v>
      </c>
      <c r="I334" s="31" t="inlineStr">
        <is>
          <t>Sim</t>
        </is>
      </c>
      <c r="J334" s="36">
        <f>IF(AND(B334&lt;&gt;"",E334&lt;&gt;"",NOT(ISNUMBER(F334))),1,0)</f>
        <v>0</v>
      </c>
    </row>
    <row r="335">
      <c r="A335" s="34" t="n">
        <v>46253</v>
      </c>
      <c r="B335" s="31" t="inlineStr">
        <is>
          <t>Bruno</t>
        </is>
      </c>
      <c r="C335" s="31" t="inlineStr">
        <is>
          <t>Identidade visual · Padaria do Sol</t>
        </is>
      </c>
      <c r="D335" s="29" t="inlineStr">
        <is>
          <t>Aplicações</t>
        </is>
      </c>
      <c r="E335" s="35" t="n">
        <v>1.5</v>
      </c>
      <c r="F335" s="26">
        <f>IF(OR(B335="",E335=""),"",IFERROR(IF(ISNUMBER(INDEX(Config!$D$11:$D$20,MATCH(B335,Config!$A$11:$A$20,0))),E335*INDEX(Config!$D$11:$D$20,MATCH(B335,Config!$A$11:$A$20,0)),"cadastro de custo incompleto em Config"),"pessoa sem custo-hora em Config"))</f>
        <v>77.1428571428571</v>
      </c>
      <c r="G335" s="25">
        <f>IF(A335="","",MONTH(A335))</f>
        <v>8</v>
      </c>
      <c r="H335" s="25">
        <f>IF(A335="","",YEAR(A335))</f>
        <v>2026</v>
      </c>
      <c r="I335" s="31" t="inlineStr">
        <is>
          <t>Sim</t>
        </is>
      </c>
      <c r="J335" s="36">
        <f>IF(AND(B335&lt;&gt;"",E335&lt;&gt;"",NOT(ISNUMBER(F335))),1,0)</f>
        <v>0</v>
      </c>
    </row>
    <row r="336">
      <c r="A336" s="34" t="n">
        <v>46253</v>
      </c>
      <c r="B336" s="31" t="inlineStr">
        <is>
          <t>Bruno</t>
        </is>
      </c>
      <c r="C336" s="31" t="inlineStr">
        <is>
          <t>Gestão e reuniões</t>
        </is>
      </c>
      <c r="D336" s="29" t="inlineStr">
        <is>
          <t>Semanal</t>
        </is>
      </c>
      <c r="E336" s="35" t="n">
        <v>1.5</v>
      </c>
      <c r="F336" s="26">
        <f>IF(OR(B336="",E336=""),"",IFERROR(IF(ISNUMBER(INDEX(Config!$D$11:$D$20,MATCH(B336,Config!$A$11:$A$20,0))),E336*INDEX(Config!$D$11:$D$20,MATCH(B336,Config!$A$11:$A$20,0)),"cadastro de custo incompleto em Config"),"pessoa sem custo-hora em Config"))</f>
        <v>77.1428571428571</v>
      </c>
      <c r="G336" s="25">
        <f>IF(A336="","",MONTH(A336))</f>
        <v>8</v>
      </c>
      <c r="H336" s="25">
        <f>IF(A336="","",YEAR(A336))</f>
        <v>2026</v>
      </c>
      <c r="I336" s="31" t="inlineStr">
        <is>
          <t>Não</t>
        </is>
      </c>
      <c r="J336" s="36">
        <f>IF(AND(B336&lt;&gt;"",E336&lt;&gt;"",NOT(ISNUMBER(F336))),1,0)</f>
        <v>0</v>
      </c>
    </row>
    <row r="337">
      <c r="A337" s="34" t="n">
        <v>46253</v>
      </c>
      <c r="B337" s="31" t="inlineStr">
        <is>
          <t>Carla</t>
        </is>
      </c>
      <c r="C337" s="31" t="inlineStr">
        <is>
          <t>Site novo · Loja Verde</t>
        </is>
      </c>
      <c r="D337" s="29" t="inlineStr">
        <is>
          <t>Reunião com cliente</t>
        </is>
      </c>
      <c r="E337" s="35" t="n">
        <v>2.5</v>
      </c>
      <c r="F337" s="26">
        <f>IF(OR(B337="",E337=""),"",IFERROR(IF(ISNUMBER(INDEX(Config!$D$11:$D$20,MATCH(B337,Config!$A$11:$A$20,0))),E337*INDEX(Config!$D$11:$D$20,MATCH(B337,Config!$A$11:$A$20,0)),"cadastro de custo incompleto em Config"),"pessoa sem custo-hora em Config"))</f>
        <v>116.071428571429</v>
      </c>
      <c r="G337" s="25">
        <f>IF(A337="","",MONTH(A337))</f>
        <v>8</v>
      </c>
      <c r="H337" s="25">
        <f>IF(A337="","",YEAR(A337))</f>
        <v>2026</v>
      </c>
      <c r="I337" s="31" t="inlineStr">
        <is>
          <t>Sim</t>
        </is>
      </c>
      <c r="J337" s="36">
        <f>IF(AND(B337&lt;&gt;"",E337&lt;&gt;"",NOT(ISNUMBER(F337))),1,0)</f>
        <v>0</v>
      </c>
    </row>
    <row r="338">
      <c r="A338" s="34" t="n">
        <v>46253</v>
      </c>
      <c r="B338" s="31" t="inlineStr">
        <is>
          <t>Carla</t>
        </is>
      </c>
      <c r="C338" s="31" t="inlineStr">
        <is>
          <t>Comercial e propostas</t>
        </is>
      </c>
      <c r="D338" s="29" t="inlineStr">
        <is>
          <t>Proposta</t>
        </is>
      </c>
      <c r="E338" s="35" t="n">
        <v>3.5</v>
      </c>
      <c r="F338" s="26">
        <f>IF(OR(B338="",E338=""),"",IFERROR(IF(ISNUMBER(INDEX(Config!$D$11:$D$20,MATCH(B338,Config!$A$11:$A$20,0))),E338*INDEX(Config!$D$11:$D$20,MATCH(B338,Config!$A$11:$A$20,0)),"cadastro de custo incompleto em Config"),"pessoa sem custo-hora em Config"))</f>
        <v>162.5</v>
      </c>
      <c r="G338" s="25">
        <f>IF(A338="","",MONTH(A338))</f>
        <v>8</v>
      </c>
      <c r="H338" s="25">
        <f>IF(A338="","",YEAR(A338))</f>
        <v>2026</v>
      </c>
      <c r="I338" s="31" t="inlineStr">
        <is>
          <t>Não</t>
        </is>
      </c>
      <c r="J338" s="36">
        <f>IF(AND(B338&lt;&gt;"",E338&lt;&gt;"",NOT(ISNUMBER(F338))),1,0)</f>
        <v>0</v>
      </c>
    </row>
    <row r="339">
      <c r="A339" s="34" t="n">
        <v>46253</v>
      </c>
      <c r="B339" s="31" t="inlineStr">
        <is>
          <t>Carla</t>
        </is>
      </c>
      <c r="C339" s="31" t="inlineStr">
        <is>
          <t>Gestão e reuniões</t>
        </is>
      </c>
      <c r="D339" s="29" t="inlineStr">
        <is>
          <t>Financeiro</t>
        </is>
      </c>
      <c r="E339" s="35" t="n">
        <v>1</v>
      </c>
      <c r="F339" s="26">
        <f>IF(OR(B339="",E339=""),"",IFERROR(IF(ISNUMBER(INDEX(Config!$D$11:$D$20,MATCH(B339,Config!$A$11:$A$20,0))),E339*INDEX(Config!$D$11:$D$20,MATCH(B339,Config!$A$11:$A$20,0)),"cadastro de custo incompleto em Config"),"pessoa sem custo-hora em Config"))</f>
        <v>46.4285714285714</v>
      </c>
      <c r="G339" s="25">
        <f>IF(A339="","",MONTH(A339))</f>
        <v>8</v>
      </c>
      <c r="H339" s="25">
        <f>IF(A339="","",YEAR(A339))</f>
        <v>2026</v>
      </c>
      <c r="I339" s="31" t="inlineStr">
        <is>
          <t>Não</t>
        </is>
      </c>
      <c r="J339" s="36">
        <f>IF(AND(B339&lt;&gt;"",E339&lt;&gt;"",NOT(ISNUMBER(F339))),1,0)</f>
        <v>0</v>
      </c>
    </row>
    <row r="340">
      <c r="A340" s="34" t="n">
        <v>46253</v>
      </c>
      <c r="B340" s="31" t="inlineStr">
        <is>
          <t>Diego</t>
        </is>
      </c>
      <c r="C340" s="31" t="inlineStr">
        <is>
          <t>Site novo · Loja Verde</t>
        </is>
      </c>
      <c r="D340" s="29" t="inlineStr">
        <is>
          <t>Layout</t>
        </is>
      </c>
      <c r="E340" s="35" t="n">
        <v>5</v>
      </c>
      <c r="F340" s="26">
        <f>IF(OR(B340="",E340=""),"",IFERROR(IF(ISNUMBER(INDEX(Config!$D$11:$D$20,MATCH(B340,Config!$A$11:$A$20,0))),E340*INDEX(Config!$D$11:$D$20,MATCH(B340,Config!$A$11:$A$20,0)),"cadastro de custo incompleto em Config"),"pessoa sem custo-hora em Config"))</f>
        <v>241.666666666667</v>
      </c>
      <c r="G340" s="25">
        <f>IF(A340="","",MONTH(A340))</f>
        <v>8</v>
      </c>
      <c r="H340" s="25">
        <f>IF(A340="","",YEAR(A340))</f>
        <v>2026</v>
      </c>
      <c r="I340" s="31" t="inlineStr">
        <is>
          <t>Sim</t>
        </is>
      </c>
      <c r="J340" s="36">
        <f>IF(AND(B340&lt;&gt;"",E340&lt;&gt;"",NOT(ISNUMBER(F340))),1,0)</f>
        <v>0</v>
      </c>
    </row>
    <row r="341">
      <c r="A341" s="34" t="n">
        <v>46253</v>
      </c>
      <c r="B341" s="31" t="inlineStr">
        <is>
          <t>Diego</t>
        </is>
      </c>
      <c r="C341" s="31" t="inlineStr">
        <is>
          <t>Comercial e propostas</t>
        </is>
      </c>
      <c r="D341" s="29" t="inlineStr">
        <is>
          <t>Proposta</t>
        </is>
      </c>
      <c r="E341" s="35" t="n">
        <v>1</v>
      </c>
      <c r="F341" s="26">
        <f>IF(OR(B341="",E341=""),"",IFERROR(IF(ISNUMBER(INDEX(Config!$D$11:$D$20,MATCH(B341,Config!$A$11:$A$20,0))),E341*INDEX(Config!$D$11:$D$20,MATCH(B341,Config!$A$11:$A$20,0)),"cadastro de custo incompleto em Config"),"pessoa sem custo-hora em Config"))</f>
        <v>48.3333333333333</v>
      </c>
      <c r="G341" s="25">
        <f>IF(A341="","",MONTH(A341))</f>
        <v>8</v>
      </c>
      <c r="H341" s="25">
        <f>IF(A341="","",YEAR(A341))</f>
        <v>2026</v>
      </c>
      <c r="I341" s="31" t="inlineStr">
        <is>
          <t>Não</t>
        </is>
      </c>
      <c r="J341" s="36">
        <f>IF(AND(B341&lt;&gt;"",E341&lt;&gt;"",NOT(ISNUMBER(F341))),1,0)</f>
        <v>0</v>
      </c>
    </row>
    <row r="342">
      <c r="A342" s="34" t="n">
        <v>46253</v>
      </c>
      <c r="B342" s="31" t="inlineStr">
        <is>
          <t>Diego</t>
        </is>
      </c>
      <c r="C342" s="31" t="inlineStr">
        <is>
          <t>Gestão e reuniões</t>
        </is>
      </c>
      <c r="D342" s="29" t="inlineStr">
        <is>
          <t>Financeiro</t>
        </is>
      </c>
      <c r="E342" s="35" t="n">
        <v>2</v>
      </c>
      <c r="F342" s="26">
        <f>IF(OR(B342="",E342=""),"",IFERROR(IF(ISNUMBER(INDEX(Config!$D$11:$D$20,MATCH(B342,Config!$A$11:$A$20,0))),E342*INDEX(Config!$D$11:$D$20,MATCH(B342,Config!$A$11:$A$20,0)),"cadastro de custo incompleto em Config"),"pessoa sem custo-hora em Config"))</f>
        <v>96.6666666666667</v>
      </c>
      <c r="G342" s="25">
        <f>IF(A342="","",MONTH(A342))</f>
        <v>8</v>
      </c>
      <c r="H342" s="25">
        <f>IF(A342="","",YEAR(A342))</f>
        <v>2026</v>
      </c>
      <c r="I342" s="31" t="inlineStr">
        <is>
          <t>Não</t>
        </is>
      </c>
      <c r="J342" s="36">
        <f>IF(AND(B342&lt;&gt;"",E342&lt;&gt;"",NOT(ISNUMBER(F342))),1,0)</f>
        <v>0</v>
      </c>
    </row>
    <row r="343">
      <c r="A343" s="34" t="n">
        <v>46254</v>
      </c>
      <c r="B343" s="31" t="inlineStr">
        <is>
          <t>Ana</t>
        </is>
      </c>
      <c r="C343" s="31" t="inlineStr">
        <is>
          <t>Site novo · Loja Verde</t>
        </is>
      </c>
      <c r="D343" s="29" t="inlineStr">
        <is>
          <t>Wireframe</t>
        </is>
      </c>
      <c r="E343" s="35" t="n">
        <v>2</v>
      </c>
      <c r="F343" s="26">
        <f>IF(OR(B343="",E343=""),"",IFERROR(IF(ISNUMBER(INDEX(Config!$D$11:$D$20,MATCH(B343,Config!$A$11:$A$20,0))),E343*INDEX(Config!$D$11:$D$20,MATCH(B343,Config!$A$11:$A$20,0)),"cadastro de custo incompleto em Config"),"pessoa sem custo-hora em Config"))</f>
        <v>140</v>
      </c>
      <c r="G343" s="25">
        <f>IF(A343="","",MONTH(A343))</f>
        <v>8</v>
      </c>
      <c r="H343" s="25">
        <f>IF(A343="","",YEAR(A343))</f>
        <v>2026</v>
      </c>
      <c r="I343" s="31" t="inlineStr">
        <is>
          <t>Sim</t>
        </is>
      </c>
      <c r="J343" s="36">
        <f>IF(AND(B343&lt;&gt;"",E343&lt;&gt;"",NOT(ISNUMBER(F343))),1,0)</f>
        <v>0</v>
      </c>
    </row>
    <row r="344">
      <c r="A344" s="34" t="n">
        <v>46254</v>
      </c>
      <c r="B344" s="31" t="inlineStr">
        <is>
          <t>Ana</t>
        </is>
      </c>
      <c r="C344" s="31" t="inlineStr">
        <is>
          <t>Comercial e propostas</t>
        </is>
      </c>
      <c r="D344" s="29" t="inlineStr">
        <is>
          <t>Proposta</t>
        </is>
      </c>
      <c r="E344" s="35" t="n">
        <v>2.5</v>
      </c>
      <c r="F344" s="26">
        <f>IF(OR(B344="",E344=""),"",IFERROR(IF(ISNUMBER(INDEX(Config!$D$11:$D$20,MATCH(B344,Config!$A$11:$A$20,0))),E344*INDEX(Config!$D$11:$D$20,MATCH(B344,Config!$A$11:$A$20,0)),"cadastro de custo incompleto em Config"),"pessoa sem custo-hora em Config"))</f>
        <v>175</v>
      </c>
      <c r="G344" s="25">
        <f>IF(A344="","",MONTH(A344))</f>
        <v>8</v>
      </c>
      <c r="H344" s="25">
        <f>IF(A344="","",YEAR(A344))</f>
        <v>2026</v>
      </c>
      <c r="I344" s="31" t="inlineStr">
        <is>
          <t>Não</t>
        </is>
      </c>
      <c r="J344" s="36">
        <f>IF(AND(B344&lt;&gt;"",E344&lt;&gt;"",NOT(ISNUMBER(F344))),1,0)</f>
        <v>0</v>
      </c>
    </row>
    <row r="345">
      <c r="A345" s="34" t="n">
        <v>46254</v>
      </c>
      <c r="B345" s="31" t="inlineStr">
        <is>
          <t>Ana</t>
        </is>
      </c>
      <c r="C345" s="31" t="inlineStr">
        <is>
          <t>Gestão e reuniões</t>
        </is>
      </c>
      <c r="D345" s="29" t="inlineStr">
        <is>
          <t>Planejamento</t>
        </is>
      </c>
      <c r="E345" s="35" t="n">
        <v>3.5</v>
      </c>
      <c r="F345" s="26">
        <f>IF(OR(B345="",E345=""),"",IFERROR(IF(ISNUMBER(INDEX(Config!$D$11:$D$20,MATCH(B345,Config!$A$11:$A$20,0))),E345*INDEX(Config!$D$11:$D$20,MATCH(B345,Config!$A$11:$A$20,0)),"cadastro de custo incompleto em Config"),"pessoa sem custo-hora em Config"))</f>
        <v>245</v>
      </c>
      <c r="G345" s="25">
        <f>IF(A345="","",MONTH(A345))</f>
        <v>8</v>
      </c>
      <c r="H345" s="25">
        <f>IF(A345="","",YEAR(A345))</f>
        <v>2026</v>
      </c>
      <c r="I345" s="31" t="inlineStr">
        <is>
          <t>Não</t>
        </is>
      </c>
      <c r="J345" s="36">
        <f>IF(AND(B345&lt;&gt;"",E345&lt;&gt;"",NOT(ISNUMBER(F345))),1,0)</f>
        <v>0</v>
      </c>
    </row>
    <row r="346">
      <c r="A346" s="34" t="n">
        <v>46254</v>
      </c>
      <c r="B346" s="31" t="inlineStr">
        <is>
          <t>Bruno</t>
        </is>
      </c>
      <c r="C346" s="31" t="inlineStr">
        <is>
          <t>Site novo · Loja Verde</t>
        </is>
      </c>
      <c r="D346" s="29" t="inlineStr">
        <is>
          <t>Implementação</t>
        </is>
      </c>
      <c r="E346" s="35" t="n">
        <v>6</v>
      </c>
      <c r="F346" s="26">
        <f>IF(OR(B346="",E346=""),"",IFERROR(IF(ISNUMBER(INDEX(Config!$D$11:$D$20,MATCH(B346,Config!$A$11:$A$20,0))),E346*INDEX(Config!$D$11:$D$20,MATCH(B346,Config!$A$11:$A$20,0)),"cadastro de custo incompleto em Config"),"pessoa sem custo-hora em Config"))</f>
        <v>308.571428571429</v>
      </c>
      <c r="G346" s="25">
        <f>IF(A346="","",MONTH(A346))</f>
        <v>8</v>
      </c>
      <c r="H346" s="25">
        <f>IF(A346="","",YEAR(A346))</f>
        <v>2026</v>
      </c>
      <c r="I346" s="31" t="inlineStr">
        <is>
          <t>Sim</t>
        </is>
      </c>
      <c r="J346" s="36">
        <f>IF(AND(B346&lt;&gt;"",E346&lt;&gt;"",NOT(ISNUMBER(F346))),1,0)</f>
        <v>0</v>
      </c>
    </row>
    <row r="347">
      <c r="A347" s="34" t="n">
        <v>46254</v>
      </c>
      <c r="B347" s="31" t="inlineStr">
        <is>
          <t>Bruno</t>
        </is>
      </c>
      <c r="C347" s="31" t="inlineStr">
        <is>
          <t>Identidade visual · Padaria do Sol</t>
        </is>
      </c>
      <c r="D347" s="29" t="inlineStr">
        <is>
          <t>Manual</t>
        </is>
      </c>
      <c r="E347" s="35" t="n">
        <v>1</v>
      </c>
      <c r="F347" s="26">
        <f>IF(OR(B347="",E347=""),"",IFERROR(IF(ISNUMBER(INDEX(Config!$D$11:$D$20,MATCH(B347,Config!$A$11:$A$20,0))),E347*INDEX(Config!$D$11:$D$20,MATCH(B347,Config!$A$11:$A$20,0)),"cadastro de custo incompleto em Config"),"pessoa sem custo-hora em Config"))</f>
        <v>51.4285714285714</v>
      </c>
      <c r="G347" s="25">
        <f>IF(A347="","",MONTH(A347))</f>
        <v>8</v>
      </c>
      <c r="H347" s="25">
        <f>IF(A347="","",YEAR(A347))</f>
        <v>2026</v>
      </c>
      <c r="I347" s="31" t="inlineStr">
        <is>
          <t>Sim</t>
        </is>
      </c>
      <c r="J347" s="36">
        <f>IF(AND(B347&lt;&gt;"",E347&lt;&gt;"",NOT(ISNUMBER(F347))),1,0)</f>
        <v>0</v>
      </c>
    </row>
    <row r="348">
      <c r="A348" s="34" t="n">
        <v>46254</v>
      </c>
      <c r="B348" s="31" t="inlineStr">
        <is>
          <t>Bruno</t>
        </is>
      </c>
      <c r="C348" s="31" t="inlineStr">
        <is>
          <t>Gestão e reuniões</t>
        </is>
      </c>
      <c r="D348" s="29" t="inlineStr">
        <is>
          <t>Planejamento</t>
        </is>
      </c>
      <c r="E348" s="35" t="n">
        <v>1</v>
      </c>
      <c r="F348" s="26">
        <f>IF(OR(B348="",E348=""),"",IFERROR(IF(ISNUMBER(INDEX(Config!$D$11:$D$20,MATCH(B348,Config!$A$11:$A$20,0))),E348*INDEX(Config!$D$11:$D$20,MATCH(B348,Config!$A$11:$A$20,0)),"cadastro de custo incompleto em Config"),"pessoa sem custo-hora em Config"))</f>
        <v>51.4285714285714</v>
      </c>
      <c r="G348" s="25">
        <f>IF(A348="","",MONTH(A348))</f>
        <v>8</v>
      </c>
      <c r="H348" s="25">
        <f>IF(A348="","",YEAR(A348))</f>
        <v>2026</v>
      </c>
      <c r="I348" s="31" t="inlineStr">
        <is>
          <t>Não</t>
        </is>
      </c>
      <c r="J348" s="36">
        <f>IF(AND(B348&lt;&gt;"",E348&lt;&gt;"",NOT(ISNUMBER(F348))),1,0)</f>
        <v>0</v>
      </c>
    </row>
    <row r="349">
      <c r="A349" s="34" t="n">
        <v>46254</v>
      </c>
      <c r="B349" s="31" t="inlineStr">
        <is>
          <t>Carla</t>
        </is>
      </c>
      <c r="C349" s="31" t="inlineStr">
        <is>
          <t>Site novo · Loja Verde</t>
        </is>
      </c>
      <c r="D349" s="29" t="inlineStr">
        <is>
          <t>Textos</t>
        </is>
      </c>
      <c r="E349" s="35" t="n">
        <v>1.5</v>
      </c>
      <c r="F349" s="26">
        <f>IF(OR(B349="",E349=""),"",IFERROR(IF(ISNUMBER(INDEX(Config!$D$11:$D$20,MATCH(B349,Config!$A$11:$A$20,0))),E349*INDEX(Config!$D$11:$D$20,MATCH(B349,Config!$A$11:$A$20,0)),"cadastro de custo incompleto em Config"),"pessoa sem custo-hora em Config"))</f>
        <v>69.6428571428571</v>
      </c>
      <c r="G349" s="25">
        <f>IF(A349="","",MONTH(A349))</f>
        <v>8</v>
      </c>
      <c r="H349" s="25">
        <f>IF(A349="","",YEAR(A349))</f>
        <v>2026</v>
      </c>
      <c r="I349" s="31" t="inlineStr">
        <is>
          <t>Sim</t>
        </is>
      </c>
      <c r="J349" s="36">
        <f>IF(AND(B349&lt;&gt;"",E349&lt;&gt;"",NOT(ISNUMBER(F349))),1,0)</f>
        <v>0</v>
      </c>
    </row>
    <row r="350">
      <c r="A350" s="34" t="n">
        <v>46254</v>
      </c>
      <c r="B350" s="31" t="inlineStr">
        <is>
          <t>Carla</t>
        </is>
      </c>
      <c r="C350" s="31" t="inlineStr">
        <is>
          <t>Comercial e propostas</t>
        </is>
      </c>
      <c r="D350" s="29" t="inlineStr">
        <is>
          <t>Reunião comercial</t>
        </is>
      </c>
      <c r="E350" s="35" t="n">
        <v>4</v>
      </c>
      <c r="F350" s="26">
        <f>IF(OR(B350="",E350=""),"",IFERROR(IF(ISNUMBER(INDEX(Config!$D$11:$D$20,MATCH(B350,Config!$A$11:$A$20,0))),E350*INDEX(Config!$D$11:$D$20,MATCH(B350,Config!$A$11:$A$20,0)),"cadastro de custo incompleto em Config"),"pessoa sem custo-hora em Config"))</f>
        <v>185.714285714286</v>
      </c>
      <c r="G350" s="25">
        <f>IF(A350="","",MONTH(A350))</f>
        <v>8</v>
      </c>
      <c r="H350" s="25">
        <f>IF(A350="","",YEAR(A350))</f>
        <v>2026</v>
      </c>
      <c r="I350" s="31" t="inlineStr">
        <is>
          <t>Não</t>
        </is>
      </c>
      <c r="J350" s="36">
        <f>IF(AND(B350&lt;&gt;"",E350&lt;&gt;"",NOT(ISNUMBER(F350))),1,0)</f>
        <v>0</v>
      </c>
    </row>
    <row r="351">
      <c r="A351" s="34" t="n">
        <v>46254</v>
      </c>
      <c r="B351" s="31" t="inlineStr">
        <is>
          <t>Carla</t>
        </is>
      </c>
      <c r="C351" s="31" t="inlineStr">
        <is>
          <t>Gestão e reuniões</t>
        </is>
      </c>
      <c r="D351" s="29" t="inlineStr">
        <is>
          <t>Planejamento</t>
        </is>
      </c>
      <c r="E351" s="35" t="n">
        <v>0.5</v>
      </c>
      <c r="F351" s="26">
        <f>IF(OR(B351="",E351=""),"",IFERROR(IF(ISNUMBER(INDEX(Config!$D$11:$D$20,MATCH(B351,Config!$A$11:$A$20,0))),E351*INDEX(Config!$D$11:$D$20,MATCH(B351,Config!$A$11:$A$20,0)),"cadastro de custo incompleto em Config"),"pessoa sem custo-hora em Config"))</f>
        <v>23.2142857142857</v>
      </c>
      <c r="G351" s="25">
        <f>IF(A351="","",MONTH(A351))</f>
        <v>8</v>
      </c>
      <c r="H351" s="25">
        <f>IF(A351="","",YEAR(A351))</f>
        <v>2026</v>
      </c>
      <c r="I351" s="31" t="inlineStr">
        <is>
          <t>Não</t>
        </is>
      </c>
      <c r="J351" s="36">
        <f>IF(AND(B351&lt;&gt;"",E351&lt;&gt;"",NOT(ISNUMBER(F351))),1,0)</f>
        <v>0</v>
      </c>
    </row>
    <row r="352">
      <c r="A352" s="34" t="n">
        <v>46254</v>
      </c>
      <c r="B352" s="31" t="inlineStr">
        <is>
          <t>Diego</t>
        </is>
      </c>
      <c r="C352" s="31" t="inlineStr">
        <is>
          <t>Site novo · Loja Verde</t>
        </is>
      </c>
      <c r="D352" s="29" t="inlineStr">
        <is>
          <t>Implementação</t>
        </is>
      </c>
      <c r="E352" s="35" t="n">
        <v>4</v>
      </c>
      <c r="F352" s="26">
        <f>IF(OR(B352="",E352=""),"",IFERROR(IF(ISNUMBER(INDEX(Config!$D$11:$D$20,MATCH(B352,Config!$A$11:$A$20,0))),E352*INDEX(Config!$D$11:$D$20,MATCH(B352,Config!$A$11:$A$20,0)),"cadastro de custo incompleto em Config"),"pessoa sem custo-hora em Config"))</f>
        <v>193.333333333333</v>
      </c>
      <c r="G352" s="25">
        <f>IF(A352="","",MONTH(A352))</f>
        <v>8</v>
      </c>
      <c r="H352" s="25">
        <f>IF(A352="","",YEAR(A352))</f>
        <v>2026</v>
      </c>
      <c r="I352" s="31" t="inlineStr">
        <is>
          <t>Sim</t>
        </is>
      </c>
      <c r="J352" s="36">
        <f>IF(AND(B352&lt;&gt;"",E352&lt;&gt;"",NOT(ISNUMBER(F352))),1,0)</f>
        <v>0</v>
      </c>
    </row>
    <row r="353">
      <c r="A353" s="34" t="n">
        <v>46254</v>
      </c>
      <c r="B353" s="31" t="inlineStr">
        <is>
          <t>Diego</t>
        </is>
      </c>
      <c r="C353" s="31" t="inlineStr">
        <is>
          <t>Comercial e propostas</t>
        </is>
      </c>
      <c r="D353" s="29" t="inlineStr">
        <is>
          <t>Proposta</t>
        </is>
      </c>
      <c r="E353" s="35" t="n">
        <v>0.5</v>
      </c>
      <c r="F353" s="26">
        <f>IF(OR(B353="",E353=""),"",IFERROR(IF(ISNUMBER(INDEX(Config!$D$11:$D$20,MATCH(B353,Config!$A$11:$A$20,0))),E353*INDEX(Config!$D$11:$D$20,MATCH(B353,Config!$A$11:$A$20,0)),"cadastro de custo incompleto em Config"),"pessoa sem custo-hora em Config"))</f>
        <v>24.1666666666667</v>
      </c>
      <c r="G353" s="25">
        <f>IF(A353="","",MONTH(A353))</f>
        <v>8</v>
      </c>
      <c r="H353" s="25">
        <f>IF(A353="","",YEAR(A353))</f>
        <v>2026</v>
      </c>
      <c r="I353" s="31" t="inlineStr">
        <is>
          <t>Não</t>
        </is>
      </c>
      <c r="J353" s="36">
        <f>IF(AND(B353&lt;&gt;"",E353&lt;&gt;"",NOT(ISNUMBER(F353))),1,0)</f>
        <v>0</v>
      </c>
    </row>
    <row r="354">
      <c r="A354" s="34" t="n">
        <v>46254</v>
      </c>
      <c r="B354" s="31" t="inlineStr">
        <is>
          <t>Diego</t>
        </is>
      </c>
      <c r="C354" s="31" t="inlineStr">
        <is>
          <t>Gestão e reuniões</t>
        </is>
      </c>
      <c r="D354" s="29" t="inlineStr">
        <is>
          <t>Planejamento</t>
        </is>
      </c>
      <c r="E354" s="35" t="n">
        <v>2.5</v>
      </c>
      <c r="F354" s="26">
        <f>IF(OR(B354="",E354=""),"",IFERROR(IF(ISNUMBER(INDEX(Config!$D$11:$D$20,MATCH(B354,Config!$A$11:$A$20,0))),E354*INDEX(Config!$D$11:$D$20,MATCH(B354,Config!$A$11:$A$20,0)),"cadastro de custo incompleto em Config"),"pessoa sem custo-hora em Config"))</f>
        <v>120.833333333333</v>
      </c>
      <c r="G354" s="25">
        <f>IF(A354="","",MONTH(A354))</f>
        <v>8</v>
      </c>
      <c r="H354" s="25">
        <f>IF(A354="","",YEAR(A354))</f>
        <v>2026</v>
      </c>
      <c r="I354" s="31" t="inlineStr">
        <is>
          <t>Não</t>
        </is>
      </c>
      <c r="J354" s="36">
        <f>IF(AND(B354&lt;&gt;"",E354&lt;&gt;"",NOT(ISNUMBER(F354))),1,0)</f>
        <v>0</v>
      </c>
    </row>
    <row r="355">
      <c r="A355" s="34" t="n">
        <v>46255</v>
      </c>
      <c r="B355" s="31" t="inlineStr">
        <is>
          <t>Ana</t>
        </is>
      </c>
      <c r="C355" s="31" t="inlineStr">
        <is>
          <t>Site novo · Loja Verde</t>
        </is>
      </c>
      <c r="D355" s="29" t="inlineStr">
        <is>
          <t>Implementação</t>
        </is>
      </c>
      <c r="E355" s="35" t="n">
        <v>2.5</v>
      </c>
      <c r="F355" s="26">
        <f>IF(OR(B355="",E355=""),"",IFERROR(IF(ISNUMBER(INDEX(Config!$D$11:$D$20,MATCH(B355,Config!$A$11:$A$20,0))),E355*INDEX(Config!$D$11:$D$20,MATCH(B355,Config!$A$11:$A$20,0)),"cadastro de custo incompleto em Config"),"pessoa sem custo-hora em Config"))</f>
        <v>175</v>
      </c>
      <c r="G355" s="25">
        <f>IF(A355="","",MONTH(A355))</f>
        <v>8</v>
      </c>
      <c r="H355" s="25">
        <f>IF(A355="","",YEAR(A355))</f>
        <v>2026</v>
      </c>
      <c r="I355" s="31" t="inlineStr">
        <is>
          <t>Sim</t>
        </is>
      </c>
      <c r="J355" s="36">
        <f>IF(AND(B355&lt;&gt;"",E355&lt;&gt;"",NOT(ISNUMBER(F355))),1,0)</f>
        <v>0</v>
      </c>
    </row>
    <row r="356">
      <c r="A356" s="34" t="n">
        <v>46255</v>
      </c>
      <c r="B356" s="31" t="inlineStr">
        <is>
          <t>Ana</t>
        </is>
      </c>
      <c r="C356" s="31" t="inlineStr">
        <is>
          <t>Comercial e propostas</t>
        </is>
      </c>
      <c r="D356" s="29" t="inlineStr">
        <is>
          <t>Reunião comercial</t>
        </is>
      </c>
      <c r="E356" s="35" t="n">
        <v>2.5</v>
      </c>
      <c r="F356" s="26">
        <f>IF(OR(B356="",E356=""),"",IFERROR(IF(ISNUMBER(INDEX(Config!$D$11:$D$20,MATCH(B356,Config!$A$11:$A$20,0))),E356*INDEX(Config!$D$11:$D$20,MATCH(B356,Config!$A$11:$A$20,0)),"cadastro de custo incompleto em Config"),"pessoa sem custo-hora em Config"))</f>
        <v>175</v>
      </c>
      <c r="G356" s="25">
        <f>IF(A356="","",MONTH(A356))</f>
        <v>8</v>
      </c>
      <c r="H356" s="25">
        <f>IF(A356="","",YEAR(A356))</f>
        <v>2026</v>
      </c>
      <c r="I356" s="31" t="inlineStr">
        <is>
          <t>Não</t>
        </is>
      </c>
      <c r="J356" s="36">
        <f>IF(AND(B356&lt;&gt;"",E356&lt;&gt;"",NOT(ISNUMBER(F356))),1,0)</f>
        <v>0</v>
      </c>
    </row>
    <row r="357">
      <c r="A357" s="34" t="n">
        <v>46255</v>
      </c>
      <c r="B357" s="31" t="inlineStr">
        <is>
          <t>Ana</t>
        </is>
      </c>
      <c r="C357" s="31" t="inlineStr">
        <is>
          <t>Gestão e reuniões</t>
        </is>
      </c>
      <c r="D357" s="29" t="inlineStr">
        <is>
          <t>Financeiro</t>
        </is>
      </c>
      <c r="E357" s="35" t="n">
        <v>3</v>
      </c>
      <c r="F357" s="26">
        <f>IF(OR(B357="",E357=""),"",IFERROR(IF(ISNUMBER(INDEX(Config!$D$11:$D$20,MATCH(B357,Config!$A$11:$A$20,0))),E357*INDEX(Config!$D$11:$D$20,MATCH(B357,Config!$A$11:$A$20,0)),"cadastro de custo incompleto em Config"),"pessoa sem custo-hora em Config"))</f>
        <v>210</v>
      </c>
      <c r="G357" s="25">
        <f>IF(A357="","",MONTH(A357))</f>
        <v>8</v>
      </c>
      <c r="H357" s="25">
        <f>IF(A357="","",YEAR(A357))</f>
        <v>2026</v>
      </c>
      <c r="I357" s="31" t="inlineStr">
        <is>
          <t>Não</t>
        </is>
      </c>
      <c r="J357" s="36">
        <f>IF(AND(B357&lt;&gt;"",E357&lt;&gt;"",NOT(ISNUMBER(F357))),1,0)</f>
        <v>0</v>
      </c>
    </row>
    <row r="358">
      <c r="A358" s="34" t="n">
        <v>46255</v>
      </c>
      <c r="B358" s="31" t="inlineStr">
        <is>
          <t>Bruno</t>
        </is>
      </c>
      <c r="C358" s="31" t="inlineStr">
        <is>
          <t>Site novo · Loja Verde</t>
        </is>
      </c>
      <c r="D358" s="29" t="inlineStr">
        <is>
          <t>Wireframe</t>
        </is>
      </c>
      <c r="E358" s="35" t="n">
        <v>5.5</v>
      </c>
      <c r="F358" s="26">
        <f>IF(OR(B358="",E358=""),"",IFERROR(IF(ISNUMBER(INDEX(Config!$D$11:$D$20,MATCH(B358,Config!$A$11:$A$20,0))),E358*INDEX(Config!$D$11:$D$20,MATCH(B358,Config!$A$11:$A$20,0)),"cadastro de custo incompleto em Config"),"pessoa sem custo-hora em Config"))</f>
        <v>282.857142857143</v>
      </c>
      <c r="G358" s="25">
        <f>IF(A358="","",MONTH(A358))</f>
        <v>8</v>
      </c>
      <c r="H358" s="25">
        <f>IF(A358="","",YEAR(A358))</f>
        <v>2026</v>
      </c>
      <c r="I358" s="31" t="inlineStr">
        <is>
          <t>Sim</t>
        </is>
      </c>
      <c r="J358" s="36">
        <f>IF(AND(B358&lt;&gt;"",E358&lt;&gt;"",NOT(ISNUMBER(F358))),1,0)</f>
        <v>0</v>
      </c>
    </row>
    <row r="359">
      <c r="A359" s="34" t="n">
        <v>46255</v>
      </c>
      <c r="B359" s="31" t="inlineStr">
        <is>
          <t>Bruno</t>
        </is>
      </c>
      <c r="C359" s="31" t="inlineStr">
        <is>
          <t>Identidade visual · Padaria do Sol</t>
        </is>
      </c>
      <c r="D359" s="29" t="inlineStr">
        <is>
          <t>Logo</t>
        </is>
      </c>
      <c r="E359" s="35" t="n">
        <v>2</v>
      </c>
      <c r="F359" s="26">
        <f>IF(OR(B359="",E359=""),"",IFERROR(IF(ISNUMBER(INDEX(Config!$D$11:$D$20,MATCH(B359,Config!$A$11:$A$20,0))),E359*INDEX(Config!$D$11:$D$20,MATCH(B359,Config!$A$11:$A$20,0)),"cadastro de custo incompleto em Config"),"pessoa sem custo-hora em Config"))</f>
        <v>102.857142857143</v>
      </c>
      <c r="G359" s="25">
        <f>IF(A359="","",MONTH(A359))</f>
        <v>8</v>
      </c>
      <c r="H359" s="25">
        <f>IF(A359="","",YEAR(A359))</f>
        <v>2026</v>
      </c>
      <c r="I359" s="31" t="inlineStr">
        <is>
          <t>Sim</t>
        </is>
      </c>
      <c r="J359" s="36">
        <f>IF(AND(B359&lt;&gt;"",E359&lt;&gt;"",NOT(ISNUMBER(F359))),1,0)</f>
        <v>0</v>
      </c>
    </row>
    <row r="360">
      <c r="A360" s="34" t="n">
        <v>46255</v>
      </c>
      <c r="B360" s="31" t="inlineStr">
        <is>
          <t>Bruno</t>
        </is>
      </c>
      <c r="C360" s="31" t="inlineStr">
        <is>
          <t>Gestão e reuniões</t>
        </is>
      </c>
      <c r="D360" s="29" t="inlineStr">
        <is>
          <t>Planejamento</t>
        </is>
      </c>
      <c r="E360" s="35" t="n">
        <v>1</v>
      </c>
      <c r="F360" s="26">
        <f>IF(OR(B360="",E360=""),"",IFERROR(IF(ISNUMBER(INDEX(Config!$D$11:$D$20,MATCH(B360,Config!$A$11:$A$20,0))),E360*INDEX(Config!$D$11:$D$20,MATCH(B360,Config!$A$11:$A$20,0)),"cadastro de custo incompleto em Config"),"pessoa sem custo-hora em Config"))</f>
        <v>51.4285714285714</v>
      </c>
      <c r="G360" s="25">
        <f>IF(A360="","",MONTH(A360))</f>
        <v>8</v>
      </c>
      <c r="H360" s="25">
        <f>IF(A360="","",YEAR(A360))</f>
        <v>2026</v>
      </c>
      <c r="I360" s="31" t="inlineStr">
        <is>
          <t>Não</t>
        </is>
      </c>
      <c r="J360" s="36">
        <f>IF(AND(B360&lt;&gt;"",E360&lt;&gt;"",NOT(ISNUMBER(F360))),1,0)</f>
        <v>0</v>
      </c>
    </row>
    <row r="361">
      <c r="A361" s="34" t="n">
        <v>46255</v>
      </c>
      <c r="B361" s="31" t="inlineStr">
        <is>
          <t>Carla</t>
        </is>
      </c>
      <c r="C361" s="31" t="inlineStr">
        <is>
          <t>Site novo · Loja Verde</t>
        </is>
      </c>
      <c r="D361" s="29" t="inlineStr">
        <is>
          <t>Implementação</t>
        </is>
      </c>
      <c r="E361" s="35" t="n">
        <v>2.5</v>
      </c>
      <c r="F361" s="26">
        <f>IF(OR(B361="",E361=""),"",IFERROR(IF(ISNUMBER(INDEX(Config!$D$11:$D$20,MATCH(B361,Config!$A$11:$A$20,0))),E361*INDEX(Config!$D$11:$D$20,MATCH(B361,Config!$A$11:$A$20,0)),"cadastro de custo incompleto em Config"),"pessoa sem custo-hora em Config"))</f>
        <v>116.071428571429</v>
      </c>
      <c r="G361" s="25">
        <f>IF(A361="","",MONTH(A361))</f>
        <v>8</v>
      </c>
      <c r="H361" s="25">
        <f>IF(A361="","",YEAR(A361))</f>
        <v>2026</v>
      </c>
      <c r="I361" s="31" t="inlineStr">
        <is>
          <t>Sim</t>
        </is>
      </c>
      <c r="J361" s="36">
        <f>IF(AND(B361&lt;&gt;"",E361&lt;&gt;"",NOT(ISNUMBER(F361))),1,0)</f>
        <v>0</v>
      </c>
    </row>
    <row r="362">
      <c r="A362" s="34" t="n">
        <v>46255</v>
      </c>
      <c r="B362" s="31" t="inlineStr">
        <is>
          <t>Carla</t>
        </is>
      </c>
      <c r="C362" s="31" t="inlineStr">
        <is>
          <t>Comercial e propostas</t>
        </is>
      </c>
      <c r="D362" s="29" t="inlineStr">
        <is>
          <t>Reunião comercial</t>
        </is>
      </c>
      <c r="E362" s="35" t="n">
        <v>4.5</v>
      </c>
      <c r="F362" s="26">
        <f>IF(OR(B362="",E362=""),"",IFERROR(IF(ISNUMBER(INDEX(Config!$D$11:$D$20,MATCH(B362,Config!$A$11:$A$20,0))),E362*INDEX(Config!$D$11:$D$20,MATCH(B362,Config!$A$11:$A$20,0)),"cadastro de custo incompleto em Config"),"pessoa sem custo-hora em Config"))</f>
        <v>208.928571428571</v>
      </c>
      <c r="G362" s="25">
        <f>IF(A362="","",MONTH(A362))</f>
        <v>8</v>
      </c>
      <c r="H362" s="25">
        <f>IF(A362="","",YEAR(A362))</f>
        <v>2026</v>
      </c>
      <c r="I362" s="31" t="inlineStr">
        <is>
          <t>Não</t>
        </is>
      </c>
      <c r="J362" s="36">
        <f>IF(AND(B362&lt;&gt;"",E362&lt;&gt;"",NOT(ISNUMBER(F362))),1,0)</f>
        <v>0</v>
      </c>
    </row>
    <row r="363">
      <c r="A363" s="34" t="n">
        <v>46255</v>
      </c>
      <c r="B363" s="31" t="inlineStr">
        <is>
          <t>Carla</t>
        </is>
      </c>
      <c r="C363" s="31" t="inlineStr">
        <is>
          <t>Gestão e reuniões</t>
        </is>
      </c>
      <c r="D363" s="29" t="inlineStr">
        <is>
          <t>Planejamento</t>
        </is>
      </c>
      <c r="E363" s="35" t="n">
        <v>1.5</v>
      </c>
      <c r="F363" s="26">
        <f>IF(OR(B363="",E363=""),"",IFERROR(IF(ISNUMBER(INDEX(Config!$D$11:$D$20,MATCH(B363,Config!$A$11:$A$20,0))),E363*INDEX(Config!$D$11:$D$20,MATCH(B363,Config!$A$11:$A$20,0)),"cadastro de custo incompleto em Config"),"pessoa sem custo-hora em Config"))</f>
        <v>69.6428571428571</v>
      </c>
      <c r="G363" s="25">
        <f>IF(A363="","",MONTH(A363))</f>
        <v>8</v>
      </c>
      <c r="H363" s="25">
        <f>IF(A363="","",YEAR(A363))</f>
        <v>2026</v>
      </c>
      <c r="I363" s="31" t="inlineStr">
        <is>
          <t>Não</t>
        </is>
      </c>
      <c r="J363" s="36">
        <f>IF(AND(B363&lt;&gt;"",E363&lt;&gt;"",NOT(ISNUMBER(F363))),1,0)</f>
        <v>0</v>
      </c>
    </row>
    <row r="364">
      <c r="A364" s="34" t="n">
        <v>46255</v>
      </c>
      <c r="B364" s="31" t="inlineStr">
        <is>
          <t>Diego</t>
        </is>
      </c>
      <c r="C364" s="31" t="inlineStr">
        <is>
          <t>Site novo · Loja Verde</t>
        </is>
      </c>
      <c r="D364" s="29" t="inlineStr">
        <is>
          <t>Wireframe</t>
        </is>
      </c>
      <c r="E364" s="35" t="n">
        <v>3.5</v>
      </c>
      <c r="F364" s="26">
        <f>IF(OR(B364="",E364=""),"",IFERROR(IF(ISNUMBER(INDEX(Config!$D$11:$D$20,MATCH(B364,Config!$A$11:$A$20,0))),E364*INDEX(Config!$D$11:$D$20,MATCH(B364,Config!$A$11:$A$20,0)),"cadastro de custo incompleto em Config"),"pessoa sem custo-hora em Config"))</f>
        <v>169.166666666667</v>
      </c>
      <c r="G364" s="25">
        <f>IF(A364="","",MONTH(A364))</f>
        <v>8</v>
      </c>
      <c r="H364" s="25">
        <f>IF(A364="","",YEAR(A364))</f>
        <v>2026</v>
      </c>
      <c r="I364" s="31" t="inlineStr">
        <is>
          <t>Sim</t>
        </is>
      </c>
      <c r="J364" s="36">
        <f>IF(AND(B364&lt;&gt;"",E364&lt;&gt;"",NOT(ISNUMBER(F364))),1,0)</f>
        <v>0</v>
      </c>
    </row>
    <row r="365">
      <c r="A365" s="34" t="n">
        <v>46255</v>
      </c>
      <c r="B365" s="31" t="inlineStr">
        <is>
          <t>Diego</t>
        </is>
      </c>
      <c r="C365" s="31" t="inlineStr">
        <is>
          <t>Comercial e propostas</t>
        </is>
      </c>
      <c r="D365" s="29" t="inlineStr">
        <is>
          <t>Reunião comercial</t>
        </is>
      </c>
      <c r="E365" s="35" t="n">
        <v>0.5</v>
      </c>
      <c r="F365" s="26">
        <f>IF(OR(B365="",E365=""),"",IFERROR(IF(ISNUMBER(INDEX(Config!$D$11:$D$20,MATCH(B365,Config!$A$11:$A$20,0))),E365*INDEX(Config!$D$11:$D$20,MATCH(B365,Config!$A$11:$A$20,0)),"cadastro de custo incompleto em Config"),"pessoa sem custo-hora em Config"))</f>
        <v>24.1666666666667</v>
      </c>
      <c r="G365" s="25">
        <f>IF(A365="","",MONTH(A365))</f>
        <v>8</v>
      </c>
      <c r="H365" s="25">
        <f>IF(A365="","",YEAR(A365))</f>
        <v>2026</v>
      </c>
      <c r="I365" s="31" t="inlineStr">
        <is>
          <t>Não</t>
        </is>
      </c>
      <c r="J365" s="36">
        <f>IF(AND(B365&lt;&gt;"",E365&lt;&gt;"",NOT(ISNUMBER(F365))),1,0)</f>
        <v>0</v>
      </c>
    </row>
    <row r="366">
      <c r="A366" s="34" t="n">
        <v>46255</v>
      </c>
      <c r="B366" s="31" t="inlineStr">
        <is>
          <t>Diego</t>
        </is>
      </c>
      <c r="C366" s="31" t="inlineStr">
        <is>
          <t>Gestão e reuniões</t>
        </is>
      </c>
      <c r="D366" s="29" t="inlineStr">
        <is>
          <t>Semanal</t>
        </is>
      </c>
      <c r="E366" s="35" t="n">
        <v>2.5</v>
      </c>
      <c r="F366" s="26">
        <f>IF(OR(B366="",E366=""),"",IFERROR(IF(ISNUMBER(INDEX(Config!$D$11:$D$20,MATCH(B366,Config!$A$11:$A$20,0))),E366*INDEX(Config!$D$11:$D$20,MATCH(B366,Config!$A$11:$A$20,0)),"cadastro de custo incompleto em Config"),"pessoa sem custo-hora em Config"))</f>
        <v>120.833333333333</v>
      </c>
      <c r="G366" s="25">
        <f>IF(A366="","",MONTH(A366))</f>
        <v>8</v>
      </c>
      <c r="H366" s="25">
        <f>IF(A366="","",YEAR(A366))</f>
        <v>2026</v>
      </c>
      <c r="I366" s="31" t="inlineStr">
        <is>
          <t>Não</t>
        </is>
      </c>
      <c r="J366" s="36">
        <f>IF(AND(B366&lt;&gt;"",E366&lt;&gt;"",NOT(ISNUMBER(F366))),1,0)</f>
        <v>0</v>
      </c>
    </row>
    <row r="367">
      <c r="A367" s="34" t="n">
        <v>46258</v>
      </c>
      <c r="B367" s="31" t="inlineStr">
        <is>
          <t>Ana</t>
        </is>
      </c>
      <c r="C367" s="31" t="inlineStr">
        <is>
          <t>Site novo · Loja Verde</t>
        </is>
      </c>
      <c r="D367" s="29" t="inlineStr">
        <is>
          <t>Implementação</t>
        </is>
      </c>
      <c r="E367" s="35" t="n">
        <v>2.5</v>
      </c>
      <c r="F367" s="26">
        <f>IF(OR(B367="",E367=""),"",IFERROR(IF(ISNUMBER(INDEX(Config!$D$11:$D$20,MATCH(B367,Config!$A$11:$A$20,0))),E367*INDEX(Config!$D$11:$D$20,MATCH(B367,Config!$A$11:$A$20,0)),"cadastro de custo incompleto em Config"),"pessoa sem custo-hora em Config"))</f>
        <v>175</v>
      </c>
      <c r="G367" s="25">
        <f>IF(A367="","",MONTH(A367))</f>
        <v>8</v>
      </c>
      <c r="H367" s="25">
        <f>IF(A367="","",YEAR(A367))</f>
        <v>2026</v>
      </c>
      <c r="I367" s="31" t="inlineStr">
        <is>
          <t>Sim</t>
        </is>
      </c>
      <c r="J367" s="36">
        <f>IF(AND(B367&lt;&gt;"",E367&lt;&gt;"",NOT(ISNUMBER(F367))),1,0)</f>
        <v>0</v>
      </c>
    </row>
    <row r="368">
      <c r="A368" s="34" t="n">
        <v>46258</v>
      </c>
      <c r="B368" s="31" t="inlineStr">
        <is>
          <t>Ana</t>
        </is>
      </c>
      <c r="C368" s="31" t="inlineStr">
        <is>
          <t>Comercial e propostas</t>
        </is>
      </c>
      <c r="D368" s="29" t="inlineStr">
        <is>
          <t>Reunião comercial</t>
        </is>
      </c>
      <c r="E368" s="35" t="n">
        <v>3</v>
      </c>
      <c r="F368" s="26">
        <f>IF(OR(B368="",E368=""),"",IFERROR(IF(ISNUMBER(INDEX(Config!$D$11:$D$20,MATCH(B368,Config!$A$11:$A$20,0))),E368*INDEX(Config!$D$11:$D$20,MATCH(B368,Config!$A$11:$A$20,0)),"cadastro de custo incompleto em Config"),"pessoa sem custo-hora em Config"))</f>
        <v>210</v>
      </c>
      <c r="G368" s="25">
        <f>IF(A368="","",MONTH(A368))</f>
        <v>8</v>
      </c>
      <c r="H368" s="25">
        <f>IF(A368="","",YEAR(A368))</f>
        <v>2026</v>
      </c>
      <c r="I368" s="31" t="inlineStr">
        <is>
          <t>Não</t>
        </is>
      </c>
      <c r="J368" s="36">
        <f>IF(AND(B368&lt;&gt;"",E368&lt;&gt;"",NOT(ISNUMBER(F368))),1,0)</f>
        <v>0</v>
      </c>
    </row>
    <row r="369">
      <c r="A369" s="34" t="n">
        <v>46258</v>
      </c>
      <c r="B369" s="31" t="inlineStr">
        <is>
          <t>Ana</t>
        </is>
      </c>
      <c r="C369" s="31" t="inlineStr">
        <is>
          <t>Gestão e reuniões</t>
        </is>
      </c>
      <c r="D369" s="29" t="inlineStr">
        <is>
          <t>Financeiro</t>
        </is>
      </c>
      <c r="E369" s="35" t="n">
        <v>2</v>
      </c>
      <c r="F369" s="26">
        <f>IF(OR(B369="",E369=""),"",IFERROR(IF(ISNUMBER(INDEX(Config!$D$11:$D$20,MATCH(B369,Config!$A$11:$A$20,0))),E369*INDEX(Config!$D$11:$D$20,MATCH(B369,Config!$A$11:$A$20,0)),"cadastro de custo incompleto em Config"),"pessoa sem custo-hora em Config"))</f>
        <v>140</v>
      </c>
      <c r="G369" s="25">
        <f>IF(A369="","",MONTH(A369))</f>
        <v>8</v>
      </c>
      <c r="H369" s="25">
        <f>IF(A369="","",YEAR(A369))</f>
        <v>2026</v>
      </c>
      <c r="I369" s="31" t="inlineStr">
        <is>
          <t>Não</t>
        </is>
      </c>
      <c r="J369" s="36">
        <f>IF(AND(B369&lt;&gt;"",E369&lt;&gt;"",NOT(ISNUMBER(F369))),1,0)</f>
        <v>0</v>
      </c>
    </row>
    <row r="370">
      <c r="A370" s="34" t="n">
        <v>46258</v>
      </c>
      <c r="B370" s="31" t="inlineStr">
        <is>
          <t>Bruno</t>
        </is>
      </c>
      <c r="C370" s="31" t="inlineStr">
        <is>
          <t>Site novo · Loja Verde</t>
        </is>
      </c>
      <c r="D370" s="29" t="inlineStr">
        <is>
          <t>Wireframe</t>
        </is>
      </c>
      <c r="E370" s="35" t="n">
        <v>4.5</v>
      </c>
      <c r="F370" s="26">
        <f>IF(OR(B370="",E370=""),"",IFERROR(IF(ISNUMBER(INDEX(Config!$D$11:$D$20,MATCH(B370,Config!$A$11:$A$20,0))),E370*INDEX(Config!$D$11:$D$20,MATCH(B370,Config!$A$11:$A$20,0)),"cadastro de custo incompleto em Config"),"pessoa sem custo-hora em Config"))</f>
        <v>231.428571428571</v>
      </c>
      <c r="G370" s="25">
        <f>IF(A370="","",MONTH(A370))</f>
        <v>8</v>
      </c>
      <c r="H370" s="25">
        <f>IF(A370="","",YEAR(A370))</f>
        <v>2026</v>
      </c>
      <c r="I370" s="31" t="inlineStr">
        <is>
          <t>Sim</t>
        </is>
      </c>
      <c r="J370" s="36">
        <f>IF(AND(B370&lt;&gt;"",E370&lt;&gt;"",NOT(ISNUMBER(F370))),1,0)</f>
        <v>0</v>
      </c>
    </row>
    <row r="371">
      <c r="A371" s="34" t="n">
        <v>46258</v>
      </c>
      <c r="B371" s="31" t="inlineStr">
        <is>
          <t>Bruno</t>
        </is>
      </c>
      <c r="C371" s="31" t="inlineStr">
        <is>
          <t>Identidade visual · Padaria do Sol</t>
        </is>
      </c>
      <c r="D371" s="29" t="inlineStr">
        <is>
          <t>Manual</t>
        </is>
      </c>
      <c r="E371" s="35" t="n">
        <v>1.5</v>
      </c>
      <c r="F371" s="26">
        <f>IF(OR(B371="",E371=""),"",IFERROR(IF(ISNUMBER(INDEX(Config!$D$11:$D$20,MATCH(B371,Config!$A$11:$A$20,0))),E371*INDEX(Config!$D$11:$D$20,MATCH(B371,Config!$A$11:$A$20,0)),"cadastro de custo incompleto em Config"),"pessoa sem custo-hora em Config"))</f>
        <v>77.1428571428571</v>
      </c>
      <c r="G371" s="25">
        <f>IF(A371="","",MONTH(A371))</f>
        <v>8</v>
      </c>
      <c r="H371" s="25">
        <f>IF(A371="","",YEAR(A371))</f>
        <v>2026</v>
      </c>
      <c r="I371" s="31" t="inlineStr">
        <is>
          <t>Sim</t>
        </is>
      </c>
      <c r="J371" s="36">
        <f>IF(AND(B371&lt;&gt;"",E371&lt;&gt;"",NOT(ISNUMBER(F371))),1,0)</f>
        <v>0</v>
      </c>
    </row>
    <row r="372">
      <c r="A372" s="34" t="n">
        <v>46258</v>
      </c>
      <c r="B372" s="31" t="inlineStr">
        <is>
          <t>Bruno</t>
        </is>
      </c>
      <c r="C372" s="31" t="inlineStr">
        <is>
          <t>Gestão e reuniões</t>
        </is>
      </c>
      <c r="D372" s="29" t="inlineStr">
        <is>
          <t>Planejamento</t>
        </is>
      </c>
      <c r="E372" s="35" t="n">
        <v>1</v>
      </c>
      <c r="F372" s="26">
        <f>IF(OR(B372="",E372=""),"",IFERROR(IF(ISNUMBER(INDEX(Config!$D$11:$D$20,MATCH(B372,Config!$A$11:$A$20,0))),E372*INDEX(Config!$D$11:$D$20,MATCH(B372,Config!$A$11:$A$20,0)),"cadastro de custo incompleto em Config"),"pessoa sem custo-hora em Config"))</f>
        <v>51.4285714285714</v>
      </c>
      <c r="G372" s="25">
        <f>IF(A372="","",MONTH(A372))</f>
        <v>8</v>
      </c>
      <c r="H372" s="25">
        <f>IF(A372="","",YEAR(A372))</f>
        <v>2026</v>
      </c>
      <c r="I372" s="31" t="inlineStr">
        <is>
          <t>Não</t>
        </is>
      </c>
      <c r="J372" s="36">
        <f>IF(AND(B372&lt;&gt;"",E372&lt;&gt;"",NOT(ISNUMBER(F372))),1,0)</f>
        <v>0</v>
      </c>
    </row>
    <row r="373">
      <c r="A373" s="34" t="n">
        <v>46258</v>
      </c>
      <c r="B373" s="31" t="inlineStr">
        <is>
          <t>Carla</t>
        </is>
      </c>
      <c r="C373" s="31" t="inlineStr">
        <is>
          <t>Site novo · Loja Verde</t>
        </is>
      </c>
      <c r="D373" s="29" t="inlineStr">
        <is>
          <t>Layout</t>
        </is>
      </c>
      <c r="E373" s="35" t="n">
        <v>2.5</v>
      </c>
      <c r="F373" s="26">
        <f>IF(OR(B373="",E373=""),"",IFERROR(IF(ISNUMBER(INDEX(Config!$D$11:$D$20,MATCH(B373,Config!$A$11:$A$20,0))),E373*INDEX(Config!$D$11:$D$20,MATCH(B373,Config!$A$11:$A$20,0)),"cadastro de custo incompleto em Config"),"pessoa sem custo-hora em Config"))</f>
        <v>116.071428571429</v>
      </c>
      <c r="G373" s="25">
        <f>IF(A373="","",MONTH(A373))</f>
        <v>8</v>
      </c>
      <c r="H373" s="25">
        <f>IF(A373="","",YEAR(A373))</f>
        <v>2026</v>
      </c>
      <c r="I373" s="31" t="inlineStr">
        <is>
          <t>Sim</t>
        </is>
      </c>
      <c r="J373" s="36">
        <f>IF(AND(B373&lt;&gt;"",E373&lt;&gt;"",NOT(ISNUMBER(F373))),1,0)</f>
        <v>0</v>
      </c>
    </row>
    <row r="374">
      <c r="A374" s="34" t="n">
        <v>46258</v>
      </c>
      <c r="B374" s="31" t="inlineStr">
        <is>
          <t>Carla</t>
        </is>
      </c>
      <c r="C374" s="31" t="inlineStr">
        <is>
          <t>Comercial e propostas</t>
        </is>
      </c>
      <c r="D374" s="29" t="inlineStr">
        <is>
          <t>Reunião comercial</t>
        </is>
      </c>
      <c r="E374" s="35" t="n">
        <v>5</v>
      </c>
      <c r="F374" s="26">
        <f>IF(OR(B374="",E374=""),"",IFERROR(IF(ISNUMBER(INDEX(Config!$D$11:$D$20,MATCH(B374,Config!$A$11:$A$20,0))),E374*INDEX(Config!$D$11:$D$20,MATCH(B374,Config!$A$11:$A$20,0)),"cadastro de custo incompleto em Config"),"pessoa sem custo-hora em Config"))</f>
        <v>232.142857142857</v>
      </c>
      <c r="G374" s="25">
        <f>IF(A374="","",MONTH(A374))</f>
        <v>8</v>
      </c>
      <c r="H374" s="25">
        <f>IF(A374="","",YEAR(A374))</f>
        <v>2026</v>
      </c>
      <c r="I374" s="31" t="inlineStr">
        <is>
          <t>Não</t>
        </is>
      </c>
      <c r="J374" s="36">
        <f>IF(AND(B374&lt;&gt;"",E374&lt;&gt;"",NOT(ISNUMBER(F374))),1,0)</f>
        <v>0</v>
      </c>
    </row>
    <row r="375">
      <c r="A375" s="34" t="n">
        <v>46258</v>
      </c>
      <c r="B375" s="31" t="inlineStr">
        <is>
          <t>Carla</t>
        </is>
      </c>
      <c r="C375" s="31" t="inlineStr">
        <is>
          <t>Gestão e reuniões</t>
        </is>
      </c>
      <c r="D375" s="29" t="inlineStr">
        <is>
          <t>Financeiro</t>
        </is>
      </c>
      <c r="E375" s="35" t="n">
        <v>0.5</v>
      </c>
      <c r="F375" s="26">
        <f>IF(OR(B375="",E375=""),"",IFERROR(IF(ISNUMBER(INDEX(Config!$D$11:$D$20,MATCH(B375,Config!$A$11:$A$20,0))),E375*INDEX(Config!$D$11:$D$20,MATCH(B375,Config!$A$11:$A$20,0)),"cadastro de custo incompleto em Config"),"pessoa sem custo-hora em Config"))</f>
        <v>23.2142857142857</v>
      </c>
      <c r="G375" s="25">
        <f>IF(A375="","",MONTH(A375))</f>
        <v>8</v>
      </c>
      <c r="H375" s="25">
        <f>IF(A375="","",YEAR(A375))</f>
        <v>2026</v>
      </c>
      <c r="I375" s="31" t="inlineStr">
        <is>
          <t>Não</t>
        </is>
      </c>
      <c r="J375" s="36">
        <f>IF(AND(B375&lt;&gt;"",E375&lt;&gt;"",NOT(ISNUMBER(F375))),1,0)</f>
        <v>0</v>
      </c>
    </row>
    <row r="376">
      <c r="A376" s="34" t="n">
        <v>46258</v>
      </c>
      <c r="B376" s="31" t="inlineStr">
        <is>
          <t>Diego</t>
        </is>
      </c>
      <c r="C376" s="31" t="inlineStr">
        <is>
          <t>Site novo · Loja Verde</t>
        </is>
      </c>
      <c r="D376" s="29" t="inlineStr">
        <is>
          <t>Wireframe</t>
        </is>
      </c>
      <c r="E376" s="35" t="n">
        <v>4</v>
      </c>
      <c r="F376" s="26">
        <f>IF(OR(B376="",E376=""),"",IFERROR(IF(ISNUMBER(INDEX(Config!$D$11:$D$20,MATCH(B376,Config!$A$11:$A$20,0))),E376*INDEX(Config!$D$11:$D$20,MATCH(B376,Config!$A$11:$A$20,0)),"cadastro de custo incompleto em Config"),"pessoa sem custo-hora em Config"))</f>
        <v>193.333333333333</v>
      </c>
      <c r="G376" s="25">
        <f>IF(A376="","",MONTH(A376))</f>
        <v>8</v>
      </c>
      <c r="H376" s="25">
        <f>IF(A376="","",YEAR(A376))</f>
        <v>2026</v>
      </c>
      <c r="I376" s="31" t="inlineStr">
        <is>
          <t>Sim</t>
        </is>
      </c>
      <c r="J376" s="36">
        <f>IF(AND(B376&lt;&gt;"",E376&lt;&gt;"",NOT(ISNUMBER(F376))),1,0)</f>
        <v>0</v>
      </c>
    </row>
    <row r="377">
      <c r="A377" s="34" t="n">
        <v>46258</v>
      </c>
      <c r="B377" s="31" t="inlineStr">
        <is>
          <t>Diego</t>
        </is>
      </c>
      <c r="C377" s="31" t="inlineStr">
        <is>
          <t>Comercial e propostas</t>
        </is>
      </c>
      <c r="D377" s="29" t="inlineStr">
        <is>
          <t>Reunião comercial</t>
        </is>
      </c>
      <c r="E377" s="35" t="n">
        <v>0.5</v>
      </c>
      <c r="F377" s="26">
        <f>IF(OR(B377="",E377=""),"",IFERROR(IF(ISNUMBER(INDEX(Config!$D$11:$D$20,MATCH(B377,Config!$A$11:$A$20,0))),E377*INDEX(Config!$D$11:$D$20,MATCH(B377,Config!$A$11:$A$20,0)),"cadastro de custo incompleto em Config"),"pessoa sem custo-hora em Config"))</f>
        <v>24.1666666666667</v>
      </c>
      <c r="G377" s="25">
        <f>IF(A377="","",MONTH(A377))</f>
        <v>8</v>
      </c>
      <c r="H377" s="25">
        <f>IF(A377="","",YEAR(A377))</f>
        <v>2026</v>
      </c>
      <c r="I377" s="31" t="inlineStr">
        <is>
          <t>Não</t>
        </is>
      </c>
      <c r="J377" s="36">
        <f>IF(AND(B377&lt;&gt;"",E377&lt;&gt;"",NOT(ISNUMBER(F377))),1,0)</f>
        <v>0</v>
      </c>
    </row>
    <row r="378">
      <c r="A378" s="34" t="n">
        <v>46258</v>
      </c>
      <c r="B378" s="31" t="inlineStr">
        <is>
          <t>Diego</t>
        </is>
      </c>
      <c r="C378" s="31" t="inlineStr">
        <is>
          <t>Gestão e reuniões</t>
        </is>
      </c>
      <c r="D378" s="29" t="inlineStr">
        <is>
          <t>Semanal</t>
        </is>
      </c>
      <c r="E378" s="35" t="n">
        <v>2</v>
      </c>
      <c r="F378" s="26">
        <f>IF(OR(B378="",E378=""),"",IFERROR(IF(ISNUMBER(INDEX(Config!$D$11:$D$20,MATCH(B378,Config!$A$11:$A$20,0))),E378*INDEX(Config!$D$11:$D$20,MATCH(B378,Config!$A$11:$A$20,0)),"cadastro de custo incompleto em Config"),"pessoa sem custo-hora em Config"))</f>
        <v>96.6666666666667</v>
      </c>
      <c r="G378" s="25">
        <f>IF(A378="","",MONTH(A378))</f>
        <v>8</v>
      </c>
      <c r="H378" s="25">
        <f>IF(A378="","",YEAR(A378))</f>
        <v>2026</v>
      </c>
      <c r="I378" s="31" t="inlineStr">
        <is>
          <t>Não</t>
        </is>
      </c>
      <c r="J378" s="36">
        <f>IF(AND(B378&lt;&gt;"",E378&lt;&gt;"",NOT(ISNUMBER(F378))),1,0)</f>
        <v>0</v>
      </c>
    </row>
    <row r="379">
      <c r="A379" s="34" t="n">
        <v>46259</v>
      </c>
      <c r="B379" s="31" t="inlineStr">
        <is>
          <t>Ana</t>
        </is>
      </c>
      <c r="C379" s="31" t="inlineStr">
        <is>
          <t>Site novo · Loja Verde</t>
        </is>
      </c>
      <c r="D379" s="29" t="inlineStr">
        <is>
          <t>Reunião com cliente</t>
        </is>
      </c>
      <c r="E379" s="35" t="n">
        <v>2.5</v>
      </c>
      <c r="F379" s="26">
        <f>IF(OR(B379="",E379=""),"",IFERROR(IF(ISNUMBER(INDEX(Config!$D$11:$D$20,MATCH(B379,Config!$A$11:$A$20,0))),E379*INDEX(Config!$D$11:$D$20,MATCH(B379,Config!$A$11:$A$20,0)),"cadastro de custo incompleto em Config"),"pessoa sem custo-hora em Config"))</f>
        <v>175</v>
      </c>
      <c r="G379" s="25">
        <f>IF(A379="","",MONTH(A379))</f>
        <v>8</v>
      </c>
      <c r="H379" s="25">
        <f>IF(A379="","",YEAR(A379))</f>
        <v>2026</v>
      </c>
      <c r="I379" s="31" t="inlineStr">
        <is>
          <t>Sim</t>
        </is>
      </c>
      <c r="J379" s="36">
        <f>IF(AND(B379&lt;&gt;"",E379&lt;&gt;"",NOT(ISNUMBER(F379))),1,0)</f>
        <v>0</v>
      </c>
    </row>
    <row r="380">
      <c r="A380" s="34" t="n">
        <v>46259</v>
      </c>
      <c r="B380" s="31" t="inlineStr">
        <is>
          <t>Ana</t>
        </is>
      </c>
      <c r="C380" s="31" t="inlineStr">
        <is>
          <t>Comercial e propostas</t>
        </is>
      </c>
      <c r="D380" s="29" t="inlineStr">
        <is>
          <t>Reunião comercial</t>
        </is>
      </c>
      <c r="E380" s="35" t="n">
        <v>3</v>
      </c>
      <c r="F380" s="26">
        <f>IF(OR(B380="",E380=""),"",IFERROR(IF(ISNUMBER(INDEX(Config!$D$11:$D$20,MATCH(B380,Config!$A$11:$A$20,0))),E380*INDEX(Config!$D$11:$D$20,MATCH(B380,Config!$A$11:$A$20,0)),"cadastro de custo incompleto em Config"),"pessoa sem custo-hora em Config"))</f>
        <v>210</v>
      </c>
      <c r="G380" s="25">
        <f>IF(A380="","",MONTH(A380))</f>
        <v>8</v>
      </c>
      <c r="H380" s="25">
        <f>IF(A380="","",YEAR(A380))</f>
        <v>2026</v>
      </c>
      <c r="I380" s="31" t="inlineStr">
        <is>
          <t>Não</t>
        </is>
      </c>
      <c r="J380" s="36">
        <f>IF(AND(B380&lt;&gt;"",E380&lt;&gt;"",NOT(ISNUMBER(F380))),1,0)</f>
        <v>0</v>
      </c>
    </row>
    <row r="381">
      <c r="A381" s="34" t="n">
        <v>46259</v>
      </c>
      <c r="B381" s="31" t="inlineStr">
        <is>
          <t>Ana</t>
        </is>
      </c>
      <c r="C381" s="31" t="inlineStr">
        <is>
          <t>Gestão e reuniões</t>
        </is>
      </c>
      <c r="D381" s="29" t="inlineStr">
        <is>
          <t>Financeiro</t>
        </is>
      </c>
      <c r="E381" s="35" t="n">
        <v>2.5</v>
      </c>
      <c r="F381" s="26">
        <f>IF(OR(B381="",E381=""),"",IFERROR(IF(ISNUMBER(INDEX(Config!$D$11:$D$20,MATCH(B381,Config!$A$11:$A$20,0))),E381*INDEX(Config!$D$11:$D$20,MATCH(B381,Config!$A$11:$A$20,0)),"cadastro de custo incompleto em Config"),"pessoa sem custo-hora em Config"))</f>
        <v>175</v>
      </c>
      <c r="G381" s="25">
        <f>IF(A381="","",MONTH(A381))</f>
        <v>8</v>
      </c>
      <c r="H381" s="25">
        <f>IF(A381="","",YEAR(A381))</f>
        <v>2026</v>
      </c>
      <c r="I381" s="31" t="inlineStr">
        <is>
          <t>Não</t>
        </is>
      </c>
      <c r="J381" s="36">
        <f>IF(AND(B381&lt;&gt;"",E381&lt;&gt;"",NOT(ISNUMBER(F381))),1,0)</f>
        <v>0</v>
      </c>
    </row>
    <row r="382">
      <c r="A382" s="34" t="n">
        <v>46259</v>
      </c>
      <c r="B382" s="31" t="inlineStr">
        <is>
          <t>Bruno</t>
        </is>
      </c>
      <c r="C382" s="31" t="inlineStr">
        <is>
          <t>Site novo · Loja Verde</t>
        </is>
      </c>
      <c r="D382" s="29" t="inlineStr">
        <is>
          <t>Textos</t>
        </is>
      </c>
      <c r="E382" s="35" t="n">
        <v>4</v>
      </c>
      <c r="F382" s="26">
        <f>IF(OR(B382="",E382=""),"",IFERROR(IF(ISNUMBER(INDEX(Config!$D$11:$D$20,MATCH(B382,Config!$A$11:$A$20,0))),E382*INDEX(Config!$D$11:$D$20,MATCH(B382,Config!$A$11:$A$20,0)),"cadastro de custo incompleto em Config"),"pessoa sem custo-hora em Config"))</f>
        <v>205.714285714286</v>
      </c>
      <c r="G382" s="25">
        <f>IF(A382="","",MONTH(A382))</f>
        <v>8</v>
      </c>
      <c r="H382" s="25">
        <f>IF(A382="","",YEAR(A382))</f>
        <v>2026</v>
      </c>
      <c r="I382" s="31" t="inlineStr">
        <is>
          <t>Sim</t>
        </is>
      </c>
      <c r="J382" s="36">
        <f>IF(AND(B382&lt;&gt;"",E382&lt;&gt;"",NOT(ISNUMBER(F382))),1,0)</f>
        <v>0</v>
      </c>
    </row>
    <row r="383">
      <c r="A383" s="34" t="n">
        <v>46259</v>
      </c>
      <c r="B383" s="31" t="inlineStr">
        <is>
          <t>Bruno</t>
        </is>
      </c>
      <c r="C383" s="31" t="inlineStr">
        <is>
          <t>Identidade visual · Padaria do Sol</t>
        </is>
      </c>
      <c r="D383" s="29" t="inlineStr">
        <is>
          <t>Manual</t>
        </is>
      </c>
      <c r="E383" s="35" t="n">
        <v>2</v>
      </c>
      <c r="F383" s="26">
        <f>IF(OR(B383="",E383=""),"",IFERROR(IF(ISNUMBER(INDEX(Config!$D$11:$D$20,MATCH(B383,Config!$A$11:$A$20,0))),E383*INDEX(Config!$D$11:$D$20,MATCH(B383,Config!$A$11:$A$20,0)),"cadastro de custo incompleto em Config"),"pessoa sem custo-hora em Config"))</f>
        <v>102.857142857143</v>
      </c>
      <c r="G383" s="25">
        <f>IF(A383="","",MONTH(A383))</f>
        <v>8</v>
      </c>
      <c r="H383" s="25">
        <f>IF(A383="","",YEAR(A383))</f>
        <v>2026</v>
      </c>
      <c r="I383" s="31" t="inlineStr">
        <is>
          <t>Sim</t>
        </is>
      </c>
      <c r="J383" s="36">
        <f>IF(AND(B383&lt;&gt;"",E383&lt;&gt;"",NOT(ISNUMBER(F383))),1,0)</f>
        <v>0</v>
      </c>
    </row>
    <row r="384">
      <c r="A384" s="34" t="n">
        <v>46259</v>
      </c>
      <c r="B384" s="31" t="inlineStr">
        <is>
          <t>Bruno</t>
        </is>
      </c>
      <c r="C384" s="31" t="inlineStr">
        <is>
          <t>Gestão e reuniões</t>
        </is>
      </c>
      <c r="D384" s="29" t="inlineStr">
        <is>
          <t>Financeiro</t>
        </is>
      </c>
      <c r="E384" s="35" t="n">
        <v>1</v>
      </c>
      <c r="F384" s="26">
        <f>IF(OR(B384="",E384=""),"",IFERROR(IF(ISNUMBER(INDEX(Config!$D$11:$D$20,MATCH(B384,Config!$A$11:$A$20,0))),E384*INDEX(Config!$D$11:$D$20,MATCH(B384,Config!$A$11:$A$20,0)),"cadastro de custo incompleto em Config"),"pessoa sem custo-hora em Config"))</f>
        <v>51.4285714285714</v>
      </c>
      <c r="G384" s="25">
        <f>IF(A384="","",MONTH(A384))</f>
        <v>8</v>
      </c>
      <c r="H384" s="25">
        <f>IF(A384="","",YEAR(A384))</f>
        <v>2026</v>
      </c>
      <c r="I384" s="31" t="inlineStr">
        <is>
          <t>Não</t>
        </is>
      </c>
      <c r="J384" s="36">
        <f>IF(AND(B384&lt;&gt;"",E384&lt;&gt;"",NOT(ISNUMBER(F384))),1,0)</f>
        <v>0</v>
      </c>
    </row>
    <row r="385">
      <c r="A385" s="34" t="n">
        <v>46259</v>
      </c>
      <c r="B385" s="31" t="inlineStr">
        <is>
          <t>Carla</t>
        </is>
      </c>
      <c r="C385" s="31" t="inlineStr">
        <is>
          <t>Site novo · Loja Verde</t>
        </is>
      </c>
      <c r="D385" s="29" t="inlineStr">
        <is>
          <t>Textos</t>
        </is>
      </c>
      <c r="E385" s="35" t="n">
        <v>3</v>
      </c>
      <c r="F385" s="26">
        <f>IF(OR(B385="",E385=""),"",IFERROR(IF(ISNUMBER(INDEX(Config!$D$11:$D$20,MATCH(B385,Config!$A$11:$A$20,0))),E385*INDEX(Config!$D$11:$D$20,MATCH(B385,Config!$A$11:$A$20,0)),"cadastro de custo incompleto em Config"),"pessoa sem custo-hora em Config"))</f>
        <v>139.285714285714</v>
      </c>
      <c r="G385" s="25">
        <f>IF(A385="","",MONTH(A385))</f>
        <v>8</v>
      </c>
      <c r="H385" s="25">
        <f>IF(A385="","",YEAR(A385))</f>
        <v>2026</v>
      </c>
      <c r="I385" s="31" t="inlineStr">
        <is>
          <t>Sim</t>
        </is>
      </c>
      <c r="J385" s="36">
        <f>IF(AND(B385&lt;&gt;"",E385&lt;&gt;"",NOT(ISNUMBER(F385))),1,0)</f>
        <v>0</v>
      </c>
    </row>
    <row r="386">
      <c r="A386" s="34" t="n">
        <v>46259</v>
      </c>
      <c r="B386" s="31" t="inlineStr">
        <is>
          <t>Carla</t>
        </is>
      </c>
      <c r="C386" s="31" t="inlineStr">
        <is>
          <t>Comercial e propostas</t>
        </is>
      </c>
      <c r="D386" s="29" t="inlineStr">
        <is>
          <t>Proposta</t>
        </is>
      </c>
      <c r="E386" s="35" t="n">
        <v>5</v>
      </c>
      <c r="F386" s="26">
        <f>IF(OR(B386="",E386=""),"",IFERROR(IF(ISNUMBER(INDEX(Config!$D$11:$D$20,MATCH(B386,Config!$A$11:$A$20,0))),E386*INDEX(Config!$D$11:$D$20,MATCH(B386,Config!$A$11:$A$20,0)),"cadastro de custo incompleto em Config"),"pessoa sem custo-hora em Config"))</f>
        <v>232.142857142857</v>
      </c>
      <c r="G386" s="25">
        <f>IF(A386="","",MONTH(A386))</f>
        <v>8</v>
      </c>
      <c r="H386" s="25">
        <f>IF(A386="","",YEAR(A386))</f>
        <v>2026</v>
      </c>
      <c r="I386" s="31" t="inlineStr">
        <is>
          <t>Não</t>
        </is>
      </c>
      <c r="J386" s="36">
        <f>IF(AND(B386&lt;&gt;"",E386&lt;&gt;"",NOT(ISNUMBER(F386))),1,0)</f>
        <v>0</v>
      </c>
    </row>
    <row r="387">
      <c r="A387" s="34" t="n">
        <v>46259</v>
      </c>
      <c r="B387" s="31" t="inlineStr">
        <is>
          <t>Carla</t>
        </is>
      </c>
      <c r="C387" s="31" t="inlineStr">
        <is>
          <t>Gestão e reuniões</t>
        </is>
      </c>
      <c r="D387" s="29" t="inlineStr">
        <is>
          <t>Semanal</t>
        </is>
      </c>
      <c r="E387" s="35" t="n">
        <v>1</v>
      </c>
      <c r="F387" s="26">
        <f>IF(OR(B387="",E387=""),"",IFERROR(IF(ISNUMBER(INDEX(Config!$D$11:$D$20,MATCH(B387,Config!$A$11:$A$20,0))),E387*INDEX(Config!$D$11:$D$20,MATCH(B387,Config!$A$11:$A$20,0)),"cadastro de custo incompleto em Config"),"pessoa sem custo-hora em Config"))</f>
        <v>46.4285714285714</v>
      </c>
      <c r="G387" s="25">
        <f>IF(A387="","",MONTH(A387))</f>
        <v>8</v>
      </c>
      <c r="H387" s="25">
        <f>IF(A387="","",YEAR(A387))</f>
        <v>2026</v>
      </c>
      <c r="I387" s="31" t="inlineStr">
        <is>
          <t>Não</t>
        </is>
      </c>
      <c r="J387" s="36">
        <f>IF(AND(B387&lt;&gt;"",E387&lt;&gt;"",NOT(ISNUMBER(F387))),1,0)</f>
        <v>0</v>
      </c>
    </row>
    <row r="388">
      <c r="A388" s="34" t="n">
        <v>46259</v>
      </c>
      <c r="B388" s="31" t="inlineStr">
        <is>
          <t>Diego</t>
        </is>
      </c>
      <c r="C388" s="31" t="inlineStr">
        <is>
          <t>Site novo · Loja Verde</t>
        </is>
      </c>
      <c r="D388" s="29" t="inlineStr">
        <is>
          <t>Layout</t>
        </is>
      </c>
      <c r="E388" s="35" t="n">
        <v>3.5</v>
      </c>
      <c r="F388" s="26">
        <f>IF(OR(B388="",E388=""),"",IFERROR(IF(ISNUMBER(INDEX(Config!$D$11:$D$20,MATCH(B388,Config!$A$11:$A$20,0))),E388*INDEX(Config!$D$11:$D$20,MATCH(B388,Config!$A$11:$A$20,0)),"cadastro de custo incompleto em Config"),"pessoa sem custo-hora em Config"))</f>
        <v>169.166666666667</v>
      </c>
      <c r="G388" s="25">
        <f>IF(A388="","",MONTH(A388))</f>
        <v>8</v>
      </c>
      <c r="H388" s="25">
        <f>IF(A388="","",YEAR(A388))</f>
        <v>2026</v>
      </c>
      <c r="I388" s="31" t="inlineStr">
        <is>
          <t>Sim</t>
        </is>
      </c>
      <c r="J388" s="36">
        <f>IF(AND(B388&lt;&gt;"",E388&lt;&gt;"",NOT(ISNUMBER(F388))),1,0)</f>
        <v>0</v>
      </c>
    </row>
    <row r="389">
      <c r="A389" s="34" t="n">
        <v>46259</v>
      </c>
      <c r="B389" s="31" t="inlineStr">
        <is>
          <t>Diego</t>
        </is>
      </c>
      <c r="C389" s="31" t="inlineStr">
        <is>
          <t>Comercial e propostas</t>
        </is>
      </c>
      <c r="D389" s="29" t="inlineStr">
        <is>
          <t>Reunião comercial</t>
        </is>
      </c>
      <c r="E389" s="35" t="n">
        <v>1</v>
      </c>
      <c r="F389" s="26">
        <f>IF(OR(B389="",E389=""),"",IFERROR(IF(ISNUMBER(INDEX(Config!$D$11:$D$20,MATCH(B389,Config!$A$11:$A$20,0))),E389*INDEX(Config!$D$11:$D$20,MATCH(B389,Config!$A$11:$A$20,0)),"cadastro de custo incompleto em Config"),"pessoa sem custo-hora em Config"))</f>
        <v>48.3333333333333</v>
      </c>
      <c r="G389" s="25">
        <f>IF(A389="","",MONTH(A389))</f>
        <v>8</v>
      </c>
      <c r="H389" s="25">
        <f>IF(A389="","",YEAR(A389))</f>
        <v>2026</v>
      </c>
      <c r="I389" s="31" t="inlineStr">
        <is>
          <t>Não</t>
        </is>
      </c>
      <c r="J389" s="36">
        <f>IF(AND(B389&lt;&gt;"",E389&lt;&gt;"",NOT(ISNUMBER(F389))),1,0)</f>
        <v>0</v>
      </c>
    </row>
    <row r="390">
      <c r="A390" s="34" t="n">
        <v>46259</v>
      </c>
      <c r="B390" s="31" t="inlineStr">
        <is>
          <t>Diego</t>
        </is>
      </c>
      <c r="C390" s="31" t="inlineStr">
        <is>
          <t>Gestão e reuniões</t>
        </is>
      </c>
      <c r="D390" s="29" t="inlineStr">
        <is>
          <t>Planejamento</t>
        </is>
      </c>
      <c r="E390" s="35" t="n">
        <v>3</v>
      </c>
      <c r="F390" s="26">
        <f>IF(OR(B390="",E390=""),"",IFERROR(IF(ISNUMBER(INDEX(Config!$D$11:$D$20,MATCH(B390,Config!$A$11:$A$20,0))),E390*INDEX(Config!$D$11:$D$20,MATCH(B390,Config!$A$11:$A$20,0)),"cadastro de custo incompleto em Config"),"pessoa sem custo-hora em Config"))</f>
        <v>145</v>
      </c>
      <c r="G390" s="25">
        <f>IF(A390="","",MONTH(A390))</f>
        <v>8</v>
      </c>
      <c r="H390" s="25">
        <f>IF(A390="","",YEAR(A390))</f>
        <v>2026</v>
      </c>
      <c r="I390" s="31" t="inlineStr">
        <is>
          <t>Não</t>
        </is>
      </c>
      <c r="J390" s="36">
        <f>IF(AND(B390&lt;&gt;"",E390&lt;&gt;"",NOT(ISNUMBER(F390))),1,0)</f>
        <v>0</v>
      </c>
    </row>
    <row r="391">
      <c r="A391" s="34" t="n">
        <v>46260</v>
      </c>
      <c r="B391" s="31" t="inlineStr">
        <is>
          <t>Ana</t>
        </is>
      </c>
      <c r="C391" s="31" t="inlineStr">
        <is>
          <t>Site novo · Loja Verde</t>
        </is>
      </c>
      <c r="D391" s="29" t="inlineStr">
        <is>
          <t>Wireframe</t>
        </is>
      </c>
      <c r="E391" s="35" t="n">
        <v>2</v>
      </c>
      <c r="F391" s="26">
        <f>IF(OR(B391="",E391=""),"",IFERROR(IF(ISNUMBER(INDEX(Config!$D$11:$D$20,MATCH(B391,Config!$A$11:$A$20,0))),E391*INDEX(Config!$D$11:$D$20,MATCH(B391,Config!$A$11:$A$20,0)),"cadastro de custo incompleto em Config"),"pessoa sem custo-hora em Config"))</f>
        <v>140</v>
      </c>
      <c r="G391" s="25">
        <f>IF(A391="","",MONTH(A391))</f>
        <v>8</v>
      </c>
      <c r="H391" s="25">
        <f>IF(A391="","",YEAR(A391))</f>
        <v>2026</v>
      </c>
      <c r="I391" s="31" t="inlineStr">
        <is>
          <t>Sim</t>
        </is>
      </c>
      <c r="J391" s="36">
        <f>IF(AND(B391&lt;&gt;"",E391&lt;&gt;"",NOT(ISNUMBER(F391))),1,0)</f>
        <v>0</v>
      </c>
    </row>
    <row r="392">
      <c r="A392" s="34" t="n">
        <v>46260</v>
      </c>
      <c r="B392" s="31" t="inlineStr">
        <is>
          <t>Ana</t>
        </is>
      </c>
      <c r="C392" s="31" t="inlineStr">
        <is>
          <t>Comercial e propostas</t>
        </is>
      </c>
      <c r="D392" s="29" t="inlineStr">
        <is>
          <t>Proposta</t>
        </is>
      </c>
      <c r="E392" s="35" t="n">
        <v>3.5</v>
      </c>
      <c r="F392" s="26">
        <f>IF(OR(B392="",E392=""),"",IFERROR(IF(ISNUMBER(INDEX(Config!$D$11:$D$20,MATCH(B392,Config!$A$11:$A$20,0))),E392*INDEX(Config!$D$11:$D$20,MATCH(B392,Config!$A$11:$A$20,0)),"cadastro de custo incompleto em Config"),"pessoa sem custo-hora em Config"))</f>
        <v>245</v>
      </c>
      <c r="G392" s="25">
        <f>IF(A392="","",MONTH(A392))</f>
        <v>8</v>
      </c>
      <c r="H392" s="25">
        <f>IF(A392="","",YEAR(A392))</f>
        <v>2026</v>
      </c>
      <c r="I392" s="31" t="inlineStr">
        <is>
          <t>Não</t>
        </is>
      </c>
      <c r="J392" s="36">
        <f>IF(AND(B392&lt;&gt;"",E392&lt;&gt;"",NOT(ISNUMBER(F392))),1,0)</f>
        <v>0</v>
      </c>
    </row>
    <row r="393">
      <c r="A393" s="34" t="n">
        <v>46260</v>
      </c>
      <c r="B393" s="31" t="inlineStr">
        <is>
          <t>Ana</t>
        </is>
      </c>
      <c r="C393" s="31" t="inlineStr">
        <is>
          <t>Gestão e reuniões</t>
        </is>
      </c>
      <c r="D393" s="29" t="inlineStr">
        <is>
          <t>Financeiro</t>
        </is>
      </c>
      <c r="E393" s="35" t="n">
        <v>4</v>
      </c>
      <c r="F393" s="26">
        <f>IF(OR(B393="",E393=""),"",IFERROR(IF(ISNUMBER(INDEX(Config!$D$11:$D$20,MATCH(B393,Config!$A$11:$A$20,0))),E393*INDEX(Config!$D$11:$D$20,MATCH(B393,Config!$A$11:$A$20,0)),"cadastro de custo incompleto em Config"),"pessoa sem custo-hora em Config"))</f>
        <v>280</v>
      </c>
      <c r="G393" s="25">
        <f>IF(A393="","",MONTH(A393))</f>
        <v>8</v>
      </c>
      <c r="H393" s="25">
        <f>IF(A393="","",YEAR(A393))</f>
        <v>2026</v>
      </c>
      <c r="I393" s="31" t="inlineStr">
        <is>
          <t>Não</t>
        </is>
      </c>
      <c r="J393" s="36">
        <f>IF(AND(B393&lt;&gt;"",E393&lt;&gt;"",NOT(ISNUMBER(F393))),1,0)</f>
        <v>0</v>
      </c>
    </row>
    <row r="394">
      <c r="A394" s="34" t="n">
        <v>46260</v>
      </c>
      <c r="B394" s="31" t="inlineStr">
        <is>
          <t>Bruno</t>
        </is>
      </c>
      <c r="C394" s="31" t="inlineStr">
        <is>
          <t>Site novo · Loja Verde</t>
        </is>
      </c>
      <c r="D394" s="29" t="inlineStr">
        <is>
          <t>Layout</t>
        </is>
      </c>
      <c r="E394" s="35" t="n">
        <v>4.5</v>
      </c>
      <c r="F394" s="26">
        <f>IF(OR(B394="",E394=""),"",IFERROR(IF(ISNUMBER(INDEX(Config!$D$11:$D$20,MATCH(B394,Config!$A$11:$A$20,0))),E394*INDEX(Config!$D$11:$D$20,MATCH(B394,Config!$A$11:$A$20,0)),"cadastro de custo incompleto em Config"),"pessoa sem custo-hora em Config"))</f>
        <v>231.428571428571</v>
      </c>
      <c r="G394" s="25">
        <f>IF(A394="","",MONTH(A394))</f>
        <v>8</v>
      </c>
      <c r="H394" s="25">
        <f>IF(A394="","",YEAR(A394))</f>
        <v>2026</v>
      </c>
      <c r="I394" s="31" t="inlineStr">
        <is>
          <t>Sim</t>
        </is>
      </c>
      <c r="J394" s="36">
        <f>IF(AND(B394&lt;&gt;"",E394&lt;&gt;"",NOT(ISNUMBER(F394))),1,0)</f>
        <v>0</v>
      </c>
    </row>
    <row r="395">
      <c r="A395" s="34" t="n">
        <v>46260</v>
      </c>
      <c r="B395" s="31" t="inlineStr">
        <is>
          <t>Bruno</t>
        </is>
      </c>
      <c r="C395" s="31" t="inlineStr">
        <is>
          <t>Identidade visual · Padaria do Sol</t>
        </is>
      </c>
      <c r="D395" s="29" t="inlineStr">
        <is>
          <t>Manual</t>
        </is>
      </c>
      <c r="E395" s="35" t="n">
        <v>1.5</v>
      </c>
      <c r="F395" s="26">
        <f>IF(OR(B395="",E395=""),"",IFERROR(IF(ISNUMBER(INDEX(Config!$D$11:$D$20,MATCH(B395,Config!$A$11:$A$20,0))),E395*INDEX(Config!$D$11:$D$20,MATCH(B395,Config!$A$11:$A$20,0)),"cadastro de custo incompleto em Config"),"pessoa sem custo-hora em Config"))</f>
        <v>77.1428571428571</v>
      </c>
      <c r="G395" s="25">
        <f>IF(A395="","",MONTH(A395))</f>
        <v>8</v>
      </c>
      <c r="H395" s="25">
        <f>IF(A395="","",YEAR(A395))</f>
        <v>2026</v>
      </c>
      <c r="I395" s="31" t="inlineStr">
        <is>
          <t>Sim</t>
        </is>
      </c>
      <c r="J395" s="36">
        <f>IF(AND(B395&lt;&gt;"",E395&lt;&gt;"",NOT(ISNUMBER(F395))),1,0)</f>
        <v>0</v>
      </c>
    </row>
    <row r="396">
      <c r="A396" s="34" t="n">
        <v>46260</v>
      </c>
      <c r="B396" s="31" t="inlineStr">
        <is>
          <t>Bruno</t>
        </is>
      </c>
      <c r="C396" s="31" t="inlineStr">
        <is>
          <t>Gestão e reuniões</t>
        </is>
      </c>
      <c r="D396" s="29" t="inlineStr">
        <is>
          <t>Financeiro</t>
        </is>
      </c>
      <c r="E396" s="35" t="n">
        <v>1</v>
      </c>
      <c r="F396" s="26">
        <f>IF(OR(B396="",E396=""),"",IFERROR(IF(ISNUMBER(INDEX(Config!$D$11:$D$20,MATCH(B396,Config!$A$11:$A$20,0))),E396*INDEX(Config!$D$11:$D$20,MATCH(B396,Config!$A$11:$A$20,0)),"cadastro de custo incompleto em Config"),"pessoa sem custo-hora em Config"))</f>
        <v>51.4285714285714</v>
      </c>
      <c r="G396" s="25">
        <f>IF(A396="","",MONTH(A396))</f>
        <v>8</v>
      </c>
      <c r="H396" s="25">
        <f>IF(A396="","",YEAR(A396))</f>
        <v>2026</v>
      </c>
      <c r="I396" s="31" t="inlineStr">
        <is>
          <t>Não</t>
        </is>
      </c>
      <c r="J396" s="36">
        <f>IF(AND(B396&lt;&gt;"",E396&lt;&gt;"",NOT(ISNUMBER(F396))),1,0)</f>
        <v>0</v>
      </c>
    </row>
    <row r="397">
      <c r="A397" s="34" t="n">
        <v>46260</v>
      </c>
      <c r="B397" s="31" t="inlineStr">
        <is>
          <t>Carla</t>
        </is>
      </c>
      <c r="C397" s="31" t="inlineStr">
        <is>
          <t>Site novo · Loja Verde</t>
        </is>
      </c>
      <c r="D397" s="29" t="inlineStr">
        <is>
          <t>Layout</t>
        </is>
      </c>
      <c r="E397" s="35" t="n">
        <v>2.5</v>
      </c>
      <c r="F397" s="26">
        <f>IF(OR(B397="",E397=""),"",IFERROR(IF(ISNUMBER(INDEX(Config!$D$11:$D$20,MATCH(B397,Config!$A$11:$A$20,0))),E397*INDEX(Config!$D$11:$D$20,MATCH(B397,Config!$A$11:$A$20,0)),"cadastro de custo incompleto em Config"),"pessoa sem custo-hora em Config"))</f>
        <v>116.071428571429</v>
      </c>
      <c r="G397" s="25">
        <f>IF(A397="","",MONTH(A397))</f>
        <v>8</v>
      </c>
      <c r="H397" s="25">
        <f>IF(A397="","",YEAR(A397))</f>
        <v>2026</v>
      </c>
      <c r="I397" s="31" t="inlineStr">
        <is>
          <t>Sim</t>
        </is>
      </c>
      <c r="J397" s="36">
        <f>IF(AND(B397&lt;&gt;"",E397&lt;&gt;"",NOT(ISNUMBER(F397))),1,0)</f>
        <v>0</v>
      </c>
    </row>
    <row r="398">
      <c r="A398" s="34" t="n">
        <v>46260</v>
      </c>
      <c r="B398" s="31" t="inlineStr">
        <is>
          <t>Carla</t>
        </is>
      </c>
      <c r="C398" s="31" t="inlineStr">
        <is>
          <t>Comercial e propostas</t>
        </is>
      </c>
      <c r="D398" s="29" t="inlineStr">
        <is>
          <t>Proposta</t>
        </is>
      </c>
      <c r="E398" s="35" t="n">
        <v>3.5</v>
      </c>
      <c r="F398" s="26">
        <f>IF(OR(B398="",E398=""),"",IFERROR(IF(ISNUMBER(INDEX(Config!$D$11:$D$20,MATCH(B398,Config!$A$11:$A$20,0))),E398*INDEX(Config!$D$11:$D$20,MATCH(B398,Config!$A$11:$A$20,0)),"cadastro de custo incompleto em Config"),"pessoa sem custo-hora em Config"))</f>
        <v>162.5</v>
      </c>
      <c r="G398" s="25">
        <f>IF(A398="","",MONTH(A398))</f>
        <v>8</v>
      </c>
      <c r="H398" s="25">
        <f>IF(A398="","",YEAR(A398))</f>
        <v>2026</v>
      </c>
      <c r="I398" s="31" t="inlineStr">
        <is>
          <t>Não</t>
        </is>
      </c>
      <c r="J398" s="36">
        <f>IF(AND(B398&lt;&gt;"",E398&lt;&gt;"",NOT(ISNUMBER(F398))),1,0)</f>
        <v>0</v>
      </c>
    </row>
    <row r="399">
      <c r="A399" s="34" t="n">
        <v>46260</v>
      </c>
      <c r="B399" s="31" t="inlineStr">
        <is>
          <t>Carla</t>
        </is>
      </c>
      <c r="C399" s="31" t="inlineStr">
        <is>
          <t>Gestão e reuniões</t>
        </is>
      </c>
      <c r="D399" s="29" t="inlineStr">
        <is>
          <t>Planejamento</t>
        </is>
      </c>
      <c r="E399" s="35" t="n">
        <v>1</v>
      </c>
      <c r="F399" s="26">
        <f>IF(OR(B399="",E399=""),"",IFERROR(IF(ISNUMBER(INDEX(Config!$D$11:$D$20,MATCH(B399,Config!$A$11:$A$20,0))),E399*INDEX(Config!$D$11:$D$20,MATCH(B399,Config!$A$11:$A$20,0)),"cadastro de custo incompleto em Config"),"pessoa sem custo-hora em Config"))</f>
        <v>46.4285714285714</v>
      </c>
      <c r="G399" s="25">
        <f>IF(A399="","",MONTH(A399))</f>
        <v>8</v>
      </c>
      <c r="H399" s="25">
        <f>IF(A399="","",YEAR(A399))</f>
        <v>2026</v>
      </c>
      <c r="I399" s="31" t="inlineStr">
        <is>
          <t>Não</t>
        </is>
      </c>
      <c r="J399" s="36">
        <f>IF(AND(B399&lt;&gt;"",E399&lt;&gt;"",NOT(ISNUMBER(F399))),1,0)</f>
        <v>0</v>
      </c>
    </row>
    <row r="400">
      <c r="A400" s="34" t="n">
        <v>46260</v>
      </c>
      <c r="B400" s="31" t="inlineStr">
        <is>
          <t>Diego</t>
        </is>
      </c>
      <c r="C400" s="31" t="inlineStr">
        <is>
          <t>Site novo · Loja Verde</t>
        </is>
      </c>
      <c r="D400" s="29" t="inlineStr">
        <is>
          <t>Wireframe</t>
        </is>
      </c>
      <c r="E400" s="35" t="n">
        <v>4</v>
      </c>
      <c r="F400" s="26">
        <f>IF(OR(B400="",E400=""),"",IFERROR(IF(ISNUMBER(INDEX(Config!$D$11:$D$20,MATCH(B400,Config!$A$11:$A$20,0))),E400*INDEX(Config!$D$11:$D$20,MATCH(B400,Config!$A$11:$A$20,0)),"cadastro de custo incompleto em Config"),"pessoa sem custo-hora em Config"))</f>
        <v>193.333333333333</v>
      </c>
      <c r="G400" s="25">
        <f>IF(A400="","",MONTH(A400))</f>
        <v>8</v>
      </c>
      <c r="H400" s="25">
        <f>IF(A400="","",YEAR(A400))</f>
        <v>2026</v>
      </c>
      <c r="I400" s="31" t="inlineStr">
        <is>
          <t>Sim</t>
        </is>
      </c>
      <c r="J400" s="36">
        <f>IF(AND(B400&lt;&gt;"",E400&lt;&gt;"",NOT(ISNUMBER(F400))),1,0)</f>
        <v>0</v>
      </c>
    </row>
    <row r="401">
      <c r="A401" s="34" t="n">
        <v>46260</v>
      </c>
      <c r="B401" s="31" t="inlineStr">
        <is>
          <t>Diego</t>
        </is>
      </c>
      <c r="C401" s="31" t="inlineStr">
        <is>
          <t>Comercial e propostas</t>
        </is>
      </c>
      <c r="D401" s="29" t="inlineStr">
        <is>
          <t>Proposta</t>
        </is>
      </c>
      <c r="E401" s="35" t="n">
        <v>0.5</v>
      </c>
      <c r="F401" s="26">
        <f>IF(OR(B401="",E401=""),"",IFERROR(IF(ISNUMBER(INDEX(Config!$D$11:$D$20,MATCH(B401,Config!$A$11:$A$20,0))),E401*INDEX(Config!$D$11:$D$20,MATCH(B401,Config!$A$11:$A$20,0)),"cadastro de custo incompleto em Config"),"pessoa sem custo-hora em Config"))</f>
        <v>24.1666666666667</v>
      </c>
      <c r="G401" s="25">
        <f>IF(A401="","",MONTH(A401))</f>
        <v>8</v>
      </c>
      <c r="H401" s="25">
        <f>IF(A401="","",YEAR(A401))</f>
        <v>2026</v>
      </c>
      <c r="I401" s="31" t="inlineStr">
        <is>
          <t>Não</t>
        </is>
      </c>
      <c r="J401" s="36">
        <f>IF(AND(B401&lt;&gt;"",E401&lt;&gt;"",NOT(ISNUMBER(F401))),1,0)</f>
        <v>0</v>
      </c>
    </row>
    <row r="402">
      <c r="A402" s="34" t="n">
        <v>46260</v>
      </c>
      <c r="B402" s="31" t="inlineStr">
        <is>
          <t>Diego</t>
        </is>
      </c>
      <c r="C402" s="31" t="inlineStr">
        <is>
          <t>Gestão e reuniões</t>
        </is>
      </c>
      <c r="D402" s="29" t="inlineStr">
        <is>
          <t>Semanal</t>
        </is>
      </c>
      <c r="E402" s="35" t="n">
        <v>1.5</v>
      </c>
      <c r="F402" s="26">
        <f>IF(OR(B402="",E402=""),"",IFERROR(IF(ISNUMBER(INDEX(Config!$D$11:$D$20,MATCH(B402,Config!$A$11:$A$20,0))),E402*INDEX(Config!$D$11:$D$20,MATCH(B402,Config!$A$11:$A$20,0)),"cadastro de custo incompleto em Config"),"pessoa sem custo-hora em Config"))</f>
        <v>72.5</v>
      </c>
      <c r="G402" s="25">
        <f>IF(A402="","",MONTH(A402))</f>
        <v>8</v>
      </c>
      <c r="H402" s="25">
        <f>IF(A402="","",YEAR(A402))</f>
        <v>2026</v>
      </c>
      <c r="I402" s="31" t="inlineStr">
        <is>
          <t>Não</t>
        </is>
      </c>
      <c r="J402" s="36">
        <f>IF(AND(B402&lt;&gt;"",E402&lt;&gt;"",NOT(ISNUMBER(F402))),1,0)</f>
        <v>0</v>
      </c>
    </row>
    <row r="403">
      <c r="A403" s="34" t="n">
        <v>46261</v>
      </c>
      <c r="B403" s="31" t="inlineStr">
        <is>
          <t>Ana</t>
        </is>
      </c>
      <c r="C403" s="31" t="inlineStr">
        <is>
          <t>Site novo · Loja Verde</t>
        </is>
      </c>
      <c r="D403" s="29" t="inlineStr">
        <is>
          <t>Textos</t>
        </is>
      </c>
      <c r="E403" s="35" t="n">
        <v>2</v>
      </c>
      <c r="F403" s="26">
        <f>IF(OR(B403="",E403=""),"",IFERROR(IF(ISNUMBER(INDEX(Config!$D$11:$D$20,MATCH(B403,Config!$A$11:$A$20,0))),E403*INDEX(Config!$D$11:$D$20,MATCH(B403,Config!$A$11:$A$20,0)),"cadastro de custo incompleto em Config"),"pessoa sem custo-hora em Config"))</f>
        <v>140</v>
      </c>
      <c r="G403" s="25">
        <f>IF(A403="","",MONTH(A403))</f>
        <v>8</v>
      </c>
      <c r="H403" s="25">
        <f>IF(A403="","",YEAR(A403))</f>
        <v>2026</v>
      </c>
      <c r="I403" s="31" t="inlineStr">
        <is>
          <t>Sim</t>
        </is>
      </c>
      <c r="J403" s="36">
        <f>IF(AND(B403&lt;&gt;"",E403&lt;&gt;"",NOT(ISNUMBER(F403))),1,0)</f>
        <v>0</v>
      </c>
    </row>
    <row r="404">
      <c r="A404" s="34" t="n">
        <v>46261</v>
      </c>
      <c r="B404" s="31" t="inlineStr">
        <is>
          <t>Ana</t>
        </is>
      </c>
      <c r="C404" s="31" t="inlineStr">
        <is>
          <t>Comercial e propostas</t>
        </is>
      </c>
      <c r="D404" s="29" t="inlineStr">
        <is>
          <t>Proposta</t>
        </is>
      </c>
      <c r="E404" s="35" t="n">
        <v>3</v>
      </c>
      <c r="F404" s="26">
        <f>IF(OR(B404="",E404=""),"",IFERROR(IF(ISNUMBER(INDEX(Config!$D$11:$D$20,MATCH(B404,Config!$A$11:$A$20,0))),E404*INDEX(Config!$D$11:$D$20,MATCH(B404,Config!$A$11:$A$20,0)),"cadastro de custo incompleto em Config"),"pessoa sem custo-hora em Config"))</f>
        <v>210</v>
      </c>
      <c r="G404" s="25">
        <f>IF(A404="","",MONTH(A404))</f>
        <v>8</v>
      </c>
      <c r="H404" s="25">
        <f>IF(A404="","",YEAR(A404))</f>
        <v>2026</v>
      </c>
      <c r="I404" s="31" t="inlineStr">
        <is>
          <t>Não</t>
        </is>
      </c>
      <c r="J404" s="36">
        <f>IF(AND(B404&lt;&gt;"",E404&lt;&gt;"",NOT(ISNUMBER(F404))),1,0)</f>
        <v>0</v>
      </c>
    </row>
    <row r="405">
      <c r="A405" s="34" t="n">
        <v>46261</v>
      </c>
      <c r="B405" s="31" t="inlineStr">
        <is>
          <t>Ana</t>
        </is>
      </c>
      <c r="C405" s="31" t="inlineStr">
        <is>
          <t>Gestão e reuniões</t>
        </is>
      </c>
      <c r="D405" s="29" t="inlineStr">
        <is>
          <t>Planejamento</t>
        </is>
      </c>
      <c r="E405" s="35" t="n">
        <v>4</v>
      </c>
      <c r="F405" s="26">
        <f>IF(OR(B405="",E405=""),"",IFERROR(IF(ISNUMBER(INDEX(Config!$D$11:$D$20,MATCH(B405,Config!$A$11:$A$20,0))),E405*INDEX(Config!$D$11:$D$20,MATCH(B405,Config!$A$11:$A$20,0)),"cadastro de custo incompleto em Config"),"pessoa sem custo-hora em Config"))</f>
        <v>280</v>
      </c>
      <c r="G405" s="25">
        <f>IF(A405="","",MONTH(A405))</f>
        <v>8</v>
      </c>
      <c r="H405" s="25">
        <f>IF(A405="","",YEAR(A405))</f>
        <v>2026</v>
      </c>
      <c r="I405" s="31" t="inlineStr">
        <is>
          <t>Não</t>
        </is>
      </c>
      <c r="J405" s="36">
        <f>IF(AND(B405&lt;&gt;"",E405&lt;&gt;"",NOT(ISNUMBER(F405))),1,0)</f>
        <v>0</v>
      </c>
    </row>
    <row r="406">
      <c r="A406" s="34" t="n">
        <v>46261</v>
      </c>
      <c r="B406" s="31" t="inlineStr">
        <is>
          <t>Bruno</t>
        </is>
      </c>
      <c r="C406" s="31" t="inlineStr">
        <is>
          <t>Site novo · Loja Verde</t>
        </is>
      </c>
      <c r="D406" s="29" t="inlineStr">
        <is>
          <t>Reunião com cliente</t>
        </is>
      </c>
      <c r="E406" s="35" t="n">
        <v>4</v>
      </c>
      <c r="F406" s="26">
        <f>IF(OR(B406="",E406=""),"",IFERROR(IF(ISNUMBER(INDEX(Config!$D$11:$D$20,MATCH(B406,Config!$A$11:$A$20,0))),E406*INDEX(Config!$D$11:$D$20,MATCH(B406,Config!$A$11:$A$20,0)),"cadastro de custo incompleto em Config"),"pessoa sem custo-hora em Config"))</f>
        <v>205.714285714286</v>
      </c>
      <c r="G406" s="25">
        <f>IF(A406="","",MONTH(A406))</f>
        <v>8</v>
      </c>
      <c r="H406" s="25">
        <f>IF(A406="","",YEAR(A406))</f>
        <v>2026</v>
      </c>
      <c r="I406" s="31" t="inlineStr">
        <is>
          <t>Sim</t>
        </is>
      </c>
      <c r="J406" s="36">
        <f>IF(AND(B406&lt;&gt;"",E406&lt;&gt;"",NOT(ISNUMBER(F406))),1,0)</f>
        <v>0</v>
      </c>
    </row>
    <row r="407">
      <c r="A407" s="34" t="n">
        <v>46261</v>
      </c>
      <c r="B407" s="31" t="inlineStr">
        <is>
          <t>Bruno</t>
        </is>
      </c>
      <c r="C407" s="31" t="inlineStr">
        <is>
          <t>Identidade visual · Padaria do Sol</t>
        </is>
      </c>
      <c r="D407" s="29" t="inlineStr">
        <is>
          <t>Manual</t>
        </is>
      </c>
      <c r="E407" s="35" t="n">
        <v>2</v>
      </c>
      <c r="F407" s="26">
        <f>IF(OR(B407="",E407=""),"",IFERROR(IF(ISNUMBER(INDEX(Config!$D$11:$D$20,MATCH(B407,Config!$A$11:$A$20,0))),E407*INDEX(Config!$D$11:$D$20,MATCH(B407,Config!$A$11:$A$20,0)),"cadastro de custo incompleto em Config"),"pessoa sem custo-hora em Config"))</f>
        <v>102.857142857143</v>
      </c>
      <c r="G407" s="25">
        <f>IF(A407="","",MONTH(A407))</f>
        <v>8</v>
      </c>
      <c r="H407" s="25">
        <f>IF(A407="","",YEAR(A407))</f>
        <v>2026</v>
      </c>
      <c r="I407" s="31" t="inlineStr">
        <is>
          <t>Sim</t>
        </is>
      </c>
      <c r="J407" s="36">
        <f>IF(AND(B407&lt;&gt;"",E407&lt;&gt;"",NOT(ISNUMBER(F407))),1,0)</f>
        <v>0</v>
      </c>
    </row>
    <row r="408">
      <c r="A408" s="34" t="n">
        <v>46261</v>
      </c>
      <c r="B408" s="31" t="inlineStr">
        <is>
          <t>Bruno</t>
        </is>
      </c>
      <c r="C408" s="31" t="inlineStr">
        <is>
          <t>Gestão e reuniões</t>
        </is>
      </c>
      <c r="D408" s="29" t="inlineStr">
        <is>
          <t>Semanal</t>
        </is>
      </c>
      <c r="E408" s="35" t="n">
        <v>1</v>
      </c>
      <c r="F408" s="26">
        <f>IF(OR(B408="",E408=""),"",IFERROR(IF(ISNUMBER(INDEX(Config!$D$11:$D$20,MATCH(B408,Config!$A$11:$A$20,0))),E408*INDEX(Config!$D$11:$D$20,MATCH(B408,Config!$A$11:$A$20,0)),"cadastro de custo incompleto em Config"),"pessoa sem custo-hora em Config"))</f>
        <v>51.4285714285714</v>
      </c>
      <c r="G408" s="25">
        <f>IF(A408="","",MONTH(A408))</f>
        <v>8</v>
      </c>
      <c r="H408" s="25">
        <f>IF(A408="","",YEAR(A408))</f>
        <v>2026</v>
      </c>
      <c r="I408" s="31" t="inlineStr">
        <is>
          <t>Não</t>
        </is>
      </c>
      <c r="J408" s="36">
        <f>IF(AND(B408&lt;&gt;"",E408&lt;&gt;"",NOT(ISNUMBER(F408))),1,0)</f>
        <v>0</v>
      </c>
    </row>
    <row r="409">
      <c r="A409" s="34" t="n">
        <v>46261</v>
      </c>
      <c r="B409" s="31" t="inlineStr">
        <is>
          <t>Carla</t>
        </is>
      </c>
      <c r="C409" s="31" t="inlineStr">
        <is>
          <t>Site novo · Loja Verde</t>
        </is>
      </c>
      <c r="D409" s="29" t="inlineStr">
        <is>
          <t>Wireframe</t>
        </is>
      </c>
      <c r="E409" s="35" t="n">
        <v>2</v>
      </c>
      <c r="F409" s="26">
        <f>IF(OR(B409="",E409=""),"",IFERROR(IF(ISNUMBER(INDEX(Config!$D$11:$D$20,MATCH(B409,Config!$A$11:$A$20,0))),E409*INDEX(Config!$D$11:$D$20,MATCH(B409,Config!$A$11:$A$20,0)),"cadastro de custo incompleto em Config"),"pessoa sem custo-hora em Config"))</f>
        <v>92.8571428571429</v>
      </c>
      <c r="G409" s="25">
        <f>IF(A409="","",MONTH(A409))</f>
        <v>8</v>
      </c>
      <c r="H409" s="25">
        <f>IF(A409="","",YEAR(A409))</f>
        <v>2026</v>
      </c>
      <c r="I409" s="31" t="inlineStr">
        <is>
          <t>Sim</t>
        </is>
      </c>
      <c r="J409" s="36">
        <f>IF(AND(B409&lt;&gt;"",E409&lt;&gt;"",NOT(ISNUMBER(F409))),1,0)</f>
        <v>0</v>
      </c>
    </row>
    <row r="410">
      <c r="A410" s="34" t="n">
        <v>46261</v>
      </c>
      <c r="B410" s="31" t="inlineStr">
        <is>
          <t>Carla</t>
        </is>
      </c>
      <c r="C410" s="31" t="inlineStr">
        <is>
          <t>Comercial e propostas</t>
        </is>
      </c>
      <c r="D410" s="29" t="inlineStr">
        <is>
          <t>Reunião comercial</t>
        </is>
      </c>
      <c r="E410" s="35" t="n">
        <v>5</v>
      </c>
      <c r="F410" s="26">
        <f>IF(OR(B410="",E410=""),"",IFERROR(IF(ISNUMBER(INDEX(Config!$D$11:$D$20,MATCH(B410,Config!$A$11:$A$20,0))),E410*INDEX(Config!$D$11:$D$20,MATCH(B410,Config!$A$11:$A$20,0)),"cadastro de custo incompleto em Config"),"pessoa sem custo-hora em Config"))</f>
        <v>232.142857142857</v>
      </c>
      <c r="G410" s="25">
        <f>IF(A410="","",MONTH(A410))</f>
        <v>8</v>
      </c>
      <c r="H410" s="25">
        <f>IF(A410="","",YEAR(A410))</f>
        <v>2026</v>
      </c>
      <c r="I410" s="31" t="inlineStr">
        <is>
          <t>Não</t>
        </is>
      </c>
      <c r="J410" s="36">
        <f>IF(AND(B410&lt;&gt;"",E410&lt;&gt;"",NOT(ISNUMBER(F410))),1,0)</f>
        <v>0</v>
      </c>
    </row>
    <row r="411">
      <c r="A411" s="34" t="n">
        <v>46261</v>
      </c>
      <c r="B411" s="31" t="inlineStr">
        <is>
          <t>Carla</t>
        </is>
      </c>
      <c r="C411" s="31" t="inlineStr">
        <is>
          <t>Gestão e reuniões</t>
        </is>
      </c>
      <c r="D411" s="29" t="inlineStr">
        <is>
          <t>Planejamento</t>
        </is>
      </c>
      <c r="E411" s="35" t="n">
        <v>1</v>
      </c>
      <c r="F411" s="26">
        <f>IF(OR(B411="",E411=""),"",IFERROR(IF(ISNUMBER(INDEX(Config!$D$11:$D$20,MATCH(B411,Config!$A$11:$A$20,0))),E411*INDEX(Config!$D$11:$D$20,MATCH(B411,Config!$A$11:$A$20,0)),"cadastro de custo incompleto em Config"),"pessoa sem custo-hora em Config"))</f>
        <v>46.4285714285714</v>
      </c>
      <c r="G411" s="25">
        <f>IF(A411="","",MONTH(A411))</f>
        <v>8</v>
      </c>
      <c r="H411" s="25">
        <f>IF(A411="","",YEAR(A411))</f>
        <v>2026</v>
      </c>
      <c r="I411" s="31" t="inlineStr">
        <is>
          <t>Não</t>
        </is>
      </c>
      <c r="J411" s="36">
        <f>IF(AND(B411&lt;&gt;"",E411&lt;&gt;"",NOT(ISNUMBER(F411))),1,0)</f>
        <v>0</v>
      </c>
    </row>
    <row r="412">
      <c r="A412" s="34" t="n">
        <v>46261</v>
      </c>
      <c r="B412" s="31" t="inlineStr">
        <is>
          <t>Diego</t>
        </is>
      </c>
      <c r="C412" s="31" t="inlineStr">
        <is>
          <t>Site novo · Loja Verde</t>
        </is>
      </c>
      <c r="D412" s="29" t="inlineStr">
        <is>
          <t>Layout</t>
        </is>
      </c>
      <c r="E412" s="35" t="n">
        <v>5</v>
      </c>
      <c r="F412" s="26">
        <f>IF(OR(B412="",E412=""),"",IFERROR(IF(ISNUMBER(INDEX(Config!$D$11:$D$20,MATCH(B412,Config!$A$11:$A$20,0))),E412*INDEX(Config!$D$11:$D$20,MATCH(B412,Config!$A$11:$A$20,0)),"cadastro de custo incompleto em Config"),"pessoa sem custo-hora em Config"))</f>
        <v>241.666666666667</v>
      </c>
      <c r="G412" s="25">
        <f>IF(A412="","",MONTH(A412))</f>
        <v>8</v>
      </c>
      <c r="H412" s="25">
        <f>IF(A412="","",YEAR(A412))</f>
        <v>2026</v>
      </c>
      <c r="I412" s="31" t="inlineStr">
        <is>
          <t>Sim</t>
        </is>
      </c>
      <c r="J412" s="36">
        <f>IF(AND(B412&lt;&gt;"",E412&lt;&gt;"",NOT(ISNUMBER(F412))),1,0)</f>
        <v>0</v>
      </c>
    </row>
    <row r="413">
      <c r="A413" s="34" t="n">
        <v>46261</v>
      </c>
      <c r="B413" s="31" t="inlineStr">
        <is>
          <t>Diego</t>
        </is>
      </c>
      <c r="C413" s="31" t="inlineStr">
        <is>
          <t>Comercial e propostas</t>
        </is>
      </c>
      <c r="D413" s="29" t="inlineStr">
        <is>
          <t>Reunião comercial</t>
        </is>
      </c>
      <c r="E413" s="35" t="n">
        <v>1</v>
      </c>
      <c r="F413" s="26">
        <f>IF(OR(B413="",E413=""),"",IFERROR(IF(ISNUMBER(INDEX(Config!$D$11:$D$20,MATCH(B413,Config!$A$11:$A$20,0))),E413*INDEX(Config!$D$11:$D$20,MATCH(B413,Config!$A$11:$A$20,0)),"cadastro de custo incompleto em Config"),"pessoa sem custo-hora em Config"))</f>
        <v>48.3333333333333</v>
      </c>
      <c r="G413" s="25">
        <f>IF(A413="","",MONTH(A413))</f>
        <v>8</v>
      </c>
      <c r="H413" s="25">
        <f>IF(A413="","",YEAR(A413))</f>
        <v>2026</v>
      </c>
      <c r="I413" s="31" t="inlineStr">
        <is>
          <t>Não</t>
        </is>
      </c>
      <c r="J413" s="36">
        <f>IF(AND(B413&lt;&gt;"",E413&lt;&gt;"",NOT(ISNUMBER(F413))),1,0)</f>
        <v>0</v>
      </c>
    </row>
    <row r="414">
      <c r="A414" s="34" t="n">
        <v>46261</v>
      </c>
      <c r="B414" s="31" t="inlineStr">
        <is>
          <t>Diego</t>
        </is>
      </c>
      <c r="C414" s="31" t="inlineStr">
        <is>
          <t>Gestão e reuniões</t>
        </is>
      </c>
      <c r="D414" s="29" t="inlineStr">
        <is>
          <t>Financeiro</t>
        </is>
      </c>
      <c r="E414" s="35" t="n">
        <v>2</v>
      </c>
      <c r="F414" s="26">
        <f>IF(OR(B414="",E414=""),"",IFERROR(IF(ISNUMBER(INDEX(Config!$D$11:$D$20,MATCH(B414,Config!$A$11:$A$20,0))),E414*INDEX(Config!$D$11:$D$20,MATCH(B414,Config!$A$11:$A$20,0)),"cadastro de custo incompleto em Config"),"pessoa sem custo-hora em Config"))</f>
        <v>96.6666666666667</v>
      </c>
      <c r="G414" s="25">
        <f>IF(A414="","",MONTH(A414))</f>
        <v>8</v>
      </c>
      <c r="H414" s="25">
        <f>IF(A414="","",YEAR(A414))</f>
        <v>2026</v>
      </c>
      <c r="I414" s="31" t="inlineStr">
        <is>
          <t>Não</t>
        </is>
      </c>
      <c r="J414" s="36">
        <f>IF(AND(B414&lt;&gt;"",E414&lt;&gt;"",NOT(ISNUMBER(F414))),1,0)</f>
        <v>0</v>
      </c>
    </row>
    <row r="415">
      <c r="A415" s="34" t="n">
        <v>46262</v>
      </c>
      <c r="B415" s="31" t="inlineStr">
        <is>
          <t>Ana</t>
        </is>
      </c>
      <c r="C415" s="31" t="inlineStr">
        <is>
          <t>Site novo · Loja Verde</t>
        </is>
      </c>
      <c r="D415" s="29" t="inlineStr">
        <is>
          <t>Implementação</t>
        </is>
      </c>
      <c r="E415" s="35" t="n">
        <v>2</v>
      </c>
      <c r="F415" s="26">
        <f>IF(OR(B415="",E415=""),"",IFERROR(IF(ISNUMBER(INDEX(Config!$D$11:$D$20,MATCH(B415,Config!$A$11:$A$20,0))),E415*INDEX(Config!$D$11:$D$20,MATCH(B415,Config!$A$11:$A$20,0)),"cadastro de custo incompleto em Config"),"pessoa sem custo-hora em Config"))</f>
        <v>140</v>
      </c>
      <c r="G415" s="25">
        <f>IF(A415="","",MONTH(A415))</f>
        <v>8</v>
      </c>
      <c r="H415" s="25">
        <f>IF(A415="","",YEAR(A415))</f>
        <v>2026</v>
      </c>
      <c r="I415" s="31" t="inlineStr">
        <is>
          <t>Sim</t>
        </is>
      </c>
      <c r="J415" s="36">
        <f>IF(AND(B415&lt;&gt;"",E415&lt;&gt;"",NOT(ISNUMBER(F415))),1,0)</f>
        <v>0</v>
      </c>
    </row>
    <row r="416">
      <c r="A416" s="34" t="n">
        <v>46262</v>
      </c>
      <c r="B416" s="31" t="inlineStr">
        <is>
          <t>Ana</t>
        </is>
      </c>
      <c r="C416" s="31" t="inlineStr">
        <is>
          <t>Comercial e propostas</t>
        </is>
      </c>
      <c r="D416" s="29" t="inlineStr">
        <is>
          <t>Proposta</t>
        </is>
      </c>
      <c r="E416" s="35" t="n">
        <v>2.5</v>
      </c>
      <c r="F416" s="26">
        <f>IF(OR(B416="",E416=""),"",IFERROR(IF(ISNUMBER(INDEX(Config!$D$11:$D$20,MATCH(B416,Config!$A$11:$A$20,0))),E416*INDEX(Config!$D$11:$D$20,MATCH(B416,Config!$A$11:$A$20,0)),"cadastro de custo incompleto em Config"),"pessoa sem custo-hora em Config"))</f>
        <v>175</v>
      </c>
      <c r="G416" s="25">
        <f>IF(A416="","",MONTH(A416))</f>
        <v>8</v>
      </c>
      <c r="H416" s="25">
        <f>IF(A416="","",YEAR(A416))</f>
        <v>2026</v>
      </c>
      <c r="I416" s="31" t="inlineStr">
        <is>
          <t>Não</t>
        </is>
      </c>
      <c r="J416" s="36">
        <f>IF(AND(B416&lt;&gt;"",E416&lt;&gt;"",NOT(ISNUMBER(F416))),1,0)</f>
        <v>0</v>
      </c>
    </row>
    <row r="417">
      <c r="A417" s="34" t="n">
        <v>46262</v>
      </c>
      <c r="B417" s="31" t="inlineStr">
        <is>
          <t>Ana</t>
        </is>
      </c>
      <c r="C417" s="31" t="inlineStr">
        <is>
          <t>Gestão e reuniões</t>
        </is>
      </c>
      <c r="D417" s="29" t="inlineStr">
        <is>
          <t>Planejamento</t>
        </is>
      </c>
      <c r="E417" s="35" t="n">
        <v>2</v>
      </c>
      <c r="F417" s="26">
        <f>IF(OR(B417="",E417=""),"",IFERROR(IF(ISNUMBER(INDEX(Config!$D$11:$D$20,MATCH(B417,Config!$A$11:$A$20,0))),E417*INDEX(Config!$D$11:$D$20,MATCH(B417,Config!$A$11:$A$20,0)),"cadastro de custo incompleto em Config"),"pessoa sem custo-hora em Config"))</f>
        <v>140</v>
      </c>
      <c r="G417" s="25">
        <f>IF(A417="","",MONTH(A417))</f>
        <v>8</v>
      </c>
      <c r="H417" s="25">
        <f>IF(A417="","",YEAR(A417))</f>
        <v>2026</v>
      </c>
      <c r="I417" s="31" t="inlineStr">
        <is>
          <t>Não</t>
        </is>
      </c>
      <c r="J417" s="36">
        <f>IF(AND(B417&lt;&gt;"",E417&lt;&gt;"",NOT(ISNUMBER(F417))),1,0)</f>
        <v>0</v>
      </c>
    </row>
    <row r="418">
      <c r="A418" s="34" t="n">
        <v>46262</v>
      </c>
      <c r="B418" s="31" t="inlineStr">
        <is>
          <t>Bruno</t>
        </is>
      </c>
      <c r="C418" s="31" t="inlineStr">
        <is>
          <t>Site novo · Loja Verde</t>
        </is>
      </c>
      <c r="D418" s="29" t="inlineStr">
        <is>
          <t>Implementação</t>
        </is>
      </c>
      <c r="E418" s="35" t="n">
        <v>3.5</v>
      </c>
      <c r="F418" s="26">
        <f>IF(OR(B418="",E418=""),"",IFERROR(IF(ISNUMBER(INDEX(Config!$D$11:$D$20,MATCH(B418,Config!$A$11:$A$20,0))),E418*INDEX(Config!$D$11:$D$20,MATCH(B418,Config!$A$11:$A$20,0)),"cadastro de custo incompleto em Config"),"pessoa sem custo-hora em Config"))</f>
        <v>180</v>
      </c>
      <c r="G418" s="25">
        <f>IF(A418="","",MONTH(A418))</f>
        <v>8</v>
      </c>
      <c r="H418" s="25">
        <f>IF(A418="","",YEAR(A418))</f>
        <v>2026</v>
      </c>
      <c r="I418" s="31" t="inlineStr">
        <is>
          <t>Sim</t>
        </is>
      </c>
      <c r="J418" s="36">
        <f>IF(AND(B418&lt;&gt;"",E418&lt;&gt;"",NOT(ISNUMBER(F418))),1,0)</f>
        <v>0</v>
      </c>
    </row>
    <row r="419">
      <c r="A419" s="34" t="n">
        <v>46262</v>
      </c>
      <c r="B419" s="31" t="inlineStr">
        <is>
          <t>Bruno</t>
        </is>
      </c>
      <c r="C419" s="31" t="inlineStr">
        <is>
          <t>Identidade visual · Padaria do Sol</t>
        </is>
      </c>
      <c r="D419" s="29" t="inlineStr">
        <is>
          <t>Manual</t>
        </is>
      </c>
      <c r="E419" s="35" t="n">
        <v>1.5</v>
      </c>
      <c r="F419" s="26">
        <f>IF(OR(B419="",E419=""),"",IFERROR(IF(ISNUMBER(INDEX(Config!$D$11:$D$20,MATCH(B419,Config!$A$11:$A$20,0))),E419*INDEX(Config!$D$11:$D$20,MATCH(B419,Config!$A$11:$A$20,0)),"cadastro de custo incompleto em Config"),"pessoa sem custo-hora em Config"))</f>
        <v>77.1428571428571</v>
      </c>
      <c r="G419" s="25">
        <f>IF(A419="","",MONTH(A419))</f>
        <v>8</v>
      </c>
      <c r="H419" s="25">
        <f>IF(A419="","",YEAR(A419))</f>
        <v>2026</v>
      </c>
      <c r="I419" s="31" t="inlineStr">
        <is>
          <t>Sim</t>
        </is>
      </c>
      <c r="J419" s="36">
        <f>IF(AND(B419&lt;&gt;"",E419&lt;&gt;"",NOT(ISNUMBER(F419))),1,0)</f>
        <v>0</v>
      </c>
    </row>
    <row r="420">
      <c r="A420" s="34" t="n">
        <v>46262</v>
      </c>
      <c r="B420" s="31" t="inlineStr">
        <is>
          <t>Bruno</t>
        </is>
      </c>
      <c r="C420" s="31" t="inlineStr">
        <is>
          <t>Gestão e reuniões</t>
        </is>
      </c>
      <c r="D420" s="29" t="inlineStr">
        <is>
          <t>Semanal</t>
        </is>
      </c>
      <c r="E420" s="35" t="n">
        <v>1.5</v>
      </c>
      <c r="F420" s="26">
        <f>IF(OR(B420="",E420=""),"",IFERROR(IF(ISNUMBER(INDEX(Config!$D$11:$D$20,MATCH(B420,Config!$A$11:$A$20,0))),E420*INDEX(Config!$D$11:$D$20,MATCH(B420,Config!$A$11:$A$20,0)),"cadastro de custo incompleto em Config"),"pessoa sem custo-hora em Config"))</f>
        <v>77.1428571428571</v>
      </c>
      <c r="G420" s="25">
        <f>IF(A420="","",MONTH(A420))</f>
        <v>8</v>
      </c>
      <c r="H420" s="25">
        <f>IF(A420="","",YEAR(A420))</f>
        <v>2026</v>
      </c>
      <c r="I420" s="31" t="inlineStr">
        <is>
          <t>Não</t>
        </is>
      </c>
      <c r="J420" s="36">
        <f>IF(AND(B420&lt;&gt;"",E420&lt;&gt;"",NOT(ISNUMBER(F420))),1,0)</f>
        <v>0</v>
      </c>
    </row>
    <row r="421">
      <c r="A421" s="34" t="n">
        <v>46262</v>
      </c>
      <c r="B421" s="31" t="inlineStr">
        <is>
          <t>Carla</t>
        </is>
      </c>
      <c r="C421" s="31" t="inlineStr">
        <is>
          <t>Site novo · Loja Verde</t>
        </is>
      </c>
      <c r="D421" s="29" t="inlineStr">
        <is>
          <t>Implementação</t>
        </is>
      </c>
      <c r="E421" s="35" t="n">
        <v>2.5</v>
      </c>
      <c r="F421" s="26">
        <f>IF(OR(B421="",E421=""),"",IFERROR(IF(ISNUMBER(INDEX(Config!$D$11:$D$20,MATCH(B421,Config!$A$11:$A$20,0))),E421*INDEX(Config!$D$11:$D$20,MATCH(B421,Config!$A$11:$A$20,0)),"cadastro de custo incompleto em Config"),"pessoa sem custo-hora em Config"))</f>
        <v>116.071428571429</v>
      </c>
      <c r="G421" s="25">
        <f>IF(A421="","",MONTH(A421))</f>
        <v>8</v>
      </c>
      <c r="H421" s="25">
        <f>IF(A421="","",YEAR(A421))</f>
        <v>2026</v>
      </c>
      <c r="I421" s="31" t="inlineStr">
        <is>
          <t>Sim</t>
        </is>
      </c>
      <c r="J421" s="36">
        <f>IF(AND(B421&lt;&gt;"",E421&lt;&gt;"",NOT(ISNUMBER(F421))),1,0)</f>
        <v>0</v>
      </c>
    </row>
    <row r="422">
      <c r="A422" s="34" t="n">
        <v>46262</v>
      </c>
      <c r="B422" s="31" t="inlineStr">
        <is>
          <t>Carla</t>
        </is>
      </c>
      <c r="C422" s="31" t="inlineStr">
        <is>
          <t>Comercial e propostas</t>
        </is>
      </c>
      <c r="D422" s="29" t="inlineStr">
        <is>
          <t>Reunião comercial</t>
        </is>
      </c>
      <c r="E422" s="35" t="n">
        <v>5.5</v>
      </c>
      <c r="F422" s="26">
        <f>IF(OR(B422="",E422=""),"",IFERROR(IF(ISNUMBER(INDEX(Config!$D$11:$D$20,MATCH(B422,Config!$A$11:$A$20,0))),E422*INDEX(Config!$D$11:$D$20,MATCH(B422,Config!$A$11:$A$20,0)),"cadastro de custo incompleto em Config"),"pessoa sem custo-hora em Config"))</f>
        <v>255.357142857143</v>
      </c>
      <c r="G422" s="25">
        <f>IF(A422="","",MONTH(A422))</f>
        <v>8</v>
      </c>
      <c r="H422" s="25">
        <f>IF(A422="","",YEAR(A422))</f>
        <v>2026</v>
      </c>
      <c r="I422" s="31" t="inlineStr">
        <is>
          <t>Não</t>
        </is>
      </c>
      <c r="J422" s="36">
        <f>IF(AND(B422&lt;&gt;"",E422&lt;&gt;"",NOT(ISNUMBER(F422))),1,0)</f>
        <v>0</v>
      </c>
    </row>
    <row r="423">
      <c r="A423" s="34" t="n">
        <v>46262</v>
      </c>
      <c r="B423" s="31" t="inlineStr">
        <is>
          <t>Carla</t>
        </is>
      </c>
      <c r="C423" s="31" t="inlineStr">
        <is>
          <t>Gestão e reuniões</t>
        </is>
      </c>
      <c r="D423" s="29" t="inlineStr">
        <is>
          <t>Planejamento</t>
        </is>
      </c>
      <c r="E423" s="35" t="n">
        <v>1</v>
      </c>
      <c r="F423" s="26">
        <f>IF(OR(B423="",E423=""),"",IFERROR(IF(ISNUMBER(INDEX(Config!$D$11:$D$20,MATCH(B423,Config!$A$11:$A$20,0))),E423*INDEX(Config!$D$11:$D$20,MATCH(B423,Config!$A$11:$A$20,0)),"cadastro de custo incompleto em Config"),"pessoa sem custo-hora em Config"))</f>
        <v>46.4285714285714</v>
      </c>
      <c r="G423" s="25">
        <f>IF(A423="","",MONTH(A423))</f>
        <v>8</v>
      </c>
      <c r="H423" s="25">
        <f>IF(A423="","",YEAR(A423))</f>
        <v>2026</v>
      </c>
      <c r="I423" s="31" t="inlineStr">
        <is>
          <t>Não</t>
        </is>
      </c>
      <c r="J423" s="36">
        <f>IF(AND(B423&lt;&gt;"",E423&lt;&gt;"",NOT(ISNUMBER(F423))),1,0)</f>
        <v>0</v>
      </c>
    </row>
    <row r="424">
      <c r="A424" s="34" t="n">
        <v>46262</v>
      </c>
      <c r="B424" s="31" t="inlineStr">
        <is>
          <t>Diego</t>
        </is>
      </c>
      <c r="C424" s="31" t="inlineStr">
        <is>
          <t>Site novo · Loja Verde</t>
        </is>
      </c>
      <c r="D424" s="29" t="inlineStr">
        <is>
          <t>Wireframe</t>
        </is>
      </c>
      <c r="E424" s="35" t="n">
        <v>3.5</v>
      </c>
      <c r="F424" s="26">
        <f>IF(OR(B424="",E424=""),"",IFERROR(IF(ISNUMBER(INDEX(Config!$D$11:$D$20,MATCH(B424,Config!$A$11:$A$20,0))),E424*INDEX(Config!$D$11:$D$20,MATCH(B424,Config!$A$11:$A$20,0)),"cadastro de custo incompleto em Config"),"pessoa sem custo-hora em Config"))</f>
        <v>169.166666666667</v>
      </c>
      <c r="G424" s="25">
        <f>IF(A424="","",MONTH(A424))</f>
        <v>8</v>
      </c>
      <c r="H424" s="25">
        <f>IF(A424="","",YEAR(A424))</f>
        <v>2026</v>
      </c>
      <c r="I424" s="31" t="inlineStr">
        <is>
          <t>Sim</t>
        </is>
      </c>
      <c r="J424" s="36">
        <f>IF(AND(B424&lt;&gt;"",E424&lt;&gt;"",NOT(ISNUMBER(F424))),1,0)</f>
        <v>0</v>
      </c>
    </row>
    <row r="425">
      <c r="A425" s="34" t="n">
        <v>46262</v>
      </c>
      <c r="B425" s="31" t="inlineStr">
        <is>
          <t>Diego</t>
        </is>
      </c>
      <c r="C425" s="31" t="inlineStr">
        <is>
          <t>Comercial e propostas</t>
        </is>
      </c>
      <c r="D425" s="29" t="inlineStr">
        <is>
          <t>Proposta</t>
        </is>
      </c>
      <c r="E425" s="35" t="n">
        <v>0.5</v>
      </c>
      <c r="F425" s="26">
        <f>IF(OR(B425="",E425=""),"",IFERROR(IF(ISNUMBER(INDEX(Config!$D$11:$D$20,MATCH(B425,Config!$A$11:$A$20,0))),E425*INDEX(Config!$D$11:$D$20,MATCH(B425,Config!$A$11:$A$20,0)),"cadastro de custo incompleto em Config"),"pessoa sem custo-hora em Config"))</f>
        <v>24.1666666666667</v>
      </c>
      <c r="G425" s="25">
        <f>IF(A425="","",MONTH(A425))</f>
        <v>8</v>
      </c>
      <c r="H425" s="25">
        <f>IF(A425="","",YEAR(A425))</f>
        <v>2026</v>
      </c>
      <c r="I425" s="31" t="inlineStr">
        <is>
          <t>Não</t>
        </is>
      </c>
      <c r="J425" s="36">
        <f>IF(AND(B425&lt;&gt;"",E425&lt;&gt;"",NOT(ISNUMBER(F425))),1,0)</f>
        <v>0</v>
      </c>
    </row>
    <row r="426">
      <c r="A426" s="34" t="n">
        <v>46262</v>
      </c>
      <c r="B426" s="31" t="inlineStr">
        <is>
          <t>Diego</t>
        </is>
      </c>
      <c r="C426" s="31" t="inlineStr">
        <is>
          <t>Gestão e reuniões</t>
        </is>
      </c>
      <c r="D426" s="29" t="inlineStr">
        <is>
          <t>Semanal</t>
        </is>
      </c>
      <c r="E426" s="35" t="n">
        <v>2</v>
      </c>
      <c r="F426" s="26">
        <f>IF(OR(B426="",E426=""),"",IFERROR(IF(ISNUMBER(INDEX(Config!$D$11:$D$20,MATCH(B426,Config!$A$11:$A$20,0))),E426*INDEX(Config!$D$11:$D$20,MATCH(B426,Config!$A$11:$A$20,0)),"cadastro de custo incompleto em Config"),"pessoa sem custo-hora em Config"))</f>
        <v>96.6666666666667</v>
      </c>
      <c r="G426" s="25">
        <f>IF(A426="","",MONTH(A426))</f>
        <v>8</v>
      </c>
      <c r="H426" s="25">
        <f>IF(A426="","",YEAR(A426))</f>
        <v>2026</v>
      </c>
      <c r="I426" s="31" t="inlineStr">
        <is>
          <t>Não</t>
        </is>
      </c>
      <c r="J426" s="36">
        <f>IF(AND(B426&lt;&gt;"",E426&lt;&gt;"",NOT(ISNUMBER(F426))),1,0)</f>
        <v>0</v>
      </c>
    </row>
    <row r="427">
      <c r="A427" s="34" t="n">
        <v>46265</v>
      </c>
      <c r="B427" s="31" t="inlineStr">
        <is>
          <t>Ana</t>
        </is>
      </c>
      <c r="C427" s="31" t="inlineStr">
        <is>
          <t>Site novo · Loja Verde</t>
        </is>
      </c>
      <c r="D427" s="29" t="inlineStr">
        <is>
          <t>Reunião com cliente</t>
        </is>
      </c>
      <c r="E427" s="35" t="n">
        <v>2</v>
      </c>
      <c r="F427" s="26">
        <f>IF(OR(B427="",E427=""),"",IFERROR(IF(ISNUMBER(INDEX(Config!$D$11:$D$20,MATCH(B427,Config!$A$11:$A$20,0))),E427*INDEX(Config!$D$11:$D$20,MATCH(B427,Config!$A$11:$A$20,0)),"cadastro de custo incompleto em Config"),"pessoa sem custo-hora em Config"))</f>
        <v>140</v>
      </c>
      <c r="G427" s="25">
        <f>IF(A427="","",MONTH(A427))</f>
        <v>8</v>
      </c>
      <c r="H427" s="25">
        <f>IF(A427="","",YEAR(A427))</f>
        <v>2026</v>
      </c>
      <c r="I427" s="31" t="inlineStr">
        <is>
          <t>Sim</t>
        </is>
      </c>
      <c r="J427" s="36">
        <f>IF(AND(B427&lt;&gt;"",E427&lt;&gt;"",NOT(ISNUMBER(F427))),1,0)</f>
        <v>0</v>
      </c>
    </row>
    <row r="428">
      <c r="A428" s="34" t="n">
        <v>46265</v>
      </c>
      <c r="B428" s="31" t="inlineStr">
        <is>
          <t>Ana</t>
        </is>
      </c>
      <c r="C428" s="31" t="inlineStr">
        <is>
          <t>Comercial e propostas</t>
        </is>
      </c>
      <c r="D428" s="29" t="inlineStr">
        <is>
          <t>Reunião comercial</t>
        </is>
      </c>
      <c r="E428" s="35" t="n">
        <v>3</v>
      </c>
      <c r="F428" s="26">
        <f>IF(OR(B428="",E428=""),"",IFERROR(IF(ISNUMBER(INDEX(Config!$D$11:$D$20,MATCH(B428,Config!$A$11:$A$20,0))),E428*INDEX(Config!$D$11:$D$20,MATCH(B428,Config!$A$11:$A$20,0)),"cadastro de custo incompleto em Config"),"pessoa sem custo-hora em Config"))</f>
        <v>210</v>
      </c>
      <c r="G428" s="25">
        <f>IF(A428="","",MONTH(A428))</f>
        <v>8</v>
      </c>
      <c r="H428" s="25">
        <f>IF(A428="","",YEAR(A428))</f>
        <v>2026</v>
      </c>
      <c r="I428" s="31" t="inlineStr">
        <is>
          <t>Não</t>
        </is>
      </c>
      <c r="J428" s="36">
        <f>IF(AND(B428&lt;&gt;"",E428&lt;&gt;"",NOT(ISNUMBER(F428))),1,0)</f>
        <v>0</v>
      </c>
    </row>
    <row r="429">
      <c r="A429" s="34" t="n">
        <v>46265</v>
      </c>
      <c r="B429" s="31" t="inlineStr">
        <is>
          <t>Ana</t>
        </is>
      </c>
      <c r="C429" s="31" t="inlineStr">
        <is>
          <t>Gestão e reuniões</t>
        </is>
      </c>
      <c r="D429" s="29" t="inlineStr">
        <is>
          <t>Planejamento</t>
        </is>
      </c>
      <c r="E429" s="35" t="n">
        <v>3</v>
      </c>
      <c r="F429" s="26">
        <f>IF(OR(B429="",E429=""),"",IFERROR(IF(ISNUMBER(INDEX(Config!$D$11:$D$20,MATCH(B429,Config!$A$11:$A$20,0))),E429*INDEX(Config!$D$11:$D$20,MATCH(B429,Config!$A$11:$A$20,0)),"cadastro de custo incompleto em Config"),"pessoa sem custo-hora em Config"))</f>
        <v>210</v>
      </c>
      <c r="G429" s="25">
        <f>IF(A429="","",MONTH(A429))</f>
        <v>8</v>
      </c>
      <c r="H429" s="25">
        <f>IF(A429="","",YEAR(A429))</f>
        <v>2026</v>
      </c>
      <c r="I429" s="31" t="inlineStr">
        <is>
          <t>Não</t>
        </is>
      </c>
      <c r="J429" s="36">
        <f>IF(AND(B429&lt;&gt;"",E429&lt;&gt;"",NOT(ISNUMBER(F429))),1,0)</f>
        <v>0</v>
      </c>
    </row>
    <row r="430">
      <c r="A430" s="34" t="n">
        <v>46265</v>
      </c>
      <c r="B430" s="31" t="inlineStr">
        <is>
          <t>Bruno</t>
        </is>
      </c>
      <c r="C430" s="31" t="inlineStr">
        <is>
          <t>Site novo · Loja Verde</t>
        </is>
      </c>
      <c r="D430" s="29" t="inlineStr">
        <is>
          <t>Layout</t>
        </is>
      </c>
      <c r="E430" s="35" t="n">
        <v>4</v>
      </c>
      <c r="F430" s="26">
        <f>IF(OR(B430="",E430=""),"",IFERROR(IF(ISNUMBER(INDEX(Config!$D$11:$D$20,MATCH(B430,Config!$A$11:$A$20,0))),E430*INDEX(Config!$D$11:$D$20,MATCH(B430,Config!$A$11:$A$20,0)),"cadastro de custo incompleto em Config"),"pessoa sem custo-hora em Config"))</f>
        <v>205.714285714286</v>
      </c>
      <c r="G430" s="25">
        <f>IF(A430="","",MONTH(A430))</f>
        <v>8</v>
      </c>
      <c r="H430" s="25">
        <f>IF(A430="","",YEAR(A430))</f>
        <v>2026</v>
      </c>
      <c r="I430" s="31" t="inlineStr">
        <is>
          <t>Sim</t>
        </is>
      </c>
      <c r="J430" s="36">
        <f>IF(AND(B430&lt;&gt;"",E430&lt;&gt;"",NOT(ISNUMBER(F430))),1,0)</f>
        <v>0</v>
      </c>
    </row>
    <row r="431">
      <c r="A431" s="34" t="n">
        <v>46265</v>
      </c>
      <c r="B431" s="31" t="inlineStr">
        <is>
          <t>Bruno</t>
        </is>
      </c>
      <c r="C431" s="31" t="inlineStr">
        <is>
          <t>Identidade visual · Padaria do Sol</t>
        </is>
      </c>
      <c r="D431" s="29" t="inlineStr">
        <is>
          <t>Manual</t>
        </is>
      </c>
      <c r="E431" s="35" t="n">
        <v>1.5</v>
      </c>
      <c r="F431" s="26">
        <f>IF(OR(B431="",E431=""),"",IFERROR(IF(ISNUMBER(INDEX(Config!$D$11:$D$20,MATCH(B431,Config!$A$11:$A$20,0))),E431*INDEX(Config!$D$11:$D$20,MATCH(B431,Config!$A$11:$A$20,0)),"cadastro de custo incompleto em Config"),"pessoa sem custo-hora em Config"))</f>
        <v>77.1428571428571</v>
      </c>
      <c r="G431" s="25">
        <f>IF(A431="","",MONTH(A431))</f>
        <v>8</v>
      </c>
      <c r="H431" s="25">
        <f>IF(A431="","",YEAR(A431))</f>
        <v>2026</v>
      </c>
      <c r="I431" s="31" t="inlineStr">
        <is>
          <t>Sim</t>
        </is>
      </c>
      <c r="J431" s="36">
        <f>IF(AND(B431&lt;&gt;"",E431&lt;&gt;"",NOT(ISNUMBER(F431))),1,0)</f>
        <v>0</v>
      </c>
    </row>
    <row r="432">
      <c r="A432" s="34" t="n">
        <v>46265</v>
      </c>
      <c r="B432" s="31" t="inlineStr">
        <is>
          <t>Bruno</t>
        </is>
      </c>
      <c r="C432" s="31" t="inlineStr">
        <is>
          <t>Gestão e reuniões</t>
        </is>
      </c>
      <c r="D432" s="29" t="inlineStr">
        <is>
          <t>Financeiro</t>
        </is>
      </c>
      <c r="E432" s="35" t="n">
        <v>1</v>
      </c>
      <c r="F432" s="26">
        <f>IF(OR(B432="",E432=""),"",IFERROR(IF(ISNUMBER(INDEX(Config!$D$11:$D$20,MATCH(B432,Config!$A$11:$A$20,0))),E432*INDEX(Config!$D$11:$D$20,MATCH(B432,Config!$A$11:$A$20,0)),"cadastro de custo incompleto em Config"),"pessoa sem custo-hora em Config"))</f>
        <v>51.4285714285714</v>
      </c>
      <c r="G432" s="25">
        <f>IF(A432="","",MONTH(A432))</f>
        <v>8</v>
      </c>
      <c r="H432" s="25">
        <f>IF(A432="","",YEAR(A432))</f>
        <v>2026</v>
      </c>
      <c r="I432" s="31" t="inlineStr">
        <is>
          <t>Não</t>
        </is>
      </c>
      <c r="J432" s="36">
        <f>IF(AND(B432&lt;&gt;"",E432&lt;&gt;"",NOT(ISNUMBER(F432))),1,0)</f>
        <v>0</v>
      </c>
    </row>
    <row r="433">
      <c r="A433" s="34" t="n">
        <v>46265</v>
      </c>
      <c r="B433" s="31" t="inlineStr">
        <is>
          <t>Carla</t>
        </is>
      </c>
      <c r="C433" s="31" t="inlineStr">
        <is>
          <t>Site novo · Loja Verde</t>
        </is>
      </c>
      <c r="D433" s="29" t="inlineStr">
        <is>
          <t>Textos</t>
        </is>
      </c>
      <c r="E433" s="35" t="n">
        <v>2</v>
      </c>
      <c r="F433" s="26">
        <f>IF(OR(B433="",E433=""),"",IFERROR(IF(ISNUMBER(INDEX(Config!$D$11:$D$20,MATCH(B433,Config!$A$11:$A$20,0))),E433*INDEX(Config!$D$11:$D$20,MATCH(B433,Config!$A$11:$A$20,0)),"cadastro de custo incompleto em Config"),"pessoa sem custo-hora em Config"))</f>
        <v>92.8571428571429</v>
      </c>
      <c r="G433" s="25">
        <f>IF(A433="","",MONTH(A433))</f>
        <v>8</v>
      </c>
      <c r="H433" s="25">
        <f>IF(A433="","",YEAR(A433))</f>
        <v>2026</v>
      </c>
      <c r="I433" s="31" t="inlineStr">
        <is>
          <t>Sim</t>
        </is>
      </c>
      <c r="J433" s="36">
        <f>IF(AND(B433&lt;&gt;"",E433&lt;&gt;"",NOT(ISNUMBER(F433))),1,0)</f>
        <v>0</v>
      </c>
    </row>
    <row r="434">
      <c r="A434" s="34" t="n">
        <v>46265</v>
      </c>
      <c r="B434" s="31" t="inlineStr">
        <is>
          <t>Carla</t>
        </is>
      </c>
      <c r="C434" s="31" t="inlineStr">
        <is>
          <t>Comercial e propostas</t>
        </is>
      </c>
      <c r="D434" s="29" t="inlineStr">
        <is>
          <t>Reunião comercial</t>
        </is>
      </c>
      <c r="E434" s="35" t="n">
        <v>3.5</v>
      </c>
      <c r="F434" s="26">
        <f>IF(OR(B434="",E434=""),"",IFERROR(IF(ISNUMBER(INDEX(Config!$D$11:$D$20,MATCH(B434,Config!$A$11:$A$20,0))),E434*INDEX(Config!$D$11:$D$20,MATCH(B434,Config!$A$11:$A$20,0)),"cadastro de custo incompleto em Config"),"pessoa sem custo-hora em Config"))</f>
        <v>162.5</v>
      </c>
      <c r="G434" s="25">
        <f>IF(A434="","",MONTH(A434))</f>
        <v>8</v>
      </c>
      <c r="H434" s="25">
        <f>IF(A434="","",YEAR(A434))</f>
        <v>2026</v>
      </c>
      <c r="I434" s="31" t="inlineStr">
        <is>
          <t>Não</t>
        </is>
      </c>
      <c r="J434" s="36">
        <f>IF(AND(B434&lt;&gt;"",E434&lt;&gt;"",NOT(ISNUMBER(F434))),1,0)</f>
        <v>0</v>
      </c>
    </row>
    <row r="435">
      <c r="A435" s="34" t="n">
        <v>46265</v>
      </c>
      <c r="B435" s="31" t="inlineStr">
        <is>
          <t>Carla</t>
        </is>
      </c>
      <c r="C435" s="31" t="inlineStr">
        <is>
          <t>Gestão e reuniões</t>
        </is>
      </c>
      <c r="D435" s="29" t="inlineStr">
        <is>
          <t>Semanal</t>
        </is>
      </c>
      <c r="E435" s="35" t="n">
        <v>1</v>
      </c>
      <c r="F435" s="26">
        <f>IF(OR(B435="",E435=""),"",IFERROR(IF(ISNUMBER(INDEX(Config!$D$11:$D$20,MATCH(B435,Config!$A$11:$A$20,0))),E435*INDEX(Config!$D$11:$D$20,MATCH(B435,Config!$A$11:$A$20,0)),"cadastro de custo incompleto em Config"),"pessoa sem custo-hora em Config"))</f>
        <v>46.4285714285714</v>
      </c>
      <c r="G435" s="25">
        <f>IF(A435="","",MONTH(A435))</f>
        <v>8</v>
      </c>
      <c r="H435" s="25">
        <f>IF(A435="","",YEAR(A435))</f>
        <v>2026</v>
      </c>
      <c r="I435" s="31" t="inlineStr">
        <is>
          <t>Não</t>
        </is>
      </c>
      <c r="J435" s="36">
        <f>IF(AND(B435&lt;&gt;"",E435&lt;&gt;"",NOT(ISNUMBER(F435))),1,0)</f>
        <v>0</v>
      </c>
    </row>
    <row r="436">
      <c r="A436" s="34" t="n">
        <v>46265</v>
      </c>
      <c r="B436" s="31" t="inlineStr">
        <is>
          <t>Diego</t>
        </is>
      </c>
      <c r="C436" s="31" t="inlineStr">
        <is>
          <t>Site novo · Loja Verde</t>
        </is>
      </c>
      <c r="D436" s="29" t="inlineStr">
        <is>
          <t>Layout</t>
        </is>
      </c>
      <c r="E436" s="35" t="n">
        <v>3.5</v>
      </c>
      <c r="F436" s="26">
        <f>IF(OR(B436="",E436=""),"",IFERROR(IF(ISNUMBER(INDEX(Config!$D$11:$D$20,MATCH(B436,Config!$A$11:$A$20,0))),E436*INDEX(Config!$D$11:$D$20,MATCH(B436,Config!$A$11:$A$20,0)),"cadastro de custo incompleto em Config"),"pessoa sem custo-hora em Config"))</f>
        <v>169.166666666667</v>
      </c>
      <c r="G436" s="25">
        <f>IF(A436="","",MONTH(A436))</f>
        <v>8</v>
      </c>
      <c r="H436" s="25">
        <f>IF(A436="","",YEAR(A436))</f>
        <v>2026</v>
      </c>
      <c r="I436" s="31" t="inlineStr">
        <is>
          <t>Sim</t>
        </is>
      </c>
      <c r="J436" s="36">
        <f>IF(AND(B436&lt;&gt;"",E436&lt;&gt;"",NOT(ISNUMBER(F436))),1,0)</f>
        <v>0</v>
      </c>
    </row>
    <row r="437">
      <c r="A437" s="34" t="n">
        <v>46265</v>
      </c>
      <c r="B437" s="31" t="inlineStr">
        <is>
          <t>Diego</t>
        </is>
      </c>
      <c r="C437" s="31" t="inlineStr">
        <is>
          <t>Comercial e propostas</t>
        </is>
      </c>
      <c r="D437" s="29" t="inlineStr">
        <is>
          <t>Reunião comercial</t>
        </is>
      </c>
      <c r="E437" s="35" t="n">
        <v>0.5</v>
      </c>
      <c r="F437" s="26">
        <f>IF(OR(B437="",E437=""),"",IFERROR(IF(ISNUMBER(INDEX(Config!$D$11:$D$20,MATCH(B437,Config!$A$11:$A$20,0))),E437*INDEX(Config!$D$11:$D$20,MATCH(B437,Config!$A$11:$A$20,0)),"cadastro de custo incompleto em Config"),"pessoa sem custo-hora em Config"))</f>
        <v>24.1666666666667</v>
      </c>
      <c r="G437" s="25">
        <f>IF(A437="","",MONTH(A437))</f>
        <v>8</v>
      </c>
      <c r="H437" s="25">
        <f>IF(A437="","",YEAR(A437))</f>
        <v>2026</v>
      </c>
      <c r="I437" s="31" t="inlineStr">
        <is>
          <t>Não</t>
        </is>
      </c>
      <c r="J437" s="36">
        <f>IF(AND(B437&lt;&gt;"",E437&lt;&gt;"",NOT(ISNUMBER(F437))),1,0)</f>
        <v>0</v>
      </c>
    </row>
    <row r="438">
      <c r="A438" s="34" t="n">
        <v>46265</v>
      </c>
      <c r="B438" s="31" t="inlineStr">
        <is>
          <t>Diego</t>
        </is>
      </c>
      <c r="C438" s="31" t="inlineStr">
        <is>
          <t>Gestão e reuniões</t>
        </is>
      </c>
      <c r="D438" s="29" t="inlineStr">
        <is>
          <t>Financeiro</t>
        </is>
      </c>
      <c r="E438" s="35" t="n">
        <v>1.5</v>
      </c>
      <c r="F438" s="26">
        <f>IF(OR(B438="",E438=""),"",IFERROR(IF(ISNUMBER(INDEX(Config!$D$11:$D$20,MATCH(B438,Config!$A$11:$A$20,0))),E438*INDEX(Config!$D$11:$D$20,MATCH(B438,Config!$A$11:$A$20,0)),"cadastro de custo incompleto em Config"),"pessoa sem custo-hora em Config"))</f>
        <v>72.5</v>
      </c>
      <c r="G438" s="25">
        <f>IF(A438="","",MONTH(A438))</f>
        <v>8</v>
      </c>
      <c r="H438" s="25">
        <f>IF(A438="","",YEAR(A438))</f>
        <v>2026</v>
      </c>
      <c r="I438" s="31" t="inlineStr">
        <is>
          <t>Não</t>
        </is>
      </c>
      <c r="J438" s="36">
        <f>IF(AND(B438&lt;&gt;"",E438&lt;&gt;"",NOT(ISNUMBER(F438))),1,0)</f>
        <v>0</v>
      </c>
    </row>
    <row r="439">
      <c r="A439" s="34" t="n">
        <v>46266</v>
      </c>
      <c r="B439" s="31" t="inlineStr">
        <is>
          <t>Ana</t>
        </is>
      </c>
      <c r="C439" s="31" t="inlineStr">
        <is>
          <t>Site novo · Loja Verde</t>
        </is>
      </c>
      <c r="D439" s="29" t="inlineStr">
        <is>
          <t>Wireframe</t>
        </is>
      </c>
      <c r="E439" s="35" t="n">
        <v>2.5</v>
      </c>
      <c r="F439" s="26">
        <f>IF(OR(B439="",E439=""),"",IFERROR(IF(ISNUMBER(INDEX(Config!$D$11:$D$20,MATCH(B439,Config!$A$11:$A$20,0))),E439*INDEX(Config!$D$11:$D$20,MATCH(B439,Config!$A$11:$A$20,0)),"cadastro de custo incompleto em Config"),"pessoa sem custo-hora em Config"))</f>
        <v>175</v>
      </c>
      <c r="G439" s="25">
        <f>IF(A439="","",MONTH(A439))</f>
        <v>9</v>
      </c>
      <c r="H439" s="25">
        <f>IF(A439="","",YEAR(A439))</f>
        <v>2026</v>
      </c>
      <c r="I439" s="31" t="inlineStr">
        <is>
          <t>Sim</t>
        </is>
      </c>
      <c r="J439" s="36">
        <f>IF(AND(B439&lt;&gt;"",E439&lt;&gt;"",NOT(ISNUMBER(F439))),1,0)</f>
        <v>0</v>
      </c>
    </row>
    <row r="440">
      <c r="A440" s="34" t="n">
        <v>46266</v>
      </c>
      <c r="B440" s="31" t="inlineStr">
        <is>
          <t>Ana</t>
        </is>
      </c>
      <c r="C440" s="31" t="inlineStr">
        <is>
          <t>Comercial e propostas</t>
        </is>
      </c>
      <c r="D440" s="29" t="inlineStr">
        <is>
          <t>Proposta</t>
        </is>
      </c>
      <c r="E440" s="35" t="n">
        <v>2.5</v>
      </c>
      <c r="F440" s="26">
        <f>IF(OR(B440="",E440=""),"",IFERROR(IF(ISNUMBER(INDEX(Config!$D$11:$D$20,MATCH(B440,Config!$A$11:$A$20,0))),E440*INDEX(Config!$D$11:$D$20,MATCH(B440,Config!$A$11:$A$20,0)),"cadastro de custo incompleto em Config"),"pessoa sem custo-hora em Config"))</f>
        <v>175</v>
      </c>
      <c r="G440" s="25">
        <f>IF(A440="","",MONTH(A440))</f>
        <v>9</v>
      </c>
      <c r="H440" s="25">
        <f>IF(A440="","",YEAR(A440))</f>
        <v>2026</v>
      </c>
      <c r="I440" s="31" t="inlineStr">
        <is>
          <t>Não</t>
        </is>
      </c>
      <c r="J440" s="36">
        <f>IF(AND(B440&lt;&gt;"",E440&lt;&gt;"",NOT(ISNUMBER(F440))),1,0)</f>
        <v>0</v>
      </c>
    </row>
    <row r="441">
      <c r="A441" s="34" t="n">
        <v>46266</v>
      </c>
      <c r="B441" s="31" t="inlineStr">
        <is>
          <t>Ana</t>
        </is>
      </c>
      <c r="C441" s="31" t="inlineStr">
        <is>
          <t>Gestão e reuniões</t>
        </is>
      </c>
      <c r="D441" s="29" t="inlineStr">
        <is>
          <t>Financeiro</t>
        </is>
      </c>
      <c r="E441" s="35" t="n">
        <v>3.5</v>
      </c>
      <c r="F441" s="26">
        <f>IF(OR(B441="",E441=""),"",IFERROR(IF(ISNUMBER(INDEX(Config!$D$11:$D$20,MATCH(B441,Config!$A$11:$A$20,0))),E441*INDEX(Config!$D$11:$D$20,MATCH(B441,Config!$A$11:$A$20,0)),"cadastro de custo incompleto em Config"),"pessoa sem custo-hora em Config"))</f>
        <v>245</v>
      </c>
      <c r="G441" s="25">
        <f>IF(A441="","",MONTH(A441))</f>
        <v>9</v>
      </c>
      <c r="H441" s="25">
        <f>IF(A441="","",YEAR(A441))</f>
        <v>2026</v>
      </c>
      <c r="I441" s="31" t="inlineStr">
        <is>
          <t>Não</t>
        </is>
      </c>
      <c r="J441" s="36">
        <f>IF(AND(B441&lt;&gt;"",E441&lt;&gt;"",NOT(ISNUMBER(F441))),1,0)</f>
        <v>0</v>
      </c>
    </row>
    <row r="442">
      <c r="A442" s="34" t="n">
        <v>46266</v>
      </c>
      <c r="B442" s="31" t="inlineStr">
        <is>
          <t>Bruno</t>
        </is>
      </c>
      <c r="C442" s="31" t="inlineStr">
        <is>
          <t>Site novo · Loja Verde</t>
        </is>
      </c>
      <c r="D442" s="29" t="inlineStr">
        <is>
          <t>Textos</t>
        </is>
      </c>
      <c r="E442" s="35" t="n">
        <v>4</v>
      </c>
      <c r="F442" s="26">
        <f>IF(OR(B442="",E442=""),"",IFERROR(IF(ISNUMBER(INDEX(Config!$D$11:$D$20,MATCH(B442,Config!$A$11:$A$20,0))),E442*INDEX(Config!$D$11:$D$20,MATCH(B442,Config!$A$11:$A$20,0)),"cadastro de custo incompleto em Config"),"pessoa sem custo-hora em Config"))</f>
        <v>205.714285714286</v>
      </c>
      <c r="G442" s="25">
        <f>IF(A442="","",MONTH(A442))</f>
        <v>9</v>
      </c>
      <c r="H442" s="25">
        <f>IF(A442="","",YEAR(A442))</f>
        <v>2026</v>
      </c>
      <c r="I442" s="31" t="inlineStr">
        <is>
          <t>Sim</t>
        </is>
      </c>
      <c r="J442" s="36">
        <f>IF(AND(B442&lt;&gt;"",E442&lt;&gt;"",NOT(ISNUMBER(F442))),1,0)</f>
        <v>0</v>
      </c>
    </row>
    <row r="443">
      <c r="A443" s="34" t="n">
        <v>46266</v>
      </c>
      <c r="B443" s="31" t="inlineStr">
        <is>
          <t>Bruno</t>
        </is>
      </c>
      <c r="C443" s="31" t="inlineStr">
        <is>
          <t>Campanha de fim de ano · Bistrô 42</t>
        </is>
      </c>
      <c r="D443" s="29" t="inlineStr">
        <is>
          <t>Reunião com cliente</t>
        </is>
      </c>
      <c r="E443" s="35" t="n">
        <v>3</v>
      </c>
      <c r="F443" s="26">
        <f>IF(OR(B443="",E443=""),"",IFERROR(IF(ISNUMBER(INDEX(Config!$D$11:$D$20,MATCH(B443,Config!$A$11:$A$20,0))),E443*INDEX(Config!$D$11:$D$20,MATCH(B443,Config!$A$11:$A$20,0)),"cadastro de custo incompleto em Config"),"pessoa sem custo-hora em Config"))</f>
        <v>154.285714285714</v>
      </c>
      <c r="G443" s="25">
        <f>IF(A443="","",MONTH(A443))</f>
        <v>9</v>
      </c>
      <c r="H443" s="25">
        <f>IF(A443="","",YEAR(A443))</f>
        <v>2026</v>
      </c>
      <c r="I443" s="31" t="inlineStr">
        <is>
          <t>Sim</t>
        </is>
      </c>
      <c r="J443" s="36">
        <f>IF(AND(B443&lt;&gt;"",E443&lt;&gt;"",NOT(ISNUMBER(F443))),1,0)</f>
        <v>0</v>
      </c>
    </row>
    <row r="444">
      <c r="A444" s="34" t="n">
        <v>46266</v>
      </c>
      <c r="B444" s="31" t="inlineStr">
        <is>
          <t>Bruno</t>
        </is>
      </c>
      <c r="C444" s="31" t="inlineStr">
        <is>
          <t>Identidade visual · Padaria do Sol</t>
        </is>
      </c>
      <c r="D444" s="29" t="inlineStr">
        <is>
          <t>Logo</t>
        </is>
      </c>
      <c r="E444" s="35" t="n">
        <v>1.5</v>
      </c>
      <c r="F444" s="26">
        <f>IF(OR(B444="",E444=""),"",IFERROR(IF(ISNUMBER(INDEX(Config!$D$11:$D$20,MATCH(B444,Config!$A$11:$A$20,0))),E444*INDEX(Config!$D$11:$D$20,MATCH(B444,Config!$A$11:$A$20,0)),"cadastro de custo incompleto em Config"),"pessoa sem custo-hora em Config"))</f>
        <v>77.1428571428571</v>
      </c>
      <c r="G444" s="25">
        <f>IF(A444="","",MONTH(A444))</f>
        <v>9</v>
      </c>
      <c r="H444" s="25">
        <f>IF(A444="","",YEAR(A444))</f>
        <v>2026</v>
      </c>
      <c r="I444" s="31" t="inlineStr">
        <is>
          <t>Sim</t>
        </is>
      </c>
      <c r="J444" s="36">
        <f>IF(AND(B444&lt;&gt;"",E444&lt;&gt;"",NOT(ISNUMBER(F444))),1,0)</f>
        <v>0</v>
      </c>
    </row>
    <row r="445">
      <c r="A445" s="34" t="n">
        <v>46266</v>
      </c>
      <c r="B445" s="31" t="inlineStr">
        <is>
          <t>Bruno</t>
        </is>
      </c>
      <c r="C445" s="31" t="inlineStr">
        <is>
          <t>Gestão e reuniões</t>
        </is>
      </c>
      <c r="D445" s="29" t="inlineStr">
        <is>
          <t>Semanal</t>
        </is>
      </c>
      <c r="E445" s="35" t="n">
        <v>1</v>
      </c>
      <c r="F445" s="26">
        <f>IF(OR(B445="",E445=""),"",IFERROR(IF(ISNUMBER(INDEX(Config!$D$11:$D$20,MATCH(B445,Config!$A$11:$A$20,0))),E445*INDEX(Config!$D$11:$D$20,MATCH(B445,Config!$A$11:$A$20,0)),"cadastro de custo incompleto em Config"),"pessoa sem custo-hora em Config"))</f>
        <v>51.4285714285714</v>
      </c>
      <c r="G445" s="25">
        <f>IF(A445="","",MONTH(A445))</f>
        <v>9</v>
      </c>
      <c r="H445" s="25">
        <f>IF(A445="","",YEAR(A445))</f>
        <v>2026</v>
      </c>
      <c r="I445" s="31" t="inlineStr">
        <is>
          <t>Não</t>
        </is>
      </c>
      <c r="J445" s="36">
        <f>IF(AND(B445&lt;&gt;"",E445&lt;&gt;"",NOT(ISNUMBER(F445))),1,0)</f>
        <v>0</v>
      </c>
    </row>
    <row r="446">
      <c r="A446" s="34" t="n">
        <v>46266</v>
      </c>
      <c r="B446" s="31" t="inlineStr">
        <is>
          <t>Carla</t>
        </is>
      </c>
      <c r="C446" s="31" t="inlineStr">
        <is>
          <t>Campanha de fim de ano · Bistrô 42</t>
        </is>
      </c>
      <c r="D446" s="29" t="inlineStr">
        <is>
          <t>Reunião com cliente</t>
        </is>
      </c>
      <c r="E446" s="35" t="n">
        <v>4</v>
      </c>
      <c r="F446" s="26">
        <f>IF(OR(B446="",E446=""),"",IFERROR(IF(ISNUMBER(INDEX(Config!$D$11:$D$20,MATCH(B446,Config!$A$11:$A$20,0))),E446*INDEX(Config!$D$11:$D$20,MATCH(B446,Config!$A$11:$A$20,0)),"cadastro de custo incompleto em Config"),"pessoa sem custo-hora em Config"))</f>
        <v>185.714285714286</v>
      </c>
      <c r="G446" s="25">
        <f>IF(A446="","",MONTH(A446))</f>
        <v>9</v>
      </c>
      <c r="H446" s="25">
        <f>IF(A446="","",YEAR(A446))</f>
        <v>2026</v>
      </c>
      <c r="I446" s="31" t="inlineStr">
        <is>
          <t>Sim</t>
        </is>
      </c>
      <c r="J446" s="36">
        <f>IF(AND(B446&lt;&gt;"",E446&lt;&gt;"",NOT(ISNUMBER(F446))),1,0)</f>
        <v>0</v>
      </c>
    </row>
    <row r="447">
      <c r="A447" s="34" t="n">
        <v>46266</v>
      </c>
      <c r="B447" s="31" t="inlineStr">
        <is>
          <t>Carla</t>
        </is>
      </c>
      <c r="C447" s="31" t="inlineStr">
        <is>
          <t>Site novo · Loja Verde</t>
        </is>
      </c>
      <c r="D447" s="29" t="inlineStr">
        <is>
          <t>Implementação</t>
        </is>
      </c>
      <c r="E447" s="35" t="n">
        <v>1.5</v>
      </c>
      <c r="F447" s="26">
        <f>IF(OR(B447="",E447=""),"",IFERROR(IF(ISNUMBER(INDEX(Config!$D$11:$D$20,MATCH(B447,Config!$A$11:$A$20,0))),E447*INDEX(Config!$D$11:$D$20,MATCH(B447,Config!$A$11:$A$20,0)),"cadastro de custo incompleto em Config"),"pessoa sem custo-hora em Config"))</f>
        <v>69.6428571428571</v>
      </c>
      <c r="G447" s="25">
        <f>IF(A447="","",MONTH(A447))</f>
        <v>9</v>
      </c>
      <c r="H447" s="25">
        <f>IF(A447="","",YEAR(A447))</f>
        <v>2026</v>
      </c>
      <c r="I447" s="31" t="inlineStr">
        <is>
          <t>Sim</t>
        </is>
      </c>
      <c r="J447" s="36">
        <f>IF(AND(B447&lt;&gt;"",E447&lt;&gt;"",NOT(ISNUMBER(F447))),1,0)</f>
        <v>0</v>
      </c>
    </row>
    <row r="448">
      <c r="A448" s="34" t="n">
        <v>46266</v>
      </c>
      <c r="B448" s="31" t="inlineStr">
        <is>
          <t>Carla</t>
        </is>
      </c>
      <c r="C448" s="31" t="inlineStr">
        <is>
          <t>Comercial e propostas</t>
        </is>
      </c>
      <c r="D448" s="29" t="inlineStr">
        <is>
          <t>Reunião comercial</t>
        </is>
      </c>
      <c r="E448" s="35" t="n">
        <v>3</v>
      </c>
      <c r="F448" s="26">
        <f>IF(OR(B448="",E448=""),"",IFERROR(IF(ISNUMBER(INDEX(Config!$D$11:$D$20,MATCH(B448,Config!$A$11:$A$20,0))),E448*INDEX(Config!$D$11:$D$20,MATCH(B448,Config!$A$11:$A$20,0)),"cadastro de custo incompleto em Config"),"pessoa sem custo-hora em Config"))</f>
        <v>139.285714285714</v>
      </c>
      <c r="G448" s="25">
        <f>IF(A448="","",MONTH(A448))</f>
        <v>9</v>
      </c>
      <c r="H448" s="25">
        <f>IF(A448="","",YEAR(A448))</f>
        <v>2026</v>
      </c>
      <c r="I448" s="31" t="inlineStr">
        <is>
          <t>Não</t>
        </is>
      </c>
      <c r="J448" s="36">
        <f>IF(AND(B448&lt;&gt;"",E448&lt;&gt;"",NOT(ISNUMBER(F448))),1,0)</f>
        <v>0</v>
      </c>
    </row>
    <row r="449">
      <c r="A449" s="34" t="n">
        <v>46266</v>
      </c>
      <c r="B449" s="31" t="inlineStr">
        <is>
          <t>Carla</t>
        </is>
      </c>
      <c r="C449" s="31" t="inlineStr">
        <is>
          <t>Gestão e reuniões</t>
        </is>
      </c>
      <c r="D449" s="29" t="inlineStr">
        <is>
          <t>Financeiro</t>
        </is>
      </c>
      <c r="E449" s="35" t="n">
        <v>1</v>
      </c>
      <c r="F449" s="26">
        <f>IF(OR(B449="",E449=""),"",IFERROR(IF(ISNUMBER(INDEX(Config!$D$11:$D$20,MATCH(B449,Config!$A$11:$A$20,0))),E449*INDEX(Config!$D$11:$D$20,MATCH(B449,Config!$A$11:$A$20,0)),"cadastro de custo incompleto em Config"),"pessoa sem custo-hora em Config"))</f>
        <v>46.4285714285714</v>
      </c>
      <c r="G449" s="25">
        <f>IF(A449="","",MONTH(A449))</f>
        <v>9</v>
      </c>
      <c r="H449" s="25">
        <f>IF(A449="","",YEAR(A449))</f>
        <v>2026</v>
      </c>
      <c r="I449" s="31" t="inlineStr">
        <is>
          <t>Não</t>
        </is>
      </c>
      <c r="J449" s="36">
        <f>IF(AND(B449&lt;&gt;"",E449&lt;&gt;"",NOT(ISNUMBER(F449))),1,0)</f>
        <v>0</v>
      </c>
    </row>
    <row r="450">
      <c r="A450" s="34" t="n">
        <v>46266</v>
      </c>
      <c r="B450" s="31" t="inlineStr">
        <is>
          <t>Diego</t>
        </is>
      </c>
      <c r="C450" s="31" t="inlineStr">
        <is>
          <t>Site novo · Loja Verde</t>
        </is>
      </c>
      <c r="D450" s="29" t="inlineStr">
        <is>
          <t>Reunião com cliente</t>
        </is>
      </c>
      <c r="E450" s="35" t="n">
        <v>6.5</v>
      </c>
      <c r="F450" s="26">
        <f>IF(OR(B450="",E450=""),"",IFERROR(IF(ISNUMBER(INDEX(Config!$D$11:$D$20,MATCH(B450,Config!$A$11:$A$20,0))),E450*INDEX(Config!$D$11:$D$20,MATCH(B450,Config!$A$11:$A$20,0)),"cadastro de custo incompleto em Config"),"pessoa sem custo-hora em Config"))</f>
        <v>314.166666666667</v>
      </c>
      <c r="G450" s="25">
        <f>IF(A450="","",MONTH(A450))</f>
        <v>9</v>
      </c>
      <c r="H450" s="25">
        <f>IF(A450="","",YEAR(A450))</f>
        <v>2026</v>
      </c>
      <c r="I450" s="31" t="inlineStr">
        <is>
          <t>Sim</t>
        </is>
      </c>
      <c r="J450" s="36">
        <f>IF(AND(B450&lt;&gt;"",E450&lt;&gt;"",NOT(ISNUMBER(F450))),1,0)</f>
        <v>0</v>
      </c>
    </row>
    <row r="451">
      <c r="A451" s="34" t="n">
        <v>46266</v>
      </c>
      <c r="B451" s="31" t="inlineStr">
        <is>
          <t>Diego</t>
        </is>
      </c>
      <c r="C451" s="31" t="inlineStr">
        <is>
          <t>Comercial e propostas</t>
        </is>
      </c>
      <c r="D451" s="29" t="inlineStr">
        <is>
          <t>Reunião comercial</t>
        </is>
      </c>
      <c r="E451" s="35" t="n">
        <v>1</v>
      </c>
      <c r="F451" s="26">
        <f>IF(OR(B451="",E451=""),"",IFERROR(IF(ISNUMBER(INDEX(Config!$D$11:$D$20,MATCH(B451,Config!$A$11:$A$20,0))),E451*INDEX(Config!$D$11:$D$20,MATCH(B451,Config!$A$11:$A$20,0)),"cadastro de custo incompleto em Config"),"pessoa sem custo-hora em Config"))</f>
        <v>48.3333333333333</v>
      </c>
      <c r="G451" s="25">
        <f>IF(A451="","",MONTH(A451))</f>
        <v>9</v>
      </c>
      <c r="H451" s="25">
        <f>IF(A451="","",YEAR(A451))</f>
        <v>2026</v>
      </c>
      <c r="I451" s="31" t="inlineStr">
        <is>
          <t>Não</t>
        </is>
      </c>
      <c r="J451" s="36">
        <f>IF(AND(B451&lt;&gt;"",E451&lt;&gt;"",NOT(ISNUMBER(F451))),1,0)</f>
        <v>0</v>
      </c>
    </row>
    <row r="452">
      <c r="A452" s="34" t="n">
        <v>46266</v>
      </c>
      <c r="B452" s="31" t="inlineStr">
        <is>
          <t>Diego</t>
        </is>
      </c>
      <c r="C452" s="31" t="inlineStr">
        <is>
          <t>Gestão e reuniões</t>
        </is>
      </c>
      <c r="D452" s="29" t="inlineStr">
        <is>
          <t>Financeiro</t>
        </is>
      </c>
      <c r="E452" s="35" t="n">
        <v>2.5</v>
      </c>
      <c r="F452" s="26">
        <f>IF(OR(B452="",E452=""),"",IFERROR(IF(ISNUMBER(INDEX(Config!$D$11:$D$20,MATCH(B452,Config!$A$11:$A$20,0))),E452*INDEX(Config!$D$11:$D$20,MATCH(B452,Config!$A$11:$A$20,0)),"cadastro de custo incompleto em Config"),"pessoa sem custo-hora em Config"))</f>
        <v>120.833333333333</v>
      </c>
      <c r="G452" s="25">
        <f>IF(A452="","",MONTH(A452))</f>
        <v>9</v>
      </c>
      <c r="H452" s="25">
        <f>IF(A452="","",YEAR(A452))</f>
        <v>2026</v>
      </c>
      <c r="I452" s="31" t="inlineStr">
        <is>
          <t>Não</t>
        </is>
      </c>
      <c r="J452" s="36">
        <f>IF(AND(B452&lt;&gt;"",E452&lt;&gt;"",NOT(ISNUMBER(F452))),1,0)</f>
        <v>0</v>
      </c>
    </row>
    <row r="453">
      <c r="A453" s="34" t="n">
        <v>46267</v>
      </c>
      <c r="B453" s="31" t="inlineStr">
        <is>
          <t>Ana</t>
        </is>
      </c>
      <c r="C453" s="31" t="inlineStr">
        <is>
          <t>Site novo · Loja Verde</t>
        </is>
      </c>
      <c r="D453" s="29" t="inlineStr">
        <is>
          <t>Wireframe</t>
        </is>
      </c>
      <c r="E453" s="35" t="n">
        <v>2</v>
      </c>
      <c r="F453" s="26">
        <f>IF(OR(B453="",E453=""),"",IFERROR(IF(ISNUMBER(INDEX(Config!$D$11:$D$20,MATCH(B453,Config!$A$11:$A$20,0))),E453*INDEX(Config!$D$11:$D$20,MATCH(B453,Config!$A$11:$A$20,0)),"cadastro de custo incompleto em Config"),"pessoa sem custo-hora em Config"))</f>
        <v>140</v>
      </c>
      <c r="G453" s="25">
        <f>IF(A453="","",MONTH(A453))</f>
        <v>9</v>
      </c>
      <c r="H453" s="25">
        <f>IF(A453="","",YEAR(A453))</f>
        <v>2026</v>
      </c>
      <c r="I453" s="31" t="inlineStr">
        <is>
          <t>Sim</t>
        </is>
      </c>
      <c r="J453" s="36">
        <f>IF(AND(B453&lt;&gt;"",E453&lt;&gt;"",NOT(ISNUMBER(F453))),1,0)</f>
        <v>0</v>
      </c>
    </row>
    <row r="454">
      <c r="A454" s="34" t="n">
        <v>46267</v>
      </c>
      <c r="B454" s="31" t="inlineStr">
        <is>
          <t>Ana</t>
        </is>
      </c>
      <c r="C454" s="31" t="inlineStr">
        <is>
          <t>Comercial e propostas</t>
        </is>
      </c>
      <c r="D454" s="29" t="inlineStr">
        <is>
          <t>Proposta</t>
        </is>
      </c>
      <c r="E454" s="35" t="n">
        <v>2.5</v>
      </c>
      <c r="F454" s="26">
        <f>IF(OR(B454="",E454=""),"",IFERROR(IF(ISNUMBER(INDEX(Config!$D$11:$D$20,MATCH(B454,Config!$A$11:$A$20,0))),E454*INDEX(Config!$D$11:$D$20,MATCH(B454,Config!$A$11:$A$20,0)),"cadastro de custo incompleto em Config"),"pessoa sem custo-hora em Config"))</f>
        <v>175</v>
      </c>
      <c r="G454" s="25">
        <f>IF(A454="","",MONTH(A454))</f>
        <v>9</v>
      </c>
      <c r="H454" s="25">
        <f>IF(A454="","",YEAR(A454))</f>
        <v>2026</v>
      </c>
      <c r="I454" s="31" t="inlineStr">
        <is>
          <t>Não</t>
        </is>
      </c>
      <c r="J454" s="36">
        <f>IF(AND(B454&lt;&gt;"",E454&lt;&gt;"",NOT(ISNUMBER(F454))),1,0)</f>
        <v>0</v>
      </c>
    </row>
    <row r="455">
      <c r="A455" s="34" t="n">
        <v>46267</v>
      </c>
      <c r="B455" s="31" t="inlineStr">
        <is>
          <t>Ana</t>
        </is>
      </c>
      <c r="C455" s="31" t="inlineStr">
        <is>
          <t>Gestão e reuniões</t>
        </is>
      </c>
      <c r="D455" s="29" t="inlineStr">
        <is>
          <t>Financeiro</t>
        </is>
      </c>
      <c r="E455" s="35" t="n">
        <v>2.5</v>
      </c>
      <c r="F455" s="26">
        <f>IF(OR(B455="",E455=""),"",IFERROR(IF(ISNUMBER(INDEX(Config!$D$11:$D$20,MATCH(B455,Config!$A$11:$A$20,0))),E455*INDEX(Config!$D$11:$D$20,MATCH(B455,Config!$A$11:$A$20,0)),"cadastro de custo incompleto em Config"),"pessoa sem custo-hora em Config"))</f>
        <v>175</v>
      </c>
      <c r="G455" s="25">
        <f>IF(A455="","",MONTH(A455))</f>
        <v>9</v>
      </c>
      <c r="H455" s="25">
        <f>IF(A455="","",YEAR(A455))</f>
        <v>2026</v>
      </c>
      <c r="I455" s="31" t="inlineStr">
        <is>
          <t>Não</t>
        </is>
      </c>
      <c r="J455" s="36">
        <f>IF(AND(B455&lt;&gt;"",E455&lt;&gt;"",NOT(ISNUMBER(F455))),1,0)</f>
        <v>0</v>
      </c>
    </row>
    <row r="456">
      <c r="A456" s="34" t="n">
        <v>46267</v>
      </c>
      <c r="B456" s="31" t="inlineStr">
        <is>
          <t>Bruno</t>
        </is>
      </c>
      <c r="C456" s="31" t="inlineStr">
        <is>
          <t>Site novo · Loja Verde</t>
        </is>
      </c>
      <c r="D456" s="29" t="inlineStr">
        <is>
          <t>Layout</t>
        </is>
      </c>
      <c r="E456" s="35" t="n">
        <v>3</v>
      </c>
      <c r="F456" s="26">
        <f>IF(OR(B456="",E456=""),"",IFERROR(IF(ISNUMBER(INDEX(Config!$D$11:$D$20,MATCH(B456,Config!$A$11:$A$20,0))),E456*INDEX(Config!$D$11:$D$20,MATCH(B456,Config!$A$11:$A$20,0)),"cadastro de custo incompleto em Config"),"pessoa sem custo-hora em Config"))</f>
        <v>154.285714285714</v>
      </c>
      <c r="G456" s="25">
        <f>IF(A456="","",MONTH(A456))</f>
        <v>9</v>
      </c>
      <c r="H456" s="25">
        <f>IF(A456="","",YEAR(A456))</f>
        <v>2026</v>
      </c>
      <c r="I456" s="31" t="inlineStr">
        <is>
          <t>Sim</t>
        </is>
      </c>
      <c r="J456" s="36">
        <f>IF(AND(B456&lt;&gt;"",E456&lt;&gt;"",NOT(ISNUMBER(F456))),1,0)</f>
        <v>0</v>
      </c>
    </row>
    <row r="457">
      <c r="A457" s="34" t="n">
        <v>46267</v>
      </c>
      <c r="B457" s="31" t="inlineStr">
        <is>
          <t>Bruno</t>
        </is>
      </c>
      <c r="C457" s="31" t="inlineStr">
        <is>
          <t>Campanha de fim de ano · Bistrô 42</t>
        </is>
      </c>
      <c r="D457" s="29" t="inlineStr">
        <is>
          <t>Ajustes</t>
        </is>
      </c>
      <c r="E457" s="35" t="n">
        <v>2.5</v>
      </c>
      <c r="F457" s="26">
        <f>IF(OR(B457="",E457=""),"",IFERROR(IF(ISNUMBER(INDEX(Config!$D$11:$D$20,MATCH(B457,Config!$A$11:$A$20,0))),E457*INDEX(Config!$D$11:$D$20,MATCH(B457,Config!$A$11:$A$20,0)),"cadastro de custo incompleto em Config"),"pessoa sem custo-hora em Config"))</f>
        <v>128.571428571429</v>
      </c>
      <c r="G457" s="25">
        <f>IF(A457="","",MONTH(A457))</f>
        <v>9</v>
      </c>
      <c r="H457" s="25">
        <f>IF(A457="","",YEAR(A457))</f>
        <v>2026</v>
      </c>
      <c r="I457" s="31" t="inlineStr">
        <is>
          <t>Sim</t>
        </is>
      </c>
      <c r="J457" s="36">
        <f>IF(AND(B457&lt;&gt;"",E457&lt;&gt;"",NOT(ISNUMBER(F457))),1,0)</f>
        <v>0</v>
      </c>
    </row>
    <row r="458">
      <c r="A458" s="34" t="n">
        <v>46267</v>
      </c>
      <c r="B458" s="31" t="inlineStr">
        <is>
          <t>Bruno</t>
        </is>
      </c>
      <c r="C458" s="31" t="inlineStr">
        <is>
          <t>Identidade visual · Padaria do Sol</t>
        </is>
      </c>
      <c r="D458" s="29" t="inlineStr">
        <is>
          <t>Aplicações</t>
        </is>
      </c>
      <c r="E458" s="35" t="n">
        <v>1.5</v>
      </c>
      <c r="F458" s="26">
        <f>IF(OR(B458="",E458=""),"",IFERROR(IF(ISNUMBER(INDEX(Config!$D$11:$D$20,MATCH(B458,Config!$A$11:$A$20,0))),E458*INDEX(Config!$D$11:$D$20,MATCH(B458,Config!$A$11:$A$20,0)),"cadastro de custo incompleto em Config"),"pessoa sem custo-hora em Config"))</f>
        <v>77.1428571428571</v>
      </c>
      <c r="G458" s="25">
        <f>IF(A458="","",MONTH(A458))</f>
        <v>9</v>
      </c>
      <c r="H458" s="25">
        <f>IF(A458="","",YEAR(A458))</f>
        <v>2026</v>
      </c>
      <c r="I458" s="31" t="inlineStr">
        <is>
          <t>Sim</t>
        </is>
      </c>
      <c r="J458" s="36">
        <f>IF(AND(B458&lt;&gt;"",E458&lt;&gt;"",NOT(ISNUMBER(F458))),1,0)</f>
        <v>0</v>
      </c>
    </row>
    <row r="459">
      <c r="A459" s="34" t="n">
        <v>46267</v>
      </c>
      <c r="B459" s="31" t="inlineStr">
        <is>
          <t>Bruno</t>
        </is>
      </c>
      <c r="C459" s="31" t="inlineStr">
        <is>
          <t>Gestão e reuniões</t>
        </is>
      </c>
      <c r="D459" s="29" t="inlineStr">
        <is>
          <t>Planejamento</t>
        </is>
      </c>
      <c r="E459" s="35" t="n">
        <v>1</v>
      </c>
      <c r="F459" s="26">
        <f>IF(OR(B459="",E459=""),"",IFERROR(IF(ISNUMBER(INDEX(Config!$D$11:$D$20,MATCH(B459,Config!$A$11:$A$20,0))),E459*INDEX(Config!$D$11:$D$20,MATCH(B459,Config!$A$11:$A$20,0)),"cadastro de custo incompleto em Config"),"pessoa sem custo-hora em Config"))</f>
        <v>51.4285714285714</v>
      </c>
      <c r="G459" s="25">
        <f>IF(A459="","",MONTH(A459))</f>
        <v>9</v>
      </c>
      <c r="H459" s="25">
        <f>IF(A459="","",YEAR(A459))</f>
        <v>2026</v>
      </c>
      <c r="I459" s="31" t="inlineStr">
        <is>
          <t>Não</t>
        </is>
      </c>
      <c r="J459" s="36">
        <f>IF(AND(B459&lt;&gt;"",E459&lt;&gt;"",NOT(ISNUMBER(F459))),1,0)</f>
        <v>0</v>
      </c>
    </row>
    <row r="460">
      <c r="A460" s="34" t="n">
        <v>46267</v>
      </c>
      <c r="B460" s="31" t="inlineStr">
        <is>
          <t>Carla</t>
        </is>
      </c>
      <c r="C460" s="31" t="inlineStr">
        <is>
          <t>Campanha de fim de ano · Bistrô 42</t>
        </is>
      </c>
      <c r="D460" s="29" t="inlineStr">
        <is>
          <t>Peças</t>
        </is>
      </c>
      <c r="E460" s="35" t="n">
        <v>3</v>
      </c>
      <c r="F460" s="26">
        <f>IF(OR(B460="",E460=""),"",IFERROR(IF(ISNUMBER(INDEX(Config!$D$11:$D$20,MATCH(B460,Config!$A$11:$A$20,0))),E460*INDEX(Config!$D$11:$D$20,MATCH(B460,Config!$A$11:$A$20,0)),"cadastro de custo incompleto em Config"),"pessoa sem custo-hora em Config"))</f>
        <v>139.285714285714</v>
      </c>
      <c r="G460" s="25">
        <f>IF(A460="","",MONTH(A460))</f>
        <v>9</v>
      </c>
      <c r="H460" s="25">
        <f>IF(A460="","",YEAR(A460))</f>
        <v>2026</v>
      </c>
      <c r="I460" s="31" t="inlineStr">
        <is>
          <t>Sim</t>
        </is>
      </c>
      <c r="J460" s="36">
        <f>IF(AND(B460&lt;&gt;"",E460&lt;&gt;"",NOT(ISNUMBER(F460))),1,0)</f>
        <v>0</v>
      </c>
    </row>
    <row r="461">
      <c r="A461" s="34" t="n">
        <v>46267</v>
      </c>
      <c r="B461" s="31" t="inlineStr">
        <is>
          <t>Carla</t>
        </is>
      </c>
      <c r="C461" s="31" t="inlineStr">
        <is>
          <t>Site novo · Loja Verde</t>
        </is>
      </c>
      <c r="D461" s="29" t="inlineStr">
        <is>
          <t>Reunião com cliente</t>
        </is>
      </c>
      <c r="E461" s="35" t="n">
        <v>2</v>
      </c>
      <c r="F461" s="26">
        <f>IF(OR(B461="",E461=""),"",IFERROR(IF(ISNUMBER(INDEX(Config!$D$11:$D$20,MATCH(B461,Config!$A$11:$A$20,0))),E461*INDEX(Config!$D$11:$D$20,MATCH(B461,Config!$A$11:$A$20,0)),"cadastro de custo incompleto em Config"),"pessoa sem custo-hora em Config"))</f>
        <v>92.8571428571429</v>
      </c>
      <c r="G461" s="25">
        <f>IF(A461="","",MONTH(A461))</f>
        <v>9</v>
      </c>
      <c r="H461" s="25">
        <f>IF(A461="","",YEAR(A461))</f>
        <v>2026</v>
      </c>
      <c r="I461" s="31" t="inlineStr">
        <is>
          <t>Sim</t>
        </is>
      </c>
      <c r="J461" s="36">
        <f>IF(AND(B461&lt;&gt;"",E461&lt;&gt;"",NOT(ISNUMBER(F461))),1,0)</f>
        <v>0</v>
      </c>
    </row>
    <row r="462">
      <c r="A462" s="34" t="n">
        <v>46267</v>
      </c>
      <c r="B462" s="31" t="inlineStr">
        <is>
          <t>Carla</t>
        </is>
      </c>
      <c r="C462" s="31" t="inlineStr">
        <is>
          <t>Comercial e propostas</t>
        </is>
      </c>
      <c r="D462" s="29" t="inlineStr">
        <is>
          <t>Proposta</t>
        </is>
      </c>
      <c r="E462" s="35" t="n">
        <v>2.5</v>
      </c>
      <c r="F462" s="26">
        <f>IF(OR(B462="",E462=""),"",IFERROR(IF(ISNUMBER(INDEX(Config!$D$11:$D$20,MATCH(B462,Config!$A$11:$A$20,0))),E462*INDEX(Config!$D$11:$D$20,MATCH(B462,Config!$A$11:$A$20,0)),"cadastro de custo incompleto em Config"),"pessoa sem custo-hora em Config"))</f>
        <v>116.071428571429</v>
      </c>
      <c r="G462" s="25">
        <f>IF(A462="","",MONTH(A462))</f>
        <v>9</v>
      </c>
      <c r="H462" s="25">
        <f>IF(A462="","",YEAR(A462))</f>
        <v>2026</v>
      </c>
      <c r="I462" s="31" t="inlineStr">
        <is>
          <t>Não</t>
        </is>
      </c>
      <c r="J462" s="36">
        <f>IF(AND(B462&lt;&gt;"",E462&lt;&gt;"",NOT(ISNUMBER(F462))),1,0)</f>
        <v>0</v>
      </c>
    </row>
    <row r="463">
      <c r="A463" s="34" t="n">
        <v>46267</v>
      </c>
      <c r="B463" s="31" t="inlineStr">
        <is>
          <t>Carla</t>
        </is>
      </c>
      <c r="C463" s="31" t="inlineStr">
        <is>
          <t>Gestão e reuniões</t>
        </is>
      </c>
      <c r="D463" s="29" t="inlineStr">
        <is>
          <t>Semanal</t>
        </is>
      </c>
      <c r="E463" s="35" t="n">
        <v>0.5</v>
      </c>
      <c r="F463" s="26">
        <f>IF(OR(B463="",E463=""),"",IFERROR(IF(ISNUMBER(INDEX(Config!$D$11:$D$20,MATCH(B463,Config!$A$11:$A$20,0))),E463*INDEX(Config!$D$11:$D$20,MATCH(B463,Config!$A$11:$A$20,0)),"cadastro de custo incompleto em Config"),"pessoa sem custo-hora em Config"))</f>
        <v>23.2142857142857</v>
      </c>
      <c r="G463" s="25">
        <f>IF(A463="","",MONTH(A463))</f>
        <v>9</v>
      </c>
      <c r="H463" s="25">
        <f>IF(A463="","",YEAR(A463))</f>
        <v>2026</v>
      </c>
      <c r="I463" s="31" t="inlineStr">
        <is>
          <t>Não</t>
        </is>
      </c>
      <c r="J463" s="36">
        <f>IF(AND(B463&lt;&gt;"",E463&lt;&gt;"",NOT(ISNUMBER(F463))),1,0)</f>
        <v>0</v>
      </c>
    </row>
    <row r="464">
      <c r="A464" s="34" t="n">
        <v>46267</v>
      </c>
      <c r="B464" s="31" t="inlineStr">
        <is>
          <t>Diego</t>
        </is>
      </c>
      <c r="C464" s="31" t="inlineStr">
        <is>
          <t>Site novo · Loja Verde</t>
        </is>
      </c>
      <c r="D464" s="29" t="inlineStr">
        <is>
          <t>Wireframe</t>
        </is>
      </c>
      <c r="E464" s="35" t="n">
        <v>5.5</v>
      </c>
      <c r="F464" s="26">
        <f>IF(OR(B464="",E464=""),"",IFERROR(IF(ISNUMBER(INDEX(Config!$D$11:$D$20,MATCH(B464,Config!$A$11:$A$20,0))),E464*INDEX(Config!$D$11:$D$20,MATCH(B464,Config!$A$11:$A$20,0)),"cadastro de custo incompleto em Config"),"pessoa sem custo-hora em Config"))</f>
        <v>265.833333333333</v>
      </c>
      <c r="G464" s="25">
        <f>IF(A464="","",MONTH(A464))</f>
        <v>9</v>
      </c>
      <c r="H464" s="25">
        <f>IF(A464="","",YEAR(A464))</f>
        <v>2026</v>
      </c>
      <c r="I464" s="31" t="inlineStr">
        <is>
          <t>Sim</t>
        </is>
      </c>
      <c r="J464" s="36">
        <f>IF(AND(B464&lt;&gt;"",E464&lt;&gt;"",NOT(ISNUMBER(F464))),1,0)</f>
        <v>0</v>
      </c>
    </row>
    <row r="465">
      <c r="A465" s="34" t="n">
        <v>46267</v>
      </c>
      <c r="B465" s="31" t="inlineStr">
        <is>
          <t>Diego</t>
        </is>
      </c>
      <c r="C465" s="31" t="inlineStr">
        <is>
          <t>Comercial e propostas</t>
        </is>
      </c>
      <c r="D465" s="29" t="inlineStr">
        <is>
          <t>Reunião comercial</t>
        </is>
      </c>
      <c r="E465" s="35" t="n">
        <v>0.5</v>
      </c>
      <c r="F465" s="26">
        <f>IF(OR(B465="",E465=""),"",IFERROR(IF(ISNUMBER(INDEX(Config!$D$11:$D$20,MATCH(B465,Config!$A$11:$A$20,0))),E465*INDEX(Config!$D$11:$D$20,MATCH(B465,Config!$A$11:$A$20,0)),"cadastro de custo incompleto em Config"),"pessoa sem custo-hora em Config"))</f>
        <v>24.1666666666667</v>
      </c>
      <c r="G465" s="25">
        <f>IF(A465="","",MONTH(A465))</f>
        <v>9</v>
      </c>
      <c r="H465" s="25">
        <f>IF(A465="","",YEAR(A465))</f>
        <v>2026</v>
      </c>
      <c r="I465" s="31" t="inlineStr">
        <is>
          <t>Não</t>
        </is>
      </c>
      <c r="J465" s="36">
        <f>IF(AND(B465&lt;&gt;"",E465&lt;&gt;"",NOT(ISNUMBER(F465))),1,0)</f>
        <v>0</v>
      </c>
    </row>
    <row r="466">
      <c r="A466" s="34" t="n">
        <v>46267</v>
      </c>
      <c r="B466" s="31" t="inlineStr">
        <is>
          <t>Diego</t>
        </is>
      </c>
      <c r="C466" s="31" t="inlineStr">
        <is>
          <t>Gestão e reuniões</t>
        </is>
      </c>
      <c r="D466" s="29" t="inlineStr">
        <is>
          <t>Planejamento</t>
        </is>
      </c>
      <c r="E466" s="35" t="n">
        <v>2.5</v>
      </c>
      <c r="F466" s="26">
        <f>IF(OR(B466="",E466=""),"",IFERROR(IF(ISNUMBER(INDEX(Config!$D$11:$D$20,MATCH(B466,Config!$A$11:$A$20,0))),E466*INDEX(Config!$D$11:$D$20,MATCH(B466,Config!$A$11:$A$20,0)),"cadastro de custo incompleto em Config"),"pessoa sem custo-hora em Config"))</f>
        <v>120.833333333333</v>
      </c>
      <c r="G466" s="25">
        <f>IF(A466="","",MONTH(A466))</f>
        <v>9</v>
      </c>
      <c r="H466" s="25">
        <f>IF(A466="","",YEAR(A466))</f>
        <v>2026</v>
      </c>
      <c r="I466" s="31" t="inlineStr">
        <is>
          <t>Não</t>
        </is>
      </c>
      <c r="J466" s="36">
        <f>IF(AND(B466&lt;&gt;"",E466&lt;&gt;"",NOT(ISNUMBER(F466))),1,0)</f>
        <v>0</v>
      </c>
    </row>
    <row r="467">
      <c r="A467" s="34" t="n">
        <v>46268</v>
      </c>
      <c r="B467" s="31" t="inlineStr">
        <is>
          <t>Ana</t>
        </is>
      </c>
      <c r="C467" s="31" t="inlineStr">
        <is>
          <t>Site novo · Loja Verde</t>
        </is>
      </c>
      <c r="D467" s="29" t="inlineStr">
        <is>
          <t>Textos</t>
        </is>
      </c>
      <c r="E467" s="35" t="n">
        <v>2</v>
      </c>
      <c r="F467" s="26">
        <f>IF(OR(B467="",E467=""),"",IFERROR(IF(ISNUMBER(INDEX(Config!$D$11:$D$20,MATCH(B467,Config!$A$11:$A$20,0))),E467*INDEX(Config!$D$11:$D$20,MATCH(B467,Config!$A$11:$A$20,0)),"cadastro de custo incompleto em Config"),"pessoa sem custo-hora em Config"))</f>
        <v>140</v>
      </c>
      <c r="G467" s="25">
        <f>IF(A467="","",MONTH(A467))</f>
        <v>9</v>
      </c>
      <c r="H467" s="25">
        <f>IF(A467="","",YEAR(A467))</f>
        <v>2026</v>
      </c>
      <c r="I467" s="31" t="inlineStr">
        <is>
          <t>Sim</t>
        </is>
      </c>
      <c r="J467" s="36">
        <f>IF(AND(B467&lt;&gt;"",E467&lt;&gt;"",NOT(ISNUMBER(F467))),1,0)</f>
        <v>0</v>
      </c>
    </row>
    <row r="468">
      <c r="A468" s="34" t="n">
        <v>46268</v>
      </c>
      <c r="B468" s="31" t="inlineStr">
        <is>
          <t>Ana</t>
        </is>
      </c>
      <c r="C468" s="31" t="inlineStr">
        <is>
          <t>Comercial e propostas</t>
        </is>
      </c>
      <c r="D468" s="29" t="inlineStr">
        <is>
          <t>Proposta</t>
        </is>
      </c>
      <c r="E468" s="35" t="n">
        <v>2</v>
      </c>
      <c r="F468" s="26">
        <f>IF(OR(B468="",E468=""),"",IFERROR(IF(ISNUMBER(INDEX(Config!$D$11:$D$20,MATCH(B468,Config!$A$11:$A$20,0))),E468*INDEX(Config!$D$11:$D$20,MATCH(B468,Config!$A$11:$A$20,0)),"cadastro de custo incompleto em Config"),"pessoa sem custo-hora em Config"))</f>
        <v>140</v>
      </c>
      <c r="G468" s="25">
        <f>IF(A468="","",MONTH(A468))</f>
        <v>9</v>
      </c>
      <c r="H468" s="25">
        <f>IF(A468="","",YEAR(A468))</f>
        <v>2026</v>
      </c>
      <c r="I468" s="31" t="inlineStr">
        <is>
          <t>Não</t>
        </is>
      </c>
      <c r="J468" s="36">
        <f>IF(AND(B468&lt;&gt;"",E468&lt;&gt;"",NOT(ISNUMBER(F468))),1,0)</f>
        <v>0</v>
      </c>
    </row>
    <row r="469">
      <c r="A469" s="34" t="n">
        <v>46268</v>
      </c>
      <c r="B469" s="31" t="inlineStr">
        <is>
          <t>Ana</t>
        </is>
      </c>
      <c r="C469" s="31" t="inlineStr">
        <is>
          <t>Gestão e reuniões</t>
        </is>
      </c>
      <c r="D469" s="29" t="inlineStr">
        <is>
          <t>Planejamento</t>
        </is>
      </c>
      <c r="E469" s="35" t="n">
        <v>2.5</v>
      </c>
      <c r="F469" s="26">
        <f>IF(OR(B469="",E469=""),"",IFERROR(IF(ISNUMBER(INDEX(Config!$D$11:$D$20,MATCH(B469,Config!$A$11:$A$20,0))),E469*INDEX(Config!$D$11:$D$20,MATCH(B469,Config!$A$11:$A$20,0)),"cadastro de custo incompleto em Config"),"pessoa sem custo-hora em Config"))</f>
        <v>175</v>
      </c>
      <c r="G469" s="25">
        <f>IF(A469="","",MONTH(A469))</f>
        <v>9</v>
      </c>
      <c r="H469" s="25">
        <f>IF(A469="","",YEAR(A469))</f>
        <v>2026</v>
      </c>
      <c r="I469" s="31" t="inlineStr">
        <is>
          <t>Não</t>
        </is>
      </c>
      <c r="J469" s="36">
        <f>IF(AND(B469&lt;&gt;"",E469&lt;&gt;"",NOT(ISNUMBER(F469))),1,0)</f>
        <v>0</v>
      </c>
    </row>
    <row r="470">
      <c r="A470" s="34" t="n">
        <v>46268</v>
      </c>
      <c r="B470" s="31" t="inlineStr">
        <is>
          <t>Bruno</t>
        </is>
      </c>
      <c r="C470" s="31" t="inlineStr">
        <is>
          <t>Site novo · Loja Verde</t>
        </is>
      </c>
      <c r="D470" s="29" t="inlineStr">
        <is>
          <t>Reunião com cliente</t>
        </is>
      </c>
      <c r="E470" s="35" t="n">
        <v>2.5</v>
      </c>
      <c r="F470" s="26">
        <f>IF(OR(B470="",E470=""),"",IFERROR(IF(ISNUMBER(INDEX(Config!$D$11:$D$20,MATCH(B470,Config!$A$11:$A$20,0))),E470*INDEX(Config!$D$11:$D$20,MATCH(B470,Config!$A$11:$A$20,0)),"cadastro de custo incompleto em Config"),"pessoa sem custo-hora em Config"))</f>
        <v>128.571428571429</v>
      </c>
      <c r="G470" s="25">
        <f>IF(A470="","",MONTH(A470))</f>
        <v>9</v>
      </c>
      <c r="H470" s="25">
        <f>IF(A470="","",YEAR(A470))</f>
        <v>2026</v>
      </c>
      <c r="I470" s="31" t="inlineStr">
        <is>
          <t>Sim</t>
        </is>
      </c>
      <c r="J470" s="36">
        <f>IF(AND(B470&lt;&gt;"",E470&lt;&gt;"",NOT(ISNUMBER(F470))),1,0)</f>
        <v>0</v>
      </c>
    </row>
    <row r="471">
      <c r="A471" s="34" t="n">
        <v>46268</v>
      </c>
      <c r="B471" s="31" t="inlineStr">
        <is>
          <t>Bruno</t>
        </is>
      </c>
      <c r="C471" s="31" t="inlineStr">
        <is>
          <t>Campanha de fim de ano · Bistrô 42</t>
        </is>
      </c>
      <c r="D471" s="29" t="inlineStr">
        <is>
          <t>Conceito</t>
        </is>
      </c>
      <c r="E471" s="35" t="n">
        <v>2</v>
      </c>
      <c r="F471" s="26">
        <f>IF(OR(B471="",E471=""),"",IFERROR(IF(ISNUMBER(INDEX(Config!$D$11:$D$20,MATCH(B471,Config!$A$11:$A$20,0))),E471*INDEX(Config!$D$11:$D$20,MATCH(B471,Config!$A$11:$A$20,0)),"cadastro de custo incompleto em Config"),"pessoa sem custo-hora em Config"))</f>
        <v>102.857142857143</v>
      </c>
      <c r="G471" s="25">
        <f>IF(A471="","",MONTH(A471))</f>
        <v>9</v>
      </c>
      <c r="H471" s="25">
        <f>IF(A471="","",YEAR(A471))</f>
        <v>2026</v>
      </c>
      <c r="I471" s="31" t="inlineStr">
        <is>
          <t>Sim</t>
        </is>
      </c>
      <c r="J471" s="36">
        <f>IF(AND(B471&lt;&gt;"",E471&lt;&gt;"",NOT(ISNUMBER(F471))),1,0)</f>
        <v>0</v>
      </c>
    </row>
    <row r="472">
      <c r="A472" s="34" t="n">
        <v>46268</v>
      </c>
      <c r="B472" s="31" t="inlineStr">
        <is>
          <t>Bruno</t>
        </is>
      </c>
      <c r="C472" s="31" t="inlineStr">
        <is>
          <t>Identidade visual · Padaria do Sol</t>
        </is>
      </c>
      <c r="D472" s="29" t="inlineStr">
        <is>
          <t>Aplicações</t>
        </is>
      </c>
      <c r="E472" s="35" t="n">
        <v>1</v>
      </c>
      <c r="F472" s="26">
        <f>IF(OR(B472="",E472=""),"",IFERROR(IF(ISNUMBER(INDEX(Config!$D$11:$D$20,MATCH(B472,Config!$A$11:$A$20,0))),E472*INDEX(Config!$D$11:$D$20,MATCH(B472,Config!$A$11:$A$20,0)),"cadastro de custo incompleto em Config"),"pessoa sem custo-hora em Config"))</f>
        <v>51.4285714285714</v>
      </c>
      <c r="G472" s="25">
        <f>IF(A472="","",MONTH(A472))</f>
        <v>9</v>
      </c>
      <c r="H472" s="25">
        <f>IF(A472="","",YEAR(A472))</f>
        <v>2026</v>
      </c>
      <c r="I472" s="31" t="inlineStr">
        <is>
          <t>Sim</t>
        </is>
      </c>
      <c r="J472" s="36">
        <f>IF(AND(B472&lt;&gt;"",E472&lt;&gt;"",NOT(ISNUMBER(F472))),1,0)</f>
        <v>0</v>
      </c>
    </row>
    <row r="473">
      <c r="A473" s="34" t="n">
        <v>46268</v>
      </c>
      <c r="B473" s="31" t="inlineStr">
        <is>
          <t>Bruno</t>
        </is>
      </c>
      <c r="C473" s="31" t="inlineStr">
        <is>
          <t>Gestão e reuniões</t>
        </is>
      </c>
      <c r="D473" s="29" t="inlineStr">
        <is>
          <t>Planejamento</t>
        </is>
      </c>
      <c r="E473" s="35" t="n">
        <v>0.5</v>
      </c>
      <c r="F473" s="26">
        <f>IF(OR(B473="",E473=""),"",IFERROR(IF(ISNUMBER(INDEX(Config!$D$11:$D$20,MATCH(B473,Config!$A$11:$A$20,0))),E473*INDEX(Config!$D$11:$D$20,MATCH(B473,Config!$A$11:$A$20,0)),"cadastro de custo incompleto em Config"),"pessoa sem custo-hora em Config"))</f>
        <v>25.7142857142857</v>
      </c>
      <c r="G473" s="25">
        <f>IF(A473="","",MONTH(A473))</f>
        <v>9</v>
      </c>
      <c r="H473" s="25">
        <f>IF(A473="","",YEAR(A473))</f>
        <v>2026</v>
      </c>
      <c r="I473" s="31" t="inlineStr">
        <is>
          <t>Não</t>
        </is>
      </c>
      <c r="J473" s="36">
        <f>IF(AND(B473&lt;&gt;"",E473&lt;&gt;"",NOT(ISNUMBER(F473))),1,0)</f>
        <v>0</v>
      </c>
    </row>
    <row r="474">
      <c r="A474" s="34" t="n">
        <v>46268</v>
      </c>
      <c r="B474" s="31" t="inlineStr">
        <is>
          <t>Carla</t>
        </is>
      </c>
      <c r="C474" s="31" t="inlineStr">
        <is>
          <t>Campanha de fim de ano · Bistrô 42</t>
        </is>
      </c>
      <c r="D474" s="29" t="inlineStr">
        <is>
          <t>Peças</t>
        </is>
      </c>
      <c r="E474" s="35" t="n">
        <v>3</v>
      </c>
      <c r="F474" s="26">
        <f>IF(OR(B474="",E474=""),"",IFERROR(IF(ISNUMBER(INDEX(Config!$D$11:$D$20,MATCH(B474,Config!$A$11:$A$20,0))),E474*INDEX(Config!$D$11:$D$20,MATCH(B474,Config!$A$11:$A$20,0)),"cadastro de custo incompleto em Config"),"pessoa sem custo-hora em Config"))</f>
        <v>139.285714285714</v>
      </c>
      <c r="G474" s="25">
        <f>IF(A474="","",MONTH(A474))</f>
        <v>9</v>
      </c>
      <c r="H474" s="25">
        <f>IF(A474="","",YEAR(A474))</f>
        <v>2026</v>
      </c>
      <c r="I474" s="31" t="inlineStr">
        <is>
          <t>Sim</t>
        </is>
      </c>
      <c r="J474" s="36">
        <f>IF(AND(B474&lt;&gt;"",E474&lt;&gt;"",NOT(ISNUMBER(F474))),1,0)</f>
        <v>0</v>
      </c>
    </row>
    <row r="475">
      <c r="A475" s="34" t="n">
        <v>46268</v>
      </c>
      <c r="B475" s="31" t="inlineStr">
        <is>
          <t>Carla</t>
        </is>
      </c>
      <c r="C475" s="31" t="inlineStr">
        <is>
          <t>Site novo · Loja Verde</t>
        </is>
      </c>
      <c r="D475" s="29" t="inlineStr">
        <is>
          <t>Wireframe</t>
        </is>
      </c>
      <c r="E475" s="35" t="n">
        <v>1.5</v>
      </c>
      <c r="F475" s="26">
        <f>IF(OR(B475="",E475=""),"",IFERROR(IF(ISNUMBER(INDEX(Config!$D$11:$D$20,MATCH(B475,Config!$A$11:$A$20,0))),E475*INDEX(Config!$D$11:$D$20,MATCH(B475,Config!$A$11:$A$20,0)),"cadastro de custo incompleto em Config"),"pessoa sem custo-hora em Config"))</f>
        <v>69.6428571428571</v>
      </c>
      <c r="G475" s="25">
        <f>IF(A475="","",MONTH(A475))</f>
        <v>9</v>
      </c>
      <c r="H475" s="25">
        <f>IF(A475="","",YEAR(A475))</f>
        <v>2026</v>
      </c>
      <c r="I475" s="31" t="inlineStr">
        <is>
          <t>Sim</t>
        </is>
      </c>
      <c r="J475" s="36">
        <f>IF(AND(B475&lt;&gt;"",E475&lt;&gt;"",NOT(ISNUMBER(F475))),1,0)</f>
        <v>0</v>
      </c>
    </row>
    <row r="476">
      <c r="A476" s="34" t="n">
        <v>46268</v>
      </c>
      <c r="B476" s="31" t="inlineStr">
        <is>
          <t>Carla</t>
        </is>
      </c>
      <c r="C476" s="31" t="inlineStr">
        <is>
          <t>Comercial e propostas</t>
        </is>
      </c>
      <c r="D476" s="29" t="inlineStr">
        <is>
          <t>Reunião comercial</t>
        </is>
      </c>
      <c r="E476" s="35" t="n">
        <v>2.5</v>
      </c>
      <c r="F476" s="26">
        <f>IF(OR(B476="",E476=""),"",IFERROR(IF(ISNUMBER(INDEX(Config!$D$11:$D$20,MATCH(B476,Config!$A$11:$A$20,0))),E476*INDEX(Config!$D$11:$D$20,MATCH(B476,Config!$A$11:$A$20,0)),"cadastro de custo incompleto em Config"),"pessoa sem custo-hora em Config"))</f>
        <v>116.071428571429</v>
      </c>
      <c r="G476" s="25">
        <f>IF(A476="","",MONTH(A476))</f>
        <v>9</v>
      </c>
      <c r="H476" s="25">
        <f>IF(A476="","",YEAR(A476))</f>
        <v>2026</v>
      </c>
      <c r="I476" s="31" t="inlineStr">
        <is>
          <t>Não</t>
        </is>
      </c>
      <c r="J476" s="36">
        <f>IF(AND(B476&lt;&gt;"",E476&lt;&gt;"",NOT(ISNUMBER(F476))),1,0)</f>
        <v>0</v>
      </c>
    </row>
    <row r="477">
      <c r="A477" s="34" t="n">
        <v>46268</v>
      </c>
      <c r="B477" s="31" t="inlineStr">
        <is>
          <t>Carla</t>
        </is>
      </c>
      <c r="C477" s="31" t="inlineStr">
        <is>
          <t>Gestão e reuniões</t>
        </is>
      </c>
      <c r="D477" s="29" t="inlineStr">
        <is>
          <t>Planejamento</t>
        </is>
      </c>
      <c r="E477" s="35" t="n">
        <v>1</v>
      </c>
      <c r="F477" s="26">
        <f>IF(OR(B477="",E477=""),"",IFERROR(IF(ISNUMBER(INDEX(Config!$D$11:$D$20,MATCH(B477,Config!$A$11:$A$20,0))),E477*INDEX(Config!$D$11:$D$20,MATCH(B477,Config!$A$11:$A$20,0)),"cadastro de custo incompleto em Config"),"pessoa sem custo-hora em Config"))</f>
        <v>46.4285714285714</v>
      </c>
      <c r="G477" s="25">
        <f>IF(A477="","",MONTH(A477))</f>
        <v>9</v>
      </c>
      <c r="H477" s="25">
        <f>IF(A477="","",YEAR(A477))</f>
        <v>2026</v>
      </c>
      <c r="I477" s="31" t="inlineStr">
        <is>
          <t>Não</t>
        </is>
      </c>
      <c r="J477" s="36">
        <f>IF(AND(B477&lt;&gt;"",E477&lt;&gt;"",NOT(ISNUMBER(F477))),1,0)</f>
        <v>0</v>
      </c>
    </row>
    <row r="478">
      <c r="A478" s="34" t="n">
        <v>46268</v>
      </c>
      <c r="B478" s="31" t="inlineStr">
        <is>
          <t>Diego</t>
        </is>
      </c>
      <c r="C478" s="31" t="inlineStr">
        <is>
          <t>Site novo · Loja Verde</t>
        </is>
      </c>
      <c r="D478" s="29" t="inlineStr">
        <is>
          <t>Layout</t>
        </is>
      </c>
      <c r="E478" s="35" t="n">
        <v>5</v>
      </c>
      <c r="F478" s="26">
        <f>IF(OR(B478="",E478=""),"",IFERROR(IF(ISNUMBER(INDEX(Config!$D$11:$D$20,MATCH(B478,Config!$A$11:$A$20,0))),E478*INDEX(Config!$D$11:$D$20,MATCH(B478,Config!$A$11:$A$20,0)),"cadastro de custo incompleto em Config"),"pessoa sem custo-hora em Config"))</f>
        <v>241.666666666667</v>
      </c>
      <c r="G478" s="25">
        <f>IF(A478="","",MONTH(A478))</f>
        <v>9</v>
      </c>
      <c r="H478" s="25">
        <f>IF(A478="","",YEAR(A478))</f>
        <v>2026</v>
      </c>
      <c r="I478" s="31" t="inlineStr">
        <is>
          <t>Sim</t>
        </is>
      </c>
      <c r="J478" s="36">
        <f>IF(AND(B478&lt;&gt;"",E478&lt;&gt;"",NOT(ISNUMBER(F478))),1,0)</f>
        <v>0</v>
      </c>
    </row>
    <row r="479">
      <c r="A479" s="34" t="n">
        <v>46268</v>
      </c>
      <c r="B479" s="31" t="inlineStr">
        <is>
          <t>Diego</t>
        </is>
      </c>
      <c r="C479" s="31" t="inlineStr">
        <is>
          <t>Comercial e propostas</t>
        </is>
      </c>
      <c r="D479" s="29" t="inlineStr">
        <is>
          <t>Proposta</t>
        </is>
      </c>
      <c r="E479" s="35" t="n">
        <v>0.5</v>
      </c>
      <c r="F479" s="26">
        <f>IF(OR(B479="",E479=""),"",IFERROR(IF(ISNUMBER(INDEX(Config!$D$11:$D$20,MATCH(B479,Config!$A$11:$A$20,0))),E479*INDEX(Config!$D$11:$D$20,MATCH(B479,Config!$A$11:$A$20,0)),"cadastro de custo incompleto em Config"),"pessoa sem custo-hora em Config"))</f>
        <v>24.1666666666667</v>
      </c>
      <c r="G479" s="25">
        <f>IF(A479="","",MONTH(A479))</f>
        <v>9</v>
      </c>
      <c r="H479" s="25">
        <f>IF(A479="","",YEAR(A479))</f>
        <v>2026</v>
      </c>
      <c r="I479" s="31" t="inlineStr">
        <is>
          <t>Não</t>
        </is>
      </c>
      <c r="J479" s="36">
        <f>IF(AND(B479&lt;&gt;"",E479&lt;&gt;"",NOT(ISNUMBER(F479))),1,0)</f>
        <v>0</v>
      </c>
    </row>
    <row r="480">
      <c r="A480" s="34" t="n">
        <v>46268</v>
      </c>
      <c r="B480" s="31" t="inlineStr">
        <is>
          <t>Diego</t>
        </is>
      </c>
      <c r="C480" s="31" t="inlineStr">
        <is>
          <t>Gestão e reuniões</t>
        </is>
      </c>
      <c r="D480" s="29" t="inlineStr">
        <is>
          <t>Financeiro</t>
        </is>
      </c>
      <c r="E480" s="35" t="n">
        <v>2</v>
      </c>
      <c r="F480" s="26">
        <f>IF(OR(B480="",E480=""),"",IFERROR(IF(ISNUMBER(INDEX(Config!$D$11:$D$20,MATCH(B480,Config!$A$11:$A$20,0))),E480*INDEX(Config!$D$11:$D$20,MATCH(B480,Config!$A$11:$A$20,0)),"cadastro de custo incompleto em Config"),"pessoa sem custo-hora em Config"))</f>
        <v>96.6666666666667</v>
      </c>
      <c r="G480" s="25">
        <f>IF(A480="","",MONTH(A480))</f>
        <v>9</v>
      </c>
      <c r="H480" s="25">
        <f>IF(A480="","",YEAR(A480))</f>
        <v>2026</v>
      </c>
      <c r="I480" s="31" t="inlineStr">
        <is>
          <t>Não</t>
        </is>
      </c>
      <c r="J480" s="36">
        <f>IF(AND(B480&lt;&gt;"",E480&lt;&gt;"",NOT(ISNUMBER(F480))),1,0)</f>
        <v>0</v>
      </c>
    </row>
    <row r="481">
      <c r="A481" s="34" t="n">
        <v>46269</v>
      </c>
      <c r="B481" s="31" t="inlineStr">
        <is>
          <t>Ana</t>
        </is>
      </c>
      <c r="C481" s="31" t="inlineStr">
        <is>
          <t>Site novo · Loja Verde</t>
        </is>
      </c>
      <c r="D481" s="29" t="inlineStr">
        <is>
          <t>Layout</t>
        </is>
      </c>
      <c r="E481" s="35" t="n">
        <v>2.5</v>
      </c>
      <c r="F481" s="26">
        <f>IF(OR(B481="",E481=""),"",IFERROR(IF(ISNUMBER(INDEX(Config!$D$11:$D$20,MATCH(B481,Config!$A$11:$A$20,0))),E481*INDEX(Config!$D$11:$D$20,MATCH(B481,Config!$A$11:$A$20,0)),"cadastro de custo incompleto em Config"),"pessoa sem custo-hora em Config"))</f>
        <v>175</v>
      </c>
      <c r="G481" s="25">
        <f>IF(A481="","",MONTH(A481))</f>
        <v>9</v>
      </c>
      <c r="H481" s="25">
        <f>IF(A481="","",YEAR(A481))</f>
        <v>2026</v>
      </c>
      <c r="I481" s="31" t="inlineStr">
        <is>
          <t>Sim</t>
        </is>
      </c>
      <c r="J481" s="36">
        <f>IF(AND(B481&lt;&gt;"",E481&lt;&gt;"",NOT(ISNUMBER(F481))),1,0)</f>
        <v>0</v>
      </c>
    </row>
    <row r="482">
      <c r="A482" s="34" t="n">
        <v>46269</v>
      </c>
      <c r="B482" s="31" t="inlineStr">
        <is>
          <t>Ana</t>
        </is>
      </c>
      <c r="C482" s="31" t="inlineStr">
        <is>
          <t>Comercial e propostas</t>
        </is>
      </c>
      <c r="D482" s="29" t="inlineStr">
        <is>
          <t>Reunião comercial</t>
        </is>
      </c>
      <c r="E482" s="35" t="n">
        <v>2</v>
      </c>
      <c r="F482" s="26">
        <f>IF(OR(B482="",E482=""),"",IFERROR(IF(ISNUMBER(INDEX(Config!$D$11:$D$20,MATCH(B482,Config!$A$11:$A$20,0))),E482*INDEX(Config!$D$11:$D$20,MATCH(B482,Config!$A$11:$A$20,0)),"cadastro de custo incompleto em Config"),"pessoa sem custo-hora em Config"))</f>
        <v>140</v>
      </c>
      <c r="G482" s="25">
        <f>IF(A482="","",MONTH(A482))</f>
        <v>9</v>
      </c>
      <c r="H482" s="25">
        <f>IF(A482="","",YEAR(A482))</f>
        <v>2026</v>
      </c>
      <c r="I482" s="31" t="inlineStr">
        <is>
          <t>Não</t>
        </is>
      </c>
      <c r="J482" s="36">
        <f>IF(AND(B482&lt;&gt;"",E482&lt;&gt;"",NOT(ISNUMBER(F482))),1,0)</f>
        <v>0</v>
      </c>
    </row>
    <row r="483">
      <c r="A483" s="34" t="n">
        <v>46269</v>
      </c>
      <c r="B483" s="31" t="inlineStr">
        <is>
          <t>Ana</t>
        </is>
      </c>
      <c r="C483" s="31" t="inlineStr">
        <is>
          <t>Gestão e reuniões</t>
        </is>
      </c>
      <c r="D483" s="29" t="inlineStr">
        <is>
          <t>Planejamento</t>
        </is>
      </c>
      <c r="E483" s="35" t="n">
        <v>2.5</v>
      </c>
      <c r="F483" s="26">
        <f>IF(OR(B483="",E483=""),"",IFERROR(IF(ISNUMBER(INDEX(Config!$D$11:$D$20,MATCH(B483,Config!$A$11:$A$20,0))),E483*INDEX(Config!$D$11:$D$20,MATCH(B483,Config!$A$11:$A$20,0)),"cadastro de custo incompleto em Config"),"pessoa sem custo-hora em Config"))</f>
        <v>175</v>
      </c>
      <c r="G483" s="25">
        <f>IF(A483="","",MONTH(A483))</f>
        <v>9</v>
      </c>
      <c r="H483" s="25">
        <f>IF(A483="","",YEAR(A483))</f>
        <v>2026</v>
      </c>
      <c r="I483" s="31" t="inlineStr">
        <is>
          <t>Não</t>
        </is>
      </c>
      <c r="J483" s="36">
        <f>IF(AND(B483&lt;&gt;"",E483&lt;&gt;"",NOT(ISNUMBER(F483))),1,0)</f>
        <v>0</v>
      </c>
    </row>
    <row r="484">
      <c r="A484" s="34" t="n">
        <v>46269</v>
      </c>
      <c r="B484" s="31" t="inlineStr">
        <is>
          <t>Bruno</t>
        </is>
      </c>
      <c r="C484" s="31" t="inlineStr">
        <is>
          <t>Site novo · Loja Verde</t>
        </is>
      </c>
      <c r="D484" s="29" t="inlineStr">
        <is>
          <t>Layout</t>
        </is>
      </c>
      <c r="E484" s="35" t="n">
        <v>4.5</v>
      </c>
      <c r="F484" s="26">
        <f>IF(OR(B484="",E484=""),"",IFERROR(IF(ISNUMBER(INDEX(Config!$D$11:$D$20,MATCH(B484,Config!$A$11:$A$20,0))),E484*INDEX(Config!$D$11:$D$20,MATCH(B484,Config!$A$11:$A$20,0)),"cadastro de custo incompleto em Config"),"pessoa sem custo-hora em Config"))</f>
        <v>231.428571428571</v>
      </c>
      <c r="G484" s="25">
        <f>IF(A484="","",MONTH(A484))</f>
        <v>9</v>
      </c>
      <c r="H484" s="25">
        <f>IF(A484="","",YEAR(A484))</f>
        <v>2026</v>
      </c>
      <c r="I484" s="31" t="inlineStr">
        <is>
          <t>Sim</t>
        </is>
      </c>
      <c r="J484" s="36">
        <f>IF(AND(B484&lt;&gt;"",E484&lt;&gt;"",NOT(ISNUMBER(F484))),1,0)</f>
        <v>0</v>
      </c>
    </row>
    <row r="485">
      <c r="A485" s="34" t="n">
        <v>46269</v>
      </c>
      <c r="B485" s="31" t="inlineStr">
        <is>
          <t>Bruno</t>
        </is>
      </c>
      <c r="C485" s="31" t="inlineStr">
        <is>
          <t>Campanha de fim de ano · Bistrô 42</t>
        </is>
      </c>
      <c r="D485" s="29" t="inlineStr">
        <is>
          <t>Reunião com cliente</t>
        </is>
      </c>
      <c r="E485" s="35" t="n">
        <v>2</v>
      </c>
      <c r="F485" s="26">
        <f>IF(OR(B485="",E485=""),"",IFERROR(IF(ISNUMBER(INDEX(Config!$D$11:$D$20,MATCH(B485,Config!$A$11:$A$20,0))),E485*INDEX(Config!$D$11:$D$20,MATCH(B485,Config!$A$11:$A$20,0)),"cadastro de custo incompleto em Config"),"pessoa sem custo-hora em Config"))</f>
        <v>102.857142857143</v>
      </c>
      <c r="G485" s="25">
        <f>IF(A485="","",MONTH(A485))</f>
        <v>9</v>
      </c>
      <c r="H485" s="25">
        <f>IF(A485="","",YEAR(A485))</f>
        <v>2026</v>
      </c>
      <c r="I485" s="31" t="inlineStr">
        <is>
          <t>Sim</t>
        </is>
      </c>
      <c r="J485" s="36">
        <f>IF(AND(B485&lt;&gt;"",E485&lt;&gt;"",NOT(ISNUMBER(F485))),1,0)</f>
        <v>0</v>
      </c>
    </row>
    <row r="486">
      <c r="A486" s="34" t="n">
        <v>46269</v>
      </c>
      <c r="B486" s="31" t="inlineStr">
        <is>
          <t>Bruno</t>
        </is>
      </c>
      <c r="C486" s="31" t="inlineStr">
        <is>
          <t>Identidade visual · Padaria do Sol</t>
        </is>
      </c>
      <c r="D486" s="29" t="inlineStr">
        <is>
          <t>Manual</t>
        </is>
      </c>
      <c r="E486" s="35" t="n">
        <v>1</v>
      </c>
      <c r="F486" s="26">
        <f>IF(OR(B486="",E486=""),"",IFERROR(IF(ISNUMBER(INDEX(Config!$D$11:$D$20,MATCH(B486,Config!$A$11:$A$20,0))),E486*INDEX(Config!$D$11:$D$20,MATCH(B486,Config!$A$11:$A$20,0)),"cadastro de custo incompleto em Config"),"pessoa sem custo-hora em Config"))</f>
        <v>51.4285714285714</v>
      </c>
      <c r="G486" s="25">
        <f>IF(A486="","",MONTH(A486))</f>
        <v>9</v>
      </c>
      <c r="H486" s="25">
        <f>IF(A486="","",YEAR(A486))</f>
        <v>2026</v>
      </c>
      <c r="I486" s="31" t="inlineStr">
        <is>
          <t>Sim</t>
        </is>
      </c>
      <c r="J486" s="36">
        <f>IF(AND(B486&lt;&gt;"",E486&lt;&gt;"",NOT(ISNUMBER(F486))),1,0)</f>
        <v>0</v>
      </c>
    </row>
    <row r="487">
      <c r="A487" s="34" t="n">
        <v>46269</v>
      </c>
      <c r="B487" s="31" t="inlineStr">
        <is>
          <t>Bruno</t>
        </is>
      </c>
      <c r="C487" s="31" t="inlineStr">
        <is>
          <t>Gestão e reuniões</t>
        </is>
      </c>
      <c r="D487" s="29" t="inlineStr">
        <is>
          <t>Planejamento</t>
        </is>
      </c>
      <c r="E487" s="35" t="n">
        <v>1</v>
      </c>
      <c r="F487" s="26">
        <f>IF(OR(B487="",E487=""),"",IFERROR(IF(ISNUMBER(INDEX(Config!$D$11:$D$20,MATCH(B487,Config!$A$11:$A$20,0))),E487*INDEX(Config!$D$11:$D$20,MATCH(B487,Config!$A$11:$A$20,0)),"cadastro de custo incompleto em Config"),"pessoa sem custo-hora em Config"))</f>
        <v>51.4285714285714</v>
      </c>
      <c r="G487" s="25">
        <f>IF(A487="","",MONTH(A487))</f>
        <v>9</v>
      </c>
      <c r="H487" s="25">
        <f>IF(A487="","",YEAR(A487))</f>
        <v>2026</v>
      </c>
      <c r="I487" s="31" t="inlineStr">
        <is>
          <t>Não</t>
        </is>
      </c>
      <c r="J487" s="36">
        <f>IF(AND(B487&lt;&gt;"",E487&lt;&gt;"",NOT(ISNUMBER(F487))),1,0)</f>
        <v>0</v>
      </c>
    </row>
    <row r="488">
      <c r="A488" s="34" t="n">
        <v>46269</v>
      </c>
      <c r="B488" s="31" t="inlineStr">
        <is>
          <t>Carla</t>
        </is>
      </c>
      <c r="C488" s="31" t="inlineStr">
        <is>
          <t>Campanha de fim de ano · Bistrô 42</t>
        </is>
      </c>
      <c r="D488" s="29" t="inlineStr">
        <is>
          <t>Peças</t>
        </is>
      </c>
      <c r="E488" s="35" t="n">
        <v>2.5</v>
      </c>
      <c r="F488" s="26">
        <f>IF(OR(B488="",E488=""),"",IFERROR(IF(ISNUMBER(INDEX(Config!$D$11:$D$20,MATCH(B488,Config!$A$11:$A$20,0))),E488*INDEX(Config!$D$11:$D$20,MATCH(B488,Config!$A$11:$A$20,0)),"cadastro de custo incompleto em Config"),"pessoa sem custo-hora em Config"))</f>
        <v>116.071428571429</v>
      </c>
      <c r="G488" s="25">
        <f>IF(A488="","",MONTH(A488))</f>
        <v>9</v>
      </c>
      <c r="H488" s="25">
        <f>IF(A488="","",YEAR(A488))</f>
        <v>2026</v>
      </c>
      <c r="I488" s="31" t="inlineStr">
        <is>
          <t>Sim</t>
        </is>
      </c>
      <c r="J488" s="36">
        <f>IF(AND(B488&lt;&gt;"",E488&lt;&gt;"",NOT(ISNUMBER(F488))),1,0)</f>
        <v>0</v>
      </c>
    </row>
    <row r="489">
      <c r="A489" s="34" t="n">
        <v>46269</v>
      </c>
      <c r="B489" s="31" t="inlineStr">
        <is>
          <t>Carla</t>
        </is>
      </c>
      <c r="C489" s="31" t="inlineStr">
        <is>
          <t>Site novo · Loja Verde</t>
        </is>
      </c>
      <c r="D489" s="29" t="inlineStr">
        <is>
          <t>Reunião com cliente</t>
        </is>
      </c>
      <c r="E489" s="35" t="n">
        <v>1.5</v>
      </c>
      <c r="F489" s="26">
        <f>IF(OR(B489="",E489=""),"",IFERROR(IF(ISNUMBER(INDEX(Config!$D$11:$D$20,MATCH(B489,Config!$A$11:$A$20,0))),E489*INDEX(Config!$D$11:$D$20,MATCH(B489,Config!$A$11:$A$20,0)),"cadastro de custo incompleto em Config"),"pessoa sem custo-hora em Config"))</f>
        <v>69.6428571428571</v>
      </c>
      <c r="G489" s="25">
        <f>IF(A489="","",MONTH(A489))</f>
        <v>9</v>
      </c>
      <c r="H489" s="25">
        <f>IF(A489="","",YEAR(A489))</f>
        <v>2026</v>
      </c>
      <c r="I489" s="31" t="inlineStr">
        <is>
          <t>Sim</t>
        </is>
      </c>
      <c r="J489" s="36">
        <f>IF(AND(B489&lt;&gt;"",E489&lt;&gt;"",NOT(ISNUMBER(F489))),1,0)</f>
        <v>0</v>
      </c>
    </row>
    <row r="490">
      <c r="A490" s="34" t="n">
        <v>46269</v>
      </c>
      <c r="B490" s="31" t="inlineStr">
        <is>
          <t>Carla</t>
        </is>
      </c>
      <c r="C490" s="31" t="inlineStr">
        <is>
          <t>Comercial e propostas</t>
        </is>
      </c>
      <c r="D490" s="29" t="inlineStr">
        <is>
          <t>Proposta</t>
        </is>
      </c>
      <c r="E490" s="35" t="n">
        <v>3</v>
      </c>
      <c r="F490" s="26">
        <f>IF(OR(B490="",E490=""),"",IFERROR(IF(ISNUMBER(INDEX(Config!$D$11:$D$20,MATCH(B490,Config!$A$11:$A$20,0))),E490*INDEX(Config!$D$11:$D$20,MATCH(B490,Config!$A$11:$A$20,0)),"cadastro de custo incompleto em Config"),"pessoa sem custo-hora em Config"))</f>
        <v>139.285714285714</v>
      </c>
      <c r="G490" s="25">
        <f>IF(A490="","",MONTH(A490))</f>
        <v>9</v>
      </c>
      <c r="H490" s="25">
        <f>IF(A490="","",YEAR(A490))</f>
        <v>2026</v>
      </c>
      <c r="I490" s="31" t="inlineStr">
        <is>
          <t>Não</t>
        </is>
      </c>
      <c r="J490" s="36">
        <f>IF(AND(B490&lt;&gt;"",E490&lt;&gt;"",NOT(ISNUMBER(F490))),1,0)</f>
        <v>0</v>
      </c>
    </row>
    <row r="491">
      <c r="A491" s="34" t="n">
        <v>46269</v>
      </c>
      <c r="B491" s="31" t="inlineStr">
        <is>
          <t>Carla</t>
        </is>
      </c>
      <c r="C491" s="31" t="inlineStr">
        <is>
          <t>Gestão e reuniões</t>
        </is>
      </c>
      <c r="D491" s="29" t="inlineStr">
        <is>
          <t>Semanal</t>
        </is>
      </c>
      <c r="E491" s="35" t="n">
        <v>1</v>
      </c>
      <c r="F491" s="26">
        <f>IF(OR(B491="",E491=""),"",IFERROR(IF(ISNUMBER(INDEX(Config!$D$11:$D$20,MATCH(B491,Config!$A$11:$A$20,0))),E491*INDEX(Config!$D$11:$D$20,MATCH(B491,Config!$A$11:$A$20,0)),"cadastro de custo incompleto em Config"),"pessoa sem custo-hora em Config"))</f>
        <v>46.4285714285714</v>
      </c>
      <c r="G491" s="25">
        <f>IF(A491="","",MONTH(A491))</f>
        <v>9</v>
      </c>
      <c r="H491" s="25">
        <f>IF(A491="","",YEAR(A491))</f>
        <v>2026</v>
      </c>
      <c r="I491" s="31" t="inlineStr">
        <is>
          <t>Não</t>
        </is>
      </c>
      <c r="J491" s="36">
        <f>IF(AND(B491&lt;&gt;"",E491&lt;&gt;"",NOT(ISNUMBER(F491))),1,0)</f>
        <v>0</v>
      </c>
    </row>
    <row r="492">
      <c r="A492" s="34" t="n">
        <v>46269</v>
      </c>
      <c r="B492" s="31" t="inlineStr">
        <is>
          <t>Diego</t>
        </is>
      </c>
      <c r="C492" s="31" t="inlineStr">
        <is>
          <t>Site novo · Loja Verde</t>
        </is>
      </c>
      <c r="D492" s="29" t="inlineStr">
        <is>
          <t>Layout</t>
        </is>
      </c>
      <c r="E492" s="35" t="n">
        <v>5.5</v>
      </c>
      <c r="F492" s="26">
        <f>IF(OR(B492="",E492=""),"",IFERROR(IF(ISNUMBER(INDEX(Config!$D$11:$D$20,MATCH(B492,Config!$A$11:$A$20,0))),E492*INDEX(Config!$D$11:$D$20,MATCH(B492,Config!$A$11:$A$20,0)),"cadastro de custo incompleto em Config"),"pessoa sem custo-hora em Config"))</f>
        <v>265.833333333333</v>
      </c>
      <c r="G492" s="25">
        <f>IF(A492="","",MONTH(A492))</f>
        <v>9</v>
      </c>
      <c r="H492" s="25">
        <f>IF(A492="","",YEAR(A492))</f>
        <v>2026</v>
      </c>
      <c r="I492" s="31" t="inlineStr">
        <is>
          <t>Sim</t>
        </is>
      </c>
      <c r="J492" s="36">
        <f>IF(AND(B492&lt;&gt;"",E492&lt;&gt;"",NOT(ISNUMBER(F492))),1,0)</f>
        <v>0</v>
      </c>
    </row>
    <row r="493">
      <c r="A493" s="34" t="n">
        <v>46269</v>
      </c>
      <c r="B493" s="31" t="inlineStr">
        <is>
          <t>Diego</t>
        </is>
      </c>
      <c r="C493" s="31" t="inlineStr">
        <is>
          <t>Comercial e propostas</t>
        </is>
      </c>
      <c r="D493" s="29" t="inlineStr">
        <is>
          <t>Reunião comercial</t>
        </is>
      </c>
      <c r="E493" s="35" t="n">
        <v>1</v>
      </c>
      <c r="F493" s="26">
        <f>IF(OR(B493="",E493=""),"",IFERROR(IF(ISNUMBER(INDEX(Config!$D$11:$D$20,MATCH(B493,Config!$A$11:$A$20,0))),E493*INDEX(Config!$D$11:$D$20,MATCH(B493,Config!$A$11:$A$20,0)),"cadastro de custo incompleto em Config"),"pessoa sem custo-hora em Config"))</f>
        <v>48.3333333333333</v>
      </c>
      <c r="G493" s="25">
        <f>IF(A493="","",MONTH(A493))</f>
        <v>9</v>
      </c>
      <c r="H493" s="25">
        <f>IF(A493="","",YEAR(A493))</f>
        <v>2026</v>
      </c>
      <c r="I493" s="31" t="inlineStr">
        <is>
          <t>Não</t>
        </is>
      </c>
      <c r="J493" s="36">
        <f>IF(AND(B493&lt;&gt;"",E493&lt;&gt;"",NOT(ISNUMBER(F493))),1,0)</f>
        <v>0</v>
      </c>
    </row>
    <row r="494">
      <c r="A494" s="34" t="n">
        <v>46269</v>
      </c>
      <c r="B494" s="31" t="inlineStr">
        <is>
          <t>Diego</t>
        </is>
      </c>
      <c r="C494" s="31" t="inlineStr">
        <is>
          <t>Gestão e reuniões</t>
        </is>
      </c>
      <c r="D494" s="29" t="inlineStr">
        <is>
          <t>Financeiro</t>
        </is>
      </c>
      <c r="E494" s="35" t="n">
        <v>2.5</v>
      </c>
      <c r="F494" s="26">
        <f>IF(OR(B494="",E494=""),"",IFERROR(IF(ISNUMBER(INDEX(Config!$D$11:$D$20,MATCH(B494,Config!$A$11:$A$20,0))),E494*INDEX(Config!$D$11:$D$20,MATCH(B494,Config!$A$11:$A$20,0)),"cadastro de custo incompleto em Config"),"pessoa sem custo-hora em Config"))</f>
        <v>120.833333333333</v>
      </c>
      <c r="G494" s="25">
        <f>IF(A494="","",MONTH(A494))</f>
        <v>9</v>
      </c>
      <c r="H494" s="25">
        <f>IF(A494="","",YEAR(A494))</f>
        <v>2026</v>
      </c>
      <c r="I494" s="31" t="inlineStr">
        <is>
          <t>Não</t>
        </is>
      </c>
      <c r="J494" s="36">
        <f>IF(AND(B494&lt;&gt;"",E494&lt;&gt;"",NOT(ISNUMBER(F494))),1,0)</f>
        <v>0</v>
      </c>
    </row>
    <row r="495">
      <c r="A495" s="34" t="n">
        <v>46272</v>
      </c>
      <c r="B495" s="31" t="inlineStr">
        <is>
          <t>Ana</t>
        </is>
      </c>
      <c r="C495" s="31" t="inlineStr">
        <is>
          <t>Site novo · Loja Verde</t>
        </is>
      </c>
      <c r="D495" s="29" t="inlineStr">
        <is>
          <t>Reunião com cliente</t>
        </is>
      </c>
      <c r="E495" s="35" t="n">
        <v>2</v>
      </c>
      <c r="F495" s="26">
        <f>IF(OR(B495="",E495=""),"",IFERROR(IF(ISNUMBER(INDEX(Config!$D$11:$D$20,MATCH(B495,Config!$A$11:$A$20,0))),E495*INDEX(Config!$D$11:$D$20,MATCH(B495,Config!$A$11:$A$20,0)),"cadastro de custo incompleto em Config"),"pessoa sem custo-hora em Config"))</f>
        <v>140</v>
      </c>
      <c r="G495" s="25">
        <f>IF(A495="","",MONTH(A495))</f>
        <v>9</v>
      </c>
      <c r="H495" s="25">
        <f>IF(A495="","",YEAR(A495))</f>
        <v>2026</v>
      </c>
      <c r="I495" s="31" t="inlineStr">
        <is>
          <t>Sim</t>
        </is>
      </c>
      <c r="J495" s="36">
        <f>IF(AND(B495&lt;&gt;"",E495&lt;&gt;"",NOT(ISNUMBER(F495))),1,0)</f>
        <v>0</v>
      </c>
    </row>
    <row r="496">
      <c r="A496" s="34" t="n">
        <v>46272</v>
      </c>
      <c r="B496" s="31" t="inlineStr">
        <is>
          <t>Ana</t>
        </is>
      </c>
      <c r="C496" s="31" t="inlineStr">
        <is>
          <t>Comercial e propostas</t>
        </is>
      </c>
      <c r="D496" s="29" t="inlineStr">
        <is>
          <t>Reunião comercial</t>
        </is>
      </c>
      <c r="E496" s="35" t="n">
        <v>3</v>
      </c>
      <c r="F496" s="26">
        <f>IF(OR(B496="",E496=""),"",IFERROR(IF(ISNUMBER(INDEX(Config!$D$11:$D$20,MATCH(B496,Config!$A$11:$A$20,0))),E496*INDEX(Config!$D$11:$D$20,MATCH(B496,Config!$A$11:$A$20,0)),"cadastro de custo incompleto em Config"),"pessoa sem custo-hora em Config"))</f>
        <v>210</v>
      </c>
      <c r="G496" s="25">
        <f>IF(A496="","",MONTH(A496))</f>
        <v>9</v>
      </c>
      <c r="H496" s="25">
        <f>IF(A496="","",YEAR(A496))</f>
        <v>2026</v>
      </c>
      <c r="I496" s="31" t="inlineStr">
        <is>
          <t>Não</t>
        </is>
      </c>
      <c r="J496" s="36">
        <f>IF(AND(B496&lt;&gt;"",E496&lt;&gt;"",NOT(ISNUMBER(F496))),1,0)</f>
        <v>0</v>
      </c>
    </row>
    <row r="497">
      <c r="A497" s="34" t="n">
        <v>46272</v>
      </c>
      <c r="B497" s="31" t="inlineStr">
        <is>
          <t>Ana</t>
        </is>
      </c>
      <c r="C497" s="31" t="inlineStr">
        <is>
          <t>Gestão e reuniões</t>
        </is>
      </c>
      <c r="D497" s="29" t="inlineStr">
        <is>
          <t>Financeiro</t>
        </is>
      </c>
      <c r="E497" s="35" t="n">
        <v>3</v>
      </c>
      <c r="F497" s="26">
        <f>IF(OR(B497="",E497=""),"",IFERROR(IF(ISNUMBER(INDEX(Config!$D$11:$D$20,MATCH(B497,Config!$A$11:$A$20,0))),E497*INDEX(Config!$D$11:$D$20,MATCH(B497,Config!$A$11:$A$20,0)),"cadastro de custo incompleto em Config"),"pessoa sem custo-hora em Config"))</f>
        <v>210</v>
      </c>
      <c r="G497" s="25">
        <f>IF(A497="","",MONTH(A497))</f>
        <v>9</v>
      </c>
      <c r="H497" s="25">
        <f>IF(A497="","",YEAR(A497))</f>
        <v>2026</v>
      </c>
      <c r="I497" s="31" t="inlineStr">
        <is>
          <t>Não</t>
        </is>
      </c>
      <c r="J497" s="36">
        <f>IF(AND(B497&lt;&gt;"",E497&lt;&gt;"",NOT(ISNUMBER(F497))),1,0)</f>
        <v>0</v>
      </c>
    </row>
    <row r="498">
      <c r="A498" s="34" t="n">
        <v>46272</v>
      </c>
      <c r="B498" s="31" t="inlineStr">
        <is>
          <t>Bruno</t>
        </is>
      </c>
      <c r="C498" s="31" t="inlineStr">
        <is>
          <t>Site novo · Loja Verde</t>
        </is>
      </c>
      <c r="D498" s="29" t="inlineStr">
        <is>
          <t>Implementação</t>
        </is>
      </c>
      <c r="E498" s="35" t="n">
        <v>5</v>
      </c>
      <c r="F498" s="26">
        <f>IF(OR(B498="",E498=""),"",IFERROR(IF(ISNUMBER(INDEX(Config!$D$11:$D$20,MATCH(B498,Config!$A$11:$A$20,0))),E498*INDEX(Config!$D$11:$D$20,MATCH(B498,Config!$A$11:$A$20,0)),"cadastro de custo incompleto em Config"),"pessoa sem custo-hora em Config"))</f>
        <v>257.142857142857</v>
      </c>
      <c r="G498" s="25">
        <f>IF(A498="","",MONTH(A498))</f>
        <v>9</v>
      </c>
      <c r="H498" s="25">
        <f>IF(A498="","",YEAR(A498))</f>
        <v>2026</v>
      </c>
      <c r="I498" s="31" t="inlineStr">
        <is>
          <t>Sim</t>
        </is>
      </c>
      <c r="J498" s="36">
        <f>IF(AND(B498&lt;&gt;"",E498&lt;&gt;"",NOT(ISNUMBER(F498))),1,0)</f>
        <v>0</v>
      </c>
    </row>
    <row r="499">
      <c r="A499" s="34" t="n">
        <v>46272</v>
      </c>
      <c r="B499" s="31" t="inlineStr">
        <is>
          <t>Bruno</t>
        </is>
      </c>
      <c r="C499" s="31" t="inlineStr">
        <is>
          <t>Campanha de fim de ano · Bistrô 42</t>
        </is>
      </c>
      <c r="D499" s="29" t="inlineStr">
        <is>
          <t>Conceito</t>
        </is>
      </c>
      <c r="E499" s="35" t="n">
        <v>3.5</v>
      </c>
      <c r="F499" s="26">
        <f>IF(OR(B499="",E499=""),"",IFERROR(IF(ISNUMBER(INDEX(Config!$D$11:$D$20,MATCH(B499,Config!$A$11:$A$20,0))),E499*INDEX(Config!$D$11:$D$20,MATCH(B499,Config!$A$11:$A$20,0)),"cadastro de custo incompleto em Config"),"pessoa sem custo-hora em Config"))</f>
        <v>180</v>
      </c>
      <c r="G499" s="25">
        <f>IF(A499="","",MONTH(A499))</f>
        <v>9</v>
      </c>
      <c r="H499" s="25">
        <f>IF(A499="","",YEAR(A499))</f>
        <v>2026</v>
      </c>
      <c r="I499" s="31" t="inlineStr">
        <is>
          <t>Sim</t>
        </is>
      </c>
      <c r="J499" s="36">
        <f>IF(AND(B499&lt;&gt;"",E499&lt;&gt;"",NOT(ISNUMBER(F499))),1,0)</f>
        <v>0</v>
      </c>
    </row>
    <row r="500">
      <c r="A500" s="34" t="n">
        <v>46272</v>
      </c>
      <c r="B500" s="31" t="inlineStr">
        <is>
          <t>Bruno</t>
        </is>
      </c>
      <c r="C500" s="31" t="inlineStr">
        <is>
          <t>Gestão e reuniões</t>
        </is>
      </c>
      <c r="D500" s="29" t="inlineStr">
        <is>
          <t>Planejamento</t>
        </is>
      </c>
      <c r="E500" s="35" t="n">
        <v>1</v>
      </c>
      <c r="F500" s="26">
        <f>IF(OR(B500="",E500=""),"",IFERROR(IF(ISNUMBER(INDEX(Config!$D$11:$D$20,MATCH(B500,Config!$A$11:$A$20,0))),E500*INDEX(Config!$D$11:$D$20,MATCH(B500,Config!$A$11:$A$20,0)),"cadastro de custo incompleto em Config"),"pessoa sem custo-hora em Config"))</f>
        <v>51.4285714285714</v>
      </c>
      <c r="G500" s="25">
        <f>IF(A500="","",MONTH(A500))</f>
        <v>9</v>
      </c>
      <c r="H500" s="25">
        <f>IF(A500="","",YEAR(A500))</f>
        <v>2026</v>
      </c>
      <c r="I500" s="31" t="inlineStr">
        <is>
          <t>Não</t>
        </is>
      </c>
      <c r="J500" s="36">
        <f>IF(AND(B500&lt;&gt;"",E500&lt;&gt;"",NOT(ISNUMBER(F500))),1,0)</f>
        <v>0</v>
      </c>
    </row>
    <row r="501">
      <c r="A501" s="34" t="n">
        <v>46272</v>
      </c>
      <c r="B501" s="31" t="inlineStr">
        <is>
          <t>Carla</t>
        </is>
      </c>
      <c r="C501" s="31" t="inlineStr">
        <is>
          <t>Campanha de fim de ano · Bistrô 42</t>
        </is>
      </c>
      <c r="D501" s="29" t="inlineStr">
        <is>
          <t>Reunião com cliente</t>
        </is>
      </c>
      <c r="E501" s="35" t="n">
        <v>3</v>
      </c>
      <c r="F501" s="26">
        <f>IF(OR(B501="",E501=""),"",IFERROR(IF(ISNUMBER(INDEX(Config!$D$11:$D$20,MATCH(B501,Config!$A$11:$A$20,0))),E501*INDEX(Config!$D$11:$D$20,MATCH(B501,Config!$A$11:$A$20,0)),"cadastro de custo incompleto em Config"),"pessoa sem custo-hora em Config"))</f>
        <v>139.285714285714</v>
      </c>
      <c r="G501" s="25">
        <f>IF(A501="","",MONTH(A501))</f>
        <v>9</v>
      </c>
      <c r="H501" s="25">
        <f>IF(A501="","",YEAR(A501))</f>
        <v>2026</v>
      </c>
      <c r="I501" s="31" t="inlineStr">
        <is>
          <t>Sim</t>
        </is>
      </c>
      <c r="J501" s="36">
        <f>IF(AND(B501&lt;&gt;"",E501&lt;&gt;"",NOT(ISNUMBER(F501))),1,0)</f>
        <v>0</v>
      </c>
    </row>
    <row r="502">
      <c r="A502" s="34" t="n">
        <v>46272</v>
      </c>
      <c r="B502" s="31" t="inlineStr">
        <is>
          <t>Carla</t>
        </is>
      </c>
      <c r="C502" s="31" t="inlineStr">
        <is>
          <t>Site novo · Loja Verde</t>
        </is>
      </c>
      <c r="D502" s="29" t="inlineStr">
        <is>
          <t>Wireframe</t>
        </is>
      </c>
      <c r="E502" s="35" t="n">
        <v>1.5</v>
      </c>
      <c r="F502" s="26">
        <f>IF(OR(B502="",E502=""),"",IFERROR(IF(ISNUMBER(INDEX(Config!$D$11:$D$20,MATCH(B502,Config!$A$11:$A$20,0))),E502*INDEX(Config!$D$11:$D$20,MATCH(B502,Config!$A$11:$A$20,0)),"cadastro de custo incompleto em Config"),"pessoa sem custo-hora em Config"))</f>
        <v>69.6428571428571</v>
      </c>
      <c r="G502" s="25">
        <f>IF(A502="","",MONTH(A502))</f>
        <v>9</v>
      </c>
      <c r="H502" s="25">
        <f>IF(A502="","",YEAR(A502))</f>
        <v>2026</v>
      </c>
      <c r="I502" s="31" t="inlineStr">
        <is>
          <t>Sim</t>
        </is>
      </c>
      <c r="J502" s="36">
        <f>IF(AND(B502&lt;&gt;"",E502&lt;&gt;"",NOT(ISNUMBER(F502))),1,0)</f>
        <v>0</v>
      </c>
    </row>
    <row r="503">
      <c r="A503" s="34" t="n">
        <v>46272</v>
      </c>
      <c r="B503" s="31" t="inlineStr">
        <is>
          <t>Carla</t>
        </is>
      </c>
      <c r="C503" s="31" t="inlineStr">
        <is>
          <t>Comercial e propostas</t>
        </is>
      </c>
      <c r="D503" s="29" t="inlineStr">
        <is>
          <t>Proposta</t>
        </is>
      </c>
      <c r="E503" s="35" t="n">
        <v>2</v>
      </c>
      <c r="F503" s="26">
        <f>IF(OR(B503="",E503=""),"",IFERROR(IF(ISNUMBER(INDEX(Config!$D$11:$D$20,MATCH(B503,Config!$A$11:$A$20,0))),E503*INDEX(Config!$D$11:$D$20,MATCH(B503,Config!$A$11:$A$20,0)),"cadastro de custo incompleto em Config"),"pessoa sem custo-hora em Config"))</f>
        <v>92.8571428571429</v>
      </c>
      <c r="G503" s="25">
        <f>IF(A503="","",MONTH(A503))</f>
        <v>9</v>
      </c>
      <c r="H503" s="25">
        <f>IF(A503="","",YEAR(A503))</f>
        <v>2026</v>
      </c>
      <c r="I503" s="31" t="inlineStr">
        <is>
          <t>Não</t>
        </is>
      </c>
      <c r="J503" s="36">
        <f>IF(AND(B503&lt;&gt;"",E503&lt;&gt;"",NOT(ISNUMBER(F503))),1,0)</f>
        <v>0</v>
      </c>
    </row>
    <row r="504">
      <c r="A504" s="34" t="n">
        <v>46272</v>
      </c>
      <c r="B504" s="31" t="inlineStr">
        <is>
          <t>Carla</t>
        </is>
      </c>
      <c r="C504" s="31" t="inlineStr">
        <is>
          <t>Gestão e reuniões</t>
        </is>
      </c>
      <c r="D504" s="29" t="inlineStr">
        <is>
          <t>Planejamento</t>
        </is>
      </c>
      <c r="E504" s="35" t="n">
        <v>0.5</v>
      </c>
      <c r="F504" s="26">
        <f>IF(OR(B504="",E504=""),"",IFERROR(IF(ISNUMBER(INDEX(Config!$D$11:$D$20,MATCH(B504,Config!$A$11:$A$20,0))),E504*INDEX(Config!$D$11:$D$20,MATCH(B504,Config!$A$11:$A$20,0)),"cadastro de custo incompleto em Config"),"pessoa sem custo-hora em Config"))</f>
        <v>23.2142857142857</v>
      </c>
      <c r="G504" s="25">
        <f>IF(A504="","",MONTH(A504))</f>
        <v>9</v>
      </c>
      <c r="H504" s="25">
        <f>IF(A504="","",YEAR(A504))</f>
        <v>2026</v>
      </c>
      <c r="I504" s="31" t="inlineStr">
        <is>
          <t>Não</t>
        </is>
      </c>
      <c r="J504" s="36">
        <f>IF(AND(B504&lt;&gt;"",E504&lt;&gt;"",NOT(ISNUMBER(F504))),1,0)</f>
        <v>0</v>
      </c>
    </row>
    <row r="505">
      <c r="A505" s="34" t="n">
        <v>46272</v>
      </c>
      <c r="B505" s="31" t="inlineStr">
        <is>
          <t>Diego</t>
        </is>
      </c>
      <c r="C505" s="31" t="inlineStr">
        <is>
          <t>Site novo · Loja Verde</t>
        </is>
      </c>
      <c r="D505" s="29" t="inlineStr">
        <is>
          <t>Reunião com cliente</t>
        </is>
      </c>
      <c r="E505" s="35" t="n">
        <v>5.5</v>
      </c>
      <c r="F505" s="26">
        <f>IF(OR(B505="",E505=""),"",IFERROR(IF(ISNUMBER(INDEX(Config!$D$11:$D$20,MATCH(B505,Config!$A$11:$A$20,0))),E505*INDEX(Config!$D$11:$D$20,MATCH(B505,Config!$A$11:$A$20,0)),"cadastro de custo incompleto em Config"),"pessoa sem custo-hora em Config"))</f>
        <v>265.833333333333</v>
      </c>
      <c r="G505" s="25">
        <f>IF(A505="","",MONTH(A505))</f>
        <v>9</v>
      </c>
      <c r="H505" s="25">
        <f>IF(A505="","",YEAR(A505))</f>
        <v>2026</v>
      </c>
      <c r="I505" s="31" t="inlineStr">
        <is>
          <t>Sim</t>
        </is>
      </c>
      <c r="J505" s="36">
        <f>IF(AND(B505&lt;&gt;"",E505&lt;&gt;"",NOT(ISNUMBER(F505))),1,0)</f>
        <v>0</v>
      </c>
    </row>
    <row r="506">
      <c r="A506" s="34" t="n">
        <v>46272</v>
      </c>
      <c r="B506" s="31" t="inlineStr">
        <is>
          <t>Diego</t>
        </is>
      </c>
      <c r="C506" s="31" t="inlineStr">
        <is>
          <t>Comercial e propostas</t>
        </is>
      </c>
      <c r="D506" s="29" t="inlineStr">
        <is>
          <t>Reunião comercial</t>
        </is>
      </c>
      <c r="E506" s="35" t="n">
        <v>0.5</v>
      </c>
      <c r="F506" s="26">
        <f>IF(OR(B506="",E506=""),"",IFERROR(IF(ISNUMBER(INDEX(Config!$D$11:$D$20,MATCH(B506,Config!$A$11:$A$20,0))),E506*INDEX(Config!$D$11:$D$20,MATCH(B506,Config!$A$11:$A$20,0)),"cadastro de custo incompleto em Config"),"pessoa sem custo-hora em Config"))</f>
        <v>24.1666666666667</v>
      </c>
      <c r="G506" s="25">
        <f>IF(A506="","",MONTH(A506))</f>
        <v>9</v>
      </c>
      <c r="H506" s="25">
        <f>IF(A506="","",YEAR(A506))</f>
        <v>2026</v>
      </c>
      <c r="I506" s="31" t="inlineStr">
        <is>
          <t>Não</t>
        </is>
      </c>
      <c r="J506" s="36">
        <f>IF(AND(B506&lt;&gt;"",E506&lt;&gt;"",NOT(ISNUMBER(F506))),1,0)</f>
        <v>0</v>
      </c>
    </row>
    <row r="507">
      <c r="A507" s="34" t="n">
        <v>46272</v>
      </c>
      <c r="B507" s="31" t="inlineStr">
        <is>
          <t>Diego</t>
        </is>
      </c>
      <c r="C507" s="31" t="inlineStr">
        <is>
          <t>Gestão e reuniões</t>
        </is>
      </c>
      <c r="D507" s="29" t="inlineStr">
        <is>
          <t>Semanal</t>
        </is>
      </c>
      <c r="E507" s="35" t="n">
        <v>3</v>
      </c>
      <c r="F507" s="26">
        <f>IF(OR(B507="",E507=""),"",IFERROR(IF(ISNUMBER(INDEX(Config!$D$11:$D$20,MATCH(B507,Config!$A$11:$A$20,0))),E507*INDEX(Config!$D$11:$D$20,MATCH(B507,Config!$A$11:$A$20,0)),"cadastro de custo incompleto em Config"),"pessoa sem custo-hora em Config"))</f>
        <v>145</v>
      </c>
      <c r="G507" s="25">
        <f>IF(A507="","",MONTH(A507))</f>
        <v>9</v>
      </c>
      <c r="H507" s="25">
        <f>IF(A507="","",YEAR(A507))</f>
        <v>2026</v>
      </c>
      <c r="I507" s="31" t="inlineStr">
        <is>
          <t>Não</t>
        </is>
      </c>
      <c r="J507" s="36">
        <f>IF(AND(B507&lt;&gt;"",E507&lt;&gt;"",NOT(ISNUMBER(F507))),1,0)</f>
        <v>0</v>
      </c>
    </row>
    <row r="508">
      <c r="A508" s="34" t="n">
        <v>46273</v>
      </c>
      <c r="B508" s="31" t="inlineStr">
        <is>
          <t>Ana</t>
        </is>
      </c>
      <c r="C508" s="31" t="inlineStr">
        <is>
          <t>Site novo · Loja Verde</t>
        </is>
      </c>
      <c r="D508" s="29" t="inlineStr">
        <is>
          <t>Implementação</t>
        </is>
      </c>
      <c r="E508" s="35" t="n">
        <v>1</v>
      </c>
      <c r="F508" s="26">
        <f>IF(OR(B508="",E508=""),"",IFERROR(IF(ISNUMBER(INDEX(Config!$D$11:$D$20,MATCH(B508,Config!$A$11:$A$20,0))),E508*INDEX(Config!$D$11:$D$20,MATCH(B508,Config!$A$11:$A$20,0)),"cadastro de custo incompleto em Config"),"pessoa sem custo-hora em Config"))</f>
        <v>70</v>
      </c>
      <c r="G508" s="25">
        <f>IF(A508="","",MONTH(A508))</f>
        <v>9</v>
      </c>
      <c r="H508" s="25">
        <f>IF(A508="","",YEAR(A508))</f>
        <v>2026</v>
      </c>
      <c r="I508" s="31" t="inlineStr">
        <is>
          <t>Sim</t>
        </is>
      </c>
      <c r="J508" s="36">
        <f>IF(AND(B508&lt;&gt;"",E508&lt;&gt;"",NOT(ISNUMBER(F508))),1,0)</f>
        <v>0</v>
      </c>
    </row>
    <row r="509">
      <c r="A509" s="34" t="n">
        <v>46273</v>
      </c>
      <c r="B509" s="31" t="inlineStr">
        <is>
          <t>Ana</t>
        </is>
      </c>
      <c r="C509" s="31" t="inlineStr">
        <is>
          <t>Relatório anual · Horizonte</t>
        </is>
      </c>
      <c r="D509" s="29" t="inlineStr">
        <is>
          <t>Redação</t>
        </is>
      </c>
      <c r="E509" s="35" t="n">
        <v>2</v>
      </c>
      <c r="F509" s="26">
        <f>IF(OR(B509="",E509=""),"",IFERROR(IF(ISNUMBER(INDEX(Config!$D$11:$D$20,MATCH(B509,Config!$A$11:$A$20,0))),E509*INDEX(Config!$D$11:$D$20,MATCH(B509,Config!$A$11:$A$20,0)),"cadastro de custo incompleto em Config"),"pessoa sem custo-hora em Config"))</f>
        <v>140</v>
      </c>
      <c r="G509" s="25">
        <f>IF(A509="","",MONTH(A509))</f>
        <v>9</v>
      </c>
      <c r="H509" s="25">
        <f>IF(A509="","",YEAR(A509))</f>
        <v>2026</v>
      </c>
      <c r="I509" s="31" t="inlineStr">
        <is>
          <t>Sim</t>
        </is>
      </c>
      <c r="J509" s="36">
        <f>IF(AND(B509&lt;&gt;"",E509&lt;&gt;"",NOT(ISNUMBER(F509))),1,0)</f>
        <v>0</v>
      </c>
    </row>
    <row r="510">
      <c r="A510" s="34" t="n">
        <v>46273</v>
      </c>
      <c r="B510" s="31" t="inlineStr">
        <is>
          <t>Ana</t>
        </is>
      </c>
      <c r="C510" s="31" t="inlineStr">
        <is>
          <t>Comercial e propostas</t>
        </is>
      </c>
      <c r="D510" s="29" t="inlineStr">
        <is>
          <t>Reunião comercial</t>
        </is>
      </c>
      <c r="E510" s="35" t="n">
        <v>2</v>
      </c>
      <c r="F510" s="26">
        <f>IF(OR(B510="",E510=""),"",IFERROR(IF(ISNUMBER(INDEX(Config!$D$11:$D$20,MATCH(B510,Config!$A$11:$A$20,0))),E510*INDEX(Config!$D$11:$D$20,MATCH(B510,Config!$A$11:$A$20,0)),"cadastro de custo incompleto em Config"),"pessoa sem custo-hora em Config"))</f>
        <v>140</v>
      </c>
      <c r="G510" s="25">
        <f>IF(A510="","",MONTH(A510))</f>
        <v>9</v>
      </c>
      <c r="H510" s="25">
        <f>IF(A510="","",YEAR(A510))</f>
        <v>2026</v>
      </c>
      <c r="I510" s="31" t="inlineStr">
        <is>
          <t>Não</t>
        </is>
      </c>
      <c r="J510" s="36">
        <f>IF(AND(B510&lt;&gt;"",E510&lt;&gt;"",NOT(ISNUMBER(F510))),1,0)</f>
        <v>0</v>
      </c>
    </row>
    <row r="511">
      <c r="A511" s="34" t="n">
        <v>46273</v>
      </c>
      <c r="B511" s="31" t="inlineStr">
        <is>
          <t>Ana</t>
        </is>
      </c>
      <c r="C511" s="31" t="inlineStr">
        <is>
          <t>Gestão e reuniões</t>
        </is>
      </c>
      <c r="D511" s="29" t="inlineStr">
        <is>
          <t>Planejamento</t>
        </is>
      </c>
      <c r="E511" s="35" t="n">
        <v>2</v>
      </c>
      <c r="F511" s="26">
        <f>IF(OR(B511="",E511=""),"",IFERROR(IF(ISNUMBER(INDEX(Config!$D$11:$D$20,MATCH(B511,Config!$A$11:$A$20,0))),E511*INDEX(Config!$D$11:$D$20,MATCH(B511,Config!$A$11:$A$20,0)),"cadastro de custo incompleto em Config"),"pessoa sem custo-hora em Config"))</f>
        <v>140</v>
      </c>
      <c r="G511" s="25">
        <f>IF(A511="","",MONTH(A511))</f>
        <v>9</v>
      </c>
      <c r="H511" s="25">
        <f>IF(A511="","",YEAR(A511))</f>
        <v>2026</v>
      </c>
      <c r="I511" s="31" t="inlineStr">
        <is>
          <t>Não</t>
        </is>
      </c>
      <c r="J511" s="36">
        <f>IF(AND(B511&lt;&gt;"",E511&lt;&gt;"",NOT(ISNUMBER(F511))),1,0)</f>
        <v>0</v>
      </c>
    </row>
    <row r="512">
      <c r="A512" s="34" t="n">
        <v>46273</v>
      </c>
      <c r="B512" s="31" t="inlineStr">
        <is>
          <t>Bruno</t>
        </is>
      </c>
      <c r="C512" s="31" t="inlineStr">
        <is>
          <t>Site novo · Loja Verde</t>
        </is>
      </c>
      <c r="D512" s="29" t="inlineStr">
        <is>
          <t>Implementação</t>
        </is>
      </c>
      <c r="E512" s="35" t="n">
        <v>4</v>
      </c>
      <c r="F512" s="26">
        <f>IF(OR(B512="",E512=""),"",IFERROR(IF(ISNUMBER(INDEX(Config!$D$11:$D$20,MATCH(B512,Config!$A$11:$A$20,0))),E512*INDEX(Config!$D$11:$D$20,MATCH(B512,Config!$A$11:$A$20,0)),"cadastro de custo incompleto em Config"),"pessoa sem custo-hora em Config"))</f>
        <v>205.714285714286</v>
      </c>
      <c r="G512" s="25">
        <f>IF(A512="","",MONTH(A512))</f>
        <v>9</v>
      </c>
      <c r="H512" s="25">
        <f>IF(A512="","",YEAR(A512))</f>
        <v>2026</v>
      </c>
      <c r="I512" s="31" t="inlineStr">
        <is>
          <t>Sim</t>
        </is>
      </c>
      <c r="J512" s="36">
        <f>IF(AND(B512&lt;&gt;"",E512&lt;&gt;"",NOT(ISNUMBER(F512))),1,0)</f>
        <v>0</v>
      </c>
    </row>
    <row r="513">
      <c r="A513" s="34" t="n">
        <v>46273</v>
      </c>
      <c r="B513" s="31" t="inlineStr">
        <is>
          <t>Bruno</t>
        </is>
      </c>
      <c r="C513" s="31" t="inlineStr">
        <is>
          <t>Campanha de fim de ano · Bistrô 42</t>
        </is>
      </c>
      <c r="D513" s="29" t="inlineStr">
        <is>
          <t>Conceito</t>
        </is>
      </c>
      <c r="E513" s="35" t="n">
        <v>3</v>
      </c>
      <c r="F513" s="26">
        <f>IF(OR(B513="",E513=""),"",IFERROR(IF(ISNUMBER(INDEX(Config!$D$11:$D$20,MATCH(B513,Config!$A$11:$A$20,0))),E513*INDEX(Config!$D$11:$D$20,MATCH(B513,Config!$A$11:$A$20,0)),"cadastro de custo incompleto em Config"),"pessoa sem custo-hora em Config"))</f>
        <v>154.285714285714</v>
      </c>
      <c r="G513" s="25">
        <f>IF(A513="","",MONTH(A513))</f>
        <v>9</v>
      </c>
      <c r="H513" s="25">
        <f>IF(A513="","",YEAR(A513))</f>
        <v>2026</v>
      </c>
      <c r="I513" s="31" t="inlineStr">
        <is>
          <t>Sim</t>
        </is>
      </c>
      <c r="J513" s="36">
        <f>IF(AND(B513&lt;&gt;"",E513&lt;&gt;"",NOT(ISNUMBER(F513))),1,0)</f>
        <v>0</v>
      </c>
    </row>
    <row r="514">
      <c r="A514" s="34" t="n">
        <v>46273</v>
      </c>
      <c r="B514" s="31" t="inlineStr">
        <is>
          <t>Bruno</t>
        </is>
      </c>
      <c r="C514" s="31" t="inlineStr">
        <is>
          <t>Gestão e reuniões</t>
        </is>
      </c>
      <c r="D514" s="29" t="inlineStr">
        <is>
          <t>Planejamento</t>
        </is>
      </c>
      <c r="E514" s="35" t="n">
        <v>1</v>
      </c>
      <c r="F514" s="26">
        <f>IF(OR(B514="",E514=""),"",IFERROR(IF(ISNUMBER(INDEX(Config!$D$11:$D$20,MATCH(B514,Config!$A$11:$A$20,0))),E514*INDEX(Config!$D$11:$D$20,MATCH(B514,Config!$A$11:$A$20,0)),"cadastro de custo incompleto em Config"),"pessoa sem custo-hora em Config"))</f>
        <v>51.4285714285714</v>
      </c>
      <c r="G514" s="25">
        <f>IF(A514="","",MONTH(A514))</f>
        <v>9</v>
      </c>
      <c r="H514" s="25">
        <f>IF(A514="","",YEAR(A514))</f>
        <v>2026</v>
      </c>
      <c r="I514" s="31" t="inlineStr">
        <is>
          <t>Não</t>
        </is>
      </c>
      <c r="J514" s="36">
        <f>IF(AND(B514&lt;&gt;"",E514&lt;&gt;"",NOT(ISNUMBER(F514))),1,0)</f>
        <v>0</v>
      </c>
    </row>
    <row r="515">
      <c r="A515" s="34" t="n">
        <v>46273</v>
      </c>
      <c r="B515" s="31" t="inlineStr">
        <is>
          <t>Carla</t>
        </is>
      </c>
      <c r="C515" s="31" t="inlineStr">
        <is>
          <t>Campanha de fim de ano · Bistrô 42</t>
        </is>
      </c>
      <c r="D515" s="29" t="inlineStr">
        <is>
          <t>Reunião com cliente</t>
        </is>
      </c>
      <c r="E515" s="35" t="n">
        <v>4</v>
      </c>
      <c r="F515" s="26">
        <f>IF(OR(B515="",E515=""),"",IFERROR(IF(ISNUMBER(INDEX(Config!$D$11:$D$20,MATCH(B515,Config!$A$11:$A$20,0))),E515*INDEX(Config!$D$11:$D$20,MATCH(B515,Config!$A$11:$A$20,0)),"cadastro de custo incompleto em Config"),"pessoa sem custo-hora em Config"))</f>
        <v>185.714285714286</v>
      </c>
      <c r="G515" s="25">
        <f>IF(A515="","",MONTH(A515))</f>
        <v>9</v>
      </c>
      <c r="H515" s="25">
        <f>IF(A515="","",YEAR(A515))</f>
        <v>2026</v>
      </c>
      <c r="I515" s="31" t="inlineStr">
        <is>
          <t>Sim</t>
        </is>
      </c>
      <c r="J515" s="36">
        <f>IF(AND(B515&lt;&gt;"",E515&lt;&gt;"",NOT(ISNUMBER(F515))),1,0)</f>
        <v>0</v>
      </c>
    </row>
    <row r="516">
      <c r="A516" s="34" t="n">
        <v>46273</v>
      </c>
      <c r="B516" s="31" t="inlineStr">
        <is>
          <t>Carla</t>
        </is>
      </c>
      <c r="C516" s="31" t="inlineStr">
        <is>
          <t>Site novo · Loja Verde</t>
        </is>
      </c>
      <c r="D516" s="29" t="inlineStr">
        <is>
          <t>Layout</t>
        </is>
      </c>
      <c r="E516" s="35" t="n">
        <v>2</v>
      </c>
      <c r="F516" s="26">
        <f>IF(OR(B516="",E516=""),"",IFERROR(IF(ISNUMBER(INDEX(Config!$D$11:$D$20,MATCH(B516,Config!$A$11:$A$20,0))),E516*INDEX(Config!$D$11:$D$20,MATCH(B516,Config!$A$11:$A$20,0)),"cadastro de custo incompleto em Config"),"pessoa sem custo-hora em Config"))</f>
        <v>92.8571428571429</v>
      </c>
      <c r="G516" s="25">
        <f>IF(A516="","",MONTH(A516))</f>
        <v>9</v>
      </c>
      <c r="H516" s="25">
        <f>IF(A516="","",YEAR(A516))</f>
        <v>2026</v>
      </c>
      <c r="I516" s="31" t="inlineStr">
        <is>
          <t>Sim</t>
        </is>
      </c>
      <c r="J516" s="36">
        <f>IF(AND(B516&lt;&gt;"",E516&lt;&gt;"",NOT(ISNUMBER(F516))),1,0)</f>
        <v>0</v>
      </c>
    </row>
    <row r="517">
      <c r="A517" s="34" t="n">
        <v>46273</v>
      </c>
      <c r="B517" s="31" t="inlineStr">
        <is>
          <t>Carla</t>
        </is>
      </c>
      <c r="C517" s="31" t="inlineStr">
        <is>
          <t>Comercial e propostas</t>
        </is>
      </c>
      <c r="D517" s="29" t="inlineStr">
        <is>
          <t>Reunião comercial</t>
        </is>
      </c>
      <c r="E517" s="35" t="n">
        <v>2</v>
      </c>
      <c r="F517" s="26">
        <f>IF(OR(B517="",E517=""),"",IFERROR(IF(ISNUMBER(INDEX(Config!$D$11:$D$20,MATCH(B517,Config!$A$11:$A$20,0))),E517*INDEX(Config!$D$11:$D$20,MATCH(B517,Config!$A$11:$A$20,0)),"cadastro de custo incompleto em Config"),"pessoa sem custo-hora em Config"))</f>
        <v>92.8571428571429</v>
      </c>
      <c r="G517" s="25">
        <f>IF(A517="","",MONTH(A517))</f>
        <v>9</v>
      </c>
      <c r="H517" s="25">
        <f>IF(A517="","",YEAR(A517))</f>
        <v>2026</v>
      </c>
      <c r="I517" s="31" t="inlineStr">
        <is>
          <t>Não</t>
        </is>
      </c>
      <c r="J517" s="36">
        <f>IF(AND(B517&lt;&gt;"",E517&lt;&gt;"",NOT(ISNUMBER(F517))),1,0)</f>
        <v>0</v>
      </c>
    </row>
    <row r="518">
      <c r="A518" s="34" t="n">
        <v>46273</v>
      </c>
      <c r="B518" s="31" t="inlineStr">
        <is>
          <t>Carla</t>
        </is>
      </c>
      <c r="C518" s="31" t="inlineStr">
        <is>
          <t>Gestão e reuniões</t>
        </is>
      </c>
      <c r="D518" s="29" t="inlineStr">
        <is>
          <t>Semanal</t>
        </is>
      </c>
      <c r="E518" s="35" t="n">
        <v>1</v>
      </c>
      <c r="F518" s="26">
        <f>IF(OR(B518="",E518=""),"",IFERROR(IF(ISNUMBER(INDEX(Config!$D$11:$D$20,MATCH(B518,Config!$A$11:$A$20,0))),E518*INDEX(Config!$D$11:$D$20,MATCH(B518,Config!$A$11:$A$20,0)),"cadastro de custo incompleto em Config"),"pessoa sem custo-hora em Config"))</f>
        <v>46.4285714285714</v>
      </c>
      <c r="G518" s="25">
        <f>IF(A518="","",MONTH(A518))</f>
        <v>9</v>
      </c>
      <c r="H518" s="25">
        <f>IF(A518="","",YEAR(A518))</f>
        <v>2026</v>
      </c>
      <c r="I518" s="31" t="inlineStr">
        <is>
          <t>Não</t>
        </is>
      </c>
      <c r="J518" s="36">
        <f>IF(AND(B518&lt;&gt;"",E518&lt;&gt;"",NOT(ISNUMBER(F518))),1,0)</f>
        <v>0</v>
      </c>
    </row>
    <row r="519">
      <c r="A519" s="34" t="n">
        <v>46273</v>
      </c>
      <c r="B519" s="31" t="inlineStr">
        <is>
          <t>Diego</t>
        </is>
      </c>
      <c r="C519" s="31" t="inlineStr">
        <is>
          <t>Site novo · Loja Verde</t>
        </is>
      </c>
      <c r="D519" s="29" t="inlineStr">
        <is>
          <t>Layout</t>
        </is>
      </c>
      <c r="E519" s="35" t="n">
        <v>3.5</v>
      </c>
      <c r="F519" s="26">
        <f>IF(OR(B519="",E519=""),"",IFERROR(IF(ISNUMBER(INDEX(Config!$D$11:$D$20,MATCH(B519,Config!$A$11:$A$20,0))),E519*INDEX(Config!$D$11:$D$20,MATCH(B519,Config!$A$11:$A$20,0)),"cadastro de custo incompleto em Config"),"pessoa sem custo-hora em Config"))</f>
        <v>169.166666666667</v>
      </c>
      <c r="G519" s="25">
        <f>IF(A519="","",MONTH(A519))</f>
        <v>9</v>
      </c>
      <c r="H519" s="25">
        <f>IF(A519="","",YEAR(A519))</f>
        <v>2026</v>
      </c>
      <c r="I519" s="31" t="inlineStr">
        <is>
          <t>Sim</t>
        </is>
      </c>
      <c r="J519" s="36">
        <f>IF(AND(B519&lt;&gt;"",E519&lt;&gt;"",NOT(ISNUMBER(F519))),1,0)</f>
        <v>0</v>
      </c>
    </row>
    <row r="520">
      <c r="A520" s="34" t="n">
        <v>46273</v>
      </c>
      <c r="B520" s="31" t="inlineStr">
        <is>
          <t>Diego</t>
        </is>
      </c>
      <c r="C520" s="31" t="inlineStr">
        <is>
          <t>Comercial e propostas</t>
        </is>
      </c>
      <c r="D520" s="29" t="inlineStr">
        <is>
          <t>Reunião comercial</t>
        </is>
      </c>
      <c r="E520" s="35" t="n">
        <v>0.5</v>
      </c>
      <c r="F520" s="26">
        <f>IF(OR(B520="",E520=""),"",IFERROR(IF(ISNUMBER(INDEX(Config!$D$11:$D$20,MATCH(B520,Config!$A$11:$A$20,0))),E520*INDEX(Config!$D$11:$D$20,MATCH(B520,Config!$A$11:$A$20,0)),"cadastro de custo incompleto em Config"),"pessoa sem custo-hora em Config"))</f>
        <v>24.1666666666667</v>
      </c>
      <c r="G520" s="25">
        <f>IF(A520="","",MONTH(A520))</f>
        <v>9</v>
      </c>
      <c r="H520" s="25">
        <f>IF(A520="","",YEAR(A520))</f>
        <v>2026</v>
      </c>
      <c r="I520" s="31" t="inlineStr">
        <is>
          <t>Não</t>
        </is>
      </c>
      <c r="J520" s="36">
        <f>IF(AND(B520&lt;&gt;"",E520&lt;&gt;"",NOT(ISNUMBER(F520))),1,0)</f>
        <v>0</v>
      </c>
    </row>
    <row r="521">
      <c r="A521" s="34" t="n">
        <v>46273</v>
      </c>
      <c r="B521" s="31" t="inlineStr">
        <is>
          <t>Diego</t>
        </is>
      </c>
      <c r="C521" s="31" t="inlineStr">
        <is>
          <t>Gestão e reuniões</t>
        </is>
      </c>
      <c r="D521" s="29" t="inlineStr">
        <is>
          <t>Semanal</t>
        </is>
      </c>
      <c r="E521" s="35" t="n">
        <v>1.5</v>
      </c>
      <c r="F521" s="26">
        <f>IF(OR(B521="",E521=""),"",IFERROR(IF(ISNUMBER(INDEX(Config!$D$11:$D$20,MATCH(B521,Config!$A$11:$A$20,0))),E521*INDEX(Config!$D$11:$D$20,MATCH(B521,Config!$A$11:$A$20,0)),"cadastro de custo incompleto em Config"),"pessoa sem custo-hora em Config"))</f>
        <v>72.5</v>
      </c>
      <c r="G521" s="25">
        <f>IF(A521="","",MONTH(A521))</f>
        <v>9</v>
      </c>
      <c r="H521" s="25">
        <f>IF(A521="","",YEAR(A521))</f>
        <v>2026</v>
      </c>
      <c r="I521" s="31" t="inlineStr">
        <is>
          <t>Não</t>
        </is>
      </c>
      <c r="J521" s="36">
        <f>IF(AND(B521&lt;&gt;"",E521&lt;&gt;"",NOT(ISNUMBER(F521))),1,0)</f>
        <v>0</v>
      </c>
    </row>
    <row r="522">
      <c r="A522" s="34" t="n">
        <v>46274</v>
      </c>
      <c r="B522" s="31" t="inlineStr">
        <is>
          <t>Ana</t>
        </is>
      </c>
      <c r="C522" s="31" t="inlineStr">
        <is>
          <t>Site novo · Loja Verde</t>
        </is>
      </c>
      <c r="D522" s="29" t="inlineStr">
        <is>
          <t>Textos</t>
        </is>
      </c>
      <c r="E522" s="35" t="n">
        <v>1.5</v>
      </c>
      <c r="F522" s="26">
        <f>IF(OR(B522="",E522=""),"",IFERROR(IF(ISNUMBER(INDEX(Config!$D$11:$D$20,MATCH(B522,Config!$A$11:$A$20,0))),E522*INDEX(Config!$D$11:$D$20,MATCH(B522,Config!$A$11:$A$20,0)),"cadastro de custo incompleto em Config"),"pessoa sem custo-hora em Config"))</f>
        <v>105</v>
      </c>
      <c r="G522" s="25">
        <f>IF(A522="","",MONTH(A522))</f>
        <v>9</v>
      </c>
      <c r="H522" s="25">
        <f>IF(A522="","",YEAR(A522))</f>
        <v>2026</v>
      </c>
      <c r="I522" s="31" t="inlineStr">
        <is>
          <t>Sim</t>
        </is>
      </c>
      <c r="J522" s="36">
        <f>IF(AND(B522&lt;&gt;"",E522&lt;&gt;"",NOT(ISNUMBER(F522))),1,0)</f>
        <v>0</v>
      </c>
    </row>
    <row r="523">
      <c r="A523" s="34" t="n">
        <v>46274</v>
      </c>
      <c r="B523" s="31" t="inlineStr">
        <is>
          <t>Ana</t>
        </is>
      </c>
      <c r="C523" s="31" t="inlineStr">
        <is>
          <t>Relatório anual · Horizonte</t>
        </is>
      </c>
      <c r="D523" s="29" t="inlineStr">
        <is>
          <t>Redação</t>
        </is>
      </c>
      <c r="E523" s="35" t="n">
        <v>2</v>
      </c>
      <c r="F523" s="26">
        <f>IF(OR(B523="",E523=""),"",IFERROR(IF(ISNUMBER(INDEX(Config!$D$11:$D$20,MATCH(B523,Config!$A$11:$A$20,0))),E523*INDEX(Config!$D$11:$D$20,MATCH(B523,Config!$A$11:$A$20,0)),"cadastro de custo incompleto em Config"),"pessoa sem custo-hora em Config"))</f>
        <v>140</v>
      </c>
      <c r="G523" s="25">
        <f>IF(A523="","",MONTH(A523))</f>
        <v>9</v>
      </c>
      <c r="H523" s="25">
        <f>IF(A523="","",YEAR(A523))</f>
        <v>2026</v>
      </c>
      <c r="I523" s="31" t="inlineStr">
        <is>
          <t>Sim</t>
        </is>
      </c>
      <c r="J523" s="36">
        <f>IF(AND(B523&lt;&gt;"",E523&lt;&gt;"",NOT(ISNUMBER(F523))),1,0)</f>
        <v>0</v>
      </c>
    </row>
    <row r="524">
      <c r="A524" s="34" t="n">
        <v>46274</v>
      </c>
      <c r="B524" s="31" t="inlineStr">
        <is>
          <t>Ana</t>
        </is>
      </c>
      <c r="C524" s="31" t="inlineStr">
        <is>
          <t>Comercial e propostas</t>
        </is>
      </c>
      <c r="D524" s="29" t="inlineStr">
        <is>
          <t>Reunião comercial</t>
        </is>
      </c>
      <c r="E524" s="35" t="n">
        <v>2.5</v>
      </c>
      <c r="F524" s="26">
        <f>IF(OR(B524="",E524=""),"",IFERROR(IF(ISNUMBER(INDEX(Config!$D$11:$D$20,MATCH(B524,Config!$A$11:$A$20,0))),E524*INDEX(Config!$D$11:$D$20,MATCH(B524,Config!$A$11:$A$20,0)),"cadastro de custo incompleto em Config"),"pessoa sem custo-hora em Config"))</f>
        <v>175</v>
      </c>
      <c r="G524" s="25">
        <f>IF(A524="","",MONTH(A524))</f>
        <v>9</v>
      </c>
      <c r="H524" s="25">
        <f>IF(A524="","",YEAR(A524))</f>
        <v>2026</v>
      </c>
      <c r="I524" s="31" t="inlineStr">
        <is>
          <t>Não</t>
        </is>
      </c>
      <c r="J524" s="36">
        <f>IF(AND(B524&lt;&gt;"",E524&lt;&gt;"",NOT(ISNUMBER(F524))),1,0)</f>
        <v>0</v>
      </c>
    </row>
    <row r="525">
      <c r="A525" s="34" t="n">
        <v>46274</v>
      </c>
      <c r="B525" s="31" t="inlineStr">
        <is>
          <t>Ana</t>
        </is>
      </c>
      <c r="C525" s="31" t="inlineStr">
        <is>
          <t>Gestão e reuniões</t>
        </is>
      </c>
      <c r="D525" s="29" t="inlineStr">
        <is>
          <t>Planejamento</t>
        </is>
      </c>
      <c r="E525" s="35" t="n">
        <v>1.5</v>
      </c>
      <c r="F525" s="26">
        <f>IF(OR(B525="",E525=""),"",IFERROR(IF(ISNUMBER(INDEX(Config!$D$11:$D$20,MATCH(B525,Config!$A$11:$A$20,0))),E525*INDEX(Config!$D$11:$D$20,MATCH(B525,Config!$A$11:$A$20,0)),"cadastro de custo incompleto em Config"),"pessoa sem custo-hora em Config"))</f>
        <v>105</v>
      </c>
      <c r="G525" s="25">
        <f>IF(A525="","",MONTH(A525))</f>
        <v>9</v>
      </c>
      <c r="H525" s="25">
        <f>IF(A525="","",YEAR(A525))</f>
        <v>2026</v>
      </c>
      <c r="I525" s="31" t="inlineStr">
        <is>
          <t>Não</t>
        </is>
      </c>
      <c r="J525" s="36">
        <f>IF(AND(B525&lt;&gt;"",E525&lt;&gt;"",NOT(ISNUMBER(F525))),1,0)</f>
        <v>0</v>
      </c>
    </row>
    <row r="526">
      <c r="A526" s="34" t="n">
        <v>46274</v>
      </c>
      <c r="B526" s="31" t="inlineStr">
        <is>
          <t>Bruno</t>
        </is>
      </c>
      <c r="C526" s="31" t="inlineStr">
        <is>
          <t>Site novo · Loja Verde</t>
        </is>
      </c>
      <c r="D526" s="29" t="inlineStr">
        <is>
          <t>Textos</t>
        </is>
      </c>
      <c r="E526" s="35" t="n">
        <v>3.5</v>
      </c>
      <c r="F526" s="26">
        <f>IF(OR(B526="",E526=""),"",IFERROR(IF(ISNUMBER(INDEX(Config!$D$11:$D$20,MATCH(B526,Config!$A$11:$A$20,0))),E526*INDEX(Config!$D$11:$D$20,MATCH(B526,Config!$A$11:$A$20,0)),"cadastro de custo incompleto em Config"),"pessoa sem custo-hora em Config"))</f>
        <v>180</v>
      </c>
      <c r="G526" s="25">
        <f>IF(A526="","",MONTH(A526))</f>
        <v>9</v>
      </c>
      <c r="H526" s="25">
        <f>IF(A526="","",YEAR(A526))</f>
        <v>2026</v>
      </c>
      <c r="I526" s="31" t="inlineStr">
        <is>
          <t>Sim</t>
        </is>
      </c>
      <c r="J526" s="36">
        <f>IF(AND(B526&lt;&gt;"",E526&lt;&gt;"",NOT(ISNUMBER(F526))),1,0)</f>
        <v>0</v>
      </c>
    </row>
    <row r="527">
      <c r="A527" s="34" t="n">
        <v>46274</v>
      </c>
      <c r="B527" s="31" t="inlineStr">
        <is>
          <t>Bruno</t>
        </is>
      </c>
      <c r="C527" s="31" t="inlineStr">
        <is>
          <t>Campanha de fim de ano · Bistrô 42</t>
        </is>
      </c>
      <c r="D527" s="29" t="inlineStr">
        <is>
          <t>Ajustes</t>
        </is>
      </c>
      <c r="E527" s="35" t="n">
        <v>2</v>
      </c>
      <c r="F527" s="26">
        <f>IF(OR(B527="",E527=""),"",IFERROR(IF(ISNUMBER(INDEX(Config!$D$11:$D$20,MATCH(B527,Config!$A$11:$A$20,0))),E527*INDEX(Config!$D$11:$D$20,MATCH(B527,Config!$A$11:$A$20,0)),"cadastro de custo incompleto em Config"),"pessoa sem custo-hora em Config"))</f>
        <v>102.857142857143</v>
      </c>
      <c r="G527" s="25">
        <f>IF(A527="","",MONTH(A527))</f>
        <v>9</v>
      </c>
      <c r="H527" s="25">
        <f>IF(A527="","",YEAR(A527))</f>
        <v>2026</v>
      </c>
      <c r="I527" s="31" t="inlineStr">
        <is>
          <t>Sim</t>
        </is>
      </c>
      <c r="J527" s="36">
        <f>IF(AND(B527&lt;&gt;"",E527&lt;&gt;"",NOT(ISNUMBER(F527))),1,0)</f>
        <v>0</v>
      </c>
    </row>
    <row r="528">
      <c r="A528" s="34" t="n">
        <v>46274</v>
      </c>
      <c r="B528" s="31" t="inlineStr">
        <is>
          <t>Bruno</t>
        </is>
      </c>
      <c r="C528" s="31" t="inlineStr">
        <is>
          <t>Gestão e reuniões</t>
        </is>
      </c>
      <c r="D528" s="29" t="inlineStr">
        <is>
          <t>Financeiro</t>
        </is>
      </c>
      <c r="E528" s="35" t="n">
        <v>1</v>
      </c>
      <c r="F528" s="26">
        <f>IF(OR(B528="",E528=""),"",IFERROR(IF(ISNUMBER(INDEX(Config!$D$11:$D$20,MATCH(B528,Config!$A$11:$A$20,0))),E528*INDEX(Config!$D$11:$D$20,MATCH(B528,Config!$A$11:$A$20,0)),"cadastro de custo incompleto em Config"),"pessoa sem custo-hora em Config"))</f>
        <v>51.4285714285714</v>
      </c>
      <c r="G528" s="25">
        <f>IF(A528="","",MONTH(A528))</f>
        <v>9</v>
      </c>
      <c r="H528" s="25">
        <f>IF(A528="","",YEAR(A528))</f>
        <v>2026</v>
      </c>
      <c r="I528" s="31" t="inlineStr">
        <is>
          <t>Não</t>
        </is>
      </c>
      <c r="J528" s="36">
        <f>IF(AND(B528&lt;&gt;"",E528&lt;&gt;"",NOT(ISNUMBER(F528))),1,0)</f>
        <v>0</v>
      </c>
    </row>
    <row r="529">
      <c r="A529" s="34" t="n">
        <v>46274</v>
      </c>
      <c r="B529" s="31" t="inlineStr">
        <is>
          <t>Carla</t>
        </is>
      </c>
      <c r="C529" s="31" t="inlineStr">
        <is>
          <t>Campanha de fim de ano · Bistrô 42</t>
        </is>
      </c>
      <c r="D529" s="29" t="inlineStr">
        <is>
          <t>Reunião com cliente</t>
        </is>
      </c>
      <c r="E529" s="35" t="n">
        <v>3.5</v>
      </c>
      <c r="F529" s="26">
        <f>IF(OR(B529="",E529=""),"",IFERROR(IF(ISNUMBER(INDEX(Config!$D$11:$D$20,MATCH(B529,Config!$A$11:$A$20,0))),E529*INDEX(Config!$D$11:$D$20,MATCH(B529,Config!$A$11:$A$20,0)),"cadastro de custo incompleto em Config"),"pessoa sem custo-hora em Config"))</f>
        <v>162.5</v>
      </c>
      <c r="G529" s="25">
        <f>IF(A529="","",MONTH(A529))</f>
        <v>9</v>
      </c>
      <c r="H529" s="25">
        <f>IF(A529="","",YEAR(A529))</f>
        <v>2026</v>
      </c>
      <c r="I529" s="31" t="inlineStr">
        <is>
          <t>Sim</t>
        </is>
      </c>
      <c r="J529" s="36">
        <f>IF(AND(B529&lt;&gt;"",E529&lt;&gt;"",NOT(ISNUMBER(F529))),1,0)</f>
        <v>0</v>
      </c>
    </row>
    <row r="530">
      <c r="A530" s="34" t="n">
        <v>46274</v>
      </c>
      <c r="B530" s="31" t="inlineStr">
        <is>
          <t>Carla</t>
        </is>
      </c>
      <c r="C530" s="31" t="inlineStr">
        <is>
          <t>Site novo · Loja Verde</t>
        </is>
      </c>
      <c r="D530" s="29" t="inlineStr">
        <is>
          <t>Layout</t>
        </is>
      </c>
      <c r="E530" s="35" t="n">
        <v>1.5</v>
      </c>
      <c r="F530" s="26">
        <f>IF(OR(B530="",E530=""),"",IFERROR(IF(ISNUMBER(INDEX(Config!$D$11:$D$20,MATCH(B530,Config!$A$11:$A$20,0))),E530*INDEX(Config!$D$11:$D$20,MATCH(B530,Config!$A$11:$A$20,0)),"cadastro de custo incompleto em Config"),"pessoa sem custo-hora em Config"))</f>
        <v>69.6428571428571</v>
      </c>
      <c r="G530" s="25">
        <f>IF(A530="","",MONTH(A530))</f>
        <v>9</v>
      </c>
      <c r="H530" s="25">
        <f>IF(A530="","",YEAR(A530))</f>
        <v>2026</v>
      </c>
      <c r="I530" s="31" t="inlineStr">
        <is>
          <t>Sim</t>
        </is>
      </c>
      <c r="J530" s="36">
        <f>IF(AND(B530&lt;&gt;"",E530&lt;&gt;"",NOT(ISNUMBER(F530))),1,0)</f>
        <v>0</v>
      </c>
    </row>
    <row r="531">
      <c r="A531" s="34" t="n">
        <v>46274</v>
      </c>
      <c r="B531" s="31" t="inlineStr">
        <is>
          <t>Carla</t>
        </is>
      </c>
      <c r="C531" s="31" t="inlineStr">
        <is>
          <t>Comercial e propostas</t>
        </is>
      </c>
      <c r="D531" s="29" t="inlineStr">
        <is>
          <t>Proposta</t>
        </is>
      </c>
      <c r="E531" s="35" t="n">
        <v>2</v>
      </c>
      <c r="F531" s="26">
        <f>IF(OR(B531="",E531=""),"",IFERROR(IF(ISNUMBER(INDEX(Config!$D$11:$D$20,MATCH(B531,Config!$A$11:$A$20,0))),E531*INDEX(Config!$D$11:$D$20,MATCH(B531,Config!$A$11:$A$20,0)),"cadastro de custo incompleto em Config"),"pessoa sem custo-hora em Config"))</f>
        <v>92.8571428571429</v>
      </c>
      <c r="G531" s="25">
        <f>IF(A531="","",MONTH(A531))</f>
        <v>9</v>
      </c>
      <c r="H531" s="25">
        <f>IF(A531="","",YEAR(A531))</f>
        <v>2026</v>
      </c>
      <c r="I531" s="31" t="inlineStr">
        <is>
          <t>Não</t>
        </is>
      </c>
      <c r="J531" s="36">
        <f>IF(AND(B531&lt;&gt;"",E531&lt;&gt;"",NOT(ISNUMBER(F531))),1,0)</f>
        <v>0</v>
      </c>
    </row>
    <row r="532">
      <c r="A532" s="34" t="n">
        <v>46274</v>
      </c>
      <c r="B532" s="31" t="inlineStr">
        <is>
          <t>Carla</t>
        </is>
      </c>
      <c r="C532" s="31" t="inlineStr">
        <is>
          <t>Gestão e reuniões</t>
        </is>
      </c>
      <c r="D532" s="29" t="inlineStr">
        <is>
          <t>Financeiro</t>
        </is>
      </c>
      <c r="E532" s="35" t="n">
        <v>0.5</v>
      </c>
      <c r="F532" s="26">
        <f>IF(OR(B532="",E532=""),"",IFERROR(IF(ISNUMBER(INDEX(Config!$D$11:$D$20,MATCH(B532,Config!$A$11:$A$20,0))),E532*INDEX(Config!$D$11:$D$20,MATCH(B532,Config!$A$11:$A$20,0)),"cadastro de custo incompleto em Config"),"pessoa sem custo-hora em Config"))</f>
        <v>23.2142857142857</v>
      </c>
      <c r="G532" s="25">
        <f>IF(A532="","",MONTH(A532))</f>
        <v>9</v>
      </c>
      <c r="H532" s="25">
        <f>IF(A532="","",YEAR(A532))</f>
        <v>2026</v>
      </c>
      <c r="I532" s="31" t="inlineStr">
        <is>
          <t>Não</t>
        </is>
      </c>
      <c r="J532" s="36">
        <f>IF(AND(B532&lt;&gt;"",E532&lt;&gt;"",NOT(ISNUMBER(F532))),1,0)</f>
        <v>0</v>
      </c>
    </row>
    <row r="533">
      <c r="A533" s="34" t="n">
        <v>46274</v>
      </c>
      <c r="B533" s="31" t="inlineStr">
        <is>
          <t>Diego</t>
        </is>
      </c>
      <c r="C533" s="31" t="inlineStr">
        <is>
          <t>Site novo · Loja Verde</t>
        </is>
      </c>
      <c r="D533" s="29" t="inlineStr">
        <is>
          <t>Reunião com cliente</t>
        </is>
      </c>
      <c r="E533" s="35" t="n">
        <v>3.5</v>
      </c>
      <c r="F533" s="26">
        <f>IF(OR(B533="",E533=""),"",IFERROR(IF(ISNUMBER(INDEX(Config!$D$11:$D$20,MATCH(B533,Config!$A$11:$A$20,0))),E533*INDEX(Config!$D$11:$D$20,MATCH(B533,Config!$A$11:$A$20,0)),"cadastro de custo incompleto em Config"),"pessoa sem custo-hora em Config"))</f>
        <v>169.166666666667</v>
      </c>
      <c r="G533" s="25">
        <f>IF(A533="","",MONTH(A533))</f>
        <v>9</v>
      </c>
      <c r="H533" s="25">
        <f>IF(A533="","",YEAR(A533))</f>
        <v>2026</v>
      </c>
      <c r="I533" s="31" t="inlineStr">
        <is>
          <t>Sim</t>
        </is>
      </c>
      <c r="J533" s="36">
        <f>IF(AND(B533&lt;&gt;"",E533&lt;&gt;"",NOT(ISNUMBER(F533))),1,0)</f>
        <v>0</v>
      </c>
    </row>
    <row r="534">
      <c r="A534" s="34" t="n">
        <v>46274</v>
      </c>
      <c r="B534" s="31" t="inlineStr">
        <is>
          <t>Diego</t>
        </is>
      </c>
      <c r="C534" s="31" t="inlineStr">
        <is>
          <t>Comercial e propostas</t>
        </is>
      </c>
      <c r="D534" s="29" t="inlineStr">
        <is>
          <t>Proposta</t>
        </is>
      </c>
      <c r="E534" s="35" t="n">
        <v>0.5</v>
      </c>
      <c r="F534" s="26">
        <f>IF(OR(B534="",E534=""),"",IFERROR(IF(ISNUMBER(INDEX(Config!$D$11:$D$20,MATCH(B534,Config!$A$11:$A$20,0))),E534*INDEX(Config!$D$11:$D$20,MATCH(B534,Config!$A$11:$A$20,0)),"cadastro de custo incompleto em Config"),"pessoa sem custo-hora em Config"))</f>
        <v>24.1666666666667</v>
      </c>
      <c r="G534" s="25">
        <f>IF(A534="","",MONTH(A534))</f>
        <v>9</v>
      </c>
      <c r="H534" s="25">
        <f>IF(A534="","",YEAR(A534))</f>
        <v>2026</v>
      </c>
      <c r="I534" s="31" t="inlineStr">
        <is>
          <t>Não</t>
        </is>
      </c>
      <c r="J534" s="36">
        <f>IF(AND(B534&lt;&gt;"",E534&lt;&gt;"",NOT(ISNUMBER(F534))),1,0)</f>
        <v>0</v>
      </c>
    </row>
    <row r="535">
      <c r="A535" s="34" t="n">
        <v>46274</v>
      </c>
      <c r="B535" s="31" t="inlineStr">
        <is>
          <t>Diego</t>
        </is>
      </c>
      <c r="C535" s="31" t="inlineStr">
        <is>
          <t>Gestão e reuniões</t>
        </is>
      </c>
      <c r="D535" s="29" t="inlineStr">
        <is>
          <t>Semanal</t>
        </is>
      </c>
      <c r="E535" s="35" t="n">
        <v>2</v>
      </c>
      <c r="F535" s="26">
        <f>IF(OR(B535="",E535=""),"",IFERROR(IF(ISNUMBER(INDEX(Config!$D$11:$D$20,MATCH(B535,Config!$A$11:$A$20,0))),E535*INDEX(Config!$D$11:$D$20,MATCH(B535,Config!$A$11:$A$20,0)),"cadastro de custo incompleto em Config"),"pessoa sem custo-hora em Config"))</f>
        <v>96.6666666666667</v>
      </c>
      <c r="G535" s="25">
        <f>IF(A535="","",MONTH(A535))</f>
        <v>9</v>
      </c>
      <c r="H535" s="25">
        <f>IF(A535="","",YEAR(A535))</f>
        <v>2026</v>
      </c>
      <c r="I535" s="31" t="inlineStr">
        <is>
          <t>Não</t>
        </is>
      </c>
      <c r="J535" s="36">
        <f>IF(AND(B535&lt;&gt;"",E535&lt;&gt;"",NOT(ISNUMBER(F535))),1,0)</f>
        <v>0</v>
      </c>
    </row>
    <row r="536">
      <c r="A536" s="34" t="n">
        <v>46275</v>
      </c>
      <c r="B536" s="31" t="inlineStr">
        <is>
          <t>Ana</t>
        </is>
      </c>
      <c r="C536" s="31" t="inlineStr">
        <is>
          <t>Site novo · Loja Verde</t>
        </is>
      </c>
      <c r="D536" s="29" t="inlineStr">
        <is>
          <t>Textos</t>
        </is>
      </c>
      <c r="E536" s="35" t="n">
        <v>1.5</v>
      </c>
      <c r="F536" s="26">
        <f>IF(OR(B536="",E536=""),"",IFERROR(IF(ISNUMBER(INDEX(Config!$D$11:$D$20,MATCH(B536,Config!$A$11:$A$20,0))),E536*INDEX(Config!$D$11:$D$20,MATCH(B536,Config!$A$11:$A$20,0)),"cadastro de custo incompleto em Config"),"pessoa sem custo-hora em Config"))</f>
        <v>105</v>
      </c>
      <c r="G536" s="25">
        <f>IF(A536="","",MONTH(A536))</f>
        <v>9</v>
      </c>
      <c r="H536" s="25">
        <f>IF(A536="","",YEAR(A536))</f>
        <v>2026</v>
      </c>
      <c r="I536" s="31" t="inlineStr">
        <is>
          <t>Sim</t>
        </is>
      </c>
      <c r="J536" s="36">
        <f>IF(AND(B536&lt;&gt;"",E536&lt;&gt;"",NOT(ISNUMBER(F536))),1,0)</f>
        <v>0</v>
      </c>
    </row>
    <row r="537">
      <c r="A537" s="34" t="n">
        <v>46275</v>
      </c>
      <c r="B537" s="31" t="inlineStr">
        <is>
          <t>Ana</t>
        </is>
      </c>
      <c r="C537" s="31" t="inlineStr">
        <is>
          <t>Relatório anual · Horizonte</t>
        </is>
      </c>
      <c r="D537" s="29" t="inlineStr">
        <is>
          <t>Redação</t>
        </is>
      </c>
      <c r="E537" s="35" t="n">
        <v>3.5</v>
      </c>
      <c r="F537" s="26">
        <f>IF(OR(B537="",E537=""),"",IFERROR(IF(ISNUMBER(INDEX(Config!$D$11:$D$20,MATCH(B537,Config!$A$11:$A$20,0))),E537*INDEX(Config!$D$11:$D$20,MATCH(B537,Config!$A$11:$A$20,0)),"cadastro de custo incompleto em Config"),"pessoa sem custo-hora em Config"))</f>
        <v>245</v>
      </c>
      <c r="G537" s="25">
        <f>IF(A537="","",MONTH(A537))</f>
        <v>9</v>
      </c>
      <c r="H537" s="25">
        <f>IF(A537="","",YEAR(A537))</f>
        <v>2026</v>
      </c>
      <c r="I537" s="31" t="inlineStr">
        <is>
          <t>Sim</t>
        </is>
      </c>
      <c r="J537" s="36">
        <f>IF(AND(B537&lt;&gt;"",E537&lt;&gt;"",NOT(ISNUMBER(F537))),1,0)</f>
        <v>0</v>
      </c>
    </row>
    <row r="538">
      <c r="A538" s="34" t="n">
        <v>46275</v>
      </c>
      <c r="B538" s="31" t="inlineStr">
        <is>
          <t>Ana</t>
        </is>
      </c>
      <c r="C538" s="31" t="inlineStr">
        <is>
          <t>Comercial e propostas</t>
        </is>
      </c>
      <c r="D538" s="29" t="inlineStr">
        <is>
          <t>Proposta</t>
        </is>
      </c>
      <c r="E538" s="35" t="n">
        <v>2.5</v>
      </c>
      <c r="F538" s="26">
        <f>IF(OR(B538="",E538=""),"",IFERROR(IF(ISNUMBER(INDEX(Config!$D$11:$D$20,MATCH(B538,Config!$A$11:$A$20,0))),E538*INDEX(Config!$D$11:$D$20,MATCH(B538,Config!$A$11:$A$20,0)),"cadastro de custo incompleto em Config"),"pessoa sem custo-hora em Config"))</f>
        <v>175</v>
      </c>
      <c r="G538" s="25">
        <f>IF(A538="","",MONTH(A538))</f>
        <v>9</v>
      </c>
      <c r="H538" s="25">
        <f>IF(A538="","",YEAR(A538))</f>
        <v>2026</v>
      </c>
      <c r="I538" s="31" t="inlineStr">
        <is>
          <t>Não</t>
        </is>
      </c>
      <c r="J538" s="36">
        <f>IF(AND(B538&lt;&gt;"",E538&lt;&gt;"",NOT(ISNUMBER(F538))),1,0)</f>
        <v>0</v>
      </c>
    </row>
    <row r="539">
      <c r="A539" s="34" t="n">
        <v>46275</v>
      </c>
      <c r="B539" s="31" t="inlineStr">
        <is>
          <t>Ana</t>
        </is>
      </c>
      <c r="C539" s="31" t="inlineStr">
        <is>
          <t>Gestão e reuniões</t>
        </is>
      </c>
      <c r="D539" s="29" t="inlineStr">
        <is>
          <t>Financeiro</t>
        </is>
      </c>
      <c r="E539" s="35" t="n">
        <v>2</v>
      </c>
      <c r="F539" s="26">
        <f>IF(OR(B539="",E539=""),"",IFERROR(IF(ISNUMBER(INDEX(Config!$D$11:$D$20,MATCH(B539,Config!$A$11:$A$20,0))),E539*INDEX(Config!$D$11:$D$20,MATCH(B539,Config!$A$11:$A$20,0)),"cadastro de custo incompleto em Config"),"pessoa sem custo-hora em Config"))</f>
        <v>140</v>
      </c>
      <c r="G539" s="25">
        <f>IF(A539="","",MONTH(A539))</f>
        <v>9</v>
      </c>
      <c r="H539" s="25">
        <f>IF(A539="","",YEAR(A539))</f>
        <v>2026</v>
      </c>
      <c r="I539" s="31" t="inlineStr">
        <is>
          <t>Não</t>
        </is>
      </c>
      <c r="J539" s="36">
        <f>IF(AND(B539&lt;&gt;"",E539&lt;&gt;"",NOT(ISNUMBER(F539))),1,0)</f>
        <v>0</v>
      </c>
    </row>
    <row r="540">
      <c r="A540" s="34" t="n">
        <v>46275</v>
      </c>
      <c r="B540" s="31" t="inlineStr">
        <is>
          <t>Bruno</t>
        </is>
      </c>
      <c r="C540" s="31" t="inlineStr">
        <is>
          <t>Site novo · Loja Verde</t>
        </is>
      </c>
      <c r="D540" s="29" t="inlineStr">
        <is>
          <t>Layout</t>
        </is>
      </c>
      <c r="E540" s="35" t="n">
        <v>3</v>
      </c>
      <c r="F540" s="26">
        <f>IF(OR(B540="",E540=""),"",IFERROR(IF(ISNUMBER(INDEX(Config!$D$11:$D$20,MATCH(B540,Config!$A$11:$A$20,0))),E540*INDEX(Config!$D$11:$D$20,MATCH(B540,Config!$A$11:$A$20,0)),"cadastro de custo incompleto em Config"),"pessoa sem custo-hora em Config"))</f>
        <v>154.285714285714</v>
      </c>
      <c r="G540" s="25">
        <f>IF(A540="","",MONTH(A540))</f>
        <v>9</v>
      </c>
      <c r="H540" s="25">
        <f>IF(A540="","",YEAR(A540))</f>
        <v>2026</v>
      </c>
      <c r="I540" s="31" t="inlineStr">
        <is>
          <t>Sim</t>
        </is>
      </c>
      <c r="J540" s="36">
        <f>IF(AND(B540&lt;&gt;"",E540&lt;&gt;"",NOT(ISNUMBER(F540))),1,0)</f>
        <v>0</v>
      </c>
    </row>
    <row r="541">
      <c r="A541" s="34" t="n">
        <v>46275</v>
      </c>
      <c r="B541" s="31" t="inlineStr">
        <is>
          <t>Bruno</t>
        </is>
      </c>
      <c r="C541" s="31" t="inlineStr">
        <is>
          <t>Campanha de fim de ano · Bistrô 42</t>
        </is>
      </c>
      <c r="D541" s="29" t="inlineStr">
        <is>
          <t>Conceito</t>
        </is>
      </c>
      <c r="E541" s="35" t="n">
        <v>3.5</v>
      </c>
      <c r="F541" s="26">
        <f>IF(OR(B541="",E541=""),"",IFERROR(IF(ISNUMBER(INDEX(Config!$D$11:$D$20,MATCH(B541,Config!$A$11:$A$20,0))),E541*INDEX(Config!$D$11:$D$20,MATCH(B541,Config!$A$11:$A$20,0)),"cadastro de custo incompleto em Config"),"pessoa sem custo-hora em Config"))</f>
        <v>180</v>
      </c>
      <c r="G541" s="25">
        <f>IF(A541="","",MONTH(A541))</f>
        <v>9</v>
      </c>
      <c r="H541" s="25">
        <f>IF(A541="","",YEAR(A541))</f>
        <v>2026</v>
      </c>
      <c r="I541" s="31" t="inlineStr">
        <is>
          <t>Sim</t>
        </is>
      </c>
      <c r="J541" s="36">
        <f>IF(AND(B541&lt;&gt;"",E541&lt;&gt;"",NOT(ISNUMBER(F541))),1,0)</f>
        <v>0</v>
      </c>
    </row>
    <row r="542">
      <c r="A542" s="34" t="n">
        <v>46275</v>
      </c>
      <c r="B542" s="31" t="inlineStr">
        <is>
          <t>Bruno</t>
        </is>
      </c>
      <c r="C542" s="31" t="inlineStr">
        <is>
          <t>Gestão e reuniões</t>
        </is>
      </c>
      <c r="D542" s="29" t="inlineStr">
        <is>
          <t>Semanal</t>
        </is>
      </c>
      <c r="E542" s="35" t="n">
        <v>1</v>
      </c>
      <c r="F542" s="26">
        <f>IF(OR(B542="",E542=""),"",IFERROR(IF(ISNUMBER(INDEX(Config!$D$11:$D$20,MATCH(B542,Config!$A$11:$A$20,0))),E542*INDEX(Config!$D$11:$D$20,MATCH(B542,Config!$A$11:$A$20,0)),"cadastro de custo incompleto em Config"),"pessoa sem custo-hora em Config"))</f>
        <v>51.4285714285714</v>
      </c>
      <c r="G542" s="25">
        <f>IF(A542="","",MONTH(A542))</f>
        <v>9</v>
      </c>
      <c r="H542" s="25">
        <f>IF(A542="","",YEAR(A542))</f>
        <v>2026</v>
      </c>
      <c r="I542" s="31" t="inlineStr">
        <is>
          <t>Não</t>
        </is>
      </c>
      <c r="J542" s="36">
        <f>IF(AND(B542&lt;&gt;"",E542&lt;&gt;"",NOT(ISNUMBER(F542))),1,0)</f>
        <v>0</v>
      </c>
    </row>
    <row r="543">
      <c r="A543" s="34" t="n">
        <v>46275</v>
      </c>
      <c r="B543" s="31" t="inlineStr">
        <is>
          <t>Carla</t>
        </is>
      </c>
      <c r="C543" s="31" t="inlineStr">
        <is>
          <t>Campanha de fim de ano · Bistrô 42</t>
        </is>
      </c>
      <c r="D543" s="29" t="inlineStr">
        <is>
          <t>Peças</t>
        </is>
      </c>
      <c r="E543" s="35" t="n">
        <v>2.5</v>
      </c>
      <c r="F543" s="26">
        <f>IF(OR(B543="",E543=""),"",IFERROR(IF(ISNUMBER(INDEX(Config!$D$11:$D$20,MATCH(B543,Config!$A$11:$A$20,0))),E543*INDEX(Config!$D$11:$D$20,MATCH(B543,Config!$A$11:$A$20,0)),"cadastro de custo incompleto em Config"),"pessoa sem custo-hora em Config"))</f>
        <v>116.071428571429</v>
      </c>
      <c r="G543" s="25">
        <f>IF(A543="","",MONTH(A543))</f>
        <v>9</v>
      </c>
      <c r="H543" s="25">
        <f>IF(A543="","",YEAR(A543))</f>
        <v>2026</v>
      </c>
      <c r="I543" s="31" t="inlineStr">
        <is>
          <t>Sim</t>
        </is>
      </c>
      <c r="J543" s="36">
        <f>IF(AND(B543&lt;&gt;"",E543&lt;&gt;"",NOT(ISNUMBER(F543))),1,0)</f>
        <v>0</v>
      </c>
    </row>
    <row r="544">
      <c r="A544" s="34" t="n">
        <v>46275</v>
      </c>
      <c r="B544" s="31" t="inlineStr">
        <is>
          <t>Carla</t>
        </is>
      </c>
      <c r="C544" s="31" t="inlineStr">
        <is>
          <t>Site novo · Loja Verde</t>
        </is>
      </c>
      <c r="D544" s="29" t="inlineStr">
        <is>
          <t>Textos</t>
        </is>
      </c>
      <c r="E544" s="35" t="n">
        <v>1.5</v>
      </c>
      <c r="F544" s="26">
        <f>IF(OR(B544="",E544=""),"",IFERROR(IF(ISNUMBER(INDEX(Config!$D$11:$D$20,MATCH(B544,Config!$A$11:$A$20,0))),E544*INDEX(Config!$D$11:$D$20,MATCH(B544,Config!$A$11:$A$20,0)),"cadastro de custo incompleto em Config"),"pessoa sem custo-hora em Config"))</f>
        <v>69.6428571428571</v>
      </c>
      <c r="G544" s="25">
        <f>IF(A544="","",MONTH(A544))</f>
        <v>9</v>
      </c>
      <c r="H544" s="25">
        <f>IF(A544="","",YEAR(A544))</f>
        <v>2026</v>
      </c>
      <c r="I544" s="31" t="inlineStr">
        <is>
          <t>Sim</t>
        </is>
      </c>
      <c r="J544" s="36">
        <f>IF(AND(B544&lt;&gt;"",E544&lt;&gt;"",NOT(ISNUMBER(F544))),1,0)</f>
        <v>0</v>
      </c>
    </row>
    <row r="545">
      <c r="A545" s="34" t="n">
        <v>46275</v>
      </c>
      <c r="B545" s="31" t="inlineStr">
        <is>
          <t>Carla</t>
        </is>
      </c>
      <c r="C545" s="31" t="inlineStr">
        <is>
          <t>Comercial e propostas</t>
        </is>
      </c>
      <c r="D545" s="29" t="inlineStr">
        <is>
          <t>Reunião comercial</t>
        </is>
      </c>
      <c r="E545" s="35" t="n">
        <v>2.5</v>
      </c>
      <c r="F545" s="26">
        <f>IF(OR(B545="",E545=""),"",IFERROR(IF(ISNUMBER(INDEX(Config!$D$11:$D$20,MATCH(B545,Config!$A$11:$A$20,0))),E545*INDEX(Config!$D$11:$D$20,MATCH(B545,Config!$A$11:$A$20,0)),"cadastro de custo incompleto em Config"),"pessoa sem custo-hora em Config"))</f>
        <v>116.071428571429</v>
      </c>
      <c r="G545" s="25">
        <f>IF(A545="","",MONTH(A545))</f>
        <v>9</v>
      </c>
      <c r="H545" s="25">
        <f>IF(A545="","",YEAR(A545))</f>
        <v>2026</v>
      </c>
      <c r="I545" s="31" t="inlineStr">
        <is>
          <t>Não</t>
        </is>
      </c>
      <c r="J545" s="36">
        <f>IF(AND(B545&lt;&gt;"",E545&lt;&gt;"",NOT(ISNUMBER(F545))),1,0)</f>
        <v>0</v>
      </c>
    </row>
    <row r="546">
      <c r="A546" s="34" t="n">
        <v>46275</v>
      </c>
      <c r="B546" s="31" t="inlineStr">
        <is>
          <t>Carla</t>
        </is>
      </c>
      <c r="C546" s="31" t="inlineStr">
        <is>
          <t>Gestão e reuniões</t>
        </is>
      </c>
      <c r="D546" s="29" t="inlineStr">
        <is>
          <t>Planejamento</t>
        </is>
      </c>
      <c r="E546" s="35" t="n">
        <v>1</v>
      </c>
      <c r="F546" s="26">
        <f>IF(OR(B546="",E546=""),"",IFERROR(IF(ISNUMBER(INDEX(Config!$D$11:$D$20,MATCH(B546,Config!$A$11:$A$20,0))),E546*INDEX(Config!$D$11:$D$20,MATCH(B546,Config!$A$11:$A$20,0)),"cadastro de custo incompleto em Config"),"pessoa sem custo-hora em Config"))</f>
        <v>46.4285714285714</v>
      </c>
      <c r="G546" s="25">
        <f>IF(A546="","",MONTH(A546))</f>
        <v>9</v>
      </c>
      <c r="H546" s="25">
        <f>IF(A546="","",YEAR(A546))</f>
        <v>2026</v>
      </c>
      <c r="I546" s="31" t="inlineStr">
        <is>
          <t>Não</t>
        </is>
      </c>
      <c r="J546" s="36">
        <f>IF(AND(B546&lt;&gt;"",E546&lt;&gt;"",NOT(ISNUMBER(F546))),1,0)</f>
        <v>0</v>
      </c>
    </row>
    <row r="547">
      <c r="A547" s="34" t="n">
        <v>46275</v>
      </c>
      <c r="B547" s="31" t="inlineStr">
        <is>
          <t>Diego</t>
        </is>
      </c>
      <c r="C547" s="31" t="inlineStr">
        <is>
          <t>Site novo · Loja Verde</t>
        </is>
      </c>
      <c r="D547" s="29" t="inlineStr">
        <is>
          <t>Layout</t>
        </is>
      </c>
      <c r="E547" s="35" t="n">
        <v>4</v>
      </c>
      <c r="F547" s="26">
        <f>IF(OR(B547="",E547=""),"",IFERROR(IF(ISNUMBER(INDEX(Config!$D$11:$D$20,MATCH(B547,Config!$A$11:$A$20,0))),E547*INDEX(Config!$D$11:$D$20,MATCH(B547,Config!$A$11:$A$20,0)),"cadastro de custo incompleto em Config"),"pessoa sem custo-hora em Config"))</f>
        <v>193.333333333333</v>
      </c>
      <c r="G547" s="25">
        <f>IF(A547="","",MONTH(A547))</f>
        <v>9</v>
      </c>
      <c r="H547" s="25">
        <f>IF(A547="","",YEAR(A547))</f>
        <v>2026</v>
      </c>
      <c r="I547" s="31" t="inlineStr">
        <is>
          <t>Sim</t>
        </is>
      </c>
      <c r="J547" s="36">
        <f>IF(AND(B547&lt;&gt;"",E547&lt;&gt;"",NOT(ISNUMBER(F547))),1,0)</f>
        <v>0</v>
      </c>
    </row>
    <row r="548">
      <c r="A548" s="34" t="n">
        <v>46275</v>
      </c>
      <c r="B548" s="31" t="inlineStr">
        <is>
          <t>Diego</t>
        </is>
      </c>
      <c r="C548" s="31" t="inlineStr">
        <is>
          <t>Comercial e propostas</t>
        </is>
      </c>
      <c r="D548" s="29" t="inlineStr">
        <is>
          <t>Proposta</t>
        </is>
      </c>
      <c r="E548" s="35" t="n">
        <v>1</v>
      </c>
      <c r="F548" s="26">
        <f>IF(OR(B548="",E548=""),"",IFERROR(IF(ISNUMBER(INDEX(Config!$D$11:$D$20,MATCH(B548,Config!$A$11:$A$20,0))),E548*INDEX(Config!$D$11:$D$20,MATCH(B548,Config!$A$11:$A$20,0)),"cadastro de custo incompleto em Config"),"pessoa sem custo-hora em Config"))</f>
        <v>48.3333333333333</v>
      </c>
      <c r="G548" s="25">
        <f>IF(A548="","",MONTH(A548))</f>
        <v>9</v>
      </c>
      <c r="H548" s="25">
        <f>IF(A548="","",YEAR(A548))</f>
        <v>2026</v>
      </c>
      <c r="I548" s="31" t="inlineStr">
        <is>
          <t>Não</t>
        </is>
      </c>
      <c r="J548" s="36">
        <f>IF(AND(B548&lt;&gt;"",E548&lt;&gt;"",NOT(ISNUMBER(F548))),1,0)</f>
        <v>0</v>
      </c>
    </row>
    <row r="549">
      <c r="A549" s="34" t="n">
        <v>46275</v>
      </c>
      <c r="B549" s="31" t="inlineStr">
        <is>
          <t>Diego</t>
        </is>
      </c>
      <c r="C549" s="31" t="inlineStr">
        <is>
          <t>Gestão e reuniões</t>
        </is>
      </c>
      <c r="D549" s="29" t="inlineStr">
        <is>
          <t>Financeiro</t>
        </is>
      </c>
      <c r="E549" s="35" t="n">
        <v>2</v>
      </c>
      <c r="F549" s="26">
        <f>IF(OR(B549="",E549=""),"",IFERROR(IF(ISNUMBER(INDEX(Config!$D$11:$D$20,MATCH(B549,Config!$A$11:$A$20,0))),E549*INDEX(Config!$D$11:$D$20,MATCH(B549,Config!$A$11:$A$20,0)),"cadastro de custo incompleto em Config"),"pessoa sem custo-hora em Config"))</f>
        <v>96.6666666666667</v>
      </c>
      <c r="G549" s="25">
        <f>IF(A549="","",MONTH(A549))</f>
        <v>9</v>
      </c>
      <c r="H549" s="25">
        <f>IF(A549="","",YEAR(A549))</f>
        <v>2026</v>
      </c>
      <c r="I549" s="31" t="inlineStr">
        <is>
          <t>Não</t>
        </is>
      </c>
      <c r="J549" s="36">
        <f>IF(AND(B549&lt;&gt;"",E549&lt;&gt;"",NOT(ISNUMBER(F549))),1,0)</f>
        <v>0</v>
      </c>
    </row>
    <row r="550">
      <c r="A550" s="34" t="n">
        <v>46276</v>
      </c>
      <c r="B550" s="31" t="inlineStr">
        <is>
          <t>Ana</t>
        </is>
      </c>
      <c r="C550" s="31" t="inlineStr">
        <is>
          <t>Site novo · Loja Verde</t>
        </is>
      </c>
      <c r="D550" s="29" t="inlineStr">
        <is>
          <t>Wireframe</t>
        </is>
      </c>
      <c r="E550" s="35" t="n">
        <v>1.5</v>
      </c>
      <c r="F550" s="26">
        <f>IF(OR(B550="",E550=""),"",IFERROR(IF(ISNUMBER(INDEX(Config!$D$11:$D$20,MATCH(B550,Config!$A$11:$A$20,0))),E550*INDEX(Config!$D$11:$D$20,MATCH(B550,Config!$A$11:$A$20,0)),"cadastro de custo incompleto em Config"),"pessoa sem custo-hora em Config"))</f>
        <v>105</v>
      </c>
      <c r="G550" s="25">
        <f>IF(A550="","",MONTH(A550))</f>
        <v>9</v>
      </c>
      <c r="H550" s="25">
        <f>IF(A550="","",YEAR(A550))</f>
        <v>2026</v>
      </c>
      <c r="I550" s="31" t="inlineStr">
        <is>
          <t>Sim</t>
        </is>
      </c>
      <c r="J550" s="36">
        <f>IF(AND(B550&lt;&gt;"",E550&lt;&gt;"",NOT(ISNUMBER(F550))),1,0)</f>
        <v>0</v>
      </c>
    </row>
    <row r="551">
      <c r="A551" s="34" t="n">
        <v>46276</v>
      </c>
      <c r="B551" s="31" t="inlineStr">
        <is>
          <t>Ana</t>
        </is>
      </c>
      <c r="C551" s="31" t="inlineStr">
        <is>
          <t>Relatório anual · Horizonte</t>
        </is>
      </c>
      <c r="D551" s="29" t="inlineStr">
        <is>
          <t>Coleta de dados</t>
        </is>
      </c>
      <c r="E551" s="35" t="n">
        <v>2</v>
      </c>
      <c r="F551" s="26">
        <f>IF(OR(B551="",E551=""),"",IFERROR(IF(ISNUMBER(INDEX(Config!$D$11:$D$20,MATCH(B551,Config!$A$11:$A$20,0))),E551*INDEX(Config!$D$11:$D$20,MATCH(B551,Config!$A$11:$A$20,0)),"cadastro de custo incompleto em Config"),"pessoa sem custo-hora em Config"))</f>
        <v>140</v>
      </c>
      <c r="G551" s="25">
        <f>IF(A551="","",MONTH(A551))</f>
        <v>9</v>
      </c>
      <c r="H551" s="25">
        <f>IF(A551="","",YEAR(A551))</f>
        <v>2026</v>
      </c>
      <c r="I551" s="31" t="inlineStr">
        <is>
          <t>Sim</t>
        </is>
      </c>
      <c r="J551" s="36">
        <f>IF(AND(B551&lt;&gt;"",E551&lt;&gt;"",NOT(ISNUMBER(F551))),1,0)</f>
        <v>0</v>
      </c>
    </row>
    <row r="552">
      <c r="A552" s="34" t="n">
        <v>46276</v>
      </c>
      <c r="B552" s="31" t="inlineStr">
        <is>
          <t>Ana</t>
        </is>
      </c>
      <c r="C552" s="31" t="inlineStr">
        <is>
          <t>Comercial e propostas</t>
        </is>
      </c>
      <c r="D552" s="29" t="inlineStr">
        <is>
          <t>Proposta</t>
        </is>
      </c>
      <c r="E552" s="35" t="n">
        <v>1.5</v>
      </c>
      <c r="F552" s="26">
        <f>IF(OR(B552="",E552=""),"",IFERROR(IF(ISNUMBER(INDEX(Config!$D$11:$D$20,MATCH(B552,Config!$A$11:$A$20,0))),E552*INDEX(Config!$D$11:$D$20,MATCH(B552,Config!$A$11:$A$20,0)),"cadastro de custo incompleto em Config"),"pessoa sem custo-hora em Config"))</f>
        <v>105</v>
      </c>
      <c r="G552" s="25">
        <f>IF(A552="","",MONTH(A552))</f>
        <v>9</v>
      </c>
      <c r="H552" s="25">
        <f>IF(A552="","",YEAR(A552))</f>
        <v>2026</v>
      </c>
      <c r="I552" s="31" t="inlineStr">
        <is>
          <t>Não</t>
        </is>
      </c>
      <c r="J552" s="36">
        <f>IF(AND(B552&lt;&gt;"",E552&lt;&gt;"",NOT(ISNUMBER(F552))),1,0)</f>
        <v>0</v>
      </c>
    </row>
    <row r="553">
      <c r="A553" s="34" t="n">
        <v>46276</v>
      </c>
      <c r="B553" s="31" t="inlineStr">
        <is>
          <t>Ana</t>
        </is>
      </c>
      <c r="C553" s="31" t="inlineStr">
        <is>
          <t>Gestão e reuniões</t>
        </is>
      </c>
      <c r="D553" s="29" t="inlineStr">
        <is>
          <t>Semanal</t>
        </is>
      </c>
      <c r="E553" s="35" t="n">
        <v>2</v>
      </c>
      <c r="F553" s="26">
        <f>IF(OR(B553="",E553=""),"",IFERROR(IF(ISNUMBER(INDEX(Config!$D$11:$D$20,MATCH(B553,Config!$A$11:$A$20,0))),E553*INDEX(Config!$D$11:$D$20,MATCH(B553,Config!$A$11:$A$20,0)),"cadastro de custo incompleto em Config"),"pessoa sem custo-hora em Config"))</f>
        <v>140</v>
      </c>
      <c r="G553" s="25">
        <f>IF(A553="","",MONTH(A553))</f>
        <v>9</v>
      </c>
      <c r="H553" s="25">
        <f>IF(A553="","",YEAR(A553))</f>
        <v>2026</v>
      </c>
      <c r="I553" s="31" t="inlineStr">
        <is>
          <t>Não</t>
        </is>
      </c>
      <c r="J553" s="36">
        <f>IF(AND(B553&lt;&gt;"",E553&lt;&gt;"",NOT(ISNUMBER(F553))),1,0)</f>
        <v>0</v>
      </c>
    </row>
    <row r="554">
      <c r="A554" s="34" t="n">
        <v>46276</v>
      </c>
      <c r="B554" s="31" t="inlineStr">
        <is>
          <t>Bruno</t>
        </is>
      </c>
      <c r="C554" s="31" t="inlineStr">
        <is>
          <t>Site novo · Loja Verde</t>
        </is>
      </c>
      <c r="D554" s="29" t="inlineStr">
        <is>
          <t>Textos</t>
        </is>
      </c>
      <c r="E554" s="35" t="n">
        <v>3.5</v>
      </c>
      <c r="F554" s="26">
        <f>IF(OR(B554="",E554=""),"",IFERROR(IF(ISNUMBER(INDEX(Config!$D$11:$D$20,MATCH(B554,Config!$A$11:$A$20,0))),E554*INDEX(Config!$D$11:$D$20,MATCH(B554,Config!$A$11:$A$20,0)),"cadastro de custo incompleto em Config"),"pessoa sem custo-hora em Config"))</f>
        <v>180</v>
      </c>
      <c r="G554" s="25">
        <f>IF(A554="","",MONTH(A554))</f>
        <v>9</v>
      </c>
      <c r="H554" s="25">
        <f>IF(A554="","",YEAR(A554))</f>
        <v>2026</v>
      </c>
      <c r="I554" s="31" t="inlineStr">
        <is>
          <t>Sim</t>
        </is>
      </c>
      <c r="J554" s="36">
        <f>IF(AND(B554&lt;&gt;"",E554&lt;&gt;"",NOT(ISNUMBER(F554))),1,0)</f>
        <v>0</v>
      </c>
    </row>
    <row r="555">
      <c r="A555" s="34" t="n">
        <v>46276</v>
      </c>
      <c r="B555" s="31" t="inlineStr">
        <is>
          <t>Bruno</t>
        </is>
      </c>
      <c r="C555" s="31" t="inlineStr">
        <is>
          <t>Campanha de fim de ano · Bistrô 42</t>
        </is>
      </c>
      <c r="D555" s="29" t="inlineStr">
        <is>
          <t>Reunião com cliente</t>
        </is>
      </c>
      <c r="E555" s="35" t="n">
        <v>2</v>
      </c>
      <c r="F555" s="26">
        <f>IF(OR(B555="",E555=""),"",IFERROR(IF(ISNUMBER(INDEX(Config!$D$11:$D$20,MATCH(B555,Config!$A$11:$A$20,0))),E555*INDEX(Config!$D$11:$D$20,MATCH(B555,Config!$A$11:$A$20,0)),"cadastro de custo incompleto em Config"),"pessoa sem custo-hora em Config"))</f>
        <v>102.857142857143</v>
      </c>
      <c r="G555" s="25">
        <f>IF(A555="","",MONTH(A555))</f>
        <v>9</v>
      </c>
      <c r="H555" s="25">
        <f>IF(A555="","",YEAR(A555))</f>
        <v>2026</v>
      </c>
      <c r="I555" s="31" t="inlineStr">
        <is>
          <t>Sim</t>
        </is>
      </c>
      <c r="J555" s="36">
        <f>IF(AND(B555&lt;&gt;"",E555&lt;&gt;"",NOT(ISNUMBER(F555))),1,0)</f>
        <v>0</v>
      </c>
    </row>
    <row r="556">
      <c r="A556" s="34" t="n">
        <v>46276</v>
      </c>
      <c r="B556" s="31" t="inlineStr">
        <is>
          <t>Bruno</t>
        </is>
      </c>
      <c r="C556" s="31" t="inlineStr">
        <is>
          <t>Gestão e reuniões</t>
        </is>
      </c>
      <c r="D556" s="29" t="inlineStr">
        <is>
          <t>Semanal</t>
        </is>
      </c>
      <c r="E556" s="35" t="n">
        <v>1</v>
      </c>
      <c r="F556" s="26">
        <f>IF(OR(B556="",E556=""),"",IFERROR(IF(ISNUMBER(INDEX(Config!$D$11:$D$20,MATCH(B556,Config!$A$11:$A$20,0))),E556*INDEX(Config!$D$11:$D$20,MATCH(B556,Config!$A$11:$A$20,0)),"cadastro de custo incompleto em Config"),"pessoa sem custo-hora em Config"))</f>
        <v>51.4285714285714</v>
      </c>
      <c r="G556" s="25">
        <f>IF(A556="","",MONTH(A556))</f>
        <v>9</v>
      </c>
      <c r="H556" s="25">
        <f>IF(A556="","",YEAR(A556))</f>
        <v>2026</v>
      </c>
      <c r="I556" s="31" t="inlineStr">
        <is>
          <t>Não</t>
        </is>
      </c>
      <c r="J556" s="36">
        <f>IF(AND(B556&lt;&gt;"",E556&lt;&gt;"",NOT(ISNUMBER(F556))),1,0)</f>
        <v>0</v>
      </c>
    </row>
    <row r="557">
      <c r="A557" s="34" t="n">
        <v>46276</v>
      </c>
      <c r="B557" s="31" t="inlineStr">
        <is>
          <t>Carla</t>
        </is>
      </c>
      <c r="C557" s="31" t="inlineStr">
        <is>
          <t>Campanha de fim de ano · Bistrô 42</t>
        </is>
      </c>
      <c r="D557" s="29" t="inlineStr">
        <is>
          <t>Peças</t>
        </is>
      </c>
      <c r="E557" s="35" t="n">
        <v>2.5</v>
      </c>
      <c r="F557" s="26">
        <f>IF(OR(B557="",E557=""),"",IFERROR(IF(ISNUMBER(INDEX(Config!$D$11:$D$20,MATCH(B557,Config!$A$11:$A$20,0))),E557*INDEX(Config!$D$11:$D$20,MATCH(B557,Config!$A$11:$A$20,0)),"cadastro de custo incompleto em Config"),"pessoa sem custo-hora em Config"))</f>
        <v>116.071428571429</v>
      </c>
      <c r="G557" s="25">
        <f>IF(A557="","",MONTH(A557))</f>
        <v>9</v>
      </c>
      <c r="H557" s="25">
        <f>IF(A557="","",YEAR(A557))</f>
        <v>2026</v>
      </c>
      <c r="I557" s="31" t="inlineStr">
        <is>
          <t>Sim</t>
        </is>
      </c>
      <c r="J557" s="36">
        <f>IF(AND(B557&lt;&gt;"",E557&lt;&gt;"",NOT(ISNUMBER(F557))),1,0)</f>
        <v>0</v>
      </c>
    </row>
    <row r="558">
      <c r="A558" s="34" t="n">
        <v>46276</v>
      </c>
      <c r="B558" s="31" t="inlineStr">
        <is>
          <t>Carla</t>
        </is>
      </c>
      <c r="C558" s="31" t="inlineStr">
        <is>
          <t>Site novo · Loja Verde</t>
        </is>
      </c>
      <c r="D558" s="29" t="inlineStr">
        <is>
          <t>Textos</t>
        </is>
      </c>
      <c r="E558" s="35" t="n">
        <v>1</v>
      </c>
      <c r="F558" s="26">
        <f>IF(OR(B558="",E558=""),"",IFERROR(IF(ISNUMBER(INDEX(Config!$D$11:$D$20,MATCH(B558,Config!$A$11:$A$20,0))),E558*INDEX(Config!$D$11:$D$20,MATCH(B558,Config!$A$11:$A$20,0)),"cadastro de custo incompleto em Config"),"pessoa sem custo-hora em Config"))</f>
        <v>46.4285714285714</v>
      </c>
      <c r="G558" s="25">
        <f>IF(A558="","",MONTH(A558))</f>
        <v>9</v>
      </c>
      <c r="H558" s="25">
        <f>IF(A558="","",YEAR(A558))</f>
        <v>2026</v>
      </c>
      <c r="I558" s="31" t="inlineStr">
        <is>
          <t>Sim</t>
        </is>
      </c>
      <c r="J558" s="36">
        <f>IF(AND(B558&lt;&gt;"",E558&lt;&gt;"",NOT(ISNUMBER(F558))),1,0)</f>
        <v>0</v>
      </c>
    </row>
    <row r="559">
      <c r="A559" s="34" t="n">
        <v>46276</v>
      </c>
      <c r="B559" s="31" t="inlineStr">
        <is>
          <t>Carla</t>
        </is>
      </c>
      <c r="C559" s="31" t="inlineStr">
        <is>
          <t>Comercial e propostas</t>
        </is>
      </c>
      <c r="D559" s="29" t="inlineStr">
        <is>
          <t>Proposta</t>
        </is>
      </c>
      <c r="E559" s="35" t="n">
        <v>2.5</v>
      </c>
      <c r="F559" s="26">
        <f>IF(OR(B559="",E559=""),"",IFERROR(IF(ISNUMBER(INDEX(Config!$D$11:$D$20,MATCH(B559,Config!$A$11:$A$20,0))),E559*INDEX(Config!$D$11:$D$20,MATCH(B559,Config!$A$11:$A$20,0)),"cadastro de custo incompleto em Config"),"pessoa sem custo-hora em Config"))</f>
        <v>116.071428571429</v>
      </c>
      <c r="G559" s="25">
        <f>IF(A559="","",MONTH(A559))</f>
        <v>9</v>
      </c>
      <c r="H559" s="25">
        <f>IF(A559="","",YEAR(A559))</f>
        <v>2026</v>
      </c>
      <c r="I559" s="31" t="inlineStr">
        <is>
          <t>Não</t>
        </is>
      </c>
      <c r="J559" s="36">
        <f>IF(AND(B559&lt;&gt;"",E559&lt;&gt;"",NOT(ISNUMBER(F559))),1,0)</f>
        <v>0</v>
      </c>
    </row>
    <row r="560">
      <c r="A560" s="34" t="n">
        <v>46276</v>
      </c>
      <c r="B560" s="31" t="inlineStr">
        <is>
          <t>Carla</t>
        </is>
      </c>
      <c r="C560" s="31" t="inlineStr">
        <is>
          <t>Gestão e reuniões</t>
        </is>
      </c>
      <c r="D560" s="29" t="inlineStr">
        <is>
          <t>Semanal</t>
        </is>
      </c>
      <c r="E560" s="35" t="n">
        <v>0.5</v>
      </c>
      <c r="F560" s="26">
        <f>IF(OR(B560="",E560=""),"",IFERROR(IF(ISNUMBER(INDEX(Config!$D$11:$D$20,MATCH(B560,Config!$A$11:$A$20,0))),E560*INDEX(Config!$D$11:$D$20,MATCH(B560,Config!$A$11:$A$20,0)),"cadastro de custo incompleto em Config"),"pessoa sem custo-hora em Config"))</f>
        <v>23.2142857142857</v>
      </c>
      <c r="G560" s="25">
        <f>IF(A560="","",MONTH(A560))</f>
        <v>9</v>
      </c>
      <c r="H560" s="25">
        <f>IF(A560="","",YEAR(A560))</f>
        <v>2026</v>
      </c>
      <c r="I560" s="31" t="inlineStr">
        <is>
          <t>Não</t>
        </is>
      </c>
      <c r="J560" s="36">
        <f>IF(AND(B560&lt;&gt;"",E560&lt;&gt;"",NOT(ISNUMBER(F560))),1,0)</f>
        <v>0</v>
      </c>
    </row>
    <row r="561">
      <c r="A561" s="34" t="n">
        <v>46276</v>
      </c>
      <c r="B561" s="31" t="inlineStr">
        <is>
          <t>Diego</t>
        </is>
      </c>
      <c r="C561" s="31" t="inlineStr">
        <is>
          <t>Site novo · Loja Verde</t>
        </is>
      </c>
      <c r="D561" s="29" t="inlineStr">
        <is>
          <t>Reunião com cliente</t>
        </is>
      </c>
      <c r="E561" s="35" t="n">
        <v>4</v>
      </c>
      <c r="F561" s="26">
        <f>IF(OR(B561="",E561=""),"",IFERROR(IF(ISNUMBER(INDEX(Config!$D$11:$D$20,MATCH(B561,Config!$A$11:$A$20,0))),E561*INDEX(Config!$D$11:$D$20,MATCH(B561,Config!$A$11:$A$20,0)),"cadastro de custo incompleto em Config"),"pessoa sem custo-hora em Config"))</f>
        <v>193.333333333333</v>
      </c>
      <c r="G561" s="25">
        <f>IF(A561="","",MONTH(A561))</f>
        <v>9</v>
      </c>
      <c r="H561" s="25">
        <f>IF(A561="","",YEAR(A561))</f>
        <v>2026</v>
      </c>
      <c r="I561" s="31" t="inlineStr">
        <is>
          <t>Sim</t>
        </is>
      </c>
      <c r="J561" s="36">
        <f>IF(AND(B561&lt;&gt;"",E561&lt;&gt;"",NOT(ISNUMBER(F561))),1,0)</f>
        <v>0</v>
      </c>
    </row>
    <row r="562">
      <c r="A562" s="34" t="n">
        <v>46276</v>
      </c>
      <c r="B562" s="31" t="inlineStr">
        <is>
          <t>Diego</t>
        </is>
      </c>
      <c r="C562" s="31" t="inlineStr">
        <is>
          <t>Comercial e propostas</t>
        </is>
      </c>
      <c r="D562" s="29" t="inlineStr">
        <is>
          <t>Reunião comercial</t>
        </is>
      </c>
      <c r="E562" s="35" t="n">
        <v>0.5</v>
      </c>
      <c r="F562" s="26">
        <f>IF(OR(B562="",E562=""),"",IFERROR(IF(ISNUMBER(INDEX(Config!$D$11:$D$20,MATCH(B562,Config!$A$11:$A$20,0))),E562*INDEX(Config!$D$11:$D$20,MATCH(B562,Config!$A$11:$A$20,0)),"cadastro de custo incompleto em Config"),"pessoa sem custo-hora em Config"))</f>
        <v>24.1666666666667</v>
      </c>
      <c r="G562" s="25">
        <f>IF(A562="","",MONTH(A562))</f>
        <v>9</v>
      </c>
      <c r="H562" s="25">
        <f>IF(A562="","",YEAR(A562))</f>
        <v>2026</v>
      </c>
      <c r="I562" s="31" t="inlineStr">
        <is>
          <t>Não</t>
        </is>
      </c>
      <c r="J562" s="36">
        <f>IF(AND(B562&lt;&gt;"",E562&lt;&gt;"",NOT(ISNUMBER(F562))),1,0)</f>
        <v>0</v>
      </c>
    </row>
    <row r="563">
      <c r="A563" s="34" t="n">
        <v>46276</v>
      </c>
      <c r="B563" s="31" t="inlineStr">
        <is>
          <t>Diego</t>
        </is>
      </c>
      <c r="C563" s="31" t="inlineStr">
        <is>
          <t>Gestão e reuniões</t>
        </is>
      </c>
      <c r="D563" s="29" t="inlineStr">
        <is>
          <t>Semanal</t>
        </is>
      </c>
      <c r="E563" s="35" t="n">
        <v>1.5</v>
      </c>
      <c r="F563" s="26">
        <f>IF(OR(B563="",E563=""),"",IFERROR(IF(ISNUMBER(INDEX(Config!$D$11:$D$20,MATCH(B563,Config!$A$11:$A$20,0))),E563*INDEX(Config!$D$11:$D$20,MATCH(B563,Config!$A$11:$A$20,0)),"cadastro de custo incompleto em Config"),"pessoa sem custo-hora em Config"))</f>
        <v>72.5</v>
      </c>
      <c r="G563" s="25">
        <f>IF(A563="","",MONTH(A563))</f>
        <v>9</v>
      </c>
      <c r="H563" s="25">
        <f>IF(A563="","",YEAR(A563))</f>
        <v>2026</v>
      </c>
      <c r="I563" s="31" t="inlineStr">
        <is>
          <t>Não</t>
        </is>
      </c>
      <c r="J563" s="36">
        <f>IF(AND(B563&lt;&gt;"",E563&lt;&gt;"",NOT(ISNUMBER(F563))),1,0)</f>
        <v>0</v>
      </c>
    </row>
    <row r="564">
      <c r="A564" s="34" t="n"/>
      <c r="B564" s="31" t="n"/>
      <c r="C564" s="31" t="n"/>
      <c r="D564" s="29" t="n"/>
      <c r="E564" s="35" t="n"/>
      <c r="F564" s="26">
        <f>IF(OR(B564="",E564=""),"",IFERROR(IF(ISNUMBER(INDEX(Config!$D$11:$D$20,MATCH(B564,Config!$A$11:$A$20,0))),E564*INDEX(Config!$D$11:$D$20,MATCH(B564,Config!$A$11:$A$20,0)),"cadastro de custo incompleto em Config"),"pessoa sem custo-hora em Config"))</f>
        <v/>
      </c>
      <c r="G564" s="25">
        <f>IF(A564="","",MONTH(A564))</f>
        <v/>
      </c>
      <c r="H564" s="25">
        <f>IF(A564="","",YEAR(A564))</f>
        <v/>
      </c>
      <c r="I564" s="31" t="n"/>
      <c r="J564" s="36">
        <f>IF(AND(B564&lt;&gt;"",E564&lt;&gt;"",NOT(ISNUMBER(F564))),1,0)</f>
        <v>0</v>
      </c>
    </row>
    <row r="565">
      <c r="A565" s="34" t="n"/>
      <c r="B565" s="31" t="n"/>
      <c r="C565" s="31" t="n"/>
      <c r="D565" s="29" t="n"/>
      <c r="E565" s="35" t="n"/>
      <c r="F565" s="26">
        <f>IF(OR(B565="",E565=""),"",IFERROR(IF(ISNUMBER(INDEX(Config!$D$11:$D$20,MATCH(B565,Config!$A$11:$A$20,0))),E565*INDEX(Config!$D$11:$D$20,MATCH(B565,Config!$A$11:$A$20,0)),"cadastro de custo incompleto em Config"),"pessoa sem custo-hora em Config"))</f>
        <v/>
      </c>
      <c r="G565" s="25">
        <f>IF(A565="","",MONTH(A565))</f>
        <v/>
      </c>
      <c r="H565" s="25">
        <f>IF(A565="","",YEAR(A565))</f>
        <v/>
      </c>
      <c r="I565" s="31" t="n"/>
      <c r="J565" s="36">
        <f>IF(AND(B565&lt;&gt;"",E565&lt;&gt;"",NOT(ISNUMBER(F565))),1,0)</f>
        <v>0</v>
      </c>
    </row>
    <row r="566">
      <c r="A566" s="34" t="n"/>
      <c r="B566" s="31" t="n"/>
      <c r="C566" s="31" t="n"/>
      <c r="D566" s="29" t="n"/>
      <c r="E566" s="35" t="n"/>
      <c r="F566" s="26">
        <f>IF(OR(B566="",E566=""),"",IFERROR(IF(ISNUMBER(INDEX(Config!$D$11:$D$20,MATCH(B566,Config!$A$11:$A$20,0))),E566*INDEX(Config!$D$11:$D$20,MATCH(B566,Config!$A$11:$A$20,0)),"cadastro de custo incompleto em Config"),"pessoa sem custo-hora em Config"))</f>
        <v/>
      </c>
      <c r="G566" s="25">
        <f>IF(A566="","",MONTH(A566))</f>
        <v/>
      </c>
      <c r="H566" s="25">
        <f>IF(A566="","",YEAR(A566))</f>
        <v/>
      </c>
      <c r="I566" s="31" t="n"/>
      <c r="J566" s="36">
        <f>IF(AND(B566&lt;&gt;"",E566&lt;&gt;"",NOT(ISNUMBER(F566))),1,0)</f>
        <v>0</v>
      </c>
    </row>
    <row r="567">
      <c r="A567" s="34" t="n"/>
      <c r="B567" s="31" t="n"/>
      <c r="C567" s="31" t="n"/>
      <c r="D567" s="29" t="n"/>
      <c r="E567" s="35" t="n"/>
      <c r="F567" s="26">
        <f>IF(OR(B567="",E567=""),"",IFERROR(IF(ISNUMBER(INDEX(Config!$D$11:$D$20,MATCH(B567,Config!$A$11:$A$20,0))),E567*INDEX(Config!$D$11:$D$20,MATCH(B567,Config!$A$11:$A$20,0)),"cadastro de custo incompleto em Config"),"pessoa sem custo-hora em Config"))</f>
        <v/>
      </c>
      <c r="G567" s="25">
        <f>IF(A567="","",MONTH(A567))</f>
        <v/>
      </c>
      <c r="H567" s="25">
        <f>IF(A567="","",YEAR(A567))</f>
        <v/>
      </c>
      <c r="I567" s="31" t="n"/>
      <c r="J567" s="36">
        <f>IF(AND(B567&lt;&gt;"",E567&lt;&gt;"",NOT(ISNUMBER(F567))),1,0)</f>
        <v>0</v>
      </c>
    </row>
    <row r="568">
      <c r="A568" s="34" t="n"/>
      <c r="B568" s="31" t="n"/>
      <c r="C568" s="31" t="n"/>
      <c r="D568" s="29" t="n"/>
      <c r="E568" s="35" t="n"/>
      <c r="F568" s="26">
        <f>IF(OR(B568="",E568=""),"",IFERROR(IF(ISNUMBER(INDEX(Config!$D$11:$D$20,MATCH(B568,Config!$A$11:$A$20,0))),E568*INDEX(Config!$D$11:$D$20,MATCH(B568,Config!$A$11:$A$20,0)),"cadastro de custo incompleto em Config"),"pessoa sem custo-hora em Config"))</f>
        <v/>
      </c>
      <c r="G568" s="25">
        <f>IF(A568="","",MONTH(A568))</f>
        <v/>
      </c>
      <c r="H568" s="25">
        <f>IF(A568="","",YEAR(A568))</f>
        <v/>
      </c>
      <c r="I568" s="31" t="n"/>
      <c r="J568" s="36">
        <f>IF(AND(B568&lt;&gt;"",E568&lt;&gt;"",NOT(ISNUMBER(F568))),1,0)</f>
        <v>0</v>
      </c>
    </row>
    <row r="569">
      <c r="A569" s="34" t="n"/>
      <c r="B569" s="31" t="n"/>
      <c r="C569" s="31" t="n"/>
      <c r="D569" s="29" t="n"/>
      <c r="E569" s="35" t="n"/>
      <c r="F569" s="26">
        <f>IF(OR(B569="",E569=""),"",IFERROR(IF(ISNUMBER(INDEX(Config!$D$11:$D$20,MATCH(B569,Config!$A$11:$A$20,0))),E569*INDEX(Config!$D$11:$D$20,MATCH(B569,Config!$A$11:$A$20,0)),"cadastro de custo incompleto em Config"),"pessoa sem custo-hora em Config"))</f>
        <v/>
      </c>
      <c r="G569" s="25">
        <f>IF(A569="","",MONTH(A569))</f>
        <v/>
      </c>
      <c r="H569" s="25">
        <f>IF(A569="","",YEAR(A569))</f>
        <v/>
      </c>
      <c r="I569" s="31" t="n"/>
      <c r="J569" s="36">
        <f>IF(AND(B569&lt;&gt;"",E569&lt;&gt;"",NOT(ISNUMBER(F569))),1,0)</f>
        <v>0</v>
      </c>
    </row>
    <row r="570">
      <c r="A570" s="34" t="n"/>
      <c r="B570" s="31" t="n"/>
      <c r="C570" s="31" t="n"/>
      <c r="D570" s="29" t="n"/>
      <c r="E570" s="35" t="n"/>
      <c r="F570" s="26">
        <f>IF(OR(B570="",E570=""),"",IFERROR(IF(ISNUMBER(INDEX(Config!$D$11:$D$20,MATCH(B570,Config!$A$11:$A$20,0))),E570*INDEX(Config!$D$11:$D$20,MATCH(B570,Config!$A$11:$A$20,0)),"cadastro de custo incompleto em Config"),"pessoa sem custo-hora em Config"))</f>
        <v/>
      </c>
      <c r="G570" s="25">
        <f>IF(A570="","",MONTH(A570))</f>
        <v/>
      </c>
      <c r="H570" s="25">
        <f>IF(A570="","",YEAR(A570))</f>
        <v/>
      </c>
      <c r="I570" s="31" t="n"/>
      <c r="J570" s="36">
        <f>IF(AND(B570&lt;&gt;"",E570&lt;&gt;"",NOT(ISNUMBER(F570))),1,0)</f>
        <v>0</v>
      </c>
    </row>
    <row r="571">
      <c r="A571" s="34" t="n"/>
      <c r="B571" s="31" t="n"/>
      <c r="C571" s="31" t="n"/>
      <c r="D571" s="29" t="n"/>
      <c r="E571" s="35" t="n"/>
      <c r="F571" s="26">
        <f>IF(OR(B571="",E571=""),"",IFERROR(IF(ISNUMBER(INDEX(Config!$D$11:$D$20,MATCH(B571,Config!$A$11:$A$20,0))),E571*INDEX(Config!$D$11:$D$20,MATCH(B571,Config!$A$11:$A$20,0)),"cadastro de custo incompleto em Config"),"pessoa sem custo-hora em Config"))</f>
        <v/>
      </c>
      <c r="G571" s="25">
        <f>IF(A571="","",MONTH(A571))</f>
        <v/>
      </c>
      <c r="H571" s="25">
        <f>IF(A571="","",YEAR(A571))</f>
        <v/>
      </c>
      <c r="I571" s="31" t="n"/>
      <c r="J571" s="36">
        <f>IF(AND(B571&lt;&gt;"",E571&lt;&gt;"",NOT(ISNUMBER(F571))),1,0)</f>
        <v>0</v>
      </c>
    </row>
    <row r="572">
      <c r="A572" s="34" t="n"/>
      <c r="B572" s="31" t="n"/>
      <c r="C572" s="31" t="n"/>
      <c r="D572" s="29" t="n"/>
      <c r="E572" s="35" t="n"/>
      <c r="F572" s="26">
        <f>IF(OR(B572="",E572=""),"",IFERROR(IF(ISNUMBER(INDEX(Config!$D$11:$D$20,MATCH(B572,Config!$A$11:$A$20,0))),E572*INDEX(Config!$D$11:$D$20,MATCH(B572,Config!$A$11:$A$20,0)),"cadastro de custo incompleto em Config"),"pessoa sem custo-hora em Config"))</f>
        <v/>
      </c>
      <c r="G572" s="25">
        <f>IF(A572="","",MONTH(A572))</f>
        <v/>
      </c>
      <c r="H572" s="25">
        <f>IF(A572="","",YEAR(A572))</f>
        <v/>
      </c>
      <c r="I572" s="31" t="n"/>
      <c r="J572" s="36">
        <f>IF(AND(B572&lt;&gt;"",E572&lt;&gt;"",NOT(ISNUMBER(F572))),1,0)</f>
        <v>0</v>
      </c>
    </row>
    <row r="573">
      <c r="A573" s="34" t="n"/>
      <c r="B573" s="31" t="n"/>
      <c r="C573" s="31" t="n"/>
      <c r="D573" s="29" t="n"/>
      <c r="E573" s="35" t="n"/>
      <c r="F573" s="26">
        <f>IF(OR(B573="",E573=""),"",IFERROR(IF(ISNUMBER(INDEX(Config!$D$11:$D$20,MATCH(B573,Config!$A$11:$A$20,0))),E573*INDEX(Config!$D$11:$D$20,MATCH(B573,Config!$A$11:$A$20,0)),"cadastro de custo incompleto em Config"),"pessoa sem custo-hora em Config"))</f>
        <v/>
      </c>
      <c r="G573" s="25">
        <f>IF(A573="","",MONTH(A573))</f>
        <v/>
      </c>
      <c r="H573" s="25">
        <f>IF(A573="","",YEAR(A573))</f>
        <v/>
      </c>
      <c r="I573" s="31" t="n"/>
      <c r="J573" s="36">
        <f>IF(AND(B573&lt;&gt;"",E573&lt;&gt;"",NOT(ISNUMBER(F573))),1,0)</f>
        <v>0</v>
      </c>
    </row>
    <row r="574">
      <c r="A574" s="34" t="n"/>
      <c r="B574" s="31" t="n"/>
      <c r="C574" s="31" t="n"/>
      <c r="D574" s="29" t="n"/>
      <c r="E574" s="35" t="n"/>
      <c r="F574" s="26">
        <f>IF(OR(B574="",E574=""),"",IFERROR(IF(ISNUMBER(INDEX(Config!$D$11:$D$20,MATCH(B574,Config!$A$11:$A$20,0))),E574*INDEX(Config!$D$11:$D$20,MATCH(B574,Config!$A$11:$A$20,0)),"cadastro de custo incompleto em Config"),"pessoa sem custo-hora em Config"))</f>
        <v/>
      </c>
      <c r="G574" s="25">
        <f>IF(A574="","",MONTH(A574))</f>
        <v/>
      </c>
      <c r="H574" s="25">
        <f>IF(A574="","",YEAR(A574))</f>
        <v/>
      </c>
      <c r="I574" s="31" t="n"/>
      <c r="J574" s="36">
        <f>IF(AND(B574&lt;&gt;"",E574&lt;&gt;"",NOT(ISNUMBER(F574))),1,0)</f>
        <v>0</v>
      </c>
    </row>
    <row r="575">
      <c r="A575" s="34" t="n"/>
      <c r="B575" s="31" t="n"/>
      <c r="C575" s="31" t="n"/>
      <c r="D575" s="29" t="n"/>
      <c r="E575" s="35" t="n"/>
      <c r="F575" s="26">
        <f>IF(OR(B575="",E575=""),"",IFERROR(IF(ISNUMBER(INDEX(Config!$D$11:$D$20,MATCH(B575,Config!$A$11:$A$20,0))),E575*INDEX(Config!$D$11:$D$20,MATCH(B575,Config!$A$11:$A$20,0)),"cadastro de custo incompleto em Config"),"pessoa sem custo-hora em Config"))</f>
        <v/>
      </c>
      <c r="G575" s="25">
        <f>IF(A575="","",MONTH(A575))</f>
        <v/>
      </c>
      <c r="H575" s="25">
        <f>IF(A575="","",YEAR(A575))</f>
        <v/>
      </c>
      <c r="I575" s="31" t="n"/>
      <c r="J575" s="36">
        <f>IF(AND(B575&lt;&gt;"",E575&lt;&gt;"",NOT(ISNUMBER(F575))),1,0)</f>
        <v>0</v>
      </c>
    </row>
    <row r="576">
      <c r="A576" s="34" t="n"/>
      <c r="B576" s="31" t="n"/>
      <c r="C576" s="31" t="n"/>
      <c r="D576" s="29" t="n"/>
      <c r="E576" s="35" t="n"/>
      <c r="F576" s="26">
        <f>IF(OR(B576="",E576=""),"",IFERROR(IF(ISNUMBER(INDEX(Config!$D$11:$D$20,MATCH(B576,Config!$A$11:$A$20,0))),E576*INDEX(Config!$D$11:$D$20,MATCH(B576,Config!$A$11:$A$20,0)),"cadastro de custo incompleto em Config"),"pessoa sem custo-hora em Config"))</f>
        <v/>
      </c>
      <c r="G576" s="25">
        <f>IF(A576="","",MONTH(A576))</f>
        <v/>
      </c>
      <c r="H576" s="25">
        <f>IF(A576="","",YEAR(A576))</f>
        <v/>
      </c>
      <c r="I576" s="31" t="n"/>
      <c r="J576" s="36">
        <f>IF(AND(B576&lt;&gt;"",E576&lt;&gt;"",NOT(ISNUMBER(F576))),1,0)</f>
        <v>0</v>
      </c>
    </row>
    <row r="577">
      <c r="A577" s="34" t="n"/>
      <c r="B577" s="31" t="n"/>
      <c r="C577" s="31" t="n"/>
      <c r="D577" s="29" t="n"/>
      <c r="E577" s="35" t="n"/>
      <c r="F577" s="26">
        <f>IF(OR(B577="",E577=""),"",IFERROR(IF(ISNUMBER(INDEX(Config!$D$11:$D$20,MATCH(B577,Config!$A$11:$A$20,0))),E577*INDEX(Config!$D$11:$D$20,MATCH(B577,Config!$A$11:$A$20,0)),"cadastro de custo incompleto em Config"),"pessoa sem custo-hora em Config"))</f>
        <v/>
      </c>
      <c r="G577" s="25">
        <f>IF(A577="","",MONTH(A577))</f>
        <v/>
      </c>
      <c r="H577" s="25">
        <f>IF(A577="","",YEAR(A577))</f>
        <v/>
      </c>
      <c r="I577" s="31" t="n"/>
      <c r="J577" s="36">
        <f>IF(AND(B577&lt;&gt;"",E577&lt;&gt;"",NOT(ISNUMBER(F577))),1,0)</f>
        <v>0</v>
      </c>
    </row>
    <row r="578">
      <c r="A578" s="34" t="n"/>
      <c r="B578" s="31" t="n"/>
      <c r="C578" s="31" t="n"/>
      <c r="D578" s="29" t="n"/>
      <c r="E578" s="35" t="n"/>
      <c r="F578" s="26">
        <f>IF(OR(B578="",E578=""),"",IFERROR(IF(ISNUMBER(INDEX(Config!$D$11:$D$20,MATCH(B578,Config!$A$11:$A$20,0))),E578*INDEX(Config!$D$11:$D$20,MATCH(B578,Config!$A$11:$A$20,0)),"cadastro de custo incompleto em Config"),"pessoa sem custo-hora em Config"))</f>
        <v/>
      </c>
      <c r="G578" s="25">
        <f>IF(A578="","",MONTH(A578))</f>
        <v/>
      </c>
      <c r="H578" s="25">
        <f>IF(A578="","",YEAR(A578))</f>
        <v/>
      </c>
      <c r="I578" s="31" t="n"/>
      <c r="J578" s="36">
        <f>IF(AND(B578&lt;&gt;"",E578&lt;&gt;"",NOT(ISNUMBER(F578))),1,0)</f>
        <v>0</v>
      </c>
    </row>
    <row r="579">
      <c r="A579" s="34" t="n"/>
      <c r="B579" s="31" t="n"/>
      <c r="C579" s="31" t="n"/>
      <c r="D579" s="29" t="n"/>
      <c r="E579" s="35" t="n"/>
      <c r="F579" s="26">
        <f>IF(OR(B579="",E579=""),"",IFERROR(IF(ISNUMBER(INDEX(Config!$D$11:$D$20,MATCH(B579,Config!$A$11:$A$20,0))),E579*INDEX(Config!$D$11:$D$20,MATCH(B579,Config!$A$11:$A$20,0)),"cadastro de custo incompleto em Config"),"pessoa sem custo-hora em Config"))</f>
        <v/>
      </c>
      <c r="G579" s="25">
        <f>IF(A579="","",MONTH(A579))</f>
        <v/>
      </c>
      <c r="H579" s="25">
        <f>IF(A579="","",YEAR(A579))</f>
        <v/>
      </c>
      <c r="I579" s="31" t="n"/>
      <c r="J579" s="36">
        <f>IF(AND(B579&lt;&gt;"",E579&lt;&gt;"",NOT(ISNUMBER(F579))),1,0)</f>
        <v>0</v>
      </c>
    </row>
    <row r="580">
      <c r="A580" s="34" t="n"/>
      <c r="B580" s="31" t="n"/>
      <c r="C580" s="31" t="n"/>
      <c r="D580" s="29" t="n"/>
      <c r="E580" s="35" t="n"/>
      <c r="F580" s="26">
        <f>IF(OR(B580="",E580=""),"",IFERROR(IF(ISNUMBER(INDEX(Config!$D$11:$D$20,MATCH(B580,Config!$A$11:$A$20,0))),E580*INDEX(Config!$D$11:$D$20,MATCH(B580,Config!$A$11:$A$20,0)),"cadastro de custo incompleto em Config"),"pessoa sem custo-hora em Config"))</f>
        <v/>
      </c>
      <c r="G580" s="25">
        <f>IF(A580="","",MONTH(A580))</f>
        <v/>
      </c>
      <c r="H580" s="25">
        <f>IF(A580="","",YEAR(A580))</f>
        <v/>
      </c>
      <c r="I580" s="31" t="n"/>
      <c r="J580" s="36">
        <f>IF(AND(B580&lt;&gt;"",E580&lt;&gt;"",NOT(ISNUMBER(F580))),1,0)</f>
        <v>0</v>
      </c>
    </row>
    <row r="581">
      <c r="A581" s="34" t="n"/>
      <c r="B581" s="31" t="n"/>
      <c r="C581" s="31" t="n"/>
      <c r="D581" s="29" t="n"/>
      <c r="E581" s="35" t="n"/>
      <c r="F581" s="26">
        <f>IF(OR(B581="",E581=""),"",IFERROR(IF(ISNUMBER(INDEX(Config!$D$11:$D$20,MATCH(B581,Config!$A$11:$A$20,0))),E581*INDEX(Config!$D$11:$D$20,MATCH(B581,Config!$A$11:$A$20,0)),"cadastro de custo incompleto em Config"),"pessoa sem custo-hora em Config"))</f>
        <v/>
      </c>
      <c r="G581" s="25">
        <f>IF(A581="","",MONTH(A581))</f>
        <v/>
      </c>
      <c r="H581" s="25">
        <f>IF(A581="","",YEAR(A581))</f>
        <v/>
      </c>
      <c r="I581" s="31" t="n"/>
      <c r="J581" s="36">
        <f>IF(AND(B581&lt;&gt;"",E581&lt;&gt;"",NOT(ISNUMBER(F581))),1,0)</f>
        <v>0</v>
      </c>
    </row>
    <row r="582">
      <c r="A582" s="34" t="n"/>
      <c r="B582" s="31" t="n"/>
      <c r="C582" s="31" t="n"/>
      <c r="D582" s="29" t="n"/>
      <c r="E582" s="35" t="n"/>
      <c r="F582" s="26">
        <f>IF(OR(B582="",E582=""),"",IFERROR(IF(ISNUMBER(INDEX(Config!$D$11:$D$20,MATCH(B582,Config!$A$11:$A$20,0))),E582*INDEX(Config!$D$11:$D$20,MATCH(B582,Config!$A$11:$A$20,0)),"cadastro de custo incompleto em Config"),"pessoa sem custo-hora em Config"))</f>
        <v/>
      </c>
      <c r="G582" s="25">
        <f>IF(A582="","",MONTH(A582))</f>
        <v/>
      </c>
      <c r="H582" s="25">
        <f>IF(A582="","",YEAR(A582))</f>
        <v/>
      </c>
      <c r="I582" s="31" t="n"/>
      <c r="J582" s="36">
        <f>IF(AND(B582&lt;&gt;"",E582&lt;&gt;"",NOT(ISNUMBER(F582))),1,0)</f>
        <v>0</v>
      </c>
    </row>
    <row r="583">
      <c r="A583" s="34" t="n"/>
      <c r="B583" s="31" t="n"/>
      <c r="C583" s="31" t="n"/>
      <c r="D583" s="29" t="n"/>
      <c r="E583" s="35" t="n"/>
      <c r="F583" s="26">
        <f>IF(OR(B583="",E583=""),"",IFERROR(IF(ISNUMBER(INDEX(Config!$D$11:$D$20,MATCH(B583,Config!$A$11:$A$20,0))),E583*INDEX(Config!$D$11:$D$20,MATCH(B583,Config!$A$11:$A$20,0)),"cadastro de custo incompleto em Config"),"pessoa sem custo-hora em Config"))</f>
        <v/>
      </c>
      <c r="G583" s="25">
        <f>IF(A583="","",MONTH(A583))</f>
        <v/>
      </c>
      <c r="H583" s="25">
        <f>IF(A583="","",YEAR(A583))</f>
        <v/>
      </c>
      <c r="I583" s="31" t="n"/>
      <c r="J583" s="36">
        <f>IF(AND(B583&lt;&gt;"",E583&lt;&gt;"",NOT(ISNUMBER(F583))),1,0)</f>
        <v>0</v>
      </c>
    </row>
    <row r="584">
      <c r="A584" s="34" t="n"/>
      <c r="B584" s="31" t="n"/>
      <c r="C584" s="31" t="n"/>
      <c r="D584" s="29" t="n"/>
      <c r="E584" s="35" t="n"/>
      <c r="F584" s="26">
        <f>IF(OR(B584="",E584=""),"",IFERROR(IF(ISNUMBER(INDEX(Config!$D$11:$D$20,MATCH(B584,Config!$A$11:$A$20,0))),E584*INDEX(Config!$D$11:$D$20,MATCH(B584,Config!$A$11:$A$20,0)),"cadastro de custo incompleto em Config"),"pessoa sem custo-hora em Config"))</f>
        <v/>
      </c>
      <c r="G584" s="25">
        <f>IF(A584="","",MONTH(A584))</f>
        <v/>
      </c>
      <c r="H584" s="25">
        <f>IF(A584="","",YEAR(A584))</f>
        <v/>
      </c>
      <c r="I584" s="31" t="n"/>
      <c r="J584" s="36">
        <f>IF(AND(B584&lt;&gt;"",E584&lt;&gt;"",NOT(ISNUMBER(F584))),1,0)</f>
        <v>0</v>
      </c>
    </row>
    <row r="585">
      <c r="A585" s="34" t="n"/>
      <c r="B585" s="31" t="n"/>
      <c r="C585" s="31" t="n"/>
      <c r="D585" s="29" t="n"/>
      <c r="E585" s="35" t="n"/>
      <c r="F585" s="26">
        <f>IF(OR(B585="",E585=""),"",IFERROR(IF(ISNUMBER(INDEX(Config!$D$11:$D$20,MATCH(B585,Config!$A$11:$A$20,0))),E585*INDEX(Config!$D$11:$D$20,MATCH(B585,Config!$A$11:$A$20,0)),"cadastro de custo incompleto em Config"),"pessoa sem custo-hora em Config"))</f>
        <v/>
      </c>
      <c r="G585" s="25">
        <f>IF(A585="","",MONTH(A585))</f>
        <v/>
      </c>
      <c r="H585" s="25">
        <f>IF(A585="","",YEAR(A585))</f>
        <v/>
      </c>
      <c r="I585" s="31" t="n"/>
      <c r="J585" s="36">
        <f>IF(AND(B585&lt;&gt;"",E585&lt;&gt;"",NOT(ISNUMBER(F585))),1,0)</f>
        <v>0</v>
      </c>
    </row>
    <row r="586">
      <c r="A586" s="34" t="n"/>
      <c r="B586" s="31" t="n"/>
      <c r="C586" s="31" t="n"/>
      <c r="D586" s="29" t="n"/>
      <c r="E586" s="35" t="n"/>
      <c r="F586" s="26">
        <f>IF(OR(B586="",E586=""),"",IFERROR(IF(ISNUMBER(INDEX(Config!$D$11:$D$20,MATCH(B586,Config!$A$11:$A$20,0))),E586*INDEX(Config!$D$11:$D$20,MATCH(B586,Config!$A$11:$A$20,0)),"cadastro de custo incompleto em Config"),"pessoa sem custo-hora em Config"))</f>
        <v/>
      </c>
      <c r="G586" s="25">
        <f>IF(A586="","",MONTH(A586))</f>
        <v/>
      </c>
      <c r="H586" s="25">
        <f>IF(A586="","",YEAR(A586))</f>
        <v/>
      </c>
      <c r="I586" s="31" t="n"/>
      <c r="J586" s="36">
        <f>IF(AND(B586&lt;&gt;"",E586&lt;&gt;"",NOT(ISNUMBER(F586))),1,0)</f>
        <v>0</v>
      </c>
    </row>
    <row r="587">
      <c r="A587" s="34" t="n"/>
      <c r="B587" s="31" t="n"/>
      <c r="C587" s="31" t="n"/>
      <c r="D587" s="29" t="n"/>
      <c r="E587" s="35" t="n"/>
      <c r="F587" s="26">
        <f>IF(OR(B587="",E587=""),"",IFERROR(IF(ISNUMBER(INDEX(Config!$D$11:$D$20,MATCH(B587,Config!$A$11:$A$20,0))),E587*INDEX(Config!$D$11:$D$20,MATCH(B587,Config!$A$11:$A$20,0)),"cadastro de custo incompleto em Config"),"pessoa sem custo-hora em Config"))</f>
        <v/>
      </c>
      <c r="G587" s="25">
        <f>IF(A587="","",MONTH(A587))</f>
        <v/>
      </c>
      <c r="H587" s="25">
        <f>IF(A587="","",YEAR(A587))</f>
        <v/>
      </c>
      <c r="I587" s="31" t="n"/>
      <c r="J587" s="36">
        <f>IF(AND(B587&lt;&gt;"",E587&lt;&gt;"",NOT(ISNUMBER(F587))),1,0)</f>
        <v>0</v>
      </c>
    </row>
    <row r="588">
      <c r="A588" s="34" t="n"/>
      <c r="B588" s="31" t="n"/>
      <c r="C588" s="31" t="n"/>
      <c r="D588" s="29" t="n"/>
      <c r="E588" s="35" t="n"/>
      <c r="F588" s="26">
        <f>IF(OR(B588="",E588=""),"",IFERROR(IF(ISNUMBER(INDEX(Config!$D$11:$D$20,MATCH(B588,Config!$A$11:$A$20,0))),E588*INDEX(Config!$D$11:$D$20,MATCH(B588,Config!$A$11:$A$20,0)),"cadastro de custo incompleto em Config"),"pessoa sem custo-hora em Config"))</f>
        <v/>
      </c>
      <c r="G588" s="25">
        <f>IF(A588="","",MONTH(A588))</f>
        <v/>
      </c>
      <c r="H588" s="25">
        <f>IF(A588="","",YEAR(A588))</f>
        <v/>
      </c>
      <c r="I588" s="31" t="n"/>
      <c r="J588" s="36">
        <f>IF(AND(B588&lt;&gt;"",E588&lt;&gt;"",NOT(ISNUMBER(F588))),1,0)</f>
        <v>0</v>
      </c>
    </row>
    <row r="589">
      <c r="A589" s="34" t="n"/>
      <c r="B589" s="31" t="n"/>
      <c r="C589" s="31" t="n"/>
      <c r="D589" s="29" t="n"/>
      <c r="E589" s="35" t="n"/>
      <c r="F589" s="26">
        <f>IF(OR(B589="",E589=""),"",IFERROR(IF(ISNUMBER(INDEX(Config!$D$11:$D$20,MATCH(B589,Config!$A$11:$A$20,0))),E589*INDEX(Config!$D$11:$D$20,MATCH(B589,Config!$A$11:$A$20,0)),"cadastro de custo incompleto em Config"),"pessoa sem custo-hora em Config"))</f>
        <v/>
      </c>
      <c r="G589" s="25">
        <f>IF(A589="","",MONTH(A589))</f>
        <v/>
      </c>
      <c r="H589" s="25">
        <f>IF(A589="","",YEAR(A589))</f>
        <v/>
      </c>
      <c r="I589" s="31" t="n"/>
      <c r="J589" s="36">
        <f>IF(AND(B589&lt;&gt;"",E589&lt;&gt;"",NOT(ISNUMBER(F589))),1,0)</f>
        <v>0</v>
      </c>
    </row>
    <row r="590">
      <c r="A590" s="34" t="n"/>
      <c r="B590" s="31" t="n"/>
      <c r="C590" s="31" t="n"/>
      <c r="D590" s="29" t="n"/>
      <c r="E590" s="35" t="n"/>
      <c r="F590" s="26">
        <f>IF(OR(B590="",E590=""),"",IFERROR(IF(ISNUMBER(INDEX(Config!$D$11:$D$20,MATCH(B590,Config!$A$11:$A$20,0))),E590*INDEX(Config!$D$11:$D$20,MATCH(B590,Config!$A$11:$A$20,0)),"cadastro de custo incompleto em Config"),"pessoa sem custo-hora em Config"))</f>
        <v/>
      </c>
      <c r="G590" s="25">
        <f>IF(A590="","",MONTH(A590))</f>
        <v/>
      </c>
      <c r="H590" s="25">
        <f>IF(A590="","",YEAR(A590))</f>
        <v/>
      </c>
      <c r="I590" s="31" t="n"/>
      <c r="J590" s="36">
        <f>IF(AND(B590&lt;&gt;"",E590&lt;&gt;"",NOT(ISNUMBER(F590))),1,0)</f>
        <v>0</v>
      </c>
    </row>
    <row r="591">
      <c r="A591" s="34" t="n"/>
      <c r="B591" s="31" t="n"/>
      <c r="C591" s="31" t="n"/>
      <c r="D591" s="29" t="n"/>
      <c r="E591" s="35" t="n"/>
      <c r="F591" s="26">
        <f>IF(OR(B591="",E591=""),"",IFERROR(IF(ISNUMBER(INDEX(Config!$D$11:$D$20,MATCH(B591,Config!$A$11:$A$20,0))),E591*INDEX(Config!$D$11:$D$20,MATCH(B591,Config!$A$11:$A$20,0)),"cadastro de custo incompleto em Config"),"pessoa sem custo-hora em Config"))</f>
        <v/>
      </c>
      <c r="G591" s="25">
        <f>IF(A591="","",MONTH(A591))</f>
        <v/>
      </c>
      <c r="H591" s="25">
        <f>IF(A591="","",YEAR(A591))</f>
        <v/>
      </c>
      <c r="I591" s="31" t="n"/>
      <c r="J591" s="36">
        <f>IF(AND(B591&lt;&gt;"",E591&lt;&gt;"",NOT(ISNUMBER(F591))),1,0)</f>
        <v>0</v>
      </c>
    </row>
    <row r="592">
      <c r="A592" s="34" t="n"/>
      <c r="B592" s="31" t="n"/>
      <c r="C592" s="31" t="n"/>
      <c r="D592" s="29" t="n"/>
      <c r="E592" s="35" t="n"/>
      <c r="F592" s="26">
        <f>IF(OR(B592="",E592=""),"",IFERROR(IF(ISNUMBER(INDEX(Config!$D$11:$D$20,MATCH(B592,Config!$A$11:$A$20,0))),E592*INDEX(Config!$D$11:$D$20,MATCH(B592,Config!$A$11:$A$20,0)),"cadastro de custo incompleto em Config"),"pessoa sem custo-hora em Config"))</f>
        <v/>
      </c>
      <c r="G592" s="25">
        <f>IF(A592="","",MONTH(A592))</f>
        <v/>
      </c>
      <c r="H592" s="25">
        <f>IF(A592="","",YEAR(A592))</f>
        <v/>
      </c>
      <c r="I592" s="31" t="n"/>
      <c r="J592" s="36">
        <f>IF(AND(B592&lt;&gt;"",E592&lt;&gt;"",NOT(ISNUMBER(F592))),1,0)</f>
        <v>0</v>
      </c>
    </row>
    <row r="593">
      <c r="A593" s="34" t="n"/>
      <c r="B593" s="31" t="n"/>
      <c r="C593" s="31" t="n"/>
      <c r="D593" s="29" t="n"/>
      <c r="E593" s="35" t="n"/>
      <c r="F593" s="26">
        <f>IF(OR(B593="",E593=""),"",IFERROR(IF(ISNUMBER(INDEX(Config!$D$11:$D$20,MATCH(B593,Config!$A$11:$A$20,0))),E593*INDEX(Config!$D$11:$D$20,MATCH(B593,Config!$A$11:$A$20,0)),"cadastro de custo incompleto em Config"),"pessoa sem custo-hora em Config"))</f>
        <v/>
      </c>
      <c r="G593" s="25">
        <f>IF(A593="","",MONTH(A593))</f>
        <v/>
      </c>
      <c r="H593" s="25">
        <f>IF(A593="","",YEAR(A593))</f>
        <v/>
      </c>
      <c r="I593" s="31" t="n"/>
      <c r="J593" s="36">
        <f>IF(AND(B593&lt;&gt;"",E593&lt;&gt;"",NOT(ISNUMBER(F593))),1,0)</f>
        <v>0</v>
      </c>
    </row>
    <row r="594">
      <c r="A594" s="34" t="n"/>
      <c r="B594" s="31" t="n"/>
      <c r="C594" s="31" t="n"/>
      <c r="D594" s="29" t="n"/>
      <c r="E594" s="35" t="n"/>
      <c r="F594" s="26">
        <f>IF(OR(B594="",E594=""),"",IFERROR(IF(ISNUMBER(INDEX(Config!$D$11:$D$20,MATCH(B594,Config!$A$11:$A$20,0))),E594*INDEX(Config!$D$11:$D$20,MATCH(B594,Config!$A$11:$A$20,0)),"cadastro de custo incompleto em Config"),"pessoa sem custo-hora em Config"))</f>
        <v/>
      </c>
      <c r="G594" s="25">
        <f>IF(A594="","",MONTH(A594))</f>
        <v/>
      </c>
      <c r="H594" s="25">
        <f>IF(A594="","",YEAR(A594))</f>
        <v/>
      </c>
      <c r="I594" s="31" t="n"/>
      <c r="J594" s="36">
        <f>IF(AND(B594&lt;&gt;"",E594&lt;&gt;"",NOT(ISNUMBER(F594))),1,0)</f>
        <v>0</v>
      </c>
    </row>
    <row r="595">
      <c r="A595" s="34" t="n"/>
      <c r="B595" s="31" t="n"/>
      <c r="C595" s="31" t="n"/>
      <c r="D595" s="29" t="n"/>
      <c r="E595" s="35" t="n"/>
      <c r="F595" s="26">
        <f>IF(OR(B595="",E595=""),"",IFERROR(IF(ISNUMBER(INDEX(Config!$D$11:$D$20,MATCH(B595,Config!$A$11:$A$20,0))),E595*INDEX(Config!$D$11:$D$20,MATCH(B595,Config!$A$11:$A$20,0)),"cadastro de custo incompleto em Config"),"pessoa sem custo-hora em Config"))</f>
        <v/>
      </c>
      <c r="G595" s="25">
        <f>IF(A595="","",MONTH(A595))</f>
        <v/>
      </c>
      <c r="H595" s="25">
        <f>IF(A595="","",YEAR(A595))</f>
        <v/>
      </c>
      <c r="I595" s="31" t="n"/>
      <c r="J595" s="36">
        <f>IF(AND(B595&lt;&gt;"",E595&lt;&gt;"",NOT(ISNUMBER(F595))),1,0)</f>
        <v>0</v>
      </c>
    </row>
    <row r="596">
      <c r="A596" s="34" t="n"/>
      <c r="B596" s="31" t="n"/>
      <c r="C596" s="31" t="n"/>
      <c r="D596" s="29" t="n"/>
      <c r="E596" s="35" t="n"/>
      <c r="F596" s="26">
        <f>IF(OR(B596="",E596=""),"",IFERROR(IF(ISNUMBER(INDEX(Config!$D$11:$D$20,MATCH(B596,Config!$A$11:$A$20,0))),E596*INDEX(Config!$D$11:$D$20,MATCH(B596,Config!$A$11:$A$20,0)),"cadastro de custo incompleto em Config"),"pessoa sem custo-hora em Config"))</f>
        <v/>
      </c>
      <c r="G596" s="25">
        <f>IF(A596="","",MONTH(A596))</f>
        <v/>
      </c>
      <c r="H596" s="25">
        <f>IF(A596="","",YEAR(A596))</f>
        <v/>
      </c>
      <c r="I596" s="31" t="n"/>
      <c r="J596" s="36">
        <f>IF(AND(B596&lt;&gt;"",E596&lt;&gt;"",NOT(ISNUMBER(F596))),1,0)</f>
        <v>0</v>
      </c>
    </row>
    <row r="597">
      <c r="A597" s="34" t="n"/>
      <c r="B597" s="31" t="n"/>
      <c r="C597" s="31" t="n"/>
      <c r="D597" s="29" t="n"/>
      <c r="E597" s="35" t="n"/>
      <c r="F597" s="26">
        <f>IF(OR(B597="",E597=""),"",IFERROR(IF(ISNUMBER(INDEX(Config!$D$11:$D$20,MATCH(B597,Config!$A$11:$A$20,0))),E597*INDEX(Config!$D$11:$D$20,MATCH(B597,Config!$A$11:$A$20,0)),"cadastro de custo incompleto em Config"),"pessoa sem custo-hora em Config"))</f>
        <v/>
      </c>
      <c r="G597" s="25">
        <f>IF(A597="","",MONTH(A597))</f>
        <v/>
      </c>
      <c r="H597" s="25">
        <f>IF(A597="","",YEAR(A597))</f>
        <v/>
      </c>
      <c r="I597" s="31" t="n"/>
      <c r="J597" s="36">
        <f>IF(AND(B597&lt;&gt;"",E597&lt;&gt;"",NOT(ISNUMBER(F597))),1,0)</f>
        <v>0</v>
      </c>
    </row>
    <row r="598">
      <c r="A598" s="34" t="n"/>
      <c r="B598" s="31" t="n"/>
      <c r="C598" s="31" t="n"/>
      <c r="D598" s="29" t="n"/>
      <c r="E598" s="35" t="n"/>
      <c r="F598" s="26">
        <f>IF(OR(B598="",E598=""),"",IFERROR(IF(ISNUMBER(INDEX(Config!$D$11:$D$20,MATCH(B598,Config!$A$11:$A$20,0))),E598*INDEX(Config!$D$11:$D$20,MATCH(B598,Config!$A$11:$A$20,0)),"cadastro de custo incompleto em Config"),"pessoa sem custo-hora em Config"))</f>
        <v/>
      </c>
      <c r="G598" s="25">
        <f>IF(A598="","",MONTH(A598))</f>
        <v/>
      </c>
      <c r="H598" s="25">
        <f>IF(A598="","",YEAR(A598))</f>
        <v/>
      </c>
      <c r="I598" s="31" t="n"/>
      <c r="J598" s="36">
        <f>IF(AND(B598&lt;&gt;"",E598&lt;&gt;"",NOT(ISNUMBER(F598))),1,0)</f>
        <v>0</v>
      </c>
    </row>
    <row r="599">
      <c r="A599" s="34" t="n"/>
      <c r="B599" s="31" t="n"/>
      <c r="C599" s="31" t="n"/>
      <c r="D599" s="29" t="n"/>
      <c r="E599" s="35" t="n"/>
      <c r="F599" s="26">
        <f>IF(OR(B599="",E599=""),"",IFERROR(IF(ISNUMBER(INDEX(Config!$D$11:$D$20,MATCH(B599,Config!$A$11:$A$20,0))),E599*INDEX(Config!$D$11:$D$20,MATCH(B599,Config!$A$11:$A$20,0)),"cadastro de custo incompleto em Config"),"pessoa sem custo-hora em Config"))</f>
        <v/>
      </c>
      <c r="G599" s="25">
        <f>IF(A599="","",MONTH(A599))</f>
        <v/>
      </c>
      <c r="H599" s="25">
        <f>IF(A599="","",YEAR(A599))</f>
        <v/>
      </c>
      <c r="I599" s="31" t="n"/>
      <c r="J599" s="36">
        <f>IF(AND(B599&lt;&gt;"",E599&lt;&gt;"",NOT(ISNUMBER(F599))),1,0)</f>
        <v>0</v>
      </c>
    </row>
    <row r="600">
      <c r="A600" s="34" t="n"/>
      <c r="B600" s="31" t="n"/>
      <c r="C600" s="31" t="n"/>
      <c r="D600" s="29" t="n"/>
      <c r="E600" s="35" t="n"/>
      <c r="F600" s="26">
        <f>IF(OR(B600="",E600=""),"",IFERROR(IF(ISNUMBER(INDEX(Config!$D$11:$D$20,MATCH(B600,Config!$A$11:$A$20,0))),E600*INDEX(Config!$D$11:$D$20,MATCH(B600,Config!$A$11:$A$20,0)),"cadastro de custo incompleto em Config"),"pessoa sem custo-hora em Config"))</f>
        <v/>
      </c>
      <c r="G600" s="25">
        <f>IF(A600="","",MONTH(A600))</f>
        <v/>
      </c>
      <c r="H600" s="25">
        <f>IF(A600="","",YEAR(A600))</f>
        <v/>
      </c>
      <c r="I600" s="31" t="n"/>
      <c r="J600" s="36">
        <f>IF(AND(B600&lt;&gt;"",E600&lt;&gt;"",NOT(ISNUMBER(F600))),1,0)</f>
        <v>0</v>
      </c>
    </row>
    <row r="601">
      <c r="A601" s="34" t="n"/>
      <c r="B601" s="31" t="n"/>
      <c r="C601" s="31" t="n"/>
      <c r="D601" s="29" t="n"/>
      <c r="E601" s="35" t="n"/>
      <c r="F601" s="26">
        <f>IF(OR(B601="",E601=""),"",IFERROR(IF(ISNUMBER(INDEX(Config!$D$11:$D$20,MATCH(B601,Config!$A$11:$A$20,0))),E601*INDEX(Config!$D$11:$D$20,MATCH(B601,Config!$A$11:$A$20,0)),"cadastro de custo incompleto em Config"),"pessoa sem custo-hora em Config"))</f>
        <v/>
      </c>
      <c r="G601" s="25">
        <f>IF(A601="","",MONTH(A601))</f>
        <v/>
      </c>
      <c r="H601" s="25">
        <f>IF(A601="","",YEAR(A601))</f>
        <v/>
      </c>
      <c r="I601" s="31" t="n"/>
      <c r="J601" s="36">
        <f>IF(AND(B601&lt;&gt;"",E601&lt;&gt;"",NOT(ISNUMBER(F601))),1,0)</f>
        <v>0</v>
      </c>
    </row>
    <row r="602">
      <c r="A602" s="34" t="n"/>
      <c r="B602" s="31" t="n"/>
      <c r="C602" s="31" t="n"/>
      <c r="D602" s="29" t="n"/>
      <c r="E602" s="35" t="n"/>
      <c r="F602" s="26">
        <f>IF(OR(B602="",E602=""),"",IFERROR(IF(ISNUMBER(INDEX(Config!$D$11:$D$20,MATCH(B602,Config!$A$11:$A$20,0))),E602*INDEX(Config!$D$11:$D$20,MATCH(B602,Config!$A$11:$A$20,0)),"cadastro de custo incompleto em Config"),"pessoa sem custo-hora em Config"))</f>
        <v/>
      </c>
      <c r="G602" s="25">
        <f>IF(A602="","",MONTH(A602))</f>
        <v/>
      </c>
      <c r="H602" s="25">
        <f>IF(A602="","",YEAR(A602))</f>
        <v/>
      </c>
      <c r="I602" s="31" t="n"/>
      <c r="J602" s="36">
        <f>IF(AND(B602&lt;&gt;"",E602&lt;&gt;"",NOT(ISNUMBER(F602))),1,0)</f>
        <v>0</v>
      </c>
    </row>
    <row r="603">
      <c r="A603" s="34" t="n"/>
      <c r="B603" s="31" t="n"/>
      <c r="C603" s="31" t="n"/>
      <c r="D603" s="29" t="n"/>
      <c r="E603" s="35" t="n"/>
      <c r="F603" s="26">
        <f>IF(OR(B603="",E603=""),"",IFERROR(IF(ISNUMBER(INDEX(Config!$D$11:$D$20,MATCH(B603,Config!$A$11:$A$20,0))),E603*INDEX(Config!$D$11:$D$20,MATCH(B603,Config!$A$11:$A$20,0)),"cadastro de custo incompleto em Config"),"pessoa sem custo-hora em Config"))</f>
        <v/>
      </c>
      <c r="G603" s="25">
        <f>IF(A603="","",MONTH(A603))</f>
        <v/>
      </c>
      <c r="H603" s="25">
        <f>IF(A603="","",YEAR(A603))</f>
        <v/>
      </c>
      <c r="I603" s="31" t="n"/>
      <c r="J603" s="36">
        <f>IF(AND(B603&lt;&gt;"",E603&lt;&gt;"",NOT(ISNUMBER(F603))),1,0)</f>
        <v>0</v>
      </c>
    </row>
    <row r="604">
      <c r="A604" s="34" t="n"/>
      <c r="B604" s="31" t="n"/>
      <c r="C604" s="31" t="n"/>
      <c r="D604" s="29" t="n"/>
      <c r="E604" s="35" t="n"/>
      <c r="F604" s="26">
        <f>IF(OR(B604="",E604=""),"",IFERROR(IF(ISNUMBER(INDEX(Config!$D$11:$D$20,MATCH(B604,Config!$A$11:$A$20,0))),E604*INDEX(Config!$D$11:$D$20,MATCH(B604,Config!$A$11:$A$20,0)),"cadastro de custo incompleto em Config"),"pessoa sem custo-hora em Config"))</f>
        <v/>
      </c>
      <c r="G604" s="25">
        <f>IF(A604="","",MONTH(A604))</f>
        <v/>
      </c>
      <c r="H604" s="25">
        <f>IF(A604="","",YEAR(A604))</f>
        <v/>
      </c>
      <c r="I604" s="31" t="n"/>
      <c r="J604" s="36">
        <f>IF(AND(B604&lt;&gt;"",E604&lt;&gt;"",NOT(ISNUMBER(F604))),1,0)</f>
        <v>0</v>
      </c>
    </row>
    <row r="605">
      <c r="A605" s="34" t="n"/>
      <c r="B605" s="31" t="n"/>
      <c r="C605" s="31" t="n"/>
      <c r="D605" s="29" t="n"/>
      <c r="E605" s="35" t="n"/>
      <c r="F605" s="26">
        <f>IF(OR(B605="",E605=""),"",IFERROR(IF(ISNUMBER(INDEX(Config!$D$11:$D$20,MATCH(B605,Config!$A$11:$A$20,0))),E605*INDEX(Config!$D$11:$D$20,MATCH(B605,Config!$A$11:$A$20,0)),"cadastro de custo incompleto em Config"),"pessoa sem custo-hora em Config"))</f>
        <v/>
      </c>
      <c r="G605" s="25">
        <f>IF(A605="","",MONTH(A605))</f>
        <v/>
      </c>
      <c r="H605" s="25">
        <f>IF(A605="","",YEAR(A605))</f>
        <v/>
      </c>
      <c r="I605" s="31" t="n"/>
      <c r="J605" s="36">
        <f>IF(AND(B605&lt;&gt;"",E605&lt;&gt;"",NOT(ISNUMBER(F605))),1,0)</f>
        <v>0</v>
      </c>
    </row>
    <row r="606">
      <c r="A606" s="34" t="n"/>
      <c r="B606" s="31" t="n"/>
      <c r="C606" s="31" t="n"/>
      <c r="D606" s="29" t="n"/>
      <c r="E606" s="35" t="n"/>
      <c r="F606" s="26">
        <f>IF(OR(B606="",E606=""),"",IFERROR(IF(ISNUMBER(INDEX(Config!$D$11:$D$20,MATCH(B606,Config!$A$11:$A$20,0))),E606*INDEX(Config!$D$11:$D$20,MATCH(B606,Config!$A$11:$A$20,0)),"cadastro de custo incompleto em Config"),"pessoa sem custo-hora em Config"))</f>
        <v/>
      </c>
      <c r="G606" s="25">
        <f>IF(A606="","",MONTH(A606))</f>
        <v/>
      </c>
      <c r="H606" s="25">
        <f>IF(A606="","",YEAR(A606))</f>
        <v/>
      </c>
      <c r="I606" s="31" t="n"/>
      <c r="J606" s="36">
        <f>IF(AND(B606&lt;&gt;"",E606&lt;&gt;"",NOT(ISNUMBER(F606))),1,0)</f>
        <v>0</v>
      </c>
    </row>
    <row r="607">
      <c r="A607" s="34" t="n"/>
      <c r="B607" s="31" t="n"/>
      <c r="C607" s="31" t="n"/>
      <c r="D607" s="29" t="n"/>
      <c r="E607" s="35" t="n"/>
      <c r="F607" s="26">
        <f>IF(OR(B607="",E607=""),"",IFERROR(IF(ISNUMBER(INDEX(Config!$D$11:$D$20,MATCH(B607,Config!$A$11:$A$20,0))),E607*INDEX(Config!$D$11:$D$20,MATCH(B607,Config!$A$11:$A$20,0)),"cadastro de custo incompleto em Config"),"pessoa sem custo-hora em Config"))</f>
        <v/>
      </c>
      <c r="G607" s="25">
        <f>IF(A607="","",MONTH(A607))</f>
        <v/>
      </c>
      <c r="H607" s="25">
        <f>IF(A607="","",YEAR(A607))</f>
        <v/>
      </c>
      <c r="I607" s="31" t="n"/>
      <c r="J607" s="36">
        <f>IF(AND(B607&lt;&gt;"",E607&lt;&gt;"",NOT(ISNUMBER(F607))),1,0)</f>
        <v>0</v>
      </c>
    </row>
    <row r="608">
      <c r="A608" s="34" t="n"/>
      <c r="B608" s="31" t="n"/>
      <c r="C608" s="31" t="n"/>
      <c r="D608" s="29" t="n"/>
      <c r="E608" s="35" t="n"/>
      <c r="F608" s="26">
        <f>IF(OR(B608="",E608=""),"",IFERROR(IF(ISNUMBER(INDEX(Config!$D$11:$D$20,MATCH(B608,Config!$A$11:$A$20,0))),E608*INDEX(Config!$D$11:$D$20,MATCH(B608,Config!$A$11:$A$20,0)),"cadastro de custo incompleto em Config"),"pessoa sem custo-hora em Config"))</f>
        <v/>
      </c>
      <c r="G608" s="25">
        <f>IF(A608="","",MONTH(A608))</f>
        <v/>
      </c>
      <c r="H608" s="25">
        <f>IF(A608="","",YEAR(A608))</f>
        <v/>
      </c>
      <c r="I608" s="31" t="n"/>
      <c r="J608" s="36">
        <f>IF(AND(B608&lt;&gt;"",E608&lt;&gt;"",NOT(ISNUMBER(F608))),1,0)</f>
        <v>0</v>
      </c>
    </row>
    <row r="609">
      <c r="A609" s="34" t="n"/>
      <c r="B609" s="31" t="n"/>
      <c r="C609" s="31" t="n"/>
      <c r="D609" s="29" t="n"/>
      <c r="E609" s="35" t="n"/>
      <c r="F609" s="26">
        <f>IF(OR(B609="",E609=""),"",IFERROR(IF(ISNUMBER(INDEX(Config!$D$11:$D$20,MATCH(B609,Config!$A$11:$A$20,0))),E609*INDEX(Config!$D$11:$D$20,MATCH(B609,Config!$A$11:$A$20,0)),"cadastro de custo incompleto em Config"),"pessoa sem custo-hora em Config"))</f>
        <v/>
      </c>
      <c r="G609" s="25">
        <f>IF(A609="","",MONTH(A609))</f>
        <v/>
      </c>
      <c r="H609" s="25">
        <f>IF(A609="","",YEAR(A609))</f>
        <v/>
      </c>
      <c r="I609" s="31" t="n"/>
      <c r="J609" s="36">
        <f>IF(AND(B609&lt;&gt;"",E609&lt;&gt;"",NOT(ISNUMBER(F609))),1,0)</f>
        <v>0</v>
      </c>
    </row>
    <row r="610">
      <c r="A610" s="34" t="n"/>
      <c r="B610" s="31" t="n"/>
      <c r="C610" s="31" t="n"/>
      <c r="D610" s="29" t="n"/>
      <c r="E610" s="35" t="n"/>
      <c r="F610" s="26">
        <f>IF(OR(B610="",E610=""),"",IFERROR(IF(ISNUMBER(INDEX(Config!$D$11:$D$20,MATCH(B610,Config!$A$11:$A$20,0))),E610*INDEX(Config!$D$11:$D$20,MATCH(B610,Config!$A$11:$A$20,0)),"cadastro de custo incompleto em Config"),"pessoa sem custo-hora em Config"))</f>
        <v/>
      </c>
      <c r="G610" s="25">
        <f>IF(A610="","",MONTH(A610))</f>
        <v/>
      </c>
      <c r="H610" s="25">
        <f>IF(A610="","",YEAR(A610))</f>
        <v/>
      </c>
      <c r="I610" s="31" t="n"/>
      <c r="J610" s="36">
        <f>IF(AND(B610&lt;&gt;"",E610&lt;&gt;"",NOT(ISNUMBER(F610))),1,0)</f>
        <v>0</v>
      </c>
    </row>
    <row r="611">
      <c r="A611" s="34" t="n"/>
      <c r="B611" s="31" t="n"/>
      <c r="C611" s="31" t="n"/>
      <c r="D611" s="29" t="n"/>
      <c r="E611" s="35" t="n"/>
      <c r="F611" s="26">
        <f>IF(OR(B611="",E611=""),"",IFERROR(IF(ISNUMBER(INDEX(Config!$D$11:$D$20,MATCH(B611,Config!$A$11:$A$20,0))),E611*INDEX(Config!$D$11:$D$20,MATCH(B611,Config!$A$11:$A$20,0)),"cadastro de custo incompleto em Config"),"pessoa sem custo-hora em Config"))</f>
        <v/>
      </c>
      <c r="G611" s="25">
        <f>IF(A611="","",MONTH(A611))</f>
        <v/>
      </c>
      <c r="H611" s="25">
        <f>IF(A611="","",YEAR(A611))</f>
        <v/>
      </c>
      <c r="I611" s="31" t="n"/>
      <c r="J611" s="36">
        <f>IF(AND(B611&lt;&gt;"",E611&lt;&gt;"",NOT(ISNUMBER(F611))),1,0)</f>
        <v>0</v>
      </c>
    </row>
    <row r="612">
      <c r="A612" s="34" t="n"/>
      <c r="B612" s="31" t="n"/>
      <c r="C612" s="31" t="n"/>
      <c r="D612" s="29" t="n"/>
      <c r="E612" s="35" t="n"/>
      <c r="F612" s="26">
        <f>IF(OR(B612="",E612=""),"",IFERROR(IF(ISNUMBER(INDEX(Config!$D$11:$D$20,MATCH(B612,Config!$A$11:$A$20,0))),E612*INDEX(Config!$D$11:$D$20,MATCH(B612,Config!$A$11:$A$20,0)),"cadastro de custo incompleto em Config"),"pessoa sem custo-hora em Config"))</f>
        <v/>
      </c>
      <c r="G612" s="25">
        <f>IF(A612="","",MONTH(A612))</f>
        <v/>
      </c>
      <c r="H612" s="25">
        <f>IF(A612="","",YEAR(A612))</f>
        <v/>
      </c>
      <c r="I612" s="31" t="n"/>
      <c r="J612" s="36">
        <f>IF(AND(B612&lt;&gt;"",E612&lt;&gt;"",NOT(ISNUMBER(F612))),1,0)</f>
        <v>0</v>
      </c>
    </row>
    <row r="613">
      <c r="A613" s="34" t="n"/>
      <c r="B613" s="31" t="n"/>
      <c r="C613" s="31" t="n"/>
      <c r="D613" s="29" t="n"/>
      <c r="E613" s="35" t="n"/>
      <c r="F613" s="26">
        <f>IF(OR(B613="",E613=""),"",IFERROR(IF(ISNUMBER(INDEX(Config!$D$11:$D$20,MATCH(B613,Config!$A$11:$A$20,0))),E613*INDEX(Config!$D$11:$D$20,MATCH(B613,Config!$A$11:$A$20,0)),"cadastro de custo incompleto em Config"),"pessoa sem custo-hora em Config"))</f>
        <v/>
      </c>
      <c r="G613" s="25">
        <f>IF(A613="","",MONTH(A613))</f>
        <v/>
      </c>
      <c r="H613" s="25">
        <f>IF(A613="","",YEAR(A613))</f>
        <v/>
      </c>
      <c r="I613" s="31" t="n"/>
      <c r="J613" s="36">
        <f>IF(AND(B613&lt;&gt;"",E613&lt;&gt;"",NOT(ISNUMBER(F613))),1,0)</f>
        <v>0</v>
      </c>
    </row>
    <row r="614">
      <c r="A614" s="34" t="n"/>
      <c r="B614" s="31" t="n"/>
      <c r="C614" s="31" t="n"/>
      <c r="D614" s="29" t="n"/>
      <c r="E614" s="35" t="n"/>
      <c r="F614" s="26">
        <f>IF(OR(B614="",E614=""),"",IFERROR(IF(ISNUMBER(INDEX(Config!$D$11:$D$20,MATCH(B614,Config!$A$11:$A$20,0))),E614*INDEX(Config!$D$11:$D$20,MATCH(B614,Config!$A$11:$A$20,0)),"cadastro de custo incompleto em Config"),"pessoa sem custo-hora em Config"))</f>
        <v/>
      </c>
      <c r="G614" s="25">
        <f>IF(A614="","",MONTH(A614))</f>
        <v/>
      </c>
      <c r="H614" s="25">
        <f>IF(A614="","",YEAR(A614))</f>
        <v/>
      </c>
      <c r="I614" s="31" t="n"/>
      <c r="J614" s="36">
        <f>IF(AND(B614&lt;&gt;"",E614&lt;&gt;"",NOT(ISNUMBER(F614))),1,0)</f>
        <v>0</v>
      </c>
    </row>
    <row r="615">
      <c r="A615" s="34" t="n"/>
      <c r="B615" s="31" t="n"/>
      <c r="C615" s="31" t="n"/>
      <c r="D615" s="29" t="n"/>
      <c r="E615" s="35" t="n"/>
      <c r="F615" s="26">
        <f>IF(OR(B615="",E615=""),"",IFERROR(IF(ISNUMBER(INDEX(Config!$D$11:$D$20,MATCH(B615,Config!$A$11:$A$20,0))),E615*INDEX(Config!$D$11:$D$20,MATCH(B615,Config!$A$11:$A$20,0)),"cadastro de custo incompleto em Config"),"pessoa sem custo-hora em Config"))</f>
        <v/>
      </c>
      <c r="G615" s="25">
        <f>IF(A615="","",MONTH(A615))</f>
        <v/>
      </c>
      <c r="H615" s="25">
        <f>IF(A615="","",YEAR(A615))</f>
        <v/>
      </c>
      <c r="I615" s="31" t="n"/>
      <c r="J615" s="36">
        <f>IF(AND(B615&lt;&gt;"",E615&lt;&gt;"",NOT(ISNUMBER(F615))),1,0)</f>
        <v>0</v>
      </c>
    </row>
    <row r="616">
      <c r="A616" s="34" t="n"/>
      <c r="B616" s="31" t="n"/>
      <c r="C616" s="31" t="n"/>
      <c r="D616" s="29" t="n"/>
      <c r="E616" s="35" t="n"/>
      <c r="F616" s="26">
        <f>IF(OR(B616="",E616=""),"",IFERROR(IF(ISNUMBER(INDEX(Config!$D$11:$D$20,MATCH(B616,Config!$A$11:$A$20,0))),E616*INDEX(Config!$D$11:$D$20,MATCH(B616,Config!$A$11:$A$20,0)),"cadastro de custo incompleto em Config"),"pessoa sem custo-hora em Config"))</f>
        <v/>
      </c>
      <c r="G616" s="25">
        <f>IF(A616="","",MONTH(A616))</f>
        <v/>
      </c>
      <c r="H616" s="25">
        <f>IF(A616="","",YEAR(A616))</f>
        <v/>
      </c>
      <c r="I616" s="31" t="n"/>
      <c r="J616" s="36">
        <f>IF(AND(B616&lt;&gt;"",E616&lt;&gt;"",NOT(ISNUMBER(F616))),1,0)</f>
        <v>0</v>
      </c>
    </row>
    <row r="617">
      <c r="A617" s="34" t="n"/>
      <c r="B617" s="31" t="n"/>
      <c r="C617" s="31" t="n"/>
      <c r="D617" s="29" t="n"/>
      <c r="E617" s="35" t="n"/>
      <c r="F617" s="26">
        <f>IF(OR(B617="",E617=""),"",IFERROR(IF(ISNUMBER(INDEX(Config!$D$11:$D$20,MATCH(B617,Config!$A$11:$A$20,0))),E617*INDEX(Config!$D$11:$D$20,MATCH(B617,Config!$A$11:$A$20,0)),"cadastro de custo incompleto em Config"),"pessoa sem custo-hora em Config"))</f>
        <v/>
      </c>
      <c r="G617" s="25">
        <f>IF(A617="","",MONTH(A617))</f>
        <v/>
      </c>
      <c r="H617" s="25">
        <f>IF(A617="","",YEAR(A617))</f>
        <v/>
      </c>
      <c r="I617" s="31" t="n"/>
      <c r="J617" s="36">
        <f>IF(AND(B617&lt;&gt;"",E617&lt;&gt;"",NOT(ISNUMBER(F617))),1,0)</f>
        <v>0</v>
      </c>
    </row>
    <row r="618">
      <c r="A618" s="34" t="n"/>
      <c r="B618" s="31" t="n"/>
      <c r="C618" s="31" t="n"/>
      <c r="D618" s="29" t="n"/>
      <c r="E618" s="35" t="n"/>
      <c r="F618" s="26">
        <f>IF(OR(B618="",E618=""),"",IFERROR(IF(ISNUMBER(INDEX(Config!$D$11:$D$20,MATCH(B618,Config!$A$11:$A$20,0))),E618*INDEX(Config!$D$11:$D$20,MATCH(B618,Config!$A$11:$A$20,0)),"cadastro de custo incompleto em Config"),"pessoa sem custo-hora em Config"))</f>
        <v/>
      </c>
      <c r="G618" s="25">
        <f>IF(A618="","",MONTH(A618))</f>
        <v/>
      </c>
      <c r="H618" s="25">
        <f>IF(A618="","",YEAR(A618))</f>
        <v/>
      </c>
      <c r="I618" s="31" t="n"/>
      <c r="J618" s="36">
        <f>IF(AND(B618&lt;&gt;"",E618&lt;&gt;"",NOT(ISNUMBER(F618))),1,0)</f>
        <v>0</v>
      </c>
    </row>
    <row r="619">
      <c r="A619" s="34" t="n"/>
      <c r="B619" s="31" t="n"/>
      <c r="C619" s="31" t="n"/>
      <c r="D619" s="29" t="n"/>
      <c r="E619" s="35" t="n"/>
      <c r="F619" s="26">
        <f>IF(OR(B619="",E619=""),"",IFERROR(IF(ISNUMBER(INDEX(Config!$D$11:$D$20,MATCH(B619,Config!$A$11:$A$20,0))),E619*INDEX(Config!$D$11:$D$20,MATCH(B619,Config!$A$11:$A$20,0)),"cadastro de custo incompleto em Config"),"pessoa sem custo-hora em Config"))</f>
        <v/>
      </c>
      <c r="G619" s="25">
        <f>IF(A619="","",MONTH(A619))</f>
        <v/>
      </c>
      <c r="H619" s="25">
        <f>IF(A619="","",YEAR(A619))</f>
        <v/>
      </c>
      <c r="I619" s="31" t="n"/>
      <c r="J619" s="36">
        <f>IF(AND(B619&lt;&gt;"",E619&lt;&gt;"",NOT(ISNUMBER(F619))),1,0)</f>
        <v>0</v>
      </c>
    </row>
    <row r="620">
      <c r="A620" s="34" t="n"/>
      <c r="B620" s="31" t="n"/>
      <c r="C620" s="31" t="n"/>
      <c r="D620" s="29" t="n"/>
      <c r="E620" s="35" t="n"/>
      <c r="F620" s="26">
        <f>IF(OR(B620="",E620=""),"",IFERROR(IF(ISNUMBER(INDEX(Config!$D$11:$D$20,MATCH(B620,Config!$A$11:$A$20,0))),E620*INDEX(Config!$D$11:$D$20,MATCH(B620,Config!$A$11:$A$20,0)),"cadastro de custo incompleto em Config"),"pessoa sem custo-hora em Config"))</f>
        <v/>
      </c>
      <c r="G620" s="25">
        <f>IF(A620="","",MONTH(A620))</f>
        <v/>
      </c>
      <c r="H620" s="25">
        <f>IF(A620="","",YEAR(A620))</f>
        <v/>
      </c>
      <c r="I620" s="31" t="n"/>
      <c r="J620" s="36">
        <f>IF(AND(B620&lt;&gt;"",E620&lt;&gt;"",NOT(ISNUMBER(F620))),1,0)</f>
        <v>0</v>
      </c>
    </row>
    <row r="621">
      <c r="A621" s="34" t="n"/>
      <c r="B621" s="31" t="n"/>
      <c r="C621" s="31" t="n"/>
      <c r="D621" s="29" t="n"/>
      <c r="E621" s="35" t="n"/>
      <c r="F621" s="26">
        <f>IF(OR(B621="",E621=""),"",IFERROR(IF(ISNUMBER(INDEX(Config!$D$11:$D$20,MATCH(B621,Config!$A$11:$A$20,0))),E621*INDEX(Config!$D$11:$D$20,MATCH(B621,Config!$A$11:$A$20,0)),"cadastro de custo incompleto em Config"),"pessoa sem custo-hora em Config"))</f>
        <v/>
      </c>
      <c r="G621" s="25">
        <f>IF(A621="","",MONTH(A621))</f>
        <v/>
      </c>
      <c r="H621" s="25">
        <f>IF(A621="","",YEAR(A621))</f>
        <v/>
      </c>
      <c r="I621" s="31" t="n"/>
      <c r="J621" s="36">
        <f>IF(AND(B621&lt;&gt;"",E621&lt;&gt;"",NOT(ISNUMBER(F621))),1,0)</f>
        <v>0</v>
      </c>
    </row>
    <row r="622">
      <c r="A622" s="34" t="n"/>
      <c r="B622" s="31" t="n"/>
      <c r="C622" s="31" t="n"/>
      <c r="D622" s="29" t="n"/>
      <c r="E622" s="35" t="n"/>
      <c r="F622" s="26">
        <f>IF(OR(B622="",E622=""),"",IFERROR(IF(ISNUMBER(INDEX(Config!$D$11:$D$20,MATCH(B622,Config!$A$11:$A$20,0))),E622*INDEX(Config!$D$11:$D$20,MATCH(B622,Config!$A$11:$A$20,0)),"cadastro de custo incompleto em Config"),"pessoa sem custo-hora em Config"))</f>
        <v/>
      </c>
      <c r="G622" s="25">
        <f>IF(A622="","",MONTH(A622))</f>
        <v/>
      </c>
      <c r="H622" s="25">
        <f>IF(A622="","",YEAR(A622))</f>
        <v/>
      </c>
      <c r="I622" s="31" t="n"/>
      <c r="J622" s="36">
        <f>IF(AND(B622&lt;&gt;"",E622&lt;&gt;"",NOT(ISNUMBER(F622))),1,0)</f>
        <v>0</v>
      </c>
    </row>
    <row r="623">
      <c r="A623" s="34" t="n"/>
      <c r="B623" s="31" t="n"/>
      <c r="C623" s="31" t="n"/>
      <c r="D623" s="29" t="n"/>
      <c r="E623" s="35" t="n"/>
      <c r="F623" s="26">
        <f>IF(OR(B623="",E623=""),"",IFERROR(IF(ISNUMBER(INDEX(Config!$D$11:$D$20,MATCH(B623,Config!$A$11:$A$20,0))),E623*INDEX(Config!$D$11:$D$20,MATCH(B623,Config!$A$11:$A$20,0)),"cadastro de custo incompleto em Config"),"pessoa sem custo-hora em Config"))</f>
        <v/>
      </c>
      <c r="G623" s="25">
        <f>IF(A623="","",MONTH(A623))</f>
        <v/>
      </c>
      <c r="H623" s="25">
        <f>IF(A623="","",YEAR(A623))</f>
        <v/>
      </c>
      <c r="I623" s="31" t="n"/>
      <c r="J623" s="36">
        <f>IF(AND(B623&lt;&gt;"",E623&lt;&gt;"",NOT(ISNUMBER(F623))),1,0)</f>
        <v>0</v>
      </c>
    </row>
    <row r="624">
      <c r="A624" s="34" t="n"/>
      <c r="B624" s="31" t="n"/>
      <c r="C624" s="31" t="n"/>
      <c r="D624" s="29" t="n"/>
      <c r="E624" s="35" t="n"/>
      <c r="F624" s="26">
        <f>IF(OR(B624="",E624=""),"",IFERROR(IF(ISNUMBER(INDEX(Config!$D$11:$D$20,MATCH(B624,Config!$A$11:$A$20,0))),E624*INDEX(Config!$D$11:$D$20,MATCH(B624,Config!$A$11:$A$20,0)),"cadastro de custo incompleto em Config"),"pessoa sem custo-hora em Config"))</f>
        <v/>
      </c>
      <c r="G624" s="25">
        <f>IF(A624="","",MONTH(A624))</f>
        <v/>
      </c>
      <c r="H624" s="25">
        <f>IF(A624="","",YEAR(A624))</f>
        <v/>
      </c>
      <c r="I624" s="31" t="n"/>
      <c r="J624" s="36">
        <f>IF(AND(B624&lt;&gt;"",E624&lt;&gt;"",NOT(ISNUMBER(F624))),1,0)</f>
        <v>0</v>
      </c>
    </row>
    <row r="625">
      <c r="A625" s="34" t="n"/>
      <c r="B625" s="31" t="n"/>
      <c r="C625" s="31" t="n"/>
      <c r="D625" s="29" t="n"/>
      <c r="E625" s="35" t="n"/>
      <c r="F625" s="26">
        <f>IF(OR(B625="",E625=""),"",IFERROR(IF(ISNUMBER(INDEX(Config!$D$11:$D$20,MATCH(B625,Config!$A$11:$A$20,0))),E625*INDEX(Config!$D$11:$D$20,MATCH(B625,Config!$A$11:$A$20,0)),"cadastro de custo incompleto em Config"),"pessoa sem custo-hora em Config"))</f>
        <v/>
      </c>
      <c r="G625" s="25">
        <f>IF(A625="","",MONTH(A625))</f>
        <v/>
      </c>
      <c r="H625" s="25">
        <f>IF(A625="","",YEAR(A625))</f>
        <v/>
      </c>
      <c r="I625" s="31" t="n"/>
      <c r="J625" s="36">
        <f>IF(AND(B625&lt;&gt;"",E625&lt;&gt;"",NOT(ISNUMBER(F625))),1,0)</f>
        <v>0</v>
      </c>
    </row>
    <row r="626">
      <c r="A626" s="34" t="n"/>
      <c r="B626" s="31" t="n"/>
      <c r="C626" s="31" t="n"/>
      <c r="D626" s="29" t="n"/>
      <c r="E626" s="35" t="n"/>
      <c r="F626" s="26">
        <f>IF(OR(B626="",E626=""),"",IFERROR(IF(ISNUMBER(INDEX(Config!$D$11:$D$20,MATCH(B626,Config!$A$11:$A$20,0))),E626*INDEX(Config!$D$11:$D$20,MATCH(B626,Config!$A$11:$A$20,0)),"cadastro de custo incompleto em Config"),"pessoa sem custo-hora em Config"))</f>
        <v/>
      </c>
      <c r="G626" s="25">
        <f>IF(A626="","",MONTH(A626))</f>
        <v/>
      </c>
      <c r="H626" s="25">
        <f>IF(A626="","",YEAR(A626))</f>
        <v/>
      </c>
      <c r="I626" s="31" t="n"/>
      <c r="J626" s="36">
        <f>IF(AND(B626&lt;&gt;"",E626&lt;&gt;"",NOT(ISNUMBER(F626))),1,0)</f>
        <v>0</v>
      </c>
    </row>
    <row r="627">
      <c r="A627" s="34" t="n"/>
      <c r="B627" s="31" t="n"/>
      <c r="C627" s="31" t="n"/>
      <c r="D627" s="29" t="n"/>
      <c r="E627" s="35" t="n"/>
      <c r="F627" s="26">
        <f>IF(OR(B627="",E627=""),"",IFERROR(IF(ISNUMBER(INDEX(Config!$D$11:$D$20,MATCH(B627,Config!$A$11:$A$20,0))),E627*INDEX(Config!$D$11:$D$20,MATCH(B627,Config!$A$11:$A$20,0)),"cadastro de custo incompleto em Config"),"pessoa sem custo-hora em Config"))</f>
        <v/>
      </c>
      <c r="G627" s="25">
        <f>IF(A627="","",MONTH(A627))</f>
        <v/>
      </c>
      <c r="H627" s="25">
        <f>IF(A627="","",YEAR(A627))</f>
        <v/>
      </c>
      <c r="I627" s="31" t="n"/>
      <c r="J627" s="36">
        <f>IF(AND(B627&lt;&gt;"",E627&lt;&gt;"",NOT(ISNUMBER(F627))),1,0)</f>
        <v>0</v>
      </c>
    </row>
    <row r="628">
      <c r="A628" s="34" t="n"/>
      <c r="B628" s="31" t="n"/>
      <c r="C628" s="31" t="n"/>
      <c r="D628" s="29" t="n"/>
      <c r="E628" s="35" t="n"/>
      <c r="F628" s="26">
        <f>IF(OR(B628="",E628=""),"",IFERROR(IF(ISNUMBER(INDEX(Config!$D$11:$D$20,MATCH(B628,Config!$A$11:$A$20,0))),E628*INDEX(Config!$D$11:$D$20,MATCH(B628,Config!$A$11:$A$20,0)),"cadastro de custo incompleto em Config"),"pessoa sem custo-hora em Config"))</f>
        <v/>
      </c>
      <c r="G628" s="25">
        <f>IF(A628="","",MONTH(A628))</f>
        <v/>
      </c>
      <c r="H628" s="25">
        <f>IF(A628="","",YEAR(A628))</f>
        <v/>
      </c>
      <c r="I628" s="31" t="n"/>
      <c r="J628" s="36">
        <f>IF(AND(B628&lt;&gt;"",E628&lt;&gt;"",NOT(ISNUMBER(F628))),1,0)</f>
        <v>0</v>
      </c>
    </row>
    <row r="629">
      <c r="A629" s="34" t="n"/>
      <c r="B629" s="31" t="n"/>
      <c r="C629" s="31" t="n"/>
      <c r="D629" s="29" t="n"/>
      <c r="E629" s="35" t="n"/>
      <c r="F629" s="26">
        <f>IF(OR(B629="",E629=""),"",IFERROR(IF(ISNUMBER(INDEX(Config!$D$11:$D$20,MATCH(B629,Config!$A$11:$A$20,0))),E629*INDEX(Config!$D$11:$D$20,MATCH(B629,Config!$A$11:$A$20,0)),"cadastro de custo incompleto em Config"),"pessoa sem custo-hora em Config"))</f>
        <v/>
      </c>
      <c r="G629" s="25">
        <f>IF(A629="","",MONTH(A629))</f>
        <v/>
      </c>
      <c r="H629" s="25">
        <f>IF(A629="","",YEAR(A629))</f>
        <v/>
      </c>
      <c r="I629" s="31" t="n"/>
      <c r="J629" s="36">
        <f>IF(AND(B629&lt;&gt;"",E629&lt;&gt;"",NOT(ISNUMBER(F629))),1,0)</f>
        <v>0</v>
      </c>
    </row>
    <row r="630">
      <c r="A630" s="34" t="n"/>
      <c r="B630" s="31" t="n"/>
      <c r="C630" s="31" t="n"/>
      <c r="D630" s="29" t="n"/>
      <c r="E630" s="35" t="n"/>
      <c r="F630" s="26">
        <f>IF(OR(B630="",E630=""),"",IFERROR(IF(ISNUMBER(INDEX(Config!$D$11:$D$20,MATCH(B630,Config!$A$11:$A$20,0))),E630*INDEX(Config!$D$11:$D$20,MATCH(B630,Config!$A$11:$A$20,0)),"cadastro de custo incompleto em Config"),"pessoa sem custo-hora em Config"))</f>
        <v/>
      </c>
      <c r="G630" s="25">
        <f>IF(A630="","",MONTH(A630))</f>
        <v/>
      </c>
      <c r="H630" s="25">
        <f>IF(A630="","",YEAR(A630))</f>
        <v/>
      </c>
      <c r="I630" s="31" t="n"/>
      <c r="J630" s="36">
        <f>IF(AND(B630&lt;&gt;"",E630&lt;&gt;"",NOT(ISNUMBER(F630))),1,0)</f>
        <v>0</v>
      </c>
    </row>
    <row r="631">
      <c r="A631" s="34" t="n"/>
      <c r="B631" s="31" t="n"/>
      <c r="C631" s="31" t="n"/>
      <c r="D631" s="29" t="n"/>
      <c r="E631" s="35" t="n"/>
      <c r="F631" s="26">
        <f>IF(OR(B631="",E631=""),"",IFERROR(IF(ISNUMBER(INDEX(Config!$D$11:$D$20,MATCH(B631,Config!$A$11:$A$20,0))),E631*INDEX(Config!$D$11:$D$20,MATCH(B631,Config!$A$11:$A$20,0)),"cadastro de custo incompleto em Config"),"pessoa sem custo-hora em Config"))</f>
        <v/>
      </c>
      <c r="G631" s="25">
        <f>IF(A631="","",MONTH(A631))</f>
        <v/>
      </c>
      <c r="H631" s="25">
        <f>IF(A631="","",YEAR(A631))</f>
        <v/>
      </c>
      <c r="I631" s="31" t="n"/>
      <c r="J631" s="36">
        <f>IF(AND(B631&lt;&gt;"",E631&lt;&gt;"",NOT(ISNUMBER(F631))),1,0)</f>
        <v>0</v>
      </c>
    </row>
    <row r="632">
      <c r="A632" s="34" t="n"/>
      <c r="B632" s="31" t="n"/>
      <c r="C632" s="31" t="n"/>
      <c r="D632" s="29" t="n"/>
      <c r="E632" s="35" t="n"/>
      <c r="F632" s="26">
        <f>IF(OR(B632="",E632=""),"",IFERROR(IF(ISNUMBER(INDEX(Config!$D$11:$D$20,MATCH(B632,Config!$A$11:$A$20,0))),E632*INDEX(Config!$D$11:$D$20,MATCH(B632,Config!$A$11:$A$20,0)),"cadastro de custo incompleto em Config"),"pessoa sem custo-hora em Config"))</f>
        <v/>
      </c>
      <c r="G632" s="25">
        <f>IF(A632="","",MONTH(A632))</f>
        <v/>
      </c>
      <c r="H632" s="25">
        <f>IF(A632="","",YEAR(A632))</f>
        <v/>
      </c>
      <c r="I632" s="31" t="n"/>
      <c r="J632" s="36">
        <f>IF(AND(B632&lt;&gt;"",E632&lt;&gt;"",NOT(ISNUMBER(F632))),1,0)</f>
        <v>0</v>
      </c>
    </row>
    <row r="633">
      <c r="A633" s="34" t="n"/>
      <c r="B633" s="31" t="n"/>
      <c r="C633" s="31" t="n"/>
      <c r="D633" s="29" t="n"/>
      <c r="E633" s="35" t="n"/>
      <c r="F633" s="26">
        <f>IF(OR(B633="",E633=""),"",IFERROR(IF(ISNUMBER(INDEX(Config!$D$11:$D$20,MATCH(B633,Config!$A$11:$A$20,0))),E633*INDEX(Config!$D$11:$D$20,MATCH(B633,Config!$A$11:$A$20,0)),"cadastro de custo incompleto em Config"),"pessoa sem custo-hora em Config"))</f>
        <v/>
      </c>
      <c r="G633" s="25">
        <f>IF(A633="","",MONTH(A633))</f>
        <v/>
      </c>
      <c r="H633" s="25">
        <f>IF(A633="","",YEAR(A633))</f>
        <v/>
      </c>
      <c r="I633" s="31" t="n"/>
      <c r="J633" s="36">
        <f>IF(AND(B633&lt;&gt;"",E633&lt;&gt;"",NOT(ISNUMBER(F633))),1,0)</f>
        <v>0</v>
      </c>
    </row>
    <row r="634">
      <c r="A634" s="34" t="n"/>
      <c r="B634" s="31" t="n"/>
      <c r="C634" s="31" t="n"/>
      <c r="D634" s="29" t="n"/>
      <c r="E634" s="35" t="n"/>
      <c r="F634" s="26">
        <f>IF(OR(B634="",E634=""),"",IFERROR(IF(ISNUMBER(INDEX(Config!$D$11:$D$20,MATCH(B634,Config!$A$11:$A$20,0))),E634*INDEX(Config!$D$11:$D$20,MATCH(B634,Config!$A$11:$A$20,0)),"cadastro de custo incompleto em Config"),"pessoa sem custo-hora em Config"))</f>
        <v/>
      </c>
      <c r="G634" s="25">
        <f>IF(A634="","",MONTH(A634))</f>
        <v/>
      </c>
      <c r="H634" s="25">
        <f>IF(A634="","",YEAR(A634))</f>
        <v/>
      </c>
      <c r="I634" s="31" t="n"/>
      <c r="J634" s="36">
        <f>IF(AND(B634&lt;&gt;"",E634&lt;&gt;"",NOT(ISNUMBER(F634))),1,0)</f>
        <v>0</v>
      </c>
    </row>
    <row r="635">
      <c r="A635" s="34" t="n"/>
      <c r="B635" s="31" t="n"/>
      <c r="C635" s="31" t="n"/>
      <c r="D635" s="29" t="n"/>
      <c r="E635" s="35" t="n"/>
      <c r="F635" s="26">
        <f>IF(OR(B635="",E635=""),"",IFERROR(IF(ISNUMBER(INDEX(Config!$D$11:$D$20,MATCH(B635,Config!$A$11:$A$20,0))),E635*INDEX(Config!$D$11:$D$20,MATCH(B635,Config!$A$11:$A$20,0)),"cadastro de custo incompleto em Config"),"pessoa sem custo-hora em Config"))</f>
        <v/>
      </c>
      <c r="G635" s="25">
        <f>IF(A635="","",MONTH(A635))</f>
        <v/>
      </c>
      <c r="H635" s="25">
        <f>IF(A635="","",YEAR(A635))</f>
        <v/>
      </c>
      <c r="I635" s="31" t="n"/>
      <c r="J635" s="36">
        <f>IF(AND(B635&lt;&gt;"",E635&lt;&gt;"",NOT(ISNUMBER(F635))),1,0)</f>
        <v>0</v>
      </c>
    </row>
    <row r="636">
      <c r="A636" s="34" t="n"/>
      <c r="B636" s="31" t="n"/>
      <c r="C636" s="31" t="n"/>
      <c r="D636" s="29" t="n"/>
      <c r="E636" s="35" t="n"/>
      <c r="F636" s="26">
        <f>IF(OR(B636="",E636=""),"",IFERROR(IF(ISNUMBER(INDEX(Config!$D$11:$D$20,MATCH(B636,Config!$A$11:$A$20,0))),E636*INDEX(Config!$D$11:$D$20,MATCH(B636,Config!$A$11:$A$20,0)),"cadastro de custo incompleto em Config"),"pessoa sem custo-hora em Config"))</f>
        <v/>
      </c>
      <c r="G636" s="25">
        <f>IF(A636="","",MONTH(A636))</f>
        <v/>
      </c>
      <c r="H636" s="25">
        <f>IF(A636="","",YEAR(A636))</f>
        <v/>
      </c>
      <c r="I636" s="31" t="n"/>
      <c r="J636" s="36">
        <f>IF(AND(B636&lt;&gt;"",E636&lt;&gt;"",NOT(ISNUMBER(F636))),1,0)</f>
        <v>0</v>
      </c>
    </row>
    <row r="637">
      <c r="A637" s="34" t="n"/>
      <c r="B637" s="31" t="n"/>
      <c r="C637" s="31" t="n"/>
      <c r="D637" s="29" t="n"/>
      <c r="E637" s="35" t="n"/>
      <c r="F637" s="26">
        <f>IF(OR(B637="",E637=""),"",IFERROR(IF(ISNUMBER(INDEX(Config!$D$11:$D$20,MATCH(B637,Config!$A$11:$A$20,0))),E637*INDEX(Config!$D$11:$D$20,MATCH(B637,Config!$A$11:$A$20,0)),"cadastro de custo incompleto em Config"),"pessoa sem custo-hora em Config"))</f>
        <v/>
      </c>
      <c r="G637" s="25">
        <f>IF(A637="","",MONTH(A637))</f>
        <v/>
      </c>
      <c r="H637" s="25">
        <f>IF(A637="","",YEAR(A637))</f>
        <v/>
      </c>
      <c r="I637" s="31" t="n"/>
      <c r="J637" s="36">
        <f>IF(AND(B637&lt;&gt;"",E637&lt;&gt;"",NOT(ISNUMBER(F637))),1,0)</f>
        <v>0</v>
      </c>
    </row>
    <row r="638">
      <c r="A638" s="34" t="n"/>
      <c r="B638" s="31" t="n"/>
      <c r="C638" s="31" t="n"/>
      <c r="D638" s="29" t="n"/>
      <c r="E638" s="35" t="n"/>
      <c r="F638" s="26">
        <f>IF(OR(B638="",E638=""),"",IFERROR(IF(ISNUMBER(INDEX(Config!$D$11:$D$20,MATCH(B638,Config!$A$11:$A$20,0))),E638*INDEX(Config!$D$11:$D$20,MATCH(B638,Config!$A$11:$A$20,0)),"cadastro de custo incompleto em Config"),"pessoa sem custo-hora em Config"))</f>
        <v/>
      </c>
      <c r="G638" s="25">
        <f>IF(A638="","",MONTH(A638))</f>
        <v/>
      </c>
      <c r="H638" s="25">
        <f>IF(A638="","",YEAR(A638))</f>
        <v/>
      </c>
      <c r="I638" s="31" t="n"/>
      <c r="J638" s="36">
        <f>IF(AND(B638&lt;&gt;"",E638&lt;&gt;"",NOT(ISNUMBER(F638))),1,0)</f>
        <v>0</v>
      </c>
    </row>
    <row r="639">
      <c r="A639" s="34" t="n"/>
      <c r="B639" s="31" t="n"/>
      <c r="C639" s="31" t="n"/>
      <c r="D639" s="29" t="n"/>
      <c r="E639" s="35" t="n"/>
      <c r="F639" s="26">
        <f>IF(OR(B639="",E639=""),"",IFERROR(IF(ISNUMBER(INDEX(Config!$D$11:$D$20,MATCH(B639,Config!$A$11:$A$20,0))),E639*INDEX(Config!$D$11:$D$20,MATCH(B639,Config!$A$11:$A$20,0)),"cadastro de custo incompleto em Config"),"pessoa sem custo-hora em Config"))</f>
        <v/>
      </c>
      <c r="G639" s="25">
        <f>IF(A639="","",MONTH(A639))</f>
        <v/>
      </c>
      <c r="H639" s="25">
        <f>IF(A639="","",YEAR(A639))</f>
        <v/>
      </c>
      <c r="I639" s="31" t="n"/>
      <c r="J639" s="36">
        <f>IF(AND(B639&lt;&gt;"",E639&lt;&gt;"",NOT(ISNUMBER(F639))),1,0)</f>
        <v>0</v>
      </c>
    </row>
    <row r="640">
      <c r="A640" s="34" t="n"/>
      <c r="B640" s="31" t="n"/>
      <c r="C640" s="31" t="n"/>
      <c r="D640" s="29" t="n"/>
      <c r="E640" s="35" t="n"/>
      <c r="F640" s="26">
        <f>IF(OR(B640="",E640=""),"",IFERROR(IF(ISNUMBER(INDEX(Config!$D$11:$D$20,MATCH(B640,Config!$A$11:$A$20,0))),E640*INDEX(Config!$D$11:$D$20,MATCH(B640,Config!$A$11:$A$20,0)),"cadastro de custo incompleto em Config"),"pessoa sem custo-hora em Config"))</f>
        <v/>
      </c>
      <c r="G640" s="25">
        <f>IF(A640="","",MONTH(A640))</f>
        <v/>
      </c>
      <c r="H640" s="25">
        <f>IF(A640="","",YEAR(A640))</f>
        <v/>
      </c>
      <c r="I640" s="31" t="n"/>
      <c r="J640" s="36">
        <f>IF(AND(B640&lt;&gt;"",E640&lt;&gt;"",NOT(ISNUMBER(F640))),1,0)</f>
        <v>0</v>
      </c>
    </row>
    <row r="641">
      <c r="A641" s="34" t="n"/>
      <c r="B641" s="31" t="n"/>
      <c r="C641" s="31" t="n"/>
      <c r="D641" s="29" t="n"/>
      <c r="E641" s="35" t="n"/>
      <c r="F641" s="26">
        <f>IF(OR(B641="",E641=""),"",IFERROR(IF(ISNUMBER(INDEX(Config!$D$11:$D$20,MATCH(B641,Config!$A$11:$A$20,0))),E641*INDEX(Config!$D$11:$D$20,MATCH(B641,Config!$A$11:$A$20,0)),"cadastro de custo incompleto em Config"),"pessoa sem custo-hora em Config"))</f>
        <v/>
      </c>
      <c r="G641" s="25">
        <f>IF(A641="","",MONTH(A641))</f>
        <v/>
      </c>
      <c r="H641" s="25">
        <f>IF(A641="","",YEAR(A641))</f>
        <v/>
      </c>
      <c r="I641" s="31" t="n"/>
      <c r="J641" s="36">
        <f>IF(AND(B641&lt;&gt;"",E641&lt;&gt;"",NOT(ISNUMBER(F641))),1,0)</f>
        <v>0</v>
      </c>
    </row>
    <row r="642">
      <c r="A642" s="34" t="n"/>
      <c r="B642" s="31" t="n"/>
      <c r="C642" s="31" t="n"/>
      <c r="D642" s="29" t="n"/>
      <c r="E642" s="35" t="n"/>
      <c r="F642" s="26">
        <f>IF(OR(B642="",E642=""),"",IFERROR(IF(ISNUMBER(INDEX(Config!$D$11:$D$20,MATCH(B642,Config!$A$11:$A$20,0))),E642*INDEX(Config!$D$11:$D$20,MATCH(B642,Config!$A$11:$A$20,0)),"cadastro de custo incompleto em Config"),"pessoa sem custo-hora em Config"))</f>
        <v/>
      </c>
      <c r="G642" s="25">
        <f>IF(A642="","",MONTH(A642))</f>
        <v/>
      </c>
      <c r="H642" s="25">
        <f>IF(A642="","",YEAR(A642))</f>
        <v/>
      </c>
      <c r="I642" s="31" t="n"/>
      <c r="J642" s="36">
        <f>IF(AND(B642&lt;&gt;"",E642&lt;&gt;"",NOT(ISNUMBER(F642))),1,0)</f>
        <v>0</v>
      </c>
    </row>
    <row r="643">
      <c r="A643" s="34" t="n"/>
      <c r="B643" s="31" t="n"/>
      <c r="C643" s="31" t="n"/>
      <c r="D643" s="29" t="n"/>
      <c r="E643" s="35" t="n"/>
      <c r="F643" s="26">
        <f>IF(OR(B643="",E643=""),"",IFERROR(IF(ISNUMBER(INDEX(Config!$D$11:$D$20,MATCH(B643,Config!$A$11:$A$20,0))),E643*INDEX(Config!$D$11:$D$20,MATCH(B643,Config!$A$11:$A$20,0)),"cadastro de custo incompleto em Config"),"pessoa sem custo-hora em Config"))</f>
        <v/>
      </c>
      <c r="G643" s="25">
        <f>IF(A643="","",MONTH(A643))</f>
        <v/>
      </c>
      <c r="H643" s="25">
        <f>IF(A643="","",YEAR(A643))</f>
        <v/>
      </c>
      <c r="I643" s="31" t="n"/>
      <c r="J643" s="36">
        <f>IF(AND(B643&lt;&gt;"",E643&lt;&gt;"",NOT(ISNUMBER(F643))),1,0)</f>
        <v>0</v>
      </c>
    </row>
    <row r="644">
      <c r="A644" s="34" t="n"/>
      <c r="B644" s="31" t="n"/>
      <c r="C644" s="31" t="n"/>
      <c r="D644" s="29" t="n"/>
      <c r="E644" s="35" t="n"/>
      <c r="F644" s="26">
        <f>IF(OR(B644="",E644=""),"",IFERROR(IF(ISNUMBER(INDEX(Config!$D$11:$D$20,MATCH(B644,Config!$A$11:$A$20,0))),E644*INDEX(Config!$D$11:$D$20,MATCH(B644,Config!$A$11:$A$20,0)),"cadastro de custo incompleto em Config"),"pessoa sem custo-hora em Config"))</f>
        <v/>
      </c>
      <c r="G644" s="25">
        <f>IF(A644="","",MONTH(A644))</f>
        <v/>
      </c>
      <c r="H644" s="25">
        <f>IF(A644="","",YEAR(A644))</f>
        <v/>
      </c>
      <c r="I644" s="31" t="n"/>
      <c r="J644" s="36">
        <f>IF(AND(B644&lt;&gt;"",E644&lt;&gt;"",NOT(ISNUMBER(F644))),1,0)</f>
        <v>0</v>
      </c>
    </row>
    <row r="645">
      <c r="A645" s="34" t="n"/>
      <c r="B645" s="31" t="n"/>
      <c r="C645" s="31" t="n"/>
      <c r="D645" s="29" t="n"/>
      <c r="E645" s="35" t="n"/>
      <c r="F645" s="26">
        <f>IF(OR(B645="",E645=""),"",IFERROR(IF(ISNUMBER(INDEX(Config!$D$11:$D$20,MATCH(B645,Config!$A$11:$A$20,0))),E645*INDEX(Config!$D$11:$D$20,MATCH(B645,Config!$A$11:$A$20,0)),"cadastro de custo incompleto em Config"),"pessoa sem custo-hora em Config"))</f>
        <v/>
      </c>
      <c r="G645" s="25">
        <f>IF(A645="","",MONTH(A645))</f>
        <v/>
      </c>
      <c r="H645" s="25">
        <f>IF(A645="","",YEAR(A645))</f>
        <v/>
      </c>
      <c r="I645" s="31" t="n"/>
      <c r="J645" s="36">
        <f>IF(AND(B645&lt;&gt;"",E645&lt;&gt;"",NOT(ISNUMBER(F645))),1,0)</f>
        <v>0</v>
      </c>
    </row>
    <row r="646">
      <c r="A646" s="34" t="n"/>
      <c r="B646" s="31" t="n"/>
      <c r="C646" s="31" t="n"/>
      <c r="D646" s="29" t="n"/>
      <c r="E646" s="35" t="n"/>
      <c r="F646" s="26">
        <f>IF(OR(B646="",E646=""),"",IFERROR(IF(ISNUMBER(INDEX(Config!$D$11:$D$20,MATCH(B646,Config!$A$11:$A$20,0))),E646*INDEX(Config!$D$11:$D$20,MATCH(B646,Config!$A$11:$A$20,0)),"cadastro de custo incompleto em Config"),"pessoa sem custo-hora em Config"))</f>
        <v/>
      </c>
      <c r="G646" s="25">
        <f>IF(A646="","",MONTH(A646))</f>
        <v/>
      </c>
      <c r="H646" s="25">
        <f>IF(A646="","",YEAR(A646))</f>
        <v/>
      </c>
      <c r="I646" s="31" t="n"/>
      <c r="J646" s="36">
        <f>IF(AND(B646&lt;&gt;"",E646&lt;&gt;"",NOT(ISNUMBER(F646))),1,0)</f>
        <v>0</v>
      </c>
    </row>
    <row r="647">
      <c r="A647" s="34" t="n"/>
      <c r="B647" s="31" t="n"/>
      <c r="C647" s="31" t="n"/>
      <c r="D647" s="29" t="n"/>
      <c r="E647" s="35" t="n"/>
      <c r="F647" s="26">
        <f>IF(OR(B647="",E647=""),"",IFERROR(IF(ISNUMBER(INDEX(Config!$D$11:$D$20,MATCH(B647,Config!$A$11:$A$20,0))),E647*INDEX(Config!$D$11:$D$20,MATCH(B647,Config!$A$11:$A$20,0)),"cadastro de custo incompleto em Config"),"pessoa sem custo-hora em Config"))</f>
        <v/>
      </c>
      <c r="G647" s="25">
        <f>IF(A647="","",MONTH(A647))</f>
        <v/>
      </c>
      <c r="H647" s="25">
        <f>IF(A647="","",YEAR(A647))</f>
        <v/>
      </c>
      <c r="I647" s="31" t="n"/>
      <c r="J647" s="36">
        <f>IF(AND(B647&lt;&gt;"",E647&lt;&gt;"",NOT(ISNUMBER(F647))),1,0)</f>
        <v>0</v>
      </c>
    </row>
    <row r="648">
      <c r="A648" s="34" t="n"/>
      <c r="B648" s="31" t="n"/>
      <c r="C648" s="31" t="n"/>
      <c r="D648" s="29" t="n"/>
      <c r="E648" s="35" t="n"/>
      <c r="F648" s="26">
        <f>IF(OR(B648="",E648=""),"",IFERROR(IF(ISNUMBER(INDEX(Config!$D$11:$D$20,MATCH(B648,Config!$A$11:$A$20,0))),E648*INDEX(Config!$D$11:$D$20,MATCH(B648,Config!$A$11:$A$20,0)),"cadastro de custo incompleto em Config"),"pessoa sem custo-hora em Config"))</f>
        <v/>
      </c>
      <c r="G648" s="25">
        <f>IF(A648="","",MONTH(A648))</f>
        <v/>
      </c>
      <c r="H648" s="25">
        <f>IF(A648="","",YEAR(A648))</f>
        <v/>
      </c>
      <c r="I648" s="31" t="n"/>
      <c r="J648" s="36">
        <f>IF(AND(B648&lt;&gt;"",E648&lt;&gt;"",NOT(ISNUMBER(F648))),1,0)</f>
        <v>0</v>
      </c>
    </row>
    <row r="649">
      <c r="A649" s="34" t="n"/>
      <c r="B649" s="31" t="n"/>
      <c r="C649" s="31" t="n"/>
      <c r="D649" s="29" t="n"/>
      <c r="E649" s="35" t="n"/>
      <c r="F649" s="26">
        <f>IF(OR(B649="",E649=""),"",IFERROR(IF(ISNUMBER(INDEX(Config!$D$11:$D$20,MATCH(B649,Config!$A$11:$A$20,0))),E649*INDEX(Config!$D$11:$D$20,MATCH(B649,Config!$A$11:$A$20,0)),"cadastro de custo incompleto em Config"),"pessoa sem custo-hora em Config"))</f>
        <v/>
      </c>
      <c r="G649" s="25">
        <f>IF(A649="","",MONTH(A649))</f>
        <v/>
      </c>
      <c r="H649" s="25">
        <f>IF(A649="","",YEAR(A649))</f>
        <v/>
      </c>
      <c r="I649" s="31" t="n"/>
      <c r="J649" s="36">
        <f>IF(AND(B649&lt;&gt;"",E649&lt;&gt;"",NOT(ISNUMBER(F649))),1,0)</f>
        <v>0</v>
      </c>
    </row>
    <row r="650">
      <c r="A650" s="34" t="n"/>
      <c r="B650" s="31" t="n"/>
      <c r="C650" s="31" t="n"/>
      <c r="D650" s="29" t="n"/>
      <c r="E650" s="35" t="n"/>
      <c r="F650" s="26">
        <f>IF(OR(B650="",E650=""),"",IFERROR(IF(ISNUMBER(INDEX(Config!$D$11:$D$20,MATCH(B650,Config!$A$11:$A$20,0))),E650*INDEX(Config!$D$11:$D$20,MATCH(B650,Config!$A$11:$A$20,0)),"cadastro de custo incompleto em Config"),"pessoa sem custo-hora em Config"))</f>
        <v/>
      </c>
      <c r="G650" s="25">
        <f>IF(A650="","",MONTH(A650))</f>
        <v/>
      </c>
      <c r="H650" s="25">
        <f>IF(A650="","",YEAR(A650))</f>
        <v/>
      </c>
      <c r="I650" s="31" t="n"/>
      <c r="J650" s="36">
        <f>IF(AND(B650&lt;&gt;"",E650&lt;&gt;"",NOT(ISNUMBER(F650))),1,0)</f>
        <v>0</v>
      </c>
    </row>
    <row r="651">
      <c r="A651" s="34" t="n"/>
      <c r="B651" s="31" t="n"/>
      <c r="C651" s="31" t="n"/>
      <c r="D651" s="29" t="n"/>
      <c r="E651" s="35" t="n"/>
      <c r="F651" s="26">
        <f>IF(OR(B651="",E651=""),"",IFERROR(IF(ISNUMBER(INDEX(Config!$D$11:$D$20,MATCH(B651,Config!$A$11:$A$20,0))),E651*INDEX(Config!$D$11:$D$20,MATCH(B651,Config!$A$11:$A$20,0)),"cadastro de custo incompleto em Config"),"pessoa sem custo-hora em Config"))</f>
        <v/>
      </c>
      <c r="G651" s="25">
        <f>IF(A651="","",MONTH(A651))</f>
        <v/>
      </c>
      <c r="H651" s="25">
        <f>IF(A651="","",YEAR(A651))</f>
        <v/>
      </c>
      <c r="I651" s="31" t="n"/>
      <c r="J651" s="36">
        <f>IF(AND(B651&lt;&gt;"",E651&lt;&gt;"",NOT(ISNUMBER(F651))),1,0)</f>
        <v>0</v>
      </c>
    </row>
    <row r="652">
      <c r="A652" s="34" t="n"/>
      <c r="B652" s="31" t="n"/>
      <c r="C652" s="31" t="n"/>
      <c r="D652" s="29" t="n"/>
      <c r="E652" s="35" t="n"/>
      <c r="F652" s="26">
        <f>IF(OR(B652="",E652=""),"",IFERROR(IF(ISNUMBER(INDEX(Config!$D$11:$D$20,MATCH(B652,Config!$A$11:$A$20,0))),E652*INDEX(Config!$D$11:$D$20,MATCH(B652,Config!$A$11:$A$20,0)),"cadastro de custo incompleto em Config"),"pessoa sem custo-hora em Config"))</f>
        <v/>
      </c>
      <c r="G652" s="25">
        <f>IF(A652="","",MONTH(A652))</f>
        <v/>
      </c>
      <c r="H652" s="25">
        <f>IF(A652="","",YEAR(A652))</f>
        <v/>
      </c>
      <c r="I652" s="31" t="n"/>
      <c r="J652" s="36">
        <f>IF(AND(B652&lt;&gt;"",E652&lt;&gt;"",NOT(ISNUMBER(F652))),1,0)</f>
        <v>0</v>
      </c>
    </row>
    <row r="653">
      <c r="A653" s="34" t="n"/>
      <c r="B653" s="31" t="n"/>
      <c r="C653" s="31" t="n"/>
      <c r="D653" s="29" t="n"/>
      <c r="E653" s="35" t="n"/>
      <c r="F653" s="26">
        <f>IF(OR(B653="",E653=""),"",IFERROR(IF(ISNUMBER(INDEX(Config!$D$11:$D$20,MATCH(B653,Config!$A$11:$A$20,0))),E653*INDEX(Config!$D$11:$D$20,MATCH(B653,Config!$A$11:$A$20,0)),"cadastro de custo incompleto em Config"),"pessoa sem custo-hora em Config"))</f>
        <v/>
      </c>
      <c r="G653" s="25">
        <f>IF(A653="","",MONTH(A653))</f>
        <v/>
      </c>
      <c r="H653" s="25">
        <f>IF(A653="","",YEAR(A653))</f>
        <v/>
      </c>
      <c r="I653" s="31" t="n"/>
      <c r="J653" s="36">
        <f>IF(AND(B653&lt;&gt;"",E653&lt;&gt;"",NOT(ISNUMBER(F653))),1,0)</f>
        <v>0</v>
      </c>
    </row>
    <row r="654">
      <c r="A654" s="34" t="n"/>
      <c r="B654" s="31" t="n"/>
      <c r="C654" s="31" t="n"/>
      <c r="D654" s="29" t="n"/>
      <c r="E654" s="35" t="n"/>
      <c r="F654" s="26">
        <f>IF(OR(B654="",E654=""),"",IFERROR(IF(ISNUMBER(INDEX(Config!$D$11:$D$20,MATCH(B654,Config!$A$11:$A$20,0))),E654*INDEX(Config!$D$11:$D$20,MATCH(B654,Config!$A$11:$A$20,0)),"cadastro de custo incompleto em Config"),"pessoa sem custo-hora em Config"))</f>
        <v/>
      </c>
      <c r="G654" s="25">
        <f>IF(A654="","",MONTH(A654))</f>
        <v/>
      </c>
      <c r="H654" s="25">
        <f>IF(A654="","",YEAR(A654))</f>
        <v/>
      </c>
      <c r="I654" s="31" t="n"/>
      <c r="J654" s="36">
        <f>IF(AND(B654&lt;&gt;"",E654&lt;&gt;"",NOT(ISNUMBER(F654))),1,0)</f>
        <v>0</v>
      </c>
    </row>
    <row r="655">
      <c r="A655" s="34" t="n"/>
      <c r="B655" s="31" t="n"/>
      <c r="C655" s="31" t="n"/>
      <c r="D655" s="29" t="n"/>
      <c r="E655" s="35" t="n"/>
      <c r="F655" s="26">
        <f>IF(OR(B655="",E655=""),"",IFERROR(IF(ISNUMBER(INDEX(Config!$D$11:$D$20,MATCH(B655,Config!$A$11:$A$20,0))),E655*INDEX(Config!$D$11:$D$20,MATCH(B655,Config!$A$11:$A$20,0)),"cadastro de custo incompleto em Config"),"pessoa sem custo-hora em Config"))</f>
        <v/>
      </c>
      <c r="G655" s="25">
        <f>IF(A655="","",MONTH(A655))</f>
        <v/>
      </c>
      <c r="H655" s="25">
        <f>IF(A655="","",YEAR(A655))</f>
        <v/>
      </c>
      <c r="I655" s="31" t="n"/>
      <c r="J655" s="36">
        <f>IF(AND(B655&lt;&gt;"",E655&lt;&gt;"",NOT(ISNUMBER(F655))),1,0)</f>
        <v>0</v>
      </c>
    </row>
    <row r="656">
      <c r="A656" s="34" t="n"/>
      <c r="B656" s="31" t="n"/>
      <c r="C656" s="31" t="n"/>
      <c r="D656" s="29" t="n"/>
      <c r="E656" s="35" t="n"/>
      <c r="F656" s="26">
        <f>IF(OR(B656="",E656=""),"",IFERROR(IF(ISNUMBER(INDEX(Config!$D$11:$D$20,MATCH(B656,Config!$A$11:$A$20,0))),E656*INDEX(Config!$D$11:$D$20,MATCH(B656,Config!$A$11:$A$20,0)),"cadastro de custo incompleto em Config"),"pessoa sem custo-hora em Config"))</f>
        <v/>
      </c>
      <c r="G656" s="25">
        <f>IF(A656="","",MONTH(A656))</f>
        <v/>
      </c>
      <c r="H656" s="25">
        <f>IF(A656="","",YEAR(A656))</f>
        <v/>
      </c>
      <c r="I656" s="31" t="n"/>
      <c r="J656" s="36">
        <f>IF(AND(B656&lt;&gt;"",E656&lt;&gt;"",NOT(ISNUMBER(F656))),1,0)</f>
        <v>0</v>
      </c>
    </row>
    <row r="657">
      <c r="A657" s="34" t="n"/>
      <c r="B657" s="31" t="n"/>
      <c r="C657" s="31" t="n"/>
      <c r="D657" s="29" t="n"/>
      <c r="E657" s="35" t="n"/>
      <c r="F657" s="26">
        <f>IF(OR(B657="",E657=""),"",IFERROR(IF(ISNUMBER(INDEX(Config!$D$11:$D$20,MATCH(B657,Config!$A$11:$A$20,0))),E657*INDEX(Config!$D$11:$D$20,MATCH(B657,Config!$A$11:$A$20,0)),"cadastro de custo incompleto em Config"),"pessoa sem custo-hora em Config"))</f>
        <v/>
      </c>
      <c r="G657" s="25">
        <f>IF(A657="","",MONTH(A657))</f>
        <v/>
      </c>
      <c r="H657" s="25">
        <f>IF(A657="","",YEAR(A657))</f>
        <v/>
      </c>
      <c r="I657" s="31" t="n"/>
      <c r="J657" s="36">
        <f>IF(AND(B657&lt;&gt;"",E657&lt;&gt;"",NOT(ISNUMBER(F657))),1,0)</f>
        <v>0</v>
      </c>
    </row>
    <row r="658">
      <c r="A658" s="34" t="n"/>
      <c r="B658" s="31" t="n"/>
      <c r="C658" s="31" t="n"/>
      <c r="D658" s="29" t="n"/>
      <c r="E658" s="35" t="n"/>
      <c r="F658" s="26">
        <f>IF(OR(B658="",E658=""),"",IFERROR(IF(ISNUMBER(INDEX(Config!$D$11:$D$20,MATCH(B658,Config!$A$11:$A$20,0))),E658*INDEX(Config!$D$11:$D$20,MATCH(B658,Config!$A$11:$A$20,0)),"cadastro de custo incompleto em Config"),"pessoa sem custo-hora em Config"))</f>
        <v/>
      </c>
      <c r="G658" s="25">
        <f>IF(A658="","",MONTH(A658))</f>
        <v/>
      </c>
      <c r="H658" s="25">
        <f>IF(A658="","",YEAR(A658))</f>
        <v/>
      </c>
      <c r="I658" s="31" t="n"/>
      <c r="J658" s="36">
        <f>IF(AND(B658&lt;&gt;"",E658&lt;&gt;"",NOT(ISNUMBER(F658))),1,0)</f>
        <v>0</v>
      </c>
    </row>
    <row r="659">
      <c r="A659" s="34" t="n"/>
      <c r="B659" s="31" t="n"/>
      <c r="C659" s="31" t="n"/>
      <c r="D659" s="29" t="n"/>
      <c r="E659" s="35" t="n"/>
      <c r="F659" s="26">
        <f>IF(OR(B659="",E659=""),"",IFERROR(IF(ISNUMBER(INDEX(Config!$D$11:$D$20,MATCH(B659,Config!$A$11:$A$20,0))),E659*INDEX(Config!$D$11:$D$20,MATCH(B659,Config!$A$11:$A$20,0)),"cadastro de custo incompleto em Config"),"pessoa sem custo-hora em Config"))</f>
        <v/>
      </c>
      <c r="G659" s="25">
        <f>IF(A659="","",MONTH(A659))</f>
        <v/>
      </c>
      <c r="H659" s="25">
        <f>IF(A659="","",YEAR(A659))</f>
        <v/>
      </c>
      <c r="I659" s="31" t="n"/>
      <c r="J659" s="36">
        <f>IF(AND(B659&lt;&gt;"",E659&lt;&gt;"",NOT(ISNUMBER(F659))),1,0)</f>
        <v>0</v>
      </c>
    </row>
    <row r="660">
      <c r="A660" s="34" t="n"/>
      <c r="B660" s="31" t="n"/>
      <c r="C660" s="31" t="n"/>
      <c r="D660" s="29" t="n"/>
      <c r="E660" s="35" t="n"/>
      <c r="F660" s="26">
        <f>IF(OR(B660="",E660=""),"",IFERROR(IF(ISNUMBER(INDEX(Config!$D$11:$D$20,MATCH(B660,Config!$A$11:$A$20,0))),E660*INDEX(Config!$D$11:$D$20,MATCH(B660,Config!$A$11:$A$20,0)),"cadastro de custo incompleto em Config"),"pessoa sem custo-hora em Config"))</f>
        <v/>
      </c>
      <c r="G660" s="25">
        <f>IF(A660="","",MONTH(A660))</f>
        <v/>
      </c>
      <c r="H660" s="25">
        <f>IF(A660="","",YEAR(A660))</f>
        <v/>
      </c>
      <c r="I660" s="31" t="n"/>
      <c r="J660" s="36">
        <f>IF(AND(B660&lt;&gt;"",E660&lt;&gt;"",NOT(ISNUMBER(F660))),1,0)</f>
        <v>0</v>
      </c>
    </row>
    <row r="661">
      <c r="A661" s="34" t="n"/>
      <c r="B661" s="31" t="n"/>
      <c r="C661" s="31" t="n"/>
      <c r="D661" s="29" t="n"/>
      <c r="E661" s="35" t="n"/>
      <c r="F661" s="26">
        <f>IF(OR(B661="",E661=""),"",IFERROR(IF(ISNUMBER(INDEX(Config!$D$11:$D$20,MATCH(B661,Config!$A$11:$A$20,0))),E661*INDEX(Config!$D$11:$D$20,MATCH(B661,Config!$A$11:$A$20,0)),"cadastro de custo incompleto em Config"),"pessoa sem custo-hora em Config"))</f>
        <v/>
      </c>
      <c r="G661" s="25">
        <f>IF(A661="","",MONTH(A661))</f>
        <v/>
      </c>
      <c r="H661" s="25">
        <f>IF(A661="","",YEAR(A661))</f>
        <v/>
      </c>
      <c r="I661" s="31" t="n"/>
      <c r="J661" s="36">
        <f>IF(AND(B661&lt;&gt;"",E661&lt;&gt;"",NOT(ISNUMBER(F661))),1,0)</f>
        <v>0</v>
      </c>
    </row>
    <row r="662">
      <c r="A662" s="34" t="n"/>
      <c r="B662" s="31" t="n"/>
      <c r="C662" s="31" t="n"/>
      <c r="D662" s="29" t="n"/>
      <c r="E662" s="35" t="n"/>
      <c r="F662" s="26">
        <f>IF(OR(B662="",E662=""),"",IFERROR(IF(ISNUMBER(INDEX(Config!$D$11:$D$20,MATCH(B662,Config!$A$11:$A$20,0))),E662*INDEX(Config!$D$11:$D$20,MATCH(B662,Config!$A$11:$A$20,0)),"cadastro de custo incompleto em Config"),"pessoa sem custo-hora em Config"))</f>
        <v/>
      </c>
      <c r="G662" s="25">
        <f>IF(A662="","",MONTH(A662))</f>
        <v/>
      </c>
      <c r="H662" s="25">
        <f>IF(A662="","",YEAR(A662))</f>
        <v/>
      </c>
      <c r="I662" s="31" t="n"/>
      <c r="J662" s="36">
        <f>IF(AND(B662&lt;&gt;"",E662&lt;&gt;"",NOT(ISNUMBER(F662))),1,0)</f>
        <v>0</v>
      </c>
    </row>
    <row r="663">
      <c r="A663" s="34" t="n"/>
      <c r="B663" s="31" t="n"/>
      <c r="C663" s="31" t="n"/>
      <c r="D663" s="29" t="n"/>
      <c r="E663" s="35" t="n"/>
      <c r="F663" s="26">
        <f>IF(OR(B663="",E663=""),"",IFERROR(IF(ISNUMBER(INDEX(Config!$D$11:$D$20,MATCH(B663,Config!$A$11:$A$20,0))),E663*INDEX(Config!$D$11:$D$20,MATCH(B663,Config!$A$11:$A$20,0)),"cadastro de custo incompleto em Config"),"pessoa sem custo-hora em Config"))</f>
        <v/>
      </c>
      <c r="G663" s="25">
        <f>IF(A663="","",MONTH(A663))</f>
        <v/>
      </c>
      <c r="H663" s="25">
        <f>IF(A663="","",YEAR(A663))</f>
        <v/>
      </c>
      <c r="I663" s="31" t="n"/>
      <c r="J663" s="36">
        <f>IF(AND(B663&lt;&gt;"",E663&lt;&gt;"",NOT(ISNUMBER(F663))),1,0)</f>
        <v>0</v>
      </c>
    </row>
    <row r="664">
      <c r="A664" s="34" t="n"/>
      <c r="B664" s="31" t="n"/>
      <c r="C664" s="31" t="n"/>
      <c r="D664" s="29" t="n"/>
      <c r="E664" s="35" t="n"/>
      <c r="F664" s="26">
        <f>IF(OR(B664="",E664=""),"",IFERROR(IF(ISNUMBER(INDEX(Config!$D$11:$D$20,MATCH(B664,Config!$A$11:$A$20,0))),E664*INDEX(Config!$D$11:$D$20,MATCH(B664,Config!$A$11:$A$20,0)),"cadastro de custo incompleto em Config"),"pessoa sem custo-hora em Config"))</f>
        <v/>
      </c>
      <c r="G664" s="25">
        <f>IF(A664="","",MONTH(A664))</f>
        <v/>
      </c>
      <c r="H664" s="25">
        <f>IF(A664="","",YEAR(A664))</f>
        <v/>
      </c>
      <c r="I664" s="31" t="n"/>
      <c r="J664" s="36">
        <f>IF(AND(B664&lt;&gt;"",E664&lt;&gt;"",NOT(ISNUMBER(F664))),1,0)</f>
        <v>0</v>
      </c>
    </row>
    <row r="665">
      <c r="A665" s="34" t="n"/>
      <c r="B665" s="31" t="n"/>
      <c r="C665" s="31" t="n"/>
      <c r="D665" s="29" t="n"/>
      <c r="E665" s="35" t="n"/>
      <c r="F665" s="26">
        <f>IF(OR(B665="",E665=""),"",IFERROR(IF(ISNUMBER(INDEX(Config!$D$11:$D$20,MATCH(B665,Config!$A$11:$A$20,0))),E665*INDEX(Config!$D$11:$D$20,MATCH(B665,Config!$A$11:$A$20,0)),"cadastro de custo incompleto em Config"),"pessoa sem custo-hora em Config"))</f>
        <v/>
      </c>
      <c r="G665" s="25">
        <f>IF(A665="","",MONTH(A665))</f>
        <v/>
      </c>
      <c r="H665" s="25">
        <f>IF(A665="","",YEAR(A665))</f>
        <v/>
      </c>
      <c r="I665" s="31" t="n"/>
      <c r="J665" s="36">
        <f>IF(AND(B665&lt;&gt;"",E665&lt;&gt;"",NOT(ISNUMBER(F665))),1,0)</f>
        <v>0</v>
      </c>
    </row>
    <row r="666">
      <c r="A666" s="34" t="n"/>
      <c r="B666" s="31" t="n"/>
      <c r="C666" s="31" t="n"/>
      <c r="D666" s="29" t="n"/>
      <c r="E666" s="35" t="n"/>
      <c r="F666" s="26">
        <f>IF(OR(B666="",E666=""),"",IFERROR(IF(ISNUMBER(INDEX(Config!$D$11:$D$20,MATCH(B666,Config!$A$11:$A$20,0))),E666*INDEX(Config!$D$11:$D$20,MATCH(B666,Config!$A$11:$A$20,0)),"cadastro de custo incompleto em Config"),"pessoa sem custo-hora em Config"))</f>
        <v/>
      </c>
      <c r="G666" s="25">
        <f>IF(A666="","",MONTH(A666))</f>
        <v/>
      </c>
      <c r="H666" s="25">
        <f>IF(A666="","",YEAR(A666))</f>
        <v/>
      </c>
      <c r="I666" s="31" t="n"/>
      <c r="J666" s="36">
        <f>IF(AND(B666&lt;&gt;"",E666&lt;&gt;"",NOT(ISNUMBER(F666))),1,0)</f>
        <v>0</v>
      </c>
    </row>
    <row r="667">
      <c r="A667" s="34" t="n"/>
      <c r="B667" s="31" t="n"/>
      <c r="C667" s="31" t="n"/>
      <c r="D667" s="29" t="n"/>
      <c r="E667" s="35" t="n"/>
      <c r="F667" s="26">
        <f>IF(OR(B667="",E667=""),"",IFERROR(IF(ISNUMBER(INDEX(Config!$D$11:$D$20,MATCH(B667,Config!$A$11:$A$20,0))),E667*INDEX(Config!$D$11:$D$20,MATCH(B667,Config!$A$11:$A$20,0)),"cadastro de custo incompleto em Config"),"pessoa sem custo-hora em Config"))</f>
        <v/>
      </c>
      <c r="G667" s="25">
        <f>IF(A667="","",MONTH(A667))</f>
        <v/>
      </c>
      <c r="H667" s="25">
        <f>IF(A667="","",YEAR(A667))</f>
        <v/>
      </c>
      <c r="I667" s="31" t="n"/>
      <c r="J667" s="36">
        <f>IF(AND(B667&lt;&gt;"",E667&lt;&gt;"",NOT(ISNUMBER(F667))),1,0)</f>
        <v>0</v>
      </c>
    </row>
    <row r="668">
      <c r="A668" s="34" t="n"/>
      <c r="B668" s="31" t="n"/>
      <c r="C668" s="31" t="n"/>
      <c r="D668" s="29" t="n"/>
      <c r="E668" s="35" t="n"/>
      <c r="F668" s="26">
        <f>IF(OR(B668="",E668=""),"",IFERROR(IF(ISNUMBER(INDEX(Config!$D$11:$D$20,MATCH(B668,Config!$A$11:$A$20,0))),E668*INDEX(Config!$D$11:$D$20,MATCH(B668,Config!$A$11:$A$20,0)),"cadastro de custo incompleto em Config"),"pessoa sem custo-hora em Config"))</f>
        <v/>
      </c>
      <c r="G668" s="25">
        <f>IF(A668="","",MONTH(A668))</f>
        <v/>
      </c>
      <c r="H668" s="25">
        <f>IF(A668="","",YEAR(A668))</f>
        <v/>
      </c>
      <c r="I668" s="31" t="n"/>
      <c r="J668" s="36">
        <f>IF(AND(B668&lt;&gt;"",E668&lt;&gt;"",NOT(ISNUMBER(F668))),1,0)</f>
        <v>0</v>
      </c>
    </row>
    <row r="669">
      <c r="A669" s="34" t="n"/>
      <c r="B669" s="31" t="n"/>
      <c r="C669" s="31" t="n"/>
      <c r="D669" s="29" t="n"/>
      <c r="E669" s="35" t="n"/>
      <c r="F669" s="26">
        <f>IF(OR(B669="",E669=""),"",IFERROR(IF(ISNUMBER(INDEX(Config!$D$11:$D$20,MATCH(B669,Config!$A$11:$A$20,0))),E669*INDEX(Config!$D$11:$D$20,MATCH(B669,Config!$A$11:$A$20,0)),"cadastro de custo incompleto em Config"),"pessoa sem custo-hora em Config"))</f>
        <v/>
      </c>
      <c r="G669" s="25">
        <f>IF(A669="","",MONTH(A669))</f>
        <v/>
      </c>
      <c r="H669" s="25">
        <f>IF(A669="","",YEAR(A669))</f>
        <v/>
      </c>
      <c r="I669" s="31" t="n"/>
      <c r="J669" s="36">
        <f>IF(AND(B669&lt;&gt;"",E669&lt;&gt;"",NOT(ISNUMBER(F669))),1,0)</f>
        <v>0</v>
      </c>
    </row>
    <row r="670">
      <c r="A670" s="34" t="n"/>
      <c r="B670" s="31" t="n"/>
      <c r="C670" s="31" t="n"/>
      <c r="D670" s="29" t="n"/>
      <c r="E670" s="35" t="n"/>
      <c r="F670" s="26">
        <f>IF(OR(B670="",E670=""),"",IFERROR(IF(ISNUMBER(INDEX(Config!$D$11:$D$20,MATCH(B670,Config!$A$11:$A$20,0))),E670*INDEX(Config!$D$11:$D$20,MATCH(B670,Config!$A$11:$A$20,0)),"cadastro de custo incompleto em Config"),"pessoa sem custo-hora em Config"))</f>
        <v/>
      </c>
      <c r="G670" s="25">
        <f>IF(A670="","",MONTH(A670))</f>
        <v/>
      </c>
      <c r="H670" s="25">
        <f>IF(A670="","",YEAR(A670))</f>
        <v/>
      </c>
      <c r="I670" s="31" t="n"/>
      <c r="J670" s="36">
        <f>IF(AND(B670&lt;&gt;"",E670&lt;&gt;"",NOT(ISNUMBER(F670))),1,0)</f>
        <v>0</v>
      </c>
    </row>
    <row r="671">
      <c r="A671" s="34" t="n"/>
      <c r="B671" s="31" t="n"/>
      <c r="C671" s="31" t="n"/>
      <c r="D671" s="29" t="n"/>
      <c r="E671" s="35" t="n"/>
      <c r="F671" s="26">
        <f>IF(OR(B671="",E671=""),"",IFERROR(IF(ISNUMBER(INDEX(Config!$D$11:$D$20,MATCH(B671,Config!$A$11:$A$20,0))),E671*INDEX(Config!$D$11:$D$20,MATCH(B671,Config!$A$11:$A$20,0)),"cadastro de custo incompleto em Config"),"pessoa sem custo-hora em Config"))</f>
        <v/>
      </c>
      <c r="G671" s="25">
        <f>IF(A671="","",MONTH(A671))</f>
        <v/>
      </c>
      <c r="H671" s="25">
        <f>IF(A671="","",YEAR(A671))</f>
        <v/>
      </c>
      <c r="I671" s="31" t="n"/>
      <c r="J671" s="36">
        <f>IF(AND(B671&lt;&gt;"",E671&lt;&gt;"",NOT(ISNUMBER(F671))),1,0)</f>
        <v>0</v>
      </c>
    </row>
    <row r="672">
      <c r="A672" s="34" t="n"/>
      <c r="B672" s="31" t="n"/>
      <c r="C672" s="31" t="n"/>
      <c r="D672" s="29" t="n"/>
      <c r="E672" s="35" t="n"/>
      <c r="F672" s="26">
        <f>IF(OR(B672="",E672=""),"",IFERROR(IF(ISNUMBER(INDEX(Config!$D$11:$D$20,MATCH(B672,Config!$A$11:$A$20,0))),E672*INDEX(Config!$D$11:$D$20,MATCH(B672,Config!$A$11:$A$20,0)),"cadastro de custo incompleto em Config"),"pessoa sem custo-hora em Config"))</f>
        <v/>
      </c>
      <c r="G672" s="25">
        <f>IF(A672="","",MONTH(A672))</f>
        <v/>
      </c>
      <c r="H672" s="25">
        <f>IF(A672="","",YEAR(A672))</f>
        <v/>
      </c>
      <c r="I672" s="31" t="n"/>
      <c r="J672" s="36">
        <f>IF(AND(B672&lt;&gt;"",E672&lt;&gt;"",NOT(ISNUMBER(F672))),1,0)</f>
        <v>0</v>
      </c>
    </row>
    <row r="673">
      <c r="A673" s="34" t="n"/>
      <c r="B673" s="31" t="n"/>
      <c r="C673" s="31" t="n"/>
      <c r="D673" s="29" t="n"/>
      <c r="E673" s="35" t="n"/>
      <c r="F673" s="26">
        <f>IF(OR(B673="",E673=""),"",IFERROR(IF(ISNUMBER(INDEX(Config!$D$11:$D$20,MATCH(B673,Config!$A$11:$A$20,0))),E673*INDEX(Config!$D$11:$D$20,MATCH(B673,Config!$A$11:$A$20,0)),"cadastro de custo incompleto em Config"),"pessoa sem custo-hora em Config"))</f>
        <v/>
      </c>
      <c r="G673" s="25">
        <f>IF(A673="","",MONTH(A673))</f>
        <v/>
      </c>
      <c r="H673" s="25">
        <f>IF(A673="","",YEAR(A673))</f>
        <v/>
      </c>
      <c r="I673" s="31" t="n"/>
      <c r="J673" s="36">
        <f>IF(AND(B673&lt;&gt;"",E673&lt;&gt;"",NOT(ISNUMBER(F673))),1,0)</f>
        <v>0</v>
      </c>
    </row>
    <row r="674">
      <c r="A674" s="34" t="n"/>
      <c r="B674" s="31" t="n"/>
      <c r="C674" s="31" t="n"/>
      <c r="D674" s="29" t="n"/>
      <c r="E674" s="35" t="n"/>
      <c r="F674" s="26">
        <f>IF(OR(B674="",E674=""),"",IFERROR(IF(ISNUMBER(INDEX(Config!$D$11:$D$20,MATCH(B674,Config!$A$11:$A$20,0))),E674*INDEX(Config!$D$11:$D$20,MATCH(B674,Config!$A$11:$A$20,0)),"cadastro de custo incompleto em Config"),"pessoa sem custo-hora em Config"))</f>
        <v/>
      </c>
      <c r="G674" s="25">
        <f>IF(A674="","",MONTH(A674))</f>
        <v/>
      </c>
      <c r="H674" s="25">
        <f>IF(A674="","",YEAR(A674))</f>
        <v/>
      </c>
      <c r="I674" s="31" t="n"/>
      <c r="J674" s="36">
        <f>IF(AND(B674&lt;&gt;"",E674&lt;&gt;"",NOT(ISNUMBER(F674))),1,0)</f>
        <v>0</v>
      </c>
    </row>
    <row r="675">
      <c r="A675" s="34" t="n"/>
      <c r="B675" s="31" t="n"/>
      <c r="C675" s="31" t="n"/>
      <c r="D675" s="29" t="n"/>
      <c r="E675" s="35" t="n"/>
      <c r="F675" s="26">
        <f>IF(OR(B675="",E675=""),"",IFERROR(IF(ISNUMBER(INDEX(Config!$D$11:$D$20,MATCH(B675,Config!$A$11:$A$20,0))),E675*INDEX(Config!$D$11:$D$20,MATCH(B675,Config!$A$11:$A$20,0)),"cadastro de custo incompleto em Config"),"pessoa sem custo-hora em Config"))</f>
        <v/>
      </c>
      <c r="G675" s="25">
        <f>IF(A675="","",MONTH(A675))</f>
        <v/>
      </c>
      <c r="H675" s="25">
        <f>IF(A675="","",YEAR(A675))</f>
        <v/>
      </c>
      <c r="I675" s="31" t="n"/>
      <c r="J675" s="36">
        <f>IF(AND(B675&lt;&gt;"",E675&lt;&gt;"",NOT(ISNUMBER(F675))),1,0)</f>
        <v>0</v>
      </c>
    </row>
    <row r="676">
      <c r="A676" s="34" t="n"/>
      <c r="B676" s="31" t="n"/>
      <c r="C676" s="31" t="n"/>
      <c r="D676" s="29" t="n"/>
      <c r="E676" s="35" t="n"/>
      <c r="F676" s="26">
        <f>IF(OR(B676="",E676=""),"",IFERROR(IF(ISNUMBER(INDEX(Config!$D$11:$D$20,MATCH(B676,Config!$A$11:$A$20,0))),E676*INDEX(Config!$D$11:$D$20,MATCH(B676,Config!$A$11:$A$20,0)),"cadastro de custo incompleto em Config"),"pessoa sem custo-hora em Config"))</f>
        <v/>
      </c>
      <c r="G676" s="25">
        <f>IF(A676="","",MONTH(A676))</f>
        <v/>
      </c>
      <c r="H676" s="25">
        <f>IF(A676="","",YEAR(A676))</f>
        <v/>
      </c>
      <c r="I676" s="31" t="n"/>
      <c r="J676" s="36">
        <f>IF(AND(B676&lt;&gt;"",E676&lt;&gt;"",NOT(ISNUMBER(F676))),1,0)</f>
        <v>0</v>
      </c>
    </row>
    <row r="677">
      <c r="A677" s="34" t="n"/>
      <c r="B677" s="31" t="n"/>
      <c r="C677" s="31" t="n"/>
      <c r="D677" s="29" t="n"/>
      <c r="E677" s="35" t="n"/>
      <c r="F677" s="26">
        <f>IF(OR(B677="",E677=""),"",IFERROR(IF(ISNUMBER(INDEX(Config!$D$11:$D$20,MATCH(B677,Config!$A$11:$A$20,0))),E677*INDEX(Config!$D$11:$D$20,MATCH(B677,Config!$A$11:$A$20,0)),"cadastro de custo incompleto em Config"),"pessoa sem custo-hora em Config"))</f>
        <v/>
      </c>
      <c r="G677" s="25">
        <f>IF(A677="","",MONTH(A677))</f>
        <v/>
      </c>
      <c r="H677" s="25">
        <f>IF(A677="","",YEAR(A677))</f>
        <v/>
      </c>
      <c r="I677" s="31" t="n"/>
      <c r="J677" s="36">
        <f>IF(AND(B677&lt;&gt;"",E677&lt;&gt;"",NOT(ISNUMBER(F677))),1,0)</f>
        <v>0</v>
      </c>
    </row>
    <row r="678">
      <c r="A678" s="34" t="n"/>
      <c r="B678" s="31" t="n"/>
      <c r="C678" s="31" t="n"/>
      <c r="D678" s="29" t="n"/>
      <c r="E678" s="35" t="n"/>
      <c r="F678" s="26">
        <f>IF(OR(B678="",E678=""),"",IFERROR(IF(ISNUMBER(INDEX(Config!$D$11:$D$20,MATCH(B678,Config!$A$11:$A$20,0))),E678*INDEX(Config!$D$11:$D$20,MATCH(B678,Config!$A$11:$A$20,0)),"cadastro de custo incompleto em Config"),"pessoa sem custo-hora em Config"))</f>
        <v/>
      </c>
      <c r="G678" s="25">
        <f>IF(A678="","",MONTH(A678))</f>
        <v/>
      </c>
      <c r="H678" s="25">
        <f>IF(A678="","",YEAR(A678))</f>
        <v/>
      </c>
      <c r="I678" s="31" t="n"/>
      <c r="J678" s="36">
        <f>IF(AND(B678&lt;&gt;"",E678&lt;&gt;"",NOT(ISNUMBER(F678))),1,0)</f>
        <v>0</v>
      </c>
    </row>
    <row r="679">
      <c r="A679" s="34" t="n"/>
      <c r="B679" s="31" t="n"/>
      <c r="C679" s="31" t="n"/>
      <c r="D679" s="29" t="n"/>
      <c r="E679" s="35" t="n"/>
      <c r="F679" s="26">
        <f>IF(OR(B679="",E679=""),"",IFERROR(IF(ISNUMBER(INDEX(Config!$D$11:$D$20,MATCH(B679,Config!$A$11:$A$20,0))),E679*INDEX(Config!$D$11:$D$20,MATCH(B679,Config!$A$11:$A$20,0)),"cadastro de custo incompleto em Config"),"pessoa sem custo-hora em Config"))</f>
        <v/>
      </c>
      <c r="G679" s="25">
        <f>IF(A679="","",MONTH(A679))</f>
        <v/>
      </c>
      <c r="H679" s="25">
        <f>IF(A679="","",YEAR(A679))</f>
        <v/>
      </c>
      <c r="I679" s="31" t="n"/>
      <c r="J679" s="36">
        <f>IF(AND(B679&lt;&gt;"",E679&lt;&gt;"",NOT(ISNUMBER(F679))),1,0)</f>
        <v>0</v>
      </c>
    </row>
    <row r="680">
      <c r="A680" s="34" t="n"/>
      <c r="B680" s="31" t="n"/>
      <c r="C680" s="31" t="n"/>
      <c r="D680" s="29" t="n"/>
      <c r="E680" s="35" t="n"/>
      <c r="F680" s="26">
        <f>IF(OR(B680="",E680=""),"",IFERROR(IF(ISNUMBER(INDEX(Config!$D$11:$D$20,MATCH(B680,Config!$A$11:$A$20,0))),E680*INDEX(Config!$D$11:$D$20,MATCH(B680,Config!$A$11:$A$20,0)),"cadastro de custo incompleto em Config"),"pessoa sem custo-hora em Config"))</f>
        <v/>
      </c>
      <c r="G680" s="25">
        <f>IF(A680="","",MONTH(A680))</f>
        <v/>
      </c>
      <c r="H680" s="25">
        <f>IF(A680="","",YEAR(A680))</f>
        <v/>
      </c>
      <c r="I680" s="31" t="n"/>
      <c r="J680" s="36">
        <f>IF(AND(B680&lt;&gt;"",E680&lt;&gt;"",NOT(ISNUMBER(F680))),1,0)</f>
        <v>0</v>
      </c>
    </row>
    <row r="681">
      <c r="A681" s="34" t="n"/>
      <c r="B681" s="31" t="n"/>
      <c r="C681" s="31" t="n"/>
      <c r="D681" s="29" t="n"/>
      <c r="E681" s="35" t="n"/>
      <c r="F681" s="26">
        <f>IF(OR(B681="",E681=""),"",IFERROR(IF(ISNUMBER(INDEX(Config!$D$11:$D$20,MATCH(B681,Config!$A$11:$A$20,0))),E681*INDEX(Config!$D$11:$D$20,MATCH(B681,Config!$A$11:$A$20,0)),"cadastro de custo incompleto em Config"),"pessoa sem custo-hora em Config"))</f>
        <v/>
      </c>
      <c r="G681" s="25">
        <f>IF(A681="","",MONTH(A681))</f>
        <v/>
      </c>
      <c r="H681" s="25">
        <f>IF(A681="","",YEAR(A681))</f>
        <v/>
      </c>
      <c r="I681" s="31" t="n"/>
      <c r="J681" s="36">
        <f>IF(AND(B681&lt;&gt;"",E681&lt;&gt;"",NOT(ISNUMBER(F681))),1,0)</f>
        <v>0</v>
      </c>
    </row>
    <row r="682">
      <c r="A682" s="34" t="n"/>
      <c r="B682" s="31" t="n"/>
      <c r="C682" s="31" t="n"/>
      <c r="D682" s="29" t="n"/>
      <c r="E682" s="35" t="n"/>
      <c r="F682" s="26">
        <f>IF(OR(B682="",E682=""),"",IFERROR(IF(ISNUMBER(INDEX(Config!$D$11:$D$20,MATCH(B682,Config!$A$11:$A$20,0))),E682*INDEX(Config!$D$11:$D$20,MATCH(B682,Config!$A$11:$A$20,0)),"cadastro de custo incompleto em Config"),"pessoa sem custo-hora em Config"))</f>
        <v/>
      </c>
      <c r="G682" s="25">
        <f>IF(A682="","",MONTH(A682))</f>
        <v/>
      </c>
      <c r="H682" s="25">
        <f>IF(A682="","",YEAR(A682))</f>
        <v/>
      </c>
      <c r="I682" s="31" t="n"/>
      <c r="J682" s="36">
        <f>IF(AND(B682&lt;&gt;"",E682&lt;&gt;"",NOT(ISNUMBER(F682))),1,0)</f>
        <v>0</v>
      </c>
    </row>
    <row r="683">
      <c r="A683" s="34" t="n"/>
      <c r="B683" s="31" t="n"/>
      <c r="C683" s="31" t="n"/>
      <c r="D683" s="29" t="n"/>
      <c r="E683" s="35" t="n"/>
      <c r="F683" s="26">
        <f>IF(OR(B683="",E683=""),"",IFERROR(IF(ISNUMBER(INDEX(Config!$D$11:$D$20,MATCH(B683,Config!$A$11:$A$20,0))),E683*INDEX(Config!$D$11:$D$20,MATCH(B683,Config!$A$11:$A$20,0)),"cadastro de custo incompleto em Config"),"pessoa sem custo-hora em Config"))</f>
        <v/>
      </c>
      <c r="G683" s="25">
        <f>IF(A683="","",MONTH(A683))</f>
        <v/>
      </c>
      <c r="H683" s="25">
        <f>IF(A683="","",YEAR(A683))</f>
        <v/>
      </c>
      <c r="I683" s="31" t="n"/>
      <c r="J683" s="36">
        <f>IF(AND(B683&lt;&gt;"",E683&lt;&gt;"",NOT(ISNUMBER(F683))),1,0)</f>
        <v>0</v>
      </c>
    </row>
    <row r="684">
      <c r="A684" s="34" t="n"/>
      <c r="B684" s="31" t="n"/>
      <c r="C684" s="31" t="n"/>
      <c r="D684" s="29" t="n"/>
      <c r="E684" s="35" t="n"/>
      <c r="F684" s="26">
        <f>IF(OR(B684="",E684=""),"",IFERROR(IF(ISNUMBER(INDEX(Config!$D$11:$D$20,MATCH(B684,Config!$A$11:$A$20,0))),E684*INDEX(Config!$D$11:$D$20,MATCH(B684,Config!$A$11:$A$20,0)),"cadastro de custo incompleto em Config"),"pessoa sem custo-hora em Config"))</f>
        <v/>
      </c>
      <c r="G684" s="25">
        <f>IF(A684="","",MONTH(A684))</f>
        <v/>
      </c>
      <c r="H684" s="25">
        <f>IF(A684="","",YEAR(A684))</f>
        <v/>
      </c>
      <c r="I684" s="31" t="n"/>
      <c r="J684" s="36">
        <f>IF(AND(B684&lt;&gt;"",E684&lt;&gt;"",NOT(ISNUMBER(F684))),1,0)</f>
        <v>0</v>
      </c>
    </row>
    <row r="685">
      <c r="A685" s="34" t="n"/>
      <c r="B685" s="31" t="n"/>
      <c r="C685" s="31" t="n"/>
      <c r="D685" s="29" t="n"/>
      <c r="E685" s="35" t="n"/>
      <c r="F685" s="26">
        <f>IF(OR(B685="",E685=""),"",IFERROR(IF(ISNUMBER(INDEX(Config!$D$11:$D$20,MATCH(B685,Config!$A$11:$A$20,0))),E685*INDEX(Config!$D$11:$D$20,MATCH(B685,Config!$A$11:$A$20,0)),"cadastro de custo incompleto em Config"),"pessoa sem custo-hora em Config"))</f>
        <v/>
      </c>
      <c r="G685" s="25">
        <f>IF(A685="","",MONTH(A685))</f>
        <v/>
      </c>
      <c r="H685" s="25">
        <f>IF(A685="","",YEAR(A685))</f>
        <v/>
      </c>
      <c r="I685" s="31" t="n"/>
      <c r="J685" s="36">
        <f>IF(AND(B685&lt;&gt;"",E685&lt;&gt;"",NOT(ISNUMBER(F685))),1,0)</f>
        <v>0</v>
      </c>
    </row>
    <row r="686">
      <c r="A686" s="34" t="n"/>
      <c r="B686" s="31" t="n"/>
      <c r="C686" s="31" t="n"/>
      <c r="D686" s="29" t="n"/>
      <c r="E686" s="35" t="n"/>
      <c r="F686" s="26">
        <f>IF(OR(B686="",E686=""),"",IFERROR(IF(ISNUMBER(INDEX(Config!$D$11:$D$20,MATCH(B686,Config!$A$11:$A$20,0))),E686*INDEX(Config!$D$11:$D$20,MATCH(B686,Config!$A$11:$A$20,0)),"cadastro de custo incompleto em Config"),"pessoa sem custo-hora em Config"))</f>
        <v/>
      </c>
      <c r="G686" s="25">
        <f>IF(A686="","",MONTH(A686))</f>
        <v/>
      </c>
      <c r="H686" s="25">
        <f>IF(A686="","",YEAR(A686))</f>
        <v/>
      </c>
      <c r="I686" s="31" t="n"/>
      <c r="J686" s="36">
        <f>IF(AND(B686&lt;&gt;"",E686&lt;&gt;"",NOT(ISNUMBER(F686))),1,0)</f>
        <v>0</v>
      </c>
    </row>
    <row r="687">
      <c r="A687" s="34" t="n"/>
      <c r="B687" s="31" t="n"/>
      <c r="C687" s="31" t="n"/>
      <c r="D687" s="29" t="n"/>
      <c r="E687" s="35" t="n"/>
      <c r="F687" s="26">
        <f>IF(OR(B687="",E687=""),"",IFERROR(IF(ISNUMBER(INDEX(Config!$D$11:$D$20,MATCH(B687,Config!$A$11:$A$20,0))),E687*INDEX(Config!$D$11:$D$20,MATCH(B687,Config!$A$11:$A$20,0)),"cadastro de custo incompleto em Config"),"pessoa sem custo-hora em Config"))</f>
        <v/>
      </c>
      <c r="G687" s="25">
        <f>IF(A687="","",MONTH(A687))</f>
        <v/>
      </c>
      <c r="H687" s="25">
        <f>IF(A687="","",YEAR(A687))</f>
        <v/>
      </c>
      <c r="I687" s="31" t="n"/>
      <c r="J687" s="36">
        <f>IF(AND(B687&lt;&gt;"",E687&lt;&gt;"",NOT(ISNUMBER(F687))),1,0)</f>
        <v>0</v>
      </c>
    </row>
    <row r="688">
      <c r="A688" s="34" t="n"/>
      <c r="B688" s="31" t="n"/>
      <c r="C688" s="31" t="n"/>
      <c r="D688" s="29" t="n"/>
      <c r="E688" s="35" t="n"/>
      <c r="F688" s="26">
        <f>IF(OR(B688="",E688=""),"",IFERROR(IF(ISNUMBER(INDEX(Config!$D$11:$D$20,MATCH(B688,Config!$A$11:$A$20,0))),E688*INDEX(Config!$D$11:$D$20,MATCH(B688,Config!$A$11:$A$20,0)),"cadastro de custo incompleto em Config"),"pessoa sem custo-hora em Config"))</f>
        <v/>
      </c>
      <c r="G688" s="25">
        <f>IF(A688="","",MONTH(A688))</f>
        <v/>
      </c>
      <c r="H688" s="25">
        <f>IF(A688="","",YEAR(A688))</f>
        <v/>
      </c>
      <c r="I688" s="31" t="n"/>
      <c r="J688" s="36">
        <f>IF(AND(B688&lt;&gt;"",E688&lt;&gt;"",NOT(ISNUMBER(F688))),1,0)</f>
        <v>0</v>
      </c>
    </row>
    <row r="689">
      <c r="A689" s="34" t="n"/>
      <c r="B689" s="31" t="n"/>
      <c r="C689" s="31" t="n"/>
      <c r="D689" s="29" t="n"/>
      <c r="E689" s="35" t="n"/>
      <c r="F689" s="26">
        <f>IF(OR(B689="",E689=""),"",IFERROR(IF(ISNUMBER(INDEX(Config!$D$11:$D$20,MATCH(B689,Config!$A$11:$A$20,0))),E689*INDEX(Config!$D$11:$D$20,MATCH(B689,Config!$A$11:$A$20,0)),"cadastro de custo incompleto em Config"),"pessoa sem custo-hora em Config"))</f>
        <v/>
      </c>
      <c r="G689" s="25">
        <f>IF(A689="","",MONTH(A689))</f>
        <v/>
      </c>
      <c r="H689" s="25">
        <f>IF(A689="","",YEAR(A689))</f>
        <v/>
      </c>
      <c r="I689" s="31" t="n"/>
      <c r="J689" s="36">
        <f>IF(AND(B689&lt;&gt;"",E689&lt;&gt;"",NOT(ISNUMBER(F689))),1,0)</f>
        <v>0</v>
      </c>
    </row>
    <row r="690">
      <c r="A690" s="34" t="n"/>
      <c r="B690" s="31" t="n"/>
      <c r="C690" s="31" t="n"/>
      <c r="D690" s="29" t="n"/>
      <c r="E690" s="35" t="n"/>
      <c r="F690" s="26">
        <f>IF(OR(B690="",E690=""),"",IFERROR(IF(ISNUMBER(INDEX(Config!$D$11:$D$20,MATCH(B690,Config!$A$11:$A$20,0))),E690*INDEX(Config!$D$11:$D$20,MATCH(B690,Config!$A$11:$A$20,0)),"cadastro de custo incompleto em Config"),"pessoa sem custo-hora em Config"))</f>
        <v/>
      </c>
      <c r="G690" s="25">
        <f>IF(A690="","",MONTH(A690))</f>
        <v/>
      </c>
      <c r="H690" s="25">
        <f>IF(A690="","",YEAR(A690))</f>
        <v/>
      </c>
      <c r="I690" s="31" t="n"/>
      <c r="J690" s="36">
        <f>IF(AND(B690&lt;&gt;"",E690&lt;&gt;"",NOT(ISNUMBER(F690))),1,0)</f>
        <v>0</v>
      </c>
    </row>
    <row r="691">
      <c r="A691" s="34" t="n"/>
      <c r="B691" s="31" t="n"/>
      <c r="C691" s="31" t="n"/>
      <c r="D691" s="29" t="n"/>
      <c r="E691" s="35" t="n"/>
      <c r="F691" s="26">
        <f>IF(OR(B691="",E691=""),"",IFERROR(IF(ISNUMBER(INDEX(Config!$D$11:$D$20,MATCH(B691,Config!$A$11:$A$20,0))),E691*INDEX(Config!$D$11:$D$20,MATCH(B691,Config!$A$11:$A$20,0)),"cadastro de custo incompleto em Config"),"pessoa sem custo-hora em Config"))</f>
        <v/>
      </c>
      <c r="G691" s="25">
        <f>IF(A691="","",MONTH(A691))</f>
        <v/>
      </c>
      <c r="H691" s="25">
        <f>IF(A691="","",YEAR(A691))</f>
        <v/>
      </c>
      <c r="I691" s="31" t="n"/>
      <c r="J691" s="36">
        <f>IF(AND(B691&lt;&gt;"",E691&lt;&gt;"",NOT(ISNUMBER(F691))),1,0)</f>
        <v>0</v>
      </c>
    </row>
    <row r="692">
      <c r="A692" s="34" t="n"/>
      <c r="B692" s="31" t="n"/>
      <c r="C692" s="31" t="n"/>
      <c r="D692" s="29" t="n"/>
      <c r="E692" s="35" t="n"/>
      <c r="F692" s="26">
        <f>IF(OR(B692="",E692=""),"",IFERROR(IF(ISNUMBER(INDEX(Config!$D$11:$D$20,MATCH(B692,Config!$A$11:$A$20,0))),E692*INDEX(Config!$D$11:$D$20,MATCH(B692,Config!$A$11:$A$20,0)),"cadastro de custo incompleto em Config"),"pessoa sem custo-hora em Config"))</f>
        <v/>
      </c>
      <c r="G692" s="25">
        <f>IF(A692="","",MONTH(A692))</f>
        <v/>
      </c>
      <c r="H692" s="25">
        <f>IF(A692="","",YEAR(A692))</f>
        <v/>
      </c>
      <c r="I692" s="31" t="n"/>
      <c r="J692" s="36">
        <f>IF(AND(B692&lt;&gt;"",E692&lt;&gt;"",NOT(ISNUMBER(F692))),1,0)</f>
        <v>0</v>
      </c>
    </row>
    <row r="693">
      <c r="A693" s="34" t="n"/>
      <c r="B693" s="31" t="n"/>
      <c r="C693" s="31" t="n"/>
      <c r="D693" s="29" t="n"/>
      <c r="E693" s="35" t="n"/>
      <c r="F693" s="26">
        <f>IF(OR(B693="",E693=""),"",IFERROR(IF(ISNUMBER(INDEX(Config!$D$11:$D$20,MATCH(B693,Config!$A$11:$A$20,0))),E693*INDEX(Config!$D$11:$D$20,MATCH(B693,Config!$A$11:$A$20,0)),"cadastro de custo incompleto em Config"),"pessoa sem custo-hora em Config"))</f>
        <v/>
      </c>
      <c r="G693" s="25">
        <f>IF(A693="","",MONTH(A693))</f>
        <v/>
      </c>
      <c r="H693" s="25">
        <f>IF(A693="","",YEAR(A693))</f>
        <v/>
      </c>
      <c r="I693" s="31" t="n"/>
      <c r="J693" s="36">
        <f>IF(AND(B693&lt;&gt;"",E693&lt;&gt;"",NOT(ISNUMBER(F693))),1,0)</f>
        <v>0</v>
      </c>
    </row>
    <row r="694">
      <c r="A694" s="34" t="n"/>
      <c r="B694" s="31" t="n"/>
      <c r="C694" s="31" t="n"/>
      <c r="D694" s="29" t="n"/>
      <c r="E694" s="35" t="n"/>
      <c r="F694" s="26">
        <f>IF(OR(B694="",E694=""),"",IFERROR(IF(ISNUMBER(INDEX(Config!$D$11:$D$20,MATCH(B694,Config!$A$11:$A$20,0))),E694*INDEX(Config!$D$11:$D$20,MATCH(B694,Config!$A$11:$A$20,0)),"cadastro de custo incompleto em Config"),"pessoa sem custo-hora em Config"))</f>
        <v/>
      </c>
      <c r="G694" s="25">
        <f>IF(A694="","",MONTH(A694))</f>
        <v/>
      </c>
      <c r="H694" s="25">
        <f>IF(A694="","",YEAR(A694))</f>
        <v/>
      </c>
      <c r="I694" s="31" t="n"/>
      <c r="J694" s="36">
        <f>IF(AND(B694&lt;&gt;"",E694&lt;&gt;"",NOT(ISNUMBER(F694))),1,0)</f>
        <v>0</v>
      </c>
    </row>
    <row r="695">
      <c r="A695" s="34" t="n"/>
      <c r="B695" s="31" t="n"/>
      <c r="C695" s="31" t="n"/>
      <c r="D695" s="29" t="n"/>
      <c r="E695" s="35" t="n"/>
      <c r="F695" s="26">
        <f>IF(OR(B695="",E695=""),"",IFERROR(IF(ISNUMBER(INDEX(Config!$D$11:$D$20,MATCH(B695,Config!$A$11:$A$20,0))),E695*INDEX(Config!$D$11:$D$20,MATCH(B695,Config!$A$11:$A$20,0)),"cadastro de custo incompleto em Config"),"pessoa sem custo-hora em Config"))</f>
        <v/>
      </c>
      <c r="G695" s="25">
        <f>IF(A695="","",MONTH(A695))</f>
        <v/>
      </c>
      <c r="H695" s="25">
        <f>IF(A695="","",YEAR(A695))</f>
        <v/>
      </c>
      <c r="I695" s="31" t="n"/>
      <c r="J695" s="36">
        <f>IF(AND(B695&lt;&gt;"",E695&lt;&gt;"",NOT(ISNUMBER(F695))),1,0)</f>
        <v>0</v>
      </c>
    </row>
    <row r="696">
      <c r="A696" s="34" t="n"/>
      <c r="B696" s="31" t="n"/>
      <c r="C696" s="31" t="n"/>
      <c r="D696" s="29" t="n"/>
      <c r="E696" s="35" t="n"/>
      <c r="F696" s="26">
        <f>IF(OR(B696="",E696=""),"",IFERROR(IF(ISNUMBER(INDEX(Config!$D$11:$D$20,MATCH(B696,Config!$A$11:$A$20,0))),E696*INDEX(Config!$D$11:$D$20,MATCH(B696,Config!$A$11:$A$20,0)),"cadastro de custo incompleto em Config"),"pessoa sem custo-hora em Config"))</f>
        <v/>
      </c>
      <c r="G696" s="25">
        <f>IF(A696="","",MONTH(A696))</f>
        <v/>
      </c>
      <c r="H696" s="25">
        <f>IF(A696="","",YEAR(A696))</f>
        <v/>
      </c>
      <c r="I696" s="31" t="n"/>
      <c r="J696" s="36">
        <f>IF(AND(B696&lt;&gt;"",E696&lt;&gt;"",NOT(ISNUMBER(F696))),1,0)</f>
        <v>0</v>
      </c>
    </row>
    <row r="697">
      <c r="A697" s="34" t="n"/>
      <c r="B697" s="31" t="n"/>
      <c r="C697" s="31" t="n"/>
      <c r="D697" s="29" t="n"/>
      <c r="E697" s="35" t="n"/>
      <c r="F697" s="26">
        <f>IF(OR(B697="",E697=""),"",IFERROR(IF(ISNUMBER(INDEX(Config!$D$11:$D$20,MATCH(B697,Config!$A$11:$A$20,0))),E697*INDEX(Config!$D$11:$D$20,MATCH(B697,Config!$A$11:$A$20,0)),"cadastro de custo incompleto em Config"),"pessoa sem custo-hora em Config"))</f>
        <v/>
      </c>
      <c r="G697" s="25">
        <f>IF(A697="","",MONTH(A697))</f>
        <v/>
      </c>
      <c r="H697" s="25">
        <f>IF(A697="","",YEAR(A697))</f>
        <v/>
      </c>
      <c r="I697" s="31" t="n"/>
      <c r="J697" s="36">
        <f>IF(AND(B697&lt;&gt;"",E697&lt;&gt;"",NOT(ISNUMBER(F697))),1,0)</f>
        <v>0</v>
      </c>
    </row>
    <row r="698">
      <c r="A698" s="34" t="n"/>
      <c r="B698" s="31" t="n"/>
      <c r="C698" s="31" t="n"/>
      <c r="D698" s="29" t="n"/>
      <c r="E698" s="35" t="n"/>
      <c r="F698" s="26">
        <f>IF(OR(B698="",E698=""),"",IFERROR(IF(ISNUMBER(INDEX(Config!$D$11:$D$20,MATCH(B698,Config!$A$11:$A$20,0))),E698*INDEX(Config!$D$11:$D$20,MATCH(B698,Config!$A$11:$A$20,0)),"cadastro de custo incompleto em Config"),"pessoa sem custo-hora em Config"))</f>
        <v/>
      </c>
      <c r="G698" s="25">
        <f>IF(A698="","",MONTH(A698))</f>
        <v/>
      </c>
      <c r="H698" s="25">
        <f>IF(A698="","",YEAR(A698))</f>
        <v/>
      </c>
      <c r="I698" s="31" t="n"/>
      <c r="J698" s="36">
        <f>IF(AND(B698&lt;&gt;"",E698&lt;&gt;"",NOT(ISNUMBER(F698))),1,0)</f>
        <v>0</v>
      </c>
    </row>
    <row r="699">
      <c r="A699" s="34" t="n"/>
      <c r="B699" s="31" t="n"/>
      <c r="C699" s="31" t="n"/>
      <c r="D699" s="29" t="n"/>
      <c r="E699" s="35" t="n"/>
      <c r="F699" s="26">
        <f>IF(OR(B699="",E699=""),"",IFERROR(IF(ISNUMBER(INDEX(Config!$D$11:$D$20,MATCH(B699,Config!$A$11:$A$20,0))),E699*INDEX(Config!$D$11:$D$20,MATCH(B699,Config!$A$11:$A$20,0)),"cadastro de custo incompleto em Config"),"pessoa sem custo-hora em Config"))</f>
        <v/>
      </c>
      <c r="G699" s="25">
        <f>IF(A699="","",MONTH(A699))</f>
        <v/>
      </c>
      <c r="H699" s="25">
        <f>IF(A699="","",YEAR(A699))</f>
        <v/>
      </c>
      <c r="I699" s="31" t="n"/>
      <c r="J699" s="36">
        <f>IF(AND(B699&lt;&gt;"",E699&lt;&gt;"",NOT(ISNUMBER(F699))),1,0)</f>
        <v>0</v>
      </c>
    </row>
    <row r="700">
      <c r="A700" s="34" t="n"/>
      <c r="B700" s="31" t="n"/>
      <c r="C700" s="31" t="n"/>
      <c r="D700" s="29" t="n"/>
      <c r="E700" s="35" t="n"/>
      <c r="F700" s="26">
        <f>IF(OR(B700="",E700=""),"",IFERROR(IF(ISNUMBER(INDEX(Config!$D$11:$D$20,MATCH(B700,Config!$A$11:$A$20,0))),E700*INDEX(Config!$D$11:$D$20,MATCH(B700,Config!$A$11:$A$20,0)),"cadastro de custo incompleto em Config"),"pessoa sem custo-hora em Config"))</f>
        <v/>
      </c>
      <c r="G700" s="25">
        <f>IF(A700="","",MONTH(A700))</f>
        <v/>
      </c>
      <c r="H700" s="25">
        <f>IF(A700="","",YEAR(A700))</f>
        <v/>
      </c>
      <c r="I700" s="31" t="n"/>
      <c r="J700" s="36">
        <f>IF(AND(B700&lt;&gt;"",E700&lt;&gt;"",NOT(ISNUMBER(F700))),1,0)</f>
        <v>0</v>
      </c>
    </row>
    <row r="701">
      <c r="A701" s="34" t="n"/>
      <c r="B701" s="31" t="n"/>
      <c r="C701" s="31" t="n"/>
      <c r="D701" s="29" t="n"/>
      <c r="E701" s="35" t="n"/>
      <c r="F701" s="26">
        <f>IF(OR(B701="",E701=""),"",IFERROR(IF(ISNUMBER(INDEX(Config!$D$11:$D$20,MATCH(B701,Config!$A$11:$A$20,0))),E701*INDEX(Config!$D$11:$D$20,MATCH(B701,Config!$A$11:$A$20,0)),"cadastro de custo incompleto em Config"),"pessoa sem custo-hora em Config"))</f>
        <v/>
      </c>
      <c r="G701" s="25">
        <f>IF(A701="","",MONTH(A701))</f>
        <v/>
      </c>
      <c r="H701" s="25">
        <f>IF(A701="","",YEAR(A701))</f>
        <v/>
      </c>
      <c r="I701" s="31" t="n"/>
      <c r="J701" s="36">
        <f>IF(AND(B701&lt;&gt;"",E701&lt;&gt;"",NOT(ISNUMBER(F701))),1,0)</f>
        <v>0</v>
      </c>
    </row>
    <row r="702">
      <c r="A702" s="34" t="n"/>
      <c r="B702" s="31" t="n"/>
      <c r="C702" s="31" t="n"/>
      <c r="D702" s="29" t="n"/>
      <c r="E702" s="35" t="n"/>
      <c r="F702" s="26">
        <f>IF(OR(B702="",E702=""),"",IFERROR(IF(ISNUMBER(INDEX(Config!$D$11:$D$20,MATCH(B702,Config!$A$11:$A$20,0))),E702*INDEX(Config!$D$11:$D$20,MATCH(B702,Config!$A$11:$A$20,0)),"cadastro de custo incompleto em Config"),"pessoa sem custo-hora em Config"))</f>
        <v/>
      </c>
      <c r="G702" s="25">
        <f>IF(A702="","",MONTH(A702))</f>
        <v/>
      </c>
      <c r="H702" s="25">
        <f>IF(A702="","",YEAR(A702))</f>
        <v/>
      </c>
      <c r="I702" s="31" t="n"/>
      <c r="J702" s="36">
        <f>IF(AND(B702&lt;&gt;"",E702&lt;&gt;"",NOT(ISNUMBER(F702))),1,0)</f>
        <v>0</v>
      </c>
    </row>
    <row r="703">
      <c r="A703" s="34" t="n"/>
      <c r="B703" s="31" t="n"/>
      <c r="C703" s="31" t="n"/>
      <c r="D703" s="29" t="n"/>
      <c r="E703" s="35" t="n"/>
      <c r="F703" s="26">
        <f>IF(OR(B703="",E703=""),"",IFERROR(IF(ISNUMBER(INDEX(Config!$D$11:$D$20,MATCH(B703,Config!$A$11:$A$20,0))),E703*INDEX(Config!$D$11:$D$20,MATCH(B703,Config!$A$11:$A$20,0)),"cadastro de custo incompleto em Config"),"pessoa sem custo-hora em Config"))</f>
        <v/>
      </c>
      <c r="G703" s="25">
        <f>IF(A703="","",MONTH(A703))</f>
        <v/>
      </c>
      <c r="H703" s="25">
        <f>IF(A703="","",YEAR(A703))</f>
        <v/>
      </c>
      <c r="I703" s="31" t="n"/>
      <c r="J703" s="36">
        <f>IF(AND(B703&lt;&gt;"",E703&lt;&gt;"",NOT(ISNUMBER(F703))),1,0)</f>
        <v>0</v>
      </c>
    </row>
    <row r="704">
      <c r="A704" s="34" t="n"/>
      <c r="B704" s="31" t="n"/>
      <c r="C704" s="31" t="n"/>
      <c r="D704" s="29" t="n"/>
      <c r="E704" s="35" t="n"/>
      <c r="F704" s="26">
        <f>IF(OR(B704="",E704=""),"",IFERROR(IF(ISNUMBER(INDEX(Config!$D$11:$D$20,MATCH(B704,Config!$A$11:$A$20,0))),E704*INDEX(Config!$D$11:$D$20,MATCH(B704,Config!$A$11:$A$20,0)),"cadastro de custo incompleto em Config"),"pessoa sem custo-hora em Config"))</f>
        <v/>
      </c>
      <c r="G704" s="25">
        <f>IF(A704="","",MONTH(A704))</f>
        <v/>
      </c>
      <c r="H704" s="25">
        <f>IF(A704="","",YEAR(A704))</f>
        <v/>
      </c>
      <c r="I704" s="31" t="n"/>
      <c r="J704" s="36">
        <f>IF(AND(B704&lt;&gt;"",E704&lt;&gt;"",NOT(ISNUMBER(F704))),1,0)</f>
        <v>0</v>
      </c>
    </row>
    <row r="705">
      <c r="A705" s="34" t="n"/>
      <c r="B705" s="31" t="n"/>
      <c r="C705" s="31" t="n"/>
      <c r="D705" s="29" t="n"/>
      <c r="E705" s="35" t="n"/>
      <c r="F705" s="26">
        <f>IF(OR(B705="",E705=""),"",IFERROR(IF(ISNUMBER(INDEX(Config!$D$11:$D$20,MATCH(B705,Config!$A$11:$A$20,0))),E705*INDEX(Config!$D$11:$D$20,MATCH(B705,Config!$A$11:$A$20,0)),"cadastro de custo incompleto em Config"),"pessoa sem custo-hora em Config"))</f>
        <v/>
      </c>
      <c r="G705" s="25">
        <f>IF(A705="","",MONTH(A705))</f>
        <v/>
      </c>
      <c r="H705" s="25">
        <f>IF(A705="","",YEAR(A705))</f>
        <v/>
      </c>
      <c r="I705" s="31" t="n"/>
      <c r="J705" s="36">
        <f>IF(AND(B705&lt;&gt;"",E705&lt;&gt;"",NOT(ISNUMBER(F705))),1,0)</f>
        <v>0</v>
      </c>
    </row>
    <row r="706">
      <c r="A706" s="34" t="n"/>
      <c r="B706" s="31" t="n"/>
      <c r="C706" s="31" t="n"/>
      <c r="D706" s="29" t="n"/>
      <c r="E706" s="35" t="n"/>
      <c r="F706" s="26">
        <f>IF(OR(B706="",E706=""),"",IFERROR(IF(ISNUMBER(INDEX(Config!$D$11:$D$20,MATCH(B706,Config!$A$11:$A$20,0))),E706*INDEX(Config!$D$11:$D$20,MATCH(B706,Config!$A$11:$A$20,0)),"cadastro de custo incompleto em Config"),"pessoa sem custo-hora em Config"))</f>
        <v/>
      </c>
      <c r="G706" s="25">
        <f>IF(A706="","",MONTH(A706))</f>
        <v/>
      </c>
      <c r="H706" s="25">
        <f>IF(A706="","",YEAR(A706))</f>
        <v/>
      </c>
      <c r="I706" s="31" t="n"/>
      <c r="J706" s="36">
        <f>IF(AND(B706&lt;&gt;"",E706&lt;&gt;"",NOT(ISNUMBER(F706))),1,0)</f>
        <v>0</v>
      </c>
    </row>
    <row r="707">
      <c r="A707" s="34" t="n"/>
      <c r="B707" s="31" t="n"/>
      <c r="C707" s="31" t="n"/>
      <c r="D707" s="29" t="n"/>
      <c r="E707" s="35" t="n"/>
      <c r="F707" s="26">
        <f>IF(OR(B707="",E707=""),"",IFERROR(IF(ISNUMBER(INDEX(Config!$D$11:$D$20,MATCH(B707,Config!$A$11:$A$20,0))),E707*INDEX(Config!$D$11:$D$20,MATCH(B707,Config!$A$11:$A$20,0)),"cadastro de custo incompleto em Config"),"pessoa sem custo-hora em Config"))</f>
        <v/>
      </c>
      <c r="G707" s="25">
        <f>IF(A707="","",MONTH(A707))</f>
        <v/>
      </c>
      <c r="H707" s="25">
        <f>IF(A707="","",YEAR(A707))</f>
        <v/>
      </c>
      <c r="I707" s="31" t="n"/>
      <c r="J707" s="36">
        <f>IF(AND(B707&lt;&gt;"",E707&lt;&gt;"",NOT(ISNUMBER(F707))),1,0)</f>
        <v>0</v>
      </c>
    </row>
    <row r="708">
      <c r="A708" s="34" t="n"/>
      <c r="B708" s="31" t="n"/>
      <c r="C708" s="31" t="n"/>
      <c r="D708" s="29" t="n"/>
      <c r="E708" s="35" t="n"/>
      <c r="F708" s="26">
        <f>IF(OR(B708="",E708=""),"",IFERROR(IF(ISNUMBER(INDEX(Config!$D$11:$D$20,MATCH(B708,Config!$A$11:$A$20,0))),E708*INDEX(Config!$D$11:$D$20,MATCH(B708,Config!$A$11:$A$20,0)),"cadastro de custo incompleto em Config"),"pessoa sem custo-hora em Config"))</f>
        <v/>
      </c>
      <c r="G708" s="25">
        <f>IF(A708="","",MONTH(A708))</f>
        <v/>
      </c>
      <c r="H708" s="25">
        <f>IF(A708="","",YEAR(A708))</f>
        <v/>
      </c>
      <c r="I708" s="31" t="n"/>
      <c r="J708" s="36">
        <f>IF(AND(B708&lt;&gt;"",E708&lt;&gt;"",NOT(ISNUMBER(F708))),1,0)</f>
        <v>0</v>
      </c>
    </row>
    <row r="709">
      <c r="A709" s="34" t="n"/>
      <c r="B709" s="31" t="n"/>
      <c r="C709" s="31" t="n"/>
      <c r="D709" s="29" t="n"/>
      <c r="E709" s="35" t="n"/>
      <c r="F709" s="26">
        <f>IF(OR(B709="",E709=""),"",IFERROR(IF(ISNUMBER(INDEX(Config!$D$11:$D$20,MATCH(B709,Config!$A$11:$A$20,0))),E709*INDEX(Config!$D$11:$D$20,MATCH(B709,Config!$A$11:$A$20,0)),"cadastro de custo incompleto em Config"),"pessoa sem custo-hora em Config"))</f>
        <v/>
      </c>
      <c r="G709" s="25">
        <f>IF(A709="","",MONTH(A709))</f>
        <v/>
      </c>
      <c r="H709" s="25">
        <f>IF(A709="","",YEAR(A709))</f>
        <v/>
      </c>
      <c r="I709" s="31" t="n"/>
      <c r="J709" s="36">
        <f>IF(AND(B709&lt;&gt;"",E709&lt;&gt;"",NOT(ISNUMBER(F709))),1,0)</f>
        <v>0</v>
      </c>
    </row>
    <row r="710">
      <c r="A710" s="34" t="n"/>
      <c r="B710" s="31" t="n"/>
      <c r="C710" s="31" t="n"/>
      <c r="D710" s="29" t="n"/>
      <c r="E710" s="35" t="n"/>
      <c r="F710" s="26">
        <f>IF(OR(B710="",E710=""),"",IFERROR(IF(ISNUMBER(INDEX(Config!$D$11:$D$20,MATCH(B710,Config!$A$11:$A$20,0))),E710*INDEX(Config!$D$11:$D$20,MATCH(B710,Config!$A$11:$A$20,0)),"cadastro de custo incompleto em Config"),"pessoa sem custo-hora em Config"))</f>
        <v/>
      </c>
      <c r="G710" s="25">
        <f>IF(A710="","",MONTH(A710))</f>
        <v/>
      </c>
      <c r="H710" s="25">
        <f>IF(A710="","",YEAR(A710))</f>
        <v/>
      </c>
      <c r="I710" s="31" t="n"/>
      <c r="J710" s="36">
        <f>IF(AND(B710&lt;&gt;"",E710&lt;&gt;"",NOT(ISNUMBER(F710))),1,0)</f>
        <v>0</v>
      </c>
    </row>
    <row r="711">
      <c r="A711" s="34" t="n"/>
      <c r="B711" s="31" t="n"/>
      <c r="C711" s="31" t="n"/>
      <c r="D711" s="29" t="n"/>
      <c r="E711" s="35" t="n"/>
      <c r="F711" s="26">
        <f>IF(OR(B711="",E711=""),"",IFERROR(IF(ISNUMBER(INDEX(Config!$D$11:$D$20,MATCH(B711,Config!$A$11:$A$20,0))),E711*INDEX(Config!$D$11:$D$20,MATCH(B711,Config!$A$11:$A$20,0)),"cadastro de custo incompleto em Config"),"pessoa sem custo-hora em Config"))</f>
        <v/>
      </c>
      <c r="G711" s="25">
        <f>IF(A711="","",MONTH(A711))</f>
        <v/>
      </c>
      <c r="H711" s="25">
        <f>IF(A711="","",YEAR(A711))</f>
        <v/>
      </c>
      <c r="I711" s="31" t="n"/>
      <c r="J711" s="36">
        <f>IF(AND(B711&lt;&gt;"",E711&lt;&gt;"",NOT(ISNUMBER(F711))),1,0)</f>
        <v>0</v>
      </c>
    </row>
    <row r="712">
      <c r="A712" s="34" t="n"/>
      <c r="B712" s="31" t="n"/>
      <c r="C712" s="31" t="n"/>
      <c r="D712" s="29" t="n"/>
      <c r="E712" s="35" t="n"/>
      <c r="F712" s="26">
        <f>IF(OR(B712="",E712=""),"",IFERROR(IF(ISNUMBER(INDEX(Config!$D$11:$D$20,MATCH(B712,Config!$A$11:$A$20,0))),E712*INDEX(Config!$D$11:$D$20,MATCH(B712,Config!$A$11:$A$20,0)),"cadastro de custo incompleto em Config"),"pessoa sem custo-hora em Config"))</f>
        <v/>
      </c>
      <c r="G712" s="25">
        <f>IF(A712="","",MONTH(A712))</f>
        <v/>
      </c>
      <c r="H712" s="25">
        <f>IF(A712="","",YEAR(A712))</f>
        <v/>
      </c>
      <c r="I712" s="31" t="n"/>
      <c r="J712" s="36">
        <f>IF(AND(B712&lt;&gt;"",E712&lt;&gt;"",NOT(ISNUMBER(F712))),1,0)</f>
        <v>0</v>
      </c>
    </row>
    <row r="713">
      <c r="A713" s="34" t="n"/>
      <c r="B713" s="31" t="n"/>
      <c r="C713" s="31" t="n"/>
      <c r="D713" s="29" t="n"/>
      <c r="E713" s="35" t="n"/>
      <c r="F713" s="26">
        <f>IF(OR(B713="",E713=""),"",IFERROR(IF(ISNUMBER(INDEX(Config!$D$11:$D$20,MATCH(B713,Config!$A$11:$A$20,0))),E713*INDEX(Config!$D$11:$D$20,MATCH(B713,Config!$A$11:$A$20,0)),"cadastro de custo incompleto em Config"),"pessoa sem custo-hora em Config"))</f>
        <v/>
      </c>
      <c r="G713" s="25">
        <f>IF(A713="","",MONTH(A713))</f>
        <v/>
      </c>
      <c r="H713" s="25">
        <f>IF(A713="","",YEAR(A713))</f>
        <v/>
      </c>
      <c r="I713" s="31" t="n"/>
      <c r="J713" s="36">
        <f>IF(AND(B713&lt;&gt;"",E713&lt;&gt;"",NOT(ISNUMBER(F713))),1,0)</f>
        <v>0</v>
      </c>
    </row>
    <row r="714">
      <c r="A714" s="34" t="n"/>
      <c r="B714" s="31" t="n"/>
      <c r="C714" s="31" t="n"/>
      <c r="D714" s="29" t="n"/>
      <c r="E714" s="35" t="n"/>
      <c r="F714" s="26">
        <f>IF(OR(B714="",E714=""),"",IFERROR(IF(ISNUMBER(INDEX(Config!$D$11:$D$20,MATCH(B714,Config!$A$11:$A$20,0))),E714*INDEX(Config!$D$11:$D$20,MATCH(B714,Config!$A$11:$A$20,0)),"cadastro de custo incompleto em Config"),"pessoa sem custo-hora em Config"))</f>
        <v/>
      </c>
      <c r="G714" s="25">
        <f>IF(A714="","",MONTH(A714))</f>
        <v/>
      </c>
      <c r="H714" s="25">
        <f>IF(A714="","",YEAR(A714))</f>
        <v/>
      </c>
      <c r="I714" s="31" t="n"/>
      <c r="J714" s="36">
        <f>IF(AND(B714&lt;&gt;"",E714&lt;&gt;"",NOT(ISNUMBER(F714))),1,0)</f>
        <v>0</v>
      </c>
    </row>
    <row r="715">
      <c r="A715" s="34" t="n"/>
      <c r="B715" s="31" t="n"/>
      <c r="C715" s="31" t="n"/>
      <c r="D715" s="29" t="n"/>
      <c r="E715" s="35" t="n"/>
      <c r="F715" s="26">
        <f>IF(OR(B715="",E715=""),"",IFERROR(IF(ISNUMBER(INDEX(Config!$D$11:$D$20,MATCH(B715,Config!$A$11:$A$20,0))),E715*INDEX(Config!$D$11:$D$20,MATCH(B715,Config!$A$11:$A$20,0)),"cadastro de custo incompleto em Config"),"pessoa sem custo-hora em Config"))</f>
        <v/>
      </c>
      <c r="G715" s="25">
        <f>IF(A715="","",MONTH(A715))</f>
        <v/>
      </c>
      <c r="H715" s="25">
        <f>IF(A715="","",YEAR(A715))</f>
        <v/>
      </c>
      <c r="I715" s="31" t="n"/>
      <c r="J715" s="36">
        <f>IF(AND(B715&lt;&gt;"",E715&lt;&gt;"",NOT(ISNUMBER(F715))),1,0)</f>
        <v>0</v>
      </c>
    </row>
    <row r="716">
      <c r="A716" s="34" t="n"/>
      <c r="B716" s="31" t="n"/>
      <c r="C716" s="31" t="n"/>
      <c r="D716" s="29" t="n"/>
      <c r="E716" s="35" t="n"/>
      <c r="F716" s="26">
        <f>IF(OR(B716="",E716=""),"",IFERROR(IF(ISNUMBER(INDEX(Config!$D$11:$D$20,MATCH(B716,Config!$A$11:$A$20,0))),E716*INDEX(Config!$D$11:$D$20,MATCH(B716,Config!$A$11:$A$20,0)),"cadastro de custo incompleto em Config"),"pessoa sem custo-hora em Config"))</f>
        <v/>
      </c>
      <c r="G716" s="25">
        <f>IF(A716="","",MONTH(A716))</f>
        <v/>
      </c>
      <c r="H716" s="25">
        <f>IF(A716="","",YEAR(A716))</f>
        <v/>
      </c>
      <c r="I716" s="31" t="n"/>
      <c r="J716" s="36">
        <f>IF(AND(B716&lt;&gt;"",E716&lt;&gt;"",NOT(ISNUMBER(F716))),1,0)</f>
        <v>0</v>
      </c>
    </row>
    <row r="717">
      <c r="A717" s="34" t="n"/>
      <c r="B717" s="31" t="n"/>
      <c r="C717" s="31" t="n"/>
      <c r="D717" s="29" t="n"/>
      <c r="E717" s="35" t="n"/>
      <c r="F717" s="26">
        <f>IF(OR(B717="",E717=""),"",IFERROR(IF(ISNUMBER(INDEX(Config!$D$11:$D$20,MATCH(B717,Config!$A$11:$A$20,0))),E717*INDEX(Config!$D$11:$D$20,MATCH(B717,Config!$A$11:$A$20,0)),"cadastro de custo incompleto em Config"),"pessoa sem custo-hora em Config"))</f>
        <v/>
      </c>
      <c r="G717" s="25">
        <f>IF(A717="","",MONTH(A717))</f>
        <v/>
      </c>
      <c r="H717" s="25">
        <f>IF(A717="","",YEAR(A717))</f>
        <v/>
      </c>
      <c r="I717" s="31" t="n"/>
      <c r="J717" s="36">
        <f>IF(AND(B717&lt;&gt;"",E717&lt;&gt;"",NOT(ISNUMBER(F717))),1,0)</f>
        <v>0</v>
      </c>
    </row>
    <row r="718">
      <c r="A718" s="34" t="n"/>
      <c r="B718" s="31" t="n"/>
      <c r="C718" s="31" t="n"/>
      <c r="D718" s="29" t="n"/>
      <c r="E718" s="35" t="n"/>
      <c r="F718" s="26">
        <f>IF(OR(B718="",E718=""),"",IFERROR(IF(ISNUMBER(INDEX(Config!$D$11:$D$20,MATCH(B718,Config!$A$11:$A$20,0))),E718*INDEX(Config!$D$11:$D$20,MATCH(B718,Config!$A$11:$A$20,0)),"cadastro de custo incompleto em Config"),"pessoa sem custo-hora em Config"))</f>
        <v/>
      </c>
      <c r="G718" s="25">
        <f>IF(A718="","",MONTH(A718))</f>
        <v/>
      </c>
      <c r="H718" s="25">
        <f>IF(A718="","",YEAR(A718))</f>
        <v/>
      </c>
      <c r="I718" s="31" t="n"/>
      <c r="J718" s="36">
        <f>IF(AND(B718&lt;&gt;"",E718&lt;&gt;"",NOT(ISNUMBER(F718))),1,0)</f>
        <v>0</v>
      </c>
    </row>
    <row r="719">
      <c r="A719" s="34" t="n"/>
      <c r="B719" s="31" t="n"/>
      <c r="C719" s="31" t="n"/>
      <c r="D719" s="29" t="n"/>
      <c r="E719" s="35" t="n"/>
      <c r="F719" s="26">
        <f>IF(OR(B719="",E719=""),"",IFERROR(IF(ISNUMBER(INDEX(Config!$D$11:$D$20,MATCH(B719,Config!$A$11:$A$20,0))),E719*INDEX(Config!$D$11:$D$20,MATCH(B719,Config!$A$11:$A$20,0)),"cadastro de custo incompleto em Config"),"pessoa sem custo-hora em Config"))</f>
        <v/>
      </c>
      <c r="G719" s="25">
        <f>IF(A719="","",MONTH(A719))</f>
        <v/>
      </c>
      <c r="H719" s="25">
        <f>IF(A719="","",YEAR(A719))</f>
        <v/>
      </c>
      <c r="I719" s="31" t="n"/>
      <c r="J719" s="36">
        <f>IF(AND(B719&lt;&gt;"",E719&lt;&gt;"",NOT(ISNUMBER(F719))),1,0)</f>
        <v>0</v>
      </c>
    </row>
    <row r="720">
      <c r="A720" s="34" t="n"/>
      <c r="B720" s="31" t="n"/>
      <c r="C720" s="31" t="n"/>
      <c r="D720" s="29" t="n"/>
      <c r="E720" s="35" t="n"/>
      <c r="F720" s="26">
        <f>IF(OR(B720="",E720=""),"",IFERROR(IF(ISNUMBER(INDEX(Config!$D$11:$D$20,MATCH(B720,Config!$A$11:$A$20,0))),E720*INDEX(Config!$D$11:$D$20,MATCH(B720,Config!$A$11:$A$20,0)),"cadastro de custo incompleto em Config"),"pessoa sem custo-hora em Config"))</f>
        <v/>
      </c>
      <c r="G720" s="25">
        <f>IF(A720="","",MONTH(A720))</f>
        <v/>
      </c>
      <c r="H720" s="25">
        <f>IF(A720="","",YEAR(A720))</f>
        <v/>
      </c>
      <c r="I720" s="31" t="n"/>
      <c r="J720" s="36">
        <f>IF(AND(B720&lt;&gt;"",E720&lt;&gt;"",NOT(ISNUMBER(F720))),1,0)</f>
        <v>0</v>
      </c>
    </row>
    <row r="721">
      <c r="A721" s="34" t="n"/>
      <c r="B721" s="31" t="n"/>
      <c r="C721" s="31" t="n"/>
      <c r="D721" s="29" t="n"/>
      <c r="E721" s="35" t="n"/>
      <c r="F721" s="26">
        <f>IF(OR(B721="",E721=""),"",IFERROR(IF(ISNUMBER(INDEX(Config!$D$11:$D$20,MATCH(B721,Config!$A$11:$A$20,0))),E721*INDEX(Config!$D$11:$D$20,MATCH(B721,Config!$A$11:$A$20,0)),"cadastro de custo incompleto em Config"),"pessoa sem custo-hora em Config"))</f>
        <v/>
      </c>
      <c r="G721" s="25">
        <f>IF(A721="","",MONTH(A721))</f>
        <v/>
      </c>
      <c r="H721" s="25">
        <f>IF(A721="","",YEAR(A721))</f>
        <v/>
      </c>
      <c r="I721" s="31" t="n"/>
      <c r="J721" s="36">
        <f>IF(AND(B721&lt;&gt;"",E721&lt;&gt;"",NOT(ISNUMBER(F721))),1,0)</f>
        <v>0</v>
      </c>
    </row>
    <row r="722">
      <c r="A722" s="34" t="n"/>
      <c r="B722" s="31" t="n"/>
      <c r="C722" s="31" t="n"/>
      <c r="D722" s="29" t="n"/>
      <c r="E722" s="35" t="n"/>
      <c r="F722" s="26">
        <f>IF(OR(B722="",E722=""),"",IFERROR(IF(ISNUMBER(INDEX(Config!$D$11:$D$20,MATCH(B722,Config!$A$11:$A$20,0))),E722*INDEX(Config!$D$11:$D$20,MATCH(B722,Config!$A$11:$A$20,0)),"cadastro de custo incompleto em Config"),"pessoa sem custo-hora em Config"))</f>
        <v/>
      </c>
      <c r="G722" s="25">
        <f>IF(A722="","",MONTH(A722))</f>
        <v/>
      </c>
      <c r="H722" s="25">
        <f>IF(A722="","",YEAR(A722))</f>
        <v/>
      </c>
      <c r="I722" s="31" t="n"/>
      <c r="J722" s="36">
        <f>IF(AND(B722&lt;&gt;"",E722&lt;&gt;"",NOT(ISNUMBER(F722))),1,0)</f>
        <v>0</v>
      </c>
    </row>
    <row r="723">
      <c r="A723" s="34" t="n"/>
      <c r="B723" s="31" t="n"/>
      <c r="C723" s="31" t="n"/>
      <c r="D723" s="29" t="n"/>
      <c r="E723" s="35" t="n"/>
      <c r="F723" s="26">
        <f>IF(OR(B723="",E723=""),"",IFERROR(IF(ISNUMBER(INDEX(Config!$D$11:$D$20,MATCH(B723,Config!$A$11:$A$20,0))),E723*INDEX(Config!$D$11:$D$20,MATCH(B723,Config!$A$11:$A$20,0)),"cadastro de custo incompleto em Config"),"pessoa sem custo-hora em Config"))</f>
        <v/>
      </c>
      <c r="G723" s="25">
        <f>IF(A723="","",MONTH(A723))</f>
        <v/>
      </c>
      <c r="H723" s="25">
        <f>IF(A723="","",YEAR(A723))</f>
        <v/>
      </c>
      <c r="I723" s="31" t="n"/>
      <c r="J723" s="36">
        <f>IF(AND(B723&lt;&gt;"",E723&lt;&gt;"",NOT(ISNUMBER(F723))),1,0)</f>
        <v>0</v>
      </c>
    </row>
    <row r="724">
      <c r="A724" s="34" t="n"/>
      <c r="B724" s="31" t="n"/>
      <c r="C724" s="31" t="n"/>
      <c r="D724" s="29" t="n"/>
      <c r="E724" s="35" t="n"/>
      <c r="F724" s="26">
        <f>IF(OR(B724="",E724=""),"",IFERROR(IF(ISNUMBER(INDEX(Config!$D$11:$D$20,MATCH(B724,Config!$A$11:$A$20,0))),E724*INDEX(Config!$D$11:$D$20,MATCH(B724,Config!$A$11:$A$20,0)),"cadastro de custo incompleto em Config"),"pessoa sem custo-hora em Config"))</f>
        <v/>
      </c>
      <c r="G724" s="25">
        <f>IF(A724="","",MONTH(A724))</f>
        <v/>
      </c>
      <c r="H724" s="25">
        <f>IF(A724="","",YEAR(A724))</f>
        <v/>
      </c>
      <c r="I724" s="31" t="n"/>
      <c r="J724" s="36">
        <f>IF(AND(B724&lt;&gt;"",E724&lt;&gt;"",NOT(ISNUMBER(F724))),1,0)</f>
        <v>0</v>
      </c>
    </row>
    <row r="725">
      <c r="A725" s="34" t="n"/>
      <c r="B725" s="31" t="n"/>
      <c r="C725" s="31" t="n"/>
      <c r="D725" s="29" t="n"/>
      <c r="E725" s="35" t="n"/>
      <c r="F725" s="26">
        <f>IF(OR(B725="",E725=""),"",IFERROR(IF(ISNUMBER(INDEX(Config!$D$11:$D$20,MATCH(B725,Config!$A$11:$A$20,0))),E725*INDEX(Config!$D$11:$D$20,MATCH(B725,Config!$A$11:$A$20,0)),"cadastro de custo incompleto em Config"),"pessoa sem custo-hora em Config"))</f>
        <v/>
      </c>
      <c r="G725" s="25">
        <f>IF(A725="","",MONTH(A725))</f>
        <v/>
      </c>
      <c r="H725" s="25">
        <f>IF(A725="","",YEAR(A725))</f>
        <v/>
      </c>
      <c r="I725" s="31" t="n"/>
      <c r="J725" s="36">
        <f>IF(AND(B725&lt;&gt;"",E725&lt;&gt;"",NOT(ISNUMBER(F725))),1,0)</f>
        <v>0</v>
      </c>
    </row>
    <row r="726">
      <c r="A726" s="34" t="n"/>
      <c r="B726" s="31" t="n"/>
      <c r="C726" s="31" t="n"/>
      <c r="D726" s="29" t="n"/>
      <c r="E726" s="35" t="n"/>
      <c r="F726" s="26">
        <f>IF(OR(B726="",E726=""),"",IFERROR(IF(ISNUMBER(INDEX(Config!$D$11:$D$20,MATCH(B726,Config!$A$11:$A$20,0))),E726*INDEX(Config!$D$11:$D$20,MATCH(B726,Config!$A$11:$A$20,0)),"cadastro de custo incompleto em Config"),"pessoa sem custo-hora em Config"))</f>
        <v/>
      </c>
      <c r="G726" s="25">
        <f>IF(A726="","",MONTH(A726))</f>
        <v/>
      </c>
      <c r="H726" s="25">
        <f>IF(A726="","",YEAR(A726))</f>
        <v/>
      </c>
      <c r="I726" s="31" t="n"/>
      <c r="J726" s="36">
        <f>IF(AND(B726&lt;&gt;"",E726&lt;&gt;"",NOT(ISNUMBER(F726))),1,0)</f>
        <v>0</v>
      </c>
    </row>
    <row r="727">
      <c r="A727" s="34" t="n"/>
      <c r="B727" s="31" t="n"/>
      <c r="C727" s="31" t="n"/>
      <c r="D727" s="29" t="n"/>
      <c r="E727" s="35" t="n"/>
      <c r="F727" s="26">
        <f>IF(OR(B727="",E727=""),"",IFERROR(IF(ISNUMBER(INDEX(Config!$D$11:$D$20,MATCH(B727,Config!$A$11:$A$20,0))),E727*INDEX(Config!$D$11:$D$20,MATCH(B727,Config!$A$11:$A$20,0)),"cadastro de custo incompleto em Config"),"pessoa sem custo-hora em Config"))</f>
        <v/>
      </c>
      <c r="G727" s="25">
        <f>IF(A727="","",MONTH(A727))</f>
        <v/>
      </c>
      <c r="H727" s="25">
        <f>IF(A727="","",YEAR(A727))</f>
        <v/>
      </c>
      <c r="I727" s="31" t="n"/>
      <c r="J727" s="36">
        <f>IF(AND(B727&lt;&gt;"",E727&lt;&gt;"",NOT(ISNUMBER(F727))),1,0)</f>
        <v>0</v>
      </c>
    </row>
    <row r="728">
      <c r="A728" s="34" t="n"/>
      <c r="B728" s="31" t="n"/>
      <c r="C728" s="31" t="n"/>
      <c r="D728" s="29" t="n"/>
      <c r="E728" s="35" t="n"/>
      <c r="F728" s="26">
        <f>IF(OR(B728="",E728=""),"",IFERROR(IF(ISNUMBER(INDEX(Config!$D$11:$D$20,MATCH(B728,Config!$A$11:$A$20,0))),E728*INDEX(Config!$D$11:$D$20,MATCH(B728,Config!$A$11:$A$20,0)),"cadastro de custo incompleto em Config"),"pessoa sem custo-hora em Config"))</f>
        <v/>
      </c>
      <c r="G728" s="25">
        <f>IF(A728="","",MONTH(A728))</f>
        <v/>
      </c>
      <c r="H728" s="25">
        <f>IF(A728="","",YEAR(A728))</f>
        <v/>
      </c>
      <c r="I728" s="31" t="n"/>
      <c r="J728" s="36">
        <f>IF(AND(B728&lt;&gt;"",E728&lt;&gt;"",NOT(ISNUMBER(F728))),1,0)</f>
        <v>0</v>
      </c>
    </row>
    <row r="729">
      <c r="A729" s="34" t="n"/>
      <c r="B729" s="31" t="n"/>
      <c r="C729" s="31" t="n"/>
      <c r="D729" s="29" t="n"/>
      <c r="E729" s="35" t="n"/>
      <c r="F729" s="26">
        <f>IF(OR(B729="",E729=""),"",IFERROR(IF(ISNUMBER(INDEX(Config!$D$11:$D$20,MATCH(B729,Config!$A$11:$A$20,0))),E729*INDEX(Config!$D$11:$D$20,MATCH(B729,Config!$A$11:$A$20,0)),"cadastro de custo incompleto em Config"),"pessoa sem custo-hora em Config"))</f>
        <v/>
      </c>
      <c r="G729" s="25">
        <f>IF(A729="","",MONTH(A729))</f>
        <v/>
      </c>
      <c r="H729" s="25">
        <f>IF(A729="","",YEAR(A729))</f>
        <v/>
      </c>
      <c r="I729" s="31" t="n"/>
      <c r="J729" s="36">
        <f>IF(AND(B729&lt;&gt;"",E729&lt;&gt;"",NOT(ISNUMBER(F729))),1,0)</f>
        <v>0</v>
      </c>
    </row>
    <row r="730">
      <c r="A730" s="34" t="n"/>
      <c r="B730" s="31" t="n"/>
      <c r="C730" s="31" t="n"/>
      <c r="D730" s="29" t="n"/>
      <c r="E730" s="35" t="n"/>
      <c r="F730" s="26">
        <f>IF(OR(B730="",E730=""),"",IFERROR(IF(ISNUMBER(INDEX(Config!$D$11:$D$20,MATCH(B730,Config!$A$11:$A$20,0))),E730*INDEX(Config!$D$11:$D$20,MATCH(B730,Config!$A$11:$A$20,0)),"cadastro de custo incompleto em Config"),"pessoa sem custo-hora em Config"))</f>
        <v/>
      </c>
      <c r="G730" s="25">
        <f>IF(A730="","",MONTH(A730))</f>
        <v/>
      </c>
      <c r="H730" s="25">
        <f>IF(A730="","",YEAR(A730))</f>
        <v/>
      </c>
      <c r="I730" s="31" t="n"/>
      <c r="J730" s="36">
        <f>IF(AND(B730&lt;&gt;"",E730&lt;&gt;"",NOT(ISNUMBER(F730))),1,0)</f>
        <v>0</v>
      </c>
    </row>
    <row r="731">
      <c r="A731" s="34" t="n"/>
      <c r="B731" s="31" t="n"/>
      <c r="C731" s="31" t="n"/>
      <c r="D731" s="29" t="n"/>
      <c r="E731" s="35" t="n"/>
      <c r="F731" s="26">
        <f>IF(OR(B731="",E731=""),"",IFERROR(IF(ISNUMBER(INDEX(Config!$D$11:$D$20,MATCH(B731,Config!$A$11:$A$20,0))),E731*INDEX(Config!$D$11:$D$20,MATCH(B731,Config!$A$11:$A$20,0)),"cadastro de custo incompleto em Config"),"pessoa sem custo-hora em Config"))</f>
        <v/>
      </c>
      <c r="G731" s="25">
        <f>IF(A731="","",MONTH(A731))</f>
        <v/>
      </c>
      <c r="H731" s="25">
        <f>IF(A731="","",YEAR(A731))</f>
        <v/>
      </c>
      <c r="I731" s="31" t="n"/>
      <c r="J731" s="36">
        <f>IF(AND(B731&lt;&gt;"",E731&lt;&gt;"",NOT(ISNUMBER(F731))),1,0)</f>
        <v>0</v>
      </c>
    </row>
    <row r="732">
      <c r="A732" s="34" t="n"/>
      <c r="B732" s="31" t="n"/>
      <c r="C732" s="31" t="n"/>
      <c r="D732" s="29" t="n"/>
      <c r="E732" s="35" t="n"/>
      <c r="F732" s="26">
        <f>IF(OR(B732="",E732=""),"",IFERROR(IF(ISNUMBER(INDEX(Config!$D$11:$D$20,MATCH(B732,Config!$A$11:$A$20,0))),E732*INDEX(Config!$D$11:$D$20,MATCH(B732,Config!$A$11:$A$20,0)),"cadastro de custo incompleto em Config"),"pessoa sem custo-hora em Config"))</f>
        <v/>
      </c>
      <c r="G732" s="25">
        <f>IF(A732="","",MONTH(A732))</f>
        <v/>
      </c>
      <c r="H732" s="25">
        <f>IF(A732="","",YEAR(A732))</f>
        <v/>
      </c>
      <c r="I732" s="31" t="n"/>
      <c r="J732" s="36">
        <f>IF(AND(B732&lt;&gt;"",E732&lt;&gt;"",NOT(ISNUMBER(F732))),1,0)</f>
        <v>0</v>
      </c>
    </row>
    <row r="733">
      <c r="A733" s="34" t="n"/>
      <c r="B733" s="31" t="n"/>
      <c r="C733" s="31" t="n"/>
      <c r="D733" s="29" t="n"/>
      <c r="E733" s="35" t="n"/>
      <c r="F733" s="26">
        <f>IF(OR(B733="",E733=""),"",IFERROR(IF(ISNUMBER(INDEX(Config!$D$11:$D$20,MATCH(B733,Config!$A$11:$A$20,0))),E733*INDEX(Config!$D$11:$D$20,MATCH(B733,Config!$A$11:$A$20,0)),"cadastro de custo incompleto em Config"),"pessoa sem custo-hora em Config"))</f>
        <v/>
      </c>
      <c r="G733" s="25">
        <f>IF(A733="","",MONTH(A733))</f>
        <v/>
      </c>
      <c r="H733" s="25">
        <f>IF(A733="","",YEAR(A733))</f>
        <v/>
      </c>
      <c r="I733" s="31" t="n"/>
      <c r="J733" s="36">
        <f>IF(AND(B733&lt;&gt;"",E733&lt;&gt;"",NOT(ISNUMBER(F733))),1,0)</f>
        <v>0</v>
      </c>
    </row>
    <row r="734">
      <c r="A734" s="34" t="n"/>
      <c r="B734" s="31" t="n"/>
      <c r="C734" s="31" t="n"/>
      <c r="D734" s="29" t="n"/>
      <c r="E734" s="35" t="n"/>
      <c r="F734" s="26">
        <f>IF(OR(B734="",E734=""),"",IFERROR(IF(ISNUMBER(INDEX(Config!$D$11:$D$20,MATCH(B734,Config!$A$11:$A$20,0))),E734*INDEX(Config!$D$11:$D$20,MATCH(B734,Config!$A$11:$A$20,0)),"cadastro de custo incompleto em Config"),"pessoa sem custo-hora em Config"))</f>
        <v/>
      </c>
      <c r="G734" s="25">
        <f>IF(A734="","",MONTH(A734))</f>
        <v/>
      </c>
      <c r="H734" s="25">
        <f>IF(A734="","",YEAR(A734))</f>
        <v/>
      </c>
      <c r="I734" s="31" t="n"/>
      <c r="J734" s="36">
        <f>IF(AND(B734&lt;&gt;"",E734&lt;&gt;"",NOT(ISNUMBER(F734))),1,0)</f>
        <v>0</v>
      </c>
    </row>
    <row r="735">
      <c r="A735" s="34" t="n"/>
      <c r="B735" s="31" t="n"/>
      <c r="C735" s="31" t="n"/>
      <c r="D735" s="29" t="n"/>
      <c r="E735" s="35" t="n"/>
      <c r="F735" s="26">
        <f>IF(OR(B735="",E735=""),"",IFERROR(IF(ISNUMBER(INDEX(Config!$D$11:$D$20,MATCH(B735,Config!$A$11:$A$20,0))),E735*INDEX(Config!$D$11:$D$20,MATCH(B735,Config!$A$11:$A$20,0)),"cadastro de custo incompleto em Config"),"pessoa sem custo-hora em Config"))</f>
        <v/>
      </c>
      <c r="G735" s="25">
        <f>IF(A735="","",MONTH(A735))</f>
        <v/>
      </c>
      <c r="H735" s="25">
        <f>IF(A735="","",YEAR(A735))</f>
        <v/>
      </c>
      <c r="I735" s="31" t="n"/>
      <c r="J735" s="36">
        <f>IF(AND(B735&lt;&gt;"",E735&lt;&gt;"",NOT(ISNUMBER(F735))),1,0)</f>
        <v>0</v>
      </c>
    </row>
    <row r="736">
      <c r="A736" s="34" t="n"/>
      <c r="B736" s="31" t="n"/>
      <c r="C736" s="31" t="n"/>
      <c r="D736" s="29" t="n"/>
      <c r="E736" s="35" t="n"/>
      <c r="F736" s="26">
        <f>IF(OR(B736="",E736=""),"",IFERROR(IF(ISNUMBER(INDEX(Config!$D$11:$D$20,MATCH(B736,Config!$A$11:$A$20,0))),E736*INDEX(Config!$D$11:$D$20,MATCH(B736,Config!$A$11:$A$20,0)),"cadastro de custo incompleto em Config"),"pessoa sem custo-hora em Config"))</f>
        <v/>
      </c>
      <c r="G736" s="25">
        <f>IF(A736="","",MONTH(A736))</f>
        <v/>
      </c>
      <c r="H736" s="25">
        <f>IF(A736="","",YEAR(A736))</f>
        <v/>
      </c>
      <c r="I736" s="31" t="n"/>
      <c r="J736" s="36">
        <f>IF(AND(B736&lt;&gt;"",E736&lt;&gt;"",NOT(ISNUMBER(F736))),1,0)</f>
        <v>0</v>
      </c>
    </row>
    <row r="737">
      <c r="A737" s="34" t="n"/>
      <c r="B737" s="31" t="n"/>
      <c r="C737" s="31" t="n"/>
      <c r="D737" s="29" t="n"/>
      <c r="E737" s="35" t="n"/>
      <c r="F737" s="26">
        <f>IF(OR(B737="",E737=""),"",IFERROR(IF(ISNUMBER(INDEX(Config!$D$11:$D$20,MATCH(B737,Config!$A$11:$A$20,0))),E737*INDEX(Config!$D$11:$D$20,MATCH(B737,Config!$A$11:$A$20,0)),"cadastro de custo incompleto em Config"),"pessoa sem custo-hora em Config"))</f>
        <v/>
      </c>
      <c r="G737" s="25">
        <f>IF(A737="","",MONTH(A737))</f>
        <v/>
      </c>
      <c r="H737" s="25">
        <f>IF(A737="","",YEAR(A737))</f>
        <v/>
      </c>
      <c r="I737" s="31" t="n"/>
      <c r="J737" s="36">
        <f>IF(AND(B737&lt;&gt;"",E737&lt;&gt;"",NOT(ISNUMBER(F737))),1,0)</f>
        <v>0</v>
      </c>
    </row>
    <row r="738">
      <c r="A738" s="34" t="n"/>
      <c r="B738" s="31" t="n"/>
      <c r="C738" s="31" t="n"/>
      <c r="D738" s="29" t="n"/>
      <c r="E738" s="35" t="n"/>
      <c r="F738" s="26">
        <f>IF(OR(B738="",E738=""),"",IFERROR(IF(ISNUMBER(INDEX(Config!$D$11:$D$20,MATCH(B738,Config!$A$11:$A$20,0))),E738*INDEX(Config!$D$11:$D$20,MATCH(B738,Config!$A$11:$A$20,0)),"cadastro de custo incompleto em Config"),"pessoa sem custo-hora em Config"))</f>
        <v/>
      </c>
      <c r="G738" s="25">
        <f>IF(A738="","",MONTH(A738))</f>
        <v/>
      </c>
      <c r="H738" s="25">
        <f>IF(A738="","",YEAR(A738))</f>
        <v/>
      </c>
      <c r="I738" s="31" t="n"/>
      <c r="J738" s="36">
        <f>IF(AND(B738&lt;&gt;"",E738&lt;&gt;"",NOT(ISNUMBER(F738))),1,0)</f>
        <v>0</v>
      </c>
    </row>
    <row r="739">
      <c r="A739" s="34" t="n"/>
      <c r="B739" s="31" t="n"/>
      <c r="C739" s="31" t="n"/>
      <c r="D739" s="29" t="n"/>
      <c r="E739" s="35" t="n"/>
      <c r="F739" s="26">
        <f>IF(OR(B739="",E739=""),"",IFERROR(IF(ISNUMBER(INDEX(Config!$D$11:$D$20,MATCH(B739,Config!$A$11:$A$20,0))),E739*INDEX(Config!$D$11:$D$20,MATCH(B739,Config!$A$11:$A$20,0)),"cadastro de custo incompleto em Config"),"pessoa sem custo-hora em Config"))</f>
        <v/>
      </c>
      <c r="G739" s="25">
        <f>IF(A739="","",MONTH(A739))</f>
        <v/>
      </c>
      <c r="H739" s="25">
        <f>IF(A739="","",YEAR(A739))</f>
        <v/>
      </c>
      <c r="I739" s="31" t="n"/>
      <c r="J739" s="36">
        <f>IF(AND(B739&lt;&gt;"",E739&lt;&gt;"",NOT(ISNUMBER(F739))),1,0)</f>
        <v>0</v>
      </c>
    </row>
    <row r="740">
      <c r="A740" s="34" t="n"/>
      <c r="B740" s="31" t="n"/>
      <c r="C740" s="31" t="n"/>
      <c r="D740" s="29" t="n"/>
      <c r="E740" s="35" t="n"/>
      <c r="F740" s="26">
        <f>IF(OR(B740="",E740=""),"",IFERROR(IF(ISNUMBER(INDEX(Config!$D$11:$D$20,MATCH(B740,Config!$A$11:$A$20,0))),E740*INDEX(Config!$D$11:$D$20,MATCH(B740,Config!$A$11:$A$20,0)),"cadastro de custo incompleto em Config"),"pessoa sem custo-hora em Config"))</f>
        <v/>
      </c>
      <c r="G740" s="25">
        <f>IF(A740="","",MONTH(A740))</f>
        <v/>
      </c>
      <c r="H740" s="25">
        <f>IF(A740="","",YEAR(A740))</f>
        <v/>
      </c>
      <c r="I740" s="31" t="n"/>
      <c r="J740" s="36">
        <f>IF(AND(B740&lt;&gt;"",E740&lt;&gt;"",NOT(ISNUMBER(F740))),1,0)</f>
        <v>0</v>
      </c>
    </row>
    <row r="741">
      <c r="A741" s="34" t="n"/>
      <c r="B741" s="31" t="n"/>
      <c r="C741" s="31" t="n"/>
      <c r="D741" s="29" t="n"/>
      <c r="E741" s="35" t="n"/>
      <c r="F741" s="26">
        <f>IF(OR(B741="",E741=""),"",IFERROR(IF(ISNUMBER(INDEX(Config!$D$11:$D$20,MATCH(B741,Config!$A$11:$A$20,0))),E741*INDEX(Config!$D$11:$D$20,MATCH(B741,Config!$A$11:$A$20,0)),"cadastro de custo incompleto em Config"),"pessoa sem custo-hora em Config"))</f>
        <v/>
      </c>
      <c r="G741" s="25">
        <f>IF(A741="","",MONTH(A741))</f>
        <v/>
      </c>
      <c r="H741" s="25">
        <f>IF(A741="","",YEAR(A741))</f>
        <v/>
      </c>
      <c r="I741" s="31" t="n"/>
      <c r="J741" s="36">
        <f>IF(AND(B741&lt;&gt;"",E741&lt;&gt;"",NOT(ISNUMBER(F741))),1,0)</f>
        <v>0</v>
      </c>
    </row>
    <row r="742">
      <c r="A742" s="34" t="n"/>
      <c r="B742" s="31" t="n"/>
      <c r="C742" s="31" t="n"/>
      <c r="D742" s="29" t="n"/>
      <c r="E742" s="35" t="n"/>
      <c r="F742" s="26">
        <f>IF(OR(B742="",E742=""),"",IFERROR(IF(ISNUMBER(INDEX(Config!$D$11:$D$20,MATCH(B742,Config!$A$11:$A$20,0))),E742*INDEX(Config!$D$11:$D$20,MATCH(B742,Config!$A$11:$A$20,0)),"cadastro de custo incompleto em Config"),"pessoa sem custo-hora em Config"))</f>
        <v/>
      </c>
      <c r="G742" s="25">
        <f>IF(A742="","",MONTH(A742))</f>
        <v/>
      </c>
      <c r="H742" s="25">
        <f>IF(A742="","",YEAR(A742))</f>
        <v/>
      </c>
      <c r="I742" s="31" t="n"/>
      <c r="J742" s="36">
        <f>IF(AND(B742&lt;&gt;"",E742&lt;&gt;"",NOT(ISNUMBER(F742))),1,0)</f>
        <v>0</v>
      </c>
    </row>
    <row r="743">
      <c r="A743" s="34" t="n"/>
      <c r="B743" s="31" t="n"/>
      <c r="C743" s="31" t="n"/>
      <c r="D743" s="29" t="n"/>
      <c r="E743" s="35" t="n"/>
      <c r="F743" s="26">
        <f>IF(OR(B743="",E743=""),"",IFERROR(IF(ISNUMBER(INDEX(Config!$D$11:$D$20,MATCH(B743,Config!$A$11:$A$20,0))),E743*INDEX(Config!$D$11:$D$20,MATCH(B743,Config!$A$11:$A$20,0)),"cadastro de custo incompleto em Config"),"pessoa sem custo-hora em Config"))</f>
        <v/>
      </c>
      <c r="G743" s="25">
        <f>IF(A743="","",MONTH(A743))</f>
        <v/>
      </c>
      <c r="H743" s="25">
        <f>IF(A743="","",YEAR(A743))</f>
        <v/>
      </c>
      <c r="I743" s="31" t="n"/>
      <c r="J743" s="36">
        <f>IF(AND(B743&lt;&gt;"",E743&lt;&gt;"",NOT(ISNUMBER(F743))),1,0)</f>
        <v>0</v>
      </c>
    </row>
    <row r="744">
      <c r="A744" s="34" t="n"/>
      <c r="B744" s="31" t="n"/>
      <c r="C744" s="31" t="n"/>
      <c r="D744" s="29" t="n"/>
      <c r="E744" s="35" t="n"/>
      <c r="F744" s="26">
        <f>IF(OR(B744="",E744=""),"",IFERROR(IF(ISNUMBER(INDEX(Config!$D$11:$D$20,MATCH(B744,Config!$A$11:$A$20,0))),E744*INDEX(Config!$D$11:$D$20,MATCH(B744,Config!$A$11:$A$20,0)),"cadastro de custo incompleto em Config"),"pessoa sem custo-hora em Config"))</f>
        <v/>
      </c>
      <c r="G744" s="25">
        <f>IF(A744="","",MONTH(A744))</f>
        <v/>
      </c>
      <c r="H744" s="25">
        <f>IF(A744="","",YEAR(A744))</f>
        <v/>
      </c>
      <c r="I744" s="31" t="n"/>
      <c r="J744" s="36">
        <f>IF(AND(B744&lt;&gt;"",E744&lt;&gt;"",NOT(ISNUMBER(F744))),1,0)</f>
        <v>0</v>
      </c>
    </row>
    <row r="745">
      <c r="A745" s="34" t="n"/>
      <c r="B745" s="31" t="n"/>
      <c r="C745" s="31" t="n"/>
      <c r="D745" s="29" t="n"/>
      <c r="E745" s="35" t="n"/>
      <c r="F745" s="26">
        <f>IF(OR(B745="",E745=""),"",IFERROR(IF(ISNUMBER(INDEX(Config!$D$11:$D$20,MATCH(B745,Config!$A$11:$A$20,0))),E745*INDEX(Config!$D$11:$D$20,MATCH(B745,Config!$A$11:$A$20,0)),"cadastro de custo incompleto em Config"),"pessoa sem custo-hora em Config"))</f>
        <v/>
      </c>
      <c r="G745" s="25">
        <f>IF(A745="","",MONTH(A745))</f>
        <v/>
      </c>
      <c r="H745" s="25">
        <f>IF(A745="","",YEAR(A745))</f>
        <v/>
      </c>
      <c r="I745" s="31" t="n"/>
      <c r="J745" s="36">
        <f>IF(AND(B745&lt;&gt;"",E745&lt;&gt;"",NOT(ISNUMBER(F745))),1,0)</f>
        <v>0</v>
      </c>
    </row>
    <row r="746">
      <c r="A746" s="34" t="n"/>
      <c r="B746" s="31" t="n"/>
      <c r="C746" s="31" t="n"/>
      <c r="D746" s="29" t="n"/>
      <c r="E746" s="35" t="n"/>
      <c r="F746" s="26">
        <f>IF(OR(B746="",E746=""),"",IFERROR(IF(ISNUMBER(INDEX(Config!$D$11:$D$20,MATCH(B746,Config!$A$11:$A$20,0))),E746*INDEX(Config!$D$11:$D$20,MATCH(B746,Config!$A$11:$A$20,0)),"cadastro de custo incompleto em Config"),"pessoa sem custo-hora em Config"))</f>
        <v/>
      </c>
      <c r="G746" s="25">
        <f>IF(A746="","",MONTH(A746))</f>
        <v/>
      </c>
      <c r="H746" s="25">
        <f>IF(A746="","",YEAR(A746))</f>
        <v/>
      </c>
      <c r="I746" s="31" t="n"/>
      <c r="J746" s="36">
        <f>IF(AND(B746&lt;&gt;"",E746&lt;&gt;"",NOT(ISNUMBER(F746))),1,0)</f>
        <v>0</v>
      </c>
    </row>
    <row r="747">
      <c r="A747" s="34" t="n"/>
      <c r="B747" s="31" t="n"/>
      <c r="C747" s="31" t="n"/>
      <c r="D747" s="29" t="n"/>
      <c r="E747" s="35" t="n"/>
      <c r="F747" s="26">
        <f>IF(OR(B747="",E747=""),"",IFERROR(IF(ISNUMBER(INDEX(Config!$D$11:$D$20,MATCH(B747,Config!$A$11:$A$20,0))),E747*INDEX(Config!$D$11:$D$20,MATCH(B747,Config!$A$11:$A$20,0)),"cadastro de custo incompleto em Config"),"pessoa sem custo-hora em Config"))</f>
        <v/>
      </c>
      <c r="G747" s="25">
        <f>IF(A747="","",MONTH(A747))</f>
        <v/>
      </c>
      <c r="H747" s="25">
        <f>IF(A747="","",YEAR(A747))</f>
        <v/>
      </c>
      <c r="I747" s="31" t="n"/>
      <c r="J747" s="36">
        <f>IF(AND(B747&lt;&gt;"",E747&lt;&gt;"",NOT(ISNUMBER(F747))),1,0)</f>
        <v>0</v>
      </c>
    </row>
    <row r="748">
      <c r="A748" s="34" t="n"/>
      <c r="B748" s="31" t="n"/>
      <c r="C748" s="31" t="n"/>
      <c r="D748" s="29" t="n"/>
      <c r="E748" s="35" t="n"/>
      <c r="F748" s="26">
        <f>IF(OR(B748="",E748=""),"",IFERROR(IF(ISNUMBER(INDEX(Config!$D$11:$D$20,MATCH(B748,Config!$A$11:$A$20,0))),E748*INDEX(Config!$D$11:$D$20,MATCH(B748,Config!$A$11:$A$20,0)),"cadastro de custo incompleto em Config"),"pessoa sem custo-hora em Config"))</f>
        <v/>
      </c>
      <c r="G748" s="25">
        <f>IF(A748="","",MONTH(A748))</f>
        <v/>
      </c>
      <c r="H748" s="25">
        <f>IF(A748="","",YEAR(A748))</f>
        <v/>
      </c>
      <c r="I748" s="31" t="n"/>
      <c r="J748" s="36">
        <f>IF(AND(B748&lt;&gt;"",E748&lt;&gt;"",NOT(ISNUMBER(F748))),1,0)</f>
        <v>0</v>
      </c>
    </row>
    <row r="749">
      <c r="A749" s="34" t="n"/>
      <c r="B749" s="31" t="n"/>
      <c r="C749" s="31" t="n"/>
      <c r="D749" s="29" t="n"/>
      <c r="E749" s="35" t="n"/>
      <c r="F749" s="26">
        <f>IF(OR(B749="",E749=""),"",IFERROR(IF(ISNUMBER(INDEX(Config!$D$11:$D$20,MATCH(B749,Config!$A$11:$A$20,0))),E749*INDEX(Config!$D$11:$D$20,MATCH(B749,Config!$A$11:$A$20,0)),"cadastro de custo incompleto em Config"),"pessoa sem custo-hora em Config"))</f>
        <v/>
      </c>
      <c r="G749" s="25">
        <f>IF(A749="","",MONTH(A749))</f>
        <v/>
      </c>
      <c r="H749" s="25">
        <f>IF(A749="","",YEAR(A749))</f>
        <v/>
      </c>
      <c r="I749" s="31" t="n"/>
      <c r="J749" s="36">
        <f>IF(AND(B749&lt;&gt;"",E749&lt;&gt;"",NOT(ISNUMBER(F749))),1,0)</f>
        <v>0</v>
      </c>
    </row>
    <row r="750">
      <c r="A750" s="34" t="n"/>
      <c r="B750" s="31" t="n"/>
      <c r="C750" s="31" t="n"/>
      <c r="D750" s="29" t="n"/>
      <c r="E750" s="35" t="n"/>
      <c r="F750" s="26">
        <f>IF(OR(B750="",E750=""),"",IFERROR(IF(ISNUMBER(INDEX(Config!$D$11:$D$20,MATCH(B750,Config!$A$11:$A$20,0))),E750*INDEX(Config!$D$11:$D$20,MATCH(B750,Config!$A$11:$A$20,0)),"cadastro de custo incompleto em Config"),"pessoa sem custo-hora em Config"))</f>
        <v/>
      </c>
      <c r="G750" s="25">
        <f>IF(A750="","",MONTH(A750))</f>
        <v/>
      </c>
      <c r="H750" s="25">
        <f>IF(A750="","",YEAR(A750))</f>
        <v/>
      </c>
      <c r="I750" s="31" t="n"/>
      <c r="J750" s="36">
        <f>IF(AND(B750&lt;&gt;"",E750&lt;&gt;"",NOT(ISNUMBER(F750))),1,0)</f>
        <v>0</v>
      </c>
    </row>
    <row r="751">
      <c r="A751" s="34" t="n"/>
      <c r="B751" s="31" t="n"/>
      <c r="C751" s="31" t="n"/>
      <c r="D751" s="29" t="n"/>
      <c r="E751" s="35" t="n"/>
      <c r="F751" s="26">
        <f>IF(OR(B751="",E751=""),"",IFERROR(IF(ISNUMBER(INDEX(Config!$D$11:$D$20,MATCH(B751,Config!$A$11:$A$20,0))),E751*INDEX(Config!$D$11:$D$20,MATCH(B751,Config!$A$11:$A$20,0)),"cadastro de custo incompleto em Config"),"pessoa sem custo-hora em Config"))</f>
        <v/>
      </c>
      <c r="G751" s="25">
        <f>IF(A751="","",MONTH(A751))</f>
        <v/>
      </c>
      <c r="H751" s="25">
        <f>IF(A751="","",YEAR(A751))</f>
        <v/>
      </c>
      <c r="I751" s="31" t="n"/>
      <c r="J751" s="36">
        <f>IF(AND(B751&lt;&gt;"",E751&lt;&gt;"",NOT(ISNUMBER(F751))),1,0)</f>
        <v>0</v>
      </c>
    </row>
    <row r="752">
      <c r="A752" s="34" t="n"/>
      <c r="B752" s="31" t="n"/>
      <c r="C752" s="31" t="n"/>
      <c r="D752" s="29" t="n"/>
      <c r="E752" s="35" t="n"/>
      <c r="F752" s="26">
        <f>IF(OR(B752="",E752=""),"",IFERROR(IF(ISNUMBER(INDEX(Config!$D$11:$D$20,MATCH(B752,Config!$A$11:$A$20,0))),E752*INDEX(Config!$D$11:$D$20,MATCH(B752,Config!$A$11:$A$20,0)),"cadastro de custo incompleto em Config"),"pessoa sem custo-hora em Config"))</f>
        <v/>
      </c>
      <c r="G752" s="25">
        <f>IF(A752="","",MONTH(A752))</f>
        <v/>
      </c>
      <c r="H752" s="25">
        <f>IF(A752="","",YEAR(A752))</f>
        <v/>
      </c>
      <c r="I752" s="31" t="n"/>
      <c r="J752" s="36">
        <f>IF(AND(B752&lt;&gt;"",E752&lt;&gt;"",NOT(ISNUMBER(F752))),1,0)</f>
        <v>0</v>
      </c>
    </row>
    <row r="753">
      <c r="A753" s="34" t="n"/>
      <c r="B753" s="31" t="n"/>
      <c r="C753" s="31" t="n"/>
      <c r="D753" s="29" t="n"/>
      <c r="E753" s="35" t="n"/>
      <c r="F753" s="26">
        <f>IF(OR(B753="",E753=""),"",IFERROR(IF(ISNUMBER(INDEX(Config!$D$11:$D$20,MATCH(B753,Config!$A$11:$A$20,0))),E753*INDEX(Config!$D$11:$D$20,MATCH(B753,Config!$A$11:$A$20,0)),"cadastro de custo incompleto em Config"),"pessoa sem custo-hora em Config"))</f>
        <v/>
      </c>
      <c r="G753" s="25">
        <f>IF(A753="","",MONTH(A753))</f>
        <v/>
      </c>
      <c r="H753" s="25">
        <f>IF(A753="","",YEAR(A753))</f>
        <v/>
      </c>
      <c r="I753" s="31" t="n"/>
      <c r="J753" s="36">
        <f>IF(AND(B753&lt;&gt;"",E753&lt;&gt;"",NOT(ISNUMBER(F753))),1,0)</f>
        <v>0</v>
      </c>
    </row>
    <row r="754">
      <c r="A754" s="34" t="n"/>
      <c r="B754" s="31" t="n"/>
      <c r="C754" s="31" t="n"/>
      <c r="D754" s="29" t="n"/>
      <c r="E754" s="35" t="n"/>
      <c r="F754" s="26">
        <f>IF(OR(B754="",E754=""),"",IFERROR(IF(ISNUMBER(INDEX(Config!$D$11:$D$20,MATCH(B754,Config!$A$11:$A$20,0))),E754*INDEX(Config!$D$11:$D$20,MATCH(B754,Config!$A$11:$A$20,0)),"cadastro de custo incompleto em Config"),"pessoa sem custo-hora em Config"))</f>
        <v/>
      </c>
      <c r="G754" s="25">
        <f>IF(A754="","",MONTH(A754))</f>
        <v/>
      </c>
      <c r="H754" s="25">
        <f>IF(A754="","",YEAR(A754))</f>
        <v/>
      </c>
      <c r="I754" s="31" t="n"/>
      <c r="J754" s="36">
        <f>IF(AND(B754&lt;&gt;"",E754&lt;&gt;"",NOT(ISNUMBER(F754))),1,0)</f>
        <v>0</v>
      </c>
    </row>
    <row r="755">
      <c r="A755" s="34" t="n"/>
      <c r="B755" s="31" t="n"/>
      <c r="C755" s="31" t="n"/>
      <c r="D755" s="29" t="n"/>
      <c r="E755" s="35" t="n"/>
      <c r="F755" s="26">
        <f>IF(OR(B755="",E755=""),"",IFERROR(IF(ISNUMBER(INDEX(Config!$D$11:$D$20,MATCH(B755,Config!$A$11:$A$20,0))),E755*INDEX(Config!$D$11:$D$20,MATCH(B755,Config!$A$11:$A$20,0)),"cadastro de custo incompleto em Config"),"pessoa sem custo-hora em Config"))</f>
        <v/>
      </c>
      <c r="G755" s="25">
        <f>IF(A755="","",MONTH(A755))</f>
        <v/>
      </c>
      <c r="H755" s="25">
        <f>IF(A755="","",YEAR(A755))</f>
        <v/>
      </c>
      <c r="I755" s="31" t="n"/>
      <c r="J755" s="36">
        <f>IF(AND(B755&lt;&gt;"",E755&lt;&gt;"",NOT(ISNUMBER(F755))),1,0)</f>
        <v>0</v>
      </c>
    </row>
    <row r="756">
      <c r="A756" s="34" t="n"/>
      <c r="B756" s="31" t="n"/>
      <c r="C756" s="31" t="n"/>
      <c r="D756" s="29" t="n"/>
      <c r="E756" s="35" t="n"/>
      <c r="F756" s="26">
        <f>IF(OR(B756="",E756=""),"",IFERROR(IF(ISNUMBER(INDEX(Config!$D$11:$D$20,MATCH(B756,Config!$A$11:$A$20,0))),E756*INDEX(Config!$D$11:$D$20,MATCH(B756,Config!$A$11:$A$20,0)),"cadastro de custo incompleto em Config"),"pessoa sem custo-hora em Config"))</f>
        <v/>
      </c>
      <c r="G756" s="25">
        <f>IF(A756="","",MONTH(A756))</f>
        <v/>
      </c>
      <c r="H756" s="25">
        <f>IF(A756="","",YEAR(A756))</f>
        <v/>
      </c>
      <c r="I756" s="31" t="n"/>
      <c r="J756" s="36">
        <f>IF(AND(B756&lt;&gt;"",E756&lt;&gt;"",NOT(ISNUMBER(F756))),1,0)</f>
        <v>0</v>
      </c>
    </row>
    <row r="757">
      <c r="A757" s="34" t="n"/>
      <c r="B757" s="31" t="n"/>
      <c r="C757" s="31" t="n"/>
      <c r="D757" s="29" t="n"/>
      <c r="E757" s="35" t="n"/>
      <c r="F757" s="26">
        <f>IF(OR(B757="",E757=""),"",IFERROR(IF(ISNUMBER(INDEX(Config!$D$11:$D$20,MATCH(B757,Config!$A$11:$A$20,0))),E757*INDEX(Config!$D$11:$D$20,MATCH(B757,Config!$A$11:$A$20,0)),"cadastro de custo incompleto em Config"),"pessoa sem custo-hora em Config"))</f>
        <v/>
      </c>
      <c r="G757" s="25">
        <f>IF(A757="","",MONTH(A757))</f>
        <v/>
      </c>
      <c r="H757" s="25">
        <f>IF(A757="","",YEAR(A757))</f>
        <v/>
      </c>
      <c r="I757" s="31" t="n"/>
      <c r="J757" s="36">
        <f>IF(AND(B757&lt;&gt;"",E757&lt;&gt;"",NOT(ISNUMBER(F757))),1,0)</f>
        <v>0</v>
      </c>
    </row>
    <row r="758">
      <c r="A758" s="34" t="n"/>
      <c r="B758" s="31" t="n"/>
      <c r="C758" s="31" t="n"/>
      <c r="D758" s="29" t="n"/>
      <c r="E758" s="35" t="n"/>
      <c r="F758" s="26">
        <f>IF(OR(B758="",E758=""),"",IFERROR(IF(ISNUMBER(INDEX(Config!$D$11:$D$20,MATCH(B758,Config!$A$11:$A$20,0))),E758*INDEX(Config!$D$11:$D$20,MATCH(B758,Config!$A$11:$A$20,0)),"cadastro de custo incompleto em Config"),"pessoa sem custo-hora em Config"))</f>
        <v/>
      </c>
      <c r="G758" s="25">
        <f>IF(A758="","",MONTH(A758))</f>
        <v/>
      </c>
      <c r="H758" s="25">
        <f>IF(A758="","",YEAR(A758))</f>
        <v/>
      </c>
      <c r="I758" s="31" t="n"/>
      <c r="J758" s="36">
        <f>IF(AND(B758&lt;&gt;"",E758&lt;&gt;"",NOT(ISNUMBER(F758))),1,0)</f>
        <v>0</v>
      </c>
    </row>
    <row r="759">
      <c r="A759" s="34" t="n"/>
      <c r="B759" s="31" t="n"/>
      <c r="C759" s="31" t="n"/>
      <c r="D759" s="29" t="n"/>
      <c r="E759" s="35" t="n"/>
      <c r="F759" s="26">
        <f>IF(OR(B759="",E759=""),"",IFERROR(IF(ISNUMBER(INDEX(Config!$D$11:$D$20,MATCH(B759,Config!$A$11:$A$20,0))),E759*INDEX(Config!$D$11:$D$20,MATCH(B759,Config!$A$11:$A$20,0)),"cadastro de custo incompleto em Config"),"pessoa sem custo-hora em Config"))</f>
        <v/>
      </c>
      <c r="G759" s="25">
        <f>IF(A759="","",MONTH(A759))</f>
        <v/>
      </c>
      <c r="H759" s="25">
        <f>IF(A759="","",YEAR(A759))</f>
        <v/>
      </c>
      <c r="I759" s="31" t="n"/>
      <c r="J759" s="36">
        <f>IF(AND(B759&lt;&gt;"",E759&lt;&gt;"",NOT(ISNUMBER(F759))),1,0)</f>
        <v>0</v>
      </c>
    </row>
    <row r="760">
      <c r="A760" s="34" t="n"/>
      <c r="B760" s="31" t="n"/>
      <c r="C760" s="31" t="n"/>
      <c r="D760" s="29" t="n"/>
      <c r="E760" s="35" t="n"/>
      <c r="F760" s="26">
        <f>IF(OR(B760="",E760=""),"",IFERROR(IF(ISNUMBER(INDEX(Config!$D$11:$D$20,MATCH(B760,Config!$A$11:$A$20,0))),E760*INDEX(Config!$D$11:$D$20,MATCH(B760,Config!$A$11:$A$20,0)),"cadastro de custo incompleto em Config"),"pessoa sem custo-hora em Config"))</f>
        <v/>
      </c>
      <c r="G760" s="25">
        <f>IF(A760="","",MONTH(A760))</f>
        <v/>
      </c>
      <c r="H760" s="25">
        <f>IF(A760="","",YEAR(A760))</f>
        <v/>
      </c>
      <c r="I760" s="31" t="n"/>
      <c r="J760" s="36">
        <f>IF(AND(B760&lt;&gt;"",E760&lt;&gt;"",NOT(ISNUMBER(F760))),1,0)</f>
        <v>0</v>
      </c>
    </row>
    <row r="761">
      <c r="A761" s="34" t="n"/>
      <c r="B761" s="31" t="n"/>
      <c r="C761" s="31" t="n"/>
      <c r="D761" s="29" t="n"/>
      <c r="E761" s="35" t="n"/>
      <c r="F761" s="26">
        <f>IF(OR(B761="",E761=""),"",IFERROR(IF(ISNUMBER(INDEX(Config!$D$11:$D$20,MATCH(B761,Config!$A$11:$A$20,0))),E761*INDEX(Config!$D$11:$D$20,MATCH(B761,Config!$A$11:$A$20,0)),"cadastro de custo incompleto em Config"),"pessoa sem custo-hora em Config"))</f>
        <v/>
      </c>
      <c r="G761" s="25">
        <f>IF(A761="","",MONTH(A761))</f>
        <v/>
      </c>
      <c r="H761" s="25">
        <f>IF(A761="","",YEAR(A761))</f>
        <v/>
      </c>
      <c r="I761" s="31" t="n"/>
      <c r="J761" s="36">
        <f>IF(AND(B761&lt;&gt;"",E761&lt;&gt;"",NOT(ISNUMBER(F761))),1,0)</f>
        <v>0</v>
      </c>
    </row>
    <row r="762">
      <c r="A762" s="34" t="n"/>
      <c r="B762" s="31" t="n"/>
      <c r="C762" s="31" t="n"/>
      <c r="D762" s="29" t="n"/>
      <c r="E762" s="35" t="n"/>
      <c r="F762" s="26">
        <f>IF(OR(B762="",E762=""),"",IFERROR(IF(ISNUMBER(INDEX(Config!$D$11:$D$20,MATCH(B762,Config!$A$11:$A$20,0))),E762*INDEX(Config!$D$11:$D$20,MATCH(B762,Config!$A$11:$A$20,0)),"cadastro de custo incompleto em Config"),"pessoa sem custo-hora em Config"))</f>
        <v/>
      </c>
      <c r="G762" s="25">
        <f>IF(A762="","",MONTH(A762))</f>
        <v/>
      </c>
      <c r="H762" s="25">
        <f>IF(A762="","",YEAR(A762))</f>
        <v/>
      </c>
      <c r="I762" s="31" t="n"/>
      <c r="J762" s="36">
        <f>IF(AND(B762&lt;&gt;"",E762&lt;&gt;"",NOT(ISNUMBER(F762))),1,0)</f>
        <v>0</v>
      </c>
    </row>
    <row r="763">
      <c r="A763" s="34" t="n"/>
      <c r="B763" s="31" t="n"/>
      <c r="C763" s="31" t="n"/>
      <c r="D763" s="29" t="n"/>
      <c r="E763" s="35" t="n"/>
      <c r="F763" s="26">
        <f>IF(OR(B763="",E763=""),"",IFERROR(IF(ISNUMBER(INDEX(Config!$D$11:$D$20,MATCH(B763,Config!$A$11:$A$20,0))),E763*INDEX(Config!$D$11:$D$20,MATCH(B763,Config!$A$11:$A$20,0)),"cadastro de custo incompleto em Config"),"pessoa sem custo-hora em Config"))</f>
        <v/>
      </c>
      <c r="G763" s="25">
        <f>IF(A763="","",MONTH(A763))</f>
        <v/>
      </c>
      <c r="H763" s="25">
        <f>IF(A763="","",YEAR(A763))</f>
        <v/>
      </c>
      <c r="I763" s="31" t="n"/>
      <c r="J763" s="36">
        <f>IF(AND(B763&lt;&gt;"",E763&lt;&gt;"",NOT(ISNUMBER(F763))),1,0)</f>
        <v>0</v>
      </c>
    </row>
    <row r="764">
      <c r="A764" s="34" t="n"/>
      <c r="B764" s="31" t="n"/>
      <c r="C764" s="31" t="n"/>
      <c r="D764" s="29" t="n"/>
      <c r="E764" s="35" t="n"/>
      <c r="F764" s="26">
        <f>IF(OR(B764="",E764=""),"",IFERROR(IF(ISNUMBER(INDEX(Config!$D$11:$D$20,MATCH(B764,Config!$A$11:$A$20,0))),E764*INDEX(Config!$D$11:$D$20,MATCH(B764,Config!$A$11:$A$20,0)),"cadastro de custo incompleto em Config"),"pessoa sem custo-hora em Config"))</f>
        <v/>
      </c>
      <c r="G764" s="25">
        <f>IF(A764="","",MONTH(A764))</f>
        <v/>
      </c>
      <c r="H764" s="25">
        <f>IF(A764="","",YEAR(A764))</f>
        <v/>
      </c>
      <c r="I764" s="31" t="n"/>
      <c r="J764" s="36">
        <f>IF(AND(B764&lt;&gt;"",E764&lt;&gt;"",NOT(ISNUMBER(F764))),1,0)</f>
        <v>0</v>
      </c>
    </row>
    <row r="765">
      <c r="A765" s="34" t="n"/>
      <c r="B765" s="31" t="n"/>
      <c r="C765" s="31" t="n"/>
      <c r="D765" s="29" t="n"/>
      <c r="E765" s="35" t="n"/>
      <c r="F765" s="26">
        <f>IF(OR(B765="",E765=""),"",IFERROR(IF(ISNUMBER(INDEX(Config!$D$11:$D$20,MATCH(B765,Config!$A$11:$A$20,0))),E765*INDEX(Config!$D$11:$D$20,MATCH(B765,Config!$A$11:$A$20,0)),"cadastro de custo incompleto em Config"),"pessoa sem custo-hora em Config"))</f>
        <v/>
      </c>
      <c r="G765" s="25">
        <f>IF(A765="","",MONTH(A765))</f>
        <v/>
      </c>
      <c r="H765" s="25">
        <f>IF(A765="","",YEAR(A765))</f>
        <v/>
      </c>
      <c r="I765" s="31" t="n"/>
      <c r="J765" s="36">
        <f>IF(AND(B765&lt;&gt;"",E765&lt;&gt;"",NOT(ISNUMBER(F765))),1,0)</f>
        <v>0</v>
      </c>
    </row>
    <row r="766">
      <c r="A766" s="34" t="n"/>
      <c r="B766" s="31" t="n"/>
      <c r="C766" s="31" t="n"/>
      <c r="D766" s="29" t="n"/>
      <c r="E766" s="35" t="n"/>
      <c r="F766" s="26">
        <f>IF(OR(B766="",E766=""),"",IFERROR(IF(ISNUMBER(INDEX(Config!$D$11:$D$20,MATCH(B766,Config!$A$11:$A$20,0))),E766*INDEX(Config!$D$11:$D$20,MATCH(B766,Config!$A$11:$A$20,0)),"cadastro de custo incompleto em Config"),"pessoa sem custo-hora em Config"))</f>
        <v/>
      </c>
      <c r="G766" s="25">
        <f>IF(A766="","",MONTH(A766))</f>
        <v/>
      </c>
      <c r="H766" s="25">
        <f>IF(A766="","",YEAR(A766))</f>
        <v/>
      </c>
      <c r="I766" s="31" t="n"/>
      <c r="J766" s="36">
        <f>IF(AND(B766&lt;&gt;"",E766&lt;&gt;"",NOT(ISNUMBER(F766))),1,0)</f>
        <v>0</v>
      </c>
    </row>
    <row r="767">
      <c r="A767" s="34" t="n"/>
      <c r="B767" s="31" t="n"/>
      <c r="C767" s="31" t="n"/>
      <c r="D767" s="29" t="n"/>
      <c r="E767" s="35" t="n"/>
      <c r="F767" s="26">
        <f>IF(OR(B767="",E767=""),"",IFERROR(IF(ISNUMBER(INDEX(Config!$D$11:$D$20,MATCH(B767,Config!$A$11:$A$20,0))),E767*INDEX(Config!$D$11:$D$20,MATCH(B767,Config!$A$11:$A$20,0)),"cadastro de custo incompleto em Config"),"pessoa sem custo-hora em Config"))</f>
        <v/>
      </c>
      <c r="G767" s="25">
        <f>IF(A767="","",MONTH(A767))</f>
        <v/>
      </c>
      <c r="H767" s="25">
        <f>IF(A767="","",YEAR(A767))</f>
        <v/>
      </c>
      <c r="I767" s="31" t="n"/>
      <c r="J767" s="36">
        <f>IF(AND(B767&lt;&gt;"",E767&lt;&gt;"",NOT(ISNUMBER(F767))),1,0)</f>
        <v>0</v>
      </c>
    </row>
    <row r="768">
      <c r="A768" s="34" t="n"/>
      <c r="B768" s="31" t="n"/>
      <c r="C768" s="31" t="n"/>
      <c r="D768" s="29" t="n"/>
      <c r="E768" s="35" t="n"/>
      <c r="F768" s="26">
        <f>IF(OR(B768="",E768=""),"",IFERROR(IF(ISNUMBER(INDEX(Config!$D$11:$D$20,MATCH(B768,Config!$A$11:$A$20,0))),E768*INDEX(Config!$D$11:$D$20,MATCH(B768,Config!$A$11:$A$20,0)),"cadastro de custo incompleto em Config"),"pessoa sem custo-hora em Config"))</f>
        <v/>
      </c>
      <c r="G768" s="25">
        <f>IF(A768="","",MONTH(A768))</f>
        <v/>
      </c>
      <c r="H768" s="25">
        <f>IF(A768="","",YEAR(A768))</f>
        <v/>
      </c>
      <c r="I768" s="31" t="n"/>
      <c r="J768" s="36">
        <f>IF(AND(B768&lt;&gt;"",E768&lt;&gt;"",NOT(ISNUMBER(F768))),1,0)</f>
        <v>0</v>
      </c>
    </row>
    <row r="769">
      <c r="A769" s="34" t="n"/>
      <c r="B769" s="31" t="n"/>
      <c r="C769" s="31" t="n"/>
      <c r="D769" s="29" t="n"/>
      <c r="E769" s="35" t="n"/>
      <c r="F769" s="26">
        <f>IF(OR(B769="",E769=""),"",IFERROR(IF(ISNUMBER(INDEX(Config!$D$11:$D$20,MATCH(B769,Config!$A$11:$A$20,0))),E769*INDEX(Config!$D$11:$D$20,MATCH(B769,Config!$A$11:$A$20,0)),"cadastro de custo incompleto em Config"),"pessoa sem custo-hora em Config"))</f>
        <v/>
      </c>
      <c r="G769" s="25">
        <f>IF(A769="","",MONTH(A769))</f>
        <v/>
      </c>
      <c r="H769" s="25">
        <f>IF(A769="","",YEAR(A769))</f>
        <v/>
      </c>
      <c r="I769" s="31" t="n"/>
      <c r="J769" s="36">
        <f>IF(AND(B769&lt;&gt;"",E769&lt;&gt;"",NOT(ISNUMBER(F769))),1,0)</f>
        <v>0</v>
      </c>
    </row>
    <row r="770">
      <c r="A770" s="34" t="n"/>
      <c r="B770" s="31" t="n"/>
      <c r="C770" s="31" t="n"/>
      <c r="D770" s="29" t="n"/>
      <c r="E770" s="35" t="n"/>
      <c r="F770" s="26">
        <f>IF(OR(B770="",E770=""),"",IFERROR(IF(ISNUMBER(INDEX(Config!$D$11:$D$20,MATCH(B770,Config!$A$11:$A$20,0))),E770*INDEX(Config!$D$11:$D$20,MATCH(B770,Config!$A$11:$A$20,0)),"cadastro de custo incompleto em Config"),"pessoa sem custo-hora em Config"))</f>
        <v/>
      </c>
      <c r="G770" s="25">
        <f>IF(A770="","",MONTH(A770))</f>
        <v/>
      </c>
      <c r="H770" s="25">
        <f>IF(A770="","",YEAR(A770))</f>
        <v/>
      </c>
      <c r="I770" s="31" t="n"/>
      <c r="J770" s="36">
        <f>IF(AND(B770&lt;&gt;"",E770&lt;&gt;"",NOT(ISNUMBER(F770))),1,0)</f>
        <v>0</v>
      </c>
    </row>
    <row r="771">
      <c r="A771" s="34" t="n"/>
      <c r="B771" s="31" t="n"/>
      <c r="C771" s="31" t="n"/>
      <c r="D771" s="29" t="n"/>
      <c r="E771" s="35" t="n"/>
      <c r="F771" s="26">
        <f>IF(OR(B771="",E771=""),"",IFERROR(IF(ISNUMBER(INDEX(Config!$D$11:$D$20,MATCH(B771,Config!$A$11:$A$20,0))),E771*INDEX(Config!$D$11:$D$20,MATCH(B771,Config!$A$11:$A$20,0)),"cadastro de custo incompleto em Config"),"pessoa sem custo-hora em Config"))</f>
        <v/>
      </c>
      <c r="G771" s="25">
        <f>IF(A771="","",MONTH(A771))</f>
        <v/>
      </c>
      <c r="H771" s="25">
        <f>IF(A771="","",YEAR(A771))</f>
        <v/>
      </c>
      <c r="I771" s="31" t="n"/>
      <c r="J771" s="36">
        <f>IF(AND(B771&lt;&gt;"",E771&lt;&gt;"",NOT(ISNUMBER(F771))),1,0)</f>
        <v>0</v>
      </c>
    </row>
    <row r="772">
      <c r="A772" s="34" t="n"/>
      <c r="B772" s="31" t="n"/>
      <c r="C772" s="31" t="n"/>
      <c r="D772" s="29" t="n"/>
      <c r="E772" s="35" t="n"/>
      <c r="F772" s="26">
        <f>IF(OR(B772="",E772=""),"",IFERROR(IF(ISNUMBER(INDEX(Config!$D$11:$D$20,MATCH(B772,Config!$A$11:$A$20,0))),E772*INDEX(Config!$D$11:$D$20,MATCH(B772,Config!$A$11:$A$20,0)),"cadastro de custo incompleto em Config"),"pessoa sem custo-hora em Config"))</f>
        <v/>
      </c>
      <c r="G772" s="25">
        <f>IF(A772="","",MONTH(A772))</f>
        <v/>
      </c>
      <c r="H772" s="25">
        <f>IF(A772="","",YEAR(A772))</f>
        <v/>
      </c>
      <c r="I772" s="31" t="n"/>
      <c r="J772" s="36">
        <f>IF(AND(B772&lt;&gt;"",E772&lt;&gt;"",NOT(ISNUMBER(F772))),1,0)</f>
        <v>0</v>
      </c>
    </row>
    <row r="773">
      <c r="A773" s="34" t="n"/>
      <c r="B773" s="31" t="n"/>
      <c r="C773" s="31" t="n"/>
      <c r="D773" s="29" t="n"/>
      <c r="E773" s="35" t="n"/>
      <c r="F773" s="26">
        <f>IF(OR(B773="",E773=""),"",IFERROR(IF(ISNUMBER(INDEX(Config!$D$11:$D$20,MATCH(B773,Config!$A$11:$A$20,0))),E773*INDEX(Config!$D$11:$D$20,MATCH(B773,Config!$A$11:$A$20,0)),"cadastro de custo incompleto em Config"),"pessoa sem custo-hora em Config"))</f>
        <v/>
      </c>
      <c r="G773" s="25">
        <f>IF(A773="","",MONTH(A773))</f>
        <v/>
      </c>
      <c r="H773" s="25">
        <f>IF(A773="","",YEAR(A773))</f>
        <v/>
      </c>
      <c r="I773" s="31" t="n"/>
      <c r="J773" s="36">
        <f>IF(AND(B773&lt;&gt;"",E773&lt;&gt;"",NOT(ISNUMBER(F773))),1,0)</f>
        <v>0</v>
      </c>
    </row>
    <row r="774">
      <c r="A774" s="34" t="n"/>
      <c r="B774" s="31" t="n"/>
      <c r="C774" s="31" t="n"/>
      <c r="D774" s="29" t="n"/>
      <c r="E774" s="35" t="n"/>
      <c r="F774" s="26">
        <f>IF(OR(B774="",E774=""),"",IFERROR(IF(ISNUMBER(INDEX(Config!$D$11:$D$20,MATCH(B774,Config!$A$11:$A$20,0))),E774*INDEX(Config!$D$11:$D$20,MATCH(B774,Config!$A$11:$A$20,0)),"cadastro de custo incompleto em Config"),"pessoa sem custo-hora em Config"))</f>
        <v/>
      </c>
      <c r="G774" s="25">
        <f>IF(A774="","",MONTH(A774))</f>
        <v/>
      </c>
      <c r="H774" s="25">
        <f>IF(A774="","",YEAR(A774))</f>
        <v/>
      </c>
      <c r="I774" s="31" t="n"/>
      <c r="J774" s="36">
        <f>IF(AND(B774&lt;&gt;"",E774&lt;&gt;"",NOT(ISNUMBER(F774))),1,0)</f>
        <v>0</v>
      </c>
    </row>
    <row r="775">
      <c r="A775" s="34" t="n"/>
      <c r="B775" s="31" t="n"/>
      <c r="C775" s="31" t="n"/>
      <c r="D775" s="29" t="n"/>
      <c r="E775" s="35" t="n"/>
      <c r="F775" s="26">
        <f>IF(OR(B775="",E775=""),"",IFERROR(IF(ISNUMBER(INDEX(Config!$D$11:$D$20,MATCH(B775,Config!$A$11:$A$20,0))),E775*INDEX(Config!$D$11:$D$20,MATCH(B775,Config!$A$11:$A$20,0)),"cadastro de custo incompleto em Config"),"pessoa sem custo-hora em Config"))</f>
        <v/>
      </c>
      <c r="G775" s="25">
        <f>IF(A775="","",MONTH(A775))</f>
        <v/>
      </c>
      <c r="H775" s="25">
        <f>IF(A775="","",YEAR(A775))</f>
        <v/>
      </c>
      <c r="I775" s="31" t="n"/>
      <c r="J775" s="36">
        <f>IF(AND(B775&lt;&gt;"",E775&lt;&gt;"",NOT(ISNUMBER(F775))),1,0)</f>
        <v>0</v>
      </c>
    </row>
    <row r="776">
      <c r="A776" s="34" t="n"/>
      <c r="B776" s="31" t="n"/>
      <c r="C776" s="31" t="n"/>
      <c r="D776" s="29" t="n"/>
      <c r="E776" s="35" t="n"/>
      <c r="F776" s="26">
        <f>IF(OR(B776="",E776=""),"",IFERROR(IF(ISNUMBER(INDEX(Config!$D$11:$D$20,MATCH(B776,Config!$A$11:$A$20,0))),E776*INDEX(Config!$D$11:$D$20,MATCH(B776,Config!$A$11:$A$20,0)),"cadastro de custo incompleto em Config"),"pessoa sem custo-hora em Config"))</f>
        <v/>
      </c>
      <c r="G776" s="25">
        <f>IF(A776="","",MONTH(A776))</f>
        <v/>
      </c>
      <c r="H776" s="25">
        <f>IF(A776="","",YEAR(A776))</f>
        <v/>
      </c>
      <c r="I776" s="31" t="n"/>
      <c r="J776" s="36">
        <f>IF(AND(B776&lt;&gt;"",E776&lt;&gt;"",NOT(ISNUMBER(F776))),1,0)</f>
        <v>0</v>
      </c>
    </row>
    <row r="777">
      <c r="A777" s="34" t="n"/>
      <c r="B777" s="31" t="n"/>
      <c r="C777" s="31" t="n"/>
      <c r="D777" s="29" t="n"/>
      <c r="E777" s="35" t="n"/>
      <c r="F777" s="26">
        <f>IF(OR(B777="",E777=""),"",IFERROR(IF(ISNUMBER(INDEX(Config!$D$11:$D$20,MATCH(B777,Config!$A$11:$A$20,0))),E777*INDEX(Config!$D$11:$D$20,MATCH(B777,Config!$A$11:$A$20,0)),"cadastro de custo incompleto em Config"),"pessoa sem custo-hora em Config"))</f>
        <v/>
      </c>
      <c r="G777" s="25">
        <f>IF(A777="","",MONTH(A777))</f>
        <v/>
      </c>
      <c r="H777" s="25">
        <f>IF(A777="","",YEAR(A777))</f>
        <v/>
      </c>
      <c r="I777" s="31" t="n"/>
      <c r="J777" s="36">
        <f>IF(AND(B777&lt;&gt;"",E777&lt;&gt;"",NOT(ISNUMBER(F777))),1,0)</f>
        <v>0</v>
      </c>
    </row>
    <row r="778">
      <c r="A778" s="34" t="n"/>
      <c r="B778" s="31" t="n"/>
      <c r="C778" s="31" t="n"/>
      <c r="D778" s="29" t="n"/>
      <c r="E778" s="35" t="n"/>
      <c r="F778" s="26">
        <f>IF(OR(B778="",E778=""),"",IFERROR(IF(ISNUMBER(INDEX(Config!$D$11:$D$20,MATCH(B778,Config!$A$11:$A$20,0))),E778*INDEX(Config!$D$11:$D$20,MATCH(B778,Config!$A$11:$A$20,0)),"cadastro de custo incompleto em Config"),"pessoa sem custo-hora em Config"))</f>
        <v/>
      </c>
      <c r="G778" s="25">
        <f>IF(A778="","",MONTH(A778))</f>
        <v/>
      </c>
      <c r="H778" s="25">
        <f>IF(A778="","",YEAR(A778))</f>
        <v/>
      </c>
      <c r="I778" s="31" t="n"/>
      <c r="J778" s="36">
        <f>IF(AND(B778&lt;&gt;"",E778&lt;&gt;"",NOT(ISNUMBER(F778))),1,0)</f>
        <v>0</v>
      </c>
    </row>
    <row r="779">
      <c r="A779" s="34" t="n"/>
      <c r="B779" s="31" t="n"/>
      <c r="C779" s="31" t="n"/>
      <c r="D779" s="29" t="n"/>
      <c r="E779" s="35" t="n"/>
      <c r="F779" s="26">
        <f>IF(OR(B779="",E779=""),"",IFERROR(IF(ISNUMBER(INDEX(Config!$D$11:$D$20,MATCH(B779,Config!$A$11:$A$20,0))),E779*INDEX(Config!$D$11:$D$20,MATCH(B779,Config!$A$11:$A$20,0)),"cadastro de custo incompleto em Config"),"pessoa sem custo-hora em Config"))</f>
        <v/>
      </c>
      <c r="G779" s="25">
        <f>IF(A779="","",MONTH(A779))</f>
        <v/>
      </c>
      <c r="H779" s="25">
        <f>IF(A779="","",YEAR(A779))</f>
        <v/>
      </c>
      <c r="I779" s="31" t="n"/>
      <c r="J779" s="36">
        <f>IF(AND(B779&lt;&gt;"",E779&lt;&gt;"",NOT(ISNUMBER(F779))),1,0)</f>
        <v>0</v>
      </c>
    </row>
    <row r="780">
      <c r="A780" s="34" t="n"/>
      <c r="B780" s="31" t="n"/>
      <c r="C780" s="31" t="n"/>
      <c r="D780" s="29" t="n"/>
      <c r="E780" s="35" t="n"/>
      <c r="F780" s="26">
        <f>IF(OR(B780="",E780=""),"",IFERROR(IF(ISNUMBER(INDEX(Config!$D$11:$D$20,MATCH(B780,Config!$A$11:$A$20,0))),E780*INDEX(Config!$D$11:$D$20,MATCH(B780,Config!$A$11:$A$20,0)),"cadastro de custo incompleto em Config"),"pessoa sem custo-hora em Config"))</f>
        <v/>
      </c>
      <c r="G780" s="25">
        <f>IF(A780="","",MONTH(A780))</f>
        <v/>
      </c>
      <c r="H780" s="25">
        <f>IF(A780="","",YEAR(A780))</f>
        <v/>
      </c>
      <c r="I780" s="31" t="n"/>
      <c r="J780" s="36">
        <f>IF(AND(B780&lt;&gt;"",E780&lt;&gt;"",NOT(ISNUMBER(F780))),1,0)</f>
        <v>0</v>
      </c>
    </row>
    <row r="781">
      <c r="A781" s="34" t="n"/>
      <c r="B781" s="31" t="n"/>
      <c r="C781" s="31" t="n"/>
      <c r="D781" s="29" t="n"/>
      <c r="E781" s="35" t="n"/>
      <c r="F781" s="26">
        <f>IF(OR(B781="",E781=""),"",IFERROR(IF(ISNUMBER(INDEX(Config!$D$11:$D$20,MATCH(B781,Config!$A$11:$A$20,0))),E781*INDEX(Config!$D$11:$D$20,MATCH(B781,Config!$A$11:$A$20,0)),"cadastro de custo incompleto em Config"),"pessoa sem custo-hora em Config"))</f>
        <v/>
      </c>
      <c r="G781" s="25">
        <f>IF(A781="","",MONTH(A781))</f>
        <v/>
      </c>
      <c r="H781" s="25">
        <f>IF(A781="","",YEAR(A781))</f>
        <v/>
      </c>
      <c r="I781" s="31" t="n"/>
      <c r="J781" s="36">
        <f>IF(AND(B781&lt;&gt;"",E781&lt;&gt;"",NOT(ISNUMBER(F781))),1,0)</f>
        <v>0</v>
      </c>
    </row>
    <row r="782">
      <c r="A782" s="34" t="n"/>
      <c r="B782" s="31" t="n"/>
      <c r="C782" s="31" t="n"/>
      <c r="D782" s="29" t="n"/>
      <c r="E782" s="35" t="n"/>
      <c r="F782" s="26">
        <f>IF(OR(B782="",E782=""),"",IFERROR(IF(ISNUMBER(INDEX(Config!$D$11:$D$20,MATCH(B782,Config!$A$11:$A$20,0))),E782*INDEX(Config!$D$11:$D$20,MATCH(B782,Config!$A$11:$A$20,0)),"cadastro de custo incompleto em Config"),"pessoa sem custo-hora em Config"))</f>
        <v/>
      </c>
      <c r="G782" s="25">
        <f>IF(A782="","",MONTH(A782))</f>
        <v/>
      </c>
      <c r="H782" s="25">
        <f>IF(A782="","",YEAR(A782))</f>
        <v/>
      </c>
      <c r="I782" s="31" t="n"/>
      <c r="J782" s="36">
        <f>IF(AND(B782&lt;&gt;"",E782&lt;&gt;"",NOT(ISNUMBER(F782))),1,0)</f>
        <v>0</v>
      </c>
    </row>
    <row r="783">
      <c r="A783" s="34" t="n"/>
      <c r="B783" s="31" t="n"/>
      <c r="C783" s="31" t="n"/>
      <c r="D783" s="29" t="n"/>
      <c r="E783" s="35" t="n"/>
      <c r="F783" s="26">
        <f>IF(OR(B783="",E783=""),"",IFERROR(IF(ISNUMBER(INDEX(Config!$D$11:$D$20,MATCH(B783,Config!$A$11:$A$20,0))),E783*INDEX(Config!$D$11:$D$20,MATCH(B783,Config!$A$11:$A$20,0)),"cadastro de custo incompleto em Config"),"pessoa sem custo-hora em Config"))</f>
        <v/>
      </c>
      <c r="G783" s="25">
        <f>IF(A783="","",MONTH(A783))</f>
        <v/>
      </c>
      <c r="H783" s="25">
        <f>IF(A783="","",YEAR(A783))</f>
        <v/>
      </c>
      <c r="I783" s="31" t="n"/>
      <c r="J783" s="36">
        <f>IF(AND(B783&lt;&gt;"",E783&lt;&gt;"",NOT(ISNUMBER(F783))),1,0)</f>
        <v>0</v>
      </c>
    </row>
    <row r="784">
      <c r="A784" s="34" t="n"/>
      <c r="B784" s="31" t="n"/>
      <c r="C784" s="31" t="n"/>
      <c r="D784" s="29" t="n"/>
      <c r="E784" s="35" t="n"/>
      <c r="F784" s="26">
        <f>IF(OR(B784="",E784=""),"",IFERROR(IF(ISNUMBER(INDEX(Config!$D$11:$D$20,MATCH(B784,Config!$A$11:$A$20,0))),E784*INDEX(Config!$D$11:$D$20,MATCH(B784,Config!$A$11:$A$20,0)),"cadastro de custo incompleto em Config"),"pessoa sem custo-hora em Config"))</f>
        <v/>
      </c>
      <c r="G784" s="25">
        <f>IF(A784="","",MONTH(A784))</f>
        <v/>
      </c>
      <c r="H784" s="25">
        <f>IF(A784="","",YEAR(A784))</f>
        <v/>
      </c>
      <c r="I784" s="31" t="n"/>
      <c r="J784" s="36">
        <f>IF(AND(B784&lt;&gt;"",E784&lt;&gt;"",NOT(ISNUMBER(F784))),1,0)</f>
        <v>0</v>
      </c>
    </row>
    <row r="785">
      <c r="A785" s="34" t="n"/>
      <c r="B785" s="31" t="n"/>
      <c r="C785" s="31" t="n"/>
      <c r="D785" s="29" t="n"/>
      <c r="E785" s="35" t="n"/>
      <c r="F785" s="26">
        <f>IF(OR(B785="",E785=""),"",IFERROR(IF(ISNUMBER(INDEX(Config!$D$11:$D$20,MATCH(B785,Config!$A$11:$A$20,0))),E785*INDEX(Config!$D$11:$D$20,MATCH(B785,Config!$A$11:$A$20,0)),"cadastro de custo incompleto em Config"),"pessoa sem custo-hora em Config"))</f>
        <v/>
      </c>
      <c r="G785" s="25">
        <f>IF(A785="","",MONTH(A785))</f>
        <v/>
      </c>
      <c r="H785" s="25">
        <f>IF(A785="","",YEAR(A785))</f>
        <v/>
      </c>
      <c r="I785" s="31" t="n"/>
      <c r="J785" s="36">
        <f>IF(AND(B785&lt;&gt;"",E785&lt;&gt;"",NOT(ISNUMBER(F785))),1,0)</f>
        <v>0</v>
      </c>
    </row>
    <row r="786">
      <c r="A786" s="34" t="n"/>
      <c r="B786" s="31" t="n"/>
      <c r="C786" s="31" t="n"/>
      <c r="D786" s="29" t="n"/>
      <c r="E786" s="35" t="n"/>
      <c r="F786" s="26">
        <f>IF(OR(B786="",E786=""),"",IFERROR(IF(ISNUMBER(INDEX(Config!$D$11:$D$20,MATCH(B786,Config!$A$11:$A$20,0))),E786*INDEX(Config!$D$11:$D$20,MATCH(B786,Config!$A$11:$A$20,0)),"cadastro de custo incompleto em Config"),"pessoa sem custo-hora em Config"))</f>
        <v/>
      </c>
      <c r="G786" s="25">
        <f>IF(A786="","",MONTH(A786))</f>
        <v/>
      </c>
      <c r="H786" s="25">
        <f>IF(A786="","",YEAR(A786))</f>
        <v/>
      </c>
      <c r="I786" s="31" t="n"/>
      <c r="J786" s="36">
        <f>IF(AND(B786&lt;&gt;"",E786&lt;&gt;"",NOT(ISNUMBER(F786))),1,0)</f>
        <v>0</v>
      </c>
    </row>
    <row r="787">
      <c r="A787" s="34" t="n"/>
      <c r="B787" s="31" t="n"/>
      <c r="C787" s="31" t="n"/>
      <c r="D787" s="29" t="n"/>
      <c r="E787" s="35" t="n"/>
      <c r="F787" s="26">
        <f>IF(OR(B787="",E787=""),"",IFERROR(IF(ISNUMBER(INDEX(Config!$D$11:$D$20,MATCH(B787,Config!$A$11:$A$20,0))),E787*INDEX(Config!$D$11:$D$20,MATCH(B787,Config!$A$11:$A$20,0)),"cadastro de custo incompleto em Config"),"pessoa sem custo-hora em Config"))</f>
        <v/>
      </c>
      <c r="G787" s="25">
        <f>IF(A787="","",MONTH(A787))</f>
        <v/>
      </c>
      <c r="H787" s="25">
        <f>IF(A787="","",YEAR(A787))</f>
        <v/>
      </c>
      <c r="I787" s="31" t="n"/>
      <c r="J787" s="36">
        <f>IF(AND(B787&lt;&gt;"",E787&lt;&gt;"",NOT(ISNUMBER(F787))),1,0)</f>
        <v>0</v>
      </c>
    </row>
    <row r="788">
      <c r="A788" s="34" t="n"/>
      <c r="B788" s="31" t="n"/>
      <c r="C788" s="31" t="n"/>
      <c r="D788" s="29" t="n"/>
      <c r="E788" s="35" t="n"/>
      <c r="F788" s="26">
        <f>IF(OR(B788="",E788=""),"",IFERROR(IF(ISNUMBER(INDEX(Config!$D$11:$D$20,MATCH(B788,Config!$A$11:$A$20,0))),E788*INDEX(Config!$D$11:$D$20,MATCH(B788,Config!$A$11:$A$20,0)),"cadastro de custo incompleto em Config"),"pessoa sem custo-hora em Config"))</f>
        <v/>
      </c>
      <c r="G788" s="25">
        <f>IF(A788="","",MONTH(A788))</f>
        <v/>
      </c>
      <c r="H788" s="25">
        <f>IF(A788="","",YEAR(A788))</f>
        <v/>
      </c>
      <c r="I788" s="31" t="n"/>
      <c r="J788" s="36">
        <f>IF(AND(B788&lt;&gt;"",E788&lt;&gt;"",NOT(ISNUMBER(F788))),1,0)</f>
        <v>0</v>
      </c>
    </row>
    <row r="789">
      <c r="A789" s="34" t="n"/>
      <c r="B789" s="31" t="n"/>
      <c r="C789" s="31" t="n"/>
      <c r="D789" s="29" t="n"/>
      <c r="E789" s="35" t="n"/>
      <c r="F789" s="26">
        <f>IF(OR(B789="",E789=""),"",IFERROR(IF(ISNUMBER(INDEX(Config!$D$11:$D$20,MATCH(B789,Config!$A$11:$A$20,0))),E789*INDEX(Config!$D$11:$D$20,MATCH(B789,Config!$A$11:$A$20,0)),"cadastro de custo incompleto em Config"),"pessoa sem custo-hora em Config"))</f>
        <v/>
      </c>
      <c r="G789" s="25">
        <f>IF(A789="","",MONTH(A789))</f>
        <v/>
      </c>
      <c r="H789" s="25">
        <f>IF(A789="","",YEAR(A789))</f>
        <v/>
      </c>
      <c r="I789" s="31" t="n"/>
      <c r="J789" s="36">
        <f>IF(AND(B789&lt;&gt;"",E789&lt;&gt;"",NOT(ISNUMBER(F789))),1,0)</f>
        <v>0</v>
      </c>
    </row>
    <row r="790">
      <c r="A790" s="34" t="n"/>
      <c r="B790" s="31" t="n"/>
      <c r="C790" s="31" t="n"/>
      <c r="D790" s="29" t="n"/>
      <c r="E790" s="35" t="n"/>
      <c r="F790" s="26">
        <f>IF(OR(B790="",E790=""),"",IFERROR(IF(ISNUMBER(INDEX(Config!$D$11:$D$20,MATCH(B790,Config!$A$11:$A$20,0))),E790*INDEX(Config!$D$11:$D$20,MATCH(B790,Config!$A$11:$A$20,0)),"cadastro de custo incompleto em Config"),"pessoa sem custo-hora em Config"))</f>
        <v/>
      </c>
      <c r="G790" s="25">
        <f>IF(A790="","",MONTH(A790))</f>
        <v/>
      </c>
      <c r="H790" s="25">
        <f>IF(A790="","",YEAR(A790))</f>
        <v/>
      </c>
      <c r="I790" s="31" t="n"/>
      <c r="J790" s="36">
        <f>IF(AND(B790&lt;&gt;"",E790&lt;&gt;"",NOT(ISNUMBER(F790))),1,0)</f>
        <v>0</v>
      </c>
    </row>
    <row r="791">
      <c r="A791" s="34" t="n"/>
      <c r="B791" s="31" t="n"/>
      <c r="C791" s="31" t="n"/>
      <c r="D791" s="29" t="n"/>
      <c r="E791" s="35" t="n"/>
      <c r="F791" s="26">
        <f>IF(OR(B791="",E791=""),"",IFERROR(IF(ISNUMBER(INDEX(Config!$D$11:$D$20,MATCH(B791,Config!$A$11:$A$20,0))),E791*INDEX(Config!$D$11:$D$20,MATCH(B791,Config!$A$11:$A$20,0)),"cadastro de custo incompleto em Config"),"pessoa sem custo-hora em Config"))</f>
        <v/>
      </c>
      <c r="G791" s="25">
        <f>IF(A791="","",MONTH(A791))</f>
        <v/>
      </c>
      <c r="H791" s="25">
        <f>IF(A791="","",YEAR(A791))</f>
        <v/>
      </c>
      <c r="I791" s="31" t="n"/>
      <c r="J791" s="36">
        <f>IF(AND(B791&lt;&gt;"",E791&lt;&gt;"",NOT(ISNUMBER(F791))),1,0)</f>
        <v>0</v>
      </c>
    </row>
    <row r="792">
      <c r="A792" s="34" t="n"/>
      <c r="B792" s="31" t="n"/>
      <c r="C792" s="31" t="n"/>
      <c r="D792" s="29" t="n"/>
      <c r="E792" s="35" t="n"/>
      <c r="F792" s="26">
        <f>IF(OR(B792="",E792=""),"",IFERROR(IF(ISNUMBER(INDEX(Config!$D$11:$D$20,MATCH(B792,Config!$A$11:$A$20,0))),E792*INDEX(Config!$D$11:$D$20,MATCH(B792,Config!$A$11:$A$20,0)),"cadastro de custo incompleto em Config"),"pessoa sem custo-hora em Config"))</f>
        <v/>
      </c>
      <c r="G792" s="25">
        <f>IF(A792="","",MONTH(A792))</f>
        <v/>
      </c>
      <c r="H792" s="25">
        <f>IF(A792="","",YEAR(A792))</f>
        <v/>
      </c>
      <c r="I792" s="31" t="n"/>
      <c r="J792" s="36">
        <f>IF(AND(B792&lt;&gt;"",E792&lt;&gt;"",NOT(ISNUMBER(F792))),1,0)</f>
        <v>0</v>
      </c>
    </row>
    <row r="793">
      <c r="A793" s="34" t="n"/>
      <c r="B793" s="31" t="n"/>
      <c r="C793" s="31" t="n"/>
      <c r="D793" s="29" t="n"/>
      <c r="E793" s="35" t="n"/>
      <c r="F793" s="26">
        <f>IF(OR(B793="",E793=""),"",IFERROR(IF(ISNUMBER(INDEX(Config!$D$11:$D$20,MATCH(B793,Config!$A$11:$A$20,0))),E793*INDEX(Config!$D$11:$D$20,MATCH(B793,Config!$A$11:$A$20,0)),"cadastro de custo incompleto em Config"),"pessoa sem custo-hora em Config"))</f>
        <v/>
      </c>
      <c r="G793" s="25">
        <f>IF(A793="","",MONTH(A793))</f>
        <v/>
      </c>
      <c r="H793" s="25">
        <f>IF(A793="","",YEAR(A793))</f>
        <v/>
      </c>
      <c r="I793" s="31" t="n"/>
      <c r="J793" s="36">
        <f>IF(AND(B793&lt;&gt;"",E793&lt;&gt;"",NOT(ISNUMBER(F793))),1,0)</f>
        <v>0</v>
      </c>
    </row>
    <row r="794">
      <c r="A794" s="34" t="n"/>
      <c r="B794" s="31" t="n"/>
      <c r="C794" s="31" t="n"/>
      <c r="D794" s="29" t="n"/>
      <c r="E794" s="35" t="n"/>
      <c r="F794" s="26">
        <f>IF(OR(B794="",E794=""),"",IFERROR(IF(ISNUMBER(INDEX(Config!$D$11:$D$20,MATCH(B794,Config!$A$11:$A$20,0))),E794*INDEX(Config!$D$11:$D$20,MATCH(B794,Config!$A$11:$A$20,0)),"cadastro de custo incompleto em Config"),"pessoa sem custo-hora em Config"))</f>
        <v/>
      </c>
      <c r="G794" s="25">
        <f>IF(A794="","",MONTH(A794))</f>
        <v/>
      </c>
      <c r="H794" s="25">
        <f>IF(A794="","",YEAR(A794))</f>
        <v/>
      </c>
      <c r="I794" s="31" t="n"/>
      <c r="J794" s="36">
        <f>IF(AND(B794&lt;&gt;"",E794&lt;&gt;"",NOT(ISNUMBER(F794))),1,0)</f>
        <v>0</v>
      </c>
    </row>
    <row r="795">
      <c r="A795" s="34" t="n"/>
      <c r="B795" s="31" t="n"/>
      <c r="C795" s="31" t="n"/>
      <c r="D795" s="29" t="n"/>
      <c r="E795" s="35" t="n"/>
      <c r="F795" s="26">
        <f>IF(OR(B795="",E795=""),"",IFERROR(IF(ISNUMBER(INDEX(Config!$D$11:$D$20,MATCH(B795,Config!$A$11:$A$20,0))),E795*INDEX(Config!$D$11:$D$20,MATCH(B795,Config!$A$11:$A$20,0)),"cadastro de custo incompleto em Config"),"pessoa sem custo-hora em Config"))</f>
        <v/>
      </c>
      <c r="G795" s="25">
        <f>IF(A795="","",MONTH(A795))</f>
        <v/>
      </c>
      <c r="H795" s="25">
        <f>IF(A795="","",YEAR(A795))</f>
        <v/>
      </c>
      <c r="I795" s="31" t="n"/>
      <c r="J795" s="36">
        <f>IF(AND(B795&lt;&gt;"",E795&lt;&gt;"",NOT(ISNUMBER(F795))),1,0)</f>
        <v>0</v>
      </c>
    </row>
    <row r="796">
      <c r="A796" s="34" t="n"/>
      <c r="B796" s="31" t="n"/>
      <c r="C796" s="31" t="n"/>
      <c r="D796" s="29" t="n"/>
      <c r="E796" s="35" t="n"/>
      <c r="F796" s="26">
        <f>IF(OR(B796="",E796=""),"",IFERROR(IF(ISNUMBER(INDEX(Config!$D$11:$D$20,MATCH(B796,Config!$A$11:$A$20,0))),E796*INDEX(Config!$D$11:$D$20,MATCH(B796,Config!$A$11:$A$20,0)),"cadastro de custo incompleto em Config"),"pessoa sem custo-hora em Config"))</f>
        <v/>
      </c>
      <c r="G796" s="25">
        <f>IF(A796="","",MONTH(A796))</f>
        <v/>
      </c>
      <c r="H796" s="25">
        <f>IF(A796="","",YEAR(A796))</f>
        <v/>
      </c>
      <c r="I796" s="31" t="n"/>
      <c r="J796" s="36">
        <f>IF(AND(B796&lt;&gt;"",E796&lt;&gt;"",NOT(ISNUMBER(F796))),1,0)</f>
        <v>0</v>
      </c>
    </row>
    <row r="797">
      <c r="A797" s="34" t="n"/>
      <c r="B797" s="31" t="n"/>
      <c r="C797" s="31" t="n"/>
      <c r="D797" s="29" t="n"/>
      <c r="E797" s="35" t="n"/>
      <c r="F797" s="26">
        <f>IF(OR(B797="",E797=""),"",IFERROR(IF(ISNUMBER(INDEX(Config!$D$11:$D$20,MATCH(B797,Config!$A$11:$A$20,0))),E797*INDEX(Config!$D$11:$D$20,MATCH(B797,Config!$A$11:$A$20,0)),"cadastro de custo incompleto em Config"),"pessoa sem custo-hora em Config"))</f>
        <v/>
      </c>
      <c r="G797" s="25">
        <f>IF(A797="","",MONTH(A797))</f>
        <v/>
      </c>
      <c r="H797" s="25">
        <f>IF(A797="","",YEAR(A797))</f>
        <v/>
      </c>
      <c r="I797" s="31" t="n"/>
      <c r="J797" s="36">
        <f>IF(AND(B797&lt;&gt;"",E797&lt;&gt;"",NOT(ISNUMBER(F797))),1,0)</f>
        <v>0</v>
      </c>
    </row>
    <row r="798">
      <c r="A798" s="34" t="n"/>
      <c r="B798" s="31" t="n"/>
      <c r="C798" s="31" t="n"/>
      <c r="D798" s="29" t="n"/>
      <c r="E798" s="35" t="n"/>
      <c r="F798" s="26">
        <f>IF(OR(B798="",E798=""),"",IFERROR(IF(ISNUMBER(INDEX(Config!$D$11:$D$20,MATCH(B798,Config!$A$11:$A$20,0))),E798*INDEX(Config!$D$11:$D$20,MATCH(B798,Config!$A$11:$A$20,0)),"cadastro de custo incompleto em Config"),"pessoa sem custo-hora em Config"))</f>
        <v/>
      </c>
      <c r="G798" s="25">
        <f>IF(A798="","",MONTH(A798))</f>
        <v/>
      </c>
      <c r="H798" s="25">
        <f>IF(A798="","",YEAR(A798))</f>
        <v/>
      </c>
      <c r="I798" s="31" t="n"/>
      <c r="J798" s="36">
        <f>IF(AND(B798&lt;&gt;"",E798&lt;&gt;"",NOT(ISNUMBER(F798))),1,0)</f>
        <v>0</v>
      </c>
    </row>
    <row r="799">
      <c r="A799" s="34" t="n"/>
      <c r="B799" s="31" t="n"/>
      <c r="C799" s="31" t="n"/>
      <c r="D799" s="29" t="n"/>
      <c r="E799" s="35" t="n"/>
      <c r="F799" s="26">
        <f>IF(OR(B799="",E799=""),"",IFERROR(IF(ISNUMBER(INDEX(Config!$D$11:$D$20,MATCH(B799,Config!$A$11:$A$20,0))),E799*INDEX(Config!$D$11:$D$20,MATCH(B799,Config!$A$11:$A$20,0)),"cadastro de custo incompleto em Config"),"pessoa sem custo-hora em Config"))</f>
        <v/>
      </c>
      <c r="G799" s="25">
        <f>IF(A799="","",MONTH(A799))</f>
        <v/>
      </c>
      <c r="H799" s="25">
        <f>IF(A799="","",YEAR(A799))</f>
        <v/>
      </c>
      <c r="I799" s="31" t="n"/>
      <c r="J799" s="36">
        <f>IF(AND(B799&lt;&gt;"",E799&lt;&gt;"",NOT(ISNUMBER(F799))),1,0)</f>
        <v>0</v>
      </c>
    </row>
    <row r="800">
      <c r="A800" s="34" t="n"/>
      <c r="B800" s="31" t="n"/>
      <c r="C800" s="31" t="n"/>
      <c r="D800" s="29" t="n"/>
      <c r="E800" s="35" t="n"/>
      <c r="F800" s="26">
        <f>IF(OR(B800="",E800=""),"",IFERROR(IF(ISNUMBER(INDEX(Config!$D$11:$D$20,MATCH(B800,Config!$A$11:$A$20,0))),E800*INDEX(Config!$D$11:$D$20,MATCH(B800,Config!$A$11:$A$20,0)),"cadastro de custo incompleto em Config"),"pessoa sem custo-hora em Config"))</f>
        <v/>
      </c>
      <c r="G800" s="25">
        <f>IF(A800="","",MONTH(A800))</f>
        <v/>
      </c>
      <c r="H800" s="25">
        <f>IF(A800="","",YEAR(A800))</f>
        <v/>
      </c>
      <c r="I800" s="31" t="n"/>
      <c r="J800" s="36">
        <f>IF(AND(B800&lt;&gt;"",E800&lt;&gt;"",NOT(ISNUMBER(F800))),1,0)</f>
        <v>0</v>
      </c>
    </row>
    <row r="801">
      <c r="A801" s="34" t="n"/>
      <c r="B801" s="31" t="n"/>
      <c r="C801" s="31" t="n"/>
      <c r="D801" s="29" t="n"/>
      <c r="E801" s="35" t="n"/>
      <c r="F801" s="26">
        <f>IF(OR(B801="",E801=""),"",IFERROR(IF(ISNUMBER(INDEX(Config!$D$11:$D$20,MATCH(B801,Config!$A$11:$A$20,0))),E801*INDEX(Config!$D$11:$D$20,MATCH(B801,Config!$A$11:$A$20,0)),"cadastro de custo incompleto em Config"),"pessoa sem custo-hora em Config"))</f>
        <v/>
      </c>
      <c r="G801" s="25">
        <f>IF(A801="","",MONTH(A801))</f>
        <v/>
      </c>
      <c r="H801" s="25">
        <f>IF(A801="","",YEAR(A801))</f>
        <v/>
      </c>
      <c r="I801" s="31" t="n"/>
      <c r="J801" s="36">
        <f>IF(AND(B801&lt;&gt;"",E801&lt;&gt;"",NOT(ISNUMBER(F801))),1,0)</f>
        <v>0</v>
      </c>
    </row>
    <row r="802">
      <c r="A802" s="34" t="n"/>
      <c r="B802" s="31" t="n"/>
      <c r="C802" s="31" t="n"/>
      <c r="D802" s="29" t="n"/>
      <c r="E802" s="35" t="n"/>
      <c r="F802" s="26">
        <f>IF(OR(B802="",E802=""),"",IFERROR(IF(ISNUMBER(INDEX(Config!$D$11:$D$20,MATCH(B802,Config!$A$11:$A$20,0))),E802*INDEX(Config!$D$11:$D$20,MATCH(B802,Config!$A$11:$A$20,0)),"cadastro de custo incompleto em Config"),"pessoa sem custo-hora em Config"))</f>
        <v/>
      </c>
      <c r="G802" s="25">
        <f>IF(A802="","",MONTH(A802))</f>
        <v/>
      </c>
      <c r="H802" s="25">
        <f>IF(A802="","",YEAR(A802))</f>
        <v/>
      </c>
      <c r="I802" s="31" t="n"/>
      <c r="J802" s="36">
        <f>IF(AND(B802&lt;&gt;"",E802&lt;&gt;"",NOT(ISNUMBER(F802))),1,0)</f>
        <v>0</v>
      </c>
    </row>
    <row r="803">
      <c r="A803" s="34" t="n"/>
      <c r="B803" s="31" t="n"/>
      <c r="C803" s="31" t="n"/>
      <c r="D803" s="29" t="n"/>
      <c r="E803" s="35" t="n"/>
      <c r="F803" s="26">
        <f>IF(OR(B803="",E803=""),"",IFERROR(IF(ISNUMBER(INDEX(Config!$D$11:$D$20,MATCH(B803,Config!$A$11:$A$20,0))),E803*INDEX(Config!$D$11:$D$20,MATCH(B803,Config!$A$11:$A$20,0)),"cadastro de custo incompleto em Config"),"pessoa sem custo-hora em Config"))</f>
        <v/>
      </c>
      <c r="G803" s="25">
        <f>IF(A803="","",MONTH(A803))</f>
        <v/>
      </c>
      <c r="H803" s="25">
        <f>IF(A803="","",YEAR(A803))</f>
        <v/>
      </c>
      <c r="I803" s="31" t="n"/>
      <c r="J803" s="36">
        <f>IF(AND(B803&lt;&gt;"",E803&lt;&gt;"",NOT(ISNUMBER(F803))),1,0)</f>
        <v>0</v>
      </c>
    </row>
    <row r="804">
      <c r="A804" s="34" t="n"/>
      <c r="B804" s="31" t="n"/>
      <c r="C804" s="31" t="n"/>
      <c r="D804" s="29" t="n"/>
      <c r="E804" s="35" t="n"/>
      <c r="F804" s="26">
        <f>IF(OR(B804="",E804=""),"",IFERROR(IF(ISNUMBER(INDEX(Config!$D$11:$D$20,MATCH(B804,Config!$A$11:$A$20,0))),E804*INDEX(Config!$D$11:$D$20,MATCH(B804,Config!$A$11:$A$20,0)),"cadastro de custo incompleto em Config"),"pessoa sem custo-hora em Config"))</f>
        <v/>
      </c>
      <c r="G804" s="25">
        <f>IF(A804="","",MONTH(A804))</f>
        <v/>
      </c>
      <c r="H804" s="25">
        <f>IF(A804="","",YEAR(A804))</f>
        <v/>
      </c>
      <c r="I804" s="31" t="n"/>
      <c r="J804" s="36">
        <f>IF(AND(B804&lt;&gt;"",E804&lt;&gt;"",NOT(ISNUMBER(F804))),1,0)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804"/>
  <mergeCells count="1">
    <mergeCell ref="A2:I2"/>
  </mergeCells>
  <dataValidations count="5">
    <dataValidation sqref="B5:B804" showDropDown="0" showInputMessage="0" showErrorMessage="1" allowBlank="1" type="list">
      <formula1>=Config!$A$11:$A$20</formula1>
    </dataValidation>
    <dataValidation sqref="C5:C804" showDropDown="0" showInputMessage="0" showErrorMessage="1" allowBlank="1" type="list">
      <formula1>=Config!$A$24:$A$35</formula1>
    </dataValidation>
    <dataValidation sqref="I5:I804" showDropDown="0" showInputMessage="0" showErrorMessage="1" allowBlank="1" type="list">
      <formula1>"Sim,Não"</formula1>
    </dataValidation>
    <dataValidation sqref="A5:A804" showDropDown="0" showInputMessage="0" showErrorMessage="1" allowBlank="1" type="date" operator="greaterThan">
      <formula1>1</formula1>
    </dataValidation>
    <dataValidation sqref="E5:E804" showDropDown="0" showInputMessage="0" showErrorMessage="1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e Custo por Projeto · Kit IA no Trabalho Completo</dc:title>
  <dcterms:created xmlns:dcterms="http://purl.org/dc/terms/" xmlns:xsi="http://www.w3.org/2001/XMLSchema-instance" xsi:type="dcterms:W3CDTF">2026-09-18T16:25:13Z</dcterms:created>
  <dcterms:modified xmlns:dcterms="http://purl.org/dc/terms/" xmlns:xsi="http://www.w3.org/2001/XMLSchema-instance" xsi:type="dcterms:W3CDTF">2026-09-18T16:25:14Z</dcterms:modified>
</cp:coreProperties>
</file>