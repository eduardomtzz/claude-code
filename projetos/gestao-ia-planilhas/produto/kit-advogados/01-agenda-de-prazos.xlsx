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Painel, resolva ou reagende os atrasados, confirme com cada responsável os prazos da semana e registre os prazos novos que chegaram.</t>
        </is>
      </c>
    </row>
    <row r="9" ht="46" customHeight="1">
      <c r="A9" s="3" t="inlineStr">
        <is>
          <t>Limite</t>
        </is>
      </c>
      <c r="B9" s="4" t="inlineStr">
        <is>
          <t>A planilha organiza e avisa. A contagem do prazo, a conferência da data na fonte oficial e o cumprimento continuam sendo responsabilidade de quem responde pelo caso.</t>
        </is>
      </c>
    </row>
    <row r="10" ht="46" customHeight="1">
      <c r="A10" s="3" t="inlineStr">
        <is>
          <t>Com a IA</t>
        </is>
      </c>
      <c r="B10" s="4" t="inlineStr">
        <is>
          <t>Copie a tabela "O que vence primeiro" e use o prompt "Prazos 02: montar a agenda da semana por responsável"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5">
        <f>Config!$B$4&amp;" · Painel de prazos · "&amp;TEXT(Config!$B$5,"dd/mm/yyyy")</f>
        <v/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>
        <f>"Próximos "&amp;Config!$B$6&amp;" dias"</f>
        <v/>
      </c>
      <c r="F4" s="12" t="n"/>
      <c r="G4" s="13">
        <f>"De "&amp;(Config!$B$6+1)&amp;" a "&amp;Config!$B$7&amp;" dias"</f>
        <v/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/>
      </c>
      <c r="B5" s="8" t="n"/>
      <c r="C5" s="18">
        <f>COUNTIFS(Prazos!$I$5:$I$404,"Hoje")</f>
        <v/>
      </c>
      <c r="D5" s="10" t="n"/>
      <c r="E5" s="19">
        <f>COUNTIFS(Prazos!$I$5:$I$404,"Até "&amp;Config!$B$6&amp;" dias")</f>
        <v/>
      </c>
      <c r="F5" s="12" t="n"/>
      <c r="G5" s="20">
        <f>COUNTIFS(Prazos!$I$5:$I$404,"Até "&amp;Config!$B$7&amp;" dias")</f>
        <v/>
      </c>
      <c r="H5" s="14" t="n"/>
      <c r="I5" s="20">
        <f>COUNTIF(Prazos!$J$5:$J$404,"&gt;0")+COUNTIFS(Prazos!$I$5:$I$404,"Sem data")</f>
        <v/>
      </c>
      <c r="J5" s="14" t="n"/>
      <c r="K5" s="21">
        <f>COUNTIFS(Prazos!$I$5:$I$404,"Feito")</f>
        <v/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15 primeiros;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>
        <f>IFERROR(IF(LARGE(Prazos!$J$5:$J$404,1)&gt;0,IF(INDEX(Prazos!$A$5:$A$404,MATCH(LARGE(Prazos!$J$5:$J$404,1),Prazos!$J$5:$J$404,0))="","",INDEX(Prazos!$A$5:$A$404,MATCH(LARGE(Prazos!$J$5:$J$404,1),Prazos!$J$5:$J$404,0))),""),"")</f>
        <v/>
      </c>
      <c r="C10" s="26">
        <f>IFERROR(IF(LARGE(Prazos!$J$5:$J$404,1)&gt;0,IF(INDEX(Prazos!$B$5:$B$404,MATCH(LARGE(Prazos!$J$5:$J$404,1),Prazos!$J$5:$J$404,0))="","",INDEX(Prazos!$B$5:$B$404,MATCH(LARGE(Prazos!$J$5:$J$404,1),Prazos!$J$5:$J$404,0))),""),"")</f>
        <v/>
      </c>
      <c r="D10" s="26">
        <f>IFERROR(IF(LARGE(Prazos!$J$5:$J$404,1)&gt;0,IF(INDEX(Prazos!$C$5:$C$404,MATCH(LARGE(Prazos!$J$5:$J$404,1),Prazos!$J$5:$J$404,0))="","",INDEX(Prazos!$C$5:$C$404,MATCH(LARGE(Prazos!$J$5:$J$404,1),Prazos!$J$5:$J$404,0))),""),"")</f>
        <v/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/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/>
      </c>
      <c r="G10" s="25">
        <f>IFERROR(IF(LARGE(Prazos!$J$5:$J$404,1)&gt;0,IF(INDEX(Prazos!$I$5:$I$404,MATCH(LARGE(Prazos!$J$5:$J$404,1),Prazos!$J$5:$J$404,0))="","",INDEX(Prazos!$I$5:$I$404,MATCH(LARGE(Prazos!$J$5:$J$404,1),Prazos!$J$5:$J$404,0))),""),"")</f>
        <v/>
      </c>
      <c r="H10" s="25">
        <f>IFERROR(IF(LARGE(Prazos!$J$5:$J$404,1)&gt;0,IF(INDEX(Prazos!$E$5:$E$404,MATCH(LARGE(Prazos!$J$5:$J$404,1),Prazos!$J$5:$J$404,0))="","",INDEX(Prazos!$E$5:$E$404,MATCH(LARGE(Prazos!$J$5:$J$404,1),Prazos!$J$5:$J$404,0))),""),"")</f>
        <v/>
      </c>
    </row>
    <row r="11">
      <c r="A11" s="25" t="n">
        <v>2</v>
      </c>
      <c r="B11" s="26">
        <f>IFERROR(IF(LARGE(Prazos!$J$5:$J$404,2)&gt;0,IF(INDEX(Prazos!$A$5:$A$404,MATCH(LARGE(Prazos!$J$5:$J$404,2),Prazos!$J$5:$J$404,0))="","",INDEX(Prazos!$A$5:$A$404,MATCH(LARGE(Prazos!$J$5:$J$404,2),Prazos!$J$5:$J$404,0))),""),"")</f>
        <v/>
      </c>
      <c r="C11" s="26">
        <f>IFERROR(IF(LARGE(Prazos!$J$5:$J$404,2)&gt;0,IF(INDEX(Prazos!$B$5:$B$404,MATCH(LARGE(Prazos!$J$5:$J$404,2),Prazos!$J$5:$J$404,0))="","",INDEX(Prazos!$B$5:$B$404,MATCH(LARGE(Prazos!$J$5:$J$404,2),Prazos!$J$5:$J$404,0))),""),"")</f>
        <v/>
      </c>
      <c r="D11" s="26">
        <f>IFERROR(IF(LARGE(Prazos!$J$5:$J$404,2)&gt;0,IF(INDEX(Prazos!$C$5:$C$404,MATCH(LARGE(Prazos!$J$5:$J$404,2),Prazos!$J$5:$J$404,0))="","",INDEX(Prazos!$C$5:$C$404,MATCH(LARGE(Prazos!$J$5:$J$404,2),Prazos!$J$5:$J$404,0))),""),"")</f>
        <v/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/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/>
      </c>
      <c r="G11" s="25">
        <f>IFERROR(IF(LARGE(Prazos!$J$5:$J$404,2)&gt;0,IF(INDEX(Prazos!$I$5:$I$404,MATCH(LARGE(Prazos!$J$5:$J$404,2),Prazos!$J$5:$J$404,0))="","",INDEX(Prazos!$I$5:$I$404,MATCH(LARGE(Prazos!$J$5:$J$404,2),Prazos!$J$5:$J$404,0))),""),"")</f>
        <v/>
      </c>
      <c r="H11" s="25">
        <f>IFERROR(IF(LARGE(Prazos!$J$5:$J$404,2)&gt;0,IF(INDEX(Prazos!$E$5:$E$404,MATCH(LARGE(Prazos!$J$5:$J$404,2),Prazos!$J$5:$J$404,0))="","",INDEX(Prazos!$E$5:$E$404,MATCH(LARGE(Prazos!$J$5:$J$404,2),Prazos!$J$5:$J$404,0))),""),"")</f>
        <v/>
      </c>
    </row>
    <row r="12">
      <c r="A12" s="25" t="n">
        <v>3</v>
      </c>
      <c r="B12" s="26">
        <f>IFERROR(IF(LARGE(Prazos!$J$5:$J$404,3)&gt;0,IF(INDEX(Prazos!$A$5:$A$404,MATCH(LARGE(Prazos!$J$5:$J$404,3),Prazos!$J$5:$J$404,0))="","",INDEX(Prazos!$A$5:$A$404,MATCH(LARGE(Prazos!$J$5:$J$404,3),Prazos!$J$5:$J$404,0))),""),"")</f>
        <v/>
      </c>
      <c r="C12" s="26">
        <f>IFERROR(IF(LARGE(Prazos!$J$5:$J$404,3)&gt;0,IF(INDEX(Prazos!$B$5:$B$404,MATCH(LARGE(Prazos!$J$5:$J$404,3),Prazos!$J$5:$J$404,0))="","",INDEX(Prazos!$B$5:$B$404,MATCH(LARGE(Prazos!$J$5:$J$404,3),Prazos!$J$5:$J$404,0))),""),"")</f>
        <v/>
      </c>
      <c r="D12" s="26">
        <f>IFERROR(IF(LARGE(Prazos!$J$5:$J$404,3)&gt;0,IF(INDEX(Prazos!$C$5:$C$404,MATCH(LARGE(Prazos!$J$5:$J$404,3),Prazos!$J$5:$J$404,0))="","",INDEX(Prazos!$C$5:$C$404,MATCH(LARGE(Prazos!$J$5:$J$404,3),Prazos!$J$5:$J$404,0))),""),"")</f>
        <v/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/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/>
      </c>
      <c r="G12" s="25">
        <f>IFERROR(IF(LARGE(Prazos!$J$5:$J$404,3)&gt;0,IF(INDEX(Prazos!$I$5:$I$404,MATCH(LARGE(Prazos!$J$5:$J$404,3),Prazos!$J$5:$J$404,0))="","",INDEX(Prazos!$I$5:$I$404,MATCH(LARGE(Prazos!$J$5:$J$404,3),Prazos!$J$5:$J$404,0))),""),"")</f>
        <v/>
      </c>
      <c r="H12" s="25">
        <f>IFERROR(IF(LARGE(Prazos!$J$5:$J$404,3)&gt;0,IF(INDEX(Prazos!$E$5:$E$404,MATCH(LARGE(Prazos!$J$5:$J$404,3),Prazos!$J$5:$J$404,0))="","",INDEX(Prazos!$E$5:$E$404,MATCH(LARGE(Prazos!$J$5:$J$404,3),Prazos!$J$5:$J$404,0))),""),"")</f>
        <v/>
      </c>
    </row>
    <row r="13">
      <c r="A13" s="25" t="n">
        <v>4</v>
      </c>
      <c r="B13" s="26">
        <f>IFERROR(IF(LARGE(Prazos!$J$5:$J$404,4)&gt;0,IF(INDEX(Prazos!$A$5:$A$404,MATCH(LARGE(Prazos!$J$5:$J$404,4),Prazos!$J$5:$J$404,0))="","",INDEX(Prazos!$A$5:$A$404,MATCH(LARGE(Prazos!$J$5:$J$404,4),Prazos!$J$5:$J$404,0))),""),"")</f>
        <v/>
      </c>
      <c r="C13" s="26">
        <f>IFERROR(IF(LARGE(Prazos!$J$5:$J$404,4)&gt;0,IF(INDEX(Prazos!$B$5:$B$404,MATCH(LARGE(Prazos!$J$5:$J$404,4),Prazos!$J$5:$J$404,0))="","",INDEX(Prazos!$B$5:$B$404,MATCH(LARGE(Prazos!$J$5:$J$404,4),Prazos!$J$5:$J$404,0))),""),"")</f>
        <v/>
      </c>
      <c r="D13" s="26">
        <f>IFERROR(IF(LARGE(Prazos!$J$5:$J$404,4)&gt;0,IF(INDEX(Prazos!$C$5:$C$404,MATCH(LARGE(Prazos!$J$5:$J$404,4),Prazos!$J$5:$J$404,0))="","",INDEX(Prazos!$C$5:$C$404,MATCH(LARGE(Prazos!$J$5:$J$404,4),Prazos!$J$5:$J$404,0))),""),"")</f>
        <v/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/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/>
      </c>
      <c r="G13" s="25">
        <f>IFERROR(IF(LARGE(Prazos!$J$5:$J$404,4)&gt;0,IF(INDEX(Prazos!$I$5:$I$404,MATCH(LARGE(Prazos!$J$5:$J$404,4),Prazos!$J$5:$J$404,0))="","",INDEX(Prazos!$I$5:$I$404,MATCH(LARGE(Prazos!$J$5:$J$404,4),Prazos!$J$5:$J$404,0))),""),"")</f>
        <v/>
      </c>
      <c r="H13" s="25">
        <f>IFERROR(IF(LARGE(Prazos!$J$5:$J$404,4)&gt;0,IF(INDEX(Prazos!$E$5:$E$404,MATCH(LARGE(Prazos!$J$5:$J$404,4),Prazos!$J$5:$J$404,0))="","",INDEX(Prazos!$E$5:$E$404,MATCH(LARGE(Prazos!$J$5:$J$404,4),Prazos!$J$5:$J$404,0))),""),"")</f>
        <v/>
      </c>
    </row>
    <row r="14">
      <c r="A14" s="25" t="n">
        <v>5</v>
      </c>
      <c r="B14" s="26">
        <f>IFERROR(IF(LARGE(Prazos!$J$5:$J$404,5)&gt;0,IF(INDEX(Prazos!$A$5:$A$404,MATCH(LARGE(Prazos!$J$5:$J$404,5),Prazos!$J$5:$J$404,0))="","",INDEX(Prazos!$A$5:$A$404,MATCH(LARGE(Prazos!$J$5:$J$404,5),Prazos!$J$5:$J$404,0))),""),"")</f>
        <v/>
      </c>
      <c r="C14" s="26">
        <f>IFERROR(IF(LARGE(Prazos!$J$5:$J$404,5)&gt;0,IF(INDEX(Prazos!$B$5:$B$404,MATCH(LARGE(Prazos!$J$5:$J$404,5),Prazos!$J$5:$J$404,0))="","",INDEX(Prazos!$B$5:$B$404,MATCH(LARGE(Prazos!$J$5:$J$404,5),Prazos!$J$5:$J$404,0))),""),"")</f>
        <v/>
      </c>
      <c r="D14" s="26">
        <f>IFERROR(IF(LARGE(Prazos!$J$5:$J$404,5)&gt;0,IF(INDEX(Prazos!$C$5:$C$404,MATCH(LARGE(Prazos!$J$5:$J$404,5),Prazos!$J$5:$J$404,0))="","",INDEX(Prazos!$C$5:$C$404,MATCH(LARGE(Prazos!$J$5:$J$404,5),Prazos!$J$5:$J$404,0))),""),"")</f>
        <v/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/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/>
      </c>
      <c r="G14" s="25">
        <f>IFERROR(IF(LARGE(Prazos!$J$5:$J$404,5)&gt;0,IF(INDEX(Prazos!$I$5:$I$404,MATCH(LARGE(Prazos!$J$5:$J$404,5),Prazos!$J$5:$J$404,0))="","",INDEX(Prazos!$I$5:$I$404,MATCH(LARGE(Prazos!$J$5:$J$404,5),Prazos!$J$5:$J$404,0))),""),"")</f>
        <v/>
      </c>
      <c r="H14" s="25">
        <f>IFERROR(IF(LARGE(Prazos!$J$5:$J$404,5)&gt;0,IF(INDEX(Prazos!$E$5:$E$404,MATCH(LARGE(Prazos!$J$5:$J$404,5),Prazos!$J$5:$J$404,0))="","",INDEX(Prazos!$E$5:$E$404,MATCH(LARGE(Prazos!$J$5:$J$404,5),Prazos!$J$5:$J$404,0))),""),"")</f>
        <v/>
      </c>
    </row>
    <row r="15">
      <c r="A15" s="25" t="n">
        <v>6</v>
      </c>
      <c r="B15" s="26">
        <f>IFERROR(IF(LARGE(Prazos!$J$5:$J$404,6)&gt;0,IF(INDEX(Prazos!$A$5:$A$404,MATCH(LARGE(Prazos!$J$5:$J$404,6),Prazos!$J$5:$J$404,0))="","",INDEX(Prazos!$A$5:$A$404,MATCH(LARGE(Prazos!$J$5:$J$404,6),Prazos!$J$5:$J$404,0))),""),"")</f>
        <v/>
      </c>
      <c r="C15" s="26">
        <f>IFERROR(IF(LARGE(Prazos!$J$5:$J$404,6)&gt;0,IF(INDEX(Prazos!$B$5:$B$404,MATCH(LARGE(Prazos!$J$5:$J$404,6),Prazos!$J$5:$J$404,0))="","",INDEX(Prazos!$B$5:$B$404,MATCH(LARGE(Prazos!$J$5:$J$404,6),Prazos!$J$5:$J$404,0))),""),"")</f>
        <v/>
      </c>
      <c r="D15" s="26">
        <f>IFERROR(IF(LARGE(Prazos!$J$5:$J$404,6)&gt;0,IF(INDEX(Prazos!$C$5:$C$404,MATCH(LARGE(Prazos!$J$5:$J$404,6),Prazos!$J$5:$J$404,0))="","",INDEX(Prazos!$C$5:$C$404,MATCH(LARGE(Prazos!$J$5:$J$404,6),Prazos!$J$5:$J$404,0))),""),"")</f>
        <v/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/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/>
      </c>
      <c r="G15" s="25">
        <f>IFERROR(IF(LARGE(Prazos!$J$5:$J$404,6)&gt;0,IF(INDEX(Prazos!$I$5:$I$404,MATCH(LARGE(Prazos!$J$5:$J$404,6),Prazos!$J$5:$J$404,0))="","",INDEX(Prazos!$I$5:$I$404,MATCH(LARGE(Prazos!$J$5:$J$404,6),Prazos!$J$5:$J$404,0))),""),"")</f>
        <v/>
      </c>
      <c r="H15" s="25">
        <f>IFERROR(IF(LARGE(Prazos!$J$5:$J$404,6)&gt;0,IF(INDEX(Prazos!$E$5:$E$404,MATCH(LARGE(Prazos!$J$5:$J$404,6),Prazos!$J$5:$J$404,0))="","",INDEX(Prazos!$E$5:$E$404,MATCH(LARGE(Prazos!$J$5:$J$404,6),Prazos!$J$5:$J$404,0))),""),"")</f>
        <v/>
      </c>
    </row>
    <row r="16">
      <c r="A16" s="25" t="n">
        <v>7</v>
      </c>
      <c r="B16" s="26">
        <f>IFERROR(IF(LARGE(Prazos!$J$5:$J$404,7)&gt;0,IF(INDEX(Prazos!$A$5:$A$404,MATCH(LARGE(Prazos!$J$5:$J$404,7),Prazos!$J$5:$J$404,0))="","",INDEX(Prazos!$A$5:$A$404,MATCH(LARGE(Prazos!$J$5:$J$404,7),Prazos!$J$5:$J$404,0))),""),"")</f>
        <v/>
      </c>
      <c r="C16" s="26">
        <f>IFERROR(IF(LARGE(Prazos!$J$5:$J$404,7)&gt;0,IF(INDEX(Prazos!$B$5:$B$404,MATCH(LARGE(Prazos!$J$5:$J$404,7),Prazos!$J$5:$J$404,0))="","",INDEX(Prazos!$B$5:$B$404,MATCH(LARGE(Prazos!$J$5:$J$404,7),Prazos!$J$5:$J$404,0))),""),"")</f>
        <v/>
      </c>
      <c r="D16" s="26">
        <f>IFERROR(IF(LARGE(Prazos!$J$5:$J$404,7)&gt;0,IF(INDEX(Prazos!$C$5:$C$404,MATCH(LARGE(Prazos!$J$5:$J$404,7),Prazos!$J$5:$J$404,0))="","",INDEX(Prazos!$C$5:$C$404,MATCH(LARGE(Prazos!$J$5:$J$404,7),Prazos!$J$5:$J$404,0))),""),"")</f>
        <v/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/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/>
      </c>
      <c r="G16" s="25">
        <f>IFERROR(IF(LARGE(Prazos!$J$5:$J$404,7)&gt;0,IF(INDEX(Prazos!$I$5:$I$404,MATCH(LARGE(Prazos!$J$5:$J$404,7),Prazos!$J$5:$J$404,0))="","",INDEX(Prazos!$I$5:$I$404,MATCH(LARGE(Prazos!$J$5:$J$404,7),Prazos!$J$5:$J$404,0))),""),"")</f>
        <v/>
      </c>
      <c r="H16" s="25">
        <f>IFERROR(IF(LARGE(Prazos!$J$5:$J$404,7)&gt;0,IF(INDEX(Prazos!$E$5:$E$404,MATCH(LARGE(Prazos!$J$5:$J$404,7),Prazos!$J$5:$J$404,0))="","",INDEX(Prazos!$E$5:$E$404,MATCH(LARGE(Prazos!$J$5:$J$404,7),Prazos!$J$5:$J$404,0))),""),"")</f>
        <v/>
      </c>
    </row>
    <row r="17">
      <c r="A17" s="25" t="n">
        <v>8</v>
      </c>
      <c r="B17" s="26">
        <f>IFERROR(IF(LARGE(Prazos!$J$5:$J$404,8)&gt;0,IF(INDEX(Prazos!$A$5:$A$404,MATCH(LARGE(Prazos!$J$5:$J$404,8),Prazos!$J$5:$J$404,0))="","",INDEX(Prazos!$A$5:$A$404,MATCH(LARGE(Prazos!$J$5:$J$404,8),Prazos!$J$5:$J$404,0))),""),"")</f>
        <v/>
      </c>
      <c r="C17" s="26">
        <f>IFERROR(IF(LARGE(Prazos!$J$5:$J$404,8)&gt;0,IF(INDEX(Prazos!$B$5:$B$404,MATCH(LARGE(Prazos!$J$5:$J$404,8),Prazos!$J$5:$J$404,0))="","",INDEX(Prazos!$B$5:$B$404,MATCH(LARGE(Prazos!$J$5:$J$404,8),Prazos!$J$5:$J$404,0))),""),"")</f>
        <v/>
      </c>
      <c r="D17" s="26">
        <f>IFERROR(IF(LARGE(Prazos!$J$5:$J$404,8)&gt;0,IF(INDEX(Prazos!$C$5:$C$404,MATCH(LARGE(Prazos!$J$5:$J$404,8),Prazos!$J$5:$J$404,0))="","",INDEX(Prazos!$C$5:$C$404,MATCH(LARGE(Prazos!$J$5:$J$404,8),Prazos!$J$5:$J$404,0))),""),"")</f>
        <v/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/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/>
      </c>
      <c r="G17" s="25">
        <f>IFERROR(IF(LARGE(Prazos!$J$5:$J$404,8)&gt;0,IF(INDEX(Prazos!$I$5:$I$404,MATCH(LARGE(Prazos!$J$5:$J$404,8),Prazos!$J$5:$J$404,0))="","",INDEX(Prazos!$I$5:$I$404,MATCH(LARGE(Prazos!$J$5:$J$404,8),Prazos!$J$5:$J$404,0))),""),"")</f>
        <v/>
      </c>
      <c r="H17" s="25">
        <f>IFERROR(IF(LARGE(Prazos!$J$5:$J$404,8)&gt;0,IF(INDEX(Prazos!$E$5:$E$404,MATCH(LARGE(Prazos!$J$5:$J$404,8),Prazos!$J$5:$J$404,0))="","",INDEX(Prazos!$E$5:$E$404,MATCH(LARGE(Prazos!$J$5:$J$404,8),Prazos!$J$5:$J$404,0))),""),"")</f>
        <v/>
      </c>
    </row>
    <row r="18">
      <c r="A18" s="25" t="n">
        <v>9</v>
      </c>
      <c r="B18" s="26">
        <f>IFERROR(IF(LARGE(Prazos!$J$5:$J$404,9)&gt;0,IF(INDEX(Prazos!$A$5:$A$404,MATCH(LARGE(Prazos!$J$5:$J$404,9),Prazos!$J$5:$J$404,0))="","",INDEX(Prazos!$A$5:$A$404,MATCH(LARGE(Prazos!$J$5:$J$404,9),Prazos!$J$5:$J$404,0))),""),"")</f>
        <v/>
      </c>
      <c r="C18" s="26">
        <f>IFERROR(IF(LARGE(Prazos!$J$5:$J$404,9)&gt;0,IF(INDEX(Prazos!$B$5:$B$404,MATCH(LARGE(Prazos!$J$5:$J$404,9),Prazos!$J$5:$J$404,0))="","",INDEX(Prazos!$B$5:$B$404,MATCH(LARGE(Prazos!$J$5:$J$404,9),Prazos!$J$5:$J$404,0))),""),"")</f>
        <v/>
      </c>
      <c r="D18" s="26">
        <f>IFERROR(IF(LARGE(Prazos!$J$5:$J$404,9)&gt;0,IF(INDEX(Prazos!$C$5:$C$404,MATCH(LARGE(Prazos!$J$5:$J$404,9),Prazos!$J$5:$J$404,0))="","",INDEX(Prazos!$C$5:$C$404,MATCH(LARGE(Prazos!$J$5:$J$404,9),Prazos!$J$5:$J$404,0))),""),"")</f>
        <v/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/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/>
      </c>
      <c r="G18" s="25">
        <f>IFERROR(IF(LARGE(Prazos!$J$5:$J$404,9)&gt;0,IF(INDEX(Prazos!$I$5:$I$404,MATCH(LARGE(Prazos!$J$5:$J$404,9),Prazos!$J$5:$J$404,0))="","",INDEX(Prazos!$I$5:$I$404,MATCH(LARGE(Prazos!$J$5:$J$404,9),Prazos!$J$5:$J$404,0))),""),"")</f>
        <v/>
      </c>
      <c r="H18" s="25">
        <f>IFERROR(IF(LARGE(Prazos!$J$5:$J$404,9)&gt;0,IF(INDEX(Prazos!$E$5:$E$404,MATCH(LARGE(Prazos!$J$5:$J$404,9),Prazos!$J$5:$J$404,0))="","",INDEX(Prazos!$E$5:$E$404,MATCH(LARGE(Prazos!$J$5:$J$404,9),Prazos!$J$5:$J$404,0))),""),"")</f>
        <v/>
      </c>
    </row>
    <row r="19">
      <c r="A19" s="25" t="n">
        <v>10</v>
      </c>
      <c r="B19" s="26">
        <f>IFERROR(IF(LARGE(Prazos!$J$5:$J$404,10)&gt;0,IF(INDEX(Prazos!$A$5:$A$404,MATCH(LARGE(Prazos!$J$5:$J$404,10),Prazos!$J$5:$J$404,0))="","",INDEX(Prazos!$A$5:$A$404,MATCH(LARGE(Prazos!$J$5:$J$404,10),Prazos!$J$5:$J$404,0))),""),"")</f>
        <v/>
      </c>
      <c r="C19" s="26">
        <f>IFERROR(IF(LARGE(Prazos!$J$5:$J$404,10)&gt;0,IF(INDEX(Prazos!$B$5:$B$404,MATCH(LARGE(Prazos!$J$5:$J$404,10),Prazos!$J$5:$J$404,0))="","",INDEX(Prazos!$B$5:$B$404,MATCH(LARGE(Prazos!$J$5:$J$404,10),Prazos!$J$5:$J$404,0))),""),"")</f>
        <v/>
      </c>
      <c r="D19" s="26">
        <f>IFERROR(IF(LARGE(Prazos!$J$5:$J$404,10)&gt;0,IF(INDEX(Prazos!$C$5:$C$404,MATCH(LARGE(Prazos!$J$5:$J$404,10),Prazos!$J$5:$J$404,0))="","",INDEX(Prazos!$C$5:$C$404,MATCH(LARGE(Prazos!$J$5:$J$404,10),Prazos!$J$5:$J$404,0))),""),"")</f>
        <v/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/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/>
      </c>
      <c r="G19" s="25">
        <f>IFERROR(IF(LARGE(Prazos!$J$5:$J$404,10)&gt;0,IF(INDEX(Prazos!$I$5:$I$404,MATCH(LARGE(Prazos!$J$5:$J$404,10),Prazos!$J$5:$J$404,0))="","",INDEX(Prazos!$I$5:$I$404,MATCH(LARGE(Prazos!$J$5:$J$404,10),Prazos!$J$5:$J$404,0))),""),"")</f>
        <v/>
      </c>
      <c r="H19" s="25">
        <f>IFERROR(IF(LARGE(Prazos!$J$5:$J$404,10)&gt;0,IF(INDEX(Prazos!$E$5:$E$404,MATCH(LARGE(Prazos!$J$5:$J$404,10),Prazos!$J$5:$J$404,0))="","",INDEX(Prazos!$E$5:$E$404,MATCH(LARGE(Prazos!$J$5:$J$404,10),Prazos!$J$5:$J$404,0))),""),"")</f>
        <v/>
      </c>
    </row>
    <row r="20">
      <c r="A20" s="25" t="n">
        <v>11</v>
      </c>
      <c r="B20" s="26">
        <f>IFERROR(IF(LARGE(Prazos!$J$5:$J$404,11)&gt;0,IF(INDEX(Prazos!$A$5:$A$404,MATCH(LARGE(Prazos!$J$5:$J$404,11),Prazos!$J$5:$J$404,0))="","",INDEX(Prazos!$A$5:$A$404,MATCH(LARGE(Prazos!$J$5:$J$404,11),Prazos!$J$5:$J$404,0))),""),"")</f>
        <v/>
      </c>
      <c r="C20" s="26">
        <f>IFERROR(IF(LARGE(Prazos!$J$5:$J$404,11)&gt;0,IF(INDEX(Prazos!$B$5:$B$404,MATCH(LARGE(Prazos!$J$5:$J$404,11),Prazos!$J$5:$J$404,0))="","",INDEX(Prazos!$B$5:$B$404,MATCH(LARGE(Prazos!$J$5:$J$404,11),Prazos!$J$5:$J$404,0))),""),"")</f>
        <v/>
      </c>
      <c r="D20" s="26">
        <f>IFERROR(IF(LARGE(Prazos!$J$5:$J$404,11)&gt;0,IF(INDEX(Prazos!$C$5:$C$404,MATCH(LARGE(Prazos!$J$5:$J$404,11),Prazos!$J$5:$J$404,0))="","",INDEX(Prazos!$C$5:$C$404,MATCH(LARGE(Prazos!$J$5:$J$404,11),Prazos!$J$5:$J$404,0))),""),"")</f>
        <v/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/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/>
      </c>
      <c r="G20" s="25">
        <f>IFERROR(IF(LARGE(Prazos!$J$5:$J$404,11)&gt;0,IF(INDEX(Prazos!$I$5:$I$404,MATCH(LARGE(Prazos!$J$5:$J$404,11),Prazos!$J$5:$J$404,0))="","",INDEX(Prazos!$I$5:$I$404,MATCH(LARGE(Prazos!$J$5:$J$404,11),Prazos!$J$5:$J$404,0))),""),"")</f>
        <v/>
      </c>
      <c r="H20" s="25">
        <f>IFERROR(IF(LARGE(Prazos!$J$5:$J$404,11)&gt;0,IF(INDEX(Prazos!$E$5:$E$404,MATCH(LARGE(Prazos!$J$5:$J$404,11),Prazos!$J$5:$J$404,0))="","",INDEX(Prazos!$E$5:$E$404,MATCH(LARGE(Prazos!$J$5:$J$404,11),Prazos!$J$5:$J$404,0))),""),"")</f>
        <v/>
      </c>
    </row>
    <row r="21">
      <c r="A21" s="25" t="n">
        <v>12</v>
      </c>
      <c r="B21" s="26">
        <f>IFERROR(IF(LARGE(Prazos!$J$5:$J$404,12)&gt;0,IF(INDEX(Prazos!$A$5:$A$404,MATCH(LARGE(Prazos!$J$5:$J$404,12),Prazos!$J$5:$J$404,0))="","",INDEX(Prazos!$A$5:$A$404,MATCH(LARGE(Prazos!$J$5:$J$404,12),Prazos!$J$5:$J$404,0))),""),"")</f>
        <v/>
      </c>
      <c r="C21" s="26">
        <f>IFERROR(IF(LARGE(Prazos!$J$5:$J$404,12)&gt;0,IF(INDEX(Prazos!$B$5:$B$404,MATCH(LARGE(Prazos!$J$5:$J$404,12),Prazos!$J$5:$J$404,0))="","",INDEX(Prazos!$B$5:$B$404,MATCH(LARGE(Prazos!$J$5:$J$404,12),Prazos!$J$5:$J$404,0))),""),"")</f>
        <v/>
      </c>
      <c r="D21" s="26">
        <f>IFERROR(IF(LARGE(Prazos!$J$5:$J$404,12)&gt;0,IF(INDEX(Prazos!$C$5:$C$404,MATCH(LARGE(Prazos!$J$5:$J$404,12),Prazos!$J$5:$J$404,0))="","",INDEX(Prazos!$C$5:$C$404,MATCH(LARGE(Prazos!$J$5:$J$404,12),Prazos!$J$5:$J$404,0))),""),"")</f>
        <v/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/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/>
      </c>
      <c r="G21" s="25">
        <f>IFERROR(IF(LARGE(Prazos!$J$5:$J$404,12)&gt;0,IF(INDEX(Prazos!$I$5:$I$404,MATCH(LARGE(Prazos!$J$5:$J$404,12),Prazos!$J$5:$J$404,0))="","",INDEX(Prazos!$I$5:$I$404,MATCH(LARGE(Prazos!$J$5:$J$404,12),Prazos!$J$5:$J$404,0))),""),"")</f>
        <v/>
      </c>
      <c r="H21" s="25">
        <f>IFERROR(IF(LARGE(Prazos!$J$5:$J$404,12)&gt;0,IF(INDEX(Prazos!$E$5:$E$404,MATCH(LARGE(Prazos!$J$5:$J$404,12),Prazos!$J$5:$J$404,0))="","",INDEX(Prazos!$E$5:$E$404,MATCH(LARGE(Prazos!$J$5:$J$404,12),Prazos!$J$5:$J$404,0))),""),"")</f>
        <v/>
      </c>
    </row>
    <row r="22">
      <c r="A22" s="25" t="n">
        <v>13</v>
      </c>
      <c r="B22" s="26">
        <f>IFERROR(IF(LARGE(Prazos!$J$5:$J$404,13)&gt;0,IF(INDEX(Prazos!$A$5:$A$404,MATCH(LARGE(Prazos!$J$5:$J$404,13),Prazos!$J$5:$J$404,0))="","",INDEX(Prazos!$A$5:$A$404,MATCH(LARGE(Prazos!$J$5:$J$404,13),Prazos!$J$5:$J$404,0))),""),"")</f>
        <v/>
      </c>
      <c r="C22" s="26">
        <f>IFERROR(IF(LARGE(Prazos!$J$5:$J$404,13)&gt;0,IF(INDEX(Prazos!$B$5:$B$404,MATCH(LARGE(Prazos!$J$5:$J$404,13),Prazos!$J$5:$J$404,0))="","",INDEX(Prazos!$B$5:$B$404,MATCH(LARGE(Prazos!$J$5:$J$404,13),Prazos!$J$5:$J$404,0))),""),"")</f>
        <v/>
      </c>
      <c r="D22" s="26">
        <f>IFERROR(IF(LARGE(Prazos!$J$5:$J$404,13)&gt;0,IF(INDEX(Prazos!$C$5:$C$404,MATCH(LARGE(Prazos!$J$5:$J$404,13),Prazos!$J$5:$J$404,0))="","",INDEX(Prazos!$C$5:$C$404,MATCH(LARGE(Prazos!$J$5:$J$404,13),Prazos!$J$5:$J$404,0))),""),"")</f>
        <v/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/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/>
      </c>
      <c r="G22" s="25">
        <f>IFERROR(IF(LARGE(Prazos!$J$5:$J$404,13)&gt;0,IF(INDEX(Prazos!$I$5:$I$404,MATCH(LARGE(Prazos!$J$5:$J$404,13),Prazos!$J$5:$J$404,0))="","",INDEX(Prazos!$I$5:$I$404,MATCH(LARGE(Prazos!$J$5:$J$404,13),Prazos!$J$5:$J$404,0))),""),"")</f>
        <v/>
      </c>
      <c r="H22" s="25">
        <f>IFERROR(IF(LARGE(Prazos!$J$5:$J$404,13)&gt;0,IF(INDEX(Prazos!$E$5:$E$404,MATCH(LARGE(Prazos!$J$5:$J$404,13),Prazos!$J$5:$J$404,0))="","",INDEX(Prazos!$E$5:$E$404,MATCH(LARGE(Prazos!$J$5:$J$404,13),Prazos!$J$5:$J$404,0))),""),"")</f>
        <v/>
      </c>
    </row>
    <row r="23">
      <c r="A23" s="25" t="n">
        <v>14</v>
      </c>
      <c r="B23" s="26">
        <f>IFERROR(IF(LARGE(Prazos!$J$5:$J$404,14)&gt;0,IF(INDEX(Prazos!$A$5:$A$404,MATCH(LARGE(Prazos!$J$5:$J$404,14),Prazos!$J$5:$J$404,0))="","",INDEX(Prazos!$A$5:$A$404,MATCH(LARGE(Prazos!$J$5:$J$404,14),Prazos!$J$5:$J$404,0))),""),"")</f>
        <v/>
      </c>
      <c r="C23" s="26">
        <f>IFERROR(IF(LARGE(Prazos!$J$5:$J$404,14)&gt;0,IF(INDEX(Prazos!$B$5:$B$404,MATCH(LARGE(Prazos!$J$5:$J$404,14),Prazos!$J$5:$J$404,0))="","",INDEX(Prazos!$B$5:$B$404,MATCH(LARGE(Prazos!$J$5:$J$404,14),Prazos!$J$5:$J$404,0))),""),"")</f>
        <v/>
      </c>
      <c r="D23" s="26">
        <f>IFERROR(IF(LARGE(Prazos!$J$5:$J$404,14)&gt;0,IF(INDEX(Prazos!$C$5:$C$404,MATCH(LARGE(Prazos!$J$5:$J$404,14),Prazos!$J$5:$J$404,0))="","",INDEX(Prazos!$C$5:$C$404,MATCH(LARGE(Prazos!$J$5:$J$404,14),Prazos!$J$5:$J$404,0))),""),"")</f>
        <v/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/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/>
      </c>
      <c r="G23" s="25">
        <f>IFERROR(IF(LARGE(Prazos!$J$5:$J$404,14)&gt;0,IF(INDEX(Prazos!$I$5:$I$404,MATCH(LARGE(Prazos!$J$5:$J$404,14),Prazos!$J$5:$J$404,0))="","",INDEX(Prazos!$I$5:$I$404,MATCH(LARGE(Prazos!$J$5:$J$404,14),Prazos!$J$5:$J$404,0))),""),"")</f>
        <v/>
      </c>
      <c r="H23" s="25">
        <f>IFERROR(IF(LARGE(Prazos!$J$5:$J$404,14)&gt;0,IF(INDEX(Prazos!$E$5:$E$404,MATCH(LARGE(Prazos!$J$5:$J$404,14),Prazos!$J$5:$J$404,0))="","",INDEX(Prazos!$E$5:$E$404,MATCH(LARGE(Prazos!$J$5:$J$404,14),Prazos!$J$5:$J$404,0))),""),"")</f>
        <v/>
      </c>
    </row>
    <row r="24">
      <c r="A24" s="25" t="n">
        <v>15</v>
      </c>
      <c r="B24" s="26">
        <f>IFERROR(IF(LARGE(Prazos!$J$5:$J$404,15)&gt;0,IF(INDEX(Prazos!$A$5:$A$404,MATCH(LARGE(Prazos!$J$5:$J$404,15),Prazos!$J$5:$J$404,0))="","",INDEX(Prazos!$A$5:$A$404,MATCH(LARGE(Prazos!$J$5:$J$404,15),Prazos!$J$5:$J$404,0))),""),"")</f>
        <v/>
      </c>
      <c r="C24" s="26">
        <f>IFERROR(IF(LARGE(Prazos!$J$5:$J$404,15)&gt;0,IF(INDEX(Prazos!$B$5:$B$404,MATCH(LARGE(Prazos!$J$5:$J$404,15),Prazos!$J$5:$J$404,0))="","",INDEX(Prazos!$B$5:$B$404,MATCH(LARGE(Prazos!$J$5:$J$404,15),Prazos!$J$5:$J$404,0))),""),"")</f>
        <v/>
      </c>
      <c r="D24" s="26">
        <f>IFERROR(IF(LARGE(Prazos!$J$5:$J$404,15)&gt;0,IF(INDEX(Prazos!$C$5:$C$404,MATCH(LARGE(Prazos!$J$5:$J$404,15),Prazos!$J$5:$J$404,0))="","",INDEX(Prazos!$C$5:$C$404,MATCH(LARGE(Prazos!$J$5:$J$404,15),Prazos!$J$5:$J$404,0))),""),"")</f>
        <v/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/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/>
      </c>
      <c r="G24" s="25">
        <f>IFERROR(IF(LARGE(Prazos!$J$5:$J$404,15)&gt;0,IF(INDEX(Prazos!$I$5:$I$404,MATCH(LARGE(Prazos!$J$5:$J$404,15),Prazos!$J$5:$J$404,0))="","",INDEX(Prazos!$I$5:$I$404,MATCH(LARGE(Prazos!$J$5:$J$404,15),Prazos!$J$5:$J$404,0))),""),"")</f>
        <v/>
      </c>
      <c r="H24" s="25">
        <f>IFERROR(IF(LARGE(Prazos!$J$5:$J$404,15)&gt;0,IF(INDEX(Prazos!$E$5:$E$404,MATCH(LARGE(Prazos!$J$5:$J$404,15),Prazos!$J$5:$J$404,0))="","",INDEX(Prazos!$E$5:$E$404,MATCH(LARGE(Prazos!$J$5:$J$404,15),Prazos!$J$5:$J$404,0))),""),"")</f>
        <v/>
      </c>
    </row>
    <row r="26">
      <c r="A26" s="22" t="inlineStr">
        <is>
          <t>Carga por responsável</t>
        </is>
      </c>
    </row>
    <row r="27" ht="26" customHeight="1">
      <c r="A27" s="24" t="inlineStr">
        <is>
          <t>Responsável</t>
        </is>
      </c>
      <c r="B27" s="29" t="n"/>
      <c r="C27" s="24" t="inlineStr">
        <is>
          <t>Abertos</t>
        </is>
      </c>
      <c r="D27" s="24" t="inlineStr">
        <is>
          <t>Atrasados</t>
        </is>
      </c>
      <c r="E27" s="24" t="inlineStr">
        <is>
          <t>Hoje</t>
        </is>
      </c>
      <c r="F27" s="24" t="inlineStr">
        <is>
          <t>Em alerta</t>
        </is>
      </c>
      <c r="G27" s="24" t="inlineStr">
        <is>
          <t>Mais antigo em aberto</t>
        </is>
      </c>
      <c r="H27" s="24" t="inlineStr">
        <is>
          <t>Feitos</t>
        </is>
      </c>
    </row>
    <row r="28">
      <c r="A28" s="26">
        <f>IF(Config!$B$10="","",Config!$B$10)</f>
        <v/>
      </c>
      <c r="B28" s="25" t="n"/>
      <c r="C28" s="25">
        <f>IF(Config!$B$10="","",COUNTIFS(Prazos!$E$5:$E$404,Config!$B$10,Prazos!$J$5:$J$404,"&gt;0")+COUNTIFS(Prazos!$E$5:$E$404,Config!$B$10,Prazos!$I$5:$I$404,"Sem data"))</f>
        <v/>
      </c>
      <c r="D28" s="25">
        <f>IF(Config!$B$10="","",COUNTIFS(Prazos!$E$5:$E$404,Config!$B$10,Prazos!$I$5:$I$404,"Atrasado"))</f>
        <v/>
      </c>
      <c r="E28" s="25">
        <f>IF(Config!$B$10="","",COUNTIFS(Prazos!$E$5:$E$404,Config!$B$10,Prazos!$I$5:$I$404,"Hoje"))</f>
        <v/>
      </c>
      <c r="F28" s="25">
        <f>IF(Config!$B$10="","",COUNTIFS(Prazos!$E$5:$E$404,Config!$B$10,Prazos!$I$5:$I$404,"Até "&amp;Config!$B$6&amp;" dias"))</f>
        <v/>
      </c>
      <c r="G28" s="27">
        <f>IF(Config!$B$10="","",IFERROR(IF(_xlfn.MINIFS(Prazos!$D$5:$D$404,Prazos!$E$5:$E$404,Config!$B$10,Prazos!$J$5:$J$404,"&gt;0")=0,"",_xlfn.MINIFS(Prazos!$D$5:$D$404,Prazos!$E$5:$E$404,Config!$B$10,Prazos!$J$5:$J$404,"&gt;0")),""))</f>
        <v/>
      </c>
      <c r="H28" s="25">
        <f>IF(Config!$B$10="","",COUNTIFS(Prazos!$E$5:$E$404,Config!$B$10,Prazos!$I$5:$I$404,"Feito"))</f>
        <v/>
      </c>
    </row>
    <row r="29">
      <c r="A29" s="26">
        <f>IF(Config!$B$11="","",Config!$B$11)</f>
        <v/>
      </c>
      <c r="B29" s="25" t="n"/>
      <c r="C29" s="25">
        <f>IF(Config!$B$11="","",COUNTIFS(Prazos!$E$5:$E$404,Config!$B$11,Prazos!$J$5:$J$404,"&gt;0")+COUNTIFS(Prazos!$E$5:$E$404,Config!$B$11,Prazos!$I$5:$I$404,"Sem data"))</f>
        <v/>
      </c>
      <c r="D29" s="25">
        <f>IF(Config!$B$11="","",COUNTIFS(Prazos!$E$5:$E$404,Config!$B$11,Prazos!$I$5:$I$404,"Atrasado"))</f>
        <v/>
      </c>
      <c r="E29" s="25">
        <f>IF(Config!$B$11="","",COUNTIFS(Prazos!$E$5:$E$404,Config!$B$11,Prazos!$I$5:$I$404,"Hoje"))</f>
        <v/>
      </c>
      <c r="F29" s="25">
        <f>IF(Config!$B$11="","",COUNTIFS(Prazos!$E$5:$E$404,Config!$B$11,Prazos!$I$5:$I$404,"Até "&amp;Config!$B$6&amp;" dias"))</f>
        <v/>
      </c>
      <c r="G29" s="27">
        <f>IF(Config!$B$11="","",IFERROR(IF(_xlfn.MINIFS(Prazos!$D$5:$D$404,Prazos!$E$5:$E$404,Config!$B$11,Prazos!$J$5:$J$404,"&gt;0")=0,"",_xlfn.MINIFS(Prazos!$D$5:$D$404,Prazos!$E$5:$E$404,Config!$B$11,Prazos!$J$5:$J$404,"&gt;0")),""))</f>
        <v/>
      </c>
      <c r="H29" s="25">
        <f>IF(Config!$B$11="","",COUNTIFS(Prazos!$E$5:$E$404,Config!$B$11,Prazos!$I$5:$I$404,"Feito"))</f>
        <v/>
      </c>
    </row>
    <row r="30">
      <c r="A30" s="26">
        <f>IF(Config!$B$12="","",Config!$B$12)</f>
        <v/>
      </c>
      <c r="B30" s="25" t="n"/>
      <c r="C30" s="25">
        <f>IF(Config!$B$12="","",COUNTIFS(Prazos!$E$5:$E$404,Config!$B$12,Prazos!$J$5:$J$404,"&gt;0")+COUNTIFS(Prazos!$E$5:$E$404,Config!$B$12,Prazos!$I$5:$I$404,"Sem data"))</f>
        <v/>
      </c>
      <c r="D30" s="25">
        <f>IF(Config!$B$12="","",COUNTIFS(Prazos!$E$5:$E$404,Config!$B$12,Prazos!$I$5:$I$404,"Atrasado"))</f>
        <v/>
      </c>
      <c r="E30" s="25">
        <f>IF(Config!$B$12="","",COUNTIFS(Prazos!$E$5:$E$404,Config!$B$12,Prazos!$I$5:$I$404,"Hoje"))</f>
        <v/>
      </c>
      <c r="F30" s="25">
        <f>IF(Config!$B$12="","",COUNTIFS(Prazos!$E$5:$E$404,Config!$B$12,Prazos!$I$5:$I$404,"Até "&amp;Config!$B$6&amp;" dias"))</f>
        <v/>
      </c>
      <c r="G30" s="27">
        <f>IF(Config!$B$12="","",IFERROR(IF(_xlfn.MINIFS(Prazos!$D$5:$D$404,Prazos!$E$5:$E$404,Config!$B$12,Prazos!$J$5:$J$404,"&gt;0")=0,"",_xlfn.MINIFS(Prazos!$D$5:$D$404,Prazos!$E$5:$E$404,Config!$B$12,Prazos!$J$5:$J$404,"&gt;0")),""))</f>
        <v/>
      </c>
      <c r="H30" s="25">
        <f>IF(Config!$B$12="","",COUNTIFS(Prazos!$E$5:$E$404,Config!$B$12,Prazos!$I$5:$I$404,"Feito"))</f>
        <v/>
      </c>
    </row>
    <row r="31">
      <c r="A31" s="26">
        <f>IF(Config!$B$13="","",Config!$B$13)</f>
        <v/>
      </c>
      <c r="B31" s="25" t="n"/>
      <c r="C31" s="25">
        <f>IF(Config!$B$13="","",COUNTIFS(Prazos!$E$5:$E$404,Config!$B$13,Prazos!$J$5:$J$404,"&gt;0")+COUNTIFS(Prazos!$E$5:$E$404,Config!$B$13,Prazos!$I$5:$I$404,"Sem data"))</f>
        <v/>
      </c>
      <c r="D31" s="25">
        <f>IF(Config!$B$13="","",COUNTIFS(Prazos!$E$5:$E$404,Config!$B$13,Prazos!$I$5:$I$404,"Atrasado"))</f>
        <v/>
      </c>
      <c r="E31" s="25">
        <f>IF(Config!$B$13="","",COUNTIFS(Prazos!$E$5:$E$404,Config!$B$13,Prazos!$I$5:$I$404,"Hoje"))</f>
        <v/>
      </c>
      <c r="F31" s="25">
        <f>IF(Config!$B$13="","",COUNTIFS(Prazos!$E$5:$E$404,Config!$B$13,Prazos!$I$5:$I$404,"Até "&amp;Config!$B$6&amp;" dias"))</f>
        <v/>
      </c>
      <c r="G31" s="27">
        <f>IF(Config!$B$13="","",IFERROR(IF(_xlfn.MINIFS(Prazos!$D$5:$D$404,Prazos!$E$5:$E$404,Config!$B$13,Prazos!$J$5:$J$404,"&gt;0")=0,"",_xlfn.MINIFS(Prazos!$D$5:$D$404,Prazos!$E$5:$E$404,Config!$B$13,Prazos!$J$5:$J$404,"&gt;0")),""))</f>
        <v/>
      </c>
      <c r="H31" s="25">
        <f>IF(Config!$B$13="","",COUNTIFS(Prazos!$E$5:$E$404,Config!$B$13,Prazos!$I$5:$I$404,"Feito"))</f>
        <v/>
      </c>
    </row>
    <row r="32">
      <c r="A32" s="26">
        <f>IF(Config!$B$14="","",Config!$B$14)</f>
        <v/>
      </c>
      <c r="B32" s="25" t="n"/>
      <c r="C32" s="25">
        <f>IF(Config!$B$14="","",COUNTIFS(Prazos!$E$5:$E$404,Config!$B$14,Prazos!$J$5:$J$404,"&gt;0")+COUNTIFS(Prazos!$E$5:$E$404,Config!$B$14,Prazos!$I$5:$I$404,"Sem data"))</f>
        <v/>
      </c>
      <c r="D32" s="25">
        <f>IF(Config!$B$14="","",COUNTIFS(Prazos!$E$5:$E$404,Config!$B$14,Prazos!$I$5:$I$404,"Atrasado"))</f>
        <v/>
      </c>
      <c r="E32" s="25">
        <f>IF(Config!$B$14="","",COUNTIFS(Prazos!$E$5:$E$404,Config!$B$14,Prazos!$I$5:$I$404,"Hoje"))</f>
        <v/>
      </c>
      <c r="F32" s="25">
        <f>IF(Config!$B$14="","",COUNTIFS(Prazos!$E$5:$E$404,Config!$B$14,Prazos!$I$5:$I$404,"Até "&amp;Config!$B$6&amp;" dias"))</f>
        <v/>
      </c>
      <c r="G32" s="27">
        <f>IF(Config!$B$14="","",IFERROR(IF(_xlfn.MINIFS(Prazos!$D$5:$D$404,Prazos!$E$5:$E$404,Config!$B$14,Prazos!$J$5:$J$404,"&gt;0")=0,"",_xlfn.MINIFS(Prazos!$D$5:$D$404,Prazos!$E$5:$E$404,Config!$B$14,Prazos!$J$5:$J$404,"&gt;0")),""))</f>
        <v/>
      </c>
      <c r="H32" s="25">
        <f>IF(Config!$B$14="","",COUNTIFS(Prazos!$E$5:$E$404,Config!$B$14,Prazos!$I$5:$I$404,"Feito"))</f>
        <v/>
      </c>
    </row>
    <row r="33">
      <c r="A33" s="26">
        <f>IF(Config!$B$15="","",Config!$B$15)</f>
        <v/>
      </c>
      <c r="B33" s="25" t="n"/>
      <c r="C33" s="25">
        <f>IF(Config!$B$15="","",COUNTIFS(Prazos!$E$5:$E$404,Config!$B$15,Prazos!$J$5:$J$404,"&gt;0")+COUNTIFS(Prazos!$E$5:$E$404,Config!$B$15,Prazos!$I$5:$I$404,"Sem data"))</f>
        <v/>
      </c>
      <c r="D33" s="25">
        <f>IF(Config!$B$15="","",COUNTIFS(Prazos!$E$5:$E$404,Config!$B$15,Prazos!$I$5:$I$404,"Atrasado"))</f>
        <v/>
      </c>
      <c r="E33" s="25">
        <f>IF(Config!$B$15="","",COUNTIFS(Prazos!$E$5:$E$404,Config!$B$15,Prazos!$I$5:$I$404,"Hoje"))</f>
        <v/>
      </c>
      <c r="F33" s="25">
        <f>IF(Config!$B$15="","",COUNTIFS(Prazos!$E$5:$E$404,Config!$B$15,Prazos!$I$5:$I$404,"Até "&amp;Config!$B$6&amp;" dias"))</f>
        <v/>
      </c>
      <c r="G33" s="27">
        <f>IF(Config!$B$15="","",IFERROR(IF(_xlfn.MINIFS(Prazos!$D$5:$D$404,Prazos!$E$5:$E$404,Config!$B$15,Prazos!$J$5:$J$404,"&gt;0")=0,"",_xlfn.MINIFS(Prazos!$D$5:$D$404,Prazos!$E$5:$E$404,Config!$B$15,Prazos!$J$5:$J$404,"&gt;0")),""))</f>
        <v/>
      </c>
      <c r="H33" s="25">
        <f>IF(Config!$B$15="","",COUNTIFS(Prazos!$E$5:$E$404,Config!$B$15,Prazos!$I$5:$I$404,"Feito"))</f>
        <v/>
      </c>
    </row>
    <row r="34">
      <c r="A34" s="26">
        <f>IF(Config!$B$16="","",Config!$B$16)</f>
        <v/>
      </c>
      <c r="B34" s="25" t="n"/>
      <c r="C34" s="25">
        <f>IF(Config!$B$16="","",COUNTIFS(Prazos!$E$5:$E$404,Config!$B$16,Prazos!$J$5:$J$404,"&gt;0")+COUNTIFS(Prazos!$E$5:$E$404,Config!$B$16,Prazos!$I$5:$I$404,"Sem data"))</f>
        <v/>
      </c>
      <c r="D34" s="25">
        <f>IF(Config!$B$16="","",COUNTIFS(Prazos!$E$5:$E$404,Config!$B$16,Prazos!$I$5:$I$404,"Atrasado"))</f>
        <v/>
      </c>
      <c r="E34" s="25">
        <f>IF(Config!$B$16="","",COUNTIFS(Prazos!$E$5:$E$404,Config!$B$16,Prazos!$I$5:$I$404,"Hoje"))</f>
        <v/>
      </c>
      <c r="F34" s="25">
        <f>IF(Config!$B$16="","",COUNTIFS(Prazos!$E$5:$E$404,Config!$B$16,Prazos!$I$5:$I$404,"Até "&amp;Config!$B$6&amp;" dias"))</f>
        <v/>
      </c>
      <c r="G34" s="27">
        <f>IF(Config!$B$16="","",IFERROR(IF(_xlfn.MINIFS(Prazos!$D$5:$D$404,Prazos!$E$5:$E$404,Config!$B$16,Prazos!$J$5:$J$404,"&gt;0")=0,"",_xlfn.MINIFS(Prazos!$D$5:$D$404,Prazos!$E$5:$E$404,Config!$B$16,Prazos!$J$5:$J$404,"&gt;0")),""))</f>
        <v/>
      </c>
      <c r="H34" s="25">
        <f>IF(Config!$B$16="","",COUNTIFS(Prazos!$E$5:$E$404,Config!$B$16,Prazos!$I$5:$I$404,"Feito"))</f>
        <v/>
      </c>
    </row>
    <row r="35">
      <c r="A35" s="26">
        <f>IF(Config!$B$17="","",Config!$B$17)</f>
        <v/>
      </c>
      <c r="B35" s="25" t="n"/>
      <c r="C35" s="25">
        <f>IF(Config!$B$17="","",COUNTIFS(Prazos!$E$5:$E$404,Config!$B$17,Prazos!$J$5:$J$404,"&gt;0")+COUNTIFS(Prazos!$E$5:$E$404,Config!$B$17,Prazos!$I$5:$I$404,"Sem data"))</f>
        <v/>
      </c>
      <c r="D35" s="25">
        <f>IF(Config!$B$17="","",COUNTIFS(Prazos!$E$5:$E$404,Config!$B$17,Prazos!$I$5:$I$404,"Atrasado"))</f>
        <v/>
      </c>
      <c r="E35" s="25">
        <f>IF(Config!$B$17="","",COUNTIFS(Prazos!$E$5:$E$404,Config!$B$17,Prazos!$I$5:$I$404,"Hoje"))</f>
        <v/>
      </c>
      <c r="F35" s="25">
        <f>IF(Config!$B$17="","",COUNTIFS(Prazos!$E$5:$E$404,Config!$B$17,Prazos!$I$5:$I$404,"Até "&amp;Config!$B$6&amp;" dias"))</f>
        <v/>
      </c>
      <c r="G35" s="27">
        <f>IF(Config!$B$17="","",IFERROR(IF(_xlfn.MINIFS(Prazos!$D$5:$D$404,Prazos!$E$5:$E$404,Config!$B$17,Prazos!$J$5:$J$404,"&gt;0")=0,"",_xlfn.MINIFS(Prazos!$D$5:$D$404,Prazos!$E$5:$E$404,Config!$B$17,Prazos!$J$5:$J$404,"&gt;0")),""))</f>
        <v/>
      </c>
      <c r="H35" s="25">
        <f>IF(Config!$B$17="","",COUNTIFS(Prazos!$E$5:$E$404,Config!$B$17,Prazos!$I$5:$I$404,"Feito"))</f>
        <v/>
      </c>
    </row>
    <row r="36">
      <c r="A36" s="26">
        <f>IF(Config!$B$18="","",Config!$B$18)</f>
        <v/>
      </c>
      <c r="B36" s="25" t="n"/>
      <c r="C36" s="25">
        <f>IF(Config!$B$18="","",COUNTIFS(Prazos!$E$5:$E$404,Config!$B$18,Prazos!$J$5:$J$404,"&gt;0")+COUNTIFS(Prazos!$E$5:$E$404,Config!$B$18,Prazos!$I$5:$I$404,"Sem data"))</f>
        <v/>
      </c>
      <c r="D36" s="25">
        <f>IF(Config!$B$18="","",COUNTIFS(Prazos!$E$5:$E$404,Config!$B$18,Prazos!$I$5:$I$404,"Atrasado"))</f>
        <v/>
      </c>
      <c r="E36" s="25">
        <f>IF(Config!$B$18="","",COUNTIFS(Prazos!$E$5:$E$404,Config!$B$18,Prazos!$I$5:$I$404,"Hoje"))</f>
        <v/>
      </c>
      <c r="F36" s="25">
        <f>IF(Config!$B$18="","",COUNTIFS(Prazos!$E$5:$E$404,Config!$B$18,Prazos!$I$5:$I$404,"Até "&amp;Config!$B$6&amp;" dias"))</f>
        <v/>
      </c>
      <c r="G36" s="27">
        <f>IF(Config!$B$18="","",IFERROR(IF(_xlfn.MINIFS(Prazos!$D$5:$D$404,Prazos!$E$5:$E$404,Config!$B$18,Prazos!$J$5:$J$404,"&gt;0")=0,"",_xlfn.MINIFS(Prazos!$D$5:$D$404,Prazos!$E$5:$E$404,Config!$B$18,Prazos!$J$5:$J$404,"&gt;0")),""))</f>
        <v/>
      </c>
      <c r="H36" s="25">
        <f>IF(Config!$B$18="","",COUNTIFS(Prazos!$E$5:$E$404,Config!$B$18,Prazos!$I$5:$I$404,"Feito"))</f>
        <v/>
      </c>
    </row>
    <row r="37">
      <c r="A37" s="26">
        <f>IF(Config!$B$19="","",Config!$B$19)</f>
        <v/>
      </c>
      <c r="B37" s="25" t="n"/>
      <c r="C37" s="25">
        <f>IF(Config!$B$19="","",COUNTIFS(Prazos!$E$5:$E$404,Config!$B$19,Prazos!$J$5:$J$404,"&gt;0")+COUNTIFS(Prazos!$E$5:$E$404,Config!$B$19,Prazos!$I$5:$I$404,"Sem data"))</f>
        <v/>
      </c>
      <c r="D37" s="25">
        <f>IF(Config!$B$19="","",COUNTIFS(Prazos!$E$5:$E$404,Config!$B$19,Prazos!$I$5:$I$404,"Atrasado"))</f>
        <v/>
      </c>
      <c r="E37" s="25">
        <f>IF(Config!$B$19="","",COUNTIFS(Prazos!$E$5:$E$404,Config!$B$19,Prazos!$I$5:$I$404,"Hoje"))</f>
        <v/>
      </c>
      <c r="F37" s="25">
        <f>IF(Config!$B$19="","",COUNTIFS(Prazos!$E$5:$E$404,Config!$B$19,Prazos!$I$5:$I$404,"Até "&amp;Config!$B$6&amp;" dias"))</f>
        <v/>
      </c>
      <c r="G37" s="27">
        <f>IF(Config!$B$19="","",IFERROR(IF(_xlfn.MINIFS(Prazos!$D$5:$D$404,Prazos!$E$5:$E$404,Config!$B$19,Prazos!$J$5:$J$404,"&gt;0")=0,"",_xlfn.MINIFS(Prazos!$D$5:$D$404,Prazos!$E$5:$E$404,Config!$B$19,Prazos!$J$5:$J$404,"&gt;0")),""))</f>
        <v/>
      </c>
      <c r="H37" s="25">
        <f>IF(Config!$B$19="","",COUNTIFS(Prazos!$E$5:$E$404,Config!$B$19,Prazos!$I$5:$I$404,"Feito"))</f>
        <v/>
      </c>
    </row>
    <row r="38">
      <c r="A38" s="23" t="inlineStr">
        <is>
          <t>Prazos sem responsável não entram nesta tabela: confira na aba Prazos, filtrando a coluna Responsável por vazio.</t>
        </is>
      </c>
    </row>
    <row r="41">
      <c r="A41" s="22" t="inlineStr">
        <is>
          <t>Próximos 7 dias, dia a dia</t>
        </is>
      </c>
    </row>
    <row r="42" ht="26" customHeight="1">
      <c r="A42" s="24" t="inlineStr">
        <is>
          <t>Dia</t>
        </is>
      </c>
      <c r="B42" s="24" t="n"/>
      <c r="C42" s="24" t="inlineStr">
        <is>
          <t>Data</t>
        </is>
      </c>
      <c r="D42" s="24" t="inlineStr">
        <is>
          <t>Prazos abertos</t>
        </is>
      </c>
      <c r="E42" s="24">
        <f>IF(Config!$B$10="","",Config!$B$10)</f>
        <v/>
      </c>
      <c r="F42" s="24">
        <f>IF(Config!$B$11="","",Config!$B$11)</f>
        <v/>
      </c>
      <c r="G42" s="24">
        <f>IF(Config!$B$12="","",Config!$B$12)</f>
        <v/>
      </c>
    </row>
    <row r="43">
      <c r="A43" s="25">
        <f>CHOOSE(WEEKDAY(C43),"domingo","segunda","terça","quarta","quinta","sexta","sábado")</f>
        <v/>
      </c>
      <c r="B43" s="25" t="n"/>
      <c r="C43" s="27">
        <f>Config!$B$5+0</f>
        <v/>
      </c>
      <c r="D43" s="25">
        <f>COUNTIFS(Prazos!$D$5:$D$404,C43,Prazos!$F$5:$F$404,"&lt;&gt;Sim")</f>
        <v/>
      </c>
      <c r="E43" s="25">
        <f>IF(Config!$B$10="","",COUNTIFS(Prazos!$D$5:$D$404,C43,Prazos!$F$5:$F$404,"&lt;&gt;Sim",Prazos!$E$5:$E$404,Config!$B$10))</f>
        <v/>
      </c>
      <c r="F43" s="25">
        <f>IF(Config!$B$11="","",COUNTIFS(Prazos!$D$5:$D$404,C43,Prazos!$F$5:$F$404,"&lt;&gt;Sim",Prazos!$E$5:$E$404,Config!$B$11))</f>
        <v/>
      </c>
      <c r="G43" s="25">
        <f>IF(Config!$B$12="","",COUNTIFS(Prazos!$D$5:$D$404,C43,Prazos!$F$5:$F$404,"&lt;&gt;Sim",Prazos!$E$5:$E$404,Config!$B$12))</f>
        <v/>
      </c>
    </row>
    <row r="44">
      <c r="A44" s="25">
        <f>CHOOSE(WEEKDAY(C44),"domingo","segunda","terça","quarta","quinta","sexta","sábado")</f>
        <v/>
      </c>
      <c r="B44" s="25" t="n"/>
      <c r="C44" s="27">
        <f>Config!$B$5+1</f>
        <v/>
      </c>
      <c r="D44" s="25">
        <f>COUNTIFS(Prazos!$D$5:$D$404,C44,Prazos!$F$5:$F$404,"&lt;&gt;Sim")</f>
        <v/>
      </c>
      <c r="E44" s="25">
        <f>IF(Config!$B$10="","",COUNTIFS(Prazos!$D$5:$D$404,C44,Prazos!$F$5:$F$404,"&lt;&gt;Sim",Prazos!$E$5:$E$404,Config!$B$10))</f>
        <v/>
      </c>
      <c r="F44" s="25">
        <f>IF(Config!$B$11="","",COUNTIFS(Prazos!$D$5:$D$404,C44,Prazos!$F$5:$F$404,"&lt;&gt;Sim",Prazos!$E$5:$E$404,Config!$B$11))</f>
        <v/>
      </c>
      <c r="G44" s="25">
        <f>IF(Config!$B$12="","",COUNTIFS(Prazos!$D$5:$D$404,C44,Prazos!$F$5:$F$404,"&lt;&gt;Sim",Prazos!$E$5:$E$404,Config!$B$12))</f>
        <v/>
      </c>
    </row>
    <row r="45">
      <c r="A45" s="25">
        <f>CHOOSE(WEEKDAY(C45),"domingo","segunda","terça","quarta","quinta","sexta","sábado")</f>
        <v/>
      </c>
      <c r="B45" s="25" t="n"/>
      <c r="C45" s="27">
        <f>Config!$B$5+2</f>
        <v/>
      </c>
      <c r="D45" s="25">
        <f>COUNTIFS(Prazos!$D$5:$D$404,C45,Prazos!$F$5:$F$404,"&lt;&gt;Sim")</f>
        <v/>
      </c>
      <c r="E45" s="25">
        <f>IF(Config!$B$10="","",COUNTIFS(Prazos!$D$5:$D$404,C45,Prazos!$F$5:$F$404,"&lt;&gt;Sim",Prazos!$E$5:$E$404,Config!$B$10))</f>
        <v/>
      </c>
      <c r="F45" s="25">
        <f>IF(Config!$B$11="","",COUNTIFS(Prazos!$D$5:$D$404,C45,Prazos!$F$5:$F$404,"&lt;&gt;Sim",Prazos!$E$5:$E$404,Config!$B$11))</f>
        <v/>
      </c>
      <c r="G45" s="25">
        <f>IF(Config!$B$12="","",COUNTIFS(Prazos!$D$5:$D$404,C45,Prazos!$F$5:$F$404,"&lt;&gt;Sim",Prazos!$E$5:$E$404,Config!$B$12))</f>
        <v/>
      </c>
    </row>
    <row r="46">
      <c r="A46" s="25">
        <f>CHOOSE(WEEKDAY(C46),"domingo","segunda","terça","quarta","quinta","sexta","sábado")</f>
        <v/>
      </c>
      <c r="B46" s="25" t="n"/>
      <c r="C46" s="27">
        <f>Config!$B$5+3</f>
        <v/>
      </c>
      <c r="D46" s="25">
        <f>COUNTIFS(Prazos!$D$5:$D$404,C46,Prazos!$F$5:$F$404,"&lt;&gt;Sim")</f>
        <v/>
      </c>
      <c r="E46" s="25">
        <f>IF(Config!$B$10="","",COUNTIFS(Prazos!$D$5:$D$404,C46,Prazos!$F$5:$F$404,"&lt;&gt;Sim",Prazos!$E$5:$E$404,Config!$B$10))</f>
        <v/>
      </c>
      <c r="F46" s="25">
        <f>IF(Config!$B$11="","",COUNTIFS(Prazos!$D$5:$D$404,C46,Prazos!$F$5:$F$404,"&lt;&gt;Sim",Prazos!$E$5:$E$404,Config!$B$11))</f>
        <v/>
      </c>
      <c r="G46" s="25">
        <f>IF(Config!$B$12="","",COUNTIFS(Prazos!$D$5:$D$404,C46,Prazos!$F$5:$F$404,"&lt;&gt;Sim",Prazos!$E$5:$E$404,Config!$B$12))</f>
        <v/>
      </c>
    </row>
    <row r="47">
      <c r="A47" s="25">
        <f>CHOOSE(WEEKDAY(C47),"domingo","segunda","terça","quarta","quinta","sexta","sábado")</f>
        <v/>
      </c>
      <c r="B47" s="25" t="n"/>
      <c r="C47" s="27">
        <f>Config!$B$5+4</f>
        <v/>
      </c>
      <c r="D47" s="25">
        <f>COUNTIFS(Prazos!$D$5:$D$404,C47,Prazos!$F$5:$F$404,"&lt;&gt;Sim")</f>
        <v/>
      </c>
      <c r="E47" s="25">
        <f>IF(Config!$B$10="","",COUNTIFS(Prazos!$D$5:$D$404,C47,Prazos!$F$5:$F$404,"&lt;&gt;Sim",Prazos!$E$5:$E$404,Config!$B$10))</f>
        <v/>
      </c>
      <c r="F47" s="25">
        <f>IF(Config!$B$11="","",COUNTIFS(Prazos!$D$5:$D$404,C47,Prazos!$F$5:$F$404,"&lt;&gt;Sim",Prazos!$E$5:$E$404,Config!$B$11))</f>
        <v/>
      </c>
      <c r="G47" s="25">
        <f>IF(Config!$B$12="","",COUNTIFS(Prazos!$D$5:$D$404,C47,Prazos!$F$5:$F$404,"&lt;&gt;Sim",Prazos!$E$5:$E$404,Config!$B$12))</f>
        <v/>
      </c>
    </row>
    <row r="48">
      <c r="A48" s="25">
        <f>CHOOSE(WEEKDAY(C48),"domingo","segunda","terça","quarta","quinta","sexta","sábado")</f>
        <v/>
      </c>
      <c r="B48" s="25" t="n"/>
      <c r="C48" s="27">
        <f>Config!$B$5+5</f>
        <v/>
      </c>
      <c r="D48" s="25">
        <f>COUNTIFS(Prazos!$D$5:$D$404,C48,Prazos!$F$5:$F$404,"&lt;&gt;Sim")</f>
        <v/>
      </c>
      <c r="E48" s="25">
        <f>IF(Config!$B$10="","",COUNTIFS(Prazos!$D$5:$D$404,C48,Prazos!$F$5:$F$404,"&lt;&gt;Sim",Prazos!$E$5:$E$404,Config!$B$10))</f>
        <v/>
      </c>
      <c r="F48" s="25">
        <f>IF(Config!$B$11="","",COUNTIFS(Prazos!$D$5:$D$404,C48,Prazos!$F$5:$F$404,"&lt;&gt;Sim",Prazos!$E$5:$E$404,Config!$B$11))</f>
        <v/>
      </c>
      <c r="G48" s="25">
        <f>IF(Config!$B$12="","",COUNTIFS(Prazos!$D$5:$D$404,C48,Prazos!$F$5:$F$404,"&lt;&gt;Sim",Prazos!$E$5:$E$404,Config!$B$12))</f>
        <v/>
      </c>
    </row>
    <row r="49">
      <c r="A49" s="25">
        <f>CHOOSE(WEEKDAY(C49),"domingo","segunda","terça","quarta","quinta","sexta","sábado")</f>
        <v/>
      </c>
      <c r="B49" s="25" t="n"/>
      <c r="C49" s="27">
        <f>Config!$B$5+6</f>
        <v/>
      </c>
      <c r="D49" s="25">
        <f>COUNTIFS(Prazos!$D$5:$D$404,C49,Prazos!$F$5:$F$404,"&lt;&gt;Sim")</f>
        <v/>
      </c>
      <c r="E49" s="25">
        <f>IF(Config!$B$10="","",COUNTIFS(Prazos!$D$5:$D$404,C49,Prazos!$F$5:$F$404,"&lt;&gt;Sim",Prazos!$E$5:$E$404,Config!$B$10))</f>
        <v/>
      </c>
      <c r="F49" s="25">
        <f>IF(Config!$B$11="","",COUNTIFS(Prazos!$D$5:$D$404,C49,Prazos!$F$5:$F$404,"&lt;&gt;Sim",Prazos!$E$5:$E$404,Config!$B$11))</f>
        <v/>
      </c>
      <c r="G49" s="25">
        <f>IF(Config!$B$12="","",COUNTIFS(Prazos!$D$5:$D$404,C49,Prazos!$F$5:$F$404,"&lt;&gt;Sim",Prazos!$E$5:$E$404,Config!$B$12))</f>
        <v/>
      </c>
    </row>
    <row r="50">
      <c r="A50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A48:B48"/>
    <mergeCell ref="A30:B30"/>
    <mergeCell ref="A49:B49"/>
    <mergeCell ref="C5:D5"/>
    <mergeCell ref="A45:B45"/>
    <mergeCell ref="E5:F5"/>
    <mergeCell ref="K5:L5"/>
    <mergeCell ref="A36:B36"/>
    <mergeCell ref="C4:D4"/>
    <mergeCell ref="A2:L2"/>
    <mergeCell ref="E4:F4"/>
    <mergeCell ref="A37:B37"/>
    <mergeCell ref="A8:L8"/>
    <mergeCell ref="A46:B46"/>
    <mergeCell ref="A27:B27"/>
    <mergeCell ref="A33:B33"/>
    <mergeCell ref="A47:B47"/>
    <mergeCell ref="A5:B5"/>
    <mergeCell ref="G5:H5"/>
    <mergeCell ref="A32:B32"/>
    <mergeCell ref="A42:B42"/>
    <mergeCell ref="I5:J5"/>
    <mergeCell ref="A35:B35"/>
    <mergeCell ref="A4:B4"/>
    <mergeCell ref="G4:H4"/>
    <mergeCell ref="I4:J4"/>
    <mergeCell ref="A29:B29"/>
    <mergeCell ref="A43:B43"/>
    <mergeCell ref="A28:B28"/>
    <mergeCell ref="A44:B44"/>
    <mergeCell ref="K4:L4"/>
    <mergeCell ref="A31:B31"/>
    <mergeCell ref="A34:B34"/>
  </mergeCells>
  <conditionalFormatting sqref="A10:H24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28:D37">
    <cfRule type="expression" priority="4" dxfId="3">
      <formula>AND(ISNUMBER(D28),D28&gt;0)</formula>
    </cfRule>
  </conditionalFormatting>
  <conditionalFormatting sqref="A43:G49">
    <cfRule type="expression" priority="5" dxfId="4">
      <formula>$D43&gt;0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/>
      </c>
      <c r="C5" s="23" t="inlineStr">
        <is>
          <t>Deixe =HOJE() para acompanhar o dia; troque por uma data para simular outro dia.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Recurso ordinário</t>
        </is>
      </c>
    </row>
    <row r="17">
      <c r="B17" s="31" t="n"/>
      <c r="D17" s="31" t="inlineStr">
        <is>
          <t>Contrarrazões</t>
        </is>
      </c>
    </row>
    <row r="18">
      <c r="B18" s="31" t="n"/>
      <c r="D18" s="31" t="inlineStr">
        <is>
          <t>Embargos</t>
        </is>
      </c>
    </row>
    <row r="19">
      <c r="B19" s="31" t="n"/>
      <c r="D19" s="31" t="inlineStr">
        <is>
          <t>Cumprimento de sentença</t>
        </is>
      </c>
    </row>
    <row r="20">
      <c r="D20" s="31" t="inlineStr">
        <is>
          <t>Juntada de documentos</t>
        </is>
      </c>
    </row>
    <row r="21">
      <c r="D21" s="31" t="inlineStr">
        <is>
          <t>Reunião com cliente</t>
        </is>
      </c>
    </row>
    <row r="22">
      <c r="D22" s="31" t="inlineStr">
        <is>
          <t>Prazo interno</t>
        </is>
      </c>
    </row>
    <row r="23">
      <c r="D23" s="31" t="n"/>
    </row>
    <row r="24">
      <c r="D24" s="31" t="n"/>
    </row>
    <row r="25">
      <c r="D25" s="31" t="n"/>
    </row>
    <row r="26">
      <c r="D26" s="31" t="n"/>
    </row>
    <row r="27">
      <c r="D27" s="31" t="n"/>
    </row>
    <row r="28">
      <c r="D28" s="31" t="n"/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9236009-85.2026.8.26.0452</t>
        </is>
      </c>
      <c r="B5" s="31" t="inlineStr">
        <is>
          <t>Padaria do Sol Ltda</t>
        </is>
      </c>
      <c r="C5" s="33" t="inlineStr">
        <is>
          <t>Cumprimento de sentença</t>
        </is>
      </c>
      <c r="D5" s="34">
        <f>TODAY()+60</f>
        <v/>
      </c>
      <c r="E5" s="33" t="inlineStr">
        <is>
          <t>Marina Ferraz</t>
        </is>
      </c>
      <c r="F5" s="33" t="n"/>
      <c r="G5" s="31" t="n"/>
      <c r="H5" s="28">
        <f>IF(OR(I5="",I5="Feito",I5="Sem data"),"",D5-Config!$B$5)</f>
        <v/>
      </c>
      <c r="I5" s="25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/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/>
      </c>
    </row>
    <row r="6">
      <c r="A6" s="31" t="inlineStr">
        <is>
          <t>9225646-96.2026.8.26.0322</t>
        </is>
      </c>
      <c r="B6" s="31" t="inlineStr">
        <is>
          <t>Ana Beatriz Moreira</t>
        </is>
      </c>
      <c r="C6" s="33" t="inlineStr">
        <is>
          <t>Contrarrazões</t>
        </is>
      </c>
      <c r="D6" s="34">
        <f>TODAY()-3</f>
        <v/>
      </c>
      <c r="E6" s="33" t="inlineStr">
        <is>
          <t>Rafael Lima</t>
        </is>
      </c>
      <c r="F6" s="33" t="n"/>
      <c r="G6" s="31" t="inlineStr">
        <is>
          <t>Confirmar com o cliente ainda hoje</t>
        </is>
      </c>
      <c r="H6" s="28">
        <f>IF(OR(I6="",I6="Feito",I6="Sem data"),"",D6-Config!$B$5)</f>
        <v/>
      </c>
      <c r="I6" s="25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/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/>
      </c>
    </row>
    <row r="7">
      <c r="A7" s="31" t="inlineStr">
        <is>
          <t>6710873-21.2025.8.26.0571</t>
        </is>
      </c>
      <c r="B7" s="31" t="inlineStr">
        <is>
          <t>Construtora Horizonte</t>
        </is>
      </c>
      <c r="C7" s="33" t="inlineStr">
        <is>
          <t>Reunião com cliente</t>
        </is>
      </c>
      <c r="D7" s="34">
        <f>TODAY()</f>
        <v/>
      </c>
      <c r="E7" s="33" t="inlineStr">
        <is>
          <t>Marina Ferraz</t>
        </is>
      </c>
      <c r="F7" s="33" t="n"/>
      <c r="G7" s="31" t="inlineStr">
        <is>
          <t>Pasta separada na mesa</t>
        </is>
      </c>
      <c r="H7" s="28">
        <f>IF(OR(I7="",I7="Feito",I7="Sem data"),"",D7-Config!$B$5)</f>
        <v/>
      </c>
      <c r="I7" s="25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/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/>
      </c>
    </row>
    <row r="8">
      <c r="A8" s="31" t="inlineStr">
        <is>
          <t>8735513-64.2025.8.26.0093</t>
        </is>
      </c>
      <c r="B8" s="31" t="inlineStr">
        <is>
          <t>Carlos Eduardo Nunes</t>
        </is>
      </c>
      <c r="C8" s="33" t="inlineStr">
        <is>
          <t>Alegações finais</t>
        </is>
      </c>
      <c r="D8" s="34">
        <f>TODAY()+15</f>
        <v/>
      </c>
      <c r="E8" s="33" t="inlineStr">
        <is>
          <t>Rafael Lima</t>
        </is>
      </c>
      <c r="F8" s="33" t="n"/>
      <c r="G8" s="31" t="inlineStr">
        <is>
          <t>Rascunho começado</t>
        </is>
      </c>
      <c r="H8" s="28">
        <f>IF(OR(I8="",I8="Feito",I8="Sem data"),"",D8-Config!$B$5)</f>
        <v/>
      </c>
      <c r="I8" s="25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/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/>
      </c>
    </row>
    <row r="9">
      <c r="A9" s="31" t="inlineStr">
        <is>
          <t>9802211-43.2025.8.26.0431</t>
        </is>
      </c>
      <c r="B9" s="31" t="inlineStr">
        <is>
          <t>Loja Verde Comércio</t>
        </is>
      </c>
      <c r="C9" s="33" t="inlineStr">
        <is>
          <t>Cumprimento de sentença</t>
        </is>
      </c>
      <c r="D9" s="34">
        <f>TODAY()+35</f>
        <v/>
      </c>
      <c r="E9" s="33" t="inlineStr">
        <is>
          <t>Marina Ferraz</t>
        </is>
      </c>
      <c r="F9" s="33" t="n"/>
      <c r="G9" s="31" t="n"/>
      <c r="H9" s="28">
        <f>IF(OR(I9="",I9="Feito",I9="Sem data"),"",D9-Config!$B$5)</f>
        <v/>
      </c>
      <c r="I9" s="25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/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/>
      </c>
    </row>
    <row r="10">
      <c r="A10" s="31" t="inlineStr">
        <is>
          <t>8875326-79.2026.8.26.0258</t>
        </is>
      </c>
      <c r="B10" s="31" t="inlineStr">
        <is>
          <t>Bistrô 42</t>
        </is>
      </c>
      <c r="C10" s="33" t="inlineStr">
        <is>
          <t>Contrarrazões</t>
        </is>
      </c>
      <c r="D10" s="34">
        <f>TODAY()+27</f>
        <v/>
      </c>
      <c r="E10" s="33" t="inlineStr">
        <is>
          <t>Rafael Lima</t>
        </is>
      </c>
      <c r="F10" s="33" t="n"/>
      <c r="G10" s="31" t="n"/>
      <c r="H10" s="28">
        <f>IF(OR(I10="",I10="Feito",I10="Sem data"),"",D10-Config!$B$5)</f>
        <v/>
      </c>
      <c r="I10" s="25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/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/>
      </c>
    </row>
    <row r="11">
      <c r="A11" s="31" t="inlineStr">
        <is>
          <t>4397912-47.2025.8.26.0276</t>
        </is>
      </c>
      <c r="B11" s="31" t="inlineStr">
        <is>
          <t>Roberto Almeida</t>
        </is>
      </c>
      <c r="C11" s="33" t="inlineStr">
        <is>
          <t>Cumprimento de sentença</t>
        </is>
      </c>
      <c r="D11" s="34">
        <f>TODAY()+18</f>
        <v/>
      </c>
      <c r="E11" s="33" t="inlineStr">
        <is>
          <t>Marina Ferraz</t>
        </is>
      </c>
      <c r="F11" s="33" t="n"/>
      <c r="G11" s="31" t="n"/>
      <c r="H11" s="28">
        <f>IF(OR(I11="",I11="Feito",I11="Sem data"),"",D11-Config!$B$5)</f>
        <v/>
      </c>
      <c r="I11" s="25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/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/>
      </c>
    </row>
    <row r="12">
      <c r="A12" s="31" t="inlineStr">
        <is>
          <t>5470559-73.2026.8.26.0380</t>
        </is>
      </c>
      <c r="B12" s="31" t="inlineStr">
        <is>
          <t>Transportadora Rota Sul</t>
        </is>
      </c>
      <c r="C12" s="33" t="inlineStr">
        <is>
          <t>Contrarrazões</t>
        </is>
      </c>
      <c r="D12" s="34">
        <f>TODAY()</f>
        <v/>
      </c>
      <c r="E12" s="33" t="inlineStr">
        <is>
          <t>Rafael Lima</t>
        </is>
      </c>
      <c r="F12" s="33" t="n"/>
      <c r="G12" s="31" t="inlineStr">
        <is>
          <t>Pasta separada na mesa</t>
        </is>
      </c>
      <c r="H12" s="28">
        <f>IF(OR(I12="",I12="Feito",I12="Sem data"),"",D12-Config!$B$5)</f>
        <v/>
      </c>
      <c r="I12" s="25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/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/>
      </c>
    </row>
    <row r="13">
      <c r="A13" s="31" t="inlineStr">
        <is>
          <t>8570388-84.2025.8.26.0560</t>
        </is>
      </c>
      <c r="B13" s="31" t="inlineStr">
        <is>
          <t>Patrícia Gomes</t>
        </is>
      </c>
      <c r="C13" s="33" t="inlineStr">
        <is>
          <t>Contestação</t>
        </is>
      </c>
      <c r="D13" s="34">
        <f>TODAY()</f>
        <v/>
      </c>
      <c r="E13" s="33" t="inlineStr">
        <is>
          <t>Marina Ferraz</t>
        </is>
      </c>
      <c r="F13" s="33" t="n"/>
      <c r="G13" s="31" t="inlineStr">
        <is>
          <t>Pasta separada na mesa</t>
        </is>
      </c>
      <c r="H13" s="28">
        <f>IF(OR(I13="",I13="Feito",I13="Sem data"),"",D13-Config!$B$5)</f>
        <v/>
      </c>
      <c r="I13" s="25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/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/>
      </c>
    </row>
    <row r="14">
      <c r="A14" s="31" t="inlineStr">
        <is>
          <t>6258696-95.2026.8.26.0598</t>
        </is>
      </c>
      <c r="B14" s="31" t="inlineStr">
        <is>
          <t>Escola Aurora</t>
        </is>
      </c>
      <c r="C14" s="33" t="inlineStr">
        <is>
          <t>Contestação</t>
        </is>
      </c>
      <c r="D14" s="34">
        <f>TODAY()+2</f>
        <v/>
      </c>
      <c r="E14" s="33" t="inlineStr">
        <is>
          <t>Marina Ferraz</t>
        </is>
      </c>
      <c r="F14" s="33" t="n"/>
      <c r="G14" s="31" t="inlineStr">
        <is>
          <t>Cliente confirmou presença</t>
        </is>
      </c>
      <c r="H14" s="28">
        <f>IF(OR(I14="",I14="Feito",I14="Sem data"),"",D14-Config!$B$5)</f>
        <v/>
      </c>
      <c r="I14" s="25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/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/>
      </c>
    </row>
    <row r="15">
      <c r="A15" s="31" t="inlineStr">
        <is>
          <t>4300029-58.2025.8.26.0015</t>
        </is>
      </c>
      <c r="B15" s="31" t="inlineStr">
        <is>
          <t>Oficina Mecânica Central</t>
        </is>
      </c>
      <c r="C15" s="33" t="inlineStr">
        <is>
          <t>Audiência de conciliação</t>
        </is>
      </c>
      <c r="D15" s="34">
        <f>TODAY()+2</f>
        <v/>
      </c>
      <c r="E15" s="33" t="inlineStr">
        <is>
          <t>Rafael Lima</t>
        </is>
      </c>
      <c r="F15" s="33" t="n"/>
      <c r="G15" s="31" t="inlineStr">
        <is>
          <t>Cliente confirmou presença</t>
        </is>
      </c>
      <c r="H15" s="28">
        <f>IF(OR(I15="",I15="Feito",I15="Sem data"),"",D15-Config!$B$5)</f>
        <v/>
      </c>
      <c r="I15" s="25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/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/>
      </c>
    </row>
    <row r="16">
      <c r="A16" s="31" t="inlineStr">
        <is>
          <t>8986364-51.2026.8.26.0700</t>
        </is>
      </c>
      <c r="B16" s="31" t="inlineStr">
        <is>
          <t>Luciana Farias</t>
        </is>
      </c>
      <c r="C16" s="33" t="inlineStr">
        <is>
          <t>Audiência de conciliação</t>
        </is>
      </c>
      <c r="D16" s="34">
        <f>TODAY()-3</f>
        <v/>
      </c>
      <c r="E16" s="33" t="inlineStr">
        <is>
          <t>Marina Ferraz</t>
        </is>
      </c>
      <c r="F16" s="33" t="n"/>
      <c r="G16" s="31" t="inlineStr">
        <is>
          <t>Confirmar com o cliente ainda hoje</t>
        </is>
      </c>
      <c r="H16" s="28">
        <f>IF(OR(I16="",I16="Feito",I16="Sem data"),"",D16-Config!$B$5)</f>
        <v/>
      </c>
      <c r="I16" s="25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/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/>
      </c>
    </row>
    <row r="17">
      <c r="A17" s="31" t="inlineStr">
        <is>
          <t>9717671-36.2026.8.26.0445</t>
        </is>
      </c>
      <c r="B17" s="31" t="inlineStr">
        <is>
          <t>Agência Prisma</t>
        </is>
      </c>
      <c r="C17" s="33" t="inlineStr">
        <is>
          <t>Audiência de instrução</t>
        </is>
      </c>
      <c r="D17" s="34">
        <f>TODAY()+3</f>
        <v/>
      </c>
      <c r="E17" s="33" t="inlineStr">
        <is>
          <t>Marina Ferraz</t>
        </is>
      </c>
      <c r="F17" s="33" t="n"/>
      <c r="G17" s="31" t="n"/>
      <c r="H17" s="28">
        <f>IF(OR(I17="",I17="Feito",I17="Sem data"),"",D17-Config!$B$5)</f>
        <v/>
      </c>
      <c r="I17" s="25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/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/>
      </c>
    </row>
    <row r="18">
      <c r="A18" s="31" t="inlineStr">
        <is>
          <t>1808451-67.2026.8.26.0657</t>
        </is>
      </c>
      <c r="B18" s="31" t="inlineStr">
        <is>
          <t>Helena Duarte</t>
        </is>
      </c>
      <c r="C18" s="33" t="inlineStr">
        <is>
          <t>Contestação</t>
        </is>
      </c>
      <c r="D18" s="34">
        <f>TODAY()+3</f>
        <v/>
      </c>
      <c r="E18" s="33" t="inlineStr">
        <is>
          <t>Rafael Lima</t>
        </is>
      </c>
      <c r="F18" s="33" t="n"/>
      <c r="G18" s="31" t="n"/>
      <c r="H18" s="28">
        <f>IF(OR(I18="",I18="Feito",I18="Sem data"),"",D18-Config!$B$5)</f>
        <v/>
      </c>
      <c r="I18" s="25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/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/>
      </c>
    </row>
    <row r="19">
      <c r="A19" s="31" t="inlineStr">
        <is>
          <t>3930894-43.2025.8.26.0476</t>
        </is>
      </c>
      <c r="B19" s="31" t="inlineStr">
        <is>
          <t>Ana Beatriz Moreira</t>
        </is>
      </c>
      <c r="C19" s="33" t="inlineStr">
        <is>
          <t>Alegações finais</t>
        </is>
      </c>
      <c r="D19" s="34">
        <f>TODAY()+3</f>
        <v/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/>
      </c>
      <c r="I19" s="25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/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/>
      </c>
    </row>
    <row r="20">
      <c r="A20" s="31" t="inlineStr">
        <is>
          <t>9802987-45.2025.8.26.0097</t>
        </is>
      </c>
      <c r="B20" s="31" t="inlineStr">
        <is>
          <t>Construtora Horizonte</t>
        </is>
      </c>
      <c r="C20" s="33" t="inlineStr">
        <is>
          <t>Audiência de conciliação</t>
        </is>
      </c>
      <c r="D20" s="34">
        <f>TODAY()+1</f>
        <v/>
      </c>
      <c r="E20" s="33" t="inlineStr">
        <is>
          <t>Marina Ferraz</t>
        </is>
      </c>
      <c r="F20" s="33" t="n"/>
      <c r="G20" s="31" t="n"/>
      <c r="H20" s="28">
        <f>IF(OR(I20="",I20="Feito",I20="Sem data"),"",D20-Config!$B$5)</f>
        <v/>
      </c>
      <c r="I20" s="25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/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/>
      </c>
    </row>
    <row r="21">
      <c r="A21" s="31" t="inlineStr">
        <is>
          <t>6904743-30.2025.8.26.0361</t>
        </is>
      </c>
      <c r="B21" s="31" t="inlineStr">
        <is>
          <t>Carlos Eduardo Nunes</t>
        </is>
      </c>
      <c r="C21" s="33" t="inlineStr">
        <is>
          <t>Contestação</t>
        </is>
      </c>
      <c r="D21" s="34">
        <f>TODAY()+3</f>
        <v/>
      </c>
      <c r="E21" s="33" t="inlineStr">
        <is>
          <t>Rafael Lima</t>
        </is>
      </c>
      <c r="F21" s="33" t="n"/>
      <c r="G21" s="31" t="n"/>
      <c r="H21" s="28">
        <f>IF(OR(I21="",I21="Feito",I21="Sem data"),"",D21-Config!$B$5)</f>
        <v/>
      </c>
      <c r="I21" s="25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/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/>
      </c>
    </row>
    <row r="22">
      <c r="A22" s="31" t="inlineStr">
        <is>
          <t>5497983-95.2025.8.26.0570</t>
        </is>
      </c>
      <c r="B22" s="31" t="inlineStr">
        <is>
          <t>Loja Verde Comércio</t>
        </is>
      </c>
      <c r="C22" s="33" t="inlineStr">
        <is>
          <t>Embargos</t>
        </is>
      </c>
      <c r="D22" s="34">
        <f>TODAY()+10</f>
        <v/>
      </c>
      <c r="E22" s="33" t="inlineStr">
        <is>
          <t>Marina Ferraz</t>
        </is>
      </c>
      <c r="F22" s="33" t="n"/>
      <c r="G22" s="31" t="n"/>
      <c r="H22" s="28">
        <f>IF(OR(I22="",I22="Feito",I22="Sem data"),"",D22-Config!$B$5)</f>
        <v/>
      </c>
      <c r="I22" s="25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/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/>
      </c>
    </row>
    <row r="23">
      <c r="A23" s="31" t="inlineStr">
        <is>
          <t>4112092-92.2025.8.26.0646</t>
        </is>
      </c>
      <c r="B23" s="31" t="inlineStr">
        <is>
          <t>Fernanda Castro</t>
        </is>
      </c>
      <c r="C23" s="33" t="inlineStr">
        <is>
          <t>Alegações finais</t>
        </is>
      </c>
      <c r="D23" s="34">
        <f>TODAY()-1</f>
        <v/>
      </c>
      <c r="E23" s="33" t="inlineStr">
        <is>
          <t>Rafael Lima</t>
        </is>
      </c>
      <c r="F23" s="33" t="n"/>
      <c r="G23" s="31" t="inlineStr">
        <is>
          <t>Aguardando documentos do cliente</t>
        </is>
      </c>
      <c r="H23" s="28">
        <f>IF(OR(I23="",I23="Feito",I23="Sem data"),"",D23-Config!$B$5)</f>
        <v/>
      </c>
      <c r="I23" s="25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/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/>
      </c>
    </row>
    <row r="24">
      <c r="A24" s="31" t="inlineStr">
        <is>
          <t>5297049-18.2026.8.26.0015</t>
        </is>
      </c>
      <c r="B24" s="31" t="inlineStr">
        <is>
          <t>Bistrô 42</t>
        </is>
      </c>
      <c r="C24" s="33" t="inlineStr">
        <is>
          <t>Manifestação sobre laudo</t>
        </is>
      </c>
      <c r="D24" s="34">
        <f>TODAY()+3</f>
        <v/>
      </c>
      <c r="E24" s="33" t="inlineStr">
        <is>
          <t>Marina Ferraz</t>
        </is>
      </c>
      <c r="F24" s="33" t="n"/>
      <c r="G24" s="31" t="n"/>
      <c r="H24" s="28">
        <f>IF(OR(I24="",I24="Feito",I24="Sem data"),"",D24-Config!$B$5)</f>
        <v/>
      </c>
      <c r="I24" s="25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/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/>
      </c>
    </row>
    <row r="25">
      <c r="A25" s="31" t="inlineStr">
        <is>
          <t>6877173-50.2026.8.26.0467</t>
        </is>
      </c>
      <c r="B25" s="31" t="inlineStr">
        <is>
          <t>Roberto Almeida</t>
        </is>
      </c>
      <c r="C25" s="33" t="inlineStr">
        <is>
          <t>Réplica</t>
        </is>
      </c>
      <c r="D25" s="34">
        <f>TODAY()+1</f>
        <v/>
      </c>
      <c r="E25" s="33" t="inlineStr">
        <is>
          <t>Marina Ferraz</t>
        </is>
      </c>
      <c r="F25" s="33" t="n"/>
      <c r="G25" s="31" t="n"/>
      <c r="H25" s="28">
        <f>IF(OR(I25="",I25="Feito",I25="Sem data"),"",D25-Config!$B$5)</f>
        <v/>
      </c>
      <c r="I25" s="25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/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/>
      </c>
    </row>
    <row r="26">
      <c r="A26" s="31" t="inlineStr">
        <is>
          <t>6545676-47.2025.8.26.0126</t>
        </is>
      </c>
      <c r="B26" s="31" t="inlineStr">
        <is>
          <t>Marcos Vinícius Teles</t>
        </is>
      </c>
      <c r="C26" s="33" t="inlineStr">
        <is>
          <t>Manifestação sobre laudo</t>
        </is>
      </c>
      <c r="D26" s="34">
        <f>TODAY()-3</f>
        <v/>
      </c>
      <c r="E26" s="33" t="inlineStr">
        <is>
          <t>Marina Ferraz</t>
        </is>
      </c>
      <c r="F26" s="33" t="n"/>
      <c r="G26" s="31" t="inlineStr">
        <is>
          <t>Confirmar com o cliente ainda hoje</t>
        </is>
      </c>
      <c r="H26" s="28">
        <f>IF(OR(I26="",I26="Feito",I26="Sem data"),"",D26-Config!$B$5)</f>
        <v/>
      </c>
      <c r="I26" s="25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/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/>
      </c>
    </row>
    <row r="27">
      <c r="A27" s="31" t="inlineStr">
        <is>
          <t>1941959-24.2026.8.26.0167</t>
        </is>
      </c>
      <c r="B27" s="31" t="inlineStr">
        <is>
          <t>Transportadora Rota Sul</t>
        </is>
      </c>
      <c r="C27" s="33" t="inlineStr">
        <is>
          <t>Audiência de conciliação</t>
        </is>
      </c>
      <c r="D27" s="34">
        <f>TODAY()+4</f>
        <v/>
      </c>
      <c r="E27" s="33" t="inlineStr">
        <is>
          <t>Rafael Lima</t>
        </is>
      </c>
      <c r="F27" s="33" t="n"/>
      <c r="G27" s="31" t="inlineStr">
        <is>
          <t>Levar via impressa</t>
        </is>
      </c>
      <c r="H27" s="28">
        <f>IF(OR(I27="",I27="Feito",I27="Sem data"),"",D27-Config!$B$5)</f>
        <v/>
      </c>
      <c r="I27" s="25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/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/>
      </c>
    </row>
    <row r="28">
      <c r="A28" s="31" t="inlineStr">
        <is>
          <t>3118925-55.2025.8.26.0426</t>
        </is>
      </c>
      <c r="B28" s="31" t="inlineStr">
        <is>
          <t>Patrícia Gomes</t>
        </is>
      </c>
      <c r="C28" s="33" t="inlineStr">
        <is>
          <t>Cumprimento de sentença</t>
        </is>
      </c>
      <c r="D28" s="34">
        <f>TODAY()-3</f>
        <v/>
      </c>
      <c r="E28" s="33" t="inlineStr">
        <is>
          <t>Marina Ferraz</t>
        </is>
      </c>
      <c r="F28" s="33" t="n"/>
      <c r="G28" s="31" t="inlineStr">
        <is>
          <t>Confirmar com o cliente ainda hoje</t>
        </is>
      </c>
      <c r="H28" s="28">
        <f>IF(OR(I28="",I28="Feito",I28="Sem data"),"",D28-Config!$B$5)</f>
        <v/>
      </c>
      <c r="I28" s="25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/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/>
      </c>
    </row>
    <row r="29">
      <c r="A29" s="31" t="inlineStr">
        <is>
          <t>7658179-42.2026.8.26.0152</t>
        </is>
      </c>
      <c r="B29" s="31" t="inlineStr">
        <is>
          <t>Escola Aurora</t>
        </is>
      </c>
      <c r="C29" s="33" t="inlineStr">
        <is>
          <t>Contrarrazões</t>
        </is>
      </c>
      <c r="D29" s="34">
        <f>TODAY()-3</f>
        <v/>
      </c>
      <c r="E29" s="33" t="inlineStr">
        <is>
          <t>Marina Ferraz</t>
        </is>
      </c>
      <c r="F29" s="33" t="n"/>
      <c r="G29" s="31" t="inlineStr">
        <is>
          <t>Confirmar com o cliente ainda hoje</t>
        </is>
      </c>
      <c r="H29" s="28">
        <f>IF(OR(I29="",I29="Feito",I29="Sem data"),"",D29-Config!$B$5)</f>
        <v/>
      </c>
      <c r="I29" s="25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/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/>
      </c>
    </row>
    <row r="30">
      <c r="A30" s="31" t="inlineStr">
        <is>
          <t>1191416-90.2025.8.26.0249</t>
        </is>
      </c>
      <c r="B30" s="31" t="inlineStr">
        <is>
          <t>Oficina Mecânica Central</t>
        </is>
      </c>
      <c r="C30" s="33" t="inlineStr">
        <is>
          <t>Contrarrazões</t>
        </is>
      </c>
      <c r="D30" s="34">
        <f>TODAY()-1</f>
        <v/>
      </c>
      <c r="E30" s="33" t="inlineStr">
        <is>
          <t>Marina Ferraz</t>
        </is>
      </c>
      <c r="F30" s="33" t="n"/>
      <c r="G30" s="31" t="inlineStr">
        <is>
          <t>Aguardando documentos do cliente</t>
        </is>
      </c>
      <c r="H30" s="28">
        <f>IF(OR(I30="",I30="Feito",I30="Sem data"),"",D30-Config!$B$5)</f>
        <v/>
      </c>
      <c r="I30" s="25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/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/>
      </c>
    </row>
    <row r="31">
      <c r="A31" s="31" t="inlineStr">
        <is>
          <t>6710873-21.2025.8.26.0571</t>
        </is>
      </c>
      <c r="B31" s="31" t="inlineStr">
        <is>
          <t>Construtora Horizonte</t>
        </is>
      </c>
      <c r="C31" s="33" t="inlineStr">
        <is>
          <t>Audiência de instrução</t>
        </is>
      </c>
      <c r="D31" s="34">
        <f>TODAY()+9</f>
        <v/>
      </c>
      <c r="E31" s="33" t="inlineStr">
        <is>
          <t>Marina Ferraz</t>
        </is>
      </c>
      <c r="F31" s="33" t="n"/>
      <c r="G31" s="31" t="inlineStr">
        <is>
          <t>Sala 3, 14h; testemunha avisada</t>
        </is>
      </c>
      <c r="H31" s="28">
        <f>IF(OR(I31="",I31="Feito",I31="Sem data"),"",D31-Config!$B$5)</f>
        <v/>
      </c>
      <c r="I31" s="25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/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/>
      </c>
    </row>
    <row r="32">
      <c r="A32" s="31" t="inlineStr">
        <is>
          <t>6258696-95.2026.8.26.0598</t>
        </is>
      </c>
      <c r="B32" s="31" t="inlineStr">
        <is>
          <t>Escola Aurora</t>
        </is>
      </c>
      <c r="C32" s="33" t="inlineStr">
        <is>
          <t>Reunião com cliente</t>
        </is>
      </c>
      <c r="D32" s="34">
        <f>TODAY()+5</f>
        <v/>
      </c>
      <c r="E32" s="33" t="inlineStr">
        <is>
          <t>Marina Ferraz</t>
        </is>
      </c>
      <c r="F32" s="33" t="n"/>
      <c r="G32" s="31" t="inlineStr">
        <is>
          <t>Alinhar próximos passos</t>
        </is>
      </c>
      <c r="H32" s="28">
        <f>IF(OR(I32="",I32="Feito",I32="Sem data"),"",D32-Config!$B$5)</f>
        <v/>
      </c>
      <c r="I32" s="25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/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/>
      </c>
    </row>
    <row r="33">
      <c r="A33" s="31" t="inlineStr">
        <is>
          <t>9717671-36.2026.8.26.0445</t>
        </is>
      </c>
      <c r="B33" s="31" t="inlineStr">
        <is>
          <t>Agência Prisma</t>
        </is>
      </c>
      <c r="C33" s="33" t="inlineStr">
        <is>
          <t>Juntada de documentos</t>
        </is>
      </c>
      <c r="D33" s="34">
        <f>TODAY()+12</f>
        <v/>
      </c>
      <c r="E33" s="33" t="inlineStr">
        <is>
          <t>Júlia Prado</t>
        </is>
      </c>
      <c r="F33" s="33" t="n"/>
      <c r="G33" s="31" t="inlineStr">
        <is>
          <t>Pedir 2 comprovantes ao cliente</t>
        </is>
      </c>
      <c r="H33" s="28">
        <f>IF(OR(I33="",I33="Feito",I33="Sem data"),"",D33-Config!$B$5)</f>
        <v/>
      </c>
      <c r="I33" s="25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/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/>
      </c>
    </row>
    <row r="34">
      <c r="A34" s="31" t="inlineStr">
        <is>
          <t>5497983-95.2025.8.26.0570</t>
        </is>
      </c>
      <c r="B34" s="31" t="inlineStr">
        <is>
          <t>Loja Verde Comércio</t>
        </is>
      </c>
      <c r="C34" s="33" t="inlineStr">
        <is>
          <t>Audiência de conciliação</t>
        </is>
      </c>
      <c r="D34" s="34">
        <f>TODAY()+20</f>
        <v/>
      </c>
      <c r="E34" s="33" t="inlineStr">
        <is>
          <t>Marina Ferraz</t>
        </is>
      </c>
      <c r="F34" s="33" t="n"/>
      <c r="G34" s="31" t="n"/>
      <c r="H34" s="28">
        <f>IF(OR(I34="",I34="Feito",I34="Sem data"),"",D34-Config!$B$5)</f>
        <v/>
      </c>
      <c r="I34" s="25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/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/>
      </c>
    </row>
    <row r="35">
      <c r="A35" s="31" t="inlineStr">
        <is>
          <t>5470559-73.2026.8.26.0380</t>
        </is>
      </c>
      <c r="B35" s="31" t="inlineStr">
        <is>
          <t>Transportadora Rota Sul</t>
        </is>
      </c>
      <c r="C35" s="33" t="inlineStr">
        <is>
          <t>Manifestação sobre laudo</t>
        </is>
      </c>
      <c r="D35" s="34">
        <f>TODAY()+24</f>
        <v/>
      </c>
      <c r="E35" s="33" t="inlineStr">
        <is>
          <t>Rafael Lima</t>
        </is>
      </c>
      <c r="F35" s="33" t="n"/>
      <c r="G35" s="31" t="n"/>
      <c r="H35" s="28">
        <f>IF(OR(I35="",I35="Feito",I35="Sem data"),"",D35-Config!$B$5)</f>
        <v/>
      </c>
      <c r="I35" s="25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/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/>
      </c>
    </row>
    <row r="36">
      <c r="A36" s="31" t="inlineStr">
        <is>
          <t>6877173-50.2026.8.26.0467</t>
        </is>
      </c>
      <c r="B36" s="31" t="inlineStr">
        <is>
          <t>Roberto Almeida</t>
        </is>
      </c>
      <c r="C36" s="33" t="inlineStr">
        <is>
          <t>Reunião com cliente</t>
        </is>
      </c>
      <c r="D36" s="34">
        <f>TODAY()+31</f>
        <v/>
      </c>
      <c r="E36" s="33" t="inlineStr">
        <is>
          <t>Marina Ferraz</t>
        </is>
      </c>
      <c r="F36" s="33" t="n"/>
      <c r="G36" s="31" t="inlineStr">
        <is>
          <t>Revisão semestral do contrato</t>
        </is>
      </c>
      <c r="H36" s="28">
        <f>IF(OR(I36="",I36="Feito",I36="Sem data"),"",D36-Config!$B$5)</f>
        <v/>
      </c>
      <c r="I36" s="25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/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/>
      </c>
    </row>
    <row r="37">
      <c r="A37" s="31" t="inlineStr">
        <is>
          <t>8735513-64.2025.8.26.0093</t>
        </is>
      </c>
      <c r="B37" s="31" t="inlineStr">
        <is>
          <t>Carlos Eduardo Nunes</t>
        </is>
      </c>
      <c r="C37" s="33" t="inlineStr">
        <is>
          <t>Juntada de documentos</t>
        </is>
      </c>
      <c r="D37" s="34">
        <f>TODAY()+45</f>
        <v/>
      </c>
      <c r="E37" s="33" t="inlineStr">
        <is>
          <t>Júlia Prado</t>
        </is>
      </c>
      <c r="F37" s="33" t="n"/>
      <c r="G37" s="31" t="n"/>
      <c r="H37" s="28">
        <f>IF(OR(I37="",I37="Feito",I37="Sem data"),"",D37-Config!$B$5)</f>
        <v/>
      </c>
      <c r="I37" s="25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/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/>
      </c>
    </row>
    <row r="38">
      <c r="A38" s="31" t="inlineStr">
        <is>
          <t>8986364-51.2026.8.26.0700</t>
        </is>
      </c>
      <c r="B38" s="31" t="inlineStr">
        <is>
          <t>Luciana Farias</t>
        </is>
      </c>
      <c r="C38" s="33" t="inlineStr">
        <is>
          <t>Juntada de documentos</t>
        </is>
      </c>
      <c r="D38" s="34">
        <f>TODAY()-6</f>
        <v/>
      </c>
      <c r="E38" s="33" t="inlineStr">
        <is>
          <t>Júlia Prado</t>
        </is>
      </c>
      <c r="F38" s="33" t="inlineStr">
        <is>
          <t>Sim</t>
        </is>
      </c>
      <c r="G38" s="31" t="inlineStr">
        <is>
          <t>Entregue no protocolo</t>
        </is>
      </c>
      <c r="H38" s="28">
        <f>IF(OR(I38="",I38="Feito",I38="Sem data"),"",D38-Config!$B$5)</f>
        <v/>
      </c>
      <c r="I38" s="25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/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/>
      </c>
    </row>
    <row r="39">
      <c r="A39" s="31" t="inlineStr">
        <is>
          <t>1808451-67.2026.8.26.0657</t>
        </is>
      </c>
      <c r="B39" s="31" t="inlineStr">
        <is>
          <t>Helena Duarte</t>
        </is>
      </c>
      <c r="C39" s="33" t="inlineStr">
        <is>
          <t>Reunião com cliente</t>
        </is>
      </c>
      <c r="D39" s="34">
        <f>TODAY()-10</f>
        <v/>
      </c>
      <c r="E39" s="33" t="inlineStr">
        <is>
          <t>Rafael Lima</t>
        </is>
      </c>
      <c r="F39" s="33" t="inlineStr">
        <is>
          <t>Sim</t>
        </is>
      </c>
      <c r="G39" s="31" t="inlineStr">
        <is>
          <t>Feita por vídeo</t>
        </is>
      </c>
      <c r="H39" s="28">
        <f>IF(OR(I39="",I39="Feito",I39="Sem data"),"",D39-Config!$B$5)</f>
        <v/>
      </c>
      <c r="I39" s="25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/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/>
      </c>
    </row>
    <row r="40">
      <c r="A40" s="31" t="n"/>
      <c r="B40" s="31" t="n"/>
      <c r="C40" s="33" t="n"/>
      <c r="D40" s="34" t="n"/>
      <c r="E40" s="33" t="n"/>
      <c r="F40" s="33" t="n"/>
      <c r="G40" s="31" t="n"/>
      <c r="H40" s="28">
        <f>IF(OR(I40="",I40="Feito",I40="Sem data"),"",D40-Config!$B$5)</f>
        <v/>
      </c>
      <c r="I40" s="25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/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/>
      </c>
    </row>
    <row r="41">
      <c r="A41" s="31" t="n"/>
      <c r="B41" s="31" t="n"/>
      <c r="C41" s="33" t="n"/>
      <c r="D41" s="34" t="n"/>
      <c r="E41" s="33" t="n"/>
      <c r="F41" s="33" t="n"/>
      <c r="G41" s="31" t="n"/>
      <c r="H41" s="28">
        <f>IF(OR(I41="",I41="Feito",I41="Sem data"),"",D41-Config!$B$5)</f>
        <v/>
      </c>
      <c r="I41" s="25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/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/>
      </c>
    </row>
    <row r="42">
      <c r="A42" s="31" t="n"/>
      <c r="B42" s="31" t="n"/>
      <c r="C42" s="33" t="n"/>
      <c r="D42" s="34" t="n"/>
      <c r="E42" s="33" t="n"/>
      <c r="F42" s="33" t="n"/>
      <c r="G42" s="31" t="n"/>
      <c r="H42" s="28">
        <f>IF(OR(I42="",I42="Feito",I42="Sem data"),"",D42-Config!$B$5)</f>
        <v/>
      </c>
      <c r="I42" s="25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/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/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/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/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/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/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/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/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/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/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/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/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/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/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/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/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/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/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/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/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/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/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/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/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/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/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/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/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/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/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/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/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/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/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/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/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/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/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/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/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/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/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/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/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/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/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/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/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/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/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/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/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/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/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/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/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/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/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/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/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/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/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/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/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/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/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/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/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/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/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/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/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/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/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/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/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/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/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/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/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/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/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/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/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/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/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/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/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/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/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/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/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/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/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/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/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/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/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/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/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/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/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/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/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/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/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/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/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/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/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/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/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/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/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/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/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/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/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/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/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/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/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/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/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/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/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/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/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/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/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/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/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/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/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/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/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/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/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/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/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/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/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/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/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/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/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/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/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/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/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/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/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/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/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/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/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/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/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/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/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/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/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/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/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/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/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/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/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/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/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/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/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/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/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/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/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/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/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/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/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/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/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/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/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/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/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/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/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/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/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/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/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/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/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/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/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/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/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/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/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/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/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/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/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/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/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/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/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/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/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/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/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/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/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/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/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/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/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/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/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/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/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/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/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/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/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/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/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/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/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/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/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/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/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/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/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/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/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/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/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/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/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/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/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/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/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/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/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/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/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/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/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/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/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/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/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/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/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/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/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/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/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/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/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/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/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/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/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/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/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/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/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/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/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/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/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/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/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/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/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/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/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/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/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/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/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/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/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/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/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/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/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/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/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/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/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/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/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/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/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/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/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/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/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/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/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/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/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/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/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/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/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/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/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/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/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/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/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/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/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/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/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/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/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/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/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/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/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/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/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/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/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/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/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/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/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/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/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/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/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/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/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/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/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/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/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/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/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/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/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/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/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/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/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/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/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/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/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/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/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/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/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/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1"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0" allowBlank="1" type="list">
      <formula1>=OFFSET(Config!$D$10,0,0,MAX(1,COUNTA(Config!$D$10:$D$29)),1)</formula1>
    </dataValidation>
    <dataValidation sqref="E5:E404" showDropDown="0" showInputMessage="0" showErrorMessage="0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2026-09-14T09:31:04Z</dcterms:created>
  <dcterms:modified xmlns:dcterms="http://purl.org/dc/terms/" xmlns:xsi="http://www.w3.org/2001/XMLSchema-instance" xsi:type="dcterms:W3CDTF">2026-09-14T09:31:04Z</dcterms:modified>
</cp:coreProperties>
</file>