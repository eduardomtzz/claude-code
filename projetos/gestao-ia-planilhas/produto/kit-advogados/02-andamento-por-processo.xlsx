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Com a IA</t>
        </is>
      </c>
      <c r="B10" s="4" t="inlineStr">
        <is>
          <t>Copie a tabela "Parados" ou "Por responsável" e use o prompt "Carteira 03: resumo da situação dos casos para a reunião de sócios"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>
      <c r="A1" s="5">
        <f>Config!$B$4&amp;" · Andamento dos processos · "&amp;TEXT(Config!$B$5,"dd/mm/yyyy")</f>
        <v/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>
        <f>"Parados há mais de "&amp;Config!$B$6&amp;" dias"</f>
        <v/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/>
      </c>
      <c r="B5" s="8" t="n"/>
      <c r="C5" s="18">
        <f>COUNTIFS(Processos!$K$5:$K$304,"Atrasado")</f>
        <v/>
      </c>
      <c r="D5" s="10" t="n"/>
      <c r="E5" s="19">
        <f>COUNTIFS(Processos!$K$5:$K$304,"Hoje")+COUNTIFS(Processos!$K$5:$K$304,"Esta semana")</f>
        <v/>
      </c>
      <c r="F5" s="12" t="n"/>
      <c r="G5" s="20">
        <f>COUNTIFS(Processos!$K$5:$K$304,"Sem próxima ação")</f>
        <v/>
      </c>
      <c r="H5" s="14" t="n"/>
      <c r="I5" s="18">
        <f>COUNTIFS(Processos!$M$5:$M$304,"Sim")</f>
        <v/>
      </c>
      <c r="J5" s="10" t="n"/>
      <c r="K5" s="21">
        <f>COUNTIFS(Processos!$A$5:$A$304,"&lt;&gt;",Processos!$D$5:$D$304,"Encerrado")</f>
        <v/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>
        <f>IF(Config!$B$10="","",Config!$B$10)</f>
        <v/>
      </c>
      <c r="B9" s="25">
        <f>IF(Config!$B$10="","",COUNTIFS(Processos!$A$5:$A$304,"&lt;&gt;",Processos!$D$5:$D$304,Config!$B$10))</f>
        <v/>
      </c>
      <c r="C9" s="25">
        <f>IF(Config!$B$10="","",COUNTIFS(Processos!$D$5:$D$304,Config!$B$10,Processos!$K$5:$K$304,"Atrasado"))</f>
        <v/>
      </c>
      <c r="D9" s="25">
        <f>IF(Config!$B$10="","",COUNTIFS(Processos!$D$5:$D$304,Config!$B$10,Processos!$K$5:$K$304,"Hoje")+COUNTIFS(Processos!$D$5:$D$304,Config!$B$10,Processos!$K$5:$K$304,"Esta semana"))</f>
        <v/>
      </c>
      <c r="E9" s="25">
        <f>IF(Config!$B$10="","",COUNTIFS(Processos!$D$5:$D$304,Config!$B$10,Processos!$K$5:$K$304,"Sem próxima ação"))</f>
        <v/>
      </c>
      <c r="F9" s="25">
        <f>IF(Config!$B$10="","",COUNTIFS(Processos!$D$5:$D$304,Config!$B$10,Processos!$M$5:$M$304,"Sim"))</f>
        <v/>
      </c>
      <c r="H9" s="24">
        <f>IF(Config!$D$10="","",Config!$D$10)</f>
        <v/>
      </c>
      <c r="I9" s="25">
        <f>IF(Config!$D$10="","",COUNTIFS(Processos!$A$5:$A$304,"&lt;&gt;",Processos!$C$5:$C$304,Config!$D$10,Processos!$D$5:$D$304,"&lt;&gt;Encerrado"))</f>
        <v/>
      </c>
      <c r="J9" s="25">
        <f>IF(Config!$D$10="","",COUNTIFS(Processos!$C$5:$C$304,Config!$D$10,Processos!$D$5:$D$304,"Encerrado"))</f>
        <v/>
      </c>
      <c r="K9" s="25">
        <f>IF(Config!$D$10="","",COUNTIFS(Processos!$C$5:$C$304,Config!$D$10,Processos!$K$5:$K$304,"Atrasado"))</f>
        <v/>
      </c>
      <c r="L9" s="25">
        <f>IF(Config!$D$10="","",COUNTIFS(Processos!$C$5:$C$304,Config!$D$10,Processos!$M$5:$M$304,"Sim"))</f>
        <v/>
      </c>
    </row>
    <row r="10">
      <c r="A10" s="24">
        <f>IF(Config!$B$11="","",Config!$B$11)</f>
        <v/>
      </c>
      <c r="B10" s="25">
        <f>IF(Config!$B$11="","",COUNTIFS(Processos!$A$5:$A$304,"&lt;&gt;",Processos!$D$5:$D$304,Config!$B$11))</f>
        <v/>
      </c>
      <c r="C10" s="25">
        <f>IF(Config!$B$11="","",COUNTIFS(Processos!$D$5:$D$304,Config!$B$11,Processos!$K$5:$K$304,"Atrasado"))</f>
        <v/>
      </c>
      <c r="D10" s="25">
        <f>IF(Config!$B$11="","",COUNTIFS(Processos!$D$5:$D$304,Config!$B$11,Processos!$K$5:$K$304,"Hoje")+COUNTIFS(Processos!$D$5:$D$304,Config!$B$11,Processos!$K$5:$K$304,"Esta semana"))</f>
        <v/>
      </c>
      <c r="E10" s="25">
        <f>IF(Config!$B$11="","",COUNTIFS(Processos!$D$5:$D$304,Config!$B$11,Processos!$K$5:$K$304,"Sem próxima ação"))</f>
        <v/>
      </c>
      <c r="F10" s="25">
        <f>IF(Config!$B$11="","",COUNTIFS(Processos!$D$5:$D$304,Config!$B$11,Processos!$M$5:$M$304,"Sim"))</f>
        <v/>
      </c>
      <c r="H10" s="24">
        <f>IF(Config!$D$11="","",Config!$D$11)</f>
        <v/>
      </c>
      <c r="I10" s="25">
        <f>IF(Config!$D$11="","",COUNTIFS(Processos!$A$5:$A$304,"&lt;&gt;",Processos!$C$5:$C$304,Config!$D$11,Processos!$D$5:$D$304,"&lt;&gt;Encerrado"))</f>
        <v/>
      </c>
      <c r="J10" s="25">
        <f>IF(Config!$D$11="","",COUNTIFS(Processos!$C$5:$C$304,Config!$D$11,Processos!$D$5:$D$304,"Encerrado"))</f>
        <v/>
      </c>
      <c r="K10" s="25">
        <f>IF(Config!$D$11="","",COUNTIFS(Processos!$C$5:$C$304,Config!$D$11,Processos!$K$5:$K$304,"Atrasado"))</f>
        <v/>
      </c>
      <c r="L10" s="25">
        <f>IF(Config!$D$11="","",COUNTIFS(Processos!$C$5:$C$304,Config!$D$11,Processos!$M$5:$M$304,"Sim"))</f>
        <v/>
      </c>
    </row>
    <row r="11">
      <c r="A11" s="24">
        <f>IF(Config!$B$12="","",Config!$B$12)</f>
        <v/>
      </c>
      <c r="B11" s="25">
        <f>IF(Config!$B$12="","",COUNTIFS(Processos!$A$5:$A$304,"&lt;&gt;",Processos!$D$5:$D$304,Config!$B$12))</f>
        <v/>
      </c>
      <c r="C11" s="25">
        <f>IF(Config!$B$12="","",COUNTIFS(Processos!$D$5:$D$304,Config!$B$12,Processos!$K$5:$K$304,"Atrasado"))</f>
        <v/>
      </c>
      <c r="D11" s="25">
        <f>IF(Config!$B$12="","",COUNTIFS(Processos!$D$5:$D$304,Config!$B$12,Processos!$K$5:$K$304,"Hoje")+COUNTIFS(Processos!$D$5:$D$304,Config!$B$12,Processos!$K$5:$K$304,"Esta semana"))</f>
        <v/>
      </c>
      <c r="E11" s="25">
        <f>IF(Config!$B$12="","",COUNTIFS(Processos!$D$5:$D$304,Config!$B$12,Processos!$K$5:$K$304,"Sem próxima ação"))</f>
        <v/>
      </c>
      <c r="F11" s="25">
        <f>IF(Config!$B$12="","",COUNTIFS(Processos!$D$5:$D$304,Config!$B$12,Processos!$M$5:$M$304,"Sim"))</f>
        <v/>
      </c>
      <c r="H11" s="24">
        <f>IF(Config!$D$12="","",Config!$D$12)</f>
        <v/>
      </c>
      <c r="I11" s="25">
        <f>IF(Config!$D$12="","",COUNTIFS(Processos!$A$5:$A$304,"&lt;&gt;",Processos!$C$5:$C$304,Config!$D$12,Processos!$D$5:$D$304,"&lt;&gt;Encerrado"))</f>
        <v/>
      </c>
      <c r="J11" s="25">
        <f>IF(Config!$D$12="","",COUNTIFS(Processos!$C$5:$C$304,Config!$D$12,Processos!$D$5:$D$304,"Encerrado"))</f>
        <v/>
      </c>
      <c r="K11" s="25">
        <f>IF(Config!$D$12="","",COUNTIFS(Processos!$C$5:$C$304,Config!$D$12,Processos!$K$5:$K$304,"Atrasado"))</f>
        <v/>
      </c>
      <c r="L11" s="25">
        <f>IF(Config!$D$12="","",COUNTIFS(Processos!$C$5:$C$304,Config!$D$12,Processos!$M$5:$M$304,"Sim"))</f>
        <v/>
      </c>
    </row>
    <row r="12">
      <c r="A12" s="24">
        <f>IF(Config!$B$13="","",Config!$B$13)</f>
        <v/>
      </c>
      <c r="B12" s="25">
        <f>IF(Config!$B$13="","",COUNTIFS(Processos!$A$5:$A$304,"&lt;&gt;",Processos!$D$5:$D$304,Config!$B$13))</f>
        <v/>
      </c>
      <c r="C12" s="25">
        <f>IF(Config!$B$13="","",COUNTIFS(Processos!$D$5:$D$304,Config!$B$13,Processos!$K$5:$K$304,"Atrasado"))</f>
        <v/>
      </c>
      <c r="D12" s="25">
        <f>IF(Config!$B$13="","",COUNTIFS(Processos!$D$5:$D$304,Config!$B$13,Processos!$K$5:$K$304,"Hoje")+COUNTIFS(Processos!$D$5:$D$304,Config!$B$13,Processos!$K$5:$K$304,"Esta semana"))</f>
        <v/>
      </c>
      <c r="E12" s="25">
        <f>IF(Config!$B$13="","",COUNTIFS(Processos!$D$5:$D$304,Config!$B$13,Processos!$K$5:$K$304,"Sem próxima ação"))</f>
        <v/>
      </c>
      <c r="F12" s="25">
        <f>IF(Config!$B$13="","",COUNTIFS(Processos!$D$5:$D$304,Config!$B$13,Processos!$M$5:$M$304,"Sim"))</f>
        <v/>
      </c>
      <c r="H12" s="24">
        <f>IF(Config!$D$13="","",Config!$D$13)</f>
        <v/>
      </c>
      <c r="I12" s="25">
        <f>IF(Config!$D$13="","",COUNTIFS(Processos!$A$5:$A$304,"&lt;&gt;",Processos!$C$5:$C$304,Config!$D$13,Processos!$D$5:$D$304,"&lt;&gt;Encerrado"))</f>
        <v/>
      </c>
      <c r="J12" s="25">
        <f>IF(Config!$D$13="","",COUNTIFS(Processos!$C$5:$C$304,Config!$D$13,Processos!$D$5:$D$304,"Encerrado"))</f>
        <v/>
      </c>
      <c r="K12" s="25">
        <f>IF(Config!$D$13="","",COUNTIFS(Processos!$C$5:$C$304,Config!$D$13,Processos!$K$5:$K$304,"Atrasado"))</f>
        <v/>
      </c>
      <c r="L12" s="25">
        <f>IF(Config!$D$13="","",COUNTIFS(Processos!$C$5:$C$304,Config!$D$13,Processos!$M$5:$M$304,"Sim"))</f>
        <v/>
      </c>
    </row>
    <row r="13">
      <c r="A13" s="24">
        <f>IF(Config!$B$14="","",Config!$B$14)</f>
        <v/>
      </c>
      <c r="B13" s="25">
        <f>IF(Config!$B$14="","",COUNTIFS(Processos!$A$5:$A$304,"&lt;&gt;",Processos!$D$5:$D$304,Config!$B$14))</f>
        <v/>
      </c>
      <c r="C13" s="25">
        <f>IF(Config!$B$14="","",COUNTIFS(Processos!$D$5:$D$304,Config!$B$14,Processos!$K$5:$K$304,"Atrasado"))</f>
        <v/>
      </c>
      <c r="D13" s="25">
        <f>IF(Config!$B$14="","",COUNTIFS(Processos!$D$5:$D$304,Config!$B$14,Processos!$K$5:$K$304,"Hoje")+COUNTIFS(Processos!$D$5:$D$304,Config!$B$14,Processos!$K$5:$K$304,"Esta semana"))</f>
        <v/>
      </c>
      <c r="E13" s="25">
        <f>IF(Config!$B$14="","",COUNTIFS(Processos!$D$5:$D$304,Config!$B$14,Processos!$K$5:$K$304,"Sem próxima ação"))</f>
        <v/>
      </c>
      <c r="F13" s="25">
        <f>IF(Config!$B$14="","",COUNTIFS(Processos!$D$5:$D$304,Config!$B$14,Processos!$M$5:$M$304,"Sim"))</f>
        <v/>
      </c>
      <c r="H13" s="24">
        <f>IF(Config!$D$14="","",Config!$D$14)</f>
        <v/>
      </c>
      <c r="I13" s="25">
        <f>IF(Config!$D$14="","",COUNTIFS(Processos!$A$5:$A$304,"&lt;&gt;",Processos!$C$5:$C$304,Config!$D$14,Processos!$D$5:$D$304,"&lt;&gt;Encerrado"))</f>
        <v/>
      </c>
      <c r="J13" s="25">
        <f>IF(Config!$D$14="","",COUNTIFS(Processos!$C$5:$C$304,Config!$D$14,Processos!$D$5:$D$304,"Encerrado"))</f>
        <v/>
      </c>
      <c r="K13" s="25">
        <f>IF(Config!$D$14="","",COUNTIFS(Processos!$C$5:$C$304,Config!$D$14,Processos!$K$5:$K$304,"Atrasado"))</f>
        <v/>
      </c>
      <c r="L13" s="25">
        <f>IF(Config!$D$14="","",COUNTIFS(Processos!$C$5:$C$304,Config!$D$14,Processos!$M$5:$M$304,"Sim"))</f>
        <v/>
      </c>
    </row>
    <row r="14">
      <c r="A14" s="24">
        <f>IF(Config!$B$15="","",Config!$B$15)</f>
        <v/>
      </c>
      <c r="B14" s="25">
        <f>IF(Config!$B$15="","",COUNTIFS(Processos!$A$5:$A$304,"&lt;&gt;",Processos!$D$5:$D$304,Config!$B$15))</f>
        <v/>
      </c>
      <c r="C14" s="25">
        <f>IF(Config!$B$15="","",COUNTIFS(Processos!$D$5:$D$304,Config!$B$15,Processos!$K$5:$K$304,"Atrasado"))</f>
        <v/>
      </c>
      <c r="D14" s="25">
        <f>IF(Config!$B$15="","",COUNTIFS(Processos!$D$5:$D$304,Config!$B$15,Processos!$K$5:$K$304,"Hoje")+COUNTIFS(Processos!$D$5:$D$304,Config!$B$15,Processos!$K$5:$K$304,"Esta semana"))</f>
        <v/>
      </c>
      <c r="E14" s="25">
        <f>IF(Config!$B$15="","",COUNTIFS(Processos!$D$5:$D$304,Config!$B$15,Processos!$K$5:$K$304,"Sem próxima ação"))</f>
        <v/>
      </c>
      <c r="F14" s="25">
        <f>IF(Config!$B$15="","",COUNTIFS(Processos!$D$5:$D$304,Config!$B$15,Processos!$M$5:$M$304,"Sim"))</f>
        <v/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>
        <f>IF(Config!$B$16="","",Config!$B$16)</f>
        <v/>
      </c>
      <c r="B15" s="25">
        <f>IF(Config!$B$16="","",COUNTIFS(Processos!$A$5:$A$304,"&lt;&gt;",Processos!$D$5:$D$304,Config!$B$16))</f>
        <v/>
      </c>
      <c r="C15" s="25">
        <f>IF(Config!$B$16="","",COUNTIFS(Processos!$D$5:$D$304,Config!$B$16,Processos!$K$5:$K$304,"Atrasado"))</f>
        <v/>
      </c>
      <c r="D15" s="25">
        <f>IF(Config!$B$16="","",COUNTIFS(Processos!$D$5:$D$304,Config!$B$16,Processos!$K$5:$K$304,"Hoje")+COUNTIFS(Processos!$D$5:$D$304,Config!$B$16,Processos!$K$5:$K$304,"Esta semana"))</f>
        <v/>
      </c>
      <c r="E15" s="25">
        <f>IF(Config!$B$16="","",COUNTIFS(Processos!$D$5:$D$304,Config!$B$16,Processos!$K$5:$K$304,"Sem próxima ação"))</f>
        <v/>
      </c>
      <c r="F15" s="25">
        <f>IF(Config!$B$16="","",COUNTIFS(Processos!$D$5:$D$304,Config!$B$16,Processos!$M$5:$M$304,"Sim"))</f>
        <v/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>
        <f>IF(Config!$B$17="","",Config!$B$17)</f>
        <v/>
      </c>
      <c r="B16" s="25">
        <f>IF(Config!$B$17="","",COUNTIFS(Processos!$A$5:$A$304,"&lt;&gt;",Processos!$D$5:$D$304,Config!$B$17))</f>
        <v/>
      </c>
      <c r="C16" s="25">
        <f>IF(Config!$B$17="","",COUNTIFS(Processos!$D$5:$D$304,Config!$B$17,Processos!$K$5:$K$304,"Atrasado"))</f>
        <v/>
      </c>
      <c r="D16" s="25">
        <f>IF(Config!$B$17="","",COUNTIFS(Processos!$D$5:$D$304,Config!$B$17,Processos!$K$5:$K$304,"Hoje")+COUNTIFS(Processos!$D$5:$D$304,Config!$B$17,Processos!$K$5:$K$304,"Esta semana"))</f>
        <v/>
      </c>
      <c r="E16" s="25">
        <f>IF(Config!$B$17="","",COUNTIFS(Processos!$D$5:$D$304,Config!$B$17,Processos!$K$5:$K$304,"Sem próxima ação"))</f>
        <v/>
      </c>
      <c r="F16" s="25">
        <f>IF(Config!$B$17="","",COUNTIFS(Processos!$D$5:$D$304,Config!$B$17,Processos!$M$5:$M$304,"Sim"))</f>
        <v/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Ação mais próxima</t>
        </is>
      </c>
    </row>
    <row r="23">
      <c r="A23" s="24">
        <f>IF(Config!$F$10="","",Config!$F$10)</f>
        <v/>
      </c>
      <c r="B23" s="25">
        <f>IF(Config!$F$10="","",COUNTIFS(Processos!$A$5:$A$304,"&lt;&gt;",Processos!$E$5:$E$304,Config!$F$10,Processos!$D$5:$D$304,"&lt;&gt;Encerrado"))</f>
        <v/>
      </c>
      <c r="C23" s="25">
        <f>IF(Config!$F$10="","",COUNTIFS(Processos!$E$5:$E$304,Config!$F$10,Processos!$K$5:$K$304,"Atrasado"))</f>
        <v/>
      </c>
      <c r="D23" s="25">
        <f>IF(Config!$F$10="","",COUNTIFS(Processos!$E$5:$E$304,Config!$F$10,Processos!$K$5:$K$304,"Hoje")+COUNTIFS(Processos!$E$5:$E$304,Config!$F$10,Processos!$K$5:$K$304,"Esta semana"))</f>
        <v/>
      </c>
      <c r="E23" s="25">
        <f>IF(Config!$F$10="","",COUNTIFS(Processos!$E$5:$E$304,Config!$F$10,Processos!$K$5:$K$304,"Sem próxima ação"))</f>
        <v/>
      </c>
      <c r="F23" s="25">
        <f>IF(Config!$F$10="","",COUNTIFS(Processos!$E$5:$E$304,Config!$F$10,Processos!$M$5:$M$304,"Sim"))</f>
        <v/>
      </c>
      <c r="G23" s="26">
        <f>IF(Config!$F$10="","",IFERROR(IF(_xlfn.MINIFS(Processos!$G$5:$G$304,Processos!$E$5:$E$304,Config!$F$10,Processos!$D$5:$D$304,"&lt;&gt;Encerrado",Processos!$G$5:$G$304,"&gt;0")=0,"",_xlfn.MINIFS(Processos!$G$5:$G$304,Processos!$E$5:$E$304,Config!$F$10,Processos!$D$5:$D$304,"&lt;&gt;Encerrado",Processos!$G$5:$G$304,"&gt;0")),""))</f>
        <v/>
      </c>
    </row>
    <row r="24">
      <c r="A24" s="24">
        <f>IF(Config!$F$11="","",Config!$F$11)</f>
        <v/>
      </c>
      <c r="B24" s="25">
        <f>IF(Config!$F$11="","",COUNTIFS(Processos!$A$5:$A$304,"&lt;&gt;",Processos!$E$5:$E$304,Config!$F$11,Processos!$D$5:$D$304,"&lt;&gt;Encerrado"))</f>
        <v/>
      </c>
      <c r="C24" s="25">
        <f>IF(Config!$F$11="","",COUNTIFS(Processos!$E$5:$E$304,Config!$F$11,Processos!$K$5:$K$304,"Atrasado"))</f>
        <v/>
      </c>
      <c r="D24" s="25">
        <f>IF(Config!$F$11="","",COUNTIFS(Processos!$E$5:$E$304,Config!$F$11,Processos!$K$5:$K$304,"Hoje")+COUNTIFS(Processos!$E$5:$E$304,Config!$F$11,Processos!$K$5:$K$304,"Esta semana"))</f>
        <v/>
      </c>
      <c r="E24" s="25">
        <f>IF(Config!$F$11="","",COUNTIFS(Processos!$E$5:$E$304,Config!$F$11,Processos!$K$5:$K$304,"Sem próxima ação"))</f>
        <v/>
      </c>
      <c r="F24" s="25">
        <f>IF(Config!$F$11="","",COUNTIFS(Processos!$E$5:$E$304,Config!$F$11,Processos!$M$5:$M$304,"Sim"))</f>
        <v/>
      </c>
      <c r="G24" s="26">
        <f>IF(Config!$F$11="","",IFERROR(IF(_xlfn.MINIFS(Processos!$G$5:$G$304,Processos!$E$5:$E$304,Config!$F$11,Processos!$D$5:$D$304,"&lt;&gt;Encerrado",Processos!$G$5:$G$304,"&gt;0")=0,"",_xlfn.MINIFS(Processos!$G$5:$G$304,Processos!$E$5:$E$304,Config!$F$11,Processos!$D$5:$D$304,"&lt;&gt;Encerrado",Processos!$G$5:$G$304,"&gt;0")),""))</f>
        <v/>
      </c>
    </row>
    <row r="25">
      <c r="A25" s="24">
        <f>IF(Config!$F$12="","",Config!$F$12)</f>
        <v/>
      </c>
      <c r="B25" s="25">
        <f>IF(Config!$F$12="","",COUNTIFS(Processos!$A$5:$A$304,"&lt;&gt;",Processos!$E$5:$E$304,Config!$F$12,Processos!$D$5:$D$304,"&lt;&gt;Encerrado"))</f>
        <v/>
      </c>
      <c r="C25" s="25">
        <f>IF(Config!$F$12="","",COUNTIFS(Processos!$E$5:$E$304,Config!$F$12,Processos!$K$5:$K$304,"Atrasado"))</f>
        <v/>
      </c>
      <c r="D25" s="25">
        <f>IF(Config!$F$12="","",COUNTIFS(Processos!$E$5:$E$304,Config!$F$12,Processos!$K$5:$K$304,"Hoje")+COUNTIFS(Processos!$E$5:$E$304,Config!$F$12,Processos!$K$5:$K$304,"Esta semana"))</f>
        <v/>
      </c>
      <c r="E25" s="25">
        <f>IF(Config!$F$12="","",COUNTIFS(Processos!$E$5:$E$304,Config!$F$12,Processos!$K$5:$K$304,"Sem próxima ação"))</f>
        <v/>
      </c>
      <c r="F25" s="25">
        <f>IF(Config!$F$12="","",COUNTIFS(Processos!$E$5:$E$304,Config!$F$12,Processos!$M$5:$M$304,"Sim"))</f>
        <v/>
      </c>
      <c r="G25" s="26">
        <f>IF(Config!$F$12="","",IFERROR(IF(_xlfn.MINIFS(Processos!$G$5:$G$304,Processos!$E$5:$E$304,Config!$F$12,Processos!$D$5:$D$304,"&lt;&gt;Encerrado",Processos!$G$5:$G$304,"&gt;0")=0,"",_xlfn.MINIFS(Processos!$G$5:$G$304,Processos!$E$5:$E$304,Config!$F$12,Processos!$D$5:$D$304,"&lt;&gt;Encerrado",Processos!$G$5:$G$304,"&gt;0"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_xlfn.MINIFS(Processos!$G$5:$G$304,Processos!$E$5:$E$304,Config!$F$13,Processos!$D$5:$D$304,"&lt;&gt;Encerrado",Processos!$G$5:$G$304,"&gt;0")=0,"",_xlfn.MINIFS(Processos!$G$5:$G$304,Processos!$E$5:$E$304,Config!$F$13,Processos!$D$5:$D$304,"&lt;&gt;Encerrado",Processos!$G$5:$G$304,"&gt;0"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_xlfn.MINIFS(Processos!$G$5:$G$304,Processos!$E$5:$E$304,Config!$F$14,Processos!$D$5:$D$304,"&lt;&gt;Encerrado",Processos!$G$5:$G$304,"&gt;0")=0,"",_xlfn.MINIFS(Processos!$G$5:$G$304,Processos!$E$5:$E$304,Config!$F$14,Processos!$D$5:$D$304,"&lt;&gt;Encerrado",Processos!$G$5:$G$304,"&gt;0"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_xlfn.MINIFS(Processos!$G$5:$G$304,Processos!$E$5:$E$304,Config!$F$15,Processos!$D$5:$D$304,"&lt;&gt;Encerrado",Processos!$G$5:$G$304,"&gt;0")=0,"",_xlfn.MINIFS(Processos!$G$5:$G$304,Processos!$E$5:$E$304,Config!$F$15,Processos!$D$5:$D$304,"&lt;&gt;Encerrado",Processos!$G$5:$G$304,"&gt;0"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_xlfn.MINIFS(Processos!$G$5:$G$304,Processos!$E$5:$E$304,Config!$F$16,Processos!$D$5:$D$304,"&lt;&gt;Encerrado",Processos!$G$5:$G$304,"&gt;0")=0,"",_xlfn.MINIFS(Processos!$G$5:$G$304,Processos!$E$5:$E$304,Config!$F$16,Processos!$D$5:$D$304,"&lt;&gt;Encerrado",Processos!$G$5:$G$304,"&gt;0"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_xlfn.MINIFS(Processos!$G$5:$G$304,Processos!$E$5:$E$304,Config!$F$17,Processos!$D$5:$D$304,"&lt;&gt;Encerrado",Processos!$G$5:$G$304,"&gt;0")=0,"",_xlfn.MINIFS(Processos!$G$5:$G$304,Processos!$E$5:$E$304,Config!$F$17,Processos!$D$5:$D$304,"&lt;&gt;Encerrado",Processos!$G$5:$G$304,"&gt;0"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_xlfn.MINIFS(Processos!$G$5:$G$304,Processos!$E$5:$E$304,Config!$F$18,Processos!$D$5:$D$304,"&lt;&gt;Encerrado",Processos!$G$5:$G$304,"&gt;0")=0,"",_xlfn.MINIFS(Processos!$G$5:$G$304,Processos!$E$5:$E$304,Config!$F$18,Processos!$D$5:$D$304,"&lt;&gt;Encerrado",Processos!$G$5:$G$304,"&gt;0"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_xlfn.MINIFS(Processos!$G$5:$G$304,Processos!$E$5:$E$304,Config!$F$19,Processos!$D$5:$D$304,"&lt;&gt;Encerrado",Processos!$G$5:$G$304,"&gt;0")=0,"",_xlfn.MINIFS(Processos!$G$5:$G$304,Processos!$E$5:$E$304,Config!$F$19,Processos!$D$5:$D$304,"&lt;&gt;Encerrado",Processos!$G$5:$G$304,"&gt;0")),""))</f>
        <v/>
      </c>
    </row>
    <row r="35">
      <c r="A35" s="22">
        <f>"Parados há mais de "&amp;Config!$B$6&amp;" dias (os mais antigos primeiro)"</f>
        <v/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>
        <f>IFERROR(IF(LARGE(Processos!$N$5:$N$304,1)&gt;0,IF(INDEX(Processos!$A$5:$A$304,MATCH(LARGE(Processos!$N$5:$N$304,1),Processos!$N$5:$N$304,0))="","",INDEX(Processos!$A$5:$A$304,MATCH(LARGE(Processos!$N$5:$N$304,1),Processos!$N$5:$N$304,0))),""),"")</f>
        <v/>
      </c>
      <c r="C38" s="24">
        <f>IFERROR(IF(LARGE(Processos!$N$5:$N$304,1)&gt;0,IF(INDEX(Processos!$B$5:$B$304,MATCH(LARGE(Processos!$N$5:$N$304,1),Processos!$N$5:$N$304,0))="","",INDEX(Processos!$B$5:$B$304,MATCH(LARGE(Processos!$N$5:$N$304,1),Processos!$N$5:$N$304,0))),""),"")</f>
        <v/>
      </c>
      <c r="D38" s="25">
        <f>IFERROR(IF(LARGE(Processos!$N$5:$N$304,1)&gt;0,IF(INDEX(Processos!$D$5:$D$304,MATCH(LARGE(Processos!$N$5:$N$304,1),Processos!$N$5:$N$304,0))="","",INDEX(Processos!$D$5:$D$304,MATCH(LARGE(Processos!$N$5:$N$304,1),Processos!$N$5:$N$304,0))),""),"")</f>
        <v/>
      </c>
      <c r="E38" s="25">
        <f>IFERROR(IF(LARGE(Processos!$N$5:$N$304,1)&gt;0,IF(INDEX(Processos!$E$5:$E$304,MATCH(LARGE(Processos!$N$5:$N$304,1),Processos!$N$5:$N$304,0))="","",INDEX(Processos!$E$5:$E$304,MATCH(LARGE(Processos!$N$5:$N$304,1),Processos!$N$5:$N$304,0))),""),"")</f>
        <v/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/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/>
      </c>
      <c r="H38" s="24">
        <f>IFERROR(IF(LARGE(Processos!$N$5:$N$304,1)&gt;0,IF(INDEX(Processos!$F$5:$F$304,MATCH(LARGE(Processos!$N$5:$N$304,1),Processos!$N$5:$N$304,0))="","",INDEX(Processos!$F$5:$F$304,MATCH(LARGE(Processos!$N$5:$N$304,1),Processos!$N$5:$N$304,0))),""),"")</f>
        <v/>
      </c>
    </row>
    <row r="39">
      <c r="A39" s="25" t="n">
        <v>2</v>
      </c>
      <c r="B39" s="24">
        <f>IFERROR(IF(LARGE(Processos!$N$5:$N$304,2)&gt;0,IF(INDEX(Processos!$A$5:$A$304,MATCH(LARGE(Processos!$N$5:$N$304,2),Processos!$N$5:$N$304,0))="","",INDEX(Processos!$A$5:$A$304,MATCH(LARGE(Processos!$N$5:$N$304,2),Processos!$N$5:$N$304,0))),""),"")</f>
        <v/>
      </c>
      <c r="C39" s="24">
        <f>IFERROR(IF(LARGE(Processos!$N$5:$N$304,2)&gt;0,IF(INDEX(Processos!$B$5:$B$304,MATCH(LARGE(Processos!$N$5:$N$304,2),Processos!$N$5:$N$304,0))="","",INDEX(Processos!$B$5:$B$304,MATCH(LARGE(Processos!$N$5:$N$304,2),Processos!$N$5:$N$304,0))),""),"")</f>
        <v/>
      </c>
      <c r="D39" s="25">
        <f>IFERROR(IF(LARGE(Processos!$N$5:$N$304,2)&gt;0,IF(INDEX(Processos!$D$5:$D$304,MATCH(LARGE(Processos!$N$5:$N$304,2),Processos!$N$5:$N$304,0))="","",INDEX(Processos!$D$5:$D$304,MATCH(LARGE(Processos!$N$5:$N$304,2),Processos!$N$5:$N$304,0))),""),"")</f>
        <v/>
      </c>
      <c r="E39" s="25">
        <f>IFERROR(IF(LARGE(Processos!$N$5:$N$304,2)&gt;0,IF(INDEX(Processos!$E$5:$E$304,MATCH(LARGE(Processos!$N$5:$N$304,2),Processos!$N$5:$N$304,0))="","",INDEX(Processos!$E$5:$E$304,MATCH(LARGE(Processos!$N$5:$N$304,2),Processos!$N$5:$N$304,0))),""),"")</f>
        <v/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/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/>
      </c>
      <c r="H39" s="24">
        <f>IFERROR(IF(LARGE(Processos!$N$5:$N$304,2)&gt;0,IF(INDEX(Processos!$F$5:$F$304,MATCH(LARGE(Processos!$N$5:$N$304,2),Processos!$N$5:$N$304,0))="","",INDEX(Processos!$F$5:$F$304,MATCH(LARGE(Processos!$N$5:$N$304,2),Processos!$N$5:$N$304,0))),""),"")</f>
        <v/>
      </c>
    </row>
    <row r="40">
      <c r="A40" s="25" t="n">
        <v>3</v>
      </c>
      <c r="B40" s="24">
        <f>IFERROR(IF(LARGE(Processos!$N$5:$N$304,3)&gt;0,IF(INDEX(Processos!$A$5:$A$304,MATCH(LARGE(Processos!$N$5:$N$304,3),Processos!$N$5:$N$304,0))="","",INDEX(Processos!$A$5:$A$304,MATCH(LARGE(Processos!$N$5:$N$304,3),Processos!$N$5:$N$304,0))),""),"")</f>
        <v/>
      </c>
      <c r="C40" s="24">
        <f>IFERROR(IF(LARGE(Processos!$N$5:$N$304,3)&gt;0,IF(INDEX(Processos!$B$5:$B$304,MATCH(LARGE(Processos!$N$5:$N$304,3),Processos!$N$5:$N$304,0))="","",INDEX(Processos!$B$5:$B$304,MATCH(LARGE(Processos!$N$5:$N$304,3),Processos!$N$5:$N$304,0))),""),"")</f>
        <v/>
      </c>
      <c r="D40" s="25">
        <f>IFERROR(IF(LARGE(Processos!$N$5:$N$304,3)&gt;0,IF(INDEX(Processos!$D$5:$D$304,MATCH(LARGE(Processos!$N$5:$N$304,3),Processos!$N$5:$N$304,0))="","",INDEX(Processos!$D$5:$D$304,MATCH(LARGE(Processos!$N$5:$N$304,3),Processos!$N$5:$N$304,0))),""),"")</f>
        <v/>
      </c>
      <c r="E40" s="25">
        <f>IFERROR(IF(LARGE(Processos!$N$5:$N$304,3)&gt;0,IF(INDEX(Processos!$E$5:$E$304,MATCH(LARGE(Processos!$N$5:$N$304,3),Processos!$N$5:$N$304,0))="","",INDEX(Processos!$E$5:$E$304,MATCH(LARGE(Processos!$N$5:$N$304,3),Processos!$N$5:$N$304,0))),""),"")</f>
        <v/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/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/>
      </c>
      <c r="H40" s="24">
        <f>IFERROR(IF(LARGE(Processos!$N$5:$N$304,3)&gt;0,IF(INDEX(Processos!$F$5:$F$304,MATCH(LARGE(Processos!$N$5:$N$304,3),Processos!$N$5:$N$304,0))="","",INDEX(Processos!$F$5:$F$304,MATCH(LARGE(Processos!$N$5:$N$304,3),Processos!$N$5:$N$304,0))),""),"")</f>
        <v/>
      </c>
    </row>
    <row r="41">
      <c r="A41" s="25" t="n">
        <v>4</v>
      </c>
      <c r="B41" s="24">
        <f>IFERROR(IF(LARGE(Processos!$N$5:$N$304,4)&gt;0,IF(INDEX(Processos!$A$5:$A$304,MATCH(LARGE(Processos!$N$5:$N$304,4),Processos!$N$5:$N$304,0))="","",INDEX(Processos!$A$5:$A$304,MATCH(LARGE(Processos!$N$5:$N$304,4),Processos!$N$5:$N$304,0))),""),"")</f>
        <v/>
      </c>
      <c r="C41" s="24">
        <f>IFERROR(IF(LARGE(Processos!$N$5:$N$304,4)&gt;0,IF(INDEX(Processos!$B$5:$B$304,MATCH(LARGE(Processos!$N$5:$N$304,4),Processos!$N$5:$N$304,0))="","",INDEX(Processos!$B$5:$B$304,MATCH(LARGE(Processos!$N$5:$N$304,4),Processos!$N$5:$N$304,0))),""),"")</f>
        <v/>
      </c>
      <c r="D41" s="25">
        <f>IFERROR(IF(LARGE(Processos!$N$5:$N$304,4)&gt;0,IF(INDEX(Processos!$D$5:$D$304,MATCH(LARGE(Processos!$N$5:$N$304,4),Processos!$N$5:$N$304,0))="","",INDEX(Processos!$D$5:$D$304,MATCH(LARGE(Processos!$N$5:$N$304,4),Processos!$N$5:$N$304,0))),""),"")</f>
        <v/>
      </c>
      <c r="E41" s="25">
        <f>IFERROR(IF(LARGE(Processos!$N$5:$N$304,4)&gt;0,IF(INDEX(Processos!$E$5:$E$304,MATCH(LARGE(Processos!$N$5:$N$304,4),Processos!$N$5:$N$304,0))="","",INDEX(Processos!$E$5:$E$304,MATCH(LARGE(Processos!$N$5:$N$304,4),Processos!$N$5:$N$304,0))),""),"")</f>
        <v/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/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/>
      </c>
      <c r="H41" s="24">
        <f>IFERROR(IF(LARGE(Processos!$N$5:$N$304,4)&gt;0,IF(INDEX(Processos!$F$5:$F$304,MATCH(LARGE(Processos!$N$5:$N$304,4),Processos!$N$5:$N$304,0))="","",INDEX(Processos!$F$5:$F$304,MATCH(LARGE(Processos!$N$5:$N$304,4),Processos!$N$5:$N$304,0))),""),"")</f>
        <v/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A2:L2"/>
    <mergeCell ref="E4:F4"/>
    <mergeCell ref="I4:J4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>
        <f>TODAY()</f>
        <v/>
      </c>
      <c r="C5" s="27" t="inlineStr">
        <is>
          <t>Deixe =HOJE() para acompanhar o dia; troque por uma data para simular outro dia.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>
      <c r="A1" s="5" t="inlineStr">
        <is>
          <t>Processos</t>
        </is>
      </c>
    </row>
    <row r="2">
      <c r="A2" s="6" t="inlineStr">
        <is>
          <t>Uma linha por caso.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9236009-85.2026.8.26.0452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Inicial</t>
        </is>
      </c>
      <c r="E5" s="32" t="inlineStr">
        <is>
          <t>Marina Ferraz</t>
        </is>
      </c>
      <c r="F5" s="30" t="inlineStr">
        <is>
          <t>Protocolar: cumprimento de sentença</t>
        </is>
      </c>
      <c r="G5" s="33">
        <f>TODAY()+60</f>
        <v/>
      </c>
      <c r="H5" s="33">
        <f>TODAY()-48</f>
        <v/>
      </c>
      <c r="I5" s="30" t="inlineStr">
        <is>
          <t>Sem movimentação; verificar andamento</t>
        </is>
      </c>
      <c r="J5" s="28">
        <f>IF(OR(K5="",K5="Encerrado",K5="Sem próxima ação"),"",G5-Config!$B$5)</f>
        <v/>
      </c>
      <c r="K5" s="25">
        <f>IF(A5="","",IF(D5="Encerrado","Encerrado",IF(G5="","Sem próxima ação",IF(G5&lt;Config!$B$5,"Atrasado",IF(G5=Config!$B$5,"Hoje",IF(G5-Config!$B$5&lt;=7,"Esta semana","Em dia"))))))</f>
        <v/>
      </c>
      <c r="L5" s="28">
        <f>IF(OR(A5="",D5="Encerrado",H5=""),"",Config!$B$5-H5)</f>
        <v/>
      </c>
      <c r="M5" s="25">
        <f>IF(L5="","",IF(L5&gt;Config!$B$6,"Sim",""))</f>
        <v/>
      </c>
      <c r="N5" s="34">
        <f>IF(M5="Sim",L5-ROW()/100000,0)</f>
        <v/>
      </c>
    </row>
    <row r="6">
      <c r="A6" s="30" t="inlineStr">
        <is>
          <t>9225646-96.2026.8.26.0322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Sentença</t>
        </is>
      </c>
      <c r="E6" s="32" t="inlineStr">
        <is>
          <t>Rafael Lima</t>
        </is>
      </c>
      <c r="F6" s="30" t="inlineStr">
        <is>
          <t>Protocolar: contrarrazões</t>
        </is>
      </c>
      <c r="G6" s="33">
        <f>TODAY()-3</f>
        <v/>
      </c>
      <c r="H6" s="33">
        <f>TODAY()-5</f>
        <v/>
      </c>
      <c r="I6" s="30" t="n"/>
      <c r="J6" s="28">
        <f>IF(OR(K6="",K6="Encerrado",K6="Sem próxima ação"),"",G6-Config!$B$5)</f>
        <v/>
      </c>
      <c r="K6" s="25">
        <f>IF(A6="","",IF(D6="Encerrado","Encerrado",IF(G6="","Sem próxima ação",IF(G6&lt;Config!$B$5,"Atrasado",IF(G6=Config!$B$5,"Hoje",IF(G6-Config!$B$5&lt;=7,"Esta semana","Em dia"))))))</f>
        <v/>
      </c>
      <c r="L6" s="28">
        <f>IF(OR(A6="",D6="Encerrado",H6=""),"",Config!$B$5-H6)</f>
        <v/>
      </c>
      <c r="M6" s="25">
        <f>IF(L6="","",IF(L6&gt;Config!$B$6,"Sim",""))</f>
        <v/>
      </c>
      <c r="N6" s="34">
        <f>IF(M6="Sim",L6-ROW()/100000,0)</f>
        <v/>
      </c>
    </row>
    <row r="7">
      <c r="A7" s="30" t="inlineStr">
        <is>
          <t>6710873-21.2025.8.26.0571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Sentença</t>
        </is>
      </c>
      <c r="E7" s="32" t="inlineStr">
        <is>
          <t>Marina Ferraz</t>
        </is>
      </c>
      <c r="F7" s="30" t="inlineStr">
        <is>
          <t>Reunião com o cliente</t>
        </is>
      </c>
      <c r="G7" s="33">
        <f>TODAY()</f>
        <v/>
      </c>
      <c r="H7" s="33">
        <f>TODAY()-13</f>
        <v/>
      </c>
      <c r="I7" s="30" t="n"/>
      <c r="J7" s="28">
        <f>IF(OR(K7="",K7="Encerrado",K7="Sem próxima ação"),"",G7-Config!$B$5)</f>
        <v/>
      </c>
      <c r="K7" s="25">
        <f>IF(A7="","",IF(D7="Encerrado","Encerrado",IF(G7="","Sem próxima ação",IF(G7&lt;Config!$B$5,"Atrasado",IF(G7=Config!$B$5,"Hoje",IF(G7-Config!$B$5&lt;=7,"Esta semana","Em dia"))))))</f>
        <v/>
      </c>
      <c r="L7" s="28">
        <f>IF(OR(A7="",D7="Encerrado",H7=""),"",Config!$B$5-H7)</f>
        <v/>
      </c>
      <c r="M7" s="25">
        <f>IF(L7="","",IF(L7&gt;Config!$B$6,"Sim",""))</f>
        <v/>
      </c>
      <c r="N7" s="34">
        <f>IF(M7="Sim",L7-ROW()/100000,0)</f>
        <v/>
      </c>
    </row>
    <row r="8">
      <c r="A8" s="30" t="inlineStr">
        <is>
          <t>8735513-64.2025.8.26.0093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Recurso</t>
        </is>
      </c>
      <c r="E8" s="32" t="inlineStr">
        <is>
          <t>Rafael Lima</t>
        </is>
      </c>
      <c r="F8" s="30" t="inlineStr">
        <is>
          <t>Protocolar: alegações finais</t>
        </is>
      </c>
      <c r="G8" s="33">
        <f>TODAY()+15</f>
        <v/>
      </c>
      <c r="H8" s="33">
        <f>TODAY()-21</f>
        <v/>
      </c>
      <c r="I8" s="30" t="n"/>
      <c r="J8" s="28">
        <f>IF(OR(K8="",K8="Encerrado",K8="Sem próxima ação"),"",G8-Config!$B$5)</f>
        <v/>
      </c>
      <c r="K8" s="25">
        <f>IF(A8="","",IF(D8="Encerrado","Encerrado",IF(G8="","Sem próxima ação",IF(G8&lt;Config!$B$5,"Atrasado",IF(G8=Config!$B$5,"Hoje",IF(G8-Config!$B$5&lt;=7,"Esta semana","Em dia"))))))</f>
        <v/>
      </c>
      <c r="L8" s="28">
        <f>IF(OR(A8="",D8="Encerrado",H8=""),"",Config!$B$5-H8)</f>
        <v/>
      </c>
      <c r="M8" s="25">
        <f>IF(L8="","",IF(L8&gt;Config!$B$6,"Sim",""))</f>
        <v/>
      </c>
      <c r="N8" s="34">
        <f>IF(M8="Sim",L8-ROW()/100000,0)</f>
        <v/>
      </c>
    </row>
    <row r="9">
      <c r="A9" s="30" t="inlineStr">
        <is>
          <t>9802211-43.2025.8.26.0431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Acordo</t>
        </is>
      </c>
      <c r="E9" s="32" t="inlineStr">
        <is>
          <t>Marina Ferraz</t>
        </is>
      </c>
      <c r="F9" s="30" t="inlineStr">
        <is>
          <t>Protocolar: cumprimento de sentença</t>
        </is>
      </c>
      <c r="G9" s="33">
        <f>TODAY()+35</f>
        <v/>
      </c>
      <c r="H9" s="33">
        <f>TODAY()-41</f>
        <v/>
      </c>
      <c r="I9" s="30" t="inlineStr">
        <is>
          <t>Sem movimentação; verificar andamento</t>
        </is>
      </c>
      <c r="J9" s="28">
        <f>IF(OR(K9="",K9="Encerrado",K9="Sem próxima ação"),"",G9-Config!$B$5)</f>
        <v/>
      </c>
      <c r="K9" s="25">
        <f>IF(A9="","",IF(D9="Encerrado","Encerrado",IF(G9="","Sem próxima ação",IF(G9&lt;Config!$B$5,"Atrasado",IF(G9=Config!$B$5,"Hoje",IF(G9-Config!$B$5&lt;=7,"Esta semana","Em dia"))))))</f>
        <v/>
      </c>
      <c r="L9" s="28">
        <f>IF(OR(A9="",D9="Encerrado",H9=""),"",Config!$B$5-H9)</f>
        <v/>
      </c>
      <c r="M9" s="25">
        <f>IF(L9="","",IF(L9&gt;Config!$B$6,"Sim",""))</f>
        <v/>
      </c>
      <c r="N9" s="34">
        <f>IF(M9="Sim",L9-ROW()/100000,0)</f>
        <v/>
      </c>
    </row>
    <row r="10">
      <c r="A10" s="30" t="inlineStr">
        <is>
          <t>9778116-95.2026.8.26.0106</t>
        </is>
      </c>
      <c r="B10" s="30" t="inlineStr">
        <is>
          <t>Fernanda Castro</t>
        </is>
      </c>
      <c r="C10" s="32" t="inlineStr">
        <is>
          <t>Família</t>
        </is>
      </c>
      <c r="D10" s="32" t="inlineStr">
        <is>
          <t>Encerrado</t>
        </is>
      </c>
      <c r="E10" s="32" t="inlineStr">
        <is>
          <t>Marina Ferraz</t>
        </is>
      </c>
      <c r="F10" s="30" t="n"/>
      <c r="G10" s="33" t="n"/>
      <c r="H10" s="33" t="n">
        <v>46205</v>
      </c>
      <c r="I10" s="30" t="inlineStr">
        <is>
          <t>Encerrado; conferir checklist de encerramento</t>
        </is>
      </c>
      <c r="J10" s="28">
        <f>IF(OR(K10="",K10="Encerrado",K10="Sem próxima ação"),"",G10-Config!$B$5)</f>
        <v/>
      </c>
      <c r="K10" s="25">
        <f>IF(A10="","",IF(D10="Encerrado","Encerrado",IF(G10="","Sem próxima ação",IF(G10&lt;Config!$B$5,"Atrasado",IF(G10=Config!$B$5,"Hoje",IF(G10-Config!$B$5&lt;=7,"Esta semana","Em dia"))))))</f>
        <v/>
      </c>
      <c r="L10" s="28">
        <f>IF(OR(A10="",D10="Encerrado",H10=""),"",Config!$B$5-H10)</f>
        <v/>
      </c>
      <c r="M10" s="25">
        <f>IF(L10="","",IF(L10&gt;Config!$B$6,"Sim",""))</f>
        <v/>
      </c>
      <c r="N10" s="34">
        <f>IF(M10="Sim",L10-ROW()/100000,0)</f>
        <v/>
      </c>
    </row>
    <row r="11">
      <c r="A11" s="30" t="inlineStr">
        <is>
          <t>8875326-79.2026.8.26.0258</t>
        </is>
      </c>
      <c r="B11" s="30" t="inlineStr">
        <is>
          <t>Bistrô 42</t>
        </is>
      </c>
      <c r="C11" s="32" t="inlineStr">
        <is>
          <t>Trabalhista</t>
        </is>
      </c>
      <c r="D11" s="32" t="inlineStr">
        <is>
          <t>Acordo</t>
        </is>
      </c>
      <c r="E11" s="32" t="inlineStr">
        <is>
          <t>Rafael Lima</t>
        </is>
      </c>
      <c r="F11" s="30" t="inlineStr">
        <is>
          <t>Protocolar: contrarrazões</t>
        </is>
      </c>
      <c r="G11" s="33">
        <f>TODAY()+27</f>
        <v/>
      </c>
      <c r="H11" s="33">
        <f>TODAY()-36</f>
        <v/>
      </c>
      <c r="I11" s="30" t="inlineStr">
        <is>
          <t>Sem movimentação; verificar andamento</t>
        </is>
      </c>
      <c r="J11" s="28">
        <f>IF(OR(K11="",K11="Encerrado",K11="Sem próxima ação"),"",G11-Config!$B$5)</f>
        <v/>
      </c>
      <c r="K11" s="25">
        <f>IF(A11="","",IF(D11="Encerrado","Encerrado",IF(G11="","Sem próxima ação",IF(G11&lt;Config!$B$5,"Atrasado",IF(G11=Config!$B$5,"Hoje",IF(G11-Config!$B$5&lt;=7,"Esta semana","Em dia"))))))</f>
        <v/>
      </c>
      <c r="L11" s="28">
        <f>IF(OR(A11="",D11="Encerrado",H11=""),"",Config!$B$5-H11)</f>
        <v/>
      </c>
      <c r="M11" s="25">
        <f>IF(L11="","",IF(L11&gt;Config!$B$6,"Sim",""))</f>
        <v/>
      </c>
      <c r="N11" s="34">
        <f>IF(M11="Sim",L11-ROW()/100000,0)</f>
        <v/>
      </c>
    </row>
    <row r="12">
      <c r="A12" s="30" t="inlineStr">
        <is>
          <t>4397912-47.2025.8.26.0276</t>
        </is>
      </c>
      <c r="B12" s="30" t="inlineStr">
        <is>
          <t>Roberto Almeida</t>
        </is>
      </c>
      <c r="C12" s="32" t="inlineStr">
        <is>
          <t>Cível</t>
        </is>
      </c>
      <c r="D12" s="32" t="inlineStr">
        <is>
          <t>Acordo</t>
        </is>
      </c>
      <c r="E12" s="32" t="inlineStr">
        <is>
          <t>Marina Ferraz</t>
        </is>
      </c>
      <c r="F12" s="30" t="inlineStr">
        <is>
          <t>Protocolar: cumprimento de sentença</t>
        </is>
      </c>
      <c r="G12" s="33">
        <f>TODAY()+18</f>
        <v/>
      </c>
      <c r="H12" s="33">
        <f>TODAY()-4</f>
        <v/>
      </c>
      <c r="I12" s="30" t="n"/>
      <c r="J12" s="28">
        <f>IF(OR(K12="",K12="Encerrado",K12="Sem próxima ação"),"",G12-Config!$B$5)</f>
        <v/>
      </c>
      <c r="K12" s="25">
        <f>IF(A12="","",IF(D12="Encerrado","Encerrado",IF(G12="","Sem próxima ação",IF(G12&lt;Config!$B$5,"Atrasado",IF(G12=Config!$B$5,"Hoje",IF(G12-Config!$B$5&lt;=7,"Esta semana","Em dia"))))))</f>
        <v/>
      </c>
      <c r="L12" s="28">
        <f>IF(OR(A12="",D12="Encerrado",H12=""),"",Config!$B$5-H12)</f>
        <v/>
      </c>
      <c r="M12" s="25">
        <f>IF(L12="","",IF(L12&gt;Config!$B$6,"Sim",""))</f>
        <v/>
      </c>
      <c r="N12" s="34">
        <f>IF(M12="Sim",L12-ROW()/100000,0)</f>
        <v/>
      </c>
    </row>
    <row r="13">
      <c r="A13" s="30" t="inlineStr">
        <is>
          <t>4352718-43.2025.8.26.0498</t>
        </is>
      </c>
      <c r="B13" s="30" t="inlineStr">
        <is>
          <t>Clínica Bem-Estar</t>
        </is>
      </c>
      <c r="C13" s="32" t="inlineStr">
        <is>
          <t>Empresarial</t>
        </is>
      </c>
      <c r="D13" s="32" t="inlineStr">
        <is>
          <t>Consultivo</t>
        </is>
      </c>
      <c r="E13" s="32" t="inlineStr">
        <is>
          <t>Marina Ferraz</t>
        </is>
      </c>
      <c r="F13" s="30" t="inlineStr">
        <is>
          <t>Enviar proposta de honorários</t>
        </is>
      </c>
      <c r="G13" s="33">
        <f>TODAY()+6</f>
        <v/>
      </c>
      <c r="H13" s="33">
        <f>TODAY()-52</f>
        <v/>
      </c>
      <c r="I13" s="30" t="n"/>
      <c r="J13" s="28">
        <f>IF(OR(K13="",K13="Encerrado",K13="Sem próxima ação"),"",G13-Config!$B$5)</f>
        <v/>
      </c>
      <c r="K13" s="25">
        <f>IF(A13="","",IF(D13="Encerrado","Encerrado",IF(G13="","Sem próxima ação",IF(G13&lt;Config!$B$5,"Atrasado",IF(G13=Config!$B$5,"Hoje",IF(G13-Config!$B$5&lt;=7,"Esta semana","Em dia"))))))</f>
        <v/>
      </c>
      <c r="L13" s="28">
        <f>IF(OR(A13="",D13="Encerrado",H13=""),"",Config!$B$5-H13)</f>
        <v/>
      </c>
      <c r="M13" s="25">
        <f>IF(L13="","",IF(L13&gt;Config!$B$6,"Sim",""))</f>
        <v/>
      </c>
      <c r="N13" s="34">
        <f>IF(M13="Sim",L13-ROW()/100000,0)</f>
        <v/>
      </c>
    </row>
    <row r="14">
      <c r="A14" s="30" t="inlineStr">
        <is>
          <t>2650441-66.2026.8.26.0528</t>
        </is>
      </c>
      <c r="B14" s="30" t="inlineStr">
        <is>
          <t>Marcos Vinícius Teles</t>
        </is>
      </c>
      <c r="C14" s="32" t="inlineStr">
        <is>
          <t>Previdenciário</t>
        </is>
      </c>
      <c r="D14" s="32" t="inlineStr">
        <is>
          <t>Encerrado</t>
        </is>
      </c>
      <c r="E14" s="32" t="inlineStr">
        <is>
          <t>Rafael Lima</t>
        </is>
      </c>
      <c r="F14" s="30" t="n"/>
      <c r="G14" s="33" t="n"/>
      <c r="H14" s="33" t="n">
        <v>46274</v>
      </c>
      <c r="I14" s="30" t="inlineStr">
        <is>
          <t>Encerrado; conferir checklist de encerramento</t>
        </is>
      </c>
      <c r="J14" s="28">
        <f>IF(OR(K14="",K14="Encerrado",K14="Sem próxima ação"),"",G14-Config!$B$5)</f>
        <v/>
      </c>
      <c r="K14" s="25">
        <f>IF(A14="","",IF(D14="Encerrado","Encerrado",IF(G14="","Sem próxima ação",IF(G14&lt;Config!$B$5,"Atrasado",IF(G14=Config!$B$5,"Hoje",IF(G14-Config!$B$5&lt;=7,"Esta semana","Em dia"))))))</f>
        <v/>
      </c>
      <c r="L14" s="28">
        <f>IF(OR(A14="",D14="Encerrado",H14=""),"",Config!$B$5-H14)</f>
        <v/>
      </c>
      <c r="M14" s="25">
        <f>IF(L14="","",IF(L14&gt;Config!$B$6,"Sim",""))</f>
        <v/>
      </c>
      <c r="N14" s="34">
        <f>IF(M14="Sim",L14-ROW()/100000,0)</f>
        <v/>
      </c>
    </row>
    <row r="15">
      <c r="A15" s="30" t="inlineStr">
        <is>
          <t>5470559-73.2026.8.26.0380</t>
        </is>
      </c>
      <c r="B15" s="30" t="inlineStr">
        <is>
          <t>Transportadora Rota Sul</t>
        </is>
      </c>
      <c r="C15" s="32" t="inlineStr">
        <is>
          <t>Trabalhista</t>
        </is>
      </c>
      <c r="D15" s="32" t="inlineStr">
        <is>
          <t>Recurso</t>
        </is>
      </c>
      <c r="E15" s="32" t="inlineStr">
        <is>
          <t>Rafael Lima</t>
        </is>
      </c>
      <c r="F15" s="30" t="inlineStr">
        <is>
          <t>Protocolar: contrarrazões</t>
        </is>
      </c>
      <c r="G15" s="33">
        <f>TODAY()</f>
        <v/>
      </c>
      <c r="H15" s="33">
        <f>TODAY()-17</f>
        <v/>
      </c>
      <c r="I15" s="30" t="n"/>
      <c r="J15" s="28">
        <f>IF(OR(K15="",K15="Encerrado",K15="Sem próxima ação"),"",G15-Config!$B$5)</f>
        <v/>
      </c>
      <c r="K15" s="25">
        <f>IF(A15="","",IF(D15="Encerrado","Encerrado",IF(G15="","Sem próxima ação",IF(G15&lt;Config!$B$5,"Atrasado",IF(G15=Config!$B$5,"Hoje",IF(G15-Config!$B$5&lt;=7,"Esta semana","Em dia"))))))</f>
        <v/>
      </c>
      <c r="L15" s="28">
        <f>IF(OR(A15="",D15="Encerrado",H15=""),"",Config!$B$5-H15)</f>
        <v/>
      </c>
      <c r="M15" s="25">
        <f>IF(L15="","",IF(L15&gt;Config!$B$6,"Sim",""))</f>
        <v/>
      </c>
      <c r="N15" s="34">
        <f>IF(M15="Sim",L15-ROW()/100000,0)</f>
        <v/>
      </c>
    </row>
    <row r="16">
      <c r="A16" s="30" t="inlineStr">
        <is>
          <t>8570388-84.2025.8.26.0560</t>
        </is>
      </c>
      <c r="B16" s="30" t="inlineStr">
        <is>
          <t>Patrícia Gomes</t>
        </is>
      </c>
      <c r="C16" s="32" t="inlineStr">
        <is>
          <t>Família</t>
        </is>
      </c>
      <c r="D16" s="32" t="inlineStr">
        <is>
          <t>Inicial</t>
        </is>
      </c>
      <c r="E16" s="32" t="inlineStr">
        <is>
          <t>Marina Ferraz</t>
        </is>
      </c>
      <c r="F16" s="30" t="inlineStr">
        <is>
          <t>Protocolar: contestação</t>
        </is>
      </c>
      <c r="G16" s="33">
        <f>TODAY()</f>
        <v/>
      </c>
      <c r="H16" s="33">
        <f>TODAY()-7</f>
        <v/>
      </c>
      <c r="I16" s="30" t="n"/>
      <c r="J16" s="28">
        <f>IF(OR(K16="",K16="Encerrado",K16="Sem próxima ação"),"",G16-Config!$B$5)</f>
        <v/>
      </c>
      <c r="K16" s="25">
        <f>IF(A16="","",IF(D16="Encerrado","Encerrado",IF(G16="","Sem próxima ação",IF(G16&lt;Config!$B$5,"Atrasado",IF(G16=Config!$B$5,"Hoje",IF(G16-Config!$B$5&lt;=7,"Esta semana","Em dia"))))))</f>
        <v/>
      </c>
      <c r="L16" s="28">
        <f>IF(OR(A16="",D16="Encerrado",H16=""),"",Config!$B$5-H16)</f>
        <v/>
      </c>
      <c r="M16" s="25">
        <f>IF(L16="","",IF(L16&gt;Config!$B$6,"Sim",""))</f>
        <v/>
      </c>
      <c r="N16" s="34">
        <f>IF(M16="Sim",L16-ROW()/100000,0)</f>
        <v/>
      </c>
    </row>
    <row r="17">
      <c r="A17" s="30" t="inlineStr">
        <is>
          <t>6258696-95.2026.8.26.0598</t>
        </is>
      </c>
      <c r="B17" s="30" t="inlineStr">
        <is>
          <t>Escola Aurora</t>
        </is>
      </c>
      <c r="C17" s="32" t="inlineStr">
        <is>
          <t>Cível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>
        <f>TODAY()+2</f>
        <v/>
      </c>
      <c r="H17" s="33">
        <f>TODAY()-2</f>
        <v/>
      </c>
      <c r="I17" s="30" t="n"/>
      <c r="J17" s="28">
        <f>IF(OR(K17="",K17="Encerrado",K17="Sem próxima ação"),"",G17-Config!$B$5)</f>
        <v/>
      </c>
      <c r="K17" s="25">
        <f>IF(A17="","",IF(D17="Encerrado","Encerrado",IF(G17="","Sem próxima ação",IF(G17&lt;Config!$B$5,"Atrasado",IF(G17=Config!$B$5,"Hoje",IF(G17-Config!$B$5&lt;=7,"Esta semana","Em dia"))))))</f>
        <v/>
      </c>
      <c r="L17" s="28">
        <f>IF(OR(A17="",D17="Encerrado",H17=""),"",Config!$B$5-H17)</f>
        <v/>
      </c>
      <c r="M17" s="25">
        <f>IF(L17="","",IF(L17&gt;Config!$B$6,"Sim",""))</f>
        <v/>
      </c>
      <c r="N17" s="34">
        <f>IF(M17="Sim",L17-ROW()/100000,0)</f>
        <v/>
      </c>
    </row>
    <row r="18">
      <c r="A18" s="30" t="inlineStr">
        <is>
          <t>9467819-47.2025.8.26.0087</t>
        </is>
      </c>
      <c r="B18" s="30" t="inlineStr">
        <is>
          <t>José Antônio Ribeiro</t>
        </is>
      </c>
      <c r="C18" s="32" t="inlineStr">
        <is>
          <t>Previdenciário</t>
        </is>
      </c>
      <c r="D18" s="32" t="inlineStr">
        <is>
          <t>Encerrado</t>
        </is>
      </c>
      <c r="E18" s="32" t="inlineStr">
        <is>
          <t>Rafael Lima</t>
        </is>
      </c>
      <c r="F18" s="30" t="n"/>
      <c r="G18" s="33" t="n"/>
      <c r="H18" s="33" t="n">
        <v>45857</v>
      </c>
      <c r="I18" s="30" t="inlineStr">
        <is>
          <t>Encerrado; conferir checklist de encerramento</t>
        </is>
      </c>
      <c r="J18" s="28">
        <f>IF(OR(K18="",K18="Encerrado",K18="Sem próxima ação"),"",G18-Config!$B$5)</f>
        <v/>
      </c>
      <c r="K18" s="25">
        <f>IF(A18="","",IF(D18="Encerrado","Encerrado",IF(G18="","Sem próxima ação",IF(G18&lt;Config!$B$5,"Atrasado",IF(G18=Config!$B$5,"Hoje",IF(G18-Config!$B$5&lt;=7,"Esta semana","Em dia"))))))</f>
        <v/>
      </c>
      <c r="L18" s="28">
        <f>IF(OR(A18="",D18="Encerrado",H18=""),"",Config!$B$5-H18)</f>
        <v/>
      </c>
      <c r="M18" s="25">
        <f>IF(L18="","",IF(L18&gt;Config!$B$6,"Sim",""))</f>
        <v/>
      </c>
      <c r="N18" s="34">
        <f>IF(M18="Sim",L18-ROW()/100000,0)</f>
        <v/>
      </c>
    </row>
    <row r="19">
      <c r="A19" s="30" t="inlineStr">
        <is>
          <t>4300029-58.2025.8.26.0015</t>
        </is>
      </c>
      <c r="B19" s="30" t="inlineStr">
        <is>
          <t>Oficina Mecânica Central</t>
        </is>
      </c>
      <c r="C19" s="32" t="inlineStr">
        <is>
          <t>Trabalhista</t>
        </is>
      </c>
      <c r="D19" s="32" t="inlineStr">
        <is>
          <t>Acordo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>
        <f>TODAY()+2</f>
        <v/>
      </c>
      <c r="H19" s="33">
        <f>TODAY()-14</f>
        <v/>
      </c>
      <c r="I19" s="30" t="n"/>
      <c r="J19" s="28">
        <f>IF(OR(K19="",K19="Encerrado",K19="Sem próxima ação"),"",G19-Config!$B$5)</f>
        <v/>
      </c>
      <c r="K19" s="25">
        <f>IF(A19="","",IF(D19="Encerrado","Encerrado",IF(G19="","Sem próxima ação",IF(G19&lt;Config!$B$5,"Atrasado",IF(G19=Config!$B$5,"Hoje",IF(G19-Config!$B$5&lt;=7,"Esta semana","Em dia"))))))</f>
        <v/>
      </c>
      <c r="L19" s="28">
        <f>IF(OR(A19="",D19="Encerrado",H19=""),"",Config!$B$5-H19)</f>
        <v/>
      </c>
      <c r="M19" s="25">
        <f>IF(L19="","",IF(L19&gt;Config!$B$6,"Sim",""))</f>
        <v/>
      </c>
      <c r="N19" s="34">
        <f>IF(M19="Sim",L19-ROW()/100000,0)</f>
        <v/>
      </c>
    </row>
    <row r="20">
      <c r="A20" s="30" t="inlineStr">
        <is>
          <t>8986364-51.2026.8.26.0700</t>
        </is>
      </c>
      <c r="B20" s="30" t="inlineStr">
        <is>
          <t>Luciana Farias</t>
        </is>
      </c>
      <c r="C20" s="32" t="inlineStr">
        <is>
          <t>Cível</t>
        </is>
      </c>
      <c r="D20" s="32" t="inlineStr">
        <is>
          <t>Inicial</t>
        </is>
      </c>
      <c r="E20" s="32" t="inlineStr">
        <is>
          <t>Marina Ferraz</t>
        </is>
      </c>
      <c r="F20" s="30" t="inlineStr">
        <is>
          <t>Audiência de conciliação (confirmar presença do cliente)</t>
        </is>
      </c>
      <c r="G20" s="33">
        <f>TODAY()-3</f>
        <v/>
      </c>
      <c r="H20" s="33">
        <f>TODAY()-14</f>
        <v/>
      </c>
      <c r="I20" s="30" t="n"/>
      <c r="J20" s="28">
        <f>IF(OR(K20="",K20="Encerrado",K20="Sem próxima ação"),"",G20-Config!$B$5)</f>
        <v/>
      </c>
      <c r="K20" s="25">
        <f>IF(A20="","",IF(D20="Encerrado","Encerrado",IF(G20="","Sem próxima ação",IF(G20&lt;Config!$B$5,"Atrasado",IF(G20=Config!$B$5,"Hoje",IF(G20-Config!$B$5&lt;=7,"Esta semana","Em dia"))))))</f>
        <v/>
      </c>
      <c r="L20" s="28">
        <f>IF(OR(A20="",D20="Encerrado",H20=""),"",Config!$B$5-H20)</f>
        <v/>
      </c>
      <c r="M20" s="25">
        <f>IF(L20="","",IF(L20&gt;Config!$B$6,"Sim",""))</f>
        <v/>
      </c>
      <c r="N20" s="34">
        <f>IF(M20="Sim",L20-ROW()/100000,0)</f>
        <v/>
      </c>
    </row>
    <row r="21">
      <c r="A21" s="30" t="inlineStr">
        <is>
          <t>9717671-36.2026.8.26.0445</t>
        </is>
      </c>
      <c r="B21" s="30" t="inlineStr">
        <is>
          <t>Agência Prisma</t>
        </is>
      </c>
      <c r="C21" s="32" t="inlineStr">
        <is>
          <t>Empresarial</t>
        </is>
      </c>
      <c r="D21" s="32" t="inlineStr">
        <is>
          <t>Recurso</t>
        </is>
      </c>
      <c r="E21" s="32" t="inlineStr">
        <is>
          <t>Marina Ferraz</t>
        </is>
      </c>
      <c r="F21" s="30" t="inlineStr">
        <is>
          <t>Audiência de instrução (avisar testemunhas)</t>
        </is>
      </c>
      <c r="G21" s="33">
        <f>TODAY()+3</f>
        <v/>
      </c>
      <c r="H21" s="33">
        <f>TODAY()-3</f>
        <v/>
      </c>
      <c r="I21" s="30" t="n"/>
      <c r="J21" s="28">
        <f>IF(OR(K21="",K21="Encerrado",K21="Sem próxima ação"),"",G21-Config!$B$5)</f>
        <v/>
      </c>
      <c r="K21" s="25">
        <f>IF(A21="","",IF(D21="Encerrado","Encerrado",IF(G21="","Sem próxima ação",IF(G21&lt;Config!$B$5,"Atrasado",IF(G21=Config!$B$5,"Hoje",IF(G21-Config!$B$5&lt;=7,"Esta semana","Em dia"))))))</f>
        <v/>
      </c>
      <c r="L21" s="28">
        <f>IF(OR(A21="",D21="Encerrado",H21=""),"",Config!$B$5-H21)</f>
        <v/>
      </c>
      <c r="M21" s="25">
        <f>IF(L21="","",IF(L21&gt;Config!$B$6,"Sim",""))</f>
        <v/>
      </c>
      <c r="N21" s="34">
        <f>IF(M21="Sim",L21-ROW()/100000,0)</f>
        <v/>
      </c>
    </row>
    <row r="22">
      <c r="A22" s="30" t="inlineStr">
        <is>
          <t>1808451-67.2026.8.26.0657</t>
        </is>
      </c>
      <c r="B22" s="30" t="inlineStr">
        <is>
          <t>Helena Duarte</t>
        </is>
      </c>
      <c r="C22" s="32" t="inlineStr">
        <is>
          <t>Trabalhista</t>
        </is>
      </c>
      <c r="D22" s="32" t="inlineStr">
        <is>
          <t>Execução</t>
        </is>
      </c>
      <c r="E22" s="32" t="inlineStr">
        <is>
          <t>Rafael Lima</t>
        </is>
      </c>
      <c r="F22" s="30" t="inlineStr">
        <is>
          <t>Protocolar: contestação</t>
        </is>
      </c>
      <c r="G22" s="33">
        <f>TODAY()+3</f>
        <v/>
      </c>
      <c r="H22" s="33">
        <f>TODAY()-8</f>
        <v/>
      </c>
      <c r="I22" s="30" t="n"/>
      <c r="J22" s="28">
        <f>IF(OR(K22="",K22="Encerrado",K22="Sem próxima ação"),"",G22-Config!$B$5)</f>
        <v/>
      </c>
      <c r="K22" s="25">
        <f>IF(A22="","",IF(D22="Encerrado","Encerrado",IF(G22="","Sem próxima ação",IF(G22&lt;Config!$B$5,"Atrasado",IF(G22=Config!$B$5,"Hoje",IF(G22-Config!$B$5&lt;=7,"Esta semana","Em dia"))))))</f>
        <v/>
      </c>
      <c r="L22" s="28">
        <f>IF(OR(A22="",D22="Encerrado",H22=""),"",Config!$B$5-H22)</f>
        <v/>
      </c>
      <c r="M22" s="25">
        <f>IF(L22="","",IF(L22&gt;Config!$B$6,"Sim",""))</f>
        <v/>
      </c>
      <c r="N22" s="34">
        <f>IF(M22="Sim",L22-ROW()/100000,0)</f>
        <v/>
      </c>
    </row>
    <row r="23">
      <c r="A23" s="30" t="inlineStr">
        <is>
          <t>3310587-30.2026.8.26.0678</t>
        </is>
      </c>
      <c r="B23" s="30" t="inlineStr">
        <is>
          <t>Padaria do Sol Ltda</t>
        </is>
      </c>
      <c r="C23" s="32" t="inlineStr">
        <is>
          <t>Trabalhista</t>
        </is>
      </c>
      <c r="D23" s="32" t="inlineStr">
        <is>
          <t>Encerrado</t>
        </is>
      </c>
      <c r="E23" s="32" t="inlineStr">
        <is>
          <t>Rafael Lima</t>
        </is>
      </c>
      <c r="F23" s="30" t="n"/>
      <c r="G23" s="33" t="n"/>
      <c r="H23" s="33" t="n">
        <v>46119</v>
      </c>
      <c r="I23" s="30" t="inlineStr">
        <is>
          <t>Encerrado; conferir checklist de encerramento</t>
        </is>
      </c>
      <c r="J23" s="28">
        <f>IF(OR(K23="",K23="Encerrado",K23="Sem próxima ação"),"",G23-Config!$B$5)</f>
        <v/>
      </c>
      <c r="K23" s="25">
        <f>IF(A23="","",IF(D23="Encerrado","Encerrado",IF(G23="","Sem próxima ação",IF(G23&lt;Config!$B$5,"Atrasado",IF(G23=Config!$B$5,"Hoje",IF(G23-Config!$B$5&lt;=7,"Esta semana","Em dia"))))))</f>
        <v/>
      </c>
      <c r="L23" s="28">
        <f>IF(OR(A23="",D23="Encerrado",H23=""),"",Config!$B$5-H23)</f>
        <v/>
      </c>
      <c r="M23" s="25">
        <f>IF(L23="","",IF(L23&gt;Config!$B$6,"Sim",""))</f>
        <v/>
      </c>
      <c r="N23" s="34">
        <f>IF(M23="Sim",L23-ROW()/100000,0)</f>
        <v/>
      </c>
    </row>
    <row r="24">
      <c r="A24" s="30" t="inlineStr">
        <is>
          <t>3930894-43.2025.8.26.0476</t>
        </is>
      </c>
      <c r="B24" s="30" t="inlineStr">
        <is>
          <t>Ana Beatriz Moreira</t>
        </is>
      </c>
      <c r="C24" s="32" t="inlineStr">
        <is>
          <t>Trabalhista</t>
        </is>
      </c>
      <c r="D24" s="32" t="inlineStr">
        <is>
          <t>Acordo</t>
        </is>
      </c>
      <c r="E24" s="32" t="inlineStr">
        <is>
          <t>Rafael Lima</t>
        </is>
      </c>
      <c r="F24" s="30" t="inlineStr">
        <is>
          <t>Protocolar: alegações finais</t>
        </is>
      </c>
      <c r="G24" s="33">
        <f>TODAY()+3</f>
        <v/>
      </c>
      <c r="H24" s="33">
        <f>TODAY()-18</f>
        <v/>
      </c>
      <c r="I24" s="30" t="n"/>
      <c r="J24" s="28">
        <f>IF(OR(K24="",K24="Encerrado",K24="Sem próxima ação"),"",G24-Config!$B$5)</f>
        <v/>
      </c>
      <c r="K24" s="25">
        <f>IF(A24="","",IF(D24="Encerrado","Encerrado",IF(G24="","Sem próxima ação",IF(G24&lt;Config!$B$5,"Atrasado",IF(G24=Config!$B$5,"Hoje",IF(G24-Config!$B$5&lt;=7,"Esta semana","Em dia"))))))</f>
        <v/>
      </c>
      <c r="L24" s="28">
        <f>IF(OR(A24="",D24="Encerrado",H24=""),"",Config!$B$5-H24)</f>
        <v/>
      </c>
      <c r="M24" s="25">
        <f>IF(L24="","",IF(L24&gt;Config!$B$6,"Sim",""))</f>
        <v/>
      </c>
      <c r="N24" s="34">
        <f>IF(M24="Sim",L24-ROW()/100000,0)</f>
        <v/>
      </c>
    </row>
    <row r="25">
      <c r="A25" s="30" t="inlineStr">
        <is>
          <t>9802987-45.2025.8.26.0097</t>
        </is>
      </c>
      <c r="B25" s="30" t="inlineStr">
        <is>
          <t>Construtora Horizonte</t>
        </is>
      </c>
      <c r="C25" s="32" t="inlineStr">
        <is>
          <t>Empresarial</t>
        </is>
      </c>
      <c r="D25" s="32" t="inlineStr">
        <is>
          <t>Acordo</t>
        </is>
      </c>
      <c r="E25" s="32" t="inlineStr">
        <is>
          <t>Marina Ferraz</t>
        </is>
      </c>
      <c r="F25" s="30" t="inlineStr">
        <is>
          <t>Audiência de conciliação (confirmar presença do cliente)</t>
        </is>
      </c>
      <c r="G25" s="33">
        <f>TODAY()+1</f>
        <v/>
      </c>
      <c r="H25" s="33">
        <f>TODAY()-14</f>
        <v/>
      </c>
      <c r="I25" s="30" t="n"/>
      <c r="J25" s="28">
        <f>IF(OR(K25="",K25="Encerrado",K25="Sem próxima ação"),"",G25-Config!$B$5)</f>
        <v/>
      </c>
      <c r="K25" s="25">
        <f>IF(A25="","",IF(D25="Encerrado","Encerrado",IF(G25="","Sem próxima ação",IF(G25&lt;Config!$B$5,"Atrasado",IF(G25=Config!$B$5,"Hoje",IF(G25-Config!$B$5&lt;=7,"Esta semana","Em dia"))))))</f>
        <v/>
      </c>
      <c r="L25" s="28">
        <f>IF(OR(A25="",D25="Encerrado",H25=""),"",Config!$B$5-H25)</f>
        <v/>
      </c>
      <c r="M25" s="25">
        <f>IF(L25="","",IF(L25&gt;Config!$B$6,"Sim",""))</f>
        <v/>
      </c>
      <c r="N25" s="34">
        <f>IF(M25="Sim",L25-ROW()/100000,0)</f>
        <v/>
      </c>
    </row>
    <row r="26">
      <c r="A26" s="30" t="inlineStr">
        <is>
          <t>6904743-30.2025.8.26.0361</t>
        </is>
      </c>
      <c r="B26" s="30" t="inlineStr">
        <is>
          <t>Carlos Eduardo Nunes</t>
        </is>
      </c>
      <c r="C26" s="32" t="inlineStr">
        <is>
          <t>Trabalhista</t>
        </is>
      </c>
      <c r="D26" s="32" t="inlineStr">
        <is>
          <t>Sentença</t>
        </is>
      </c>
      <c r="E26" s="32" t="inlineStr">
        <is>
          <t>Rafael Lima</t>
        </is>
      </c>
      <c r="F26" s="30" t="inlineStr">
        <is>
          <t>Protocolar: contestação</t>
        </is>
      </c>
      <c r="G26" s="33">
        <f>TODAY()+3</f>
        <v/>
      </c>
      <c r="H26" s="33">
        <f>TODAY()-2</f>
        <v/>
      </c>
      <c r="I26" s="30" t="n"/>
      <c r="J26" s="28">
        <f>IF(OR(K26="",K26="Encerrado",K26="Sem próxima ação"),"",G26-Config!$B$5)</f>
        <v/>
      </c>
      <c r="K26" s="25">
        <f>IF(A26="","",IF(D26="Encerrado","Encerrado",IF(G26="","Sem próxima ação",IF(G26&lt;Config!$B$5,"Atrasado",IF(G26=Config!$B$5,"Hoje",IF(G26-Config!$B$5&lt;=7,"Esta semana","Em dia"))))))</f>
        <v/>
      </c>
      <c r="L26" s="28">
        <f>IF(OR(A26="",D26="Encerrado",H26=""),"",Config!$B$5-H26)</f>
        <v/>
      </c>
      <c r="M26" s="25">
        <f>IF(L26="","",IF(L26&gt;Config!$B$6,"Sim",""))</f>
        <v/>
      </c>
      <c r="N26" s="34">
        <f>IF(M26="Sim",L26-ROW()/100000,0)</f>
        <v/>
      </c>
    </row>
    <row r="27">
      <c r="A27" s="30" t="inlineStr">
        <is>
          <t>5497983-95.2025.8.26.0570</t>
        </is>
      </c>
      <c r="B27" s="30" t="inlineStr">
        <is>
          <t>Loja Verde Comércio</t>
        </is>
      </c>
      <c r="C27" s="32" t="inlineStr">
        <is>
          <t>Família</t>
        </is>
      </c>
      <c r="D27" s="32" t="inlineStr">
        <is>
          <t>Sentença</t>
        </is>
      </c>
      <c r="E27" s="32" t="inlineStr">
        <is>
          <t>Marina Ferraz</t>
        </is>
      </c>
      <c r="F27" s="30" t="inlineStr">
        <is>
          <t>Protocolar: embargos</t>
        </is>
      </c>
      <c r="G27" s="33">
        <f>TODAY()+10</f>
        <v/>
      </c>
      <c r="H27" s="33">
        <f>TODAY()-19</f>
        <v/>
      </c>
      <c r="I27" s="30" t="n"/>
      <c r="J27" s="28">
        <f>IF(OR(K27="",K27="Encerrado",K27="Sem próxima ação"),"",G27-Config!$B$5)</f>
        <v/>
      </c>
      <c r="K27" s="25">
        <f>IF(A27="","",IF(D27="Encerrado","Encerrado",IF(G27="","Sem próxima ação",IF(G27&lt;Config!$B$5,"Atrasado",IF(G27=Config!$B$5,"Hoje",IF(G27-Config!$B$5&lt;=7,"Esta semana","Em dia"))))))</f>
        <v/>
      </c>
      <c r="L27" s="28">
        <f>IF(OR(A27="",D27="Encerrado",H27=""),"",Config!$B$5-H27)</f>
        <v/>
      </c>
      <c r="M27" s="25">
        <f>IF(L27="","",IF(L27&gt;Config!$B$6,"Sim",""))</f>
        <v/>
      </c>
      <c r="N27" s="34">
        <f>IF(M27="Sim",L27-ROW()/100000,0)</f>
        <v/>
      </c>
    </row>
    <row r="28">
      <c r="A28" s="30" t="inlineStr">
        <is>
          <t>4112092-92.2025.8.26.0646</t>
        </is>
      </c>
      <c r="B28" s="30" t="inlineStr">
        <is>
          <t>Fernanda Castro</t>
        </is>
      </c>
      <c r="C28" s="32" t="inlineStr">
        <is>
          <t>Trabalhista</t>
        </is>
      </c>
      <c r="D28" s="32" t="inlineStr">
        <is>
          <t>Inicial</t>
        </is>
      </c>
      <c r="E28" s="32" t="inlineStr">
        <is>
          <t>Rafael Lima</t>
        </is>
      </c>
      <c r="F28" s="30" t="inlineStr">
        <is>
          <t>Protocolar: alegações finais</t>
        </is>
      </c>
      <c r="G28" s="33">
        <f>TODAY()-1</f>
        <v/>
      </c>
      <c r="H28" s="33">
        <f>TODAY()-4</f>
        <v/>
      </c>
      <c r="I28" s="30" t="inlineStr">
        <is>
          <t>Aguardando documentos do cliente</t>
        </is>
      </c>
      <c r="J28" s="28">
        <f>IF(OR(K28="",K28="Encerrado",K28="Sem próxima ação"),"",G28-Config!$B$5)</f>
        <v/>
      </c>
      <c r="K28" s="25">
        <f>IF(A28="","",IF(D28="Encerrado","Encerrado",IF(G28="","Sem próxima ação",IF(G28&lt;Config!$B$5,"Atrasado",IF(G28=Config!$B$5,"Hoje",IF(G28-Config!$B$5&lt;=7,"Esta semana","Em dia"))))))</f>
        <v/>
      </c>
      <c r="L28" s="28">
        <f>IF(OR(A28="",D28="Encerrado",H28=""),"",Config!$B$5-H28)</f>
        <v/>
      </c>
      <c r="M28" s="25">
        <f>IF(L28="","",IF(L28&gt;Config!$B$6,"Sim",""))</f>
        <v/>
      </c>
      <c r="N28" s="34">
        <f>IF(M28="Sim",L28-ROW()/100000,0)</f>
        <v/>
      </c>
    </row>
    <row r="29">
      <c r="A29" s="30" t="inlineStr">
        <is>
          <t>5297049-18.2026.8.26.0015</t>
        </is>
      </c>
      <c r="B29" s="30" t="inlineStr">
        <is>
          <t>Bistrô 42</t>
        </is>
      </c>
      <c r="C29" s="32" t="inlineStr">
        <is>
          <t>Cível</t>
        </is>
      </c>
      <c r="D29" s="32" t="inlineStr">
        <is>
          <t>Execução</t>
        </is>
      </c>
      <c r="E29" s="32" t="inlineStr">
        <is>
          <t>Marina Ferraz</t>
        </is>
      </c>
      <c r="F29" s="30" t="inlineStr">
        <is>
          <t>Protocolar: manifestação sobre laudo</t>
        </is>
      </c>
      <c r="G29" s="33">
        <f>TODAY()+3</f>
        <v/>
      </c>
      <c r="H29" s="33">
        <f>TODAY()-8</f>
        <v/>
      </c>
      <c r="I29" s="30" t="n"/>
      <c r="J29" s="28">
        <f>IF(OR(K29="",K29="Encerrado",K29="Sem próxima ação"),"",G29-Config!$B$5)</f>
        <v/>
      </c>
      <c r="K29" s="25">
        <f>IF(A29="","",IF(D29="Encerrado","Encerrado",IF(G29="","Sem próxima ação",IF(G29&lt;Config!$B$5,"Atrasado",IF(G29=Config!$B$5,"Hoje",IF(G29-Config!$B$5&lt;=7,"Esta semana","Em dia"))))))</f>
        <v/>
      </c>
      <c r="L29" s="28">
        <f>IF(OR(A29="",D29="Encerrado",H29=""),"",Config!$B$5-H29)</f>
        <v/>
      </c>
      <c r="M29" s="25">
        <f>IF(L29="","",IF(L29&gt;Config!$B$6,"Sim",""))</f>
        <v/>
      </c>
      <c r="N29" s="34">
        <f>IF(M29="Sim",L29-ROW()/100000,0)</f>
        <v/>
      </c>
    </row>
    <row r="30">
      <c r="A30" s="30" t="inlineStr">
        <is>
          <t>6877173-50.2026.8.26.0467</t>
        </is>
      </c>
      <c r="B30" s="30" t="inlineStr">
        <is>
          <t>Roberto Almeida</t>
        </is>
      </c>
      <c r="C30" s="32" t="inlineStr">
        <is>
          <t>Empresarial</t>
        </is>
      </c>
      <c r="D30" s="32" t="inlineStr">
        <is>
          <t>Recurso</t>
        </is>
      </c>
      <c r="E30" s="32" t="inlineStr">
        <is>
          <t>Marina Ferraz</t>
        </is>
      </c>
      <c r="F30" s="30" t="inlineStr">
        <is>
          <t>Protocolar: réplica</t>
        </is>
      </c>
      <c r="G30" s="33">
        <f>TODAY()+1</f>
        <v/>
      </c>
      <c r="H30" s="33">
        <f>TODAY()-21</f>
        <v/>
      </c>
      <c r="I30" s="30" t="n"/>
      <c r="J30" s="28">
        <f>IF(OR(K30="",K30="Encerrado",K30="Sem próxima ação"),"",G30-Config!$B$5)</f>
        <v/>
      </c>
      <c r="K30" s="25">
        <f>IF(A30="","",IF(D30="Encerrado","Encerrado",IF(G30="","Sem próxima ação",IF(G30&lt;Config!$B$5,"Atrasado",IF(G30=Config!$B$5,"Hoje",IF(G30-Config!$B$5&lt;=7,"Esta semana","Em dia"))))))</f>
        <v/>
      </c>
      <c r="L30" s="28">
        <f>IF(OR(A30="",D30="Encerrado",H30=""),"",Config!$B$5-H30)</f>
        <v/>
      </c>
      <c r="M30" s="25">
        <f>IF(L30="","",IF(L30&gt;Config!$B$6,"Sim",""))</f>
        <v/>
      </c>
      <c r="N30" s="34">
        <f>IF(M30="Sim",L30-ROW()/100000,0)</f>
        <v/>
      </c>
    </row>
    <row r="31">
      <c r="A31" s="30" t="inlineStr">
        <is>
          <t>3003874-97.2026.8.26.0384</t>
        </is>
      </c>
      <c r="B31" s="30" t="inlineStr">
        <is>
          <t>Clínica Bem-Estar</t>
        </is>
      </c>
      <c r="C31" s="32" t="inlineStr">
        <is>
          <t>Família</t>
        </is>
      </c>
      <c r="D31" s="32" t="inlineStr">
        <is>
          <t>Consultivo</t>
        </is>
      </c>
      <c r="E31" s="32" t="inlineStr">
        <is>
          <t>Marina Ferraz</t>
        </is>
      </c>
      <c r="F31" s="30" t="inlineStr">
        <is>
          <t>Reunião de alinhamento com o cliente</t>
        </is>
      </c>
      <c r="G31" s="33">
        <f>TODAY()+14</f>
        <v/>
      </c>
      <c r="H31" s="33">
        <f>TODAY()-21</f>
        <v/>
      </c>
      <c r="I31" s="30" t="n"/>
      <c r="J31" s="28">
        <f>IF(OR(K31="",K31="Encerrado",K31="Sem próxima ação"),"",G31-Config!$B$5)</f>
        <v/>
      </c>
      <c r="K31" s="25">
        <f>IF(A31="","",IF(D31="Encerrado","Encerrado",IF(G31="","Sem próxima ação",IF(G31&lt;Config!$B$5,"Atrasado",IF(G31=Config!$B$5,"Hoje",IF(G31-Config!$B$5&lt;=7,"Esta semana","Em dia"))))))</f>
        <v/>
      </c>
      <c r="L31" s="28">
        <f>IF(OR(A31="",D31="Encerrado",H31=""),"",Config!$B$5-H31)</f>
        <v/>
      </c>
      <c r="M31" s="25">
        <f>IF(L31="","",IF(L31&gt;Config!$B$6,"Sim",""))</f>
        <v/>
      </c>
      <c r="N31" s="34">
        <f>IF(M31="Sim",L31-ROW()/100000,0)</f>
        <v/>
      </c>
    </row>
    <row r="32">
      <c r="A32" s="30" t="inlineStr">
        <is>
          <t>6545676-47.2025.8.26.0126</t>
        </is>
      </c>
      <c r="B32" s="30" t="inlineStr">
        <is>
          <t>Marcos Vinícius Teles</t>
        </is>
      </c>
      <c r="C32" s="32" t="inlineStr">
        <is>
          <t>Família</t>
        </is>
      </c>
      <c r="D32" s="32" t="inlineStr">
        <is>
          <t>Recurso</t>
        </is>
      </c>
      <c r="E32" s="32" t="inlineStr">
        <is>
          <t>Marina Ferraz</t>
        </is>
      </c>
      <c r="F32" s="30" t="inlineStr">
        <is>
          <t>Protocolar: manifestação sobre laudo</t>
        </is>
      </c>
      <c r="G32" s="33">
        <f>TODAY()-3</f>
        <v/>
      </c>
      <c r="H32" s="33">
        <f>TODAY()-19</f>
        <v/>
      </c>
      <c r="I32" s="30" t="n"/>
      <c r="J32" s="28">
        <f>IF(OR(K32="",K32="Encerrado",K32="Sem próxima ação"),"",G32-Config!$B$5)</f>
        <v/>
      </c>
      <c r="K32" s="25">
        <f>IF(A32="","",IF(D32="Encerrado","Encerrado",IF(G32="","Sem próxima ação",IF(G32&lt;Config!$B$5,"Atrasado",IF(G32=Config!$B$5,"Hoje",IF(G32-Config!$B$5&lt;=7,"Esta semana","Em dia"))))))</f>
        <v/>
      </c>
      <c r="L32" s="28">
        <f>IF(OR(A32="",D32="Encerrado",H32=""),"",Config!$B$5-H32)</f>
        <v/>
      </c>
      <c r="M32" s="25">
        <f>IF(L32="","",IF(L32&gt;Config!$B$6,"Sim",""))</f>
        <v/>
      </c>
      <c r="N32" s="34">
        <f>IF(M32="Sim",L32-ROW()/100000,0)</f>
        <v/>
      </c>
    </row>
    <row r="33">
      <c r="A33" s="30" t="inlineStr">
        <is>
          <t>1941959-24.2026.8.26.0167</t>
        </is>
      </c>
      <c r="B33" s="30" t="inlineStr">
        <is>
          <t>Transportadora Rota Sul</t>
        </is>
      </c>
      <c r="C33" s="32" t="inlineStr">
        <is>
          <t>Previdenciário</t>
        </is>
      </c>
      <c r="D33" s="32" t="inlineStr">
        <is>
          <t>Acordo</t>
        </is>
      </c>
      <c r="E33" s="32" t="inlineStr">
        <is>
          <t>Rafael Lima</t>
        </is>
      </c>
      <c r="F33" s="30" t="inlineStr">
        <is>
          <t>Audiência de conciliação (confirmar presença do cliente)</t>
        </is>
      </c>
      <c r="G33" s="33">
        <f>TODAY()+4</f>
        <v/>
      </c>
      <c r="H33" s="33">
        <f>TODAY()-2</f>
        <v/>
      </c>
      <c r="I33" s="30" t="n"/>
      <c r="J33" s="28">
        <f>IF(OR(K33="",K33="Encerrado",K33="Sem próxima ação"),"",G33-Config!$B$5)</f>
        <v/>
      </c>
      <c r="K33" s="25">
        <f>IF(A33="","",IF(D33="Encerrado","Encerrado",IF(G33="","Sem próxima ação",IF(G33&lt;Config!$B$5,"Atrasado",IF(G33=Config!$B$5,"Hoje",IF(G33-Config!$B$5&lt;=7,"Esta semana","Em dia"))))))</f>
        <v/>
      </c>
      <c r="L33" s="28">
        <f>IF(OR(A33="",D33="Encerrado",H33=""),"",Config!$B$5-H33)</f>
        <v/>
      </c>
      <c r="M33" s="25">
        <f>IF(L33="","",IF(L33&gt;Config!$B$6,"Sim",""))</f>
        <v/>
      </c>
      <c r="N33" s="34">
        <f>IF(M33="Sim",L33-ROW()/100000,0)</f>
        <v/>
      </c>
    </row>
    <row r="34">
      <c r="A34" s="30" t="inlineStr">
        <is>
          <t>3118925-55.2025.8.26.0426</t>
        </is>
      </c>
      <c r="B34" s="30" t="inlineStr">
        <is>
          <t>Patrícia Gomes</t>
        </is>
      </c>
      <c r="C34" s="32" t="inlineStr">
        <is>
          <t>Família</t>
        </is>
      </c>
      <c r="D34" s="32" t="inlineStr">
        <is>
          <t>Inicial</t>
        </is>
      </c>
      <c r="E34" s="32" t="inlineStr">
        <is>
          <t>Marina Ferraz</t>
        </is>
      </c>
      <c r="F34" s="30" t="inlineStr">
        <is>
          <t>Protocolar: cumprimento de sentença</t>
        </is>
      </c>
      <c r="G34" s="33">
        <f>TODAY()-3</f>
        <v/>
      </c>
      <c r="H34" s="33">
        <f>TODAY()-19</f>
        <v/>
      </c>
      <c r="I34" s="30" t="n"/>
      <c r="J34" s="28">
        <f>IF(OR(K34="",K34="Encerrado",K34="Sem próxima ação"),"",G34-Config!$B$5)</f>
        <v/>
      </c>
      <c r="K34" s="25">
        <f>IF(A34="","",IF(D34="Encerrado","Encerrado",IF(G34="","Sem próxima ação",IF(G34&lt;Config!$B$5,"Atrasado",IF(G34=Config!$B$5,"Hoje",IF(G34-Config!$B$5&lt;=7,"Esta semana","Em dia"))))))</f>
        <v/>
      </c>
      <c r="L34" s="28">
        <f>IF(OR(A34="",D34="Encerrado",H34=""),"",Config!$B$5-H34)</f>
        <v/>
      </c>
      <c r="M34" s="25">
        <f>IF(L34="","",IF(L34&gt;Config!$B$6,"Sim",""))</f>
        <v/>
      </c>
      <c r="N34" s="34">
        <f>IF(M34="Sim",L34-ROW()/100000,0)</f>
        <v/>
      </c>
    </row>
    <row r="35">
      <c r="A35" s="30" t="inlineStr">
        <is>
          <t>7658179-42.2026.8.26.0152</t>
        </is>
      </c>
      <c r="B35" s="30" t="inlineStr">
        <is>
          <t>Escola Aurora</t>
        </is>
      </c>
      <c r="C35" s="32" t="inlineStr">
        <is>
          <t>Empresarial</t>
        </is>
      </c>
      <c r="D35" s="32" t="inlineStr">
        <is>
          <t>Acordo</t>
        </is>
      </c>
      <c r="E35" s="32" t="inlineStr">
        <is>
          <t>Marina Ferraz</t>
        </is>
      </c>
      <c r="F35" s="30" t="inlineStr">
        <is>
          <t>Protocolar: contrarrazões</t>
        </is>
      </c>
      <c r="G35" s="33">
        <f>TODAY()-3</f>
        <v/>
      </c>
      <c r="H35" s="33">
        <f>TODAY()-19</f>
        <v/>
      </c>
      <c r="I35" s="30" t="n"/>
      <c r="J35" s="28">
        <f>IF(OR(K35="",K35="Encerrado",K35="Sem próxima ação"),"",G35-Config!$B$5)</f>
        <v/>
      </c>
      <c r="K35" s="25">
        <f>IF(A35="","",IF(D35="Encerrado","Encerrado",IF(G35="","Sem próxima ação",IF(G35&lt;Config!$B$5,"Atrasado",IF(G35=Config!$B$5,"Hoje",IF(G35-Config!$B$5&lt;=7,"Esta semana","Em dia"))))))</f>
        <v/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/>
      </c>
    </row>
    <row r="36">
      <c r="A36" s="30" t="inlineStr">
        <is>
          <t>3326285-90.2025.8.26.0608</t>
        </is>
      </c>
      <c r="B36" s="30" t="inlineStr">
        <is>
          <t>José Antônio Ribeiro</t>
        </is>
      </c>
      <c r="C36" s="32" t="inlineStr">
        <is>
          <t>Trabalhista</t>
        </is>
      </c>
      <c r="D36" s="32" t="inlineStr">
        <is>
          <t>Consultivo</t>
        </is>
      </c>
      <c r="E36" s="32" t="inlineStr">
        <is>
          <t>Rafael Lima</t>
        </is>
      </c>
      <c r="F36" s="30" t="inlineStr">
        <is>
          <t>Aguardando retorno do cliente</t>
        </is>
      </c>
      <c r="G36" s="33" t="n"/>
      <c r="H36" s="33">
        <f>TODAY()-13</f>
        <v/>
      </c>
      <c r="I36" s="30" t="inlineStr">
        <is>
          <t>Cliente pediu tempo para decidir</t>
        </is>
      </c>
      <c r="J36" s="28">
        <f>IF(OR(K36="",K36="Encerrado",K36="Sem próxima ação"),"",G36-Config!$B$5)</f>
        <v/>
      </c>
      <c r="K36" s="25">
        <f>IF(A36="","",IF(D36="Encerrado","Encerrado",IF(G36="","Sem próxima ação",IF(G36&lt;Config!$B$5,"Atrasado",IF(G36=Config!$B$5,"Hoje",IF(G36-Config!$B$5&lt;=7,"Esta semana","Em dia"))))))</f>
        <v/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/>
      </c>
    </row>
    <row r="37">
      <c r="A37" s="30" t="inlineStr">
        <is>
          <t>1191416-90.2025.8.26.0249</t>
        </is>
      </c>
      <c r="B37" s="30" t="inlineStr">
        <is>
          <t>Oficina Mecânica Central</t>
        </is>
      </c>
      <c r="C37" s="32" t="inlineStr">
        <is>
          <t>Cível</t>
        </is>
      </c>
      <c r="D37" s="32" t="inlineStr">
        <is>
          <t>Instrução</t>
        </is>
      </c>
      <c r="E37" s="32" t="inlineStr">
        <is>
          <t>Marina Ferraz</t>
        </is>
      </c>
      <c r="F37" s="30" t="inlineStr">
        <is>
          <t>Protocolar: contrarrazões</t>
        </is>
      </c>
      <c r="G37" s="33">
        <f>TODAY()-1</f>
        <v/>
      </c>
      <c r="H37" s="33">
        <f>TODAY()-2</f>
        <v/>
      </c>
      <c r="I37" s="30" t="n"/>
      <c r="J37" s="28">
        <f>IF(OR(K37="",K37="Encerrado",K37="Sem próxima ação"),"",G37-Config!$B$5)</f>
        <v/>
      </c>
      <c r="K37" s="25">
        <f>IF(A37="","",IF(D37="Encerrado","Encerrado",IF(G37="","Sem próxima ação",IF(G37&lt;Config!$B$5,"Atrasado",IF(G37=Config!$B$5,"Hoje",IF(G37-Config!$B$5&lt;=7,"Esta semana","Em dia"))))))</f>
        <v/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/>
      </c>
    </row>
    <row r="38">
      <c r="A38" s="30" t="inlineStr">
        <is>
          <t>5626517-53.2026.8.26.0206</t>
        </is>
      </c>
      <c r="B38" s="30" t="inlineStr">
        <is>
          <t>Luciana Farias</t>
        </is>
      </c>
      <c r="C38" s="32" t="inlineStr">
        <is>
          <t>Empresarial</t>
        </is>
      </c>
      <c r="D38" s="32" t="inlineStr">
        <is>
          <t>Consultivo</t>
        </is>
      </c>
      <c r="E38" s="32" t="inlineStr">
        <is>
          <t>Marina Ferraz</t>
        </is>
      </c>
      <c r="F38" s="30" t="inlineStr">
        <is>
          <t>Enviar o resumo combinado ao cliente</t>
        </is>
      </c>
      <c r="G38" s="33">
        <f>TODAY()-2</f>
        <v/>
      </c>
      <c r="H38" s="33">
        <f>TODAY()-67</f>
        <v/>
      </c>
      <c r="I38" s="30" t="n"/>
      <c r="J38" s="28">
        <f>IF(OR(K38="",K38="Encerrado",K38="Sem próxima ação"),"",G38-Config!$B$5)</f>
        <v/>
      </c>
      <c r="K38" s="25">
        <f>IF(A38="","",IF(D38="Encerrado","Encerrado",IF(G38="","Sem próxima ação",IF(G38&lt;Config!$B$5,"Atrasado",IF(G38=Config!$B$5,"Hoje",IF(G38-Config!$B$5&lt;=7,"Esta semana","Em dia"))))))</f>
        <v/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/>
      </c>
    </row>
    <row r="39">
      <c r="A39" s="30" t="inlineStr">
        <is>
          <t>6237740-34.2025.8.26.0163</t>
        </is>
      </c>
      <c r="B39" s="30" t="inlineStr">
        <is>
          <t>Agência Prisma</t>
        </is>
      </c>
      <c r="C39" s="32" t="inlineStr">
        <is>
          <t>Previdenciário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45862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>
        <f>IF(A39="","",IF(D39="Encerrado","Encerrado",IF(G39="","Sem próxima ação",IF(G39&lt;Config!$B$5,"Atrasado",IF(G39=Config!$B$5,"Hoje",IF(G39-Config!$B$5&lt;=7,"Esta semana","Em dia"))))))</f>
        <v/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/>
      </c>
    </row>
    <row r="40">
      <c r="A40" s="30" t="inlineStr">
        <is>
          <t>9778303-99.2026.8.26.0419</t>
        </is>
      </c>
      <c r="B40" s="30" t="inlineStr">
        <is>
          <t>Helena Duarte</t>
        </is>
      </c>
      <c r="C40" s="32" t="inlineStr">
        <is>
          <t>Empresarial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46274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>
        <f>IF(A40="","",IF(D40="Encerrado","Encerrado",IF(G40="","Sem próxima ação",IF(G40&lt;Config!$B$5,"Atrasado",IF(G40=Config!$B$5,"Hoje",IF(G40-Config!$B$5&lt;=7,"Esta semana","Em dia"))))))</f>
        <v/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/>
      </c>
    </row>
    <row r="41">
      <c r="A41" s="30" t="inlineStr">
        <is>
          <t>3314594-22.2025.8.26.0019</t>
        </is>
      </c>
      <c r="B41" s="30" t="inlineStr">
        <is>
          <t>Padaria do Sol Ltda</t>
        </is>
      </c>
      <c r="C41" s="32" t="inlineStr">
        <is>
          <t>Cível</t>
        </is>
      </c>
      <c r="D41" s="32" t="inlineStr">
        <is>
          <t>Encerrado</t>
        </is>
      </c>
      <c r="E41" s="32" t="inlineStr">
        <is>
          <t>Marina Ferraz</t>
        </is>
      </c>
      <c r="F41" s="30" t="n"/>
      <c r="G41" s="33" t="n"/>
      <c r="H41" s="33" t="n">
        <v>46012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>
        <f>IF(A41="","",IF(D41="Encerrado","Encerrado",IF(G41="","Sem próxima ação",IF(G41&lt;Config!$B$5,"Atrasado",IF(G41=Config!$B$5,"Hoje",IF(G41-Config!$B$5&lt;=7,"Esta semana","Em dia"))))))</f>
        <v/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/>
      </c>
    </row>
    <row r="42">
      <c r="A42" s="30" t="inlineStr">
        <is>
          <t>7598076-58.2025.8.26.0552</t>
        </is>
      </c>
      <c r="B42" s="30" t="inlineStr">
        <is>
          <t>Ana Beatriz Moreira</t>
        </is>
      </c>
      <c r="C42" s="32" t="inlineStr">
        <is>
          <t>Família</t>
        </is>
      </c>
      <c r="D42" s="32" t="inlineStr">
        <is>
          <t>Encerrado</t>
        </is>
      </c>
      <c r="E42" s="32" t="inlineStr">
        <is>
          <t>Marina Ferraz</t>
        </is>
      </c>
      <c r="F42" s="30" t="n"/>
      <c r="G42" s="33" t="n"/>
      <c r="H42" s="33" t="n">
        <v>46112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>
        <f>IF(A42="","",IF(D42="Encerrado","Encerrado",IF(G42="","Sem próxima ação",IF(G42&lt;Config!$B$5,"Atrasado",IF(G42=Config!$B$5,"Hoje",IF(G42-Config!$B$5&lt;=7,"Esta semana","Em dia"))))))</f>
        <v/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/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/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/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/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/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/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/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/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/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/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/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/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/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/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/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/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/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/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/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/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/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/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/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/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/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/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/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/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/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/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/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/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/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/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/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/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/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/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/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/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/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/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/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/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/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/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/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/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/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/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/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/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/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/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/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/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/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/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/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/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/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/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/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/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/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/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/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/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/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/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/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/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/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/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/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/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/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/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/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/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/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/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/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/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/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/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/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/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/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/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/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/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/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/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/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/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/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/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/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/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/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/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/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/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/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/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/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/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/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/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/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/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/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/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/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/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/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/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/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/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/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/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/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/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/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/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/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/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/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/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/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/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/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/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/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/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/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/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/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/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/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/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/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/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/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/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/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/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/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/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/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/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/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/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/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/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/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/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/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/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/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/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/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/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/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/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/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/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/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/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/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/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/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/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/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/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/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/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/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/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/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/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/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/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/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/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/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/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/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/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/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/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/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/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/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/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/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/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/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/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/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/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/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/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/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/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/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/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/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/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/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/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/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/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/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/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/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/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/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/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/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/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/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/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/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/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/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/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/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/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/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/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/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/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/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/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/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/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/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/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/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/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/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/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/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/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/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/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/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/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/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/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/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/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/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/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/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/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/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/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/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/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1">
    <mergeCell ref="A2:N2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0" allowBlank="1" type="list">
      <formula1>=OFFSET(Config!$D$10,0,0,MAX(1,COUNTA(Config!$D$10:$D$19)),1)</formula1>
    </dataValidation>
    <dataValidation sqref="D5:D304" showDropDown="0" showInputMessage="0" showErrorMessage="0" allowBlank="1" type="list">
      <formula1>=OFFSET(Config!$B$10,0,0,MAX(1,COUNTA(Config!$B$10:$B$19)),1)</formula1>
    </dataValidation>
    <dataValidation sqref="E5:E304" showDropDown="0" showInputMessage="0" showErrorMessage="0" allowBlank="1" type="list">
      <formula1>=OFFSET(Config!$F$10,0,0,MAX(1,COUNTA(Config!$F$10:$F$19)),1)</formula1>
    </dataValidation>
    <dataValidation sqref="G5:H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2026-09-14T09:31:04Z</dcterms:created>
  <dcterms:modified xmlns:dcterms="http://purl.org/dc/terms/" xmlns:xsi="http://www.w3.org/2001/XMLSchema-instance" xsi:type="dcterms:W3CDTF">2026-09-14T09:31:05Z</dcterms:modified>
</cp:coreProperties>
</file>