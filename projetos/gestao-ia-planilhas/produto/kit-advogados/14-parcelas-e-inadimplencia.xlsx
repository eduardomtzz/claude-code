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Casos" sheetId="4" state="visible" r:id="rId4"/>
    <sheet xmlns:r="http://schemas.openxmlformats.org/officeDocument/2006/relationships" name="Parcelas" sheetId="5" state="visible" r:id="rId5"/>
  </sheets>
  <definedNames>
    <definedName name="_xlnm._FilterDatabase" localSheetId="3" hidden="1">'Casos'!$A$4:$J$204</definedName>
    <definedName name="_xlnm._FilterDatabase" localSheetId="4" hidden="1">'Parcelas'!$A$4:$L$404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&quot;R$&quot; #,##0;[Red]-&quot;R$&quot; #,##0"/>
    <numFmt numFmtId="167" formatCode="0.0%"/>
  </numFmts>
  <fonts count="16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b val="1"/>
      <color rgb="00FFFFFF"/>
      <sz val="10"/>
    </font>
    <font>
      <name val="Arial"/>
      <color rgb="007A5AA8"/>
      <sz val="9"/>
    </font>
    <font>
      <name val="Arial"/>
      <color rgb="00B0A6C4"/>
      <sz val="9"/>
    </font>
    <font>
      <name val="Arial"/>
      <b val="1"/>
      <color rgb="003B1F5E"/>
      <sz val="9"/>
    </font>
    <font>
      <name val="Arial"/>
      <b val="1"/>
      <color rgb="007A1F1F"/>
      <sz val="9"/>
    </font>
    <font>
      <name val="Arial"/>
      <b val="1"/>
      <color rgb="007A1F1F"/>
      <sz val="16"/>
    </font>
    <font>
      <name val="Arial"/>
      <b val="1"/>
      <color rgb="003B1F5E"/>
      <sz val="13"/>
    </font>
    <font>
      <name val="Arial"/>
      <b val="1"/>
      <color rgb="003B1F5E"/>
      <sz val="20"/>
    </font>
    <font>
      <name val="Arial"/>
      <color rgb="007A5AA8"/>
      <sz val="10"/>
    </font>
    <font>
      <name val="Arial"/>
      <b val="1"/>
      <color rgb="003B1F5E"/>
    </font>
    <font>
      <name val="Arial"/>
      <color rgb="001F1235"/>
    </font>
  </fonts>
  <fills count="7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FC83D"/>
      </patternFill>
    </fill>
    <fill>
      <patternFill patternType="solid">
        <fgColor rgb="00F3EEFB"/>
      </patternFill>
    </fill>
    <fill>
      <patternFill patternType="solid">
        <fgColor rgb="00FBE4E4"/>
      </patternFill>
    </fill>
  </fills>
  <borders count="6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  <border>
      <left/>
      <right/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/>
      <diagonal/>
    </border>
    <border>
      <left/>
      <right/>
      <top style="thin">
        <color rgb="00DCD2EC"/>
      </top>
      <bottom style="thin">
        <color rgb="00DCD2EC"/>
      </bottom>
      <diagonal/>
    </border>
    <border>
      <left/>
      <right style="thin">
        <color rgb="00DCD2EC"/>
      </right>
      <top style="thin">
        <color rgb="00DCD2EC"/>
      </top>
      <bottom style="thin">
        <color rgb="00DCD2EC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applyAlignment="1" pivotButton="0" quotePrefix="0" xfId="0">
      <alignment vertical="top"/>
    </xf>
    <xf numFmtId="0" fontId="15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8" fillId="4" borderId="0" applyAlignment="1" pivotButton="0" quotePrefix="0" xfId="0">
      <alignment horizontal="center"/>
    </xf>
    <xf numFmtId="0" fontId="0" fillId="4" borderId="0" pivotButton="0" quotePrefix="0" xfId="0"/>
    <xf numFmtId="0" fontId="8" fillId="5" borderId="0" applyAlignment="1" pivotButton="0" quotePrefix="0" xfId="0">
      <alignment horizontal="center"/>
    </xf>
    <xf numFmtId="0" fontId="0" fillId="5" borderId="0" pivotButton="0" quotePrefix="0" xfId="0"/>
    <xf numFmtId="0" fontId="9" fillId="6" borderId="0" applyAlignment="1" pivotButton="0" quotePrefix="0" xfId="0">
      <alignment horizontal="center"/>
    </xf>
    <xf numFmtId="0" fontId="0" fillId="6" borderId="0" pivotButton="0" quotePrefix="0" xfId="0"/>
    <xf numFmtId="166" fontId="1" fillId="4" borderId="0" applyAlignment="1" pivotButton="0" quotePrefix="0" xfId="0">
      <alignment horizontal="center"/>
    </xf>
    <xf numFmtId="166" fontId="1" fillId="5" borderId="0" applyAlignment="1" pivotButton="0" quotePrefix="0" xfId="0">
      <alignment horizontal="center"/>
    </xf>
    <xf numFmtId="166" fontId="10" fillId="6" borderId="0" applyAlignment="1" pivotButton="0" quotePrefix="0" xfId="0">
      <alignment horizontal="center"/>
    </xf>
    <xf numFmtId="1" fontId="10" fillId="6" borderId="0" applyAlignment="1" pivotButton="0" quotePrefix="0" xfId="0">
      <alignment horizontal="center"/>
    </xf>
    <xf numFmtId="167" fontId="10" fillId="6" borderId="0" applyAlignment="1" pivotButton="0" quotePrefix="0" xfId="0">
      <alignment horizontal="center"/>
    </xf>
    <xf numFmtId="0" fontId="6" fillId="0" borderId="0" applyAlignment="1" pivotButton="0" quotePrefix="0" xfId="0">
      <alignment vertical="top" wrapText="1"/>
    </xf>
    <xf numFmtId="0" fontId="11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166" fontId="4" fillId="0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vertical="top" wrapText="1"/>
    </xf>
    <xf numFmtId="0" fontId="6" fillId="0" borderId="0" pivotButton="0" quotePrefix="0" xfId="0"/>
    <xf numFmtId="165" fontId="4" fillId="0" borderId="1" applyAlignment="1" pivotButton="0" quotePrefix="0" xfId="0">
      <alignment horizontal="center"/>
    </xf>
    <xf numFmtId="1" fontId="4" fillId="0" borderId="1" applyAlignment="1" pivotButton="0" quotePrefix="0" xfId="0">
      <alignment horizontal="center"/>
    </xf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165" fontId="4" fillId="2" borderId="1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/>
      <protection locked="0" hidden="0"/>
    </xf>
    <xf numFmtId="0" fontId="4" fillId="2" borderId="1" applyAlignment="1" applyProtection="1" pivotButton="0" quotePrefix="0" xfId="0">
      <alignment vertical="top" wrapText="1"/>
      <protection locked="0" hidden="0"/>
    </xf>
    <xf numFmtId="166" fontId="4" fillId="2" borderId="1" applyProtection="1" pivotButton="0" quotePrefix="0" xfId="0">
      <protection locked="0" hidden="0"/>
    </xf>
    <xf numFmtId="165" fontId="4" fillId="2" borderId="1" applyAlignment="1" applyProtection="1" pivotButton="0" quotePrefix="0" xfId="0">
      <alignment horizontal="center"/>
      <protection locked="0" hidden="0"/>
    </xf>
    <xf numFmtId="0" fontId="7" fillId="0" borderId="0" pivotButton="0" quotePrefix="0" xfId="0"/>
  </cellXfs>
  <cellStyles count="1">
    <cellStyle name="Normal" xfId="0" builtinId="0" hidden="0"/>
  </cellStyles>
  <dxfs count="5">
    <dxf>
      <font>
        <name val="Arial"/>
        <color rgb="007A1F1F"/>
        <sz val="10"/>
      </font>
      <fill>
        <patternFill patternType="solid">
          <fgColor rgb="00FBE4E4"/>
        </patternFill>
      </fill>
    </dxf>
    <dxf>
      <fill>
        <patternFill patternType="solid">
          <fgColor rgb="00FFF4CC"/>
        </patternFill>
      </fill>
    </dxf>
    <dxf>
      <font>
        <name val="Arial"/>
        <b val="1"/>
        <color rgb="007A1F1F"/>
        <sz val="10"/>
      </font>
      <fill>
        <patternFill patternType="solid">
          <fgColor rgb="00FBE4E4"/>
        </patternFill>
      </fill>
    </dxf>
    <dxf>
      <font>
        <name val="Arial"/>
        <color rgb="00155E3C"/>
        <sz val="10"/>
      </font>
    </dxf>
    <dxf>
      <fill>
        <patternFill patternType="solid">
          <fgColor rgb="00FB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Vencido por faixa de atraso (R$)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'Painel'!C10</f>
            </strRef>
          </tx>
          <spPr>
            <a:solidFill xmlns:a="http://schemas.openxmlformats.org/drawingml/2006/main">
              <a:srgbClr val="7A1F1F"/>
            </a:solidFill>
            <a:ln xmlns:a="http://schemas.openxmlformats.org/drawingml/2006/main">
              <a:prstDash val="solid"/>
            </a:ln>
          </spPr>
          <cat>
            <numRef>
              <f>'Painel'!$A$11:$A$15</f>
            </numRef>
          </cat>
          <val>
            <numRef>
              <f>'Painel'!$C$11:$C$15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8</row>
      <rowOff>0</rowOff>
    </from>
    <ext cx="432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Parcelas e Inadimplência</t>
        </is>
      </c>
    </row>
    <row r="2">
      <c r="A2" s="2" t="inlineStr">
        <is>
          <t>Kit de Gestão para Advogados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Você lança as parcelas combinadas com cada cliente e marca as pagas; ela mostra o que vence nos próximos dias, o que já venceu por faixa de atraso, a inadimplência e a lista de quem cobrar primeiro, com a ação sugerida da régua de cobrança.</t>
        </is>
      </c>
    </row>
    <row r="5" ht="46" customHeight="1">
      <c r="A5" s="3" t="inlineStr">
        <is>
          <t>Passo 1</t>
        </is>
      </c>
      <c r="B5" s="4" t="inlineStr">
        <is>
          <t>Em Config, ajuste as janelas (7 e 30 dias) e a régua: a partir de quantos dias de atraso fazer o quê. Escreva as ações do seu jeito, educadas e diretas.</t>
        </is>
      </c>
    </row>
    <row r="6" ht="46" customHeight="1">
      <c r="A6" s="3" t="inlineStr">
        <is>
          <t>Passo 2</t>
        </is>
      </c>
      <c r="B6" s="4" t="inlineStr">
        <is>
          <t>Em Casos, cole a lista de casos da planilha 13 · Carteira (número, cliente, modalidade, valor contratado); a 13 é a fonte do cadastro. É a lista que alimenta a escolha do caso em Parcelas.</t>
        </is>
      </c>
    </row>
    <row r="7" ht="46" customHeight="1">
      <c r="A7" s="3" t="inlineStr">
        <is>
          <t>Passo 3</t>
        </is>
      </c>
      <c r="B7" s="4" t="inlineStr">
        <is>
          <t>Em Parcelas, uma linha por parcela: caso, número da parcela, vencimento e valor. Quando receber, marque Pago? = Sim e a data do pagamento, e lance a mesma entrada no caixa (planilha 09). Honorário por hora entra como fatura mensal; êxito, só no fim do caso.</t>
        </is>
      </c>
    </row>
    <row r="8" ht="46" customHeight="1">
      <c r="A8" s="3" t="inlineStr">
        <is>
          <t>Passo 4</t>
        </is>
      </c>
      <c r="B8" s="4" t="inlineStr">
        <is>
          <t>Em Painel, veja o que vence em 7 e 30 dias, o vencido por faixa, a inadimplência (vencido ÷ (pago + vencido), a mesma conta das planilhas 17, 19 e 20) e a lista "Cobrar primeiro" com o texto da régua para cada parcela.</t>
        </is>
      </c>
    </row>
    <row r="9" ht="46" customHeight="1">
      <c r="A9" s="3" t="inlineStr">
        <is>
          <t>Rotina</t>
        </is>
      </c>
      <c r="B9" s="4" t="inlineStr">
        <is>
          <t>Segunda-feira, 10 minutos: conferir o extrato, marcar as pagas, mandar as mensagens da lista "Cobrar primeiro". Sexta: confirmar as que vencem na semana seguinte.</t>
        </is>
      </c>
    </row>
    <row r="10" ht="46" customHeight="1">
      <c r="A10" s="3" t="inlineStr">
        <is>
          <t>Com a IA</t>
        </is>
      </c>
      <c r="B10" s="4" t="inlineStr">
        <is>
          <t>Copie uma linha de "Cobrar primeiro" (cliente, parcela, valor, dias, ação) e use o prompt "Clientes 03 · Cobrança educada em três versões" da biblioteca (ou "Clientes 02 · Quem cobrar primeiro" para a lista inteira) ou os 15 modelos de mensagem do bônus. Nunca cole dados que o cliente não autorizou compartilhar.</t>
        </is>
      </c>
    </row>
    <row r="11" ht="46" customHeight="1">
      <c r="A11" s="3" t="inlineStr">
        <is>
          <t>Legenda</t>
        </is>
      </c>
      <c r="B11" s="4" t="inlineStr">
        <is>
          <t>Células amarelas: você preenche. Brancas: calculadas. Não é preciso mexer em nada fora do amarelo.</t>
        </is>
      </c>
    </row>
    <row r="12" ht="46" customHeight="1">
      <c r="A12" s="3" t="inlineStr">
        <is>
          <t>Proteção</t>
        </is>
      </c>
      <c r="B12" s="4" t="inlineStr">
        <is>
          <t>Fórmulas protegidas sem senha. Para editar: Revisar &gt; Desproteger planilha (Excel) ou Dados &gt; Proteger intervalos (Google Sheets).</t>
        </is>
      </c>
    </row>
    <row r="13" ht="46" customHeight="1">
      <c r="A13" s="3" t="inlineStr">
        <is>
          <t>Requisitos</t>
        </is>
      </c>
      <c r="B13" s="4" t="inlineStr">
        <is>
          <t>Excel 2016 ou mais novo, Microsoft 365 ou Google Sheets (só funções do Excel 2007+; nada de MÍNIMOSES, MÁXIMOSES ou UNIRTEXTO). No celular abre nos aplicativos; para preencher, use o computador.</t>
        </is>
      </c>
    </row>
    <row r="14" ht="46" customHeight="1">
      <c r="A14" s="3" t="inlineStr">
        <is>
          <t>Google Sheets</t>
        </is>
      </c>
      <c r="B14" s="4" t="inlineStr">
        <is>
          <t>Faça upload no Google Drive e abra com o Google Sheets. Fórmulas, listas, cores, semáforos e gráficos funcionam: as regras de cor que dependem do mês escolhido em Config usam INDIRECT, que é a forma que o Sheets aceita para regra condicional apontar para outra aba.</t>
        </is>
      </c>
    </row>
    <row r="15" ht="46" customHeight="1">
      <c r="A15" s="3" t="inlineStr">
        <is>
          <t>Exemplos</t>
        </is>
      </c>
      <c r="B15" s="4" t="inlineStr">
        <is>
          <t>Ferraz &amp; Lima Advocacia é um escritório fictício. Clientes, processos, nomes e valores são inventados. Apague-os antes de começar.</t>
        </is>
      </c>
    </row>
    <row r="16" ht="46" customHeight="1">
      <c r="A16" s="3" t="inlineStr">
        <is>
          <t>Data de referência</t>
        </is>
      </c>
      <c r="B16" s="4" t="inlineStr">
        <is>
          <t>O exemplo está congelado em 14/09/2026, para todos os arquivos do kit mostrarem a mesma foto e os números fecharem entre eles. Ao começar a usar com os SEUS dados, troque em Config: a data de referência por =HOJE(), o ano, o mês do painel, o trimestre (onde houver) e a lista de feriados. Trocar só a data de referência deixa o resto apontando para 2026.</t>
        </is>
      </c>
    </row>
    <row r="17" ht="46" customHeight="1">
      <c r="A17" s="3" t="inlineStr">
        <is>
          <t>Suporte</t>
        </is>
      </c>
      <c r="B17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8" customWidth="1" min="3" max="3"/>
    <col width="9" customWidth="1" min="4" max="4"/>
    <col width="12" customWidth="1" min="5" max="5"/>
    <col width="14" customWidth="1" min="6" max="6"/>
    <col width="12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5" t="str">
        <f>Config!$B$4&amp;" · Parcelas e inadimplência · "&amp;TEXT(DAY(Config!$B$5),"00")&amp;"/"&amp;TEXT(MONTH(Config!$B$5),"00")&amp;"/"&amp;YEAR(Config!$B$5)</f>
        <v>Ferraz &amp; Lima Advocacia (exemplo fictício) · Parcelas e inadimplência · 14/09/2026</v>
      </c>
    </row>
    <row r="2">
      <c r="A2" s="6" t="inlineStr">
        <is>
          <t>Nada para digitar aqui: tudo vem de Parcelas e da régua em Config.</t>
        </is>
      </c>
    </row>
    <row r="4">
      <c r="A4" s="7" t="str">
        <f>"Vence em até "&amp;Config!$B$6&amp;" dias"</f>
        <v>Vence em até 7 dias</v>
      </c>
      <c r="B4" s="8" t="n"/>
      <c r="C4" s="9" t="str">
        <f>"Vence em até "&amp;Config!$B$7&amp;" dias"</f>
        <v>Vence em até 30 dias</v>
      </c>
      <c r="D4" s="10" t="n"/>
      <c r="E4" s="9" t="inlineStr">
        <is>
          <t>Em aberto (total)</t>
        </is>
      </c>
      <c r="F4" s="10" t="n"/>
      <c r="G4" s="11" t="inlineStr">
        <is>
          <t>Vencido (R$)</t>
        </is>
      </c>
      <c r="H4" s="12" t="n"/>
      <c r="I4" s="11" t="inlineStr">
        <is>
          <t>Parcelas vencidas</t>
        </is>
      </c>
      <c r="J4" s="12" t="n"/>
      <c r="K4" s="11" t="inlineStr">
        <is>
          <t>Inadimplência (vencido ÷ (pago + vencido))</t>
        </is>
      </c>
      <c r="L4" s="12" t="n"/>
    </row>
    <row r="5" ht="30" customHeight="1">
      <c r="A5" s="13">
        <f>SUMIFS(Parcelas!$E$5:$E$404,Parcelas!$H$5:$H$404,"A vencer",Parcelas!$J$5:$J$404,"&lt;="&amp;Config!$B$6)</f>
        <v>2800</v>
      </c>
      <c r="B5" s="8" t="n"/>
      <c r="C5" s="14">
        <f>SUMIFS(Parcelas!$E$5:$E$404,Parcelas!$H$5:$H$404,"A vencer",Parcelas!$J$5:$J$404,"&lt;="&amp;Config!$B$7)</f>
        <v>15450</v>
      </c>
      <c r="D5" s="10" t="n"/>
      <c r="E5" s="14">
        <f>SUMIFS(Parcelas!$E$5:$E$404,Parcelas!$H$5:$H$404,"A vencer")+SUMIFS(Parcelas!$E$5:$E$404,Parcelas!$H$5:$H$404,"Vencida")</f>
        <v>55330</v>
      </c>
      <c r="F5" s="10" t="n"/>
      <c r="G5" s="15">
        <f>SUMIFS(Parcelas!$E$5:$E$404,Parcelas!$H$5:$H$404,"Vencida")</f>
        <v>13080</v>
      </c>
      <c r="H5" s="12" t="n"/>
      <c r="I5" s="16">
        <f>COUNTIFS(Parcelas!$H$5:$H$404,"Vencida")</f>
        <v>7</v>
      </c>
      <c r="J5" s="12" t="n"/>
      <c r="K5" s="17">
        <f>IFERROR(G5/(G5+SUMIFS(Parcelas!$E$5:$E$404,Parcelas!$H$5:$H$404,"Paga")),0)</f>
        <v>0.045896347240254</v>
      </c>
      <c r="L5" s="12" t="n"/>
    </row>
    <row r="7" ht="30" customHeight="1">
      <c r="A7" s="18" t="inlineStr">
        <is>
          <t>Inadimplência = vencido ÷ (pago + vencido): de tudo o que já venceu, quanto ainda não entrou. É a definição usada em todo o kit (17, 19, 20). Outra conta possível, vencido ÷ em aberto (vencido + a vencer), mede a carteira futura e dá um número maior; não a use para comparar com estas planilhas.</t>
        </is>
      </c>
    </row>
    <row r="9">
      <c r="A9" s="19" t="inlineStr">
        <is>
          <t>Vencidas por faixa de atraso</t>
        </is>
      </c>
    </row>
    <row r="10" ht="26" customHeight="1">
      <c r="A10" s="20" t="inlineStr">
        <is>
          <t>Faixa</t>
        </is>
      </c>
      <c r="B10" s="20" t="inlineStr">
        <is>
          <t>Parcelas</t>
        </is>
      </c>
      <c r="C10" s="20" t="inlineStr">
        <is>
          <t>Valor (R$)</t>
        </is>
      </c>
      <c r="D10" s="20" t="inlineStr">
        <is>
          <t>% do vencido</t>
        </is>
      </c>
      <c r="E10" s="20" t="inlineStr">
        <is>
          <t>Ação da régua</t>
        </is>
      </c>
      <c r="F10" s="21" t="n"/>
      <c r="G10" s="21" t="n"/>
      <c r="H10" s="22" t="n"/>
    </row>
    <row r="11" ht="32" customHeight="1">
      <c r="A11" s="23" t="str">
        <f>IF(Config!$C$10="","",Config!$C$10)</f>
        <v>1 a 6 dias</v>
      </c>
      <c r="B11" s="24">
        <f>IF(Config!$C$10="","",COUNTIFS(Parcelas!$K$5:$K$404,Config!$C$10))</f>
        <v>1</v>
      </c>
      <c r="C11" s="25">
        <f>IF(Config!$C$10="","",SUMIFS(Parcelas!$E$5:$E$404,Parcelas!$K$5:$K$404,Config!$C$10))</f>
        <v>1980</v>
      </c>
      <c r="D11" s="26">
        <f>IF(Config!$C$10="","",IFERROR(C11/$G$5,0))</f>
        <v>0.151376146788991</v>
      </c>
      <c r="E11" s="27" t="str">
        <f>IF(Config!$C$10="","",Config!$B$10)</f>
        <v>Lembrete gentil por WhatsApp ou e-mail: confirmar se o boleto ou o link de pagamento chegou e reenviar, se preciso.</v>
      </c>
      <c r="F11" s="21" t="n"/>
      <c r="G11" s="21" t="n"/>
      <c r="H11" s="22" t="n"/>
    </row>
    <row r="12" ht="32" customHeight="1">
      <c r="A12" s="23" t="str">
        <f>IF(Config!$C$11="","",Config!$C$11)</f>
        <v>7 a 14 dias</v>
      </c>
      <c r="B12" s="24">
        <f>IF(Config!$C$11="","",COUNTIFS(Parcelas!$K$5:$K$404,Config!$C$11))</f>
        <v>0</v>
      </c>
      <c r="C12" s="25">
        <f>IF(Config!$C$11="","",SUMIFS(Parcelas!$E$5:$E$404,Parcelas!$K$5:$K$404,Config!$C$11))</f>
        <v>0</v>
      </c>
      <c r="D12" s="26">
        <f>IF(Config!$C$11="","",IFERROR(C12/$G$5,0))</f>
        <v>0</v>
      </c>
      <c r="E12" s="27" t="str">
        <f>IF(Config!$C$11="","",Config!$B$11)</f>
        <v>Mensagem do responsável pelo caso perguntando se houve algum imprevisto e oferecendo uma nova data para o pagamento.</v>
      </c>
      <c r="F12" s="21" t="n"/>
      <c r="G12" s="21" t="n"/>
      <c r="H12" s="22" t="n"/>
    </row>
    <row r="13" ht="32" customHeight="1">
      <c r="A13" s="23" t="str">
        <f>IF(Config!$C$12="","",Config!$C$12)</f>
        <v>15 a 29 dias</v>
      </c>
      <c r="B13" s="24">
        <f>IF(Config!$C$12="","",COUNTIFS(Parcelas!$K$5:$K$404,Config!$C$12))</f>
        <v>1</v>
      </c>
      <c r="C13" s="25">
        <f>IF(Config!$C$12="","",SUMIFS(Parcelas!$E$5:$E$404,Parcelas!$K$5:$K$404,Config!$C$12))</f>
        <v>1500</v>
      </c>
      <c r="D13" s="26">
        <f>IF(Config!$C$12="","",IFERROR(C13/$G$5,0))</f>
        <v>0.114678899082569</v>
      </c>
      <c r="E13" s="27" t="str">
        <f>IF(Config!$C$12="","",Config!$B$12)</f>
        <v>E-mail com o demonstrativo das parcelas em aberto e proposta de renegociação (nova data ou divisão do valor).</v>
      </c>
      <c r="F13" s="21" t="n"/>
      <c r="G13" s="21" t="n"/>
      <c r="H13" s="22" t="n"/>
    </row>
    <row r="14" ht="32" customHeight="1">
      <c r="A14" s="23" t="str">
        <f>IF(Config!$C$13="","",Config!$C$13)</f>
        <v>30 dias ou mais</v>
      </c>
      <c r="B14" s="24">
        <f>IF(Config!$C$13="","",COUNTIFS(Parcelas!$K$5:$K$404,Config!$C$13))</f>
        <v>5</v>
      </c>
      <c r="C14" s="25">
        <f>IF(Config!$C$13="","",SUMIFS(Parcelas!$E$5:$E$404,Parcelas!$K$5:$K$404,Config!$C$13))</f>
        <v>9600</v>
      </c>
      <c r="D14" s="26">
        <f>IF(Config!$C$13="","",IFERROR(C14/$G$5,0))</f>
        <v>0.73394495412844</v>
      </c>
      <c r="E14" s="27" t="str">
        <f>IF(Config!$C$13="","",Config!$B$13)</f>
        <v>Ligação ou reunião para combinar um plano de pagamento; registrar por escrito o que foi combinado e a nova data.</v>
      </c>
      <c r="F14" s="21" t="n"/>
      <c r="G14" s="21" t="n"/>
      <c r="H14" s="22" t="n"/>
    </row>
    <row r="15">
      <c r="A15" s="23" t="inlineStr">
        <is>
          <t>Antes da régua</t>
        </is>
      </c>
      <c r="B15" s="24">
        <f>COUNTIFS(Parcelas!$K$5:$K$404,"Antes da régua")</f>
        <v>0</v>
      </c>
      <c r="C15" s="25">
        <f>SUMIFS(Parcelas!$E$5:$E$404,Parcelas!$K$5:$K$404,"Antes da régua")</f>
        <v>0</v>
      </c>
      <c r="D15" s="26">
        <f>IFERROR(C15/$G$5,0)</f>
        <v>0</v>
      </c>
      <c r="E15" s="23" t="inlineStr">
        <is>
          <t>Vencidas há menos dias que o primeiro passo da régua.</t>
        </is>
      </c>
      <c r="F15" s="21" t="n"/>
      <c r="G15" s="21" t="n"/>
      <c r="H15" s="22" t="n"/>
    </row>
    <row r="17">
      <c r="A17" s="19" t="inlineStr">
        <is>
          <t>Cobrar primeiro</t>
        </is>
      </c>
    </row>
    <row r="18">
      <c r="A18" s="28" t="inlineStr">
        <is>
          <t>Parcelas vencidas em ordem de valor × dias de atraso: as que mais pesam no caixa vêm no topo. O texto da última coluna é a ação da régua para a faixa de cada uma.</t>
        </is>
      </c>
    </row>
    <row r="19" ht="26" customHeight="1">
      <c r="A19" s="20" t="inlineStr">
        <is>
          <t>#</t>
        </is>
      </c>
      <c r="B19" s="20" t="inlineStr">
        <is>
          <t>Cliente</t>
        </is>
      </c>
      <c r="C19" s="20" t="inlineStr">
        <is>
          <t>Caso</t>
        </is>
      </c>
      <c r="D19" s="20" t="inlineStr">
        <is>
          <t>Parcela</t>
        </is>
      </c>
      <c r="E19" s="20" t="inlineStr">
        <is>
          <t>Vencimento</t>
        </is>
      </c>
      <c r="F19" s="20" t="inlineStr">
        <is>
          <t>Valor (R$)</t>
        </is>
      </c>
      <c r="G19" s="20" t="inlineStr">
        <is>
          <t>Dias de atraso</t>
        </is>
      </c>
      <c r="H19" s="20" t="inlineStr">
        <is>
          <t>Faixa</t>
        </is>
      </c>
      <c r="I19" s="20" t="inlineStr">
        <is>
          <t>Ação sugerida</t>
        </is>
      </c>
      <c r="J19" s="21" t="n"/>
      <c r="K19" s="21" t="n"/>
      <c r="L19" s="22" t="n"/>
    </row>
    <row r="20" ht="32" customHeight="1">
      <c r="A20" s="24" t="n">
        <v>1</v>
      </c>
      <c r="B20" s="23" t="str">
        <f>IFERROR(IF(LARGE(Parcelas!$M$5:$M$404,1)&gt;0,INDEX(Parcelas!$B$5:$B$404,MATCH(LARGE(Parcelas!$M$5:$M$404,1),Parcelas!$M$5:$M$404,0)),""),"")</f>
        <v>Bistrô 42</v>
      </c>
      <c r="C20" s="23" t="str">
        <f>IFERROR(IF(LARGE(Parcelas!$M$5:$M$404,1)&gt;0,INDEX(Parcelas!$A$5:$A$404,MATCH(LARGE(Parcelas!$M$5:$M$404,1),Parcelas!$M$5:$M$404,0)),""),"")</f>
        <v>8056747-83.2026.8.26.0561</v>
      </c>
      <c r="D20" s="24">
        <f>IFERROR(IF(LARGE(Parcelas!$M$5:$M$404,1)&gt;0,INDEX(Parcelas!$C$5:$C$404,MATCH(LARGE(Parcelas!$M$5:$M$404,1),Parcelas!$M$5:$M$404,0)),""),"")</f>
        <v>3</v>
      </c>
      <c r="E20" s="29">
        <f>IFERROR(IF(LARGE(Parcelas!$M$5:$M$404,1)&gt;0,INDEX(Parcelas!$D$5:$D$404,MATCH(LARGE(Parcelas!$M$5:$M$404,1),Parcelas!$M$5:$M$404,0)),""),"")</f>
        <v>46099.0</v>
      </c>
      <c r="F20" s="25">
        <f>IFERROR(IF(LARGE(Parcelas!$M$5:$M$404,1)&gt;0,INDEX(Parcelas!$E$5:$E$404,MATCH(LARGE(Parcelas!$M$5:$M$404,1),Parcelas!$M$5:$M$404,0)),""),"")</f>
        <v>2100</v>
      </c>
      <c r="G20" s="30">
        <f>IFERROR(IF(LARGE(Parcelas!$M$5:$M$404,1)&gt;0,INDEX(Parcelas!$I$5:$I$404,MATCH(LARGE(Parcelas!$M$5:$M$404,1),Parcelas!$M$5:$M$404,0)),""),"")</f>
        <v>180</v>
      </c>
      <c r="H20" s="24" t="str">
        <f>IFERROR(IF(LARGE(Parcelas!$M$5:$M$404,1)&gt;0,INDEX(Parcelas!$K$5:$K$404,MATCH(LARGE(Parcelas!$M$5:$M$404,1),Parcelas!$M$5:$M$404,0)),""),"")</f>
        <v>30 dias ou mais</v>
      </c>
      <c r="I20" s="27" t="str">
        <f>IFERROR(IF(LARGE(Parcelas!$M$5:$M$404,1)&gt;0,INDEX(Parcelas!$L$5:$L$404,MATCH(LARGE(Parcelas!$M$5:$M$404,1),Parcelas!$M$5:$M$404,0)),""),"")</f>
        <v>Ligação ou reunião para combinar um plano de pagamento; registrar por escrito o que foi combinado e a nova data.</v>
      </c>
      <c r="J20" s="21" t="n"/>
      <c r="K20" s="21" t="n"/>
      <c r="L20" s="22" t="n"/>
    </row>
    <row r="21" ht="32" customHeight="1">
      <c r="A21" s="24" t="n">
        <v>2</v>
      </c>
      <c r="B21" s="23" t="str">
        <f>IFERROR(IF(LARGE(Parcelas!$M$5:$M$404,2)&gt;0,INDEX(Parcelas!$B$5:$B$404,MATCH(LARGE(Parcelas!$M$5:$M$404,2),Parcelas!$M$5:$M$404,0)),""),"")</f>
        <v>Bistrô 42</v>
      </c>
      <c r="C21" s="23" t="str">
        <f>IFERROR(IF(LARGE(Parcelas!$M$5:$M$404,2)&gt;0,INDEX(Parcelas!$A$5:$A$404,MATCH(LARGE(Parcelas!$M$5:$M$404,2),Parcelas!$M$5:$M$404,0)),""),"")</f>
        <v>8056747-83.2026.8.26.0561</v>
      </c>
      <c r="D21" s="24">
        <f>IFERROR(IF(LARGE(Parcelas!$M$5:$M$404,2)&gt;0,INDEX(Parcelas!$C$5:$C$404,MATCH(LARGE(Parcelas!$M$5:$M$404,2),Parcelas!$M$5:$M$404,0)),""),"")</f>
        <v>4</v>
      </c>
      <c r="E21" s="29">
        <f>IFERROR(IF(LARGE(Parcelas!$M$5:$M$404,2)&gt;0,INDEX(Parcelas!$D$5:$D$404,MATCH(LARGE(Parcelas!$M$5:$M$404,2),Parcelas!$M$5:$M$404,0)),""),"")</f>
        <v>46129.0</v>
      </c>
      <c r="F21" s="25">
        <f>IFERROR(IF(LARGE(Parcelas!$M$5:$M$404,2)&gt;0,INDEX(Parcelas!$E$5:$E$404,MATCH(LARGE(Parcelas!$M$5:$M$404,2),Parcelas!$M$5:$M$404,0)),""),"")</f>
        <v>2100</v>
      </c>
      <c r="G21" s="30">
        <f>IFERROR(IF(LARGE(Parcelas!$M$5:$M$404,2)&gt;0,INDEX(Parcelas!$I$5:$I$404,MATCH(LARGE(Parcelas!$M$5:$M$404,2),Parcelas!$M$5:$M$404,0)),""),"")</f>
        <v>150</v>
      </c>
      <c r="H21" s="24" t="str">
        <f>IFERROR(IF(LARGE(Parcelas!$M$5:$M$404,2)&gt;0,INDEX(Parcelas!$K$5:$K$404,MATCH(LARGE(Parcelas!$M$5:$M$404,2),Parcelas!$M$5:$M$404,0)),""),"")</f>
        <v>30 dias ou mais</v>
      </c>
      <c r="I21" s="27" t="str">
        <f>IFERROR(IF(LARGE(Parcelas!$M$5:$M$404,2)&gt;0,INDEX(Parcelas!$L$5:$L$404,MATCH(LARGE(Parcelas!$M$5:$M$404,2),Parcelas!$M$5:$M$404,0)),""),"")</f>
        <v>Ligação ou reunião para combinar um plano de pagamento; registrar por escrito o que foi combinado e a nova data.</v>
      </c>
      <c r="J21" s="21" t="n"/>
      <c r="K21" s="21" t="n"/>
      <c r="L21" s="22" t="n"/>
    </row>
    <row r="22" ht="32" customHeight="1">
      <c r="A22" s="24" t="n">
        <v>3</v>
      </c>
      <c r="B22" s="23" t="str">
        <f>IFERROR(IF(LARGE(Parcelas!$M$5:$M$404,3)&gt;0,INDEX(Parcelas!$B$5:$B$404,MATCH(LARGE(Parcelas!$M$5:$M$404,3),Parcelas!$M$5:$M$404,0)),""),"")</f>
        <v>Oficina Mecânica Central</v>
      </c>
      <c r="C22" s="23" t="str">
        <f>IFERROR(IF(LARGE(Parcelas!$M$5:$M$404,3)&gt;0,INDEX(Parcelas!$A$5:$A$404,MATCH(LARGE(Parcelas!$M$5:$M$404,3),Parcelas!$M$5:$M$404,0)),""),"")</f>
        <v>6184138-13.2026.8.26.0378</v>
      </c>
      <c r="D22" s="24">
        <f>IFERROR(IF(LARGE(Parcelas!$M$5:$M$404,3)&gt;0,INDEX(Parcelas!$C$5:$C$404,MATCH(LARGE(Parcelas!$M$5:$M$404,3),Parcelas!$M$5:$M$404,0)),""),"")</f>
        <v>3</v>
      </c>
      <c r="E22" s="29">
        <f>IFERROR(IF(LARGE(Parcelas!$M$5:$M$404,3)&gt;0,INDEX(Parcelas!$D$5:$D$404,MATCH(LARGE(Parcelas!$M$5:$M$404,3),Parcelas!$M$5:$M$404,0)),""),"")</f>
        <v>46192.0</v>
      </c>
      <c r="F22" s="25">
        <f>IFERROR(IF(LARGE(Parcelas!$M$5:$M$404,3)&gt;0,INDEX(Parcelas!$E$5:$E$404,MATCH(LARGE(Parcelas!$M$5:$M$404,3),Parcelas!$M$5:$M$404,0)),""),"")</f>
        <v>1500</v>
      </c>
      <c r="G22" s="30">
        <f>IFERROR(IF(LARGE(Parcelas!$M$5:$M$404,3)&gt;0,INDEX(Parcelas!$I$5:$I$404,MATCH(LARGE(Parcelas!$M$5:$M$404,3),Parcelas!$M$5:$M$404,0)),""),"")</f>
        <v>87</v>
      </c>
      <c r="H22" s="24" t="str">
        <f>IFERROR(IF(LARGE(Parcelas!$M$5:$M$404,3)&gt;0,INDEX(Parcelas!$K$5:$K$404,MATCH(LARGE(Parcelas!$M$5:$M$404,3),Parcelas!$M$5:$M$404,0)),""),"")</f>
        <v>30 dias ou mais</v>
      </c>
      <c r="I22" s="27" t="str">
        <f>IFERROR(IF(LARGE(Parcelas!$M$5:$M$404,3)&gt;0,INDEX(Parcelas!$L$5:$L$404,MATCH(LARGE(Parcelas!$M$5:$M$404,3),Parcelas!$M$5:$M$404,0)),""),"")</f>
        <v>Ligação ou reunião para combinar um plano de pagamento; registrar por escrito o que foi combinado e a nova data.</v>
      </c>
      <c r="J22" s="21" t="n"/>
      <c r="K22" s="21" t="n"/>
      <c r="L22" s="22" t="n"/>
    </row>
    <row r="23" ht="32" customHeight="1">
      <c r="A23" s="24" t="n">
        <v>4</v>
      </c>
      <c r="B23" s="23" t="str">
        <f>IFERROR(IF(LARGE(Parcelas!$M$5:$M$404,4)&gt;0,INDEX(Parcelas!$B$5:$B$404,MATCH(LARGE(Parcelas!$M$5:$M$404,4),Parcelas!$M$5:$M$404,0)),""),"")</f>
        <v>Patrícia Gomes</v>
      </c>
      <c r="C23" s="23" t="str">
        <f>IFERROR(IF(LARGE(Parcelas!$M$5:$M$404,4)&gt;0,INDEX(Parcelas!$A$5:$A$404,MATCH(LARGE(Parcelas!$M$5:$M$404,4),Parcelas!$M$5:$M$404,0)),""),"")</f>
        <v>9616569-91.2026.8.26.0079</v>
      </c>
      <c r="D23" s="24">
        <f>IFERROR(IF(LARGE(Parcelas!$M$5:$M$404,4)&gt;0,INDEX(Parcelas!$C$5:$C$404,MATCH(LARGE(Parcelas!$M$5:$M$404,4),Parcelas!$M$5:$M$404,0)),""),"")</f>
        <v>3</v>
      </c>
      <c r="E23" s="29">
        <f>IFERROR(IF(LARGE(Parcelas!$M$5:$M$404,4)&gt;0,INDEX(Parcelas!$D$5:$D$404,MATCH(LARGE(Parcelas!$M$5:$M$404,4),Parcelas!$M$5:$M$404,0)),""),"")</f>
        <v>46248.0</v>
      </c>
      <c r="F23" s="25">
        <f>IFERROR(IF(LARGE(Parcelas!$M$5:$M$404,4)&gt;0,INDEX(Parcelas!$E$5:$E$404,MATCH(LARGE(Parcelas!$M$5:$M$404,4),Parcelas!$M$5:$M$404,0)),""),"")</f>
        <v>2100</v>
      </c>
      <c r="G23" s="30">
        <f>IFERROR(IF(LARGE(Parcelas!$M$5:$M$404,4)&gt;0,INDEX(Parcelas!$I$5:$I$404,MATCH(LARGE(Parcelas!$M$5:$M$404,4),Parcelas!$M$5:$M$404,0)),""),"")</f>
        <v>31</v>
      </c>
      <c r="H23" s="24" t="str">
        <f>IFERROR(IF(LARGE(Parcelas!$M$5:$M$404,4)&gt;0,INDEX(Parcelas!$K$5:$K$404,MATCH(LARGE(Parcelas!$M$5:$M$404,4),Parcelas!$M$5:$M$404,0)),""),"")</f>
        <v>30 dias ou mais</v>
      </c>
      <c r="I23" s="27" t="str">
        <f>IFERROR(IF(LARGE(Parcelas!$M$5:$M$404,4)&gt;0,INDEX(Parcelas!$L$5:$L$404,MATCH(LARGE(Parcelas!$M$5:$M$404,4),Parcelas!$M$5:$M$404,0)),""),"")</f>
        <v>Ligação ou reunião para combinar um plano de pagamento; registrar por escrito o que foi combinado e a nova data.</v>
      </c>
      <c r="J23" s="21" t="n"/>
      <c r="K23" s="21" t="n"/>
      <c r="L23" s="22" t="n"/>
    </row>
    <row r="24" ht="32" customHeight="1">
      <c r="A24" s="24" t="n">
        <v>5</v>
      </c>
      <c r="B24" s="23" t="str">
        <f>IFERROR(IF(LARGE(Parcelas!$M$5:$M$404,5)&gt;0,INDEX(Parcelas!$B$5:$B$404,MATCH(LARGE(Parcelas!$M$5:$M$404,5),Parcelas!$M$5:$M$404,0)),""),"")</f>
        <v>Agência Prisma</v>
      </c>
      <c r="C24" s="23" t="str">
        <f>IFERROR(IF(LARGE(Parcelas!$M$5:$M$404,5)&gt;0,INDEX(Parcelas!$A$5:$A$404,MATCH(LARGE(Parcelas!$M$5:$M$404,5),Parcelas!$M$5:$M$404,0)),""),"")</f>
        <v>9362688-24.2025.8.26.0436</v>
      </c>
      <c r="D24" s="24">
        <f>IFERROR(IF(LARGE(Parcelas!$M$5:$M$404,5)&gt;0,INDEX(Parcelas!$C$5:$C$404,MATCH(LARGE(Parcelas!$M$5:$M$404,5),Parcelas!$M$5:$M$404,0)),""),"")</f>
        <v>8</v>
      </c>
      <c r="E24" s="29">
        <f>IFERROR(IF(LARGE(Parcelas!$M$5:$M$404,5)&gt;0,INDEX(Parcelas!$D$5:$D$404,MATCH(LARGE(Parcelas!$M$5:$M$404,5),Parcelas!$M$5:$M$404,0)),""),"")</f>
        <v>46244.0</v>
      </c>
      <c r="F24" s="25">
        <f>IFERROR(IF(LARGE(Parcelas!$M$5:$M$404,5)&gt;0,INDEX(Parcelas!$E$5:$E$404,MATCH(LARGE(Parcelas!$M$5:$M$404,5),Parcelas!$M$5:$M$404,0)),""),"")</f>
        <v>1800</v>
      </c>
      <c r="G24" s="30">
        <f>IFERROR(IF(LARGE(Parcelas!$M$5:$M$404,5)&gt;0,INDEX(Parcelas!$I$5:$I$404,MATCH(LARGE(Parcelas!$M$5:$M$404,5),Parcelas!$M$5:$M$404,0)),""),"")</f>
        <v>35</v>
      </c>
      <c r="H24" s="24" t="str">
        <f>IFERROR(IF(LARGE(Parcelas!$M$5:$M$404,5)&gt;0,INDEX(Parcelas!$K$5:$K$404,MATCH(LARGE(Parcelas!$M$5:$M$404,5),Parcelas!$M$5:$M$404,0)),""),"")</f>
        <v>30 dias ou mais</v>
      </c>
      <c r="I24" s="27" t="str">
        <f>IFERROR(IF(LARGE(Parcelas!$M$5:$M$404,5)&gt;0,INDEX(Parcelas!$L$5:$L$404,MATCH(LARGE(Parcelas!$M$5:$M$404,5),Parcelas!$M$5:$M$404,0)),""),"")</f>
        <v>Ligação ou reunião para combinar um plano de pagamento; registrar por escrito o que foi combinado e a nova data.</v>
      </c>
      <c r="J24" s="21" t="n"/>
      <c r="K24" s="21" t="n"/>
      <c r="L24" s="22" t="n"/>
    </row>
    <row r="25" ht="32" customHeight="1">
      <c r="A25" s="24" t="n">
        <v>6</v>
      </c>
      <c r="B25" s="23" t="str">
        <f>IFERROR(IF(LARGE(Parcelas!$M$5:$M$404,6)&gt;0,INDEX(Parcelas!$B$5:$B$404,MATCH(LARGE(Parcelas!$M$5:$M$404,6),Parcelas!$M$5:$M$404,0)),""),"")</f>
        <v>Helena Duarte</v>
      </c>
      <c r="C25" s="23" t="str">
        <f>IFERROR(IF(LARGE(Parcelas!$M$5:$M$404,6)&gt;0,INDEX(Parcelas!$A$5:$A$404,MATCH(LARGE(Parcelas!$M$5:$M$404,6),Parcelas!$M$5:$M$404,0)),""),"")</f>
        <v>7679821-77.2026.8.26.0265</v>
      </c>
      <c r="D25" s="24">
        <f>IFERROR(IF(LARGE(Parcelas!$M$5:$M$404,6)&gt;0,INDEX(Parcelas!$C$5:$C$404,MATCH(LARGE(Parcelas!$M$5:$M$404,6),Parcelas!$M$5:$M$404,0)),""),"")</f>
        <v>3</v>
      </c>
      <c r="E25" s="29">
        <f>IFERROR(IF(LARGE(Parcelas!$M$5:$M$404,6)&gt;0,INDEX(Parcelas!$D$5:$D$404,MATCH(LARGE(Parcelas!$M$5:$M$404,6),Parcelas!$M$5:$M$404,0)),""),"")</f>
        <v>46262.0</v>
      </c>
      <c r="F25" s="25">
        <f>IFERROR(IF(LARGE(Parcelas!$M$5:$M$404,6)&gt;0,INDEX(Parcelas!$E$5:$E$404,MATCH(LARGE(Parcelas!$M$5:$M$404,6),Parcelas!$M$5:$M$404,0)),""),"")</f>
        <v>1500</v>
      </c>
      <c r="G25" s="30">
        <f>IFERROR(IF(LARGE(Parcelas!$M$5:$M$404,6)&gt;0,INDEX(Parcelas!$I$5:$I$404,MATCH(LARGE(Parcelas!$M$5:$M$404,6),Parcelas!$M$5:$M$404,0)),""),"")</f>
        <v>17</v>
      </c>
      <c r="H25" s="24" t="str">
        <f>IFERROR(IF(LARGE(Parcelas!$M$5:$M$404,6)&gt;0,INDEX(Parcelas!$K$5:$K$404,MATCH(LARGE(Parcelas!$M$5:$M$404,6),Parcelas!$M$5:$M$404,0)),""),"")</f>
        <v>15 a 29 dias</v>
      </c>
      <c r="I25" s="27" t="str">
        <f>IFERROR(IF(LARGE(Parcelas!$M$5:$M$404,6)&gt;0,INDEX(Parcelas!$L$5:$L$404,MATCH(LARGE(Parcelas!$M$5:$M$404,6),Parcelas!$M$5:$M$404,0)),""),"")</f>
        <v>E-mail com o demonstrativo das parcelas em aberto e proposta de renegociação (nova data ou divisão do valor).</v>
      </c>
      <c r="J25" s="21" t="n"/>
      <c r="K25" s="21" t="n"/>
      <c r="L25" s="22" t="n"/>
    </row>
    <row r="26" ht="32" customHeight="1">
      <c r="A26" s="24" t="n">
        <v>7</v>
      </c>
      <c r="B26" s="23" t="str">
        <f>IFERROR(IF(LARGE(Parcelas!$M$5:$M$404,7)&gt;0,INDEX(Parcelas!$B$5:$B$404,MATCH(LARGE(Parcelas!$M$5:$M$404,7),Parcelas!$M$5:$M$404,0)),""),"")</f>
        <v>Agência Prisma</v>
      </c>
      <c r="C26" s="23" t="str">
        <f>IFERROR(IF(LARGE(Parcelas!$M$5:$M$404,7)&gt;0,INDEX(Parcelas!$A$5:$A$404,MATCH(LARGE(Parcelas!$M$5:$M$404,7),Parcelas!$M$5:$M$404,0)),""),"")</f>
        <v>9362688-24.2025.8.26.0436</v>
      </c>
      <c r="D26" s="24">
        <f>IFERROR(IF(LARGE(Parcelas!$M$5:$M$404,7)&gt;0,INDEX(Parcelas!$C$5:$C$404,MATCH(LARGE(Parcelas!$M$5:$M$404,7),Parcelas!$M$5:$M$404,0)),""),"")</f>
        <v>9</v>
      </c>
      <c r="E26" s="29">
        <f>IFERROR(IF(LARGE(Parcelas!$M$5:$M$404,7)&gt;0,INDEX(Parcelas!$D$5:$D$404,MATCH(LARGE(Parcelas!$M$5:$M$404,7),Parcelas!$M$5:$M$404,0)),""),"")</f>
        <v>46275.0</v>
      </c>
      <c r="F26" s="25">
        <f>IFERROR(IF(LARGE(Parcelas!$M$5:$M$404,7)&gt;0,INDEX(Parcelas!$E$5:$E$404,MATCH(LARGE(Parcelas!$M$5:$M$404,7),Parcelas!$M$5:$M$404,0)),""),"")</f>
        <v>1980</v>
      </c>
      <c r="G26" s="30">
        <f>IFERROR(IF(LARGE(Parcelas!$M$5:$M$404,7)&gt;0,INDEX(Parcelas!$I$5:$I$404,MATCH(LARGE(Parcelas!$M$5:$M$404,7),Parcelas!$M$5:$M$404,0)),""),"")</f>
        <v>4</v>
      </c>
      <c r="H26" s="24" t="str">
        <f>IFERROR(IF(LARGE(Parcelas!$M$5:$M$404,7)&gt;0,INDEX(Parcelas!$K$5:$K$404,MATCH(LARGE(Parcelas!$M$5:$M$404,7),Parcelas!$M$5:$M$404,0)),""),"")</f>
        <v>1 a 6 dias</v>
      </c>
      <c r="I26" s="27" t="str">
        <f>IFERROR(IF(LARGE(Parcelas!$M$5:$M$404,7)&gt;0,INDEX(Parcelas!$L$5:$L$404,MATCH(LARGE(Parcelas!$M$5:$M$404,7),Parcelas!$M$5:$M$404,0)),""),"")</f>
        <v>Lembrete gentil por WhatsApp ou e-mail: confirmar se o boleto ou o link de pagamento chegou e reenviar, se preciso.</v>
      </c>
      <c r="J26" s="21" t="n"/>
      <c r="K26" s="21" t="n"/>
      <c r="L26" s="22" t="n"/>
    </row>
    <row r="27" ht="32" customHeight="1">
      <c r="A27" s="24" t="n">
        <v>8</v>
      </c>
      <c r="B27" s="23">
        <f>IFERROR(IF(LARGE(Parcelas!$M$5:$M$404,8)&gt;0,INDEX(Parcelas!$B$5:$B$404,MATCH(LARGE(Parcelas!$M$5:$M$404,8),Parcelas!$M$5:$M$404,0)),""),"")</f>
        <v/>
      </c>
      <c r="C27" s="23">
        <f>IFERROR(IF(LARGE(Parcelas!$M$5:$M$404,8)&gt;0,INDEX(Parcelas!$A$5:$A$404,MATCH(LARGE(Parcelas!$M$5:$M$404,8),Parcelas!$M$5:$M$404,0)),""),"")</f>
        <v/>
      </c>
      <c r="D27" s="24">
        <f>IFERROR(IF(LARGE(Parcelas!$M$5:$M$404,8)&gt;0,INDEX(Parcelas!$C$5:$C$404,MATCH(LARGE(Parcelas!$M$5:$M$404,8),Parcelas!$M$5:$M$404,0)),""),"")</f>
        <v/>
      </c>
      <c r="E27" s="29">
        <f>IFERROR(IF(LARGE(Parcelas!$M$5:$M$404,8)&gt;0,INDEX(Parcelas!$D$5:$D$404,MATCH(LARGE(Parcelas!$M$5:$M$404,8),Parcelas!$M$5:$M$404,0)),""),"")</f>
        <v/>
      </c>
      <c r="F27" s="25">
        <f>IFERROR(IF(LARGE(Parcelas!$M$5:$M$404,8)&gt;0,INDEX(Parcelas!$E$5:$E$404,MATCH(LARGE(Parcelas!$M$5:$M$404,8),Parcelas!$M$5:$M$404,0)),""),"")</f>
        <v/>
      </c>
      <c r="G27" s="30">
        <f>IFERROR(IF(LARGE(Parcelas!$M$5:$M$404,8)&gt;0,INDEX(Parcelas!$I$5:$I$404,MATCH(LARGE(Parcelas!$M$5:$M$404,8),Parcelas!$M$5:$M$404,0)),""),"")</f>
        <v/>
      </c>
      <c r="H27" s="24">
        <f>IFERROR(IF(LARGE(Parcelas!$M$5:$M$404,8)&gt;0,INDEX(Parcelas!$K$5:$K$404,MATCH(LARGE(Parcelas!$M$5:$M$404,8),Parcelas!$M$5:$M$404,0)),""),"")</f>
        <v/>
      </c>
      <c r="I27" s="27">
        <f>IFERROR(IF(LARGE(Parcelas!$M$5:$M$404,8)&gt;0,INDEX(Parcelas!$L$5:$L$404,MATCH(LARGE(Parcelas!$M$5:$M$404,8),Parcelas!$M$5:$M$404,0)),""),"")</f>
        <v/>
      </c>
      <c r="J27" s="21" t="n"/>
      <c r="K27" s="21" t="n"/>
      <c r="L27" s="22" t="n"/>
    </row>
    <row r="28" ht="32" customHeight="1">
      <c r="A28" s="24" t="n">
        <v>9</v>
      </c>
      <c r="B28" s="23">
        <f>IFERROR(IF(LARGE(Parcelas!$M$5:$M$404,9)&gt;0,INDEX(Parcelas!$B$5:$B$404,MATCH(LARGE(Parcelas!$M$5:$M$404,9),Parcelas!$M$5:$M$404,0)),""),"")</f>
        <v/>
      </c>
      <c r="C28" s="23">
        <f>IFERROR(IF(LARGE(Parcelas!$M$5:$M$404,9)&gt;0,INDEX(Parcelas!$A$5:$A$404,MATCH(LARGE(Parcelas!$M$5:$M$404,9),Parcelas!$M$5:$M$404,0)),""),"")</f>
        <v/>
      </c>
      <c r="D28" s="24">
        <f>IFERROR(IF(LARGE(Parcelas!$M$5:$M$404,9)&gt;0,INDEX(Parcelas!$C$5:$C$404,MATCH(LARGE(Parcelas!$M$5:$M$404,9),Parcelas!$M$5:$M$404,0)),""),"")</f>
        <v/>
      </c>
      <c r="E28" s="29">
        <f>IFERROR(IF(LARGE(Parcelas!$M$5:$M$404,9)&gt;0,INDEX(Parcelas!$D$5:$D$404,MATCH(LARGE(Parcelas!$M$5:$M$404,9),Parcelas!$M$5:$M$404,0)),""),"")</f>
        <v/>
      </c>
      <c r="F28" s="25">
        <f>IFERROR(IF(LARGE(Parcelas!$M$5:$M$404,9)&gt;0,INDEX(Parcelas!$E$5:$E$404,MATCH(LARGE(Parcelas!$M$5:$M$404,9),Parcelas!$M$5:$M$404,0)),""),"")</f>
        <v/>
      </c>
      <c r="G28" s="30">
        <f>IFERROR(IF(LARGE(Parcelas!$M$5:$M$404,9)&gt;0,INDEX(Parcelas!$I$5:$I$404,MATCH(LARGE(Parcelas!$M$5:$M$404,9),Parcelas!$M$5:$M$404,0)),""),"")</f>
        <v/>
      </c>
      <c r="H28" s="24">
        <f>IFERROR(IF(LARGE(Parcelas!$M$5:$M$404,9)&gt;0,INDEX(Parcelas!$K$5:$K$404,MATCH(LARGE(Parcelas!$M$5:$M$404,9),Parcelas!$M$5:$M$404,0)),""),"")</f>
        <v/>
      </c>
      <c r="I28" s="27">
        <f>IFERROR(IF(LARGE(Parcelas!$M$5:$M$404,9)&gt;0,INDEX(Parcelas!$L$5:$L$404,MATCH(LARGE(Parcelas!$M$5:$M$404,9),Parcelas!$M$5:$M$404,0)),""),"")</f>
        <v/>
      </c>
      <c r="J28" s="21" t="n"/>
      <c r="K28" s="21" t="n"/>
      <c r="L28" s="22" t="n"/>
    </row>
    <row r="29" ht="32" customHeight="1">
      <c r="A29" s="24" t="n">
        <v>10</v>
      </c>
      <c r="B29" s="23">
        <f>IFERROR(IF(LARGE(Parcelas!$M$5:$M$404,10)&gt;0,INDEX(Parcelas!$B$5:$B$404,MATCH(LARGE(Parcelas!$M$5:$M$404,10),Parcelas!$M$5:$M$404,0)),""),"")</f>
        <v/>
      </c>
      <c r="C29" s="23">
        <f>IFERROR(IF(LARGE(Parcelas!$M$5:$M$404,10)&gt;0,INDEX(Parcelas!$A$5:$A$404,MATCH(LARGE(Parcelas!$M$5:$M$404,10),Parcelas!$M$5:$M$404,0)),""),"")</f>
        <v/>
      </c>
      <c r="D29" s="24">
        <f>IFERROR(IF(LARGE(Parcelas!$M$5:$M$404,10)&gt;0,INDEX(Parcelas!$C$5:$C$404,MATCH(LARGE(Parcelas!$M$5:$M$404,10),Parcelas!$M$5:$M$404,0)),""),"")</f>
        <v/>
      </c>
      <c r="E29" s="29">
        <f>IFERROR(IF(LARGE(Parcelas!$M$5:$M$404,10)&gt;0,INDEX(Parcelas!$D$5:$D$404,MATCH(LARGE(Parcelas!$M$5:$M$404,10),Parcelas!$M$5:$M$404,0)),""),"")</f>
        <v/>
      </c>
      <c r="F29" s="25">
        <f>IFERROR(IF(LARGE(Parcelas!$M$5:$M$404,10)&gt;0,INDEX(Parcelas!$E$5:$E$404,MATCH(LARGE(Parcelas!$M$5:$M$404,10),Parcelas!$M$5:$M$404,0)),""),"")</f>
        <v/>
      </c>
      <c r="G29" s="30">
        <f>IFERROR(IF(LARGE(Parcelas!$M$5:$M$404,10)&gt;0,INDEX(Parcelas!$I$5:$I$404,MATCH(LARGE(Parcelas!$M$5:$M$404,10),Parcelas!$M$5:$M$404,0)),""),"")</f>
        <v/>
      </c>
      <c r="H29" s="24">
        <f>IFERROR(IF(LARGE(Parcelas!$M$5:$M$404,10)&gt;0,INDEX(Parcelas!$K$5:$K$404,MATCH(LARGE(Parcelas!$M$5:$M$404,10),Parcelas!$M$5:$M$404,0)),""),"")</f>
        <v/>
      </c>
      <c r="I29" s="27">
        <f>IFERROR(IF(LARGE(Parcelas!$M$5:$M$404,10)&gt;0,INDEX(Parcelas!$L$5:$L$404,MATCH(LARGE(Parcelas!$M$5:$M$404,10),Parcelas!$M$5:$M$404,0)),""),"")</f>
        <v/>
      </c>
      <c r="J29" s="21" t="n"/>
      <c r="K29" s="21" t="n"/>
      <c r="L29" s="22" t="n"/>
    </row>
    <row r="31">
      <c r="A31" s="19" t="inlineStr">
        <is>
          <t>Vencem nos próximos dias</t>
        </is>
      </c>
    </row>
    <row r="32">
      <c r="A32" s="28" t="str">
        <f>"Parcelas a vencer em até "&amp;Config!$B$7&amp;" dias, a mais próxima primeiro. Bom momento para confirmar o pagamento antes do vencimento."</f>
        <v>Parcelas a vencer em até 30 dias, a mais próxima primeiro. Bom momento para confirmar o pagamento antes do vencimento.</v>
      </c>
    </row>
    <row r="33" ht="26" customHeight="1">
      <c r="A33" s="20" t="inlineStr">
        <is>
          <t>#</t>
        </is>
      </c>
      <c r="B33" s="20" t="inlineStr">
        <is>
          <t>Cliente</t>
        </is>
      </c>
      <c r="C33" s="20" t="inlineStr">
        <is>
          <t>Caso</t>
        </is>
      </c>
      <c r="D33" s="20" t="inlineStr">
        <is>
          <t>Parcela</t>
        </is>
      </c>
      <c r="E33" s="20" t="inlineStr">
        <is>
          <t>Vencimento</t>
        </is>
      </c>
      <c r="F33" s="20" t="inlineStr">
        <is>
          <t>Valor (R$)</t>
        </is>
      </c>
      <c r="G33" s="20" t="inlineStr">
        <is>
          <t>Dias para vencer</t>
        </is>
      </c>
    </row>
    <row r="34">
      <c r="A34" s="24" t="n">
        <v>1</v>
      </c>
      <c r="B34" s="23" t="str">
        <f>IFERROR(IF(LARGE(Parcelas!$N$5:$N$404,1)&gt;0,INDEX(Parcelas!$B$5:$B$404,MATCH(LARGE(Parcelas!$N$5:$N$404,1),Parcelas!$N$5:$N$404,0)),""),"")</f>
        <v>Loja Verde Comércio</v>
      </c>
      <c r="C34" s="23" t="str">
        <f>IFERROR(IF(LARGE(Parcelas!$N$5:$N$404,1)&gt;0,INDEX(Parcelas!$A$5:$A$404,MATCH(LARGE(Parcelas!$N$5:$N$404,1),Parcelas!$N$5:$N$404,0)),""),"")</f>
        <v>CONS-2026-02</v>
      </c>
      <c r="D34" s="24">
        <f>IFERROR(IF(LARGE(Parcelas!$N$5:$N$404,1)&gt;0,INDEX(Parcelas!$C$5:$C$404,MATCH(LARGE(Parcelas!$N$5:$N$404,1),Parcelas!$N$5:$N$404,0)),""),"")</f>
        <v>2</v>
      </c>
      <c r="E34" s="29">
        <f>IFERROR(IF(LARGE(Parcelas!$N$5:$N$404,1)&gt;0,INDEX(Parcelas!$D$5:$D$404,MATCH(LARGE(Parcelas!$N$5:$N$404,1),Parcelas!$N$5:$N$404,0)),""),"")</f>
        <v>46282.0</v>
      </c>
      <c r="F34" s="25">
        <f>IFERROR(IF(LARGE(Parcelas!$N$5:$N$404,1)&gt;0,INDEX(Parcelas!$E$5:$E$404,MATCH(LARGE(Parcelas!$N$5:$N$404,1),Parcelas!$N$5:$N$404,0)),""),"")</f>
        <v>2800</v>
      </c>
      <c r="G34" s="30">
        <f>IFERROR(IF(LARGE(Parcelas!$N$5:$N$404,1)&gt;0,INDEX(Parcelas!$J$5:$J$404,MATCH(LARGE(Parcelas!$N$5:$N$404,1),Parcelas!$N$5:$N$404,0)),""),"")</f>
        <v>3</v>
      </c>
    </row>
    <row r="35">
      <c r="A35" s="24" t="n">
        <v>2</v>
      </c>
      <c r="B35" s="23" t="str">
        <f>IFERROR(IF(LARGE(Parcelas!$N$5:$N$404,2)&gt;0,INDEX(Parcelas!$B$5:$B$404,MATCH(LARGE(Parcelas!$N$5:$N$404,2),Parcelas!$N$5:$N$404,0)),""),"")</f>
        <v>Clínica Bem-Estar</v>
      </c>
      <c r="C35" s="23" t="str">
        <f>IFERROR(IF(LARGE(Parcelas!$N$5:$N$404,2)&gt;0,INDEX(Parcelas!$A$5:$A$404,MATCH(LARGE(Parcelas!$N$5:$N$404,2),Parcelas!$N$5:$N$404,0)),""),"")</f>
        <v>2645033-67.2026.8.26.0012</v>
      </c>
      <c r="D35" s="24">
        <f>IFERROR(IF(LARGE(Parcelas!$N$5:$N$404,2)&gt;0,INDEX(Parcelas!$C$5:$C$404,MATCH(LARGE(Parcelas!$N$5:$N$404,2),Parcelas!$N$5:$N$404,0)),""),"")</f>
        <v>5</v>
      </c>
      <c r="E35" s="29">
        <f>IFERROR(IF(LARGE(Parcelas!$N$5:$N$404,2)&gt;0,INDEX(Parcelas!$D$5:$D$404,MATCH(LARGE(Parcelas!$N$5:$N$404,2),Parcelas!$N$5:$N$404,0)),""),"")</f>
        <v>46289.0</v>
      </c>
      <c r="F35" s="25">
        <f>IFERROR(IF(LARGE(Parcelas!$N$5:$N$404,2)&gt;0,INDEX(Parcelas!$E$5:$E$404,MATCH(LARGE(Parcelas!$N$5:$N$404,2),Parcelas!$N$5:$N$404,0)),""),"")</f>
        <v>2700</v>
      </c>
      <c r="G35" s="30">
        <f>IFERROR(IF(LARGE(Parcelas!$N$5:$N$404,2)&gt;0,INDEX(Parcelas!$J$5:$J$404,MATCH(LARGE(Parcelas!$N$5:$N$404,2),Parcelas!$N$5:$N$404,0)),""),"")</f>
        <v>10</v>
      </c>
    </row>
    <row r="36">
      <c r="A36" s="24" t="n">
        <v>3</v>
      </c>
      <c r="B36" s="23" t="str">
        <f>IFERROR(IF(LARGE(Parcelas!$N$5:$N$404,3)&gt;0,INDEX(Parcelas!$B$5:$B$404,MATCH(LARGE(Parcelas!$N$5:$N$404,3),Parcelas!$N$5:$N$404,0)),""),"")</f>
        <v>Marcos Vinícius Teles</v>
      </c>
      <c r="C36" s="23" t="str">
        <f>IFERROR(IF(LARGE(Parcelas!$N$5:$N$404,3)&gt;0,INDEX(Parcelas!$A$5:$A$404,MATCH(LARGE(Parcelas!$N$5:$N$404,3),Parcelas!$N$5:$N$404,0)),""),"")</f>
        <v>CONS-2026-03</v>
      </c>
      <c r="D36" s="24">
        <f>IFERROR(IF(LARGE(Parcelas!$N$5:$N$404,3)&gt;0,INDEX(Parcelas!$C$5:$C$404,MATCH(LARGE(Parcelas!$N$5:$N$404,3),Parcelas!$N$5:$N$404,0)),""),"")</f>
        <v>2</v>
      </c>
      <c r="E36" s="29">
        <f>IFERROR(IF(LARGE(Parcelas!$N$5:$N$404,3)&gt;0,INDEX(Parcelas!$D$5:$D$404,MATCH(LARGE(Parcelas!$N$5:$N$404,3),Parcelas!$N$5:$N$404,0)),""),"")</f>
        <v>46290.0</v>
      </c>
      <c r="F36" s="25">
        <f>IFERROR(IF(LARGE(Parcelas!$N$5:$N$404,3)&gt;0,INDEX(Parcelas!$E$5:$E$404,MATCH(LARGE(Parcelas!$N$5:$N$404,3),Parcelas!$N$5:$N$404,0)),""),"")</f>
        <v>2250</v>
      </c>
      <c r="G36" s="30">
        <f>IFERROR(IF(LARGE(Parcelas!$N$5:$N$404,3)&gt;0,INDEX(Parcelas!$J$5:$J$404,MATCH(LARGE(Parcelas!$N$5:$N$404,3),Parcelas!$N$5:$N$404,0)),""),"")</f>
        <v>11</v>
      </c>
    </row>
    <row r="37">
      <c r="A37" s="24" t="n">
        <v>4</v>
      </c>
      <c r="B37" s="23" t="str">
        <f>IFERROR(IF(LARGE(Parcelas!$N$5:$N$404,4)&gt;0,INDEX(Parcelas!$B$5:$B$404,MATCH(LARGE(Parcelas!$N$5:$N$404,4),Parcelas!$N$5:$N$404,0)),""),"")</f>
        <v>Construtora Horizonte</v>
      </c>
      <c r="C37" s="23" t="str">
        <f>IFERROR(IF(LARGE(Parcelas!$N$5:$N$404,4)&gt;0,INDEX(Parcelas!$A$5:$A$404,MATCH(LARGE(Parcelas!$N$5:$N$404,4),Parcelas!$N$5:$N$404,0)),""),"")</f>
        <v>9586960-92.2026.8.26.0106</v>
      </c>
      <c r="D37" s="24">
        <f>IFERROR(IF(LARGE(Parcelas!$N$5:$N$404,4)&gt;0,INDEX(Parcelas!$C$5:$C$404,MATCH(LARGE(Parcelas!$N$5:$N$404,4),Parcelas!$N$5:$N$404,0)),""),"")</f>
        <v>3</v>
      </c>
      <c r="E37" s="29">
        <f>IFERROR(IF(LARGE(Parcelas!$N$5:$N$404,4)&gt;0,INDEX(Parcelas!$D$5:$D$404,MATCH(LARGE(Parcelas!$N$5:$N$404,4),Parcelas!$N$5:$N$404,0)),""),"")</f>
        <v>46293.0</v>
      </c>
      <c r="F37" s="25">
        <f>IFERROR(IF(LARGE(Parcelas!$N$5:$N$404,4)&gt;0,INDEX(Parcelas!$E$5:$E$404,MATCH(LARGE(Parcelas!$N$5:$N$404,4),Parcelas!$N$5:$N$404,0)),""),"")</f>
        <v>2100</v>
      </c>
      <c r="G37" s="30">
        <f>IFERROR(IF(LARGE(Parcelas!$N$5:$N$404,4)&gt;0,INDEX(Parcelas!$J$5:$J$404,MATCH(LARGE(Parcelas!$N$5:$N$404,4),Parcelas!$N$5:$N$404,0)),""),"")</f>
        <v>14</v>
      </c>
    </row>
    <row r="38">
      <c r="A38" s="24" t="n">
        <v>5</v>
      </c>
      <c r="B38" s="23" t="str">
        <f>IFERROR(IF(LARGE(Parcelas!$N$5:$N$404,5)&gt;0,INDEX(Parcelas!$B$5:$B$404,MATCH(LARGE(Parcelas!$N$5:$N$404,5),Parcelas!$N$5:$N$404,0)),""),"")</f>
        <v>Helena Duarte</v>
      </c>
      <c r="C38" s="23" t="str">
        <f>IFERROR(IF(LARGE(Parcelas!$N$5:$N$404,5)&gt;0,INDEX(Parcelas!$A$5:$A$404,MATCH(LARGE(Parcelas!$N$5:$N$404,5),Parcelas!$N$5:$N$404,0)),""),"")</f>
        <v>7679821-77.2026.8.26.0265</v>
      </c>
      <c r="D38" s="24">
        <f>IFERROR(IF(LARGE(Parcelas!$N$5:$N$404,5)&gt;0,INDEX(Parcelas!$C$5:$C$404,MATCH(LARGE(Parcelas!$N$5:$N$404,5),Parcelas!$N$5:$N$404,0)),""),"")</f>
        <v>4</v>
      </c>
      <c r="E38" s="29">
        <f>IFERROR(IF(LARGE(Parcelas!$N$5:$N$404,5)&gt;0,INDEX(Parcelas!$D$5:$D$404,MATCH(LARGE(Parcelas!$N$5:$N$404,5),Parcelas!$N$5:$N$404,0)),""),"")</f>
        <v>46293.0</v>
      </c>
      <c r="F38" s="25">
        <f>IFERROR(IF(LARGE(Parcelas!$N$5:$N$404,5)&gt;0,INDEX(Parcelas!$E$5:$E$404,MATCH(LARGE(Parcelas!$N$5:$N$404,5),Parcelas!$N$5:$N$404,0)),""),"")</f>
        <v>1500</v>
      </c>
      <c r="G38" s="30">
        <f>IFERROR(IF(LARGE(Parcelas!$N$5:$N$404,5)&gt;0,INDEX(Parcelas!$J$5:$J$404,MATCH(LARGE(Parcelas!$N$5:$N$404,5),Parcelas!$N$5:$N$404,0)),""),"")</f>
        <v>14</v>
      </c>
    </row>
    <row r="39">
      <c r="A39" s="24" t="n">
        <v>6</v>
      </c>
      <c r="B39" s="23" t="str">
        <f>IFERROR(IF(LARGE(Parcelas!$N$5:$N$404,6)&gt;0,INDEX(Parcelas!$B$5:$B$404,MATCH(LARGE(Parcelas!$N$5:$N$404,6),Parcelas!$N$5:$N$404,0)),""),"")</f>
        <v>Carlos Eduardo Nunes</v>
      </c>
      <c r="C39" s="23" t="str">
        <f>IFERROR(IF(LARGE(Parcelas!$N$5:$N$404,6)&gt;0,INDEX(Parcelas!$A$5:$A$404,MATCH(LARGE(Parcelas!$N$5:$N$404,6),Parcelas!$N$5:$N$404,0)),""),"")</f>
        <v>4746093-86.2026.8.26.0637</v>
      </c>
      <c r="D39" s="24">
        <f>IFERROR(IF(LARGE(Parcelas!$N$5:$N$404,6)&gt;0,INDEX(Parcelas!$C$5:$C$404,MATCH(LARGE(Parcelas!$N$5:$N$404,6),Parcelas!$N$5:$N$404,0)),""),"")</f>
        <v>3</v>
      </c>
      <c r="E39" s="29">
        <f>IFERROR(IF(LARGE(Parcelas!$N$5:$N$404,6)&gt;0,INDEX(Parcelas!$D$5:$D$404,MATCH(LARGE(Parcelas!$N$5:$N$404,6),Parcelas!$N$5:$N$404,0)),""),"")</f>
        <v>46295.0</v>
      </c>
      <c r="F39" s="25">
        <f>IFERROR(IF(LARGE(Parcelas!$N$5:$N$404,6)&gt;0,INDEX(Parcelas!$E$5:$E$404,MATCH(LARGE(Parcelas!$N$5:$N$404,6),Parcelas!$N$5:$N$404,0)),""),"")</f>
        <v>1500</v>
      </c>
      <c r="G39" s="30">
        <f>IFERROR(IF(LARGE(Parcelas!$N$5:$N$404,6)&gt;0,INDEX(Parcelas!$J$5:$J$404,MATCH(LARGE(Parcelas!$N$5:$N$404,6),Parcelas!$N$5:$N$404,0)),""),"")</f>
        <v>16</v>
      </c>
    </row>
    <row r="40">
      <c r="A40" s="24" t="n">
        <v>7</v>
      </c>
      <c r="B40" s="23" t="str">
        <f>IFERROR(IF(LARGE(Parcelas!$N$5:$N$404,7)&gt;0,INDEX(Parcelas!$B$5:$B$404,MATCH(LARGE(Parcelas!$N$5:$N$404,7),Parcelas!$N$5:$N$404,0)),""),"")</f>
        <v>Padaria do Sol Ltda</v>
      </c>
      <c r="C40" s="23" t="str">
        <f>IFERROR(IF(LARGE(Parcelas!$N$5:$N$404,7)&gt;0,INDEX(Parcelas!$A$5:$A$404,MATCH(LARGE(Parcelas!$N$5:$N$404,7),Parcelas!$N$5:$N$404,0)),""),"")</f>
        <v>CONS-2026-01</v>
      </c>
      <c r="D40" s="24">
        <f>IFERROR(IF(LARGE(Parcelas!$N$5:$N$404,7)&gt;0,INDEX(Parcelas!$C$5:$C$404,MATCH(LARGE(Parcelas!$N$5:$N$404,7),Parcelas!$N$5:$N$404,0)),""),"")</f>
        <v>4</v>
      </c>
      <c r="E40" s="29">
        <f>IFERROR(IF(LARGE(Parcelas!$N$5:$N$404,7)&gt;0,INDEX(Parcelas!$D$5:$D$404,MATCH(LARGE(Parcelas!$N$5:$N$404,7),Parcelas!$N$5:$N$404,0)),""),"")</f>
        <v>46300.0</v>
      </c>
      <c r="F40" s="25">
        <f>IFERROR(IF(LARGE(Parcelas!$N$5:$N$404,7)&gt;0,INDEX(Parcelas!$E$5:$E$404,MATCH(LARGE(Parcelas!$N$5:$N$404,7),Parcelas!$N$5:$N$404,0)),""),"")</f>
        <v>1500</v>
      </c>
      <c r="G40" s="30">
        <f>IFERROR(IF(LARGE(Parcelas!$N$5:$N$404,7)&gt;0,INDEX(Parcelas!$J$5:$J$404,MATCH(LARGE(Parcelas!$N$5:$N$404,7),Parcelas!$N$5:$N$404,0)),""),"")</f>
        <v>21</v>
      </c>
    </row>
    <row r="41">
      <c r="A41" s="24" t="n">
        <v>8</v>
      </c>
      <c r="B41" s="23" t="str">
        <f>IFERROR(IF(LARGE(Parcelas!$N$5:$N$404,8)&gt;0,INDEX(Parcelas!$B$5:$B$404,MATCH(LARGE(Parcelas!$N$5:$N$404,8),Parcelas!$N$5:$N$404,0)),""),"")</f>
        <v>Escola Aurora</v>
      </c>
      <c r="C41" s="23" t="str">
        <f>IFERROR(IF(LARGE(Parcelas!$N$5:$N$404,8)&gt;0,INDEX(Parcelas!$A$5:$A$404,MATCH(LARGE(Parcelas!$N$5:$N$404,8),Parcelas!$N$5:$N$404,0)),""),"")</f>
        <v>CONS-2026-04</v>
      </c>
      <c r="D41" s="24">
        <f>IFERROR(IF(LARGE(Parcelas!$N$5:$N$404,8)&gt;0,INDEX(Parcelas!$C$5:$C$404,MATCH(LARGE(Parcelas!$N$5:$N$404,8),Parcelas!$N$5:$N$404,0)),""),"")</f>
        <v>3</v>
      </c>
      <c r="E41" s="29">
        <f>IFERROR(IF(LARGE(Parcelas!$N$5:$N$404,8)&gt;0,INDEX(Parcelas!$D$5:$D$404,MATCH(LARGE(Parcelas!$N$5:$N$404,8),Parcelas!$N$5:$N$404,0)),""),"")</f>
        <v>46305.0</v>
      </c>
      <c r="F41" s="25">
        <f>IFERROR(IF(LARGE(Parcelas!$N$5:$N$404,8)&gt;0,INDEX(Parcelas!$E$5:$E$404,MATCH(LARGE(Parcelas!$N$5:$N$404,8),Parcelas!$N$5:$N$404,0)),""),"")</f>
        <v>1100</v>
      </c>
      <c r="G41" s="30">
        <f>IFERROR(IF(LARGE(Parcelas!$N$5:$N$404,8)&gt;0,INDEX(Parcelas!$J$5:$J$404,MATCH(LARGE(Parcelas!$N$5:$N$404,8),Parcelas!$N$5:$N$404,0)),""),"")</f>
        <v>26</v>
      </c>
    </row>
    <row r="43">
      <c r="A43" s="28" t="inlineStr">
        <is>
          <t>Fonte: aba Parcelas. A planilha avisa e sugere; a conversa com o cliente é sua.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34">
    <mergeCell ref="A7:L7"/>
    <mergeCell ref="C5:D5"/>
    <mergeCell ref="E5:F5"/>
    <mergeCell ref="K5:L5"/>
    <mergeCell ref="I20:L20"/>
    <mergeCell ref="I29:L29"/>
    <mergeCell ref="A18:L18"/>
    <mergeCell ref="I19:L19"/>
    <mergeCell ref="C4:D4"/>
    <mergeCell ref="A2:L2"/>
    <mergeCell ref="E4:F4"/>
    <mergeCell ref="E12:H12"/>
    <mergeCell ref="A32:L32"/>
    <mergeCell ref="I27:L27"/>
    <mergeCell ref="E14:H14"/>
    <mergeCell ref="I26:L26"/>
    <mergeCell ref="A5:B5"/>
    <mergeCell ref="G5:H5"/>
    <mergeCell ref="I5:J5"/>
    <mergeCell ref="I25:L25"/>
    <mergeCell ref="E10:H10"/>
    <mergeCell ref="E13:H13"/>
    <mergeCell ref="A4:B4"/>
    <mergeCell ref="G4:H4"/>
    <mergeCell ref="I22:L22"/>
    <mergeCell ref="I28:L28"/>
    <mergeCell ref="I4:J4"/>
    <mergeCell ref="I21:L21"/>
    <mergeCell ref="A1:L1"/>
    <mergeCell ref="E15:H15"/>
    <mergeCell ref="I24:L24"/>
    <mergeCell ref="K4:L4"/>
    <mergeCell ref="E11:H11"/>
    <mergeCell ref="I23:L23"/>
  </mergeCells>
  <conditionalFormatting sqref="A20:L29">
    <cfRule type="expression" priority="1" dxfId="0">
      <formula>$G20&gt;=30</formula>
    </cfRule>
  </conditionalFormatting>
  <conditionalFormatting sqref="A34:G41">
    <cfRule type="expression" priority="2" dxfId="1">
      <formula>AND(ISNUMBER($G34),$G34&lt;=INDIRECT("Config!$B$6"))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18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</cols>
  <sheetData>
    <row r="1" ht="28" customHeight="1">
      <c r="A1" s="5" t="inlineStr">
        <is>
          <t>Configurações e régua de cobrança</t>
        </is>
      </c>
    </row>
    <row r="2">
      <c r="A2" s="6" t="inlineStr">
        <is>
          <t>Células amarelas: você preenche. A régua diz o que fazer em cada faixa de atraso; o texto aparece no Painel, parcela por parcela.</t>
        </is>
      </c>
    </row>
    <row r="4">
      <c r="A4" s="31" t="inlineStr">
        <is>
          <t>Escritório</t>
        </is>
      </c>
      <c r="B4" s="32" t="inlineStr">
        <is>
          <t>Ferraz &amp; Lima Advocacia (exemplo fictício)</t>
        </is>
      </c>
    </row>
    <row r="5">
      <c r="A5" s="31" t="inlineStr">
        <is>
          <t>Data de referência (hoje)</t>
        </is>
      </c>
      <c r="B5" s="33" t="n">
        <v>46279</v>
      </c>
    </row>
    <row r="6">
      <c r="A6" s="31" t="inlineStr">
        <is>
          <t>Janela curta: vence em até (dias)</t>
        </is>
      </c>
      <c r="B6" s="34" t="n">
        <v>7</v>
      </c>
    </row>
    <row r="7">
      <c r="A7" s="31" t="inlineStr">
        <is>
          <t>Janela longa: vence em até (dias)</t>
        </is>
      </c>
      <c r="B7" s="34" t="n">
        <v>30</v>
      </c>
    </row>
    <row r="9" ht="26" customHeight="1">
      <c r="A9" s="20" t="inlineStr">
        <is>
          <t>A partir de (dias de atraso)</t>
        </is>
      </c>
      <c r="B9" s="20" t="inlineStr">
        <is>
          <t>Ação sugerida</t>
        </is>
      </c>
      <c r="C9" s="20" t="inlineStr">
        <is>
          <t>Faixa (calculada)</t>
        </is>
      </c>
    </row>
    <row r="10" ht="44" customHeight="1">
      <c r="A10" s="34" t="n">
        <v>1</v>
      </c>
      <c r="B10" s="35" t="inlineStr">
        <is>
          <t>Lembrete gentil por WhatsApp ou e-mail: confirmar se o boleto ou o link de pagamento chegou e reenviar, se preciso.</t>
        </is>
      </c>
      <c r="C10" s="24" t="str">
        <f>IF(A10="","",IF(A11-1=A10,A10&amp;" dia"&amp;IF(A10&gt;1,"s",""),A10&amp;" a "&amp;(A11-1)&amp;" dias"))</f>
        <v>1 a 6 dias</v>
      </c>
    </row>
    <row r="11" ht="44" customHeight="1">
      <c r="A11" s="34" t="n">
        <v>7</v>
      </c>
      <c r="B11" s="35" t="inlineStr">
        <is>
          <t>Mensagem do responsável pelo caso perguntando se houve algum imprevisto e oferecendo uma nova data para o pagamento.</t>
        </is>
      </c>
      <c r="C11" s="24" t="str">
        <f>IF(A11="","",IF(A12-1=A11,A11&amp;" dia"&amp;IF(A11&gt;1,"s",""),A11&amp;" a "&amp;(A12-1)&amp;" dias"))</f>
        <v>7 a 14 dias</v>
      </c>
    </row>
    <row r="12" ht="44" customHeight="1">
      <c r="A12" s="34" t="n">
        <v>15</v>
      </c>
      <c r="B12" s="35" t="inlineStr">
        <is>
          <t>E-mail com o demonstrativo das parcelas em aberto e proposta de renegociação (nova data ou divisão do valor).</t>
        </is>
      </c>
      <c r="C12" s="24" t="str">
        <f>IF(A12="","",IF(A13-1=A12,A12&amp;" dia"&amp;IF(A12&gt;1,"s",""),A12&amp;" a "&amp;(A13-1)&amp;" dias"))</f>
        <v>15 a 29 dias</v>
      </c>
    </row>
    <row r="13" ht="44" customHeight="1">
      <c r="A13" s="34" t="n">
        <v>30</v>
      </c>
      <c r="B13" s="35" t="inlineStr">
        <is>
          <t>Ligação ou reunião para combinar um plano de pagamento; registrar por escrito o que foi combinado e a nova data.</t>
        </is>
      </c>
      <c r="C13" s="24" t="str">
        <f>IF(A13="","",A13&amp;" dias ou mais")</f>
        <v>30 dias ou mais</v>
      </c>
    </row>
    <row r="15">
      <c r="A15" s="28" t="inlineStr">
        <is>
          <t>Os dias precisam estar em ordem crescente (ex.: 1, 7, 15, 30). Cada parcela vencida recebe a ação da maior faixa que ela já alcançou. Escreva as ações como você fala com o cliente: educado, direto e sem ameaça.</t>
        </is>
      </c>
    </row>
    <row r="16">
      <c r="A16" s="28" t="inlineStr">
        <is>
          <t>Os modelos de mensagem do bônus "15 modelos de cobrança e confirmação" seguem esta mesma régua.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12" customWidth="1" min="3" max="3"/>
    <col width="16" customWidth="1" min="4" max="4"/>
    <col width="9" customWidth="1" min="5" max="5"/>
    <col width="16" customWidth="1" min="6" max="6"/>
    <col width="14" customWidth="1" min="7" max="7"/>
    <col width="14" customWidth="1" min="8" max="8"/>
    <col width="14" customWidth="1" min="9" max="9"/>
    <col width="18" customWidth="1" min="10" max="10"/>
  </cols>
  <sheetData>
    <row r="1" ht="28" customHeight="1">
      <c r="A1" s="5" t="inlineStr">
        <is>
          <t>Casos (entrada)</t>
        </is>
      </c>
    </row>
    <row r="2">
      <c r="A2" s="6" t="inlineStr">
        <is>
          <t>Copie da planilha 13 · Carteira (aba Casos; a 13 é a fonte): número, cliente, modalidade e valor. As colunas brancas somam as parcelas de cada caso.</t>
        </is>
      </c>
    </row>
    <row r="4" ht="26" customHeight="1">
      <c r="A4" s="20" t="inlineStr">
        <is>
          <t>Número do processo ou referência</t>
        </is>
      </c>
      <c r="B4" s="20" t="inlineStr">
        <is>
          <t>Cliente</t>
        </is>
      </c>
      <c r="C4" s="20" t="inlineStr">
        <is>
          <t>Modalidade</t>
        </is>
      </c>
      <c r="D4" s="20" t="inlineStr">
        <is>
          <t>Valor contratado (R$)</t>
        </is>
      </c>
      <c r="E4" s="20" t="inlineStr">
        <is>
          <t>Parcelas</t>
        </is>
      </c>
      <c r="F4" s="20" t="inlineStr">
        <is>
          <t>Valor em parcelas (R$)</t>
        </is>
      </c>
      <c r="G4" s="20" t="inlineStr">
        <is>
          <t>Pago (R$)</t>
        </is>
      </c>
      <c r="H4" s="20" t="inlineStr">
        <is>
          <t>Em aberto (R$)</t>
        </is>
      </c>
      <c r="I4" s="20" t="inlineStr">
        <is>
          <t>Vencido (R$)</t>
        </is>
      </c>
      <c r="J4" s="20" t="inlineStr">
        <is>
          <t>Diferença contratado − parcelas</t>
        </is>
      </c>
    </row>
    <row r="5">
      <c r="A5" s="32" t="inlineStr">
        <is>
          <t>CONS-2026-01</t>
        </is>
      </c>
      <c r="B5" s="32" t="inlineStr">
        <is>
          <t>Padaria do Sol Ltda</t>
        </is>
      </c>
      <c r="C5" s="34" t="inlineStr">
        <is>
          <t>Fixo</t>
        </is>
      </c>
      <c r="D5" s="36" t="n">
        <v>18000</v>
      </c>
      <c r="E5" s="24">
        <f>IF(A5="","",COUNTIFS(Parcelas!$A$5:$A$404,A5))</f>
        <v>12</v>
      </c>
      <c r="F5" s="25">
        <f>IF(A5="","",SUMIFS(Parcelas!$E$5:$E$404,Parcelas!$A$5:$A$404,A5))</f>
        <v>18000</v>
      </c>
      <c r="G5" s="25">
        <f>IF(A5="","",SUMIFS(Parcelas!$E$5:$E$404,Parcelas!$A$5:$A$404,A5,Parcelas!$H$5:$H$404,"Paga"))</f>
        <v>4500</v>
      </c>
      <c r="H5" s="25">
        <f>IF(A5="","",F5-G5)</f>
        <v>13500</v>
      </c>
      <c r="I5" s="25">
        <f>IF(A5="","",SUMIFS(Parcelas!$E$5:$E$404,Parcelas!$A$5:$A$404,A5,Parcelas!$H$5:$H$404,"Vencida"))</f>
        <v>0</v>
      </c>
      <c r="J5" s="25">
        <f>IF(OR(A5="",E5=0),"",D5-F5)</f>
        <v>0</v>
      </c>
    </row>
    <row r="6">
      <c r="A6" s="32" t="inlineStr">
        <is>
          <t>2998500-50.2026.8.26.0515</t>
        </is>
      </c>
      <c r="B6" s="32" t="inlineStr">
        <is>
          <t>Ana Beatriz Moreira</t>
        </is>
      </c>
      <c r="C6" s="34" t="inlineStr">
        <is>
          <t>Êxito</t>
        </is>
      </c>
      <c r="D6" s="36" t="n">
        <v>6000</v>
      </c>
      <c r="E6" s="24">
        <f>IF(A6="","",COUNTIFS(Parcelas!$A$5:$A$404,A6))</f>
        <v>0</v>
      </c>
      <c r="F6" s="25">
        <f>IF(A6="","",SUMIFS(Parcelas!$E$5:$E$404,Parcelas!$A$5:$A$404,A6))</f>
        <v>0</v>
      </c>
      <c r="G6" s="25">
        <f>IF(A6="","",SUMIFS(Parcelas!$E$5:$E$404,Parcelas!$A$5:$A$404,A6,Parcelas!$H$5:$H$404,"Paga"))</f>
        <v>0</v>
      </c>
      <c r="H6" s="25">
        <f>IF(A6="","",F6-G6)</f>
        <v>0</v>
      </c>
      <c r="I6" s="25">
        <f>IF(A6="","",SUMIFS(Parcelas!$E$5:$E$404,Parcelas!$A$5:$A$404,A6,Parcelas!$H$5:$H$404,"Vencida"))</f>
        <v>0</v>
      </c>
      <c r="J6" s="25">
        <f>IF(OR(A6="",E6=0),"",D6-F6)</f>
        <v/>
      </c>
    </row>
    <row r="7">
      <c r="A7" s="32" t="inlineStr">
        <is>
          <t>9586960-92.2026.8.26.0106</t>
        </is>
      </c>
      <c r="B7" s="32" t="inlineStr">
        <is>
          <t>Construtora Horizonte</t>
        </is>
      </c>
      <c r="C7" s="34" t="inlineStr">
        <is>
          <t>Misto</t>
        </is>
      </c>
      <c r="D7" s="36" t="n">
        <v>15500</v>
      </c>
      <c r="E7" s="24">
        <f>IF(A7="","",COUNTIFS(Parcelas!$A$5:$A$404,A7))</f>
        <v>4</v>
      </c>
      <c r="F7" s="25">
        <f>IF(A7="","",SUMIFS(Parcelas!$E$5:$E$404,Parcelas!$A$5:$A$404,A7))</f>
        <v>10500</v>
      </c>
      <c r="G7" s="25">
        <f>IF(A7="","",SUMIFS(Parcelas!$E$5:$E$404,Parcelas!$A$5:$A$404,A7,Parcelas!$H$5:$H$404,"Paga"))</f>
        <v>6300</v>
      </c>
      <c r="H7" s="25">
        <f>IF(A7="","",F7-G7)</f>
        <v>4200</v>
      </c>
      <c r="I7" s="25">
        <f>IF(A7="","",SUMIFS(Parcelas!$E$5:$E$404,Parcelas!$A$5:$A$404,A7,Parcelas!$H$5:$H$404,"Vencida"))</f>
        <v>0</v>
      </c>
      <c r="J7" s="25">
        <f>IF(OR(A7="",E7=0),"",D7-F7)</f>
        <v>5000</v>
      </c>
    </row>
    <row r="8">
      <c r="A8" s="32" t="inlineStr">
        <is>
          <t>4746093-86.2026.8.26.0637</t>
        </is>
      </c>
      <c r="B8" s="32" t="inlineStr">
        <is>
          <t>Carlos Eduardo Nunes</t>
        </is>
      </c>
      <c r="C8" s="34" t="inlineStr">
        <is>
          <t>Fixo</t>
        </is>
      </c>
      <c r="D8" s="36" t="n">
        <v>5400</v>
      </c>
      <c r="E8" s="24">
        <f>IF(A8="","",COUNTIFS(Parcelas!$A$5:$A$404,A8))</f>
        <v>3</v>
      </c>
      <c r="F8" s="25">
        <f>IF(A8="","",SUMIFS(Parcelas!$E$5:$E$404,Parcelas!$A$5:$A$404,A8))</f>
        <v>5400</v>
      </c>
      <c r="G8" s="25">
        <f>IF(A8="","",SUMIFS(Parcelas!$E$5:$E$404,Parcelas!$A$5:$A$404,A8,Parcelas!$H$5:$H$404,"Paga"))</f>
        <v>3900</v>
      </c>
      <c r="H8" s="25">
        <f>IF(A8="","",F8-G8)</f>
        <v>1500</v>
      </c>
      <c r="I8" s="25">
        <f>IF(A8="","",SUMIFS(Parcelas!$E$5:$E$404,Parcelas!$A$5:$A$404,A8,Parcelas!$H$5:$H$404,"Vencida"))</f>
        <v>0</v>
      </c>
      <c r="J8" s="25">
        <f>IF(OR(A8="",E8=0),"",D8-F8)</f>
        <v>0</v>
      </c>
    </row>
    <row r="9">
      <c r="A9" s="32" t="inlineStr">
        <is>
          <t>CONS-2026-02</t>
        </is>
      </c>
      <c r="B9" s="32" t="inlineStr">
        <is>
          <t>Loja Verde Comércio</t>
        </is>
      </c>
      <c r="C9" s="34" t="inlineStr">
        <is>
          <t>Fixo</t>
        </is>
      </c>
      <c r="D9" s="36" t="n">
        <v>8400</v>
      </c>
      <c r="E9" s="24">
        <f>IF(A9="","",COUNTIFS(Parcelas!$A$5:$A$404,A9))</f>
        <v>3</v>
      </c>
      <c r="F9" s="25">
        <f>IF(A9="","",SUMIFS(Parcelas!$E$5:$E$404,Parcelas!$A$5:$A$404,A9))</f>
        <v>8400</v>
      </c>
      <c r="G9" s="25">
        <f>IF(A9="","",SUMIFS(Parcelas!$E$5:$E$404,Parcelas!$A$5:$A$404,A9,Parcelas!$H$5:$H$404,"Paga"))</f>
        <v>2800</v>
      </c>
      <c r="H9" s="25">
        <f>IF(A9="","",F9-G9)</f>
        <v>5600</v>
      </c>
      <c r="I9" s="25">
        <f>IF(A9="","",SUMIFS(Parcelas!$E$5:$E$404,Parcelas!$A$5:$A$404,A9,Parcelas!$H$5:$H$404,"Vencida"))</f>
        <v>0</v>
      </c>
      <c r="J9" s="25">
        <f>IF(OR(A9="",E9=0),"",D9-F9)</f>
        <v>0</v>
      </c>
    </row>
    <row r="10">
      <c r="A10" s="32" t="inlineStr">
        <is>
          <t>CONS-2026-03</t>
        </is>
      </c>
      <c r="B10" s="32" t="inlineStr">
        <is>
          <t>Marcos Vinícius Teles</t>
        </is>
      </c>
      <c r="C10" s="34" t="inlineStr">
        <is>
          <t>Fixo</t>
        </is>
      </c>
      <c r="D10" s="36" t="n">
        <v>4500</v>
      </c>
      <c r="E10" s="24">
        <f>IF(A10="","",COUNTIFS(Parcelas!$A$5:$A$404,A10))</f>
        <v>2</v>
      </c>
      <c r="F10" s="25">
        <f>IF(A10="","",SUMIFS(Parcelas!$E$5:$E$404,Parcelas!$A$5:$A$404,A10))</f>
        <v>4500</v>
      </c>
      <c r="G10" s="25">
        <f>IF(A10="","",SUMIFS(Parcelas!$E$5:$E$404,Parcelas!$A$5:$A$404,A10,Parcelas!$H$5:$H$404,"Paga"))</f>
        <v>2250</v>
      </c>
      <c r="H10" s="25">
        <f>IF(A10="","",F10-G10)</f>
        <v>2250</v>
      </c>
      <c r="I10" s="25">
        <f>IF(A10="","",SUMIFS(Parcelas!$E$5:$E$404,Parcelas!$A$5:$A$404,A10,Parcelas!$H$5:$H$404,"Vencida"))</f>
        <v>0</v>
      </c>
      <c r="J10" s="25">
        <f>IF(OR(A10="",E10=0),"",D10-F10)</f>
        <v>0</v>
      </c>
    </row>
    <row r="11">
      <c r="A11" s="32" t="inlineStr">
        <is>
          <t>CONS-2026-04</t>
        </is>
      </c>
      <c r="B11" s="32" t="inlineStr">
        <is>
          <t>Escola Aurora</t>
        </is>
      </c>
      <c r="C11" s="34" t="inlineStr">
        <is>
          <t>Fixo</t>
        </is>
      </c>
      <c r="D11" s="36" t="n">
        <v>13200</v>
      </c>
      <c r="E11" s="24">
        <f>IF(A11="","",COUNTIFS(Parcelas!$A$5:$A$404,A11))</f>
        <v>12</v>
      </c>
      <c r="F11" s="25">
        <f>IF(A11="","",SUMIFS(Parcelas!$E$5:$E$404,Parcelas!$A$5:$A$404,A11))</f>
        <v>13200</v>
      </c>
      <c r="G11" s="25">
        <f>IF(A11="","",SUMIFS(Parcelas!$E$5:$E$404,Parcelas!$A$5:$A$404,A11,Parcelas!$H$5:$H$404,"Paga"))</f>
        <v>2200</v>
      </c>
      <c r="H11" s="25">
        <f>IF(A11="","",F11-G11)</f>
        <v>11000</v>
      </c>
      <c r="I11" s="25">
        <f>IF(A11="","",SUMIFS(Parcelas!$E$5:$E$404,Parcelas!$A$5:$A$404,A11,Parcelas!$H$5:$H$404,"Vencida"))</f>
        <v>0</v>
      </c>
      <c r="J11" s="25">
        <f>IF(OR(A11="",E11=0),"",D11-F11)</f>
        <v>0</v>
      </c>
    </row>
    <row r="12">
      <c r="A12" s="32" t="inlineStr">
        <is>
          <t>8056747-83.2026.8.26.0561</t>
        </is>
      </c>
      <c r="B12" s="32" t="inlineStr">
        <is>
          <t>Bistrô 42</t>
        </is>
      </c>
      <c r="C12" s="34" t="inlineStr">
        <is>
          <t>Fixo</t>
        </is>
      </c>
      <c r="D12" s="36" t="n">
        <v>9500</v>
      </c>
      <c r="E12" s="24">
        <f>IF(A12="","",COUNTIFS(Parcelas!$A$5:$A$404,A12))</f>
        <v>4</v>
      </c>
      <c r="F12" s="25">
        <f>IF(A12="","",SUMIFS(Parcelas!$E$5:$E$404,Parcelas!$A$5:$A$404,A12))</f>
        <v>9500</v>
      </c>
      <c r="G12" s="25">
        <f>IF(A12="","",SUMIFS(Parcelas!$E$5:$E$404,Parcelas!$A$5:$A$404,A12,Parcelas!$H$5:$H$404,"Paga"))</f>
        <v>5300</v>
      </c>
      <c r="H12" s="25">
        <f>IF(A12="","",F12-G12)</f>
        <v>4200</v>
      </c>
      <c r="I12" s="25">
        <f>IF(A12="","",SUMIFS(Parcelas!$E$5:$E$404,Parcelas!$A$5:$A$404,A12,Parcelas!$H$5:$H$404,"Vencida"))</f>
        <v>4200</v>
      </c>
      <c r="J12" s="25">
        <f>IF(OR(A12="",E12=0),"",D12-F12)</f>
        <v>0</v>
      </c>
    </row>
    <row r="13">
      <c r="A13" s="32" t="inlineStr">
        <is>
          <t>9236009-85.2025.8.26.0452</t>
        </is>
      </c>
      <c r="B13" s="32" t="inlineStr">
        <is>
          <t>Bistrô 42</t>
        </is>
      </c>
      <c r="C13" s="34" t="inlineStr">
        <is>
          <t>Êxito</t>
        </is>
      </c>
      <c r="D13" s="36" t="n">
        <v>4000</v>
      </c>
      <c r="E13" s="24">
        <f>IF(A13="","",COUNTIFS(Parcelas!$A$5:$A$404,A13))</f>
        <v>0</v>
      </c>
      <c r="F13" s="25">
        <f>IF(A13="","",SUMIFS(Parcelas!$E$5:$E$404,Parcelas!$A$5:$A$404,A13))</f>
        <v>0</v>
      </c>
      <c r="G13" s="25">
        <f>IF(A13="","",SUMIFS(Parcelas!$E$5:$E$404,Parcelas!$A$5:$A$404,A13,Parcelas!$H$5:$H$404,"Paga"))</f>
        <v>0</v>
      </c>
      <c r="H13" s="25">
        <f>IF(A13="","",F13-G13)</f>
        <v>0</v>
      </c>
      <c r="I13" s="25">
        <f>IF(A13="","",SUMIFS(Parcelas!$E$5:$E$404,Parcelas!$A$5:$A$404,A13,Parcelas!$H$5:$H$404,"Vencida"))</f>
        <v>0</v>
      </c>
      <c r="J13" s="25">
        <f>IF(OR(A13="",E13=0),"",D13-F13)</f>
        <v/>
      </c>
    </row>
    <row r="14">
      <c r="A14" s="32" t="inlineStr">
        <is>
          <t>5025425-10.2025.8.26.0629</t>
        </is>
      </c>
      <c r="B14" s="32" t="inlineStr">
        <is>
          <t>Roberto Almeida</t>
        </is>
      </c>
      <c r="C14" s="34" t="inlineStr">
        <is>
          <t>Fixo</t>
        </is>
      </c>
      <c r="D14" s="36" t="n">
        <v>15000</v>
      </c>
      <c r="E14" s="24">
        <f>IF(A14="","",COUNTIFS(Parcelas!$A$5:$A$404,A14))</f>
        <v>4</v>
      </c>
      <c r="F14" s="25">
        <f>IF(A14="","",SUMIFS(Parcelas!$E$5:$E$404,Parcelas!$A$5:$A$404,A14))</f>
        <v>15000</v>
      </c>
      <c r="G14" s="25">
        <f>IF(A14="","",SUMIFS(Parcelas!$E$5:$E$404,Parcelas!$A$5:$A$404,A14,Parcelas!$H$5:$H$404,"Paga"))</f>
        <v>15000</v>
      </c>
      <c r="H14" s="25">
        <f>IF(A14="","",F14-G14)</f>
        <v>0</v>
      </c>
      <c r="I14" s="25">
        <f>IF(A14="","",SUMIFS(Parcelas!$E$5:$E$404,Parcelas!$A$5:$A$404,A14,Parcelas!$H$5:$H$404,"Vencida"))</f>
        <v>0</v>
      </c>
      <c r="J14" s="25">
        <f>IF(OR(A14="",E14=0),"",D14-F14)</f>
        <v>0</v>
      </c>
    </row>
    <row r="15">
      <c r="A15" s="32" t="inlineStr">
        <is>
          <t>2354318-24.2026.8.26.0295</t>
        </is>
      </c>
      <c r="B15" s="32" t="inlineStr">
        <is>
          <t>Roberto Almeida</t>
        </is>
      </c>
      <c r="C15" s="34" t="inlineStr">
        <is>
          <t>Misto</t>
        </is>
      </c>
      <c r="D15" s="36" t="n">
        <v>10200</v>
      </c>
      <c r="E15" s="24">
        <f>IF(A15="","",COUNTIFS(Parcelas!$A$5:$A$404,A15))</f>
        <v>3</v>
      </c>
      <c r="F15" s="25">
        <f>IF(A15="","",SUMIFS(Parcelas!$E$5:$E$404,Parcelas!$A$5:$A$404,A15))</f>
        <v>7200</v>
      </c>
      <c r="G15" s="25">
        <f>IF(A15="","",SUMIFS(Parcelas!$E$5:$E$404,Parcelas!$A$5:$A$404,A15,Parcelas!$H$5:$H$404,"Paga"))</f>
        <v>7200</v>
      </c>
      <c r="H15" s="25">
        <f>IF(A15="","",F15-G15)</f>
        <v>0</v>
      </c>
      <c r="I15" s="25">
        <f>IF(A15="","",SUMIFS(Parcelas!$E$5:$E$404,Parcelas!$A$5:$A$404,A15,Parcelas!$H$5:$H$404,"Vencida"))</f>
        <v>0</v>
      </c>
      <c r="J15" s="25">
        <f>IF(OR(A15="",E15=0),"",D15-F15)</f>
        <v>3000</v>
      </c>
    </row>
    <row r="16">
      <c r="A16" s="32" t="inlineStr">
        <is>
          <t>CONS-2025-05</t>
        </is>
      </c>
      <c r="B16" s="32" t="inlineStr">
        <is>
          <t>Clínica Bem-Estar</t>
        </is>
      </c>
      <c r="C16" s="34" t="inlineStr">
        <is>
          <t>Hora</t>
        </is>
      </c>
      <c r="D16" s="36" t="n">
        <v>21600</v>
      </c>
      <c r="E16" s="24">
        <f>IF(A16="","",COUNTIFS(Parcelas!$A$5:$A$404,A16))</f>
        <v>10</v>
      </c>
      <c r="F16" s="25">
        <f>IF(A16="","",SUMIFS(Parcelas!$E$5:$E$404,Parcelas!$A$5:$A$404,A16))</f>
        <v>19260</v>
      </c>
      <c r="G16" s="25">
        <f>IF(A16="","",SUMIFS(Parcelas!$E$5:$E$404,Parcelas!$A$5:$A$404,A16,Parcelas!$H$5:$H$404,"Paga"))</f>
        <v>19260</v>
      </c>
      <c r="H16" s="25">
        <f>IF(A16="","",F16-G16)</f>
        <v>0</v>
      </c>
      <c r="I16" s="25">
        <f>IF(A16="","",SUMIFS(Parcelas!$E$5:$E$404,Parcelas!$A$5:$A$404,A16,Parcelas!$H$5:$H$404,"Vencida"))</f>
        <v>0</v>
      </c>
      <c r="J16" s="25">
        <f>IF(OR(A16="",E16=0),"",D16-F16)</f>
        <v>2340</v>
      </c>
    </row>
    <row r="17">
      <c r="A17" s="32" t="inlineStr">
        <is>
          <t>2645033-67.2026.8.26.0012</t>
        </is>
      </c>
      <c r="B17" s="32" t="inlineStr">
        <is>
          <t>Clínica Bem-Estar</t>
        </is>
      </c>
      <c r="C17" s="34" t="inlineStr">
        <is>
          <t>Fixo</t>
        </is>
      </c>
      <c r="D17" s="36" t="n">
        <v>18000</v>
      </c>
      <c r="E17" s="24">
        <f>IF(A17="","",COUNTIFS(Parcelas!$A$5:$A$404,A17))</f>
        <v>5</v>
      </c>
      <c r="F17" s="25">
        <f>IF(A17="","",SUMIFS(Parcelas!$E$5:$E$404,Parcelas!$A$5:$A$404,A17))</f>
        <v>18000</v>
      </c>
      <c r="G17" s="25">
        <f>IF(A17="","",SUMIFS(Parcelas!$E$5:$E$404,Parcelas!$A$5:$A$404,A17,Parcelas!$H$5:$H$404,"Paga"))</f>
        <v>15300</v>
      </c>
      <c r="H17" s="25">
        <f>IF(A17="","",F17-G17)</f>
        <v>2700</v>
      </c>
      <c r="I17" s="25">
        <f>IF(A17="","",SUMIFS(Parcelas!$E$5:$E$404,Parcelas!$A$5:$A$404,A17,Parcelas!$H$5:$H$404,"Vencida"))</f>
        <v>0</v>
      </c>
      <c r="J17" s="25">
        <f>IF(OR(A17="",E17=0),"",D17-F17)</f>
        <v>0</v>
      </c>
    </row>
    <row r="18">
      <c r="A18" s="32" t="inlineStr">
        <is>
          <t>9225646-96.2025.8.26.0322</t>
        </is>
      </c>
      <c r="B18" s="32" t="inlineStr">
        <is>
          <t>Transportadora Rota Sul</t>
        </is>
      </c>
      <c r="C18" s="34" t="inlineStr">
        <is>
          <t>Fixo</t>
        </is>
      </c>
      <c r="D18" s="36" t="n">
        <v>13500</v>
      </c>
      <c r="E18" s="24">
        <f>IF(A18="","",COUNTIFS(Parcelas!$A$5:$A$404,A18))</f>
        <v>5</v>
      </c>
      <c r="F18" s="25">
        <f>IF(A18="","",SUMIFS(Parcelas!$E$5:$E$404,Parcelas!$A$5:$A$404,A18))</f>
        <v>13500</v>
      </c>
      <c r="G18" s="25">
        <f>IF(A18="","",SUMIFS(Parcelas!$E$5:$E$404,Parcelas!$A$5:$A$404,A18,Parcelas!$H$5:$H$404,"Paga"))</f>
        <v>13500</v>
      </c>
      <c r="H18" s="25">
        <f>IF(A18="","",F18-G18)</f>
        <v>0</v>
      </c>
      <c r="I18" s="25">
        <f>IF(A18="","",SUMIFS(Parcelas!$E$5:$E$404,Parcelas!$A$5:$A$404,A18,Parcelas!$H$5:$H$404,"Vencida"))</f>
        <v>0</v>
      </c>
      <c r="J18" s="25">
        <f>IF(OR(A18="",E18=0),"",D18-F18)</f>
        <v>0</v>
      </c>
    </row>
    <row r="19">
      <c r="A19" s="32" t="inlineStr">
        <is>
          <t>4526984-60.2026.8.26.0258</t>
        </is>
      </c>
      <c r="B19" s="32" t="inlineStr">
        <is>
          <t>Transportadora Rota Sul</t>
        </is>
      </c>
      <c r="C19" s="34" t="inlineStr">
        <is>
          <t>Êxito</t>
        </is>
      </c>
      <c r="D19" s="36" t="n">
        <v>9000</v>
      </c>
      <c r="E19" s="24">
        <f>IF(A19="","",COUNTIFS(Parcelas!$A$5:$A$404,A19))</f>
        <v>0</v>
      </c>
      <c r="F19" s="25">
        <f>IF(A19="","",SUMIFS(Parcelas!$E$5:$E$404,Parcelas!$A$5:$A$404,A19))</f>
        <v>0</v>
      </c>
      <c r="G19" s="25">
        <f>IF(A19="","",SUMIFS(Parcelas!$E$5:$E$404,Parcelas!$A$5:$A$404,A19,Parcelas!$H$5:$H$404,"Paga"))</f>
        <v>0</v>
      </c>
      <c r="H19" s="25">
        <f>IF(A19="","",F19-G19)</f>
        <v>0</v>
      </c>
      <c r="I19" s="25">
        <f>IF(A19="","",SUMIFS(Parcelas!$E$5:$E$404,Parcelas!$A$5:$A$404,A19,Parcelas!$H$5:$H$404,"Vencida"))</f>
        <v>0</v>
      </c>
      <c r="J19" s="25">
        <f>IF(OR(A19="",E19=0),"",D19-F19)</f>
        <v/>
      </c>
    </row>
    <row r="20">
      <c r="A20" s="32" t="inlineStr">
        <is>
          <t>CONS-2026-06</t>
        </is>
      </c>
      <c r="B20" s="32" t="inlineStr">
        <is>
          <t>Transportadora Rota Sul</t>
        </is>
      </c>
      <c r="C20" s="34" t="inlineStr">
        <is>
          <t>Fixo</t>
        </is>
      </c>
      <c r="D20" s="36" t="n">
        <v>4400</v>
      </c>
      <c r="E20" s="24">
        <f>IF(A20="","",COUNTIFS(Parcelas!$A$5:$A$404,A20))</f>
        <v>2</v>
      </c>
      <c r="F20" s="25">
        <f>IF(A20="","",SUMIFS(Parcelas!$E$5:$E$404,Parcelas!$A$5:$A$404,A20))</f>
        <v>4400</v>
      </c>
      <c r="G20" s="25">
        <f>IF(A20="","",SUMIFS(Parcelas!$E$5:$E$404,Parcelas!$A$5:$A$404,A20,Parcelas!$H$5:$H$404,"Paga"))</f>
        <v>4400</v>
      </c>
      <c r="H20" s="25">
        <f>IF(A20="","",F20-G20)</f>
        <v>0</v>
      </c>
      <c r="I20" s="25">
        <f>IF(A20="","",SUMIFS(Parcelas!$E$5:$E$404,Parcelas!$A$5:$A$404,A20,Parcelas!$H$5:$H$404,"Vencida"))</f>
        <v>0</v>
      </c>
      <c r="J20" s="25">
        <f>IF(OR(A20="",E20=0),"",D20-F20)</f>
        <v>0</v>
      </c>
    </row>
    <row r="21">
      <c r="A21" s="32" t="inlineStr">
        <is>
          <t>6832730-55.2026.8.26.0386</t>
        </is>
      </c>
      <c r="B21" s="32" t="inlineStr">
        <is>
          <t>Patrícia Gomes</t>
        </is>
      </c>
      <c r="C21" s="34" t="inlineStr">
        <is>
          <t>Fixo</t>
        </is>
      </c>
      <c r="D21" s="36" t="n">
        <v>9000</v>
      </c>
      <c r="E21" s="24">
        <f>IF(A21="","",COUNTIFS(Parcelas!$A$5:$A$404,A21))</f>
        <v>4</v>
      </c>
      <c r="F21" s="25">
        <f>IF(A21="","",SUMIFS(Parcelas!$E$5:$E$404,Parcelas!$A$5:$A$404,A21))</f>
        <v>9000</v>
      </c>
      <c r="G21" s="25">
        <f>IF(A21="","",SUMIFS(Parcelas!$E$5:$E$404,Parcelas!$A$5:$A$404,A21,Parcelas!$H$5:$H$404,"Paga"))</f>
        <v>9000</v>
      </c>
      <c r="H21" s="25">
        <f>IF(A21="","",F21-G21)</f>
        <v>0</v>
      </c>
      <c r="I21" s="25">
        <f>IF(A21="","",SUMIFS(Parcelas!$E$5:$E$404,Parcelas!$A$5:$A$404,A21,Parcelas!$H$5:$H$404,"Vencida"))</f>
        <v>0</v>
      </c>
      <c r="J21" s="25">
        <f>IF(OR(A21="",E21=0),"",D21-F21)</f>
        <v>0</v>
      </c>
    </row>
    <row r="22">
      <c r="A22" s="32" t="inlineStr">
        <is>
          <t>9616569-91.2026.8.26.0079</t>
        </is>
      </c>
      <c r="B22" s="32" t="inlineStr">
        <is>
          <t>Patrícia Gomes</t>
        </is>
      </c>
      <c r="C22" s="34" t="inlineStr">
        <is>
          <t>Fixo</t>
        </is>
      </c>
      <c r="D22" s="36" t="n">
        <v>6600</v>
      </c>
      <c r="E22" s="24">
        <f>IF(A22="","",COUNTIFS(Parcelas!$A$5:$A$404,A22))</f>
        <v>3</v>
      </c>
      <c r="F22" s="25">
        <f>IF(A22="","",SUMIFS(Parcelas!$E$5:$E$404,Parcelas!$A$5:$A$404,A22))</f>
        <v>6600</v>
      </c>
      <c r="G22" s="25">
        <f>IF(A22="","",SUMIFS(Parcelas!$E$5:$E$404,Parcelas!$A$5:$A$404,A22,Parcelas!$H$5:$H$404,"Paga"))</f>
        <v>4500</v>
      </c>
      <c r="H22" s="25">
        <f>IF(A22="","",F22-G22)</f>
        <v>2100</v>
      </c>
      <c r="I22" s="25">
        <f>IF(A22="","",SUMIFS(Parcelas!$E$5:$E$404,Parcelas!$A$5:$A$404,A22,Parcelas!$H$5:$H$404,"Vencida"))</f>
        <v>2100</v>
      </c>
      <c r="J22" s="25">
        <f>IF(OR(A22="",E22=0),"",D22-F22)</f>
        <v>0</v>
      </c>
    </row>
    <row r="23">
      <c r="A23" s="32" t="inlineStr">
        <is>
          <t>6710873-21.2025.8.26.0571</t>
        </is>
      </c>
      <c r="B23" s="32" t="inlineStr">
        <is>
          <t>Escola Aurora</t>
        </is>
      </c>
      <c r="C23" s="34" t="inlineStr">
        <is>
          <t>Misto</t>
        </is>
      </c>
      <c r="D23" s="36" t="n">
        <v>10000</v>
      </c>
      <c r="E23" s="24">
        <f>IF(A23="","",COUNTIFS(Parcelas!$A$5:$A$404,A23))</f>
        <v>4</v>
      </c>
      <c r="F23" s="25">
        <f>IF(A23="","",SUMIFS(Parcelas!$E$5:$E$404,Parcelas!$A$5:$A$404,A23))</f>
        <v>6000</v>
      </c>
      <c r="G23" s="25">
        <f>IF(A23="","",SUMIFS(Parcelas!$E$5:$E$404,Parcelas!$A$5:$A$404,A23,Parcelas!$H$5:$H$404,"Paga"))</f>
        <v>6000</v>
      </c>
      <c r="H23" s="25">
        <f>IF(A23="","",F23-G23)</f>
        <v>0</v>
      </c>
      <c r="I23" s="25">
        <f>IF(A23="","",SUMIFS(Parcelas!$E$5:$E$404,Parcelas!$A$5:$A$404,A23,Parcelas!$H$5:$H$404,"Vencida"))</f>
        <v>0</v>
      </c>
      <c r="J23" s="25">
        <f>IF(OR(A23="",E23=0),"",D23-F23)</f>
        <v>4000</v>
      </c>
    </row>
    <row r="24">
      <c r="A24" s="32" t="inlineStr">
        <is>
          <t>5900991-46.2026.8.26.0469</t>
        </is>
      </c>
      <c r="B24" s="32" t="inlineStr">
        <is>
          <t>José Antônio Ribeiro</t>
        </is>
      </c>
      <c r="C24" s="34" t="inlineStr">
        <is>
          <t>Êxito</t>
        </is>
      </c>
      <c r="D24" s="36" t="n">
        <v>4000</v>
      </c>
      <c r="E24" s="24">
        <f>IF(A24="","",COUNTIFS(Parcelas!$A$5:$A$404,A24))</f>
        <v>0</v>
      </c>
      <c r="F24" s="25">
        <f>IF(A24="","",SUMIFS(Parcelas!$E$5:$E$404,Parcelas!$A$5:$A$404,A24))</f>
        <v>0</v>
      </c>
      <c r="G24" s="25">
        <f>IF(A24="","",SUMIFS(Parcelas!$E$5:$E$404,Parcelas!$A$5:$A$404,A24,Parcelas!$H$5:$H$404,"Paga"))</f>
        <v>0</v>
      </c>
      <c r="H24" s="25">
        <f>IF(A24="","",F24-G24)</f>
        <v>0</v>
      </c>
      <c r="I24" s="25">
        <f>IF(A24="","",SUMIFS(Parcelas!$E$5:$E$404,Parcelas!$A$5:$A$404,A24,Parcelas!$H$5:$H$404,"Vencida"))</f>
        <v>0</v>
      </c>
      <c r="J24" s="25">
        <f>IF(OR(A24="",E24=0),"",D24-F24)</f>
        <v/>
      </c>
    </row>
    <row r="25">
      <c r="A25" s="32" t="inlineStr">
        <is>
          <t>3363714-92.2025.8.26.0592</t>
        </is>
      </c>
      <c r="B25" s="32" t="inlineStr">
        <is>
          <t>Oficina Mecânica Central</t>
        </is>
      </c>
      <c r="C25" s="34" t="inlineStr">
        <is>
          <t>Fixo</t>
        </is>
      </c>
      <c r="D25" s="36" t="n">
        <v>15000</v>
      </c>
      <c r="E25" s="24">
        <f>IF(A25="","",COUNTIFS(Parcelas!$A$5:$A$404,A25))</f>
        <v>6</v>
      </c>
      <c r="F25" s="25">
        <f>IF(A25="","",SUMIFS(Parcelas!$E$5:$E$404,Parcelas!$A$5:$A$404,A25))</f>
        <v>15000</v>
      </c>
      <c r="G25" s="25">
        <f>IF(A25="","",SUMIFS(Parcelas!$E$5:$E$404,Parcelas!$A$5:$A$404,A25,Parcelas!$H$5:$H$404,"Paga"))</f>
        <v>15000</v>
      </c>
      <c r="H25" s="25">
        <f>IF(A25="","",F25-G25)</f>
        <v>0</v>
      </c>
      <c r="I25" s="25">
        <f>IF(A25="","",SUMIFS(Parcelas!$E$5:$E$404,Parcelas!$A$5:$A$404,A25,Parcelas!$H$5:$H$404,"Vencida"))</f>
        <v>0</v>
      </c>
      <c r="J25" s="25">
        <f>IF(OR(A25="",E25=0),"",D25-F25)</f>
        <v>0</v>
      </c>
    </row>
    <row r="26">
      <c r="A26" s="32" t="inlineStr">
        <is>
          <t>6184138-13.2026.8.26.0378</t>
        </is>
      </c>
      <c r="B26" s="32" t="inlineStr">
        <is>
          <t>Oficina Mecânica Central</t>
        </is>
      </c>
      <c r="C26" s="34" t="inlineStr">
        <is>
          <t>Misto</t>
        </is>
      </c>
      <c r="D26" s="36" t="n">
        <v>9000</v>
      </c>
      <c r="E26" s="24">
        <f>IF(A26="","",COUNTIFS(Parcelas!$A$5:$A$404,A26))</f>
        <v>3</v>
      </c>
      <c r="F26" s="25">
        <f>IF(A26="","",SUMIFS(Parcelas!$E$5:$E$404,Parcelas!$A$5:$A$404,A26))</f>
        <v>6000</v>
      </c>
      <c r="G26" s="25">
        <f>IF(A26="","",SUMIFS(Parcelas!$E$5:$E$404,Parcelas!$A$5:$A$404,A26,Parcelas!$H$5:$H$404,"Paga"))</f>
        <v>4500</v>
      </c>
      <c r="H26" s="25">
        <f>IF(A26="","",F26-G26)</f>
        <v>1500</v>
      </c>
      <c r="I26" s="25">
        <f>IF(A26="","",SUMIFS(Parcelas!$E$5:$E$404,Parcelas!$A$5:$A$404,A26,Parcelas!$H$5:$H$404,"Vencida"))</f>
        <v>1500</v>
      </c>
      <c r="J26" s="25">
        <f>IF(OR(A26="",E26=0),"",D26-F26)</f>
        <v>3000</v>
      </c>
    </row>
    <row r="27">
      <c r="A27" s="32" t="inlineStr">
        <is>
          <t>7099226-69.2026.8.26.0433</t>
        </is>
      </c>
      <c r="B27" s="32" t="inlineStr">
        <is>
          <t>Luciana Farias</t>
        </is>
      </c>
      <c r="C27" s="34" t="inlineStr">
        <is>
          <t>Fixo</t>
        </is>
      </c>
      <c r="D27" s="36" t="n">
        <v>12000</v>
      </c>
      <c r="E27" s="24">
        <f>IF(A27="","",COUNTIFS(Parcelas!$A$5:$A$404,A27))</f>
        <v>4</v>
      </c>
      <c r="F27" s="25">
        <f>IF(A27="","",SUMIFS(Parcelas!$E$5:$E$404,Parcelas!$A$5:$A$404,A27))</f>
        <v>12000</v>
      </c>
      <c r="G27" s="25">
        <f>IF(A27="","",SUMIFS(Parcelas!$E$5:$E$404,Parcelas!$A$5:$A$404,A27,Parcelas!$H$5:$H$404,"Paga"))</f>
        <v>12000</v>
      </c>
      <c r="H27" s="25">
        <f>IF(A27="","",F27-G27)</f>
        <v>0</v>
      </c>
      <c r="I27" s="25">
        <f>IF(A27="","",SUMIFS(Parcelas!$E$5:$E$404,Parcelas!$A$5:$A$404,A27,Parcelas!$H$5:$H$404,"Vencida"))</f>
        <v>0</v>
      </c>
      <c r="J27" s="25">
        <f>IF(OR(A27="",E27=0),"",D27-F27)</f>
        <v>0</v>
      </c>
    </row>
    <row r="28">
      <c r="A28" s="32" t="inlineStr">
        <is>
          <t>2521428-61.2026.8.26.0600</t>
        </is>
      </c>
      <c r="B28" s="32" t="inlineStr">
        <is>
          <t>Luciana Farias</t>
        </is>
      </c>
      <c r="C28" s="34" t="inlineStr">
        <is>
          <t>Misto</t>
        </is>
      </c>
      <c r="D28" s="36" t="n">
        <v>7600</v>
      </c>
      <c r="E28" s="24">
        <f>IF(A28="","",COUNTIFS(Parcelas!$A$5:$A$404,A28))</f>
        <v>2</v>
      </c>
      <c r="F28" s="25">
        <f>IF(A28="","",SUMIFS(Parcelas!$E$5:$E$404,Parcelas!$A$5:$A$404,A28))</f>
        <v>3600</v>
      </c>
      <c r="G28" s="25">
        <f>IF(A28="","",SUMIFS(Parcelas!$E$5:$E$404,Parcelas!$A$5:$A$404,A28,Parcelas!$H$5:$H$404,"Paga"))</f>
        <v>3600</v>
      </c>
      <c r="H28" s="25">
        <f>IF(A28="","",F28-G28)</f>
        <v>0</v>
      </c>
      <c r="I28" s="25">
        <f>IF(A28="","",SUMIFS(Parcelas!$E$5:$E$404,Parcelas!$A$5:$A$404,A28,Parcelas!$H$5:$H$404,"Vencida"))</f>
        <v>0</v>
      </c>
      <c r="J28" s="25">
        <f>IF(OR(A28="",E28=0),"",D28-F28)</f>
        <v>4000</v>
      </c>
    </row>
    <row r="29">
      <c r="A29" s="32" t="inlineStr">
        <is>
          <t>9362688-24.2025.8.26.0436</t>
        </is>
      </c>
      <c r="B29" s="32" t="inlineStr">
        <is>
          <t>Agência Prisma</t>
        </is>
      </c>
      <c r="C29" s="34" t="inlineStr">
        <is>
          <t>Hora</t>
        </is>
      </c>
      <c r="D29" s="36" t="n">
        <v>24000</v>
      </c>
      <c r="E29" s="24">
        <f>IF(A29="","",COUNTIFS(Parcelas!$A$5:$A$404,A29))</f>
        <v>9</v>
      </c>
      <c r="F29" s="25">
        <f>IF(A29="","",SUMIFS(Parcelas!$E$5:$E$404,Parcelas!$A$5:$A$404,A29))</f>
        <v>22680</v>
      </c>
      <c r="G29" s="25">
        <f>IF(A29="","",SUMIFS(Parcelas!$E$5:$E$404,Parcelas!$A$5:$A$404,A29,Parcelas!$H$5:$H$404,"Paga"))</f>
        <v>18900</v>
      </c>
      <c r="H29" s="25">
        <f>IF(A29="","",F29-G29)</f>
        <v>3780</v>
      </c>
      <c r="I29" s="25">
        <f>IF(A29="","",SUMIFS(Parcelas!$E$5:$E$404,Parcelas!$A$5:$A$404,A29,Parcelas!$H$5:$H$404,"Vencida"))</f>
        <v>3780</v>
      </c>
      <c r="J29" s="25">
        <f>IF(OR(A29="",E29=0),"",D29-F29)</f>
        <v>1320</v>
      </c>
    </row>
    <row r="30">
      <c r="A30" s="32" t="inlineStr">
        <is>
          <t>CONS-2026-07</t>
        </is>
      </c>
      <c r="B30" s="32" t="inlineStr">
        <is>
          <t>Agência Prisma</t>
        </is>
      </c>
      <c r="C30" s="34" t="inlineStr">
        <is>
          <t>Fixo</t>
        </is>
      </c>
      <c r="D30" s="36" t="n">
        <v>7000</v>
      </c>
      <c r="E30" s="24">
        <f>IF(A30="","",COUNTIFS(Parcelas!$A$5:$A$404,A30))</f>
        <v>2</v>
      </c>
      <c r="F30" s="25">
        <f>IF(A30="","",SUMIFS(Parcelas!$E$5:$E$404,Parcelas!$A$5:$A$404,A30))</f>
        <v>7000</v>
      </c>
      <c r="G30" s="25">
        <f>IF(A30="","",SUMIFS(Parcelas!$E$5:$E$404,Parcelas!$A$5:$A$404,A30,Parcelas!$H$5:$H$404,"Paga"))</f>
        <v>7000</v>
      </c>
      <c r="H30" s="25">
        <f>IF(A30="","",F30-G30)</f>
        <v>0</v>
      </c>
      <c r="I30" s="25">
        <f>IF(A30="","",SUMIFS(Parcelas!$E$5:$E$404,Parcelas!$A$5:$A$404,A30,Parcelas!$H$5:$H$404,"Vencida"))</f>
        <v>0</v>
      </c>
      <c r="J30" s="25">
        <f>IF(OR(A30="",E30=0),"",D30-F30)</f>
        <v>0</v>
      </c>
    </row>
    <row r="31">
      <c r="A31" s="32" t="inlineStr">
        <is>
          <t>9495290-86.2025.8.26.0503</t>
        </is>
      </c>
      <c r="B31" s="32" t="inlineStr">
        <is>
          <t>Helena Duarte</t>
        </is>
      </c>
      <c r="C31" s="34" t="inlineStr">
        <is>
          <t>Êxito</t>
        </is>
      </c>
      <c r="D31" s="36" t="n">
        <v>7000</v>
      </c>
      <c r="E31" s="24">
        <f>IF(A31="","",COUNTIFS(Parcelas!$A$5:$A$404,A31))</f>
        <v>0</v>
      </c>
      <c r="F31" s="25">
        <f>IF(A31="","",SUMIFS(Parcelas!$E$5:$E$404,Parcelas!$A$5:$A$404,A31))</f>
        <v>0</v>
      </c>
      <c r="G31" s="25">
        <f>IF(A31="","",SUMIFS(Parcelas!$E$5:$E$404,Parcelas!$A$5:$A$404,A31,Parcelas!$H$5:$H$404,"Paga"))</f>
        <v>0</v>
      </c>
      <c r="H31" s="25">
        <f>IF(A31="","",F31-G31)</f>
        <v>0</v>
      </c>
      <c r="I31" s="25">
        <f>IF(A31="","",SUMIFS(Parcelas!$E$5:$E$404,Parcelas!$A$5:$A$404,A31,Parcelas!$H$5:$H$404,"Vencida"))</f>
        <v>0</v>
      </c>
      <c r="J31" s="25">
        <f>IF(OR(A31="",E31=0),"",D31-F31)</f>
        <v/>
      </c>
    </row>
    <row r="32">
      <c r="A32" s="32" t="inlineStr">
        <is>
          <t>7679821-77.2026.8.26.0265</t>
        </is>
      </c>
      <c r="B32" s="32" t="inlineStr">
        <is>
          <t>Helena Duarte</t>
        </is>
      </c>
      <c r="C32" s="34" t="inlineStr">
        <is>
          <t>Fixo</t>
        </is>
      </c>
      <c r="D32" s="36" t="n">
        <v>7500</v>
      </c>
      <c r="E32" s="24">
        <f>IF(A32="","",COUNTIFS(Parcelas!$A$5:$A$404,A32))</f>
        <v>4</v>
      </c>
      <c r="F32" s="25">
        <f>IF(A32="","",SUMIFS(Parcelas!$E$5:$E$404,Parcelas!$A$5:$A$404,A32))</f>
        <v>7500</v>
      </c>
      <c r="G32" s="25">
        <f>IF(A32="","",SUMIFS(Parcelas!$E$5:$E$404,Parcelas!$A$5:$A$404,A32,Parcelas!$H$5:$H$404,"Paga"))</f>
        <v>4500</v>
      </c>
      <c r="H32" s="25">
        <f>IF(A32="","",F32-G32)</f>
        <v>3000</v>
      </c>
      <c r="I32" s="25">
        <f>IF(A32="","",SUMIFS(Parcelas!$E$5:$E$404,Parcelas!$A$5:$A$404,A32,Parcelas!$H$5:$H$404,"Vencida"))</f>
        <v>1500</v>
      </c>
      <c r="J32" s="25">
        <f>IF(OR(A32="",E32=0),"",D32-F32)</f>
        <v>0</v>
      </c>
    </row>
    <row r="33">
      <c r="A33" s="32" t="inlineStr">
        <is>
          <t>8045862-82.2026.8.26.0491</t>
        </is>
      </c>
      <c r="B33" s="32" t="inlineStr">
        <is>
          <t>Carlos Eduardo Nunes</t>
        </is>
      </c>
      <c r="C33" s="34" t="inlineStr">
        <is>
          <t>Misto</t>
        </is>
      </c>
      <c r="D33" s="36" t="n">
        <v>7600</v>
      </c>
      <c r="E33" s="24">
        <f>IF(A33="","",COUNTIFS(Parcelas!$A$5:$A$404,A33))</f>
        <v>2</v>
      </c>
      <c r="F33" s="25">
        <f>IF(A33="","",SUMIFS(Parcelas!$E$5:$E$404,Parcelas!$A$5:$A$404,A33))</f>
        <v>3600</v>
      </c>
      <c r="G33" s="25">
        <f>IF(A33="","",SUMIFS(Parcelas!$E$5:$E$404,Parcelas!$A$5:$A$404,A33,Parcelas!$H$5:$H$404,"Paga"))</f>
        <v>3600</v>
      </c>
      <c r="H33" s="25">
        <f>IF(A33="","",F33-G33)</f>
        <v>0</v>
      </c>
      <c r="I33" s="25">
        <f>IF(A33="","",SUMIFS(Parcelas!$E$5:$E$404,Parcelas!$A$5:$A$404,A33,Parcelas!$H$5:$H$404,"Vencida"))</f>
        <v>0</v>
      </c>
      <c r="J33" s="25">
        <f>IF(OR(A33="",E33=0),"",D33-F33)</f>
        <v>4000</v>
      </c>
    </row>
    <row r="34">
      <c r="A34" s="32" t="inlineStr">
        <is>
          <t>9605863-76.2026.8.26.0026</t>
        </is>
      </c>
      <c r="B34" s="32" t="inlineStr">
        <is>
          <t>Marcos Vinícius Teles</t>
        </is>
      </c>
      <c r="C34" s="34" t="inlineStr">
        <is>
          <t>Fixo</t>
        </is>
      </c>
      <c r="D34" s="36" t="n">
        <v>5400</v>
      </c>
      <c r="E34" s="24">
        <f>IF(A34="","",COUNTIFS(Parcelas!$A$5:$A$404,A34))</f>
        <v>4</v>
      </c>
      <c r="F34" s="25">
        <f>IF(A34="","",SUMIFS(Parcelas!$E$5:$E$404,Parcelas!$A$5:$A$404,A34))</f>
        <v>5400</v>
      </c>
      <c r="G34" s="25">
        <f>IF(A34="","",SUMIFS(Parcelas!$E$5:$E$404,Parcelas!$A$5:$A$404,A34,Parcelas!$H$5:$H$404,"Paga"))</f>
        <v>5400</v>
      </c>
      <c r="H34" s="25">
        <f>IF(A34="","",F34-G34)</f>
        <v>0</v>
      </c>
      <c r="I34" s="25">
        <f>IF(A34="","",SUMIFS(Parcelas!$E$5:$E$404,Parcelas!$A$5:$A$404,A34,Parcelas!$H$5:$H$404,"Vencida"))</f>
        <v>0</v>
      </c>
      <c r="J34" s="25">
        <f>IF(OR(A34="",E34=0),"",D34-F34)</f>
        <v>0</v>
      </c>
    </row>
    <row r="35">
      <c r="A35" s="32" t="inlineStr">
        <is>
          <t>4766902-26.2025.8.26.0051</t>
        </is>
      </c>
      <c r="B35" s="32" t="inlineStr">
        <is>
          <t>Padaria do Sol Ltda</t>
        </is>
      </c>
      <c r="C35" s="34" t="inlineStr">
        <is>
          <t>Fixo</t>
        </is>
      </c>
      <c r="D35" s="36" t="n">
        <v>12000</v>
      </c>
      <c r="E35" s="24">
        <f>IF(A35="","",COUNTIFS(Parcelas!$A$5:$A$404,A35))</f>
        <v>5</v>
      </c>
      <c r="F35" s="25">
        <f>IF(A35="","",SUMIFS(Parcelas!$E$5:$E$404,Parcelas!$A$5:$A$404,A35))</f>
        <v>12000</v>
      </c>
      <c r="G35" s="25">
        <f>IF(A35="","",SUMIFS(Parcelas!$E$5:$E$404,Parcelas!$A$5:$A$404,A35,Parcelas!$H$5:$H$404,"Paga"))</f>
        <v>12000</v>
      </c>
      <c r="H35" s="25">
        <f>IF(A35="","",F35-G35)</f>
        <v>0</v>
      </c>
      <c r="I35" s="25">
        <f>IF(A35="","",SUMIFS(Parcelas!$E$5:$E$404,Parcelas!$A$5:$A$404,A35,Parcelas!$H$5:$H$404,"Vencida"))</f>
        <v>0</v>
      </c>
      <c r="J35" s="25">
        <f>IF(OR(A35="",E35=0),"",D35-F35)</f>
        <v>0</v>
      </c>
    </row>
    <row r="36">
      <c r="A36" s="32" t="inlineStr">
        <is>
          <t>9778116-95.2025.8.26.0106</t>
        </is>
      </c>
      <c r="B36" s="32" t="inlineStr">
        <is>
          <t>Construtora Horizonte</t>
        </is>
      </c>
      <c r="C36" s="34" t="inlineStr">
        <is>
          <t>Misto</t>
        </is>
      </c>
      <c r="D36" s="36" t="n">
        <v>18000</v>
      </c>
      <c r="E36" s="24">
        <f>IF(A36="","",COUNTIFS(Parcelas!$A$5:$A$404,A36))</f>
        <v>5</v>
      </c>
      <c r="F36" s="25">
        <f>IF(A36="","",SUMIFS(Parcelas!$E$5:$E$404,Parcelas!$A$5:$A$404,A36))</f>
        <v>18000</v>
      </c>
      <c r="G36" s="25">
        <f>IF(A36="","",SUMIFS(Parcelas!$E$5:$E$404,Parcelas!$A$5:$A$404,A36,Parcelas!$H$5:$H$404,"Paga"))</f>
        <v>18000</v>
      </c>
      <c r="H36" s="25">
        <f>IF(A36="","",F36-G36)</f>
        <v>0</v>
      </c>
      <c r="I36" s="25">
        <f>IF(A36="","",SUMIFS(Parcelas!$E$5:$E$404,Parcelas!$A$5:$A$404,A36,Parcelas!$H$5:$H$404,"Vencida"))</f>
        <v>0</v>
      </c>
      <c r="J36" s="25">
        <f>IF(OR(A36="",E36=0),"",D36-F36)</f>
        <v>0</v>
      </c>
    </row>
    <row r="37">
      <c r="A37" s="32" t="inlineStr">
        <is>
          <t>8204296-70.2025.8.26.0146</t>
        </is>
      </c>
      <c r="B37" s="32" t="inlineStr">
        <is>
          <t>Marcos Vinícius Teles</t>
        </is>
      </c>
      <c r="C37" s="34" t="inlineStr">
        <is>
          <t>Êxito</t>
        </is>
      </c>
      <c r="D37" s="36" t="n">
        <v>6500</v>
      </c>
      <c r="E37" s="24">
        <f>IF(A37="","",COUNTIFS(Parcelas!$A$5:$A$404,A37))</f>
        <v>1</v>
      </c>
      <c r="F37" s="25">
        <f>IF(A37="","",SUMIFS(Parcelas!$E$5:$E$404,Parcelas!$A$5:$A$404,A37))</f>
        <v>6500</v>
      </c>
      <c r="G37" s="25">
        <f>IF(A37="","",SUMIFS(Parcelas!$E$5:$E$404,Parcelas!$A$5:$A$404,A37,Parcelas!$H$5:$H$404,"Paga"))</f>
        <v>6500</v>
      </c>
      <c r="H37" s="25">
        <f>IF(A37="","",F37-G37)</f>
        <v>0</v>
      </c>
      <c r="I37" s="25">
        <f>IF(A37="","",SUMIFS(Parcelas!$E$5:$E$404,Parcelas!$A$5:$A$404,A37,Parcelas!$H$5:$H$404,"Vencida"))</f>
        <v>0</v>
      </c>
      <c r="J37" s="25">
        <f>IF(OR(A37="",E37=0),"",D37-F37)</f>
        <v>0</v>
      </c>
    </row>
    <row r="38">
      <c r="A38" s="32" t="inlineStr">
        <is>
          <t>9088515-39.2025.8.26.0125</t>
        </is>
      </c>
      <c r="B38" s="32" t="inlineStr">
        <is>
          <t>Loja Verde Comércio</t>
        </is>
      </c>
      <c r="C38" s="34" t="inlineStr">
        <is>
          <t>Fixo</t>
        </is>
      </c>
      <c r="D38" s="36" t="n">
        <v>6000</v>
      </c>
      <c r="E38" s="24">
        <f>IF(A38="","",COUNTIFS(Parcelas!$A$5:$A$404,A38))</f>
        <v>5</v>
      </c>
      <c r="F38" s="25">
        <f>IF(A38="","",SUMIFS(Parcelas!$E$5:$E$404,Parcelas!$A$5:$A$404,A38))</f>
        <v>6000</v>
      </c>
      <c r="G38" s="25">
        <f>IF(A38="","",SUMIFS(Parcelas!$E$5:$E$404,Parcelas!$A$5:$A$404,A38,Parcelas!$H$5:$H$404,"Paga"))</f>
        <v>6000</v>
      </c>
      <c r="H38" s="25">
        <f>IF(A38="","",F38-G38)</f>
        <v>0</v>
      </c>
      <c r="I38" s="25">
        <f>IF(A38="","",SUMIFS(Parcelas!$E$5:$E$404,Parcelas!$A$5:$A$404,A38,Parcelas!$H$5:$H$404,"Vencida"))</f>
        <v>0</v>
      </c>
      <c r="J38" s="25">
        <f>IF(OR(A38="",E38=0),"",D38-F38)</f>
        <v>0</v>
      </c>
    </row>
    <row r="39">
      <c r="A39" s="32" t="inlineStr">
        <is>
          <t>8663770-96.2025.8.26.0481</t>
        </is>
      </c>
      <c r="B39" s="32" t="inlineStr">
        <is>
          <t>Oficina Mecânica Central</t>
        </is>
      </c>
      <c r="C39" s="34" t="inlineStr">
        <is>
          <t>Fixo</t>
        </is>
      </c>
      <c r="D39" s="36" t="n">
        <v>12000</v>
      </c>
      <c r="E39" s="24">
        <f>IF(A39="","",COUNTIFS(Parcelas!$A$5:$A$404,A39))</f>
        <v>13</v>
      </c>
      <c r="F39" s="25">
        <f>IF(A39="","",SUMIFS(Parcelas!$E$5:$E$404,Parcelas!$A$5:$A$404,A39))</f>
        <v>12000</v>
      </c>
      <c r="G39" s="25">
        <f>IF(A39="","",SUMIFS(Parcelas!$E$5:$E$404,Parcelas!$A$5:$A$404,A39,Parcelas!$H$5:$H$404,"Paga"))</f>
        <v>12000</v>
      </c>
      <c r="H39" s="25">
        <f>IF(A39="","",F39-G39)</f>
        <v>0</v>
      </c>
      <c r="I39" s="25">
        <f>IF(A39="","",SUMIFS(Parcelas!$E$5:$E$404,Parcelas!$A$5:$A$404,A39,Parcelas!$H$5:$H$404,"Vencida"))</f>
        <v>0</v>
      </c>
      <c r="J39" s="25">
        <f>IF(OR(A39="",E39=0),"",D39-F39)</f>
        <v>0</v>
      </c>
    </row>
    <row r="40">
      <c r="A40" s="32" t="inlineStr">
        <is>
          <t>5211189-81.2025.8.26.0412</t>
        </is>
      </c>
      <c r="B40" s="32" t="inlineStr">
        <is>
          <t>Fernanda Castro</t>
        </is>
      </c>
      <c r="C40" s="34" t="inlineStr">
        <is>
          <t>Fixo</t>
        </is>
      </c>
      <c r="D40" s="36" t="n">
        <v>7000</v>
      </c>
      <c r="E40" s="24">
        <f>IF(A40="","",COUNTIFS(Parcelas!$A$5:$A$404,A40))</f>
        <v>4</v>
      </c>
      <c r="F40" s="25">
        <f>IF(A40="","",SUMIFS(Parcelas!$E$5:$E$404,Parcelas!$A$5:$A$404,A40))</f>
        <v>7000</v>
      </c>
      <c r="G40" s="25">
        <f>IF(A40="","",SUMIFS(Parcelas!$E$5:$E$404,Parcelas!$A$5:$A$404,A40,Parcelas!$H$5:$H$404,"Paga"))</f>
        <v>7000</v>
      </c>
      <c r="H40" s="25">
        <f>IF(A40="","",F40-G40)</f>
        <v>0</v>
      </c>
      <c r="I40" s="25">
        <f>IF(A40="","",SUMIFS(Parcelas!$E$5:$E$404,Parcelas!$A$5:$A$404,A40,Parcelas!$H$5:$H$404,"Vencida"))</f>
        <v>0</v>
      </c>
      <c r="J40" s="25">
        <f>IF(OR(A40="",E40=0),"",D40-F40)</f>
        <v>0</v>
      </c>
    </row>
    <row r="41">
      <c r="A41" s="32" t="inlineStr">
        <is>
          <t>6161129-80.2025.8.26.0663</t>
        </is>
      </c>
      <c r="B41" s="32" t="inlineStr">
        <is>
          <t>José Antônio Ribeiro</t>
        </is>
      </c>
      <c r="C41" s="34" t="inlineStr">
        <is>
          <t>Êxito</t>
        </is>
      </c>
      <c r="D41" s="36" t="n">
        <v>6000</v>
      </c>
      <c r="E41" s="24">
        <f>IF(A41="","",COUNTIFS(Parcelas!$A$5:$A$404,A41))</f>
        <v>1</v>
      </c>
      <c r="F41" s="25">
        <f>IF(A41="","",SUMIFS(Parcelas!$E$5:$E$404,Parcelas!$A$5:$A$404,A41))</f>
        <v>6000</v>
      </c>
      <c r="G41" s="25">
        <f>IF(A41="","",SUMIFS(Parcelas!$E$5:$E$404,Parcelas!$A$5:$A$404,A41,Parcelas!$H$5:$H$404,"Paga"))</f>
        <v>6000</v>
      </c>
      <c r="H41" s="25">
        <f>IF(A41="","",F41-G41)</f>
        <v>0</v>
      </c>
      <c r="I41" s="25">
        <f>IF(A41="","",SUMIFS(Parcelas!$E$5:$E$404,Parcelas!$A$5:$A$404,A41,Parcelas!$H$5:$H$404,"Vencida"))</f>
        <v>0</v>
      </c>
      <c r="J41" s="25">
        <f>IF(OR(A41="",E41=0),"",D41-F41)</f>
        <v>0</v>
      </c>
    </row>
    <row r="42">
      <c r="A42" s="32" t="inlineStr">
        <is>
          <t>9420478-99.2025.8.26.0491</t>
        </is>
      </c>
      <c r="B42" s="32" t="inlineStr">
        <is>
          <t>Ana Beatriz Moreira</t>
        </is>
      </c>
      <c r="C42" s="34" t="inlineStr">
        <is>
          <t>Misto</t>
        </is>
      </c>
      <c r="D42" s="36" t="n">
        <v>8500</v>
      </c>
      <c r="E42" s="24">
        <f>IF(A42="","",COUNTIFS(Parcelas!$A$5:$A$404,A42))</f>
        <v>2</v>
      </c>
      <c r="F42" s="25">
        <f>IF(A42="","",SUMIFS(Parcelas!$E$5:$E$404,Parcelas!$A$5:$A$404,A42))</f>
        <v>8500</v>
      </c>
      <c r="G42" s="25">
        <f>IF(A42="","",SUMIFS(Parcelas!$E$5:$E$404,Parcelas!$A$5:$A$404,A42,Parcelas!$H$5:$H$404,"Paga"))</f>
        <v>8500</v>
      </c>
      <c r="H42" s="25">
        <f>IF(A42="","",F42-G42)</f>
        <v>0</v>
      </c>
      <c r="I42" s="25">
        <f>IF(A42="","",SUMIFS(Parcelas!$E$5:$E$404,Parcelas!$A$5:$A$404,A42,Parcelas!$H$5:$H$404,"Vencida"))</f>
        <v>0</v>
      </c>
      <c r="J42" s="25">
        <f>IF(OR(A42="",E42=0),"",D42-F42)</f>
        <v>0</v>
      </c>
    </row>
    <row r="43">
      <c r="A43" s="32" t="n"/>
      <c r="B43" s="32" t="n"/>
      <c r="C43" s="34" t="n"/>
      <c r="D43" s="36" t="n"/>
      <c r="E43" s="24">
        <f>IF(A43="","",COUNTIFS(Parcelas!$A$5:$A$404,A43))</f>
        <v/>
      </c>
      <c r="F43" s="25">
        <f>IF(A43="","",SUMIFS(Parcelas!$E$5:$E$404,Parcelas!$A$5:$A$404,A43))</f>
        <v/>
      </c>
      <c r="G43" s="25">
        <f>IF(A43="","",SUMIFS(Parcelas!$E$5:$E$404,Parcelas!$A$5:$A$404,A43,Parcelas!$H$5:$H$404,"Paga"))</f>
        <v/>
      </c>
      <c r="H43" s="25">
        <f>IF(A43="","",F43-G43)</f>
        <v/>
      </c>
      <c r="I43" s="25">
        <f>IF(A43="","",SUMIFS(Parcelas!$E$5:$E$404,Parcelas!$A$5:$A$404,A43,Parcelas!$H$5:$H$404,"Vencida"))</f>
        <v/>
      </c>
      <c r="J43" s="25">
        <f>IF(OR(A43="",E43=0),"",D43-F43)</f>
        <v/>
      </c>
    </row>
    <row r="44">
      <c r="A44" s="32" t="n"/>
      <c r="B44" s="32" t="n"/>
      <c r="C44" s="34" t="n"/>
      <c r="D44" s="36" t="n"/>
      <c r="E44" s="24">
        <f>IF(A44="","",COUNTIFS(Parcelas!$A$5:$A$404,A44))</f>
        <v/>
      </c>
      <c r="F44" s="25">
        <f>IF(A44="","",SUMIFS(Parcelas!$E$5:$E$404,Parcelas!$A$5:$A$404,A44))</f>
        <v/>
      </c>
      <c r="G44" s="25">
        <f>IF(A44="","",SUMIFS(Parcelas!$E$5:$E$404,Parcelas!$A$5:$A$404,A44,Parcelas!$H$5:$H$404,"Paga"))</f>
        <v/>
      </c>
      <c r="H44" s="25">
        <f>IF(A44="","",F44-G44)</f>
        <v/>
      </c>
      <c r="I44" s="25">
        <f>IF(A44="","",SUMIFS(Parcelas!$E$5:$E$404,Parcelas!$A$5:$A$404,A44,Parcelas!$H$5:$H$404,"Vencida"))</f>
        <v/>
      </c>
      <c r="J44" s="25">
        <f>IF(OR(A44="",E44=0),"",D44-F44)</f>
        <v/>
      </c>
    </row>
    <row r="45">
      <c r="A45" s="32" t="n"/>
      <c r="B45" s="32" t="n"/>
      <c r="C45" s="34" t="n"/>
      <c r="D45" s="36" t="n"/>
      <c r="E45" s="24">
        <f>IF(A45="","",COUNTIFS(Parcelas!$A$5:$A$404,A45))</f>
        <v/>
      </c>
      <c r="F45" s="25">
        <f>IF(A45="","",SUMIFS(Parcelas!$E$5:$E$404,Parcelas!$A$5:$A$404,A45))</f>
        <v/>
      </c>
      <c r="G45" s="25">
        <f>IF(A45="","",SUMIFS(Parcelas!$E$5:$E$404,Parcelas!$A$5:$A$404,A45,Parcelas!$H$5:$H$404,"Paga"))</f>
        <v/>
      </c>
      <c r="H45" s="25">
        <f>IF(A45="","",F45-G45)</f>
        <v/>
      </c>
      <c r="I45" s="25">
        <f>IF(A45="","",SUMIFS(Parcelas!$E$5:$E$404,Parcelas!$A$5:$A$404,A45,Parcelas!$H$5:$H$404,"Vencida"))</f>
        <v/>
      </c>
      <c r="J45" s="25">
        <f>IF(OR(A45="",E45=0),"",D45-F45)</f>
        <v/>
      </c>
    </row>
    <row r="46">
      <c r="A46" s="32" t="n"/>
      <c r="B46" s="32" t="n"/>
      <c r="C46" s="34" t="n"/>
      <c r="D46" s="36" t="n"/>
      <c r="E46" s="24">
        <f>IF(A46="","",COUNTIFS(Parcelas!$A$5:$A$404,A46))</f>
        <v/>
      </c>
      <c r="F46" s="25">
        <f>IF(A46="","",SUMIFS(Parcelas!$E$5:$E$404,Parcelas!$A$5:$A$404,A46))</f>
        <v/>
      </c>
      <c r="G46" s="25">
        <f>IF(A46="","",SUMIFS(Parcelas!$E$5:$E$404,Parcelas!$A$5:$A$404,A46,Parcelas!$H$5:$H$404,"Paga"))</f>
        <v/>
      </c>
      <c r="H46" s="25">
        <f>IF(A46="","",F46-G46)</f>
        <v/>
      </c>
      <c r="I46" s="25">
        <f>IF(A46="","",SUMIFS(Parcelas!$E$5:$E$404,Parcelas!$A$5:$A$404,A46,Parcelas!$H$5:$H$404,"Vencida"))</f>
        <v/>
      </c>
      <c r="J46" s="25">
        <f>IF(OR(A46="",E46=0),"",D46-F46)</f>
        <v/>
      </c>
    </row>
    <row r="47">
      <c r="A47" s="32" t="n"/>
      <c r="B47" s="32" t="n"/>
      <c r="C47" s="34" t="n"/>
      <c r="D47" s="36" t="n"/>
      <c r="E47" s="24">
        <f>IF(A47="","",COUNTIFS(Parcelas!$A$5:$A$404,A47))</f>
        <v/>
      </c>
      <c r="F47" s="25">
        <f>IF(A47="","",SUMIFS(Parcelas!$E$5:$E$404,Parcelas!$A$5:$A$404,A47))</f>
        <v/>
      </c>
      <c r="G47" s="25">
        <f>IF(A47="","",SUMIFS(Parcelas!$E$5:$E$404,Parcelas!$A$5:$A$404,A47,Parcelas!$H$5:$H$404,"Paga"))</f>
        <v/>
      </c>
      <c r="H47" s="25">
        <f>IF(A47="","",F47-G47)</f>
        <v/>
      </c>
      <c r="I47" s="25">
        <f>IF(A47="","",SUMIFS(Parcelas!$E$5:$E$404,Parcelas!$A$5:$A$404,A47,Parcelas!$H$5:$H$404,"Vencida"))</f>
        <v/>
      </c>
      <c r="J47" s="25">
        <f>IF(OR(A47="",E47=0),"",D47-F47)</f>
        <v/>
      </c>
    </row>
    <row r="48">
      <c r="A48" s="32" t="n"/>
      <c r="B48" s="32" t="n"/>
      <c r="C48" s="34" t="n"/>
      <c r="D48" s="36" t="n"/>
      <c r="E48" s="24">
        <f>IF(A48="","",COUNTIFS(Parcelas!$A$5:$A$404,A48))</f>
        <v/>
      </c>
      <c r="F48" s="25">
        <f>IF(A48="","",SUMIFS(Parcelas!$E$5:$E$404,Parcelas!$A$5:$A$404,A48))</f>
        <v/>
      </c>
      <c r="G48" s="25">
        <f>IF(A48="","",SUMIFS(Parcelas!$E$5:$E$404,Parcelas!$A$5:$A$404,A48,Parcelas!$H$5:$H$404,"Paga"))</f>
        <v/>
      </c>
      <c r="H48" s="25">
        <f>IF(A48="","",F48-G48)</f>
        <v/>
      </c>
      <c r="I48" s="25">
        <f>IF(A48="","",SUMIFS(Parcelas!$E$5:$E$404,Parcelas!$A$5:$A$404,A48,Parcelas!$H$5:$H$404,"Vencida"))</f>
        <v/>
      </c>
      <c r="J48" s="25">
        <f>IF(OR(A48="",E48=0),"",D48-F48)</f>
        <v/>
      </c>
    </row>
    <row r="49">
      <c r="A49" s="32" t="n"/>
      <c r="B49" s="32" t="n"/>
      <c r="C49" s="34" t="n"/>
      <c r="D49" s="36" t="n"/>
      <c r="E49" s="24">
        <f>IF(A49="","",COUNTIFS(Parcelas!$A$5:$A$404,A49))</f>
        <v/>
      </c>
      <c r="F49" s="25">
        <f>IF(A49="","",SUMIFS(Parcelas!$E$5:$E$404,Parcelas!$A$5:$A$404,A49))</f>
        <v/>
      </c>
      <c r="G49" s="25">
        <f>IF(A49="","",SUMIFS(Parcelas!$E$5:$E$404,Parcelas!$A$5:$A$404,A49,Parcelas!$H$5:$H$404,"Paga"))</f>
        <v/>
      </c>
      <c r="H49" s="25">
        <f>IF(A49="","",F49-G49)</f>
        <v/>
      </c>
      <c r="I49" s="25">
        <f>IF(A49="","",SUMIFS(Parcelas!$E$5:$E$404,Parcelas!$A$5:$A$404,A49,Parcelas!$H$5:$H$404,"Vencida"))</f>
        <v/>
      </c>
      <c r="J49" s="25">
        <f>IF(OR(A49="",E49=0),"",D49-F49)</f>
        <v/>
      </c>
    </row>
    <row r="50">
      <c r="A50" s="32" t="n"/>
      <c r="B50" s="32" t="n"/>
      <c r="C50" s="34" t="n"/>
      <c r="D50" s="36" t="n"/>
      <c r="E50" s="24">
        <f>IF(A50="","",COUNTIFS(Parcelas!$A$5:$A$404,A50))</f>
        <v/>
      </c>
      <c r="F50" s="25">
        <f>IF(A50="","",SUMIFS(Parcelas!$E$5:$E$404,Parcelas!$A$5:$A$404,A50))</f>
        <v/>
      </c>
      <c r="G50" s="25">
        <f>IF(A50="","",SUMIFS(Parcelas!$E$5:$E$404,Parcelas!$A$5:$A$404,A50,Parcelas!$H$5:$H$404,"Paga"))</f>
        <v/>
      </c>
      <c r="H50" s="25">
        <f>IF(A50="","",F50-G50)</f>
        <v/>
      </c>
      <c r="I50" s="25">
        <f>IF(A50="","",SUMIFS(Parcelas!$E$5:$E$404,Parcelas!$A$5:$A$404,A50,Parcelas!$H$5:$H$404,"Vencida"))</f>
        <v/>
      </c>
      <c r="J50" s="25">
        <f>IF(OR(A50="",E50=0),"",D50-F50)</f>
        <v/>
      </c>
    </row>
    <row r="51">
      <c r="A51" s="32" t="n"/>
      <c r="B51" s="32" t="n"/>
      <c r="C51" s="34" t="n"/>
      <c r="D51" s="36" t="n"/>
      <c r="E51" s="24">
        <f>IF(A51="","",COUNTIFS(Parcelas!$A$5:$A$404,A51))</f>
        <v/>
      </c>
      <c r="F51" s="25">
        <f>IF(A51="","",SUMIFS(Parcelas!$E$5:$E$404,Parcelas!$A$5:$A$404,A51))</f>
        <v/>
      </c>
      <c r="G51" s="25">
        <f>IF(A51="","",SUMIFS(Parcelas!$E$5:$E$404,Parcelas!$A$5:$A$404,A51,Parcelas!$H$5:$H$404,"Paga"))</f>
        <v/>
      </c>
      <c r="H51" s="25">
        <f>IF(A51="","",F51-G51)</f>
        <v/>
      </c>
      <c r="I51" s="25">
        <f>IF(A51="","",SUMIFS(Parcelas!$E$5:$E$404,Parcelas!$A$5:$A$404,A51,Parcelas!$H$5:$H$404,"Vencida"))</f>
        <v/>
      </c>
      <c r="J51" s="25">
        <f>IF(OR(A51="",E51=0),"",D51-F51)</f>
        <v/>
      </c>
    </row>
    <row r="52">
      <c r="A52" s="32" t="n"/>
      <c r="B52" s="32" t="n"/>
      <c r="C52" s="34" t="n"/>
      <c r="D52" s="36" t="n"/>
      <c r="E52" s="24">
        <f>IF(A52="","",COUNTIFS(Parcelas!$A$5:$A$404,A52))</f>
        <v/>
      </c>
      <c r="F52" s="25">
        <f>IF(A52="","",SUMIFS(Parcelas!$E$5:$E$404,Parcelas!$A$5:$A$404,A52))</f>
        <v/>
      </c>
      <c r="G52" s="25">
        <f>IF(A52="","",SUMIFS(Parcelas!$E$5:$E$404,Parcelas!$A$5:$A$404,A52,Parcelas!$H$5:$H$404,"Paga"))</f>
        <v/>
      </c>
      <c r="H52" s="25">
        <f>IF(A52="","",F52-G52)</f>
        <v/>
      </c>
      <c r="I52" s="25">
        <f>IF(A52="","",SUMIFS(Parcelas!$E$5:$E$404,Parcelas!$A$5:$A$404,A52,Parcelas!$H$5:$H$404,"Vencida"))</f>
        <v/>
      </c>
      <c r="J52" s="25">
        <f>IF(OR(A52="",E52=0),"",D52-F52)</f>
        <v/>
      </c>
    </row>
    <row r="53">
      <c r="A53" s="32" t="n"/>
      <c r="B53" s="32" t="n"/>
      <c r="C53" s="34" t="n"/>
      <c r="D53" s="36" t="n"/>
      <c r="E53" s="24">
        <f>IF(A53="","",COUNTIFS(Parcelas!$A$5:$A$404,A53))</f>
        <v/>
      </c>
      <c r="F53" s="25">
        <f>IF(A53="","",SUMIFS(Parcelas!$E$5:$E$404,Parcelas!$A$5:$A$404,A53))</f>
        <v/>
      </c>
      <c r="G53" s="25">
        <f>IF(A53="","",SUMIFS(Parcelas!$E$5:$E$404,Parcelas!$A$5:$A$404,A53,Parcelas!$H$5:$H$404,"Paga"))</f>
        <v/>
      </c>
      <c r="H53" s="25">
        <f>IF(A53="","",F53-G53)</f>
        <v/>
      </c>
      <c r="I53" s="25">
        <f>IF(A53="","",SUMIFS(Parcelas!$E$5:$E$404,Parcelas!$A$5:$A$404,A53,Parcelas!$H$5:$H$404,"Vencida"))</f>
        <v/>
      </c>
      <c r="J53" s="25">
        <f>IF(OR(A53="",E53=0),"",D53-F53)</f>
        <v/>
      </c>
    </row>
    <row r="54">
      <c r="A54" s="32" t="n"/>
      <c r="B54" s="32" t="n"/>
      <c r="C54" s="34" t="n"/>
      <c r="D54" s="36" t="n"/>
      <c r="E54" s="24">
        <f>IF(A54="","",COUNTIFS(Parcelas!$A$5:$A$404,A54))</f>
        <v/>
      </c>
      <c r="F54" s="25">
        <f>IF(A54="","",SUMIFS(Parcelas!$E$5:$E$404,Parcelas!$A$5:$A$404,A54))</f>
        <v/>
      </c>
      <c r="G54" s="25">
        <f>IF(A54="","",SUMIFS(Parcelas!$E$5:$E$404,Parcelas!$A$5:$A$404,A54,Parcelas!$H$5:$H$404,"Paga"))</f>
        <v/>
      </c>
      <c r="H54" s="25">
        <f>IF(A54="","",F54-G54)</f>
        <v/>
      </c>
      <c r="I54" s="25">
        <f>IF(A54="","",SUMIFS(Parcelas!$E$5:$E$404,Parcelas!$A$5:$A$404,A54,Parcelas!$H$5:$H$404,"Vencida"))</f>
        <v/>
      </c>
      <c r="J54" s="25">
        <f>IF(OR(A54="",E54=0),"",D54-F54)</f>
        <v/>
      </c>
    </row>
    <row r="55">
      <c r="A55" s="32" t="n"/>
      <c r="B55" s="32" t="n"/>
      <c r="C55" s="34" t="n"/>
      <c r="D55" s="36" t="n"/>
      <c r="E55" s="24">
        <f>IF(A55="","",COUNTIFS(Parcelas!$A$5:$A$404,A55))</f>
        <v/>
      </c>
      <c r="F55" s="25">
        <f>IF(A55="","",SUMIFS(Parcelas!$E$5:$E$404,Parcelas!$A$5:$A$404,A55))</f>
        <v/>
      </c>
      <c r="G55" s="25">
        <f>IF(A55="","",SUMIFS(Parcelas!$E$5:$E$404,Parcelas!$A$5:$A$404,A55,Parcelas!$H$5:$H$404,"Paga"))</f>
        <v/>
      </c>
      <c r="H55" s="25">
        <f>IF(A55="","",F55-G55)</f>
        <v/>
      </c>
      <c r="I55" s="25">
        <f>IF(A55="","",SUMIFS(Parcelas!$E$5:$E$404,Parcelas!$A$5:$A$404,A55,Parcelas!$H$5:$H$404,"Vencida"))</f>
        <v/>
      </c>
      <c r="J55" s="25">
        <f>IF(OR(A55="",E55=0),"",D55-F55)</f>
        <v/>
      </c>
    </row>
    <row r="56">
      <c r="A56" s="32" t="n"/>
      <c r="B56" s="32" t="n"/>
      <c r="C56" s="34" t="n"/>
      <c r="D56" s="36" t="n"/>
      <c r="E56" s="24">
        <f>IF(A56="","",COUNTIFS(Parcelas!$A$5:$A$404,A56))</f>
        <v/>
      </c>
      <c r="F56" s="25">
        <f>IF(A56="","",SUMIFS(Parcelas!$E$5:$E$404,Parcelas!$A$5:$A$404,A56))</f>
        <v/>
      </c>
      <c r="G56" s="25">
        <f>IF(A56="","",SUMIFS(Parcelas!$E$5:$E$404,Parcelas!$A$5:$A$404,A56,Parcelas!$H$5:$H$404,"Paga"))</f>
        <v/>
      </c>
      <c r="H56" s="25">
        <f>IF(A56="","",F56-G56)</f>
        <v/>
      </c>
      <c r="I56" s="25">
        <f>IF(A56="","",SUMIFS(Parcelas!$E$5:$E$404,Parcelas!$A$5:$A$404,A56,Parcelas!$H$5:$H$404,"Vencida"))</f>
        <v/>
      </c>
      <c r="J56" s="25">
        <f>IF(OR(A56="",E56=0),"",D56-F56)</f>
        <v/>
      </c>
    </row>
    <row r="57">
      <c r="A57" s="32" t="n"/>
      <c r="B57" s="32" t="n"/>
      <c r="C57" s="34" t="n"/>
      <c r="D57" s="36" t="n"/>
      <c r="E57" s="24">
        <f>IF(A57="","",COUNTIFS(Parcelas!$A$5:$A$404,A57))</f>
        <v/>
      </c>
      <c r="F57" s="25">
        <f>IF(A57="","",SUMIFS(Parcelas!$E$5:$E$404,Parcelas!$A$5:$A$404,A57))</f>
        <v/>
      </c>
      <c r="G57" s="25">
        <f>IF(A57="","",SUMIFS(Parcelas!$E$5:$E$404,Parcelas!$A$5:$A$404,A57,Parcelas!$H$5:$H$404,"Paga"))</f>
        <v/>
      </c>
      <c r="H57" s="25">
        <f>IF(A57="","",F57-G57)</f>
        <v/>
      </c>
      <c r="I57" s="25">
        <f>IF(A57="","",SUMIFS(Parcelas!$E$5:$E$404,Parcelas!$A$5:$A$404,A57,Parcelas!$H$5:$H$404,"Vencida"))</f>
        <v/>
      </c>
      <c r="J57" s="25">
        <f>IF(OR(A57="",E57=0),"",D57-F57)</f>
        <v/>
      </c>
    </row>
    <row r="58">
      <c r="A58" s="32" t="n"/>
      <c r="B58" s="32" t="n"/>
      <c r="C58" s="34" t="n"/>
      <c r="D58" s="36" t="n"/>
      <c r="E58" s="24">
        <f>IF(A58="","",COUNTIFS(Parcelas!$A$5:$A$404,A58))</f>
        <v/>
      </c>
      <c r="F58" s="25">
        <f>IF(A58="","",SUMIFS(Parcelas!$E$5:$E$404,Parcelas!$A$5:$A$404,A58))</f>
        <v/>
      </c>
      <c r="G58" s="25">
        <f>IF(A58="","",SUMIFS(Parcelas!$E$5:$E$404,Parcelas!$A$5:$A$404,A58,Parcelas!$H$5:$H$404,"Paga"))</f>
        <v/>
      </c>
      <c r="H58" s="25">
        <f>IF(A58="","",F58-G58)</f>
        <v/>
      </c>
      <c r="I58" s="25">
        <f>IF(A58="","",SUMIFS(Parcelas!$E$5:$E$404,Parcelas!$A$5:$A$404,A58,Parcelas!$H$5:$H$404,"Vencida"))</f>
        <v/>
      </c>
      <c r="J58" s="25">
        <f>IF(OR(A58="",E58=0),"",D58-F58)</f>
        <v/>
      </c>
    </row>
    <row r="59">
      <c r="A59" s="32" t="n"/>
      <c r="B59" s="32" t="n"/>
      <c r="C59" s="34" t="n"/>
      <c r="D59" s="36" t="n"/>
      <c r="E59" s="24">
        <f>IF(A59="","",COUNTIFS(Parcelas!$A$5:$A$404,A59))</f>
        <v/>
      </c>
      <c r="F59" s="25">
        <f>IF(A59="","",SUMIFS(Parcelas!$E$5:$E$404,Parcelas!$A$5:$A$404,A59))</f>
        <v/>
      </c>
      <c r="G59" s="25">
        <f>IF(A59="","",SUMIFS(Parcelas!$E$5:$E$404,Parcelas!$A$5:$A$404,A59,Parcelas!$H$5:$H$404,"Paga"))</f>
        <v/>
      </c>
      <c r="H59" s="25">
        <f>IF(A59="","",F59-G59)</f>
        <v/>
      </c>
      <c r="I59" s="25">
        <f>IF(A59="","",SUMIFS(Parcelas!$E$5:$E$404,Parcelas!$A$5:$A$404,A59,Parcelas!$H$5:$H$404,"Vencida"))</f>
        <v/>
      </c>
      <c r="J59" s="25">
        <f>IF(OR(A59="",E59=0),"",D59-F59)</f>
        <v/>
      </c>
    </row>
    <row r="60">
      <c r="A60" s="32" t="n"/>
      <c r="B60" s="32" t="n"/>
      <c r="C60" s="34" t="n"/>
      <c r="D60" s="36" t="n"/>
      <c r="E60" s="24">
        <f>IF(A60="","",COUNTIFS(Parcelas!$A$5:$A$404,A60))</f>
        <v/>
      </c>
      <c r="F60" s="25">
        <f>IF(A60="","",SUMIFS(Parcelas!$E$5:$E$404,Parcelas!$A$5:$A$404,A60))</f>
        <v/>
      </c>
      <c r="G60" s="25">
        <f>IF(A60="","",SUMIFS(Parcelas!$E$5:$E$404,Parcelas!$A$5:$A$404,A60,Parcelas!$H$5:$H$404,"Paga"))</f>
        <v/>
      </c>
      <c r="H60" s="25">
        <f>IF(A60="","",F60-G60)</f>
        <v/>
      </c>
      <c r="I60" s="25">
        <f>IF(A60="","",SUMIFS(Parcelas!$E$5:$E$404,Parcelas!$A$5:$A$404,A60,Parcelas!$H$5:$H$404,"Vencida"))</f>
        <v/>
      </c>
      <c r="J60" s="25">
        <f>IF(OR(A60="",E60=0),"",D60-F60)</f>
        <v/>
      </c>
    </row>
    <row r="61">
      <c r="A61" s="32" t="n"/>
      <c r="B61" s="32" t="n"/>
      <c r="C61" s="34" t="n"/>
      <c r="D61" s="36" t="n"/>
      <c r="E61" s="24">
        <f>IF(A61="","",COUNTIFS(Parcelas!$A$5:$A$404,A61))</f>
        <v/>
      </c>
      <c r="F61" s="25">
        <f>IF(A61="","",SUMIFS(Parcelas!$E$5:$E$404,Parcelas!$A$5:$A$404,A61))</f>
        <v/>
      </c>
      <c r="G61" s="25">
        <f>IF(A61="","",SUMIFS(Parcelas!$E$5:$E$404,Parcelas!$A$5:$A$404,A61,Parcelas!$H$5:$H$404,"Paga"))</f>
        <v/>
      </c>
      <c r="H61" s="25">
        <f>IF(A61="","",F61-G61)</f>
        <v/>
      </c>
      <c r="I61" s="25">
        <f>IF(A61="","",SUMIFS(Parcelas!$E$5:$E$404,Parcelas!$A$5:$A$404,A61,Parcelas!$H$5:$H$404,"Vencida"))</f>
        <v/>
      </c>
      <c r="J61" s="25">
        <f>IF(OR(A61="",E61=0),"",D61-F61)</f>
        <v/>
      </c>
    </row>
    <row r="62">
      <c r="A62" s="32" t="n"/>
      <c r="B62" s="32" t="n"/>
      <c r="C62" s="34" t="n"/>
      <c r="D62" s="36" t="n"/>
      <c r="E62" s="24">
        <f>IF(A62="","",COUNTIFS(Parcelas!$A$5:$A$404,A62))</f>
        <v/>
      </c>
      <c r="F62" s="25">
        <f>IF(A62="","",SUMIFS(Parcelas!$E$5:$E$404,Parcelas!$A$5:$A$404,A62))</f>
        <v/>
      </c>
      <c r="G62" s="25">
        <f>IF(A62="","",SUMIFS(Parcelas!$E$5:$E$404,Parcelas!$A$5:$A$404,A62,Parcelas!$H$5:$H$404,"Paga"))</f>
        <v/>
      </c>
      <c r="H62" s="25">
        <f>IF(A62="","",F62-G62)</f>
        <v/>
      </c>
      <c r="I62" s="25">
        <f>IF(A62="","",SUMIFS(Parcelas!$E$5:$E$404,Parcelas!$A$5:$A$404,A62,Parcelas!$H$5:$H$404,"Vencida"))</f>
        <v/>
      </c>
      <c r="J62" s="25">
        <f>IF(OR(A62="",E62=0),"",D62-F62)</f>
        <v/>
      </c>
    </row>
    <row r="63">
      <c r="A63" s="32" t="n"/>
      <c r="B63" s="32" t="n"/>
      <c r="C63" s="34" t="n"/>
      <c r="D63" s="36" t="n"/>
      <c r="E63" s="24">
        <f>IF(A63="","",COUNTIFS(Parcelas!$A$5:$A$404,A63))</f>
        <v/>
      </c>
      <c r="F63" s="25">
        <f>IF(A63="","",SUMIFS(Parcelas!$E$5:$E$404,Parcelas!$A$5:$A$404,A63))</f>
        <v/>
      </c>
      <c r="G63" s="25">
        <f>IF(A63="","",SUMIFS(Parcelas!$E$5:$E$404,Parcelas!$A$5:$A$404,A63,Parcelas!$H$5:$H$404,"Paga"))</f>
        <v/>
      </c>
      <c r="H63" s="25">
        <f>IF(A63="","",F63-G63)</f>
        <v/>
      </c>
      <c r="I63" s="25">
        <f>IF(A63="","",SUMIFS(Parcelas!$E$5:$E$404,Parcelas!$A$5:$A$404,A63,Parcelas!$H$5:$H$404,"Vencida"))</f>
        <v/>
      </c>
      <c r="J63" s="25">
        <f>IF(OR(A63="",E63=0),"",D63-F63)</f>
        <v/>
      </c>
    </row>
    <row r="64">
      <c r="A64" s="32" t="n"/>
      <c r="B64" s="32" t="n"/>
      <c r="C64" s="34" t="n"/>
      <c r="D64" s="36" t="n"/>
      <c r="E64" s="24">
        <f>IF(A64="","",COUNTIFS(Parcelas!$A$5:$A$404,A64))</f>
        <v/>
      </c>
      <c r="F64" s="25">
        <f>IF(A64="","",SUMIFS(Parcelas!$E$5:$E$404,Parcelas!$A$5:$A$404,A64))</f>
        <v/>
      </c>
      <c r="G64" s="25">
        <f>IF(A64="","",SUMIFS(Parcelas!$E$5:$E$404,Parcelas!$A$5:$A$404,A64,Parcelas!$H$5:$H$404,"Paga"))</f>
        <v/>
      </c>
      <c r="H64" s="25">
        <f>IF(A64="","",F64-G64)</f>
        <v/>
      </c>
      <c r="I64" s="25">
        <f>IF(A64="","",SUMIFS(Parcelas!$E$5:$E$404,Parcelas!$A$5:$A$404,A64,Parcelas!$H$5:$H$404,"Vencida"))</f>
        <v/>
      </c>
      <c r="J64" s="25">
        <f>IF(OR(A64="",E64=0),"",D64-F64)</f>
        <v/>
      </c>
    </row>
    <row r="65">
      <c r="A65" s="32" t="n"/>
      <c r="B65" s="32" t="n"/>
      <c r="C65" s="34" t="n"/>
      <c r="D65" s="36" t="n"/>
      <c r="E65" s="24">
        <f>IF(A65="","",COUNTIFS(Parcelas!$A$5:$A$404,A65))</f>
        <v/>
      </c>
      <c r="F65" s="25">
        <f>IF(A65="","",SUMIFS(Parcelas!$E$5:$E$404,Parcelas!$A$5:$A$404,A65))</f>
        <v/>
      </c>
      <c r="G65" s="25">
        <f>IF(A65="","",SUMIFS(Parcelas!$E$5:$E$404,Parcelas!$A$5:$A$404,A65,Parcelas!$H$5:$H$404,"Paga"))</f>
        <v/>
      </c>
      <c r="H65" s="25">
        <f>IF(A65="","",F65-G65)</f>
        <v/>
      </c>
      <c r="I65" s="25">
        <f>IF(A65="","",SUMIFS(Parcelas!$E$5:$E$404,Parcelas!$A$5:$A$404,A65,Parcelas!$H$5:$H$404,"Vencida"))</f>
        <v/>
      </c>
      <c r="J65" s="25">
        <f>IF(OR(A65="",E65=0),"",D65-F65)</f>
        <v/>
      </c>
    </row>
    <row r="66">
      <c r="A66" s="32" t="n"/>
      <c r="B66" s="32" t="n"/>
      <c r="C66" s="34" t="n"/>
      <c r="D66" s="36" t="n"/>
      <c r="E66" s="24">
        <f>IF(A66="","",COUNTIFS(Parcelas!$A$5:$A$404,A66))</f>
        <v/>
      </c>
      <c r="F66" s="25">
        <f>IF(A66="","",SUMIFS(Parcelas!$E$5:$E$404,Parcelas!$A$5:$A$404,A66))</f>
        <v/>
      </c>
      <c r="G66" s="25">
        <f>IF(A66="","",SUMIFS(Parcelas!$E$5:$E$404,Parcelas!$A$5:$A$404,A66,Parcelas!$H$5:$H$404,"Paga"))</f>
        <v/>
      </c>
      <c r="H66" s="25">
        <f>IF(A66="","",F66-G66)</f>
        <v/>
      </c>
      <c r="I66" s="25">
        <f>IF(A66="","",SUMIFS(Parcelas!$E$5:$E$404,Parcelas!$A$5:$A$404,A66,Parcelas!$H$5:$H$404,"Vencida"))</f>
        <v/>
      </c>
      <c r="J66" s="25">
        <f>IF(OR(A66="",E66=0),"",D66-F66)</f>
        <v/>
      </c>
    </row>
    <row r="67">
      <c r="A67" s="32" t="n"/>
      <c r="B67" s="32" t="n"/>
      <c r="C67" s="34" t="n"/>
      <c r="D67" s="36" t="n"/>
      <c r="E67" s="24">
        <f>IF(A67="","",COUNTIFS(Parcelas!$A$5:$A$404,A67))</f>
        <v/>
      </c>
      <c r="F67" s="25">
        <f>IF(A67="","",SUMIFS(Parcelas!$E$5:$E$404,Parcelas!$A$5:$A$404,A67))</f>
        <v/>
      </c>
      <c r="G67" s="25">
        <f>IF(A67="","",SUMIFS(Parcelas!$E$5:$E$404,Parcelas!$A$5:$A$404,A67,Parcelas!$H$5:$H$404,"Paga"))</f>
        <v/>
      </c>
      <c r="H67" s="25">
        <f>IF(A67="","",F67-G67)</f>
        <v/>
      </c>
      <c r="I67" s="25">
        <f>IF(A67="","",SUMIFS(Parcelas!$E$5:$E$404,Parcelas!$A$5:$A$404,A67,Parcelas!$H$5:$H$404,"Vencida"))</f>
        <v/>
      </c>
      <c r="J67" s="25">
        <f>IF(OR(A67="",E67=0),"",D67-F67)</f>
        <v/>
      </c>
    </row>
    <row r="68">
      <c r="A68" s="32" t="n"/>
      <c r="B68" s="32" t="n"/>
      <c r="C68" s="34" t="n"/>
      <c r="D68" s="36" t="n"/>
      <c r="E68" s="24">
        <f>IF(A68="","",COUNTIFS(Parcelas!$A$5:$A$404,A68))</f>
        <v/>
      </c>
      <c r="F68" s="25">
        <f>IF(A68="","",SUMIFS(Parcelas!$E$5:$E$404,Parcelas!$A$5:$A$404,A68))</f>
        <v/>
      </c>
      <c r="G68" s="25">
        <f>IF(A68="","",SUMIFS(Parcelas!$E$5:$E$404,Parcelas!$A$5:$A$404,A68,Parcelas!$H$5:$H$404,"Paga"))</f>
        <v/>
      </c>
      <c r="H68" s="25">
        <f>IF(A68="","",F68-G68)</f>
        <v/>
      </c>
      <c r="I68" s="25">
        <f>IF(A68="","",SUMIFS(Parcelas!$E$5:$E$404,Parcelas!$A$5:$A$404,A68,Parcelas!$H$5:$H$404,"Vencida"))</f>
        <v/>
      </c>
      <c r="J68" s="25">
        <f>IF(OR(A68="",E68=0),"",D68-F68)</f>
        <v/>
      </c>
    </row>
    <row r="69">
      <c r="A69" s="32" t="n"/>
      <c r="B69" s="32" t="n"/>
      <c r="C69" s="34" t="n"/>
      <c r="D69" s="36" t="n"/>
      <c r="E69" s="24">
        <f>IF(A69="","",COUNTIFS(Parcelas!$A$5:$A$404,A69))</f>
        <v/>
      </c>
      <c r="F69" s="25">
        <f>IF(A69="","",SUMIFS(Parcelas!$E$5:$E$404,Parcelas!$A$5:$A$404,A69))</f>
        <v/>
      </c>
      <c r="G69" s="25">
        <f>IF(A69="","",SUMIFS(Parcelas!$E$5:$E$404,Parcelas!$A$5:$A$404,A69,Parcelas!$H$5:$H$404,"Paga"))</f>
        <v/>
      </c>
      <c r="H69" s="25">
        <f>IF(A69="","",F69-G69)</f>
        <v/>
      </c>
      <c r="I69" s="25">
        <f>IF(A69="","",SUMIFS(Parcelas!$E$5:$E$404,Parcelas!$A$5:$A$404,A69,Parcelas!$H$5:$H$404,"Vencida"))</f>
        <v/>
      </c>
      <c r="J69" s="25">
        <f>IF(OR(A69="",E69=0),"",D69-F69)</f>
        <v/>
      </c>
    </row>
    <row r="70">
      <c r="A70" s="32" t="n"/>
      <c r="B70" s="32" t="n"/>
      <c r="C70" s="34" t="n"/>
      <c r="D70" s="36" t="n"/>
      <c r="E70" s="24">
        <f>IF(A70="","",COUNTIFS(Parcelas!$A$5:$A$404,A70))</f>
        <v/>
      </c>
      <c r="F70" s="25">
        <f>IF(A70="","",SUMIFS(Parcelas!$E$5:$E$404,Parcelas!$A$5:$A$404,A70))</f>
        <v/>
      </c>
      <c r="G70" s="25">
        <f>IF(A70="","",SUMIFS(Parcelas!$E$5:$E$404,Parcelas!$A$5:$A$404,A70,Parcelas!$H$5:$H$404,"Paga"))</f>
        <v/>
      </c>
      <c r="H70" s="25">
        <f>IF(A70="","",F70-G70)</f>
        <v/>
      </c>
      <c r="I70" s="25">
        <f>IF(A70="","",SUMIFS(Parcelas!$E$5:$E$404,Parcelas!$A$5:$A$404,A70,Parcelas!$H$5:$H$404,"Vencida"))</f>
        <v/>
      </c>
      <c r="J70" s="25">
        <f>IF(OR(A70="",E70=0),"",D70-F70)</f>
        <v/>
      </c>
    </row>
    <row r="71">
      <c r="A71" s="32" t="n"/>
      <c r="B71" s="32" t="n"/>
      <c r="C71" s="34" t="n"/>
      <c r="D71" s="36" t="n"/>
      <c r="E71" s="24">
        <f>IF(A71="","",COUNTIFS(Parcelas!$A$5:$A$404,A71))</f>
        <v/>
      </c>
      <c r="F71" s="25">
        <f>IF(A71="","",SUMIFS(Parcelas!$E$5:$E$404,Parcelas!$A$5:$A$404,A71))</f>
        <v/>
      </c>
      <c r="G71" s="25">
        <f>IF(A71="","",SUMIFS(Parcelas!$E$5:$E$404,Parcelas!$A$5:$A$404,A71,Parcelas!$H$5:$H$404,"Paga"))</f>
        <v/>
      </c>
      <c r="H71" s="25">
        <f>IF(A71="","",F71-G71)</f>
        <v/>
      </c>
      <c r="I71" s="25">
        <f>IF(A71="","",SUMIFS(Parcelas!$E$5:$E$404,Parcelas!$A$5:$A$404,A71,Parcelas!$H$5:$H$404,"Vencida"))</f>
        <v/>
      </c>
      <c r="J71" s="25">
        <f>IF(OR(A71="",E71=0),"",D71-F71)</f>
        <v/>
      </c>
    </row>
    <row r="72">
      <c r="A72" s="32" t="n"/>
      <c r="B72" s="32" t="n"/>
      <c r="C72" s="34" t="n"/>
      <c r="D72" s="36" t="n"/>
      <c r="E72" s="24">
        <f>IF(A72="","",COUNTIFS(Parcelas!$A$5:$A$404,A72))</f>
        <v/>
      </c>
      <c r="F72" s="25">
        <f>IF(A72="","",SUMIFS(Parcelas!$E$5:$E$404,Parcelas!$A$5:$A$404,A72))</f>
        <v/>
      </c>
      <c r="G72" s="25">
        <f>IF(A72="","",SUMIFS(Parcelas!$E$5:$E$404,Parcelas!$A$5:$A$404,A72,Parcelas!$H$5:$H$404,"Paga"))</f>
        <v/>
      </c>
      <c r="H72" s="25">
        <f>IF(A72="","",F72-G72)</f>
        <v/>
      </c>
      <c r="I72" s="25">
        <f>IF(A72="","",SUMIFS(Parcelas!$E$5:$E$404,Parcelas!$A$5:$A$404,A72,Parcelas!$H$5:$H$404,"Vencida"))</f>
        <v/>
      </c>
      <c r="J72" s="25">
        <f>IF(OR(A72="",E72=0),"",D72-F72)</f>
        <v/>
      </c>
    </row>
    <row r="73">
      <c r="A73" s="32" t="n"/>
      <c r="B73" s="32" t="n"/>
      <c r="C73" s="34" t="n"/>
      <c r="D73" s="36" t="n"/>
      <c r="E73" s="24">
        <f>IF(A73="","",COUNTIFS(Parcelas!$A$5:$A$404,A73))</f>
        <v/>
      </c>
      <c r="F73" s="25">
        <f>IF(A73="","",SUMIFS(Parcelas!$E$5:$E$404,Parcelas!$A$5:$A$404,A73))</f>
        <v/>
      </c>
      <c r="G73" s="25">
        <f>IF(A73="","",SUMIFS(Parcelas!$E$5:$E$404,Parcelas!$A$5:$A$404,A73,Parcelas!$H$5:$H$404,"Paga"))</f>
        <v/>
      </c>
      <c r="H73" s="25">
        <f>IF(A73="","",F73-G73)</f>
        <v/>
      </c>
      <c r="I73" s="25">
        <f>IF(A73="","",SUMIFS(Parcelas!$E$5:$E$404,Parcelas!$A$5:$A$404,A73,Parcelas!$H$5:$H$404,"Vencida"))</f>
        <v/>
      </c>
      <c r="J73" s="25">
        <f>IF(OR(A73="",E73=0),"",D73-F73)</f>
        <v/>
      </c>
    </row>
    <row r="74">
      <c r="A74" s="32" t="n"/>
      <c r="B74" s="32" t="n"/>
      <c r="C74" s="34" t="n"/>
      <c r="D74" s="36" t="n"/>
      <c r="E74" s="24">
        <f>IF(A74="","",COUNTIFS(Parcelas!$A$5:$A$404,A74))</f>
        <v/>
      </c>
      <c r="F74" s="25">
        <f>IF(A74="","",SUMIFS(Parcelas!$E$5:$E$404,Parcelas!$A$5:$A$404,A74))</f>
        <v/>
      </c>
      <c r="G74" s="25">
        <f>IF(A74="","",SUMIFS(Parcelas!$E$5:$E$404,Parcelas!$A$5:$A$404,A74,Parcelas!$H$5:$H$404,"Paga"))</f>
        <v/>
      </c>
      <c r="H74" s="25">
        <f>IF(A74="","",F74-G74)</f>
        <v/>
      </c>
      <c r="I74" s="25">
        <f>IF(A74="","",SUMIFS(Parcelas!$E$5:$E$404,Parcelas!$A$5:$A$404,A74,Parcelas!$H$5:$H$404,"Vencida"))</f>
        <v/>
      </c>
      <c r="J74" s="25">
        <f>IF(OR(A74="",E74=0),"",D74-F74)</f>
        <v/>
      </c>
    </row>
    <row r="75">
      <c r="A75" s="32" t="n"/>
      <c r="B75" s="32" t="n"/>
      <c r="C75" s="34" t="n"/>
      <c r="D75" s="36" t="n"/>
      <c r="E75" s="24">
        <f>IF(A75="","",COUNTIFS(Parcelas!$A$5:$A$404,A75))</f>
        <v/>
      </c>
      <c r="F75" s="25">
        <f>IF(A75="","",SUMIFS(Parcelas!$E$5:$E$404,Parcelas!$A$5:$A$404,A75))</f>
        <v/>
      </c>
      <c r="G75" s="25">
        <f>IF(A75="","",SUMIFS(Parcelas!$E$5:$E$404,Parcelas!$A$5:$A$404,A75,Parcelas!$H$5:$H$404,"Paga"))</f>
        <v/>
      </c>
      <c r="H75" s="25">
        <f>IF(A75="","",F75-G75)</f>
        <v/>
      </c>
      <c r="I75" s="25">
        <f>IF(A75="","",SUMIFS(Parcelas!$E$5:$E$404,Parcelas!$A$5:$A$404,A75,Parcelas!$H$5:$H$404,"Vencida"))</f>
        <v/>
      </c>
      <c r="J75" s="25">
        <f>IF(OR(A75="",E75=0),"",D75-F75)</f>
        <v/>
      </c>
    </row>
    <row r="76">
      <c r="A76" s="32" t="n"/>
      <c r="B76" s="32" t="n"/>
      <c r="C76" s="34" t="n"/>
      <c r="D76" s="36" t="n"/>
      <c r="E76" s="24">
        <f>IF(A76="","",COUNTIFS(Parcelas!$A$5:$A$404,A76))</f>
        <v/>
      </c>
      <c r="F76" s="25">
        <f>IF(A76="","",SUMIFS(Parcelas!$E$5:$E$404,Parcelas!$A$5:$A$404,A76))</f>
        <v/>
      </c>
      <c r="G76" s="25">
        <f>IF(A76="","",SUMIFS(Parcelas!$E$5:$E$404,Parcelas!$A$5:$A$404,A76,Parcelas!$H$5:$H$404,"Paga"))</f>
        <v/>
      </c>
      <c r="H76" s="25">
        <f>IF(A76="","",F76-G76)</f>
        <v/>
      </c>
      <c r="I76" s="25">
        <f>IF(A76="","",SUMIFS(Parcelas!$E$5:$E$404,Parcelas!$A$5:$A$404,A76,Parcelas!$H$5:$H$404,"Vencida"))</f>
        <v/>
      </c>
      <c r="J76" s="25">
        <f>IF(OR(A76="",E76=0),"",D76-F76)</f>
        <v/>
      </c>
    </row>
    <row r="77">
      <c r="A77" s="32" t="n"/>
      <c r="B77" s="32" t="n"/>
      <c r="C77" s="34" t="n"/>
      <c r="D77" s="36" t="n"/>
      <c r="E77" s="24">
        <f>IF(A77="","",COUNTIFS(Parcelas!$A$5:$A$404,A77))</f>
        <v/>
      </c>
      <c r="F77" s="25">
        <f>IF(A77="","",SUMIFS(Parcelas!$E$5:$E$404,Parcelas!$A$5:$A$404,A77))</f>
        <v/>
      </c>
      <c r="G77" s="25">
        <f>IF(A77="","",SUMIFS(Parcelas!$E$5:$E$404,Parcelas!$A$5:$A$404,A77,Parcelas!$H$5:$H$404,"Paga"))</f>
        <v/>
      </c>
      <c r="H77" s="25">
        <f>IF(A77="","",F77-G77)</f>
        <v/>
      </c>
      <c r="I77" s="25">
        <f>IF(A77="","",SUMIFS(Parcelas!$E$5:$E$404,Parcelas!$A$5:$A$404,A77,Parcelas!$H$5:$H$404,"Vencida"))</f>
        <v/>
      </c>
      <c r="J77" s="25">
        <f>IF(OR(A77="",E77=0),"",D77-F77)</f>
        <v/>
      </c>
    </row>
    <row r="78">
      <c r="A78" s="32" t="n"/>
      <c r="B78" s="32" t="n"/>
      <c r="C78" s="34" t="n"/>
      <c r="D78" s="36" t="n"/>
      <c r="E78" s="24">
        <f>IF(A78="","",COUNTIFS(Parcelas!$A$5:$A$404,A78))</f>
        <v/>
      </c>
      <c r="F78" s="25">
        <f>IF(A78="","",SUMIFS(Parcelas!$E$5:$E$404,Parcelas!$A$5:$A$404,A78))</f>
        <v/>
      </c>
      <c r="G78" s="25">
        <f>IF(A78="","",SUMIFS(Parcelas!$E$5:$E$404,Parcelas!$A$5:$A$404,A78,Parcelas!$H$5:$H$404,"Paga"))</f>
        <v/>
      </c>
      <c r="H78" s="25">
        <f>IF(A78="","",F78-G78)</f>
        <v/>
      </c>
      <c r="I78" s="25">
        <f>IF(A78="","",SUMIFS(Parcelas!$E$5:$E$404,Parcelas!$A$5:$A$404,A78,Parcelas!$H$5:$H$404,"Vencida"))</f>
        <v/>
      </c>
      <c r="J78" s="25">
        <f>IF(OR(A78="",E78=0),"",D78-F78)</f>
        <v/>
      </c>
    </row>
    <row r="79">
      <c r="A79" s="32" t="n"/>
      <c r="B79" s="32" t="n"/>
      <c r="C79" s="34" t="n"/>
      <c r="D79" s="36" t="n"/>
      <c r="E79" s="24">
        <f>IF(A79="","",COUNTIFS(Parcelas!$A$5:$A$404,A79))</f>
        <v/>
      </c>
      <c r="F79" s="25">
        <f>IF(A79="","",SUMIFS(Parcelas!$E$5:$E$404,Parcelas!$A$5:$A$404,A79))</f>
        <v/>
      </c>
      <c r="G79" s="25">
        <f>IF(A79="","",SUMIFS(Parcelas!$E$5:$E$404,Parcelas!$A$5:$A$404,A79,Parcelas!$H$5:$H$404,"Paga"))</f>
        <v/>
      </c>
      <c r="H79" s="25">
        <f>IF(A79="","",F79-G79)</f>
        <v/>
      </c>
      <c r="I79" s="25">
        <f>IF(A79="","",SUMIFS(Parcelas!$E$5:$E$404,Parcelas!$A$5:$A$404,A79,Parcelas!$H$5:$H$404,"Vencida"))</f>
        <v/>
      </c>
      <c r="J79" s="25">
        <f>IF(OR(A79="",E79=0),"",D79-F79)</f>
        <v/>
      </c>
    </row>
    <row r="80">
      <c r="A80" s="32" t="n"/>
      <c r="B80" s="32" t="n"/>
      <c r="C80" s="34" t="n"/>
      <c r="D80" s="36" t="n"/>
      <c r="E80" s="24">
        <f>IF(A80="","",COUNTIFS(Parcelas!$A$5:$A$404,A80))</f>
        <v/>
      </c>
      <c r="F80" s="25">
        <f>IF(A80="","",SUMIFS(Parcelas!$E$5:$E$404,Parcelas!$A$5:$A$404,A80))</f>
        <v/>
      </c>
      <c r="G80" s="25">
        <f>IF(A80="","",SUMIFS(Parcelas!$E$5:$E$404,Parcelas!$A$5:$A$404,A80,Parcelas!$H$5:$H$404,"Paga"))</f>
        <v/>
      </c>
      <c r="H80" s="25">
        <f>IF(A80="","",F80-G80)</f>
        <v/>
      </c>
      <c r="I80" s="25">
        <f>IF(A80="","",SUMIFS(Parcelas!$E$5:$E$404,Parcelas!$A$5:$A$404,A80,Parcelas!$H$5:$H$404,"Vencida"))</f>
        <v/>
      </c>
      <c r="J80" s="25">
        <f>IF(OR(A80="",E80=0),"",D80-F80)</f>
        <v/>
      </c>
    </row>
    <row r="81">
      <c r="A81" s="32" t="n"/>
      <c r="B81" s="32" t="n"/>
      <c r="C81" s="34" t="n"/>
      <c r="D81" s="36" t="n"/>
      <c r="E81" s="24">
        <f>IF(A81="","",COUNTIFS(Parcelas!$A$5:$A$404,A81))</f>
        <v/>
      </c>
      <c r="F81" s="25">
        <f>IF(A81="","",SUMIFS(Parcelas!$E$5:$E$404,Parcelas!$A$5:$A$404,A81))</f>
        <v/>
      </c>
      <c r="G81" s="25">
        <f>IF(A81="","",SUMIFS(Parcelas!$E$5:$E$404,Parcelas!$A$5:$A$404,A81,Parcelas!$H$5:$H$404,"Paga"))</f>
        <v/>
      </c>
      <c r="H81" s="25">
        <f>IF(A81="","",F81-G81)</f>
        <v/>
      </c>
      <c r="I81" s="25">
        <f>IF(A81="","",SUMIFS(Parcelas!$E$5:$E$404,Parcelas!$A$5:$A$404,A81,Parcelas!$H$5:$H$404,"Vencida"))</f>
        <v/>
      </c>
      <c r="J81" s="25">
        <f>IF(OR(A81="",E81=0),"",D81-F81)</f>
        <v/>
      </c>
    </row>
    <row r="82">
      <c r="A82" s="32" t="n"/>
      <c r="B82" s="32" t="n"/>
      <c r="C82" s="34" t="n"/>
      <c r="D82" s="36" t="n"/>
      <c r="E82" s="24">
        <f>IF(A82="","",COUNTIFS(Parcelas!$A$5:$A$404,A82))</f>
        <v/>
      </c>
      <c r="F82" s="25">
        <f>IF(A82="","",SUMIFS(Parcelas!$E$5:$E$404,Parcelas!$A$5:$A$404,A82))</f>
        <v/>
      </c>
      <c r="G82" s="25">
        <f>IF(A82="","",SUMIFS(Parcelas!$E$5:$E$404,Parcelas!$A$5:$A$404,A82,Parcelas!$H$5:$H$404,"Paga"))</f>
        <v/>
      </c>
      <c r="H82" s="25">
        <f>IF(A82="","",F82-G82)</f>
        <v/>
      </c>
      <c r="I82" s="25">
        <f>IF(A82="","",SUMIFS(Parcelas!$E$5:$E$404,Parcelas!$A$5:$A$404,A82,Parcelas!$H$5:$H$404,"Vencida"))</f>
        <v/>
      </c>
      <c r="J82" s="25">
        <f>IF(OR(A82="",E82=0),"",D82-F82)</f>
        <v/>
      </c>
    </row>
    <row r="83">
      <c r="A83" s="32" t="n"/>
      <c r="B83" s="32" t="n"/>
      <c r="C83" s="34" t="n"/>
      <c r="D83" s="36" t="n"/>
      <c r="E83" s="24">
        <f>IF(A83="","",COUNTIFS(Parcelas!$A$5:$A$404,A83))</f>
        <v/>
      </c>
      <c r="F83" s="25">
        <f>IF(A83="","",SUMIFS(Parcelas!$E$5:$E$404,Parcelas!$A$5:$A$404,A83))</f>
        <v/>
      </c>
      <c r="G83" s="25">
        <f>IF(A83="","",SUMIFS(Parcelas!$E$5:$E$404,Parcelas!$A$5:$A$404,A83,Parcelas!$H$5:$H$404,"Paga"))</f>
        <v/>
      </c>
      <c r="H83" s="25">
        <f>IF(A83="","",F83-G83)</f>
        <v/>
      </c>
      <c r="I83" s="25">
        <f>IF(A83="","",SUMIFS(Parcelas!$E$5:$E$404,Parcelas!$A$5:$A$404,A83,Parcelas!$H$5:$H$404,"Vencida"))</f>
        <v/>
      </c>
      <c r="J83" s="25">
        <f>IF(OR(A83="",E83=0),"",D83-F83)</f>
        <v/>
      </c>
    </row>
    <row r="84">
      <c r="A84" s="32" t="n"/>
      <c r="B84" s="32" t="n"/>
      <c r="C84" s="34" t="n"/>
      <c r="D84" s="36" t="n"/>
      <c r="E84" s="24">
        <f>IF(A84="","",COUNTIFS(Parcelas!$A$5:$A$404,A84))</f>
        <v/>
      </c>
      <c r="F84" s="25">
        <f>IF(A84="","",SUMIFS(Parcelas!$E$5:$E$404,Parcelas!$A$5:$A$404,A84))</f>
        <v/>
      </c>
      <c r="G84" s="25">
        <f>IF(A84="","",SUMIFS(Parcelas!$E$5:$E$404,Parcelas!$A$5:$A$404,A84,Parcelas!$H$5:$H$404,"Paga"))</f>
        <v/>
      </c>
      <c r="H84" s="25">
        <f>IF(A84="","",F84-G84)</f>
        <v/>
      </c>
      <c r="I84" s="25">
        <f>IF(A84="","",SUMIFS(Parcelas!$E$5:$E$404,Parcelas!$A$5:$A$404,A84,Parcelas!$H$5:$H$404,"Vencida"))</f>
        <v/>
      </c>
      <c r="J84" s="25">
        <f>IF(OR(A84="",E84=0),"",D84-F84)</f>
        <v/>
      </c>
    </row>
    <row r="85">
      <c r="A85" s="32" t="n"/>
      <c r="B85" s="32" t="n"/>
      <c r="C85" s="34" t="n"/>
      <c r="D85" s="36" t="n"/>
      <c r="E85" s="24">
        <f>IF(A85="","",COUNTIFS(Parcelas!$A$5:$A$404,A85))</f>
        <v/>
      </c>
      <c r="F85" s="25">
        <f>IF(A85="","",SUMIFS(Parcelas!$E$5:$E$404,Parcelas!$A$5:$A$404,A85))</f>
        <v/>
      </c>
      <c r="G85" s="25">
        <f>IF(A85="","",SUMIFS(Parcelas!$E$5:$E$404,Parcelas!$A$5:$A$404,A85,Parcelas!$H$5:$H$404,"Paga"))</f>
        <v/>
      </c>
      <c r="H85" s="25">
        <f>IF(A85="","",F85-G85)</f>
        <v/>
      </c>
      <c r="I85" s="25">
        <f>IF(A85="","",SUMIFS(Parcelas!$E$5:$E$404,Parcelas!$A$5:$A$404,A85,Parcelas!$H$5:$H$404,"Vencida"))</f>
        <v/>
      </c>
      <c r="J85" s="25">
        <f>IF(OR(A85="",E85=0),"",D85-F85)</f>
        <v/>
      </c>
    </row>
    <row r="86">
      <c r="A86" s="32" t="n"/>
      <c r="B86" s="32" t="n"/>
      <c r="C86" s="34" t="n"/>
      <c r="D86" s="36" t="n"/>
      <c r="E86" s="24">
        <f>IF(A86="","",COUNTIFS(Parcelas!$A$5:$A$404,A86))</f>
        <v/>
      </c>
      <c r="F86" s="25">
        <f>IF(A86="","",SUMIFS(Parcelas!$E$5:$E$404,Parcelas!$A$5:$A$404,A86))</f>
        <v/>
      </c>
      <c r="G86" s="25">
        <f>IF(A86="","",SUMIFS(Parcelas!$E$5:$E$404,Parcelas!$A$5:$A$404,A86,Parcelas!$H$5:$H$404,"Paga"))</f>
        <v/>
      </c>
      <c r="H86" s="25">
        <f>IF(A86="","",F86-G86)</f>
        <v/>
      </c>
      <c r="I86" s="25">
        <f>IF(A86="","",SUMIFS(Parcelas!$E$5:$E$404,Parcelas!$A$5:$A$404,A86,Parcelas!$H$5:$H$404,"Vencida"))</f>
        <v/>
      </c>
      <c r="J86" s="25">
        <f>IF(OR(A86="",E86=0),"",D86-F86)</f>
        <v/>
      </c>
    </row>
    <row r="87">
      <c r="A87" s="32" t="n"/>
      <c r="B87" s="32" t="n"/>
      <c r="C87" s="34" t="n"/>
      <c r="D87" s="36" t="n"/>
      <c r="E87" s="24">
        <f>IF(A87="","",COUNTIFS(Parcelas!$A$5:$A$404,A87))</f>
        <v/>
      </c>
      <c r="F87" s="25">
        <f>IF(A87="","",SUMIFS(Parcelas!$E$5:$E$404,Parcelas!$A$5:$A$404,A87))</f>
        <v/>
      </c>
      <c r="G87" s="25">
        <f>IF(A87="","",SUMIFS(Parcelas!$E$5:$E$404,Parcelas!$A$5:$A$404,A87,Parcelas!$H$5:$H$404,"Paga"))</f>
        <v/>
      </c>
      <c r="H87" s="25">
        <f>IF(A87="","",F87-G87)</f>
        <v/>
      </c>
      <c r="I87" s="25">
        <f>IF(A87="","",SUMIFS(Parcelas!$E$5:$E$404,Parcelas!$A$5:$A$404,A87,Parcelas!$H$5:$H$404,"Vencida"))</f>
        <v/>
      </c>
      <c r="J87" s="25">
        <f>IF(OR(A87="",E87=0),"",D87-F87)</f>
        <v/>
      </c>
    </row>
    <row r="88">
      <c r="A88" s="32" t="n"/>
      <c r="B88" s="32" t="n"/>
      <c r="C88" s="34" t="n"/>
      <c r="D88" s="36" t="n"/>
      <c r="E88" s="24">
        <f>IF(A88="","",COUNTIFS(Parcelas!$A$5:$A$404,A88))</f>
        <v/>
      </c>
      <c r="F88" s="25">
        <f>IF(A88="","",SUMIFS(Parcelas!$E$5:$E$404,Parcelas!$A$5:$A$404,A88))</f>
        <v/>
      </c>
      <c r="G88" s="25">
        <f>IF(A88="","",SUMIFS(Parcelas!$E$5:$E$404,Parcelas!$A$5:$A$404,A88,Parcelas!$H$5:$H$404,"Paga"))</f>
        <v/>
      </c>
      <c r="H88" s="25">
        <f>IF(A88="","",F88-G88)</f>
        <v/>
      </c>
      <c r="I88" s="25">
        <f>IF(A88="","",SUMIFS(Parcelas!$E$5:$E$404,Parcelas!$A$5:$A$404,A88,Parcelas!$H$5:$H$404,"Vencida"))</f>
        <v/>
      </c>
      <c r="J88" s="25">
        <f>IF(OR(A88="",E88=0),"",D88-F88)</f>
        <v/>
      </c>
    </row>
    <row r="89">
      <c r="A89" s="32" t="n"/>
      <c r="B89" s="32" t="n"/>
      <c r="C89" s="34" t="n"/>
      <c r="D89" s="36" t="n"/>
      <c r="E89" s="24">
        <f>IF(A89="","",COUNTIFS(Parcelas!$A$5:$A$404,A89))</f>
        <v/>
      </c>
      <c r="F89" s="25">
        <f>IF(A89="","",SUMIFS(Parcelas!$E$5:$E$404,Parcelas!$A$5:$A$404,A89))</f>
        <v/>
      </c>
      <c r="G89" s="25">
        <f>IF(A89="","",SUMIFS(Parcelas!$E$5:$E$404,Parcelas!$A$5:$A$404,A89,Parcelas!$H$5:$H$404,"Paga"))</f>
        <v/>
      </c>
      <c r="H89" s="25">
        <f>IF(A89="","",F89-G89)</f>
        <v/>
      </c>
      <c r="I89" s="25">
        <f>IF(A89="","",SUMIFS(Parcelas!$E$5:$E$404,Parcelas!$A$5:$A$404,A89,Parcelas!$H$5:$H$404,"Vencida"))</f>
        <v/>
      </c>
      <c r="J89" s="25">
        <f>IF(OR(A89="",E89=0),"",D89-F89)</f>
        <v/>
      </c>
    </row>
    <row r="90">
      <c r="A90" s="32" t="n"/>
      <c r="B90" s="32" t="n"/>
      <c r="C90" s="34" t="n"/>
      <c r="D90" s="36" t="n"/>
      <c r="E90" s="24">
        <f>IF(A90="","",COUNTIFS(Parcelas!$A$5:$A$404,A90))</f>
        <v/>
      </c>
      <c r="F90" s="25">
        <f>IF(A90="","",SUMIFS(Parcelas!$E$5:$E$404,Parcelas!$A$5:$A$404,A90))</f>
        <v/>
      </c>
      <c r="G90" s="25">
        <f>IF(A90="","",SUMIFS(Parcelas!$E$5:$E$404,Parcelas!$A$5:$A$404,A90,Parcelas!$H$5:$H$404,"Paga"))</f>
        <v/>
      </c>
      <c r="H90" s="25">
        <f>IF(A90="","",F90-G90)</f>
        <v/>
      </c>
      <c r="I90" s="25">
        <f>IF(A90="","",SUMIFS(Parcelas!$E$5:$E$404,Parcelas!$A$5:$A$404,A90,Parcelas!$H$5:$H$404,"Vencida"))</f>
        <v/>
      </c>
      <c r="J90" s="25">
        <f>IF(OR(A90="",E90=0),"",D90-F90)</f>
        <v/>
      </c>
    </row>
    <row r="91">
      <c r="A91" s="32" t="n"/>
      <c r="B91" s="32" t="n"/>
      <c r="C91" s="34" t="n"/>
      <c r="D91" s="36" t="n"/>
      <c r="E91" s="24">
        <f>IF(A91="","",COUNTIFS(Parcelas!$A$5:$A$404,A91))</f>
        <v/>
      </c>
      <c r="F91" s="25">
        <f>IF(A91="","",SUMIFS(Parcelas!$E$5:$E$404,Parcelas!$A$5:$A$404,A91))</f>
        <v/>
      </c>
      <c r="G91" s="25">
        <f>IF(A91="","",SUMIFS(Parcelas!$E$5:$E$404,Parcelas!$A$5:$A$404,A91,Parcelas!$H$5:$H$404,"Paga"))</f>
        <v/>
      </c>
      <c r="H91" s="25">
        <f>IF(A91="","",F91-G91)</f>
        <v/>
      </c>
      <c r="I91" s="25">
        <f>IF(A91="","",SUMIFS(Parcelas!$E$5:$E$404,Parcelas!$A$5:$A$404,A91,Parcelas!$H$5:$H$404,"Vencida"))</f>
        <v/>
      </c>
      <c r="J91" s="25">
        <f>IF(OR(A91="",E91=0),"",D91-F91)</f>
        <v/>
      </c>
    </row>
    <row r="92">
      <c r="A92" s="32" t="n"/>
      <c r="B92" s="32" t="n"/>
      <c r="C92" s="34" t="n"/>
      <c r="D92" s="36" t="n"/>
      <c r="E92" s="24">
        <f>IF(A92="","",COUNTIFS(Parcelas!$A$5:$A$404,A92))</f>
        <v/>
      </c>
      <c r="F92" s="25">
        <f>IF(A92="","",SUMIFS(Parcelas!$E$5:$E$404,Parcelas!$A$5:$A$404,A92))</f>
        <v/>
      </c>
      <c r="G92" s="25">
        <f>IF(A92="","",SUMIFS(Parcelas!$E$5:$E$404,Parcelas!$A$5:$A$404,A92,Parcelas!$H$5:$H$404,"Paga"))</f>
        <v/>
      </c>
      <c r="H92" s="25">
        <f>IF(A92="","",F92-G92)</f>
        <v/>
      </c>
      <c r="I92" s="25">
        <f>IF(A92="","",SUMIFS(Parcelas!$E$5:$E$404,Parcelas!$A$5:$A$404,A92,Parcelas!$H$5:$H$404,"Vencida"))</f>
        <v/>
      </c>
      <c r="J92" s="25">
        <f>IF(OR(A92="",E92=0),"",D92-F92)</f>
        <v/>
      </c>
    </row>
    <row r="93">
      <c r="A93" s="32" t="n"/>
      <c r="B93" s="32" t="n"/>
      <c r="C93" s="34" t="n"/>
      <c r="D93" s="36" t="n"/>
      <c r="E93" s="24">
        <f>IF(A93="","",COUNTIFS(Parcelas!$A$5:$A$404,A93))</f>
        <v/>
      </c>
      <c r="F93" s="25">
        <f>IF(A93="","",SUMIFS(Parcelas!$E$5:$E$404,Parcelas!$A$5:$A$404,A93))</f>
        <v/>
      </c>
      <c r="G93" s="25">
        <f>IF(A93="","",SUMIFS(Parcelas!$E$5:$E$404,Parcelas!$A$5:$A$404,A93,Parcelas!$H$5:$H$404,"Paga"))</f>
        <v/>
      </c>
      <c r="H93" s="25">
        <f>IF(A93="","",F93-G93)</f>
        <v/>
      </c>
      <c r="I93" s="25">
        <f>IF(A93="","",SUMIFS(Parcelas!$E$5:$E$404,Parcelas!$A$5:$A$404,A93,Parcelas!$H$5:$H$404,"Vencida"))</f>
        <v/>
      </c>
      <c r="J93" s="25">
        <f>IF(OR(A93="",E93=0),"",D93-F93)</f>
        <v/>
      </c>
    </row>
    <row r="94">
      <c r="A94" s="32" t="n"/>
      <c r="B94" s="32" t="n"/>
      <c r="C94" s="34" t="n"/>
      <c r="D94" s="36" t="n"/>
      <c r="E94" s="24">
        <f>IF(A94="","",COUNTIFS(Parcelas!$A$5:$A$404,A94))</f>
        <v/>
      </c>
      <c r="F94" s="25">
        <f>IF(A94="","",SUMIFS(Parcelas!$E$5:$E$404,Parcelas!$A$5:$A$404,A94))</f>
        <v/>
      </c>
      <c r="G94" s="25">
        <f>IF(A94="","",SUMIFS(Parcelas!$E$5:$E$404,Parcelas!$A$5:$A$404,A94,Parcelas!$H$5:$H$404,"Paga"))</f>
        <v/>
      </c>
      <c r="H94" s="25">
        <f>IF(A94="","",F94-G94)</f>
        <v/>
      </c>
      <c r="I94" s="25">
        <f>IF(A94="","",SUMIFS(Parcelas!$E$5:$E$404,Parcelas!$A$5:$A$404,A94,Parcelas!$H$5:$H$404,"Vencida"))</f>
        <v/>
      </c>
      <c r="J94" s="25">
        <f>IF(OR(A94="",E94=0),"",D94-F94)</f>
        <v/>
      </c>
    </row>
    <row r="95">
      <c r="A95" s="32" t="n"/>
      <c r="B95" s="32" t="n"/>
      <c r="C95" s="34" t="n"/>
      <c r="D95" s="36" t="n"/>
      <c r="E95" s="24">
        <f>IF(A95="","",COUNTIFS(Parcelas!$A$5:$A$404,A95))</f>
        <v/>
      </c>
      <c r="F95" s="25">
        <f>IF(A95="","",SUMIFS(Parcelas!$E$5:$E$404,Parcelas!$A$5:$A$404,A95))</f>
        <v/>
      </c>
      <c r="G95" s="25">
        <f>IF(A95="","",SUMIFS(Parcelas!$E$5:$E$404,Parcelas!$A$5:$A$404,A95,Parcelas!$H$5:$H$404,"Paga"))</f>
        <v/>
      </c>
      <c r="H95" s="25">
        <f>IF(A95="","",F95-G95)</f>
        <v/>
      </c>
      <c r="I95" s="25">
        <f>IF(A95="","",SUMIFS(Parcelas!$E$5:$E$404,Parcelas!$A$5:$A$404,A95,Parcelas!$H$5:$H$404,"Vencida"))</f>
        <v/>
      </c>
      <c r="J95" s="25">
        <f>IF(OR(A95="",E95=0),"",D95-F95)</f>
        <v/>
      </c>
    </row>
    <row r="96">
      <c r="A96" s="32" t="n"/>
      <c r="B96" s="32" t="n"/>
      <c r="C96" s="34" t="n"/>
      <c r="D96" s="36" t="n"/>
      <c r="E96" s="24">
        <f>IF(A96="","",COUNTIFS(Parcelas!$A$5:$A$404,A96))</f>
        <v/>
      </c>
      <c r="F96" s="25">
        <f>IF(A96="","",SUMIFS(Parcelas!$E$5:$E$404,Parcelas!$A$5:$A$404,A96))</f>
        <v/>
      </c>
      <c r="G96" s="25">
        <f>IF(A96="","",SUMIFS(Parcelas!$E$5:$E$404,Parcelas!$A$5:$A$404,A96,Parcelas!$H$5:$H$404,"Paga"))</f>
        <v/>
      </c>
      <c r="H96" s="25">
        <f>IF(A96="","",F96-G96)</f>
        <v/>
      </c>
      <c r="I96" s="25">
        <f>IF(A96="","",SUMIFS(Parcelas!$E$5:$E$404,Parcelas!$A$5:$A$404,A96,Parcelas!$H$5:$H$404,"Vencida"))</f>
        <v/>
      </c>
      <c r="J96" s="25">
        <f>IF(OR(A96="",E96=0),"",D96-F96)</f>
        <v/>
      </c>
    </row>
    <row r="97">
      <c r="A97" s="32" t="n"/>
      <c r="B97" s="32" t="n"/>
      <c r="C97" s="34" t="n"/>
      <c r="D97" s="36" t="n"/>
      <c r="E97" s="24">
        <f>IF(A97="","",COUNTIFS(Parcelas!$A$5:$A$404,A97))</f>
        <v/>
      </c>
      <c r="F97" s="25">
        <f>IF(A97="","",SUMIFS(Parcelas!$E$5:$E$404,Parcelas!$A$5:$A$404,A97))</f>
        <v/>
      </c>
      <c r="G97" s="25">
        <f>IF(A97="","",SUMIFS(Parcelas!$E$5:$E$404,Parcelas!$A$5:$A$404,A97,Parcelas!$H$5:$H$404,"Paga"))</f>
        <v/>
      </c>
      <c r="H97" s="25">
        <f>IF(A97="","",F97-G97)</f>
        <v/>
      </c>
      <c r="I97" s="25">
        <f>IF(A97="","",SUMIFS(Parcelas!$E$5:$E$404,Parcelas!$A$5:$A$404,A97,Parcelas!$H$5:$H$404,"Vencida"))</f>
        <v/>
      </c>
      <c r="J97" s="25">
        <f>IF(OR(A97="",E97=0),"",D97-F97)</f>
        <v/>
      </c>
    </row>
    <row r="98">
      <c r="A98" s="32" t="n"/>
      <c r="B98" s="32" t="n"/>
      <c r="C98" s="34" t="n"/>
      <c r="D98" s="36" t="n"/>
      <c r="E98" s="24">
        <f>IF(A98="","",COUNTIFS(Parcelas!$A$5:$A$404,A98))</f>
        <v/>
      </c>
      <c r="F98" s="25">
        <f>IF(A98="","",SUMIFS(Parcelas!$E$5:$E$404,Parcelas!$A$5:$A$404,A98))</f>
        <v/>
      </c>
      <c r="G98" s="25">
        <f>IF(A98="","",SUMIFS(Parcelas!$E$5:$E$404,Parcelas!$A$5:$A$404,A98,Parcelas!$H$5:$H$404,"Paga"))</f>
        <v/>
      </c>
      <c r="H98" s="25">
        <f>IF(A98="","",F98-G98)</f>
        <v/>
      </c>
      <c r="I98" s="25">
        <f>IF(A98="","",SUMIFS(Parcelas!$E$5:$E$404,Parcelas!$A$5:$A$404,A98,Parcelas!$H$5:$H$404,"Vencida"))</f>
        <v/>
      </c>
      <c r="J98" s="25">
        <f>IF(OR(A98="",E98=0),"",D98-F98)</f>
        <v/>
      </c>
    </row>
    <row r="99">
      <c r="A99" s="32" t="n"/>
      <c r="B99" s="32" t="n"/>
      <c r="C99" s="34" t="n"/>
      <c r="D99" s="36" t="n"/>
      <c r="E99" s="24">
        <f>IF(A99="","",COUNTIFS(Parcelas!$A$5:$A$404,A99))</f>
        <v/>
      </c>
      <c r="F99" s="25">
        <f>IF(A99="","",SUMIFS(Parcelas!$E$5:$E$404,Parcelas!$A$5:$A$404,A99))</f>
        <v/>
      </c>
      <c r="G99" s="25">
        <f>IF(A99="","",SUMIFS(Parcelas!$E$5:$E$404,Parcelas!$A$5:$A$404,A99,Parcelas!$H$5:$H$404,"Paga"))</f>
        <v/>
      </c>
      <c r="H99" s="25">
        <f>IF(A99="","",F99-G99)</f>
        <v/>
      </c>
      <c r="I99" s="25">
        <f>IF(A99="","",SUMIFS(Parcelas!$E$5:$E$404,Parcelas!$A$5:$A$404,A99,Parcelas!$H$5:$H$404,"Vencida"))</f>
        <v/>
      </c>
      <c r="J99" s="25">
        <f>IF(OR(A99="",E99=0),"",D99-F99)</f>
        <v/>
      </c>
    </row>
    <row r="100">
      <c r="A100" s="32" t="n"/>
      <c r="B100" s="32" t="n"/>
      <c r="C100" s="34" t="n"/>
      <c r="D100" s="36" t="n"/>
      <c r="E100" s="24">
        <f>IF(A100="","",COUNTIFS(Parcelas!$A$5:$A$404,A100))</f>
        <v/>
      </c>
      <c r="F100" s="25">
        <f>IF(A100="","",SUMIFS(Parcelas!$E$5:$E$404,Parcelas!$A$5:$A$404,A100))</f>
        <v/>
      </c>
      <c r="G100" s="25">
        <f>IF(A100="","",SUMIFS(Parcelas!$E$5:$E$404,Parcelas!$A$5:$A$404,A100,Parcelas!$H$5:$H$404,"Paga"))</f>
        <v/>
      </c>
      <c r="H100" s="25">
        <f>IF(A100="","",F100-G100)</f>
        <v/>
      </c>
      <c r="I100" s="25">
        <f>IF(A100="","",SUMIFS(Parcelas!$E$5:$E$404,Parcelas!$A$5:$A$404,A100,Parcelas!$H$5:$H$404,"Vencida"))</f>
        <v/>
      </c>
      <c r="J100" s="25">
        <f>IF(OR(A100="",E100=0),"",D100-F100)</f>
        <v/>
      </c>
    </row>
    <row r="101">
      <c r="A101" s="32" t="n"/>
      <c r="B101" s="32" t="n"/>
      <c r="C101" s="34" t="n"/>
      <c r="D101" s="36" t="n"/>
      <c r="E101" s="24">
        <f>IF(A101="","",COUNTIFS(Parcelas!$A$5:$A$404,A101))</f>
        <v/>
      </c>
      <c r="F101" s="25">
        <f>IF(A101="","",SUMIFS(Parcelas!$E$5:$E$404,Parcelas!$A$5:$A$404,A101))</f>
        <v/>
      </c>
      <c r="G101" s="25">
        <f>IF(A101="","",SUMIFS(Parcelas!$E$5:$E$404,Parcelas!$A$5:$A$404,A101,Parcelas!$H$5:$H$404,"Paga"))</f>
        <v/>
      </c>
      <c r="H101" s="25">
        <f>IF(A101="","",F101-G101)</f>
        <v/>
      </c>
      <c r="I101" s="25">
        <f>IF(A101="","",SUMIFS(Parcelas!$E$5:$E$404,Parcelas!$A$5:$A$404,A101,Parcelas!$H$5:$H$404,"Vencida"))</f>
        <v/>
      </c>
      <c r="J101" s="25">
        <f>IF(OR(A101="",E101=0),"",D101-F101)</f>
        <v/>
      </c>
    </row>
    <row r="102">
      <c r="A102" s="32" t="n"/>
      <c r="B102" s="32" t="n"/>
      <c r="C102" s="34" t="n"/>
      <c r="D102" s="36" t="n"/>
      <c r="E102" s="24">
        <f>IF(A102="","",COUNTIFS(Parcelas!$A$5:$A$404,A102))</f>
        <v/>
      </c>
      <c r="F102" s="25">
        <f>IF(A102="","",SUMIFS(Parcelas!$E$5:$E$404,Parcelas!$A$5:$A$404,A102))</f>
        <v/>
      </c>
      <c r="G102" s="25">
        <f>IF(A102="","",SUMIFS(Parcelas!$E$5:$E$404,Parcelas!$A$5:$A$404,A102,Parcelas!$H$5:$H$404,"Paga"))</f>
        <v/>
      </c>
      <c r="H102" s="25">
        <f>IF(A102="","",F102-G102)</f>
        <v/>
      </c>
      <c r="I102" s="25">
        <f>IF(A102="","",SUMIFS(Parcelas!$E$5:$E$404,Parcelas!$A$5:$A$404,A102,Parcelas!$H$5:$H$404,"Vencida"))</f>
        <v/>
      </c>
      <c r="J102" s="25">
        <f>IF(OR(A102="",E102=0),"",D102-F102)</f>
        <v/>
      </c>
    </row>
    <row r="103">
      <c r="A103" s="32" t="n"/>
      <c r="B103" s="32" t="n"/>
      <c r="C103" s="34" t="n"/>
      <c r="D103" s="36" t="n"/>
      <c r="E103" s="24">
        <f>IF(A103="","",COUNTIFS(Parcelas!$A$5:$A$404,A103))</f>
        <v/>
      </c>
      <c r="F103" s="25">
        <f>IF(A103="","",SUMIFS(Parcelas!$E$5:$E$404,Parcelas!$A$5:$A$404,A103))</f>
        <v/>
      </c>
      <c r="G103" s="25">
        <f>IF(A103="","",SUMIFS(Parcelas!$E$5:$E$404,Parcelas!$A$5:$A$404,A103,Parcelas!$H$5:$H$404,"Paga"))</f>
        <v/>
      </c>
      <c r="H103" s="25">
        <f>IF(A103="","",F103-G103)</f>
        <v/>
      </c>
      <c r="I103" s="25">
        <f>IF(A103="","",SUMIFS(Parcelas!$E$5:$E$404,Parcelas!$A$5:$A$404,A103,Parcelas!$H$5:$H$404,"Vencida"))</f>
        <v/>
      </c>
      <c r="J103" s="25">
        <f>IF(OR(A103="",E103=0),"",D103-F103)</f>
        <v/>
      </c>
    </row>
    <row r="104">
      <c r="A104" s="32" t="n"/>
      <c r="B104" s="32" t="n"/>
      <c r="C104" s="34" t="n"/>
      <c r="D104" s="36" t="n"/>
      <c r="E104" s="24">
        <f>IF(A104="","",COUNTIFS(Parcelas!$A$5:$A$404,A104))</f>
        <v/>
      </c>
      <c r="F104" s="25">
        <f>IF(A104="","",SUMIFS(Parcelas!$E$5:$E$404,Parcelas!$A$5:$A$404,A104))</f>
        <v/>
      </c>
      <c r="G104" s="25">
        <f>IF(A104="","",SUMIFS(Parcelas!$E$5:$E$404,Parcelas!$A$5:$A$404,A104,Parcelas!$H$5:$H$404,"Paga"))</f>
        <v/>
      </c>
      <c r="H104" s="25">
        <f>IF(A104="","",F104-G104)</f>
        <v/>
      </c>
      <c r="I104" s="25">
        <f>IF(A104="","",SUMIFS(Parcelas!$E$5:$E$404,Parcelas!$A$5:$A$404,A104,Parcelas!$H$5:$H$404,"Vencida"))</f>
        <v/>
      </c>
      <c r="J104" s="25">
        <f>IF(OR(A104="",E104=0),"",D104-F104)</f>
        <v/>
      </c>
    </row>
    <row r="105">
      <c r="A105" s="32" t="n"/>
      <c r="B105" s="32" t="n"/>
      <c r="C105" s="34" t="n"/>
      <c r="D105" s="36" t="n"/>
      <c r="E105" s="24">
        <f>IF(A105="","",COUNTIFS(Parcelas!$A$5:$A$404,A105))</f>
        <v/>
      </c>
      <c r="F105" s="25">
        <f>IF(A105="","",SUMIFS(Parcelas!$E$5:$E$404,Parcelas!$A$5:$A$404,A105))</f>
        <v/>
      </c>
      <c r="G105" s="25">
        <f>IF(A105="","",SUMIFS(Parcelas!$E$5:$E$404,Parcelas!$A$5:$A$404,A105,Parcelas!$H$5:$H$404,"Paga"))</f>
        <v/>
      </c>
      <c r="H105" s="25">
        <f>IF(A105="","",F105-G105)</f>
        <v/>
      </c>
      <c r="I105" s="25">
        <f>IF(A105="","",SUMIFS(Parcelas!$E$5:$E$404,Parcelas!$A$5:$A$404,A105,Parcelas!$H$5:$H$404,"Vencida"))</f>
        <v/>
      </c>
      <c r="J105" s="25">
        <f>IF(OR(A105="",E105=0),"",D105-F105)</f>
        <v/>
      </c>
    </row>
    <row r="106">
      <c r="A106" s="32" t="n"/>
      <c r="B106" s="32" t="n"/>
      <c r="C106" s="34" t="n"/>
      <c r="D106" s="36" t="n"/>
      <c r="E106" s="24">
        <f>IF(A106="","",COUNTIFS(Parcelas!$A$5:$A$404,A106))</f>
        <v/>
      </c>
      <c r="F106" s="25">
        <f>IF(A106="","",SUMIFS(Parcelas!$E$5:$E$404,Parcelas!$A$5:$A$404,A106))</f>
        <v/>
      </c>
      <c r="G106" s="25">
        <f>IF(A106="","",SUMIFS(Parcelas!$E$5:$E$404,Parcelas!$A$5:$A$404,A106,Parcelas!$H$5:$H$404,"Paga"))</f>
        <v/>
      </c>
      <c r="H106" s="25">
        <f>IF(A106="","",F106-G106)</f>
        <v/>
      </c>
      <c r="I106" s="25">
        <f>IF(A106="","",SUMIFS(Parcelas!$E$5:$E$404,Parcelas!$A$5:$A$404,A106,Parcelas!$H$5:$H$404,"Vencida"))</f>
        <v/>
      </c>
      <c r="J106" s="25">
        <f>IF(OR(A106="",E106=0),"",D106-F106)</f>
        <v/>
      </c>
    </row>
    <row r="107">
      <c r="A107" s="32" t="n"/>
      <c r="B107" s="32" t="n"/>
      <c r="C107" s="34" t="n"/>
      <c r="D107" s="36" t="n"/>
      <c r="E107" s="24">
        <f>IF(A107="","",COUNTIFS(Parcelas!$A$5:$A$404,A107))</f>
        <v/>
      </c>
      <c r="F107" s="25">
        <f>IF(A107="","",SUMIFS(Parcelas!$E$5:$E$404,Parcelas!$A$5:$A$404,A107))</f>
        <v/>
      </c>
      <c r="G107" s="25">
        <f>IF(A107="","",SUMIFS(Parcelas!$E$5:$E$404,Parcelas!$A$5:$A$404,A107,Parcelas!$H$5:$H$404,"Paga"))</f>
        <v/>
      </c>
      <c r="H107" s="25">
        <f>IF(A107="","",F107-G107)</f>
        <v/>
      </c>
      <c r="I107" s="25">
        <f>IF(A107="","",SUMIFS(Parcelas!$E$5:$E$404,Parcelas!$A$5:$A$404,A107,Parcelas!$H$5:$H$404,"Vencida"))</f>
        <v/>
      </c>
      <c r="J107" s="25">
        <f>IF(OR(A107="",E107=0),"",D107-F107)</f>
        <v/>
      </c>
    </row>
    <row r="108">
      <c r="A108" s="32" t="n"/>
      <c r="B108" s="32" t="n"/>
      <c r="C108" s="34" t="n"/>
      <c r="D108" s="36" t="n"/>
      <c r="E108" s="24">
        <f>IF(A108="","",COUNTIFS(Parcelas!$A$5:$A$404,A108))</f>
        <v/>
      </c>
      <c r="F108" s="25">
        <f>IF(A108="","",SUMIFS(Parcelas!$E$5:$E$404,Parcelas!$A$5:$A$404,A108))</f>
        <v/>
      </c>
      <c r="G108" s="25">
        <f>IF(A108="","",SUMIFS(Parcelas!$E$5:$E$404,Parcelas!$A$5:$A$404,A108,Parcelas!$H$5:$H$404,"Paga"))</f>
        <v/>
      </c>
      <c r="H108" s="25">
        <f>IF(A108="","",F108-G108)</f>
        <v/>
      </c>
      <c r="I108" s="25">
        <f>IF(A108="","",SUMIFS(Parcelas!$E$5:$E$404,Parcelas!$A$5:$A$404,A108,Parcelas!$H$5:$H$404,"Vencida"))</f>
        <v/>
      </c>
      <c r="J108" s="25">
        <f>IF(OR(A108="",E108=0),"",D108-F108)</f>
        <v/>
      </c>
    </row>
    <row r="109">
      <c r="A109" s="32" t="n"/>
      <c r="B109" s="32" t="n"/>
      <c r="C109" s="34" t="n"/>
      <c r="D109" s="36" t="n"/>
      <c r="E109" s="24">
        <f>IF(A109="","",COUNTIFS(Parcelas!$A$5:$A$404,A109))</f>
        <v/>
      </c>
      <c r="F109" s="25">
        <f>IF(A109="","",SUMIFS(Parcelas!$E$5:$E$404,Parcelas!$A$5:$A$404,A109))</f>
        <v/>
      </c>
      <c r="G109" s="25">
        <f>IF(A109="","",SUMIFS(Parcelas!$E$5:$E$404,Parcelas!$A$5:$A$404,A109,Parcelas!$H$5:$H$404,"Paga"))</f>
        <v/>
      </c>
      <c r="H109" s="25">
        <f>IF(A109="","",F109-G109)</f>
        <v/>
      </c>
      <c r="I109" s="25">
        <f>IF(A109="","",SUMIFS(Parcelas!$E$5:$E$404,Parcelas!$A$5:$A$404,A109,Parcelas!$H$5:$H$404,"Vencida"))</f>
        <v/>
      </c>
      <c r="J109" s="25">
        <f>IF(OR(A109="",E109=0),"",D109-F109)</f>
        <v/>
      </c>
    </row>
    <row r="110">
      <c r="A110" s="32" t="n"/>
      <c r="B110" s="32" t="n"/>
      <c r="C110" s="34" t="n"/>
      <c r="D110" s="36" t="n"/>
      <c r="E110" s="24">
        <f>IF(A110="","",COUNTIFS(Parcelas!$A$5:$A$404,A110))</f>
        <v/>
      </c>
      <c r="F110" s="25">
        <f>IF(A110="","",SUMIFS(Parcelas!$E$5:$E$404,Parcelas!$A$5:$A$404,A110))</f>
        <v/>
      </c>
      <c r="G110" s="25">
        <f>IF(A110="","",SUMIFS(Parcelas!$E$5:$E$404,Parcelas!$A$5:$A$404,A110,Parcelas!$H$5:$H$404,"Paga"))</f>
        <v/>
      </c>
      <c r="H110" s="25">
        <f>IF(A110="","",F110-G110)</f>
        <v/>
      </c>
      <c r="I110" s="25">
        <f>IF(A110="","",SUMIFS(Parcelas!$E$5:$E$404,Parcelas!$A$5:$A$404,A110,Parcelas!$H$5:$H$404,"Vencida"))</f>
        <v/>
      </c>
      <c r="J110" s="25">
        <f>IF(OR(A110="",E110=0),"",D110-F110)</f>
        <v/>
      </c>
    </row>
    <row r="111">
      <c r="A111" s="32" t="n"/>
      <c r="B111" s="32" t="n"/>
      <c r="C111" s="34" t="n"/>
      <c r="D111" s="36" t="n"/>
      <c r="E111" s="24">
        <f>IF(A111="","",COUNTIFS(Parcelas!$A$5:$A$404,A111))</f>
        <v/>
      </c>
      <c r="F111" s="25">
        <f>IF(A111="","",SUMIFS(Parcelas!$E$5:$E$404,Parcelas!$A$5:$A$404,A111))</f>
        <v/>
      </c>
      <c r="G111" s="25">
        <f>IF(A111="","",SUMIFS(Parcelas!$E$5:$E$404,Parcelas!$A$5:$A$404,A111,Parcelas!$H$5:$H$404,"Paga"))</f>
        <v/>
      </c>
      <c r="H111" s="25">
        <f>IF(A111="","",F111-G111)</f>
        <v/>
      </c>
      <c r="I111" s="25">
        <f>IF(A111="","",SUMIFS(Parcelas!$E$5:$E$404,Parcelas!$A$5:$A$404,A111,Parcelas!$H$5:$H$404,"Vencida"))</f>
        <v/>
      </c>
      <c r="J111" s="25">
        <f>IF(OR(A111="",E111=0),"",D111-F111)</f>
        <v/>
      </c>
    </row>
    <row r="112">
      <c r="A112" s="32" t="n"/>
      <c r="B112" s="32" t="n"/>
      <c r="C112" s="34" t="n"/>
      <c r="D112" s="36" t="n"/>
      <c r="E112" s="24">
        <f>IF(A112="","",COUNTIFS(Parcelas!$A$5:$A$404,A112))</f>
        <v/>
      </c>
      <c r="F112" s="25">
        <f>IF(A112="","",SUMIFS(Parcelas!$E$5:$E$404,Parcelas!$A$5:$A$404,A112))</f>
        <v/>
      </c>
      <c r="G112" s="25">
        <f>IF(A112="","",SUMIFS(Parcelas!$E$5:$E$404,Parcelas!$A$5:$A$404,A112,Parcelas!$H$5:$H$404,"Paga"))</f>
        <v/>
      </c>
      <c r="H112" s="25">
        <f>IF(A112="","",F112-G112)</f>
        <v/>
      </c>
      <c r="I112" s="25">
        <f>IF(A112="","",SUMIFS(Parcelas!$E$5:$E$404,Parcelas!$A$5:$A$404,A112,Parcelas!$H$5:$H$404,"Vencida"))</f>
        <v/>
      </c>
      <c r="J112" s="25">
        <f>IF(OR(A112="",E112=0),"",D112-F112)</f>
        <v/>
      </c>
    </row>
    <row r="113">
      <c r="A113" s="32" t="n"/>
      <c r="B113" s="32" t="n"/>
      <c r="C113" s="34" t="n"/>
      <c r="D113" s="36" t="n"/>
      <c r="E113" s="24">
        <f>IF(A113="","",COUNTIFS(Parcelas!$A$5:$A$404,A113))</f>
        <v/>
      </c>
      <c r="F113" s="25">
        <f>IF(A113="","",SUMIFS(Parcelas!$E$5:$E$404,Parcelas!$A$5:$A$404,A113))</f>
        <v/>
      </c>
      <c r="G113" s="25">
        <f>IF(A113="","",SUMIFS(Parcelas!$E$5:$E$404,Parcelas!$A$5:$A$404,A113,Parcelas!$H$5:$H$404,"Paga"))</f>
        <v/>
      </c>
      <c r="H113" s="25">
        <f>IF(A113="","",F113-G113)</f>
        <v/>
      </c>
      <c r="I113" s="25">
        <f>IF(A113="","",SUMIFS(Parcelas!$E$5:$E$404,Parcelas!$A$5:$A$404,A113,Parcelas!$H$5:$H$404,"Vencida"))</f>
        <v/>
      </c>
      <c r="J113" s="25">
        <f>IF(OR(A113="",E113=0),"",D113-F113)</f>
        <v/>
      </c>
    </row>
    <row r="114">
      <c r="A114" s="32" t="n"/>
      <c r="B114" s="32" t="n"/>
      <c r="C114" s="34" t="n"/>
      <c r="D114" s="36" t="n"/>
      <c r="E114" s="24">
        <f>IF(A114="","",COUNTIFS(Parcelas!$A$5:$A$404,A114))</f>
        <v/>
      </c>
      <c r="F114" s="25">
        <f>IF(A114="","",SUMIFS(Parcelas!$E$5:$E$404,Parcelas!$A$5:$A$404,A114))</f>
        <v/>
      </c>
      <c r="G114" s="25">
        <f>IF(A114="","",SUMIFS(Parcelas!$E$5:$E$404,Parcelas!$A$5:$A$404,A114,Parcelas!$H$5:$H$404,"Paga"))</f>
        <v/>
      </c>
      <c r="H114" s="25">
        <f>IF(A114="","",F114-G114)</f>
        <v/>
      </c>
      <c r="I114" s="25">
        <f>IF(A114="","",SUMIFS(Parcelas!$E$5:$E$404,Parcelas!$A$5:$A$404,A114,Parcelas!$H$5:$H$404,"Vencida"))</f>
        <v/>
      </c>
      <c r="J114" s="25">
        <f>IF(OR(A114="",E114=0),"",D114-F114)</f>
        <v/>
      </c>
    </row>
    <row r="115">
      <c r="A115" s="32" t="n"/>
      <c r="B115" s="32" t="n"/>
      <c r="C115" s="34" t="n"/>
      <c r="D115" s="36" t="n"/>
      <c r="E115" s="24">
        <f>IF(A115="","",COUNTIFS(Parcelas!$A$5:$A$404,A115))</f>
        <v/>
      </c>
      <c r="F115" s="25">
        <f>IF(A115="","",SUMIFS(Parcelas!$E$5:$E$404,Parcelas!$A$5:$A$404,A115))</f>
        <v/>
      </c>
      <c r="G115" s="25">
        <f>IF(A115="","",SUMIFS(Parcelas!$E$5:$E$404,Parcelas!$A$5:$A$404,A115,Parcelas!$H$5:$H$404,"Paga"))</f>
        <v/>
      </c>
      <c r="H115" s="25">
        <f>IF(A115="","",F115-G115)</f>
        <v/>
      </c>
      <c r="I115" s="25">
        <f>IF(A115="","",SUMIFS(Parcelas!$E$5:$E$404,Parcelas!$A$5:$A$404,A115,Parcelas!$H$5:$H$404,"Vencida"))</f>
        <v/>
      </c>
      <c r="J115" s="25">
        <f>IF(OR(A115="",E115=0),"",D115-F115)</f>
        <v/>
      </c>
    </row>
    <row r="116">
      <c r="A116" s="32" t="n"/>
      <c r="B116" s="32" t="n"/>
      <c r="C116" s="34" t="n"/>
      <c r="D116" s="36" t="n"/>
      <c r="E116" s="24">
        <f>IF(A116="","",COUNTIFS(Parcelas!$A$5:$A$404,A116))</f>
        <v/>
      </c>
      <c r="F116" s="25">
        <f>IF(A116="","",SUMIFS(Parcelas!$E$5:$E$404,Parcelas!$A$5:$A$404,A116))</f>
        <v/>
      </c>
      <c r="G116" s="25">
        <f>IF(A116="","",SUMIFS(Parcelas!$E$5:$E$404,Parcelas!$A$5:$A$404,A116,Parcelas!$H$5:$H$404,"Paga"))</f>
        <v/>
      </c>
      <c r="H116" s="25">
        <f>IF(A116="","",F116-G116)</f>
        <v/>
      </c>
      <c r="I116" s="25">
        <f>IF(A116="","",SUMIFS(Parcelas!$E$5:$E$404,Parcelas!$A$5:$A$404,A116,Parcelas!$H$5:$H$404,"Vencida"))</f>
        <v/>
      </c>
      <c r="J116" s="25">
        <f>IF(OR(A116="",E116=0),"",D116-F116)</f>
        <v/>
      </c>
    </row>
    <row r="117">
      <c r="A117" s="32" t="n"/>
      <c r="B117" s="32" t="n"/>
      <c r="C117" s="34" t="n"/>
      <c r="D117" s="36" t="n"/>
      <c r="E117" s="24">
        <f>IF(A117="","",COUNTIFS(Parcelas!$A$5:$A$404,A117))</f>
        <v/>
      </c>
      <c r="F117" s="25">
        <f>IF(A117="","",SUMIFS(Parcelas!$E$5:$E$404,Parcelas!$A$5:$A$404,A117))</f>
        <v/>
      </c>
      <c r="G117" s="25">
        <f>IF(A117="","",SUMIFS(Parcelas!$E$5:$E$404,Parcelas!$A$5:$A$404,A117,Parcelas!$H$5:$H$404,"Paga"))</f>
        <v/>
      </c>
      <c r="H117" s="25">
        <f>IF(A117="","",F117-G117)</f>
        <v/>
      </c>
      <c r="I117" s="25">
        <f>IF(A117="","",SUMIFS(Parcelas!$E$5:$E$404,Parcelas!$A$5:$A$404,A117,Parcelas!$H$5:$H$404,"Vencida"))</f>
        <v/>
      </c>
      <c r="J117" s="25">
        <f>IF(OR(A117="",E117=0),"",D117-F117)</f>
        <v/>
      </c>
    </row>
    <row r="118">
      <c r="A118" s="32" t="n"/>
      <c r="B118" s="32" t="n"/>
      <c r="C118" s="34" t="n"/>
      <c r="D118" s="36" t="n"/>
      <c r="E118" s="24">
        <f>IF(A118="","",COUNTIFS(Parcelas!$A$5:$A$404,A118))</f>
        <v/>
      </c>
      <c r="F118" s="25">
        <f>IF(A118="","",SUMIFS(Parcelas!$E$5:$E$404,Parcelas!$A$5:$A$404,A118))</f>
        <v/>
      </c>
      <c r="G118" s="25">
        <f>IF(A118="","",SUMIFS(Parcelas!$E$5:$E$404,Parcelas!$A$5:$A$404,A118,Parcelas!$H$5:$H$404,"Paga"))</f>
        <v/>
      </c>
      <c r="H118" s="25">
        <f>IF(A118="","",F118-G118)</f>
        <v/>
      </c>
      <c r="I118" s="25">
        <f>IF(A118="","",SUMIFS(Parcelas!$E$5:$E$404,Parcelas!$A$5:$A$404,A118,Parcelas!$H$5:$H$404,"Vencida"))</f>
        <v/>
      </c>
      <c r="J118" s="25">
        <f>IF(OR(A118="",E118=0),"",D118-F118)</f>
        <v/>
      </c>
    </row>
    <row r="119">
      <c r="A119" s="32" t="n"/>
      <c r="B119" s="32" t="n"/>
      <c r="C119" s="34" t="n"/>
      <c r="D119" s="36" t="n"/>
      <c r="E119" s="24">
        <f>IF(A119="","",COUNTIFS(Parcelas!$A$5:$A$404,A119))</f>
        <v/>
      </c>
      <c r="F119" s="25">
        <f>IF(A119="","",SUMIFS(Parcelas!$E$5:$E$404,Parcelas!$A$5:$A$404,A119))</f>
        <v/>
      </c>
      <c r="G119" s="25">
        <f>IF(A119="","",SUMIFS(Parcelas!$E$5:$E$404,Parcelas!$A$5:$A$404,A119,Parcelas!$H$5:$H$404,"Paga"))</f>
        <v/>
      </c>
      <c r="H119" s="25">
        <f>IF(A119="","",F119-G119)</f>
        <v/>
      </c>
      <c r="I119" s="25">
        <f>IF(A119="","",SUMIFS(Parcelas!$E$5:$E$404,Parcelas!$A$5:$A$404,A119,Parcelas!$H$5:$H$404,"Vencida"))</f>
        <v/>
      </c>
      <c r="J119" s="25">
        <f>IF(OR(A119="",E119=0),"",D119-F119)</f>
        <v/>
      </c>
    </row>
    <row r="120">
      <c r="A120" s="32" t="n"/>
      <c r="B120" s="32" t="n"/>
      <c r="C120" s="34" t="n"/>
      <c r="D120" s="36" t="n"/>
      <c r="E120" s="24">
        <f>IF(A120="","",COUNTIFS(Parcelas!$A$5:$A$404,A120))</f>
        <v/>
      </c>
      <c r="F120" s="25">
        <f>IF(A120="","",SUMIFS(Parcelas!$E$5:$E$404,Parcelas!$A$5:$A$404,A120))</f>
        <v/>
      </c>
      <c r="G120" s="25">
        <f>IF(A120="","",SUMIFS(Parcelas!$E$5:$E$404,Parcelas!$A$5:$A$404,A120,Parcelas!$H$5:$H$404,"Paga"))</f>
        <v/>
      </c>
      <c r="H120" s="25">
        <f>IF(A120="","",F120-G120)</f>
        <v/>
      </c>
      <c r="I120" s="25">
        <f>IF(A120="","",SUMIFS(Parcelas!$E$5:$E$404,Parcelas!$A$5:$A$404,A120,Parcelas!$H$5:$H$404,"Vencida"))</f>
        <v/>
      </c>
      <c r="J120" s="25">
        <f>IF(OR(A120="",E120=0),"",D120-F120)</f>
        <v/>
      </c>
    </row>
    <row r="121">
      <c r="A121" s="32" t="n"/>
      <c r="B121" s="32" t="n"/>
      <c r="C121" s="34" t="n"/>
      <c r="D121" s="36" t="n"/>
      <c r="E121" s="24">
        <f>IF(A121="","",COUNTIFS(Parcelas!$A$5:$A$404,A121))</f>
        <v/>
      </c>
      <c r="F121" s="25">
        <f>IF(A121="","",SUMIFS(Parcelas!$E$5:$E$404,Parcelas!$A$5:$A$404,A121))</f>
        <v/>
      </c>
      <c r="G121" s="25">
        <f>IF(A121="","",SUMIFS(Parcelas!$E$5:$E$404,Parcelas!$A$5:$A$404,A121,Parcelas!$H$5:$H$404,"Paga"))</f>
        <v/>
      </c>
      <c r="H121" s="25">
        <f>IF(A121="","",F121-G121)</f>
        <v/>
      </c>
      <c r="I121" s="25">
        <f>IF(A121="","",SUMIFS(Parcelas!$E$5:$E$404,Parcelas!$A$5:$A$404,A121,Parcelas!$H$5:$H$404,"Vencida"))</f>
        <v/>
      </c>
      <c r="J121" s="25">
        <f>IF(OR(A121="",E121=0),"",D121-F121)</f>
        <v/>
      </c>
    </row>
    <row r="122">
      <c r="A122" s="32" t="n"/>
      <c r="B122" s="32" t="n"/>
      <c r="C122" s="34" t="n"/>
      <c r="D122" s="36" t="n"/>
      <c r="E122" s="24">
        <f>IF(A122="","",COUNTIFS(Parcelas!$A$5:$A$404,A122))</f>
        <v/>
      </c>
      <c r="F122" s="25">
        <f>IF(A122="","",SUMIFS(Parcelas!$E$5:$E$404,Parcelas!$A$5:$A$404,A122))</f>
        <v/>
      </c>
      <c r="G122" s="25">
        <f>IF(A122="","",SUMIFS(Parcelas!$E$5:$E$404,Parcelas!$A$5:$A$404,A122,Parcelas!$H$5:$H$404,"Paga"))</f>
        <v/>
      </c>
      <c r="H122" s="25">
        <f>IF(A122="","",F122-G122)</f>
        <v/>
      </c>
      <c r="I122" s="25">
        <f>IF(A122="","",SUMIFS(Parcelas!$E$5:$E$404,Parcelas!$A$5:$A$404,A122,Parcelas!$H$5:$H$404,"Vencida"))</f>
        <v/>
      </c>
      <c r="J122" s="25">
        <f>IF(OR(A122="",E122=0),"",D122-F122)</f>
        <v/>
      </c>
    </row>
    <row r="123">
      <c r="A123" s="32" t="n"/>
      <c r="B123" s="32" t="n"/>
      <c r="C123" s="34" t="n"/>
      <c r="D123" s="36" t="n"/>
      <c r="E123" s="24">
        <f>IF(A123="","",COUNTIFS(Parcelas!$A$5:$A$404,A123))</f>
        <v/>
      </c>
      <c r="F123" s="25">
        <f>IF(A123="","",SUMIFS(Parcelas!$E$5:$E$404,Parcelas!$A$5:$A$404,A123))</f>
        <v/>
      </c>
      <c r="G123" s="25">
        <f>IF(A123="","",SUMIFS(Parcelas!$E$5:$E$404,Parcelas!$A$5:$A$404,A123,Parcelas!$H$5:$H$404,"Paga"))</f>
        <v/>
      </c>
      <c r="H123" s="25">
        <f>IF(A123="","",F123-G123)</f>
        <v/>
      </c>
      <c r="I123" s="25">
        <f>IF(A123="","",SUMIFS(Parcelas!$E$5:$E$404,Parcelas!$A$5:$A$404,A123,Parcelas!$H$5:$H$404,"Vencida"))</f>
        <v/>
      </c>
      <c r="J123" s="25">
        <f>IF(OR(A123="",E123=0),"",D123-F123)</f>
        <v/>
      </c>
    </row>
    <row r="124">
      <c r="A124" s="32" t="n"/>
      <c r="B124" s="32" t="n"/>
      <c r="C124" s="34" t="n"/>
      <c r="D124" s="36" t="n"/>
      <c r="E124" s="24">
        <f>IF(A124="","",COUNTIFS(Parcelas!$A$5:$A$404,A124))</f>
        <v/>
      </c>
      <c r="F124" s="25">
        <f>IF(A124="","",SUMIFS(Parcelas!$E$5:$E$404,Parcelas!$A$5:$A$404,A124))</f>
        <v/>
      </c>
      <c r="G124" s="25">
        <f>IF(A124="","",SUMIFS(Parcelas!$E$5:$E$404,Parcelas!$A$5:$A$404,A124,Parcelas!$H$5:$H$404,"Paga"))</f>
        <v/>
      </c>
      <c r="H124" s="25">
        <f>IF(A124="","",F124-G124)</f>
        <v/>
      </c>
      <c r="I124" s="25">
        <f>IF(A124="","",SUMIFS(Parcelas!$E$5:$E$404,Parcelas!$A$5:$A$404,A124,Parcelas!$H$5:$H$404,"Vencida"))</f>
        <v/>
      </c>
      <c r="J124" s="25">
        <f>IF(OR(A124="",E124=0),"",D124-F124)</f>
        <v/>
      </c>
    </row>
    <row r="125">
      <c r="A125" s="32" t="n"/>
      <c r="B125" s="32" t="n"/>
      <c r="C125" s="34" t="n"/>
      <c r="D125" s="36" t="n"/>
      <c r="E125" s="24">
        <f>IF(A125="","",COUNTIFS(Parcelas!$A$5:$A$404,A125))</f>
        <v/>
      </c>
      <c r="F125" s="25">
        <f>IF(A125="","",SUMIFS(Parcelas!$E$5:$E$404,Parcelas!$A$5:$A$404,A125))</f>
        <v/>
      </c>
      <c r="G125" s="25">
        <f>IF(A125="","",SUMIFS(Parcelas!$E$5:$E$404,Parcelas!$A$5:$A$404,A125,Parcelas!$H$5:$H$404,"Paga"))</f>
        <v/>
      </c>
      <c r="H125" s="25">
        <f>IF(A125="","",F125-G125)</f>
        <v/>
      </c>
      <c r="I125" s="25">
        <f>IF(A125="","",SUMIFS(Parcelas!$E$5:$E$404,Parcelas!$A$5:$A$404,A125,Parcelas!$H$5:$H$404,"Vencida"))</f>
        <v/>
      </c>
      <c r="J125" s="25">
        <f>IF(OR(A125="",E125=0),"",D125-F125)</f>
        <v/>
      </c>
    </row>
    <row r="126">
      <c r="A126" s="32" t="n"/>
      <c r="B126" s="32" t="n"/>
      <c r="C126" s="34" t="n"/>
      <c r="D126" s="36" t="n"/>
      <c r="E126" s="24">
        <f>IF(A126="","",COUNTIFS(Parcelas!$A$5:$A$404,A126))</f>
        <v/>
      </c>
      <c r="F126" s="25">
        <f>IF(A126="","",SUMIFS(Parcelas!$E$5:$E$404,Parcelas!$A$5:$A$404,A126))</f>
        <v/>
      </c>
      <c r="G126" s="25">
        <f>IF(A126="","",SUMIFS(Parcelas!$E$5:$E$404,Parcelas!$A$5:$A$404,A126,Parcelas!$H$5:$H$404,"Paga"))</f>
        <v/>
      </c>
      <c r="H126" s="25">
        <f>IF(A126="","",F126-G126)</f>
        <v/>
      </c>
      <c r="I126" s="25">
        <f>IF(A126="","",SUMIFS(Parcelas!$E$5:$E$404,Parcelas!$A$5:$A$404,A126,Parcelas!$H$5:$H$404,"Vencida"))</f>
        <v/>
      </c>
      <c r="J126" s="25">
        <f>IF(OR(A126="",E126=0),"",D126-F126)</f>
        <v/>
      </c>
    </row>
    <row r="127">
      <c r="A127" s="32" t="n"/>
      <c r="B127" s="32" t="n"/>
      <c r="C127" s="34" t="n"/>
      <c r="D127" s="36" t="n"/>
      <c r="E127" s="24">
        <f>IF(A127="","",COUNTIFS(Parcelas!$A$5:$A$404,A127))</f>
        <v/>
      </c>
      <c r="F127" s="25">
        <f>IF(A127="","",SUMIFS(Parcelas!$E$5:$E$404,Parcelas!$A$5:$A$404,A127))</f>
        <v/>
      </c>
      <c r="G127" s="25">
        <f>IF(A127="","",SUMIFS(Parcelas!$E$5:$E$404,Parcelas!$A$5:$A$404,A127,Parcelas!$H$5:$H$404,"Paga"))</f>
        <v/>
      </c>
      <c r="H127" s="25">
        <f>IF(A127="","",F127-G127)</f>
        <v/>
      </c>
      <c r="I127" s="25">
        <f>IF(A127="","",SUMIFS(Parcelas!$E$5:$E$404,Parcelas!$A$5:$A$404,A127,Parcelas!$H$5:$H$404,"Vencida"))</f>
        <v/>
      </c>
      <c r="J127" s="25">
        <f>IF(OR(A127="",E127=0),"",D127-F127)</f>
        <v/>
      </c>
    </row>
    <row r="128">
      <c r="A128" s="32" t="n"/>
      <c r="B128" s="32" t="n"/>
      <c r="C128" s="34" t="n"/>
      <c r="D128" s="36" t="n"/>
      <c r="E128" s="24">
        <f>IF(A128="","",COUNTIFS(Parcelas!$A$5:$A$404,A128))</f>
        <v/>
      </c>
      <c r="F128" s="25">
        <f>IF(A128="","",SUMIFS(Parcelas!$E$5:$E$404,Parcelas!$A$5:$A$404,A128))</f>
        <v/>
      </c>
      <c r="G128" s="25">
        <f>IF(A128="","",SUMIFS(Parcelas!$E$5:$E$404,Parcelas!$A$5:$A$404,A128,Parcelas!$H$5:$H$404,"Paga"))</f>
        <v/>
      </c>
      <c r="H128" s="25">
        <f>IF(A128="","",F128-G128)</f>
        <v/>
      </c>
      <c r="I128" s="25">
        <f>IF(A128="","",SUMIFS(Parcelas!$E$5:$E$404,Parcelas!$A$5:$A$404,A128,Parcelas!$H$5:$H$404,"Vencida"))</f>
        <v/>
      </c>
      <c r="J128" s="25">
        <f>IF(OR(A128="",E128=0),"",D128-F128)</f>
        <v/>
      </c>
    </row>
    <row r="129">
      <c r="A129" s="32" t="n"/>
      <c r="B129" s="32" t="n"/>
      <c r="C129" s="34" t="n"/>
      <c r="D129" s="36" t="n"/>
      <c r="E129" s="24">
        <f>IF(A129="","",COUNTIFS(Parcelas!$A$5:$A$404,A129))</f>
        <v/>
      </c>
      <c r="F129" s="25">
        <f>IF(A129="","",SUMIFS(Parcelas!$E$5:$E$404,Parcelas!$A$5:$A$404,A129))</f>
        <v/>
      </c>
      <c r="G129" s="25">
        <f>IF(A129="","",SUMIFS(Parcelas!$E$5:$E$404,Parcelas!$A$5:$A$404,A129,Parcelas!$H$5:$H$404,"Paga"))</f>
        <v/>
      </c>
      <c r="H129" s="25">
        <f>IF(A129="","",F129-G129)</f>
        <v/>
      </c>
      <c r="I129" s="25">
        <f>IF(A129="","",SUMIFS(Parcelas!$E$5:$E$404,Parcelas!$A$5:$A$404,A129,Parcelas!$H$5:$H$404,"Vencida"))</f>
        <v/>
      </c>
      <c r="J129" s="25">
        <f>IF(OR(A129="",E129=0),"",D129-F129)</f>
        <v/>
      </c>
    </row>
    <row r="130">
      <c r="A130" s="32" t="n"/>
      <c r="B130" s="32" t="n"/>
      <c r="C130" s="34" t="n"/>
      <c r="D130" s="36" t="n"/>
      <c r="E130" s="24">
        <f>IF(A130="","",COUNTIFS(Parcelas!$A$5:$A$404,A130))</f>
        <v/>
      </c>
      <c r="F130" s="25">
        <f>IF(A130="","",SUMIFS(Parcelas!$E$5:$E$404,Parcelas!$A$5:$A$404,A130))</f>
        <v/>
      </c>
      <c r="G130" s="25">
        <f>IF(A130="","",SUMIFS(Parcelas!$E$5:$E$404,Parcelas!$A$5:$A$404,A130,Parcelas!$H$5:$H$404,"Paga"))</f>
        <v/>
      </c>
      <c r="H130" s="25">
        <f>IF(A130="","",F130-G130)</f>
        <v/>
      </c>
      <c r="I130" s="25">
        <f>IF(A130="","",SUMIFS(Parcelas!$E$5:$E$404,Parcelas!$A$5:$A$404,A130,Parcelas!$H$5:$H$404,"Vencida"))</f>
        <v/>
      </c>
      <c r="J130" s="25">
        <f>IF(OR(A130="",E130=0),"",D130-F130)</f>
        <v/>
      </c>
    </row>
    <row r="131">
      <c r="A131" s="32" t="n"/>
      <c r="B131" s="32" t="n"/>
      <c r="C131" s="34" t="n"/>
      <c r="D131" s="36" t="n"/>
      <c r="E131" s="24">
        <f>IF(A131="","",COUNTIFS(Parcelas!$A$5:$A$404,A131))</f>
        <v/>
      </c>
      <c r="F131" s="25">
        <f>IF(A131="","",SUMIFS(Parcelas!$E$5:$E$404,Parcelas!$A$5:$A$404,A131))</f>
        <v/>
      </c>
      <c r="G131" s="25">
        <f>IF(A131="","",SUMIFS(Parcelas!$E$5:$E$404,Parcelas!$A$5:$A$404,A131,Parcelas!$H$5:$H$404,"Paga"))</f>
        <v/>
      </c>
      <c r="H131" s="25">
        <f>IF(A131="","",F131-G131)</f>
        <v/>
      </c>
      <c r="I131" s="25">
        <f>IF(A131="","",SUMIFS(Parcelas!$E$5:$E$404,Parcelas!$A$5:$A$404,A131,Parcelas!$H$5:$H$404,"Vencida"))</f>
        <v/>
      </c>
      <c r="J131" s="25">
        <f>IF(OR(A131="",E131=0),"",D131-F131)</f>
        <v/>
      </c>
    </row>
    <row r="132">
      <c r="A132" s="32" t="n"/>
      <c r="B132" s="32" t="n"/>
      <c r="C132" s="34" t="n"/>
      <c r="D132" s="36" t="n"/>
      <c r="E132" s="24">
        <f>IF(A132="","",COUNTIFS(Parcelas!$A$5:$A$404,A132))</f>
        <v/>
      </c>
      <c r="F132" s="25">
        <f>IF(A132="","",SUMIFS(Parcelas!$E$5:$E$404,Parcelas!$A$5:$A$404,A132))</f>
        <v/>
      </c>
      <c r="G132" s="25">
        <f>IF(A132="","",SUMIFS(Parcelas!$E$5:$E$404,Parcelas!$A$5:$A$404,A132,Parcelas!$H$5:$H$404,"Paga"))</f>
        <v/>
      </c>
      <c r="H132" s="25">
        <f>IF(A132="","",F132-G132)</f>
        <v/>
      </c>
      <c r="I132" s="25">
        <f>IF(A132="","",SUMIFS(Parcelas!$E$5:$E$404,Parcelas!$A$5:$A$404,A132,Parcelas!$H$5:$H$404,"Vencida"))</f>
        <v/>
      </c>
      <c r="J132" s="25">
        <f>IF(OR(A132="",E132=0),"",D132-F132)</f>
        <v/>
      </c>
    </row>
    <row r="133">
      <c r="A133" s="32" t="n"/>
      <c r="B133" s="32" t="n"/>
      <c r="C133" s="34" t="n"/>
      <c r="D133" s="36" t="n"/>
      <c r="E133" s="24">
        <f>IF(A133="","",COUNTIFS(Parcelas!$A$5:$A$404,A133))</f>
        <v/>
      </c>
      <c r="F133" s="25">
        <f>IF(A133="","",SUMIFS(Parcelas!$E$5:$E$404,Parcelas!$A$5:$A$404,A133))</f>
        <v/>
      </c>
      <c r="G133" s="25">
        <f>IF(A133="","",SUMIFS(Parcelas!$E$5:$E$404,Parcelas!$A$5:$A$404,A133,Parcelas!$H$5:$H$404,"Paga"))</f>
        <v/>
      </c>
      <c r="H133" s="25">
        <f>IF(A133="","",F133-G133)</f>
        <v/>
      </c>
      <c r="I133" s="25">
        <f>IF(A133="","",SUMIFS(Parcelas!$E$5:$E$404,Parcelas!$A$5:$A$404,A133,Parcelas!$H$5:$H$404,"Vencida"))</f>
        <v/>
      </c>
      <c r="J133" s="25">
        <f>IF(OR(A133="",E133=0),"",D133-F133)</f>
        <v/>
      </c>
    </row>
    <row r="134">
      <c r="A134" s="32" t="n"/>
      <c r="B134" s="32" t="n"/>
      <c r="C134" s="34" t="n"/>
      <c r="D134" s="36" t="n"/>
      <c r="E134" s="24">
        <f>IF(A134="","",COUNTIFS(Parcelas!$A$5:$A$404,A134))</f>
        <v/>
      </c>
      <c r="F134" s="25">
        <f>IF(A134="","",SUMIFS(Parcelas!$E$5:$E$404,Parcelas!$A$5:$A$404,A134))</f>
        <v/>
      </c>
      <c r="G134" s="25">
        <f>IF(A134="","",SUMIFS(Parcelas!$E$5:$E$404,Parcelas!$A$5:$A$404,A134,Parcelas!$H$5:$H$404,"Paga"))</f>
        <v/>
      </c>
      <c r="H134" s="25">
        <f>IF(A134="","",F134-G134)</f>
        <v/>
      </c>
      <c r="I134" s="25">
        <f>IF(A134="","",SUMIFS(Parcelas!$E$5:$E$404,Parcelas!$A$5:$A$404,A134,Parcelas!$H$5:$H$404,"Vencida"))</f>
        <v/>
      </c>
      <c r="J134" s="25">
        <f>IF(OR(A134="",E134=0),"",D134-F134)</f>
        <v/>
      </c>
    </row>
    <row r="135">
      <c r="A135" s="32" t="n"/>
      <c r="B135" s="32" t="n"/>
      <c r="C135" s="34" t="n"/>
      <c r="D135" s="36" t="n"/>
      <c r="E135" s="24">
        <f>IF(A135="","",COUNTIFS(Parcelas!$A$5:$A$404,A135))</f>
        <v/>
      </c>
      <c r="F135" s="25">
        <f>IF(A135="","",SUMIFS(Parcelas!$E$5:$E$404,Parcelas!$A$5:$A$404,A135))</f>
        <v/>
      </c>
      <c r="G135" s="25">
        <f>IF(A135="","",SUMIFS(Parcelas!$E$5:$E$404,Parcelas!$A$5:$A$404,A135,Parcelas!$H$5:$H$404,"Paga"))</f>
        <v/>
      </c>
      <c r="H135" s="25">
        <f>IF(A135="","",F135-G135)</f>
        <v/>
      </c>
      <c r="I135" s="25">
        <f>IF(A135="","",SUMIFS(Parcelas!$E$5:$E$404,Parcelas!$A$5:$A$404,A135,Parcelas!$H$5:$H$404,"Vencida"))</f>
        <v/>
      </c>
      <c r="J135" s="25">
        <f>IF(OR(A135="",E135=0),"",D135-F135)</f>
        <v/>
      </c>
    </row>
    <row r="136">
      <c r="A136" s="32" t="n"/>
      <c r="B136" s="32" t="n"/>
      <c r="C136" s="34" t="n"/>
      <c r="D136" s="36" t="n"/>
      <c r="E136" s="24">
        <f>IF(A136="","",COUNTIFS(Parcelas!$A$5:$A$404,A136))</f>
        <v/>
      </c>
      <c r="F136" s="25">
        <f>IF(A136="","",SUMIFS(Parcelas!$E$5:$E$404,Parcelas!$A$5:$A$404,A136))</f>
        <v/>
      </c>
      <c r="G136" s="25">
        <f>IF(A136="","",SUMIFS(Parcelas!$E$5:$E$404,Parcelas!$A$5:$A$404,A136,Parcelas!$H$5:$H$404,"Paga"))</f>
        <v/>
      </c>
      <c r="H136" s="25">
        <f>IF(A136="","",F136-G136)</f>
        <v/>
      </c>
      <c r="I136" s="25">
        <f>IF(A136="","",SUMIFS(Parcelas!$E$5:$E$404,Parcelas!$A$5:$A$404,A136,Parcelas!$H$5:$H$404,"Vencida"))</f>
        <v/>
      </c>
      <c r="J136" s="25">
        <f>IF(OR(A136="",E136=0),"",D136-F136)</f>
        <v/>
      </c>
    </row>
    <row r="137">
      <c r="A137" s="32" t="n"/>
      <c r="B137" s="32" t="n"/>
      <c r="C137" s="34" t="n"/>
      <c r="D137" s="36" t="n"/>
      <c r="E137" s="24">
        <f>IF(A137="","",COUNTIFS(Parcelas!$A$5:$A$404,A137))</f>
        <v/>
      </c>
      <c r="F137" s="25">
        <f>IF(A137="","",SUMIFS(Parcelas!$E$5:$E$404,Parcelas!$A$5:$A$404,A137))</f>
        <v/>
      </c>
      <c r="G137" s="25">
        <f>IF(A137="","",SUMIFS(Parcelas!$E$5:$E$404,Parcelas!$A$5:$A$404,A137,Parcelas!$H$5:$H$404,"Paga"))</f>
        <v/>
      </c>
      <c r="H137" s="25">
        <f>IF(A137="","",F137-G137)</f>
        <v/>
      </c>
      <c r="I137" s="25">
        <f>IF(A137="","",SUMIFS(Parcelas!$E$5:$E$404,Parcelas!$A$5:$A$404,A137,Parcelas!$H$5:$H$404,"Vencida"))</f>
        <v/>
      </c>
      <c r="J137" s="25">
        <f>IF(OR(A137="",E137=0),"",D137-F137)</f>
        <v/>
      </c>
    </row>
    <row r="138">
      <c r="A138" s="32" t="n"/>
      <c r="B138" s="32" t="n"/>
      <c r="C138" s="34" t="n"/>
      <c r="D138" s="36" t="n"/>
      <c r="E138" s="24">
        <f>IF(A138="","",COUNTIFS(Parcelas!$A$5:$A$404,A138))</f>
        <v/>
      </c>
      <c r="F138" s="25">
        <f>IF(A138="","",SUMIFS(Parcelas!$E$5:$E$404,Parcelas!$A$5:$A$404,A138))</f>
        <v/>
      </c>
      <c r="G138" s="25">
        <f>IF(A138="","",SUMIFS(Parcelas!$E$5:$E$404,Parcelas!$A$5:$A$404,A138,Parcelas!$H$5:$H$404,"Paga"))</f>
        <v/>
      </c>
      <c r="H138" s="25">
        <f>IF(A138="","",F138-G138)</f>
        <v/>
      </c>
      <c r="I138" s="25">
        <f>IF(A138="","",SUMIFS(Parcelas!$E$5:$E$404,Parcelas!$A$5:$A$404,A138,Parcelas!$H$5:$H$404,"Vencida"))</f>
        <v/>
      </c>
      <c r="J138" s="25">
        <f>IF(OR(A138="",E138=0),"",D138-F138)</f>
        <v/>
      </c>
    </row>
    <row r="139">
      <c r="A139" s="32" t="n"/>
      <c r="B139" s="32" t="n"/>
      <c r="C139" s="34" t="n"/>
      <c r="D139" s="36" t="n"/>
      <c r="E139" s="24">
        <f>IF(A139="","",COUNTIFS(Parcelas!$A$5:$A$404,A139))</f>
        <v/>
      </c>
      <c r="F139" s="25">
        <f>IF(A139="","",SUMIFS(Parcelas!$E$5:$E$404,Parcelas!$A$5:$A$404,A139))</f>
        <v/>
      </c>
      <c r="G139" s="25">
        <f>IF(A139="","",SUMIFS(Parcelas!$E$5:$E$404,Parcelas!$A$5:$A$404,A139,Parcelas!$H$5:$H$404,"Paga"))</f>
        <v/>
      </c>
      <c r="H139" s="25">
        <f>IF(A139="","",F139-G139)</f>
        <v/>
      </c>
      <c r="I139" s="25">
        <f>IF(A139="","",SUMIFS(Parcelas!$E$5:$E$404,Parcelas!$A$5:$A$404,A139,Parcelas!$H$5:$H$404,"Vencida"))</f>
        <v/>
      </c>
      <c r="J139" s="25">
        <f>IF(OR(A139="",E139=0),"",D139-F139)</f>
        <v/>
      </c>
    </row>
    <row r="140">
      <c r="A140" s="32" t="n"/>
      <c r="B140" s="32" t="n"/>
      <c r="C140" s="34" t="n"/>
      <c r="D140" s="36" t="n"/>
      <c r="E140" s="24">
        <f>IF(A140="","",COUNTIFS(Parcelas!$A$5:$A$404,A140))</f>
        <v/>
      </c>
      <c r="F140" s="25">
        <f>IF(A140="","",SUMIFS(Parcelas!$E$5:$E$404,Parcelas!$A$5:$A$404,A140))</f>
        <v/>
      </c>
      <c r="G140" s="25">
        <f>IF(A140="","",SUMIFS(Parcelas!$E$5:$E$404,Parcelas!$A$5:$A$404,A140,Parcelas!$H$5:$H$404,"Paga"))</f>
        <v/>
      </c>
      <c r="H140" s="25">
        <f>IF(A140="","",F140-G140)</f>
        <v/>
      </c>
      <c r="I140" s="25">
        <f>IF(A140="","",SUMIFS(Parcelas!$E$5:$E$404,Parcelas!$A$5:$A$404,A140,Parcelas!$H$5:$H$404,"Vencida"))</f>
        <v/>
      </c>
      <c r="J140" s="25">
        <f>IF(OR(A140="",E140=0),"",D140-F140)</f>
        <v/>
      </c>
    </row>
    <row r="141">
      <c r="A141" s="32" t="n"/>
      <c r="B141" s="32" t="n"/>
      <c r="C141" s="34" t="n"/>
      <c r="D141" s="36" t="n"/>
      <c r="E141" s="24">
        <f>IF(A141="","",COUNTIFS(Parcelas!$A$5:$A$404,A141))</f>
        <v/>
      </c>
      <c r="F141" s="25">
        <f>IF(A141="","",SUMIFS(Parcelas!$E$5:$E$404,Parcelas!$A$5:$A$404,A141))</f>
        <v/>
      </c>
      <c r="G141" s="25">
        <f>IF(A141="","",SUMIFS(Parcelas!$E$5:$E$404,Parcelas!$A$5:$A$404,A141,Parcelas!$H$5:$H$404,"Paga"))</f>
        <v/>
      </c>
      <c r="H141" s="25">
        <f>IF(A141="","",F141-G141)</f>
        <v/>
      </c>
      <c r="I141" s="25">
        <f>IF(A141="","",SUMIFS(Parcelas!$E$5:$E$404,Parcelas!$A$5:$A$404,A141,Parcelas!$H$5:$H$404,"Vencida"))</f>
        <v/>
      </c>
      <c r="J141" s="25">
        <f>IF(OR(A141="",E141=0),"",D141-F141)</f>
        <v/>
      </c>
    </row>
    <row r="142">
      <c r="A142" s="32" t="n"/>
      <c r="B142" s="32" t="n"/>
      <c r="C142" s="34" t="n"/>
      <c r="D142" s="36" t="n"/>
      <c r="E142" s="24">
        <f>IF(A142="","",COUNTIFS(Parcelas!$A$5:$A$404,A142))</f>
        <v/>
      </c>
      <c r="F142" s="25">
        <f>IF(A142="","",SUMIFS(Parcelas!$E$5:$E$404,Parcelas!$A$5:$A$404,A142))</f>
        <v/>
      </c>
      <c r="G142" s="25">
        <f>IF(A142="","",SUMIFS(Parcelas!$E$5:$E$404,Parcelas!$A$5:$A$404,A142,Parcelas!$H$5:$H$404,"Paga"))</f>
        <v/>
      </c>
      <c r="H142" s="25">
        <f>IF(A142="","",F142-G142)</f>
        <v/>
      </c>
      <c r="I142" s="25">
        <f>IF(A142="","",SUMIFS(Parcelas!$E$5:$E$404,Parcelas!$A$5:$A$404,A142,Parcelas!$H$5:$H$404,"Vencida"))</f>
        <v/>
      </c>
      <c r="J142" s="25">
        <f>IF(OR(A142="",E142=0),"",D142-F142)</f>
        <v/>
      </c>
    </row>
    <row r="143">
      <c r="A143" s="32" t="n"/>
      <c r="B143" s="32" t="n"/>
      <c r="C143" s="34" t="n"/>
      <c r="D143" s="36" t="n"/>
      <c r="E143" s="24">
        <f>IF(A143="","",COUNTIFS(Parcelas!$A$5:$A$404,A143))</f>
        <v/>
      </c>
      <c r="F143" s="25">
        <f>IF(A143="","",SUMIFS(Parcelas!$E$5:$E$404,Parcelas!$A$5:$A$404,A143))</f>
        <v/>
      </c>
      <c r="G143" s="25">
        <f>IF(A143="","",SUMIFS(Parcelas!$E$5:$E$404,Parcelas!$A$5:$A$404,A143,Parcelas!$H$5:$H$404,"Paga"))</f>
        <v/>
      </c>
      <c r="H143" s="25">
        <f>IF(A143="","",F143-G143)</f>
        <v/>
      </c>
      <c r="I143" s="25">
        <f>IF(A143="","",SUMIFS(Parcelas!$E$5:$E$404,Parcelas!$A$5:$A$404,A143,Parcelas!$H$5:$H$404,"Vencida"))</f>
        <v/>
      </c>
      <c r="J143" s="25">
        <f>IF(OR(A143="",E143=0),"",D143-F143)</f>
        <v/>
      </c>
    </row>
    <row r="144">
      <c r="A144" s="32" t="n"/>
      <c r="B144" s="32" t="n"/>
      <c r="C144" s="34" t="n"/>
      <c r="D144" s="36" t="n"/>
      <c r="E144" s="24">
        <f>IF(A144="","",COUNTIFS(Parcelas!$A$5:$A$404,A144))</f>
        <v/>
      </c>
      <c r="F144" s="25">
        <f>IF(A144="","",SUMIFS(Parcelas!$E$5:$E$404,Parcelas!$A$5:$A$404,A144))</f>
        <v/>
      </c>
      <c r="G144" s="25">
        <f>IF(A144="","",SUMIFS(Parcelas!$E$5:$E$404,Parcelas!$A$5:$A$404,A144,Parcelas!$H$5:$H$404,"Paga"))</f>
        <v/>
      </c>
      <c r="H144" s="25">
        <f>IF(A144="","",F144-G144)</f>
        <v/>
      </c>
      <c r="I144" s="25">
        <f>IF(A144="","",SUMIFS(Parcelas!$E$5:$E$404,Parcelas!$A$5:$A$404,A144,Parcelas!$H$5:$H$404,"Vencida"))</f>
        <v/>
      </c>
      <c r="J144" s="25">
        <f>IF(OR(A144="",E144=0),"",D144-F144)</f>
        <v/>
      </c>
    </row>
    <row r="145">
      <c r="A145" s="32" t="n"/>
      <c r="B145" s="32" t="n"/>
      <c r="C145" s="34" t="n"/>
      <c r="D145" s="36" t="n"/>
      <c r="E145" s="24">
        <f>IF(A145="","",COUNTIFS(Parcelas!$A$5:$A$404,A145))</f>
        <v/>
      </c>
      <c r="F145" s="25">
        <f>IF(A145="","",SUMIFS(Parcelas!$E$5:$E$404,Parcelas!$A$5:$A$404,A145))</f>
        <v/>
      </c>
      <c r="G145" s="25">
        <f>IF(A145="","",SUMIFS(Parcelas!$E$5:$E$404,Parcelas!$A$5:$A$404,A145,Parcelas!$H$5:$H$404,"Paga"))</f>
        <v/>
      </c>
      <c r="H145" s="25">
        <f>IF(A145="","",F145-G145)</f>
        <v/>
      </c>
      <c r="I145" s="25">
        <f>IF(A145="","",SUMIFS(Parcelas!$E$5:$E$404,Parcelas!$A$5:$A$404,A145,Parcelas!$H$5:$H$404,"Vencida"))</f>
        <v/>
      </c>
      <c r="J145" s="25">
        <f>IF(OR(A145="",E145=0),"",D145-F145)</f>
        <v/>
      </c>
    </row>
    <row r="146">
      <c r="A146" s="32" t="n"/>
      <c r="B146" s="32" t="n"/>
      <c r="C146" s="34" t="n"/>
      <c r="D146" s="36" t="n"/>
      <c r="E146" s="24">
        <f>IF(A146="","",COUNTIFS(Parcelas!$A$5:$A$404,A146))</f>
        <v/>
      </c>
      <c r="F146" s="25">
        <f>IF(A146="","",SUMIFS(Parcelas!$E$5:$E$404,Parcelas!$A$5:$A$404,A146))</f>
        <v/>
      </c>
      <c r="G146" s="25">
        <f>IF(A146="","",SUMIFS(Parcelas!$E$5:$E$404,Parcelas!$A$5:$A$404,A146,Parcelas!$H$5:$H$404,"Paga"))</f>
        <v/>
      </c>
      <c r="H146" s="25">
        <f>IF(A146="","",F146-G146)</f>
        <v/>
      </c>
      <c r="I146" s="25">
        <f>IF(A146="","",SUMIFS(Parcelas!$E$5:$E$404,Parcelas!$A$5:$A$404,A146,Parcelas!$H$5:$H$404,"Vencida"))</f>
        <v/>
      </c>
      <c r="J146" s="25">
        <f>IF(OR(A146="",E146=0),"",D146-F146)</f>
        <v/>
      </c>
    </row>
    <row r="147">
      <c r="A147" s="32" t="n"/>
      <c r="B147" s="32" t="n"/>
      <c r="C147" s="34" t="n"/>
      <c r="D147" s="36" t="n"/>
      <c r="E147" s="24">
        <f>IF(A147="","",COUNTIFS(Parcelas!$A$5:$A$404,A147))</f>
        <v/>
      </c>
      <c r="F147" s="25">
        <f>IF(A147="","",SUMIFS(Parcelas!$E$5:$E$404,Parcelas!$A$5:$A$404,A147))</f>
        <v/>
      </c>
      <c r="G147" s="25">
        <f>IF(A147="","",SUMIFS(Parcelas!$E$5:$E$404,Parcelas!$A$5:$A$404,A147,Parcelas!$H$5:$H$404,"Paga"))</f>
        <v/>
      </c>
      <c r="H147" s="25">
        <f>IF(A147="","",F147-G147)</f>
        <v/>
      </c>
      <c r="I147" s="25">
        <f>IF(A147="","",SUMIFS(Parcelas!$E$5:$E$404,Parcelas!$A$5:$A$404,A147,Parcelas!$H$5:$H$404,"Vencida"))</f>
        <v/>
      </c>
      <c r="J147" s="25">
        <f>IF(OR(A147="",E147=0),"",D147-F147)</f>
        <v/>
      </c>
    </row>
    <row r="148">
      <c r="A148" s="32" t="n"/>
      <c r="B148" s="32" t="n"/>
      <c r="C148" s="34" t="n"/>
      <c r="D148" s="36" t="n"/>
      <c r="E148" s="24">
        <f>IF(A148="","",COUNTIFS(Parcelas!$A$5:$A$404,A148))</f>
        <v/>
      </c>
      <c r="F148" s="25">
        <f>IF(A148="","",SUMIFS(Parcelas!$E$5:$E$404,Parcelas!$A$5:$A$404,A148))</f>
        <v/>
      </c>
      <c r="G148" s="25">
        <f>IF(A148="","",SUMIFS(Parcelas!$E$5:$E$404,Parcelas!$A$5:$A$404,A148,Parcelas!$H$5:$H$404,"Paga"))</f>
        <v/>
      </c>
      <c r="H148" s="25">
        <f>IF(A148="","",F148-G148)</f>
        <v/>
      </c>
      <c r="I148" s="25">
        <f>IF(A148="","",SUMIFS(Parcelas!$E$5:$E$404,Parcelas!$A$5:$A$404,A148,Parcelas!$H$5:$H$404,"Vencida"))</f>
        <v/>
      </c>
      <c r="J148" s="25">
        <f>IF(OR(A148="",E148=0),"",D148-F148)</f>
        <v/>
      </c>
    </row>
    <row r="149">
      <c r="A149" s="32" t="n"/>
      <c r="B149" s="32" t="n"/>
      <c r="C149" s="34" t="n"/>
      <c r="D149" s="36" t="n"/>
      <c r="E149" s="24">
        <f>IF(A149="","",COUNTIFS(Parcelas!$A$5:$A$404,A149))</f>
        <v/>
      </c>
      <c r="F149" s="25">
        <f>IF(A149="","",SUMIFS(Parcelas!$E$5:$E$404,Parcelas!$A$5:$A$404,A149))</f>
        <v/>
      </c>
      <c r="G149" s="25">
        <f>IF(A149="","",SUMIFS(Parcelas!$E$5:$E$404,Parcelas!$A$5:$A$404,A149,Parcelas!$H$5:$H$404,"Paga"))</f>
        <v/>
      </c>
      <c r="H149" s="25">
        <f>IF(A149="","",F149-G149)</f>
        <v/>
      </c>
      <c r="I149" s="25">
        <f>IF(A149="","",SUMIFS(Parcelas!$E$5:$E$404,Parcelas!$A$5:$A$404,A149,Parcelas!$H$5:$H$404,"Vencida"))</f>
        <v/>
      </c>
      <c r="J149" s="25">
        <f>IF(OR(A149="",E149=0),"",D149-F149)</f>
        <v/>
      </c>
    </row>
    <row r="150">
      <c r="A150" s="32" t="n"/>
      <c r="B150" s="32" t="n"/>
      <c r="C150" s="34" t="n"/>
      <c r="D150" s="36" t="n"/>
      <c r="E150" s="24">
        <f>IF(A150="","",COUNTIFS(Parcelas!$A$5:$A$404,A150))</f>
        <v/>
      </c>
      <c r="F150" s="25">
        <f>IF(A150="","",SUMIFS(Parcelas!$E$5:$E$404,Parcelas!$A$5:$A$404,A150))</f>
        <v/>
      </c>
      <c r="G150" s="25">
        <f>IF(A150="","",SUMIFS(Parcelas!$E$5:$E$404,Parcelas!$A$5:$A$404,A150,Parcelas!$H$5:$H$404,"Paga"))</f>
        <v/>
      </c>
      <c r="H150" s="25">
        <f>IF(A150="","",F150-G150)</f>
        <v/>
      </c>
      <c r="I150" s="25">
        <f>IF(A150="","",SUMIFS(Parcelas!$E$5:$E$404,Parcelas!$A$5:$A$404,A150,Parcelas!$H$5:$H$404,"Vencida"))</f>
        <v/>
      </c>
      <c r="J150" s="25">
        <f>IF(OR(A150="",E150=0),"",D150-F150)</f>
        <v/>
      </c>
    </row>
    <row r="151">
      <c r="A151" s="32" t="n"/>
      <c r="B151" s="32" t="n"/>
      <c r="C151" s="34" t="n"/>
      <c r="D151" s="36" t="n"/>
      <c r="E151" s="24">
        <f>IF(A151="","",COUNTIFS(Parcelas!$A$5:$A$404,A151))</f>
        <v/>
      </c>
      <c r="F151" s="25">
        <f>IF(A151="","",SUMIFS(Parcelas!$E$5:$E$404,Parcelas!$A$5:$A$404,A151))</f>
        <v/>
      </c>
      <c r="G151" s="25">
        <f>IF(A151="","",SUMIFS(Parcelas!$E$5:$E$404,Parcelas!$A$5:$A$404,A151,Parcelas!$H$5:$H$404,"Paga"))</f>
        <v/>
      </c>
      <c r="H151" s="25">
        <f>IF(A151="","",F151-G151)</f>
        <v/>
      </c>
      <c r="I151" s="25">
        <f>IF(A151="","",SUMIFS(Parcelas!$E$5:$E$404,Parcelas!$A$5:$A$404,A151,Parcelas!$H$5:$H$404,"Vencida"))</f>
        <v/>
      </c>
      <c r="J151" s="25">
        <f>IF(OR(A151="",E151=0),"",D151-F151)</f>
        <v/>
      </c>
    </row>
    <row r="152">
      <c r="A152" s="32" t="n"/>
      <c r="B152" s="32" t="n"/>
      <c r="C152" s="34" t="n"/>
      <c r="D152" s="36" t="n"/>
      <c r="E152" s="24">
        <f>IF(A152="","",COUNTIFS(Parcelas!$A$5:$A$404,A152))</f>
        <v/>
      </c>
      <c r="F152" s="25">
        <f>IF(A152="","",SUMIFS(Parcelas!$E$5:$E$404,Parcelas!$A$5:$A$404,A152))</f>
        <v/>
      </c>
      <c r="G152" s="25">
        <f>IF(A152="","",SUMIFS(Parcelas!$E$5:$E$404,Parcelas!$A$5:$A$404,A152,Parcelas!$H$5:$H$404,"Paga"))</f>
        <v/>
      </c>
      <c r="H152" s="25">
        <f>IF(A152="","",F152-G152)</f>
        <v/>
      </c>
      <c r="I152" s="25">
        <f>IF(A152="","",SUMIFS(Parcelas!$E$5:$E$404,Parcelas!$A$5:$A$404,A152,Parcelas!$H$5:$H$404,"Vencida"))</f>
        <v/>
      </c>
      <c r="J152" s="25">
        <f>IF(OR(A152="",E152=0),"",D152-F152)</f>
        <v/>
      </c>
    </row>
    <row r="153">
      <c r="A153" s="32" t="n"/>
      <c r="B153" s="32" t="n"/>
      <c r="C153" s="34" t="n"/>
      <c r="D153" s="36" t="n"/>
      <c r="E153" s="24">
        <f>IF(A153="","",COUNTIFS(Parcelas!$A$5:$A$404,A153))</f>
        <v/>
      </c>
      <c r="F153" s="25">
        <f>IF(A153="","",SUMIFS(Parcelas!$E$5:$E$404,Parcelas!$A$5:$A$404,A153))</f>
        <v/>
      </c>
      <c r="G153" s="25">
        <f>IF(A153="","",SUMIFS(Parcelas!$E$5:$E$404,Parcelas!$A$5:$A$404,A153,Parcelas!$H$5:$H$404,"Paga"))</f>
        <v/>
      </c>
      <c r="H153" s="25">
        <f>IF(A153="","",F153-G153)</f>
        <v/>
      </c>
      <c r="I153" s="25">
        <f>IF(A153="","",SUMIFS(Parcelas!$E$5:$E$404,Parcelas!$A$5:$A$404,A153,Parcelas!$H$5:$H$404,"Vencida"))</f>
        <v/>
      </c>
      <c r="J153" s="25">
        <f>IF(OR(A153="",E153=0),"",D153-F153)</f>
        <v/>
      </c>
    </row>
    <row r="154">
      <c r="A154" s="32" t="n"/>
      <c r="B154" s="32" t="n"/>
      <c r="C154" s="34" t="n"/>
      <c r="D154" s="36" t="n"/>
      <c r="E154" s="24">
        <f>IF(A154="","",COUNTIFS(Parcelas!$A$5:$A$404,A154))</f>
        <v/>
      </c>
      <c r="F154" s="25">
        <f>IF(A154="","",SUMIFS(Parcelas!$E$5:$E$404,Parcelas!$A$5:$A$404,A154))</f>
        <v/>
      </c>
      <c r="G154" s="25">
        <f>IF(A154="","",SUMIFS(Parcelas!$E$5:$E$404,Parcelas!$A$5:$A$404,A154,Parcelas!$H$5:$H$404,"Paga"))</f>
        <v/>
      </c>
      <c r="H154" s="25">
        <f>IF(A154="","",F154-G154)</f>
        <v/>
      </c>
      <c r="I154" s="25">
        <f>IF(A154="","",SUMIFS(Parcelas!$E$5:$E$404,Parcelas!$A$5:$A$404,A154,Parcelas!$H$5:$H$404,"Vencida"))</f>
        <v/>
      </c>
      <c r="J154" s="25">
        <f>IF(OR(A154="",E154=0),"",D154-F154)</f>
        <v/>
      </c>
    </row>
    <row r="155">
      <c r="A155" s="32" t="n"/>
      <c r="B155" s="32" t="n"/>
      <c r="C155" s="34" t="n"/>
      <c r="D155" s="36" t="n"/>
      <c r="E155" s="24">
        <f>IF(A155="","",COUNTIFS(Parcelas!$A$5:$A$404,A155))</f>
        <v/>
      </c>
      <c r="F155" s="25">
        <f>IF(A155="","",SUMIFS(Parcelas!$E$5:$E$404,Parcelas!$A$5:$A$404,A155))</f>
        <v/>
      </c>
      <c r="G155" s="25">
        <f>IF(A155="","",SUMIFS(Parcelas!$E$5:$E$404,Parcelas!$A$5:$A$404,A155,Parcelas!$H$5:$H$404,"Paga"))</f>
        <v/>
      </c>
      <c r="H155" s="25">
        <f>IF(A155="","",F155-G155)</f>
        <v/>
      </c>
      <c r="I155" s="25">
        <f>IF(A155="","",SUMIFS(Parcelas!$E$5:$E$404,Parcelas!$A$5:$A$404,A155,Parcelas!$H$5:$H$404,"Vencida"))</f>
        <v/>
      </c>
      <c r="J155" s="25">
        <f>IF(OR(A155="",E155=0),"",D155-F155)</f>
        <v/>
      </c>
    </row>
    <row r="156">
      <c r="A156" s="32" t="n"/>
      <c r="B156" s="32" t="n"/>
      <c r="C156" s="34" t="n"/>
      <c r="D156" s="36" t="n"/>
      <c r="E156" s="24">
        <f>IF(A156="","",COUNTIFS(Parcelas!$A$5:$A$404,A156))</f>
        <v/>
      </c>
      <c r="F156" s="25">
        <f>IF(A156="","",SUMIFS(Parcelas!$E$5:$E$404,Parcelas!$A$5:$A$404,A156))</f>
        <v/>
      </c>
      <c r="G156" s="25">
        <f>IF(A156="","",SUMIFS(Parcelas!$E$5:$E$404,Parcelas!$A$5:$A$404,A156,Parcelas!$H$5:$H$404,"Paga"))</f>
        <v/>
      </c>
      <c r="H156" s="25">
        <f>IF(A156="","",F156-G156)</f>
        <v/>
      </c>
      <c r="I156" s="25">
        <f>IF(A156="","",SUMIFS(Parcelas!$E$5:$E$404,Parcelas!$A$5:$A$404,A156,Parcelas!$H$5:$H$404,"Vencida"))</f>
        <v/>
      </c>
      <c r="J156" s="25">
        <f>IF(OR(A156="",E156=0),"",D156-F156)</f>
        <v/>
      </c>
    </row>
    <row r="157">
      <c r="A157" s="32" t="n"/>
      <c r="B157" s="32" t="n"/>
      <c r="C157" s="34" t="n"/>
      <c r="D157" s="36" t="n"/>
      <c r="E157" s="24">
        <f>IF(A157="","",COUNTIFS(Parcelas!$A$5:$A$404,A157))</f>
        <v/>
      </c>
      <c r="F157" s="25">
        <f>IF(A157="","",SUMIFS(Parcelas!$E$5:$E$404,Parcelas!$A$5:$A$404,A157))</f>
        <v/>
      </c>
      <c r="G157" s="25">
        <f>IF(A157="","",SUMIFS(Parcelas!$E$5:$E$404,Parcelas!$A$5:$A$404,A157,Parcelas!$H$5:$H$404,"Paga"))</f>
        <v/>
      </c>
      <c r="H157" s="25">
        <f>IF(A157="","",F157-G157)</f>
        <v/>
      </c>
      <c r="I157" s="25">
        <f>IF(A157="","",SUMIFS(Parcelas!$E$5:$E$404,Parcelas!$A$5:$A$404,A157,Parcelas!$H$5:$H$404,"Vencida"))</f>
        <v/>
      </c>
      <c r="J157" s="25">
        <f>IF(OR(A157="",E157=0),"",D157-F157)</f>
        <v/>
      </c>
    </row>
    <row r="158">
      <c r="A158" s="32" t="n"/>
      <c r="B158" s="32" t="n"/>
      <c r="C158" s="34" t="n"/>
      <c r="D158" s="36" t="n"/>
      <c r="E158" s="24">
        <f>IF(A158="","",COUNTIFS(Parcelas!$A$5:$A$404,A158))</f>
        <v/>
      </c>
      <c r="F158" s="25">
        <f>IF(A158="","",SUMIFS(Parcelas!$E$5:$E$404,Parcelas!$A$5:$A$404,A158))</f>
        <v/>
      </c>
      <c r="G158" s="25">
        <f>IF(A158="","",SUMIFS(Parcelas!$E$5:$E$404,Parcelas!$A$5:$A$404,A158,Parcelas!$H$5:$H$404,"Paga"))</f>
        <v/>
      </c>
      <c r="H158" s="25">
        <f>IF(A158="","",F158-G158)</f>
        <v/>
      </c>
      <c r="I158" s="25">
        <f>IF(A158="","",SUMIFS(Parcelas!$E$5:$E$404,Parcelas!$A$5:$A$404,A158,Parcelas!$H$5:$H$404,"Vencida"))</f>
        <v/>
      </c>
      <c r="J158" s="25">
        <f>IF(OR(A158="",E158=0),"",D158-F158)</f>
        <v/>
      </c>
    </row>
    <row r="159">
      <c r="A159" s="32" t="n"/>
      <c r="B159" s="32" t="n"/>
      <c r="C159" s="34" t="n"/>
      <c r="D159" s="36" t="n"/>
      <c r="E159" s="24">
        <f>IF(A159="","",COUNTIFS(Parcelas!$A$5:$A$404,A159))</f>
        <v/>
      </c>
      <c r="F159" s="25">
        <f>IF(A159="","",SUMIFS(Parcelas!$E$5:$E$404,Parcelas!$A$5:$A$404,A159))</f>
        <v/>
      </c>
      <c r="G159" s="25">
        <f>IF(A159="","",SUMIFS(Parcelas!$E$5:$E$404,Parcelas!$A$5:$A$404,A159,Parcelas!$H$5:$H$404,"Paga"))</f>
        <v/>
      </c>
      <c r="H159" s="25">
        <f>IF(A159="","",F159-G159)</f>
        <v/>
      </c>
      <c r="I159" s="25">
        <f>IF(A159="","",SUMIFS(Parcelas!$E$5:$E$404,Parcelas!$A$5:$A$404,A159,Parcelas!$H$5:$H$404,"Vencida"))</f>
        <v/>
      </c>
      <c r="J159" s="25">
        <f>IF(OR(A159="",E159=0),"",D159-F159)</f>
        <v/>
      </c>
    </row>
    <row r="160">
      <c r="A160" s="32" t="n"/>
      <c r="B160" s="32" t="n"/>
      <c r="C160" s="34" t="n"/>
      <c r="D160" s="36" t="n"/>
      <c r="E160" s="24">
        <f>IF(A160="","",COUNTIFS(Parcelas!$A$5:$A$404,A160))</f>
        <v/>
      </c>
      <c r="F160" s="25">
        <f>IF(A160="","",SUMIFS(Parcelas!$E$5:$E$404,Parcelas!$A$5:$A$404,A160))</f>
        <v/>
      </c>
      <c r="G160" s="25">
        <f>IF(A160="","",SUMIFS(Parcelas!$E$5:$E$404,Parcelas!$A$5:$A$404,A160,Parcelas!$H$5:$H$404,"Paga"))</f>
        <v/>
      </c>
      <c r="H160" s="25">
        <f>IF(A160="","",F160-G160)</f>
        <v/>
      </c>
      <c r="I160" s="25">
        <f>IF(A160="","",SUMIFS(Parcelas!$E$5:$E$404,Parcelas!$A$5:$A$404,A160,Parcelas!$H$5:$H$404,"Vencida"))</f>
        <v/>
      </c>
      <c r="J160" s="25">
        <f>IF(OR(A160="",E160=0),"",D160-F160)</f>
        <v/>
      </c>
    </row>
    <row r="161">
      <c r="A161" s="32" t="n"/>
      <c r="B161" s="32" t="n"/>
      <c r="C161" s="34" t="n"/>
      <c r="D161" s="36" t="n"/>
      <c r="E161" s="24">
        <f>IF(A161="","",COUNTIFS(Parcelas!$A$5:$A$404,A161))</f>
        <v/>
      </c>
      <c r="F161" s="25">
        <f>IF(A161="","",SUMIFS(Parcelas!$E$5:$E$404,Parcelas!$A$5:$A$404,A161))</f>
        <v/>
      </c>
      <c r="G161" s="25">
        <f>IF(A161="","",SUMIFS(Parcelas!$E$5:$E$404,Parcelas!$A$5:$A$404,A161,Parcelas!$H$5:$H$404,"Paga"))</f>
        <v/>
      </c>
      <c r="H161" s="25">
        <f>IF(A161="","",F161-G161)</f>
        <v/>
      </c>
      <c r="I161" s="25">
        <f>IF(A161="","",SUMIFS(Parcelas!$E$5:$E$404,Parcelas!$A$5:$A$404,A161,Parcelas!$H$5:$H$404,"Vencida"))</f>
        <v/>
      </c>
      <c r="J161" s="25">
        <f>IF(OR(A161="",E161=0),"",D161-F161)</f>
        <v/>
      </c>
    </row>
    <row r="162">
      <c r="A162" s="32" t="n"/>
      <c r="B162" s="32" t="n"/>
      <c r="C162" s="34" t="n"/>
      <c r="D162" s="36" t="n"/>
      <c r="E162" s="24">
        <f>IF(A162="","",COUNTIFS(Parcelas!$A$5:$A$404,A162))</f>
        <v/>
      </c>
      <c r="F162" s="25">
        <f>IF(A162="","",SUMIFS(Parcelas!$E$5:$E$404,Parcelas!$A$5:$A$404,A162))</f>
        <v/>
      </c>
      <c r="G162" s="25">
        <f>IF(A162="","",SUMIFS(Parcelas!$E$5:$E$404,Parcelas!$A$5:$A$404,A162,Parcelas!$H$5:$H$404,"Paga"))</f>
        <v/>
      </c>
      <c r="H162" s="25">
        <f>IF(A162="","",F162-G162)</f>
        <v/>
      </c>
      <c r="I162" s="25">
        <f>IF(A162="","",SUMIFS(Parcelas!$E$5:$E$404,Parcelas!$A$5:$A$404,A162,Parcelas!$H$5:$H$404,"Vencida"))</f>
        <v/>
      </c>
      <c r="J162" s="25">
        <f>IF(OR(A162="",E162=0),"",D162-F162)</f>
        <v/>
      </c>
    </row>
    <row r="163">
      <c r="A163" s="32" t="n"/>
      <c r="B163" s="32" t="n"/>
      <c r="C163" s="34" t="n"/>
      <c r="D163" s="36" t="n"/>
      <c r="E163" s="24">
        <f>IF(A163="","",COUNTIFS(Parcelas!$A$5:$A$404,A163))</f>
        <v/>
      </c>
      <c r="F163" s="25">
        <f>IF(A163="","",SUMIFS(Parcelas!$E$5:$E$404,Parcelas!$A$5:$A$404,A163))</f>
        <v/>
      </c>
      <c r="G163" s="25">
        <f>IF(A163="","",SUMIFS(Parcelas!$E$5:$E$404,Parcelas!$A$5:$A$404,A163,Parcelas!$H$5:$H$404,"Paga"))</f>
        <v/>
      </c>
      <c r="H163" s="25">
        <f>IF(A163="","",F163-G163)</f>
        <v/>
      </c>
      <c r="I163" s="25">
        <f>IF(A163="","",SUMIFS(Parcelas!$E$5:$E$404,Parcelas!$A$5:$A$404,A163,Parcelas!$H$5:$H$404,"Vencida"))</f>
        <v/>
      </c>
      <c r="J163" s="25">
        <f>IF(OR(A163="",E163=0),"",D163-F163)</f>
        <v/>
      </c>
    </row>
    <row r="164">
      <c r="A164" s="32" t="n"/>
      <c r="B164" s="32" t="n"/>
      <c r="C164" s="34" t="n"/>
      <c r="D164" s="36" t="n"/>
      <c r="E164" s="24">
        <f>IF(A164="","",COUNTIFS(Parcelas!$A$5:$A$404,A164))</f>
        <v/>
      </c>
      <c r="F164" s="25">
        <f>IF(A164="","",SUMIFS(Parcelas!$E$5:$E$404,Parcelas!$A$5:$A$404,A164))</f>
        <v/>
      </c>
      <c r="G164" s="25">
        <f>IF(A164="","",SUMIFS(Parcelas!$E$5:$E$404,Parcelas!$A$5:$A$404,A164,Parcelas!$H$5:$H$404,"Paga"))</f>
        <v/>
      </c>
      <c r="H164" s="25">
        <f>IF(A164="","",F164-G164)</f>
        <v/>
      </c>
      <c r="I164" s="25">
        <f>IF(A164="","",SUMIFS(Parcelas!$E$5:$E$404,Parcelas!$A$5:$A$404,A164,Parcelas!$H$5:$H$404,"Vencida"))</f>
        <v/>
      </c>
      <c r="J164" s="25">
        <f>IF(OR(A164="",E164=0),"",D164-F164)</f>
        <v/>
      </c>
    </row>
    <row r="165">
      <c r="A165" s="32" t="n"/>
      <c r="B165" s="32" t="n"/>
      <c r="C165" s="34" t="n"/>
      <c r="D165" s="36" t="n"/>
      <c r="E165" s="24">
        <f>IF(A165="","",COUNTIFS(Parcelas!$A$5:$A$404,A165))</f>
        <v/>
      </c>
      <c r="F165" s="25">
        <f>IF(A165="","",SUMIFS(Parcelas!$E$5:$E$404,Parcelas!$A$5:$A$404,A165))</f>
        <v/>
      </c>
      <c r="G165" s="25">
        <f>IF(A165="","",SUMIFS(Parcelas!$E$5:$E$404,Parcelas!$A$5:$A$404,A165,Parcelas!$H$5:$H$404,"Paga"))</f>
        <v/>
      </c>
      <c r="H165" s="25">
        <f>IF(A165="","",F165-G165)</f>
        <v/>
      </c>
      <c r="I165" s="25">
        <f>IF(A165="","",SUMIFS(Parcelas!$E$5:$E$404,Parcelas!$A$5:$A$404,A165,Parcelas!$H$5:$H$404,"Vencida"))</f>
        <v/>
      </c>
      <c r="J165" s="25">
        <f>IF(OR(A165="",E165=0),"",D165-F165)</f>
        <v/>
      </c>
    </row>
    <row r="166">
      <c r="A166" s="32" t="n"/>
      <c r="B166" s="32" t="n"/>
      <c r="C166" s="34" t="n"/>
      <c r="D166" s="36" t="n"/>
      <c r="E166" s="24">
        <f>IF(A166="","",COUNTIFS(Parcelas!$A$5:$A$404,A166))</f>
        <v/>
      </c>
      <c r="F166" s="25">
        <f>IF(A166="","",SUMIFS(Parcelas!$E$5:$E$404,Parcelas!$A$5:$A$404,A166))</f>
        <v/>
      </c>
      <c r="G166" s="25">
        <f>IF(A166="","",SUMIFS(Parcelas!$E$5:$E$404,Parcelas!$A$5:$A$404,A166,Parcelas!$H$5:$H$404,"Paga"))</f>
        <v/>
      </c>
      <c r="H166" s="25">
        <f>IF(A166="","",F166-G166)</f>
        <v/>
      </c>
      <c r="I166" s="25">
        <f>IF(A166="","",SUMIFS(Parcelas!$E$5:$E$404,Parcelas!$A$5:$A$404,A166,Parcelas!$H$5:$H$404,"Vencida"))</f>
        <v/>
      </c>
      <c r="J166" s="25">
        <f>IF(OR(A166="",E166=0),"",D166-F166)</f>
        <v/>
      </c>
    </row>
    <row r="167">
      <c r="A167" s="32" t="n"/>
      <c r="B167" s="32" t="n"/>
      <c r="C167" s="34" t="n"/>
      <c r="D167" s="36" t="n"/>
      <c r="E167" s="24">
        <f>IF(A167="","",COUNTIFS(Parcelas!$A$5:$A$404,A167))</f>
        <v/>
      </c>
      <c r="F167" s="25">
        <f>IF(A167="","",SUMIFS(Parcelas!$E$5:$E$404,Parcelas!$A$5:$A$404,A167))</f>
        <v/>
      </c>
      <c r="G167" s="25">
        <f>IF(A167="","",SUMIFS(Parcelas!$E$5:$E$404,Parcelas!$A$5:$A$404,A167,Parcelas!$H$5:$H$404,"Paga"))</f>
        <v/>
      </c>
      <c r="H167" s="25">
        <f>IF(A167="","",F167-G167)</f>
        <v/>
      </c>
      <c r="I167" s="25">
        <f>IF(A167="","",SUMIFS(Parcelas!$E$5:$E$404,Parcelas!$A$5:$A$404,A167,Parcelas!$H$5:$H$404,"Vencida"))</f>
        <v/>
      </c>
      <c r="J167" s="25">
        <f>IF(OR(A167="",E167=0),"",D167-F167)</f>
        <v/>
      </c>
    </row>
    <row r="168">
      <c r="A168" s="32" t="n"/>
      <c r="B168" s="32" t="n"/>
      <c r="C168" s="34" t="n"/>
      <c r="D168" s="36" t="n"/>
      <c r="E168" s="24">
        <f>IF(A168="","",COUNTIFS(Parcelas!$A$5:$A$404,A168))</f>
        <v/>
      </c>
      <c r="F168" s="25">
        <f>IF(A168="","",SUMIFS(Parcelas!$E$5:$E$404,Parcelas!$A$5:$A$404,A168))</f>
        <v/>
      </c>
      <c r="G168" s="25">
        <f>IF(A168="","",SUMIFS(Parcelas!$E$5:$E$404,Parcelas!$A$5:$A$404,A168,Parcelas!$H$5:$H$404,"Paga"))</f>
        <v/>
      </c>
      <c r="H168" s="25">
        <f>IF(A168="","",F168-G168)</f>
        <v/>
      </c>
      <c r="I168" s="25">
        <f>IF(A168="","",SUMIFS(Parcelas!$E$5:$E$404,Parcelas!$A$5:$A$404,A168,Parcelas!$H$5:$H$404,"Vencida"))</f>
        <v/>
      </c>
      <c r="J168" s="25">
        <f>IF(OR(A168="",E168=0),"",D168-F168)</f>
        <v/>
      </c>
    </row>
    <row r="169">
      <c r="A169" s="32" t="n"/>
      <c r="B169" s="32" t="n"/>
      <c r="C169" s="34" t="n"/>
      <c r="D169" s="36" t="n"/>
      <c r="E169" s="24">
        <f>IF(A169="","",COUNTIFS(Parcelas!$A$5:$A$404,A169))</f>
        <v/>
      </c>
      <c r="F169" s="25">
        <f>IF(A169="","",SUMIFS(Parcelas!$E$5:$E$404,Parcelas!$A$5:$A$404,A169))</f>
        <v/>
      </c>
      <c r="G169" s="25">
        <f>IF(A169="","",SUMIFS(Parcelas!$E$5:$E$404,Parcelas!$A$5:$A$404,A169,Parcelas!$H$5:$H$404,"Paga"))</f>
        <v/>
      </c>
      <c r="H169" s="25">
        <f>IF(A169="","",F169-G169)</f>
        <v/>
      </c>
      <c r="I169" s="25">
        <f>IF(A169="","",SUMIFS(Parcelas!$E$5:$E$404,Parcelas!$A$5:$A$404,A169,Parcelas!$H$5:$H$404,"Vencida"))</f>
        <v/>
      </c>
      <c r="J169" s="25">
        <f>IF(OR(A169="",E169=0),"",D169-F169)</f>
        <v/>
      </c>
    </row>
    <row r="170">
      <c r="A170" s="32" t="n"/>
      <c r="B170" s="32" t="n"/>
      <c r="C170" s="34" t="n"/>
      <c r="D170" s="36" t="n"/>
      <c r="E170" s="24">
        <f>IF(A170="","",COUNTIFS(Parcelas!$A$5:$A$404,A170))</f>
        <v/>
      </c>
      <c r="F170" s="25">
        <f>IF(A170="","",SUMIFS(Parcelas!$E$5:$E$404,Parcelas!$A$5:$A$404,A170))</f>
        <v/>
      </c>
      <c r="G170" s="25">
        <f>IF(A170="","",SUMIFS(Parcelas!$E$5:$E$404,Parcelas!$A$5:$A$404,A170,Parcelas!$H$5:$H$404,"Paga"))</f>
        <v/>
      </c>
      <c r="H170" s="25">
        <f>IF(A170="","",F170-G170)</f>
        <v/>
      </c>
      <c r="I170" s="25">
        <f>IF(A170="","",SUMIFS(Parcelas!$E$5:$E$404,Parcelas!$A$5:$A$404,A170,Parcelas!$H$5:$H$404,"Vencida"))</f>
        <v/>
      </c>
      <c r="J170" s="25">
        <f>IF(OR(A170="",E170=0),"",D170-F170)</f>
        <v/>
      </c>
    </row>
    <row r="171">
      <c r="A171" s="32" t="n"/>
      <c r="B171" s="32" t="n"/>
      <c r="C171" s="34" t="n"/>
      <c r="D171" s="36" t="n"/>
      <c r="E171" s="24">
        <f>IF(A171="","",COUNTIFS(Parcelas!$A$5:$A$404,A171))</f>
        <v/>
      </c>
      <c r="F171" s="25">
        <f>IF(A171="","",SUMIFS(Parcelas!$E$5:$E$404,Parcelas!$A$5:$A$404,A171))</f>
        <v/>
      </c>
      <c r="G171" s="25">
        <f>IF(A171="","",SUMIFS(Parcelas!$E$5:$E$404,Parcelas!$A$5:$A$404,A171,Parcelas!$H$5:$H$404,"Paga"))</f>
        <v/>
      </c>
      <c r="H171" s="25">
        <f>IF(A171="","",F171-G171)</f>
        <v/>
      </c>
      <c r="I171" s="25">
        <f>IF(A171="","",SUMIFS(Parcelas!$E$5:$E$404,Parcelas!$A$5:$A$404,A171,Parcelas!$H$5:$H$404,"Vencida"))</f>
        <v/>
      </c>
      <c r="J171" s="25">
        <f>IF(OR(A171="",E171=0),"",D171-F171)</f>
        <v/>
      </c>
    </row>
    <row r="172">
      <c r="A172" s="32" t="n"/>
      <c r="B172" s="32" t="n"/>
      <c r="C172" s="34" t="n"/>
      <c r="D172" s="36" t="n"/>
      <c r="E172" s="24">
        <f>IF(A172="","",COUNTIFS(Parcelas!$A$5:$A$404,A172))</f>
        <v/>
      </c>
      <c r="F172" s="25">
        <f>IF(A172="","",SUMIFS(Parcelas!$E$5:$E$404,Parcelas!$A$5:$A$404,A172))</f>
        <v/>
      </c>
      <c r="G172" s="25">
        <f>IF(A172="","",SUMIFS(Parcelas!$E$5:$E$404,Parcelas!$A$5:$A$404,A172,Parcelas!$H$5:$H$404,"Paga"))</f>
        <v/>
      </c>
      <c r="H172" s="25">
        <f>IF(A172="","",F172-G172)</f>
        <v/>
      </c>
      <c r="I172" s="25">
        <f>IF(A172="","",SUMIFS(Parcelas!$E$5:$E$404,Parcelas!$A$5:$A$404,A172,Parcelas!$H$5:$H$404,"Vencida"))</f>
        <v/>
      </c>
      <c r="J172" s="25">
        <f>IF(OR(A172="",E172=0),"",D172-F172)</f>
        <v/>
      </c>
    </row>
    <row r="173">
      <c r="A173" s="32" t="n"/>
      <c r="B173" s="32" t="n"/>
      <c r="C173" s="34" t="n"/>
      <c r="D173" s="36" t="n"/>
      <c r="E173" s="24">
        <f>IF(A173="","",COUNTIFS(Parcelas!$A$5:$A$404,A173))</f>
        <v/>
      </c>
      <c r="F173" s="25">
        <f>IF(A173="","",SUMIFS(Parcelas!$E$5:$E$404,Parcelas!$A$5:$A$404,A173))</f>
        <v/>
      </c>
      <c r="G173" s="25">
        <f>IF(A173="","",SUMIFS(Parcelas!$E$5:$E$404,Parcelas!$A$5:$A$404,A173,Parcelas!$H$5:$H$404,"Paga"))</f>
        <v/>
      </c>
      <c r="H173" s="25">
        <f>IF(A173="","",F173-G173)</f>
        <v/>
      </c>
      <c r="I173" s="25">
        <f>IF(A173="","",SUMIFS(Parcelas!$E$5:$E$404,Parcelas!$A$5:$A$404,A173,Parcelas!$H$5:$H$404,"Vencida"))</f>
        <v/>
      </c>
      <c r="J173" s="25">
        <f>IF(OR(A173="",E173=0),"",D173-F173)</f>
        <v/>
      </c>
    </row>
    <row r="174">
      <c r="A174" s="32" t="n"/>
      <c r="B174" s="32" t="n"/>
      <c r="C174" s="34" t="n"/>
      <c r="D174" s="36" t="n"/>
      <c r="E174" s="24">
        <f>IF(A174="","",COUNTIFS(Parcelas!$A$5:$A$404,A174))</f>
        <v/>
      </c>
      <c r="F174" s="25">
        <f>IF(A174="","",SUMIFS(Parcelas!$E$5:$E$404,Parcelas!$A$5:$A$404,A174))</f>
        <v/>
      </c>
      <c r="G174" s="25">
        <f>IF(A174="","",SUMIFS(Parcelas!$E$5:$E$404,Parcelas!$A$5:$A$404,A174,Parcelas!$H$5:$H$404,"Paga"))</f>
        <v/>
      </c>
      <c r="H174" s="25">
        <f>IF(A174="","",F174-G174)</f>
        <v/>
      </c>
      <c r="I174" s="25">
        <f>IF(A174="","",SUMIFS(Parcelas!$E$5:$E$404,Parcelas!$A$5:$A$404,A174,Parcelas!$H$5:$H$404,"Vencida"))</f>
        <v/>
      </c>
      <c r="J174" s="25">
        <f>IF(OR(A174="",E174=0),"",D174-F174)</f>
        <v/>
      </c>
    </row>
    <row r="175">
      <c r="A175" s="32" t="n"/>
      <c r="B175" s="32" t="n"/>
      <c r="C175" s="34" t="n"/>
      <c r="D175" s="36" t="n"/>
      <c r="E175" s="24">
        <f>IF(A175="","",COUNTIFS(Parcelas!$A$5:$A$404,A175))</f>
        <v/>
      </c>
      <c r="F175" s="25">
        <f>IF(A175="","",SUMIFS(Parcelas!$E$5:$E$404,Parcelas!$A$5:$A$404,A175))</f>
        <v/>
      </c>
      <c r="G175" s="25">
        <f>IF(A175="","",SUMIFS(Parcelas!$E$5:$E$404,Parcelas!$A$5:$A$404,A175,Parcelas!$H$5:$H$404,"Paga"))</f>
        <v/>
      </c>
      <c r="H175" s="25">
        <f>IF(A175="","",F175-G175)</f>
        <v/>
      </c>
      <c r="I175" s="25">
        <f>IF(A175="","",SUMIFS(Parcelas!$E$5:$E$404,Parcelas!$A$5:$A$404,A175,Parcelas!$H$5:$H$404,"Vencida"))</f>
        <v/>
      </c>
      <c r="J175" s="25">
        <f>IF(OR(A175="",E175=0),"",D175-F175)</f>
        <v/>
      </c>
    </row>
    <row r="176">
      <c r="A176" s="32" t="n"/>
      <c r="B176" s="32" t="n"/>
      <c r="C176" s="34" t="n"/>
      <c r="D176" s="36" t="n"/>
      <c r="E176" s="24">
        <f>IF(A176="","",COUNTIFS(Parcelas!$A$5:$A$404,A176))</f>
        <v/>
      </c>
      <c r="F176" s="25">
        <f>IF(A176="","",SUMIFS(Parcelas!$E$5:$E$404,Parcelas!$A$5:$A$404,A176))</f>
        <v/>
      </c>
      <c r="G176" s="25">
        <f>IF(A176="","",SUMIFS(Parcelas!$E$5:$E$404,Parcelas!$A$5:$A$404,A176,Parcelas!$H$5:$H$404,"Paga"))</f>
        <v/>
      </c>
      <c r="H176" s="25">
        <f>IF(A176="","",F176-G176)</f>
        <v/>
      </c>
      <c r="I176" s="25">
        <f>IF(A176="","",SUMIFS(Parcelas!$E$5:$E$404,Parcelas!$A$5:$A$404,A176,Parcelas!$H$5:$H$404,"Vencida"))</f>
        <v/>
      </c>
      <c r="J176" s="25">
        <f>IF(OR(A176="",E176=0),"",D176-F176)</f>
        <v/>
      </c>
    </row>
    <row r="177">
      <c r="A177" s="32" t="n"/>
      <c r="B177" s="32" t="n"/>
      <c r="C177" s="34" t="n"/>
      <c r="D177" s="36" t="n"/>
      <c r="E177" s="24">
        <f>IF(A177="","",COUNTIFS(Parcelas!$A$5:$A$404,A177))</f>
        <v/>
      </c>
      <c r="F177" s="25">
        <f>IF(A177="","",SUMIFS(Parcelas!$E$5:$E$404,Parcelas!$A$5:$A$404,A177))</f>
        <v/>
      </c>
      <c r="G177" s="25">
        <f>IF(A177="","",SUMIFS(Parcelas!$E$5:$E$404,Parcelas!$A$5:$A$404,A177,Parcelas!$H$5:$H$404,"Paga"))</f>
        <v/>
      </c>
      <c r="H177" s="25">
        <f>IF(A177="","",F177-G177)</f>
        <v/>
      </c>
      <c r="I177" s="25">
        <f>IF(A177="","",SUMIFS(Parcelas!$E$5:$E$404,Parcelas!$A$5:$A$404,A177,Parcelas!$H$5:$H$404,"Vencida"))</f>
        <v/>
      </c>
      <c r="J177" s="25">
        <f>IF(OR(A177="",E177=0),"",D177-F177)</f>
        <v/>
      </c>
    </row>
    <row r="178">
      <c r="A178" s="32" t="n"/>
      <c r="B178" s="32" t="n"/>
      <c r="C178" s="34" t="n"/>
      <c r="D178" s="36" t="n"/>
      <c r="E178" s="24">
        <f>IF(A178="","",COUNTIFS(Parcelas!$A$5:$A$404,A178))</f>
        <v/>
      </c>
      <c r="F178" s="25">
        <f>IF(A178="","",SUMIFS(Parcelas!$E$5:$E$404,Parcelas!$A$5:$A$404,A178))</f>
        <v/>
      </c>
      <c r="G178" s="25">
        <f>IF(A178="","",SUMIFS(Parcelas!$E$5:$E$404,Parcelas!$A$5:$A$404,A178,Parcelas!$H$5:$H$404,"Paga"))</f>
        <v/>
      </c>
      <c r="H178" s="25">
        <f>IF(A178="","",F178-G178)</f>
        <v/>
      </c>
      <c r="I178" s="25">
        <f>IF(A178="","",SUMIFS(Parcelas!$E$5:$E$404,Parcelas!$A$5:$A$404,A178,Parcelas!$H$5:$H$404,"Vencida"))</f>
        <v/>
      </c>
      <c r="J178" s="25">
        <f>IF(OR(A178="",E178=0),"",D178-F178)</f>
        <v/>
      </c>
    </row>
    <row r="179">
      <c r="A179" s="32" t="n"/>
      <c r="B179" s="32" t="n"/>
      <c r="C179" s="34" t="n"/>
      <c r="D179" s="36" t="n"/>
      <c r="E179" s="24">
        <f>IF(A179="","",COUNTIFS(Parcelas!$A$5:$A$404,A179))</f>
        <v/>
      </c>
      <c r="F179" s="25">
        <f>IF(A179="","",SUMIFS(Parcelas!$E$5:$E$404,Parcelas!$A$5:$A$404,A179))</f>
        <v/>
      </c>
      <c r="G179" s="25">
        <f>IF(A179="","",SUMIFS(Parcelas!$E$5:$E$404,Parcelas!$A$5:$A$404,A179,Parcelas!$H$5:$H$404,"Paga"))</f>
        <v/>
      </c>
      <c r="H179" s="25">
        <f>IF(A179="","",F179-G179)</f>
        <v/>
      </c>
      <c r="I179" s="25">
        <f>IF(A179="","",SUMIFS(Parcelas!$E$5:$E$404,Parcelas!$A$5:$A$404,A179,Parcelas!$H$5:$H$404,"Vencida"))</f>
        <v/>
      </c>
      <c r="J179" s="25">
        <f>IF(OR(A179="",E179=0),"",D179-F179)</f>
        <v/>
      </c>
    </row>
    <row r="180">
      <c r="A180" s="32" t="n"/>
      <c r="B180" s="32" t="n"/>
      <c r="C180" s="34" t="n"/>
      <c r="D180" s="36" t="n"/>
      <c r="E180" s="24">
        <f>IF(A180="","",COUNTIFS(Parcelas!$A$5:$A$404,A180))</f>
        <v/>
      </c>
      <c r="F180" s="25">
        <f>IF(A180="","",SUMIFS(Parcelas!$E$5:$E$404,Parcelas!$A$5:$A$404,A180))</f>
        <v/>
      </c>
      <c r="G180" s="25">
        <f>IF(A180="","",SUMIFS(Parcelas!$E$5:$E$404,Parcelas!$A$5:$A$404,A180,Parcelas!$H$5:$H$404,"Paga"))</f>
        <v/>
      </c>
      <c r="H180" s="25">
        <f>IF(A180="","",F180-G180)</f>
        <v/>
      </c>
      <c r="I180" s="25">
        <f>IF(A180="","",SUMIFS(Parcelas!$E$5:$E$404,Parcelas!$A$5:$A$404,A180,Parcelas!$H$5:$H$404,"Vencida"))</f>
        <v/>
      </c>
      <c r="J180" s="25">
        <f>IF(OR(A180="",E180=0),"",D180-F180)</f>
        <v/>
      </c>
    </row>
    <row r="181">
      <c r="A181" s="32" t="n"/>
      <c r="B181" s="32" t="n"/>
      <c r="C181" s="34" t="n"/>
      <c r="D181" s="36" t="n"/>
      <c r="E181" s="24">
        <f>IF(A181="","",COUNTIFS(Parcelas!$A$5:$A$404,A181))</f>
        <v/>
      </c>
      <c r="F181" s="25">
        <f>IF(A181="","",SUMIFS(Parcelas!$E$5:$E$404,Parcelas!$A$5:$A$404,A181))</f>
        <v/>
      </c>
      <c r="G181" s="25">
        <f>IF(A181="","",SUMIFS(Parcelas!$E$5:$E$404,Parcelas!$A$5:$A$404,A181,Parcelas!$H$5:$H$404,"Paga"))</f>
        <v/>
      </c>
      <c r="H181" s="25">
        <f>IF(A181="","",F181-G181)</f>
        <v/>
      </c>
      <c r="I181" s="25">
        <f>IF(A181="","",SUMIFS(Parcelas!$E$5:$E$404,Parcelas!$A$5:$A$404,A181,Parcelas!$H$5:$H$404,"Vencida"))</f>
        <v/>
      </c>
      <c r="J181" s="25">
        <f>IF(OR(A181="",E181=0),"",D181-F181)</f>
        <v/>
      </c>
    </row>
    <row r="182">
      <c r="A182" s="32" t="n"/>
      <c r="B182" s="32" t="n"/>
      <c r="C182" s="34" t="n"/>
      <c r="D182" s="36" t="n"/>
      <c r="E182" s="24">
        <f>IF(A182="","",COUNTIFS(Parcelas!$A$5:$A$404,A182))</f>
        <v/>
      </c>
      <c r="F182" s="25">
        <f>IF(A182="","",SUMIFS(Parcelas!$E$5:$E$404,Parcelas!$A$5:$A$404,A182))</f>
        <v/>
      </c>
      <c r="G182" s="25">
        <f>IF(A182="","",SUMIFS(Parcelas!$E$5:$E$404,Parcelas!$A$5:$A$404,A182,Parcelas!$H$5:$H$404,"Paga"))</f>
        <v/>
      </c>
      <c r="H182" s="25">
        <f>IF(A182="","",F182-G182)</f>
        <v/>
      </c>
      <c r="I182" s="25">
        <f>IF(A182="","",SUMIFS(Parcelas!$E$5:$E$404,Parcelas!$A$5:$A$404,A182,Parcelas!$H$5:$H$404,"Vencida"))</f>
        <v/>
      </c>
      <c r="J182" s="25">
        <f>IF(OR(A182="",E182=0),"",D182-F182)</f>
        <v/>
      </c>
    </row>
    <row r="183">
      <c r="A183" s="32" t="n"/>
      <c r="B183" s="32" t="n"/>
      <c r="C183" s="34" t="n"/>
      <c r="D183" s="36" t="n"/>
      <c r="E183" s="24">
        <f>IF(A183="","",COUNTIFS(Parcelas!$A$5:$A$404,A183))</f>
        <v/>
      </c>
      <c r="F183" s="25">
        <f>IF(A183="","",SUMIFS(Parcelas!$E$5:$E$404,Parcelas!$A$5:$A$404,A183))</f>
        <v/>
      </c>
      <c r="G183" s="25">
        <f>IF(A183="","",SUMIFS(Parcelas!$E$5:$E$404,Parcelas!$A$5:$A$404,A183,Parcelas!$H$5:$H$404,"Paga"))</f>
        <v/>
      </c>
      <c r="H183" s="25">
        <f>IF(A183="","",F183-G183)</f>
        <v/>
      </c>
      <c r="I183" s="25">
        <f>IF(A183="","",SUMIFS(Parcelas!$E$5:$E$404,Parcelas!$A$5:$A$404,A183,Parcelas!$H$5:$H$404,"Vencida"))</f>
        <v/>
      </c>
      <c r="J183" s="25">
        <f>IF(OR(A183="",E183=0),"",D183-F183)</f>
        <v/>
      </c>
    </row>
    <row r="184">
      <c r="A184" s="32" t="n"/>
      <c r="B184" s="32" t="n"/>
      <c r="C184" s="34" t="n"/>
      <c r="D184" s="36" t="n"/>
      <c r="E184" s="24">
        <f>IF(A184="","",COUNTIFS(Parcelas!$A$5:$A$404,A184))</f>
        <v/>
      </c>
      <c r="F184" s="25">
        <f>IF(A184="","",SUMIFS(Parcelas!$E$5:$E$404,Parcelas!$A$5:$A$404,A184))</f>
        <v/>
      </c>
      <c r="G184" s="25">
        <f>IF(A184="","",SUMIFS(Parcelas!$E$5:$E$404,Parcelas!$A$5:$A$404,A184,Parcelas!$H$5:$H$404,"Paga"))</f>
        <v/>
      </c>
      <c r="H184" s="25">
        <f>IF(A184="","",F184-G184)</f>
        <v/>
      </c>
      <c r="I184" s="25">
        <f>IF(A184="","",SUMIFS(Parcelas!$E$5:$E$404,Parcelas!$A$5:$A$404,A184,Parcelas!$H$5:$H$404,"Vencida"))</f>
        <v/>
      </c>
      <c r="J184" s="25">
        <f>IF(OR(A184="",E184=0),"",D184-F184)</f>
        <v/>
      </c>
    </row>
    <row r="185">
      <c r="A185" s="32" t="n"/>
      <c r="B185" s="32" t="n"/>
      <c r="C185" s="34" t="n"/>
      <c r="D185" s="36" t="n"/>
      <c r="E185" s="24">
        <f>IF(A185="","",COUNTIFS(Parcelas!$A$5:$A$404,A185))</f>
        <v/>
      </c>
      <c r="F185" s="25">
        <f>IF(A185="","",SUMIFS(Parcelas!$E$5:$E$404,Parcelas!$A$5:$A$404,A185))</f>
        <v/>
      </c>
      <c r="G185" s="25">
        <f>IF(A185="","",SUMIFS(Parcelas!$E$5:$E$404,Parcelas!$A$5:$A$404,A185,Parcelas!$H$5:$H$404,"Paga"))</f>
        <v/>
      </c>
      <c r="H185" s="25">
        <f>IF(A185="","",F185-G185)</f>
        <v/>
      </c>
      <c r="I185" s="25">
        <f>IF(A185="","",SUMIFS(Parcelas!$E$5:$E$404,Parcelas!$A$5:$A$404,A185,Parcelas!$H$5:$H$404,"Vencida"))</f>
        <v/>
      </c>
      <c r="J185" s="25">
        <f>IF(OR(A185="",E185=0),"",D185-F185)</f>
        <v/>
      </c>
    </row>
    <row r="186">
      <c r="A186" s="32" t="n"/>
      <c r="B186" s="32" t="n"/>
      <c r="C186" s="34" t="n"/>
      <c r="D186" s="36" t="n"/>
      <c r="E186" s="24">
        <f>IF(A186="","",COUNTIFS(Parcelas!$A$5:$A$404,A186))</f>
        <v/>
      </c>
      <c r="F186" s="25">
        <f>IF(A186="","",SUMIFS(Parcelas!$E$5:$E$404,Parcelas!$A$5:$A$404,A186))</f>
        <v/>
      </c>
      <c r="G186" s="25">
        <f>IF(A186="","",SUMIFS(Parcelas!$E$5:$E$404,Parcelas!$A$5:$A$404,A186,Parcelas!$H$5:$H$404,"Paga"))</f>
        <v/>
      </c>
      <c r="H186" s="25">
        <f>IF(A186="","",F186-G186)</f>
        <v/>
      </c>
      <c r="I186" s="25">
        <f>IF(A186="","",SUMIFS(Parcelas!$E$5:$E$404,Parcelas!$A$5:$A$404,A186,Parcelas!$H$5:$H$404,"Vencida"))</f>
        <v/>
      </c>
      <c r="J186" s="25">
        <f>IF(OR(A186="",E186=0),"",D186-F186)</f>
        <v/>
      </c>
    </row>
    <row r="187">
      <c r="A187" s="32" t="n"/>
      <c r="B187" s="32" t="n"/>
      <c r="C187" s="34" t="n"/>
      <c r="D187" s="36" t="n"/>
      <c r="E187" s="24">
        <f>IF(A187="","",COUNTIFS(Parcelas!$A$5:$A$404,A187))</f>
        <v/>
      </c>
      <c r="F187" s="25">
        <f>IF(A187="","",SUMIFS(Parcelas!$E$5:$E$404,Parcelas!$A$5:$A$404,A187))</f>
        <v/>
      </c>
      <c r="G187" s="25">
        <f>IF(A187="","",SUMIFS(Parcelas!$E$5:$E$404,Parcelas!$A$5:$A$404,A187,Parcelas!$H$5:$H$404,"Paga"))</f>
        <v/>
      </c>
      <c r="H187" s="25">
        <f>IF(A187="","",F187-G187)</f>
        <v/>
      </c>
      <c r="I187" s="25">
        <f>IF(A187="","",SUMIFS(Parcelas!$E$5:$E$404,Parcelas!$A$5:$A$404,A187,Parcelas!$H$5:$H$404,"Vencida"))</f>
        <v/>
      </c>
      <c r="J187" s="25">
        <f>IF(OR(A187="",E187=0),"",D187-F187)</f>
        <v/>
      </c>
    </row>
    <row r="188">
      <c r="A188" s="32" t="n"/>
      <c r="B188" s="32" t="n"/>
      <c r="C188" s="34" t="n"/>
      <c r="D188" s="36" t="n"/>
      <c r="E188" s="24">
        <f>IF(A188="","",COUNTIFS(Parcelas!$A$5:$A$404,A188))</f>
        <v/>
      </c>
      <c r="F188" s="25">
        <f>IF(A188="","",SUMIFS(Parcelas!$E$5:$E$404,Parcelas!$A$5:$A$404,A188))</f>
        <v/>
      </c>
      <c r="G188" s="25">
        <f>IF(A188="","",SUMIFS(Parcelas!$E$5:$E$404,Parcelas!$A$5:$A$404,A188,Parcelas!$H$5:$H$404,"Paga"))</f>
        <v/>
      </c>
      <c r="H188" s="25">
        <f>IF(A188="","",F188-G188)</f>
        <v/>
      </c>
      <c r="I188" s="25">
        <f>IF(A188="","",SUMIFS(Parcelas!$E$5:$E$404,Parcelas!$A$5:$A$404,A188,Parcelas!$H$5:$H$404,"Vencida"))</f>
        <v/>
      </c>
      <c r="J188" s="25">
        <f>IF(OR(A188="",E188=0),"",D188-F188)</f>
        <v/>
      </c>
    </row>
    <row r="189">
      <c r="A189" s="32" t="n"/>
      <c r="B189" s="32" t="n"/>
      <c r="C189" s="34" t="n"/>
      <c r="D189" s="36" t="n"/>
      <c r="E189" s="24">
        <f>IF(A189="","",COUNTIFS(Parcelas!$A$5:$A$404,A189))</f>
        <v/>
      </c>
      <c r="F189" s="25">
        <f>IF(A189="","",SUMIFS(Parcelas!$E$5:$E$404,Parcelas!$A$5:$A$404,A189))</f>
        <v/>
      </c>
      <c r="G189" s="25">
        <f>IF(A189="","",SUMIFS(Parcelas!$E$5:$E$404,Parcelas!$A$5:$A$404,A189,Parcelas!$H$5:$H$404,"Paga"))</f>
        <v/>
      </c>
      <c r="H189" s="25">
        <f>IF(A189="","",F189-G189)</f>
        <v/>
      </c>
      <c r="I189" s="25">
        <f>IF(A189="","",SUMIFS(Parcelas!$E$5:$E$404,Parcelas!$A$5:$A$404,A189,Parcelas!$H$5:$H$404,"Vencida"))</f>
        <v/>
      </c>
      <c r="J189" s="25">
        <f>IF(OR(A189="",E189=0),"",D189-F189)</f>
        <v/>
      </c>
    </row>
    <row r="190">
      <c r="A190" s="32" t="n"/>
      <c r="B190" s="32" t="n"/>
      <c r="C190" s="34" t="n"/>
      <c r="D190" s="36" t="n"/>
      <c r="E190" s="24">
        <f>IF(A190="","",COUNTIFS(Parcelas!$A$5:$A$404,A190))</f>
        <v/>
      </c>
      <c r="F190" s="25">
        <f>IF(A190="","",SUMIFS(Parcelas!$E$5:$E$404,Parcelas!$A$5:$A$404,A190))</f>
        <v/>
      </c>
      <c r="G190" s="25">
        <f>IF(A190="","",SUMIFS(Parcelas!$E$5:$E$404,Parcelas!$A$5:$A$404,A190,Parcelas!$H$5:$H$404,"Paga"))</f>
        <v/>
      </c>
      <c r="H190" s="25">
        <f>IF(A190="","",F190-G190)</f>
        <v/>
      </c>
      <c r="I190" s="25">
        <f>IF(A190="","",SUMIFS(Parcelas!$E$5:$E$404,Parcelas!$A$5:$A$404,A190,Parcelas!$H$5:$H$404,"Vencida"))</f>
        <v/>
      </c>
      <c r="J190" s="25">
        <f>IF(OR(A190="",E190=0),"",D190-F190)</f>
        <v/>
      </c>
    </row>
    <row r="191">
      <c r="A191" s="32" t="n"/>
      <c r="B191" s="32" t="n"/>
      <c r="C191" s="34" t="n"/>
      <c r="D191" s="36" t="n"/>
      <c r="E191" s="24">
        <f>IF(A191="","",COUNTIFS(Parcelas!$A$5:$A$404,A191))</f>
        <v/>
      </c>
      <c r="F191" s="25">
        <f>IF(A191="","",SUMIFS(Parcelas!$E$5:$E$404,Parcelas!$A$5:$A$404,A191))</f>
        <v/>
      </c>
      <c r="G191" s="25">
        <f>IF(A191="","",SUMIFS(Parcelas!$E$5:$E$404,Parcelas!$A$5:$A$404,A191,Parcelas!$H$5:$H$404,"Paga"))</f>
        <v/>
      </c>
      <c r="H191" s="25">
        <f>IF(A191="","",F191-G191)</f>
        <v/>
      </c>
      <c r="I191" s="25">
        <f>IF(A191="","",SUMIFS(Parcelas!$E$5:$E$404,Parcelas!$A$5:$A$404,A191,Parcelas!$H$5:$H$404,"Vencida"))</f>
        <v/>
      </c>
      <c r="J191" s="25">
        <f>IF(OR(A191="",E191=0),"",D191-F191)</f>
        <v/>
      </c>
    </row>
    <row r="192">
      <c r="A192" s="32" t="n"/>
      <c r="B192" s="32" t="n"/>
      <c r="C192" s="34" t="n"/>
      <c r="D192" s="36" t="n"/>
      <c r="E192" s="24">
        <f>IF(A192="","",COUNTIFS(Parcelas!$A$5:$A$404,A192))</f>
        <v/>
      </c>
      <c r="F192" s="25">
        <f>IF(A192="","",SUMIFS(Parcelas!$E$5:$E$404,Parcelas!$A$5:$A$404,A192))</f>
        <v/>
      </c>
      <c r="G192" s="25">
        <f>IF(A192="","",SUMIFS(Parcelas!$E$5:$E$404,Parcelas!$A$5:$A$404,A192,Parcelas!$H$5:$H$404,"Paga"))</f>
        <v/>
      </c>
      <c r="H192" s="25">
        <f>IF(A192="","",F192-G192)</f>
        <v/>
      </c>
      <c r="I192" s="25">
        <f>IF(A192="","",SUMIFS(Parcelas!$E$5:$E$404,Parcelas!$A$5:$A$404,A192,Parcelas!$H$5:$H$404,"Vencida"))</f>
        <v/>
      </c>
      <c r="J192" s="25">
        <f>IF(OR(A192="",E192=0),"",D192-F192)</f>
        <v/>
      </c>
    </row>
    <row r="193">
      <c r="A193" s="32" t="n"/>
      <c r="B193" s="32" t="n"/>
      <c r="C193" s="34" t="n"/>
      <c r="D193" s="36" t="n"/>
      <c r="E193" s="24">
        <f>IF(A193="","",COUNTIFS(Parcelas!$A$5:$A$404,A193))</f>
        <v/>
      </c>
      <c r="F193" s="25">
        <f>IF(A193="","",SUMIFS(Parcelas!$E$5:$E$404,Parcelas!$A$5:$A$404,A193))</f>
        <v/>
      </c>
      <c r="G193" s="25">
        <f>IF(A193="","",SUMIFS(Parcelas!$E$5:$E$404,Parcelas!$A$5:$A$404,A193,Parcelas!$H$5:$H$404,"Paga"))</f>
        <v/>
      </c>
      <c r="H193" s="25">
        <f>IF(A193="","",F193-G193)</f>
        <v/>
      </c>
      <c r="I193" s="25">
        <f>IF(A193="","",SUMIFS(Parcelas!$E$5:$E$404,Parcelas!$A$5:$A$404,A193,Parcelas!$H$5:$H$404,"Vencida"))</f>
        <v/>
      </c>
      <c r="J193" s="25">
        <f>IF(OR(A193="",E193=0),"",D193-F193)</f>
        <v/>
      </c>
    </row>
    <row r="194">
      <c r="A194" s="32" t="n"/>
      <c r="B194" s="32" t="n"/>
      <c r="C194" s="34" t="n"/>
      <c r="D194" s="36" t="n"/>
      <c r="E194" s="24">
        <f>IF(A194="","",COUNTIFS(Parcelas!$A$5:$A$404,A194))</f>
        <v/>
      </c>
      <c r="F194" s="25">
        <f>IF(A194="","",SUMIFS(Parcelas!$E$5:$E$404,Parcelas!$A$5:$A$404,A194))</f>
        <v/>
      </c>
      <c r="G194" s="25">
        <f>IF(A194="","",SUMIFS(Parcelas!$E$5:$E$404,Parcelas!$A$5:$A$404,A194,Parcelas!$H$5:$H$404,"Paga"))</f>
        <v/>
      </c>
      <c r="H194" s="25">
        <f>IF(A194="","",F194-G194)</f>
        <v/>
      </c>
      <c r="I194" s="25">
        <f>IF(A194="","",SUMIFS(Parcelas!$E$5:$E$404,Parcelas!$A$5:$A$404,A194,Parcelas!$H$5:$H$404,"Vencida"))</f>
        <v/>
      </c>
      <c r="J194" s="25">
        <f>IF(OR(A194="",E194=0),"",D194-F194)</f>
        <v/>
      </c>
    </row>
    <row r="195">
      <c r="A195" s="32" t="n"/>
      <c r="B195" s="32" t="n"/>
      <c r="C195" s="34" t="n"/>
      <c r="D195" s="36" t="n"/>
      <c r="E195" s="24">
        <f>IF(A195="","",COUNTIFS(Parcelas!$A$5:$A$404,A195))</f>
        <v/>
      </c>
      <c r="F195" s="25">
        <f>IF(A195="","",SUMIFS(Parcelas!$E$5:$E$404,Parcelas!$A$5:$A$404,A195))</f>
        <v/>
      </c>
      <c r="G195" s="25">
        <f>IF(A195="","",SUMIFS(Parcelas!$E$5:$E$404,Parcelas!$A$5:$A$404,A195,Parcelas!$H$5:$H$404,"Paga"))</f>
        <v/>
      </c>
      <c r="H195" s="25">
        <f>IF(A195="","",F195-G195)</f>
        <v/>
      </c>
      <c r="I195" s="25">
        <f>IF(A195="","",SUMIFS(Parcelas!$E$5:$E$404,Parcelas!$A$5:$A$404,A195,Parcelas!$H$5:$H$404,"Vencida"))</f>
        <v/>
      </c>
      <c r="J195" s="25">
        <f>IF(OR(A195="",E195=0),"",D195-F195)</f>
        <v/>
      </c>
    </row>
    <row r="196">
      <c r="A196" s="32" t="n"/>
      <c r="B196" s="32" t="n"/>
      <c r="C196" s="34" t="n"/>
      <c r="D196" s="36" t="n"/>
      <c r="E196" s="24">
        <f>IF(A196="","",COUNTIFS(Parcelas!$A$5:$A$404,A196))</f>
        <v/>
      </c>
      <c r="F196" s="25">
        <f>IF(A196="","",SUMIFS(Parcelas!$E$5:$E$404,Parcelas!$A$5:$A$404,A196))</f>
        <v/>
      </c>
      <c r="G196" s="25">
        <f>IF(A196="","",SUMIFS(Parcelas!$E$5:$E$404,Parcelas!$A$5:$A$404,A196,Parcelas!$H$5:$H$404,"Paga"))</f>
        <v/>
      </c>
      <c r="H196" s="25">
        <f>IF(A196="","",F196-G196)</f>
        <v/>
      </c>
      <c r="I196" s="25">
        <f>IF(A196="","",SUMIFS(Parcelas!$E$5:$E$404,Parcelas!$A$5:$A$404,A196,Parcelas!$H$5:$H$404,"Vencida"))</f>
        <v/>
      </c>
      <c r="J196" s="25">
        <f>IF(OR(A196="",E196=0),"",D196-F196)</f>
        <v/>
      </c>
    </row>
    <row r="197">
      <c r="A197" s="32" t="n"/>
      <c r="B197" s="32" t="n"/>
      <c r="C197" s="34" t="n"/>
      <c r="D197" s="36" t="n"/>
      <c r="E197" s="24">
        <f>IF(A197="","",COUNTIFS(Parcelas!$A$5:$A$404,A197))</f>
        <v/>
      </c>
      <c r="F197" s="25">
        <f>IF(A197="","",SUMIFS(Parcelas!$E$5:$E$404,Parcelas!$A$5:$A$404,A197))</f>
        <v/>
      </c>
      <c r="G197" s="25">
        <f>IF(A197="","",SUMIFS(Parcelas!$E$5:$E$404,Parcelas!$A$5:$A$404,A197,Parcelas!$H$5:$H$404,"Paga"))</f>
        <v/>
      </c>
      <c r="H197" s="25">
        <f>IF(A197="","",F197-G197)</f>
        <v/>
      </c>
      <c r="I197" s="25">
        <f>IF(A197="","",SUMIFS(Parcelas!$E$5:$E$404,Parcelas!$A$5:$A$404,A197,Parcelas!$H$5:$H$404,"Vencida"))</f>
        <v/>
      </c>
      <c r="J197" s="25">
        <f>IF(OR(A197="",E197=0),"",D197-F197)</f>
        <v/>
      </c>
    </row>
    <row r="198">
      <c r="A198" s="32" t="n"/>
      <c r="B198" s="32" t="n"/>
      <c r="C198" s="34" t="n"/>
      <c r="D198" s="36" t="n"/>
      <c r="E198" s="24">
        <f>IF(A198="","",COUNTIFS(Parcelas!$A$5:$A$404,A198))</f>
        <v/>
      </c>
      <c r="F198" s="25">
        <f>IF(A198="","",SUMIFS(Parcelas!$E$5:$E$404,Parcelas!$A$5:$A$404,A198))</f>
        <v/>
      </c>
      <c r="G198" s="25">
        <f>IF(A198="","",SUMIFS(Parcelas!$E$5:$E$404,Parcelas!$A$5:$A$404,A198,Parcelas!$H$5:$H$404,"Paga"))</f>
        <v/>
      </c>
      <c r="H198" s="25">
        <f>IF(A198="","",F198-G198)</f>
        <v/>
      </c>
      <c r="I198" s="25">
        <f>IF(A198="","",SUMIFS(Parcelas!$E$5:$E$404,Parcelas!$A$5:$A$404,A198,Parcelas!$H$5:$H$404,"Vencida"))</f>
        <v/>
      </c>
      <c r="J198" s="25">
        <f>IF(OR(A198="",E198=0),"",D198-F198)</f>
        <v/>
      </c>
    </row>
    <row r="199">
      <c r="A199" s="32" t="n"/>
      <c r="B199" s="32" t="n"/>
      <c r="C199" s="34" t="n"/>
      <c r="D199" s="36" t="n"/>
      <c r="E199" s="24">
        <f>IF(A199="","",COUNTIFS(Parcelas!$A$5:$A$404,A199))</f>
        <v/>
      </c>
      <c r="F199" s="25">
        <f>IF(A199="","",SUMIFS(Parcelas!$E$5:$E$404,Parcelas!$A$5:$A$404,A199))</f>
        <v/>
      </c>
      <c r="G199" s="25">
        <f>IF(A199="","",SUMIFS(Parcelas!$E$5:$E$404,Parcelas!$A$5:$A$404,A199,Parcelas!$H$5:$H$404,"Paga"))</f>
        <v/>
      </c>
      <c r="H199" s="25">
        <f>IF(A199="","",F199-G199)</f>
        <v/>
      </c>
      <c r="I199" s="25">
        <f>IF(A199="","",SUMIFS(Parcelas!$E$5:$E$404,Parcelas!$A$5:$A$404,A199,Parcelas!$H$5:$H$404,"Vencida"))</f>
        <v/>
      </c>
      <c r="J199" s="25">
        <f>IF(OR(A199="",E199=0),"",D199-F199)</f>
        <v/>
      </c>
    </row>
    <row r="200">
      <c r="A200" s="32" t="n"/>
      <c r="B200" s="32" t="n"/>
      <c r="C200" s="34" t="n"/>
      <c r="D200" s="36" t="n"/>
      <c r="E200" s="24">
        <f>IF(A200="","",COUNTIFS(Parcelas!$A$5:$A$404,A200))</f>
        <v/>
      </c>
      <c r="F200" s="25">
        <f>IF(A200="","",SUMIFS(Parcelas!$E$5:$E$404,Parcelas!$A$5:$A$404,A200))</f>
        <v/>
      </c>
      <c r="G200" s="25">
        <f>IF(A200="","",SUMIFS(Parcelas!$E$5:$E$404,Parcelas!$A$5:$A$404,A200,Parcelas!$H$5:$H$404,"Paga"))</f>
        <v/>
      </c>
      <c r="H200" s="25">
        <f>IF(A200="","",F200-G200)</f>
        <v/>
      </c>
      <c r="I200" s="25">
        <f>IF(A200="","",SUMIFS(Parcelas!$E$5:$E$404,Parcelas!$A$5:$A$404,A200,Parcelas!$H$5:$H$404,"Vencida"))</f>
        <v/>
      </c>
      <c r="J200" s="25">
        <f>IF(OR(A200="",E200=0),"",D200-F200)</f>
        <v/>
      </c>
    </row>
    <row r="201">
      <c r="A201" s="32" t="n"/>
      <c r="B201" s="32" t="n"/>
      <c r="C201" s="34" t="n"/>
      <c r="D201" s="36" t="n"/>
      <c r="E201" s="24">
        <f>IF(A201="","",COUNTIFS(Parcelas!$A$5:$A$404,A201))</f>
        <v/>
      </c>
      <c r="F201" s="25">
        <f>IF(A201="","",SUMIFS(Parcelas!$E$5:$E$404,Parcelas!$A$5:$A$404,A201))</f>
        <v/>
      </c>
      <c r="G201" s="25">
        <f>IF(A201="","",SUMIFS(Parcelas!$E$5:$E$404,Parcelas!$A$5:$A$404,A201,Parcelas!$H$5:$H$404,"Paga"))</f>
        <v/>
      </c>
      <c r="H201" s="25">
        <f>IF(A201="","",F201-G201)</f>
        <v/>
      </c>
      <c r="I201" s="25">
        <f>IF(A201="","",SUMIFS(Parcelas!$E$5:$E$404,Parcelas!$A$5:$A$404,A201,Parcelas!$H$5:$H$404,"Vencida"))</f>
        <v/>
      </c>
      <c r="J201" s="25">
        <f>IF(OR(A201="",E201=0),"",D201-F201)</f>
        <v/>
      </c>
    </row>
    <row r="202">
      <c r="A202" s="32" t="n"/>
      <c r="B202" s="32" t="n"/>
      <c r="C202" s="34" t="n"/>
      <c r="D202" s="36" t="n"/>
      <c r="E202" s="24">
        <f>IF(A202="","",COUNTIFS(Parcelas!$A$5:$A$404,A202))</f>
        <v/>
      </c>
      <c r="F202" s="25">
        <f>IF(A202="","",SUMIFS(Parcelas!$E$5:$E$404,Parcelas!$A$5:$A$404,A202))</f>
        <v/>
      </c>
      <c r="G202" s="25">
        <f>IF(A202="","",SUMIFS(Parcelas!$E$5:$E$404,Parcelas!$A$5:$A$404,A202,Parcelas!$H$5:$H$404,"Paga"))</f>
        <v/>
      </c>
      <c r="H202" s="25">
        <f>IF(A202="","",F202-G202)</f>
        <v/>
      </c>
      <c r="I202" s="25">
        <f>IF(A202="","",SUMIFS(Parcelas!$E$5:$E$404,Parcelas!$A$5:$A$404,A202,Parcelas!$H$5:$H$404,"Vencida"))</f>
        <v/>
      </c>
      <c r="J202" s="25">
        <f>IF(OR(A202="",E202=0),"",D202-F202)</f>
        <v/>
      </c>
    </row>
    <row r="203">
      <c r="A203" s="32" t="n"/>
      <c r="B203" s="32" t="n"/>
      <c r="C203" s="34" t="n"/>
      <c r="D203" s="36" t="n"/>
      <c r="E203" s="24">
        <f>IF(A203="","",COUNTIFS(Parcelas!$A$5:$A$404,A203))</f>
        <v/>
      </c>
      <c r="F203" s="25">
        <f>IF(A203="","",SUMIFS(Parcelas!$E$5:$E$404,Parcelas!$A$5:$A$404,A203))</f>
        <v/>
      </c>
      <c r="G203" s="25">
        <f>IF(A203="","",SUMIFS(Parcelas!$E$5:$E$404,Parcelas!$A$5:$A$404,A203,Parcelas!$H$5:$H$404,"Paga"))</f>
        <v/>
      </c>
      <c r="H203" s="25">
        <f>IF(A203="","",F203-G203)</f>
        <v/>
      </c>
      <c r="I203" s="25">
        <f>IF(A203="","",SUMIFS(Parcelas!$E$5:$E$404,Parcelas!$A$5:$A$404,A203,Parcelas!$H$5:$H$404,"Vencida"))</f>
        <v/>
      </c>
      <c r="J203" s="25">
        <f>IF(OR(A203="",E203=0),"",D203-F203)</f>
        <v/>
      </c>
    </row>
    <row r="204">
      <c r="A204" s="32" t="n"/>
      <c r="B204" s="32" t="n"/>
      <c r="C204" s="34" t="n"/>
      <c r="D204" s="36" t="n"/>
      <c r="E204" s="24">
        <f>IF(A204="","",COUNTIFS(Parcelas!$A$5:$A$404,A204))</f>
        <v/>
      </c>
      <c r="F204" s="25">
        <f>IF(A204="","",SUMIFS(Parcelas!$E$5:$E$404,Parcelas!$A$5:$A$404,A204))</f>
        <v/>
      </c>
      <c r="G204" s="25">
        <f>IF(A204="","",SUMIFS(Parcelas!$E$5:$E$404,Parcelas!$A$5:$A$404,A204,Parcelas!$H$5:$H$404,"Paga"))</f>
        <v/>
      </c>
      <c r="H204" s="25">
        <f>IF(A204="","",F204-G204)</f>
        <v/>
      </c>
      <c r="I204" s="25">
        <f>IF(A204="","",SUMIFS(Parcelas!$E$5:$E$404,Parcelas!$A$5:$A$404,A204,Parcelas!$H$5:$H$404,"Vencida"))</f>
        <v/>
      </c>
      <c r="J204" s="25">
        <f>IF(OR(A204="",E204=0),"",D204-F204)</f>
        <v/>
      </c>
    </row>
    <row r="206">
      <c r="A206" s="28" t="inlineStr">
        <is>
          <t>Casos por hora: lance uma parcela por fatura mensal (a diferença em amarelo é o que ainda não foi faturado). Êxito e a parte de êxito do misto só viram parcela no fim do caso: até lá a diferença é o êxito esperado. Cadastre todos os casos, mesmo sem parcela, para a lista ficar completa.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J204"/>
  <mergeCells count="2">
    <mergeCell ref="A1:J1"/>
    <mergeCell ref="A2:J2"/>
  </mergeCells>
  <conditionalFormatting sqref="J5:J204">
    <cfRule type="expression" priority="1" dxfId="1">
      <formula>AND(ISNUMBER(J5),J5&lt;&gt;0)</formula>
    </cfRule>
  </conditionalFormatting>
  <conditionalFormatting sqref="I5:I204">
    <cfRule type="expression" priority="2" dxfId="2">
      <formula>AND(ISNUMBER(I5),I5&gt;0)</formula>
    </cfRule>
  </conditionalFormatting>
  <dataValidations count="1">
    <dataValidation sqref="C5:C204" showDropDown="0" showInputMessage="0" showErrorMessage="1" allowBlank="1" type="list">
      <formula1>"Fixo,Hora,Êxito,Misto"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0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6" customWidth="1" min="2" max="2"/>
    <col width="9" customWidth="1" min="3" max="3"/>
    <col width="12" customWidth="1" min="4" max="4"/>
    <col width="13" customWidth="1" min="5" max="5"/>
    <col width="8" customWidth="1" min="6" max="6"/>
    <col width="13" customWidth="1" min="7" max="7"/>
    <col width="13" customWidth="1" min="8" max="8"/>
    <col width="9" customWidth="1" min="9" max="9"/>
    <col width="9" customWidth="1" min="10" max="10"/>
    <col width="16" customWidth="1" min="11" max="11"/>
    <col width="60" customWidth="1" min="12" max="12"/>
    <col hidden="1" width="13" customWidth="1" min="13" max="13"/>
    <col hidden="1" width="13" customWidth="1" min="14" max="14"/>
  </cols>
  <sheetData>
    <row r="1" ht="28" customHeight="1">
      <c r="A1" s="5" t="inlineStr">
        <is>
          <t>Parcelas</t>
        </is>
      </c>
    </row>
    <row r="2">
      <c r="A2" s="6" t="inlineStr">
        <is>
          <t>Uma linha por parcela. Escolha o caso na lista; cliente, situação, dias e ação da régua são calculados.</t>
        </is>
      </c>
    </row>
    <row r="4" ht="26" customHeight="1">
      <c r="A4" s="20" t="inlineStr">
        <is>
          <t>Caso</t>
        </is>
      </c>
      <c r="B4" s="20" t="inlineStr">
        <is>
          <t>Cliente</t>
        </is>
      </c>
      <c r="C4" s="20" t="inlineStr">
        <is>
          <t>Nº da parcela</t>
        </is>
      </c>
      <c r="D4" s="20" t="inlineStr">
        <is>
          <t>Vencimento</t>
        </is>
      </c>
      <c r="E4" s="20" t="inlineStr">
        <is>
          <t>Valor (R$)</t>
        </is>
      </c>
      <c r="F4" s="20" t="inlineStr">
        <is>
          <t>Pago?</t>
        </is>
      </c>
      <c r="G4" s="20" t="inlineStr">
        <is>
          <t>Data do pagamento</t>
        </is>
      </c>
      <c r="H4" s="20" t="inlineStr">
        <is>
          <t>Situação</t>
        </is>
      </c>
      <c r="I4" s="20" t="inlineStr">
        <is>
          <t>Dias de atraso</t>
        </is>
      </c>
      <c r="J4" s="20" t="inlineStr">
        <is>
          <t>Dias para vencer</t>
        </is>
      </c>
      <c r="K4" s="20" t="inlineStr">
        <is>
          <t>Faixa de atraso</t>
        </is>
      </c>
      <c r="L4" s="20" t="inlineStr">
        <is>
          <t>Ação sugerida (régua)</t>
        </is>
      </c>
    </row>
    <row r="5">
      <c r="A5" s="32" t="inlineStr">
        <is>
          <t>CONS-2026-01</t>
        </is>
      </c>
      <c r="B5" s="23" t="str">
        <f>IF(A5="","",IFERROR(INDEX(Casos!$B$5:$B$204,MATCH(A5,Casos!$A$5:$A$204,0)),""))</f>
        <v>Padaria do Sol Ltda</v>
      </c>
      <c r="C5" s="34" t="n">
        <v>1</v>
      </c>
      <c r="D5" s="37" t="n">
        <v>46208</v>
      </c>
      <c r="E5" s="36" t="n">
        <v>1500</v>
      </c>
      <c r="F5" s="34" t="inlineStr">
        <is>
          <t>Sim</t>
        </is>
      </c>
      <c r="G5" s="37" t="n">
        <v>46209</v>
      </c>
      <c r="H5" s="24" t="str">
        <f>IF(A5="","",IF(F5="Sim","Paga",IF(D5="","Sem vencimento",IF(D5&lt;Config!$B$5,"Vencida","A vencer"))))</f>
        <v>Paga</v>
      </c>
      <c r="I5" s="30">
        <f>IF(H5="Vencida",Config!$B$5-D5,"")</f>
        <v/>
      </c>
      <c r="J5" s="30">
        <f>IF(H5="A vencer",D5-Config!$B$5,"")</f>
        <v/>
      </c>
      <c r="K5" s="24">
        <f>IF(H5&lt;&gt;"Vencida","",IF(COUNTIF(Config!$A$10:$A$13,"&lt;="&amp;I5)=0,"Antes da régua",INDEX(Config!$C$10:$C$13,COUNTIF(Config!$A$10:$A$13,"&lt;="&amp;I5))))</f>
        <v/>
      </c>
      <c r="L5" s="23">
        <f>IF(H5&lt;&gt;"Vencida","",IF(COUNTIF(Config!$A$10:$A$13,"&lt;="&amp;I5)=0,"Aguardar: ainda não chegou ao primeiro passo da régua.",INDEX(Config!$B$10:$B$13,COUNTIF(Config!$A$10:$A$13,"&lt;="&amp;I5))))</f>
        <v/>
      </c>
      <c r="M5" s="38">
        <f>IF(H5="Vencida",E5*I5+ROW()/100000,0)</f>
        <v>0</v>
      </c>
      <c r="N5" s="38">
        <f>IF(AND(H5="A vencer",J5&lt;=Config!$B$7),100000-J5-ROW()/100000,0)</f>
        <v>0</v>
      </c>
    </row>
    <row r="6">
      <c r="A6" s="32" t="inlineStr">
        <is>
          <t>CONS-2026-01</t>
        </is>
      </c>
      <c r="B6" s="23" t="str">
        <f>IF(A6="","",IFERROR(INDEX(Casos!$B$5:$B$204,MATCH(A6,Casos!$A$5:$A$204,0)),""))</f>
        <v>Padaria do Sol Ltda</v>
      </c>
      <c r="C6" s="34" t="n">
        <v>2</v>
      </c>
      <c r="D6" s="37" t="n">
        <v>46239</v>
      </c>
      <c r="E6" s="36" t="n">
        <v>1500</v>
      </c>
      <c r="F6" s="34" t="inlineStr">
        <is>
          <t>Sim</t>
        </is>
      </c>
      <c r="G6" s="37" t="n">
        <v>46239</v>
      </c>
      <c r="H6" s="24" t="str">
        <f>IF(A6="","",IF(F6="Sim","Paga",IF(D6="","Sem vencimento",IF(D6&lt;Config!$B$5,"Vencida","A vencer"))))</f>
        <v>Paga</v>
      </c>
      <c r="I6" s="30">
        <f>IF(H6="Vencida",Config!$B$5-D6,"")</f>
        <v/>
      </c>
      <c r="J6" s="30">
        <f>IF(H6="A vencer",D6-Config!$B$5,"")</f>
        <v/>
      </c>
      <c r="K6" s="24">
        <f>IF(H6&lt;&gt;"Vencida","",IF(COUNTIF(Config!$A$10:$A$13,"&lt;="&amp;I6)=0,"Antes da régua",INDEX(Config!$C$10:$C$13,COUNTIF(Config!$A$10:$A$13,"&lt;="&amp;I6))))</f>
        <v/>
      </c>
      <c r="L6" s="23">
        <f>IF(H6&lt;&gt;"Vencida","",IF(COUNTIF(Config!$A$10:$A$13,"&lt;="&amp;I6)=0,"Aguardar: ainda não chegou ao primeiro passo da régua.",INDEX(Config!$B$10:$B$13,COUNTIF(Config!$A$10:$A$13,"&lt;="&amp;I6))))</f>
        <v/>
      </c>
      <c r="M6" s="38">
        <f>IF(H6="Vencida",E6*I6+ROW()/100000,0)</f>
        <v>0</v>
      </c>
      <c r="N6" s="38">
        <f>IF(AND(H6="A vencer",J6&lt;=Config!$B$7),100000-J6-ROW()/100000,0)</f>
        <v>0</v>
      </c>
    </row>
    <row r="7">
      <c r="A7" s="32" t="inlineStr">
        <is>
          <t>CONS-2026-01</t>
        </is>
      </c>
      <c r="B7" s="23" t="str">
        <f>IF(A7="","",IFERROR(INDEX(Casos!$B$5:$B$204,MATCH(A7,Casos!$A$5:$A$204,0)),""))</f>
        <v>Padaria do Sol Ltda</v>
      </c>
      <c r="C7" s="34" t="n">
        <v>3</v>
      </c>
      <c r="D7" s="37" t="n">
        <v>46270</v>
      </c>
      <c r="E7" s="36" t="n">
        <v>1500</v>
      </c>
      <c r="F7" s="34" t="inlineStr">
        <is>
          <t>Sim</t>
        </is>
      </c>
      <c r="G7" s="37" t="n">
        <v>46273</v>
      </c>
      <c r="H7" s="24" t="str">
        <f>IF(A7="","",IF(F7="Sim","Paga",IF(D7="","Sem vencimento",IF(D7&lt;Config!$B$5,"Vencida","A vencer"))))</f>
        <v>Paga</v>
      </c>
      <c r="I7" s="30">
        <f>IF(H7="Vencida",Config!$B$5-D7,"")</f>
        <v/>
      </c>
      <c r="J7" s="30">
        <f>IF(H7="A vencer",D7-Config!$B$5,"")</f>
        <v/>
      </c>
      <c r="K7" s="24">
        <f>IF(H7&lt;&gt;"Vencida","",IF(COUNTIF(Config!$A$10:$A$13,"&lt;="&amp;I7)=0,"Antes da régua",INDEX(Config!$C$10:$C$13,COUNTIF(Config!$A$10:$A$13,"&lt;="&amp;I7))))</f>
        <v/>
      </c>
      <c r="L7" s="23">
        <f>IF(H7&lt;&gt;"Vencida","",IF(COUNTIF(Config!$A$10:$A$13,"&lt;="&amp;I7)=0,"Aguardar: ainda não chegou ao primeiro passo da régua.",INDEX(Config!$B$10:$B$13,COUNTIF(Config!$A$10:$A$13,"&lt;="&amp;I7))))</f>
        <v/>
      </c>
      <c r="M7" s="38">
        <f>IF(H7="Vencida",E7*I7+ROW()/100000,0)</f>
        <v>0</v>
      </c>
      <c r="N7" s="38">
        <f>IF(AND(H7="A vencer",J7&lt;=Config!$B$7),100000-J7-ROW()/100000,0)</f>
        <v>0</v>
      </c>
    </row>
    <row r="8">
      <c r="A8" s="32" t="inlineStr">
        <is>
          <t>CONS-2026-01</t>
        </is>
      </c>
      <c r="B8" s="23" t="str">
        <f>IF(A8="","",IFERROR(INDEX(Casos!$B$5:$B$204,MATCH(A8,Casos!$A$5:$A$204,0)),""))</f>
        <v>Padaria do Sol Ltda</v>
      </c>
      <c r="C8" s="34" t="n">
        <v>4</v>
      </c>
      <c r="D8" s="37" t="n">
        <v>46300</v>
      </c>
      <c r="E8" s="36" t="n">
        <v>1500</v>
      </c>
      <c r="F8" s="34" t="inlineStr">
        <is>
          <t>Não</t>
        </is>
      </c>
      <c r="G8" s="37" t="n"/>
      <c r="H8" s="24" t="str">
        <f>IF(A8="","",IF(F8="Sim","Paga",IF(D8="","Sem vencimento",IF(D8&lt;Config!$B$5,"Vencida","A vencer"))))</f>
        <v>A vencer</v>
      </c>
      <c r="I8" s="30">
        <f>IF(H8="Vencida",Config!$B$5-D8,"")</f>
        <v/>
      </c>
      <c r="J8" s="30">
        <f>IF(H8="A vencer",D8-Config!$B$5,"")</f>
        <v>21</v>
      </c>
      <c r="K8" s="24">
        <f>IF(H8&lt;&gt;"Vencida","",IF(COUNTIF(Config!$A$10:$A$13,"&lt;="&amp;I8)=0,"Antes da régua",INDEX(Config!$C$10:$C$13,COUNTIF(Config!$A$10:$A$13,"&lt;="&amp;I8))))</f>
        <v/>
      </c>
      <c r="L8" s="23">
        <f>IF(H8&lt;&gt;"Vencida","",IF(COUNTIF(Config!$A$10:$A$13,"&lt;="&amp;I8)=0,"Aguardar: ainda não chegou ao primeiro passo da régua.",INDEX(Config!$B$10:$B$13,COUNTIF(Config!$A$10:$A$13,"&lt;="&amp;I8))))</f>
        <v/>
      </c>
      <c r="M8" s="38">
        <f>IF(H8="Vencida",E8*I8+ROW()/100000,0)</f>
        <v>0</v>
      </c>
      <c r="N8" s="38">
        <f>IF(AND(H8="A vencer",J8&lt;=Config!$B$7),100000-J8-ROW()/100000,0)</f>
        <v>99978.99992</v>
      </c>
    </row>
    <row r="9">
      <c r="A9" s="32" t="inlineStr">
        <is>
          <t>CONS-2026-01</t>
        </is>
      </c>
      <c r="B9" s="23" t="str">
        <f>IF(A9="","",IFERROR(INDEX(Casos!$B$5:$B$204,MATCH(A9,Casos!$A$5:$A$204,0)),""))</f>
        <v>Padaria do Sol Ltda</v>
      </c>
      <c r="C9" s="34" t="n">
        <v>5</v>
      </c>
      <c r="D9" s="37" t="n">
        <v>46331</v>
      </c>
      <c r="E9" s="36" t="n">
        <v>1500</v>
      </c>
      <c r="F9" s="34" t="inlineStr">
        <is>
          <t>Não</t>
        </is>
      </c>
      <c r="G9" s="37" t="n"/>
      <c r="H9" s="24" t="str">
        <f>IF(A9="","",IF(F9="Sim","Paga",IF(D9="","Sem vencimento",IF(D9&lt;Config!$B$5,"Vencida","A vencer"))))</f>
        <v>A vencer</v>
      </c>
      <c r="I9" s="30">
        <f>IF(H9="Vencida",Config!$B$5-D9,"")</f>
        <v/>
      </c>
      <c r="J9" s="30">
        <f>IF(H9="A vencer",D9-Config!$B$5,"")</f>
        <v>52</v>
      </c>
      <c r="K9" s="24">
        <f>IF(H9&lt;&gt;"Vencida","",IF(COUNTIF(Config!$A$10:$A$13,"&lt;="&amp;I9)=0,"Antes da régua",INDEX(Config!$C$10:$C$13,COUNTIF(Config!$A$10:$A$13,"&lt;="&amp;I9))))</f>
        <v/>
      </c>
      <c r="L9" s="23">
        <f>IF(H9&lt;&gt;"Vencida","",IF(COUNTIF(Config!$A$10:$A$13,"&lt;="&amp;I9)=0,"Aguardar: ainda não chegou ao primeiro passo da régua.",INDEX(Config!$B$10:$B$13,COUNTIF(Config!$A$10:$A$13,"&lt;="&amp;I9))))</f>
        <v/>
      </c>
      <c r="M9" s="38">
        <f>IF(H9="Vencida",E9*I9+ROW()/100000,0)</f>
        <v>0</v>
      </c>
      <c r="N9" s="38">
        <f>IF(AND(H9="A vencer",J9&lt;=Config!$B$7),100000-J9-ROW()/100000,0)</f>
        <v>0</v>
      </c>
    </row>
    <row r="10">
      <c r="A10" s="32" t="inlineStr">
        <is>
          <t>CONS-2026-01</t>
        </is>
      </c>
      <c r="B10" s="23" t="str">
        <f>IF(A10="","",IFERROR(INDEX(Casos!$B$5:$B$204,MATCH(A10,Casos!$A$5:$A$204,0)),""))</f>
        <v>Padaria do Sol Ltda</v>
      </c>
      <c r="C10" s="34" t="n">
        <v>6</v>
      </c>
      <c r="D10" s="37" t="n">
        <v>46361</v>
      </c>
      <c r="E10" s="36" t="n">
        <v>1500</v>
      </c>
      <c r="F10" s="34" t="inlineStr">
        <is>
          <t>Não</t>
        </is>
      </c>
      <c r="G10" s="37" t="n"/>
      <c r="H10" s="24" t="str">
        <f>IF(A10="","",IF(F10="Sim","Paga",IF(D10="","Sem vencimento",IF(D10&lt;Config!$B$5,"Vencida","A vencer"))))</f>
        <v>A vencer</v>
      </c>
      <c r="I10" s="30">
        <f>IF(H10="Vencida",Config!$B$5-D10,"")</f>
        <v/>
      </c>
      <c r="J10" s="30">
        <f>IF(H10="A vencer",D10-Config!$B$5,"")</f>
        <v>82</v>
      </c>
      <c r="K10" s="24">
        <f>IF(H10&lt;&gt;"Vencida","",IF(COUNTIF(Config!$A$10:$A$13,"&lt;="&amp;I10)=0,"Antes da régua",INDEX(Config!$C$10:$C$13,COUNTIF(Config!$A$10:$A$13,"&lt;="&amp;I10))))</f>
        <v/>
      </c>
      <c r="L10" s="23">
        <f>IF(H10&lt;&gt;"Vencida","",IF(COUNTIF(Config!$A$10:$A$13,"&lt;="&amp;I10)=0,"Aguardar: ainda não chegou ao primeiro passo da régua.",INDEX(Config!$B$10:$B$13,COUNTIF(Config!$A$10:$A$13,"&lt;="&amp;I10))))</f>
        <v/>
      </c>
      <c r="M10" s="38">
        <f>IF(H10="Vencida",E10*I10+ROW()/100000,0)</f>
        <v>0</v>
      </c>
      <c r="N10" s="38">
        <f>IF(AND(H10="A vencer",J10&lt;=Config!$B$7),100000-J10-ROW()/100000,0)</f>
        <v>0</v>
      </c>
    </row>
    <row r="11">
      <c r="A11" s="32" t="inlineStr">
        <is>
          <t>CONS-2026-01</t>
        </is>
      </c>
      <c r="B11" s="23" t="str">
        <f>IF(A11="","",IFERROR(INDEX(Casos!$B$5:$B$204,MATCH(A11,Casos!$A$5:$A$204,0)),""))</f>
        <v>Padaria do Sol Ltda</v>
      </c>
      <c r="C11" s="34" t="n">
        <v>7</v>
      </c>
      <c r="D11" s="37" t="n">
        <v>46392</v>
      </c>
      <c r="E11" s="36" t="n">
        <v>1500</v>
      </c>
      <c r="F11" s="34" t="inlineStr">
        <is>
          <t>Não</t>
        </is>
      </c>
      <c r="G11" s="37" t="n"/>
      <c r="H11" s="24" t="str">
        <f>IF(A11="","",IF(F11="Sim","Paga",IF(D11="","Sem vencimento",IF(D11&lt;Config!$B$5,"Vencida","A vencer"))))</f>
        <v>A vencer</v>
      </c>
      <c r="I11" s="30">
        <f>IF(H11="Vencida",Config!$B$5-D11,"")</f>
        <v/>
      </c>
      <c r="J11" s="30">
        <f>IF(H11="A vencer",D11-Config!$B$5,"")</f>
        <v>113</v>
      </c>
      <c r="K11" s="24">
        <f>IF(H11&lt;&gt;"Vencida","",IF(COUNTIF(Config!$A$10:$A$13,"&lt;="&amp;I11)=0,"Antes da régua",INDEX(Config!$C$10:$C$13,COUNTIF(Config!$A$10:$A$13,"&lt;="&amp;I11))))</f>
        <v/>
      </c>
      <c r="L11" s="23">
        <f>IF(H11&lt;&gt;"Vencida","",IF(COUNTIF(Config!$A$10:$A$13,"&lt;="&amp;I11)=0,"Aguardar: ainda não chegou ao primeiro passo da régua.",INDEX(Config!$B$10:$B$13,COUNTIF(Config!$A$10:$A$13,"&lt;="&amp;I11))))</f>
        <v/>
      </c>
      <c r="M11" s="38">
        <f>IF(H11="Vencida",E11*I11+ROW()/100000,0)</f>
        <v>0</v>
      </c>
      <c r="N11" s="38">
        <f>IF(AND(H11="A vencer",J11&lt;=Config!$B$7),100000-J11-ROW()/100000,0)</f>
        <v>0</v>
      </c>
    </row>
    <row r="12">
      <c r="A12" s="32" t="inlineStr">
        <is>
          <t>CONS-2026-01</t>
        </is>
      </c>
      <c r="B12" s="23" t="str">
        <f>IF(A12="","",IFERROR(INDEX(Casos!$B$5:$B$204,MATCH(A12,Casos!$A$5:$A$204,0)),""))</f>
        <v>Padaria do Sol Ltda</v>
      </c>
      <c r="C12" s="34" t="n">
        <v>8</v>
      </c>
      <c r="D12" s="37" t="n">
        <v>46423</v>
      </c>
      <c r="E12" s="36" t="n">
        <v>1500</v>
      </c>
      <c r="F12" s="34" t="inlineStr">
        <is>
          <t>Não</t>
        </is>
      </c>
      <c r="G12" s="37" t="n"/>
      <c r="H12" s="24" t="str">
        <f>IF(A12="","",IF(F12="Sim","Paga",IF(D12="","Sem vencimento",IF(D12&lt;Config!$B$5,"Vencida","A vencer"))))</f>
        <v>A vencer</v>
      </c>
      <c r="I12" s="30">
        <f>IF(H12="Vencida",Config!$B$5-D12,"")</f>
        <v/>
      </c>
      <c r="J12" s="30">
        <f>IF(H12="A vencer",D12-Config!$B$5,"")</f>
        <v>144</v>
      </c>
      <c r="K12" s="24">
        <f>IF(H12&lt;&gt;"Vencida","",IF(COUNTIF(Config!$A$10:$A$13,"&lt;="&amp;I12)=0,"Antes da régua",INDEX(Config!$C$10:$C$13,COUNTIF(Config!$A$10:$A$13,"&lt;="&amp;I12))))</f>
        <v/>
      </c>
      <c r="L12" s="23">
        <f>IF(H12&lt;&gt;"Vencida","",IF(COUNTIF(Config!$A$10:$A$13,"&lt;="&amp;I12)=0,"Aguardar: ainda não chegou ao primeiro passo da régua.",INDEX(Config!$B$10:$B$13,COUNTIF(Config!$A$10:$A$13,"&lt;="&amp;I12))))</f>
        <v/>
      </c>
      <c r="M12" s="38">
        <f>IF(H12="Vencida",E12*I12+ROW()/100000,0)</f>
        <v>0</v>
      </c>
      <c r="N12" s="38">
        <f>IF(AND(H12="A vencer",J12&lt;=Config!$B$7),100000-J12-ROW()/100000,0)</f>
        <v>0</v>
      </c>
    </row>
    <row r="13">
      <c r="A13" s="32" t="inlineStr">
        <is>
          <t>CONS-2026-01</t>
        </is>
      </c>
      <c r="B13" s="23" t="str">
        <f>IF(A13="","",IFERROR(INDEX(Casos!$B$5:$B$204,MATCH(A13,Casos!$A$5:$A$204,0)),""))</f>
        <v>Padaria do Sol Ltda</v>
      </c>
      <c r="C13" s="34" t="n">
        <v>9</v>
      </c>
      <c r="D13" s="37" t="n">
        <v>46451</v>
      </c>
      <c r="E13" s="36" t="n">
        <v>1500</v>
      </c>
      <c r="F13" s="34" t="inlineStr">
        <is>
          <t>Não</t>
        </is>
      </c>
      <c r="G13" s="37" t="n"/>
      <c r="H13" s="24" t="str">
        <f>IF(A13="","",IF(F13="Sim","Paga",IF(D13="","Sem vencimento",IF(D13&lt;Config!$B$5,"Vencida","A vencer"))))</f>
        <v>A vencer</v>
      </c>
      <c r="I13" s="30">
        <f>IF(H13="Vencida",Config!$B$5-D13,"")</f>
        <v/>
      </c>
      <c r="J13" s="30">
        <f>IF(H13="A vencer",D13-Config!$B$5,"")</f>
        <v>172</v>
      </c>
      <c r="K13" s="24">
        <f>IF(H13&lt;&gt;"Vencida","",IF(COUNTIF(Config!$A$10:$A$13,"&lt;="&amp;I13)=0,"Antes da régua",INDEX(Config!$C$10:$C$13,COUNTIF(Config!$A$10:$A$13,"&lt;="&amp;I13))))</f>
        <v/>
      </c>
      <c r="L13" s="23">
        <f>IF(H13&lt;&gt;"Vencida","",IF(COUNTIF(Config!$A$10:$A$13,"&lt;="&amp;I13)=0,"Aguardar: ainda não chegou ao primeiro passo da régua.",INDEX(Config!$B$10:$B$13,COUNTIF(Config!$A$10:$A$13,"&lt;="&amp;I13))))</f>
        <v/>
      </c>
      <c r="M13" s="38">
        <f>IF(H13="Vencida",E13*I13+ROW()/100000,0)</f>
        <v>0</v>
      </c>
      <c r="N13" s="38">
        <f>IF(AND(H13="A vencer",J13&lt;=Config!$B$7),100000-J13-ROW()/100000,0)</f>
        <v>0</v>
      </c>
    </row>
    <row r="14">
      <c r="A14" s="32" t="inlineStr">
        <is>
          <t>CONS-2026-01</t>
        </is>
      </c>
      <c r="B14" s="23" t="str">
        <f>IF(A14="","",IFERROR(INDEX(Casos!$B$5:$B$204,MATCH(A14,Casos!$A$5:$A$204,0)),""))</f>
        <v>Padaria do Sol Ltda</v>
      </c>
      <c r="C14" s="34" t="n">
        <v>10</v>
      </c>
      <c r="D14" s="37" t="n">
        <v>46482</v>
      </c>
      <c r="E14" s="36" t="n">
        <v>1500</v>
      </c>
      <c r="F14" s="34" t="inlineStr">
        <is>
          <t>Não</t>
        </is>
      </c>
      <c r="G14" s="37" t="n"/>
      <c r="H14" s="24" t="str">
        <f>IF(A14="","",IF(F14="Sim","Paga",IF(D14="","Sem vencimento",IF(D14&lt;Config!$B$5,"Vencida","A vencer"))))</f>
        <v>A vencer</v>
      </c>
      <c r="I14" s="30">
        <f>IF(H14="Vencida",Config!$B$5-D14,"")</f>
        <v/>
      </c>
      <c r="J14" s="30">
        <f>IF(H14="A vencer",D14-Config!$B$5,"")</f>
        <v>203</v>
      </c>
      <c r="K14" s="24">
        <f>IF(H14&lt;&gt;"Vencida","",IF(COUNTIF(Config!$A$10:$A$13,"&lt;="&amp;I14)=0,"Antes da régua",INDEX(Config!$C$10:$C$13,COUNTIF(Config!$A$10:$A$13,"&lt;="&amp;I14))))</f>
        <v/>
      </c>
      <c r="L14" s="23">
        <f>IF(H14&lt;&gt;"Vencida","",IF(COUNTIF(Config!$A$10:$A$13,"&lt;="&amp;I14)=0,"Aguardar: ainda não chegou ao primeiro passo da régua.",INDEX(Config!$B$10:$B$13,COUNTIF(Config!$A$10:$A$13,"&lt;="&amp;I14))))</f>
        <v/>
      </c>
      <c r="M14" s="38">
        <f>IF(H14="Vencida",E14*I14+ROW()/100000,0)</f>
        <v>0</v>
      </c>
      <c r="N14" s="38">
        <f>IF(AND(H14="A vencer",J14&lt;=Config!$B$7),100000-J14-ROW()/100000,0)</f>
        <v>0</v>
      </c>
    </row>
    <row r="15">
      <c r="A15" s="32" t="inlineStr">
        <is>
          <t>CONS-2026-01</t>
        </is>
      </c>
      <c r="B15" s="23" t="str">
        <f>IF(A15="","",IFERROR(INDEX(Casos!$B$5:$B$204,MATCH(A15,Casos!$A$5:$A$204,0)),""))</f>
        <v>Padaria do Sol Ltda</v>
      </c>
      <c r="C15" s="34" t="n">
        <v>11</v>
      </c>
      <c r="D15" s="37" t="n">
        <v>46512</v>
      </c>
      <c r="E15" s="36" t="n">
        <v>1500</v>
      </c>
      <c r="F15" s="34" t="inlineStr">
        <is>
          <t>Não</t>
        </is>
      </c>
      <c r="G15" s="37" t="n"/>
      <c r="H15" s="24" t="str">
        <f>IF(A15="","",IF(F15="Sim","Paga",IF(D15="","Sem vencimento",IF(D15&lt;Config!$B$5,"Vencida","A vencer"))))</f>
        <v>A vencer</v>
      </c>
      <c r="I15" s="30">
        <f>IF(H15="Vencida",Config!$B$5-D15,"")</f>
        <v/>
      </c>
      <c r="J15" s="30">
        <f>IF(H15="A vencer",D15-Config!$B$5,"")</f>
        <v>233</v>
      </c>
      <c r="K15" s="24">
        <f>IF(H15&lt;&gt;"Vencida","",IF(COUNTIF(Config!$A$10:$A$13,"&lt;="&amp;I15)=0,"Antes da régua",INDEX(Config!$C$10:$C$13,COUNTIF(Config!$A$10:$A$13,"&lt;="&amp;I15))))</f>
        <v/>
      </c>
      <c r="L15" s="23">
        <f>IF(H15&lt;&gt;"Vencida","",IF(COUNTIF(Config!$A$10:$A$13,"&lt;="&amp;I15)=0,"Aguardar: ainda não chegou ao primeiro passo da régua.",INDEX(Config!$B$10:$B$13,COUNTIF(Config!$A$10:$A$13,"&lt;="&amp;I15))))</f>
        <v/>
      </c>
      <c r="M15" s="38">
        <f>IF(H15="Vencida",E15*I15+ROW()/100000,0)</f>
        <v>0</v>
      </c>
      <c r="N15" s="38">
        <f>IF(AND(H15="A vencer",J15&lt;=Config!$B$7),100000-J15-ROW()/100000,0)</f>
        <v>0</v>
      </c>
    </row>
    <row r="16">
      <c r="A16" s="32" t="inlineStr">
        <is>
          <t>CONS-2026-01</t>
        </is>
      </c>
      <c r="B16" s="23" t="str">
        <f>IF(A16="","",IFERROR(INDEX(Casos!$B$5:$B$204,MATCH(A16,Casos!$A$5:$A$204,0)),""))</f>
        <v>Padaria do Sol Ltda</v>
      </c>
      <c r="C16" s="34" t="n">
        <v>12</v>
      </c>
      <c r="D16" s="37" t="n">
        <v>46543</v>
      </c>
      <c r="E16" s="36" t="n">
        <v>1500</v>
      </c>
      <c r="F16" s="34" t="inlineStr">
        <is>
          <t>Não</t>
        </is>
      </c>
      <c r="G16" s="37" t="n"/>
      <c r="H16" s="24" t="str">
        <f>IF(A16="","",IF(F16="Sim","Paga",IF(D16="","Sem vencimento",IF(D16&lt;Config!$B$5,"Vencida","A vencer"))))</f>
        <v>A vencer</v>
      </c>
      <c r="I16" s="30">
        <f>IF(H16="Vencida",Config!$B$5-D16,"")</f>
        <v/>
      </c>
      <c r="J16" s="30">
        <f>IF(H16="A vencer",D16-Config!$B$5,"")</f>
        <v>264</v>
      </c>
      <c r="K16" s="24">
        <f>IF(H16&lt;&gt;"Vencida","",IF(COUNTIF(Config!$A$10:$A$13,"&lt;="&amp;I16)=0,"Antes da régua",INDEX(Config!$C$10:$C$13,COUNTIF(Config!$A$10:$A$13,"&lt;="&amp;I16))))</f>
        <v/>
      </c>
      <c r="L16" s="23">
        <f>IF(H16&lt;&gt;"Vencida","",IF(COUNTIF(Config!$A$10:$A$13,"&lt;="&amp;I16)=0,"Aguardar: ainda não chegou ao primeiro passo da régua.",INDEX(Config!$B$10:$B$13,COUNTIF(Config!$A$10:$A$13,"&lt;="&amp;I16))))</f>
        <v/>
      </c>
      <c r="M16" s="38">
        <f>IF(H16="Vencida",E16*I16+ROW()/100000,0)</f>
        <v>0</v>
      </c>
      <c r="N16" s="38">
        <f>IF(AND(H16="A vencer",J16&lt;=Config!$B$7),100000-J16-ROW()/100000,0)</f>
        <v>0</v>
      </c>
    </row>
    <row r="17">
      <c r="A17" s="32" t="inlineStr">
        <is>
          <t>9586960-92.2026.8.26.0106</t>
        </is>
      </c>
      <c r="B17" s="23" t="str">
        <f>IF(A17="","",IFERROR(INDEX(Casos!$B$5:$B$204,MATCH(A17,Casos!$A$5:$A$204,0)),""))</f>
        <v>Construtora Horizonte</v>
      </c>
      <c r="C17" s="34" t="n">
        <v>1</v>
      </c>
      <c r="D17" s="37" t="n">
        <v>46232</v>
      </c>
      <c r="E17" s="36" t="n">
        <v>4200</v>
      </c>
      <c r="F17" s="34" t="inlineStr">
        <is>
          <t>Sim</t>
        </is>
      </c>
      <c r="G17" s="37" t="n">
        <v>46232</v>
      </c>
      <c r="H17" s="24" t="str">
        <f>IF(A17="","",IF(F17="Sim","Paga",IF(D17="","Sem vencimento",IF(D17&lt;Config!$B$5,"Vencida","A vencer"))))</f>
        <v>Paga</v>
      </c>
      <c r="I17" s="30">
        <f>IF(H17="Vencida",Config!$B$5-D17,"")</f>
        <v/>
      </c>
      <c r="J17" s="30">
        <f>IF(H17="A vencer",D17-Config!$B$5,"")</f>
        <v/>
      </c>
      <c r="K17" s="24">
        <f>IF(H17&lt;&gt;"Vencida","",IF(COUNTIF(Config!$A$10:$A$13,"&lt;="&amp;I17)=0,"Antes da régua",INDEX(Config!$C$10:$C$13,COUNTIF(Config!$A$10:$A$13,"&lt;="&amp;I17))))</f>
        <v/>
      </c>
      <c r="L17" s="23">
        <f>IF(H17&lt;&gt;"Vencida","",IF(COUNTIF(Config!$A$10:$A$13,"&lt;="&amp;I17)=0,"Aguardar: ainda não chegou ao primeiro passo da régua.",INDEX(Config!$B$10:$B$13,COUNTIF(Config!$A$10:$A$13,"&lt;="&amp;I17))))</f>
        <v/>
      </c>
      <c r="M17" s="38">
        <f>IF(H17="Vencida",E17*I17+ROW()/100000,0)</f>
        <v>0</v>
      </c>
      <c r="N17" s="38">
        <f>IF(AND(H17="A vencer",J17&lt;=Config!$B$7),100000-J17-ROW()/100000,0)</f>
        <v>0</v>
      </c>
    </row>
    <row r="18">
      <c r="A18" s="32" t="inlineStr">
        <is>
          <t>9586960-92.2026.8.26.0106</t>
        </is>
      </c>
      <c r="B18" s="23" t="str">
        <f>IF(A18="","",IFERROR(INDEX(Casos!$B$5:$B$204,MATCH(A18,Casos!$A$5:$A$204,0)),""))</f>
        <v>Construtora Horizonte</v>
      </c>
      <c r="C18" s="34" t="n">
        <v>2</v>
      </c>
      <c r="D18" s="37" t="n">
        <v>46262</v>
      </c>
      <c r="E18" s="36" t="n">
        <v>2100</v>
      </c>
      <c r="F18" s="34" t="inlineStr">
        <is>
          <t>Sim</t>
        </is>
      </c>
      <c r="G18" s="37" t="n">
        <v>46262</v>
      </c>
      <c r="H18" s="24" t="str">
        <f>IF(A18="","",IF(F18="Sim","Paga",IF(D18="","Sem vencimento",IF(D18&lt;Config!$B$5,"Vencida","A vencer"))))</f>
        <v>Paga</v>
      </c>
      <c r="I18" s="30">
        <f>IF(H18="Vencida",Config!$B$5-D18,"")</f>
        <v/>
      </c>
      <c r="J18" s="30">
        <f>IF(H18="A vencer",D18-Config!$B$5,"")</f>
        <v/>
      </c>
      <c r="K18" s="24">
        <f>IF(H18&lt;&gt;"Vencida","",IF(COUNTIF(Config!$A$10:$A$13,"&lt;="&amp;I18)=0,"Antes da régua",INDEX(Config!$C$10:$C$13,COUNTIF(Config!$A$10:$A$13,"&lt;="&amp;I18))))</f>
        <v/>
      </c>
      <c r="L18" s="23">
        <f>IF(H18&lt;&gt;"Vencida","",IF(COUNTIF(Config!$A$10:$A$13,"&lt;="&amp;I18)=0,"Aguardar: ainda não chegou ao primeiro passo da régua.",INDEX(Config!$B$10:$B$13,COUNTIF(Config!$A$10:$A$13,"&lt;="&amp;I18))))</f>
        <v/>
      </c>
      <c r="M18" s="38">
        <f>IF(H18="Vencida",E18*I18+ROW()/100000,0)</f>
        <v>0</v>
      </c>
      <c r="N18" s="38">
        <f>IF(AND(H18="A vencer",J18&lt;=Config!$B$7),100000-J18-ROW()/100000,0)</f>
        <v>0</v>
      </c>
    </row>
    <row r="19">
      <c r="A19" s="32" t="inlineStr">
        <is>
          <t>9586960-92.2026.8.26.0106</t>
        </is>
      </c>
      <c r="B19" s="23" t="str">
        <f>IF(A19="","",IFERROR(INDEX(Casos!$B$5:$B$204,MATCH(A19,Casos!$A$5:$A$204,0)),""))</f>
        <v>Construtora Horizonte</v>
      </c>
      <c r="C19" s="34" t="n">
        <v>3</v>
      </c>
      <c r="D19" s="37" t="n">
        <v>46293</v>
      </c>
      <c r="E19" s="36" t="n">
        <v>2100</v>
      </c>
      <c r="F19" s="34" t="inlineStr">
        <is>
          <t>Não</t>
        </is>
      </c>
      <c r="G19" s="37" t="n"/>
      <c r="H19" s="24" t="str">
        <f>IF(A19="","",IF(F19="Sim","Paga",IF(D19="","Sem vencimento",IF(D19&lt;Config!$B$5,"Vencida","A vencer"))))</f>
        <v>A vencer</v>
      </c>
      <c r="I19" s="30">
        <f>IF(H19="Vencida",Config!$B$5-D19,"")</f>
        <v/>
      </c>
      <c r="J19" s="30">
        <f>IF(H19="A vencer",D19-Config!$B$5,"")</f>
        <v>14</v>
      </c>
      <c r="K19" s="24">
        <f>IF(H19&lt;&gt;"Vencida","",IF(COUNTIF(Config!$A$10:$A$13,"&lt;="&amp;I19)=0,"Antes da régua",INDEX(Config!$C$10:$C$13,COUNTIF(Config!$A$10:$A$13,"&lt;="&amp;I19))))</f>
        <v/>
      </c>
      <c r="L19" s="23">
        <f>IF(H19&lt;&gt;"Vencida","",IF(COUNTIF(Config!$A$10:$A$13,"&lt;="&amp;I19)=0,"Aguardar: ainda não chegou ao primeiro passo da régua.",INDEX(Config!$B$10:$B$13,COUNTIF(Config!$A$10:$A$13,"&lt;="&amp;I19))))</f>
        <v/>
      </c>
      <c r="M19" s="38">
        <f>IF(H19="Vencida",E19*I19+ROW()/100000,0)</f>
        <v>0</v>
      </c>
      <c r="N19" s="38">
        <f>IF(AND(H19="A vencer",J19&lt;=Config!$B$7),100000-J19-ROW()/100000,0)</f>
        <v>99985.99981</v>
      </c>
    </row>
    <row r="20">
      <c r="A20" s="32" t="inlineStr">
        <is>
          <t>9586960-92.2026.8.26.0106</t>
        </is>
      </c>
      <c r="B20" s="23" t="str">
        <f>IF(A20="","",IFERROR(INDEX(Casos!$B$5:$B$204,MATCH(A20,Casos!$A$5:$A$204,0)),""))</f>
        <v>Construtora Horizonte</v>
      </c>
      <c r="C20" s="34" t="n">
        <v>4</v>
      </c>
      <c r="D20" s="37" t="n">
        <v>46323</v>
      </c>
      <c r="E20" s="36" t="n">
        <v>2100</v>
      </c>
      <c r="F20" s="34" t="inlineStr">
        <is>
          <t>Não</t>
        </is>
      </c>
      <c r="G20" s="37" t="n"/>
      <c r="H20" s="24" t="str">
        <f>IF(A20="","",IF(F20="Sim","Paga",IF(D20="","Sem vencimento",IF(D20&lt;Config!$B$5,"Vencida","A vencer"))))</f>
        <v>A vencer</v>
      </c>
      <c r="I20" s="30">
        <f>IF(H20="Vencida",Config!$B$5-D20,"")</f>
        <v/>
      </c>
      <c r="J20" s="30">
        <f>IF(H20="A vencer",D20-Config!$B$5,"")</f>
        <v>44</v>
      </c>
      <c r="K20" s="24">
        <f>IF(H20&lt;&gt;"Vencida","",IF(COUNTIF(Config!$A$10:$A$13,"&lt;="&amp;I20)=0,"Antes da régua",INDEX(Config!$C$10:$C$13,COUNTIF(Config!$A$10:$A$13,"&lt;="&amp;I20))))</f>
        <v/>
      </c>
      <c r="L20" s="23">
        <f>IF(H20&lt;&gt;"Vencida","",IF(COUNTIF(Config!$A$10:$A$13,"&lt;="&amp;I20)=0,"Aguardar: ainda não chegou ao primeiro passo da régua.",INDEX(Config!$B$10:$B$13,COUNTIF(Config!$A$10:$A$13,"&lt;="&amp;I20))))</f>
        <v/>
      </c>
      <c r="M20" s="38">
        <f>IF(H20="Vencida",E20*I20+ROW()/100000,0)</f>
        <v>0</v>
      </c>
      <c r="N20" s="38">
        <f>IF(AND(H20="A vencer",J20&lt;=Config!$B$7),100000-J20-ROW()/100000,0)</f>
        <v>0</v>
      </c>
    </row>
    <row r="21">
      <c r="A21" s="32" t="inlineStr">
        <is>
          <t>4746093-86.2026.8.26.0637</t>
        </is>
      </c>
      <c r="B21" s="23" t="str">
        <f>IF(A21="","",IFERROR(INDEX(Casos!$B$5:$B$204,MATCH(A21,Casos!$A$5:$A$204,0)),""))</f>
        <v>Carlos Eduardo Nunes</v>
      </c>
      <c r="C21" s="34" t="n">
        <v>1</v>
      </c>
      <c r="D21" s="37" t="n">
        <v>46238</v>
      </c>
      <c r="E21" s="36" t="n">
        <v>2400</v>
      </c>
      <c r="F21" s="34" t="inlineStr">
        <is>
          <t>Sim</t>
        </is>
      </c>
      <c r="G21" s="37" t="n">
        <v>46234</v>
      </c>
      <c r="H21" s="24" t="str">
        <f>IF(A21="","",IF(F21="Sim","Paga",IF(D21="","Sem vencimento",IF(D21&lt;Config!$B$5,"Vencida","A vencer"))))</f>
        <v>Paga</v>
      </c>
      <c r="I21" s="30">
        <f>IF(H21="Vencida",Config!$B$5-D21,"")</f>
        <v/>
      </c>
      <c r="J21" s="30">
        <f>IF(H21="A vencer",D21-Config!$B$5,"")</f>
        <v/>
      </c>
      <c r="K21" s="24">
        <f>IF(H21&lt;&gt;"Vencida","",IF(COUNTIF(Config!$A$10:$A$13,"&lt;="&amp;I21)=0,"Antes da régua",INDEX(Config!$C$10:$C$13,COUNTIF(Config!$A$10:$A$13,"&lt;="&amp;I21))))</f>
        <v/>
      </c>
      <c r="L21" s="23">
        <f>IF(H21&lt;&gt;"Vencida","",IF(COUNTIF(Config!$A$10:$A$13,"&lt;="&amp;I21)=0,"Aguardar: ainda não chegou ao primeiro passo da régua.",INDEX(Config!$B$10:$B$13,COUNTIF(Config!$A$10:$A$13,"&lt;="&amp;I21))))</f>
        <v/>
      </c>
      <c r="M21" s="38">
        <f>IF(H21="Vencida",E21*I21+ROW()/100000,0)</f>
        <v>0</v>
      </c>
      <c r="N21" s="38">
        <f>IF(AND(H21="A vencer",J21&lt;=Config!$B$7),100000-J21-ROW()/100000,0)</f>
        <v>0</v>
      </c>
    </row>
    <row r="22">
      <c r="A22" s="32" t="inlineStr">
        <is>
          <t>4746093-86.2026.8.26.0637</t>
        </is>
      </c>
      <c r="B22" s="23" t="str">
        <f>IF(A22="","",IFERROR(INDEX(Casos!$B$5:$B$204,MATCH(A22,Casos!$A$5:$A$204,0)),""))</f>
        <v>Carlos Eduardo Nunes</v>
      </c>
      <c r="C22" s="34" t="n">
        <v>2</v>
      </c>
      <c r="D22" s="37" t="n">
        <v>46265</v>
      </c>
      <c r="E22" s="36" t="n">
        <v>1500</v>
      </c>
      <c r="F22" s="34" t="inlineStr">
        <is>
          <t>Sim</t>
        </is>
      </c>
      <c r="G22" s="37" t="n">
        <v>46265</v>
      </c>
      <c r="H22" s="24" t="str">
        <f>IF(A22="","",IF(F22="Sim","Paga",IF(D22="","Sem vencimento",IF(D22&lt;Config!$B$5,"Vencida","A vencer"))))</f>
        <v>Paga</v>
      </c>
      <c r="I22" s="30">
        <f>IF(H22="Vencida",Config!$B$5-D22,"")</f>
        <v/>
      </c>
      <c r="J22" s="30">
        <f>IF(H22="A vencer",D22-Config!$B$5,"")</f>
        <v/>
      </c>
      <c r="K22" s="24">
        <f>IF(H22&lt;&gt;"Vencida","",IF(COUNTIF(Config!$A$10:$A$13,"&lt;="&amp;I22)=0,"Antes da régua",INDEX(Config!$C$10:$C$13,COUNTIF(Config!$A$10:$A$13,"&lt;="&amp;I22))))</f>
        <v/>
      </c>
      <c r="L22" s="23">
        <f>IF(H22&lt;&gt;"Vencida","",IF(COUNTIF(Config!$A$10:$A$13,"&lt;="&amp;I22)=0,"Aguardar: ainda não chegou ao primeiro passo da régua.",INDEX(Config!$B$10:$B$13,COUNTIF(Config!$A$10:$A$13,"&lt;="&amp;I22))))</f>
        <v/>
      </c>
      <c r="M22" s="38">
        <f>IF(H22="Vencida",E22*I22+ROW()/100000,0)</f>
        <v>0</v>
      </c>
      <c r="N22" s="38">
        <f>IF(AND(H22="A vencer",J22&lt;=Config!$B$7),100000-J22-ROW()/100000,0)</f>
        <v>0</v>
      </c>
    </row>
    <row r="23">
      <c r="A23" s="32" t="inlineStr">
        <is>
          <t>4746093-86.2026.8.26.0637</t>
        </is>
      </c>
      <c r="B23" s="23" t="str">
        <f>IF(A23="","",IFERROR(INDEX(Casos!$B$5:$B$204,MATCH(A23,Casos!$A$5:$A$204,0)),""))</f>
        <v>Carlos Eduardo Nunes</v>
      </c>
      <c r="C23" s="34" t="n">
        <v>3</v>
      </c>
      <c r="D23" s="37" t="n">
        <v>46295</v>
      </c>
      <c r="E23" s="36" t="n">
        <v>1500</v>
      </c>
      <c r="F23" s="34" t="inlineStr">
        <is>
          <t>Não</t>
        </is>
      </c>
      <c r="G23" s="37" t="n"/>
      <c r="H23" s="24" t="str">
        <f>IF(A23="","",IF(F23="Sim","Paga",IF(D23="","Sem vencimento",IF(D23&lt;Config!$B$5,"Vencida","A vencer"))))</f>
        <v>A vencer</v>
      </c>
      <c r="I23" s="30">
        <f>IF(H23="Vencida",Config!$B$5-D23,"")</f>
        <v/>
      </c>
      <c r="J23" s="30">
        <f>IF(H23="A vencer",D23-Config!$B$5,"")</f>
        <v>16</v>
      </c>
      <c r="K23" s="24">
        <f>IF(H23&lt;&gt;"Vencida","",IF(COUNTIF(Config!$A$10:$A$13,"&lt;="&amp;I23)=0,"Antes da régua",INDEX(Config!$C$10:$C$13,COUNTIF(Config!$A$10:$A$13,"&lt;="&amp;I23))))</f>
        <v/>
      </c>
      <c r="L23" s="23">
        <f>IF(H23&lt;&gt;"Vencida","",IF(COUNTIF(Config!$A$10:$A$13,"&lt;="&amp;I23)=0,"Aguardar: ainda não chegou ao primeiro passo da régua.",INDEX(Config!$B$10:$B$13,COUNTIF(Config!$A$10:$A$13,"&lt;="&amp;I23))))</f>
        <v/>
      </c>
      <c r="M23" s="38">
        <f>IF(H23="Vencida",E23*I23+ROW()/100000,0)</f>
        <v>0</v>
      </c>
      <c r="N23" s="38">
        <f>IF(AND(H23="A vencer",J23&lt;=Config!$B$7),100000-J23-ROW()/100000,0)</f>
        <v>99983.99977</v>
      </c>
    </row>
    <row r="24">
      <c r="A24" s="32" t="inlineStr">
        <is>
          <t>CONS-2026-02</t>
        </is>
      </c>
      <c r="B24" s="23" t="str">
        <f>IF(A24="","",IFERROR(INDEX(Casos!$B$5:$B$204,MATCH(A24,Casos!$A$5:$A$204,0)),""))</f>
        <v>Loja Verde Comércio</v>
      </c>
      <c r="C24" s="34" t="n">
        <v>1</v>
      </c>
      <c r="D24" s="37" t="n">
        <v>46252</v>
      </c>
      <c r="E24" s="36" t="n">
        <v>2800</v>
      </c>
      <c r="F24" s="34" t="inlineStr">
        <is>
          <t>Sim</t>
        </is>
      </c>
      <c r="G24" s="37" t="n">
        <v>46252</v>
      </c>
      <c r="H24" s="24" t="str">
        <f>IF(A24="","",IF(F24="Sim","Paga",IF(D24="","Sem vencimento",IF(D24&lt;Config!$B$5,"Vencida","A vencer"))))</f>
        <v>Paga</v>
      </c>
      <c r="I24" s="30">
        <f>IF(H24="Vencida",Config!$B$5-D24,"")</f>
        <v/>
      </c>
      <c r="J24" s="30">
        <f>IF(H24="A vencer",D24-Config!$B$5,"")</f>
        <v/>
      </c>
      <c r="K24" s="24">
        <f>IF(H24&lt;&gt;"Vencida","",IF(COUNTIF(Config!$A$10:$A$13,"&lt;="&amp;I24)=0,"Antes da régua",INDEX(Config!$C$10:$C$13,COUNTIF(Config!$A$10:$A$13,"&lt;="&amp;I24))))</f>
        <v/>
      </c>
      <c r="L24" s="23">
        <f>IF(H24&lt;&gt;"Vencida","",IF(COUNTIF(Config!$A$10:$A$13,"&lt;="&amp;I24)=0,"Aguardar: ainda não chegou ao primeiro passo da régua.",INDEX(Config!$B$10:$B$13,COUNTIF(Config!$A$10:$A$13,"&lt;="&amp;I24))))</f>
        <v/>
      </c>
      <c r="M24" s="38">
        <f>IF(H24="Vencida",E24*I24+ROW()/100000,0)</f>
        <v>0</v>
      </c>
      <c r="N24" s="38">
        <f>IF(AND(H24="A vencer",J24&lt;=Config!$B$7),100000-J24-ROW()/100000,0)</f>
        <v>0</v>
      </c>
    </row>
    <row r="25">
      <c r="A25" s="32" t="inlineStr">
        <is>
          <t>CONS-2026-02</t>
        </is>
      </c>
      <c r="B25" s="23" t="str">
        <f>IF(A25="","",IFERROR(INDEX(Casos!$B$5:$B$204,MATCH(A25,Casos!$A$5:$A$204,0)),""))</f>
        <v>Loja Verde Comércio</v>
      </c>
      <c r="C25" s="34" t="n">
        <v>2</v>
      </c>
      <c r="D25" s="37" t="n">
        <v>46282</v>
      </c>
      <c r="E25" s="36" t="n">
        <v>2800</v>
      </c>
      <c r="F25" s="34" t="inlineStr">
        <is>
          <t>Não</t>
        </is>
      </c>
      <c r="G25" s="37" t="n"/>
      <c r="H25" s="24" t="str">
        <f>IF(A25="","",IF(F25="Sim","Paga",IF(D25="","Sem vencimento",IF(D25&lt;Config!$B$5,"Vencida","A vencer"))))</f>
        <v>A vencer</v>
      </c>
      <c r="I25" s="30">
        <f>IF(H25="Vencida",Config!$B$5-D25,"")</f>
        <v/>
      </c>
      <c r="J25" s="30">
        <f>IF(H25="A vencer",D25-Config!$B$5,"")</f>
        <v>3</v>
      </c>
      <c r="K25" s="24">
        <f>IF(H25&lt;&gt;"Vencida","",IF(COUNTIF(Config!$A$10:$A$13,"&lt;="&amp;I25)=0,"Antes da régua",INDEX(Config!$C$10:$C$13,COUNTIF(Config!$A$10:$A$13,"&lt;="&amp;I25))))</f>
        <v/>
      </c>
      <c r="L25" s="23">
        <f>IF(H25&lt;&gt;"Vencida","",IF(COUNTIF(Config!$A$10:$A$13,"&lt;="&amp;I25)=0,"Aguardar: ainda não chegou ao primeiro passo da régua.",INDEX(Config!$B$10:$B$13,COUNTIF(Config!$A$10:$A$13,"&lt;="&amp;I25))))</f>
        <v/>
      </c>
      <c r="M25" s="38">
        <f>IF(H25="Vencida",E25*I25+ROW()/100000,0)</f>
        <v>0</v>
      </c>
      <c r="N25" s="38">
        <f>IF(AND(H25="A vencer",J25&lt;=Config!$B$7),100000-J25-ROW()/100000,0)</f>
        <v>99996.99975</v>
      </c>
    </row>
    <row r="26">
      <c r="A26" s="32" t="inlineStr">
        <is>
          <t>CONS-2026-02</t>
        </is>
      </c>
      <c r="B26" s="23" t="str">
        <f>IF(A26="","",IFERROR(INDEX(Casos!$B$5:$B$204,MATCH(A26,Casos!$A$5:$A$204,0)),""))</f>
        <v>Loja Verde Comércio</v>
      </c>
      <c r="C26" s="34" t="n">
        <v>3</v>
      </c>
      <c r="D26" s="37" t="n">
        <v>46314</v>
      </c>
      <c r="E26" s="36" t="n">
        <v>2800</v>
      </c>
      <c r="F26" s="34" t="inlineStr">
        <is>
          <t>Não</t>
        </is>
      </c>
      <c r="G26" s="37" t="n"/>
      <c r="H26" s="24" t="str">
        <f>IF(A26="","",IF(F26="Sim","Paga",IF(D26="","Sem vencimento",IF(D26&lt;Config!$B$5,"Vencida","A vencer"))))</f>
        <v>A vencer</v>
      </c>
      <c r="I26" s="30">
        <f>IF(H26="Vencida",Config!$B$5-D26,"")</f>
        <v/>
      </c>
      <c r="J26" s="30">
        <f>IF(H26="A vencer",D26-Config!$B$5,"")</f>
        <v>35</v>
      </c>
      <c r="K26" s="24">
        <f>IF(H26&lt;&gt;"Vencida","",IF(COUNTIF(Config!$A$10:$A$13,"&lt;="&amp;I26)=0,"Antes da régua",INDEX(Config!$C$10:$C$13,COUNTIF(Config!$A$10:$A$13,"&lt;="&amp;I26))))</f>
        <v/>
      </c>
      <c r="L26" s="23">
        <f>IF(H26&lt;&gt;"Vencida","",IF(COUNTIF(Config!$A$10:$A$13,"&lt;="&amp;I26)=0,"Aguardar: ainda não chegou ao primeiro passo da régua.",INDEX(Config!$B$10:$B$13,COUNTIF(Config!$A$10:$A$13,"&lt;="&amp;I26))))</f>
        <v/>
      </c>
      <c r="M26" s="38">
        <f>IF(H26="Vencida",E26*I26+ROW()/100000,0)</f>
        <v>0</v>
      </c>
      <c r="N26" s="38">
        <f>IF(AND(H26="A vencer",J26&lt;=Config!$B$7),100000-J26-ROW()/100000,0)</f>
        <v>0</v>
      </c>
    </row>
    <row r="27">
      <c r="A27" s="32" t="inlineStr">
        <is>
          <t>CONS-2026-03</t>
        </is>
      </c>
      <c r="B27" s="23" t="str">
        <f>IF(A27="","",IFERROR(INDEX(Casos!$B$5:$B$204,MATCH(A27,Casos!$A$5:$A$204,0)),""))</f>
        <v>Marcos Vinícius Teles</v>
      </c>
      <c r="C27" s="34" t="n">
        <v>1</v>
      </c>
      <c r="D27" s="37" t="n">
        <v>46260</v>
      </c>
      <c r="E27" s="36" t="n">
        <v>2250</v>
      </c>
      <c r="F27" s="34" t="inlineStr">
        <is>
          <t>Sim</t>
        </is>
      </c>
      <c r="G27" s="37" t="n">
        <v>46261</v>
      </c>
      <c r="H27" s="24" t="str">
        <f>IF(A27="","",IF(F27="Sim","Paga",IF(D27="","Sem vencimento",IF(D27&lt;Config!$B$5,"Vencida","A vencer"))))</f>
        <v>Paga</v>
      </c>
      <c r="I27" s="30">
        <f>IF(H27="Vencida",Config!$B$5-D27,"")</f>
        <v/>
      </c>
      <c r="J27" s="30">
        <f>IF(H27="A vencer",D27-Config!$B$5,"")</f>
        <v/>
      </c>
      <c r="K27" s="24">
        <f>IF(H27&lt;&gt;"Vencida","",IF(COUNTIF(Config!$A$10:$A$13,"&lt;="&amp;I27)=0,"Antes da régua",INDEX(Config!$C$10:$C$13,COUNTIF(Config!$A$10:$A$13,"&lt;="&amp;I27))))</f>
        <v/>
      </c>
      <c r="L27" s="23">
        <f>IF(H27&lt;&gt;"Vencida","",IF(COUNTIF(Config!$A$10:$A$13,"&lt;="&amp;I27)=0,"Aguardar: ainda não chegou ao primeiro passo da régua.",INDEX(Config!$B$10:$B$13,COUNTIF(Config!$A$10:$A$13,"&lt;="&amp;I27))))</f>
        <v/>
      </c>
      <c r="M27" s="38">
        <f>IF(H27="Vencida",E27*I27+ROW()/100000,0)</f>
        <v>0</v>
      </c>
      <c r="N27" s="38">
        <f>IF(AND(H27="A vencer",J27&lt;=Config!$B$7),100000-J27-ROW()/100000,0)</f>
        <v>0</v>
      </c>
    </row>
    <row r="28">
      <c r="A28" s="32" t="inlineStr">
        <is>
          <t>CONS-2026-03</t>
        </is>
      </c>
      <c r="B28" s="23" t="str">
        <f>IF(A28="","",IFERROR(INDEX(Casos!$B$5:$B$204,MATCH(A28,Casos!$A$5:$A$204,0)),""))</f>
        <v>Marcos Vinícius Teles</v>
      </c>
      <c r="C28" s="34" t="n">
        <v>2</v>
      </c>
      <c r="D28" s="37" t="n">
        <v>46290</v>
      </c>
      <c r="E28" s="36" t="n">
        <v>2250</v>
      </c>
      <c r="F28" s="34" t="inlineStr">
        <is>
          <t>Não</t>
        </is>
      </c>
      <c r="G28" s="37" t="n"/>
      <c r="H28" s="24" t="str">
        <f>IF(A28="","",IF(F28="Sim","Paga",IF(D28="","Sem vencimento",IF(D28&lt;Config!$B$5,"Vencida","A vencer"))))</f>
        <v>A vencer</v>
      </c>
      <c r="I28" s="30">
        <f>IF(H28="Vencida",Config!$B$5-D28,"")</f>
        <v/>
      </c>
      <c r="J28" s="30">
        <f>IF(H28="A vencer",D28-Config!$B$5,"")</f>
        <v>11</v>
      </c>
      <c r="K28" s="24">
        <f>IF(H28&lt;&gt;"Vencida","",IF(COUNTIF(Config!$A$10:$A$13,"&lt;="&amp;I28)=0,"Antes da régua",INDEX(Config!$C$10:$C$13,COUNTIF(Config!$A$10:$A$13,"&lt;="&amp;I28))))</f>
        <v/>
      </c>
      <c r="L28" s="23">
        <f>IF(H28&lt;&gt;"Vencida","",IF(COUNTIF(Config!$A$10:$A$13,"&lt;="&amp;I28)=0,"Aguardar: ainda não chegou ao primeiro passo da régua.",INDEX(Config!$B$10:$B$13,COUNTIF(Config!$A$10:$A$13,"&lt;="&amp;I28))))</f>
        <v/>
      </c>
      <c r="M28" s="38">
        <f>IF(H28="Vencida",E28*I28+ROW()/100000,0)</f>
        <v>0</v>
      </c>
      <c r="N28" s="38">
        <f>IF(AND(H28="A vencer",J28&lt;=Config!$B$7),100000-J28-ROW()/100000,0)</f>
        <v>99988.99972</v>
      </c>
    </row>
    <row r="29">
      <c r="A29" s="32" t="inlineStr">
        <is>
          <t>CONS-2026-04</t>
        </is>
      </c>
      <c r="B29" s="23" t="str">
        <f>IF(A29="","",IFERROR(INDEX(Casos!$B$5:$B$204,MATCH(A29,Casos!$A$5:$A$204,0)),""))</f>
        <v>Escola Aurora</v>
      </c>
      <c r="C29" s="34" t="n">
        <v>1</v>
      </c>
      <c r="D29" s="37" t="n">
        <v>46244</v>
      </c>
      <c r="E29" s="36" t="n">
        <v>1100</v>
      </c>
      <c r="F29" s="34" t="inlineStr">
        <is>
          <t>Sim</t>
        </is>
      </c>
      <c r="G29" s="37" t="n">
        <v>46244</v>
      </c>
      <c r="H29" s="24" t="str">
        <f>IF(A29="","",IF(F29="Sim","Paga",IF(D29="","Sem vencimento",IF(D29&lt;Config!$B$5,"Vencida","A vencer"))))</f>
        <v>Paga</v>
      </c>
      <c r="I29" s="30">
        <f>IF(H29="Vencida",Config!$B$5-D29,"")</f>
        <v/>
      </c>
      <c r="J29" s="30">
        <f>IF(H29="A vencer",D29-Config!$B$5,"")</f>
        <v/>
      </c>
      <c r="K29" s="24">
        <f>IF(H29&lt;&gt;"Vencida","",IF(COUNTIF(Config!$A$10:$A$13,"&lt;="&amp;I29)=0,"Antes da régua",INDEX(Config!$C$10:$C$13,COUNTIF(Config!$A$10:$A$13,"&lt;="&amp;I29))))</f>
        <v/>
      </c>
      <c r="L29" s="23">
        <f>IF(H29&lt;&gt;"Vencida","",IF(COUNTIF(Config!$A$10:$A$13,"&lt;="&amp;I29)=0,"Aguardar: ainda não chegou ao primeiro passo da régua.",INDEX(Config!$B$10:$B$13,COUNTIF(Config!$A$10:$A$13,"&lt;="&amp;I29))))</f>
        <v/>
      </c>
      <c r="M29" s="38">
        <f>IF(H29="Vencida",E29*I29+ROW()/100000,0)</f>
        <v>0</v>
      </c>
      <c r="N29" s="38">
        <f>IF(AND(H29="A vencer",J29&lt;=Config!$B$7),100000-J29-ROW()/100000,0)</f>
        <v>0</v>
      </c>
    </row>
    <row r="30">
      <c r="A30" s="32" t="inlineStr">
        <is>
          <t>CONS-2026-04</t>
        </is>
      </c>
      <c r="B30" s="23" t="str">
        <f>IF(A30="","",IFERROR(INDEX(Casos!$B$5:$B$204,MATCH(A30,Casos!$A$5:$A$204,0)),""))</f>
        <v>Escola Aurora</v>
      </c>
      <c r="C30" s="34" t="n">
        <v>2</v>
      </c>
      <c r="D30" s="37" t="n">
        <v>46275</v>
      </c>
      <c r="E30" s="36" t="n">
        <v>1100</v>
      </c>
      <c r="F30" s="34" t="inlineStr">
        <is>
          <t>Sim</t>
        </is>
      </c>
      <c r="G30" s="37" t="n">
        <v>46275</v>
      </c>
      <c r="H30" s="24" t="str">
        <f>IF(A30="","",IF(F30="Sim","Paga",IF(D30="","Sem vencimento",IF(D30&lt;Config!$B$5,"Vencida","A vencer"))))</f>
        <v>Paga</v>
      </c>
      <c r="I30" s="30">
        <f>IF(H30="Vencida",Config!$B$5-D30,"")</f>
        <v/>
      </c>
      <c r="J30" s="30">
        <f>IF(H30="A vencer",D30-Config!$B$5,"")</f>
        <v/>
      </c>
      <c r="K30" s="24">
        <f>IF(H30&lt;&gt;"Vencida","",IF(COUNTIF(Config!$A$10:$A$13,"&lt;="&amp;I30)=0,"Antes da régua",INDEX(Config!$C$10:$C$13,COUNTIF(Config!$A$10:$A$13,"&lt;="&amp;I30))))</f>
        <v/>
      </c>
      <c r="L30" s="23">
        <f>IF(H30&lt;&gt;"Vencida","",IF(COUNTIF(Config!$A$10:$A$13,"&lt;="&amp;I30)=0,"Aguardar: ainda não chegou ao primeiro passo da régua.",INDEX(Config!$B$10:$B$13,COUNTIF(Config!$A$10:$A$13,"&lt;="&amp;I30))))</f>
        <v/>
      </c>
      <c r="M30" s="38">
        <f>IF(H30="Vencida",E30*I30+ROW()/100000,0)</f>
        <v>0</v>
      </c>
      <c r="N30" s="38">
        <f>IF(AND(H30="A vencer",J30&lt;=Config!$B$7),100000-J30-ROW()/100000,0)</f>
        <v>0</v>
      </c>
    </row>
    <row r="31">
      <c r="A31" s="32" t="inlineStr">
        <is>
          <t>CONS-2026-04</t>
        </is>
      </c>
      <c r="B31" s="23" t="str">
        <f>IF(A31="","",IFERROR(INDEX(Casos!$B$5:$B$204,MATCH(A31,Casos!$A$5:$A$204,0)),""))</f>
        <v>Escola Aurora</v>
      </c>
      <c r="C31" s="34" t="n">
        <v>3</v>
      </c>
      <c r="D31" s="37" t="n">
        <v>46305</v>
      </c>
      <c r="E31" s="36" t="n">
        <v>1100</v>
      </c>
      <c r="F31" s="34" t="inlineStr">
        <is>
          <t>Não</t>
        </is>
      </c>
      <c r="G31" s="37" t="n"/>
      <c r="H31" s="24" t="str">
        <f>IF(A31="","",IF(F31="Sim","Paga",IF(D31="","Sem vencimento",IF(D31&lt;Config!$B$5,"Vencida","A vencer"))))</f>
        <v>A vencer</v>
      </c>
      <c r="I31" s="30">
        <f>IF(H31="Vencida",Config!$B$5-D31,"")</f>
        <v/>
      </c>
      <c r="J31" s="30">
        <f>IF(H31="A vencer",D31-Config!$B$5,"")</f>
        <v>26</v>
      </c>
      <c r="K31" s="24">
        <f>IF(H31&lt;&gt;"Vencida","",IF(COUNTIF(Config!$A$10:$A$13,"&lt;="&amp;I31)=0,"Antes da régua",INDEX(Config!$C$10:$C$13,COUNTIF(Config!$A$10:$A$13,"&lt;="&amp;I31))))</f>
        <v/>
      </c>
      <c r="L31" s="23">
        <f>IF(H31&lt;&gt;"Vencida","",IF(COUNTIF(Config!$A$10:$A$13,"&lt;="&amp;I31)=0,"Aguardar: ainda não chegou ao primeiro passo da régua.",INDEX(Config!$B$10:$B$13,COUNTIF(Config!$A$10:$A$13,"&lt;="&amp;I31))))</f>
        <v/>
      </c>
      <c r="M31" s="38">
        <f>IF(H31="Vencida",E31*I31+ROW()/100000,0)</f>
        <v>0</v>
      </c>
      <c r="N31" s="38">
        <f>IF(AND(H31="A vencer",J31&lt;=Config!$B$7),100000-J31-ROW()/100000,0)</f>
        <v>99973.99969</v>
      </c>
    </row>
    <row r="32">
      <c r="A32" s="32" t="inlineStr">
        <is>
          <t>CONS-2026-04</t>
        </is>
      </c>
      <c r="B32" s="23" t="str">
        <f>IF(A32="","",IFERROR(INDEX(Casos!$B$5:$B$204,MATCH(A32,Casos!$A$5:$A$204,0)),""))</f>
        <v>Escola Aurora</v>
      </c>
      <c r="C32" s="34" t="n">
        <v>4</v>
      </c>
      <c r="D32" s="37" t="n">
        <v>46336</v>
      </c>
      <c r="E32" s="36" t="n">
        <v>1100</v>
      </c>
      <c r="F32" s="34" t="inlineStr">
        <is>
          <t>Não</t>
        </is>
      </c>
      <c r="G32" s="37" t="n"/>
      <c r="H32" s="24" t="str">
        <f>IF(A32="","",IF(F32="Sim","Paga",IF(D32="","Sem vencimento",IF(D32&lt;Config!$B$5,"Vencida","A vencer"))))</f>
        <v>A vencer</v>
      </c>
      <c r="I32" s="30">
        <f>IF(H32="Vencida",Config!$B$5-D32,"")</f>
        <v/>
      </c>
      <c r="J32" s="30">
        <f>IF(H32="A vencer",D32-Config!$B$5,"")</f>
        <v>57</v>
      </c>
      <c r="K32" s="24">
        <f>IF(H32&lt;&gt;"Vencida","",IF(COUNTIF(Config!$A$10:$A$13,"&lt;="&amp;I32)=0,"Antes da régua",INDEX(Config!$C$10:$C$13,COUNTIF(Config!$A$10:$A$13,"&lt;="&amp;I32))))</f>
        <v/>
      </c>
      <c r="L32" s="23">
        <f>IF(H32&lt;&gt;"Vencida","",IF(COUNTIF(Config!$A$10:$A$13,"&lt;="&amp;I32)=0,"Aguardar: ainda não chegou ao primeiro passo da régua.",INDEX(Config!$B$10:$B$13,COUNTIF(Config!$A$10:$A$13,"&lt;="&amp;I32))))</f>
        <v/>
      </c>
      <c r="M32" s="38">
        <f>IF(H32="Vencida",E32*I32+ROW()/100000,0)</f>
        <v>0</v>
      </c>
      <c r="N32" s="38">
        <f>IF(AND(H32="A vencer",J32&lt;=Config!$B$7),100000-J32-ROW()/100000,0)</f>
        <v>0</v>
      </c>
    </row>
    <row r="33">
      <c r="A33" s="32" t="inlineStr">
        <is>
          <t>CONS-2026-04</t>
        </is>
      </c>
      <c r="B33" s="23" t="str">
        <f>IF(A33="","",IFERROR(INDEX(Casos!$B$5:$B$204,MATCH(A33,Casos!$A$5:$A$204,0)),""))</f>
        <v>Escola Aurora</v>
      </c>
      <c r="C33" s="34" t="n">
        <v>5</v>
      </c>
      <c r="D33" s="37" t="n">
        <v>46366</v>
      </c>
      <c r="E33" s="36" t="n">
        <v>1100</v>
      </c>
      <c r="F33" s="34" t="inlineStr">
        <is>
          <t>Não</t>
        </is>
      </c>
      <c r="G33" s="37" t="n"/>
      <c r="H33" s="24" t="str">
        <f>IF(A33="","",IF(F33="Sim","Paga",IF(D33="","Sem vencimento",IF(D33&lt;Config!$B$5,"Vencida","A vencer"))))</f>
        <v>A vencer</v>
      </c>
      <c r="I33" s="30">
        <f>IF(H33="Vencida",Config!$B$5-D33,"")</f>
        <v/>
      </c>
      <c r="J33" s="30">
        <f>IF(H33="A vencer",D33-Config!$B$5,"")</f>
        <v>87</v>
      </c>
      <c r="K33" s="24">
        <f>IF(H33&lt;&gt;"Vencida","",IF(COUNTIF(Config!$A$10:$A$13,"&lt;="&amp;I33)=0,"Antes da régua",INDEX(Config!$C$10:$C$13,COUNTIF(Config!$A$10:$A$13,"&lt;="&amp;I33))))</f>
        <v/>
      </c>
      <c r="L33" s="23">
        <f>IF(H33&lt;&gt;"Vencida","",IF(COUNTIF(Config!$A$10:$A$13,"&lt;="&amp;I33)=0,"Aguardar: ainda não chegou ao primeiro passo da régua.",INDEX(Config!$B$10:$B$13,COUNTIF(Config!$A$10:$A$13,"&lt;="&amp;I33))))</f>
        <v/>
      </c>
      <c r="M33" s="38">
        <f>IF(H33="Vencida",E33*I33+ROW()/100000,0)</f>
        <v>0</v>
      </c>
      <c r="N33" s="38">
        <f>IF(AND(H33="A vencer",J33&lt;=Config!$B$7),100000-J33-ROW()/100000,0)</f>
        <v>0</v>
      </c>
    </row>
    <row r="34">
      <c r="A34" s="32" t="inlineStr">
        <is>
          <t>CONS-2026-04</t>
        </is>
      </c>
      <c r="B34" s="23" t="str">
        <f>IF(A34="","",IFERROR(INDEX(Casos!$B$5:$B$204,MATCH(A34,Casos!$A$5:$A$204,0)),""))</f>
        <v>Escola Aurora</v>
      </c>
      <c r="C34" s="34" t="n">
        <v>6</v>
      </c>
      <c r="D34" s="37" t="n">
        <v>46397</v>
      </c>
      <c r="E34" s="36" t="n">
        <v>1100</v>
      </c>
      <c r="F34" s="34" t="inlineStr">
        <is>
          <t>Não</t>
        </is>
      </c>
      <c r="G34" s="37" t="n"/>
      <c r="H34" s="24" t="str">
        <f>IF(A34="","",IF(F34="Sim","Paga",IF(D34="","Sem vencimento",IF(D34&lt;Config!$B$5,"Vencida","A vencer"))))</f>
        <v>A vencer</v>
      </c>
      <c r="I34" s="30">
        <f>IF(H34="Vencida",Config!$B$5-D34,"")</f>
        <v/>
      </c>
      <c r="J34" s="30">
        <f>IF(H34="A vencer",D34-Config!$B$5,"")</f>
        <v>118</v>
      </c>
      <c r="K34" s="24">
        <f>IF(H34&lt;&gt;"Vencida","",IF(COUNTIF(Config!$A$10:$A$13,"&lt;="&amp;I34)=0,"Antes da régua",INDEX(Config!$C$10:$C$13,COUNTIF(Config!$A$10:$A$13,"&lt;="&amp;I34))))</f>
        <v/>
      </c>
      <c r="L34" s="23">
        <f>IF(H34&lt;&gt;"Vencida","",IF(COUNTIF(Config!$A$10:$A$13,"&lt;="&amp;I34)=0,"Aguardar: ainda não chegou ao primeiro passo da régua.",INDEX(Config!$B$10:$B$13,COUNTIF(Config!$A$10:$A$13,"&lt;="&amp;I34))))</f>
        <v/>
      </c>
      <c r="M34" s="38">
        <f>IF(H34="Vencida",E34*I34+ROW()/100000,0)</f>
        <v>0</v>
      </c>
      <c r="N34" s="38">
        <f>IF(AND(H34="A vencer",J34&lt;=Config!$B$7),100000-J34-ROW()/100000,0)</f>
        <v>0</v>
      </c>
    </row>
    <row r="35">
      <c r="A35" s="32" t="inlineStr">
        <is>
          <t>CONS-2026-04</t>
        </is>
      </c>
      <c r="B35" s="23" t="str">
        <f>IF(A35="","",IFERROR(INDEX(Casos!$B$5:$B$204,MATCH(A35,Casos!$A$5:$A$204,0)),""))</f>
        <v>Escola Aurora</v>
      </c>
      <c r="C35" s="34" t="n">
        <v>7</v>
      </c>
      <c r="D35" s="37" t="n">
        <v>46428</v>
      </c>
      <c r="E35" s="36" t="n">
        <v>1100</v>
      </c>
      <c r="F35" s="34" t="inlineStr">
        <is>
          <t>Não</t>
        </is>
      </c>
      <c r="G35" s="37" t="n"/>
      <c r="H35" s="24" t="str">
        <f>IF(A35="","",IF(F35="Sim","Paga",IF(D35="","Sem vencimento",IF(D35&lt;Config!$B$5,"Vencida","A vencer"))))</f>
        <v>A vencer</v>
      </c>
      <c r="I35" s="30">
        <f>IF(H35="Vencida",Config!$B$5-D35,"")</f>
        <v/>
      </c>
      <c r="J35" s="30">
        <f>IF(H35="A vencer",D35-Config!$B$5,"")</f>
        <v>149</v>
      </c>
      <c r="K35" s="24">
        <f>IF(H35&lt;&gt;"Vencida","",IF(COUNTIF(Config!$A$10:$A$13,"&lt;="&amp;I35)=0,"Antes da régua",INDEX(Config!$C$10:$C$13,COUNTIF(Config!$A$10:$A$13,"&lt;="&amp;I35))))</f>
        <v/>
      </c>
      <c r="L35" s="23">
        <f>IF(H35&lt;&gt;"Vencida","",IF(COUNTIF(Config!$A$10:$A$13,"&lt;="&amp;I35)=0,"Aguardar: ainda não chegou ao primeiro passo da régua.",INDEX(Config!$B$10:$B$13,COUNTIF(Config!$A$10:$A$13,"&lt;="&amp;I35))))</f>
        <v/>
      </c>
      <c r="M35" s="38">
        <f>IF(H35="Vencida",E35*I35+ROW()/100000,0)</f>
        <v>0</v>
      </c>
      <c r="N35" s="38">
        <f>IF(AND(H35="A vencer",J35&lt;=Config!$B$7),100000-J35-ROW()/100000,0)</f>
        <v>0</v>
      </c>
    </row>
    <row r="36">
      <c r="A36" s="32" t="inlineStr">
        <is>
          <t>CONS-2026-04</t>
        </is>
      </c>
      <c r="B36" s="23" t="str">
        <f>IF(A36="","",IFERROR(INDEX(Casos!$B$5:$B$204,MATCH(A36,Casos!$A$5:$A$204,0)),""))</f>
        <v>Escola Aurora</v>
      </c>
      <c r="C36" s="34" t="n">
        <v>8</v>
      </c>
      <c r="D36" s="37" t="n">
        <v>46456</v>
      </c>
      <c r="E36" s="36" t="n">
        <v>1100</v>
      </c>
      <c r="F36" s="34" t="inlineStr">
        <is>
          <t>Não</t>
        </is>
      </c>
      <c r="G36" s="37" t="n"/>
      <c r="H36" s="24" t="str">
        <f>IF(A36="","",IF(F36="Sim","Paga",IF(D36="","Sem vencimento",IF(D36&lt;Config!$B$5,"Vencida","A vencer"))))</f>
        <v>A vencer</v>
      </c>
      <c r="I36" s="30">
        <f>IF(H36="Vencida",Config!$B$5-D36,"")</f>
        <v/>
      </c>
      <c r="J36" s="30">
        <f>IF(H36="A vencer",D36-Config!$B$5,"")</f>
        <v>177</v>
      </c>
      <c r="K36" s="24">
        <f>IF(H36&lt;&gt;"Vencida","",IF(COUNTIF(Config!$A$10:$A$13,"&lt;="&amp;I36)=0,"Antes da régua",INDEX(Config!$C$10:$C$13,COUNTIF(Config!$A$10:$A$13,"&lt;="&amp;I36))))</f>
        <v/>
      </c>
      <c r="L36" s="23">
        <f>IF(H36&lt;&gt;"Vencida","",IF(COUNTIF(Config!$A$10:$A$13,"&lt;="&amp;I36)=0,"Aguardar: ainda não chegou ao primeiro passo da régua.",INDEX(Config!$B$10:$B$13,COUNTIF(Config!$A$10:$A$13,"&lt;="&amp;I36))))</f>
        <v/>
      </c>
      <c r="M36" s="38">
        <f>IF(H36="Vencida",E36*I36+ROW()/100000,0)</f>
        <v>0</v>
      </c>
      <c r="N36" s="38">
        <f>IF(AND(H36="A vencer",J36&lt;=Config!$B$7),100000-J36-ROW()/100000,0)</f>
        <v>0</v>
      </c>
    </row>
    <row r="37">
      <c r="A37" s="32" t="inlineStr">
        <is>
          <t>CONS-2026-04</t>
        </is>
      </c>
      <c r="B37" s="23" t="str">
        <f>IF(A37="","",IFERROR(INDEX(Casos!$B$5:$B$204,MATCH(A37,Casos!$A$5:$A$204,0)),""))</f>
        <v>Escola Aurora</v>
      </c>
      <c r="C37" s="34" t="n">
        <v>9</v>
      </c>
      <c r="D37" s="37" t="n">
        <v>46487</v>
      </c>
      <c r="E37" s="36" t="n">
        <v>1100</v>
      </c>
      <c r="F37" s="34" t="inlineStr">
        <is>
          <t>Não</t>
        </is>
      </c>
      <c r="G37" s="37" t="n"/>
      <c r="H37" s="24" t="str">
        <f>IF(A37="","",IF(F37="Sim","Paga",IF(D37="","Sem vencimento",IF(D37&lt;Config!$B$5,"Vencida","A vencer"))))</f>
        <v>A vencer</v>
      </c>
      <c r="I37" s="30">
        <f>IF(H37="Vencida",Config!$B$5-D37,"")</f>
        <v/>
      </c>
      <c r="J37" s="30">
        <f>IF(H37="A vencer",D37-Config!$B$5,"")</f>
        <v>208</v>
      </c>
      <c r="K37" s="24">
        <f>IF(H37&lt;&gt;"Vencida","",IF(COUNTIF(Config!$A$10:$A$13,"&lt;="&amp;I37)=0,"Antes da régua",INDEX(Config!$C$10:$C$13,COUNTIF(Config!$A$10:$A$13,"&lt;="&amp;I37))))</f>
        <v/>
      </c>
      <c r="L37" s="23">
        <f>IF(H37&lt;&gt;"Vencida","",IF(COUNTIF(Config!$A$10:$A$13,"&lt;="&amp;I37)=0,"Aguardar: ainda não chegou ao primeiro passo da régua.",INDEX(Config!$B$10:$B$13,COUNTIF(Config!$A$10:$A$13,"&lt;="&amp;I37))))</f>
        <v/>
      </c>
      <c r="M37" s="38">
        <f>IF(H37="Vencida",E37*I37+ROW()/100000,0)</f>
        <v>0</v>
      </c>
      <c r="N37" s="38">
        <f>IF(AND(H37="A vencer",J37&lt;=Config!$B$7),100000-J37-ROW()/100000,0)</f>
        <v>0</v>
      </c>
    </row>
    <row r="38">
      <c r="A38" s="32" t="inlineStr">
        <is>
          <t>CONS-2026-04</t>
        </is>
      </c>
      <c r="B38" s="23" t="str">
        <f>IF(A38="","",IFERROR(INDEX(Casos!$B$5:$B$204,MATCH(A38,Casos!$A$5:$A$204,0)),""))</f>
        <v>Escola Aurora</v>
      </c>
      <c r="C38" s="34" t="n">
        <v>10</v>
      </c>
      <c r="D38" s="37" t="n">
        <v>46517</v>
      </c>
      <c r="E38" s="36" t="n">
        <v>1100</v>
      </c>
      <c r="F38" s="34" t="inlineStr">
        <is>
          <t>Não</t>
        </is>
      </c>
      <c r="G38" s="37" t="n"/>
      <c r="H38" s="24" t="str">
        <f>IF(A38="","",IF(F38="Sim","Paga",IF(D38="","Sem vencimento",IF(D38&lt;Config!$B$5,"Vencida","A vencer"))))</f>
        <v>A vencer</v>
      </c>
      <c r="I38" s="30">
        <f>IF(H38="Vencida",Config!$B$5-D38,"")</f>
        <v/>
      </c>
      <c r="J38" s="30">
        <f>IF(H38="A vencer",D38-Config!$B$5,"")</f>
        <v>238</v>
      </c>
      <c r="K38" s="24">
        <f>IF(H38&lt;&gt;"Vencida","",IF(COUNTIF(Config!$A$10:$A$13,"&lt;="&amp;I38)=0,"Antes da régua",INDEX(Config!$C$10:$C$13,COUNTIF(Config!$A$10:$A$13,"&lt;="&amp;I38))))</f>
        <v/>
      </c>
      <c r="L38" s="23">
        <f>IF(H38&lt;&gt;"Vencida","",IF(COUNTIF(Config!$A$10:$A$13,"&lt;="&amp;I38)=0,"Aguardar: ainda não chegou ao primeiro passo da régua.",INDEX(Config!$B$10:$B$13,COUNTIF(Config!$A$10:$A$13,"&lt;="&amp;I38))))</f>
        <v/>
      </c>
      <c r="M38" s="38">
        <f>IF(H38="Vencida",E38*I38+ROW()/100000,0)</f>
        <v>0</v>
      </c>
      <c r="N38" s="38">
        <f>IF(AND(H38="A vencer",J38&lt;=Config!$B$7),100000-J38-ROW()/100000,0)</f>
        <v>0</v>
      </c>
    </row>
    <row r="39">
      <c r="A39" s="32" t="inlineStr">
        <is>
          <t>CONS-2026-04</t>
        </is>
      </c>
      <c r="B39" s="23" t="str">
        <f>IF(A39="","",IFERROR(INDEX(Casos!$B$5:$B$204,MATCH(A39,Casos!$A$5:$A$204,0)),""))</f>
        <v>Escola Aurora</v>
      </c>
      <c r="C39" s="34" t="n">
        <v>11</v>
      </c>
      <c r="D39" s="37" t="n">
        <v>46548</v>
      </c>
      <c r="E39" s="36" t="n">
        <v>1100</v>
      </c>
      <c r="F39" s="34" t="inlineStr">
        <is>
          <t>Não</t>
        </is>
      </c>
      <c r="G39" s="37" t="n"/>
      <c r="H39" s="24" t="str">
        <f>IF(A39="","",IF(F39="Sim","Paga",IF(D39="","Sem vencimento",IF(D39&lt;Config!$B$5,"Vencida","A vencer"))))</f>
        <v>A vencer</v>
      </c>
      <c r="I39" s="30">
        <f>IF(H39="Vencida",Config!$B$5-D39,"")</f>
        <v/>
      </c>
      <c r="J39" s="30">
        <f>IF(H39="A vencer",D39-Config!$B$5,"")</f>
        <v>269</v>
      </c>
      <c r="K39" s="24">
        <f>IF(H39&lt;&gt;"Vencida","",IF(COUNTIF(Config!$A$10:$A$13,"&lt;="&amp;I39)=0,"Antes da régua",INDEX(Config!$C$10:$C$13,COUNTIF(Config!$A$10:$A$13,"&lt;="&amp;I39))))</f>
        <v/>
      </c>
      <c r="L39" s="23">
        <f>IF(H39&lt;&gt;"Vencida","",IF(COUNTIF(Config!$A$10:$A$13,"&lt;="&amp;I39)=0,"Aguardar: ainda não chegou ao primeiro passo da régua.",INDEX(Config!$B$10:$B$13,COUNTIF(Config!$A$10:$A$13,"&lt;="&amp;I39))))</f>
        <v/>
      </c>
      <c r="M39" s="38">
        <f>IF(H39="Vencida",E39*I39+ROW()/100000,0)</f>
        <v>0</v>
      </c>
      <c r="N39" s="38">
        <f>IF(AND(H39="A vencer",J39&lt;=Config!$B$7),100000-J39-ROW()/100000,0)</f>
        <v>0</v>
      </c>
    </row>
    <row r="40">
      <c r="A40" s="32" t="inlineStr">
        <is>
          <t>CONS-2026-04</t>
        </is>
      </c>
      <c r="B40" s="23" t="str">
        <f>IF(A40="","",IFERROR(INDEX(Casos!$B$5:$B$204,MATCH(A40,Casos!$A$5:$A$204,0)),""))</f>
        <v>Escola Aurora</v>
      </c>
      <c r="C40" s="34" t="n">
        <v>12</v>
      </c>
      <c r="D40" s="37" t="n">
        <v>46578</v>
      </c>
      <c r="E40" s="36" t="n">
        <v>1100</v>
      </c>
      <c r="F40" s="34" t="inlineStr">
        <is>
          <t>Não</t>
        </is>
      </c>
      <c r="G40" s="37" t="n"/>
      <c r="H40" s="24" t="str">
        <f>IF(A40="","",IF(F40="Sim","Paga",IF(D40="","Sem vencimento",IF(D40&lt;Config!$B$5,"Vencida","A vencer"))))</f>
        <v>A vencer</v>
      </c>
      <c r="I40" s="30">
        <f>IF(H40="Vencida",Config!$B$5-D40,"")</f>
        <v/>
      </c>
      <c r="J40" s="30">
        <f>IF(H40="A vencer",D40-Config!$B$5,"")</f>
        <v>299</v>
      </c>
      <c r="K40" s="24">
        <f>IF(H40&lt;&gt;"Vencida","",IF(COUNTIF(Config!$A$10:$A$13,"&lt;="&amp;I40)=0,"Antes da régua",INDEX(Config!$C$10:$C$13,COUNTIF(Config!$A$10:$A$13,"&lt;="&amp;I40))))</f>
        <v/>
      </c>
      <c r="L40" s="23">
        <f>IF(H40&lt;&gt;"Vencida","",IF(COUNTIF(Config!$A$10:$A$13,"&lt;="&amp;I40)=0,"Aguardar: ainda não chegou ao primeiro passo da régua.",INDEX(Config!$B$10:$B$13,COUNTIF(Config!$A$10:$A$13,"&lt;="&amp;I40))))</f>
        <v/>
      </c>
      <c r="M40" s="38">
        <f>IF(H40="Vencida",E40*I40+ROW()/100000,0)</f>
        <v>0</v>
      </c>
      <c r="N40" s="38">
        <f>IF(AND(H40="A vencer",J40&lt;=Config!$B$7),100000-J40-ROW()/100000,0)</f>
        <v>0</v>
      </c>
    </row>
    <row r="41">
      <c r="A41" s="32" t="inlineStr">
        <is>
          <t>8056747-83.2026.8.26.0561</t>
        </is>
      </c>
      <c r="B41" s="23" t="str">
        <f>IF(A41="","",IFERROR(INDEX(Casos!$B$5:$B$204,MATCH(A41,Casos!$A$5:$A$204,0)),""))</f>
        <v>Bistrô 42</v>
      </c>
      <c r="C41" s="34" t="n">
        <v>1</v>
      </c>
      <c r="D41" s="37" t="n">
        <v>46041</v>
      </c>
      <c r="E41" s="36" t="n">
        <v>3200</v>
      </c>
      <c r="F41" s="34" t="inlineStr">
        <is>
          <t>Sim</t>
        </is>
      </c>
      <c r="G41" s="37" t="n">
        <v>46041</v>
      </c>
      <c r="H41" s="24" t="str">
        <f>IF(A41="","",IF(F41="Sim","Paga",IF(D41="","Sem vencimento",IF(D41&lt;Config!$B$5,"Vencida","A vencer"))))</f>
        <v>Paga</v>
      </c>
      <c r="I41" s="30">
        <f>IF(H41="Vencida",Config!$B$5-D41,"")</f>
        <v/>
      </c>
      <c r="J41" s="30">
        <f>IF(H41="A vencer",D41-Config!$B$5,"")</f>
        <v/>
      </c>
      <c r="K41" s="24">
        <f>IF(H41&lt;&gt;"Vencida","",IF(COUNTIF(Config!$A$10:$A$13,"&lt;="&amp;I41)=0,"Antes da régua",INDEX(Config!$C$10:$C$13,COUNTIF(Config!$A$10:$A$13,"&lt;="&amp;I41))))</f>
        <v/>
      </c>
      <c r="L41" s="23">
        <f>IF(H41&lt;&gt;"Vencida","",IF(COUNTIF(Config!$A$10:$A$13,"&lt;="&amp;I41)=0,"Aguardar: ainda não chegou ao primeiro passo da régua.",INDEX(Config!$B$10:$B$13,COUNTIF(Config!$A$10:$A$13,"&lt;="&amp;I41))))</f>
        <v/>
      </c>
      <c r="M41" s="38">
        <f>IF(H41="Vencida",E41*I41+ROW()/100000,0)</f>
        <v>0</v>
      </c>
      <c r="N41" s="38">
        <f>IF(AND(H41="A vencer",J41&lt;=Config!$B$7),100000-J41-ROW()/100000,0)</f>
        <v>0</v>
      </c>
    </row>
    <row r="42">
      <c r="A42" s="32" t="inlineStr">
        <is>
          <t>8056747-83.2026.8.26.0561</t>
        </is>
      </c>
      <c r="B42" s="23" t="str">
        <f>IF(A42="","",IFERROR(INDEX(Casos!$B$5:$B$204,MATCH(A42,Casos!$A$5:$A$204,0)),""))</f>
        <v>Bistrô 42</v>
      </c>
      <c r="C42" s="34" t="n">
        <v>2</v>
      </c>
      <c r="D42" s="37" t="n">
        <v>46071</v>
      </c>
      <c r="E42" s="36" t="n">
        <v>2100</v>
      </c>
      <c r="F42" s="34" t="inlineStr">
        <is>
          <t>Sim</t>
        </is>
      </c>
      <c r="G42" s="37" t="n">
        <v>46073</v>
      </c>
      <c r="H42" s="24" t="str">
        <f>IF(A42="","",IF(F42="Sim","Paga",IF(D42="","Sem vencimento",IF(D42&lt;Config!$B$5,"Vencida","A vencer"))))</f>
        <v>Paga</v>
      </c>
      <c r="I42" s="30">
        <f>IF(H42="Vencida",Config!$B$5-D42,"")</f>
        <v/>
      </c>
      <c r="J42" s="30">
        <f>IF(H42="A vencer",D42-Config!$B$5,"")</f>
        <v/>
      </c>
      <c r="K42" s="24">
        <f>IF(H42&lt;&gt;"Vencida","",IF(COUNTIF(Config!$A$10:$A$13,"&lt;="&amp;I42)=0,"Antes da régua",INDEX(Config!$C$10:$C$13,COUNTIF(Config!$A$10:$A$13,"&lt;="&amp;I42))))</f>
        <v/>
      </c>
      <c r="L42" s="23">
        <f>IF(H42&lt;&gt;"Vencida","",IF(COUNTIF(Config!$A$10:$A$13,"&lt;="&amp;I42)=0,"Aguardar: ainda não chegou ao primeiro passo da régua.",INDEX(Config!$B$10:$B$13,COUNTIF(Config!$A$10:$A$13,"&lt;="&amp;I42))))</f>
        <v/>
      </c>
      <c r="M42" s="38">
        <f>IF(H42="Vencida",E42*I42+ROW()/100000,0)</f>
        <v>0</v>
      </c>
      <c r="N42" s="38">
        <f>IF(AND(H42="A vencer",J42&lt;=Config!$B$7),100000-J42-ROW()/100000,0)</f>
        <v>0</v>
      </c>
    </row>
    <row r="43">
      <c r="A43" s="32" t="inlineStr">
        <is>
          <t>8056747-83.2026.8.26.0561</t>
        </is>
      </c>
      <c r="B43" s="23" t="str">
        <f>IF(A43="","",IFERROR(INDEX(Casos!$B$5:$B$204,MATCH(A43,Casos!$A$5:$A$204,0)),""))</f>
        <v>Bistrô 42</v>
      </c>
      <c r="C43" s="34" t="n">
        <v>3</v>
      </c>
      <c r="D43" s="37" t="n">
        <v>46099</v>
      </c>
      <c r="E43" s="36" t="n">
        <v>2100</v>
      </c>
      <c r="F43" s="34" t="inlineStr">
        <is>
          <t>Não</t>
        </is>
      </c>
      <c r="G43" s="37" t="n"/>
      <c r="H43" s="24" t="str">
        <f>IF(A43="","",IF(F43="Sim","Paga",IF(D43="","Sem vencimento",IF(D43&lt;Config!$B$5,"Vencida","A vencer"))))</f>
        <v>Vencida</v>
      </c>
      <c r="I43" s="30">
        <f>IF(H43="Vencida",Config!$B$5-D43,"")</f>
        <v>180</v>
      </c>
      <c r="J43" s="30">
        <f>IF(H43="A vencer",D43-Config!$B$5,"")</f>
        <v/>
      </c>
      <c r="K43" s="24" t="str">
        <f>IF(H43&lt;&gt;"Vencida","",IF(COUNTIF(Config!$A$10:$A$13,"&lt;="&amp;I43)=0,"Antes da régua",INDEX(Config!$C$10:$C$13,COUNTIF(Config!$A$10:$A$13,"&lt;="&amp;I43))))</f>
        <v>30 dias ou mais</v>
      </c>
      <c r="L43" s="23" t="str">
        <f>IF(H43&lt;&gt;"Vencida","",IF(COUNTIF(Config!$A$10:$A$13,"&lt;="&amp;I43)=0,"Aguardar: ainda não chegou ao primeiro passo da régua.",INDEX(Config!$B$10:$B$13,COUNTIF(Config!$A$10:$A$13,"&lt;="&amp;I43))))</f>
        <v>Ligação ou reunião para combinar um plano de pagamento; registrar por escrito o que foi combinado e a nova data.</v>
      </c>
      <c r="M43" s="38">
        <f>IF(H43="Vencida",E43*I43+ROW()/100000,0)</f>
        <v>378000.00043</v>
      </c>
      <c r="N43" s="38">
        <f>IF(AND(H43="A vencer",J43&lt;=Config!$B$7),100000-J43-ROW()/100000,0)</f>
        <v>0</v>
      </c>
    </row>
    <row r="44">
      <c r="A44" s="32" t="inlineStr">
        <is>
          <t>8056747-83.2026.8.26.0561</t>
        </is>
      </c>
      <c r="B44" s="23" t="str">
        <f>IF(A44="","",IFERROR(INDEX(Casos!$B$5:$B$204,MATCH(A44,Casos!$A$5:$A$204,0)),""))</f>
        <v>Bistrô 42</v>
      </c>
      <c r="C44" s="34" t="n">
        <v>4</v>
      </c>
      <c r="D44" s="37" t="n">
        <v>46129</v>
      </c>
      <c r="E44" s="36" t="n">
        <v>2100</v>
      </c>
      <c r="F44" s="34" t="inlineStr">
        <is>
          <t>Não</t>
        </is>
      </c>
      <c r="G44" s="37" t="n"/>
      <c r="H44" s="24" t="str">
        <f>IF(A44="","",IF(F44="Sim","Paga",IF(D44="","Sem vencimento",IF(D44&lt;Config!$B$5,"Vencida","A vencer"))))</f>
        <v>Vencida</v>
      </c>
      <c r="I44" s="30">
        <f>IF(H44="Vencida",Config!$B$5-D44,"")</f>
        <v>150</v>
      </c>
      <c r="J44" s="30">
        <f>IF(H44="A vencer",D44-Config!$B$5,"")</f>
        <v/>
      </c>
      <c r="K44" s="24" t="str">
        <f>IF(H44&lt;&gt;"Vencida","",IF(COUNTIF(Config!$A$10:$A$13,"&lt;="&amp;I44)=0,"Antes da régua",INDEX(Config!$C$10:$C$13,COUNTIF(Config!$A$10:$A$13,"&lt;="&amp;I44))))</f>
        <v>30 dias ou mais</v>
      </c>
      <c r="L44" s="23" t="str">
        <f>IF(H44&lt;&gt;"Vencida","",IF(COUNTIF(Config!$A$10:$A$13,"&lt;="&amp;I44)=0,"Aguardar: ainda não chegou ao primeiro passo da régua.",INDEX(Config!$B$10:$B$13,COUNTIF(Config!$A$10:$A$13,"&lt;="&amp;I44))))</f>
        <v>Ligação ou reunião para combinar um plano de pagamento; registrar por escrito o que foi combinado e a nova data.</v>
      </c>
      <c r="M44" s="38">
        <f>IF(H44="Vencida",E44*I44+ROW()/100000,0)</f>
        <v>315000.00044</v>
      </c>
      <c r="N44" s="38">
        <f>IF(AND(H44="A vencer",J44&lt;=Config!$B$7),100000-J44-ROW()/100000,0)</f>
        <v>0</v>
      </c>
    </row>
    <row r="45">
      <c r="A45" s="32" t="inlineStr">
        <is>
          <t>5025425-10.2025.8.26.0629</t>
        </is>
      </c>
      <c r="B45" s="23" t="str">
        <f>IF(A45="","",IFERROR(INDEX(Casos!$B$5:$B$204,MATCH(A45,Casos!$A$5:$A$204,0)),""))</f>
        <v>Roberto Almeida</v>
      </c>
      <c r="C45" s="34" t="n">
        <v>1</v>
      </c>
      <c r="D45" s="37" t="n">
        <v>45999</v>
      </c>
      <c r="E45" s="36" t="n">
        <v>6000</v>
      </c>
      <c r="F45" s="34" t="inlineStr">
        <is>
          <t>Sim</t>
        </is>
      </c>
      <c r="G45" s="37" t="n">
        <v>45999</v>
      </c>
      <c r="H45" s="24" t="str">
        <f>IF(A45="","",IF(F45="Sim","Paga",IF(D45="","Sem vencimento",IF(D45&lt;Config!$B$5,"Vencida","A vencer"))))</f>
        <v>Paga</v>
      </c>
      <c r="I45" s="30">
        <f>IF(H45="Vencida",Config!$B$5-D45,"")</f>
        <v/>
      </c>
      <c r="J45" s="30">
        <f>IF(H45="A vencer",D45-Config!$B$5,"")</f>
        <v/>
      </c>
      <c r="K45" s="24">
        <f>IF(H45&lt;&gt;"Vencida","",IF(COUNTIF(Config!$A$10:$A$13,"&lt;="&amp;I45)=0,"Antes da régua",INDEX(Config!$C$10:$C$13,COUNTIF(Config!$A$10:$A$13,"&lt;="&amp;I45))))</f>
        <v/>
      </c>
      <c r="L45" s="23">
        <f>IF(H45&lt;&gt;"Vencida","",IF(COUNTIF(Config!$A$10:$A$13,"&lt;="&amp;I45)=0,"Aguardar: ainda não chegou ao primeiro passo da régua.",INDEX(Config!$B$10:$B$13,COUNTIF(Config!$A$10:$A$13,"&lt;="&amp;I45))))</f>
        <v/>
      </c>
      <c r="M45" s="38">
        <f>IF(H45="Vencida",E45*I45+ROW()/100000,0)</f>
        <v>0</v>
      </c>
      <c r="N45" s="38">
        <f>IF(AND(H45="A vencer",J45&lt;=Config!$B$7),100000-J45-ROW()/100000,0)</f>
        <v>0</v>
      </c>
    </row>
    <row r="46">
      <c r="A46" s="32" t="inlineStr">
        <is>
          <t>5025425-10.2025.8.26.0629</t>
        </is>
      </c>
      <c r="B46" s="23" t="str">
        <f>IF(A46="","",IFERROR(INDEX(Casos!$B$5:$B$204,MATCH(A46,Casos!$A$5:$A$204,0)),""))</f>
        <v>Roberto Almeida</v>
      </c>
      <c r="C46" s="34" t="n">
        <v>2</v>
      </c>
      <c r="D46" s="37" t="n">
        <v>46029</v>
      </c>
      <c r="E46" s="36" t="n">
        <v>3000</v>
      </c>
      <c r="F46" s="34" t="inlineStr">
        <is>
          <t>Sim</t>
        </is>
      </c>
      <c r="G46" s="37" t="n">
        <v>46034</v>
      </c>
      <c r="H46" s="24" t="str">
        <f>IF(A46="","",IF(F46="Sim","Paga",IF(D46="","Sem vencimento",IF(D46&lt;Config!$B$5,"Vencida","A vencer"))))</f>
        <v>Paga</v>
      </c>
      <c r="I46" s="30">
        <f>IF(H46="Vencida",Config!$B$5-D46,"")</f>
        <v/>
      </c>
      <c r="J46" s="30">
        <f>IF(H46="A vencer",D46-Config!$B$5,"")</f>
        <v/>
      </c>
      <c r="K46" s="24">
        <f>IF(H46&lt;&gt;"Vencida","",IF(COUNTIF(Config!$A$10:$A$13,"&lt;="&amp;I46)=0,"Antes da régua",INDEX(Config!$C$10:$C$13,COUNTIF(Config!$A$10:$A$13,"&lt;="&amp;I46))))</f>
        <v/>
      </c>
      <c r="L46" s="23">
        <f>IF(H46&lt;&gt;"Vencida","",IF(COUNTIF(Config!$A$10:$A$13,"&lt;="&amp;I46)=0,"Aguardar: ainda não chegou ao primeiro passo da régua.",INDEX(Config!$B$10:$B$13,COUNTIF(Config!$A$10:$A$13,"&lt;="&amp;I46))))</f>
        <v/>
      </c>
      <c r="M46" s="38">
        <f>IF(H46="Vencida",E46*I46+ROW()/100000,0)</f>
        <v>0</v>
      </c>
      <c r="N46" s="38">
        <f>IF(AND(H46="A vencer",J46&lt;=Config!$B$7),100000-J46-ROW()/100000,0)</f>
        <v>0</v>
      </c>
    </row>
    <row r="47">
      <c r="A47" s="32" t="inlineStr">
        <is>
          <t>5025425-10.2025.8.26.0629</t>
        </is>
      </c>
      <c r="B47" s="23" t="str">
        <f>IF(A47="","",IFERROR(INDEX(Casos!$B$5:$B$204,MATCH(A47,Casos!$A$5:$A$204,0)),""))</f>
        <v>Roberto Almeida</v>
      </c>
      <c r="C47" s="34" t="n">
        <v>3</v>
      </c>
      <c r="D47" s="37" t="n">
        <v>46059</v>
      </c>
      <c r="E47" s="36" t="n">
        <v>3000</v>
      </c>
      <c r="F47" s="34" t="inlineStr">
        <is>
          <t>Sim</t>
        </is>
      </c>
      <c r="G47" s="37" t="n">
        <v>46062</v>
      </c>
      <c r="H47" s="24" t="str">
        <f>IF(A47="","",IF(F47="Sim","Paga",IF(D47="","Sem vencimento",IF(D47&lt;Config!$B$5,"Vencida","A vencer"))))</f>
        <v>Paga</v>
      </c>
      <c r="I47" s="30">
        <f>IF(H47="Vencida",Config!$B$5-D47,"")</f>
        <v/>
      </c>
      <c r="J47" s="30">
        <f>IF(H47="A vencer",D47-Config!$B$5,"")</f>
        <v/>
      </c>
      <c r="K47" s="24">
        <f>IF(H47&lt;&gt;"Vencida","",IF(COUNTIF(Config!$A$10:$A$13,"&lt;="&amp;I47)=0,"Antes da régua",INDEX(Config!$C$10:$C$13,COUNTIF(Config!$A$10:$A$13,"&lt;="&amp;I47))))</f>
        <v/>
      </c>
      <c r="L47" s="23">
        <f>IF(H47&lt;&gt;"Vencida","",IF(COUNTIF(Config!$A$10:$A$13,"&lt;="&amp;I47)=0,"Aguardar: ainda não chegou ao primeiro passo da régua.",INDEX(Config!$B$10:$B$13,COUNTIF(Config!$A$10:$A$13,"&lt;="&amp;I47))))</f>
        <v/>
      </c>
      <c r="M47" s="38">
        <f>IF(H47="Vencida",E47*I47+ROW()/100000,0)</f>
        <v>0</v>
      </c>
      <c r="N47" s="38">
        <f>IF(AND(H47="A vencer",J47&lt;=Config!$B$7),100000-J47-ROW()/100000,0)</f>
        <v>0</v>
      </c>
    </row>
    <row r="48">
      <c r="A48" s="32" t="inlineStr">
        <is>
          <t>5025425-10.2025.8.26.0629</t>
        </is>
      </c>
      <c r="B48" s="23" t="str">
        <f>IF(A48="","",IFERROR(INDEX(Casos!$B$5:$B$204,MATCH(A48,Casos!$A$5:$A$204,0)),""))</f>
        <v>Roberto Almeida</v>
      </c>
      <c r="C48" s="34" t="n">
        <v>4</v>
      </c>
      <c r="D48" s="37" t="n">
        <v>46090</v>
      </c>
      <c r="E48" s="36" t="n">
        <v>3000</v>
      </c>
      <c r="F48" s="34" t="inlineStr">
        <is>
          <t>Sim</t>
        </is>
      </c>
      <c r="G48" s="37" t="n">
        <v>46090</v>
      </c>
      <c r="H48" s="24" t="str">
        <f>IF(A48="","",IF(F48="Sim","Paga",IF(D48="","Sem vencimento",IF(D48&lt;Config!$B$5,"Vencida","A vencer"))))</f>
        <v>Paga</v>
      </c>
      <c r="I48" s="30">
        <f>IF(H48="Vencida",Config!$B$5-D48,"")</f>
        <v/>
      </c>
      <c r="J48" s="30">
        <f>IF(H48="A vencer",D48-Config!$B$5,"")</f>
        <v/>
      </c>
      <c r="K48" s="24">
        <f>IF(H48&lt;&gt;"Vencida","",IF(COUNTIF(Config!$A$10:$A$13,"&lt;="&amp;I48)=0,"Antes da régua",INDEX(Config!$C$10:$C$13,COUNTIF(Config!$A$10:$A$13,"&lt;="&amp;I48))))</f>
        <v/>
      </c>
      <c r="L48" s="23">
        <f>IF(H48&lt;&gt;"Vencida","",IF(COUNTIF(Config!$A$10:$A$13,"&lt;="&amp;I48)=0,"Aguardar: ainda não chegou ao primeiro passo da régua.",INDEX(Config!$B$10:$B$13,COUNTIF(Config!$A$10:$A$13,"&lt;="&amp;I48))))</f>
        <v/>
      </c>
      <c r="M48" s="38">
        <f>IF(H48="Vencida",E48*I48+ROW()/100000,0)</f>
        <v>0</v>
      </c>
      <c r="N48" s="38">
        <f>IF(AND(H48="A vencer",J48&lt;=Config!$B$7),100000-J48-ROW()/100000,0)</f>
        <v>0</v>
      </c>
    </row>
    <row r="49">
      <c r="A49" s="32" t="inlineStr">
        <is>
          <t>2354318-24.2026.8.26.0295</t>
        </is>
      </c>
      <c r="B49" s="23" t="str">
        <f>IF(A49="","",IFERROR(INDEX(Casos!$B$5:$B$204,MATCH(A49,Casos!$A$5:$A$204,0)),""))</f>
        <v>Roberto Almeida</v>
      </c>
      <c r="C49" s="34" t="n">
        <v>1</v>
      </c>
      <c r="D49" s="37" t="n">
        <v>46153</v>
      </c>
      <c r="E49" s="36" t="n">
        <v>3000</v>
      </c>
      <c r="F49" s="34" t="inlineStr">
        <is>
          <t>Sim</t>
        </is>
      </c>
      <c r="G49" s="37" t="n">
        <v>46153</v>
      </c>
      <c r="H49" s="24" t="str">
        <f>IF(A49="","",IF(F49="Sim","Paga",IF(D49="","Sem vencimento",IF(D49&lt;Config!$B$5,"Vencida","A vencer"))))</f>
        <v>Paga</v>
      </c>
      <c r="I49" s="30">
        <f>IF(H49="Vencida",Config!$B$5-D49,"")</f>
        <v/>
      </c>
      <c r="J49" s="30">
        <f>IF(H49="A vencer",D49-Config!$B$5,"")</f>
        <v/>
      </c>
      <c r="K49" s="24">
        <f>IF(H49&lt;&gt;"Vencida","",IF(COUNTIF(Config!$A$10:$A$13,"&lt;="&amp;I49)=0,"Antes da régua",INDEX(Config!$C$10:$C$13,COUNTIF(Config!$A$10:$A$13,"&lt;="&amp;I49))))</f>
        <v/>
      </c>
      <c r="L49" s="23">
        <f>IF(H49&lt;&gt;"Vencida","",IF(COUNTIF(Config!$A$10:$A$13,"&lt;="&amp;I49)=0,"Aguardar: ainda não chegou ao primeiro passo da régua.",INDEX(Config!$B$10:$B$13,COUNTIF(Config!$A$10:$A$13,"&lt;="&amp;I49))))</f>
        <v/>
      </c>
      <c r="M49" s="38">
        <f>IF(H49="Vencida",E49*I49+ROW()/100000,0)</f>
        <v>0</v>
      </c>
      <c r="N49" s="38">
        <f>IF(AND(H49="A vencer",J49&lt;=Config!$B$7),100000-J49-ROW()/100000,0)</f>
        <v>0</v>
      </c>
    </row>
    <row r="50">
      <c r="A50" s="32" t="inlineStr">
        <is>
          <t>2354318-24.2026.8.26.0295</t>
        </is>
      </c>
      <c r="B50" s="23" t="str">
        <f>IF(A50="","",IFERROR(INDEX(Casos!$B$5:$B$204,MATCH(A50,Casos!$A$5:$A$204,0)),""))</f>
        <v>Roberto Almeida</v>
      </c>
      <c r="C50" s="34" t="n">
        <v>2</v>
      </c>
      <c r="D50" s="37" t="n">
        <v>46183</v>
      </c>
      <c r="E50" s="36" t="n">
        <v>2100</v>
      </c>
      <c r="F50" s="34" t="inlineStr">
        <is>
          <t>Sim</t>
        </is>
      </c>
      <c r="G50" s="37" t="n">
        <v>46183</v>
      </c>
      <c r="H50" s="24" t="str">
        <f>IF(A50="","",IF(F50="Sim","Paga",IF(D50="","Sem vencimento",IF(D50&lt;Config!$B$5,"Vencida","A vencer"))))</f>
        <v>Paga</v>
      </c>
      <c r="I50" s="30">
        <f>IF(H50="Vencida",Config!$B$5-D50,"")</f>
        <v/>
      </c>
      <c r="J50" s="30">
        <f>IF(H50="A vencer",D50-Config!$B$5,"")</f>
        <v/>
      </c>
      <c r="K50" s="24">
        <f>IF(H50&lt;&gt;"Vencida","",IF(COUNTIF(Config!$A$10:$A$13,"&lt;="&amp;I50)=0,"Antes da régua",INDEX(Config!$C$10:$C$13,COUNTIF(Config!$A$10:$A$13,"&lt;="&amp;I50))))</f>
        <v/>
      </c>
      <c r="L50" s="23">
        <f>IF(H50&lt;&gt;"Vencida","",IF(COUNTIF(Config!$A$10:$A$13,"&lt;="&amp;I50)=0,"Aguardar: ainda não chegou ao primeiro passo da régua.",INDEX(Config!$B$10:$B$13,COUNTIF(Config!$A$10:$A$13,"&lt;="&amp;I50))))</f>
        <v/>
      </c>
      <c r="M50" s="38">
        <f>IF(H50="Vencida",E50*I50+ROW()/100000,0)</f>
        <v>0</v>
      </c>
      <c r="N50" s="38">
        <f>IF(AND(H50="A vencer",J50&lt;=Config!$B$7),100000-J50-ROW()/100000,0)</f>
        <v>0</v>
      </c>
    </row>
    <row r="51">
      <c r="A51" s="32" t="inlineStr">
        <is>
          <t>2354318-24.2026.8.26.0295</t>
        </is>
      </c>
      <c r="B51" s="23" t="str">
        <f>IF(A51="","",IFERROR(INDEX(Casos!$B$5:$B$204,MATCH(A51,Casos!$A$5:$A$204,0)),""))</f>
        <v>Roberto Almeida</v>
      </c>
      <c r="C51" s="34" t="n">
        <v>3</v>
      </c>
      <c r="D51" s="37" t="n">
        <v>46213</v>
      </c>
      <c r="E51" s="36" t="n">
        <v>2100</v>
      </c>
      <c r="F51" s="34" t="inlineStr">
        <is>
          <t>Sim</t>
        </is>
      </c>
      <c r="G51" s="37" t="n">
        <v>46220</v>
      </c>
      <c r="H51" s="24" t="str">
        <f>IF(A51="","",IF(F51="Sim","Paga",IF(D51="","Sem vencimento",IF(D51&lt;Config!$B$5,"Vencida","A vencer"))))</f>
        <v>Paga</v>
      </c>
      <c r="I51" s="30">
        <f>IF(H51="Vencida",Config!$B$5-D51,"")</f>
        <v/>
      </c>
      <c r="J51" s="30">
        <f>IF(H51="A vencer",D51-Config!$B$5,"")</f>
        <v/>
      </c>
      <c r="K51" s="24">
        <f>IF(H51&lt;&gt;"Vencida","",IF(COUNTIF(Config!$A$10:$A$13,"&lt;="&amp;I51)=0,"Antes da régua",INDEX(Config!$C$10:$C$13,COUNTIF(Config!$A$10:$A$13,"&lt;="&amp;I51))))</f>
        <v/>
      </c>
      <c r="L51" s="23">
        <f>IF(H51&lt;&gt;"Vencida","",IF(COUNTIF(Config!$A$10:$A$13,"&lt;="&amp;I51)=0,"Aguardar: ainda não chegou ao primeiro passo da régua.",INDEX(Config!$B$10:$B$13,COUNTIF(Config!$A$10:$A$13,"&lt;="&amp;I51))))</f>
        <v/>
      </c>
      <c r="M51" s="38">
        <f>IF(H51="Vencida",E51*I51+ROW()/100000,0)</f>
        <v>0</v>
      </c>
      <c r="N51" s="38">
        <f>IF(AND(H51="A vencer",J51&lt;=Config!$B$7),100000-J51-ROW()/100000,0)</f>
        <v>0</v>
      </c>
    </row>
    <row r="52">
      <c r="A52" s="32" t="inlineStr">
        <is>
          <t>CONS-2025-05</t>
        </is>
      </c>
      <c r="B52" s="23" t="str">
        <f>IF(A52="","",IFERROR(INDEX(Casos!$B$5:$B$204,MATCH(A52,Casos!$A$5:$A$204,0)),""))</f>
        <v>Clínica Bem-Estar</v>
      </c>
      <c r="C52" s="34" t="n">
        <v>1</v>
      </c>
      <c r="D52" s="37" t="n">
        <v>46001</v>
      </c>
      <c r="E52" s="36" t="n">
        <v>1800</v>
      </c>
      <c r="F52" s="34" t="inlineStr">
        <is>
          <t>Sim</t>
        </is>
      </c>
      <c r="G52" s="37" t="n">
        <v>46001</v>
      </c>
      <c r="H52" s="24" t="str">
        <f>IF(A52="","",IF(F52="Sim","Paga",IF(D52="","Sem vencimento",IF(D52&lt;Config!$B$5,"Vencida","A vencer"))))</f>
        <v>Paga</v>
      </c>
      <c r="I52" s="30">
        <f>IF(H52="Vencida",Config!$B$5-D52,"")</f>
        <v/>
      </c>
      <c r="J52" s="30">
        <f>IF(H52="A vencer",D52-Config!$B$5,"")</f>
        <v/>
      </c>
      <c r="K52" s="24">
        <f>IF(H52&lt;&gt;"Vencida","",IF(COUNTIF(Config!$A$10:$A$13,"&lt;="&amp;I52)=0,"Antes da régua",INDEX(Config!$C$10:$C$13,COUNTIF(Config!$A$10:$A$13,"&lt;="&amp;I52))))</f>
        <v/>
      </c>
      <c r="L52" s="23">
        <f>IF(H52&lt;&gt;"Vencida","",IF(COUNTIF(Config!$A$10:$A$13,"&lt;="&amp;I52)=0,"Aguardar: ainda não chegou ao primeiro passo da régua.",INDEX(Config!$B$10:$B$13,COUNTIF(Config!$A$10:$A$13,"&lt;="&amp;I52))))</f>
        <v/>
      </c>
      <c r="M52" s="38">
        <f>IF(H52="Vencida",E52*I52+ROW()/100000,0)</f>
        <v>0</v>
      </c>
      <c r="N52" s="38">
        <f>IF(AND(H52="A vencer",J52&lt;=Config!$B$7),100000-J52-ROW()/100000,0)</f>
        <v>0</v>
      </c>
    </row>
    <row r="53">
      <c r="A53" s="32" t="inlineStr">
        <is>
          <t>CONS-2025-05</t>
        </is>
      </c>
      <c r="B53" s="23" t="str">
        <f>IF(A53="","",IFERROR(INDEX(Casos!$B$5:$B$204,MATCH(A53,Casos!$A$5:$A$204,0)),""))</f>
        <v>Clínica Bem-Estar</v>
      </c>
      <c r="C53" s="34" t="n">
        <v>2</v>
      </c>
      <c r="D53" s="37" t="n">
        <v>46034</v>
      </c>
      <c r="E53" s="36" t="n">
        <v>2520</v>
      </c>
      <c r="F53" s="34" t="inlineStr">
        <is>
          <t>Sim</t>
        </is>
      </c>
      <c r="G53" s="37" t="n">
        <v>46034</v>
      </c>
      <c r="H53" s="24" t="str">
        <f>IF(A53="","",IF(F53="Sim","Paga",IF(D53="","Sem vencimento",IF(D53&lt;Config!$B$5,"Vencida","A vencer"))))</f>
        <v>Paga</v>
      </c>
      <c r="I53" s="30">
        <f>IF(H53="Vencida",Config!$B$5-D53,"")</f>
        <v/>
      </c>
      <c r="J53" s="30">
        <f>IF(H53="A vencer",D53-Config!$B$5,"")</f>
        <v/>
      </c>
      <c r="K53" s="24">
        <f>IF(H53&lt;&gt;"Vencida","",IF(COUNTIF(Config!$A$10:$A$13,"&lt;="&amp;I53)=0,"Antes da régua",INDEX(Config!$C$10:$C$13,COUNTIF(Config!$A$10:$A$13,"&lt;="&amp;I53))))</f>
        <v/>
      </c>
      <c r="L53" s="23">
        <f>IF(H53&lt;&gt;"Vencida","",IF(COUNTIF(Config!$A$10:$A$13,"&lt;="&amp;I53)=0,"Aguardar: ainda não chegou ao primeiro passo da régua.",INDEX(Config!$B$10:$B$13,COUNTIF(Config!$A$10:$A$13,"&lt;="&amp;I53))))</f>
        <v/>
      </c>
      <c r="M53" s="38">
        <f>IF(H53="Vencida",E53*I53+ROW()/100000,0)</f>
        <v>0</v>
      </c>
      <c r="N53" s="38">
        <f>IF(AND(H53="A vencer",J53&lt;=Config!$B$7),100000-J53-ROW()/100000,0)</f>
        <v>0</v>
      </c>
    </row>
    <row r="54">
      <c r="A54" s="32" t="inlineStr">
        <is>
          <t>CONS-2025-05</t>
        </is>
      </c>
      <c r="B54" s="23" t="str">
        <f>IF(A54="","",IFERROR(INDEX(Casos!$B$5:$B$204,MATCH(A54,Casos!$A$5:$A$204,0)),""))</f>
        <v>Clínica Bem-Estar</v>
      </c>
      <c r="C54" s="34" t="n">
        <v>3</v>
      </c>
      <c r="D54" s="37" t="n">
        <v>46063</v>
      </c>
      <c r="E54" s="36" t="n">
        <v>1980</v>
      </c>
      <c r="F54" s="34" t="inlineStr">
        <is>
          <t>Sim</t>
        </is>
      </c>
      <c r="G54" s="37" t="n">
        <v>46063</v>
      </c>
      <c r="H54" s="24" t="str">
        <f>IF(A54="","",IF(F54="Sim","Paga",IF(D54="","Sem vencimento",IF(D54&lt;Config!$B$5,"Vencida","A vencer"))))</f>
        <v>Paga</v>
      </c>
      <c r="I54" s="30">
        <f>IF(H54="Vencida",Config!$B$5-D54,"")</f>
        <v/>
      </c>
      <c r="J54" s="30">
        <f>IF(H54="A vencer",D54-Config!$B$5,"")</f>
        <v/>
      </c>
      <c r="K54" s="24">
        <f>IF(H54&lt;&gt;"Vencida","",IF(COUNTIF(Config!$A$10:$A$13,"&lt;="&amp;I54)=0,"Antes da régua",INDEX(Config!$C$10:$C$13,COUNTIF(Config!$A$10:$A$13,"&lt;="&amp;I54))))</f>
        <v/>
      </c>
      <c r="L54" s="23">
        <f>IF(H54&lt;&gt;"Vencida","",IF(COUNTIF(Config!$A$10:$A$13,"&lt;="&amp;I54)=0,"Aguardar: ainda não chegou ao primeiro passo da régua.",INDEX(Config!$B$10:$B$13,COUNTIF(Config!$A$10:$A$13,"&lt;="&amp;I54))))</f>
        <v/>
      </c>
      <c r="M54" s="38">
        <f>IF(H54="Vencida",E54*I54+ROW()/100000,0)</f>
        <v>0</v>
      </c>
      <c r="N54" s="38">
        <f>IF(AND(H54="A vencer",J54&lt;=Config!$B$7),100000-J54-ROW()/100000,0)</f>
        <v>0</v>
      </c>
    </row>
    <row r="55">
      <c r="A55" s="32" t="inlineStr">
        <is>
          <t>CONS-2025-05</t>
        </is>
      </c>
      <c r="B55" s="23" t="str">
        <f>IF(A55="","",IFERROR(INDEX(Casos!$B$5:$B$204,MATCH(A55,Casos!$A$5:$A$204,0)),""))</f>
        <v>Clínica Bem-Estar</v>
      </c>
      <c r="C55" s="34" t="n">
        <v>4</v>
      </c>
      <c r="D55" s="37" t="n">
        <v>46091</v>
      </c>
      <c r="E55" s="36" t="n">
        <v>2340</v>
      </c>
      <c r="F55" s="34" t="inlineStr">
        <is>
          <t>Sim</t>
        </is>
      </c>
      <c r="G55" s="37" t="n">
        <v>46091</v>
      </c>
      <c r="H55" s="24" t="str">
        <f>IF(A55="","",IF(F55="Sim","Paga",IF(D55="","Sem vencimento",IF(D55&lt;Config!$B$5,"Vencida","A vencer"))))</f>
        <v>Paga</v>
      </c>
      <c r="I55" s="30">
        <f>IF(H55="Vencida",Config!$B$5-D55,"")</f>
        <v/>
      </c>
      <c r="J55" s="30">
        <f>IF(H55="A vencer",D55-Config!$B$5,"")</f>
        <v/>
      </c>
      <c r="K55" s="24">
        <f>IF(H55&lt;&gt;"Vencida","",IF(COUNTIF(Config!$A$10:$A$13,"&lt;="&amp;I55)=0,"Antes da régua",INDEX(Config!$C$10:$C$13,COUNTIF(Config!$A$10:$A$13,"&lt;="&amp;I55))))</f>
        <v/>
      </c>
      <c r="L55" s="23">
        <f>IF(H55&lt;&gt;"Vencida","",IF(COUNTIF(Config!$A$10:$A$13,"&lt;="&amp;I55)=0,"Aguardar: ainda não chegou ao primeiro passo da régua.",INDEX(Config!$B$10:$B$13,COUNTIF(Config!$A$10:$A$13,"&lt;="&amp;I55))))</f>
        <v/>
      </c>
      <c r="M55" s="38">
        <f>IF(H55="Vencida",E55*I55+ROW()/100000,0)</f>
        <v>0</v>
      </c>
      <c r="N55" s="38">
        <f>IF(AND(H55="A vencer",J55&lt;=Config!$B$7),100000-J55-ROW()/100000,0)</f>
        <v>0</v>
      </c>
    </row>
    <row r="56">
      <c r="A56" s="32" t="inlineStr">
        <is>
          <t>CONS-2025-05</t>
        </is>
      </c>
      <c r="B56" s="23" t="str">
        <f>IF(A56="","",IFERROR(INDEX(Casos!$B$5:$B$204,MATCH(A56,Casos!$A$5:$A$204,0)),""))</f>
        <v>Clínica Bem-Estar</v>
      </c>
      <c r="C56" s="34" t="n">
        <v>5</v>
      </c>
      <c r="D56" s="37" t="n">
        <v>46122</v>
      </c>
      <c r="E56" s="36" t="n">
        <v>1800</v>
      </c>
      <c r="F56" s="34" t="inlineStr">
        <is>
          <t>Sim</t>
        </is>
      </c>
      <c r="G56" s="37" t="n">
        <v>46122</v>
      </c>
      <c r="H56" s="24" t="str">
        <f>IF(A56="","",IF(F56="Sim","Paga",IF(D56="","Sem vencimento",IF(D56&lt;Config!$B$5,"Vencida","A vencer"))))</f>
        <v>Paga</v>
      </c>
      <c r="I56" s="30">
        <f>IF(H56="Vencida",Config!$B$5-D56,"")</f>
        <v/>
      </c>
      <c r="J56" s="30">
        <f>IF(H56="A vencer",D56-Config!$B$5,"")</f>
        <v/>
      </c>
      <c r="K56" s="24">
        <f>IF(H56&lt;&gt;"Vencida","",IF(COUNTIF(Config!$A$10:$A$13,"&lt;="&amp;I56)=0,"Antes da régua",INDEX(Config!$C$10:$C$13,COUNTIF(Config!$A$10:$A$13,"&lt;="&amp;I56))))</f>
        <v/>
      </c>
      <c r="L56" s="23">
        <f>IF(H56&lt;&gt;"Vencida","",IF(COUNTIF(Config!$A$10:$A$13,"&lt;="&amp;I56)=0,"Aguardar: ainda não chegou ao primeiro passo da régua.",INDEX(Config!$B$10:$B$13,COUNTIF(Config!$A$10:$A$13,"&lt;="&amp;I56))))</f>
        <v/>
      </c>
      <c r="M56" s="38">
        <f>IF(H56="Vencida",E56*I56+ROW()/100000,0)</f>
        <v>0</v>
      </c>
      <c r="N56" s="38">
        <f>IF(AND(H56="A vencer",J56&lt;=Config!$B$7),100000-J56-ROW()/100000,0)</f>
        <v>0</v>
      </c>
    </row>
    <row r="57">
      <c r="A57" s="32" t="inlineStr">
        <is>
          <t>CONS-2025-05</t>
        </is>
      </c>
      <c r="B57" s="23" t="str">
        <f>IF(A57="","",IFERROR(INDEX(Casos!$B$5:$B$204,MATCH(A57,Casos!$A$5:$A$204,0)),""))</f>
        <v>Clínica Bem-Estar</v>
      </c>
      <c r="C57" s="34" t="n">
        <v>6</v>
      </c>
      <c r="D57" s="37" t="n">
        <v>46153</v>
      </c>
      <c r="E57" s="36" t="n">
        <v>2160</v>
      </c>
      <c r="F57" s="34" t="inlineStr">
        <is>
          <t>Sim</t>
        </is>
      </c>
      <c r="G57" s="37" t="n">
        <v>46153</v>
      </c>
      <c r="H57" s="24" t="str">
        <f>IF(A57="","",IF(F57="Sim","Paga",IF(D57="","Sem vencimento",IF(D57&lt;Config!$B$5,"Vencida","A vencer"))))</f>
        <v>Paga</v>
      </c>
      <c r="I57" s="30">
        <f>IF(H57="Vencida",Config!$B$5-D57,"")</f>
        <v/>
      </c>
      <c r="J57" s="30">
        <f>IF(H57="A vencer",D57-Config!$B$5,"")</f>
        <v/>
      </c>
      <c r="K57" s="24">
        <f>IF(H57&lt;&gt;"Vencida","",IF(COUNTIF(Config!$A$10:$A$13,"&lt;="&amp;I57)=0,"Antes da régua",INDEX(Config!$C$10:$C$13,COUNTIF(Config!$A$10:$A$13,"&lt;="&amp;I57))))</f>
        <v/>
      </c>
      <c r="L57" s="23">
        <f>IF(H57&lt;&gt;"Vencida","",IF(COUNTIF(Config!$A$10:$A$13,"&lt;="&amp;I57)=0,"Aguardar: ainda não chegou ao primeiro passo da régua.",INDEX(Config!$B$10:$B$13,COUNTIF(Config!$A$10:$A$13,"&lt;="&amp;I57))))</f>
        <v/>
      </c>
      <c r="M57" s="38">
        <f>IF(H57="Vencida",E57*I57+ROW()/100000,0)</f>
        <v>0</v>
      </c>
      <c r="N57" s="38">
        <f>IF(AND(H57="A vencer",J57&lt;=Config!$B$7),100000-J57-ROW()/100000,0)</f>
        <v>0</v>
      </c>
    </row>
    <row r="58">
      <c r="A58" s="32" t="inlineStr">
        <is>
          <t>CONS-2025-05</t>
        </is>
      </c>
      <c r="B58" s="23" t="str">
        <f>IF(A58="","",IFERROR(INDEX(Casos!$B$5:$B$204,MATCH(A58,Casos!$A$5:$A$204,0)),""))</f>
        <v>Clínica Bem-Estar</v>
      </c>
      <c r="C58" s="34" t="n">
        <v>7</v>
      </c>
      <c r="D58" s="37" t="n">
        <v>46183</v>
      </c>
      <c r="E58" s="36" t="n">
        <v>1620</v>
      </c>
      <c r="F58" s="34" t="inlineStr">
        <is>
          <t>Sim</t>
        </is>
      </c>
      <c r="G58" s="37" t="n">
        <v>46183</v>
      </c>
      <c r="H58" s="24" t="str">
        <f>IF(A58="","",IF(F58="Sim","Paga",IF(D58="","Sem vencimento",IF(D58&lt;Config!$B$5,"Vencida","A vencer"))))</f>
        <v>Paga</v>
      </c>
      <c r="I58" s="30">
        <f>IF(H58="Vencida",Config!$B$5-D58,"")</f>
        <v/>
      </c>
      <c r="J58" s="30">
        <f>IF(H58="A vencer",D58-Config!$B$5,"")</f>
        <v/>
      </c>
      <c r="K58" s="24">
        <f>IF(H58&lt;&gt;"Vencida","",IF(COUNTIF(Config!$A$10:$A$13,"&lt;="&amp;I58)=0,"Antes da régua",INDEX(Config!$C$10:$C$13,COUNTIF(Config!$A$10:$A$13,"&lt;="&amp;I58))))</f>
        <v/>
      </c>
      <c r="L58" s="23">
        <f>IF(H58&lt;&gt;"Vencida","",IF(COUNTIF(Config!$A$10:$A$13,"&lt;="&amp;I58)=0,"Aguardar: ainda não chegou ao primeiro passo da régua.",INDEX(Config!$B$10:$B$13,COUNTIF(Config!$A$10:$A$13,"&lt;="&amp;I58))))</f>
        <v/>
      </c>
      <c r="M58" s="38">
        <f>IF(H58="Vencida",E58*I58+ROW()/100000,0)</f>
        <v>0</v>
      </c>
      <c r="N58" s="38">
        <f>IF(AND(H58="A vencer",J58&lt;=Config!$B$7),100000-J58-ROW()/100000,0)</f>
        <v>0</v>
      </c>
    </row>
    <row r="59">
      <c r="A59" s="32" t="inlineStr">
        <is>
          <t>CONS-2025-05</t>
        </is>
      </c>
      <c r="B59" s="23" t="str">
        <f>IF(A59="","",IFERROR(INDEX(Casos!$B$5:$B$204,MATCH(A59,Casos!$A$5:$A$204,0)),""))</f>
        <v>Clínica Bem-Estar</v>
      </c>
      <c r="C59" s="34" t="n">
        <v>8</v>
      </c>
      <c r="D59" s="37" t="n">
        <v>46213</v>
      </c>
      <c r="E59" s="36" t="n">
        <v>1980</v>
      </c>
      <c r="F59" s="34" t="inlineStr">
        <is>
          <t>Sim</t>
        </is>
      </c>
      <c r="G59" s="37" t="n">
        <v>46217</v>
      </c>
      <c r="H59" s="24" t="str">
        <f>IF(A59="","",IF(F59="Sim","Paga",IF(D59="","Sem vencimento",IF(D59&lt;Config!$B$5,"Vencida","A vencer"))))</f>
        <v>Paga</v>
      </c>
      <c r="I59" s="30">
        <f>IF(H59="Vencida",Config!$B$5-D59,"")</f>
        <v/>
      </c>
      <c r="J59" s="30">
        <f>IF(H59="A vencer",D59-Config!$B$5,"")</f>
        <v/>
      </c>
      <c r="K59" s="24">
        <f>IF(H59&lt;&gt;"Vencida","",IF(COUNTIF(Config!$A$10:$A$13,"&lt;="&amp;I59)=0,"Antes da régua",INDEX(Config!$C$10:$C$13,COUNTIF(Config!$A$10:$A$13,"&lt;="&amp;I59))))</f>
        <v/>
      </c>
      <c r="L59" s="23">
        <f>IF(H59&lt;&gt;"Vencida","",IF(COUNTIF(Config!$A$10:$A$13,"&lt;="&amp;I59)=0,"Aguardar: ainda não chegou ao primeiro passo da régua.",INDEX(Config!$B$10:$B$13,COUNTIF(Config!$A$10:$A$13,"&lt;="&amp;I59))))</f>
        <v/>
      </c>
      <c r="M59" s="38">
        <f>IF(H59="Vencida",E59*I59+ROW()/100000,0)</f>
        <v>0</v>
      </c>
      <c r="N59" s="38">
        <f>IF(AND(H59="A vencer",J59&lt;=Config!$B$7),100000-J59-ROW()/100000,0)</f>
        <v>0</v>
      </c>
    </row>
    <row r="60">
      <c r="A60" s="32" t="inlineStr">
        <is>
          <t>CONS-2025-05</t>
        </is>
      </c>
      <c r="B60" s="23" t="str">
        <f>IF(A60="","",IFERROR(INDEX(Casos!$B$5:$B$204,MATCH(A60,Casos!$A$5:$A$204,0)),""))</f>
        <v>Clínica Bem-Estar</v>
      </c>
      <c r="C60" s="34" t="n">
        <v>9</v>
      </c>
      <c r="D60" s="37" t="n">
        <v>46244</v>
      </c>
      <c r="E60" s="36" t="n">
        <v>1440</v>
      </c>
      <c r="F60" s="34" t="inlineStr">
        <is>
          <t>Sim</t>
        </is>
      </c>
      <c r="G60" s="37" t="n">
        <v>46244</v>
      </c>
      <c r="H60" s="24" t="str">
        <f>IF(A60="","",IF(F60="Sim","Paga",IF(D60="","Sem vencimento",IF(D60&lt;Config!$B$5,"Vencida","A vencer"))))</f>
        <v>Paga</v>
      </c>
      <c r="I60" s="30">
        <f>IF(H60="Vencida",Config!$B$5-D60,"")</f>
        <v/>
      </c>
      <c r="J60" s="30">
        <f>IF(H60="A vencer",D60-Config!$B$5,"")</f>
        <v/>
      </c>
      <c r="K60" s="24">
        <f>IF(H60&lt;&gt;"Vencida","",IF(COUNTIF(Config!$A$10:$A$13,"&lt;="&amp;I60)=0,"Antes da régua",INDEX(Config!$C$10:$C$13,COUNTIF(Config!$A$10:$A$13,"&lt;="&amp;I60))))</f>
        <v/>
      </c>
      <c r="L60" s="23">
        <f>IF(H60&lt;&gt;"Vencida","",IF(COUNTIF(Config!$A$10:$A$13,"&lt;="&amp;I60)=0,"Aguardar: ainda não chegou ao primeiro passo da régua.",INDEX(Config!$B$10:$B$13,COUNTIF(Config!$A$10:$A$13,"&lt;="&amp;I60))))</f>
        <v/>
      </c>
      <c r="M60" s="38">
        <f>IF(H60="Vencida",E60*I60+ROW()/100000,0)</f>
        <v>0</v>
      </c>
      <c r="N60" s="38">
        <f>IF(AND(H60="A vencer",J60&lt;=Config!$B$7),100000-J60-ROW()/100000,0)</f>
        <v>0</v>
      </c>
    </row>
    <row r="61">
      <c r="A61" s="32" t="inlineStr">
        <is>
          <t>CONS-2025-05</t>
        </is>
      </c>
      <c r="B61" s="23" t="str">
        <f>IF(A61="","",IFERROR(INDEX(Casos!$B$5:$B$204,MATCH(A61,Casos!$A$5:$A$204,0)),""))</f>
        <v>Clínica Bem-Estar</v>
      </c>
      <c r="C61" s="34" t="n">
        <v>10</v>
      </c>
      <c r="D61" s="37" t="n">
        <v>46275</v>
      </c>
      <c r="E61" s="36" t="n">
        <v>1620</v>
      </c>
      <c r="F61" s="34" t="inlineStr">
        <is>
          <t>Sim</t>
        </is>
      </c>
      <c r="G61" s="37" t="n">
        <v>46276</v>
      </c>
      <c r="H61" s="24" t="str">
        <f>IF(A61="","",IF(F61="Sim","Paga",IF(D61="","Sem vencimento",IF(D61&lt;Config!$B$5,"Vencida","A vencer"))))</f>
        <v>Paga</v>
      </c>
      <c r="I61" s="30">
        <f>IF(H61="Vencida",Config!$B$5-D61,"")</f>
        <v/>
      </c>
      <c r="J61" s="30">
        <f>IF(H61="A vencer",D61-Config!$B$5,"")</f>
        <v/>
      </c>
      <c r="K61" s="24">
        <f>IF(H61&lt;&gt;"Vencida","",IF(COUNTIF(Config!$A$10:$A$13,"&lt;="&amp;I61)=0,"Antes da régua",INDEX(Config!$C$10:$C$13,COUNTIF(Config!$A$10:$A$13,"&lt;="&amp;I61))))</f>
        <v/>
      </c>
      <c r="L61" s="23">
        <f>IF(H61&lt;&gt;"Vencida","",IF(COUNTIF(Config!$A$10:$A$13,"&lt;="&amp;I61)=0,"Aguardar: ainda não chegou ao primeiro passo da régua.",INDEX(Config!$B$10:$B$13,COUNTIF(Config!$A$10:$A$13,"&lt;="&amp;I61))))</f>
        <v/>
      </c>
      <c r="M61" s="38">
        <f>IF(H61="Vencida",E61*I61+ROW()/100000,0)</f>
        <v>0</v>
      </c>
      <c r="N61" s="38">
        <f>IF(AND(H61="A vencer",J61&lt;=Config!$B$7),100000-J61-ROW()/100000,0)</f>
        <v>0</v>
      </c>
    </row>
    <row r="62">
      <c r="A62" s="32" t="inlineStr">
        <is>
          <t>2645033-67.2026.8.26.0012</t>
        </is>
      </c>
      <c r="B62" s="23" t="str">
        <f>IF(A62="","",IFERROR(INDEX(Casos!$B$5:$B$204,MATCH(A62,Casos!$A$5:$A$204,0)),""))</f>
        <v>Clínica Bem-Estar</v>
      </c>
      <c r="C62" s="34" t="n">
        <v>1</v>
      </c>
      <c r="D62" s="37" t="n">
        <v>46167</v>
      </c>
      <c r="E62" s="36" t="n">
        <v>7200</v>
      </c>
      <c r="F62" s="34" t="inlineStr">
        <is>
          <t>Sim</t>
        </is>
      </c>
      <c r="G62" s="37" t="n">
        <v>46167</v>
      </c>
      <c r="H62" s="24" t="str">
        <f>IF(A62="","",IF(F62="Sim","Paga",IF(D62="","Sem vencimento",IF(D62&lt;Config!$B$5,"Vencida","A vencer"))))</f>
        <v>Paga</v>
      </c>
      <c r="I62" s="30">
        <f>IF(H62="Vencida",Config!$B$5-D62,"")</f>
        <v/>
      </c>
      <c r="J62" s="30">
        <f>IF(H62="A vencer",D62-Config!$B$5,"")</f>
        <v/>
      </c>
      <c r="K62" s="24">
        <f>IF(H62&lt;&gt;"Vencida","",IF(COUNTIF(Config!$A$10:$A$13,"&lt;="&amp;I62)=0,"Antes da régua",INDEX(Config!$C$10:$C$13,COUNTIF(Config!$A$10:$A$13,"&lt;="&amp;I62))))</f>
        <v/>
      </c>
      <c r="L62" s="23">
        <f>IF(H62&lt;&gt;"Vencida","",IF(COUNTIF(Config!$A$10:$A$13,"&lt;="&amp;I62)=0,"Aguardar: ainda não chegou ao primeiro passo da régua.",INDEX(Config!$B$10:$B$13,COUNTIF(Config!$A$10:$A$13,"&lt;="&amp;I62))))</f>
        <v/>
      </c>
      <c r="M62" s="38">
        <f>IF(H62="Vencida",E62*I62+ROW()/100000,0)</f>
        <v>0</v>
      </c>
      <c r="N62" s="38">
        <f>IF(AND(H62="A vencer",J62&lt;=Config!$B$7),100000-J62-ROW()/100000,0)</f>
        <v>0</v>
      </c>
    </row>
    <row r="63">
      <c r="A63" s="32" t="inlineStr">
        <is>
          <t>2645033-67.2026.8.26.0012</t>
        </is>
      </c>
      <c r="B63" s="23" t="str">
        <f>IF(A63="","",IFERROR(INDEX(Casos!$B$5:$B$204,MATCH(A63,Casos!$A$5:$A$204,0)),""))</f>
        <v>Clínica Bem-Estar</v>
      </c>
      <c r="C63" s="34" t="n">
        <v>2</v>
      </c>
      <c r="D63" s="37" t="n">
        <v>46197</v>
      </c>
      <c r="E63" s="36" t="n">
        <v>2700</v>
      </c>
      <c r="F63" s="34" t="inlineStr">
        <is>
          <t>Sim</t>
        </is>
      </c>
      <c r="G63" s="37" t="n">
        <v>46197</v>
      </c>
      <c r="H63" s="24" t="str">
        <f>IF(A63="","",IF(F63="Sim","Paga",IF(D63="","Sem vencimento",IF(D63&lt;Config!$B$5,"Vencida","A vencer"))))</f>
        <v>Paga</v>
      </c>
      <c r="I63" s="30">
        <f>IF(H63="Vencida",Config!$B$5-D63,"")</f>
        <v/>
      </c>
      <c r="J63" s="30">
        <f>IF(H63="A vencer",D63-Config!$B$5,"")</f>
        <v/>
      </c>
      <c r="K63" s="24">
        <f>IF(H63&lt;&gt;"Vencida","",IF(COUNTIF(Config!$A$10:$A$13,"&lt;="&amp;I63)=0,"Antes da régua",INDEX(Config!$C$10:$C$13,COUNTIF(Config!$A$10:$A$13,"&lt;="&amp;I63))))</f>
        <v/>
      </c>
      <c r="L63" s="23">
        <f>IF(H63&lt;&gt;"Vencida","",IF(COUNTIF(Config!$A$10:$A$13,"&lt;="&amp;I63)=0,"Aguardar: ainda não chegou ao primeiro passo da régua.",INDEX(Config!$B$10:$B$13,COUNTIF(Config!$A$10:$A$13,"&lt;="&amp;I63))))</f>
        <v/>
      </c>
      <c r="M63" s="38">
        <f>IF(H63="Vencida",E63*I63+ROW()/100000,0)</f>
        <v>0</v>
      </c>
      <c r="N63" s="38">
        <f>IF(AND(H63="A vencer",J63&lt;=Config!$B$7),100000-J63-ROW()/100000,0)</f>
        <v>0</v>
      </c>
    </row>
    <row r="64">
      <c r="A64" s="32" t="inlineStr">
        <is>
          <t>2645033-67.2026.8.26.0012</t>
        </is>
      </c>
      <c r="B64" s="23" t="str">
        <f>IF(A64="","",IFERROR(INDEX(Casos!$B$5:$B$204,MATCH(A64,Casos!$A$5:$A$204,0)),""))</f>
        <v>Clínica Bem-Estar</v>
      </c>
      <c r="C64" s="34" t="n">
        <v>3</v>
      </c>
      <c r="D64" s="37" t="n">
        <v>46227</v>
      </c>
      <c r="E64" s="36" t="n">
        <v>2700</v>
      </c>
      <c r="F64" s="34" t="inlineStr">
        <is>
          <t>Sim</t>
        </is>
      </c>
      <c r="G64" s="37" t="n">
        <v>46233</v>
      </c>
      <c r="H64" s="24" t="str">
        <f>IF(A64="","",IF(F64="Sim","Paga",IF(D64="","Sem vencimento",IF(D64&lt;Config!$B$5,"Vencida","A vencer"))))</f>
        <v>Paga</v>
      </c>
      <c r="I64" s="30">
        <f>IF(H64="Vencida",Config!$B$5-D64,"")</f>
        <v/>
      </c>
      <c r="J64" s="30">
        <f>IF(H64="A vencer",D64-Config!$B$5,"")</f>
        <v/>
      </c>
      <c r="K64" s="24">
        <f>IF(H64&lt;&gt;"Vencida","",IF(COUNTIF(Config!$A$10:$A$13,"&lt;="&amp;I64)=0,"Antes da régua",INDEX(Config!$C$10:$C$13,COUNTIF(Config!$A$10:$A$13,"&lt;="&amp;I64))))</f>
        <v/>
      </c>
      <c r="L64" s="23">
        <f>IF(H64&lt;&gt;"Vencida","",IF(COUNTIF(Config!$A$10:$A$13,"&lt;="&amp;I64)=0,"Aguardar: ainda não chegou ao primeiro passo da régua.",INDEX(Config!$B$10:$B$13,COUNTIF(Config!$A$10:$A$13,"&lt;="&amp;I64))))</f>
        <v/>
      </c>
      <c r="M64" s="38">
        <f>IF(H64="Vencida",E64*I64+ROW()/100000,0)</f>
        <v>0</v>
      </c>
      <c r="N64" s="38">
        <f>IF(AND(H64="A vencer",J64&lt;=Config!$B$7),100000-J64-ROW()/100000,0)</f>
        <v>0</v>
      </c>
    </row>
    <row r="65">
      <c r="A65" s="32" t="inlineStr">
        <is>
          <t>2645033-67.2026.8.26.0012</t>
        </is>
      </c>
      <c r="B65" s="23" t="str">
        <f>IF(A65="","",IFERROR(INDEX(Casos!$B$5:$B$204,MATCH(A65,Casos!$A$5:$A$204,0)),""))</f>
        <v>Clínica Bem-Estar</v>
      </c>
      <c r="C65" s="34" t="n">
        <v>4</v>
      </c>
      <c r="D65" s="37" t="n">
        <v>46258</v>
      </c>
      <c r="E65" s="36" t="n">
        <v>2700</v>
      </c>
      <c r="F65" s="34" t="inlineStr">
        <is>
          <t>Sim</t>
        </is>
      </c>
      <c r="G65" s="37" t="n">
        <v>46262</v>
      </c>
      <c r="H65" s="24" t="str">
        <f>IF(A65="","",IF(F65="Sim","Paga",IF(D65="","Sem vencimento",IF(D65&lt;Config!$B$5,"Vencida","A vencer"))))</f>
        <v>Paga</v>
      </c>
      <c r="I65" s="30">
        <f>IF(H65="Vencida",Config!$B$5-D65,"")</f>
        <v/>
      </c>
      <c r="J65" s="30">
        <f>IF(H65="A vencer",D65-Config!$B$5,"")</f>
        <v/>
      </c>
      <c r="K65" s="24">
        <f>IF(H65&lt;&gt;"Vencida","",IF(COUNTIF(Config!$A$10:$A$13,"&lt;="&amp;I65)=0,"Antes da régua",INDEX(Config!$C$10:$C$13,COUNTIF(Config!$A$10:$A$13,"&lt;="&amp;I65))))</f>
        <v/>
      </c>
      <c r="L65" s="23">
        <f>IF(H65&lt;&gt;"Vencida","",IF(COUNTIF(Config!$A$10:$A$13,"&lt;="&amp;I65)=0,"Aguardar: ainda não chegou ao primeiro passo da régua.",INDEX(Config!$B$10:$B$13,COUNTIF(Config!$A$10:$A$13,"&lt;="&amp;I65))))</f>
        <v/>
      </c>
      <c r="M65" s="38">
        <f>IF(H65="Vencida",E65*I65+ROW()/100000,0)</f>
        <v>0</v>
      </c>
      <c r="N65" s="38">
        <f>IF(AND(H65="A vencer",J65&lt;=Config!$B$7),100000-J65-ROW()/100000,0)</f>
        <v>0</v>
      </c>
    </row>
    <row r="66">
      <c r="A66" s="32" t="inlineStr">
        <is>
          <t>2645033-67.2026.8.26.0012</t>
        </is>
      </c>
      <c r="B66" s="23" t="str">
        <f>IF(A66="","",IFERROR(INDEX(Casos!$B$5:$B$204,MATCH(A66,Casos!$A$5:$A$204,0)),""))</f>
        <v>Clínica Bem-Estar</v>
      </c>
      <c r="C66" s="34" t="n">
        <v>5</v>
      </c>
      <c r="D66" s="37" t="n">
        <v>46289</v>
      </c>
      <c r="E66" s="36" t="n">
        <v>2700</v>
      </c>
      <c r="F66" s="34" t="inlineStr">
        <is>
          <t>Não</t>
        </is>
      </c>
      <c r="G66" s="37" t="n"/>
      <c r="H66" s="24" t="str">
        <f>IF(A66="","",IF(F66="Sim","Paga",IF(D66="","Sem vencimento",IF(D66&lt;Config!$B$5,"Vencida","A vencer"))))</f>
        <v>A vencer</v>
      </c>
      <c r="I66" s="30">
        <f>IF(H66="Vencida",Config!$B$5-D66,"")</f>
        <v/>
      </c>
      <c r="J66" s="30">
        <f>IF(H66="A vencer",D66-Config!$B$5,"")</f>
        <v>10</v>
      </c>
      <c r="K66" s="24">
        <f>IF(H66&lt;&gt;"Vencida","",IF(COUNTIF(Config!$A$10:$A$13,"&lt;="&amp;I66)=0,"Antes da régua",INDEX(Config!$C$10:$C$13,COUNTIF(Config!$A$10:$A$13,"&lt;="&amp;I66))))</f>
        <v/>
      </c>
      <c r="L66" s="23">
        <f>IF(H66&lt;&gt;"Vencida","",IF(COUNTIF(Config!$A$10:$A$13,"&lt;="&amp;I66)=0,"Aguardar: ainda não chegou ao primeiro passo da régua.",INDEX(Config!$B$10:$B$13,COUNTIF(Config!$A$10:$A$13,"&lt;="&amp;I66))))</f>
        <v/>
      </c>
      <c r="M66" s="38">
        <f>IF(H66="Vencida",E66*I66+ROW()/100000,0)</f>
        <v>0</v>
      </c>
      <c r="N66" s="38">
        <f>IF(AND(H66="A vencer",J66&lt;=Config!$B$7),100000-J66-ROW()/100000,0)</f>
        <v>99989.99934</v>
      </c>
    </row>
    <row r="67">
      <c r="A67" s="32" t="inlineStr">
        <is>
          <t>9225646-96.2025.8.26.0322</t>
        </is>
      </c>
      <c r="B67" s="23" t="str">
        <f>IF(A67="","",IFERROR(INDEX(Casos!$B$5:$B$204,MATCH(A67,Casos!$A$5:$A$204,0)),""))</f>
        <v>Transportadora Rota Sul</v>
      </c>
      <c r="C67" s="34" t="n">
        <v>1</v>
      </c>
      <c r="D67" s="37" t="n">
        <v>45999</v>
      </c>
      <c r="E67" s="36" t="n">
        <v>5500</v>
      </c>
      <c r="F67" s="34" t="inlineStr">
        <is>
          <t>Sim</t>
        </is>
      </c>
      <c r="G67" s="37" t="n">
        <v>45999</v>
      </c>
      <c r="H67" s="24" t="str">
        <f>IF(A67="","",IF(F67="Sim","Paga",IF(D67="","Sem vencimento",IF(D67&lt;Config!$B$5,"Vencida","A vencer"))))</f>
        <v>Paga</v>
      </c>
      <c r="I67" s="30">
        <f>IF(H67="Vencida",Config!$B$5-D67,"")</f>
        <v/>
      </c>
      <c r="J67" s="30">
        <f>IF(H67="A vencer",D67-Config!$B$5,"")</f>
        <v/>
      </c>
      <c r="K67" s="24">
        <f>IF(H67&lt;&gt;"Vencida","",IF(COUNTIF(Config!$A$10:$A$13,"&lt;="&amp;I67)=0,"Antes da régua",INDEX(Config!$C$10:$C$13,COUNTIF(Config!$A$10:$A$13,"&lt;="&amp;I67))))</f>
        <v/>
      </c>
      <c r="L67" s="23">
        <f>IF(H67&lt;&gt;"Vencida","",IF(COUNTIF(Config!$A$10:$A$13,"&lt;="&amp;I67)=0,"Aguardar: ainda não chegou ao primeiro passo da régua.",INDEX(Config!$B$10:$B$13,COUNTIF(Config!$A$10:$A$13,"&lt;="&amp;I67))))</f>
        <v/>
      </c>
      <c r="M67" s="38">
        <f>IF(H67="Vencida",E67*I67+ROW()/100000,0)</f>
        <v>0</v>
      </c>
      <c r="N67" s="38">
        <f>IF(AND(H67="A vencer",J67&lt;=Config!$B$7),100000-J67-ROW()/100000,0)</f>
        <v>0</v>
      </c>
    </row>
    <row r="68">
      <c r="A68" s="32" t="inlineStr">
        <is>
          <t>9225646-96.2025.8.26.0322</t>
        </is>
      </c>
      <c r="B68" s="23" t="str">
        <f>IF(A68="","",IFERROR(INDEX(Casos!$B$5:$B$204,MATCH(A68,Casos!$A$5:$A$204,0)),""))</f>
        <v>Transportadora Rota Sul</v>
      </c>
      <c r="C68" s="34" t="n">
        <v>2</v>
      </c>
      <c r="D68" s="37" t="n">
        <v>46029</v>
      </c>
      <c r="E68" s="36" t="n">
        <v>2000</v>
      </c>
      <c r="F68" s="34" t="inlineStr">
        <is>
          <t>Sim</t>
        </is>
      </c>
      <c r="G68" s="37" t="n">
        <v>46029</v>
      </c>
      <c r="H68" s="24" t="str">
        <f>IF(A68="","",IF(F68="Sim","Paga",IF(D68="","Sem vencimento",IF(D68&lt;Config!$B$5,"Vencida","A vencer"))))</f>
        <v>Paga</v>
      </c>
      <c r="I68" s="30">
        <f>IF(H68="Vencida",Config!$B$5-D68,"")</f>
        <v/>
      </c>
      <c r="J68" s="30">
        <f>IF(H68="A vencer",D68-Config!$B$5,"")</f>
        <v/>
      </c>
      <c r="K68" s="24">
        <f>IF(H68&lt;&gt;"Vencida","",IF(COUNTIF(Config!$A$10:$A$13,"&lt;="&amp;I68)=0,"Antes da régua",INDEX(Config!$C$10:$C$13,COUNTIF(Config!$A$10:$A$13,"&lt;="&amp;I68))))</f>
        <v/>
      </c>
      <c r="L68" s="23">
        <f>IF(H68&lt;&gt;"Vencida","",IF(COUNTIF(Config!$A$10:$A$13,"&lt;="&amp;I68)=0,"Aguardar: ainda não chegou ao primeiro passo da régua.",INDEX(Config!$B$10:$B$13,COUNTIF(Config!$A$10:$A$13,"&lt;="&amp;I68))))</f>
        <v/>
      </c>
      <c r="M68" s="38">
        <f>IF(H68="Vencida",E68*I68+ROW()/100000,0)</f>
        <v>0</v>
      </c>
      <c r="N68" s="38">
        <f>IF(AND(H68="A vencer",J68&lt;=Config!$B$7),100000-J68-ROW()/100000,0)</f>
        <v>0</v>
      </c>
    </row>
    <row r="69">
      <c r="A69" s="32" t="inlineStr">
        <is>
          <t>9225646-96.2025.8.26.0322</t>
        </is>
      </c>
      <c r="B69" s="23" t="str">
        <f>IF(A69="","",IFERROR(INDEX(Casos!$B$5:$B$204,MATCH(A69,Casos!$A$5:$A$204,0)),""))</f>
        <v>Transportadora Rota Sul</v>
      </c>
      <c r="C69" s="34" t="n">
        <v>3</v>
      </c>
      <c r="D69" s="37" t="n">
        <v>46059</v>
      </c>
      <c r="E69" s="36" t="n">
        <v>2000</v>
      </c>
      <c r="F69" s="34" t="inlineStr">
        <is>
          <t>Sim</t>
        </is>
      </c>
      <c r="G69" s="37" t="n">
        <v>46059</v>
      </c>
      <c r="H69" s="24" t="str">
        <f>IF(A69="","",IF(F69="Sim","Paga",IF(D69="","Sem vencimento",IF(D69&lt;Config!$B$5,"Vencida","A vencer"))))</f>
        <v>Paga</v>
      </c>
      <c r="I69" s="30">
        <f>IF(H69="Vencida",Config!$B$5-D69,"")</f>
        <v/>
      </c>
      <c r="J69" s="30">
        <f>IF(H69="A vencer",D69-Config!$B$5,"")</f>
        <v/>
      </c>
      <c r="K69" s="24">
        <f>IF(H69&lt;&gt;"Vencida","",IF(COUNTIF(Config!$A$10:$A$13,"&lt;="&amp;I69)=0,"Antes da régua",INDEX(Config!$C$10:$C$13,COUNTIF(Config!$A$10:$A$13,"&lt;="&amp;I69))))</f>
        <v/>
      </c>
      <c r="L69" s="23">
        <f>IF(H69&lt;&gt;"Vencida","",IF(COUNTIF(Config!$A$10:$A$13,"&lt;="&amp;I69)=0,"Aguardar: ainda não chegou ao primeiro passo da régua.",INDEX(Config!$B$10:$B$13,COUNTIF(Config!$A$10:$A$13,"&lt;="&amp;I69))))</f>
        <v/>
      </c>
      <c r="M69" s="38">
        <f>IF(H69="Vencida",E69*I69+ROW()/100000,0)</f>
        <v>0</v>
      </c>
      <c r="N69" s="38">
        <f>IF(AND(H69="A vencer",J69&lt;=Config!$B$7),100000-J69-ROW()/100000,0)</f>
        <v>0</v>
      </c>
    </row>
    <row r="70">
      <c r="A70" s="32" t="inlineStr">
        <is>
          <t>9225646-96.2025.8.26.0322</t>
        </is>
      </c>
      <c r="B70" s="23" t="str">
        <f>IF(A70="","",IFERROR(INDEX(Casos!$B$5:$B$204,MATCH(A70,Casos!$A$5:$A$204,0)),""))</f>
        <v>Transportadora Rota Sul</v>
      </c>
      <c r="C70" s="34" t="n">
        <v>4</v>
      </c>
      <c r="D70" s="37" t="n">
        <v>46090</v>
      </c>
      <c r="E70" s="36" t="n">
        <v>2000</v>
      </c>
      <c r="F70" s="34" t="inlineStr">
        <is>
          <t>Sim</t>
        </is>
      </c>
      <c r="G70" s="37" t="n">
        <v>46101</v>
      </c>
      <c r="H70" s="24" t="str">
        <f>IF(A70="","",IF(F70="Sim","Paga",IF(D70="","Sem vencimento",IF(D70&lt;Config!$B$5,"Vencida","A vencer"))))</f>
        <v>Paga</v>
      </c>
      <c r="I70" s="30">
        <f>IF(H70="Vencida",Config!$B$5-D70,"")</f>
        <v/>
      </c>
      <c r="J70" s="30">
        <f>IF(H70="A vencer",D70-Config!$B$5,"")</f>
        <v/>
      </c>
      <c r="K70" s="24">
        <f>IF(H70&lt;&gt;"Vencida","",IF(COUNTIF(Config!$A$10:$A$13,"&lt;="&amp;I70)=0,"Antes da régua",INDEX(Config!$C$10:$C$13,COUNTIF(Config!$A$10:$A$13,"&lt;="&amp;I70))))</f>
        <v/>
      </c>
      <c r="L70" s="23">
        <f>IF(H70&lt;&gt;"Vencida","",IF(COUNTIF(Config!$A$10:$A$13,"&lt;="&amp;I70)=0,"Aguardar: ainda não chegou ao primeiro passo da régua.",INDEX(Config!$B$10:$B$13,COUNTIF(Config!$A$10:$A$13,"&lt;="&amp;I70))))</f>
        <v/>
      </c>
      <c r="M70" s="38">
        <f>IF(H70="Vencida",E70*I70+ROW()/100000,0)</f>
        <v>0</v>
      </c>
      <c r="N70" s="38">
        <f>IF(AND(H70="A vencer",J70&lt;=Config!$B$7),100000-J70-ROW()/100000,0)</f>
        <v>0</v>
      </c>
    </row>
    <row r="71">
      <c r="A71" s="32" t="inlineStr">
        <is>
          <t>9225646-96.2025.8.26.0322</t>
        </is>
      </c>
      <c r="B71" s="23" t="str">
        <f>IF(A71="","",IFERROR(INDEX(Casos!$B$5:$B$204,MATCH(A71,Casos!$A$5:$A$204,0)),""))</f>
        <v>Transportadora Rota Sul</v>
      </c>
      <c r="C71" s="34" t="n">
        <v>5</v>
      </c>
      <c r="D71" s="37" t="n">
        <v>46120</v>
      </c>
      <c r="E71" s="36" t="n">
        <v>2000</v>
      </c>
      <c r="F71" s="34" t="inlineStr">
        <is>
          <t>Sim</t>
        </is>
      </c>
      <c r="G71" s="37" t="n">
        <v>46120</v>
      </c>
      <c r="H71" s="24" t="str">
        <f>IF(A71="","",IF(F71="Sim","Paga",IF(D71="","Sem vencimento",IF(D71&lt;Config!$B$5,"Vencida","A vencer"))))</f>
        <v>Paga</v>
      </c>
      <c r="I71" s="30">
        <f>IF(H71="Vencida",Config!$B$5-D71,"")</f>
        <v/>
      </c>
      <c r="J71" s="30">
        <f>IF(H71="A vencer",D71-Config!$B$5,"")</f>
        <v/>
      </c>
      <c r="K71" s="24">
        <f>IF(H71&lt;&gt;"Vencida","",IF(COUNTIF(Config!$A$10:$A$13,"&lt;="&amp;I71)=0,"Antes da régua",INDEX(Config!$C$10:$C$13,COUNTIF(Config!$A$10:$A$13,"&lt;="&amp;I71))))</f>
        <v/>
      </c>
      <c r="L71" s="23">
        <f>IF(H71&lt;&gt;"Vencida","",IF(COUNTIF(Config!$A$10:$A$13,"&lt;="&amp;I71)=0,"Aguardar: ainda não chegou ao primeiro passo da régua.",INDEX(Config!$B$10:$B$13,COUNTIF(Config!$A$10:$A$13,"&lt;="&amp;I71))))</f>
        <v/>
      </c>
      <c r="M71" s="38">
        <f>IF(H71="Vencida",E71*I71+ROW()/100000,0)</f>
        <v>0</v>
      </c>
      <c r="N71" s="38">
        <f>IF(AND(H71="A vencer",J71&lt;=Config!$B$7),100000-J71-ROW()/100000,0)</f>
        <v>0</v>
      </c>
    </row>
    <row r="72">
      <c r="A72" s="32" t="inlineStr">
        <is>
          <t>CONS-2026-06</t>
        </is>
      </c>
      <c r="B72" s="23" t="str">
        <f>IF(A72="","",IFERROR(INDEX(Casos!$B$5:$B$204,MATCH(A72,Casos!$A$5:$A$204,0)),""))</f>
        <v>Transportadora Rota Sul</v>
      </c>
      <c r="C72" s="34" t="n">
        <v>1</v>
      </c>
      <c r="D72" s="37" t="n">
        <v>46223</v>
      </c>
      <c r="E72" s="36" t="n">
        <v>2200</v>
      </c>
      <c r="F72" s="34" t="inlineStr">
        <is>
          <t>Sim</t>
        </is>
      </c>
      <c r="G72" s="37" t="n">
        <v>46223</v>
      </c>
      <c r="H72" s="24" t="str">
        <f>IF(A72="","",IF(F72="Sim","Paga",IF(D72="","Sem vencimento",IF(D72&lt;Config!$B$5,"Vencida","A vencer"))))</f>
        <v>Paga</v>
      </c>
      <c r="I72" s="30">
        <f>IF(H72="Vencida",Config!$B$5-D72,"")</f>
        <v/>
      </c>
      <c r="J72" s="30">
        <f>IF(H72="A vencer",D72-Config!$B$5,"")</f>
        <v/>
      </c>
      <c r="K72" s="24">
        <f>IF(H72&lt;&gt;"Vencida","",IF(COUNTIF(Config!$A$10:$A$13,"&lt;="&amp;I72)=0,"Antes da régua",INDEX(Config!$C$10:$C$13,COUNTIF(Config!$A$10:$A$13,"&lt;="&amp;I72))))</f>
        <v/>
      </c>
      <c r="L72" s="23">
        <f>IF(H72&lt;&gt;"Vencida","",IF(COUNTIF(Config!$A$10:$A$13,"&lt;="&amp;I72)=0,"Aguardar: ainda não chegou ao primeiro passo da régua.",INDEX(Config!$B$10:$B$13,COUNTIF(Config!$A$10:$A$13,"&lt;="&amp;I72))))</f>
        <v/>
      </c>
      <c r="M72" s="38">
        <f>IF(H72="Vencida",E72*I72+ROW()/100000,0)</f>
        <v>0</v>
      </c>
      <c r="N72" s="38">
        <f>IF(AND(H72="A vencer",J72&lt;=Config!$B$7),100000-J72-ROW()/100000,0)</f>
        <v>0</v>
      </c>
    </row>
    <row r="73">
      <c r="A73" s="32" t="inlineStr">
        <is>
          <t>CONS-2026-06</t>
        </is>
      </c>
      <c r="B73" s="23" t="str">
        <f>IF(A73="","",IFERROR(INDEX(Casos!$B$5:$B$204,MATCH(A73,Casos!$A$5:$A$204,0)),""))</f>
        <v>Transportadora Rota Sul</v>
      </c>
      <c r="C73" s="34" t="n">
        <v>2</v>
      </c>
      <c r="D73" s="37" t="n">
        <v>46253</v>
      </c>
      <c r="E73" s="36" t="n">
        <v>2200</v>
      </c>
      <c r="F73" s="34" t="inlineStr">
        <is>
          <t>Sim</t>
        </is>
      </c>
      <c r="G73" s="37" t="n">
        <v>46253</v>
      </c>
      <c r="H73" s="24" t="str">
        <f>IF(A73="","",IF(F73="Sim","Paga",IF(D73="","Sem vencimento",IF(D73&lt;Config!$B$5,"Vencida","A vencer"))))</f>
        <v>Paga</v>
      </c>
      <c r="I73" s="30">
        <f>IF(H73="Vencida",Config!$B$5-D73,"")</f>
        <v/>
      </c>
      <c r="J73" s="30">
        <f>IF(H73="A vencer",D73-Config!$B$5,"")</f>
        <v/>
      </c>
      <c r="K73" s="24">
        <f>IF(H73&lt;&gt;"Vencida","",IF(COUNTIF(Config!$A$10:$A$13,"&lt;="&amp;I73)=0,"Antes da régua",INDEX(Config!$C$10:$C$13,COUNTIF(Config!$A$10:$A$13,"&lt;="&amp;I73))))</f>
        <v/>
      </c>
      <c r="L73" s="23">
        <f>IF(H73&lt;&gt;"Vencida","",IF(COUNTIF(Config!$A$10:$A$13,"&lt;="&amp;I73)=0,"Aguardar: ainda não chegou ao primeiro passo da régua.",INDEX(Config!$B$10:$B$13,COUNTIF(Config!$A$10:$A$13,"&lt;="&amp;I73))))</f>
        <v/>
      </c>
      <c r="M73" s="38">
        <f>IF(H73="Vencida",E73*I73+ROW()/100000,0)</f>
        <v>0</v>
      </c>
      <c r="N73" s="38">
        <f>IF(AND(H73="A vencer",J73&lt;=Config!$B$7),100000-J73-ROW()/100000,0)</f>
        <v>0</v>
      </c>
    </row>
    <row r="74">
      <c r="A74" s="32" t="inlineStr">
        <is>
          <t>6832730-55.2026.8.26.0386</t>
        </is>
      </c>
      <c r="B74" s="23" t="str">
        <f>IF(A74="","",IFERROR(INDEX(Casos!$B$5:$B$204,MATCH(A74,Casos!$A$5:$A$204,0)),""))</f>
        <v>Patrícia Gomes</v>
      </c>
      <c r="C74" s="34" t="n">
        <v>1</v>
      </c>
      <c r="D74" s="37" t="n">
        <v>46104</v>
      </c>
      <c r="E74" s="36" t="n">
        <v>3600</v>
      </c>
      <c r="F74" s="34" t="inlineStr">
        <is>
          <t>Sim</t>
        </is>
      </c>
      <c r="G74" s="37" t="n">
        <v>46104</v>
      </c>
      <c r="H74" s="24" t="str">
        <f>IF(A74="","",IF(F74="Sim","Paga",IF(D74="","Sem vencimento",IF(D74&lt;Config!$B$5,"Vencida","A vencer"))))</f>
        <v>Paga</v>
      </c>
      <c r="I74" s="30">
        <f>IF(H74="Vencida",Config!$B$5-D74,"")</f>
        <v/>
      </c>
      <c r="J74" s="30">
        <f>IF(H74="A vencer",D74-Config!$B$5,"")</f>
        <v/>
      </c>
      <c r="K74" s="24">
        <f>IF(H74&lt;&gt;"Vencida","",IF(COUNTIF(Config!$A$10:$A$13,"&lt;="&amp;I74)=0,"Antes da régua",INDEX(Config!$C$10:$C$13,COUNTIF(Config!$A$10:$A$13,"&lt;="&amp;I74))))</f>
        <v/>
      </c>
      <c r="L74" s="23">
        <f>IF(H74&lt;&gt;"Vencida","",IF(COUNTIF(Config!$A$10:$A$13,"&lt;="&amp;I74)=0,"Aguardar: ainda não chegou ao primeiro passo da régua.",INDEX(Config!$B$10:$B$13,COUNTIF(Config!$A$10:$A$13,"&lt;="&amp;I74))))</f>
        <v/>
      </c>
      <c r="M74" s="38">
        <f>IF(H74="Vencida",E74*I74+ROW()/100000,0)</f>
        <v>0</v>
      </c>
      <c r="N74" s="38">
        <f>IF(AND(H74="A vencer",J74&lt;=Config!$B$7),100000-J74-ROW()/100000,0)</f>
        <v>0</v>
      </c>
    </row>
    <row r="75">
      <c r="A75" s="32" t="inlineStr">
        <is>
          <t>6832730-55.2026.8.26.0386</t>
        </is>
      </c>
      <c r="B75" s="23" t="str">
        <f>IF(A75="","",IFERROR(INDEX(Casos!$B$5:$B$204,MATCH(A75,Casos!$A$5:$A$204,0)),""))</f>
        <v>Patrícia Gomes</v>
      </c>
      <c r="C75" s="34" t="n">
        <v>2</v>
      </c>
      <c r="D75" s="37" t="n">
        <v>46134</v>
      </c>
      <c r="E75" s="36" t="n">
        <v>1800</v>
      </c>
      <c r="F75" s="34" t="inlineStr">
        <is>
          <t>Sim</t>
        </is>
      </c>
      <c r="G75" s="37" t="n">
        <v>46134</v>
      </c>
      <c r="H75" s="24" t="str">
        <f>IF(A75="","",IF(F75="Sim","Paga",IF(D75="","Sem vencimento",IF(D75&lt;Config!$B$5,"Vencida","A vencer"))))</f>
        <v>Paga</v>
      </c>
      <c r="I75" s="30">
        <f>IF(H75="Vencida",Config!$B$5-D75,"")</f>
        <v/>
      </c>
      <c r="J75" s="30">
        <f>IF(H75="A vencer",D75-Config!$B$5,"")</f>
        <v/>
      </c>
      <c r="K75" s="24">
        <f>IF(H75&lt;&gt;"Vencida","",IF(COUNTIF(Config!$A$10:$A$13,"&lt;="&amp;I75)=0,"Antes da régua",INDEX(Config!$C$10:$C$13,COUNTIF(Config!$A$10:$A$13,"&lt;="&amp;I75))))</f>
        <v/>
      </c>
      <c r="L75" s="23">
        <f>IF(H75&lt;&gt;"Vencida","",IF(COUNTIF(Config!$A$10:$A$13,"&lt;="&amp;I75)=0,"Aguardar: ainda não chegou ao primeiro passo da régua.",INDEX(Config!$B$10:$B$13,COUNTIF(Config!$A$10:$A$13,"&lt;="&amp;I75))))</f>
        <v/>
      </c>
      <c r="M75" s="38">
        <f>IF(H75="Vencida",E75*I75+ROW()/100000,0)</f>
        <v>0</v>
      </c>
      <c r="N75" s="38">
        <f>IF(AND(H75="A vencer",J75&lt;=Config!$B$7),100000-J75-ROW()/100000,0)</f>
        <v>0</v>
      </c>
    </row>
    <row r="76">
      <c r="A76" s="32" t="inlineStr">
        <is>
          <t>6832730-55.2026.8.26.0386</t>
        </is>
      </c>
      <c r="B76" s="23" t="str">
        <f>IF(A76="","",IFERROR(INDEX(Casos!$B$5:$B$204,MATCH(A76,Casos!$A$5:$A$204,0)),""))</f>
        <v>Patrícia Gomes</v>
      </c>
      <c r="C76" s="34" t="n">
        <v>3</v>
      </c>
      <c r="D76" s="37" t="n">
        <v>46164</v>
      </c>
      <c r="E76" s="36" t="n">
        <v>1800</v>
      </c>
      <c r="F76" s="34" t="inlineStr">
        <is>
          <t>Sim</t>
        </is>
      </c>
      <c r="G76" s="37" t="n">
        <v>46164</v>
      </c>
      <c r="H76" s="24" t="str">
        <f>IF(A76="","",IF(F76="Sim","Paga",IF(D76="","Sem vencimento",IF(D76&lt;Config!$B$5,"Vencida","A vencer"))))</f>
        <v>Paga</v>
      </c>
      <c r="I76" s="30">
        <f>IF(H76="Vencida",Config!$B$5-D76,"")</f>
        <v/>
      </c>
      <c r="J76" s="30">
        <f>IF(H76="A vencer",D76-Config!$B$5,"")</f>
        <v/>
      </c>
      <c r="K76" s="24">
        <f>IF(H76&lt;&gt;"Vencida","",IF(COUNTIF(Config!$A$10:$A$13,"&lt;="&amp;I76)=0,"Antes da régua",INDEX(Config!$C$10:$C$13,COUNTIF(Config!$A$10:$A$13,"&lt;="&amp;I76))))</f>
        <v/>
      </c>
      <c r="L76" s="23">
        <f>IF(H76&lt;&gt;"Vencida","",IF(COUNTIF(Config!$A$10:$A$13,"&lt;="&amp;I76)=0,"Aguardar: ainda não chegou ao primeiro passo da régua.",INDEX(Config!$B$10:$B$13,COUNTIF(Config!$A$10:$A$13,"&lt;="&amp;I76))))</f>
        <v/>
      </c>
      <c r="M76" s="38">
        <f>IF(H76="Vencida",E76*I76+ROW()/100000,0)</f>
        <v>0</v>
      </c>
      <c r="N76" s="38">
        <f>IF(AND(H76="A vencer",J76&lt;=Config!$B$7),100000-J76-ROW()/100000,0)</f>
        <v>0</v>
      </c>
    </row>
    <row r="77">
      <c r="A77" s="32" t="inlineStr">
        <is>
          <t>6832730-55.2026.8.26.0386</t>
        </is>
      </c>
      <c r="B77" s="23" t="str">
        <f>IF(A77="","",IFERROR(INDEX(Casos!$B$5:$B$204,MATCH(A77,Casos!$A$5:$A$204,0)),""))</f>
        <v>Patrícia Gomes</v>
      </c>
      <c r="C77" s="34" t="n">
        <v>4</v>
      </c>
      <c r="D77" s="37" t="n">
        <v>46195</v>
      </c>
      <c r="E77" s="36" t="n">
        <v>1800</v>
      </c>
      <c r="F77" s="34" t="inlineStr">
        <is>
          <t>Sim</t>
        </is>
      </c>
      <c r="G77" s="37" t="n">
        <v>46244</v>
      </c>
      <c r="H77" s="24" t="str">
        <f>IF(A77="","",IF(F77="Sim","Paga",IF(D77="","Sem vencimento",IF(D77&lt;Config!$B$5,"Vencida","A vencer"))))</f>
        <v>Paga</v>
      </c>
      <c r="I77" s="30">
        <f>IF(H77="Vencida",Config!$B$5-D77,"")</f>
        <v/>
      </c>
      <c r="J77" s="30">
        <f>IF(H77="A vencer",D77-Config!$B$5,"")</f>
        <v/>
      </c>
      <c r="K77" s="24">
        <f>IF(H77&lt;&gt;"Vencida","",IF(COUNTIF(Config!$A$10:$A$13,"&lt;="&amp;I77)=0,"Antes da régua",INDEX(Config!$C$10:$C$13,COUNTIF(Config!$A$10:$A$13,"&lt;="&amp;I77))))</f>
        <v/>
      </c>
      <c r="L77" s="23">
        <f>IF(H77&lt;&gt;"Vencida","",IF(COUNTIF(Config!$A$10:$A$13,"&lt;="&amp;I77)=0,"Aguardar: ainda não chegou ao primeiro passo da régua.",INDEX(Config!$B$10:$B$13,COUNTIF(Config!$A$10:$A$13,"&lt;="&amp;I77))))</f>
        <v/>
      </c>
      <c r="M77" s="38">
        <f>IF(H77="Vencida",E77*I77+ROW()/100000,0)</f>
        <v>0</v>
      </c>
      <c r="N77" s="38">
        <f>IF(AND(H77="A vencer",J77&lt;=Config!$B$7),100000-J77-ROW()/100000,0)</f>
        <v>0</v>
      </c>
    </row>
    <row r="78">
      <c r="A78" s="32" t="inlineStr">
        <is>
          <t>9616569-91.2026.8.26.0079</t>
        </is>
      </c>
      <c r="B78" s="23" t="str">
        <f>IF(A78="","",IFERROR(INDEX(Casos!$B$5:$B$204,MATCH(A78,Casos!$A$5:$A$204,0)),""))</f>
        <v>Patrícia Gomes</v>
      </c>
      <c r="C78" s="34" t="n">
        <v>1</v>
      </c>
      <c r="D78" s="37" t="n">
        <v>46188</v>
      </c>
      <c r="E78" s="36" t="n">
        <v>2400</v>
      </c>
      <c r="F78" s="34" t="inlineStr">
        <is>
          <t>Sim</t>
        </is>
      </c>
      <c r="G78" s="37" t="n">
        <v>46188</v>
      </c>
      <c r="H78" s="24" t="str">
        <f>IF(A78="","",IF(F78="Sim","Paga",IF(D78="","Sem vencimento",IF(D78&lt;Config!$B$5,"Vencida","A vencer"))))</f>
        <v>Paga</v>
      </c>
      <c r="I78" s="30">
        <f>IF(H78="Vencida",Config!$B$5-D78,"")</f>
        <v/>
      </c>
      <c r="J78" s="30">
        <f>IF(H78="A vencer",D78-Config!$B$5,"")</f>
        <v/>
      </c>
      <c r="K78" s="24">
        <f>IF(H78&lt;&gt;"Vencida","",IF(COUNTIF(Config!$A$10:$A$13,"&lt;="&amp;I78)=0,"Antes da régua",INDEX(Config!$C$10:$C$13,COUNTIF(Config!$A$10:$A$13,"&lt;="&amp;I78))))</f>
        <v/>
      </c>
      <c r="L78" s="23">
        <f>IF(H78&lt;&gt;"Vencida","",IF(COUNTIF(Config!$A$10:$A$13,"&lt;="&amp;I78)=0,"Aguardar: ainda não chegou ao primeiro passo da régua.",INDEX(Config!$B$10:$B$13,COUNTIF(Config!$A$10:$A$13,"&lt;="&amp;I78))))</f>
        <v/>
      </c>
      <c r="M78" s="38">
        <f>IF(H78="Vencida",E78*I78+ROW()/100000,0)</f>
        <v>0</v>
      </c>
      <c r="N78" s="38">
        <f>IF(AND(H78="A vencer",J78&lt;=Config!$B$7),100000-J78-ROW()/100000,0)</f>
        <v>0</v>
      </c>
    </row>
    <row r="79">
      <c r="A79" s="32" t="inlineStr">
        <is>
          <t>9616569-91.2026.8.26.0079</t>
        </is>
      </c>
      <c r="B79" s="23" t="str">
        <f>IF(A79="","",IFERROR(INDEX(Casos!$B$5:$B$204,MATCH(A79,Casos!$A$5:$A$204,0)),""))</f>
        <v>Patrícia Gomes</v>
      </c>
      <c r="C79" s="34" t="n">
        <v>2</v>
      </c>
      <c r="D79" s="37" t="n">
        <v>46218</v>
      </c>
      <c r="E79" s="36" t="n">
        <v>2100</v>
      </c>
      <c r="F79" s="34" t="inlineStr">
        <is>
          <t>Sim</t>
        </is>
      </c>
      <c r="G79" s="37" t="n">
        <v>46223</v>
      </c>
      <c r="H79" s="24" t="str">
        <f>IF(A79="","",IF(F79="Sim","Paga",IF(D79="","Sem vencimento",IF(D79&lt;Config!$B$5,"Vencida","A vencer"))))</f>
        <v>Paga</v>
      </c>
      <c r="I79" s="30">
        <f>IF(H79="Vencida",Config!$B$5-D79,"")</f>
        <v/>
      </c>
      <c r="J79" s="30">
        <f>IF(H79="A vencer",D79-Config!$B$5,"")</f>
        <v/>
      </c>
      <c r="K79" s="24">
        <f>IF(H79&lt;&gt;"Vencida","",IF(COUNTIF(Config!$A$10:$A$13,"&lt;="&amp;I79)=0,"Antes da régua",INDEX(Config!$C$10:$C$13,COUNTIF(Config!$A$10:$A$13,"&lt;="&amp;I79))))</f>
        <v/>
      </c>
      <c r="L79" s="23">
        <f>IF(H79&lt;&gt;"Vencida","",IF(COUNTIF(Config!$A$10:$A$13,"&lt;="&amp;I79)=0,"Aguardar: ainda não chegou ao primeiro passo da régua.",INDEX(Config!$B$10:$B$13,COUNTIF(Config!$A$10:$A$13,"&lt;="&amp;I79))))</f>
        <v/>
      </c>
      <c r="M79" s="38">
        <f>IF(H79="Vencida",E79*I79+ROW()/100000,0)</f>
        <v>0</v>
      </c>
      <c r="N79" s="38">
        <f>IF(AND(H79="A vencer",J79&lt;=Config!$B$7),100000-J79-ROW()/100000,0)</f>
        <v>0</v>
      </c>
    </row>
    <row r="80">
      <c r="A80" s="32" t="inlineStr">
        <is>
          <t>9616569-91.2026.8.26.0079</t>
        </is>
      </c>
      <c r="B80" s="23" t="str">
        <f>IF(A80="","",IFERROR(INDEX(Casos!$B$5:$B$204,MATCH(A80,Casos!$A$5:$A$204,0)),""))</f>
        <v>Patrícia Gomes</v>
      </c>
      <c r="C80" s="34" t="n">
        <v>3</v>
      </c>
      <c r="D80" s="37" t="n">
        <v>46248</v>
      </c>
      <c r="E80" s="36" t="n">
        <v>2100</v>
      </c>
      <c r="F80" s="34" t="inlineStr">
        <is>
          <t>Não</t>
        </is>
      </c>
      <c r="G80" s="37" t="n"/>
      <c r="H80" s="24" t="str">
        <f>IF(A80="","",IF(F80="Sim","Paga",IF(D80="","Sem vencimento",IF(D80&lt;Config!$B$5,"Vencida","A vencer"))))</f>
        <v>Vencida</v>
      </c>
      <c r="I80" s="30">
        <f>IF(H80="Vencida",Config!$B$5-D80,"")</f>
        <v>31</v>
      </c>
      <c r="J80" s="30">
        <f>IF(H80="A vencer",D80-Config!$B$5,"")</f>
        <v/>
      </c>
      <c r="K80" s="24" t="str">
        <f>IF(H80&lt;&gt;"Vencida","",IF(COUNTIF(Config!$A$10:$A$13,"&lt;="&amp;I80)=0,"Antes da régua",INDEX(Config!$C$10:$C$13,COUNTIF(Config!$A$10:$A$13,"&lt;="&amp;I80))))</f>
        <v>30 dias ou mais</v>
      </c>
      <c r="L80" s="23" t="str">
        <f>IF(H80&lt;&gt;"Vencida","",IF(COUNTIF(Config!$A$10:$A$13,"&lt;="&amp;I80)=0,"Aguardar: ainda não chegou ao primeiro passo da régua.",INDEX(Config!$B$10:$B$13,COUNTIF(Config!$A$10:$A$13,"&lt;="&amp;I80))))</f>
        <v>Ligação ou reunião para combinar um plano de pagamento; registrar por escrito o que foi combinado e a nova data.</v>
      </c>
      <c r="M80" s="38">
        <f>IF(H80="Vencida",E80*I80+ROW()/100000,0)</f>
        <v>65100.0008</v>
      </c>
      <c r="N80" s="38">
        <f>IF(AND(H80="A vencer",J80&lt;=Config!$B$7),100000-J80-ROW()/100000,0)</f>
        <v>0</v>
      </c>
    </row>
    <row r="81">
      <c r="A81" s="32" t="inlineStr">
        <is>
          <t>6710873-21.2025.8.26.0571</t>
        </is>
      </c>
      <c r="B81" s="23" t="str">
        <f>IF(A81="","",IFERROR(INDEX(Casos!$B$5:$B$204,MATCH(A81,Casos!$A$5:$A$204,0)),""))</f>
        <v>Escola Aurora</v>
      </c>
      <c r="C81" s="34" t="n">
        <v>1</v>
      </c>
      <c r="D81" s="37" t="n">
        <v>45957</v>
      </c>
      <c r="E81" s="36" t="n">
        <v>2400</v>
      </c>
      <c r="F81" s="34" t="inlineStr">
        <is>
          <t>Sim</t>
        </is>
      </c>
      <c r="G81" s="37" t="n">
        <v>45957</v>
      </c>
      <c r="H81" s="24" t="str">
        <f>IF(A81="","",IF(F81="Sim","Paga",IF(D81="","Sem vencimento",IF(D81&lt;Config!$B$5,"Vencida","A vencer"))))</f>
        <v>Paga</v>
      </c>
      <c r="I81" s="30">
        <f>IF(H81="Vencida",Config!$B$5-D81,"")</f>
        <v/>
      </c>
      <c r="J81" s="30">
        <f>IF(H81="A vencer",D81-Config!$B$5,"")</f>
        <v/>
      </c>
      <c r="K81" s="24">
        <f>IF(H81&lt;&gt;"Vencida","",IF(COUNTIF(Config!$A$10:$A$13,"&lt;="&amp;I81)=0,"Antes da régua",INDEX(Config!$C$10:$C$13,COUNTIF(Config!$A$10:$A$13,"&lt;="&amp;I81))))</f>
        <v/>
      </c>
      <c r="L81" s="23">
        <f>IF(H81&lt;&gt;"Vencida","",IF(COUNTIF(Config!$A$10:$A$13,"&lt;="&amp;I81)=0,"Aguardar: ainda não chegou ao primeiro passo da régua.",INDEX(Config!$B$10:$B$13,COUNTIF(Config!$A$10:$A$13,"&lt;="&amp;I81))))</f>
        <v/>
      </c>
      <c r="M81" s="38">
        <f>IF(H81="Vencida",E81*I81+ROW()/100000,0)</f>
        <v>0</v>
      </c>
      <c r="N81" s="38">
        <f>IF(AND(H81="A vencer",J81&lt;=Config!$B$7),100000-J81-ROW()/100000,0)</f>
        <v>0</v>
      </c>
    </row>
    <row r="82">
      <c r="A82" s="32" t="inlineStr">
        <is>
          <t>6710873-21.2025.8.26.0571</t>
        </is>
      </c>
      <c r="B82" s="23" t="str">
        <f>IF(A82="","",IFERROR(INDEX(Casos!$B$5:$B$204,MATCH(A82,Casos!$A$5:$A$204,0)),""))</f>
        <v>Escola Aurora</v>
      </c>
      <c r="C82" s="34" t="n">
        <v>2</v>
      </c>
      <c r="D82" s="37" t="n">
        <v>45987</v>
      </c>
      <c r="E82" s="36" t="n">
        <v>1200</v>
      </c>
      <c r="F82" s="34" t="inlineStr">
        <is>
          <t>Sim</t>
        </is>
      </c>
      <c r="G82" s="37" t="n">
        <v>45987</v>
      </c>
      <c r="H82" s="24" t="str">
        <f>IF(A82="","",IF(F82="Sim","Paga",IF(D82="","Sem vencimento",IF(D82&lt;Config!$B$5,"Vencida","A vencer"))))</f>
        <v>Paga</v>
      </c>
      <c r="I82" s="30">
        <f>IF(H82="Vencida",Config!$B$5-D82,"")</f>
        <v/>
      </c>
      <c r="J82" s="30">
        <f>IF(H82="A vencer",D82-Config!$B$5,"")</f>
        <v/>
      </c>
      <c r="K82" s="24">
        <f>IF(H82&lt;&gt;"Vencida","",IF(COUNTIF(Config!$A$10:$A$13,"&lt;="&amp;I82)=0,"Antes da régua",INDEX(Config!$C$10:$C$13,COUNTIF(Config!$A$10:$A$13,"&lt;="&amp;I82))))</f>
        <v/>
      </c>
      <c r="L82" s="23">
        <f>IF(H82&lt;&gt;"Vencida","",IF(COUNTIF(Config!$A$10:$A$13,"&lt;="&amp;I82)=0,"Aguardar: ainda não chegou ao primeiro passo da régua.",INDEX(Config!$B$10:$B$13,COUNTIF(Config!$A$10:$A$13,"&lt;="&amp;I82))))</f>
        <v/>
      </c>
      <c r="M82" s="38">
        <f>IF(H82="Vencida",E82*I82+ROW()/100000,0)</f>
        <v>0</v>
      </c>
      <c r="N82" s="38">
        <f>IF(AND(H82="A vencer",J82&lt;=Config!$B$7),100000-J82-ROW()/100000,0)</f>
        <v>0</v>
      </c>
    </row>
    <row r="83">
      <c r="A83" s="32" t="inlineStr">
        <is>
          <t>6710873-21.2025.8.26.0571</t>
        </is>
      </c>
      <c r="B83" s="23" t="str">
        <f>IF(A83="","",IFERROR(INDEX(Casos!$B$5:$B$204,MATCH(A83,Casos!$A$5:$A$204,0)),""))</f>
        <v>Escola Aurora</v>
      </c>
      <c r="C83" s="34" t="n">
        <v>3</v>
      </c>
      <c r="D83" s="37" t="n">
        <v>46017</v>
      </c>
      <c r="E83" s="36" t="n">
        <v>1200</v>
      </c>
      <c r="F83" s="34" t="inlineStr">
        <is>
          <t>Sim</t>
        </is>
      </c>
      <c r="G83" s="37" t="n">
        <v>46020</v>
      </c>
      <c r="H83" s="24" t="str">
        <f>IF(A83="","",IF(F83="Sim","Paga",IF(D83="","Sem vencimento",IF(D83&lt;Config!$B$5,"Vencida","A vencer"))))</f>
        <v>Paga</v>
      </c>
      <c r="I83" s="30">
        <f>IF(H83="Vencida",Config!$B$5-D83,"")</f>
        <v/>
      </c>
      <c r="J83" s="30">
        <f>IF(H83="A vencer",D83-Config!$B$5,"")</f>
        <v/>
      </c>
      <c r="K83" s="24">
        <f>IF(H83&lt;&gt;"Vencida","",IF(COUNTIF(Config!$A$10:$A$13,"&lt;="&amp;I83)=0,"Antes da régua",INDEX(Config!$C$10:$C$13,COUNTIF(Config!$A$10:$A$13,"&lt;="&amp;I83))))</f>
        <v/>
      </c>
      <c r="L83" s="23">
        <f>IF(H83&lt;&gt;"Vencida","",IF(COUNTIF(Config!$A$10:$A$13,"&lt;="&amp;I83)=0,"Aguardar: ainda não chegou ao primeiro passo da régua.",INDEX(Config!$B$10:$B$13,COUNTIF(Config!$A$10:$A$13,"&lt;="&amp;I83))))</f>
        <v/>
      </c>
      <c r="M83" s="38">
        <f>IF(H83="Vencida",E83*I83+ROW()/100000,0)</f>
        <v>0</v>
      </c>
      <c r="N83" s="38">
        <f>IF(AND(H83="A vencer",J83&lt;=Config!$B$7),100000-J83-ROW()/100000,0)</f>
        <v>0</v>
      </c>
    </row>
    <row r="84">
      <c r="A84" s="32" t="inlineStr">
        <is>
          <t>6710873-21.2025.8.26.0571</t>
        </is>
      </c>
      <c r="B84" s="23" t="str">
        <f>IF(A84="","",IFERROR(INDEX(Casos!$B$5:$B$204,MATCH(A84,Casos!$A$5:$A$204,0)),""))</f>
        <v>Escola Aurora</v>
      </c>
      <c r="C84" s="34" t="n">
        <v>4</v>
      </c>
      <c r="D84" s="37" t="n">
        <v>46048</v>
      </c>
      <c r="E84" s="36" t="n">
        <v>1200</v>
      </c>
      <c r="F84" s="34" t="inlineStr">
        <is>
          <t>Sim</t>
        </is>
      </c>
      <c r="G84" s="37" t="n">
        <v>46055</v>
      </c>
      <c r="H84" s="24" t="str">
        <f>IF(A84="","",IF(F84="Sim","Paga",IF(D84="","Sem vencimento",IF(D84&lt;Config!$B$5,"Vencida","A vencer"))))</f>
        <v>Paga</v>
      </c>
      <c r="I84" s="30">
        <f>IF(H84="Vencida",Config!$B$5-D84,"")</f>
        <v/>
      </c>
      <c r="J84" s="30">
        <f>IF(H84="A vencer",D84-Config!$B$5,"")</f>
        <v/>
      </c>
      <c r="K84" s="24">
        <f>IF(H84&lt;&gt;"Vencida","",IF(COUNTIF(Config!$A$10:$A$13,"&lt;="&amp;I84)=0,"Antes da régua",INDEX(Config!$C$10:$C$13,COUNTIF(Config!$A$10:$A$13,"&lt;="&amp;I84))))</f>
        <v/>
      </c>
      <c r="L84" s="23">
        <f>IF(H84&lt;&gt;"Vencida","",IF(COUNTIF(Config!$A$10:$A$13,"&lt;="&amp;I84)=0,"Aguardar: ainda não chegou ao primeiro passo da régua.",INDEX(Config!$B$10:$B$13,COUNTIF(Config!$A$10:$A$13,"&lt;="&amp;I84))))</f>
        <v/>
      </c>
      <c r="M84" s="38">
        <f>IF(H84="Vencida",E84*I84+ROW()/100000,0)</f>
        <v>0</v>
      </c>
      <c r="N84" s="38">
        <f>IF(AND(H84="A vencer",J84&lt;=Config!$B$7),100000-J84-ROW()/100000,0)</f>
        <v>0</v>
      </c>
    </row>
    <row r="85">
      <c r="A85" s="32" t="inlineStr">
        <is>
          <t>3363714-92.2025.8.26.0592</t>
        </is>
      </c>
      <c r="B85" s="23" t="str">
        <f>IF(A85="","",IFERROR(INDEX(Casos!$B$5:$B$204,MATCH(A85,Casos!$A$5:$A$204,0)),""))</f>
        <v>Oficina Mecânica Central</v>
      </c>
      <c r="C85" s="34" t="n">
        <v>1</v>
      </c>
      <c r="D85" s="37" t="n">
        <v>45985</v>
      </c>
      <c r="E85" s="36" t="n">
        <v>5000</v>
      </c>
      <c r="F85" s="34" t="inlineStr">
        <is>
          <t>Sim</t>
        </is>
      </c>
      <c r="G85" s="37" t="n">
        <v>45985</v>
      </c>
      <c r="H85" s="24" t="str">
        <f>IF(A85="","",IF(F85="Sim","Paga",IF(D85="","Sem vencimento",IF(D85&lt;Config!$B$5,"Vencida","A vencer"))))</f>
        <v>Paga</v>
      </c>
      <c r="I85" s="30">
        <f>IF(H85="Vencida",Config!$B$5-D85,"")</f>
        <v/>
      </c>
      <c r="J85" s="30">
        <f>IF(H85="A vencer",D85-Config!$B$5,"")</f>
        <v/>
      </c>
      <c r="K85" s="24">
        <f>IF(H85&lt;&gt;"Vencida","",IF(COUNTIF(Config!$A$10:$A$13,"&lt;="&amp;I85)=0,"Antes da régua",INDEX(Config!$C$10:$C$13,COUNTIF(Config!$A$10:$A$13,"&lt;="&amp;I85))))</f>
        <v/>
      </c>
      <c r="L85" s="23">
        <f>IF(H85&lt;&gt;"Vencida","",IF(COUNTIF(Config!$A$10:$A$13,"&lt;="&amp;I85)=0,"Aguardar: ainda não chegou ao primeiro passo da régua.",INDEX(Config!$B$10:$B$13,COUNTIF(Config!$A$10:$A$13,"&lt;="&amp;I85))))</f>
        <v/>
      </c>
      <c r="M85" s="38">
        <f>IF(H85="Vencida",E85*I85+ROW()/100000,0)</f>
        <v>0</v>
      </c>
      <c r="N85" s="38">
        <f>IF(AND(H85="A vencer",J85&lt;=Config!$B$7),100000-J85-ROW()/100000,0)</f>
        <v>0</v>
      </c>
    </row>
    <row r="86">
      <c r="A86" s="32" t="inlineStr">
        <is>
          <t>3363714-92.2025.8.26.0592</t>
        </is>
      </c>
      <c r="B86" s="23" t="str">
        <f>IF(A86="","",IFERROR(INDEX(Casos!$B$5:$B$204,MATCH(A86,Casos!$A$5:$A$204,0)),""))</f>
        <v>Oficina Mecânica Central</v>
      </c>
      <c r="C86" s="34" t="n">
        <v>2</v>
      </c>
      <c r="D86" s="37" t="n">
        <v>46014</v>
      </c>
      <c r="E86" s="36" t="n">
        <v>2000</v>
      </c>
      <c r="F86" s="34" t="inlineStr">
        <is>
          <t>Sim</t>
        </is>
      </c>
      <c r="G86" s="37" t="n">
        <v>46014</v>
      </c>
      <c r="H86" s="24" t="str">
        <f>IF(A86="","",IF(F86="Sim","Paga",IF(D86="","Sem vencimento",IF(D86&lt;Config!$B$5,"Vencida","A vencer"))))</f>
        <v>Paga</v>
      </c>
      <c r="I86" s="30">
        <f>IF(H86="Vencida",Config!$B$5-D86,"")</f>
        <v/>
      </c>
      <c r="J86" s="30">
        <f>IF(H86="A vencer",D86-Config!$B$5,"")</f>
        <v/>
      </c>
      <c r="K86" s="24">
        <f>IF(H86&lt;&gt;"Vencida","",IF(COUNTIF(Config!$A$10:$A$13,"&lt;="&amp;I86)=0,"Antes da régua",INDEX(Config!$C$10:$C$13,COUNTIF(Config!$A$10:$A$13,"&lt;="&amp;I86))))</f>
        <v/>
      </c>
      <c r="L86" s="23">
        <f>IF(H86&lt;&gt;"Vencida","",IF(COUNTIF(Config!$A$10:$A$13,"&lt;="&amp;I86)=0,"Aguardar: ainda não chegou ao primeiro passo da régua.",INDEX(Config!$B$10:$B$13,COUNTIF(Config!$A$10:$A$13,"&lt;="&amp;I86))))</f>
        <v/>
      </c>
      <c r="M86" s="38">
        <f>IF(H86="Vencida",E86*I86+ROW()/100000,0)</f>
        <v>0</v>
      </c>
      <c r="N86" s="38">
        <f>IF(AND(H86="A vencer",J86&lt;=Config!$B$7),100000-J86-ROW()/100000,0)</f>
        <v>0</v>
      </c>
    </row>
    <row r="87">
      <c r="A87" s="32" t="inlineStr">
        <is>
          <t>3363714-92.2025.8.26.0592</t>
        </is>
      </c>
      <c r="B87" s="23" t="str">
        <f>IF(A87="","",IFERROR(INDEX(Casos!$B$5:$B$204,MATCH(A87,Casos!$A$5:$A$204,0)),""))</f>
        <v>Oficina Mecânica Central</v>
      </c>
      <c r="C87" s="34" t="n">
        <v>3</v>
      </c>
      <c r="D87" s="37" t="n">
        <v>46045</v>
      </c>
      <c r="E87" s="36" t="n">
        <v>2000</v>
      </c>
      <c r="F87" s="34" t="inlineStr">
        <is>
          <t>Sim</t>
        </is>
      </c>
      <c r="G87" s="37" t="n">
        <v>46045</v>
      </c>
      <c r="H87" s="24" t="str">
        <f>IF(A87="","",IF(F87="Sim","Paga",IF(D87="","Sem vencimento",IF(D87&lt;Config!$B$5,"Vencida","A vencer"))))</f>
        <v>Paga</v>
      </c>
      <c r="I87" s="30">
        <f>IF(H87="Vencida",Config!$B$5-D87,"")</f>
        <v/>
      </c>
      <c r="J87" s="30">
        <f>IF(H87="A vencer",D87-Config!$B$5,"")</f>
        <v/>
      </c>
      <c r="K87" s="24">
        <f>IF(H87&lt;&gt;"Vencida","",IF(COUNTIF(Config!$A$10:$A$13,"&lt;="&amp;I87)=0,"Antes da régua",INDEX(Config!$C$10:$C$13,COUNTIF(Config!$A$10:$A$13,"&lt;="&amp;I87))))</f>
        <v/>
      </c>
      <c r="L87" s="23">
        <f>IF(H87&lt;&gt;"Vencida","",IF(COUNTIF(Config!$A$10:$A$13,"&lt;="&amp;I87)=0,"Aguardar: ainda não chegou ao primeiro passo da régua.",INDEX(Config!$B$10:$B$13,COUNTIF(Config!$A$10:$A$13,"&lt;="&amp;I87))))</f>
        <v/>
      </c>
      <c r="M87" s="38">
        <f>IF(H87="Vencida",E87*I87+ROW()/100000,0)</f>
        <v>0</v>
      </c>
      <c r="N87" s="38">
        <f>IF(AND(H87="A vencer",J87&lt;=Config!$B$7),100000-J87-ROW()/100000,0)</f>
        <v>0</v>
      </c>
    </row>
    <row r="88">
      <c r="A88" s="32" t="inlineStr">
        <is>
          <t>3363714-92.2025.8.26.0592</t>
        </is>
      </c>
      <c r="B88" s="23" t="str">
        <f>IF(A88="","",IFERROR(INDEX(Casos!$B$5:$B$204,MATCH(A88,Casos!$A$5:$A$204,0)),""))</f>
        <v>Oficina Mecânica Central</v>
      </c>
      <c r="C88" s="34" t="n">
        <v>4</v>
      </c>
      <c r="D88" s="37" t="n">
        <v>46076</v>
      </c>
      <c r="E88" s="36" t="n">
        <v>2000</v>
      </c>
      <c r="F88" s="34" t="inlineStr">
        <is>
          <t>Sim</t>
        </is>
      </c>
      <c r="G88" s="37" t="n">
        <v>46083</v>
      </c>
      <c r="H88" s="24" t="str">
        <f>IF(A88="","",IF(F88="Sim","Paga",IF(D88="","Sem vencimento",IF(D88&lt;Config!$B$5,"Vencida","A vencer"))))</f>
        <v>Paga</v>
      </c>
      <c r="I88" s="30">
        <f>IF(H88="Vencida",Config!$B$5-D88,"")</f>
        <v/>
      </c>
      <c r="J88" s="30">
        <f>IF(H88="A vencer",D88-Config!$B$5,"")</f>
        <v/>
      </c>
      <c r="K88" s="24">
        <f>IF(H88&lt;&gt;"Vencida","",IF(COUNTIF(Config!$A$10:$A$13,"&lt;="&amp;I88)=0,"Antes da régua",INDEX(Config!$C$10:$C$13,COUNTIF(Config!$A$10:$A$13,"&lt;="&amp;I88))))</f>
        <v/>
      </c>
      <c r="L88" s="23">
        <f>IF(H88&lt;&gt;"Vencida","",IF(COUNTIF(Config!$A$10:$A$13,"&lt;="&amp;I88)=0,"Aguardar: ainda não chegou ao primeiro passo da régua.",INDEX(Config!$B$10:$B$13,COUNTIF(Config!$A$10:$A$13,"&lt;="&amp;I88))))</f>
        <v/>
      </c>
      <c r="M88" s="38">
        <f>IF(H88="Vencida",E88*I88+ROW()/100000,0)</f>
        <v>0</v>
      </c>
      <c r="N88" s="38">
        <f>IF(AND(H88="A vencer",J88&lt;=Config!$B$7),100000-J88-ROW()/100000,0)</f>
        <v>0</v>
      </c>
    </row>
    <row r="89">
      <c r="A89" s="32" t="inlineStr">
        <is>
          <t>3363714-92.2025.8.26.0592</t>
        </is>
      </c>
      <c r="B89" s="23" t="str">
        <f>IF(A89="","",IFERROR(INDEX(Casos!$B$5:$B$204,MATCH(A89,Casos!$A$5:$A$204,0)),""))</f>
        <v>Oficina Mecânica Central</v>
      </c>
      <c r="C89" s="34" t="n">
        <v>5</v>
      </c>
      <c r="D89" s="37" t="n">
        <v>46104</v>
      </c>
      <c r="E89" s="36" t="n">
        <v>2000</v>
      </c>
      <c r="F89" s="34" t="inlineStr">
        <is>
          <t>Sim</t>
        </is>
      </c>
      <c r="G89" s="37" t="n">
        <v>46104</v>
      </c>
      <c r="H89" s="24" t="str">
        <f>IF(A89="","",IF(F89="Sim","Paga",IF(D89="","Sem vencimento",IF(D89&lt;Config!$B$5,"Vencida","A vencer"))))</f>
        <v>Paga</v>
      </c>
      <c r="I89" s="30">
        <f>IF(H89="Vencida",Config!$B$5-D89,"")</f>
        <v/>
      </c>
      <c r="J89" s="30">
        <f>IF(H89="A vencer",D89-Config!$B$5,"")</f>
        <v/>
      </c>
      <c r="K89" s="24">
        <f>IF(H89&lt;&gt;"Vencida","",IF(COUNTIF(Config!$A$10:$A$13,"&lt;="&amp;I89)=0,"Antes da régua",INDEX(Config!$C$10:$C$13,COUNTIF(Config!$A$10:$A$13,"&lt;="&amp;I89))))</f>
        <v/>
      </c>
      <c r="L89" s="23">
        <f>IF(H89&lt;&gt;"Vencida","",IF(COUNTIF(Config!$A$10:$A$13,"&lt;="&amp;I89)=0,"Aguardar: ainda não chegou ao primeiro passo da régua.",INDEX(Config!$B$10:$B$13,COUNTIF(Config!$A$10:$A$13,"&lt;="&amp;I89))))</f>
        <v/>
      </c>
      <c r="M89" s="38">
        <f>IF(H89="Vencida",E89*I89+ROW()/100000,0)</f>
        <v>0</v>
      </c>
      <c r="N89" s="38">
        <f>IF(AND(H89="A vencer",J89&lt;=Config!$B$7),100000-J89-ROW()/100000,0)</f>
        <v>0</v>
      </c>
    </row>
    <row r="90">
      <c r="A90" s="32" t="inlineStr">
        <is>
          <t>3363714-92.2025.8.26.0592</t>
        </is>
      </c>
      <c r="B90" s="23" t="str">
        <f>IF(A90="","",IFERROR(INDEX(Casos!$B$5:$B$204,MATCH(A90,Casos!$A$5:$A$204,0)),""))</f>
        <v>Oficina Mecânica Central</v>
      </c>
      <c r="C90" s="34" t="n">
        <v>6</v>
      </c>
      <c r="D90" s="37" t="n">
        <v>46135</v>
      </c>
      <c r="E90" s="36" t="n">
        <v>2000</v>
      </c>
      <c r="F90" s="34" t="inlineStr">
        <is>
          <t>Sim</t>
        </is>
      </c>
      <c r="G90" s="37" t="n">
        <v>46135</v>
      </c>
      <c r="H90" s="24" t="str">
        <f>IF(A90="","",IF(F90="Sim","Paga",IF(D90="","Sem vencimento",IF(D90&lt;Config!$B$5,"Vencida","A vencer"))))</f>
        <v>Paga</v>
      </c>
      <c r="I90" s="30">
        <f>IF(H90="Vencida",Config!$B$5-D90,"")</f>
        <v/>
      </c>
      <c r="J90" s="30">
        <f>IF(H90="A vencer",D90-Config!$B$5,"")</f>
        <v/>
      </c>
      <c r="K90" s="24">
        <f>IF(H90&lt;&gt;"Vencida","",IF(COUNTIF(Config!$A$10:$A$13,"&lt;="&amp;I90)=0,"Antes da régua",INDEX(Config!$C$10:$C$13,COUNTIF(Config!$A$10:$A$13,"&lt;="&amp;I90))))</f>
        <v/>
      </c>
      <c r="L90" s="23">
        <f>IF(H90&lt;&gt;"Vencida","",IF(COUNTIF(Config!$A$10:$A$13,"&lt;="&amp;I90)=0,"Aguardar: ainda não chegou ao primeiro passo da régua.",INDEX(Config!$B$10:$B$13,COUNTIF(Config!$A$10:$A$13,"&lt;="&amp;I90))))</f>
        <v/>
      </c>
      <c r="M90" s="38">
        <f>IF(H90="Vencida",E90*I90+ROW()/100000,0)</f>
        <v>0</v>
      </c>
      <c r="N90" s="38">
        <f>IF(AND(H90="A vencer",J90&lt;=Config!$B$7),100000-J90-ROW()/100000,0)</f>
        <v>0</v>
      </c>
    </row>
    <row r="91">
      <c r="A91" s="32" t="inlineStr">
        <is>
          <t>6184138-13.2026.8.26.0378</t>
        </is>
      </c>
      <c r="B91" s="23" t="str">
        <f>IF(A91="","",IFERROR(INDEX(Casos!$B$5:$B$204,MATCH(A91,Casos!$A$5:$A$204,0)),""))</f>
        <v>Oficina Mecânica Central</v>
      </c>
      <c r="C91" s="34" t="n">
        <v>1</v>
      </c>
      <c r="D91" s="37" t="n">
        <v>46132</v>
      </c>
      <c r="E91" s="36" t="n">
        <v>3000</v>
      </c>
      <c r="F91" s="34" t="inlineStr">
        <is>
          <t>Sim</t>
        </is>
      </c>
      <c r="G91" s="37" t="n">
        <v>46132</v>
      </c>
      <c r="H91" s="24" t="str">
        <f>IF(A91="","",IF(F91="Sim","Paga",IF(D91="","Sem vencimento",IF(D91&lt;Config!$B$5,"Vencida","A vencer"))))</f>
        <v>Paga</v>
      </c>
      <c r="I91" s="30">
        <f>IF(H91="Vencida",Config!$B$5-D91,"")</f>
        <v/>
      </c>
      <c r="J91" s="30">
        <f>IF(H91="A vencer",D91-Config!$B$5,"")</f>
        <v/>
      </c>
      <c r="K91" s="24">
        <f>IF(H91&lt;&gt;"Vencida","",IF(COUNTIF(Config!$A$10:$A$13,"&lt;="&amp;I91)=0,"Antes da régua",INDEX(Config!$C$10:$C$13,COUNTIF(Config!$A$10:$A$13,"&lt;="&amp;I91))))</f>
        <v/>
      </c>
      <c r="L91" s="23">
        <f>IF(H91&lt;&gt;"Vencida","",IF(COUNTIF(Config!$A$10:$A$13,"&lt;="&amp;I91)=0,"Aguardar: ainda não chegou ao primeiro passo da régua.",INDEX(Config!$B$10:$B$13,COUNTIF(Config!$A$10:$A$13,"&lt;="&amp;I91))))</f>
        <v/>
      </c>
      <c r="M91" s="38">
        <f>IF(H91="Vencida",E91*I91+ROW()/100000,0)</f>
        <v>0</v>
      </c>
      <c r="N91" s="38">
        <f>IF(AND(H91="A vencer",J91&lt;=Config!$B$7),100000-J91-ROW()/100000,0)</f>
        <v>0</v>
      </c>
    </row>
    <row r="92">
      <c r="A92" s="32" t="inlineStr">
        <is>
          <t>6184138-13.2026.8.26.0378</t>
        </is>
      </c>
      <c r="B92" s="23" t="str">
        <f>IF(A92="","",IFERROR(INDEX(Casos!$B$5:$B$204,MATCH(A92,Casos!$A$5:$A$204,0)),""))</f>
        <v>Oficina Mecânica Central</v>
      </c>
      <c r="C92" s="34" t="n">
        <v>2</v>
      </c>
      <c r="D92" s="37" t="n">
        <v>46162</v>
      </c>
      <c r="E92" s="36" t="n">
        <v>1500</v>
      </c>
      <c r="F92" s="34" t="inlineStr">
        <is>
          <t>Sim</t>
        </is>
      </c>
      <c r="G92" s="37" t="n">
        <v>46169</v>
      </c>
      <c r="H92" s="24" t="str">
        <f>IF(A92="","",IF(F92="Sim","Paga",IF(D92="","Sem vencimento",IF(D92&lt;Config!$B$5,"Vencida","A vencer"))))</f>
        <v>Paga</v>
      </c>
      <c r="I92" s="30">
        <f>IF(H92="Vencida",Config!$B$5-D92,"")</f>
        <v/>
      </c>
      <c r="J92" s="30">
        <f>IF(H92="A vencer",D92-Config!$B$5,"")</f>
        <v/>
      </c>
      <c r="K92" s="24">
        <f>IF(H92&lt;&gt;"Vencida","",IF(COUNTIF(Config!$A$10:$A$13,"&lt;="&amp;I92)=0,"Antes da régua",INDEX(Config!$C$10:$C$13,COUNTIF(Config!$A$10:$A$13,"&lt;="&amp;I92))))</f>
        <v/>
      </c>
      <c r="L92" s="23">
        <f>IF(H92&lt;&gt;"Vencida","",IF(COUNTIF(Config!$A$10:$A$13,"&lt;="&amp;I92)=0,"Aguardar: ainda não chegou ao primeiro passo da régua.",INDEX(Config!$B$10:$B$13,COUNTIF(Config!$A$10:$A$13,"&lt;="&amp;I92))))</f>
        <v/>
      </c>
      <c r="M92" s="38">
        <f>IF(H92="Vencida",E92*I92+ROW()/100000,0)</f>
        <v>0</v>
      </c>
      <c r="N92" s="38">
        <f>IF(AND(H92="A vencer",J92&lt;=Config!$B$7),100000-J92-ROW()/100000,0)</f>
        <v>0</v>
      </c>
    </row>
    <row r="93">
      <c r="A93" s="32" t="inlineStr">
        <is>
          <t>6184138-13.2026.8.26.0378</t>
        </is>
      </c>
      <c r="B93" s="23" t="str">
        <f>IF(A93="","",IFERROR(INDEX(Casos!$B$5:$B$204,MATCH(A93,Casos!$A$5:$A$204,0)),""))</f>
        <v>Oficina Mecânica Central</v>
      </c>
      <c r="C93" s="34" t="n">
        <v>3</v>
      </c>
      <c r="D93" s="37" t="n">
        <v>46192</v>
      </c>
      <c r="E93" s="36" t="n">
        <v>1500</v>
      </c>
      <c r="F93" s="34" t="inlineStr">
        <is>
          <t>Não</t>
        </is>
      </c>
      <c r="G93" s="37" t="n"/>
      <c r="H93" s="24" t="str">
        <f>IF(A93="","",IF(F93="Sim","Paga",IF(D93="","Sem vencimento",IF(D93&lt;Config!$B$5,"Vencida","A vencer"))))</f>
        <v>Vencida</v>
      </c>
      <c r="I93" s="30">
        <f>IF(H93="Vencida",Config!$B$5-D93,"")</f>
        <v>87</v>
      </c>
      <c r="J93" s="30">
        <f>IF(H93="A vencer",D93-Config!$B$5,"")</f>
        <v/>
      </c>
      <c r="K93" s="24" t="str">
        <f>IF(H93&lt;&gt;"Vencida","",IF(COUNTIF(Config!$A$10:$A$13,"&lt;="&amp;I93)=0,"Antes da régua",INDEX(Config!$C$10:$C$13,COUNTIF(Config!$A$10:$A$13,"&lt;="&amp;I93))))</f>
        <v>30 dias ou mais</v>
      </c>
      <c r="L93" s="23" t="str">
        <f>IF(H93&lt;&gt;"Vencida","",IF(COUNTIF(Config!$A$10:$A$13,"&lt;="&amp;I93)=0,"Aguardar: ainda não chegou ao primeiro passo da régua.",INDEX(Config!$B$10:$B$13,COUNTIF(Config!$A$10:$A$13,"&lt;="&amp;I93))))</f>
        <v>Ligação ou reunião para combinar um plano de pagamento; registrar por escrito o que foi combinado e a nova data.</v>
      </c>
      <c r="M93" s="38">
        <f>IF(H93="Vencida",E93*I93+ROW()/100000,0)</f>
        <v>130500.00093</v>
      </c>
      <c r="N93" s="38">
        <f>IF(AND(H93="A vencer",J93&lt;=Config!$B$7),100000-J93-ROW()/100000,0)</f>
        <v>0</v>
      </c>
    </row>
    <row r="94">
      <c r="A94" s="32" t="inlineStr">
        <is>
          <t>7099226-69.2026.8.26.0433</t>
        </is>
      </c>
      <c r="B94" s="23" t="str">
        <f>IF(A94="","",IFERROR(INDEX(Casos!$B$5:$B$204,MATCH(A94,Casos!$A$5:$A$204,0)),""))</f>
        <v>Luciana Farias</v>
      </c>
      <c r="C94" s="34" t="n">
        <v>1</v>
      </c>
      <c r="D94" s="37" t="n">
        <v>46174</v>
      </c>
      <c r="E94" s="36" t="n">
        <v>4500</v>
      </c>
      <c r="F94" s="34" t="inlineStr">
        <is>
          <t>Sim</t>
        </is>
      </c>
      <c r="G94" s="37" t="n">
        <v>46174</v>
      </c>
      <c r="H94" s="24" t="str">
        <f>IF(A94="","",IF(F94="Sim","Paga",IF(D94="","Sem vencimento",IF(D94&lt;Config!$B$5,"Vencida","A vencer"))))</f>
        <v>Paga</v>
      </c>
      <c r="I94" s="30">
        <f>IF(H94="Vencida",Config!$B$5-D94,"")</f>
        <v/>
      </c>
      <c r="J94" s="30">
        <f>IF(H94="A vencer",D94-Config!$B$5,"")</f>
        <v/>
      </c>
      <c r="K94" s="24">
        <f>IF(H94&lt;&gt;"Vencida","",IF(COUNTIF(Config!$A$10:$A$13,"&lt;="&amp;I94)=0,"Antes da régua",INDEX(Config!$C$10:$C$13,COUNTIF(Config!$A$10:$A$13,"&lt;="&amp;I94))))</f>
        <v/>
      </c>
      <c r="L94" s="23">
        <f>IF(H94&lt;&gt;"Vencida","",IF(COUNTIF(Config!$A$10:$A$13,"&lt;="&amp;I94)=0,"Aguardar: ainda não chegou ao primeiro passo da régua.",INDEX(Config!$B$10:$B$13,COUNTIF(Config!$A$10:$A$13,"&lt;="&amp;I94))))</f>
        <v/>
      </c>
      <c r="M94" s="38">
        <f>IF(H94="Vencida",E94*I94+ROW()/100000,0)</f>
        <v>0</v>
      </c>
      <c r="N94" s="38">
        <f>IF(AND(H94="A vencer",J94&lt;=Config!$B$7),100000-J94-ROW()/100000,0)</f>
        <v>0</v>
      </c>
    </row>
    <row r="95">
      <c r="A95" s="32" t="inlineStr">
        <is>
          <t>7099226-69.2026.8.26.0433</t>
        </is>
      </c>
      <c r="B95" s="23" t="str">
        <f>IF(A95="","",IFERROR(INDEX(Casos!$B$5:$B$204,MATCH(A95,Casos!$A$5:$A$204,0)),""))</f>
        <v>Luciana Farias</v>
      </c>
      <c r="C95" s="34" t="n">
        <v>2</v>
      </c>
      <c r="D95" s="37" t="n">
        <v>46204</v>
      </c>
      <c r="E95" s="36" t="n">
        <v>2500</v>
      </c>
      <c r="F95" s="34" t="inlineStr">
        <is>
          <t>Sim</t>
        </is>
      </c>
      <c r="G95" s="37" t="n">
        <v>46204</v>
      </c>
      <c r="H95" s="24" t="str">
        <f>IF(A95="","",IF(F95="Sim","Paga",IF(D95="","Sem vencimento",IF(D95&lt;Config!$B$5,"Vencida","A vencer"))))</f>
        <v>Paga</v>
      </c>
      <c r="I95" s="30">
        <f>IF(H95="Vencida",Config!$B$5-D95,"")</f>
        <v/>
      </c>
      <c r="J95" s="30">
        <f>IF(H95="A vencer",D95-Config!$B$5,"")</f>
        <v/>
      </c>
      <c r="K95" s="24">
        <f>IF(H95&lt;&gt;"Vencida","",IF(COUNTIF(Config!$A$10:$A$13,"&lt;="&amp;I95)=0,"Antes da régua",INDEX(Config!$C$10:$C$13,COUNTIF(Config!$A$10:$A$13,"&lt;="&amp;I95))))</f>
        <v/>
      </c>
      <c r="L95" s="23">
        <f>IF(H95&lt;&gt;"Vencida","",IF(COUNTIF(Config!$A$10:$A$13,"&lt;="&amp;I95)=0,"Aguardar: ainda não chegou ao primeiro passo da régua.",INDEX(Config!$B$10:$B$13,COUNTIF(Config!$A$10:$A$13,"&lt;="&amp;I95))))</f>
        <v/>
      </c>
      <c r="M95" s="38">
        <f>IF(H95="Vencida",E95*I95+ROW()/100000,0)</f>
        <v>0</v>
      </c>
      <c r="N95" s="38">
        <f>IF(AND(H95="A vencer",J95&lt;=Config!$B$7),100000-J95-ROW()/100000,0)</f>
        <v>0</v>
      </c>
    </row>
    <row r="96">
      <c r="A96" s="32" t="inlineStr">
        <is>
          <t>7099226-69.2026.8.26.0433</t>
        </is>
      </c>
      <c r="B96" s="23" t="str">
        <f>IF(A96="","",IFERROR(INDEX(Casos!$B$5:$B$204,MATCH(A96,Casos!$A$5:$A$204,0)),""))</f>
        <v>Luciana Farias</v>
      </c>
      <c r="C96" s="34" t="n">
        <v>3</v>
      </c>
      <c r="D96" s="37" t="n">
        <v>46234</v>
      </c>
      <c r="E96" s="36" t="n">
        <v>2500</v>
      </c>
      <c r="F96" s="34" t="inlineStr">
        <is>
          <t>Sim</t>
        </is>
      </c>
      <c r="G96" s="37" t="n">
        <v>46241</v>
      </c>
      <c r="H96" s="24" t="str">
        <f>IF(A96="","",IF(F96="Sim","Paga",IF(D96="","Sem vencimento",IF(D96&lt;Config!$B$5,"Vencida","A vencer"))))</f>
        <v>Paga</v>
      </c>
      <c r="I96" s="30">
        <f>IF(H96="Vencida",Config!$B$5-D96,"")</f>
        <v/>
      </c>
      <c r="J96" s="30">
        <f>IF(H96="A vencer",D96-Config!$B$5,"")</f>
        <v/>
      </c>
      <c r="K96" s="24">
        <f>IF(H96&lt;&gt;"Vencida","",IF(COUNTIF(Config!$A$10:$A$13,"&lt;="&amp;I96)=0,"Antes da régua",INDEX(Config!$C$10:$C$13,COUNTIF(Config!$A$10:$A$13,"&lt;="&amp;I96))))</f>
        <v/>
      </c>
      <c r="L96" s="23">
        <f>IF(H96&lt;&gt;"Vencida","",IF(COUNTIF(Config!$A$10:$A$13,"&lt;="&amp;I96)=0,"Aguardar: ainda não chegou ao primeiro passo da régua.",INDEX(Config!$B$10:$B$13,COUNTIF(Config!$A$10:$A$13,"&lt;="&amp;I96))))</f>
        <v/>
      </c>
      <c r="M96" s="38">
        <f>IF(H96="Vencida",E96*I96+ROW()/100000,0)</f>
        <v>0</v>
      </c>
      <c r="N96" s="38">
        <f>IF(AND(H96="A vencer",J96&lt;=Config!$B$7),100000-J96-ROW()/100000,0)</f>
        <v>0</v>
      </c>
    </row>
    <row r="97">
      <c r="A97" s="32" t="inlineStr">
        <is>
          <t>7099226-69.2026.8.26.0433</t>
        </is>
      </c>
      <c r="B97" s="23" t="str">
        <f>IF(A97="","",IFERROR(INDEX(Casos!$B$5:$B$204,MATCH(A97,Casos!$A$5:$A$204,0)),""))</f>
        <v>Luciana Farias</v>
      </c>
      <c r="C97" s="34" t="n">
        <v>4</v>
      </c>
      <c r="D97" s="37" t="n">
        <v>46265</v>
      </c>
      <c r="E97" s="36" t="n">
        <v>2500</v>
      </c>
      <c r="F97" s="34" t="inlineStr">
        <is>
          <t>Sim</t>
        </is>
      </c>
      <c r="G97" s="37" t="n">
        <v>46265</v>
      </c>
      <c r="H97" s="24" t="str">
        <f>IF(A97="","",IF(F97="Sim","Paga",IF(D97="","Sem vencimento",IF(D97&lt;Config!$B$5,"Vencida","A vencer"))))</f>
        <v>Paga</v>
      </c>
      <c r="I97" s="30">
        <f>IF(H97="Vencida",Config!$B$5-D97,"")</f>
        <v/>
      </c>
      <c r="J97" s="30">
        <f>IF(H97="A vencer",D97-Config!$B$5,"")</f>
        <v/>
      </c>
      <c r="K97" s="24">
        <f>IF(H97&lt;&gt;"Vencida","",IF(COUNTIF(Config!$A$10:$A$13,"&lt;="&amp;I97)=0,"Antes da régua",INDEX(Config!$C$10:$C$13,COUNTIF(Config!$A$10:$A$13,"&lt;="&amp;I97))))</f>
        <v/>
      </c>
      <c r="L97" s="23">
        <f>IF(H97&lt;&gt;"Vencida","",IF(COUNTIF(Config!$A$10:$A$13,"&lt;="&amp;I97)=0,"Aguardar: ainda não chegou ao primeiro passo da régua.",INDEX(Config!$B$10:$B$13,COUNTIF(Config!$A$10:$A$13,"&lt;="&amp;I97))))</f>
        <v/>
      </c>
      <c r="M97" s="38">
        <f>IF(H97="Vencida",E97*I97+ROW()/100000,0)</f>
        <v>0</v>
      </c>
      <c r="N97" s="38">
        <f>IF(AND(H97="A vencer",J97&lt;=Config!$B$7),100000-J97-ROW()/100000,0)</f>
        <v>0</v>
      </c>
    </row>
    <row r="98">
      <c r="A98" s="32" t="inlineStr">
        <is>
          <t>2521428-61.2026.8.26.0600</t>
        </is>
      </c>
      <c r="B98" s="23" t="str">
        <f>IF(A98="","",IFERROR(INDEX(Casos!$B$5:$B$204,MATCH(A98,Casos!$A$5:$A$204,0)),""))</f>
        <v>Luciana Farias</v>
      </c>
      <c r="C98" s="34" t="n">
        <v>1</v>
      </c>
      <c r="D98" s="37" t="n">
        <v>46209</v>
      </c>
      <c r="E98" s="36" t="n">
        <v>2400</v>
      </c>
      <c r="F98" s="34" t="inlineStr">
        <is>
          <t>Sim</t>
        </is>
      </c>
      <c r="G98" s="37" t="n">
        <v>46209</v>
      </c>
      <c r="H98" s="24" t="str">
        <f>IF(A98="","",IF(F98="Sim","Paga",IF(D98="","Sem vencimento",IF(D98&lt;Config!$B$5,"Vencida","A vencer"))))</f>
        <v>Paga</v>
      </c>
      <c r="I98" s="30">
        <f>IF(H98="Vencida",Config!$B$5-D98,"")</f>
        <v/>
      </c>
      <c r="J98" s="30">
        <f>IF(H98="A vencer",D98-Config!$B$5,"")</f>
        <v/>
      </c>
      <c r="K98" s="24">
        <f>IF(H98&lt;&gt;"Vencida","",IF(COUNTIF(Config!$A$10:$A$13,"&lt;="&amp;I98)=0,"Antes da régua",INDEX(Config!$C$10:$C$13,COUNTIF(Config!$A$10:$A$13,"&lt;="&amp;I98))))</f>
        <v/>
      </c>
      <c r="L98" s="23">
        <f>IF(H98&lt;&gt;"Vencida","",IF(COUNTIF(Config!$A$10:$A$13,"&lt;="&amp;I98)=0,"Aguardar: ainda não chegou ao primeiro passo da régua.",INDEX(Config!$B$10:$B$13,COUNTIF(Config!$A$10:$A$13,"&lt;="&amp;I98))))</f>
        <v/>
      </c>
      <c r="M98" s="38">
        <f>IF(H98="Vencida",E98*I98+ROW()/100000,0)</f>
        <v>0</v>
      </c>
      <c r="N98" s="38">
        <f>IF(AND(H98="A vencer",J98&lt;=Config!$B$7),100000-J98-ROW()/100000,0)</f>
        <v>0</v>
      </c>
    </row>
    <row r="99">
      <c r="A99" s="32" t="inlineStr">
        <is>
          <t>2521428-61.2026.8.26.0600</t>
        </is>
      </c>
      <c r="B99" s="23" t="str">
        <f>IF(A99="","",IFERROR(INDEX(Casos!$B$5:$B$204,MATCH(A99,Casos!$A$5:$A$204,0)),""))</f>
        <v>Luciana Farias</v>
      </c>
      <c r="C99" s="34" t="n">
        <v>2</v>
      </c>
      <c r="D99" s="37" t="n">
        <v>46239</v>
      </c>
      <c r="E99" s="36" t="n">
        <v>1200</v>
      </c>
      <c r="F99" s="34" t="inlineStr">
        <is>
          <t>Sim</t>
        </is>
      </c>
      <c r="G99" s="37" t="n">
        <v>46239</v>
      </c>
      <c r="H99" s="24" t="str">
        <f>IF(A99="","",IF(F99="Sim","Paga",IF(D99="","Sem vencimento",IF(D99&lt;Config!$B$5,"Vencida","A vencer"))))</f>
        <v>Paga</v>
      </c>
      <c r="I99" s="30">
        <f>IF(H99="Vencida",Config!$B$5-D99,"")</f>
        <v/>
      </c>
      <c r="J99" s="30">
        <f>IF(H99="A vencer",D99-Config!$B$5,"")</f>
        <v/>
      </c>
      <c r="K99" s="24">
        <f>IF(H99&lt;&gt;"Vencida","",IF(COUNTIF(Config!$A$10:$A$13,"&lt;="&amp;I99)=0,"Antes da régua",INDEX(Config!$C$10:$C$13,COUNTIF(Config!$A$10:$A$13,"&lt;="&amp;I99))))</f>
        <v/>
      </c>
      <c r="L99" s="23">
        <f>IF(H99&lt;&gt;"Vencida","",IF(COUNTIF(Config!$A$10:$A$13,"&lt;="&amp;I99)=0,"Aguardar: ainda não chegou ao primeiro passo da régua.",INDEX(Config!$B$10:$B$13,COUNTIF(Config!$A$10:$A$13,"&lt;="&amp;I99))))</f>
        <v/>
      </c>
      <c r="M99" s="38">
        <f>IF(H99="Vencida",E99*I99+ROW()/100000,0)</f>
        <v>0</v>
      </c>
      <c r="N99" s="38">
        <f>IF(AND(H99="A vencer",J99&lt;=Config!$B$7),100000-J99-ROW()/100000,0)</f>
        <v>0</v>
      </c>
    </row>
    <row r="100">
      <c r="A100" s="32" t="inlineStr">
        <is>
          <t>9362688-24.2025.8.26.0436</t>
        </is>
      </c>
      <c r="B100" s="23" t="str">
        <f>IF(A100="","",IFERROR(INDEX(Casos!$B$5:$B$204,MATCH(A100,Casos!$A$5:$A$204,0)),""))</f>
        <v>Agência Prisma</v>
      </c>
      <c r="C100" s="34" t="n">
        <v>1</v>
      </c>
      <c r="D100" s="37" t="n">
        <v>46034</v>
      </c>
      <c r="E100" s="36" t="n">
        <v>2880</v>
      </c>
      <c r="F100" s="34" t="inlineStr">
        <is>
          <t>Sim</t>
        </is>
      </c>
      <c r="G100" s="37" t="n">
        <v>46034</v>
      </c>
      <c r="H100" s="24" t="str">
        <f>IF(A100="","",IF(F100="Sim","Paga",IF(D100="","Sem vencimento",IF(D100&lt;Config!$B$5,"Vencida","A vencer"))))</f>
        <v>Paga</v>
      </c>
      <c r="I100" s="30">
        <f>IF(H100="Vencida",Config!$B$5-D100,"")</f>
        <v/>
      </c>
      <c r="J100" s="30">
        <f>IF(H100="A vencer",D100-Config!$B$5,"")</f>
        <v/>
      </c>
      <c r="K100" s="24">
        <f>IF(H100&lt;&gt;"Vencida","",IF(COUNTIF(Config!$A$10:$A$13,"&lt;="&amp;I100)=0,"Antes da régua",INDEX(Config!$C$10:$C$13,COUNTIF(Config!$A$10:$A$13,"&lt;="&amp;I100))))</f>
        <v/>
      </c>
      <c r="L100" s="23">
        <f>IF(H100&lt;&gt;"Vencida","",IF(COUNTIF(Config!$A$10:$A$13,"&lt;="&amp;I100)=0,"Aguardar: ainda não chegou ao primeiro passo da régua.",INDEX(Config!$B$10:$B$13,COUNTIF(Config!$A$10:$A$13,"&lt;="&amp;I100))))</f>
        <v/>
      </c>
      <c r="M100" s="38">
        <f>IF(H100="Vencida",E100*I100+ROW()/100000,0)</f>
        <v>0</v>
      </c>
      <c r="N100" s="38">
        <f>IF(AND(H100="A vencer",J100&lt;=Config!$B$7),100000-J100-ROW()/100000,0)</f>
        <v>0</v>
      </c>
    </row>
    <row r="101">
      <c r="A101" s="32" t="inlineStr">
        <is>
          <t>9362688-24.2025.8.26.0436</t>
        </is>
      </c>
      <c r="B101" s="23" t="str">
        <f>IF(A101="","",IFERROR(INDEX(Casos!$B$5:$B$204,MATCH(A101,Casos!$A$5:$A$204,0)),""))</f>
        <v>Agência Prisma</v>
      </c>
      <c r="C101" s="34" t="n">
        <v>2</v>
      </c>
      <c r="D101" s="37" t="n">
        <v>46063</v>
      </c>
      <c r="E101" s="36" t="n">
        <v>3240</v>
      </c>
      <c r="F101" s="34" t="inlineStr">
        <is>
          <t>Sim</t>
        </is>
      </c>
      <c r="G101" s="37" t="n">
        <v>46063</v>
      </c>
      <c r="H101" s="24" t="str">
        <f>IF(A101="","",IF(F101="Sim","Paga",IF(D101="","Sem vencimento",IF(D101&lt;Config!$B$5,"Vencida","A vencer"))))</f>
        <v>Paga</v>
      </c>
      <c r="I101" s="30">
        <f>IF(H101="Vencida",Config!$B$5-D101,"")</f>
        <v/>
      </c>
      <c r="J101" s="30">
        <f>IF(H101="A vencer",D101-Config!$B$5,"")</f>
        <v/>
      </c>
      <c r="K101" s="24">
        <f>IF(H101&lt;&gt;"Vencida","",IF(COUNTIF(Config!$A$10:$A$13,"&lt;="&amp;I101)=0,"Antes da régua",INDEX(Config!$C$10:$C$13,COUNTIF(Config!$A$10:$A$13,"&lt;="&amp;I101))))</f>
        <v/>
      </c>
      <c r="L101" s="23">
        <f>IF(H101&lt;&gt;"Vencida","",IF(COUNTIF(Config!$A$10:$A$13,"&lt;="&amp;I101)=0,"Aguardar: ainda não chegou ao primeiro passo da régua.",INDEX(Config!$B$10:$B$13,COUNTIF(Config!$A$10:$A$13,"&lt;="&amp;I101))))</f>
        <v/>
      </c>
      <c r="M101" s="38">
        <f>IF(H101="Vencida",E101*I101+ROW()/100000,0)</f>
        <v>0</v>
      </c>
      <c r="N101" s="38">
        <f>IF(AND(H101="A vencer",J101&lt;=Config!$B$7),100000-J101-ROW()/100000,0)</f>
        <v>0</v>
      </c>
    </row>
    <row r="102">
      <c r="A102" s="32" t="inlineStr">
        <is>
          <t>9362688-24.2025.8.26.0436</t>
        </is>
      </c>
      <c r="B102" s="23" t="str">
        <f>IF(A102="","",IFERROR(INDEX(Casos!$B$5:$B$204,MATCH(A102,Casos!$A$5:$A$204,0)),""))</f>
        <v>Agência Prisma</v>
      </c>
      <c r="C102" s="34" t="n">
        <v>3</v>
      </c>
      <c r="D102" s="37" t="n">
        <v>46091</v>
      </c>
      <c r="E102" s="36" t="n">
        <v>2520</v>
      </c>
      <c r="F102" s="34" t="inlineStr">
        <is>
          <t>Sim</t>
        </is>
      </c>
      <c r="G102" s="37" t="n">
        <v>46091</v>
      </c>
      <c r="H102" s="24" t="str">
        <f>IF(A102="","",IF(F102="Sim","Paga",IF(D102="","Sem vencimento",IF(D102&lt;Config!$B$5,"Vencida","A vencer"))))</f>
        <v>Paga</v>
      </c>
      <c r="I102" s="30">
        <f>IF(H102="Vencida",Config!$B$5-D102,"")</f>
        <v/>
      </c>
      <c r="J102" s="30">
        <f>IF(H102="A vencer",D102-Config!$B$5,"")</f>
        <v/>
      </c>
      <c r="K102" s="24">
        <f>IF(H102&lt;&gt;"Vencida","",IF(COUNTIF(Config!$A$10:$A$13,"&lt;="&amp;I102)=0,"Antes da régua",INDEX(Config!$C$10:$C$13,COUNTIF(Config!$A$10:$A$13,"&lt;="&amp;I102))))</f>
        <v/>
      </c>
      <c r="L102" s="23">
        <f>IF(H102&lt;&gt;"Vencida","",IF(COUNTIF(Config!$A$10:$A$13,"&lt;="&amp;I102)=0,"Aguardar: ainda não chegou ao primeiro passo da régua.",INDEX(Config!$B$10:$B$13,COUNTIF(Config!$A$10:$A$13,"&lt;="&amp;I102))))</f>
        <v/>
      </c>
      <c r="M102" s="38">
        <f>IF(H102="Vencida",E102*I102+ROW()/100000,0)</f>
        <v>0</v>
      </c>
      <c r="N102" s="38">
        <f>IF(AND(H102="A vencer",J102&lt;=Config!$B$7),100000-J102-ROW()/100000,0)</f>
        <v>0</v>
      </c>
    </row>
    <row r="103">
      <c r="A103" s="32" t="inlineStr">
        <is>
          <t>9362688-24.2025.8.26.0436</t>
        </is>
      </c>
      <c r="B103" s="23" t="str">
        <f>IF(A103="","",IFERROR(INDEX(Casos!$B$5:$B$204,MATCH(A103,Casos!$A$5:$A$204,0)),""))</f>
        <v>Agência Prisma</v>
      </c>
      <c r="C103" s="34" t="n">
        <v>4</v>
      </c>
      <c r="D103" s="37" t="n">
        <v>46122</v>
      </c>
      <c r="E103" s="36" t="n">
        <v>3060</v>
      </c>
      <c r="F103" s="34" t="inlineStr">
        <is>
          <t>Sim</t>
        </is>
      </c>
      <c r="G103" s="37" t="n">
        <v>46122</v>
      </c>
      <c r="H103" s="24" t="str">
        <f>IF(A103="","",IF(F103="Sim","Paga",IF(D103="","Sem vencimento",IF(D103&lt;Config!$B$5,"Vencida","A vencer"))))</f>
        <v>Paga</v>
      </c>
      <c r="I103" s="30">
        <f>IF(H103="Vencida",Config!$B$5-D103,"")</f>
        <v/>
      </c>
      <c r="J103" s="30">
        <f>IF(H103="A vencer",D103-Config!$B$5,"")</f>
        <v/>
      </c>
      <c r="K103" s="24">
        <f>IF(H103&lt;&gt;"Vencida","",IF(COUNTIF(Config!$A$10:$A$13,"&lt;="&amp;I103)=0,"Antes da régua",INDEX(Config!$C$10:$C$13,COUNTIF(Config!$A$10:$A$13,"&lt;="&amp;I103))))</f>
        <v/>
      </c>
      <c r="L103" s="23">
        <f>IF(H103&lt;&gt;"Vencida","",IF(COUNTIF(Config!$A$10:$A$13,"&lt;="&amp;I103)=0,"Aguardar: ainda não chegou ao primeiro passo da régua.",INDEX(Config!$B$10:$B$13,COUNTIF(Config!$A$10:$A$13,"&lt;="&amp;I103))))</f>
        <v/>
      </c>
      <c r="M103" s="38">
        <f>IF(H103="Vencida",E103*I103+ROW()/100000,0)</f>
        <v>0</v>
      </c>
      <c r="N103" s="38">
        <f>IF(AND(H103="A vencer",J103&lt;=Config!$B$7),100000-J103-ROW()/100000,0)</f>
        <v>0</v>
      </c>
    </row>
    <row r="104">
      <c r="A104" s="32" t="inlineStr">
        <is>
          <t>9362688-24.2025.8.26.0436</t>
        </is>
      </c>
      <c r="B104" s="23" t="str">
        <f>IF(A104="","",IFERROR(INDEX(Casos!$B$5:$B$204,MATCH(A104,Casos!$A$5:$A$204,0)),""))</f>
        <v>Agência Prisma</v>
      </c>
      <c r="C104" s="34" t="n">
        <v>5</v>
      </c>
      <c r="D104" s="37" t="n">
        <v>46153</v>
      </c>
      <c r="E104" s="36" t="n">
        <v>2160</v>
      </c>
      <c r="F104" s="34" t="inlineStr">
        <is>
          <t>Sim</t>
        </is>
      </c>
      <c r="G104" s="37" t="n">
        <v>46153</v>
      </c>
      <c r="H104" s="24" t="str">
        <f>IF(A104="","",IF(F104="Sim","Paga",IF(D104="","Sem vencimento",IF(D104&lt;Config!$B$5,"Vencida","A vencer"))))</f>
        <v>Paga</v>
      </c>
      <c r="I104" s="30">
        <f>IF(H104="Vencida",Config!$B$5-D104,"")</f>
        <v/>
      </c>
      <c r="J104" s="30">
        <f>IF(H104="A vencer",D104-Config!$B$5,"")</f>
        <v/>
      </c>
      <c r="K104" s="24">
        <f>IF(H104&lt;&gt;"Vencida","",IF(COUNTIF(Config!$A$10:$A$13,"&lt;="&amp;I104)=0,"Antes da régua",INDEX(Config!$C$10:$C$13,COUNTIF(Config!$A$10:$A$13,"&lt;="&amp;I104))))</f>
        <v/>
      </c>
      <c r="L104" s="23">
        <f>IF(H104&lt;&gt;"Vencida","",IF(COUNTIF(Config!$A$10:$A$13,"&lt;="&amp;I104)=0,"Aguardar: ainda não chegou ao primeiro passo da régua.",INDEX(Config!$B$10:$B$13,COUNTIF(Config!$A$10:$A$13,"&lt;="&amp;I104))))</f>
        <v/>
      </c>
      <c r="M104" s="38">
        <f>IF(H104="Vencida",E104*I104+ROW()/100000,0)</f>
        <v>0</v>
      </c>
      <c r="N104" s="38">
        <f>IF(AND(H104="A vencer",J104&lt;=Config!$B$7),100000-J104-ROW()/100000,0)</f>
        <v>0</v>
      </c>
    </row>
    <row r="105">
      <c r="A105" s="32" t="inlineStr">
        <is>
          <t>9362688-24.2025.8.26.0436</t>
        </is>
      </c>
      <c r="B105" s="23" t="str">
        <f>IF(A105="","",IFERROR(INDEX(Casos!$B$5:$B$204,MATCH(A105,Casos!$A$5:$A$204,0)),""))</f>
        <v>Agência Prisma</v>
      </c>
      <c r="C105" s="34" t="n">
        <v>6</v>
      </c>
      <c r="D105" s="37" t="n">
        <v>46183</v>
      </c>
      <c r="E105" s="36" t="n">
        <v>2700</v>
      </c>
      <c r="F105" s="34" t="inlineStr">
        <is>
          <t>Sim</t>
        </is>
      </c>
      <c r="G105" s="37" t="n">
        <v>46183</v>
      </c>
      <c r="H105" s="24" t="str">
        <f>IF(A105="","",IF(F105="Sim","Paga",IF(D105="","Sem vencimento",IF(D105&lt;Config!$B$5,"Vencida","A vencer"))))</f>
        <v>Paga</v>
      </c>
      <c r="I105" s="30">
        <f>IF(H105="Vencida",Config!$B$5-D105,"")</f>
        <v/>
      </c>
      <c r="J105" s="30">
        <f>IF(H105="A vencer",D105-Config!$B$5,"")</f>
        <v/>
      </c>
      <c r="K105" s="24">
        <f>IF(H105&lt;&gt;"Vencida","",IF(COUNTIF(Config!$A$10:$A$13,"&lt;="&amp;I105)=0,"Antes da régua",INDEX(Config!$C$10:$C$13,COUNTIF(Config!$A$10:$A$13,"&lt;="&amp;I105))))</f>
        <v/>
      </c>
      <c r="L105" s="23">
        <f>IF(H105&lt;&gt;"Vencida","",IF(COUNTIF(Config!$A$10:$A$13,"&lt;="&amp;I105)=0,"Aguardar: ainda não chegou ao primeiro passo da régua.",INDEX(Config!$B$10:$B$13,COUNTIF(Config!$A$10:$A$13,"&lt;="&amp;I105))))</f>
        <v/>
      </c>
      <c r="M105" s="38">
        <f>IF(H105="Vencida",E105*I105+ROW()/100000,0)</f>
        <v>0</v>
      </c>
      <c r="N105" s="38">
        <f>IF(AND(H105="A vencer",J105&lt;=Config!$B$7),100000-J105-ROW()/100000,0)</f>
        <v>0</v>
      </c>
    </row>
    <row r="106">
      <c r="A106" s="32" t="inlineStr">
        <is>
          <t>9362688-24.2025.8.26.0436</t>
        </is>
      </c>
      <c r="B106" s="23" t="str">
        <f>IF(A106="","",IFERROR(INDEX(Casos!$B$5:$B$204,MATCH(A106,Casos!$A$5:$A$204,0)),""))</f>
        <v>Agência Prisma</v>
      </c>
      <c r="C106" s="34" t="n">
        <v>7</v>
      </c>
      <c r="D106" s="37" t="n">
        <v>46213</v>
      </c>
      <c r="E106" s="36" t="n">
        <v>2340</v>
      </c>
      <c r="F106" s="34" t="inlineStr">
        <is>
          <t>Sim</t>
        </is>
      </c>
      <c r="G106" s="37" t="n">
        <v>46218</v>
      </c>
      <c r="H106" s="24" t="str">
        <f>IF(A106="","",IF(F106="Sim","Paga",IF(D106="","Sem vencimento",IF(D106&lt;Config!$B$5,"Vencida","A vencer"))))</f>
        <v>Paga</v>
      </c>
      <c r="I106" s="30">
        <f>IF(H106="Vencida",Config!$B$5-D106,"")</f>
        <v/>
      </c>
      <c r="J106" s="30">
        <f>IF(H106="A vencer",D106-Config!$B$5,"")</f>
        <v/>
      </c>
      <c r="K106" s="24">
        <f>IF(H106&lt;&gt;"Vencida","",IF(COUNTIF(Config!$A$10:$A$13,"&lt;="&amp;I106)=0,"Antes da régua",INDEX(Config!$C$10:$C$13,COUNTIF(Config!$A$10:$A$13,"&lt;="&amp;I106))))</f>
        <v/>
      </c>
      <c r="L106" s="23">
        <f>IF(H106&lt;&gt;"Vencida","",IF(COUNTIF(Config!$A$10:$A$13,"&lt;="&amp;I106)=0,"Aguardar: ainda não chegou ao primeiro passo da régua.",INDEX(Config!$B$10:$B$13,COUNTIF(Config!$A$10:$A$13,"&lt;="&amp;I106))))</f>
        <v/>
      </c>
      <c r="M106" s="38">
        <f>IF(H106="Vencida",E106*I106+ROW()/100000,0)</f>
        <v>0</v>
      </c>
      <c r="N106" s="38">
        <f>IF(AND(H106="A vencer",J106&lt;=Config!$B$7),100000-J106-ROW()/100000,0)</f>
        <v>0</v>
      </c>
    </row>
    <row r="107">
      <c r="A107" s="32" t="inlineStr">
        <is>
          <t>9362688-24.2025.8.26.0436</t>
        </is>
      </c>
      <c r="B107" s="23" t="str">
        <f>IF(A107="","",IFERROR(INDEX(Casos!$B$5:$B$204,MATCH(A107,Casos!$A$5:$A$204,0)),""))</f>
        <v>Agência Prisma</v>
      </c>
      <c r="C107" s="34" t="n">
        <v>8</v>
      </c>
      <c r="D107" s="37" t="n">
        <v>46244</v>
      </c>
      <c r="E107" s="36" t="n">
        <v>1800</v>
      </c>
      <c r="F107" s="34" t="inlineStr">
        <is>
          <t>Não</t>
        </is>
      </c>
      <c r="G107" s="37" t="n"/>
      <c r="H107" s="24" t="str">
        <f>IF(A107="","",IF(F107="Sim","Paga",IF(D107="","Sem vencimento",IF(D107&lt;Config!$B$5,"Vencida","A vencer"))))</f>
        <v>Vencida</v>
      </c>
      <c r="I107" s="30">
        <f>IF(H107="Vencida",Config!$B$5-D107,"")</f>
        <v>35</v>
      </c>
      <c r="J107" s="30">
        <f>IF(H107="A vencer",D107-Config!$B$5,"")</f>
        <v/>
      </c>
      <c r="K107" s="24" t="str">
        <f>IF(H107&lt;&gt;"Vencida","",IF(COUNTIF(Config!$A$10:$A$13,"&lt;="&amp;I107)=0,"Antes da régua",INDEX(Config!$C$10:$C$13,COUNTIF(Config!$A$10:$A$13,"&lt;="&amp;I107))))</f>
        <v>30 dias ou mais</v>
      </c>
      <c r="L107" s="23" t="str">
        <f>IF(H107&lt;&gt;"Vencida","",IF(COUNTIF(Config!$A$10:$A$13,"&lt;="&amp;I107)=0,"Aguardar: ainda não chegou ao primeiro passo da régua.",INDEX(Config!$B$10:$B$13,COUNTIF(Config!$A$10:$A$13,"&lt;="&amp;I107))))</f>
        <v>Ligação ou reunião para combinar um plano de pagamento; registrar por escrito o que foi combinado e a nova data.</v>
      </c>
      <c r="M107" s="38">
        <f>IF(H107="Vencida",E107*I107+ROW()/100000,0)</f>
        <v>63000.00107</v>
      </c>
      <c r="N107" s="38">
        <f>IF(AND(H107="A vencer",J107&lt;=Config!$B$7),100000-J107-ROW()/100000,0)</f>
        <v>0</v>
      </c>
    </row>
    <row r="108">
      <c r="A108" s="32" t="inlineStr">
        <is>
          <t>9362688-24.2025.8.26.0436</t>
        </is>
      </c>
      <c r="B108" s="23" t="str">
        <f>IF(A108="","",IFERROR(INDEX(Casos!$B$5:$B$204,MATCH(A108,Casos!$A$5:$A$204,0)),""))</f>
        <v>Agência Prisma</v>
      </c>
      <c r="C108" s="34" t="n">
        <v>9</v>
      </c>
      <c r="D108" s="37" t="n">
        <v>46275</v>
      </c>
      <c r="E108" s="36" t="n">
        <v>1980</v>
      </c>
      <c r="F108" s="34" t="inlineStr">
        <is>
          <t>Não</t>
        </is>
      </c>
      <c r="G108" s="37" t="n"/>
      <c r="H108" s="24" t="str">
        <f>IF(A108="","",IF(F108="Sim","Paga",IF(D108="","Sem vencimento",IF(D108&lt;Config!$B$5,"Vencida","A vencer"))))</f>
        <v>Vencida</v>
      </c>
      <c r="I108" s="30">
        <f>IF(H108="Vencida",Config!$B$5-D108,"")</f>
        <v>4</v>
      </c>
      <c r="J108" s="30">
        <f>IF(H108="A vencer",D108-Config!$B$5,"")</f>
        <v/>
      </c>
      <c r="K108" s="24" t="str">
        <f>IF(H108&lt;&gt;"Vencida","",IF(COUNTIF(Config!$A$10:$A$13,"&lt;="&amp;I108)=0,"Antes da régua",INDEX(Config!$C$10:$C$13,COUNTIF(Config!$A$10:$A$13,"&lt;="&amp;I108))))</f>
        <v>1 a 6 dias</v>
      </c>
      <c r="L108" s="23" t="str">
        <f>IF(H108&lt;&gt;"Vencida","",IF(COUNTIF(Config!$A$10:$A$13,"&lt;="&amp;I108)=0,"Aguardar: ainda não chegou ao primeiro passo da régua.",INDEX(Config!$B$10:$B$13,COUNTIF(Config!$A$10:$A$13,"&lt;="&amp;I108))))</f>
        <v>Lembrete gentil por WhatsApp ou e-mail: confirmar se o boleto ou o link de pagamento chegou e reenviar, se preciso.</v>
      </c>
      <c r="M108" s="38">
        <f>IF(H108="Vencida",E108*I108+ROW()/100000,0)</f>
        <v>7920.00108</v>
      </c>
      <c r="N108" s="38">
        <f>IF(AND(H108="A vencer",J108&lt;=Config!$B$7),100000-J108-ROW()/100000,0)</f>
        <v>0</v>
      </c>
    </row>
    <row r="109">
      <c r="A109" s="32" t="inlineStr">
        <is>
          <t>CONS-2026-07</t>
        </is>
      </c>
      <c r="B109" s="23" t="str">
        <f>IF(A109="","",IFERROR(INDEX(Casos!$B$5:$B$204,MATCH(A109,Casos!$A$5:$A$204,0)),""))</f>
        <v>Agência Prisma</v>
      </c>
      <c r="C109" s="34" t="n">
        <v>1</v>
      </c>
      <c r="D109" s="37" t="n">
        <v>46125</v>
      </c>
      <c r="E109" s="36" t="n">
        <v>3500</v>
      </c>
      <c r="F109" s="34" t="inlineStr">
        <is>
          <t>Sim</t>
        </is>
      </c>
      <c r="G109" s="37" t="n">
        <v>46125</v>
      </c>
      <c r="H109" s="24" t="str">
        <f>IF(A109="","",IF(F109="Sim","Paga",IF(D109="","Sem vencimento",IF(D109&lt;Config!$B$5,"Vencida","A vencer"))))</f>
        <v>Paga</v>
      </c>
      <c r="I109" s="30">
        <f>IF(H109="Vencida",Config!$B$5-D109,"")</f>
        <v/>
      </c>
      <c r="J109" s="30">
        <f>IF(H109="A vencer",D109-Config!$B$5,"")</f>
        <v/>
      </c>
      <c r="K109" s="24">
        <f>IF(H109&lt;&gt;"Vencida","",IF(COUNTIF(Config!$A$10:$A$13,"&lt;="&amp;I109)=0,"Antes da régua",INDEX(Config!$C$10:$C$13,COUNTIF(Config!$A$10:$A$13,"&lt;="&amp;I109))))</f>
        <v/>
      </c>
      <c r="L109" s="23">
        <f>IF(H109&lt;&gt;"Vencida","",IF(COUNTIF(Config!$A$10:$A$13,"&lt;="&amp;I109)=0,"Aguardar: ainda não chegou ao primeiro passo da régua.",INDEX(Config!$B$10:$B$13,COUNTIF(Config!$A$10:$A$13,"&lt;="&amp;I109))))</f>
        <v/>
      </c>
      <c r="M109" s="38">
        <f>IF(H109="Vencida",E109*I109+ROW()/100000,0)</f>
        <v>0</v>
      </c>
      <c r="N109" s="38">
        <f>IF(AND(H109="A vencer",J109&lt;=Config!$B$7),100000-J109-ROW()/100000,0)</f>
        <v>0</v>
      </c>
    </row>
    <row r="110">
      <c r="A110" s="32" t="inlineStr">
        <is>
          <t>CONS-2026-07</t>
        </is>
      </c>
      <c r="B110" s="23" t="str">
        <f>IF(A110="","",IFERROR(INDEX(Casos!$B$5:$B$204,MATCH(A110,Casos!$A$5:$A$204,0)),""))</f>
        <v>Agência Prisma</v>
      </c>
      <c r="C110" s="34" t="n">
        <v>2</v>
      </c>
      <c r="D110" s="37" t="n">
        <v>46155</v>
      </c>
      <c r="E110" s="36" t="n">
        <v>3500</v>
      </c>
      <c r="F110" s="34" t="inlineStr">
        <is>
          <t>Sim</t>
        </is>
      </c>
      <c r="G110" s="37" t="n">
        <v>46162</v>
      </c>
      <c r="H110" s="24" t="str">
        <f>IF(A110="","",IF(F110="Sim","Paga",IF(D110="","Sem vencimento",IF(D110&lt;Config!$B$5,"Vencida","A vencer"))))</f>
        <v>Paga</v>
      </c>
      <c r="I110" s="30">
        <f>IF(H110="Vencida",Config!$B$5-D110,"")</f>
        <v/>
      </c>
      <c r="J110" s="30">
        <f>IF(H110="A vencer",D110-Config!$B$5,"")</f>
        <v/>
      </c>
      <c r="K110" s="24">
        <f>IF(H110&lt;&gt;"Vencida","",IF(COUNTIF(Config!$A$10:$A$13,"&lt;="&amp;I110)=0,"Antes da régua",INDEX(Config!$C$10:$C$13,COUNTIF(Config!$A$10:$A$13,"&lt;="&amp;I110))))</f>
        <v/>
      </c>
      <c r="L110" s="23">
        <f>IF(H110&lt;&gt;"Vencida","",IF(COUNTIF(Config!$A$10:$A$13,"&lt;="&amp;I110)=0,"Aguardar: ainda não chegou ao primeiro passo da régua.",INDEX(Config!$B$10:$B$13,COUNTIF(Config!$A$10:$A$13,"&lt;="&amp;I110))))</f>
        <v/>
      </c>
      <c r="M110" s="38">
        <f>IF(H110="Vencida",E110*I110+ROW()/100000,0)</f>
        <v>0</v>
      </c>
      <c r="N110" s="38">
        <f>IF(AND(H110="A vencer",J110&lt;=Config!$B$7),100000-J110-ROW()/100000,0)</f>
        <v>0</v>
      </c>
    </row>
    <row r="111">
      <c r="A111" s="32" t="inlineStr">
        <is>
          <t>7679821-77.2026.8.26.0265</t>
        </is>
      </c>
      <c r="B111" s="23" t="str">
        <f>IF(A111="","",IFERROR(INDEX(Casos!$B$5:$B$204,MATCH(A111,Casos!$A$5:$A$204,0)),""))</f>
        <v>Helena Duarte</v>
      </c>
      <c r="C111" s="34" t="n">
        <v>1</v>
      </c>
      <c r="D111" s="37" t="n">
        <v>46202</v>
      </c>
      <c r="E111" s="36" t="n">
        <v>3000</v>
      </c>
      <c r="F111" s="34" t="inlineStr">
        <is>
          <t>Sim</t>
        </is>
      </c>
      <c r="G111" s="37" t="n">
        <v>46202</v>
      </c>
      <c r="H111" s="24" t="str">
        <f>IF(A111="","",IF(F111="Sim","Paga",IF(D111="","Sem vencimento",IF(D111&lt;Config!$B$5,"Vencida","A vencer"))))</f>
        <v>Paga</v>
      </c>
      <c r="I111" s="30">
        <f>IF(H111="Vencida",Config!$B$5-D111,"")</f>
        <v/>
      </c>
      <c r="J111" s="30">
        <f>IF(H111="A vencer",D111-Config!$B$5,"")</f>
        <v/>
      </c>
      <c r="K111" s="24">
        <f>IF(H111&lt;&gt;"Vencida","",IF(COUNTIF(Config!$A$10:$A$13,"&lt;="&amp;I111)=0,"Antes da régua",INDEX(Config!$C$10:$C$13,COUNTIF(Config!$A$10:$A$13,"&lt;="&amp;I111))))</f>
        <v/>
      </c>
      <c r="L111" s="23">
        <f>IF(H111&lt;&gt;"Vencida","",IF(COUNTIF(Config!$A$10:$A$13,"&lt;="&amp;I111)=0,"Aguardar: ainda não chegou ao primeiro passo da régua.",INDEX(Config!$B$10:$B$13,COUNTIF(Config!$A$10:$A$13,"&lt;="&amp;I111))))</f>
        <v/>
      </c>
      <c r="M111" s="38">
        <f>IF(H111="Vencida",E111*I111+ROW()/100000,0)</f>
        <v>0</v>
      </c>
      <c r="N111" s="38">
        <f>IF(AND(H111="A vencer",J111&lt;=Config!$B$7),100000-J111-ROW()/100000,0)</f>
        <v>0</v>
      </c>
    </row>
    <row r="112">
      <c r="A112" s="32" t="inlineStr">
        <is>
          <t>7679821-77.2026.8.26.0265</t>
        </is>
      </c>
      <c r="B112" s="23" t="str">
        <f>IF(A112="","",IFERROR(INDEX(Casos!$B$5:$B$204,MATCH(A112,Casos!$A$5:$A$204,0)),""))</f>
        <v>Helena Duarte</v>
      </c>
      <c r="C112" s="34" t="n">
        <v>2</v>
      </c>
      <c r="D112" s="37" t="n">
        <v>46232</v>
      </c>
      <c r="E112" s="36" t="n">
        <v>1500</v>
      </c>
      <c r="F112" s="34" t="inlineStr">
        <is>
          <t>Sim</t>
        </is>
      </c>
      <c r="G112" s="37" t="n">
        <v>46232</v>
      </c>
      <c r="H112" s="24" t="str">
        <f>IF(A112="","",IF(F112="Sim","Paga",IF(D112="","Sem vencimento",IF(D112&lt;Config!$B$5,"Vencida","A vencer"))))</f>
        <v>Paga</v>
      </c>
      <c r="I112" s="30">
        <f>IF(H112="Vencida",Config!$B$5-D112,"")</f>
        <v/>
      </c>
      <c r="J112" s="30">
        <f>IF(H112="A vencer",D112-Config!$B$5,"")</f>
        <v/>
      </c>
      <c r="K112" s="24">
        <f>IF(H112&lt;&gt;"Vencida","",IF(COUNTIF(Config!$A$10:$A$13,"&lt;="&amp;I112)=0,"Antes da régua",INDEX(Config!$C$10:$C$13,COUNTIF(Config!$A$10:$A$13,"&lt;="&amp;I112))))</f>
        <v/>
      </c>
      <c r="L112" s="23">
        <f>IF(H112&lt;&gt;"Vencida","",IF(COUNTIF(Config!$A$10:$A$13,"&lt;="&amp;I112)=0,"Aguardar: ainda não chegou ao primeiro passo da régua.",INDEX(Config!$B$10:$B$13,COUNTIF(Config!$A$10:$A$13,"&lt;="&amp;I112))))</f>
        <v/>
      </c>
      <c r="M112" s="38">
        <f>IF(H112="Vencida",E112*I112+ROW()/100000,0)</f>
        <v>0</v>
      </c>
      <c r="N112" s="38">
        <f>IF(AND(H112="A vencer",J112&lt;=Config!$B$7),100000-J112-ROW()/100000,0)</f>
        <v>0</v>
      </c>
    </row>
    <row r="113">
      <c r="A113" s="32" t="inlineStr">
        <is>
          <t>7679821-77.2026.8.26.0265</t>
        </is>
      </c>
      <c r="B113" s="23" t="str">
        <f>IF(A113="","",IFERROR(INDEX(Casos!$B$5:$B$204,MATCH(A113,Casos!$A$5:$A$204,0)),""))</f>
        <v>Helena Duarte</v>
      </c>
      <c r="C113" s="34" t="n">
        <v>3</v>
      </c>
      <c r="D113" s="37" t="n">
        <v>46262</v>
      </c>
      <c r="E113" s="36" t="n">
        <v>1500</v>
      </c>
      <c r="F113" s="34" t="inlineStr">
        <is>
          <t>Não</t>
        </is>
      </c>
      <c r="G113" s="37" t="n"/>
      <c r="H113" s="24" t="str">
        <f>IF(A113="","",IF(F113="Sim","Paga",IF(D113="","Sem vencimento",IF(D113&lt;Config!$B$5,"Vencida","A vencer"))))</f>
        <v>Vencida</v>
      </c>
      <c r="I113" s="30">
        <f>IF(H113="Vencida",Config!$B$5-D113,"")</f>
        <v>17</v>
      </c>
      <c r="J113" s="30">
        <f>IF(H113="A vencer",D113-Config!$B$5,"")</f>
        <v/>
      </c>
      <c r="K113" s="24" t="str">
        <f>IF(H113&lt;&gt;"Vencida","",IF(COUNTIF(Config!$A$10:$A$13,"&lt;="&amp;I113)=0,"Antes da régua",INDEX(Config!$C$10:$C$13,COUNTIF(Config!$A$10:$A$13,"&lt;="&amp;I113))))</f>
        <v>15 a 29 dias</v>
      </c>
      <c r="L113" s="23" t="str">
        <f>IF(H113&lt;&gt;"Vencida","",IF(COUNTIF(Config!$A$10:$A$13,"&lt;="&amp;I113)=0,"Aguardar: ainda não chegou ao primeiro passo da régua.",INDEX(Config!$B$10:$B$13,COUNTIF(Config!$A$10:$A$13,"&lt;="&amp;I113))))</f>
        <v>E-mail com o demonstrativo das parcelas em aberto e proposta de renegociação (nova data ou divisão do valor).</v>
      </c>
      <c r="M113" s="38">
        <f>IF(H113="Vencida",E113*I113+ROW()/100000,0)</f>
        <v>25500.00113</v>
      </c>
      <c r="N113" s="38">
        <f>IF(AND(H113="A vencer",J113&lt;=Config!$B$7),100000-J113-ROW()/100000,0)</f>
        <v>0</v>
      </c>
    </row>
    <row r="114">
      <c r="A114" s="32" t="inlineStr">
        <is>
          <t>7679821-77.2026.8.26.0265</t>
        </is>
      </c>
      <c r="B114" s="23" t="str">
        <f>IF(A114="","",IFERROR(INDEX(Casos!$B$5:$B$204,MATCH(A114,Casos!$A$5:$A$204,0)),""))</f>
        <v>Helena Duarte</v>
      </c>
      <c r="C114" s="34" t="n">
        <v>4</v>
      </c>
      <c r="D114" s="37" t="n">
        <v>46293</v>
      </c>
      <c r="E114" s="36" t="n">
        <v>1500</v>
      </c>
      <c r="F114" s="34" t="inlineStr">
        <is>
          <t>Não</t>
        </is>
      </c>
      <c r="G114" s="37" t="n"/>
      <c r="H114" s="24" t="str">
        <f>IF(A114="","",IF(F114="Sim","Paga",IF(D114="","Sem vencimento",IF(D114&lt;Config!$B$5,"Vencida","A vencer"))))</f>
        <v>A vencer</v>
      </c>
      <c r="I114" s="30">
        <f>IF(H114="Vencida",Config!$B$5-D114,"")</f>
        <v/>
      </c>
      <c r="J114" s="30">
        <f>IF(H114="A vencer",D114-Config!$B$5,"")</f>
        <v>14</v>
      </c>
      <c r="K114" s="24">
        <f>IF(H114&lt;&gt;"Vencida","",IF(COUNTIF(Config!$A$10:$A$13,"&lt;="&amp;I114)=0,"Antes da régua",INDEX(Config!$C$10:$C$13,COUNTIF(Config!$A$10:$A$13,"&lt;="&amp;I114))))</f>
        <v/>
      </c>
      <c r="L114" s="23">
        <f>IF(H114&lt;&gt;"Vencida","",IF(COUNTIF(Config!$A$10:$A$13,"&lt;="&amp;I114)=0,"Aguardar: ainda não chegou ao primeiro passo da régua.",INDEX(Config!$B$10:$B$13,COUNTIF(Config!$A$10:$A$13,"&lt;="&amp;I114))))</f>
        <v/>
      </c>
      <c r="M114" s="38">
        <f>IF(H114="Vencida",E114*I114+ROW()/100000,0)</f>
        <v>0</v>
      </c>
      <c r="N114" s="38">
        <f>IF(AND(H114="A vencer",J114&lt;=Config!$B$7),100000-J114-ROW()/100000,0)</f>
        <v>99985.99886</v>
      </c>
    </row>
    <row r="115">
      <c r="A115" s="32" t="inlineStr">
        <is>
          <t>8045862-82.2026.8.26.0491</t>
        </is>
      </c>
      <c r="B115" s="23" t="str">
        <f>IF(A115="","",IFERROR(INDEX(Casos!$B$5:$B$204,MATCH(A115,Casos!$A$5:$A$204,0)),""))</f>
        <v>Carlos Eduardo Nunes</v>
      </c>
      <c r="C115" s="34" t="n">
        <v>1</v>
      </c>
      <c r="D115" s="37" t="n">
        <v>46097</v>
      </c>
      <c r="E115" s="36" t="n">
        <v>1800</v>
      </c>
      <c r="F115" s="34" t="inlineStr">
        <is>
          <t>Sim</t>
        </is>
      </c>
      <c r="G115" s="37" t="n">
        <v>46097</v>
      </c>
      <c r="H115" s="24" t="str">
        <f>IF(A115="","",IF(F115="Sim","Paga",IF(D115="","Sem vencimento",IF(D115&lt;Config!$B$5,"Vencida","A vencer"))))</f>
        <v>Paga</v>
      </c>
      <c r="I115" s="30">
        <f>IF(H115="Vencida",Config!$B$5-D115,"")</f>
        <v/>
      </c>
      <c r="J115" s="30">
        <f>IF(H115="A vencer",D115-Config!$B$5,"")</f>
        <v/>
      </c>
      <c r="K115" s="24">
        <f>IF(H115&lt;&gt;"Vencida","",IF(COUNTIF(Config!$A$10:$A$13,"&lt;="&amp;I115)=0,"Antes da régua",INDEX(Config!$C$10:$C$13,COUNTIF(Config!$A$10:$A$13,"&lt;="&amp;I115))))</f>
        <v/>
      </c>
      <c r="L115" s="23">
        <f>IF(H115&lt;&gt;"Vencida","",IF(COUNTIF(Config!$A$10:$A$13,"&lt;="&amp;I115)=0,"Aguardar: ainda não chegou ao primeiro passo da régua.",INDEX(Config!$B$10:$B$13,COUNTIF(Config!$A$10:$A$13,"&lt;="&amp;I115))))</f>
        <v/>
      </c>
      <c r="M115" s="38">
        <f>IF(H115="Vencida",E115*I115+ROW()/100000,0)</f>
        <v>0</v>
      </c>
      <c r="N115" s="38">
        <f>IF(AND(H115="A vencer",J115&lt;=Config!$B$7),100000-J115-ROW()/100000,0)</f>
        <v>0</v>
      </c>
    </row>
    <row r="116">
      <c r="A116" s="32" t="inlineStr">
        <is>
          <t>8045862-82.2026.8.26.0491</t>
        </is>
      </c>
      <c r="B116" s="23" t="str">
        <f>IF(A116="","",IFERROR(INDEX(Casos!$B$5:$B$204,MATCH(A116,Casos!$A$5:$A$204,0)),""))</f>
        <v>Carlos Eduardo Nunes</v>
      </c>
      <c r="C116" s="34" t="n">
        <v>2</v>
      </c>
      <c r="D116" s="37" t="n">
        <v>46127</v>
      </c>
      <c r="E116" s="36" t="n">
        <v>1800</v>
      </c>
      <c r="F116" s="34" t="inlineStr">
        <is>
          <t>Sim</t>
        </is>
      </c>
      <c r="G116" s="37" t="n">
        <v>46127</v>
      </c>
      <c r="H116" s="24" t="str">
        <f>IF(A116="","",IF(F116="Sim","Paga",IF(D116="","Sem vencimento",IF(D116&lt;Config!$B$5,"Vencida","A vencer"))))</f>
        <v>Paga</v>
      </c>
      <c r="I116" s="30">
        <f>IF(H116="Vencida",Config!$B$5-D116,"")</f>
        <v/>
      </c>
      <c r="J116" s="30">
        <f>IF(H116="A vencer",D116-Config!$B$5,"")</f>
        <v/>
      </c>
      <c r="K116" s="24">
        <f>IF(H116&lt;&gt;"Vencida","",IF(COUNTIF(Config!$A$10:$A$13,"&lt;="&amp;I116)=0,"Antes da régua",INDEX(Config!$C$10:$C$13,COUNTIF(Config!$A$10:$A$13,"&lt;="&amp;I116))))</f>
        <v/>
      </c>
      <c r="L116" s="23">
        <f>IF(H116&lt;&gt;"Vencida","",IF(COUNTIF(Config!$A$10:$A$13,"&lt;="&amp;I116)=0,"Aguardar: ainda não chegou ao primeiro passo da régua.",INDEX(Config!$B$10:$B$13,COUNTIF(Config!$A$10:$A$13,"&lt;="&amp;I116))))</f>
        <v/>
      </c>
      <c r="M116" s="38">
        <f>IF(H116="Vencida",E116*I116+ROW()/100000,0)</f>
        <v>0</v>
      </c>
      <c r="N116" s="38">
        <f>IF(AND(H116="A vencer",J116&lt;=Config!$B$7),100000-J116-ROW()/100000,0)</f>
        <v>0</v>
      </c>
    </row>
    <row r="117">
      <c r="A117" s="32" t="inlineStr">
        <is>
          <t>9605863-76.2026.8.26.0026</t>
        </is>
      </c>
      <c r="B117" s="23" t="str">
        <f>IF(A117="","",IFERROR(INDEX(Casos!$B$5:$B$204,MATCH(A117,Casos!$A$5:$A$204,0)),""))</f>
        <v>Marcos Vinícius Teles</v>
      </c>
      <c r="C117" s="34" t="n">
        <v>1</v>
      </c>
      <c r="D117" s="37" t="n">
        <v>46181</v>
      </c>
      <c r="E117" s="36" t="n">
        <v>2400</v>
      </c>
      <c r="F117" s="34" t="inlineStr">
        <is>
          <t>Sim</t>
        </is>
      </c>
      <c r="G117" s="37" t="n">
        <v>46181</v>
      </c>
      <c r="H117" s="24" t="str">
        <f>IF(A117="","",IF(F117="Sim","Paga",IF(D117="","Sem vencimento",IF(D117&lt;Config!$B$5,"Vencida","A vencer"))))</f>
        <v>Paga</v>
      </c>
      <c r="I117" s="30">
        <f>IF(H117="Vencida",Config!$B$5-D117,"")</f>
        <v/>
      </c>
      <c r="J117" s="30">
        <f>IF(H117="A vencer",D117-Config!$B$5,"")</f>
        <v/>
      </c>
      <c r="K117" s="24">
        <f>IF(H117&lt;&gt;"Vencida","",IF(COUNTIF(Config!$A$10:$A$13,"&lt;="&amp;I117)=0,"Antes da régua",INDEX(Config!$C$10:$C$13,COUNTIF(Config!$A$10:$A$13,"&lt;="&amp;I117))))</f>
        <v/>
      </c>
      <c r="L117" s="23">
        <f>IF(H117&lt;&gt;"Vencida","",IF(COUNTIF(Config!$A$10:$A$13,"&lt;="&amp;I117)=0,"Aguardar: ainda não chegou ao primeiro passo da régua.",INDEX(Config!$B$10:$B$13,COUNTIF(Config!$A$10:$A$13,"&lt;="&amp;I117))))</f>
        <v/>
      </c>
      <c r="M117" s="38">
        <f>IF(H117="Vencida",E117*I117+ROW()/100000,0)</f>
        <v>0</v>
      </c>
      <c r="N117" s="38">
        <f>IF(AND(H117="A vencer",J117&lt;=Config!$B$7),100000-J117-ROW()/100000,0)</f>
        <v>0</v>
      </c>
    </row>
    <row r="118">
      <c r="A118" s="32" t="inlineStr">
        <is>
          <t>9605863-76.2026.8.26.0026</t>
        </is>
      </c>
      <c r="B118" s="23" t="str">
        <f>IF(A118="","",IFERROR(INDEX(Casos!$B$5:$B$204,MATCH(A118,Casos!$A$5:$A$204,0)),""))</f>
        <v>Marcos Vinícius Teles</v>
      </c>
      <c r="C118" s="34" t="n">
        <v>2</v>
      </c>
      <c r="D118" s="37" t="n">
        <v>46211</v>
      </c>
      <c r="E118" s="36" t="n">
        <v>1000</v>
      </c>
      <c r="F118" s="34" t="inlineStr">
        <is>
          <t>Sim</t>
        </is>
      </c>
      <c r="G118" s="37" t="n">
        <v>46211</v>
      </c>
      <c r="H118" s="24" t="str">
        <f>IF(A118="","",IF(F118="Sim","Paga",IF(D118="","Sem vencimento",IF(D118&lt;Config!$B$5,"Vencida","A vencer"))))</f>
        <v>Paga</v>
      </c>
      <c r="I118" s="30">
        <f>IF(H118="Vencida",Config!$B$5-D118,"")</f>
        <v/>
      </c>
      <c r="J118" s="30">
        <f>IF(H118="A vencer",D118-Config!$B$5,"")</f>
        <v/>
      </c>
      <c r="K118" s="24">
        <f>IF(H118&lt;&gt;"Vencida","",IF(COUNTIF(Config!$A$10:$A$13,"&lt;="&amp;I118)=0,"Antes da régua",INDEX(Config!$C$10:$C$13,COUNTIF(Config!$A$10:$A$13,"&lt;="&amp;I118))))</f>
        <v/>
      </c>
      <c r="L118" s="23">
        <f>IF(H118&lt;&gt;"Vencida","",IF(COUNTIF(Config!$A$10:$A$13,"&lt;="&amp;I118)=0,"Aguardar: ainda não chegou ao primeiro passo da régua.",INDEX(Config!$B$10:$B$13,COUNTIF(Config!$A$10:$A$13,"&lt;="&amp;I118))))</f>
        <v/>
      </c>
      <c r="M118" s="38">
        <f>IF(H118="Vencida",E118*I118+ROW()/100000,0)</f>
        <v>0</v>
      </c>
      <c r="N118" s="38">
        <f>IF(AND(H118="A vencer",J118&lt;=Config!$B$7),100000-J118-ROW()/100000,0)</f>
        <v>0</v>
      </c>
    </row>
    <row r="119">
      <c r="A119" s="32" t="inlineStr">
        <is>
          <t>9605863-76.2026.8.26.0026</t>
        </is>
      </c>
      <c r="B119" s="23" t="str">
        <f>IF(A119="","",IFERROR(INDEX(Casos!$B$5:$B$204,MATCH(A119,Casos!$A$5:$A$204,0)),""))</f>
        <v>Marcos Vinícius Teles</v>
      </c>
      <c r="C119" s="34" t="n">
        <v>3</v>
      </c>
      <c r="D119" s="37" t="n">
        <v>46241</v>
      </c>
      <c r="E119" s="36" t="n">
        <v>1000</v>
      </c>
      <c r="F119" s="34" t="inlineStr">
        <is>
          <t>Sim</t>
        </is>
      </c>
      <c r="G119" s="37" t="n">
        <v>46241</v>
      </c>
      <c r="H119" s="24" t="str">
        <f>IF(A119="","",IF(F119="Sim","Paga",IF(D119="","Sem vencimento",IF(D119&lt;Config!$B$5,"Vencida","A vencer"))))</f>
        <v>Paga</v>
      </c>
      <c r="I119" s="30">
        <f>IF(H119="Vencida",Config!$B$5-D119,"")</f>
        <v/>
      </c>
      <c r="J119" s="30">
        <f>IF(H119="A vencer",D119-Config!$B$5,"")</f>
        <v/>
      </c>
      <c r="K119" s="24">
        <f>IF(H119&lt;&gt;"Vencida","",IF(COUNTIF(Config!$A$10:$A$13,"&lt;="&amp;I119)=0,"Antes da régua",INDEX(Config!$C$10:$C$13,COUNTIF(Config!$A$10:$A$13,"&lt;="&amp;I119))))</f>
        <v/>
      </c>
      <c r="L119" s="23">
        <f>IF(H119&lt;&gt;"Vencida","",IF(COUNTIF(Config!$A$10:$A$13,"&lt;="&amp;I119)=0,"Aguardar: ainda não chegou ao primeiro passo da régua.",INDEX(Config!$B$10:$B$13,COUNTIF(Config!$A$10:$A$13,"&lt;="&amp;I119))))</f>
        <v/>
      </c>
      <c r="M119" s="38">
        <f>IF(H119="Vencida",E119*I119+ROW()/100000,0)</f>
        <v>0</v>
      </c>
      <c r="N119" s="38">
        <f>IF(AND(H119="A vencer",J119&lt;=Config!$B$7),100000-J119-ROW()/100000,0)</f>
        <v>0</v>
      </c>
    </row>
    <row r="120">
      <c r="A120" s="32" t="inlineStr">
        <is>
          <t>9605863-76.2026.8.26.0026</t>
        </is>
      </c>
      <c r="B120" s="23" t="str">
        <f>IF(A120="","",IFERROR(INDEX(Casos!$B$5:$B$204,MATCH(A120,Casos!$A$5:$A$204,0)),""))</f>
        <v>Marcos Vinícius Teles</v>
      </c>
      <c r="C120" s="34" t="n">
        <v>4</v>
      </c>
      <c r="D120" s="37" t="n">
        <v>46272</v>
      </c>
      <c r="E120" s="36" t="n">
        <v>1000</v>
      </c>
      <c r="F120" s="34" t="inlineStr">
        <is>
          <t>Sim</t>
        </is>
      </c>
      <c r="G120" s="37" t="n">
        <v>46273</v>
      </c>
      <c r="H120" s="24" t="str">
        <f>IF(A120="","",IF(F120="Sim","Paga",IF(D120="","Sem vencimento",IF(D120&lt;Config!$B$5,"Vencida","A vencer"))))</f>
        <v>Paga</v>
      </c>
      <c r="I120" s="30">
        <f>IF(H120="Vencida",Config!$B$5-D120,"")</f>
        <v/>
      </c>
      <c r="J120" s="30">
        <f>IF(H120="A vencer",D120-Config!$B$5,"")</f>
        <v/>
      </c>
      <c r="K120" s="24">
        <f>IF(H120&lt;&gt;"Vencida","",IF(COUNTIF(Config!$A$10:$A$13,"&lt;="&amp;I120)=0,"Antes da régua",INDEX(Config!$C$10:$C$13,COUNTIF(Config!$A$10:$A$13,"&lt;="&amp;I120))))</f>
        <v/>
      </c>
      <c r="L120" s="23">
        <f>IF(H120&lt;&gt;"Vencida","",IF(COUNTIF(Config!$A$10:$A$13,"&lt;="&amp;I120)=0,"Aguardar: ainda não chegou ao primeiro passo da régua.",INDEX(Config!$B$10:$B$13,COUNTIF(Config!$A$10:$A$13,"&lt;="&amp;I120))))</f>
        <v/>
      </c>
      <c r="M120" s="38">
        <f>IF(H120="Vencida",E120*I120+ROW()/100000,0)</f>
        <v>0</v>
      </c>
      <c r="N120" s="38">
        <f>IF(AND(H120="A vencer",J120&lt;=Config!$B$7),100000-J120-ROW()/100000,0)</f>
        <v>0</v>
      </c>
    </row>
    <row r="121">
      <c r="A121" s="32" t="inlineStr">
        <is>
          <t>4766902-26.2025.8.26.0051</t>
        </is>
      </c>
      <c r="B121" s="23" t="str">
        <f>IF(A121="","",IFERROR(INDEX(Casos!$B$5:$B$204,MATCH(A121,Casos!$A$5:$A$204,0)),""))</f>
        <v>Padaria do Sol Ltda</v>
      </c>
      <c r="C121" s="34" t="n">
        <v>1</v>
      </c>
      <c r="D121" s="37" t="n">
        <v>45971</v>
      </c>
      <c r="E121" s="36" t="n">
        <v>3000</v>
      </c>
      <c r="F121" s="34" t="inlineStr">
        <is>
          <t>Sim</t>
        </is>
      </c>
      <c r="G121" s="37" t="n">
        <v>45978</v>
      </c>
      <c r="H121" s="24" t="str">
        <f>IF(A121="","",IF(F121="Sim","Paga",IF(D121="","Sem vencimento",IF(D121&lt;Config!$B$5,"Vencida","A vencer"))))</f>
        <v>Paga</v>
      </c>
      <c r="I121" s="30">
        <f>IF(H121="Vencida",Config!$B$5-D121,"")</f>
        <v/>
      </c>
      <c r="J121" s="30">
        <f>IF(H121="A vencer",D121-Config!$B$5,"")</f>
        <v/>
      </c>
      <c r="K121" s="24">
        <f>IF(H121&lt;&gt;"Vencida","",IF(COUNTIF(Config!$A$10:$A$13,"&lt;="&amp;I121)=0,"Antes da régua",INDEX(Config!$C$10:$C$13,COUNTIF(Config!$A$10:$A$13,"&lt;="&amp;I121))))</f>
        <v/>
      </c>
      <c r="L121" s="23">
        <f>IF(H121&lt;&gt;"Vencida","",IF(COUNTIF(Config!$A$10:$A$13,"&lt;="&amp;I121)=0,"Aguardar: ainda não chegou ao primeiro passo da régua.",INDEX(Config!$B$10:$B$13,COUNTIF(Config!$A$10:$A$13,"&lt;="&amp;I121))))</f>
        <v/>
      </c>
      <c r="M121" s="38">
        <f>IF(H121="Vencida",E121*I121+ROW()/100000,0)</f>
        <v>0</v>
      </c>
      <c r="N121" s="38">
        <f>IF(AND(H121="A vencer",J121&lt;=Config!$B$7),100000-J121-ROW()/100000,0)</f>
        <v>0</v>
      </c>
    </row>
    <row r="122">
      <c r="A122" s="32" t="inlineStr">
        <is>
          <t>4766902-26.2025.8.26.0051</t>
        </is>
      </c>
      <c r="B122" s="23" t="str">
        <f>IF(A122="","",IFERROR(INDEX(Casos!$B$5:$B$204,MATCH(A122,Casos!$A$5:$A$204,0)),""))</f>
        <v>Padaria do Sol Ltda</v>
      </c>
      <c r="C122" s="34" t="n">
        <v>2</v>
      </c>
      <c r="D122" s="37" t="n">
        <v>46008</v>
      </c>
      <c r="E122" s="36" t="n">
        <v>2250</v>
      </c>
      <c r="F122" s="34" t="inlineStr">
        <is>
          <t>Sim</t>
        </is>
      </c>
      <c r="G122" s="37" t="n">
        <v>46008</v>
      </c>
      <c r="H122" s="24" t="str">
        <f>IF(A122="","",IF(F122="Sim","Paga",IF(D122="","Sem vencimento",IF(D122&lt;Config!$B$5,"Vencida","A vencer"))))</f>
        <v>Paga</v>
      </c>
      <c r="I122" s="30">
        <f>IF(H122="Vencida",Config!$B$5-D122,"")</f>
        <v/>
      </c>
      <c r="J122" s="30">
        <f>IF(H122="A vencer",D122-Config!$B$5,"")</f>
        <v/>
      </c>
      <c r="K122" s="24">
        <f>IF(H122&lt;&gt;"Vencida","",IF(COUNTIF(Config!$A$10:$A$13,"&lt;="&amp;I122)=0,"Antes da régua",INDEX(Config!$C$10:$C$13,COUNTIF(Config!$A$10:$A$13,"&lt;="&amp;I122))))</f>
        <v/>
      </c>
      <c r="L122" s="23">
        <f>IF(H122&lt;&gt;"Vencida","",IF(COUNTIF(Config!$A$10:$A$13,"&lt;="&amp;I122)=0,"Aguardar: ainda não chegou ao primeiro passo da régua.",INDEX(Config!$B$10:$B$13,COUNTIF(Config!$A$10:$A$13,"&lt;="&amp;I122))))</f>
        <v/>
      </c>
      <c r="M122" s="38">
        <f>IF(H122="Vencida",E122*I122+ROW()/100000,0)</f>
        <v>0</v>
      </c>
      <c r="N122" s="38">
        <f>IF(AND(H122="A vencer",J122&lt;=Config!$B$7),100000-J122-ROW()/100000,0)</f>
        <v>0</v>
      </c>
    </row>
    <row r="123">
      <c r="A123" s="32" t="inlineStr">
        <is>
          <t>4766902-26.2025.8.26.0051</t>
        </is>
      </c>
      <c r="B123" s="23" t="str">
        <f>IF(A123="","",IFERROR(INDEX(Casos!$B$5:$B$204,MATCH(A123,Casos!$A$5:$A$204,0)),""))</f>
        <v>Padaria do Sol Ltda</v>
      </c>
      <c r="C123" s="34" t="n">
        <v>3</v>
      </c>
      <c r="D123" s="37" t="n">
        <v>46041</v>
      </c>
      <c r="E123" s="36" t="n">
        <v>2250</v>
      </c>
      <c r="F123" s="34" t="inlineStr">
        <is>
          <t>Sim</t>
        </is>
      </c>
      <c r="G123" s="37" t="n">
        <v>46041</v>
      </c>
      <c r="H123" s="24" t="str">
        <f>IF(A123="","",IF(F123="Sim","Paga",IF(D123="","Sem vencimento",IF(D123&lt;Config!$B$5,"Vencida","A vencer"))))</f>
        <v>Paga</v>
      </c>
      <c r="I123" s="30">
        <f>IF(H123="Vencida",Config!$B$5-D123,"")</f>
        <v/>
      </c>
      <c r="J123" s="30">
        <f>IF(H123="A vencer",D123-Config!$B$5,"")</f>
        <v/>
      </c>
      <c r="K123" s="24">
        <f>IF(H123&lt;&gt;"Vencida","",IF(COUNTIF(Config!$A$10:$A$13,"&lt;="&amp;I123)=0,"Antes da régua",INDEX(Config!$C$10:$C$13,COUNTIF(Config!$A$10:$A$13,"&lt;="&amp;I123))))</f>
        <v/>
      </c>
      <c r="L123" s="23">
        <f>IF(H123&lt;&gt;"Vencida","",IF(COUNTIF(Config!$A$10:$A$13,"&lt;="&amp;I123)=0,"Aguardar: ainda não chegou ao primeiro passo da régua.",INDEX(Config!$B$10:$B$13,COUNTIF(Config!$A$10:$A$13,"&lt;="&amp;I123))))</f>
        <v/>
      </c>
      <c r="M123" s="38">
        <f>IF(H123="Vencida",E123*I123+ROW()/100000,0)</f>
        <v>0</v>
      </c>
      <c r="N123" s="38">
        <f>IF(AND(H123="A vencer",J123&lt;=Config!$B$7),100000-J123-ROW()/100000,0)</f>
        <v>0</v>
      </c>
    </row>
    <row r="124">
      <c r="A124" s="32" t="inlineStr">
        <is>
          <t>4766902-26.2025.8.26.0051</t>
        </is>
      </c>
      <c r="B124" s="23" t="str">
        <f>IF(A124="","",IFERROR(INDEX(Casos!$B$5:$B$204,MATCH(A124,Casos!$A$5:$A$204,0)),""))</f>
        <v>Padaria do Sol Ltda</v>
      </c>
      <c r="C124" s="34" t="n">
        <v>4</v>
      </c>
      <c r="D124" s="37" t="n">
        <v>46070</v>
      </c>
      <c r="E124" s="36" t="n">
        <v>2250</v>
      </c>
      <c r="F124" s="34" t="inlineStr">
        <is>
          <t>Sim</t>
        </is>
      </c>
      <c r="G124" s="37" t="n">
        <v>46070</v>
      </c>
      <c r="H124" s="24" t="str">
        <f>IF(A124="","",IF(F124="Sim","Paga",IF(D124="","Sem vencimento",IF(D124&lt;Config!$B$5,"Vencida","A vencer"))))</f>
        <v>Paga</v>
      </c>
      <c r="I124" s="30">
        <f>IF(H124="Vencida",Config!$B$5-D124,"")</f>
        <v/>
      </c>
      <c r="J124" s="30">
        <f>IF(H124="A vencer",D124-Config!$B$5,"")</f>
        <v/>
      </c>
      <c r="K124" s="24">
        <f>IF(H124&lt;&gt;"Vencida","",IF(COUNTIF(Config!$A$10:$A$13,"&lt;="&amp;I124)=0,"Antes da régua",INDEX(Config!$C$10:$C$13,COUNTIF(Config!$A$10:$A$13,"&lt;="&amp;I124))))</f>
        <v/>
      </c>
      <c r="L124" s="23">
        <f>IF(H124&lt;&gt;"Vencida","",IF(COUNTIF(Config!$A$10:$A$13,"&lt;="&amp;I124)=0,"Aguardar: ainda não chegou ao primeiro passo da régua.",INDEX(Config!$B$10:$B$13,COUNTIF(Config!$A$10:$A$13,"&lt;="&amp;I124))))</f>
        <v/>
      </c>
      <c r="M124" s="38">
        <f>IF(H124="Vencida",E124*I124+ROW()/100000,0)</f>
        <v>0</v>
      </c>
      <c r="N124" s="38">
        <f>IF(AND(H124="A vencer",J124&lt;=Config!$B$7),100000-J124-ROW()/100000,0)</f>
        <v>0</v>
      </c>
    </row>
    <row r="125">
      <c r="A125" s="32" t="inlineStr">
        <is>
          <t>4766902-26.2025.8.26.0051</t>
        </is>
      </c>
      <c r="B125" s="23" t="str">
        <f>IF(A125="","",IFERROR(INDEX(Casos!$B$5:$B$204,MATCH(A125,Casos!$A$5:$A$204,0)),""))</f>
        <v>Padaria do Sol Ltda</v>
      </c>
      <c r="C125" s="34" t="n">
        <v>5</v>
      </c>
      <c r="D125" s="37" t="n">
        <v>46098</v>
      </c>
      <c r="E125" s="36" t="n">
        <v>2250</v>
      </c>
      <c r="F125" s="34" t="inlineStr">
        <is>
          <t>Sim</t>
        </is>
      </c>
      <c r="G125" s="37" t="n">
        <v>46098</v>
      </c>
      <c r="H125" s="24" t="str">
        <f>IF(A125="","",IF(F125="Sim","Paga",IF(D125="","Sem vencimento",IF(D125&lt;Config!$B$5,"Vencida","A vencer"))))</f>
        <v>Paga</v>
      </c>
      <c r="I125" s="30">
        <f>IF(H125="Vencida",Config!$B$5-D125,"")</f>
        <v/>
      </c>
      <c r="J125" s="30">
        <f>IF(H125="A vencer",D125-Config!$B$5,"")</f>
        <v/>
      </c>
      <c r="K125" s="24">
        <f>IF(H125&lt;&gt;"Vencida","",IF(COUNTIF(Config!$A$10:$A$13,"&lt;="&amp;I125)=0,"Antes da régua",INDEX(Config!$C$10:$C$13,COUNTIF(Config!$A$10:$A$13,"&lt;="&amp;I125))))</f>
        <v/>
      </c>
      <c r="L125" s="23">
        <f>IF(H125&lt;&gt;"Vencida","",IF(COUNTIF(Config!$A$10:$A$13,"&lt;="&amp;I125)=0,"Aguardar: ainda não chegou ao primeiro passo da régua.",INDEX(Config!$B$10:$B$13,COUNTIF(Config!$A$10:$A$13,"&lt;="&amp;I125))))</f>
        <v/>
      </c>
      <c r="M125" s="38">
        <f>IF(H125="Vencida",E125*I125+ROW()/100000,0)</f>
        <v>0</v>
      </c>
      <c r="N125" s="38">
        <f>IF(AND(H125="A vencer",J125&lt;=Config!$B$7),100000-J125-ROW()/100000,0)</f>
        <v>0</v>
      </c>
    </row>
    <row r="126">
      <c r="A126" s="32" t="inlineStr">
        <is>
          <t>9778116-95.2025.8.26.0106</t>
        </is>
      </c>
      <c r="B126" s="23" t="str">
        <f>IF(A126="","",IFERROR(INDEX(Casos!$B$5:$B$204,MATCH(A126,Casos!$A$5:$A$204,0)),""))</f>
        <v>Construtora Horizonte</v>
      </c>
      <c r="C126" s="34" t="n">
        <v>1</v>
      </c>
      <c r="D126" s="37" t="n">
        <v>45817</v>
      </c>
      <c r="E126" s="36" t="n">
        <v>3000</v>
      </c>
      <c r="F126" s="34" t="inlineStr">
        <is>
          <t>Sim</t>
        </is>
      </c>
      <c r="G126" s="37" t="n">
        <v>45817</v>
      </c>
      <c r="H126" s="24" t="str">
        <f>IF(A126="","",IF(F126="Sim","Paga",IF(D126="","Sem vencimento",IF(D126&lt;Config!$B$5,"Vencida","A vencer"))))</f>
        <v>Paga</v>
      </c>
      <c r="I126" s="30">
        <f>IF(H126="Vencida",Config!$B$5-D126,"")</f>
        <v/>
      </c>
      <c r="J126" s="30">
        <f>IF(H126="A vencer",D126-Config!$B$5,"")</f>
        <v/>
      </c>
      <c r="K126" s="24">
        <f>IF(H126&lt;&gt;"Vencida","",IF(COUNTIF(Config!$A$10:$A$13,"&lt;="&amp;I126)=0,"Antes da régua",INDEX(Config!$C$10:$C$13,COUNTIF(Config!$A$10:$A$13,"&lt;="&amp;I126))))</f>
        <v/>
      </c>
      <c r="L126" s="23">
        <f>IF(H126&lt;&gt;"Vencida","",IF(COUNTIF(Config!$A$10:$A$13,"&lt;="&amp;I126)=0,"Aguardar: ainda não chegou ao primeiro passo da régua.",INDEX(Config!$B$10:$B$13,COUNTIF(Config!$A$10:$A$13,"&lt;="&amp;I126))))</f>
        <v/>
      </c>
      <c r="M126" s="38">
        <f>IF(H126="Vencida",E126*I126+ROW()/100000,0)</f>
        <v>0</v>
      </c>
      <c r="N126" s="38">
        <f>IF(AND(H126="A vencer",J126&lt;=Config!$B$7),100000-J126-ROW()/100000,0)</f>
        <v>0</v>
      </c>
    </row>
    <row r="127">
      <c r="A127" s="32" t="inlineStr">
        <is>
          <t>9778116-95.2025.8.26.0106</t>
        </is>
      </c>
      <c r="B127" s="23" t="str">
        <f>IF(A127="","",IFERROR(INDEX(Casos!$B$5:$B$204,MATCH(A127,Casos!$A$5:$A$204,0)),""))</f>
        <v>Construtora Horizonte</v>
      </c>
      <c r="C127" s="34" t="n">
        <v>2</v>
      </c>
      <c r="D127" s="37" t="n">
        <v>45847</v>
      </c>
      <c r="E127" s="36" t="n">
        <v>2000</v>
      </c>
      <c r="F127" s="34" t="inlineStr">
        <is>
          <t>Sim</t>
        </is>
      </c>
      <c r="G127" s="37" t="n">
        <v>45847</v>
      </c>
      <c r="H127" s="24" t="str">
        <f>IF(A127="","",IF(F127="Sim","Paga",IF(D127="","Sem vencimento",IF(D127&lt;Config!$B$5,"Vencida","A vencer"))))</f>
        <v>Paga</v>
      </c>
      <c r="I127" s="30">
        <f>IF(H127="Vencida",Config!$B$5-D127,"")</f>
        <v/>
      </c>
      <c r="J127" s="30">
        <f>IF(H127="A vencer",D127-Config!$B$5,"")</f>
        <v/>
      </c>
      <c r="K127" s="24">
        <f>IF(H127&lt;&gt;"Vencida","",IF(COUNTIF(Config!$A$10:$A$13,"&lt;="&amp;I127)=0,"Antes da régua",INDEX(Config!$C$10:$C$13,COUNTIF(Config!$A$10:$A$13,"&lt;="&amp;I127))))</f>
        <v/>
      </c>
      <c r="L127" s="23">
        <f>IF(H127&lt;&gt;"Vencida","",IF(COUNTIF(Config!$A$10:$A$13,"&lt;="&amp;I127)=0,"Aguardar: ainda não chegou ao primeiro passo da régua.",INDEX(Config!$B$10:$B$13,COUNTIF(Config!$A$10:$A$13,"&lt;="&amp;I127))))</f>
        <v/>
      </c>
      <c r="M127" s="38">
        <f>IF(H127="Vencida",E127*I127+ROW()/100000,0)</f>
        <v>0</v>
      </c>
      <c r="N127" s="38">
        <f>IF(AND(H127="A vencer",J127&lt;=Config!$B$7),100000-J127-ROW()/100000,0)</f>
        <v>0</v>
      </c>
    </row>
    <row r="128">
      <c r="A128" s="32" t="inlineStr">
        <is>
          <t>9778116-95.2025.8.26.0106</t>
        </is>
      </c>
      <c r="B128" s="23" t="str">
        <f>IF(A128="","",IFERROR(INDEX(Casos!$B$5:$B$204,MATCH(A128,Casos!$A$5:$A$204,0)),""))</f>
        <v>Construtora Horizonte</v>
      </c>
      <c r="C128" s="34" t="n">
        <v>3</v>
      </c>
      <c r="D128" s="37" t="n">
        <v>45877</v>
      </c>
      <c r="E128" s="36" t="n">
        <v>2000</v>
      </c>
      <c r="F128" s="34" t="inlineStr">
        <is>
          <t>Sim</t>
        </is>
      </c>
      <c r="G128" s="37" t="n">
        <v>45877</v>
      </c>
      <c r="H128" s="24" t="str">
        <f>IF(A128="","",IF(F128="Sim","Paga",IF(D128="","Sem vencimento",IF(D128&lt;Config!$B$5,"Vencida","A vencer"))))</f>
        <v>Paga</v>
      </c>
      <c r="I128" s="30">
        <f>IF(H128="Vencida",Config!$B$5-D128,"")</f>
        <v/>
      </c>
      <c r="J128" s="30">
        <f>IF(H128="A vencer",D128-Config!$B$5,"")</f>
        <v/>
      </c>
      <c r="K128" s="24">
        <f>IF(H128&lt;&gt;"Vencida","",IF(COUNTIF(Config!$A$10:$A$13,"&lt;="&amp;I128)=0,"Antes da régua",INDEX(Config!$C$10:$C$13,COUNTIF(Config!$A$10:$A$13,"&lt;="&amp;I128))))</f>
        <v/>
      </c>
      <c r="L128" s="23">
        <f>IF(H128&lt;&gt;"Vencida","",IF(COUNTIF(Config!$A$10:$A$13,"&lt;="&amp;I128)=0,"Aguardar: ainda não chegou ao primeiro passo da régua.",INDEX(Config!$B$10:$B$13,COUNTIF(Config!$A$10:$A$13,"&lt;="&amp;I128))))</f>
        <v/>
      </c>
      <c r="M128" s="38">
        <f>IF(H128="Vencida",E128*I128+ROW()/100000,0)</f>
        <v>0</v>
      </c>
      <c r="N128" s="38">
        <f>IF(AND(H128="A vencer",J128&lt;=Config!$B$7),100000-J128-ROW()/100000,0)</f>
        <v>0</v>
      </c>
    </row>
    <row r="129">
      <c r="A129" s="32" t="inlineStr">
        <is>
          <t>9778116-95.2025.8.26.0106</t>
        </is>
      </c>
      <c r="B129" s="23" t="str">
        <f>IF(A129="","",IFERROR(INDEX(Casos!$B$5:$B$204,MATCH(A129,Casos!$A$5:$A$204,0)),""))</f>
        <v>Construtora Horizonte</v>
      </c>
      <c r="C129" s="34" t="n">
        <v>4</v>
      </c>
      <c r="D129" s="37" t="n">
        <v>45909</v>
      </c>
      <c r="E129" s="36" t="n">
        <v>2000</v>
      </c>
      <c r="F129" s="34" t="inlineStr">
        <is>
          <t>Sim</t>
        </is>
      </c>
      <c r="G129" s="37" t="n">
        <v>45909</v>
      </c>
      <c r="H129" s="24" t="str">
        <f>IF(A129="","",IF(F129="Sim","Paga",IF(D129="","Sem vencimento",IF(D129&lt;Config!$B$5,"Vencida","A vencer"))))</f>
        <v>Paga</v>
      </c>
      <c r="I129" s="30">
        <f>IF(H129="Vencida",Config!$B$5-D129,"")</f>
        <v/>
      </c>
      <c r="J129" s="30">
        <f>IF(H129="A vencer",D129-Config!$B$5,"")</f>
        <v/>
      </c>
      <c r="K129" s="24">
        <f>IF(H129&lt;&gt;"Vencida","",IF(COUNTIF(Config!$A$10:$A$13,"&lt;="&amp;I129)=0,"Antes da régua",INDEX(Config!$C$10:$C$13,COUNTIF(Config!$A$10:$A$13,"&lt;="&amp;I129))))</f>
        <v/>
      </c>
      <c r="L129" s="23">
        <f>IF(H129&lt;&gt;"Vencida","",IF(COUNTIF(Config!$A$10:$A$13,"&lt;="&amp;I129)=0,"Aguardar: ainda não chegou ao primeiro passo da régua.",INDEX(Config!$B$10:$B$13,COUNTIF(Config!$A$10:$A$13,"&lt;="&amp;I129))))</f>
        <v/>
      </c>
      <c r="M129" s="38">
        <f>IF(H129="Vencida",E129*I129+ROW()/100000,0)</f>
        <v>0</v>
      </c>
      <c r="N129" s="38">
        <f>IF(AND(H129="A vencer",J129&lt;=Config!$B$7),100000-J129-ROW()/100000,0)</f>
        <v>0</v>
      </c>
    </row>
    <row r="130">
      <c r="A130" s="32" t="inlineStr">
        <is>
          <t>9778116-95.2025.8.26.0106</t>
        </is>
      </c>
      <c r="B130" s="23" t="str">
        <f>IF(A130="","",IFERROR(INDEX(Casos!$B$5:$B$204,MATCH(A130,Casos!$A$5:$A$204,0)),""))</f>
        <v>Construtora Horizonte</v>
      </c>
      <c r="C130" s="34" t="n">
        <v>5</v>
      </c>
      <c r="D130" s="37" t="n">
        <v>46150</v>
      </c>
      <c r="E130" s="36" t="n">
        <v>9000</v>
      </c>
      <c r="F130" s="34" t="inlineStr">
        <is>
          <t>Sim</t>
        </is>
      </c>
      <c r="G130" s="37" t="n">
        <v>46150</v>
      </c>
      <c r="H130" s="24" t="str">
        <f>IF(A130="","",IF(F130="Sim","Paga",IF(D130="","Sem vencimento",IF(D130&lt;Config!$B$5,"Vencida","A vencer"))))</f>
        <v>Paga</v>
      </c>
      <c r="I130" s="30">
        <f>IF(H130="Vencida",Config!$B$5-D130,"")</f>
        <v/>
      </c>
      <c r="J130" s="30">
        <f>IF(H130="A vencer",D130-Config!$B$5,"")</f>
        <v/>
      </c>
      <c r="K130" s="24">
        <f>IF(H130&lt;&gt;"Vencida","",IF(COUNTIF(Config!$A$10:$A$13,"&lt;="&amp;I130)=0,"Antes da régua",INDEX(Config!$C$10:$C$13,COUNTIF(Config!$A$10:$A$13,"&lt;="&amp;I130))))</f>
        <v/>
      </c>
      <c r="L130" s="23">
        <f>IF(H130&lt;&gt;"Vencida","",IF(COUNTIF(Config!$A$10:$A$13,"&lt;="&amp;I130)=0,"Aguardar: ainda não chegou ao primeiro passo da régua.",INDEX(Config!$B$10:$B$13,COUNTIF(Config!$A$10:$A$13,"&lt;="&amp;I130))))</f>
        <v/>
      </c>
      <c r="M130" s="38">
        <f>IF(H130="Vencida",E130*I130+ROW()/100000,0)</f>
        <v>0</v>
      </c>
      <c r="N130" s="38">
        <f>IF(AND(H130="A vencer",J130&lt;=Config!$B$7),100000-J130-ROW()/100000,0)</f>
        <v>0</v>
      </c>
    </row>
    <row r="131">
      <c r="A131" s="32" t="inlineStr">
        <is>
          <t>8204296-70.2025.8.26.0146</t>
        </is>
      </c>
      <c r="B131" s="23" t="str">
        <f>IF(A131="","",IFERROR(INDEX(Casos!$B$5:$B$204,MATCH(A131,Casos!$A$5:$A$204,0)),""))</f>
        <v>Marcos Vinícius Teles</v>
      </c>
      <c r="C131" s="34" t="n">
        <v>1</v>
      </c>
      <c r="D131" s="37" t="n">
        <v>46059</v>
      </c>
      <c r="E131" s="36" t="n">
        <v>6500</v>
      </c>
      <c r="F131" s="34" t="inlineStr">
        <is>
          <t>Sim</t>
        </is>
      </c>
      <c r="G131" s="37" t="n">
        <v>46059</v>
      </c>
      <c r="H131" s="24" t="str">
        <f>IF(A131="","",IF(F131="Sim","Paga",IF(D131="","Sem vencimento",IF(D131&lt;Config!$B$5,"Vencida","A vencer"))))</f>
        <v>Paga</v>
      </c>
      <c r="I131" s="30">
        <f>IF(H131="Vencida",Config!$B$5-D131,"")</f>
        <v/>
      </c>
      <c r="J131" s="30">
        <f>IF(H131="A vencer",D131-Config!$B$5,"")</f>
        <v/>
      </c>
      <c r="K131" s="24">
        <f>IF(H131&lt;&gt;"Vencida","",IF(COUNTIF(Config!$A$10:$A$13,"&lt;="&amp;I131)=0,"Antes da régua",INDEX(Config!$C$10:$C$13,COUNTIF(Config!$A$10:$A$13,"&lt;="&amp;I131))))</f>
        <v/>
      </c>
      <c r="L131" s="23">
        <f>IF(H131&lt;&gt;"Vencida","",IF(COUNTIF(Config!$A$10:$A$13,"&lt;="&amp;I131)=0,"Aguardar: ainda não chegou ao primeiro passo da régua.",INDEX(Config!$B$10:$B$13,COUNTIF(Config!$A$10:$A$13,"&lt;="&amp;I131))))</f>
        <v/>
      </c>
      <c r="M131" s="38">
        <f>IF(H131="Vencida",E131*I131+ROW()/100000,0)</f>
        <v>0</v>
      </c>
      <c r="N131" s="38">
        <f>IF(AND(H131="A vencer",J131&lt;=Config!$B$7),100000-J131-ROW()/100000,0)</f>
        <v>0</v>
      </c>
    </row>
    <row r="132">
      <c r="A132" s="32" t="inlineStr">
        <is>
          <t>9088515-39.2025.8.26.0125</t>
        </is>
      </c>
      <c r="B132" s="23" t="str">
        <f>IF(A132="","",IFERROR(INDEX(Casos!$B$5:$B$204,MATCH(A132,Casos!$A$5:$A$204,0)),""))</f>
        <v>Loja Verde Comércio</v>
      </c>
      <c r="C132" s="34" t="n">
        <v>1</v>
      </c>
      <c r="D132" s="37" t="n">
        <v>45922</v>
      </c>
      <c r="E132" s="36" t="n">
        <v>2000</v>
      </c>
      <c r="F132" s="34" t="inlineStr">
        <is>
          <t>Sim</t>
        </is>
      </c>
      <c r="G132" s="37" t="n">
        <v>45922</v>
      </c>
      <c r="H132" s="24" t="str">
        <f>IF(A132="","",IF(F132="Sim","Paga",IF(D132="","Sem vencimento",IF(D132&lt;Config!$B$5,"Vencida","A vencer"))))</f>
        <v>Paga</v>
      </c>
      <c r="I132" s="30">
        <f>IF(H132="Vencida",Config!$B$5-D132,"")</f>
        <v/>
      </c>
      <c r="J132" s="30">
        <f>IF(H132="A vencer",D132-Config!$B$5,"")</f>
        <v/>
      </c>
      <c r="K132" s="24">
        <f>IF(H132&lt;&gt;"Vencida","",IF(COUNTIF(Config!$A$10:$A$13,"&lt;="&amp;I132)=0,"Antes da régua",INDEX(Config!$C$10:$C$13,COUNTIF(Config!$A$10:$A$13,"&lt;="&amp;I132))))</f>
        <v/>
      </c>
      <c r="L132" s="23">
        <f>IF(H132&lt;&gt;"Vencida","",IF(COUNTIF(Config!$A$10:$A$13,"&lt;="&amp;I132)=0,"Aguardar: ainda não chegou ao primeiro passo da régua.",INDEX(Config!$B$10:$B$13,COUNTIF(Config!$A$10:$A$13,"&lt;="&amp;I132))))</f>
        <v/>
      </c>
      <c r="M132" s="38">
        <f>IF(H132="Vencida",E132*I132+ROW()/100000,0)</f>
        <v>0</v>
      </c>
      <c r="N132" s="38">
        <f>IF(AND(H132="A vencer",J132&lt;=Config!$B$7),100000-J132-ROW()/100000,0)</f>
        <v>0</v>
      </c>
    </row>
    <row r="133">
      <c r="A133" s="32" t="inlineStr">
        <is>
          <t>9088515-39.2025.8.26.0125</t>
        </is>
      </c>
      <c r="B133" s="23" t="str">
        <f>IF(A133="","",IFERROR(INDEX(Casos!$B$5:$B$204,MATCH(A133,Casos!$A$5:$A$204,0)),""))</f>
        <v>Loja Verde Comércio</v>
      </c>
      <c r="C133" s="34" t="n">
        <v>2</v>
      </c>
      <c r="D133" s="37" t="n">
        <v>45952</v>
      </c>
      <c r="E133" s="36" t="n">
        <v>1000</v>
      </c>
      <c r="F133" s="34" t="inlineStr">
        <is>
          <t>Sim</t>
        </is>
      </c>
      <c r="G133" s="37" t="n">
        <v>45952</v>
      </c>
      <c r="H133" s="24" t="str">
        <f>IF(A133="","",IF(F133="Sim","Paga",IF(D133="","Sem vencimento",IF(D133&lt;Config!$B$5,"Vencida","A vencer"))))</f>
        <v>Paga</v>
      </c>
      <c r="I133" s="30">
        <f>IF(H133="Vencida",Config!$B$5-D133,"")</f>
        <v/>
      </c>
      <c r="J133" s="30">
        <f>IF(H133="A vencer",D133-Config!$B$5,"")</f>
        <v/>
      </c>
      <c r="K133" s="24">
        <f>IF(H133&lt;&gt;"Vencida","",IF(COUNTIF(Config!$A$10:$A$13,"&lt;="&amp;I133)=0,"Antes da régua",INDEX(Config!$C$10:$C$13,COUNTIF(Config!$A$10:$A$13,"&lt;="&amp;I133))))</f>
        <v/>
      </c>
      <c r="L133" s="23">
        <f>IF(H133&lt;&gt;"Vencida","",IF(COUNTIF(Config!$A$10:$A$13,"&lt;="&amp;I133)=0,"Aguardar: ainda não chegou ao primeiro passo da régua.",INDEX(Config!$B$10:$B$13,COUNTIF(Config!$A$10:$A$13,"&lt;="&amp;I133))))</f>
        <v/>
      </c>
      <c r="M133" s="38">
        <f>IF(H133="Vencida",E133*I133+ROW()/100000,0)</f>
        <v>0</v>
      </c>
      <c r="N133" s="38">
        <f>IF(AND(H133="A vencer",J133&lt;=Config!$B$7),100000-J133-ROW()/100000,0)</f>
        <v>0</v>
      </c>
    </row>
    <row r="134">
      <c r="A134" s="32" t="inlineStr">
        <is>
          <t>9088515-39.2025.8.26.0125</t>
        </is>
      </c>
      <c r="B134" s="23" t="str">
        <f>IF(A134="","",IFERROR(INDEX(Casos!$B$5:$B$204,MATCH(A134,Casos!$A$5:$A$204,0)),""))</f>
        <v>Loja Verde Comércio</v>
      </c>
      <c r="C134" s="34" t="n">
        <v>3</v>
      </c>
      <c r="D134" s="37" t="n">
        <v>45982</v>
      </c>
      <c r="E134" s="36" t="n">
        <v>1000</v>
      </c>
      <c r="F134" s="34" t="inlineStr">
        <is>
          <t>Sim</t>
        </is>
      </c>
      <c r="G134" s="37" t="n">
        <v>45982</v>
      </c>
      <c r="H134" s="24" t="str">
        <f>IF(A134="","",IF(F134="Sim","Paga",IF(D134="","Sem vencimento",IF(D134&lt;Config!$B$5,"Vencida","A vencer"))))</f>
        <v>Paga</v>
      </c>
      <c r="I134" s="30">
        <f>IF(H134="Vencida",Config!$B$5-D134,"")</f>
        <v/>
      </c>
      <c r="J134" s="30">
        <f>IF(H134="A vencer",D134-Config!$B$5,"")</f>
        <v/>
      </c>
      <c r="K134" s="24">
        <f>IF(H134&lt;&gt;"Vencida","",IF(COUNTIF(Config!$A$10:$A$13,"&lt;="&amp;I134)=0,"Antes da régua",INDEX(Config!$C$10:$C$13,COUNTIF(Config!$A$10:$A$13,"&lt;="&amp;I134))))</f>
        <v/>
      </c>
      <c r="L134" s="23">
        <f>IF(H134&lt;&gt;"Vencida","",IF(COUNTIF(Config!$A$10:$A$13,"&lt;="&amp;I134)=0,"Aguardar: ainda não chegou ao primeiro passo da régua.",INDEX(Config!$B$10:$B$13,COUNTIF(Config!$A$10:$A$13,"&lt;="&amp;I134))))</f>
        <v/>
      </c>
      <c r="M134" s="38">
        <f>IF(H134="Vencida",E134*I134+ROW()/100000,0)</f>
        <v>0</v>
      </c>
      <c r="N134" s="38">
        <f>IF(AND(H134="A vencer",J134&lt;=Config!$B$7),100000-J134-ROW()/100000,0)</f>
        <v>0</v>
      </c>
    </row>
    <row r="135">
      <c r="A135" s="32" t="inlineStr">
        <is>
          <t>9088515-39.2025.8.26.0125</t>
        </is>
      </c>
      <c r="B135" s="23" t="str">
        <f>IF(A135="","",IFERROR(INDEX(Casos!$B$5:$B$204,MATCH(A135,Casos!$A$5:$A$204,0)),""))</f>
        <v>Loja Verde Comércio</v>
      </c>
      <c r="C135" s="34" t="n">
        <v>4</v>
      </c>
      <c r="D135" s="37" t="n">
        <v>46013</v>
      </c>
      <c r="E135" s="36" t="n">
        <v>1000</v>
      </c>
      <c r="F135" s="34" t="inlineStr">
        <is>
          <t>Sim</t>
        </is>
      </c>
      <c r="G135" s="37" t="n">
        <v>46013</v>
      </c>
      <c r="H135" s="24" t="str">
        <f>IF(A135="","",IF(F135="Sim","Paga",IF(D135="","Sem vencimento",IF(D135&lt;Config!$B$5,"Vencida","A vencer"))))</f>
        <v>Paga</v>
      </c>
      <c r="I135" s="30">
        <f>IF(H135="Vencida",Config!$B$5-D135,"")</f>
        <v/>
      </c>
      <c r="J135" s="30">
        <f>IF(H135="A vencer",D135-Config!$B$5,"")</f>
        <v/>
      </c>
      <c r="K135" s="24">
        <f>IF(H135&lt;&gt;"Vencida","",IF(COUNTIF(Config!$A$10:$A$13,"&lt;="&amp;I135)=0,"Antes da régua",INDEX(Config!$C$10:$C$13,COUNTIF(Config!$A$10:$A$13,"&lt;="&amp;I135))))</f>
        <v/>
      </c>
      <c r="L135" s="23">
        <f>IF(H135&lt;&gt;"Vencida","",IF(COUNTIF(Config!$A$10:$A$13,"&lt;="&amp;I135)=0,"Aguardar: ainda não chegou ao primeiro passo da régua.",INDEX(Config!$B$10:$B$13,COUNTIF(Config!$A$10:$A$13,"&lt;="&amp;I135))))</f>
        <v/>
      </c>
      <c r="M135" s="38">
        <f>IF(H135="Vencida",E135*I135+ROW()/100000,0)</f>
        <v>0</v>
      </c>
      <c r="N135" s="38">
        <f>IF(AND(H135="A vencer",J135&lt;=Config!$B$7),100000-J135-ROW()/100000,0)</f>
        <v>0</v>
      </c>
    </row>
    <row r="136">
      <c r="A136" s="32" t="inlineStr">
        <is>
          <t>9088515-39.2025.8.26.0125</t>
        </is>
      </c>
      <c r="B136" s="23" t="str">
        <f>IF(A136="","",IFERROR(INDEX(Casos!$B$5:$B$204,MATCH(A136,Casos!$A$5:$A$204,0)),""))</f>
        <v>Loja Verde Comércio</v>
      </c>
      <c r="C136" s="34" t="n">
        <v>5</v>
      </c>
      <c r="D136" s="37" t="n">
        <v>46044</v>
      </c>
      <c r="E136" s="36" t="n">
        <v>1000</v>
      </c>
      <c r="F136" s="34" t="inlineStr">
        <is>
          <t>Sim</t>
        </is>
      </c>
      <c r="G136" s="37" t="n">
        <v>46044</v>
      </c>
      <c r="H136" s="24" t="str">
        <f>IF(A136="","",IF(F136="Sim","Paga",IF(D136="","Sem vencimento",IF(D136&lt;Config!$B$5,"Vencida","A vencer"))))</f>
        <v>Paga</v>
      </c>
      <c r="I136" s="30">
        <f>IF(H136="Vencida",Config!$B$5-D136,"")</f>
        <v/>
      </c>
      <c r="J136" s="30">
        <f>IF(H136="A vencer",D136-Config!$B$5,"")</f>
        <v/>
      </c>
      <c r="K136" s="24">
        <f>IF(H136&lt;&gt;"Vencida","",IF(COUNTIF(Config!$A$10:$A$13,"&lt;="&amp;I136)=0,"Antes da régua",INDEX(Config!$C$10:$C$13,COUNTIF(Config!$A$10:$A$13,"&lt;="&amp;I136))))</f>
        <v/>
      </c>
      <c r="L136" s="23">
        <f>IF(H136&lt;&gt;"Vencida","",IF(COUNTIF(Config!$A$10:$A$13,"&lt;="&amp;I136)=0,"Aguardar: ainda não chegou ao primeiro passo da régua.",INDEX(Config!$B$10:$B$13,COUNTIF(Config!$A$10:$A$13,"&lt;="&amp;I136))))</f>
        <v/>
      </c>
      <c r="M136" s="38">
        <f>IF(H136="Vencida",E136*I136+ROW()/100000,0)</f>
        <v>0</v>
      </c>
      <c r="N136" s="38">
        <f>IF(AND(H136="A vencer",J136&lt;=Config!$B$7),100000-J136-ROW()/100000,0)</f>
        <v>0</v>
      </c>
    </row>
    <row r="137">
      <c r="A137" s="32" t="inlineStr">
        <is>
          <t>8663770-96.2025.8.26.0481</t>
        </is>
      </c>
      <c r="B137" s="23" t="str">
        <f>IF(A137="","",IFERROR(INDEX(Casos!$B$5:$B$204,MATCH(A137,Casos!$A$5:$A$204,0)),""))</f>
        <v>Oficina Mecânica Central</v>
      </c>
      <c r="C137" s="34" t="n">
        <v>1</v>
      </c>
      <c r="D137" s="37" t="n">
        <v>45789</v>
      </c>
      <c r="E137" s="36" t="n">
        <v>2400</v>
      </c>
      <c r="F137" s="34" t="inlineStr">
        <is>
          <t>Sim</t>
        </is>
      </c>
      <c r="G137" s="37" t="n">
        <v>45789</v>
      </c>
      <c r="H137" s="24" t="str">
        <f>IF(A137="","",IF(F137="Sim","Paga",IF(D137="","Sem vencimento",IF(D137&lt;Config!$B$5,"Vencida","A vencer"))))</f>
        <v>Paga</v>
      </c>
      <c r="I137" s="30">
        <f>IF(H137="Vencida",Config!$B$5-D137,"")</f>
        <v/>
      </c>
      <c r="J137" s="30">
        <f>IF(H137="A vencer",D137-Config!$B$5,"")</f>
        <v/>
      </c>
      <c r="K137" s="24">
        <f>IF(H137&lt;&gt;"Vencida","",IF(COUNTIF(Config!$A$10:$A$13,"&lt;="&amp;I137)=0,"Antes da régua",INDEX(Config!$C$10:$C$13,COUNTIF(Config!$A$10:$A$13,"&lt;="&amp;I137))))</f>
        <v/>
      </c>
      <c r="L137" s="23">
        <f>IF(H137&lt;&gt;"Vencida","",IF(COUNTIF(Config!$A$10:$A$13,"&lt;="&amp;I137)=0,"Aguardar: ainda não chegou ao primeiro passo da régua.",INDEX(Config!$B$10:$B$13,COUNTIF(Config!$A$10:$A$13,"&lt;="&amp;I137))))</f>
        <v/>
      </c>
      <c r="M137" s="38">
        <f>IF(H137="Vencida",E137*I137+ROW()/100000,0)</f>
        <v>0</v>
      </c>
      <c r="N137" s="38">
        <f>IF(AND(H137="A vencer",J137&lt;=Config!$B$7),100000-J137-ROW()/100000,0)</f>
        <v>0</v>
      </c>
    </row>
    <row r="138">
      <c r="A138" s="32" t="inlineStr">
        <is>
          <t>8663770-96.2025.8.26.0481</t>
        </is>
      </c>
      <c r="B138" s="23" t="str">
        <f>IF(A138="","",IFERROR(INDEX(Casos!$B$5:$B$204,MATCH(A138,Casos!$A$5:$A$204,0)),""))</f>
        <v>Oficina Mecânica Central</v>
      </c>
      <c r="C138" s="34" t="n">
        <v>2</v>
      </c>
      <c r="D138" s="37" t="n">
        <v>45820</v>
      </c>
      <c r="E138" s="36" t="n">
        <v>800</v>
      </c>
      <c r="F138" s="34" t="inlineStr">
        <is>
          <t>Sim</t>
        </is>
      </c>
      <c r="G138" s="37" t="n">
        <v>45820</v>
      </c>
      <c r="H138" s="24" t="str">
        <f>IF(A138="","",IF(F138="Sim","Paga",IF(D138="","Sem vencimento",IF(D138&lt;Config!$B$5,"Vencida","A vencer"))))</f>
        <v>Paga</v>
      </c>
      <c r="I138" s="30">
        <f>IF(H138="Vencida",Config!$B$5-D138,"")</f>
        <v/>
      </c>
      <c r="J138" s="30">
        <f>IF(H138="A vencer",D138-Config!$B$5,"")</f>
        <v/>
      </c>
      <c r="K138" s="24">
        <f>IF(H138&lt;&gt;"Vencida","",IF(COUNTIF(Config!$A$10:$A$13,"&lt;="&amp;I138)=0,"Antes da régua",INDEX(Config!$C$10:$C$13,COUNTIF(Config!$A$10:$A$13,"&lt;="&amp;I138))))</f>
        <v/>
      </c>
      <c r="L138" s="23">
        <f>IF(H138&lt;&gt;"Vencida","",IF(COUNTIF(Config!$A$10:$A$13,"&lt;="&amp;I138)=0,"Aguardar: ainda não chegou ao primeiro passo da régua.",INDEX(Config!$B$10:$B$13,COUNTIF(Config!$A$10:$A$13,"&lt;="&amp;I138))))</f>
        <v/>
      </c>
      <c r="M138" s="38">
        <f>IF(H138="Vencida",E138*I138+ROW()/100000,0)</f>
        <v>0</v>
      </c>
      <c r="N138" s="38">
        <f>IF(AND(H138="A vencer",J138&lt;=Config!$B$7),100000-J138-ROW()/100000,0)</f>
        <v>0</v>
      </c>
    </row>
    <row r="139">
      <c r="A139" s="32" t="inlineStr">
        <is>
          <t>8663770-96.2025.8.26.0481</t>
        </is>
      </c>
      <c r="B139" s="23" t="str">
        <f>IF(A139="","",IFERROR(INDEX(Casos!$B$5:$B$204,MATCH(A139,Casos!$A$5:$A$204,0)),""))</f>
        <v>Oficina Mecânica Central</v>
      </c>
      <c r="C139" s="34" t="n">
        <v>3</v>
      </c>
      <c r="D139" s="37" t="n">
        <v>45849</v>
      </c>
      <c r="E139" s="36" t="n">
        <v>800</v>
      </c>
      <c r="F139" s="34" t="inlineStr">
        <is>
          <t>Sim</t>
        </is>
      </c>
      <c r="G139" s="37" t="n">
        <v>45849</v>
      </c>
      <c r="H139" s="24" t="str">
        <f>IF(A139="","",IF(F139="Sim","Paga",IF(D139="","Sem vencimento",IF(D139&lt;Config!$B$5,"Vencida","A vencer"))))</f>
        <v>Paga</v>
      </c>
      <c r="I139" s="30">
        <f>IF(H139="Vencida",Config!$B$5-D139,"")</f>
        <v/>
      </c>
      <c r="J139" s="30">
        <f>IF(H139="A vencer",D139-Config!$B$5,"")</f>
        <v/>
      </c>
      <c r="K139" s="24">
        <f>IF(H139&lt;&gt;"Vencida","",IF(COUNTIF(Config!$A$10:$A$13,"&lt;="&amp;I139)=0,"Antes da régua",INDEX(Config!$C$10:$C$13,COUNTIF(Config!$A$10:$A$13,"&lt;="&amp;I139))))</f>
        <v/>
      </c>
      <c r="L139" s="23">
        <f>IF(H139&lt;&gt;"Vencida","",IF(COUNTIF(Config!$A$10:$A$13,"&lt;="&amp;I139)=0,"Aguardar: ainda não chegou ao primeiro passo da régua.",INDEX(Config!$B$10:$B$13,COUNTIF(Config!$A$10:$A$13,"&lt;="&amp;I139))))</f>
        <v/>
      </c>
      <c r="M139" s="38">
        <f>IF(H139="Vencida",E139*I139+ROW()/100000,0)</f>
        <v>0</v>
      </c>
      <c r="N139" s="38">
        <f>IF(AND(H139="A vencer",J139&lt;=Config!$B$7),100000-J139-ROW()/100000,0)</f>
        <v>0</v>
      </c>
    </row>
    <row r="140">
      <c r="A140" s="32" t="inlineStr">
        <is>
          <t>8663770-96.2025.8.26.0481</t>
        </is>
      </c>
      <c r="B140" s="23" t="str">
        <f>IF(A140="","",IFERROR(INDEX(Casos!$B$5:$B$204,MATCH(A140,Casos!$A$5:$A$204,0)),""))</f>
        <v>Oficina Mecânica Central</v>
      </c>
      <c r="C140" s="34" t="n">
        <v>4</v>
      </c>
      <c r="D140" s="37" t="n">
        <v>45881</v>
      </c>
      <c r="E140" s="36" t="n">
        <v>800</v>
      </c>
      <c r="F140" s="34" t="inlineStr">
        <is>
          <t>Sim</t>
        </is>
      </c>
      <c r="G140" s="37" t="n">
        <v>45881</v>
      </c>
      <c r="H140" s="24" t="str">
        <f>IF(A140="","",IF(F140="Sim","Paga",IF(D140="","Sem vencimento",IF(D140&lt;Config!$B$5,"Vencida","A vencer"))))</f>
        <v>Paga</v>
      </c>
      <c r="I140" s="30">
        <f>IF(H140="Vencida",Config!$B$5-D140,"")</f>
        <v/>
      </c>
      <c r="J140" s="30">
        <f>IF(H140="A vencer",D140-Config!$B$5,"")</f>
        <v/>
      </c>
      <c r="K140" s="24">
        <f>IF(H140&lt;&gt;"Vencida","",IF(COUNTIF(Config!$A$10:$A$13,"&lt;="&amp;I140)=0,"Antes da régua",INDEX(Config!$C$10:$C$13,COUNTIF(Config!$A$10:$A$13,"&lt;="&amp;I140))))</f>
        <v/>
      </c>
      <c r="L140" s="23">
        <f>IF(H140&lt;&gt;"Vencida","",IF(COUNTIF(Config!$A$10:$A$13,"&lt;="&amp;I140)=0,"Aguardar: ainda não chegou ao primeiro passo da régua.",INDEX(Config!$B$10:$B$13,COUNTIF(Config!$A$10:$A$13,"&lt;="&amp;I140))))</f>
        <v/>
      </c>
      <c r="M140" s="38">
        <f>IF(H140="Vencida",E140*I140+ROW()/100000,0)</f>
        <v>0</v>
      </c>
      <c r="N140" s="38">
        <f>IF(AND(H140="A vencer",J140&lt;=Config!$B$7),100000-J140-ROW()/100000,0)</f>
        <v>0</v>
      </c>
    </row>
    <row r="141">
      <c r="A141" s="32" t="inlineStr">
        <is>
          <t>8663770-96.2025.8.26.0481</t>
        </is>
      </c>
      <c r="B141" s="23" t="str">
        <f>IF(A141="","",IFERROR(INDEX(Casos!$B$5:$B$204,MATCH(A141,Casos!$A$5:$A$204,0)),""))</f>
        <v>Oficina Mecânica Central</v>
      </c>
      <c r="C141" s="34" t="n">
        <v>5</v>
      </c>
      <c r="D141" s="37" t="n">
        <v>45912</v>
      </c>
      <c r="E141" s="36" t="n">
        <v>800</v>
      </c>
      <c r="F141" s="34" t="inlineStr">
        <is>
          <t>Sim</t>
        </is>
      </c>
      <c r="G141" s="37" t="n">
        <v>45912</v>
      </c>
      <c r="H141" s="24" t="str">
        <f>IF(A141="","",IF(F141="Sim","Paga",IF(D141="","Sem vencimento",IF(D141&lt;Config!$B$5,"Vencida","A vencer"))))</f>
        <v>Paga</v>
      </c>
      <c r="I141" s="30">
        <f>IF(H141="Vencida",Config!$B$5-D141,"")</f>
        <v/>
      </c>
      <c r="J141" s="30">
        <f>IF(H141="A vencer",D141-Config!$B$5,"")</f>
        <v/>
      </c>
      <c r="K141" s="24">
        <f>IF(H141&lt;&gt;"Vencida","",IF(COUNTIF(Config!$A$10:$A$13,"&lt;="&amp;I141)=0,"Antes da régua",INDEX(Config!$C$10:$C$13,COUNTIF(Config!$A$10:$A$13,"&lt;="&amp;I141))))</f>
        <v/>
      </c>
      <c r="L141" s="23">
        <f>IF(H141&lt;&gt;"Vencida","",IF(COUNTIF(Config!$A$10:$A$13,"&lt;="&amp;I141)=0,"Aguardar: ainda não chegou ao primeiro passo da régua.",INDEX(Config!$B$10:$B$13,COUNTIF(Config!$A$10:$A$13,"&lt;="&amp;I141))))</f>
        <v/>
      </c>
      <c r="M141" s="38">
        <f>IF(H141="Vencida",E141*I141+ROW()/100000,0)</f>
        <v>0</v>
      </c>
      <c r="N141" s="38">
        <f>IF(AND(H141="A vencer",J141&lt;=Config!$B$7),100000-J141-ROW()/100000,0)</f>
        <v>0</v>
      </c>
    </row>
    <row r="142">
      <c r="A142" s="32" t="inlineStr">
        <is>
          <t>8663770-96.2025.8.26.0481</t>
        </is>
      </c>
      <c r="B142" s="23" t="str">
        <f>IF(A142="","",IFERROR(INDEX(Casos!$B$5:$B$204,MATCH(A142,Casos!$A$5:$A$204,0)),""))</f>
        <v>Oficina Mecânica Central</v>
      </c>
      <c r="C142" s="34" t="n">
        <v>6</v>
      </c>
      <c r="D142" s="37" t="n">
        <v>45943</v>
      </c>
      <c r="E142" s="36" t="n">
        <v>800</v>
      </c>
      <c r="F142" s="34" t="inlineStr">
        <is>
          <t>Sim</t>
        </is>
      </c>
      <c r="G142" s="37" t="n">
        <v>45943</v>
      </c>
      <c r="H142" s="24" t="str">
        <f>IF(A142="","",IF(F142="Sim","Paga",IF(D142="","Sem vencimento",IF(D142&lt;Config!$B$5,"Vencida","A vencer"))))</f>
        <v>Paga</v>
      </c>
      <c r="I142" s="30">
        <f>IF(H142="Vencida",Config!$B$5-D142,"")</f>
        <v/>
      </c>
      <c r="J142" s="30">
        <f>IF(H142="A vencer",D142-Config!$B$5,"")</f>
        <v/>
      </c>
      <c r="K142" s="24">
        <f>IF(H142&lt;&gt;"Vencida","",IF(COUNTIF(Config!$A$10:$A$13,"&lt;="&amp;I142)=0,"Antes da régua",INDEX(Config!$C$10:$C$13,COUNTIF(Config!$A$10:$A$13,"&lt;="&amp;I142))))</f>
        <v/>
      </c>
      <c r="L142" s="23">
        <f>IF(H142&lt;&gt;"Vencida","",IF(COUNTIF(Config!$A$10:$A$13,"&lt;="&amp;I142)=0,"Aguardar: ainda não chegou ao primeiro passo da régua.",INDEX(Config!$B$10:$B$13,COUNTIF(Config!$A$10:$A$13,"&lt;="&amp;I142))))</f>
        <v/>
      </c>
      <c r="M142" s="38">
        <f>IF(H142="Vencida",E142*I142+ROW()/100000,0)</f>
        <v>0</v>
      </c>
      <c r="N142" s="38">
        <f>IF(AND(H142="A vencer",J142&lt;=Config!$B$7),100000-J142-ROW()/100000,0)</f>
        <v>0</v>
      </c>
    </row>
    <row r="143">
      <c r="A143" s="32" t="inlineStr">
        <is>
          <t>8663770-96.2025.8.26.0481</t>
        </is>
      </c>
      <c r="B143" s="23" t="str">
        <f>IF(A143="","",IFERROR(INDEX(Casos!$B$5:$B$204,MATCH(A143,Casos!$A$5:$A$204,0)),""))</f>
        <v>Oficina Mecânica Central</v>
      </c>
      <c r="C143" s="34" t="n">
        <v>7</v>
      </c>
      <c r="D143" s="37" t="n">
        <v>45973</v>
      </c>
      <c r="E143" s="36" t="n">
        <v>800</v>
      </c>
      <c r="F143" s="34" t="inlineStr">
        <is>
          <t>Sim</t>
        </is>
      </c>
      <c r="G143" s="37" t="n">
        <v>45973</v>
      </c>
      <c r="H143" s="24" t="str">
        <f>IF(A143="","",IF(F143="Sim","Paga",IF(D143="","Sem vencimento",IF(D143&lt;Config!$B$5,"Vencida","A vencer"))))</f>
        <v>Paga</v>
      </c>
      <c r="I143" s="30">
        <f>IF(H143="Vencida",Config!$B$5-D143,"")</f>
        <v/>
      </c>
      <c r="J143" s="30">
        <f>IF(H143="A vencer",D143-Config!$B$5,"")</f>
        <v/>
      </c>
      <c r="K143" s="24">
        <f>IF(H143&lt;&gt;"Vencida","",IF(COUNTIF(Config!$A$10:$A$13,"&lt;="&amp;I143)=0,"Antes da régua",INDEX(Config!$C$10:$C$13,COUNTIF(Config!$A$10:$A$13,"&lt;="&amp;I143))))</f>
        <v/>
      </c>
      <c r="L143" s="23">
        <f>IF(H143&lt;&gt;"Vencida","",IF(COUNTIF(Config!$A$10:$A$13,"&lt;="&amp;I143)=0,"Aguardar: ainda não chegou ao primeiro passo da régua.",INDEX(Config!$B$10:$B$13,COUNTIF(Config!$A$10:$A$13,"&lt;="&amp;I143))))</f>
        <v/>
      </c>
      <c r="M143" s="38">
        <f>IF(H143="Vencida",E143*I143+ROW()/100000,0)</f>
        <v>0</v>
      </c>
      <c r="N143" s="38">
        <f>IF(AND(H143="A vencer",J143&lt;=Config!$B$7),100000-J143-ROW()/100000,0)</f>
        <v>0</v>
      </c>
    </row>
    <row r="144">
      <c r="A144" s="32" t="inlineStr">
        <is>
          <t>8663770-96.2025.8.26.0481</t>
        </is>
      </c>
      <c r="B144" s="23" t="str">
        <f>IF(A144="","",IFERROR(INDEX(Casos!$B$5:$B$204,MATCH(A144,Casos!$A$5:$A$204,0)),""))</f>
        <v>Oficina Mecânica Central</v>
      </c>
      <c r="C144" s="34" t="n">
        <v>8</v>
      </c>
      <c r="D144" s="37" t="n">
        <v>46003</v>
      </c>
      <c r="E144" s="36" t="n">
        <v>800</v>
      </c>
      <c r="F144" s="34" t="inlineStr">
        <is>
          <t>Sim</t>
        </is>
      </c>
      <c r="G144" s="37" t="n">
        <v>46003</v>
      </c>
      <c r="H144" s="24" t="str">
        <f>IF(A144="","",IF(F144="Sim","Paga",IF(D144="","Sem vencimento",IF(D144&lt;Config!$B$5,"Vencida","A vencer"))))</f>
        <v>Paga</v>
      </c>
      <c r="I144" s="30">
        <f>IF(H144="Vencida",Config!$B$5-D144,"")</f>
        <v/>
      </c>
      <c r="J144" s="30">
        <f>IF(H144="A vencer",D144-Config!$B$5,"")</f>
        <v/>
      </c>
      <c r="K144" s="24">
        <f>IF(H144&lt;&gt;"Vencida","",IF(COUNTIF(Config!$A$10:$A$13,"&lt;="&amp;I144)=0,"Antes da régua",INDEX(Config!$C$10:$C$13,COUNTIF(Config!$A$10:$A$13,"&lt;="&amp;I144))))</f>
        <v/>
      </c>
      <c r="L144" s="23">
        <f>IF(H144&lt;&gt;"Vencida","",IF(COUNTIF(Config!$A$10:$A$13,"&lt;="&amp;I144)=0,"Aguardar: ainda não chegou ao primeiro passo da régua.",INDEX(Config!$B$10:$B$13,COUNTIF(Config!$A$10:$A$13,"&lt;="&amp;I144))))</f>
        <v/>
      </c>
      <c r="M144" s="38">
        <f>IF(H144="Vencida",E144*I144+ROW()/100000,0)</f>
        <v>0</v>
      </c>
      <c r="N144" s="38">
        <f>IF(AND(H144="A vencer",J144&lt;=Config!$B$7),100000-J144-ROW()/100000,0)</f>
        <v>0</v>
      </c>
    </row>
    <row r="145">
      <c r="A145" s="32" t="inlineStr">
        <is>
          <t>8663770-96.2025.8.26.0481</t>
        </is>
      </c>
      <c r="B145" s="23" t="str">
        <f>IF(A145="","",IFERROR(INDEX(Casos!$B$5:$B$204,MATCH(A145,Casos!$A$5:$A$204,0)),""))</f>
        <v>Oficina Mecânica Central</v>
      </c>
      <c r="C145" s="34" t="n">
        <v>9</v>
      </c>
      <c r="D145" s="37" t="n">
        <v>46034</v>
      </c>
      <c r="E145" s="36" t="n">
        <v>800</v>
      </c>
      <c r="F145" s="34" t="inlineStr">
        <is>
          <t>Sim</t>
        </is>
      </c>
      <c r="G145" s="37" t="n">
        <v>46034</v>
      </c>
      <c r="H145" s="24" t="str">
        <f>IF(A145="","",IF(F145="Sim","Paga",IF(D145="","Sem vencimento",IF(D145&lt;Config!$B$5,"Vencida","A vencer"))))</f>
        <v>Paga</v>
      </c>
      <c r="I145" s="30">
        <f>IF(H145="Vencida",Config!$B$5-D145,"")</f>
        <v/>
      </c>
      <c r="J145" s="30">
        <f>IF(H145="A vencer",D145-Config!$B$5,"")</f>
        <v/>
      </c>
      <c r="K145" s="24">
        <f>IF(H145&lt;&gt;"Vencida","",IF(COUNTIF(Config!$A$10:$A$13,"&lt;="&amp;I145)=0,"Antes da régua",INDEX(Config!$C$10:$C$13,COUNTIF(Config!$A$10:$A$13,"&lt;="&amp;I145))))</f>
        <v/>
      </c>
      <c r="L145" s="23">
        <f>IF(H145&lt;&gt;"Vencida","",IF(COUNTIF(Config!$A$10:$A$13,"&lt;="&amp;I145)=0,"Aguardar: ainda não chegou ao primeiro passo da régua.",INDEX(Config!$B$10:$B$13,COUNTIF(Config!$A$10:$A$13,"&lt;="&amp;I145))))</f>
        <v/>
      </c>
      <c r="M145" s="38">
        <f>IF(H145="Vencida",E145*I145+ROW()/100000,0)</f>
        <v>0</v>
      </c>
      <c r="N145" s="38">
        <f>IF(AND(H145="A vencer",J145&lt;=Config!$B$7),100000-J145-ROW()/100000,0)</f>
        <v>0</v>
      </c>
    </row>
    <row r="146">
      <c r="A146" s="32" t="inlineStr">
        <is>
          <t>8663770-96.2025.8.26.0481</t>
        </is>
      </c>
      <c r="B146" s="23" t="str">
        <f>IF(A146="","",IFERROR(INDEX(Casos!$B$5:$B$204,MATCH(A146,Casos!$A$5:$A$204,0)),""))</f>
        <v>Oficina Mecânica Central</v>
      </c>
      <c r="C146" s="34" t="n">
        <v>10</v>
      </c>
      <c r="D146" s="37" t="n">
        <v>46065</v>
      </c>
      <c r="E146" s="36" t="n">
        <v>800</v>
      </c>
      <c r="F146" s="34" t="inlineStr">
        <is>
          <t>Sim</t>
        </is>
      </c>
      <c r="G146" s="37" t="n">
        <v>46065</v>
      </c>
      <c r="H146" s="24" t="str">
        <f>IF(A146="","",IF(F146="Sim","Paga",IF(D146="","Sem vencimento",IF(D146&lt;Config!$B$5,"Vencida","A vencer"))))</f>
        <v>Paga</v>
      </c>
      <c r="I146" s="30">
        <f>IF(H146="Vencida",Config!$B$5-D146,"")</f>
        <v/>
      </c>
      <c r="J146" s="30">
        <f>IF(H146="A vencer",D146-Config!$B$5,"")</f>
        <v/>
      </c>
      <c r="K146" s="24">
        <f>IF(H146&lt;&gt;"Vencida","",IF(COUNTIF(Config!$A$10:$A$13,"&lt;="&amp;I146)=0,"Antes da régua",INDEX(Config!$C$10:$C$13,COUNTIF(Config!$A$10:$A$13,"&lt;="&amp;I146))))</f>
        <v/>
      </c>
      <c r="L146" s="23">
        <f>IF(H146&lt;&gt;"Vencida","",IF(COUNTIF(Config!$A$10:$A$13,"&lt;="&amp;I146)=0,"Aguardar: ainda não chegou ao primeiro passo da régua.",INDEX(Config!$B$10:$B$13,COUNTIF(Config!$A$10:$A$13,"&lt;="&amp;I146))))</f>
        <v/>
      </c>
      <c r="M146" s="38">
        <f>IF(H146="Vencida",E146*I146+ROW()/100000,0)</f>
        <v>0</v>
      </c>
      <c r="N146" s="38">
        <f>IF(AND(H146="A vencer",J146&lt;=Config!$B$7),100000-J146-ROW()/100000,0)</f>
        <v>0</v>
      </c>
    </row>
    <row r="147">
      <c r="A147" s="32" t="inlineStr">
        <is>
          <t>8663770-96.2025.8.26.0481</t>
        </is>
      </c>
      <c r="B147" s="23" t="str">
        <f>IF(A147="","",IFERROR(INDEX(Casos!$B$5:$B$204,MATCH(A147,Casos!$A$5:$A$204,0)),""))</f>
        <v>Oficina Mecânica Central</v>
      </c>
      <c r="C147" s="34" t="n">
        <v>11</v>
      </c>
      <c r="D147" s="37" t="n">
        <v>46093</v>
      </c>
      <c r="E147" s="36" t="n">
        <v>800</v>
      </c>
      <c r="F147" s="34" t="inlineStr">
        <is>
          <t>Sim</t>
        </is>
      </c>
      <c r="G147" s="37" t="n">
        <v>46093</v>
      </c>
      <c r="H147" s="24" t="str">
        <f>IF(A147="","",IF(F147="Sim","Paga",IF(D147="","Sem vencimento",IF(D147&lt;Config!$B$5,"Vencida","A vencer"))))</f>
        <v>Paga</v>
      </c>
      <c r="I147" s="30">
        <f>IF(H147="Vencida",Config!$B$5-D147,"")</f>
        <v/>
      </c>
      <c r="J147" s="30">
        <f>IF(H147="A vencer",D147-Config!$B$5,"")</f>
        <v/>
      </c>
      <c r="K147" s="24">
        <f>IF(H147&lt;&gt;"Vencida","",IF(COUNTIF(Config!$A$10:$A$13,"&lt;="&amp;I147)=0,"Antes da régua",INDEX(Config!$C$10:$C$13,COUNTIF(Config!$A$10:$A$13,"&lt;="&amp;I147))))</f>
        <v/>
      </c>
      <c r="L147" s="23">
        <f>IF(H147&lt;&gt;"Vencida","",IF(COUNTIF(Config!$A$10:$A$13,"&lt;="&amp;I147)=0,"Aguardar: ainda não chegou ao primeiro passo da régua.",INDEX(Config!$B$10:$B$13,COUNTIF(Config!$A$10:$A$13,"&lt;="&amp;I147))))</f>
        <v/>
      </c>
      <c r="M147" s="38">
        <f>IF(H147="Vencida",E147*I147+ROW()/100000,0)</f>
        <v>0</v>
      </c>
      <c r="N147" s="38">
        <f>IF(AND(H147="A vencer",J147&lt;=Config!$B$7),100000-J147-ROW()/100000,0)</f>
        <v>0</v>
      </c>
    </row>
    <row r="148">
      <c r="A148" s="32" t="inlineStr">
        <is>
          <t>8663770-96.2025.8.26.0481</t>
        </is>
      </c>
      <c r="B148" s="23" t="str">
        <f>IF(A148="","",IFERROR(INDEX(Casos!$B$5:$B$204,MATCH(A148,Casos!$A$5:$A$204,0)),""))</f>
        <v>Oficina Mecânica Central</v>
      </c>
      <c r="C148" s="34" t="n">
        <v>12</v>
      </c>
      <c r="D148" s="37" t="n">
        <v>46125</v>
      </c>
      <c r="E148" s="36" t="n">
        <v>800</v>
      </c>
      <c r="F148" s="34" t="inlineStr">
        <is>
          <t>Sim</t>
        </is>
      </c>
      <c r="G148" s="37" t="n">
        <v>46125</v>
      </c>
      <c r="H148" s="24" t="str">
        <f>IF(A148="","",IF(F148="Sim","Paga",IF(D148="","Sem vencimento",IF(D148&lt;Config!$B$5,"Vencida","A vencer"))))</f>
        <v>Paga</v>
      </c>
      <c r="I148" s="30">
        <f>IF(H148="Vencida",Config!$B$5-D148,"")</f>
        <v/>
      </c>
      <c r="J148" s="30">
        <f>IF(H148="A vencer",D148-Config!$B$5,"")</f>
        <v/>
      </c>
      <c r="K148" s="24">
        <f>IF(H148&lt;&gt;"Vencida","",IF(COUNTIF(Config!$A$10:$A$13,"&lt;="&amp;I148)=0,"Antes da régua",INDEX(Config!$C$10:$C$13,COUNTIF(Config!$A$10:$A$13,"&lt;="&amp;I148))))</f>
        <v/>
      </c>
      <c r="L148" s="23">
        <f>IF(H148&lt;&gt;"Vencida","",IF(COUNTIF(Config!$A$10:$A$13,"&lt;="&amp;I148)=0,"Aguardar: ainda não chegou ao primeiro passo da régua.",INDEX(Config!$B$10:$B$13,COUNTIF(Config!$A$10:$A$13,"&lt;="&amp;I148))))</f>
        <v/>
      </c>
      <c r="M148" s="38">
        <f>IF(H148="Vencida",E148*I148+ROW()/100000,0)</f>
        <v>0</v>
      </c>
      <c r="N148" s="38">
        <f>IF(AND(H148="A vencer",J148&lt;=Config!$B$7),100000-J148-ROW()/100000,0)</f>
        <v>0</v>
      </c>
    </row>
    <row r="149">
      <c r="A149" s="32" t="inlineStr">
        <is>
          <t>8663770-96.2025.8.26.0481</t>
        </is>
      </c>
      <c r="B149" s="23" t="str">
        <f>IF(A149="","",IFERROR(INDEX(Casos!$B$5:$B$204,MATCH(A149,Casos!$A$5:$A$204,0)),""))</f>
        <v>Oficina Mecânica Central</v>
      </c>
      <c r="C149" s="34" t="n">
        <v>13</v>
      </c>
      <c r="D149" s="37" t="n">
        <v>46154</v>
      </c>
      <c r="E149" s="36" t="n">
        <v>800</v>
      </c>
      <c r="F149" s="34" t="inlineStr">
        <is>
          <t>Sim</t>
        </is>
      </c>
      <c r="G149" s="37" t="n">
        <v>46154</v>
      </c>
      <c r="H149" s="24" t="str">
        <f>IF(A149="","",IF(F149="Sim","Paga",IF(D149="","Sem vencimento",IF(D149&lt;Config!$B$5,"Vencida","A vencer"))))</f>
        <v>Paga</v>
      </c>
      <c r="I149" s="30">
        <f>IF(H149="Vencida",Config!$B$5-D149,"")</f>
        <v/>
      </c>
      <c r="J149" s="30">
        <f>IF(H149="A vencer",D149-Config!$B$5,"")</f>
        <v/>
      </c>
      <c r="K149" s="24">
        <f>IF(H149&lt;&gt;"Vencida","",IF(COUNTIF(Config!$A$10:$A$13,"&lt;="&amp;I149)=0,"Antes da régua",INDEX(Config!$C$10:$C$13,COUNTIF(Config!$A$10:$A$13,"&lt;="&amp;I149))))</f>
        <v/>
      </c>
      <c r="L149" s="23">
        <f>IF(H149&lt;&gt;"Vencida","",IF(COUNTIF(Config!$A$10:$A$13,"&lt;="&amp;I149)=0,"Aguardar: ainda não chegou ao primeiro passo da régua.",INDEX(Config!$B$10:$B$13,COUNTIF(Config!$A$10:$A$13,"&lt;="&amp;I149))))</f>
        <v/>
      </c>
      <c r="M149" s="38">
        <f>IF(H149="Vencida",E149*I149+ROW()/100000,0)</f>
        <v>0</v>
      </c>
      <c r="N149" s="38">
        <f>IF(AND(H149="A vencer",J149&lt;=Config!$B$7),100000-J149-ROW()/100000,0)</f>
        <v>0</v>
      </c>
    </row>
    <row r="150">
      <c r="A150" s="32" t="inlineStr">
        <is>
          <t>5211189-81.2025.8.26.0412</t>
        </is>
      </c>
      <c r="B150" s="23" t="str">
        <f>IF(A150="","",IFERROR(INDEX(Casos!$B$5:$B$204,MATCH(A150,Casos!$A$5:$A$204,0)),""))</f>
        <v>Fernanda Castro</v>
      </c>
      <c r="C150" s="34" t="n">
        <v>1</v>
      </c>
      <c r="D150" s="37" t="n">
        <v>45943</v>
      </c>
      <c r="E150" s="36" t="n">
        <v>2800</v>
      </c>
      <c r="F150" s="34" t="inlineStr">
        <is>
          <t>Sim</t>
        </is>
      </c>
      <c r="G150" s="37" t="n">
        <v>45943</v>
      </c>
      <c r="H150" s="24" t="str">
        <f>IF(A150="","",IF(F150="Sim","Paga",IF(D150="","Sem vencimento",IF(D150&lt;Config!$B$5,"Vencida","A vencer"))))</f>
        <v>Paga</v>
      </c>
      <c r="I150" s="30">
        <f>IF(H150="Vencida",Config!$B$5-D150,"")</f>
        <v/>
      </c>
      <c r="J150" s="30">
        <f>IF(H150="A vencer",D150-Config!$B$5,"")</f>
        <v/>
      </c>
      <c r="K150" s="24">
        <f>IF(H150&lt;&gt;"Vencida","",IF(COUNTIF(Config!$A$10:$A$13,"&lt;="&amp;I150)=0,"Antes da régua",INDEX(Config!$C$10:$C$13,COUNTIF(Config!$A$10:$A$13,"&lt;="&amp;I150))))</f>
        <v/>
      </c>
      <c r="L150" s="23">
        <f>IF(H150&lt;&gt;"Vencida","",IF(COUNTIF(Config!$A$10:$A$13,"&lt;="&amp;I150)=0,"Aguardar: ainda não chegou ao primeiro passo da régua.",INDEX(Config!$B$10:$B$13,COUNTIF(Config!$A$10:$A$13,"&lt;="&amp;I150))))</f>
        <v/>
      </c>
      <c r="M150" s="38">
        <f>IF(H150="Vencida",E150*I150+ROW()/100000,0)</f>
        <v>0</v>
      </c>
      <c r="N150" s="38">
        <f>IF(AND(H150="A vencer",J150&lt;=Config!$B$7),100000-J150-ROW()/100000,0)</f>
        <v>0</v>
      </c>
    </row>
    <row r="151">
      <c r="A151" s="32" t="inlineStr">
        <is>
          <t>5211189-81.2025.8.26.0412</t>
        </is>
      </c>
      <c r="B151" s="23" t="str">
        <f>IF(A151="","",IFERROR(INDEX(Casos!$B$5:$B$204,MATCH(A151,Casos!$A$5:$A$204,0)),""))</f>
        <v>Fernanda Castro</v>
      </c>
      <c r="C151" s="34" t="n">
        <v>2</v>
      </c>
      <c r="D151" s="37" t="n">
        <v>45974</v>
      </c>
      <c r="E151" s="36" t="n">
        <v>1400</v>
      </c>
      <c r="F151" s="34" t="inlineStr">
        <is>
          <t>Sim</t>
        </is>
      </c>
      <c r="G151" s="37" t="n">
        <v>45974</v>
      </c>
      <c r="H151" s="24" t="str">
        <f>IF(A151="","",IF(F151="Sim","Paga",IF(D151="","Sem vencimento",IF(D151&lt;Config!$B$5,"Vencida","A vencer"))))</f>
        <v>Paga</v>
      </c>
      <c r="I151" s="30">
        <f>IF(H151="Vencida",Config!$B$5-D151,"")</f>
        <v/>
      </c>
      <c r="J151" s="30">
        <f>IF(H151="A vencer",D151-Config!$B$5,"")</f>
        <v/>
      </c>
      <c r="K151" s="24">
        <f>IF(H151&lt;&gt;"Vencida","",IF(COUNTIF(Config!$A$10:$A$13,"&lt;="&amp;I151)=0,"Antes da régua",INDEX(Config!$C$10:$C$13,COUNTIF(Config!$A$10:$A$13,"&lt;="&amp;I151))))</f>
        <v/>
      </c>
      <c r="L151" s="23">
        <f>IF(H151&lt;&gt;"Vencida","",IF(COUNTIF(Config!$A$10:$A$13,"&lt;="&amp;I151)=0,"Aguardar: ainda não chegou ao primeiro passo da régua.",INDEX(Config!$B$10:$B$13,COUNTIF(Config!$A$10:$A$13,"&lt;="&amp;I151))))</f>
        <v/>
      </c>
      <c r="M151" s="38">
        <f>IF(H151="Vencida",E151*I151+ROW()/100000,0)</f>
        <v>0</v>
      </c>
      <c r="N151" s="38">
        <f>IF(AND(H151="A vencer",J151&lt;=Config!$B$7),100000-J151-ROW()/100000,0)</f>
        <v>0</v>
      </c>
    </row>
    <row r="152">
      <c r="A152" s="32" t="inlineStr">
        <is>
          <t>5211189-81.2025.8.26.0412</t>
        </is>
      </c>
      <c r="B152" s="23" t="str">
        <f>IF(A152="","",IFERROR(INDEX(Casos!$B$5:$B$204,MATCH(A152,Casos!$A$5:$A$204,0)),""))</f>
        <v>Fernanda Castro</v>
      </c>
      <c r="C152" s="34" t="n">
        <v>3</v>
      </c>
      <c r="D152" s="37" t="n">
        <v>46006</v>
      </c>
      <c r="E152" s="36" t="n">
        <v>1400</v>
      </c>
      <c r="F152" s="34" t="inlineStr">
        <is>
          <t>Sim</t>
        </is>
      </c>
      <c r="G152" s="37" t="n">
        <v>46006</v>
      </c>
      <c r="H152" s="24" t="str">
        <f>IF(A152="","",IF(F152="Sim","Paga",IF(D152="","Sem vencimento",IF(D152&lt;Config!$B$5,"Vencida","A vencer"))))</f>
        <v>Paga</v>
      </c>
      <c r="I152" s="30">
        <f>IF(H152="Vencida",Config!$B$5-D152,"")</f>
        <v/>
      </c>
      <c r="J152" s="30">
        <f>IF(H152="A vencer",D152-Config!$B$5,"")</f>
        <v/>
      </c>
      <c r="K152" s="24">
        <f>IF(H152&lt;&gt;"Vencida","",IF(COUNTIF(Config!$A$10:$A$13,"&lt;="&amp;I152)=0,"Antes da régua",INDEX(Config!$C$10:$C$13,COUNTIF(Config!$A$10:$A$13,"&lt;="&amp;I152))))</f>
        <v/>
      </c>
      <c r="L152" s="23">
        <f>IF(H152&lt;&gt;"Vencida","",IF(COUNTIF(Config!$A$10:$A$13,"&lt;="&amp;I152)=0,"Aguardar: ainda não chegou ao primeiro passo da régua.",INDEX(Config!$B$10:$B$13,COUNTIF(Config!$A$10:$A$13,"&lt;="&amp;I152))))</f>
        <v/>
      </c>
      <c r="M152" s="38">
        <f>IF(H152="Vencida",E152*I152+ROW()/100000,0)</f>
        <v>0</v>
      </c>
      <c r="N152" s="38">
        <f>IF(AND(H152="A vencer",J152&lt;=Config!$B$7),100000-J152-ROW()/100000,0)</f>
        <v>0</v>
      </c>
    </row>
    <row r="153">
      <c r="A153" s="32" t="inlineStr">
        <is>
          <t>5211189-81.2025.8.26.0412</t>
        </is>
      </c>
      <c r="B153" s="23" t="str">
        <f>IF(A153="","",IFERROR(INDEX(Casos!$B$5:$B$204,MATCH(A153,Casos!$A$5:$A$204,0)),""))</f>
        <v>Fernanda Castro</v>
      </c>
      <c r="C153" s="34" t="n">
        <v>4</v>
      </c>
      <c r="D153" s="37" t="n">
        <v>46035</v>
      </c>
      <c r="E153" s="36" t="n">
        <v>1400</v>
      </c>
      <c r="F153" s="34" t="inlineStr">
        <is>
          <t>Sim</t>
        </is>
      </c>
      <c r="G153" s="37" t="n">
        <v>46037</v>
      </c>
      <c r="H153" s="24" t="str">
        <f>IF(A153="","",IF(F153="Sim","Paga",IF(D153="","Sem vencimento",IF(D153&lt;Config!$B$5,"Vencida","A vencer"))))</f>
        <v>Paga</v>
      </c>
      <c r="I153" s="30">
        <f>IF(H153="Vencida",Config!$B$5-D153,"")</f>
        <v/>
      </c>
      <c r="J153" s="30">
        <f>IF(H153="A vencer",D153-Config!$B$5,"")</f>
        <v/>
      </c>
      <c r="K153" s="24">
        <f>IF(H153&lt;&gt;"Vencida","",IF(COUNTIF(Config!$A$10:$A$13,"&lt;="&amp;I153)=0,"Antes da régua",INDEX(Config!$C$10:$C$13,COUNTIF(Config!$A$10:$A$13,"&lt;="&amp;I153))))</f>
        <v/>
      </c>
      <c r="L153" s="23">
        <f>IF(H153&lt;&gt;"Vencida","",IF(COUNTIF(Config!$A$10:$A$13,"&lt;="&amp;I153)=0,"Aguardar: ainda não chegou ao primeiro passo da régua.",INDEX(Config!$B$10:$B$13,COUNTIF(Config!$A$10:$A$13,"&lt;="&amp;I153))))</f>
        <v/>
      </c>
      <c r="M153" s="38">
        <f>IF(H153="Vencida",E153*I153+ROW()/100000,0)</f>
        <v>0</v>
      </c>
      <c r="N153" s="38">
        <f>IF(AND(H153="A vencer",J153&lt;=Config!$B$7),100000-J153-ROW()/100000,0)</f>
        <v>0</v>
      </c>
    </row>
    <row r="154">
      <c r="A154" s="32" t="inlineStr">
        <is>
          <t>6161129-80.2025.8.26.0663</t>
        </is>
      </c>
      <c r="B154" s="23" t="str">
        <f>IF(A154="","",IFERROR(INDEX(Casos!$B$5:$B$204,MATCH(A154,Casos!$A$5:$A$204,0)),""))</f>
        <v>José Antônio Ribeiro</v>
      </c>
      <c r="C154" s="34" t="n">
        <v>1</v>
      </c>
      <c r="D154" s="37" t="n">
        <v>46203</v>
      </c>
      <c r="E154" s="36" t="n">
        <v>6000</v>
      </c>
      <c r="F154" s="34" t="inlineStr">
        <is>
          <t>Sim</t>
        </is>
      </c>
      <c r="G154" s="37" t="n">
        <v>46203</v>
      </c>
      <c r="H154" s="24" t="str">
        <f>IF(A154="","",IF(F154="Sim","Paga",IF(D154="","Sem vencimento",IF(D154&lt;Config!$B$5,"Vencida","A vencer"))))</f>
        <v>Paga</v>
      </c>
      <c r="I154" s="30">
        <f>IF(H154="Vencida",Config!$B$5-D154,"")</f>
        <v/>
      </c>
      <c r="J154" s="30">
        <f>IF(H154="A vencer",D154-Config!$B$5,"")</f>
        <v/>
      </c>
      <c r="K154" s="24">
        <f>IF(H154&lt;&gt;"Vencida","",IF(COUNTIF(Config!$A$10:$A$13,"&lt;="&amp;I154)=0,"Antes da régua",INDEX(Config!$C$10:$C$13,COUNTIF(Config!$A$10:$A$13,"&lt;="&amp;I154))))</f>
        <v/>
      </c>
      <c r="L154" s="23">
        <f>IF(H154&lt;&gt;"Vencida","",IF(COUNTIF(Config!$A$10:$A$13,"&lt;="&amp;I154)=0,"Aguardar: ainda não chegou ao primeiro passo da régua.",INDEX(Config!$B$10:$B$13,COUNTIF(Config!$A$10:$A$13,"&lt;="&amp;I154))))</f>
        <v/>
      </c>
      <c r="M154" s="38">
        <f>IF(H154="Vencida",E154*I154+ROW()/100000,0)</f>
        <v>0</v>
      </c>
      <c r="N154" s="38">
        <f>IF(AND(H154="A vencer",J154&lt;=Config!$B$7),100000-J154-ROW()/100000,0)</f>
        <v>0</v>
      </c>
    </row>
    <row r="155">
      <c r="A155" s="32" t="inlineStr">
        <is>
          <t>9420478-99.2025.8.26.0491</t>
        </is>
      </c>
      <c r="B155" s="23" t="str">
        <f>IF(A155="","",IFERROR(INDEX(Casos!$B$5:$B$204,MATCH(A155,Casos!$A$5:$A$204,0)),""))</f>
        <v>Ana Beatriz Moreira</v>
      </c>
      <c r="C155" s="34" t="n">
        <v>1</v>
      </c>
      <c r="D155" s="37" t="n">
        <v>45684</v>
      </c>
      <c r="E155" s="36" t="n">
        <v>3000</v>
      </c>
      <c r="F155" s="34" t="inlineStr">
        <is>
          <t>Sim</t>
        </is>
      </c>
      <c r="G155" s="37" t="n">
        <v>45684</v>
      </c>
      <c r="H155" s="24" t="str">
        <f>IF(A155="","",IF(F155="Sim","Paga",IF(D155="","Sem vencimento",IF(D155&lt;Config!$B$5,"Vencida","A vencer"))))</f>
        <v>Paga</v>
      </c>
      <c r="I155" s="30">
        <f>IF(H155="Vencida",Config!$B$5-D155,"")</f>
        <v/>
      </c>
      <c r="J155" s="30">
        <f>IF(H155="A vencer",D155-Config!$B$5,"")</f>
        <v/>
      </c>
      <c r="K155" s="24">
        <f>IF(H155&lt;&gt;"Vencida","",IF(COUNTIF(Config!$A$10:$A$13,"&lt;="&amp;I155)=0,"Antes da régua",INDEX(Config!$C$10:$C$13,COUNTIF(Config!$A$10:$A$13,"&lt;="&amp;I155))))</f>
        <v/>
      </c>
      <c r="L155" s="23">
        <f>IF(H155&lt;&gt;"Vencida","",IF(COUNTIF(Config!$A$10:$A$13,"&lt;="&amp;I155)=0,"Aguardar: ainda não chegou ao primeiro passo da régua.",INDEX(Config!$B$10:$B$13,COUNTIF(Config!$A$10:$A$13,"&lt;="&amp;I155))))</f>
        <v/>
      </c>
      <c r="M155" s="38">
        <f>IF(H155="Vencida",E155*I155+ROW()/100000,0)</f>
        <v>0</v>
      </c>
      <c r="N155" s="38">
        <f>IF(AND(H155="A vencer",J155&lt;=Config!$B$7),100000-J155-ROW()/100000,0)</f>
        <v>0</v>
      </c>
    </row>
    <row r="156">
      <c r="A156" s="32" t="inlineStr">
        <is>
          <t>9420478-99.2025.8.26.0491</t>
        </is>
      </c>
      <c r="B156" s="23" t="str">
        <f>IF(A156="","",IFERROR(INDEX(Casos!$B$5:$B$204,MATCH(A156,Casos!$A$5:$A$204,0)),""))</f>
        <v>Ana Beatriz Moreira</v>
      </c>
      <c r="C156" s="34" t="n">
        <v>2</v>
      </c>
      <c r="D156" s="37" t="n">
        <v>46101</v>
      </c>
      <c r="E156" s="36" t="n">
        <v>5500</v>
      </c>
      <c r="F156" s="34" t="inlineStr">
        <is>
          <t>Sim</t>
        </is>
      </c>
      <c r="G156" s="37" t="n">
        <v>46101</v>
      </c>
      <c r="H156" s="24" t="str">
        <f>IF(A156="","",IF(F156="Sim","Paga",IF(D156="","Sem vencimento",IF(D156&lt;Config!$B$5,"Vencida","A vencer"))))</f>
        <v>Paga</v>
      </c>
      <c r="I156" s="30">
        <f>IF(H156="Vencida",Config!$B$5-D156,"")</f>
        <v/>
      </c>
      <c r="J156" s="30">
        <f>IF(H156="A vencer",D156-Config!$B$5,"")</f>
        <v/>
      </c>
      <c r="K156" s="24">
        <f>IF(H156&lt;&gt;"Vencida","",IF(COUNTIF(Config!$A$10:$A$13,"&lt;="&amp;I156)=0,"Antes da régua",INDEX(Config!$C$10:$C$13,COUNTIF(Config!$A$10:$A$13,"&lt;="&amp;I156))))</f>
        <v/>
      </c>
      <c r="L156" s="23">
        <f>IF(H156&lt;&gt;"Vencida","",IF(COUNTIF(Config!$A$10:$A$13,"&lt;="&amp;I156)=0,"Aguardar: ainda não chegou ao primeiro passo da régua.",INDEX(Config!$B$10:$B$13,COUNTIF(Config!$A$10:$A$13,"&lt;="&amp;I156))))</f>
        <v/>
      </c>
      <c r="M156" s="38">
        <f>IF(H156="Vencida",E156*I156+ROW()/100000,0)</f>
        <v>0</v>
      </c>
      <c r="N156" s="38">
        <f>IF(AND(H156="A vencer",J156&lt;=Config!$B$7),100000-J156-ROW()/100000,0)</f>
        <v>0</v>
      </c>
    </row>
    <row r="157">
      <c r="A157" s="32" t="n"/>
      <c r="B157" s="23">
        <f>IF(A157="","",IFERROR(INDEX(Casos!$B$5:$B$204,MATCH(A157,Casos!$A$5:$A$204,0)),""))</f>
        <v/>
      </c>
      <c r="C157" s="34" t="n"/>
      <c r="D157" s="37" t="n"/>
      <c r="E157" s="36" t="n"/>
      <c r="F157" s="34" t="n"/>
      <c r="G157" s="37" t="n"/>
      <c r="H157" s="24">
        <f>IF(A157="","",IF(F157="Sim","Paga",IF(D157="","Sem vencimento",IF(D157&lt;Config!$B$5,"Vencida","A vencer"))))</f>
        <v/>
      </c>
      <c r="I157" s="30">
        <f>IF(H157="Vencida",Config!$B$5-D157,"")</f>
        <v/>
      </c>
      <c r="J157" s="30">
        <f>IF(H157="A vencer",D157-Config!$B$5,"")</f>
        <v/>
      </c>
      <c r="K157" s="24">
        <f>IF(H157&lt;&gt;"Vencida","",IF(COUNTIF(Config!$A$10:$A$13,"&lt;="&amp;I157)=0,"Antes da régua",INDEX(Config!$C$10:$C$13,COUNTIF(Config!$A$10:$A$13,"&lt;="&amp;I157))))</f>
        <v/>
      </c>
      <c r="L157" s="23">
        <f>IF(H157&lt;&gt;"Vencida","",IF(COUNTIF(Config!$A$10:$A$13,"&lt;="&amp;I157)=0,"Aguardar: ainda não chegou ao primeiro passo da régua.",INDEX(Config!$B$10:$B$13,COUNTIF(Config!$A$10:$A$13,"&lt;="&amp;I157))))</f>
        <v/>
      </c>
      <c r="M157" s="38">
        <f>IF(H157="Vencida",E157*I157+ROW()/100000,0)</f>
        <v>0</v>
      </c>
      <c r="N157" s="38">
        <f>IF(AND(H157="A vencer",J157&lt;=Config!$B$7),100000-J157-ROW()/100000,0)</f>
        <v>0</v>
      </c>
    </row>
    <row r="158">
      <c r="A158" s="32" t="n"/>
      <c r="B158" s="23">
        <f>IF(A158="","",IFERROR(INDEX(Casos!$B$5:$B$204,MATCH(A158,Casos!$A$5:$A$204,0)),""))</f>
        <v/>
      </c>
      <c r="C158" s="34" t="n"/>
      <c r="D158" s="37" t="n"/>
      <c r="E158" s="36" t="n"/>
      <c r="F158" s="34" t="n"/>
      <c r="G158" s="37" t="n"/>
      <c r="H158" s="24">
        <f>IF(A158="","",IF(F158="Sim","Paga",IF(D158="","Sem vencimento",IF(D158&lt;Config!$B$5,"Vencida","A vencer"))))</f>
        <v/>
      </c>
      <c r="I158" s="30">
        <f>IF(H158="Vencida",Config!$B$5-D158,"")</f>
        <v/>
      </c>
      <c r="J158" s="30">
        <f>IF(H158="A vencer",D158-Config!$B$5,"")</f>
        <v/>
      </c>
      <c r="K158" s="24">
        <f>IF(H158&lt;&gt;"Vencida","",IF(COUNTIF(Config!$A$10:$A$13,"&lt;="&amp;I158)=0,"Antes da régua",INDEX(Config!$C$10:$C$13,COUNTIF(Config!$A$10:$A$13,"&lt;="&amp;I158))))</f>
        <v/>
      </c>
      <c r="L158" s="23">
        <f>IF(H158&lt;&gt;"Vencida","",IF(COUNTIF(Config!$A$10:$A$13,"&lt;="&amp;I158)=0,"Aguardar: ainda não chegou ao primeiro passo da régua.",INDEX(Config!$B$10:$B$13,COUNTIF(Config!$A$10:$A$13,"&lt;="&amp;I158))))</f>
        <v/>
      </c>
      <c r="M158" s="38">
        <f>IF(H158="Vencida",E158*I158+ROW()/100000,0)</f>
        <v>0</v>
      </c>
      <c r="N158" s="38">
        <f>IF(AND(H158="A vencer",J158&lt;=Config!$B$7),100000-J158-ROW()/100000,0)</f>
        <v>0</v>
      </c>
    </row>
    <row r="159">
      <c r="A159" s="32" t="n"/>
      <c r="B159" s="23">
        <f>IF(A159="","",IFERROR(INDEX(Casos!$B$5:$B$204,MATCH(A159,Casos!$A$5:$A$204,0)),""))</f>
        <v/>
      </c>
      <c r="C159" s="34" t="n"/>
      <c r="D159" s="37" t="n"/>
      <c r="E159" s="36" t="n"/>
      <c r="F159" s="34" t="n"/>
      <c r="G159" s="37" t="n"/>
      <c r="H159" s="24">
        <f>IF(A159="","",IF(F159="Sim","Paga",IF(D159="","Sem vencimento",IF(D159&lt;Config!$B$5,"Vencida","A vencer"))))</f>
        <v/>
      </c>
      <c r="I159" s="30">
        <f>IF(H159="Vencida",Config!$B$5-D159,"")</f>
        <v/>
      </c>
      <c r="J159" s="30">
        <f>IF(H159="A vencer",D159-Config!$B$5,"")</f>
        <v/>
      </c>
      <c r="K159" s="24">
        <f>IF(H159&lt;&gt;"Vencida","",IF(COUNTIF(Config!$A$10:$A$13,"&lt;="&amp;I159)=0,"Antes da régua",INDEX(Config!$C$10:$C$13,COUNTIF(Config!$A$10:$A$13,"&lt;="&amp;I159))))</f>
        <v/>
      </c>
      <c r="L159" s="23">
        <f>IF(H159&lt;&gt;"Vencida","",IF(COUNTIF(Config!$A$10:$A$13,"&lt;="&amp;I159)=0,"Aguardar: ainda não chegou ao primeiro passo da régua.",INDEX(Config!$B$10:$B$13,COUNTIF(Config!$A$10:$A$13,"&lt;="&amp;I159))))</f>
        <v/>
      </c>
      <c r="M159" s="38">
        <f>IF(H159="Vencida",E159*I159+ROW()/100000,0)</f>
        <v>0</v>
      </c>
      <c r="N159" s="38">
        <f>IF(AND(H159="A vencer",J159&lt;=Config!$B$7),100000-J159-ROW()/100000,0)</f>
        <v>0</v>
      </c>
    </row>
    <row r="160">
      <c r="A160" s="32" t="n"/>
      <c r="B160" s="23">
        <f>IF(A160="","",IFERROR(INDEX(Casos!$B$5:$B$204,MATCH(A160,Casos!$A$5:$A$204,0)),""))</f>
        <v/>
      </c>
      <c r="C160" s="34" t="n"/>
      <c r="D160" s="37" t="n"/>
      <c r="E160" s="36" t="n"/>
      <c r="F160" s="34" t="n"/>
      <c r="G160" s="37" t="n"/>
      <c r="H160" s="24">
        <f>IF(A160="","",IF(F160="Sim","Paga",IF(D160="","Sem vencimento",IF(D160&lt;Config!$B$5,"Vencida","A vencer"))))</f>
        <v/>
      </c>
      <c r="I160" s="30">
        <f>IF(H160="Vencida",Config!$B$5-D160,"")</f>
        <v/>
      </c>
      <c r="J160" s="30">
        <f>IF(H160="A vencer",D160-Config!$B$5,"")</f>
        <v/>
      </c>
      <c r="K160" s="24">
        <f>IF(H160&lt;&gt;"Vencida","",IF(COUNTIF(Config!$A$10:$A$13,"&lt;="&amp;I160)=0,"Antes da régua",INDEX(Config!$C$10:$C$13,COUNTIF(Config!$A$10:$A$13,"&lt;="&amp;I160))))</f>
        <v/>
      </c>
      <c r="L160" s="23">
        <f>IF(H160&lt;&gt;"Vencida","",IF(COUNTIF(Config!$A$10:$A$13,"&lt;="&amp;I160)=0,"Aguardar: ainda não chegou ao primeiro passo da régua.",INDEX(Config!$B$10:$B$13,COUNTIF(Config!$A$10:$A$13,"&lt;="&amp;I160))))</f>
        <v/>
      </c>
      <c r="M160" s="38">
        <f>IF(H160="Vencida",E160*I160+ROW()/100000,0)</f>
        <v>0</v>
      </c>
      <c r="N160" s="38">
        <f>IF(AND(H160="A vencer",J160&lt;=Config!$B$7),100000-J160-ROW()/100000,0)</f>
        <v>0</v>
      </c>
    </row>
    <row r="161">
      <c r="A161" s="32" t="n"/>
      <c r="B161" s="23">
        <f>IF(A161="","",IFERROR(INDEX(Casos!$B$5:$B$204,MATCH(A161,Casos!$A$5:$A$204,0)),""))</f>
        <v/>
      </c>
      <c r="C161" s="34" t="n"/>
      <c r="D161" s="37" t="n"/>
      <c r="E161" s="36" t="n"/>
      <c r="F161" s="34" t="n"/>
      <c r="G161" s="37" t="n"/>
      <c r="H161" s="24">
        <f>IF(A161="","",IF(F161="Sim","Paga",IF(D161="","Sem vencimento",IF(D161&lt;Config!$B$5,"Vencida","A vencer"))))</f>
        <v/>
      </c>
      <c r="I161" s="30">
        <f>IF(H161="Vencida",Config!$B$5-D161,"")</f>
        <v/>
      </c>
      <c r="J161" s="30">
        <f>IF(H161="A vencer",D161-Config!$B$5,"")</f>
        <v/>
      </c>
      <c r="K161" s="24">
        <f>IF(H161&lt;&gt;"Vencida","",IF(COUNTIF(Config!$A$10:$A$13,"&lt;="&amp;I161)=0,"Antes da régua",INDEX(Config!$C$10:$C$13,COUNTIF(Config!$A$10:$A$13,"&lt;="&amp;I161))))</f>
        <v/>
      </c>
      <c r="L161" s="23">
        <f>IF(H161&lt;&gt;"Vencida","",IF(COUNTIF(Config!$A$10:$A$13,"&lt;="&amp;I161)=0,"Aguardar: ainda não chegou ao primeiro passo da régua.",INDEX(Config!$B$10:$B$13,COUNTIF(Config!$A$10:$A$13,"&lt;="&amp;I161))))</f>
        <v/>
      </c>
      <c r="M161" s="38">
        <f>IF(H161="Vencida",E161*I161+ROW()/100000,0)</f>
        <v>0</v>
      </c>
      <c r="N161" s="38">
        <f>IF(AND(H161="A vencer",J161&lt;=Config!$B$7),100000-J161-ROW()/100000,0)</f>
        <v>0</v>
      </c>
    </row>
    <row r="162">
      <c r="A162" s="32" t="n"/>
      <c r="B162" s="23">
        <f>IF(A162="","",IFERROR(INDEX(Casos!$B$5:$B$204,MATCH(A162,Casos!$A$5:$A$204,0)),""))</f>
        <v/>
      </c>
      <c r="C162" s="34" t="n"/>
      <c r="D162" s="37" t="n"/>
      <c r="E162" s="36" t="n"/>
      <c r="F162" s="34" t="n"/>
      <c r="G162" s="37" t="n"/>
      <c r="H162" s="24">
        <f>IF(A162="","",IF(F162="Sim","Paga",IF(D162="","Sem vencimento",IF(D162&lt;Config!$B$5,"Vencida","A vencer"))))</f>
        <v/>
      </c>
      <c r="I162" s="30">
        <f>IF(H162="Vencida",Config!$B$5-D162,"")</f>
        <v/>
      </c>
      <c r="J162" s="30">
        <f>IF(H162="A vencer",D162-Config!$B$5,"")</f>
        <v/>
      </c>
      <c r="K162" s="24">
        <f>IF(H162&lt;&gt;"Vencida","",IF(COUNTIF(Config!$A$10:$A$13,"&lt;="&amp;I162)=0,"Antes da régua",INDEX(Config!$C$10:$C$13,COUNTIF(Config!$A$10:$A$13,"&lt;="&amp;I162))))</f>
        <v/>
      </c>
      <c r="L162" s="23">
        <f>IF(H162&lt;&gt;"Vencida","",IF(COUNTIF(Config!$A$10:$A$13,"&lt;="&amp;I162)=0,"Aguardar: ainda não chegou ao primeiro passo da régua.",INDEX(Config!$B$10:$B$13,COUNTIF(Config!$A$10:$A$13,"&lt;="&amp;I162))))</f>
        <v/>
      </c>
      <c r="M162" s="38">
        <f>IF(H162="Vencida",E162*I162+ROW()/100000,0)</f>
        <v>0</v>
      </c>
      <c r="N162" s="38">
        <f>IF(AND(H162="A vencer",J162&lt;=Config!$B$7),100000-J162-ROW()/100000,0)</f>
        <v>0</v>
      </c>
    </row>
    <row r="163">
      <c r="A163" s="32" t="n"/>
      <c r="B163" s="23">
        <f>IF(A163="","",IFERROR(INDEX(Casos!$B$5:$B$204,MATCH(A163,Casos!$A$5:$A$204,0)),""))</f>
        <v/>
      </c>
      <c r="C163" s="34" t="n"/>
      <c r="D163" s="37" t="n"/>
      <c r="E163" s="36" t="n"/>
      <c r="F163" s="34" t="n"/>
      <c r="G163" s="37" t="n"/>
      <c r="H163" s="24">
        <f>IF(A163="","",IF(F163="Sim","Paga",IF(D163="","Sem vencimento",IF(D163&lt;Config!$B$5,"Vencida","A vencer"))))</f>
        <v/>
      </c>
      <c r="I163" s="30">
        <f>IF(H163="Vencida",Config!$B$5-D163,"")</f>
        <v/>
      </c>
      <c r="J163" s="30">
        <f>IF(H163="A vencer",D163-Config!$B$5,"")</f>
        <v/>
      </c>
      <c r="K163" s="24">
        <f>IF(H163&lt;&gt;"Vencida","",IF(COUNTIF(Config!$A$10:$A$13,"&lt;="&amp;I163)=0,"Antes da régua",INDEX(Config!$C$10:$C$13,COUNTIF(Config!$A$10:$A$13,"&lt;="&amp;I163))))</f>
        <v/>
      </c>
      <c r="L163" s="23">
        <f>IF(H163&lt;&gt;"Vencida","",IF(COUNTIF(Config!$A$10:$A$13,"&lt;="&amp;I163)=0,"Aguardar: ainda não chegou ao primeiro passo da régua.",INDEX(Config!$B$10:$B$13,COUNTIF(Config!$A$10:$A$13,"&lt;="&amp;I163))))</f>
        <v/>
      </c>
      <c r="M163" s="38">
        <f>IF(H163="Vencida",E163*I163+ROW()/100000,0)</f>
        <v>0</v>
      </c>
      <c r="N163" s="38">
        <f>IF(AND(H163="A vencer",J163&lt;=Config!$B$7),100000-J163-ROW()/100000,0)</f>
        <v>0</v>
      </c>
    </row>
    <row r="164">
      <c r="A164" s="32" t="n"/>
      <c r="B164" s="23">
        <f>IF(A164="","",IFERROR(INDEX(Casos!$B$5:$B$204,MATCH(A164,Casos!$A$5:$A$204,0)),""))</f>
        <v/>
      </c>
      <c r="C164" s="34" t="n"/>
      <c r="D164" s="37" t="n"/>
      <c r="E164" s="36" t="n"/>
      <c r="F164" s="34" t="n"/>
      <c r="G164" s="37" t="n"/>
      <c r="H164" s="24">
        <f>IF(A164="","",IF(F164="Sim","Paga",IF(D164="","Sem vencimento",IF(D164&lt;Config!$B$5,"Vencida","A vencer"))))</f>
        <v/>
      </c>
      <c r="I164" s="30">
        <f>IF(H164="Vencida",Config!$B$5-D164,"")</f>
        <v/>
      </c>
      <c r="J164" s="30">
        <f>IF(H164="A vencer",D164-Config!$B$5,"")</f>
        <v/>
      </c>
      <c r="K164" s="24">
        <f>IF(H164&lt;&gt;"Vencida","",IF(COUNTIF(Config!$A$10:$A$13,"&lt;="&amp;I164)=0,"Antes da régua",INDEX(Config!$C$10:$C$13,COUNTIF(Config!$A$10:$A$13,"&lt;="&amp;I164))))</f>
        <v/>
      </c>
      <c r="L164" s="23">
        <f>IF(H164&lt;&gt;"Vencida","",IF(COUNTIF(Config!$A$10:$A$13,"&lt;="&amp;I164)=0,"Aguardar: ainda não chegou ao primeiro passo da régua.",INDEX(Config!$B$10:$B$13,COUNTIF(Config!$A$10:$A$13,"&lt;="&amp;I164))))</f>
        <v/>
      </c>
      <c r="M164" s="38">
        <f>IF(H164="Vencida",E164*I164+ROW()/100000,0)</f>
        <v>0</v>
      </c>
      <c r="N164" s="38">
        <f>IF(AND(H164="A vencer",J164&lt;=Config!$B$7),100000-J164-ROW()/100000,0)</f>
        <v>0</v>
      </c>
    </row>
    <row r="165">
      <c r="A165" s="32" t="n"/>
      <c r="B165" s="23">
        <f>IF(A165="","",IFERROR(INDEX(Casos!$B$5:$B$204,MATCH(A165,Casos!$A$5:$A$204,0)),""))</f>
        <v/>
      </c>
      <c r="C165" s="34" t="n"/>
      <c r="D165" s="37" t="n"/>
      <c r="E165" s="36" t="n"/>
      <c r="F165" s="34" t="n"/>
      <c r="G165" s="37" t="n"/>
      <c r="H165" s="24">
        <f>IF(A165="","",IF(F165="Sim","Paga",IF(D165="","Sem vencimento",IF(D165&lt;Config!$B$5,"Vencida","A vencer"))))</f>
        <v/>
      </c>
      <c r="I165" s="30">
        <f>IF(H165="Vencida",Config!$B$5-D165,"")</f>
        <v/>
      </c>
      <c r="J165" s="30">
        <f>IF(H165="A vencer",D165-Config!$B$5,"")</f>
        <v/>
      </c>
      <c r="K165" s="24">
        <f>IF(H165&lt;&gt;"Vencida","",IF(COUNTIF(Config!$A$10:$A$13,"&lt;="&amp;I165)=0,"Antes da régua",INDEX(Config!$C$10:$C$13,COUNTIF(Config!$A$10:$A$13,"&lt;="&amp;I165))))</f>
        <v/>
      </c>
      <c r="L165" s="23">
        <f>IF(H165&lt;&gt;"Vencida","",IF(COUNTIF(Config!$A$10:$A$13,"&lt;="&amp;I165)=0,"Aguardar: ainda não chegou ao primeiro passo da régua.",INDEX(Config!$B$10:$B$13,COUNTIF(Config!$A$10:$A$13,"&lt;="&amp;I165))))</f>
        <v/>
      </c>
      <c r="M165" s="38">
        <f>IF(H165="Vencida",E165*I165+ROW()/100000,0)</f>
        <v>0</v>
      </c>
      <c r="N165" s="38">
        <f>IF(AND(H165="A vencer",J165&lt;=Config!$B$7),100000-J165-ROW()/100000,0)</f>
        <v>0</v>
      </c>
    </row>
    <row r="166">
      <c r="A166" s="32" t="n"/>
      <c r="B166" s="23">
        <f>IF(A166="","",IFERROR(INDEX(Casos!$B$5:$B$204,MATCH(A166,Casos!$A$5:$A$204,0)),""))</f>
        <v/>
      </c>
      <c r="C166" s="34" t="n"/>
      <c r="D166" s="37" t="n"/>
      <c r="E166" s="36" t="n"/>
      <c r="F166" s="34" t="n"/>
      <c r="G166" s="37" t="n"/>
      <c r="H166" s="24">
        <f>IF(A166="","",IF(F166="Sim","Paga",IF(D166="","Sem vencimento",IF(D166&lt;Config!$B$5,"Vencida","A vencer"))))</f>
        <v/>
      </c>
      <c r="I166" s="30">
        <f>IF(H166="Vencida",Config!$B$5-D166,"")</f>
        <v/>
      </c>
      <c r="J166" s="30">
        <f>IF(H166="A vencer",D166-Config!$B$5,"")</f>
        <v/>
      </c>
      <c r="K166" s="24">
        <f>IF(H166&lt;&gt;"Vencida","",IF(COUNTIF(Config!$A$10:$A$13,"&lt;="&amp;I166)=0,"Antes da régua",INDEX(Config!$C$10:$C$13,COUNTIF(Config!$A$10:$A$13,"&lt;="&amp;I166))))</f>
        <v/>
      </c>
      <c r="L166" s="23">
        <f>IF(H166&lt;&gt;"Vencida","",IF(COUNTIF(Config!$A$10:$A$13,"&lt;="&amp;I166)=0,"Aguardar: ainda não chegou ao primeiro passo da régua.",INDEX(Config!$B$10:$B$13,COUNTIF(Config!$A$10:$A$13,"&lt;="&amp;I166))))</f>
        <v/>
      </c>
      <c r="M166" s="38">
        <f>IF(H166="Vencida",E166*I166+ROW()/100000,0)</f>
        <v>0</v>
      </c>
      <c r="N166" s="38">
        <f>IF(AND(H166="A vencer",J166&lt;=Config!$B$7),100000-J166-ROW()/100000,0)</f>
        <v>0</v>
      </c>
    </row>
    <row r="167">
      <c r="A167" s="32" t="n"/>
      <c r="B167" s="23">
        <f>IF(A167="","",IFERROR(INDEX(Casos!$B$5:$B$204,MATCH(A167,Casos!$A$5:$A$204,0)),""))</f>
        <v/>
      </c>
      <c r="C167" s="34" t="n"/>
      <c r="D167" s="37" t="n"/>
      <c r="E167" s="36" t="n"/>
      <c r="F167" s="34" t="n"/>
      <c r="G167" s="37" t="n"/>
      <c r="H167" s="24">
        <f>IF(A167="","",IF(F167="Sim","Paga",IF(D167="","Sem vencimento",IF(D167&lt;Config!$B$5,"Vencida","A vencer"))))</f>
        <v/>
      </c>
      <c r="I167" s="30">
        <f>IF(H167="Vencida",Config!$B$5-D167,"")</f>
        <v/>
      </c>
      <c r="J167" s="30">
        <f>IF(H167="A vencer",D167-Config!$B$5,"")</f>
        <v/>
      </c>
      <c r="K167" s="24">
        <f>IF(H167&lt;&gt;"Vencida","",IF(COUNTIF(Config!$A$10:$A$13,"&lt;="&amp;I167)=0,"Antes da régua",INDEX(Config!$C$10:$C$13,COUNTIF(Config!$A$10:$A$13,"&lt;="&amp;I167))))</f>
        <v/>
      </c>
      <c r="L167" s="23">
        <f>IF(H167&lt;&gt;"Vencida","",IF(COUNTIF(Config!$A$10:$A$13,"&lt;="&amp;I167)=0,"Aguardar: ainda não chegou ao primeiro passo da régua.",INDEX(Config!$B$10:$B$13,COUNTIF(Config!$A$10:$A$13,"&lt;="&amp;I167))))</f>
        <v/>
      </c>
      <c r="M167" s="38">
        <f>IF(H167="Vencida",E167*I167+ROW()/100000,0)</f>
        <v>0</v>
      </c>
      <c r="N167" s="38">
        <f>IF(AND(H167="A vencer",J167&lt;=Config!$B$7),100000-J167-ROW()/100000,0)</f>
        <v>0</v>
      </c>
    </row>
    <row r="168">
      <c r="A168" s="32" t="n"/>
      <c r="B168" s="23">
        <f>IF(A168="","",IFERROR(INDEX(Casos!$B$5:$B$204,MATCH(A168,Casos!$A$5:$A$204,0)),""))</f>
        <v/>
      </c>
      <c r="C168" s="34" t="n"/>
      <c r="D168" s="37" t="n"/>
      <c r="E168" s="36" t="n"/>
      <c r="F168" s="34" t="n"/>
      <c r="G168" s="37" t="n"/>
      <c r="H168" s="24">
        <f>IF(A168="","",IF(F168="Sim","Paga",IF(D168="","Sem vencimento",IF(D168&lt;Config!$B$5,"Vencida","A vencer"))))</f>
        <v/>
      </c>
      <c r="I168" s="30">
        <f>IF(H168="Vencida",Config!$B$5-D168,"")</f>
        <v/>
      </c>
      <c r="J168" s="30">
        <f>IF(H168="A vencer",D168-Config!$B$5,"")</f>
        <v/>
      </c>
      <c r="K168" s="24">
        <f>IF(H168&lt;&gt;"Vencida","",IF(COUNTIF(Config!$A$10:$A$13,"&lt;="&amp;I168)=0,"Antes da régua",INDEX(Config!$C$10:$C$13,COUNTIF(Config!$A$10:$A$13,"&lt;="&amp;I168))))</f>
        <v/>
      </c>
      <c r="L168" s="23">
        <f>IF(H168&lt;&gt;"Vencida","",IF(COUNTIF(Config!$A$10:$A$13,"&lt;="&amp;I168)=0,"Aguardar: ainda não chegou ao primeiro passo da régua.",INDEX(Config!$B$10:$B$13,COUNTIF(Config!$A$10:$A$13,"&lt;="&amp;I168))))</f>
        <v/>
      </c>
      <c r="M168" s="38">
        <f>IF(H168="Vencida",E168*I168+ROW()/100000,0)</f>
        <v>0</v>
      </c>
      <c r="N168" s="38">
        <f>IF(AND(H168="A vencer",J168&lt;=Config!$B$7),100000-J168-ROW()/100000,0)</f>
        <v>0</v>
      </c>
    </row>
    <row r="169">
      <c r="A169" s="32" t="n"/>
      <c r="B169" s="23">
        <f>IF(A169="","",IFERROR(INDEX(Casos!$B$5:$B$204,MATCH(A169,Casos!$A$5:$A$204,0)),""))</f>
        <v/>
      </c>
      <c r="C169" s="34" t="n"/>
      <c r="D169" s="37" t="n"/>
      <c r="E169" s="36" t="n"/>
      <c r="F169" s="34" t="n"/>
      <c r="G169" s="37" t="n"/>
      <c r="H169" s="24">
        <f>IF(A169="","",IF(F169="Sim","Paga",IF(D169="","Sem vencimento",IF(D169&lt;Config!$B$5,"Vencida","A vencer"))))</f>
        <v/>
      </c>
      <c r="I169" s="30">
        <f>IF(H169="Vencida",Config!$B$5-D169,"")</f>
        <v/>
      </c>
      <c r="J169" s="30">
        <f>IF(H169="A vencer",D169-Config!$B$5,"")</f>
        <v/>
      </c>
      <c r="K169" s="24">
        <f>IF(H169&lt;&gt;"Vencida","",IF(COUNTIF(Config!$A$10:$A$13,"&lt;="&amp;I169)=0,"Antes da régua",INDEX(Config!$C$10:$C$13,COUNTIF(Config!$A$10:$A$13,"&lt;="&amp;I169))))</f>
        <v/>
      </c>
      <c r="L169" s="23">
        <f>IF(H169&lt;&gt;"Vencida","",IF(COUNTIF(Config!$A$10:$A$13,"&lt;="&amp;I169)=0,"Aguardar: ainda não chegou ao primeiro passo da régua.",INDEX(Config!$B$10:$B$13,COUNTIF(Config!$A$10:$A$13,"&lt;="&amp;I169))))</f>
        <v/>
      </c>
      <c r="M169" s="38">
        <f>IF(H169="Vencida",E169*I169+ROW()/100000,0)</f>
        <v>0</v>
      </c>
      <c r="N169" s="38">
        <f>IF(AND(H169="A vencer",J169&lt;=Config!$B$7),100000-J169-ROW()/100000,0)</f>
        <v>0</v>
      </c>
    </row>
    <row r="170">
      <c r="A170" s="32" t="n"/>
      <c r="B170" s="23">
        <f>IF(A170="","",IFERROR(INDEX(Casos!$B$5:$B$204,MATCH(A170,Casos!$A$5:$A$204,0)),""))</f>
        <v/>
      </c>
      <c r="C170" s="34" t="n"/>
      <c r="D170" s="37" t="n"/>
      <c r="E170" s="36" t="n"/>
      <c r="F170" s="34" t="n"/>
      <c r="G170" s="37" t="n"/>
      <c r="H170" s="24">
        <f>IF(A170="","",IF(F170="Sim","Paga",IF(D170="","Sem vencimento",IF(D170&lt;Config!$B$5,"Vencida","A vencer"))))</f>
        <v/>
      </c>
      <c r="I170" s="30">
        <f>IF(H170="Vencida",Config!$B$5-D170,"")</f>
        <v/>
      </c>
      <c r="J170" s="30">
        <f>IF(H170="A vencer",D170-Config!$B$5,"")</f>
        <v/>
      </c>
      <c r="K170" s="24">
        <f>IF(H170&lt;&gt;"Vencida","",IF(COUNTIF(Config!$A$10:$A$13,"&lt;="&amp;I170)=0,"Antes da régua",INDEX(Config!$C$10:$C$13,COUNTIF(Config!$A$10:$A$13,"&lt;="&amp;I170))))</f>
        <v/>
      </c>
      <c r="L170" s="23">
        <f>IF(H170&lt;&gt;"Vencida","",IF(COUNTIF(Config!$A$10:$A$13,"&lt;="&amp;I170)=0,"Aguardar: ainda não chegou ao primeiro passo da régua.",INDEX(Config!$B$10:$B$13,COUNTIF(Config!$A$10:$A$13,"&lt;="&amp;I170))))</f>
        <v/>
      </c>
      <c r="M170" s="38">
        <f>IF(H170="Vencida",E170*I170+ROW()/100000,0)</f>
        <v>0</v>
      </c>
      <c r="N170" s="38">
        <f>IF(AND(H170="A vencer",J170&lt;=Config!$B$7),100000-J170-ROW()/100000,0)</f>
        <v>0</v>
      </c>
    </row>
    <row r="171">
      <c r="A171" s="32" t="n"/>
      <c r="B171" s="23">
        <f>IF(A171="","",IFERROR(INDEX(Casos!$B$5:$B$204,MATCH(A171,Casos!$A$5:$A$204,0)),""))</f>
        <v/>
      </c>
      <c r="C171" s="34" t="n"/>
      <c r="D171" s="37" t="n"/>
      <c r="E171" s="36" t="n"/>
      <c r="F171" s="34" t="n"/>
      <c r="G171" s="37" t="n"/>
      <c r="H171" s="24">
        <f>IF(A171="","",IF(F171="Sim","Paga",IF(D171="","Sem vencimento",IF(D171&lt;Config!$B$5,"Vencida","A vencer"))))</f>
        <v/>
      </c>
      <c r="I171" s="30">
        <f>IF(H171="Vencida",Config!$B$5-D171,"")</f>
        <v/>
      </c>
      <c r="J171" s="30">
        <f>IF(H171="A vencer",D171-Config!$B$5,"")</f>
        <v/>
      </c>
      <c r="K171" s="24">
        <f>IF(H171&lt;&gt;"Vencida","",IF(COUNTIF(Config!$A$10:$A$13,"&lt;="&amp;I171)=0,"Antes da régua",INDEX(Config!$C$10:$C$13,COUNTIF(Config!$A$10:$A$13,"&lt;="&amp;I171))))</f>
        <v/>
      </c>
      <c r="L171" s="23">
        <f>IF(H171&lt;&gt;"Vencida","",IF(COUNTIF(Config!$A$10:$A$13,"&lt;="&amp;I171)=0,"Aguardar: ainda não chegou ao primeiro passo da régua.",INDEX(Config!$B$10:$B$13,COUNTIF(Config!$A$10:$A$13,"&lt;="&amp;I171))))</f>
        <v/>
      </c>
      <c r="M171" s="38">
        <f>IF(H171="Vencida",E171*I171+ROW()/100000,0)</f>
        <v>0</v>
      </c>
      <c r="N171" s="38">
        <f>IF(AND(H171="A vencer",J171&lt;=Config!$B$7),100000-J171-ROW()/100000,0)</f>
        <v>0</v>
      </c>
    </row>
    <row r="172">
      <c r="A172" s="32" t="n"/>
      <c r="B172" s="23">
        <f>IF(A172="","",IFERROR(INDEX(Casos!$B$5:$B$204,MATCH(A172,Casos!$A$5:$A$204,0)),""))</f>
        <v/>
      </c>
      <c r="C172" s="34" t="n"/>
      <c r="D172" s="37" t="n"/>
      <c r="E172" s="36" t="n"/>
      <c r="F172" s="34" t="n"/>
      <c r="G172" s="37" t="n"/>
      <c r="H172" s="24">
        <f>IF(A172="","",IF(F172="Sim","Paga",IF(D172="","Sem vencimento",IF(D172&lt;Config!$B$5,"Vencida","A vencer"))))</f>
        <v/>
      </c>
      <c r="I172" s="30">
        <f>IF(H172="Vencida",Config!$B$5-D172,"")</f>
        <v/>
      </c>
      <c r="J172" s="30">
        <f>IF(H172="A vencer",D172-Config!$B$5,"")</f>
        <v/>
      </c>
      <c r="K172" s="24">
        <f>IF(H172&lt;&gt;"Vencida","",IF(COUNTIF(Config!$A$10:$A$13,"&lt;="&amp;I172)=0,"Antes da régua",INDEX(Config!$C$10:$C$13,COUNTIF(Config!$A$10:$A$13,"&lt;="&amp;I172))))</f>
        <v/>
      </c>
      <c r="L172" s="23">
        <f>IF(H172&lt;&gt;"Vencida","",IF(COUNTIF(Config!$A$10:$A$13,"&lt;="&amp;I172)=0,"Aguardar: ainda não chegou ao primeiro passo da régua.",INDEX(Config!$B$10:$B$13,COUNTIF(Config!$A$10:$A$13,"&lt;="&amp;I172))))</f>
        <v/>
      </c>
      <c r="M172" s="38">
        <f>IF(H172="Vencida",E172*I172+ROW()/100000,0)</f>
        <v>0</v>
      </c>
      <c r="N172" s="38">
        <f>IF(AND(H172="A vencer",J172&lt;=Config!$B$7),100000-J172-ROW()/100000,0)</f>
        <v>0</v>
      </c>
    </row>
    <row r="173">
      <c r="A173" s="32" t="n"/>
      <c r="B173" s="23">
        <f>IF(A173="","",IFERROR(INDEX(Casos!$B$5:$B$204,MATCH(A173,Casos!$A$5:$A$204,0)),""))</f>
        <v/>
      </c>
      <c r="C173" s="34" t="n"/>
      <c r="D173" s="37" t="n"/>
      <c r="E173" s="36" t="n"/>
      <c r="F173" s="34" t="n"/>
      <c r="G173" s="37" t="n"/>
      <c r="H173" s="24">
        <f>IF(A173="","",IF(F173="Sim","Paga",IF(D173="","Sem vencimento",IF(D173&lt;Config!$B$5,"Vencida","A vencer"))))</f>
        <v/>
      </c>
      <c r="I173" s="30">
        <f>IF(H173="Vencida",Config!$B$5-D173,"")</f>
        <v/>
      </c>
      <c r="J173" s="30">
        <f>IF(H173="A vencer",D173-Config!$B$5,"")</f>
        <v/>
      </c>
      <c r="K173" s="24">
        <f>IF(H173&lt;&gt;"Vencida","",IF(COUNTIF(Config!$A$10:$A$13,"&lt;="&amp;I173)=0,"Antes da régua",INDEX(Config!$C$10:$C$13,COUNTIF(Config!$A$10:$A$13,"&lt;="&amp;I173))))</f>
        <v/>
      </c>
      <c r="L173" s="23">
        <f>IF(H173&lt;&gt;"Vencida","",IF(COUNTIF(Config!$A$10:$A$13,"&lt;="&amp;I173)=0,"Aguardar: ainda não chegou ao primeiro passo da régua.",INDEX(Config!$B$10:$B$13,COUNTIF(Config!$A$10:$A$13,"&lt;="&amp;I173))))</f>
        <v/>
      </c>
      <c r="M173" s="38">
        <f>IF(H173="Vencida",E173*I173+ROW()/100000,0)</f>
        <v>0</v>
      </c>
      <c r="N173" s="38">
        <f>IF(AND(H173="A vencer",J173&lt;=Config!$B$7),100000-J173-ROW()/100000,0)</f>
        <v>0</v>
      </c>
    </row>
    <row r="174">
      <c r="A174" s="32" t="n"/>
      <c r="B174" s="23">
        <f>IF(A174="","",IFERROR(INDEX(Casos!$B$5:$B$204,MATCH(A174,Casos!$A$5:$A$204,0)),""))</f>
        <v/>
      </c>
      <c r="C174" s="34" t="n"/>
      <c r="D174" s="37" t="n"/>
      <c r="E174" s="36" t="n"/>
      <c r="F174" s="34" t="n"/>
      <c r="G174" s="37" t="n"/>
      <c r="H174" s="24">
        <f>IF(A174="","",IF(F174="Sim","Paga",IF(D174="","Sem vencimento",IF(D174&lt;Config!$B$5,"Vencida","A vencer"))))</f>
        <v/>
      </c>
      <c r="I174" s="30">
        <f>IF(H174="Vencida",Config!$B$5-D174,"")</f>
        <v/>
      </c>
      <c r="J174" s="30">
        <f>IF(H174="A vencer",D174-Config!$B$5,"")</f>
        <v/>
      </c>
      <c r="K174" s="24">
        <f>IF(H174&lt;&gt;"Vencida","",IF(COUNTIF(Config!$A$10:$A$13,"&lt;="&amp;I174)=0,"Antes da régua",INDEX(Config!$C$10:$C$13,COUNTIF(Config!$A$10:$A$13,"&lt;="&amp;I174))))</f>
        <v/>
      </c>
      <c r="L174" s="23">
        <f>IF(H174&lt;&gt;"Vencida","",IF(COUNTIF(Config!$A$10:$A$13,"&lt;="&amp;I174)=0,"Aguardar: ainda não chegou ao primeiro passo da régua.",INDEX(Config!$B$10:$B$13,COUNTIF(Config!$A$10:$A$13,"&lt;="&amp;I174))))</f>
        <v/>
      </c>
      <c r="M174" s="38">
        <f>IF(H174="Vencida",E174*I174+ROW()/100000,0)</f>
        <v>0</v>
      </c>
      <c r="N174" s="38">
        <f>IF(AND(H174="A vencer",J174&lt;=Config!$B$7),100000-J174-ROW()/100000,0)</f>
        <v>0</v>
      </c>
    </row>
    <row r="175">
      <c r="A175" s="32" t="n"/>
      <c r="B175" s="23">
        <f>IF(A175="","",IFERROR(INDEX(Casos!$B$5:$B$204,MATCH(A175,Casos!$A$5:$A$204,0)),""))</f>
        <v/>
      </c>
      <c r="C175" s="34" t="n"/>
      <c r="D175" s="37" t="n"/>
      <c r="E175" s="36" t="n"/>
      <c r="F175" s="34" t="n"/>
      <c r="G175" s="37" t="n"/>
      <c r="H175" s="24">
        <f>IF(A175="","",IF(F175="Sim","Paga",IF(D175="","Sem vencimento",IF(D175&lt;Config!$B$5,"Vencida","A vencer"))))</f>
        <v/>
      </c>
      <c r="I175" s="30">
        <f>IF(H175="Vencida",Config!$B$5-D175,"")</f>
        <v/>
      </c>
      <c r="J175" s="30">
        <f>IF(H175="A vencer",D175-Config!$B$5,"")</f>
        <v/>
      </c>
      <c r="K175" s="24">
        <f>IF(H175&lt;&gt;"Vencida","",IF(COUNTIF(Config!$A$10:$A$13,"&lt;="&amp;I175)=0,"Antes da régua",INDEX(Config!$C$10:$C$13,COUNTIF(Config!$A$10:$A$13,"&lt;="&amp;I175))))</f>
        <v/>
      </c>
      <c r="L175" s="23">
        <f>IF(H175&lt;&gt;"Vencida","",IF(COUNTIF(Config!$A$10:$A$13,"&lt;="&amp;I175)=0,"Aguardar: ainda não chegou ao primeiro passo da régua.",INDEX(Config!$B$10:$B$13,COUNTIF(Config!$A$10:$A$13,"&lt;="&amp;I175))))</f>
        <v/>
      </c>
      <c r="M175" s="38">
        <f>IF(H175="Vencida",E175*I175+ROW()/100000,0)</f>
        <v>0</v>
      </c>
      <c r="N175" s="38">
        <f>IF(AND(H175="A vencer",J175&lt;=Config!$B$7),100000-J175-ROW()/100000,0)</f>
        <v>0</v>
      </c>
    </row>
    <row r="176">
      <c r="A176" s="32" t="n"/>
      <c r="B176" s="23">
        <f>IF(A176="","",IFERROR(INDEX(Casos!$B$5:$B$204,MATCH(A176,Casos!$A$5:$A$204,0)),""))</f>
        <v/>
      </c>
      <c r="C176" s="34" t="n"/>
      <c r="D176" s="37" t="n"/>
      <c r="E176" s="36" t="n"/>
      <c r="F176" s="34" t="n"/>
      <c r="G176" s="37" t="n"/>
      <c r="H176" s="24">
        <f>IF(A176="","",IF(F176="Sim","Paga",IF(D176="","Sem vencimento",IF(D176&lt;Config!$B$5,"Vencida","A vencer"))))</f>
        <v/>
      </c>
      <c r="I176" s="30">
        <f>IF(H176="Vencida",Config!$B$5-D176,"")</f>
        <v/>
      </c>
      <c r="J176" s="30">
        <f>IF(H176="A vencer",D176-Config!$B$5,"")</f>
        <v/>
      </c>
      <c r="K176" s="24">
        <f>IF(H176&lt;&gt;"Vencida","",IF(COUNTIF(Config!$A$10:$A$13,"&lt;="&amp;I176)=0,"Antes da régua",INDEX(Config!$C$10:$C$13,COUNTIF(Config!$A$10:$A$13,"&lt;="&amp;I176))))</f>
        <v/>
      </c>
      <c r="L176" s="23">
        <f>IF(H176&lt;&gt;"Vencida","",IF(COUNTIF(Config!$A$10:$A$13,"&lt;="&amp;I176)=0,"Aguardar: ainda não chegou ao primeiro passo da régua.",INDEX(Config!$B$10:$B$13,COUNTIF(Config!$A$10:$A$13,"&lt;="&amp;I176))))</f>
        <v/>
      </c>
      <c r="M176" s="38">
        <f>IF(H176="Vencida",E176*I176+ROW()/100000,0)</f>
        <v>0</v>
      </c>
      <c r="N176" s="38">
        <f>IF(AND(H176="A vencer",J176&lt;=Config!$B$7),100000-J176-ROW()/100000,0)</f>
        <v>0</v>
      </c>
    </row>
    <row r="177">
      <c r="A177" s="32" t="n"/>
      <c r="B177" s="23">
        <f>IF(A177="","",IFERROR(INDEX(Casos!$B$5:$B$204,MATCH(A177,Casos!$A$5:$A$204,0)),""))</f>
        <v/>
      </c>
      <c r="C177" s="34" t="n"/>
      <c r="D177" s="37" t="n"/>
      <c r="E177" s="36" t="n"/>
      <c r="F177" s="34" t="n"/>
      <c r="G177" s="37" t="n"/>
      <c r="H177" s="24">
        <f>IF(A177="","",IF(F177="Sim","Paga",IF(D177="","Sem vencimento",IF(D177&lt;Config!$B$5,"Vencida","A vencer"))))</f>
        <v/>
      </c>
      <c r="I177" s="30">
        <f>IF(H177="Vencida",Config!$B$5-D177,"")</f>
        <v/>
      </c>
      <c r="J177" s="30">
        <f>IF(H177="A vencer",D177-Config!$B$5,"")</f>
        <v/>
      </c>
      <c r="K177" s="24">
        <f>IF(H177&lt;&gt;"Vencida","",IF(COUNTIF(Config!$A$10:$A$13,"&lt;="&amp;I177)=0,"Antes da régua",INDEX(Config!$C$10:$C$13,COUNTIF(Config!$A$10:$A$13,"&lt;="&amp;I177))))</f>
        <v/>
      </c>
      <c r="L177" s="23">
        <f>IF(H177&lt;&gt;"Vencida","",IF(COUNTIF(Config!$A$10:$A$13,"&lt;="&amp;I177)=0,"Aguardar: ainda não chegou ao primeiro passo da régua.",INDEX(Config!$B$10:$B$13,COUNTIF(Config!$A$10:$A$13,"&lt;="&amp;I177))))</f>
        <v/>
      </c>
      <c r="M177" s="38">
        <f>IF(H177="Vencida",E177*I177+ROW()/100000,0)</f>
        <v>0</v>
      </c>
      <c r="N177" s="38">
        <f>IF(AND(H177="A vencer",J177&lt;=Config!$B$7),100000-J177-ROW()/100000,0)</f>
        <v>0</v>
      </c>
    </row>
    <row r="178">
      <c r="A178" s="32" t="n"/>
      <c r="B178" s="23">
        <f>IF(A178="","",IFERROR(INDEX(Casos!$B$5:$B$204,MATCH(A178,Casos!$A$5:$A$204,0)),""))</f>
        <v/>
      </c>
      <c r="C178" s="34" t="n"/>
      <c r="D178" s="37" t="n"/>
      <c r="E178" s="36" t="n"/>
      <c r="F178" s="34" t="n"/>
      <c r="G178" s="37" t="n"/>
      <c r="H178" s="24">
        <f>IF(A178="","",IF(F178="Sim","Paga",IF(D178="","Sem vencimento",IF(D178&lt;Config!$B$5,"Vencida","A vencer"))))</f>
        <v/>
      </c>
      <c r="I178" s="30">
        <f>IF(H178="Vencida",Config!$B$5-D178,"")</f>
        <v/>
      </c>
      <c r="J178" s="30">
        <f>IF(H178="A vencer",D178-Config!$B$5,"")</f>
        <v/>
      </c>
      <c r="K178" s="24">
        <f>IF(H178&lt;&gt;"Vencida","",IF(COUNTIF(Config!$A$10:$A$13,"&lt;="&amp;I178)=0,"Antes da régua",INDEX(Config!$C$10:$C$13,COUNTIF(Config!$A$10:$A$13,"&lt;="&amp;I178))))</f>
        <v/>
      </c>
      <c r="L178" s="23">
        <f>IF(H178&lt;&gt;"Vencida","",IF(COUNTIF(Config!$A$10:$A$13,"&lt;="&amp;I178)=0,"Aguardar: ainda não chegou ao primeiro passo da régua.",INDEX(Config!$B$10:$B$13,COUNTIF(Config!$A$10:$A$13,"&lt;="&amp;I178))))</f>
        <v/>
      </c>
      <c r="M178" s="38">
        <f>IF(H178="Vencida",E178*I178+ROW()/100000,0)</f>
        <v>0</v>
      </c>
      <c r="N178" s="38">
        <f>IF(AND(H178="A vencer",J178&lt;=Config!$B$7),100000-J178-ROW()/100000,0)</f>
        <v>0</v>
      </c>
    </row>
    <row r="179">
      <c r="A179" s="32" t="n"/>
      <c r="B179" s="23">
        <f>IF(A179="","",IFERROR(INDEX(Casos!$B$5:$B$204,MATCH(A179,Casos!$A$5:$A$204,0)),""))</f>
        <v/>
      </c>
      <c r="C179" s="34" t="n"/>
      <c r="D179" s="37" t="n"/>
      <c r="E179" s="36" t="n"/>
      <c r="F179" s="34" t="n"/>
      <c r="G179" s="37" t="n"/>
      <c r="H179" s="24">
        <f>IF(A179="","",IF(F179="Sim","Paga",IF(D179="","Sem vencimento",IF(D179&lt;Config!$B$5,"Vencida","A vencer"))))</f>
        <v/>
      </c>
      <c r="I179" s="30">
        <f>IF(H179="Vencida",Config!$B$5-D179,"")</f>
        <v/>
      </c>
      <c r="J179" s="30">
        <f>IF(H179="A vencer",D179-Config!$B$5,"")</f>
        <v/>
      </c>
      <c r="K179" s="24">
        <f>IF(H179&lt;&gt;"Vencida","",IF(COUNTIF(Config!$A$10:$A$13,"&lt;="&amp;I179)=0,"Antes da régua",INDEX(Config!$C$10:$C$13,COUNTIF(Config!$A$10:$A$13,"&lt;="&amp;I179))))</f>
        <v/>
      </c>
      <c r="L179" s="23">
        <f>IF(H179&lt;&gt;"Vencida","",IF(COUNTIF(Config!$A$10:$A$13,"&lt;="&amp;I179)=0,"Aguardar: ainda não chegou ao primeiro passo da régua.",INDEX(Config!$B$10:$B$13,COUNTIF(Config!$A$10:$A$13,"&lt;="&amp;I179))))</f>
        <v/>
      </c>
      <c r="M179" s="38">
        <f>IF(H179="Vencida",E179*I179+ROW()/100000,0)</f>
        <v>0</v>
      </c>
      <c r="N179" s="38">
        <f>IF(AND(H179="A vencer",J179&lt;=Config!$B$7),100000-J179-ROW()/100000,0)</f>
        <v>0</v>
      </c>
    </row>
    <row r="180">
      <c r="A180" s="32" t="n"/>
      <c r="B180" s="23">
        <f>IF(A180="","",IFERROR(INDEX(Casos!$B$5:$B$204,MATCH(A180,Casos!$A$5:$A$204,0)),""))</f>
        <v/>
      </c>
      <c r="C180" s="34" t="n"/>
      <c r="D180" s="37" t="n"/>
      <c r="E180" s="36" t="n"/>
      <c r="F180" s="34" t="n"/>
      <c r="G180" s="37" t="n"/>
      <c r="H180" s="24">
        <f>IF(A180="","",IF(F180="Sim","Paga",IF(D180="","Sem vencimento",IF(D180&lt;Config!$B$5,"Vencida","A vencer"))))</f>
        <v/>
      </c>
      <c r="I180" s="30">
        <f>IF(H180="Vencida",Config!$B$5-D180,"")</f>
        <v/>
      </c>
      <c r="J180" s="30">
        <f>IF(H180="A vencer",D180-Config!$B$5,"")</f>
        <v/>
      </c>
      <c r="K180" s="24">
        <f>IF(H180&lt;&gt;"Vencida","",IF(COUNTIF(Config!$A$10:$A$13,"&lt;="&amp;I180)=0,"Antes da régua",INDEX(Config!$C$10:$C$13,COUNTIF(Config!$A$10:$A$13,"&lt;="&amp;I180))))</f>
        <v/>
      </c>
      <c r="L180" s="23">
        <f>IF(H180&lt;&gt;"Vencida","",IF(COUNTIF(Config!$A$10:$A$13,"&lt;="&amp;I180)=0,"Aguardar: ainda não chegou ao primeiro passo da régua.",INDEX(Config!$B$10:$B$13,COUNTIF(Config!$A$10:$A$13,"&lt;="&amp;I180))))</f>
        <v/>
      </c>
      <c r="M180" s="38">
        <f>IF(H180="Vencida",E180*I180+ROW()/100000,0)</f>
        <v>0</v>
      </c>
      <c r="N180" s="38">
        <f>IF(AND(H180="A vencer",J180&lt;=Config!$B$7),100000-J180-ROW()/100000,0)</f>
        <v>0</v>
      </c>
    </row>
    <row r="181">
      <c r="A181" s="32" t="n"/>
      <c r="B181" s="23">
        <f>IF(A181="","",IFERROR(INDEX(Casos!$B$5:$B$204,MATCH(A181,Casos!$A$5:$A$204,0)),""))</f>
        <v/>
      </c>
      <c r="C181" s="34" t="n"/>
      <c r="D181" s="37" t="n"/>
      <c r="E181" s="36" t="n"/>
      <c r="F181" s="34" t="n"/>
      <c r="G181" s="37" t="n"/>
      <c r="H181" s="24">
        <f>IF(A181="","",IF(F181="Sim","Paga",IF(D181="","Sem vencimento",IF(D181&lt;Config!$B$5,"Vencida","A vencer"))))</f>
        <v/>
      </c>
      <c r="I181" s="30">
        <f>IF(H181="Vencida",Config!$B$5-D181,"")</f>
        <v/>
      </c>
      <c r="J181" s="30">
        <f>IF(H181="A vencer",D181-Config!$B$5,"")</f>
        <v/>
      </c>
      <c r="K181" s="24">
        <f>IF(H181&lt;&gt;"Vencida","",IF(COUNTIF(Config!$A$10:$A$13,"&lt;="&amp;I181)=0,"Antes da régua",INDEX(Config!$C$10:$C$13,COUNTIF(Config!$A$10:$A$13,"&lt;="&amp;I181))))</f>
        <v/>
      </c>
      <c r="L181" s="23">
        <f>IF(H181&lt;&gt;"Vencida","",IF(COUNTIF(Config!$A$10:$A$13,"&lt;="&amp;I181)=0,"Aguardar: ainda não chegou ao primeiro passo da régua.",INDEX(Config!$B$10:$B$13,COUNTIF(Config!$A$10:$A$13,"&lt;="&amp;I181))))</f>
        <v/>
      </c>
      <c r="M181" s="38">
        <f>IF(H181="Vencida",E181*I181+ROW()/100000,0)</f>
        <v>0</v>
      </c>
      <c r="N181" s="38">
        <f>IF(AND(H181="A vencer",J181&lt;=Config!$B$7),100000-J181-ROW()/100000,0)</f>
        <v>0</v>
      </c>
    </row>
    <row r="182">
      <c r="A182" s="32" t="n"/>
      <c r="B182" s="23">
        <f>IF(A182="","",IFERROR(INDEX(Casos!$B$5:$B$204,MATCH(A182,Casos!$A$5:$A$204,0)),""))</f>
        <v/>
      </c>
      <c r="C182" s="34" t="n"/>
      <c r="D182" s="37" t="n"/>
      <c r="E182" s="36" t="n"/>
      <c r="F182" s="34" t="n"/>
      <c r="G182" s="37" t="n"/>
      <c r="H182" s="24">
        <f>IF(A182="","",IF(F182="Sim","Paga",IF(D182="","Sem vencimento",IF(D182&lt;Config!$B$5,"Vencida","A vencer"))))</f>
        <v/>
      </c>
      <c r="I182" s="30">
        <f>IF(H182="Vencida",Config!$B$5-D182,"")</f>
        <v/>
      </c>
      <c r="J182" s="30">
        <f>IF(H182="A vencer",D182-Config!$B$5,"")</f>
        <v/>
      </c>
      <c r="K182" s="24">
        <f>IF(H182&lt;&gt;"Vencida","",IF(COUNTIF(Config!$A$10:$A$13,"&lt;="&amp;I182)=0,"Antes da régua",INDEX(Config!$C$10:$C$13,COUNTIF(Config!$A$10:$A$13,"&lt;="&amp;I182))))</f>
        <v/>
      </c>
      <c r="L182" s="23">
        <f>IF(H182&lt;&gt;"Vencida","",IF(COUNTIF(Config!$A$10:$A$13,"&lt;="&amp;I182)=0,"Aguardar: ainda não chegou ao primeiro passo da régua.",INDEX(Config!$B$10:$B$13,COUNTIF(Config!$A$10:$A$13,"&lt;="&amp;I182))))</f>
        <v/>
      </c>
      <c r="M182" s="38">
        <f>IF(H182="Vencida",E182*I182+ROW()/100000,0)</f>
        <v>0</v>
      </c>
      <c r="N182" s="38">
        <f>IF(AND(H182="A vencer",J182&lt;=Config!$B$7),100000-J182-ROW()/100000,0)</f>
        <v>0</v>
      </c>
    </row>
    <row r="183">
      <c r="A183" s="32" t="n"/>
      <c r="B183" s="23">
        <f>IF(A183="","",IFERROR(INDEX(Casos!$B$5:$B$204,MATCH(A183,Casos!$A$5:$A$204,0)),""))</f>
        <v/>
      </c>
      <c r="C183" s="34" t="n"/>
      <c r="D183" s="37" t="n"/>
      <c r="E183" s="36" t="n"/>
      <c r="F183" s="34" t="n"/>
      <c r="G183" s="37" t="n"/>
      <c r="H183" s="24">
        <f>IF(A183="","",IF(F183="Sim","Paga",IF(D183="","Sem vencimento",IF(D183&lt;Config!$B$5,"Vencida","A vencer"))))</f>
        <v/>
      </c>
      <c r="I183" s="30">
        <f>IF(H183="Vencida",Config!$B$5-D183,"")</f>
        <v/>
      </c>
      <c r="J183" s="30">
        <f>IF(H183="A vencer",D183-Config!$B$5,"")</f>
        <v/>
      </c>
      <c r="K183" s="24">
        <f>IF(H183&lt;&gt;"Vencida","",IF(COUNTIF(Config!$A$10:$A$13,"&lt;="&amp;I183)=0,"Antes da régua",INDEX(Config!$C$10:$C$13,COUNTIF(Config!$A$10:$A$13,"&lt;="&amp;I183))))</f>
        <v/>
      </c>
      <c r="L183" s="23">
        <f>IF(H183&lt;&gt;"Vencida","",IF(COUNTIF(Config!$A$10:$A$13,"&lt;="&amp;I183)=0,"Aguardar: ainda não chegou ao primeiro passo da régua.",INDEX(Config!$B$10:$B$13,COUNTIF(Config!$A$10:$A$13,"&lt;="&amp;I183))))</f>
        <v/>
      </c>
      <c r="M183" s="38">
        <f>IF(H183="Vencida",E183*I183+ROW()/100000,0)</f>
        <v>0</v>
      </c>
      <c r="N183" s="38">
        <f>IF(AND(H183="A vencer",J183&lt;=Config!$B$7),100000-J183-ROW()/100000,0)</f>
        <v>0</v>
      </c>
    </row>
    <row r="184">
      <c r="A184" s="32" t="n"/>
      <c r="B184" s="23">
        <f>IF(A184="","",IFERROR(INDEX(Casos!$B$5:$B$204,MATCH(A184,Casos!$A$5:$A$204,0)),""))</f>
        <v/>
      </c>
      <c r="C184" s="34" t="n"/>
      <c r="D184" s="37" t="n"/>
      <c r="E184" s="36" t="n"/>
      <c r="F184" s="34" t="n"/>
      <c r="G184" s="37" t="n"/>
      <c r="H184" s="24">
        <f>IF(A184="","",IF(F184="Sim","Paga",IF(D184="","Sem vencimento",IF(D184&lt;Config!$B$5,"Vencida","A vencer"))))</f>
        <v/>
      </c>
      <c r="I184" s="30">
        <f>IF(H184="Vencida",Config!$B$5-D184,"")</f>
        <v/>
      </c>
      <c r="J184" s="30">
        <f>IF(H184="A vencer",D184-Config!$B$5,"")</f>
        <v/>
      </c>
      <c r="K184" s="24">
        <f>IF(H184&lt;&gt;"Vencida","",IF(COUNTIF(Config!$A$10:$A$13,"&lt;="&amp;I184)=0,"Antes da régua",INDEX(Config!$C$10:$C$13,COUNTIF(Config!$A$10:$A$13,"&lt;="&amp;I184))))</f>
        <v/>
      </c>
      <c r="L184" s="23">
        <f>IF(H184&lt;&gt;"Vencida","",IF(COUNTIF(Config!$A$10:$A$13,"&lt;="&amp;I184)=0,"Aguardar: ainda não chegou ao primeiro passo da régua.",INDEX(Config!$B$10:$B$13,COUNTIF(Config!$A$10:$A$13,"&lt;="&amp;I184))))</f>
        <v/>
      </c>
      <c r="M184" s="38">
        <f>IF(H184="Vencida",E184*I184+ROW()/100000,0)</f>
        <v>0</v>
      </c>
      <c r="N184" s="38">
        <f>IF(AND(H184="A vencer",J184&lt;=Config!$B$7),100000-J184-ROW()/100000,0)</f>
        <v>0</v>
      </c>
    </row>
    <row r="185">
      <c r="A185" s="32" t="n"/>
      <c r="B185" s="23">
        <f>IF(A185="","",IFERROR(INDEX(Casos!$B$5:$B$204,MATCH(A185,Casos!$A$5:$A$204,0)),""))</f>
        <v/>
      </c>
      <c r="C185" s="34" t="n"/>
      <c r="D185" s="37" t="n"/>
      <c r="E185" s="36" t="n"/>
      <c r="F185" s="34" t="n"/>
      <c r="G185" s="37" t="n"/>
      <c r="H185" s="24">
        <f>IF(A185="","",IF(F185="Sim","Paga",IF(D185="","Sem vencimento",IF(D185&lt;Config!$B$5,"Vencida","A vencer"))))</f>
        <v/>
      </c>
      <c r="I185" s="30">
        <f>IF(H185="Vencida",Config!$B$5-D185,"")</f>
        <v/>
      </c>
      <c r="J185" s="30">
        <f>IF(H185="A vencer",D185-Config!$B$5,"")</f>
        <v/>
      </c>
      <c r="K185" s="24">
        <f>IF(H185&lt;&gt;"Vencida","",IF(COUNTIF(Config!$A$10:$A$13,"&lt;="&amp;I185)=0,"Antes da régua",INDEX(Config!$C$10:$C$13,COUNTIF(Config!$A$10:$A$13,"&lt;="&amp;I185))))</f>
        <v/>
      </c>
      <c r="L185" s="23">
        <f>IF(H185&lt;&gt;"Vencida","",IF(COUNTIF(Config!$A$10:$A$13,"&lt;="&amp;I185)=0,"Aguardar: ainda não chegou ao primeiro passo da régua.",INDEX(Config!$B$10:$B$13,COUNTIF(Config!$A$10:$A$13,"&lt;="&amp;I185))))</f>
        <v/>
      </c>
      <c r="M185" s="38">
        <f>IF(H185="Vencida",E185*I185+ROW()/100000,0)</f>
        <v>0</v>
      </c>
      <c r="N185" s="38">
        <f>IF(AND(H185="A vencer",J185&lt;=Config!$B$7),100000-J185-ROW()/100000,0)</f>
        <v>0</v>
      </c>
    </row>
    <row r="186">
      <c r="A186" s="32" t="n"/>
      <c r="B186" s="23">
        <f>IF(A186="","",IFERROR(INDEX(Casos!$B$5:$B$204,MATCH(A186,Casos!$A$5:$A$204,0)),""))</f>
        <v/>
      </c>
      <c r="C186" s="34" t="n"/>
      <c r="D186" s="37" t="n"/>
      <c r="E186" s="36" t="n"/>
      <c r="F186" s="34" t="n"/>
      <c r="G186" s="37" t="n"/>
      <c r="H186" s="24">
        <f>IF(A186="","",IF(F186="Sim","Paga",IF(D186="","Sem vencimento",IF(D186&lt;Config!$B$5,"Vencida","A vencer"))))</f>
        <v/>
      </c>
      <c r="I186" s="30">
        <f>IF(H186="Vencida",Config!$B$5-D186,"")</f>
        <v/>
      </c>
      <c r="J186" s="30">
        <f>IF(H186="A vencer",D186-Config!$B$5,"")</f>
        <v/>
      </c>
      <c r="K186" s="24">
        <f>IF(H186&lt;&gt;"Vencida","",IF(COUNTIF(Config!$A$10:$A$13,"&lt;="&amp;I186)=0,"Antes da régua",INDEX(Config!$C$10:$C$13,COUNTIF(Config!$A$10:$A$13,"&lt;="&amp;I186))))</f>
        <v/>
      </c>
      <c r="L186" s="23">
        <f>IF(H186&lt;&gt;"Vencida","",IF(COUNTIF(Config!$A$10:$A$13,"&lt;="&amp;I186)=0,"Aguardar: ainda não chegou ao primeiro passo da régua.",INDEX(Config!$B$10:$B$13,COUNTIF(Config!$A$10:$A$13,"&lt;="&amp;I186))))</f>
        <v/>
      </c>
      <c r="M186" s="38">
        <f>IF(H186="Vencida",E186*I186+ROW()/100000,0)</f>
        <v>0</v>
      </c>
      <c r="N186" s="38">
        <f>IF(AND(H186="A vencer",J186&lt;=Config!$B$7),100000-J186-ROW()/100000,0)</f>
        <v>0</v>
      </c>
    </row>
    <row r="187">
      <c r="A187" s="32" t="n"/>
      <c r="B187" s="23">
        <f>IF(A187="","",IFERROR(INDEX(Casos!$B$5:$B$204,MATCH(A187,Casos!$A$5:$A$204,0)),""))</f>
        <v/>
      </c>
      <c r="C187" s="34" t="n"/>
      <c r="D187" s="37" t="n"/>
      <c r="E187" s="36" t="n"/>
      <c r="F187" s="34" t="n"/>
      <c r="G187" s="37" t="n"/>
      <c r="H187" s="24">
        <f>IF(A187="","",IF(F187="Sim","Paga",IF(D187="","Sem vencimento",IF(D187&lt;Config!$B$5,"Vencida","A vencer"))))</f>
        <v/>
      </c>
      <c r="I187" s="30">
        <f>IF(H187="Vencida",Config!$B$5-D187,"")</f>
        <v/>
      </c>
      <c r="J187" s="30">
        <f>IF(H187="A vencer",D187-Config!$B$5,"")</f>
        <v/>
      </c>
      <c r="K187" s="24">
        <f>IF(H187&lt;&gt;"Vencida","",IF(COUNTIF(Config!$A$10:$A$13,"&lt;="&amp;I187)=0,"Antes da régua",INDEX(Config!$C$10:$C$13,COUNTIF(Config!$A$10:$A$13,"&lt;="&amp;I187))))</f>
        <v/>
      </c>
      <c r="L187" s="23">
        <f>IF(H187&lt;&gt;"Vencida","",IF(COUNTIF(Config!$A$10:$A$13,"&lt;="&amp;I187)=0,"Aguardar: ainda não chegou ao primeiro passo da régua.",INDEX(Config!$B$10:$B$13,COUNTIF(Config!$A$10:$A$13,"&lt;="&amp;I187))))</f>
        <v/>
      </c>
      <c r="M187" s="38">
        <f>IF(H187="Vencida",E187*I187+ROW()/100000,0)</f>
        <v>0</v>
      </c>
      <c r="N187" s="38">
        <f>IF(AND(H187="A vencer",J187&lt;=Config!$B$7),100000-J187-ROW()/100000,0)</f>
        <v>0</v>
      </c>
    </row>
    <row r="188">
      <c r="A188" s="32" t="n"/>
      <c r="B188" s="23">
        <f>IF(A188="","",IFERROR(INDEX(Casos!$B$5:$B$204,MATCH(A188,Casos!$A$5:$A$204,0)),""))</f>
        <v/>
      </c>
      <c r="C188" s="34" t="n"/>
      <c r="D188" s="37" t="n"/>
      <c r="E188" s="36" t="n"/>
      <c r="F188" s="34" t="n"/>
      <c r="G188" s="37" t="n"/>
      <c r="H188" s="24">
        <f>IF(A188="","",IF(F188="Sim","Paga",IF(D188="","Sem vencimento",IF(D188&lt;Config!$B$5,"Vencida","A vencer"))))</f>
        <v/>
      </c>
      <c r="I188" s="30">
        <f>IF(H188="Vencida",Config!$B$5-D188,"")</f>
        <v/>
      </c>
      <c r="J188" s="30">
        <f>IF(H188="A vencer",D188-Config!$B$5,"")</f>
        <v/>
      </c>
      <c r="K188" s="24">
        <f>IF(H188&lt;&gt;"Vencida","",IF(COUNTIF(Config!$A$10:$A$13,"&lt;="&amp;I188)=0,"Antes da régua",INDEX(Config!$C$10:$C$13,COUNTIF(Config!$A$10:$A$13,"&lt;="&amp;I188))))</f>
        <v/>
      </c>
      <c r="L188" s="23">
        <f>IF(H188&lt;&gt;"Vencida","",IF(COUNTIF(Config!$A$10:$A$13,"&lt;="&amp;I188)=0,"Aguardar: ainda não chegou ao primeiro passo da régua.",INDEX(Config!$B$10:$B$13,COUNTIF(Config!$A$10:$A$13,"&lt;="&amp;I188))))</f>
        <v/>
      </c>
      <c r="M188" s="38">
        <f>IF(H188="Vencida",E188*I188+ROW()/100000,0)</f>
        <v>0</v>
      </c>
      <c r="N188" s="38">
        <f>IF(AND(H188="A vencer",J188&lt;=Config!$B$7),100000-J188-ROW()/100000,0)</f>
        <v>0</v>
      </c>
    </row>
    <row r="189">
      <c r="A189" s="32" t="n"/>
      <c r="B189" s="23">
        <f>IF(A189="","",IFERROR(INDEX(Casos!$B$5:$B$204,MATCH(A189,Casos!$A$5:$A$204,0)),""))</f>
        <v/>
      </c>
      <c r="C189" s="34" t="n"/>
      <c r="D189" s="37" t="n"/>
      <c r="E189" s="36" t="n"/>
      <c r="F189" s="34" t="n"/>
      <c r="G189" s="37" t="n"/>
      <c r="H189" s="24">
        <f>IF(A189="","",IF(F189="Sim","Paga",IF(D189="","Sem vencimento",IF(D189&lt;Config!$B$5,"Vencida","A vencer"))))</f>
        <v/>
      </c>
      <c r="I189" s="30">
        <f>IF(H189="Vencida",Config!$B$5-D189,"")</f>
        <v/>
      </c>
      <c r="J189" s="30">
        <f>IF(H189="A vencer",D189-Config!$B$5,"")</f>
        <v/>
      </c>
      <c r="K189" s="24">
        <f>IF(H189&lt;&gt;"Vencida","",IF(COUNTIF(Config!$A$10:$A$13,"&lt;="&amp;I189)=0,"Antes da régua",INDEX(Config!$C$10:$C$13,COUNTIF(Config!$A$10:$A$13,"&lt;="&amp;I189))))</f>
        <v/>
      </c>
      <c r="L189" s="23">
        <f>IF(H189&lt;&gt;"Vencida","",IF(COUNTIF(Config!$A$10:$A$13,"&lt;="&amp;I189)=0,"Aguardar: ainda não chegou ao primeiro passo da régua.",INDEX(Config!$B$10:$B$13,COUNTIF(Config!$A$10:$A$13,"&lt;="&amp;I189))))</f>
        <v/>
      </c>
      <c r="M189" s="38">
        <f>IF(H189="Vencida",E189*I189+ROW()/100000,0)</f>
        <v>0</v>
      </c>
      <c r="N189" s="38">
        <f>IF(AND(H189="A vencer",J189&lt;=Config!$B$7),100000-J189-ROW()/100000,0)</f>
        <v>0</v>
      </c>
    </row>
    <row r="190">
      <c r="A190" s="32" t="n"/>
      <c r="B190" s="23">
        <f>IF(A190="","",IFERROR(INDEX(Casos!$B$5:$B$204,MATCH(A190,Casos!$A$5:$A$204,0)),""))</f>
        <v/>
      </c>
      <c r="C190" s="34" t="n"/>
      <c r="D190" s="37" t="n"/>
      <c r="E190" s="36" t="n"/>
      <c r="F190" s="34" t="n"/>
      <c r="G190" s="37" t="n"/>
      <c r="H190" s="24">
        <f>IF(A190="","",IF(F190="Sim","Paga",IF(D190="","Sem vencimento",IF(D190&lt;Config!$B$5,"Vencida","A vencer"))))</f>
        <v/>
      </c>
      <c r="I190" s="30">
        <f>IF(H190="Vencida",Config!$B$5-D190,"")</f>
        <v/>
      </c>
      <c r="J190" s="30">
        <f>IF(H190="A vencer",D190-Config!$B$5,"")</f>
        <v/>
      </c>
      <c r="K190" s="24">
        <f>IF(H190&lt;&gt;"Vencida","",IF(COUNTIF(Config!$A$10:$A$13,"&lt;="&amp;I190)=0,"Antes da régua",INDEX(Config!$C$10:$C$13,COUNTIF(Config!$A$10:$A$13,"&lt;="&amp;I190))))</f>
        <v/>
      </c>
      <c r="L190" s="23">
        <f>IF(H190&lt;&gt;"Vencida","",IF(COUNTIF(Config!$A$10:$A$13,"&lt;="&amp;I190)=0,"Aguardar: ainda não chegou ao primeiro passo da régua.",INDEX(Config!$B$10:$B$13,COUNTIF(Config!$A$10:$A$13,"&lt;="&amp;I190))))</f>
        <v/>
      </c>
      <c r="M190" s="38">
        <f>IF(H190="Vencida",E190*I190+ROW()/100000,0)</f>
        <v>0</v>
      </c>
      <c r="N190" s="38">
        <f>IF(AND(H190="A vencer",J190&lt;=Config!$B$7),100000-J190-ROW()/100000,0)</f>
        <v>0</v>
      </c>
    </row>
    <row r="191">
      <c r="A191" s="32" t="n"/>
      <c r="B191" s="23">
        <f>IF(A191="","",IFERROR(INDEX(Casos!$B$5:$B$204,MATCH(A191,Casos!$A$5:$A$204,0)),""))</f>
        <v/>
      </c>
      <c r="C191" s="34" t="n"/>
      <c r="D191" s="37" t="n"/>
      <c r="E191" s="36" t="n"/>
      <c r="F191" s="34" t="n"/>
      <c r="G191" s="37" t="n"/>
      <c r="H191" s="24">
        <f>IF(A191="","",IF(F191="Sim","Paga",IF(D191="","Sem vencimento",IF(D191&lt;Config!$B$5,"Vencida","A vencer"))))</f>
        <v/>
      </c>
      <c r="I191" s="30">
        <f>IF(H191="Vencida",Config!$B$5-D191,"")</f>
        <v/>
      </c>
      <c r="J191" s="30">
        <f>IF(H191="A vencer",D191-Config!$B$5,"")</f>
        <v/>
      </c>
      <c r="K191" s="24">
        <f>IF(H191&lt;&gt;"Vencida","",IF(COUNTIF(Config!$A$10:$A$13,"&lt;="&amp;I191)=0,"Antes da régua",INDEX(Config!$C$10:$C$13,COUNTIF(Config!$A$10:$A$13,"&lt;="&amp;I191))))</f>
        <v/>
      </c>
      <c r="L191" s="23">
        <f>IF(H191&lt;&gt;"Vencida","",IF(COUNTIF(Config!$A$10:$A$13,"&lt;="&amp;I191)=0,"Aguardar: ainda não chegou ao primeiro passo da régua.",INDEX(Config!$B$10:$B$13,COUNTIF(Config!$A$10:$A$13,"&lt;="&amp;I191))))</f>
        <v/>
      </c>
      <c r="M191" s="38">
        <f>IF(H191="Vencida",E191*I191+ROW()/100000,0)</f>
        <v>0</v>
      </c>
      <c r="N191" s="38">
        <f>IF(AND(H191="A vencer",J191&lt;=Config!$B$7),100000-J191-ROW()/100000,0)</f>
        <v>0</v>
      </c>
    </row>
    <row r="192">
      <c r="A192" s="32" t="n"/>
      <c r="B192" s="23">
        <f>IF(A192="","",IFERROR(INDEX(Casos!$B$5:$B$204,MATCH(A192,Casos!$A$5:$A$204,0)),""))</f>
        <v/>
      </c>
      <c r="C192" s="34" t="n"/>
      <c r="D192" s="37" t="n"/>
      <c r="E192" s="36" t="n"/>
      <c r="F192" s="34" t="n"/>
      <c r="G192" s="37" t="n"/>
      <c r="H192" s="24">
        <f>IF(A192="","",IF(F192="Sim","Paga",IF(D192="","Sem vencimento",IF(D192&lt;Config!$B$5,"Vencida","A vencer"))))</f>
        <v/>
      </c>
      <c r="I192" s="30">
        <f>IF(H192="Vencida",Config!$B$5-D192,"")</f>
        <v/>
      </c>
      <c r="J192" s="30">
        <f>IF(H192="A vencer",D192-Config!$B$5,"")</f>
        <v/>
      </c>
      <c r="K192" s="24">
        <f>IF(H192&lt;&gt;"Vencida","",IF(COUNTIF(Config!$A$10:$A$13,"&lt;="&amp;I192)=0,"Antes da régua",INDEX(Config!$C$10:$C$13,COUNTIF(Config!$A$10:$A$13,"&lt;="&amp;I192))))</f>
        <v/>
      </c>
      <c r="L192" s="23">
        <f>IF(H192&lt;&gt;"Vencida","",IF(COUNTIF(Config!$A$10:$A$13,"&lt;="&amp;I192)=0,"Aguardar: ainda não chegou ao primeiro passo da régua.",INDEX(Config!$B$10:$B$13,COUNTIF(Config!$A$10:$A$13,"&lt;="&amp;I192))))</f>
        <v/>
      </c>
      <c r="M192" s="38">
        <f>IF(H192="Vencida",E192*I192+ROW()/100000,0)</f>
        <v>0</v>
      </c>
      <c r="N192" s="38">
        <f>IF(AND(H192="A vencer",J192&lt;=Config!$B$7),100000-J192-ROW()/100000,0)</f>
        <v>0</v>
      </c>
    </row>
    <row r="193">
      <c r="A193" s="32" t="n"/>
      <c r="B193" s="23">
        <f>IF(A193="","",IFERROR(INDEX(Casos!$B$5:$B$204,MATCH(A193,Casos!$A$5:$A$204,0)),""))</f>
        <v/>
      </c>
      <c r="C193" s="34" t="n"/>
      <c r="D193" s="37" t="n"/>
      <c r="E193" s="36" t="n"/>
      <c r="F193" s="34" t="n"/>
      <c r="G193" s="37" t="n"/>
      <c r="H193" s="24">
        <f>IF(A193="","",IF(F193="Sim","Paga",IF(D193="","Sem vencimento",IF(D193&lt;Config!$B$5,"Vencida","A vencer"))))</f>
        <v/>
      </c>
      <c r="I193" s="30">
        <f>IF(H193="Vencida",Config!$B$5-D193,"")</f>
        <v/>
      </c>
      <c r="J193" s="30">
        <f>IF(H193="A vencer",D193-Config!$B$5,"")</f>
        <v/>
      </c>
      <c r="K193" s="24">
        <f>IF(H193&lt;&gt;"Vencida","",IF(COUNTIF(Config!$A$10:$A$13,"&lt;="&amp;I193)=0,"Antes da régua",INDEX(Config!$C$10:$C$13,COUNTIF(Config!$A$10:$A$13,"&lt;="&amp;I193))))</f>
        <v/>
      </c>
      <c r="L193" s="23">
        <f>IF(H193&lt;&gt;"Vencida","",IF(COUNTIF(Config!$A$10:$A$13,"&lt;="&amp;I193)=0,"Aguardar: ainda não chegou ao primeiro passo da régua.",INDEX(Config!$B$10:$B$13,COUNTIF(Config!$A$10:$A$13,"&lt;="&amp;I193))))</f>
        <v/>
      </c>
      <c r="M193" s="38">
        <f>IF(H193="Vencida",E193*I193+ROW()/100000,0)</f>
        <v>0</v>
      </c>
      <c r="N193" s="38">
        <f>IF(AND(H193="A vencer",J193&lt;=Config!$B$7),100000-J193-ROW()/100000,0)</f>
        <v>0</v>
      </c>
    </row>
    <row r="194">
      <c r="A194" s="32" t="n"/>
      <c r="B194" s="23">
        <f>IF(A194="","",IFERROR(INDEX(Casos!$B$5:$B$204,MATCH(A194,Casos!$A$5:$A$204,0)),""))</f>
        <v/>
      </c>
      <c r="C194" s="34" t="n"/>
      <c r="D194" s="37" t="n"/>
      <c r="E194" s="36" t="n"/>
      <c r="F194" s="34" t="n"/>
      <c r="G194" s="37" t="n"/>
      <c r="H194" s="24">
        <f>IF(A194="","",IF(F194="Sim","Paga",IF(D194="","Sem vencimento",IF(D194&lt;Config!$B$5,"Vencida","A vencer"))))</f>
        <v/>
      </c>
      <c r="I194" s="30">
        <f>IF(H194="Vencida",Config!$B$5-D194,"")</f>
        <v/>
      </c>
      <c r="J194" s="30">
        <f>IF(H194="A vencer",D194-Config!$B$5,"")</f>
        <v/>
      </c>
      <c r="K194" s="24">
        <f>IF(H194&lt;&gt;"Vencida","",IF(COUNTIF(Config!$A$10:$A$13,"&lt;="&amp;I194)=0,"Antes da régua",INDEX(Config!$C$10:$C$13,COUNTIF(Config!$A$10:$A$13,"&lt;="&amp;I194))))</f>
        <v/>
      </c>
      <c r="L194" s="23">
        <f>IF(H194&lt;&gt;"Vencida","",IF(COUNTIF(Config!$A$10:$A$13,"&lt;="&amp;I194)=0,"Aguardar: ainda não chegou ao primeiro passo da régua.",INDEX(Config!$B$10:$B$13,COUNTIF(Config!$A$10:$A$13,"&lt;="&amp;I194))))</f>
        <v/>
      </c>
      <c r="M194" s="38">
        <f>IF(H194="Vencida",E194*I194+ROW()/100000,0)</f>
        <v>0</v>
      </c>
      <c r="N194" s="38">
        <f>IF(AND(H194="A vencer",J194&lt;=Config!$B$7),100000-J194-ROW()/100000,0)</f>
        <v>0</v>
      </c>
    </row>
    <row r="195">
      <c r="A195" s="32" t="n"/>
      <c r="B195" s="23">
        <f>IF(A195="","",IFERROR(INDEX(Casos!$B$5:$B$204,MATCH(A195,Casos!$A$5:$A$204,0)),""))</f>
        <v/>
      </c>
      <c r="C195" s="34" t="n"/>
      <c r="D195" s="37" t="n"/>
      <c r="E195" s="36" t="n"/>
      <c r="F195" s="34" t="n"/>
      <c r="G195" s="37" t="n"/>
      <c r="H195" s="24">
        <f>IF(A195="","",IF(F195="Sim","Paga",IF(D195="","Sem vencimento",IF(D195&lt;Config!$B$5,"Vencida","A vencer"))))</f>
        <v/>
      </c>
      <c r="I195" s="30">
        <f>IF(H195="Vencida",Config!$B$5-D195,"")</f>
        <v/>
      </c>
      <c r="J195" s="30">
        <f>IF(H195="A vencer",D195-Config!$B$5,"")</f>
        <v/>
      </c>
      <c r="K195" s="24">
        <f>IF(H195&lt;&gt;"Vencida","",IF(COUNTIF(Config!$A$10:$A$13,"&lt;="&amp;I195)=0,"Antes da régua",INDEX(Config!$C$10:$C$13,COUNTIF(Config!$A$10:$A$13,"&lt;="&amp;I195))))</f>
        <v/>
      </c>
      <c r="L195" s="23">
        <f>IF(H195&lt;&gt;"Vencida","",IF(COUNTIF(Config!$A$10:$A$13,"&lt;="&amp;I195)=0,"Aguardar: ainda não chegou ao primeiro passo da régua.",INDEX(Config!$B$10:$B$13,COUNTIF(Config!$A$10:$A$13,"&lt;="&amp;I195))))</f>
        <v/>
      </c>
      <c r="M195" s="38">
        <f>IF(H195="Vencida",E195*I195+ROW()/100000,0)</f>
        <v>0</v>
      </c>
      <c r="N195" s="38">
        <f>IF(AND(H195="A vencer",J195&lt;=Config!$B$7),100000-J195-ROW()/100000,0)</f>
        <v>0</v>
      </c>
    </row>
    <row r="196">
      <c r="A196" s="32" t="n"/>
      <c r="B196" s="23">
        <f>IF(A196="","",IFERROR(INDEX(Casos!$B$5:$B$204,MATCH(A196,Casos!$A$5:$A$204,0)),""))</f>
        <v/>
      </c>
      <c r="C196" s="34" t="n"/>
      <c r="D196" s="37" t="n"/>
      <c r="E196" s="36" t="n"/>
      <c r="F196" s="34" t="n"/>
      <c r="G196" s="37" t="n"/>
      <c r="H196" s="24">
        <f>IF(A196="","",IF(F196="Sim","Paga",IF(D196="","Sem vencimento",IF(D196&lt;Config!$B$5,"Vencida","A vencer"))))</f>
        <v/>
      </c>
      <c r="I196" s="30">
        <f>IF(H196="Vencida",Config!$B$5-D196,"")</f>
        <v/>
      </c>
      <c r="J196" s="30">
        <f>IF(H196="A vencer",D196-Config!$B$5,"")</f>
        <v/>
      </c>
      <c r="K196" s="24">
        <f>IF(H196&lt;&gt;"Vencida","",IF(COUNTIF(Config!$A$10:$A$13,"&lt;="&amp;I196)=0,"Antes da régua",INDEX(Config!$C$10:$C$13,COUNTIF(Config!$A$10:$A$13,"&lt;="&amp;I196))))</f>
        <v/>
      </c>
      <c r="L196" s="23">
        <f>IF(H196&lt;&gt;"Vencida","",IF(COUNTIF(Config!$A$10:$A$13,"&lt;="&amp;I196)=0,"Aguardar: ainda não chegou ao primeiro passo da régua.",INDEX(Config!$B$10:$B$13,COUNTIF(Config!$A$10:$A$13,"&lt;="&amp;I196))))</f>
        <v/>
      </c>
      <c r="M196" s="38">
        <f>IF(H196="Vencida",E196*I196+ROW()/100000,0)</f>
        <v>0</v>
      </c>
      <c r="N196" s="38">
        <f>IF(AND(H196="A vencer",J196&lt;=Config!$B$7),100000-J196-ROW()/100000,0)</f>
        <v>0</v>
      </c>
    </row>
    <row r="197">
      <c r="A197" s="32" t="n"/>
      <c r="B197" s="23">
        <f>IF(A197="","",IFERROR(INDEX(Casos!$B$5:$B$204,MATCH(A197,Casos!$A$5:$A$204,0)),""))</f>
        <v/>
      </c>
      <c r="C197" s="34" t="n"/>
      <c r="D197" s="37" t="n"/>
      <c r="E197" s="36" t="n"/>
      <c r="F197" s="34" t="n"/>
      <c r="G197" s="37" t="n"/>
      <c r="H197" s="24">
        <f>IF(A197="","",IF(F197="Sim","Paga",IF(D197="","Sem vencimento",IF(D197&lt;Config!$B$5,"Vencida","A vencer"))))</f>
        <v/>
      </c>
      <c r="I197" s="30">
        <f>IF(H197="Vencida",Config!$B$5-D197,"")</f>
        <v/>
      </c>
      <c r="J197" s="30">
        <f>IF(H197="A vencer",D197-Config!$B$5,"")</f>
        <v/>
      </c>
      <c r="K197" s="24">
        <f>IF(H197&lt;&gt;"Vencida","",IF(COUNTIF(Config!$A$10:$A$13,"&lt;="&amp;I197)=0,"Antes da régua",INDEX(Config!$C$10:$C$13,COUNTIF(Config!$A$10:$A$13,"&lt;="&amp;I197))))</f>
        <v/>
      </c>
      <c r="L197" s="23">
        <f>IF(H197&lt;&gt;"Vencida","",IF(COUNTIF(Config!$A$10:$A$13,"&lt;="&amp;I197)=0,"Aguardar: ainda não chegou ao primeiro passo da régua.",INDEX(Config!$B$10:$B$13,COUNTIF(Config!$A$10:$A$13,"&lt;="&amp;I197))))</f>
        <v/>
      </c>
      <c r="M197" s="38">
        <f>IF(H197="Vencida",E197*I197+ROW()/100000,0)</f>
        <v>0</v>
      </c>
      <c r="N197" s="38">
        <f>IF(AND(H197="A vencer",J197&lt;=Config!$B$7),100000-J197-ROW()/100000,0)</f>
        <v>0</v>
      </c>
    </row>
    <row r="198">
      <c r="A198" s="32" t="n"/>
      <c r="B198" s="23">
        <f>IF(A198="","",IFERROR(INDEX(Casos!$B$5:$B$204,MATCH(A198,Casos!$A$5:$A$204,0)),""))</f>
        <v/>
      </c>
      <c r="C198" s="34" t="n"/>
      <c r="D198" s="37" t="n"/>
      <c r="E198" s="36" t="n"/>
      <c r="F198" s="34" t="n"/>
      <c r="G198" s="37" t="n"/>
      <c r="H198" s="24">
        <f>IF(A198="","",IF(F198="Sim","Paga",IF(D198="","Sem vencimento",IF(D198&lt;Config!$B$5,"Vencida","A vencer"))))</f>
        <v/>
      </c>
      <c r="I198" s="30">
        <f>IF(H198="Vencida",Config!$B$5-D198,"")</f>
        <v/>
      </c>
      <c r="J198" s="30">
        <f>IF(H198="A vencer",D198-Config!$B$5,"")</f>
        <v/>
      </c>
      <c r="K198" s="24">
        <f>IF(H198&lt;&gt;"Vencida","",IF(COUNTIF(Config!$A$10:$A$13,"&lt;="&amp;I198)=0,"Antes da régua",INDEX(Config!$C$10:$C$13,COUNTIF(Config!$A$10:$A$13,"&lt;="&amp;I198))))</f>
        <v/>
      </c>
      <c r="L198" s="23">
        <f>IF(H198&lt;&gt;"Vencida","",IF(COUNTIF(Config!$A$10:$A$13,"&lt;="&amp;I198)=0,"Aguardar: ainda não chegou ao primeiro passo da régua.",INDEX(Config!$B$10:$B$13,COUNTIF(Config!$A$10:$A$13,"&lt;="&amp;I198))))</f>
        <v/>
      </c>
      <c r="M198" s="38">
        <f>IF(H198="Vencida",E198*I198+ROW()/100000,0)</f>
        <v>0</v>
      </c>
      <c r="N198" s="38">
        <f>IF(AND(H198="A vencer",J198&lt;=Config!$B$7),100000-J198-ROW()/100000,0)</f>
        <v>0</v>
      </c>
    </row>
    <row r="199">
      <c r="A199" s="32" t="n"/>
      <c r="B199" s="23">
        <f>IF(A199="","",IFERROR(INDEX(Casos!$B$5:$B$204,MATCH(A199,Casos!$A$5:$A$204,0)),""))</f>
        <v/>
      </c>
      <c r="C199" s="34" t="n"/>
      <c r="D199" s="37" t="n"/>
      <c r="E199" s="36" t="n"/>
      <c r="F199" s="34" t="n"/>
      <c r="G199" s="37" t="n"/>
      <c r="H199" s="24">
        <f>IF(A199="","",IF(F199="Sim","Paga",IF(D199="","Sem vencimento",IF(D199&lt;Config!$B$5,"Vencida","A vencer"))))</f>
        <v/>
      </c>
      <c r="I199" s="30">
        <f>IF(H199="Vencida",Config!$B$5-D199,"")</f>
        <v/>
      </c>
      <c r="J199" s="30">
        <f>IF(H199="A vencer",D199-Config!$B$5,"")</f>
        <v/>
      </c>
      <c r="K199" s="24">
        <f>IF(H199&lt;&gt;"Vencida","",IF(COUNTIF(Config!$A$10:$A$13,"&lt;="&amp;I199)=0,"Antes da régua",INDEX(Config!$C$10:$C$13,COUNTIF(Config!$A$10:$A$13,"&lt;="&amp;I199))))</f>
        <v/>
      </c>
      <c r="L199" s="23">
        <f>IF(H199&lt;&gt;"Vencida","",IF(COUNTIF(Config!$A$10:$A$13,"&lt;="&amp;I199)=0,"Aguardar: ainda não chegou ao primeiro passo da régua.",INDEX(Config!$B$10:$B$13,COUNTIF(Config!$A$10:$A$13,"&lt;="&amp;I199))))</f>
        <v/>
      </c>
      <c r="M199" s="38">
        <f>IF(H199="Vencida",E199*I199+ROW()/100000,0)</f>
        <v>0</v>
      </c>
      <c r="N199" s="38">
        <f>IF(AND(H199="A vencer",J199&lt;=Config!$B$7),100000-J199-ROW()/100000,0)</f>
        <v>0</v>
      </c>
    </row>
    <row r="200">
      <c r="A200" s="32" t="n"/>
      <c r="B200" s="23">
        <f>IF(A200="","",IFERROR(INDEX(Casos!$B$5:$B$204,MATCH(A200,Casos!$A$5:$A$204,0)),""))</f>
        <v/>
      </c>
      <c r="C200" s="34" t="n"/>
      <c r="D200" s="37" t="n"/>
      <c r="E200" s="36" t="n"/>
      <c r="F200" s="34" t="n"/>
      <c r="G200" s="37" t="n"/>
      <c r="H200" s="24">
        <f>IF(A200="","",IF(F200="Sim","Paga",IF(D200="","Sem vencimento",IF(D200&lt;Config!$B$5,"Vencida","A vencer"))))</f>
        <v/>
      </c>
      <c r="I200" s="30">
        <f>IF(H200="Vencida",Config!$B$5-D200,"")</f>
        <v/>
      </c>
      <c r="J200" s="30">
        <f>IF(H200="A vencer",D200-Config!$B$5,"")</f>
        <v/>
      </c>
      <c r="K200" s="24">
        <f>IF(H200&lt;&gt;"Vencida","",IF(COUNTIF(Config!$A$10:$A$13,"&lt;="&amp;I200)=0,"Antes da régua",INDEX(Config!$C$10:$C$13,COUNTIF(Config!$A$10:$A$13,"&lt;="&amp;I200))))</f>
        <v/>
      </c>
      <c r="L200" s="23">
        <f>IF(H200&lt;&gt;"Vencida","",IF(COUNTIF(Config!$A$10:$A$13,"&lt;="&amp;I200)=0,"Aguardar: ainda não chegou ao primeiro passo da régua.",INDEX(Config!$B$10:$B$13,COUNTIF(Config!$A$10:$A$13,"&lt;="&amp;I200))))</f>
        <v/>
      </c>
      <c r="M200" s="38">
        <f>IF(H200="Vencida",E200*I200+ROW()/100000,0)</f>
        <v>0</v>
      </c>
      <c r="N200" s="38">
        <f>IF(AND(H200="A vencer",J200&lt;=Config!$B$7),100000-J200-ROW()/100000,0)</f>
        <v>0</v>
      </c>
    </row>
    <row r="201">
      <c r="A201" s="32" t="n"/>
      <c r="B201" s="23">
        <f>IF(A201="","",IFERROR(INDEX(Casos!$B$5:$B$204,MATCH(A201,Casos!$A$5:$A$204,0)),""))</f>
        <v/>
      </c>
      <c r="C201" s="34" t="n"/>
      <c r="D201" s="37" t="n"/>
      <c r="E201" s="36" t="n"/>
      <c r="F201" s="34" t="n"/>
      <c r="G201" s="37" t="n"/>
      <c r="H201" s="24">
        <f>IF(A201="","",IF(F201="Sim","Paga",IF(D201="","Sem vencimento",IF(D201&lt;Config!$B$5,"Vencida","A vencer"))))</f>
        <v/>
      </c>
      <c r="I201" s="30">
        <f>IF(H201="Vencida",Config!$B$5-D201,"")</f>
        <v/>
      </c>
      <c r="J201" s="30">
        <f>IF(H201="A vencer",D201-Config!$B$5,"")</f>
        <v/>
      </c>
      <c r="K201" s="24">
        <f>IF(H201&lt;&gt;"Vencida","",IF(COUNTIF(Config!$A$10:$A$13,"&lt;="&amp;I201)=0,"Antes da régua",INDEX(Config!$C$10:$C$13,COUNTIF(Config!$A$10:$A$13,"&lt;="&amp;I201))))</f>
        <v/>
      </c>
      <c r="L201" s="23">
        <f>IF(H201&lt;&gt;"Vencida","",IF(COUNTIF(Config!$A$10:$A$13,"&lt;="&amp;I201)=0,"Aguardar: ainda não chegou ao primeiro passo da régua.",INDEX(Config!$B$10:$B$13,COUNTIF(Config!$A$10:$A$13,"&lt;="&amp;I201))))</f>
        <v/>
      </c>
      <c r="M201" s="38">
        <f>IF(H201="Vencida",E201*I201+ROW()/100000,0)</f>
        <v>0</v>
      </c>
      <c r="N201" s="38">
        <f>IF(AND(H201="A vencer",J201&lt;=Config!$B$7),100000-J201-ROW()/100000,0)</f>
        <v>0</v>
      </c>
    </row>
    <row r="202">
      <c r="A202" s="32" t="n"/>
      <c r="B202" s="23">
        <f>IF(A202="","",IFERROR(INDEX(Casos!$B$5:$B$204,MATCH(A202,Casos!$A$5:$A$204,0)),""))</f>
        <v/>
      </c>
      <c r="C202" s="34" t="n"/>
      <c r="D202" s="37" t="n"/>
      <c r="E202" s="36" t="n"/>
      <c r="F202" s="34" t="n"/>
      <c r="G202" s="37" t="n"/>
      <c r="H202" s="24">
        <f>IF(A202="","",IF(F202="Sim","Paga",IF(D202="","Sem vencimento",IF(D202&lt;Config!$B$5,"Vencida","A vencer"))))</f>
        <v/>
      </c>
      <c r="I202" s="30">
        <f>IF(H202="Vencida",Config!$B$5-D202,"")</f>
        <v/>
      </c>
      <c r="J202" s="30">
        <f>IF(H202="A vencer",D202-Config!$B$5,"")</f>
        <v/>
      </c>
      <c r="K202" s="24">
        <f>IF(H202&lt;&gt;"Vencida","",IF(COUNTIF(Config!$A$10:$A$13,"&lt;="&amp;I202)=0,"Antes da régua",INDEX(Config!$C$10:$C$13,COUNTIF(Config!$A$10:$A$13,"&lt;="&amp;I202))))</f>
        <v/>
      </c>
      <c r="L202" s="23">
        <f>IF(H202&lt;&gt;"Vencida","",IF(COUNTIF(Config!$A$10:$A$13,"&lt;="&amp;I202)=0,"Aguardar: ainda não chegou ao primeiro passo da régua.",INDEX(Config!$B$10:$B$13,COUNTIF(Config!$A$10:$A$13,"&lt;="&amp;I202))))</f>
        <v/>
      </c>
      <c r="M202" s="38">
        <f>IF(H202="Vencida",E202*I202+ROW()/100000,0)</f>
        <v>0</v>
      </c>
      <c r="N202" s="38">
        <f>IF(AND(H202="A vencer",J202&lt;=Config!$B$7),100000-J202-ROW()/100000,0)</f>
        <v>0</v>
      </c>
    </row>
    <row r="203">
      <c r="A203" s="32" t="n"/>
      <c r="B203" s="23">
        <f>IF(A203="","",IFERROR(INDEX(Casos!$B$5:$B$204,MATCH(A203,Casos!$A$5:$A$204,0)),""))</f>
        <v/>
      </c>
      <c r="C203" s="34" t="n"/>
      <c r="D203" s="37" t="n"/>
      <c r="E203" s="36" t="n"/>
      <c r="F203" s="34" t="n"/>
      <c r="G203" s="37" t="n"/>
      <c r="H203" s="24">
        <f>IF(A203="","",IF(F203="Sim","Paga",IF(D203="","Sem vencimento",IF(D203&lt;Config!$B$5,"Vencida","A vencer"))))</f>
        <v/>
      </c>
      <c r="I203" s="30">
        <f>IF(H203="Vencida",Config!$B$5-D203,"")</f>
        <v/>
      </c>
      <c r="J203" s="30">
        <f>IF(H203="A vencer",D203-Config!$B$5,"")</f>
        <v/>
      </c>
      <c r="K203" s="24">
        <f>IF(H203&lt;&gt;"Vencida","",IF(COUNTIF(Config!$A$10:$A$13,"&lt;="&amp;I203)=0,"Antes da régua",INDEX(Config!$C$10:$C$13,COUNTIF(Config!$A$10:$A$13,"&lt;="&amp;I203))))</f>
        <v/>
      </c>
      <c r="L203" s="23">
        <f>IF(H203&lt;&gt;"Vencida","",IF(COUNTIF(Config!$A$10:$A$13,"&lt;="&amp;I203)=0,"Aguardar: ainda não chegou ao primeiro passo da régua.",INDEX(Config!$B$10:$B$13,COUNTIF(Config!$A$10:$A$13,"&lt;="&amp;I203))))</f>
        <v/>
      </c>
      <c r="M203" s="38">
        <f>IF(H203="Vencida",E203*I203+ROW()/100000,0)</f>
        <v>0</v>
      </c>
      <c r="N203" s="38">
        <f>IF(AND(H203="A vencer",J203&lt;=Config!$B$7),100000-J203-ROW()/100000,0)</f>
        <v>0</v>
      </c>
    </row>
    <row r="204">
      <c r="A204" s="32" t="n"/>
      <c r="B204" s="23">
        <f>IF(A204="","",IFERROR(INDEX(Casos!$B$5:$B$204,MATCH(A204,Casos!$A$5:$A$204,0)),""))</f>
        <v/>
      </c>
      <c r="C204" s="34" t="n"/>
      <c r="D204" s="37" t="n"/>
      <c r="E204" s="36" t="n"/>
      <c r="F204" s="34" t="n"/>
      <c r="G204" s="37" t="n"/>
      <c r="H204" s="24">
        <f>IF(A204="","",IF(F204="Sim","Paga",IF(D204="","Sem vencimento",IF(D204&lt;Config!$B$5,"Vencida","A vencer"))))</f>
        <v/>
      </c>
      <c r="I204" s="30">
        <f>IF(H204="Vencida",Config!$B$5-D204,"")</f>
        <v/>
      </c>
      <c r="J204" s="30">
        <f>IF(H204="A vencer",D204-Config!$B$5,"")</f>
        <v/>
      </c>
      <c r="K204" s="24">
        <f>IF(H204&lt;&gt;"Vencida","",IF(COUNTIF(Config!$A$10:$A$13,"&lt;="&amp;I204)=0,"Antes da régua",INDEX(Config!$C$10:$C$13,COUNTIF(Config!$A$10:$A$13,"&lt;="&amp;I204))))</f>
        <v/>
      </c>
      <c r="L204" s="23">
        <f>IF(H204&lt;&gt;"Vencida","",IF(COUNTIF(Config!$A$10:$A$13,"&lt;="&amp;I204)=0,"Aguardar: ainda não chegou ao primeiro passo da régua.",INDEX(Config!$B$10:$B$13,COUNTIF(Config!$A$10:$A$13,"&lt;="&amp;I204))))</f>
        <v/>
      </c>
      <c r="M204" s="38">
        <f>IF(H204="Vencida",E204*I204+ROW()/100000,0)</f>
        <v>0</v>
      </c>
      <c r="N204" s="38">
        <f>IF(AND(H204="A vencer",J204&lt;=Config!$B$7),100000-J204-ROW()/100000,0)</f>
        <v>0</v>
      </c>
    </row>
    <row r="205">
      <c r="A205" s="32" t="n"/>
      <c r="B205" s="23">
        <f>IF(A205="","",IFERROR(INDEX(Casos!$B$5:$B$204,MATCH(A205,Casos!$A$5:$A$204,0)),""))</f>
        <v/>
      </c>
      <c r="C205" s="34" t="n"/>
      <c r="D205" s="37" t="n"/>
      <c r="E205" s="36" t="n"/>
      <c r="F205" s="34" t="n"/>
      <c r="G205" s="37" t="n"/>
      <c r="H205" s="24">
        <f>IF(A205="","",IF(F205="Sim","Paga",IF(D205="","Sem vencimento",IF(D205&lt;Config!$B$5,"Vencida","A vencer"))))</f>
        <v/>
      </c>
      <c r="I205" s="30">
        <f>IF(H205="Vencida",Config!$B$5-D205,"")</f>
        <v/>
      </c>
      <c r="J205" s="30">
        <f>IF(H205="A vencer",D205-Config!$B$5,"")</f>
        <v/>
      </c>
      <c r="K205" s="24">
        <f>IF(H205&lt;&gt;"Vencida","",IF(COUNTIF(Config!$A$10:$A$13,"&lt;="&amp;I205)=0,"Antes da régua",INDEX(Config!$C$10:$C$13,COUNTIF(Config!$A$10:$A$13,"&lt;="&amp;I205))))</f>
        <v/>
      </c>
      <c r="L205" s="23">
        <f>IF(H205&lt;&gt;"Vencida","",IF(COUNTIF(Config!$A$10:$A$13,"&lt;="&amp;I205)=0,"Aguardar: ainda não chegou ao primeiro passo da régua.",INDEX(Config!$B$10:$B$13,COUNTIF(Config!$A$10:$A$13,"&lt;="&amp;I205))))</f>
        <v/>
      </c>
      <c r="M205" s="38">
        <f>IF(H205="Vencida",E205*I205+ROW()/100000,0)</f>
        <v>0</v>
      </c>
      <c r="N205" s="38">
        <f>IF(AND(H205="A vencer",J205&lt;=Config!$B$7),100000-J205-ROW()/100000,0)</f>
        <v>0</v>
      </c>
    </row>
    <row r="206">
      <c r="A206" s="32" t="n"/>
      <c r="B206" s="23">
        <f>IF(A206="","",IFERROR(INDEX(Casos!$B$5:$B$204,MATCH(A206,Casos!$A$5:$A$204,0)),""))</f>
        <v/>
      </c>
      <c r="C206" s="34" t="n"/>
      <c r="D206" s="37" t="n"/>
      <c r="E206" s="36" t="n"/>
      <c r="F206" s="34" t="n"/>
      <c r="G206" s="37" t="n"/>
      <c r="H206" s="24">
        <f>IF(A206="","",IF(F206="Sim","Paga",IF(D206="","Sem vencimento",IF(D206&lt;Config!$B$5,"Vencida","A vencer"))))</f>
        <v/>
      </c>
      <c r="I206" s="30">
        <f>IF(H206="Vencida",Config!$B$5-D206,"")</f>
        <v/>
      </c>
      <c r="J206" s="30">
        <f>IF(H206="A vencer",D206-Config!$B$5,"")</f>
        <v/>
      </c>
      <c r="K206" s="24">
        <f>IF(H206&lt;&gt;"Vencida","",IF(COUNTIF(Config!$A$10:$A$13,"&lt;="&amp;I206)=0,"Antes da régua",INDEX(Config!$C$10:$C$13,COUNTIF(Config!$A$10:$A$13,"&lt;="&amp;I206))))</f>
        <v/>
      </c>
      <c r="L206" s="23">
        <f>IF(H206&lt;&gt;"Vencida","",IF(COUNTIF(Config!$A$10:$A$13,"&lt;="&amp;I206)=0,"Aguardar: ainda não chegou ao primeiro passo da régua.",INDEX(Config!$B$10:$B$13,COUNTIF(Config!$A$10:$A$13,"&lt;="&amp;I206))))</f>
        <v/>
      </c>
      <c r="M206" s="38">
        <f>IF(H206="Vencida",E206*I206+ROW()/100000,0)</f>
        <v>0</v>
      </c>
      <c r="N206" s="38">
        <f>IF(AND(H206="A vencer",J206&lt;=Config!$B$7),100000-J206-ROW()/100000,0)</f>
        <v>0</v>
      </c>
    </row>
    <row r="207">
      <c r="A207" s="32" t="n"/>
      <c r="B207" s="23">
        <f>IF(A207="","",IFERROR(INDEX(Casos!$B$5:$B$204,MATCH(A207,Casos!$A$5:$A$204,0)),""))</f>
        <v/>
      </c>
      <c r="C207" s="34" t="n"/>
      <c r="D207" s="37" t="n"/>
      <c r="E207" s="36" t="n"/>
      <c r="F207" s="34" t="n"/>
      <c r="G207" s="37" t="n"/>
      <c r="H207" s="24">
        <f>IF(A207="","",IF(F207="Sim","Paga",IF(D207="","Sem vencimento",IF(D207&lt;Config!$B$5,"Vencida","A vencer"))))</f>
        <v/>
      </c>
      <c r="I207" s="30">
        <f>IF(H207="Vencida",Config!$B$5-D207,"")</f>
        <v/>
      </c>
      <c r="J207" s="30">
        <f>IF(H207="A vencer",D207-Config!$B$5,"")</f>
        <v/>
      </c>
      <c r="K207" s="24">
        <f>IF(H207&lt;&gt;"Vencida","",IF(COUNTIF(Config!$A$10:$A$13,"&lt;="&amp;I207)=0,"Antes da régua",INDEX(Config!$C$10:$C$13,COUNTIF(Config!$A$10:$A$13,"&lt;="&amp;I207))))</f>
        <v/>
      </c>
      <c r="L207" s="23">
        <f>IF(H207&lt;&gt;"Vencida","",IF(COUNTIF(Config!$A$10:$A$13,"&lt;="&amp;I207)=0,"Aguardar: ainda não chegou ao primeiro passo da régua.",INDEX(Config!$B$10:$B$13,COUNTIF(Config!$A$10:$A$13,"&lt;="&amp;I207))))</f>
        <v/>
      </c>
      <c r="M207" s="38">
        <f>IF(H207="Vencida",E207*I207+ROW()/100000,0)</f>
        <v>0</v>
      </c>
      <c r="N207" s="38">
        <f>IF(AND(H207="A vencer",J207&lt;=Config!$B$7),100000-J207-ROW()/100000,0)</f>
        <v>0</v>
      </c>
    </row>
    <row r="208">
      <c r="A208" s="32" t="n"/>
      <c r="B208" s="23">
        <f>IF(A208="","",IFERROR(INDEX(Casos!$B$5:$B$204,MATCH(A208,Casos!$A$5:$A$204,0)),""))</f>
        <v/>
      </c>
      <c r="C208" s="34" t="n"/>
      <c r="D208" s="37" t="n"/>
      <c r="E208" s="36" t="n"/>
      <c r="F208" s="34" t="n"/>
      <c r="G208" s="37" t="n"/>
      <c r="H208" s="24">
        <f>IF(A208="","",IF(F208="Sim","Paga",IF(D208="","Sem vencimento",IF(D208&lt;Config!$B$5,"Vencida","A vencer"))))</f>
        <v/>
      </c>
      <c r="I208" s="30">
        <f>IF(H208="Vencida",Config!$B$5-D208,"")</f>
        <v/>
      </c>
      <c r="J208" s="30">
        <f>IF(H208="A vencer",D208-Config!$B$5,"")</f>
        <v/>
      </c>
      <c r="K208" s="24">
        <f>IF(H208&lt;&gt;"Vencida","",IF(COUNTIF(Config!$A$10:$A$13,"&lt;="&amp;I208)=0,"Antes da régua",INDEX(Config!$C$10:$C$13,COUNTIF(Config!$A$10:$A$13,"&lt;="&amp;I208))))</f>
        <v/>
      </c>
      <c r="L208" s="23">
        <f>IF(H208&lt;&gt;"Vencida","",IF(COUNTIF(Config!$A$10:$A$13,"&lt;="&amp;I208)=0,"Aguardar: ainda não chegou ao primeiro passo da régua.",INDEX(Config!$B$10:$B$13,COUNTIF(Config!$A$10:$A$13,"&lt;="&amp;I208))))</f>
        <v/>
      </c>
      <c r="M208" s="38">
        <f>IF(H208="Vencida",E208*I208+ROW()/100000,0)</f>
        <v>0</v>
      </c>
      <c r="N208" s="38">
        <f>IF(AND(H208="A vencer",J208&lt;=Config!$B$7),100000-J208-ROW()/100000,0)</f>
        <v>0</v>
      </c>
    </row>
    <row r="209">
      <c r="A209" s="32" t="n"/>
      <c r="B209" s="23">
        <f>IF(A209="","",IFERROR(INDEX(Casos!$B$5:$B$204,MATCH(A209,Casos!$A$5:$A$204,0)),""))</f>
        <v/>
      </c>
      <c r="C209" s="34" t="n"/>
      <c r="D209" s="37" t="n"/>
      <c r="E209" s="36" t="n"/>
      <c r="F209" s="34" t="n"/>
      <c r="G209" s="37" t="n"/>
      <c r="H209" s="24">
        <f>IF(A209="","",IF(F209="Sim","Paga",IF(D209="","Sem vencimento",IF(D209&lt;Config!$B$5,"Vencida","A vencer"))))</f>
        <v/>
      </c>
      <c r="I209" s="30">
        <f>IF(H209="Vencida",Config!$B$5-D209,"")</f>
        <v/>
      </c>
      <c r="J209" s="30">
        <f>IF(H209="A vencer",D209-Config!$B$5,"")</f>
        <v/>
      </c>
      <c r="K209" s="24">
        <f>IF(H209&lt;&gt;"Vencida","",IF(COUNTIF(Config!$A$10:$A$13,"&lt;="&amp;I209)=0,"Antes da régua",INDEX(Config!$C$10:$C$13,COUNTIF(Config!$A$10:$A$13,"&lt;="&amp;I209))))</f>
        <v/>
      </c>
      <c r="L209" s="23">
        <f>IF(H209&lt;&gt;"Vencida","",IF(COUNTIF(Config!$A$10:$A$13,"&lt;="&amp;I209)=0,"Aguardar: ainda não chegou ao primeiro passo da régua.",INDEX(Config!$B$10:$B$13,COUNTIF(Config!$A$10:$A$13,"&lt;="&amp;I209))))</f>
        <v/>
      </c>
      <c r="M209" s="38">
        <f>IF(H209="Vencida",E209*I209+ROW()/100000,0)</f>
        <v>0</v>
      </c>
      <c r="N209" s="38">
        <f>IF(AND(H209="A vencer",J209&lt;=Config!$B$7),100000-J209-ROW()/100000,0)</f>
        <v>0</v>
      </c>
    </row>
    <row r="210">
      <c r="A210" s="32" t="n"/>
      <c r="B210" s="23">
        <f>IF(A210="","",IFERROR(INDEX(Casos!$B$5:$B$204,MATCH(A210,Casos!$A$5:$A$204,0)),""))</f>
        <v/>
      </c>
      <c r="C210" s="34" t="n"/>
      <c r="D210" s="37" t="n"/>
      <c r="E210" s="36" t="n"/>
      <c r="F210" s="34" t="n"/>
      <c r="G210" s="37" t="n"/>
      <c r="H210" s="24">
        <f>IF(A210="","",IF(F210="Sim","Paga",IF(D210="","Sem vencimento",IF(D210&lt;Config!$B$5,"Vencida","A vencer"))))</f>
        <v/>
      </c>
      <c r="I210" s="30">
        <f>IF(H210="Vencida",Config!$B$5-D210,"")</f>
        <v/>
      </c>
      <c r="J210" s="30">
        <f>IF(H210="A vencer",D210-Config!$B$5,"")</f>
        <v/>
      </c>
      <c r="K210" s="24">
        <f>IF(H210&lt;&gt;"Vencida","",IF(COUNTIF(Config!$A$10:$A$13,"&lt;="&amp;I210)=0,"Antes da régua",INDEX(Config!$C$10:$C$13,COUNTIF(Config!$A$10:$A$13,"&lt;="&amp;I210))))</f>
        <v/>
      </c>
      <c r="L210" s="23">
        <f>IF(H210&lt;&gt;"Vencida","",IF(COUNTIF(Config!$A$10:$A$13,"&lt;="&amp;I210)=0,"Aguardar: ainda não chegou ao primeiro passo da régua.",INDEX(Config!$B$10:$B$13,COUNTIF(Config!$A$10:$A$13,"&lt;="&amp;I210))))</f>
        <v/>
      </c>
      <c r="M210" s="38">
        <f>IF(H210="Vencida",E210*I210+ROW()/100000,0)</f>
        <v>0</v>
      </c>
      <c r="N210" s="38">
        <f>IF(AND(H210="A vencer",J210&lt;=Config!$B$7),100000-J210-ROW()/100000,0)</f>
        <v>0</v>
      </c>
    </row>
    <row r="211">
      <c r="A211" s="32" t="n"/>
      <c r="B211" s="23">
        <f>IF(A211="","",IFERROR(INDEX(Casos!$B$5:$B$204,MATCH(A211,Casos!$A$5:$A$204,0)),""))</f>
        <v/>
      </c>
      <c r="C211" s="34" t="n"/>
      <c r="D211" s="37" t="n"/>
      <c r="E211" s="36" t="n"/>
      <c r="F211" s="34" t="n"/>
      <c r="G211" s="37" t="n"/>
      <c r="H211" s="24">
        <f>IF(A211="","",IF(F211="Sim","Paga",IF(D211="","Sem vencimento",IF(D211&lt;Config!$B$5,"Vencida","A vencer"))))</f>
        <v/>
      </c>
      <c r="I211" s="30">
        <f>IF(H211="Vencida",Config!$B$5-D211,"")</f>
        <v/>
      </c>
      <c r="J211" s="30">
        <f>IF(H211="A vencer",D211-Config!$B$5,"")</f>
        <v/>
      </c>
      <c r="K211" s="24">
        <f>IF(H211&lt;&gt;"Vencida","",IF(COUNTIF(Config!$A$10:$A$13,"&lt;="&amp;I211)=0,"Antes da régua",INDEX(Config!$C$10:$C$13,COUNTIF(Config!$A$10:$A$13,"&lt;="&amp;I211))))</f>
        <v/>
      </c>
      <c r="L211" s="23">
        <f>IF(H211&lt;&gt;"Vencida","",IF(COUNTIF(Config!$A$10:$A$13,"&lt;="&amp;I211)=0,"Aguardar: ainda não chegou ao primeiro passo da régua.",INDEX(Config!$B$10:$B$13,COUNTIF(Config!$A$10:$A$13,"&lt;="&amp;I211))))</f>
        <v/>
      </c>
      <c r="M211" s="38">
        <f>IF(H211="Vencida",E211*I211+ROW()/100000,0)</f>
        <v>0</v>
      </c>
      <c r="N211" s="38">
        <f>IF(AND(H211="A vencer",J211&lt;=Config!$B$7),100000-J211-ROW()/100000,0)</f>
        <v>0</v>
      </c>
    </row>
    <row r="212">
      <c r="A212" s="32" t="n"/>
      <c r="B212" s="23">
        <f>IF(A212="","",IFERROR(INDEX(Casos!$B$5:$B$204,MATCH(A212,Casos!$A$5:$A$204,0)),""))</f>
        <v/>
      </c>
      <c r="C212" s="34" t="n"/>
      <c r="D212" s="37" t="n"/>
      <c r="E212" s="36" t="n"/>
      <c r="F212" s="34" t="n"/>
      <c r="G212" s="37" t="n"/>
      <c r="H212" s="24">
        <f>IF(A212="","",IF(F212="Sim","Paga",IF(D212="","Sem vencimento",IF(D212&lt;Config!$B$5,"Vencida","A vencer"))))</f>
        <v/>
      </c>
      <c r="I212" s="30">
        <f>IF(H212="Vencida",Config!$B$5-D212,"")</f>
        <v/>
      </c>
      <c r="J212" s="30">
        <f>IF(H212="A vencer",D212-Config!$B$5,"")</f>
        <v/>
      </c>
      <c r="K212" s="24">
        <f>IF(H212&lt;&gt;"Vencida","",IF(COUNTIF(Config!$A$10:$A$13,"&lt;="&amp;I212)=0,"Antes da régua",INDEX(Config!$C$10:$C$13,COUNTIF(Config!$A$10:$A$13,"&lt;="&amp;I212))))</f>
        <v/>
      </c>
      <c r="L212" s="23">
        <f>IF(H212&lt;&gt;"Vencida","",IF(COUNTIF(Config!$A$10:$A$13,"&lt;="&amp;I212)=0,"Aguardar: ainda não chegou ao primeiro passo da régua.",INDEX(Config!$B$10:$B$13,COUNTIF(Config!$A$10:$A$13,"&lt;="&amp;I212))))</f>
        <v/>
      </c>
      <c r="M212" s="38">
        <f>IF(H212="Vencida",E212*I212+ROW()/100000,0)</f>
        <v>0</v>
      </c>
      <c r="N212" s="38">
        <f>IF(AND(H212="A vencer",J212&lt;=Config!$B$7),100000-J212-ROW()/100000,0)</f>
        <v>0</v>
      </c>
    </row>
    <row r="213">
      <c r="A213" s="32" t="n"/>
      <c r="B213" s="23">
        <f>IF(A213="","",IFERROR(INDEX(Casos!$B$5:$B$204,MATCH(A213,Casos!$A$5:$A$204,0)),""))</f>
        <v/>
      </c>
      <c r="C213" s="34" t="n"/>
      <c r="D213" s="37" t="n"/>
      <c r="E213" s="36" t="n"/>
      <c r="F213" s="34" t="n"/>
      <c r="G213" s="37" t="n"/>
      <c r="H213" s="24">
        <f>IF(A213="","",IF(F213="Sim","Paga",IF(D213="","Sem vencimento",IF(D213&lt;Config!$B$5,"Vencida","A vencer"))))</f>
        <v/>
      </c>
      <c r="I213" s="30">
        <f>IF(H213="Vencida",Config!$B$5-D213,"")</f>
        <v/>
      </c>
      <c r="J213" s="30">
        <f>IF(H213="A vencer",D213-Config!$B$5,"")</f>
        <v/>
      </c>
      <c r="K213" s="24">
        <f>IF(H213&lt;&gt;"Vencida","",IF(COUNTIF(Config!$A$10:$A$13,"&lt;="&amp;I213)=0,"Antes da régua",INDEX(Config!$C$10:$C$13,COUNTIF(Config!$A$10:$A$13,"&lt;="&amp;I213))))</f>
        <v/>
      </c>
      <c r="L213" s="23">
        <f>IF(H213&lt;&gt;"Vencida","",IF(COUNTIF(Config!$A$10:$A$13,"&lt;="&amp;I213)=0,"Aguardar: ainda não chegou ao primeiro passo da régua.",INDEX(Config!$B$10:$B$13,COUNTIF(Config!$A$10:$A$13,"&lt;="&amp;I213))))</f>
        <v/>
      </c>
      <c r="M213" s="38">
        <f>IF(H213="Vencida",E213*I213+ROW()/100000,0)</f>
        <v>0</v>
      </c>
      <c r="N213" s="38">
        <f>IF(AND(H213="A vencer",J213&lt;=Config!$B$7),100000-J213-ROW()/100000,0)</f>
        <v>0</v>
      </c>
    </row>
    <row r="214">
      <c r="A214" s="32" t="n"/>
      <c r="B214" s="23">
        <f>IF(A214="","",IFERROR(INDEX(Casos!$B$5:$B$204,MATCH(A214,Casos!$A$5:$A$204,0)),""))</f>
        <v/>
      </c>
      <c r="C214" s="34" t="n"/>
      <c r="D214" s="37" t="n"/>
      <c r="E214" s="36" t="n"/>
      <c r="F214" s="34" t="n"/>
      <c r="G214" s="37" t="n"/>
      <c r="H214" s="24">
        <f>IF(A214="","",IF(F214="Sim","Paga",IF(D214="","Sem vencimento",IF(D214&lt;Config!$B$5,"Vencida","A vencer"))))</f>
        <v/>
      </c>
      <c r="I214" s="30">
        <f>IF(H214="Vencida",Config!$B$5-D214,"")</f>
        <v/>
      </c>
      <c r="J214" s="30">
        <f>IF(H214="A vencer",D214-Config!$B$5,"")</f>
        <v/>
      </c>
      <c r="K214" s="24">
        <f>IF(H214&lt;&gt;"Vencida","",IF(COUNTIF(Config!$A$10:$A$13,"&lt;="&amp;I214)=0,"Antes da régua",INDEX(Config!$C$10:$C$13,COUNTIF(Config!$A$10:$A$13,"&lt;="&amp;I214))))</f>
        <v/>
      </c>
      <c r="L214" s="23">
        <f>IF(H214&lt;&gt;"Vencida","",IF(COUNTIF(Config!$A$10:$A$13,"&lt;="&amp;I214)=0,"Aguardar: ainda não chegou ao primeiro passo da régua.",INDEX(Config!$B$10:$B$13,COUNTIF(Config!$A$10:$A$13,"&lt;="&amp;I214))))</f>
        <v/>
      </c>
      <c r="M214" s="38">
        <f>IF(H214="Vencida",E214*I214+ROW()/100000,0)</f>
        <v>0</v>
      </c>
      <c r="N214" s="38">
        <f>IF(AND(H214="A vencer",J214&lt;=Config!$B$7),100000-J214-ROW()/100000,0)</f>
        <v>0</v>
      </c>
    </row>
    <row r="215">
      <c r="A215" s="32" t="n"/>
      <c r="B215" s="23">
        <f>IF(A215="","",IFERROR(INDEX(Casos!$B$5:$B$204,MATCH(A215,Casos!$A$5:$A$204,0)),""))</f>
        <v/>
      </c>
      <c r="C215" s="34" t="n"/>
      <c r="D215" s="37" t="n"/>
      <c r="E215" s="36" t="n"/>
      <c r="F215" s="34" t="n"/>
      <c r="G215" s="37" t="n"/>
      <c r="H215" s="24">
        <f>IF(A215="","",IF(F215="Sim","Paga",IF(D215="","Sem vencimento",IF(D215&lt;Config!$B$5,"Vencida","A vencer"))))</f>
        <v/>
      </c>
      <c r="I215" s="30">
        <f>IF(H215="Vencida",Config!$B$5-D215,"")</f>
        <v/>
      </c>
      <c r="J215" s="30">
        <f>IF(H215="A vencer",D215-Config!$B$5,"")</f>
        <v/>
      </c>
      <c r="K215" s="24">
        <f>IF(H215&lt;&gt;"Vencida","",IF(COUNTIF(Config!$A$10:$A$13,"&lt;="&amp;I215)=0,"Antes da régua",INDEX(Config!$C$10:$C$13,COUNTIF(Config!$A$10:$A$13,"&lt;="&amp;I215))))</f>
        <v/>
      </c>
      <c r="L215" s="23">
        <f>IF(H215&lt;&gt;"Vencida","",IF(COUNTIF(Config!$A$10:$A$13,"&lt;="&amp;I215)=0,"Aguardar: ainda não chegou ao primeiro passo da régua.",INDEX(Config!$B$10:$B$13,COUNTIF(Config!$A$10:$A$13,"&lt;="&amp;I215))))</f>
        <v/>
      </c>
      <c r="M215" s="38">
        <f>IF(H215="Vencida",E215*I215+ROW()/100000,0)</f>
        <v>0</v>
      </c>
      <c r="N215" s="38">
        <f>IF(AND(H215="A vencer",J215&lt;=Config!$B$7),100000-J215-ROW()/100000,0)</f>
        <v>0</v>
      </c>
    </row>
    <row r="216">
      <c r="A216" s="32" t="n"/>
      <c r="B216" s="23">
        <f>IF(A216="","",IFERROR(INDEX(Casos!$B$5:$B$204,MATCH(A216,Casos!$A$5:$A$204,0)),""))</f>
        <v/>
      </c>
      <c r="C216" s="34" t="n"/>
      <c r="D216" s="37" t="n"/>
      <c r="E216" s="36" t="n"/>
      <c r="F216" s="34" t="n"/>
      <c r="G216" s="37" t="n"/>
      <c r="H216" s="24">
        <f>IF(A216="","",IF(F216="Sim","Paga",IF(D216="","Sem vencimento",IF(D216&lt;Config!$B$5,"Vencida","A vencer"))))</f>
        <v/>
      </c>
      <c r="I216" s="30">
        <f>IF(H216="Vencida",Config!$B$5-D216,"")</f>
        <v/>
      </c>
      <c r="J216" s="30">
        <f>IF(H216="A vencer",D216-Config!$B$5,"")</f>
        <v/>
      </c>
      <c r="K216" s="24">
        <f>IF(H216&lt;&gt;"Vencida","",IF(COUNTIF(Config!$A$10:$A$13,"&lt;="&amp;I216)=0,"Antes da régua",INDEX(Config!$C$10:$C$13,COUNTIF(Config!$A$10:$A$13,"&lt;="&amp;I216))))</f>
        <v/>
      </c>
      <c r="L216" s="23">
        <f>IF(H216&lt;&gt;"Vencida","",IF(COUNTIF(Config!$A$10:$A$13,"&lt;="&amp;I216)=0,"Aguardar: ainda não chegou ao primeiro passo da régua.",INDEX(Config!$B$10:$B$13,COUNTIF(Config!$A$10:$A$13,"&lt;="&amp;I216))))</f>
        <v/>
      </c>
      <c r="M216" s="38">
        <f>IF(H216="Vencida",E216*I216+ROW()/100000,0)</f>
        <v>0</v>
      </c>
      <c r="N216" s="38">
        <f>IF(AND(H216="A vencer",J216&lt;=Config!$B$7),100000-J216-ROW()/100000,0)</f>
        <v>0</v>
      </c>
    </row>
    <row r="217">
      <c r="A217" s="32" t="n"/>
      <c r="B217" s="23">
        <f>IF(A217="","",IFERROR(INDEX(Casos!$B$5:$B$204,MATCH(A217,Casos!$A$5:$A$204,0)),""))</f>
        <v/>
      </c>
      <c r="C217" s="34" t="n"/>
      <c r="D217" s="37" t="n"/>
      <c r="E217" s="36" t="n"/>
      <c r="F217" s="34" t="n"/>
      <c r="G217" s="37" t="n"/>
      <c r="H217" s="24">
        <f>IF(A217="","",IF(F217="Sim","Paga",IF(D217="","Sem vencimento",IF(D217&lt;Config!$B$5,"Vencida","A vencer"))))</f>
        <v/>
      </c>
      <c r="I217" s="30">
        <f>IF(H217="Vencida",Config!$B$5-D217,"")</f>
        <v/>
      </c>
      <c r="J217" s="30">
        <f>IF(H217="A vencer",D217-Config!$B$5,"")</f>
        <v/>
      </c>
      <c r="K217" s="24">
        <f>IF(H217&lt;&gt;"Vencida","",IF(COUNTIF(Config!$A$10:$A$13,"&lt;="&amp;I217)=0,"Antes da régua",INDEX(Config!$C$10:$C$13,COUNTIF(Config!$A$10:$A$13,"&lt;="&amp;I217))))</f>
        <v/>
      </c>
      <c r="L217" s="23">
        <f>IF(H217&lt;&gt;"Vencida","",IF(COUNTIF(Config!$A$10:$A$13,"&lt;="&amp;I217)=0,"Aguardar: ainda não chegou ao primeiro passo da régua.",INDEX(Config!$B$10:$B$13,COUNTIF(Config!$A$10:$A$13,"&lt;="&amp;I217))))</f>
        <v/>
      </c>
      <c r="M217" s="38">
        <f>IF(H217="Vencida",E217*I217+ROW()/100000,0)</f>
        <v>0</v>
      </c>
      <c r="N217" s="38">
        <f>IF(AND(H217="A vencer",J217&lt;=Config!$B$7),100000-J217-ROW()/100000,0)</f>
        <v>0</v>
      </c>
    </row>
    <row r="218">
      <c r="A218" s="32" t="n"/>
      <c r="B218" s="23">
        <f>IF(A218="","",IFERROR(INDEX(Casos!$B$5:$B$204,MATCH(A218,Casos!$A$5:$A$204,0)),""))</f>
        <v/>
      </c>
      <c r="C218" s="34" t="n"/>
      <c r="D218" s="37" t="n"/>
      <c r="E218" s="36" t="n"/>
      <c r="F218" s="34" t="n"/>
      <c r="G218" s="37" t="n"/>
      <c r="H218" s="24">
        <f>IF(A218="","",IF(F218="Sim","Paga",IF(D218="","Sem vencimento",IF(D218&lt;Config!$B$5,"Vencida","A vencer"))))</f>
        <v/>
      </c>
      <c r="I218" s="30">
        <f>IF(H218="Vencida",Config!$B$5-D218,"")</f>
        <v/>
      </c>
      <c r="J218" s="30">
        <f>IF(H218="A vencer",D218-Config!$B$5,"")</f>
        <v/>
      </c>
      <c r="K218" s="24">
        <f>IF(H218&lt;&gt;"Vencida","",IF(COUNTIF(Config!$A$10:$A$13,"&lt;="&amp;I218)=0,"Antes da régua",INDEX(Config!$C$10:$C$13,COUNTIF(Config!$A$10:$A$13,"&lt;="&amp;I218))))</f>
        <v/>
      </c>
      <c r="L218" s="23">
        <f>IF(H218&lt;&gt;"Vencida","",IF(COUNTIF(Config!$A$10:$A$13,"&lt;="&amp;I218)=0,"Aguardar: ainda não chegou ao primeiro passo da régua.",INDEX(Config!$B$10:$B$13,COUNTIF(Config!$A$10:$A$13,"&lt;="&amp;I218))))</f>
        <v/>
      </c>
      <c r="M218" s="38">
        <f>IF(H218="Vencida",E218*I218+ROW()/100000,0)</f>
        <v>0</v>
      </c>
      <c r="N218" s="38">
        <f>IF(AND(H218="A vencer",J218&lt;=Config!$B$7),100000-J218-ROW()/100000,0)</f>
        <v>0</v>
      </c>
    </row>
    <row r="219">
      <c r="A219" s="32" t="n"/>
      <c r="B219" s="23">
        <f>IF(A219="","",IFERROR(INDEX(Casos!$B$5:$B$204,MATCH(A219,Casos!$A$5:$A$204,0)),""))</f>
        <v/>
      </c>
      <c r="C219" s="34" t="n"/>
      <c r="D219" s="37" t="n"/>
      <c r="E219" s="36" t="n"/>
      <c r="F219" s="34" t="n"/>
      <c r="G219" s="37" t="n"/>
      <c r="H219" s="24">
        <f>IF(A219="","",IF(F219="Sim","Paga",IF(D219="","Sem vencimento",IF(D219&lt;Config!$B$5,"Vencida","A vencer"))))</f>
        <v/>
      </c>
      <c r="I219" s="30">
        <f>IF(H219="Vencida",Config!$B$5-D219,"")</f>
        <v/>
      </c>
      <c r="J219" s="30">
        <f>IF(H219="A vencer",D219-Config!$B$5,"")</f>
        <v/>
      </c>
      <c r="K219" s="24">
        <f>IF(H219&lt;&gt;"Vencida","",IF(COUNTIF(Config!$A$10:$A$13,"&lt;="&amp;I219)=0,"Antes da régua",INDEX(Config!$C$10:$C$13,COUNTIF(Config!$A$10:$A$13,"&lt;="&amp;I219))))</f>
        <v/>
      </c>
      <c r="L219" s="23">
        <f>IF(H219&lt;&gt;"Vencida","",IF(COUNTIF(Config!$A$10:$A$13,"&lt;="&amp;I219)=0,"Aguardar: ainda não chegou ao primeiro passo da régua.",INDEX(Config!$B$10:$B$13,COUNTIF(Config!$A$10:$A$13,"&lt;="&amp;I219))))</f>
        <v/>
      </c>
      <c r="M219" s="38">
        <f>IF(H219="Vencida",E219*I219+ROW()/100000,0)</f>
        <v>0</v>
      </c>
      <c r="N219" s="38">
        <f>IF(AND(H219="A vencer",J219&lt;=Config!$B$7),100000-J219-ROW()/100000,0)</f>
        <v>0</v>
      </c>
    </row>
    <row r="220">
      <c r="A220" s="32" t="n"/>
      <c r="B220" s="23">
        <f>IF(A220="","",IFERROR(INDEX(Casos!$B$5:$B$204,MATCH(A220,Casos!$A$5:$A$204,0)),""))</f>
        <v/>
      </c>
      <c r="C220" s="34" t="n"/>
      <c r="D220" s="37" t="n"/>
      <c r="E220" s="36" t="n"/>
      <c r="F220" s="34" t="n"/>
      <c r="G220" s="37" t="n"/>
      <c r="H220" s="24">
        <f>IF(A220="","",IF(F220="Sim","Paga",IF(D220="","Sem vencimento",IF(D220&lt;Config!$B$5,"Vencida","A vencer"))))</f>
        <v/>
      </c>
      <c r="I220" s="30">
        <f>IF(H220="Vencida",Config!$B$5-D220,"")</f>
        <v/>
      </c>
      <c r="J220" s="30">
        <f>IF(H220="A vencer",D220-Config!$B$5,"")</f>
        <v/>
      </c>
      <c r="K220" s="24">
        <f>IF(H220&lt;&gt;"Vencida","",IF(COUNTIF(Config!$A$10:$A$13,"&lt;="&amp;I220)=0,"Antes da régua",INDEX(Config!$C$10:$C$13,COUNTIF(Config!$A$10:$A$13,"&lt;="&amp;I220))))</f>
        <v/>
      </c>
      <c r="L220" s="23">
        <f>IF(H220&lt;&gt;"Vencida","",IF(COUNTIF(Config!$A$10:$A$13,"&lt;="&amp;I220)=0,"Aguardar: ainda não chegou ao primeiro passo da régua.",INDEX(Config!$B$10:$B$13,COUNTIF(Config!$A$10:$A$13,"&lt;="&amp;I220))))</f>
        <v/>
      </c>
      <c r="M220" s="38">
        <f>IF(H220="Vencida",E220*I220+ROW()/100000,0)</f>
        <v>0</v>
      </c>
      <c r="N220" s="38">
        <f>IF(AND(H220="A vencer",J220&lt;=Config!$B$7),100000-J220-ROW()/100000,0)</f>
        <v>0</v>
      </c>
    </row>
    <row r="221">
      <c r="A221" s="32" t="n"/>
      <c r="B221" s="23">
        <f>IF(A221="","",IFERROR(INDEX(Casos!$B$5:$B$204,MATCH(A221,Casos!$A$5:$A$204,0)),""))</f>
        <v/>
      </c>
      <c r="C221" s="34" t="n"/>
      <c r="D221" s="37" t="n"/>
      <c r="E221" s="36" t="n"/>
      <c r="F221" s="34" t="n"/>
      <c r="G221" s="37" t="n"/>
      <c r="H221" s="24">
        <f>IF(A221="","",IF(F221="Sim","Paga",IF(D221="","Sem vencimento",IF(D221&lt;Config!$B$5,"Vencida","A vencer"))))</f>
        <v/>
      </c>
      <c r="I221" s="30">
        <f>IF(H221="Vencida",Config!$B$5-D221,"")</f>
        <v/>
      </c>
      <c r="J221" s="30">
        <f>IF(H221="A vencer",D221-Config!$B$5,"")</f>
        <v/>
      </c>
      <c r="K221" s="24">
        <f>IF(H221&lt;&gt;"Vencida","",IF(COUNTIF(Config!$A$10:$A$13,"&lt;="&amp;I221)=0,"Antes da régua",INDEX(Config!$C$10:$C$13,COUNTIF(Config!$A$10:$A$13,"&lt;="&amp;I221))))</f>
        <v/>
      </c>
      <c r="L221" s="23">
        <f>IF(H221&lt;&gt;"Vencida","",IF(COUNTIF(Config!$A$10:$A$13,"&lt;="&amp;I221)=0,"Aguardar: ainda não chegou ao primeiro passo da régua.",INDEX(Config!$B$10:$B$13,COUNTIF(Config!$A$10:$A$13,"&lt;="&amp;I221))))</f>
        <v/>
      </c>
      <c r="M221" s="38">
        <f>IF(H221="Vencida",E221*I221+ROW()/100000,0)</f>
        <v>0</v>
      </c>
      <c r="N221" s="38">
        <f>IF(AND(H221="A vencer",J221&lt;=Config!$B$7),100000-J221-ROW()/100000,0)</f>
        <v>0</v>
      </c>
    </row>
    <row r="222">
      <c r="A222" s="32" t="n"/>
      <c r="B222" s="23">
        <f>IF(A222="","",IFERROR(INDEX(Casos!$B$5:$B$204,MATCH(A222,Casos!$A$5:$A$204,0)),""))</f>
        <v/>
      </c>
      <c r="C222" s="34" t="n"/>
      <c r="D222" s="37" t="n"/>
      <c r="E222" s="36" t="n"/>
      <c r="F222" s="34" t="n"/>
      <c r="G222" s="37" t="n"/>
      <c r="H222" s="24">
        <f>IF(A222="","",IF(F222="Sim","Paga",IF(D222="","Sem vencimento",IF(D222&lt;Config!$B$5,"Vencida","A vencer"))))</f>
        <v/>
      </c>
      <c r="I222" s="30">
        <f>IF(H222="Vencida",Config!$B$5-D222,"")</f>
        <v/>
      </c>
      <c r="J222" s="30">
        <f>IF(H222="A vencer",D222-Config!$B$5,"")</f>
        <v/>
      </c>
      <c r="K222" s="24">
        <f>IF(H222&lt;&gt;"Vencida","",IF(COUNTIF(Config!$A$10:$A$13,"&lt;="&amp;I222)=0,"Antes da régua",INDEX(Config!$C$10:$C$13,COUNTIF(Config!$A$10:$A$13,"&lt;="&amp;I222))))</f>
        <v/>
      </c>
      <c r="L222" s="23">
        <f>IF(H222&lt;&gt;"Vencida","",IF(COUNTIF(Config!$A$10:$A$13,"&lt;="&amp;I222)=0,"Aguardar: ainda não chegou ao primeiro passo da régua.",INDEX(Config!$B$10:$B$13,COUNTIF(Config!$A$10:$A$13,"&lt;="&amp;I222))))</f>
        <v/>
      </c>
      <c r="M222" s="38">
        <f>IF(H222="Vencida",E222*I222+ROW()/100000,0)</f>
        <v>0</v>
      </c>
      <c r="N222" s="38">
        <f>IF(AND(H222="A vencer",J222&lt;=Config!$B$7),100000-J222-ROW()/100000,0)</f>
        <v>0</v>
      </c>
    </row>
    <row r="223">
      <c r="A223" s="32" t="n"/>
      <c r="B223" s="23">
        <f>IF(A223="","",IFERROR(INDEX(Casos!$B$5:$B$204,MATCH(A223,Casos!$A$5:$A$204,0)),""))</f>
        <v/>
      </c>
      <c r="C223" s="34" t="n"/>
      <c r="D223" s="37" t="n"/>
      <c r="E223" s="36" t="n"/>
      <c r="F223" s="34" t="n"/>
      <c r="G223" s="37" t="n"/>
      <c r="H223" s="24">
        <f>IF(A223="","",IF(F223="Sim","Paga",IF(D223="","Sem vencimento",IF(D223&lt;Config!$B$5,"Vencida","A vencer"))))</f>
        <v/>
      </c>
      <c r="I223" s="30">
        <f>IF(H223="Vencida",Config!$B$5-D223,"")</f>
        <v/>
      </c>
      <c r="J223" s="30">
        <f>IF(H223="A vencer",D223-Config!$B$5,"")</f>
        <v/>
      </c>
      <c r="K223" s="24">
        <f>IF(H223&lt;&gt;"Vencida","",IF(COUNTIF(Config!$A$10:$A$13,"&lt;="&amp;I223)=0,"Antes da régua",INDEX(Config!$C$10:$C$13,COUNTIF(Config!$A$10:$A$13,"&lt;="&amp;I223))))</f>
        <v/>
      </c>
      <c r="L223" s="23">
        <f>IF(H223&lt;&gt;"Vencida","",IF(COUNTIF(Config!$A$10:$A$13,"&lt;="&amp;I223)=0,"Aguardar: ainda não chegou ao primeiro passo da régua.",INDEX(Config!$B$10:$B$13,COUNTIF(Config!$A$10:$A$13,"&lt;="&amp;I223))))</f>
        <v/>
      </c>
      <c r="M223" s="38">
        <f>IF(H223="Vencida",E223*I223+ROW()/100000,0)</f>
        <v>0</v>
      </c>
      <c r="N223" s="38">
        <f>IF(AND(H223="A vencer",J223&lt;=Config!$B$7),100000-J223-ROW()/100000,0)</f>
        <v>0</v>
      </c>
    </row>
    <row r="224">
      <c r="A224" s="32" t="n"/>
      <c r="B224" s="23">
        <f>IF(A224="","",IFERROR(INDEX(Casos!$B$5:$B$204,MATCH(A224,Casos!$A$5:$A$204,0)),""))</f>
        <v/>
      </c>
      <c r="C224" s="34" t="n"/>
      <c r="D224" s="37" t="n"/>
      <c r="E224" s="36" t="n"/>
      <c r="F224" s="34" t="n"/>
      <c r="G224" s="37" t="n"/>
      <c r="H224" s="24">
        <f>IF(A224="","",IF(F224="Sim","Paga",IF(D224="","Sem vencimento",IF(D224&lt;Config!$B$5,"Vencida","A vencer"))))</f>
        <v/>
      </c>
      <c r="I224" s="30">
        <f>IF(H224="Vencida",Config!$B$5-D224,"")</f>
        <v/>
      </c>
      <c r="J224" s="30">
        <f>IF(H224="A vencer",D224-Config!$B$5,"")</f>
        <v/>
      </c>
      <c r="K224" s="24">
        <f>IF(H224&lt;&gt;"Vencida","",IF(COUNTIF(Config!$A$10:$A$13,"&lt;="&amp;I224)=0,"Antes da régua",INDEX(Config!$C$10:$C$13,COUNTIF(Config!$A$10:$A$13,"&lt;="&amp;I224))))</f>
        <v/>
      </c>
      <c r="L224" s="23">
        <f>IF(H224&lt;&gt;"Vencida","",IF(COUNTIF(Config!$A$10:$A$13,"&lt;="&amp;I224)=0,"Aguardar: ainda não chegou ao primeiro passo da régua.",INDEX(Config!$B$10:$B$13,COUNTIF(Config!$A$10:$A$13,"&lt;="&amp;I224))))</f>
        <v/>
      </c>
      <c r="M224" s="38">
        <f>IF(H224="Vencida",E224*I224+ROW()/100000,0)</f>
        <v>0</v>
      </c>
      <c r="N224" s="38">
        <f>IF(AND(H224="A vencer",J224&lt;=Config!$B$7),100000-J224-ROW()/100000,0)</f>
        <v>0</v>
      </c>
    </row>
    <row r="225">
      <c r="A225" s="32" t="n"/>
      <c r="B225" s="23">
        <f>IF(A225="","",IFERROR(INDEX(Casos!$B$5:$B$204,MATCH(A225,Casos!$A$5:$A$204,0)),""))</f>
        <v/>
      </c>
      <c r="C225" s="34" t="n"/>
      <c r="D225" s="37" t="n"/>
      <c r="E225" s="36" t="n"/>
      <c r="F225" s="34" t="n"/>
      <c r="G225" s="37" t="n"/>
      <c r="H225" s="24">
        <f>IF(A225="","",IF(F225="Sim","Paga",IF(D225="","Sem vencimento",IF(D225&lt;Config!$B$5,"Vencida","A vencer"))))</f>
        <v/>
      </c>
      <c r="I225" s="30">
        <f>IF(H225="Vencida",Config!$B$5-D225,"")</f>
        <v/>
      </c>
      <c r="J225" s="30">
        <f>IF(H225="A vencer",D225-Config!$B$5,"")</f>
        <v/>
      </c>
      <c r="K225" s="24">
        <f>IF(H225&lt;&gt;"Vencida","",IF(COUNTIF(Config!$A$10:$A$13,"&lt;="&amp;I225)=0,"Antes da régua",INDEX(Config!$C$10:$C$13,COUNTIF(Config!$A$10:$A$13,"&lt;="&amp;I225))))</f>
        <v/>
      </c>
      <c r="L225" s="23">
        <f>IF(H225&lt;&gt;"Vencida","",IF(COUNTIF(Config!$A$10:$A$13,"&lt;="&amp;I225)=0,"Aguardar: ainda não chegou ao primeiro passo da régua.",INDEX(Config!$B$10:$B$13,COUNTIF(Config!$A$10:$A$13,"&lt;="&amp;I225))))</f>
        <v/>
      </c>
      <c r="M225" s="38">
        <f>IF(H225="Vencida",E225*I225+ROW()/100000,0)</f>
        <v>0</v>
      </c>
      <c r="N225" s="38">
        <f>IF(AND(H225="A vencer",J225&lt;=Config!$B$7),100000-J225-ROW()/100000,0)</f>
        <v>0</v>
      </c>
    </row>
    <row r="226">
      <c r="A226" s="32" t="n"/>
      <c r="B226" s="23">
        <f>IF(A226="","",IFERROR(INDEX(Casos!$B$5:$B$204,MATCH(A226,Casos!$A$5:$A$204,0)),""))</f>
        <v/>
      </c>
      <c r="C226" s="34" t="n"/>
      <c r="D226" s="37" t="n"/>
      <c r="E226" s="36" t="n"/>
      <c r="F226" s="34" t="n"/>
      <c r="G226" s="37" t="n"/>
      <c r="H226" s="24">
        <f>IF(A226="","",IF(F226="Sim","Paga",IF(D226="","Sem vencimento",IF(D226&lt;Config!$B$5,"Vencida","A vencer"))))</f>
        <v/>
      </c>
      <c r="I226" s="30">
        <f>IF(H226="Vencida",Config!$B$5-D226,"")</f>
        <v/>
      </c>
      <c r="J226" s="30">
        <f>IF(H226="A vencer",D226-Config!$B$5,"")</f>
        <v/>
      </c>
      <c r="K226" s="24">
        <f>IF(H226&lt;&gt;"Vencida","",IF(COUNTIF(Config!$A$10:$A$13,"&lt;="&amp;I226)=0,"Antes da régua",INDEX(Config!$C$10:$C$13,COUNTIF(Config!$A$10:$A$13,"&lt;="&amp;I226))))</f>
        <v/>
      </c>
      <c r="L226" s="23">
        <f>IF(H226&lt;&gt;"Vencida","",IF(COUNTIF(Config!$A$10:$A$13,"&lt;="&amp;I226)=0,"Aguardar: ainda não chegou ao primeiro passo da régua.",INDEX(Config!$B$10:$B$13,COUNTIF(Config!$A$10:$A$13,"&lt;="&amp;I226))))</f>
        <v/>
      </c>
      <c r="M226" s="38">
        <f>IF(H226="Vencida",E226*I226+ROW()/100000,0)</f>
        <v>0</v>
      </c>
      <c r="N226" s="38">
        <f>IF(AND(H226="A vencer",J226&lt;=Config!$B$7),100000-J226-ROW()/100000,0)</f>
        <v>0</v>
      </c>
    </row>
    <row r="227">
      <c r="A227" s="32" t="n"/>
      <c r="B227" s="23">
        <f>IF(A227="","",IFERROR(INDEX(Casos!$B$5:$B$204,MATCH(A227,Casos!$A$5:$A$204,0)),""))</f>
        <v/>
      </c>
      <c r="C227" s="34" t="n"/>
      <c r="D227" s="37" t="n"/>
      <c r="E227" s="36" t="n"/>
      <c r="F227" s="34" t="n"/>
      <c r="G227" s="37" t="n"/>
      <c r="H227" s="24">
        <f>IF(A227="","",IF(F227="Sim","Paga",IF(D227="","Sem vencimento",IF(D227&lt;Config!$B$5,"Vencida","A vencer"))))</f>
        <v/>
      </c>
      <c r="I227" s="30">
        <f>IF(H227="Vencida",Config!$B$5-D227,"")</f>
        <v/>
      </c>
      <c r="J227" s="30">
        <f>IF(H227="A vencer",D227-Config!$B$5,"")</f>
        <v/>
      </c>
      <c r="K227" s="24">
        <f>IF(H227&lt;&gt;"Vencida","",IF(COUNTIF(Config!$A$10:$A$13,"&lt;="&amp;I227)=0,"Antes da régua",INDEX(Config!$C$10:$C$13,COUNTIF(Config!$A$10:$A$13,"&lt;="&amp;I227))))</f>
        <v/>
      </c>
      <c r="L227" s="23">
        <f>IF(H227&lt;&gt;"Vencida","",IF(COUNTIF(Config!$A$10:$A$13,"&lt;="&amp;I227)=0,"Aguardar: ainda não chegou ao primeiro passo da régua.",INDEX(Config!$B$10:$B$13,COUNTIF(Config!$A$10:$A$13,"&lt;="&amp;I227))))</f>
        <v/>
      </c>
      <c r="M227" s="38">
        <f>IF(H227="Vencida",E227*I227+ROW()/100000,0)</f>
        <v>0</v>
      </c>
      <c r="N227" s="38">
        <f>IF(AND(H227="A vencer",J227&lt;=Config!$B$7),100000-J227-ROW()/100000,0)</f>
        <v>0</v>
      </c>
    </row>
    <row r="228">
      <c r="A228" s="32" t="n"/>
      <c r="B228" s="23">
        <f>IF(A228="","",IFERROR(INDEX(Casos!$B$5:$B$204,MATCH(A228,Casos!$A$5:$A$204,0)),""))</f>
        <v/>
      </c>
      <c r="C228" s="34" t="n"/>
      <c r="D228" s="37" t="n"/>
      <c r="E228" s="36" t="n"/>
      <c r="F228" s="34" t="n"/>
      <c r="G228" s="37" t="n"/>
      <c r="H228" s="24">
        <f>IF(A228="","",IF(F228="Sim","Paga",IF(D228="","Sem vencimento",IF(D228&lt;Config!$B$5,"Vencida","A vencer"))))</f>
        <v/>
      </c>
      <c r="I228" s="30">
        <f>IF(H228="Vencida",Config!$B$5-D228,"")</f>
        <v/>
      </c>
      <c r="J228" s="30">
        <f>IF(H228="A vencer",D228-Config!$B$5,"")</f>
        <v/>
      </c>
      <c r="K228" s="24">
        <f>IF(H228&lt;&gt;"Vencida","",IF(COUNTIF(Config!$A$10:$A$13,"&lt;="&amp;I228)=0,"Antes da régua",INDEX(Config!$C$10:$C$13,COUNTIF(Config!$A$10:$A$13,"&lt;="&amp;I228))))</f>
        <v/>
      </c>
      <c r="L228" s="23">
        <f>IF(H228&lt;&gt;"Vencida","",IF(COUNTIF(Config!$A$10:$A$13,"&lt;="&amp;I228)=0,"Aguardar: ainda não chegou ao primeiro passo da régua.",INDEX(Config!$B$10:$B$13,COUNTIF(Config!$A$10:$A$13,"&lt;="&amp;I228))))</f>
        <v/>
      </c>
      <c r="M228" s="38">
        <f>IF(H228="Vencida",E228*I228+ROW()/100000,0)</f>
        <v>0</v>
      </c>
      <c r="N228" s="38">
        <f>IF(AND(H228="A vencer",J228&lt;=Config!$B$7),100000-J228-ROW()/100000,0)</f>
        <v>0</v>
      </c>
    </row>
    <row r="229">
      <c r="A229" s="32" t="n"/>
      <c r="B229" s="23">
        <f>IF(A229="","",IFERROR(INDEX(Casos!$B$5:$B$204,MATCH(A229,Casos!$A$5:$A$204,0)),""))</f>
        <v/>
      </c>
      <c r="C229" s="34" t="n"/>
      <c r="D229" s="37" t="n"/>
      <c r="E229" s="36" t="n"/>
      <c r="F229" s="34" t="n"/>
      <c r="G229" s="37" t="n"/>
      <c r="H229" s="24">
        <f>IF(A229="","",IF(F229="Sim","Paga",IF(D229="","Sem vencimento",IF(D229&lt;Config!$B$5,"Vencida","A vencer"))))</f>
        <v/>
      </c>
      <c r="I229" s="30">
        <f>IF(H229="Vencida",Config!$B$5-D229,"")</f>
        <v/>
      </c>
      <c r="J229" s="30">
        <f>IF(H229="A vencer",D229-Config!$B$5,"")</f>
        <v/>
      </c>
      <c r="K229" s="24">
        <f>IF(H229&lt;&gt;"Vencida","",IF(COUNTIF(Config!$A$10:$A$13,"&lt;="&amp;I229)=0,"Antes da régua",INDEX(Config!$C$10:$C$13,COUNTIF(Config!$A$10:$A$13,"&lt;="&amp;I229))))</f>
        <v/>
      </c>
      <c r="L229" s="23">
        <f>IF(H229&lt;&gt;"Vencida","",IF(COUNTIF(Config!$A$10:$A$13,"&lt;="&amp;I229)=0,"Aguardar: ainda não chegou ao primeiro passo da régua.",INDEX(Config!$B$10:$B$13,COUNTIF(Config!$A$10:$A$13,"&lt;="&amp;I229))))</f>
        <v/>
      </c>
      <c r="M229" s="38">
        <f>IF(H229="Vencida",E229*I229+ROW()/100000,0)</f>
        <v>0</v>
      </c>
      <c r="N229" s="38">
        <f>IF(AND(H229="A vencer",J229&lt;=Config!$B$7),100000-J229-ROW()/100000,0)</f>
        <v>0</v>
      </c>
    </row>
    <row r="230">
      <c r="A230" s="32" t="n"/>
      <c r="B230" s="23">
        <f>IF(A230="","",IFERROR(INDEX(Casos!$B$5:$B$204,MATCH(A230,Casos!$A$5:$A$204,0)),""))</f>
        <v/>
      </c>
      <c r="C230" s="34" t="n"/>
      <c r="D230" s="37" t="n"/>
      <c r="E230" s="36" t="n"/>
      <c r="F230" s="34" t="n"/>
      <c r="G230" s="37" t="n"/>
      <c r="H230" s="24">
        <f>IF(A230="","",IF(F230="Sim","Paga",IF(D230="","Sem vencimento",IF(D230&lt;Config!$B$5,"Vencida","A vencer"))))</f>
        <v/>
      </c>
      <c r="I230" s="30">
        <f>IF(H230="Vencida",Config!$B$5-D230,"")</f>
        <v/>
      </c>
      <c r="J230" s="30">
        <f>IF(H230="A vencer",D230-Config!$B$5,"")</f>
        <v/>
      </c>
      <c r="K230" s="24">
        <f>IF(H230&lt;&gt;"Vencida","",IF(COUNTIF(Config!$A$10:$A$13,"&lt;="&amp;I230)=0,"Antes da régua",INDEX(Config!$C$10:$C$13,COUNTIF(Config!$A$10:$A$13,"&lt;="&amp;I230))))</f>
        <v/>
      </c>
      <c r="L230" s="23">
        <f>IF(H230&lt;&gt;"Vencida","",IF(COUNTIF(Config!$A$10:$A$13,"&lt;="&amp;I230)=0,"Aguardar: ainda não chegou ao primeiro passo da régua.",INDEX(Config!$B$10:$B$13,COUNTIF(Config!$A$10:$A$13,"&lt;="&amp;I230))))</f>
        <v/>
      </c>
      <c r="M230" s="38">
        <f>IF(H230="Vencida",E230*I230+ROW()/100000,0)</f>
        <v>0</v>
      </c>
      <c r="N230" s="38">
        <f>IF(AND(H230="A vencer",J230&lt;=Config!$B$7),100000-J230-ROW()/100000,0)</f>
        <v>0</v>
      </c>
    </row>
    <row r="231">
      <c r="A231" s="32" t="n"/>
      <c r="B231" s="23">
        <f>IF(A231="","",IFERROR(INDEX(Casos!$B$5:$B$204,MATCH(A231,Casos!$A$5:$A$204,0)),""))</f>
        <v/>
      </c>
      <c r="C231" s="34" t="n"/>
      <c r="D231" s="37" t="n"/>
      <c r="E231" s="36" t="n"/>
      <c r="F231" s="34" t="n"/>
      <c r="G231" s="37" t="n"/>
      <c r="H231" s="24">
        <f>IF(A231="","",IF(F231="Sim","Paga",IF(D231="","Sem vencimento",IF(D231&lt;Config!$B$5,"Vencida","A vencer"))))</f>
        <v/>
      </c>
      <c r="I231" s="30">
        <f>IF(H231="Vencida",Config!$B$5-D231,"")</f>
        <v/>
      </c>
      <c r="J231" s="30">
        <f>IF(H231="A vencer",D231-Config!$B$5,"")</f>
        <v/>
      </c>
      <c r="K231" s="24">
        <f>IF(H231&lt;&gt;"Vencida","",IF(COUNTIF(Config!$A$10:$A$13,"&lt;="&amp;I231)=0,"Antes da régua",INDEX(Config!$C$10:$C$13,COUNTIF(Config!$A$10:$A$13,"&lt;="&amp;I231))))</f>
        <v/>
      </c>
      <c r="L231" s="23">
        <f>IF(H231&lt;&gt;"Vencida","",IF(COUNTIF(Config!$A$10:$A$13,"&lt;="&amp;I231)=0,"Aguardar: ainda não chegou ao primeiro passo da régua.",INDEX(Config!$B$10:$B$13,COUNTIF(Config!$A$10:$A$13,"&lt;="&amp;I231))))</f>
        <v/>
      </c>
      <c r="M231" s="38">
        <f>IF(H231="Vencida",E231*I231+ROW()/100000,0)</f>
        <v>0</v>
      </c>
      <c r="N231" s="38">
        <f>IF(AND(H231="A vencer",J231&lt;=Config!$B$7),100000-J231-ROW()/100000,0)</f>
        <v>0</v>
      </c>
    </row>
    <row r="232">
      <c r="A232" s="32" t="n"/>
      <c r="B232" s="23">
        <f>IF(A232="","",IFERROR(INDEX(Casos!$B$5:$B$204,MATCH(A232,Casos!$A$5:$A$204,0)),""))</f>
        <v/>
      </c>
      <c r="C232" s="34" t="n"/>
      <c r="D232" s="37" t="n"/>
      <c r="E232" s="36" t="n"/>
      <c r="F232" s="34" t="n"/>
      <c r="G232" s="37" t="n"/>
      <c r="H232" s="24">
        <f>IF(A232="","",IF(F232="Sim","Paga",IF(D232="","Sem vencimento",IF(D232&lt;Config!$B$5,"Vencida","A vencer"))))</f>
        <v/>
      </c>
      <c r="I232" s="30">
        <f>IF(H232="Vencida",Config!$B$5-D232,"")</f>
        <v/>
      </c>
      <c r="J232" s="30">
        <f>IF(H232="A vencer",D232-Config!$B$5,"")</f>
        <v/>
      </c>
      <c r="K232" s="24">
        <f>IF(H232&lt;&gt;"Vencida","",IF(COUNTIF(Config!$A$10:$A$13,"&lt;="&amp;I232)=0,"Antes da régua",INDEX(Config!$C$10:$C$13,COUNTIF(Config!$A$10:$A$13,"&lt;="&amp;I232))))</f>
        <v/>
      </c>
      <c r="L232" s="23">
        <f>IF(H232&lt;&gt;"Vencida","",IF(COUNTIF(Config!$A$10:$A$13,"&lt;="&amp;I232)=0,"Aguardar: ainda não chegou ao primeiro passo da régua.",INDEX(Config!$B$10:$B$13,COUNTIF(Config!$A$10:$A$13,"&lt;="&amp;I232))))</f>
        <v/>
      </c>
      <c r="M232" s="38">
        <f>IF(H232="Vencida",E232*I232+ROW()/100000,0)</f>
        <v>0</v>
      </c>
      <c r="N232" s="38">
        <f>IF(AND(H232="A vencer",J232&lt;=Config!$B$7),100000-J232-ROW()/100000,0)</f>
        <v>0</v>
      </c>
    </row>
    <row r="233">
      <c r="A233" s="32" t="n"/>
      <c r="B233" s="23">
        <f>IF(A233="","",IFERROR(INDEX(Casos!$B$5:$B$204,MATCH(A233,Casos!$A$5:$A$204,0)),""))</f>
        <v/>
      </c>
      <c r="C233" s="34" t="n"/>
      <c r="D233" s="37" t="n"/>
      <c r="E233" s="36" t="n"/>
      <c r="F233" s="34" t="n"/>
      <c r="G233" s="37" t="n"/>
      <c r="H233" s="24">
        <f>IF(A233="","",IF(F233="Sim","Paga",IF(D233="","Sem vencimento",IF(D233&lt;Config!$B$5,"Vencida","A vencer"))))</f>
        <v/>
      </c>
      <c r="I233" s="30">
        <f>IF(H233="Vencida",Config!$B$5-D233,"")</f>
        <v/>
      </c>
      <c r="J233" s="30">
        <f>IF(H233="A vencer",D233-Config!$B$5,"")</f>
        <v/>
      </c>
      <c r="K233" s="24">
        <f>IF(H233&lt;&gt;"Vencida","",IF(COUNTIF(Config!$A$10:$A$13,"&lt;="&amp;I233)=0,"Antes da régua",INDEX(Config!$C$10:$C$13,COUNTIF(Config!$A$10:$A$13,"&lt;="&amp;I233))))</f>
        <v/>
      </c>
      <c r="L233" s="23">
        <f>IF(H233&lt;&gt;"Vencida","",IF(COUNTIF(Config!$A$10:$A$13,"&lt;="&amp;I233)=0,"Aguardar: ainda não chegou ao primeiro passo da régua.",INDEX(Config!$B$10:$B$13,COUNTIF(Config!$A$10:$A$13,"&lt;="&amp;I233))))</f>
        <v/>
      </c>
      <c r="M233" s="38">
        <f>IF(H233="Vencida",E233*I233+ROW()/100000,0)</f>
        <v>0</v>
      </c>
      <c r="N233" s="38">
        <f>IF(AND(H233="A vencer",J233&lt;=Config!$B$7),100000-J233-ROW()/100000,0)</f>
        <v>0</v>
      </c>
    </row>
    <row r="234">
      <c r="A234" s="32" t="n"/>
      <c r="B234" s="23">
        <f>IF(A234="","",IFERROR(INDEX(Casos!$B$5:$B$204,MATCH(A234,Casos!$A$5:$A$204,0)),""))</f>
        <v/>
      </c>
      <c r="C234" s="34" t="n"/>
      <c r="D234" s="37" t="n"/>
      <c r="E234" s="36" t="n"/>
      <c r="F234" s="34" t="n"/>
      <c r="G234" s="37" t="n"/>
      <c r="H234" s="24">
        <f>IF(A234="","",IF(F234="Sim","Paga",IF(D234="","Sem vencimento",IF(D234&lt;Config!$B$5,"Vencida","A vencer"))))</f>
        <v/>
      </c>
      <c r="I234" s="30">
        <f>IF(H234="Vencida",Config!$B$5-D234,"")</f>
        <v/>
      </c>
      <c r="J234" s="30">
        <f>IF(H234="A vencer",D234-Config!$B$5,"")</f>
        <v/>
      </c>
      <c r="K234" s="24">
        <f>IF(H234&lt;&gt;"Vencida","",IF(COUNTIF(Config!$A$10:$A$13,"&lt;="&amp;I234)=0,"Antes da régua",INDEX(Config!$C$10:$C$13,COUNTIF(Config!$A$10:$A$13,"&lt;="&amp;I234))))</f>
        <v/>
      </c>
      <c r="L234" s="23">
        <f>IF(H234&lt;&gt;"Vencida","",IF(COUNTIF(Config!$A$10:$A$13,"&lt;="&amp;I234)=0,"Aguardar: ainda não chegou ao primeiro passo da régua.",INDEX(Config!$B$10:$B$13,COUNTIF(Config!$A$10:$A$13,"&lt;="&amp;I234))))</f>
        <v/>
      </c>
      <c r="M234" s="38">
        <f>IF(H234="Vencida",E234*I234+ROW()/100000,0)</f>
        <v>0</v>
      </c>
      <c r="N234" s="38">
        <f>IF(AND(H234="A vencer",J234&lt;=Config!$B$7),100000-J234-ROW()/100000,0)</f>
        <v>0</v>
      </c>
    </row>
    <row r="235">
      <c r="A235" s="32" t="n"/>
      <c r="B235" s="23">
        <f>IF(A235="","",IFERROR(INDEX(Casos!$B$5:$B$204,MATCH(A235,Casos!$A$5:$A$204,0)),""))</f>
        <v/>
      </c>
      <c r="C235" s="34" t="n"/>
      <c r="D235" s="37" t="n"/>
      <c r="E235" s="36" t="n"/>
      <c r="F235" s="34" t="n"/>
      <c r="G235" s="37" t="n"/>
      <c r="H235" s="24">
        <f>IF(A235="","",IF(F235="Sim","Paga",IF(D235="","Sem vencimento",IF(D235&lt;Config!$B$5,"Vencida","A vencer"))))</f>
        <v/>
      </c>
      <c r="I235" s="30">
        <f>IF(H235="Vencida",Config!$B$5-D235,"")</f>
        <v/>
      </c>
      <c r="J235" s="30">
        <f>IF(H235="A vencer",D235-Config!$B$5,"")</f>
        <v/>
      </c>
      <c r="K235" s="24">
        <f>IF(H235&lt;&gt;"Vencida","",IF(COUNTIF(Config!$A$10:$A$13,"&lt;="&amp;I235)=0,"Antes da régua",INDEX(Config!$C$10:$C$13,COUNTIF(Config!$A$10:$A$13,"&lt;="&amp;I235))))</f>
        <v/>
      </c>
      <c r="L235" s="23">
        <f>IF(H235&lt;&gt;"Vencida","",IF(COUNTIF(Config!$A$10:$A$13,"&lt;="&amp;I235)=0,"Aguardar: ainda não chegou ao primeiro passo da régua.",INDEX(Config!$B$10:$B$13,COUNTIF(Config!$A$10:$A$13,"&lt;="&amp;I235))))</f>
        <v/>
      </c>
      <c r="M235" s="38">
        <f>IF(H235="Vencida",E235*I235+ROW()/100000,0)</f>
        <v>0</v>
      </c>
      <c r="N235" s="38">
        <f>IF(AND(H235="A vencer",J235&lt;=Config!$B$7),100000-J235-ROW()/100000,0)</f>
        <v>0</v>
      </c>
    </row>
    <row r="236">
      <c r="A236" s="32" t="n"/>
      <c r="B236" s="23">
        <f>IF(A236="","",IFERROR(INDEX(Casos!$B$5:$B$204,MATCH(A236,Casos!$A$5:$A$204,0)),""))</f>
        <v/>
      </c>
      <c r="C236" s="34" t="n"/>
      <c r="D236" s="37" t="n"/>
      <c r="E236" s="36" t="n"/>
      <c r="F236" s="34" t="n"/>
      <c r="G236" s="37" t="n"/>
      <c r="H236" s="24">
        <f>IF(A236="","",IF(F236="Sim","Paga",IF(D236="","Sem vencimento",IF(D236&lt;Config!$B$5,"Vencida","A vencer"))))</f>
        <v/>
      </c>
      <c r="I236" s="30">
        <f>IF(H236="Vencida",Config!$B$5-D236,"")</f>
        <v/>
      </c>
      <c r="J236" s="30">
        <f>IF(H236="A vencer",D236-Config!$B$5,"")</f>
        <v/>
      </c>
      <c r="K236" s="24">
        <f>IF(H236&lt;&gt;"Vencida","",IF(COUNTIF(Config!$A$10:$A$13,"&lt;="&amp;I236)=0,"Antes da régua",INDEX(Config!$C$10:$C$13,COUNTIF(Config!$A$10:$A$13,"&lt;="&amp;I236))))</f>
        <v/>
      </c>
      <c r="L236" s="23">
        <f>IF(H236&lt;&gt;"Vencida","",IF(COUNTIF(Config!$A$10:$A$13,"&lt;="&amp;I236)=0,"Aguardar: ainda não chegou ao primeiro passo da régua.",INDEX(Config!$B$10:$B$13,COUNTIF(Config!$A$10:$A$13,"&lt;="&amp;I236))))</f>
        <v/>
      </c>
      <c r="M236" s="38">
        <f>IF(H236="Vencida",E236*I236+ROW()/100000,0)</f>
        <v>0</v>
      </c>
      <c r="N236" s="38">
        <f>IF(AND(H236="A vencer",J236&lt;=Config!$B$7),100000-J236-ROW()/100000,0)</f>
        <v>0</v>
      </c>
    </row>
    <row r="237">
      <c r="A237" s="32" t="n"/>
      <c r="B237" s="23">
        <f>IF(A237="","",IFERROR(INDEX(Casos!$B$5:$B$204,MATCH(A237,Casos!$A$5:$A$204,0)),""))</f>
        <v/>
      </c>
      <c r="C237" s="34" t="n"/>
      <c r="D237" s="37" t="n"/>
      <c r="E237" s="36" t="n"/>
      <c r="F237" s="34" t="n"/>
      <c r="G237" s="37" t="n"/>
      <c r="H237" s="24">
        <f>IF(A237="","",IF(F237="Sim","Paga",IF(D237="","Sem vencimento",IF(D237&lt;Config!$B$5,"Vencida","A vencer"))))</f>
        <v/>
      </c>
      <c r="I237" s="30">
        <f>IF(H237="Vencida",Config!$B$5-D237,"")</f>
        <v/>
      </c>
      <c r="J237" s="30">
        <f>IF(H237="A vencer",D237-Config!$B$5,"")</f>
        <v/>
      </c>
      <c r="K237" s="24">
        <f>IF(H237&lt;&gt;"Vencida","",IF(COUNTIF(Config!$A$10:$A$13,"&lt;="&amp;I237)=0,"Antes da régua",INDEX(Config!$C$10:$C$13,COUNTIF(Config!$A$10:$A$13,"&lt;="&amp;I237))))</f>
        <v/>
      </c>
      <c r="L237" s="23">
        <f>IF(H237&lt;&gt;"Vencida","",IF(COUNTIF(Config!$A$10:$A$13,"&lt;="&amp;I237)=0,"Aguardar: ainda não chegou ao primeiro passo da régua.",INDEX(Config!$B$10:$B$13,COUNTIF(Config!$A$10:$A$13,"&lt;="&amp;I237))))</f>
        <v/>
      </c>
      <c r="M237" s="38">
        <f>IF(H237="Vencida",E237*I237+ROW()/100000,0)</f>
        <v>0</v>
      </c>
      <c r="N237" s="38">
        <f>IF(AND(H237="A vencer",J237&lt;=Config!$B$7),100000-J237-ROW()/100000,0)</f>
        <v>0</v>
      </c>
    </row>
    <row r="238">
      <c r="A238" s="32" t="n"/>
      <c r="B238" s="23">
        <f>IF(A238="","",IFERROR(INDEX(Casos!$B$5:$B$204,MATCH(A238,Casos!$A$5:$A$204,0)),""))</f>
        <v/>
      </c>
      <c r="C238" s="34" t="n"/>
      <c r="D238" s="37" t="n"/>
      <c r="E238" s="36" t="n"/>
      <c r="F238" s="34" t="n"/>
      <c r="G238" s="37" t="n"/>
      <c r="H238" s="24">
        <f>IF(A238="","",IF(F238="Sim","Paga",IF(D238="","Sem vencimento",IF(D238&lt;Config!$B$5,"Vencida","A vencer"))))</f>
        <v/>
      </c>
      <c r="I238" s="30">
        <f>IF(H238="Vencida",Config!$B$5-D238,"")</f>
        <v/>
      </c>
      <c r="J238" s="30">
        <f>IF(H238="A vencer",D238-Config!$B$5,"")</f>
        <v/>
      </c>
      <c r="K238" s="24">
        <f>IF(H238&lt;&gt;"Vencida","",IF(COUNTIF(Config!$A$10:$A$13,"&lt;="&amp;I238)=0,"Antes da régua",INDEX(Config!$C$10:$C$13,COUNTIF(Config!$A$10:$A$13,"&lt;="&amp;I238))))</f>
        <v/>
      </c>
      <c r="L238" s="23">
        <f>IF(H238&lt;&gt;"Vencida","",IF(COUNTIF(Config!$A$10:$A$13,"&lt;="&amp;I238)=0,"Aguardar: ainda não chegou ao primeiro passo da régua.",INDEX(Config!$B$10:$B$13,COUNTIF(Config!$A$10:$A$13,"&lt;="&amp;I238))))</f>
        <v/>
      </c>
      <c r="M238" s="38">
        <f>IF(H238="Vencida",E238*I238+ROW()/100000,0)</f>
        <v>0</v>
      </c>
      <c r="N238" s="38">
        <f>IF(AND(H238="A vencer",J238&lt;=Config!$B$7),100000-J238-ROW()/100000,0)</f>
        <v>0</v>
      </c>
    </row>
    <row r="239">
      <c r="A239" s="32" t="n"/>
      <c r="B239" s="23">
        <f>IF(A239="","",IFERROR(INDEX(Casos!$B$5:$B$204,MATCH(A239,Casos!$A$5:$A$204,0)),""))</f>
        <v/>
      </c>
      <c r="C239" s="34" t="n"/>
      <c r="D239" s="37" t="n"/>
      <c r="E239" s="36" t="n"/>
      <c r="F239" s="34" t="n"/>
      <c r="G239" s="37" t="n"/>
      <c r="H239" s="24">
        <f>IF(A239="","",IF(F239="Sim","Paga",IF(D239="","Sem vencimento",IF(D239&lt;Config!$B$5,"Vencida","A vencer"))))</f>
        <v/>
      </c>
      <c r="I239" s="30">
        <f>IF(H239="Vencida",Config!$B$5-D239,"")</f>
        <v/>
      </c>
      <c r="J239" s="30">
        <f>IF(H239="A vencer",D239-Config!$B$5,"")</f>
        <v/>
      </c>
      <c r="K239" s="24">
        <f>IF(H239&lt;&gt;"Vencida","",IF(COUNTIF(Config!$A$10:$A$13,"&lt;="&amp;I239)=0,"Antes da régua",INDEX(Config!$C$10:$C$13,COUNTIF(Config!$A$10:$A$13,"&lt;="&amp;I239))))</f>
        <v/>
      </c>
      <c r="L239" s="23">
        <f>IF(H239&lt;&gt;"Vencida","",IF(COUNTIF(Config!$A$10:$A$13,"&lt;="&amp;I239)=0,"Aguardar: ainda não chegou ao primeiro passo da régua.",INDEX(Config!$B$10:$B$13,COUNTIF(Config!$A$10:$A$13,"&lt;="&amp;I239))))</f>
        <v/>
      </c>
      <c r="M239" s="38">
        <f>IF(H239="Vencida",E239*I239+ROW()/100000,0)</f>
        <v>0</v>
      </c>
      <c r="N239" s="38">
        <f>IF(AND(H239="A vencer",J239&lt;=Config!$B$7),100000-J239-ROW()/100000,0)</f>
        <v>0</v>
      </c>
    </row>
    <row r="240">
      <c r="A240" s="32" t="n"/>
      <c r="B240" s="23">
        <f>IF(A240="","",IFERROR(INDEX(Casos!$B$5:$B$204,MATCH(A240,Casos!$A$5:$A$204,0)),""))</f>
        <v/>
      </c>
      <c r="C240" s="34" t="n"/>
      <c r="D240" s="37" t="n"/>
      <c r="E240" s="36" t="n"/>
      <c r="F240" s="34" t="n"/>
      <c r="G240" s="37" t="n"/>
      <c r="H240" s="24">
        <f>IF(A240="","",IF(F240="Sim","Paga",IF(D240="","Sem vencimento",IF(D240&lt;Config!$B$5,"Vencida","A vencer"))))</f>
        <v/>
      </c>
      <c r="I240" s="30">
        <f>IF(H240="Vencida",Config!$B$5-D240,"")</f>
        <v/>
      </c>
      <c r="J240" s="30">
        <f>IF(H240="A vencer",D240-Config!$B$5,"")</f>
        <v/>
      </c>
      <c r="K240" s="24">
        <f>IF(H240&lt;&gt;"Vencida","",IF(COUNTIF(Config!$A$10:$A$13,"&lt;="&amp;I240)=0,"Antes da régua",INDEX(Config!$C$10:$C$13,COUNTIF(Config!$A$10:$A$13,"&lt;="&amp;I240))))</f>
        <v/>
      </c>
      <c r="L240" s="23">
        <f>IF(H240&lt;&gt;"Vencida","",IF(COUNTIF(Config!$A$10:$A$13,"&lt;="&amp;I240)=0,"Aguardar: ainda não chegou ao primeiro passo da régua.",INDEX(Config!$B$10:$B$13,COUNTIF(Config!$A$10:$A$13,"&lt;="&amp;I240))))</f>
        <v/>
      </c>
      <c r="M240" s="38">
        <f>IF(H240="Vencida",E240*I240+ROW()/100000,0)</f>
        <v>0</v>
      </c>
      <c r="N240" s="38">
        <f>IF(AND(H240="A vencer",J240&lt;=Config!$B$7),100000-J240-ROW()/100000,0)</f>
        <v>0</v>
      </c>
    </row>
    <row r="241">
      <c r="A241" s="32" t="n"/>
      <c r="B241" s="23">
        <f>IF(A241="","",IFERROR(INDEX(Casos!$B$5:$B$204,MATCH(A241,Casos!$A$5:$A$204,0)),""))</f>
        <v/>
      </c>
      <c r="C241" s="34" t="n"/>
      <c r="D241" s="37" t="n"/>
      <c r="E241" s="36" t="n"/>
      <c r="F241" s="34" t="n"/>
      <c r="G241" s="37" t="n"/>
      <c r="H241" s="24">
        <f>IF(A241="","",IF(F241="Sim","Paga",IF(D241="","Sem vencimento",IF(D241&lt;Config!$B$5,"Vencida","A vencer"))))</f>
        <v/>
      </c>
      <c r="I241" s="30">
        <f>IF(H241="Vencida",Config!$B$5-D241,"")</f>
        <v/>
      </c>
      <c r="J241" s="30">
        <f>IF(H241="A vencer",D241-Config!$B$5,"")</f>
        <v/>
      </c>
      <c r="K241" s="24">
        <f>IF(H241&lt;&gt;"Vencida","",IF(COUNTIF(Config!$A$10:$A$13,"&lt;="&amp;I241)=0,"Antes da régua",INDEX(Config!$C$10:$C$13,COUNTIF(Config!$A$10:$A$13,"&lt;="&amp;I241))))</f>
        <v/>
      </c>
      <c r="L241" s="23">
        <f>IF(H241&lt;&gt;"Vencida","",IF(COUNTIF(Config!$A$10:$A$13,"&lt;="&amp;I241)=0,"Aguardar: ainda não chegou ao primeiro passo da régua.",INDEX(Config!$B$10:$B$13,COUNTIF(Config!$A$10:$A$13,"&lt;="&amp;I241))))</f>
        <v/>
      </c>
      <c r="M241" s="38">
        <f>IF(H241="Vencida",E241*I241+ROW()/100000,0)</f>
        <v>0</v>
      </c>
      <c r="N241" s="38">
        <f>IF(AND(H241="A vencer",J241&lt;=Config!$B$7),100000-J241-ROW()/100000,0)</f>
        <v>0</v>
      </c>
    </row>
    <row r="242">
      <c r="A242" s="32" t="n"/>
      <c r="B242" s="23">
        <f>IF(A242="","",IFERROR(INDEX(Casos!$B$5:$B$204,MATCH(A242,Casos!$A$5:$A$204,0)),""))</f>
        <v/>
      </c>
      <c r="C242" s="34" t="n"/>
      <c r="D242" s="37" t="n"/>
      <c r="E242" s="36" t="n"/>
      <c r="F242" s="34" t="n"/>
      <c r="G242" s="37" t="n"/>
      <c r="H242" s="24">
        <f>IF(A242="","",IF(F242="Sim","Paga",IF(D242="","Sem vencimento",IF(D242&lt;Config!$B$5,"Vencida","A vencer"))))</f>
        <v/>
      </c>
      <c r="I242" s="30">
        <f>IF(H242="Vencida",Config!$B$5-D242,"")</f>
        <v/>
      </c>
      <c r="J242" s="30">
        <f>IF(H242="A vencer",D242-Config!$B$5,"")</f>
        <v/>
      </c>
      <c r="K242" s="24">
        <f>IF(H242&lt;&gt;"Vencida","",IF(COUNTIF(Config!$A$10:$A$13,"&lt;="&amp;I242)=0,"Antes da régua",INDEX(Config!$C$10:$C$13,COUNTIF(Config!$A$10:$A$13,"&lt;="&amp;I242))))</f>
        <v/>
      </c>
      <c r="L242" s="23">
        <f>IF(H242&lt;&gt;"Vencida","",IF(COUNTIF(Config!$A$10:$A$13,"&lt;="&amp;I242)=0,"Aguardar: ainda não chegou ao primeiro passo da régua.",INDEX(Config!$B$10:$B$13,COUNTIF(Config!$A$10:$A$13,"&lt;="&amp;I242))))</f>
        <v/>
      </c>
      <c r="M242" s="38">
        <f>IF(H242="Vencida",E242*I242+ROW()/100000,0)</f>
        <v>0</v>
      </c>
      <c r="N242" s="38">
        <f>IF(AND(H242="A vencer",J242&lt;=Config!$B$7),100000-J242-ROW()/100000,0)</f>
        <v>0</v>
      </c>
    </row>
    <row r="243">
      <c r="A243" s="32" t="n"/>
      <c r="B243" s="23">
        <f>IF(A243="","",IFERROR(INDEX(Casos!$B$5:$B$204,MATCH(A243,Casos!$A$5:$A$204,0)),""))</f>
        <v/>
      </c>
      <c r="C243" s="34" t="n"/>
      <c r="D243" s="37" t="n"/>
      <c r="E243" s="36" t="n"/>
      <c r="F243" s="34" t="n"/>
      <c r="G243" s="37" t="n"/>
      <c r="H243" s="24">
        <f>IF(A243="","",IF(F243="Sim","Paga",IF(D243="","Sem vencimento",IF(D243&lt;Config!$B$5,"Vencida","A vencer"))))</f>
        <v/>
      </c>
      <c r="I243" s="30">
        <f>IF(H243="Vencida",Config!$B$5-D243,"")</f>
        <v/>
      </c>
      <c r="J243" s="30">
        <f>IF(H243="A vencer",D243-Config!$B$5,"")</f>
        <v/>
      </c>
      <c r="K243" s="24">
        <f>IF(H243&lt;&gt;"Vencida","",IF(COUNTIF(Config!$A$10:$A$13,"&lt;="&amp;I243)=0,"Antes da régua",INDEX(Config!$C$10:$C$13,COUNTIF(Config!$A$10:$A$13,"&lt;="&amp;I243))))</f>
        <v/>
      </c>
      <c r="L243" s="23">
        <f>IF(H243&lt;&gt;"Vencida","",IF(COUNTIF(Config!$A$10:$A$13,"&lt;="&amp;I243)=0,"Aguardar: ainda não chegou ao primeiro passo da régua.",INDEX(Config!$B$10:$B$13,COUNTIF(Config!$A$10:$A$13,"&lt;="&amp;I243))))</f>
        <v/>
      </c>
      <c r="M243" s="38">
        <f>IF(H243="Vencida",E243*I243+ROW()/100000,0)</f>
        <v>0</v>
      </c>
      <c r="N243" s="38">
        <f>IF(AND(H243="A vencer",J243&lt;=Config!$B$7),100000-J243-ROW()/100000,0)</f>
        <v>0</v>
      </c>
    </row>
    <row r="244">
      <c r="A244" s="32" t="n"/>
      <c r="B244" s="23">
        <f>IF(A244="","",IFERROR(INDEX(Casos!$B$5:$B$204,MATCH(A244,Casos!$A$5:$A$204,0)),""))</f>
        <v/>
      </c>
      <c r="C244" s="34" t="n"/>
      <c r="D244" s="37" t="n"/>
      <c r="E244" s="36" t="n"/>
      <c r="F244" s="34" t="n"/>
      <c r="G244" s="37" t="n"/>
      <c r="H244" s="24">
        <f>IF(A244="","",IF(F244="Sim","Paga",IF(D244="","Sem vencimento",IF(D244&lt;Config!$B$5,"Vencida","A vencer"))))</f>
        <v/>
      </c>
      <c r="I244" s="30">
        <f>IF(H244="Vencida",Config!$B$5-D244,"")</f>
        <v/>
      </c>
      <c r="J244" s="30">
        <f>IF(H244="A vencer",D244-Config!$B$5,"")</f>
        <v/>
      </c>
      <c r="K244" s="24">
        <f>IF(H244&lt;&gt;"Vencida","",IF(COUNTIF(Config!$A$10:$A$13,"&lt;="&amp;I244)=0,"Antes da régua",INDEX(Config!$C$10:$C$13,COUNTIF(Config!$A$10:$A$13,"&lt;="&amp;I244))))</f>
        <v/>
      </c>
      <c r="L244" s="23">
        <f>IF(H244&lt;&gt;"Vencida","",IF(COUNTIF(Config!$A$10:$A$13,"&lt;="&amp;I244)=0,"Aguardar: ainda não chegou ao primeiro passo da régua.",INDEX(Config!$B$10:$B$13,COUNTIF(Config!$A$10:$A$13,"&lt;="&amp;I244))))</f>
        <v/>
      </c>
      <c r="M244" s="38">
        <f>IF(H244="Vencida",E244*I244+ROW()/100000,0)</f>
        <v>0</v>
      </c>
      <c r="N244" s="38">
        <f>IF(AND(H244="A vencer",J244&lt;=Config!$B$7),100000-J244-ROW()/100000,0)</f>
        <v>0</v>
      </c>
    </row>
    <row r="245">
      <c r="A245" s="32" t="n"/>
      <c r="B245" s="23">
        <f>IF(A245="","",IFERROR(INDEX(Casos!$B$5:$B$204,MATCH(A245,Casos!$A$5:$A$204,0)),""))</f>
        <v/>
      </c>
      <c r="C245" s="34" t="n"/>
      <c r="D245" s="37" t="n"/>
      <c r="E245" s="36" t="n"/>
      <c r="F245" s="34" t="n"/>
      <c r="G245" s="37" t="n"/>
      <c r="H245" s="24">
        <f>IF(A245="","",IF(F245="Sim","Paga",IF(D245="","Sem vencimento",IF(D245&lt;Config!$B$5,"Vencida","A vencer"))))</f>
        <v/>
      </c>
      <c r="I245" s="30">
        <f>IF(H245="Vencida",Config!$B$5-D245,"")</f>
        <v/>
      </c>
      <c r="J245" s="30">
        <f>IF(H245="A vencer",D245-Config!$B$5,"")</f>
        <v/>
      </c>
      <c r="K245" s="24">
        <f>IF(H245&lt;&gt;"Vencida","",IF(COUNTIF(Config!$A$10:$A$13,"&lt;="&amp;I245)=0,"Antes da régua",INDEX(Config!$C$10:$C$13,COUNTIF(Config!$A$10:$A$13,"&lt;="&amp;I245))))</f>
        <v/>
      </c>
      <c r="L245" s="23">
        <f>IF(H245&lt;&gt;"Vencida","",IF(COUNTIF(Config!$A$10:$A$13,"&lt;="&amp;I245)=0,"Aguardar: ainda não chegou ao primeiro passo da régua.",INDEX(Config!$B$10:$B$13,COUNTIF(Config!$A$10:$A$13,"&lt;="&amp;I245))))</f>
        <v/>
      </c>
      <c r="M245" s="38">
        <f>IF(H245="Vencida",E245*I245+ROW()/100000,0)</f>
        <v>0</v>
      </c>
      <c r="N245" s="38">
        <f>IF(AND(H245="A vencer",J245&lt;=Config!$B$7),100000-J245-ROW()/100000,0)</f>
        <v>0</v>
      </c>
    </row>
    <row r="246">
      <c r="A246" s="32" t="n"/>
      <c r="B246" s="23">
        <f>IF(A246="","",IFERROR(INDEX(Casos!$B$5:$B$204,MATCH(A246,Casos!$A$5:$A$204,0)),""))</f>
        <v/>
      </c>
      <c r="C246" s="34" t="n"/>
      <c r="D246" s="37" t="n"/>
      <c r="E246" s="36" t="n"/>
      <c r="F246" s="34" t="n"/>
      <c r="G246" s="37" t="n"/>
      <c r="H246" s="24">
        <f>IF(A246="","",IF(F246="Sim","Paga",IF(D246="","Sem vencimento",IF(D246&lt;Config!$B$5,"Vencida","A vencer"))))</f>
        <v/>
      </c>
      <c r="I246" s="30">
        <f>IF(H246="Vencida",Config!$B$5-D246,"")</f>
        <v/>
      </c>
      <c r="J246" s="30">
        <f>IF(H246="A vencer",D246-Config!$B$5,"")</f>
        <v/>
      </c>
      <c r="K246" s="24">
        <f>IF(H246&lt;&gt;"Vencida","",IF(COUNTIF(Config!$A$10:$A$13,"&lt;="&amp;I246)=0,"Antes da régua",INDEX(Config!$C$10:$C$13,COUNTIF(Config!$A$10:$A$13,"&lt;="&amp;I246))))</f>
        <v/>
      </c>
      <c r="L246" s="23">
        <f>IF(H246&lt;&gt;"Vencida","",IF(COUNTIF(Config!$A$10:$A$13,"&lt;="&amp;I246)=0,"Aguardar: ainda não chegou ao primeiro passo da régua.",INDEX(Config!$B$10:$B$13,COUNTIF(Config!$A$10:$A$13,"&lt;="&amp;I246))))</f>
        <v/>
      </c>
      <c r="M246" s="38">
        <f>IF(H246="Vencida",E246*I246+ROW()/100000,0)</f>
        <v>0</v>
      </c>
      <c r="N246" s="38">
        <f>IF(AND(H246="A vencer",J246&lt;=Config!$B$7),100000-J246-ROW()/100000,0)</f>
        <v>0</v>
      </c>
    </row>
    <row r="247">
      <c r="A247" s="32" t="n"/>
      <c r="B247" s="23">
        <f>IF(A247="","",IFERROR(INDEX(Casos!$B$5:$B$204,MATCH(A247,Casos!$A$5:$A$204,0)),""))</f>
        <v/>
      </c>
      <c r="C247" s="34" t="n"/>
      <c r="D247" s="37" t="n"/>
      <c r="E247" s="36" t="n"/>
      <c r="F247" s="34" t="n"/>
      <c r="G247" s="37" t="n"/>
      <c r="H247" s="24">
        <f>IF(A247="","",IF(F247="Sim","Paga",IF(D247="","Sem vencimento",IF(D247&lt;Config!$B$5,"Vencida","A vencer"))))</f>
        <v/>
      </c>
      <c r="I247" s="30">
        <f>IF(H247="Vencida",Config!$B$5-D247,"")</f>
        <v/>
      </c>
      <c r="J247" s="30">
        <f>IF(H247="A vencer",D247-Config!$B$5,"")</f>
        <v/>
      </c>
      <c r="K247" s="24">
        <f>IF(H247&lt;&gt;"Vencida","",IF(COUNTIF(Config!$A$10:$A$13,"&lt;="&amp;I247)=0,"Antes da régua",INDEX(Config!$C$10:$C$13,COUNTIF(Config!$A$10:$A$13,"&lt;="&amp;I247))))</f>
        <v/>
      </c>
      <c r="L247" s="23">
        <f>IF(H247&lt;&gt;"Vencida","",IF(COUNTIF(Config!$A$10:$A$13,"&lt;="&amp;I247)=0,"Aguardar: ainda não chegou ao primeiro passo da régua.",INDEX(Config!$B$10:$B$13,COUNTIF(Config!$A$10:$A$13,"&lt;="&amp;I247))))</f>
        <v/>
      </c>
      <c r="M247" s="38">
        <f>IF(H247="Vencida",E247*I247+ROW()/100000,0)</f>
        <v>0</v>
      </c>
      <c r="N247" s="38">
        <f>IF(AND(H247="A vencer",J247&lt;=Config!$B$7),100000-J247-ROW()/100000,0)</f>
        <v>0</v>
      </c>
    </row>
    <row r="248">
      <c r="A248" s="32" t="n"/>
      <c r="B248" s="23">
        <f>IF(A248="","",IFERROR(INDEX(Casos!$B$5:$B$204,MATCH(A248,Casos!$A$5:$A$204,0)),""))</f>
        <v/>
      </c>
      <c r="C248" s="34" t="n"/>
      <c r="D248" s="37" t="n"/>
      <c r="E248" s="36" t="n"/>
      <c r="F248" s="34" t="n"/>
      <c r="G248" s="37" t="n"/>
      <c r="H248" s="24">
        <f>IF(A248="","",IF(F248="Sim","Paga",IF(D248="","Sem vencimento",IF(D248&lt;Config!$B$5,"Vencida","A vencer"))))</f>
        <v/>
      </c>
      <c r="I248" s="30">
        <f>IF(H248="Vencida",Config!$B$5-D248,"")</f>
        <v/>
      </c>
      <c r="J248" s="30">
        <f>IF(H248="A vencer",D248-Config!$B$5,"")</f>
        <v/>
      </c>
      <c r="K248" s="24">
        <f>IF(H248&lt;&gt;"Vencida","",IF(COUNTIF(Config!$A$10:$A$13,"&lt;="&amp;I248)=0,"Antes da régua",INDEX(Config!$C$10:$C$13,COUNTIF(Config!$A$10:$A$13,"&lt;="&amp;I248))))</f>
        <v/>
      </c>
      <c r="L248" s="23">
        <f>IF(H248&lt;&gt;"Vencida","",IF(COUNTIF(Config!$A$10:$A$13,"&lt;="&amp;I248)=0,"Aguardar: ainda não chegou ao primeiro passo da régua.",INDEX(Config!$B$10:$B$13,COUNTIF(Config!$A$10:$A$13,"&lt;="&amp;I248))))</f>
        <v/>
      </c>
      <c r="M248" s="38">
        <f>IF(H248="Vencida",E248*I248+ROW()/100000,0)</f>
        <v>0</v>
      </c>
      <c r="N248" s="38">
        <f>IF(AND(H248="A vencer",J248&lt;=Config!$B$7),100000-J248-ROW()/100000,0)</f>
        <v>0</v>
      </c>
    </row>
    <row r="249">
      <c r="A249" s="32" t="n"/>
      <c r="B249" s="23">
        <f>IF(A249="","",IFERROR(INDEX(Casos!$B$5:$B$204,MATCH(A249,Casos!$A$5:$A$204,0)),""))</f>
        <v/>
      </c>
      <c r="C249" s="34" t="n"/>
      <c r="D249" s="37" t="n"/>
      <c r="E249" s="36" t="n"/>
      <c r="F249" s="34" t="n"/>
      <c r="G249" s="37" t="n"/>
      <c r="H249" s="24">
        <f>IF(A249="","",IF(F249="Sim","Paga",IF(D249="","Sem vencimento",IF(D249&lt;Config!$B$5,"Vencida","A vencer"))))</f>
        <v/>
      </c>
      <c r="I249" s="30">
        <f>IF(H249="Vencida",Config!$B$5-D249,"")</f>
        <v/>
      </c>
      <c r="J249" s="30">
        <f>IF(H249="A vencer",D249-Config!$B$5,"")</f>
        <v/>
      </c>
      <c r="K249" s="24">
        <f>IF(H249&lt;&gt;"Vencida","",IF(COUNTIF(Config!$A$10:$A$13,"&lt;="&amp;I249)=0,"Antes da régua",INDEX(Config!$C$10:$C$13,COUNTIF(Config!$A$10:$A$13,"&lt;="&amp;I249))))</f>
        <v/>
      </c>
      <c r="L249" s="23">
        <f>IF(H249&lt;&gt;"Vencida","",IF(COUNTIF(Config!$A$10:$A$13,"&lt;="&amp;I249)=0,"Aguardar: ainda não chegou ao primeiro passo da régua.",INDEX(Config!$B$10:$B$13,COUNTIF(Config!$A$10:$A$13,"&lt;="&amp;I249))))</f>
        <v/>
      </c>
      <c r="M249" s="38">
        <f>IF(H249="Vencida",E249*I249+ROW()/100000,0)</f>
        <v>0</v>
      </c>
      <c r="N249" s="38">
        <f>IF(AND(H249="A vencer",J249&lt;=Config!$B$7),100000-J249-ROW()/100000,0)</f>
        <v>0</v>
      </c>
    </row>
    <row r="250">
      <c r="A250" s="32" t="n"/>
      <c r="B250" s="23">
        <f>IF(A250="","",IFERROR(INDEX(Casos!$B$5:$B$204,MATCH(A250,Casos!$A$5:$A$204,0)),""))</f>
        <v/>
      </c>
      <c r="C250" s="34" t="n"/>
      <c r="D250" s="37" t="n"/>
      <c r="E250" s="36" t="n"/>
      <c r="F250" s="34" t="n"/>
      <c r="G250" s="37" t="n"/>
      <c r="H250" s="24">
        <f>IF(A250="","",IF(F250="Sim","Paga",IF(D250="","Sem vencimento",IF(D250&lt;Config!$B$5,"Vencida","A vencer"))))</f>
        <v/>
      </c>
      <c r="I250" s="30">
        <f>IF(H250="Vencida",Config!$B$5-D250,"")</f>
        <v/>
      </c>
      <c r="J250" s="30">
        <f>IF(H250="A vencer",D250-Config!$B$5,"")</f>
        <v/>
      </c>
      <c r="K250" s="24">
        <f>IF(H250&lt;&gt;"Vencida","",IF(COUNTIF(Config!$A$10:$A$13,"&lt;="&amp;I250)=0,"Antes da régua",INDEX(Config!$C$10:$C$13,COUNTIF(Config!$A$10:$A$13,"&lt;="&amp;I250))))</f>
        <v/>
      </c>
      <c r="L250" s="23">
        <f>IF(H250&lt;&gt;"Vencida","",IF(COUNTIF(Config!$A$10:$A$13,"&lt;="&amp;I250)=0,"Aguardar: ainda não chegou ao primeiro passo da régua.",INDEX(Config!$B$10:$B$13,COUNTIF(Config!$A$10:$A$13,"&lt;="&amp;I250))))</f>
        <v/>
      </c>
      <c r="M250" s="38">
        <f>IF(H250="Vencida",E250*I250+ROW()/100000,0)</f>
        <v>0</v>
      </c>
      <c r="N250" s="38">
        <f>IF(AND(H250="A vencer",J250&lt;=Config!$B$7),100000-J250-ROW()/100000,0)</f>
        <v>0</v>
      </c>
    </row>
    <row r="251">
      <c r="A251" s="32" t="n"/>
      <c r="B251" s="23">
        <f>IF(A251="","",IFERROR(INDEX(Casos!$B$5:$B$204,MATCH(A251,Casos!$A$5:$A$204,0)),""))</f>
        <v/>
      </c>
      <c r="C251" s="34" t="n"/>
      <c r="D251" s="37" t="n"/>
      <c r="E251" s="36" t="n"/>
      <c r="F251" s="34" t="n"/>
      <c r="G251" s="37" t="n"/>
      <c r="H251" s="24">
        <f>IF(A251="","",IF(F251="Sim","Paga",IF(D251="","Sem vencimento",IF(D251&lt;Config!$B$5,"Vencida","A vencer"))))</f>
        <v/>
      </c>
      <c r="I251" s="30">
        <f>IF(H251="Vencida",Config!$B$5-D251,"")</f>
        <v/>
      </c>
      <c r="J251" s="30">
        <f>IF(H251="A vencer",D251-Config!$B$5,"")</f>
        <v/>
      </c>
      <c r="K251" s="24">
        <f>IF(H251&lt;&gt;"Vencida","",IF(COUNTIF(Config!$A$10:$A$13,"&lt;="&amp;I251)=0,"Antes da régua",INDEX(Config!$C$10:$C$13,COUNTIF(Config!$A$10:$A$13,"&lt;="&amp;I251))))</f>
        <v/>
      </c>
      <c r="L251" s="23">
        <f>IF(H251&lt;&gt;"Vencida","",IF(COUNTIF(Config!$A$10:$A$13,"&lt;="&amp;I251)=0,"Aguardar: ainda não chegou ao primeiro passo da régua.",INDEX(Config!$B$10:$B$13,COUNTIF(Config!$A$10:$A$13,"&lt;="&amp;I251))))</f>
        <v/>
      </c>
      <c r="M251" s="38">
        <f>IF(H251="Vencida",E251*I251+ROW()/100000,0)</f>
        <v>0</v>
      </c>
      <c r="N251" s="38">
        <f>IF(AND(H251="A vencer",J251&lt;=Config!$B$7),100000-J251-ROW()/100000,0)</f>
        <v>0</v>
      </c>
    </row>
    <row r="252">
      <c r="A252" s="32" t="n"/>
      <c r="B252" s="23">
        <f>IF(A252="","",IFERROR(INDEX(Casos!$B$5:$B$204,MATCH(A252,Casos!$A$5:$A$204,0)),""))</f>
        <v/>
      </c>
      <c r="C252" s="34" t="n"/>
      <c r="D252" s="37" t="n"/>
      <c r="E252" s="36" t="n"/>
      <c r="F252" s="34" t="n"/>
      <c r="G252" s="37" t="n"/>
      <c r="H252" s="24">
        <f>IF(A252="","",IF(F252="Sim","Paga",IF(D252="","Sem vencimento",IF(D252&lt;Config!$B$5,"Vencida","A vencer"))))</f>
        <v/>
      </c>
      <c r="I252" s="30">
        <f>IF(H252="Vencida",Config!$B$5-D252,"")</f>
        <v/>
      </c>
      <c r="J252" s="30">
        <f>IF(H252="A vencer",D252-Config!$B$5,"")</f>
        <v/>
      </c>
      <c r="K252" s="24">
        <f>IF(H252&lt;&gt;"Vencida","",IF(COUNTIF(Config!$A$10:$A$13,"&lt;="&amp;I252)=0,"Antes da régua",INDEX(Config!$C$10:$C$13,COUNTIF(Config!$A$10:$A$13,"&lt;="&amp;I252))))</f>
        <v/>
      </c>
      <c r="L252" s="23">
        <f>IF(H252&lt;&gt;"Vencida","",IF(COUNTIF(Config!$A$10:$A$13,"&lt;="&amp;I252)=0,"Aguardar: ainda não chegou ao primeiro passo da régua.",INDEX(Config!$B$10:$B$13,COUNTIF(Config!$A$10:$A$13,"&lt;="&amp;I252))))</f>
        <v/>
      </c>
      <c r="M252" s="38">
        <f>IF(H252="Vencida",E252*I252+ROW()/100000,0)</f>
        <v>0</v>
      </c>
      <c r="N252" s="38">
        <f>IF(AND(H252="A vencer",J252&lt;=Config!$B$7),100000-J252-ROW()/100000,0)</f>
        <v>0</v>
      </c>
    </row>
    <row r="253">
      <c r="A253" s="32" t="n"/>
      <c r="B253" s="23">
        <f>IF(A253="","",IFERROR(INDEX(Casos!$B$5:$B$204,MATCH(A253,Casos!$A$5:$A$204,0)),""))</f>
        <v/>
      </c>
      <c r="C253" s="34" t="n"/>
      <c r="D253" s="37" t="n"/>
      <c r="E253" s="36" t="n"/>
      <c r="F253" s="34" t="n"/>
      <c r="G253" s="37" t="n"/>
      <c r="H253" s="24">
        <f>IF(A253="","",IF(F253="Sim","Paga",IF(D253="","Sem vencimento",IF(D253&lt;Config!$B$5,"Vencida","A vencer"))))</f>
        <v/>
      </c>
      <c r="I253" s="30">
        <f>IF(H253="Vencida",Config!$B$5-D253,"")</f>
        <v/>
      </c>
      <c r="J253" s="30">
        <f>IF(H253="A vencer",D253-Config!$B$5,"")</f>
        <v/>
      </c>
      <c r="K253" s="24">
        <f>IF(H253&lt;&gt;"Vencida","",IF(COUNTIF(Config!$A$10:$A$13,"&lt;="&amp;I253)=0,"Antes da régua",INDEX(Config!$C$10:$C$13,COUNTIF(Config!$A$10:$A$13,"&lt;="&amp;I253))))</f>
        <v/>
      </c>
      <c r="L253" s="23">
        <f>IF(H253&lt;&gt;"Vencida","",IF(COUNTIF(Config!$A$10:$A$13,"&lt;="&amp;I253)=0,"Aguardar: ainda não chegou ao primeiro passo da régua.",INDEX(Config!$B$10:$B$13,COUNTIF(Config!$A$10:$A$13,"&lt;="&amp;I253))))</f>
        <v/>
      </c>
      <c r="M253" s="38">
        <f>IF(H253="Vencida",E253*I253+ROW()/100000,0)</f>
        <v>0</v>
      </c>
      <c r="N253" s="38">
        <f>IF(AND(H253="A vencer",J253&lt;=Config!$B$7),100000-J253-ROW()/100000,0)</f>
        <v>0</v>
      </c>
    </row>
    <row r="254">
      <c r="A254" s="32" t="n"/>
      <c r="B254" s="23">
        <f>IF(A254="","",IFERROR(INDEX(Casos!$B$5:$B$204,MATCH(A254,Casos!$A$5:$A$204,0)),""))</f>
        <v/>
      </c>
      <c r="C254" s="34" t="n"/>
      <c r="D254" s="37" t="n"/>
      <c r="E254" s="36" t="n"/>
      <c r="F254" s="34" t="n"/>
      <c r="G254" s="37" t="n"/>
      <c r="H254" s="24">
        <f>IF(A254="","",IF(F254="Sim","Paga",IF(D254="","Sem vencimento",IF(D254&lt;Config!$B$5,"Vencida","A vencer"))))</f>
        <v/>
      </c>
      <c r="I254" s="30">
        <f>IF(H254="Vencida",Config!$B$5-D254,"")</f>
        <v/>
      </c>
      <c r="J254" s="30">
        <f>IF(H254="A vencer",D254-Config!$B$5,"")</f>
        <v/>
      </c>
      <c r="K254" s="24">
        <f>IF(H254&lt;&gt;"Vencida","",IF(COUNTIF(Config!$A$10:$A$13,"&lt;="&amp;I254)=0,"Antes da régua",INDEX(Config!$C$10:$C$13,COUNTIF(Config!$A$10:$A$13,"&lt;="&amp;I254))))</f>
        <v/>
      </c>
      <c r="L254" s="23">
        <f>IF(H254&lt;&gt;"Vencida","",IF(COUNTIF(Config!$A$10:$A$13,"&lt;="&amp;I254)=0,"Aguardar: ainda não chegou ao primeiro passo da régua.",INDEX(Config!$B$10:$B$13,COUNTIF(Config!$A$10:$A$13,"&lt;="&amp;I254))))</f>
        <v/>
      </c>
      <c r="M254" s="38">
        <f>IF(H254="Vencida",E254*I254+ROW()/100000,0)</f>
        <v>0</v>
      </c>
      <c r="N254" s="38">
        <f>IF(AND(H254="A vencer",J254&lt;=Config!$B$7),100000-J254-ROW()/100000,0)</f>
        <v>0</v>
      </c>
    </row>
    <row r="255">
      <c r="A255" s="32" t="n"/>
      <c r="B255" s="23">
        <f>IF(A255="","",IFERROR(INDEX(Casos!$B$5:$B$204,MATCH(A255,Casos!$A$5:$A$204,0)),""))</f>
        <v/>
      </c>
      <c r="C255" s="34" t="n"/>
      <c r="D255" s="37" t="n"/>
      <c r="E255" s="36" t="n"/>
      <c r="F255" s="34" t="n"/>
      <c r="G255" s="37" t="n"/>
      <c r="H255" s="24">
        <f>IF(A255="","",IF(F255="Sim","Paga",IF(D255="","Sem vencimento",IF(D255&lt;Config!$B$5,"Vencida","A vencer"))))</f>
        <v/>
      </c>
      <c r="I255" s="30">
        <f>IF(H255="Vencida",Config!$B$5-D255,"")</f>
        <v/>
      </c>
      <c r="J255" s="30">
        <f>IF(H255="A vencer",D255-Config!$B$5,"")</f>
        <v/>
      </c>
      <c r="K255" s="24">
        <f>IF(H255&lt;&gt;"Vencida","",IF(COUNTIF(Config!$A$10:$A$13,"&lt;="&amp;I255)=0,"Antes da régua",INDEX(Config!$C$10:$C$13,COUNTIF(Config!$A$10:$A$13,"&lt;="&amp;I255))))</f>
        <v/>
      </c>
      <c r="L255" s="23">
        <f>IF(H255&lt;&gt;"Vencida","",IF(COUNTIF(Config!$A$10:$A$13,"&lt;="&amp;I255)=0,"Aguardar: ainda não chegou ao primeiro passo da régua.",INDEX(Config!$B$10:$B$13,COUNTIF(Config!$A$10:$A$13,"&lt;="&amp;I255))))</f>
        <v/>
      </c>
      <c r="M255" s="38">
        <f>IF(H255="Vencida",E255*I255+ROW()/100000,0)</f>
        <v>0</v>
      </c>
      <c r="N255" s="38">
        <f>IF(AND(H255="A vencer",J255&lt;=Config!$B$7),100000-J255-ROW()/100000,0)</f>
        <v>0</v>
      </c>
    </row>
    <row r="256">
      <c r="A256" s="32" t="n"/>
      <c r="B256" s="23">
        <f>IF(A256="","",IFERROR(INDEX(Casos!$B$5:$B$204,MATCH(A256,Casos!$A$5:$A$204,0)),""))</f>
        <v/>
      </c>
      <c r="C256" s="34" t="n"/>
      <c r="D256" s="37" t="n"/>
      <c r="E256" s="36" t="n"/>
      <c r="F256" s="34" t="n"/>
      <c r="G256" s="37" t="n"/>
      <c r="H256" s="24">
        <f>IF(A256="","",IF(F256="Sim","Paga",IF(D256="","Sem vencimento",IF(D256&lt;Config!$B$5,"Vencida","A vencer"))))</f>
        <v/>
      </c>
      <c r="I256" s="30">
        <f>IF(H256="Vencida",Config!$B$5-D256,"")</f>
        <v/>
      </c>
      <c r="J256" s="30">
        <f>IF(H256="A vencer",D256-Config!$B$5,"")</f>
        <v/>
      </c>
      <c r="K256" s="24">
        <f>IF(H256&lt;&gt;"Vencida","",IF(COUNTIF(Config!$A$10:$A$13,"&lt;="&amp;I256)=0,"Antes da régua",INDEX(Config!$C$10:$C$13,COUNTIF(Config!$A$10:$A$13,"&lt;="&amp;I256))))</f>
        <v/>
      </c>
      <c r="L256" s="23">
        <f>IF(H256&lt;&gt;"Vencida","",IF(COUNTIF(Config!$A$10:$A$13,"&lt;="&amp;I256)=0,"Aguardar: ainda não chegou ao primeiro passo da régua.",INDEX(Config!$B$10:$B$13,COUNTIF(Config!$A$10:$A$13,"&lt;="&amp;I256))))</f>
        <v/>
      </c>
      <c r="M256" s="38">
        <f>IF(H256="Vencida",E256*I256+ROW()/100000,0)</f>
        <v>0</v>
      </c>
      <c r="N256" s="38">
        <f>IF(AND(H256="A vencer",J256&lt;=Config!$B$7),100000-J256-ROW()/100000,0)</f>
        <v>0</v>
      </c>
    </row>
    <row r="257">
      <c r="A257" s="32" t="n"/>
      <c r="B257" s="23">
        <f>IF(A257="","",IFERROR(INDEX(Casos!$B$5:$B$204,MATCH(A257,Casos!$A$5:$A$204,0)),""))</f>
        <v/>
      </c>
      <c r="C257" s="34" t="n"/>
      <c r="D257" s="37" t="n"/>
      <c r="E257" s="36" t="n"/>
      <c r="F257" s="34" t="n"/>
      <c r="G257" s="37" t="n"/>
      <c r="H257" s="24">
        <f>IF(A257="","",IF(F257="Sim","Paga",IF(D257="","Sem vencimento",IF(D257&lt;Config!$B$5,"Vencida","A vencer"))))</f>
        <v/>
      </c>
      <c r="I257" s="30">
        <f>IF(H257="Vencida",Config!$B$5-D257,"")</f>
        <v/>
      </c>
      <c r="J257" s="30">
        <f>IF(H257="A vencer",D257-Config!$B$5,"")</f>
        <v/>
      </c>
      <c r="K257" s="24">
        <f>IF(H257&lt;&gt;"Vencida","",IF(COUNTIF(Config!$A$10:$A$13,"&lt;="&amp;I257)=0,"Antes da régua",INDEX(Config!$C$10:$C$13,COUNTIF(Config!$A$10:$A$13,"&lt;="&amp;I257))))</f>
        <v/>
      </c>
      <c r="L257" s="23">
        <f>IF(H257&lt;&gt;"Vencida","",IF(COUNTIF(Config!$A$10:$A$13,"&lt;="&amp;I257)=0,"Aguardar: ainda não chegou ao primeiro passo da régua.",INDEX(Config!$B$10:$B$13,COUNTIF(Config!$A$10:$A$13,"&lt;="&amp;I257))))</f>
        <v/>
      </c>
      <c r="M257" s="38">
        <f>IF(H257="Vencida",E257*I257+ROW()/100000,0)</f>
        <v>0</v>
      </c>
      <c r="N257" s="38">
        <f>IF(AND(H257="A vencer",J257&lt;=Config!$B$7),100000-J257-ROW()/100000,0)</f>
        <v>0</v>
      </c>
    </row>
    <row r="258">
      <c r="A258" s="32" t="n"/>
      <c r="B258" s="23">
        <f>IF(A258="","",IFERROR(INDEX(Casos!$B$5:$B$204,MATCH(A258,Casos!$A$5:$A$204,0)),""))</f>
        <v/>
      </c>
      <c r="C258" s="34" t="n"/>
      <c r="D258" s="37" t="n"/>
      <c r="E258" s="36" t="n"/>
      <c r="F258" s="34" t="n"/>
      <c r="G258" s="37" t="n"/>
      <c r="H258" s="24">
        <f>IF(A258="","",IF(F258="Sim","Paga",IF(D258="","Sem vencimento",IF(D258&lt;Config!$B$5,"Vencida","A vencer"))))</f>
        <v/>
      </c>
      <c r="I258" s="30">
        <f>IF(H258="Vencida",Config!$B$5-D258,"")</f>
        <v/>
      </c>
      <c r="J258" s="30">
        <f>IF(H258="A vencer",D258-Config!$B$5,"")</f>
        <v/>
      </c>
      <c r="K258" s="24">
        <f>IF(H258&lt;&gt;"Vencida","",IF(COUNTIF(Config!$A$10:$A$13,"&lt;="&amp;I258)=0,"Antes da régua",INDEX(Config!$C$10:$C$13,COUNTIF(Config!$A$10:$A$13,"&lt;="&amp;I258))))</f>
        <v/>
      </c>
      <c r="L258" s="23">
        <f>IF(H258&lt;&gt;"Vencida","",IF(COUNTIF(Config!$A$10:$A$13,"&lt;="&amp;I258)=0,"Aguardar: ainda não chegou ao primeiro passo da régua.",INDEX(Config!$B$10:$B$13,COUNTIF(Config!$A$10:$A$13,"&lt;="&amp;I258))))</f>
        <v/>
      </c>
      <c r="M258" s="38">
        <f>IF(H258="Vencida",E258*I258+ROW()/100000,0)</f>
        <v>0</v>
      </c>
      <c r="N258" s="38">
        <f>IF(AND(H258="A vencer",J258&lt;=Config!$B$7),100000-J258-ROW()/100000,0)</f>
        <v>0</v>
      </c>
    </row>
    <row r="259">
      <c r="A259" s="32" t="n"/>
      <c r="B259" s="23">
        <f>IF(A259="","",IFERROR(INDEX(Casos!$B$5:$B$204,MATCH(A259,Casos!$A$5:$A$204,0)),""))</f>
        <v/>
      </c>
      <c r="C259" s="34" t="n"/>
      <c r="D259" s="37" t="n"/>
      <c r="E259" s="36" t="n"/>
      <c r="F259" s="34" t="n"/>
      <c r="G259" s="37" t="n"/>
      <c r="H259" s="24">
        <f>IF(A259="","",IF(F259="Sim","Paga",IF(D259="","Sem vencimento",IF(D259&lt;Config!$B$5,"Vencida","A vencer"))))</f>
        <v/>
      </c>
      <c r="I259" s="30">
        <f>IF(H259="Vencida",Config!$B$5-D259,"")</f>
        <v/>
      </c>
      <c r="J259" s="30">
        <f>IF(H259="A vencer",D259-Config!$B$5,"")</f>
        <v/>
      </c>
      <c r="K259" s="24">
        <f>IF(H259&lt;&gt;"Vencida","",IF(COUNTIF(Config!$A$10:$A$13,"&lt;="&amp;I259)=0,"Antes da régua",INDEX(Config!$C$10:$C$13,COUNTIF(Config!$A$10:$A$13,"&lt;="&amp;I259))))</f>
        <v/>
      </c>
      <c r="L259" s="23">
        <f>IF(H259&lt;&gt;"Vencida","",IF(COUNTIF(Config!$A$10:$A$13,"&lt;="&amp;I259)=0,"Aguardar: ainda não chegou ao primeiro passo da régua.",INDEX(Config!$B$10:$B$13,COUNTIF(Config!$A$10:$A$13,"&lt;="&amp;I259))))</f>
        <v/>
      </c>
      <c r="M259" s="38">
        <f>IF(H259="Vencida",E259*I259+ROW()/100000,0)</f>
        <v>0</v>
      </c>
      <c r="N259" s="38">
        <f>IF(AND(H259="A vencer",J259&lt;=Config!$B$7),100000-J259-ROW()/100000,0)</f>
        <v>0</v>
      </c>
    </row>
    <row r="260">
      <c r="A260" s="32" t="n"/>
      <c r="B260" s="23">
        <f>IF(A260="","",IFERROR(INDEX(Casos!$B$5:$B$204,MATCH(A260,Casos!$A$5:$A$204,0)),""))</f>
        <v/>
      </c>
      <c r="C260" s="34" t="n"/>
      <c r="D260" s="37" t="n"/>
      <c r="E260" s="36" t="n"/>
      <c r="F260" s="34" t="n"/>
      <c r="G260" s="37" t="n"/>
      <c r="H260" s="24">
        <f>IF(A260="","",IF(F260="Sim","Paga",IF(D260="","Sem vencimento",IF(D260&lt;Config!$B$5,"Vencida","A vencer"))))</f>
        <v/>
      </c>
      <c r="I260" s="30">
        <f>IF(H260="Vencida",Config!$B$5-D260,"")</f>
        <v/>
      </c>
      <c r="J260" s="30">
        <f>IF(H260="A vencer",D260-Config!$B$5,"")</f>
        <v/>
      </c>
      <c r="K260" s="24">
        <f>IF(H260&lt;&gt;"Vencida","",IF(COUNTIF(Config!$A$10:$A$13,"&lt;="&amp;I260)=0,"Antes da régua",INDEX(Config!$C$10:$C$13,COUNTIF(Config!$A$10:$A$13,"&lt;="&amp;I260))))</f>
        <v/>
      </c>
      <c r="L260" s="23">
        <f>IF(H260&lt;&gt;"Vencida","",IF(COUNTIF(Config!$A$10:$A$13,"&lt;="&amp;I260)=0,"Aguardar: ainda não chegou ao primeiro passo da régua.",INDEX(Config!$B$10:$B$13,COUNTIF(Config!$A$10:$A$13,"&lt;="&amp;I260))))</f>
        <v/>
      </c>
      <c r="M260" s="38">
        <f>IF(H260="Vencida",E260*I260+ROW()/100000,0)</f>
        <v>0</v>
      </c>
      <c r="N260" s="38">
        <f>IF(AND(H260="A vencer",J260&lt;=Config!$B$7),100000-J260-ROW()/100000,0)</f>
        <v>0</v>
      </c>
    </row>
    <row r="261">
      <c r="A261" s="32" t="n"/>
      <c r="B261" s="23">
        <f>IF(A261="","",IFERROR(INDEX(Casos!$B$5:$B$204,MATCH(A261,Casos!$A$5:$A$204,0)),""))</f>
        <v/>
      </c>
      <c r="C261" s="34" t="n"/>
      <c r="D261" s="37" t="n"/>
      <c r="E261" s="36" t="n"/>
      <c r="F261" s="34" t="n"/>
      <c r="G261" s="37" t="n"/>
      <c r="H261" s="24">
        <f>IF(A261="","",IF(F261="Sim","Paga",IF(D261="","Sem vencimento",IF(D261&lt;Config!$B$5,"Vencida","A vencer"))))</f>
        <v/>
      </c>
      <c r="I261" s="30">
        <f>IF(H261="Vencida",Config!$B$5-D261,"")</f>
        <v/>
      </c>
      <c r="J261" s="30">
        <f>IF(H261="A vencer",D261-Config!$B$5,"")</f>
        <v/>
      </c>
      <c r="K261" s="24">
        <f>IF(H261&lt;&gt;"Vencida","",IF(COUNTIF(Config!$A$10:$A$13,"&lt;="&amp;I261)=0,"Antes da régua",INDEX(Config!$C$10:$C$13,COUNTIF(Config!$A$10:$A$13,"&lt;="&amp;I261))))</f>
        <v/>
      </c>
      <c r="L261" s="23">
        <f>IF(H261&lt;&gt;"Vencida","",IF(COUNTIF(Config!$A$10:$A$13,"&lt;="&amp;I261)=0,"Aguardar: ainda não chegou ao primeiro passo da régua.",INDEX(Config!$B$10:$B$13,COUNTIF(Config!$A$10:$A$13,"&lt;="&amp;I261))))</f>
        <v/>
      </c>
      <c r="M261" s="38">
        <f>IF(H261="Vencida",E261*I261+ROW()/100000,0)</f>
        <v>0</v>
      </c>
      <c r="N261" s="38">
        <f>IF(AND(H261="A vencer",J261&lt;=Config!$B$7),100000-J261-ROW()/100000,0)</f>
        <v>0</v>
      </c>
    </row>
    <row r="262">
      <c r="A262" s="32" t="n"/>
      <c r="B262" s="23">
        <f>IF(A262="","",IFERROR(INDEX(Casos!$B$5:$B$204,MATCH(A262,Casos!$A$5:$A$204,0)),""))</f>
        <v/>
      </c>
      <c r="C262" s="34" t="n"/>
      <c r="D262" s="37" t="n"/>
      <c r="E262" s="36" t="n"/>
      <c r="F262" s="34" t="n"/>
      <c r="G262" s="37" t="n"/>
      <c r="H262" s="24">
        <f>IF(A262="","",IF(F262="Sim","Paga",IF(D262="","Sem vencimento",IF(D262&lt;Config!$B$5,"Vencida","A vencer"))))</f>
        <v/>
      </c>
      <c r="I262" s="30">
        <f>IF(H262="Vencida",Config!$B$5-D262,"")</f>
        <v/>
      </c>
      <c r="J262" s="30">
        <f>IF(H262="A vencer",D262-Config!$B$5,"")</f>
        <v/>
      </c>
      <c r="K262" s="24">
        <f>IF(H262&lt;&gt;"Vencida","",IF(COUNTIF(Config!$A$10:$A$13,"&lt;="&amp;I262)=0,"Antes da régua",INDEX(Config!$C$10:$C$13,COUNTIF(Config!$A$10:$A$13,"&lt;="&amp;I262))))</f>
        <v/>
      </c>
      <c r="L262" s="23">
        <f>IF(H262&lt;&gt;"Vencida","",IF(COUNTIF(Config!$A$10:$A$13,"&lt;="&amp;I262)=0,"Aguardar: ainda não chegou ao primeiro passo da régua.",INDEX(Config!$B$10:$B$13,COUNTIF(Config!$A$10:$A$13,"&lt;="&amp;I262))))</f>
        <v/>
      </c>
      <c r="M262" s="38">
        <f>IF(H262="Vencida",E262*I262+ROW()/100000,0)</f>
        <v>0</v>
      </c>
      <c r="N262" s="38">
        <f>IF(AND(H262="A vencer",J262&lt;=Config!$B$7),100000-J262-ROW()/100000,0)</f>
        <v>0</v>
      </c>
    </row>
    <row r="263">
      <c r="A263" s="32" t="n"/>
      <c r="B263" s="23">
        <f>IF(A263="","",IFERROR(INDEX(Casos!$B$5:$B$204,MATCH(A263,Casos!$A$5:$A$204,0)),""))</f>
        <v/>
      </c>
      <c r="C263" s="34" t="n"/>
      <c r="D263" s="37" t="n"/>
      <c r="E263" s="36" t="n"/>
      <c r="F263" s="34" t="n"/>
      <c r="G263" s="37" t="n"/>
      <c r="H263" s="24">
        <f>IF(A263="","",IF(F263="Sim","Paga",IF(D263="","Sem vencimento",IF(D263&lt;Config!$B$5,"Vencida","A vencer"))))</f>
        <v/>
      </c>
      <c r="I263" s="30">
        <f>IF(H263="Vencida",Config!$B$5-D263,"")</f>
        <v/>
      </c>
      <c r="J263" s="30">
        <f>IF(H263="A vencer",D263-Config!$B$5,"")</f>
        <v/>
      </c>
      <c r="K263" s="24">
        <f>IF(H263&lt;&gt;"Vencida","",IF(COUNTIF(Config!$A$10:$A$13,"&lt;="&amp;I263)=0,"Antes da régua",INDEX(Config!$C$10:$C$13,COUNTIF(Config!$A$10:$A$13,"&lt;="&amp;I263))))</f>
        <v/>
      </c>
      <c r="L263" s="23">
        <f>IF(H263&lt;&gt;"Vencida","",IF(COUNTIF(Config!$A$10:$A$13,"&lt;="&amp;I263)=0,"Aguardar: ainda não chegou ao primeiro passo da régua.",INDEX(Config!$B$10:$B$13,COUNTIF(Config!$A$10:$A$13,"&lt;="&amp;I263))))</f>
        <v/>
      </c>
      <c r="M263" s="38">
        <f>IF(H263="Vencida",E263*I263+ROW()/100000,0)</f>
        <v>0</v>
      </c>
      <c r="N263" s="38">
        <f>IF(AND(H263="A vencer",J263&lt;=Config!$B$7),100000-J263-ROW()/100000,0)</f>
        <v>0</v>
      </c>
    </row>
    <row r="264">
      <c r="A264" s="32" t="n"/>
      <c r="B264" s="23">
        <f>IF(A264="","",IFERROR(INDEX(Casos!$B$5:$B$204,MATCH(A264,Casos!$A$5:$A$204,0)),""))</f>
        <v/>
      </c>
      <c r="C264" s="34" t="n"/>
      <c r="D264" s="37" t="n"/>
      <c r="E264" s="36" t="n"/>
      <c r="F264" s="34" t="n"/>
      <c r="G264" s="37" t="n"/>
      <c r="H264" s="24">
        <f>IF(A264="","",IF(F264="Sim","Paga",IF(D264="","Sem vencimento",IF(D264&lt;Config!$B$5,"Vencida","A vencer"))))</f>
        <v/>
      </c>
      <c r="I264" s="30">
        <f>IF(H264="Vencida",Config!$B$5-D264,"")</f>
        <v/>
      </c>
      <c r="J264" s="30">
        <f>IF(H264="A vencer",D264-Config!$B$5,"")</f>
        <v/>
      </c>
      <c r="K264" s="24">
        <f>IF(H264&lt;&gt;"Vencida","",IF(COUNTIF(Config!$A$10:$A$13,"&lt;="&amp;I264)=0,"Antes da régua",INDEX(Config!$C$10:$C$13,COUNTIF(Config!$A$10:$A$13,"&lt;="&amp;I264))))</f>
        <v/>
      </c>
      <c r="L264" s="23">
        <f>IF(H264&lt;&gt;"Vencida","",IF(COUNTIF(Config!$A$10:$A$13,"&lt;="&amp;I264)=0,"Aguardar: ainda não chegou ao primeiro passo da régua.",INDEX(Config!$B$10:$B$13,COUNTIF(Config!$A$10:$A$13,"&lt;="&amp;I264))))</f>
        <v/>
      </c>
      <c r="M264" s="38">
        <f>IF(H264="Vencida",E264*I264+ROW()/100000,0)</f>
        <v>0</v>
      </c>
      <c r="N264" s="38">
        <f>IF(AND(H264="A vencer",J264&lt;=Config!$B$7),100000-J264-ROW()/100000,0)</f>
        <v>0</v>
      </c>
    </row>
    <row r="265">
      <c r="A265" s="32" t="n"/>
      <c r="B265" s="23">
        <f>IF(A265="","",IFERROR(INDEX(Casos!$B$5:$B$204,MATCH(A265,Casos!$A$5:$A$204,0)),""))</f>
        <v/>
      </c>
      <c r="C265" s="34" t="n"/>
      <c r="D265" s="37" t="n"/>
      <c r="E265" s="36" t="n"/>
      <c r="F265" s="34" t="n"/>
      <c r="G265" s="37" t="n"/>
      <c r="H265" s="24">
        <f>IF(A265="","",IF(F265="Sim","Paga",IF(D265="","Sem vencimento",IF(D265&lt;Config!$B$5,"Vencida","A vencer"))))</f>
        <v/>
      </c>
      <c r="I265" s="30">
        <f>IF(H265="Vencida",Config!$B$5-D265,"")</f>
        <v/>
      </c>
      <c r="J265" s="30">
        <f>IF(H265="A vencer",D265-Config!$B$5,"")</f>
        <v/>
      </c>
      <c r="K265" s="24">
        <f>IF(H265&lt;&gt;"Vencida","",IF(COUNTIF(Config!$A$10:$A$13,"&lt;="&amp;I265)=0,"Antes da régua",INDEX(Config!$C$10:$C$13,COUNTIF(Config!$A$10:$A$13,"&lt;="&amp;I265))))</f>
        <v/>
      </c>
      <c r="L265" s="23">
        <f>IF(H265&lt;&gt;"Vencida","",IF(COUNTIF(Config!$A$10:$A$13,"&lt;="&amp;I265)=0,"Aguardar: ainda não chegou ao primeiro passo da régua.",INDEX(Config!$B$10:$B$13,COUNTIF(Config!$A$10:$A$13,"&lt;="&amp;I265))))</f>
        <v/>
      </c>
      <c r="M265" s="38">
        <f>IF(H265="Vencida",E265*I265+ROW()/100000,0)</f>
        <v>0</v>
      </c>
      <c r="N265" s="38">
        <f>IF(AND(H265="A vencer",J265&lt;=Config!$B$7),100000-J265-ROW()/100000,0)</f>
        <v>0</v>
      </c>
    </row>
    <row r="266">
      <c r="A266" s="32" t="n"/>
      <c r="B266" s="23">
        <f>IF(A266="","",IFERROR(INDEX(Casos!$B$5:$B$204,MATCH(A266,Casos!$A$5:$A$204,0)),""))</f>
        <v/>
      </c>
      <c r="C266" s="34" t="n"/>
      <c r="D266" s="37" t="n"/>
      <c r="E266" s="36" t="n"/>
      <c r="F266" s="34" t="n"/>
      <c r="G266" s="37" t="n"/>
      <c r="H266" s="24">
        <f>IF(A266="","",IF(F266="Sim","Paga",IF(D266="","Sem vencimento",IF(D266&lt;Config!$B$5,"Vencida","A vencer"))))</f>
        <v/>
      </c>
      <c r="I266" s="30">
        <f>IF(H266="Vencida",Config!$B$5-D266,"")</f>
        <v/>
      </c>
      <c r="J266" s="30">
        <f>IF(H266="A vencer",D266-Config!$B$5,"")</f>
        <v/>
      </c>
      <c r="K266" s="24">
        <f>IF(H266&lt;&gt;"Vencida","",IF(COUNTIF(Config!$A$10:$A$13,"&lt;="&amp;I266)=0,"Antes da régua",INDEX(Config!$C$10:$C$13,COUNTIF(Config!$A$10:$A$13,"&lt;="&amp;I266))))</f>
        <v/>
      </c>
      <c r="L266" s="23">
        <f>IF(H266&lt;&gt;"Vencida","",IF(COUNTIF(Config!$A$10:$A$13,"&lt;="&amp;I266)=0,"Aguardar: ainda não chegou ao primeiro passo da régua.",INDEX(Config!$B$10:$B$13,COUNTIF(Config!$A$10:$A$13,"&lt;="&amp;I266))))</f>
        <v/>
      </c>
      <c r="M266" s="38">
        <f>IF(H266="Vencida",E266*I266+ROW()/100000,0)</f>
        <v>0</v>
      </c>
      <c r="N266" s="38">
        <f>IF(AND(H266="A vencer",J266&lt;=Config!$B$7),100000-J266-ROW()/100000,0)</f>
        <v>0</v>
      </c>
    </row>
    <row r="267">
      <c r="A267" s="32" t="n"/>
      <c r="B267" s="23">
        <f>IF(A267="","",IFERROR(INDEX(Casos!$B$5:$B$204,MATCH(A267,Casos!$A$5:$A$204,0)),""))</f>
        <v/>
      </c>
      <c r="C267" s="34" t="n"/>
      <c r="D267" s="37" t="n"/>
      <c r="E267" s="36" t="n"/>
      <c r="F267" s="34" t="n"/>
      <c r="G267" s="37" t="n"/>
      <c r="H267" s="24">
        <f>IF(A267="","",IF(F267="Sim","Paga",IF(D267="","Sem vencimento",IF(D267&lt;Config!$B$5,"Vencida","A vencer"))))</f>
        <v/>
      </c>
      <c r="I267" s="30">
        <f>IF(H267="Vencida",Config!$B$5-D267,"")</f>
        <v/>
      </c>
      <c r="J267" s="30">
        <f>IF(H267="A vencer",D267-Config!$B$5,"")</f>
        <v/>
      </c>
      <c r="K267" s="24">
        <f>IF(H267&lt;&gt;"Vencida","",IF(COUNTIF(Config!$A$10:$A$13,"&lt;="&amp;I267)=0,"Antes da régua",INDEX(Config!$C$10:$C$13,COUNTIF(Config!$A$10:$A$13,"&lt;="&amp;I267))))</f>
        <v/>
      </c>
      <c r="L267" s="23">
        <f>IF(H267&lt;&gt;"Vencida","",IF(COUNTIF(Config!$A$10:$A$13,"&lt;="&amp;I267)=0,"Aguardar: ainda não chegou ao primeiro passo da régua.",INDEX(Config!$B$10:$B$13,COUNTIF(Config!$A$10:$A$13,"&lt;="&amp;I267))))</f>
        <v/>
      </c>
      <c r="M267" s="38">
        <f>IF(H267="Vencida",E267*I267+ROW()/100000,0)</f>
        <v>0</v>
      </c>
      <c r="N267" s="38">
        <f>IF(AND(H267="A vencer",J267&lt;=Config!$B$7),100000-J267-ROW()/100000,0)</f>
        <v>0</v>
      </c>
    </row>
    <row r="268">
      <c r="A268" s="32" t="n"/>
      <c r="B268" s="23">
        <f>IF(A268="","",IFERROR(INDEX(Casos!$B$5:$B$204,MATCH(A268,Casos!$A$5:$A$204,0)),""))</f>
        <v/>
      </c>
      <c r="C268" s="34" t="n"/>
      <c r="D268" s="37" t="n"/>
      <c r="E268" s="36" t="n"/>
      <c r="F268" s="34" t="n"/>
      <c r="G268" s="37" t="n"/>
      <c r="H268" s="24">
        <f>IF(A268="","",IF(F268="Sim","Paga",IF(D268="","Sem vencimento",IF(D268&lt;Config!$B$5,"Vencida","A vencer"))))</f>
        <v/>
      </c>
      <c r="I268" s="30">
        <f>IF(H268="Vencida",Config!$B$5-D268,"")</f>
        <v/>
      </c>
      <c r="J268" s="30">
        <f>IF(H268="A vencer",D268-Config!$B$5,"")</f>
        <v/>
      </c>
      <c r="K268" s="24">
        <f>IF(H268&lt;&gt;"Vencida","",IF(COUNTIF(Config!$A$10:$A$13,"&lt;="&amp;I268)=0,"Antes da régua",INDEX(Config!$C$10:$C$13,COUNTIF(Config!$A$10:$A$13,"&lt;="&amp;I268))))</f>
        <v/>
      </c>
      <c r="L268" s="23">
        <f>IF(H268&lt;&gt;"Vencida","",IF(COUNTIF(Config!$A$10:$A$13,"&lt;="&amp;I268)=0,"Aguardar: ainda não chegou ao primeiro passo da régua.",INDEX(Config!$B$10:$B$13,COUNTIF(Config!$A$10:$A$13,"&lt;="&amp;I268))))</f>
        <v/>
      </c>
      <c r="M268" s="38">
        <f>IF(H268="Vencida",E268*I268+ROW()/100000,0)</f>
        <v>0</v>
      </c>
      <c r="N268" s="38">
        <f>IF(AND(H268="A vencer",J268&lt;=Config!$B$7),100000-J268-ROW()/100000,0)</f>
        <v>0</v>
      </c>
    </row>
    <row r="269">
      <c r="A269" s="32" t="n"/>
      <c r="B269" s="23">
        <f>IF(A269="","",IFERROR(INDEX(Casos!$B$5:$B$204,MATCH(A269,Casos!$A$5:$A$204,0)),""))</f>
        <v/>
      </c>
      <c r="C269" s="34" t="n"/>
      <c r="D269" s="37" t="n"/>
      <c r="E269" s="36" t="n"/>
      <c r="F269" s="34" t="n"/>
      <c r="G269" s="37" t="n"/>
      <c r="H269" s="24">
        <f>IF(A269="","",IF(F269="Sim","Paga",IF(D269="","Sem vencimento",IF(D269&lt;Config!$B$5,"Vencida","A vencer"))))</f>
        <v/>
      </c>
      <c r="I269" s="30">
        <f>IF(H269="Vencida",Config!$B$5-D269,"")</f>
        <v/>
      </c>
      <c r="J269" s="30">
        <f>IF(H269="A vencer",D269-Config!$B$5,"")</f>
        <v/>
      </c>
      <c r="K269" s="24">
        <f>IF(H269&lt;&gt;"Vencida","",IF(COUNTIF(Config!$A$10:$A$13,"&lt;="&amp;I269)=0,"Antes da régua",INDEX(Config!$C$10:$C$13,COUNTIF(Config!$A$10:$A$13,"&lt;="&amp;I269))))</f>
        <v/>
      </c>
      <c r="L269" s="23">
        <f>IF(H269&lt;&gt;"Vencida","",IF(COUNTIF(Config!$A$10:$A$13,"&lt;="&amp;I269)=0,"Aguardar: ainda não chegou ao primeiro passo da régua.",INDEX(Config!$B$10:$B$13,COUNTIF(Config!$A$10:$A$13,"&lt;="&amp;I269))))</f>
        <v/>
      </c>
      <c r="M269" s="38">
        <f>IF(H269="Vencida",E269*I269+ROW()/100000,0)</f>
        <v>0</v>
      </c>
      <c r="N269" s="38">
        <f>IF(AND(H269="A vencer",J269&lt;=Config!$B$7),100000-J269-ROW()/100000,0)</f>
        <v>0</v>
      </c>
    </row>
    <row r="270">
      <c r="A270" s="32" t="n"/>
      <c r="B270" s="23">
        <f>IF(A270="","",IFERROR(INDEX(Casos!$B$5:$B$204,MATCH(A270,Casos!$A$5:$A$204,0)),""))</f>
        <v/>
      </c>
      <c r="C270" s="34" t="n"/>
      <c r="D270" s="37" t="n"/>
      <c r="E270" s="36" t="n"/>
      <c r="F270" s="34" t="n"/>
      <c r="G270" s="37" t="n"/>
      <c r="H270" s="24">
        <f>IF(A270="","",IF(F270="Sim","Paga",IF(D270="","Sem vencimento",IF(D270&lt;Config!$B$5,"Vencida","A vencer"))))</f>
        <v/>
      </c>
      <c r="I270" s="30">
        <f>IF(H270="Vencida",Config!$B$5-D270,"")</f>
        <v/>
      </c>
      <c r="J270" s="30">
        <f>IF(H270="A vencer",D270-Config!$B$5,"")</f>
        <v/>
      </c>
      <c r="K270" s="24">
        <f>IF(H270&lt;&gt;"Vencida","",IF(COUNTIF(Config!$A$10:$A$13,"&lt;="&amp;I270)=0,"Antes da régua",INDEX(Config!$C$10:$C$13,COUNTIF(Config!$A$10:$A$13,"&lt;="&amp;I270))))</f>
        <v/>
      </c>
      <c r="L270" s="23">
        <f>IF(H270&lt;&gt;"Vencida","",IF(COUNTIF(Config!$A$10:$A$13,"&lt;="&amp;I270)=0,"Aguardar: ainda não chegou ao primeiro passo da régua.",INDEX(Config!$B$10:$B$13,COUNTIF(Config!$A$10:$A$13,"&lt;="&amp;I270))))</f>
        <v/>
      </c>
      <c r="M270" s="38">
        <f>IF(H270="Vencida",E270*I270+ROW()/100000,0)</f>
        <v>0</v>
      </c>
      <c r="N270" s="38">
        <f>IF(AND(H270="A vencer",J270&lt;=Config!$B$7),100000-J270-ROW()/100000,0)</f>
        <v>0</v>
      </c>
    </row>
    <row r="271">
      <c r="A271" s="32" t="n"/>
      <c r="B271" s="23">
        <f>IF(A271="","",IFERROR(INDEX(Casos!$B$5:$B$204,MATCH(A271,Casos!$A$5:$A$204,0)),""))</f>
        <v/>
      </c>
      <c r="C271" s="34" t="n"/>
      <c r="D271" s="37" t="n"/>
      <c r="E271" s="36" t="n"/>
      <c r="F271" s="34" t="n"/>
      <c r="G271" s="37" t="n"/>
      <c r="H271" s="24">
        <f>IF(A271="","",IF(F271="Sim","Paga",IF(D271="","Sem vencimento",IF(D271&lt;Config!$B$5,"Vencida","A vencer"))))</f>
        <v/>
      </c>
      <c r="I271" s="30">
        <f>IF(H271="Vencida",Config!$B$5-D271,"")</f>
        <v/>
      </c>
      <c r="J271" s="30">
        <f>IF(H271="A vencer",D271-Config!$B$5,"")</f>
        <v/>
      </c>
      <c r="K271" s="24">
        <f>IF(H271&lt;&gt;"Vencida","",IF(COUNTIF(Config!$A$10:$A$13,"&lt;="&amp;I271)=0,"Antes da régua",INDEX(Config!$C$10:$C$13,COUNTIF(Config!$A$10:$A$13,"&lt;="&amp;I271))))</f>
        <v/>
      </c>
      <c r="L271" s="23">
        <f>IF(H271&lt;&gt;"Vencida","",IF(COUNTIF(Config!$A$10:$A$13,"&lt;="&amp;I271)=0,"Aguardar: ainda não chegou ao primeiro passo da régua.",INDEX(Config!$B$10:$B$13,COUNTIF(Config!$A$10:$A$13,"&lt;="&amp;I271))))</f>
        <v/>
      </c>
      <c r="M271" s="38">
        <f>IF(H271="Vencida",E271*I271+ROW()/100000,0)</f>
        <v>0</v>
      </c>
      <c r="N271" s="38">
        <f>IF(AND(H271="A vencer",J271&lt;=Config!$B$7),100000-J271-ROW()/100000,0)</f>
        <v>0</v>
      </c>
    </row>
    <row r="272">
      <c r="A272" s="32" t="n"/>
      <c r="B272" s="23">
        <f>IF(A272="","",IFERROR(INDEX(Casos!$B$5:$B$204,MATCH(A272,Casos!$A$5:$A$204,0)),""))</f>
        <v/>
      </c>
      <c r="C272" s="34" t="n"/>
      <c r="D272" s="37" t="n"/>
      <c r="E272" s="36" t="n"/>
      <c r="F272" s="34" t="n"/>
      <c r="G272" s="37" t="n"/>
      <c r="H272" s="24">
        <f>IF(A272="","",IF(F272="Sim","Paga",IF(D272="","Sem vencimento",IF(D272&lt;Config!$B$5,"Vencida","A vencer"))))</f>
        <v/>
      </c>
      <c r="I272" s="30">
        <f>IF(H272="Vencida",Config!$B$5-D272,"")</f>
        <v/>
      </c>
      <c r="J272" s="30">
        <f>IF(H272="A vencer",D272-Config!$B$5,"")</f>
        <v/>
      </c>
      <c r="K272" s="24">
        <f>IF(H272&lt;&gt;"Vencida","",IF(COUNTIF(Config!$A$10:$A$13,"&lt;="&amp;I272)=0,"Antes da régua",INDEX(Config!$C$10:$C$13,COUNTIF(Config!$A$10:$A$13,"&lt;="&amp;I272))))</f>
        <v/>
      </c>
      <c r="L272" s="23">
        <f>IF(H272&lt;&gt;"Vencida","",IF(COUNTIF(Config!$A$10:$A$13,"&lt;="&amp;I272)=0,"Aguardar: ainda não chegou ao primeiro passo da régua.",INDEX(Config!$B$10:$B$13,COUNTIF(Config!$A$10:$A$13,"&lt;="&amp;I272))))</f>
        <v/>
      </c>
      <c r="M272" s="38">
        <f>IF(H272="Vencida",E272*I272+ROW()/100000,0)</f>
        <v>0</v>
      </c>
      <c r="N272" s="38">
        <f>IF(AND(H272="A vencer",J272&lt;=Config!$B$7),100000-J272-ROW()/100000,0)</f>
        <v>0</v>
      </c>
    </row>
    <row r="273">
      <c r="A273" s="32" t="n"/>
      <c r="B273" s="23">
        <f>IF(A273="","",IFERROR(INDEX(Casos!$B$5:$B$204,MATCH(A273,Casos!$A$5:$A$204,0)),""))</f>
        <v/>
      </c>
      <c r="C273" s="34" t="n"/>
      <c r="D273" s="37" t="n"/>
      <c r="E273" s="36" t="n"/>
      <c r="F273" s="34" t="n"/>
      <c r="G273" s="37" t="n"/>
      <c r="H273" s="24">
        <f>IF(A273="","",IF(F273="Sim","Paga",IF(D273="","Sem vencimento",IF(D273&lt;Config!$B$5,"Vencida","A vencer"))))</f>
        <v/>
      </c>
      <c r="I273" s="30">
        <f>IF(H273="Vencida",Config!$B$5-D273,"")</f>
        <v/>
      </c>
      <c r="J273" s="30">
        <f>IF(H273="A vencer",D273-Config!$B$5,"")</f>
        <v/>
      </c>
      <c r="K273" s="24">
        <f>IF(H273&lt;&gt;"Vencida","",IF(COUNTIF(Config!$A$10:$A$13,"&lt;="&amp;I273)=0,"Antes da régua",INDEX(Config!$C$10:$C$13,COUNTIF(Config!$A$10:$A$13,"&lt;="&amp;I273))))</f>
        <v/>
      </c>
      <c r="L273" s="23">
        <f>IF(H273&lt;&gt;"Vencida","",IF(COUNTIF(Config!$A$10:$A$13,"&lt;="&amp;I273)=0,"Aguardar: ainda não chegou ao primeiro passo da régua.",INDEX(Config!$B$10:$B$13,COUNTIF(Config!$A$10:$A$13,"&lt;="&amp;I273))))</f>
        <v/>
      </c>
      <c r="M273" s="38">
        <f>IF(H273="Vencida",E273*I273+ROW()/100000,0)</f>
        <v>0</v>
      </c>
      <c r="N273" s="38">
        <f>IF(AND(H273="A vencer",J273&lt;=Config!$B$7),100000-J273-ROW()/100000,0)</f>
        <v>0</v>
      </c>
    </row>
    <row r="274">
      <c r="A274" s="32" t="n"/>
      <c r="B274" s="23">
        <f>IF(A274="","",IFERROR(INDEX(Casos!$B$5:$B$204,MATCH(A274,Casos!$A$5:$A$204,0)),""))</f>
        <v/>
      </c>
      <c r="C274" s="34" t="n"/>
      <c r="D274" s="37" t="n"/>
      <c r="E274" s="36" t="n"/>
      <c r="F274" s="34" t="n"/>
      <c r="G274" s="37" t="n"/>
      <c r="H274" s="24">
        <f>IF(A274="","",IF(F274="Sim","Paga",IF(D274="","Sem vencimento",IF(D274&lt;Config!$B$5,"Vencida","A vencer"))))</f>
        <v/>
      </c>
      <c r="I274" s="30">
        <f>IF(H274="Vencida",Config!$B$5-D274,"")</f>
        <v/>
      </c>
      <c r="J274" s="30">
        <f>IF(H274="A vencer",D274-Config!$B$5,"")</f>
        <v/>
      </c>
      <c r="K274" s="24">
        <f>IF(H274&lt;&gt;"Vencida","",IF(COUNTIF(Config!$A$10:$A$13,"&lt;="&amp;I274)=0,"Antes da régua",INDEX(Config!$C$10:$C$13,COUNTIF(Config!$A$10:$A$13,"&lt;="&amp;I274))))</f>
        <v/>
      </c>
      <c r="L274" s="23">
        <f>IF(H274&lt;&gt;"Vencida","",IF(COUNTIF(Config!$A$10:$A$13,"&lt;="&amp;I274)=0,"Aguardar: ainda não chegou ao primeiro passo da régua.",INDEX(Config!$B$10:$B$13,COUNTIF(Config!$A$10:$A$13,"&lt;="&amp;I274))))</f>
        <v/>
      </c>
      <c r="M274" s="38">
        <f>IF(H274="Vencida",E274*I274+ROW()/100000,0)</f>
        <v>0</v>
      </c>
      <c r="N274" s="38">
        <f>IF(AND(H274="A vencer",J274&lt;=Config!$B$7),100000-J274-ROW()/100000,0)</f>
        <v>0</v>
      </c>
    </row>
    <row r="275">
      <c r="A275" s="32" t="n"/>
      <c r="B275" s="23">
        <f>IF(A275="","",IFERROR(INDEX(Casos!$B$5:$B$204,MATCH(A275,Casos!$A$5:$A$204,0)),""))</f>
        <v/>
      </c>
      <c r="C275" s="34" t="n"/>
      <c r="D275" s="37" t="n"/>
      <c r="E275" s="36" t="n"/>
      <c r="F275" s="34" t="n"/>
      <c r="G275" s="37" t="n"/>
      <c r="H275" s="24">
        <f>IF(A275="","",IF(F275="Sim","Paga",IF(D275="","Sem vencimento",IF(D275&lt;Config!$B$5,"Vencida","A vencer"))))</f>
        <v/>
      </c>
      <c r="I275" s="30">
        <f>IF(H275="Vencida",Config!$B$5-D275,"")</f>
        <v/>
      </c>
      <c r="J275" s="30">
        <f>IF(H275="A vencer",D275-Config!$B$5,"")</f>
        <v/>
      </c>
      <c r="K275" s="24">
        <f>IF(H275&lt;&gt;"Vencida","",IF(COUNTIF(Config!$A$10:$A$13,"&lt;="&amp;I275)=0,"Antes da régua",INDEX(Config!$C$10:$C$13,COUNTIF(Config!$A$10:$A$13,"&lt;="&amp;I275))))</f>
        <v/>
      </c>
      <c r="L275" s="23">
        <f>IF(H275&lt;&gt;"Vencida","",IF(COUNTIF(Config!$A$10:$A$13,"&lt;="&amp;I275)=0,"Aguardar: ainda não chegou ao primeiro passo da régua.",INDEX(Config!$B$10:$B$13,COUNTIF(Config!$A$10:$A$13,"&lt;="&amp;I275))))</f>
        <v/>
      </c>
      <c r="M275" s="38">
        <f>IF(H275="Vencida",E275*I275+ROW()/100000,0)</f>
        <v>0</v>
      </c>
      <c r="N275" s="38">
        <f>IF(AND(H275="A vencer",J275&lt;=Config!$B$7),100000-J275-ROW()/100000,0)</f>
        <v>0</v>
      </c>
    </row>
    <row r="276">
      <c r="A276" s="32" t="n"/>
      <c r="B276" s="23">
        <f>IF(A276="","",IFERROR(INDEX(Casos!$B$5:$B$204,MATCH(A276,Casos!$A$5:$A$204,0)),""))</f>
        <v/>
      </c>
      <c r="C276" s="34" t="n"/>
      <c r="D276" s="37" t="n"/>
      <c r="E276" s="36" t="n"/>
      <c r="F276" s="34" t="n"/>
      <c r="G276" s="37" t="n"/>
      <c r="H276" s="24">
        <f>IF(A276="","",IF(F276="Sim","Paga",IF(D276="","Sem vencimento",IF(D276&lt;Config!$B$5,"Vencida","A vencer"))))</f>
        <v/>
      </c>
      <c r="I276" s="30">
        <f>IF(H276="Vencida",Config!$B$5-D276,"")</f>
        <v/>
      </c>
      <c r="J276" s="30">
        <f>IF(H276="A vencer",D276-Config!$B$5,"")</f>
        <v/>
      </c>
      <c r="K276" s="24">
        <f>IF(H276&lt;&gt;"Vencida","",IF(COUNTIF(Config!$A$10:$A$13,"&lt;="&amp;I276)=0,"Antes da régua",INDEX(Config!$C$10:$C$13,COUNTIF(Config!$A$10:$A$13,"&lt;="&amp;I276))))</f>
        <v/>
      </c>
      <c r="L276" s="23">
        <f>IF(H276&lt;&gt;"Vencida","",IF(COUNTIF(Config!$A$10:$A$13,"&lt;="&amp;I276)=0,"Aguardar: ainda não chegou ao primeiro passo da régua.",INDEX(Config!$B$10:$B$13,COUNTIF(Config!$A$10:$A$13,"&lt;="&amp;I276))))</f>
        <v/>
      </c>
      <c r="M276" s="38">
        <f>IF(H276="Vencida",E276*I276+ROW()/100000,0)</f>
        <v>0</v>
      </c>
      <c r="N276" s="38">
        <f>IF(AND(H276="A vencer",J276&lt;=Config!$B$7),100000-J276-ROW()/100000,0)</f>
        <v>0</v>
      </c>
    </row>
    <row r="277">
      <c r="A277" s="32" t="n"/>
      <c r="B277" s="23">
        <f>IF(A277="","",IFERROR(INDEX(Casos!$B$5:$B$204,MATCH(A277,Casos!$A$5:$A$204,0)),""))</f>
        <v/>
      </c>
      <c r="C277" s="34" t="n"/>
      <c r="D277" s="37" t="n"/>
      <c r="E277" s="36" t="n"/>
      <c r="F277" s="34" t="n"/>
      <c r="G277" s="37" t="n"/>
      <c r="H277" s="24">
        <f>IF(A277="","",IF(F277="Sim","Paga",IF(D277="","Sem vencimento",IF(D277&lt;Config!$B$5,"Vencida","A vencer"))))</f>
        <v/>
      </c>
      <c r="I277" s="30">
        <f>IF(H277="Vencida",Config!$B$5-D277,"")</f>
        <v/>
      </c>
      <c r="J277" s="30">
        <f>IF(H277="A vencer",D277-Config!$B$5,"")</f>
        <v/>
      </c>
      <c r="K277" s="24">
        <f>IF(H277&lt;&gt;"Vencida","",IF(COUNTIF(Config!$A$10:$A$13,"&lt;="&amp;I277)=0,"Antes da régua",INDEX(Config!$C$10:$C$13,COUNTIF(Config!$A$10:$A$13,"&lt;="&amp;I277))))</f>
        <v/>
      </c>
      <c r="L277" s="23">
        <f>IF(H277&lt;&gt;"Vencida","",IF(COUNTIF(Config!$A$10:$A$13,"&lt;="&amp;I277)=0,"Aguardar: ainda não chegou ao primeiro passo da régua.",INDEX(Config!$B$10:$B$13,COUNTIF(Config!$A$10:$A$13,"&lt;="&amp;I277))))</f>
        <v/>
      </c>
      <c r="M277" s="38">
        <f>IF(H277="Vencida",E277*I277+ROW()/100000,0)</f>
        <v>0</v>
      </c>
      <c r="N277" s="38">
        <f>IF(AND(H277="A vencer",J277&lt;=Config!$B$7),100000-J277-ROW()/100000,0)</f>
        <v>0</v>
      </c>
    </row>
    <row r="278">
      <c r="A278" s="32" t="n"/>
      <c r="B278" s="23">
        <f>IF(A278="","",IFERROR(INDEX(Casos!$B$5:$B$204,MATCH(A278,Casos!$A$5:$A$204,0)),""))</f>
        <v/>
      </c>
      <c r="C278" s="34" t="n"/>
      <c r="D278" s="37" t="n"/>
      <c r="E278" s="36" t="n"/>
      <c r="F278" s="34" t="n"/>
      <c r="G278" s="37" t="n"/>
      <c r="H278" s="24">
        <f>IF(A278="","",IF(F278="Sim","Paga",IF(D278="","Sem vencimento",IF(D278&lt;Config!$B$5,"Vencida","A vencer"))))</f>
        <v/>
      </c>
      <c r="I278" s="30">
        <f>IF(H278="Vencida",Config!$B$5-D278,"")</f>
        <v/>
      </c>
      <c r="J278" s="30">
        <f>IF(H278="A vencer",D278-Config!$B$5,"")</f>
        <v/>
      </c>
      <c r="K278" s="24">
        <f>IF(H278&lt;&gt;"Vencida","",IF(COUNTIF(Config!$A$10:$A$13,"&lt;="&amp;I278)=0,"Antes da régua",INDEX(Config!$C$10:$C$13,COUNTIF(Config!$A$10:$A$13,"&lt;="&amp;I278))))</f>
        <v/>
      </c>
      <c r="L278" s="23">
        <f>IF(H278&lt;&gt;"Vencida","",IF(COUNTIF(Config!$A$10:$A$13,"&lt;="&amp;I278)=0,"Aguardar: ainda não chegou ao primeiro passo da régua.",INDEX(Config!$B$10:$B$13,COUNTIF(Config!$A$10:$A$13,"&lt;="&amp;I278))))</f>
        <v/>
      </c>
      <c r="M278" s="38">
        <f>IF(H278="Vencida",E278*I278+ROW()/100000,0)</f>
        <v>0</v>
      </c>
      <c r="N278" s="38">
        <f>IF(AND(H278="A vencer",J278&lt;=Config!$B$7),100000-J278-ROW()/100000,0)</f>
        <v>0</v>
      </c>
    </row>
    <row r="279">
      <c r="A279" s="32" t="n"/>
      <c r="B279" s="23">
        <f>IF(A279="","",IFERROR(INDEX(Casos!$B$5:$B$204,MATCH(A279,Casos!$A$5:$A$204,0)),""))</f>
        <v/>
      </c>
      <c r="C279" s="34" t="n"/>
      <c r="D279" s="37" t="n"/>
      <c r="E279" s="36" t="n"/>
      <c r="F279" s="34" t="n"/>
      <c r="G279" s="37" t="n"/>
      <c r="H279" s="24">
        <f>IF(A279="","",IF(F279="Sim","Paga",IF(D279="","Sem vencimento",IF(D279&lt;Config!$B$5,"Vencida","A vencer"))))</f>
        <v/>
      </c>
      <c r="I279" s="30">
        <f>IF(H279="Vencida",Config!$B$5-D279,"")</f>
        <v/>
      </c>
      <c r="J279" s="30">
        <f>IF(H279="A vencer",D279-Config!$B$5,"")</f>
        <v/>
      </c>
      <c r="K279" s="24">
        <f>IF(H279&lt;&gt;"Vencida","",IF(COUNTIF(Config!$A$10:$A$13,"&lt;="&amp;I279)=0,"Antes da régua",INDEX(Config!$C$10:$C$13,COUNTIF(Config!$A$10:$A$13,"&lt;="&amp;I279))))</f>
        <v/>
      </c>
      <c r="L279" s="23">
        <f>IF(H279&lt;&gt;"Vencida","",IF(COUNTIF(Config!$A$10:$A$13,"&lt;="&amp;I279)=0,"Aguardar: ainda não chegou ao primeiro passo da régua.",INDEX(Config!$B$10:$B$13,COUNTIF(Config!$A$10:$A$13,"&lt;="&amp;I279))))</f>
        <v/>
      </c>
      <c r="M279" s="38">
        <f>IF(H279="Vencida",E279*I279+ROW()/100000,0)</f>
        <v>0</v>
      </c>
      <c r="N279" s="38">
        <f>IF(AND(H279="A vencer",J279&lt;=Config!$B$7),100000-J279-ROW()/100000,0)</f>
        <v>0</v>
      </c>
    </row>
    <row r="280">
      <c r="A280" s="32" t="n"/>
      <c r="B280" s="23">
        <f>IF(A280="","",IFERROR(INDEX(Casos!$B$5:$B$204,MATCH(A280,Casos!$A$5:$A$204,0)),""))</f>
        <v/>
      </c>
      <c r="C280" s="34" t="n"/>
      <c r="D280" s="37" t="n"/>
      <c r="E280" s="36" t="n"/>
      <c r="F280" s="34" t="n"/>
      <c r="G280" s="37" t="n"/>
      <c r="H280" s="24">
        <f>IF(A280="","",IF(F280="Sim","Paga",IF(D280="","Sem vencimento",IF(D280&lt;Config!$B$5,"Vencida","A vencer"))))</f>
        <v/>
      </c>
      <c r="I280" s="30">
        <f>IF(H280="Vencida",Config!$B$5-D280,"")</f>
        <v/>
      </c>
      <c r="J280" s="30">
        <f>IF(H280="A vencer",D280-Config!$B$5,"")</f>
        <v/>
      </c>
      <c r="K280" s="24">
        <f>IF(H280&lt;&gt;"Vencida","",IF(COUNTIF(Config!$A$10:$A$13,"&lt;="&amp;I280)=0,"Antes da régua",INDEX(Config!$C$10:$C$13,COUNTIF(Config!$A$10:$A$13,"&lt;="&amp;I280))))</f>
        <v/>
      </c>
      <c r="L280" s="23">
        <f>IF(H280&lt;&gt;"Vencida","",IF(COUNTIF(Config!$A$10:$A$13,"&lt;="&amp;I280)=0,"Aguardar: ainda não chegou ao primeiro passo da régua.",INDEX(Config!$B$10:$B$13,COUNTIF(Config!$A$10:$A$13,"&lt;="&amp;I280))))</f>
        <v/>
      </c>
      <c r="M280" s="38">
        <f>IF(H280="Vencida",E280*I280+ROW()/100000,0)</f>
        <v>0</v>
      </c>
      <c r="N280" s="38">
        <f>IF(AND(H280="A vencer",J280&lt;=Config!$B$7),100000-J280-ROW()/100000,0)</f>
        <v>0</v>
      </c>
    </row>
    <row r="281">
      <c r="A281" s="32" t="n"/>
      <c r="B281" s="23">
        <f>IF(A281="","",IFERROR(INDEX(Casos!$B$5:$B$204,MATCH(A281,Casos!$A$5:$A$204,0)),""))</f>
        <v/>
      </c>
      <c r="C281" s="34" t="n"/>
      <c r="D281" s="37" t="n"/>
      <c r="E281" s="36" t="n"/>
      <c r="F281" s="34" t="n"/>
      <c r="G281" s="37" t="n"/>
      <c r="H281" s="24">
        <f>IF(A281="","",IF(F281="Sim","Paga",IF(D281="","Sem vencimento",IF(D281&lt;Config!$B$5,"Vencida","A vencer"))))</f>
        <v/>
      </c>
      <c r="I281" s="30">
        <f>IF(H281="Vencida",Config!$B$5-D281,"")</f>
        <v/>
      </c>
      <c r="J281" s="30">
        <f>IF(H281="A vencer",D281-Config!$B$5,"")</f>
        <v/>
      </c>
      <c r="K281" s="24">
        <f>IF(H281&lt;&gt;"Vencida","",IF(COUNTIF(Config!$A$10:$A$13,"&lt;="&amp;I281)=0,"Antes da régua",INDEX(Config!$C$10:$C$13,COUNTIF(Config!$A$10:$A$13,"&lt;="&amp;I281))))</f>
        <v/>
      </c>
      <c r="L281" s="23">
        <f>IF(H281&lt;&gt;"Vencida","",IF(COUNTIF(Config!$A$10:$A$13,"&lt;="&amp;I281)=0,"Aguardar: ainda não chegou ao primeiro passo da régua.",INDEX(Config!$B$10:$B$13,COUNTIF(Config!$A$10:$A$13,"&lt;="&amp;I281))))</f>
        <v/>
      </c>
      <c r="M281" s="38">
        <f>IF(H281="Vencida",E281*I281+ROW()/100000,0)</f>
        <v>0</v>
      </c>
      <c r="N281" s="38">
        <f>IF(AND(H281="A vencer",J281&lt;=Config!$B$7),100000-J281-ROW()/100000,0)</f>
        <v>0</v>
      </c>
    </row>
    <row r="282">
      <c r="A282" s="32" t="n"/>
      <c r="B282" s="23">
        <f>IF(A282="","",IFERROR(INDEX(Casos!$B$5:$B$204,MATCH(A282,Casos!$A$5:$A$204,0)),""))</f>
        <v/>
      </c>
      <c r="C282" s="34" t="n"/>
      <c r="D282" s="37" t="n"/>
      <c r="E282" s="36" t="n"/>
      <c r="F282" s="34" t="n"/>
      <c r="G282" s="37" t="n"/>
      <c r="H282" s="24">
        <f>IF(A282="","",IF(F282="Sim","Paga",IF(D282="","Sem vencimento",IF(D282&lt;Config!$B$5,"Vencida","A vencer"))))</f>
        <v/>
      </c>
      <c r="I282" s="30">
        <f>IF(H282="Vencida",Config!$B$5-D282,"")</f>
        <v/>
      </c>
      <c r="J282" s="30">
        <f>IF(H282="A vencer",D282-Config!$B$5,"")</f>
        <v/>
      </c>
      <c r="K282" s="24">
        <f>IF(H282&lt;&gt;"Vencida","",IF(COUNTIF(Config!$A$10:$A$13,"&lt;="&amp;I282)=0,"Antes da régua",INDEX(Config!$C$10:$C$13,COUNTIF(Config!$A$10:$A$13,"&lt;="&amp;I282))))</f>
        <v/>
      </c>
      <c r="L282" s="23">
        <f>IF(H282&lt;&gt;"Vencida","",IF(COUNTIF(Config!$A$10:$A$13,"&lt;="&amp;I282)=0,"Aguardar: ainda não chegou ao primeiro passo da régua.",INDEX(Config!$B$10:$B$13,COUNTIF(Config!$A$10:$A$13,"&lt;="&amp;I282))))</f>
        <v/>
      </c>
      <c r="M282" s="38">
        <f>IF(H282="Vencida",E282*I282+ROW()/100000,0)</f>
        <v>0</v>
      </c>
      <c r="N282" s="38">
        <f>IF(AND(H282="A vencer",J282&lt;=Config!$B$7),100000-J282-ROW()/100000,0)</f>
        <v>0</v>
      </c>
    </row>
    <row r="283">
      <c r="A283" s="32" t="n"/>
      <c r="B283" s="23">
        <f>IF(A283="","",IFERROR(INDEX(Casos!$B$5:$B$204,MATCH(A283,Casos!$A$5:$A$204,0)),""))</f>
        <v/>
      </c>
      <c r="C283" s="34" t="n"/>
      <c r="D283" s="37" t="n"/>
      <c r="E283" s="36" t="n"/>
      <c r="F283" s="34" t="n"/>
      <c r="G283" s="37" t="n"/>
      <c r="H283" s="24">
        <f>IF(A283="","",IF(F283="Sim","Paga",IF(D283="","Sem vencimento",IF(D283&lt;Config!$B$5,"Vencida","A vencer"))))</f>
        <v/>
      </c>
      <c r="I283" s="30">
        <f>IF(H283="Vencida",Config!$B$5-D283,"")</f>
        <v/>
      </c>
      <c r="J283" s="30">
        <f>IF(H283="A vencer",D283-Config!$B$5,"")</f>
        <v/>
      </c>
      <c r="K283" s="24">
        <f>IF(H283&lt;&gt;"Vencida","",IF(COUNTIF(Config!$A$10:$A$13,"&lt;="&amp;I283)=0,"Antes da régua",INDEX(Config!$C$10:$C$13,COUNTIF(Config!$A$10:$A$13,"&lt;="&amp;I283))))</f>
        <v/>
      </c>
      <c r="L283" s="23">
        <f>IF(H283&lt;&gt;"Vencida","",IF(COUNTIF(Config!$A$10:$A$13,"&lt;="&amp;I283)=0,"Aguardar: ainda não chegou ao primeiro passo da régua.",INDEX(Config!$B$10:$B$13,COUNTIF(Config!$A$10:$A$13,"&lt;="&amp;I283))))</f>
        <v/>
      </c>
      <c r="M283" s="38">
        <f>IF(H283="Vencida",E283*I283+ROW()/100000,0)</f>
        <v>0</v>
      </c>
      <c r="N283" s="38">
        <f>IF(AND(H283="A vencer",J283&lt;=Config!$B$7),100000-J283-ROW()/100000,0)</f>
        <v>0</v>
      </c>
    </row>
    <row r="284">
      <c r="A284" s="32" t="n"/>
      <c r="B284" s="23">
        <f>IF(A284="","",IFERROR(INDEX(Casos!$B$5:$B$204,MATCH(A284,Casos!$A$5:$A$204,0)),""))</f>
        <v/>
      </c>
      <c r="C284" s="34" t="n"/>
      <c r="D284" s="37" t="n"/>
      <c r="E284" s="36" t="n"/>
      <c r="F284" s="34" t="n"/>
      <c r="G284" s="37" t="n"/>
      <c r="H284" s="24">
        <f>IF(A284="","",IF(F284="Sim","Paga",IF(D284="","Sem vencimento",IF(D284&lt;Config!$B$5,"Vencida","A vencer"))))</f>
        <v/>
      </c>
      <c r="I284" s="30">
        <f>IF(H284="Vencida",Config!$B$5-D284,"")</f>
        <v/>
      </c>
      <c r="J284" s="30">
        <f>IF(H284="A vencer",D284-Config!$B$5,"")</f>
        <v/>
      </c>
      <c r="K284" s="24">
        <f>IF(H284&lt;&gt;"Vencida","",IF(COUNTIF(Config!$A$10:$A$13,"&lt;="&amp;I284)=0,"Antes da régua",INDEX(Config!$C$10:$C$13,COUNTIF(Config!$A$10:$A$13,"&lt;="&amp;I284))))</f>
        <v/>
      </c>
      <c r="L284" s="23">
        <f>IF(H284&lt;&gt;"Vencida","",IF(COUNTIF(Config!$A$10:$A$13,"&lt;="&amp;I284)=0,"Aguardar: ainda não chegou ao primeiro passo da régua.",INDEX(Config!$B$10:$B$13,COUNTIF(Config!$A$10:$A$13,"&lt;="&amp;I284))))</f>
        <v/>
      </c>
      <c r="M284" s="38">
        <f>IF(H284="Vencida",E284*I284+ROW()/100000,0)</f>
        <v>0</v>
      </c>
      <c r="N284" s="38">
        <f>IF(AND(H284="A vencer",J284&lt;=Config!$B$7),100000-J284-ROW()/100000,0)</f>
        <v>0</v>
      </c>
    </row>
    <row r="285">
      <c r="A285" s="32" t="n"/>
      <c r="B285" s="23">
        <f>IF(A285="","",IFERROR(INDEX(Casos!$B$5:$B$204,MATCH(A285,Casos!$A$5:$A$204,0)),""))</f>
        <v/>
      </c>
      <c r="C285" s="34" t="n"/>
      <c r="D285" s="37" t="n"/>
      <c r="E285" s="36" t="n"/>
      <c r="F285" s="34" t="n"/>
      <c r="G285" s="37" t="n"/>
      <c r="H285" s="24">
        <f>IF(A285="","",IF(F285="Sim","Paga",IF(D285="","Sem vencimento",IF(D285&lt;Config!$B$5,"Vencida","A vencer"))))</f>
        <v/>
      </c>
      <c r="I285" s="30">
        <f>IF(H285="Vencida",Config!$B$5-D285,"")</f>
        <v/>
      </c>
      <c r="J285" s="30">
        <f>IF(H285="A vencer",D285-Config!$B$5,"")</f>
        <v/>
      </c>
      <c r="K285" s="24">
        <f>IF(H285&lt;&gt;"Vencida","",IF(COUNTIF(Config!$A$10:$A$13,"&lt;="&amp;I285)=0,"Antes da régua",INDEX(Config!$C$10:$C$13,COUNTIF(Config!$A$10:$A$13,"&lt;="&amp;I285))))</f>
        <v/>
      </c>
      <c r="L285" s="23">
        <f>IF(H285&lt;&gt;"Vencida","",IF(COUNTIF(Config!$A$10:$A$13,"&lt;="&amp;I285)=0,"Aguardar: ainda não chegou ao primeiro passo da régua.",INDEX(Config!$B$10:$B$13,COUNTIF(Config!$A$10:$A$13,"&lt;="&amp;I285))))</f>
        <v/>
      </c>
      <c r="M285" s="38">
        <f>IF(H285="Vencida",E285*I285+ROW()/100000,0)</f>
        <v>0</v>
      </c>
      <c r="N285" s="38">
        <f>IF(AND(H285="A vencer",J285&lt;=Config!$B$7),100000-J285-ROW()/100000,0)</f>
        <v>0</v>
      </c>
    </row>
    <row r="286">
      <c r="A286" s="32" t="n"/>
      <c r="B286" s="23">
        <f>IF(A286="","",IFERROR(INDEX(Casos!$B$5:$B$204,MATCH(A286,Casos!$A$5:$A$204,0)),""))</f>
        <v/>
      </c>
      <c r="C286" s="34" t="n"/>
      <c r="D286" s="37" t="n"/>
      <c r="E286" s="36" t="n"/>
      <c r="F286" s="34" t="n"/>
      <c r="G286" s="37" t="n"/>
      <c r="H286" s="24">
        <f>IF(A286="","",IF(F286="Sim","Paga",IF(D286="","Sem vencimento",IF(D286&lt;Config!$B$5,"Vencida","A vencer"))))</f>
        <v/>
      </c>
      <c r="I286" s="30">
        <f>IF(H286="Vencida",Config!$B$5-D286,"")</f>
        <v/>
      </c>
      <c r="J286" s="30">
        <f>IF(H286="A vencer",D286-Config!$B$5,"")</f>
        <v/>
      </c>
      <c r="K286" s="24">
        <f>IF(H286&lt;&gt;"Vencida","",IF(COUNTIF(Config!$A$10:$A$13,"&lt;="&amp;I286)=0,"Antes da régua",INDEX(Config!$C$10:$C$13,COUNTIF(Config!$A$10:$A$13,"&lt;="&amp;I286))))</f>
        <v/>
      </c>
      <c r="L286" s="23">
        <f>IF(H286&lt;&gt;"Vencida","",IF(COUNTIF(Config!$A$10:$A$13,"&lt;="&amp;I286)=0,"Aguardar: ainda não chegou ao primeiro passo da régua.",INDEX(Config!$B$10:$B$13,COUNTIF(Config!$A$10:$A$13,"&lt;="&amp;I286))))</f>
        <v/>
      </c>
      <c r="M286" s="38">
        <f>IF(H286="Vencida",E286*I286+ROW()/100000,0)</f>
        <v>0</v>
      </c>
      <c r="N286" s="38">
        <f>IF(AND(H286="A vencer",J286&lt;=Config!$B$7),100000-J286-ROW()/100000,0)</f>
        <v>0</v>
      </c>
    </row>
    <row r="287">
      <c r="A287" s="32" t="n"/>
      <c r="B287" s="23">
        <f>IF(A287="","",IFERROR(INDEX(Casos!$B$5:$B$204,MATCH(A287,Casos!$A$5:$A$204,0)),""))</f>
        <v/>
      </c>
      <c r="C287" s="34" t="n"/>
      <c r="D287" s="37" t="n"/>
      <c r="E287" s="36" t="n"/>
      <c r="F287" s="34" t="n"/>
      <c r="G287" s="37" t="n"/>
      <c r="H287" s="24">
        <f>IF(A287="","",IF(F287="Sim","Paga",IF(D287="","Sem vencimento",IF(D287&lt;Config!$B$5,"Vencida","A vencer"))))</f>
        <v/>
      </c>
      <c r="I287" s="30">
        <f>IF(H287="Vencida",Config!$B$5-D287,"")</f>
        <v/>
      </c>
      <c r="J287" s="30">
        <f>IF(H287="A vencer",D287-Config!$B$5,"")</f>
        <v/>
      </c>
      <c r="K287" s="24">
        <f>IF(H287&lt;&gt;"Vencida","",IF(COUNTIF(Config!$A$10:$A$13,"&lt;="&amp;I287)=0,"Antes da régua",INDEX(Config!$C$10:$C$13,COUNTIF(Config!$A$10:$A$13,"&lt;="&amp;I287))))</f>
        <v/>
      </c>
      <c r="L287" s="23">
        <f>IF(H287&lt;&gt;"Vencida","",IF(COUNTIF(Config!$A$10:$A$13,"&lt;="&amp;I287)=0,"Aguardar: ainda não chegou ao primeiro passo da régua.",INDEX(Config!$B$10:$B$13,COUNTIF(Config!$A$10:$A$13,"&lt;="&amp;I287))))</f>
        <v/>
      </c>
      <c r="M287" s="38">
        <f>IF(H287="Vencida",E287*I287+ROW()/100000,0)</f>
        <v>0</v>
      </c>
      <c r="N287" s="38">
        <f>IF(AND(H287="A vencer",J287&lt;=Config!$B$7),100000-J287-ROW()/100000,0)</f>
        <v>0</v>
      </c>
    </row>
    <row r="288">
      <c r="A288" s="32" t="n"/>
      <c r="B288" s="23">
        <f>IF(A288="","",IFERROR(INDEX(Casos!$B$5:$B$204,MATCH(A288,Casos!$A$5:$A$204,0)),""))</f>
        <v/>
      </c>
      <c r="C288" s="34" t="n"/>
      <c r="D288" s="37" t="n"/>
      <c r="E288" s="36" t="n"/>
      <c r="F288" s="34" t="n"/>
      <c r="G288" s="37" t="n"/>
      <c r="H288" s="24">
        <f>IF(A288="","",IF(F288="Sim","Paga",IF(D288="","Sem vencimento",IF(D288&lt;Config!$B$5,"Vencida","A vencer"))))</f>
        <v/>
      </c>
      <c r="I288" s="30">
        <f>IF(H288="Vencida",Config!$B$5-D288,"")</f>
        <v/>
      </c>
      <c r="J288" s="30">
        <f>IF(H288="A vencer",D288-Config!$B$5,"")</f>
        <v/>
      </c>
      <c r="K288" s="24">
        <f>IF(H288&lt;&gt;"Vencida","",IF(COUNTIF(Config!$A$10:$A$13,"&lt;="&amp;I288)=0,"Antes da régua",INDEX(Config!$C$10:$C$13,COUNTIF(Config!$A$10:$A$13,"&lt;="&amp;I288))))</f>
        <v/>
      </c>
      <c r="L288" s="23">
        <f>IF(H288&lt;&gt;"Vencida","",IF(COUNTIF(Config!$A$10:$A$13,"&lt;="&amp;I288)=0,"Aguardar: ainda não chegou ao primeiro passo da régua.",INDEX(Config!$B$10:$B$13,COUNTIF(Config!$A$10:$A$13,"&lt;="&amp;I288))))</f>
        <v/>
      </c>
      <c r="M288" s="38">
        <f>IF(H288="Vencida",E288*I288+ROW()/100000,0)</f>
        <v>0</v>
      </c>
      <c r="N288" s="38">
        <f>IF(AND(H288="A vencer",J288&lt;=Config!$B$7),100000-J288-ROW()/100000,0)</f>
        <v>0</v>
      </c>
    </row>
    <row r="289">
      <c r="A289" s="32" t="n"/>
      <c r="B289" s="23">
        <f>IF(A289="","",IFERROR(INDEX(Casos!$B$5:$B$204,MATCH(A289,Casos!$A$5:$A$204,0)),""))</f>
        <v/>
      </c>
      <c r="C289" s="34" t="n"/>
      <c r="D289" s="37" t="n"/>
      <c r="E289" s="36" t="n"/>
      <c r="F289" s="34" t="n"/>
      <c r="G289" s="37" t="n"/>
      <c r="H289" s="24">
        <f>IF(A289="","",IF(F289="Sim","Paga",IF(D289="","Sem vencimento",IF(D289&lt;Config!$B$5,"Vencida","A vencer"))))</f>
        <v/>
      </c>
      <c r="I289" s="30">
        <f>IF(H289="Vencida",Config!$B$5-D289,"")</f>
        <v/>
      </c>
      <c r="J289" s="30">
        <f>IF(H289="A vencer",D289-Config!$B$5,"")</f>
        <v/>
      </c>
      <c r="K289" s="24">
        <f>IF(H289&lt;&gt;"Vencida","",IF(COUNTIF(Config!$A$10:$A$13,"&lt;="&amp;I289)=0,"Antes da régua",INDEX(Config!$C$10:$C$13,COUNTIF(Config!$A$10:$A$13,"&lt;="&amp;I289))))</f>
        <v/>
      </c>
      <c r="L289" s="23">
        <f>IF(H289&lt;&gt;"Vencida","",IF(COUNTIF(Config!$A$10:$A$13,"&lt;="&amp;I289)=0,"Aguardar: ainda não chegou ao primeiro passo da régua.",INDEX(Config!$B$10:$B$13,COUNTIF(Config!$A$10:$A$13,"&lt;="&amp;I289))))</f>
        <v/>
      </c>
      <c r="M289" s="38">
        <f>IF(H289="Vencida",E289*I289+ROW()/100000,0)</f>
        <v>0</v>
      </c>
      <c r="N289" s="38">
        <f>IF(AND(H289="A vencer",J289&lt;=Config!$B$7),100000-J289-ROW()/100000,0)</f>
        <v>0</v>
      </c>
    </row>
    <row r="290">
      <c r="A290" s="32" t="n"/>
      <c r="B290" s="23">
        <f>IF(A290="","",IFERROR(INDEX(Casos!$B$5:$B$204,MATCH(A290,Casos!$A$5:$A$204,0)),""))</f>
        <v/>
      </c>
      <c r="C290" s="34" t="n"/>
      <c r="D290" s="37" t="n"/>
      <c r="E290" s="36" t="n"/>
      <c r="F290" s="34" t="n"/>
      <c r="G290" s="37" t="n"/>
      <c r="H290" s="24">
        <f>IF(A290="","",IF(F290="Sim","Paga",IF(D290="","Sem vencimento",IF(D290&lt;Config!$B$5,"Vencida","A vencer"))))</f>
        <v/>
      </c>
      <c r="I290" s="30">
        <f>IF(H290="Vencida",Config!$B$5-D290,"")</f>
        <v/>
      </c>
      <c r="J290" s="30">
        <f>IF(H290="A vencer",D290-Config!$B$5,"")</f>
        <v/>
      </c>
      <c r="K290" s="24">
        <f>IF(H290&lt;&gt;"Vencida","",IF(COUNTIF(Config!$A$10:$A$13,"&lt;="&amp;I290)=0,"Antes da régua",INDEX(Config!$C$10:$C$13,COUNTIF(Config!$A$10:$A$13,"&lt;="&amp;I290))))</f>
        <v/>
      </c>
      <c r="L290" s="23">
        <f>IF(H290&lt;&gt;"Vencida","",IF(COUNTIF(Config!$A$10:$A$13,"&lt;="&amp;I290)=0,"Aguardar: ainda não chegou ao primeiro passo da régua.",INDEX(Config!$B$10:$B$13,COUNTIF(Config!$A$10:$A$13,"&lt;="&amp;I290))))</f>
        <v/>
      </c>
      <c r="M290" s="38">
        <f>IF(H290="Vencida",E290*I290+ROW()/100000,0)</f>
        <v>0</v>
      </c>
      <c r="N290" s="38">
        <f>IF(AND(H290="A vencer",J290&lt;=Config!$B$7),100000-J290-ROW()/100000,0)</f>
        <v>0</v>
      </c>
    </row>
    <row r="291">
      <c r="A291" s="32" t="n"/>
      <c r="B291" s="23">
        <f>IF(A291="","",IFERROR(INDEX(Casos!$B$5:$B$204,MATCH(A291,Casos!$A$5:$A$204,0)),""))</f>
        <v/>
      </c>
      <c r="C291" s="34" t="n"/>
      <c r="D291" s="37" t="n"/>
      <c r="E291" s="36" t="n"/>
      <c r="F291" s="34" t="n"/>
      <c r="G291" s="37" t="n"/>
      <c r="H291" s="24">
        <f>IF(A291="","",IF(F291="Sim","Paga",IF(D291="","Sem vencimento",IF(D291&lt;Config!$B$5,"Vencida","A vencer"))))</f>
        <v/>
      </c>
      <c r="I291" s="30">
        <f>IF(H291="Vencida",Config!$B$5-D291,"")</f>
        <v/>
      </c>
      <c r="J291" s="30">
        <f>IF(H291="A vencer",D291-Config!$B$5,"")</f>
        <v/>
      </c>
      <c r="K291" s="24">
        <f>IF(H291&lt;&gt;"Vencida","",IF(COUNTIF(Config!$A$10:$A$13,"&lt;="&amp;I291)=0,"Antes da régua",INDEX(Config!$C$10:$C$13,COUNTIF(Config!$A$10:$A$13,"&lt;="&amp;I291))))</f>
        <v/>
      </c>
      <c r="L291" s="23">
        <f>IF(H291&lt;&gt;"Vencida","",IF(COUNTIF(Config!$A$10:$A$13,"&lt;="&amp;I291)=0,"Aguardar: ainda não chegou ao primeiro passo da régua.",INDEX(Config!$B$10:$B$13,COUNTIF(Config!$A$10:$A$13,"&lt;="&amp;I291))))</f>
        <v/>
      </c>
      <c r="M291" s="38">
        <f>IF(H291="Vencida",E291*I291+ROW()/100000,0)</f>
        <v>0</v>
      </c>
      <c r="N291" s="38">
        <f>IF(AND(H291="A vencer",J291&lt;=Config!$B$7),100000-J291-ROW()/100000,0)</f>
        <v>0</v>
      </c>
    </row>
    <row r="292">
      <c r="A292" s="32" t="n"/>
      <c r="B292" s="23">
        <f>IF(A292="","",IFERROR(INDEX(Casos!$B$5:$B$204,MATCH(A292,Casos!$A$5:$A$204,0)),""))</f>
        <v/>
      </c>
      <c r="C292" s="34" t="n"/>
      <c r="D292" s="37" t="n"/>
      <c r="E292" s="36" t="n"/>
      <c r="F292" s="34" t="n"/>
      <c r="G292" s="37" t="n"/>
      <c r="H292" s="24">
        <f>IF(A292="","",IF(F292="Sim","Paga",IF(D292="","Sem vencimento",IF(D292&lt;Config!$B$5,"Vencida","A vencer"))))</f>
        <v/>
      </c>
      <c r="I292" s="30">
        <f>IF(H292="Vencida",Config!$B$5-D292,"")</f>
        <v/>
      </c>
      <c r="J292" s="30">
        <f>IF(H292="A vencer",D292-Config!$B$5,"")</f>
        <v/>
      </c>
      <c r="K292" s="24">
        <f>IF(H292&lt;&gt;"Vencida","",IF(COUNTIF(Config!$A$10:$A$13,"&lt;="&amp;I292)=0,"Antes da régua",INDEX(Config!$C$10:$C$13,COUNTIF(Config!$A$10:$A$13,"&lt;="&amp;I292))))</f>
        <v/>
      </c>
      <c r="L292" s="23">
        <f>IF(H292&lt;&gt;"Vencida","",IF(COUNTIF(Config!$A$10:$A$13,"&lt;="&amp;I292)=0,"Aguardar: ainda não chegou ao primeiro passo da régua.",INDEX(Config!$B$10:$B$13,COUNTIF(Config!$A$10:$A$13,"&lt;="&amp;I292))))</f>
        <v/>
      </c>
      <c r="M292" s="38">
        <f>IF(H292="Vencida",E292*I292+ROW()/100000,0)</f>
        <v>0</v>
      </c>
      <c r="N292" s="38">
        <f>IF(AND(H292="A vencer",J292&lt;=Config!$B$7),100000-J292-ROW()/100000,0)</f>
        <v>0</v>
      </c>
    </row>
    <row r="293">
      <c r="A293" s="32" t="n"/>
      <c r="B293" s="23">
        <f>IF(A293="","",IFERROR(INDEX(Casos!$B$5:$B$204,MATCH(A293,Casos!$A$5:$A$204,0)),""))</f>
        <v/>
      </c>
      <c r="C293" s="34" t="n"/>
      <c r="D293" s="37" t="n"/>
      <c r="E293" s="36" t="n"/>
      <c r="F293" s="34" t="n"/>
      <c r="G293" s="37" t="n"/>
      <c r="H293" s="24">
        <f>IF(A293="","",IF(F293="Sim","Paga",IF(D293="","Sem vencimento",IF(D293&lt;Config!$B$5,"Vencida","A vencer"))))</f>
        <v/>
      </c>
      <c r="I293" s="30">
        <f>IF(H293="Vencida",Config!$B$5-D293,"")</f>
        <v/>
      </c>
      <c r="J293" s="30">
        <f>IF(H293="A vencer",D293-Config!$B$5,"")</f>
        <v/>
      </c>
      <c r="K293" s="24">
        <f>IF(H293&lt;&gt;"Vencida","",IF(COUNTIF(Config!$A$10:$A$13,"&lt;="&amp;I293)=0,"Antes da régua",INDEX(Config!$C$10:$C$13,COUNTIF(Config!$A$10:$A$13,"&lt;="&amp;I293))))</f>
        <v/>
      </c>
      <c r="L293" s="23">
        <f>IF(H293&lt;&gt;"Vencida","",IF(COUNTIF(Config!$A$10:$A$13,"&lt;="&amp;I293)=0,"Aguardar: ainda não chegou ao primeiro passo da régua.",INDEX(Config!$B$10:$B$13,COUNTIF(Config!$A$10:$A$13,"&lt;="&amp;I293))))</f>
        <v/>
      </c>
      <c r="M293" s="38">
        <f>IF(H293="Vencida",E293*I293+ROW()/100000,0)</f>
        <v>0</v>
      </c>
      <c r="N293" s="38">
        <f>IF(AND(H293="A vencer",J293&lt;=Config!$B$7),100000-J293-ROW()/100000,0)</f>
        <v>0</v>
      </c>
    </row>
    <row r="294">
      <c r="A294" s="32" t="n"/>
      <c r="B294" s="23">
        <f>IF(A294="","",IFERROR(INDEX(Casos!$B$5:$B$204,MATCH(A294,Casos!$A$5:$A$204,0)),""))</f>
        <v/>
      </c>
      <c r="C294" s="34" t="n"/>
      <c r="D294" s="37" t="n"/>
      <c r="E294" s="36" t="n"/>
      <c r="F294" s="34" t="n"/>
      <c r="G294" s="37" t="n"/>
      <c r="H294" s="24">
        <f>IF(A294="","",IF(F294="Sim","Paga",IF(D294="","Sem vencimento",IF(D294&lt;Config!$B$5,"Vencida","A vencer"))))</f>
        <v/>
      </c>
      <c r="I294" s="30">
        <f>IF(H294="Vencida",Config!$B$5-D294,"")</f>
        <v/>
      </c>
      <c r="J294" s="30">
        <f>IF(H294="A vencer",D294-Config!$B$5,"")</f>
        <v/>
      </c>
      <c r="K294" s="24">
        <f>IF(H294&lt;&gt;"Vencida","",IF(COUNTIF(Config!$A$10:$A$13,"&lt;="&amp;I294)=0,"Antes da régua",INDEX(Config!$C$10:$C$13,COUNTIF(Config!$A$10:$A$13,"&lt;="&amp;I294))))</f>
        <v/>
      </c>
      <c r="L294" s="23">
        <f>IF(H294&lt;&gt;"Vencida","",IF(COUNTIF(Config!$A$10:$A$13,"&lt;="&amp;I294)=0,"Aguardar: ainda não chegou ao primeiro passo da régua.",INDEX(Config!$B$10:$B$13,COUNTIF(Config!$A$10:$A$13,"&lt;="&amp;I294))))</f>
        <v/>
      </c>
      <c r="M294" s="38">
        <f>IF(H294="Vencida",E294*I294+ROW()/100000,0)</f>
        <v>0</v>
      </c>
      <c r="N294" s="38">
        <f>IF(AND(H294="A vencer",J294&lt;=Config!$B$7),100000-J294-ROW()/100000,0)</f>
        <v>0</v>
      </c>
    </row>
    <row r="295">
      <c r="A295" s="32" t="n"/>
      <c r="B295" s="23">
        <f>IF(A295="","",IFERROR(INDEX(Casos!$B$5:$B$204,MATCH(A295,Casos!$A$5:$A$204,0)),""))</f>
        <v/>
      </c>
      <c r="C295" s="34" t="n"/>
      <c r="D295" s="37" t="n"/>
      <c r="E295" s="36" t="n"/>
      <c r="F295" s="34" t="n"/>
      <c r="G295" s="37" t="n"/>
      <c r="H295" s="24">
        <f>IF(A295="","",IF(F295="Sim","Paga",IF(D295="","Sem vencimento",IF(D295&lt;Config!$B$5,"Vencida","A vencer"))))</f>
        <v/>
      </c>
      <c r="I295" s="30">
        <f>IF(H295="Vencida",Config!$B$5-D295,"")</f>
        <v/>
      </c>
      <c r="J295" s="30">
        <f>IF(H295="A vencer",D295-Config!$B$5,"")</f>
        <v/>
      </c>
      <c r="K295" s="24">
        <f>IF(H295&lt;&gt;"Vencida","",IF(COUNTIF(Config!$A$10:$A$13,"&lt;="&amp;I295)=0,"Antes da régua",INDEX(Config!$C$10:$C$13,COUNTIF(Config!$A$10:$A$13,"&lt;="&amp;I295))))</f>
        <v/>
      </c>
      <c r="L295" s="23">
        <f>IF(H295&lt;&gt;"Vencida","",IF(COUNTIF(Config!$A$10:$A$13,"&lt;="&amp;I295)=0,"Aguardar: ainda não chegou ao primeiro passo da régua.",INDEX(Config!$B$10:$B$13,COUNTIF(Config!$A$10:$A$13,"&lt;="&amp;I295))))</f>
        <v/>
      </c>
      <c r="M295" s="38">
        <f>IF(H295="Vencida",E295*I295+ROW()/100000,0)</f>
        <v>0</v>
      </c>
      <c r="N295" s="38">
        <f>IF(AND(H295="A vencer",J295&lt;=Config!$B$7),100000-J295-ROW()/100000,0)</f>
        <v>0</v>
      </c>
    </row>
    <row r="296">
      <c r="A296" s="32" t="n"/>
      <c r="B296" s="23">
        <f>IF(A296="","",IFERROR(INDEX(Casos!$B$5:$B$204,MATCH(A296,Casos!$A$5:$A$204,0)),""))</f>
        <v/>
      </c>
      <c r="C296" s="34" t="n"/>
      <c r="D296" s="37" t="n"/>
      <c r="E296" s="36" t="n"/>
      <c r="F296" s="34" t="n"/>
      <c r="G296" s="37" t="n"/>
      <c r="H296" s="24">
        <f>IF(A296="","",IF(F296="Sim","Paga",IF(D296="","Sem vencimento",IF(D296&lt;Config!$B$5,"Vencida","A vencer"))))</f>
        <v/>
      </c>
      <c r="I296" s="30">
        <f>IF(H296="Vencida",Config!$B$5-D296,"")</f>
        <v/>
      </c>
      <c r="J296" s="30">
        <f>IF(H296="A vencer",D296-Config!$B$5,"")</f>
        <v/>
      </c>
      <c r="K296" s="24">
        <f>IF(H296&lt;&gt;"Vencida","",IF(COUNTIF(Config!$A$10:$A$13,"&lt;="&amp;I296)=0,"Antes da régua",INDEX(Config!$C$10:$C$13,COUNTIF(Config!$A$10:$A$13,"&lt;="&amp;I296))))</f>
        <v/>
      </c>
      <c r="L296" s="23">
        <f>IF(H296&lt;&gt;"Vencida","",IF(COUNTIF(Config!$A$10:$A$13,"&lt;="&amp;I296)=0,"Aguardar: ainda não chegou ao primeiro passo da régua.",INDEX(Config!$B$10:$B$13,COUNTIF(Config!$A$10:$A$13,"&lt;="&amp;I296))))</f>
        <v/>
      </c>
      <c r="M296" s="38">
        <f>IF(H296="Vencida",E296*I296+ROW()/100000,0)</f>
        <v>0</v>
      </c>
      <c r="N296" s="38">
        <f>IF(AND(H296="A vencer",J296&lt;=Config!$B$7),100000-J296-ROW()/100000,0)</f>
        <v>0</v>
      </c>
    </row>
    <row r="297">
      <c r="A297" s="32" t="n"/>
      <c r="B297" s="23">
        <f>IF(A297="","",IFERROR(INDEX(Casos!$B$5:$B$204,MATCH(A297,Casos!$A$5:$A$204,0)),""))</f>
        <v/>
      </c>
      <c r="C297" s="34" t="n"/>
      <c r="D297" s="37" t="n"/>
      <c r="E297" s="36" t="n"/>
      <c r="F297" s="34" t="n"/>
      <c r="G297" s="37" t="n"/>
      <c r="H297" s="24">
        <f>IF(A297="","",IF(F297="Sim","Paga",IF(D297="","Sem vencimento",IF(D297&lt;Config!$B$5,"Vencida","A vencer"))))</f>
        <v/>
      </c>
      <c r="I297" s="30">
        <f>IF(H297="Vencida",Config!$B$5-D297,"")</f>
        <v/>
      </c>
      <c r="J297" s="30">
        <f>IF(H297="A vencer",D297-Config!$B$5,"")</f>
        <v/>
      </c>
      <c r="K297" s="24">
        <f>IF(H297&lt;&gt;"Vencida","",IF(COUNTIF(Config!$A$10:$A$13,"&lt;="&amp;I297)=0,"Antes da régua",INDEX(Config!$C$10:$C$13,COUNTIF(Config!$A$10:$A$13,"&lt;="&amp;I297))))</f>
        <v/>
      </c>
      <c r="L297" s="23">
        <f>IF(H297&lt;&gt;"Vencida","",IF(COUNTIF(Config!$A$10:$A$13,"&lt;="&amp;I297)=0,"Aguardar: ainda não chegou ao primeiro passo da régua.",INDEX(Config!$B$10:$B$13,COUNTIF(Config!$A$10:$A$13,"&lt;="&amp;I297))))</f>
        <v/>
      </c>
      <c r="M297" s="38">
        <f>IF(H297="Vencida",E297*I297+ROW()/100000,0)</f>
        <v>0</v>
      </c>
      <c r="N297" s="38">
        <f>IF(AND(H297="A vencer",J297&lt;=Config!$B$7),100000-J297-ROW()/100000,0)</f>
        <v>0</v>
      </c>
    </row>
    <row r="298">
      <c r="A298" s="32" t="n"/>
      <c r="B298" s="23">
        <f>IF(A298="","",IFERROR(INDEX(Casos!$B$5:$B$204,MATCH(A298,Casos!$A$5:$A$204,0)),""))</f>
        <v/>
      </c>
      <c r="C298" s="34" t="n"/>
      <c r="D298" s="37" t="n"/>
      <c r="E298" s="36" t="n"/>
      <c r="F298" s="34" t="n"/>
      <c r="G298" s="37" t="n"/>
      <c r="H298" s="24">
        <f>IF(A298="","",IF(F298="Sim","Paga",IF(D298="","Sem vencimento",IF(D298&lt;Config!$B$5,"Vencida","A vencer"))))</f>
        <v/>
      </c>
      <c r="I298" s="30">
        <f>IF(H298="Vencida",Config!$B$5-D298,"")</f>
        <v/>
      </c>
      <c r="J298" s="30">
        <f>IF(H298="A vencer",D298-Config!$B$5,"")</f>
        <v/>
      </c>
      <c r="K298" s="24">
        <f>IF(H298&lt;&gt;"Vencida","",IF(COUNTIF(Config!$A$10:$A$13,"&lt;="&amp;I298)=0,"Antes da régua",INDEX(Config!$C$10:$C$13,COUNTIF(Config!$A$10:$A$13,"&lt;="&amp;I298))))</f>
        <v/>
      </c>
      <c r="L298" s="23">
        <f>IF(H298&lt;&gt;"Vencida","",IF(COUNTIF(Config!$A$10:$A$13,"&lt;="&amp;I298)=0,"Aguardar: ainda não chegou ao primeiro passo da régua.",INDEX(Config!$B$10:$B$13,COUNTIF(Config!$A$10:$A$13,"&lt;="&amp;I298))))</f>
        <v/>
      </c>
      <c r="M298" s="38">
        <f>IF(H298="Vencida",E298*I298+ROW()/100000,0)</f>
        <v>0</v>
      </c>
      <c r="N298" s="38">
        <f>IF(AND(H298="A vencer",J298&lt;=Config!$B$7),100000-J298-ROW()/100000,0)</f>
        <v>0</v>
      </c>
    </row>
    <row r="299">
      <c r="A299" s="32" t="n"/>
      <c r="B299" s="23">
        <f>IF(A299="","",IFERROR(INDEX(Casos!$B$5:$B$204,MATCH(A299,Casos!$A$5:$A$204,0)),""))</f>
        <v/>
      </c>
      <c r="C299" s="34" t="n"/>
      <c r="D299" s="37" t="n"/>
      <c r="E299" s="36" t="n"/>
      <c r="F299" s="34" t="n"/>
      <c r="G299" s="37" t="n"/>
      <c r="H299" s="24">
        <f>IF(A299="","",IF(F299="Sim","Paga",IF(D299="","Sem vencimento",IF(D299&lt;Config!$B$5,"Vencida","A vencer"))))</f>
        <v/>
      </c>
      <c r="I299" s="30">
        <f>IF(H299="Vencida",Config!$B$5-D299,"")</f>
        <v/>
      </c>
      <c r="J299" s="30">
        <f>IF(H299="A vencer",D299-Config!$B$5,"")</f>
        <v/>
      </c>
      <c r="K299" s="24">
        <f>IF(H299&lt;&gt;"Vencida","",IF(COUNTIF(Config!$A$10:$A$13,"&lt;="&amp;I299)=0,"Antes da régua",INDEX(Config!$C$10:$C$13,COUNTIF(Config!$A$10:$A$13,"&lt;="&amp;I299))))</f>
        <v/>
      </c>
      <c r="L299" s="23">
        <f>IF(H299&lt;&gt;"Vencida","",IF(COUNTIF(Config!$A$10:$A$13,"&lt;="&amp;I299)=0,"Aguardar: ainda não chegou ao primeiro passo da régua.",INDEX(Config!$B$10:$B$13,COUNTIF(Config!$A$10:$A$13,"&lt;="&amp;I299))))</f>
        <v/>
      </c>
      <c r="M299" s="38">
        <f>IF(H299="Vencida",E299*I299+ROW()/100000,0)</f>
        <v>0</v>
      </c>
      <c r="N299" s="38">
        <f>IF(AND(H299="A vencer",J299&lt;=Config!$B$7),100000-J299-ROW()/100000,0)</f>
        <v>0</v>
      </c>
    </row>
    <row r="300">
      <c r="A300" s="32" t="n"/>
      <c r="B300" s="23">
        <f>IF(A300="","",IFERROR(INDEX(Casos!$B$5:$B$204,MATCH(A300,Casos!$A$5:$A$204,0)),""))</f>
        <v/>
      </c>
      <c r="C300" s="34" t="n"/>
      <c r="D300" s="37" t="n"/>
      <c r="E300" s="36" t="n"/>
      <c r="F300" s="34" t="n"/>
      <c r="G300" s="37" t="n"/>
      <c r="H300" s="24">
        <f>IF(A300="","",IF(F300="Sim","Paga",IF(D300="","Sem vencimento",IF(D300&lt;Config!$B$5,"Vencida","A vencer"))))</f>
        <v/>
      </c>
      <c r="I300" s="30">
        <f>IF(H300="Vencida",Config!$B$5-D300,"")</f>
        <v/>
      </c>
      <c r="J300" s="30">
        <f>IF(H300="A vencer",D300-Config!$B$5,"")</f>
        <v/>
      </c>
      <c r="K300" s="24">
        <f>IF(H300&lt;&gt;"Vencida","",IF(COUNTIF(Config!$A$10:$A$13,"&lt;="&amp;I300)=0,"Antes da régua",INDEX(Config!$C$10:$C$13,COUNTIF(Config!$A$10:$A$13,"&lt;="&amp;I300))))</f>
        <v/>
      </c>
      <c r="L300" s="23">
        <f>IF(H300&lt;&gt;"Vencida","",IF(COUNTIF(Config!$A$10:$A$13,"&lt;="&amp;I300)=0,"Aguardar: ainda não chegou ao primeiro passo da régua.",INDEX(Config!$B$10:$B$13,COUNTIF(Config!$A$10:$A$13,"&lt;="&amp;I300))))</f>
        <v/>
      </c>
      <c r="M300" s="38">
        <f>IF(H300="Vencida",E300*I300+ROW()/100000,0)</f>
        <v>0</v>
      </c>
      <c r="N300" s="38">
        <f>IF(AND(H300="A vencer",J300&lt;=Config!$B$7),100000-J300-ROW()/100000,0)</f>
        <v>0</v>
      </c>
    </row>
    <row r="301">
      <c r="A301" s="32" t="n"/>
      <c r="B301" s="23">
        <f>IF(A301="","",IFERROR(INDEX(Casos!$B$5:$B$204,MATCH(A301,Casos!$A$5:$A$204,0)),""))</f>
        <v/>
      </c>
      <c r="C301" s="34" t="n"/>
      <c r="D301" s="37" t="n"/>
      <c r="E301" s="36" t="n"/>
      <c r="F301" s="34" t="n"/>
      <c r="G301" s="37" t="n"/>
      <c r="H301" s="24">
        <f>IF(A301="","",IF(F301="Sim","Paga",IF(D301="","Sem vencimento",IF(D301&lt;Config!$B$5,"Vencida","A vencer"))))</f>
        <v/>
      </c>
      <c r="I301" s="30">
        <f>IF(H301="Vencida",Config!$B$5-D301,"")</f>
        <v/>
      </c>
      <c r="J301" s="30">
        <f>IF(H301="A vencer",D301-Config!$B$5,"")</f>
        <v/>
      </c>
      <c r="K301" s="24">
        <f>IF(H301&lt;&gt;"Vencida","",IF(COUNTIF(Config!$A$10:$A$13,"&lt;="&amp;I301)=0,"Antes da régua",INDEX(Config!$C$10:$C$13,COUNTIF(Config!$A$10:$A$13,"&lt;="&amp;I301))))</f>
        <v/>
      </c>
      <c r="L301" s="23">
        <f>IF(H301&lt;&gt;"Vencida","",IF(COUNTIF(Config!$A$10:$A$13,"&lt;="&amp;I301)=0,"Aguardar: ainda não chegou ao primeiro passo da régua.",INDEX(Config!$B$10:$B$13,COUNTIF(Config!$A$10:$A$13,"&lt;="&amp;I301))))</f>
        <v/>
      </c>
      <c r="M301" s="38">
        <f>IF(H301="Vencida",E301*I301+ROW()/100000,0)</f>
        <v>0</v>
      </c>
      <c r="N301" s="38">
        <f>IF(AND(H301="A vencer",J301&lt;=Config!$B$7),100000-J301-ROW()/100000,0)</f>
        <v>0</v>
      </c>
    </row>
    <row r="302">
      <c r="A302" s="32" t="n"/>
      <c r="B302" s="23">
        <f>IF(A302="","",IFERROR(INDEX(Casos!$B$5:$B$204,MATCH(A302,Casos!$A$5:$A$204,0)),""))</f>
        <v/>
      </c>
      <c r="C302" s="34" t="n"/>
      <c r="D302" s="37" t="n"/>
      <c r="E302" s="36" t="n"/>
      <c r="F302" s="34" t="n"/>
      <c r="G302" s="37" t="n"/>
      <c r="H302" s="24">
        <f>IF(A302="","",IF(F302="Sim","Paga",IF(D302="","Sem vencimento",IF(D302&lt;Config!$B$5,"Vencida","A vencer"))))</f>
        <v/>
      </c>
      <c r="I302" s="30">
        <f>IF(H302="Vencida",Config!$B$5-D302,"")</f>
        <v/>
      </c>
      <c r="J302" s="30">
        <f>IF(H302="A vencer",D302-Config!$B$5,"")</f>
        <v/>
      </c>
      <c r="K302" s="24">
        <f>IF(H302&lt;&gt;"Vencida","",IF(COUNTIF(Config!$A$10:$A$13,"&lt;="&amp;I302)=0,"Antes da régua",INDEX(Config!$C$10:$C$13,COUNTIF(Config!$A$10:$A$13,"&lt;="&amp;I302))))</f>
        <v/>
      </c>
      <c r="L302" s="23">
        <f>IF(H302&lt;&gt;"Vencida","",IF(COUNTIF(Config!$A$10:$A$13,"&lt;="&amp;I302)=0,"Aguardar: ainda não chegou ao primeiro passo da régua.",INDEX(Config!$B$10:$B$13,COUNTIF(Config!$A$10:$A$13,"&lt;="&amp;I302))))</f>
        <v/>
      </c>
      <c r="M302" s="38">
        <f>IF(H302="Vencida",E302*I302+ROW()/100000,0)</f>
        <v>0</v>
      </c>
      <c r="N302" s="38">
        <f>IF(AND(H302="A vencer",J302&lt;=Config!$B$7),100000-J302-ROW()/100000,0)</f>
        <v>0</v>
      </c>
    </row>
    <row r="303">
      <c r="A303" s="32" t="n"/>
      <c r="B303" s="23">
        <f>IF(A303="","",IFERROR(INDEX(Casos!$B$5:$B$204,MATCH(A303,Casos!$A$5:$A$204,0)),""))</f>
        <v/>
      </c>
      <c r="C303" s="34" t="n"/>
      <c r="D303" s="37" t="n"/>
      <c r="E303" s="36" t="n"/>
      <c r="F303" s="34" t="n"/>
      <c r="G303" s="37" t="n"/>
      <c r="H303" s="24">
        <f>IF(A303="","",IF(F303="Sim","Paga",IF(D303="","Sem vencimento",IF(D303&lt;Config!$B$5,"Vencida","A vencer"))))</f>
        <v/>
      </c>
      <c r="I303" s="30">
        <f>IF(H303="Vencida",Config!$B$5-D303,"")</f>
        <v/>
      </c>
      <c r="J303" s="30">
        <f>IF(H303="A vencer",D303-Config!$B$5,"")</f>
        <v/>
      </c>
      <c r="K303" s="24">
        <f>IF(H303&lt;&gt;"Vencida","",IF(COUNTIF(Config!$A$10:$A$13,"&lt;="&amp;I303)=0,"Antes da régua",INDEX(Config!$C$10:$C$13,COUNTIF(Config!$A$10:$A$13,"&lt;="&amp;I303))))</f>
        <v/>
      </c>
      <c r="L303" s="23">
        <f>IF(H303&lt;&gt;"Vencida","",IF(COUNTIF(Config!$A$10:$A$13,"&lt;="&amp;I303)=0,"Aguardar: ainda não chegou ao primeiro passo da régua.",INDEX(Config!$B$10:$B$13,COUNTIF(Config!$A$10:$A$13,"&lt;="&amp;I303))))</f>
        <v/>
      </c>
      <c r="M303" s="38">
        <f>IF(H303="Vencida",E303*I303+ROW()/100000,0)</f>
        <v>0</v>
      </c>
      <c r="N303" s="38">
        <f>IF(AND(H303="A vencer",J303&lt;=Config!$B$7),100000-J303-ROW()/100000,0)</f>
        <v>0</v>
      </c>
    </row>
    <row r="304">
      <c r="A304" s="32" t="n"/>
      <c r="B304" s="23">
        <f>IF(A304="","",IFERROR(INDEX(Casos!$B$5:$B$204,MATCH(A304,Casos!$A$5:$A$204,0)),""))</f>
        <v/>
      </c>
      <c r="C304" s="34" t="n"/>
      <c r="D304" s="37" t="n"/>
      <c r="E304" s="36" t="n"/>
      <c r="F304" s="34" t="n"/>
      <c r="G304" s="37" t="n"/>
      <c r="H304" s="24">
        <f>IF(A304="","",IF(F304="Sim","Paga",IF(D304="","Sem vencimento",IF(D304&lt;Config!$B$5,"Vencida","A vencer"))))</f>
        <v/>
      </c>
      <c r="I304" s="30">
        <f>IF(H304="Vencida",Config!$B$5-D304,"")</f>
        <v/>
      </c>
      <c r="J304" s="30">
        <f>IF(H304="A vencer",D304-Config!$B$5,"")</f>
        <v/>
      </c>
      <c r="K304" s="24">
        <f>IF(H304&lt;&gt;"Vencida","",IF(COUNTIF(Config!$A$10:$A$13,"&lt;="&amp;I304)=0,"Antes da régua",INDEX(Config!$C$10:$C$13,COUNTIF(Config!$A$10:$A$13,"&lt;="&amp;I304))))</f>
        <v/>
      </c>
      <c r="L304" s="23">
        <f>IF(H304&lt;&gt;"Vencida","",IF(COUNTIF(Config!$A$10:$A$13,"&lt;="&amp;I304)=0,"Aguardar: ainda não chegou ao primeiro passo da régua.",INDEX(Config!$B$10:$B$13,COUNTIF(Config!$A$10:$A$13,"&lt;="&amp;I304))))</f>
        <v/>
      </c>
      <c r="M304" s="38">
        <f>IF(H304="Vencida",E304*I304+ROW()/100000,0)</f>
        <v>0</v>
      </c>
      <c r="N304" s="38">
        <f>IF(AND(H304="A vencer",J304&lt;=Config!$B$7),100000-J304-ROW()/100000,0)</f>
        <v>0</v>
      </c>
    </row>
    <row r="305">
      <c r="A305" s="32" t="n"/>
      <c r="B305" s="23">
        <f>IF(A305="","",IFERROR(INDEX(Casos!$B$5:$B$204,MATCH(A305,Casos!$A$5:$A$204,0)),""))</f>
        <v/>
      </c>
      <c r="C305" s="34" t="n"/>
      <c r="D305" s="37" t="n"/>
      <c r="E305" s="36" t="n"/>
      <c r="F305" s="34" t="n"/>
      <c r="G305" s="37" t="n"/>
      <c r="H305" s="24">
        <f>IF(A305="","",IF(F305="Sim","Paga",IF(D305="","Sem vencimento",IF(D305&lt;Config!$B$5,"Vencida","A vencer"))))</f>
        <v/>
      </c>
      <c r="I305" s="30">
        <f>IF(H305="Vencida",Config!$B$5-D305,"")</f>
        <v/>
      </c>
      <c r="J305" s="30">
        <f>IF(H305="A vencer",D305-Config!$B$5,"")</f>
        <v/>
      </c>
      <c r="K305" s="24">
        <f>IF(H305&lt;&gt;"Vencida","",IF(COUNTIF(Config!$A$10:$A$13,"&lt;="&amp;I305)=0,"Antes da régua",INDEX(Config!$C$10:$C$13,COUNTIF(Config!$A$10:$A$13,"&lt;="&amp;I305))))</f>
        <v/>
      </c>
      <c r="L305" s="23">
        <f>IF(H305&lt;&gt;"Vencida","",IF(COUNTIF(Config!$A$10:$A$13,"&lt;="&amp;I305)=0,"Aguardar: ainda não chegou ao primeiro passo da régua.",INDEX(Config!$B$10:$B$13,COUNTIF(Config!$A$10:$A$13,"&lt;="&amp;I305))))</f>
        <v/>
      </c>
      <c r="M305" s="38">
        <f>IF(H305="Vencida",E305*I305+ROW()/100000,0)</f>
        <v>0</v>
      </c>
      <c r="N305" s="38">
        <f>IF(AND(H305="A vencer",J305&lt;=Config!$B$7),100000-J305-ROW()/100000,0)</f>
        <v>0</v>
      </c>
    </row>
    <row r="306">
      <c r="A306" s="32" t="n"/>
      <c r="B306" s="23">
        <f>IF(A306="","",IFERROR(INDEX(Casos!$B$5:$B$204,MATCH(A306,Casos!$A$5:$A$204,0)),""))</f>
        <v/>
      </c>
      <c r="C306" s="34" t="n"/>
      <c r="D306" s="37" t="n"/>
      <c r="E306" s="36" t="n"/>
      <c r="F306" s="34" t="n"/>
      <c r="G306" s="37" t="n"/>
      <c r="H306" s="24">
        <f>IF(A306="","",IF(F306="Sim","Paga",IF(D306="","Sem vencimento",IF(D306&lt;Config!$B$5,"Vencida","A vencer"))))</f>
        <v/>
      </c>
      <c r="I306" s="30">
        <f>IF(H306="Vencida",Config!$B$5-D306,"")</f>
        <v/>
      </c>
      <c r="J306" s="30">
        <f>IF(H306="A vencer",D306-Config!$B$5,"")</f>
        <v/>
      </c>
      <c r="K306" s="24">
        <f>IF(H306&lt;&gt;"Vencida","",IF(COUNTIF(Config!$A$10:$A$13,"&lt;="&amp;I306)=0,"Antes da régua",INDEX(Config!$C$10:$C$13,COUNTIF(Config!$A$10:$A$13,"&lt;="&amp;I306))))</f>
        <v/>
      </c>
      <c r="L306" s="23">
        <f>IF(H306&lt;&gt;"Vencida","",IF(COUNTIF(Config!$A$10:$A$13,"&lt;="&amp;I306)=0,"Aguardar: ainda não chegou ao primeiro passo da régua.",INDEX(Config!$B$10:$B$13,COUNTIF(Config!$A$10:$A$13,"&lt;="&amp;I306))))</f>
        <v/>
      </c>
      <c r="M306" s="38">
        <f>IF(H306="Vencida",E306*I306+ROW()/100000,0)</f>
        <v>0</v>
      </c>
      <c r="N306" s="38">
        <f>IF(AND(H306="A vencer",J306&lt;=Config!$B$7),100000-J306-ROW()/100000,0)</f>
        <v>0</v>
      </c>
    </row>
    <row r="307">
      <c r="A307" s="32" t="n"/>
      <c r="B307" s="23">
        <f>IF(A307="","",IFERROR(INDEX(Casos!$B$5:$B$204,MATCH(A307,Casos!$A$5:$A$204,0)),""))</f>
        <v/>
      </c>
      <c r="C307" s="34" t="n"/>
      <c r="D307" s="37" t="n"/>
      <c r="E307" s="36" t="n"/>
      <c r="F307" s="34" t="n"/>
      <c r="G307" s="37" t="n"/>
      <c r="H307" s="24">
        <f>IF(A307="","",IF(F307="Sim","Paga",IF(D307="","Sem vencimento",IF(D307&lt;Config!$B$5,"Vencida","A vencer"))))</f>
        <v/>
      </c>
      <c r="I307" s="30">
        <f>IF(H307="Vencida",Config!$B$5-D307,"")</f>
        <v/>
      </c>
      <c r="J307" s="30">
        <f>IF(H307="A vencer",D307-Config!$B$5,"")</f>
        <v/>
      </c>
      <c r="K307" s="24">
        <f>IF(H307&lt;&gt;"Vencida","",IF(COUNTIF(Config!$A$10:$A$13,"&lt;="&amp;I307)=0,"Antes da régua",INDEX(Config!$C$10:$C$13,COUNTIF(Config!$A$10:$A$13,"&lt;="&amp;I307))))</f>
        <v/>
      </c>
      <c r="L307" s="23">
        <f>IF(H307&lt;&gt;"Vencida","",IF(COUNTIF(Config!$A$10:$A$13,"&lt;="&amp;I307)=0,"Aguardar: ainda não chegou ao primeiro passo da régua.",INDEX(Config!$B$10:$B$13,COUNTIF(Config!$A$10:$A$13,"&lt;="&amp;I307))))</f>
        <v/>
      </c>
      <c r="M307" s="38">
        <f>IF(H307="Vencida",E307*I307+ROW()/100000,0)</f>
        <v>0</v>
      </c>
      <c r="N307" s="38">
        <f>IF(AND(H307="A vencer",J307&lt;=Config!$B$7),100000-J307-ROW()/100000,0)</f>
        <v>0</v>
      </c>
    </row>
    <row r="308">
      <c r="A308" s="32" t="n"/>
      <c r="B308" s="23">
        <f>IF(A308="","",IFERROR(INDEX(Casos!$B$5:$B$204,MATCH(A308,Casos!$A$5:$A$204,0)),""))</f>
        <v/>
      </c>
      <c r="C308" s="34" t="n"/>
      <c r="D308" s="37" t="n"/>
      <c r="E308" s="36" t="n"/>
      <c r="F308" s="34" t="n"/>
      <c r="G308" s="37" t="n"/>
      <c r="H308" s="24">
        <f>IF(A308="","",IF(F308="Sim","Paga",IF(D308="","Sem vencimento",IF(D308&lt;Config!$B$5,"Vencida","A vencer"))))</f>
        <v/>
      </c>
      <c r="I308" s="30">
        <f>IF(H308="Vencida",Config!$B$5-D308,"")</f>
        <v/>
      </c>
      <c r="J308" s="30">
        <f>IF(H308="A vencer",D308-Config!$B$5,"")</f>
        <v/>
      </c>
      <c r="K308" s="24">
        <f>IF(H308&lt;&gt;"Vencida","",IF(COUNTIF(Config!$A$10:$A$13,"&lt;="&amp;I308)=0,"Antes da régua",INDEX(Config!$C$10:$C$13,COUNTIF(Config!$A$10:$A$13,"&lt;="&amp;I308))))</f>
        <v/>
      </c>
      <c r="L308" s="23">
        <f>IF(H308&lt;&gt;"Vencida","",IF(COUNTIF(Config!$A$10:$A$13,"&lt;="&amp;I308)=0,"Aguardar: ainda não chegou ao primeiro passo da régua.",INDEX(Config!$B$10:$B$13,COUNTIF(Config!$A$10:$A$13,"&lt;="&amp;I308))))</f>
        <v/>
      </c>
      <c r="M308" s="38">
        <f>IF(H308="Vencida",E308*I308+ROW()/100000,0)</f>
        <v>0</v>
      </c>
      <c r="N308" s="38">
        <f>IF(AND(H308="A vencer",J308&lt;=Config!$B$7),100000-J308-ROW()/100000,0)</f>
        <v>0</v>
      </c>
    </row>
    <row r="309">
      <c r="A309" s="32" t="n"/>
      <c r="B309" s="23">
        <f>IF(A309="","",IFERROR(INDEX(Casos!$B$5:$B$204,MATCH(A309,Casos!$A$5:$A$204,0)),""))</f>
        <v/>
      </c>
      <c r="C309" s="34" t="n"/>
      <c r="D309" s="37" t="n"/>
      <c r="E309" s="36" t="n"/>
      <c r="F309" s="34" t="n"/>
      <c r="G309" s="37" t="n"/>
      <c r="H309" s="24">
        <f>IF(A309="","",IF(F309="Sim","Paga",IF(D309="","Sem vencimento",IF(D309&lt;Config!$B$5,"Vencida","A vencer"))))</f>
        <v/>
      </c>
      <c r="I309" s="30">
        <f>IF(H309="Vencida",Config!$B$5-D309,"")</f>
        <v/>
      </c>
      <c r="J309" s="30">
        <f>IF(H309="A vencer",D309-Config!$B$5,"")</f>
        <v/>
      </c>
      <c r="K309" s="24">
        <f>IF(H309&lt;&gt;"Vencida","",IF(COUNTIF(Config!$A$10:$A$13,"&lt;="&amp;I309)=0,"Antes da régua",INDEX(Config!$C$10:$C$13,COUNTIF(Config!$A$10:$A$13,"&lt;="&amp;I309))))</f>
        <v/>
      </c>
      <c r="L309" s="23">
        <f>IF(H309&lt;&gt;"Vencida","",IF(COUNTIF(Config!$A$10:$A$13,"&lt;="&amp;I309)=0,"Aguardar: ainda não chegou ao primeiro passo da régua.",INDEX(Config!$B$10:$B$13,COUNTIF(Config!$A$10:$A$13,"&lt;="&amp;I309))))</f>
        <v/>
      </c>
      <c r="M309" s="38">
        <f>IF(H309="Vencida",E309*I309+ROW()/100000,0)</f>
        <v>0</v>
      </c>
      <c r="N309" s="38">
        <f>IF(AND(H309="A vencer",J309&lt;=Config!$B$7),100000-J309-ROW()/100000,0)</f>
        <v>0</v>
      </c>
    </row>
    <row r="310">
      <c r="A310" s="32" t="n"/>
      <c r="B310" s="23">
        <f>IF(A310="","",IFERROR(INDEX(Casos!$B$5:$B$204,MATCH(A310,Casos!$A$5:$A$204,0)),""))</f>
        <v/>
      </c>
      <c r="C310" s="34" t="n"/>
      <c r="D310" s="37" t="n"/>
      <c r="E310" s="36" t="n"/>
      <c r="F310" s="34" t="n"/>
      <c r="G310" s="37" t="n"/>
      <c r="H310" s="24">
        <f>IF(A310="","",IF(F310="Sim","Paga",IF(D310="","Sem vencimento",IF(D310&lt;Config!$B$5,"Vencida","A vencer"))))</f>
        <v/>
      </c>
      <c r="I310" s="30">
        <f>IF(H310="Vencida",Config!$B$5-D310,"")</f>
        <v/>
      </c>
      <c r="J310" s="30">
        <f>IF(H310="A vencer",D310-Config!$B$5,"")</f>
        <v/>
      </c>
      <c r="K310" s="24">
        <f>IF(H310&lt;&gt;"Vencida","",IF(COUNTIF(Config!$A$10:$A$13,"&lt;="&amp;I310)=0,"Antes da régua",INDEX(Config!$C$10:$C$13,COUNTIF(Config!$A$10:$A$13,"&lt;="&amp;I310))))</f>
        <v/>
      </c>
      <c r="L310" s="23">
        <f>IF(H310&lt;&gt;"Vencida","",IF(COUNTIF(Config!$A$10:$A$13,"&lt;="&amp;I310)=0,"Aguardar: ainda não chegou ao primeiro passo da régua.",INDEX(Config!$B$10:$B$13,COUNTIF(Config!$A$10:$A$13,"&lt;="&amp;I310))))</f>
        <v/>
      </c>
      <c r="M310" s="38">
        <f>IF(H310="Vencida",E310*I310+ROW()/100000,0)</f>
        <v>0</v>
      </c>
      <c r="N310" s="38">
        <f>IF(AND(H310="A vencer",J310&lt;=Config!$B$7),100000-J310-ROW()/100000,0)</f>
        <v>0</v>
      </c>
    </row>
    <row r="311">
      <c r="A311" s="32" t="n"/>
      <c r="B311" s="23">
        <f>IF(A311="","",IFERROR(INDEX(Casos!$B$5:$B$204,MATCH(A311,Casos!$A$5:$A$204,0)),""))</f>
        <v/>
      </c>
      <c r="C311" s="34" t="n"/>
      <c r="D311" s="37" t="n"/>
      <c r="E311" s="36" t="n"/>
      <c r="F311" s="34" t="n"/>
      <c r="G311" s="37" t="n"/>
      <c r="H311" s="24">
        <f>IF(A311="","",IF(F311="Sim","Paga",IF(D311="","Sem vencimento",IF(D311&lt;Config!$B$5,"Vencida","A vencer"))))</f>
        <v/>
      </c>
      <c r="I311" s="30">
        <f>IF(H311="Vencida",Config!$B$5-D311,"")</f>
        <v/>
      </c>
      <c r="J311" s="30">
        <f>IF(H311="A vencer",D311-Config!$B$5,"")</f>
        <v/>
      </c>
      <c r="K311" s="24">
        <f>IF(H311&lt;&gt;"Vencida","",IF(COUNTIF(Config!$A$10:$A$13,"&lt;="&amp;I311)=0,"Antes da régua",INDEX(Config!$C$10:$C$13,COUNTIF(Config!$A$10:$A$13,"&lt;="&amp;I311))))</f>
        <v/>
      </c>
      <c r="L311" s="23">
        <f>IF(H311&lt;&gt;"Vencida","",IF(COUNTIF(Config!$A$10:$A$13,"&lt;="&amp;I311)=0,"Aguardar: ainda não chegou ao primeiro passo da régua.",INDEX(Config!$B$10:$B$13,COUNTIF(Config!$A$10:$A$13,"&lt;="&amp;I311))))</f>
        <v/>
      </c>
      <c r="M311" s="38">
        <f>IF(H311="Vencida",E311*I311+ROW()/100000,0)</f>
        <v>0</v>
      </c>
      <c r="N311" s="38">
        <f>IF(AND(H311="A vencer",J311&lt;=Config!$B$7),100000-J311-ROW()/100000,0)</f>
        <v>0</v>
      </c>
    </row>
    <row r="312">
      <c r="A312" s="32" t="n"/>
      <c r="B312" s="23">
        <f>IF(A312="","",IFERROR(INDEX(Casos!$B$5:$B$204,MATCH(A312,Casos!$A$5:$A$204,0)),""))</f>
        <v/>
      </c>
      <c r="C312" s="34" t="n"/>
      <c r="D312" s="37" t="n"/>
      <c r="E312" s="36" t="n"/>
      <c r="F312" s="34" t="n"/>
      <c r="G312" s="37" t="n"/>
      <c r="H312" s="24">
        <f>IF(A312="","",IF(F312="Sim","Paga",IF(D312="","Sem vencimento",IF(D312&lt;Config!$B$5,"Vencida","A vencer"))))</f>
        <v/>
      </c>
      <c r="I312" s="30">
        <f>IF(H312="Vencida",Config!$B$5-D312,"")</f>
        <v/>
      </c>
      <c r="J312" s="30">
        <f>IF(H312="A vencer",D312-Config!$B$5,"")</f>
        <v/>
      </c>
      <c r="K312" s="24">
        <f>IF(H312&lt;&gt;"Vencida","",IF(COUNTIF(Config!$A$10:$A$13,"&lt;="&amp;I312)=0,"Antes da régua",INDEX(Config!$C$10:$C$13,COUNTIF(Config!$A$10:$A$13,"&lt;="&amp;I312))))</f>
        <v/>
      </c>
      <c r="L312" s="23">
        <f>IF(H312&lt;&gt;"Vencida","",IF(COUNTIF(Config!$A$10:$A$13,"&lt;="&amp;I312)=0,"Aguardar: ainda não chegou ao primeiro passo da régua.",INDEX(Config!$B$10:$B$13,COUNTIF(Config!$A$10:$A$13,"&lt;="&amp;I312))))</f>
        <v/>
      </c>
      <c r="M312" s="38">
        <f>IF(H312="Vencida",E312*I312+ROW()/100000,0)</f>
        <v>0</v>
      </c>
      <c r="N312" s="38">
        <f>IF(AND(H312="A vencer",J312&lt;=Config!$B$7),100000-J312-ROW()/100000,0)</f>
        <v>0</v>
      </c>
    </row>
    <row r="313">
      <c r="A313" s="32" t="n"/>
      <c r="B313" s="23">
        <f>IF(A313="","",IFERROR(INDEX(Casos!$B$5:$B$204,MATCH(A313,Casos!$A$5:$A$204,0)),""))</f>
        <v/>
      </c>
      <c r="C313" s="34" t="n"/>
      <c r="D313" s="37" t="n"/>
      <c r="E313" s="36" t="n"/>
      <c r="F313" s="34" t="n"/>
      <c r="G313" s="37" t="n"/>
      <c r="H313" s="24">
        <f>IF(A313="","",IF(F313="Sim","Paga",IF(D313="","Sem vencimento",IF(D313&lt;Config!$B$5,"Vencida","A vencer"))))</f>
        <v/>
      </c>
      <c r="I313" s="30">
        <f>IF(H313="Vencida",Config!$B$5-D313,"")</f>
        <v/>
      </c>
      <c r="J313" s="30">
        <f>IF(H313="A vencer",D313-Config!$B$5,"")</f>
        <v/>
      </c>
      <c r="K313" s="24">
        <f>IF(H313&lt;&gt;"Vencida","",IF(COUNTIF(Config!$A$10:$A$13,"&lt;="&amp;I313)=0,"Antes da régua",INDEX(Config!$C$10:$C$13,COUNTIF(Config!$A$10:$A$13,"&lt;="&amp;I313))))</f>
        <v/>
      </c>
      <c r="L313" s="23">
        <f>IF(H313&lt;&gt;"Vencida","",IF(COUNTIF(Config!$A$10:$A$13,"&lt;="&amp;I313)=0,"Aguardar: ainda não chegou ao primeiro passo da régua.",INDEX(Config!$B$10:$B$13,COUNTIF(Config!$A$10:$A$13,"&lt;="&amp;I313))))</f>
        <v/>
      </c>
      <c r="M313" s="38">
        <f>IF(H313="Vencida",E313*I313+ROW()/100000,0)</f>
        <v>0</v>
      </c>
      <c r="N313" s="38">
        <f>IF(AND(H313="A vencer",J313&lt;=Config!$B$7),100000-J313-ROW()/100000,0)</f>
        <v>0</v>
      </c>
    </row>
    <row r="314">
      <c r="A314" s="32" t="n"/>
      <c r="B314" s="23">
        <f>IF(A314="","",IFERROR(INDEX(Casos!$B$5:$B$204,MATCH(A314,Casos!$A$5:$A$204,0)),""))</f>
        <v/>
      </c>
      <c r="C314" s="34" t="n"/>
      <c r="D314" s="37" t="n"/>
      <c r="E314" s="36" t="n"/>
      <c r="F314" s="34" t="n"/>
      <c r="G314" s="37" t="n"/>
      <c r="H314" s="24">
        <f>IF(A314="","",IF(F314="Sim","Paga",IF(D314="","Sem vencimento",IF(D314&lt;Config!$B$5,"Vencida","A vencer"))))</f>
        <v/>
      </c>
      <c r="I314" s="30">
        <f>IF(H314="Vencida",Config!$B$5-D314,"")</f>
        <v/>
      </c>
      <c r="J314" s="30">
        <f>IF(H314="A vencer",D314-Config!$B$5,"")</f>
        <v/>
      </c>
      <c r="K314" s="24">
        <f>IF(H314&lt;&gt;"Vencida","",IF(COUNTIF(Config!$A$10:$A$13,"&lt;="&amp;I314)=0,"Antes da régua",INDEX(Config!$C$10:$C$13,COUNTIF(Config!$A$10:$A$13,"&lt;="&amp;I314))))</f>
        <v/>
      </c>
      <c r="L314" s="23">
        <f>IF(H314&lt;&gt;"Vencida","",IF(COUNTIF(Config!$A$10:$A$13,"&lt;="&amp;I314)=0,"Aguardar: ainda não chegou ao primeiro passo da régua.",INDEX(Config!$B$10:$B$13,COUNTIF(Config!$A$10:$A$13,"&lt;="&amp;I314))))</f>
        <v/>
      </c>
      <c r="M314" s="38">
        <f>IF(H314="Vencida",E314*I314+ROW()/100000,0)</f>
        <v>0</v>
      </c>
      <c r="N314" s="38">
        <f>IF(AND(H314="A vencer",J314&lt;=Config!$B$7),100000-J314-ROW()/100000,0)</f>
        <v>0</v>
      </c>
    </row>
    <row r="315">
      <c r="A315" s="32" t="n"/>
      <c r="B315" s="23">
        <f>IF(A315="","",IFERROR(INDEX(Casos!$B$5:$B$204,MATCH(A315,Casos!$A$5:$A$204,0)),""))</f>
        <v/>
      </c>
      <c r="C315" s="34" t="n"/>
      <c r="D315" s="37" t="n"/>
      <c r="E315" s="36" t="n"/>
      <c r="F315" s="34" t="n"/>
      <c r="G315" s="37" t="n"/>
      <c r="H315" s="24">
        <f>IF(A315="","",IF(F315="Sim","Paga",IF(D315="","Sem vencimento",IF(D315&lt;Config!$B$5,"Vencida","A vencer"))))</f>
        <v/>
      </c>
      <c r="I315" s="30">
        <f>IF(H315="Vencida",Config!$B$5-D315,"")</f>
        <v/>
      </c>
      <c r="J315" s="30">
        <f>IF(H315="A vencer",D315-Config!$B$5,"")</f>
        <v/>
      </c>
      <c r="K315" s="24">
        <f>IF(H315&lt;&gt;"Vencida","",IF(COUNTIF(Config!$A$10:$A$13,"&lt;="&amp;I315)=0,"Antes da régua",INDEX(Config!$C$10:$C$13,COUNTIF(Config!$A$10:$A$13,"&lt;="&amp;I315))))</f>
        <v/>
      </c>
      <c r="L315" s="23">
        <f>IF(H315&lt;&gt;"Vencida","",IF(COUNTIF(Config!$A$10:$A$13,"&lt;="&amp;I315)=0,"Aguardar: ainda não chegou ao primeiro passo da régua.",INDEX(Config!$B$10:$B$13,COUNTIF(Config!$A$10:$A$13,"&lt;="&amp;I315))))</f>
        <v/>
      </c>
      <c r="M315" s="38">
        <f>IF(H315="Vencida",E315*I315+ROW()/100000,0)</f>
        <v>0</v>
      </c>
      <c r="N315" s="38">
        <f>IF(AND(H315="A vencer",J315&lt;=Config!$B$7),100000-J315-ROW()/100000,0)</f>
        <v>0</v>
      </c>
    </row>
    <row r="316">
      <c r="A316" s="32" t="n"/>
      <c r="B316" s="23">
        <f>IF(A316="","",IFERROR(INDEX(Casos!$B$5:$B$204,MATCH(A316,Casos!$A$5:$A$204,0)),""))</f>
        <v/>
      </c>
      <c r="C316" s="34" t="n"/>
      <c r="D316" s="37" t="n"/>
      <c r="E316" s="36" t="n"/>
      <c r="F316" s="34" t="n"/>
      <c r="G316" s="37" t="n"/>
      <c r="H316" s="24">
        <f>IF(A316="","",IF(F316="Sim","Paga",IF(D316="","Sem vencimento",IF(D316&lt;Config!$B$5,"Vencida","A vencer"))))</f>
        <v/>
      </c>
      <c r="I316" s="30">
        <f>IF(H316="Vencida",Config!$B$5-D316,"")</f>
        <v/>
      </c>
      <c r="J316" s="30">
        <f>IF(H316="A vencer",D316-Config!$B$5,"")</f>
        <v/>
      </c>
      <c r="K316" s="24">
        <f>IF(H316&lt;&gt;"Vencida","",IF(COUNTIF(Config!$A$10:$A$13,"&lt;="&amp;I316)=0,"Antes da régua",INDEX(Config!$C$10:$C$13,COUNTIF(Config!$A$10:$A$13,"&lt;="&amp;I316))))</f>
        <v/>
      </c>
      <c r="L316" s="23">
        <f>IF(H316&lt;&gt;"Vencida","",IF(COUNTIF(Config!$A$10:$A$13,"&lt;="&amp;I316)=0,"Aguardar: ainda não chegou ao primeiro passo da régua.",INDEX(Config!$B$10:$B$13,COUNTIF(Config!$A$10:$A$13,"&lt;="&amp;I316))))</f>
        <v/>
      </c>
      <c r="M316" s="38">
        <f>IF(H316="Vencida",E316*I316+ROW()/100000,0)</f>
        <v>0</v>
      </c>
      <c r="N316" s="38">
        <f>IF(AND(H316="A vencer",J316&lt;=Config!$B$7),100000-J316-ROW()/100000,0)</f>
        <v>0</v>
      </c>
    </row>
    <row r="317">
      <c r="A317" s="32" t="n"/>
      <c r="B317" s="23">
        <f>IF(A317="","",IFERROR(INDEX(Casos!$B$5:$B$204,MATCH(A317,Casos!$A$5:$A$204,0)),""))</f>
        <v/>
      </c>
      <c r="C317" s="34" t="n"/>
      <c r="D317" s="37" t="n"/>
      <c r="E317" s="36" t="n"/>
      <c r="F317" s="34" t="n"/>
      <c r="G317" s="37" t="n"/>
      <c r="H317" s="24">
        <f>IF(A317="","",IF(F317="Sim","Paga",IF(D317="","Sem vencimento",IF(D317&lt;Config!$B$5,"Vencida","A vencer"))))</f>
        <v/>
      </c>
      <c r="I317" s="30">
        <f>IF(H317="Vencida",Config!$B$5-D317,"")</f>
        <v/>
      </c>
      <c r="J317" s="30">
        <f>IF(H317="A vencer",D317-Config!$B$5,"")</f>
        <v/>
      </c>
      <c r="K317" s="24">
        <f>IF(H317&lt;&gt;"Vencida","",IF(COUNTIF(Config!$A$10:$A$13,"&lt;="&amp;I317)=0,"Antes da régua",INDEX(Config!$C$10:$C$13,COUNTIF(Config!$A$10:$A$13,"&lt;="&amp;I317))))</f>
        <v/>
      </c>
      <c r="L317" s="23">
        <f>IF(H317&lt;&gt;"Vencida","",IF(COUNTIF(Config!$A$10:$A$13,"&lt;="&amp;I317)=0,"Aguardar: ainda não chegou ao primeiro passo da régua.",INDEX(Config!$B$10:$B$13,COUNTIF(Config!$A$10:$A$13,"&lt;="&amp;I317))))</f>
        <v/>
      </c>
      <c r="M317" s="38">
        <f>IF(H317="Vencida",E317*I317+ROW()/100000,0)</f>
        <v>0</v>
      </c>
      <c r="N317" s="38">
        <f>IF(AND(H317="A vencer",J317&lt;=Config!$B$7),100000-J317-ROW()/100000,0)</f>
        <v>0</v>
      </c>
    </row>
    <row r="318">
      <c r="A318" s="32" t="n"/>
      <c r="B318" s="23">
        <f>IF(A318="","",IFERROR(INDEX(Casos!$B$5:$B$204,MATCH(A318,Casos!$A$5:$A$204,0)),""))</f>
        <v/>
      </c>
      <c r="C318" s="34" t="n"/>
      <c r="D318" s="37" t="n"/>
      <c r="E318" s="36" t="n"/>
      <c r="F318" s="34" t="n"/>
      <c r="G318" s="37" t="n"/>
      <c r="H318" s="24">
        <f>IF(A318="","",IF(F318="Sim","Paga",IF(D318="","Sem vencimento",IF(D318&lt;Config!$B$5,"Vencida","A vencer"))))</f>
        <v/>
      </c>
      <c r="I318" s="30">
        <f>IF(H318="Vencida",Config!$B$5-D318,"")</f>
        <v/>
      </c>
      <c r="J318" s="30">
        <f>IF(H318="A vencer",D318-Config!$B$5,"")</f>
        <v/>
      </c>
      <c r="K318" s="24">
        <f>IF(H318&lt;&gt;"Vencida","",IF(COUNTIF(Config!$A$10:$A$13,"&lt;="&amp;I318)=0,"Antes da régua",INDEX(Config!$C$10:$C$13,COUNTIF(Config!$A$10:$A$13,"&lt;="&amp;I318))))</f>
        <v/>
      </c>
      <c r="L318" s="23">
        <f>IF(H318&lt;&gt;"Vencida","",IF(COUNTIF(Config!$A$10:$A$13,"&lt;="&amp;I318)=0,"Aguardar: ainda não chegou ao primeiro passo da régua.",INDEX(Config!$B$10:$B$13,COUNTIF(Config!$A$10:$A$13,"&lt;="&amp;I318))))</f>
        <v/>
      </c>
      <c r="M318" s="38">
        <f>IF(H318="Vencida",E318*I318+ROW()/100000,0)</f>
        <v>0</v>
      </c>
      <c r="N318" s="38">
        <f>IF(AND(H318="A vencer",J318&lt;=Config!$B$7),100000-J318-ROW()/100000,0)</f>
        <v>0</v>
      </c>
    </row>
    <row r="319">
      <c r="A319" s="32" t="n"/>
      <c r="B319" s="23">
        <f>IF(A319="","",IFERROR(INDEX(Casos!$B$5:$B$204,MATCH(A319,Casos!$A$5:$A$204,0)),""))</f>
        <v/>
      </c>
      <c r="C319" s="34" t="n"/>
      <c r="D319" s="37" t="n"/>
      <c r="E319" s="36" t="n"/>
      <c r="F319" s="34" t="n"/>
      <c r="G319" s="37" t="n"/>
      <c r="H319" s="24">
        <f>IF(A319="","",IF(F319="Sim","Paga",IF(D319="","Sem vencimento",IF(D319&lt;Config!$B$5,"Vencida","A vencer"))))</f>
        <v/>
      </c>
      <c r="I319" s="30">
        <f>IF(H319="Vencida",Config!$B$5-D319,"")</f>
        <v/>
      </c>
      <c r="J319" s="30">
        <f>IF(H319="A vencer",D319-Config!$B$5,"")</f>
        <v/>
      </c>
      <c r="K319" s="24">
        <f>IF(H319&lt;&gt;"Vencida","",IF(COUNTIF(Config!$A$10:$A$13,"&lt;="&amp;I319)=0,"Antes da régua",INDEX(Config!$C$10:$C$13,COUNTIF(Config!$A$10:$A$13,"&lt;="&amp;I319))))</f>
        <v/>
      </c>
      <c r="L319" s="23">
        <f>IF(H319&lt;&gt;"Vencida","",IF(COUNTIF(Config!$A$10:$A$13,"&lt;="&amp;I319)=0,"Aguardar: ainda não chegou ao primeiro passo da régua.",INDEX(Config!$B$10:$B$13,COUNTIF(Config!$A$10:$A$13,"&lt;="&amp;I319))))</f>
        <v/>
      </c>
      <c r="M319" s="38">
        <f>IF(H319="Vencida",E319*I319+ROW()/100000,0)</f>
        <v>0</v>
      </c>
      <c r="N319" s="38">
        <f>IF(AND(H319="A vencer",J319&lt;=Config!$B$7),100000-J319-ROW()/100000,0)</f>
        <v>0</v>
      </c>
    </row>
    <row r="320">
      <c r="A320" s="32" t="n"/>
      <c r="B320" s="23">
        <f>IF(A320="","",IFERROR(INDEX(Casos!$B$5:$B$204,MATCH(A320,Casos!$A$5:$A$204,0)),""))</f>
        <v/>
      </c>
      <c r="C320" s="34" t="n"/>
      <c r="D320" s="37" t="n"/>
      <c r="E320" s="36" t="n"/>
      <c r="F320" s="34" t="n"/>
      <c r="G320" s="37" t="n"/>
      <c r="H320" s="24">
        <f>IF(A320="","",IF(F320="Sim","Paga",IF(D320="","Sem vencimento",IF(D320&lt;Config!$B$5,"Vencida","A vencer"))))</f>
        <v/>
      </c>
      <c r="I320" s="30">
        <f>IF(H320="Vencida",Config!$B$5-D320,"")</f>
        <v/>
      </c>
      <c r="J320" s="30">
        <f>IF(H320="A vencer",D320-Config!$B$5,"")</f>
        <v/>
      </c>
      <c r="K320" s="24">
        <f>IF(H320&lt;&gt;"Vencida","",IF(COUNTIF(Config!$A$10:$A$13,"&lt;="&amp;I320)=0,"Antes da régua",INDEX(Config!$C$10:$C$13,COUNTIF(Config!$A$10:$A$13,"&lt;="&amp;I320))))</f>
        <v/>
      </c>
      <c r="L320" s="23">
        <f>IF(H320&lt;&gt;"Vencida","",IF(COUNTIF(Config!$A$10:$A$13,"&lt;="&amp;I320)=0,"Aguardar: ainda não chegou ao primeiro passo da régua.",INDEX(Config!$B$10:$B$13,COUNTIF(Config!$A$10:$A$13,"&lt;="&amp;I320))))</f>
        <v/>
      </c>
      <c r="M320" s="38">
        <f>IF(H320="Vencida",E320*I320+ROW()/100000,0)</f>
        <v>0</v>
      </c>
      <c r="N320" s="38">
        <f>IF(AND(H320="A vencer",J320&lt;=Config!$B$7),100000-J320-ROW()/100000,0)</f>
        <v>0</v>
      </c>
    </row>
    <row r="321">
      <c r="A321" s="32" t="n"/>
      <c r="B321" s="23">
        <f>IF(A321="","",IFERROR(INDEX(Casos!$B$5:$B$204,MATCH(A321,Casos!$A$5:$A$204,0)),""))</f>
        <v/>
      </c>
      <c r="C321" s="34" t="n"/>
      <c r="D321" s="37" t="n"/>
      <c r="E321" s="36" t="n"/>
      <c r="F321" s="34" t="n"/>
      <c r="G321" s="37" t="n"/>
      <c r="H321" s="24">
        <f>IF(A321="","",IF(F321="Sim","Paga",IF(D321="","Sem vencimento",IF(D321&lt;Config!$B$5,"Vencida","A vencer"))))</f>
        <v/>
      </c>
      <c r="I321" s="30">
        <f>IF(H321="Vencida",Config!$B$5-D321,"")</f>
        <v/>
      </c>
      <c r="J321" s="30">
        <f>IF(H321="A vencer",D321-Config!$B$5,"")</f>
        <v/>
      </c>
      <c r="K321" s="24">
        <f>IF(H321&lt;&gt;"Vencida","",IF(COUNTIF(Config!$A$10:$A$13,"&lt;="&amp;I321)=0,"Antes da régua",INDEX(Config!$C$10:$C$13,COUNTIF(Config!$A$10:$A$13,"&lt;="&amp;I321))))</f>
        <v/>
      </c>
      <c r="L321" s="23">
        <f>IF(H321&lt;&gt;"Vencida","",IF(COUNTIF(Config!$A$10:$A$13,"&lt;="&amp;I321)=0,"Aguardar: ainda não chegou ao primeiro passo da régua.",INDEX(Config!$B$10:$B$13,COUNTIF(Config!$A$10:$A$13,"&lt;="&amp;I321))))</f>
        <v/>
      </c>
      <c r="M321" s="38">
        <f>IF(H321="Vencida",E321*I321+ROW()/100000,0)</f>
        <v>0</v>
      </c>
      <c r="N321" s="38">
        <f>IF(AND(H321="A vencer",J321&lt;=Config!$B$7),100000-J321-ROW()/100000,0)</f>
        <v>0</v>
      </c>
    </row>
    <row r="322">
      <c r="A322" s="32" t="n"/>
      <c r="B322" s="23">
        <f>IF(A322="","",IFERROR(INDEX(Casos!$B$5:$B$204,MATCH(A322,Casos!$A$5:$A$204,0)),""))</f>
        <v/>
      </c>
      <c r="C322" s="34" t="n"/>
      <c r="D322" s="37" t="n"/>
      <c r="E322" s="36" t="n"/>
      <c r="F322" s="34" t="n"/>
      <c r="G322" s="37" t="n"/>
      <c r="H322" s="24">
        <f>IF(A322="","",IF(F322="Sim","Paga",IF(D322="","Sem vencimento",IF(D322&lt;Config!$B$5,"Vencida","A vencer"))))</f>
        <v/>
      </c>
      <c r="I322" s="30">
        <f>IF(H322="Vencida",Config!$B$5-D322,"")</f>
        <v/>
      </c>
      <c r="J322" s="30">
        <f>IF(H322="A vencer",D322-Config!$B$5,"")</f>
        <v/>
      </c>
      <c r="K322" s="24">
        <f>IF(H322&lt;&gt;"Vencida","",IF(COUNTIF(Config!$A$10:$A$13,"&lt;="&amp;I322)=0,"Antes da régua",INDEX(Config!$C$10:$C$13,COUNTIF(Config!$A$10:$A$13,"&lt;="&amp;I322))))</f>
        <v/>
      </c>
      <c r="L322" s="23">
        <f>IF(H322&lt;&gt;"Vencida","",IF(COUNTIF(Config!$A$10:$A$13,"&lt;="&amp;I322)=0,"Aguardar: ainda não chegou ao primeiro passo da régua.",INDEX(Config!$B$10:$B$13,COUNTIF(Config!$A$10:$A$13,"&lt;="&amp;I322))))</f>
        <v/>
      </c>
      <c r="M322" s="38">
        <f>IF(H322="Vencida",E322*I322+ROW()/100000,0)</f>
        <v>0</v>
      </c>
      <c r="N322" s="38">
        <f>IF(AND(H322="A vencer",J322&lt;=Config!$B$7),100000-J322-ROW()/100000,0)</f>
        <v>0</v>
      </c>
    </row>
    <row r="323">
      <c r="A323" s="32" t="n"/>
      <c r="B323" s="23">
        <f>IF(A323="","",IFERROR(INDEX(Casos!$B$5:$B$204,MATCH(A323,Casos!$A$5:$A$204,0)),""))</f>
        <v/>
      </c>
      <c r="C323" s="34" t="n"/>
      <c r="D323" s="37" t="n"/>
      <c r="E323" s="36" t="n"/>
      <c r="F323" s="34" t="n"/>
      <c r="G323" s="37" t="n"/>
      <c r="H323" s="24">
        <f>IF(A323="","",IF(F323="Sim","Paga",IF(D323="","Sem vencimento",IF(D323&lt;Config!$B$5,"Vencida","A vencer"))))</f>
        <v/>
      </c>
      <c r="I323" s="30">
        <f>IF(H323="Vencida",Config!$B$5-D323,"")</f>
        <v/>
      </c>
      <c r="J323" s="30">
        <f>IF(H323="A vencer",D323-Config!$B$5,"")</f>
        <v/>
      </c>
      <c r="K323" s="24">
        <f>IF(H323&lt;&gt;"Vencida","",IF(COUNTIF(Config!$A$10:$A$13,"&lt;="&amp;I323)=0,"Antes da régua",INDEX(Config!$C$10:$C$13,COUNTIF(Config!$A$10:$A$13,"&lt;="&amp;I323))))</f>
        <v/>
      </c>
      <c r="L323" s="23">
        <f>IF(H323&lt;&gt;"Vencida","",IF(COUNTIF(Config!$A$10:$A$13,"&lt;="&amp;I323)=0,"Aguardar: ainda não chegou ao primeiro passo da régua.",INDEX(Config!$B$10:$B$13,COUNTIF(Config!$A$10:$A$13,"&lt;="&amp;I323))))</f>
        <v/>
      </c>
      <c r="M323" s="38">
        <f>IF(H323="Vencida",E323*I323+ROW()/100000,0)</f>
        <v>0</v>
      </c>
      <c r="N323" s="38">
        <f>IF(AND(H323="A vencer",J323&lt;=Config!$B$7),100000-J323-ROW()/100000,0)</f>
        <v>0</v>
      </c>
    </row>
    <row r="324">
      <c r="A324" s="32" t="n"/>
      <c r="B324" s="23">
        <f>IF(A324="","",IFERROR(INDEX(Casos!$B$5:$B$204,MATCH(A324,Casos!$A$5:$A$204,0)),""))</f>
        <v/>
      </c>
      <c r="C324" s="34" t="n"/>
      <c r="D324" s="37" t="n"/>
      <c r="E324" s="36" t="n"/>
      <c r="F324" s="34" t="n"/>
      <c r="G324" s="37" t="n"/>
      <c r="H324" s="24">
        <f>IF(A324="","",IF(F324="Sim","Paga",IF(D324="","Sem vencimento",IF(D324&lt;Config!$B$5,"Vencida","A vencer"))))</f>
        <v/>
      </c>
      <c r="I324" s="30">
        <f>IF(H324="Vencida",Config!$B$5-D324,"")</f>
        <v/>
      </c>
      <c r="J324" s="30">
        <f>IF(H324="A vencer",D324-Config!$B$5,"")</f>
        <v/>
      </c>
      <c r="K324" s="24">
        <f>IF(H324&lt;&gt;"Vencida","",IF(COUNTIF(Config!$A$10:$A$13,"&lt;="&amp;I324)=0,"Antes da régua",INDEX(Config!$C$10:$C$13,COUNTIF(Config!$A$10:$A$13,"&lt;="&amp;I324))))</f>
        <v/>
      </c>
      <c r="L324" s="23">
        <f>IF(H324&lt;&gt;"Vencida","",IF(COUNTIF(Config!$A$10:$A$13,"&lt;="&amp;I324)=0,"Aguardar: ainda não chegou ao primeiro passo da régua.",INDEX(Config!$B$10:$B$13,COUNTIF(Config!$A$10:$A$13,"&lt;="&amp;I324))))</f>
        <v/>
      </c>
      <c r="M324" s="38">
        <f>IF(H324="Vencida",E324*I324+ROW()/100000,0)</f>
        <v>0</v>
      </c>
      <c r="N324" s="38">
        <f>IF(AND(H324="A vencer",J324&lt;=Config!$B$7),100000-J324-ROW()/100000,0)</f>
        <v>0</v>
      </c>
    </row>
    <row r="325">
      <c r="A325" s="32" t="n"/>
      <c r="B325" s="23">
        <f>IF(A325="","",IFERROR(INDEX(Casos!$B$5:$B$204,MATCH(A325,Casos!$A$5:$A$204,0)),""))</f>
        <v/>
      </c>
      <c r="C325" s="34" t="n"/>
      <c r="D325" s="37" t="n"/>
      <c r="E325" s="36" t="n"/>
      <c r="F325" s="34" t="n"/>
      <c r="G325" s="37" t="n"/>
      <c r="H325" s="24">
        <f>IF(A325="","",IF(F325="Sim","Paga",IF(D325="","Sem vencimento",IF(D325&lt;Config!$B$5,"Vencida","A vencer"))))</f>
        <v/>
      </c>
      <c r="I325" s="30">
        <f>IF(H325="Vencida",Config!$B$5-D325,"")</f>
        <v/>
      </c>
      <c r="J325" s="30">
        <f>IF(H325="A vencer",D325-Config!$B$5,"")</f>
        <v/>
      </c>
      <c r="K325" s="24">
        <f>IF(H325&lt;&gt;"Vencida","",IF(COUNTIF(Config!$A$10:$A$13,"&lt;="&amp;I325)=0,"Antes da régua",INDEX(Config!$C$10:$C$13,COUNTIF(Config!$A$10:$A$13,"&lt;="&amp;I325))))</f>
        <v/>
      </c>
      <c r="L325" s="23">
        <f>IF(H325&lt;&gt;"Vencida","",IF(COUNTIF(Config!$A$10:$A$13,"&lt;="&amp;I325)=0,"Aguardar: ainda não chegou ao primeiro passo da régua.",INDEX(Config!$B$10:$B$13,COUNTIF(Config!$A$10:$A$13,"&lt;="&amp;I325))))</f>
        <v/>
      </c>
      <c r="M325" s="38">
        <f>IF(H325="Vencida",E325*I325+ROW()/100000,0)</f>
        <v>0</v>
      </c>
      <c r="N325" s="38">
        <f>IF(AND(H325="A vencer",J325&lt;=Config!$B$7),100000-J325-ROW()/100000,0)</f>
        <v>0</v>
      </c>
    </row>
    <row r="326">
      <c r="A326" s="32" t="n"/>
      <c r="B326" s="23">
        <f>IF(A326="","",IFERROR(INDEX(Casos!$B$5:$B$204,MATCH(A326,Casos!$A$5:$A$204,0)),""))</f>
        <v/>
      </c>
      <c r="C326" s="34" t="n"/>
      <c r="D326" s="37" t="n"/>
      <c r="E326" s="36" t="n"/>
      <c r="F326" s="34" t="n"/>
      <c r="G326" s="37" t="n"/>
      <c r="H326" s="24">
        <f>IF(A326="","",IF(F326="Sim","Paga",IF(D326="","Sem vencimento",IF(D326&lt;Config!$B$5,"Vencida","A vencer"))))</f>
        <v/>
      </c>
      <c r="I326" s="30">
        <f>IF(H326="Vencida",Config!$B$5-D326,"")</f>
        <v/>
      </c>
      <c r="J326" s="30">
        <f>IF(H326="A vencer",D326-Config!$B$5,"")</f>
        <v/>
      </c>
      <c r="K326" s="24">
        <f>IF(H326&lt;&gt;"Vencida","",IF(COUNTIF(Config!$A$10:$A$13,"&lt;="&amp;I326)=0,"Antes da régua",INDEX(Config!$C$10:$C$13,COUNTIF(Config!$A$10:$A$13,"&lt;="&amp;I326))))</f>
        <v/>
      </c>
      <c r="L326" s="23">
        <f>IF(H326&lt;&gt;"Vencida","",IF(COUNTIF(Config!$A$10:$A$13,"&lt;="&amp;I326)=0,"Aguardar: ainda não chegou ao primeiro passo da régua.",INDEX(Config!$B$10:$B$13,COUNTIF(Config!$A$10:$A$13,"&lt;="&amp;I326))))</f>
        <v/>
      </c>
      <c r="M326" s="38">
        <f>IF(H326="Vencida",E326*I326+ROW()/100000,0)</f>
        <v>0</v>
      </c>
      <c r="N326" s="38">
        <f>IF(AND(H326="A vencer",J326&lt;=Config!$B$7),100000-J326-ROW()/100000,0)</f>
        <v>0</v>
      </c>
    </row>
    <row r="327">
      <c r="A327" s="32" t="n"/>
      <c r="B327" s="23">
        <f>IF(A327="","",IFERROR(INDEX(Casos!$B$5:$B$204,MATCH(A327,Casos!$A$5:$A$204,0)),""))</f>
        <v/>
      </c>
      <c r="C327" s="34" t="n"/>
      <c r="D327" s="37" t="n"/>
      <c r="E327" s="36" t="n"/>
      <c r="F327" s="34" t="n"/>
      <c r="G327" s="37" t="n"/>
      <c r="H327" s="24">
        <f>IF(A327="","",IF(F327="Sim","Paga",IF(D327="","Sem vencimento",IF(D327&lt;Config!$B$5,"Vencida","A vencer"))))</f>
        <v/>
      </c>
      <c r="I327" s="30">
        <f>IF(H327="Vencida",Config!$B$5-D327,"")</f>
        <v/>
      </c>
      <c r="J327" s="30">
        <f>IF(H327="A vencer",D327-Config!$B$5,"")</f>
        <v/>
      </c>
      <c r="K327" s="24">
        <f>IF(H327&lt;&gt;"Vencida","",IF(COUNTIF(Config!$A$10:$A$13,"&lt;="&amp;I327)=0,"Antes da régua",INDEX(Config!$C$10:$C$13,COUNTIF(Config!$A$10:$A$13,"&lt;="&amp;I327))))</f>
        <v/>
      </c>
      <c r="L327" s="23">
        <f>IF(H327&lt;&gt;"Vencida","",IF(COUNTIF(Config!$A$10:$A$13,"&lt;="&amp;I327)=0,"Aguardar: ainda não chegou ao primeiro passo da régua.",INDEX(Config!$B$10:$B$13,COUNTIF(Config!$A$10:$A$13,"&lt;="&amp;I327))))</f>
        <v/>
      </c>
      <c r="M327" s="38">
        <f>IF(H327="Vencida",E327*I327+ROW()/100000,0)</f>
        <v>0</v>
      </c>
      <c r="N327" s="38">
        <f>IF(AND(H327="A vencer",J327&lt;=Config!$B$7),100000-J327-ROW()/100000,0)</f>
        <v>0</v>
      </c>
    </row>
    <row r="328">
      <c r="A328" s="32" t="n"/>
      <c r="B328" s="23">
        <f>IF(A328="","",IFERROR(INDEX(Casos!$B$5:$B$204,MATCH(A328,Casos!$A$5:$A$204,0)),""))</f>
        <v/>
      </c>
      <c r="C328" s="34" t="n"/>
      <c r="D328" s="37" t="n"/>
      <c r="E328" s="36" t="n"/>
      <c r="F328" s="34" t="n"/>
      <c r="G328" s="37" t="n"/>
      <c r="H328" s="24">
        <f>IF(A328="","",IF(F328="Sim","Paga",IF(D328="","Sem vencimento",IF(D328&lt;Config!$B$5,"Vencida","A vencer"))))</f>
        <v/>
      </c>
      <c r="I328" s="30">
        <f>IF(H328="Vencida",Config!$B$5-D328,"")</f>
        <v/>
      </c>
      <c r="J328" s="30">
        <f>IF(H328="A vencer",D328-Config!$B$5,"")</f>
        <v/>
      </c>
      <c r="K328" s="24">
        <f>IF(H328&lt;&gt;"Vencida","",IF(COUNTIF(Config!$A$10:$A$13,"&lt;="&amp;I328)=0,"Antes da régua",INDEX(Config!$C$10:$C$13,COUNTIF(Config!$A$10:$A$13,"&lt;="&amp;I328))))</f>
        <v/>
      </c>
      <c r="L328" s="23">
        <f>IF(H328&lt;&gt;"Vencida","",IF(COUNTIF(Config!$A$10:$A$13,"&lt;="&amp;I328)=0,"Aguardar: ainda não chegou ao primeiro passo da régua.",INDEX(Config!$B$10:$B$13,COUNTIF(Config!$A$10:$A$13,"&lt;="&amp;I328))))</f>
        <v/>
      </c>
      <c r="M328" s="38">
        <f>IF(H328="Vencida",E328*I328+ROW()/100000,0)</f>
        <v>0</v>
      </c>
      <c r="N328" s="38">
        <f>IF(AND(H328="A vencer",J328&lt;=Config!$B$7),100000-J328-ROW()/100000,0)</f>
        <v>0</v>
      </c>
    </row>
    <row r="329">
      <c r="A329" s="32" t="n"/>
      <c r="B329" s="23">
        <f>IF(A329="","",IFERROR(INDEX(Casos!$B$5:$B$204,MATCH(A329,Casos!$A$5:$A$204,0)),""))</f>
        <v/>
      </c>
      <c r="C329" s="34" t="n"/>
      <c r="D329" s="37" t="n"/>
      <c r="E329" s="36" t="n"/>
      <c r="F329" s="34" t="n"/>
      <c r="G329" s="37" t="n"/>
      <c r="H329" s="24">
        <f>IF(A329="","",IF(F329="Sim","Paga",IF(D329="","Sem vencimento",IF(D329&lt;Config!$B$5,"Vencida","A vencer"))))</f>
        <v/>
      </c>
      <c r="I329" s="30">
        <f>IF(H329="Vencida",Config!$B$5-D329,"")</f>
        <v/>
      </c>
      <c r="J329" s="30">
        <f>IF(H329="A vencer",D329-Config!$B$5,"")</f>
        <v/>
      </c>
      <c r="K329" s="24">
        <f>IF(H329&lt;&gt;"Vencida","",IF(COUNTIF(Config!$A$10:$A$13,"&lt;="&amp;I329)=0,"Antes da régua",INDEX(Config!$C$10:$C$13,COUNTIF(Config!$A$10:$A$13,"&lt;="&amp;I329))))</f>
        <v/>
      </c>
      <c r="L329" s="23">
        <f>IF(H329&lt;&gt;"Vencida","",IF(COUNTIF(Config!$A$10:$A$13,"&lt;="&amp;I329)=0,"Aguardar: ainda não chegou ao primeiro passo da régua.",INDEX(Config!$B$10:$B$13,COUNTIF(Config!$A$10:$A$13,"&lt;="&amp;I329))))</f>
        <v/>
      </c>
      <c r="M329" s="38">
        <f>IF(H329="Vencida",E329*I329+ROW()/100000,0)</f>
        <v>0</v>
      </c>
      <c r="N329" s="38">
        <f>IF(AND(H329="A vencer",J329&lt;=Config!$B$7),100000-J329-ROW()/100000,0)</f>
        <v>0</v>
      </c>
    </row>
    <row r="330">
      <c r="A330" s="32" t="n"/>
      <c r="B330" s="23">
        <f>IF(A330="","",IFERROR(INDEX(Casos!$B$5:$B$204,MATCH(A330,Casos!$A$5:$A$204,0)),""))</f>
        <v/>
      </c>
      <c r="C330" s="34" t="n"/>
      <c r="D330" s="37" t="n"/>
      <c r="E330" s="36" t="n"/>
      <c r="F330" s="34" t="n"/>
      <c r="G330" s="37" t="n"/>
      <c r="H330" s="24">
        <f>IF(A330="","",IF(F330="Sim","Paga",IF(D330="","Sem vencimento",IF(D330&lt;Config!$B$5,"Vencida","A vencer"))))</f>
        <v/>
      </c>
      <c r="I330" s="30">
        <f>IF(H330="Vencida",Config!$B$5-D330,"")</f>
        <v/>
      </c>
      <c r="J330" s="30">
        <f>IF(H330="A vencer",D330-Config!$B$5,"")</f>
        <v/>
      </c>
      <c r="K330" s="24">
        <f>IF(H330&lt;&gt;"Vencida","",IF(COUNTIF(Config!$A$10:$A$13,"&lt;="&amp;I330)=0,"Antes da régua",INDEX(Config!$C$10:$C$13,COUNTIF(Config!$A$10:$A$13,"&lt;="&amp;I330))))</f>
        <v/>
      </c>
      <c r="L330" s="23">
        <f>IF(H330&lt;&gt;"Vencida","",IF(COUNTIF(Config!$A$10:$A$13,"&lt;="&amp;I330)=0,"Aguardar: ainda não chegou ao primeiro passo da régua.",INDEX(Config!$B$10:$B$13,COUNTIF(Config!$A$10:$A$13,"&lt;="&amp;I330))))</f>
        <v/>
      </c>
      <c r="M330" s="38">
        <f>IF(H330="Vencida",E330*I330+ROW()/100000,0)</f>
        <v>0</v>
      </c>
      <c r="N330" s="38">
        <f>IF(AND(H330="A vencer",J330&lt;=Config!$B$7),100000-J330-ROW()/100000,0)</f>
        <v>0</v>
      </c>
    </row>
    <row r="331">
      <c r="A331" s="32" t="n"/>
      <c r="B331" s="23">
        <f>IF(A331="","",IFERROR(INDEX(Casos!$B$5:$B$204,MATCH(A331,Casos!$A$5:$A$204,0)),""))</f>
        <v/>
      </c>
      <c r="C331" s="34" t="n"/>
      <c r="D331" s="37" t="n"/>
      <c r="E331" s="36" t="n"/>
      <c r="F331" s="34" t="n"/>
      <c r="G331" s="37" t="n"/>
      <c r="H331" s="24">
        <f>IF(A331="","",IF(F331="Sim","Paga",IF(D331="","Sem vencimento",IF(D331&lt;Config!$B$5,"Vencida","A vencer"))))</f>
        <v/>
      </c>
      <c r="I331" s="30">
        <f>IF(H331="Vencida",Config!$B$5-D331,"")</f>
        <v/>
      </c>
      <c r="J331" s="30">
        <f>IF(H331="A vencer",D331-Config!$B$5,"")</f>
        <v/>
      </c>
      <c r="K331" s="24">
        <f>IF(H331&lt;&gt;"Vencida","",IF(COUNTIF(Config!$A$10:$A$13,"&lt;="&amp;I331)=0,"Antes da régua",INDEX(Config!$C$10:$C$13,COUNTIF(Config!$A$10:$A$13,"&lt;="&amp;I331))))</f>
        <v/>
      </c>
      <c r="L331" s="23">
        <f>IF(H331&lt;&gt;"Vencida","",IF(COUNTIF(Config!$A$10:$A$13,"&lt;="&amp;I331)=0,"Aguardar: ainda não chegou ao primeiro passo da régua.",INDEX(Config!$B$10:$B$13,COUNTIF(Config!$A$10:$A$13,"&lt;="&amp;I331))))</f>
        <v/>
      </c>
      <c r="M331" s="38">
        <f>IF(H331="Vencida",E331*I331+ROW()/100000,0)</f>
        <v>0</v>
      </c>
      <c r="N331" s="38">
        <f>IF(AND(H331="A vencer",J331&lt;=Config!$B$7),100000-J331-ROW()/100000,0)</f>
        <v>0</v>
      </c>
    </row>
    <row r="332">
      <c r="A332" s="32" t="n"/>
      <c r="B332" s="23">
        <f>IF(A332="","",IFERROR(INDEX(Casos!$B$5:$B$204,MATCH(A332,Casos!$A$5:$A$204,0)),""))</f>
        <v/>
      </c>
      <c r="C332" s="34" t="n"/>
      <c r="D332" s="37" t="n"/>
      <c r="E332" s="36" t="n"/>
      <c r="F332" s="34" t="n"/>
      <c r="G332" s="37" t="n"/>
      <c r="H332" s="24">
        <f>IF(A332="","",IF(F332="Sim","Paga",IF(D332="","Sem vencimento",IF(D332&lt;Config!$B$5,"Vencida","A vencer"))))</f>
        <v/>
      </c>
      <c r="I332" s="30">
        <f>IF(H332="Vencida",Config!$B$5-D332,"")</f>
        <v/>
      </c>
      <c r="J332" s="30">
        <f>IF(H332="A vencer",D332-Config!$B$5,"")</f>
        <v/>
      </c>
      <c r="K332" s="24">
        <f>IF(H332&lt;&gt;"Vencida","",IF(COUNTIF(Config!$A$10:$A$13,"&lt;="&amp;I332)=0,"Antes da régua",INDEX(Config!$C$10:$C$13,COUNTIF(Config!$A$10:$A$13,"&lt;="&amp;I332))))</f>
        <v/>
      </c>
      <c r="L332" s="23">
        <f>IF(H332&lt;&gt;"Vencida","",IF(COUNTIF(Config!$A$10:$A$13,"&lt;="&amp;I332)=0,"Aguardar: ainda não chegou ao primeiro passo da régua.",INDEX(Config!$B$10:$B$13,COUNTIF(Config!$A$10:$A$13,"&lt;="&amp;I332))))</f>
        <v/>
      </c>
      <c r="M332" s="38">
        <f>IF(H332="Vencida",E332*I332+ROW()/100000,0)</f>
        <v>0</v>
      </c>
      <c r="N332" s="38">
        <f>IF(AND(H332="A vencer",J332&lt;=Config!$B$7),100000-J332-ROW()/100000,0)</f>
        <v>0</v>
      </c>
    </row>
    <row r="333">
      <c r="A333" s="32" t="n"/>
      <c r="B333" s="23">
        <f>IF(A333="","",IFERROR(INDEX(Casos!$B$5:$B$204,MATCH(A333,Casos!$A$5:$A$204,0)),""))</f>
        <v/>
      </c>
      <c r="C333" s="34" t="n"/>
      <c r="D333" s="37" t="n"/>
      <c r="E333" s="36" t="n"/>
      <c r="F333" s="34" t="n"/>
      <c r="G333" s="37" t="n"/>
      <c r="H333" s="24">
        <f>IF(A333="","",IF(F333="Sim","Paga",IF(D333="","Sem vencimento",IF(D333&lt;Config!$B$5,"Vencida","A vencer"))))</f>
        <v/>
      </c>
      <c r="I333" s="30">
        <f>IF(H333="Vencida",Config!$B$5-D333,"")</f>
        <v/>
      </c>
      <c r="J333" s="30">
        <f>IF(H333="A vencer",D333-Config!$B$5,"")</f>
        <v/>
      </c>
      <c r="K333" s="24">
        <f>IF(H333&lt;&gt;"Vencida","",IF(COUNTIF(Config!$A$10:$A$13,"&lt;="&amp;I333)=0,"Antes da régua",INDEX(Config!$C$10:$C$13,COUNTIF(Config!$A$10:$A$13,"&lt;="&amp;I333))))</f>
        <v/>
      </c>
      <c r="L333" s="23">
        <f>IF(H333&lt;&gt;"Vencida","",IF(COUNTIF(Config!$A$10:$A$13,"&lt;="&amp;I333)=0,"Aguardar: ainda não chegou ao primeiro passo da régua.",INDEX(Config!$B$10:$B$13,COUNTIF(Config!$A$10:$A$13,"&lt;="&amp;I333))))</f>
        <v/>
      </c>
      <c r="M333" s="38">
        <f>IF(H333="Vencida",E333*I333+ROW()/100000,0)</f>
        <v>0</v>
      </c>
      <c r="N333" s="38">
        <f>IF(AND(H333="A vencer",J333&lt;=Config!$B$7),100000-J333-ROW()/100000,0)</f>
        <v>0</v>
      </c>
    </row>
    <row r="334">
      <c r="A334" s="32" t="n"/>
      <c r="B334" s="23">
        <f>IF(A334="","",IFERROR(INDEX(Casos!$B$5:$B$204,MATCH(A334,Casos!$A$5:$A$204,0)),""))</f>
        <v/>
      </c>
      <c r="C334" s="34" t="n"/>
      <c r="D334" s="37" t="n"/>
      <c r="E334" s="36" t="n"/>
      <c r="F334" s="34" t="n"/>
      <c r="G334" s="37" t="n"/>
      <c r="H334" s="24">
        <f>IF(A334="","",IF(F334="Sim","Paga",IF(D334="","Sem vencimento",IF(D334&lt;Config!$B$5,"Vencida","A vencer"))))</f>
        <v/>
      </c>
      <c r="I334" s="30">
        <f>IF(H334="Vencida",Config!$B$5-D334,"")</f>
        <v/>
      </c>
      <c r="J334" s="30">
        <f>IF(H334="A vencer",D334-Config!$B$5,"")</f>
        <v/>
      </c>
      <c r="K334" s="24">
        <f>IF(H334&lt;&gt;"Vencida","",IF(COUNTIF(Config!$A$10:$A$13,"&lt;="&amp;I334)=0,"Antes da régua",INDEX(Config!$C$10:$C$13,COUNTIF(Config!$A$10:$A$13,"&lt;="&amp;I334))))</f>
        <v/>
      </c>
      <c r="L334" s="23">
        <f>IF(H334&lt;&gt;"Vencida","",IF(COUNTIF(Config!$A$10:$A$13,"&lt;="&amp;I334)=0,"Aguardar: ainda não chegou ao primeiro passo da régua.",INDEX(Config!$B$10:$B$13,COUNTIF(Config!$A$10:$A$13,"&lt;="&amp;I334))))</f>
        <v/>
      </c>
      <c r="M334" s="38">
        <f>IF(H334="Vencida",E334*I334+ROW()/100000,0)</f>
        <v>0</v>
      </c>
      <c r="N334" s="38">
        <f>IF(AND(H334="A vencer",J334&lt;=Config!$B$7),100000-J334-ROW()/100000,0)</f>
        <v>0</v>
      </c>
    </row>
    <row r="335">
      <c r="A335" s="32" t="n"/>
      <c r="B335" s="23">
        <f>IF(A335="","",IFERROR(INDEX(Casos!$B$5:$B$204,MATCH(A335,Casos!$A$5:$A$204,0)),""))</f>
        <v/>
      </c>
      <c r="C335" s="34" t="n"/>
      <c r="D335" s="37" t="n"/>
      <c r="E335" s="36" t="n"/>
      <c r="F335" s="34" t="n"/>
      <c r="G335" s="37" t="n"/>
      <c r="H335" s="24">
        <f>IF(A335="","",IF(F335="Sim","Paga",IF(D335="","Sem vencimento",IF(D335&lt;Config!$B$5,"Vencida","A vencer"))))</f>
        <v/>
      </c>
      <c r="I335" s="30">
        <f>IF(H335="Vencida",Config!$B$5-D335,"")</f>
        <v/>
      </c>
      <c r="J335" s="30">
        <f>IF(H335="A vencer",D335-Config!$B$5,"")</f>
        <v/>
      </c>
      <c r="K335" s="24">
        <f>IF(H335&lt;&gt;"Vencida","",IF(COUNTIF(Config!$A$10:$A$13,"&lt;="&amp;I335)=0,"Antes da régua",INDEX(Config!$C$10:$C$13,COUNTIF(Config!$A$10:$A$13,"&lt;="&amp;I335))))</f>
        <v/>
      </c>
      <c r="L335" s="23">
        <f>IF(H335&lt;&gt;"Vencida","",IF(COUNTIF(Config!$A$10:$A$13,"&lt;="&amp;I335)=0,"Aguardar: ainda não chegou ao primeiro passo da régua.",INDEX(Config!$B$10:$B$13,COUNTIF(Config!$A$10:$A$13,"&lt;="&amp;I335))))</f>
        <v/>
      </c>
      <c r="M335" s="38">
        <f>IF(H335="Vencida",E335*I335+ROW()/100000,0)</f>
        <v>0</v>
      </c>
      <c r="N335" s="38">
        <f>IF(AND(H335="A vencer",J335&lt;=Config!$B$7),100000-J335-ROW()/100000,0)</f>
        <v>0</v>
      </c>
    </row>
    <row r="336">
      <c r="A336" s="32" t="n"/>
      <c r="B336" s="23">
        <f>IF(A336="","",IFERROR(INDEX(Casos!$B$5:$B$204,MATCH(A336,Casos!$A$5:$A$204,0)),""))</f>
        <v/>
      </c>
      <c r="C336" s="34" t="n"/>
      <c r="D336" s="37" t="n"/>
      <c r="E336" s="36" t="n"/>
      <c r="F336" s="34" t="n"/>
      <c r="G336" s="37" t="n"/>
      <c r="H336" s="24">
        <f>IF(A336="","",IF(F336="Sim","Paga",IF(D336="","Sem vencimento",IF(D336&lt;Config!$B$5,"Vencida","A vencer"))))</f>
        <v/>
      </c>
      <c r="I336" s="30">
        <f>IF(H336="Vencida",Config!$B$5-D336,"")</f>
        <v/>
      </c>
      <c r="J336" s="30">
        <f>IF(H336="A vencer",D336-Config!$B$5,"")</f>
        <v/>
      </c>
      <c r="K336" s="24">
        <f>IF(H336&lt;&gt;"Vencida","",IF(COUNTIF(Config!$A$10:$A$13,"&lt;="&amp;I336)=0,"Antes da régua",INDEX(Config!$C$10:$C$13,COUNTIF(Config!$A$10:$A$13,"&lt;="&amp;I336))))</f>
        <v/>
      </c>
      <c r="L336" s="23">
        <f>IF(H336&lt;&gt;"Vencida","",IF(COUNTIF(Config!$A$10:$A$13,"&lt;="&amp;I336)=0,"Aguardar: ainda não chegou ao primeiro passo da régua.",INDEX(Config!$B$10:$B$13,COUNTIF(Config!$A$10:$A$13,"&lt;="&amp;I336))))</f>
        <v/>
      </c>
      <c r="M336" s="38">
        <f>IF(H336="Vencida",E336*I336+ROW()/100000,0)</f>
        <v>0</v>
      </c>
      <c r="N336" s="38">
        <f>IF(AND(H336="A vencer",J336&lt;=Config!$B$7),100000-J336-ROW()/100000,0)</f>
        <v>0</v>
      </c>
    </row>
    <row r="337">
      <c r="A337" s="32" t="n"/>
      <c r="B337" s="23">
        <f>IF(A337="","",IFERROR(INDEX(Casos!$B$5:$B$204,MATCH(A337,Casos!$A$5:$A$204,0)),""))</f>
        <v/>
      </c>
      <c r="C337" s="34" t="n"/>
      <c r="D337" s="37" t="n"/>
      <c r="E337" s="36" t="n"/>
      <c r="F337" s="34" t="n"/>
      <c r="G337" s="37" t="n"/>
      <c r="H337" s="24">
        <f>IF(A337="","",IF(F337="Sim","Paga",IF(D337="","Sem vencimento",IF(D337&lt;Config!$B$5,"Vencida","A vencer"))))</f>
        <v/>
      </c>
      <c r="I337" s="30">
        <f>IF(H337="Vencida",Config!$B$5-D337,"")</f>
        <v/>
      </c>
      <c r="J337" s="30">
        <f>IF(H337="A vencer",D337-Config!$B$5,"")</f>
        <v/>
      </c>
      <c r="K337" s="24">
        <f>IF(H337&lt;&gt;"Vencida","",IF(COUNTIF(Config!$A$10:$A$13,"&lt;="&amp;I337)=0,"Antes da régua",INDEX(Config!$C$10:$C$13,COUNTIF(Config!$A$10:$A$13,"&lt;="&amp;I337))))</f>
        <v/>
      </c>
      <c r="L337" s="23">
        <f>IF(H337&lt;&gt;"Vencida","",IF(COUNTIF(Config!$A$10:$A$13,"&lt;="&amp;I337)=0,"Aguardar: ainda não chegou ao primeiro passo da régua.",INDEX(Config!$B$10:$B$13,COUNTIF(Config!$A$10:$A$13,"&lt;="&amp;I337))))</f>
        <v/>
      </c>
      <c r="M337" s="38">
        <f>IF(H337="Vencida",E337*I337+ROW()/100000,0)</f>
        <v>0</v>
      </c>
      <c r="N337" s="38">
        <f>IF(AND(H337="A vencer",J337&lt;=Config!$B$7),100000-J337-ROW()/100000,0)</f>
        <v>0</v>
      </c>
    </row>
    <row r="338">
      <c r="A338" s="32" t="n"/>
      <c r="B338" s="23">
        <f>IF(A338="","",IFERROR(INDEX(Casos!$B$5:$B$204,MATCH(A338,Casos!$A$5:$A$204,0)),""))</f>
        <v/>
      </c>
      <c r="C338" s="34" t="n"/>
      <c r="D338" s="37" t="n"/>
      <c r="E338" s="36" t="n"/>
      <c r="F338" s="34" t="n"/>
      <c r="G338" s="37" t="n"/>
      <c r="H338" s="24">
        <f>IF(A338="","",IF(F338="Sim","Paga",IF(D338="","Sem vencimento",IF(D338&lt;Config!$B$5,"Vencida","A vencer"))))</f>
        <v/>
      </c>
      <c r="I338" s="30">
        <f>IF(H338="Vencida",Config!$B$5-D338,"")</f>
        <v/>
      </c>
      <c r="J338" s="30">
        <f>IF(H338="A vencer",D338-Config!$B$5,"")</f>
        <v/>
      </c>
      <c r="K338" s="24">
        <f>IF(H338&lt;&gt;"Vencida","",IF(COUNTIF(Config!$A$10:$A$13,"&lt;="&amp;I338)=0,"Antes da régua",INDEX(Config!$C$10:$C$13,COUNTIF(Config!$A$10:$A$13,"&lt;="&amp;I338))))</f>
        <v/>
      </c>
      <c r="L338" s="23">
        <f>IF(H338&lt;&gt;"Vencida","",IF(COUNTIF(Config!$A$10:$A$13,"&lt;="&amp;I338)=0,"Aguardar: ainda não chegou ao primeiro passo da régua.",INDEX(Config!$B$10:$B$13,COUNTIF(Config!$A$10:$A$13,"&lt;="&amp;I338))))</f>
        <v/>
      </c>
      <c r="M338" s="38">
        <f>IF(H338="Vencida",E338*I338+ROW()/100000,0)</f>
        <v>0</v>
      </c>
      <c r="N338" s="38">
        <f>IF(AND(H338="A vencer",J338&lt;=Config!$B$7),100000-J338-ROW()/100000,0)</f>
        <v>0</v>
      </c>
    </row>
    <row r="339">
      <c r="A339" s="32" t="n"/>
      <c r="B339" s="23">
        <f>IF(A339="","",IFERROR(INDEX(Casos!$B$5:$B$204,MATCH(A339,Casos!$A$5:$A$204,0)),""))</f>
        <v/>
      </c>
      <c r="C339" s="34" t="n"/>
      <c r="D339" s="37" t="n"/>
      <c r="E339" s="36" t="n"/>
      <c r="F339" s="34" t="n"/>
      <c r="G339" s="37" t="n"/>
      <c r="H339" s="24">
        <f>IF(A339="","",IF(F339="Sim","Paga",IF(D339="","Sem vencimento",IF(D339&lt;Config!$B$5,"Vencida","A vencer"))))</f>
        <v/>
      </c>
      <c r="I339" s="30">
        <f>IF(H339="Vencida",Config!$B$5-D339,"")</f>
        <v/>
      </c>
      <c r="J339" s="30">
        <f>IF(H339="A vencer",D339-Config!$B$5,"")</f>
        <v/>
      </c>
      <c r="K339" s="24">
        <f>IF(H339&lt;&gt;"Vencida","",IF(COUNTIF(Config!$A$10:$A$13,"&lt;="&amp;I339)=0,"Antes da régua",INDEX(Config!$C$10:$C$13,COUNTIF(Config!$A$10:$A$13,"&lt;="&amp;I339))))</f>
        <v/>
      </c>
      <c r="L339" s="23">
        <f>IF(H339&lt;&gt;"Vencida","",IF(COUNTIF(Config!$A$10:$A$13,"&lt;="&amp;I339)=0,"Aguardar: ainda não chegou ao primeiro passo da régua.",INDEX(Config!$B$10:$B$13,COUNTIF(Config!$A$10:$A$13,"&lt;="&amp;I339))))</f>
        <v/>
      </c>
      <c r="M339" s="38">
        <f>IF(H339="Vencida",E339*I339+ROW()/100000,0)</f>
        <v>0</v>
      </c>
      <c r="N339" s="38">
        <f>IF(AND(H339="A vencer",J339&lt;=Config!$B$7),100000-J339-ROW()/100000,0)</f>
        <v>0</v>
      </c>
    </row>
    <row r="340">
      <c r="A340" s="32" t="n"/>
      <c r="B340" s="23">
        <f>IF(A340="","",IFERROR(INDEX(Casos!$B$5:$B$204,MATCH(A340,Casos!$A$5:$A$204,0)),""))</f>
        <v/>
      </c>
      <c r="C340" s="34" t="n"/>
      <c r="D340" s="37" t="n"/>
      <c r="E340" s="36" t="n"/>
      <c r="F340" s="34" t="n"/>
      <c r="G340" s="37" t="n"/>
      <c r="H340" s="24">
        <f>IF(A340="","",IF(F340="Sim","Paga",IF(D340="","Sem vencimento",IF(D340&lt;Config!$B$5,"Vencida","A vencer"))))</f>
        <v/>
      </c>
      <c r="I340" s="30">
        <f>IF(H340="Vencida",Config!$B$5-D340,"")</f>
        <v/>
      </c>
      <c r="J340" s="30">
        <f>IF(H340="A vencer",D340-Config!$B$5,"")</f>
        <v/>
      </c>
      <c r="K340" s="24">
        <f>IF(H340&lt;&gt;"Vencida","",IF(COUNTIF(Config!$A$10:$A$13,"&lt;="&amp;I340)=0,"Antes da régua",INDEX(Config!$C$10:$C$13,COUNTIF(Config!$A$10:$A$13,"&lt;="&amp;I340))))</f>
        <v/>
      </c>
      <c r="L340" s="23">
        <f>IF(H340&lt;&gt;"Vencida","",IF(COUNTIF(Config!$A$10:$A$13,"&lt;="&amp;I340)=0,"Aguardar: ainda não chegou ao primeiro passo da régua.",INDEX(Config!$B$10:$B$13,COUNTIF(Config!$A$10:$A$13,"&lt;="&amp;I340))))</f>
        <v/>
      </c>
      <c r="M340" s="38">
        <f>IF(H340="Vencida",E340*I340+ROW()/100000,0)</f>
        <v>0</v>
      </c>
      <c r="N340" s="38">
        <f>IF(AND(H340="A vencer",J340&lt;=Config!$B$7),100000-J340-ROW()/100000,0)</f>
        <v>0</v>
      </c>
    </row>
    <row r="341">
      <c r="A341" s="32" t="n"/>
      <c r="B341" s="23">
        <f>IF(A341="","",IFERROR(INDEX(Casos!$B$5:$B$204,MATCH(A341,Casos!$A$5:$A$204,0)),""))</f>
        <v/>
      </c>
      <c r="C341" s="34" t="n"/>
      <c r="D341" s="37" t="n"/>
      <c r="E341" s="36" t="n"/>
      <c r="F341" s="34" t="n"/>
      <c r="G341" s="37" t="n"/>
      <c r="H341" s="24">
        <f>IF(A341="","",IF(F341="Sim","Paga",IF(D341="","Sem vencimento",IF(D341&lt;Config!$B$5,"Vencida","A vencer"))))</f>
        <v/>
      </c>
      <c r="I341" s="30">
        <f>IF(H341="Vencida",Config!$B$5-D341,"")</f>
        <v/>
      </c>
      <c r="J341" s="30">
        <f>IF(H341="A vencer",D341-Config!$B$5,"")</f>
        <v/>
      </c>
      <c r="K341" s="24">
        <f>IF(H341&lt;&gt;"Vencida","",IF(COUNTIF(Config!$A$10:$A$13,"&lt;="&amp;I341)=0,"Antes da régua",INDEX(Config!$C$10:$C$13,COUNTIF(Config!$A$10:$A$13,"&lt;="&amp;I341))))</f>
        <v/>
      </c>
      <c r="L341" s="23">
        <f>IF(H341&lt;&gt;"Vencida","",IF(COUNTIF(Config!$A$10:$A$13,"&lt;="&amp;I341)=0,"Aguardar: ainda não chegou ao primeiro passo da régua.",INDEX(Config!$B$10:$B$13,COUNTIF(Config!$A$10:$A$13,"&lt;="&amp;I341))))</f>
        <v/>
      </c>
      <c r="M341" s="38">
        <f>IF(H341="Vencida",E341*I341+ROW()/100000,0)</f>
        <v>0</v>
      </c>
      <c r="N341" s="38">
        <f>IF(AND(H341="A vencer",J341&lt;=Config!$B$7),100000-J341-ROW()/100000,0)</f>
        <v>0</v>
      </c>
    </row>
    <row r="342">
      <c r="A342" s="32" t="n"/>
      <c r="B342" s="23">
        <f>IF(A342="","",IFERROR(INDEX(Casos!$B$5:$B$204,MATCH(A342,Casos!$A$5:$A$204,0)),""))</f>
        <v/>
      </c>
      <c r="C342" s="34" t="n"/>
      <c r="D342" s="37" t="n"/>
      <c r="E342" s="36" t="n"/>
      <c r="F342" s="34" t="n"/>
      <c r="G342" s="37" t="n"/>
      <c r="H342" s="24">
        <f>IF(A342="","",IF(F342="Sim","Paga",IF(D342="","Sem vencimento",IF(D342&lt;Config!$B$5,"Vencida","A vencer"))))</f>
        <v/>
      </c>
      <c r="I342" s="30">
        <f>IF(H342="Vencida",Config!$B$5-D342,"")</f>
        <v/>
      </c>
      <c r="J342" s="30">
        <f>IF(H342="A vencer",D342-Config!$B$5,"")</f>
        <v/>
      </c>
      <c r="K342" s="24">
        <f>IF(H342&lt;&gt;"Vencida","",IF(COUNTIF(Config!$A$10:$A$13,"&lt;="&amp;I342)=0,"Antes da régua",INDEX(Config!$C$10:$C$13,COUNTIF(Config!$A$10:$A$13,"&lt;="&amp;I342))))</f>
        <v/>
      </c>
      <c r="L342" s="23">
        <f>IF(H342&lt;&gt;"Vencida","",IF(COUNTIF(Config!$A$10:$A$13,"&lt;="&amp;I342)=0,"Aguardar: ainda não chegou ao primeiro passo da régua.",INDEX(Config!$B$10:$B$13,COUNTIF(Config!$A$10:$A$13,"&lt;="&amp;I342))))</f>
        <v/>
      </c>
      <c r="M342" s="38">
        <f>IF(H342="Vencida",E342*I342+ROW()/100000,0)</f>
        <v>0</v>
      </c>
      <c r="N342" s="38">
        <f>IF(AND(H342="A vencer",J342&lt;=Config!$B$7),100000-J342-ROW()/100000,0)</f>
        <v>0</v>
      </c>
    </row>
    <row r="343">
      <c r="A343" s="32" t="n"/>
      <c r="B343" s="23">
        <f>IF(A343="","",IFERROR(INDEX(Casos!$B$5:$B$204,MATCH(A343,Casos!$A$5:$A$204,0)),""))</f>
        <v/>
      </c>
      <c r="C343" s="34" t="n"/>
      <c r="D343" s="37" t="n"/>
      <c r="E343" s="36" t="n"/>
      <c r="F343" s="34" t="n"/>
      <c r="G343" s="37" t="n"/>
      <c r="H343" s="24">
        <f>IF(A343="","",IF(F343="Sim","Paga",IF(D343="","Sem vencimento",IF(D343&lt;Config!$B$5,"Vencida","A vencer"))))</f>
        <v/>
      </c>
      <c r="I343" s="30">
        <f>IF(H343="Vencida",Config!$B$5-D343,"")</f>
        <v/>
      </c>
      <c r="J343" s="30">
        <f>IF(H343="A vencer",D343-Config!$B$5,"")</f>
        <v/>
      </c>
      <c r="K343" s="24">
        <f>IF(H343&lt;&gt;"Vencida","",IF(COUNTIF(Config!$A$10:$A$13,"&lt;="&amp;I343)=0,"Antes da régua",INDEX(Config!$C$10:$C$13,COUNTIF(Config!$A$10:$A$13,"&lt;="&amp;I343))))</f>
        <v/>
      </c>
      <c r="L343" s="23">
        <f>IF(H343&lt;&gt;"Vencida","",IF(COUNTIF(Config!$A$10:$A$13,"&lt;="&amp;I343)=0,"Aguardar: ainda não chegou ao primeiro passo da régua.",INDEX(Config!$B$10:$B$13,COUNTIF(Config!$A$10:$A$13,"&lt;="&amp;I343))))</f>
        <v/>
      </c>
      <c r="M343" s="38">
        <f>IF(H343="Vencida",E343*I343+ROW()/100000,0)</f>
        <v>0</v>
      </c>
      <c r="N343" s="38">
        <f>IF(AND(H343="A vencer",J343&lt;=Config!$B$7),100000-J343-ROW()/100000,0)</f>
        <v>0</v>
      </c>
    </row>
    <row r="344">
      <c r="A344" s="32" t="n"/>
      <c r="B344" s="23">
        <f>IF(A344="","",IFERROR(INDEX(Casos!$B$5:$B$204,MATCH(A344,Casos!$A$5:$A$204,0)),""))</f>
        <v/>
      </c>
      <c r="C344" s="34" t="n"/>
      <c r="D344" s="37" t="n"/>
      <c r="E344" s="36" t="n"/>
      <c r="F344" s="34" t="n"/>
      <c r="G344" s="37" t="n"/>
      <c r="H344" s="24">
        <f>IF(A344="","",IF(F344="Sim","Paga",IF(D344="","Sem vencimento",IF(D344&lt;Config!$B$5,"Vencida","A vencer"))))</f>
        <v/>
      </c>
      <c r="I344" s="30">
        <f>IF(H344="Vencida",Config!$B$5-D344,"")</f>
        <v/>
      </c>
      <c r="J344" s="30">
        <f>IF(H344="A vencer",D344-Config!$B$5,"")</f>
        <v/>
      </c>
      <c r="K344" s="24">
        <f>IF(H344&lt;&gt;"Vencida","",IF(COUNTIF(Config!$A$10:$A$13,"&lt;="&amp;I344)=0,"Antes da régua",INDEX(Config!$C$10:$C$13,COUNTIF(Config!$A$10:$A$13,"&lt;="&amp;I344))))</f>
        <v/>
      </c>
      <c r="L344" s="23">
        <f>IF(H344&lt;&gt;"Vencida","",IF(COUNTIF(Config!$A$10:$A$13,"&lt;="&amp;I344)=0,"Aguardar: ainda não chegou ao primeiro passo da régua.",INDEX(Config!$B$10:$B$13,COUNTIF(Config!$A$10:$A$13,"&lt;="&amp;I344))))</f>
        <v/>
      </c>
      <c r="M344" s="38">
        <f>IF(H344="Vencida",E344*I344+ROW()/100000,0)</f>
        <v>0</v>
      </c>
      <c r="N344" s="38">
        <f>IF(AND(H344="A vencer",J344&lt;=Config!$B$7),100000-J344-ROW()/100000,0)</f>
        <v>0</v>
      </c>
    </row>
    <row r="345">
      <c r="A345" s="32" t="n"/>
      <c r="B345" s="23">
        <f>IF(A345="","",IFERROR(INDEX(Casos!$B$5:$B$204,MATCH(A345,Casos!$A$5:$A$204,0)),""))</f>
        <v/>
      </c>
      <c r="C345" s="34" t="n"/>
      <c r="D345" s="37" t="n"/>
      <c r="E345" s="36" t="n"/>
      <c r="F345" s="34" t="n"/>
      <c r="G345" s="37" t="n"/>
      <c r="H345" s="24">
        <f>IF(A345="","",IF(F345="Sim","Paga",IF(D345="","Sem vencimento",IF(D345&lt;Config!$B$5,"Vencida","A vencer"))))</f>
        <v/>
      </c>
      <c r="I345" s="30">
        <f>IF(H345="Vencida",Config!$B$5-D345,"")</f>
        <v/>
      </c>
      <c r="J345" s="30">
        <f>IF(H345="A vencer",D345-Config!$B$5,"")</f>
        <v/>
      </c>
      <c r="K345" s="24">
        <f>IF(H345&lt;&gt;"Vencida","",IF(COUNTIF(Config!$A$10:$A$13,"&lt;="&amp;I345)=0,"Antes da régua",INDEX(Config!$C$10:$C$13,COUNTIF(Config!$A$10:$A$13,"&lt;="&amp;I345))))</f>
        <v/>
      </c>
      <c r="L345" s="23">
        <f>IF(H345&lt;&gt;"Vencida","",IF(COUNTIF(Config!$A$10:$A$13,"&lt;="&amp;I345)=0,"Aguardar: ainda não chegou ao primeiro passo da régua.",INDEX(Config!$B$10:$B$13,COUNTIF(Config!$A$10:$A$13,"&lt;="&amp;I345))))</f>
        <v/>
      </c>
      <c r="M345" s="38">
        <f>IF(H345="Vencida",E345*I345+ROW()/100000,0)</f>
        <v>0</v>
      </c>
      <c r="N345" s="38">
        <f>IF(AND(H345="A vencer",J345&lt;=Config!$B$7),100000-J345-ROW()/100000,0)</f>
        <v>0</v>
      </c>
    </row>
    <row r="346">
      <c r="A346" s="32" t="n"/>
      <c r="B346" s="23">
        <f>IF(A346="","",IFERROR(INDEX(Casos!$B$5:$B$204,MATCH(A346,Casos!$A$5:$A$204,0)),""))</f>
        <v/>
      </c>
      <c r="C346" s="34" t="n"/>
      <c r="D346" s="37" t="n"/>
      <c r="E346" s="36" t="n"/>
      <c r="F346" s="34" t="n"/>
      <c r="G346" s="37" t="n"/>
      <c r="H346" s="24">
        <f>IF(A346="","",IF(F346="Sim","Paga",IF(D346="","Sem vencimento",IF(D346&lt;Config!$B$5,"Vencida","A vencer"))))</f>
        <v/>
      </c>
      <c r="I346" s="30">
        <f>IF(H346="Vencida",Config!$B$5-D346,"")</f>
        <v/>
      </c>
      <c r="J346" s="30">
        <f>IF(H346="A vencer",D346-Config!$B$5,"")</f>
        <v/>
      </c>
      <c r="K346" s="24">
        <f>IF(H346&lt;&gt;"Vencida","",IF(COUNTIF(Config!$A$10:$A$13,"&lt;="&amp;I346)=0,"Antes da régua",INDEX(Config!$C$10:$C$13,COUNTIF(Config!$A$10:$A$13,"&lt;="&amp;I346))))</f>
        <v/>
      </c>
      <c r="L346" s="23">
        <f>IF(H346&lt;&gt;"Vencida","",IF(COUNTIF(Config!$A$10:$A$13,"&lt;="&amp;I346)=0,"Aguardar: ainda não chegou ao primeiro passo da régua.",INDEX(Config!$B$10:$B$13,COUNTIF(Config!$A$10:$A$13,"&lt;="&amp;I346))))</f>
        <v/>
      </c>
      <c r="M346" s="38">
        <f>IF(H346="Vencida",E346*I346+ROW()/100000,0)</f>
        <v>0</v>
      </c>
      <c r="N346" s="38">
        <f>IF(AND(H346="A vencer",J346&lt;=Config!$B$7),100000-J346-ROW()/100000,0)</f>
        <v>0</v>
      </c>
    </row>
    <row r="347">
      <c r="A347" s="32" t="n"/>
      <c r="B347" s="23">
        <f>IF(A347="","",IFERROR(INDEX(Casos!$B$5:$B$204,MATCH(A347,Casos!$A$5:$A$204,0)),""))</f>
        <v/>
      </c>
      <c r="C347" s="34" t="n"/>
      <c r="D347" s="37" t="n"/>
      <c r="E347" s="36" t="n"/>
      <c r="F347" s="34" t="n"/>
      <c r="G347" s="37" t="n"/>
      <c r="H347" s="24">
        <f>IF(A347="","",IF(F347="Sim","Paga",IF(D347="","Sem vencimento",IF(D347&lt;Config!$B$5,"Vencida","A vencer"))))</f>
        <v/>
      </c>
      <c r="I347" s="30">
        <f>IF(H347="Vencida",Config!$B$5-D347,"")</f>
        <v/>
      </c>
      <c r="J347" s="30">
        <f>IF(H347="A vencer",D347-Config!$B$5,"")</f>
        <v/>
      </c>
      <c r="K347" s="24">
        <f>IF(H347&lt;&gt;"Vencida","",IF(COUNTIF(Config!$A$10:$A$13,"&lt;="&amp;I347)=0,"Antes da régua",INDEX(Config!$C$10:$C$13,COUNTIF(Config!$A$10:$A$13,"&lt;="&amp;I347))))</f>
        <v/>
      </c>
      <c r="L347" s="23">
        <f>IF(H347&lt;&gt;"Vencida","",IF(COUNTIF(Config!$A$10:$A$13,"&lt;="&amp;I347)=0,"Aguardar: ainda não chegou ao primeiro passo da régua.",INDEX(Config!$B$10:$B$13,COUNTIF(Config!$A$10:$A$13,"&lt;="&amp;I347))))</f>
        <v/>
      </c>
      <c r="M347" s="38">
        <f>IF(H347="Vencida",E347*I347+ROW()/100000,0)</f>
        <v>0</v>
      </c>
      <c r="N347" s="38">
        <f>IF(AND(H347="A vencer",J347&lt;=Config!$B$7),100000-J347-ROW()/100000,0)</f>
        <v>0</v>
      </c>
    </row>
    <row r="348">
      <c r="A348" s="32" t="n"/>
      <c r="B348" s="23">
        <f>IF(A348="","",IFERROR(INDEX(Casos!$B$5:$B$204,MATCH(A348,Casos!$A$5:$A$204,0)),""))</f>
        <v/>
      </c>
      <c r="C348" s="34" t="n"/>
      <c r="D348" s="37" t="n"/>
      <c r="E348" s="36" t="n"/>
      <c r="F348" s="34" t="n"/>
      <c r="G348" s="37" t="n"/>
      <c r="H348" s="24">
        <f>IF(A348="","",IF(F348="Sim","Paga",IF(D348="","Sem vencimento",IF(D348&lt;Config!$B$5,"Vencida","A vencer"))))</f>
        <v/>
      </c>
      <c r="I348" s="30">
        <f>IF(H348="Vencida",Config!$B$5-D348,"")</f>
        <v/>
      </c>
      <c r="J348" s="30">
        <f>IF(H348="A vencer",D348-Config!$B$5,"")</f>
        <v/>
      </c>
      <c r="K348" s="24">
        <f>IF(H348&lt;&gt;"Vencida","",IF(COUNTIF(Config!$A$10:$A$13,"&lt;="&amp;I348)=0,"Antes da régua",INDEX(Config!$C$10:$C$13,COUNTIF(Config!$A$10:$A$13,"&lt;="&amp;I348))))</f>
        <v/>
      </c>
      <c r="L348" s="23">
        <f>IF(H348&lt;&gt;"Vencida","",IF(COUNTIF(Config!$A$10:$A$13,"&lt;="&amp;I348)=0,"Aguardar: ainda não chegou ao primeiro passo da régua.",INDEX(Config!$B$10:$B$13,COUNTIF(Config!$A$10:$A$13,"&lt;="&amp;I348))))</f>
        <v/>
      </c>
      <c r="M348" s="38">
        <f>IF(H348="Vencida",E348*I348+ROW()/100000,0)</f>
        <v>0</v>
      </c>
      <c r="N348" s="38">
        <f>IF(AND(H348="A vencer",J348&lt;=Config!$B$7),100000-J348-ROW()/100000,0)</f>
        <v>0</v>
      </c>
    </row>
    <row r="349">
      <c r="A349" s="32" t="n"/>
      <c r="B349" s="23">
        <f>IF(A349="","",IFERROR(INDEX(Casos!$B$5:$B$204,MATCH(A349,Casos!$A$5:$A$204,0)),""))</f>
        <v/>
      </c>
      <c r="C349" s="34" t="n"/>
      <c r="D349" s="37" t="n"/>
      <c r="E349" s="36" t="n"/>
      <c r="F349" s="34" t="n"/>
      <c r="G349" s="37" t="n"/>
      <c r="H349" s="24">
        <f>IF(A349="","",IF(F349="Sim","Paga",IF(D349="","Sem vencimento",IF(D349&lt;Config!$B$5,"Vencida","A vencer"))))</f>
        <v/>
      </c>
      <c r="I349" s="30">
        <f>IF(H349="Vencida",Config!$B$5-D349,"")</f>
        <v/>
      </c>
      <c r="J349" s="30">
        <f>IF(H349="A vencer",D349-Config!$B$5,"")</f>
        <v/>
      </c>
      <c r="K349" s="24">
        <f>IF(H349&lt;&gt;"Vencida","",IF(COUNTIF(Config!$A$10:$A$13,"&lt;="&amp;I349)=0,"Antes da régua",INDEX(Config!$C$10:$C$13,COUNTIF(Config!$A$10:$A$13,"&lt;="&amp;I349))))</f>
        <v/>
      </c>
      <c r="L349" s="23">
        <f>IF(H349&lt;&gt;"Vencida","",IF(COUNTIF(Config!$A$10:$A$13,"&lt;="&amp;I349)=0,"Aguardar: ainda não chegou ao primeiro passo da régua.",INDEX(Config!$B$10:$B$13,COUNTIF(Config!$A$10:$A$13,"&lt;="&amp;I349))))</f>
        <v/>
      </c>
      <c r="M349" s="38">
        <f>IF(H349="Vencida",E349*I349+ROW()/100000,0)</f>
        <v>0</v>
      </c>
      <c r="N349" s="38">
        <f>IF(AND(H349="A vencer",J349&lt;=Config!$B$7),100000-J349-ROW()/100000,0)</f>
        <v>0</v>
      </c>
    </row>
    <row r="350">
      <c r="A350" s="32" t="n"/>
      <c r="B350" s="23">
        <f>IF(A350="","",IFERROR(INDEX(Casos!$B$5:$B$204,MATCH(A350,Casos!$A$5:$A$204,0)),""))</f>
        <v/>
      </c>
      <c r="C350" s="34" t="n"/>
      <c r="D350" s="37" t="n"/>
      <c r="E350" s="36" t="n"/>
      <c r="F350" s="34" t="n"/>
      <c r="G350" s="37" t="n"/>
      <c r="H350" s="24">
        <f>IF(A350="","",IF(F350="Sim","Paga",IF(D350="","Sem vencimento",IF(D350&lt;Config!$B$5,"Vencida","A vencer"))))</f>
        <v/>
      </c>
      <c r="I350" s="30">
        <f>IF(H350="Vencida",Config!$B$5-D350,"")</f>
        <v/>
      </c>
      <c r="J350" s="30">
        <f>IF(H350="A vencer",D350-Config!$B$5,"")</f>
        <v/>
      </c>
      <c r="K350" s="24">
        <f>IF(H350&lt;&gt;"Vencida","",IF(COUNTIF(Config!$A$10:$A$13,"&lt;="&amp;I350)=0,"Antes da régua",INDEX(Config!$C$10:$C$13,COUNTIF(Config!$A$10:$A$13,"&lt;="&amp;I350))))</f>
        <v/>
      </c>
      <c r="L350" s="23">
        <f>IF(H350&lt;&gt;"Vencida","",IF(COUNTIF(Config!$A$10:$A$13,"&lt;="&amp;I350)=0,"Aguardar: ainda não chegou ao primeiro passo da régua.",INDEX(Config!$B$10:$B$13,COUNTIF(Config!$A$10:$A$13,"&lt;="&amp;I350))))</f>
        <v/>
      </c>
      <c r="M350" s="38">
        <f>IF(H350="Vencida",E350*I350+ROW()/100000,0)</f>
        <v>0</v>
      </c>
      <c r="N350" s="38">
        <f>IF(AND(H350="A vencer",J350&lt;=Config!$B$7),100000-J350-ROW()/100000,0)</f>
        <v>0</v>
      </c>
    </row>
    <row r="351">
      <c r="A351" s="32" t="n"/>
      <c r="B351" s="23">
        <f>IF(A351="","",IFERROR(INDEX(Casos!$B$5:$B$204,MATCH(A351,Casos!$A$5:$A$204,0)),""))</f>
        <v/>
      </c>
      <c r="C351" s="34" t="n"/>
      <c r="D351" s="37" t="n"/>
      <c r="E351" s="36" t="n"/>
      <c r="F351" s="34" t="n"/>
      <c r="G351" s="37" t="n"/>
      <c r="H351" s="24">
        <f>IF(A351="","",IF(F351="Sim","Paga",IF(D351="","Sem vencimento",IF(D351&lt;Config!$B$5,"Vencida","A vencer"))))</f>
        <v/>
      </c>
      <c r="I351" s="30">
        <f>IF(H351="Vencida",Config!$B$5-D351,"")</f>
        <v/>
      </c>
      <c r="J351" s="30">
        <f>IF(H351="A vencer",D351-Config!$B$5,"")</f>
        <v/>
      </c>
      <c r="K351" s="24">
        <f>IF(H351&lt;&gt;"Vencida","",IF(COUNTIF(Config!$A$10:$A$13,"&lt;="&amp;I351)=0,"Antes da régua",INDEX(Config!$C$10:$C$13,COUNTIF(Config!$A$10:$A$13,"&lt;="&amp;I351))))</f>
        <v/>
      </c>
      <c r="L351" s="23">
        <f>IF(H351&lt;&gt;"Vencida","",IF(COUNTIF(Config!$A$10:$A$13,"&lt;="&amp;I351)=0,"Aguardar: ainda não chegou ao primeiro passo da régua.",INDEX(Config!$B$10:$B$13,COUNTIF(Config!$A$10:$A$13,"&lt;="&amp;I351))))</f>
        <v/>
      </c>
      <c r="M351" s="38">
        <f>IF(H351="Vencida",E351*I351+ROW()/100000,0)</f>
        <v>0</v>
      </c>
      <c r="N351" s="38">
        <f>IF(AND(H351="A vencer",J351&lt;=Config!$B$7),100000-J351-ROW()/100000,0)</f>
        <v>0</v>
      </c>
    </row>
    <row r="352">
      <c r="A352" s="32" t="n"/>
      <c r="B352" s="23">
        <f>IF(A352="","",IFERROR(INDEX(Casos!$B$5:$B$204,MATCH(A352,Casos!$A$5:$A$204,0)),""))</f>
        <v/>
      </c>
      <c r="C352" s="34" t="n"/>
      <c r="D352" s="37" t="n"/>
      <c r="E352" s="36" t="n"/>
      <c r="F352" s="34" t="n"/>
      <c r="G352" s="37" t="n"/>
      <c r="H352" s="24">
        <f>IF(A352="","",IF(F352="Sim","Paga",IF(D352="","Sem vencimento",IF(D352&lt;Config!$B$5,"Vencida","A vencer"))))</f>
        <v/>
      </c>
      <c r="I352" s="30">
        <f>IF(H352="Vencida",Config!$B$5-D352,"")</f>
        <v/>
      </c>
      <c r="J352" s="30">
        <f>IF(H352="A vencer",D352-Config!$B$5,"")</f>
        <v/>
      </c>
      <c r="K352" s="24">
        <f>IF(H352&lt;&gt;"Vencida","",IF(COUNTIF(Config!$A$10:$A$13,"&lt;="&amp;I352)=0,"Antes da régua",INDEX(Config!$C$10:$C$13,COUNTIF(Config!$A$10:$A$13,"&lt;="&amp;I352))))</f>
        <v/>
      </c>
      <c r="L352" s="23">
        <f>IF(H352&lt;&gt;"Vencida","",IF(COUNTIF(Config!$A$10:$A$13,"&lt;="&amp;I352)=0,"Aguardar: ainda não chegou ao primeiro passo da régua.",INDEX(Config!$B$10:$B$13,COUNTIF(Config!$A$10:$A$13,"&lt;="&amp;I352))))</f>
        <v/>
      </c>
      <c r="M352" s="38">
        <f>IF(H352="Vencida",E352*I352+ROW()/100000,0)</f>
        <v>0</v>
      </c>
      <c r="N352" s="38">
        <f>IF(AND(H352="A vencer",J352&lt;=Config!$B$7),100000-J352-ROW()/100000,0)</f>
        <v>0</v>
      </c>
    </row>
    <row r="353">
      <c r="A353" s="32" t="n"/>
      <c r="B353" s="23">
        <f>IF(A353="","",IFERROR(INDEX(Casos!$B$5:$B$204,MATCH(A353,Casos!$A$5:$A$204,0)),""))</f>
        <v/>
      </c>
      <c r="C353" s="34" t="n"/>
      <c r="D353" s="37" t="n"/>
      <c r="E353" s="36" t="n"/>
      <c r="F353" s="34" t="n"/>
      <c r="G353" s="37" t="n"/>
      <c r="H353" s="24">
        <f>IF(A353="","",IF(F353="Sim","Paga",IF(D353="","Sem vencimento",IF(D353&lt;Config!$B$5,"Vencida","A vencer"))))</f>
        <v/>
      </c>
      <c r="I353" s="30">
        <f>IF(H353="Vencida",Config!$B$5-D353,"")</f>
        <v/>
      </c>
      <c r="J353" s="30">
        <f>IF(H353="A vencer",D353-Config!$B$5,"")</f>
        <v/>
      </c>
      <c r="K353" s="24">
        <f>IF(H353&lt;&gt;"Vencida","",IF(COUNTIF(Config!$A$10:$A$13,"&lt;="&amp;I353)=0,"Antes da régua",INDEX(Config!$C$10:$C$13,COUNTIF(Config!$A$10:$A$13,"&lt;="&amp;I353))))</f>
        <v/>
      </c>
      <c r="L353" s="23">
        <f>IF(H353&lt;&gt;"Vencida","",IF(COUNTIF(Config!$A$10:$A$13,"&lt;="&amp;I353)=0,"Aguardar: ainda não chegou ao primeiro passo da régua.",INDEX(Config!$B$10:$B$13,COUNTIF(Config!$A$10:$A$13,"&lt;="&amp;I353))))</f>
        <v/>
      </c>
      <c r="M353" s="38">
        <f>IF(H353="Vencida",E353*I353+ROW()/100000,0)</f>
        <v>0</v>
      </c>
      <c r="N353" s="38">
        <f>IF(AND(H353="A vencer",J353&lt;=Config!$B$7),100000-J353-ROW()/100000,0)</f>
        <v>0</v>
      </c>
    </row>
    <row r="354">
      <c r="A354" s="32" t="n"/>
      <c r="B354" s="23">
        <f>IF(A354="","",IFERROR(INDEX(Casos!$B$5:$B$204,MATCH(A354,Casos!$A$5:$A$204,0)),""))</f>
        <v/>
      </c>
      <c r="C354" s="34" t="n"/>
      <c r="D354" s="37" t="n"/>
      <c r="E354" s="36" t="n"/>
      <c r="F354" s="34" t="n"/>
      <c r="G354" s="37" t="n"/>
      <c r="H354" s="24">
        <f>IF(A354="","",IF(F354="Sim","Paga",IF(D354="","Sem vencimento",IF(D354&lt;Config!$B$5,"Vencida","A vencer"))))</f>
        <v/>
      </c>
      <c r="I354" s="30">
        <f>IF(H354="Vencida",Config!$B$5-D354,"")</f>
        <v/>
      </c>
      <c r="J354" s="30">
        <f>IF(H354="A vencer",D354-Config!$B$5,"")</f>
        <v/>
      </c>
      <c r="K354" s="24">
        <f>IF(H354&lt;&gt;"Vencida","",IF(COUNTIF(Config!$A$10:$A$13,"&lt;="&amp;I354)=0,"Antes da régua",INDEX(Config!$C$10:$C$13,COUNTIF(Config!$A$10:$A$13,"&lt;="&amp;I354))))</f>
        <v/>
      </c>
      <c r="L354" s="23">
        <f>IF(H354&lt;&gt;"Vencida","",IF(COUNTIF(Config!$A$10:$A$13,"&lt;="&amp;I354)=0,"Aguardar: ainda não chegou ao primeiro passo da régua.",INDEX(Config!$B$10:$B$13,COUNTIF(Config!$A$10:$A$13,"&lt;="&amp;I354))))</f>
        <v/>
      </c>
      <c r="M354" s="38">
        <f>IF(H354="Vencida",E354*I354+ROW()/100000,0)</f>
        <v>0</v>
      </c>
      <c r="N354" s="38">
        <f>IF(AND(H354="A vencer",J354&lt;=Config!$B$7),100000-J354-ROW()/100000,0)</f>
        <v>0</v>
      </c>
    </row>
    <row r="355">
      <c r="A355" s="32" t="n"/>
      <c r="B355" s="23">
        <f>IF(A355="","",IFERROR(INDEX(Casos!$B$5:$B$204,MATCH(A355,Casos!$A$5:$A$204,0)),""))</f>
        <v/>
      </c>
      <c r="C355" s="34" t="n"/>
      <c r="D355" s="37" t="n"/>
      <c r="E355" s="36" t="n"/>
      <c r="F355" s="34" t="n"/>
      <c r="G355" s="37" t="n"/>
      <c r="H355" s="24">
        <f>IF(A355="","",IF(F355="Sim","Paga",IF(D355="","Sem vencimento",IF(D355&lt;Config!$B$5,"Vencida","A vencer"))))</f>
        <v/>
      </c>
      <c r="I355" s="30">
        <f>IF(H355="Vencida",Config!$B$5-D355,"")</f>
        <v/>
      </c>
      <c r="J355" s="30">
        <f>IF(H355="A vencer",D355-Config!$B$5,"")</f>
        <v/>
      </c>
      <c r="K355" s="24">
        <f>IF(H355&lt;&gt;"Vencida","",IF(COUNTIF(Config!$A$10:$A$13,"&lt;="&amp;I355)=0,"Antes da régua",INDEX(Config!$C$10:$C$13,COUNTIF(Config!$A$10:$A$13,"&lt;="&amp;I355))))</f>
        <v/>
      </c>
      <c r="L355" s="23">
        <f>IF(H355&lt;&gt;"Vencida","",IF(COUNTIF(Config!$A$10:$A$13,"&lt;="&amp;I355)=0,"Aguardar: ainda não chegou ao primeiro passo da régua.",INDEX(Config!$B$10:$B$13,COUNTIF(Config!$A$10:$A$13,"&lt;="&amp;I355))))</f>
        <v/>
      </c>
      <c r="M355" s="38">
        <f>IF(H355="Vencida",E355*I355+ROW()/100000,0)</f>
        <v>0</v>
      </c>
      <c r="N355" s="38">
        <f>IF(AND(H355="A vencer",J355&lt;=Config!$B$7),100000-J355-ROW()/100000,0)</f>
        <v>0</v>
      </c>
    </row>
    <row r="356">
      <c r="A356" s="32" t="n"/>
      <c r="B356" s="23">
        <f>IF(A356="","",IFERROR(INDEX(Casos!$B$5:$B$204,MATCH(A356,Casos!$A$5:$A$204,0)),""))</f>
        <v/>
      </c>
      <c r="C356" s="34" t="n"/>
      <c r="D356" s="37" t="n"/>
      <c r="E356" s="36" t="n"/>
      <c r="F356" s="34" t="n"/>
      <c r="G356" s="37" t="n"/>
      <c r="H356" s="24">
        <f>IF(A356="","",IF(F356="Sim","Paga",IF(D356="","Sem vencimento",IF(D356&lt;Config!$B$5,"Vencida","A vencer"))))</f>
        <v/>
      </c>
      <c r="I356" s="30">
        <f>IF(H356="Vencida",Config!$B$5-D356,"")</f>
        <v/>
      </c>
      <c r="J356" s="30">
        <f>IF(H356="A vencer",D356-Config!$B$5,"")</f>
        <v/>
      </c>
      <c r="K356" s="24">
        <f>IF(H356&lt;&gt;"Vencida","",IF(COUNTIF(Config!$A$10:$A$13,"&lt;="&amp;I356)=0,"Antes da régua",INDEX(Config!$C$10:$C$13,COUNTIF(Config!$A$10:$A$13,"&lt;="&amp;I356))))</f>
        <v/>
      </c>
      <c r="L356" s="23">
        <f>IF(H356&lt;&gt;"Vencida","",IF(COUNTIF(Config!$A$10:$A$13,"&lt;="&amp;I356)=0,"Aguardar: ainda não chegou ao primeiro passo da régua.",INDEX(Config!$B$10:$B$13,COUNTIF(Config!$A$10:$A$13,"&lt;="&amp;I356))))</f>
        <v/>
      </c>
      <c r="M356" s="38">
        <f>IF(H356="Vencida",E356*I356+ROW()/100000,0)</f>
        <v>0</v>
      </c>
      <c r="N356" s="38">
        <f>IF(AND(H356="A vencer",J356&lt;=Config!$B$7),100000-J356-ROW()/100000,0)</f>
        <v>0</v>
      </c>
    </row>
    <row r="357">
      <c r="A357" s="32" t="n"/>
      <c r="B357" s="23">
        <f>IF(A357="","",IFERROR(INDEX(Casos!$B$5:$B$204,MATCH(A357,Casos!$A$5:$A$204,0)),""))</f>
        <v/>
      </c>
      <c r="C357" s="34" t="n"/>
      <c r="D357" s="37" t="n"/>
      <c r="E357" s="36" t="n"/>
      <c r="F357" s="34" t="n"/>
      <c r="G357" s="37" t="n"/>
      <c r="H357" s="24">
        <f>IF(A357="","",IF(F357="Sim","Paga",IF(D357="","Sem vencimento",IF(D357&lt;Config!$B$5,"Vencida","A vencer"))))</f>
        <v/>
      </c>
      <c r="I357" s="30">
        <f>IF(H357="Vencida",Config!$B$5-D357,"")</f>
        <v/>
      </c>
      <c r="J357" s="30">
        <f>IF(H357="A vencer",D357-Config!$B$5,"")</f>
        <v/>
      </c>
      <c r="K357" s="24">
        <f>IF(H357&lt;&gt;"Vencida","",IF(COUNTIF(Config!$A$10:$A$13,"&lt;="&amp;I357)=0,"Antes da régua",INDEX(Config!$C$10:$C$13,COUNTIF(Config!$A$10:$A$13,"&lt;="&amp;I357))))</f>
        <v/>
      </c>
      <c r="L357" s="23">
        <f>IF(H357&lt;&gt;"Vencida","",IF(COUNTIF(Config!$A$10:$A$13,"&lt;="&amp;I357)=0,"Aguardar: ainda não chegou ao primeiro passo da régua.",INDEX(Config!$B$10:$B$13,COUNTIF(Config!$A$10:$A$13,"&lt;="&amp;I357))))</f>
        <v/>
      </c>
      <c r="M357" s="38">
        <f>IF(H357="Vencida",E357*I357+ROW()/100000,0)</f>
        <v>0</v>
      </c>
      <c r="N357" s="38">
        <f>IF(AND(H357="A vencer",J357&lt;=Config!$B$7),100000-J357-ROW()/100000,0)</f>
        <v>0</v>
      </c>
    </row>
    <row r="358">
      <c r="A358" s="32" t="n"/>
      <c r="B358" s="23">
        <f>IF(A358="","",IFERROR(INDEX(Casos!$B$5:$B$204,MATCH(A358,Casos!$A$5:$A$204,0)),""))</f>
        <v/>
      </c>
      <c r="C358" s="34" t="n"/>
      <c r="D358" s="37" t="n"/>
      <c r="E358" s="36" t="n"/>
      <c r="F358" s="34" t="n"/>
      <c r="G358" s="37" t="n"/>
      <c r="H358" s="24">
        <f>IF(A358="","",IF(F358="Sim","Paga",IF(D358="","Sem vencimento",IF(D358&lt;Config!$B$5,"Vencida","A vencer"))))</f>
        <v/>
      </c>
      <c r="I358" s="30">
        <f>IF(H358="Vencida",Config!$B$5-D358,"")</f>
        <v/>
      </c>
      <c r="J358" s="30">
        <f>IF(H358="A vencer",D358-Config!$B$5,"")</f>
        <v/>
      </c>
      <c r="K358" s="24">
        <f>IF(H358&lt;&gt;"Vencida","",IF(COUNTIF(Config!$A$10:$A$13,"&lt;="&amp;I358)=0,"Antes da régua",INDEX(Config!$C$10:$C$13,COUNTIF(Config!$A$10:$A$13,"&lt;="&amp;I358))))</f>
        <v/>
      </c>
      <c r="L358" s="23">
        <f>IF(H358&lt;&gt;"Vencida","",IF(COUNTIF(Config!$A$10:$A$13,"&lt;="&amp;I358)=0,"Aguardar: ainda não chegou ao primeiro passo da régua.",INDEX(Config!$B$10:$B$13,COUNTIF(Config!$A$10:$A$13,"&lt;="&amp;I358))))</f>
        <v/>
      </c>
      <c r="M358" s="38">
        <f>IF(H358="Vencida",E358*I358+ROW()/100000,0)</f>
        <v>0</v>
      </c>
      <c r="N358" s="38">
        <f>IF(AND(H358="A vencer",J358&lt;=Config!$B$7),100000-J358-ROW()/100000,0)</f>
        <v>0</v>
      </c>
    </row>
    <row r="359">
      <c r="A359" s="32" t="n"/>
      <c r="B359" s="23">
        <f>IF(A359="","",IFERROR(INDEX(Casos!$B$5:$B$204,MATCH(A359,Casos!$A$5:$A$204,0)),""))</f>
        <v/>
      </c>
      <c r="C359" s="34" t="n"/>
      <c r="D359" s="37" t="n"/>
      <c r="E359" s="36" t="n"/>
      <c r="F359" s="34" t="n"/>
      <c r="G359" s="37" t="n"/>
      <c r="H359" s="24">
        <f>IF(A359="","",IF(F359="Sim","Paga",IF(D359="","Sem vencimento",IF(D359&lt;Config!$B$5,"Vencida","A vencer"))))</f>
        <v/>
      </c>
      <c r="I359" s="30">
        <f>IF(H359="Vencida",Config!$B$5-D359,"")</f>
        <v/>
      </c>
      <c r="J359" s="30">
        <f>IF(H359="A vencer",D359-Config!$B$5,"")</f>
        <v/>
      </c>
      <c r="K359" s="24">
        <f>IF(H359&lt;&gt;"Vencida","",IF(COUNTIF(Config!$A$10:$A$13,"&lt;="&amp;I359)=0,"Antes da régua",INDEX(Config!$C$10:$C$13,COUNTIF(Config!$A$10:$A$13,"&lt;="&amp;I359))))</f>
        <v/>
      </c>
      <c r="L359" s="23">
        <f>IF(H359&lt;&gt;"Vencida","",IF(COUNTIF(Config!$A$10:$A$13,"&lt;="&amp;I359)=0,"Aguardar: ainda não chegou ao primeiro passo da régua.",INDEX(Config!$B$10:$B$13,COUNTIF(Config!$A$10:$A$13,"&lt;="&amp;I359))))</f>
        <v/>
      </c>
      <c r="M359" s="38">
        <f>IF(H359="Vencida",E359*I359+ROW()/100000,0)</f>
        <v>0</v>
      </c>
      <c r="N359" s="38">
        <f>IF(AND(H359="A vencer",J359&lt;=Config!$B$7),100000-J359-ROW()/100000,0)</f>
        <v>0</v>
      </c>
    </row>
    <row r="360">
      <c r="A360" s="32" t="n"/>
      <c r="B360" s="23">
        <f>IF(A360="","",IFERROR(INDEX(Casos!$B$5:$B$204,MATCH(A360,Casos!$A$5:$A$204,0)),""))</f>
        <v/>
      </c>
      <c r="C360" s="34" t="n"/>
      <c r="D360" s="37" t="n"/>
      <c r="E360" s="36" t="n"/>
      <c r="F360" s="34" t="n"/>
      <c r="G360" s="37" t="n"/>
      <c r="H360" s="24">
        <f>IF(A360="","",IF(F360="Sim","Paga",IF(D360="","Sem vencimento",IF(D360&lt;Config!$B$5,"Vencida","A vencer"))))</f>
        <v/>
      </c>
      <c r="I360" s="30">
        <f>IF(H360="Vencida",Config!$B$5-D360,"")</f>
        <v/>
      </c>
      <c r="J360" s="30">
        <f>IF(H360="A vencer",D360-Config!$B$5,"")</f>
        <v/>
      </c>
      <c r="K360" s="24">
        <f>IF(H360&lt;&gt;"Vencida","",IF(COUNTIF(Config!$A$10:$A$13,"&lt;="&amp;I360)=0,"Antes da régua",INDEX(Config!$C$10:$C$13,COUNTIF(Config!$A$10:$A$13,"&lt;="&amp;I360))))</f>
        <v/>
      </c>
      <c r="L360" s="23">
        <f>IF(H360&lt;&gt;"Vencida","",IF(COUNTIF(Config!$A$10:$A$13,"&lt;="&amp;I360)=0,"Aguardar: ainda não chegou ao primeiro passo da régua.",INDEX(Config!$B$10:$B$13,COUNTIF(Config!$A$10:$A$13,"&lt;="&amp;I360))))</f>
        <v/>
      </c>
      <c r="M360" s="38">
        <f>IF(H360="Vencida",E360*I360+ROW()/100000,0)</f>
        <v>0</v>
      </c>
      <c r="N360" s="38">
        <f>IF(AND(H360="A vencer",J360&lt;=Config!$B$7),100000-J360-ROW()/100000,0)</f>
        <v>0</v>
      </c>
    </row>
    <row r="361">
      <c r="A361" s="32" t="n"/>
      <c r="B361" s="23">
        <f>IF(A361="","",IFERROR(INDEX(Casos!$B$5:$B$204,MATCH(A361,Casos!$A$5:$A$204,0)),""))</f>
        <v/>
      </c>
      <c r="C361" s="34" t="n"/>
      <c r="D361" s="37" t="n"/>
      <c r="E361" s="36" t="n"/>
      <c r="F361" s="34" t="n"/>
      <c r="G361" s="37" t="n"/>
      <c r="H361" s="24">
        <f>IF(A361="","",IF(F361="Sim","Paga",IF(D361="","Sem vencimento",IF(D361&lt;Config!$B$5,"Vencida","A vencer"))))</f>
        <v/>
      </c>
      <c r="I361" s="30">
        <f>IF(H361="Vencida",Config!$B$5-D361,"")</f>
        <v/>
      </c>
      <c r="J361" s="30">
        <f>IF(H361="A vencer",D361-Config!$B$5,"")</f>
        <v/>
      </c>
      <c r="K361" s="24">
        <f>IF(H361&lt;&gt;"Vencida","",IF(COUNTIF(Config!$A$10:$A$13,"&lt;="&amp;I361)=0,"Antes da régua",INDEX(Config!$C$10:$C$13,COUNTIF(Config!$A$10:$A$13,"&lt;="&amp;I361))))</f>
        <v/>
      </c>
      <c r="L361" s="23">
        <f>IF(H361&lt;&gt;"Vencida","",IF(COUNTIF(Config!$A$10:$A$13,"&lt;="&amp;I361)=0,"Aguardar: ainda não chegou ao primeiro passo da régua.",INDEX(Config!$B$10:$B$13,COUNTIF(Config!$A$10:$A$13,"&lt;="&amp;I361))))</f>
        <v/>
      </c>
      <c r="M361" s="38">
        <f>IF(H361="Vencida",E361*I361+ROW()/100000,0)</f>
        <v>0</v>
      </c>
      <c r="N361" s="38">
        <f>IF(AND(H361="A vencer",J361&lt;=Config!$B$7),100000-J361-ROW()/100000,0)</f>
        <v>0</v>
      </c>
    </row>
    <row r="362">
      <c r="A362" s="32" t="n"/>
      <c r="B362" s="23">
        <f>IF(A362="","",IFERROR(INDEX(Casos!$B$5:$B$204,MATCH(A362,Casos!$A$5:$A$204,0)),""))</f>
        <v/>
      </c>
      <c r="C362" s="34" t="n"/>
      <c r="D362" s="37" t="n"/>
      <c r="E362" s="36" t="n"/>
      <c r="F362" s="34" t="n"/>
      <c r="G362" s="37" t="n"/>
      <c r="H362" s="24">
        <f>IF(A362="","",IF(F362="Sim","Paga",IF(D362="","Sem vencimento",IF(D362&lt;Config!$B$5,"Vencida","A vencer"))))</f>
        <v/>
      </c>
      <c r="I362" s="30">
        <f>IF(H362="Vencida",Config!$B$5-D362,"")</f>
        <v/>
      </c>
      <c r="J362" s="30">
        <f>IF(H362="A vencer",D362-Config!$B$5,"")</f>
        <v/>
      </c>
      <c r="K362" s="24">
        <f>IF(H362&lt;&gt;"Vencida","",IF(COUNTIF(Config!$A$10:$A$13,"&lt;="&amp;I362)=0,"Antes da régua",INDEX(Config!$C$10:$C$13,COUNTIF(Config!$A$10:$A$13,"&lt;="&amp;I362))))</f>
        <v/>
      </c>
      <c r="L362" s="23">
        <f>IF(H362&lt;&gt;"Vencida","",IF(COUNTIF(Config!$A$10:$A$13,"&lt;="&amp;I362)=0,"Aguardar: ainda não chegou ao primeiro passo da régua.",INDEX(Config!$B$10:$B$13,COUNTIF(Config!$A$10:$A$13,"&lt;="&amp;I362))))</f>
        <v/>
      </c>
      <c r="M362" s="38">
        <f>IF(H362="Vencida",E362*I362+ROW()/100000,0)</f>
        <v>0</v>
      </c>
      <c r="N362" s="38">
        <f>IF(AND(H362="A vencer",J362&lt;=Config!$B$7),100000-J362-ROW()/100000,0)</f>
        <v>0</v>
      </c>
    </row>
    <row r="363">
      <c r="A363" s="32" t="n"/>
      <c r="B363" s="23">
        <f>IF(A363="","",IFERROR(INDEX(Casos!$B$5:$B$204,MATCH(A363,Casos!$A$5:$A$204,0)),""))</f>
        <v/>
      </c>
      <c r="C363" s="34" t="n"/>
      <c r="D363" s="37" t="n"/>
      <c r="E363" s="36" t="n"/>
      <c r="F363" s="34" t="n"/>
      <c r="G363" s="37" t="n"/>
      <c r="H363" s="24">
        <f>IF(A363="","",IF(F363="Sim","Paga",IF(D363="","Sem vencimento",IF(D363&lt;Config!$B$5,"Vencida","A vencer"))))</f>
        <v/>
      </c>
      <c r="I363" s="30">
        <f>IF(H363="Vencida",Config!$B$5-D363,"")</f>
        <v/>
      </c>
      <c r="J363" s="30">
        <f>IF(H363="A vencer",D363-Config!$B$5,"")</f>
        <v/>
      </c>
      <c r="K363" s="24">
        <f>IF(H363&lt;&gt;"Vencida","",IF(COUNTIF(Config!$A$10:$A$13,"&lt;="&amp;I363)=0,"Antes da régua",INDEX(Config!$C$10:$C$13,COUNTIF(Config!$A$10:$A$13,"&lt;="&amp;I363))))</f>
        <v/>
      </c>
      <c r="L363" s="23">
        <f>IF(H363&lt;&gt;"Vencida","",IF(COUNTIF(Config!$A$10:$A$13,"&lt;="&amp;I363)=0,"Aguardar: ainda não chegou ao primeiro passo da régua.",INDEX(Config!$B$10:$B$13,COUNTIF(Config!$A$10:$A$13,"&lt;="&amp;I363))))</f>
        <v/>
      </c>
      <c r="M363" s="38">
        <f>IF(H363="Vencida",E363*I363+ROW()/100000,0)</f>
        <v>0</v>
      </c>
      <c r="N363" s="38">
        <f>IF(AND(H363="A vencer",J363&lt;=Config!$B$7),100000-J363-ROW()/100000,0)</f>
        <v>0</v>
      </c>
    </row>
    <row r="364">
      <c r="A364" s="32" t="n"/>
      <c r="B364" s="23">
        <f>IF(A364="","",IFERROR(INDEX(Casos!$B$5:$B$204,MATCH(A364,Casos!$A$5:$A$204,0)),""))</f>
        <v/>
      </c>
      <c r="C364" s="34" t="n"/>
      <c r="D364" s="37" t="n"/>
      <c r="E364" s="36" t="n"/>
      <c r="F364" s="34" t="n"/>
      <c r="G364" s="37" t="n"/>
      <c r="H364" s="24">
        <f>IF(A364="","",IF(F364="Sim","Paga",IF(D364="","Sem vencimento",IF(D364&lt;Config!$B$5,"Vencida","A vencer"))))</f>
        <v/>
      </c>
      <c r="I364" s="30">
        <f>IF(H364="Vencida",Config!$B$5-D364,"")</f>
        <v/>
      </c>
      <c r="J364" s="30">
        <f>IF(H364="A vencer",D364-Config!$B$5,"")</f>
        <v/>
      </c>
      <c r="K364" s="24">
        <f>IF(H364&lt;&gt;"Vencida","",IF(COUNTIF(Config!$A$10:$A$13,"&lt;="&amp;I364)=0,"Antes da régua",INDEX(Config!$C$10:$C$13,COUNTIF(Config!$A$10:$A$13,"&lt;="&amp;I364))))</f>
        <v/>
      </c>
      <c r="L364" s="23">
        <f>IF(H364&lt;&gt;"Vencida","",IF(COUNTIF(Config!$A$10:$A$13,"&lt;="&amp;I364)=0,"Aguardar: ainda não chegou ao primeiro passo da régua.",INDEX(Config!$B$10:$B$13,COUNTIF(Config!$A$10:$A$13,"&lt;="&amp;I364))))</f>
        <v/>
      </c>
      <c r="M364" s="38">
        <f>IF(H364="Vencida",E364*I364+ROW()/100000,0)</f>
        <v>0</v>
      </c>
      <c r="N364" s="38">
        <f>IF(AND(H364="A vencer",J364&lt;=Config!$B$7),100000-J364-ROW()/100000,0)</f>
        <v>0</v>
      </c>
    </row>
    <row r="365">
      <c r="A365" s="32" t="n"/>
      <c r="B365" s="23">
        <f>IF(A365="","",IFERROR(INDEX(Casos!$B$5:$B$204,MATCH(A365,Casos!$A$5:$A$204,0)),""))</f>
        <v/>
      </c>
      <c r="C365" s="34" t="n"/>
      <c r="D365" s="37" t="n"/>
      <c r="E365" s="36" t="n"/>
      <c r="F365" s="34" t="n"/>
      <c r="G365" s="37" t="n"/>
      <c r="H365" s="24">
        <f>IF(A365="","",IF(F365="Sim","Paga",IF(D365="","Sem vencimento",IF(D365&lt;Config!$B$5,"Vencida","A vencer"))))</f>
        <v/>
      </c>
      <c r="I365" s="30">
        <f>IF(H365="Vencida",Config!$B$5-D365,"")</f>
        <v/>
      </c>
      <c r="J365" s="30">
        <f>IF(H365="A vencer",D365-Config!$B$5,"")</f>
        <v/>
      </c>
      <c r="K365" s="24">
        <f>IF(H365&lt;&gt;"Vencida","",IF(COUNTIF(Config!$A$10:$A$13,"&lt;="&amp;I365)=0,"Antes da régua",INDEX(Config!$C$10:$C$13,COUNTIF(Config!$A$10:$A$13,"&lt;="&amp;I365))))</f>
        <v/>
      </c>
      <c r="L365" s="23">
        <f>IF(H365&lt;&gt;"Vencida","",IF(COUNTIF(Config!$A$10:$A$13,"&lt;="&amp;I365)=0,"Aguardar: ainda não chegou ao primeiro passo da régua.",INDEX(Config!$B$10:$B$13,COUNTIF(Config!$A$10:$A$13,"&lt;="&amp;I365))))</f>
        <v/>
      </c>
      <c r="M365" s="38">
        <f>IF(H365="Vencida",E365*I365+ROW()/100000,0)</f>
        <v>0</v>
      </c>
      <c r="N365" s="38">
        <f>IF(AND(H365="A vencer",J365&lt;=Config!$B$7),100000-J365-ROW()/100000,0)</f>
        <v>0</v>
      </c>
    </row>
    <row r="366">
      <c r="A366" s="32" t="n"/>
      <c r="B366" s="23">
        <f>IF(A366="","",IFERROR(INDEX(Casos!$B$5:$B$204,MATCH(A366,Casos!$A$5:$A$204,0)),""))</f>
        <v/>
      </c>
      <c r="C366" s="34" t="n"/>
      <c r="D366" s="37" t="n"/>
      <c r="E366" s="36" t="n"/>
      <c r="F366" s="34" t="n"/>
      <c r="G366" s="37" t="n"/>
      <c r="H366" s="24">
        <f>IF(A366="","",IF(F366="Sim","Paga",IF(D366="","Sem vencimento",IF(D366&lt;Config!$B$5,"Vencida","A vencer"))))</f>
        <v/>
      </c>
      <c r="I366" s="30">
        <f>IF(H366="Vencida",Config!$B$5-D366,"")</f>
        <v/>
      </c>
      <c r="J366" s="30">
        <f>IF(H366="A vencer",D366-Config!$B$5,"")</f>
        <v/>
      </c>
      <c r="K366" s="24">
        <f>IF(H366&lt;&gt;"Vencida","",IF(COUNTIF(Config!$A$10:$A$13,"&lt;="&amp;I366)=0,"Antes da régua",INDEX(Config!$C$10:$C$13,COUNTIF(Config!$A$10:$A$13,"&lt;="&amp;I366))))</f>
        <v/>
      </c>
      <c r="L366" s="23">
        <f>IF(H366&lt;&gt;"Vencida","",IF(COUNTIF(Config!$A$10:$A$13,"&lt;="&amp;I366)=0,"Aguardar: ainda não chegou ao primeiro passo da régua.",INDEX(Config!$B$10:$B$13,COUNTIF(Config!$A$10:$A$13,"&lt;="&amp;I366))))</f>
        <v/>
      </c>
      <c r="M366" s="38">
        <f>IF(H366="Vencida",E366*I366+ROW()/100000,0)</f>
        <v>0</v>
      </c>
      <c r="N366" s="38">
        <f>IF(AND(H366="A vencer",J366&lt;=Config!$B$7),100000-J366-ROW()/100000,0)</f>
        <v>0</v>
      </c>
    </row>
    <row r="367">
      <c r="A367" s="32" t="n"/>
      <c r="B367" s="23">
        <f>IF(A367="","",IFERROR(INDEX(Casos!$B$5:$B$204,MATCH(A367,Casos!$A$5:$A$204,0)),""))</f>
        <v/>
      </c>
      <c r="C367" s="34" t="n"/>
      <c r="D367" s="37" t="n"/>
      <c r="E367" s="36" t="n"/>
      <c r="F367" s="34" t="n"/>
      <c r="G367" s="37" t="n"/>
      <c r="H367" s="24">
        <f>IF(A367="","",IF(F367="Sim","Paga",IF(D367="","Sem vencimento",IF(D367&lt;Config!$B$5,"Vencida","A vencer"))))</f>
        <v/>
      </c>
      <c r="I367" s="30">
        <f>IF(H367="Vencida",Config!$B$5-D367,"")</f>
        <v/>
      </c>
      <c r="J367" s="30">
        <f>IF(H367="A vencer",D367-Config!$B$5,"")</f>
        <v/>
      </c>
      <c r="K367" s="24">
        <f>IF(H367&lt;&gt;"Vencida","",IF(COUNTIF(Config!$A$10:$A$13,"&lt;="&amp;I367)=0,"Antes da régua",INDEX(Config!$C$10:$C$13,COUNTIF(Config!$A$10:$A$13,"&lt;="&amp;I367))))</f>
        <v/>
      </c>
      <c r="L367" s="23">
        <f>IF(H367&lt;&gt;"Vencida","",IF(COUNTIF(Config!$A$10:$A$13,"&lt;="&amp;I367)=0,"Aguardar: ainda não chegou ao primeiro passo da régua.",INDEX(Config!$B$10:$B$13,COUNTIF(Config!$A$10:$A$13,"&lt;="&amp;I367))))</f>
        <v/>
      </c>
      <c r="M367" s="38">
        <f>IF(H367="Vencida",E367*I367+ROW()/100000,0)</f>
        <v>0</v>
      </c>
      <c r="N367" s="38">
        <f>IF(AND(H367="A vencer",J367&lt;=Config!$B$7),100000-J367-ROW()/100000,0)</f>
        <v>0</v>
      </c>
    </row>
    <row r="368">
      <c r="A368" s="32" t="n"/>
      <c r="B368" s="23">
        <f>IF(A368="","",IFERROR(INDEX(Casos!$B$5:$B$204,MATCH(A368,Casos!$A$5:$A$204,0)),""))</f>
        <v/>
      </c>
      <c r="C368" s="34" t="n"/>
      <c r="D368" s="37" t="n"/>
      <c r="E368" s="36" t="n"/>
      <c r="F368" s="34" t="n"/>
      <c r="G368" s="37" t="n"/>
      <c r="H368" s="24">
        <f>IF(A368="","",IF(F368="Sim","Paga",IF(D368="","Sem vencimento",IF(D368&lt;Config!$B$5,"Vencida","A vencer"))))</f>
        <v/>
      </c>
      <c r="I368" s="30">
        <f>IF(H368="Vencida",Config!$B$5-D368,"")</f>
        <v/>
      </c>
      <c r="J368" s="30">
        <f>IF(H368="A vencer",D368-Config!$B$5,"")</f>
        <v/>
      </c>
      <c r="K368" s="24">
        <f>IF(H368&lt;&gt;"Vencida","",IF(COUNTIF(Config!$A$10:$A$13,"&lt;="&amp;I368)=0,"Antes da régua",INDEX(Config!$C$10:$C$13,COUNTIF(Config!$A$10:$A$13,"&lt;="&amp;I368))))</f>
        <v/>
      </c>
      <c r="L368" s="23">
        <f>IF(H368&lt;&gt;"Vencida","",IF(COUNTIF(Config!$A$10:$A$13,"&lt;="&amp;I368)=0,"Aguardar: ainda não chegou ao primeiro passo da régua.",INDEX(Config!$B$10:$B$13,COUNTIF(Config!$A$10:$A$13,"&lt;="&amp;I368))))</f>
        <v/>
      </c>
      <c r="M368" s="38">
        <f>IF(H368="Vencida",E368*I368+ROW()/100000,0)</f>
        <v>0</v>
      </c>
      <c r="N368" s="38">
        <f>IF(AND(H368="A vencer",J368&lt;=Config!$B$7),100000-J368-ROW()/100000,0)</f>
        <v>0</v>
      </c>
    </row>
    <row r="369">
      <c r="A369" s="32" t="n"/>
      <c r="B369" s="23">
        <f>IF(A369="","",IFERROR(INDEX(Casos!$B$5:$B$204,MATCH(A369,Casos!$A$5:$A$204,0)),""))</f>
        <v/>
      </c>
      <c r="C369" s="34" t="n"/>
      <c r="D369" s="37" t="n"/>
      <c r="E369" s="36" t="n"/>
      <c r="F369" s="34" t="n"/>
      <c r="G369" s="37" t="n"/>
      <c r="H369" s="24">
        <f>IF(A369="","",IF(F369="Sim","Paga",IF(D369="","Sem vencimento",IF(D369&lt;Config!$B$5,"Vencida","A vencer"))))</f>
        <v/>
      </c>
      <c r="I369" s="30">
        <f>IF(H369="Vencida",Config!$B$5-D369,"")</f>
        <v/>
      </c>
      <c r="J369" s="30">
        <f>IF(H369="A vencer",D369-Config!$B$5,"")</f>
        <v/>
      </c>
      <c r="K369" s="24">
        <f>IF(H369&lt;&gt;"Vencida","",IF(COUNTIF(Config!$A$10:$A$13,"&lt;="&amp;I369)=0,"Antes da régua",INDEX(Config!$C$10:$C$13,COUNTIF(Config!$A$10:$A$13,"&lt;="&amp;I369))))</f>
        <v/>
      </c>
      <c r="L369" s="23">
        <f>IF(H369&lt;&gt;"Vencida","",IF(COUNTIF(Config!$A$10:$A$13,"&lt;="&amp;I369)=0,"Aguardar: ainda não chegou ao primeiro passo da régua.",INDEX(Config!$B$10:$B$13,COUNTIF(Config!$A$10:$A$13,"&lt;="&amp;I369))))</f>
        <v/>
      </c>
      <c r="M369" s="38">
        <f>IF(H369="Vencida",E369*I369+ROW()/100000,0)</f>
        <v>0</v>
      </c>
      <c r="N369" s="38">
        <f>IF(AND(H369="A vencer",J369&lt;=Config!$B$7),100000-J369-ROW()/100000,0)</f>
        <v>0</v>
      </c>
    </row>
    <row r="370">
      <c r="A370" s="32" t="n"/>
      <c r="B370" s="23">
        <f>IF(A370="","",IFERROR(INDEX(Casos!$B$5:$B$204,MATCH(A370,Casos!$A$5:$A$204,0)),""))</f>
        <v/>
      </c>
      <c r="C370" s="34" t="n"/>
      <c r="D370" s="37" t="n"/>
      <c r="E370" s="36" t="n"/>
      <c r="F370" s="34" t="n"/>
      <c r="G370" s="37" t="n"/>
      <c r="H370" s="24">
        <f>IF(A370="","",IF(F370="Sim","Paga",IF(D370="","Sem vencimento",IF(D370&lt;Config!$B$5,"Vencida","A vencer"))))</f>
        <v/>
      </c>
      <c r="I370" s="30">
        <f>IF(H370="Vencida",Config!$B$5-D370,"")</f>
        <v/>
      </c>
      <c r="J370" s="30">
        <f>IF(H370="A vencer",D370-Config!$B$5,"")</f>
        <v/>
      </c>
      <c r="K370" s="24">
        <f>IF(H370&lt;&gt;"Vencida","",IF(COUNTIF(Config!$A$10:$A$13,"&lt;="&amp;I370)=0,"Antes da régua",INDEX(Config!$C$10:$C$13,COUNTIF(Config!$A$10:$A$13,"&lt;="&amp;I370))))</f>
        <v/>
      </c>
      <c r="L370" s="23">
        <f>IF(H370&lt;&gt;"Vencida","",IF(COUNTIF(Config!$A$10:$A$13,"&lt;="&amp;I370)=0,"Aguardar: ainda não chegou ao primeiro passo da régua.",INDEX(Config!$B$10:$B$13,COUNTIF(Config!$A$10:$A$13,"&lt;="&amp;I370))))</f>
        <v/>
      </c>
      <c r="M370" s="38">
        <f>IF(H370="Vencida",E370*I370+ROW()/100000,0)</f>
        <v>0</v>
      </c>
      <c r="N370" s="38">
        <f>IF(AND(H370="A vencer",J370&lt;=Config!$B$7),100000-J370-ROW()/100000,0)</f>
        <v>0</v>
      </c>
    </row>
    <row r="371">
      <c r="A371" s="32" t="n"/>
      <c r="B371" s="23">
        <f>IF(A371="","",IFERROR(INDEX(Casos!$B$5:$B$204,MATCH(A371,Casos!$A$5:$A$204,0)),""))</f>
        <v/>
      </c>
      <c r="C371" s="34" t="n"/>
      <c r="D371" s="37" t="n"/>
      <c r="E371" s="36" t="n"/>
      <c r="F371" s="34" t="n"/>
      <c r="G371" s="37" t="n"/>
      <c r="H371" s="24">
        <f>IF(A371="","",IF(F371="Sim","Paga",IF(D371="","Sem vencimento",IF(D371&lt;Config!$B$5,"Vencida","A vencer"))))</f>
        <v/>
      </c>
      <c r="I371" s="30">
        <f>IF(H371="Vencida",Config!$B$5-D371,"")</f>
        <v/>
      </c>
      <c r="J371" s="30">
        <f>IF(H371="A vencer",D371-Config!$B$5,"")</f>
        <v/>
      </c>
      <c r="K371" s="24">
        <f>IF(H371&lt;&gt;"Vencida","",IF(COUNTIF(Config!$A$10:$A$13,"&lt;="&amp;I371)=0,"Antes da régua",INDEX(Config!$C$10:$C$13,COUNTIF(Config!$A$10:$A$13,"&lt;="&amp;I371))))</f>
        <v/>
      </c>
      <c r="L371" s="23">
        <f>IF(H371&lt;&gt;"Vencida","",IF(COUNTIF(Config!$A$10:$A$13,"&lt;="&amp;I371)=0,"Aguardar: ainda não chegou ao primeiro passo da régua.",INDEX(Config!$B$10:$B$13,COUNTIF(Config!$A$10:$A$13,"&lt;="&amp;I371))))</f>
        <v/>
      </c>
      <c r="M371" s="38">
        <f>IF(H371="Vencida",E371*I371+ROW()/100000,0)</f>
        <v>0</v>
      </c>
      <c r="N371" s="38">
        <f>IF(AND(H371="A vencer",J371&lt;=Config!$B$7),100000-J371-ROW()/100000,0)</f>
        <v>0</v>
      </c>
    </row>
    <row r="372">
      <c r="A372" s="32" t="n"/>
      <c r="B372" s="23">
        <f>IF(A372="","",IFERROR(INDEX(Casos!$B$5:$B$204,MATCH(A372,Casos!$A$5:$A$204,0)),""))</f>
        <v/>
      </c>
      <c r="C372" s="34" t="n"/>
      <c r="D372" s="37" t="n"/>
      <c r="E372" s="36" t="n"/>
      <c r="F372" s="34" t="n"/>
      <c r="G372" s="37" t="n"/>
      <c r="H372" s="24">
        <f>IF(A372="","",IF(F372="Sim","Paga",IF(D372="","Sem vencimento",IF(D372&lt;Config!$B$5,"Vencida","A vencer"))))</f>
        <v/>
      </c>
      <c r="I372" s="30">
        <f>IF(H372="Vencida",Config!$B$5-D372,"")</f>
        <v/>
      </c>
      <c r="J372" s="30">
        <f>IF(H372="A vencer",D372-Config!$B$5,"")</f>
        <v/>
      </c>
      <c r="K372" s="24">
        <f>IF(H372&lt;&gt;"Vencida","",IF(COUNTIF(Config!$A$10:$A$13,"&lt;="&amp;I372)=0,"Antes da régua",INDEX(Config!$C$10:$C$13,COUNTIF(Config!$A$10:$A$13,"&lt;="&amp;I372))))</f>
        <v/>
      </c>
      <c r="L372" s="23">
        <f>IF(H372&lt;&gt;"Vencida","",IF(COUNTIF(Config!$A$10:$A$13,"&lt;="&amp;I372)=0,"Aguardar: ainda não chegou ao primeiro passo da régua.",INDEX(Config!$B$10:$B$13,COUNTIF(Config!$A$10:$A$13,"&lt;="&amp;I372))))</f>
        <v/>
      </c>
      <c r="M372" s="38">
        <f>IF(H372="Vencida",E372*I372+ROW()/100000,0)</f>
        <v>0</v>
      </c>
      <c r="N372" s="38">
        <f>IF(AND(H372="A vencer",J372&lt;=Config!$B$7),100000-J372-ROW()/100000,0)</f>
        <v>0</v>
      </c>
    </row>
    <row r="373">
      <c r="A373" s="32" t="n"/>
      <c r="B373" s="23">
        <f>IF(A373="","",IFERROR(INDEX(Casos!$B$5:$B$204,MATCH(A373,Casos!$A$5:$A$204,0)),""))</f>
        <v/>
      </c>
      <c r="C373" s="34" t="n"/>
      <c r="D373" s="37" t="n"/>
      <c r="E373" s="36" t="n"/>
      <c r="F373" s="34" t="n"/>
      <c r="G373" s="37" t="n"/>
      <c r="H373" s="24">
        <f>IF(A373="","",IF(F373="Sim","Paga",IF(D373="","Sem vencimento",IF(D373&lt;Config!$B$5,"Vencida","A vencer"))))</f>
        <v/>
      </c>
      <c r="I373" s="30">
        <f>IF(H373="Vencida",Config!$B$5-D373,"")</f>
        <v/>
      </c>
      <c r="J373" s="30">
        <f>IF(H373="A vencer",D373-Config!$B$5,"")</f>
        <v/>
      </c>
      <c r="K373" s="24">
        <f>IF(H373&lt;&gt;"Vencida","",IF(COUNTIF(Config!$A$10:$A$13,"&lt;="&amp;I373)=0,"Antes da régua",INDEX(Config!$C$10:$C$13,COUNTIF(Config!$A$10:$A$13,"&lt;="&amp;I373))))</f>
        <v/>
      </c>
      <c r="L373" s="23">
        <f>IF(H373&lt;&gt;"Vencida","",IF(COUNTIF(Config!$A$10:$A$13,"&lt;="&amp;I373)=0,"Aguardar: ainda não chegou ao primeiro passo da régua.",INDEX(Config!$B$10:$B$13,COUNTIF(Config!$A$10:$A$13,"&lt;="&amp;I373))))</f>
        <v/>
      </c>
      <c r="M373" s="38">
        <f>IF(H373="Vencida",E373*I373+ROW()/100000,0)</f>
        <v>0</v>
      </c>
      <c r="N373" s="38">
        <f>IF(AND(H373="A vencer",J373&lt;=Config!$B$7),100000-J373-ROW()/100000,0)</f>
        <v>0</v>
      </c>
    </row>
    <row r="374">
      <c r="A374" s="32" t="n"/>
      <c r="B374" s="23">
        <f>IF(A374="","",IFERROR(INDEX(Casos!$B$5:$B$204,MATCH(A374,Casos!$A$5:$A$204,0)),""))</f>
        <v/>
      </c>
      <c r="C374" s="34" t="n"/>
      <c r="D374" s="37" t="n"/>
      <c r="E374" s="36" t="n"/>
      <c r="F374" s="34" t="n"/>
      <c r="G374" s="37" t="n"/>
      <c r="H374" s="24">
        <f>IF(A374="","",IF(F374="Sim","Paga",IF(D374="","Sem vencimento",IF(D374&lt;Config!$B$5,"Vencida","A vencer"))))</f>
        <v/>
      </c>
      <c r="I374" s="30">
        <f>IF(H374="Vencida",Config!$B$5-D374,"")</f>
        <v/>
      </c>
      <c r="J374" s="30">
        <f>IF(H374="A vencer",D374-Config!$B$5,"")</f>
        <v/>
      </c>
      <c r="K374" s="24">
        <f>IF(H374&lt;&gt;"Vencida","",IF(COUNTIF(Config!$A$10:$A$13,"&lt;="&amp;I374)=0,"Antes da régua",INDEX(Config!$C$10:$C$13,COUNTIF(Config!$A$10:$A$13,"&lt;="&amp;I374))))</f>
        <v/>
      </c>
      <c r="L374" s="23">
        <f>IF(H374&lt;&gt;"Vencida","",IF(COUNTIF(Config!$A$10:$A$13,"&lt;="&amp;I374)=0,"Aguardar: ainda não chegou ao primeiro passo da régua.",INDEX(Config!$B$10:$B$13,COUNTIF(Config!$A$10:$A$13,"&lt;="&amp;I374))))</f>
        <v/>
      </c>
      <c r="M374" s="38">
        <f>IF(H374="Vencida",E374*I374+ROW()/100000,0)</f>
        <v>0</v>
      </c>
      <c r="N374" s="38">
        <f>IF(AND(H374="A vencer",J374&lt;=Config!$B$7),100000-J374-ROW()/100000,0)</f>
        <v>0</v>
      </c>
    </row>
    <row r="375">
      <c r="A375" s="32" t="n"/>
      <c r="B375" s="23">
        <f>IF(A375="","",IFERROR(INDEX(Casos!$B$5:$B$204,MATCH(A375,Casos!$A$5:$A$204,0)),""))</f>
        <v/>
      </c>
      <c r="C375" s="34" t="n"/>
      <c r="D375" s="37" t="n"/>
      <c r="E375" s="36" t="n"/>
      <c r="F375" s="34" t="n"/>
      <c r="G375" s="37" t="n"/>
      <c r="H375" s="24">
        <f>IF(A375="","",IF(F375="Sim","Paga",IF(D375="","Sem vencimento",IF(D375&lt;Config!$B$5,"Vencida","A vencer"))))</f>
        <v/>
      </c>
      <c r="I375" s="30">
        <f>IF(H375="Vencida",Config!$B$5-D375,"")</f>
        <v/>
      </c>
      <c r="J375" s="30">
        <f>IF(H375="A vencer",D375-Config!$B$5,"")</f>
        <v/>
      </c>
      <c r="K375" s="24">
        <f>IF(H375&lt;&gt;"Vencida","",IF(COUNTIF(Config!$A$10:$A$13,"&lt;="&amp;I375)=0,"Antes da régua",INDEX(Config!$C$10:$C$13,COUNTIF(Config!$A$10:$A$13,"&lt;="&amp;I375))))</f>
        <v/>
      </c>
      <c r="L375" s="23">
        <f>IF(H375&lt;&gt;"Vencida","",IF(COUNTIF(Config!$A$10:$A$13,"&lt;="&amp;I375)=0,"Aguardar: ainda não chegou ao primeiro passo da régua.",INDEX(Config!$B$10:$B$13,COUNTIF(Config!$A$10:$A$13,"&lt;="&amp;I375))))</f>
        <v/>
      </c>
      <c r="M375" s="38">
        <f>IF(H375="Vencida",E375*I375+ROW()/100000,0)</f>
        <v>0</v>
      </c>
      <c r="N375" s="38">
        <f>IF(AND(H375="A vencer",J375&lt;=Config!$B$7),100000-J375-ROW()/100000,0)</f>
        <v>0</v>
      </c>
    </row>
    <row r="376">
      <c r="A376" s="32" t="n"/>
      <c r="B376" s="23">
        <f>IF(A376="","",IFERROR(INDEX(Casos!$B$5:$B$204,MATCH(A376,Casos!$A$5:$A$204,0)),""))</f>
        <v/>
      </c>
      <c r="C376" s="34" t="n"/>
      <c r="D376" s="37" t="n"/>
      <c r="E376" s="36" t="n"/>
      <c r="F376" s="34" t="n"/>
      <c r="G376" s="37" t="n"/>
      <c r="H376" s="24">
        <f>IF(A376="","",IF(F376="Sim","Paga",IF(D376="","Sem vencimento",IF(D376&lt;Config!$B$5,"Vencida","A vencer"))))</f>
        <v/>
      </c>
      <c r="I376" s="30">
        <f>IF(H376="Vencida",Config!$B$5-D376,"")</f>
        <v/>
      </c>
      <c r="J376" s="30">
        <f>IF(H376="A vencer",D376-Config!$B$5,"")</f>
        <v/>
      </c>
      <c r="K376" s="24">
        <f>IF(H376&lt;&gt;"Vencida","",IF(COUNTIF(Config!$A$10:$A$13,"&lt;="&amp;I376)=0,"Antes da régua",INDEX(Config!$C$10:$C$13,COUNTIF(Config!$A$10:$A$13,"&lt;="&amp;I376))))</f>
        <v/>
      </c>
      <c r="L376" s="23">
        <f>IF(H376&lt;&gt;"Vencida","",IF(COUNTIF(Config!$A$10:$A$13,"&lt;="&amp;I376)=0,"Aguardar: ainda não chegou ao primeiro passo da régua.",INDEX(Config!$B$10:$B$13,COUNTIF(Config!$A$10:$A$13,"&lt;="&amp;I376))))</f>
        <v/>
      </c>
      <c r="M376" s="38">
        <f>IF(H376="Vencida",E376*I376+ROW()/100000,0)</f>
        <v>0</v>
      </c>
      <c r="N376" s="38">
        <f>IF(AND(H376="A vencer",J376&lt;=Config!$B$7),100000-J376-ROW()/100000,0)</f>
        <v>0</v>
      </c>
    </row>
    <row r="377">
      <c r="A377" s="32" t="n"/>
      <c r="B377" s="23">
        <f>IF(A377="","",IFERROR(INDEX(Casos!$B$5:$B$204,MATCH(A377,Casos!$A$5:$A$204,0)),""))</f>
        <v/>
      </c>
      <c r="C377" s="34" t="n"/>
      <c r="D377" s="37" t="n"/>
      <c r="E377" s="36" t="n"/>
      <c r="F377" s="34" t="n"/>
      <c r="G377" s="37" t="n"/>
      <c r="H377" s="24">
        <f>IF(A377="","",IF(F377="Sim","Paga",IF(D377="","Sem vencimento",IF(D377&lt;Config!$B$5,"Vencida","A vencer"))))</f>
        <v/>
      </c>
      <c r="I377" s="30">
        <f>IF(H377="Vencida",Config!$B$5-D377,"")</f>
        <v/>
      </c>
      <c r="J377" s="30">
        <f>IF(H377="A vencer",D377-Config!$B$5,"")</f>
        <v/>
      </c>
      <c r="K377" s="24">
        <f>IF(H377&lt;&gt;"Vencida","",IF(COUNTIF(Config!$A$10:$A$13,"&lt;="&amp;I377)=0,"Antes da régua",INDEX(Config!$C$10:$C$13,COUNTIF(Config!$A$10:$A$13,"&lt;="&amp;I377))))</f>
        <v/>
      </c>
      <c r="L377" s="23">
        <f>IF(H377&lt;&gt;"Vencida","",IF(COUNTIF(Config!$A$10:$A$13,"&lt;="&amp;I377)=0,"Aguardar: ainda não chegou ao primeiro passo da régua.",INDEX(Config!$B$10:$B$13,COUNTIF(Config!$A$10:$A$13,"&lt;="&amp;I377))))</f>
        <v/>
      </c>
      <c r="M377" s="38">
        <f>IF(H377="Vencida",E377*I377+ROW()/100000,0)</f>
        <v>0</v>
      </c>
      <c r="N377" s="38">
        <f>IF(AND(H377="A vencer",J377&lt;=Config!$B$7),100000-J377-ROW()/100000,0)</f>
        <v>0</v>
      </c>
    </row>
    <row r="378">
      <c r="A378" s="32" t="n"/>
      <c r="B378" s="23">
        <f>IF(A378="","",IFERROR(INDEX(Casos!$B$5:$B$204,MATCH(A378,Casos!$A$5:$A$204,0)),""))</f>
        <v/>
      </c>
      <c r="C378" s="34" t="n"/>
      <c r="D378" s="37" t="n"/>
      <c r="E378" s="36" t="n"/>
      <c r="F378" s="34" t="n"/>
      <c r="G378" s="37" t="n"/>
      <c r="H378" s="24">
        <f>IF(A378="","",IF(F378="Sim","Paga",IF(D378="","Sem vencimento",IF(D378&lt;Config!$B$5,"Vencida","A vencer"))))</f>
        <v/>
      </c>
      <c r="I378" s="30">
        <f>IF(H378="Vencida",Config!$B$5-D378,"")</f>
        <v/>
      </c>
      <c r="J378" s="30">
        <f>IF(H378="A vencer",D378-Config!$B$5,"")</f>
        <v/>
      </c>
      <c r="K378" s="24">
        <f>IF(H378&lt;&gt;"Vencida","",IF(COUNTIF(Config!$A$10:$A$13,"&lt;="&amp;I378)=0,"Antes da régua",INDEX(Config!$C$10:$C$13,COUNTIF(Config!$A$10:$A$13,"&lt;="&amp;I378))))</f>
        <v/>
      </c>
      <c r="L378" s="23">
        <f>IF(H378&lt;&gt;"Vencida","",IF(COUNTIF(Config!$A$10:$A$13,"&lt;="&amp;I378)=0,"Aguardar: ainda não chegou ao primeiro passo da régua.",INDEX(Config!$B$10:$B$13,COUNTIF(Config!$A$10:$A$13,"&lt;="&amp;I378))))</f>
        <v/>
      </c>
      <c r="M378" s="38">
        <f>IF(H378="Vencida",E378*I378+ROW()/100000,0)</f>
        <v>0</v>
      </c>
      <c r="N378" s="38">
        <f>IF(AND(H378="A vencer",J378&lt;=Config!$B$7),100000-J378-ROW()/100000,0)</f>
        <v>0</v>
      </c>
    </row>
    <row r="379">
      <c r="A379" s="32" t="n"/>
      <c r="B379" s="23">
        <f>IF(A379="","",IFERROR(INDEX(Casos!$B$5:$B$204,MATCH(A379,Casos!$A$5:$A$204,0)),""))</f>
        <v/>
      </c>
      <c r="C379" s="34" t="n"/>
      <c r="D379" s="37" t="n"/>
      <c r="E379" s="36" t="n"/>
      <c r="F379" s="34" t="n"/>
      <c r="G379" s="37" t="n"/>
      <c r="H379" s="24">
        <f>IF(A379="","",IF(F379="Sim","Paga",IF(D379="","Sem vencimento",IF(D379&lt;Config!$B$5,"Vencida","A vencer"))))</f>
        <v/>
      </c>
      <c r="I379" s="30">
        <f>IF(H379="Vencida",Config!$B$5-D379,"")</f>
        <v/>
      </c>
      <c r="J379" s="30">
        <f>IF(H379="A vencer",D379-Config!$B$5,"")</f>
        <v/>
      </c>
      <c r="K379" s="24">
        <f>IF(H379&lt;&gt;"Vencida","",IF(COUNTIF(Config!$A$10:$A$13,"&lt;="&amp;I379)=0,"Antes da régua",INDEX(Config!$C$10:$C$13,COUNTIF(Config!$A$10:$A$13,"&lt;="&amp;I379))))</f>
        <v/>
      </c>
      <c r="L379" s="23">
        <f>IF(H379&lt;&gt;"Vencida","",IF(COUNTIF(Config!$A$10:$A$13,"&lt;="&amp;I379)=0,"Aguardar: ainda não chegou ao primeiro passo da régua.",INDEX(Config!$B$10:$B$13,COUNTIF(Config!$A$10:$A$13,"&lt;="&amp;I379))))</f>
        <v/>
      </c>
      <c r="M379" s="38">
        <f>IF(H379="Vencida",E379*I379+ROW()/100000,0)</f>
        <v>0</v>
      </c>
      <c r="N379" s="38">
        <f>IF(AND(H379="A vencer",J379&lt;=Config!$B$7),100000-J379-ROW()/100000,0)</f>
        <v>0</v>
      </c>
    </row>
    <row r="380">
      <c r="A380" s="32" t="n"/>
      <c r="B380" s="23">
        <f>IF(A380="","",IFERROR(INDEX(Casos!$B$5:$B$204,MATCH(A380,Casos!$A$5:$A$204,0)),""))</f>
        <v/>
      </c>
      <c r="C380" s="34" t="n"/>
      <c r="D380" s="37" t="n"/>
      <c r="E380" s="36" t="n"/>
      <c r="F380" s="34" t="n"/>
      <c r="G380" s="37" t="n"/>
      <c r="H380" s="24">
        <f>IF(A380="","",IF(F380="Sim","Paga",IF(D380="","Sem vencimento",IF(D380&lt;Config!$B$5,"Vencida","A vencer"))))</f>
        <v/>
      </c>
      <c r="I380" s="30">
        <f>IF(H380="Vencida",Config!$B$5-D380,"")</f>
        <v/>
      </c>
      <c r="J380" s="30">
        <f>IF(H380="A vencer",D380-Config!$B$5,"")</f>
        <v/>
      </c>
      <c r="K380" s="24">
        <f>IF(H380&lt;&gt;"Vencida","",IF(COUNTIF(Config!$A$10:$A$13,"&lt;="&amp;I380)=0,"Antes da régua",INDEX(Config!$C$10:$C$13,COUNTIF(Config!$A$10:$A$13,"&lt;="&amp;I380))))</f>
        <v/>
      </c>
      <c r="L380" s="23">
        <f>IF(H380&lt;&gt;"Vencida","",IF(COUNTIF(Config!$A$10:$A$13,"&lt;="&amp;I380)=0,"Aguardar: ainda não chegou ao primeiro passo da régua.",INDEX(Config!$B$10:$B$13,COUNTIF(Config!$A$10:$A$13,"&lt;="&amp;I380))))</f>
        <v/>
      </c>
      <c r="M380" s="38">
        <f>IF(H380="Vencida",E380*I380+ROW()/100000,0)</f>
        <v>0</v>
      </c>
      <c r="N380" s="38">
        <f>IF(AND(H380="A vencer",J380&lt;=Config!$B$7),100000-J380-ROW()/100000,0)</f>
        <v>0</v>
      </c>
    </row>
    <row r="381">
      <c r="A381" s="32" t="n"/>
      <c r="B381" s="23">
        <f>IF(A381="","",IFERROR(INDEX(Casos!$B$5:$B$204,MATCH(A381,Casos!$A$5:$A$204,0)),""))</f>
        <v/>
      </c>
      <c r="C381" s="34" t="n"/>
      <c r="D381" s="37" t="n"/>
      <c r="E381" s="36" t="n"/>
      <c r="F381" s="34" t="n"/>
      <c r="G381" s="37" t="n"/>
      <c r="H381" s="24">
        <f>IF(A381="","",IF(F381="Sim","Paga",IF(D381="","Sem vencimento",IF(D381&lt;Config!$B$5,"Vencida","A vencer"))))</f>
        <v/>
      </c>
      <c r="I381" s="30">
        <f>IF(H381="Vencida",Config!$B$5-D381,"")</f>
        <v/>
      </c>
      <c r="J381" s="30">
        <f>IF(H381="A vencer",D381-Config!$B$5,"")</f>
        <v/>
      </c>
      <c r="K381" s="24">
        <f>IF(H381&lt;&gt;"Vencida","",IF(COUNTIF(Config!$A$10:$A$13,"&lt;="&amp;I381)=0,"Antes da régua",INDEX(Config!$C$10:$C$13,COUNTIF(Config!$A$10:$A$13,"&lt;="&amp;I381))))</f>
        <v/>
      </c>
      <c r="L381" s="23">
        <f>IF(H381&lt;&gt;"Vencida","",IF(COUNTIF(Config!$A$10:$A$13,"&lt;="&amp;I381)=0,"Aguardar: ainda não chegou ao primeiro passo da régua.",INDEX(Config!$B$10:$B$13,COUNTIF(Config!$A$10:$A$13,"&lt;="&amp;I381))))</f>
        <v/>
      </c>
      <c r="M381" s="38">
        <f>IF(H381="Vencida",E381*I381+ROW()/100000,0)</f>
        <v>0</v>
      </c>
      <c r="N381" s="38">
        <f>IF(AND(H381="A vencer",J381&lt;=Config!$B$7),100000-J381-ROW()/100000,0)</f>
        <v>0</v>
      </c>
    </row>
    <row r="382">
      <c r="A382" s="32" t="n"/>
      <c r="B382" s="23">
        <f>IF(A382="","",IFERROR(INDEX(Casos!$B$5:$B$204,MATCH(A382,Casos!$A$5:$A$204,0)),""))</f>
        <v/>
      </c>
      <c r="C382" s="34" t="n"/>
      <c r="D382" s="37" t="n"/>
      <c r="E382" s="36" t="n"/>
      <c r="F382" s="34" t="n"/>
      <c r="G382" s="37" t="n"/>
      <c r="H382" s="24">
        <f>IF(A382="","",IF(F382="Sim","Paga",IF(D382="","Sem vencimento",IF(D382&lt;Config!$B$5,"Vencida","A vencer"))))</f>
        <v/>
      </c>
      <c r="I382" s="30">
        <f>IF(H382="Vencida",Config!$B$5-D382,"")</f>
        <v/>
      </c>
      <c r="J382" s="30">
        <f>IF(H382="A vencer",D382-Config!$B$5,"")</f>
        <v/>
      </c>
      <c r="K382" s="24">
        <f>IF(H382&lt;&gt;"Vencida","",IF(COUNTIF(Config!$A$10:$A$13,"&lt;="&amp;I382)=0,"Antes da régua",INDEX(Config!$C$10:$C$13,COUNTIF(Config!$A$10:$A$13,"&lt;="&amp;I382))))</f>
        <v/>
      </c>
      <c r="L382" s="23">
        <f>IF(H382&lt;&gt;"Vencida","",IF(COUNTIF(Config!$A$10:$A$13,"&lt;="&amp;I382)=0,"Aguardar: ainda não chegou ao primeiro passo da régua.",INDEX(Config!$B$10:$B$13,COUNTIF(Config!$A$10:$A$13,"&lt;="&amp;I382))))</f>
        <v/>
      </c>
      <c r="M382" s="38">
        <f>IF(H382="Vencida",E382*I382+ROW()/100000,0)</f>
        <v>0</v>
      </c>
      <c r="N382" s="38">
        <f>IF(AND(H382="A vencer",J382&lt;=Config!$B$7),100000-J382-ROW()/100000,0)</f>
        <v>0</v>
      </c>
    </row>
    <row r="383">
      <c r="A383" s="32" t="n"/>
      <c r="B383" s="23">
        <f>IF(A383="","",IFERROR(INDEX(Casos!$B$5:$B$204,MATCH(A383,Casos!$A$5:$A$204,0)),""))</f>
        <v/>
      </c>
      <c r="C383" s="34" t="n"/>
      <c r="D383" s="37" t="n"/>
      <c r="E383" s="36" t="n"/>
      <c r="F383" s="34" t="n"/>
      <c r="G383" s="37" t="n"/>
      <c r="H383" s="24">
        <f>IF(A383="","",IF(F383="Sim","Paga",IF(D383="","Sem vencimento",IF(D383&lt;Config!$B$5,"Vencida","A vencer"))))</f>
        <v/>
      </c>
      <c r="I383" s="30">
        <f>IF(H383="Vencida",Config!$B$5-D383,"")</f>
        <v/>
      </c>
      <c r="J383" s="30">
        <f>IF(H383="A vencer",D383-Config!$B$5,"")</f>
        <v/>
      </c>
      <c r="K383" s="24">
        <f>IF(H383&lt;&gt;"Vencida","",IF(COUNTIF(Config!$A$10:$A$13,"&lt;="&amp;I383)=0,"Antes da régua",INDEX(Config!$C$10:$C$13,COUNTIF(Config!$A$10:$A$13,"&lt;="&amp;I383))))</f>
        <v/>
      </c>
      <c r="L383" s="23">
        <f>IF(H383&lt;&gt;"Vencida","",IF(COUNTIF(Config!$A$10:$A$13,"&lt;="&amp;I383)=0,"Aguardar: ainda não chegou ao primeiro passo da régua.",INDEX(Config!$B$10:$B$13,COUNTIF(Config!$A$10:$A$13,"&lt;="&amp;I383))))</f>
        <v/>
      </c>
      <c r="M383" s="38">
        <f>IF(H383="Vencida",E383*I383+ROW()/100000,0)</f>
        <v>0</v>
      </c>
      <c r="N383" s="38">
        <f>IF(AND(H383="A vencer",J383&lt;=Config!$B$7),100000-J383-ROW()/100000,0)</f>
        <v>0</v>
      </c>
    </row>
    <row r="384">
      <c r="A384" s="32" t="n"/>
      <c r="B384" s="23">
        <f>IF(A384="","",IFERROR(INDEX(Casos!$B$5:$B$204,MATCH(A384,Casos!$A$5:$A$204,0)),""))</f>
        <v/>
      </c>
      <c r="C384" s="34" t="n"/>
      <c r="D384" s="37" t="n"/>
      <c r="E384" s="36" t="n"/>
      <c r="F384" s="34" t="n"/>
      <c r="G384" s="37" t="n"/>
      <c r="H384" s="24">
        <f>IF(A384="","",IF(F384="Sim","Paga",IF(D384="","Sem vencimento",IF(D384&lt;Config!$B$5,"Vencida","A vencer"))))</f>
        <v/>
      </c>
      <c r="I384" s="30">
        <f>IF(H384="Vencida",Config!$B$5-D384,"")</f>
        <v/>
      </c>
      <c r="J384" s="30">
        <f>IF(H384="A vencer",D384-Config!$B$5,"")</f>
        <v/>
      </c>
      <c r="K384" s="24">
        <f>IF(H384&lt;&gt;"Vencida","",IF(COUNTIF(Config!$A$10:$A$13,"&lt;="&amp;I384)=0,"Antes da régua",INDEX(Config!$C$10:$C$13,COUNTIF(Config!$A$10:$A$13,"&lt;="&amp;I384))))</f>
        <v/>
      </c>
      <c r="L384" s="23">
        <f>IF(H384&lt;&gt;"Vencida","",IF(COUNTIF(Config!$A$10:$A$13,"&lt;="&amp;I384)=0,"Aguardar: ainda não chegou ao primeiro passo da régua.",INDEX(Config!$B$10:$B$13,COUNTIF(Config!$A$10:$A$13,"&lt;="&amp;I384))))</f>
        <v/>
      </c>
      <c r="M384" s="38">
        <f>IF(H384="Vencida",E384*I384+ROW()/100000,0)</f>
        <v>0</v>
      </c>
      <c r="N384" s="38">
        <f>IF(AND(H384="A vencer",J384&lt;=Config!$B$7),100000-J384-ROW()/100000,0)</f>
        <v>0</v>
      </c>
    </row>
    <row r="385">
      <c r="A385" s="32" t="n"/>
      <c r="B385" s="23">
        <f>IF(A385="","",IFERROR(INDEX(Casos!$B$5:$B$204,MATCH(A385,Casos!$A$5:$A$204,0)),""))</f>
        <v/>
      </c>
      <c r="C385" s="34" t="n"/>
      <c r="D385" s="37" t="n"/>
      <c r="E385" s="36" t="n"/>
      <c r="F385" s="34" t="n"/>
      <c r="G385" s="37" t="n"/>
      <c r="H385" s="24">
        <f>IF(A385="","",IF(F385="Sim","Paga",IF(D385="","Sem vencimento",IF(D385&lt;Config!$B$5,"Vencida","A vencer"))))</f>
        <v/>
      </c>
      <c r="I385" s="30">
        <f>IF(H385="Vencida",Config!$B$5-D385,"")</f>
        <v/>
      </c>
      <c r="J385" s="30">
        <f>IF(H385="A vencer",D385-Config!$B$5,"")</f>
        <v/>
      </c>
      <c r="K385" s="24">
        <f>IF(H385&lt;&gt;"Vencida","",IF(COUNTIF(Config!$A$10:$A$13,"&lt;="&amp;I385)=0,"Antes da régua",INDEX(Config!$C$10:$C$13,COUNTIF(Config!$A$10:$A$13,"&lt;="&amp;I385))))</f>
        <v/>
      </c>
      <c r="L385" s="23">
        <f>IF(H385&lt;&gt;"Vencida","",IF(COUNTIF(Config!$A$10:$A$13,"&lt;="&amp;I385)=0,"Aguardar: ainda não chegou ao primeiro passo da régua.",INDEX(Config!$B$10:$B$13,COUNTIF(Config!$A$10:$A$13,"&lt;="&amp;I385))))</f>
        <v/>
      </c>
      <c r="M385" s="38">
        <f>IF(H385="Vencida",E385*I385+ROW()/100000,0)</f>
        <v>0</v>
      </c>
      <c r="N385" s="38">
        <f>IF(AND(H385="A vencer",J385&lt;=Config!$B$7),100000-J385-ROW()/100000,0)</f>
        <v>0</v>
      </c>
    </row>
    <row r="386">
      <c r="A386" s="32" t="n"/>
      <c r="B386" s="23">
        <f>IF(A386="","",IFERROR(INDEX(Casos!$B$5:$B$204,MATCH(A386,Casos!$A$5:$A$204,0)),""))</f>
        <v/>
      </c>
      <c r="C386" s="34" t="n"/>
      <c r="D386" s="37" t="n"/>
      <c r="E386" s="36" t="n"/>
      <c r="F386" s="34" t="n"/>
      <c r="G386" s="37" t="n"/>
      <c r="H386" s="24">
        <f>IF(A386="","",IF(F386="Sim","Paga",IF(D386="","Sem vencimento",IF(D386&lt;Config!$B$5,"Vencida","A vencer"))))</f>
        <v/>
      </c>
      <c r="I386" s="30">
        <f>IF(H386="Vencida",Config!$B$5-D386,"")</f>
        <v/>
      </c>
      <c r="J386" s="30">
        <f>IF(H386="A vencer",D386-Config!$B$5,"")</f>
        <v/>
      </c>
      <c r="K386" s="24">
        <f>IF(H386&lt;&gt;"Vencida","",IF(COUNTIF(Config!$A$10:$A$13,"&lt;="&amp;I386)=0,"Antes da régua",INDEX(Config!$C$10:$C$13,COUNTIF(Config!$A$10:$A$13,"&lt;="&amp;I386))))</f>
        <v/>
      </c>
      <c r="L386" s="23">
        <f>IF(H386&lt;&gt;"Vencida","",IF(COUNTIF(Config!$A$10:$A$13,"&lt;="&amp;I386)=0,"Aguardar: ainda não chegou ao primeiro passo da régua.",INDEX(Config!$B$10:$B$13,COUNTIF(Config!$A$10:$A$13,"&lt;="&amp;I386))))</f>
        <v/>
      </c>
      <c r="M386" s="38">
        <f>IF(H386="Vencida",E386*I386+ROW()/100000,0)</f>
        <v>0</v>
      </c>
      <c r="N386" s="38">
        <f>IF(AND(H386="A vencer",J386&lt;=Config!$B$7),100000-J386-ROW()/100000,0)</f>
        <v>0</v>
      </c>
    </row>
    <row r="387">
      <c r="A387" s="32" t="n"/>
      <c r="B387" s="23">
        <f>IF(A387="","",IFERROR(INDEX(Casos!$B$5:$B$204,MATCH(A387,Casos!$A$5:$A$204,0)),""))</f>
        <v/>
      </c>
      <c r="C387" s="34" t="n"/>
      <c r="D387" s="37" t="n"/>
      <c r="E387" s="36" t="n"/>
      <c r="F387" s="34" t="n"/>
      <c r="G387" s="37" t="n"/>
      <c r="H387" s="24">
        <f>IF(A387="","",IF(F387="Sim","Paga",IF(D387="","Sem vencimento",IF(D387&lt;Config!$B$5,"Vencida","A vencer"))))</f>
        <v/>
      </c>
      <c r="I387" s="30">
        <f>IF(H387="Vencida",Config!$B$5-D387,"")</f>
        <v/>
      </c>
      <c r="J387" s="30">
        <f>IF(H387="A vencer",D387-Config!$B$5,"")</f>
        <v/>
      </c>
      <c r="K387" s="24">
        <f>IF(H387&lt;&gt;"Vencida","",IF(COUNTIF(Config!$A$10:$A$13,"&lt;="&amp;I387)=0,"Antes da régua",INDEX(Config!$C$10:$C$13,COUNTIF(Config!$A$10:$A$13,"&lt;="&amp;I387))))</f>
        <v/>
      </c>
      <c r="L387" s="23">
        <f>IF(H387&lt;&gt;"Vencida","",IF(COUNTIF(Config!$A$10:$A$13,"&lt;="&amp;I387)=0,"Aguardar: ainda não chegou ao primeiro passo da régua.",INDEX(Config!$B$10:$B$13,COUNTIF(Config!$A$10:$A$13,"&lt;="&amp;I387))))</f>
        <v/>
      </c>
      <c r="M387" s="38">
        <f>IF(H387="Vencida",E387*I387+ROW()/100000,0)</f>
        <v>0</v>
      </c>
      <c r="N387" s="38">
        <f>IF(AND(H387="A vencer",J387&lt;=Config!$B$7),100000-J387-ROW()/100000,0)</f>
        <v>0</v>
      </c>
    </row>
    <row r="388">
      <c r="A388" s="32" t="n"/>
      <c r="B388" s="23">
        <f>IF(A388="","",IFERROR(INDEX(Casos!$B$5:$B$204,MATCH(A388,Casos!$A$5:$A$204,0)),""))</f>
        <v/>
      </c>
      <c r="C388" s="34" t="n"/>
      <c r="D388" s="37" t="n"/>
      <c r="E388" s="36" t="n"/>
      <c r="F388" s="34" t="n"/>
      <c r="G388" s="37" t="n"/>
      <c r="H388" s="24">
        <f>IF(A388="","",IF(F388="Sim","Paga",IF(D388="","Sem vencimento",IF(D388&lt;Config!$B$5,"Vencida","A vencer"))))</f>
        <v/>
      </c>
      <c r="I388" s="30">
        <f>IF(H388="Vencida",Config!$B$5-D388,"")</f>
        <v/>
      </c>
      <c r="J388" s="30">
        <f>IF(H388="A vencer",D388-Config!$B$5,"")</f>
        <v/>
      </c>
      <c r="K388" s="24">
        <f>IF(H388&lt;&gt;"Vencida","",IF(COUNTIF(Config!$A$10:$A$13,"&lt;="&amp;I388)=0,"Antes da régua",INDEX(Config!$C$10:$C$13,COUNTIF(Config!$A$10:$A$13,"&lt;="&amp;I388))))</f>
        <v/>
      </c>
      <c r="L388" s="23">
        <f>IF(H388&lt;&gt;"Vencida","",IF(COUNTIF(Config!$A$10:$A$13,"&lt;="&amp;I388)=0,"Aguardar: ainda não chegou ao primeiro passo da régua.",INDEX(Config!$B$10:$B$13,COUNTIF(Config!$A$10:$A$13,"&lt;="&amp;I388))))</f>
        <v/>
      </c>
      <c r="M388" s="38">
        <f>IF(H388="Vencida",E388*I388+ROW()/100000,0)</f>
        <v>0</v>
      </c>
      <c r="N388" s="38">
        <f>IF(AND(H388="A vencer",J388&lt;=Config!$B$7),100000-J388-ROW()/100000,0)</f>
        <v>0</v>
      </c>
    </row>
    <row r="389">
      <c r="A389" s="32" t="n"/>
      <c r="B389" s="23">
        <f>IF(A389="","",IFERROR(INDEX(Casos!$B$5:$B$204,MATCH(A389,Casos!$A$5:$A$204,0)),""))</f>
        <v/>
      </c>
      <c r="C389" s="34" t="n"/>
      <c r="D389" s="37" t="n"/>
      <c r="E389" s="36" t="n"/>
      <c r="F389" s="34" t="n"/>
      <c r="G389" s="37" t="n"/>
      <c r="H389" s="24">
        <f>IF(A389="","",IF(F389="Sim","Paga",IF(D389="","Sem vencimento",IF(D389&lt;Config!$B$5,"Vencida","A vencer"))))</f>
        <v/>
      </c>
      <c r="I389" s="30">
        <f>IF(H389="Vencida",Config!$B$5-D389,"")</f>
        <v/>
      </c>
      <c r="J389" s="30">
        <f>IF(H389="A vencer",D389-Config!$B$5,"")</f>
        <v/>
      </c>
      <c r="K389" s="24">
        <f>IF(H389&lt;&gt;"Vencida","",IF(COUNTIF(Config!$A$10:$A$13,"&lt;="&amp;I389)=0,"Antes da régua",INDEX(Config!$C$10:$C$13,COUNTIF(Config!$A$10:$A$13,"&lt;="&amp;I389))))</f>
        <v/>
      </c>
      <c r="L389" s="23">
        <f>IF(H389&lt;&gt;"Vencida","",IF(COUNTIF(Config!$A$10:$A$13,"&lt;="&amp;I389)=0,"Aguardar: ainda não chegou ao primeiro passo da régua.",INDEX(Config!$B$10:$B$13,COUNTIF(Config!$A$10:$A$13,"&lt;="&amp;I389))))</f>
        <v/>
      </c>
      <c r="M389" s="38">
        <f>IF(H389="Vencida",E389*I389+ROW()/100000,0)</f>
        <v>0</v>
      </c>
      <c r="N389" s="38">
        <f>IF(AND(H389="A vencer",J389&lt;=Config!$B$7),100000-J389-ROW()/100000,0)</f>
        <v>0</v>
      </c>
    </row>
    <row r="390">
      <c r="A390" s="32" t="n"/>
      <c r="B390" s="23">
        <f>IF(A390="","",IFERROR(INDEX(Casos!$B$5:$B$204,MATCH(A390,Casos!$A$5:$A$204,0)),""))</f>
        <v/>
      </c>
      <c r="C390" s="34" t="n"/>
      <c r="D390" s="37" t="n"/>
      <c r="E390" s="36" t="n"/>
      <c r="F390" s="34" t="n"/>
      <c r="G390" s="37" t="n"/>
      <c r="H390" s="24">
        <f>IF(A390="","",IF(F390="Sim","Paga",IF(D390="","Sem vencimento",IF(D390&lt;Config!$B$5,"Vencida","A vencer"))))</f>
        <v/>
      </c>
      <c r="I390" s="30">
        <f>IF(H390="Vencida",Config!$B$5-D390,"")</f>
        <v/>
      </c>
      <c r="J390" s="30">
        <f>IF(H390="A vencer",D390-Config!$B$5,"")</f>
        <v/>
      </c>
      <c r="K390" s="24">
        <f>IF(H390&lt;&gt;"Vencida","",IF(COUNTIF(Config!$A$10:$A$13,"&lt;="&amp;I390)=0,"Antes da régua",INDEX(Config!$C$10:$C$13,COUNTIF(Config!$A$10:$A$13,"&lt;="&amp;I390))))</f>
        <v/>
      </c>
      <c r="L390" s="23">
        <f>IF(H390&lt;&gt;"Vencida","",IF(COUNTIF(Config!$A$10:$A$13,"&lt;="&amp;I390)=0,"Aguardar: ainda não chegou ao primeiro passo da régua.",INDEX(Config!$B$10:$B$13,COUNTIF(Config!$A$10:$A$13,"&lt;="&amp;I390))))</f>
        <v/>
      </c>
      <c r="M390" s="38">
        <f>IF(H390="Vencida",E390*I390+ROW()/100000,0)</f>
        <v>0</v>
      </c>
      <c r="N390" s="38">
        <f>IF(AND(H390="A vencer",J390&lt;=Config!$B$7),100000-J390-ROW()/100000,0)</f>
        <v>0</v>
      </c>
    </row>
    <row r="391">
      <c r="A391" s="32" t="n"/>
      <c r="B391" s="23">
        <f>IF(A391="","",IFERROR(INDEX(Casos!$B$5:$B$204,MATCH(A391,Casos!$A$5:$A$204,0)),""))</f>
        <v/>
      </c>
      <c r="C391" s="34" t="n"/>
      <c r="D391" s="37" t="n"/>
      <c r="E391" s="36" t="n"/>
      <c r="F391" s="34" t="n"/>
      <c r="G391" s="37" t="n"/>
      <c r="H391" s="24">
        <f>IF(A391="","",IF(F391="Sim","Paga",IF(D391="","Sem vencimento",IF(D391&lt;Config!$B$5,"Vencida","A vencer"))))</f>
        <v/>
      </c>
      <c r="I391" s="30">
        <f>IF(H391="Vencida",Config!$B$5-D391,"")</f>
        <v/>
      </c>
      <c r="J391" s="30">
        <f>IF(H391="A vencer",D391-Config!$B$5,"")</f>
        <v/>
      </c>
      <c r="K391" s="24">
        <f>IF(H391&lt;&gt;"Vencida","",IF(COUNTIF(Config!$A$10:$A$13,"&lt;="&amp;I391)=0,"Antes da régua",INDEX(Config!$C$10:$C$13,COUNTIF(Config!$A$10:$A$13,"&lt;="&amp;I391))))</f>
        <v/>
      </c>
      <c r="L391" s="23">
        <f>IF(H391&lt;&gt;"Vencida","",IF(COUNTIF(Config!$A$10:$A$13,"&lt;="&amp;I391)=0,"Aguardar: ainda não chegou ao primeiro passo da régua.",INDEX(Config!$B$10:$B$13,COUNTIF(Config!$A$10:$A$13,"&lt;="&amp;I391))))</f>
        <v/>
      </c>
      <c r="M391" s="38">
        <f>IF(H391="Vencida",E391*I391+ROW()/100000,0)</f>
        <v>0</v>
      </c>
      <c r="N391" s="38">
        <f>IF(AND(H391="A vencer",J391&lt;=Config!$B$7),100000-J391-ROW()/100000,0)</f>
        <v>0</v>
      </c>
    </row>
    <row r="392">
      <c r="A392" s="32" t="n"/>
      <c r="B392" s="23">
        <f>IF(A392="","",IFERROR(INDEX(Casos!$B$5:$B$204,MATCH(A392,Casos!$A$5:$A$204,0)),""))</f>
        <v/>
      </c>
      <c r="C392" s="34" t="n"/>
      <c r="D392" s="37" t="n"/>
      <c r="E392" s="36" t="n"/>
      <c r="F392" s="34" t="n"/>
      <c r="G392" s="37" t="n"/>
      <c r="H392" s="24">
        <f>IF(A392="","",IF(F392="Sim","Paga",IF(D392="","Sem vencimento",IF(D392&lt;Config!$B$5,"Vencida","A vencer"))))</f>
        <v/>
      </c>
      <c r="I392" s="30">
        <f>IF(H392="Vencida",Config!$B$5-D392,"")</f>
        <v/>
      </c>
      <c r="J392" s="30">
        <f>IF(H392="A vencer",D392-Config!$B$5,"")</f>
        <v/>
      </c>
      <c r="K392" s="24">
        <f>IF(H392&lt;&gt;"Vencida","",IF(COUNTIF(Config!$A$10:$A$13,"&lt;="&amp;I392)=0,"Antes da régua",INDEX(Config!$C$10:$C$13,COUNTIF(Config!$A$10:$A$13,"&lt;="&amp;I392))))</f>
        <v/>
      </c>
      <c r="L392" s="23">
        <f>IF(H392&lt;&gt;"Vencida","",IF(COUNTIF(Config!$A$10:$A$13,"&lt;="&amp;I392)=0,"Aguardar: ainda não chegou ao primeiro passo da régua.",INDEX(Config!$B$10:$B$13,COUNTIF(Config!$A$10:$A$13,"&lt;="&amp;I392))))</f>
        <v/>
      </c>
      <c r="M392" s="38">
        <f>IF(H392="Vencida",E392*I392+ROW()/100000,0)</f>
        <v>0</v>
      </c>
      <c r="N392" s="38">
        <f>IF(AND(H392="A vencer",J392&lt;=Config!$B$7),100000-J392-ROW()/100000,0)</f>
        <v>0</v>
      </c>
    </row>
    <row r="393">
      <c r="A393" s="32" t="n"/>
      <c r="B393" s="23">
        <f>IF(A393="","",IFERROR(INDEX(Casos!$B$5:$B$204,MATCH(A393,Casos!$A$5:$A$204,0)),""))</f>
        <v/>
      </c>
      <c r="C393" s="34" t="n"/>
      <c r="D393" s="37" t="n"/>
      <c r="E393" s="36" t="n"/>
      <c r="F393" s="34" t="n"/>
      <c r="G393" s="37" t="n"/>
      <c r="H393" s="24">
        <f>IF(A393="","",IF(F393="Sim","Paga",IF(D393="","Sem vencimento",IF(D393&lt;Config!$B$5,"Vencida","A vencer"))))</f>
        <v/>
      </c>
      <c r="I393" s="30">
        <f>IF(H393="Vencida",Config!$B$5-D393,"")</f>
        <v/>
      </c>
      <c r="J393" s="30">
        <f>IF(H393="A vencer",D393-Config!$B$5,"")</f>
        <v/>
      </c>
      <c r="K393" s="24">
        <f>IF(H393&lt;&gt;"Vencida","",IF(COUNTIF(Config!$A$10:$A$13,"&lt;="&amp;I393)=0,"Antes da régua",INDEX(Config!$C$10:$C$13,COUNTIF(Config!$A$10:$A$13,"&lt;="&amp;I393))))</f>
        <v/>
      </c>
      <c r="L393" s="23">
        <f>IF(H393&lt;&gt;"Vencida","",IF(COUNTIF(Config!$A$10:$A$13,"&lt;="&amp;I393)=0,"Aguardar: ainda não chegou ao primeiro passo da régua.",INDEX(Config!$B$10:$B$13,COUNTIF(Config!$A$10:$A$13,"&lt;="&amp;I393))))</f>
        <v/>
      </c>
      <c r="M393" s="38">
        <f>IF(H393="Vencida",E393*I393+ROW()/100000,0)</f>
        <v>0</v>
      </c>
      <c r="N393" s="38">
        <f>IF(AND(H393="A vencer",J393&lt;=Config!$B$7),100000-J393-ROW()/100000,0)</f>
        <v>0</v>
      </c>
    </row>
    <row r="394">
      <c r="A394" s="32" t="n"/>
      <c r="B394" s="23">
        <f>IF(A394="","",IFERROR(INDEX(Casos!$B$5:$B$204,MATCH(A394,Casos!$A$5:$A$204,0)),""))</f>
        <v/>
      </c>
      <c r="C394" s="34" t="n"/>
      <c r="D394" s="37" t="n"/>
      <c r="E394" s="36" t="n"/>
      <c r="F394" s="34" t="n"/>
      <c r="G394" s="37" t="n"/>
      <c r="H394" s="24">
        <f>IF(A394="","",IF(F394="Sim","Paga",IF(D394="","Sem vencimento",IF(D394&lt;Config!$B$5,"Vencida","A vencer"))))</f>
        <v/>
      </c>
      <c r="I394" s="30">
        <f>IF(H394="Vencida",Config!$B$5-D394,"")</f>
        <v/>
      </c>
      <c r="J394" s="30">
        <f>IF(H394="A vencer",D394-Config!$B$5,"")</f>
        <v/>
      </c>
      <c r="K394" s="24">
        <f>IF(H394&lt;&gt;"Vencida","",IF(COUNTIF(Config!$A$10:$A$13,"&lt;="&amp;I394)=0,"Antes da régua",INDEX(Config!$C$10:$C$13,COUNTIF(Config!$A$10:$A$13,"&lt;="&amp;I394))))</f>
        <v/>
      </c>
      <c r="L394" s="23">
        <f>IF(H394&lt;&gt;"Vencida","",IF(COUNTIF(Config!$A$10:$A$13,"&lt;="&amp;I394)=0,"Aguardar: ainda não chegou ao primeiro passo da régua.",INDEX(Config!$B$10:$B$13,COUNTIF(Config!$A$10:$A$13,"&lt;="&amp;I394))))</f>
        <v/>
      </c>
      <c r="M394" s="38">
        <f>IF(H394="Vencida",E394*I394+ROW()/100000,0)</f>
        <v>0</v>
      </c>
      <c r="N394" s="38">
        <f>IF(AND(H394="A vencer",J394&lt;=Config!$B$7),100000-J394-ROW()/100000,0)</f>
        <v>0</v>
      </c>
    </row>
    <row r="395">
      <c r="A395" s="32" t="n"/>
      <c r="B395" s="23">
        <f>IF(A395="","",IFERROR(INDEX(Casos!$B$5:$B$204,MATCH(A395,Casos!$A$5:$A$204,0)),""))</f>
        <v/>
      </c>
      <c r="C395" s="34" t="n"/>
      <c r="D395" s="37" t="n"/>
      <c r="E395" s="36" t="n"/>
      <c r="F395" s="34" t="n"/>
      <c r="G395" s="37" t="n"/>
      <c r="H395" s="24">
        <f>IF(A395="","",IF(F395="Sim","Paga",IF(D395="","Sem vencimento",IF(D395&lt;Config!$B$5,"Vencida","A vencer"))))</f>
        <v/>
      </c>
      <c r="I395" s="30">
        <f>IF(H395="Vencida",Config!$B$5-D395,"")</f>
        <v/>
      </c>
      <c r="J395" s="30">
        <f>IF(H395="A vencer",D395-Config!$B$5,"")</f>
        <v/>
      </c>
      <c r="K395" s="24">
        <f>IF(H395&lt;&gt;"Vencida","",IF(COUNTIF(Config!$A$10:$A$13,"&lt;="&amp;I395)=0,"Antes da régua",INDEX(Config!$C$10:$C$13,COUNTIF(Config!$A$10:$A$13,"&lt;="&amp;I395))))</f>
        <v/>
      </c>
      <c r="L395" s="23">
        <f>IF(H395&lt;&gt;"Vencida","",IF(COUNTIF(Config!$A$10:$A$13,"&lt;="&amp;I395)=0,"Aguardar: ainda não chegou ao primeiro passo da régua.",INDEX(Config!$B$10:$B$13,COUNTIF(Config!$A$10:$A$13,"&lt;="&amp;I395))))</f>
        <v/>
      </c>
      <c r="M395" s="38">
        <f>IF(H395="Vencida",E395*I395+ROW()/100000,0)</f>
        <v>0</v>
      </c>
      <c r="N395" s="38">
        <f>IF(AND(H395="A vencer",J395&lt;=Config!$B$7),100000-J395-ROW()/100000,0)</f>
        <v>0</v>
      </c>
    </row>
    <row r="396">
      <c r="A396" s="32" t="n"/>
      <c r="B396" s="23">
        <f>IF(A396="","",IFERROR(INDEX(Casos!$B$5:$B$204,MATCH(A396,Casos!$A$5:$A$204,0)),""))</f>
        <v/>
      </c>
      <c r="C396" s="34" t="n"/>
      <c r="D396" s="37" t="n"/>
      <c r="E396" s="36" t="n"/>
      <c r="F396" s="34" t="n"/>
      <c r="G396" s="37" t="n"/>
      <c r="H396" s="24">
        <f>IF(A396="","",IF(F396="Sim","Paga",IF(D396="","Sem vencimento",IF(D396&lt;Config!$B$5,"Vencida","A vencer"))))</f>
        <v/>
      </c>
      <c r="I396" s="30">
        <f>IF(H396="Vencida",Config!$B$5-D396,"")</f>
        <v/>
      </c>
      <c r="J396" s="30">
        <f>IF(H396="A vencer",D396-Config!$B$5,"")</f>
        <v/>
      </c>
      <c r="K396" s="24">
        <f>IF(H396&lt;&gt;"Vencida","",IF(COUNTIF(Config!$A$10:$A$13,"&lt;="&amp;I396)=0,"Antes da régua",INDEX(Config!$C$10:$C$13,COUNTIF(Config!$A$10:$A$13,"&lt;="&amp;I396))))</f>
        <v/>
      </c>
      <c r="L396" s="23">
        <f>IF(H396&lt;&gt;"Vencida","",IF(COUNTIF(Config!$A$10:$A$13,"&lt;="&amp;I396)=0,"Aguardar: ainda não chegou ao primeiro passo da régua.",INDEX(Config!$B$10:$B$13,COUNTIF(Config!$A$10:$A$13,"&lt;="&amp;I396))))</f>
        <v/>
      </c>
      <c r="M396" s="38">
        <f>IF(H396="Vencida",E396*I396+ROW()/100000,0)</f>
        <v>0</v>
      </c>
      <c r="N396" s="38">
        <f>IF(AND(H396="A vencer",J396&lt;=Config!$B$7),100000-J396-ROW()/100000,0)</f>
        <v>0</v>
      </c>
    </row>
    <row r="397">
      <c r="A397" s="32" t="n"/>
      <c r="B397" s="23">
        <f>IF(A397="","",IFERROR(INDEX(Casos!$B$5:$B$204,MATCH(A397,Casos!$A$5:$A$204,0)),""))</f>
        <v/>
      </c>
      <c r="C397" s="34" t="n"/>
      <c r="D397" s="37" t="n"/>
      <c r="E397" s="36" t="n"/>
      <c r="F397" s="34" t="n"/>
      <c r="G397" s="37" t="n"/>
      <c r="H397" s="24">
        <f>IF(A397="","",IF(F397="Sim","Paga",IF(D397="","Sem vencimento",IF(D397&lt;Config!$B$5,"Vencida","A vencer"))))</f>
        <v/>
      </c>
      <c r="I397" s="30">
        <f>IF(H397="Vencida",Config!$B$5-D397,"")</f>
        <v/>
      </c>
      <c r="J397" s="30">
        <f>IF(H397="A vencer",D397-Config!$B$5,"")</f>
        <v/>
      </c>
      <c r="K397" s="24">
        <f>IF(H397&lt;&gt;"Vencida","",IF(COUNTIF(Config!$A$10:$A$13,"&lt;="&amp;I397)=0,"Antes da régua",INDEX(Config!$C$10:$C$13,COUNTIF(Config!$A$10:$A$13,"&lt;="&amp;I397))))</f>
        <v/>
      </c>
      <c r="L397" s="23">
        <f>IF(H397&lt;&gt;"Vencida","",IF(COUNTIF(Config!$A$10:$A$13,"&lt;="&amp;I397)=0,"Aguardar: ainda não chegou ao primeiro passo da régua.",INDEX(Config!$B$10:$B$13,COUNTIF(Config!$A$10:$A$13,"&lt;="&amp;I397))))</f>
        <v/>
      </c>
      <c r="M397" s="38">
        <f>IF(H397="Vencida",E397*I397+ROW()/100000,0)</f>
        <v>0</v>
      </c>
      <c r="N397" s="38">
        <f>IF(AND(H397="A vencer",J397&lt;=Config!$B$7),100000-J397-ROW()/100000,0)</f>
        <v>0</v>
      </c>
    </row>
    <row r="398">
      <c r="A398" s="32" t="n"/>
      <c r="B398" s="23">
        <f>IF(A398="","",IFERROR(INDEX(Casos!$B$5:$B$204,MATCH(A398,Casos!$A$5:$A$204,0)),""))</f>
        <v/>
      </c>
      <c r="C398" s="34" t="n"/>
      <c r="D398" s="37" t="n"/>
      <c r="E398" s="36" t="n"/>
      <c r="F398" s="34" t="n"/>
      <c r="G398" s="37" t="n"/>
      <c r="H398" s="24">
        <f>IF(A398="","",IF(F398="Sim","Paga",IF(D398="","Sem vencimento",IF(D398&lt;Config!$B$5,"Vencida","A vencer"))))</f>
        <v/>
      </c>
      <c r="I398" s="30">
        <f>IF(H398="Vencida",Config!$B$5-D398,"")</f>
        <v/>
      </c>
      <c r="J398" s="30">
        <f>IF(H398="A vencer",D398-Config!$B$5,"")</f>
        <v/>
      </c>
      <c r="K398" s="24">
        <f>IF(H398&lt;&gt;"Vencida","",IF(COUNTIF(Config!$A$10:$A$13,"&lt;="&amp;I398)=0,"Antes da régua",INDEX(Config!$C$10:$C$13,COUNTIF(Config!$A$10:$A$13,"&lt;="&amp;I398))))</f>
        <v/>
      </c>
      <c r="L398" s="23">
        <f>IF(H398&lt;&gt;"Vencida","",IF(COUNTIF(Config!$A$10:$A$13,"&lt;="&amp;I398)=0,"Aguardar: ainda não chegou ao primeiro passo da régua.",INDEX(Config!$B$10:$B$13,COUNTIF(Config!$A$10:$A$13,"&lt;="&amp;I398))))</f>
        <v/>
      </c>
      <c r="M398" s="38">
        <f>IF(H398="Vencida",E398*I398+ROW()/100000,0)</f>
        <v>0</v>
      </c>
      <c r="N398" s="38">
        <f>IF(AND(H398="A vencer",J398&lt;=Config!$B$7),100000-J398-ROW()/100000,0)</f>
        <v>0</v>
      </c>
    </row>
    <row r="399">
      <c r="A399" s="32" t="n"/>
      <c r="B399" s="23">
        <f>IF(A399="","",IFERROR(INDEX(Casos!$B$5:$B$204,MATCH(A399,Casos!$A$5:$A$204,0)),""))</f>
        <v/>
      </c>
      <c r="C399" s="34" t="n"/>
      <c r="D399" s="37" t="n"/>
      <c r="E399" s="36" t="n"/>
      <c r="F399" s="34" t="n"/>
      <c r="G399" s="37" t="n"/>
      <c r="H399" s="24">
        <f>IF(A399="","",IF(F399="Sim","Paga",IF(D399="","Sem vencimento",IF(D399&lt;Config!$B$5,"Vencida","A vencer"))))</f>
        <v/>
      </c>
      <c r="I399" s="30">
        <f>IF(H399="Vencida",Config!$B$5-D399,"")</f>
        <v/>
      </c>
      <c r="J399" s="30">
        <f>IF(H399="A vencer",D399-Config!$B$5,"")</f>
        <v/>
      </c>
      <c r="K399" s="24">
        <f>IF(H399&lt;&gt;"Vencida","",IF(COUNTIF(Config!$A$10:$A$13,"&lt;="&amp;I399)=0,"Antes da régua",INDEX(Config!$C$10:$C$13,COUNTIF(Config!$A$10:$A$13,"&lt;="&amp;I399))))</f>
        <v/>
      </c>
      <c r="L399" s="23">
        <f>IF(H399&lt;&gt;"Vencida","",IF(COUNTIF(Config!$A$10:$A$13,"&lt;="&amp;I399)=0,"Aguardar: ainda não chegou ao primeiro passo da régua.",INDEX(Config!$B$10:$B$13,COUNTIF(Config!$A$10:$A$13,"&lt;="&amp;I399))))</f>
        <v/>
      </c>
      <c r="M399" s="38">
        <f>IF(H399="Vencida",E399*I399+ROW()/100000,0)</f>
        <v>0</v>
      </c>
      <c r="N399" s="38">
        <f>IF(AND(H399="A vencer",J399&lt;=Config!$B$7),100000-J399-ROW()/100000,0)</f>
        <v>0</v>
      </c>
    </row>
    <row r="400">
      <c r="A400" s="32" t="n"/>
      <c r="B400" s="23">
        <f>IF(A400="","",IFERROR(INDEX(Casos!$B$5:$B$204,MATCH(A400,Casos!$A$5:$A$204,0)),""))</f>
        <v/>
      </c>
      <c r="C400" s="34" t="n"/>
      <c r="D400" s="37" t="n"/>
      <c r="E400" s="36" t="n"/>
      <c r="F400" s="34" t="n"/>
      <c r="G400" s="37" t="n"/>
      <c r="H400" s="24">
        <f>IF(A400="","",IF(F400="Sim","Paga",IF(D400="","Sem vencimento",IF(D400&lt;Config!$B$5,"Vencida","A vencer"))))</f>
        <v/>
      </c>
      <c r="I400" s="30">
        <f>IF(H400="Vencida",Config!$B$5-D400,"")</f>
        <v/>
      </c>
      <c r="J400" s="30">
        <f>IF(H400="A vencer",D400-Config!$B$5,"")</f>
        <v/>
      </c>
      <c r="K400" s="24">
        <f>IF(H400&lt;&gt;"Vencida","",IF(COUNTIF(Config!$A$10:$A$13,"&lt;="&amp;I400)=0,"Antes da régua",INDEX(Config!$C$10:$C$13,COUNTIF(Config!$A$10:$A$13,"&lt;="&amp;I400))))</f>
        <v/>
      </c>
      <c r="L400" s="23">
        <f>IF(H400&lt;&gt;"Vencida","",IF(COUNTIF(Config!$A$10:$A$13,"&lt;="&amp;I400)=0,"Aguardar: ainda não chegou ao primeiro passo da régua.",INDEX(Config!$B$10:$B$13,COUNTIF(Config!$A$10:$A$13,"&lt;="&amp;I400))))</f>
        <v/>
      </c>
      <c r="M400" s="38">
        <f>IF(H400="Vencida",E400*I400+ROW()/100000,0)</f>
        <v>0</v>
      </c>
      <c r="N400" s="38">
        <f>IF(AND(H400="A vencer",J400&lt;=Config!$B$7),100000-J400-ROW()/100000,0)</f>
        <v>0</v>
      </c>
    </row>
    <row r="401">
      <c r="A401" s="32" t="n"/>
      <c r="B401" s="23">
        <f>IF(A401="","",IFERROR(INDEX(Casos!$B$5:$B$204,MATCH(A401,Casos!$A$5:$A$204,0)),""))</f>
        <v/>
      </c>
      <c r="C401" s="34" t="n"/>
      <c r="D401" s="37" t="n"/>
      <c r="E401" s="36" t="n"/>
      <c r="F401" s="34" t="n"/>
      <c r="G401" s="37" t="n"/>
      <c r="H401" s="24">
        <f>IF(A401="","",IF(F401="Sim","Paga",IF(D401="","Sem vencimento",IF(D401&lt;Config!$B$5,"Vencida","A vencer"))))</f>
        <v/>
      </c>
      <c r="I401" s="30">
        <f>IF(H401="Vencida",Config!$B$5-D401,"")</f>
        <v/>
      </c>
      <c r="J401" s="30">
        <f>IF(H401="A vencer",D401-Config!$B$5,"")</f>
        <v/>
      </c>
      <c r="K401" s="24">
        <f>IF(H401&lt;&gt;"Vencida","",IF(COUNTIF(Config!$A$10:$A$13,"&lt;="&amp;I401)=0,"Antes da régua",INDEX(Config!$C$10:$C$13,COUNTIF(Config!$A$10:$A$13,"&lt;="&amp;I401))))</f>
        <v/>
      </c>
      <c r="L401" s="23">
        <f>IF(H401&lt;&gt;"Vencida","",IF(COUNTIF(Config!$A$10:$A$13,"&lt;="&amp;I401)=0,"Aguardar: ainda não chegou ao primeiro passo da régua.",INDEX(Config!$B$10:$B$13,COUNTIF(Config!$A$10:$A$13,"&lt;="&amp;I401))))</f>
        <v/>
      </c>
      <c r="M401" s="38">
        <f>IF(H401="Vencida",E401*I401+ROW()/100000,0)</f>
        <v>0</v>
      </c>
      <c r="N401" s="38">
        <f>IF(AND(H401="A vencer",J401&lt;=Config!$B$7),100000-J401-ROW()/100000,0)</f>
        <v>0</v>
      </c>
    </row>
    <row r="402">
      <c r="A402" s="32" t="n"/>
      <c r="B402" s="23">
        <f>IF(A402="","",IFERROR(INDEX(Casos!$B$5:$B$204,MATCH(A402,Casos!$A$5:$A$204,0)),""))</f>
        <v/>
      </c>
      <c r="C402" s="34" t="n"/>
      <c r="D402" s="37" t="n"/>
      <c r="E402" s="36" t="n"/>
      <c r="F402" s="34" t="n"/>
      <c r="G402" s="37" t="n"/>
      <c r="H402" s="24">
        <f>IF(A402="","",IF(F402="Sim","Paga",IF(D402="","Sem vencimento",IF(D402&lt;Config!$B$5,"Vencida","A vencer"))))</f>
        <v/>
      </c>
      <c r="I402" s="30">
        <f>IF(H402="Vencida",Config!$B$5-D402,"")</f>
        <v/>
      </c>
      <c r="J402" s="30">
        <f>IF(H402="A vencer",D402-Config!$B$5,"")</f>
        <v/>
      </c>
      <c r="K402" s="24">
        <f>IF(H402&lt;&gt;"Vencida","",IF(COUNTIF(Config!$A$10:$A$13,"&lt;="&amp;I402)=0,"Antes da régua",INDEX(Config!$C$10:$C$13,COUNTIF(Config!$A$10:$A$13,"&lt;="&amp;I402))))</f>
        <v/>
      </c>
      <c r="L402" s="23">
        <f>IF(H402&lt;&gt;"Vencida","",IF(COUNTIF(Config!$A$10:$A$13,"&lt;="&amp;I402)=0,"Aguardar: ainda não chegou ao primeiro passo da régua.",INDEX(Config!$B$10:$B$13,COUNTIF(Config!$A$10:$A$13,"&lt;="&amp;I402))))</f>
        <v/>
      </c>
      <c r="M402" s="38">
        <f>IF(H402="Vencida",E402*I402+ROW()/100000,0)</f>
        <v>0</v>
      </c>
      <c r="N402" s="38">
        <f>IF(AND(H402="A vencer",J402&lt;=Config!$B$7),100000-J402-ROW()/100000,0)</f>
        <v>0</v>
      </c>
    </row>
    <row r="403">
      <c r="A403" s="32" t="n"/>
      <c r="B403" s="23">
        <f>IF(A403="","",IFERROR(INDEX(Casos!$B$5:$B$204,MATCH(A403,Casos!$A$5:$A$204,0)),""))</f>
        <v/>
      </c>
      <c r="C403" s="34" t="n"/>
      <c r="D403" s="37" t="n"/>
      <c r="E403" s="36" t="n"/>
      <c r="F403" s="34" t="n"/>
      <c r="G403" s="37" t="n"/>
      <c r="H403" s="24">
        <f>IF(A403="","",IF(F403="Sim","Paga",IF(D403="","Sem vencimento",IF(D403&lt;Config!$B$5,"Vencida","A vencer"))))</f>
        <v/>
      </c>
      <c r="I403" s="30">
        <f>IF(H403="Vencida",Config!$B$5-D403,"")</f>
        <v/>
      </c>
      <c r="J403" s="30">
        <f>IF(H403="A vencer",D403-Config!$B$5,"")</f>
        <v/>
      </c>
      <c r="K403" s="24">
        <f>IF(H403&lt;&gt;"Vencida","",IF(COUNTIF(Config!$A$10:$A$13,"&lt;="&amp;I403)=0,"Antes da régua",INDEX(Config!$C$10:$C$13,COUNTIF(Config!$A$10:$A$13,"&lt;="&amp;I403))))</f>
        <v/>
      </c>
      <c r="L403" s="23">
        <f>IF(H403&lt;&gt;"Vencida","",IF(COUNTIF(Config!$A$10:$A$13,"&lt;="&amp;I403)=0,"Aguardar: ainda não chegou ao primeiro passo da régua.",INDEX(Config!$B$10:$B$13,COUNTIF(Config!$A$10:$A$13,"&lt;="&amp;I403))))</f>
        <v/>
      </c>
      <c r="M403" s="38">
        <f>IF(H403="Vencida",E403*I403+ROW()/100000,0)</f>
        <v>0</v>
      </c>
      <c r="N403" s="38">
        <f>IF(AND(H403="A vencer",J403&lt;=Config!$B$7),100000-J403-ROW()/100000,0)</f>
        <v>0</v>
      </c>
    </row>
    <row r="404">
      <c r="A404" s="32" t="n"/>
      <c r="B404" s="23">
        <f>IF(A404="","",IFERROR(INDEX(Casos!$B$5:$B$204,MATCH(A404,Casos!$A$5:$A$204,0)),""))</f>
        <v/>
      </c>
      <c r="C404" s="34" t="n"/>
      <c r="D404" s="37" t="n"/>
      <c r="E404" s="36" t="n"/>
      <c r="F404" s="34" t="n"/>
      <c r="G404" s="37" t="n"/>
      <c r="H404" s="24">
        <f>IF(A404="","",IF(F404="Sim","Paga",IF(D404="","Sem vencimento",IF(D404&lt;Config!$B$5,"Vencida","A vencer"))))</f>
        <v/>
      </c>
      <c r="I404" s="30">
        <f>IF(H404="Vencida",Config!$B$5-D404,"")</f>
        <v/>
      </c>
      <c r="J404" s="30">
        <f>IF(H404="A vencer",D404-Config!$B$5,"")</f>
        <v/>
      </c>
      <c r="K404" s="24">
        <f>IF(H404&lt;&gt;"Vencida","",IF(COUNTIF(Config!$A$10:$A$13,"&lt;="&amp;I404)=0,"Antes da régua",INDEX(Config!$C$10:$C$13,COUNTIF(Config!$A$10:$A$13,"&lt;="&amp;I404))))</f>
        <v/>
      </c>
      <c r="L404" s="23">
        <f>IF(H404&lt;&gt;"Vencida","",IF(COUNTIF(Config!$A$10:$A$13,"&lt;="&amp;I404)=0,"Aguardar: ainda não chegou ao primeiro passo da régua.",INDEX(Config!$B$10:$B$13,COUNTIF(Config!$A$10:$A$13,"&lt;="&amp;I404))))</f>
        <v/>
      </c>
      <c r="M404" s="38">
        <f>IF(H404="Vencida",E404*I404+ROW()/100000,0)</f>
        <v>0</v>
      </c>
      <c r="N404" s="38">
        <f>IF(AND(H404="A vencer",J404&lt;=Config!$B$7),100000-J404-ROW()/100000,0)</f>
        <v>0</v>
      </c>
    </row>
    <row r="406">
      <c r="A406" s="28" t="inlineStr">
        <is>
          <t>Vermelho: vencida. Amarelo: vence na janela curta. Verde: paga. Data do pagamento em vermelho: marcada como paga sem data. No exemplo, todas as datas são fixas na data-base de 14/09/2026, para os números fecharem com o caixa (planilha 09) e com a carteira (13).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L404"/>
  <mergeCells count="2">
    <mergeCell ref="A2:L2"/>
    <mergeCell ref="A1:L1"/>
  </mergeCells>
  <conditionalFormatting sqref="A5:L404">
    <cfRule type="expression" priority="1" dxfId="0">
      <formula>$H5="Vencida"</formula>
    </cfRule>
    <cfRule type="expression" priority="2" dxfId="1">
      <formula>AND($H5="A vencer",$J5&lt;=INDIRECT("Config!$B$6"))</formula>
    </cfRule>
    <cfRule type="expression" priority="3" dxfId="3">
      <formula>$H5="Paga"</formula>
    </cfRule>
  </conditionalFormatting>
  <conditionalFormatting sqref="G5:G404">
    <cfRule type="expression" priority="4" dxfId="4">
      <formula>AND($F5="Sim",$G5="")</formula>
    </cfRule>
  </conditionalFormatting>
  <dataValidations count="5">
    <dataValidation sqref="A5:A404" showDropDown="0" showInputMessage="0" showErrorMessage="1" allowBlank="1" type="list">
      <formula1>=OFFSET(Casos!$A$5,0,0,MAX(1,COUNTA(Casos!$A$5:$A$204)),1)</formula1>
    </dataValidation>
    <dataValidation sqref="F5:F404" showDropDown="0" showInputMessage="0" showErrorMessage="1" allowBlank="1" type="list">
      <formula1>"Sim,Não"</formula1>
    </dataValidation>
    <dataValidation sqref="D5:D404" showDropDown="0" showInputMessage="0" showErrorMessage="1" allowBlank="1" type="date" operator="greaterThan">
      <formula1>1</formula1>
    </dataValidation>
    <dataValidation sqref="E5:E404" showDropDown="0" showInputMessage="0" showErrorMessage="1" allowBlank="1" type="decimal" operator="greaterThanOrEqual">
      <formula1>0</formula1>
    </dataValidation>
    <dataValidation sqref="C5:C404" showDropDown="0" showInputMessage="0" showErrorMessage="1" allowBlank="1" type="whole" operator="greaterThanOrEqual">
      <formula1>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Parcelas e Inadimplência · Kit de Gestão para Advogados</dc:title>
  <dcterms:created xmlns:dcterms="http://purl.org/dc/terms/" xmlns:xsi="http://www.w3.org/2001/XMLSchema-instance" xsi:type="dcterms:W3CDTF">2026-09-19T15:22:11Z</dcterms:created>
  <dcterms:modified xmlns:dcterms="http://purl.org/dc/terms/" xmlns:xsi="http://www.w3.org/2001/XMLSchema-instance" xsi:type="dcterms:W3CDTF">2026-09-19T15:22:12Z</dcterms:modified>
</cp:coreProperties>
</file>