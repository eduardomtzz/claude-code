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65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a hora mínima com folga e a hora alvo com folga: a hora mínima da 05 (R$ 110 no exemplo) acrescida de 20 % de horas não previstas (R$ 127,88).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use o prompt "Honorários 06 · Montar a tabela de referência interna" da biblioteca do kit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 ht="28" customHeight="1">
      <c r="A1" s="5" t="str">
        <f>Config!$B$4&amp;" · Tabela de referência de honorários · "&amp;Config!$B$5</f>
        <v>Ferraz &amp; Lima Advocacia (exemplo fictício) · Tabela de referência de honorários · Setembro de 2026</v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 com folga</t>
        </is>
      </c>
      <c r="B4" s="8" t="n"/>
      <c r="C4" s="9" t="inlineStr">
        <is>
          <t>Hora alvo com folga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>127.880129032258</v>
      </c>
      <c r="B5" s="8" t="n"/>
      <c r="C5" s="16">
        <f>Config!$B$13</f>
        <v>168.692936170213</v>
      </c>
      <c r="D5" s="10" t="n"/>
      <c r="E5" s="17" t="str">
        <f>COUNTIF('Nossos casos'!$J$5:$J$204,"Abaixo do mínimo")&amp;" de "&amp;(COUNTIF('Nossos casos'!$J$5:$J$204,"Abaixo do mínimo")+COUNTIF('Nossos casos'!$J$5:$J$204,"Na faixa")+COUNTIF('Nossos casos'!$J$5:$J$204,"Acima do alvo"))</f>
        <v>10 de 38</v>
      </c>
      <c r="F5" s="12" t="n"/>
      <c r="G5" s="18">
        <f>SUM('Nossos casos'!$K$5:$K$204)</f>
        <v>11876.6896774193</v>
      </c>
      <c r="H5" s="12" t="n"/>
      <c r="I5" s="19">
        <f>IFERROR(SUM('Nossos casos'!$F$5:$F$204)/SUM('Nossos casos'!$G$5:$G$204),0)</f>
        <v>153.314696485623</v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IF(OR(A9="",C9=""),"",C9*Config!$B$12)</f>
        <v>383.640387096774</v>
      </c>
      <c r="G9" s="25">
        <f>IF(OR(A9="",D9=""),"",D9*Config!$B$13)</f>
        <v>1349.5434893617</v>
      </c>
      <c r="H9" s="25">
        <f>IF(OR(F9="",G9=""),"",(F9+G9)/2)</f>
        <v>866.591938229238</v>
      </c>
      <c r="I9" s="26" t="str">
        <f>IF(A9="","",IF(E9="Hora","Cobre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</f>
        <v>Caso simples perto do mínimo; complexo perto do máximo</v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IF(OR(A10="",C10=""),"",C10*Config!$B$12)</f>
        <v>767.280774193548</v>
      </c>
      <c r="G10" s="25">
        <f>IF(OR(A10="",D10=""),"",D10*Config!$B$13)</f>
        <v>2530.39404255319</v>
      </c>
      <c r="H10" s="25">
        <f>IF(OR(F10="",G10=""),"",(F10+G10)/2)</f>
        <v>1648.83740837337</v>
      </c>
      <c r="I10" s="26" t="str">
        <f>IF(A10="","",IF(E10="Hora","Cobre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</f>
        <v>Caso simples perto do mínimo; complexo perto do máximo</v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IF(OR(A11="",C11=""),"",C11*Config!$B$12)</f>
        <v>6394.0064516129</v>
      </c>
      <c r="G11" s="25">
        <f>IF(OR(A11="",D11=""),"",D11*Config!$B$13)</f>
        <v>16869.2936170213</v>
      </c>
      <c r="H11" s="25">
        <f>IF(OR(F11="",G11=""),"",(F11+G11)/2)</f>
        <v>11631.6500343171</v>
      </c>
      <c r="I11" s="26" t="str">
        <f>IF(A11="","",IF(E11="Hora","Cobre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</f>
        <v>Entrada perto do mínimo; o êxito leva ao máximo</v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IF(OR(A12="",C12=""),"",C12*Config!$B$12)</f>
        <v>1918.20193548387</v>
      </c>
      <c r="G12" s="25">
        <f>IF(OR(A12="",D12=""),"",D12*Config!$B$13)</f>
        <v>5904.25276595745</v>
      </c>
      <c r="H12" s="25">
        <f>IF(OR(F12="",G12=""),"",(F12+G12)/2)</f>
        <v>3911.22735072066</v>
      </c>
      <c r="I12" s="26" t="str">
        <f>IF(A12="","",IF(E12="Hora","Cobre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</f>
        <v>Caso simples perto do mínimo; complexo perto do máximo</v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IF(OR(A13="",C13=""),"",C13*Config!$B$12)</f>
        <v>1023.04103225806</v>
      </c>
      <c r="G13" s="25">
        <f>IF(OR(A13="",D13=""),"",D13*Config!$B$13)</f>
        <v>4217.32340425532</v>
      </c>
      <c r="H13" s="25">
        <f>IF(OR(F13="",G13=""),"",(F13+G13)/2)</f>
        <v>2620.18221825669</v>
      </c>
      <c r="I13" s="26" t="str">
        <f>IF(A13="","",IF(E13="Hora","Cobre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</f>
        <v>Entrada perto do mínimo; o êxito leva ao máximo</v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IF(OR(A14="",C14=""),"",C14*Config!$B$12)</f>
        <v>383.640387096774</v>
      </c>
      <c r="G14" s="25">
        <f>IF(OR(A14="",D14=""),"",D14*Config!$B$13)</f>
        <v>1349.5434893617</v>
      </c>
      <c r="H14" s="25">
        <f>IF(OR(F14="",G14=""),"",(F14+G14)/2)</f>
        <v>866.591938229238</v>
      </c>
      <c r="I14" s="26" t="str">
        <f>IF(A14="","",IF(E14="Hora","Cobre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</f>
        <v>Caso simples perto do mínimo; complexo perto do máximo</v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IF(OR(A15="",C15=""),"",C15*Config!$B$12)</f>
        <v>767.280774193548</v>
      </c>
      <c r="G15" s="25">
        <f>IF(OR(A15="",D15=""),"",D15*Config!$B$13)</f>
        <v>2530.39404255319</v>
      </c>
      <c r="H15" s="25">
        <f>IF(OR(F15="",G15=""),"",(F15+G15)/2)</f>
        <v>1648.83740837337</v>
      </c>
      <c r="I15" s="26" t="str">
        <f>IF(A15="","",IF(E15="Hora","Cobre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</f>
        <v>Caso simples perto do mínimo; complexo perto do máximo</v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IF(OR(A16="",C16=""),"",C16*Config!$B$12)</f>
        <v>4475.80451612903</v>
      </c>
      <c r="G16" s="25">
        <f>IF(OR(A16="",D16=""),"",D16*Config!$B$13)</f>
        <v>11808.5055319149</v>
      </c>
      <c r="H16" s="25">
        <f>IF(OR(F16="",G16=""),"",(F16+G16)/2)</f>
        <v>8142.15502402196</v>
      </c>
      <c r="I16" s="26" t="str">
        <f>IF(A16="","",IF(E16="Hora","Cobre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</f>
        <v>Percentual que, na chance esperada, fique dentro da faixa</v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IF(OR(A17="",C17=""),"",C17*Config!$B$12)</f>
        <v>1918.20193548387</v>
      </c>
      <c r="G17" s="25">
        <f>IF(OR(A17="",D17=""),"",D17*Config!$B$13)</f>
        <v>5904.25276595745</v>
      </c>
      <c r="H17" s="25">
        <f>IF(OR(F17="",G17=""),"",(F17+G17)/2)</f>
        <v>3911.22735072066</v>
      </c>
      <c r="I17" s="26" t="str">
        <f>IF(A17="","",IF(E17="Hora","Cobre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</f>
        <v>Caso simples perto do mínimo; complexo perto do máximo</v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IF(OR(A18="",C18=""),"",C18*Config!$B$12)</f>
        <v>1023.04103225806</v>
      </c>
      <c r="G18" s="25">
        <f>IF(OR(A18="",D18=""),"",D18*Config!$B$13)</f>
        <v>4217.32340425532</v>
      </c>
      <c r="H18" s="25">
        <f>IF(OR(F18="",G18=""),"",(F18+G18)/2)</f>
        <v>2620.18221825669</v>
      </c>
      <c r="I18" s="26" t="str">
        <f>IF(A18="","",IF(E18="Hora","Cobre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</f>
        <v>Entrada perto do mínimo; o êxito leva ao máximo</v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IF(OR(A19="",C19=""),"",C19*Config!$B$12)</f>
        <v>383.640387096774</v>
      </c>
      <c r="G19" s="25">
        <f>IF(OR(A19="",D19=""),"",D19*Config!$B$13)</f>
        <v>1349.5434893617</v>
      </c>
      <c r="H19" s="25">
        <f>IF(OR(F19="",G19=""),"",(F19+G19)/2)</f>
        <v>866.591938229238</v>
      </c>
      <c r="I19" s="26" t="str">
        <f>IF(A19="","",IF(E19="Hora","Cobre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</f>
        <v>Caso simples perto do mínimo; complexo perto do máximo</v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IF(OR(A20="",C20=""),"",C20*Config!$B$12)</f>
        <v>767.280774193548</v>
      </c>
      <c r="G20" s="25">
        <f>IF(OR(A20="",D20=""),"",D20*Config!$B$13)</f>
        <v>2530.39404255319</v>
      </c>
      <c r="H20" s="25">
        <f>IF(OR(F20="",G20=""),"",(F20+G20)/2)</f>
        <v>1648.83740837337</v>
      </c>
      <c r="I20" s="26" t="str">
        <f>IF(A20="","",IF(E20="Hora","Cobre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</f>
        <v>Caso simples perto do mínimo; complexo perto do máximo</v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IF(OR(A21="",C21=""),"",C21*Config!$B$12)</f>
        <v>3836.40387096774</v>
      </c>
      <c r="G21" s="25">
        <f>IF(OR(A21="",D21=""),"",D21*Config!$B$13)</f>
        <v>10121.5761702128</v>
      </c>
      <c r="H21" s="25">
        <f>IF(OR(F21="",G21=""),"",(F21+G21)/2)</f>
        <v>6978.99002059025</v>
      </c>
      <c r="I21" s="26" t="str">
        <f>IF(A21="","",IF(E21="Hora","Cobre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</f>
        <v>Percentual que, na chance esperada, fique dentro da faixa</v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IF(OR(A22="",C22=""),"",C22*Config!$B$12)</f>
        <v>1918.20193548387</v>
      </c>
      <c r="G22" s="25">
        <f>IF(OR(A22="",D22=""),"",D22*Config!$B$13)</f>
        <v>5904.25276595745</v>
      </c>
      <c r="H22" s="25">
        <f>IF(OR(F22="",G22=""),"",(F22+G22)/2)</f>
        <v>3911.22735072066</v>
      </c>
      <c r="I22" s="26" t="str">
        <f>IF(A22="","",IF(E22="Hora","Cobre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</f>
        <v>Caso simples perto do mínimo; complexo perto do máximo</v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IF(OR(A23="",C23=""),"",C23*Config!$B$12)</f>
        <v>1023.04103225806</v>
      </c>
      <c r="G23" s="25">
        <f>IF(OR(A23="",D23=""),"",D23*Config!$B$13)</f>
        <v>4217.32340425532</v>
      </c>
      <c r="H23" s="25">
        <f>IF(OR(F23="",G23=""),"",(F23+G23)/2)</f>
        <v>2620.18221825669</v>
      </c>
      <c r="I23" s="26" t="str">
        <f>IF(A23="","",IF(E23="Hora","Cobre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</f>
        <v>Entrada perto do mínimo; o êxito leva ao máximo</v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IF(OR(A24="",C24=""),"",C24*Config!$B$12)</f>
        <v>511.520516129032</v>
      </c>
      <c r="G24" s="25">
        <f>IF(OR(A24="",D24=""),"",D24*Config!$B$13)</f>
        <v>2024.31523404255</v>
      </c>
      <c r="H24" s="25">
        <f>IF(OR(F24="",G24=""),"",(F24+G24)/2)</f>
        <v>1267.91787508579</v>
      </c>
      <c r="I24" s="26" t="str">
        <f>IF(A24="","",IF(E24="Hora","Cobre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</f>
        <v>Cobre a hora entre a mínima e a alvo; a faixa é o total esperado</v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IF(OR(A25="",C25=""),"",C25*Config!$B$12)</f>
        <v>767.280774193548</v>
      </c>
      <c r="G25" s="25">
        <f>IF(OR(A25="",D25=""),"",D25*Config!$B$13)</f>
        <v>2530.39404255319</v>
      </c>
      <c r="H25" s="25">
        <f>IF(OR(F25="",G25=""),"",(F25+G25)/2)</f>
        <v>1648.83740837337</v>
      </c>
      <c r="I25" s="26" t="str">
        <f>IF(A25="","",IF(E25="Hora","Cobre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</f>
        <v>Caso simples perto do mínimo; complexo perto do máximo</v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IF(OR(A26="",C26=""),"",C26*Config!$B$12)</f>
        <v>7672.80774193548</v>
      </c>
      <c r="G26" s="25">
        <f>IF(OR(A26="",D26=""),"",D26*Config!$B$13)</f>
        <v>20243.1523404255</v>
      </c>
      <c r="H26" s="25">
        <f>IF(OR(F26="",G26=""),"",(F26+G26)/2)</f>
        <v>13957.9800411805</v>
      </c>
      <c r="I26" s="26" t="str">
        <f>IF(A26="","",IF(E26="Hora","Cobre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</f>
        <v>Cobre a hora entre a mínima e a alvo; a faixa é o total esperado</v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IF(OR(A27="",C27=""),"",C27*Config!$B$12)</f>
        <v>1918.20193548387</v>
      </c>
      <c r="G27" s="25">
        <f>IF(OR(A27="",D27=""),"",D27*Config!$B$13)</f>
        <v>5904.25276595745</v>
      </c>
      <c r="H27" s="25">
        <f>IF(OR(F27="",G27=""),"",(F27+G27)/2)</f>
        <v>3911.22735072066</v>
      </c>
      <c r="I27" s="26" t="str">
        <f>IF(A27="","",IF(E27="Hora","Cobre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</f>
        <v>Caso simples perto do mínimo; complexo perto do máximo</v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IF(OR(A28="",C28=""),"",C28*Config!$B$12)</f>
        <v>1023.04103225806</v>
      </c>
      <c r="G28" s="25">
        <f>IF(OR(A28="",D28=""),"",D28*Config!$B$13)</f>
        <v>4217.32340425532</v>
      </c>
      <c r="H28" s="25">
        <f>IF(OR(F28="",G28=""),"",(F28+G28)/2)</f>
        <v>2620.18221825669</v>
      </c>
      <c r="I28" s="26" t="str">
        <f>IF(A28="","",IF(E28="Hora","Cobre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</f>
        <v>Entrada perto do mínimo; o êxito leva ao máximo</v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IF(OR(A29="",C29=""),"",C29*Config!$B$12)</f>
        <v>383.640387096774</v>
      </c>
      <c r="G29" s="25">
        <f>IF(OR(A29="",D29=""),"",D29*Config!$B$13)</f>
        <v>1349.5434893617</v>
      </c>
      <c r="H29" s="25">
        <f>IF(OR(F29="",G29=""),"",(F29+G29)/2)</f>
        <v>866.591938229238</v>
      </c>
      <c r="I29" s="26" t="str">
        <f>IF(A29="","",IF(E29="Hora","Cobre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</f>
        <v>Caso simples perto do mínimo; complexo perto do máximo</v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IF(OR(A30="",C30=""),"",C30*Config!$B$12)</f>
        <v>767.280774193548</v>
      </c>
      <c r="G30" s="25">
        <f>IF(OR(A30="",D30=""),"",D30*Config!$B$13)</f>
        <v>2530.39404255319</v>
      </c>
      <c r="H30" s="25">
        <f>IF(OR(F30="",G30=""),"",(F30+G30)/2)</f>
        <v>1648.83740837337</v>
      </c>
      <c r="I30" s="26" t="str">
        <f>IF(A30="","",IF(E30="Hora","Cobre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</f>
        <v>Caso simples perto do mínimo; complexo perto do máximo</v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IF(OR(A31="",C31=""),"",C31*Config!$B$12)</f>
        <v>3836.40387096774</v>
      </c>
      <c r="G31" s="25">
        <f>IF(OR(A31="",D31=""),"",D31*Config!$B$13)</f>
        <v>11808.5055319149</v>
      </c>
      <c r="H31" s="25">
        <f>IF(OR(F31="",G31=""),"",(F31+G31)/2)</f>
        <v>7822.45470144132</v>
      </c>
      <c r="I31" s="26" t="str">
        <f>IF(A31="","",IF(E31="Hora","Cobre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</f>
        <v>Caso simples perto do mínimo; complexo perto do máximo</v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IF(OR(A32="",C32=""),"",C32*Config!$B$12)</f>
        <v>1918.20193548387</v>
      </c>
      <c r="G32" s="25">
        <f>IF(OR(A32="",D32=""),"",D32*Config!$B$13)</f>
        <v>5904.25276595745</v>
      </c>
      <c r="H32" s="25">
        <f>IF(OR(F32="",G32=""),"",(F32+G32)/2)</f>
        <v>3911.22735072066</v>
      </c>
      <c r="I32" s="26" t="str">
        <f>IF(A32="","",IF(E32="Hora","Cobre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</f>
        <v>Caso simples perto do mínimo; complexo perto do máximo</v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IF(OR(A33="",C33=""),"",C33*Config!$B$12)</f>
        <v>1023.04103225806</v>
      </c>
      <c r="G33" s="25">
        <f>IF(OR(A33="",D33=""),"",D33*Config!$B$13)</f>
        <v>4217.32340425532</v>
      </c>
      <c r="H33" s="25">
        <f>IF(OR(F33="",G33=""),"",(F33+G33)/2)</f>
        <v>2620.18221825669</v>
      </c>
      <c r="I33" s="26" t="str">
        <f>IF(A33="","",IF(E33="Hora","Cobre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</f>
        <v>Entrada perto do mínimo; o êxito leva ao máximo</v>
      </c>
    </row>
    <row r="34">
      <c r="A34" s="22" t="n"/>
      <c r="B34" s="22" t="n"/>
      <c r="C34" s="23" t="n"/>
      <c r="D34" s="23" t="n"/>
      <c r="E34" s="24" t="n"/>
      <c r="F34" s="25">
        <f>IF(OR(A34="",C34=""),"",C34*Config!$B$12)</f>
        <v/>
      </c>
      <c r="G34" s="25">
        <f>IF(OR(A34="",D34=""),"",D34*Config!$B$13)</f>
        <v/>
      </c>
      <c r="H34" s="25">
        <f>IF(OR(F34="",G34=""),"",(F34+G34)/2)</f>
        <v/>
      </c>
      <c r="I34" s="26">
        <f>IF(A34="","",IF(E34="Hora","Cobre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IF(OR(A35="",C35=""),"",C35*Config!$B$12)</f>
        <v/>
      </c>
      <c r="G35" s="25">
        <f>IF(OR(A35="",D35=""),"",D35*Config!$B$13)</f>
        <v/>
      </c>
      <c r="H35" s="25">
        <f>IF(OR(F35="",G35=""),"",(F35+G35)/2)</f>
        <v/>
      </c>
      <c r="I35" s="26">
        <f>IF(A35="","",IF(E35="Hora","Cobre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IF(OR(A36="",C36=""),"",C36*Config!$B$12)</f>
        <v/>
      </c>
      <c r="G36" s="25">
        <f>IF(OR(A36="",D36=""),"",D36*Config!$B$13)</f>
        <v/>
      </c>
      <c r="H36" s="25">
        <f>IF(OR(F36="",G36=""),"",(F36+G36)/2)</f>
        <v/>
      </c>
      <c r="I36" s="26">
        <f>IF(A36="","",IF(E36="Hora","Cobre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IF(OR(A37="",C37=""),"",C37*Config!$B$12)</f>
        <v/>
      </c>
      <c r="G37" s="25">
        <f>IF(OR(A37="",D37=""),"",D37*Config!$B$13)</f>
        <v/>
      </c>
      <c r="H37" s="25">
        <f>IF(OR(F37="",G37=""),"",(F37+G37)/2)</f>
        <v/>
      </c>
      <c r="I37" s="26">
        <f>IF(A37="","",IF(E37="Hora","Cobre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IF(OR(A38="",C38=""),"",C38*Config!$B$12)</f>
        <v/>
      </c>
      <c r="G38" s="25">
        <f>IF(OR(A38="",D38=""),"",D38*Config!$B$13)</f>
        <v/>
      </c>
      <c r="H38" s="25">
        <f>IF(OR(F38="",G38=""),"",(F38+G38)/2)</f>
        <v/>
      </c>
      <c r="I38" s="26">
        <f>IF(A38="","",IF(E38="Hora","Cobre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IF(OR(A39="",C39=""),"",C39*Config!$B$12)</f>
        <v/>
      </c>
      <c r="G39" s="25">
        <f>IF(OR(A39="",D39=""),"",D39*Config!$B$13)</f>
        <v/>
      </c>
      <c r="H39" s="25">
        <f>IF(OR(F39="",G39=""),"",(F39+G39)/2)</f>
        <v/>
      </c>
      <c r="I39" s="26">
        <f>IF(A39="","",IF(E39="Hora","Cobre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IF(OR(A40="",C40=""),"",C40*Config!$B$12)</f>
        <v/>
      </c>
      <c r="G40" s="25">
        <f>IF(OR(A40="",D40=""),"",D40*Config!$B$13)</f>
        <v/>
      </c>
      <c r="H40" s="25">
        <f>IF(OR(F40="",G40=""),"",(F40+G40)/2)</f>
        <v/>
      </c>
      <c r="I40" s="26">
        <f>IF(A40="","",IF(E40="Hora","Cobre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IF(OR(A41="",C41=""),"",C41*Config!$B$12)</f>
        <v/>
      </c>
      <c r="G41" s="25">
        <f>IF(OR(A41="",D41=""),"",D41*Config!$B$13)</f>
        <v/>
      </c>
      <c r="H41" s="25">
        <f>IF(OR(F41="",G41=""),"",(F41+G41)/2)</f>
        <v/>
      </c>
      <c r="I41" s="26">
        <f>IF(A41="","",IF(E41="Hora","Cobre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IF(OR(A42="",C42=""),"",C42*Config!$B$12)</f>
        <v/>
      </c>
      <c r="G42" s="25">
        <f>IF(OR(A42="",D42=""),"",D42*Config!$B$13)</f>
        <v/>
      </c>
      <c r="H42" s="25">
        <f>IF(OR(F42="",G42=""),"",(F42+G42)/2)</f>
        <v/>
      </c>
      <c r="I42" s="26">
        <f>IF(A42="","",IF(E42="Hora","Cobre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IF(OR(A43="",C43=""),"",C43*Config!$B$12)</f>
        <v/>
      </c>
      <c r="G43" s="25">
        <f>IF(OR(A43="",D43=""),"",D43*Config!$B$13)</f>
        <v/>
      </c>
      <c r="H43" s="25">
        <f>IF(OR(F43="",G43=""),"",(F43+G43)/2)</f>
        <v/>
      </c>
      <c r="I43" s="26">
        <f>IF(A43="","",IF(E43="Hora","Cobre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IF(OR(A44="",C44=""),"",C44*Config!$B$12)</f>
        <v/>
      </c>
      <c r="G44" s="25">
        <f>IF(OR(A44="",D44=""),"",D44*Config!$B$13)</f>
        <v/>
      </c>
      <c r="H44" s="25">
        <f>IF(OR(F44="",G44=""),"",(F44+G44)/2)</f>
        <v/>
      </c>
      <c r="I44" s="26">
        <f>IF(A44="","",IF(E44="Hora","Cobre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IF(OR(A45="",C45=""),"",C45*Config!$B$12)</f>
        <v/>
      </c>
      <c r="G45" s="25">
        <f>IF(OR(A45="",D45=""),"",D45*Config!$B$13)</f>
        <v/>
      </c>
      <c r="H45" s="25">
        <f>IF(OR(F45="",G45=""),"",(F45+G45)/2)</f>
        <v/>
      </c>
      <c r="I45" s="26">
        <f>IF(A45="","",IF(E45="Hora","Cobre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IF(OR(A46="",C46=""),"",C46*Config!$B$12)</f>
        <v/>
      </c>
      <c r="G46" s="25">
        <f>IF(OR(A46="",D46=""),"",D46*Config!$B$13)</f>
        <v/>
      </c>
      <c r="H46" s="25">
        <f>IF(OR(F46="",G46=""),"",(F46+G46)/2)</f>
        <v/>
      </c>
      <c r="I46" s="26">
        <f>IF(A46="","",IF(E46="Hora","Cobre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IF(OR(A47="",C47=""),"",C47*Config!$B$12)</f>
        <v/>
      </c>
      <c r="G47" s="25">
        <f>IF(OR(A47="",D47=""),"",D47*Config!$B$13)</f>
        <v/>
      </c>
      <c r="H47" s="25">
        <f>IF(OR(F47="",G47=""),"",(F47+G47)/2)</f>
        <v/>
      </c>
      <c r="I47" s="26">
        <f>IF(A47="","",IF(E47="Hora","Cobre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IF(OR(A48="",C48=""),"",C48*Config!$B$12)</f>
        <v/>
      </c>
      <c r="G48" s="25">
        <f>IF(OR(A48="",D48=""),"",D48*Config!$B$13)</f>
        <v/>
      </c>
      <c r="H48" s="25">
        <f>IF(OR(F48="",G48=""),"",(F48+G48)/2)</f>
        <v/>
      </c>
      <c r="I48" s="26">
        <f>IF(A48="","",IF(E48="Hora","Cobre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</f>
        <v/>
      </c>
    </row>
    <row r="49">
      <c r="A49" s="27" t="inlineStr">
        <is>
          <t>Mínimo = horas de × hora mínima com folga. Máximo = horas até × hora alvo com folga (as duas incluem os 20 % de horas não previstas de Config; por isso a hora mínima daqui é maior que a da planilha 05).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 t="str">
        <f>IF(Config!$E$16="","",Config!$E$16)</f>
        <v>Cível</v>
      </c>
      <c r="B54" s="29">
        <f>IF(Config!$E$16="","",COUNTIFS('Nossos casos'!$C$5:$C$204,Config!$E$16,'Nossos casos'!$J$5:$J$204,"&lt;&gt;"))</f>
        <v>8</v>
      </c>
      <c r="C54" s="25">
        <f>IF(Config!$E$16="","",SUMIFS('Nossos casos'!$F$5:$F$204,'Nossos casos'!$C$5:$C$204,Config!$E$16))</f>
        <v>101500</v>
      </c>
      <c r="D54" s="29">
        <f>IF(Config!$E$16="","",SUMIFS('Nossos casos'!$G$5:$G$204,'Nossos casos'!$C$5:$C$204,Config!$E$16))</f>
        <v>632</v>
      </c>
      <c r="E54" s="30">
        <f>IF(OR(Config!$E$16="",D54=0),"",C54/D54)</f>
        <v>160.601265822785</v>
      </c>
      <c r="F54" s="31">
        <f>IF(E54="","",E54/Config!$B$12-1)</f>
        <v>0.255873504649599</v>
      </c>
      <c r="G54" s="29">
        <f>IF(Config!$E$16="","",COUNTIFS('Nossos casos'!$C$5:$C$204,Config!$E$16,'Nossos casos'!$J$5:$J$204,"Abaixo do mínimo"))</f>
        <v>1</v>
      </c>
      <c r="H54" s="25">
        <f>IF(Config!$E$16="","",SUMIFS('Nossos casos'!$K$5:$K$204,'Nossos casos'!$C$5:$C$204,Config!$E$16))</f>
        <v>1509.21161290322</v>
      </c>
    </row>
    <row r="55">
      <c r="A55" s="28" t="str">
        <f>IF(Config!$E$17="","",Config!$E$17)</f>
        <v>Trabalhista</v>
      </c>
      <c r="B55" s="29">
        <f>IF(Config!$E$17="","",COUNTIFS('Nossos casos'!$C$5:$C$204,Config!$E$17,'Nossos casos'!$J$5:$J$204,"&lt;&gt;"))</f>
        <v>12</v>
      </c>
      <c r="C55" s="25">
        <f>IF(Config!$E$17="","",SUMIFS('Nossos casos'!$F$5:$F$204,'Nossos casos'!$C$5:$C$204,Config!$E$17))</f>
        <v>105400</v>
      </c>
      <c r="D55" s="29">
        <f>IF(Config!$E$17="","",SUMIFS('Nossos casos'!$G$5:$G$204,'Nossos casos'!$C$5:$C$204,Config!$E$17))</f>
        <v>838</v>
      </c>
      <c r="E55" s="30">
        <f>IF(OR(Config!$E$17="",D55=0),"",C55/D55)</f>
        <v>125.775656324582</v>
      </c>
      <c r="F55" s="31">
        <f>IF(E55="","",E55/Config!$B$12-1)</f>
        <v>-0.0164566045061219</v>
      </c>
      <c r="G55" s="29">
        <f>IF(Config!$E$17="","",COUNTIFS('Nossos casos'!$C$5:$C$204,Config!$E$17,'Nossos casos'!$J$5:$J$204,"Abaixo do mínimo"))</f>
        <v>7</v>
      </c>
      <c r="H55" s="25">
        <f>IF(Config!$E$17="","",SUMIFS('Nossos casos'!$K$5:$K$204,'Nossos casos'!$C$5:$C$204,Config!$E$17))</f>
        <v>9218.8658064516</v>
      </c>
    </row>
    <row r="56">
      <c r="A56" s="28" t="str">
        <f>IF(Config!$E$18="","",Config!$E$18)</f>
        <v>Previdenciário</v>
      </c>
      <c r="B56" s="29">
        <f>IF(Config!$E$18="","",COUNTIFS('Nossos casos'!$C$5:$C$204,Config!$E$18,'Nossos casos'!$J$5:$J$204,"&lt;&gt;"))</f>
        <v>7</v>
      </c>
      <c r="C56" s="25">
        <f>IF(Config!$E$18="","",SUMIFS('Nossos casos'!$F$5:$F$204,'Nossos casos'!$C$5:$C$204,Config!$E$18))</f>
        <v>39400</v>
      </c>
      <c r="D56" s="29">
        <f>IF(Config!$E$18="","",SUMIFS('Nossos casos'!$G$5:$G$204,'Nossos casos'!$C$5:$C$204,Config!$E$18))</f>
        <v>264</v>
      </c>
      <c r="E56" s="30">
        <f>IF(OR(Config!$E$18="",D56=0),"",C56/D56)</f>
        <v>149.242424242424</v>
      </c>
      <c r="F56" s="31">
        <f>IF(E56="","",E56/Config!$B$12-1)</f>
        <v>0.167049371718866</v>
      </c>
      <c r="G56" s="29">
        <f>IF(Config!$E$18="","",COUNTIFS('Nossos casos'!$C$5:$C$204,Config!$E$18,'Nossos casos'!$J$5:$J$204,"Abaixo do mínimo"))</f>
        <v>1</v>
      </c>
      <c r="H56" s="25">
        <f>IF(Config!$E$18="","",SUMIFS('Nossos casos'!$K$5:$K$204,'Nossos casos'!$C$5:$C$204,Config!$E$18))</f>
        <v>1115.20516129032</v>
      </c>
    </row>
    <row r="57">
      <c r="A57" s="28" t="str">
        <f>IF(Config!$E$19="","",Config!$E$19)</f>
        <v>Empresarial</v>
      </c>
      <c r="B57" s="29">
        <f>IF(Config!$E$19="","",COUNTIFS('Nossos casos'!$C$5:$C$204,Config!$E$19,'Nossos casos'!$J$5:$J$204,"&lt;&gt;"))</f>
        <v>8</v>
      </c>
      <c r="C57" s="25">
        <f>IF(Config!$E$19="","",SUMIFS('Nossos casos'!$F$5:$F$204,'Nossos casos'!$C$5:$C$204,Config!$E$19))</f>
        <v>115000</v>
      </c>
      <c r="D57" s="29">
        <f>IF(Config!$E$19="","",SUMIFS('Nossos casos'!$G$5:$G$204,'Nossos casos'!$C$5:$C$204,Config!$E$19))</f>
        <v>615</v>
      </c>
      <c r="E57" s="30">
        <f>IF(OR(Config!$E$19="",D57=0),"",C57/D57)</f>
        <v>186.991869918699</v>
      </c>
      <c r="F57" s="31">
        <f>IF(E57="","",E57/Config!$B$12-1)</f>
        <v>0.462243362856868</v>
      </c>
      <c r="G57" s="29">
        <f>IF(Config!$E$19="","",COUNTIFS('Nossos casos'!$C$5:$C$204,Config!$E$19,'Nossos casos'!$J$5:$J$204,"Abaixo do mínimo"))</f>
        <v>0</v>
      </c>
      <c r="H57" s="25">
        <f>IF(Config!$E$19="","",SUMIFS('Nossos casos'!$K$5:$K$204,'Nossos casos'!$C$5:$C$204,Config!$E$19))</f>
        <v>0</v>
      </c>
    </row>
    <row r="58">
      <c r="A58" s="28" t="str">
        <f>IF(Config!$E$20="","",Config!$E$20)</f>
        <v>Família</v>
      </c>
      <c r="B58" s="29">
        <f>IF(Config!$E$20="","",COUNTIFS('Nossos casos'!$C$5:$C$204,Config!$E$20,'Nossos casos'!$J$5:$J$204,"&lt;&gt;"))</f>
        <v>3</v>
      </c>
      <c r="C58" s="25">
        <f>IF(Config!$E$20="","",SUMIFS('Nossos casos'!$F$5:$F$204,'Nossos casos'!$C$5:$C$204,Config!$E$20))</f>
        <v>22600</v>
      </c>
      <c r="D58" s="29">
        <f>IF(Config!$E$20="","",SUMIFS('Nossos casos'!$G$5:$G$204,'Nossos casos'!$C$5:$C$204,Config!$E$20))</f>
        <v>155</v>
      </c>
      <c r="E58" s="30">
        <f>IF(OR(Config!$E$20="",D58=0),"",C58/D58)</f>
        <v>145.806451612903</v>
      </c>
      <c r="F58" s="31">
        <f>IF(E58="","",E58/Config!$B$12-1)</f>
        <v>0.140180673231282</v>
      </c>
      <c r="G58" s="29">
        <f>IF(Config!$E$20="","",COUNTIFS('Nossos casos'!$C$5:$C$204,Config!$E$20,'Nossos casos'!$J$5:$J$204,"Abaixo do mínimo"))</f>
        <v>1</v>
      </c>
      <c r="H58" s="25">
        <f>IF(Config!$E$20="","",SUMIFS('Nossos casos'!$K$5:$K$204,'Nossos casos'!$C$5:$C$204,Config!$E$20))</f>
        <v>33.4070967741918</v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IF(Config!$E$21="","",SUMIFS('Nossos casos'!$F$5:$F$204,'Nossos casos'!$C$5:$C$204,Config!$E$21))</f>
        <v/>
      </c>
      <c r="D59" s="29">
        <f>IF(Config!$E$21="","",SUMIFS('Nossos casos'!$G$5:$G$204,'Nossos casos'!$C$5:$C$204,Config!$E$21))</f>
        <v/>
      </c>
      <c r="E59" s="30">
        <f>IF(OR(Config!$E$21="",D59=0),"",C59/D59)</f>
        <v/>
      </c>
      <c r="F59" s="31">
        <f>IF(E59="","",E59/Config!$B$12-1)</f>
        <v/>
      </c>
      <c r="G59" s="29">
        <f>IF(Config!$E$21="","",COUNTIFS('Nossos casos'!$C$5:$C$204,Config!$E$21,'Nossos casos'!$J$5:$J$204,"Abaixo do mínimo"))</f>
        <v/>
      </c>
      <c r="H59" s="25">
        <f>IF(Config!$E$21="","",SUMIFS('Nossos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IF(Config!$E$22="","",SUMIFS('Nossos casos'!$F$5:$F$204,'Nossos casos'!$C$5:$C$204,Config!$E$22))</f>
        <v/>
      </c>
      <c r="D60" s="29">
        <f>IF(Config!$E$22="","",SUMIFS('Nossos casos'!$G$5:$G$204,'Nossos casos'!$C$5:$C$204,Config!$E$22))</f>
        <v/>
      </c>
      <c r="E60" s="30">
        <f>IF(OR(Config!$E$22="",D60=0),"",C60/D60)</f>
        <v/>
      </c>
      <c r="F60" s="31">
        <f>IF(E60="","",E60/Config!$B$12-1)</f>
        <v/>
      </c>
      <c r="G60" s="29">
        <f>IF(Config!$E$22="","",COUNTIFS('Nossos casos'!$C$5:$C$204,Config!$E$22,'Nossos casos'!$J$5:$J$204,"Abaixo do mínimo"))</f>
        <v/>
      </c>
      <c r="H60" s="25">
        <f>IF(Config!$E$22="","",SUMIFS('Nossos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IF(Config!$E$23="","",SUMIFS('Nossos casos'!$F$5:$F$204,'Nossos casos'!$C$5:$C$204,Config!$E$23))</f>
        <v/>
      </c>
      <c r="D61" s="29">
        <f>IF(Config!$E$23="","",SUMIFS('Nossos casos'!$G$5:$G$204,'Nossos casos'!$C$5:$C$204,Config!$E$23))</f>
        <v/>
      </c>
      <c r="E61" s="30">
        <f>IF(OR(Config!$E$23="",D61=0),"",C61/D61)</f>
        <v/>
      </c>
      <c r="F61" s="31">
        <f>IF(E61="","",E61/Config!$B$12-1)</f>
        <v/>
      </c>
      <c r="G61" s="29">
        <f>IF(Config!$E$23="","",COUNTIFS('Nossos casos'!$C$5:$C$204,Config!$E$23,'Nossos casos'!$J$5:$J$204,"Abaixo do mínimo"))</f>
        <v/>
      </c>
      <c r="H61" s="25">
        <f>IF(Config!$E$23="","",SUMIFS('Nossos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IF(Config!$E$24="","",SUMIFS('Nossos casos'!$F$5:$F$204,'Nossos casos'!$C$5:$C$204,Config!$E$24))</f>
        <v/>
      </c>
      <c r="D62" s="29">
        <f>IF(Config!$E$24="","",SUMIFS('Nossos casos'!$G$5:$G$204,'Nossos casos'!$C$5:$C$204,Config!$E$24))</f>
        <v/>
      </c>
      <c r="E62" s="30">
        <f>IF(OR(Config!$E$24="",D62=0),"",C62/D62)</f>
        <v/>
      </c>
      <c r="F62" s="31">
        <f>IF(E62="","",E62/Config!$B$12-1)</f>
        <v/>
      </c>
      <c r="G62" s="29">
        <f>IF(Config!$E$24="","",COUNTIFS('Nossos casos'!$C$5:$C$204,Config!$E$24,'Nossos casos'!$J$5:$J$204,"Abaixo do mínimo"))</f>
        <v/>
      </c>
      <c r="H62" s="25">
        <f>IF(Config!$E$24="","",SUMIFS('Nossos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IF(Config!$E$25="","",SUMIFS('Nossos casos'!$F$5:$F$204,'Nossos casos'!$C$5:$C$204,Config!$E$25))</f>
        <v/>
      </c>
      <c r="D63" s="29">
        <f>IF(Config!$E$25="","",SUMIFS('Nossos casos'!$G$5:$G$204,'Nossos casos'!$C$5:$C$204,Config!$E$25))</f>
        <v/>
      </c>
      <c r="E63" s="30">
        <f>IF(OR(Config!$E$25="",D63=0),"",C63/D63)</f>
        <v/>
      </c>
      <c r="F63" s="31">
        <f>IF(E63="","",E63/Config!$B$12-1)</f>
        <v/>
      </c>
      <c r="G63" s="29">
        <f>IF(Config!$E$25="","",COUNTIFS('Nossos casos'!$C$5:$C$204,Config!$E$25,'Nossos casos'!$J$5:$J$204,"Abaixo do mínimo"))</f>
        <v/>
      </c>
      <c r="H63" s="25">
        <f>IF(Config!$E$25="","",SUMIFS('Nossos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IF(Config!$E$26="","",SUMIFS('Nossos casos'!$F$5:$F$204,'Nossos casos'!$C$5:$C$204,Config!$E$26))</f>
        <v/>
      </c>
      <c r="D64" s="29">
        <f>IF(Config!$E$26="","",SUMIFS('Nossos casos'!$G$5:$G$204,'Nossos casos'!$C$5:$C$204,Config!$E$26))</f>
        <v/>
      </c>
      <c r="E64" s="30">
        <f>IF(OR(Config!$E$26="",D64=0),"",C64/D64)</f>
        <v/>
      </c>
      <c r="F64" s="31">
        <f>IF(E64="","",E64/Config!$B$12-1)</f>
        <v/>
      </c>
      <c r="G64" s="29">
        <f>IF(Config!$E$26="","",COUNTIFS('Nossos casos'!$C$5:$C$204,Config!$E$26,'Nossos casos'!$J$5:$J$204,"Abaixo do mínimo"))</f>
        <v/>
      </c>
      <c r="H64" s="25">
        <f>IF(Config!$E$26="","",SUMIFS('Nossos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IF(Config!$E$27="","",SUMIFS('Nossos casos'!$F$5:$F$204,'Nossos casos'!$C$5:$C$204,Config!$E$27))</f>
        <v/>
      </c>
      <c r="D65" s="29">
        <f>IF(Config!$E$27="","",SUMIFS('Nossos casos'!$G$5:$G$204,'Nossos casos'!$C$5:$C$204,Config!$E$27))</f>
        <v/>
      </c>
      <c r="E65" s="30">
        <f>IF(OR(Config!$E$27="",D65=0),"",C65/D65)</f>
        <v/>
      </c>
      <c r="F65" s="31">
        <f>IF(E65="","",E65/Config!$B$12-1)</f>
        <v/>
      </c>
      <c r="G65" s="29">
        <f>IF(Config!$E$27="","",COUNTIFS('Nossos casos'!$C$5:$C$204,Config!$E$27,'Nossos casos'!$J$5:$J$204,"Abaixo do mínimo"))</f>
        <v/>
      </c>
      <c r="H65" s="25">
        <f>IF(Config!$E$27="","",SUMIFS('Nossos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IF(Config!$E$28="","",SUMIFS('Nossos casos'!$F$5:$F$204,'Nossos casos'!$C$5:$C$204,Config!$E$28))</f>
        <v/>
      </c>
      <c r="D66" s="29">
        <f>IF(Config!$E$28="","",SUMIFS('Nossos casos'!$G$5:$G$204,'Nossos casos'!$C$5:$C$204,Config!$E$28))</f>
        <v/>
      </c>
      <c r="E66" s="30">
        <f>IF(OR(Config!$E$28="",D66=0),"",C66/D66)</f>
        <v/>
      </c>
      <c r="F66" s="31">
        <f>IF(E66="","",E66/Config!$B$12-1)</f>
        <v/>
      </c>
      <c r="G66" s="29">
        <f>IF(Config!$E$28="","",COUNTIFS('Nossos casos'!$C$5:$C$204,Config!$E$28,'Nossos casos'!$J$5:$J$204,"Abaixo do mínimo"))</f>
        <v/>
      </c>
      <c r="H66" s="25">
        <f>IF(Config!$E$28="","",SUMIFS('Nossos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IF(Config!$E$29="","",SUMIFS('Nossos casos'!$F$5:$F$204,'Nossos casos'!$C$5:$C$204,Config!$E$29))</f>
        <v/>
      </c>
      <c r="D67" s="29">
        <f>IF(Config!$E$29="","",SUMIFS('Nossos casos'!$G$5:$G$204,'Nossos casos'!$C$5:$C$204,Config!$E$29))</f>
        <v/>
      </c>
      <c r="E67" s="30">
        <f>IF(OR(Config!$E$29="",D67=0),"",C67/D67)</f>
        <v/>
      </c>
      <c r="F67" s="31">
        <f>IF(E67="","",E67/Config!$B$12-1)</f>
        <v/>
      </c>
      <c r="G67" s="29">
        <f>IF(Config!$E$29="","",COUNTIFS('Nossos casos'!$C$5:$C$204,Config!$E$29,'Nossos casos'!$J$5:$J$204,"Abaixo do mínimo"))</f>
        <v/>
      </c>
      <c r="H67" s="25">
        <f>IF(Config!$E$29="","",SUMIFS('Nossos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IF(Config!$E$30="","",SUMIFS('Nossos casos'!$F$5:$F$204,'Nossos casos'!$C$5:$C$204,Config!$E$30))</f>
        <v/>
      </c>
      <c r="D68" s="29">
        <f>IF(Config!$E$30="","",SUMIFS('Nossos casos'!$G$5:$G$204,'Nossos casos'!$C$5:$C$204,Config!$E$30))</f>
        <v/>
      </c>
      <c r="E68" s="30">
        <f>IF(OR(Config!$E$30="",D68=0),"",C68/D68)</f>
        <v/>
      </c>
      <c r="F68" s="31">
        <f>IF(E68="","",E68/Config!$B$12-1)</f>
        <v/>
      </c>
      <c r="G68" s="29">
        <f>IF(Config!$E$30="","",COUNTIFS('Nossos casos'!$C$5:$C$204,Config!$E$30,'Nossos casos'!$J$5:$J$204,"Abaixo do mínimo"))</f>
        <v/>
      </c>
      <c r="H68" s="25">
        <f>IF(Config!$E$30="","",SUMIFS('Nossos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IF(Config!$E$31="","",SUMIFS('Nossos casos'!$F$5:$F$204,'Nossos casos'!$C$5:$C$204,Config!$E$31))</f>
        <v/>
      </c>
      <c r="D69" s="29">
        <f>IF(Config!$E$31="","",SUMIFS('Nossos casos'!$G$5:$G$204,'Nossos casos'!$C$5:$C$204,Config!$E$31))</f>
        <v/>
      </c>
      <c r="E69" s="30">
        <f>IF(OR(Config!$E$31="",D69=0),"",C69/D69)</f>
        <v/>
      </c>
      <c r="F69" s="31">
        <f>IF(E69="","",E69/Config!$B$12-1)</f>
        <v/>
      </c>
      <c r="G69" s="29">
        <f>IF(Config!$E$31="","",COUNTIFS('Nossos casos'!$C$5:$C$204,Config!$E$31,'Nossos casos'!$J$5:$J$204,"Abaixo do mínimo"))</f>
        <v/>
      </c>
      <c r="H69" s="25">
        <f>IF(Config!$E$31="","",SUMIFS('Nossos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IF(Config!$E$32="","",SUMIFS('Nossos casos'!$F$5:$F$204,'Nossos casos'!$C$5:$C$204,Config!$E$32))</f>
        <v/>
      </c>
      <c r="D70" s="29">
        <f>IF(Config!$E$32="","",SUMIFS('Nossos casos'!$G$5:$G$204,'Nossos casos'!$C$5:$C$204,Config!$E$32))</f>
        <v/>
      </c>
      <c r="E70" s="30">
        <f>IF(OR(Config!$E$32="",D70=0),"",C70/D70)</f>
        <v/>
      </c>
      <c r="F70" s="31">
        <f>IF(E70="","",E70/Config!$B$12-1)</f>
        <v/>
      </c>
      <c r="G70" s="29">
        <f>IF(Config!$E$32="","",COUNTIFS('Nossos casos'!$C$5:$C$204,Config!$E$32,'Nossos casos'!$J$5:$J$204,"Abaixo do mínimo"))</f>
        <v/>
      </c>
      <c r="H70" s="25">
        <f>IF(Config!$E$32="","",SUMIFS('Nossos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IF(Config!$E$33="","",SUMIFS('Nossos casos'!$F$5:$F$204,'Nossos casos'!$C$5:$C$204,Config!$E$33))</f>
        <v/>
      </c>
      <c r="D71" s="29">
        <f>IF(Config!$E$33="","",SUMIFS('Nossos casos'!$G$5:$G$204,'Nossos casos'!$C$5:$C$204,Config!$E$33))</f>
        <v/>
      </c>
      <c r="E71" s="30">
        <f>IF(OR(Config!$E$33="",D71=0),"",C71/D71)</f>
        <v/>
      </c>
      <c r="F71" s="31">
        <f>IF(E71="","",E71/Config!$B$12-1)</f>
        <v/>
      </c>
      <c r="G71" s="29">
        <f>IF(Config!$E$33="","",COUNTIFS('Nossos casos'!$C$5:$C$204,Config!$E$33,'Nossos casos'!$J$5:$J$204,"Abaixo do mínimo"))</f>
        <v/>
      </c>
      <c r="H71" s="25">
        <f>IF(Config!$E$33="","",SUMIFS('Nossos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IF(Config!$E$34="","",SUMIFS('Nossos casos'!$F$5:$F$204,'Nossos casos'!$C$5:$C$204,Config!$E$34))</f>
        <v/>
      </c>
      <c r="D72" s="29">
        <f>IF(Config!$E$34="","",SUMIFS('Nossos casos'!$G$5:$G$204,'Nossos casos'!$C$5:$C$204,Config!$E$34))</f>
        <v/>
      </c>
      <c r="E72" s="30">
        <f>IF(OR(Config!$E$34="",D72=0),"",C72/D72)</f>
        <v/>
      </c>
      <c r="F72" s="31">
        <f>IF(E72="","",E72/Config!$B$12-1)</f>
        <v/>
      </c>
      <c r="G72" s="29">
        <f>IF(Config!$E$34="","",COUNTIFS('Nossos casos'!$C$5:$C$204,Config!$E$34,'Nossos casos'!$J$5:$J$204,"Abaixo do mínimo"))</f>
        <v/>
      </c>
      <c r="H72" s="25">
        <f>IF(Config!$E$34="","",SUMIFS('Nossos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IF(Config!$E$35="","",SUMIFS('Nossos casos'!$F$5:$F$204,'Nossos casos'!$C$5:$C$204,Config!$E$35))</f>
        <v/>
      </c>
      <c r="D73" s="29">
        <f>IF(Config!$E$35="","",SUMIFS('Nossos casos'!$G$5:$G$204,'Nossos casos'!$C$5:$C$204,Config!$E$35))</f>
        <v/>
      </c>
      <c r="E73" s="30">
        <f>IF(OR(Config!$E$35="",D73=0),"",C73/D73)</f>
        <v/>
      </c>
      <c r="F73" s="31">
        <f>IF(E73="","",E73/Config!$B$12-1)</f>
        <v/>
      </c>
      <c r="G73" s="29">
        <f>IF(Config!$E$35="","",COUNTIFS('Nossos casos'!$C$5:$C$204,Config!$E$35,'Nossos casos'!$J$5:$J$204,"Abaixo do mínimo"))</f>
        <v/>
      </c>
      <c r="H73" s="25">
        <f>IF(Config!$E$35="","",SUMIFS('Nossos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 t="str">
        <f>IF($I78="","",INDEX('Nossos casos'!$A$5:$A$204,$I78))</f>
        <v>2998500-50.2026.8.26.0515</v>
      </c>
      <c r="B78" s="28" t="str">
        <f>IF($I78="","",INDEX('Nossos casos'!$B$5:$B$204,$I78))</f>
        <v>Ana Beatriz Moreira</v>
      </c>
      <c r="C78" s="33" t="str">
        <f>IF($I78="","",INDEX('Nossos casos'!$C$5:$C$204,$I78))</f>
        <v>Trabalhista</v>
      </c>
      <c r="D78" s="33" t="str">
        <f>IF($I78="","",INDEX('Nossos casos'!$D$5:$D$204,$I78))</f>
        <v>Êxito</v>
      </c>
      <c r="E78" s="25">
        <f>IF($I78="","",INDEX('Nossos casos'!$F$5:$F$204,$I78))</f>
        <v>6000</v>
      </c>
      <c r="F78" s="29">
        <f>IF($I78="","",INDEX('Nossos casos'!$G$5:$G$204,$I78))</f>
        <v>70</v>
      </c>
      <c r="G78" s="30">
        <f>IF($I78="","",INDEX('Nossos casos'!$H$5:$H$204,$I78))</f>
        <v>85.7142857142857</v>
      </c>
      <c r="H78" s="25">
        <f>IF($I78="","",INDEX('Nossos casos'!$K$5:$K$204,$I78))</f>
        <v>2951.60903225806</v>
      </c>
      <c r="I78" s="34">
        <f>IFERROR(IF(LARGE('Nossos casos'!$L$5:$L$204,1)&lt;1,"",MATCH(LARGE('Nossos casos'!$L$5:$L$204,1),'Nossos casos'!$L$5:$L$204,0)),"")</f>
        <v>2</v>
      </c>
    </row>
    <row r="79">
      <c r="A79" s="28" t="str">
        <f>IF($I79="","",INDEX('Nossos casos'!$A$5:$A$204,$I79))</f>
        <v>9495290-86.2025.8.26.0503</v>
      </c>
      <c r="B79" s="28" t="str">
        <f>IF($I79="","",INDEX('Nossos casos'!$B$5:$B$204,$I79))</f>
        <v>Helena Duarte</v>
      </c>
      <c r="C79" s="33" t="str">
        <f>IF($I79="","",INDEX('Nossos casos'!$C$5:$C$204,$I79))</f>
        <v>Trabalhista</v>
      </c>
      <c r="D79" s="33" t="str">
        <f>IF($I79="","",INDEX('Nossos casos'!$D$5:$D$204,$I79))</f>
        <v>Êxito</v>
      </c>
      <c r="E79" s="25">
        <f>IF($I79="","",INDEX('Nossos casos'!$F$5:$F$204,$I79))</f>
        <v>7000</v>
      </c>
      <c r="F79" s="29">
        <f>IF($I79="","",INDEX('Nossos casos'!$G$5:$G$204,$I79))</f>
        <v>70</v>
      </c>
      <c r="G79" s="30">
        <f>IF($I79="","",INDEX('Nossos casos'!$H$5:$H$204,$I79))</f>
        <v>100</v>
      </c>
      <c r="H79" s="25">
        <f>IF($I79="","",INDEX('Nossos casos'!$K$5:$K$204,$I79))</f>
        <v>1951.60903225806</v>
      </c>
      <c r="I79" s="34">
        <f>IFERROR(IF(LARGE('Nossos casos'!$L$5:$L$204,2)&lt;1,"",MATCH(LARGE('Nossos casos'!$L$5:$L$204,2),'Nossos casos'!$L$5:$L$204,0)),"")</f>
        <v>27</v>
      </c>
    </row>
    <row r="80">
      <c r="A80" s="28" t="str">
        <f>IF($I80="","",INDEX('Nossos casos'!$A$5:$A$204,$I80))</f>
        <v>9236009-85.2025.8.26.0452</v>
      </c>
      <c r="B80" s="28" t="str">
        <f>IF($I80="","",INDEX('Nossos casos'!$B$5:$B$204,$I80))</f>
        <v>Bistrô 42</v>
      </c>
      <c r="C80" s="33" t="str">
        <f>IF($I80="","",INDEX('Nossos casos'!$C$5:$C$204,$I80))</f>
        <v>Trabalhista</v>
      </c>
      <c r="D80" s="33" t="str">
        <f>IF($I80="","",INDEX('Nossos casos'!$D$5:$D$204,$I80))</f>
        <v>Êxito</v>
      </c>
      <c r="E80" s="25">
        <f>IF($I80="","",INDEX('Nossos casos'!$F$5:$F$204,$I80))</f>
        <v>4000</v>
      </c>
      <c r="F80" s="29">
        <f>IF($I80="","",INDEX('Nossos casos'!$G$5:$G$204,$I80))</f>
        <v>45</v>
      </c>
      <c r="G80" s="30">
        <f>IF($I80="","",INDEX('Nossos casos'!$H$5:$H$204,$I80))</f>
        <v>88.8888888888889</v>
      </c>
      <c r="H80" s="25">
        <f>IF($I80="","",INDEX('Nossos casos'!$K$5:$K$204,$I80))</f>
        <v>1754.60580645161</v>
      </c>
      <c r="I80" s="34">
        <f>IFERROR(IF(LARGE('Nossos casos'!$L$5:$L$204,3)&lt;1,"",MATCH(LARGE('Nossos casos'!$L$5:$L$204,3),'Nossos casos'!$L$5:$L$204,0)),"")</f>
        <v>9</v>
      </c>
    </row>
    <row r="81">
      <c r="A81" s="28" t="str">
        <f>IF($I81="","",INDEX('Nossos casos'!$A$5:$A$204,$I81))</f>
        <v>6710873-21.2025.8.26.0571</v>
      </c>
      <c r="B81" s="28" t="str">
        <f>IF($I81="","",INDEX('Nossos casos'!$B$5:$B$204,$I81))</f>
        <v>Escola Aurora</v>
      </c>
      <c r="C81" s="33" t="str">
        <f>IF($I81="","",INDEX('Nossos casos'!$C$5:$C$204,$I81))</f>
        <v>Cível</v>
      </c>
      <c r="D81" s="33" t="str">
        <f>IF($I81="","",INDEX('Nossos casos'!$D$5:$D$204,$I81))</f>
        <v>Misto</v>
      </c>
      <c r="E81" s="25">
        <f>IF($I81="","",INDEX('Nossos casos'!$F$5:$F$204,$I81))</f>
        <v>10000</v>
      </c>
      <c r="F81" s="29">
        <f>IF($I81="","",INDEX('Nossos casos'!$G$5:$G$204,$I81))</f>
        <v>90</v>
      </c>
      <c r="G81" s="30">
        <f>IF($I81="","",INDEX('Nossos casos'!$H$5:$H$204,$I81))</f>
        <v>111.111111111111</v>
      </c>
      <c r="H81" s="25">
        <f>IF($I81="","",INDEX('Nossos casos'!$K$5:$K$204,$I81))</f>
        <v>1509.21161290322</v>
      </c>
      <c r="I81" s="34">
        <f>IFERROR(IF(LARGE('Nossos casos'!$L$5:$L$204,4)&lt;1,"",MATCH(LARGE('Nossos casos'!$L$5:$L$204,4),'Nossos casos'!$L$5:$L$204,0)),"")</f>
        <v>19</v>
      </c>
    </row>
    <row r="82">
      <c r="A82" s="28" t="str">
        <f>IF($I82="","",INDEX('Nossos casos'!$A$5:$A$204,$I82))</f>
        <v>4526984-60.2026.8.26.0258</v>
      </c>
      <c r="B82" s="28" t="str">
        <f>IF($I82="","",INDEX('Nossos casos'!$B$5:$B$204,$I82))</f>
        <v>Transportadora Rota Sul</v>
      </c>
      <c r="C82" s="33" t="str">
        <f>IF($I82="","",INDEX('Nossos casos'!$C$5:$C$204,$I82))</f>
        <v>Trabalhista</v>
      </c>
      <c r="D82" s="33" t="str">
        <f>IF($I82="","",INDEX('Nossos casos'!$D$5:$D$204,$I82))</f>
        <v>Êxito</v>
      </c>
      <c r="E82" s="25">
        <f>IF($I82="","",INDEX('Nossos casos'!$F$5:$F$204,$I82))</f>
        <v>9000</v>
      </c>
      <c r="F82" s="29">
        <f>IF($I82="","",INDEX('Nossos casos'!$G$5:$G$204,$I82))</f>
        <v>80</v>
      </c>
      <c r="G82" s="30">
        <f>IF($I82="","",INDEX('Nossos casos'!$H$5:$H$204,$I82))</f>
        <v>112.5</v>
      </c>
      <c r="H82" s="25">
        <f>IF($I82="","",INDEX('Nossos casos'!$K$5:$K$204,$I82))</f>
        <v>1230.41032258064</v>
      </c>
      <c r="I82" s="34">
        <f>IFERROR(IF(LARGE('Nossos casos'!$L$5:$L$204,5)&lt;1,"",MATCH(LARGE('Nossos casos'!$L$5:$L$204,5),'Nossos casos'!$L$5:$L$204,0)),"")</f>
        <v>15</v>
      </c>
    </row>
    <row r="83">
      <c r="A83" s="28" t="str">
        <f>IF($I83="","",INDEX('Nossos casos'!$A$5:$A$204,$I83))</f>
        <v>5900991-46.2026.8.26.0469</v>
      </c>
      <c r="B83" s="28" t="str">
        <f>IF($I83="","",INDEX('Nossos casos'!$B$5:$B$204,$I83))</f>
        <v>José Antônio Ribeiro</v>
      </c>
      <c r="C83" s="33" t="str">
        <f>IF($I83="","",INDEX('Nossos casos'!$C$5:$C$204,$I83))</f>
        <v>Previdenciário</v>
      </c>
      <c r="D83" s="33" t="str">
        <f>IF($I83="","",INDEX('Nossos casos'!$D$5:$D$204,$I83))</f>
        <v>Êxito</v>
      </c>
      <c r="E83" s="25">
        <f>IF($I83="","",INDEX('Nossos casos'!$F$5:$F$204,$I83))</f>
        <v>4000</v>
      </c>
      <c r="F83" s="29">
        <f>IF($I83="","",INDEX('Nossos casos'!$G$5:$G$204,$I83))</f>
        <v>40</v>
      </c>
      <c r="G83" s="30">
        <f>IF($I83="","",INDEX('Nossos casos'!$H$5:$H$204,$I83))</f>
        <v>100</v>
      </c>
      <c r="H83" s="25">
        <f>IF($I83="","",INDEX('Nossos casos'!$K$5:$K$204,$I83))</f>
        <v>1115.20516129032</v>
      </c>
      <c r="I83" s="34">
        <f>IFERROR(IF(LARGE('Nossos casos'!$L$5:$L$204,6)&lt;1,"",MATCH(LARGE('Nossos casos'!$L$5:$L$204,6),'Nossos casos'!$L$5:$L$204,0)),"")</f>
        <v>20</v>
      </c>
    </row>
    <row r="84">
      <c r="A84" s="28" t="str">
        <f>IF($I84="","",INDEX('Nossos casos'!$A$5:$A$204,$I84))</f>
        <v>8056747-83.2026.8.26.0561</v>
      </c>
      <c r="B84" s="28" t="str">
        <f>IF($I84="","",INDEX('Nossos casos'!$B$5:$B$204,$I84))</f>
        <v>Bistrô 42</v>
      </c>
      <c r="C84" s="33" t="str">
        <f>IF($I84="","",INDEX('Nossos casos'!$C$5:$C$204,$I84))</f>
        <v>Trabalhista</v>
      </c>
      <c r="D84" s="33" t="str">
        <f>IF($I84="","",INDEX('Nossos casos'!$D$5:$D$204,$I84))</f>
        <v>Fixo</v>
      </c>
      <c r="E84" s="25">
        <f>IF($I84="","",INDEX('Nossos casos'!$F$5:$F$204,$I84))</f>
        <v>9500</v>
      </c>
      <c r="F84" s="29">
        <f>IF($I84="","",INDEX('Nossos casos'!$G$5:$G$204,$I84))</f>
        <v>80</v>
      </c>
      <c r="G84" s="30">
        <f>IF($I84="","",INDEX('Nossos casos'!$H$5:$H$204,$I84))</f>
        <v>118.75</v>
      </c>
      <c r="H84" s="25">
        <f>IF($I84="","",INDEX('Nossos casos'!$K$5:$K$204,$I84))</f>
        <v>730.410322580643</v>
      </c>
      <c r="I84" s="34">
        <f>IFERROR(IF(LARGE('Nossos casos'!$L$5:$L$204,7)&lt;1,"",MATCH(LARGE('Nossos casos'!$L$5:$L$204,7),'Nossos casos'!$L$5:$L$204,0)),"")</f>
        <v>8</v>
      </c>
    </row>
    <row r="85">
      <c r="A85" s="28" t="str">
        <f>IF($I85="","",INDEX('Nossos casos'!$A$5:$A$204,$I85))</f>
        <v>9420478-99.2025.8.26.0491</v>
      </c>
      <c r="B85" s="28" t="str">
        <f>IF($I85="","",INDEX('Nossos casos'!$B$5:$B$204,$I85))</f>
        <v>Ana Beatriz Moreira</v>
      </c>
      <c r="C85" s="33" t="str">
        <f>IF($I85="","",INDEX('Nossos casos'!$C$5:$C$204,$I85))</f>
        <v>Trabalhista</v>
      </c>
      <c r="D85" s="33" t="str">
        <f>IF($I85="","",INDEX('Nossos casos'!$D$5:$D$204,$I85))</f>
        <v>Misto</v>
      </c>
      <c r="E85" s="25">
        <f>IF($I85="","",INDEX('Nossos casos'!$F$5:$F$204,$I85))</f>
        <v>8500</v>
      </c>
      <c r="F85" s="29">
        <f>IF($I85="","",INDEX('Nossos casos'!$G$5:$G$204,$I85))</f>
        <v>70</v>
      </c>
      <c r="G85" s="30">
        <f>IF($I85="","",INDEX('Nossos casos'!$H$5:$H$204,$I85))</f>
        <v>121.428571428571</v>
      </c>
      <c r="H85" s="25">
        <f>IF($I85="","",INDEX('Nossos casos'!$K$5:$K$204,$I85))</f>
        <v>451.609032258062</v>
      </c>
      <c r="I85" s="34">
        <f>IFERROR(IF(LARGE('Nossos casos'!$L$5:$L$204,8)&lt;1,"",MATCH(LARGE('Nossos casos'!$L$5:$L$204,8),'Nossos casos'!$L$5:$L$204,0)),"")</f>
        <v>38</v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A1:K1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>
        <f>TODAY()</f>
        <v>46279.0</v>
      </c>
    </row>
    <row r="7">
      <c r="A7" s="35" t="inlineStr">
        <is>
          <t>Custo-hora do escritório (R$)</t>
        </is>
      </c>
      <c r="B7" s="37" t="n">
        <v>66.0714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com folga (20 % de horas não previstas) (R$)</t>
        </is>
      </c>
      <c r="B12" s="39">
        <f>IFERROR(B7*(1+B11)/(1-B8-B9),"")</f>
        <v>127.880129032258</v>
      </c>
      <c r="C12" s="27" t="inlineStr">
        <is>
          <t>Custo-hora × (1 + folga) ÷ (1 − impostos − margem mínima). É a hora mínima da planilha 05 (R$ 106,57 → R$ 110) com 20 % de folga para horas não previstas: por isso é maior. A tabela usa esta, mais protegida, porque a faixa é fixada antes de conhecer o caso.</t>
        </is>
      </c>
    </row>
    <row r="13">
      <c r="A13" s="35" t="inlineStr">
        <is>
          <t>Hora alvo com folga (R$)</t>
        </is>
      </c>
      <c r="B13" s="39">
        <f>IFERROR(B7*(1+B11)/(1-B8-B10),"")</f>
        <v>168.692936170213</v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hidden="1" width="10" customWidth="1" min="12" max="12"/>
  </cols>
  <sheetData>
    <row r="1" ht="28" customHeight="1">
      <c r="A1" s="5" t="inlineStr">
        <is>
          <t>O que cobramos hoje</t>
        </is>
      </c>
    </row>
    <row r="2">
      <c r="A2" s="6" t="inlineStr">
        <is>
          <t>Uma linha por caso (copie da planilha 13 · Carteira, aba Casos: a 13 é a fonte; horas estimadas da 16). O valor por hora é comparado com a hora mínima com folga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 com folga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CONS-2026-01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Fixo</t>
        </is>
      </c>
      <c r="E5" s="24" t="inlineStr">
        <is>
          <t>Consultivo</t>
        </is>
      </c>
      <c r="F5" s="40" t="n">
        <v>18000</v>
      </c>
      <c r="G5" s="23" t="n">
        <v>72</v>
      </c>
      <c r="H5" s="30">
        <f>IF(OR(A5="",G5="",G5=0,F5=""),"",F5/G5)</f>
        <v>250</v>
      </c>
      <c r="I5" s="31">
        <f>IF(H5="","",H5/Config!$B$12-1)</f>
        <v>0.954955800341247</v>
      </c>
      <c r="J5" s="33" t="str">
        <f>IF(H5="","",IF(H5&lt;Config!$B$12,"Abaixo do mínimo",IF(H5&lt;Config!$B$13,"Na faixa","Acima do alvo")))</f>
        <v>Acima do alvo</v>
      </c>
      <c r="K5" s="25">
        <f>IF(H5="","",MAX(0,Config!$B$12*G5-F5))</f>
        <v>0</v>
      </c>
      <c r="L5" s="41">
        <f>IF(K5="","",K5+ROW()/1000000)</f>
        <v>5e-06</v>
      </c>
    </row>
    <row r="6">
      <c r="A6" s="22" t="inlineStr">
        <is>
          <t>2998500-50.2026.8.26.0515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Êxito</t>
        </is>
      </c>
      <c r="E6" s="24" t="inlineStr">
        <is>
          <t>Inicial</t>
        </is>
      </c>
      <c r="F6" s="40" t="n">
        <v>6000</v>
      </c>
      <c r="G6" s="23" t="n">
        <v>70</v>
      </c>
      <c r="H6" s="30">
        <f>IF(OR(A6="",G6="",G6=0,F6=""),"",F6/G6)</f>
        <v>85.7142857142857</v>
      </c>
      <c r="I6" s="31">
        <f>IF(H6="","",H6/Config!$B$12-1)</f>
        <v>-0.329729439883001</v>
      </c>
      <c r="J6" s="33" t="str">
        <f>IF(H6="","",IF(H6&lt;Config!$B$12,"Abaixo do mínimo",IF(H6&lt;Config!$B$13,"Na faixa","Acima do alvo")))</f>
        <v>Abaixo do mínimo</v>
      </c>
      <c r="K6" s="25">
        <f>IF(H6="","",MAX(0,Config!$B$12*G6-F6))</f>
        <v>2951.60903225806</v>
      </c>
      <c r="L6" s="41">
        <f>IF(K6="","",K6+ROW()/1000000)</f>
        <v>2951.60903825806</v>
      </c>
    </row>
    <row r="7">
      <c r="A7" s="22" t="inlineStr">
        <is>
          <t>9586960-92.2026.8.26.0106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Inicial</t>
        </is>
      </c>
      <c r="F7" s="40" t="n">
        <v>15500</v>
      </c>
      <c r="G7" s="23" t="n">
        <v>90</v>
      </c>
      <c r="H7" s="30">
        <f>IF(OR(A7="",G7="",G7=0,F7=""),"",F7/G7)</f>
        <v>172.222222222222</v>
      </c>
      <c r="I7" s="31">
        <f>IF(H7="","",H7/Config!$B$12-1)</f>
        <v>0.34674732912397</v>
      </c>
      <c r="J7" s="33" t="str">
        <f>IF(H7="","",IF(H7&lt;Config!$B$12,"Abaixo do mínimo",IF(H7&lt;Config!$B$13,"Na faixa","Acima do alvo")))</f>
        <v>Acima do alvo</v>
      </c>
      <c r="K7" s="25">
        <f>IF(H7="","",MAX(0,Config!$B$12*G7-F7))</f>
        <v>0</v>
      </c>
      <c r="L7" s="41">
        <f>IF(K7="","",K7+ROW()/1000000)</f>
        <v>7e-06</v>
      </c>
    </row>
    <row r="8">
      <c r="A8" s="22" t="inlineStr">
        <is>
          <t>4746093-86.2026.8.26.0637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Fixo</t>
        </is>
      </c>
      <c r="E8" s="24" t="inlineStr">
        <is>
          <t>Inicial</t>
        </is>
      </c>
      <c r="F8" s="40" t="n">
        <v>5400</v>
      </c>
      <c r="G8" s="23" t="n">
        <v>40</v>
      </c>
      <c r="H8" s="30">
        <f>IF(OR(A8="",G8="",G8=0,F8=""),"",F8/G8)</f>
        <v>135</v>
      </c>
      <c r="I8" s="31">
        <f>IF(H8="","",H8/Config!$B$12-1)</f>
        <v>0.0556761321842736</v>
      </c>
      <c r="J8" s="33" t="str">
        <f>IF(H8="","",IF(H8&lt;Config!$B$12,"Abaixo do mínimo",IF(H8&lt;Config!$B$13,"Na faixa","Acima do alvo")))</f>
        <v>Na faixa</v>
      </c>
      <c r="K8" s="25">
        <f>IF(H8="","",MAX(0,Config!$B$12*G8-F8))</f>
        <v>0</v>
      </c>
      <c r="L8" s="41">
        <f>IF(K8="","",K8+ROW()/1000000)</f>
        <v>8e-06</v>
      </c>
    </row>
    <row r="9">
      <c r="A9" s="22" t="inlineStr">
        <is>
          <t>CONS-2026-02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Fixo</t>
        </is>
      </c>
      <c r="E9" s="24" t="inlineStr">
        <is>
          <t>Consultivo</t>
        </is>
      </c>
      <c r="F9" s="40" t="n">
        <v>8400</v>
      </c>
      <c r="G9" s="23" t="n">
        <v>45</v>
      </c>
      <c r="H9" s="30">
        <f>IF(OR(A9="",G9="",G9=0,F9=""),"",F9/G9)</f>
        <v>186.666666666667</v>
      </c>
      <c r="I9" s="31">
        <f>IF(H9="","",H9/Config!$B$12-1)</f>
        <v>0.459700330921465</v>
      </c>
      <c r="J9" s="33" t="str">
        <f>IF(H9="","",IF(H9&lt;Config!$B$12,"Abaixo do mínimo",IF(H9&lt;Config!$B$13,"Na faixa","Acima do alvo")))</f>
        <v>Acima do alvo</v>
      </c>
      <c r="K9" s="25">
        <f>IF(H9="","",MAX(0,Config!$B$12*G9-F9))</f>
        <v>0</v>
      </c>
      <c r="L9" s="41">
        <f>IF(K9="","",K9+ROW()/1000000)</f>
        <v>9e-06</v>
      </c>
    </row>
    <row r="10">
      <c r="A10" s="22" t="inlineStr">
        <is>
          <t>CONS-2026-03</t>
        </is>
      </c>
      <c r="B10" s="22" t="inlineStr">
        <is>
          <t>Marcos Vinícius Teles</t>
        </is>
      </c>
      <c r="C10" s="24" t="inlineStr">
        <is>
          <t>Previdenciário</t>
        </is>
      </c>
      <c r="D10" s="24" t="inlineStr">
        <is>
          <t>Fixo</t>
        </is>
      </c>
      <c r="E10" s="24" t="inlineStr">
        <is>
          <t>Consultivo</t>
        </is>
      </c>
      <c r="F10" s="40" t="n">
        <v>4500</v>
      </c>
      <c r="G10" s="23" t="n">
        <v>24</v>
      </c>
      <c r="H10" s="30">
        <f>IF(OR(A10="",G10="",G10=0,F10=""),"",F10/G10)</f>
        <v>187.5</v>
      </c>
      <c r="I10" s="31">
        <f>IF(H10="","",H10/Config!$B$12-1)</f>
        <v>0.466216850255936</v>
      </c>
      <c r="J10" s="33" t="str">
        <f>IF(H10="","",IF(H10&lt;Config!$B$12,"Abaixo do mínimo",IF(H10&lt;Config!$B$13,"Na faixa","Acima do alvo")))</f>
        <v>Acima do alvo</v>
      </c>
      <c r="K10" s="25">
        <f>IF(H10="","",MAX(0,Config!$B$12*G10-F10))</f>
        <v>0</v>
      </c>
      <c r="L10" s="41">
        <f>IF(K10="","",K10+ROW()/1000000)</f>
        <v>1e-05</v>
      </c>
    </row>
    <row r="11">
      <c r="A11" s="22" t="inlineStr">
        <is>
          <t>CONS-2026-04</t>
        </is>
      </c>
      <c r="B11" s="22" t="inlineStr">
        <is>
          <t>Escola Aurora</t>
        </is>
      </c>
      <c r="C11" s="24" t="inlineStr">
        <is>
          <t>Cível</t>
        </is>
      </c>
      <c r="D11" s="24" t="inlineStr">
        <is>
          <t>Fixo</t>
        </is>
      </c>
      <c r="E11" s="24" t="inlineStr">
        <is>
          <t>Consultivo</t>
        </is>
      </c>
      <c r="F11" s="40" t="n">
        <v>13200</v>
      </c>
      <c r="G11" s="23" t="n">
        <v>72</v>
      </c>
      <c r="H11" s="30">
        <f>IF(OR(A11="",G11="",G11=0,F11=""),"",F11/G11)</f>
        <v>183.333333333333</v>
      </c>
      <c r="I11" s="31">
        <f>IF(H11="","",H11/Config!$B$12-1)</f>
        <v>0.433634253583582</v>
      </c>
      <c r="J11" s="33" t="str">
        <f>IF(H11="","",IF(H11&lt;Config!$B$12,"Abaixo do mínimo",IF(H11&lt;Config!$B$13,"Na faixa","Acima do alvo")))</f>
        <v>Acima do alvo</v>
      </c>
      <c r="K11" s="25">
        <f>IF(H11="","",MAX(0,Config!$B$12*G11-F11))</f>
        <v>0</v>
      </c>
      <c r="L11" s="41">
        <f>IF(K11="","",K11+ROW()/1000000)</f>
        <v>1.1e-05</v>
      </c>
    </row>
    <row r="12">
      <c r="A12" s="22" t="inlineStr">
        <is>
          <t>8056747-83.2026.8.26.0561</t>
        </is>
      </c>
      <c r="B12" s="22" t="inlineStr">
        <is>
          <t>Bistrô 42</t>
        </is>
      </c>
      <c r="C12" s="24" t="inlineStr">
        <is>
          <t>Trabalhista</t>
        </is>
      </c>
      <c r="D12" s="24" t="inlineStr">
        <is>
          <t>Fixo</t>
        </is>
      </c>
      <c r="E12" s="24" t="inlineStr">
        <is>
          <t>Instrução</t>
        </is>
      </c>
      <c r="F12" s="40" t="n">
        <v>9500</v>
      </c>
      <c r="G12" s="23" t="n">
        <v>80</v>
      </c>
      <c r="H12" s="30">
        <f>IF(OR(A12="",G12="",G12=0,F12=""),"",F12/G12)</f>
        <v>118.75</v>
      </c>
      <c r="I12" s="31">
        <f>IF(H12="","",H12/Config!$B$12-1)</f>
        <v>-0.0713959948379075</v>
      </c>
      <c r="J12" s="33" t="str">
        <f>IF(H12="","",IF(H12&lt;Config!$B$12,"Abaixo do mínimo",IF(H12&lt;Config!$B$13,"Na faixa","Acima do alvo")))</f>
        <v>Abaixo do mínimo</v>
      </c>
      <c r="K12" s="25">
        <f>IF(H12="","",MAX(0,Config!$B$12*G12-F12))</f>
        <v>730.410322580643</v>
      </c>
      <c r="L12" s="41">
        <f>IF(K12="","",K12+ROW()/1000000)</f>
        <v>730.410334580643</v>
      </c>
    </row>
    <row r="13">
      <c r="A13" s="22" t="inlineStr">
        <is>
          <t>9236009-85.2025.8.26.0452</t>
        </is>
      </c>
      <c r="B13" s="22" t="inlineStr">
        <is>
          <t>Bistrô 42</t>
        </is>
      </c>
      <c r="C13" s="24" t="inlineStr">
        <is>
          <t>Trabalhista</t>
        </is>
      </c>
      <c r="D13" s="24" t="inlineStr">
        <is>
          <t>Êxito</t>
        </is>
      </c>
      <c r="E13" s="24" t="inlineStr">
        <is>
          <t>Execução</t>
        </is>
      </c>
      <c r="F13" s="40" t="n">
        <v>4000</v>
      </c>
      <c r="G13" s="23" t="n">
        <v>45</v>
      </c>
      <c r="H13" s="30">
        <f>IF(OR(A13="",G13="",G13=0,F13=""),"",F13/G13)</f>
        <v>88.8888888888889</v>
      </c>
      <c r="I13" s="31">
        <f>IF(H13="","",H13/Config!$B$12-1)</f>
        <v>-0.304904604323112</v>
      </c>
      <c r="J13" s="33" t="str">
        <f>IF(H13="","",IF(H13&lt;Config!$B$12,"Abaixo do mínimo",IF(H13&lt;Config!$B$13,"Na faixa","Acima do alvo")))</f>
        <v>Abaixo do mínimo</v>
      </c>
      <c r="K13" s="25">
        <f>IF(H13="","",MAX(0,Config!$B$12*G13-F13))</f>
        <v>1754.60580645161</v>
      </c>
      <c r="L13" s="41">
        <f>IF(K13="","",K13+ROW()/1000000)</f>
        <v>1754.60581945161</v>
      </c>
    </row>
    <row r="14">
      <c r="A14" s="22" t="inlineStr">
        <is>
          <t>5025425-10.2025.8.26.0629</t>
        </is>
      </c>
      <c r="B14" s="22" t="inlineStr">
        <is>
          <t>Roberto Almeida</t>
        </is>
      </c>
      <c r="C14" s="24" t="inlineStr">
        <is>
          <t>Cível</t>
        </is>
      </c>
      <c r="D14" s="24" t="inlineStr">
        <is>
          <t>Fixo</t>
        </is>
      </c>
      <c r="E14" s="24" t="inlineStr">
        <is>
          <t>Sentença</t>
        </is>
      </c>
      <c r="F14" s="40" t="n">
        <v>15000</v>
      </c>
      <c r="G14" s="23" t="n">
        <v>95</v>
      </c>
      <c r="H14" s="30">
        <f>IF(OR(A14="",G14="",G14=0,F14=""),"",F14/G14)</f>
        <v>157.894736842105</v>
      </c>
      <c r="I14" s="31">
        <f>IF(H14="","",H14/Config!$B$12-1)</f>
        <v>0.234708926531314</v>
      </c>
      <c r="J14" s="33" t="str">
        <f>IF(H14="","",IF(H14&lt;Config!$B$12,"Abaixo do mínimo",IF(H14&lt;Config!$B$13,"Na faixa","Acima do alvo")))</f>
        <v>Na faixa</v>
      </c>
      <c r="K14" s="25">
        <f>IF(H14="","",MAX(0,Config!$B$12*G14-F14))</f>
        <v>0</v>
      </c>
      <c r="L14" s="41">
        <f>IF(K14="","",K14+ROW()/1000000)</f>
        <v>1.4e-05</v>
      </c>
    </row>
    <row r="15">
      <c r="A15" s="22" t="inlineStr">
        <is>
          <t>2354318-24.2026.8.26.0295</t>
        </is>
      </c>
      <c r="B15" s="22" t="inlineStr">
        <is>
          <t>Roberto Almeida</t>
        </is>
      </c>
      <c r="C15" s="24" t="inlineStr">
        <is>
          <t>Cível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60</v>
      </c>
      <c r="H15" s="30">
        <f>IF(OR(A15="",G15="",G15=0,F15=""),"",F15/G15)</f>
        <v>170</v>
      </c>
      <c r="I15" s="31">
        <f>IF(H15="","",H15/Config!$B$12-1)</f>
        <v>0.329369944232048</v>
      </c>
      <c r="J15" s="33" t="str">
        <f>IF(H15="","",IF(H15&lt;Config!$B$12,"Abaixo do mínimo",IF(H15&lt;Config!$B$13,"Na faixa","Acima do alvo")))</f>
        <v>Acima do alvo</v>
      </c>
      <c r="K15" s="25">
        <f>IF(H15="","",MAX(0,Config!$B$12*G15-F15))</f>
        <v>0</v>
      </c>
      <c r="L15" s="41">
        <f>IF(K15="","",K15+ROW()/1000000)</f>
        <v>1.5e-05</v>
      </c>
    </row>
    <row r="16">
      <c r="A16" s="22" t="inlineStr">
        <is>
          <t>CONS-2025-05</t>
        </is>
      </c>
      <c r="B16" s="22" t="inlineStr">
        <is>
          <t>Clínica Bem-Estar</t>
        </is>
      </c>
      <c r="C16" s="24" t="inlineStr">
        <is>
          <t>Empresarial</t>
        </is>
      </c>
      <c r="D16" s="24" t="inlineStr">
        <is>
          <t>Hora</t>
        </is>
      </c>
      <c r="E16" s="24" t="inlineStr">
        <is>
          <t>Consultivo</t>
        </is>
      </c>
      <c r="F16" s="40" t="n">
        <v>21600</v>
      </c>
      <c r="G16" s="23" t="n">
        <v>120</v>
      </c>
      <c r="H16" s="30">
        <f>IF(OR(A16="",G16="",G16=0,F16=""),"",F16/G16)</f>
        <v>180</v>
      </c>
      <c r="I16" s="31">
        <f>IF(H16="","",H16/Config!$B$12-1)</f>
        <v>0.407568176245698</v>
      </c>
      <c r="J16" s="33" t="str">
        <f>IF(H16="","",IF(H16&lt;Config!$B$12,"Abaixo do mínimo",IF(H16&lt;Config!$B$13,"Na faixa","Acima do alvo")))</f>
        <v>Acima do alvo</v>
      </c>
      <c r="K16" s="25">
        <f>IF(H16="","",MAX(0,Config!$B$12*G16-F16))</f>
        <v>0</v>
      </c>
      <c r="L16" s="41">
        <f>IF(K16="","",K16+ROW()/1000000)</f>
        <v>1.6e-05</v>
      </c>
    </row>
    <row r="17">
      <c r="A17" s="22" t="inlineStr">
        <is>
          <t>2645033-67.2026.8.26.0012</t>
        </is>
      </c>
      <c r="B17" s="22" t="inlineStr">
        <is>
          <t>Clínica Bem-Estar</t>
        </is>
      </c>
      <c r="C17" s="24" t="inlineStr">
        <is>
          <t>Empresarial</t>
        </is>
      </c>
      <c r="D17" s="24" t="inlineStr">
        <is>
          <t>Fixo</t>
        </is>
      </c>
      <c r="E17" s="24" t="inlineStr">
        <is>
          <t>Inicial</t>
        </is>
      </c>
      <c r="F17" s="40" t="n">
        <v>18000</v>
      </c>
      <c r="G17" s="23" t="n">
        <v>110</v>
      </c>
      <c r="H17" s="30">
        <f>IF(OR(A17="",G17="",G17=0,F17=""),"",F17/G17)</f>
        <v>163.636363636364</v>
      </c>
      <c r="I17" s="31">
        <f>IF(H17="","",H17/Config!$B$12-1)</f>
        <v>0.279607432950635</v>
      </c>
      <c r="J17" s="33" t="str">
        <f>IF(H17="","",IF(H17&lt;Config!$B$12,"Abaixo do mínimo",IF(H17&lt;Config!$B$13,"Na faixa","Acima do alvo")))</f>
        <v>Na faixa</v>
      </c>
      <c r="K17" s="25">
        <f>IF(H17="","",MAX(0,Config!$B$12*G17-F17))</f>
        <v>0</v>
      </c>
      <c r="L17" s="41">
        <f>IF(K17="","",K17+ROW()/1000000)</f>
        <v>1.7e-05</v>
      </c>
    </row>
    <row r="18">
      <c r="A18" s="22" t="inlineStr">
        <is>
          <t>9225646-96.2025.8.26.0322</t>
        </is>
      </c>
      <c r="B18" s="22" t="inlineStr">
        <is>
          <t>Transportadora Rota Sul</t>
        </is>
      </c>
      <c r="C18" s="24" t="inlineStr">
        <is>
          <t>Trabalhista</t>
        </is>
      </c>
      <c r="D18" s="24" t="inlineStr">
        <is>
          <t>Fixo</t>
        </is>
      </c>
      <c r="E18" s="24" t="inlineStr">
        <is>
          <t>Instrução</t>
        </is>
      </c>
      <c r="F18" s="40" t="n">
        <v>13500</v>
      </c>
      <c r="G18" s="23" t="n">
        <v>90</v>
      </c>
      <c r="H18" s="30">
        <f>IF(OR(A18="",G18="",G18=0,F18=""),"",F18/G18)</f>
        <v>150</v>
      </c>
      <c r="I18" s="31">
        <f>IF(H18="","",H18/Config!$B$12-1)</f>
        <v>0.172973480204748</v>
      </c>
      <c r="J18" s="33" t="str">
        <f>IF(H18="","",IF(H18&lt;Config!$B$12,"Abaixo do mínimo",IF(H18&lt;Config!$B$13,"Na faixa","Acima do alvo")))</f>
        <v>Na faixa</v>
      </c>
      <c r="K18" s="25">
        <f>IF(H18="","",MAX(0,Config!$B$12*G18-F18))</f>
        <v>0</v>
      </c>
      <c r="L18" s="41">
        <f>IF(K18="","",K18+ROW()/1000000)</f>
        <v>1.8e-05</v>
      </c>
    </row>
    <row r="19">
      <c r="A19" s="22" t="inlineStr">
        <is>
          <t>4526984-60.2026.8.26.0258</t>
        </is>
      </c>
      <c r="B19" s="22" t="inlineStr">
        <is>
          <t>Transportadora Rota Sul</t>
        </is>
      </c>
      <c r="C19" s="24" t="inlineStr">
        <is>
          <t>Trabalhista</t>
        </is>
      </c>
      <c r="D19" s="24" t="inlineStr">
        <is>
          <t>Êxito</t>
        </is>
      </c>
      <c r="E19" s="24" t="inlineStr">
        <is>
          <t>Inicial</t>
        </is>
      </c>
      <c r="F19" s="40" t="n">
        <v>9000</v>
      </c>
      <c r="G19" s="23" t="n">
        <v>80</v>
      </c>
      <c r="H19" s="30">
        <f>IF(OR(A19="",G19="",G19=0,F19=""),"",F19/G19)</f>
        <v>112.5</v>
      </c>
      <c r="I19" s="31">
        <f>IF(H19="","",H19/Config!$B$12-1)</f>
        <v>-0.120269889846439</v>
      </c>
      <c r="J19" s="33" t="str">
        <f>IF(H19="","",IF(H19&lt;Config!$B$12,"Abaixo do mínimo",IF(H19&lt;Config!$B$13,"Na faixa","Acima do alvo")))</f>
        <v>Abaixo do mínimo</v>
      </c>
      <c r="K19" s="25">
        <f>IF(H19="","",MAX(0,Config!$B$12*G19-F19))</f>
        <v>1230.41032258064</v>
      </c>
      <c r="L19" s="41">
        <f>IF(K19="","",K19+ROW()/1000000)</f>
        <v>1230.41034158064</v>
      </c>
    </row>
    <row r="20">
      <c r="A20" s="22" t="inlineStr">
        <is>
          <t>CONS-2026-06</t>
        </is>
      </c>
      <c r="B20" s="22" t="inlineStr">
        <is>
          <t>Transportadora Rota Sul</t>
        </is>
      </c>
      <c r="C20" s="24" t="inlineStr">
        <is>
          <t>Trabalhista</t>
        </is>
      </c>
      <c r="D20" s="24" t="inlineStr">
        <is>
          <t>Fixo</t>
        </is>
      </c>
      <c r="E20" s="24" t="inlineStr">
        <is>
          <t>Consultivo</t>
        </is>
      </c>
      <c r="F20" s="40" t="n">
        <v>4400</v>
      </c>
      <c r="G20" s="23" t="n">
        <v>28</v>
      </c>
      <c r="H20" s="30">
        <f>IF(OR(A20="",G20="",G20=0,F20=""),"",F20/G20)</f>
        <v>157.142857142857</v>
      </c>
      <c r="I20" s="31">
        <f>IF(H20="","",H20/Config!$B$12-1)</f>
        <v>0.228829360214498</v>
      </c>
      <c r="J20" s="33" t="str">
        <f>IF(H20="","",IF(H20&lt;Config!$B$12,"Abaixo do mínimo",IF(H20&lt;Config!$B$13,"Na faixa","Acima do alvo")))</f>
        <v>Na faixa</v>
      </c>
      <c r="K20" s="25">
        <f>IF(H20="","",MAX(0,Config!$B$12*G20-F20))</f>
        <v>0</v>
      </c>
      <c r="L20" s="41">
        <f>IF(K20="","",K20+ROW()/1000000)</f>
        <v>2e-05</v>
      </c>
    </row>
    <row r="21">
      <c r="A21" s="22" t="inlineStr">
        <is>
          <t>6832730-55.2026.8.26.0386</t>
        </is>
      </c>
      <c r="B21" s="22" t="inlineStr">
        <is>
          <t>Patrícia Gomes</t>
        </is>
      </c>
      <c r="C21" s="24" t="inlineStr">
        <is>
          <t>Família</t>
        </is>
      </c>
      <c r="D21" s="24" t="inlineStr">
        <is>
          <t>Fixo</t>
        </is>
      </c>
      <c r="E21" s="24" t="inlineStr">
        <is>
          <t>Acordo</t>
        </is>
      </c>
      <c r="F21" s="40" t="n">
        <v>9000</v>
      </c>
      <c r="G21" s="23" t="n">
        <v>55</v>
      </c>
      <c r="H21" s="30">
        <f>IF(OR(A21="",G21="",G21=0,F21=""),"",F21/G21)</f>
        <v>163.636363636364</v>
      </c>
      <c r="I21" s="31">
        <f>IF(H21="","",H21/Config!$B$12-1)</f>
        <v>0.279607432950635</v>
      </c>
      <c r="J21" s="33" t="str">
        <f>IF(H21="","",IF(H21&lt;Config!$B$12,"Abaixo do mínimo",IF(H21&lt;Config!$B$13,"Na faixa","Acima do alvo")))</f>
        <v>Na faixa</v>
      </c>
      <c r="K21" s="25">
        <f>IF(H21="","",MAX(0,Config!$B$12*G21-F21))</f>
        <v>0</v>
      </c>
      <c r="L21" s="41">
        <f>IF(K21="","",K21+ROW()/1000000)</f>
        <v>2.1e-05</v>
      </c>
    </row>
    <row r="22">
      <c r="A22" s="22" t="inlineStr">
        <is>
          <t>9616569-91.2026.8.26.0079</t>
        </is>
      </c>
      <c r="B22" s="22" t="inlineStr">
        <is>
          <t>Patrícia Gomes</t>
        </is>
      </c>
      <c r="C22" s="24" t="inlineStr">
        <is>
          <t>Família</t>
        </is>
      </c>
      <c r="D22" s="24" t="inlineStr">
        <is>
          <t>Fixo</t>
        </is>
      </c>
      <c r="E22" s="24" t="inlineStr">
        <is>
          <t>Execução</t>
        </is>
      </c>
      <c r="F22" s="40" t="n">
        <v>6600</v>
      </c>
      <c r="G22" s="23" t="n">
        <v>45</v>
      </c>
      <c r="H22" s="30">
        <f>IF(OR(A22="",G22="",G22=0,F22=""),"",F22/G22)</f>
        <v>146.666666666667</v>
      </c>
      <c r="I22" s="31">
        <f>IF(H22="","",H22/Config!$B$12-1)</f>
        <v>0.146907402866865</v>
      </c>
      <c r="J22" s="33" t="str">
        <f>IF(H22="","",IF(H22&lt;Config!$B$12,"Abaixo do mínimo",IF(H22&lt;Config!$B$13,"Na faixa","Acima do alvo")))</f>
        <v>Na faixa</v>
      </c>
      <c r="K22" s="25">
        <f>IF(H22="","",MAX(0,Config!$B$12*G22-F22))</f>
        <v>0</v>
      </c>
      <c r="L22" s="41">
        <f>IF(K22="","",K22+ROW()/1000000)</f>
        <v>2.2e-05</v>
      </c>
    </row>
    <row r="23">
      <c r="A23" s="22" t="inlineStr">
        <is>
          <t>6710873-21.2025.8.26.0571</t>
        </is>
      </c>
      <c r="B23" s="22" t="inlineStr">
        <is>
          <t>Escola Aurora</t>
        </is>
      </c>
      <c r="C23" s="24" t="inlineStr">
        <is>
          <t>Cível</t>
        </is>
      </c>
      <c r="D23" s="24" t="inlineStr">
        <is>
          <t>Misto</t>
        </is>
      </c>
      <c r="E23" s="24" t="inlineStr">
        <is>
          <t>Sentença</t>
        </is>
      </c>
      <c r="F23" s="40" t="n">
        <v>10000</v>
      </c>
      <c r="G23" s="23" t="n">
        <v>90</v>
      </c>
      <c r="H23" s="30">
        <f>IF(OR(A23="",G23="",G23=0,F23=""),"",F23/G23)</f>
        <v>111.111111111111</v>
      </c>
      <c r="I23" s="31">
        <f>IF(H23="","",H23/Config!$B$12-1)</f>
        <v>-0.13113075540389</v>
      </c>
      <c r="J23" s="33" t="str">
        <f>IF(H23="","",IF(H23&lt;Config!$B$12,"Abaixo do mínimo",IF(H23&lt;Config!$B$13,"Na faixa","Acima do alvo")))</f>
        <v>Abaixo do mínimo</v>
      </c>
      <c r="K23" s="25">
        <f>IF(H23="","",MAX(0,Config!$B$12*G23-F23))</f>
        <v>1509.21161290322</v>
      </c>
      <c r="L23" s="41">
        <f>IF(K23="","",K23+ROW()/1000000)</f>
        <v>1509.21163590322</v>
      </c>
    </row>
    <row r="24">
      <c r="A24" s="22" t="inlineStr">
        <is>
          <t>5900991-46.2026.8.26.0469</t>
        </is>
      </c>
      <c r="B24" s="22" t="inlineStr">
        <is>
          <t>José Antônio Ribeiro</t>
        </is>
      </c>
      <c r="C24" s="24" t="inlineStr">
        <is>
          <t>Previdenciário</t>
        </is>
      </c>
      <c r="D24" s="24" t="inlineStr">
        <is>
          <t>Êxito</t>
        </is>
      </c>
      <c r="E24" s="24" t="inlineStr">
        <is>
          <t>Instrução</t>
        </is>
      </c>
      <c r="F24" s="40" t="n">
        <v>4000</v>
      </c>
      <c r="G24" s="23" t="n">
        <v>40</v>
      </c>
      <c r="H24" s="30">
        <f>IF(OR(A24="",G24="",G24=0,F24=""),"",F24/G24)</f>
        <v>100</v>
      </c>
      <c r="I24" s="31">
        <f>IF(H24="","",H24/Config!$B$12-1)</f>
        <v>-0.218017679863501</v>
      </c>
      <c r="J24" s="33" t="str">
        <f>IF(H24="","",IF(H24&lt;Config!$B$12,"Abaixo do mínimo",IF(H24&lt;Config!$B$13,"Na faixa","Acima do alvo")))</f>
        <v>Abaixo do mínimo</v>
      </c>
      <c r="K24" s="25">
        <f>IF(H24="","",MAX(0,Config!$B$12*G24-F24))</f>
        <v>1115.20516129032</v>
      </c>
      <c r="L24" s="41">
        <f>IF(K24="","",K24+ROW()/1000000)</f>
        <v>1115.20518529032</v>
      </c>
    </row>
    <row r="25">
      <c r="A25" s="22" t="inlineStr">
        <is>
          <t>3363714-92.2025.8.26.0592</t>
        </is>
      </c>
      <c r="B25" s="22" t="inlineStr">
        <is>
          <t>Oficina Mecânica Central</t>
        </is>
      </c>
      <c r="C25" s="24" t="inlineStr">
        <is>
          <t>Trabalhista</t>
        </is>
      </c>
      <c r="D25" s="24" t="inlineStr">
        <is>
          <t>Fixo</t>
        </is>
      </c>
      <c r="E25" s="24" t="inlineStr">
        <is>
          <t>Instrução</t>
        </is>
      </c>
      <c r="F25" s="40" t="n">
        <v>15000</v>
      </c>
      <c r="G25" s="23" t="n">
        <v>95</v>
      </c>
      <c r="H25" s="30">
        <f>IF(OR(A25="",G25="",G25=0,F25=""),"",F25/G25)</f>
        <v>157.894736842105</v>
      </c>
      <c r="I25" s="31">
        <f>IF(H25="","",H25/Config!$B$12-1)</f>
        <v>0.234708926531314</v>
      </c>
      <c r="J25" s="33" t="str">
        <f>IF(H25="","",IF(H25&lt;Config!$B$12,"Abaixo do mínimo",IF(H25&lt;Config!$B$13,"Na faixa","Acima do alvo")))</f>
        <v>Na faixa</v>
      </c>
      <c r="K25" s="25">
        <f>IF(H25="","",MAX(0,Config!$B$12*G25-F25))</f>
        <v>0</v>
      </c>
      <c r="L25" s="41">
        <f>IF(K25="","",K25+ROW()/1000000)</f>
        <v>2.5e-05</v>
      </c>
    </row>
    <row r="26">
      <c r="A26" s="22" t="inlineStr">
        <is>
          <t>6184138-13.2026.8.26.0378</t>
        </is>
      </c>
      <c r="B26" s="22" t="inlineStr">
        <is>
          <t>Oficina Mecânica Central</t>
        </is>
      </c>
      <c r="C26" s="24" t="inlineStr">
        <is>
          <t>Trabalhista</t>
        </is>
      </c>
      <c r="D26" s="24" t="inlineStr">
        <is>
          <t>Misto</t>
        </is>
      </c>
      <c r="E26" s="24" t="inlineStr">
        <is>
          <t>Inicial</t>
        </is>
      </c>
      <c r="F26" s="40" t="n">
        <v>9000</v>
      </c>
      <c r="G26" s="23" t="n">
        <v>60</v>
      </c>
      <c r="H26" s="30">
        <f>IF(OR(A26="",G26="",G26=0,F26=""),"",F26/G26)</f>
        <v>150</v>
      </c>
      <c r="I26" s="31">
        <f>IF(H26="","",H26/Config!$B$12-1)</f>
        <v>0.172973480204748</v>
      </c>
      <c r="J26" s="33" t="str">
        <f>IF(H26="","",IF(H26&lt;Config!$B$12,"Abaixo do mínimo",IF(H26&lt;Config!$B$13,"Na faixa","Acima do alvo")))</f>
        <v>Na faixa</v>
      </c>
      <c r="K26" s="25">
        <f>IF(H26="","",MAX(0,Config!$B$12*G26-F26))</f>
        <v>0</v>
      </c>
      <c r="L26" s="41">
        <f>IF(K26="","",K26+ROW()/1000000)</f>
        <v>2.6e-05</v>
      </c>
    </row>
    <row r="27">
      <c r="A27" s="22" t="inlineStr">
        <is>
          <t>7099226-69.2026.8.26.0433</t>
        </is>
      </c>
      <c r="B27" s="22" t="inlineStr">
        <is>
          <t>Luciana Farias</t>
        </is>
      </c>
      <c r="C27" s="24" t="inlineStr">
        <is>
          <t>Cível</t>
        </is>
      </c>
      <c r="D27" s="24" t="inlineStr">
        <is>
          <t>Fixo</t>
        </is>
      </c>
      <c r="E27" s="24" t="inlineStr">
        <is>
          <t>Inicial</t>
        </is>
      </c>
      <c r="F27" s="40" t="n">
        <v>12000</v>
      </c>
      <c r="G27" s="23" t="n">
        <v>75</v>
      </c>
      <c r="H27" s="30">
        <f>IF(OR(A27="",G27="",G27=0,F27=""),"",F27/G27)</f>
        <v>160</v>
      </c>
      <c r="I27" s="31">
        <f>IF(H27="","",H27/Config!$B$12-1)</f>
        <v>0.251171712218398</v>
      </c>
      <c r="J27" s="33" t="str">
        <f>IF(H27="","",IF(H27&lt;Config!$B$12,"Abaixo do mínimo",IF(H27&lt;Config!$B$13,"Na faixa","Acima do alvo")))</f>
        <v>Na faixa</v>
      </c>
      <c r="K27" s="25">
        <f>IF(H27="","",MAX(0,Config!$B$12*G27-F27))</f>
        <v>0</v>
      </c>
      <c r="L27" s="41">
        <f>IF(K27="","",K27+ROW()/1000000)</f>
        <v>2.7e-05</v>
      </c>
    </row>
    <row r="28">
      <c r="A28" s="22" t="inlineStr">
        <is>
          <t>2521428-61.2026.8.26.0600</t>
        </is>
      </c>
      <c r="B28" s="22" t="inlineStr">
        <is>
          <t>Luciana Farias</t>
        </is>
      </c>
      <c r="C28" s="24" t="inlineStr">
        <is>
          <t>Cível</t>
        </is>
      </c>
      <c r="D28" s="24" t="inlineStr">
        <is>
          <t>Misto</t>
        </is>
      </c>
      <c r="E28" s="24" t="inlineStr">
        <is>
          <t>Acordo</t>
        </is>
      </c>
      <c r="F28" s="40" t="n">
        <v>7600</v>
      </c>
      <c r="G28" s="23" t="n">
        <v>40</v>
      </c>
      <c r="H28" s="30">
        <f>IF(OR(A28="",G28="",G28=0,F28=""),"",F28/G28)</f>
        <v>190</v>
      </c>
      <c r="I28" s="31">
        <f>IF(H28="","",H28/Config!$B$12-1)</f>
        <v>0.485766408259348</v>
      </c>
      <c r="J28" s="33" t="str">
        <f>IF(H28="","",IF(H28&lt;Config!$B$12,"Abaixo do mínimo",IF(H28&lt;Config!$B$13,"Na faixa","Acima do alvo")))</f>
        <v>Acima do alvo</v>
      </c>
      <c r="K28" s="25">
        <f>IF(H28="","",MAX(0,Config!$B$12*G28-F28))</f>
        <v>0</v>
      </c>
      <c r="L28" s="41">
        <f>IF(K28="","",K28+ROW()/1000000)</f>
        <v>2.8e-05</v>
      </c>
    </row>
    <row r="29">
      <c r="A29" s="22" t="inlineStr">
        <is>
          <t>9362688-24.2025.8.26.0436</t>
        </is>
      </c>
      <c r="B29" s="22" t="inlineStr">
        <is>
          <t>Agência Prisma</t>
        </is>
      </c>
      <c r="C29" s="24" t="inlineStr">
        <is>
          <t>Empresarial</t>
        </is>
      </c>
      <c r="D29" s="24" t="inlineStr">
        <is>
          <t>Hora</t>
        </is>
      </c>
      <c r="E29" s="24" t="inlineStr">
        <is>
          <t>Recurso</t>
        </is>
      </c>
      <c r="F29" s="40" t="n">
        <v>24000</v>
      </c>
      <c r="G29" s="23" t="n">
        <v>133</v>
      </c>
      <c r="H29" s="30">
        <f>IF(OR(A29="",G29="",G29=0,F29=""),"",F29/G29)</f>
        <v>180.451127819549</v>
      </c>
      <c r="I29" s="31">
        <f>IF(H29="","",H29/Config!$B$12-1)</f>
        <v>0.411095916035788</v>
      </c>
      <c r="J29" s="33" t="str">
        <f>IF(H29="","",IF(H29&lt;Config!$B$12,"Abaixo do mínimo",IF(H29&lt;Config!$B$13,"Na faixa","Acima do alvo")))</f>
        <v>Acima do alvo</v>
      </c>
      <c r="K29" s="25">
        <f>IF(H29="","",MAX(0,Config!$B$12*G29-F29))</f>
        <v>0</v>
      </c>
      <c r="L29" s="41">
        <f>IF(K29="","",K29+ROW()/1000000)</f>
        <v>2.9e-05</v>
      </c>
    </row>
    <row r="30">
      <c r="A30" s="22" t="inlineStr">
        <is>
          <t>CONS-2026-07</t>
        </is>
      </c>
      <c r="B30" s="22" t="inlineStr">
        <is>
          <t>Agência Prisma</t>
        </is>
      </c>
      <c r="C30" s="24" t="inlineStr">
        <is>
          <t>Empresarial</t>
        </is>
      </c>
      <c r="D30" s="24" t="inlineStr">
        <is>
          <t>Fixo</t>
        </is>
      </c>
      <c r="E30" s="24" t="inlineStr">
        <is>
          <t>Consultivo</t>
        </is>
      </c>
      <c r="F30" s="40" t="n">
        <v>7000</v>
      </c>
      <c r="G30" s="23" t="n">
        <v>30</v>
      </c>
      <c r="H30" s="30">
        <f>IF(OR(A30="",G30="",G30=0,F30=""),"",F30/G30)</f>
        <v>233.333333333333</v>
      </c>
      <c r="I30" s="31">
        <f>IF(H30="","",H30/Config!$B$12-1)</f>
        <v>0.824625413651831</v>
      </c>
      <c r="J30" s="33" t="str">
        <f>IF(H30="","",IF(H30&lt;Config!$B$12,"Abaixo do mínimo",IF(H30&lt;Config!$B$13,"Na faixa","Acima do alvo")))</f>
        <v>Acima do alvo</v>
      </c>
      <c r="K30" s="25">
        <f>IF(H30="","",MAX(0,Config!$B$12*G30-F30))</f>
        <v>0</v>
      </c>
      <c r="L30" s="41">
        <f>IF(K30="","",K30+ROW()/1000000)</f>
        <v>3e-05</v>
      </c>
    </row>
    <row r="31">
      <c r="A31" s="22" t="inlineStr">
        <is>
          <t>9495290-86.2025.8.26.0503</t>
        </is>
      </c>
      <c r="B31" s="22" t="inlineStr">
        <is>
          <t>Helena Duarte</t>
        </is>
      </c>
      <c r="C31" s="24" t="inlineStr">
        <is>
          <t>Trabalhista</t>
        </is>
      </c>
      <c r="D31" s="24" t="inlineStr">
        <is>
          <t>Êxito</t>
        </is>
      </c>
      <c r="E31" s="24" t="inlineStr">
        <is>
          <t>Execução</t>
        </is>
      </c>
      <c r="F31" s="40" t="n">
        <v>7000</v>
      </c>
      <c r="G31" s="23" t="n">
        <v>70</v>
      </c>
      <c r="H31" s="30">
        <f>IF(OR(A31="",G31="",G31=0,F31=""),"",F31/G31)</f>
        <v>100</v>
      </c>
      <c r="I31" s="31">
        <f>IF(H31="","",H31/Config!$B$12-1)</f>
        <v>-0.218017679863501</v>
      </c>
      <c r="J31" s="33" t="str">
        <f>IF(H31="","",IF(H31&lt;Config!$B$12,"Abaixo do mínimo",IF(H31&lt;Config!$B$13,"Na faixa","Acima do alvo")))</f>
        <v>Abaixo do mínimo</v>
      </c>
      <c r="K31" s="25">
        <f>IF(H31="","",MAX(0,Config!$B$12*G31-F31))</f>
        <v>1951.60903225806</v>
      </c>
      <c r="L31" s="41">
        <f>IF(K31="","",K31+ROW()/1000000)</f>
        <v>1951.60906325806</v>
      </c>
    </row>
    <row r="32">
      <c r="A32" s="22" t="inlineStr">
        <is>
          <t>7679821-77.2026.8.26.0265</t>
        </is>
      </c>
      <c r="B32" s="22" t="inlineStr">
        <is>
          <t>Helena Duarte</t>
        </is>
      </c>
      <c r="C32" s="24" t="inlineStr">
        <is>
          <t>Trabalhista</t>
        </is>
      </c>
      <c r="D32" s="24" t="inlineStr">
        <is>
          <t>Fixo</t>
        </is>
      </c>
      <c r="E32" s="24" t="inlineStr">
        <is>
          <t>Inicial</t>
        </is>
      </c>
      <c r="F32" s="40" t="n">
        <v>7500</v>
      </c>
      <c r="G32" s="23" t="n">
        <v>55</v>
      </c>
      <c r="H32" s="30">
        <f>IF(OR(A32="",G32="",G32=0,F32=""),"",F32/G32)</f>
        <v>136.363636363636</v>
      </c>
      <c r="I32" s="31">
        <f>IF(H32="","",H32/Config!$B$12-1)</f>
        <v>0.0663395274588623</v>
      </c>
      <c r="J32" s="33" t="str">
        <f>IF(H32="","",IF(H32&lt;Config!$B$12,"Abaixo do mínimo",IF(H32&lt;Config!$B$13,"Na faixa","Acima do alvo")))</f>
        <v>Na faixa</v>
      </c>
      <c r="K32" s="25">
        <f>IF(H32="","",MAX(0,Config!$B$12*G32-F32))</f>
        <v>0</v>
      </c>
      <c r="L32" s="41">
        <f>IF(K32="","",K32+ROW()/1000000)</f>
        <v>3.2e-05</v>
      </c>
    </row>
    <row r="33">
      <c r="A33" s="22" t="inlineStr">
        <is>
          <t>8045862-82.2026.8.26.0491</t>
        </is>
      </c>
      <c r="B33" s="22" t="inlineStr">
        <is>
          <t>Carlos Eduardo Nunes</t>
        </is>
      </c>
      <c r="C33" s="24" t="inlineStr">
        <is>
          <t>Previdenciário</t>
        </is>
      </c>
      <c r="D33" s="24" t="inlineStr">
        <is>
          <t>Misto</t>
        </is>
      </c>
      <c r="E33" s="24" t="inlineStr">
        <is>
          <t>Sentença</t>
        </is>
      </c>
      <c r="F33" s="40" t="n">
        <v>7600</v>
      </c>
      <c r="G33" s="23" t="n">
        <v>40</v>
      </c>
      <c r="H33" s="30">
        <f>IF(OR(A33="",G33="",G33=0,F33=""),"",F33/G33)</f>
        <v>190</v>
      </c>
      <c r="I33" s="31">
        <f>IF(H33="","",H33/Config!$B$12-1)</f>
        <v>0.485766408259348</v>
      </c>
      <c r="J33" s="33" t="str">
        <f>IF(H33="","",IF(H33&lt;Config!$B$12,"Abaixo do mínimo",IF(H33&lt;Config!$B$13,"Na faixa","Acima do alvo")))</f>
        <v>Acima do alvo</v>
      </c>
      <c r="K33" s="25">
        <f>IF(H33="","",MAX(0,Config!$B$12*G33-F33))</f>
        <v>0</v>
      </c>
      <c r="L33" s="41">
        <f>IF(K33="","",K33+ROW()/1000000)</f>
        <v>3.3e-05</v>
      </c>
    </row>
    <row r="34">
      <c r="A34" s="22" t="inlineStr">
        <is>
          <t>9605863-76.2026.8.26.0026</t>
        </is>
      </c>
      <c r="B34" s="22" t="inlineStr">
        <is>
          <t>Marcos Vinícius Teles</t>
        </is>
      </c>
      <c r="C34" s="24" t="inlineStr">
        <is>
          <t>Previdenciário</t>
        </is>
      </c>
      <c r="D34" s="24" t="inlineStr">
        <is>
          <t>Fixo</t>
        </is>
      </c>
      <c r="E34" s="24" t="inlineStr">
        <is>
          <t>Recurso</t>
        </is>
      </c>
      <c r="F34" s="40" t="n">
        <v>5400</v>
      </c>
      <c r="G34" s="23" t="n">
        <v>35</v>
      </c>
      <c r="H34" s="30">
        <f>IF(OR(A34="",G34="",G34=0,F34=""),"",F34/G34)</f>
        <v>154.285714285714</v>
      </c>
      <c r="I34" s="31">
        <f>IF(H34="","",H34/Config!$B$12-1)</f>
        <v>0.206487008210598</v>
      </c>
      <c r="J34" s="33" t="str">
        <f>IF(H34="","",IF(H34&lt;Config!$B$12,"Abaixo do mínimo",IF(H34&lt;Config!$B$13,"Na faixa","Acima do alvo")))</f>
        <v>Na faixa</v>
      </c>
      <c r="K34" s="25">
        <f>IF(H34="","",MAX(0,Config!$B$12*G34-F34))</f>
        <v>0</v>
      </c>
      <c r="L34" s="41">
        <f>IF(K34="","",K34+ROW()/1000000)</f>
        <v>3.4e-05</v>
      </c>
    </row>
    <row r="35">
      <c r="A35" s="22" t="inlineStr">
        <is>
          <t>4766902-26.2025.8.26.0051</t>
        </is>
      </c>
      <c r="B35" s="22" t="inlineStr">
        <is>
          <t>Padaria do Sol Ltda</t>
        </is>
      </c>
      <c r="C35" s="24" t="inlineStr">
        <is>
          <t>Empresarial</t>
        </is>
      </c>
      <c r="D35" s="24" t="inlineStr">
        <is>
          <t>Fixo</t>
        </is>
      </c>
      <c r="E35" s="24" t="inlineStr">
        <is>
          <t>Encerrado</t>
        </is>
      </c>
      <c r="F35" s="40" t="n">
        <v>12000</v>
      </c>
      <c r="G35" s="23" t="n">
        <v>60</v>
      </c>
      <c r="H35" s="30">
        <f>IF(OR(A35="",G35="",G35=0,F35=""),"",F35/G35)</f>
        <v>200</v>
      </c>
      <c r="I35" s="31">
        <f>IF(H35="","",H35/Config!$B$12-1)</f>
        <v>0.563964640272998</v>
      </c>
      <c r="J35" s="33" t="str">
        <f>IF(H35="","",IF(H35&lt;Config!$B$12,"Abaixo do mínimo",IF(H35&lt;Config!$B$13,"Na faixa","Acima do alvo")))</f>
        <v>Acima do alvo</v>
      </c>
      <c r="K35" s="25">
        <f>IF(H35="","",MAX(0,Config!$B$12*G35-F35))</f>
        <v>0</v>
      </c>
      <c r="L35" s="41">
        <f>IF(K35="","",K35+ROW()/1000000)</f>
        <v>3.5e-05</v>
      </c>
    </row>
    <row r="36">
      <c r="A36" s="22" t="inlineStr">
        <is>
          <t>9778116-95.2025.8.26.0106</t>
        </is>
      </c>
      <c r="B36" s="22" t="inlineStr">
        <is>
          <t>Construtora Horizonte</t>
        </is>
      </c>
      <c r="C36" s="24" t="inlineStr">
        <is>
          <t>Cível</t>
        </is>
      </c>
      <c r="D36" s="24" t="inlineStr">
        <is>
          <t>Misto</t>
        </is>
      </c>
      <c r="E36" s="24" t="inlineStr">
        <is>
          <t>Encerrado</t>
        </is>
      </c>
      <c r="F36" s="40" t="n">
        <v>18000</v>
      </c>
      <c r="G36" s="23" t="n">
        <v>110</v>
      </c>
      <c r="H36" s="30">
        <f>IF(OR(A36="",G36="",G36=0,F36=""),"",F36/G36)</f>
        <v>163.636363636364</v>
      </c>
      <c r="I36" s="31">
        <f>IF(H36="","",H36/Config!$B$12-1)</f>
        <v>0.279607432950635</v>
      </c>
      <c r="J36" s="33" t="str">
        <f>IF(H36="","",IF(H36&lt;Config!$B$12,"Abaixo do mínimo",IF(H36&lt;Config!$B$13,"Na faixa","Acima do alvo")))</f>
        <v>Na faixa</v>
      </c>
      <c r="K36" s="25">
        <f>IF(H36="","",MAX(0,Config!$B$12*G36-F36))</f>
        <v>0</v>
      </c>
      <c r="L36" s="41">
        <f>IF(K36="","",K36+ROW()/1000000)</f>
        <v>3.6e-05</v>
      </c>
    </row>
    <row r="37">
      <c r="A37" s="22" t="inlineStr">
        <is>
          <t>8204296-70.2025.8.26.0146</t>
        </is>
      </c>
      <c r="B37" s="22" t="inlineStr">
        <is>
          <t>Marcos Vinícius Teles</t>
        </is>
      </c>
      <c r="C37" s="24" t="inlineStr">
        <is>
          <t>Previdenciário</t>
        </is>
      </c>
      <c r="D37" s="24" t="inlineStr">
        <is>
          <t>Êxito</t>
        </is>
      </c>
      <c r="E37" s="24" t="inlineStr">
        <is>
          <t>Encerrado</t>
        </is>
      </c>
      <c r="F37" s="40" t="n">
        <v>6500</v>
      </c>
      <c r="G37" s="23" t="n">
        <v>45</v>
      </c>
      <c r="H37" s="30">
        <f>IF(OR(A37="",G37="",G37=0,F37=""),"",F37/G37)</f>
        <v>144.444444444444</v>
      </c>
      <c r="I37" s="31">
        <f>IF(H37="","",H37/Config!$B$12-1)</f>
        <v>0.129530017974943</v>
      </c>
      <c r="J37" s="33" t="str">
        <f>IF(H37="","",IF(H37&lt;Config!$B$12,"Abaixo do mínimo",IF(H37&lt;Config!$B$13,"Na faixa","Acima do alvo")))</f>
        <v>Na faixa</v>
      </c>
      <c r="K37" s="25">
        <f>IF(H37="","",MAX(0,Config!$B$12*G37-F37))</f>
        <v>0</v>
      </c>
      <c r="L37" s="41">
        <f>IF(K37="","",K37+ROW()/1000000)</f>
        <v>3.7e-05</v>
      </c>
    </row>
    <row r="38">
      <c r="A38" s="22" t="inlineStr">
        <is>
          <t>9088515-39.2025.8.26.0125</t>
        </is>
      </c>
      <c r="B38" s="22" t="inlineStr">
        <is>
          <t>Loja Verde Comércio</t>
        </is>
      </c>
      <c r="C38" s="24" t="inlineStr">
        <is>
          <t>Empresarial</t>
        </is>
      </c>
      <c r="D38" s="24" t="inlineStr">
        <is>
          <t>Fixo</t>
        </is>
      </c>
      <c r="E38" s="24" t="inlineStr">
        <is>
          <t>Encerrado</t>
        </is>
      </c>
      <c r="F38" s="40" t="n">
        <v>6000</v>
      </c>
      <c r="G38" s="23" t="n">
        <v>45</v>
      </c>
      <c r="H38" s="30">
        <f>IF(OR(A38="",G38="",G38=0,F38=""),"",F38/G38)</f>
        <v>133.333333333333</v>
      </c>
      <c r="I38" s="31">
        <f>IF(H38="","",H38/Config!$B$12-1)</f>
        <v>0.0426430935153319</v>
      </c>
      <c r="J38" s="33" t="str">
        <f>IF(H38="","",IF(H38&lt;Config!$B$12,"Abaixo do mínimo",IF(H38&lt;Config!$B$13,"Na faixa","Acima do alvo")))</f>
        <v>Na faixa</v>
      </c>
      <c r="K38" s="25">
        <f>IF(H38="","",MAX(0,Config!$B$12*G38-F38))</f>
        <v>0</v>
      </c>
      <c r="L38" s="41">
        <f>IF(K38="","",K38+ROW()/1000000)</f>
        <v>3.8e-05</v>
      </c>
    </row>
    <row r="39">
      <c r="A39" s="22" t="inlineStr">
        <is>
          <t>8663770-96.2025.8.26.0481</t>
        </is>
      </c>
      <c r="B39" s="22" t="inlineStr">
        <is>
          <t>Oficina Mecânica Central</t>
        </is>
      </c>
      <c r="C39" s="24" t="inlineStr">
        <is>
          <t>Trabalhista</t>
        </is>
      </c>
      <c r="D39" s="24" t="inlineStr">
        <is>
          <t>Fixo</t>
        </is>
      </c>
      <c r="E39" s="24" t="inlineStr">
        <is>
          <t>Encerrado</t>
        </is>
      </c>
      <c r="F39" s="40" t="n">
        <v>12000</v>
      </c>
      <c r="G39" s="23" t="n">
        <v>95</v>
      </c>
      <c r="H39" s="30">
        <f>IF(OR(A39="",G39="",G39=0,F39=""),"",F39/G39)</f>
        <v>126.315789473684</v>
      </c>
      <c r="I39" s="31">
        <f>IF(H39="","",H39/Config!$B$12-1)</f>
        <v>-0.0122328587749487</v>
      </c>
      <c r="J39" s="33" t="str">
        <f>IF(H39="","",IF(H39&lt;Config!$B$12,"Abaixo do mínimo",IF(H39&lt;Config!$B$13,"Na faixa","Acima do alvo")))</f>
        <v>Abaixo do mínimo</v>
      </c>
      <c r="K39" s="25">
        <f>IF(H39="","",MAX(0,Config!$B$12*G39-F39))</f>
        <v>148.612258064513</v>
      </c>
      <c r="L39" s="41">
        <f>IF(K39="","",K39+ROW()/1000000)</f>
        <v>148.612297064513</v>
      </c>
    </row>
    <row r="40">
      <c r="A40" s="22" t="inlineStr">
        <is>
          <t>5211189-81.2025.8.26.0412</t>
        </is>
      </c>
      <c r="B40" s="22" t="inlineStr">
        <is>
          <t>Fernanda Castro</t>
        </is>
      </c>
      <c r="C40" s="24" t="inlineStr">
        <is>
          <t>Família</t>
        </is>
      </c>
      <c r="D40" s="24" t="inlineStr">
        <is>
          <t>Fixo</t>
        </is>
      </c>
      <c r="E40" s="24" t="inlineStr">
        <is>
          <t>Encerrado</t>
        </is>
      </c>
      <c r="F40" s="40" t="n">
        <v>7000</v>
      </c>
      <c r="G40" s="23" t="n">
        <v>55</v>
      </c>
      <c r="H40" s="30">
        <f>IF(OR(A40="",G40="",G40=0,F40=""),"",F40/G40)</f>
        <v>127.272727272727</v>
      </c>
      <c r="I40" s="31">
        <f>IF(H40="","",H40/Config!$B$12-1)</f>
        <v>-0.00474977437172863</v>
      </c>
      <c r="J40" s="33" t="str">
        <f>IF(H40="","",IF(H40&lt;Config!$B$12,"Abaixo do mínimo",IF(H40&lt;Config!$B$13,"Na faixa","Acima do alvo")))</f>
        <v>Abaixo do mínimo</v>
      </c>
      <c r="K40" s="25">
        <f>IF(H40="","",MAX(0,Config!$B$12*G40-F40))</f>
        <v>33.4070967741918</v>
      </c>
      <c r="L40" s="41">
        <f>IF(K40="","",K40+ROW()/1000000)</f>
        <v>33.4071367741918</v>
      </c>
    </row>
    <row r="41">
      <c r="A41" s="22" t="inlineStr">
        <is>
          <t>6161129-80.2025.8.26.0663</t>
        </is>
      </c>
      <c r="B41" s="22" t="inlineStr">
        <is>
          <t>José Antônio Ribeiro</t>
        </is>
      </c>
      <c r="C41" s="24" t="inlineStr">
        <is>
          <t>Previdenciário</t>
        </is>
      </c>
      <c r="D41" s="24" t="inlineStr">
        <is>
          <t>Êxito</t>
        </is>
      </c>
      <c r="E41" s="24" t="inlineStr">
        <is>
          <t>Encerrado</t>
        </is>
      </c>
      <c r="F41" s="40" t="n">
        <v>6000</v>
      </c>
      <c r="G41" s="23" t="n">
        <v>40</v>
      </c>
      <c r="H41" s="30">
        <f>IF(OR(A41="",G41="",G41=0,F41=""),"",F41/G41)</f>
        <v>150</v>
      </c>
      <c r="I41" s="31">
        <f>IF(H41="","",H41/Config!$B$12-1)</f>
        <v>0.172973480204748</v>
      </c>
      <c r="J41" s="33" t="str">
        <f>IF(H41="","",IF(H41&lt;Config!$B$12,"Abaixo do mínimo",IF(H41&lt;Config!$B$13,"Na faixa","Acima do alvo")))</f>
        <v>Na faixa</v>
      </c>
      <c r="K41" s="25">
        <f>IF(H41="","",MAX(0,Config!$B$12*G41-F41))</f>
        <v>0</v>
      </c>
      <c r="L41" s="41">
        <f>IF(K41="","",K41+ROW()/1000000)</f>
        <v>4.1e-05</v>
      </c>
    </row>
    <row r="42">
      <c r="A42" s="22" t="inlineStr">
        <is>
          <t>9420478-99.2025.8.26.0491</t>
        </is>
      </c>
      <c r="B42" s="22" t="inlineStr">
        <is>
          <t>Ana Beatriz Moreira</t>
        </is>
      </c>
      <c r="C42" s="24" t="inlineStr">
        <is>
          <t>Trabalhista</t>
        </is>
      </c>
      <c r="D42" s="24" t="inlineStr">
        <is>
          <t>Misto</t>
        </is>
      </c>
      <c r="E42" s="24" t="inlineStr">
        <is>
          <t>Encerrado</t>
        </is>
      </c>
      <c r="F42" s="40" t="n">
        <v>8500</v>
      </c>
      <c r="G42" s="23" t="n">
        <v>70</v>
      </c>
      <c r="H42" s="30">
        <f>IF(OR(A42="",G42="",G42=0,F42=""),"",F42/G42)</f>
        <v>121.428571428571</v>
      </c>
      <c r="I42" s="31">
        <f>IF(H42="","",H42/Config!$B$12-1)</f>
        <v>-0.0504500398342512</v>
      </c>
      <c r="J42" s="33" t="str">
        <f>IF(H42="","",IF(H42&lt;Config!$B$12,"Abaixo do mínimo",IF(H42&lt;Config!$B$13,"Na faixa","Acima do alvo")))</f>
        <v>Abaixo do mínimo</v>
      </c>
      <c r="K42" s="25">
        <f>IF(H42="","",MAX(0,Config!$B$12*G42-F42))</f>
        <v>451.609032258062</v>
      </c>
      <c r="L42" s="41">
        <f>IF(K42="","",K42+ROW()/1000000)</f>
        <v>451.609074258062</v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IF(OR(A43="",G43="",G43=0,F43=""),"",F43/G43)</f>
        <v/>
      </c>
      <c r="I43" s="31">
        <f>IF(H43="","",H43/Config!$B$12-1)</f>
        <v/>
      </c>
      <c r="J43" s="33">
        <f>IF(H43="","",IF(H43&lt;Config!$B$12,"Abaixo do mínimo",IF(H43&lt;Config!$B$13,"Na faixa","Acima do alvo")))</f>
        <v/>
      </c>
      <c r="K43" s="25">
        <f>IF(H43="","",MAX(0,Config!$B$12*G43-F43))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IF(OR(A44="",G44="",G44=0,F44=""),"",F44/G44)</f>
        <v/>
      </c>
      <c r="I44" s="31">
        <f>IF(H44="","",H44/Config!$B$12-1)</f>
        <v/>
      </c>
      <c r="J44" s="33">
        <f>IF(H44="","",IF(H44&lt;Config!$B$12,"Abaixo do mínimo",IF(H44&lt;Config!$B$13,"Na faixa","Acima do alvo")))</f>
        <v/>
      </c>
      <c r="K44" s="25">
        <f>IF(H44="","",MAX(0,Config!$B$12*G44-F44))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IF(OR(A45="",G45="",G45=0,F45=""),"",F45/G45)</f>
        <v/>
      </c>
      <c r="I45" s="31">
        <f>IF(H45="","",H45/Config!$B$12-1)</f>
        <v/>
      </c>
      <c r="J45" s="33">
        <f>IF(H45="","",IF(H45&lt;Config!$B$12,"Abaixo do mínimo",IF(H45&lt;Config!$B$13,"Na faixa","Acima do alvo")))</f>
        <v/>
      </c>
      <c r="K45" s="25">
        <f>IF(H45="","",MAX(0,Config!$B$12*G45-F45))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IF(OR(A46="",G46="",G46=0,F46=""),"",F46/G46)</f>
        <v/>
      </c>
      <c r="I46" s="31">
        <f>IF(H46="","",H46/Config!$B$12-1)</f>
        <v/>
      </c>
      <c r="J46" s="33">
        <f>IF(H46="","",IF(H46&lt;Config!$B$12,"Abaixo do mínimo",IF(H46&lt;Config!$B$13,"Na faixa","Acima do alvo")))</f>
        <v/>
      </c>
      <c r="K46" s="25">
        <f>IF(H46="","",MAX(0,Config!$B$12*G46-F46))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IF(OR(A47="",G47="",G47=0,F47=""),"",F47/G47)</f>
        <v/>
      </c>
      <c r="I47" s="31">
        <f>IF(H47="","",H47/Config!$B$12-1)</f>
        <v/>
      </c>
      <c r="J47" s="33">
        <f>IF(H47="","",IF(H47&lt;Config!$B$12,"Abaixo do mínimo",IF(H47&lt;Config!$B$13,"Na faixa","Acima do alvo")))</f>
        <v/>
      </c>
      <c r="K47" s="25">
        <f>IF(H47="","",MAX(0,Config!$B$12*G47-F47))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IF(OR(A48="",G48="",G48=0,F48=""),"",F48/G48)</f>
        <v/>
      </c>
      <c r="I48" s="31">
        <f>IF(H48="","",H48/Config!$B$12-1)</f>
        <v/>
      </c>
      <c r="J48" s="33">
        <f>IF(H48="","",IF(H48&lt;Config!$B$12,"Abaixo do mínimo",IF(H48&lt;Config!$B$13,"Na faixa","Acima do alvo")))</f>
        <v/>
      </c>
      <c r="K48" s="25">
        <f>IF(H48="","",MAX(0,Config!$B$12*G48-F48))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IF(OR(A49="",G49="",G49=0,F49=""),"",F49/G49)</f>
        <v/>
      </c>
      <c r="I49" s="31">
        <f>IF(H49="","",H49/Config!$B$12-1)</f>
        <v/>
      </c>
      <c r="J49" s="33">
        <f>IF(H49="","",IF(H49&lt;Config!$B$12,"Abaixo do mínimo",IF(H49&lt;Config!$B$13,"Na faixa","Acima do alvo")))</f>
        <v/>
      </c>
      <c r="K49" s="25">
        <f>IF(H49="","",MAX(0,Config!$B$12*G49-F49))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IF(OR(A50="",G50="",G50=0,F50=""),"",F50/G50)</f>
        <v/>
      </c>
      <c r="I50" s="31">
        <f>IF(H50="","",H50/Config!$B$12-1)</f>
        <v/>
      </c>
      <c r="J50" s="33">
        <f>IF(H50="","",IF(H50&lt;Config!$B$12,"Abaixo do mínimo",IF(H50&lt;Config!$B$13,"Na faixa","Acima do alvo")))</f>
        <v/>
      </c>
      <c r="K50" s="25">
        <f>IF(H50="","",MAX(0,Config!$B$12*G50-F50))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IF(OR(A51="",G51="",G51=0,F51=""),"",F51/G51)</f>
        <v/>
      </c>
      <c r="I51" s="31">
        <f>IF(H51="","",H51/Config!$B$12-1)</f>
        <v/>
      </c>
      <c r="J51" s="33">
        <f>IF(H51="","",IF(H51&lt;Config!$B$12,"Abaixo do mínimo",IF(H51&lt;Config!$B$13,"Na faixa","Acima do alvo")))</f>
        <v/>
      </c>
      <c r="K51" s="25">
        <f>IF(H51="","",MAX(0,Config!$B$12*G51-F51))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IF(OR(A52="",G52="",G52=0,F52=""),"",F52/G52)</f>
        <v/>
      </c>
      <c r="I52" s="31">
        <f>IF(H52="","",H52/Config!$B$12-1)</f>
        <v/>
      </c>
      <c r="J52" s="33">
        <f>IF(H52="","",IF(H52&lt;Config!$B$12,"Abaixo do mínimo",IF(H52&lt;Config!$B$13,"Na faixa","Acima do alvo")))</f>
        <v/>
      </c>
      <c r="K52" s="25">
        <f>IF(H52="","",MAX(0,Config!$B$12*G52-F52))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IF(OR(A53="",G53="",G53=0,F53=""),"",F53/G53)</f>
        <v/>
      </c>
      <c r="I53" s="31">
        <f>IF(H53="","",H53/Config!$B$12-1)</f>
        <v/>
      </c>
      <c r="J53" s="33">
        <f>IF(H53="","",IF(H53&lt;Config!$B$12,"Abaixo do mínimo",IF(H53&lt;Config!$B$13,"Na faixa","Acima do alvo")))</f>
        <v/>
      </c>
      <c r="K53" s="25">
        <f>IF(H53="","",MAX(0,Config!$B$12*G53-F53))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IF(OR(A54="",G54="",G54=0,F54=""),"",F54/G54)</f>
        <v/>
      </c>
      <c r="I54" s="31">
        <f>IF(H54="","",H54/Config!$B$12-1)</f>
        <v/>
      </c>
      <c r="J54" s="33">
        <f>IF(H54="","",IF(H54&lt;Config!$B$12,"Abaixo do mínimo",IF(H54&lt;Config!$B$13,"Na faixa","Acima do alvo")))</f>
        <v/>
      </c>
      <c r="K54" s="25">
        <f>IF(H54="","",MAX(0,Config!$B$12*G54-F54))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IF(OR(A55="",G55="",G55=0,F55=""),"",F55/G55)</f>
        <v/>
      </c>
      <c r="I55" s="31">
        <f>IF(H55="","",H55/Config!$B$12-1)</f>
        <v/>
      </c>
      <c r="J55" s="33">
        <f>IF(H55="","",IF(H55&lt;Config!$B$12,"Abaixo do mínimo",IF(H55&lt;Config!$B$13,"Na faixa","Acima do alvo")))</f>
        <v/>
      </c>
      <c r="K55" s="25">
        <f>IF(H55="","",MAX(0,Config!$B$12*G55-F55))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IF(OR(A56="",G56="",G56=0,F56=""),"",F56/G56)</f>
        <v/>
      </c>
      <c r="I56" s="31">
        <f>IF(H56="","",H56/Config!$B$12-1)</f>
        <v/>
      </c>
      <c r="J56" s="33">
        <f>IF(H56="","",IF(H56&lt;Config!$B$12,"Abaixo do mínimo",IF(H56&lt;Config!$B$13,"Na faixa","Acima do alvo")))</f>
        <v/>
      </c>
      <c r="K56" s="25">
        <f>IF(H56="","",MAX(0,Config!$B$12*G56-F56))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IF(OR(A57="",G57="",G57=0,F57=""),"",F57/G57)</f>
        <v/>
      </c>
      <c r="I57" s="31">
        <f>IF(H57="","",H57/Config!$B$12-1)</f>
        <v/>
      </c>
      <c r="J57" s="33">
        <f>IF(H57="","",IF(H57&lt;Config!$B$12,"Abaixo do mínimo",IF(H57&lt;Config!$B$13,"Na faixa","Acima do alvo")))</f>
        <v/>
      </c>
      <c r="K57" s="25">
        <f>IF(H57="","",MAX(0,Config!$B$12*G57-F57))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IF(OR(A58="",G58="",G58=0,F58=""),"",F58/G58)</f>
        <v/>
      </c>
      <c r="I58" s="31">
        <f>IF(H58="","",H58/Config!$B$12-1)</f>
        <v/>
      </c>
      <c r="J58" s="33">
        <f>IF(H58="","",IF(H58&lt;Config!$B$12,"Abaixo do mínimo",IF(H58&lt;Config!$B$13,"Na faixa","Acima do alvo")))</f>
        <v/>
      </c>
      <c r="K58" s="25">
        <f>IF(H58="","",MAX(0,Config!$B$12*G58-F58))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IF(OR(A59="",G59="",G59=0,F59=""),"",F59/G59)</f>
        <v/>
      </c>
      <c r="I59" s="31">
        <f>IF(H59="","",H59/Config!$B$12-1)</f>
        <v/>
      </c>
      <c r="J59" s="33">
        <f>IF(H59="","",IF(H59&lt;Config!$B$12,"Abaixo do mínimo",IF(H59&lt;Config!$B$13,"Na faixa","Acima do alvo")))</f>
        <v/>
      </c>
      <c r="K59" s="25">
        <f>IF(H59="","",MAX(0,Config!$B$12*G59-F59))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IF(OR(A60="",G60="",G60=0,F60=""),"",F60/G60)</f>
        <v/>
      </c>
      <c r="I60" s="31">
        <f>IF(H60="","",H60/Config!$B$12-1)</f>
        <v/>
      </c>
      <c r="J60" s="33">
        <f>IF(H60="","",IF(H60&lt;Config!$B$12,"Abaixo do mínimo",IF(H60&lt;Config!$B$13,"Na faixa","Acima do alvo")))</f>
        <v/>
      </c>
      <c r="K60" s="25">
        <f>IF(H60="","",MAX(0,Config!$B$12*G60-F60))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IF(OR(A61="",G61="",G61=0,F61=""),"",F61/G61)</f>
        <v/>
      </c>
      <c r="I61" s="31">
        <f>IF(H61="","",H61/Config!$B$12-1)</f>
        <v/>
      </c>
      <c r="J61" s="33">
        <f>IF(H61="","",IF(H61&lt;Config!$B$12,"Abaixo do mínimo",IF(H61&lt;Config!$B$13,"Na faixa","Acima do alvo")))</f>
        <v/>
      </c>
      <c r="K61" s="25">
        <f>IF(H61="","",MAX(0,Config!$B$12*G61-F61))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IF(OR(A62="",G62="",G62=0,F62=""),"",F62/G62)</f>
        <v/>
      </c>
      <c r="I62" s="31">
        <f>IF(H62="","",H62/Config!$B$12-1)</f>
        <v/>
      </c>
      <c r="J62" s="33">
        <f>IF(H62="","",IF(H62&lt;Config!$B$12,"Abaixo do mínimo",IF(H62&lt;Config!$B$13,"Na faixa","Acima do alvo")))</f>
        <v/>
      </c>
      <c r="K62" s="25">
        <f>IF(H62="","",MAX(0,Config!$B$12*G62-F62))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IF(OR(A63="",G63="",G63=0,F63=""),"",F63/G63)</f>
        <v/>
      </c>
      <c r="I63" s="31">
        <f>IF(H63="","",H63/Config!$B$12-1)</f>
        <v/>
      </c>
      <c r="J63" s="33">
        <f>IF(H63="","",IF(H63&lt;Config!$B$12,"Abaixo do mínimo",IF(H63&lt;Config!$B$13,"Na faixa","Acima do alvo")))</f>
        <v/>
      </c>
      <c r="K63" s="25">
        <f>IF(H63="","",MAX(0,Config!$B$12*G63-F63))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IF(OR(A64="",G64="",G64=0,F64=""),"",F64/G64)</f>
        <v/>
      </c>
      <c r="I64" s="31">
        <f>IF(H64="","",H64/Config!$B$12-1)</f>
        <v/>
      </c>
      <c r="J64" s="33">
        <f>IF(H64="","",IF(H64&lt;Config!$B$12,"Abaixo do mínimo",IF(H64&lt;Config!$B$13,"Na faixa","Acima do alvo")))</f>
        <v/>
      </c>
      <c r="K64" s="25">
        <f>IF(H64="","",MAX(0,Config!$B$12*G64-F64))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IF(OR(A65="",G65="",G65=0,F65=""),"",F65/G65)</f>
        <v/>
      </c>
      <c r="I65" s="31">
        <f>IF(H65="","",H65/Config!$B$12-1)</f>
        <v/>
      </c>
      <c r="J65" s="33">
        <f>IF(H65="","",IF(H65&lt;Config!$B$12,"Abaixo do mínimo",IF(H65&lt;Config!$B$13,"Na faixa","Acima do alvo")))</f>
        <v/>
      </c>
      <c r="K65" s="25">
        <f>IF(H65="","",MAX(0,Config!$B$12*G65-F65))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IF(OR(A66="",G66="",G66=0,F66=""),"",F66/G66)</f>
        <v/>
      </c>
      <c r="I66" s="31">
        <f>IF(H66="","",H66/Config!$B$12-1)</f>
        <v/>
      </c>
      <c r="J66" s="33">
        <f>IF(H66="","",IF(H66&lt;Config!$B$12,"Abaixo do mínimo",IF(H66&lt;Config!$B$13,"Na faixa","Acima do alvo")))</f>
        <v/>
      </c>
      <c r="K66" s="25">
        <f>IF(H66="","",MAX(0,Config!$B$12*G66-F66))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IF(OR(A67="",G67="",G67=0,F67=""),"",F67/G67)</f>
        <v/>
      </c>
      <c r="I67" s="31">
        <f>IF(H67="","",H67/Config!$B$12-1)</f>
        <v/>
      </c>
      <c r="J67" s="33">
        <f>IF(H67="","",IF(H67&lt;Config!$B$12,"Abaixo do mínimo",IF(H67&lt;Config!$B$13,"Na faixa","Acima do alvo")))</f>
        <v/>
      </c>
      <c r="K67" s="25">
        <f>IF(H67="","",MAX(0,Config!$B$12*G67-F67))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IF(OR(A68="",G68="",G68=0,F68=""),"",F68/G68)</f>
        <v/>
      </c>
      <c r="I68" s="31">
        <f>IF(H68="","",H68/Config!$B$12-1)</f>
        <v/>
      </c>
      <c r="J68" s="33">
        <f>IF(H68="","",IF(H68&lt;Config!$B$12,"Abaixo do mínimo",IF(H68&lt;Config!$B$13,"Na faixa","Acima do alvo")))</f>
        <v/>
      </c>
      <c r="K68" s="25">
        <f>IF(H68="","",MAX(0,Config!$B$12*G68-F68))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IF(OR(A69="",G69="",G69=0,F69=""),"",F69/G69)</f>
        <v/>
      </c>
      <c r="I69" s="31">
        <f>IF(H69="","",H69/Config!$B$12-1)</f>
        <v/>
      </c>
      <c r="J69" s="33">
        <f>IF(H69="","",IF(H69&lt;Config!$B$12,"Abaixo do mínimo",IF(H69&lt;Config!$B$13,"Na faixa","Acima do alvo")))</f>
        <v/>
      </c>
      <c r="K69" s="25">
        <f>IF(H69="","",MAX(0,Config!$B$12*G69-F69))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IF(OR(A70="",G70="",G70=0,F70=""),"",F70/G70)</f>
        <v/>
      </c>
      <c r="I70" s="31">
        <f>IF(H70="","",H70/Config!$B$12-1)</f>
        <v/>
      </c>
      <c r="J70" s="33">
        <f>IF(H70="","",IF(H70&lt;Config!$B$12,"Abaixo do mínimo",IF(H70&lt;Config!$B$13,"Na faixa","Acima do alvo")))</f>
        <v/>
      </c>
      <c r="K70" s="25">
        <f>IF(H70="","",MAX(0,Config!$B$12*G70-F70))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IF(OR(A71="",G71="",G71=0,F71=""),"",F71/G71)</f>
        <v/>
      </c>
      <c r="I71" s="31">
        <f>IF(H71="","",H71/Config!$B$12-1)</f>
        <v/>
      </c>
      <c r="J71" s="33">
        <f>IF(H71="","",IF(H71&lt;Config!$B$12,"Abaixo do mínimo",IF(H71&lt;Config!$B$13,"Na faixa","Acima do alvo")))</f>
        <v/>
      </c>
      <c r="K71" s="25">
        <f>IF(H71="","",MAX(0,Config!$B$12*G71-F71))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IF(OR(A72="",G72="",G72=0,F72=""),"",F72/G72)</f>
        <v/>
      </c>
      <c r="I72" s="31">
        <f>IF(H72="","",H72/Config!$B$12-1)</f>
        <v/>
      </c>
      <c r="J72" s="33">
        <f>IF(H72="","",IF(H72&lt;Config!$B$12,"Abaixo do mínimo",IF(H72&lt;Config!$B$13,"Na faixa","Acima do alvo")))</f>
        <v/>
      </c>
      <c r="K72" s="25">
        <f>IF(H72="","",MAX(0,Config!$B$12*G72-F72))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IF(OR(A73="",G73="",G73=0,F73=""),"",F73/G73)</f>
        <v/>
      </c>
      <c r="I73" s="31">
        <f>IF(H73="","",H73/Config!$B$12-1)</f>
        <v/>
      </c>
      <c r="J73" s="33">
        <f>IF(H73="","",IF(H73&lt;Config!$B$12,"Abaixo do mínimo",IF(H73&lt;Config!$B$13,"Na faixa","Acima do alvo")))</f>
        <v/>
      </c>
      <c r="K73" s="25">
        <f>IF(H73="","",MAX(0,Config!$B$12*G73-F73))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IF(OR(A74="",G74="",G74=0,F74=""),"",F74/G74)</f>
        <v/>
      </c>
      <c r="I74" s="31">
        <f>IF(H74="","",H74/Config!$B$12-1)</f>
        <v/>
      </c>
      <c r="J74" s="33">
        <f>IF(H74="","",IF(H74&lt;Config!$B$12,"Abaixo do mínimo",IF(H74&lt;Config!$B$13,"Na faixa","Acima do alvo")))</f>
        <v/>
      </c>
      <c r="K74" s="25">
        <f>IF(H74="","",MAX(0,Config!$B$12*G74-F74))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IF(OR(A75="",G75="",G75=0,F75=""),"",F75/G75)</f>
        <v/>
      </c>
      <c r="I75" s="31">
        <f>IF(H75="","",H75/Config!$B$12-1)</f>
        <v/>
      </c>
      <c r="J75" s="33">
        <f>IF(H75="","",IF(H75&lt;Config!$B$12,"Abaixo do mínimo",IF(H75&lt;Config!$B$13,"Na faixa","Acima do alvo")))</f>
        <v/>
      </c>
      <c r="K75" s="25">
        <f>IF(H75="","",MAX(0,Config!$B$12*G75-F75))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IF(OR(A76="",G76="",G76=0,F76=""),"",F76/G76)</f>
        <v/>
      </c>
      <c r="I76" s="31">
        <f>IF(H76="","",H76/Config!$B$12-1)</f>
        <v/>
      </c>
      <c r="J76" s="33">
        <f>IF(H76="","",IF(H76&lt;Config!$B$12,"Abaixo do mínimo",IF(H76&lt;Config!$B$13,"Na faixa","Acima do alvo")))</f>
        <v/>
      </c>
      <c r="K76" s="25">
        <f>IF(H76="","",MAX(0,Config!$B$12*G76-F76))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IF(OR(A77="",G77="",G77=0,F77=""),"",F77/G77)</f>
        <v/>
      </c>
      <c r="I77" s="31">
        <f>IF(H77="","",H77/Config!$B$12-1)</f>
        <v/>
      </c>
      <c r="J77" s="33">
        <f>IF(H77="","",IF(H77&lt;Config!$B$12,"Abaixo do mínimo",IF(H77&lt;Config!$B$13,"Na faixa","Acima do alvo")))</f>
        <v/>
      </c>
      <c r="K77" s="25">
        <f>IF(H77="","",MAX(0,Config!$B$12*G77-F77))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IF(OR(A78="",G78="",G78=0,F78=""),"",F78/G78)</f>
        <v/>
      </c>
      <c r="I78" s="31">
        <f>IF(H78="","",H78/Config!$B$12-1)</f>
        <v/>
      </c>
      <c r="J78" s="33">
        <f>IF(H78="","",IF(H78&lt;Config!$B$12,"Abaixo do mínimo",IF(H78&lt;Config!$B$13,"Na faixa","Acima do alvo")))</f>
        <v/>
      </c>
      <c r="K78" s="25">
        <f>IF(H78="","",MAX(0,Config!$B$12*G78-F78))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IF(OR(A79="",G79="",G79=0,F79=""),"",F79/G79)</f>
        <v/>
      </c>
      <c r="I79" s="31">
        <f>IF(H79="","",H79/Config!$B$12-1)</f>
        <v/>
      </c>
      <c r="J79" s="33">
        <f>IF(H79="","",IF(H79&lt;Config!$B$12,"Abaixo do mínimo",IF(H79&lt;Config!$B$13,"Na faixa","Acima do alvo")))</f>
        <v/>
      </c>
      <c r="K79" s="25">
        <f>IF(H79="","",MAX(0,Config!$B$12*G79-F79))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IF(OR(A80="",G80="",G80=0,F80=""),"",F80/G80)</f>
        <v/>
      </c>
      <c r="I80" s="31">
        <f>IF(H80="","",H80/Config!$B$12-1)</f>
        <v/>
      </c>
      <c r="J80" s="33">
        <f>IF(H80="","",IF(H80&lt;Config!$B$12,"Abaixo do mínimo",IF(H80&lt;Config!$B$13,"Na faixa","Acima do alvo")))</f>
        <v/>
      </c>
      <c r="K80" s="25">
        <f>IF(H80="","",MAX(0,Config!$B$12*G80-F80))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IF(OR(A81="",G81="",G81=0,F81=""),"",F81/G81)</f>
        <v/>
      </c>
      <c r="I81" s="31">
        <f>IF(H81="","",H81/Config!$B$12-1)</f>
        <v/>
      </c>
      <c r="J81" s="33">
        <f>IF(H81="","",IF(H81&lt;Config!$B$12,"Abaixo do mínimo",IF(H81&lt;Config!$B$13,"Na faixa","Acima do alvo")))</f>
        <v/>
      </c>
      <c r="K81" s="25">
        <f>IF(H81="","",MAX(0,Config!$B$12*G81-F81))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IF(OR(A82="",G82="",G82=0,F82=""),"",F82/G82)</f>
        <v/>
      </c>
      <c r="I82" s="31">
        <f>IF(H82="","",H82/Config!$B$12-1)</f>
        <v/>
      </c>
      <c r="J82" s="33">
        <f>IF(H82="","",IF(H82&lt;Config!$B$12,"Abaixo do mínimo",IF(H82&lt;Config!$B$13,"Na faixa","Acima do alvo")))</f>
        <v/>
      </c>
      <c r="K82" s="25">
        <f>IF(H82="","",MAX(0,Config!$B$12*G82-F82))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IF(OR(A83="",G83="",G83=0,F83=""),"",F83/G83)</f>
        <v/>
      </c>
      <c r="I83" s="31">
        <f>IF(H83="","",H83/Config!$B$12-1)</f>
        <v/>
      </c>
      <c r="J83" s="33">
        <f>IF(H83="","",IF(H83&lt;Config!$B$12,"Abaixo do mínimo",IF(H83&lt;Config!$B$13,"Na faixa","Acima do alvo")))</f>
        <v/>
      </c>
      <c r="K83" s="25">
        <f>IF(H83="","",MAX(0,Config!$B$12*G83-F83))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IF(OR(A84="",G84="",G84=0,F84=""),"",F84/G84)</f>
        <v/>
      </c>
      <c r="I84" s="31">
        <f>IF(H84="","",H84/Config!$B$12-1)</f>
        <v/>
      </c>
      <c r="J84" s="33">
        <f>IF(H84="","",IF(H84&lt;Config!$B$12,"Abaixo do mínimo",IF(H84&lt;Config!$B$13,"Na faixa","Acima do alvo")))</f>
        <v/>
      </c>
      <c r="K84" s="25">
        <f>IF(H84="","",MAX(0,Config!$B$12*G84-F84))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IF(OR(A85="",G85="",G85=0,F85=""),"",F85/G85)</f>
        <v/>
      </c>
      <c r="I85" s="31">
        <f>IF(H85="","",H85/Config!$B$12-1)</f>
        <v/>
      </c>
      <c r="J85" s="33">
        <f>IF(H85="","",IF(H85&lt;Config!$B$12,"Abaixo do mínimo",IF(H85&lt;Config!$B$13,"Na faixa","Acima do alvo")))</f>
        <v/>
      </c>
      <c r="K85" s="25">
        <f>IF(H85="","",MAX(0,Config!$B$12*G85-F85))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IF(OR(A86="",G86="",G86=0,F86=""),"",F86/G86)</f>
        <v/>
      </c>
      <c r="I86" s="31">
        <f>IF(H86="","",H86/Config!$B$12-1)</f>
        <v/>
      </c>
      <c r="J86" s="33">
        <f>IF(H86="","",IF(H86&lt;Config!$B$12,"Abaixo do mínimo",IF(H86&lt;Config!$B$13,"Na faixa","Acima do alvo")))</f>
        <v/>
      </c>
      <c r="K86" s="25">
        <f>IF(H86="","",MAX(0,Config!$B$12*G86-F86))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IF(OR(A87="",G87="",G87=0,F87=""),"",F87/G87)</f>
        <v/>
      </c>
      <c r="I87" s="31">
        <f>IF(H87="","",H87/Config!$B$12-1)</f>
        <v/>
      </c>
      <c r="J87" s="33">
        <f>IF(H87="","",IF(H87&lt;Config!$B$12,"Abaixo do mínimo",IF(H87&lt;Config!$B$13,"Na faixa","Acima do alvo")))</f>
        <v/>
      </c>
      <c r="K87" s="25">
        <f>IF(H87="","",MAX(0,Config!$B$12*G87-F87))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IF(OR(A88="",G88="",G88=0,F88=""),"",F88/G88)</f>
        <v/>
      </c>
      <c r="I88" s="31">
        <f>IF(H88="","",H88/Config!$B$12-1)</f>
        <v/>
      </c>
      <c r="J88" s="33">
        <f>IF(H88="","",IF(H88&lt;Config!$B$12,"Abaixo do mínimo",IF(H88&lt;Config!$B$13,"Na faixa","Acima do alvo")))</f>
        <v/>
      </c>
      <c r="K88" s="25">
        <f>IF(H88="","",MAX(0,Config!$B$12*G88-F88))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IF(OR(A89="",G89="",G89=0,F89=""),"",F89/G89)</f>
        <v/>
      </c>
      <c r="I89" s="31">
        <f>IF(H89="","",H89/Config!$B$12-1)</f>
        <v/>
      </c>
      <c r="J89" s="33">
        <f>IF(H89="","",IF(H89&lt;Config!$B$12,"Abaixo do mínimo",IF(H89&lt;Config!$B$13,"Na faixa","Acima do alvo")))</f>
        <v/>
      </c>
      <c r="K89" s="25">
        <f>IF(H89="","",MAX(0,Config!$B$12*G89-F89))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IF(OR(A90="",G90="",G90=0,F90=""),"",F90/G90)</f>
        <v/>
      </c>
      <c r="I90" s="31">
        <f>IF(H90="","",H90/Config!$B$12-1)</f>
        <v/>
      </c>
      <c r="J90" s="33">
        <f>IF(H90="","",IF(H90&lt;Config!$B$12,"Abaixo do mínimo",IF(H90&lt;Config!$B$13,"Na faixa","Acima do alvo")))</f>
        <v/>
      </c>
      <c r="K90" s="25">
        <f>IF(H90="","",MAX(0,Config!$B$12*G90-F90))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IF(OR(A91="",G91="",G91=0,F91=""),"",F91/G91)</f>
        <v/>
      </c>
      <c r="I91" s="31">
        <f>IF(H91="","",H91/Config!$B$12-1)</f>
        <v/>
      </c>
      <c r="J91" s="33">
        <f>IF(H91="","",IF(H91&lt;Config!$B$12,"Abaixo do mínimo",IF(H91&lt;Config!$B$13,"Na faixa","Acima do alvo")))</f>
        <v/>
      </c>
      <c r="K91" s="25">
        <f>IF(H91="","",MAX(0,Config!$B$12*G91-F91))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IF(OR(A92="",G92="",G92=0,F92=""),"",F92/G92)</f>
        <v/>
      </c>
      <c r="I92" s="31">
        <f>IF(H92="","",H92/Config!$B$12-1)</f>
        <v/>
      </c>
      <c r="J92" s="33">
        <f>IF(H92="","",IF(H92&lt;Config!$B$12,"Abaixo do mínimo",IF(H92&lt;Config!$B$13,"Na faixa","Acima do alvo")))</f>
        <v/>
      </c>
      <c r="K92" s="25">
        <f>IF(H92="","",MAX(0,Config!$B$12*G92-F92))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IF(OR(A93="",G93="",G93=0,F93=""),"",F93/G93)</f>
        <v/>
      </c>
      <c r="I93" s="31">
        <f>IF(H93="","",H93/Config!$B$12-1)</f>
        <v/>
      </c>
      <c r="J93" s="33">
        <f>IF(H93="","",IF(H93&lt;Config!$B$12,"Abaixo do mínimo",IF(H93&lt;Config!$B$13,"Na faixa","Acima do alvo")))</f>
        <v/>
      </c>
      <c r="K93" s="25">
        <f>IF(H93="","",MAX(0,Config!$B$12*G93-F93))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IF(OR(A94="",G94="",G94=0,F94=""),"",F94/G94)</f>
        <v/>
      </c>
      <c r="I94" s="31">
        <f>IF(H94="","",H94/Config!$B$12-1)</f>
        <v/>
      </c>
      <c r="J94" s="33">
        <f>IF(H94="","",IF(H94&lt;Config!$B$12,"Abaixo do mínimo",IF(H94&lt;Config!$B$13,"Na faixa","Acima do alvo")))</f>
        <v/>
      </c>
      <c r="K94" s="25">
        <f>IF(H94="","",MAX(0,Config!$B$12*G94-F94))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IF(OR(A95="",G95="",G95=0,F95=""),"",F95/G95)</f>
        <v/>
      </c>
      <c r="I95" s="31">
        <f>IF(H95="","",H95/Config!$B$12-1)</f>
        <v/>
      </c>
      <c r="J95" s="33">
        <f>IF(H95="","",IF(H95&lt;Config!$B$12,"Abaixo do mínimo",IF(H95&lt;Config!$B$13,"Na faixa","Acima do alvo")))</f>
        <v/>
      </c>
      <c r="K95" s="25">
        <f>IF(H95="","",MAX(0,Config!$B$12*G95-F95))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IF(OR(A96="",G96="",G96=0,F96=""),"",F96/G96)</f>
        <v/>
      </c>
      <c r="I96" s="31">
        <f>IF(H96="","",H96/Config!$B$12-1)</f>
        <v/>
      </c>
      <c r="J96" s="33">
        <f>IF(H96="","",IF(H96&lt;Config!$B$12,"Abaixo do mínimo",IF(H96&lt;Config!$B$13,"Na faixa","Acima do alvo")))</f>
        <v/>
      </c>
      <c r="K96" s="25">
        <f>IF(H96="","",MAX(0,Config!$B$12*G96-F96))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IF(OR(A97="",G97="",G97=0,F97=""),"",F97/G97)</f>
        <v/>
      </c>
      <c r="I97" s="31">
        <f>IF(H97="","",H97/Config!$B$12-1)</f>
        <v/>
      </c>
      <c r="J97" s="33">
        <f>IF(H97="","",IF(H97&lt;Config!$B$12,"Abaixo do mínimo",IF(H97&lt;Config!$B$13,"Na faixa","Acima do alvo")))</f>
        <v/>
      </c>
      <c r="K97" s="25">
        <f>IF(H97="","",MAX(0,Config!$B$12*G97-F97))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IF(OR(A98="",G98="",G98=0,F98=""),"",F98/G98)</f>
        <v/>
      </c>
      <c r="I98" s="31">
        <f>IF(H98="","",H98/Config!$B$12-1)</f>
        <v/>
      </c>
      <c r="J98" s="33">
        <f>IF(H98="","",IF(H98&lt;Config!$B$12,"Abaixo do mínimo",IF(H98&lt;Config!$B$13,"Na faixa","Acima do alvo")))</f>
        <v/>
      </c>
      <c r="K98" s="25">
        <f>IF(H98="","",MAX(0,Config!$B$12*G98-F98))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IF(OR(A99="",G99="",G99=0,F99=""),"",F99/G99)</f>
        <v/>
      </c>
      <c r="I99" s="31">
        <f>IF(H99="","",H99/Config!$B$12-1)</f>
        <v/>
      </c>
      <c r="J99" s="33">
        <f>IF(H99="","",IF(H99&lt;Config!$B$12,"Abaixo do mínimo",IF(H99&lt;Config!$B$13,"Na faixa","Acima do alvo")))</f>
        <v/>
      </c>
      <c r="K99" s="25">
        <f>IF(H99="","",MAX(0,Config!$B$12*G99-F99))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IF(OR(A100="",G100="",G100=0,F100=""),"",F100/G100)</f>
        <v/>
      </c>
      <c r="I100" s="31">
        <f>IF(H100="","",H100/Config!$B$12-1)</f>
        <v/>
      </c>
      <c r="J100" s="33">
        <f>IF(H100="","",IF(H100&lt;Config!$B$12,"Abaixo do mínimo",IF(H100&lt;Config!$B$13,"Na faixa","Acima do alvo")))</f>
        <v/>
      </c>
      <c r="K100" s="25">
        <f>IF(H100="","",MAX(0,Config!$B$12*G100-F100))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IF(OR(A101="",G101="",G101=0,F101=""),"",F101/G101)</f>
        <v/>
      </c>
      <c r="I101" s="31">
        <f>IF(H101="","",H101/Config!$B$12-1)</f>
        <v/>
      </c>
      <c r="J101" s="33">
        <f>IF(H101="","",IF(H101&lt;Config!$B$12,"Abaixo do mínimo",IF(H101&lt;Config!$B$13,"Na faixa","Acima do alvo")))</f>
        <v/>
      </c>
      <c r="K101" s="25">
        <f>IF(H101="","",MAX(0,Config!$B$12*G101-F101))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IF(OR(A102="",G102="",G102=0,F102=""),"",F102/G102)</f>
        <v/>
      </c>
      <c r="I102" s="31">
        <f>IF(H102="","",H102/Config!$B$12-1)</f>
        <v/>
      </c>
      <c r="J102" s="33">
        <f>IF(H102="","",IF(H102&lt;Config!$B$12,"Abaixo do mínimo",IF(H102&lt;Config!$B$13,"Na faixa","Acima do alvo")))</f>
        <v/>
      </c>
      <c r="K102" s="25">
        <f>IF(H102="","",MAX(0,Config!$B$12*G102-F102))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IF(OR(A103="",G103="",G103=0,F103=""),"",F103/G103)</f>
        <v/>
      </c>
      <c r="I103" s="31">
        <f>IF(H103="","",H103/Config!$B$12-1)</f>
        <v/>
      </c>
      <c r="J103" s="33">
        <f>IF(H103="","",IF(H103&lt;Config!$B$12,"Abaixo do mínimo",IF(H103&lt;Config!$B$13,"Na faixa","Acima do alvo")))</f>
        <v/>
      </c>
      <c r="K103" s="25">
        <f>IF(H103="","",MAX(0,Config!$B$12*G103-F103))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IF(OR(A104="",G104="",G104=0,F104=""),"",F104/G104)</f>
        <v/>
      </c>
      <c r="I104" s="31">
        <f>IF(H104="","",H104/Config!$B$12-1)</f>
        <v/>
      </c>
      <c r="J104" s="33">
        <f>IF(H104="","",IF(H104&lt;Config!$B$12,"Abaixo do mínimo",IF(H104&lt;Config!$B$13,"Na faixa","Acima do alvo")))</f>
        <v/>
      </c>
      <c r="K104" s="25">
        <f>IF(H104="","",MAX(0,Config!$B$12*G104-F104))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IF(OR(A105="",G105="",G105=0,F105=""),"",F105/G105)</f>
        <v/>
      </c>
      <c r="I105" s="31">
        <f>IF(H105="","",H105/Config!$B$12-1)</f>
        <v/>
      </c>
      <c r="J105" s="33">
        <f>IF(H105="","",IF(H105&lt;Config!$B$12,"Abaixo do mínimo",IF(H105&lt;Config!$B$13,"Na faixa","Acima do alvo")))</f>
        <v/>
      </c>
      <c r="K105" s="25">
        <f>IF(H105="","",MAX(0,Config!$B$12*G105-F105))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IF(OR(A106="",G106="",G106=0,F106=""),"",F106/G106)</f>
        <v/>
      </c>
      <c r="I106" s="31">
        <f>IF(H106="","",H106/Config!$B$12-1)</f>
        <v/>
      </c>
      <c r="J106" s="33">
        <f>IF(H106="","",IF(H106&lt;Config!$B$12,"Abaixo do mínimo",IF(H106&lt;Config!$B$13,"Na faixa","Acima do alvo")))</f>
        <v/>
      </c>
      <c r="K106" s="25">
        <f>IF(H106="","",MAX(0,Config!$B$12*G106-F106))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IF(OR(A107="",G107="",G107=0,F107=""),"",F107/G107)</f>
        <v/>
      </c>
      <c r="I107" s="31">
        <f>IF(H107="","",H107/Config!$B$12-1)</f>
        <v/>
      </c>
      <c r="J107" s="33">
        <f>IF(H107="","",IF(H107&lt;Config!$B$12,"Abaixo do mínimo",IF(H107&lt;Config!$B$13,"Na faixa","Acima do alvo")))</f>
        <v/>
      </c>
      <c r="K107" s="25">
        <f>IF(H107="","",MAX(0,Config!$B$12*G107-F107))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IF(OR(A108="",G108="",G108=0,F108=""),"",F108/G108)</f>
        <v/>
      </c>
      <c r="I108" s="31">
        <f>IF(H108="","",H108/Config!$B$12-1)</f>
        <v/>
      </c>
      <c r="J108" s="33">
        <f>IF(H108="","",IF(H108&lt;Config!$B$12,"Abaixo do mínimo",IF(H108&lt;Config!$B$13,"Na faixa","Acima do alvo")))</f>
        <v/>
      </c>
      <c r="K108" s="25">
        <f>IF(H108="","",MAX(0,Config!$B$12*G108-F108))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IF(OR(A109="",G109="",G109=0,F109=""),"",F109/G109)</f>
        <v/>
      </c>
      <c r="I109" s="31">
        <f>IF(H109="","",H109/Config!$B$12-1)</f>
        <v/>
      </c>
      <c r="J109" s="33">
        <f>IF(H109="","",IF(H109&lt;Config!$B$12,"Abaixo do mínimo",IF(H109&lt;Config!$B$13,"Na faixa","Acima do alvo")))</f>
        <v/>
      </c>
      <c r="K109" s="25">
        <f>IF(H109="","",MAX(0,Config!$B$12*G109-F109))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IF(OR(A110="",G110="",G110=0,F110=""),"",F110/G110)</f>
        <v/>
      </c>
      <c r="I110" s="31">
        <f>IF(H110="","",H110/Config!$B$12-1)</f>
        <v/>
      </c>
      <c r="J110" s="33">
        <f>IF(H110="","",IF(H110&lt;Config!$B$12,"Abaixo do mínimo",IF(H110&lt;Config!$B$13,"Na faixa","Acima do alvo")))</f>
        <v/>
      </c>
      <c r="K110" s="25">
        <f>IF(H110="","",MAX(0,Config!$B$12*G110-F110))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IF(OR(A111="",G111="",G111=0,F111=""),"",F111/G111)</f>
        <v/>
      </c>
      <c r="I111" s="31">
        <f>IF(H111="","",H111/Config!$B$12-1)</f>
        <v/>
      </c>
      <c r="J111" s="33">
        <f>IF(H111="","",IF(H111&lt;Config!$B$12,"Abaixo do mínimo",IF(H111&lt;Config!$B$13,"Na faixa","Acima do alvo")))</f>
        <v/>
      </c>
      <c r="K111" s="25">
        <f>IF(H111="","",MAX(0,Config!$B$12*G111-F111))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IF(OR(A112="",G112="",G112=0,F112=""),"",F112/G112)</f>
        <v/>
      </c>
      <c r="I112" s="31">
        <f>IF(H112="","",H112/Config!$B$12-1)</f>
        <v/>
      </c>
      <c r="J112" s="33">
        <f>IF(H112="","",IF(H112&lt;Config!$B$12,"Abaixo do mínimo",IF(H112&lt;Config!$B$13,"Na faixa","Acima do alvo")))</f>
        <v/>
      </c>
      <c r="K112" s="25">
        <f>IF(H112="","",MAX(0,Config!$B$12*G112-F112))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IF(OR(A113="",G113="",G113=0,F113=""),"",F113/G113)</f>
        <v/>
      </c>
      <c r="I113" s="31">
        <f>IF(H113="","",H113/Config!$B$12-1)</f>
        <v/>
      </c>
      <c r="J113" s="33">
        <f>IF(H113="","",IF(H113&lt;Config!$B$12,"Abaixo do mínimo",IF(H113&lt;Config!$B$13,"Na faixa","Acima do alvo")))</f>
        <v/>
      </c>
      <c r="K113" s="25">
        <f>IF(H113="","",MAX(0,Config!$B$12*G113-F113))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IF(OR(A114="",G114="",G114=0,F114=""),"",F114/G114)</f>
        <v/>
      </c>
      <c r="I114" s="31">
        <f>IF(H114="","",H114/Config!$B$12-1)</f>
        <v/>
      </c>
      <c r="J114" s="33">
        <f>IF(H114="","",IF(H114&lt;Config!$B$12,"Abaixo do mínimo",IF(H114&lt;Config!$B$13,"Na faixa","Acima do alvo")))</f>
        <v/>
      </c>
      <c r="K114" s="25">
        <f>IF(H114="","",MAX(0,Config!$B$12*G114-F114))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IF(OR(A115="",G115="",G115=0,F115=""),"",F115/G115)</f>
        <v/>
      </c>
      <c r="I115" s="31">
        <f>IF(H115="","",H115/Config!$B$12-1)</f>
        <v/>
      </c>
      <c r="J115" s="33">
        <f>IF(H115="","",IF(H115&lt;Config!$B$12,"Abaixo do mínimo",IF(H115&lt;Config!$B$13,"Na faixa","Acima do alvo")))</f>
        <v/>
      </c>
      <c r="K115" s="25">
        <f>IF(H115="","",MAX(0,Config!$B$12*G115-F115))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IF(OR(A116="",G116="",G116=0,F116=""),"",F116/G116)</f>
        <v/>
      </c>
      <c r="I116" s="31">
        <f>IF(H116="","",H116/Config!$B$12-1)</f>
        <v/>
      </c>
      <c r="J116" s="33">
        <f>IF(H116="","",IF(H116&lt;Config!$B$12,"Abaixo do mínimo",IF(H116&lt;Config!$B$13,"Na faixa","Acima do alvo")))</f>
        <v/>
      </c>
      <c r="K116" s="25">
        <f>IF(H116="","",MAX(0,Config!$B$12*G116-F116))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IF(OR(A117="",G117="",G117=0,F117=""),"",F117/G117)</f>
        <v/>
      </c>
      <c r="I117" s="31">
        <f>IF(H117="","",H117/Config!$B$12-1)</f>
        <v/>
      </c>
      <c r="J117" s="33">
        <f>IF(H117="","",IF(H117&lt;Config!$B$12,"Abaixo do mínimo",IF(H117&lt;Config!$B$13,"Na faixa","Acima do alvo")))</f>
        <v/>
      </c>
      <c r="K117" s="25">
        <f>IF(H117="","",MAX(0,Config!$B$12*G117-F117))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IF(OR(A118="",G118="",G118=0,F118=""),"",F118/G118)</f>
        <v/>
      </c>
      <c r="I118" s="31">
        <f>IF(H118="","",H118/Config!$B$12-1)</f>
        <v/>
      </c>
      <c r="J118" s="33">
        <f>IF(H118="","",IF(H118&lt;Config!$B$12,"Abaixo do mínimo",IF(H118&lt;Config!$B$13,"Na faixa","Acima do alvo")))</f>
        <v/>
      </c>
      <c r="K118" s="25">
        <f>IF(H118="","",MAX(0,Config!$B$12*G118-F118))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IF(OR(A119="",G119="",G119=0,F119=""),"",F119/G119)</f>
        <v/>
      </c>
      <c r="I119" s="31">
        <f>IF(H119="","",H119/Config!$B$12-1)</f>
        <v/>
      </c>
      <c r="J119" s="33">
        <f>IF(H119="","",IF(H119&lt;Config!$B$12,"Abaixo do mínimo",IF(H119&lt;Config!$B$13,"Na faixa","Acima do alvo")))</f>
        <v/>
      </c>
      <c r="K119" s="25">
        <f>IF(H119="","",MAX(0,Config!$B$12*G119-F119))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IF(OR(A120="",G120="",G120=0,F120=""),"",F120/G120)</f>
        <v/>
      </c>
      <c r="I120" s="31">
        <f>IF(H120="","",H120/Config!$B$12-1)</f>
        <v/>
      </c>
      <c r="J120" s="33">
        <f>IF(H120="","",IF(H120&lt;Config!$B$12,"Abaixo do mínimo",IF(H120&lt;Config!$B$13,"Na faixa","Acima do alvo")))</f>
        <v/>
      </c>
      <c r="K120" s="25">
        <f>IF(H120="","",MAX(0,Config!$B$12*G120-F120))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IF(OR(A121="",G121="",G121=0,F121=""),"",F121/G121)</f>
        <v/>
      </c>
      <c r="I121" s="31">
        <f>IF(H121="","",H121/Config!$B$12-1)</f>
        <v/>
      </c>
      <c r="J121" s="33">
        <f>IF(H121="","",IF(H121&lt;Config!$B$12,"Abaixo do mínimo",IF(H121&lt;Config!$B$13,"Na faixa","Acima do alvo")))</f>
        <v/>
      </c>
      <c r="K121" s="25">
        <f>IF(H121="","",MAX(0,Config!$B$12*G121-F121))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IF(OR(A122="",G122="",G122=0,F122=""),"",F122/G122)</f>
        <v/>
      </c>
      <c r="I122" s="31">
        <f>IF(H122="","",H122/Config!$B$12-1)</f>
        <v/>
      </c>
      <c r="J122" s="33">
        <f>IF(H122="","",IF(H122&lt;Config!$B$12,"Abaixo do mínimo",IF(H122&lt;Config!$B$13,"Na faixa","Acima do alvo")))</f>
        <v/>
      </c>
      <c r="K122" s="25">
        <f>IF(H122="","",MAX(0,Config!$B$12*G122-F122))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IF(OR(A123="",G123="",G123=0,F123=""),"",F123/G123)</f>
        <v/>
      </c>
      <c r="I123" s="31">
        <f>IF(H123="","",H123/Config!$B$12-1)</f>
        <v/>
      </c>
      <c r="J123" s="33">
        <f>IF(H123="","",IF(H123&lt;Config!$B$12,"Abaixo do mínimo",IF(H123&lt;Config!$B$13,"Na faixa","Acima do alvo")))</f>
        <v/>
      </c>
      <c r="K123" s="25">
        <f>IF(H123="","",MAX(0,Config!$B$12*G123-F123))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IF(OR(A124="",G124="",G124=0,F124=""),"",F124/G124)</f>
        <v/>
      </c>
      <c r="I124" s="31">
        <f>IF(H124="","",H124/Config!$B$12-1)</f>
        <v/>
      </c>
      <c r="J124" s="33">
        <f>IF(H124="","",IF(H124&lt;Config!$B$12,"Abaixo do mínimo",IF(H124&lt;Config!$B$13,"Na faixa","Acima do alvo")))</f>
        <v/>
      </c>
      <c r="K124" s="25">
        <f>IF(H124="","",MAX(0,Config!$B$12*G124-F124))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IF(OR(A125="",G125="",G125=0,F125=""),"",F125/G125)</f>
        <v/>
      </c>
      <c r="I125" s="31">
        <f>IF(H125="","",H125/Config!$B$12-1)</f>
        <v/>
      </c>
      <c r="J125" s="33">
        <f>IF(H125="","",IF(H125&lt;Config!$B$12,"Abaixo do mínimo",IF(H125&lt;Config!$B$13,"Na faixa","Acima do alvo")))</f>
        <v/>
      </c>
      <c r="K125" s="25">
        <f>IF(H125="","",MAX(0,Config!$B$12*G125-F125))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IF(OR(A126="",G126="",G126=0,F126=""),"",F126/G126)</f>
        <v/>
      </c>
      <c r="I126" s="31">
        <f>IF(H126="","",H126/Config!$B$12-1)</f>
        <v/>
      </c>
      <c r="J126" s="33">
        <f>IF(H126="","",IF(H126&lt;Config!$B$12,"Abaixo do mínimo",IF(H126&lt;Config!$B$13,"Na faixa","Acima do alvo")))</f>
        <v/>
      </c>
      <c r="K126" s="25">
        <f>IF(H126="","",MAX(0,Config!$B$12*G126-F126))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IF(OR(A127="",G127="",G127=0,F127=""),"",F127/G127)</f>
        <v/>
      </c>
      <c r="I127" s="31">
        <f>IF(H127="","",H127/Config!$B$12-1)</f>
        <v/>
      </c>
      <c r="J127" s="33">
        <f>IF(H127="","",IF(H127&lt;Config!$B$12,"Abaixo do mínimo",IF(H127&lt;Config!$B$13,"Na faixa","Acima do alvo")))</f>
        <v/>
      </c>
      <c r="K127" s="25">
        <f>IF(H127="","",MAX(0,Config!$B$12*G127-F127))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IF(OR(A128="",G128="",G128=0,F128=""),"",F128/G128)</f>
        <v/>
      </c>
      <c r="I128" s="31">
        <f>IF(H128="","",H128/Config!$B$12-1)</f>
        <v/>
      </c>
      <c r="J128" s="33">
        <f>IF(H128="","",IF(H128&lt;Config!$B$12,"Abaixo do mínimo",IF(H128&lt;Config!$B$13,"Na faixa","Acima do alvo")))</f>
        <v/>
      </c>
      <c r="K128" s="25">
        <f>IF(H128="","",MAX(0,Config!$B$12*G128-F128))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IF(OR(A129="",G129="",G129=0,F129=""),"",F129/G129)</f>
        <v/>
      </c>
      <c r="I129" s="31">
        <f>IF(H129="","",H129/Config!$B$12-1)</f>
        <v/>
      </c>
      <c r="J129" s="33">
        <f>IF(H129="","",IF(H129&lt;Config!$B$12,"Abaixo do mínimo",IF(H129&lt;Config!$B$13,"Na faixa","Acima do alvo")))</f>
        <v/>
      </c>
      <c r="K129" s="25">
        <f>IF(H129="","",MAX(0,Config!$B$12*G129-F129))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IF(OR(A130="",G130="",G130=0,F130=""),"",F130/G130)</f>
        <v/>
      </c>
      <c r="I130" s="31">
        <f>IF(H130="","",H130/Config!$B$12-1)</f>
        <v/>
      </c>
      <c r="J130" s="33">
        <f>IF(H130="","",IF(H130&lt;Config!$B$12,"Abaixo do mínimo",IF(H130&lt;Config!$B$13,"Na faixa","Acima do alvo")))</f>
        <v/>
      </c>
      <c r="K130" s="25">
        <f>IF(H130="","",MAX(0,Config!$B$12*G130-F130))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IF(OR(A131="",G131="",G131=0,F131=""),"",F131/G131)</f>
        <v/>
      </c>
      <c r="I131" s="31">
        <f>IF(H131="","",H131/Config!$B$12-1)</f>
        <v/>
      </c>
      <c r="J131" s="33">
        <f>IF(H131="","",IF(H131&lt;Config!$B$12,"Abaixo do mínimo",IF(H131&lt;Config!$B$13,"Na faixa","Acima do alvo")))</f>
        <v/>
      </c>
      <c r="K131" s="25">
        <f>IF(H131="","",MAX(0,Config!$B$12*G131-F131))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IF(OR(A132="",G132="",G132=0,F132=""),"",F132/G132)</f>
        <v/>
      </c>
      <c r="I132" s="31">
        <f>IF(H132="","",H132/Config!$B$12-1)</f>
        <v/>
      </c>
      <c r="J132" s="33">
        <f>IF(H132="","",IF(H132&lt;Config!$B$12,"Abaixo do mínimo",IF(H132&lt;Config!$B$13,"Na faixa","Acima do alvo")))</f>
        <v/>
      </c>
      <c r="K132" s="25">
        <f>IF(H132="","",MAX(0,Config!$B$12*G132-F132))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IF(OR(A133="",G133="",G133=0,F133=""),"",F133/G133)</f>
        <v/>
      </c>
      <c r="I133" s="31">
        <f>IF(H133="","",H133/Config!$B$12-1)</f>
        <v/>
      </c>
      <c r="J133" s="33">
        <f>IF(H133="","",IF(H133&lt;Config!$B$12,"Abaixo do mínimo",IF(H133&lt;Config!$B$13,"Na faixa","Acima do alvo")))</f>
        <v/>
      </c>
      <c r="K133" s="25">
        <f>IF(H133="","",MAX(0,Config!$B$12*G133-F133))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IF(OR(A134="",G134="",G134=0,F134=""),"",F134/G134)</f>
        <v/>
      </c>
      <c r="I134" s="31">
        <f>IF(H134="","",H134/Config!$B$12-1)</f>
        <v/>
      </c>
      <c r="J134" s="33">
        <f>IF(H134="","",IF(H134&lt;Config!$B$12,"Abaixo do mínimo",IF(H134&lt;Config!$B$13,"Na faixa","Acima do alvo")))</f>
        <v/>
      </c>
      <c r="K134" s="25">
        <f>IF(H134="","",MAX(0,Config!$B$12*G134-F134))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IF(OR(A135="",G135="",G135=0,F135=""),"",F135/G135)</f>
        <v/>
      </c>
      <c r="I135" s="31">
        <f>IF(H135="","",H135/Config!$B$12-1)</f>
        <v/>
      </c>
      <c r="J135" s="33">
        <f>IF(H135="","",IF(H135&lt;Config!$B$12,"Abaixo do mínimo",IF(H135&lt;Config!$B$13,"Na faixa","Acima do alvo")))</f>
        <v/>
      </c>
      <c r="K135" s="25">
        <f>IF(H135="","",MAX(0,Config!$B$12*G135-F135))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IF(OR(A136="",G136="",G136=0,F136=""),"",F136/G136)</f>
        <v/>
      </c>
      <c r="I136" s="31">
        <f>IF(H136="","",H136/Config!$B$12-1)</f>
        <v/>
      </c>
      <c r="J136" s="33">
        <f>IF(H136="","",IF(H136&lt;Config!$B$12,"Abaixo do mínimo",IF(H136&lt;Config!$B$13,"Na faixa","Acima do alvo")))</f>
        <v/>
      </c>
      <c r="K136" s="25">
        <f>IF(H136="","",MAX(0,Config!$B$12*G136-F136))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IF(OR(A137="",G137="",G137=0,F137=""),"",F137/G137)</f>
        <v/>
      </c>
      <c r="I137" s="31">
        <f>IF(H137="","",H137/Config!$B$12-1)</f>
        <v/>
      </c>
      <c r="J137" s="33">
        <f>IF(H137="","",IF(H137&lt;Config!$B$12,"Abaixo do mínimo",IF(H137&lt;Config!$B$13,"Na faixa","Acima do alvo")))</f>
        <v/>
      </c>
      <c r="K137" s="25">
        <f>IF(H137="","",MAX(0,Config!$B$12*G137-F137))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IF(OR(A138="",G138="",G138=0,F138=""),"",F138/G138)</f>
        <v/>
      </c>
      <c r="I138" s="31">
        <f>IF(H138="","",H138/Config!$B$12-1)</f>
        <v/>
      </c>
      <c r="J138" s="33">
        <f>IF(H138="","",IF(H138&lt;Config!$B$12,"Abaixo do mínimo",IF(H138&lt;Config!$B$13,"Na faixa","Acima do alvo")))</f>
        <v/>
      </c>
      <c r="K138" s="25">
        <f>IF(H138="","",MAX(0,Config!$B$12*G138-F138))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IF(OR(A139="",G139="",G139=0,F139=""),"",F139/G139)</f>
        <v/>
      </c>
      <c r="I139" s="31">
        <f>IF(H139="","",H139/Config!$B$12-1)</f>
        <v/>
      </c>
      <c r="J139" s="33">
        <f>IF(H139="","",IF(H139&lt;Config!$B$12,"Abaixo do mínimo",IF(H139&lt;Config!$B$13,"Na faixa","Acima do alvo")))</f>
        <v/>
      </c>
      <c r="K139" s="25">
        <f>IF(H139="","",MAX(0,Config!$B$12*G139-F139))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IF(OR(A140="",G140="",G140=0,F140=""),"",F140/G140)</f>
        <v/>
      </c>
      <c r="I140" s="31">
        <f>IF(H140="","",H140/Config!$B$12-1)</f>
        <v/>
      </c>
      <c r="J140" s="33">
        <f>IF(H140="","",IF(H140&lt;Config!$B$12,"Abaixo do mínimo",IF(H140&lt;Config!$B$13,"Na faixa","Acima do alvo")))</f>
        <v/>
      </c>
      <c r="K140" s="25">
        <f>IF(H140="","",MAX(0,Config!$B$12*G140-F140))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IF(OR(A141="",G141="",G141=0,F141=""),"",F141/G141)</f>
        <v/>
      </c>
      <c r="I141" s="31">
        <f>IF(H141="","",H141/Config!$B$12-1)</f>
        <v/>
      </c>
      <c r="J141" s="33">
        <f>IF(H141="","",IF(H141&lt;Config!$B$12,"Abaixo do mínimo",IF(H141&lt;Config!$B$13,"Na faixa","Acima do alvo")))</f>
        <v/>
      </c>
      <c r="K141" s="25">
        <f>IF(H141="","",MAX(0,Config!$B$12*G141-F141))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IF(OR(A142="",G142="",G142=0,F142=""),"",F142/G142)</f>
        <v/>
      </c>
      <c r="I142" s="31">
        <f>IF(H142="","",H142/Config!$B$12-1)</f>
        <v/>
      </c>
      <c r="J142" s="33">
        <f>IF(H142="","",IF(H142&lt;Config!$B$12,"Abaixo do mínimo",IF(H142&lt;Config!$B$13,"Na faixa","Acima do alvo")))</f>
        <v/>
      </c>
      <c r="K142" s="25">
        <f>IF(H142="","",MAX(0,Config!$B$12*G142-F142))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IF(OR(A143="",G143="",G143=0,F143=""),"",F143/G143)</f>
        <v/>
      </c>
      <c r="I143" s="31">
        <f>IF(H143="","",H143/Config!$B$12-1)</f>
        <v/>
      </c>
      <c r="J143" s="33">
        <f>IF(H143="","",IF(H143&lt;Config!$B$12,"Abaixo do mínimo",IF(H143&lt;Config!$B$13,"Na faixa","Acima do alvo")))</f>
        <v/>
      </c>
      <c r="K143" s="25">
        <f>IF(H143="","",MAX(0,Config!$B$12*G143-F143))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IF(OR(A144="",G144="",G144=0,F144=""),"",F144/G144)</f>
        <v/>
      </c>
      <c r="I144" s="31">
        <f>IF(H144="","",H144/Config!$B$12-1)</f>
        <v/>
      </c>
      <c r="J144" s="33">
        <f>IF(H144="","",IF(H144&lt;Config!$B$12,"Abaixo do mínimo",IF(H144&lt;Config!$B$13,"Na faixa","Acima do alvo")))</f>
        <v/>
      </c>
      <c r="K144" s="25">
        <f>IF(H144="","",MAX(0,Config!$B$12*G144-F144))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IF(OR(A145="",G145="",G145=0,F145=""),"",F145/G145)</f>
        <v/>
      </c>
      <c r="I145" s="31">
        <f>IF(H145="","",H145/Config!$B$12-1)</f>
        <v/>
      </c>
      <c r="J145" s="33">
        <f>IF(H145="","",IF(H145&lt;Config!$B$12,"Abaixo do mínimo",IF(H145&lt;Config!$B$13,"Na faixa","Acima do alvo")))</f>
        <v/>
      </c>
      <c r="K145" s="25">
        <f>IF(H145="","",MAX(0,Config!$B$12*G145-F145))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IF(OR(A146="",G146="",G146=0,F146=""),"",F146/G146)</f>
        <v/>
      </c>
      <c r="I146" s="31">
        <f>IF(H146="","",H146/Config!$B$12-1)</f>
        <v/>
      </c>
      <c r="J146" s="33">
        <f>IF(H146="","",IF(H146&lt;Config!$B$12,"Abaixo do mínimo",IF(H146&lt;Config!$B$13,"Na faixa","Acima do alvo")))</f>
        <v/>
      </c>
      <c r="K146" s="25">
        <f>IF(H146="","",MAX(0,Config!$B$12*G146-F146))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IF(OR(A147="",G147="",G147=0,F147=""),"",F147/G147)</f>
        <v/>
      </c>
      <c r="I147" s="31">
        <f>IF(H147="","",H147/Config!$B$12-1)</f>
        <v/>
      </c>
      <c r="J147" s="33">
        <f>IF(H147="","",IF(H147&lt;Config!$B$12,"Abaixo do mínimo",IF(H147&lt;Config!$B$13,"Na faixa","Acima do alvo")))</f>
        <v/>
      </c>
      <c r="K147" s="25">
        <f>IF(H147="","",MAX(0,Config!$B$12*G147-F147))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IF(OR(A148="",G148="",G148=0,F148=""),"",F148/G148)</f>
        <v/>
      </c>
      <c r="I148" s="31">
        <f>IF(H148="","",H148/Config!$B$12-1)</f>
        <v/>
      </c>
      <c r="J148" s="33">
        <f>IF(H148="","",IF(H148&lt;Config!$B$12,"Abaixo do mínimo",IF(H148&lt;Config!$B$13,"Na faixa","Acima do alvo")))</f>
        <v/>
      </c>
      <c r="K148" s="25">
        <f>IF(H148="","",MAX(0,Config!$B$12*G148-F148))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IF(OR(A149="",G149="",G149=0,F149=""),"",F149/G149)</f>
        <v/>
      </c>
      <c r="I149" s="31">
        <f>IF(H149="","",H149/Config!$B$12-1)</f>
        <v/>
      </c>
      <c r="J149" s="33">
        <f>IF(H149="","",IF(H149&lt;Config!$B$12,"Abaixo do mínimo",IF(H149&lt;Config!$B$13,"Na faixa","Acima do alvo")))</f>
        <v/>
      </c>
      <c r="K149" s="25">
        <f>IF(H149="","",MAX(0,Config!$B$12*G149-F149))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IF(OR(A150="",G150="",G150=0,F150=""),"",F150/G150)</f>
        <v/>
      </c>
      <c r="I150" s="31">
        <f>IF(H150="","",H150/Config!$B$12-1)</f>
        <v/>
      </c>
      <c r="J150" s="33">
        <f>IF(H150="","",IF(H150&lt;Config!$B$12,"Abaixo do mínimo",IF(H150&lt;Config!$B$13,"Na faixa","Acima do alvo")))</f>
        <v/>
      </c>
      <c r="K150" s="25">
        <f>IF(H150="","",MAX(0,Config!$B$12*G150-F150))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IF(OR(A151="",G151="",G151=0,F151=""),"",F151/G151)</f>
        <v/>
      </c>
      <c r="I151" s="31">
        <f>IF(H151="","",H151/Config!$B$12-1)</f>
        <v/>
      </c>
      <c r="J151" s="33">
        <f>IF(H151="","",IF(H151&lt;Config!$B$12,"Abaixo do mínimo",IF(H151&lt;Config!$B$13,"Na faixa","Acima do alvo")))</f>
        <v/>
      </c>
      <c r="K151" s="25">
        <f>IF(H151="","",MAX(0,Config!$B$12*G151-F151))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IF(OR(A152="",G152="",G152=0,F152=""),"",F152/G152)</f>
        <v/>
      </c>
      <c r="I152" s="31">
        <f>IF(H152="","",H152/Config!$B$12-1)</f>
        <v/>
      </c>
      <c r="J152" s="33">
        <f>IF(H152="","",IF(H152&lt;Config!$B$12,"Abaixo do mínimo",IF(H152&lt;Config!$B$13,"Na faixa","Acima do alvo")))</f>
        <v/>
      </c>
      <c r="K152" s="25">
        <f>IF(H152="","",MAX(0,Config!$B$12*G152-F152))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IF(OR(A153="",G153="",G153=0,F153=""),"",F153/G153)</f>
        <v/>
      </c>
      <c r="I153" s="31">
        <f>IF(H153="","",H153/Config!$B$12-1)</f>
        <v/>
      </c>
      <c r="J153" s="33">
        <f>IF(H153="","",IF(H153&lt;Config!$B$12,"Abaixo do mínimo",IF(H153&lt;Config!$B$13,"Na faixa","Acima do alvo")))</f>
        <v/>
      </c>
      <c r="K153" s="25">
        <f>IF(H153="","",MAX(0,Config!$B$12*G153-F153))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IF(OR(A154="",G154="",G154=0,F154=""),"",F154/G154)</f>
        <v/>
      </c>
      <c r="I154" s="31">
        <f>IF(H154="","",H154/Config!$B$12-1)</f>
        <v/>
      </c>
      <c r="J154" s="33">
        <f>IF(H154="","",IF(H154&lt;Config!$B$12,"Abaixo do mínimo",IF(H154&lt;Config!$B$13,"Na faixa","Acima do alvo")))</f>
        <v/>
      </c>
      <c r="K154" s="25">
        <f>IF(H154="","",MAX(0,Config!$B$12*G154-F154))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IF(OR(A155="",G155="",G155=0,F155=""),"",F155/G155)</f>
        <v/>
      </c>
      <c r="I155" s="31">
        <f>IF(H155="","",H155/Config!$B$12-1)</f>
        <v/>
      </c>
      <c r="J155" s="33">
        <f>IF(H155="","",IF(H155&lt;Config!$B$12,"Abaixo do mínimo",IF(H155&lt;Config!$B$13,"Na faixa","Acima do alvo")))</f>
        <v/>
      </c>
      <c r="K155" s="25">
        <f>IF(H155="","",MAX(0,Config!$B$12*G155-F155))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IF(OR(A156="",G156="",G156=0,F156=""),"",F156/G156)</f>
        <v/>
      </c>
      <c r="I156" s="31">
        <f>IF(H156="","",H156/Config!$B$12-1)</f>
        <v/>
      </c>
      <c r="J156" s="33">
        <f>IF(H156="","",IF(H156&lt;Config!$B$12,"Abaixo do mínimo",IF(H156&lt;Config!$B$13,"Na faixa","Acima do alvo")))</f>
        <v/>
      </c>
      <c r="K156" s="25">
        <f>IF(H156="","",MAX(0,Config!$B$12*G156-F156))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IF(OR(A157="",G157="",G157=0,F157=""),"",F157/G157)</f>
        <v/>
      </c>
      <c r="I157" s="31">
        <f>IF(H157="","",H157/Config!$B$12-1)</f>
        <v/>
      </c>
      <c r="J157" s="33">
        <f>IF(H157="","",IF(H157&lt;Config!$B$12,"Abaixo do mínimo",IF(H157&lt;Config!$B$13,"Na faixa","Acima do alvo")))</f>
        <v/>
      </c>
      <c r="K157" s="25">
        <f>IF(H157="","",MAX(0,Config!$B$12*G157-F157))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IF(OR(A158="",G158="",G158=0,F158=""),"",F158/G158)</f>
        <v/>
      </c>
      <c r="I158" s="31">
        <f>IF(H158="","",H158/Config!$B$12-1)</f>
        <v/>
      </c>
      <c r="J158" s="33">
        <f>IF(H158="","",IF(H158&lt;Config!$B$12,"Abaixo do mínimo",IF(H158&lt;Config!$B$13,"Na faixa","Acima do alvo")))</f>
        <v/>
      </c>
      <c r="K158" s="25">
        <f>IF(H158="","",MAX(0,Config!$B$12*G158-F158))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IF(OR(A159="",G159="",G159=0,F159=""),"",F159/G159)</f>
        <v/>
      </c>
      <c r="I159" s="31">
        <f>IF(H159="","",H159/Config!$B$12-1)</f>
        <v/>
      </c>
      <c r="J159" s="33">
        <f>IF(H159="","",IF(H159&lt;Config!$B$12,"Abaixo do mínimo",IF(H159&lt;Config!$B$13,"Na faixa","Acima do alvo")))</f>
        <v/>
      </c>
      <c r="K159" s="25">
        <f>IF(H159="","",MAX(0,Config!$B$12*G159-F159))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IF(OR(A160="",G160="",G160=0,F160=""),"",F160/G160)</f>
        <v/>
      </c>
      <c r="I160" s="31">
        <f>IF(H160="","",H160/Config!$B$12-1)</f>
        <v/>
      </c>
      <c r="J160" s="33">
        <f>IF(H160="","",IF(H160&lt;Config!$B$12,"Abaixo do mínimo",IF(H160&lt;Config!$B$13,"Na faixa","Acima do alvo")))</f>
        <v/>
      </c>
      <c r="K160" s="25">
        <f>IF(H160="","",MAX(0,Config!$B$12*G160-F160))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IF(OR(A161="",G161="",G161=0,F161=""),"",F161/G161)</f>
        <v/>
      </c>
      <c r="I161" s="31">
        <f>IF(H161="","",H161/Config!$B$12-1)</f>
        <v/>
      </c>
      <c r="J161" s="33">
        <f>IF(H161="","",IF(H161&lt;Config!$B$12,"Abaixo do mínimo",IF(H161&lt;Config!$B$13,"Na faixa","Acima do alvo")))</f>
        <v/>
      </c>
      <c r="K161" s="25">
        <f>IF(H161="","",MAX(0,Config!$B$12*G161-F161))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IF(OR(A162="",G162="",G162=0,F162=""),"",F162/G162)</f>
        <v/>
      </c>
      <c r="I162" s="31">
        <f>IF(H162="","",H162/Config!$B$12-1)</f>
        <v/>
      </c>
      <c r="J162" s="33">
        <f>IF(H162="","",IF(H162&lt;Config!$B$12,"Abaixo do mínimo",IF(H162&lt;Config!$B$13,"Na faixa","Acima do alvo")))</f>
        <v/>
      </c>
      <c r="K162" s="25">
        <f>IF(H162="","",MAX(0,Config!$B$12*G162-F162))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IF(OR(A163="",G163="",G163=0,F163=""),"",F163/G163)</f>
        <v/>
      </c>
      <c r="I163" s="31">
        <f>IF(H163="","",H163/Config!$B$12-1)</f>
        <v/>
      </c>
      <c r="J163" s="33">
        <f>IF(H163="","",IF(H163&lt;Config!$B$12,"Abaixo do mínimo",IF(H163&lt;Config!$B$13,"Na faixa","Acima do alvo")))</f>
        <v/>
      </c>
      <c r="K163" s="25">
        <f>IF(H163="","",MAX(0,Config!$B$12*G163-F163))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IF(OR(A164="",G164="",G164=0,F164=""),"",F164/G164)</f>
        <v/>
      </c>
      <c r="I164" s="31">
        <f>IF(H164="","",H164/Config!$B$12-1)</f>
        <v/>
      </c>
      <c r="J164" s="33">
        <f>IF(H164="","",IF(H164&lt;Config!$B$12,"Abaixo do mínimo",IF(H164&lt;Config!$B$13,"Na faixa","Acima do alvo")))</f>
        <v/>
      </c>
      <c r="K164" s="25">
        <f>IF(H164="","",MAX(0,Config!$B$12*G164-F164))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IF(OR(A165="",G165="",G165=0,F165=""),"",F165/G165)</f>
        <v/>
      </c>
      <c r="I165" s="31">
        <f>IF(H165="","",H165/Config!$B$12-1)</f>
        <v/>
      </c>
      <c r="J165" s="33">
        <f>IF(H165="","",IF(H165&lt;Config!$B$12,"Abaixo do mínimo",IF(H165&lt;Config!$B$13,"Na faixa","Acima do alvo")))</f>
        <v/>
      </c>
      <c r="K165" s="25">
        <f>IF(H165="","",MAX(0,Config!$B$12*G165-F165))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IF(OR(A166="",G166="",G166=0,F166=""),"",F166/G166)</f>
        <v/>
      </c>
      <c r="I166" s="31">
        <f>IF(H166="","",H166/Config!$B$12-1)</f>
        <v/>
      </c>
      <c r="J166" s="33">
        <f>IF(H166="","",IF(H166&lt;Config!$B$12,"Abaixo do mínimo",IF(H166&lt;Config!$B$13,"Na faixa","Acima do alvo")))</f>
        <v/>
      </c>
      <c r="K166" s="25">
        <f>IF(H166="","",MAX(0,Config!$B$12*G166-F166))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IF(OR(A167="",G167="",G167=0,F167=""),"",F167/G167)</f>
        <v/>
      </c>
      <c r="I167" s="31">
        <f>IF(H167="","",H167/Config!$B$12-1)</f>
        <v/>
      </c>
      <c r="J167" s="33">
        <f>IF(H167="","",IF(H167&lt;Config!$B$12,"Abaixo do mínimo",IF(H167&lt;Config!$B$13,"Na faixa","Acima do alvo")))</f>
        <v/>
      </c>
      <c r="K167" s="25">
        <f>IF(H167="","",MAX(0,Config!$B$12*G167-F167))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IF(OR(A168="",G168="",G168=0,F168=""),"",F168/G168)</f>
        <v/>
      </c>
      <c r="I168" s="31">
        <f>IF(H168="","",H168/Config!$B$12-1)</f>
        <v/>
      </c>
      <c r="J168" s="33">
        <f>IF(H168="","",IF(H168&lt;Config!$B$12,"Abaixo do mínimo",IF(H168&lt;Config!$B$13,"Na faixa","Acima do alvo")))</f>
        <v/>
      </c>
      <c r="K168" s="25">
        <f>IF(H168="","",MAX(0,Config!$B$12*G168-F168))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IF(OR(A169="",G169="",G169=0,F169=""),"",F169/G169)</f>
        <v/>
      </c>
      <c r="I169" s="31">
        <f>IF(H169="","",H169/Config!$B$12-1)</f>
        <v/>
      </c>
      <c r="J169" s="33">
        <f>IF(H169="","",IF(H169&lt;Config!$B$12,"Abaixo do mínimo",IF(H169&lt;Config!$B$13,"Na faixa","Acima do alvo")))</f>
        <v/>
      </c>
      <c r="K169" s="25">
        <f>IF(H169="","",MAX(0,Config!$B$12*G169-F169))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IF(OR(A170="",G170="",G170=0,F170=""),"",F170/G170)</f>
        <v/>
      </c>
      <c r="I170" s="31">
        <f>IF(H170="","",H170/Config!$B$12-1)</f>
        <v/>
      </c>
      <c r="J170" s="33">
        <f>IF(H170="","",IF(H170&lt;Config!$B$12,"Abaixo do mínimo",IF(H170&lt;Config!$B$13,"Na faixa","Acima do alvo")))</f>
        <v/>
      </c>
      <c r="K170" s="25">
        <f>IF(H170="","",MAX(0,Config!$B$12*G170-F170))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IF(OR(A171="",G171="",G171=0,F171=""),"",F171/G171)</f>
        <v/>
      </c>
      <c r="I171" s="31">
        <f>IF(H171="","",H171/Config!$B$12-1)</f>
        <v/>
      </c>
      <c r="J171" s="33">
        <f>IF(H171="","",IF(H171&lt;Config!$B$12,"Abaixo do mínimo",IF(H171&lt;Config!$B$13,"Na faixa","Acima do alvo")))</f>
        <v/>
      </c>
      <c r="K171" s="25">
        <f>IF(H171="","",MAX(0,Config!$B$12*G171-F171))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IF(OR(A172="",G172="",G172=0,F172=""),"",F172/G172)</f>
        <v/>
      </c>
      <c r="I172" s="31">
        <f>IF(H172="","",H172/Config!$B$12-1)</f>
        <v/>
      </c>
      <c r="J172" s="33">
        <f>IF(H172="","",IF(H172&lt;Config!$B$12,"Abaixo do mínimo",IF(H172&lt;Config!$B$13,"Na faixa","Acima do alvo")))</f>
        <v/>
      </c>
      <c r="K172" s="25">
        <f>IF(H172="","",MAX(0,Config!$B$12*G172-F172))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IF(OR(A173="",G173="",G173=0,F173=""),"",F173/G173)</f>
        <v/>
      </c>
      <c r="I173" s="31">
        <f>IF(H173="","",H173/Config!$B$12-1)</f>
        <v/>
      </c>
      <c r="J173" s="33">
        <f>IF(H173="","",IF(H173&lt;Config!$B$12,"Abaixo do mínimo",IF(H173&lt;Config!$B$13,"Na faixa","Acima do alvo")))</f>
        <v/>
      </c>
      <c r="K173" s="25">
        <f>IF(H173="","",MAX(0,Config!$B$12*G173-F173))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IF(OR(A174="",G174="",G174=0,F174=""),"",F174/G174)</f>
        <v/>
      </c>
      <c r="I174" s="31">
        <f>IF(H174="","",H174/Config!$B$12-1)</f>
        <v/>
      </c>
      <c r="J174" s="33">
        <f>IF(H174="","",IF(H174&lt;Config!$B$12,"Abaixo do mínimo",IF(H174&lt;Config!$B$13,"Na faixa","Acima do alvo")))</f>
        <v/>
      </c>
      <c r="K174" s="25">
        <f>IF(H174="","",MAX(0,Config!$B$12*G174-F174))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IF(OR(A175="",G175="",G175=0,F175=""),"",F175/G175)</f>
        <v/>
      </c>
      <c r="I175" s="31">
        <f>IF(H175="","",H175/Config!$B$12-1)</f>
        <v/>
      </c>
      <c r="J175" s="33">
        <f>IF(H175="","",IF(H175&lt;Config!$B$12,"Abaixo do mínimo",IF(H175&lt;Config!$B$13,"Na faixa","Acima do alvo")))</f>
        <v/>
      </c>
      <c r="K175" s="25">
        <f>IF(H175="","",MAX(0,Config!$B$12*G175-F175))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IF(OR(A176="",G176="",G176=0,F176=""),"",F176/G176)</f>
        <v/>
      </c>
      <c r="I176" s="31">
        <f>IF(H176="","",H176/Config!$B$12-1)</f>
        <v/>
      </c>
      <c r="J176" s="33">
        <f>IF(H176="","",IF(H176&lt;Config!$B$12,"Abaixo do mínimo",IF(H176&lt;Config!$B$13,"Na faixa","Acima do alvo")))</f>
        <v/>
      </c>
      <c r="K176" s="25">
        <f>IF(H176="","",MAX(0,Config!$B$12*G176-F176))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IF(OR(A177="",G177="",G177=0,F177=""),"",F177/G177)</f>
        <v/>
      </c>
      <c r="I177" s="31">
        <f>IF(H177="","",H177/Config!$B$12-1)</f>
        <v/>
      </c>
      <c r="J177" s="33">
        <f>IF(H177="","",IF(H177&lt;Config!$B$12,"Abaixo do mínimo",IF(H177&lt;Config!$B$13,"Na faixa","Acima do alvo")))</f>
        <v/>
      </c>
      <c r="K177" s="25">
        <f>IF(H177="","",MAX(0,Config!$B$12*G177-F177))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IF(OR(A178="",G178="",G178=0,F178=""),"",F178/G178)</f>
        <v/>
      </c>
      <c r="I178" s="31">
        <f>IF(H178="","",H178/Config!$B$12-1)</f>
        <v/>
      </c>
      <c r="J178" s="33">
        <f>IF(H178="","",IF(H178&lt;Config!$B$12,"Abaixo do mínimo",IF(H178&lt;Config!$B$13,"Na faixa","Acima do alvo")))</f>
        <v/>
      </c>
      <c r="K178" s="25">
        <f>IF(H178="","",MAX(0,Config!$B$12*G178-F178))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IF(OR(A179="",G179="",G179=0,F179=""),"",F179/G179)</f>
        <v/>
      </c>
      <c r="I179" s="31">
        <f>IF(H179="","",H179/Config!$B$12-1)</f>
        <v/>
      </c>
      <c r="J179" s="33">
        <f>IF(H179="","",IF(H179&lt;Config!$B$12,"Abaixo do mínimo",IF(H179&lt;Config!$B$13,"Na faixa","Acima do alvo")))</f>
        <v/>
      </c>
      <c r="K179" s="25">
        <f>IF(H179="","",MAX(0,Config!$B$12*G179-F179))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IF(OR(A180="",G180="",G180=0,F180=""),"",F180/G180)</f>
        <v/>
      </c>
      <c r="I180" s="31">
        <f>IF(H180="","",H180/Config!$B$12-1)</f>
        <v/>
      </c>
      <c r="J180" s="33">
        <f>IF(H180="","",IF(H180&lt;Config!$B$12,"Abaixo do mínimo",IF(H180&lt;Config!$B$13,"Na faixa","Acima do alvo")))</f>
        <v/>
      </c>
      <c r="K180" s="25">
        <f>IF(H180="","",MAX(0,Config!$B$12*G180-F180))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IF(OR(A181="",G181="",G181=0,F181=""),"",F181/G181)</f>
        <v/>
      </c>
      <c r="I181" s="31">
        <f>IF(H181="","",H181/Config!$B$12-1)</f>
        <v/>
      </c>
      <c r="J181" s="33">
        <f>IF(H181="","",IF(H181&lt;Config!$B$12,"Abaixo do mínimo",IF(H181&lt;Config!$B$13,"Na faixa","Acima do alvo")))</f>
        <v/>
      </c>
      <c r="K181" s="25">
        <f>IF(H181="","",MAX(0,Config!$B$12*G181-F181))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IF(OR(A182="",G182="",G182=0,F182=""),"",F182/G182)</f>
        <v/>
      </c>
      <c r="I182" s="31">
        <f>IF(H182="","",H182/Config!$B$12-1)</f>
        <v/>
      </c>
      <c r="J182" s="33">
        <f>IF(H182="","",IF(H182&lt;Config!$B$12,"Abaixo do mínimo",IF(H182&lt;Config!$B$13,"Na faixa","Acima do alvo")))</f>
        <v/>
      </c>
      <c r="K182" s="25">
        <f>IF(H182="","",MAX(0,Config!$B$12*G182-F182))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IF(OR(A183="",G183="",G183=0,F183=""),"",F183/G183)</f>
        <v/>
      </c>
      <c r="I183" s="31">
        <f>IF(H183="","",H183/Config!$B$12-1)</f>
        <v/>
      </c>
      <c r="J183" s="33">
        <f>IF(H183="","",IF(H183&lt;Config!$B$12,"Abaixo do mínimo",IF(H183&lt;Config!$B$13,"Na faixa","Acima do alvo")))</f>
        <v/>
      </c>
      <c r="K183" s="25">
        <f>IF(H183="","",MAX(0,Config!$B$12*G183-F183))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IF(OR(A184="",G184="",G184=0,F184=""),"",F184/G184)</f>
        <v/>
      </c>
      <c r="I184" s="31">
        <f>IF(H184="","",H184/Config!$B$12-1)</f>
        <v/>
      </c>
      <c r="J184" s="33">
        <f>IF(H184="","",IF(H184&lt;Config!$B$12,"Abaixo do mínimo",IF(H184&lt;Config!$B$13,"Na faixa","Acima do alvo")))</f>
        <v/>
      </c>
      <c r="K184" s="25">
        <f>IF(H184="","",MAX(0,Config!$B$12*G184-F184))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IF(OR(A185="",G185="",G185=0,F185=""),"",F185/G185)</f>
        <v/>
      </c>
      <c r="I185" s="31">
        <f>IF(H185="","",H185/Config!$B$12-1)</f>
        <v/>
      </c>
      <c r="J185" s="33">
        <f>IF(H185="","",IF(H185&lt;Config!$B$12,"Abaixo do mínimo",IF(H185&lt;Config!$B$13,"Na faixa","Acima do alvo")))</f>
        <v/>
      </c>
      <c r="K185" s="25">
        <f>IF(H185="","",MAX(0,Config!$B$12*G185-F185))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IF(OR(A186="",G186="",G186=0,F186=""),"",F186/G186)</f>
        <v/>
      </c>
      <c r="I186" s="31">
        <f>IF(H186="","",H186/Config!$B$12-1)</f>
        <v/>
      </c>
      <c r="J186" s="33">
        <f>IF(H186="","",IF(H186&lt;Config!$B$12,"Abaixo do mínimo",IF(H186&lt;Config!$B$13,"Na faixa","Acima do alvo")))</f>
        <v/>
      </c>
      <c r="K186" s="25">
        <f>IF(H186="","",MAX(0,Config!$B$12*G186-F186))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IF(OR(A187="",G187="",G187=0,F187=""),"",F187/G187)</f>
        <v/>
      </c>
      <c r="I187" s="31">
        <f>IF(H187="","",H187/Config!$B$12-1)</f>
        <v/>
      </c>
      <c r="J187" s="33">
        <f>IF(H187="","",IF(H187&lt;Config!$B$12,"Abaixo do mínimo",IF(H187&lt;Config!$B$13,"Na faixa","Acima do alvo")))</f>
        <v/>
      </c>
      <c r="K187" s="25">
        <f>IF(H187="","",MAX(0,Config!$B$12*G187-F187))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IF(OR(A188="",G188="",G188=0,F188=""),"",F188/G188)</f>
        <v/>
      </c>
      <c r="I188" s="31">
        <f>IF(H188="","",H188/Config!$B$12-1)</f>
        <v/>
      </c>
      <c r="J188" s="33">
        <f>IF(H188="","",IF(H188&lt;Config!$B$12,"Abaixo do mínimo",IF(H188&lt;Config!$B$13,"Na faixa","Acima do alvo")))</f>
        <v/>
      </c>
      <c r="K188" s="25">
        <f>IF(H188="","",MAX(0,Config!$B$12*G188-F188))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IF(OR(A189="",G189="",G189=0,F189=""),"",F189/G189)</f>
        <v/>
      </c>
      <c r="I189" s="31">
        <f>IF(H189="","",H189/Config!$B$12-1)</f>
        <v/>
      </c>
      <c r="J189" s="33">
        <f>IF(H189="","",IF(H189&lt;Config!$B$12,"Abaixo do mínimo",IF(H189&lt;Config!$B$13,"Na faixa","Acima do alvo")))</f>
        <v/>
      </c>
      <c r="K189" s="25">
        <f>IF(H189="","",MAX(0,Config!$B$12*G189-F189))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IF(OR(A190="",G190="",G190=0,F190=""),"",F190/G190)</f>
        <v/>
      </c>
      <c r="I190" s="31">
        <f>IF(H190="","",H190/Config!$B$12-1)</f>
        <v/>
      </c>
      <c r="J190" s="33">
        <f>IF(H190="","",IF(H190&lt;Config!$B$12,"Abaixo do mínimo",IF(H190&lt;Config!$B$13,"Na faixa","Acima do alvo")))</f>
        <v/>
      </c>
      <c r="K190" s="25">
        <f>IF(H190="","",MAX(0,Config!$B$12*G190-F190))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IF(OR(A191="",G191="",G191=0,F191=""),"",F191/G191)</f>
        <v/>
      </c>
      <c r="I191" s="31">
        <f>IF(H191="","",H191/Config!$B$12-1)</f>
        <v/>
      </c>
      <c r="J191" s="33">
        <f>IF(H191="","",IF(H191&lt;Config!$B$12,"Abaixo do mínimo",IF(H191&lt;Config!$B$13,"Na faixa","Acima do alvo")))</f>
        <v/>
      </c>
      <c r="K191" s="25">
        <f>IF(H191="","",MAX(0,Config!$B$12*G191-F191))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IF(OR(A192="",G192="",G192=0,F192=""),"",F192/G192)</f>
        <v/>
      </c>
      <c r="I192" s="31">
        <f>IF(H192="","",H192/Config!$B$12-1)</f>
        <v/>
      </c>
      <c r="J192" s="33">
        <f>IF(H192="","",IF(H192&lt;Config!$B$12,"Abaixo do mínimo",IF(H192&lt;Config!$B$13,"Na faixa","Acima do alvo")))</f>
        <v/>
      </c>
      <c r="K192" s="25">
        <f>IF(H192="","",MAX(0,Config!$B$12*G192-F192))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IF(OR(A193="",G193="",G193=0,F193=""),"",F193/G193)</f>
        <v/>
      </c>
      <c r="I193" s="31">
        <f>IF(H193="","",H193/Config!$B$12-1)</f>
        <v/>
      </c>
      <c r="J193" s="33">
        <f>IF(H193="","",IF(H193&lt;Config!$B$12,"Abaixo do mínimo",IF(H193&lt;Config!$B$13,"Na faixa","Acima do alvo")))</f>
        <v/>
      </c>
      <c r="K193" s="25">
        <f>IF(H193="","",MAX(0,Config!$B$12*G193-F193))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IF(OR(A194="",G194="",G194=0,F194=""),"",F194/G194)</f>
        <v/>
      </c>
      <c r="I194" s="31">
        <f>IF(H194="","",H194/Config!$B$12-1)</f>
        <v/>
      </c>
      <c r="J194" s="33">
        <f>IF(H194="","",IF(H194&lt;Config!$B$12,"Abaixo do mínimo",IF(H194&lt;Config!$B$13,"Na faixa","Acima do alvo")))</f>
        <v/>
      </c>
      <c r="K194" s="25">
        <f>IF(H194="","",MAX(0,Config!$B$12*G194-F194))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IF(OR(A195="",G195="",G195=0,F195=""),"",F195/G195)</f>
        <v/>
      </c>
      <c r="I195" s="31">
        <f>IF(H195="","",H195/Config!$B$12-1)</f>
        <v/>
      </c>
      <c r="J195" s="33">
        <f>IF(H195="","",IF(H195&lt;Config!$B$12,"Abaixo do mínimo",IF(H195&lt;Config!$B$13,"Na faixa","Acima do alvo")))</f>
        <v/>
      </c>
      <c r="K195" s="25">
        <f>IF(H195="","",MAX(0,Config!$B$12*G195-F195))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IF(OR(A196="",G196="",G196=0,F196=""),"",F196/G196)</f>
        <v/>
      </c>
      <c r="I196" s="31">
        <f>IF(H196="","",H196/Config!$B$12-1)</f>
        <v/>
      </c>
      <c r="J196" s="33">
        <f>IF(H196="","",IF(H196&lt;Config!$B$12,"Abaixo do mínimo",IF(H196&lt;Config!$B$13,"Na faixa","Acima do alvo")))</f>
        <v/>
      </c>
      <c r="K196" s="25">
        <f>IF(H196="","",MAX(0,Config!$B$12*G196-F196))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IF(OR(A197="",G197="",G197=0,F197=""),"",F197/G197)</f>
        <v/>
      </c>
      <c r="I197" s="31">
        <f>IF(H197="","",H197/Config!$B$12-1)</f>
        <v/>
      </c>
      <c r="J197" s="33">
        <f>IF(H197="","",IF(H197&lt;Config!$B$12,"Abaixo do mínimo",IF(H197&lt;Config!$B$13,"Na faixa","Acima do alvo")))</f>
        <v/>
      </c>
      <c r="K197" s="25">
        <f>IF(H197="","",MAX(0,Config!$B$12*G197-F197))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IF(OR(A198="",G198="",G198=0,F198=""),"",F198/G198)</f>
        <v/>
      </c>
      <c r="I198" s="31">
        <f>IF(H198="","",H198/Config!$B$12-1)</f>
        <v/>
      </c>
      <c r="J198" s="33">
        <f>IF(H198="","",IF(H198&lt;Config!$B$12,"Abaixo do mínimo",IF(H198&lt;Config!$B$13,"Na faixa","Acima do alvo")))</f>
        <v/>
      </c>
      <c r="K198" s="25">
        <f>IF(H198="","",MAX(0,Config!$B$12*G198-F198))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IF(OR(A199="",G199="",G199=0,F199=""),"",F199/G199)</f>
        <v/>
      </c>
      <c r="I199" s="31">
        <f>IF(H199="","",H199/Config!$B$12-1)</f>
        <v/>
      </c>
      <c r="J199" s="33">
        <f>IF(H199="","",IF(H199&lt;Config!$B$12,"Abaixo do mínimo",IF(H199&lt;Config!$B$13,"Na faixa","Acima do alvo")))</f>
        <v/>
      </c>
      <c r="K199" s="25">
        <f>IF(H199="","",MAX(0,Config!$B$12*G199-F199))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IF(OR(A200="",G200="",G200=0,F200=""),"",F200/G200)</f>
        <v/>
      </c>
      <c r="I200" s="31">
        <f>IF(H200="","",H200/Config!$B$12-1)</f>
        <v/>
      </c>
      <c r="J200" s="33">
        <f>IF(H200="","",IF(H200&lt;Config!$B$12,"Abaixo do mínimo",IF(H200&lt;Config!$B$13,"Na faixa","Acima do alvo")))</f>
        <v/>
      </c>
      <c r="K200" s="25">
        <f>IF(H200="","",MAX(0,Config!$B$12*G200-F200))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IF(OR(A201="",G201="",G201=0,F201=""),"",F201/G201)</f>
        <v/>
      </c>
      <c r="I201" s="31">
        <f>IF(H201="","",H201/Config!$B$12-1)</f>
        <v/>
      </c>
      <c r="J201" s="33">
        <f>IF(H201="","",IF(H201&lt;Config!$B$12,"Abaixo do mínimo",IF(H201&lt;Config!$B$13,"Na faixa","Acima do alvo")))</f>
        <v/>
      </c>
      <c r="K201" s="25">
        <f>IF(H201="","",MAX(0,Config!$B$12*G201-F201))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IF(OR(A202="",G202="",G202=0,F202=""),"",F202/G202)</f>
        <v/>
      </c>
      <c r="I202" s="31">
        <f>IF(H202="","",H202/Config!$B$12-1)</f>
        <v/>
      </c>
      <c r="J202" s="33">
        <f>IF(H202="","",IF(H202&lt;Config!$B$12,"Abaixo do mínimo",IF(H202&lt;Config!$B$13,"Na faixa","Acima do alvo")))</f>
        <v/>
      </c>
      <c r="K202" s="25">
        <f>IF(H202="","",MAX(0,Config!$B$12*G202-F202))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IF(OR(A203="",G203="",G203=0,F203=""),"",F203/G203)</f>
        <v/>
      </c>
      <c r="I203" s="31">
        <f>IF(H203="","",H203/Config!$B$12-1)</f>
        <v/>
      </c>
      <c r="J203" s="33">
        <f>IF(H203="","",IF(H203&lt;Config!$B$12,"Abaixo do mínimo",IF(H203&lt;Config!$B$13,"Na faixa","Acima do alvo")))</f>
        <v/>
      </c>
      <c r="K203" s="25">
        <f>IF(H203="","",MAX(0,Config!$B$12*G203-F203))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IF(OR(A204="",G204="",G204=0,F204=""),"",F204/G204)</f>
        <v/>
      </c>
      <c r="I204" s="31">
        <f>IF(H204="","",H204/Config!$B$12-1)</f>
        <v/>
      </c>
      <c r="J204" s="33">
        <f>IF(H204="","",IF(H204&lt;Config!$B$12,"Abaixo do mínimo",IF(H204&lt;Config!$B$13,"Na faixa","Acima do alvo")))</f>
        <v/>
      </c>
      <c r="K204" s="25">
        <f>IF(H204="","",MAX(0,Config!$B$12*G204-F204))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2">
    <mergeCell ref="A2:L2"/>
    <mergeCell ref="A1:L1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0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2026-09-14T18:37:07Z</dcterms:created>
  <dcterms:modified xmlns:dcterms="http://purl.org/dc/terms/" xmlns:xsi="http://www.w3.org/2001/XMLSchema-instance" xsi:type="dcterms:W3CDTF">2026-09-14T18:37:07Z</dcterms:modified>
</cp:coreProperties>
</file>