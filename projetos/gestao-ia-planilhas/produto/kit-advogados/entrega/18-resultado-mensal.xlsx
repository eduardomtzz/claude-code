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Previ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R$&quot; #,##0;[Red]-&quot;R$&quot; #,##0"/>
    <numFmt numFmtId="166" formatCode="+0.0%;-0.0%;0.0%"/>
    <numFmt numFmtId="167" formatCode="+0.0&quot; p.p.&quot;;-0.0&quot; p.p.&quot;;0.0&quot; p.p.&quot;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1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1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0" fontId="1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pivotButton="0" quotePrefix="0" xfId="0"/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16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4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'Resultado'!A10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'Resultado'!$B$10:$M$10</f>
            </numRef>
          </val>
        </ser>
        <ser>
          <idx val="1"/>
          <order val="1"/>
          <tx>
            <strRef>
              <f>'Resultado'!A26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'Resultado'!$B$26:$M$26</f>
            </numRef>
          </val>
        </ser>
        <ser>
          <idx val="2"/>
          <order val="2"/>
          <tx>
            <strRef>
              <f>'Resultado'!A27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'Resultado'!$B$27:$M$27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Resultado Mensal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DRE simplificada do escritório: receita por modalidade de honorário, custos fixos, pró-labore, impostos provisionados como % da receita, resultado e margem, mês a mês. Compara o mês com o anterior e com o que você previu.</t>
        </is>
      </c>
    </row>
    <row r="5" ht="46" customHeight="1">
      <c r="A5" s="3" t="inlineStr">
        <is>
          <t>Passo 1</t>
        </is>
      </c>
      <c r="B5" s="4" t="inlineStr">
        <is>
          <t>Em Config, informe o ano, o mês de análise e a % de impostos a provisionar (peça ao contador a alíquota efetiva).</t>
        </is>
      </c>
    </row>
    <row r="6" ht="46" customHeight="1">
      <c r="A6" s="3" t="inlineStr">
        <is>
          <t>Passo 2</t>
        </is>
      </c>
      <c r="B6" s="4" t="inlineStr">
        <is>
          <t>Em Resultado, preencha por mês o que entrou em cada modalidade e o que saiu em cada linha de custo fixo e de pró-labore. Os totais do mês estão no Painel da planilha 09 · Caixa do escritório.</t>
        </is>
      </c>
    </row>
    <row r="7" ht="46" customHeight="1">
      <c r="A7" s="3" t="inlineStr">
        <is>
          <t>Passo 3</t>
        </is>
      </c>
      <c r="B7" s="4" t="inlineStr">
        <is>
          <t>Em Previsto, escreva o que espera de receita, custos fixos e pró-labore para cada mês. Pode ser o mesmo valor o ano inteiro.</t>
        </is>
      </c>
    </row>
    <row r="8" ht="46" customHeight="1">
      <c r="A8" s="3" t="inlineStr">
        <is>
          <t>Passo 4</t>
        </is>
      </c>
      <c r="B8" s="4" t="inlineStr">
        <is>
          <t>Abra Painel: receita, saídas, resultado e margem do mês, comparação com o mês anterior e com o previsto, receita por modalidade e o gráfico do ano.</t>
        </is>
      </c>
    </row>
    <row r="9" ht="46" customHeight="1">
      <c r="A9" s="3" t="inlineStr">
        <is>
          <t>Fim do mês</t>
        </is>
      </c>
      <c r="B9" s="4" t="inlineStr">
        <is>
          <t>Depois de fechar o caixa, lance o mês aqui e troque o mês em Config. Leva 10 minutos.</t>
        </is>
      </c>
    </row>
    <row r="10" ht="46" customHeight="1">
      <c r="A10" s="3" t="inlineStr">
        <is>
          <t>Com a IA</t>
        </is>
      </c>
      <c r="B10" s="4" t="inlineStr">
        <is>
          <t>Copie a tabela do Painel para o prompt "Explicar o mês" ou "Preparar a reunião com o contador" da biblioteca do kit. A planilha 20 · Resumo do mês já escreve o texto-base.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8" customWidth="1" min="8" max="8"/>
  </cols>
  <sheetData>
    <row r="1">
      <c r="A1" s="5">
        <f>Config!B4&amp;" · Resultado mensal · "&amp;Config!B6&amp;" de "&amp;Config!B5</f>
        <v/>
      </c>
    </row>
    <row r="2">
      <c r="A2" s="6" t="inlineStr">
        <is>
          <t>Nada para digitar aqui. Escolha o mês em Config; os números vêm de Resultado e de Previsto.</t>
        </is>
      </c>
    </row>
    <row r="4">
      <c r="A4" s="7" t="inlineStr">
        <is>
          <t>Receita do mês</t>
        </is>
      </c>
      <c r="B4" s="8" t="n"/>
      <c r="C4" s="7" t="inlineStr">
        <is>
          <t>Saídas do mês</t>
        </is>
      </c>
      <c r="D4" s="8" t="n"/>
      <c r="E4" s="9" t="inlineStr">
        <is>
          <t>Resultado</t>
        </is>
      </c>
      <c r="F4" s="10" t="n"/>
      <c r="G4" s="11" t="inlineStr">
        <is>
          <t>Margem</t>
        </is>
      </c>
      <c r="H4" s="12" t="n"/>
    </row>
    <row r="5" ht="30" customHeight="1">
      <c r="A5" s="13">
        <f>IF(INDEX(Resultado!$B$10:$M$10,Config!$B$8)="","—",INDEX(Resultado!$B$10:$M$10,Config!$B$8))</f>
        <v/>
      </c>
      <c r="B5" s="8" t="n"/>
      <c r="C5" s="13">
        <f>IF(INDEX(Resultado!$B$26:$M$26,Config!$B$8)="","—",INDEX(Resultado!$B$26:$M$26,Config!$B$8))</f>
        <v/>
      </c>
      <c r="D5" s="8" t="n"/>
      <c r="E5" s="14">
        <f>IF(INDEX(Resultado!$B$27:$M$27,Config!$B$8)="","—",INDEX(Resultado!$B$27:$M$27,Config!$B$8))</f>
        <v/>
      </c>
      <c r="F5" s="10" t="n"/>
      <c r="G5" s="15">
        <f>IF(INDEX(Resultado!$B$28:$M$28,Config!$B$8)="","—",INDEX(Resultado!$B$28:$M$28,Config!$B$8))</f>
        <v/>
      </c>
      <c r="H5" s="12" t="n"/>
    </row>
    <row r="7">
      <c r="A7" s="16" t="inlineStr">
        <is>
          <t>Comparação com o mês anterior e com o previsto</t>
        </is>
      </c>
    </row>
    <row r="8" ht="26" customHeight="1">
      <c r="A8" s="17" t="inlineStr">
        <is>
          <t>Linha</t>
        </is>
      </c>
      <c r="B8" s="18" t="n"/>
      <c r="C8" s="17" t="inlineStr">
        <is>
          <t>Mês</t>
        </is>
      </c>
      <c r="D8" s="17" t="inlineStr">
        <is>
          <t>Mês anterior</t>
        </is>
      </c>
      <c r="E8" s="17" t="inlineStr">
        <is>
          <t>Variação</t>
        </is>
      </c>
      <c r="F8" s="17" t="inlineStr">
        <is>
          <t>Previsto</t>
        </is>
      </c>
      <c r="G8" s="17" t="inlineStr">
        <is>
          <t>Vs. previsto</t>
        </is>
      </c>
      <c r="H8" s="17" t="inlineStr">
        <is>
          <t>Situação</t>
        </is>
      </c>
    </row>
    <row r="9">
      <c r="A9" s="19" t="inlineStr">
        <is>
          <t>Receita total</t>
        </is>
      </c>
      <c r="B9" s="18" t="n"/>
      <c r="C9" s="20">
        <f>IF(INDEX(Resultado!$B$10:$M$10,Config!$B$8)="","—",INDEX(Resultado!$B$10:$M$10,Config!$B$8))</f>
        <v/>
      </c>
      <c r="D9" s="20">
        <f>IF(Config!$B$8&lt;=1,"—",IF(INDEX(Resultado!$B$10:$M$10,Config!$B$8-1)="","—",INDEX(Resultado!$B$10:$M$10,Config!$B$8-1)))</f>
        <v/>
      </c>
      <c r="E9" s="21">
        <f>IF(OR(C9="—",D9="—",D9=0),"—",(C9-D9)/ABS(D9))</f>
        <v/>
      </c>
      <c r="F9" s="20">
        <f>IF(INDEX(Previsto!$B$5:$M$5,Config!$B$8)="","—",INDEX(Previsto!$B$5:$M$5,Config!$B$8))</f>
        <v/>
      </c>
      <c r="G9" s="21">
        <f>IF(OR(C9="—",F9="—",F9=0),"—",(C9-F9)/ABS(F9))</f>
        <v/>
      </c>
      <c r="H9" s="22">
        <f>IF(OR(C9="—",F9="—"),"—",IF(C9&gt;=F9,"Dentro do previsto",IF(C9&gt;=F9*0.95,"Perto","Fora do previsto")))</f>
        <v/>
      </c>
    </row>
    <row r="10">
      <c r="A10" s="23" t="inlineStr">
        <is>
          <t>Custos fixos</t>
        </is>
      </c>
      <c r="B10" s="18" t="n"/>
      <c r="C10" s="20">
        <f>IF(INDEX(Resultado!$B$20:$M$20,Config!$B$8)="","—",INDEX(Resultado!$B$20:$M$20,Config!$B$8))</f>
        <v/>
      </c>
      <c r="D10" s="20">
        <f>IF(Config!$B$8&lt;=1,"—",IF(INDEX(Resultado!$B$20:$M$20,Config!$B$8-1)="","—",INDEX(Resultado!$B$20:$M$20,Config!$B$8-1)))</f>
        <v/>
      </c>
      <c r="E10" s="21">
        <f>IF(OR(C10="—",D10="—",D10=0),"—",(C10-D10)/ABS(D10))</f>
        <v/>
      </c>
      <c r="F10" s="20">
        <f>IF(INDEX(Previsto!$B$6:$M$6,Config!$B$8)="","—",INDEX(Previsto!$B$6:$M$6,Config!$B$8))</f>
        <v/>
      </c>
      <c r="G10" s="21">
        <f>IF(OR(C10="—",F10="—",F10=0),"—",(C10-F10)/ABS(F10))</f>
        <v/>
      </c>
      <c r="H10" s="22">
        <f>IF(OR(C10="—",F10="—"),"—",IF(C10&lt;=F10,"Dentro do previsto",IF(C10&lt;=F10*1.05,"Perto","Fora do previsto")))</f>
        <v/>
      </c>
    </row>
    <row r="11">
      <c r="A11" s="23" t="inlineStr">
        <is>
          <t>Pró-labore</t>
        </is>
      </c>
      <c r="B11" s="18" t="n"/>
      <c r="C11" s="20">
        <f>IF(INDEX(Resultado!$B$24:$M$24,Config!$B$8)="","—",INDEX(Resultado!$B$24:$M$24,Config!$B$8))</f>
        <v/>
      </c>
      <c r="D11" s="20">
        <f>IF(Config!$B$8&lt;=1,"—",IF(INDEX(Resultado!$B$24:$M$24,Config!$B$8-1)="","—",INDEX(Resultado!$B$24:$M$24,Config!$B$8-1)))</f>
        <v/>
      </c>
      <c r="E11" s="21">
        <f>IF(OR(C11="—",D11="—",D11=0),"—",(C11-D11)/ABS(D11))</f>
        <v/>
      </c>
      <c r="F11" s="20">
        <f>IF(INDEX(Previsto!$B$7:$M$7,Config!$B$8)="","—",INDEX(Previsto!$B$7:$M$7,Config!$B$8))</f>
        <v/>
      </c>
      <c r="G11" s="21">
        <f>IF(OR(C11="—",F11="—",F11=0),"—",(C11-F11)/ABS(F11))</f>
        <v/>
      </c>
      <c r="H11" s="22" t="inlineStr">
        <is>
          <t>Informativo</t>
        </is>
      </c>
    </row>
    <row r="12">
      <c r="A12" s="23" t="inlineStr">
        <is>
          <t>Impostos provisionados</t>
        </is>
      </c>
      <c r="B12" s="18" t="n"/>
      <c r="C12" s="20">
        <f>IF(INDEX(Resultado!$B$25:$M$25,Config!$B$8)="","—",INDEX(Resultado!$B$25:$M$25,Config!$B$8))</f>
        <v/>
      </c>
      <c r="D12" s="20">
        <f>IF(Config!$B$8&lt;=1,"—",IF(INDEX(Resultado!$B$25:$M$25,Config!$B$8-1)="","—",INDEX(Resultado!$B$25:$M$25,Config!$B$8-1)))</f>
        <v/>
      </c>
      <c r="E12" s="21">
        <f>IF(OR(C12="—",D12="—",D12=0),"—",(C12-D12)/ABS(D12))</f>
        <v/>
      </c>
      <c r="F12" s="20">
        <f>IF(INDEX(Previsto!$B$8:$M$8,Config!$B$8)="","—",INDEX(Previsto!$B$8:$M$8,Config!$B$8))</f>
        <v/>
      </c>
      <c r="G12" s="21">
        <f>IF(OR(C12="—",F12="—",F12=0),"—",(C12-F12)/ABS(F12))</f>
        <v/>
      </c>
      <c r="H12" s="22" t="inlineStr">
        <is>
          <t>Informativo</t>
        </is>
      </c>
    </row>
    <row r="13">
      <c r="A13" s="19" t="inlineStr">
        <is>
          <t>Total de saídas</t>
        </is>
      </c>
      <c r="B13" s="18" t="n"/>
      <c r="C13" s="20">
        <f>IF(INDEX(Resultado!$B$26:$M$26,Config!$B$8)="","—",INDEX(Resultado!$B$26:$M$26,Config!$B$8))</f>
        <v/>
      </c>
      <c r="D13" s="20">
        <f>IF(Config!$B$8&lt;=1,"—",IF(INDEX(Resultado!$B$26:$M$26,Config!$B$8-1)="","—",INDEX(Resultado!$B$26:$M$26,Config!$B$8-1)))</f>
        <v/>
      </c>
      <c r="E13" s="21">
        <f>IF(OR(C13="—",D13="—",D13=0),"—",(C13-D13)/ABS(D13))</f>
        <v/>
      </c>
      <c r="F13" s="20">
        <f>IF(INDEX(Previsto!$B$9:$M$9,Config!$B$8)="","—",INDEX(Previsto!$B$9:$M$9,Config!$B$8))</f>
        <v/>
      </c>
      <c r="G13" s="21">
        <f>IF(OR(C13="—",F13="—",F13=0),"—",(C13-F13)/ABS(F13))</f>
        <v/>
      </c>
      <c r="H13" s="22">
        <f>IF(OR(C13="—",F13="—"),"—",IF(C13&lt;=F13,"Dentro do previsto",IF(C13&lt;=F13*1.05,"Perto","Fora do previsto")))</f>
        <v/>
      </c>
    </row>
    <row r="14">
      <c r="A14" s="19" t="inlineStr">
        <is>
          <t>Resultado do mês</t>
        </is>
      </c>
      <c r="B14" s="18" t="n"/>
      <c r="C14" s="20">
        <f>IF(INDEX(Resultado!$B$27:$M$27,Config!$B$8)="","—",INDEX(Resultado!$B$27:$M$27,Config!$B$8))</f>
        <v/>
      </c>
      <c r="D14" s="20">
        <f>IF(Config!$B$8&lt;=1,"—",IF(INDEX(Resultado!$B$27:$M$27,Config!$B$8-1)="","—",INDEX(Resultado!$B$27:$M$27,Config!$B$8-1)))</f>
        <v/>
      </c>
      <c r="E14" s="21">
        <f>IF(OR(C14="—",D14="—",D14=0),"—",(C14-D14)/ABS(D14))</f>
        <v/>
      </c>
      <c r="F14" s="20">
        <f>IF(INDEX(Previsto!$B$10:$M$10,Config!$B$8)="","—",INDEX(Previsto!$B$10:$M$10,Config!$B$8))</f>
        <v/>
      </c>
      <c r="G14" s="21">
        <f>IF(OR(C14="—",F14="—",F14=0),"—",(C14-F14)/ABS(F14))</f>
        <v/>
      </c>
      <c r="H14" s="22">
        <f>IF(OR(C14="—",F14="—"),"—",IF(C14&gt;=F14,"Dentro do previsto",IF(C14&gt;=F14*0.95,"Perto","Fora do previsto")))</f>
        <v/>
      </c>
    </row>
    <row r="15">
      <c r="A15" s="23" t="inlineStr">
        <is>
          <t>Margem</t>
        </is>
      </c>
      <c r="B15" s="18" t="n"/>
      <c r="C15" s="24">
        <f>IF(INDEX(Resultado!$B$28:$M$28,Config!$B$8)="","—",INDEX(Resultado!$B$28:$M$28,Config!$B$8))</f>
        <v/>
      </c>
      <c r="D15" s="24">
        <f>IF(Config!$B$8&lt;=1,"—",IF(INDEX(Resultado!$B$28:$M$28,Config!$B$8-1)="","—",INDEX(Resultado!$B$28:$M$28,Config!$B$8-1)))</f>
        <v/>
      </c>
      <c r="E15" s="25">
        <f>IF(OR(C15="—",D15="—"),"—",(C15-D15)*100)</f>
        <v/>
      </c>
      <c r="F15" s="24">
        <f>IF(INDEX(Previsto!$B$11:$M$11,Config!$B$8)="","—",INDEX(Previsto!$B$11:$M$11,Config!$B$8))</f>
        <v/>
      </c>
      <c r="G15" s="25">
        <f>IF(OR(C15="—",F15="—"),"—",(C15-F15)*100)</f>
        <v/>
      </c>
      <c r="H15" s="22">
        <f>IF(OR(C15="—",F15="—"),"—",IF(C15&gt;=F15,"Dentro do previsto",IF(C15&gt;=F15*0.95,"Perto","Fora do previsto")))</f>
        <v/>
      </c>
    </row>
    <row r="17">
      <c r="A17" s="16" t="inlineStr">
        <is>
          <t>Receita do mês por modalidade</t>
        </is>
      </c>
    </row>
    <row r="18" ht="26" customHeight="1">
      <c r="A18" s="17" t="inlineStr">
        <is>
          <t>Modalidade</t>
        </is>
      </c>
      <c r="B18" s="18" t="n"/>
      <c r="C18" s="17" t="inlineStr">
        <is>
          <t>Mês</t>
        </is>
      </c>
      <c r="D18" s="17" t="inlineStr">
        <is>
          <t>Mês anterior</t>
        </is>
      </c>
      <c r="E18" s="17" t="inlineStr">
        <is>
          <t>Variação</t>
        </is>
      </c>
      <c r="F18" s="17" t="inlineStr">
        <is>
          <t>% da receita</t>
        </is>
      </c>
    </row>
    <row r="19">
      <c r="A19" s="23" t="inlineStr">
        <is>
          <t>Honorários fixos (por caso)</t>
        </is>
      </c>
      <c r="B19" s="18" t="n"/>
      <c r="C19" s="20">
        <f>IF(INDEX(Resultado!$B$6:$M$6,Config!$B$8)="","—",INDEX(Resultado!$B$6:$M$6,Config!$B$8))</f>
        <v/>
      </c>
      <c r="D19" s="20">
        <f>IF(Config!$B$8&lt;=1,"—",IF(INDEX(Resultado!$B$6:$M$6,Config!$B$8-1)="","—",INDEX(Resultado!$B$6:$M$6,Config!$B$8-1)))</f>
        <v/>
      </c>
      <c r="E19" s="21">
        <f>IF(OR(C19="—",D19="—",D19=0),"—",(C19-D19)/ABS(D19))</f>
        <v/>
      </c>
      <c r="F19" s="26">
        <f>IF(OR(C19="—",C9="—",C9=0),"—",C19/C9)</f>
        <v/>
      </c>
    </row>
    <row r="20">
      <c r="A20" s="23" t="inlineStr">
        <is>
          <t>Honorários por hora</t>
        </is>
      </c>
      <c r="B20" s="18" t="n"/>
      <c r="C20" s="20">
        <f>IF(INDEX(Resultado!$B$7:$M$7,Config!$B$8)="","—",INDEX(Resultado!$B$7:$M$7,Config!$B$8))</f>
        <v/>
      </c>
      <c r="D20" s="20">
        <f>IF(Config!$B$8&lt;=1,"—",IF(INDEX(Resultado!$B$7:$M$7,Config!$B$8-1)="","—",INDEX(Resultado!$B$7:$M$7,Config!$B$8-1)))</f>
        <v/>
      </c>
      <c r="E20" s="21">
        <f>IF(OR(C20="—",D20="—",D20=0),"—",(C20-D20)/ABS(D20))</f>
        <v/>
      </c>
      <c r="F20" s="26">
        <f>IF(OR(C20="—",C9="—",C9=0),"—",C20/C9)</f>
        <v/>
      </c>
    </row>
    <row r="21">
      <c r="A21" s="23" t="inlineStr">
        <is>
          <t>Honorários de êxito</t>
        </is>
      </c>
      <c r="B21" s="18" t="n"/>
      <c r="C21" s="20">
        <f>IF(INDEX(Resultado!$B$8:$M$8,Config!$B$8)="","—",INDEX(Resultado!$B$8:$M$8,Config!$B$8))</f>
        <v/>
      </c>
      <c r="D21" s="20">
        <f>IF(Config!$B$8&lt;=1,"—",IF(INDEX(Resultado!$B$8:$M$8,Config!$B$8-1)="","—",INDEX(Resultado!$B$8:$M$8,Config!$B$8-1)))</f>
        <v/>
      </c>
      <c r="E21" s="21">
        <f>IF(OR(C21="—",D21="—",D21=0),"—",(C21-D21)/ABS(D21))</f>
        <v/>
      </c>
      <c r="F21" s="26">
        <f>IF(OR(C21="—",C9="—",C9=0),"—",C21/C9)</f>
        <v/>
      </c>
    </row>
    <row r="22">
      <c r="A22" s="23" t="inlineStr">
        <is>
          <t>Consultivo mensal (recorrente)</t>
        </is>
      </c>
      <c r="B22" s="18" t="n"/>
      <c r="C22" s="20">
        <f>IF(INDEX(Resultado!$B$9:$M$9,Config!$B$8)="","—",INDEX(Resultado!$B$9:$M$9,Config!$B$8))</f>
        <v/>
      </c>
      <c r="D22" s="20">
        <f>IF(Config!$B$8&lt;=1,"—",IF(INDEX(Resultado!$B$9:$M$9,Config!$B$8-1)="","—",INDEX(Resultado!$B$9:$M$9,Config!$B$8-1)))</f>
        <v/>
      </c>
      <c r="E22" s="21">
        <f>IF(OR(C22="—",D22="—",D22=0),"—",(C22-D22)/ABS(D22))</f>
        <v/>
      </c>
      <c r="F22" s="26">
        <f>IF(OR(C22="—",C9="—",C9=0),"—",C22/C9)</f>
        <v/>
      </c>
    </row>
    <row r="24">
      <c r="A24" s="6" t="inlineStr">
        <is>
          <t>Receita, saídas e resultado no ano (meses em branco não aparecem)</t>
        </is>
      </c>
    </row>
    <row r="43">
      <c r="A43" s="6" t="inlineStr">
        <is>
          <t>Para explicar o resultado ao sócio ou ao contador, use a planilha 20 · Resumo do mês e o prompt "Explicar o mês".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A15:B15"/>
    <mergeCell ref="A11:B11"/>
    <mergeCell ref="C5:D5"/>
    <mergeCell ref="E5:F5"/>
    <mergeCell ref="A1:H1"/>
    <mergeCell ref="C4:D4"/>
    <mergeCell ref="E4:F4"/>
    <mergeCell ref="A18:B18"/>
    <mergeCell ref="A12:B12"/>
    <mergeCell ref="A21:B21"/>
    <mergeCell ref="A2:H2"/>
    <mergeCell ref="A5:B5"/>
    <mergeCell ref="G5:H5"/>
    <mergeCell ref="A14:B14"/>
    <mergeCell ref="A8:B8"/>
    <mergeCell ref="A22:B22"/>
    <mergeCell ref="A4:B4"/>
    <mergeCell ref="G4:H4"/>
    <mergeCell ref="A20:B20"/>
    <mergeCell ref="A43:H43"/>
    <mergeCell ref="A19:B19"/>
    <mergeCell ref="A10:B10"/>
    <mergeCell ref="A13:B13"/>
    <mergeCell ref="A9:B9"/>
  </mergeCells>
  <conditionalFormatting sqref="E5">
    <cfRule type="expression" priority="1" dxfId="0">
      <formula>AND(ISNUMBER(E5),E5&lt;0)</formula>
    </cfRule>
  </conditionalFormatting>
  <conditionalFormatting sqref="H9:H15">
    <cfRule type="expression" priority="2" dxfId="1">
      <formula>H9="Dentro do previsto"</formula>
    </cfRule>
    <cfRule type="expression" priority="3" dxfId="2">
      <formula>H9="Perto"</formula>
    </cfRule>
    <cfRule type="expression" priority="4" dxfId="3">
      <formula>H9="Fora do previsto"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14" customWidth="1" min="4" max="4"/>
  </cols>
  <sheetData>
    <row r="1" ht="28" customHeight="1">
      <c r="A1" s="27" t="inlineStr">
        <is>
          <t>Configurações</t>
        </is>
      </c>
    </row>
    <row r="2">
      <c r="A2" s="28" t="inlineStr">
        <is>
          <t>Células amarelas: você preenche.</t>
        </is>
      </c>
    </row>
    <row r="4">
      <c r="A4" s="29" t="inlineStr">
        <is>
          <t>Escritório</t>
        </is>
      </c>
      <c r="B4" s="30" t="inlineStr">
        <is>
          <t>Ferraz &amp; Lima Advocacia (exemplo fictício)</t>
        </is>
      </c>
      <c r="D4" s="29" t="inlineStr">
        <is>
          <t>Meses</t>
        </is>
      </c>
    </row>
    <row r="5">
      <c r="A5" s="29" t="inlineStr">
        <is>
          <t>Ano</t>
        </is>
      </c>
      <c r="B5" s="30" t="n">
        <v>2026</v>
      </c>
      <c r="D5" s="31" t="inlineStr">
        <is>
          <t>Janeiro</t>
        </is>
      </c>
    </row>
    <row r="6">
      <c r="A6" s="29" t="inlineStr">
        <is>
          <t>Mês de análise</t>
        </is>
      </c>
      <c r="B6" s="30" t="inlineStr">
        <is>
          <t>Setembro</t>
        </is>
      </c>
      <c r="D6" s="31" t="inlineStr">
        <is>
          <t>Fevereiro</t>
        </is>
      </c>
    </row>
    <row r="7">
      <c r="A7" s="29" t="inlineStr">
        <is>
          <t>Impostos provisionados (% da receita)</t>
        </is>
      </c>
      <c r="B7" s="32" t="n">
        <v>0.06</v>
      </c>
      <c r="C7" s="6" t="inlineStr">
        <is>
          <t>Use a alíquota efetiva que o contador informar (Simples, ISS + IR ou lucro presumido). A provisão sai todo mês, mesmo que o imposto seja pago depois.</t>
        </is>
      </c>
      <c r="D7" s="31" t="inlineStr">
        <is>
          <t>Março</t>
        </is>
      </c>
    </row>
    <row r="8">
      <c r="A8" s="29" t="inlineStr">
        <is>
          <t>Número do mês</t>
        </is>
      </c>
      <c r="B8" s="22">
        <f>MATCH(B6,$D$5:$D$16,0)</f>
        <v/>
      </c>
      <c r="D8" s="31" t="inlineStr">
        <is>
          <t>Abril</t>
        </is>
      </c>
    </row>
    <row r="9">
      <c r="A9" s="29" t="inlineStr">
        <is>
          <t>Mês anterior</t>
        </is>
      </c>
      <c r="B9" s="22">
        <f>IF(B8&gt;1,INDEX($D$5:$D$16,B8-1),"")</f>
        <v/>
      </c>
      <c r="D9" s="31" t="inlineStr">
        <is>
          <t>Maio</t>
        </is>
      </c>
    </row>
    <row r="10">
      <c r="D10" s="31" t="inlineStr">
        <is>
          <t>Junho</t>
        </is>
      </c>
    </row>
    <row r="11">
      <c r="D11" s="31" t="inlineStr">
        <is>
          <t>Julho</t>
        </is>
      </c>
    </row>
    <row r="12">
      <c r="D12" s="31" t="inlineStr">
        <is>
          <t>Agosto</t>
        </is>
      </c>
    </row>
    <row r="13">
      <c r="D13" s="31" t="inlineStr">
        <is>
          <t>Setembro</t>
        </is>
      </c>
    </row>
    <row r="14">
      <c r="D14" s="31" t="inlineStr">
        <is>
          <t>Outubro</t>
        </is>
      </c>
    </row>
    <row r="15">
      <c r="D15" s="31" t="inlineStr">
        <is>
          <t>Novembro</t>
        </is>
      </c>
    </row>
    <row r="16">
      <c r="D16" s="31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6" customWidth="1" min="15" max="15"/>
  </cols>
  <sheetData>
    <row r="1" ht="28" customHeight="1">
      <c r="A1" s="27" t="inlineStr">
        <is>
          <t>Resultado mensal do escritório</t>
        </is>
      </c>
    </row>
    <row r="2">
      <c r="A2" s="28" t="inlineStr">
        <is>
          <t>Preencha as linhas amarelas de cada mês com os totais do caixa (planilha 09). Totais, impostos provisionados, resultado e margem são calculados. Meses futuros ficam em branco.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  <c r="O4" s="17" t="inlineStr">
        <is>
          <t>Média dos meses preenchidos</t>
        </is>
      </c>
    </row>
    <row r="5">
      <c r="A5" s="33" t="inlineStr">
        <is>
          <t>Receita (o que entrou no mês, por modalidade de honorário)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23" t="inlineStr">
        <is>
          <t>Honorários fixos (por caso)</t>
        </is>
      </c>
      <c r="B6" s="34" t="n">
        <v>13360</v>
      </c>
      <c r="C6" s="34" t="n">
        <v>4800</v>
      </c>
      <c r="D6" s="34" t="n">
        <v>6560</v>
      </c>
      <c r="E6" s="34" t="n">
        <v>7100</v>
      </c>
      <c r="F6" s="34" t="n">
        <v>6400</v>
      </c>
      <c r="G6" s="34" t="n">
        <v>9370</v>
      </c>
      <c r="H6" s="34" t="n">
        <v>11070</v>
      </c>
      <c r="I6" s="34" t="n">
        <v>9060</v>
      </c>
      <c r="J6" s="34" t="n">
        <v>9700</v>
      </c>
      <c r="K6" s="34" t="n"/>
      <c r="L6" s="34" t="n"/>
      <c r="M6" s="34" t="n"/>
      <c r="N6" s="20">
        <f>IF(COUNT(B6:M6)=0,"",SUM(B6:M6))</f>
        <v/>
      </c>
      <c r="O6" s="20">
        <f>IF(COUNT(B6:M6)=0,"",AVERAGE(B6:M6))</f>
        <v/>
      </c>
    </row>
    <row r="7">
      <c r="A7" s="23" t="inlineStr">
        <is>
          <t>Honorários por hora</t>
        </is>
      </c>
      <c r="B7" s="34" t="n">
        <v>8200</v>
      </c>
      <c r="C7" s="34" t="n">
        <v>2900</v>
      </c>
      <c r="D7" s="34" t="n">
        <v>4000</v>
      </c>
      <c r="E7" s="34" t="n">
        <v>4400</v>
      </c>
      <c r="F7" s="34" t="n">
        <v>3900</v>
      </c>
      <c r="G7" s="34" t="n">
        <v>5700</v>
      </c>
      <c r="H7" s="34" t="n">
        <v>6900</v>
      </c>
      <c r="I7" s="34" t="n">
        <v>5500</v>
      </c>
      <c r="J7" s="34" t="n">
        <v>5900</v>
      </c>
      <c r="K7" s="34" t="n"/>
      <c r="L7" s="34" t="n"/>
      <c r="M7" s="34" t="n"/>
      <c r="N7" s="20">
        <f>IF(COUNT(B7:M7)=0,"",SUM(B7:M7))</f>
        <v/>
      </c>
      <c r="O7" s="20">
        <f>IF(COUNT(B7:M7)=0,"",AVERAGE(B7:M7))</f>
        <v/>
      </c>
    </row>
    <row r="8">
      <c r="A8" s="23" t="inlineStr">
        <is>
          <t>Honorários de êxito</t>
        </is>
      </c>
      <c r="B8" s="34" t="n">
        <v>9100</v>
      </c>
      <c r="C8" s="34" t="n">
        <v>3300</v>
      </c>
      <c r="D8" s="34" t="n">
        <v>4500</v>
      </c>
      <c r="E8" s="34" t="n">
        <v>4900</v>
      </c>
      <c r="F8" s="34" t="n">
        <v>4400</v>
      </c>
      <c r="G8" s="34" t="n">
        <v>6400</v>
      </c>
      <c r="H8" s="34" t="n">
        <v>7700</v>
      </c>
      <c r="I8" s="34" t="n">
        <v>6100</v>
      </c>
      <c r="J8" s="34" t="n">
        <v>6600</v>
      </c>
      <c r="K8" s="34" t="n"/>
      <c r="L8" s="34" t="n"/>
      <c r="M8" s="34" t="n"/>
      <c r="N8" s="20">
        <f>IF(COUNT(B8:M8)=0,"",SUM(B8:M8))</f>
        <v/>
      </c>
      <c r="O8" s="20">
        <f>IF(COUNT(B8:M8)=0,"",AVERAGE(B8:M8))</f>
        <v/>
      </c>
    </row>
    <row r="9">
      <c r="A9" s="23" t="inlineStr">
        <is>
          <t>Consultivo mensal (recorrente)</t>
        </is>
      </c>
      <c r="B9" s="34" t="n">
        <v>3000</v>
      </c>
      <c r="C9" s="34" t="n">
        <v>3000</v>
      </c>
      <c r="D9" s="34" t="n">
        <v>4500</v>
      </c>
      <c r="E9" s="34" t="n">
        <v>4500</v>
      </c>
      <c r="F9" s="34" t="n">
        <v>4500</v>
      </c>
      <c r="G9" s="34" t="n">
        <v>4500</v>
      </c>
      <c r="H9" s="34" t="n">
        <v>4500</v>
      </c>
      <c r="I9" s="34" t="n">
        <v>6000</v>
      </c>
      <c r="J9" s="34" t="n">
        <v>7200</v>
      </c>
      <c r="K9" s="34" t="n"/>
      <c r="L9" s="34" t="n"/>
      <c r="M9" s="34" t="n"/>
      <c r="N9" s="20">
        <f>IF(COUNT(B9:M9)=0,"",SUM(B9:M9))</f>
        <v/>
      </c>
      <c r="O9" s="20">
        <f>IF(COUNT(B9:M9)=0,"",AVERAGE(B9:M9))</f>
        <v/>
      </c>
    </row>
    <row r="10">
      <c r="A10" s="19" t="inlineStr">
        <is>
          <t>Receita total</t>
        </is>
      </c>
      <c r="B10" s="35">
        <f>IF(COUNT(B$6:B$9,B$12:B$19,B$22:B$23)=0,"",SUM(B6:B9))</f>
        <v/>
      </c>
      <c r="C10" s="35">
        <f>IF(COUNT(C$6:C$9,C$12:C$19,C$22:C$23)=0,"",SUM(C6:C9))</f>
        <v/>
      </c>
      <c r="D10" s="35">
        <f>IF(COUNT(D$6:D$9,D$12:D$19,D$22:D$23)=0,"",SUM(D6:D9))</f>
        <v/>
      </c>
      <c r="E10" s="35">
        <f>IF(COUNT(E$6:E$9,E$12:E$19,E$22:E$23)=0,"",SUM(E6:E9))</f>
        <v/>
      </c>
      <c r="F10" s="35">
        <f>IF(COUNT(F$6:F$9,F$12:F$19,F$22:F$23)=0,"",SUM(F6:F9))</f>
        <v/>
      </c>
      <c r="G10" s="35">
        <f>IF(COUNT(G$6:G$9,G$12:G$19,G$22:G$23)=0,"",SUM(G6:G9))</f>
        <v/>
      </c>
      <c r="H10" s="35">
        <f>IF(COUNT(H$6:H$9,H$12:H$19,H$22:H$23)=0,"",SUM(H6:H9))</f>
        <v/>
      </c>
      <c r="I10" s="35">
        <f>IF(COUNT(I$6:I$9,I$12:I$19,I$22:I$23)=0,"",SUM(I6:I9))</f>
        <v/>
      </c>
      <c r="J10" s="35">
        <f>IF(COUNT(J$6:J$9,J$12:J$19,J$22:J$23)=0,"",SUM(J6:J9))</f>
        <v/>
      </c>
      <c r="K10" s="35">
        <f>IF(COUNT(K$6:K$9,K$12:K$19,K$22:K$23)=0,"",SUM(K6:K9))</f>
        <v/>
      </c>
      <c r="L10" s="35">
        <f>IF(COUNT(L$6:L$9,L$12:L$19,L$22:L$23)=0,"",SUM(L6:L9))</f>
        <v/>
      </c>
      <c r="M10" s="35">
        <f>IF(COUNT(M$6:M$9,M$12:M$19,M$22:M$23)=0,"",SUM(M6:M9))</f>
        <v/>
      </c>
      <c r="N10" s="35">
        <f>IF(COUNT(B10:M10)=0,"",SUM(B10:M10))</f>
        <v/>
      </c>
      <c r="O10" s="35">
        <f>IF(COUNT(B10:M10)=0,"",AVERAGE(B10:M10))</f>
        <v/>
      </c>
    </row>
    <row r="11">
      <c r="A11" s="33" t="inlineStr">
        <is>
          <t>Custos fixos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23" t="inlineStr">
        <is>
          <t>Aluguel e condomínio</t>
        </is>
      </c>
      <c r="B12" s="34" t="n">
        <v>2800</v>
      </c>
      <c r="C12" s="34" t="n">
        <v>2800</v>
      </c>
      <c r="D12" s="34" t="n">
        <v>2800</v>
      </c>
      <c r="E12" s="34" t="n">
        <v>2800</v>
      </c>
      <c r="F12" s="34" t="n">
        <v>2800</v>
      </c>
      <c r="G12" s="34" t="n">
        <v>2800</v>
      </c>
      <c r="H12" s="34" t="n">
        <v>2800</v>
      </c>
      <c r="I12" s="34" t="n">
        <v>2800</v>
      </c>
      <c r="J12" s="34" t="n">
        <v>2800</v>
      </c>
      <c r="K12" s="34" t="n"/>
      <c r="L12" s="34" t="n"/>
      <c r="M12" s="34" t="n"/>
      <c r="N12" s="20">
        <f>IF(COUNT(B12:M12)=0,"",SUM(B12:M12))</f>
        <v/>
      </c>
      <c r="O12" s="20">
        <f>IF(COUNT(B12:M12)=0,"",AVERAGE(B12:M12))</f>
        <v/>
      </c>
    </row>
    <row r="13">
      <c r="A13" s="23" t="inlineStr">
        <is>
          <t>Contador</t>
        </is>
      </c>
      <c r="B13" s="34" t="n">
        <v>600</v>
      </c>
      <c r="C13" s="34" t="n">
        <v>600</v>
      </c>
      <c r="D13" s="34" t="n">
        <v>600</v>
      </c>
      <c r="E13" s="34" t="n">
        <v>600</v>
      </c>
      <c r="F13" s="34" t="n">
        <v>600</v>
      </c>
      <c r="G13" s="34" t="n">
        <v>600</v>
      </c>
      <c r="H13" s="34" t="n">
        <v>600</v>
      </c>
      <c r="I13" s="34" t="n">
        <v>600</v>
      </c>
      <c r="J13" s="34" t="n">
        <v>600</v>
      </c>
      <c r="K13" s="34" t="n"/>
      <c r="L13" s="34" t="n"/>
      <c r="M13" s="34" t="n"/>
      <c r="N13" s="20">
        <f>IF(COUNT(B13:M13)=0,"",SUM(B13:M13))</f>
        <v/>
      </c>
      <c r="O13" s="20">
        <f>IF(COUNT(B13:M13)=0,"",AVERAGE(B13:M13))</f>
        <v/>
      </c>
    </row>
    <row r="14">
      <c r="A14" s="23" t="inlineStr">
        <is>
          <t>Sistemas e assinaturas</t>
        </is>
      </c>
      <c r="B14" s="34" t="n">
        <v>450</v>
      </c>
      <c r="C14" s="34" t="n">
        <v>450</v>
      </c>
      <c r="D14" s="34" t="n">
        <v>450</v>
      </c>
      <c r="E14" s="34" t="n">
        <v>450</v>
      </c>
      <c r="F14" s="34" t="n">
        <v>450</v>
      </c>
      <c r="G14" s="34" t="n">
        <v>450</v>
      </c>
      <c r="H14" s="34" t="n">
        <v>450</v>
      </c>
      <c r="I14" s="34" t="n">
        <v>450</v>
      </c>
      <c r="J14" s="34" t="n">
        <v>450</v>
      </c>
      <c r="K14" s="34" t="n"/>
      <c r="L14" s="34" t="n"/>
      <c r="M14" s="34" t="n"/>
      <c r="N14" s="20">
        <f>IF(COUNT(B14:M14)=0,"",SUM(B14:M14))</f>
        <v/>
      </c>
      <c r="O14" s="20">
        <f>IF(COUNT(B14:M14)=0,"",AVERAGE(B14:M14))</f>
        <v/>
      </c>
    </row>
    <row r="15">
      <c r="A15" s="23" t="inlineStr">
        <is>
          <t>Telefone e internet</t>
        </is>
      </c>
      <c r="B15" s="34" t="n">
        <v>220</v>
      </c>
      <c r="C15" s="34" t="n">
        <v>220</v>
      </c>
      <c r="D15" s="34" t="n">
        <v>220</v>
      </c>
      <c r="E15" s="34" t="n">
        <v>220</v>
      </c>
      <c r="F15" s="34" t="n">
        <v>220</v>
      </c>
      <c r="G15" s="34" t="n">
        <v>220</v>
      </c>
      <c r="H15" s="34" t="n">
        <v>220</v>
      </c>
      <c r="I15" s="34" t="n">
        <v>220</v>
      </c>
      <c r="J15" s="34" t="n">
        <v>220</v>
      </c>
      <c r="K15" s="34" t="n"/>
      <c r="L15" s="34" t="n"/>
      <c r="M15" s="34" t="n"/>
      <c r="N15" s="20">
        <f>IF(COUNT(B15:M15)=0,"",SUM(B15:M15))</f>
        <v/>
      </c>
      <c r="O15" s="20">
        <f>IF(COUNT(B15:M15)=0,"",AVERAGE(B15:M15))</f>
        <v/>
      </c>
    </row>
    <row r="16">
      <c r="A16" s="23" t="inlineStr">
        <is>
          <t>Anuidades OAB e cursos</t>
        </is>
      </c>
      <c r="B16" s="34" t="n">
        <v>250</v>
      </c>
      <c r="C16" s="34" t="n">
        <v>250</v>
      </c>
      <c r="D16" s="34" t="n">
        <v>250</v>
      </c>
      <c r="E16" s="34" t="n">
        <v>250</v>
      </c>
      <c r="F16" s="34" t="n">
        <v>250</v>
      </c>
      <c r="G16" s="34" t="n">
        <v>250</v>
      </c>
      <c r="H16" s="34" t="n">
        <v>250</v>
      </c>
      <c r="I16" s="34" t="n">
        <v>250</v>
      </c>
      <c r="J16" s="34" t="n">
        <v>250</v>
      </c>
      <c r="K16" s="34" t="n"/>
      <c r="L16" s="34" t="n"/>
      <c r="M16" s="34" t="n"/>
      <c r="N16" s="20">
        <f>IF(COUNT(B16:M16)=0,"",SUM(B16:M16))</f>
        <v/>
      </c>
      <c r="O16" s="20">
        <f>IF(COUNT(B16:M16)=0,"",AVERAGE(B16:M16))</f>
        <v/>
      </c>
    </row>
    <row r="17">
      <c r="A17" s="23" t="inlineStr">
        <is>
          <t>Marketing e site</t>
        </is>
      </c>
      <c r="B17" s="34" t="n">
        <v>400</v>
      </c>
      <c r="C17" s="34" t="n">
        <v>400</v>
      </c>
      <c r="D17" s="34" t="n">
        <v>400</v>
      </c>
      <c r="E17" s="34" t="n">
        <v>400</v>
      </c>
      <c r="F17" s="34" t="n">
        <v>400</v>
      </c>
      <c r="G17" s="34" t="n">
        <v>400</v>
      </c>
      <c r="H17" s="34" t="n">
        <v>400</v>
      </c>
      <c r="I17" s="34" t="n">
        <v>400</v>
      </c>
      <c r="J17" s="34" t="n">
        <v>400</v>
      </c>
      <c r="K17" s="34" t="n"/>
      <c r="L17" s="34" t="n"/>
      <c r="M17" s="34" t="n"/>
      <c r="N17" s="20">
        <f>IF(COUNT(B17:M17)=0,"",SUM(B17:M17))</f>
        <v/>
      </c>
      <c r="O17" s="20">
        <f>IF(COUNT(B17:M17)=0,"",AVERAGE(B17:M17))</f>
        <v/>
      </c>
    </row>
    <row r="18">
      <c r="A18" s="23" t="inlineStr">
        <is>
          <t>Estagiária (bolsa)</t>
        </is>
      </c>
      <c r="B18" s="34" t="n">
        <v>1400</v>
      </c>
      <c r="C18" s="34" t="n">
        <v>1400</v>
      </c>
      <c r="D18" s="34" t="n">
        <v>1400</v>
      </c>
      <c r="E18" s="34" t="n">
        <v>1400</v>
      </c>
      <c r="F18" s="34" t="n">
        <v>1400</v>
      </c>
      <c r="G18" s="34" t="n">
        <v>1400</v>
      </c>
      <c r="H18" s="34" t="n">
        <v>1400</v>
      </c>
      <c r="I18" s="34" t="n">
        <v>1400</v>
      </c>
      <c r="J18" s="34" t="n">
        <v>1400</v>
      </c>
      <c r="K18" s="34" t="n"/>
      <c r="L18" s="34" t="n"/>
      <c r="M18" s="34" t="n"/>
      <c r="N18" s="20">
        <f>IF(COUNT(B18:M18)=0,"",SUM(B18:M18))</f>
        <v/>
      </c>
      <c r="O18" s="20">
        <f>IF(COUNT(B18:M18)=0,"",AVERAGE(B18:M18))</f>
        <v/>
      </c>
    </row>
    <row r="19">
      <c r="A19" s="23" t="inlineStr">
        <is>
          <t>Material, correio e outros</t>
        </is>
      </c>
      <c r="B19" s="34" t="n">
        <v>380</v>
      </c>
      <c r="C19" s="34" t="n">
        <v>380</v>
      </c>
      <c r="D19" s="34" t="n">
        <v>380</v>
      </c>
      <c r="E19" s="34" t="n">
        <v>380</v>
      </c>
      <c r="F19" s="34" t="n">
        <v>380</v>
      </c>
      <c r="G19" s="34" t="n">
        <v>380</v>
      </c>
      <c r="H19" s="34" t="n">
        <v>380</v>
      </c>
      <c r="I19" s="34" t="n">
        <v>380</v>
      </c>
      <c r="J19" s="34" t="n">
        <v>380</v>
      </c>
      <c r="K19" s="34" t="n"/>
      <c r="L19" s="34" t="n"/>
      <c r="M19" s="34" t="n"/>
      <c r="N19" s="20">
        <f>IF(COUNT(B19:M19)=0,"",SUM(B19:M19))</f>
        <v/>
      </c>
      <c r="O19" s="20">
        <f>IF(COUNT(B19:M19)=0,"",AVERAGE(B19:M19))</f>
        <v/>
      </c>
    </row>
    <row r="20">
      <c r="A20" s="19" t="inlineStr">
        <is>
          <t>Total de custos fixos</t>
        </is>
      </c>
      <c r="B20" s="35">
        <f>IF(COUNT(B$6:B$9,B$12:B$19,B$22:B$23)=0,"",SUM(B12:B19))</f>
        <v/>
      </c>
      <c r="C20" s="35">
        <f>IF(COUNT(C$6:C$9,C$12:C$19,C$22:C$23)=0,"",SUM(C12:C19))</f>
        <v/>
      </c>
      <c r="D20" s="35">
        <f>IF(COUNT(D$6:D$9,D$12:D$19,D$22:D$23)=0,"",SUM(D12:D19))</f>
        <v/>
      </c>
      <c r="E20" s="35">
        <f>IF(COUNT(E$6:E$9,E$12:E$19,E$22:E$23)=0,"",SUM(E12:E19))</f>
        <v/>
      </c>
      <c r="F20" s="35">
        <f>IF(COUNT(F$6:F$9,F$12:F$19,F$22:F$23)=0,"",SUM(F12:F19))</f>
        <v/>
      </c>
      <c r="G20" s="35">
        <f>IF(COUNT(G$6:G$9,G$12:G$19,G$22:G$23)=0,"",SUM(G12:G19))</f>
        <v/>
      </c>
      <c r="H20" s="35">
        <f>IF(COUNT(H$6:H$9,H$12:H$19,H$22:H$23)=0,"",SUM(H12:H19))</f>
        <v/>
      </c>
      <c r="I20" s="35">
        <f>IF(COUNT(I$6:I$9,I$12:I$19,I$22:I$23)=0,"",SUM(I12:I19))</f>
        <v/>
      </c>
      <c r="J20" s="35">
        <f>IF(COUNT(J$6:J$9,J$12:J$19,J$22:J$23)=0,"",SUM(J12:J19))</f>
        <v/>
      </c>
      <c r="K20" s="35">
        <f>IF(COUNT(K$6:K$9,K$12:K$19,K$22:K$23)=0,"",SUM(K12:K19))</f>
        <v/>
      </c>
      <c r="L20" s="35">
        <f>IF(COUNT(L$6:L$9,L$12:L$19,L$22:L$23)=0,"",SUM(L12:L19))</f>
        <v/>
      </c>
      <c r="M20" s="35">
        <f>IF(COUNT(M$6:M$9,M$12:M$19,M$22:M$23)=0,"",SUM(M12:M19))</f>
        <v/>
      </c>
      <c r="N20" s="35">
        <f>IF(COUNT(B20:M20)=0,"",SUM(B20:M20))</f>
        <v/>
      </c>
      <c r="O20" s="35">
        <f>IF(COUNT(B20:M20)=0,"",AVERAGE(B20:M20))</f>
        <v/>
      </c>
    </row>
    <row r="21">
      <c r="A21" s="33" t="inlineStr">
        <is>
          <t>Pró-labore dos sócios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23" t="inlineStr">
        <is>
          <t>Marina Ferraz</t>
        </is>
      </c>
      <c r="B22" s="34" t="n">
        <v>6000</v>
      </c>
      <c r="C22" s="34" t="n">
        <v>6000</v>
      </c>
      <c r="D22" s="34" t="n">
        <v>6000</v>
      </c>
      <c r="E22" s="34" t="n">
        <v>6000</v>
      </c>
      <c r="F22" s="34" t="n">
        <v>6000</v>
      </c>
      <c r="G22" s="34" t="n">
        <v>6000</v>
      </c>
      <c r="H22" s="34" t="n">
        <v>6000</v>
      </c>
      <c r="I22" s="34" t="n">
        <v>6000</v>
      </c>
      <c r="J22" s="34" t="n">
        <v>6000</v>
      </c>
      <c r="K22" s="34" t="n"/>
      <c r="L22" s="34" t="n"/>
      <c r="M22" s="34" t="n"/>
      <c r="N22" s="20">
        <f>IF(COUNT(B22:M22)=0,"",SUM(B22:M22))</f>
        <v/>
      </c>
      <c r="O22" s="20">
        <f>IF(COUNT(B22:M22)=0,"",AVERAGE(B22:M22))</f>
        <v/>
      </c>
    </row>
    <row r="23">
      <c r="A23" s="23" t="inlineStr">
        <is>
          <t>Rafael Lima</t>
        </is>
      </c>
      <c r="B23" s="34" t="n">
        <v>6000</v>
      </c>
      <c r="C23" s="34" t="n">
        <v>6000</v>
      </c>
      <c r="D23" s="34" t="n">
        <v>6000</v>
      </c>
      <c r="E23" s="34" t="n">
        <v>6000</v>
      </c>
      <c r="F23" s="34" t="n">
        <v>6000</v>
      </c>
      <c r="G23" s="34" t="n">
        <v>6000</v>
      </c>
      <c r="H23" s="34" t="n">
        <v>6000</v>
      </c>
      <c r="I23" s="34" t="n">
        <v>6000</v>
      </c>
      <c r="J23" s="34" t="n">
        <v>6000</v>
      </c>
      <c r="K23" s="34" t="n"/>
      <c r="L23" s="34" t="n"/>
      <c r="M23" s="34" t="n"/>
      <c r="N23" s="20">
        <f>IF(COUNT(B23:M23)=0,"",SUM(B23:M23))</f>
        <v/>
      </c>
      <c r="O23" s="20">
        <f>IF(COUNT(B23:M23)=0,"",AVERAGE(B23:M23))</f>
        <v/>
      </c>
    </row>
    <row r="24">
      <c r="A24" s="19" t="inlineStr">
        <is>
          <t>Total de pró-labore</t>
        </is>
      </c>
      <c r="B24" s="35">
        <f>IF(COUNT(B$6:B$9,B$12:B$19,B$22:B$23)=0,"",SUM(B22:B23))</f>
        <v/>
      </c>
      <c r="C24" s="35">
        <f>IF(COUNT(C$6:C$9,C$12:C$19,C$22:C$23)=0,"",SUM(C22:C23))</f>
        <v/>
      </c>
      <c r="D24" s="35">
        <f>IF(COUNT(D$6:D$9,D$12:D$19,D$22:D$23)=0,"",SUM(D22:D23))</f>
        <v/>
      </c>
      <c r="E24" s="35">
        <f>IF(COUNT(E$6:E$9,E$12:E$19,E$22:E$23)=0,"",SUM(E22:E23))</f>
        <v/>
      </c>
      <c r="F24" s="35">
        <f>IF(COUNT(F$6:F$9,F$12:F$19,F$22:F$23)=0,"",SUM(F22:F23))</f>
        <v/>
      </c>
      <c r="G24" s="35">
        <f>IF(COUNT(G$6:G$9,G$12:G$19,G$22:G$23)=0,"",SUM(G22:G23))</f>
        <v/>
      </c>
      <c r="H24" s="35">
        <f>IF(COUNT(H$6:H$9,H$12:H$19,H$22:H$23)=0,"",SUM(H22:H23))</f>
        <v/>
      </c>
      <c r="I24" s="35">
        <f>IF(COUNT(I$6:I$9,I$12:I$19,I$22:I$23)=0,"",SUM(I22:I23))</f>
        <v/>
      </c>
      <c r="J24" s="35">
        <f>IF(COUNT(J$6:J$9,J$12:J$19,J$22:J$23)=0,"",SUM(J22:J23))</f>
        <v/>
      </c>
      <c r="K24" s="35">
        <f>IF(COUNT(K$6:K$9,K$12:K$19,K$22:K$23)=0,"",SUM(K22:K23))</f>
        <v/>
      </c>
      <c r="L24" s="35">
        <f>IF(COUNT(L$6:L$9,L$12:L$19,L$22:L$23)=0,"",SUM(L22:L23))</f>
        <v/>
      </c>
      <c r="M24" s="35">
        <f>IF(COUNT(M$6:M$9,M$12:M$19,M$22:M$23)=0,"",SUM(M22:M23))</f>
        <v/>
      </c>
      <c r="N24" s="35">
        <f>IF(COUNT(B24:M24)=0,"",SUM(B24:M24))</f>
        <v/>
      </c>
      <c r="O24" s="35">
        <f>IF(COUNT(B24:M24)=0,"",AVERAGE(B24:M24))</f>
        <v/>
      </c>
    </row>
    <row r="25">
      <c r="A25" s="23" t="inlineStr">
        <is>
          <t>Impostos provisionados (% da receita, Config)</t>
        </is>
      </c>
      <c r="B25" s="20">
        <f>IF(B10="","",ROUND(B10*Config!$B$7,0))</f>
        <v/>
      </c>
      <c r="C25" s="20">
        <f>IF(C10="","",ROUND(C10*Config!$B$7,0))</f>
        <v/>
      </c>
      <c r="D25" s="20">
        <f>IF(D10="","",ROUND(D10*Config!$B$7,0))</f>
        <v/>
      </c>
      <c r="E25" s="20">
        <f>IF(E10="","",ROUND(E10*Config!$B$7,0))</f>
        <v/>
      </c>
      <c r="F25" s="20">
        <f>IF(F10="","",ROUND(F10*Config!$B$7,0))</f>
        <v/>
      </c>
      <c r="G25" s="20">
        <f>IF(G10="","",ROUND(G10*Config!$B$7,0))</f>
        <v/>
      </c>
      <c r="H25" s="20">
        <f>IF(H10="","",ROUND(H10*Config!$B$7,0))</f>
        <v/>
      </c>
      <c r="I25" s="20">
        <f>IF(I10="","",ROUND(I10*Config!$B$7,0))</f>
        <v/>
      </c>
      <c r="J25" s="20">
        <f>IF(J10="","",ROUND(J10*Config!$B$7,0))</f>
        <v/>
      </c>
      <c r="K25" s="20">
        <f>IF(K10="","",ROUND(K10*Config!$B$7,0))</f>
        <v/>
      </c>
      <c r="L25" s="20">
        <f>IF(L10="","",ROUND(L10*Config!$B$7,0))</f>
        <v/>
      </c>
      <c r="M25" s="20">
        <f>IF(M10="","",ROUND(M10*Config!$B$7,0))</f>
        <v/>
      </c>
      <c r="N25" s="20">
        <f>IF(COUNT(B25:M25)=0,"",SUM(B25:M25))</f>
        <v/>
      </c>
      <c r="O25" s="20">
        <f>IF(COUNT(B25:M25)=0,"",AVERAGE(B25:M25))</f>
        <v/>
      </c>
    </row>
    <row r="26">
      <c r="A26" s="19" t="inlineStr">
        <is>
          <t>Total de saídas (custos + pró-labore + impostos)</t>
        </is>
      </c>
      <c r="B26" s="35">
        <f>IF(B10="","",B20+B24+B25)</f>
        <v/>
      </c>
      <c r="C26" s="35">
        <f>IF(C10="","",C20+C24+C25)</f>
        <v/>
      </c>
      <c r="D26" s="35">
        <f>IF(D10="","",D20+D24+D25)</f>
        <v/>
      </c>
      <c r="E26" s="35">
        <f>IF(E10="","",E20+E24+E25)</f>
        <v/>
      </c>
      <c r="F26" s="35">
        <f>IF(F10="","",F20+F24+F25)</f>
        <v/>
      </c>
      <c r="G26" s="35">
        <f>IF(G10="","",G20+G24+G25)</f>
        <v/>
      </c>
      <c r="H26" s="35">
        <f>IF(H10="","",H20+H24+H25)</f>
        <v/>
      </c>
      <c r="I26" s="35">
        <f>IF(I10="","",I20+I24+I25)</f>
        <v/>
      </c>
      <c r="J26" s="35">
        <f>IF(J10="","",J20+J24+J25)</f>
        <v/>
      </c>
      <c r="K26" s="35">
        <f>IF(K10="","",K20+K24+K25)</f>
        <v/>
      </c>
      <c r="L26" s="35">
        <f>IF(L10="","",L20+L24+L25)</f>
        <v/>
      </c>
      <c r="M26" s="35">
        <f>IF(M10="","",M20+M24+M25)</f>
        <v/>
      </c>
      <c r="N26" s="35">
        <f>IF(COUNT(B26:M26)=0,"",SUM(B26:M26))</f>
        <v/>
      </c>
      <c r="O26" s="35">
        <f>IF(COUNT(B26:M26)=0,"",AVERAGE(B26:M26))</f>
        <v/>
      </c>
    </row>
    <row r="27">
      <c r="A27" s="19" t="inlineStr">
        <is>
          <t>Resultado do mês (receita - saídas)</t>
        </is>
      </c>
      <c r="B27" s="35">
        <f>IF(B10="","",B10-B26)</f>
        <v/>
      </c>
      <c r="C27" s="35">
        <f>IF(C10="","",C10-C26)</f>
        <v/>
      </c>
      <c r="D27" s="35">
        <f>IF(D10="","",D10-D26)</f>
        <v/>
      </c>
      <c r="E27" s="35">
        <f>IF(E10="","",E10-E26)</f>
        <v/>
      </c>
      <c r="F27" s="35">
        <f>IF(F10="","",F10-F26)</f>
        <v/>
      </c>
      <c r="G27" s="35">
        <f>IF(G10="","",G10-G26)</f>
        <v/>
      </c>
      <c r="H27" s="35">
        <f>IF(H10="","",H10-H26)</f>
        <v/>
      </c>
      <c r="I27" s="35">
        <f>IF(I10="","",I10-I26)</f>
        <v/>
      </c>
      <c r="J27" s="35">
        <f>IF(J10="","",J10-J26)</f>
        <v/>
      </c>
      <c r="K27" s="35">
        <f>IF(K10="","",K10-K26)</f>
        <v/>
      </c>
      <c r="L27" s="35">
        <f>IF(L10="","",L10-L26)</f>
        <v/>
      </c>
      <c r="M27" s="35">
        <f>IF(M10="","",M10-M26)</f>
        <v/>
      </c>
      <c r="N27" s="35">
        <f>IF(COUNT(B27:M27)=0,"",SUM(B27:M27))</f>
        <v/>
      </c>
      <c r="O27" s="35">
        <f>IF(COUNT(B27:M27)=0,"",AVERAGE(B27:M27))</f>
        <v/>
      </c>
    </row>
    <row r="28">
      <c r="A28" s="19" t="inlineStr">
        <is>
          <t>Margem (resultado ÷ receita)</t>
        </is>
      </c>
      <c r="B28" s="36">
        <f>IF(OR(B10="",B10=0),"",B27/B10)</f>
        <v/>
      </c>
      <c r="C28" s="36">
        <f>IF(OR(C10="",C10=0),"",C27/C10)</f>
        <v/>
      </c>
      <c r="D28" s="36">
        <f>IF(OR(D10="",D10=0),"",D27/D10)</f>
        <v/>
      </c>
      <c r="E28" s="36">
        <f>IF(OR(E10="",E10=0),"",E27/E10)</f>
        <v/>
      </c>
      <c r="F28" s="36">
        <f>IF(OR(F10="",F10=0),"",F27/F10)</f>
        <v/>
      </c>
      <c r="G28" s="36">
        <f>IF(OR(G10="",G10=0),"",G27/G10)</f>
        <v/>
      </c>
      <c r="H28" s="36">
        <f>IF(OR(H10="",H10=0),"",H27/H10)</f>
        <v/>
      </c>
      <c r="I28" s="36">
        <f>IF(OR(I10="",I10=0),"",I27/I10)</f>
        <v/>
      </c>
      <c r="J28" s="36">
        <f>IF(OR(J10="",J10=0),"",J27/J10)</f>
        <v/>
      </c>
      <c r="K28" s="36">
        <f>IF(OR(K10="",K10=0),"",K27/K10)</f>
        <v/>
      </c>
      <c r="L28" s="36">
        <f>IF(OR(L10="",L10=0),"",L27/L10)</f>
        <v/>
      </c>
      <c r="M28" s="36">
        <f>IF(OR(M10="",M10=0),"",M27/M10)</f>
        <v/>
      </c>
      <c r="N28" s="24">
        <f>IF(OR(N10="",N10=0),"",N27/N10)</f>
        <v/>
      </c>
      <c r="O28" s="24">
        <f>IF(COUNT(B28:M28)=0,"",AVERAGE(B28:M28))</f>
        <v/>
      </c>
    </row>
    <row r="30">
      <c r="A30" s="6" t="inlineStr">
        <is>
          <t>Honorário misto: lance a parte fixa em "fixos" e a parte de êxito em "êxito" quando cada uma entrar. Impostos são provisão (o que separar), não o pagamento da guia. Resultado negativo fica vermelho.</t>
        </is>
      </c>
    </row>
    <row r="31">
      <c r="A31" s="6" t="inlineStr">
        <is>
          <t>Os valores de exemplo (janeiro a setembro de 2026) batem com o Caixa (09), o Painel do escritório (17) e o Resumo do mês (20). Aqui os impostos são provisão; no caixa aparece a guia paga.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1:O1"/>
    <mergeCell ref="A31:O31"/>
    <mergeCell ref="A30:O30"/>
    <mergeCell ref="A2:O2"/>
  </mergeCells>
  <conditionalFormatting sqref="B27:O27">
    <cfRule type="expression" priority="1" dxfId="3">
      <formula>AND(ISNUMBER(B27),B27&lt;0)</formula>
    </cfRule>
    <cfRule type="expression" priority="2" dxfId="4">
      <formula>AND(ISNUMBER(B27),B27&gt;=0)</formula>
    </cfRule>
  </conditionalFormatting>
  <conditionalFormatting sqref="B4:M4">
    <cfRule type="expression" priority="3" dxfId="5">
      <formula>COLUMN()-1=Config!$B$8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27" t="inlineStr">
        <is>
          <t>Previsto para o ano</t>
        </is>
      </c>
    </row>
    <row r="2">
      <c r="A2" s="28" t="inlineStr">
        <is>
          <t>Preencha o que espera de receita, custos fixos e pró-labore em cada mês. O Painel compara o realizado com este previsto.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</row>
    <row r="5">
      <c r="A5" s="23" t="inlineStr">
        <is>
          <t>Receita prevista</t>
        </is>
      </c>
      <c r="B5" s="34" t="n">
        <v>24000</v>
      </c>
      <c r="C5" s="34" t="n">
        <v>24000</v>
      </c>
      <c r="D5" s="34" t="n">
        <v>24000</v>
      </c>
      <c r="E5" s="34" t="n">
        <v>24000</v>
      </c>
      <c r="F5" s="34" t="n">
        <v>25000</v>
      </c>
      <c r="G5" s="34" t="n">
        <v>25000</v>
      </c>
      <c r="H5" s="34" t="n">
        <v>26000</v>
      </c>
      <c r="I5" s="34" t="n">
        <v>26000</v>
      </c>
      <c r="J5" s="34" t="n">
        <v>27000</v>
      </c>
      <c r="K5" s="34" t="n">
        <v>27000</v>
      </c>
      <c r="L5" s="34" t="n">
        <v>28000</v>
      </c>
      <c r="M5" s="34" t="n">
        <v>28000</v>
      </c>
      <c r="N5" s="20">
        <f>IF(COUNT(B5:M5)=0,"",SUM(B5:M5))</f>
        <v/>
      </c>
    </row>
    <row r="6">
      <c r="A6" s="23" t="inlineStr">
        <is>
          <t>Custos fixos previstos</t>
        </is>
      </c>
      <c r="B6" s="34" t="n">
        <v>6500</v>
      </c>
      <c r="C6" s="34" t="n">
        <v>6500</v>
      </c>
      <c r="D6" s="34" t="n">
        <v>6500</v>
      </c>
      <c r="E6" s="34" t="n">
        <v>6500</v>
      </c>
      <c r="F6" s="34" t="n">
        <v>6500</v>
      </c>
      <c r="G6" s="34" t="n">
        <v>6500</v>
      </c>
      <c r="H6" s="34" t="n">
        <v>6500</v>
      </c>
      <c r="I6" s="34" t="n">
        <v>6500</v>
      </c>
      <c r="J6" s="34" t="n">
        <v>6500</v>
      </c>
      <c r="K6" s="34" t="n">
        <v>6500</v>
      </c>
      <c r="L6" s="34" t="n">
        <v>6500</v>
      </c>
      <c r="M6" s="34" t="n">
        <v>6500</v>
      </c>
      <c r="N6" s="20">
        <f>IF(COUNT(B6:M6)=0,"",SUM(B6:M6))</f>
        <v/>
      </c>
    </row>
    <row r="7">
      <c r="A7" s="23" t="inlineStr">
        <is>
          <t>Pró-labore previsto</t>
        </is>
      </c>
      <c r="B7" s="34" t="n">
        <v>12000</v>
      </c>
      <c r="C7" s="34" t="n">
        <v>12000</v>
      </c>
      <c r="D7" s="34" t="n">
        <v>12000</v>
      </c>
      <c r="E7" s="34" t="n">
        <v>12000</v>
      </c>
      <c r="F7" s="34" t="n">
        <v>12000</v>
      </c>
      <c r="G7" s="34" t="n">
        <v>12000</v>
      </c>
      <c r="H7" s="34" t="n">
        <v>12000</v>
      </c>
      <c r="I7" s="34" t="n">
        <v>12000</v>
      </c>
      <c r="J7" s="34" t="n">
        <v>12000</v>
      </c>
      <c r="K7" s="34" t="n">
        <v>12000</v>
      </c>
      <c r="L7" s="34" t="n">
        <v>12000</v>
      </c>
      <c r="M7" s="34" t="n">
        <v>12000</v>
      </c>
      <c r="N7" s="20">
        <f>IF(COUNT(B7:M7)=0,"",SUM(B7:M7))</f>
        <v/>
      </c>
    </row>
    <row r="8">
      <c r="A8" s="23" t="inlineStr">
        <is>
          <t>Impostos previstos (% da receita, Config)</t>
        </is>
      </c>
      <c r="B8" s="20">
        <f>IF(B5="","",ROUND(B5*Config!$B$7,0))</f>
        <v/>
      </c>
      <c r="C8" s="20">
        <f>IF(C5="","",ROUND(C5*Config!$B$7,0))</f>
        <v/>
      </c>
      <c r="D8" s="20">
        <f>IF(D5="","",ROUND(D5*Config!$B$7,0))</f>
        <v/>
      </c>
      <c r="E8" s="20">
        <f>IF(E5="","",ROUND(E5*Config!$B$7,0))</f>
        <v/>
      </c>
      <c r="F8" s="20">
        <f>IF(F5="","",ROUND(F5*Config!$B$7,0))</f>
        <v/>
      </c>
      <c r="G8" s="20">
        <f>IF(G5="","",ROUND(G5*Config!$B$7,0))</f>
        <v/>
      </c>
      <c r="H8" s="20">
        <f>IF(H5="","",ROUND(H5*Config!$B$7,0))</f>
        <v/>
      </c>
      <c r="I8" s="20">
        <f>IF(I5="","",ROUND(I5*Config!$B$7,0))</f>
        <v/>
      </c>
      <c r="J8" s="20">
        <f>IF(J5="","",ROUND(J5*Config!$B$7,0))</f>
        <v/>
      </c>
      <c r="K8" s="20">
        <f>IF(K5="","",ROUND(K5*Config!$B$7,0))</f>
        <v/>
      </c>
      <c r="L8" s="20">
        <f>IF(L5="","",ROUND(L5*Config!$B$7,0))</f>
        <v/>
      </c>
      <c r="M8" s="20">
        <f>IF(M5="","",ROUND(M5*Config!$B$7,0))</f>
        <v/>
      </c>
      <c r="N8" s="20">
        <f>IF(COUNT(B8:M8)=0,"",SUM(B8:M8))</f>
        <v/>
      </c>
    </row>
    <row r="9">
      <c r="A9" s="19" t="inlineStr">
        <is>
          <t>Saídas previstas</t>
        </is>
      </c>
      <c r="B9" s="20">
        <f>IF(B5="","",N(B6)+N(B7)+B8)</f>
        <v/>
      </c>
      <c r="C9" s="20">
        <f>IF(C5="","",N(C6)+N(C7)+C8)</f>
        <v/>
      </c>
      <c r="D9" s="20">
        <f>IF(D5="","",N(D6)+N(D7)+D8)</f>
        <v/>
      </c>
      <c r="E9" s="20">
        <f>IF(E5="","",N(E6)+N(E7)+E8)</f>
        <v/>
      </c>
      <c r="F9" s="20">
        <f>IF(F5="","",N(F6)+N(F7)+F8)</f>
        <v/>
      </c>
      <c r="G9" s="20">
        <f>IF(G5="","",N(G6)+N(G7)+G8)</f>
        <v/>
      </c>
      <c r="H9" s="20">
        <f>IF(H5="","",N(H6)+N(H7)+H8)</f>
        <v/>
      </c>
      <c r="I9" s="20">
        <f>IF(I5="","",N(I6)+N(I7)+I8)</f>
        <v/>
      </c>
      <c r="J9" s="20">
        <f>IF(J5="","",N(J6)+N(J7)+J8)</f>
        <v/>
      </c>
      <c r="K9" s="20">
        <f>IF(K5="","",N(K6)+N(K7)+K8)</f>
        <v/>
      </c>
      <c r="L9" s="20">
        <f>IF(L5="","",N(L6)+N(L7)+L8)</f>
        <v/>
      </c>
      <c r="M9" s="20">
        <f>IF(M5="","",N(M6)+N(M7)+M8)</f>
        <v/>
      </c>
      <c r="N9" s="20">
        <f>IF(COUNT(B9:M9)=0,"",SUM(B9:M9))</f>
        <v/>
      </c>
    </row>
    <row r="10">
      <c r="A10" s="19" t="inlineStr">
        <is>
          <t>Resultado previsto</t>
        </is>
      </c>
      <c r="B10" s="20">
        <f>IF(B5="","",B5-B9)</f>
        <v/>
      </c>
      <c r="C10" s="20">
        <f>IF(C5="","",C5-C9)</f>
        <v/>
      </c>
      <c r="D10" s="20">
        <f>IF(D5="","",D5-D9)</f>
        <v/>
      </c>
      <c r="E10" s="20">
        <f>IF(E5="","",E5-E9)</f>
        <v/>
      </c>
      <c r="F10" s="20">
        <f>IF(F5="","",F5-F9)</f>
        <v/>
      </c>
      <c r="G10" s="20">
        <f>IF(G5="","",G5-G9)</f>
        <v/>
      </c>
      <c r="H10" s="20">
        <f>IF(H5="","",H5-H9)</f>
        <v/>
      </c>
      <c r="I10" s="20">
        <f>IF(I5="","",I5-I9)</f>
        <v/>
      </c>
      <c r="J10" s="20">
        <f>IF(J5="","",J5-J9)</f>
        <v/>
      </c>
      <c r="K10" s="20">
        <f>IF(K5="","",K5-K9)</f>
        <v/>
      </c>
      <c r="L10" s="20">
        <f>IF(L5="","",L5-L9)</f>
        <v/>
      </c>
      <c r="M10" s="20">
        <f>IF(M5="","",M5-M9)</f>
        <v/>
      </c>
      <c r="N10" s="20">
        <f>IF(COUNT(B10:M10)=0,"",SUM(B10:M10))</f>
        <v/>
      </c>
    </row>
    <row r="11">
      <c r="A11" s="19" t="inlineStr">
        <is>
          <t>Margem prevista</t>
        </is>
      </c>
      <c r="B11" s="24">
        <f>IF(OR(B5="",B5=0),"",B10/B5)</f>
        <v/>
      </c>
      <c r="C11" s="24">
        <f>IF(OR(C5="",C5=0),"",C10/C5)</f>
        <v/>
      </c>
      <c r="D11" s="24">
        <f>IF(OR(D5="",D5=0),"",D10/D5)</f>
        <v/>
      </c>
      <c r="E11" s="24">
        <f>IF(OR(E5="",E5=0),"",E10/E5)</f>
        <v/>
      </c>
      <c r="F11" s="24">
        <f>IF(OR(F5="",F5=0),"",F10/F5)</f>
        <v/>
      </c>
      <c r="G11" s="24">
        <f>IF(OR(G5="",G5=0),"",G10/G5)</f>
        <v/>
      </c>
      <c r="H11" s="24">
        <f>IF(OR(H5="",H5=0),"",H10/H5)</f>
        <v/>
      </c>
      <c r="I11" s="24">
        <f>IF(OR(I5="",I5=0),"",I10/I5)</f>
        <v/>
      </c>
      <c r="J11" s="24">
        <f>IF(OR(J5="",J5=0),"",J10/J5)</f>
        <v/>
      </c>
      <c r="K11" s="24">
        <f>IF(OR(K5="",K5=0),"",K10/K5)</f>
        <v/>
      </c>
      <c r="L11" s="24">
        <f>IF(OR(L5="",L5=0),"",L10/L5)</f>
        <v/>
      </c>
      <c r="M11" s="24">
        <f>IF(OR(M5="",M5=0),"",M10/M5)</f>
        <v/>
      </c>
      <c r="N11" s="24">
        <f>IF(OR(N5="",N5=0),"",N10/N5)</f>
        <v/>
      </c>
    </row>
    <row r="13">
      <c r="A13" s="6" t="inlineStr">
        <is>
          <t>Uma boa previsão de custos fixos é a média dos últimos três meses; de receita, o que já está contratado para o mês mais o que costuma fechar.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3:N1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Resultado Mensal · Kit de Gestão para Advogados</dc:title>
  <dcterms:created xmlns:dcterms="http://purl.org/dc/terms/" xmlns:xsi="http://www.w3.org/2001/XMLSchema-instance" xsi:type="dcterms:W3CDTF">2026-09-14T09:39:45Z</dcterms:created>
  <dcterms:modified xmlns:dcterms="http://purl.org/dc/terms/" xmlns:xsi="http://www.w3.org/2001/XMLSchema-instance" xsi:type="dcterms:W3CDTF">2026-09-14T09:39:45Z</dcterms:modified>
</cp:coreProperties>
</file>