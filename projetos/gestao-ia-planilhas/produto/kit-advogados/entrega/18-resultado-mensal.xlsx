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sultado" sheetId="4" state="visible" r:id="rId4"/>
    <sheet xmlns:r="http://schemas.openxmlformats.org/officeDocument/2006/relationships" name="Previst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R$&quot; #,##0;[Red]-&quot;R$&quot; #,##0"/>
    <numFmt numFmtId="166" formatCode="+0.0%;-0.0%;0.0%"/>
    <numFmt numFmtId="167" formatCode="+0.0&quot; p.p.&quot;;-0.0&quot; p.p.&quot;;0.0&quot; p.p.&quot;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11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165" fontId="11" fillId="5" borderId="0" applyAlignment="1" pivotButton="0" quotePrefix="0" xfId="0">
      <alignment horizontal="center"/>
    </xf>
    <xf numFmtId="164" fontId="1" fillId="6" borderId="0" applyAlignment="1" pivotButton="0" quotePrefix="0" xfId="0">
      <alignment horizontal="center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0" borderId="1" pivotButton="0" quotePrefix="0" xfId="0"/>
    <xf numFmtId="165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0" borderId="1" pivotButton="0" quotePrefix="0" xfId="0"/>
    <xf numFmtId="164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164" fontId="4" fillId="2" borderId="1" applyProtection="1" pivotButton="0" quotePrefix="0" xfId="0">
      <protection locked="0" hidden="0"/>
    </xf>
    <xf numFmtId="0" fontId="7" fillId="4" borderId="0" pivotButton="0" quotePrefix="0" xfId="0"/>
    <xf numFmtId="165" fontId="4" fillId="2" borderId="1" applyAlignment="1" applyProtection="1" pivotButton="0" quotePrefix="0" xfId="0">
      <alignment horizontal="center"/>
      <protection locked="0" hidden="0"/>
    </xf>
    <xf numFmtId="165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Arial"/>
        <b val="1"/>
        <color rgb="007A1F1F"/>
        <sz val="16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plotArea>
      <barChart>
        <barDir val="col"/>
        <grouping val="clustered"/>
        <ser>
          <idx val="0"/>
          <order val="0"/>
          <tx>
            <strRef>
              <f>'Resultado'!A12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solidFill>
                <a:srgbClr val="3B1F5E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'Resultado'!$B$12:$M$12</f>
            </numRef>
          </val>
        </ser>
        <ser>
          <idx val="1"/>
          <order val="1"/>
          <tx>
            <strRef>
              <f>'Resultado'!A32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solidFill>
                <a:srgbClr val="7A5AA8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'Resultado'!$B$32:$M$32</f>
            </numRef>
          </val>
        </ser>
        <ser>
          <idx val="2"/>
          <order val="2"/>
          <tx>
            <strRef>
              <f>'Resultado'!A33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solidFill>
                <a:srgbClr val="FFC83D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'Resultado'!$B$33:$M$33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86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Resultado Mensal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Uma DRE simplificada do escritório: receita por categoria (as mesmas do caixa), custos fixos, despesas de casos e viagens, pró-labore fixo, impostos provisionados como % da receita, resultado e margem, mês a mês. Compara o mês com o anterior e com o que você previu.</t>
        </is>
      </c>
    </row>
    <row r="5" ht="46" customHeight="1">
      <c r="A5" s="3" t="inlineStr">
        <is>
          <t>Passo 1</t>
        </is>
      </c>
      <c r="B5" s="4" t="inlineStr">
        <is>
          <t>Em Config, informe o ano, o mês de análise (o último mês fechado) e a % de impostos a provisionar (peça ao contador a alíquota efetiva).</t>
        </is>
      </c>
    </row>
    <row r="6" ht="46" customHeight="1">
      <c r="A6" s="3" t="inlineStr">
        <is>
          <t>Passo 2</t>
        </is>
      </c>
      <c r="B6" s="4" t="inlineStr">
        <is>
          <t>Em Resultado, preencha por mês o que entrou em cada categoria e o que saiu em cada linha de custo fixo, despesa de casos e pró-labore. Os totais por categoria estão no Painel da planilha 09 · Caixa do escritório ("De onde veio" e "Para onde foi o dinheiro").</t>
        </is>
      </c>
    </row>
    <row r="7" ht="46" customHeight="1">
      <c r="A7" s="3" t="inlineStr">
        <is>
          <t>Passo 3</t>
        </is>
      </c>
      <c r="B7" s="4" t="inlineStr">
        <is>
          <t>Em Previsto, escreva o que espera de receita, custos fixos, despesas e pró-labore para cada mês. Pode ser o mesmo valor o ano inteiro.</t>
        </is>
      </c>
    </row>
    <row r="8" ht="46" customHeight="1">
      <c r="A8" s="3" t="inlineStr">
        <is>
          <t>Passo 4</t>
        </is>
      </c>
      <c r="B8" s="4" t="inlineStr">
        <is>
          <t>Abra Painel: receita, saídas, resultado e margem do mês, comparação com o mês anterior e com o previsto (variação da margem em p.p.), receita por categoria e o gráfico do ano.</t>
        </is>
      </c>
    </row>
    <row r="9" ht="46" customHeight="1">
      <c r="A9" s="3" t="inlineStr">
        <is>
          <t>Fim do mês</t>
        </is>
      </c>
      <c r="B9" s="4" t="inlineStr">
        <is>
          <t>Depois de fechar o caixa, lance o mês aqui e troque o mês em Config. Leva 10 minutos. No exemplo, o mês analisado é agosto de 2026 (setembro ainda está em andamento).</t>
        </is>
      </c>
    </row>
    <row r="10" ht="46" customHeight="1">
      <c r="A10" s="3" t="inlineStr">
        <is>
          <t>Com a IA</t>
        </is>
      </c>
      <c r="B10" s="4" t="inlineStr">
        <is>
          <t>Copie a tabela do Painel para o prompt "Painel 01 · Explicar o mês ao sócio", "Caixa 02 · Comparar dois meses do resultado" ou "Caixa 04 · Preparar a reunião mensal com o contador" da biblioteca do kit. A planilha 20 · Resumo do mês já escreve o texto-base.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3" customWidth="1" min="5" max="5"/>
    <col width="14" customWidth="1" min="6" max="6"/>
    <col width="13" customWidth="1" min="7" max="7"/>
    <col width="18" customWidth="1" min="8" max="8"/>
  </cols>
  <sheetData>
    <row r="1">
      <c r="A1" s="5" t="str">
        <f>Config!B4&amp;" · Resultado mensal · "&amp;Config!B6&amp;" de "&amp;Config!B5</f>
        <v>Ferraz &amp; Lima Advocacia (exemplo fictício) · Resultado mensal · Agosto de 2026</v>
      </c>
    </row>
    <row r="2">
      <c r="A2" s="6" t="inlineStr">
        <is>
          <t>Nada para digitar aqui. Escolha o mês em Config; os números vêm de Resultado e de Previsto.</t>
        </is>
      </c>
    </row>
    <row r="4">
      <c r="A4" s="7" t="inlineStr">
        <is>
          <t>Receita do mês</t>
        </is>
      </c>
      <c r="B4" s="8" t="n"/>
      <c r="C4" s="7" t="inlineStr">
        <is>
          <t>Saídas do mês</t>
        </is>
      </c>
      <c r="D4" s="8" t="n"/>
      <c r="E4" s="9" t="inlineStr">
        <is>
          <t>Resultado</t>
        </is>
      </c>
      <c r="F4" s="10" t="n"/>
      <c r="G4" s="11" t="inlineStr">
        <is>
          <t>Margem</t>
        </is>
      </c>
      <c r="H4" s="12" t="n"/>
    </row>
    <row r="5" ht="30" customHeight="1">
      <c r="A5" s="13">
        <f>IF(INDEX(Resultado!$B$12:$M$12,Config!$B$8)="","—",INDEX(Resultado!$B$12:$M$12,Config!$B$8))</f>
        <v>26900</v>
      </c>
      <c r="B5" s="8" t="n"/>
      <c r="C5" s="13">
        <f>IF(INDEX(Resultado!$B$32:$M$32,Config!$B$8)="","—",INDEX(Resultado!$B$32:$M$32,Config!$B$8))</f>
        <v>21212</v>
      </c>
      <c r="D5" s="8" t="n"/>
      <c r="E5" s="14">
        <f>IF(INDEX(Resultado!$B$33:$M$33,Config!$B$8)="","—",INDEX(Resultado!$B$33:$M$33,Config!$B$8))</f>
        <v>5688</v>
      </c>
      <c r="F5" s="10" t="n"/>
      <c r="G5" s="15">
        <f>IF(INDEX(Resultado!$B$34:$M$34,Config!$B$8)="","—",INDEX(Resultado!$B$34:$M$34,Config!$B$8))</f>
        <v>0.211449814126394</v>
      </c>
      <c r="H5" s="12" t="n"/>
    </row>
    <row r="7">
      <c r="A7" s="16" t="inlineStr">
        <is>
          <t>Comparação com o mês anterior e com o previsto</t>
        </is>
      </c>
    </row>
    <row r="8" ht="26" customHeight="1">
      <c r="A8" s="17" t="inlineStr">
        <is>
          <t>Linha</t>
        </is>
      </c>
      <c r="B8" s="18" t="n"/>
      <c r="C8" s="17" t="inlineStr">
        <is>
          <t>Mês</t>
        </is>
      </c>
      <c r="D8" s="17" t="inlineStr">
        <is>
          <t>Mês anterior</t>
        </is>
      </c>
      <c r="E8" s="17" t="inlineStr">
        <is>
          <t>Variação</t>
        </is>
      </c>
      <c r="F8" s="17" t="inlineStr">
        <is>
          <t>Previsto</t>
        </is>
      </c>
      <c r="G8" s="17" t="inlineStr">
        <is>
          <t>Vs. previsto</t>
        </is>
      </c>
      <c r="H8" s="17" t="inlineStr">
        <is>
          <t>Situação</t>
        </is>
      </c>
    </row>
    <row r="9">
      <c r="A9" s="19" t="inlineStr">
        <is>
          <t>Receita total</t>
        </is>
      </c>
      <c r="B9" s="18" t="n"/>
      <c r="C9" s="20">
        <f>IF(INDEX(Resultado!$B$12:$M$12,Config!$B$8)="","—",INDEX(Resultado!$B$12:$M$12,Config!$B$8))</f>
        <v>26900</v>
      </c>
      <c r="D9" s="20">
        <f>IF(Config!$B$8&lt;=1,"—",IF(INDEX(Resultado!$B$12:$M$12,Config!$B$8-1)="","—",INDEX(Resultado!$B$12:$M$12,Config!$B$8-1)))</f>
        <v>29460</v>
      </c>
      <c r="E9" s="21">
        <f>IF(OR(C9="—",D9="—",D9=0),"—",(C9-D9)/ABS(D9))</f>
        <v>-0.086897488119484</v>
      </c>
      <c r="F9" s="20">
        <f>IF(INDEX(Previsto!$B$5:$M$5,Config!$B$8)="","—",INDEX(Previsto!$B$5:$M$5,Config!$B$8))</f>
        <v>27000</v>
      </c>
      <c r="G9" s="21">
        <f>IF(OR(C9="—",F9="—",F9=0),"—",(C9-F9)/ABS(F9))</f>
        <v>-0.0037037037037037</v>
      </c>
      <c r="H9" s="22" t="str">
        <f>IF(OR(C9="—",F9="—"),"—",IF(C9&gt;=F9,"Dentro do previsto",IF(C9&gt;=F9*0.95,"Perto","Fora do previsto")))</f>
        <v>Perto</v>
      </c>
    </row>
    <row r="10">
      <c r="A10" s="23" t="inlineStr">
        <is>
          <t>Custos fixos</t>
        </is>
      </c>
      <c r="B10" s="18" t="n"/>
      <c r="C10" s="20">
        <f>IF(INDEX(Resultado!$B$22:$M$22,Config!$B$8)="","—",INDEX(Resultado!$B$22:$M$22,Config!$B$8))</f>
        <v>6500</v>
      </c>
      <c r="D10" s="20">
        <f>IF(Config!$B$8&lt;=1,"—",IF(INDEX(Resultado!$B$22:$M$22,Config!$B$8-1)="","—",INDEX(Resultado!$B$22:$M$22,Config!$B$8-1)))</f>
        <v>6500</v>
      </c>
      <c r="E10" s="21">
        <f>IF(OR(C10="—",D10="—",D10=0),"—",(C10-D10)/ABS(D10))</f>
        <v>0</v>
      </c>
      <c r="F10" s="20">
        <f>IF(INDEX(Previsto!$B$6:$M$6,Config!$B$8)="","—",INDEX(Previsto!$B$6:$M$6,Config!$B$8))</f>
        <v>6500</v>
      </c>
      <c r="G10" s="21">
        <f>IF(OR(C10="—",F10="—",F10=0),"—",(C10-F10)/ABS(F10))</f>
        <v>0</v>
      </c>
      <c r="H10" s="22" t="str">
        <f>IF(OR(C10="—",F10="—"),"—",IF(C10&lt;=F10,"Dentro do previsto",IF(C10&lt;=F10*1.05,"Perto","Fora do previsto")))</f>
        <v>Dentro do previsto</v>
      </c>
    </row>
    <row r="11">
      <c r="A11" s="23" t="inlineStr">
        <is>
          <t>Despesas de casos e viagens</t>
        </is>
      </c>
      <c r="B11" s="18" t="n"/>
      <c r="C11" s="20">
        <f>IF(INDEX(Resultado!$B$26:$M$26,Config!$B$8)="","—",INDEX(Resultado!$B$26:$M$26,Config!$B$8))</f>
        <v>560</v>
      </c>
      <c r="D11" s="20">
        <f>IF(Config!$B$8&lt;=1,"—",IF(INDEX(Resultado!$B$26:$M$26,Config!$B$8-1)="","—",INDEX(Resultado!$B$26:$M$26,Config!$B$8-1)))</f>
        <v>310</v>
      </c>
      <c r="E11" s="21">
        <f>IF(OR(C11="—",D11="—",D11=0),"—",(C11-D11)/ABS(D11))</f>
        <v>0.806451612903226</v>
      </c>
      <c r="F11" s="20">
        <f>IF(INDEX(Previsto!$B$7:$M$7,Config!$B$8)="","—",INDEX(Previsto!$B$7:$M$7,Config!$B$8))</f>
        <v>400</v>
      </c>
      <c r="G11" s="21">
        <f>IF(OR(C11="—",F11="—",F11=0),"—",(C11-F11)/ABS(F11))</f>
        <v>0.4</v>
      </c>
      <c r="H11" s="22" t="str">
        <f>IF(OR(C11="—",F11="—"),"—",IF(C11&lt;=F11,"Dentro do previsto",IF(C11&lt;=F11*1.05,"Perto","Fora do previsto")))</f>
        <v>Fora do previsto</v>
      </c>
    </row>
    <row r="12">
      <c r="A12" s="23" t="inlineStr">
        <is>
          <t>Pró-labore</t>
        </is>
      </c>
      <c r="B12" s="18" t="n"/>
      <c r="C12" s="20">
        <f>IF(INDEX(Resultado!$B$30:$M$30,Config!$B$8)="","—",INDEX(Resultado!$B$30:$M$30,Config!$B$8))</f>
        <v>12000</v>
      </c>
      <c r="D12" s="20">
        <f>IF(Config!$B$8&lt;=1,"—",IF(INDEX(Resultado!$B$30:$M$30,Config!$B$8-1)="","—",INDEX(Resultado!$B$30:$M$30,Config!$B$8-1)))</f>
        <v>12000</v>
      </c>
      <c r="E12" s="21">
        <f>IF(OR(C12="—",D12="—",D12=0),"—",(C12-D12)/ABS(D12))</f>
        <v>0</v>
      </c>
      <c r="F12" s="20">
        <f>IF(INDEX(Previsto!$B$8:$M$8,Config!$B$8)="","—",INDEX(Previsto!$B$8:$M$8,Config!$B$8))</f>
        <v>12000</v>
      </c>
      <c r="G12" s="21">
        <f>IF(OR(C12="—",F12="—",F12=0),"—",(C12-F12)/ABS(F12))</f>
        <v>0</v>
      </c>
      <c r="H12" s="22" t="inlineStr">
        <is>
          <t>Informativo</t>
        </is>
      </c>
    </row>
    <row r="13">
      <c r="A13" s="23" t="inlineStr">
        <is>
          <t>Impostos provisionados</t>
        </is>
      </c>
      <c r="B13" s="18" t="n"/>
      <c r="C13" s="20">
        <f>IF(INDEX(Resultado!$B$31:$M$31,Config!$B$8)="","—",INDEX(Resultado!$B$31:$M$31,Config!$B$8))</f>
        <v>2152</v>
      </c>
      <c r="D13" s="20">
        <f>IF(Config!$B$8&lt;=1,"—",IF(INDEX(Resultado!$B$31:$M$31,Config!$B$8-1)="","—",INDEX(Resultado!$B$31:$M$31,Config!$B$8-1)))</f>
        <v>2357</v>
      </c>
      <c r="E13" s="21">
        <f>IF(OR(C13="—",D13="—",D13=0),"—",(C13-D13)/ABS(D13))</f>
        <v>-0.0869749681798897</v>
      </c>
      <c r="F13" s="20">
        <f>IF(INDEX(Previsto!$B$9:$M$9,Config!$B$8)="","—",INDEX(Previsto!$B$9:$M$9,Config!$B$8))</f>
        <v>2160</v>
      </c>
      <c r="G13" s="21">
        <f>IF(OR(C13="—",F13="—",F13=0),"—",(C13-F13)/ABS(F13))</f>
        <v>-0.0037037037037037</v>
      </c>
      <c r="H13" s="22" t="inlineStr">
        <is>
          <t>Informativo</t>
        </is>
      </c>
    </row>
    <row r="14">
      <c r="A14" s="19" t="inlineStr">
        <is>
          <t>Total de saídas</t>
        </is>
      </c>
      <c r="B14" s="18" t="n"/>
      <c r="C14" s="20">
        <f>IF(INDEX(Resultado!$B$32:$M$32,Config!$B$8)="","—",INDEX(Resultado!$B$32:$M$32,Config!$B$8))</f>
        <v>21212</v>
      </c>
      <c r="D14" s="20">
        <f>IF(Config!$B$8&lt;=1,"—",IF(INDEX(Resultado!$B$32:$M$32,Config!$B$8-1)="","—",INDEX(Resultado!$B$32:$M$32,Config!$B$8-1)))</f>
        <v>21167</v>
      </c>
      <c r="E14" s="21">
        <f>IF(OR(C14="—",D14="—",D14=0),"—",(C14-D14)/ABS(D14))</f>
        <v>0.00212595077242878</v>
      </c>
      <c r="F14" s="20">
        <f>IF(INDEX(Previsto!$B$10:$M$10,Config!$B$8)="","—",INDEX(Previsto!$B$10:$M$10,Config!$B$8))</f>
        <v>21060</v>
      </c>
      <c r="G14" s="21">
        <f>IF(OR(C14="—",F14="—",F14=0),"—",(C14-F14)/ABS(F14))</f>
        <v>0.00721747388414055</v>
      </c>
      <c r="H14" s="22" t="str">
        <f>IF(OR(C14="—",F14="—"),"—",IF(C14&lt;=F14,"Dentro do previsto",IF(C14&lt;=F14*1.05,"Perto","Fora do previsto")))</f>
        <v>Perto</v>
      </c>
    </row>
    <row r="15">
      <c r="A15" s="19" t="inlineStr">
        <is>
          <t>Resultado do mês</t>
        </is>
      </c>
      <c r="B15" s="18" t="n"/>
      <c r="C15" s="20">
        <f>IF(INDEX(Resultado!$B$33:$M$33,Config!$B$8)="","—",INDEX(Resultado!$B$33:$M$33,Config!$B$8))</f>
        <v>5688</v>
      </c>
      <c r="D15" s="20">
        <f>IF(Config!$B$8&lt;=1,"—",IF(INDEX(Resultado!$B$33:$M$33,Config!$B$8-1)="","—",INDEX(Resultado!$B$33:$M$33,Config!$B$8-1)))</f>
        <v>8293</v>
      </c>
      <c r="E15" s="21">
        <f>IF(OR(C15="—",D15="—",D15=0),"—",(C15-D15)/ABS(D15))</f>
        <v>-0.314120342457494</v>
      </c>
      <c r="F15" s="20">
        <f>IF(INDEX(Previsto!$B$11:$M$11,Config!$B$8)="","—",INDEX(Previsto!$B$11:$M$11,Config!$B$8))</f>
        <v>5940</v>
      </c>
      <c r="G15" s="21">
        <f>IF(OR(C15="—",F15="—",F15=0),"—",(C15-F15)/ABS(F15))</f>
        <v>-0.0424242424242424</v>
      </c>
      <c r="H15" s="22" t="str">
        <f>IF(OR(C15="—",F15="—"),"—",IF(C15&gt;=F15,"Dentro do previsto",IF(C15&gt;=F15*0.95,"Perto","Fora do previsto")))</f>
        <v>Perto</v>
      </c>
    </row>
    <row r="16">
      <c r="A16" s="23" t="inlineStr">
        <is>
          <t>Margem</t>
        </is>
      </c>
      <c r="B16" s="18" t="n"/>
      <c r="C16" s="24">
        <f>IF(INDEX(Resultado!$B$34:$M$34,Config!$B$8)="","—",INDEX(Resultado!$B$34:$M$34,Config!$B$8))</f>
        <v>0.211449814126394</v>
      </c>
      <c r="D16" s="24">
        <f>IF(Config!$B$8&lt;=1,"—",IF(INDEX(Resultado!$B$34:$M$34,Config!$B$8-1)="","—",INDEX(Resultado!$B$34:$M$34,Config!$B$8-1)))</f>
        <v>0.281500339443313</v>
      </c>
      <c r="E16" s="25">
        <f>IF(OR(C16="—",D16="—"),"—",(C16-D16)*100)</f>
        <v>-7.00505253169189</v>
      </c>
      <c r="F16" s="24">
        <f>IF(INDEX(Previsto!$B$12:$M$12,Config!$B$8)="","—",INDEX(Previsto!$B$12:$M$12,Config!$B$8))</f>
        <v>0.22</v>
      </c>
      <c r="G16" s="25">
        <f>IF(OR(C16="—",F16="—"),"—",(C16-F16)*100)</f>
        <v>-0.855018587360595</v>
      </c>
      <c r="H16" s="22" t="str">
        <f>IF(OR(C16="—",F16="—"),"—",IF(C16&gt;=F16,"Dentro do previsto",IF(C16&gt;=F16*0.95,"Perto","Fora do previsto")))</f>
        <v>Perto</v>
      </c>
    </row>
    <row r="18">
      <c r="A18" s="16" t="inlineStr">
        <is>
          <t>Receita do mês por categoria</t>
        </is>
      </c>
    </row>
    <row r="19" ht="26" customHeight="1">
      <c r="A19" s="17" t="inlineStr">
        <is>
          <t>Categoria</t>
        </is>
      </c>
      <c r="B19" s="18" t="n"/>
      <c r="C19" s="17" t="inlineStr">
        <is>
          <t>Mês</t>
        </is>
      </c>
      <c r="D19" s="17" t="inlineStr">
        <is>
          <t>Mês anterior</t>
        </is>
      </c>
      <c r="E19" s="17" t="inlineStr">
        <is>
          <t>Variação</t>
        </is>
      </c>
      <c r="F19" s="17" t="inlineStr">
        <is>
          <t>% da receita</t>
        </is>
      </c>
    </row>
    <row r="20">
      <c r="A20" s="23" t="inlineStr">
        <is>
          <t>Honorários fixos</t>
        </is>
      </c>
      <c r="B20" s="18" t="n"/>
      <c r="C20" s="20">
        <f>IF(INDEX(Resultado!$B$6:$M$6,Config!$B$8)="","—",INDEX(Resultado!$B$6:$M$6,Config!$B$8))</f>
        <v>15300</v>
      </c>
      <c r="D20" s="20">
        <f>IF(Config!$B$8&lt;=1,"—",IF(INDEX(Resultado!$B$6:$M$6,Config!$B$8-1)="","—",INDEX(Resultado!$B$6:$M$6,Config!$B$8-1)))</f>
        <v>20900</v>
      </c>
      <c r="E20" s="21">
        <f>IF(OR(C20="—",D20="—",D20=0),"—",(C20-D20)/ABS(D20))</f>
        <v>-0.267942583732057</v>
      </c>
      <c r="F20" s="26">
        <f>IF(OR(C20="—",C9="—",C9=0),"—",C20/C9)</f>
        <v>0.568773234200744</v>
      </c>
    </row>
    <row r="21">
      <c r="A21" s="23" t="inlineStr">
        <is>
          <t>Honorários por hora</t>
        </is>
      </c>
      <c r="B21" s="18" t="n"/>
      <c r="C21" s="20">
        <f>IF(INDEX(Resultado!$B$7:$M$7,Config!$B$8)="","—",INDEX(Resultado!$B$7:$M$7,Config!$B$8))</f>
        <v>0</v>
      </c>
      <c r="D21" s="20">
        <f>IF(Config!$B$8&lt;=1,"—",IF(INDEX(Resultado!$B$7:$M$7,Config!$B$8-1)="","—",INDEX(Resultado!$B$7:$M$7,Config!$B$8-1)))</f>
        <v>2340</v>
      </c>
      <c r="E21" s="21">
        <f>IF(OR(C21="—",D21="—",D21=0),"—",(C21-D21)/ABS(D21))</f>
        <v>-1</v>
      </c>
      <c r="F21" s="26">
        <f>IF(OR(C21="—",C9="—",C9=0),"—",C21/C9)</f>
        <v>0</v>
      </c>
    </row>
    <row r="22">
      <c r="A22" s="23" t="inlineStr">
        <is>
          <t>Honorários de êxito</t>
        </is>
      </c>
      <c r="B22" s="18" t="n"/>
      <c r="C22" s="20">
        <f>IF(INDEX(Resultado!$B$8:$M$8,Config!$B$8)="","—",INDEX(Resultado!$B$8:$M$8,Config!$B$8))</f>
        <v>0</v>
      </c>
      <c r="D22" s="20">
        <f>IF(Config!$B$8&lt;=1,"—",IF(INDEX(Resultado!$B$8:$M$8,Config!$B$8-1)="","—",INDEX(Resultado!$B$8:$M$8,Config!$B$8-1)))</f>
        <v>0</v>
      </c>
      <c r="E22" s="21" t="str">
        <f>IF(OR(C22="—",D22="—",D22=0),"—",(C22-D22)/ABS(D22))</f>
        <v>—</v>
      </c>
      <c r="F22" s="26">
        <f>IF(OR(C22="—",C9="—",C9=0),"—",C22/C9)</f>
        <v>0</v>
      </c>
    </row>
    <row r="23">
      <c r="A23" s="23" t="inlineStr">
        <is>
          <t>Consultoria e pareceres</t>
        </is>
      </c>
      <c r="B23" s="18" t="n"/>
      <c r="C23" s="20">
        <f>IF(INDEX(Resultado!$B$9:$M$9,Config!$B$8)="","—",INDEX(Resultado!$B$9:$M$9,Config!$B$8))</f>
        <v>11290</v>
      </c>
      <c r="D23" s="20">
        <f>IF(Config!$B$8&lt;=1,"—",IF(INDEX(Resultado!$B$9:$M$9,Config!$B$8-1)="","—",INDEX(Resultado!$B$9:$M$9,Config!$B$8-1)))</f>
        <v>5680</v>
      </c>
      <c r="E23" s="21">
        <f>IF(OR(C23="—",D23="—",D23=0),"—",(C23-D23)/ABS(D23))</f>
        <v>0.987676056338028</v>
      </c>
      <c r="F23" s="26">
        <f>IF(OR(C23="—",C9="—",C9=0),"—",C23/C9)</f>
        <v>0.419702602230483</v>
      </c>
    </row>
    <row r="24">
      <c r="A24" s="23" t="inlineStr">
        <is>
          <t>Reembolso de custas</t>
        </is>
      </c>
      <c r="B24" s="18" t="n"/>
      <c r="C24" s="20">
        <f>IF(INDEX(Resultado!$B$10:$M$10,Config!$B$8)="","—",INDEX(Resultado!$B$10:$M$10,Config!$B$8))</f>
        <v>310</v>
      </c>
      <c r="D24" s="20">
        <f>IF(Config!$B$8&lt;=1,"—",IF(INDEX(Resultado!$B$10:$M$10,Config!$B$8-1)="","—",INDEX(Resultado!$B$10:$M$10,Config!$B$8-1)))</f>
        <v>540</v>
      </c>
      <c r="E24" s="21">
        <f>IF(OR(C24="—",D24="—",D24=0),"—",(C24-D24)/ABS(D24))</f>
        <v>-0.425925925925926</v>
      </c>
      <c r="F24" s="26">
        <f>IF(OR(C24="—",C9="—",C9=0),"—",C24/C9)</f>
        <v>0.0115241635687732</v>
      </c>
    </row>
    <row r="25">
      <c r="A25" s="23" t="inlineStr">
        <is>
          <t>Outras entradas</t>
        </is>
      </c>
      <c r="B25" s="18" t="n"/>
      <c r="C25" s="20">
        <f>IF(INDEX(Resultado!$B$11:$M$11,Config!$B$8)="","—",INDEX(Resultado!$B$11:$M$11,Config!$B$8))</f>
        <v>0</v>
      </c>
      <c r="D25" s="20">
        <f>IF(Config!$B$8&lt;=1,"—",IF(INDEX(Resultado!$B$11:$M$11,Config!$B$8-1)="","—",INDEX(Resultado!$B$11:$M$11,Config!$B$8-1)))</f>
        <v>0</v>
      </c>
      <c r="E25" s="21" t="str">
        <f>IF(OR(C25="—",D25="—",D25=0),"—",(C25-D25)/ABS(D25))</f>
        <v>—</v>
      </c>
      <c r="F25" s="26">
        <f>IF(OR(C25="—",C9="—",C9=0),"—",C25/C9)</f>
        <v>0</v>
      </c>
    </row>
    <row r="27">
      <c r="A27" s="6" t="inlineStr">
        <is>
          <t>Receita, saídas e resultado no ano (meses em branco não aparecem)</t>
        </is>
      </c>
    </row>
    <row r="46">
      <c r="A46" s="6" t="inlineStr">
        <is>
          <t>Variação da margem em pontos percentuais (p.p.). Para explicar o resultado ao sócio ou ao contador, use a planilha 20 · Resumo do mês e o prompt "Painel 01 · Explicar o mês ao sócio".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7">
    <mergeCell ref="A24:B24"/>
    <mergeCell ref="A15:B15"/>
    <mergeCell ref="A11:B11"/>
    <mergeCell ref="C5:D5"/>
    <mergeCell ref="E5:F5"/>
    <mergeCell ref="A1:H1"/>
    <mergeCell ref="C4:D4"/>
    <mergeCell ref="E4:F4"/>
    <mergeCell ref="A16:B16"/>
    <mergeCell ref="A25:B25"/>
    <mergeCell ref="A46:H46"/>
    <mergeCell ref="A12:B12"/>
    <mergeCell ref="A21:B21"/>
    <mergeCell ref="A2:H2"/>
    <mergeCell ref="A5:B5"/>
    <mergeCell ref="G5:H5"/>
    <mergeCell ref="A14:B14"/>
    <mergeCell ref="A23:B23"/>
    <mergeCell ref="A8:B8"/>
    <mergeCell ref="A22:B22"/>
    <mergeCell ref="A4:B4"/>
    <mergeCell ref="G4:H4"/>
    <mergeCell ref="A20:B20"/>
    <mergeCell ref="A19:B19"/>
    <mergeCell ref="A10:B10"/>
    <mergeCell ref="A13:B13"/>
    <mergeCell ref="A9:B9"/>
  </mergeCells>
  <conditionalFormatting sqref="E5">
    <cfRule type="expression" priority="1" dxfId="0">
      <formula>AND(ISNUMBER(E5),E5&lt;0)</formula>
    </cfRule>
  </conditionalFormatting>
  <conditionalFormatting sqref="H9:H16">
    <cfRule type="expression" priority="2" dxfId="1">
      <formula>H9="Dentro do previsto"</formula>
    </cfRule>
    <cfRule type="expression" priority="3" dxfId="2">
      <formula>H9="Perto"</formula>
    </cfRule>
    <cfRule type="expression" priority="4" dxfId="3">
      <formula>H9="Fora do previsto"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4" customWidth="1" min="3" max="3"/>
    <col width="14" customWidth="1" min="4" max="4"/>
  </cols>
  <sheetData>
    <row r="1" ht="28" customHeight="1">
      <c r="A1" s="27" t="inlineStr">
        <is>
          <t>Configurações</t>
        </is>
      </c>
    </row>
    <row r="2">
      <c r="A2" s="28" t="inlineStr">
        <is>
          <t>Células amarelas: você preenche.</t>
        </is>
      </c>
    </row>
    <row r="4">
      <c r="A4" s="29" t="inlineStr">
        <is>
          <t>Escritório</t>
        </is>
      </c>
      <c r="B4" s="30" t="inlineStr">
        <is>
          <t>Ferraz &amp; Lima Advocacia (exemplo fictício)</t>
        </is>
      </c>
      <c r="D4" s="29" t="inlineStr">
        <is>
          <t>Meses</t>
        </is>
      </c>
    </row>
    <row r="5">
      <c r="A5" s="29" t="inlineStr">
        <is>
          <t>Ano</t>
        </is>
      </c>
      <c r="B5" s="30" t="n">
        <v>2026</v>
      </c>
      <c r="D5" s="31" t="inlineStr">
        <is>
          <t>Janeiro</t>
        </is>
      </c>
    </row>
    <row r="6">
      <c r="A6" s="29" t="inlineStr">
        <is>
          <t>Mês de análise</t>
        </is>
      </c>
      <c r="B6" s="30" t="inlineStr">
        <is>
          <t>Agosto</t>
        </is>
      </c>
      <c r="C6" s="6" t="inlineStr">
        <is>
          <t>Analise o último mês fechado (no exemplo, agosto: setembro ainda está em andamento no caixa).</t>
        </is>
      </c>
      <c r="D6" s="31" t="inlineStr">
        <is>
          <t>Fevereiro</t>
        </is>
      </c>
    </row>
    <row r="7">
      <c r="A7" s="29" t="inlineStr">
        <is>
          <t>Impostos provisionados (% da receita)</t>
        </is>
      </c>
      <c r="B7" s="32" t="n">
        <v>0.08</v>
      </c>
      <c r="C7" s="6" t="inlineStr">
        <is>
          <t>Use a alíquota efetiva que o contador informar (Simples, ISS + IR ou lucro presumido). A provisão sai todo mês, mesmo que o imposto seja pago depois. No exemplo, 8 %, a mesma das planilhas 05, 06, 08, 09 e 10.</t>
        </is>
      </c>
      <c r="D7" s="31" t="inlineStr">
        <is>
          <t>Março</t>
        </is>
      </c>
    </row>
    <row r="8">
      <c r="A8" s="29" t="inlineStr">
        <is>
          <t>Número do mês</t>
        </is>
      </c>
      <c r="B8" s="22">
        <f>MATCH(B6,$D$5:$D$16,0)</f>
        <v>8</v>
      </c>
      <c r="D8" s="31" t="inlineStr">
        <is>
          <t>Abril</t>
        </is>
      </c>
    </row>
    <row r="9">
      <c r="A9" s="29" t="inlineStr">
        <is>
          <t>Mês anterior</t>
        </is>
      </c>
      <c r="B9" s="22" t="str">
        <f>IF(B8&gt;1,INDEX($D$5:$D$16,B8-1),"")</f>
        <v>Julho</v>
      </c>
      <c r="D9" s="31" t="inlineStr">
        <is>
          <t>Maio</t>
        </is>
      </c>
    </row>
    <row r="10">
      <c r="D10" s="31" t="inlineStr">
        <is>
          <t>Junho</t>
        </is>
      </c>
    </row>
    <row r="11">
      <c r="D11" s="31" t="inlineStr">
        <is>
          <t>Julho</t>
        </is>
      </c>
    </row>
    <row r="12">
      <c r="D12" s="31" t="inlineStr">
        <is>
          <t>Agosto</t>
        </is>
      </c>
    </row>
    <row r="13">
      <c r="D13" s="31" t="inlineStr">
        <is>
          <t>Setembro</t>
        </is>
      </c>
    </row>
    <row r="14">
      <c r="D14" s="31" t="inlineStr">
        <is>
          <t>Outubro</t>
        </is>
      </c>
    </row>
    <row r="15">
      <c r="D15" s="31" t="inlineStr">
        <is>
          <t>Novembro</t>
        </is>
      </c>
    </row>
    <row r="16">
      <c r="D16" s="31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1">
    <dataValidation sqref="B6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  <col width="16" customWidth="1" min="15" max="15"/>
  </cols>
  <sheetData>
    <row r="1" ht="28" customHeight="1">
      <c r="A1" s="27" t="inlineStr">
        <is>
          <t>Resultado mensal do escritório</t>
        </is>
      </c>
    </row>
    <row r="2">
      <c r="A2" s="28" t="inlineStr">
        <is>
          <t>Preencha as linhas amarelas de cada mês com os totais por categoria do Painel do caixa (planilha 09). Totais, impostos provisionados, resultado e margem são calculados. Meses futuros ficam em branco.</t>
        </is>
      </c>
    </row>
    <row r="4" ht="30" customHeight="1">
      <c r="A4" s="17" t="inlineStr">
        <is>
          <t>Linha</t>
        </is>
      </c>
      <c r="B4" s="17" t="inlineStr">
        <is>
          <t>Jan</t>
        </is>
      </c>
      <c r="C4" s="17" t="inlineStr">
        <is>
          <t>Fev</t>
        </is>
      </c>
      <c r="D4" s="17" t="inlineStr">
        <is>
          <t>Mar</t>
        </is>
      </c>
      <c r="E4" s="17" t="inlineStr">
        <is>
          <t>Abr</t>
        </is>
      </c>
      <c r="F4" s="17" t="inlineStr">
        <is>
          <t>Mai</t>
        </is>
      </c>
      <c r="G4" s="17" t="inlineStr">
        <is>
          <t>Jun</t>
        </is>
      </c>
      <c r="H4" s="17" t="inlineStr">
        <is>
          <t>Jul</t>
        </is>
      </c>
      <c r="I4" s="17" t="inlineStr">
        <is>
          <t>Ago</t>
        </is>
      </c>
      <c r="J4" s="17" t="inlineStr">
        <is>
          <t>Set</t>
        </is>
      </c>
      <c r="K4" s="17" t="inlineStr">
        <is>
          <t>Out</t>
        </is>
      </c>
      <c r="L4" s="17" t="inlineStr">
        <is>
          <t>Nov</t>
        </is>
      </c>
      <c r="M4" s="17" t="inlineStr">
        <is>
          <t>Dez</t>
        </is>
      </c>
      <c r="N4" s="17" t="inlineStr">
        <is>
          <t>Total do ano</t>
        </is>
      </c>
      <c r="O4" s="17" t="inlineStr">
        <is>
          <t>Média dos meses preenchidos</t>
        </is>
      </c>
    </row>
    <row r="5">
      <c r="A5" s="33" t="inlineStr">
        <is>
          <t>Receita (o que entrou no mês, por categoria do caixa)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23" t="inlineStr">
        <is>
          <t>Honorários fixos</t>
        </is>
      </c>
      <c r="B6" s="34" t="n">
        <v>15650</v>
      </c>
      <c r="C6" s="34" t="n">
        <v>11350</v>
      </c>
      <c r="D6" s="34" t="n">
        <v>17450</v>
      </c>
      <c r="E6" s="34" t="n">
        <v>11400</v>
      </c>
      <c r="F6" s="34" t="n">
        <v>14300</v>
      </c>
      <c r="G6" s="34" t="n">
        <v>17100</v>
      </c>
      <c r="H6" s="34" t="n">
        <v>20900</v>
      </c>
      <c r="I6" s="34" t="n">
        <v>15300</v>
      </c>
      <c r="J6" s="34" t="n"/>
      <c r="K6" s="34" t="n"/>
      <c r="L6" s="34" t="n"/>
      <c r="M6" s="34" t="n"/>
      <c r="N6" s="20">
        <f>IF(COUNT(B6:M6)=0,"",SUM(B6:M6))</f>
        <v>123450</v>
      </c>
      <c r="O6" s="20">
        <f>IF(COUNT(B6:M6)=0,"",AVERAGE(B6:M6))</f>
        <v>15431.25</v>
      </c>
    </row>
    <row r="7">
      <c r="A7" s="23" t="inlineStr">
        <is>
          <t>Honorários por hora</t>
        </is>
      </c>
      <c r="B7" s="34" t="n">
        <v>2880</v>
      </c>
      <c r="C7" s="34" t="n">
        <v>3240</v>
      </c>
      <c r="D7" s="34" t="n">
        <v>2520</v>
      </c>
      <c r="E7" s="34" t="n">
        <v>3060</v>
      </c>
      <c r="F7" s="34" t="n">
        <v>2160</v>
      </c>
      <c r="G7" s="34" t="n">
        <v>2700</v>
      </c>
      <c r="H7" s="34" t="n">
        <v>2340</v>
      </c>
      <c r="I7" s="34" t="n">
        <v>0</v>
      </c>
      <c r="J7" s="34" t="n"/>
      <c r="K7" s="34" t="n"/>
      <c r="L7" s="34" t="n"/>
      <c r="M7" s="34" t="n"/>
      <c r="N7" s="20">
        <f>IF(COUNT(B7:M7)=0,"",SUM(B7:M7))</f>
        <v>18900</v>
      </c>
      <c r="O7" s="20">
        <f>IF(COUNT(B7:M7)=0,"",AVERAGE(B7:M7))</f>
        <v>2362.5</v>
      </c>
    </row>
    <row r="8">
      <c r="A8" s="23" t="inlineStr">
        <is>
          <t>Honorários de êxito</t>
        </is>
      </c>
      <c r="B8" s="34" t="n">
        <v>0</v>
      </c>
      <c r="C8" s="34" t="n">
        <v>6500</v>
      </c>
      <c r="D8" s="34" t="n">
        <v>5500</v>
      </c>
      <c r="E8" s="34" t="n">
        <v>0</v>
      </c>
      <c r="F8" s="34" t="n">
        <v>9000</v>
      </c>
      <c r="G8" s="34" t="n">
        <v>6000</v>
      </c>
      <c r="H8" s="34" t="n">
        <v>0</v>
      </c>
      <c r="I8" s="34" t="n">
        <v>0</v>
      </c>
      <c r="J8" s="34" t="n"/>
      <c r="K8" s="34" t="n"/>
      <c r="L8" s="34" t="n"/>
      <c r="M8" s="34" t="n"/>
      <c r="N8" s="20">
        <f>IF(COUNT(B8:M8)=0,"",SUM(B8:M8))</f>
        <v>27000</v>
      </c>
      <c r="O8" s="20">
        <f>IF(COUNT(B8:M8)=0,"",AVERAGE(B8:M8))</f>
        <v>3375</v>
      </c>
    </row>
    <row r="9">
      <c r="A9" s="23" t="inlineStr">
        <is>
          <t>Consultoria e pareceres</t>
        </is>
      </c>
      <c r="B9" s="34" t="n">
        <v>2520</v>
      </c>
      <c r="C9" s="34" t="n">
        <v>1980</v>
      </c>
      <c r="D9" s="34" t="n">
        <v>2340</v>
      </c>
      <c r="E9" s="34" t="n">
        <v>5300</v>
      </c>
      <c r="F9" s="34" t="n">
        <v>5660</v>
      </c>
      <c r="G9" s="34" t="n">
        <v>1620</v>
      </c>
      <c r="H9" s="34" t="n">
        <v>5680</v>
      </c>
      <c r="I9" s="34" t="n">
        <v>11290</v>
      </c>
      <c r="J9" s="34" t="n"/>
      <c r="K9" s="34" t="n"/>
      <c r="L9" s="34" t="n"/>
      <c r="M9" s="34" t="n"/>
      <c r="N9" s="20">
        <f>IF(COUNT(B9:M9)=0,"",SUM(B9:M9))</f>
        <v>36390</v>
      </c>
      <c r="O9" s="20">
        <f>IF(COUNT(B9:M9)=0,"",AVERAGE(B9:M9))</f>
        <v>4548.75</v>
      </c>
    </row>
    <row r="10">
      <c r="A10" s="23" t="inlineStr">
        <is>
          <t>Reembolso de custas</t>
        </is>
      </c>
      <c r="B10" s="34" t="n">
        <v>0</v>
      </c>
      <c r="C10" s="34" t="n">
        <v>0</v>
      </c>
      <c r="D10" s="34" t="n">
        <v>780</v>
      </c>
      <c r="E10" s="34" t="n">
        <v>0</v>
      </c>
      <c r="F10" s="34" t="n">
        <v>0</v>
      </c>
      <c r="G10" s="34" t="n">
        <v>0</v>
      </c>
      <c r="H10" s="34" t="n">
        <v>540</v>
      </c>
      <c r="I10" s="34" t="n">
        <v>310</v>
      </c>
      <c r="J10" s="34" t="n"/>
      <c r="K10" s="34" t="n"/>
      <c r="L10" s="34" t="n"/>
      <c r="M10" s="34" t="n"/>
      <c r="N10" s="20">
        <f>IF(COUNT(B10:M10)=0,"",SUM(B10:M10))</f>
        <v>1630</v>
      </c>
      <c r="O10" s="20">
        <f>IF(COUNT(B10:M10)=0,"",AVERAGE(B10:M10))</f>
        <v>203.75</v>
      </c>
    </row>
    <row r="11">
      <c r="A11" s="23" t="inlineStr">
        <is>
          <t>Outras entradas</t>
        </is>
      </c>
      <c r="B11" s="34" t="n">
        <v>0</v>
      </c>
      <c r="C11" s="34" t="n">
        <v>0</v>
      </c>
      <c r="D11" s="34" t="n">
        <v>0</v>
      </c>
      <c r="E11" s="34" t="n">
        <v>480</v>
      </c>
      <c r="F11" s="34" t="n">
        <v>0</v>
      </c>
      <c r="G11" s="34" t="n">
        <v>0</v>
      </c>
      <c r="H11" s="34" t="n">
        <v>0</v>
      </c>
      <c r="I11" s="34" t="n">
        <v>0</v>
      </c>
      <c r="J11" s="34" t="n"/>
      <c r="K11" s="34" t="n"/>
      <c r="L11" s="34" t="n"/>
      <c r="M11" s="34" t="n"/>
      <c r="N11" s="20">
        <f>IF(COUNT(B11:M11)=0,"",SUM(B11:M11))</f>
        <v>480</v>
      </c>
      <c r="O11" s="20">
        <f>IF(COUNT(B11:M11)=0,"",AVERAGE(B11:M11))</f>
        <v>60</v>
      </c>
    </row>
    <row r="12">
      <c r="A12" s="19" t="inlineStr">
        <is>
          <t>Receita total</t>
        </is>
      </c>
      <c r="B12" s="35">
        <f>IF(COUNT(B$6:B$11,B$14:B$21,B$24:B$25,B$28:B$29)=0,"",SUM(B6:B11))</f>
        <v>21050</v>
      </c>
      <c r="C12" s="35">
        <f>IF(COUNT(C$6:C$11,C$14:C$21,C$24:C$25,C$28:C$29)=0,"",SUM(C6:C11))</f>
        <v>23070</v>
      </c>
      <c r="D12" s="35">
        <f>IF(COUNT(D$6:D$11,D$14:D$21,D$24:D$25,D$28:D$29)=0,"",SUM(D6:D11))</f>
        <v>28590</v>
      </c>
      <c r="E12" s="35">
        <f>IF(COUNT(E$6:E$11,E$14:E$21,E$24:E$25,E$28:E$29)=0,"",SUM(E6:E11))</f>
        <v>20240</v>
      </c>
      <c r="F12" s="35">
        <f>IF(COUNT(F$6:F$11,F$14:F$21,F$24:F$25,F$28:F$29)=0,"",SUM(F6:F11))</f>
        <v>31120</v>
      </c>
      <c r="G12" s="35">
        <f>IF(COUNT(G$6:G$11,G$14:G$21,G$24:G$25,G$28:G$29)=0,"",SUM(G6:G11))</f>
        <v>27420</v>
      </c>
      <c r="H12" s="35">
        <f>IF(COUNT(H$6:H$11,H$14:H$21,H$24:H$25,H$28:H$29)=0,"",SUM(H6:H11))</f>
        <v>29460</v>
      </c>
      <c r="I12" s="35">
        <f>IF(COUNT(I$6:I$11,I$14:I$21,I$24:I$25,I$28:I$29)=0,"",SUM(I6:I11))</f>
        <v>26900</v>
      </c>
      <c r="J12" s="35">
        <f>IF(COUNT(J$6:J$11,J$14:J$21,J$24:J$25,J$28:J$29)=0,"",SUM(J6:J11))</f>
        <v/>
      </c>
      <c r="K12" s="35">
        <f>IF(COUNT(K$6:K$11,K$14:K$21,K$24:K$25,K$28:K$29)=0,"",SUM(K6:K11))</f>
        <v/>
      </c>
      <c r="L12" s="35">
        <f>IF(COUNT(L$6:L$11,L$14:L$21,L$24:L$25,L$28:L$29)=0,"",SUM(L6:L11))</f>
        <v/>
      </c>
      <c r="M12" s="35">
        <f>IF(COUNT(M$6:M$11,M$14:M$21,M$24:M$25,M$28:M$29)=0,"",SUM(M6:M11))</f>
        <v/>
      </c>
      <c r="N12" s="35">
        <f>IF(COUNT(B12:M12)=0,"",SUM(B12:M12))</f>
        <v>207850</v>
      </c>
      <c r="O12" s="35">
        <f>IF(COUNT(B12:M12)=0,"",AVERAGE(B12:M12))</f>
        <v>25981.25</v>
      </c>
    </row>
    <row r="13">
      <c r="A13" s="33" t="inlineStr">
        <is>
          <t>Custos fixos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23" t="inlineStr">
        <is>
          <t>Aluguel e condomínio</t>
        </is>
      </c>
      <c r="B14" s="34" t="n">
        <v>2800</v>
      </c>
      <c r="C14" s="34" t="n">
        <v>2800</v>
      </c>
      <c r="D14" s="34" t="n">
        <v>2800</v>
      </c>
      <c r="E14" s="34" t="n">
        <v>2800</v>
      </c>
      <c r="F14" s="34" t="n">
        <v>2800</v>
      </c>
      <c r="G14" s="34" t="n">
        <v>2800</v>
      </c>
      <c r="H14" s="34" t="n">
        <v>2800</v>
      </c>
      <c r="I14" s="34" t="n">
        <v>2800</v>
      </c>
      <c r="J14" s="34" t="n"/>
      <c r="K14" s="34" t="n"/>
      <c r="L14" s="34" t="n"/>
      <c r="M14" s="34" t="n"/>
      <c r="N14" s="20">
        <f>IF(COUNT(B14:M14)=0,"",SUM(B14:M14))</f>
        <v>22400</v>
      </c>
      <c r="O14" s="20">
        <f>IF(COUNT(B14:M14)=0,"",AVERAGE(B14:M14))</f>
        <v>2800</v>
      </c>
    </row>
    <row r="15">
      <c r="A15" s="23" t="inlineStr">
        <is>
          <t>Contador</t>
        </is>
      </c>
      <c r="B15" s="34" t="n">
        <v>600</v>
      </c>
      <c r="C15" s="34" t="n">
        <v>600</v>
      </c>
      <c r="D15" s="34" t="n">
        <v>600</v>
      </c>
      <c r="E15" s="34" t="n">
        <v>600</v>
      </c>
      <c r="F15" s="34" t="n">
        <v>600</v>
      </c>
      <c r="G15" s="34" t="n">
        <v>600</v>
      </c>
      <c r="H15" s="34" t="n">
        <v>600</v>
      </c>
      <c r="I15" s="34" t="n">
        <v>600</v>
      </c>
      <c r="J15" s="34" t="n"/>
      <c r="K15" s="34" t="n"/>
      <c r="L15" s="34" t="n"/>
      <c r="M15" s="34" t="n"/>
      <c r="N15" s="20">
        <f>IF(COUNT(B15:M15)=0,"",SUM(B15:M15))</f>
        <v>4800</v>
      </c>
      <c r="O15" s="20">
        <f>IF(COUNT(B15:M15)=0,"",AVERAGE(B15:M15))</f>
        <v>600</v>
      </c>
    </row>
    <row r="16">
      <c r="A16" s="23" t="inlineStr">
        <is>
          <t>Sistemas e assinaturas</t>
        </is>
      </c>
      <c r="B16" s="34" t="n">
        <v>450</v>
      </c>
      <c r="C16" s="34" t="n">
        <v>450</v>
      </c>
      <c r="D16" s="34" t="n">
        <v>450</v>
      </c>
      <c r="E16" s="34" t="n">
        <v>450</v>
      </c>
      <c r="F16" s="34" t="n">
        <v>450</v>
      </c>
      <c r="G16" s="34" t="n">
        <v>450</v>
      </c>
      <c r="H16" s="34" t="n">
        <v>450</v>
      </c>
      <c r="I16" s="34" t="n">
        <v>450</v>
      </c>
      <c r="J16" s="34" t="n"/>
      <c r="K16" s="34" t="n"/>
      <c r="L16" s="34" t="n"/>
      <c r="M16" s="34" t="n"/>
      <c r="N16" s="20">
        <f>IF(COUNT(B16:M16)=0,"",SUM(B16:M16))</f>
        <v>3600</v>
      </c>
      <c r="O16" s="20">
        <f>IF(COUNT(B16:M16)=0,"",AVERAGE(B16:M16))</f>
        <v>450</v>
      </c>
    </row>
    <row r="17">
      <c r="A17" s="23" t="inlineStr">
        <is>
          <t>Telefone e internet</t>
        </is>
      </c>
      <c r="B17" s="34" t="n">
        <v>220</v>
      </c>
      <c r="C17" s="34" t="n">
        <v>220</v>
      </c>
      <c r="D17" s="34" t="n">
        <v>220</v>
      </c>
      <c r="E17" s="34" t="n">
        <v>220</v>
      </c>
      <c r="F17" s="34" t="n">
        <v>220</v>
      </c>
      <c r="G17" s="34" t="n">
        <v>220</v>
      </c>
      <c r="H17" s="34" t="n">
        <v>220</v>
      </c>
      <c r="I17" s="34" t="n">
        <v>220</v>
      </c>
      <c r="J17" s="34" t="n"/>
      <c r="K17" s="34" t="n"/>
      <c r="L17" s="34" t="n"/>
      <c r="M17" s="34" t="n"/>
      <c r="N17" s="20">
        <f>IF(COUNT(B17:M17)=0,"",SUM(B17:M17))</f>
        <v>1760</v>
      </c>
      <c r="O17" s="20">
        <f>IF(COUNT(B17:M17)=0,"",AVERAGE(B17:M17))</f>
        <v>220</v>
      </c>
    </row>
    <row r="18">
      <c r="A18" s="23" t="inlineStr">
        <is>
          <t>Anuidades OAB e cursos</t>
        </is>
      </c>
      <c r="B18" s="34" t="n">
        <v>250</v>
      </c>
      <c r="C18" s="34" t="n">
        <v>250</v>
      </c>
      <c r="D18" s="34" t="n">
        <v>250</v>
      </c>
      <c r="E18" s="34" t="n">
        <v>250</v>
      </c>
      <c r="F18" s="34" t="n">
        <v>250</v>
      </c>
      <c r="G18" s="34" t="n">
        <v>250</v>
      </c>
      <c r="H18" s="34" t="n">
        <v>250</v>
      </c>
      <c r="I18" s="34" t="n">
        <v>250</v>
      </c>
      <c r="J18" s="34" t="n"/>
      <c r="K18" s="34" t="n"/>
      <c r="L18" s="34" t="n"/>
      <c r="M18" s="34" t="n"/>
      <c r="N18" s="20">
        <f>IF(COUNT(B18:M18)=0,"",SUM(B18:M18))</f>
        <v>2000</v>
      </c>
      <c r="O18" s="20">
        <f>IF(COUNT(B18:M18)=0,"",AVERAGE(B18:M18))</f>
        <v>250</v>
      </c>
    </row>
    <row r="19">
      <c r="A19" s="23" t="inlineStr">
        <is>
          <t>Marketing e site</t>
        </is>
      </c>
      <c r="B19" s="34" t="n">
        <v>400</v>
      </c>
      <c r="C19" s="34" t="n">
        <v>400</v>
      </c>
      <c r="D19" s="34" t="n">
        <v>400</v>
      </c>
      <c r="E19" s="34" t="n">
        <v>400</v>
      </c>
      <c r="F19" s="34" t="n">
        <v>400</v>
      </c>
      <c r="G19" s="34" t="n">
        <v>400</v>
      </c>
      <c r="H19" s="34" t="n">
        <v>400</v>
      </c>
      <c r="I19" s="34" t="n">
        <v>400</v>
      </c>
      <c r="J19" s="34" t="n"/>
      <c r="K19" s="34" t="n"/>
      <c r="L19" s="34" t="n"/>
      <c r="M19" s="34" t="n"/>
      <c r="N19" s="20">
        <f>IF(COUNT(B19:M19)=0,"",SUM(B19:M19))</f>
        <v>3200</v>
      </c>
      <c r="O19" s="20">
        <f>IF(COUNT(B19:M19)=0,"",AVERAGE(B19:M19))</f>
        <v>400</v>
      </c>
    </row>
    <row r="20">
      <c r="A20" s="23" t="inlineStr">
        <is>
          <t>Estagiária (bolsa)</t>
        </is>
      </c>
      <c r="B20" s="34" t="n">
        <v>1400</v>
      </c>
      <c r="C20" s="34" t="n">
        <v>1400</v>
      </c>
      <c r="D20" s="34" t="n">
        <v>1400</v>
      </c>
      <c r="E20" s="34" t="n">
        <v>1400</v>
      </c>
      <c r="F20" s="34" t="n">
        <v>1400</v>
      </c>
      <c r="G20" s="34" t="n">
        <v>1400</v>
      </c>
      <c r="H20" s="34" t="n">
        <v>1400</v>
      </c>
      <c r="I20" s="34" t="n">
        <v>1400</v>
      </c>
      <c r="J20" s="34" t="n"/>
      <c r="K20" s="34" t="n"/>
      <c r="L20" s="34" t="n"/>
      <c r="M20" s="34" t="n"/>
      <c r="N20" s="20">
        <f>IF(COUNT(B20:M20)=0,"",SUM(B20:M20))</f>
        <v>11200</v>
      </c>
      <c r="O20" s="20">
        <f>IF(COUNT(B20:M20)=0,"",AVERAGE(B20:M20))</f>
        <v>1400</v>
      </c>
    </row>
    <row r="21">
      <c r="A21" s="23" t="inlineStr">
        <is>
          <t>Material, correio e outros</t>
        </is>
      </c>
      <c r="B21" s="34" t="n">
        <v>380</v>
      </c>
      <c r="C21" s="34" t="n">
        <v>380</v>
      </c>
      <c r="D21" s="34" t="n">
        <v>380</v>
      </c>
      <c r="E21" s="34" t="n">
        <v>380</v>
      </c>
      <c r="F21" s="34" t="n">
        <v>380</v>
      </c>
      <c r="G21" s="34" t="n">
        <v>380</v>
      </c>
      <c r="H21" s="34" t="n">
        <v>380</v>
      </c>
      <c r="I21" s="34" t="n">
        <v>380</v>
      </c>
      <c r="J21" s="34" t="n"/>
      <c r="K21" s="34" t="n"/>
      <c r="L21" s="34" t="n"/>
      <c r="M21" s="34" t="n"/>
      <c r="N21" s="20">
        <f>IF(COUNT(B21:M21)=0,"",SUM(B21:M21))</f>
        <v>3040</v>
      </c>
      <c r="O21" s="20">
        <f>IF(COUNT(B21:M21)=0,"",AVERAGE(B21:M21))</f>
        <v>380</v>
      </c>
    </row>
    <row r="22">
      <c r="A22" s="19" t="inlineStr">
        <is>
          <t>Total de custos fixos</t>
        </is>
      </c>
      <c r="B22" s="35">
        <f>IF(COUNT(B$6:B$11,B$14:B$21,B$24:B$25,B$28:B$29)=0,"",SUM(B14:B21))</f>
        <v>6500</v>
      </c>
      <c r="C22" s="35">
        <f>IF(COUNT(C$6:C$11,C$14:C$21,C$24:C$25,C$28:C$29)=0,"",SUM(C14:C21))</f>
        <v>6500</v>
      </c>
      <c r="D22" s="35">
        <f>IF(COUNT(D$6:D$11,D$14:D$21,D$24:D$25,D$28:D$29)=0,"",SUM(D14:D21))</f>
        <v>6500</v>
      </c>
      <c r="E22" s="35">
        <f>IF(COUNT(E$6:E$11,E$14:E$21,E$24:E$25,E$28:E$29)=0,"",SUM(E14:E21))</f>
        <v>6500</v>
      </c>
      <c r="F22" s="35">
        <f>IF(COUNT(F$6:F$11,F$14:F$21,F$24:F$25,F$28:F$29)=0,"",SUM(F14:F21))</f>
        <v>6500</v>
      </c>
      <c r="G22" s="35">
        <f>IF(COUNT(G$6:G$11,G$14:G$21,G$24:G$25,G$28:G$29)=0,"",SUM(G14:G21))</f>
        <v>6500</v>
      </c>
      <c r="H22" s="35">
        <f>IF(COUNT(H$6:H$11,H$14:H$21,H$24:H$25,H$28:H$29)=0,"",SUM(H14:H21))</f>
        <v>6500</v>
      </c>
      <c r="I22" s="35">
        <f>IF(COUNT(I$6:I$11,I$14:I$21,I$24:I$25,I$28:I$29)=0,"",SUM(I14:I21))</f>
        <v>6500</v>
      </c>
      <c r="J22" s="35">
        <f>IF(COUNT(J$6:J$11,J$14:J$21,J$24:J$25,J$28:J$29)=0,"",SUM(J14:J21))</f>
        <v/>
      </c>
      <c r="K22" s="35">
        <f>IF(COUNT(K$6:K$11,K$14:K$21,K$24:K$25,K$28:K$29)=0,"",SUM(K14:K21))</f>
        <v/>
      </c>
      <c r="L22" s="35">
        <f>IF(COUNT(L$6:L$11,L$14:L$21,L$24:L$25,L$28:L$29)=0,"",SUM(L14:L21))</f>
        <v/>
      </c>
      <c r="M22" s="35">
        <f>IF(COUNT(M$6:M$11,M$14:M$21,M$24:M$25,M$28:M$29)=0,"",SUM(M14:M21))</f>
        <v/>
      </c>
      <c r="N22" s="35">
        <f>IF(COUNT(B22:M22)=0,"",SUM(B22:M22))</f>
        <v>52000</v>
      </c>
      <c r="O22" s="35">
        <f>IF(COUNT(B22:M22)=0,"",AVERAGE(B22:M22))</f>
        <v>6500</v>
      </c>
    </row>
    <row r="23">
      <c r="A23" s="33" t="inlineStr">
        <is>
          <t>Despesas de casos e viagens (pagas pelo escritório)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23" t="inlineStr">
        <is>
          <t>Custas e despesas de processo</t>
        </is>
      </c>
      <c r="B24" s="34" t="n">
        <v>260</v>
      </c>
      <c r="C24" s="34" t="n">
        <v>780</v>
      </c>
      <c r="D24" s="34" t="n">
        <v>130</v>
      </c>
      <c r="E24" s="34" t="n">
        <v>540</v>
      </c>
      <c r="F24" s="34" t="n">
        <v>310</v>
      </c>
      <c r="G24" s="34" t="n">
        <v>95</v>
      </c>
      <c r="H24" s="34" t="n">
        <v>310</v>
      </c>
      <c r="I24" s="34" t="n">
        <v>380</v>
      </c>
      <c r="J24" s="34" t="n"/>
      <c r="K24" s="34" t="n"/>
      <c r="L24" s="34" t="n"/>
      <c r="M24" s="34" t="n"/>
      <c r="N24" s="20">
        <f>IF(COUNT(B24:M24)=0,"",SUM(B24:M24))</f>
        <v>2805</v>
      </c>
      <c r="O24" s="20">
        <f>IF(COUNT(B24:M24)=0,"",AVERAGE(B24:M24))</f>
        <v>350.625</v>
      </c>
    </row>
    <row r="25">
      <c r="A25" s="23" t="inlineStr">
        <is>
          <t>Deslocamento e viagens</t>
        </is>
      </c>
      <c r="B25" s="34" t="n">
        <v>0</v>
      </c>
      <c r="C25" s="34" t="n">
        <v>240</v>
      </c>
      <c r="D25" s="34" t="n">
        <v>0</v>
      </c>
      <c r="E25" s="34" t="n">
        <v>0</v>
      </c>
      <c r="F25" s="34" t="n">
        <v>310</v>
      </c>
      <c r="G25" s="34" t="n">
        <v>0</v>
      </c>
      <c r="H25" s="34" t="n">
        <v>0</v>
      </c>
      <c r="I25" s="34" t="n">
        <v>180</v>
      </c>
      <c r="J25" s="34" t="n"/>
      <c r="K25" s="34" t="n"/>
      <c r="L25" s="34" t="n"/>
      <c r="M25" s="34" t="n"/>
      <c r="N25" s="20">
        <f>IF(COUNT(B25:M25)=0,"",SUM(B25:M25))</f>
        <v>730</v>
      </c>
      <c r="O25" s="20">
        <f>IF(COUNT(B25:M25)=0,"",AVERAGE(B25:M25))</f>
        <v>91.25</v>
      </c>
    </row>
    <row r="26">
      <c r="A26" s="19" t="inlineStr">
        <is>
          <t>Total de despesas de casos e viagens</t>
        </is>
      </c>
      <c r="B26" s="35">
        <f>IF(COUNT(B$6:B$11,B$14:B$21,B$24:B$25,B$28:B$29)=0,"",SUM(B24:B25))</f>
        <v>260</v>
      </c>
      <c r="C26" s="35">
        <f>IF(COUNT(C$6:C$11,C$14:C$21,C$24:C$25,C$28:C$29)=0,"",SUM(C24:C25))</f>
        <v>1020</v>
      </c>
      <c r="D26" s="35">
        <f>IF(COUNT(D$6:D$11,D$14:D$21,D$24:D$25,D$28:D$29)=0,"",SUM(D24:D25))</f>
        <v>130</v>
      </c>
      <c r="E26" s="35">
        <f>IF(COUNT(E$6:E$11,E$14:E$21,E$24:E$25,E$28:E$29)=0,"",SUM(E24:E25))</f>
        <v>540</v>
      </c>
      <c r="F26" s="35">
        <f>IF(COUNT(F$6:F$11,F$14:F$21,F$24:F$25,F$28:F$29)=0,"",SUM(F24:F25))</f>
        <v>620</v>
      </c>
      <c r="G26" s="35">
        <f>IF(COUNT(G$6:G$11,G$14:G$21,G$24:G$25,G$28:G$29)=0,"",SUM(G24:G25))</f>
        <v>95</v>
      </c>
      <c r="H26" s="35">
        <f>IF(COUNT(H$6:H$11,H$14:H$21,H$24:H$25,H$28:H$29)=0,"",SUM(H24:H25))</f>
        <v>310</v>
      </c>
      <c r="I26" s="35">
        <f>IF(COUNT(I$6:I$11,I$14:I$21,I$24:I$25,I$28:I$29)=0,"",SUM(I24:I25))</f>
        <v>560</v>
      </c>
      <c r="J26" s="35">
        <f>IF(COUNT(J$6:J$11,J$14:J$21,J$24:J$25,J$28:J$29)=0,"",SUM(J24:J25))</f>
        <v/>
      </c>
      <c r="K26" s="35">
        <f>IF(COUNT(K$6:K$11,K$14:K$21,K$24:K$25,K$28:K$29)=0,"",SUM(K24:K25))</f>
        <v/>
      </c>
      <c r="L26" s="35">
        <f>IF(COUNT(L$6:L$11,L$14:L$21,L$24:L$25,L$28:L$29)=0,"",SUM(L24:L25))</f>
        <v/>
      </c>
      <c r="M26" s="35">
        <f>IF(COUNT(M$6:M$11,M$14:M$21,M$24:M$25,M$28:M$29)=0,"",SUM(M24:M25))</f>
        <v/>
      </c>
      <c r="N26" s="35">
        <f>IF(COUNT(B26:M26)=0,"",SUM(B26:M26))</f>
        <v>3535</v>
      </c>
      <c r="O26" s="35">
        <f>IF(COUNT(B26:M26)=0,"",AVERAGE(B26:M26))</f>
        <v>441.875</v>
      </c>
    </row>
    <row r="27">
      <c r="A27" s="33" t="inlineStr">
        <is>
          <t>Pró-labore fixo dos sócios</t>
        </is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23" t="inlineStr">
        <is>
          <t>Marina Ferraz</t>
        </is>
      </c>
      <c r="B28" s="34" t="n">
        <v>6000</v>
      </c>
      <c r="C28" s="34" t="n">
        <v>6000</v>
      </c>
      <c r="D28" s="34" t="n">
        <v>6000</v>
      </c>
      <c r="E28" s="34" t="n">
        <v>6000</v>
      </c>
      <c r="F28" s="34" t="n">
        <v>6000</v>
      </c>
      <c r="G28" s="34" t="n">
        <v>6000</v>
      </c>
      <c r="H28" s="34" t="n">
        <v>6000</v>
      </c>
      <c r="I28" s="34" t="n">
        <v>6000</v>
      </c>
      <c r="J28" s="34" t="n"/>
      <c r="K28" s="34" t="n"/>
      <c r="L28" s="34" t="n"/>
      <c r="M28" s="34" t="n"/>
      <c r="N28" s="20">
        <f>IF(COUNT(B28:M28)=0,"",SUM(B28:M28))</f>
        <v>48000</v>
      </c>
      <c r="O28" s="20">
        <f>IF(COUNT(B28:M28)=0,"",AVERAGE(B28:M28))</f>
        <v>6000</v>
      </c>
    </row>
    <row r="29">
      <c r="A29" s="23" t="inlineStr">
        <is>
          <t>Rafael Lima</t>
        </is>
      </c>
      <c r="B29" s="34" t="n">
        <v>6000</v>
      </c>
      <c r="C29" s="34" t="n">
        <v>6000</v>
      </c>
      <c r="D29" s="34" t="n">
        <v>6000</v>
      </c>
      <c r="E29" s="34" t="n">
        <v>6000</v>
      </c>
      <c r="F29" s="34" t="n">
        <v>6000</v>
      </c>
      <c r="G29" s="34" t="n">
        <v>6000</v>
      </c>
      <c r="H29" s="34" t="n">
        <v>6000</v>
      </c>
      <c r="I29" s="34" t="n">
        <v>6000</v>
      </c>
      <c r="J29" s="34" t="n"/>
      <c r="K29" s="34" t="n"/>
      <c r="L29" s="34" t="n"/>
      <c r="M29" s="34" t="n"/>
      <c r="N29" s="20">
        <f>IF(COUNT(B29:M29)=0,"",SUM(B29:M29))</f>
        <v>48000</v>
      </c>
      <c r="O29" s="20">
        <f>IF(COUNT(B29:M29)=0,"",AVERAGE(B29:M29))</f>
        <v>6000</v>
      </c>
    </row>
    <row r="30">
      <c r="A30" s="19" t="inlineStr">
        <is>
          <t>Total de pró-labore</t>
        </is>
      </c>
      <c r="B30" s="35">
        <f>IF(COUNT(B$6:B$11,B$14:B$21,B$24:B$25,B$28:B$29)=0,"",SUM(B28:B29))</f>
        <v>12000</v>
      </c>
      <c r="C30" s="35">
        <f>IF(COUNT(C$6:C$11,C$14:C$21,C$24:C$25,C$28:C$29)=0,"",SUM(C28:C29))</f>
        <v>12000</v>
      </c>
      <c r="D30" s="35">
        <f>IF(COUNT(D$6:D$11,D$14:D$21,D$24:D$25,D$28:D$29)=0,"",SUM(D28:D29))</f>
        <v>12000</v>
      </c>
      <c r="E30" s="35">
        <f>IF(COUNT(E$6:E$11,E$14:E$21,E$24:E$25,E$28:E$29)=0,"",SUM(E28:E29))</f>
        <v>12000</v>
      </c>
      <c r="F30" s="35">
        <f>IF(COUNT(F$6:F$11,F$14:F$21,F$24:F$25,F$28:F$29)=0,"",SUM(F28:F29))</f>
        <v>12000</v>
      </c>
      <c r="G30" s="35">
        <f>IF(COUNT(G$6:G$11,G$14:G$21,G$24:G$25,G$28:G$29)=0,"",SUM(G28:G29))</f>
        <v>12000</v>
      </c>
      <c r="H30" s="35">
        <f>IF(COUNT(H$6:H$11,H$14:H$21,H$24:H$25,H$28:H$29)=0,"",SUM(H28:H29))</f>
        <v>12000</v>
      </c>
      <c r="I30" s="35">
        <f>IF(COUNT(I$6:I$11,I$14:I$21,I$24:I$25,I$28:I$29)=0,"",SUM(I28:I29))</f>
        <v>12000</v>
      </c>
      <c r="J30" s="35">
        <f>IF(COUNT(J$6:J$11,J$14:J$21,J$24:J$25,J$28:J$29)=0,"",SUM(J28:J29))</f>
        <v/>
      </c>
      <c r="K30" s="35">
        <f>IF(COUNT(K$6:K$11,K$14:K$21,K$24:K$25,K$28:K$29)=0,"",SUM(K28:K29))</f>
        <v/>
      </c>
      <c r="L30" s="35">
        <f>IF(COUNT(L$6:L$11,L$14:L$21,L$24:L$25,L$28:L$29)=0,"",SUM(L28:L29))</f>
        <v/>
      </c>
      <c r="M30" s="35">
        <f>IF(COUNT(M$6:M$11,M$14:M$21,M$24:M$25,M$28:M$29)=0,"",SUM(M28:M29))</f>
        <v/>
      </c>
      <c r="N30" s="35">
        <f>IF(COUNT(B30:M30)=0,"",SUM(B30:M30))</f>
        <v>96000</v>
      </c>
      <c r="O30" s="35">
        <f>IF(COUNT(B30:M30)=0,"",AVERAGE(B30:M30))</f>
        <v>12000</v>
      </c>
    </row>
    <row r="31">
      <c r="A31" s="23" t="inlineStr">
        <is>
          <t>Impostos provisionados (% da receita, Config)</t>
        </is>
      </c>
      <c r="B31" s="20">
        <f>IF(B12="","",ROUND(B12*Config!$B$7,0))</f>
        <v>1684</v>
      </c>
      <c r="C31" s="20">
        <f>IF(C12="","",ROUND(C12*Config!$B$7,0))</f>
        <v>1846</v>
      </c>
      <c r="D31" s="20">
        <f>IF(D12="","",ROUND(D12*Config!$B$7,0))</f>
        <v>2287</v>
      </c>
      <c r="E31" s="20">
        <f>IF(E12="","",ROUND(E12*Config!$B$7,0))</f>
        <v>1619</v>
      </c>
      <c r="F31" s="20">
        <f>IF(F12="","",ROUND(F12*Config!$B$7,0))</f>
        <v>2490</v>
      </c>
      <c r="G31" s="20">
        <f>IF(G12="","",ROUND(G12*Config!$B$7,0))</f>
        <v>2194</v>
      </c>
      <c r="H31" s="20">
        <f>IF(H12="","",ROUND(H12*Config!$B$7,0))</f>
        <v>2357</v>
      </c>
      <c r="I31" s="20">
        <f>IF(I12="","",ROUND(I12*Config!$B$7,0))</f>
        <v>2152</v>
      </c>
      <c r="J31" s="20">
        <f>IF(J12="","",ROUND(J12*Config!$B$7,0))</f>
        <v/>
      </c>
      <c r="K31" s="20">
        <f>IF(K12="","",ROUND(K12*Config!$B$7,0))</f>
        <v/>
      </c>
      <c r="L31" s="20">
        <f>IF(L12="","",ROUND(L12*Config!$B$7,0))</f>
        <v/>
      </c>
      <c r="M31" s="20">
        <f>IF(M12="","",ROUND(M12*Config!$B$7,0))</f>
        <v/>
      </c>
      <c r="N31" s="20">
        <f>IF(COUNT(B31:M31)=0,"",SUM(B31:M31))</f>
        <v>16629</v>
      </c>
      <c r="O31" s="20">
        <f>IF(COUNT(B31:M31)=0,"",AVERAGE(B31:M31))</f>
        <v>2078.625</v>
      </c>
    </row>
    <row r="32">
      <c r="A32" s="19" t="inlineStr">
        <is>
          <t>Total de saídas (custos + despesas + pró-labore + impostos)</t>
        </is>
      </c>
      <c r="B32" s="35">
        <f>IF(B12="","",B22+B26+B30+B31)</f>
        <v>20444</v>
      </c>
      <c r="C32" s="35">
        <f>IF(C12="","",C22+C26+C30+C31)</f>
        <v>21366</v>
      </c>
      <c r="D32" s="35">
        <f>IF(D12="","",D22+D26+D30+D31)</f>
        <v>20917</v>
      </c>
      <c r="E32" s="35">
        <f>IF(E12="","",E22+E26+E30+E31)</f>
        <v>20659</v>
      </c>
      <c r="F32" s="35">
        <f>IF(F12="","",F22+F26+F30+F31)</f>
        <v>21610</v>
      </c>
      <c r="G32" s="35">
        <f>IF(G12="","",G22+G26+G30+G31)</f>
        <v>20789</v>
      </c>
      <c r="H32" s="35">
        <f>IF(H12="","",H22+H26+H30+H31)</f>
        <v>21167</v>
      </c>
      <c r="I32" s="35">
        <f>IF(I12="","",I22+I26+I30+I31)</f>
        <v>21212</v>
      </c>
      <c r="J32" s="35">
        <f>IF(J12="","",J22+J26+J30+J31)</f>
        <v/>
      </c>
      <c r="K32" s="35">
        <f>IF(K12="","",K22+K26+K30+K31)</f>
        <v/>
      </c>
      <c r="L32" s="35">
        <f>IF(L12="","",L22+L26+L30+L31)</f>
        <v/>
      </c>
      <c r="M32" s="35">
        <f>IF(M12="","",M22+M26+M30+M31)</f>
        <v/>
      </c>
      <c r="N32" s="35">
        <f>IF(COUNT(B32:M32)=0,"",SUM(B32:M32))</f>
        <v>168164</v>
      </c>
      <c r="O32" s="35">
        <f>IF(COUNT(B32:M32)=0,"",AVERAGE(B32:M32))</f>
        <v>21020.5</v>
      </c>
    </row>
    <row r="33">
      <c r="A33" s="19" t="inlineStr">
        <is>
          <t>Resultado do mês (receita − saídas)</t>
        </is>
      </c>
      <c r="B33" s="35">
        <f>IF(B12="","",B12-B32)</f>
        <v>606</v>
      </c>
      <c r="C33" s="35">
        <f>IF(C12="","",C12-C32)</f>
        <v>1704</v>
      </c>
      <c r="D33" s="35">
        <f>IF(D12="","",D12-D32)</f>
        <v>7673</v>
      </c>
      <c r="E33" s="35">
        <f>IF(E12="","",E12-E32)</f>
        <v>-419</v>
      </c>
      <c r="F33" s="35">
        <f>IF(F12="","",F12-F32)</f>
        <v>9510</v>
      </c>
      <c r="G33" s="35">
        <f>IF(G12="","",G12-G32)</f>
        <v>6631</v>
      </c>
      <c r="H33" s="35">
        <f>IF(H12="","",H12-H32)</f>
        <v>8293</v>
      </c>
      <c r="I33" s="35">
        <f>IF(I12="","",I12-I32)</f>
        <v>5688</v>
      </c>
      <c r="J33" s="35">
        <f>IF(J12="","",J12-J32)</f>
        <v/>
      </c>
      <c r="K33" s="35">
        <f>IF(K12="","",K12-K32)</f>
        <v/>
      </c>
      <c r="L33" s="35">
        <f>IF(L12="","",L12-L32)</f>
        <v/>
      </c>
      <c r="M33" s="35">
        <f>IF(M12="","",M12-M32)</f>
        <v/>
      </c>
      <c r="N33" s="35">
        <f>IF(COUNT(B33:M33)=0,"",SUM(B33:M33))</f>
        <v>39686</v>
      </c>
      <c r="O33" s="35">
        <f>IF(COUNT(B33:M33)=0,"",AVERAGE(B33:M33))</f>
        <v>4960.75</v>
      </c>
    </row>
    <row r="34">
      <c r="A34" s="19" t="inlineStr">
        <is>
          <t>Margem (resultado ÷ receita)</t>
        </is>
      </c>
      <c r="B34" s="36">
        <f>IF(OR(B12="",B12=0),"",B33/B12)</f>
        <v>0.0287885985748219</v>
      </c>
      <c r="C34" s="36">
        <f>IF(OR(C12="",C12=0),"",C33/C12)</f>
        <v>0.0738621586475943</v>
      </c>
      <c r="D34" s="36">
        <f>IF(OR(D12="",D12=0),"",D33/D12)</f>
        <v>0.268380552640784</v>
      </c>
      <c r="E34" s="36">
        <f>IF(OR(E12="",E12=0),"",E33/E12)</f>
        <v>-0.020701581027668</v>
      </c>
      <c r="F34" s="36">
        <f>IF(OR(F12="",F12=0),"",F33/F12)</f>
        <v>0.305591259640103</v>
      </c>
      <c r="G34" s="36">
        <f>IF(OR(G12="",G12=0),"",G33/G12)</f>
        <v>0.241830780452225</v>
      </c>
      <c r="H34" s="36">
        <f>IF(OR(H12="",H12=0),"",H33/H12)</f>
        <v>0.281500339443313</v>
      </c>
      <c r="I34" s="36">
        <f>IF(OR(I12="",I12=0),"",I33/I12)</f>
        <v>0.211449814126394</v>
      </c>
      <c r="J34" s="36">
        <f>IF(OR(J12="",J12=0),"",J33/J12)</f>
        <v/>
      </c>
      <c r="K34" s="36">
        <f>IF(OR(K12="",K12=0),"",K33/K12)</f>
        <v/>
      </c>
      <c r="L34" s="36">
        <f>IF(OR(L12="",L12=0),"",L33/L12)</f>
        <v/>
      </c>
      <c r="M34" s="36">
        <f>IF(OR(M12="",M12=0),"",M33/M12)</f>
        <v/>
      </c>
      <c r="N34" s="24">
        <f>IF(OR(N12="",N12=0),"",N33/N12)</f>
        <v>0.190935770988694</v>
      </c>
      <c r="O34" s="24">
        <f>IF(COUNT(B34:M34)=0,"",AVERAGE(B34:M34))</f>
        <v>0.173837740312196</v>
      </c>
    </row>
    <row r="36" ht="28" customHeight="1">
      <c r="A36" s="37" t="inlineStr">
        <is>
          <t>Receita por categoria: copie de "De onde veio o dinheiro" (Painel da 09). Honorário misto: a parte fixa entra em "Honorários fixos" e a de êxito em "Honorários de êxito" quando cada uma entrar. Custos e despesas: de "Para onde foi o dinheiro".</t>
        </is>
      </c>
    </row>
    <row r="37" ht="28" customHeight="1">
      <c r="A37" s="37" t="inlineStr">
        <is>
          <t>Impostos são provisão (8 % do que entrou no mês), não a guia paga; no caixa aparece a guia do mês anterior. Retiradas extras, distribuição de lucro e despesas pessoais dos sócios não entram aqui: são movimentos sócio × escritório (planilha 11). Resultado negativo fica vermelho.</t>
        </is>
      </c>
    </row>
    <row r="38" ht="28" customHeight="1">
      <c r="A38" s="37" t="inlineStr">
        <is>
          <t>Os valores de exemplo (janeiro a agosto de 2026, meses fechados) são os totais por categoria do Painel do Caixa (09) com Pago? = Sim; setembro fica em branco porque está em andamento. O Painel do escritório (17) e o Resumo do mês (20) usam estes mesmos números.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A38:O38"/>
    <mergeCell ref="A2:O2"/>
    <mergeCell ref="A36:O36"/>
    <mergeCell ref="A1:O1"/>
    <mergeCell ref="A37:O37"/>
  </mergeCells>
  <conditionalFormatting sqref="B33:O33">
    <cfRule type="expression" priority="1" dxfId="3">
      <formula>AND(ISNUMBER(B33),B33&lt;0)</formula>
    </cfRule>
    <cfRule type="expression" priority="2" dxfId="4">
      <formula>AND(ISNUMBER(B33),B33&gt;=0)</formula>
    </cfRule>
  </conditionalFormatting>
  <conditionalFormatting sqref="B4:M4">
    <cfRule type="expression" priority="3" dxfId="5">
      <formula>COLUMN()-1=Config!$B$8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</cols>
  <sheetData>
    <row r="1" ht="28" customHeight="1">
      <c r="A1" s="27" t="inlineStr">
        <is>
          <t>Previsto para o ano</t>
        </is>
      </c>
    </row>
    <row r="2">
      <c r="A2" s="28" t="inlineStr">
        <is>
          <t>Preencha o que espera de receita, custos fixos, despesas de casos e pró-labore em cada mês. O Painel compara o realizado com este previsto.</t>
        </is>
      </c>
    </row>
    <row r="4" ht="30" customHeight="1">
      <c r="A4" s="17" t="inlineStr">
        <is>
          <t>Linha</t>
        </is>
      </c>
      <c r="B4" s="17" t="inlineStr">
        <is>
          <t>Jan</t>
        </is>
      </c>
      <c r="C4" s="17" t="inlineStr">
        <is>
          <t>Fev</t>
        </is>
      </c>
      <c r="D4" s="17" t="inlineStr">
        <is>
          <t>Mar</t>
        </is>
      </c>
      <c r="E4" s="17" t="inlineStr">
        <is>
          <t>Abr</t>
        </is>
      </c>
      <c r="F4" s="17" t="inlineStr">
        <is>
          <t>Mai</t>
        </is>
      </c>
      <c r="G4" s="17" t="inlineStr">
        <is>
          <t>Jun</t>
        </is>
      </c>
      <c r="H4" s="17" t="inlineStr">
        <is>
          <t>Jul</t>
        </is>
      </c>
      <c r="I4" s="17" t="inlineStr">
        <is>
          <t>Ago</t>
        </is>
      </c>
      <c r="J4" s="17" t="inlineStr">
        <is>
          <t>Set</t>
        </is>
      </c>
      <c r="K4" s="17" t="inlineStr">
        <is>
          <t>Out</t>
        </is>
      </c>
      <c r="L4" s="17" t="inlineStr">
        <is>
          <t>Nov</t>
        </is>
      </c>
      <c r="M4" s="17" t="inlineStr">
        <is>
          <t>Dez</t>
        </is>
      </c>
      <c r="N4" s="17" t="inlineStr">
        <is>
          <t>Total do ano</t>
        </is>
      </c>
    </row>
    <row r="5">
      <c r="A5" s="23" t="inlineStr">
        <is>
          <t>Receita prevista</t>
        </is>
      </c>
      <c r="B5" s="34" t="n">
        <v>22000</v>
      </c>
      <c r="C5" s="34" t="n">
        <v>22000</v>
      </c>
      <c r="D5" s="34" t="n">
        <v>24000</v>
      </c>
      <c r="E5" s="34" t="n">
        <v>24000</v>
      </c>
      <c r="F5" s="34" t="n">
        <v>26000</v>
      </c>
      <c r="G5" s="34" t="n">
        <v>26000</v>
      </c>
      <c r="H5" s="34" t="n">
        <v>27000</v>
      </c>
      <c r="I5" s="34" t="n">
        <v>27000</v>
      </c>
      <c r="J5" s="34" t="n">
        <v>27000</v>
      </c>
      <c r="K5" s="34" t="n">
        <v>27000</v>
      </c>
      <c r="L5" s="34" t="n">
        <v>28000</v>
      </c>
      <c r="M5" s="34" t="n">
        <v>28000</v>
      </c>
      <c r="N5" s="20">
        <f>IF(COUNT(B5:M5)=0,"",SUM(B5:M5))</f>
        <v>308000</v>
      </c>
    </row>
    <row r="6">
      <c r="A6" s="23" t="inlineStr">
        <is>
          <t>Custos fixos previstos</t>
        </is>
      </c>
      <c r="B6" s="34" t="n">
        <v>6500</v>
      </c>
      <c r="C6" s="34" t="n">
        <v>6500</v>
      </c>
      <c r="D6" s="34" t="n">
        <v>6500</v>
      </c>
      <c r="E6" s="34" t="n">
        <v>6500</v>
      </c>
      <c r="F6" s="34" t="n">
        <v>6500</v>
      </c>
      <c r="G6" s="34" t="n">
        <v>6500</v>
      </c>
      <c r="H6" s="34" t="n">
        <v>6500</v>
      </c>
      <c r="I6" s="34" t="n">
        <v>6500</v>
      </c>
      <c r="J6" s="34" t="n">
        <v>6500</v>
      </c>
      <c r="K6" s="34" t="n">
        <v>6500</v>
      </c>
      <c r="L6" s="34" t="n">
        <v>6500</v>
      </c>
      <c r="M6" s="34" t="n">
        <v>6500</v>
      </c>
      <c r="N6" s="20">
        <f>IF(COUNT(B6:M6)=0,"",SUM(B6:M6))</f>
        <v>78000</v>
      </c>
    </row>
    <row r="7">
      <c r="A7" s="23" t="inlineStr">
        <is>
          <t>Despesas de casos e viagens previstas</t>
        </is>
      </c>
      <c r="B7" s="34" t="n">
        <v>400</v>
      </c>
      <c r="C7" s="34" t="n">
        <v>400</v>
      </c>
      <c r="D7" s="34" t="n">
        <v>400</v>
      </c>
      <c r="E7" s="34" t="n">
        <v>400</v>
      </c>
      <c r="F7" s="34" t="n">
        <v>400</v>
      </c>
      <c r="G7" s="34" t="n">
        <v>400</v>
      </c>
      <c r="H7" s="34" t="n">
        <v>400</v>
      </c>
      <c r="I7" s="34" t="n">
        <v>400</v>
      </c>
      <c r="J7" s="34" t="n">
        <v>400</v>
      </c>
      <c r="K7" s="34" t="n">
        <v>400</v>
      </c>
      <c r="L7" s="34" t="n">
        <v>400</v>
      </c>
      <c r="M7" s="34" t="n">
        <v>400</v>
      </c>
      <c r="N7" s="20">
        <f>IF(COUNT(B7:M7)=0,"",SUM(B7:M7))</f>
        <v>4800</v>
      </c>
    </row>
    <row r="8">
      <c r="A8" s="23" t="inlineStr">
        <is>
          <t>Pró-labore previsto</t>
        </is>
      </c>
      <c r="B8" s="34" t="n">
        <v>12000</v>
      </c>
      <c r="C8" s="34" t="n">
        <v>12000</v>
      </c>
      <c r="D8" s="34" t="n">
        <v>12000</v>
      </c>
      <c r="E8" s="34" t="n">
        <v>12000</v>
      </c>
      <c r="F8" s="34" t="n">
        <v>12000</v>
      </c>
      <c r="G8" s="34" t="n">
        <v>12000</v>
      </c>
      <c r="H8" s="34" t="n">
        <v>12000</v>
      </c>
      <c r="I8" s="34" t="n">
        <v>12000</v>
      </c>
      <c r="J8" s="34" t="n">
        <v>12000</v>
      </c>
      <c r="K8" s="34" t="n">
        <v>12000</v>
      </c>
      <c r="L8" s="34" t="n">
        <v>12000</v>
      </c>
      <c r="M8" s="34" t="n">
        <v>12000</v>
      </c>
      <c r="N8" s="20">
        <f>IF(COUNT(B8:M8)=0,"",SUM(B8:M8))</f>
        <v>144000</v>
      </c>
    </row>
    <row r="9">
      <c r="A9" s="23" t="inlineStr">
        <is>
          <t>Impostos previstos (% da receita, Config)</t>
        </is>
      </c>
      <c r="B9" s="20">
        <f>IF(B5="","",ROUND(B5*Config!$B$7,0))</f>
        <v>1760</v>
      </c>
      <c r="C9" s="20">
        <f>IF(C5="","",ROUND(C5*Config!$B$7,0))</f>
        <v>1760</v>
      </c>
      <c r="D9" s="20">
        <f>IF(D5="","",ROUND(D5*Config!$B$7,0))</f>
        <v>1920</v>
      </c>
      <c r="E9" s="20">
        <f>IF(E5="","",ROUND(E5*Config!$B$7,0))</f>
        <v>1920</v>
      </c>
      <c r="F9" s="20">
        <f>IF(F5="","",ROUND(F5*Config!$B$7,0))</f>
        <v>2080</v>
      </c>
      <c r="G9" s="20">
        <f>IF(G5="","",ROUND(G5*Config!$B$7,0))</f>
        <v>2080</v>
      </c>
      <c r="H9" s="20">
        <f>IF(H5="","",ROUND(H5*Config!$B$7,0))</f>
        <v>2160</v>
      </c>
      <c r="I9" s="20">
        <f>IF(I5="","",ROUND(I5*Config!$B$7,0))</f>
        <v>2160</v>
      </c>
      <c r="J9" s="20">
        <f>IF(J5="","",ROUND(J5*Config!$B$7,0))</f>
        <v>2160</v>
      </c>
      <c r="K9" s="20">
        <f>IF(K5="","",ROUND(K5*Config!$B$7,0))</f>
        <v>2160</v>
      </c>
      <c r="L9" s="20">
        <f>IF(L5="","",ROUND(L5*Config!$B$7,0))</f>
        <v>2240</v>
      </c>
      <c r="M9" s="20">
        <f>IF(M5="","",ROUND(M5*Config!$B$7,0))</f>
        <v>2240</v>
      </c>
      <c r="N9" s="20">
        <f>IF(COUNT(B9:M9)=0,"",SUM(B9:M9))</f>
        <v>24640</v>
      </c>
    </row>
    <row r="10">
      <c r="A10" s="19" t="inlineStr">
        <is>
          <t>Saídas previstas</t>
        </is>
      </c>
      <c r="B10" s="20">
        <f>IF(B5="","",N(B6)+N(B7)+N(B8)+B9)</f>
        <v>20660</v>
      </c>
      <c r="C10" s="20">
        <f>IF(C5="","",N(C6)+N(C7)+N(C8)+C9)</f>
        <v>20660</v>
      </c>
      <c r="D10" s="20">
        <f>IF(D5="","",N(D6)+N(D7)+N(D8)+D9)</f>
        <v>20820</v>
      </c>
      <c r="E10" s="20">
        <f>IF(E5="","",N(E6)+N(E7)+N(E8)+E9)</f>
        <v>20820</v>
      </c>
      <c r="F10" s="20">
        <f>IF(F5="","",N(F6)+N(F7)+N(F8)+F9)</f>
        <v>20980</v>
      </c>
      <c r="G10" s="20">
        <f>IF(G5="","",N(G6)+N(G7)+N(G8)+G9)</f>
        <v>20980</v>
      </c>
      <c r="H10" s="20">
        <f>IF(H5="","",N(H6)+N(H7)+N(H8)+H9)</f>
        <v>21060</v>
      </c>
      <c r="I10" s="20">
        <f>IF(I5="","",N(I6)+N(I7)+N(I8)+I9)</f>
        <v>21060</v>
      </c>
      <c r="J10" s="20">
        <f>IF(J5="","",N(J6)+N(J7)+N(J8)+J9)</f>
        <v>21060</v>
      </c>
      <c r="K10" s="20">
        <f>IF(K5="","",N(K6)+N(K7)+N(K8)+K9)</f>
        <v>21060</v>
      </c>
      <c r="L10" s="20">
        <f>IF(L5="","",N(L6)+N(L7)+N(L8)+L9)</f>
        <v>21140</v>
      </c>
      <c r="M10" s="20">
        <f>IF(M5="","",N(M6)+N(M7)+N(M8)+M9)</f>
        <v>21140</v>
      </c>
      <c r="N10" s="20">
        <f>IF(COUNT(B10:M10)=0,"",SUM(B10:M10))</f>
        <v>251440</v>
      </c>
    </row>
    <row r="11">
      <c r="A11" s="19" t="inlineStr">
        <is>
          <t>Resultado previsto</t>
        </is>
      </c>
      <c r="B11" s="20">
        <f>IF(B5="","",B5-B10)</f>
        <v>1340</v>
      </c>
      <c r="C11" s="20">
        <f>IF(C5="","",C5-C10)</f>
        <v>1340</v>
      </c>
      <c r="D11" s="20">
        <f>IF(D5="","",D5-D10)</f>
        <v>3180</v>
      </c>
      <c r="E11" s="20">
        <f>IF(E5="","",E5-E10)</f>
        <v>3180</v>
      </c>
      <c r="F11" s="20">
        <f>IF(F5="","",F5-F10)</f>
        <v>5020</v>
      </c>
      <c r="G11" s="20">
        <f>IF(G5="","",G5-G10)</f>
        <v>5020</v>
      </c>
      <c r="H11" s="20">
        <f>IF(H5="","",H5-H10)</f>
        <v>5940</v>
      </c>
      <c r="I11" s="20">
        <f>IF(I5="","",I5-I10)</f>
        <v>5940</v>
      </c>
      <c r="J11" s="20">
        <f>IF(J5="","",J5-J10)</f>
        <v>5940</v>
      </c>
      <c r="K11" s="20">
        <f>IF(K5="","",K5-K10)</f>
        <v>5940</v>
      </c>
      <c r="L11" s="20">
        <f>IF(L5="","",L5-L10)</f>
        <v>6860</v>
      </c>
      <c r="M11" s="20">
        <f>IF(M5="","",M5-M10)</f>
        <v>6860</v>
      </c>
      <c r="N11" s="20">
        <f>IF(COUNT(B11:M11)=0,"",SUM(B11:M11))</f>
        <v>56560</v>
      </c>
    </row>
    <row r="12">
      <c r="A12" s="19" t="inlineStr">
        <is>
          <t>Margem prevista</t>
        </is>
      </c>
      <c r="B12" s="24">
        <f>IF(OR(B5="",B5=0),"",B11/B5)</f>
        <v>0.0609090909090909</v>
      </c>
      <c r="C12" s="24">
        <f>IF(OR(C5="",C5=0),"",C11/C5)</f>
        <v>0.0609090909090909</v>
      </c>
      <c r="D12" s="24">
        <f>IF(OR(D5="",D5=0),"",D11/D5)</f>
        <v>0.1325</v>
      </c>
      <c r="E12" s="24">
        <f>IF(OR(E5="",E5=0),"",E11/E5)</f>
        <v>0.1325</v>
      </c>
      <c r="F12" s="24">
        <f>IF(OR(F5="",F5=0),"",F11/F5)</f>
        <v>0.193076923076923</v>
      </c>
      <c r="G12" s="24">
        <f>IF(OR(G5="",G5=0),"",G11/G5)</f>
        <v>0.193076923076923</v>
      </c>
      <c r="H12" s="24">
        <f>IF(OR(H5="",H5=0),"",H11/H5)</f>
        <v>0.22</v>
      </c>
      <c r="I12" s="24">
        <f>IF(OR(I5="",I5=0),"",I11/I5)</f>
        <v>0.22</v>
      </c>
      <c r="J12" s="24">
        <f>IF(OR(J5="",J5=0),"",J11/J5)</f>
        <v>0.22</v>
      </c>
      <c r="K12" s="24">
        <f>IF(OR(K5="",K5=0),"",K11/K5)</f>
        <v>0.22</v>
      </c>
      <c r="L12" s="24">
        <f>IF(OR(L5="",L5=0),"",L11/L5)</f>
        <v>0.245</v>
      </c>
      <c r="M12" s="24">
        <f>IF(OR(M5="",M5=0),"",M11/M5)</f>
        <v>0.245</v>
      </c>
      <c r="N12" s="24">
        <f>IF(OR(N5="",N5=0),"",N11/N5)</f>
        <v>0.183636363636364</v>
      </c>
    </row>
    <row r="14">
      <c r="A14" s="6" t="inlineStr">
        <is>
          <t>Uma boa previsão de custos fixos é a média dos últimos três meses; de receita, o que já está contratado para o mês (parcelas a vencer na planilha 14) mais o que costuma fechar.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4:N14"/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Resultado Mensal · Kit de Gestão para Advogados</dc:title>
  <dcterms:created xmlns:dcterms="http://purl.org/dc/terms/" xmlns:xsi="http://www.w3.org/2001/XMLSchema-instance" xsi:type="dcterms:W3CDTF">2026-09-14T18:37:12Z</dcterms:created>
  <dcterms:modified xmlns:dcterms="http://purl.org/dc/terms/" xmlns:xsi="http://www.w3.org/2001/XMLSchema-instance" xsi:type="dcterms:W3CDTF">2026-09-14T18:37:12Z</dcterms:modified>
</cp:coreProperties>
</file>