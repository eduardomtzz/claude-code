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19/09/2026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46284.0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46299.0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ROUND($E$20*B24,2)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da parcela (R$; a última fecha o centavo)</t>
        </is>
      </c>
      <c r="E26" s="24">
        <f>IF(B25=0,0,ROUND(E25/B25,2))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46314.0</v>
      </c>
      <c r="C32" s="24">
        <f>IF(1&gt;$B$25,"",IF(1=$B$25,$E$25-$E$26*($B$25-1),$E$26))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46344.0</v>
      </c>
      <c r="C33" s="24">
        <f>IF(2&gt;$B$25,"",IF(2=$B$25,$E$25-$E$26*($B$25-1),$E$26))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46374.0</v>
      </c>
      <c r="C34" s="24">
        <f>IF(3&gt;$B$25,"",IF(3=$B$25,$E$25-$E$26*($B$25-1),$E$26))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IF(4&gt;$B$25,"",IF(4=$B$25,$E$25-$E$26*($B$25-1),$E$26))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IF(5&gt;$B$25,"",IF(5=$B$25,$E$25-$E$26*($B$25-1),$E$26))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IF(6&gt;$B$25,"",IF(6=$B$25,$E$25-$E$26*($B$25-1),$E$26))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IF(7&gt;$B$25,"",IF(7=$B$25,$E$25-$E$26*($B$25-1),$E$26))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IF(8&gt;$B$25,"",IF(8=$B$25,$E$25-$E$26*($B$25-1),$E$26))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IF(9&gt;$B$25,"",IF(9=$B$25,$E$25-$E$26*($B$25-1),$E$26))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IF(10&gt;$B$25,"",IF(10=$B$25,$E$25-$E$26*($B$25-1),$E$26))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IF(11&gt;$B$25,"",IF(11=$B$25,$E$25-$E$26*($B$25-1),$E$26))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IF(12&gt;$B$25,"",IF(12=$B$25,$E$25-$E$26*($B$25-1),$E$26))</f>
        <v/>
      </c>
    </row>
    <row r="44">
      <c r="A44" s="20" t="inlineStr">
        <is>
          <t>Total</t>
        </is>
      </c>
      <c r="C44" s="22">
        <f>SUM(C31:C43)</f>
        <v>4500</v>
      </c>
    </row>
    <row r="45">
      <c r="A45" s="20" t="inlineStr">
        <is>
          <t>Confere com o valor da proposta?</t>
        </is>
      </c>
      <c r="C45" s="20" t="str">
        <f>IF(ABS(C44-$E$20)&lt;0.01,"Sim","NÃO: faltam "&amp;FIXED($E$20-C44,2)&amp;" sem vencimento. Ajuste a entrada ou o número de parcelas antes de enviar.")</f>
        <v>Sim</v>
      </c>
      <c r="D45" s="28" t="n"/>
      <c r="E45" s="28" t="n"/>
      <c r="F45" s="29" t="n"/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04/10/2026.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50:E50"/>
    <mergeCell ref="C45:F45"/>
    <mergeCell ref="B8:E8"/>
    <mergeCell ref="A48:E48"/>
    <mergeCell ref="A2:E2"/>
    <mergeCell ref="A49:E49"/>
    <mergeCell ref="A47:E47"/>
    <mergeCell ref="A1:E1"/>
    <mergeCell ref="B21:D21"/>
    <mergeCell ref="A3:E3"/>
  </mergeCells>
  <conditionalFormatting sqref="C45">
    <cfRule type="expression" priority="1" dxfId="0">
      <formula>LEFT(C45,3)="NÃO"</formula>
    </cfRule>
    <cfRule type="expression" priority="2" dxfId="1">
      <formula>C45="Sim"</formula>
    </cfRule>
  </conditionalFormatting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Zero só é aceito quando a entrada quita o valor todo; com saldo em aberto, a proposta precisa de cronograma." type="custom">
      <formula1>=AND(B25=INT(B25),B25&gt;=0,B25&lt;=12,OR(B25&gt;0,ROUND($E$20-E24,2)&lt;=0))</formula1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2">
      <formula>LEFT($L9,5)="Vence"</formula>
    </cfRule>
  </conditionalFormatting>
  <conditionalFormatting sqref="J9:J108">
    <cfRule type="expression" priority="3" dxfId="3">
      <formula>$J9="Fechada"</formula>
    </cfRule>
    <cfRule type="expression" priority="4" dxfId="4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2026-09-19T15:22:08Z</dcterms:created>
  <dcterms:modified xmlns:dcterms="http://purl.org/dc/terms/" xmlns:xsi="http://www.w3.org/2001/XMLSchema-instance" xsi:type="dcterms:W3CDTF">2026-09-19T15:22:08Z</dcterms:modified>
</cp:coreProperties>
</file>