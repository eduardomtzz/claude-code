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roposta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gistro" sheetId="4" state="visible" r:id="rId4"/>
  </sheets>
  <definedNames>
    <definedName name="_xlnm.Print_Area" localSheetId="1">'Proposta'!$A$1:$E$58</definedName>
    <definedName name="_xlnm._FilterDatabase" localSheetId="3" hidden="1">'Registro'!$A$8:$M$108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;[Red]-&quot;R$&quot; #,##0.00"/>
    <numFmt numFmtId="166" formatCode="&quot;R$&quot; #,##0;[Red]-&quot;R$&quot; #,##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3B1F5E"/>
      <sz val="12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4" fontId="4" fillId="0" borderId="1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165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1" fontId="4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9" fontId="4" fillId="2" borderId="1" applyAlignment="1" applyProtection="1" pivotButton="0" quotePrefix="0" xfId="0">
      <alignment horizontal="center"/>
      <protection locked="0" hidden="0"/>
    </xf>
    <xf numFmtId="165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165" fontId="4" fillId="2" borderId="1" applyProtection="1" pivotButton="0" quotePrefix="0" xfId="0"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Proposta de honorários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Monta a proposta de honorários pronta para o cliente (etapas, valores, entrada, parcelas com datas, validade) e guarda o registro das propostas enviadas com situação e alerta de validade.</t>
        </is>
      </c>
    </row>
    <row r="5" ht="46" customHeight="1">
      <c r="A5" s="3" t="inlineStr">
        <is>
          <t>Passo 1</t>
        </is>
      </c>
      <c r="B5" s="4" t="inlineStr">
        <is>
          <t>Em Config, dados do escritório (aparecem no cabeçalho) e as listas de áreas, modalidades, formas de pagamento e situações.</t>
        </is>
      </c>
    </row>
    <row r="6" ht="46" customHeight="1">
      <c r="A6" s="3" t="inlineStr">
        <is>
          <t>Passo 2</t>
        </is>
      </c>
      <c r="B6" s="4" t="inlineStr">
        <is>
          <t>Em Proposta, preencha o amarelo: número, data, cliente, etapas com valor, percentual de êxito (se houver), entrada, parcelas e intervalo. O cronograma e a validade são calculados.</t>
        </is>
      </c>
    </row>
    <row r="7" ht="46" customHeight="1">
      <c r="A7" s="3" t="inlineStr">
        <is>
          <t>Passo 3</t>
        </is>
      </c>
      <c r="B7" s="4" t="inlineStr">
        <is>
          <t>Imprima ou salve em PDF (Arquivo &gt; Imprimir; já está ajustado para uma página A4) e envie. Depois anote a proposta na aba Registro.</t>
        </is>
      </c>
    </row>
    <row r="8" ht="46" customHeight="1">
      <c r="A8" s="3" t="inlineStr">
        <is>
          <t>Passo 4</t>
        </is>
      </c>
      <c r="B8" s="4" t="inlineStr">
        <is>
          <t>Em Registro, atualize a situação quando o cliente responder. O topo mostra quantas estão aguardando, fechadas, perdidas e a taxa de fechamento.</t>
        </is>
      </c>
    </row>
    <row r="9" ht="46" customHeight="1">
      <c r="A9" s="3" t="inlineStr">
        <is>
          <t>Rotina</t>
        </is>
      </c>
      <c r="B9" s="4" t="inlineStr">
        <is>
          <t>Sexta-feira, 5 minutos: olhe os alertas do Registro e retome contato com quem está perto de vencer.</t>
        </is>
      </c>
    </row>
    <row r="10" ht="46" customHeight="1">
      <c r="A10" s="3" t="inlineStr">
        <is>
          <t>Com a IA</t>
        </is>
      </c>
      <c r="B10" s="4" t="inlineStr">
        <is>
          <t>Copie a proposta e peça à IA para revisar clareza e tom antes de enviar, ou para escrever a mensagem de acompanhamento de uma proposta sem resposta. Os valores vêm do Simulador (planilha 06).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2" customWidth="1" min="3" max="3"/>
    <col width="14" customWidth="1" min="4" max="4"/>
    <col width="16" customWidth="1" min="5" max="5"/>
  </cols>
  <sheetData>
    <row r="1" ht="28" customHeight="1">
      <c r="A1" s="5">
        <f>Config!$B$4&amp;" · Proposta de honorários · "&amp;TEXT(DAY($E$4),"00")&amp;"/"&amp;TEXT(MONTH($E$4),"00")&amp;"/"&amp;YEAR($E$4)</f>
        <v/>
      </c>
    </row>
    <row r="2">
      <c r="A2" s="6" t="inlineStr">
        <is>
          <t>Preencha o amarelo. A tabela abaixo sai pronta para imprimir em A4 (Arquivo &gt; Imprimir) ou salvar em PDF e enviar ao cliente.</t>
        </is>
      </c>
    </row>
    <row r="3">
      <c r="A3" s="7">
        <f>Config!$B$7&amp;" · "&amp;Config!$B$8&amp;" · "&amp;Config!$B$9</f>
        <v/>
      </c>
    </row>
    <row r="4">
      <c r="A4" s="8" t="inlineStr">
        <is>
          <t>Proposta nº</t>
        </is>
      </c>
      <c r="B4" s="9" t="inlineStr">
        <is>
          <t>2026-014</t>
        </is>
      </c>
      <c r="D4" s="8" t="inlineStr">
        <is>
          <t>Data</t>
        </is>
      </c>
      <c r="E4" s="10">
        <f>TODAY()</f>
        <v/>
      </c>
    </row>
    <row r="5">
      <c r="A5" s="8" t="inlineStr">
        <is>
          <t>Cliente</t>
        </is>
      </c>
      <c r="B5" s="9" t="inlineStr">
        <is>
          <t>Roberto Almeida</t>
        </is>
      </c>
      <c r="D5" s="8" t="inlineStr">
        <is>
          <t>Válida por (dias)</t>
        </is>
      </c>
      <c r="E5" s="11" t="n">
        <v>15</v>
      </c>
    </row>
    <row r="6">
      <c r="A6" s="8" t="inlineStr">
        <is>
          <t>Contato do cliente</t>
        </is>
      </c>
      <c r="B6" s="9" t="inlineStr">
        <is>
          <t>roberto@exemplo.com.br</t>
        </is>
      </c>
      <c r="D6" s="8" t="inlineStr">
        <is>
          <t>Válida até</t>
        </is>
      </c>
      <c r="E6" s="12">
        <f>E4+E5</f>
        <v/>
      </c>
    </row>
    <row r="7">
      <c r="A7" s="8" t="inlineStr">
        <is>
          <t>Área</t>
        </is>
      </c>
      <c r="B7" s="9" t="inlineStr">
        <is>
          <t>Cível</t>
        </is>
      </c>
      <c r="D7" s="8" t="inlineStr">
        <is>
          <t>Modalidade</t>
        </is>
      </c>
      <c r="E7" s="13" t="inlineStr">
        <is>
          <t>Misto</t>
        </is>
      </c>
    </row>
    <row r="8" ht="32" customHeight="1">
      <c r="A8" s="8" t="inlineStr">
        <is>
          <t>Objeto (resumo do serviço)</t>
        </is>
      </c>
      <c r="B8" s="14" t="inlineStr">
        <is>
          <t>Acompanhamento da discussão sobre contrato de prestação de serviços, da análise inicial ao encerramento.</t>
        </is>
      </c>
      <c r="C8" s="15" t="n"/>
      <c r="D8" s="15" t="n"/>
      <c r="E8" s="16" t="n"/>
    </row>
    <row r="10">
      <c r="A10" s="17" t="inlineStr">
        <is>
          <t>Serviços e etapas</t>
        </is>
      </c>
    </row>
    <row r="11" ht="26" customHeight="1">
      <c r="A11" s="18" t="inlineStr">
        <is>
          <t>Etapa ou serviço</t>
        </is>
      </c>
      <c r="B11" s="18" t="inlineStr">
        <is>
          <t>O que inclui</t>
        </is>
      </c>
      <c r="C11" s="18" t="inlineStr">
        <is>
          <t>Prazo previsto</t>
        </is>
      </c>
      <c r="D11" s="18" t="inlineStr">
        <is>
          <t>Horas previstas</t>
        </is>
      </c>
      <c r="E11" s="18" t="inlineStr">
        <is>
          <t>Valor (R$)</t>
        </is>
      </c>
    </row>
    <row r="12">
      <c r="A12" s="9" t="inlineStr">
        <is>
          <t>Análise inicial e planejamento</t>
        </is>
      </c>
      <c r="B12" s="14" t="inlineStr">
        <is>
          <t>Reunião, leitura dos documentos e definição da estratégia</t>
        </is>
      </c>
      <c r="C12" s="9" t="inlineStr">
        <is>
          <t>até 15 dias</t>
        </is>
      </c>
      <c r="D12" s="11" t="n">
        <v>8</v>
      </c>
      <c r="E12" s="19" t="n">
        <v>900</v>
      </c>
    </row>
    <row r="13">
      <c r="A13" s="9" t="inlineStr">
        <is>
          <t>Fase inicial</t>
        </is>
      </c>
      <c r="B13" s="14" t="inlineStr">
        <is>
          <t>Redação e protocolo do pedido, acompanhamento das primeiras respostas</t>
        </is>
      </c>
      <c r="C13" s="9" t="inlineStr">
        <is>
          <t>até 60 dias</t>
        </is>
      </c>
      <c r="D13" s="11" t="n">
        <v>18</v>
      </c>
      <c r="E13" s="19" t="n">
        <v>1800</v>
      </c>
    </row>
    <row r="14">
      <c r="A14" s="9" t="inlineStr">
        <is>
          <t>Acompanhamento até a decisão</t>
        </is>
      </c>
      <c r="B14" s="14" t="inlineStr">
        <is>
          <t>Manifestações, audiências e reuniões com o cliente</t>
        </is>
      </c>
      <c r="C14" s="9" t="inlineStr">
        <is>
          <t>durante o caso</t>
        </is>
      </c>
      <c r="D14" s="11" t="n">
        <v>22</v>
      </c>
      <c r="E14" s="19" t="n">
        <v>1200</v>
      </c>
    </row>
    <row r="15">
      <c r="A15" s="9" t="inlineStr">
        <is>
          <t>Encerramento</t>
        </is>
      </c>
      <c r="B15" s="14" t="inlineStr">
        <is>
          <t>Prestação de contas e organização dos documentos finais</t>
        </is>
      </c>
      <c r="C15" s="9" t="inlineStr">
        <is>
          <t>ao fim do caso</t>
        </is>
      </c>
      <c r="D15" s="11" t="n">
        <v>5</v>
      </c>
      <c r="E15" s="19" t="n">
        <v>600</v>
      </c>
    </row>
    <row r="16">
      <c r="A16" s="9" t="n"/>
      <c r="B16" s="14" t="n"/>
      <c r="C16" s="9" t="n"/>
      <c r="D16" s="11" t="n"/>
      <c r="E16" s="19" t="n"/>
    </row>
    <row r="17">
      <c r="A17" s="9" t="n"/>
      <c r="B17" s="14" t="n"/>
      <c r="C17" s="9" t="n"/>
      <c r="D17" s="11" t="n"/>
      <c r="E17" s="19" t="n"/>
    </row>
    <row r="18">
      <c r="A18" s="9" t="n"/>
      <c r="B18" s="14" t="n"/>
      <c r="C18" s="9" t="n"/>
      <c r="D18" s="11" t="n"/>
      <c r="E18" s="19" t="n"/>
    </row>
    <row r="19">
      <c r="A19" s="9" t="n"/>
      <c r="B19" s="14" t="n"/>
      <c r="C19" s="9" t="n"/>
      <c r="D19" s="11" t="n"/>
      <c r="E19" s="19" t="n"/>
    </row>
    <row r="20">
      <c r="A20" s="20" t="inlineStr">
        <is>
          <t>Total dos honorários fixos</t>
        </is>
      </c>
      <c r="D20" s="21">
        <f>SUM(D12:D19)</f>
        <v/>
      </c>
      <c r="E20" s="22">
        <f>SUM(E12:E19)</f>
        <v/>
      </c>
    </row>
    <row r="21">
      <c r="A21" s="20" t="inlineStr">
        <is>
          <t>Honorários de êxito (% sobre o resultado)</t>
        </is>
      </c>
      <c r="B21" s="9" t="inlineStr">
        <is>
          <t>Sobre o valor efetivamente recebido ou economizado pelo cliente ao fim do caso. Deixe 0% se não houver.</t>
        </is>
      </c>
      <c r="C21" s="15" t="n"/>
      <c r="D21" s="16" t="n"/>
      <c r="E21" s="23" t="n">
        <v>0.15</v>
      </c>
    </row>
    <row r="23">
      <c r="A23" s="17" t="inlineStr">
        <is>
          <t>Condições de pagamento</t>
        </is>
      </c>
    </row>
    <row r="24">
      <c r="A24" s="8" t="inlineStr">
        <is>
          <t>Entrada (% do valor fixo)</t>
        </is>
      </c>
      <c r="B24" s="23" t="n">
        <v>0.4</v>
      </c>
      <c r="D24" s="8" t="inlineStr">
        <is>
          <t>Entrada (R$)</t>
        </is>
      </c>
      <c r="E24" s="24">
        <f>$E$20*B24</f>
        <v/>
      </c>
    </row>
    <row r="25">
      <c r="A25" s="8" t="inlineStr">
        <is>
          <t>Parcelas do restante (1 a 12)</t>
        </is>
      </c>
      <c r="B25" s="11" t="n">
        <v>3</v>
      </c>
      <c r="D25" s="8" t="inlineStr">
        <is>
          <t>Restante (R$)</t>
        </is>
      </c>
      <c r="E25" s="24">
        <f>$E$20-E24</f>
        <v/>
      </c>
    </row>
    <row r="26">
      <c r="A26" s="8" t="inlineStr">
        <is>
          <t>Primeira parcela (dias após a entrada)</t>
        </is>
      </c>
      <c r="B26" s="11" t="n">
        <v>30</v>
      </c>
      <c r="D26" s="8" t="inlineStr">
        <is>
          <t>Valor de cada parcela (R$)</t>
        </is>
      </c>
      <c r="E26" s="24">
        <f>IF(B25=0,0,E25/B25)</f>
        <v/>
      </c>
    </row>
    <row r="27">
      <c r="A27" s="8" t="inlineStr">
        <is>
          <t>Intervalo entre parcelas (dias)</t>
        </is>
      </c>
      <c r="B27" s="11" t="n">
        <v>30</v>
      </c>
      <c r="D27" s="8" t="inlineStr">
        <is>
          <t>Forma de pagamento</t>
        </is>
      </c>
      <c r="E27" s="13" t="inlineStr">
        <is>
          <t>Pix</t>
        </is>
      </c>
    </row>
    <row r="29">
      <c r="A29" s="17" t="inlineStr">
        <is>
          <t>Cronograma de pagamento</t>
        </is>
      </c>
    </row>
    <row r="30" ht="26" customHeight="1">
      <c r="A30" s="18" t="inlineStr">
        <is>
          <t>Parcela</t>
        </is>
      </c>
      <c r="B30" s="18" t="inlineStr">
        <is>
          <t>Vencimento</t>
        </is>
      </c>
      <c r="C30" s="18" t="inlineStr">
        <is>
          <t>Valor (R$)</t>
        </is>
      </c>
      <c r="E30" s="25" t="inlineStr">
        <is>
          <t>Datas contadas a partir da data da proposta. Se o aceite demorar, refaça a proposta com a data nova.</t>
        </is>
      </c>
    </row>
    <row r="31">
      <c r="A31" s="26">
        <f>IF($E$24=0,"","Entrada")</f>
        <v/>
      </c>
      <c r="B31" s="27">
        <f>IF($E$24=0,"","Na aceitação da proposta")</f>
        <v/>
      </c>
      <c r="C31" s="24">
        <f>IF($E$24=0,"",$E$24)</f>
        <v/>
      </c>
    </row>
    <row r="32">
      <c r="A32" s="26">
        <f>IF(1&gt;$B$25,"","Parcela 1 de "&amp;$B$25)</f>
        <v/>
      </c>
      <c r="B32" s="12">
        <f>IF(1&gt;$B$25,"",$E$4+$B$26+(1-1)*$B$27)</f>
        <v/>
      </c>
      <c r="C32" s="24">
        <f>IF(1&gt;$B$25,"",$E$26)</f>
        <v/>
      </c>
    </row>
    <row r="33">
      <c r="A33" s="26">
        <f>IF(2&gt;$B$25,"","Parcela 2 de "&amp;$B$25)</f>
        <v/>
      </c>
      <c r="B33" s="12">
        <f>IF(2&gt;$B$25,"",$E$4+$B$26+(2-1)*$B$27)</f>
        <v/>
      </c>
      <c r="C33" s="24">
        <f>IF(2&gt;$B$25,"",$E$26)</f>
        <v/>
      </c>
    </row>
    <row r="34">
      <c r="A34" s="26">
        <f>IF(3&gt;$B$25,"","Parcela 3 de "&amp;$B$25)</f>
        <v/>
      </c>
      <c r="B34" s="12">
        <f>IF(3&gt;$B$25,"",$E$4+$B$26+(3-1)*$B$27)</f>
        <v/>
      </c>
      <c r="C34" s="24">
        <f>IF(3&gt;$B$25,"",$E$26)</f>
        <v/>
      </c>
    </row>
    <row r="35">
      <c r="A35" s="26">
        <f>IF(4&gt;$B$25,"","Parcela 4 de "&amp;$B$25)</f>
        <v/>
      </c>
      <c r="B35" s="12">
        <f>IF(4&gt;$B$25,"",$E$4+$B$26+(4-1)*$B$27)</f>
        <v/>
      </c>
      <c r="C35" s="24">
        <f>IF(4&gt;$B$25,"",$E$26)</f>
        <v/>
      </c>
    </row>
    <row r="36">
      <c r="A36" s="26">
        <f>IF(5&gt;$B$25,"","Parcela 5 de "&amp;$B$25)</f>
        <v/>
      </c>
      <c r="B36" s="12">
        <f>IF(5&gt;$B$25,"",$E$4+$B$26+(5-1)*$B$27)</f>
        <v/>
      </c>
      <c r="C36" s="24">
        <f>IF(5&gt;$B$25,"",$E$26)</f>
        <v/>
      </c>
    </row>
    <row r="37">
      <c r="A37" s="26">
        <f>IF(6&gt;$B$25,"","Parcela 6 de "&amp;$B$25)</f>
        <v/>
      </c>
      <c r="B37" s="12">
        <f>IF(6&gt;$B$25,"",$E$4+$B$26+(6-1)*$B$27)</f>
        <v/>
      </c>
      <c r="C37" s="24">
        <f>IF(6&gt;$B$25,"",$E$26)</f>
        <v/>
      </c>
    </row>
    <row r="38">
      <c r="A38" s="26">
        <f>IF(7&gt;$B$25,"","Parcela 7 de "&amp;$B$25)</f>
        <v/>
      </c>
      <c r="B38" s="12">
        <f>IF(7&gt;$B$25,"",$E$4+$B$26+(7-1)*$B$27)</f>
        <v/>
      </c>
      <c r="C38" s="24">
        <f>IF(7&gt;$B$25,"",$E$26)</f>
        <v/>
      </c>
    </row>
    <row r="39">
      <c r="A39" s="26">
        <f>IF(8&gt;$B$25,"","Parcela 8 de "&amp;$B$25)</f>
        <v/>
      </c>
      <c r="B39" s="12">
        <f>IF(8&gt;$B$25,"",$E$4+$B$26+(8-1)*$B$27)</f>
        <v/>
      </c>
      <c r="C39" s="24">
        <f>IF(8&gt;$B$25,"",$E$26)</f>
        <v/>
      </c>
    </row>
    <row r="40">
      <c r="A40" s="26">
        <f>IF(9&gt;$B$25,"","Parcela 9 de "&amp;$B$25)</f>
        <v/>
      </c>
      <c r="B40" s="12">
        <f>IF(9&gt;$B$25,"",$E$4+$B$26+(9-1)*$B$27)</f>
        <v/>
      </c>
      <c r="C40" s="24">
        <f>IF(9&gt;$B$25,"",$E$26)</f>
        <v/>
      </c>
    </row>
    <row r="41">
      <c r="A41" s="26">
        <f>IF(10&gt;$B$25,"","Parcela 10 de "&amp;$B$25)</f>
        <v/>
      </c>
      <c r="B41" s="12">
        <f>IF(10&gt;$B$25,"",$E$4+$B$26+(10-1)*$B$27)</f>
        <v/>
      </c>
      <c r="C41" s="24">
        <f>IF(10&gt;$B$25,"",$E$26)</f>
        <v/>
      </c>
    </row>
    <row r="42">
      <c r="A42" s="26">
        <f>IF(11&gt;$B$25,"","Parcela 11 de "&amp;$B$25)</f>
        <v/>
      </c>
      <c r="B42" s="12">
        <f>IF(11&gt;$B$25,"",$E$4+$B$26+(11-1)*$B$27)</f>
        <v/>
      </c>
      <c r="C42" s="24">
        <f>IF(11&gt;$B$25,"",$E$26)</f>
        <v/>
      </c>
    </row>
    <row r="43">
      <c r="A43" s="26">
        <f>IF(12&gt;$B$25,"","Parcela 12 de "&amp;$B$25)</f>
        <v/>
      </c>
      <c r="B43" s="12">
        <f>IF(12&gt;$B$25,"",$E$4+$B$26+(12-1)*$B$27)</f>
        <v/>
      </c>
      <c r="C43" s="24">
        <f>IF(12&gt;$B$25,"",$E$26)</f>
        <v/>
      </c>
    </row>
    <row r="44">
      <c r="A44" s="20" t="inlineStr">
        <is>
          <t>Total</t>
        </is>
      </c>
      <c r="C44" s="22">
        <f>SUM(C31:C43)</f>
        <v/>
      </c>
    </row>
    <row r="46">
      <c r="A46" s="17" t="inlineStr">
        <is>
          <t>Condições gerais</t>
        </is>
      </c>
    </row>
    <row r="47" ht="28" customHeight="1">
      <c r="A47" s="14" t="inlineStr">
        <is>
          <t>Despesas do caso (taxas, deslocamentos, cópias, terceiros) são cobradas à parte, mediante comprovante.</t>
        </is>
      </c>
      <c r="B47" s="15" t="n"/>
      <c r="C47" s="15" t="n"/>
      <c r="D47" s="15" t="n"/>
      <c r="E47" s="16" t="n"/>
    </row>
    <row r="48" ht="28" customHeight="1">
      <c r="A48" s="14" t="inlineStr">
        <is>
          <t>Os valores valem para as etapas descritas acima. Serviços fora deste escopo serão orçados separadamente.</t>
        </is>
      </c>
      <c r="B48" s="15" t="n"/>
      <c r="C48" s="15" t="n"/>
      <c r="D48" s="15" t="n"/>
      <c r="E48" s="16" t="n"/>
    </row>
    <row r="49" ht="28" customHeight="1">
      <c r="A49" s="14" t="inlineStr">
        <is>
          <t>Os honorários de êxito, quando previstos, são calculados sobre o resultado efetivamente obtido, ao fim do caso.</t>
        </is>
      </c>
      <c r="B49" s="15" t="n"/>
      <c r="C49" s="15" t="n"/>
      <c r="D49" s="15" t="n"/>
      <c r="E49" s="16" t="n"/>
    </row>
    <row r="50">
      <c r="A50" s="26">
        <f>"Forma de pagamento: "&amp;$E$27&amp;". Esta proposta é válida até "&amp;TEXT(DAY($E$6),"00")&amp;"/"&amp;TEXT(MONTH($E$6),"00")&amp;"/"&amp;YEAR($E$6)&amp;"."</f>
        <v/>
      </c>
      <c r="B50" s="28" t="n"/>
      <c r="C50" s="28" t="n"/>
      <c r="D50" s="28" t="n"/>
      <c r="E50" s="29" t="n"/>
    </row>
    <row r="53">
      <c r="A53" s="8" t="inlineStr">
        <is>
          <t>De acordo:</t>
        </is>
      </c>
    </row>
    <row r="55">
      <c r="A55" t="inlineStr">
        <is>
          <t>______________________________________</t>
        </is>
      </c>
      <c r="D55" t="inlineStr">
        <is>
          <t>______________________________________</t>
        </is>
      </c>
    </row>
    <row r="56">
      <c r="A56" s="30">
        <f>$B$5</f>
        <v/>
      </c>
      <c r="D56" s="30">
        <f>Config!$B$10&amp;" · "&amp;Config!$B$4</f>
        <v/>
      </c>
    </row>
    <row r="58">
      <c r="A58" s="7" t="inlineStr">
        <is>
          <t>A proposta não substitui o contrato de honorários do escritório; ela organiza o que foi combinado antes de formalizar.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A50:E50"/>
    <mergeCell ref="B8:E8"/>
    <mergeCell ref="A48:E48"/>
    <mergeCell ref="A2:E2"/>
    <mergeCell ref="A49:E49"/>
    <mergeCell ref="A47:E47"/>
    <mergeCell ref="A1:E1"/>
    <mergeCell ref="B21:D21"/>
    <mergeCell ref="A3:E3"/>
  </mergeCells>
  <dataValidations count="4">
    <dataValidation sqref="B7" showDropDown="0" showInputMessage="0" showErrorMessage="1" allowBlank="1" type="list">
      <formula1>=OFFSET(Config!$D$14,0,0,MAX(1,COUNTA(Config!$D$14:$D$33)),1)</formula1>
    </dataValidation>
    <dataValidation sqref="E7" showDropDown="0" showInputMessage="0" showErrorMessage="1" allowBlank="1" type="list">
      <formula1>=OFFSET(Config!$F$14,0,0,MAX(1,COUNTA(Config!$F$14:$F$33)),1)</formula1>
    </dataValidation>
    <dataValidation sqref="B25" showDropDown="0" showInputMessage="0" showErrorMessage="0" allowBlank="0" type="whole" operator="between">
      <formula1>0</formula1>
      <formula2>12</formula2>
    </dataValidation>
    <dataValidation sqref="E27" showDropDown="0" showInputMessage="0" showErrorMessage="1" allowBlank="1" type="list">
      <formula1>=OFFSET(Config!$H$14,0,0,MAX(1,COUNTA(Config!$H$14:$H$33)),1)</formula1>
    </dataValidation>
  </dataValidations>
  <printOptions horizontalCentered="1"/>
  <pageMargins left="0.6" right="0.6" top="0.6" bottom="0.6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" customWidth="1" min="3" max="3"/>
    <col width="18" customWidth="1" min="4" max="4"/>
    <col width="3" customWidth="1" min="5" max="5"/>
    <col width="14" customWidth="1" min="6" max="6"/>
    <col width="3" customWidth="1" min="7" max="7"/>
    <col width="20" customWidth="1" min="8" max="8"/>
    <col width="3" customWidth="1" min="9" max="9"/>
    <col width="14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Os dados do escritório aparecem no cabeçalho da proposta.</t>
        </is>
      </c>
    </row>
    <row r="4">
      <c r="A4" s="8" t="inlineStr">
        <is>
          <t>Nome do escritório</t>
        </is>
      </c>
      <c r="B4" s="9" t="inlineStr">
        <is>
          <t>Ferraz &amp; Lima Advocacia (exemplo fictício)</t>
        </is>
      </c>
    </row>
    <row r="5">
      <c r="A5" s="8" t="inlineStr">
        <is>
          <t>Mês de referência</t>
        </is>
      </c>
      <c r="B5" s="9" t="inlineStr">
        <is>
          <t>Setembro de 2026</t>
        </is>
      </c>
    </row>
    <row r="6">
      <c r="A6" s="8" t="inlineStr">
        <is>
          <t>Data de referência</t>
        </is>
      </c>
      <c r="B6" s="12">
        <f>TODAY()</f>
        <v/>
      </c>
    </row>
    <row r="7">
      <c r="A7" s="8" t="inlineStr">
        <is>
          <t>Telefone e WhatsApp</t>
        </is>
      </c>
      <c r="B7" s="9" t="inlineStr">
        <is>
          <t>(11) 0000-0000</t>
        </is>
      </c>
    </row>
    <row r="8">
      <c r="A8" s="8" t="inlineStr">
        <is>
          <t>E-mail</t>
        </is>
      </c>
      <c r="B8" s="9" t="inlineStr">
        <is>
          <t>contato@exemplo.com.br</t>
        </is>
      </c>
    </row>
    <row r="9">
      <c r="A9" s="8" t="inlineStr">
        <is>
          <t>Endereço</t>
        </is>
      </c>
      <c r="B9" s="9" t="inlineStr">
        <is>
          <t>Rua Exemplo, 100 · São Paulo · SP</t>
        </is>
      </c>
    </row>
    <row r="10">
      <c r="A10" s="8" t="inlineStr">
        <is>
          <t>Responsável pela proposta</t>
        </is>
      </c>
      <c r="B10" s="9" t="inlineStr">
        <is>
          <t>Marina Ferraz</t>
        </is>
      </c>
    </row>
    <row r="12">
      <c r="A12" s="8" t="inlineStr">
        <is>
          <t>Listas (preencha de cima para baixo, sem pular linha)</t>
        </is>
      </c>
    </row>
    <row r="13">
      <c r="D13" s="8" t="inlineStr">
        <is>
          <t>Áreas</t>
        </is>
      </c>
      <c r="F13" s="8" t="inlineStr">
        <is>
          <t>Modalidades</t>
        </is>
      </c>
      <c r="H13" s="8" t="inlineStr">
        <is>
          <t>Formas de pagamento</t>
        </is>
      </c>
      <c r="J13" s="8" t="inlineStr">
        <is>
          <t>Situações</t>
        </is>
      </c>
    </row>
    <row r="14">
      <c r="D14" s="9" t="inlineStr">
        <is>
          <t>Cível</t>
        </is>
      </c>
      <c r="F14" s="9" t="inlineStr">
        <is>
          <t>Fixo</t>
        </is>
      </c>
      <c r="H14" s="9" t="inlineStr">
        <is>
          <t>Pix</t>
        </is>
      </c>
      <c r="J14" s="9" t="inlineStr">
        <is>
          <t>Enviada</t>
        </is>
      </c>
    </row>
    <row r="15">
      <c r="D15" s="9" t="inlineStr">
        <is>
          <t>Trabalhista</t>
        </is>
      </c>
      <c r="F15" s="9" t="inlineStr">
        <is>
          <t>Hora</t>
        </is>
      </c>
      <c r="H15" s="9" t="inlineStr">
        <is>
          <t>Transferência</t>
        </is>
      </c>
      <c r="J15" s="9" t="inlineStr">
        <is>
          <t>Fechada</t>
        </is>
      </c>
    </row>
    <row r="16">
      <c r="D16" s="9" t="inlineStr">
        <is>
          <t>Previdenciário</t>
        </is>
      </c>
      <c r="F16" s="9" t="inlineStr">
        <is>
          <t>Êxito</t>
        </is>
      </c>
      <c r="H16" s="9" t="inlineStr">
        <is>
          <t>Boleto</t>
        </is>
      </c>
      <c r="J16" s="9" t="inlineStr">
        <is>
          <t>Perdida</t>
        </is>
      </c>
    </row>
    <row r="17">
      <c r="D17" s="9" t="inlineStr">
        <is>
          <t>Empresarial</t>
        </is>
      </c>
      <c r="F17" s="9" t="inlineStr">
        <is>
          <t>Misto</t>
        </is>
      </c>
      <c r="H17" s="9" t="inlineStr">
        <is>
          <t>Cartão</t>
        </is>
      </c>
      <c r="J17" s="9" t="n"/>
    </row>
    <row r="18">
      <c r="D18" s="9" t="inlineStr">
        <is>
          <t>Família</t>
        </is>
      </c>
      <c r="F18" s="9" t="n"/>
      <c r="H18" s="9" t="n"/>
      <c r="J18" s="9" t="n"/>
    </row>
    <row r="19">
      <c r="D19" s="9" t="n"/>
      <c r="F19" s="9" t="n"/>
      <c r="H19" s="9" t="n"/>
      <c r="J19" s="9" t="n"/>
    </row>
    <row r="20">
      <c r="D20" s="9" t="n"/>
      <c r="F20" s="9" t="n"/>
      <c r="H20" s="9" t="n"/>
      <c r="J20" s="9" t="n"/>
    </row>
    <row r="21">
      <c r="D21" s="9" t="n"/>
      <c r="F21" s="9" t="n"/>
      <c r="H21" s="9" t="n"/>
      <c r="J21" s="9" t="n"/>
    </row>
    <row r="22">
      <c r="D22" s="9" t="n"/>
      <c r="F22" s="9" t="n"/>
      <c r="H22" s="9" t="n"/>
      <c r="J22" s="9" t="n"/>
    </row>
    <row r="23">
      <c r="D23" s="9" t="n"/>
      <c r="F23" s="9" t="n"/>
      <c r="H23" s="9" t="n"/>
      <c r="J23" s="9" t="n"/>
    </row>
    <row r="24">
      <c r="D24" s="9" t="n"/>
      <c r="F24" s="9" t="n"/>
      <c r="H24" s="9" t="n"/>
      <c r="J24" s="9" t="n"/>
    </row>
    <row r="25">
      <c r="D25" s="9" t="n"/>
      <c r="F25" s="9" t="n"/>
      <c r="H25" s="9" t="n"/>
      <c r="J25" s="9" t="n"/>
    </row>
    <row r="26">
      <c r="D26" s="9" t="n"/>
      <c r="F26" s="9" t="n"/>
      <c r="H26" s="9" t="n"/>
      <c r="J26" s="9" t="n"/>
    </row>
    <row r="27">
      <c r="D27" s="9" t="n"/>
      <c r="F27" s="9" t="n"/>
      <c r="H27" s="9" t="n"/>
      <c r="J27" s="9" t="n"/>
    </row>
    <row r="28">
      <c r="D28" s="9" t="n"/>
      <c r="F28" s="9" t="n"/>
      <c r="H28" s="9" t="n"/>
      <c r="J28" s="9" t="n"/>
    </row>
    <row r="29">
      <c r="D29" s="9" t="n"/>
      <c r="F29" s="9" t="n"/>
      <c r="H29" s="9" t="n"/>
      <c r="J29" s="9" t="n"/>
    </row>
    <row r="30">
      <c r="D30" s="9" t="n"/>
      <c r="F30" s="9" t="n"/>
      <c r="H30" s="9" t="n"/>
      <c r="J30" s="9" t="n"/>
    </row>
    <row r="31">
      <c r="D31" s="9" t="n"/>
      <c r="F31" s="9" t="n"/>
      <c r="H31" s="9" t="n"/>
      <c r="J31" s="9" t="n"/>
    </row>
    <row r="32">
      <c r="D32" s="9" t="n"/>
      <c r="F32" s="9" t="n"/>
      <c r="H32" s="9" t="n"/>
      <c r="J32" s="9" t="n"/>
    </row>
    <row r="33">
      <c r="D33" s="9" t="n"/>
      <c r="F33" s="9" t="n"/>
      <c r="H33" s="9" t="n"/>
      <c r="J33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4" customWidth="1" min="4" max="4"/>
    <col width="40" customWidth="1" min="5" max="5"/>
    <col width="12" customWidth="1" min="6" max="6"/>
    <col width="16" customWidth="1" min="7" max="7"/>
    <col width="10" customWidth="1" min="8" max="8"/>
    <col width="12" customWidth="1" min="9" max="9"/>
    <col width="11" customWidth="1" min="10" max="10"/>
    <col width="12" customWidth="1" min="11" max="11"/>
    <col width="30" customWidth="1" min="12" max="12"/>
    <col width="34" customWidth="1" min="13" max="13"/>
  </cols>
  <sheetData>
    <row r="1" ht="28" customHeight="1">
      <c r="A1" s="5">
        <f>Config!$B$4&amp;" · Registro de propostas · "&amp;Config!$B$5</f>
        <v/>
      </c>
    </row>
    <row r="2">
      <c r="A2" s="6" t="inlineStr">
        <is>
          <t>Uma linha por proposta enviada. Atualize a situação quando o cliente responder; o alerta avisa validade vencida.</t>
        </is>
      </c>
    </row>
    <row r="4">
      <c r="A4" s="31" t="inlineStr">
        <is>
          <t>Aguardando resposta</t>
        </is>
      </c>
      <c r="B4" s="32" t="n"/>
      <c r="C4" s="33" t="inlineStr">
        <is>
          <t>Fechadas</t>
        </is>
      </c>
      <c r="D4" s="34" t="n"/>
      <c r="E4" s="35" t="inlineStr">
        <is>
          <t>Perdidas</t>
        </is>
      </c>
      <c r="F4" s="36" t="n"/>
      <c r="G4" s="37" t="inlineStr">
        <is>
          <t>Valor fechado</t>
        </is>
      </c>
      <c r="H4" s="38" t="n"/>
      <c r="I4" s="31" t="inlineStr">
        <is>
          <t>Taxa de fechamento</t>
        </is>
      </c>
      <c r="J4" s="32" t="n"/>
      <c r="K4" s="31" t="inlineStr">
        <is>
          <t>Em aberto (R$)</t>
        </is>
      </c>
      <c r="L4" s="32" t="n"/>
    </row>
    <row r="5" ht="30" customHeight="1">
      <c r="A5" s="39">
        <f>COUNTIF($J$9:$J$108,"Enviada")</f>
        <v/>
      </c>
      <c r="B5" s="32" t="n"/>
      <c r="C5" s="40">
        <f>COUNTIF($J$9:$J$108,"Fechada")</f>
        <v/>
      </c>
      <c r="D5" s="34" t="n"/>
      <c r="E5" s="41">
        <f>COUNTIF($J$9:$J$108,"Perdida")</f>
        <v/>
      </c>
      <c r="F5" s="36" t="n"/>
      <c r="G5" s="42">
        <f>SUMIFS($G$9:$G$108,$J$9:$J$108,"Fechada")</f>
        <v/>
      </c>
      <c r="H5" s="38" t="n"/>
      <c r="I5" s="43">
        <f>IFERROR(C5/(C5+E5),0)</f>
        <v/>
      </c>
      <c r="J5" s="32" t="n"/>
      <c r="K5" s="44">
        <f>SUMIFS($G$9:$G$108,$J$9:$J$108,"Enviada")</f>
        <v/>
      </c>
      <c r="L5" s="32" t="n"/>
    </row>
    <row r="8" ht="32" customHeight="1">
      <c r="A8" s="18" t="inlineStr">
        <is>
          <t>Nº</t>
        </is>
      </c>
      <c r="B8" s="18" t="inlineStr">
        <is>
          <t>Data de envio</t>
        </is>
      </c>
      <c r="C8" s="18" t="inlineStr">
        <is>
          <t>Cliente</t>
        </is>
      </c>
      <c r="D8" s="18" t="inlineStr">
        <is>
          <t>Área</t>
        </is>
      </c>
      <c r="E8" s="18" t="inlineStr">
        <is>
          <t>Serviço</t>
        </is>
      </c>
      <c r="F8" s="18" t="inlineStr">
        <is>
          <t>Modalidade</t>
        </is>
      </c>
      <c r="G8" s="18" t="inlineStr">
        <is>
          <t>Valor proposto (R$)</t>
        </is>
      </c>
      <c r="H8" s="18" t="inlineStr">
        <is>
          <t>Válida por (dias)</t>
        </is>
      </c>
      <c r="I8" s="18" t="inlineStr">
        <is>
          <t>Válida até</t>
        </is>
      </c>
      <c r="J8" s="18" t="inlineStr">
        <is>
          <t>Situação</t>
        </is>
      </c>
      <c r="K8" s="18" t="inlineStr">
        <is>
          <t>Data da resposta</t>
        </is>
      </c>
      <c r="L8" s="18" t="inlineStr">
        <is>
          <t>Alerta</t>
        </is>
      </c>
      <c r="M8" s="18" t="inlineStr">
        <is>
          <t>Observação</t>
        </is>
      </c>
    </row>
    <row r="9">
      <c r="A9" s="13" t="inlineStr">
        <is>
          <t>2026-005</t>
        </is>
      </c>
      <c r="B9" s="10" t="n">
        <v>46183</v>
      </c>
      <c r="C9" s="9" t="inlineStr">
        <is>
          <t>Padaria do Sol Ltda</t>
        </is>
      </c>
      <c r="D9" s="13" t="inlineStr">
        <is>
          <t>Empresarial</t>
        </is>
      </c>
      <c r="E9" s="9" t="inlineStr">
        <is>
          <t>Revisão dos contratos com fornecedores</t>
        </is>
      </c>
      <c r="F9" s="13" t="inlineStr">
        <is>
          <t>Fixo</t>
        </is>
      </c>
      <c r="G9" s="45" t="n">
        <v>4800</v>
      </c>
      <c r="H9" s="11" t="n">
        <v>15</v>
      </c>
      <c r="I9" s="12">
        <f>IF(OR(B9="",H9=""),"",B9+H9)</f>
        <v/>
      </c>
      <c r="J9" s="13" t="inlineStr">
        <is>
          <t>Fechada</t>
        </is>
      </c>
      <c r="K9" s="10" t="n">
        <v>46191</v>
      </c>
      <c r="L9" s="26">
        <f>IF(A9="","",IF(J9&lt;&gt;"Enviada","",IF(I9="","",IF(I9&lt;TODAY(),"Validade vencida · retomar contato",IF(I9-TODAY()&lt;=3,"Vence em até 3 dias","")))))</f>
        <v/>
      </c>
      <c r="M9" s="9" t="inlineStr"/>
    </row>
    <row r="10">
      <c r="A10" s="13" t="inlineStr">
        <is>
          <t>2026-006</t>
        </is>
      </c>
      <c r="B10" s="10" t="n">
        <v>46195</v>
      </c>
      <c r="C10" s="9" t="inlineStr">
        <is>
          <t>Ana Beatriz Moreira</t>
        </is>
      </c>
      <c r="D10" s="13" t="inlineStr">
        <is>
          <t>Trabalhista</t>
        </is>
      </c>
      <c r="E10" s="9" t="inlineStr">
        <is>
          <t>Processo trabalhista · fase inicial</t>
        </is>
      </c>
      <c r="F10" s="13" t="inlineStr">
        <is>
          <t>Êxito</t>
        </is>
      </c>
      <c r="G10" s="45" t="n">
        <v>6000</v>
      </c>
      <c r="H10" s="11" t="n">
        <v>15</v>
      </c>
      <c r="I10" s="12">
        <f>IF(OR(B10="",H10=""),"",B10+H10)</f>
        <v/>
      </c>
      <c r="J10" s="13" t="inlineStr">
        <is>
          <t>Perdida</t>
        </is>
      </c>
      <c r="K10" s="10" t="n">
        <v>46208</v>
      </c>
      <c r="L10" s="26">
        <f>IF(A10="","",IF(J10&lt;&gt;"Enviada","",IF(I10="","",IF(I10&lt;TODAY(),"Validade vencida · retomar contato",IF(I10-TODAY()&lt;=3,"Vence em até 3 dias","")))))</f>
        <v/>
      </c>
      <c r="M10" s="9" t="inlineStr">
        <is>
          <t>Fechou com outro escritório</t>
        </is>
      </c>
    </row>
    <row r="11">
      <c r="A11" s="13" t="inlineStr">
        <is>
          <t>2026-007</t>
        </is>
      </c>
      <c r="B11" s="10" t="n">
        <v>46204</v>
      </c>
      <c r="C11" s="9" t="inlineStr">
        <is>
          <t>Construtora Horizonte</t>
        </is>
      </c>
      <c r="D11" s="13" t="inlineStr">
        <is>
          <t>Cível</t>
        </is>
      </c>
      <c r="E11" s="9" t="inlineStr">
        <is>
          <t>Disputa sobre contrato de obra</t>
        </is>
      </c>
      <c r="F11" s="13" t="inlineStr">
        <is>
          <t>Misto</t>
        </is>
      </c>
      <c r="G11" s="45" t="n">
        <v>12000</v>
      </c>
      <c r="H11" s="11" t="n">
        <v>15</v>
      </c>
      <c r="I11" s="12">
        <f>IF(OR(B11="",H11=""),"",B11+H11)</f>
        <v/>
      </c>
      <c r="J11" s="13" t="inlineStr">
        <is>
          <t>Fechada</t>
        </is>
      </c>
      <c r="K11" s="10" t="n">
        <v>46213</v>
      </c>
      <c r="L11" s="26">
        <f>IF(A11="","",IF(J11&lt;&gt;"Enviada","",IF(I11="","",IF(I11&lt;TODAY(),"Validade vencida · retomar contato",IF(I11-TODAY()&lt;=3,"Vence em até 3 dias","")))))</f>
        <v/>
      </c>
      <c r="M11" s="9" t="inlineStr">
        <is>
          <t>Entrada de 30%</t>
        </is>
      </c>
    </row>
    <row r="12">
      <c r="A12" s="13" t="inlineStr">
        <is>
          <t>2026-008</t>
        </is>
      </c>
      <c r="B12" s="10" t="n">
        <v>46211</v>
      </c>
      <c r="C12" s="9" t="inlineStr">
        <is>
          <t>Carlos Eduardo Nunes</t>
        </is>
      </c>
      <c r="D12" s="13" t="inlineStr">
        <is>
          <t>Previdenciário</t>
        </is>
      </c>
      <c r="E12" s="9" t="inlineStr">
        <is>
          <t>Pedido de benefício · acompanhamento</t>
        </is>
      </c>
      <c r="F12" s="13" t="inlineStr">
        <is>
          <t>Êxito</t>
        </is>
      </c>
      <c r="G12" s="45" t="n">
        <v>5000</v>
      </c>
      <c r="H12" s="11" t="n">
        <v>15</v>
      </c>
      <c r="I12" s="12">
        <f>IF(OR(B12="",H12=""),"",B12+H12)</f>
        <v/>
      </c>
      <c r="J12" s="13" t="inlineStr">
        <is>
          <t>Fechada</t>
        </is>
      </c>
      <c r="K12" s="10" t="n">
        <v>46218</v>
      </c>
      <c r="L12" s="26">
        <f>IF(A12="","",IF(J12&lt;&gt;"Enviada","",IF(I12="","",IF(I12&lt;TODAY(),"Validade vencida · retomar contato",IF(I12-TODAY()&lt;=3,"Vence em até 3 dias","")))))</f>
        <v/>
      </c>
      <c r="M12" s="9" t="inlineStr">
        <is>
          <t>Valor estimado; recebe no fim</t>
        </is>
      </c>
    </row>
    <row r="13">
      <c r="A13" s="13" t="inlineStr">
        <is>
          <t>2026-009</t>
        </is>
      </c>
      <c r="B13" s="10" t="n">
        <v>46223</v>
      </c>
      <c r="C13" s="9" t="inlineStr">
        <is>
          <t>Loja Verde Comércio</t>
        </is>
      </c>
      <c r="D13" s="13" t="inlineStr">
        <is>
          <t>Empresarial</t>
        </is>
      </c>
      <c r="E13" s="9" t="inlineStr">
        <is>
          <t>Assessoria mensal (12 meses)</t>
        </is>
      </c>
      <c r="F13" s="13" t="inlineStr">
        <is>
          <t>Fixo</t>
        </is>
      </c>
      <c r="G13" s="45" t="n">
        <v>14400</v>
      </c>
      <c r="H13" s="11" t="n">
        <v>20</v>
      </c>
      <c r="I13" s="12">
        <f>IF(OR(B13="",H13=""),"",B13+H13)</f>
        <v/>
      </c>
      <c r="J13" s="13" t="inlineStr">
        <is>
          <t>Perdida</t>
        </is>
      </c>
      <c r="K13" s="10" t="n">
        <v>46238</v>
      </c>
      <c r="L13" s="26">
        <f>IF(A13="","",IF(J13&lt;&gt;"Enviada","",IF(I13="","",IF(I13&lt;TODAY(),"Validade vencida · retomar contato",IF(I13-TODAY()&lt;=3,"Vence em até 3 dias","")))))</f>
        <v/>
      </c>
      <c r="M13" s="9" t="inlineStr">
        <is>
          <t>Achou caro; retomar em janeiro</t>
        </is>
      </c>
    </row>
    <row r="14">
      <c r="A14" s="13" t="inlineStr">
        <is>
          <t>2026-010</t>
        </is>
      </c>
      <c r="B14" s="10" t="n">
        <v>46237</v>
      </c>
      <c r="C14" s="9" t="inlineStr">
        <is>
          <t>Fernanda Castro</t>
        </is>
      </c>
      <c r="D14" s="13" t="inlineStr">
        <is>
          <t>Família</t>
        </is>
      </c>
      <c r="E14" s="9" t="inlineStr">
        <is>
          <t>Acordo entre as partes</t>
        </is>
      </c>
      <c r="F14" s="13" t="inlineStr">
        <is>
          <t>Fixo</t>
        </is>
      </c>
      <c r="G14" s="45" t="n">
        <v>7000</v>
      </c>
      <c r="H14" s="11" t="n">
        <v>15</v>
      </c>
      <c r="I14" s="12">
        <f>IF(OR(B14="",H14=""),"",B14+H14)</f>
        <v/>
      </c>
      <c r="J14" s="13" t="inlineStr">
        <is>
          <t>Fechada</t>
        </is>
      </c>
      <c r="K14" s="10" t="n">
        <v>46244</v>
      </c>
      <c r="L14" s="26">
        <f>IF(A14="","",IF(J14&lt;&gt;"Enviada","",IF(I14="","",IF(I14&lt;TODAY(),"Validade vencida · retomar contato",IF(I14-TODAY()&lt;=3,"Vence em até 3 dias","")))))</f>
        <v/>
      </c>
      <c r="M14" s="9" t="inlineStr"/>
    </row>
    <row r="15">
      <c r="A15" s="13" t="inlineStr">
        <is>
          <t>2026-011</t>
        </is>
      </c>
      <c r="B15" s="10" t="n">
        <v>46246</v>
      </c>
      <c r="C15" s="9" t="inlineStr">
        <is>
          <t>Bistrô 42</t>
        </is>
      </c>
      <c r="D15" s="13" t="inlineStr">
        <is>
          <t>Trabalhista</t>
        </is>
      </c>
      <c r="E15" s="9" t="inlineStr">
        <is>
          <t>Processo trabalhista · defesa</t>
        </is>
      </c>
      <c r="F15" s="13" t="inlineStr">
        <is>
          <t>Hora</t>
        </is>
      </c>
      <c r="G15" s="45" t="n">
        <v>8500</v>
      </c>
      <c r="H15" s="11" t="n">
        <v>15</v>
      </c>
      <c r="I15" s="12">
        <f>IF(OR(B15="",H15=""),"",B15+H15)</f>
        <v/>
      </c>
      <c r="J15" s="13" t="inlineStr">
        <is>
          <t>Perdida</t>
        </is>
      </c>
      <c r="K15" s="10" t="n">
        <v>46262</v>
      </c>
      <c r="L15" s="26">
        <f>IF(A15="","",IF(J15&lt;&gt;"Enviada","",IF(I15="","",IF(I15&lt;TODAY(),"Validade vencida · retomar contato",IF(I15-TODAY()&lt;=3,"Vence em até 3 dias","")))))</f>
        <v/>
      </c>
      <c r="M15" s="9" t="inlineStr">
        <is>
          <t>Estimativa de 65 horas; preferiu valor fixo</t>
        </is>
      </c>
    </row>
    <row r="16">
      <c r="A16" s="13" t="inlineStr">
        <is>
          <t>2026-012</t>
        </is>
      </c>
      <c r="B16" s="10">
        <f>TODAY()-12</f>
        <v/>
      </c>
      <c r="C16" s="9" t="inlineStr">
        <is>
          <t>Clínica Bem-Estar</t>
        </is>
      </c>
      <c r="D16" s="13" t="inlineStr">
        <is>
          <t>Empresarial</t>
        </is>
      </c>
      <c r="E16" s="9" t="inlineStr">
        <is>
          <t>Contratos com convênios</t>
        </is>
      </c>
      <c r="F16" s="13" t="inlineStr">
        <is>
          <t>Fixo</t>
        </is>
      </c>
      <c r="G16" s="45" t="n">
        <v>9600</v>
      </c>
      <c r="H16" s="11" t="n">
        <v>15</v>
      </c>
      <c r="I16" s="12">
        <f>IF(OR(B16="",H16=""),"",B16+H16)</f>
        <v/>
      </c>
      <c r="J16" s="13" t="inlineStr">
        <is>
          <t>Enviada</t>
        </is>
      </c>
      <c r="K16" s="10" t="n"/>
      <c r="L16" s="26">
        <f>IF(A16="","",IF(J16&lt;&gt;"Enviada","",IF(I16="","",IF(I16&lt;TODAY(),"Validade vencida · retomar contato",IF(I16-TODAY()&lt;=3,"Vence em até 3 dias","")))))</f>
        <v/>
      </c>
      <c r="M16" s="9" t="inlineStr">
        <is>
          <t>Reunião de apresentação feita</t>
        </is>
      </c>
    </row>
    <row r="17">
      <c r="A17" s="13" t="inlineStr">
        <is>
          <t>2026-013</t>
        </is>
      </c>
      <c r="B17" s="10">
        <f>TODAY()-20</f>
        <v/>
      </c>
      <c r="C17" s="9" t="inlineStr">
        <is>
          <t>Escola Aurora</t>
        </is>
      </c>
      <c r="D17" s="13" t="inlineStr">
        <is>
          <t>Cível</t>
        </is>
      </c>
      <c r="E17" s="9" t="inlineStr">
        <is>
          <t>Cobrança de mensalidades em atraso</t>
        </is>
      </c>
      <c r="F17" s="13" t="inlineStr">
        <is>
          <t>Misto</t>
        </is>
      </c>
      <c r="G17" s="45" t="n">
        <v>6500</v>
      </c>
      <c r="H17" s="11" t="n">
        <v>15</v>
      </c>
      <c r="I17" s="12">
        <f>IF(OR(B17="",H17=""),"",B17+H17)</f>
        <v/>
      </c>
      <c r="J17" s="13" t="inlineStr">
        <is>
          <t>Enviada</t>
        </is>
      </c>
      <c r="K17" s="10" t="n"/>
      <c r="L17" s="26">
        <f>IF(A17="","",IF(J17&lt;&gt;"Enviada","",IF(I17="","",IF(I17&lt;TODAY(),"Validade vencida · retomar contato",IF(I17-TODAY()&lt;=3,"Vence em até 3 dias","")))))</f>
        <v/>
      </c>
      <c r="M17" s="9" t="inlineStr">
        <is>
          <t>Sem retorno; ligar</t>
        </is>
      </c>
    </row>
    <row r="18">
      <c r="A18" s="13" t="inlineStr">
        <is>
          <t>2026-014</t>
        </is>
      </c>
      <c r="B18" s="10">
        <f>TODAY()</f>
        <v/>
      </c>
      <c r="C18" s="9" t="inlineStr">
        <is>
          <t>Roberto Almeida</t>
        </is>
      </c>
      <c r="D18" s="13" t="inlineStr">
        <is>
          <t>Cível</t>
        </is>
      </c>
      <c r="E18" s="9" t="inlineStr">
        <is>
          <t>Discussão de contrato de prestação de serviços</t>
        </is>
      </c>
      <c r="F18" s="13" t="inlineStr">
        <is>
          <t>Misto</t>
        </is>
      </c>
      <c r="G18" s="45" t="n">
        <v>4500</v>
      </c>
      <c r="H18" s="11" t="n">
        <v>15</v>
      </c>
      <c r="I18" s="12">
        <f>IF(OR(B18="",H18=""),"",B18+H18)</f>
        <v/>
      </c>
      <c r="J18" s="13" t="inlineStr">
        <is>
          <t>Enviada</t>
        </is>
      </c>
      <c r="K18" s="10" t="n"/>
      <c r="L18" s="26">
        <f>IF(A18="","",IF(J18&lt;&gt;"Enviada","",IF(I18="","",IF(I18&lt;TODAY(),"Validade vencida · retomar contato",IF(I18-TODAY()&lt;=3,"Vence em até 3 dias","")))))</f>
        <v/>
      </c>
      <c r="M18" s="9" t="inlineStr">
        <is>
          <t>Mais 15% de êxito · é a proposta da aba Proposta</t>
        </is>
      </c>
    </row>
    <row r="19">
      <c r="A19" s="13" t="n"/>
      <c r="B19" s="10" t="n"/>
      <c r="C19" s="9" t="n"/>
      <c r="D19" s="13" t="n"/>
      <c r="E19" s="9" t="n"/>
      <c r="F19" s="13" t="n"/>
      <c r="G19" s="45" t="n"/>
      <c r="H19" s="11" t="n"/>
      <c r="I19" s="12">
        <f>IF(OR(B19="",H19=""),"",B19+H19)</f>
        <v/>
      </c>
      <c r="J19" s="13" t="n"/>
      <c r="K19" s="10" t="n"/>
      <c r="L19" s="26">
        <f>IF(A19="","",IF(J19&lt;&gt;"Enviada","",IF(I19="","",IF(I19&lt;TODAY(),"Validade vencida · retomar contato",IF(I19-TODAY()&lt;=3,"Vence em até 3 dias","")))))</f>
        <v/>
      </c>
      <c r="M19" s="9" t="n"/>
    </row>
    <row r="20">
      <c r="A20" s="13" t="n"/>
      <c r="B20" s="10" t="n"/>
      <c r="C20" s="9" t="n"/>
      <c r="D20" s="13" t="n"/>
      <c r="E20" s="9" t="n"/>
      <c r="F20" s="13" t="n"/>
      <c r="G20" s="45" t="n"/>
      <c r="H20" s="11" t="n"/>
      <c r="I20" s="12">
        <f>IF(OR(B20="",H20=""),"",B20+H20)</f>
        <v/>
      </c>
      <c r="J20" s="13" t="n"/>
      <c r="K20" s="10" t="n"/>
      <c r="L20" s="26">
        <f>IF(A20="","",IF(J20&lt;&gt;"Enviada","",IF(I20="","",IF(I20&lt;TODAY(),"Validade vencida · retomar contato",IF(I20-TODAY()&lt;=3,"Vence em até 3 dias","")))))</f>
        <v/>
      </c>
      <c r="M20" s="9" t="n"/>
    </row>
    <row r="21">
      <c r="A21" s="13" t="n"/>
      <c r="B21" s="10" t="n"/>
      <c r="C21" s="9" t="n"/>
      <c r="D21" s="13" t="n"/>
      <c r="E21" s="9" t="n"/>
      <c r="F21" s="13" t="n"/>
      <c r="G21" s="45" t="n"/>
      <c r="H21" s="11" t="n"/>
      <c r="I21" s="12">
        <f>IF(OR(B21="",H21=""),"",B21+H21)</f>
        <v/>
      </c>
      <c r="J21" s="13" t="n"/>
      <c r="K21" s="10" t="n"/>
      <c r="L21" s="26">
        <f>IF(A21="","",IF(J21&lt;&gt;"Enviada","",IF(I21="","",IF(I21&lt;TODAY(),"Validade vencida · retomar contato",IF(I21-TODAY()&lt;=3,"Vence em até 3 dias","")))))</f>
        <v/>
      </c>
      <c r="M21" s="9" t="n"/>
    </row>
    <row r="22">
      <c r="A22" s="13" t="n"/>
      <c r="B22" s="10" t="n"/>
      <c r="C22" s="9" t="n"/>
      <c r="D22" s="13" t="n"/>
      <c r="E22" s="9" t="n"/>
      <c r="F22" s="13" t="n"/>
      <c r="G22" s="45" t="n"/>
      <c r="H22" s="11" t="n"/>
      <c r="I22" s="12">
        <f>IF(OR(B22="",H22=""),"",B22+H22)</f>
        <v/>
      </c>
      <c r="J22" s="13" t="n"/>
      <c r="K22" s="10" t="n"/>
      <c r="L22" s="26">
        <f>IF(A22="","",IF(J22&lt;&gt;"Enviada","",IF(I22="","",IF(I22&lt;TODAY(),"Validade vencida · retomar contato",IF(I22-TODAY()&lt;=3,"Vence em até 3 dias","")))))</f>
        <v/>
      </c>
      <c r="M22" s="9" t="n"/>
    </row>
    <row r="23">
      <c r="A23" s="13" t="n"/>
      <c r="B23" s="10" t="n"/>
      <c r="C23" s="9" t="n"/>
      <c r="D23" s="13" t="n"/>
      <c r="E23" s="9" t="n"/>
      <c r="F23" s="13" t="n"/>
      <c r="G23" s="45" t="n"/>
      <c r="H23" s="11" t="n"/>
      <c r="I23" s="12">
        <f>IF(OR(B23="",H23=""),"",B23+H23)</f>
        <v/>
      </c>
      <c r="J23" s="13" t="n"/>
      <c r="K23" s="10" t="n"/>
      <c r="L23" s="26">
        <f>IF(A23="","",IF(J23&lt;&gt;"Enviada","",IF(I23="","",IF(I23&lt;TODAY(),"Validade vencida · retomar contato",IF(I23-TODAY()&lt;=3,"Vence em até 3 dias","")))))</f>
        <v/>
      </c>
      <c r="M23" s="9" t="n"/>
    </row>
    <row r="24">
      <c r="A24" s="13" t="n"/>
      <c r="B24" s="10" t="n"/>
      <c r="C24" s="9" t="n"/>
      <c r="D24" s="13" t="n"/>
      <c r="E24" s="9" t="n"/>
      <c r="F24" s="13" t="n"/>
      <c r="G24" s="45" t="n"/>
      <c r="H24" s="11" t="n"/>
      <c r="I24" s="12">
        <f>IF(OR(B24="",H24=""),"",B24+H24)</f>
        <v/>
      </c>
      <c r="J24" s="13" t="n"/>
      <c r="K24" s="10" t="n"/>
      <c r="L24" s="26">
        <f>IF(A24="","",IF(J24&lt;&gt;"Enviada","",IF(I24="","",IF(I24&lt;TODAY(),"Validade vencida · retomar contato",IF(I24-TODAY()&lt;=3,"Vence em até 3 dias","")))))</f>
        <v/>
      </c>
      <c r="M24" s="9" t="n"/>
    </row>
    <row r="25">
      <c r="A25" s="13" t="n"/>
      <c r="B25" s="10" t="n"/>
      <c r="C25" s="9" t="n"/>
      <c r="D25" s="13" t="n"/>
      <c r="E25" s="9" t="n"/>
      <c r="F25" s="13" t="n"/>
      <c r="G25" s="45" t="n"/>
      <c r="H25" s="11" t="n"/>
      <c r="I25" s="12">
        <f>IF(OR(B25="",H25=""),"",B25+H25)</f>
        <v/>
      </c>
      <c r="J25" s="13" t="n"/>
      <c r="K25" s="10" t="n"/>
      <c r="L25" s="26">
        <f>IF(A25="","",IF(J25&lt;&gt;"Enviada","",IF(I25="","",IF(I25&lt;TODAY(),"Validade vencida · retomar contato",IF(I25-TODAY()&lt;=3,"Vence em até 3 dias","")))))</f>
        <v/>
      </c>
      <c r="M25" s="9" t="n"/>
    </row>
    <row r="26">
      <c r="A26" s="13" t="n"/>
      <c r="B26" s="10" t="n"/>
      <c r="C26" s="9" t="n"/>
      <c r="D26" s="13" t="n"/>
      <c r="E26" s="9" t="n"/>
      <c r="F26" s="13" t="n"/>
      <c r="G26" s="45" t="n"/>
      <c r="H26" s="11" t="n"/>
      <c r="I26" s="12">
        <f>IF(OR(B26="",H26=""),"",B26+H26)</f>
        <v/>
      </c>
      <c r="J26" s="13" t="n"/>
      <c r="K26" s="10" t="n"/>
      <c r="L26" s="26">
        <f>IF(A26="","",IF(J26&lt;&gt;"Enviada","",IF(I26="","",IF(I26&lt;TODAY(),"Validade vencida · retomar contato",IF(I26-TODAY()&lt;=3,"Vence em até 3 dias","")))))</f>
        <v/>
      </c>
      <c r="M26" s="9" t="n"/>
    </row>
    <row r="27">
      <c r="A27" s="13" t="n"/>
      <c r="B27" s="10" t="n"/>
      <c r="C27" s="9" t="n"/>
      <c r="D27" s="13" t="n"/>
      <c r="E27" s="9" t="n"/>
      <c r="F27" s="13" t="n"/>
      <c r="G27" s="45" t="n"/>
      <c r="H27" s="11" t="n"/>
      <c r="I27" s="12">
        <f>IF(OR(B27="",H27=""),"",B27+H27)</f>
        <v/>
      </c>
      <c r="J27" s="13" t="n"/>
      <c r="K27" s="10" t="n"/>
      <c r="L27" s="26">
        <f>IF(A27="","",IF(J27&lt;&gt;"Enviada","",IF(I27="","",IF(I27&lt;TODAY(),"Validade vencida · retomar contato",IF(I27-TODAY()&lt;=3,"Vence em até 3 dias","")))))</f>
        <v/>
      </c>
      <c r="M27" s="9" t="n"/>
    </row>
    <row r="28">
      <c r="A28" s="13" t="n"/>
      <c r="B28" s="10" t="n"/>
      <c r="C28" s="9" t="n"/>
      <c r="D28" s="13" t="n"/>
      <c r="E28" s="9" t="n"/>
      <c r="F28" s="13" t="n"/>
      <c r="G28" s="45" t="n"/>
      <c r="H28" s="11" t="n"/>
      <c r="I28" s="12">
        <f>IF(OR(B28="",H28=""),"",B28+H28)</f>
        <v/>
      </c>
      <c r="J28" s="13" t="n"/>
      <c r="K28" s="10" t="n"/>
      <c r="L28" s="26">
        <f>IF(A28="","",IF(J28&lt;&gt;"Enviada","",IF(I28="","",IF(I28&lt;TODAY(),"Validade vencida · retomar contato",IF(I28-TODAY()&lt;=3,"Vence em até 3 dias","")))))</f>
        <v/>
      </c>
      <c r="M28" s="9" t="n"/>
    </row>
    <row r="29">
      <c r="A29" s="13" t="n"/>
      <c r="B29" s="10" t="n"/>
      <c r="C29" s="9" t="n"/>
      <c r="D29" s="13" t="n"/>
      <c r="E29" s="9" t="n"/>
      <c r="F29" s="13" t="n"/>
      <c r="G29" s="45" t="n"/>
      <c r="H29" s="11" t="n"/>
      <c r="I29" s="12">
        <f>IF(OR(B29="",H29=""),"",B29+H29)</f>
        <v/>
      </c>
      <c r="J29" s="13" t="n"/>
      <c r="K29" s="10" t="n"/>
      <c r="L29" s="26">
        <f>IF(A29="","",IF(J29&lt;&gt;"Enviada","",IF(I29="","",IF(I29&lt;TODAY(),"Validade vencida · retomar contato",IF(I29-TODAY()&lt;=3,"Vence em até 3 dias","")))))</f>
        <v/>
      </c>
      <c r="M29" s="9" t="n"/>
    </row>
    <row r="30">
      <c r="A30" s="13" t="n"/>
      <c r="B30" s="10" t="n"/>
      <c r="C30" s="9" t="n"/>
      <c r="D30" s="13" t="n"/>
      <c r="E30" s="9" t="n"/>
      <c r="F30" s="13" t="n"/>
      <c r="G30" s="45" t="n"/>
      <c r="H30" s="11" t="n"/>
      <c r="I30" s="12">
        <f>IF(OR(B30="",H30=""),"",B30+H30)</f>
        <v/>
      </c>
      <c r="J30" s="13" t="n"/>
      <c r="K30" s="10" t="n"/>
      <c r="L30" s="26">
        <f>IF(A30="","",IF(J30&lt;&gt;"Enviada","",IF(I30="","",IF(I30&lt;TODAY(),"Validade vencida · retomar contato",IF(I30-TODAY()&lt;=3,"Vence em até 3 dias","")))))</f>
        <v/>
      </c>
      <c r="M30" s="9" t="n"/>
    </row>
    <row r="31">
      <c r="A31" s="13" t="n"/>
      <c r="B31" s="10" t="n"/>
      <c r="C31" s="9" t="n"/>
      <c r="D31" s="13" t="n"/>
      <c r="E31" s="9" t="n"/>
      <c r="F31" s="13" t="n"/>
      <c r="G31" s="45" t="n"/>
      <c r="H31" s="11" t="n"/>
      <c r="I31" s="12">
        <f>IF(OR(B31="",H31=""),"",B31+H31)</f>
        <v/>
      </c>
      <c r="J31" s="13" t="n"/>
      <c r="K31" s="10" t="n"/>
      <c r="L31" s="26">
        <f>IF(A31="","",IF(J31&lt;&gt;"Enviada","",IF(I31="","",IF(I31&lt;TODAY(),"Validade vencida · retomar contato",IF(I31-TODAY()&lt;=3,"Vence em até 3 dias","")))))</f>
        <v/>
      </c>
      <c r="M31" s="9" t="n"/>
    </row>
    <row r="32">
      <c r="A32" s="13" t="n"/>
      <c r="B32" s="10" t="n"/>
      <c r="C32" s="9" t="n"/>
      <c r="D32" s="13" t="n"/>
      <c r="E32" s="9" t="n"/>
      <c r="F32" s="13" t="n"/>
      <c r="G32" s="45" t="n"/>
      <c r="H32" s="11" t="n"/>
      <c r="I32" s="12">
        <f>IF(OR(B32="",H32=""),"",B32+H32)</f>
        <v/>
      </c>
      <c r="J32" s="13" t="n"/>
      <c r="K32" s="10" t="n"/>
      <c r="L32" s="26">
        <f>IF(A32="","",IF(J32&lt;&gt;"Enviada","",IF(I32="","",IF(I32&lt;TODAY(),"Validade vencida · retomar contato",IF(I32-TODAY()&lt;=3,"Vence em até 3 dias","")))))</f>
        <v/>
      </c>
      <c r="M32" s="9" t="n"/>
    </row>
    <row r="33">
      <c r="A33" s="13" t="n"/>
      <c r="B33" s="10" t="n"/>
      <c r="C33" s="9" t="n"/>
      <c r="D33" s="13" t="n"/>
      <c r="E33" s="9" t="n"/>
      <c r="F33" s="13" t="n"/>
      <c r="G33" s="45" t="n"/>
      <c r="H33" s="11" t="n"/>
      <c r="I33" s="12">
        <f>IF(OR(B33="",H33=""),"",B33+H33)</f>
        <v/>
      </c>
      <c r="J33" s="13" t="n"/>
      <c r="K33" s="10" t="n"/>
      <c r="L33" s="26">
        <f>IF(A33="","",IF(J33&lt;&gt;"Enviada","",IF(I33="","",IF(I33&lt;TODAY(),"Validade vencida · retomar contato",IF(I33-TODAY()&lt;=3,"Vence em até 3 dias","")))))</f>
        <v/>
      </c>
      <c r="M33" s="9" t="n"/>
    </row>
    <row r="34">
      <c r="A34" s="13" t="n"/>
      <c r="B34" s="10" t="n"/>
      <c r="C34" s="9" t="n"/>
      <c r="D34" s="13" t="n"/>
      <c r="E34" s="9" t="n"/>
      <c r="F34" s="13" t="n"/>
      <c r="G34" s="45" t="n"/>
      <c r="H34" s="11" t="n"/>
      <c r="I34" s="12">
        <f>IF(OR(B34="",H34=""),"",B34+H34)</f>
        <v/>
      </c>
      <c r="J34" s="13" t="n"/>
      <c r="K34" s="10" t="n"/>
      <c r="L34" s="26">
        <f>IF(A34="","",IF(J34&lt;&gt;"Enviada","",IF(I34="","",IF(I34&lt;TODAY(),"Validade vencida · retomar contato",IF(I34-TODAY()&lt;=3,"Vence em até 3 dias","")))))</f>
        <v/>
      </c>
      <c r="M34" s="9" t="n"/>
    </row>
    <row r="35">
      <c r="A35" s="13" t="n"/>
      <c r="B35" s="10" t="n"/>
      <c r="C35" s="9" t="n"/>
      <c r="D35" s="13" t="n"/>
      <c r="E35" s="9" t="n"/>
      <c r="F35" s="13" t="n"/>
      <c r="G35" s="45" t="n"/>
      <c r="H35" s="11" t="n"/>
      <c r="I35" s="12">
        <f>IF(OR(B35="",H35=""),"",B35+H35)</f>
        <v/>
      </c>
      <c r="J35" s="13" t="n"/>
      <c r="K35" s="10" t="n"/>
      <c r="L35" s="26">
        <f>IF(A35="","",IF(J35&lt;&gt;"Enviada","",IF(I35="","",IF(I35&lt;TODAY(),"Validade vencida · retomar contato",IF(I35-TODAY()&lt;=3,"Vence em até 3 dias","")))))</f>
        <v/>
      </c>
      <c r="M35" s="9" t="n"/>
    </row>
    <row r="36">
      <c r="A36" s="13" t="n"/>
      <c r="B36" s="10" t="n"/>
      <c r="C36" s="9" t="n"/>
      <c r="D36" s="13" t="n"/>
      <c r="E36" s="9" t="n"/>
      <c r="F36" s="13" t="n"/>
      <c r="G36" s="45" t="n"/>
      <c r="H36" s="11" t="n"/>
      <c r="I36" s="12">
        <f>IF(OR(B36="",H36=""),"",B36+H36)</f>
        <v/>
      </c>
      <c r="J36" s="13" t="n"/>
      <c r="K36" s="10" t="n"/>
      <c r="L36" s="26">
        <f>IF(A36="","",IF(J36&lt;&gt;"Enviada","",IF(I36="","",IF(I36&lt;TODAY(),"Validade vencida · retomar contato",IF(I36-TODAY()&lt;=3,"Vence em até 3 dias","")))))</f>
        <v/>
      </c>
      <c r="M36" s="9" t="n"/>
    </row>
    <row r="37">
      <c r="A37" s="13" t="n"/>
      <c r="B37" s="10" t="n"/>
      <c r="C37" s="9" t="n"/>
      <c r="D37" s="13" t="n"/>
      <c r="E37" s="9" t="n"/>
      <c r="F37" s="13" t="n"/>
      <c r="G37" s="45" t="n"/>
      <c r="H37" s="11" t="n"/>
      <c r="I37" s="12">
        <f>IF(OR(B37="",H37=""),"",B37+H37)</f>
        <v/>
      </c>
      <c r="J37" s="13" t="n"/>
      <c r="K37" s="10" t="n"/>
      <c r="L37" s="26">
        <f>IF(A37="","",IF(J37&lt;&gt;"Enviada","",IF(I37="","",IF(I37&lt;TODAY(),"Validade vencida · retomar contato",IF(I37-TODAY()&lt;=3,"Vence em até 3 dias","")))))</f>
        <v/>
      </c>
      <c r="M37" s="9" t="n"/>
    </row>
    <row r="38">
      <c r="A38" s="13" t="n"/>
      <c r="B38" s="10" t="n"/>
      <c r="C38" s="9" t="n"/>
      <c r="D38" s="13" t="n"/>
      <c r="E38" s="9" t="n"/>
      <c r="F38" s="13" t="n"/>
      <c r="G38" s="45" t="n"/>
      <c r="H38" s="11" t="n"/>
      <c r="I38" s="12">
        <f>IF(OR(B38="",H38=""),"",B38+H38)</f>
        <v/>
      </c>
      <c r="J38" s="13" t="n"/>
      <c r="K38" s="10" t="n"/>
      <c r="L38" s="26">
        <f>IF(A38="","",IF(J38&lt;&gt;"Enviada","",IF(I38="","",IF(I38&lt;TODAY(),"Validade vencida · retomar contato",IF(I38-TODAY()&lt;=3,"Vence em até 3 dias","")))))</f>
        <v/>
      </c>
      <c r="M38" s="9" t="n"/>
    </row>
    <row r="39">
      <c r="A39" s="13" t="n"/>
      <c r="B39" s="10" t="n"/>
      <c r="C39" s="9" t="n"/>
      <c r="D39" s="13" t="n"/>
      <c r="E39" s="9" t="n"/>
      <c r="F39" s="13" t="n"/>
      <c r="G39" s="45" t="n"/>
      <c r="H39" s="11" t="n"/>
      <c r="I39" s="12">
        <f>IF(OR(B39="",H39=""),"",B39+H39)</f>
        <v/>
      </c>
      <c r="J39" s="13" t="n"/>
      <c r="K39" s="10" t="n"/>
      <c r="L39" s="26">
        <f>IF(A39="","",IF(J39&lt;&gt;"Enviada","",IF(I39="","",IF(I39&lt;TODAY(),"Validade vencida · retomar contato",IF(I39-TODAY()&lt;=3,"Vence em até 3 dias","")))))</f>
        <v/>
      </c>
      <c r="M39" s="9" t="n"/>
    </row>
    <row r="40">
      <c r="A40" s="13" t="n"/>
      <c r="B40" s="10" t="n"/>
      <c r="C40" s="9" t="n"/>
      <c r="D40" s="13" t="n"/>
      <c r="E40" s="9" t="n"/>
      <c r="F40" s="13" t="n"/>
      <c r="G40" s="45" t="n"/>
      <c r="H40" s="11" t="n"/>
      <c r="I40" s="12">
        <f>IF(OR(B40="",H40=""),"",B40+H40)</f>
        <v/>
      </c>
      <c r="J40" s="13" t="n"/>
      <c r="K40" s="10" t="n"/>
      <c r="L40" s="26">
        <f>IF(A40="","",IF(J40&lt;&gt;"Enviada","",IF(I40="","",IF(I40&lt;TODAY(),"Validade vencida · retomar contato",IF(I40-TODAY()&lt;=3,"Vence em até 3 dias","")))))</f>
        <v/>
      </c>
      <c r="M40" s="9" t="n"/>
    </row>
    <row r="41">
      <c r="A41" s="13" t="n"/>
      <c r="B41" s="10" t="n"/>
      <c r="C41" s="9" t="n"/>
      <c r="D41" s="13" t="n"/>
      <c r="E41" s="9" t="n"/>
      <c r="F41" s="13" t="n"/>
      <c r="G41" s="45" t="n"/>
      <c r="H41" s="11" t="n"/>
      <c r="I41" s="12">
        <f>IF(OR(B41="",H41=""),"",B41+H41)</f>
        <v/>
      </c>
      <c r="J41" s="13" t="n"/>
      <c r="K41" s="10" t="n"/>
      <c r="L41" s="26">
        <f>IF(A41="","",IF(J41&lt;&gt;"Enviada","",IF(I41="","",IF(I41&lt;TODAY(),"Validade vencida · retomar contato",IF(I41-TODAY()&lt;=3,"Vence em até 3 dias","")))))</f>
        <v/>
      </c>
      <c r="M41" s="9" t="n"/>
    </row>
    <row r="42">
      <c r="A42" s="13" t="n"/>
      <c r="B42" s="10" t="n"/>
      <c r="C42" s="9" t="n"/>
      <c r="D42" s="13" t="n"/>
      <c r="E42" s="9" t="n"/>
      <c r="F42" s="13" t="n"/>
      <c r="G42" s="45" t="n"/>
      <c r="H42" s="11" t="n"/>
      <c r="I42" s="12">
        <f>IF(OR(B42="",H42=""),"",B42+H42)</f>
        <v/>
      </c>
      <c r="J42" s="13" t="n"/>
      <c r="K42" s="10" t="n"/>
      <c r="L42" s="26">
        <f>IF(A42="","",IF(J42&lt;&gt;"Enviada","",IF(I42="","",IF(I42&lt;TODAY(),"Validade vencida · retomar contato",IF(I42-TODAY()&lt;=3,"Vence em até 3 dias","")))))</f>
        <v/>
      </c>
      <c r="M42" s="9" t="n"/>
    </row>
    <row r="43">
      <c r="A43" s="13" t="n"/>
      <c r="B43" s="10" t="n"/>
      <c r="C43" s="9" t="n"/>
      <c r="D43" s="13" t="n"/>
      <c r="E43" s="9" t="n"/>
      <c r="F43" s="13" t="n"/>
      <c r="G43" s="45" t="n"/>
      <c r="H43" s="11" t="n"/>
      <c r="I43" s="12">
        <f>IF(OR(B43="",H43=""),"",B43+H43)</f>
        <v/>
      </c>
      <c r="J43" s="13" t="n"/>
      <c r="K43" s="10" t="n"/>
      <c r="L43" s="26">
        <f>IF(A43="","",IF(J43&lt;&gt;"Enviada","",IF(I43="","",IF(I43&lt;TODAY(),"Validade vencida · retomar contato",IF(I43-TODAY()&lt;=3,"Vence em até 3 dias","")))))</f>
        <v/>
      </c>
      <c r="M43" s="9" t="n"/>
    </row>
    <row r="44">
      <c r="A44" s="13" t="n"/>
      <c r="B44" s="10" t="n"/>
      <c r="C44" s="9" t="n"/>
      <c r="D44" s="13" t="n"/>
      <c r="E44" s="9" t="n"/>
      <c r="F44" s="13" t="n"/>
      <c r="G44" s="45" t="n"/>
      <c r="H44" s="11" t="n"/>
      <c r="I44" s="12">
        <f>IF(OR(B44="",H44=""),"",B44+H44)</f>
        <v/>
      </c>
      <c r="J44" s="13" t="n"/>
      <c r="K44" s="10" t="n"/>
      <c r="L44" s="26">
        <f>IF(A44="","",IF(J44&lt;&gt;"Enviada","",IF(I44="","",IF(I44&lt;TODAY(),"Validade vencida · retomar contato",IF(I44-TODAY()&lt;=3,"Vence em até 3 dias","")))))</f>
        <v/>
      </c>
      <c r="M44" s="9" t="n"/>
    </row>
    <row r="45">
      <c r="A45" s="13" t="n"/>
      <c r="B45" s="10" t="n"/>
      <c r="C45" s="9" t="n"/>
      <c r="D45" s="13" t="n"/>
      <c r="E45" s="9" t="n"/>
      <c r="F45" s="13" t="n"/>
      <c r="G45" s="45" t="n"/>
      <c r="H45" s="11" t="n"/>
      <c r="I45" s="12">
        <f>IF(OR(B45="",H45=""),"",B45+H45)</f>
        <v/>
      </c>
      <c r="J45" s="13" t="n"/>
      <c r="K45" s="10" t="n"/>
      <c r="L45" s="26">
        <f>IF(A45="","",IF(J45&lt;&gt;"Enviada","",IF(I45="","",IF(I45&lt;TODAY(),"Validade vencida · retomar contato",IF(I45-TODAY()&lt;=3,"Vence em até 3 dias","")))))</f>
        <v/>
      </c>
      <c r="M45" s="9" t="n"/>
    </row>
    <row r="46">
      <c r="A46" s="13" t="n"/>
      <c r="B46" s="10" t="n"/>
      <c r="C46" s="9" t="n"/>
      <c r="D46" s="13" t="n"/>
      <c r="E46" s="9" t="n"/>
      <c r="F46" s="13" t="n"/>
      <c r="G46" s="45" t="n"/>
      <c r="H46" s="11" t="n"/>
      <c r="I46" s="12">
        <f>IF(OR(B46="",H46=""),"",B46+H46)</f>
        <v/>
      </c>
      <c r="J46" s="13" t="n"/>
      <c r="K46" s="10" t="n"/>
      <c r="L46" s="26">
        <f>IF(A46="","",IF(J46&lt;&gt;"Enviada","",IF(I46="","",IF(I46&lt;TODAY(),"Validade vencida · retomar contato",IF(I46-TODAY()&lt;=3,"Vence em até 3 dias","")))))</f>
        <v/>
      </c>
      <c r="M46" s="9" t="n"/>
    </row>
    <row r="47">
      <c r="A47" s="13" t="n"/>
      <c r="B47" s="10" t="n"/>
      <c r="C47" s="9" t="n"/>
      <c r="D47" s="13" t="n"/>
      <c r="E47" s="9" t="n"/>
      <c r="F47" s="13" t="n"/>
      <c r="G47" s="45" t="n"/>
      <c r="H47" s="11" t="n"/>
      <c r="I47" s="12">
        <f>IF(OR(B47="",H47=""),"",B47+H47)</f>
        <v/>
      </c>
      <c r="J47" s="13" t="n"/>
      <c r="K47" s="10" t="n"/>
      <c r="L47" s="26">
        <f>IF(A47="","",IF(J47&lt;&gt;"Enviada","",IF(I47="","",IF(I47&lt;TODAY(),"Validade vencida · retomar contato",IF(I47-TODAY()&lt;=3,"Vence em até 3 dias","")))))</f>
        <v/>
      </c>
      <c r="M47" s="9" t="n"/>
    </row>
    <row r="48">
      <c r="A48" s="13" t="n"/>
      <c r="B48" s="10" t="n"/>
      <c r="C48" s="9" t="n"/>
      <c r="D48" s="13" t="n"/>
      <c r="E48" s="9" t="n"/>
      <c r="F48" s="13" t="n"/>
      <c r="G48" s="45" t="n"/>
      <c r="H48" s="11" t="n"/>
      <c r="I48" s="12">
        <f>IF(OR(B48="",H48=""),"",B48+H48)</f>
        <v/>
      </c>
      <c r="J48" s="13" t="n"/>
      <c r="K48" s="10" t="n"/>
      <c r="L48" s="26">
        <f>IF(A48="","",IF(J48&lt;&gt;"Enviada","",IF(I48="","",IF(I48&lt;TODAY(),"Validade vencida · retomar contato",IF(I48-TODAY()&lt;=3,"Vence em até 3 dias","")))))</f>
        <v/>
      </c>
      <c r="M48" s="9" t="n"/>
    </row>
    <row r="49">
      <c r="A49" s="13" t="n"/>
      <c r="B49" s="10" t="n"/>
      <c r="C49" s="9" t="n"/>
      <c r="D49" s="13" t="n"/>
      <c r="E49" s="9" t="n"/>
      <c r="F49" s="13" t="n"/>
      <c r="G49" s="45" t="n"/>
      <c r="H49" s="11" t="n"/>
      <c r="I49" s="12">
        <f>IF(OR(B49="",H49=""),"",B49+H49)</f>
        <v/>
      </c>
      <c r="J49" s="13" t="n"/>
      <c r="K49" s="10" t="n"/>
      <c r="L49" s="26">
        <f>IF(A49="","",IF(J49&lt;&gt;"Enviada","",IF(I49="","",IF(I49&lt;TODAY(),"Validade vencida · retomar contato",IF(I49-TODAY()&lt;=3,"Vence em até 3 dias","")))))</f>
        <v/>
      </c>
      <c r="M49" s="9" t="n"/>
    </row>
    <row r="50">
      <c r="A50" s="13" t="n"/>
      <c r="B50" s="10" t="n"/>
      <c r="C50" s="9" t="n"/>
      <c r="D50" s="13" t="n"/>
      <c r="E50" s="9" t="n"/>
      <c r="F50" s="13" t="n"/>
      <c r="G50" s="45" t="n"/>
      <c r="H50" s="11" t="n"/>
      <c r="I50" s="12">
        <f>IF(OR(B50="",H50=""),"",B50+H50)</f>
        <v/>
      </c>
      <c r="J50" s="13" t="n"/>
      <c r="K50" s="10" t="n"/>
      <c r="L50" s="26">
        <f>IF(A50="","",IF(J50&lt;&gt;"Enviada","",IF(I50="","",IF(I50&lt;TODAY(),"Validade vencida · retomar contato",IF(I50-TODAY()&lt;=3,"Vence em até 3 dias","")))))</f>
        <v/>
      </c>
      <c r="M50" s="9" t="n"/>
    </row>
    <row r="51">
      <c r="A51" s="13" t="n"/>
      <c r="B51" s="10" t="n"/>
      <c r="C51" s="9" t="n"/>
      <c r="D51" s="13" t="n"/>
      <c r="E51" s="9" t="n"/>
      <c r="F51" s="13" t="n"/>
      <c r="G51" s="45" t="n"/>
      <c r="H51" s="11" t="n"/>
      <c r="I51" s="12">
        <f>IF(OR(B51="",H51=""),"",B51+H51)</f>
        <v/>
      </c>
      <c r="J51" s="13" t="n"/>
      <c r="K51" s="10" t="n"/>
      <c r="L51" s="26">
        <f>IF(A51="","",IF(J51&lt;&gt;"Enviada","",IF(I51="","",IF(I51&lt;TODAY(),"Validade vencida · retomar contato",IF(I51-TODAY()&lt;=3,"Vence em até 3 dias","")))))</f>
        <v/>
      </c>
      <c r="M51" s="9" t="n"/>
    </row>
    <row r="52">
      <c r="A52" s="13" t="n"/>
      <c r="B52" s="10" t="n"/>
      <c r="C52" s="9" t="n"/>
      <c r="D52" s="13" t="n"/>
      <c r="E52" s="9" t="n"/>
      <c r="F52" s="13" t="n"/>
      <c r="G52" s="45" t="n"/>
      <c r="H52" s="11" t="n"/>
      <c r="I52" s="12">
        <f>IF(OR(B52="",H52=""),"",B52+H52)</f>
        <v/>
      </c>
      <c r="J52" s="13" t="n"/>
      <c r="K52" s="10" t="n"/>
      <c r="L52" s="26">
        <f>IF(A52="","",IF(J52&lt;&gt;"Enviada","",IF(I52="","",IF(I52&lt;TODAY(),"Validade vencida · retomar contato",IF(I52-TODAY()&lt;=3,"Vence em até 3 dias","")))))</f>
        <v/>
      </c>
      <c r="M52" s="9" t="n"/>
    </row>
    <row r="53">
      <c r="A53" s="13" t="n"/>
      <c r="B53" s="10" t="n"/>
      <c r="C53" s="9" t="n"/>
      <c r="D53" s="13" t="n"/>
      <c r="E53" s="9" t="n"/>
      <c r="F53" s="13" t="n"/>
      <c r="G53" s="45" t="n"/>
      <c r="H53" s="11" t="n"/>
      <c r="I53" s="12">
        <f>IF(OR(B53="",H53=""),"",B53+H53)</f>
        <v/>
      </c>
      <c r="J53" s="13" t="n"/>
      <c r="K53" s="10" t="n"/>
      <c r="L53" s="26">
        <f>IF(A53="","",IF(J53&lt;&gt;"Enviada","",IF(I53="","",IF(I53&lt;TODAY(),"Validade vencida · retomar contato",IF(I53-TODAY()&lt;=3,"Vence em até 3 dias","")))))</f>
        <v/>
      </c>
      <c r="M53" s="9" t="n"/>
    </row>
    <row r="54">
      <c r="A54" s="13" t="n"/>
      <c r="B54" s="10" t="n"/>
      <c r="C54" s="9" t="n"/>
      <c r="D54" s="13" t="n"/>
      <c r="E54" s="9" t="n"/>
      <c r="F54" s="13" t="n"/>
      <c r="G54" s="45" t="n"/>
      <c r="H54" s="11" t="n"/>
      <c r="I54" s="12">
        <f>IF(OR(B54="",H54=""),"",B54+H54)</f>
        <v/>
      </c>
      <c r="J54" s="13" t="n"/>
      <c r="K54" s="10" t="n"/>
      <c r="L54" s="26">
        <f>IF(A54="","",IF(J54&lt;&gt;"Enviada","",IF(I54="","",IF(I54&lt;TODAY(),"Validade vencida · retomar contato",IF(I54-TODAY()&lt;=3,"Vence em até 3 dias","")))))</f>
        <v/>
      </c>
      <c r="M54" s="9" t="n"/>
    </row>
    <row r="55">
      <c r="A55" s="13" t="n"/>
      <c r="B55" s="10" t="n"/>
      <c r="C55" s="9" t="n"/>
      <c r="D55" s="13" t="n"/>
      <c r="E55" s="9" t="n"/>
      <c r="F55" s="13" t="n"/>
      <c r="G55" s="45" t="n"/>
      <c r="H55" s="11" t="n"/>
      <c r="I55" s="12">
        <f>IF(OR(B55="",H55=""),"",B55+H55)</f>
        <v/>
      </c>
      <c r="J55" s="13" t="n"/>
      <c r="K55" s="10" t="n"/>
      <c r="L55" s="26">
        <f>IF(A55="","",IF(J55&lt;&gt;"Enviada","",IF(I55="","",IF(I55&lt;TODAY(),"Validade vencida · retomar contato",IF(I55-TODAY()&lt;=3,"Vence em até 3 dias","")))))</f>
        <v/>
      </c>
      <c r="M55" s="9" t="n"/>
    </row>
    <row r="56">
      <c r="A56" s="13" t="n"/>
      <c r="B56" s="10" t="n"/>
      <c r="C56" s="9" t="n"/>
      <c r="D56" s="13" t="n"/>
      <c r="E56" s="9" t="n"/>
      <c r="F56" s="13" t="n"/>
      <c r="G56" s="45" t="n"/>
      <c r="H56" s="11" t="n"/>
      <c r="I56" s="12">
        <f>IF(OR(B56="",H56=""),"",B56+H56)</f>
        <v/>
      </c>
      <c r="J56" s="13" t="n"/>
      <c r="K56" s="10" t="n"/>
      <c r="L56" s="26">
        <f>IF(A56="","",IF(J56&lt;&gt;"Enviada","",IF(I56="","",IF(I56&lt;TODAY(),"Validade vencida · retomar contato",IF(I56-TODAY()&lt;=3,"Vence em até 3 dias","")))))</f>
        <v/>
      </c>
      <c r="M56" s="9" t="n"/>
    </row>
    <row r="57">
      <c r="A57" s="13" t="n"/>
      <c r="B57" s="10" t="n"/>
      <c r="C57" s="9" t="n"/>
      <c r="D57" s="13" t="n"/>
      <c r="E57" s="9" t="n"/>
      <c r="F57" s="13" t="n"/>
      <c r="G57" s="45" t="n"/>
      <c r="H57" s="11" t="n"/>
      <c r="I57" s="12">
        <f>IF(OR(B57="",H57=""),"",B57+H57)</f>
        <v/>
      </c>
      <c r="J57" s="13" t="n"/>
      <c r="K57" s="10" t="n"/>
      <c r="L57" s="26">
        <f>IF(A57="","",IF(J57&lt;&gt;"Enviada","",IF(I57="","",IF(I57&lt;TODAY(),"Validade vencida · retomar contato",IF(I57-TODAY()&lt;=3,"Vence em até 3 dias","")))))</f>
        <v/>
      </c>
      <c r="M57" s="9" t="n"/>
    </row>
    <row r="58">
      <c r="A58" s="13" t="n"/>
      <c r="B58" s="10" t="n"/>
      <c r="C58" s="9" t="n"/>
      <c r="D58" s="13" t="n"/>
      <c r="E58" s="9" t="n"/>
      <c r="F58" s="13" t="n"/>
      <c r="G58" s="45" t="n"/>
      <c r="H58" s="11" t="n"/>
      <c r="I58" s="12">
        <f>IF(OR(B58="",H58=""),"",B58+H58)</f>
        <v/>
      </c>
      <c r="J58" s="13" t="n"/>
      <c r="K58" s="10" t="n"/>
      <c r="L58" s="26">
        <f>IF(A58="","",IF(J58&lt;&gt;"Enviada","",IF(I58="","",IF(I58&lt;TODAY(),"Validade vencida · retomar contato",IF(I58-TODAY()&lt;=3,"Vence em até 3 dias","")))))</f>
        <v/>
      </c>
      <c r="M58" s="9" t="n"/>
    </row>
    <row r="59">
      <c r="A59" s="13" t="n"/>
      <c r="B59" s="10" t="n"/>
      <c r="C59" s="9" t="n"/>
      <c r="D59" s="13" t="n"/>
      <c r="E59" s="9" t="n"/>
      <c r="F59" s="13" t="n"/>
      <c r="G59" s="45" t="n"/>
      <c r="H59" s="11" t="n"/>
      <c r="I59" s="12">
        <f>IF(OR(B59="",H59=""),"",B59+H59)</f>
        <v/>
      </c>
      <c r="J59" s="13" t="n"/>
      <c r="K59" s="10" t="n"/>
      <c r="L59" s="26">
        <f>IF(A59="","",IF(J59&lt;&gt;"Enviada","",IF(I59="","",IF(I59&lt;TODAY(),"Validade vencida · retomar contato",IF(I59-TODAY()&lt;=3,"Vence em até 3 dias","")))))</f>
        <v/>
      </c>
      <c r="M59" s="9" t="n"/>
    </row>
    <row r="60">
      <c r="A60" s="13" t="n"/>
      <c r="B60" s="10" t="n"/>
      <c r="C60" s="9" t="n"/>
      <c r="D60" s="13" t="n"/>
      <c r="E60" s="9" t="n"/>
      <c r="F60" s="13" t="n"/>
      <c r="G60" s="45" t="n"/>
      <c r="H60" s="11" t="n"/>
      <c r="I60" s="12">
        <f>IF(OR(B60="",H60=""),"",B60+H60)</f>
        <v/>
      </c>
      <c r="J60" s="13" t="n"/>
      <c r="K60" s="10" t="n"/>
      <c r="L60" s="26">
        <f>IF(A60="","",IF(J60&lt;&gt;"Enviada","",IF(I60="","",IF(I60&lt;TODAY(),"Validade vencida · retomar contato",IF(I60-TODAY()&lt;=3,"Vence em até 3 dias","")))))</f>
        <v/>
      </c>
      <c r="M60" s="9" t="n"/>
    </row>
    <row r="61">
      <c r="A61" s="13" t="n"/>
      <c r="B61" s="10" t="n"/>
      <c r="C61" s="9" t="n"/>
      <c r="D61" s="13" t="n"/>
      <c r="E61" s="9" t="n"/>
      <c r="F61" s="13" t="n"/>
      <c r="G61" s="45" t="n"/>
      <c r="H61" s="11" t="n"/>
      <c r="I61" s="12">
        <f>IF(OR(B61="",H61=""),"",B61+H61)</f>
        <v/>
      </c>
      <c r="J61" s="13" t="n"/>
      <c r="K61" s="10" t="n"/>
      <c r="L61" s="26">
        <f>IF(A61="","",IF(J61&lt;&gt;"Enviada","",IF(I61="","",IF(I61&lt;TODAY(),"Validade vencida · retomar contato",IF(I61-TODAY()&lt;=3,"Vence em até 3 dias","")))))</f>
        <v/>
      </c>
      <c r="M61" s="9" t="n"/>
    </row>
    <row r="62">
      <c r="A62" s="13" t="n"/>
      <c r="B62" s="10" t="n"/>
      <c r="C62" s="9" t="n"/>
      <c r="D62" s="13" t="n"/>
      <c r="E62" s="9" t="n"/>
      <c r="F62" s="13" t="n"/>
      <c r="G62" s="45" t="n"/>
      <c r="H62" s="11" t="n"/>
      <c r="I62" s="12">
        <f>IF(OR(B62="",H62=""),"",B62+H62)</f>
        <v/>
      </c>
      <c r="J62" s="13" t="n"/>
      <c r="K62" s="10" t="n"/>
      <c r="L62" s="26">
        <f>IF(A62="","",IF(J62&lt;&gt;"Enviada","",IF(I62="","",IF(I62&lt;TODAY(),"Validade vencida · retomar contato",IF(I62-TODAY()&lt;=3,"Vence em até 3 dias","")))))</f>
        <v/>
      </c>
      <c r="M62" s="9" t="n"/>
    </row>
    <row r="63">
      <c r="A63" s="13" t="n"/>
      <c r="B63" s="10" t="n"/>
      <c r="C63" s="9" t="n"/>
      <c r="D63" s="13" t="n"/>
      <c r="E63" s="9" t="n"/>
      <c r="F63" s="13" t="n"/>
      <c r="G63" s="45" t="n"/>
      <c r="H63" s="11" t="n"/>
      <c r="I63" s="12">
        <f>IF(OR(B63="",H63=""),"",B63+H63)</f>
        <v/>
      </c>
      <c r="J63" s="13" t="n"/>
      <c r="K63" s="10" t="n"/>
      <c r="L63" s="26">
        <f>IF(A63="","",IF(J63&lt;&gt;"Enviada","",IF(I63="","",IF(I63&lt;TODAY(),"Validade vencida · retomar contato",IF(I63-TODAY()&lt;=3,"Vence em até 3 dias","")))))</f>
        <v/>
      </c>
      <c r="M63" s="9" t="n"/>
    </row>
    <row r="64">
      <c r="A64" s="13" t="n"/>
      <c r="B64" s="10" t="n"/>
      <c r="C64" s="9" t="n"/>
      <c r="D64" s="13" t="n"/>
      <c r="E64" s="9" t="n"/>
      <c r="F64" s="13" t="n"/>
      <c r="G64" s="45" t="n"/>
      <c r="H64" s="11" t="n"/>
      <c r="I64" s="12">
        <f>IF(OR(B64="",H64=""),"",B64+H64)</f>
        <v/>
      </c>
      <c r="J64" s="13" t="n"/>
      <c r="K64" s="10" t="n"/>
      <c r="L64" s="26">
        <f>IF(A64="","",IF(J64&lt;&gt;"Enviada","",IF(I64="","",IF(I64&lt;TODAY(),"Validade vencida · retomar contato",IF(I64-TODAY()&lt;=3,"Vence em até 3 dias","")))))</f>
        <v/>
      </c>
      <c r="M64" s="9" t="n"/>
    </row>
    <row r="65">
      <c r="A65" s="13" t="n"/>
      <c r="B65" s="10" t="n"/>
      <c r="C65" s="9" t="n"/>
      <c r="D65" s="13" t="n"/>
      <c r="E65" s="9" t="n"/>
      <c r="F65" s="13" t="n"/>
      <c r="G65" s="45" t="n"/>
      <c r="H65" s="11" t="n"/>
      <c r="I65" s="12">
        <f>IF(OR(B65="",H65=""),"",B65+H65)</f>
        <v/>
      </c>
      <c r="J65" s="13" t="n"/>
      <c r="K65" s="10" t="n"/>
      <c r="L65" s="26">
        <f>IF(A65="","",IF(J65&lt;&gt;"Enviada","",IF(I65="","",IF(I65&lt;TODAY(),"Validade vencida · retomar contato",IF(I65-TODAY()&lt;=3,"Vence em até 3 dias","")))))</f>
        <v/>
      </c>
      <c r="M65" s="9" t="n"/>
    </row>
    <row r="66">
      <c r="A66" s="13" t="n"/>
      <c r="B66" s="10" t="n"/>
      <c r="C66" s="9" t="n"/>
      <c r="D66" s="13" t="n"/>
      <c r="E66" s="9" t="n"/>
      <c r="F66" s="13" t="n"/>
      <c r="G66" s="45" t="n"/>
      <c r="H66" s="11" t="n"/>
      <c r="I66" s="12">
        <f>IF(OR(B66="",H66=""),"",B66+H66)</f>
        <v/>
      </c>
      <c r="J66" s="13" t="n"/>
      <c r="K66" s="10" t="n"/>
      <c r="L66" s="26">
        <f>IF(A66="","",IF(J66&lt;&gt;"Enviada","",IF(I66="","",IF(I66&lt;TODAY(),"Validade vencida · retomar contato",IF(I66-TODAY()&lt;=3,"Vence em até 3 dias","")))))</f>
        <v/>
      </c>
      <c r="M66" s="9" t="n"/>
    </row>
    <row r="67">
      <c r="A67" s="13" t="n"/>
      <c r="B67" s="10" t="n"/>
      <c r="C67" s="9" t="n"/>
      <c r="D67" s="13" t="n"/>
      <c r="E67" s="9" t="n"/>
      <c r="F67" s="13" t="n"/>
      <c r="G67" s="45" t="n"/>
      <c r="H67" s="11" t="n"/>
      <c r="I67" s="12">
        <f>IF(OR(B67="",H67=""),"",B67+H67)</f>
        <v/>
      </c>
      <c r="J67" s="13" t="n"/>
      <c r="K67" s="10" t="n"/>
      <c r="L67" s="26">
        <f>IF(A67="","",IF(J67&lt;&gt;"Enviada","",IF(I67="","",IF(I67&lt;TODAY(),"Validade vencida · retomar contato",IF(I67-TODAY()&lt;=3,"Vence em até 3 dias","")))))</f>
        <v/>
      </c>
      <c r="M67" s="9" t="n"/>
    </row>
    <row r="68">
      <c r="A68" s="13" t="n"/>
      <c r="B68" s="10" t="n"/>
      <c r="C68" s="9" t="n"/>
      <c r="D68" s="13" t="n"/>
      <c r="E68" s="9" t="n"/>
      <c r="F68" s="13" t="n"/>
      <c r="G68" s="45" t="n"/>
      <c r="H68" s="11" t="n"/>
      <c r="I68" s="12">
        <f>IF(OR(B68="",H68=""),"",B68+H68)</f>
        <v/>
      </c>
      <c r="J68" s="13" t="n"/>
      <c r="K68" s="10" t="n"/>
      <c r="L68" s="26">
        <f>IF(A68="","",IF(J68&lt;&gt;"Enviada","",IF(I68="","",IF(I68&lt;TODAY(),"Validade vencida · retomar contato",IF(I68-TODAY()&lt;=3,"Vence em até 3 dias","")))))</f>
        <v/>
      </c>
      <c r="M68" s="9" t="n"/>
    </row>
    <row r="69">
      <c r="A69" s="13" t="n"/>
      <c r="B69" s="10" t="n"/>
      <c r="C69" s="9" t="n"/>
      <c r="D69" s="13" t="n"/>
      <c r="E69" s="9" t="n"/>
      <c r="F69" s="13" t="n"/>
      <c r="G69" s="45" t="n"/>
      <c r="H69" s="11" t="n"/>
      <c r="I69" s="12">
        <f>IF(OR(B69="",H69=""),"",B69+H69)</f>
        <v/>
      </c>
      <c r="J69" s="13" t="n"/>
      <c r="K69" s="10" t="n"/>
      <c r="L69" s="26">
        <f>IF(A69="","",IF(J69&lt;&gt;"Enviada","",IF(I69="","",IF(I69&lt;TODAY(),"Validade vencida · retomar contato",IF(I69-TODAY()&lt;=3,"Vence em até 3 dias","")))))</f>
        <v/>
      </c>
      <c r="M69" s="9" t="n"/>
    </row>
    <row r="70">
      <c r="A70" s="13" t="n"/>
      <c r="B70" s="10" t="n"/>
      <c r="C70" s="9" t="n"/>
      <c r="D70" s="13" t="n"/>
      <c r="E70" s="9" t="n"/>
      <c r="F70" s="13" t="n"/>
      <c r="G70" s="45" t="n"/>
      <c r="H70" s="11" t="n"/>
      <c r="I70" s="12">
        <f>IF(OR(B70="",H70=""),"",B70+H70)</f>
        <v/>
      </c>
      <c r="J70" s="13" t="n"/>
      <c r="K70" s="10" t="n"/>
      <c r="L70" s="26">
        <f>IF(A70="","",IF(J70&lt;&gt;"Enviada","",IF(I70="","",IF(I70&lt;TODAY(),"Validade vencida · retomar contato",IF(I70-TODAY()&lt;=3,"Vence em até 3 dias","")))))</f>
        <v/>
      </c>
      <c r="M70" s="9" t="n"/>
    </row>
    <row r="71">
      <c r="A71" s="13" t="n"/>
      <c r="B71" s="10" t="n"/>
      <c r="C71" s="9" t="n"/>
      <c r="D71" s="13" t="n"/>
      <c r="E71" s="9" t="n"/>
      <c r="F71" s="13" t="n"/>
      <c r="G71" s="45" t="n"/>
      <c r="H71" s="11" t="n"/>
      <c r="I71" s="12">
        <f>IF(OR(B71="",H71=""),"",B71+H71)</f>
        <v/>
      </c>
      <c r="J71" s="13" t="n"/>
      <c r="K71" s="10" t="n"/>
      <c r="L71" s="26">
        <f>IF(A71="","",IF(J71&lt;&gt;"Enviada","",IF(I71="","",IF(I71&lt;TODAY(),"Validade vencida · retomar contato",IF(I71-TODAY()&lt;=3,"Vence em até 3 dias","")))))</f>
        <v/>
      </c>
      <c r="M71" s="9" t="n"/>
    </row>
    <row r="72">
      <c r="A72" s="13" t="n"/>
      <c r="B72" s="10" t="n"/>
      <c r="C72" s="9" t="n"/>
      <c r="D72" s="13" t="n"/>
      <c r="E72" s="9" t="n"/>
      <c r="F72" s="13" t="n"/>
      <c r="G72" s="45" t="n"/>
      <c r="H72" s="11" t="n"/>
      <c r="I72" s="12">
        <f>IF(OR(B72="",H72=""),"",B72+H72)</f>
        <v/>
      </c>
      <c r="J72" s="13" t="n"/>
      <c r="K72" s="10" t="n"/>
      <c r="L72" s="26">
        <f>IF(A72="","",IF(J72&lt;&gt;"Enviada","",IF(I72="","",IF(I72&lt;TODAY(),"Validade vencida · retomar contato",IF(I72-TODAY()&lt;=3,"Vence em até 3 dias","")))))</f>
        <v/>
      </c>
      <c r="M72" s="9" t="n"/>
    </row>
    <row r="73">
      <c r="A73" s="13" t="n"/>
      <c r="B73" s="10" t="n"/>
      <c r="C73" s="9" t="n"/>
      <c r="D73" s="13" t="n"/>
      <c r="E73" s="9" t="n"/>
      <c r="F73" s="13" t="n"/>
      <c r="G73" s="45" t="n"/>
      <c r="H73" s="11" t="n"/>
      <c r="I73" s="12">
        <f>IF(OR(B73="",H73=""),"",B73+H73)</f>
        <v/>
      </c>
      <c r="J73" s="13" t="n"/>
      <c r="K73" s="10" t="n"/>
      <c r="L73" s="26">
        <f>IF(A73="","",IF(J73&lt;&gt;"Enviada","",IF(I73="","",IF(I73&lt;TODAY(),"Validade vencida · retomar contato",IF(I73-TODAY()&lt;=3,"Vence em até 3 dias","")))))</f>
        <v/>
      </c>
      <c r="M73" s="9" t="n"/>
    </row>
    <row r="74">
      <c r="A74" s="13" t="n"/>
      <c r="B74" s="10" t="n"/>
      <c r="C74" s="9" t="n"/>
      <c r="D74" s="13" t="n"/>
      <c r="E74" s="9" t="n"/>
      <c r="F74" s="13" t="n"/>
      <c r="G74" s="45" t="n"/>
      <c r="H74" s="11" t="n"/>
      <c r="I74" s="12">
        <f>IF(OR(B74="",H74=""),"",B74+H74)</f>
        <v/>
      </c>
      <c r="J74" s="13" t="n"/>
      <c r="K74" s="10" t="n"/>
      <c r="L74" s="26">
        <f>IF(A74="","",IF(J74&lt;&gt;"Enviada","",IF(I74="","",IF(I74&lt;TODAY(),"Validade vencida · retomar contato",IF(I74-TODAY()&lt;=3,"Vence em até 3 dias","")))))</f>
        <v/>
      </c>
      <c r="M74" s="9" t="n"/>
    </row>
    <row r="75">
      <c r="A75" s="13" t="n"/>
      <c r="B75" s="10" t="n"/>
      <c r="C75" s="9" t="n"/>
      <c r="D75" s="13" t="n"/>
      <c r="E75" s="9" t="n"/>
      <c r="F75" s="13" t="n"/>
      <c r="G75" s="45" t="n"/>
      <c r="H75" s="11" t="n"/>
      <c r="I75" s="12">
        <f>IF(OR(B75="",H75=""),"",B75+H75)</f>
        <v/>
      </c>
      <c r="J75" s="13" t="n"/>
      <c r="K75" s="10" t="n"/>
      <c r="L75" s="26">
        <f>IF(A75="","",IF(J75&lt;&gt;"Enviada","",IF(I75="","",IF(I75&lt;TODAY(),"Validade vencida · retomar contato",IF(I75-TODAY()&lt;=3,"Vence em até 3 dias","")))))</f>
        <v/>
      </c>
      <c r="M75" s="9" t="n"/>
    </row>
    <row r="76">
      <c r="A76" s="13" t="n"/>
      <c r="B76" s="10" t="n"/>
      <c r="C76" s="9" t="n"/>
      <c r="D76" s="13" t="n"/>
      <c r="E76" s="9" t="n"/>
      <c r="F76" s="13" t="n"/>
      <c r="G76" s="45" t="n"/>
      <c r="H76" s="11" t="n"/>
      <c r="I76" s="12">
        <f>IF(OR(B76="",H76=""),"",B76+H76)</f>
        <v/>
      </c>
      <c r="J76" s="13" t="n"/>
      <c r="K76" s="10" t="n"/>
      <c r="L76" s="26">
        <f>IF(A76="","",IF(J76&lt;&gt;"Enviada","",IF(I76="","",IF(I76&lt;TODAY(),"Validade vencida · retomar contato",IF(I76-TODAY()&lt;=3,"Vence em até 3 dias","")))))</f>
        <v/>
      </c>
      <c r="M76" s="9" t="n"/>
    </row>
    <row r="77">
      <c r="A77" s="13" t="n"/>
      <c r="B77" s="10" t="n"/>
      <c r="C77" s="9" t="n"/>
      <c r="D77" s="13" t="n"/>
      <c r="E77" s="9" t="n"/>
      <c r="F77" s="13" t="n"/>
      <c r="G77" s="45" t="n"/>
      <c r="H77" s="11" t="n"/>
      <c r="I77" s="12">
        <f>IF(OR(B77="",H77=""),"",B77+H77)</f>
        <v/>
      </c>
      <c r="J77" s="13" t="n"/>
      <c r="K77" s="10" t="n"/>
      <c r="L77" s="26">
        <f>IF(A77="","",IF(J77&lt;&gt;"Enviada","",IF(I77="","",IF(I77&lt;TODAY(),"Validade vencida · retomar contato",IF(I77-TODAY()&lt;=3,"Vence em até 3 dias","")))))</f>
        <v/>
      </c>
      <c r="M77" s="9" t="n"/>
    </row>
    <row r="78">
      <c r="A78" s="13" t="n"/>
      <c r="B78" s="10" t="n"/>
      <c r="C78" s="9" t="n"/>
      <c r="D78" s="13" t="n"/>
      <c r="E78" s="9" t="n"/>
      <c r="F78" s="13" t="n"/>
      <c r="G78" s="45" t="n"/>
      <c r="H78" s="11" t="n"/>
      <c r="I78" s="12">
        <f>IF(OR(B78="",H78=""),"",B78+H78)</f>
        <v/>
      </c>
      <c r="J78" s="13" t="n"/>
      <c r="K78" s="10" t="n"/>
      <c r="L78" s="26">
        <f>IF(A78="","",IF(J78&lt;&gt;"Enviada","",IF(I78="","",IF(I78&lt;TODAY(),"Validade vencida · retomar contato",IF(I78-TODAY()&lt;=3,"Vence em até 3 dias","")))))</f>
        <v/>
      </c>
      <c r="M78" s="9" t="n"/>
    </row>
    <row r="79">
      <c r="A79" s="13" t="n"/>
      <c r="B79" s="10" t="n"/>
      <c r="C79" s="9" t="n"/>
      <c r="D79" s="13" t="n"/>
      <c r="E79" s="9" t="n"/>
      <c r="F79" s="13" t="n"/>
      <c r="G79" s="45" t="n"/>
      <c r="H79" s="11" t="n"/>
      <c r="I79" s="12">
        <f>IF(OR(B79="",H79=""),"",B79+H79)</f>
        <v/>
      </c>
      <c r="J79" s="13" t="n"/>
      <c r="K79" s="10" t="n"/>
      <c r="L79" s="26">
        <f>IF(A79="","",IF(J79&lt;&gt;"Enviada","",IF(I79="","",IF(I79&lt;TODAY(),"Validade vencida · retomar contato",IF(I79-TODAY()&lt;=3,"Vence em até 3 dias","")))))</f>
        <v/>
      </c>
      <c r="M79" s="9" t="n"/>
    </row>
    <row r="80">
      <c r="A80" s="13" t="n"/>
      <c r="B80" s="10" t="n"/>
      <c r="C80" s="9" t="n"/>
      <c r="D80" s="13" t="n"/>
      <c r="E80" s="9" t="n"/>
      <c r="F80" s="13" t="n"/>
      <c r="G80" s="45" t="n"/>
      <c r="H80" s="11" t="n"/>
      <c r="I80" s="12">
        <f>IF(OR(B80="",H80=""),"",B80+H80)</f>
        <v/>
      </c>
      <c r="J80" s="13" t="n"/>
      <c r="K80" s="10" t="n"/>
      <c r="L80" s="26">
        <f>IF(A80="","",IF(J80&lt;&gt;"Enviada","",IF(I80="","",IF(I80&lt;TODAY(),"Validade vencida · retomar contato",IF(I80-TODAY()&lt;=3,"Vence em até 3 dias","")))))</f>
        <v/>
      </c>
      <c r="M80" s="9" t="n"/>
    </row>
    <row r="81">
      <c r="A81" s="13" t="n"/>
      <c r="B81" s="10" t="n"/>
      <c r="C81" s="9" t="n"/>
      <c r="D81" s="13" t="n"/>
      <c r="E81" s="9" t="n"/>
      <c r="F81" s="13" t="n"/>
      <c r="G81" s="45" t="n"/>
      <c r="H81" s="11" t="n"/>
      <c r="I81" s="12">
        <f>IF(OR(B81="",H81=""),"",B81+H81)</f>
        <v/>
      </c>
      <c r="J81" s="13" t="n"/>
      <c r="K81" s="10" t="n"/>
      <c r="L81" s="26">
        <f>IF(A81="","",IF(J81&lt;&gt;"Enviada","",IF(I81="","",IF(I81&lt;TODAY(),"Validade vencida · retomar contato",IF(I81-TODAY()&lt;=3,"Vence em até 3 dias","")))))</f>
        <v/>
      </c>
      <c r="M81" s="9" t="n"/>
    </row>
    <row r="82">
      <c r="A82" s="13" t="n"/>
      <c r="B82" s="10" t="n"/>
      <c r="C82" s="9" t="n"/>
      <c r="D82" s="13" t="n"/>
      <c r="E82" s="9" t="n"/>
      <c r="F82" s="13" t="n"/>
      <c r="G82" s="45" t="n"/>
      <c r="H82" s="11" t="n"/>
      <c r="I82" s="12">
        <f>IF(OR(B82="",H82=""),"",B82+H82)</f>
        <v/>
      </c>
      <c r="J82" s="13" t="n"/>
      <c r="K82" s="10" t="n"/>
      <c r="L82" s="26">
        <f>IF(A82="","",IF(J82&lt;&gt;"Enviada","",IF(I82="","",IF(I82&lt;TODAY(),"Validade vencida · retomar contato",IF(I82-TODAY()&lt;=3,"Vence em até 3 dias","")))))</f>
        <v/>
      </c>
      <c r="M82" s="9" t="n"/>
    </row>
    <row r="83">
      <c r="A83" s="13" t="n"/>
      <c r="B83" s="10" t="n"/>
      <c r="C83" s="9" t="n"/>
      <c r="D83" s="13" t="n"/>
      <c r="E83" s="9" t="n"/>
      <c r="F83" s="13" t="n"/>
      <c r="G83" s="45" t="n"/>
      <c r="H83" s="11" t="n"/>
      <c r="I83" s="12">
        <f>IF(OR(B83="",H83=""),"",B83+H83)</f>
        <v/>
      </c>
      <c r="J83" s="13" t="n"/>
      <c r="K83" s="10" t="n"/>
      <c r="L83" s="26">
        <f>IF(A83="","",IF(J83&lt;&gt;"Enviada","",IF(I83="","",IF(I83&lt;TODAY(),"Validade vencida · retomar contato",IF(I83-TODAY()&lt;=3,"Vence em até 3 dias","")))))</f>
        <v/>
      </c>
      <c r="M83" s="9" t="n"/>
    </row>
    <row r="84">
      <c r="A84" s="13" t="n"/>
      <c r="B84" s="10" t="n"/>
      <c r="C84" s="9" t="n"/>
      <c r="D84" s="13" t="n"/>
      <c r="E84" s="9" t="n"/>
      <c r="F84" s="13" t="n"/>
      <c r="G84" s="45" t="n"/>
      <c r="H84" s="11" t="n"/>
      <c r="I84" s="12">
        <f>IF(OR(B84="",H84=""),"",B84+H84)</f>
        <v/>
      </c>
      <c r="J84" s="13" t="n"/>
      <c r="K84" s="10" t="n"/>
      <c r="L84" s="26">
        <f>IF(A84="","",IF(J84&lt;&gt;"Enviada","",IF(I84="","",IF(I84&lt;TODAY(),"Validade vencida · retomar contato",IF(I84-TODAY()&lt;=3,"Vence em até 3 dias","")))))</f>
        <v/>
      </c>
      <c r="M84" s="9" t="n"/>
    </row>
    <row r="85">
      <c r="A85" s="13" t="n"/>
      <c r="B85" s="10" t="n"/>
      <c r="C85" s="9" t="n"/>
      <c r="D85" s="13" t="n"/>
      <c r="E85" s="9" t="n"/>
      <c r="F85" s="13" t="n"/>
      <c r="G85" s="45" t="n"/>
      <c r="H85" s="11" t="n"/>
      <c r="I85" s="12">
        <f>IF(OR(B85="",H85=""),"",B85+H85)</f>
        <v/>
      </c>
      <c r="J85" s="13" t="n"/>
      <c r="K85" s="10" t="n"/>
      <c r="L85" s="26">
        <f>IF(A85="","",IF(J85&lt;&gt;"Enviada","",IF(I85="","",IF(I85&lt;TODAY(),"Validade vencida · retomar contato",IF(I85-TODAY()&lt;=3,"Vence em até 3 dias","")))))</f>
        <v/>
      </c>
      <c r="M85" s="9" t="n"/>
    </row>
    <row r="86">
      <c r="A86" s="13" t="n"/>
      <c r="B86" s="10" t="n"/>
      <c r="C86" s="9" t="n"/>
      <c r="D86" s="13" t="n"/>
      <c r="E86" s="9" t="n"/>
      <c r="F86" s="13" t="n"/>
      <c r="G86" s="45" t="n"/>
      <c r="H86" s="11" t="n"/>
      <c r="I86" s="12">
        <f>IF(OR(B86="",H86=""),"",B86+H86)</f>
        <v/>
      </c>
      <c r="J86" s="13" t="n"/>
      <c r="K86" s="10" t="n"/>
      <c r="L86" s="26">
        <f>IF(A86="","",IF(J86&lt;&gt;"Enviada","",IF(I86="","",IF(I86&lt;TODAY(),"Validade vencida · retomar contato",IF(I86-TODAY()&lt;=3,"Vence em até 3 dias","")))))</f>
        <v/>
      </c>
      <c r="M86" s="9" t="n"/>
    </row>
    <row r="87">
      <c r="A87" s="13" t="n"/>
      <c r="B87" s="10" t="n"/>
      <c r="C87" s="9" t="n"/>
      <c r="D87" s="13" t="n"/>
      <c r="E87" s="9" t="n"/>
      <c r="F87" s="13" t="n"/>
      <c r="G87" s="45" t="n"/>
      <c r="H87" s="11" t="n"/>
      <c r="I87" s="12">
        <f>IF(OR(B87="",H87=""),"",B87+H87)</f>
        <v/>
      </c>
      <c r="J87" s="13" t="n"/>
      <c r="K87" s="10" t="n"/>
      <c r="L87" s="26">
        <f>IF(A87="","",IF(J87&lt;&gt;"Enviada","",IF(I87="","",IF(I87&lt;TODAY(),"Validade vencida · retomar contato",IF(I87-TODAY()&lt;=3,"Vence em até 3 dias","")))))</f>
        <v/>
      </c>
      <c r="M87" s="9" t="n"/>
    </row>
    <row r="88">
      <c r="A88" s="13" t="n"/>
      <c r="B88" s="10" t="n"/>
      <c r="C88" s="9" t="n"/>
      <c r="D88" s="13" t="n"/>
      <c r="E88" s="9" t="n"/>
      <c r="F88" s="13" t="n"/>
      <c r="G88" s="45" t="n"/>
      <c r="H88" s="11" t="n"/>
      <c r="I88" s="12">
        <f>IF(OR(B88="",H88=""),"",B88+H88)</f>
        <v/>
      </c>
      <c r="J88" s="13" t="n"/>
      <c r="K88" s="10" t="n"/>
      <c r="L88" s="26">
        <f>IF(A88="","",IF(J88&lt;&gt;"Enviada","",IF(I88="","",IF(I88&lt;TODAY(),"Validade vencida · retomar contato",IF(I88-TODAY()&lt;=3,"Vence em até 3 dias","")))))</f>
        <v/>
      </c>
      <c r="M88" s="9" t="n"/>
    </row>
    <row r="89">
      <c r="A89" s="13" t="n"/>
      <c r="B89" s="10" t="n"/>
      <c r="C89" s="9" t="n"/>
      <c r="D89" s="13" t="n"/>
      <c r="E89" s="9" t="n"/>
      <c r="F89" s="13" t="n"/>
      <c r="G89" s="45" t="n"/>
      <c r="H89" s="11" t="n"/>
      <c r="I89" s="12">
        <f>IF(OR(B89="",H89=""),"",B89+H89)</f>
        <v/>
      </c>
      <c r="J89" s="13" t="n"/>
      <c r="K89" s="10" t="n"/>
      <c r="L89" s="26">
        <f>IF(A89="","",IF(J89&lt;&gt;"Enviada","",IF(I89="","",IF(I89&lt;TODAY(),"Validade vencida · retomar contato",IF(I89-TODAY()&lt;=3,"Vence em até 3 dias","")))))</f>
        <v/>
      </c>
      <c r="M89" s="9" t="n"/>
    </row>
    <row r="90">
      <c r="A90" s="13" t="n"/>
      <c r="B90" s="10" t="n"/>
      <c r="C90" s="9" t="n"/>
      <c r="D90" s="13" t="n"/>
      <c r="E90" s="9" t="n"/>
      <c r="F90" s="13" t="n"/>
      <c r="G90" s="45" t="n"/>
      <c r="H90" s="11" t="n"/>
      <c r="I90" s="12">
        <f>IF(OR(B90="",H90=""),"",B90+H90)</f>
        <v/>
      </c>
      <c r="J90" s="13" t="n"/>
      <c r="K90" s="10" t="n"/>
      <c r="L90" s="26">
        <f>IF(A90="","",IF(J90&lt;&gt;"Enviada","",IF(I90="","",IF(I90&lt;TODAY(),"Validade vencida · retomar contato",IF(I90-TODAY()&lt;=3,"Vence em até 3 dias","")))))</f>
        <v/>
      </c>
      <c r="M90" s="9" t="n"/>
    </row>
    <row r="91">
      <c r="A91" s="13" t="n"/>
      <c r="B91" s="10" t="n"/>
      <c r="C91" s="9" t="n"/>
      <c r="D91" s="13" t="n"/>
      <c r="E91" s="9" t="n"/>
      <c r="F91" s="13" t="n"/>
      <c r="G91" s="45" t="n"/>
      <c r="H91" s="11" t="n"/>
      <c r="I91" s="12">
        <f>IF(OR(B91="",H91=""),"",B91+H91)</f>
        <v/>
      </c>
      <c r="J91" s="13" t="n"/>
      <c r="K91" s="10" t="n"/>
      <c r="L91" s="26">
        <f>IF(A91="","",IF(J91&lt;&gt;"Enviada","",IF(I91="","",IF(I91&lt;TODAY(),"Validade vencida · retomar contato",IF(I91-TODAY()&lt;=3,"Vence em até 3 dias","")))))</f>
        <v/>
      </c>
      <c r="M91" s="9" t="n"/>
    </row>
    <row r="92">
      <c r="A92" s="13" t="n"/>
      <c r="B92" s="10" t="n"/>
      <c r="C92" s="9" t="n"/>
      <c r="D92" s="13" t="n"/>
      <c r="E92" s="9" t="n"/>
      <c r="F92" s="13" t="n"/>
      <c r="G92" s="45" t="n"/>
      <c r="H92" s="11" t="n"/>
      <c r="I92" s="12">
        <f>IF(OR(B92="",H92=""),"",B92+H92)</f>
        <v/>
      </c>
      <c r="J92" s="13" t="n"/>
      <c r="K92" s="10" t="n"/>
      <c r="L92" s="26">
        <f>IF(A92="","",IF(J92&lt;&gt;"Enviada","",IF(I92="","",IF(I92&lt;TODAY(),"Validade vencida · retomar contato",IF(I92-TODAY()&lt;=3,"Vence em até 3 dias","")))))</f>
        <v/>
      </c>
      <c r="M92" s="9" t="n"/>
    </row>
    <row r="93">
      <c r="A93" s="13" t="n"/>
      <c r="B93" s="10" t="n"/>
      <c r="C93" s="9" t="n"/>
      <c r="D93" s="13" t="n"/>
      <c r="E93" s="9" t="n"/>
      <c r="F93" s="13" t="n"/>
      <c r="G93" s="45" t="n"/>
      <c r="H93" s="11" t="n"/>
      <c r="I93" s="12">
        <f>IF(OR(B93="",H93=""),"",B93+H93)</f>
        <v/>
      </c>
      <c r="J93" s="13" t="n"/>
      <c r="K93" s="10" t="n"/>
      <c r="L93" s="26">
        <f>IF(A93="","",IF(J93&lt;&gt;"Enviada","",IF(I93="","",IF(I93&lt;TODAY(),"Validade vencida · retomar contato",IF(I93-TODAY()&lt;=3,"Vence em até 3 dias","")))))</f>
        <v/>
      </c>
      <c r="M93" s="9" t="n"/>
    </row>
    <row r="94">
      <c r="A94" s="13" t="n"/>
      <c r="B94" s="10" t="n"/>
      <c r="C94" s="9" t="n"/>
      <c r="D94" s="13" t="n"/>
      <c r="E94" s="9" t="n"/>
      <c r="F94" s="13" t="n"/>
      <c r="G94" s="45" t="n"/>
      <c r="H94" s="11" t="n"/>
      <c r="I94" s="12">
        <f>IF(OR(B94="",H94=""),"",B94+H94)</f>
        <v/>
      </c>
      <c r="J94" s="13" t="n"/>
      <c r="K94" s="10" t="n"/>
      <c r="L94" s="26">
        <f>IF(A94="","",IF(J94&lt;&gt;"Enviada","",IF(I94="","",IF(I94&lt;TODAY(),"Validade vencida · retomar contato",IF(I94-TODAY()&lt;=3,"Vence em até 3 dias","")))))</f>
        <v/>
      </c>
      <c r="M94" s="9" t="n"/>
    </row>
    <row r="95">
      <c r="A95" s="13" t="n"/>
      <c r="B95" s="10" t="n"/>
      <c r="C95" s="9" t="n"/>
      <c r="D95" s="13" t="n"/>
      <c r="E95" s="9" t="n"/>
      <c r="F95" s="13" t="n"/>
      <c r="G95" s="45" t="n"/>
      <c r="H95" s="11" t="n"/>
      <c r="I95" s="12">
        <f>IF(OR(B95="",H95=""),"",B95+H95)</f>
        <v/>
      </c>
      <c r="J95" s="13" t="n"/>
      <c r="K95" s="10" t="n"/>
      <c r="L95" s="26">
        <f>IF(A95="","",IF(J95&lt;&gt;"Enviada","",IF(I95="","",IF(I95&lt;TODAY(),"Validade vencida · retomar contato",IF(I95-TODAY()&lt;=3,"Vence em até 3 dias","")))))</f>
        <v/>
      </c>
      <c r="M95" s="9" t="n"/>
    </row>
    <row r="96">
      <c r="A96" s="13" t="n"/>
      <c r="B96" s="10" t="n"/>
      <c r="C96" s="9" t="n"/>
      <c r="D96" s="13" t="n"/>
      <c r="E96" s="9" t="n"/>
      <c r="F96" s="13" t="n"/>
      <c r="G96" s="45" t="n"/>
      <c r="H96" s="11" t="n"/>
      <c r="I96" s="12">
        <f>IF(OR(B96="",H96=""),"",B96+H96)</f>
        <v/>
      </c>
      <c r="J96" s="13" t="n"/>
      <c r="K96" s="10" t="n"/>
      <c r="L96" s="26">
        <f>IF(A96="","",IF(J96&lt;&gt;"Enviada","",IF(I96="","",IF(I96&lt;TODAY(),"Validade vencida · retomar contato",IF(I96-TODAY()&lt;=3,"Vence em até 3 dias","")))))</f>
        <v/>
      </c>
      <c r="M96" s="9" t="n"/>
    </row>
    <row r="97">
      <c r="A97" s="13" t="n"/>
      <c r="B97" s="10" t="n"/>
      <c r="C97" s="9" t="n"/>
      <c r="D97" s="13" t="n"/>
      <c r="E97" s="9" t="n"/>
      <c r="F97" s="13" t="n"/>
      <c r="G97" s="45" t="n"/>
      <c r="H97" s="11" t="n"/>
      <c r="I97" s="12">
        <f>IF(OR(B97="",H97=""),"",B97+H97)</f>
        <v/>
      </c>
      <c r="J97" s="13" t="n"/>
      <c r="K97" s="10" t="n"/>
      <c r="L97" s="26">
        <f>IF(A97="","",IF(J97&lt;&gt;"Enviada","",IF(I97="","",IF(I97&lt;TODAY(),"Validade vencida · retomar contato",IF(I97-TODAY()&lt;=3,"Vence em até 3 dias","")))))</f>
        <v/>
      </c>
      <c r="M97" s="9" t="n"/>
    </row>
    <row r="98">
      <c r="A98" s="13" t="n"/>
      <c r="B98" s="10" t="n"/>
      <c r="C98" s="9" t="n"/>
      <c r="D98" s="13" t="n"/>
      <c r="E98" s="9" t="n"/>
      <c r="F98" s="13" t="n"/>
      <c r="G98" s="45" t="n"/>
      <c r="H98" s="11" t="n"/>
      <c r="I98" s="12">
        <f>IF(OR(B98="",H98=""),"",B98+H98)</f>
        <v/>
      </c>
      <c r="J98" s="13" t="n"/>
      <c r="K98" s="10" t="n"/>
      <c r="L98" s="26">
        <f>IF(A98="","",IF(J98&lt;&gt;"Enviada","",IF(I98="","",IF(I98&lt;TODAY(),"Validade vencida · retomar contato",IF(I98-TODAY()&lt;=3,"Vence em até 3 dias","")))))</f>
        <v/>
      </c>
      <c r="M98" s="9" t="n"/>
    </row>
    <row r="99">
      <c r="A99" s="13" t="n"/>
      <c r="B99" s="10" t="n"/>
      <c r="C99" s="9" t="n"/>
      <c r="D99" s="13" t="n"/>
      <c r="E99" s="9" t="n"/>
      <c r="F99" s="13" t="n"/>
      <c r="G99" s="45" t="n"/>
      <c r="H99" s="11" t="n"/>
      <c r="I99" s="12">
        <f>IF(OR(B99="",H99=""),"",B99+H99)</f>
        <v/>
      </c>
      <c r="J99" s="13" t="n"/>
      <c r="K99" s="10" t="n"/>
      <c r="L99" s="26">
        <f>IF(A99="","",IF(J99&lt;&gt;"Enviada","",IF(I99="","",IF(I99&lt;TODAY(),"Validade vencida · retomar contato",IF(I99-TODAY()&lt;=3,"Vence em até 3 dias","")))))</f>
        <v/>
      </c>
      <c r="M99" s="9" t="n"/>
    </row>
    <row r="100">
      <c r="A100" s="13" t="n"/>
      <c r="B100" s="10" t="n"/>
      <c r="C100" s="9" t="n"/>
      <c r="D100" s="13" t="n"/>
      <c r="E100" s="9" t="n"/>
      <c r="F100" s="13" t="n"/>
      <c r="G100" s="45" t="n"/>
      <c r="H100" s="11" t="n"/>
      <c r="I100" s="12">
        <f>IF(OR(B100="",H100=""),"",B100+H100)</f>
        <v/>
      </c>
      <c r="J100" s="13" t="n"/>
      <c r="K100" s="10" t="n"/>
      <c r="L100" s="26">
        <f>IF(A100="","",IF(J100&lt;&gt;"Enviada","",IF(I100="","",IF(I100&lt;TODAY(),"Validade vencida · retomar contato",IF(I100-TODAY()&lt;=3,"Vence em até 3 dias","")))))</f>
        <v/>
      </c>
      <c r="M100" s="9" t="n"/>
    </row>
    <row r="101">
      <c r="A101" s="13" t="n"/>
      <c r="B101" s="10" t="n"/>
      <c r="C101" s="9" t="n"/>
      <c r="D101" s="13" t="n"/>
      <c r="E101" s="9" t="n"/>
      <c r="F101" s="13" t="n"/>
      <c r="G101" s="45" t="n"/>
      <c r="H101" s="11" t="n"/>
      <c r="I101" s="12">
        <f>IF(OR(B101="",H101=""),"",B101+H101)</f>
        <v/>
      </c>
      <c r="J101" s="13" t="n"/>
      <c r="K101" s="10" t="n"/>
      <c r="L101" s="26">
        <f>IF(A101="","",IF(J101&lt;&gt;"Enviada","",IF(I101="","",IF(I101&lt;TODAY(),"Validade vencida · retomar contato",IF(I101-TODAY()&lt;=3,"Vence em até 3 dias","")))))</f>
        <v/>
      </c>
      <c r="M101" s="9" t="n"/>
    </row>
    <row r="102">
      <c r="A102" s="13" t="n"/>
      <c r="B102" s="10" t="n"/>
      <c r="C102" s="9" t="n"/>
      <c r="D102" s="13" t="n"/>
      <c r="E102" s="9" t="n"/>
      <c r="F102" s="13" t="n"/>
      <c r="G102" s="45" t="n"/>
      <c r="H102" s="11" t="n"/>
      <c r="I102" s="12">
        <f>IF(OR(B102="",H102=""),"",B102+H102)</f>
        <v/>
      </c>
      <c r="J102" s="13" t="n"/>
      <c r="K102" s="10" t="n"/>
      <c r="L102" s="26">
        <f>IF(A102="","",IF(J102&lt;&gt;"Enviada","",IF(I102="","",IF(I102&lt;TODAY(),"Validade vencida · retomar contato",IF(I102-TODAY()&lt;=3,"Vence em até 3 dias","")))))</f>
        <v/>
      </c>
      <c r="M102" s="9" t="n"/>
    </row>
    <row r="103">
      <c r="A103" s="13" t="n"/>
      <c r="B103" s="10" t="n"/>
      <c r="C103" s="9" t="n"/>
      <c r="D103" s="13" t="n"/>
      <c r="E103" s="9" t="n"/>
      <c r="F103" s="13" t="n"/>
      <c r="G103" s="45" t="n"/>
      <c r="H103" s="11" t="n"/>
      <c r="I103" s="12">
        <f>IF(OR(B103="",H103=""),"",B103+H103)</f>
        <v/>
      </c>
      <c r="J103" s="13" t="n"/>
      <c r="K103" s="10" t="n"/>
      <c r="L103" s="26">
        <f>IF(A103="","",IF(J103&lt;&gt;"Enviada","",IF(I103="","",IF(I103&lt;TODAY(),"Validade vencida · retomar contato",IF(I103-TODAY()&lt;=3,"Vence em até 3 dias","")))))</f>
        <v/>
      </c>
      <c r="M103" s="9" t="n"/>
    </row>
    <row r="104">
      <c r="A104" s="13" t="n"/>
      <c r="B104" s="10" t="n"/>
      <c r="C104" s="9" t="n"/>
      <c r="D104" s="13" t="n"/>
      <c r="E104" s="9" t="n"/>
      <c r="F104" s="13" t="n"/>
      <c r="G104" s="45" t="n"/>
      <c r="H104" s="11" t="n"/>
      <c r="I104" s="12">
        <f>IF(OR(B104="",H104=""),"",B104+H104)</f>
        <v/>
      </c>
      <c r="J104" s="13" t="n"/>
      <c r="K104" s="10" t="n"/>
      <c r="L104" s="26">
        <f>IF(A104="","",IF(J104&lt;&gt;"Enviada","",IF(I104="","",IF(I104&lt;TODAY(),"Validade vencida · retomar contato",IF(I104-TODAY()&lt;=3,"Vence em até 3 dias","")))))</f>
        <v/>
      </c>
      <c r="M104" s="9" t="n"/>
    </row>
    <row r="105">
      <c r="A105" s="13" t="n"/>
      <c r="B105" s="10" t="n"/>
      <c r="C105" s="9" t="n"/>
      <c r="D105" s="13" t="n"/>
      <c r="E105" s="9" t="n"/>
      <c r="F105" s="13" t="n"/>
      <c r="G105" s="45" t="n"/>
      <c r="H105" s="11" t="n"/>
      <c r="I105" s="12">
        <f>IF(OR(B105="",H105=""),"",B105+H105)</f>
        <v/>
      </c>
      <c r="J105" s="13" t="n"/>
      <c r="K105" s="10" t="n"/>
      <c r="L105" s="26">
        <f>IF(A105="","",IF(J105&lt;&gt;"Enviada","",IF(I105="","",IF(I105&lt;TODAY(),"Validade vencida · retomar contato",IF(I105-TODAY()&lt;=3,"Vence em até 3 dias","")))))</f>
        <v/>
      </c>
      <c r="M105" s="9" t="n"/>
    </row>
    <row r="106">
      <c r="A106" s="13" t="n"/>
      <c r="B106" s="10" t="n"/>
      <c r="C106" s="9" t="n"/>
      <c r="D106" s="13" t="n"/>
      <c r="E106" s="9" t="n"/>
      <c r="F106" s="13" t="n"/>
      <c r="G106" s="45" t="n"/>
      <c r="H106" s="11" t="n"/>
      <c r="I106" s="12">
        <f>IF(OR(B106="",H106=""),"",B106+H106)</f>
        <v/>
      </c>
      <c r="J106" s="13" t="n"/>
      <c r="K106" s="10" t="n"/>
      <c r="L106" s="26">
        <f>IF(A106="","",IF(J106&lt;&gt;"Enviada","",IF(I106="","",IF(I106&lt;TODAY(),"Validade vencida · retomar contato",IF(I106-TODAY()&lt;=3,"Vence em até 3 dias","")))))</f>
        <v/>
      </c>
      <c r="M106" s="9" t="n"/>
    </row>
    <row r="107">
      <c r="A107" s="13" t="n"/>
      <c r="B107" s="10" t="n"/>
      <c r="C107" s="9" t="n"/>
      <c r="D107" s="13" t="n"/>
      <c r="E107" s="9" t="n"/>
      <c r="F107" s="13" t="n"/>
      <c r="G107" s="45" t="n"/>
      <c r="H107" s="11" t="n"/>
      <c r="I107" s="12">
        <f>IF(OR(B107="",H107=""),"",B107+H107)</f>
        <v/>
      </c>
      <c r="J107" s="13" t="n"/>
      <c r="K107" s="10" t="n"/>
      <c r="L107" s="26">
        <f>IF(A107="","",IF(J107&lt;&gt;"Enviada","",IF(I107="","",IF(I107&lt;TODAY(),"Validade vencida · retomar contato",IF(I107-TODAY()&lt;=3,"Vence em até 3 dias","")))))</f>
        <v/>
      </c>
      <c r="M107" s="9" t="n"/>
    </row>
    <row r="108">
      <c r="A108" s="13" t="n"/>
      <c r="B108" s="10" t="n"/>
      <c r="C108" s="9" t="n"/>
      <c r="D108" s="13" t="n"/>
      <c r="E108" s="9" t="n"/>
      <c r="F108" s="13" t="n"/>
      <c r="G108" s="45" t="n"/>
      <c r="H108" s="11" t="n"/>
      <c r="I108" s="12">
        <f>IF(OR(B108="",H108=""),"",B108+H108)</f>
        <v/>
      </c>
      <c r="J108" s="13" t="n"/>
      <c r="K108" s="10" t="n"/>
      <c r="L108" s="26">
        <f>IF(A108="","",IF(J108&lt;&gt;"Enviada","",IF(I108="","",IF(I108&lt;TODAY(),"Validade vencida · retomar contato",IF(I108-TODAY()&lt;=3,"Vence em até 3 dias","")))))</f>
        <v/>
      </c>
      <c r="M108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8:M108"/>
  <mergeCells count="14">
    <mergeCell ref="A4:B4"/>
    <mergeCell ref="G4:H4"/>
    <mergeCell ref="E4:F4"/>
    <mergeCell ref="I4:J4"/>
    <mergeCell ref="A1:M1"/>
    <mergeCell ref="C5:D5"/>
    <mergeCell ref="A5:B5"/>
    <mergeCell ref="G5:H5"/>
    <mergeCell ref="E5:F5"/>
    <mergeCell ref="K5:L5"/>
    <mergeCell ref="I5:J5"/>
    <mergeCell ref="K4:L4"/>
    <mergeCell ref="A2:M2"/>
    <mergeCell ref="C4:D4"/>
  </mergeCells>
  <conditionalFormatting sqref="L9:L108">
    <cfRule type="expression" priority="1" dxfId="0">
      <formula>LEFT($L9,8)="Validade"</formula>
    </cfRule>
    <cfRule type="expression" priority="2" dxfId="1">
      <formula>LEFT($L9,5)="Vence"</formula>
    </cfRule>
  </conditionalFormatting>
  <conditionalFormatting sqref="J9:J108">
    <cfRule type="expression" priority="3" dxfId="2">
      <formula>$J9="Fechada"</formula>
    </cfRule>
    <cfRule type="expression" priority="4" dxfId="3">
      <formula>$J9="Perdida"</formula>
    </cfRule>
  </conditionalFormatting>
  <dataValidations count="4">
    <dataValidation sqref="D9:D108" showDropDown="0" showInputMessage="0" showErrorMessage="0" allowBlank="1" type="list">
      <formula1>=OFFSET(Config!$D$14,0,0,MAX(1,COUNTA(Config!$D$14:$D$33)),1)</formula1>
    </dataValidation>
    <dataValidation sqref="F9:F108" showDropDown="0" showInputMessage="0" showErrorMessage="1" allowBlank="1" type="list">
      <formula1>=OFFSET(Config!$F$14,0,0,MAX(1,COUNTA(Config!$F$14:$F$33)),1)</formula1>
    </dataValidation>
    <dataValidation sqref="J9:J108" showDropDown="0" showInputMessage="0" showErrorMessage="1" allowBlank="1" type="list">
      <formula1>=OFFSET(Config!$J$14,0,0,MAX(1,COUNTA(Config!$J$14:$J$33)),1)</formula1>
    </dataValidation>
    <dataValidation sqref="B9:B108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Proposta de honorários · Kit de Gestão para Advogados</dc:title>
  <dcterms:created xmlns:dcterms="http://purl.org/dc/terms/" xmlns:xsi="http://www.w3.org/2001/XMLSchema-instance" xsi:type="dcterms:W3CDTF">2026-09-14T09:39:36Z</dcterms:created>
  <dcterms:modified xmlns:dcterms="http://purl.org/dc/terms/" xmlns:xsi="http://www.w3.org/2001/XMLSchema-instance" xsi:type="dcterms:W3CDTF">2026-09-14T09:39:36Z</dcterms:modified>
</cp:coreProperties>
</file>