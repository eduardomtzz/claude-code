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Custos fixos" sheetId="4" state="visible" r:id="rId4"/>
    <sheet xmlns:r="http://schemas.openxmlformats.org/officeDocument/2006/relationships" name="Pesso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R$&quot; #,##0;[Red]-&quot;R$&quot; #,##0"/>
    <numFmt numFmtId="167" formatCode="&quot;R$&quot; #,##0.00;[Red]-&quot;R$&quot; #,##0.00"/>
  </numFmts>
  <fonts count="17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color rgb="00B0A6C4"/>
      <sz val="9"/>
    </font>
    <font>
      <name val="Arial"/>
      <b val="1"/>
      <color rgb="007A1F1F"/>
      <sz val="10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7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FFC83D"/>
      </patternFill>
    </fill>
    <fill>
      <patternFill patternType="solid">
        <fgColor rgb="00DDF3E7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vertical="top"/>
    </xf>
    <xf numFmtId="0" fontId="1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9" fillId="4" borderId="0" applyAlignment="1" pivotButton="0" quotePrefix="0" xfId="0">
      <alignment horizontal="center"/>
    </xf>
    <xf numFmtId="0" fontId="0" fillId="4" borderId="0" pivotButton="0" quotePrefix="0" xfId="0"/>
    <xf numFmtId="0" fontId="9" fillId="5" borderId="0" applyAlignment="1" pivotButton="0" quotePrefix="0" xfId="0">
      <alignment horizontal="center"/>
    </xf>
    <xf numFmtId="0" fontId="0" fillId="5" borderId="0" pivotButton="0" quotePrefix="0" xfId="0"/>
    <xf numFmtId="0" fontId="10" fillId="6" borderId="0" applyAlignment="1" pivotButton="0" quotePrefix="0" xfId="0">
      <alignment horizontal="center"/>
    </xf>
    <xf numFmtId="0" fontId="0" fillId="6" borderId="0" pivotButton="0" quotePrefix="0" xfId="0"/>
    <xf numFmtId="166" fontId="1" fillId="4" borderId="0" applyAlignment="1" pivotButton="0" quotePrefix="0" xfId="0">
      <alignment horizontal="center"/>
    </xf>
    <xf numFmtId="3" fontId="1" fillId="4" borderId="0" applyAlignment="1" pivotButton="0" quotePrefix="0" xfId="0">
      <alignment horizontal="center"/>
    </xf>
    <xf numFmtId="167" fontId="1" fillId="5" borderId="0" applyAlignment="1" pivotButton="0" quotePrefix="0" xfId="0">
      <alignment horizontal="center"/>
    </xf>
    <xf numFmtId="167" fontId="11" fillId="6" borderId="0" applyAlignment="1" pivotButton="0" quotePrefix="0" xfId="0">
      <alignment horizontal="center"/>
    </xf>
    <xf numFmtId="9" fontId="1" fillId="4" borderId="0" applyAlignment="1" pivotButton="0" quotePrefix="0" xfId="0">
      <alignment horizontal="center"/>
    </xf>
    <xf numFmtId="0" fontId="8" fillId="0" borderId="0" applyAlignment="1" pivotButton="0" quotePrefix="0" xfId="0">
      <alignment vertical="top" wrapText="1"/>
    </xf>
    <xf numFmtId="0" fontId="12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7" fontId="4" fillId="0" borderId="1" applyAlignment="1" pivotButton="0" quotePrefix="0" xfId="0">
      <alignment horizontal="center"/>
    </xf>
    <xf numFmtId="0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167" fontId="3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5" fillId="0" borderId="0" pivotButton="0" quotePrefix="0" xfId="0"/>
    <xf numFmtId="9" fontId="4" fillId="2" borderId="1" applyAlignment="1" applyProtection="1" pivotButton="0" quotePrefix="0" xfId="0">
      <alignment horizontal="center"/>
      <protection locked="0" hidden="0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5" fontId="4" fillId="0" borderId="1" applyAlignment="1" pivotButton="0" quotePrefix="0" xfId="0">
      <alignment horizontal="center"/>
    </xf>
    <xf numFmtId="166" fontId="4" fillId="2" borderId="1" applyAlignment="1" applyProtection="1" pivotButton="0" quotePrefix="0" xfId="0">
      <alignment horizontal="center"/>
      <protection locked="0" hidden="0"/>
    </xf>
    <xf numFmtId="0" fontId="4" fillId="0" borderId="1" applyAlignment="1" pivotButton="0" quotePrefix="0" xfId="0">
      <alignment horizontal="center"/>
    </xf>
    <xf numFmtId="167" fontId="4" fillId="2" borderId="1" applyAlignment="1" applyProtection="1" pivotButton="0" quotePrefix="0" xfId="0">
      <alignment horizontal="center"/>
      <protection locked="0" hidden="0"/>
    </xf>
    <xf numFmtId="0" fontId="3" fillId="0" borderId="1" pivotButton="0" quotePrefix="0" xfId="0"/>
    <xf numFmtId="0" fontId="4" fillId="2" borderId="1" applyAlignment="1" applyProtection="1" pivotButton="0" quotePrefix="0" xfId="0">
      <alignment horizontal="center"/>
      <protection locked="0" hidden="0"/>
    </xf>
    <xf numFmtId="1" fontId="4" fillId="2" borderId="1" applyAlignment="1" applyProtection="1" pivotButton="0" quotePrefix="0" xfId="0">
      <alignment horizontal="center"/>
      <protection locked="0" hidden="0"/>
    </xf>
    <xf numFmtId="0" fontId="7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4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Custo-hora por cenário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'Painel'!D40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'Painel'!$A$41:$A$44</f>
            </numRef>
          </cat>
          <val>
            <numRef>
              <f>'Painel'!$D$41:$D$44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37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Custo-hora do escritório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Responde "quanto custa uma hora do meu escritório?". Soma custos fixos e pró-labore, divide pelas horas que podem ser cobradas de clientes e mostra o custo-hora, a hora mínima a cobrar (com margem e impostos) e o que acontece se as horas faturáveis caírem.</t>
        </is>
      </c>
    </row>
    <row r="5" ht="46" customHeight="1">
      <c r="A5" s="3" t="inlineStr">
        <is>
          <t>Passo 1</t>
        </is>
      </c>
      <c r="B5" s="4" t="inlineStr">
        <is>
          <t>Em Custos fixos, liste o que o escritório paga todo mês (aluguel, contador, sistemas, bolsa de estágio, marketing). Uma linha por item, de cima para baixo.</t>
        </is>
      </c>
    </row>
    <row r="6" ht="46" customHeight="1">
      <c r="A6" s="3" t="inlineStr">
        <is>
          <t>Passo 2</t>
        </is>
      </c>
      <c r="B6" s="4" t="inlineStr">
        <is>
          <t>Em Pessoas, cada pessoa com pró-labore ou salário, horas de trabalho e horas faturáveis por mês. Se o custo dela já está em Custos fixos, marque "Sim" para não contar duas vezes.</t>
        </is>
      </c>
    </row>
    <row r="7" ht="46" customHeight="1">
      <c r="A7" s="3" t="inlineStr">
        <is>
          <t>Passo 3</t>
        </is>
      </c>
      <c r="B7" s="4" t="inlineStr">
        <is>
          <t>Em Config, a margem que você quer sobre o preço e o percentual de impostos e taxas que sai de cada recebimento (confira com o contador).</t>
        </is>
      </c>
    </row>
    <row r="8" ht="46" customHeight="1">
      <c r="A8" s="3" t="inlineStr">
        <is>
          <t>Passo 4</t>
        </is>
      </c>
      <c r="B8" s="4" t="inlineStr">
        <is>
          <t>Em Painel: custo-hora do escritório, hora mínima a cobrar, custo-hora de cada pessoa e a sensibilidade. Leve o CUSTO-HORA do escritório (Painel B13) como entrada das planilhas 06 (Simulador) e 08 (Tabela de referência): é sobre ele que elas aplicam imposto e margem. A hora mínima serve para comparar preço, não como entrada — usá-la no lugar do custo-hora aplica margem e imposto duas vezes.</t>
        </is>
      </c>
    </row>
    <row r="9" ht="46" customHeight="1">
      <c r="A9" s="3" t="inlineStr">
        <is>
          <t>Rotina</t>
        </is>
      </c>
      <c r="B9" s="4" t="inlineStr">
        <is>
          <t>Revise uma vez por trimestre ou quando mudar aluguel, equipe ou pró-labore. Leva 10 minutos.</t>
        </is>
      </c>
    </row>
    <row r="10" ht="46" customHeight="1">
      <c r="A10" s="3" t="inlineStr">
        <is>
          <t>Com a IA</t>
        </is>
      </c>
      <c r="B10" s="4" t="inlineStr">
        <is>
          <t>Copie "Como chegamos ao número" e use o prompt "Honorários 01 · Entender o meu custo-hora" da biblioteca do kit para explicar o custo-hora ao sócio em linguagem simples, ou para sugerir o que fazer se a ocupação estiver abaixo de 50%.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5" ht="46" customHeight="1">
      <c r="A15" s="3" t="inlineStr">
        <is>
          <t>Exemplos</t>
        </is>
      </c>
      <c r="B15" s="4" t="inlineStr">
        <is>
          <t>Ferraz &amp; Lima Advocacia é um escritório fictício. Clientes, processos, nomes e valores são inventados. Apague-os antes de começar.</t>
        </is>
      </c>
    </row>
    <row r="16" ht="46" customHeight="1">
      <c r="A16" s="3" t="inlineStr">
        <is>
          <t>Data de referência</t>
        </is>
      </c>
      <c r="B16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7" ht="46" customHeight="1">
      <c r="A17" s="3" t="inlineStr">
        <is>
          <t>Suporte</t>
        </is>
      </c>
      <c r="B17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5" t="str">
        <f>Config!$B$4&amp;" · Custo-hora · "&amp;Config!$B$5</f>
        <v>Ferraz &amp; Lima Advocacia (exemplo fictício) · Custo-hora · Setembro de 2026</v>
      </c>
    </row>
    <row r="2">
      <c r="A2" s="6" t="inlineStr">
        <is>
          <t>Nada para digitar aqui, exceto os percentuais da sensibilidade. Custos vêm da aba Custos fixos, pessoas da aba Pessoas, margem e impostos de Config.</t>
        </is>
      </c>
    </row>
    <row r="4">
      <c r="A4" s="7" t="inlineStr">
        <is>
          <t>Custo total do mês</t>
        </is>
      </c>
      <c r="B4" s="8" t="n"/>
      <c r="C4" s="7" t="inlineStr">
        <is>
          <t>Horas faturáveis no mês</t>
        </is>
      </c>
      <c r="D4" s="8" t="n"/>
      <c r="E4" s="9" t="inlineStr">
        <is>
          <t>Custo-hora do escritório</t>
        </is>
      </c>
      <c r="F4" s="10" t="n"/>
      <c r="G4" s="11" t="inlineStr">
        <is>
          <t>Hora mínima a cobrar</t>
        </is>
      </c>
      <c r="H4" s="12" t="n"/>
      <c r="I4" s="7" t="inlineStr">
        <is>
          <t>Tempo faturável (planejado)</t>
        </is>
      </c>
      <c r="J4" s="8" t="n"/>
    </row>
    <row r="5" ht="30" customHeight="1">
      <c r="A5" s="13">
        <f>B11</f>
        <v>18500</v>
      </c>
      <c r="B5" s="8" t="n"/>
      <c r="C5" s="14">
        <f>B12</f>
        <v>280</v>
      </c>
      <c r="D5" s="8" t="n"/>
      <c r="E5" s="15">
        <f>B13</f>
        <v>66.0714285714286</v>
      </c>
      <c r="F5" s="10" t="n"/>
      <c r="G5" s="16">
        <f>B17</f>
        <v>110</v>
      </c>
      <c r="H5" s="12" t="n"/>
      <c r="I5" s="17">
        <f>B21</f>
        <v>0.636363636363636</v>
      </c>
      <c r="J5" s="8" t="n"/>
    </row>
    <row r="6">
      <c r="A6" s="18">
        <f>IF(SUM(Pessoas!$K$5:$K$14)=0,"","Atenção: "&amp;SUM(Pessoas!$K$5:$K$14)&amp;" pessoa(s) na aba Pessoas sem pró-labore ou sem horas faturáveis. O custo do mês, o custo-hora e a hora mínima ficam como 'cadastro incompleto' até você completar: uma soma parcial daria um custo-hora MENOR do que o real.")</f>
        <v/>
      </c>
    </row>
    <row r="7">
      <c r="A7" s="19" t="inlineStr">
        <is>
          <t>Como chegamos ao número</t>
        </is>
      </c>
    </row>
    <row r="8" ht="26" customHeight="1">
      <c r="A8" s="20" t="inlineStr">
        <is>
          <t>Passo</t>
        </is>
      </c>
      <c r="B8" s="20" t="inlineStr">
        <is>
          <t>Valor</t>
        </is>
      </c>
      <c r="C8" s="20" t="inlineStr">
        <is>
          <t>De onde vem</t>
        </is>
      </c>
    </row>
    <row r="9">
      <c r="A9" s="21" t="inlineStr">
        <is>
          <t>Custos fixos do mês</t>
        </is>
      </c>
      <c r="B9" s="22">
        <f>'Custos fixos'!B36</f>
        <v>6500</v>
      </c>
      <c r="C9" s="23" t="inlineStr">
        <is>
          <t>Aba Custos fixos</t>
        </is>
      </c>
      <c r="D9" s="24" t="n"/>
      <c r="E9" s="25" t="n"/>
    </row>
    <row r="10">
      <c r="A10" s="21" t="inlineStr">
        <is>
          <t>Pró-labore e salários fora dos custos fixos</t>
        </is>
      </c>
      <c r="B10" s="22">
        <f>IF(SUM(Pessoas!$K$5:$K$14)&gt;0,"cadastro incompleto",SUMIFS(Pessoas!$C$5:$C$14,Pessoas!$D$5:$D$14,"Não"))</f>
        <v>12000</v>
      </c>
      <c r="C10" s="23" t="inlineStr">
        <is>
          <t>Aba Pessoas, quem está marcado "Não"</t>
        </is>
      </c>
      <c r="D10" s="24" t="n"/>
      <c r="E10" s="25" t="n"/>
    </row>
    <row r="11">
      <c r="A11" s="21" t="inlineStr">
        <is>
          <t>Custo total do mês</t>
        </is>
      </c>
      <c r="B11" s="26">
        <f>IF(SUM(Pessoas!$K$5:$K$14)&gt;0,"cadastro incompleto",B9+B10)</f>
        <v>18500</v>
      </c>
      <c r="C11" s="23" t="inlineStr">
        <is>
          <t>Soma dos dois acima</t>
        </is>
      </c>
      <c r="D11" s="24" t="n"/>
      <c r="E11" s="25" t="n"/>
    </row>
    <row r="12">
      <c r="A12" s="21" t="inlineStr">
        <is>
          <t>Horas faturáveis no mês (todas as pessoas)</t>
        </is>
      </c>
      <c r="B12" s="27">
        <f>IF(SUM(Pessoas!$K$5:$K$14)&gt;0,"cadastro incompleto",SUM(Pessoas!$F$5:$F$14))</f>
        <v>280</v>
      </c>
      <c r="C12" s="23" t="inlineStr">
        <is>
          <t>Aba Pessoas</t>
        </is>
      </c>
      <c r="D12" s="24" t="n"/>
      <c r="E12" s="25" t="n"/>
    </row>
    <row r="13">
      <c r="A13" s="21" t="inlineStr">
        <is>
          <t>Custo-hora do escritório</t>
        </is>
      </c>
      <c r="B13" s="26">
        <f>IF(SUM(Pessoas!$K$5:$K$14)&gt;0,"cadastro incompleto",IF(B12=0,"",B11/B12))</f>
        <v>66.0714285714286</v>
      </c>
      <c r="C13" s="23" t="inlineStr">
        <is>
          <t>Custo total ÷ horas faturáveis</t>
        </is>
      </c>
      <c r="D13" s="24" t="n"/>
      <c r="E13" s="25" t="n"/>
    </row>
    <row r="14">
      <c r="A14" s="21" t="inlineStr">
        <is>
          <t>Margem desejada sobre o preço</t>
        </is>
      </c>
      <c r="B14" s="28">
        <f>Config!$B$7</f>
        <v>0.3</v>
      </c>
      <c r="C14" s="23" t="inlineStr">
        <is>
          <t>Config</t>
        </is>
      </c>
      <c r="D14" s="24" t="n"/>
      <c r="E14" s="25" t="n"/>
    </row>
    <row r="15">
      <c r="A15" s="21" t="inlineStr">
        <is>
          <t>Impostos e taxas sobre o que entra</t>
        </is>
      </c>
      <c r="B15" s="28">
        <f>Config!$B$8</f>
        <v>0.08</v>
      </c>
      <c r="C15" s="23" t="inlineStr">
        <is>
          <t>Config</t>
        </is>
      </c>
      <c r="D15" s="24" t="n"/>
      <c r="E15" s="25" t="n"/>
    </row>
    <row r="16">
      <c r="A16" s="21" t="inlineStr">
        <is>
          <t>Hora mínima a cobrar (exata)</t>
        </is>
      </c>
      <c r="B16" s="22">
        <f>IF(B13="","",IF(NOT(ISNUMBER(B13)),B13,IF(Config!$B$10&lt;&gt;"Sim","margens inválidas (Config)",B13/(1-Config!$B$7-Config!$B$8))))</f>
        <v>106.566820276498</v>
      </c>
      <c r="C16" s="23" t="inlineStr">
        <is>
          <t>Custo-hora ÷ (1 − margem − impostos)</t>
        </is>
      </c>
      <c r="D16" s="24" t="n"/>
      <c r="E16" s="25" t="n"/>
    </row>
    <row r="17">
      <c r="A17" s="21" t="inlineStr">
        <is>
          <t>Hora mínima a cobrar (arredondada)</t>
        </is>
      </c>
      <c r="B17" s="26">
        <f>IF(B16="","",IF(NOT(ISNUMBER(B16)),B16,CEILING(B16,Config!$B$9)))</f>
        <v>110</v>
      </c>
      <c r="C17" s="23" t="inlineStr">
        <is>
          <t>Arredondada para cima, no múltiplo de Config</t>
        </is>
      </c>
      <c r="D17" s="24" t="n"/>
      <c r="E17" s="25" t="n"/>
    </row>
    <row r="18">
      <c r="A18" s="21" t="inlineStr">
        <is>
          <t>Custos indiretos (custos fixos menos pessoas já contadas neles)</t>
        </is>
      </c>
      <c r="B18" s="22">
        <f>IF(SUM(Pessoas!$K$5:$K$14)&gt;0,"cadastro incompleto",B9-SUMIFS(Pessoas!$C$5:$C$14,Pessoas!$D$5:$D$14,"Sim"))</f>
        <v>5100</v>
      </c>
      <c r="C18" s="23" t="inlineStr">
        <is>
          <t>Para ratear entre as pessoas</t>
        </is>
      </c>
      <c r="D18" s="24" t="n"/>
      <c r="E18" s="25" t="n"/>
    </row>
    <row r="19">
      <c r="A19" s="21" t="inlineStr">
        <is>
          <t>Custo indireto por hora faturável</t>
        </is>
      </c>
      <c r="B19" s="22">
        <f>IF(SUM(Pessoas!$K$5:$K$14)&gt;0,"cadastro incompleto",IF(B12=0,0,B18/B12))</f>
        <v>18.2142857142857</v>
      </c>
      <c r="C19" s="23" t="inlineStr">
        <is>
          <t>Custos indiretos ÷ horas faturáveis</t>
        </is>
      </c>
      <c r="D19" s="24" t="n"/>
      <c r="E19" s="25" t="n"/>
    </row>
    <row r="20">
      <c r="A20" s="21" t="inlineStr">
        <is>
          <t>Horas de trabalho no mês (todas as pessoas)</t>
        </is>
      </c>
      <c r="B20" s="27">
        <f>SUM(Pessoas!$E$5:$E$14)</f>
        <v>440</v>
      </c>
      <c r="C20" s="23" t="inlineStr">
        <is>
          <t>Aba Pessoas</t>
        </is>
      </c>
      <c r="D20" s="24" t="n"/>
      <c r="E20" s="25" t="n"/>
    </row>
    <row r="21">
      <c r="A21" s="21" t="inlineStr">
        <is>
          <t>Tempo faturável planejado (horas faturáveis ÷ horas de trabalho)</t>
        </is>
      </c>
      <c r="B21" s="28">
        <f>IF(OR(B20=0,NOT(ISNUMBER(B12))),"",B12/B20)</f>
        <v>0.636363636363636</v>
      </c>
      <c r="C21" s="23" t="inlineStr">
        <is>
          <t>Quanto do tempo pago vira hora cobrável (a planilha 16 mede o realizado contra a meta)</t>
        </is>
      </c>
      <c r="D21" s="24" t="n"/>
      <c r="E21" s="25" t="n"/>
    </row>
    <row r="24">
      <c r="A24" s="19" t="inlineStr">
        <is>
          <t>Por pessoa</t>
        </is>
      </c>
    </row>
    <row r="25" ht="30" customHeight="1">
      <c r="A25" s="20" t="inlineStr">
        <is>
          <t>Pessoa</t>
        </is>
      </c>
      <c r="B25" s="20" t="inlineStr">
        <is>
          <t>Papel</t>
        </is>
      </c>
      <c r="C25" s="20" t="inlineStr">
        <is>
          <t>Horas faturáveis</t>
        </is>
      </c>
      <c r="D25" s="20" t="inlineStr">
        <is>
          <t>Ocupação</t>
        </is>
      </c>
      <c r="E25" s="20" t="inlineStr">
        <is>
          <t>Custo direto por hora</t>
        </is>
      </c>
      <c r="F25" s="20" t="inlineStr">
        <is>
          <t>Custo-hora completo</t>
        </is>
      </c>
      <c r="G25" s="20" t="inlineStr">
        <is>
          <t>Hora mínima a cobrar</t>
        </is>
      </c>
    </row>
    <row r="26">
      <c r="A26" s="21" t="str">
        <f>IF(Pessoas!$A$5="","",Pessoas!$A$5)</f>
        <v>Marina Ferraz</v>
      </c>
      <c r="B26" s="21" t="str">
        <f>IF(Pessoas!$A$5="","",Pessoas!$B$5)</f>
        <v>Sócia · cível e empresarial</v>
      </c>
      <c r="C26" s="27">
        <f>IF(Pessoas!$A$5="","",Pessoas!$F$5)</f>
        <v>110</v>
      </c>
      <c r="D26" s="28">
        <f>IF(Pessoas!$A$5="","",Pessoas!$G$5)</f>
        <v>0.6875</v>
      </c>
      <c r="E26" s="22">
        <f>IF(Pessoas!$A$5="","",Pessoas!$H$5)</f>
        <v>54.5454545454546</v>
      </c>
      <c r="F26" s="22">
        <f>IF(Pessoas!$A$5="","",Pessoas!$I$5)</f>
        <v>72.7597402597403</v>
      </c>
      <c r="G26" s="22">
        <f>IF(Pessoas!$A$5="","",Pessoas!$J$5)</f>
        <v>117.354419773775</v>
      </c>
    </row>
    <row r="27">
      <c r="A27" s="21" t="str">
        <f>IF(Pessoas!$A$6="","",Pessoas!$A$6)</f>
        <v>Rafael Lima</v>
      </c>
      <c r="B27" s="21" t="str">
        <f>IF(Pessoas!$A$6="","",Pessoas!$B$6)</f>
        <v>Sócio · trabalhista e previdenciário</v>
      </c>
      <c r="C27" s="27">
        <f>IF(Pessoas!$A$6="","",Pessoas!$F$6)</f>
        <v>110</v>
      </c>
      <c r="D27" s="28">
        <f>IF(Pessoas!$A$6="","",Pessoas!$G$6)</f>
        <v>0.6875</v>
      </c>
      <c r="E27" s="22">
        <f>IF(Pessoas!$A$6="","",Pessoas!$H$6)</f>
        <v>54.5454545454546</v>
      </c>
      <c r="F27" s="22">
        <f>IF(Pessoas!$A$6="","",Pessoas!$I$6)</f>
        <v>72.7597402597403</v>
      </c>
      <c r="G27" s="22">
        <f>IF(Pessoas!$A$6="","",Pessoas!$J$6)</f>
        <v>117.354419773775</v>
      </c>
    </row>
    <row r="28">
      <c r="A28" s="21" t="str">
        <f>IF(Pessoas!$A$7="","",Pessoas!$A$7)</f>
        <v>Júlia Prado</v>
      </c>
      <c r="B28" s="21" t="str">
        <f>IF(Pessoas!$A$7="","",Pessoas!$B$7)</f>
        <v>Estagiária</v>
      </c>
      <c r="C28" s="27">
        <f>IF(Pessoas!$A$7="","",Pessoas!$F$7)</f>
        <v>60</v>
      </c>
      <c r="D28" s="28">
        <f>IF(Pessoas!$A$7="","",Pessoas!$G$7)</f>
        <v>0.5</v>
      </c>
      <c r="E28" s="22">
        <f>IF(Pessoas!$A$7="","",Pessoas!$H$7)</f>
        <v>23.3333333333333</v>
      </c>
      <c r="F28" s="22">
        <f>IF(Pessoas!$A$7="","",Pessoas!$I$7)</f>
        <v>41.5476190476191</v>
      </c>
      <c r="G28" s="22">
        <f>IF(Pessoas!$A$7="","",Pessoas!$J$7)</f>
        <v>67.0122887864823</v>
      </c>
    </row>
    <row r="29">
      <c r="A29" s="21">
        <f>IF(Pessoas!$A$8="","",Pessoas!$A$8)</f>
        <v/>
      </c>
      <c r="B29" s="21">
        <f>IF(Pessoas!$A$8="","",Pessoas!$B$8)</f>
        <v/>
      </c>
      <c r="C29" s="27">
        <f>IF(Pessoas!$A$8="","",Pessoas!$F$8)</f>
        <v/>
      </c>
      <c r="D29" s="28">
        <f>IF(Pessoas!$A$8="","",Pessoas!$G$8)</f>
        <v/>
      </c>
      <c r="E29" s="22">
        <f>IF(Pessoas!$A$8="","",Pessoas!$H$8)</f>
        <v/>
      </c>
      <c r="F29" s="22">
        <f>IF(Pessoas!$A$8="","",Pessoas!$I$8)</f>
        <v/>
      </c>
      <c r="G29" s="22">
        <f>IF(Pessoas!$A$8="","",Pessoas!$J$8)</f>
        <v/>
      </c>
    </row>
    <row r="30">
      <c r="A30" s="21">
        <f>IF(Pessoas!$A$9="","",Pessoas!$A$9)</f>
        <v/>
      </c>
      <c r="B30" s="21">
        <f>IF(Pessoas!$A$9="","",Pessoas!$B$9)</f>
        <v/>
      </c>
      <c r="C30" s="27">
        <f>IF(Pessoas!$A$9="","",Pessoas!$F$9)</f>
        <v/>
      </c>
      <c r="D30" s="28">
        <f>IF(Pessoas!$A$9="","",Pessoas!$G$9)</f>
        <v/>
      </c>
      <c r="E30" s="22">
        <f>IF(Pessoas!$A$9="","",Pessoas!$H$9)</f>
        <v/>
      </c>
      <c r="F30" s="22">
        <f>IF(Pessoas!$A$9="","",Pessoas!$I$9)</f>
        <v/>
      </c>
      <c r="G30" s="22">
        <f>IF(Pessoas!$A$9="","",Pessoas!$J$9)</f>
        <v/>
      </c>
    </row>
    <row r="31">
      <c r="A31" s="21">
        <f>IF(Pessoas!$A$10="","",Pessoas!$A$10)</f>
        <v/>
      </c>
      <c r="B31" s="21">
        <f>IF(Pessoas!$A$10="","",Pessoas!$B$10)</f>
        <v/>
      </c>
      <c r="C31" s="27">
        <f>IF(Pessoas!$A$10="","",Pessoas!$F$10)</f>
        <v/>
      </c>
      <c r="D31" s="28">
        <f>IF(Pessoas!$A$10="","",Pessoas!$G$10)</f>
        <v/>
      </c>
      <c r="E31" s="22">
        <f>IF(Pessoas!$A$10="","",Pessoas!$H$10)</f>
        <v/>
      </c>
      <c r="F31" s="22">
        <f>IF(Pessoas!$A$10="","",Pessoas!$I$10)</f>
        <v/>
      </c>
      <c r="G31" s="22">
        <f>IF(Pessoas!$A$10="","",Pessoas!$J$10)</f>
        <v/>
      </c>
    </row>
    <row r="32">
      <c r="A32" s="21">
        <f>IF(Pessoas!$A$11="","",Pessoas!$A$11)</f>
        <v/>
      </c>
      <c r="B32" s="21">
        <f>IF(Pessoas!$A$11="","",Pessoas!$B$11)</f>
        <v/>
      </c>
      <c r="C32" s="27">
        <f>IF(Pessoas!$A$11="","",Pessoas!$F$11)</f>
        <v/>
      </c>
      <c r="D32" s="28">
        <f>IF(Pessoas!$A$11="","",Pessoas!$G$11)</f>
        <v/>
      </c>
      <c r="E32" s="22">
        <f>IF(Pessoas!$A$11="","",Pessoas!$H$11)</f>
        <v/>
      </c>
      <c r="F32" s="22">
        <f>IF(Pessoas!$A$11="","",Pessoas!$I$11)</f>
        <v/>
      </c>
      <c r="G32" s="22">
        <f>IF(Pessoas!$A$11="","",Pessoas!$J$11)</f>
        <v/>
      </c>
    </row>
    <row r="33">
      <c r="A33" s="21">
        <f>IF(Pessoas!$A$12="","",Pessoas!$A$12)</f>
        <v/>
      </c>
      <c r="B33" s="21">
        <f>IF(Pessoas!$A$12="","",Pessoas!$B$12)</f>
        <v/>
      </c>
      <c r="C33" s="27">
        <f>IF(Pessoas!$A$12="","",Pessoas!$F$12)</f>
        <v/>
      </c>
      <c r="D33" s="28">
        <f>IF(Pessoas!$A$12="","",Pessoas!$G$12)</f>
        <v/>
      </c>
      <c r="E33" s="22">
        <f>IF(Pessoas!$A$12="","",Pessoas!$H$12)</f>
        <v/>
      </c>
      <c r="F33" s="22">
        <f>IF(Pessoas!$A$12="","",Pessoas!$I$12)</f>
        <v/>
      </c>
      <c r="G33" s="22">
        <f>IF(Pessoas!$A$12="","",Pessoas!$J$12)</f>
        <v/>
      </c>
    </row>
    <row r="34">
      <c r="A34" s="21">
        <f>IF(Pessoas!$A$13="","",Pessoas!$A$13)</f>
        <v/>
      </c>
      <c r="B34" s="21">
        <f>IF(Pessoas!$A$13="","",Pessoas!$B$13)</f>
        <v/>
      </c>
      <c r="C34" s="27">
        <f>IF(Pessoas!$A$13="","",Pessoas!$F$13)</f>
        <v/>
      </c>
      <c r="D34" s="28">
        <f>IF(Pessoas!$A$13="","",Pessoas!$G$13)</f>
        <v/>
      </c>
      <c r="E34" s="22">
        <f>IF(Pessoas!$A$13="","",Pessoas!$H$13)</f>
        <v/>
      </c>
      <c r="F34" s="22">
        <f>IF(Pessoas!$A$13="","",Pessoas!$I$13)</f>
        <v/>
      </c>
      <c r="G34" s="22">
        <f>IF(Pessoas!$A$13="","",Pessoas!$J$13)</f>
        <v/>
      </c>
    </row>
    <row r="35">
      <c r="A35" s="21">
        <f>IF(Pessoas!$A$14="","",Pessoas!$A$14)</f>
        <v/>
      </c>
      <c r="B35" s="21">
        <f>IF(Pessoas!$A$14="","",Pessoas!$B$14)</f>
        <v/>
      </c>
      <c r="C35" s="27">
        <f>IF(Pessoas!$A$14="","",Pessoas!$F$14)</f>
        <v/>
      </c>
      <c r="D35" s="28">
        <f>IF(Pessoas!$A$14="","",Pessoas!$G$14)</f>
        <v/>
      </c>
      <c r="E35" s="22">
        <f>IF(Pessoas!$A$14="","",Pessoas!$H$14)</f>
        <v/>
      </c>
      <c r="F35" s="22">
        <f>IF(Pessoas!$A$14="","",Pessoas!$I$14)</f>
        <v/>
      </c>
      <c r="G35" s="22">
        <f>IF(Pessoas!$A$14="","",Pessoas!$J$14)</f>
        <v/>
      </c>
    </row>
    <row r="36">
      <c r="A36" s="29" t="inlineStr">
        <is>
          <t>Ocupação abaixo de 50% fica destacada: ou há horas trabalhadas que não estão sendo cobradas, ou falta caso para a pessoa.</t>
        </is>
      </c>
    </row>
    <row r="38">
      <c r="A38" s="19" t="inlineStr">
        <is>
          <t>Sensibilidade: e se as horas faturáveis caírem?</t>
        </is>
      </c>
    </row>
    <row r="39">
      <c r="A39" s="29" t="inlineStr">
        <is>
          <t>Mês fraco, férias, um sócio doente: o custo fixo continua e cada hora fica mais cara. Os percentuais em amarelo podem ser trocados.</t>
        </is>
      </c>
    </row>
    <row r="40" ht="30" customHeight="1">
      <c r="A40" s="20" t="inlineStr">
        <is>
          <t>Cenário</t>
        </is>
      </c>
      <c r="B40" s="20" t="inlineStr">
        <is>
          <t>Queda nas horas</t>
        </is>
      </c>
      <c r="C40" s="20" t="inlineStr">
        <is>
          <t>Horas faturáveis</t>
        </is>
      </c>
      <c r="D40" s="20" t="inlineStr">
        <is>
          <t>Custo-hora</t>
        </is>
      </c>
      <c r="E40" s="20" t="inlineStr">
        <is>
          <t>Hora mínima a cobrar</t>
        </is>
      </c>
      <c r="F40" s="20" t="inlineStr">
        <is>
          <t>Diferença por hora</t>
        </is>
      </c>
    </row>
    <row r="41">
      <c r="A41" s="21" t="inlineStr">
        <is>
          <t>Hoje</t>
        </is>
      </c>
      <c r="B41" s="28" t="n">
        <v>0</v>
      </c>
      <c r="C41" s="27">
        <f>IF(ISNUMBER($B$12),$B$12*(1-B41),"")</f>
        <v>280</v>
      </c>
      <c r="D41" s="22">
        <f>IF(OR(C41="",C41=0,NOT(ISNUMBER($B$11))),"",$B$11/C41)</f>
        <v>66.0714285714286</v>
      </c>
      <c r="E41" s="22">
        <f>IF(D41="","",IF(Config!$B$10&lt;&gt;"Sim","margens inválidas (Config)",D41/(1-Config!$B$7-Config!$B$8)))</f>
        <v>106.566820276498</v>
      </c>
      <c r="F41" s="22">
        <f>IF(D41="","",D41-$D$41)</f>
        <v>0</v>
      </c>
    </row>
    <row r="42">
      <c r="A42" s="21" t="str">
        <f>"Queda de "&amp;ROUND(B42*100,0)&amp;"%"</f>
        <v>Queda de 10%</v>
      </c>
      <c r="B42" s="30" t="n">
        <v>0.1</v>
      </c>
      <c r="C42" s="27">
        <f>IF(ISNUMBER($B$12),$B$12*(1-B42),"")</f>
        <v>252</v>
      </c>
      <c r="D42" s="22">
        <f>IF(OR(C42="",C42=0,NOT(ISNUMBER($B$11))),"",$B$11/C42)</f>
        <v>73.4126984126984</v>
      </c>
      <c r="E42" s="22">
        <f>IF(D42="","",IF(Config!$B$10&lt;&gt;"Sim","margens inválidas (Config)",D42/(1-Config!$B$7-Config!$B$8)))</f>
        <v>118.407578084997</v>
      </c>
      <c r="F42" s="22">
        <f>IF(D42="","",D42-$D$41)</f>
        <v>7.34126984126985</v>
      </c>
    </row>
    <row r="43">
      <c r="A43" s="21" t="str">
        <f>"Queda de "&amp;ROUND(B43*100,0)&amp;"%"</f>
        <v>Queda de 20%</v>
      </c>
      <c r="B43" s="30" t="n">
        <v>0.2</v>
      </c>
      <c r="C43" s="27">
        <f>IF(ISNUMBER($B$12),$B$12*(1-B43),"")</f>
        <v>224</v>
      </c>
      <c r="D43" s="22">
        <f>IF(OR(C43="",C43=0,NOT(ISNUMBER($B$11))),"",$B$11/C43)</f>
        <v>82.5892857142857</v>
      </c>
      <c r="E43" s="22">
        <f>IF(D43="","",IF(Config!$B$10&lt;&gt;"Sim","margens inválidas (Config)",D43/(1-Config!$B$7-Config!$B$8)))</f>
        <v>133.208525345622</v>
      </c>
      <c r="F43" s="22">
        <f>IF(D43="","",D43-$D$41)</f>
        <v>16.5178571428571</v>
      </c>
    </row>
    <row r="44">
      <c r="A44" s="21" t="str">
        <f>"Queda de "&amp;ROUND(B44*100,0)&amp;"%"</f>
        <v>Queda de 30%</v>
      </c>
      <c r="B44" s="30" t="n">
        <v>0.3</v>
      </c>
      <c r="C44" s="27">
        <f>IF(ISNUMBER($B$12),$B$12*(1-B44),"")</f>
        <v>196</v>
      </c>
      <c r="D44" s="22">
        <f>IF(OR(C44="",C44=0,NOT(ISNUMBER($B$11))),"",$B$11/C44)</f>
        <v>94.3877551020408</v>
      </c>
      <c r="E44" s="22">
        <f>IF(D44="","",IF(Config!$B$10&lt;&gt;"Sim","margens inválidas (Config)",D44/(1-Config!$B$7-Config!$B$8)))</f>
        <v>152.238314680711</v>
      </c>
      <c r="F44" s="22">
        <f>IF(D44="","",D44-$D$41)</f>
        <v>28.3163265306122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6">
    <mergeCell ref="C16:E16"/>
    <mergeCell ref="C5:D5"/>
    <mergeCell ref="C9:E9"/>
    <mergeCell ref="E5:F5"/>
    <mergeCell ref="C21:E21"/>
    <mergeCell ref="C12:E12"/>
    <mergeCell ref="C4:D4"/>
    <mergeCell ref="E4:F4"/>
    <mergeCell ref="C11:E11"/>
    <mergeCell ref="C17:E17"/>
    <mergeCell ref="A1:J1"/>
    <mergeCell ref="C13:E13"/>
    <mergeCell ref="A6:J6"/>
    <mergeCell ref="C19:E19"/>
    <mergeCell ref="A5:B5"/>
    <mergeCell ref="G5:H5"/>
    <mergeCell ref="C18:E18"/>
    <mergeCell ref="I5:J5"/>
    <mergeCell ref="C15:E15"/>
    <mergeCell ref="A4:B4"/>
    <mergeCell ref="G4:H4"/>
    <mergeCell ref="I4:J4"/>
    <mergeCell ref="C14:E14"/>
    <mergeCell ref="A2:J2"/>
    <mergeCell ref="C20:E20"/>
    <mergeCell ref="C10:E10"/>
  </mergeCells>
  <conditionalFormatting sqref="D26:D35">
    <cfRule type="expression" priority="1" dxfId="0">
      <formula>AND(ISNUMBER(D26),D26&lt;0.5)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90" customWidth="1" min="3" max="3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Margem e impostos definem a hora mínima a cobrar.</t>
        </is>
      </c>
    </row>
    <row r="4">
      <c r="A4" s="31" t="inlineStr">
        <is>
          <t>Nome do escritório</t>
        </is>
      </c>
      <c r="B4" s="32" t="inlineStr">
        <is>
          <t>Ferraz &amp; Lima Advocacia (exemplo fictício)</t>
        </is>
      </c>
    </row>
    <row r="5">
      <c r="A5" s="31" t="inlineStr">
        <is>
          <t>Mês de referência</t>
        </is>
      </c>
      <c r="B5" s="32" t="inlineStr">
        <is>
          <t>Setembro de 2026</t>
        </is>
      </c>
    </row>
    <row r="6">
      <c r="A6" s="31" t="inlineStr">
        <is>
          <t>Data de referência</t>
        </is>
      </c>
      <c r="B6" s="33" t="n">
        <v>46279</v>
      </c>
    </row>
    <row r="7">
      <c r="A7" s="31" t="inlineStr">
        <is>
          <t>Margem desejada sobre o preço (%)</t>
        </is>
      </c>
      <c r="B7" s="30" t="n">
        <v>0.3</v>
      </c>
      <c r="C7" s="29" t="inlineStr">
        <is>
          <t>Quanto do preço deve sobrar depois de pagar o custo do escritório. 30% é um ponto de partida; ajuste ao seu mercado.</t>
        </is>
      </c>
    </row>
    <row r="8">
      <c r="A8" s="31" t="inlineStr">
        <is>
          <t>Impostos e taxas sobre o que entra (%)</t>
        </is>
      </c>
      <c r="B8" s="30" t="n">
        <v>0.08</v>
      </c>
      <c r="C8" s="29" t="inlineStr">
        <is>
          <t>Percentual que sai de cada real recebido (imposto do escritório e taxa de recebimento). Exemplo; confira com o seu contador.</t>
        </is>
      </c>
    </row>
    <row r="9">
      <c r="A9" s="31" t="inlineStr">
        <is>
          <t>Arredondar a hora mínima para múltiplos de (R$)</t>
        </is>
      </c>
      <c r="B9" s="34" t="n">
        <v>5</v>
      </c>
      <c r="C9" s="29" t="inlineStr">
        <is>
          <t>Só para o número ficar redondo na proposta.</t>
        </is>
      </c>
    </row>
    <row r="10">
      <c r="A10" s="31" t="inlineStr">
        <is>
          <t>Margem e impostos conferem? (calculado)</t>
        </is>
      </c>
      <c r="B10" s="35" t="str">
        <f>IF(AND(ISNUMBER(B7),ISNUMBER(B8)),IF(AND(B7&gt;=0,B7&lt;1,B8&gt;=0,B8&lt;1,B7+B8&lt;1),"Sim","Não"),"Não")</f>
        <v>Sim</v>
      </c>
      <c r="C10" s="29" t="inlineStr">
        <is>
          <t>"Não" suspende a hora mínima em todas as abas: cada percentual precisa ficar entre 0 % e 99 %, e margem + impostos abaixo de 100 %.</t>
        </is>
      </c>
    </row>
    <row r="11">
      <c r="A11" s="29" t="inlineStr">
        <is>
          <t>A hora mínima a cobrar é: custo-hora ÷ (1 − margem − impostos). Assim a margem é calculada sobre o preço, e não sobre o custo.</t>
        </is>
      </c>
    </row>
    <row r="12">
      <c r="A12" s="29" t="inlineStr">
        <is>
          <t>Esta é a hora mínima do kit (no exemplo: R$ 106,57, arredondada para R$ 110). A planilha 06 usa a mesma conta; a planilha 08 acrescenta uma folga de 20 % para horas não previstas e por isso mostra um valor maior ("hora mínima com folga").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F2"/>
    <mergeCell ref="A1:F1"/>
  </mergeCells>
  <dataValidations count="2">
    <dataValidation sqref="B7" showDropDown="0" showInputMessage="0" showErrorMessage="1" allowBlank="0" errorTitle="Percentual" error="Margem entre 0 % e 99 %, e margem + impostos abaixo de 100 %: senão nenhum preço cobre o custo." type="custom">
      <formula1>=IF(ISNUMBER(B7),AND(B7&gt;=0,B7&lt;1,B7+N(B8)&lt;1),FALSE)</formula1>
    </dataValidation>
    <dataValidation sqref="B8" showDropDown="0" showInputMessage="0" showErrorMessage="1" allowBlank="0" errorTitle="Percentual" error="Impostos entre 0 % e 99 %, e margem + impostos abaixo de 100 %: senão nenhum preço cobre o custo." type="custom">
      <formula1>=IF(ISNUMBER(B8),AND(B8&gt;=0,B8&lt;1,B8+N(B7)&lt;1),FALSE)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50" customWidth="1" min="3" max="3"/>
  </cols>
  <sheetData>
    <row r="1" ht="28" customHeight="1">
      <c r="A1" s="5" t="inlineStr">
        <is>
          <t>Custos fixos do mês</t>
        </is>
      </c>
    </row>
    <row r="2">
      <c r="A2" s="6" t="inlineStr">
        <is>
          <t>Tudo que o escritório paga todo mês mesmo sem nenhum caso novo. Preencha de cima para baixo, sem pular linha.</t>
        </is>
      </c>
    </row>
    <row r="4" ht="26" customHeight="1">
      <c r="A4" s="20" t="inlineStr">
        <is>
          <t>Custo fixo</t>
        </is>
      </c>
      <c r="B4" s="20" t="inlineStr">
        <is>
          <t>Valor mensal (R$)</t>
        </is>
      </c>
      <c r="C4" s="20" t="inlineStr">
        <is>
          <t>Observação</t>
        </is>
      </c>
    </row>
    <row r="5">
      <c r="A5" s="32" t="inlineStr">
        <is>
          <t>Aluguel e condomínio</t>
        </is>
      </c>
      <c r="B5" s="36" t="n">
        <v>2800</v>
      </c>
      <c r="C5" s="32" t="n"/>
    </row>
    <row r="6">
      <c r="A6" s="32" t="inlineStr">
        <is>
          <t>Contador</t>
        </is>
      </c>
      <c r="B6" s="36" t="n">
        <v>600</v>
      </c>
      <c r="C6" s="32" t="n"/>
    </row>
    <row r="7">
      <c r="A7" s="32" t="inlineStr">
        <is>
          <t>Sistemas e assinaturas</t>
        </is>
      </c>
      <c r="B7" s="36" t="n">
        <v>450</v>
      </c>
      <c r="C7" s="32" t="n"/>
    </row>
    <row r="8">
      <c r="A8" s="32" t="inlineStr">
        <is>
          <t>Telefone e internet</t>
        </is>
      </c>
      <c r="B8" s="36" t="n">
        <v>220</v>
      </c>
      <c r="C8" s="32" t="n"/>
    </row>
    <row r="9">
      <c r="A9" s="32" t="inlineStr">
        <is>
          <t>Anuidades OAB e cursos</t>
        </is>
      </c>
      <c r="B9" s="36" t="n">
        <v>250</v>
      </c>
      <c r="C9" s="32" t="n"/>
    </row>
    <row r="10">
      <c r="A10" s="32" t="inlineStr">
        <is>
          <t>Marketing e site</t>
        </is>
      </c>
      <c r="B10" s="36" t="n">
        <v>400</v>
      </c>
      <c r="C10" s="32" t="n"/>
    </row>
    <row r="11">
      <c r="A11" s="32" t="inlineStr">
        <is>
          <t>Estagiária (bolsa)</t>
        </is>
      </c>
      <c r="B11" s="36" t="n">
        <v>1400</v>
      </c>
      <c r="C11" s="32" t="inlineStr">
        <is>
          <t>Mesma pessoa da aba Pessoas (marcada "Sim" lá)</t>
        </is>
      </c>
    </row>
    <row r="12">
      <c r="A12" s="32" t="inlineStr">
        <is>
          <t>Material, correio e outros</t>
        </is>
      </c>
      <c r="B12" s="36" t="n">
        <v>380</v>
      </c>
      <c r="C12" s="32" t="n"/>
    </row>
    <row r="13">
      <c r="A13" s="32" t="n"/>
      <c r="B13" s="36" t="n"/>
      <c r="C13" s="32" t="n"/>
    </row>
    <row r="14">
      <c r="A14" s="32" t="n"/>
      <c r="B14" s="36" t="n"/>
      <c r="C14" s="32" t="n"/>
    </row>
    <row r="15">
      <c r="A15" s="32" t="n"/>
      <c r="B15" s="36" t="n"/>
      <c r="C15" s="32" t="n"/>
    </row>
    <row r="16">
      <c r="A16" s="32" t="n"/>
      <c r="B16" s="36" t="n"/>
      <c r="C16" s="32" t="n"/>
    </row>
    <row r="17">
      <c r="A17" s="32" t="n"/>
      <c r="B17" s="36" t="n"/>
      <c r="C17" s="32" t="n"/>
    </row>
    <row r="18">
      <c r="A18" s="32" t="n"/>
      <c r="B18" s="36" t="n"/>
      <c r="C18" s="32" t="n"/>
    </row>
    <row r="19">
      <c r="A19" s="32" t="n"/>
      <c r="B19" s="36" t="n"/>
      <c r="C19" s="32" t="n"/>
    </row>
    <row r="20">
      <c r="A20" s="32" t="n"/>
      <c r="B20" s="36" t="n"/>
      <c r="C20" s="32" t="n"/>
    </row>
    <row r="21">
      <c r="A21" s="32" t="n"/>
      <c r="B21" s="36" t="n"/>
      <c r="C21" s="32" t="n"/>
    </row>
    <row r="22">
      <c r="A22" s="32" t="n"/>
      <c r="B22" s="36" t="n"/>
      <c r="C22" s="32" t="n"/>
    </row>
    <row r="23">
      <c r="A23" s="32" t="n"/>
      <c r="B23" s="36" t="n"/>
      <c r="C23" s="32" t="n"/>
    </row>
    <row r="24">
      <c r="A24" s="32" t="n"/>
      <c r="B24" s="36" t="n"/>
      <c r="C24" s="32" t="n"/>
    </row>
    <row r="25">
      <c r="A25" s="32" t="n"/>
      <c r="B25" s="36" t="n"/>
      <c r="C25" s="32" t="n"/>
    </row>
    <row r="26">
      <c r="A26" s="32" t="n"/>
      <c r="B26" s="36" t="n"/>
      <c r="C26" s="32" t="n"/>
    </row>
    <row r="27">
      <c r="A27" s="32" t="n"/>
      <c r="B27" s="36" t="n"/>
      <c r="C27" s="32" t="n"/>
    </row>
    <row r="28">
      <c r="A28" s="32" t="n"/>
      <c r="B28" s="36" t="n"/>
      <c r="C28" s="32" t="n"/>
    </row>
    <row r="29">
      <c r="A29" s="32" t="n"/>
      <c r="B29" s="36" t="n"/>
      <c r="C29" s="32" t="n"/>
    </row>
    <row r="30">
      <c r="A30" s="32" t="n"/>
      <c r="B30" s="36" t="n"/>
      <c r="C30" s="32" t="n"/>
    </row>
    <row r="31">
      <c r="A31" s="32" t="n"/>
      <c r="B31" s="36" t="n"/>
      <c r="C31" s="32" t="n"/>
    </row>
    <row r="32">
      <c r="A32" s="32" t="n"/>
      <c r="B32" s="36" t="n"/>
      <c r="C32" s="32" t="n"/>
    </row>
    <row r="33">
      <c r="A33" s="32" t="n"/>
      <c r="B33" s="36" t="n"/>
      <c r="C33" s="32" t="n"/>
    </row>
    <row r="34">
      <c r="A34" s="32" t="n"/>
      <c r="B34" s="36" t="n"/>
      <c r="C34" s="32" t="n"/>
    </row>
    <row r="36">
      <c r="A36" s="37" t="inlineStr">
        <is>
          <t>Total de custos fixos</t>
        </is>
      </c>
      <c r="B36" s="26">
        <f>SUM(B5:B34)</f>
        <v>6500</v>
      </c>
    </row>
    <row r="38">
      <c r="A38" s="29" t="inlineStr">
        <is>
          <t>Pró-labore dos sócios vai na aba Pessoas. Se alguém da equipe já aparece aqui (bolsa de estágio, salário), marque "Sim" na aba Pessoas para não contar duas vezes.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4" customWidth="1" min="5" max="5"/>
    <col width="14" customWidth="1" min="6" max="6"/>
    <col width="11" customWidth="1" min="7" max="7"/>
    <col width="14" customWidth="1" min="8" max="8"/>
    <col width="14" customWidth="1" min="9" max="9"/>
    <col width="14" customWidth="1" min="10" max="10"/>
    <col hidden="1" width="13" customWidth="1" min="11" max="11"/>
  </cols>
  <sheetData>
    <row r="1" ht="28" customHeight="1">
      <c r="A1" s="5" t="inlineStr">
        <is>
          <t>Pessoas, pró-labore e horas faturáveis</t>
        </is>
      </c>
    </row>
    <row r="2">
      <c r="A2" s="6" t="inlineStr">
        <is>
          <t>Uma linha por pessoa que trabalha nos casos. Horas faturáveis: as que podem ser cobradas de algum cliente (reunião interna e administração não contam).</t>
        </is>
      </c>
    </row>
    <row r="4" ht="40" customHeight="1">
      <c r="A4" s="20" t="inlineStr">
        <is>
          <t>Pessoa</t>
        </is>
      </c>
      <c r="B4" s="20" t="inlineStr">
        <is>
          <t>Papel</t>
        </is>
      </c>
      <c r="C4" s="20" t="inlineStr">
        <is>
          <t>Pró-labore ou salário (R$/mês)</t>
        </is>
      </c>
      <c r="D4" s="20" t="inlineStr">
        <is>
          <t>Já está nos custos fixos?</t>
        </is>
      </c>
      <c r="E4" s="20" t="inlineStr">
        <is>
          <t>Horas de trabalho no mês</t>
        </is>
      </c>
      <c r="F4" s="20" t="inlineStr">
        <is>
          <t>Horas faturáveis no mês</t>
        </is>
      </c>
      <c r="G4" s="20" t="inlineStr">
        <is>
          <t>Ocupação</t>
        </is>
      </c>
      <c r="H4" s="20" t="inlineStr">
        <is>
          <t>Custo direto por hora</t>
        </is>
      </c>
      <c r="I4" s="20" t="inlineStr">
        <is>
          <t>Custo-hora completo</t>
        </is>
      </c>
      <c r="J4" s="20" t="inlineStr">
        <is>
          <t>Hora mínima a cobrar</t>
        </is>
      </c>
    </row>
    <row r="5">
      <c r="A5" s="32" t="inlineStr">
        <is>
          <t>Marina Ferraz</t>
        </is>
      </c>
      <c r="B5" s="32" t="inlineStr">
        <is>
          <t>Sócia · cível e empresarial</t>
        </is>
      </c>
      <c r="C5" s="36" t="n">
        <v>6000</v>
      </c>
      <c r="D5" s="38" t="inlineStr">
        <is>
          <t>Não</t>
        </is>
      </c>
      <c r="E5" s="39" t="n">
        <v>160</v>
      </c>
      <c r="F5" s="39" t="n">
        <v>110</v>
      </c>
      <c r="G5" s="28">
        <f>IF(OR(A5="",E5="",E5=0),"",F5/E5)</f>
        <v>0.6875</v>
      </c>
      <c r="H5" s="22">
        <f>IF(A5="","",IF(NOT(ISNUMBER(C5)),"falta o pró-labore",IF(OR(NOT(ISNUMBER(F5)),F5=0),"faltam as horas faturáveis",C5/F5)))</f>
        <v>54.5454545454546</v>
      </c>
      <c r="I5" s="22">
        <f>IF(H5="","",IF(NOT(ISNUMBER(H5)),H5,IF(NOT(ISNUMBER(Painel!$B$19)),"cadastro incompleto",H5+Painel!$B$19)))</f>
        <v>72.7597402597403</v>
      </c>
      <c r="J5" s="22">
        <f>IF(I5="","",IF(NOT(ISNUMBER(I5)),I5,IF(Config!$B$10&lt;&gt;"Sim","margens inválidas (Config)",I5/(1-Config!$B$7-Config!$B$8))))</f>
        <v>117.354419773775</v>
      </c>
      <c r="K5" s="40">
        <f>IF(AND(A5&lt;&gt;"",OR(NOT(ISNUMBER(C5)),NOT(ISNUMBER(F5)))),1,0)</f>
        <v>0</v>
      </c>
    </row>
    <row r="6">
      <c r="A6" s="32" t="inlineStr">
        <is>
          <t>Rafael Lima</t>
        </is>
      </c>
      <c r="B6" s="32" t="inlineStr">
        <is>
          <t>Sócio · trabalhista e previdenciário</t>
        </is>
      </c>
      <c r="C6" s="36" t="n">
        <v>6000</v>
      </c>
      <c r="D6" s="38" t="inlineStr">
        <is>
          <t>Não</t>
        </is>
      </c>
      <c r="E6" s="39" t="n">
        <v>160</v>
      </c>
      <c r="F6" s="39" t="n">
        <v>110</v>
      </c>
      <c r="G6" s="28">
        <f>IF(OR(A6="",E6="",E6=0),"",F6/E6)</f>
        <v>0.6875</v>
      </c>
      <c r="H6" s="22">
        <f>IF(A6="","",IF(NOT(ISNUMBER(C6)),"falta o pró-labore",IF(OR(NOT(ISNUMBER(F6)),F6=0),"faltam as horas faturáveis",C6/F6)))</f>
        <v>54.5454545454546</v>
      </c>
      <c r="I6" s="22">
        <f>IF(H6="","",IF(NOT(ISNUMBER(H6)),H6,IF(NOT(ISNUMBER(Painel!$B$19)),"cadastro incompleto",H6+Painel!$B$19)))</f>
        <v>72.7597402597403</v>
      </c>
      <c r="J6" s="22">
        <f>IF(I6="","",IF(NOT(ISNUMBER(I6)),I6,IF(Config!$B$10&lt;&gt;"Sim","margens inválidas (Config)",I6/(1-Config!$B$7-Config!$B$8))))</f>
        <v>117.354419773775</v>
      </c>
      <c r="K6" s="40">
        <f>IF(AND(A6&lt;&gt;"",OR(NOT(ISNUMBER(C6)),NOT(ISNUMBER(F6)))),1,0)</f>
        <v>0</v>
      </c>
    </row>
    <row r="7">
      <c r="A7" s="32" t="inlineStr">
        <is>
          <t>Júlia Prado</t>
        </is>
      </c>
      <c r="B7" s="32" t="inlineStr">
        <is>
          <t>Estagiária</t>
        </is>
      </c>
      <c r="C7" s="36" t="n">
        <v>1400</v>
      </c>
      <c r="D7" s="38" t="inlineStr">
        <is>
          <t>Sim</t>
        </is>
      </c>
      <c r="E7" s="39" t="n">
        <v>120</v>
      </c>
      <c r="F7" s="39" t="n">
        <v>60</v>
      </c>
      <c r="G7" s="28">
        <f>IF(OR(A7="",E7="",E7=0),"",F7/E7)</f>
        <v>0.5</v>
      </c>
      <c r="H7" s="22">
        <f>IF(A7="","",IF(NOT(ISNUMBER(C7)),"falta o pró-labore",IF(OR(NOT(ISNUMBER(F7)),F7=0),"faltam as horas faturáveis",C7/F7)))</f>
        <v>23.3333333333333</v>
      </c>
      <c r="I7" s="22">
        <f>IF(H7="","",IF(NOT(ISNUMBER(H7)),H7,IF(NOT(ISNUMBER(Painel!$B$19)),"cadastro incompleto",H7+Painel!$B$19)))</f>
        <v>41.5476190476191</v>
      </c>
      <c r="J7" s="22">
        <f>IF(I7="","",IF(NOT(ISNUMBER(I7)),I7,IF(Config!$B$10&lt;&gt;"Sim","margens inválidas (Config)",I7/(1-Config!$B$7-Config!$B$8))))</f>
        <v>67.0122887864823</v>
      </c>
      <c r="K7" s="40">
        <f>IF(AND(A7&lt;&gt;"",OR(NOT(ISNUMBER(C7)),NOT(ISNUMBER(F7)))),1,0)</f>
        <v>0</v>
      </c>
    </row>
    <row r="8">
      <c r="A8" s="32" t="n"/>
      <c r="B8" s="32" t="n"/>
      <c r="C8" s="36" t="n"/>
      <c r="D8" s="38" t="n"/>
      <c r="E8" s="39" t="n"/>
      <c r="F8" s="39" t="n"/>
      <c r="G8" s="28">
        <f>IF(OR(A8="",E8="",E8=0),"",F8/E8)</f>
        <v/>
      </c>
      <c r="H8" s="22">
        <f>IF(A8="","",IF(NOT(ISNUMBER(C8)),"falta o pró-labore",IF(OR(NOT(ISNUMBER(F8)),F8=0),"faltam as horas faturáveis",C8/F8)))</f>
        <v/>
      </c>
      <c r="I8" s="22">
        <f>IF(H8="","",IF(NOT(ISNUMBER(H8)),H8,IF(NOT(ISNUMBER(Painel!$B$19)),"cadastro incompleto",H8+Painel!$B$19)))</f>
        <v/>
      </c>
      <c r="J8" s="22">
        <f>IF(I8="","",IF(NOT(ISNUMBER(I8)),I8,IF(Config!$B$10&lt;&gt;"Sim","margens inválidas (Config)",I8/(1-Config!$B$7-Config!$B$8))))</f>
        <v/>
      </c>
      <c r="K8" s="40">
        <f>IF(AND(A8&lt;&gt;"",OR(NOT(ISNUMBER(C8)),NOT(ISNUMBER(F8)))),1,0)</f>
        <v>0</v>
      </c>
    </row>
    <row r="9">
      <c r="A9" s="32" t="n"/>
      <c r="B9" s="32" t="n"/>
      <c r="C9" s="36" t="n"/>
      <c r="D9" s="38" t="n"/>
      <c r="E9" s="39" t="n"/>
      <c r="F9" s="39" t="n"/>
      <c r="G9" s="28">
        <f>IF(OR(A9="",E9="",E9=0),"",F9/E9)</f>
        <v/>
      </c>
      <c r="H9" s="22">
        <f>IF(A9="","",IF(NOT(ISNUMBER(C9)),"falta o pró-labore",IF(OR(NOT(ISNUMBER(F9)),F9=0),"faltam as horas faturáveis",C9/F9)))</f>
        <v/>
      </c>
      <c r="I9" s="22">
        <f>IF(H9="","",IF(NOT(ISNUMBER(H9)),H9,IF(NOT(ISNUMBER(Painel!$B$19)),"cadastro incompleto",H9+Painel!$B$19)))</f>
        <v/>
      </c>
      <c r="J9" s="22">
        <f>IF(I9="","",IF(NOT(ISNUMBER(I9)),I9,IF(Config!$B$10&lt;&gt;"Sim","margens inválidas (Config)",I9/(1-Config!$B$7-Config!$B$8))))</f>
        <v/>
      </c>
      <c r="K9" s="40">
        <f>IF(AND(A9&lt;&gt;"",OR(NOT(ISNUMBER(C9)),NOT(ISNUMBER(F9)))),1,0)</f>
        <v>0</v>
      </c>
    </row>
    <row r="10">
      <c r="A10" s="32" t="n"/>
      <c r="B10" s="32" t="n"/>
      <c r="C10" s="36" t="n"/>
      <c r="D10" s="38" t="n"/>
      <c r="E10" s="39" t="n"/>
      <c r="F10" s="39" t="n"/>
      <c r="G10" s="28">
        <f>IF(OR(A10="",E10="",E10=0),"",F10/E10)</f>
        <v/>
      </c>
      <c r="H10" s="22">
        <f>IF(A10="","",IF(NOT(ISNUMBER(C10)),"falta o pró-labore",IF(OR(NOT(ISNUMBER(F10)),F10=0),"faltam as horas faturáveis",C10/F10)))</f>
        <v/>
      </c>
      <c r="I10" s="22">
        <f>IF(H10="","",IF(NOT(ISNUMBER(H10)),H10,IF(NOT(ISNUMBER(Painel!$B$19)),"cadastro incompleto",H10+Painel!$B$19)))</f>
        <v/>
      </c>
      <c r="J10" s="22">
        <f>IF(I10="","",IF(NOT(ISNUMBER(I10)),I10,IF(Config!$B$10&lt;&gt;"Sim","margens inválidas (Config)",I10/(1-Config!$B$7-Config!$B$8))))</f>
        <v/>
      </c>
      <c r="K10" s="40">
        <f>IF(AND(A10&lt;&gt;"",OR(NOT(ISNUMBER(C10)),NOT(ISNUMBER(F10)))),1,0)</f>
        <v>0</v>
      </c>
    </row>
    <row r="11">
      <c r="A11" s="32" t="n"/>
      <c r="B11" s="32" t="n"/>
      <c r="C11" s="36" t="n"/>
      <c r="D11" s="38" t="n"/>
      <c r="E11" s="39" t="n"/>
      <c r="F11" s="39" t="n"/>
      <c r="G11" s="28">
        <f>IF(OR(A11="",E11="",E11=0),"",F11/E11)</f>
        <v/>
      </c>
      <c r="H11" s="22">
        <f>IF(A11="","",IF(NOT(ISNUMBER(C11)),"falta o pró-labore",IF(OR(NOT(ISNUMBER(F11)),F11=0),"faltam as horas faturáveis",C11/F11)))</f>
        <v/>
      </c>
      <c r="I11" s="22">
        <f>IF(H11="","",IF(NOT(ISNUMBER(H11)),H11,IF(NOT(ISNUMBER(Painel!$B$19)),"cadastro incompleto",H11+Painel!$B$19)))</f>
        <v/>
      </c>
      <c r="J11" s="22">
        <f>IF(I11="","",IF(NOT(ISNUMBER(I11)),I11,IF(Config!$B$10&lt;&gt;"Sim","margens inválidas (Config)",I11/(1-Config!$B$7-Config!$B$8))))</f>
        <v/>
      </c>
      <c r="K11" s="40">
        <f>IF(AND(A11&lt;&gt;"",OR(NOT(ISNUMBER(C11)),NOT(ISNUMBER(F11)))),1,0)</f>
        <v>0</v>
      </c>
    </row>
    <row r="12">
      <c r="A12" s="32" t="n"/>
      <c r="B12" s="32" t="n"/>
      <c r="C12" s="36" t="n"/>
      <c r="D12" s="38" t="n"/>
      <c r="E12" s="39" t="n"/>
      <c r="F12" s="39" t="n"/>
      <c r="G12" s="28">
        <f>IF(OR(A12="",E12="",E12=0),"",F12/E12)</f>
        <v/>
      </c>
      <c r="H12" s="22">
        <f>IF(A12="","",IF(NOT(ISNUMBER(C12)),"falta o pró-labore",IF(OR(NOT(ISNUMBER(F12)),F12=0),"faltam as horas faturáveis",C12/F12)))</f>
        <v/>
      </c>
      <c r="I12" s="22">
        <f>IF(H12="","",IF(NOT(ISNUMBER(H12)),H12,IF(NOT(ISNUMBER(Painel!$B$19)),"cadastro incompleto",H12+Painel!$B$19)))</f>
        <v/>
      </c>
      <c r="J12" s="22">
        <f>IF(I12="","",IF(NOT(ISNUMBER(I12)),I12,IF(Config!$B$10&lt;&gt;"Sim","margens inválidas (Config)",I12/(1-Config!$B$7-Config!$B$8))))</f>
        <v/>
      </c>
      <c r="K12" s="40">
        <f>IF(AND(A12&lt;&gt;"",OR(NOT(ISNUMBER(C12)),NOT(ISNUMBER(F12)))),1,0)</f>
        <v>0</v>
      </c>
    </row>
    <row r="13">
      <c r="A13" s="32" t="n"/>
      <c r="B13" s="32" t="n"/>
      <c r="C13" s="36" t="n"/>
      <c r="D13" s="38" t="n"/>
      <c r="E13" s="39" t="n"/>
      <c r="F13" s="39" t="n"/>
      <c r="G13" s="28">
        <f>IF(OR(A13="",E13="",E13=0),"",F13/E13)</f>
        <v/>
      </c>
      <c r="H13" s="22">
        <f>IF(A13="","",IF(NOT(ISNUMBER(C13)),"falta o pró-labore",IF(OR(NOT(ISNUMBER(F13)),F13=0),"faltam as horas faturáveis",C13/F13)))</f>
        <v/>
      </c>
      <c r="I13" s="22">
        <f>IF(H13="","",IF(NOT(ISNUMBER(H13)),H13,IF(NOT(ISNUMBER(Painel!$B$19)),"cadastro incompleto",H13+Painel!$B$19)))</f>
        <v/>
      </c>
      <c r="J13" s="22">
        <f>IF(I13="","",IF(NOT(ISNUMBER(I13)),I13,IF(Config!$B$10&lt;&gt;"Sim","margens inválidas (Config)",I13/(1-Config!$B$7-Config!$B$8))))</f>
        <v/>
      </c>
      <c r="K13" s="40">
        <f>IF(AND(A13&lt;&gt;"",OR(NOT(ISNUMBER(C13)),NOT(ISNUMBER(F13)))),1,0)</f>
        <v>0</v>
      </c>
    </row>
    <row r="14">
      <c r="A14" s="32" t="n"/>
      <c r="B14" s="32" t="n"/>
      <c r="C14" s="36" t="n"/>
      <c r="D14" s="38" t="n"/>
      <c r="E14" s="39" t="n"/>
      <c r="F14" s="39" t="n"/>
      <c r="G14" s="28">
        <f>IF(OR(A14="",E14="",E14=0),"",F14/E14)</f>
        <v/>
      </c>
      <c r="H14" s="22">
        <f>IF(A14="","",IF(NOT(ISNUMBER(C14)),"falta o pró-labore",IF(OR(NOT(ISNUMBER(F14)),F14=0),"faltam as horas faturáveis",C14/F14)))</f>
        <v/>
      </c>
      <c r="I14" s="22">
        <f>IF(H14="","",IF(NOT(ISNUMBER(H14)),H14,IF(NOT(ISNUMBER(Painel!$B$19)),"cadastro incompleto",H14+Painel!$B$19)))</f>
        <v/>
      </c>
      <c r="J14" s="22">
        <f>IF(I14="","",IF(NOT(ISNUMBER(I14)),I14,IF(Config!$B$10&lt;&gt;"Sim","margens inválidas (Config)",I14/(1-Config!$B$7-Config!$B$8))))</f>
        <v/>
      </c>
      <c r="K14" s="40">
        <f>IF(AND(A14&lt;&gt;"",OR(NOT(ISNUMBER(C14)),NOT(ISNUMBER(F14)))),1,0)</f>
        <v>0</v>
      </c>
    </row>
    <row r="16">
      <c r="A16" s="29" t="inlineStr">
        <is>
          <t>Custo direto por hora = pró-labore ou salário ÷ horas faturáveis. Custo-hora completo = custo direto + rateio dos custos indiretos do escritório por hora faturável (o rateio é calculado no Painel). Hora mínima = custo-hora completo ÷ (1 − margem − impostos).</t>
        </is>
      </c>
    </row>
    <row r="17">
      <c r="A17" s="29" t="inlineStr">
        <is>
          <t>Horas de trabalho no mês: 160 para tempo integral; 120 para meio período. Horas faturáveis: uma média realista; 60% a 70% das horas de trabalho já é bom para quem também administra o escritório.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1:J1"/>
    <mergeCell ref="A2:J2"/>
  </mergeCells>
  <dataValidations count="1">
    <dataValidation sqref="D5:D14" showDropDown="0" showInputMessage="0" showErrorMessage="1" allowBlank="1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Custo-hora do escritório · Kit de Gestão para Advogados</dc:title>
  <dcterms:created xmlns:dcterms="http://purl.org/dc/terms/" xmlns:xsi="http://www.w3.org/2001/XMLSchema-instance" xsi:type="dcterms:W3CDTF">2026-09-24T12:24:27Z</dcterms:created>
  <dcterms:modified xmlns:dcterms="http://purl.org/dc/terms/" xmlns:xsi="http://www.w3.org/2001/XMLSchema-instance" xsi:type="dcterms:W3CDTF">2026-09-24T12:24:28Z</dcterms:modified>
</cp:coreProperties>
</file>