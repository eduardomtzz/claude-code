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lientes" sheetId="4" state="visible" r:id="rId4"/>
    <sheet xmlns:r="http://schemas.openxmlformats.org/officeDocument/2006/relationships" name="Casos" sheetId="5" state="visible" r:id="rId5"/>
  </sheets>
  <definedNames>
    <definedName name="_xlnm._FilterDatabase" localSheetId="3" hidden="1">'Clientes'!$A$4:$J$64</definedName>
    <definedName name="_xlnm._FilterDatabase" localSheetId="4" hidden="1">'Casos'!$A$4:$M$204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;[Red]-&quot;R$&quot; #,##0"/>
  </numFmts>
  <fonts count="16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FC83D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165" fontId="1" fillId="4" borderId="0" applyAlignment="1" pivotButton="0" quotePrefix="0" xfId="0">
      <alignment horizontal="center"/>
    </xf>
    <xf numFmtId="165" fontId="10" fillId="5" borderId="0" applyAlignment="1" pivotButton="0" quotePrefix="0" xfId="0">
      <alignment horizontal="center"/>
    </xf>
    <xf numFmtId="165" fontId="1" fillId="6" borderId="0" applyAlignment="1" pivotButton="0" quotePrefix="0" xfId="0">
      <alignment horizontal="center"/>
    </xf>
    <xf numFmtId="9" fontId="1" fillId="4" borderId="0" applyAlignment="1" pivotButton="0" quotePrefix="0" xfId="0">
      <alignment horizontal="center"/>
    </xf>
    <xf numFmtId="1" fontId="1" fillId="4" borderId="0" applyAlignment="1" pivotButton="0" quotePrefix="0" xfId="0">
      <alignment horizontal="center"/>
    </xf>
    <xf numFmtId="0" fontId="11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2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4" fontId="4" fillId="0" borderId="1" applyAlignment="1" pivotButton="0" quotePrefix="0" xfId="0">
      <alignment horizontal="center"/>
    </xf>
    <xf numFmtId="0" fontId="7" fillId="0" borderId="0" pivotButton="0" quotePrefix="0" xfId="0"/>
    <xf numFmtId="165" fontId="4" fillId="2" borderId="1" applyProtection="1" pivotButton="0" quotePrefix="0" xfId="0"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3">
    <dxf>
      <font>
        <name val="Arial"/>
        <b val="1"/>
        <color rgb="00C8402E"/>
        <sz val="10"/>
      </font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8A86A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Contratado × recebido por área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'Painel'!D8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'Painel'!$A$9:$A$18</f>
            </numRef>
          </cat>
          <val>
            <numRef>
              <f>'Painel'!$D$9:$D$18</f>
            </numRef>
          </val>
        </ser>
        <ser>
          <idx val="1"/>
          <order val="1"/>
          <tx>
            <strRef>
              <f>'Painel'!E8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'Painel'!$A$9:$A$18</f>
            </numRef>
          </cat>
          <val>
            <numRef>
              <f>'Painel'!$E$9:$E$18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6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Carteira de Clientes e Casos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cadastra os clientes e os casos com valor contratado e recebido; ela calcula o que falta receber, agrupa por área, responsável e modalidade, mostra os cinco maiores clientes e separa casos ativos de encerrados. Responde "quanto ainda vai entrar?".</t>
        </is>
      </c>
    </row>
    <row r="5" ht="46" customHeight="1">
      <c r="A5" s="3" t="inlineStr">
        <is>
          <t>Passo 1</t>
        </is>
      </c>
      <c r="B5" s="4" t="inlineStr">
        <is>
          <t>Em Config, confira o nome do escritório e as listas: áreas, fases, responsáveis e modalidades de honorário. Preencha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Clientes, uma linha por cliente, com tipo (PF ou PJ) e área principal. O nome daqui alimenta a lista de clientes em Casos.</t>
        </is>
      </c>
    </row>
    <row r="7" ht="46" customHeight="1">
      <c r="A7" s="3" t="inlineStr">
        <is>
          <t>Passo 3</t>
        </is>
      </c>
      <c r="B7" s="4" t="inlineStr">
        <is>
          <t>Em Casos, uma linha por caso: número do processo (ou uma referência sua, para consultivo), cliente, área, fase, responsável, modalidade, valor contratado, recebido até hoje e data de abertura. Atualize o recebido a cada pagamento.</t>
        </is>
      </c>
    </row>
    <row r="8" ht="46" customHeight="1">
      <c r="A8" s="3" t="inlineStr">
        <is>
          <t>Passo 4</t>
        </is>
      </c>
      <c r="B8" s="4" t="inlineStr">
        <is>
          <t>Em Painel, leia contratado, recebido e a receber, os totais por área e por responsável, o top 5 de clientes e ativos × encerrados. Nada para digitar lá.</t>
        </is>
      </c>
    </row>
    <row r="9" ht="46" customHeight="1">
      <c r="A9" s="3" t="inlineStr">
        <is>
          <t>Rotina</t>
        </is>
      </c>
      <c r="B9" s="4" t="inlineStr">
        <is>
          <t>Sexta-feira, 10 minutos: atualizar recebidos e fases. Dia 1 do mês: copiar o Painel para o Resumo do mês (planilha 20).</t>
        </is>
      </c>
    </row>
    <row r="10" ht="46" customHeight="1">
      <c r="A10" s="3" t="inlineStr">
        <is>
          <t>Com a IA</t>
        </is>
      </c>
      <c r="B10" s="4" t="inlineStr">
        <is>
          <t>Copie a tabela "Por área" e o "Top 5 clientes" e use o prompt "Resumir a carteira" da biblioteca para preparar a reunião de sócios ou a conversa com o contador.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2019 ou mais novo, Microsoft 365 ou Google Sheets.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5" customWidth="1" min="4" max="4"/>
    <col width="15" customWidth="1" min="5" max="5"/>
    <col width="15" customWidth="1" min="6" max="6"/>
    <col width="12" customWidth="1" min="7" max="7"/>
    <col width="24" customWidth="1" min="8" max="8"/>
    <col width="3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5">
        <f>Config!$B$4&amp;" · Carteira de clientes e casos · "&amp;TEXT(DAY(Config!$B$5),"00")&amp;"/"&amp;TEXT(MONTH(Config!$B$5),"00")&amp;"/"&amp;YEAR(Config!$B$5)</f>
        <v/>
      </c>
    </row>
    <row r="2">
      <c r="A2" s="6" t="inlineStr">
        <is>
          <t>Nada para digitar aqui: tudo vem de Casos, Clientes e Config.</t>
        </is>
      </c>
    </row>
    <row r="4">
      <c r="A4" s="7" t="inlineStr">
        <is>
          <t>Contratado (R$)</t>
        </is>
      </c>
      <c r="B4" s="8" t="n"/>
      <c r="C4" s="9" t="inlineStr">
        <is>
          <t>Recebido (R$)</t>
        </is>
      </c>
      <c r="D4" s="10" t="n"/>
      <c r="E4" s="11" t="inlineStr">
        <is>
          <t>A receber (R$)</t>
        </is>
      </c>
      <c r="F4" s="12" t="n"/>
      <c r="G4" s="7" t="inlineStr">
        <is>
          <t>% recebido</t>
        </is>
      </c>
      <c r="H4" s="8" t="n"/>
      <c r="I4" s="7" t="inlineStr">
        <is>
          <t>Casos ativos</t>
        </is>
      </c>
      <c r="J4" s="8" t="n"/>
      <c r="K4" s="7" t="inlineStr">
        <is>
          <t>Casos encerrados</t>
        </is>
      </c>
      <c r="L4" s="8" t="n"/>
    </row>
    <row r="5" ht="30" customHeight="1">
      <c r="A5" s="13">
        <f>SUM(Casos!$H$5:$H$204)</f>
        <v/>
      </c>
      <c r="B5" s="8" t="n"/>
      <c r="C5" s="14">
        <f>SUM(Casos!$I$5:$I$204)</f>
        <v/>
      </c>
      <c r="D5" s="10" t="n"/>
      <c r="E5" s="15">
        <f>SUM(Casos!$H$5:$H$204)-SUM(Casos!$I$5:$I$204)</f>
        <v/>
      </c>
      <c r="F5" s="12" t="n"/>
      <c r="G5" s="16">
        <f>IFERROR(C5/A5,0)</f>
        <v/>
      </c>
      <c r="H5" s="8" t="n"/>
      <c r="I5" s="17">
        <f>COUNTIFS(Casos!$L$5:$L$204,"Ativo")</f>
        <v/>
      </c>
      <c r="J5" s="8" t="n"/>
      <c r="K5" s="17">
        <f>COUNTIFS(Casos!$L$5:$L$204,"Encerrado")</f>
        <v/>
      </c>
      <c r="L5" s="8" t="n"/>
    </row>
    <row r="7">
      <c r="A7" s="18" t="inlineStr">
        <is>
          <t>Por área</t>
        </is>
      </c>
    </row>
    <row r="8" ht="26" customHeight="1">
      <c r="A8" s="19" t="inlineStr">
        <is>
          <t>Área</t>
        </is>
      </c>
      <c r="B8" s="19" t="inlineStr">
        <is>
          <t>Casos</t>
        </is>
      </c>
      <c r="C8" s="19" t="inlineStr">
        <is>
          <t>Ativos</t>
        </is>
      </c>
      <c r="D8" s="19" t="inlineStr">
        <is>
          <t>Contratado (R$)</t>
        </is>
      </c>
      <c r="E8" s="19" t="inlineStr">
        <is>
          <t>Recebido (R$)</t>
        </is>
      </c>
      <c r="F8" s="19" t="inlineStr">
        <is>
          <t>A receber (R$)</t>
        </is>
      </c>
      <c r="G8" s="19" t="inlineStr">
        <is>
          <t>% recebido</t>
        </is>
      </c>
      <c r="H8" s="19" t="inlineStr">
        <is>
          <t>Barra</t>
        </is>
      </c>
    </row>
    <row r="9">
      <c r="A9" s="20">
        <f>IF(Config!$A$9="","",Config!$A$9)</f>
        <v/>
      </c>
      <c r="B9" s="21">
        <f>IF(Config!$A$9="","",COUNTIFS(Casos!$D$5:$D$204,Config!$A$9))</f>
        <v/>
      </c>
      <c r="C9" s="21">
        <f>IF(Config!$A$9="","",COUNTIFS(Casos!$D$5:$D$204,Config!$A$9,Casos!$L$5:$L$204,"Ativo"))</f>
        <v/>
      </c>
      <c r="D9" s="22">
        <f>IF(Config!$A$9="","",SUMIFS(Casos!$H$5:$H$204,Casos!$D$5:$D$204,Config!$A$9))</f>
        <v/>
      </c>
      <c r="E9" s="22">
        <f>IF(Config!$A$9="","",SUMIFS(Casos!$I$5:$I$204,Casos!$D$5:$D$204,Config!$A$9))</f>
        <v/>
      </c>
      <c r="F9" s="22">
        <f>IF(Config!$A$9="","",D9-E9)</f>
        <v/>
      </c>
      <c r="G9" s="23">
        <f>IF(OR(Config!$A$9="",D9=0),"",E9/D9)</f>
        <v/>
      </c>
      <c r="H9" s="24">
        <f>IF(Config!$A$9="","",REPT("█",ROUND(IFERROR(D9/MAX($D$9:$D$18),0)*20,0)))</f>
        <v/>
      </c>
    </row>
    <row r="10">
      <c r="A10" s="20">
        <f>IF(Config!$A$10="","",Config!$A$10)</f>
        <v/>
      </c>
      <c r="B10" s="21">
        <f>IF(Config!$A$10="","",COUNTIFS(Casos!$D$5:$D$204,Config!$A$10))</f>
        <v/>
      </c>
      <c r="C10" s="21">
        <f>IF(Config!$A$10="","",COUNTIFS(Casos!$D$5:$D$204,Config!$A$10,Casos!$L$5:$L$204,"Ativo"))</f>
        <v/>
      </c>
      <c r="D10" s="22">
        <f>IF(Config!$A$10="","",SUMIFS(Casos!$H$5:$H$204,Casos!$D$5:$D$204,Config!$A$10))</f>
        <v/>
      </c>
      <c r="E10" s="22">
        <f>IF(Config!$A$10="","",SUMIFS(Casos!$I$5:$I$204,Casos!$D$5:$D$204,Config!$A$10))</f>
        <v/>
      </c>
      <c r="F10" s="22">
        <f>IF(Config!$A$10="","",D10-E10)</f>
        <v/>
      </c>
      <c r="G10" s="23">
        <f>IF(OR(Config!$A$10="",D10=0),"",E10/D10)</f>
        <v/>
      </c>
      <c r="H10" s="24">
        <f>IF(Config!$A$10="","",REPT("█",ROUND(IFERROR(D10/MAX($D$9:$D$18),0)*20,0)))</f>
        <v/>
      </c>
    </row>
    <row r="11">
      <c r="A11" s="20">
        <f>IF(Config!$A$11="","",Config!$A$11)</f>
        <v/>
      </c>
      <c r="B11" s="21">
        <f>IF(Config!$A$11="","",COUNTIFS(Casos!$D$5:$D$204,Config!$A$11))</f>
        <v/>
      </c>
      <c r="C11" s="21">
        <f>IF(Config!$A$11="","",COUNTIFS(Casos!$D$5:$D$204,Config!$A$11,Casos!$L$5:$L$204,"Ativo"))</f>
        <v/>
      </c>
      <c r="D11" s="22">
        <f>IF(Config!$A$11="","",SUMIFS(Casos!$H$5:$H$204,Casos!$D$5:$D$204,Config!$A$11))</f>
        <v/>
      </c>
      <c r="E11" s="22">
        <f>IF(Config!$A$11="","",SUMIFS(Casos!$I$5:$I$204,Casos!$D$5:$D$204,Config!$A$11))</f>
        <v/>
      </c>
      <c r="F11" s="22">
        <f>IF(Config!$A$11="","",D11-E11)</f>
        <v/>
      </c>
      <c r="G11" s="23">
        <f>IF(OR(Config!$A$11="",D11=0),"",E11/D11)</f>
        <v/>
      </c>
      <c r="H11" s="24">
        <f>IF(Config!$A$11="","",REPT("█",ROUND(IFERROR(D11/MAX($D$9:$D$18),0)*20,0)))</f>
        <v/>
      </c>
    </row>
    <row r="12">
      <c r="A12" s="20">
        <f>IF(Config!$A$12="","",Config!$A$12)</f>
        <v/>
      </c>
      <c r="B12" s="21">
        <f>IF(Config!$A$12="","",COUNTIFS(Casos!$D$5:$D$204,Config!$A$12))</f>
        <v/>
      </c>
      <c r="C12" s="21">
        <f>IF(Config!$A$12="","",COUNTIFS(Casos!$D$5:$D$204,Config!$A$12,Casos!$L$5:$L$204,"Ativo"))</f>
        <v/>
      </c>
      <c r="D12" s="22">
        <f>IF(Config!$A$12="","",SUMIFS(Casos!$H$5:$H$204,Casos!$D$5:$D$204,Config!$A$12))</f>
        <v/>
      </c>
      <c r="E12" s="22">
        <f>IF(Config!$A$12="","",SUMIFS(Casos!$I$5:$I$204,Casos!$D$5:$D$204,Config!$A$12))</f>
        <v/>
      </c>
      <c r="F12" s="22">
        <f>IF(Config!$A$12="","",D12-E12)</f>
        <v/>
      </c>
      <c r="G12" s="23">
        <f>IF(OR(Config!$A$12="",D12=0),"",E12/D12)</f>
        <v/>
      </c>
      <c r="H12" s="24">
        <f>IF(Config!$A$12="","",REPT("█",ROUND(IFERROR(D12/MAX($D$9:$D$18),0)*20,0)))</f>
        <v/>
      </c>
    </row>
    <row r="13">
      <c r="A13" s="20">
        <f>IF(Config!$A$13="","",Config!$A$13)</f>
        <v/>
      </c>
      <c r="B13" s="21">
        <f>IF(Config!$A$13="","",COUNTIFS(Casos!$D$5:$D$204,Config!$A$13))</f>
        <v/>
      </c>
      <c r="C13" s="21">
        <f>IF(Config!$A$13="","",COUNTIFS(Casos!$D$5:$D$204,Config!$A$13,Casos!$L$5:$L$204,"Ativo"))</f>
        <v/>
      </c>
      <c r="D13" s="22">
        <f>IF(Config!$A$13="","",SUMIFS(Casos!$H$5:$H$204,Casos!$D$5:$D$204,Config!$A$13))</f>
        <v/>
      </c>
      <c r="E13" s="22">
        <f>IF(Config!$A$13="","",SUMIFS(Casos!$I$5:$I$204,Casos!$D$5:$D$204,Config!$A$13))</f>
        <v/>
      </c>
      <c r="F13" s="22">
        <f>IF(Config!$A$13="","",D13-E13)</f>
        <v/>
      </c>
      <c r="G13" s="23">
        <f>IF(OR(Config!$A$13="",D13=0),"",E13/D13)</f>
        <v/>
      </c>
      <c r="H13" s="24">
        <f>IF(Config!$A$13="","",REPT("█",ROUND(IFERROR(D13/MAX($D$9:$D$18),0)*20,0)))</f>
        <v/>
      </c>
    </row>
    <row r="14">
      <c r="A14" s="20">
        <f>IF(Config!$A$14="","",Config!$A$14)</f>
        <v/>
      </c>
      <c r="B14" s="21">
        <f>IF(Config!$A$14="","",COUNTIFS(Casos!$D$5:$D$204,Config!$A$14))</f>
        <v/>
      </c>
      <c r="C14" s="21">
        <f>IF(Config!$A$14="","",COUNTIFS(Casos!$D$5:$D$204,Config!$A$14,Casos!$L$5:$L$204,"Ativo"))</f>
        <v/>
      </c>
      <c r="D14" s="22">
        <f>IF(Config!$A$14="","",SUMIFS(Casos!$H$5:$H$204,Casos!$D$5:$D$204,Config!$A$14))</f>
        <v/>
      </c>
      <c r="E14" s="22">
        <f>IF(Config!$A$14="","",SUMIFS(Casos!$I$5:$I$204,Casos!$D$5:$D$204,Config!$A$14))</f>
        <v/>
      </c>
      <c r="F14" s="22">
        <f>IF(Config!$A$14="","",D14-E14)</f>
        <v/>
      </c>
      <c r="G14" s="23">
        <f>IF(OR(Config!$A$14="",D14=0),"",E14/D14)</f>
        <v/>
      </c>
      <c r="H14" s="24">
        <f>IF(Config!$A$14="","",REPT("█",ROUND(IFERROR(D14/MAX($D$9:$D$18),0)*20,0)))</f>
        <v/>
      </c>
    </row>
    <row r="15">
      <c r="A15" s="20">
        <f>IF(Config!$A$15="","",Config!$A$15)</f>
        <v/>
      </c>
      <c r="B15" s="21">
        <f>IF(Config!$A$15="","",COUNTIFS(Casos!$D$5:$D$204,Config!$A$15))</f>
        <v/>
      </c>
      <c r="C15" s="21">
        <f>IF(Config!$A$15="","",COUNTIFS(Casos!$D$5:$D$204,Config!$A$15,Casos!$L$5:$L$204,"Ativo"))</f>
        <v/>
      </c>
      <c r="D15" s="22">
        <f>IF(Config!$A$15="","",SUMIFS(Casos!$H$5:$H$204,Casos!$D$5:$D$204,Config!$A$15))</f>
        <v/>
      </c>
      <c r="E15" s="22">
        <f>IF(Config!$A$15="","",SUMIFS(Casos!$I$5:$I$204,Casos!$D$5:$D$204,Config!$A$15))</f>
        <v/>
      </c>
      <c r="F15" s="22">
        <f>IF(Config!$A$15="","",D15-E15)</f>
        <v/>
      </c>
      <c r="G15" s="23">
        <f>IF(OR(Config!$A$15="",D15=0),"",E15/D15)</f>
        <v/>
      </c>
      <c r="H15" s="24">
        <f>IF(Config!$A$15="","",REPT("█",ROUND(IFERROR(D15/MAX($D$9:$D$18),0)*20,0)))</f>
        <v/>
      </c>
    </row>
    <row r="16">
      <c r="A16" s="20">
        <f>IF(Config!$A$16="","",Config!$A$16)</f>
        <v/>
      </c>
      <c r="B16" s="21">
        <f>IF(Config!$A$16="","",COUNTIFS(Casos!$D$5:$D$204,Config!$A$16))</f>
        <v/>
      </c>
      <c r="C16" s="21">
        <f>IF(Config!$A$16="","",COUNTIFS(Casos!$D$5:$D$204,Config!$A$16,Casos!$L$5:$L$204,"Ativo"))</f>
        <v/>
      </c>
      <c r="D16" s="22">
        <f>IF(Config!$A$16="","",SUMIFS(Casos!$H$5:$H$204,Casos!$D$5:$D$204,Config!$A$16))</f>
        <v/>
      </c>
      <c r="E16" s="22">
        <f>IF(Config!$A$16="","",SUMIFS(Casos!$I$5:$I$204,Casos!$D$5:$D$204,Config!$A$16))</f>
        <v/>
      </c>
      <c r="F16" s="22">
        <f>IF(Config!$A$16="","",D16-E16)</f>
        <v/>
      </c>
      <c r="G16" s="23">
        <f>IF(OR(Config!$A$16="",D16=0),"",E16/D16)</f>
        <v/>
      </c>
      <c r="H16" s="24">
        <f>IF(Config!$A$16="","",REPT("█",ROUND(IFERROR(D16/MAX($D$9:$D$18),0)*20,0)))</f>
        <v/>
      </c>
    </row>
    <row r="17">
      <c r="A17" s="20">
        <f>IF(Config!$A$17="","",Config!$A$17)</f>
        <v/>
      </c>
      <c r="B17" s="21">
        <f>IF(Config!$A$17="","",COUNTIFS(Casos!$D$5:$D$204,Config!$A$17))</f>
        <v/>
      </c>
      <c r="C17" s="21">
        <f>IF(Config!$A$17="","",COUNTIFS(Casos!$D$5:$D$204,Config!$A$17,Casos!$L$5:$L$204,"Ativo"))</f>
        <v/>
      </c>
      <c r="D17" s="22">
        <f>IF(Config!$A$17="","",SUMIFS(Casos!$H$5:$H$204,Casos!$D$5:$D$204,Config!$A$17))</f>
        <v/>
      </c>
      <c r="E17" s="22">
        <f>IF(Config!$A$17="","",SUMIFS(Casos!$I$5:$I$204,Casos!$D$5:$D$204,Config!$A$17))</f>
        <v/>
      </c>
      <c r="F17" s="22">
        <f>IF(Config!$A$17="","",D17-E17)</f>
        <v/>
      </c>
      <c r="G17" s="23">
        <f>IF(OR(Config!$A$17="",D17=0),"",E17/D17)</f>
        <v/>
      </c>
      <c r="H17" s="24">
        <f>IF(Config!$A$17="","",REPT("█",ROUND(IFERROR(D17/MAX($D$9:$D$18),0)*20,0)))</f>
        <v/>
      </c>
    </row>
    <row r="18">
      <c r="A18" s="20">
        <f>IF(Config!$A$18="","",Config!$A$18)</f>
        <v/>
      </c>
      <c r="B18" s="21">
        <f>IF(Config!$A$18="","",COUNTIFS(Casos!$D$5:$D$204,Config!$A$18))</f>
        <v/>
      </c>
      <c r="C18" s="21">
        <f>IF(Config!$A$18="","",COUNTIFS(Casos!$D$5:$D$204,Config!$A$18,Casos!$L$5:$L$204,"Ativo"))</f>
        <v/>
      </c>
      <c r="D18" s="22">
        <f>IF(Config!$A$18="","",SUMIFS(Casos!$H$5:$H$204,Casos!$D$5:$D$204,Config!$A$18))</f>
        <v/>
      </c>
      <c r="E18" s="22">
        <f>IF(Config!$A$18="","",SUMIFS(Casos!$I$5:$I$204,Casos!$D$5:$D$204,Config!$A$18))</f>
        <v/>
      </c>
      <c r="F18" s="22">
        <f>IF(Config!$A$18="","",D18-E18)</f>
        <v/>
      </c>
      <c r="G18" s="23">
        <f>IF(OR(Config!$A$18="",D18=0),"",E18/D18)</f>
        <v/>
      </c>
      <c r="H18" s="24">
        <f>IF(Config!$A$18="","",REPT("█",ROUND(IFERROR(D18/MAX($D$9:$D$18),0)*20,0)))</f>
        <v/>
      </c>
    </row>
    <row r="20">
      <c r="A20" s="18" t="inlineStr">
        <is>
          <t>Por responsável</t>
        </is>
      </c>
    </row>
    <row r="21" ht="26" customHeight="1">
      <c r="A21" s="19" t="inlineStr">
        <is>
          <t>Responsável</t>
        </is>
      </c>
      <c r="B21" s="19" t="inlineStr">
        <is>
          <t>Casos</t>
        </is>
      </c>
      <c r="C21" s="19" t="inlineStr">
        <is>
          <t>Ativos</t>
        </is>
      </c>
      <c r="D21" s="19" t="inlineStr">
        <is>
          <t>Contratado (R$)</t>
        </is>
      </c>
      <c r="E21" s="19" t="inlineStr">
        <is>
          <t>Recebido (R$)</t>
        </is>
      </c>
      <c r="F21" s="19" t="inlineStr">
        <is>
          <t>A receber (R$)</t>
        </is>
      </c>
      <c r="G21" s="19" t="inlineStr">
        <is>
          <t>% recebido</t>
        </is>
      </c>
      <c r="H21" s="19" t="inlineStr">
        <is>
          <t>Barra</t>
        </is>
      </c>
    </row>
    <row r="22">
      <c r="A22" s="20">
        <f>IF(Config!$E$9="","",Config!$E$9)</f>
        <v/>
      </c>
      <c r="B22" s="21">
        <f>IF(Config!$E$9="","",COUNTIFS(Casos!$F$5:$F$204,Config!$E$9))</f>
        <v/>
      </c>
      <c r="C22" s="21">
        <f>IF(Config!$E$9="","",COUNTIFS(Casos!$F$5:$F$204,Config!$E$9,Casos!$L$5:$L$204,"Ativo"))</f>
        <v/>
      </c>
      <c r="D22" s="22">
        <f>IF(Config!$E$9="","",SUMIFS(Casos!$H$5:$H$204,Casos!$F$5:$F$204,Config!$E$9))</f>
        <v/>
      </c>
      <c r="E22" s="22">
        <f>IF(Config!$E$9="","",SUMIFS(Casos!$I$5:$I$204,Casos!$F$5:$F$204,Config!$E$9))</f>
        <v/>
      </c>
      <c r="F22" s="22">
        <f>IF(Config!$E$9="","",D22-E22)</f>
        <v/>
      </c>
      <c r="G22" s="23">
        <f>IF(OR(Config!$E$9="",D22=0),"",E22/D22)</f>
        <v/>
      </c>
      <c r="H22" s="24">
        <f>IF(Config!$E$9="","",REPT("█",ROUND(IFERROR(D22/MAX($D$22:$D$31),0)*20,0)))</f>
        <v/>
      </c>
    </row>
    <row r="23">
      <c r="A23" s="20">
        <f>IF(Config!$E$10="","",Config!$E$10)</f>
        <v/>
      </c>
      <c r="B23" s="21">
        <f>IF(Config!$E$10="","",COUNTIFS(Casos!$F$5:$F$204,Config!$E$10))</f>
        <v/>
      </c>
      <c r="C23" s="21">
        <f>IF(Config!$E$10="","",COUNTIFS(Casos!$F$5:$F$204,Config!$E$10,Casos!$L$5:$L$204,"Ativo"))</f>
        <v/>
      </c>
      <c r="D23" s="22">
        <f>IF(Config!$E$10="","",SUMIFS(Casos!$H$5:$H$204,Casos!$F$5:$F$204,Config!$E$10))</f>
        <v/>
      </c>
      <c r="E23" s="22">
        <f>IF(Config!$E$10="","",SUMIFS(Casos!$I$5:$I$204,Casos!$F$5:$F$204,Config!$E$10))</f>
        <v/>
      </c>
      <c r="F23" s="22">
        <f>IF(Config!$E$10="","",D23-E23)</f>
        <v/>
      </c>
      <c r="G23" s="23">
        <f>IF(OR(Config!$E$10="",D23=0),"",E23/D23)</f>
        <v/>
      </c>
      <c r="H23" s="24">
        <f>IF(Config!$E$10="","",REPT("█",ROUND(IFERROR(D23/MAX($D$22:$D$31),0)*20,0)))</f>
        <v/>
      </c>
    </row>
    <row r="24">
      <c r="A24" s="20">
        <f>IF(Config!$E$11="","",Config!$E$11)</f>
        <v/>
      </c>
      <c r="B24" s="21">
        <f>IF(Config!$E$11="","",COUNTIFS(Casos!$F$5:$F$204,Config!$E$11))</f>
        <v/>
      </c>
      <c r="C24" s="21">
        <f>IF(Config!$E$11="","",COUNTIFS(Casos!$F$5:$F$204,Config!$E$11,Casos!$L$5:$L$204,"Ativo"))</f>
        <v/>
      </c>
      <c r="D24" s="22">
        <f>IF(Config!$E$11="","",SUMIFS(Casos!$H$5:$H$204,Casos!$F$5:$F$204,Config!$E$11))</f>
        <v/>
      </c>
      <c r="E24" s="22">
        <f>IF(Config!$E$11="","",SUMIFS(Casos!$I$5:$I$204,Casos!$F$5:$F$204,Config!$E$11))</f>
        <v/>
      </c>
      <c r="F24" s="22">
        <f>IF(Config!$E$11="","",D24-E24)</f>
        <v/>
      </c>
      <c r="G24" s="23">
        <f>IF(OR(Config!$E$11="",D24=0),"",E24/D24)</f>
        <v/>
      </c>
      <c r="H24" s="24">
        <f>IF(Config!$E$11="","",REPT("█",ROUND(IFERROR(D24/MAX($D$22:$D$31),0)*20,0)))</f>
        <v/>
      </c>
    </row>
    <row r="25">
      <c r="A25" s="20">
        <f>IF(Config!$E$12="","",Config!$E$12)</f>
        <v/>
      </c>
      <c r="B25" s="21">
        <f>IF(Config!$E$12="","",COUNTIFS(Casos!$F$5:$F$204,Config!$E$12))</f>
        <v/>
      </c>
      <c r="C25" s="21">
        <f>IF(Config!$E$12="","",COUNTIFS(Casos!$F$5:$F$204,Config!$E$12,Casos!$L$5:$L$204,"Ativo"))</f>
        <v/>
      </c>
      <c r="D25" s="22">
        <f>IF(Config!$E$12="","",SUMIFS(Casos!$H$5:$H$204,Casos!$F$5:$F$204,Config!$E$12))</f>
        <v/>
      </c>
      <c r="E25" s="22">
        <f>IF(Config!$E$12="","",SUMIFS(Casos!$I$5:$I$204,Casos!$F$5:$F$204,Config!$E$12))</f>
        <v/>
      </c>
      <c r="F25" s="22">
        <f>IF(Config!$E$12="","",D25-E25)</f>
        <v/>
      </c>
      <c r="G25" s="23">
        <f>IF(OR(Config!$E$12="",D25=0),"",E25/D25)</f>
        <v/>
      </c>
      <c r="H25" s="24">
        <f>IF(Config!$E$12="","",REPT("█",ROUND(IFERROR(D25/MAX($D$22:$D$31),0)*20,0)))</f>
        <v/>
      </c>
    </row>
    <row r="26">
      <c r="A26" s="20">
        <f>IF(Config!$E$13="","",Config!$E$13)</f>
        <v/>
      </c>
      <c r="B26" s="21">
        <f>IF(Config!$E$13="","",COUNTIFS(Casos!$F$5:$F$204,Config!$E$13))</f>
        <v/>
      </c>
      <c r="C26" s="21">
        <f>IF(Config!$E$13="","",COUNTIFS(Casos!$F$5:$F$204,Config!$E$13,Casos!$L$5:$L$204,"Ativo"))</f>
        <v/>
      </c>
      <c r="D26" s="22">
        <f>IF(Config!$E$13="","",SUMIFS(Casos!$H$5:$H$204,Casos!$F$5:$F$204,Config!$E$13))</f>
        <v/>
      </c>
      <c r="E26" s="22">
        <f>IF(Config!$E$13="","",SUMIFS(Casos!$I$5:$I$204,Casos!$F$5:$F$204,Config!$E$13))</f>
        <v/>
      </c>
      <c r="F26" s="22">
        <f>IF(Config!$E$13="","",D26-E26)</f>
        <v/>
      </c>
      <c r="G26" s="23">
        <f>IF(OR(Config!$E$13="",D26=0),"",E26/D26)</f>
        <v/>
      </c>
      <c r="H26" s="24">
        <f>IF(Config!$E$13="","",REPT("█",ROUND(IFERROR(D26/MAX($D$22:$D$31),0)*20,0)))</f>
        <v/>
      </c>
    </row>
    <row r="27">
      <c r="A27" s="20">
        <f>IF(Config!$E$14="","",Config!$E$14)</f>
        <v/>
      </c>
      <c r="B27" s="21">
        <f>IF(Config!$E$14="","",COUNTIFS(Casos!$F$5:$F$204,Config!$E$14))</f>
        <v/>
      </c>
      <c r="C27" s="21">
        <f>IF(Config!$E$14="","",COUNTIFS(Casos!$F$5:$F$204,Config!$E$14,Casos!$L$5:$L$204,"Ativo"))</f>
        <v/>
      </c>
      <c r="D27" s="22">
        <f>IF(Config!$E$14="","",SUMIFS(Casos!$H$5:$H$204,Casos!$F$5:$F$204,Config!$E$14))</f>
        <v/>
      </c>
      <c r="E27" s="22">
        <f>IF(Config!$E$14="","",SUMIFS(Casos!$I$5:$I$204,Casos!$F$5:$F$204,Config!$E$14))</f>
        <v/>
      </c>
      <c r="F27" s="22">
        <f>IF(Config!$E$14="","",D27-E27)</f>
        <v/>
      </c>
      <c r="G27" s="23">
        <f>IF(OR(Config!$E$14="",D27=0),"",E27/D27)</f>
        <v/>
      </c>
      <c r="H27" s="24">
        <f>IF(Config!$E$14="","",REPT("█",ROUND(IFERROR(D27/MAX($D$22:$D$31),0)*20,0)))</f>
        <v/>
      </c>
    </row>
    <row r="28">
      <c r="A28" s="20">
        <f>IF(Config!$E$15="","",Config!$E$15)</f>
        <v/>
      </c>
      <c r="B28" s="21">
        <f>IF(Config!$E$15="","",COUNTIFS(Casos!$F$5:$F$204,Config!$E$15))</f>
        <v/>
      </c>
      <c r="C28" s="21">
        <f>IF(Config!$E$15="","",COUNTIFS(Casos!$F$5:$F$204,Config!$E$15,Casos!$L$5:$L$204,"Ativo"))</f>
        <v/>
      </c>
      <c r="D28" s="22">
        <f>IF(Config!$E$15="","",SUMIFS(Casos!$H$5:$H$204,Casos!$F$5:$F$204,Config!$E$15))</f>
        <v/>
      </c>
      <c r="E28" s="22">
        <f>IF(Config!$E$15="","",SUMIFS(Casos!$I$5:$I$204,Casos!$F$5:$F$204,Config!$E$15))</f>
        <v/>
      </c>
      <c r="F28" s="22">
        <f>IF(Config!$E$15="","",D28-E28)</f>
        <v/>
      </c>
      <c r="G28" s="23">
        <f>IF(OR(Config!$E$15="",D28=0),"",E28/D28)</f>
        <v/>
      </c>
      <c r="H28" s="24">
        <f>IF(Config!$E$15="","",REPT("█",ROUND(IFERROR(D28/MAX($D$22:$D$31),0)*20,0)))</f>
        <v/>
      </c>
    </row>
    <row r="29">
      <c r="A29" s="20">
        <f>IF(Config!$E$16="","",Config!$E$16)</f>
        <v/>
      </c>
      <c r="B29" s="21">
        <f>IF(Config!$E$16="","",COUNTIFS(Casos!$F$5:$F$204,Config!$E$16))</f>
        <v/>
      </c>
      <c r="C29" s="21">
        <f>IF(Config!$E$16="","",COUNTIFS(Casos!$F$5:$F$204,Config!$E$16,Casos!$L$5:$L$204,"Ativo"))</f>
        <v/>
      </c>
      <c r="D29" s="22">
        <f>IF(Config!$E$16="","",SUMIFS(Casos!$H$5:$H$204,Casos!$F$5:$F$204,Config!$E$16))</f>
        <v/>
      </c>
      <c r="E29" s="22">
        <f>IF(Config!$E$16="","",SUMIFS(Casos!$I$5:$I$204,Casos!$F$5:$F$204,Config!$E$16))</f>
        <v/>
      </c>
      <c r="F29" s="22">
        <f>IF(Config!$E$16="","",D29-E29)</f>
        <v/>
      </c>
      <c r="G29" s="23">
        <f>IF(OR(Config!$E$16="",D29=0),"",E29/D29)</f>
        <v/>
      </c>
      <c r="H29" s="24">
        <f>IF(Config!$E$16="","",REPT("█",ROUND(IFERROR(D29/MAX($D$22:$D$31),0)*20,0)))</f>
        <v/>
      </c>
    </row>
    <row r="30">
      <c r="A30" s="20">
        <f>IF(Config!$E$17="","",Config!$E$17)</f>
        <v/>
      </c>
      <c r="B30" s="21">
        <f>IF(Config!$E$17="","",COUNTIFS(Casos!$F$5:$F$204,Config!$E$17))</f>
        <v/>
      </c>
      <c r="C30" s="21">
        <f>IF(Config!$E$17="","",COUNTIFS(Casos!$F$5:$F$204,Config!$E$17,Casos!$L$5:$L$204,"Ativo"))</f>
        <v/>
      </c>
      <c r="D30" s="22">
        <f>IF(Config!$E$17="","",SUMIFS(Casos!$H$5:$H$204,Casos!$F$5:$F$204,Config!$E$17))</f>
        <v/>
      </c>
      <c r="E30" s="22">
        <f>IF(Config!$E$17="","",SUMIFS(Casos!$I$5:$I$204,Casos!$F$5:$F$204,Config!$E$17))</f>
        <v/>
      </c>
      <c r="F30" s="22">
        <f>IF(Config!$E$17="","",D30-E30)</f>
        <v/>
      </c>
      <c r="G30" s="23">
        <f>IF(OR(Config!$E$17="",D30=0),"",E30/D30)</f>
        <v/>
      </c>
      <c r="H30" s="24">
        <f>IF(Config!$E$17="","",REPT("█",ROUND(IFERROR(D30/MAX($D$22:$D$31),0)*20,0)))</f>
        <v/>
      </c>
    </row>
    <row r="31">
      <c r="A31" s="20">
        <f>IF(Config!$E$18="","",Config!$E$18)</f>
        <v/>
      </c>
      <c r="B31" s="21">
        <f>IF(Config!$E$18="","",COUNTIFS(Casos!$F$5:$F$204,Config!$E$18))</f>
        <v/>
      </c>
      <c r="C31" s="21">
        <f>IF(Config!$E$18="","",COUNTIFS(Casos!$F$5:$F$204,Config!$E$18,Casos!$L$5:$L$204,"Ativo"))</f>
        <v/>
      </c>
      <c r="D31" s="22">
        <f>IF(Config!$E$18="","",SUMIFS(Casos!$H$5:$H$204,Casos!$F$5:$F$204,Config!$E$18))</f>
        <v/>
      </c>
      <c r="E31" s="22">
        <f>IF(Config!$E$18="","",SUMIFS(Casos!$I$5:$I$204,Casos!$F$5:$F$204,Config!$E$18))</f>
        <v/>
      </c>
      <c r="F31" s="22">
        <f>IF(Config!$E$18="","",D31-E31)</f>
        <v/>
      </c>
      <c r="G31" s="23">
        <f>IF(OR(Config!$E$18="",D31=0),"",E31/D31)</f>
        <v/>
      </c>
      <c r="H31" s="24">
        <f>IF(Config!$E$18="","",REPT("█",ROUND(IFERROR(D31/MAX($D$22:$D$31),0)*20,0)))</f>
        <v/>
      </c>
    </row>
    <row r="33">
      <c r="A33" s="18" t="inlineStr">
        <is>
          <t>Por modalidade de honorário</t>
        </is>
      </c>
    </row>
    <row r="34" ht="26" customHeight="1">
      <c r="A34" s="19" t="inlineStr">
        <is>
          <t>Modalidade de honorário</t>
        </is>
      </c>
      <c r="B34" s="19" t="inlineStr">
        <is>
          <t>Casos</t>
        </is>
      </c>
      <c r="C34" s="19" t="inlineStr">
        <is>
          <t>Ativos</t>
        </is>
      </c>
      <c r="D34" s="19" t="inlineStr">
        <is>
          <t>Contratado (R$)</t>
        </is>
      </c>
      <c r="E34" s="19" t="inlineStr">
        <is>
          <t>Recebido (R$)</t>
        </is>
      </c>
      <c r="F34" s="19" t="inlineStr">
        <is>
          <t>A receber (R$)</t>
        </is>
      </c>
      <c r="G34" s="19" t="inlineStr">
        <is>
          <t>% recebido</t>
        </is>
      </c>
      <c r="H34" s="19" t="inlineStr">
        <is>
          <t>Barra</t>
        </is>
      </c>
    </row>
    <row r="35">
      <c r="A35" s="20">
        <f>IF(Config!$G$9="","",Config!$G$9)</f>
        <v/>
      </c>
      <c r="B35" s="21">
        <f>IF(Config!$G$9="","",COUNTIFS(Casos!$G$5:$G$204,Config!$G$9))</f>
        <v/>
      </c>
      <c r="C35" s="21">
        <f>IF(Config!$G$9="","",COUNTIFS(Casos!$G$5:$G$204,Config!$G$9,Casos!$L$5:$L$204,"Ativo"))</f>
        <v/>
      </c>
      <c r="D35" s="22">
        <f>IF(Config!$G$9="","",SUMIFS(Casos!$H$5:$H$204,Casos!$G$5:$G$204,Config!$G$9))</f>
        <v/>
      </c>
      <c r="E35" s="22">
        <f>IF(Config!$G$9="","",SUMIFS(Casos!$I$5:$I$204,Casos!$G$5:$G$204,Config!$G$9))</f>
        <v/>
      </c>
      <c r="F35" s="22">
        <f>IF(Config!$G$9="","",D35-E35)</f>
        <v/>
      </c>
      <c r="G35" s="23">
        <f>IF(OR(Config!$G$9="",D35=0),"",E35/D35)</f>
        <v/>
      </c>
      <c r="H35" s="24">
        <f>IF(Config!$G$9="","",REPT("█",ROUND(IFERROR(D35/MAX($D$35:$D$44),0)*20,0)))</f>
        <v/>
      </c>
    </row>
    <row r="36">
      <c r="A36" s="20">
        <f>IF(Config!$G$10="","",Config!$G$10)</f>
        <v/>
      </c>
      <c r="B36" s="21">
        <f>IF(Config!$G$10="","",COUNTIFS(Casos!$G$5:$G$204,Config!$G$10))</f>
        <v/>
      </c>
      <c r="C36" s="21">
        <f>IF(Config!$G$10="","",COUNTIFS(Casos!$G$5:$G$204,Config!$G$10,Casos!$L$5:$L$204,"Ativo"))</f>
        <v/>
      </c>
      <c r="D36" s="22">
        <f>IF(Config!$G$10="","",SUMIFS(Casos!$H$5:$H$204,Casos!$G$5:$G$204,Config!$G$10))</f>
        <v/>
      </c>
      <c r="E36" s="22">
        <f>IF(Config!$G$10="","",SUMIFS(Casos!$I$5:$I$204,Casos!$G$5:$G$204,Config!$G$10))</f>
        <v/>
      </c>
      <c r="F36" s="22">
        <f>IF(Config!$G$10="","",D36-E36)</f>
        <v/>
      </c>
      <c r="G36" s="23">
        <f>IF(OR(Config!$G$10="",D36=0),"",E36/D36)</f>
        <v/>
      </c>
      <c r="H36" s="24">
        <f>IF(Config!$G$10="","",REPT("█",ROUND(IFERROR(D36/MAX($D$35:$D$44),0)*20,0)))</f>
        <v/>
      </c>
    </row>
    <row r="37">
      <c r="A37" s="20">
        <f>IF(Config!$G$11="","",Config!$G$11)</f>
        <v/>
      </c>
      <c r="B37" s="21">
        <f>IF(Config!$G$11="","",COUNTIFS(Casos!$G$5:$G$204,Config!$G$11))</f>
        <v/>
      </c>
      <c r="C37" s="21">
        <f>IF(Config!$G$11="","",COUNTIFS(Casos!$G$5:$G$204,Config!$G$11,Casos!$L$5:$L$204,"Ativo"))</f>
        <v/>
      </c>
      <c r="D37" s="22">
        <f>IF(Config!$G$11="","",SUMIFS(Casos!$H$5:$H$204,Casos!$G$5:$G$204,Config!$G$11))</f>
        <v/>
      </c>
      <c r="E37" s="22">
        <f>IF(Config!$G$11="","",SUMIFS(Casos!$I$5:$I$204,Casos!$G$5:$G$204,Config!$G$11))</f>
        <v/>
      </c>
      <c r="F37" s="22">
        <f>IF(Config!$G$11="","",D37-E37)</f>
        <v/>
      </c>
      <c r="G37" s="23">
        <f>IF(OR(Config!$G$11="",D37=0),"",E37/D37)</f>
        <v/>
      </c>
      <c r="H37" s="24">
        <f>IF(Config!$G$11="","",REPT("█",ROUND(IFERROR(D37/MAX($D$35:$D$44),0)*20,0)))</f>
        <v/>
      </c>
    </row>
    <row r="38">
      <c r="A38" s="20">
        <f>IF(Config!$G$12="","",Config!$G$12)</f>
        <v/>
      </c>
      <c r="B38" s="21">
        <f>IF(Config!$G$12="","",COUNTIFS(Casos!$G$5:$G$204,Config!$G$12))</f>
        <v/>
      </c>
      <c r="C38" s="21">
        <f>IF(Config!$G$12="","",COUNTIFS(Casos!$G$5:$G$204,Config!$G$12,Casos!$L$5:$L$204,"Ativo"))</f>
        <v/>
      </c>
      <c r="D38" s="22">
        <f>IF(Config!$G$12="","",SUMIFS(Casos!$H$5:$H$204,Casos!$G$5:$G$204,Config!$G$12))</f>
        <v/>
      </c>
      <c r="E38" s="22">
        <f>IF(Config!$G$12="","",SUMIFS(Casos!$I$5:$I$204,Casos!$G$5:$G$204,Config!$G$12))</f>
        <v/>
      </c>
      <c r="F38" s="22">
        <f>IF(Config!$G$12="","",D38-E38)</f>
        <v/>
      </c>
      <c r="G38" s="23">
        <f>IF(OR(Config!$G$12="",D38=0),"",E38/D38)</f>
        <v/>
      </c>
      <c r="H38" s="24">
        <f>IF(Config!$G$12="","",REPT("█",ROUND(IFERROR(D38/MAX($D$35:$D$44),0)*20,0)))</f>
        <v/>
      </c>
    </row>
    <row r="39">
      <c r="A39" s="20">
        <f>IF(Config!$G$13="","",Config!$G$13)</f>
        <v/>
      </c>
      <c r="B39" s="21">
        <f>IF(Config!$G$13="","",COUNTIFS(Casos!$G$5:$G$204,Config!$G$13))</f>
        <v/>
      </c>
      <c r="C39" s="21">
        <f>IF(Config!$G$13="","",COUNTIFS(Casos!$G$5:$G$204,Config!$G$13,Casos!$L$5:$L$204,"Ativo"))</f>
        <v/>
      </c>
      <c r="D39" s="22">
        <f>IF(Config!$G$13="","",SUMIFS(Casos!$H$5:$H$204,Casos!$G$5:$G$204,Config!$G$13))</f>
        <v/>
      </c>
      <c r="E39" s="22">
        <f>IF(Config!$G$13="","",SUMIFS(Casos!$I$5:$I$204,Casos!$G$5:$G$204,Config!$G$13))</f>
        <v/>
      </c>
      <c r="F39" s="22">
        <f>IF(Config!$G$13="","",D39-E39)</f>
        <v/>
      </c>
      <c r="G39" s="23">
        <f>IF(OR(Config!$G$13="",D39=0),"",E39/D39)</f>
        <v/>
      </c>
      <c r="H39" s="24">
        <f>IF(Config!$G$13="","",REPT("█",ROUND(IFERROR(D39/MAX($D$35:$D$44),0)*20,0)))</f>
        <v/>
      </c>
    </row>
    <row r="40">
      <c r="A40" s="20">
        <f>IF(Config!$G$14="","",Config!$G$14)</f>
        <v/>
      </c>
      <c r="B40" s="21">
        <f>IF(Config!$G$14="","",COUNTIFS(Casos!$G$5:$G$204,Config!$G$14))</f>
        <v/>
      </c>
      <c r="C40" s="21">
        <f>IF(Config!$G$14="","",COUNTIFS(Casos!$G$5:$G$204,Config!$G$14,Casos!$L$5:$L$204,"Ativo"))</f>
        <v/>
      </c>
      <c r="D40" s="22">
        <f>IF(Config!$G$14="","",SUMIFS(Casos!$H$5:$H$204,Casos!$G$5:$G$204,Config!$G$14))</f>
        <v/>
      </c>
      <c r="E40" s="22">
        <f>IF(Config!$G$14="","",SUMIFS(Casos!$I$5:$I$204,Casos!$G$5:$G$204,Config!$G$14))</f>
        <v/>
      </c>
      <c r="F40" s="22">
        <f>IF(Config!$G$14="","",D40-E40)</f>
        <v/>
      </c>
      <c r="G40" s="23">
        <f>IF(OR(Config!$G$14="",D40=0),"",E40/D40)</f>
        <v/>
      </c>
      <c r="H40" s="24">
        <f>IF(Config!$G$14="","",REPT("█",ROUND(IFERROR(D40/MAX($D$35:$D$44),0)*20,0)))</f>
        <v/>
      </c>
    </row>
    <row r="41">
      <c r="A41" s="20">
        <f>IF(Config!$G$15="","",Config!$G$15)</f>
        <v/>
      </c>
      <c r="B41" s="21">
        <f>IF(Config!$G$15="","",COUNTIFS(Casos!$G$5:$G$204,Config!$G$15))</f>
        <v/>
      </c>
      <c r="C41" s="21">
        <f>IF(Config!$G$15="","",COUNTIFS(Casos!$G$5:$G$204,Config!$G$15,Casos!$L$5:$L$204,"Ativo"))</f>
        <v/>
      </c>
      <c r="D41" s="22">
        <f>IF(Config!$G$15="","",SUMIFS(Casos!$H$5:$H$204,Casos!$G$5:$G$204,Config!$G$15))</f>
        <v/>
      </c>
      <c r="E41" s="22">
        <f>IF(Config!$G$15="","",SUMIFS(Casos!$I$5:$I$204,Casos!$G$5:$G$204,Config!$G$15))</f>
        <v/>
      </c>
      <c r="F41" s="22">
        <f>IF(Config!$G$15="","",D41-E41)</f>
        <v/>
      </c>
      <c r="G41" s="23">
        <f>IF(OR(Config!$G$15="",D41=0),"",E41/D41)</f>
        <v/>
      </c>
      <c r="H41" s="24">
        <f>IF(Config!$G$15="","",REPT("█",ROUND(IFERROR(D41/MAX($D$35:$D$44),0)*20,0)))</f>
        <v/>
      </c>
    </row>
    <row r="42">
      <c r="A42" s="20">
        <f>IF(Config!$G$16="","",Config!$G$16)</f>
        <v/>
      </c>
      <c r="B42" s="21">
        <f>IF(Config!$G$16="","",COUNTIFS(Casos!$G$5:$G$204,Config!$G$16))</f>
        <v/>
      </c>
      <c r="C42" s="21">
        <f>IF(Config!$G$16="","",COUNTIFS(Casos!$G$5:$G$204,Config!$G$16,Casos!$L$5:$L$204,"Ativo"))</f>
        <v/>
      </c>
      <c r="D42" s="22">
        <f>IF(Config!$G$16="","",SUMIFS(Casos!$H$5:$H$204,Casos!$G$5:$G$204,Config!$G$16))</f>
        <v/>
      </c>
      <c r="E42" s="22">
        <f>IF(Config!$G$16="","",SUMIFS(Casos!$I$5:$I$204,Casos!$G$5:$G$204,Config!$G$16))</f>
        <v/>
      </c>
      <c r="F42" s="22">
        <f>IF(Config!$G$16="","",D42-E42)</f>
        <v/>
      </c>
      <c r="G42" s="23">
        <f>IF(OR(Config!$G$16="",D42=0),"",E42/D42)</f>
        <v/>
      </c>
      <c r="H42" s="24">
        <f>IF(Config!$G$16="","",REPT("█",ROUND(IFERROR(D42/MAX($D$35:$D$44),0)*20,0)))</f>
        <v/>
      </c>
    </row>
    <row r="43">
      <c r="A43" s="20">
        <f>IF(Config!$G$17="","",Config!$G$17)</f>
        <v/>
      </c>
      <c r="B43" s="21">
        <f>IF(Config!$G$17="","",COUNTIFS(Casos!$G$5:$G$204,Config!$G$17))</f>
        <v/>
      </c>
      <c r="C43" s="21">
        <f>IF(Config!$G$17="","",COUNTIFS(Casos!$G$5:$G$204,Config!$G$17,Casos!$L$5:$L$204,"Ativo"))</f>
        <v/>
      </c>
      <c r="D43" s="22">
        <f>IF(Config!$G$17="","",SUMIFS(Casos!$H$5:$H$204,Casos!$G$5:$G$204,Config!$G$17))</f>
        <v/>
      </c>
      <c r="E43" s="22">
        <f>IF(Config!$G$17="","",SUMIFS(Casos!$I$5:$I$204,Casos!$G$5:$G$204,Config!$G$17))</f>
        <v/>
      </c>
      <c r="F43" s="22">
        <f>IF(Config!$G$17="","",D43-E43)</f>
        <v/>
      </c>
      <c r="G43" s="23">
        <f>IF(OR(Config!$G$17="",D43=0),"",E43/D43)</f>
        <v/>
      </c>
      <c r="H43" s="24">
        <f>IF(Config!$G$17="","",REPT("█",ROUND(IFERROR(D43/MAX($D$35:$D$44),0)*20,0)))</f>
        <v/>
      </c>
    </row>
    <row r="44">
      <c r="A44" s="20">
        <f>IF(Config!$G$18="","",Config!$G$18)</f>
        <v/>
      </c>
      <c r="B44" s="21">
        <f>IF(Config!$G$18="","",COUNTIFS(Casos!$G$5:$G$204,Config!$G$18))</f>
        <v/>
      </c>
      <c r="C44" s="21">
        <f>IF(Config!$G$18="","",COUNTIFS(Casos!$G$5:$G$204,Config!$G$18,Casos!$L$5:$L$204,"Ativo"))</f>
        <v/>
      </c>
      <c r="D44" s="22">
        <f>IF(Config!$G$18="","",SUMIFS(Casos!$H$5:$H$204,Casos!$G$5:$G$204,Config!$G$18))</f>
        <v/>
      </c>
      <c r="E44" s="22">
        <f>IF(Config!$G$18="","",SUMIFS(Casos!$I$5:$I$204,Casos!$G$5:$G$204,Config!$G$18))</f>
        <v/>
      </c>
      <c r="F44" s="22">
        <f>IF(Config!$G$18="","",D44-E44)</f>
        <v/>
      </c>
      <c r="G44" s="23">
        <f>IF(OR(Config!$G$18="",D44=0),"",E44/D44)</f>
        <v/>
      </c>
      <c r="H44" s="24">
        <f>IF(Config!$G$18="","",REPT("█",ROUND(IFERROR(D44/MAX($D$35:$D$44),0)*20,0)))</f>
        <v/>
      </c>
    </row>
    <row r="46">
      <c r="A46" s="18" t="inlineStr">
        <is>
          <t>Top 5 clientes por valor contratado</t>
        </is>
      </c>
    </row>
    <row r="47" ht="26" customHeight="1">
      <c r="A47" s="19" t="inlineStr">
        <is>
          <t>#</t>
        </is>
      </c>
      <c r="B47" s="19" t="inlineStr">
        <is>
          <t>Cliente</t>
        </is>
      </c>
      <c r="C47" s="19" t="inlineStr">
        <is>
          <t>Tipo</t>
        </is>
      </c>
      <c r="D47" s="19" t="inlineStr">
        <is>
          <t>Casos</t>
        </is>
      </c>
      <c r="E47" s="19" t="inlineStr">
        <is>
          <t>Contratado (R$)</t>
        </is>
      </c>
      <c r="F47" s="19" t="inlineStr">
        <is>
          <t>Recebido (R$)</t>
        </is>
      </c>
      <c r="G47" s="19" t="inlineStr">
        <is>
          <t>A receber (R$)</t>
        </is>
      </c>
      <c r="H47" s="19" t="inlineStr">
        <is>
          <t>% recebido</t>
        </is>
      </c>
    </row>
    <row r="48">
      <c r="A48" s="21" t="n">
        <v>1</v>
      </c>
      <c r="B48" s="20">
        <f>IFERROR(IF(LARGE(Clientes!$K$5:$K$64,1)&gt;0,INDEX(Clientes!$A$5:$A$64,MATCH(LARGE(Clientes!$K$5:$K$64,1),Clientes!$K$5:$K$64,0)),""),"")</f>
        <v/>
      </c>
      <c r="C48" s="21">
        <f>IFERROR(IF(LARGE(Clientes!$K$5:$K$64,1)&gt;0,INDEX(Clientes!$B$5:$B$64,MATCH(LARGE(Clientes!$K$5:$K$64,1),Clientes!$K$5:$K$64,0)),""),"")</f>
        <v/>
      </c>
      <c r="D48" s="21">
        <f>IFERROR(IF(LARGE(Clientes!$K$5:$K$64,1)&gt;0,INDEX(Clientes!$D$5:$D$64,MATCH(LARGE(Clientes!$K$5:$K$64,1),Clientes!$K$5:$K$64,0)),""),"")</f>
        <v/>
      </c>
      <c r="E48" s="22">
        <f>IFERROR(IF(LARGE(Clientes!$K$5:$K$64,1)&gt;0,INDEX(Clientes!$F$5:$F$64,MATCH(LARGE(Clientes!$K$5:$K$64,1),Clientes!$K$5:$K$64,0)),""),"")</f>
        <v/>
      </c>
      <c r="F48" s="22">
        <f>IFERROR(IF(LARGE(Clientes!$K$5:$K$64,1)&gt;0,INDEX(Clientes!$G$5:$G$64,MATCH(LARGE(Clientes!$K$5:$K$64,1),Clientes!$K$5:$K$64,0)),""),"")</f>
        <v/>
      </c>
      <c r="G48" s="22">
        <f>IFERROR(IF(LARGE(Clientes!$K$5:$K$64,1)&gt;0,INDEX(Clientes!$H$5:$H$64,MATCH(LARGE(Clientes!$K$5:$K$64,1),Clientes!$K$5:$K$64,0)),""),"")</f>
        <v/>
      </c>
      <c r="H48" s="23">
        <f>IFERROR(IF(LARGE(Clientes!$K$5:$K$64,1)&gt;0,INDEX(Clientes!$I$5:$I$64,MATCH(LARGE(Clientes!$K$5:$K$64,1),Clientes!$K$5:$K$64,0)),""),"")</f>
        <v/>
      </c>
    </row>
    <row r="49">
      <c r="A49" s="21" t="n">
        <v>2</v>
      </c>
      <c r="B49" s="20">
        <f>IFERROR(IF(LARGE(Clientes!$K$5:$K$64,2)&gt;0,INDEX(Clientes!$A$5:$A$64,MATCH(LARGE(Clientes!$K$5:$K$64,2),Clientes!$K$5:$K$64,0)),""),"")</f>
        <v/>
      </c>
      <c r="C49" s="21">
        <f>IFERROR(IF(LARGE(Clientes!$K$5:$K$64,2)&gt;0,INDEX(Clientes!$B$5:$B$64,MATCH(LARGE(Clientes!$K$5:$K$64,2),Clientes!$K$5:$K$64,0)),""),"")</f>
        <v/>
      </c>
      <c r="D49" s="21">
        <f>IFERROR(IF(LARGE(Clientes!$K$5:$K$64,2)&gt;0,INDEX(Clientes!$D$5:$D$64,MATCH(LARGE(Clientes!$K$5:$K$64,2),Clientes!$K$5:$K$64,0)),""),"")</f>
        <v/>
      </c>
      <c r="E49" s="22">
        <f>IFERROR(IF(LARGE(Clientes!$K$5:$K$64,2)&gt;0,INDEX(Clientes!$F$5:$F$64,MATCH(LARGE(Clientes!$K$5:$K$64,2),Clientes!$K$5:$K$64,0)),""),"")</f>
        <v/>
      </c>
      <c r="F49" s="22">
        <f>IFERROR(IF(LARGE(Clientes!$K$5:$K$64,2)&gt;0,INDEX(Clientes!$G$5:$G$64,MATCH(LARGE(Clientes!$K$5:$K$64,2),Clientes!$K$5:$K$64,0)),""),"")</f>
        <v/>
      </c>
      <c r="G49" s="22">
        <f>IFERROR(IF(LARGE(Clientes!$K$5:$K$64,2)&gt;0,INDEX(Clientes!$H$5:$H$64,MATCH(LARGE(Clientes!$K$5:$K$64,2),Clientes!$K$5:$K$64,0)),""),"")</f>
        <v/>
      </c>
      <c r="H49" s="23">
        <f>IFERROR(IF(LARGE(Clientes!$K$5:$K$64,2)&gt;0,INDEX(Clientes!$I$5:$I$64,MATCH(LARGE(Clientes!$K$5:$K$64,2),Clientes!$K$5:$K$64,0)),""),"")</f>
        <v/>
      </c>
    </row>
    <row r="50">
      <c r="A50" s="21" t="n">
        <v>3</v>
      </c>
      <c r="B50" s="20">
        <f>IFERROR(IF(LARGE(Clientes!$K$5:$K$64,3)&gt;0,INDEX(Clientes!$A$5:$A$64,MATCH(LARGE(Clientes!$K$5:$K$64,3),Clientes!$K$5:$K$64,0)),""),"")</f>
        <v/>
      </c>
      <c r="C50" s="21">
        <f>IFERROR(IF(LARGE(Clientes!$K$5:$K$64,3)&gt;0,INDEX(Clientes!$B$5:$B$64,MATCH(LARGE(Clientes!$K$5:$K$64,3),Clientes!$K$5:$K$64,0)),""),"")</f>
        <v/>
      </c>
      <c r="D50" s="21">
        <f>IFERROR(IF(LARGE(Clientes!$K$5:$K$64,3)&gt;0,INDEX(Clientes!$D$5:$D$64,MATCH(LARGE(Clientes!$K$5:$K$64,3),Clientes!$K$5:$K$64,0)),""),"")</f>
        <v/>
      </c>
      <c r="E50" s="22">
        <f>IFERROR(IF(LARGE(Clientes!$K$5:$K$64,3)&gt;0,INDEX(Clientes!$F$5:$F$64,MATCH(LARGE(Clientes!$K$5:$K$64,3),Clientes!$K$5:$K$64,0)),""),"")</f>
        <v/>
      </c>
      <c r="F50" s="22">
        <f>IFERROR(IF(LARGE(Clientes!$K$5:$K$64,3)&gt;0,INDEX(Clientes!$G$5:$G$64,MATCH(LARGE(Clientes!$K$5:$K$64,3),Clientes!$K$5:$K$64,0)),""),"")</f>
        <v/>
      </c>
      <c r="G50" s="22">
        <f>IFERROR(IF(LARGE(Clientes!$K$5:$K$64,3)&gt;0,INDEX(Clientes!$H$5:$H$64,MATCH(LARGE(Clientes!$K$5:$K$64,3),Clientes!$K$5:$K$64,0)),""),"")</f>
        <v/>
      </c>
      <c r="H50" s="23">
        <f>IFERROR(IF(LARGE(Clientes!$K$5:$K$64,3)&gt;0,INDEX(Clientes!$I$5:$I$64,MATCH(LARGE(Clientes!$K$5:$K$64,3),Clientes!$K$5:$K$64,0)),""),"")</f>
        <v/>
      </c>
    </row>
    <row r="51">
      <c r="A51" s="21" t="n">
        <v>4</v>
      </c>
      <c r="B51" s="20">
        <f>IFERROR(IF(LARGE(Clientes!$K$5:$K$64,4)&gt;0,INDEX(Clientes!$A$5:$A$64,MATCH(LARGE(Clientes!$K$5:$K$64,4),Clientes!$K$5:$K$64,0)),""),"")</f>
        <v/>
      </c>
      <c r="C51" s="21">
        <f>IFERROR(IF(LARGE(Clientes!$K$5:$K$64,4)&gt;0,INDEX(Clientes!$B$5:$B$64,MATCH(LARGE(Clientes!$K$5:$K$64,4),Clientes!$K$5:$K$64,0)),""),"")</f>
        <v/>
      </c>
      <c r="D51" s="21">
        <f>IFERROR(IF(LARGE(Clientes!$K$5:$K$64,4)&gt;0,INDEX(Clientes!$D$5:$D$64,MATCH(LARGE(Clientes!$K$5:$K$64,4),Clientes!$K$5:$K$64,0)),""),"")</f>
        <v/>
      </c>
      <c r="E51" s="22">
        <f>IFERROR(IF(LARGE(Clientes!$K$5:$K$64,4)&gt;0,INDEX(Clientes!$F$5:$F$64,MATCH(LARGE(Clientes!$K$5:$K$64,4),Clientes!$K$5:$K$64,0)),""),"")</f>
        <v/>
      </c>
      <c r="F51" s="22">
        <f>IFERROR(IF(LARGE(Clientes!$K$5:$K$64,4)&gt;0,INDEX(Clientes!$G$5:$G$64,MATCH(LARGE(Clientes!$K$5:$K$64,4),Clientes!$K$5:$K$64,0)),""),"")</f>
        <v/>
      </c>
      <c r="G51" s="22">
        <f>IFERROR(IF(LARGE(Clientes!$K$5:$K$64,4)&gt;0,INDEX(Clientes!$H$5:$H$64,MATCH(LARGE(Clientes!$K$5:$K$64,4),Clientes!$K$5:$K$64,0)),""),"")</f>
        <v/>
      </c>
      <c r="H51" s="23">
        <f>IFERROR(IF(LARGE(Clientes!$K$5:$K$64,4)&gt;0,INDEX(Clientes!$I$5:$I$64,MATCH(LARGE(Clientes!$K$5:$K$64,4),Clientes!$K$5:$K$64,0)),""),"")</f>
        <v/>
      </c>
    </row>
    <row r="52">
      <c r="A52" s="21" t="n">
        <v>5</v>
      </c>
      <c r="B52" s="20">
        <f>IFERROR(IF(LARGE(Clientes!$K$5:$K$64,5)&gt;0,INDEX(Clientes!$A$5:$A$64,MATCH(LARGE(Clientes!$K$5:$K$64,5),Clientes!$K$5:$K$64,0)),""),"")</f>
        <v/>
      </c>
      <c r="C52" s="21">
        <f>IFERROR(IF(LARGE(Clientes!$K$5:$K$64,5)&gt;0,INDEX(Clientes!$B$5:$B$64,MATCH(LARGE(Clientes!$K$5:$K$64,5),Clientes!$K$5:$K$64,0)),""),"")</f>
        <v/>
      </c>
      <c r="D52" s="21">
        <f>IFERROR(IF(LARGE(Clientes!$K$5:$K$64,5)&gt;0,INDEX(Clientes!$D$5:$D$64,MATCH(LARGE(Clientes!$K$5:$K$64,5),Clientes!$K$5:$K$64,0)),""),"")</f>
        <v/>
      </c>
      <c r="E52" s="22">
        <f>IFERROR(IF(LARGE(Clientes!$K$5:$K$64,5)&gt;0,INDEX(Clientes!$F$5:$F$64,MATCH(LARGE(Clientes!$K$5:$K$64,5),Clientes!$K$5:$K$64,0)),""),"")</f>
        <v/>
      </c>
      <c r="F52" s="22">
        <f>IFERROR(IF(LARGE(Clientes!$K$5:$K$64,5)&gt;0,INDEX(Clientes!$G$5:$G$64,MATCH(LARGE(Clientes!$K$5:$K$64,5),Clientes!$K$5:$K$64,0)),""),"")</f>
        <v/>
      </c>
      <c r="G52" s="22">
        <f>IFERROR(IF(LARGE(Clientes!$K$5:$K$64,5)&gt;0,INDEX(Clientes!$H$5:$H$64,MATCH(LARGE(Clientes!$K$5:$K$64,5),Clientes!$K$5:$K$64,0)),""),"")</f>
        <v/>
      </c>
      <c r="H52" s="23">
        <f>IFERROR(IF(LARGE(Clientes!$K$5:$K$64,5)&gt;0,INDEX(Clientes!$I$5:$I$64,MATCH(LARGE(Clientes!$K$5:$K$64,5),Clientes!$K$5:$K$64,0)),""),"")</f>
        <v/>
      </c>
    </row>
    <row r="54">
      <c r="A54" s="18" t="inlineStr">
        <is>
          <t>Casos ativos × encerrados</t>
        </is>
      </c>
    </row>
    <row r="55" ht="26" customHeight="1">
      <c r="A55" s="19" t="inlineStr">
        <is>
          <t>Situação</t>
        </is>
      </c>
      <c r="B55" s="19" t="inlineStr">
        <is>
          <t>Casos</t>
        </is>
      </c>
      <c r="C55" s="19" t="inlineStr">
        <is>
          <t>Contratado (R$)</t>
        </is>
      </c>
      <c r="D55" s="19" t="inlineStr">
        <is>
          <t>Recebido (R$)</t>
        </is>
      </c>
      <c r="E55" s="19" t="inlineStr">
        <is>
          <t>A receber (R$)</t>
        </is>
      </c>
      <c r="F55" s="19" t="inlineStr">
        <is>
          <t>% recebido</t>
        </is>
      </c>
    </row>
    <row r="56">
      <c r="A56" s="20" t="inlineStr">
        <is>
          <t>Ativo</t>
        </is>
      </c>
      <c r="B56" s="21">
        <f>COUNTIFS(Casos!$L$5:$L$204,A56)</f>
        <v/>
      </c>
      <c r="C56" s="22">
        <f>SUMIFS(Casos!$H$5:$H$204,Casos!$L$5:$L$204,A56)</f>
        <v/>
      </c>
      <c r="D56" s="22">
        <f>SUMIFS(Casos!$I$5:$I$204,Casos!$L$5:$L$204,A56)</f>
        <v/>
      </c>
      <c r="E56" s="22">
        <f>C56-D56</f>
        <v/>
      </c>
      <c r="F56" s="23">
        <f>IFERROR(D56/C56,0)</f>
        <v/>
      </c>
    </row>
    <row r="57">
      <c r="A57" s="20" t="inlineStr">
        <is>
          <t>Encerrado</t>
        </is>
      </c>
      <c r="B57" s="21">
        <f>COUNTIFS(Casos!$L$5:$L$204,A57)</f>
        <v/>
      </c>
      <c r="C57" s="22">
        <f>SUMIFS(Casos!$H$5:$H$204,Casos!$L$5:$L$204,A57)</f>
        <v/>
      </c>
      <c r="D57" s="22">
        <f>SUMIFS(Casos!$I$5:$I$204,Casos!$L$5:$L$204,A57)</f>
        <v/>
      </c>
      <c r="E57" s="22">
        <f>C57-D57</f>
        <v/>
      </c>
      <c r="F57" s="23">
        <f>IFERROR(D57/C57,0)</f>
        <v/>
      </c>
    </row>
    <row r="58">
      <c r="A58" s="25" t="inlineStr">
        <is>
          <t>A receber dos casos encerrados é honorário devido e ainda não recebido: vale conferir antes de arquivar. Fonte: abas Casos e Clientes.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3" customWidth="1" min="4" max="4"/>
    <col width="20" customWidth="1" min="5" max="5"/>
    <col width="3" customWidth="1" min="6" max="6"/>
    <col width="26" customWidth="1" min="7" max="7"/>
    <col width="3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As listas alimentam os campos de escolha em Casos e Clientes.</t>
        </is>
      </c>
    </row>
    <row r="4">
      <c r="A4" s="26" t="inlineStr">
        <is>
          <t>Escritório</t>
        </is>
      </c>
      <c r="B4" s="27" t="inlineStr">
        <is>
          <t>Ferraz &amp; Lima Advocacia (exemplo fictício)</t>
        </is>
      </c>
    </row>
    <row r="5">
      <c r="A5" s="26" t="inlineStr">
        <is>
          <t>Data de referência (hoje)</t>
        </is>
      </c>
      <c r="B5" s="28">
        <f>TODAY()</f>
        <v/>
      </c>
    </row>
    <row r="6">
      <c r="A6" s="26" t="inlineStr">
        <is>
          <t>Fase que encerra o caso</t>
        </is>
      </c>
      <c r="B6" s="29" t="inlineStr">
        <is>
          <t>Encerrado</t>
        </is>
      </c>
    </row>
    <row r="8" ht="26" customHeight="1">
      <c r="A8" s="19" t="inlineStr">
        <is>
          <t>Áreas de atuação</t>
        </is>
      </c>
      <c r="C8" s="19" t="inlineStr">
        <is>
          <t>Fases do caso</t>
        </is>
      </c>
      <c r="E8" s="19" t="inlineStr">
        <is>
          <t>Responsáveis</t>
        </is>
      </c>
      <c r="G8" s="19" t="inlineStr">
        <is>
          <t>Modalidades de honorário</t>
        </is>
      </c>
    </row>
    <row r="9">
      <c r="A9" s="27" t="inlineStr">
        <is>
          <t>Cível</t>
        </is>
      </c>
      <c r="C9" s="27" t="inlineStr">
        <is>
          <t>Consultivo</t>
        </is>
      </c>
      <c r="E9" s="27" t="inlineStr">
        <is>
          <t>Marina Ferraz</t>
        </is>
      </c>
      <c r="G9" s="27" t="inlineStr">
        <is>
          <t>Fixo</t>
        </is>
      </c>
    </row>
    <row r="10">
      <c r="A10" s="27" t="inlineStr">
        <is>
          <t>Trabalhista</t>
        </is>
      </c>
      <c r="C10" s="27" t="inlineStr">
        <is>
          <t>Inicial</t>
        </is>
      </c>
      <c r="E10" s="27" t="inlineStr">
        <is>
          <t>Rafael Lima</t>
        </is>
      </c>
      <c r="G10" s="27" t="inlineStr">
        <is>
          <t>Hora</t>
        </is>
      </c>
    </row>
    <row r="11">
      <c r="A11" s="27" t="inlineStr">
        <is>
          <t>Previdenciário</t>
        </is>
      </c>
      <c r="C11" s="27" t="inlineStr">
        <is>
          <t>Instrução</t>
        </is>
      </c>
      <c r="E11" s="27" t="inlineStr">
        <is>
          <t>Júlia Prado</t>
        </is>
      </c>
      <c r="G11" s="27" t="inlineStr">
        <is>
          <t>Êxito</t>
        </is>
      </c>
    </row>
    <row r="12">
      <c r="A12" s="27" t="inlineStr">
        <is>
          <t>Empresarial</t>
        </is>
      </c>
      <c r="C12" s="27" t="inlineStr">
        <is>
          <t>Sentença</t>
        </is>
      </c>
      <c r="E12" s="27" t="n"/>
      <c r="G12" s="27" t="inlineStr">
        <is>
          <t>Misto</t>
        </is>
      </c>
    </row>
    <row r="13">
      <c r="A13" s="27" t="inlineStr">
        <is>
          <t>Família</t>
        </is>
      </c>
      <c r="C13" s="27" t="inlineStr">
        <is>
          <t>Recurso</t>
        </is>
      </c>
      <c r="E13" s="27" t="n"/>
      <c r="G13" s="27" t="n"/>
    </row>
    <row r="14">
      <c r="A14" s="27" t="n"/>
      <c r="C14" s="27" t="inlineStr">
        <is>
          <t>Execução</t>
        </is>
      </c>
      <c r="E14" s="27" t="n"/>
      <c r="G14" s="27" t="n"/>
    </row>
    <row r="15">
      <c r="A15" s="27" t="n"/>
      <c r="C15" s="27" t="inlineStr">
        <is>
          <t>Acordo</t>
        </is>
      </c>
      <c r="E15" s="27" t="n"/>
      <c r="G15" s="27" t="n"/>
    </row>
    <row r="16">
      <c r="A16" s="27" t="n"/>
      <c r="C16" s="27" t="inlineStr">
        <is>
          <t>Encerrado</t>
        </is>
      </c>
      <c r="E16" s="27" t="n"/>
      <c r="G16" s="27" t="n"/>
    </row>
    <row r="17">
      <c r="A17" s="27" t="n"/>
      <c r="C17" s="27" t="n"/>
      <c r="E17" s="27" t="n"/>
      <c r="G17" s="27" t="n"/>
    </row>
    <row r="18">
      <c r="A18" s="27" t="n"/>
      <c r="C18" s="27" t="n"/>
      <c r="E18" s="27" t="n"/>
      <c r="G18" s="27" t="n"/>
    </row>
    <row r="20">
      <c r="A20" s="25" t="inlineStr">
        <is>
          <t>Preencha cada lista de cima para baixo, sem pular linha: as listas suspensas das outras abas param na primeira célula vazia. Até 10 itens por lista.</t>
        </is>
      </c>
    </row>
    <row r="21">
      <c r="A21" s="25" t="inlineStr">
        <is>
          <t>Fase que encerra o caso: os casos nessa fase contam como Encerrados no Painel; todos os outros contam como Ativos.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dataValidations count="1">
    <dataValidation sqref="B6" showDropDown="0" showInputMessage="0" showErrorMessage="1" allowBlank="1" type="list">
      <formula1>=OFFSET(Config!$C$9,0,0,MAX(1,COUNTA(Config!$C$9:$C$18)),1)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16" customWidth="1" min="3" max="3"/>
    <col width="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  <col width="16" customWidth="1" min="10" max="10"/>
    <col hidden="1" width="13" customWidth="1" min="11" max="11"/>
  </cols>
  <sheetData>
    <row r="1" ht="28" customHeight="1">
      <c r="A1" s="5" t="inlineStr">
        <is>
          <t>Clientes</t>
        </is>
      </c>
    </row>
    <row r="2">
      <c r="A2" s="6" t="inlineStr">
        <is>
          <t>Uma linha por cliente (pessoa física ou jurídica). Casos, valores e último caso aberto vêm de Casos.</t>
        </is>
      </c>
    </row>
    <row r="4" ht="26" customHeight="1">
      <c r="A4" s="19" t="inlineStr">
        <is>
          <t>Cliente</t>
        </is>
      </c>
      <c r="B4" s="19" t="inlineStr">
        <is>
          <t>Tipo</t>
        </is>
      </c>
      <c r="C4" s="19" t="inlineStr">
        <is>
          <t>Área principal</t>
        </is>
      </c>
      <c r="D4" s="19" t="inlineStr">
        <is>
          <t>Casos</t>
        </is>
      </c>
      <c r="E4" s="19" t="inlineStr">
        <is>
          <t>Casos ativos</t>
        </is>
      </c>
      <c r="F4" s="19" t="inlineStr">
        <is>
          <t>Contratado (R$)</t>
        </is>
      </c>
      <c r="G4" s="19" t="inlineStr">
        <is>
          <t>Recebido (R$)</t>
        </is>
      </c>
      <c r="H4" s="19" t="inlineStr">
        <is>
          <t>A receber (R$)</t>
        </is>
      </c>
      <c r="I4" s="19" t="inlineStr">
        <is>
          <t>% recebido</t>
        </is>
      </c>
      <c r="J4" s="19" t="inlineStr">
        <is>
          <t>Último caso aberto</t>
        </is>
      </c>
    </row>
    <row r="5">
      <c r="A5" s="27" t="inlineStr">
        <is>
          <t>Padaria do Sol Ltda</t>
        </is>
      </c>
      <c r="B5" s="29" t="inlineStr">
        <is>
          <t>PJ</t>
        </is>
      </c>
      <c r="C5" s="29" t="inlineStr">
        <is>
          <t>Empresarial</t>
        </is>
      </c>
      <c r="D5" s="21">
        <f>IF(A5="","",COUNTIFS(Casos!$B$5:$B$204,A5))</f>
        <v/>
      </c>
      <c r="E5" s="21">
        <f>IF(A5="","",COUNTIFS(Casos!$B$5:$B$204,A5,Casos!$L$5:$L$204,"Ativo"))</f>
        <v/>
      </c>
      <c r="F5" s="22">
        <f>IF(A5="","",SUMIFS(Casos!$H$5:$H$204,Casos!$B$5:$B$204,A5))</f>
        <v/>
      </c>
      <c r="G5" s="22">
        <f>IF(A5="","",SUMIFS(Casos!$I$5:$I$204,Casos!$B$5:$B$204,A5))</f>
        <v/>
      </c>
      <c r="H5" s="22">
        <f>IF(A5="","",F5-G5)</f>
        <v/>
      </c>
      <c r="I5" s="23">
        <f>IF(OR(A5="",F5=0),"",G5/F5)</f>
        <v/>
      </c>
      <c r="J5" s="30">
        <f>IF(A5="","",IF(_xlfn.MAXIFS(Casos!$K$5:$K$204,Casos!$B$5:$B$204,A5)=0,"",_xlfn.MAXIFS(Casos!$K$5:$K$204,Casos!$B$5:$B$204,A5)))</f>
        <v/>
      </c>
      <c r="K5" s="31">
        <f>IF(OR(A5="",F5=0),0,F5-ROW()/100000)</f>
        <v/>
      </c>
    </row>
    <row r="6">
      <c r="A6" s="27" t="inlineStr">
        <is>
          <t>Ana Beatriz Moreira</t>
        </is>
      </c>
      <c r="B6" s="29" t="inlineStr">
        <is>
          <t>PF</t>
        </is>
      </c>
      <c r="C6" s="29" t="inlineStr">
        <is>
          <t>Trabalhista</t>
        </is>
      </c>
      <c r="D6" s="21">
        <f>IF(A6="","",COUNTIFS(Casos!$B$5:$B$204,A6))</f>
        <v/>
      </c>
      <c r="E6" s="21">
        <f>IF(A6="","",COUNTIFS(Casos!$B$5:$B$204,A6,Casos!$L$5:$L$204,"Ativo"))</f>
        <v/>
      </c>
      <c r="F6" s="22">
        <f>IF(A6="","",SUMIFS(Casos!$H$5:$H$204,Casos!$B$5:$B$204,A6))</f>
        <v/>
      </c>
      <c r="G6" s="22">
        <f>IF(A6="","",SUMIFS(Casos!$I$5:$I$204,Casos!$B$5:$B$204,A6))</f>
        <v/>
      </c>
      <c r="H6" s="22">
        <f>IF(A6="","",F6-G6)</f>
        <v/>
      </c>
      <c r="I6" s="23">
        <f>IF(OR(A6="",F6=0),"",G6/F6)</f>
        <v/>
      </c>
      <c r="J6" s="30">
        <f>IF(A6="","",IF(_xlfn.MAXIFS(Casos!$K$5:$K$204,Casos!$B$5:$B$204,A6)=0,"",_xlfn.MAXIFS(Casos!$K$5:$K$204,Casos!$B$5:$B$204,A6)))</f>
        <v/>
      </c>
      <c r="K6" s="31">
        <f>IF(OR(A6="",F6=0),0,F6-ROW()/100000)</f>
        <v/>
      </c>
    </row>
    <row r="7">
      <c r="A7" s="27" t="inlineStr">
        <is>
          <t>Construtora Horizonte</t>
        </is>
      </c>
      <c r="B7" s="29" t="inlineStr">
        <is>
          <t>PJ</t>
        </is>
      </c>
      <c r="C7" s="29" t="inlineStr">
        <is>
          <t>Cível</t>
        </is>
      </c>
      <c r="D7" s="21">
        <f>IF(A7="","",COUNTIFS(Casos!$B$5:$B$204,A7))</f>
        <v/>
      </c>
      <c r="E7" s="21">
        <f>IF(A7="","",COUNTIFS(Casos!$B$5:$B$204,A7,Casos!$L$5:$L$204,"Ativo"))</f>
        <v/>
      </c>
      <c r="F7" s="22">
        <f>IF(A7="","",SUMIFS(Casos!$H$5:$H$204,Casos!$B$5:$B$204,A7))</f>
        <v/>
      </c>
      <c r="G7" s="22">
        <f>IF(A7="","",SUMIFS(Casos!$I$5:$I$204,Casos!$B$5:$B$204,A7))</f>
        <v/>
      </c>
      <c r="H7" s="22">
        <f>IF(A7="","",F7-G7)</f>
        <v/>
      </c>
      <c r="I7" s="23">
        <f>IF(OR(A7="",F7=0),"",G7/F7)</f>
        <v/>
      </c>
      <c r="J7" s="30">
        <f>IF(A7="","",IF(_xlfn.MAXIFS(Casos!$K$5:$K$204,Casos!$B$5:$B$204,A7)=0,"",_xlfn.MAXIFS(Casos!$K$5:$K$204,Casos!$B$5:$B$204,A7)))</f>
        <v/>
      </c>
      <c r="K7" s="31">
        <f>IF(OR(A7="",F7=0),0,F7-ROW()/100000)</f>
        <v/>
      </c>
    </row>
    <row r="8">
      <c r="A8" s="27" t="inlineStr">
        <is>
          <t>Carlos Eduardo Nunes</t>
        </is>
      </c>
      <c r="B8" s="29" t="inlineStr">
        <is>
          <t>PF</t>
        </is>
      </c>
      <c r="C8" s="29" t="inlineStr">
        <is>
          <t>Previdenciário</t>
        </is>
      </c>
      <c r="D8" s="21">
        <f>IF(A8="","",COUNTIFS(Casos!$B$5:$B$204,A8))</f>
        <v/>
      </c>
      <c r="E8" s="21">
        <f>IF(A8="","",COUNTIFS(Casos!$B$5:$B$204,A8,Casos!$L$5:$L$204,"Ativo"))</f>
        <v/>
      </c>
      <c r="F8" s="22">
        <f>IF(A8="","",SUMIFS(Casos!$H$5:$H$204,Casos!$B$5:$B$204,A8))</f>
        <v/>
      </c>
      <c r="G8" s="22">
        <f>IF(A8="","",SUMIFS(Casos!$I$5:$I$204,Casos!$B$5:$B$204,A8))</f>
        <v/>
      </c>
      <c r="H8" s="22">
        <f>IF(A8="","",F8-G8)</f>
        <v/>
      </c>
      <c r="I8" s="23">
        <f>IF(OR(A8="",F8=0),"",G8/F8)</f>
        <v/>
      </c>
      <c r="J8" s="30">
        <f>IF(A8="","",IF(_xlfn.MAXIFS(Casos!$K$5:$K$204,Casos!$B$5:$B$204,A8)=0,"",_xlfn.MAXIFS(Casos!$K$5:$K$204,Casos!$B$5:$B$204,A8)))</f>
        <v/>
      </c>
      <c r="K8" s="31">
        <f>IF(OR(A8="",F8=0),0,F8-ROW()/100000)</f>
        <v/>
      </c>
    </row>
    <row r="9">
      <c r="A9" s="27" t="inlineStr">
        <is>
          <t>Loja Verde Comércio</t>
        </is>
      </c>
      <c r="B9" s="29" t="inlineStr">
        <is>
          <t>PJ</t>
        </is>
      </c>
      <c r="C9" s="29" t="inlineStr">
        <is>
          <t>Empresarial</t>
        </is>
      </c>
      <c r="D9" s="21">
        <f>IF(A9="","",COUNTIFS(Casos!$B$5:$B$204,A9))</f>
        <v/>
      </c>
      <c r="E9" s="21">
        <f>IF(A9="","",COUNTIFS(Casos!$B$5:$B$204,A9,Casos!$L$5:$L$204,"Ativo"))</f>
        <v/>
      </c>
      <c r="F9" s="22">
        <f>IF(A9="","",SUMIFS(Casos!$H$5:$H$204,Casos!$B$5:$B$204,A9))</f>
        <v/>
      </c>
      <c r="G9" s="22">
        <f>IF(A9="","",SUMIFS(Casos!$I$5:$I$204,Casos!$B$5:$B$204,A9))</f>
        <v/>
      </c>
      <c r="H9" s="22">
        <f>IF(A9="","",F9-G9)</f>
        <v/>
      </c>
      <c r="I9" s="23">
        <f>IF(OR(A9="",F9=0),"",G9/F9)</f>
        <v/>
      </c>
      <c r="J9" s="30">
        <f>IF(A9="","",IF(_xlfn.MAXIFS(Casos!$K$5:$K$204,Casos!$B$5:$B$204,A9)=0,"",_xlfn.MAXIFS(Casos!$K$5:$K$204,Casos!$B$5:$B$204,A9)))</f>
        <v/>
      </c>
      <c r="K9" s="31">
        <f>IF(OR(A9="",F9=0),0,F9-ROW()/100000)</f>
        <v/>
      </c>
    </row>
    <row r="10">
      <c r="A10" s="27" t="inlineStr">
        <is>
          <t>Fernanda Castro</t>
        </is>
      </c>
      <c r="B10" s="29" t="inlineStr">
        <is>
          <t>PF</t>
        </is>
      </c>
      <c r="C10" s="29" t="inlineStr">
        <is>
          <t>Família</t>
        </is>
      </c>
      <c r="D10" s="21">
        <f>IF(A10="","",COUNTIFS(Casos!$B$5:$B$204,A10))</f>
        <v/>
      </c>
      <c r="E10" s="21">
        <f>IF(A10="","",COUNTIFS(Casos!$B$5:$B$204,A10,Casos!$L$5:$L$204,"Ativo"))</f>
        <v/>
      </c>
      <c r="F10" s="22">
        <f>IF(A10="","",SUMIFS(Casos!$H$5:$H$204,Casos!$B$5:$B$204,A10))</f>
        <v/>
      </c>
      <c r="G10" s="22">
        <f>IF(A10="","",SUMIFS(Casos!$I$5:$I$204,Casos!$B$5:$B$204,A10))</f>
        <v/>
      </c>
      <c r="H10" s="22">
        <f>IF(A10="","",F10-G10)</f>
        <v/>
      </c>
      <c r="I10" s="23">
        <f>IF(OR(A10="",F10=0),"",G10/F10)</f>
        <v/>
      </c>
      <c r="J10" s="30">
        <f>IF(A10="","",IF(_xlfn.MAXIFS(Casos!$K$5:$K$204,Casos!$B$5:$B$204,A10)=0,"",_xlfn.MAXIFS(Casos!$K$5:$K$204,Casos!$B$5:$B$204,A10)))</f>
        <v/>
      </c>
      <c r="K10" s="31">
        <f>IF(OR(A10="",F10=0),0,F10-ROW()/100000)</f>
        <v/>
      </c>
    </row>
    <row r="11">
      <c r="A11" s="27" t="inlineStr">
        <is>
          <t>Bistrô 42</t>
        </is>
      </c>
      <c r="B11" s="29" t="inlineStr">
        <is>
          <t>PJ</t>
        </is>
      </c>
      <c r="C11" s="29" t="inlineStr">
        <is>
          <t>Trabalhista</t>
        </is>
      </c>
      <c r="D11" s="21">
        <f>IF(A11="","",COUNTIFS(Casos!$B$5:$B$204,A11))</f>
        <v/>
      </c>
      <c r="E11" s="21">
        <f>IF(A11="","",COUNTIFS(Casos!$B$5:$B$204,A11,Casos!$L$5:$L$204,"Ativo"))</f>
        <v/>
      </c>
      <c r="F11" s="22">
        <f>IF(A11="","",SUMIFS(Casos!$H$5:$H$204,Casos!$B$5:$B$204,A11))</f>
        <v/>
      </c>
      <c r="G11" s="22">
        <f>IF(A11="","",SUMIFS(Casos!$I$5:$I$204,Casos!$B$5:$B$204,A11))</f>
        <v/>
      </c>
      <c r="H11" s="22">
        <f>IF(A11="","",F11-G11)</f>
        <v/>
      </c>
      <c r="I11" s="23">
        <f>IF(OR(A11="",F11=0),"",G11/F11)</f>
        <v/>
      </c>
      <c r="J11" s="30">
        <f>IF(A11="","",IF(_xlfn.MAXIFS(Casos!$K$5:$K$204,Casos!$B$5:$B$204,A11)=0,"",_xlfn.MAXIFS(Casos!$K$5:$K$204,Casos!$B$5:$B$204,A11)))</f>
        <v/>
      </c>
      <c r="K11" s="31">
        <f>IF(OR(A11="",F11=0),0,F11-ROW()/100000)</f>
        <v/>
      </c>
    </row>
    <row r="12">
      <c r="A12" s="27" t="inlineStr">
        <is>
          <t>Roberto Almeida</t>
        </is>
      </c>
      <c r="B12" s="29" t="inlineStr">
        <is>
          <t>PF</t>
        </is>
      </c>
      <c r="C12" s="29" t="inlineStr">
        <is>
          <t>Cível</t>
        </is>
      </c>
      <c r="D12" s="21">
        <f>IF(A12="","",COUNTIFS(Casos!$B$5:$B$204,A12))</f>
        <v/>
      </c>
      <c r="E12" s="21">
        <f>IF(A12="","",COUNTIFS(Casos!$B$5:$B$204,A12,Casos!$L$5:$L$204,"Ativo"))</f>
        <v/>
      </c>
      <c r="F12" s="22">
        <f>IF(A12="","",SUMIFS(Casos!$H$5:$H$204,Casos!$B$5:$B$204,A12))</f>
        <v/>
      </c>
      <c r="G12" s="22">
        <f>IF(A12="","",SUMIFS(Casos!$I$5:$I$204,Casos!$B$5:$B$204,A12))</f>
        <v/>
      </c>
      <c r="H12" s="22">
        <f>IF(A12="","",F12-G12)</f>
        <v/>
      </c>
      <c r="I12" s="23">
        <f>IF(OR(A12="",F12=0),"",G12/F12)</f>
        <v/>
      </c>
      <c r="J12" s="30">
        <f>IF(A12="","",IF(_xlfn.MAXIFS(Casos!$K$5:$K$204,Casos!$B$5:$B$204,A12)=0,"",_xlfn.MAXIFS(Casos!$K$5:$K$204,Casos!$B$5:$B$204,A12)))</f>
        <v/>
      </c>
      <c r="K12" s="31">
        <f>IF(OR(A12="",F12=0),0,F12-ROW()/100000)</f>
        <v/>
      </c>
    </row>
    <row r="13">
      <c r="A13" s="27" t="inlineStr">
        <is>
          <t>Clínica Bem-Estar</t>
        </is>
      </c>
      <c r="B13" s="29" t="inlineStr">
        <is>
          <t>PJ</t>
        </is>
      </c>
      <c r="C13" s="29" t="inlineStr">
        <is>
          <t>Empresarial</t>
        </is>
      </c>
      <c r="D13" s="21">
        <f>IF(A13="","",COUNTIFS(Casos!$B$5:$B$204,A13))</f>
        <v/>
      </c>
      <c r="E13" s="21">
        <f>IF(A13="","",COUNTIFS(Casos!$B$5:$B$204,A13,Casos!$L$5:$L$204,"Ativo"))</f>
        <v/>
      </c>
      <c r="F13" s="22">
        <f>IF(A13="","",SUMIFS(Casos!$H$5:$H$204,Casos!$B$5:$B$204,A13))</f>
        <v/>
      </c>
      <c r="G13" s="22">
        <f>IF(A13="","",SUMIFS(Casos!$I$5:$I$204,Casos!$B$5:$B$204,A13))</f>
        <v/>
      </c>
      <c r="H13" s="22">
        <f>IF(A13="","",F13-G13)</f>
        <v/>
      </c>
      <c r="I13" s="23">
        <f>IF(OR(A13="",F13=0),"",G13/F13)</f>
        <v/>
      </c>
      <c r="J13" s="30">
        <f>IF(A13="","",IF(_xlfn.MAXIFS(Casos!$K$5:$K$204,Casos!$B$5:$B$204,A13)=0,"",_xlfn.MAXIFS(Casos!$K$5:$K$204,Casos!$B$5:$B$204,A13)))</f>
        <v/>
      </c>
      <c r="K13" s="31">
        <f>IF(OR(A13="",F13=0),0,F13-ROW()/100000)</f>
        <v/>
      </c>
    </row>
    <row r="14">
      <c r="A14" s="27" t="inlineStr">
        <is>
          <t>Marcos Vinícius Teles</t>
        </is>
      </c>
      <c r="B14" s="29" t="inlineStr">
        <is>
          <t>PF</t>
        </is>
      </c>
      <c r="C14" s="29" t="inlineStr">
        <is>
          <t>Previdenciário</t>
        </is>
      </c>
      <c r="D14" s="21">
        <f>IF(A14="","",COUNTIFS(Casos!$B$5:$B$204,A14))</f>
        <v/>
      </c>
      <c r="E14" s="21">
        <f>IF(A14="","",COUNTIFS(Casos!$B$5:$B$204,A14,Casos!$L$5:$L$204,"Ativo"))</f>
        <v/>
      </c>
      <c r="F14" s="22">
        <f>IF(A14="","",SUMIFS(Casos!$H$5:$H$204,Casos!$B$5:$B$204,A14))</f>
        <v/>
      </c>
      <c r="G14" s="22">
        <f>IF(A14="","",SUMIFS(Casos!$I$5:$I$204,Casos!$B$5:$B$204,A14))</f>
        <v/>
      </c>
      <c r="H14" s="22">
        <f>IF(A14="","",F14-G14)</f>
        <v/>
      </c>
      <c r="I14" s="23">
        <f>IF(OR(A14="",F14=0),"",G14/F14)</f>
        <v/>
      </c>
      <c r="J14" s="30">
        <f>IF(A14="","",IF(_xlfn.MAXIFS(Casos!$K$5:$K$204,Casos!$B$5:$B$204,A14)=0,"",_xlfn.MAXIFS(Casos!$K$5:$K$204,Casos!$B$5:$B$204,A14)))</f>
        <v/>
      </c>
      <c r="K14" s="31">
        <f>IF(OR(A14="",F14=0),0,F14-ROW()/100000)</f>
        <v/>
      </c>
    </row>
    <row r="15">
      <c r="A15" s="27" t="inlineStr">
        <is>
          <t>Transportadora Rota Sul</t>
        </is>
      </c>
      <c r="B15" s="29" t="inlineStr">
        <is>
          <t>PJ</t>
        </is>
      </c>
      <c r="C15" s="29" t="inlineStr">
        <is>
          <t>Trabalhista</t>
        </is>
      </c>
      <c r="D15" s="21">
        <f>IF(A15="","",COUNTIFS(Casos!$B$5:$B$204,A15))</f>
        <v/>
      </c>
      <c r="E15" s="21">
        <f>IF(A15="","",COUNTIFS(Casos!$B$5:$B$204,A15,Casos!$L$5:$L$204,"Ativo"))</f>
        <v/>
      </c>
      <c r="F15" s="22">
        <f>IF(A15="","",SUMIFS(Casos!$H$5:$H$204,Casos!$B$5:$B$204,A15))</f>
        <v/>
      </c>
      <c r="G15" s="22">
        <f>IF(A15="","",SUMIFS(Casos!$I$5:$I$204,Casos!$B$5:$B$204,A15))</f>
        <v/>
      </c>
      <c r="H15" s="22">
        <f>IF(A15="","",F15-G15)</f>
        <v/>
      </c>
      <c r="I15" s="23">
        <f>IF(OR(A15="",F15=0),"",G15/F15)</f>
        <v/>
      </c>
      <c r="J15" s="30">
        <f>IF(A15="","",IF(_xlfn.MAXIFS(Casos!$K$5:$K$204,Casos!$B$5:$B$204,A15)=0,"",_xlfn.MAXIFS(Casos!$K$5:$K$204,Casos!$B$5:$B$204,A15)))</f>
        <v/>
      </c>
      <c r="K15" s="31">
        <f>IF(OR(A15="",F15=0),0,F15-ROW()/100000)</f>
        <v/>
      </c>
    </row>
    <row r="16">
      <c r="A16" s="27" t="inlineStr">
        <is>
          <t>Patrícia Gomes</t>
        </is>
      </c>
      <c r="B16" s="29" t="inlineStr">
        <is>
          <t>PF</t>
        </is>
      </c>
      <c r="C16" s="29" t="inlineStr">
        <is>
          <t>Família</t>
        </is>
      </c>
      <c r="D16" s="21">
        <f>IF(A16="","",COUNTIFS(Casos!$B$5:$B$204,A16))</f>
        <v/>
      </c>
      <c r="E16" s="21">
        <f>IF(A16="","",COUNTIFS(Casos!$B$5:$B$204,A16,Casos!$L$5:$L$204,"Ativo"))</f>
        <v/>
      </c>
      <c r="F16" s="22">
        <f>IF(A16="","",SUMIFS(Casos!$H$5:$H$204,Casos!$B$5:$B$204,A16))</f>
        <v/>
      </c>
      <c r="G16" s="22">
        <f>IF(A16="","",SUMIFS(Casos!$I$5:$I$204,Casos!$B$5:$B$204,A16))</f>
        <v/>
      </c>
      <c r="H16" s="22">
        <f>IF(A16="","",F16-G16)</f>
        <v/>
      </c>
      <c r="I16" s="23">
        <f>IF(OR(A16="",F16=0),"",G16/F16)</f>
        <v/>
      </c>
      <c r="J16" s="30">
        <f>IF(A16="","",IF(_xlfn.MAXIFS(Casos!$K$5:$K$204,Casos!$B$5:$B$204,A16)=0,"",_xlfn.MAXIFS(Casos!$K$5:$K$204,Casos!$B$5:$B$204,A16)))</f>
        <v/>
      </c>
      <c r="K16" s="31">
        <f>IF(OR(A16="",F16=0),0,F16-ROW()/100000)</f>
        <v/>
      </c>
    </row>
    <row r="17">
      <c r="A17" s="27" t="inlineStr">
        <is>
          <t>Escola Aurora</t>
        </is>
      </c>
      <c r="B17" s="29" t="inlineStr">
        <is>
          <t>PJ</t>
        </is>
      </c>
      <c r="C17" s="29" t="inlineStr">
        <is>
          <t>Cível</t>
        </is>
      </c>
      <c r="D17" s="21">
        <f>IF(A17="","",COUNTIFS(Casos!$B$5:$B$204,A17))</f>
        <v/>
      </c>
      <c r="E17" s="21">
        <f>IF(A17="","",COUNTIFS(Casos!$B$5:$B$204,A17,Casos!$L$5:$L$204,"Ativo"))</f>
        <v/>
      </c>
      <c r="F17" s="22">
        <f>IF(A17="","",SUMIFS(Casos!$H$5:$H$204,Casos!$B$5:$B$204,A17))</f>
        <v/>
      </c>
      <c r="G17" s="22">
        <f>IF(A17="","",SUMIFS(Casos!$I$5:$I$204,Casos!$B$5:$B$204,A17))</f>
        <v/>
      </c>
      <c r="H17" s="22">
        <f>IF(A17="","",F17-G17)</f>
        <v/>
      </c>
      <c r="I17" s="23">
        <f>IF(OR(A17="",F17=0),"",G17/F17)</f>
        <v/>
      </c>
      <c r="J17" s="30">
        <f>IF(A17="","",IF(_xlfn.MAXIFS(Casos!$K$5:$K$204,Casos!$B$5:$B$204,A17)=0,"",_xlfn.MAXIFS(Casos!$K$5:$K$204,Casos!$B$5:$B$204,A17)))</f>
        <v/>
      </c>
      <c r="K17" s="31">
        <f>IF(OR(A17="",F17=0),0,F17-ROW()/100000)</f>
        <v/>
      </c>
    </row>
    <row r="18">
      <c r="A18" s="27" t="inlineStr">
        <is>
          <t>José Antônio Ribeiro</t>
        </is>
      </c>
      <c r="B18" s="29" t="inlineStr">
        <is>
          <t>PF</t>
        </is>
      </c>
      <c r="C18" s="29" t="inlineStr">
        <is>
          <t>Previdenciário</t>
        </is>
      </c>
      <c r="D18" s="21">
        <f>IF(A18="","",COUNTIFS(Casos!$B$5:$B$204,A18))</f>
        <v/>
      </c>
      <c r="E18" s="21">
        <f>IF(A18="","",COUNTIFS(Casos!$B$5:$B$204,A18,Casos!$L$5:$L$204,"Ativo"))</f>
        <v/>
      </c>
      <c r="F18" s="22">
        <f>IF(A18="","",SUMIFS(Casos!$H$5:$H$204,Casos!$B$5:$B$204,A18))</f>
        <v/>
      </c>
      <c r="G18" s="22">
        <f>IF(A18="","",SUMIFS(Casos!$I$5:$I$204,Casos!$B$5:$B$204,A18))</f>
        <v/>
      </c>
      <c r="H18" s="22">
        <f>IF(A18="","",F18-G18)</f>
        <v/>
      </c>
      <c r="I18" s="23">
        <f>IF(OR(A18="",F18=0),"",G18/F18)</f>
        <v/>
      </c>
      <c r="J18" s="30">
        <f>IF(A18="","",IF(_xlfn.MAXIFS(Casos!$K$5:$K$204,Casos!$B$5:$B$204,A18)=0,"",_xlfn.MAXIFS(Casos!$K$5:$K$204,Casos!$B$5:$B$204,A18)))</f>
        <v/>
      </c>
      <c r="K18" s="31">
        <f>IF(OR(A18="",F18=0),0,F18-ROW()/100000)</f>
        <v/>
      </c>
    </row>
    <row r="19">
      <c r="A19" s="27" t="inlineStr">
        <is>
          <t>Oficina Mecânica Central</t>
        </is>
      </c>
      <c r="B19" s="29" t="inlineStr">
        <is>
          <t>PJ</t>
        </is>
      </c>
      <c r="C19" s="29" t="inlineStr">
        <is>
          <t>Trabalhista</t>
        </is>
      </c>
      <c r="D19" s="21">
        <f>IF(A19="","",COUNTIFS(Casos!$B$5:$B$204,A19))</f>
        <v/>
      </c>
      <c r="E19" s="21">
        <f>IF(A19="","",COUNTIFS(Casos!$B$5:$B$204,A19,Casos!$L$5:$L$204,"Ativo"))</f>
        <v/>
      </c>
      <c r="F19" s="22">
        <f>IF(A19="","",SUMIFS(Casos!$H$5:$H$204,Casos!$B$5:$B$204,A19))</f>
        <v/>
      </c>
      <c r="G19" s="22">
        <f>IF(A19="","",SUMIFS(Casos!$I$5:$I$204,Casos!$B$5:$B$204,A19))</f>
        <v/>
      </c>
      <c r="H19" s="22">
        <f>IF(A19="","",F19-G19)</f>
        <v/>
      </c>
      <c r="I19" s="23">
        <f>IF(OR(A19="",F19=0),"",G19/F19)</f>
        <v/>
      </c>
      <c r="J19" s="30">
        <f>IF(A19="","",IF(_xlfn.MAXIFS(Casos!$K$5:$K$204,Casos!$B$5:$B$204,A19)=0,"",_xlfn.MAXIFS(Casos!$K$5:$K$204,Casos!$B$5:$B$204,A19)))</f>
        <v/>
      </c>
      <c r="K19" s="31">
        <f>IF(OR(A19="",F19=0),0,F19-ROW()/100000)</f>
        <v/>
      </c>
    </row>
    <row r="20">
      <c r="A20" s="27" t="inlineStr">
        <is>
          <t>Luciana Farias</t>
        </is>
      </c>
      <c r="B20" s="29" t="inlineStr">
        <is>
          <t>PF</t>
        </is>
      </c>
      <c r="C20" s="29" t="inlineStr">
        <is>
          <t>Cível</t>
        </is>
      </c>
      <c r="D20" s="21">
        <f>IF(A20="","",COUNTIFS(Casos!$B$5:$B$204,A20))</f>
        <v/>
      </c>
      <c r="E20" s="21">
        <f>IF(A20="","",COUNTIFS(Casos!$B$5:$B$204,A20,Casos!$L$5:$L$204,"Ativo"))</f>
        <v/>
      </c>
      <c r="F20" s="22">
        <f>IF(A20="","",SUMIFS(Casos!$H$5:$H$204,Casos!$B$5:$B$204,A20))</f>
        <v/>
      </c>
      <c r="G20" s="22">
        <f>IF(A20="","",SUMIFS(Casos!$I$5:$I$204,Casos!$B$5:$B$204,A20))</f>
        <v/>
      </c>
      <c r="H20" s="22">
        <f>IF(A20="","",F20-G20)</f>
        <v/>
      </c>
      <c r="I20" s="23">
        <f>IF(OR(A20="",F20=0),"",G20/F20)</f>
        <v/>
      </c>
      <c r="J20" s="30">
        <f>IF(A20="","",IF(_xlfn.MAXIFS(Casos!$K$5:$K$204,Casos!$B$5:$B$204,A20)=0,"",_xlfn.MAXIFS(Casos!$K$5:$K$204,Casos!$B$5:$B$204,A20)))</f>
        <v/>
      </c>
      <c r="K20" s="31">
        <f>IF(OR(A20="",F20=0),0,F20-ROW()/100000)</f>
        <v/>
      </c>
    </row>
    <row r="21">
      <c r="A21" s="27" t="inlineStr">
        <is>
          <t>Agência Prisma</t>
        </is>
      </c>
      <c r="B21" s="29" t="inlineStr">
        <is>
          <t>PJ</t>
        </is>
      </c>
      <c r="C21" s="29" t="inlineStr">
        <is>
          <t>Empresarial</t>
        </is>
      </c>
      <c r="D21" s="21">
        <f>IF(A21="","",COUNTIFS(Casos!$B$5:$B$204,A21))</f>
        <v/>
      </c>
      <c r="E21" s="21">
        <f>IF(A21="","",COUNTIFS(Casos!$B$5:$B$204,A21,Casos!$L$5:$L$204,"Ativo"))</f>
        <v/>
      </c>
      <c r="F21" s="22">
        <f>IF(A21="","",SUMIFS(Casos!$H$5:$H$204,Casos!$B$5:$B$204,A21))</f>
        <v/>
      </c>
      <c r="G21" s="22">
        <f>IF(A21="","",SUMIFS(Casos!$I$5:$I$204,Casos!$B$5:$B$204,A21))</f>
        <v/>
      </c>
      <c r="H21" s="22">
        <f>IF(A21="","",F21-G21)</f>
        <v/>
      </c>
      <c r="I21" s="23">
        <f>IF(OR(A21="",F21=0),"",G21/F21)</f>
        <v/>
      </c>
      <c r="J21" s="30">
        <f>IF(A21="","",IF(_xlfn.MAXIFS(Casos!$K$5:$K$204,Casos!$B$5:$B$204,A21)=0,"",_xlfn.MAXIFS(Casos!$K$5:$K$204,Casos!$B$5:$B$204,A21)))</f>
        <v/>
      </c>
      <c r="K21" s="31">
        <f>IF(OR(A21="",F21=0),0,F21-ROW()/100000)</f>
        <v/>
      </c>
    </row>
    <row r="22">
      <c r="A22" s="27" t="inlineStr">
        <is>
          <t>Helena Duarte</t>
        </is>
      </c>
      <c r="B22" s="29" t="inlineStr">
        <is>
          <t>PF</t>
        </is>
      </c>
      <c r="C22" s="29" t="inlineStr">
        <is>
          <t>Trabalhista</t>
        </is>
      </c>
      <c r="D22" s="21">
        <f>IF(A22="","",COUNTIFS(Casos!$B$5:$B$204,A22))</f>
        <v/>
      </c>
      <c r="E22" s="21">
        <f>IF(A22="","",COUNTIFS(Casos!$B$5:$B$204,A22,Casos!$L$5:$L$204,"Ativo"))</f>
        <v/>
      </c>
      <c r="F22" s="22">
        <f>IF(A22="","",SUMIFS(Casos!$H$5:$H$204,Casos!$B$5:$B$204,A22))</f>
        <v/>
      </c>
      <c r="G22" s="22">
        <f>IF(A22="","",SUMIFS(Casos!$I$5:$I$204,Casos!$B$5:$B$204,A22))</f>
        <v/>
      </c>
      <c r="H22" s="22">
        <f>IF(A22="","",F22-G22)</f>
        <v/>
      </c>
      <c r="I22" s="23">
        <f>IF(OR(A22="",F22=0),"",G22/F22)</f>
        <v/>
      </c>
      <c r="J22" s="30">
        <f>IF(A22="","",IF(_xlfn.MAXIFS(Casos!$K$5:$K$204,Casos!$B$5:$B$204,A22)=0,"",_xlfn.MAXIFS(Casos!$K$5:$K$204,Casos!$B$5:$B$204,A22)))</f>
        <v/>
      </c>
      <c r="K22" s="31">
        <f>IF(OR(A22="",F22=0),0,F22-ROW()/100000)</f>
        <v/>
      </c>
    </row>
    <row r="23">
      <c r="A23" s="27" t="n"/>
      <c r="B23" s="29" t="n"/>
      <c r="C23" s="29" t="n"/>
      <c r="D23" s="21">
        <f>IF(A23="","",COUNTIFS(Casos!$B$5:$B$204,A23))</f>
        <v/>
      </c>
      <c r="E23" s="21">
        <f>IF(A23="","",COUNTIFS(Casos!$B$5:$B$204,A23,Casos!$L$5:$L$204,"Ativo"))</f>
        <v/>
      </c>
      <c r="F23" s="22">
        <f>IF(A23="","",SUMIFS(Casos!$H$5:$H$204,Casos!$B$5:$B$204,A23))</f>
        <v/>
      </c>
      <c r="G23" s="22">
        <f>IF(A23="","",SUMIFS(Casos!$I$5:$I$204,Casos!$B$5:$B$204,A23))</f>
        <v/>
      </c>
      <c r="H23" s="22">
        <f>IF(A23="","",F23-G23)</f>
        <v/>
      </c>
      <c r="I23" s="23">
        <f>IF(OR(A23="",F23=0),"",G23/F23)</f>
        <v/>
      </c>
      <c r="J23" s="30">
        <f>IF(A23="","",IF(_xlfn.MAXIFS(Casos!$K$5:$K$204,Casos!$B$5:$B$204,A23)=0,"",_xlfn.MAXIFS(Casos!$K$5:$K$204,Casos!$B$5:$B$204,A23)))</f>
        <v/>
      </c>
      <c r="K23" s="31">
        <f>IF(OR(A23="",F23=0),0,F23-ROW()/100000)</f>
        <v/>
      </c>
    </row>
    <row r="24">
      <c r="A24" s="27" t="n"/>
      <c r="B24" s="29" t="n"/>
      <c r="C24" s="29" t="n"/>
      <c r="D24" s="21">
        <f>IF(A24="","",COUNTIFS(Casos!$B$5:$B$204,A24))</f>
        <v/>
      </c>
      <c r="E24" s="21">
        <f>IF(A24="","",COUNTIFS(Casos!$B$5:$B$204,A24,Casos!$L$5:$L$204,"Ativo"))</f>
        <v/>
      </c>
      <c r="F24" s="22">
        <f>IF(A24="","",SUMIFS(Casos!$H$5:$H$204,Casos!$B$5:$B$204,A24))</f>
        <v/>
      </c>
      <c r="G24" s="22">
        <f>IF(A24="","",SUMIFS(Casos!$I$5:$I$204,Casos!$B$5:$B$204,A24))</f>
        <v/>
      </c>
      <c r="H24" s="22">
        <f>IF(A24="","",F24-G24)</f>
        <v/>
      </c>
      <c r="I24" s="23">
        <f>IF(OR(A24="",F24=0),"",G24/F24)</f>
        <v/>
      </c>
      <c r="J24" s="30">
        <f>IF(A24="","",IF(_xlfn.MAXIFS(Casos!$K$5:$K$204,Casos!$B$5:$B$204,A24)=0,"",_xlfn.MAXIFS(Casos!$K$5:$K$204,Casos!$B$5:$B$204,A24)))</f>
        <v/>
      </c>
      <c r="K24" s="31">
        <f>IF(OR(A24="",F24=0),0,F24-ROW()/100000)</f>
        <v/>
      </c>
    </row>
    <row r="25">
      <c r="A25" s="27" t="n"/>
      <c r="B25" s="29" t="n"/>
      <c r="C25" s="29" t="n"/>
      <c r="D25" s="21">
        <f>IF(A25="","",COUNTIFS(Casos!$B$5:$B$204,A25))</f>
        <v/>
      </c>
      <c r="E25" s="21">
        <f>IF(A25="","",COUNTIFS(Casos!$B$5:$B$204,A25,Casos!$L$5:$L$204,"Ativo"))</f>
        <v/>
      </c>
      <c r="F25" s="22">
        <f>IF(A25="","",SUMIFS(Casos!$H$5:$H$204,Casos!$B$5:$B$204,A25))</f>
        <v/>
      </c>
      <c r="G25" s="22">
        <f>IF(A25="","",SUMIFS(Casos!$I$5:$I$204,Casos!$B$5:$B$204,A25))</f>
        <v/>
      </c>
      <c r="H25" s="22">
        <f>IF(A25="","",F25-G25)</f>
        <v/>
      </c>
      <c r="I25" s="23">
        <f>IF(OR(A25="",F25=0),"",G25/F25)</f>
        <v/>
      </c>
      <c r="J25" s="30">
        <f>IF(A25="","",IF(_xlfn.MAXIFS(Casos!$K$5:$K$204,Casos!$B$5:$B$204,A25)=0,"",_xlfn.MAXIFS(Casos!$K$5:$K$204,Casos!$B$5:$B$204,A25)))</f>
        <v/>
      </c>
      <c r="K25" s="31">
        <f>IF(OR(A25="",F25=0),0,F25-ROW()/100000)</f>
        <v/>
      </c>
    </row>
    <row r="26">
      <c r="A26" s="27" t="n"/>
      <c r="B26" s="29" t="n"/>
      <c r="C26" s="29" t="n"/>
      <c r="D26" s="21">
        <f>IF(A26="","",COUNTIFS(Casos!$B$5:$B$204,A26))</f>
        <v/>
      </c>
      <c r="E26" s="21">
        <f>IF(A26="","",COUNTIFS(Casos!$B$5:$B$204,A26,Casos!$L$5:$L$204,"Ativo"))</f>
        <v/>
      </c>
      <c r="F26" s="22">
        <f>IF(A26="","",SUMIFS(Casos!$H$5:$H$204,Casos!$B$5:$B$204,A26))</f>
        <v/>
      </c>
      <c r="G26" s="22">
        <f>IF(A26="","",SUMIFS(Casos!$I$5:$I$204,Casos!$B$5:$B$204,A26))</f>
        <v/>
      </c>
      <c r="H26" s="22">
        <f>IF(A26="","",F26-G26)</f>
        <v/>
      </c>
      <c r="I26" s="23">
        <f>IF(OR(A26="",F26=0),"",G26/F26)</f>
        <v/>
      </c>
      <c r="J26" s="30">
        <f>IF(A26="","",IF(_xlfn.MAXIFS(Casos!$K$5:$K$204,Casos!$B$5:$B$204,A26)=0,"",_xlfn.MAXIFS(Casos!$K$5:$K$204,Casos!$B$5:$B$204,A26)))</f>
        <v/>
      </c>
      <c r="K26" s="31">
        <f>IF(OR(A26="",F26=0),0,F26-ROW()/100000)</f>
        <v/>
      </c>
    </row>
    <row r="27">
      <c r="A27" s="27" t="n"/>
      <c r="B27" s="29" t="n"/>
      <c r="C27" s="29" t="n"/>
      <c r="D27" s="21">
        <f>IF(A27="","",COUNTIFS(Casos!$B$5:$B$204,A27))</f>
        <v/>
      </c>
      <c r="E27" s="21">
        <f>IF(A27="","",COUNTIFS(Casos!$B$5:$B$204,A27,Casos!$L$5:$L$204,"Ativo"))</f>
        <v/>
      </c>
      <c r="F27" s="22">
        <f>IF(A27="","",SUMIFS(Casos!$H$5:$H$204,Casos!$B$5:$B$204,A27))</f>
        <v/>
      </c>
      <c r="G27" s="22">
        <f>IF(A27="","",SUMIFS(Casos!$I$5:$I$204,Casos!$B$5:$B$204,A27))</f>
        <v/>
      </c>
      <c r="H27" s="22">
        <f>IF(A27="","",F27-G27)</f>
        <v/>
      </c>
      <c r="I27" s="23">
        <f>IF(OR(A27="",F27=0),"",G27/F27)</f>
        <v/>
      </c>
      <c r="J27" s="30">
        <f>IF(A27="","",IF(_xlfn.MAXIFS(Casos!$K$5:$K$204,Casos!$B$5:$B$204,A27)=0,"",_xlfn.MAXIFS(Casos!$K$5:$K$204,Casos!$B$5:$B$204,A27)))</f>
        <v/>
      </c>
      <c r="K27" s="31">
        <f>IF(OR(A27="",F27=0),0,F27-ROW()/100000)</f>
        <v/>
      </c>
    </row>
    <row r="28">
      <c r="A28" s="27" t="n"/>
      <c r="B28" s="29" t="n"/>
      <c r="C28" s="29" t="n"/>
      <c r="D28" s="21">
        <f>IF(A28="","",COUNTIFS(Casos!$B$5:$B$204,A28))</f>
        <v/>
      </c>
      <c r="E28" s="21">
        <f>IF(A28="","",COUNTIFS(Casos!$B$5:$B$204,A28,Casos!$L$5:$L$204,"Ativo"))</f>
        <v/>
      </c>
      <c r="F28" s="22">
        <f>IF(A28="","",SUMIFS(Casos!$H$5:$H$204,Casos!$B$5:$B$204,A28))</f>
        <v/>
      </c>
      <c r="G28" s="22">
        <f>IF(A28="","",SUMIFS(Casos!$I$5:$I$204,Casos!$B$5:$B$204,A28))</f>
        <v/>
      </c>
      <c r="H28" s="22">
        <f>IF(A28="","",F28-G28)</f>
        <v/>
      </c>
      <c r="I28" s="23">
        <f>IF(OR(A28="",F28=0),"",G28/F28)</f>
        <v/>
      </c>
      <c r="J28" s="30">
        <f>IF(A28="","",IF(_xlfn.MAXIFS(Casos!$K$5:$K$204,Casos!$B$5:$B$204,A28)=0,"",_xlfn.MAXIFS(Casos!$K$5:$K$204,Casos!$B$5:$B$204,A28)))</f>
        <v/>
      </c>
      <c r="K28" s="31">
        <f>IF(OR(A28="",F28=0),0,F28-ROW()/100000)</f>
        <v/>
      </c>
    </row>
    <row r="29">
      <c r="A29" s="27" t="n"/>
      <c r="B29" s="29" t="n"/>
      <c r="C29" s="29" t="n"/>
      <c r="D29" s="21">
        <f>IF(A29="","",COUNTIFS(Casos!$B$5:$B$204,A29))</f>
        <v/>
      </c>
      <c r="E29" s="21">
        <f>IF(A29="","",COUNTIFS(Casos!$B$5:$B$204,A29,Casos!$L$5:$L$204,"Ativo"))</f>
        <v/>
      </c>
      <c r="F29" s="22">
        <f>IF(A29="","",SUMIFS(Casos!$H$5:$H$204,Casos!$B$5:$B$204,A29))</f>
        <v/>
      </c>
      <c r="G29" s="22">
        <f>IF(A29="","",SUMIFS(Casos!$I$5:$I$204,Casos!$B$5:$B$204,A29))</f>
        <v/>
      </c>
      <c r="H29" s="22">
        <f>IF(A29="","",F29-G29)</f>
        <v/>
      </c>
      <c r="I29" s="23">
        <f>IF(OR(A29="",F29=0),"",G29/F29)</f>
        <v/>
      </c>
      <c r="J29" s="30">
        <f>IF(A29="","",IF(_xlfn.MAXIFS(Casos!$K$5:$K$204,Casos!$B$5:$B$204,A29)=0,"",_xlfn.MAXIFS(Casos!$K$5:$K$204,Casos!$B$5:$B$204,A29)))</f>
        <v/>
      </c>
      <c r="K29" s="31">
        <f>IF(OR(A29="",F29=0),0,F29-ROW()/100000)</f>
        <v/>
      </c>
    </row>
    <row r="30">
      <c r="A30" s="27" t="n"/>
      <c r="B30" s="29" t="n"/>
      <c r="C30" s="29" t="n"/>
      <c r="D30" s="21">
        <f>IF(A30="","",COUNTIFS(Casos!$B$5:$B$204,A30))</f>
        <v/>
      </c>
      <c r="E30" s="21">
        <f>IF(A30="","",COUNTIFS(Casos!$B$5:$B$204,A30,Casos!$L$5:$L$204,"Ativo"))</f>
        <v/>
      </c>
      <c r="F30" s="22">
        <f>IF(A30="","",SUMIFS(Casos!$H$5:$H$204,Casos!$B$5:$B$204,A30))</f>
        <v/>
      </c>
      <c r="G30" s="22">
        <f>IF(A30="","",SUMIFS(Casos!$I$5:$I$204,Casos!$B$5:$B$204,A30))</f>
        <v/>
      </c>
      <c r="H30" s="22">
        <f>IF(A30="","",F30-G30)</f>
        <v/>
      </c>
      <c r="I30" s="23">
        <f>IF(OR(A30="",F30=0),"",G30/F30)</f>
        <v/>
      </c>
      <c r="J30" s="30">
        <f>IF(A30="","",IF(_xlfn.MAXIFS(Casos!$K$5:$K$204,Casos!$B$5:$B$204,A30)=0,"",_xlfn.MAXIFS(Casos!$K$5:$K$204,Casos!$B$5:$B$204,A30)))</f>
        <v/>
      </c>
      <c r="K30" s="31">
        <f>IF(OR(A30="",F30=0),0,F30-ROW()/100000)</f>
        <v/>
      </c>
    </row>
    <row r="31">
      <c r="A31" s="27" t="n"/>
      <c r="B31" s="29" t="n"/>
      <c r="C31" s="29" t="n"/>
      <c r="D31" s="21">
        <f>IF(A31="","",COUNTIFS(Casos!$B$5:$B$204,A31))</f>
        <v/>
      </c>
      <c r="E31" s="21">
        <f>IF(A31="","",COUNTIFS(Casos!$B$5:$B$204,A31,Casos!$L$5:$L$204,"Ativo"))</f>
        <v/>
      </c>
      <c r="F31" s="22">
        <f>IF(A31="","",SUMIFS(Casos!$H$5:$H$204,Casos!$B$5:$B$204,A31))</f>
        <v/>
      </c>
      <c r="G31" s="22">
        <f>IF(A31="","",SUMIFS(Casos!$I$5:$I$204,Casos!$B$5:$B$204,A31))</f>
        <v/>
      </c>
      <c r="H31" s="22">
        <f>IF(A31="","",F31-G31)</f>
        <v/>
      </c>
      <c r="I31" s="23">
        <f>IF(OR(A31="",F31=0),"",G31/F31)</f>
        <v/>
      </c>
      <c r="J31" s="30">
        <f>IF(A31="","",IF(_xlfn.MAXIFS(Casos!$K$5:$K$204,Casos!$B$5:$B$204,A31)=0,"",_xlfn.MAXIFS(Casos!$K$5:$K$204,Casos!$B$5:$B$204,A31)))</f>
        <v/>
      </c>
      <c r="K31" s="31">
        <f>IF(OR(A31="",F31=0),0,F31-ROW()/100000)</f>
        <v/>
      </c>
    </row>
    <row r="32">
      <c r="A32" s="27" t="n"/>
      <c r="B32" s="29" t="n"/>
      <c r="C32" s="29" t="n"/>
      <c r="D32" s="21">
        <f>IF(A32="","",COUNTIFS(Casos!$B$5:$B$204,A32))</f>
        <v/>
      </c>
      <c r="E32" s="21">
        <f>IF(A32="","",COUNTIFS(Casos!$B$5:$B$204,A32,Casos!$L$5:$L$204,"Ativo"))</f>
        <v/>
      </c>
      <c r="F32" s="22">
        <f>IF(A32="","",SUMIFS(Casos!$H$5:$H$204,Casos!$B$5:$B$204,A32))</f>
        <v/>
      </c>
      <c r="G32" s="22">
        <f>IF(A32="","",SUMIFS(Casos!$I$5:$I$204,Casos!$B$5:$B$204,A32))</f>
        <v/>
      </c>
      <c r="H32" s="22">
        <f>IF(A32="","",F32-G32)</f>
        <v/>
      </c>
      <c r="I32" s="23">
        <f>IF(OR(A32="",F32=0),"",G32/F32)</f>
        <v/>
      </c>
      <c r="J32" s="30">
        <f>IF(A32="","",IF(_xlfn.MAXIFS(Casos!$K$5:$K$204,Casos!$B$5:$B$204,A32)=0,"",_xlfn.MAXIFS(Casos!$K$5:$K$204,Casos!$B$5:$B$204,A32)))</f>
        <v/>
      </c>
      <c r="K32" s="31">
        <f>IF(OR(A32="",F32=0),0,F32-ROW()/100000)</f>
        <v/>
      </c>
    </row>
    <row r="33">
      <c r="A33" s="27" t="n"/>
      <c r="B33" s="29" t="n"/>
      <c r="C33" s="29" t="n"/>
      <c r="D33" s="21">
        <f>IF(A33="","",COUNTIFS(Casos!$B$5:$B$204,A33))</f>
        <v/>
      </c>
      <c r="E33" s="21">
        <f>IF(A33="","",COUNTIFS(Casos!$B$5:$B$204,A33,Casos!$L$5:$L$204,"Ativo"))</f>
        <v/>
      </c>
      <c r="F33" s="22">
        <f>IF(A33="","",SUMIFS(Casos!$H$5:$H$204,Casos!$B$5:$B$204,A33))</f>
        <v/>
      </c>
      <c r="G33" s="22">
        <f>IF(A33="","",SUMIFS(Casos!$I$5:$I$204,Casos!$B$5:$B$204,A33))</f>
        <v/>
      </c>
      <c r="H33" s="22">
        <f>IF(A33="","",F33-G33)</f>
        <v/>
      </c>
      <c r="I33" s="23">
        <f>IF(OR(A33="",F33=0),"",G33/F33)</f>
        <v/>
      </c>
      <c r="J33" s="30">
        <f>IF(A33="","",IF(_xlfn.MAXIFS(Casos!$K$5:$K$204,Casos!$B$5:$B$204,A33)=0,"",_xlfn.MAXIFS(Casos!$K$5:$K$204,Casos!$B$5:$B$204,A33)))</f>
        <v/>
      </c>
      <c r="K33" s="31">
        <f>IF(OR(A33="",F33=0),0,F33-ROW()/100000)</f>
        <v/>
      </c>
    </row>
    <row r="34">
      <c r="A34" s="27" t="n"/>
      <c r="B34" s="29" t="n"/>
      <c r="C34" s="29" t="n"/>
      <c r="D34" s="21">
        <f>IF(A34="","",COUNTIFS(Casos!$B$5:$B$204,A34))</f>
        <v/>
      </c>
      <c r="E34" s="21">
        <f>IF(A34="","",COUNTIFS(Casos!$B$5:$B$204,A34,Casos!$L$5:$L$204,"Ativo"))</f>
        <v/>
      </c>
      <c r="F34" s="22">
        <f>IF(A34="","",SUMIFS(Casos!$H$5:$H$204,Casos!$B$5:$B$204,A34))</f>
        <v/>
      </c>
      <c r="G34" s="22">
        <f>IF(A34="","",SUMIFS(Casos!$I$5:$I$204,Casos!$B$5:$B$204,A34))</f>
        <v/>
      </c>
      <c r="H34" s="22">
        <f>IF(A34="","",F34-G34)</f>
        <v/>
      </c>
      <c r="I34" s="23">
        <f>IF(OR(A34="",F34=0),"",G34/F34)</f>
        <v/>
      </c>
      <c r="J34" s="30">
        <f>IF(A34="","",IF(_xlfn.MAXIFS(Casos!$K$5:$K$204,Casos!$B$5:$B$204,A34)=0,"",_xlfn.MAXIFS(Casos!$K$5:$K$204,Casos!$B$5:$B$204,A34)))</f>
        <v/>
      </c>
      <c r="K34" s="31">
        <f>IF(OR(A34="",F34=0),0,F34-ROW()/100000)</f>
        <v/>
      </c>
    </row>
    <row r="35">
      <c r="A35" s="27" t="n"/>
      <c r="B35" s="29" t="n"/>
      <c r="C35" s="29" t="n"/>
      <c r="D35" s="21">
        <f>IF(A35="","",COUNTIFS(Casos!$B$5:$B$204,A35))</f>
        <v/>
      </c>
      <c r="E35" s="21">
        <f>IF(A35="","",COUNTIFS(Casos!$B$5:$B$204,A35,Casos!$L$5:$L$204,"Ativo"))</f>
        <v/>
      </c>
      <c r="F35" s="22">
        <f>IF(A35="","",SUMIFS(Casos!$H$5:$H$204,Casos!$B$5:$B$204,A35))</f>
        <v/>
      </c>
      <c r="G35" s="22">
        <f>IF(A35="","",SUMIFS(Casos!$I$5:$I$204,Casos!$B$5:$B$204,A35))</f>
        <v/>
      </c>
      <c r="H35" s="22">
        <f>IF(A35="","",F35-G35)</f>
        <v/>
      </c>
      <c r="I35" s="23">
        <f>IF(OR(A35="",F35=0),"",G35/F35)</f>
        <v/>
      </c>
      <c r="J35" s="30">
        <f>IF(A35="","",IF(_xlfn.MAXIFS(Casos!$K$5:$K$204,Casos!$B$5:$B$204,A35)=0,"",_xlfn.MAXIFS(Casos!$K$5:$K$204,Casos!$B$5:$B$204,A35)))</f>
        <v/>
      </c>
      <c r="K35" s="31">
        <f>IF(OR(A35="",F35=0),0,F35-ROW()/100000)</f>
        <v/>
      </c>
    </row>
    <row r="36">
      <c r="A36" s="27" t="n"/>
      <c r="B36" s="29" t="n"/>
      <c r="C36" s="29" t="n"/>
      <c r="D36" s="21">
        <f>IF(A36="","",COUNTIFS(Casos!$B$5:$B$204,A36))</f>
        <v/>
      </c>
      <c r="E36" s="21">
        <f>IF(A36="","",COUNTIFS(Casos!$B$5:$B$204,A36,Casos!$L$5:$L$204,"Ativo"))</f>
        <v/>
      </c>
      <c r="F36" s="22">
        <f>IF(A36="","",SUMIFS(Casos!$H$5:$H$204,Casos!$B$5:$B$204,A36))</f>
        <v/>
      </c>
      <c r="G36" s="22">
        <f>IF(A36="","",SUMIFS(Casos!$I$5:$I$204,Casos!$B$5:$B$204,A36))</f>
        <v/>
      </c>
      <c r="H36" s="22">
        <f>IF(A36="","",F36-G36)</f>
        <v/>
      </c>
      <c r="I36" s="23">
        <f>IF(OR(A36="",F36=0),"",G36/F36)</f>
        <v/>
      </c>
      <c r="J36" s="30">
        <f>IF(A36="","",IF(_xlfn.MAXIFS(Casos!$K$5:$K$204,Casos!$B$5:$B$204,A36)=0,"",_xlfn.MAXIFS(Casos!$K$5:$K$204,Casos!$B$5:$B$204,A36)))</f>
        <v/>
      </c>
      <c r="K36" s="31">
        <f>IF(OR(A36="",F36=0),0,F36-ROW()/100000)</f>
        <v/>
      </c>
    </row>
    <row r="37">
      <c r="A37" s="27" t="n"/>
      <c r="B37" s="29" t="n"/>
      <c r="C37" s="29" t="n"/>
      <c r="D37" s="21">
        <f>IF(A37="","",COUNTIFS(Casos!$B$5:$B$204,A37))</f>
        <v/>
      </c>
      <c r="E37" s="21">
        <f>IF(A37="","",COUNTIFS(Casos!$B$5:$B$204,A37,Casos!$L$5:$L$204,"Ativo"))</f>
        <v/>
      </c>
      <c r="F37" s="22">
        <f>IF(A37="","",SUMIFS(Casos!$H$5:$H$204,Casos!$B$5:$B$204,A37))</f>
        <v/>
      </c>
      <c r="G37" s="22">
        <f>IF(A37="","",SUMIFS(Casos!$I$5:$I$204,Casos!$B$5:$B$204,A37))</f>
        <v/>
      </c>
      <c r="H37" s="22">
        <f>IF(A37="","",F37-G37)</f>
        <v/>
      </c>
      <c r="I37" s="23">
        <f>IF(OR(A37="",F37=0),"",G37/F37)</f>
        <v/>
      </c>
      <c r="J37" s="30">
        <f>IF(A37="","",IF(_xlfn.MAXIFS(Casos!$K$5:$K$204,Casos!$B$5:$B$204,A37)=0,"",_xlfn.MAXIFS(Casos!$K$5:$K$204,Casos!$B$5:$B$204,A37)))</f>
        <v/>
      </c>
      <c r="K37" s="31">
        <f>IF(OR(A37="",F37=0),0,F37-ROW()/100000)</f>
        <v/>
      </c>
    </row>
    <row r="38">
      <c r="A38" s="27" t="n"/>
      <c r="B38" s="29" t="n"/>
      <c r="C38" s="29" t="n"/>
      <c r="D38" s="21">
        <f>IF(A38="","",COUNTIFS(Casos!$B$5:$B$204,A38))</f>
        <v/>
      </c>
      <c r="E38" s="21">
        <f>IF(A38="","",COUNTIFS(Casos!$B$5:$B$204,A38,Casos!$L$5:$L$204,"Ativo"))</f>
        <v/>
      </c>
      <c r="F38" s="22">
        <f>IF(A38="","",SUMIFS(Casos!$H$5:$H$204,Casos!$B$5:$B$204,A38))</f>
        <v/>
      </c>
      <c r="G38" s="22">
        <f>IF(A38="","",SUMIFS(Casos!$I$5:$I$204,Casos!$B$5:$B$204,A38))</f>
        <v/>
      </c>
      <c r="H38" s="22">
        <f>IF(A38="","",F38-G38)</f>
        <v/>
      </c>
      <c r="I38" s="23">
        <f>IF(OR(A38="",F38=0),"",G38/F38)</f>
        <v/>
      </c>
      <c r="J38" s="30">
        <f>IF(A38="","",IF(_xlfn.MAXIFS(Casos!$K$5:$K$204,Casos!$B$5:$B$204,A38)=0,"",_xlfn.MAXIFS(Casos!$K$5:$K$204,Casos!$B$5:$B$204,A38)))</f>
        <v/>
      </c>
      <c r="K38" s="31">
        <f>IF(OR(A38="",F38=0),0,F38-ROW()/100000)</f>
        <v/>
      </c>
    </row>
    <row r="39">
      <c r="A39" s="27" t="n"/>
      <c r="B39" s="29" t="n"/>
      <c r="C39" s="29" t="n"/>
      <c r="D39" s="21">
        <f>IF(A39="","",COUNTIFS(Casos!$B$5:$B$204,A39))</f>
        <v/>
      </c>
      <c r="E39" s="21">
        <f>IF(A39="","",COUNTIFS(Casos!$B$5:$B$204,A39,Casos!$L$5:$L$204,"Ativo"))</f>
        <v/>
      </c>
      <c r="F39" s="22">
        <f>IF(A39="","",SUMIFS(Casos!$H$5:$H$204,Casos!$B$5:$B$204,A39))</f>
        <v/>
      </c>
      <c r="G39" s="22">
        <f>IF(A39="","",SUMIFS(Casos!$I$5:$I$204,Casos!$B$5:$B$204,A39))</f>
        <v/>
      </c>
      <c r="H39" s="22">
        <f>IF(A39="","",F39-G39)</f>
        <v/>
      </c>
      <c r="I39" s="23">
        <f>IF(OR(A39="",F39=0),"",G39/F39)</f>
        <v/>
      </c>
      <c r="J39" s="30">
        <f>IF(A39="","",IF(_xlfn.MAXIFS(Casos!$K$5:$K$204,Casos!$B$5:$B$204,A39)=0,"",_xlfn.MAXIFS(Casos!$K$5:$K$204,Casos!$B$5:$B$204,A39)))</f>
        <v/>
      </c>
      <c r="K39" s="31">
        <f>IF(OR(A39="",F39=0),0,F39-ROW()/100000)</f>
        <v/>
      </c>
    </row>
    <row r="40">
      <c r="A40" s="27" t="n"/>
      <c r="B40" s="29" t="n"/>
      <c r="C40" s="29" t="n"/>
      <c r="D40" s="21">
        <f>IF(A40="","",COUNTIFS(Casos!$B$5:$B$204,A40))</f>
        <v/>
      </c>
      <c r="E40" s="21">
        <f>IF(A40="","",COUNTIFS(Casos!$B$5:$B$204,A40,Casos!$L$5:$L$204,"Ativo"))</f>
        <v/>
      </c>
      <c r="F40" s="22">
        <f>IF(A40="","",SUMIFS(Casos!$H$5:$H$204,Casos!$B$5:$B$204,A40))</f>
        <v/>
      </c>
      <c r="G40" s="22">
        <f>IF(A40="","",SUMIFS(Casos!$I$5:$I$204,Casos!$B$5:$B$204,A40))</f>
        <v/>
      </c>
      <c r="H40" s="22">
        <f>IF(A40="","",F40-G40)</f>
        <v/>
      </c>
      <c r="I40" s="23">
        <f>IF(OR(A40="",F40=0),"",G40/F40)</f>
        <v/>
      </c>
      <c r="J40" s="30">
        <f>IF(A40="","",IF(_xlfn.MAXIFS(Casos!$K$5:$K$204,Casos!$B$5:$B$204,A40)=0,"",_xlfn.MAXIFS(Casos!$K$5:$K$204,Casos!$B$5:$B$204,A40)))</f>
        <v/>
      </c>
      <c r="K40" s="31">
        <f>IF(OR(A40="",F40=0),0,F40-ROW()/100000)</f>
        <v/>
      </c>
    </row>
    <row r="41">
      <c r="A41" s="27" t="n"/>
      <c r="B41" s="29" t="n"/>
      <c r="C41" s="29" t="n"/>
      <c r="D41" s="21">
        <f>IF(A41="","",COUNTIFS(Casos!$B$5:$B$204,A41))</f>
        <v/>
      </c>
      <c r="E41" s="21">
        <f>IF(A41="","",COUNTIFS(Casos!$B$5:$B$204,A41,Casos!$L$5:$L$204,"Ativo"))</f>
        <v/>
      </c>
      <c r="F41" s="22">
        <f>IF(A41="","",SUMIFS(Casos!$H$5:$H$204,Casos!$B$5:$B$204,A41))</f>
        <v/>
      </c>
      <c r="G41" s="22">
        <f>IF(A41="","",SUMIFS(Casos!$I$5:$I$204,Casos!$B$5:$B$204,A41))</f>
        <v/>
      </c>
      <c r="H41" s="22">
        <f>IF(A41="","",F41-G41)</f>
        <v/>
      </c>
      <c r="I41" s="23">
        <f>IF(OR(A41="",F41=0),"",G41/F41)</f>
        <v/>
      </c>
      <c r="J41" s="30">
        <f>IF(A41="","",IF(_xlfn.MAXIFS(Casos!$K$5:$K$204,Casos!$B$5:$B$204,A41)=0,"",_xlfn.MAXIFS(Casos!$K$5:$K$204,Casos!$B$5:$B$204,A41)))</f>
        <v/>
      </c>
      <c r="K41" s="31">
        <f>IF(OR(A41="",F41=0),0,F41-ROW()/100000)</f>
        <v/>
      </c>
    </row>
    <row r="42">
      <c r="A42" s="27" t="n"/>
      <c r="B42" s="29" t="n"/>
      <c r="C42" s="29" t="n"/>
      <c r="D42" s="21">
        <f>IF(A42="","",COUNTIFS(Casos!$B$5:$B$204,A42))</f>
        <v/>
      </c>
      <c r="E42" s="21">
        <f>IF(A42="","",COUNTIFS(Casos!$B$5:$B$204,A42,Casos!$L$5:$L$204,"Ativo"))</f>
        <v/>
      </c>
      <c r="F42" s="22">
        <f>IF(A42="","",SUMIFS(Casos!$H$5:$H$204,Casos!$B$5:$B$204,A42))</f>
        <v/>
      </c>
      <c r="G42" s="22">
        <f>IF(A42="","",SUMIFS(Casos!$I$5:$I$204,Casos!$B$5:$B$204,A42))</f>
        <v/>
      </c>
      <c r="H42" s="22">
        <f>IF(A42="","",F42-G42)</f>
        <v/>
      </c>
      <c r="I42" s="23">
        <f>IF(OR(A42="",F42=0),"",G42/F42)</f>
        <v/>
      </c>
      <c r="J42" s="30">
        <f>IF(A42="","",IF(_xlfn.MAXIFS(Casos!$K$5:$K$204,Casos!$B$5:$B$204,A42)=0,"",_xlfn.MAXIFS(Casos!$K$5:$K$204,Casos!$B$5:$B$204,A42)))</f>
        <v/>
      </c>
      <c r="K42" s="31">
        <f>IF(OR(A42="",F42=0),0,F42-ROW()/100000)</f>
        <v/>
      </c>
    </row>
    <row r="43">
      <c r="A43" s="27" t="n"/>
      <c r="B43" s="29" t="n"/>
      <c r="C43" s="29" t="n"/>
      <c r="D43" s="21">
        <f>IF(A43="","",COUNTIFS(Casos!$B$5:$B$204,A43))</f>
        <v/>
      </c>
      <c r="E43" s="21">
        <f>IF(A43="","",COUNTIFS(Casos!$B$5:$B$204,A43,Casos!$L$5:$L$204,"Ativo"))</f>
        <v/>
      </c>
      <c r="F43" s="22">
        <f>IF(A43="","",SUMIFS(Casos!$H$5:$H$204,Casos!$B$5:$B$204,A43))</f>
        <v/>
      </c>
      <c r="G43" s="22">
        <f>IF(A43="","",SUMIFS(Casos!$I$5:$I$204,Casos!$B$5:$B$204,A43))</f>
        <v/>
      </c>
      <c r="H43" s="22">
        <f>IF(A43="","",F43-G43)</f>
        <v/>
      </c>
      <c r="I43" s="23">
        <f>IF(OR(A43="",F43=0),"",G43/F43)</f>
        <v/>
      </c>
      <c r="J43" s="30">
        <f>IF(A43="","",IF(_xlfn.MAXIFS(Casos!$K$5:$K$204,Casos!$B$5:$B$204,A43)=0,"",_xlfn.MAXIFS(Casos!$K$5:$K$204,Casos!$B$5:$B$204,A43)))</f>
        <v/>
      </c>
      <c r="K43" s="31">
        <f>IF(OR(A43="",F43=0),0,F43-ROW()/100000)</f>
        <v/>
      </c>
    </row>
    <row r="44">
      <c r="A44" s="27" t="n"/>
      <c r="B44" s="29" t="n"/>
      <c r="C44" s="29" t="n"/>
      <c r="D44" s="21">
        <f>IF(A44="","",COUNTIFS(Casos!$B$5:$B$204,A44))</f>
        <v/>
      </c>
      <c r="E44" s="21">
        <f>IF(A44="","",COUNTIFS(Casos!$B$5:$B$204,A44,Casos!$L$5:$L$204,"Ativo"))</f>
        <v/>
      </c>
      <c r="F44" s="22">
        <f>IF(A44="","",SUMIFS(Casos!$H$5:$H$204,Casos!$B$5:$B$204,A44))</f>
        <v/>
      </c>
      <c r="G44" s="22">
        <f>IF(A44="","",SUMIFS(Casos!$I$5:$I$204,Casos!$B$5:$B$204,A44))</f>
        <v/>
      </c>
      <c r="H44" s="22">
        <f>IF(A44="","",F44-G44)</f>
        <v/>
      </c>
      <c r="I44" s="23">
        <f>IF(OR(A44="",F44=0),"",G44/F44)</f>
        <v/>
      </c>
      <c r="J44" s="30">
        <f>IF(A44="","",IF(_xlfn.MAXIFS(Casos!$K$5:$K$204,Casos!$B$5:$B$204,A44)=0,"",_xlfn.MAXIFS(Casos!$K$5:$K$204,Casos!$B$5:$B$204,A44)))</f>
        <v/>
      </c>
      <c r="K44" s="31">
        <f>IF(OR(A44="",F44=0),0,F44-ROW()/100000)</f>
        <v/>
      </c>
    </row>
    <row r="45">
      <c r="A45" s="27" t="n"/>
      <c r="B45" s="29" t="n"/>
      <c r="C45" s="29" t="n"/>
      <c r="D45" s="21">
        <f>IF(A45="","",COUNTIFS(Casos!$B$5:$B$204,A45))</f>
        <v/>
      </c>
      <c r="E45" s="21">
        <f>IF(A45="","",COUNTIFS(Casos!$B$5:$B$204,A45,Casos!$L$5:$L$204,"Ativo"))</f>
        <v/>
      </c>
      <c r="F45" s="22">
        <f>IF(A45="","",SUMIFS(Casos!$H$5:$H$204,Casos!$B$5:$B$204,A45))</f>
        <v/>
      </c>
      <c r="G45" s="22">
        <f>IF(A45="","",SUMIFS(Casos!$I$5:$I$204,Casos!$B$5:$B$204,A45))</f>
        <v/>
      </c>
      <c r="H45" s="22">
        <f>IF(A45="","",F45-G45)</f>
        <v/>
      </c>
      <c r="I45" s="23">
        <f>IF(OR(A45="",F45=0),"",G45/F45)</f>
        <v/>
      </c>
      <c r="J45" s="30">
        <f>IF(A45="","",IF(_xlfn.MAXIFS(Casos!$K$5:$K$204,Casos!$B$5:$B$204,A45)=0,"",_xlfn.MAXIFS(Casos!$K$5:$K$204,Casos!$B$5:$B$204,A45)))</f>
        <v/>
      </c>
      <c r="K45" s="31">
        <f>IF(OR(A45="",F45=0),0,F45-ROW()/100000)</f>
        <v/>
      </c>
    </row>
    <row r="46">
      <c r="A46" s="27" t="n"/>
      <c r="B46" s="29" t="n"/>
      <c r="C46" s="29" t="n"/>
      <c r="D46" s="21">
        <f>IF(A46="","",COUNTIFS(Casos!$B$5:$B$204,A46))</f>
        <v/>
      </c>
      <c r="E46" s="21">
        <f>IF(A46="","",COUNTIFS(Casos!$B$5:$B$204,A46,Casos!$L$5:$L$204,"Ativo"))</f>
        <v/>
      </c>
      <c r="F46" s="22">
        <f>IF(A46="","",SUMIFS(Casos!$H$5:$H$204,Casos!$B$5:$B$204,A46))</f>
        <v/>
      </c>
      <c r="G46" s="22">
        <f>IF(A46="","",SUMIFS(Casos!$I$5:$I$204,Casos!$B$5:$B$204,A46))</f>
        <v/>
      </c>
      <c r="H46" s="22">
        <f>IF(A46="","",F46-G46)</f>
        <v/>
      </c>
      <c r="I46" s="23">
        <f>IF(OR(A46="",F46=0),"",G46/F46)</f>
        <v/>
      </c>
      <c r="J46" s="30">
        <f>IF(A46="","",IF(_xlfn.MAXIFS(Casos!$K$5:$K$204,Casos!$B$5:$B$204,A46)=0,"",_xlfn.MAXIFS(Casos!$K$5:$K$204,Casos!$B$5:$B$204,A46)))</f>
        <v/>
      </c>
      <c r="K46" s="31">
        <f>IF(OR(A46="",F46=0),0,F46-ROW()/100000)</f>
        <v/>
      </c>
    </row>
    <row r="47">
      <c r="A47" s="27" t="n"/>
      <c r="B47" s="29" t="n"/>
      <c r="C47" s="29" t="n"/>
      <c r="D47" s="21">
        <f>IF(A47="","",COUNTIFS(Casos!$B$5:$B$204,A47))</f>
        <v/>
      </c>
      <c r="E47" s="21">
        <f>IF(A47="","",COUNTIFS(Casos!$B$5:$B$204,A47,Casos!$L$5:$L$204,"Ativo"))</f>
        <v/>
      </c>
      <c r="F47" s="22">
        <f>IF(A47="","",SUMIFS(Casos!$H$5:$H$204,Casos!$B$5:$B$204,A47))</f>
        <v/>
      </c>
      <c r="G47" s="22">
        <f>IF(A47="","",SUMIFS(Casos!$I$5:$I$204,Casos!$B$5:$B$204,A47))</f>
        <v/>
      </c>
      <c r="H47" s="22">
        <f>IF(A47="","",F47-G47)</f>
        <v/>
      </c>
      <c r="I47" s="23">
        <f>IF(OR(A47="",F47=0),"",G47/F47)</f>
        <v/>
      </c>
      <c r="J47" s="30">
        <f>IF(A47="","",IF(_xlfn.MAXIFS(Casos!$K$5:$K$204,Casos!$B$5:$B$204,A47)=0,"",_xlfn.MAXIFS(Casos!$K$5:$K$204,Casos!$B$5:$B$204,A47)))</f>
        <v/>
      </c>
      <c r="K47" s="31">
        <f>IF(OR(A47="",F47=0),0,F47-ROW()/100000)</f>
        <v/>
      </c>
    </row>
    <row r="48">
      <c r="A48" s="27" t="n"/>
      <c r="B48" s="29" t="n"/>
      <c r="C48" s="29" t="n"/>
      <c r="D48" s="21">
        <f>IF(A48="","",COUNTIFS(Casos!$B$5:$B$204,A48))</f>
        <v/>
      </c>
      <c r="E48" s="21">
        <f>IF(A48="","",COUNTIFS(Casos!$B$5:$B$204,A48,Casos!$L$5:$L$204,"Ativo"))</f>
        <v/>
      </c>
      <c r="F48" s="22">
        <f>IF(A48="","",SUMIFS(Casos!$H$5:$H$204,Casos!$B$5:$B$204,A48))</f>
        <v/>
      </c>
      <c r="G48" s="22">
        <f>IF(A48="","",SUMIFS(Casos!$I$5:$I$204,Casos!$B$5:$B$204,A48))</f>
        <v/>
      </c>
      <c r="H48" s="22">
        <f>IF(A48="","",F48-G48)</f>
        <v/>
      </c>
      <c r="I48" s="23">
        <f>IF(OR(A48="",F48=0),"",G48/F48)</f>
        <v/>
      </c>
      <c r="J48" s="30">
        <f>IF(A48="","",IF(_xlfn.MAXIFS(Casos!$K$5:$K$204,Casos!$B$5:$B$204,A48)=0,"",_xlfn.MAXIFS(Casos!$K$5:$K$204,Casos!$B$5:$B$204,A48)))</f>
        <v/>
      </c>
      <c r="K48" s="31">
        <f>IF(OR(A48="",F48=0),0,F48-ROW()/100000)</f>
        <v/>
      </c>
    </row>
    <row r="49">
      <c r="A49" s="27" t="n"/>
      <c r="B49" s="29" t="n"/>
      <c r="C49" s="29" t="n"/>
      <c r="D49" s="21">
        <f>IF(A49="","",COUNTIFS(Casos!$B$5:$B$204,A49))</f>
        <v/>
      </c>
      <c r="E49" s="21">
        <f>IF(A49="","",COUNTIFS(Casos!$B$5:$B$204,A49,Casos!$L$5:$L$204,"Ativo"))</f>
        <v/>
      </c>
      <c r="F49" s="22">
        <f>IF(A49="","",SUMIFS(Casos!$H$5:$H$204,Casos!$B$5:$B$204,A49))</f>
        <v/>
      </c>
      <c r="G49" s="22">
        <f>IF(A49="","",SUMIFS(Casos!$I$5:$I$204,Casos!$B$5:$B$204,A49))</f>
        <v/>
      </c>
      <c r="H49" s="22">
        <f>IF(A49="","",F49-G49)</f>
        <v/>
      </c>
      <c r="I49" s="23">
        <f>IF(OR(A49="",F49=0),"",G49/F49)</f>
        <v/>
      </c>
      <c r="J49" s="30">
        <f>IF(A49="","",IF(_xlfn.MAXIFS(Casos!$K$5:$K$204,Casos!$B$5:$B$204,A49)=0,"",_xlfn.MAXIFS(Casos!$K$5:$K$204,Casos!$B$5:$B$204,A49)))</f>
        <v/>
      </c>
      <c r="K49" s="31">
        <f>IF(OR(A49="",F49=0),0,F49-ROW()/100000)</f>
        <v/>
      </c>
    </row>
    <row r="50">
      <c r="A50" s="27" t="n"/>
      <c r="B50" s="29" t="n"/>
      <c r="C50" s="29" t="n"/>
      <c r="D50" s="21">
        <f>IF(A50="","",COUNTIFS(Casos!$B$5:$B$204,A50))</f>
        <v/>
      </c>
      <c r="E50" s="21">
        <f>IF(A50="","",COUNTIFS(Casos!$B$5:$B$204,A50,Casos!$L$5:$L$204,"Ativo"))</f>
        <v/>
      </c>
      <c r="F50" s="22">
        <f>IF(A50="","",SUMIFS(Casos!$H$5:$H$204,Casos!$B$5:$B$204,A50))</f>
        <v/>
      </c>
      <c r="G50" s="22">
        <f>IF(A50="","",SUMIFS(Casos!$I$5:$I$204,Casos!$B$5:$B$204,A50))</f>
        <v/>
      </c>
      <c r="H50" s="22">
        <f>IF(A50="","",F50-G50)</f>
        <v/>
      </c>
      <c r="I50" s="23">
        <f>IF(OR(A50="",F50=0),"",G50/F50)</f>
        <v/>
      </c>
      <c r="J50" s="30">
        <f>IF(A50="","",IF(_xlfn.MAXIFS(Casos!$K$5:$K$204,Casos!$B$5:$B$204,A50)=0,"",_xlfn.MAXIFS(Casos!$K$5:$K$204,Casos!$B$5:$B$204,A50)))</f>
        <v/>
      </c>
      <c r="K50" s="31">
        <f>IF(OR(A50="",F50=0),0,F50-ROW()/100000)</f>
        <v/>
      </c>
    </row>
    <row r="51">
      <c r="A51" s="27" t="n"/>
      <c r="B51" s="29" t="n"/>
      <c r="C51" s="29" t="n"/>
      <c r="D51" s="21">
        <f>IF(A51="","",COUNTIFS(Casos!$B$5:$B$204,A51))</f>
        <v/>
      </c>
      <c r="E51" s="21">
        <f>IF(A51="","",COUNTIFS(Casos!$B$5:$B$204,A51,Casos!$L$5:$L$204,"Ativo"))</f>
        <v/>
      </c>
      <c r="F51" s="22">
        <f>IF(A51="","",SUMIFS(Casos!$H$5:$H$204,Casos!$B$5:$B$204,A51))</f>
        <v/>
      </c>
      <c r="G51" s="22">
        <f>IF(A51="","",SUMIFS(Casos!$I$5:$I$204,Casos!$B$5:$B$204,A51))</f>
        <v/>
      </c>
      <c r="H51" s="22">
        <f>IF(A51="","",F51-G51)</f>
        <v/>
      </c>
      <c r="I51" s="23">
        <f>IF(OR(A51="",F51=0),"",G51/F51)</f>
        <v/>
      </c>
      <c r="J51" s="30">
        <f>IF(A51="","",IF(_xlfn.MAXIFS(Casos!$K$5:$K$204,Casos!$B$5:$B$204,A51)=0,"",_xlfn.MAXIFS(Casos!$K$5:$K$204,Casos!$B$5:$B$204,A51)))</f>
        <v/>
      </c>
      <c r="K51" s="31">
        <f>IF(OR(A51="",F51=0),0,F51-ROW()/100000)</f>
        <v/>
      </c>
    </row>
    <row r="52">
      <c r="A52" s="27" t="n"/>
      <c r="B52" s="29" t="n"/>
      <c r="C52" s="29" t="n"/>
      <c r="D52" s="21">
        <f>IF(A52="","",COUNTIFS(Casos!$B$5:$B$204,A52))</f>
        <v/>
      </c>
      <c r="E52" s="21">
        <f>IF(A52="","",COUNTIFS(Casos!$B$5:$B$204,A52,Casos!$L$5:$L$204,"Ativo"))</f>
        <v/>
      </c>
      <c r="F52" s="22">
        <f>IF(A52="","",SUMIFS(Casos!$H$5:$H$204,Casos!$B$5:$B$204,A52))</f>
        <v/>
      </c>
      <c r="G52" s="22">
        <f>IF(A52="","",SUMIFS(Casos!$I$5:$I$204,Casos!$B$5:$B$204,A52))</f>
        <v/>
      </c>
      <c r="H52" s="22">
        <f>IF(A52="","",F52-G52)</f>
        <v/>
      </c>
      <c r="I52" s="23">
        <f>IF(OR(A52="",F52=0),"",G52/F52)</f>
        <v/>
      </c>
      <c r="J52" s="30">
        <f>IF(A52="","",IF(_xlfn.MAXIFS(Casos!$K$5:$K$204,Casos!$B$5:$B$204,A52)=0,"",_xlfn.MAXIFS(Casos!$K$5:$K$204,Casos!$B$5:$B$204,A52)))</f>
        <v/>
      </c>
      <c r="K52" s="31">
        <f>IF(OR(A52="",F52=0),0,F52-ROW()/100000)</f>
        <v/>
      </c>
    </row>
    <row r="53">
      <c r="A53" s="27" t="n"/>
      <c r="B53" s="29" t="n"/>
      <c r="C53" s="29" t="n"/>
      <c r="D53" s="21">
        <f>IF(A53="","",COUNTIFS(Casos!$B$5:$B$204,A53))</f>
        <v/>
      </c>
      <c r="E53" s="21">
        <f>IF(A53="","",COUNTIFS(Casos!$B$5:$B$204,A53,Casos!$L$5:$L$204,"Ativo"))</f>
        <v/>
      </c>
      <c r="F53" s="22">
        <f>IF(A53="","",SUMIFS(Casos!$H$5:$H$204,Casos!$B$5:$B$204,A53))</f>
        <v/>
      </c>
      <c r="G53" s="22">
        <f>IF(A53="","",SUMIFS(Casos!$I$5:$I$204,Casos!$B$5:$B$204,A53))</f>
        <v/>
      </c>
      <c r="H53" s="22">
        <f>IF(A53="","",F53-G53)</f>
        <v/>
      </c>
      <c r="I53" s="23">
        <f>IF(OR(A53="",F53=0),"",G53/F53)</f>
        <v/>
      </c>
      <c r="J53" s="30">
        <f>IF(A53="","",IF(_xlfn.MAXIFS(Casos!$K$5:$K$204,Casos!$B$5:$B$204,A53)=0,"",_xlfn.MAXIFS(Casos!$K$5:$K$204,Casos!$B$5:$B$204,A53)))</f>
        <v/>
      </c>
      <c r="K53" s="31">
        <f>IF(OR(A53="",F53=0),0,F53-ROW()/100000)</f>
        <v/>
      </c>
    </row>
    <row r="54">
      <c r="A54" s="27" t="n"/>
      <c r="B54" s="29" t="n"/>
      <c r="C54" s="29" t="n"/>
      <c r="D54" s="21">
        <f>IF(A54="","",COUNTIFS(Casos!$B$5:$B$204,A54))</f>
        <v/>
      </c>
      <c r="E54" s="21">
        <f>IF(A54="","",COUNTIFS(Casos!$B$5:$B$204,A54,Casos!$L$5:$L$204,"Ativo"))</f>
        <v/>
      </c>
      <c r="F54" s="22">
        <f>IF(A54="","",SUMIFS(Casos!$H$5:$H$204,Casos!$B$5:$B$204,A54))</f>
        <v/>
      </c>
      <c r="G54" s="22">
        <f>IF(A54="","",SUMIFS(Casos!$I$5:$I$204,Casos!$B$5:$B$204,A54))</f>
        <v/>
      </c>
      <c r="H54" s="22">
        <f>IF(A54="","",F54-G54)</f>
        <v/>
      </c>
      <c r="I54" s="23">
        <f>IF(OR(A54="",F54=0),"",G54/F54)</f>
        <v/>
      </c>
      <c r="J54" s="30">
        <f>IF(A54="","",IF(_xlfn.MAXIFS(Casos!$K$5:$K$204,Casos!$B$5:$B$204,A54)=0,"",_xlfn.MAXIFS(Casos!$K$5:$K$204,Casos!$B$5:$B$204,A54)))</f>
        <v/>
      </c>
      <c r="K54" s="31">
        <f>IF(OR(A54="",F54=0),0,F54-ROW()/100000)</f>
        <v/>
      </c>
    </row>
    <row r="55">
      <c r="A55" s="27" t="n"/>
      <c r="B55" s="29" t="n"/>
      <c r="C55" s="29" t="n"/>
      <c r="D55" s="21">
        <f>IF(A55="","",COUNTIFS(Casos!$B$5:$B$204,A55))</f>
        <v/>
      </c>
      <c r="E55" s="21">
        <f>IF(A55="","",COUNTIFS(Casos!$B$5:$B$204,A55,Casos!$L$5:$L$204,"Ativo"))</f>
        <v/>
      </c>
      <c r="F55" s="22">
        <f>IF(A55="","",SUMIFS(Casos!$H$5:$H$204,Casos!$B$5:$B$204,A55))</f>
        <v/>
      </c>
      <c r="G55" s="22">
        <f>IF(A55="","",SUMIFS(Casos!$I$5:$I$204,Casos!$B$5:$B$204,A55))</f>
        <v/>
      </c>
      <c r="H55" s="22">
        <f>IF(A55="","",F55-G55)</f>
        <v/>
      </c>
      <c r="I55" s="23">
        <f>IF(OR(A55="",F55=0),"",G55/F55)</f>
        <v/>
      </c>
      <c r="J55" s="30">
        <f>IF(A55="","",IF(_xlfn.MAXIFS(Casos!$K$5:$K$204,Casos!$B$5:$B$204,A55)=0,"",_xlfn.MAXIFS(Casos!$K$5:$K$204,Casos!$B$5:$B$204,A55)))</f>
        <v/>
      </c>
      <c r="K55" s="31">
        <f>IF(OR(A55="",F55=0),0,F55-ROW()/100000)</f>
        <v/>
      </c>
    </row>
    <row r="56">
      <c r="A56" s="27" t="n"/>
      <c r="B56" s="29" t="n"/>
      <c r="C56" s="29" t="n"/>
      <c r="D56" s="21">
        <f>IF(A56="","",COUNTIFS(Casos!$B$5:$B$204,A56))</f>
        <v/>
      </c>
      <c r="E56" s="21">
        <f>IF(A56="","",COUNTIFS(Casos!$B$5:$B$204,A56,Casos!$L$5:$L$204,"Ativo"))</f>
        <v/>
      </c>
      <c r="F56" s="22">
        <f>IF(A56="","",SUMIFS(Casos!$H$5:$H$204,Casos!$B$5:$B$204,A56))</f>
        <v/>
      </c>
      <c r="G56" s="22">
        <f>IF(A56="","",SUMIFS(Casos!$I$5:$I$204,Casos!$B$5:$B$204,A56))</f>
        <v/>
      </c>
      <c r="H56" s="22">
        <f>IF(A56="","",F56-G56)</f>
        <v/>
      </c>
      <c r="I56" s="23">
        <f>IF(OR(A56="",F56=0),"",G56/F56)</f>
        <v/>
      </c>
      <c r="J56" s="30">
        <f>IF(A56="","",IF(_xlfn.MAXIFS(Casos!$K$5:$K$204,Casos!$B$5:$B$204,A56)=0,"",_xlfn.MAXIFS(Casos!$K$5:$K$204,Casos!$B$5:$B$204,A56)))</f>
        <v/>
      </c>
      <c r="K56" s="31">
        <f>IF(OR(A56="",F56=0),0,F56-ROW()/100000)</f>
        <v/>
      </c>
    </row>
    <row r="57">
      <c r="A57" s="27" t="n"/>
      <c r="B57" s="29" t="n"/>
      <c r="C57" s="29" t="n"/>
      <c r="D57" s="21">
        <f>IF(A57="","",COUNTIFS(Casos!$B$5:$B$204,A57))</f>
        <v/>
      </c>
      <c r="E57" s="21">
        <f>IF(A57="","",COUNTIFS(Casos!$B$5:$B$204,A57,Casos!$L$5:$L$204,"Ativo"))</f>
        <v/>
      </c>
      <c r="F57" s="22">
        <f>IF(A57="","",SUMIFS(Casos!$H$5:$H$204,Casos!$B$5:$B$204,A57))</f>
        <v/>
      </c>
      <c r="G57" s="22">
        <f>IF(A57="","",SUMIFS(Casos!$I$5:$I$204,Casos!$B$5:$B$204,A57))</f>
        <v/>
      </c>
      <c r="H57" s="22">
        <f>IF(A57="","",F57-G57)</f>
        <v/>
      </c>
      <c r="I57" s="23">
        <f>IF(OR(A57="",F57=0),"",G57/F57)</f>
        <v/>
      </c>
      <c r="J57" s="30">
        <f>IF(A57="","",IF(_xlfn.MAXIFS(Casos!$K$5:$K$204,Casos!$B$5:$B$204,A57)=0,"",_xlfn.MAXIFS(Casos!$K$5:$K$204,Casos!$B$5:$B$204,A57)))</f>
        <v/>
      </c>
      <c r="K57" s="31">
        <f>IF(OR(A57="",F57=0),0,F57-ROW()/100000)</f>
        <v/>
      </c>
    </row>
    <row r="58">
      <c r="A58" s="27" t="n"/>
      <c r="B58" s="29" t="n"/>
      <c r="C58" s="29" t="n"/>
      <c r="D58" s="21">
        <f>IF(A58="","",COUNTIFS(Casos!$B$5:$B$204,A58))</f>
        <v/>
      </c>
      <c r="E58" s="21">
        <f>IF(A58="","",COUNTIFS(Casos!$B$5:$B$204,A58,Casos!$L$5:$L$204,"Ativo"))</f>
        <v/>
      </c>
      <c r="F58" s="22">
        <f>IF(A58="","",SUMIFS(Casos!$H$5:$H$204,Casos!$B$5:$B$204,A58))</f>
        <v/>
      </c>
      <c r="G58" s="22">
        <f>IF(A58="","",SUMIFS(Casos!$I$5:$I$204,Casos!$B$5:$B$204,A58))</f>
        <v/>
      </c>
      <c r="H58" s="22">
        <f>IF(A58="","",F58-G58)</f>
        <v/>
      </c>
      <c r="I58" s="23">
        <f>IF(OR(A58="",F58=0),"",G58/F58)</f>
        <v/>
      </c>
      <c r="J58" s="30">
        <f>IF(A58="","",IF(_xlfn.MAXIFS(Casos!$K$5:$K$204,Casos!$B$5:$B$204,A58)=0,"",_xlfn.MAXIFS(Casos!$K$5:$K$204,Casos!$B$5:$B$204,A58)))</f>
        <v/>
      </c>
      <c r="K58" s="31">
        <f>IF(OR(A58="",F58=0),0,F58-ROW()/100000)</f>
        <v/>
      </c>
    </row>
    <row r="59">
      <c r="A59" s="27" t="n"/>
      <c r="B59" s="29" t="n"/>
      <c r="C59" s="29" t="n"/>
      <c r="D59" s="21">
        <f>IF(A59="","",COUNTIFS(Casos!$B$5:$B$204,A59))</f>
        <v/>
      </c>
      <c r="E59" s="21">
        <f>IF(A59="","",COUNTIFS(Casos!$B$5:$B$204,A59,Casos!$L$5:$L$204,"Ativo"))</f>
        <v/>
      </c>
      <c r="F59" s="22">
        <f>IF(A59="","",SUMIFS(Casos!$H$5:$H$204,Casos!$B$5:$B$204,A59))</f>
        <v/>
      </c>
      <c r="G59" s="22">
        <f>IF(A59="","",SUMIFS(Casos!$I$5:$I$204,Casos!$B$5:$B$204,A59))</f>
        <v/>
      </c>
      <c r="H59" s="22">
        <f>IF(A59="","",F59-G59)</f>
        <v/>
      </c>
      <c r="I59" s="23">
        <f>IF(OR(A59="",F59=0),"",G59/F59)</f>
        <v/>
      </c>
      <c r="J59" s="30">
        <f>IF(A59="","",IF(_xlfn.MAXIFS(Casos!$K$5:$K$204,Casos!$B$5:$B$204,A59)=0,"",_xlfn.MAXIFS(Casos!$K$5:$K$204,Casos!$B$5:$B$204,A59)))</f>
        <v/>
      </c>
      <c r="K59" s="31">
        <f>IF(OR(A59="",F59=0),0,F59-ROW()/100000)</f>
        <v/>
      </c>
    </row>
    <row r="60">
      <c r="A60" s="27" t="n"/>
      <c r="B60" s="29" t="n"/>
      <c r="C60" s="29" t="n"/>
      <c r="D60" s="21">
        <f>IF(A60="","",COUNTIFS(Casos!$B$5:$B$204,A60))</f>
        <v/>
      </c>
      <c r="E60" s="21">
        <f>IF(A60="","",COUNTIFS(Casos!$B$5:$B$204,A60,Casos!$L$5:$L$204,"Ativo"))</f>
        <v/>
      </c>
      <c r="F60" s="22">
        <f>IF(A60="","",SUMIFS(Casos!$H$5:$H$204,Casos!$B$5:$B$204,A60))</f>
        <v/>
      </c>
      <c r="G60" s="22">
        <f>IF(A60="","",SUMIFS(Casos!$I$5:$I$204,Casos!$B$5:$B$204,A60))</f>
        <v/>
      </c>
      <c r="H60" s="22">
        <f>IF(A60="","",F60-G60)</f>
        <v/>
      </c>
      <c r="I60" s="23">
        <f>IF(OR(A60="",F60=0),"",G60/F60)</f>
        <v/>
      </c>
      <c r="J60" s="30">
        <f>IF(A60="","",IF(_xlfn.MAXIFS(Casos!$K$5:$K$204,Casos!$B$5:$B$204,A60)=0,"",_xlfn.MAXIFS(Casos!$K$5:$K$204,Casos!$B$5:$B$204,A60)))</f>
        <v/>
      </c>
      <c r="K60" s="31">
        <f>IF(OR(A60="",F60=0),0,F60-ROW()/100000)</f>
        <v/>
      </c>
    </row>
    <row r="61">
      <c r="A61" s="27" t="n"/>
      <c r="B61" s="29" t="n"/>
      <c r="C61" s="29" t="n"/>
      <c r="D61" s="21">
        <f>IF(A61="","",COUNTIFS(Casos!$B$5:$B$204,A61))</f>
        <v/>
      </c>
      <c r="E61" s="21">
        <f>IF(A61="","",COUNTIFS(Casos!$B$5:$B$204,A61,Casos!$L$5:$L$204,"Ativo"))</f>
        <v/>
      </c>
      <c r="F61" s="22">
        <f>IF(A61="","",SUMIFS(Casos!$H$5:$H$204,Casos!$B$5:$B$204,A61))</f>
        <v/>
      </c>
      <c r="G61" s="22">
        <f>IF(A61="","",SUMIFS(Casos!$I$5:$I$204,Casos!$B$5:$B$204,A61))</f>
        <v/>
      </c>
      <c r="H61" s="22">
        <f>IF(A61="","",F61-G61)</f>
        <v/>
      </c>
      <c r="I61" s="23">
        <f>IF(OR(A61="",F61=0),"",G61/F61)</f>
        <v/>
      </c>
      <c r="J61" s="30">
        <f>IF(A61="","",IF(_xlfn.MAXIFS(Casos!$K$5:$K$204,Casos!$B$5:$B$204,A61)=0,"",_xlfn.MAXIFS(Casos!$K$5:$K$204,Casos!$B$5:$B$204,A61)))</f>
        <v/>
      </c>
      <c r="K61" s="31">
        <f>IF(OR(A61="",F61=0),0,F61-ROW()/100000)</f>
        <v/>
      </c>
    </row>
    <row r="62">
      <c r="A62" s="27" t="n"/>
      <c r="B62" s="29" t="n"/>
      <c r="C62" s="29" t="n"/>
      <c r="D62" s="21">
        <f>IF(A62="","",COUNTIFS(Casos!$B$5:$B$204,A62))</f>
        <v/>
      </c>
      <c r="E62" s="21">
        <f>IF(A62="","",COUNTIFS(Casos!$B$5:$B$204,A62,Casos!$L$5:$L$204,"Ativo"))</f>
        <v/>
      </c>
      <c r="F62" s="22">
        <f>IF(A62="","",SUMIFS(Casos!$H$5:$H$204,Casos!$B$5:$B$204,A62))</f>
        <v/>
      </c>
      <c r="G62" s="22">
        <f>IF(A62="","",SUMIFS(Casos!$I$5:$I$204,Casos!$B$5:$B$204,A62))</f>
        <v/>
      </c>
      <c r="H62" s="22">
        <f>IF(A62="","",F62-G62)</f>
        <v/>
      </c>
      <c r="I62" s="23">
        <f>IF(OR(A62="",F62=0),"",G62/F62)</f>
        <v/>
      </c>
      <c r="J62" s="30">
        <f>IF(A62="","",IF(_xlfn.MAXIFS(Casos!$K$5:$K$204,Casos!$B$5:$B$204,A62)=0,"",_xlfn.MAXIFS(Casos!$K$5:$K$204,Casos!$B$5:$B$204,A62)))</f>
        <v/>
      </c>
      <c r="K62" s="31">
        <f>IF(OR(A62="",F62=0),0,F62-ROW()/100000)</f>
        <v/>
      </c>
    </row>
    <row r="63">
      <c r="A63" s="27" t="n"/>
      <c r="B63" s="29" t="n"/>
      <c r="C63" s="29" t="n"/>
      <c r="D63" s="21">
        <f>IF(A63="","",COUNTIFS(Casos!$B$5:$B$204,A63))</f>
        <v/>
      </c>
      <c r="E63" s="21">
        <f>IF(A63="","",COUNTIFS(Casos!$B$5:$B$204,A63,Casos!$L$5:$L$204,"Ativo"))</f>
        <v/>
      </c>
      <c r="F63" s="22">
        <f>IF(A63="","",SUMIFS(Casos!$H$5:$H$204,Casos!$B$5:$B$204,A63))</f>
        <v/>
      </c>
      <c r="G63" s="22">
        <f>IF(A63="","",SUMIFS(Casos!$I$5:$I$204,Casos!$B$5:$B$204,A63))</f>
        <v/>
      </c>
      <c r="H63" s="22">
        <f>IF(A63="","",F63-G63)</f>
        <v/>
      </c>
      <c r="I63" s="23">
        <f>IF(OR(A63="",F63=0),"",G63/F63)</f>
        <v/>
      </c>
      <c r="J63" s="30">
        <f>IF(A63="","",IF(_xlfn.MAXIFS(Casos!$K$5:$K$204,Casos!$B$5:$B$204,A63)=0,"",_xlfn.MAXIFS(Casos!$K$5:$K$204,Casos!$B$5:$B$204,A63)))</f>
        <v/>
      </c>
      <c r="K63" s="31">
        <f>IF(OR(A63="",F63=0),0,F63-ROW()/100000)</f>
        <v/>
      </c>
    </row>
    <row r="64">
      <c r="A64" s="27" t="n"/>
      <c r="B64" s="29" t="n"/>
      <c r="C64" s="29" t="n"/>
      <c r="D64" s="21">
        <f>IF(A64="","",COUNTIFS(Casos!$B$5:$B$204,A64))</f>
        <v/>
      </c>
      <c r="E64" s="21">
        <f>IF(A64="","",COUNTIFS(Casos!$B$5:$B$204,A64,Casos!$L$5:$L$204,"Ativo"))</f>
        <v/>
      </c>
      <c r="F64" s="22">
        <f>IF(A64="","",SUMIFS(Casos!$H$5:$H$204,Casos!$B$5:$B$204,A64))</f>
        <v/>
      </c>
      <c r="G64" s="22">
        <f>IF(A64="","",SUMIFS(Casos!$I$5:$I$204,Casos!$B$5:$B$204,A64))</f>
        <v/>
      </c>
      <c r="H64" s="22">
        <f>IF(A64="","",F64-G64)</f>
        <v/>
      </c>
      <c r="I64" s="23">
        <f>IF(OR(A64="",F64=0),"",G64/F64)</f>
        <v/>
      </c>
      <c r="J64" s="30">
        <f>IF(A64="","",IF(_xlfn.MAXIFS(Casos!$K$5:$K$204,Casos!$B$5:$B$204,A64)=0,"",_xlfn.MAXIFS(Casos!$K$5:$K$204,Casos!$B$5:$B$204,A64)))</f>
        <v/>
      </c>
      <c r="K64" s="31">
        <f>IF(OR(A64="",F64=0),0,F64-ROW()/100000)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64"/>
  <mergeCells count="2">
    <mergeCell ref="A1:J1"/>
    <mergeCell ref="A2:J2"/>
  </mergeCells>
  <conditionalFormatting sqref="H5:H64">
    <cfRule type="expression" priority="1" dxfId="0">
      <formula>AND(ISNUMBER(H5),H5&lt;0)</formula>
    </cfRule>
  </conditionalFormatting>
  <dataValidations count="2">
    <dataValidation sqref="B5:B64" showDropDown="0" showInputMessage="0" showErrorMessage="1" allowBlank="1" type="list">
      <formula1>"PF,PJ"</formula1>
    </dataValidation>
    <dataValidation sqref="C5:C64" showDropDown="0" showInputMessage="0" showErrorMessage="0" allowBlank="1" type="list">
      <formula1>=OFFSET(Config!$A$9,0,0,MAX(1,COUNTA(Config!$A$9:$A$18)),1)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7" customWidth="1" min="3" max="3"/>
    <col width="15" customWidth="1" min="4" max="4"/>
    <col width="13" customWidth="1" min="5" max="5"/>
    <col width="16" customWidth="1" min="6" max="6"/>
    <col width="12" customWidth="1" min="7" max="7"/>
    <col width="16" customWidth="1" min="8" max="8"/>
    <col width="14" customWidth="1" min="9" max="9"/>
    <col width="14" customWidth="1" min="10" max="10"/>
    <col width="12" customWidth="1" min="11" max="11"/>
    <col width="11" customWidth="1" min="12" max="12"/>
    <col width="10" customWidth="1" min="13" max="13"/>
  </cols>
  <sheetData>
    <row r="1" ht="28" customHeight="1">
      <c r="A1" s="5" t="inlineStr">
        <is>
          <t>Casos</t>
        </is>
      </c>
    </row>
    <row r="2">
      <c r="A2" s="6" t="inlineStr">
        <is>
          <t>Uma linha por caso. Cliente, área, fase, responsável e modalidade vêm de listas; tipo, a receber e situação são calculados.</t>
        </is>
      </c>
    </row>
    <row r="4" ht="26" customHeight="1">
      <c r="A4" s="19" t="inlineStr">
        <is>
          <t>Número do processo ou referência</t>
        </is>
      </c>
      <c r="B4" s="19" t="inlineStr">
        <is>
          <t>Cliente</t>
        </is>
      </c>
      <c r="C4" s="19" t="inlineStr">
        <is>
          <t>Tipo</t>
        </is>
      </c>
      <c r="D4" s="19" t="inlineStr">
        <is>
          <t>Área</t>
        </is>
      </c>
      <c r="E4" s="19" t="inlineStr">
        <is>
          <t>Fase</t>
        </is>
      </c>
      <c r="F4" s="19" t="inlineStr">
        <is>
          <t>Responsável</t>
        </is>
      </c>
      <c r="G4" s="19" t="inlineStr">
        <is>
          <t>Modalidade</t>
        </is>
      </c>
      <c r="H4" s="19" t="inlineStr">
        <is>
          <t>Valor contratado (R$)</t>
        </is>
      </c>
      <c r="I4" s="19" t="inlineStr">
        <is>
          <t>Recebido (R$)</t>
        </is>
      </c>
      <c r="J4" s="19" t="inlineStr">
        <is>
          <t>A receber (R$)</t>
        </is>
      </c>
      <c r="K4" s="19" t="inlineStr">
        <is>
          <t>Abertura</t>
        </is>
      </c>
      <c r="L4" s="19" t="inlineStr">
        <is>
          <t>Situação</t>
        </is>
      </c>
      <c r="M4" s="19" t="inlineStr">
        <is>
          <t>% recebido</t>
        </is>
      </c>
    </row>
    <row r="5">
      <c r="A5" s="27" t="inlineStr">
        <is>
          <t>9236009-85.2026.8.26.0452</t>
        </is>
      </c>
      <c r="B5" s="27" t="inlineStr">
        <is>
          <t>Padaria do Sol Ltda</t>
        </is>
      </c>
      <c r="C5" s="21">
        <f>IF(B5="","",IFERROR(INDEX(Clientes!$B$5:$B$64,MATCH(B5,Clientes!$A$5:$A$64,0)),""))</f>
        <v/>
      </c>
      <c r="D5" s="29" t="inlineStr">
        <is>
          <t>Empresarial</t>
        </is>
      </c>
      <c r="E5" s="29" t="inlineStr">
        <is>
          <t>Inicial</t>
        </is>
      </c>
      <c r="F5" s="29" t="inlineStr">
        <is>
          <t>Marina Ferraz</t>
        </is>
      </c>
      <c r="G5" s="29" t="inlineStr">
        <is>
          <t>Êxito</t>
        </is>
      </c>
      <c r="H5" s="32" t="n">
        <v>14400</v>
      </c>
      <c r="I5" s="32" t="n">
        <v>0</v>
      </c>
      <c r="J5" s="22">
        <f>IF(B5="","",H5-I5)</f>
        <v/>
      </c>
      <c r="K5" s="33" t="n">
        <v>46154</v>
      </c>
      <c r="L5" s="21">
        <f>IF(B5="","",IF(E5=Config!$B$6,"Encerrado","Ativo"))</f>
        <v/>
      </c>
      <c r="M5" s="23">
        <f>IF(OR(B5="",H5=0,H5=""),"",I5/H5)</f>
        <v/>
      </c>
    </row>
    <row r="6">
      <c r="A6" s="27" t="inlineStr">
        <is>
          <t>9225646-96.2026.8.26.0322</t>
        </is>
      </c>
      <c r="B6" s="27" t="inlineStr">
        <is>
          <t>Ana Beatriz Moreira</t>
        </is>
      </c>
      <c r="C6" s="21">
        <f>IF(B6="","",IFERROR(INDEX(Clientes!$B$5:$B$64,MATCH(B6,Clientes!$A$5:$A$64,0)),""))</f>
        <v/>
      </c>
      <c r="D6" s="29" t="inlineStr">
        <is>
          <t>Trabalhista</t>
        </is>
      </c>
      <c r="E6" s="29" t="inlineStr">
        <is>
          <t>Sentença</t>
        </is>
      </c>
      <c r="F6" s="29" t="inlineStr">
        <is>
          <t>Rafael Lima</t>
        </is>
      </c>
      <c r="G6" s="29" t="inlineStr">
        <is>
          <t>Fixo</t>
        </is>
      </c>
      <c r="H6" s="32" t="n">
        <v>8000</v>
      </c>
      <c r="I6" s="32" t="n">
        <v>4800</v>
      </c>
      <c r="J6" s="22">
        <f>IF(B6="","",H6-I6)</f>
        <v/>
      </c>
      <c r="K6" s="33" t="n">
        <v>46146</v>
      </c>
      <c r="L6" s="21">
        <f>IF(B6="","",IF(E6=Config!$B$6,"Encerrado","Ativo"))</f>
        <v/>
      </c>
      <c r="M6" s="23">
        <f>IF(OR(B6="",H6=0,H6=""),"",I6/H6)</f>
        <v/>
      </c>
    </row>
    <row r="7">
      <c r="A7" s="27" t="inlineStr">
        <is>
          <t>6710873-21.2025.8.26.0571</t>
        </is>
      </c>
      <c r="B7" s="27" t="inlineStr">
        <is>
          <t>Construtora Horizonte</t>
        </is>
      </c>
      <c r="C7" s="21">
        <f>IF(B7="","",IFERROR(INDEX(Clientes!$B$5:$B$64,MATCH(B7,Clientes!$A$5:$A$64,0)),""))</f>
        <v/>
      </c>
      <c r="D7" s="29" t="inlineStr">
        <is>
          <t>Cível</t>
        </is>
      </c>
      <c r="E7" s="29" t="inlineStr">
        <is>
          <t>Sentença</t>
        </is>
      </c>
      <c r="F7" s="29" t="inlineStr">
        <is>
          <t>Marina Ferraz</t>
        </is>
      </c>
      <c r="G7" s="29" t="inlineStr">
        <is>
          <t>Misto</t>
        </is>
      </c>
      <c r="H7" s="32" t="n">
        <v>8100</v>
      </c>
      <c r="I7" s="32" t="n">
        <v>8100</v>
      </c>
      <c r="J7" s="22">
        <f>IF(B7="","",H7-I7)</f>
        <v/>
      </c>
      <c r="K7" s="33" t="n">
        <v>45894</v>
      </c>
      <c r="L7" s="21">
        <f>IF(B7="","",IF(E7=Config!$B$6,"Encerrado","Ativo"))</f>
        <v/>
      </c>
      <c r="M7" s="23">
        <f>IF(OR(B7="",H7=0,H7=""),"",I7/H7)</f>
        <v/>
      </c>
    </row>
    <row r="8">
      <c r="A8" s="27" t="inlineStr">
        <is>
          <t>8735513-64.2025.8.26.0093</t>
        </is>
      </c>
      <c r="B8" s="27" t="inlineStr">
        <is>
          <t>Carlos Eduardo Nunes</t>
        </is>
      </c>
      <c r="C8" s="21">
        <f>IF(B8="","",IFERROR(INDEX(Clientes!$B$5:$B$64,MATCH(B8,Clientes!$A$5:$A$64,0)),""))</f>
        <v/>
      </c>
      <c r="D8" s="29" t="inlineStr">
        <is>
          <t>Previdenciário</t>
        </is>
      </c>
      <c r="E8" s="29" t="inlineStr">
        <is>
          <t>Recurso</t>
        </is>
      </c>
      <c r="F8" s="29" t="inlineStr">
        <is>
          <t>Rafael Lima</t>
        </is>
      </c>
      <c r="G8" s="29" t="inlineStr">
        <is>
          <t>Êxito</t>
        </is>
      </c>
      <c r="H8" s="32" t="n">
        <v>5700</v>
      </c>
      <c r="I8" s="32" t="n">
        <v>0</v>
      </c>
      <c r="J8" s="22">
        <f>IF(B8="","",H8-I8)</f>
        <v/>
      </c>
      <c r="K8" s="33" t="n">
        <v>45943</v>
      </c>
      <c r="L8" s="21">
        <f>IF(B8="","",IF(E8=Config!$B$6,"Encerrado","Ativo"))</f>
        <v/>
      </c>
      <c r="M8" s="23">
        <f>IF(OR(B8="",H8=0,H8=""),"",I8/H8)</f>
        <v/>
      </c>
    </row>
    <row r="9">
      <c r="A9" s="27" t="inlineStr">
        <is>
          <t>9802211-43.2025.8.26.0431</t>
        </is>
      </c>
      <c r="B9" s="27" t="inlineStr">
        <is>
          <t>Loja Verde Comércio</t>
        </is>
      </c>
      <c r="C9" s="21">
        <f>IF(B9="","",IFERROR(INDEX(Clientes!$B$5:$B$64,MATCH(B9,Clientes!$A$5:$A$64,0)),""))</f>
        <v/>
      </c>
      <c r="D9" s="29" t="inlineStr">
        <is>
          <t>Empresarial</t>
        </is>
      </c>
      <c r="E9" s="29" t="inlineStr">
        <is>
          <t>Acordo</t>
        </is>
      </c>
      <c r="F9" s="29" t="inlineStr">
        <is>
          <t>Marina Ferraz</t>
        </is>
      </c>
      <c r="G9" s="29" t="inlineStr">
        <is>
          <t>Misto</t>
        </is>
      </c>
      <c r="H9" s="32" t="n">
        <v>19600</v>
      </c>
      <c r="I9" s="32" t="n">
        <v>19600</v>
      </c>
      <c r="J9" s="22">
        <f>IF(B9="","",H9-I9)</f>
        <v/>
      </c>
      <c r="K9" s="33" t="n">
        <v>45824</v>
      </c>
      <c r="L9" s="21">
        <f>IF(B9="","",IF(E9=Config!$B$6,"Encerrado","Ativo"))</f>
        <v/>
      </c>
      <c r="M9" s="23">
        <f>IF(OR(B9="",H9=0,H9=""),"",I9/H9)</f>
        <v/>
      </c>
    </row>
    <row r="10">
      <c r="A10" s="27" t="inlineStr">
        <is>
          <t>9778116-95.2026.8.26.0106</t>
        </is>
      </c>
      <c r="B10" s="27" t="inlineStr">
        <is>
          <t>Fernanda Castro</t>
        </is>
      </c>
      <c r="C10" s="21">
        <f>IF(B10="","",IFERROR(INDEX(Clientes!$B$5:$B$64,MATCH(B10,Clientes!$A$5:$A$64,0)),""))</f>
        <v/>
      </c>
      <c r="D10" s="29" t="inlineStr">
        <is>
          <t>Família</t>
        </is>
      </c>
      <c r="E10" s="29" t="inlineStr">
        <is>
          <t>Encerrado</t>
        </is>
      </c>
      <c r="F10" s="29" t="inlineStr">
        <is>
          <t>Marina Ferraz</t>
        </is>
      </c>
      <c r="G10" s="29" t="inlineStr">
        <is>
          <t>Fixo</t>
        </is>
      </c>
      <c r="H10" s="32" t="n">
        <v>9000</v>
      </c>
      <c r="I10" s="32" t="n">
        <v>9000</v>
      </c>
      <c r="J10" s="22">
        <f>IF(B10="","",H10-I10)</f>
        <v/>
      </c>
      <c r="K10" s="33" t="n">
        <v>46127</v>
      </c>
      <c r="L10" s="21">
        <f>IF(B10="","",IF(E10=Config!$B$6,"Encerrado","Ativo"))</f>
        <v/>
      </c>
      <c r="M10" s="23">
        <f>IF(OR(B10="",H10=0,H10=""),"",I10/H10)</f>
        <v/>
      </c>
    </row>
    <row r="11">
      <c r="A11" s="27" t="inlineStr">
        <is>
          <t>8875326-79.2026.8.26.0258</t>
        </is>
      </c>
      <c r="B11" s="27" t="inlineStr">
        <is>
          <t>Bistrô 42</t>
        </is>
      </c>
      <c r="C11" s="21">
        <f>IF(B11="","",IFERROR(INDEX(Clientes!$B$5:$B$64,MATCH(B11,Clientes!$A$5:$A$64,0)),""))</f>
        <v/>
      </c>
      <c r="D11" s="29" t="inlineStr">
        <is>
          <t>Trabalhista</t>
        </is>
      </c>
      <c r="E11" s="29" t="inlineStr">
        <is>
          <t>Acordo</t>
        </is>
      </c>
      <c r="F11" s="29" t="inlineStr">
        <is>
          <t>Rafael Lima</t>
        </is>
      </c>
      <c r="G11" s="29" t="inlineStr">
        <is>
          <t>Misto</t>
        </is>
      </c>
      <c r="H11" s="32" t="n">
        <v>4600</v>
      </c>
      <c r="I11" s="32" t="n">
        <v>4600</v>
      </c>
      <c r="J11" s="22">
        <f>IF(B11="","",H11-I11)</f>
        <v/>
      </c>
      <c r="K11" s="33" t="n">
        <v>46025</v>
      </c>
      <c r="L11" s="21">
        <f>IF(B11="","",IF(E11=Config!$B$6,"Encerrado","Ativo"))</f>
        <v/>
      </c>
      <c r="M11" s="23">
        <f>IF(OR(B11="",H11=0,H11=""),"",I11/H11)</f>
        <v/>
      </c>
    </row>
    <row r="12">
      <c r="A12" s="27" t="inlineStr">
        <is>
          <t>4397912-47.2025.8.26.0276</t>
        </is>
      </c>
      <c r="B12" s="27" t="inlineStr">
        <is>
          <t>Roberto Almeida</t>
        </is>
      </c>
      <c r="C12" s="21">
        <f>IF(B12="","",IFERROR(INDEX(Clientes!$B$5:$B$64,MATCH(B12,Clientes!$A$5:$A$64,0)),""))</f>
        <v/>
      </c>
      <c r="D12" s="29" t="inlineStr">
        <is>
          <t>Cível</t>
        </is>
      </c>
      <c r="E12" s="29" t="inlineStr">
        <is>
          <t>Acordo</t>
        </is>
      </c>
      <c r="F12" s="29" t="inlineStr">
        <is>
          <t>Marina Ferraz</t>
        </is>
      </c>
      <c r="G12" s="29" t="inlineStr">
        <is>
          <t>Êxito</t>
        </is>
      </c>
      <c r="H12" s="32" t="n">
        <v>11300</v>
      </c>
      <c r="I12" s="32" t="n">
        <v>11300</v>
      </c>
      <c r="J12" s="22">
        <f>IF(B12="","",H12-I12)</f>
        <v/>
      </c>
      <c r="K12" s="33" t="n">
        <v>45746</v>
      </c>
      <c r="L12" s="21">
        <f>IF(B12="","",IF(E12=Config!$B$6,"Encerrado","Ativo"))</f>
        <v/>
      </c>
      <c r="M12" s="23">
        <f>IF(OR(B12="",H12=0,H12=""),"",I12/H12)</f>
        <v/>
      </c>
    </row>
    <row r="13">
      <c r="A13" s="27" t="inlineStr">
        <is>
          <t>4352718-43.2025.8.26.0498</t>
        </is>
      </c>
      <c r="B13" s="27" t="inlineStr">
        <is>
          <t>Clínica Bem-Estar</t>
        </is>
      </c>
      <c r="C13" s="21">
        <f>IF(B13="","",IFERROR(INDEX(Clientes!$B$5:$B$64,MATCH(B13,Clientes!$A$5:$A$64,0)),""))</f>
        <v/>
      </c>
      <c r="D13" s="29" t="inlineStr">
        <is>
          <t>Empresarial</t>
        </is>
      </c>
      <c r="E13" s="29" t="inlineStr">
        <is>
          <t>Consultivo</t>
        </is>
      </c>
      <c r="F13" s="29" t="inlineStr">
        <is>
          <t>Marina Ferraz</t>
        </is>
      </c>
      <c r="G13" s="29" t="inlineStr">
        <is>
          <t>Fixo</t>
        </is>
      </c>
      <c r="H13" s="32" t="n">
        <v>9300</v>
      </c>
      <c r="I13" s="32" t="n">
        <v>4650</v>
      </c>
      <c r="J13" s="22">
        <f>IF(B13="","",H13-I13)</f>
        <v/>
      </c>
      <c r="K13" s="33" t="n">
        <v>45790</v>
      </c>
      <c r="L13" s="21">
        <f>IF(B13="","",IF(E13=Config!$B$6,"Encerrado","Ativo"))</f>
        <v/>
      </c>
      <c r="M13" s="23">
        <f>IF(OR(B13="",H13=0,H13=""),"",I13/H13)</f>
        <v/>
      </c>
    </row>
    <row r="14">
      <c r="A14" s="27" t="inlineStr">
        <is>
          <t>2650441-66.2026.8.26.0528</t>
        </is>
      </c>
      <c r="B14" s="27" t="inlineStr">
        <is>
          <t>Marcos Vinícius Teles</t>
        </is>
      </c>
      <c r="C14" s="21">
        <f>IF(B14="","",IFERROR(INDEX(Clientes!$B$5:$B$64,MATCH(B14,Clientes!$A$5:$A$64,0)),""))</f>
        <v/>
      </c>
      <c r="D14" s="29" t="inlineStr">
        <is>
          <t>Previdenciário</t>
        </is>
      </c>
      <c r="E14" s="29" t="inlineStr">
        <is>
          <t>Encerrado</t>
        </is>
      </c>
      <c r="F14" s="29" t="inlineStr">
        <is>
          <t>Rafael Lima</t>
        </is>
      </c>
      <c r="G14" s="29" t="inlineStr">
        <is>
          <t>Misto</t>
        </is>
      </c>
      <c r="H14" s="32" t="n">
        <v>7800</v>
      </c>
      <c r="I14" s="32" t="n">
        <v>7800</v>
      </c>
      <c r="J14" s="22">
        <f>IF(B14="","",H14-I14)</f>
        <v/>
      </c>
      <c r="K14" s="33" t="n">
        <v>46225</v>
      </c>
      <c r="L14" s="21">
        <f>IF(B14="","",IF(E14=Config!$B$6,"Encerrado","Ativo"))</f>
        <v/>
      </c>
      <c r="M14" s="23">
        <f>IF(OR(B14="",H14=0,H14=""),"",I14/H14)</f>
        <v/>
      </c>
    </row>
    <row r="15">
      <c r="A15" s="27" t="inlineStr">
        <is>
          <t>5470559-73.2026.8.26.0380</t>
        </is>
      </c>
      <c r="B15" s="27" t="inlineStr">
        <is>
          <t>Transportadora Rota Sul</t>
        </is>
      </c>
      <c r="C15" s="21">
        <f>IF(B15="","",IFERROR(INDEX(Clientes!$B$5:$B$64,MATCH(B15,Clientes!$A$5:$A$64,0)),""))</f>
        <v/>
      </c>
      <c r="D15" s="29" t="inlineStr">
        <is>
          <t>Trabalhista</t>
        </is>
      </c>
      <c r="E15" s="29" t="inlineStr">
        <is>
          <t>Recurso</t>
        </is>
      </c>
      <c r="F15" s="29" t="inlineStr">
        <is>
          <t>Rafael Lima</t>
        </is>
      </c>
      <c r="G15" s="29" t="inlineStr">
        <is>
          <t>Misto</t>
        </is>
      </c>
      <c r="H15" s="32" t="n">
        <v>10200</v>
      </c>
      <c r="I15" s="32" t="n">
        <v>6120</v>
      </c>
      <c r="J15" s="22">
        <f>IF(B15="","",H15-I15)</f>
        <v/>
      </c>
      <c r="K15" s="33" t="n">
        <v>46072</v>
      </c>
      <c r="L15" s="21">
        <f>IF(B15="","",IF(E15=Config!$B$6,"Encerrado","Ativo"))</f>
        <v/>
      </c>
      <c r="M15" s="23">
        <f>IF(OR(B15="",H15=0,H15=""),"",I15/H15)</f>
        <v/>
      </c>
    </row>
    <row r="16">
      <c r="A16" s="27" t="inlineStr">
        <is>
          <t>8570388-84.2025.8.26.0560</t>
        </is>
      </c>
      <c r="B16" s="27" t="inlineStr">
        <is>
          <t>Patrícia Gomes</t>
        </is>
      </c>
      <c r="C16" s="21">
        <f>IF(B16="","",IFERROR(INDEX(Clientes!$B$5:$B$64,MATCH(B16,Clientes!$A$5:$A$64,0)),""))</f>
        <v/>
      </c>
      <c r="D16" s="29" t="inlineStr">
        <is>
          <t>Família</t>
        </is>
      </c>
      <c r="E16" s="29" t="inlineStr">
        <is>
          <t>Inicial</t>
        </is>
      </c>
      <c r="F16" s="29" t="inlineStr">
        <is>
          <t>Marina Ferraz</t>
        </is>
      </c>
      <c r="G16" s="29" t="inlineStr">
        <is>
          <t>Hora</t>
        </is>
      </c>
      <c r="H16" s="32" t="n">
        <v>10400</v>
      </c>
      <c r="I16" s="32" t="n">
        <v>0</v>
      </c>
      <c r="J16" s="22">
        <f>IF(B16="","",H16-I16)</f>
        <v/>
      </c>
      <c r="K16" s="33" t="n">
        <v>45838</v>
      </c>
      <c r="L16" s="21">
        <f>IF(B16="","",IF(E16=Config!$B$6,"Encerrado","Ativo"))</f>
        <v/>
      </c>
      <c r="M16" s="23">
        <f>IF(OR(B16="",H16=0,H16=""),"",I16/H16)</f>
        <v/>
      </c>
    </row>
    <row r="17">
      <c r="A17" s="27" t="inlineStr">
        <is>
          <t>6258696-95.2026.8.26.0598</t>
        </is>
      </c>
      <c r="B17" s="27" t="inlineStr">
        <is>
          <t>Escola Aurora</t>
        </is>
      </c>
      <c r="C17" s="21">
        <f>IF(B17="","",IFERROR(INDEX(Clientes!$B$5:$B$64,MATCH(B17,Clientes!$A$5:$A$64,0)),""))</f>
        <v/>
      </c>
      <c r="D17" s="29" t="inlineStr">
        <is>
          <t>Cível</t>
        </is>
      </c>
      <c r="E17" s="29" t="inlineStr">
        <is>
          <t>Inicial</t>
        </is>
      </c>
      <c r="F17" s="29" t="inlineStr">
        <is>
          <t>Marina Ferraz</t>
        </is>
      </c>
      <c r="G17" s="29" t="inlineStr">
        <is>
          <t>Hora</t>
        </is>
      </c>
      <c r="H17" s="32" t="n">
        <v>8000</v>
      </c>
      <c r="I17" s="32" t="n">
        <v>4000</v>
      </c>
      <c r="J17" s="22">
        <f>IF(B17="","",H17-I17)</f>
        <v/>
      </c>
      <c r="K17" s="33" t="n">
        <v>46214</v>
      </c>
      <c r="L17" s="21">
        <f>IF(B17="","",IF(E17=Config!$B$6,"Encerrado","Ativo"))</f>
        <v/>
      </c>
      <c r="M17" s="23">
        <f>IF(OR(B17="",H17=0,H17=""),"",I17/H17)</f>
        <v/>
      </c>
    </row>
    <row r="18">
      <c r="A18" s="27" t="inlineStr">
        <is>
          <t>9467819-47.2025.8.26.0087</t>
        </is>
      </c>
      <c r="B18" s="27" t="inlineStr">
        <is>
          <t>José Antônio Ribeiro</t>
        </is>
      </c>
      <c r="C18" s="21">
        <f>IF(B18="","",IFERROR(INDEX(Clientes!$B$5:$B$64,MATCH(B18,Clientes!$A$5:$A$64,0)),""))</f>
        <v/>
      </c>
      <c r="D18" s="29" t="inlineStr">
        <is>
          <t>Previdenciário</t>
        </is>
      </c>
      <c r="E18" s="29" t="inlineStr">
        <is>
          <t>Encerrado</t>
        </is>
      </c>
      <c r="F18" s="29" t="inlineStr">
        <is>
          <t>Rafael Lima</t>
        </is>
      </c>
      <c r="G18" s="29" t="inlineStr">
        <is>
          <t>Hora</t>
        </is>
      </c>
      <c r="H18" s="32" t="n">
        <v>6200</v>
      </c>
      <c r="I18" s="32" t="n">
        <v>6200</v>
      </c>
      <c r="J18" s="22">
        <f>IF(B18="","",H18-I18)</f>
        <v/>
      </c>
      <c r="K18" s="33" t="n">
        <v>45775</v>
      </c>
      <c r="L18" s="21">
        <f>IF(B18="","",IF(E18=Config!$B$6,"Encerrado","Ativo"))</f>
        <v/>
      </c>
      <c r="M18" s="23">
        <f>IF(OR(B18="",H18=0,H18=""),"",I18/H18)</f>
        <v/>
      </c>
    </row>
    <row r="19">
      <c r="A19" s="27" t="inlineStr">
        <is>
          <t>4300029-58.2025.8.26.0015</t>
        </is>
      </c>
      <c r="B19" s="27" t="inlineStr">
        <is>
          <t>Oficina Mecânica Central</t>
        </is>
      </c>
      <c r="C19" s="21">
        <f>IF(B19="","",IFERROR(INDEX(Clientes!$B$5:$B$64,MATCH(B19,Clientes!$A$5:$A$64,0)),""))</f>
        <v/>
      </c>
      <c r="D19" s="29" t="inlineStr">
        <is>
          <t>Trabalhista</t>
        </is>
      </c>
      <c r="E19" s="29" t="inlineStr">
        <is>
          <t>Acordo</t>
        </is>
      </c>
      <c r="F19" s="29" t="inlineStr">
        <is>
          <t>Rafael Lima</t>
        </is>
      </c>
      <c r="G19" s="29" t="inlineStr">
        <is>
          <t>Hora</t>
        </is>
      </c>
      <c r="H19" s="32" t="n">
        <v>10300</v>
      </c>
      <c r="I19" s="32" t="n">
        <v>10300</v>
      </c>
      <c r="J19" s="22">
        <f>IF(B19="","",H19-I19)</f>
        <v/>
      </c>
      <c r="K19" s="33" t="n">
        <v>45946</v>
      </c>
      <c r="L19" s="21">
        <f>IF(B19="","",IF(E19=Config!$B$6,"Encerrado","Ativo"))</f>
        <v/>
      </c>
      <c r="M19" s="23">
        <f>IF(OR(B19="",H19=0,H19=""),"",I19/H19)</f>
        <v/>
      </c>
    </row>
    <row r="20">
      <c r="A20" s="27" t="inlineStr">
        <is>
          <t>8986364-51.2026.8.26.0700</t>
        </is>
      </c>
      <c r="B20" s="27" t="inlineStr">
        <is>
          <t>Luciana Farias</t>
        </is>
      </c>
      <c r="C20" s="21">
        <f>IF(B20="","",IFERROR(INDEX(Clientes!$B$5:$B$64,MATCH(B20,Clientes!$A$5:$A$64,0)),""))</f>
        <v/>
      </c>
      <c r="D20" s="29" t="inlineStr">
        <is>
          <t>Cível</t>
        </is>
      </c>
      <c r="E20" s="29" t="inlineStr">
        <is>
          <t>Inicial</t>
        </is>
      </c>
      <c r="F20" s="29" t="inlineStr">
        <is>
          <t>Marina Ferraz</t>
        </is>
      </c>
      <c r="G20" s="29" t="inlineStr">
        <is>
          <t>Misto</t>
        </is>
      </c>
      <c r="H20" s="32" t="n">
        <v>14900</v>
      </c>
      <c r="I20" s="32" t="n">
        <v>0</v>
      </c>
      <c r="J20" s="22">
        <f>IF(B20="","",H20-I20)</f>
        <v/>
      </c>
      <c r="K20" s="33" t="n">
        <v>46207</v>
      </c>
      <c r="L20" s="21">
        <f>IF(B20="","",IF(E20=Config!$B$6,"Encerrado","Ativo"))</f>
        <v/>
      </c>
      <c r="M20" s="23">
        <f>IF(OR(B20="",H20=0,H20=""),"",I20/H20)</f>
        <v/>
      </c>
    </row>
    <row r="21">
      <c r="A21" s="27" t="inlineStr">
        <is>
          <t>9717671-36.2026.8.26.0445</t>
        </is>
      </c>
      <c r="B21" s="27" t="inlineStr">
        <is>
          <t>Agência Prisma</t>
        </is>
      </c>
      <c r="C21" s="21">
        <f>IF(B21="","",IFERROR(INDEX(Clientes!$B$5:$B$64,MATCH(B21,Clientes!$A$5:$A$64,0)),""))</f>
        <v/>
      </c>
      <c r="D21" s="29" t="inlineStr">
        <is>
          <t>Empresarial</t>
        </is>
      </c>
      <c r="E21" s="29" t="inlineStr">
        <is>
          <t>Recurso</t>
        </is>
      </c>
      <c r="F21" s="29" t="inlineStr">
        <is>
          <t>Marina Ferraz</t>
        </is>
      </c>
      <c r="G21" s="29" t="inlineStr">
        <is>
          <t>Misto</t>
        </is>
      </c>
      <c r="H21" s="32" t="n">
        <v>11800</v>
      </c>
      <c r="I21" s="32" t="n">
        <v>11800</v>
      </c>
      <c r="J21" s="22">
        <f>IF(B21="","",H21-I21)</f>
        <v/>
      </c>
      <c r="K21" s="33" t="n">
        <v>46135</v>
      </c>
      <c r="L21" s="21">
        <f>IF(B21="","",IF(E21=Config!$B$6,"Encerrado","Ativo"))</f>
        <v/>
      </c>
      <c r="M21" s="23">
        <f>IF(OR(B21="",H21=0,H21=""),"",I21/H21)</f>
        <v/>
      </c>
    </row>
    <row r="22">
      <c r="A22" s="27" t="inlineStr">
        <is>
          <t>1808451-67.2026.8.26.0657</t>
        </is>
      </c>
      <c r="B22" s="27" t="inlineStr">
        <is>
          <t>Helena Duarte</t>
        </is>
      </c>
      <c r="C22" s="21">
        <f>IF(B22="","",IFERROR(INDEX(Clientes!$B$5:$B$64,MATCH(B22,Clientes!$A$5:$A$64,0)),""))</f>
        <v/>
      </c>
      <c r="D22" s="29" t="inlineStr">
        <is>
          <t>Trabalhista</t>
        </is>
      </c>
      <c r="E22" s="29" t="inlineStr">
        <is>
          <t>Execução</t>
        </is>
      </c>
      <c r="F22" s="29" t="inlineStr">
        <is>
          <t>Rafael Lima</t>
        </is>
      </c>
      <c r="G22" s="29" t="inlineStr">
        <is>
          <t>Misto</t>
        </is>
      </c>
      <c r="H22" s="32" t="n">
        <v>7900</v>
      </c>
      <c r="I22" s="32" t="n">
        <v>2370</v>
      </c>
      <c r="J22" s="22">
        <f>IF(B22="","",H22-I22)</f>
        <v/>
      </c>
      <c r="K22" s="33" t="n">
        <v>46188</v>
      </c>
      <c r="L22" s="21">
        <f>IF(B22="","",IF(E22=Config!$B$6,"Encerrado","Ativo"))</f>
        <v/>
      </c>
      <c r="M22" s="23">
        <f>IF(OR(B22="",H22=0,H22=""),"",I22/H22)</f>
        <v/>
      </c>
    </row>
    <row r="23">
      <c r="A23" s="27" t="inlineStr">
        <is>
          <t>3310587-30.2026.8.26.0678</t>
        </is>
      </c>
      <c r="B23" s="27" t="inlineStr">
        <is>
          <t>Padaria do Sol Ltda</t>
        </is>
      </c>
      <c r="C23" s="21">
        <f>IF(B23="","",IFERROR(INDEX(Clientes!$B$5:$B$64,MATCH(B23,Clientes!$A$5:$A$64,0)),""))</f>
        <v/>
      </c>
      <c r="D23" s="29" t="inlineStr">
        <is>
          <t>Trabalhista</t>
        </is>
      </c>
      <c r="E23" s="29" t="inlineStr">
        <is>
          <t>Encerrado</t>
        </is>
      </c>
      <c r="F23" s="29" t="inlineStr">
        <is>
          <t>Rafael Lima</t>
        </is>
      </c>
      <c r="G23" s="29" t="inlineStr">
        <is>
          <t>Fixo</t>
        </is>
      </c>
      <c r="H23" s="32" t="n">
        <v>4500</v>
      </c>
      <c r="I23" s="32" t="n">
        <v>4500</v>
      </c>
      <c r="J23" s="22">
        <f>IF(B23="","",H23-I23)</f>
        <v/>
      </c>
      <c r="K23" s="33" t="n">
        <v>46036</v>
      </c>
      <c r="L23" s="21">
        <f>IF(B23="","",IF(E23=Config!$B$6,"Encerrado","Ativo"))</f>
        <v/>
      </c>
      <c r="M23" s="23">
        <f>IF(OR(B23="",H23=0,H23=""),"",I23/H23)</f>
        <v/>
      </c>
    </row>
    <row r="24">
      <c r="A24" s="27" t="inlineStr">
        <is>
          <t>3930894-43.2025.8.26.0476</t>
        </is>
      </c>
      <c r="B24" s="27" t="inlineStr">
        <is>
          <t>Ana Beatriz Moreira</t>
        </is>
      </c>
      <c r="C24" s="21">
        <f>IF(B24="","",IFERROR(INDEX(Clientes!$B$5:$B$64,MATCH(B24,Clientes!$A$5:$A$64,0)),""))</f>
        <v/>
      </c>
      <c r="D24" s="29" t="inlineStr">
        <is>
          <t>Trabalhista</t>
        </is>
      </c>
      <c r="E24" s="29" t="inlineStr">
        <is>
          <t>Acordo</t>
        </is>
      </c>
      <c r="F24" s="29" t="inlineStr">
        <is>
          <t>Rafael Lima</t>
        </is>
      </c>
      <c r="G24" s="29" t="inlineStr">
        <is>
          <t>Êxito</t>
        </is>
      </c>
      <c r="H24" s="32" t="n">
        <v>6600</v>
      </c>
      <c r="I24" s="32" t="n">
        <v>6600</v>
      </c>
      <c r="J24" s="22">
        <f>IF(B24="","",H24-I24)</f>
        <v/>
      </c>
      <c r="K24" s="33" t="n">
        <v>45835</v>
      </c>
      <c r="L24" s="21">
        <f>IF(B24="","",IF(E24=Config!$B$6,"Encerrado","Ativo"))</f>
        <v/>
      </c>
      <c r="M24" s="23">
        <f>IF(OR(B24="",H24=0,H24=""),"",I24/H24)</f>
        <v/>
      </c>
    </row>
    <row r="25">
      <c r="A25" s="27" t="inlineStr">
        <is>
          <t>9802987-45.2025.8.26.0097</t>
        </is>
      </c>
      <c r="B25" s="27" t="inlineStr">
        <is>
          <t>Construtora Horizonte</t>
        </is>
      </c>
      <c r="C25" s="21">
        <f>IF(B25="","",IFERROR(INDEX(Clientes!$B$5:$B$64,MATCH(B25,Clientes!$A$5:$A$64,0)),""))</f>
        <v/>
      </c>
      <c r="D25" s="29" t="inlineStr">
        <is>
          <t>Empresarial</t>
        </is>
      </c>
      <c r="E25" s="29" t="inlineStr">
        <is>
          <t>Acordo</t>
        </is>
      </c>
      <c r="F25" s="29" t="inlineStr">
        <is>
          <t>Marina Ferraz</t>
        </is>
      </c>
      <c r="G25" s="29" t="inlineStr">
        <is>
          <t>Êxito</t>
        </is>
      </c>
      <c r="H25" s="32" t="n">
        <v>13900</v>
      </c>
      <c r="I25" s="32" t="n">
        <v>13900</v>
      </c>
      <c r="J25" s="22">
        <f>IF(B25="","",H25-I25)</f>
        <v/>
      </c>
      <c r="K25" s="33" t="n">
        <v>45926</v>
      </c>
      <c r="L25" s="21">
        <f>IF(B25="","",IF(E25=Config!$B$6,"Encerrado","Ativo"))</f>
        <v/>
      </c>
      <c r="M25" s="23">
        <f>IF(OR(B25="",H25=0,H25=""),"",I25/H25)</f>
        <v/>
      </c>
    </row>
    <row r="26">
      <c r="A26" s="27" t="inlineStr">
        <is>
          <t>6904743-30.2025.8.26.0361</t>
        </is>
      </c>
      <c r="B26" s="27" t="inlineStr">
        <is>
          <t>Carlos Eduardo Nunes</t>
        </is>
      </c>
      <c r="C26" s="21">
        <f>IF(B26="","",IFERROR(INDEX(Clientes!$B$5:$B$64,MATCH(B26,Clientes!$A$5:$A$64,0)),""))</f>
        <v/>
      </c>
      <c r="D26" s="29" t="inlineStr">
        <is>
          <t>Trabalhista</t>
        </is>
      </c>
      <c r="E26" s="29" t="inlineStr">
        <is>
          <t>Sentença</t>
        </is>
      </c>
      <c r="F26" s="29" t="inlineStr">
        <is>
          <t>Rafael Lima</t>
        </is>
      </c>
      <c r="G26" s="29" t="inlineStr">
        <is>
          <t>Fixo</t>
        </is>
      </c>
      <c r="H26" s="32" t="n">
        <v>10400</v>
      </c>
      <c r="I26" s="32" t="n">
        <v>10400</v>
      </c>
      <c r="J26" s="22">
        <f>IF(B26="","",H26-I26)</f>
        <v/>
      </c>
      <c r="K26" s="33" t="n">
        <v>45794</v>
      </c>
      <c r="L26" s="21">
        <f>IF(B26="","",IF(E26=Config!$B$6,"Encerrado","Ativo"))</f>
        <v/>
      </c>
      <c r="M26" s="23">
        <f>IF(OR(B26="",H26=0,H26=""),"",I26/H26)</f>
        <v/>
      </c>
    </row>
    <row r="27">
      <c r="A27" s="27" t="inlineStr">
        <is>
          <t>5497983-95.2025.8.26.0570</t>
        </is>
      </c>
      <c r="B27" s="27" t="inlineStr">
        <is>
          <t>Loja Verde Comércio</t>
        </is>
      </c>
      <c r="C27" s="21">
        <f>IF(B27="","",IFERROR(INDEX(Clientes!$B$5:$B$64,MATCH(B27,Clientes!$A$5:$A$64,0)),""))</f>
        <v/>
      </c>
      <c r="D27" s="29" t="inlineStr">
        <is>
          <t>Família</t>
        </is>
      </c>
      <c r="E27" s="29" t="inlineStr">
        <is>
          <t>Sentença</t>
        </is>
      </c>
      <c r="F27" s="29" t="inlineStr">
        <is>
          <t>Marina Ferraz</t>
        </is>
      </c>
      <c r="G27" s="29" t="inlineStr">
        <is>
          <t>Fixo</t>
        </is>
      </c>
      <c r="H27" s="32" t="n">
        <v>9400</v>
      </c>
      <c r="I27" s="32" t="n">
        <v>2820</v>
      </c>
      <c r="J27" s="22">
        <f>IF(B27="","",H27-I27)</f>
        <v/>
      </c>
      <c r="K27" s="33" t="n">
        <v>45972</v>
      </c>
      <c r="L27" s="21">
        <f>IF(B27="","",IF(E27=Config!$B$6,"Encerrado","Ativo"))</f>
        <v/>
      </c>
      <c r="M27" s="23">
        <f>IF(OR(B27="",H27=0,H27=""),"",I27/H27)</f>
        <v/>
      </c>
    </row>
    <row r="28">
      <c r="A28" s="27" t="inlineStr">
        <is>
          <t>4112092-92.2025.8.26.0646</t>
        </is>
      </c>
      <c r="B28" s="27" t="inlineStr">
        <is>
          <t>Fernanda Castro</t>
        </is>
      </c>
      <c r="C28" s="21">
        <f>IF(B28="","",IFERROR(INDEX(Clientes!$B$5:$B$64,MATCH(B28,Clientes!$A$5:$A$64,0)),""))</f>
        <v/>
      </c>
      <c r="D28" s="29" t="inlineStr">
        <is>
          <t>Trabalhista</t>
        </is>
      </c>
      <c r="E28" s="29" t="inlineStr">
        <is>
          <t>Inicial</t>
        </is>
      </c>
      <c r="F28" s="29" t="inlineStr">
        <is>
          <t>Rafael Lima</t>
        </is>
      </c>
      <c r="G28" s="29" t="inlineStr">
        <is>
          <t>Êxito</t>
        </is>
      </c>
      <c r="H28" s="32" t="n">
        <v>4200</v>
      </c>
      <c r="I28" s="32" t="n">
        <v>0</v>
      </c>
      <c r="J28" s="22">
        <f>IF(B28="","",H28-I28)</f>
        <v/>
      </c>
      <c r="K28" s="33" t="n">
        <v>45813</v>
      </c>
      <c r="L28" s="21">
        <f>IF(B28="","",IF(E28=Config!$B$6,"Encerrado","Ativo"))</f>
        <v/>
      </c>
      <c r="M28" s="23">
        <f>IF(OR(B28="",H28=0,H28=""),"",I28/H28)</f>
        <v/>
      </c>
    </row>
    <row r="29">
      <c r="A29" s="27" t="inlineStr">
        <is>
          <t>5297049-18.2026.8.26.0015</t>
        </is>
      </c>
      <c r="B29" s="27" t="inlineStr">
        <is>
          <t>Bistrô 42</t>
        </is>
      </c>
      <c r="C29" s="21">
        <f>IF(B29="","",IFERROR(INDEX(Clientes!$B$5:$B$64,MATCH(B29,Clientes!$A$5:$A$64,0)),""))</f>
        <v/>
      </c>
      <c r="D29" s="29" t="inlineStr">
        <is>
          <t>Cível</t>
        </is>
      </c>
      <c r="E29" s="29" t="inlineStr">
        <is>
          <t>Execução</t>
        </is>
      </c>
      <c r="F29" s="29" t="inlineStr">
        <is>
          <t>Marina Ferraz</t>
        </is>
      </c>
      <c r="G29" s="29" t="inlineStr">
        <is>
          <t>Êxito</t>
        </is>
      </c>
      <c r="H29" s="32" t="n">
        <v>11700</v>
      </c>
      <c r="I29" s="32" t="n">
        <v>0</v>
      </c>
      <c r="J29" s="22">
        <f>IF(B29="","",H29-I29)</f>
        <v/>
      </c>
      <c r="K29" s="33" t="n">
        <v>46194</v>
      </c>
      <c r="L29" s="21">
        <f>IF(B29="","",IF(E29=Config!$B$6,"Encerrado","Ativo"))</f>
        <v/>
      </c>
      <c r="M29" s="23">
        <f>IF(OR(B29="",H29=0,H29=""),"",I29/H29)</f>
        <v/>
      </c>
    </row>
    <row r="30">
      <c r="A30" s="27" t="inlineStr">
        <is>
          <t>6877173-50.2026.8.26.0467</t>
        </is>
      </c>
      <c r="B30" s="27" t="inlineStr">
        <is>
          <t>Roberto Almeida</t>
        </is>
      </c>
      <c r="C30" s="21">
        <f>IF(B30="","",IFERROR(INDEX(Clientes!$B$5:$B$64,MATCH(B30,Clientes!$A$5:$A$64,0)),""))</f>
        <v/>
      </c>
      <c r="D30" s="29" t="inlineStr">
        <is>
          <t>Empresarial</t>
        </is>
      </c>
      <c r="E30" s="29" t="inlineStr">
        <is>
          <t>Recurso</t>
        </is>
      </c>
      <c r="F30" s="29" t="inlineStr">
        <is>
          <t>Marina Ferraz</t>
        </is>
      </c>
      <c r="G30" s="29" t="inlineStr">
        <is>
          <t>Misto</t>
        </is>
      </c>
      <c r="H30" s="32" t="n">
        <v>21100</v>
      </c>
      <c r="I30" s="32" t="n">
        <v>10550</v>
      </c>
      <c r="J30" s="22">
        <f>IF(B30="","",H30-I30)</f>
        <v/>
      </c>
      <c r="K30" s="33" t="n">
        <v>46201</v>
      </c>
      <c r="L30" s="21">
        <f>IF(B30="","",IF(E30=Config!$B$6,"Encerrado","Ativo"))</f>
        <v/>
      </c>
      <c r="M30" s="23">
        <f>IF(OR(B30="",H30=0,H30=""),"",I30/H30)</f>
        <v/>
      </c>
    </row>
    <row r="31">
      <c r="A31" s="27" t="inlineStr">
        <is>
          <t>3003874-97.2026.8.26.0384</t>
        </is>
      </c>
      <c r="B31" s="27" t="inlineStr">
        <is>
          <t>Clínica Bem-Estar</t>
        </is>
      </c>
      <c r="C31" s="21">
        <f>IF(B31="","",IFERROR(INDEX(Clientes!$B$5:$B$64,MATCH(B31,Clientes!$A$5:$A$64,0)),""))</f>
        <v/>
      </c>
      <c r="D31" s="29" t="inlineStr">
        <is>
          <t>Família</t>
        </is>
      </c>
      <c r="E31" s="29" t="inlineStr">
        <is>
          <t>Consultivo</t>
        </is>
      </c>
      <c r="F31" s="29" t="inlineStr">
        <is>
          <t>Marina Ferraz</t>
        </is>
      </c>
      <c r="G31" s="29" t="inlineStr">
        <is>
          <t>Misto</t>
        </is>
      </c>
      <c r="H31" s="32" t="n">
        <v>6800</v>
      </c>
      <c r="I31" s="32" t="n">
        <v>4080</v>
      </c>
      <c r="J31" s="22">
        <f>IF(B31="","",H31-I31)</f>
        <v/>
      </c>
      <c r="K31" s="33" t="n">
        <v>46039</v>
      </c>
      <c r="L31" s="21">
        <f>IF(B31="","",IF(E31=Config!$B$6,"Encerrado","Ativo"))</f>
        <v/>
      </c>
      <c r="M31" s="23">
        <f>IF(OR(B31="",H31=0,H31=""),"",I31/H31)</f>
        <v/>
      </c>
    </row>
    <row r="32">
      <c r="A32" s="27" t="inlineStr">
        <is>
          <t>6545676-47.2025.8.26.0126</t>
        </is>
      </c>
      <c r="B32" s="27" t="inlineStr">
        <is>
          <t>Marcos Vinícius Teles</t>
        </is>
      </c>
      <c r="C32" s="21">
        <f>IF(B32="","",IFERROR(INDEX(Clientes!$B$5:$B$64,MATCH(B32,Clientes!$A$5:$A$64,0)),""))</f>
        <v/>
      </c>
      <c r="D32" s="29" t="inlineStr">
        <is>
          <t>Família</t>
        </is>
      </c>
      <c r="E32" s="29" t="inlineStr">
        <is>
          <t>Recurso</t>
        </is>
      </c>
      <c r="F32" s="29" t="inlineStr">
        <is>
          <t>Marina Ferraz</t>
        </is>
      </c>
      <c r="G32" s="29" t="inlineStr">
        <is>
          <t>Misto</t>
        </is>
      </c>
      <c r="H32" s="32" t="n">
        <v>6600</v>
      </c>
      <c r="I32" s="32" t="n">
        <v>3960</v>
      </c>
      <c r="J32" s="22">
        <f>IF(B32="","",H32-I32)</f>
        <v/>
      </c>
      <c r="K32" s="33" t="n">
        <v>45895</v>
      </c>
      <c r="L32" s="21">
        <f>IF(B32="","",IF(E32=Config!$B$6,"Encerrado","Ativo"))</f>
        <v/>
      </c>
      <c r="M32" s="23">
        <f>IF(OR(B32="",H32=0,H32=""),"",I32/H32)</f>
        <v/>
      </c>
    </row>
    <row r="33">
      <c r="A33" s="27" t="inlineStr">
        <is>
          <t>1941959-24.2026.8.26.0167</t>
        </is>
      </c>
      <c r="B33" s="27" t="inlineStr">
        <is>
          <t>Transportadora Rota Sul</t>
        </is>
      </c>
      <c r="C33" s="21">
        <f>IF(B33="","",IFERROR(INDEX(Clientes!$B$5:$B$64,MATCH(B33,Clientes!$A$5:$A$64,0)),""))</f>
        <v/>
      </c>
      <c r="D33" s="29" t="inlineStr">
        <is>
          <t>Previdenciário</t>
        </is>
      </c>
      <c r="E33" s="29" t="inlineStr">
        <is>
          <t>Acordo</t>
        </is>
      </c>
      <c r="F33" s="29" t="inlineStr">
        <is>
          <t>Rafael Lima</t>
        </is>
      </c>
      <c r="G33" s="29" t="inlineStr">
        <is>
          <t>Êxito</t>
        </is>
      </c>
      <c r="H33" s="32" t="n">
        <v>6500</v>
      </c>
      <c r="I33" s="32" t="n">
        <v>6500</v>
      </c>
      <c r="J33" s="22">
        <f>IF(B33="","",H33-I33)</f>
        <v/>
      </c>
      <c r="K33" s="33" t="n">
        <v>46239</v>
      </c>
      <c r="L33" s="21">
        <f>IF(B33="","",IF(E33=Config!$B$6,"Encerrado","Ativo"))</f>
        <v/>
      </c>
      <c r="M33" s="23">
        <f>IF(OR(B33="",H33=0,H33=""),"",I33/H33)</f>
        <v/>
      </c>
    </row>
    <row r="34">
      <c r="A34" s="27" t="inlineStr">
        <is>
          <t>3118925-55.2025.8.26.0426</t>
        </is>
      </c>
      <c r="B34" s="27" t="inlineStr">
        <is>
          <t>Patrícia Gomes</t>
        </is>
      </c>
      <c r="C34" s="21">
        <f>IF(B34="","",IFERROR(INDEX(Clientes!$B$5:$B$64,MATCH(B34,Clientes!$A$5:$A$64,0)),""))</f>
        <v/>
      </c>
      <c r="D34" s="29" t="inlineStr">
        <is>
          <t>Família</t>
        </is>
      </c>
      <c r="E34" s="29" t="inlineStr">
        <is>
          <t>Inicial</t>
        </is>
      </c>
      <c r="F34" s="29" t="inlineStr">
        <is>
          <t>Marina Ferraz</t>
        </is>
      </c>
      <c r="G34" s="29" t="inlineStr">
        <is>
          <t>Fixo</t>
        </is>
      </c>
      <c r="H34" s="32" t="n">
        <v>4500</v>
      </c>
      <c r="I34" s="32" t="n">
        <v>2250</v>
      </c>
      <c r="J34" s="22">
        <f>IF(B34="","",H34-I34)</f>
        <v/>
      </c>
      <c r="K34" s="33" t="n">
        <v>45897</v>
      </c>
      <c r="L34" s="21">
        <f>IF(B34="","",IF(E34=Config!$B$6,"Encerrado","Ativo"))</f>
        <v/>
      </c>
      <c r="M34" s="23">
        <f>IF(OR(B34="",H34=0,H34=""),"",I34/H34)</f>
        <v/>
      </c>
    </row>
    <row r="35">
      <c r="A35" s="27" t="inlineStr">
        <is>
          <t>7658179-42.2026.8.26.0152</t>
        </is>
      </c>
      <c r="B35" s="27" t="inlineStr">
        <is>
          <t>Escola Aurora</t>
        </is>
      </c>
      <c r="C35" s="21">
        <f>IF(B35="","",IFERROR(INDEX(Clientes!$B$5:$B$64,MATCH(B35,Clientes!$A$5:$A$64,0)),""))</f>
        <v/>
      </c>
      <c r="D35" s="29" t="inlineStr">
        <is>
          <t>Empresarial</t>
        </is>
      </c>
      <c r="E35" s="29" t="inlineStr">
        <is>
          <t>Acordo</t>
        </is>
      </c>
      <c r="F35" s="29" t="inlineStr">
        <is>
          <t>Marina Ferraz</t>
        </is>
      </c>
      <c r="G35" s="29" t="inlineStr">
        <is>
          <t>Hora</t>
        </is>
      </c>
      <c r="H35" s="32" t="n">
        <v>18300</v>
      </c>
      <c r="I35" s="32" t="n">
        <v>18300</v>
      </c>
      <c r="J35" s="22">
        <f>IF(B35="","",H35-I35)</f>
        <v/>
      </c>
      <c r="K35" s="33" t="n">
        <v>46035</v>
      </c>
      <c r="L35" s="21">
        <f>IF(B35="","",IF(E35=Config!$B$6,"Encerrado","Ativo"))</f>
        <v/>
      </c>
      <c r="M35" s="23">
        <f>IF(OR(B35="",H35=0,H35=""),"",I35/H35)</f>
        <v/>
      </c>
    </row>
    <row r="36">
      <c r="A36" s="27" t="inlineStr">
        <is>
          <t>3326285-90.2025.8.26.0608</t>
        </is>
      </c>
      <c r="B36" s="27" t="inlineStr">
        <is>
          <t>José Antônio Ribeiro</t>
        </is>
      </c>
      <c r="C36" s="21">
        <f>IF(B36="","",IFERROR(INDEX(Clientes!$B$5:$B$64,MATCH(B36,Clientes!$A$5:$A$64,0)),""))</f>
        <v/>
      </c>
      <c r="D36" s="29" t="inlineStr">
        <is>
          <t>Trabalhista</t>
        </is>
      </c>
      <c r="E36" s="29" t="inlineStr">
        <is>
          <t>Consultivo</t>
        </is>
      </c>
      <c r="F36" s="29" t="inlineStr">
        <is>
          <t>Rafael Lima</t>
        </is>
      </c>
      <c r="G36" s="29" t="inlineStr">
        <is>
          <t>Fixo</t>
        </is>
      </c>
      <c r="H36" s="32" t="n">
        <v>5500</v>
      </c>
      <c r="I36" s="32" t="n">
        <v>2750</v>
      </c>
      <c r="J36" s="22">
        <f>IF(B36="","",H36-I36)</f>
        <v/>
      </c>
      <c r="K36" s="33" t="n">
        <v>45769</v>
      </c>
      <c r="L36" s="21">
        <f>IF(B36="","",IF(E36=Config!$B$6,"Encerrado","Ativo"))</f>
        <v/>
      </c>
      <c r="M36" s="23">
        <f>IF(OR(B36="",H36=0,H36=""),"",I36/H36)</f>
        <v/>
      </c>
    </row>
    <row r="37">
      <c r="A37" s="27" t="inlineStr">
        <is>
          <t>1191416-90.2025.8.26.0249</t>
        </is>
      </c>
      <c r="B37" s="27" t="inlineStr">
        <is>
          <t>Oficina Mecânica Central</t>
        </is>
      </c>
      <c r="C37" s="21">
        <f>IF(B37="","",IFERROR(INDEX(Clientes!$B$5:$B$64,MATCH(B37,Clientes!$A$5:$A$64,0)),""))</f>
        <v/>
      </c>
      <c r="D37" s="29" t="inlineStr">
        <is>
          <t>Cível</t>
        </is>
      </c>
      <c r="E37" s="29" t="inlineStr">
        <is>
          <t>Instrução</t>
        </is>
      </c>
      <c r="F37" s="29" t="inlineStr">
        <is>
          <t>Marina Ferraz</t>
        </is>
      </c>
      <c r="G37" s="29" t="inlineStr">
        <is>
          <t>Fixo</t>
        </is>
      </c>
      <c r="H37" s="32" t="n">
        <v>12400</v>
      </c>
      <c r="I37" s="32" t="n">
        <v>6200</v>
      </c>
      <c r="J37" s="22">
        <f>IF(B37="","",H37-I37)</f>
        <v/>
      </c>
      <c r="K37" s="33" t="n">
        <v>45988</v>
      </c>
      <c r="L37" s="21">
        <f>IF(B37="","",IF(E37=Config!$B$6,"Encerrado","Ativo"))</f>
        <v/>
      </c>
      <c r="M37" s="23">
        <f>IF(OR(B37="",H37=0,H37=""),"",I37/H37)</f>
        <v/>
      </c>
    </row>
    <row r="38">
      <c r="A38" s="27" t="inlineStr">
        <is>
          <t>5626517-53.2026.8.26.0206</t>
        </is>
      </c>
      <c r="B38" s="27" t="inlineStr">
        <is>
          <t>Luciana Farias</t>
        </is>
      </c>
      <c r="C38" s="21">
        <f>IF(B38="","",IFERROR(INDEX(Clientes!$B$5:$B$64,MATCH(B38,Clientes!$A$5:$A$64,0)),""))</f>
        <v/>
      </c>
      <c r="D38" s="29" t="inlineStr">
        <is>
          <t>Empresarial</t>
        </is>
      </c>
      <c r="E38" s="29" t="inlineStr">
        <is>
          <t>Consultivo</t>
        </is>
      </c>
      <c r="F38" s="29" t="inlineStr">
        <is>
          <t>Marina Ferraz</t>
        </is>
      </c>
      <c r="G38" s="29" t="inlineStr">
        <is>
          <t>Hora</t>
        </is>
      </c>
      <c r="H38" s="32" t="n">
        <v>16900</v>
      </c>
      <c r="I38" s="32" t="n">
        <v>5070</v>
      </c>
      <c r="J38" s="22">
        <f>IF(B38="","",H38-I38)</f>
        <v/>
      </c>
      <c r="K38" s="33" t="n">
        <v>46105</v>
      </c>
      <c r="L38" s="21">
        <f>IF(B38="","",IF(E38=Config!$B$6,"Encerrado","Ativo"))</f>
        <v/>
      </c>
      <c r="M38" s="23">
        <f>IF(OR(B38="",H38=0,H38=""),"",I38/H38)</f>
        <v/>
      </c>
    </row>
    <row r="39">
      <c r="A39" s="27" t="inlineStr">
        <is>
          <t>6237740-34.2025.8.26.0163</t>
        </is>
      </c>
      <c r="B39" s="27" t="inlineStr">
        <is>
          <t>Agência Prisma</t>
        </is>
      </c>
      <c r="C39" s="21">
        <f>IF(B39="","",IFERROR(INDEX(Clientes!$B$5:$B$64,MATCH(B39,Clientes!$A$5:$A$64,0)),""))</f>
        <v/>
      </c>
      <c r="D39" s="29" t="inlineStr">
        <is>
          <t>Previdenciário</t>
        </is>
      </c>
      <c r="E39" s="29" t="inlineStr">
        <is>
          <t>Encerrado</t>
        </is>
      </c>
      <c r="F39" s="29" t="inlineStr">
        <is>
          <t>Rafael Lima</t>
        </is>
      </c>
      <c r="G39" s="29" t="inlineStr">
        <is>
          <t>Êxito</t>
        </is>
      </c>
      <c r="H39" s="32" t="n">
        <v>5700</v>
      </c>
      <c r="I39" s="32" t="n">
        <v>5700</v>
      </c>
      <c r="J39" s="22">
        <f>IF(B39="","",H39-I39)</f>
        <v/>
      </c>
      <c r="K39" s="33" t="n">
        <v>45791</v>
      </c>
      <c r="L39" s="21">
        <f>IF(B39="","",IF(E39=Config!$B$6,"Encerrado","Ativo"))</f>
        <v/>
      </c>
      <c r="M39" s="23">
        <f>IF(OR(B39="",H39=0,H39=""),"",I39/H39)</f>
        <v/>
      </c>
    </row>
    <row r="40">
      <c r="A40" s="27" t="inlineStr">
        <is>
          <t>9778303-99.2026.8.26.0419</t>
        </is>
      </c>
      <c r="B40" s="27" t="inlineStr">
        <is>
          <t>Helena Duarte</t>
        </is>
      </c>
      <c r="C40" s="21">
        <f>IF(B40="","",IFERROR(INDEX(Clientes!$B$5:$B$64,MATCH(B40,Clientes!$A$5:$A$64,0)),""))</f>
        <v/>
      </c>
      <c r="D40" s="29" t="inlineStr">
        <is>
          <t>Empresarial</t>
        </is>
      </c>
      <c r="E40" s="29" t="inlineStr">
        <is>
          <t>Encerrado</t>
        </is>
      </c>
      <c r="F40" s="29" t="inlineStr">
        <is>
          <t>Marina Ferraz</t>
        </is>
      </c>
      <c r="G40" s="29" t="inlineStr">
        <is>
          <t>Hora</t>
        </is>
      </c>
      <c r="H40" s="32" t="n">
        <v>14100</v>
      </c>
      <c r="I40" s="32" t="n">
        <v>14100</v>
      </c>
      <c r="J40" s="22">
        <f>IF(B40="","",H40-I40)</f>
        <v/>
      </c>
      <c r="K40" s="33" t="n">
        <v>46254</v>
      </c>
      <c r="L40" s="21">
        <f>IF(B40="","",IF(E40=Config!$B$6,"Encerrado","Ativo"))</f>
        <v/>
      </c>
      <c r="M40" s="23">
        <f>IF(OR(B40="",H40=0,H40=""),"",I40/H40)</f>
        <v/>
      </c>
    </row>
    <row r="41">
      <c r="A41" s="27" t="inlineStr">
        <is>
          <t>3314594-22.2025.8.26.0019</t>
        </is>
      </c>
      <c r="B41" s="27" t="inlineStr">
        <is>
          <t>Padaria do Sol Ltda</t>
        </is>
      </c>
      <c r="C41" s="21">
        <f>IF(B41="","",IFERROR(INDEX(Clientes!$B$5:$B$64,MATCH(B41,Clientes!$A$5:$A$64,0)),""))</f>
        <v/>
      </c>
      <c r="D41" s="29" t="inlineStr">
        <is>
          <t>Cível</t>
        </is>
      </c>
      <c r="E41" s="29" t="inlineStr">
        <is>
          <t>Encerrado</t>
        </is>
      </c>
      <c r="F41" s="29" t="inlineStr">
        <is>
          <t>Marina Ferraz</t>
        </is>
      </c>
      <c r="G41" s="29" t="inlineStr">
        <is>
          <t>Hora</t>
        </is>
      </c>
      <c r="H41" s="32" t="n">
        <v>6300</v>
      </c>
      <c r="I41" s="32" t="n">
        <v>6300</v>
      </c>
      <c r="J41" s="22">
        <f>IF(B41="","",H41-I41)</f>
        <v/>
      </c>
      <c r="K41" s="33" t="n">
        <v>45878</v>
      </c>
      <c r="L41" s="21">
        <f>IF(B41="","",IF(E41=Config!$B$6,"Encerrado","Ativo"))</f>
        <v/>
      </c>
      <c r="M41" s="23">
        <f>IF(OR(B41="",H41=0,H41=""),"",I41/H41)</f>
        <v/>
      </c>
    </row>
    <row r="42">
      <c r="A42" s="27" t="inlineStr">
        <is>
          <t>7598076-58.2025.8.26.0552</t>
        </is>
      </c>
      <c r="B42" s="27" t="inlineStr">
        <is>
          <t>Ana Beatriz Moreira</t>
        </is>
      </c>
      <c r="C42" s="21">
        <f>IF(B42="","",IFERROR(INDEX(Clientes!$B$5:$B$64,MATCH(B42,Clientes!$A$5:$A$64,0)),""))</f>
        <v/>
      </c>
      <c r="D42" s="29" t="inlineStr">
        <is>
          <t>Família</t>
        </is>
      </c>
      <c r="E42" s="29" t="inlineStr">
        <is>
          <t>Encerrado</t>
        </is>
      </c>
      <c r="F42" s="29" t="inlineStr">
        <is>
          <t>Marina Ferraz</t>
        </is>
      </c>
      <c r="G42" s="29" t="inlineStr">
        <is>
          <t>Hora</t>
        </is>
      </c>
      <c r="H42" s="32" t="n">
        <v>11300</v>
      </c>
      <c r="I42" s="32" t="n">
        <v>11300</v>
      </c>
      <c r="J42" s="22">
        <f>IF(B42="","",H42-I42)</f>
        <v/>
      </c>
      <c r="K42" s="33" t="n">
        <v>45945</v>
      </c>
      <c r="L42" s="21">
        <f>IF(B42="","",IF(E42=Config!$B$6,"Encerrado","Ativo"))</f>
        <v/>
      </c>
      <c r="M42" s="23">
        <f>IF(OR(B42="",H42=0,H42=""),"",I42/H42)</f>
        <v/>
      </c>
    </row>
    <row r="43">
      <c r="A43" s="27" t="n"/>
      <c r="B43" s="27" t="n"/>
      <c r="C43" s="21">
        <f>IF(B43="","",IFERROR(INDEX(Clientes!$B$5:$B$64,MATCH(B43,Clientes!$A$5:$A$64,0)),""))</f>
        <v/>
      </c>
      <c r="D43" s="29" t="n"/>
      <c r="E43" s="29" t="n"/>
      <c r="F43" s="29" t="n"/>
      <c r="G43" s="29" t="n"/>
      <c r="H43" s="32" t="n"/>
      <c r="I43" s="32" t="n"/>
      <c r="J43" s="22">
        <f>IF(B43="","",H43-I43)</f>
        <v/>
      </c>
      <c r="K43" s="33" t="n"/>
      <c r="L43" s="21">
        <f>IF(B43="","",IF(E43=Config!$B$6,"Encerrado","Ativo"))</f>
        <v/>
      </c>
      <c r="M43" s="23">
        <f>IF(OR(B43="",H43=0,H43=""),"",I43/H43)</f>
        <v/>
      </c>
    </row>
    <row r="44">
      <c r="A44" s="27" t="n"/>
      <c r="B44" s="27" t="n"/>
      <c r="C44" s="21">
        <f>IF(B44="","",IFERROR(INDEX(Clientes!$B$5:$B$64,MATCH(B44,Clientes!$A$5:$A$64,0)),""))</f>
        <v/>
      </c>
      <c r="D44" s="29" t="n"/>
      <c r="E44" s="29" t="n"/>
      <c r="F44" s="29" t="n"/>
      <c r="G44" s="29" t="n"/>
      <c r="H44" s="32" t="n"/>
      <c r="I44" s="32" t="n"/>
      <c r="J44" s="22">
        <f>IF(B44="","",H44-I44)</f>
        <v/>
      </c>
      <c r="K44" s="33" t="n"/>
      <c r="L44" s="21">
        <f>IF(B44="","",IF(E44=Config!$B$6,"Encerrado","Ativo"))</f>
        <v/>
      </c>
      <c r="M44" s="23">
        <f>IF(OR(B44="",H44=0,H44=""),"",I44/H44)</f>
        <v/>
      </c>
    </row>
    <row r="45">
      <c r="A45" s="27" t="n"/>
      <c r="B45" s="27" t="n"/>
      <c r="C45" s="21">
        <f>IF(B45="","",IFERROR(INDEX(Clientes!$B$5:$B$64,MATCH(B45,Clientes!$A$5:$A$64,0)),""))</f>
        <v/>
      </c>
      <c r="D45" s="29" t="n"/>
      <c r="E45" s="29" t="n"/>
      <c r="F45" s="29" t="n"/>
      <c r="G45" s="29" t="n"/>
      <c r="H45" s="32" t="n"/>
      <c r="I45" s="32" t="n"/>
      <c r="J45" s="22">
        <f>IF(B45="","",H45-I45)</f>
        <v/>
      </c>
      <c r="K45" s="33" t="n"/>
      <c r="L45" s="21">
        <f>IF(B45="","",IF(E45=Config!$B$6,"Encerrado","Ativo"))</f>
        <v/>
      </c>
      <c r="M45" s="23">
        <f>IF(OR(B45="",H45=0,H45=""),"",I45/H45)</f>
        <v/>
      </c>
    </row>
    <row r="46">
      <c r="A46" s="27" t="n"/>
      <c r="B46" s="27" t="n"/>
      <c r="C46" s="21">
        <f>IF(B46="","",IFERROR(INDEX(Clientes!$B$5:$B$64,MATCH(B46,Clientes!$A$5:$A$64,0)),""))</f>
        <v/>
      </c>
      <c r="D46" s="29" t="n"/>
      <c r="E46" s="29" t="n"/>
      <c r="F46" s="29" t="n"/>
      <c r="G46" s="29" t="n"/>
      <c r="H46" s="32" t="n"/>
      <c r="I46" s="32" t="n"/>
      <c r="J46" s="22">
        <f>IF(B46="","",H46-I46)</f>
        <v/>
      </c>
      <c r="K46" s="33" t="n"/>
      <c r="L46" s="21">
        <f>IF(B46="","",IF(E46=Config!$B$6,"Encerrado","Ativo"))</f>
        <v/>
      </c>
      <c r="M46" s="23">
        <f>IF(OR(B46="",H46=0,H46=""),"",I46/H46)</f>
        <v/>
      </c>
    </row>
    <row r="47">
      <c r="A47" s="27" t="n"/>
      <c r="B47" s="27" t="n"/>
      <c r="C47" s="21">
        <f>IF(B47="","",IFERROR(INDEX(Clientes!$B$5:$B$64,MATCH(B47,Clientes!$A$5:$A$64,0)),""))</f>
        <v/>
      </c>
      <c r="D47" s="29" t="n"/>
      <c r="E47" s="29" t="n"/>
      <c r="F47" s="29" t="n"/>
      <c r="G47" s="29" t="n"/>
      <c r="H47" s="32" t="n"/>
      <c r="I47" s="32" t="n"/>
      <c r="J47" s="22">
        <f>IF(B47="","",H47-I47)</f>
        <v/>
      </c>
      <c r="K47" s="33" t="n"/>
      <c r="L47" s="21">
        <f>IF(B47="","",IF(E47=Config!$B$6,"Encerrado","Ativo"))</f>
        <v/>
      </c>
      <c r="M47" s="23">
        <f>IF(OR(B47="",H47=0,H47=""),"",I47/H47)</f>
        <v/>
      </c>
    </row>
    <row r="48">
      <c r="A48" s="27" t="n"/>
      <c r="B48" s="27" t="n"/>
      <c r="C48" s="21">
        <f>IF(B48="","",IFERROR(INDEX(Clientes!$B$5:$B$64,MATCH(B48,Clientes!$A$5:$A$64,0)),""))</f>
        <v/>
      </c>
      <c r="D48" s="29" t="n"/>
      <c r="E48" s="29" t="n"/>
      <c r="F48" s="29" t="n"/>
      <c r="G48" s="29" t="n"/>
      <c r="H48" s="32" t="n"/>
      <c r="I48" s="32" t="n"/>
      <c r="J48" s="22">
        <f>IF(B48="","",H48-I48)</f>
        <v/>
      </c>
      <c r="K48" s="33" t="n"/>
      <c r="L48" s="21">
        <f>IF(B48="","",IF(E48=Config!$B$6,"Encerrado","Ativo"))</f>
        <v/>
      </c>
      <c r="M48" s="23">
        <f>IF(OR(B48="",H48=0,H48=""),"",I48/H48)</f>
        <v/>
      </c>
    </row>
    <row r="49">
      <c r="A49" s="27" t="n"/>
      <c r="B49" s="27" t="n"/>
      <c r="C49" s="21">
        <f>IF(B49="","",IFERROR(INDEX(Clientes!$B$5:$B$64,MATCH(B49,Clientes!$A$5:$A$64,0)),""))</f>
        <v/>
      </c>
      <c r="D49" s="29" t="n"/>
      <c r="E49" s="29" t="n"/>
      <c r="F49" s="29" t="n"/>
      <c r="G49" s="29" t="n"/>
      <c r="H49" s="32" t="n"/>
      <c r="I49" s="32" t="n"/>
      <c r="J49" s="22">
        <f>IF(B49="","",H49-I49)</f>
        <v/>
      </c>
      <c r="K49" s="33" t="n"/>
      <c r="L49" s="21">
        <f>IF(B49="","",IF(E49=Config!$B$6,"Encerrado","Ativo"))</f>
        <v/>
      </c>
      <c r="M49" s="23">
        <f>IF(OR(B49="",H49=0,H49=""),"",I49/H49)</f>
        <v/>
      </c>
    </row>
    <row r="50">
      <c r="A50" s="27" t="n"/>
      <c r="B50" s="27" t="n"/>
      <c r="C50" s="21">
        <f>IF(B50="","",IFERROR(INDEX(Clientes!$B$5:$B$64,MATCH(B50,Clientes!$A$5:$A$64,0)),""))</f>
        <v/>
      </c>
      <c r="D50" s="29" t="n"/>
      <c r="E50" s="29" t="n"/>
      <c r="F50" s="29" t="n"/>
      <c r="G50" s="29" t="n"/>
      <c r="H50" s="32" t="n"/>
      <c r="I50" s="32" t="n"/>
      <c r="J50" s="22">
        <f>IF(B50="","",H50-I50)</f>
        <v/>
      </c>
      <c r="K50" s="33" t="n"/>
      <c r="L50" s="21">
        <f>IF(B50="","",IF(E50=Config!$B$6,"Encerrado","Ativo"))</f>
        <v/>
      </c>
      <c r="M50" s="23">
        <f>IF(OR(B50="",H50=0,H50=""),"",I50/H50)</f>
        <v/>
      </c>
    </row>
    <row r="51">
      <c r="A51" s="27" t="n"/>
      <c r="B51" s="27" t="n"/>
      <c r="C51" s="21">
        <f>IF(B51="","",IFERROR(INDEX(Clientes!$B$5:$B$64,MATCH(B51,Clientes!$A$5:$A$64,0)),""))</f>
        <v/>
      </c>
      <c r="D51" s="29" t="n"/>
      <c r="E51" s="29" t="n"/>
      <c r="F51" s="29" t="n"/>
      <c r="G51" s="29" t="n"/>
      <c r="H51" s="32" t="n"/>
      <c r="I51" s="32" t="n"/>
      <c r="J51" s="22">
        <f>IF(B51="","",H51-I51)</f>
        <v/>
      </c>
      <c r="K51" s="33" t="n"/>
      <c r="L51" s="21">
        <f>IF(B51="","",IF(E51=Config!$B$6,"Encerrado","Ativo"))</f>
        <v/>
      </c>
      <c r="M51" s="23">
        <f>IF(OR(B51="",H51=0,H51=""),"",I51/H51)</f>
        <v/>
      </c>
    </row>
    <row r="52">
      <c r="A52" s="27" t="n"/>
      <c r="B52" s="27" t="n"/>
      <c r="C52" s="21">
        <f>IF(B52="","",IFERROR(INDEX(Clientes!$B$5:$B$64,MATCH(B52,Clientes!$A$5:$A$64,0)),""))</f>
        <v/>
      </c>
      <c r="D52" s="29" t="n"/>
      <c r="E52" s="29" t="n"/>
      <c r="F52" s="29" t="n"/>
      <c r="G52" s="29" t="n"/>
      <c r="H52" s="32" t="n"/>
      <c r="I52" s="32" t="n"/>
      <c r="J52" s="22">
        <f>IF(B52="","",H52-I52)</f>
        <v/>
      </c>
      <c r="K52" s="33" t="n"/>
      <c r="L52" s="21">
        <f>IF(B52="","",IF(E52=Config!$B$6,"Encerrado","Ativo"))</f>
        <v/>
      </c>
      <c r="M52" s="23">
        <f>IF(OR(B52="",H52=0,H52=""),"",I52/H52)</f>
        <v/>
      </c>
    </row>
    <row r="53">
      <c r="A53" s="27" t="n"/>
      <c r="B53" s="27" t="n"/>
      <c r="C53" s="21">
        <f>IF(B53="","",IFERROR(INDEX(Clientes!$B$5:$B$64,MATCH(B53,Clientes!$A$5:$A$64,0)),""))</f>
        <v/>
      </c>
      <c r="D53" s="29" t="n"/>
      <c r="E53" s="29" t="n"/>
      <c r="F53" s="29" t="n"/>
      <c r="G53" s="29" t="n"/>
      <c r="H53" s="32" t="n"/>
      <c r="I53" s="32" t="n"/>
      <c r="J53" s="22">
        <f>IF(B53="","",H53-I53)</f>
        <v/>
      </c>
      <c r="K53" s="33" t="n"/>
      <c r="L53" s="21">
        <f>IF(B53="","",IF(E53=Config!$B$6,"Encerrado","Ativo"))</f>
        <v/>
      </c>
      <c r="M53" s="23">
        <f>IF(OR(B53="",H53=0,H53=""),"",I53/H53)</f>
        <v/>
      </c>
    </row>
    <row r="54">
      <c r="A54" s="27" t="n"/>
      <c r="B54" s="27" t="n"/>
      <c r="C54" s="21">
        <f>IF(B54="","",IFERROR(INDEX(Clientes!$B$5:$B$64,MATCH(B54,Clientes!$A$5:$A$64,0)),""))</f>
        <v/>
      </c>
      <c r="D54" s="29" t="n"/>
      <c r="E54" s="29" t="n"/>
      <c r="F54" s="29" t="n"/>
      <c r="G54" s="29" t="n"/>
      <c r="H54" s="32" t="n"/>
      <c r="I54" s="32" t="n"/>
      <c r="J54" s="22">
        <f>IF(B54="","",H54-I54)</f>
        <v/>
      </c>
      <c r="K54" s="33" t="n"/>
      <c r="L54" s="21">
        <f>IF(B54="","",IF(E54=Config!$B$6,"Encerrado","Ativo"))</f>
        <v/>
      </c>
      <c r="M54" s="23">
        <f>IF(OR(B54="",H54=0,H54=""),"",I54/H54)</f>
        <v/>
      </c>
    </row>
    <row r="55">
      <c r="A55" s="27" t="n"/>
      <c r="B55" s="27" t="n"/>
      <c r="C55" s="21">
        <f>IF(B55="","",IFERROR(INDEX(Clientes!$B$5:$B$64,MATCH(B55,Clientes!$A$5:$A$64,0)),""))</f>
        <v/>
      </c>
      <c r="D55" s="29" t="n"/>
      <c r="E55" s="29" t="n"/>
      <c r="F55" s="29" t="n"/>
      <c r="G55" s="29" t="n"/>
      <c r="H55" s="32" t="n"/>
      <c r="I55" s="32" t="n"/>
      <c r="J55" s="22">
        <f>IF(B55="","",H55-I55)</f>
        <v/>
      </c>
      <c r="K55" s="33" t="n"/>
      <c r="L55" s="21">
        <f>IF(B55="","",IF(E55=Config!$B$6,"Encerrado","Ativo"))</f>
        <v/>
      </c>
      <c r="M55" s="23">
        <f>IF(OR(B55="",H55=0,H55=""),"",I55/H55)</f>
        <v/>
      </c>
    </row>
    <row r="56">
      <c r="A56" s="27" t="n"/>
      <c r="B56" s="27" t="n"/>
      <c r="C56" s="21">
        <f>IF(B56="","",IFERROR(INDEX(Clientes!$B$5:$B$64,MATCH(B56,Clientes!$A$5:$A$64,0)),""))</f>
        <v/>
      </c>
      <c r="D56" s="29" t="n"/>
      <c r="E56" s="29" t="n"/>
      <c r="F56" s="29" t="n"/>
      <c r="G56" s="29" t="n"/>
      <c r="H56" s="32" t="n"/>
      <c r="I56" s="32" t="n"/>
      <c r="J56" s="22">
        <f>IF(B56="","",H56-I56)</f>
        <v/>
      </c>
      <c r="K56" s="33" t="n"/>
      <c r="L56" s="21">
        <f>IF(B56="","",IF(E56=Config!$B$6,"Encerrado","Ativo"))</f>
        <v/>
      </c>
      <c r="M56" s="23">
        <f>IF(OR(B56="",H56=0,H56=""),"",I56/H56)</f>
        <v/>
      </c>
    </row>
    <row r="57">
      <c r="A57" s="27" t="n"/>
      <c r="B57" s="27" t="n"/>
      <c r="C57" s="21">
        <f>IF(B57="","",IFERROR(INDEX(Clientes!$B$5:$B$64,MATCH(B57,Clientes!$A$5:$A$64,0)),""))</f>
        <v/>
      </c>
      <c r="D57" s="29" t="n"/>
      <c r="E57" s="29" t="n"/>
      <c r="F57" s="29" t="n"/>
      <c r="G57" s="29" t="n"/>
      <c r="H57" s="32" t="n"/>
      <c r="I57" s="32" t="n"/>
      <c r="J57" s="22">
        <f>IF(B57="","",H57-I57)</f>
        <v/>
      </c>
      <c r="K57" s="33" t="n"/>
      <c r="L57" s="21">
        <f>IF(B57="","",IF(E57=Config!$B$6,"Encerrado","Ativo"))</f>
        <v/>
      </c>
      <c r="M57" s="23">
        <f>IF(OR(B57="",H57=0,H57=""),"",I57/H57)</f>
        <v/>
      </c>
    </row>
    <row r="58">
      <c r="A58" s="27" t="n"/>
      <c r="B58" s="27" t="n"/>
      <c r="C58" s="21">
        <f>IF(B58="","",IFERROR(INDEX(Clientes!$B$5:$B$64,MATCH(B58,Clientes!$A$5:$A$64,0)),""))</f>
        <v/>
      </c>
      <c r="D58" s="29" t="n"/>
      <c r="E58" s="29" t="n"/>
      <c r="F58" s="29" t="n"/>
      <c r="G58" s="29" t="n"/>
      <c r="H58" s="32" t="n"/>
      <c r="I58" s="32" t="n"/>
      <c r="J58" s="22">
        <f>IF(B58="","",H58-I58)</f>
        <v/>
      </c>
      <c r="K58" s="33" t="n"/>
      <c r="L58" s="21">
        <f>IF(B58="","",IF(E58=Config!$B$6,"Encerrado","Ativo"))</f>
        <v/>
      </c>
      <c r="M58" s="23">
        <f>IF(OR(B58="",H58=0,H58=""),"",I58/H58)</f>
        <v/>
      </c>
    </row>
    <row r="59">
      <c r="A59" s="27" t="n"/>
      <c r="B59" s="27" t="n"/>
      <c r="C59" s="21">
        <f>IF(B59="","",IFERROR(INDEX(Clientes!$B$5:$B$64,MATCH(B59,Clientes!$A$5:$A$64,0)),""))</f>
        <v/>
      </c>
      <c r="D59" s="29" t="n"/>
      <c r="E59" s="29" t="n"/>
      <c r="F59" s="29" t="n"/>
      <c r="G59" s="29" t="n"/>
      <c r="H59" s="32" t="n"/>
      <c r="I59" s="32" t="n"/>
      <c r="J59" s="22">
        <f>IF(B59="","",H59-I59)</f>
        <v/>
      </c>
      <c r="K59" s="33" t="n"/>
      <c r="L59" s="21">
        <f>IF(B59="","",IF(E59=Config!$B$6,"Encerrado","Ativo"))</f>
        <v/>
      </c>
      <c r="M59" s="23">
        <f>IF(OR(B59="",H59=0,H59=""),"",I59/H59)</f>
        <v/>
      </c>
    </row>
    <row r="60">
      <c r="A60" s="27" t="n"/>
      <c r="B60" s="27" t="n"/>
      <c r="C60" s="21">
        <f>IF(B60="","",IFERROR(INDEX(Clientes!$B$5:$B$64,MATCH(B60,Clientes!$A$5:$A$64,0)),""))</f>
        <v/>
      </c>
      <c r="D60" s="29" t="n"/>
      <c r="E60" s="29" t="n"/>
      <c r="F60" s="29" t="n"/>
      <c r="G60" s="29" t="n"/>
      <c r="H60" s="32" t="n"/>
      <c r="I60" s="32" t="n"/>
      <c r="J60" s="22">
        <f>IF(B60="","",H60-I60)</f>
        <v/>
      </c>
      <c r="K60" s="33" t="n"/>
      <c r="L60" s="21">
        <f>IF(B60="","",IF(E60=Config!$B$6,"Encerrado","Ativo"))</f>
        <v/>
      </c>
      <c r="M60" s="23">
        <f>IF(OR(B60="",H60=0,H60=""),"",I60/H60)</f>
        <v/>
      </c>
    </row>
    <row r="61">
      <c r="A61" s="27" t="n"/>
      <c r="B61" s="27" t="n"/>
      <c r="C61" s="21">
        <f>IF(B61="","",IFERROR(INDEX(Clientes!$B$5:$B$64,MATCH(B61,Clientes!$A$5:$A$64,0)),""))</f>
        <v/>
      </c>
      <c r="D61" s="29" t="n"/>
      <c r="E61" s="29" t="n"/>
      <c r="F61" s="29" t="n"/>
      <c r="G61" s="29" t="n"/>
      <c r="H61" s="32" t="n"/>
      <c r="I61" s="32" t="n"/>
      <c r="J61" s="22">
        <f>IF(B61="","",H61-I61)</f>
        <v/>
      </c>
      <c r="K61" s="33" t="n"/>
      <c r="L61" s="21">
        <f>IF(B61="","",IF(E61=Config!$B$6,"Encerrado","Ativo"))</f>
        <v/>
      </c>
      <c r="M61" s="23">
        <f>IF(OR(B61="",H61=0,H61=""),"",I61/H61)</f>
        <v/>
      </c>
    </row>
    <row r="62">
      <c r="A62" s="27" t="n"/>
      <c r="B62" s="27" t="n"/>
      <c r="C62" s="21">
        <f>IF(B62="","",IFERROR(INDEX(Clientes!$B$5:$B$64,MATCH(B62,Clientes!$A$5:$A$64,0)),""))</f>
        <v/>
      </c>
      <c r="D62" s="29" t="n"/>
      <c r="E62" s="29" t="n"/>
      <c r="F62" s="29" t="n"/>
      <c r="G62" s="29" t="n"/>
      <c r="H62" s="32" t="n"/>
      <c r="I62" s="32" t="n"/>
      <c r="J62" s="22">
        <f>IF(B62="","",H62-I62)</f>
        <v/>
      </c>
      <c r="K62" s="33" t="n"/>
      <c r="L62" s="21">
        <f>IF(B62="","",IF(E62=Config!$B$6,"Encerrado","Ativo"))</f>
        <v/>
      </c>
      <c r="M62" s="23">
        <f>IF(OR(B62="",H62=0,H62=""),"",I62/H62)</f>
        <v/>
      </c>
    </row>
    <row r="63">
      <c r="A63" s="27" t="n"/>
      <c r="B63" s="27" t="n"/>
      <c r="C63" s="21">
        <f>IF(B63="","",IFERROR(INDEX(Clientes!$B$5:$B$64,MATCH(B63,Clientes!$A$5:$A$64,0)),""))</f>
        <v/>
      </c>
      <c r="D63" s="29" t="n"/>
      <c r="E63" s="29" t="n"/>
      <c r="F63" s="29" t="n"/>
      <c r="G63" s="29" t="n"/>
      <c r="H63" s="32" t="n"/>
      <c r="I63" s="32" t="n"/>
      <c r="J63" s="22">
        <f>IF(B63="","",H63-I63)</f>
        <v/>
      </c>
      <c r="K63" s="33" t="n"/>
      <c r="L63" s="21">
        <f>IF(B63="","",IF(E63=Config!$B$6,"Encerrado","Ativo"))</f>
        <v/>
      </c>
      <c r="M63" s="23">
        <f>IF(OR(B63="",H63=0,H63=""),"",I63/H63)</f>
        <v/>
      </c>
    </row>
    <row r="64">
      <c r="A64" s="27" t="n"/>
      <c r="B64" s="27" t="n"/>
      <c r="C64" s="21">
        <f>IF(B64="","",IFERROR(INDEX(Clientes!$B$5:$B$64,MATCH(B64,Clientes!$A$5:$A$64,0)),""))</f>
        <v/>
      </c>
      <c r="D64" s="29" t="n"/>
      <c r="E64" s="29" t="n"/>
      <c r="F64" s="29" t="n"/>
      <c r="G64" s="29" t="n"/>
      <c r="H64" s="32" t="n"/>
      <c r="I64" s="32" t="n"/>
      <c r="J64" s="22">
        <f>IF(B64="","",H64-I64)</f>
        <v/>
      </c>
      <c r="K64" s="33" t="n"/>
      <c r="L64" s="21">
        <f>IF(B64="","",IF(E64=Config!$B$6,"Encerrado","Ativo"))</f>
        <v/>
      </c>
      <c r="M64" s="23">
        <f>IF(OR(B64="",H64=0,H64=""),"",I64/H64)</f>
        <v/>
      </c>
    </row>
    <row r="65">
      <c r="A65" s="27" t="n"/>
      <c r="B65" s="27" t="n"/>
      <c r="C65" s="21">
        <f>IF(B65="","",IFERROR(INDEX(Clientes!$B$5:$B$64,MATCH(B65,Clientes!$A$5:$A$64,0)),""))</f>
        <v/>
      </c>
      <c r="D65" s="29" t="n"/>
      <c r="E65" s="29" t="n"/>
      <c r="F65" s="29" t="n"/>
      <c r="G65" s="29" t="n"/>
      <c r="H65" s="32" t="n"/>
      <c r="I65" s="32" t="n"/>
      <c r="J65" s="22">
        <f>IF(B65="","",H65-I65)</f>
        <v/>
      </c>
      <c r="K65" s="33" t="n"/>
      <c r="L65" s="21">
        <f>IF(B65="","",IF(E65=Config!$B$6,"Encerrado","Ativo"))</f>
        <v/>
      </c>
      <c r="M65" s="23">
        <f>IF(OR(B65="",H65=0,H65=""),"",I65/H65)</f>
        <v/>
      </c>
    </row>
    <row r="66">
      <c r="A66" s="27" t="n"/>
      <c r="B66" s="27" t="n"/>
      <c r="C66" s="21">
        <f>IF(B66="","",IFERROR(INDEX(Clientes!$B$5:$B$64,MATCH(B66,Clientes!$A$5:$A$64,0)),""))</f>
        <v/>
      </c>
      <c r="D66" s="29" t="n"/>
      <c r="E66" s="29" t="n"/>
      <c r="F66" s="29" t="n"/>
      <c r="G66" s="29" t="n"/>
      <c r="H66" s="32" t="n"/>
      <c r="I66" s="32" t="n"/>
      <c r="J66" s="22">
        <f>IF(B66="","",H66-I66)</f>
        <v/>
      </c>
      <c r="K66" s="33" t="n"/>
      <c r="L66" s="21">
        <f>IF(B66="","",IF(E66=Config!$B$6,"Encerrado","Ativo"))</f>
        <v/>
      </c>
      <c r="M66" s="23">
        <f>IF(OR(B66="",H66=0,H66=""),"",I66/H66)</f>
        <v/>
      </c>
    </row>
    <row r="67">
      <c r="A67" s="27" t="n"/>
      <c r="B67" s="27" t="n"/>
      <c r="C67" s="21">
        <f>IF(B67="","",IFERROR(INDEX(Clientes!$B$5:$B$64,MATCH(B67,Clientes!$A$5:$A$64,0)),""))</f>
        <v/>
      </c>
      <c r="D67" s="29" t="n"/>
      <c r="E67" s="29" t="n"/>
      <c r="F67" s="29" t="n"/>
      <c r="G67" s="29" t="n"/>
      <c r="H67" s="32" t="n"/>
      <c r="I67" s="32" t="n"/>
      <c r="J67" s="22">
        <f>IF(B67="","",H67-I67)</f>
        <v/>
      </c>
      <c r="K67" s="33" t="n"/>
      <c r="L67" s="21">
        <f>IF(B67="","",IF(E67=Config!$B$6,"Encerrado","Ativo"))</f>
        <v/>
      </c>
      <c r="M67" s="23">
        <f>IF(OR(B67="",H67=0,H67=""),"",I67/H67)</f>
        <v/>
      </c>
    </row>
    <row r="68">
      <c r="A68" s="27" t="n"/>
      <c r="B68" s="27" t="n"/>
      <c r="C68" s="21">
        <f>IF(B68="","",IFERROR(INDEX(Clientes!$B$5:$B$64,MATCH(B68,Clientes!$A$5:$A$64,0)),""))</f>
        <v/>
      </c>
      <c r="D68" s="29" t="n"/>
      <c r="E68" s="29" t="n"/>
      <c r="F68" s="29" t="n"/>
      <c r="G68" s="29" t="n"/>
      <c r="H68" s="32" t="n"/>
      <c r="I68" s="32" t="n"/>
      <c r="J68" s="22">
        <f>IF(B68="","",H68-I68)</f>
        <v/>
      </c>
      <c r="K68" s="33" t="n"/>
      <c r="L68" s="21">
        <f>IF(B68="","",IF(E68=Config!$B$6,"Encerrado","Ativo"))</f>
        <v/>
      </c>
      <c r="M68" s="23">
        <f>IF(OR(B68="",H68=0,H68=""),"",I68/H68)</f>
        <v/>
      </c>
    </row>
    <row r="69">
      <c r="A69" s="27" t="n"/>
      <c r="B69" s="27" t="n"/>
      <c r="C69" s="21">
        <f>IF(B69="","",IFERROR(INDEX(Clientes!$B$5:$B$64,MATCH(B69,Clientes!$A$5:$A$64,0)),""))</f>
        <v/>
      </c>
      <c r="D69" s="29" t="n"/>
      <c r="E69" s="29" t="n"/>
      <c r="F69" s="29" t="n"/>
      <c r="G69" s="29" t="n"/>
      <c r="H69" s="32" t="n"/>
      <c r="I69" s="32" t="n"/>
      <c r="J69" s="22">
        <f>IF(B69="","",H69-I69)</f>
        <v/>
      </c>
      <c r="K69" s="33" t="n"/>
      <c r="L69" s="21">
        <f>IF(B69="","",IF(E69=Config!$B$6,"Encerrado","Ativo"))</f>
        <v/>
      </c>
      <c r="M69" s="23">
        <f>IF(OR(B69="",H69=0,H69=""),"",I69/H69)</f>
        <v/>
      </c>
    </row>
    <row r="70">
      <c r="A70" s="27" t="n"/>
      <c r="B70" s="27" t="n"/>
      <c r="C70" s="21">
        <f>IF(B70="","",IFERROR(INDEX(Clientes!$B$5:$B$64,MATCH(B70,Clientes!$A$5:$A$64,0)),""))</f>
        <v/>
      </c>
      <c r="D70" s="29" t="n"/>
      <c r="E70" s="29" t="n"/>
      <c r="F70" s="29" t="n"/>
      <c r="G70" s="29" t="n"/>
      <c r="H70" s="32" t="n"/>
      <c r="I70" s="32" t="n"/>
      <c r="J70" s="22">
        <f>IF(B70="","",H70-I70)</f>
        <v/>
      </c>
      <c r="K70" s="33" t="n"/>
      <c r="L70" s="21">
        <f>IF(B70="","",IF(E70=Config!$B$6,"Encerrado","Ativo"))</f>
        <v/>
      </c>
      <c r="M70" s="23">
        <f>IF(OR(B70="",H70=0,H70=""),"",I70/H70)</f>
        <v/>
      </c>
    </row>
    <row r="71">
      <c r="A71" s="27" t="n"/>
      <c r="B71" s="27" t="n"/>
      <c r="C71" s="21">
        <f>IF(B71="","",IFERROR(INDEX(Clientes!$B$5:$B$64,MATCH(B71,Clientes!$A$5:$A$64,0)),""))</f>
        <v/>
      </c>
      <c r="D71" s="29" t="n"/>
      <c r="E71" s="29" t="n"/>
      <c r="F71" s="29" t="n"/>
      <c r="G71" s="29" t="n"/>
      <c r="H71" s="32" t="n"/>
      <c r="I71" s="32" t="n"/>
      <c r="J71" s="22">
        <f>IF(B71="","",H71-I71)</f>
        <v/>
      </c>
      <c r="K71" s="33" t="n"/>
      <c r="L71" s="21">
        <f>IF(B71="","",IF(E71=Config!$B$6,"Encerrado","Ativo"))</f>
        <v/>
      </c>
      <c r="M71" s="23">
        <f>IF(OR(B71="",H71=0,H71=""),"",I71/H71)</f>
        <v/>
      </c>
    </row>
    <row r="72">
      <c r="A72" s="27" t="n"/>
      <c r="B72" s="27" t="n"/>
      <c r="C72" s="21">
        <f>IF(B72="","",IFERROR(INDEX(Clientes!$B$5:$B$64,MATCH(B72,Clientes!$A$5:$A$64,0)),""))</f>
        <v/>
      </c>
      <c r="D72" s="29" t="n"/>
      <c r="E72" s="29" t="n"/>
      <c r="F72" s="29" t="n"/>
      <c r="G72" s="29" t="n"/>
      <c r="H72" s="32" t="n"/>
      <c r="I72" s="32" t="n"/>
      <c r="J72" s="22">
        <f>IF(B72="","",H72-I72)</f>
        <v/>
      </c>
      <c r="K72" s="33" t="n"/>
      <c r="L72" s="21">
        <f>IF(B72="","",IF(E72=Config!$B$6,"Encerrado","Ativo"))</f>
        <v/>
      </c>
      <c r="M72" s="23">
        <f>IF(OR(B72="",H72=0,H72=""),"",I72/H72)</f>
        <v/>
      </c>
    </row>
    <row r="73">
      <c r="A73" s="27" t="n"/>
      <c r="B73" s="27" t="n"/>
      <c r="C73" s="21">
        <f>IF(B73="","",IFERROR(INDEX(Clientes!$B$5:$B$64,MATCH(B73,Clientes!$A$5:$A$64,0)),""))</f>
        <v/>
      </c>
      <c r="D73" s="29" t="n"/>
      <c r="E73" s="29" t="n"/>
      <c r="F73" s="29" t="n"/>
      <c r="G73" s="29" t="n"/>
      <c r="H73" s="32" t="n"/>
      <c r="I73" s="32" t="n"/>
      <c r="J73" s="22">
        <f>IF(B73="","",H73-I73)</f>
        <v/>
      </c>
      <c r="K73" s="33" t="n"/>
      <c r="L73" s="21">
        <f>IF(B73="","",IF(E73=Config!$B$6,"Encerrado","Ativo"))</f>
        <v/>
      </c>
      <c r="M73" s="23">
        <f>IF(OR(B73="",H73=0,H73=""),"",I73/H73)</f>
        <v/>
      </c>
    </row>
    <row r="74">
      <c r="A74" s="27" t="n"/>
      <c r="B74" s="27" t="n"/>
      <c r="C74" s="21">
        <f>IF(B74="","",IFERROR(INDEX(Clientes!$B$5:$B$64,MATCH(B74,Clientes!$A$5:$A$64,0)),""))</f>
        <v/>
      </c>
      <c r="D74" s="29" t="n"/>
      <c r="E74" s="29" t="n"/>
      <c r="F74" s="29" t="n"/>
      <c r="G74" s="29" t="n"/>
      <c r="H74" s="32" t="n"/>
      <c r="I74" s="32" t="n"/>
      <c r="J74" s="22">
        <f>IF(B74="","",H74-I74)</f>
        <v/>
      </c>
      <c r="K74" s="33" t="n"/>
      <c r="L74" s="21">
        <f>IF(B74="","",IF(E74=Config!$B$6,"Encerrado","Ativo"))</f>
        <v/>
      </c>
      <c r="M74" s="23">
        <f>IF(OR(B74="",H74=0,H74=""),"",I74/H74)</f>
        <v/>
      </c>
    </row>
    <row r="75">
      <c r="A75" s="27" t="n"/>
      <c r="B75" s="27" t="n"/>
      <c r="C75" s="21">
        <f>IF(B75="","",IFERROR(INDEX(Clientes!$B$5:$B$64,MATCH(B75,Clientes!$A$5:$A$64,0)),""))</f>
        <v/>
      </c>
      <c r="D75" s="29" t="n"/>
      <c r="E75" s="29" t="n"/>
      <c r="F75" s="29" t="n"/>
      <c r="G75" s="29" t="n"/>
      <c r="H75" s="32" t="n"/>
      <c r="I75" s="32" t="n"/>
      <c r="J75" s="22">
        <f>IF(B75="","",H75-I75)</f>
        <v/>
      </c>
      <c r="K75" s="33" t="n"/>
      <c r="L75" s="21">
        <f>IF(B75="","",IF(E75=Config!$B$6,"Encerrado","Ativo"))</f>
        <v/>
      </c>
      <c r="M75" s="23">
        <f>IF(OR(B75="",H75=0,H75=""),"",I75/H75)</f>
        <v/>
      </c>
    </row>
    <row r="76">
      <c r="A76" s="27" t="n"/>
      <c r="B76" s="27" t="n"/>
      <c r="C76" s="21">
        <f>IF(B76="","",IFERROR(INDEX(Clientes!$B$5:$B$64,MATCH(B76,Clientes!$A$5:$A$64,0)),""))</f>
        <v/>
      </c>
      <c r="D76" s="29" t="n"/>
      <c r="E76" s="29" t="n"/>
      <c r="F76" s="29" t="n"/>
      <c r="G76" s="29" t="n"/>
      <c r="H76" s="32" t="n"/>
      <c r="I76" s="32" t="n"/>
      <c r="J76" s="22">
        <f>IF(B76="","",H76-I76)</f>
        <v/>
      </c>
      <c r="K76" s="33" t="n"/>
      <c r="L76" s="21">
        <f>IF(B76="","",IF(E76=Config!$B$6,"Encerrado","Ativo"))</f>
        <v/>
      </c>
      <c r="M76" s="23">
        <f>IF(OR(B76="",H76=0,H76=""),"",I76/H76)</f>
        <v/>
      </c>
    </row>
    <row r="77">
      <c r="A77" s="27" t="n"/>
      <c r="B77" s="27" t="n"/>
      <c r="C77" s="21">
        <f>IF(B77="","",IFERROR(INDEX(Clientes!$B$5:$B$64,MATCH(B77,Clientes!$A$5:$A$64,0)),""))</f>
        <v/>
      </c>
      <c r="D77" s="29" t="n"/>
      <c r="E77" s="29" t="n"/>
      <c r="F77" s="29" t="n"/>
      <c r="G77" s="29" t="n"/>
      <c r="H77" s="32" t="n"/>
      <c r="I77" s="32" t="n"/>
      <c r="J77" s="22">
        <f>IF(B77="","",H77-I77)</f>
        <v/>
      </c>
      <c r="K77" s="33" t="n"/>
      <c r="L77" s="21">
        <f>IF(B77="","",IF(E77=Config!$B$6,"Encerrado","Ativo"))</f>
        <v/>
      </c>
      <c r="M77" s="23">
        <f>IF(OR(B77="",H77=0,H77=""),"",I77/H77)</f>
        <v/>
      </c>
    </row>
    <row r="78">
      <c r="A78" s="27" t="n"/>
      <c r="B78" s="27" t="n"/>
      <c r="C78" s="21">
        <f>IF(B78="","",IFERROR(INDEX(Clientes!$B$5:$B$64,MATCH(B78,Clientes!$A$5:$A$64,0)),""))</f>
        <v/>
      </c>
      <c r="D78" s="29" t="n"/>
      <c r="E78" s="29" t="n"/>
      <c r="F78" s="29" t="n"/>
      <c r="G78" s="29" t="n"/>
      <c r="H78" s="32" t="n"/>
      <c r="I78" s="32" t="n"/>
      <c r="J78" s="22">
        <f>IF(B78="","",H78-I78)</f>
        <v/>
      </c>
      <c r="K78" s="33" t="n"/>
      <c r="L78" s="21">
        <f>IF(B78="","",IF(E78=Config!$B$6,"Encerrado","Ativo"))</f>
        <v/>
      </c>
      <c r="M78" s="23">
        <f>IF(OR(B78="",H78=0,H78=""),"",I78/H78)</f>
        <v/>
      </c>
    </row>
    <row r="79">
      <c r="A79" s="27" t="n"/>
      <c r="B79" s="27" t="n"/>
      <c r="C79" s="21">
        <f>IF(B79="","",IFERROR(INDEX(Clientes!$B$5:$B$64,MATCH(B79,Clientes!$A$5:$A$64,0)),""))</f>
        <v/>
      </c>
      <c r="D79" s="29" t="n"/>
      <c r="E79" s="29" t="n"/>
      <c r="F79" s="29" t="n"/>
      <c r="G79" s="29" t="n"/>
      <c r="H79" s="32" t="n"/>
      <c r="I79" s="32" t="n"/>
      <c r="J79" s="22">
        <f>IF(B79="","",H79-I79)</f>
        <v/>
      </c>
      <c r="K79" s="33" t="n"/>
      <c r="L79" s="21">
        <f>IF(B79="","",IF(E79=Config!$B$6,"Encerrado","Ativo"))</f>
        <v/>
      </c>
      <c r="M79" s="23">
        <f>IF(OR(B79="",H79=0,H79=""),"",I79/H79)</f>
        <v/>
      </c>
    </row>
    <row r="80">
      <c r="A80" s="27" t="n"/>
      <c r="B80" s="27" t="n"/>
      <c r="C80" s="21">
        <f>IF(B80="","",IFERROR(INDEX(Clientes!$B$5:$B$64,MATCH(B80,Clientes!$A$5:$A$64,0)),""))</f>
        <v/>
      </c>
      <c r="D80" s="29" t="n"/>
      <c r="E80" s="29" t="n"/>
      <c r="F80" s="29" t="n"/>
      <c r="G80" s="29" t="n"/>
      <c r="H80" s="32" t="n"/>
      <c r="I80" s="32" t="n"/>
      <c r="J80" s="22">
        <f>IF(B80="","",H80-I80)</f>
        <v/>
      </c>
      <c r="K80" s="33" t="n"/>
      <c r="L80" s="21">
        <f>IF(B80="","",IF(E80=Config!$B$6,"Encerrado","Ativo"))</f>
        <v/>
      </c>
      <c r="M80" s="23">
        <f>IF(OR(B80="",H80=0,H80=""),"",I80/H80)</f>
        <v/>
      </c>
    </row>
    <row r="81">
      <c r="A81" s="27" t="n"/>
      <c r="B81" s="27" t="n"/>
      <c r="C81" s="21">
        <f>IF(B81="","",IFERROR(INDEX(Clientes!$B$5:$B$64,MATCH(B81,Clientes!$A$5:$A$64,0)),""))</f>
        <v/>
      </c>
      <c r="D81" s="29" t="n"/>
      <c r="E81" s="29" t="n"/>
      <c r="F81" s="29" t="n"/>
      <c r="G81" s="29" t="n"/>
      <c r="H81" s="32" t="n"/>
      <c r="I81" s="32" t="n"/>
      <c r="J81" s="22">
        <f>IF(B81="","",H81-I81)</f>
        <v/>
      </c>
      <c r="K81" s="33" t="n"/>
      <c r="L81" s="21">
        <f>IF(B81="","",IF(E81=Config!$B$6,"Encerrado","Ativo"))</f>
        <v/>
      </c>
      <c r="M81" s="23">
        <f>IF(OR(B81="",H81=0,H81=""),"",I81/H81)</f>
        <v/>
      </c>
    </row>
    <row r="82">
      <c r="A82" s="27" t="n"/>
      <c r="B82" s="27" t="n"/>
      <c r="C82" s="21">
        <f>IF(B82="","",IFERROR(INDEX(Clientes!$B$5:$B$64,MATCH(B82,Clientes!$A$5:$A$64,0)),""))</f>
        <v/>
      </c>
      <c r="D82" s="29" t="n"/>
      <c r="E82" s="29" t="n"/>
      <c r="F82" s="29" t="n"/>
      <c r="G82" s="29" t="n"/>
      <c r="H82" s="32" t="n"/>
      <c r="I82" s="32" t="n"/>
      <c r="J82" s="22">
        <f>IF(B82="","",H82-I82)</f>
        <v/>
      </c>
      <c r="K82" s="33" t="n"/>
      <c r="L82" s="21">
        <f>IF(B82="","",IF(E82=Config!$B$6,"Encerrado","Ativo"))</f>
        <v/>
      </c>
      <c r="M82" s="23">
        <f>IF(OR(B82="",H82=0,H82=""),"",I82/H82)</f>
        <v/>
      </c>
    </row>
    <row r="83">
      <c r="A83" s="27" t="n"/>
      <c r="B83" s="27" t="n"/>
      <c r="C83" s="21">
        <f>IF(B83="","",IFERROR(INDEX(Clientes!$B$5:$B$64,MATCH(B83,Clientes!$A$5:$A$64,0)),""))</f>
        <v/>
      </c>
      <c r="D83" s="29" t="n"/>
      <c r="E83" s="29" t="n"/>
      <c r="F83" s="29" t="n"/>
      <c r="G83" s="29" t="n"/>
      <c r="H83" s="32" t="n"/>
      <c r="I83" s="32" t="n"/>
      <c r="J83" s="22">
        <f>IF(B83="","",H83-I83)</f>
        <v/>
      </c>
      <c r="K83" s="33" t="n"/>
      <c r="L83" s="21">
        <f>IF(B83="","",IF(E83=Config!$B$6,"Encerrado","Ativo"))</f>
        <v/>
      </c>
      <c r="M83" s="23">
        <f>IF(OR(B83="",H83=0,H83=""),"",I83/H83)</f>
        <v/>
      </c>
    </row>
    <row r="84">
      <c r="A84" s="27" t="n"/>
      <c r="B84" s="27" t="n"/>
      <c r="C84" s="21">
        <f>IF(B84="","",IFERROR(INDEX(Clientes!$B$5:$B$64,MATCH(B84,Clientes!$A$5:$A$64,0)),""))</f>
        <v/>
      </c>
      <c r="D84" s="29" t="n"/>
      <c r="E84" s="29" t="n"/>
      <c r="F84" s="29" t="n"/>
      <c r="G84" s="29" t="n"/>
      <c r="H84" s="32" t="n"/>
      <c r="I84" s="32" t="n"/>
      <c r="J84" s="22">
        <f>IF(B84="","",H84-I84)</f>
        <v/>
      </c>
      <c r="K84" s="33" t="n"/>
      <c r="L84" s="21">
        <f>IF(B84="","",IF(E84=Config!$B$6,"Encerrado","Ativo"))</f>
        <v/>
      </c>
      <c r="M84" s="23">
        <f>IF(OR(B84="",H84=0,H84=""),"",I84/H84)</f>
        <v/>
      </c>
    </row>
    <row r="85">
      <c r="A85" s="27" t="n"/>
      <c r="B85" s="27" t="n"/>
      <c r="C85" s="21">
        <f>IF(B85="","",IFERROR(INDEX(Clientes!$B$5:$B$64,MATCH(B85,Clientes!$A$5:$A$64,0)),""))</f>
        <v/>
      </c>
      <c r="D85" s="29" t="n"/>
      <c r="E85" s="29" t="n"/>
      <c r="F85" s="29" t="n"/>
      <c r="G85" s="29" t="n"/>
      <c r="H85" s="32" t="n"/>
      <c r="I85" s="32" t="n"/>
      <c r="J85" s="22">
        <f>IF(B85="","",H85-I85)</f>
        <v/>
      </c>
      <c r="K85" s="33" t="n"/>
      <c r="L85" s="21">
        <f>IF(B85="","",IF(E85=Config!$B$6,"Encerrado","Ativo"))</f>
        <v/>
      </c>
      <c r="M85" s="23">
        <f>IF(OR(B85="",H85=0,H85=""),"",I85/H85)</f>
        <v/>
      </c>
    </row>
    <row r="86">
      <c r="A86" s="27" t="n"/>
      <c r="B86" s="27" t="n"/>
      <c r="C86" s="21">
        <f>IF(B86="","",IFERROR(INDEX(Clientes!$B$5:$B$64,MATCH(B86,Clientes!$A$5:$A$64,0)),""))</f>
        <v/>
      </c>
      <c r="D86" s="29" t="n"/>
      <c r="E86" s="29" t="n"/>
      <c r="F86" s="29" t="n"/>
      <c r="G86" s="29" t="n"/>
      <c r="H86" s="32" t="n"/>
      <c r="I86" s="32" t="n"/>
      <c r="J86" s="22">
        <f>IF(B86="","",H86-I86)</f>
        <v/>
      </c>
      <c r="K86" s="33" t="n"/>
      <c r="L86" s="21">
        <f>IF(B86="","",IF(E86=Config!$B$6,"Encerrado","Ativo"))</f>
        <v/>
      </c>
      <c r="M86" s="23">
        <f>IF(OR(B86="",H86=0,H86=""),"",I86/H86)</f>
        <v/>
      </c>
    </row>
    <row r="87">
      <c r="A87" s="27" t="n"/>
      <c r="B87" s="27" t="n"/>
      <c r="C87" s="21">
        <f>IF(B87="","",IFERROR(INDEX(Clientes!$B$5:$B$64,MATCH(B87,Clientes!$A$5:$A$64,0)),""))</f>
        <v/>
      </c>
      <c r="D87" s="29" t="n"/>
      <c r="E87" s="29" t="n"/>
      <c r="F87" s="29" t="n"/>
      <c r="G87" s="29" t="n"/>
      <c r="H87" s="32" t="n"/>
      <c r="I87" s="32" t="n"/>
      <c r="J87" s="22">
        <f>IF(B87="","",H87-I87)</f>
        <v/>
      </c>
      <c r="K87" s="33" t="n"/>
      <c r="L87" s="21">
        <f>IF(B87="","",IF(E87=Config!$B$6,"Encerrado","Ativo"))</f>
        <v/>
      </c>
      <c r="M87" s="23">
        <f>IF(OR(B87="",H87=0,H87=""),"",I87/H87)</f>
        <v/>
      </c>
    </row>
    <row r="88">
      <c r="A88" s="27" t="n"/>
      <c r="B88" s="27" t="n"/>
      <c r="C88" s="21">
        <f>IF(B88="","",IFERROR(INDEX(Clientes!$B$5:$B$64,MATCH(B88,Clientes!$A$5:$A$64,0)),""))</f>
        <v/>
      </c>
      <c r="D88" s="29" t="n"/>
      <c r="E88" s="29" t="n"/>
      <c r="F88" s="29" t="n"/>
      <c r="G88" s="29" t="n"/>
      <c r="H88" s="32" t="n"/>
      <c r="I88" s="32" t="n"/>
      <c r="J88" s="22">
        <f>IF(B88="","",H88-I88)</f>
        <v/>
      </c>
      <c r="K88" s="33" t="n"/>
      <c r="L88" s="21">
        <f>IF(B88="","",IF(E88=Config!$B$6,"Encerrado","Ativo"))</f>
        <v/>
      </c>
      <c r="M88" s="23">
        <f>IF(OR(B88="",H88=0,H88=""),"",I88/H88)</f>
        <v/>
      </c>
    </row>
    <row r="89">
      <c r="A89" s="27" t="n"/>
      <c r="B89" s="27" t="n"/>
      <c r="C89" s="21">
        <f>IF(B89="","",IFERROR(INDEX(Clientes!$B$5:$B$64,MATCH(B89,Clientes!$A$5:$A$64,0)),""))</f>
        <v/>
      </c>
      <c r="D89" s="29" t="n"/>
      <c r="E89" s="29" t="n"/>
      <c r="F89" s="29" t="n"/>
      <c r="G89" s="29" t="n"/>
      <c r="H89" s="32" t="n"/>
      <c r="I89" s="32" t="n"/>
      <c r="J89" s="22">
        <f>IF(B89="","",H89-I89)</f>
        <v/>
      </c>
      <c r="K89" s="33" t="n"/>
      <c r="L89" s="21">
        <f>IF(B89="","",IF(E89=Config!$B$6,"Encerrado","Ativo"))</f>
        <v/>
      </c>
      <c r="M89" s="23">
        <f>IF(OR(B89="",H89=0,H89=""),"",I89/H89)</f>
        <v/>
      </c>
    </row>
    <row r="90">
      <c r="A90" s="27" t="n"/>
      <c r="B90" s="27" t="n"/>
      <c r="C90" s="21">
        <f>IF(B90="","",IFERROR(INDEX(Clientes!$B$5:$B$64,MATCH(B90,Clientes!$A$5:$A$64,0)),""))</f>
        <v/>
      </c>
      <c r="D90" s="29" t="n"/>
      <c r="E90" s="29" t="n"/>
      <c r="F90" s="29" t="n"/>
      <c r="G90" s="29" t="n"/>
      <c r="H90" s="32" t="n"/>
      <c r="I90" s="32" t="n"/>
      <c r="J90" s="22">
        <f>IF(B90="","",H90-I90)</f>
        <v/>
      </c>
      <c r="K90" s="33" t="n"/>
      <c r="L90" s="21">
        <f>IF(B90="","",IF(E90=Config!$B$6,"Encerrado","Ativo"))</f>
        <v/>
      </c>
      <c r="M90" s="23">
        <f>IF(OR(B90="",H90=0,H90=""),"",I90/H90)</f>
        <v/>
      </c>
    </row>
    <row r="91">
      <c r="A91" s="27" t="n"/>
      <c r="B91" s="27" t="n"/>
      <c r="C91" s="21">
        <f>IF(B91="","",IFERROR(INDEX(Clientes!$B$5:$B$64,MATCH(B91,Clientes!$A$5:$A$64,0)),""))</f>
        <v/>
      </c>
      <c r="D91" s="29" t="n"/>
      <c r="E91" s="29" t="n"/>
      <c r="F91" s="29" t="n"/>
      <c r="G91" s="29" t="n"/>
      <c r="H91" s="32" t="n"/>
      <c r="I91" s="32" t="n"/>
      <c r="J91" s="22">
        <f>IF(B91="","",H91-I91)</f>
        <v/>
      </c>
      <c r="K91" s="33" t="n"/>
      <c r="L91" s="21">
        <f>IF(B91="","",IF(E91=Config!$B$6,"Encerrado","Ativo"))</f>
        <v/>
      </c>
      <c r="M91" s="23">
        <f>IF(OR(B91="",H91=0,H91=""),"",I91/H91)</f>
        <v/>
      </c>
    </row>
    <row r="92">
      <c r="A92" s="27" t="n"/>
      <c r="B92" s="27" t="n"/>
      <c r="C92" s="21">
        <f>IF(B92="","",IFERROR(INDEX(Clientes!$B$5:$B$64,MATCH(B92,Clientes!$A$5:$A$64,0)),""))</f>
        <v/>
      </c>
      <c r="D92" s="29" t="n"/>
      <c r="E92" s="29" t="n"/>
      <c r="F92" s="29" t="n"/>
      <c r="G92" s="29" t="n"/>
      <c r="H92" s="32" t="n"/>
      <c r="I92" s="32" t="n"/>
      <c r="J92" s="22">
        <f>IF(B92="","",H92-I92)</f>
        <v/>
      </c>
      <c r="K92" s="33" t="n"/>
      <c r="L92" s="21">
        <f>IF(B92="","",IF(E92=Config!$B$6,"Encerrado","Ativo"))</f>
        <v/>
      </c>
      <c r="M92" s="23">
        <f>IF(OR(B92="",H92=0,H92=""),"",I92/H92)</f>
        <v/>
      </c>
    </row>
    <row r="93">
      <c r="A93" s="27" t="n"/>
      <c r="B93" s="27" t="n"/>
      <c r="C93" s="21">
        <f>IF(B93="","",IFERROR(INDEX(Clientes!$B$5:$B$64,MATCH(B93,Clientes!$A$5:$A$64,0)),""))</f>
        <v/>
      </c>
      <c r="D93" s="29" t="n"/>
      <c r="E93" s="29" t="n"/>
      <c r="F93" s="29" t="n"/>
      <c r="G93" s="29" t="n"/>
      <c r="H93" s="32" t="n"/>
      <c r="I93" s="32" t="n"/>
      <c r="J93" s="22">
        <f>IF(B93="","",H93-I93)</f>
        <v/>
      </c>
      <c r="K93" s="33" t="n"/>
      <c r="L93" s="21">
        <f>IF(B93="","",IF(E93=Config!$B$6,"Encerrado","Ativo"))</f>
        <v/>
      </c>
      <c r="M93" s="23">
        <f>IF(OR(B93="",H93=0,H93=""),"",I93/H93)</f>
        <v/>
      </c>
    </row>
    <row r="94">
      <c r="A94" s="27" t="n"/>
      <c r="B94" s="27" t="n"/>
      <c r="C94" s="21">
        <f>IF(B94="","",IFERROR(INDEX(Clientes!$B$5:$B$64,MATCH(B94,Clientes!$A$5:$A$64,0)),""))</f>
        <v/>
      </c>
      <c r="D94" s="29" t="n"/>
      <c r="E94" s="29" t="n"/>
      <c r="F94" s="29" t="n"/>
      <c r="G94" s="29" t="n"/>
      <c r="H94" s="32" t="n"/>
      <c r="I94" s="32" t="n"/>
      <c r="J94" s="22">
        <f>IF(B94="","",H94-I94)</f>
        <v/>
      </c>
      <c r="K94" s="33" t="n"/>
      <c r="L94" s="21">
        <f>IF(B94="","",IF(E94=Config!$B$6,"Encerrado","Ativo"))</f>
        <v/>
      </c>
      <c r="M94" s="23">
        <f>IF(OR(B94="",H94=0,H94=""),"",I94/H94)</f>
        <v/>
      </c>
    </row>
    <row r="95">
      <c r="A95" s="27" t="n"/>
      <c r="B95" s="27" t="n"/>
      <c r="C95" s="21">
        <f>IF(B95="","",IFERROR(INDEX(Clientes!$B$5:$B$64,MATCH(B95,Clientes!$A$5:$A$64,0)),""))</f>
        <v/>
      </c>
      <c r="D95" s="29" t="n"/>
      <c r="E95" s="29" t="n"/>
      <c r="F95" s="29" t="n"/>
      <c r="G95" s="29" t="n"/>
      <c r="H95" s="32" t="n"/>
      <c r="I95" s="32" t="n"/>
      <c r="J95" s="22">
        <f>IF(B95="","",H95-I95)</f>
        <v/>
      </c>
      <c r="K95" s="33" t="n"/>
      <c r="L95" s="21">
        <f>IF(B95="","",IF(E95=Config!$B$6,"Encerrado","Ativo"))</f>
        <v/>
      </c>
      <c r="M95" s="23">
        <f>IF(OR(B95="",H95=0,H95=""),"",I95/H95)</f>
        <v/>
      </c>
    </row>
    <row r="96">
      <c r="A96" s="27" t="n"/>
      <c r="B96" s="27" t="n"/>
      <c r="C96" s="21">
        <f>IF(B96="","",IFERROR(INDEX(Clientes!$B$5:$B$64,MATCH(B96,Clientes!$A$5:$A$64,0)),""))</f>
        <v/>
      </c>
      <c r="D96" s="29" t="n"/>
      <c r="E96" s="29" t="n"/>
      <c r="F96" s="29" t="n"/>
      <c r="G96" s="29" t="n"/>
      <c r="H96" s="32" t="n"/>
      <c r="I96" s="32" t="n"/>
      <c r="J96" s="22">
        <f>IF(B96="","",H96-I96)</f>
        <v/>
      </c>
      <c r="K96" s="33" t="n"/>
      <c r="L96" s="21">
        <f>IF(B96="","",IF(E96=Config!$B$6,"Encerrado","Ativo"))</f>
        <v/>
      </c>
      <c r="M96" s="23">
        <f>IF(OR(B96="",H96=0,H96=""),"",I96/H96)</f>
        <v/>
      </c>
    </row>
    <row r="97">
      <c r="A97" s="27" t="n"/>
      <c r="B97" s="27" t="n"/>
      <c r="C97" s="21">
        <f>IF(B97="","",IFERROR(INDEX(Clientes!$B$5:$B$64,MATCH(B97,Clientes!$A$5:$A$64,0)),""))</f>
        <v/>
      </c>
      <c r="D97" s="29" t="n"/>
      <c r="E97" s="29" t="n"/>
      <c r="F97" s="29" t="n"/>
      <c r="G97" s="29" t="n"/>
      <c r="H97" s="32" t="n"/>
      <c r="I97" s="32" t="n"/>
      <c r="J97" s="22">
        <f>IF(B97="","",H97-I97)</f>
        <v/>
      </c>
      <c r="K97" s="33" t="n"/>
      <c r="L97" s="21">
        <f>IF(B97="","",IF(E97=Config!$B$6,"Encerrado","Ativo"))</f>
        <v/>
      </c>
      <c r="M97" s="23">
        <f>IF(OR(B97="",H97=0,H97=""),"",I97/H97)</f>
        <v/>
      </c>
    </row>
    <row r="98">
      <c r="A98" s="27" t="n"/>
      <c r="B98" s="27" t="n"/>
      <c r="C98" s="21">
        <f>IF(B98="","",IFERROR(INDEX(Clientes!$B$5:$B$64,MATCH(B98,Clientes!$A$5:$A$64,0)),""))</f>
        <v/>
      </c>
      <c r="D98" s="29" t="n"/>
      <c r="E98" s="29" t="n"/>
      <c r="F98" s="29" t="n"/>
      <c r="G98" s="29" t="n"/>
      <c r="H98" s="32" t="n"/>
      <c r="I98" s="32" t="n"/>
      <c r="J98" s="22">
        <f>IF(B98="","",H98-I98)</f>
        <v/>
      </c>
      <c r="K98" s="33" t="n"/>
      <c r="L98" s="21">
        <f>IF(B98="","",IF(E98=Config!$B$6,"Encerrado","Ativo"))</f>
        <v/>
      </c>
      <c r="M98" s="23">
        <f>IF(OR(B98="",H98=0,H98=""),"",I98/H98)</f>
        <v/>
      </c>
    </row>
    <row r="99">
      <c r="A99" s="27" t="n"/>
      <c r="B99" s="27" t="n"/>
      <c r="C99" s="21">
        <f>IF(B99="","",IFERROR(INDEX(Clientes!$B$5:$B$64,MATCH(B99,Clientes!$A$5:$A$64,0)),""))</f>
        <v/>
      </c>
      <c r="D99" s="29" t="n"/>
      <c r="E99" s="29" t="n"/>
      <c r="F99" s="29" t="n"/>
      <c r="G99" s="29" t="n"/>
      <c r="H99" s="32" t="n"/>
      <c r="I99" s="32" t="n"/>
      <c r="J99" s="22">
        <f>IF(B99="","",H99-I99)</f>
        <v/>
      </c>
      <c r="K99" s="33" t="n"/>
      <c r="L99" s="21">
        <f>IF(B99="","",IF(E99=Config!$B$6,"Encerrado","Ativo"))</f>
        <v/>
      </c>
      <c r="M99" s="23">
        <f>IF(OR(B99="",H99=0,H99=""),"",I99/H99)</f>
        <v/>
      </c>
    </row>
    <row r="100">
      <c r="A100" s="27" t="n"/>
      <c r="B100" s="27" t="n"/>
      <c r="C100" s="21">
        <f>IF(B100="","",IFERROR(INDEX(Clientes!$B$5:$B$64,MATCH(B100,Clientes!$A$5:$A$64,0)),""))</f>
        <v/>
      </c>
      <c r="D100" s="29" t="n"/>
      <c r="E100" s="29" t="n"/>
      <c r="F100" s="29" t="n"/>
      <c r="G100" s="29" t="n"/>
      <c r="H100" s="32" t="n"/>
      <c r="I100" s="32" t="n"/>
      <c r="J100" s="22">
        <f>IF(B100="","",H100-I100)</f>
        <v/>
      </c>
      <c r="K100" s="33" t="n"/>
      <c r="L100" s="21">
        <f>IF(B100="","",IF(E100=Config!$B$6,"Encerrado","Ativo"))</f>
        <v/>
      </c>
      <c r="M100" s="23">
        <f>IF(OR(B100="",H100=0,H100=""),"",I100/H100)</f>
        <v/>
      </c>
    </row>
    <row r="101">
      <c r="A101" s="27" t="n"/>
      <c r="B101" s="27" t="n"/>
      <c r="C101" s="21">
        <f>IF(B101="","",IFERROR(INDEX(Clientes!$B$5:$B$64,MATCH(B101,Clientes!$A$5:$A$64,0)),""))</f>
        <v/>
      </c>
      <c r="D101" s="29" t="n"/>
      <c r="E101" s="29" t="n"/>
      <c r="F101" s="29" t="n"/>
      <c r="G101" s="29" t="n"/>
      <c r="H101" s="32" t="n"/>
      <c r="I101" s="32" t="n"/>
      <c r="J101" s="22">
        <f>IF(B101="","",H101-I101)</f>
        <v/>
      </c>
      <c r="K101" s="33" t="n"/>
      <c r="L101" s="21">
        <f>IF(B101="","",IF(E101=Config!$B$6,"Encerrado","Ativo"))</f>
        <v/>
      </c>
      <c r="M101" s="23">
        <f>IF(OR(B101="",H101=0,H101=""),"",I101/H101)</f>
        <v/>
      </c>
    </row>
    <row r="102">
      <c r="A102" s="27" t="n"/>
      <c r="B102" s="27" t="n"/>
      <c r="C102" s="21">
        <f>IF(B102="","",IFERROR(INDEX(Clientes!$B$5:$B$64,MATCH(B102,Clientes!$A$5:$A$64,0)),""))</f>
        <v/>
      </c>
      <c r="D102" s="29" t="n"/>
      <c r="E102" s="29" t="n"/>
      <c r="F102" s="29" t="n"/>
      <c r="G102" s="29" t="n"/>
      <c r="H102" s="32" t="n"/>
      <c r="I102" s="32" t="n"/>
      <c r="J102" s="22">
        <f>IF(B102="","",H102-I102)</f>
        <v/>
      </c>
      <c r="K102" s="33" t="n"/>
      <c r="L102" s="21">
        <f>IF(B102="","",IF(E102=Config!$B$6,"Encerrado","Ativo"))</f>
        <v/>
      </c>
      <c r="M102" s="23">
        <f>IF(OR(B102="",H102=0,H102=""),"",I102/H102)</f>
        <v/>
      </c>
    </row>
    <row r="103">
      <c r="A103" s="27" t="n"/>
      <c r="B103" s="27" t="n"/>
      <c r="C103" s="21">
        <f>IF(B103="","",IFERROR(INDEX(Clientes!$B$5:$B$64,MATCH(B103,Clientes!$A$5:$A$64,0)),""))</f>
        <v/>
      </c>
      <c r="D103" s="29" t="n"/>
      <c r="E103" s="29" t="n"/>
      <c r="F103" s="29" t="n"/>
      <c r="G103" s="29" t="n"/>
      <c r="H103" s="32" t="n"/>
      <c r="I103" s="32" t="n"/>
      <c r="J103" s="22">
        <f>IF(B103="","",H103-I103)</f>
        <v/>
      </c>
      <c r="K103" s="33" t="n"/>
      <c r="L103" s="21">
        <f>IF(B103="","",IF(E103=Config!$B$6,"Encerrado","Ativo"))</f>
        <v/>
      </c>
      <c r="M103" s="23">
        <f>IF(OR(B103="",H103=0,H103=""),"",I103/H103)</f>
        <v/>
      </c>
    </row>
    <row r="104">
      <c r="A104" s="27" t="n"/>
      <c r="B104" s="27" t="n"/>
      <c r="C104" s="21">
        <f>IF(B104="","",IFERROR(INDEX(Clientes!$B$5:$B$64,MATCH(B104,Clientes!$A$5:$A$64,0)),""))</f>
        <v/>
      </c>
      <c r="D104" s="29" t="n"/>
      <c r="E104" s="29" t="n"/>
      <c r="F104" s="29" t="n"/>
      <c r="G104" s="29" t="n"/>
      <c r="H104" s="32" t="n"/>
      <c r="I104" s="32" t="n"/>
      <c r="J104" s="22">
        <f>IF(B104="","",H104-I104)</f>
        <v/>
      </c>
      <c r="K104" s="33" t="n"/>
      <c r="L104" s="21">
        <f>IF(B104="","",IF(E104=Config!$B$6,"Encerrado","Ativo"))</f>
        <v/>
      </c>
      <c r="M104" s="23">
        <f>IF(OR(B104="",H104=0,H104=""),"",I104/H104)</f>
        <v/>
      </c>
    </row>
    <row r="105">
      <c r="A105" s="27" t="n"/>
      <c r="B105" s="27" t="n"/>
      <c r="C105" s="21">
        <f>IF(B105="","",IFERROR(INDEX(Clientes!$B$5:$B$64,MATCH(B105,Clientes!$A$5:$A$64,0)),""))</f>
        <v/>
      </c>
      <c r="D105" s="29" t="n"/>
      <c r="E105" s="29" t="n"/>
      <c r="F105" s="29" t="n"/>
      <c r="G105" s="29" t="n"/>
      <c r="H105" s="32" t="n"/>
      <c r="I105" s="32" t="n"/>
      <c r="J105" s="22">
        <f>IF(B105="","",H105-I105)</f>
        <v/>
      </c>
      <c r="K105" s="33" t="n"/>
      <c r="L105" s="21">
        <f>IF(B105="","",IF(E105=Config!$B$6,"Encerrado","Ativo"))</f>
        <v/>
      </c>
      <c r="M105" s="23">
        <f>IF(OR(B105="",H105=0,H105=""),"",I105/H105)</f>
        <v/>
      </c>
    </row>
    <row r="106">
      <c r="A106" s="27" t="n"/>
      <c r="B106" s="27" t="n"/>
      <c r="C106" s="21">
        <f>IF(B106="","",IFERROR(INDEX(Clientes!$B$5:$B$64,MATCH(B106,Clientes!$A$5:$A$64,0)),""))</f>
        <v/>
      </c>
      <c r="D106" s="29" t="n"/>
      <c r="E106" s="29" t="n"/>
      <c r="F106" s="29" t="n"/>
      <c r="G106" s="29" t="n"/>
      <c r="H106" s="32" t="n"/>
      <c r="I106" s="32" t="n"/>
      <c r="J106" s="22">
        <f>IF(B106="","",H106-I106)</f>
        <v/>
      </c>
      <c r="K106" s="33" t="n"/>
      <c r="L106" s="21">
        <f>IF(B106="","",IF(E106=Config!$B$6,"Encerrado","Ativo"))</f>
        <v/>
      </c>
      <c r="M106" s="23">
        <f>IF(OR(B106="",H106=0,H106=""),"",I106/H106)</f>
        <v/>
      </c>
    </row>
    <row r="107">
      <c r="A107" s="27" t="n"/>
      <c r="B107" s="27" t="n"/>
      <c r="C107" s="21">
        <f>IF(B107="","",IFERROR(INDEX(Clientes!$B$5:$B$64,MATCH(B107,Clientes!$A$5:$A$64,0)),""))</f>
        <v/>
      </c>
      <c r="D107" s="29" t="n"/>
      <c r="E107" s="29" t="n"/>
      <c r="F107" s="29" t="n"/>
      <c r="G107" s="29" t="n"/>
      <c r="H107" s="32" t="n"/>
      <c r="I107" s="32" t="n"/>
      <c r="J107" s="22">
        <f>IF(B107="","",H107-I107)</f>
        <v/>
      </c>
      <c r="K107" s="33" t="n"/>
      <c r="L107" s="21">
        <f>IF(B107="","",IF(E107=Config!$B$6,"Encerrado","Ativo"))</f>
        <v/>
      </c>
      <c r="M107" s="23">
        <f>IF(OR(B107="",H107=0,H107=""),"",I107/H107)</f>
        <v/>
      </c>
    </row>
    <row r="108">
      <c r="A108" s="27" t="n"/>
      <c r="B108" s="27" t="n"/>
      <c r="C108" s="21">
        <f>IF(B108="","",IFERROR(INDEX(Clientes!$B$5:$B$64,MATCH(B108,Clientes!$A$5:$A$64,0)),""))</f>
        <v/>
      </c>
      <c r="D108" s="29" t="n"/>
      <c r="E108" s="29" t="n"/>
      <c r="F108" s="29" t="n"/>
      <c r="G108" s="29" t="n"/>
      <c r="H108" s="32" t="n"/>
      <c r="I108" s="32" t="n"/>
      <c r="J108" s="22">
        <f>IF(B108="","",H108-I108)</f>
        <v/>
      </c>
      <c r="K108" s="33" t="n"/>
      <c r="L108" s="21">
        <f>IF(B108="","",IF(E108=Config!$B$6,"Encerrado","Ativo"))</f>
        <v/>
      </c>
      <c r="M108" s="23">
        <f>IF(OR(B108="",H108=0,H108=""),"",I108/H108)</f>
        <v/>
      </c>
    </row>
    <row r="109">
      <c r="A109" s="27" t="n"/>
      <c r="B109" s="27" t="n"/>
      <c r="C109" s="21">
        <f>IF(B109="","",IFERROR(INDEX(Clientes!$B$5:$B$64,MATCH(B109,Clientes!$A$5:$A$64,0)),""))</f>
        <v/>
      </c>
      <c r="D109" s="29" t="n"/>
      <c r="E109" s="29" t="n"/>
      <c r="F109" s="29" t="n"/>
      <c r="G109" s="29" t="n"/>
      <c r="H109" s="32" t="n"/>
      <c r="I109" s="32" t="n"/>
      <c r="J109" s="22">
        <f>IF(B109="","",H109-I109)</f>
        <v/>
      </c>
      <c r="K109" s="33" t="n"/>
      <c r="L109" s="21">
        <f>IF(B109="","",IF(E109=Config!$B$6,"Encerrado","Ativo"))</f>
        <v/>
      </c>
      <c r="M109" s="23">
        <f>IF(OR(B109="",H109=0,H109=""),"",I109/H109)</f>
        <v/>
      </c>
    </row>
    <row r="110">
      <c r="A110" s="27" t="n"/>
      <c r="B110" s="27" t="n"/>
      <c r="C110" s="21">
        <f>IF(B110="","",IFERROR(INDEX(Clientes!$B$5:$B$64,MATCH(B110,Clientes!$A$5:$A$64,0)),""))</f>
        <v/>
      </c>
      <c r="D110" s="29" t="n"/>
      <c r="E110" s="29" t="n"/>
      <c r="F110" s="29" t="n"/>
      <c r="G110" s="29" t="n"/>
      <c r="H110" s="32" t="n"/>
      <c r="I110" s="32" t="n"/>
      <c r="J110" s="22">
        <f>IF(B110="","",H110-I110)</f>
        <v/>
      </c>
      <c r="K110" s="33" t="n"/>
      <c r="L110" s="21">
        <f>IF(B110="","",IF(E110=Config!$B$6,"Encerrado","Ativo"))</f>
        <v/>
      </c>
      <c r="M110" s="23">
        <f>IF(OR(B110="",H110=0,H110=""),"",I110/H110)</f>
        <v/>
      </c>
    </row>
    <row r="111">
      <c r="A111" s="27" t="n"/>
      <c r="B111" s="27" t="n"/>
      <c r="C111" s="21">
        <f>IF(B111="","",IFERROR(INDEX(Clientes!$B$5:$B$64,MATCH(B111,Clientes!$A$5:$A$64,0)),""))</f>
        <v/>
      </c>
      <c r="D111" s="29" t="n"/>
      <c r="E111" s="29" t="n"/>
      <c r="F111" s="29" t="n"/>
      <c r="G111" s="29" t="n"/>
      <c r="H111" s="32" t="n"/>
      <c r="I111" s="32" t="n"/>
      <c r="J111" s="22">
        <f>IF(B111="","",H111-I111)</f>
        <v/>
      </c>
      <c r="K111" s="33" t="n"/>
      <c r="L111" s="21">
        <f>IF(B111="","",IF(E111=Config!$B$6,"Encerrado","Ativo"))</f>
        <v/>
      </c>
      <c r="M111" s="23">
        <f>IF(OR(B111="",H111=0,H111=""),"",I111/H111)</f>
        <v/>
      </c>
    </row>
    <row r="112">
      <c r="A112" s="27" t="n"/>
      <c r="B112" s="27" t="n"/>
      <c r="C112" s="21">
        <f>IF(B112="","",IFERROR(INDEX(Clientes!$B$5:$B$64,MATCH(B112,Clientes!$A$5:$A$64,0)),""))</f>
        <v/>
      </c>
      <c r="D112" s="29" t="n"/>
      <c r="E112" s="29" t="n"/>
      <c r="F112" s="29" t="n"/>
      <c r="G112" s="29" t="n"/>
      <c r="H112" s="32" t="n"/>
      <c r="I112" s="32" t="n"/>
      <c r="J112" s="22">
        <f>IF(B112="","",H112-I112)</f>
        <v/>
      </c>
      <c r="K112" s="33" t="n"/>
      <c r="L112" s="21">
        <f>IF(B112="","",IF(E112=Config!$B$6,"Encerrado","Ativo"))</f>
        <v/>
      </c>
      <c r="M112" s="23">
        <f>IF(OR(B112="",H112=0,H112=""),"",I112/H112)</f>
        <v/>
      </c>
    </row>
    <row r="113">
      <c r="A113" s="27" t="n"/>
      <c r="B113" s="27" t="n"/>
      <c r="C113" s="21">
        <f>IF(B113="","",IFERROR(INDEX(Clientes!$B$5:$B$64,MATCH(B113,Clientes!$A$5:$A$64,0)),""))</f>
        <v/>
      </c>
      <c r="D113" s="29" t="n"/>
      <c r="E113" s="29" t="n"/>
      <c r="F113" s="29" t="n"/>
      <c r="G113" s="29" t="n"/>
      <c r="H113" s="32" t="n"/>
      <c r="I113" s="32" t="n"/>
      <c r="J113" s="22">
        <f>IF(B113="","",H113-I113)</f>
        <v/>
      </c>
      <c r="K113" s="33" t="n"/>
      <c r="L113" s="21">
        <f>IF(B113="","",IF(E113=Config!$B$6,"Encerrado","Ativo"))</f>
        <v/>
      </c>
      <c r="M113" s="23">
        <f>IF(OR(B113="",H113=0,H113=""),"",I113/H113)</f>
        <v/>
      </c>
    </row>
    <row r="114">
      <c r="A114" s="27" t="n"/>
      <c r="B114" s="27" t="n"/>
      <c r="C114" s="21">
        <f>IF(B114="","",IFERROR(INDEX(Clientes!$B$5:$B$64,MATCH(B114,Clientes!$A$5:$A$64,0)),""))</f>
        <v/>
      </c>
      <c r="D114" s="29" t="n"/>
      <c r="E114" s="29" t="n"/>
      <c r="F114" s="29" t="n"/>
      <c r="G114" s="29" t="n"/>
      <c r="H114" s="32" t="n"/>
      <c r="I114" s="32" t="n"/>
      <c r="J114" s="22">
        <f>IF(B114="","",H114-I114)</f>
        <v/>
      </c>
      <c r="K114" s="33" t="n"/>
      <c r="L114" s="21">
        <f>IF(B114="","",IF(E114=Config!$B$6,"Encerrado","Ativo"))</f>
        <v/>
      </c>
      <c r="M114" s="23">
        <f>IF(OR(B114="",H114=0,H114=""),"",I114/H114)</f>
        <v/>
      </c>
    </row>
    <row r="115">
      <c r="A115" s="27" t="n"/>
      <c r="B115" s="27" t="n"/>
      <c r="C115" s="21">
        <f>IF(B115="","",IFERROR(INDEX(Clientes!$B$5:$B$64,MATCH(B115,Clientes!$A$5:$A$64,0)),""))</f>
        <v/>
      </c>
      <c r="D115" s="29" t="n"/>
      <c r="E115" s="29" t="n"/>
      <c r="F115" s="29" t="n"/>
      <c r="G115" s="29" t="n"/>
      <c r="H115" s="32" t="n"/>
      <c r="I115" s="32" t="n"/>
      <c r="J115" s="22">
        <f>IF(B115="","",H115-I115)</f>
        <v/>
      </c>
      <c r="K115" s="33" t="n"/>
      <c r="L115" s="21">
        <f>IF(B115="","",IF(E115=Config!$B$6,"Encerrado","Ativo"))</f>
        <v/>
      </c>
      <c r="M115" s="23">
        <f>IF(OR(B115="",H115=0,H115=""),"",I115/H115)</f>
        <v/>
      </c>
    </row>
    <row r="116">
      <c r="A116" s="27" t="n"/>
      <c r="B116" s="27" t="n"/>
      <c r="C116" s="21">
        <f>IF(B116="","",IFERROR(INDEX(Clientes!$B$5:$B$64,MATCH(B116,Clientes!$A$5:$A$64,0)),""))</f>
        <v/>
      </c>
      <c r="D116" s="29" t="n"/>
      <c r="E116" s="29" t="n"/>
      <c r="F116" s="29" t="n"/>
      <c r="G116" s="29" t="n"/>
      <c r="H116" s="32" t="n"/>
      <c r="I116" s="32" t="n"/>
      <c r="J116" s="22">
        <f>IF(B116="","",H116-I116)</f>
        <v/>
      </c>
      <c r="K116" s="33" t="n"/>
      <c r="L116" s="21">
        <f>IF(B116="","",IF(E116=Config!$B$6,"Encerrado","Ativo"))</f>
        <v/>
      </c>
      <c r="M116" s="23">
        <f>IF(OR(B116="",H116=0,H116=""),"",I116/H116)</f>
        <v/>
      </c>
    </row>
    <row r="117">
      <c r="A117" s="27" t="n"/>
      <c r="B117" s="27" t="n"/>
      <c r="C117" s="21">
        <f>IF(B117="","",IFERROR(INDEX(Clientes!$B$5:$B$64,MATCH(B117,Clientes!$A$5:$A$64,0)),""))</f>
        <v/>
      </c>
      <c r="D117" s="29" t="n"/>
      <c r="E117" s="29" t="n"/>
      <c r="F117" s="29" t="n"/>
      <c r="G117" s="29" t="n"/>
      <c r="H117" s="32" t="n"/>
      <c r="I117" s="32" t="n"/>
      <c r="J117" s="22">
        <f>IF(B117="","",H117-I117)</f>
        <v/>
      </c>
      <c r="K117" s="33" t="n"/>
      <c r="L117" s="21">
        <f>IF(B117="","",IF(E117=Config!$B$6,"Encerrado","Ativo"))</f>
        <v/>
      </c>
      <c r="M117" s="23">
        <f>IF(OR(B117="",H117=0,H117=""),"",I117/H117)</f>
        <v/>
      </c>
    </row>
    <row r="118">
      <c r="A118" s="27" t="n"/>
      <c r="B118" s="27" t="n"/>
      <c r="C118" s="21">
        <f>IF(B118="","",IFERROR(INDEX(Clientes!$B$5:$B$64,MATCH(B118,Clientes!$A$5:$A$64,0)),""))</f>
        <v/>
      </c>
      <c r="D118" s="29" t="n"/>
      <c r="E118" s="29" t="n"/>
      <c r="F118" s="29" t="n"/>
      <c r="G118" s="29" t="n"/>
      <c r="H118" s="32" t="n"/>
      <c r="I118" s="32" t="n"/>
      <c r="J118" s="22">
        <f>IF(B118="","",H118-I118)</f>
        <v/>
      </c>
      <c r="K118" s="33" t="n"/>
      <c r="L118" s="21">
        <f>IF(B118="","",IF(E118=Config!$B$6,"Encerrado","Ativo"))</f>
        <v/>
      </c>
      <c r="M118" s="23">
        <f>IF(OR(B118="",H118=0,H118=""),"",I118/H118)</f>
        <v/>
      </c>
    </row>
    <row r="119">
      <c r="A119" s="27" t="n"/>
      <c r="B119" s="27" t="n"/>
      <c r="C119" s="21">
        <f>IF(B119="","",IFERROR(INDEX(Clientes!$B$5:$B$64,MATCH(B119,Clientes!$A$5:$A$64,0)),""))</f>
        <v/>
      </c>
      <c r="D119" s="29" t="n"/>
      <c r="E119" s="29" t="n"/>
      <c r="F119" s="29" t="n"/>
      <c r="G119" s="29" t="n"/>
      <c r="H119" s="32" t="n"/>
      <c r="I119" s="32" t="n"/>
      <c r="J119" s="22">
        <f>IF(B119="","",H119-I119)</f>
        <v/>
      </c>
      <c r="K119" s="33" t="n"/>
      <c r="L119" s="21">
        <f>IF(B119="","",IF(E119=Config!$B$6,"Encerrado","Ativo"))</f>
        <v/>
      </c>
      <c r="M119" s="23">
        <f>IF(OR(B119="",H119=0,H119=""),"",I119/H119)</f>
        <v/>
      </c>
    </row>
    <row r="120">
      <c r="A120" s="27" t="n"/>
      <c r="B120" s="27" t="n"/>
      <c r="C120" s="21">
        <f>IF(B120="","",IFERROR(INDEX(Clientes!$B$5:$B$64,MATCH(B120,Clientes!$A$5:$A$64,0)),""))</f>
        <v/>
      </c>
      <c r="D120" s="29" t="n"/>
      <c r="E120" s="29" t="n"/>
      <c r="F120" s="29" t="n"/>
      <c r="G120" s="29" t="n"/>
      <c r="H120" s="32" t="n"/>
      <c r="I120" s="32" t="n"/>
      <c r="J120" s="22">
        <f>IF(B120="","",H120-I120)</f>
        <v/>
      </c>
      <c r="K120" s="33" t="n"/>
      <c r="L120" s="21">
        <f>IF(B120="","",IF(E120=Config!$B$6,"Encerrado","Ativo"))</f>
        <v/>
      </c>
      <c r="M120" s="23">
        <f>IF(OR(B120="",H120=0,H120=""),"",I120/H120)</f>
        <v/>
      </c>
    </row>
    <row r="121">
      <c r="A121" s="27" t="n"/>
      <c r="B121" s="27" t="n"/>
      <c r="C121" s="21">
        <f>IF(B121="","",IFERROR(INDEX(Clientes!$B$5:$B$64,MATCH(B121,Clientes!$A$5:$A$64,0)),""))</f>
        <v/>
      </c>
      <c r="D121" s="29" t="n"/>
      <c r="E121" s="29" t="n"/>
      <c r="F121" s="29" t="n"/>
      <c r="G121" s="29" t="n"/>
      <c r="H121" s="32" t="n"/>
      <c r="I121" s="32" t="n"/>
      <c r="J121" s="22">
        <f>IF(B121="","",H121-I121)</f>
        <v/>
      </c>
      <c r="K121" s="33" t="n"/>
      <c r="L121" s="21">
        <f>IF(B121="","",IF(E121=Config!$B$6,"Encerrado","Ativo"))</f>
        <v/>
      </c>
      <c r="M121" s="23">
        <f>IF(OR(B121="",H121=0,H121=""),"",I121/H121)</f>
        <v/>
      </c>
    </row>
    <row r="122">
      <c r="A122" s="27" t="n"/>
      <c r="B122" s="27" t="n"/>
      <c r="C122" s="21">
        <f>IF(B122="","",IFERROR(INDEX(Clientes!$B$5:$B$64,MATCH(B122,Clientes!$A$5:$A$64,0)),""))</f>
        <v/>
      </c>
      <c r="D122" s="29" t="n"/>
      <c r="E122" s="29" t="n"/>
      <c r="F122" s="29" t="n"/>
      <c r="G122" s="29" t="n"/>
      <c r="H122" s="32" t="n"/>
      <c r="I122" s="32" t="n"/>
      <c r="J122" s="22">
        <f>IF(B122="","",H122-I122)</f>
        <v/>
      </c>
      <c r="K122" s="33" t="n"/>
      <c r="L122" s="21">
        <f>IF(B122="","",IF(E122=Config!$B$6,"Encerrado","Ativo"))</f>
        <v/>
      </c>
      <c r="M122" s="23">
        <f>IF(OR(B122="",H122=0,H122=""),"",I122/H122)</f>
        <v/>
      </c>
    </row>
    <row r="123">
      <c r="A123" s="27" t="n"/>
      <c r="B123" s="27" t="n"/>
      <c r="C123" s="21">
        <f>IF(B123="","",IFERROR(INDEX(Clientes!$B$5:$B$64,MATCH(B123,Clientes!$A$5:$A$64,0)),""))</f>
        <v/>
      </c>
      <c r="D123" s="29" t="n"/>
      <c r="E123" s="29" t="n"/>
      <c r="F123" s="29" t="n"/>
      <c r="G123" s="29" t="n"/>
      <c r="H123" s="32" t="n"/>
      <c r="I123" s="32" t="n"/>
      <c r="J123" s="22">
        <f>IF(B123="","",H123-I123)</f>
        <v/>
      </c>
      <c r="K123" s="33" t="n"/>
      <c r="L123" s="21">
        <f>IF(B123="","",IF(E123=Config!$B$6,"Encerrado","Ativo"))</f>
        <v/>
      </c>
      <c r="M123" s="23">
        <f>IF(OR(B123="",H123=0,H123=""),"",I123/H123)</f>
        <v/>
      </c>
    </row>
    <row r="124">
      <c r="A124" s="27" t="n"/>
      <c r="B124" s="27" t="n"/>
      <c r="C124" s="21">
        <f>IF(B124="","",IFERROR(INDEX(Clientes!$B$5:$B$64,MATCH(B124,Clientes!$A$5:$A$64,0)),""))</f>
        <v/>
      </c>
      <c r="D124" s="29" t="n"/>
      <c r="E124" s="29" t="n"/>
      <c r="F124" s="29" t="n"/>
      <c r="G124" s="29" t="n"/>
      <c r="H124" s="32" t="n"/>
      <c r="I124" s="32" t="n"/>
      <c r="J124" s="22">
        <f>IF(B124="","",H124-I124)</f>
        <v/>
      </c>
      <c r="K124" s="33" t="n"/>
      <c r="L124" s="21">
        <f>IF(B124="","",IF(E124=Config!$B$6,"Encerrado","Ativo"))</f>
        <v/>
      </c>
      <c r="M124" s="23">
        <f>IF(OR(B124="",H124=0,H124=""),"",I124/H124)</f>
        <v/>
      </c>
    </row>
    <row r="125">
      <c r="A125" s="27" t="n"/>
      <c r="B125" s="27" t="n"/>
      <c r="C125" s="21">
        <f>IF(B125="","",IFERROR(INDEX(Clientes!$B$5:$B$64,MATCH(B125,Clientes!$A$5:$A$64,0)),""))</f>
        <v/>
      </c>
      <c r="D125" s="29" t="n"/>
      <c r="E125" s="29" t="n"/>
      <c r="F125" s="29" t="n"/>
      <c r="G125" s="29" t="n"/>
      <c r="H125" s="32" t="n"/>
      <c r="I125" s="32" t="n"/>
      <c r="J125" s="22">
        <f>IF(B125="","",H125-I125)</f>
        <v/>
      </c>
      <c r="K125" s="33" t="n"/>
      <c r="L125" s="21">
        <f>IF(B125="","",IF(E125=Config!$B$6,"Encerrado","Ativo"))</f>
        <v/>
      </c>
      <c r="M125" s="23">
        <f>IF(OR(B125="",H125=0,H125=""),"",I125/H125)</f>
        <v/>
      </c>
    </row>
    <row r="126">
      <c r="A126" s="27" t="n"/>
      <c r="B126" s="27" t="n"/>
      <c r="C126" s="21">
        <f>IF(B126="","",IFERROR(INDEX(Clientes!$B$5:$B$64,MATCH(B126,Clientes!$A$5:$A$64,0)),""))</f>
        <v/>
      </c>
      <c r="D126" s="29" t="n"/>
      <c r="E126" s="29" t="n"/>
      <c r="F126" s="29" t="n"/>
      <c r="G126" s="29" t="n"/>
      <c r="H126" s="32" t="n"/>
      <c r="I126" s="32" t="n"/>
      <c r="J126" s="22">
        <f>IF(B126="","",H126-I126)</f>
        <v/>
      </c>
      <c r="K126" s="33" t="n"/>
      <c r="L126" s="21">
        <f>IF(B126="","",IF(E126=Config!$B$6,"Encerrado","Ativo"))</f>
        <v/>
      </c>
      <c r="M126" s="23">
        <f>IF(OR(B126="",H126=0,H126=""),"",I126/H126)</f>
        <v/>
      </c>
    </row>
    <row r="127">
      <c r="A127" s="27" t="n"/>
      <c r="B127" s="27" t="n"/>
      <c r="C127" s="21">
        <f>IF(B127="","",IFERROR(INDEX(Clientes!$B$5:$B$64,MATCH(B127,Clientes!$A$5:$A$64,0)),""))</f>
        <v/>
      </c>
      <c r="D127" s="29" t="n"/>
      <c r="E127" s="29" t="n"/>
      <c r="F127" s="29" t="n"/>
      <c r="G127" s="29" t="n"/>
      <c r="H127" s="32" t="n"/>
      <c r="I127" s="32" t="n"/>
      <c r="J127" s="22">
        <f>IF(B127="","",H127-I127)</f>
        <v/>
      </c>
      <c r="K127" s="33" t="n"/>
      <c r="L127" s="21">
        <f>IF(B127="","",IF(E127=Config!$B$6,"Encerrado","Ativo"))</f>
        <v/>
      </c>
      <c r="M127" s="23">
        <f>IF(OR(B127="",H127=0,H127=""),"",I127/H127)</f>
        <v/>
      </c>
    </row>
    <row r="128">
      <c r="A128" s="27" t="n"/>
      <c r="B128" s="27" t="n"/>
      <c r="C128" s="21">
        <f>IF(B128="","",IFERROR(INDEX(Clientes!$B$5:$B$64,MATCH(B128,Clientes!$A$5:$A$64,0)),""))</f>
        <v/>
      </c>
      <c r="D128" s="29" t="n"/>
      <c r="E128" s="29" t="n"/>
      <c r="F128" s="29" t="n"/>
      <c r="G128" s="29" t="n"/>
      <c r="H128" s="32" t="n"/>
      <c r="I128" s="32" t="n"/>
      <c r="J128" s="22">
        <f>IF(B128="","",H128-I128)</f>
        <v/>
      </c>
      <c r="K128" s="33" t="n"/>
      <c r="L128" s="21">
        <f>IF(B128="","",IF(E128=Config!$B$6,"Encerrado","Ativo"))</f>
        <v/>
      </c>
      <c r="M128" s="23">
        <f>IF(OR(B128="",H128=0,H128=""),"",I128/H128)</f>
        <v/>
      </c>
    </row>
    <row r="129">
      <c r="A129" s="27" t="n"/>
      <c r="B129" s="27" t="n"/>
      <c r="C129" s="21">
        <f>IF(B129="","",IFERROR(INDEX(Clientes!$B$5:$B$64,MATCH(B129,Clientes!$A$5:$A$64,0)),""))</f>
        <v/>
      </c>
      <c r="D129" s="29" t="n"/>
      <c r="E129" s="29" t="n"/>
      <c r="F129" s="29" t="n"/>
      <c r="G129" s="29" t="n"/>
      <c r="H129" s="32" t="n"/>
      <c r="I129" s="32" t="n"/>
      <c r="J129" s="22">
        <f>IF(B129="","",H129-I129)</f>
        <v/>
      </c>
      <c r="K129" s="33" t="n"/>
      <c r="L129" s="21">
        <f>IF(B129="","",IF(E129=Config!$B$6,"Encerrado","Ativo"))</f>
        <v/>
      </c>
      <c r="M129" s="23">
        <f>IF(OR(B129="",H129=0,H129=""),"",I129/H129)</f>
        <v/>
      </c>
    </row>
    <row r="130">
      <c r="A130" s="27" t="n"/>
      <c r="B130" s="27" t="n"/>
      <c r="C130" s="21">
        <f>IF(B130="","",IFERROR(INDEX(Clientes!$B$5:$B$64,MATCH(B130,Clientes!$A$5:$A$64,0)),""))</f>
        <v/>
      </c>
      <c r="D130" s="29" t="n"/>
      <c r="E130" s="29" t="n"/>
      <c r="F130" s="29" t="n"/>
      <c r="G130" s="29" t="n"/>
      <c r="H130" s="32" t="n"/>
      <c r="I130" s="32" t="n"/>
      <c r="J130" s="22">
        <f>IF(B130="","",H130-I130)</f>
        <v/>
      </c>
      <c r="K130" s="33" t="n"/>
      <c r="L130" s="21">
        <f>IF(B130="","",IF(E130=Config!$B$6,"Encerrado","Ativo"))</f>
        <v/>
      </c>
      <c r="M130" s="23">
        <f>IF(OR(B130="",H130=0,H130=""),"",I130/H130)</f>
        <v/>
      </c>
    </row>
    <row r="131">
      <c r="A131" s="27" t="n"/>
      <c r="B131" s="27" t="n"/>
      <c r="C131" s="21">
        <f>IF(B131="","",IFERROR(INDEX(Clientes!$B$5:$B$64,MATCH(B131,Clientes!$A$5:$A$64,0)),""))</f>
        <v/>
      </c>
      <c r="D131" s="29" t="n"/>
      <c r="E131" s="29" t="n"/>
      <c r="F131" s="29" t="n"/>
      <c r="G131" s="29" t="n"/>
      <c r="H131" s="32" t="n"/>
      <c r="I131" s="32" t="n"/>
      <c r="J131" s="22">
        <f>IF(B131="","",H131-I131)</f>
        <v/>
      </c>
      <c r="K131" s="33" t="n"/>
      <c r="L131" s="21">
        <f>IF(B131="","",IF(E131=Config!$B$6,"Encerrado","Ativo"))</f>
        <v/>
      </c>
      <c r="M131" s="23">
        <f>IF(OR(B131="",H131=0,H131=""),"",I131/H131)</f>
        <v/>
      </c>
    </row>
    <row r="132">
      <c r="A132" s="27" t="n"/>
      <c r="B132" s="27" t="n"/>
      <c r="C132" s="21">
        <f>IF(B132="","",IFERROR(INDEX(Clientes!$B$5:$B$64,MATCH(B132,Clientes!$A$5:$A$64,0)),""))</f>
        <v/>
      </c>
      <c r="D132" s="29" t="n"/>
      <c r="E132" s="29" t="n"/>
      <c r="F132" s="29" t="n"/>
      <c r="G132" s="29" t="n"/>
      <c r="H132" s="32" t="n"/>
      <c r="I132" s="32" t="n"/>
      <c r="J132" s="22">
        <f>IF(B132="","",H132-I132)</f>
        <v/>
      </c>
      <c r="K132" s="33" t="n"/>
      <c r="L132" s="21">
        <f>IF(B132="","",IF(E132=Config!$B$6,"Encerrado","Ativo"))</f>
        <v/>
      </c>
      <c r="M132" s="23">
        <f>IF(OR(B132="",H132=0,H132=""),"",I132/H132)</f>
        <v/>
      </c>
    </row>
    <row r="133">
      <c r="A133" s="27" t="n"/>
      <c r="B133" s="27" t="n"/>
      <c r="C133" s="21">
        <f>IF(B133="","",IFERROR(INDEX(Clientes!$B$5:$B$64,MATCH(B133,Clientes!$A$5:$A$64,0)),""))</f>
        <v/>
      </c>
      <c r="D133" s="29" t="n"/>
      <c r="E133" s="29" t="n"/>
      <c r="F133" s="29" t="n"/>
      <c r="G133" s="29" t="n"/>
      <c r="H133" s="32" t="n"/>
      <c r="I133" s="32" t="n"/>
      <c r="J133" s="22">
        <f>IF(B133="","",H133-I133)</f>
        <v/>
      </c>
      <c r="K133" s="33" t="n"/>
      <c r="L133" s="21">
        <f>IF(B133="","",IF(E133=Config!$B$6,"Encerrado","Ativo"))</f>
        <v/>
      </c>
      <c r="M133" s="23">
        <f>IF(OR(B133="",H133=0,H133=""),"",I133/H133)</f>
        <v/>
      </c>
    </row>
    <row r="134">
      <c r="A134" s="27" t="n"/>
      <c r="B134" s="27" t="n"/>
      <c r="C134" s="21">
        <f>IF(B134="","",IFERROR(INDEX(Clientes!$B$5:$B$64,MATCH(B134,Clientes!$A$5:$A$64,0)),""))</f>
        <v/>
      </c>
      <c r="D134" s="29" t="n"/>
      <c r="E134" s="29" t="n"/>
      <c r="F134" s="29" t="n"/>
      <c r="G134" s="29" t="n"/>
      <c r="H134" s="32" t="n"/>
      <c r="I134" s="32" t="n"/>
      <c r="J134" s="22">
        <f>IF(B134="","",H134-I134)</f>
        <v/>
      </c>
      <c r="K134" s="33" t="n"/>
      <c r="L134" s="21">
        <f>IF(B134="","",IF(E134=Config!$B$6,"Encerrado","Ativo"))</f>
        <v/>
      </c>
      <c r="M134" s="23">
        <f>IF(OR(B134="",H134=0,H134=""),"",I134/H134)</f>
        <v/>
      </c>
    </row>
    <row r="135">
      <c r="A135" s="27" t="n"/>
      <c r="B135" s="27" t="n"/>
      <c r="C135" s="21">
        <f>IF(B135="","",IFERROR(INDEX(Clientes!$B$5:$B$64,MATCH(B135,Clientes!$A$5:$A$64,0)),""))</f>
        <v/>
      </c>
      <c r="D135" s="29" t="n"/>
      <c r="E135" s="29" t="n"/>
      <c r="F135" s="29" t="n"/>
      <c r="G135" s="29" t="n"/>
      <c r="H135" s="32" t="n"/>
      <c r="I135" s="32" t="n"/>
      <c r="J135" s="22">
        <f>IF(B135="","",H135-I135)</f>
        <v/>
      </c>
      <c r="K135" s="33" t="n"/>
      <c r="L135" s="21">
        <f>IF(B135="","",IF(E135=Config!$B$6,"Encerrado","Ativo"))</f>
        <v/>
      </c>
      <c r="M135" s="23">
        <f>IF(OR(B135="",H135=0,H135=""),"",I135/H135)</f>
        <v/>
      </c>
    </row>
    <row r="136">
      <c r="A136" s="27" t="n"/>
      <c r="B136" s="27" t="n"/>
      <c r="C136" s="21">
        <f>IF(B136="","",IFERROR(INDEX(Clientes!$B$5:$B$64,MATCH(B136,Clientes!$A$5:$A$64,0)),""))</f>
        <v/>
      </c>
      <c r="D136" s="29" t="n"/>
      <c r="E136" s="29" t="n"/>
      <c r="F136" s="29" t="n"/>
      <c r="G136" s="29" t="n"/>
      <c r="H136" s="32" t="n"/>
      <c r="I136" s="32" t="n"/>
      <c r="J136" s="22">
        <f>IF(B136="","",H136-I136)</f>
        <v/>
      </c>
      <c r="K136" s="33" t="n"/>
      <c r="L136" s="21">
        <f>IF(B136="","",IF(E136=Config!$B$6,"Encerrado","Ativo"))</f>
        <v/>
      </c>
      <c r="M136" s="23">
        <f>IF(OR(B136="",H136=0,H136=""),"",I136/H136)</f>
        <v/>
      </c>
    </row>
    <row r="137">
      <c r="A137" s="27" t="n"/>
      <c r="B137" s="27" t="n"/>
      <c r="C137" s="21">
        <f>IF(B137="","",IFERROR(INDEX(Clientes!$B$5:$B$64,MATCH(B137,Clientes!$A$5:$A$64,0)),""))</f>
        <v/>
      </c>
      <c r="D137" s="29" t="n"/>
      <c r="E137" s="29" t="n"/>
      <c r="F137" s="29" t="n"/>
      <c r="G137" s="29" t="n"/>
      <c r="H137" s="32" t="n"/>
      <c r="I137" s="32" t="n"/>
      <c r="J137" s="22">
        <f>IF(B137="","",H137-I137)</f>
        <v/>
      </c>
      <c r="K137" s="33" t="n"/>
      <c r="L137" s="21">
        <f>IF(B137="","",IF(E137=Config!$B$6,"Encerrado","Ativo"))</f>
        <v/>
      </c>
      <c r="M137" s="23">
        <f>IF(OR(B137="",H137=0,H137=""),"",I137/H137)</f>
        <v/>
      </c>
    </row>
    <row r="138">
      <c r="A138" s="27" t="n"/>
      <c r="B138" s="27" t="n"/>
      <c r="C138" s="21">
        <f>IF(B138="","",IFERROR(INDEX(Clientes!$B$5:$B$64,MATCH(B138,Clientes!$A$5:$A$64,0)),""))</f>
        <v/>
      </c>
      <c r="D138" s="29" t="n"/>
      <c r="E138" s="29" t="n"/>
      <c r="F138" s="29" t="n"/>
      <c r="G138" s="29" t="n"/>
      <c r="H138" s="32" t="n"/>
      <c r="I138" s="32" t="n"/>
      <c r="J138" s="22">
        <f>IF(B138="","",H138-I138)</f>
        <v/>
      </c>
      <c r="K138" s="33" t="n"/>
      <c r="L138" s="21">
        <f>IF(B138="","",IF(E138=Config!$B$6,"Encerrado","Ativo"))</f>
        <v/>
      </c>
      <c r="M138" s="23">
        <f>IF(OR(B138="",H138=0,H138=""),"",I138/H138)</f>
        <v/>
      </c>
    </row>
    <row r="139">
      <c r="A139" s="27" t="n"/>
      <c r="B139" s="27" t="n"/>
      <c r="C139" s="21">
        <f>IF(B139="","",IFERROR(INDEX(Clientes!$B$5:$B$64,MATCH(B139,Clientes!$A$5:$A$64,0)),""))</f>
        <v/>
      </c>
      <c r="D139" s="29" t="n"/>
      <c r="E139" s="29" t="n"/>
      <c r="F139" s="29" t="n"/>
      <c r="G139" s="29" t="n"/>
      <c r="H139" s="32" t="n"/>
      <c r="I139" s="32" t="n"/>
      <c r="J139" s="22">
        <f>IF(B139="","",H139-I139)</f>
        <v/>
      </c>
      <c r="K139" s="33" t="n"/>
      <c r="L139" s="21">
        <f>IF(B139="","",IF(E139=Config!$B$6,"Encerrado","Ativo"))</f>
        <v/>
      </c>
      <c r="M139" s="23">
        <f>IF(OR(B139="",H139=0,H139=""),"",I139/H139)</f>
        <v/>
      </c>
    </row>
    <row r="140">
      <c r="A140" s="27" t="n"/>
      <c r="B140" s="27" t="n"/>
      <c r="C140" s="21">
        <f>IF(B140="","",IFERROR(INDEX(Clientes!$B$5:$B$64,MATCH(B140,Clientes!$A$5:$A$64,0)),""))</f>
        <v/>
      </c>
      <c r="D140" s="29" t="n"/>
      <c r="E140" s="29" t="n"/>
      <c r="F140" s="29" t="n"/>
      <c r="G140" s="29" t="n"/>
      <c r="H140" s="32" t="n"/>
      <c r="I140" s="32" t="n"/>
      <c r="J140" s="22">
        <f>IF(B140="","",H140-I140)</f>
        <v/>
      </c>
      <c r="K140" s="33" t="n"/>
      <c r="L140" s="21">
        <f>IF(B140="","",IF(E140=Config!$B$6,"Encerrado","Ativo"))</f>
        <v/>
      </c>
      <c r="M140" s="23">
        <f>IF(OR(B140="",H140=0,H140=""),"",I140/H140)</f>
        <v/>
      </c>
    </row>
    <row r="141">
      <c r="A141" s="27" t="n"/>
      <c r="B141" s="27" t="n"/>
      <c r="C141" s="21">
        <f>IF(B141="","",IFERROR(INDEX(Clientes!$B$5:$B$64,MATCH(B141,Clientes!$A$5:$A$64,0)),""))</f>
        <v/>
      </c>
      <c r="D141" s="29" t="n"/>
      <c r="E141" s="29" t="n"/>
      <c r="F141" s="29" t="n"/>
      <c r="G141" s="29" t="n"/>
      <c r="H141" s="32" t="n"/>
      <c r="I141" s="32" t="n"/>
      <c r="J141" s="22">
        <f>IF(B141="","",H141-I141)</f>
        <v/>
      </c>
      <c r="K141" s="33" t="n"/>
      <c r="L141" s="21">
        <f>IF(B141="","",IF(E141=Config!$B$6,"Encerrado","Ativo"))</f>
        <v/>
      </c>
      <c r="M141" s="23">
        <f>IF(OR(B141="",H141=0,H141=""),"",I141/H141)</f>
        <v/>
      </c>
    </row>
    <row r="142">
      <c r="A142" s="27" t="n"/>
      <c r="B142" s="27" t="n"/>
      <c r="C142" s="21">
        <f>IF(B142="","",IFERROR(INDEX(Clientes!$B$5:$B$64,MATCH(B142,Clientes!$A$5:$A$64,0)),""))</f>
        <v/>
      </c>
      <c r="D142" s="29" t="n"/>
      <c r="E142" s="29" t="n"/>
      <c r="F142" s="29" t="n"/>
      <c r="G142" s="29" t="n"/>
      <c r="H142" s="32" t="n"/>
      <c r="I142" s="32" t="n"/>
      <c r="J142" s="22">
        <f>IF(B142="","",H142-I142)</f>
        <v/>
      </c>
      <c r="K142" s="33" t="n"/>
      <c r="L142" s="21">
        <f>IF(B142="","",IF(E142=Config!$B$6,"Encerrado","Ativo"))</f>
        <v/>
      </c>
      <c r="M142" s="23">
        <f>IF(OR(B142="",H142=0,H142=""),"",I142/H142)</f>
        <v/>
      </c>
    </row>
    <row r="143">
      <c r="A143" s="27" t="n"/>
      <c r="B143" s="27" t="n"/>
      <c r="C143" s="21">
        <f>IF(B143="","",IFERROR(INDEX(Clientes!$B$5:$B$64,MATCH(B143,Clientes!$A$5:$A$64,0)),""))</f>
        <v/>
      </c>
      <c r="D143" s="29" t="n"/>
      <c r="E143" s="29" t="n"/>
      <c r="F143" s="29" t="n"/>
      <c r="G143" s="29" t="n"/>
      <c r="H143" s="32" t="n"/>
      <c r="I143" s="32" t="n"/>
      <c r="J143" s="22">
        <f>IF(B143="","",H143-I143)</f>
        <v/>
      </c>
      <c r="K143" s="33" t="n"/>
      <c r="L143" s="21">
        <f>IF(B143="","",IF(E143=Config!$B$6,"Encerrado","Ativo"))</f>
        <v/>
      </c>
      <c r="M143" s="23">
        <f>IF(OR(B143="",H143=0,H143=""),"",I143/H143)</f>
        <v/>
      </c>
    </row>
    <row r="144">
      <c r="A144" s="27" t="n"/>
      <c r="B144" s="27" t="n"/>
      <c r="C144" s="21">
        <f>IF(B144="","",IFERROR(INDEX(Clientes!$B$5:$B$64,MATCH(B144,Clientes!$A$5:$A$64,0)),""))</f>
        <v/>
      </c>
      <c r="D144" s="29" t="n"/>
      <c r="E144" s="29" t="n"/>
      <c r="F144" s="29" t="n"/>
      <c r="G144" s="29" t="n"/>
      <c r="H144" s="32" t="n"/>
      <c r="I144" s="32" t="n"/>
      <c r="J144" s="22">
        <f>IF(B144="","",H144-I144)</f>
        <v/>
      </c>
      <c r="K144" s="33" t="n"/>
      <c r="L144" s="21">
        <f>IF(B144="","",IF(E144=Config!$B$6,"Encerrado","Ativo"))</f>
        <v/>
      </c>
      <c r="M144" s="23">
        <f>IF(OR(B144="",H144=0,H144=""),"",I144/H144)</f>
        <v/>
      </c>
    </row>
    <row r="145">
      <c r="A145" s="27" t="n"/>
      <c r="B145" s="27" t="n"/>
      <c r="C145" s="21">
        <f>IF(B145="","",IFERROR(INDEX(Clientes!$B$5:$B$64,MATCH(B145,Clientes!$A$5:$A$64,0)),""))</f>
        <v/>
      </c>
      <c r="D145" s="29" t="n"/>
      <c r="E145" s="29" t="n"/>
      <c r="F145" s="29" t="n"/>
      <c r="G145" s="29" t="n"/>
      <c r="H145" s="32" t="n"/>
      <c r="I145" s="32" t="n"/>
      <c r="J145" s="22">
        <f>IF(B145="","",H145-I145)</f>
        <v/>
      </c>
      <c r="K145" s="33" t="n"/>
      <c r="L145" s="21">
        <f>IF(B145="","",IF(E145=Config!$B$6,"Encerrado","Ativo"))</f>
        <v/>
      </c>
      <c r="M145" s="23">
        <f>IF(OR(B145="",H145=0,H145=""),"",I145/H145)</f>
        <v/>
      </c>
    </row>
    <row r="146">
      <c r="A146" s="27" t="n"/>
      <c r="B146" s="27" t="n"/>
      <c r="C146" s="21">
        <f>IF(B146="","",IFERROR(INDEX(Clientes!$B$5:$B$64,MATCH(B146,Clientes!$A$5:$A$64,0)),""))</f>
        <v/>
      </c>
      <c r="D146" s="29" t="n"/>
      <c r="E146" s="29" t="n"/>
      <c r="F146" s="29" t="n"/>
      <c r="G146" s="29" t="n"/>
      <c r="H146" s="32" t="n"/>
      <c r="I146" s="32" t="n"/>
      <c r="J146" s="22">
        <f>IF(B146="","",H146-I146)</f>
        <v/>
      </c>
      <c r="K146" s="33" t="n"/>
      <c r="L146" s="21">
        <f>IF(B146="","",IF(E146=Config!$B$6,"Encerrado","Ativo"))</f>
        <v/>
      </c>
      <c r="M146" s="23">
        <f>IF(OR(B146="",H146=0,H146=""),"",I146/H146)</f>
        <v/>
      </c>
    </row>
    <row r="147">
      <c r="A147" s="27" t="n"/>
      <c r="B147" s="27" t="n"/>
      <c r="C147" s="21">
        <f>IF(B147="","",IFERROR(INDEX(Clientes!$B$5:$B$64,MATCH(B147,Clientes!$A$5:$A$64,0)),""))</f>
        <v/>
      </c>
      <c r="D147" s="29" t="n"/>
      <c r="E147" s="29" t="n"/>
      <c r="F147" s="29" t="n"/>
      <c r="G147" s="29" t="n"/>
      <c r="H147" s="32" t="n"/>
      <c r="I147" s="32" t="n"/>
      <c r="J147" s="22">
        <f>IF(B147="","",H147-I147)</f>
        <v/>
      </c>
      <c r="K147" s="33" t="n"/>
      <c r="L147" s="21">
        <f>IF(B147="","",IF(E147=Config!$B$6,"Encerrado","Ativo"))</f>
        <v/>
      </c>
      <c r="M147" s="23">
        <f>IF(OR(B147="",H147=0,H147=""),"",I147/H147)</f>
        <v/>
      </c>
    </row>
    <row r="148">
      <c r="A148" s="27" t="n"/>
      <c r="B148" s="27" t="n"/>
      <c r="C148" s="21">
        <f>IF(B148="","",IFERROR(INDEX(Clientes!$B$5:$B$64,MATCH(B148,Clientes!$A$5:$A$64,0)),""))</f>
        <v/>
      </c>
      <c r="D148" s="29" t="n"/>
      <c r="E148" s="29" t="n"/>
      <c r="F148" s="29" t="n"/>
      <c r="G148" s="29" t="n"/>
      <c r="H148" s="32" t="n"/>
      <c r="I148" s="32" t="n"/>
      <c r="J148" s="22">
        <f>IF(B148="","",H148-I148)</f>
        <v/>
      </c>
      <c r="K148" s="33" t="n"/>
      <c r="L148" s="21">
        <f>IF(B148="","",IF(E148=Config!$B$6,"Encerrado","Ativo"))</f>
        <v/>
      </c>
      <c r="M148" s="23">
        <f>IF(OR(B148="",H148=0,H148=""),"",I148/H148)</f>
        <v/>
      </c>
    </row>
    <row r="149">
      <c r="A149" s="27" t="n"/>
      <c r="B149" s="27" t="n"/>
      <c r="C149" s="21">
        <f>IF(B149="","",IFERROR(INDEX(Clientes!$B$5:$B$64,MATCH(B149,Clientes!$A$5:$A$64,0)),""))</f>
        <v/>
      </c>
      <c r="D149" s="29" t="n"/>
      <c r="E149" s="29" t="n"/>
      <c r="F149" s="29" t="n"/>
      <c r="G149" s="29" t="n"/>
      <c r="H149" s="32" t="n"/>
      <c r="I149" s="32" t="n"/>
      <c r="J149" s="22">
        <f>IF(B149="","",H149-I149)</f>
        <v/>
      </c>
      <c r="K149" s="33" t="n"/>
      <c r="L149" s="21">
        <f>IF(B149="","",IF(E149=Config!$B$6,"Encerrado","Ativo"))</f>
        <v/>
      </c>
      <c r="M149" s="23">
        <f>IF(OR(B149="",H149=0,H149=""),"",I149/H149)</f>
        <v/>
      </c>
    </row>
    <row r="150">
      <c r="A150" s="27" t="n"/>
      <c r="B150" s="27" t="n"/>
      <c r="C150" s="21">
        <f>IF(B150="","",IFERROR(INDEX(Clientes!$B$5:$B$64,MATCH(B150,Clientes!$A$5:$A$64,0)),""))</f>
        <v/>
      </c>
      <c r="D150" s="29" t="n"/>
      <c r="E150" s="29" t="n"/>
      <c r="F150" s="29" t="n"/>
      <c r="G150" s="29" t="n"/>
      <c r="H150" s="32" t="n"/>
      <c r="I150" s="32" t="n"/>
      <c r="J150" s="22">
        <f>IF(B150="","",H150-I150)</f>
        <v/>
      </c>
      <c r="K150" s="33" t="n"/>
      <c r="L150" s="21">
        <f>IF(B150="","",IF(E150=Config!$B$6,"Encerrado","Ativo"))</f>
        <v/>
      </c>
      <c r="M150" s="23">
        <f>IF(OR(B150="",H150=0,H150=""),"",I150/H150)</f>
        <v/>
      </c>
    </row>
    <row r="151">
      <c r="A151" s="27" t="n"/>
      <c r="B151" s="27" t="n"/>
      <c r="C151" s="21">
        <f>IF(B151="","",IFERROR(INDEX(Clientes!$B$5:$B$64,MATCH(B151,Clientes!$A$5:$A$64,0)),""))</f>
        <v/>
      </c>
      <c r="D151" s="29" t="n"/>
      <c r="E151" s="29" t="n"/>
      <c r="F151" s="29" t="n"/>
      <c r="G151" s="29" t="n"/>
      <c r="H151" s="32" t="n"/>
      <c r="I151" s="32" t="n"/>
      <c r="J151" s="22">
        <f>IF(B151="","",H151-I151)</f>
        <v/>
      </c>
      <c r="K151" s="33" t="n"/>
      <c r="L151" s="21">
        <f>IF(B151="","",IF(E151=Config!$B$6,"Encerrado","Ativo"))</f>
        <v/>
      </c>
      <c r="M151" s="23">
        <f>IF(OR(B151="",H151=0,H151=""),"",I151/H151)</f>
        <v/>
      </c>
    </row>
    <row r="152">
      <c r="A152" s="27" t="n"/>
      <c r="B152" s="27" t="n"/>
      <c r="C152" s="21">
        <f>IF(B152="","",IFERROR(INDEX(Clientes!$B$5:$B$64,MATCH(B152,Clientes!$A$5:$A$64,0)),""))</f>
        <v/>
      </c>
      <c r="D152" s="29" t="n"/>
      <c r="E152" s="29" t="n"/>
      <c r="F152" s="29" t="n"/>
      <c r="G152" s="29" t="n"/>
      <c r="H152" s="32" t="n"/>
      <c r="I152" s="32" t="n"/>
      <c r="J152" s="22">
        <f>IF(B152="","",H152-I152)</f>
        <v/>
      </c>
      <c r="K152" s="33" t="n"/>
      <c r="L152" s="21">
        <f>IF(B152="","",IF(E152=Config!$B$6,"Encerrado","Ativo"))</f>
        <v/>
      </c>
      <c r="M152" s="23">
        <f>IF(OR(B152="",H152=0,H152=""),"",I152/H152)</f>
        <v/>
      </c>
    </row>
    <row r="153">
      <c r="A153" s="27" t="n"/>
      <c r="B153" s="27" t="n"/>
      <c r="C153" s="21">
        <f>IF(B153="","",IFERROR(INDEX(Clientes!$B$5:$B$64,MATCH(B153,Clientes!$A$5:$A$64,0)),""))</f>
        <v/>
      </c>
      <c r="D153" s="29" t="n"/>
      <c r="E153" s="29" t="n"/>
      <c r="F153" s="29" t="n"/>
      <c r="G153" s="29" t="n"/>
      <c r="H153" s="32" t="n"/>
      <c r="I153" s="32" t="n"/>
      <c r="J153" s="22">
        <f>IF(B153="","",H153-I153)</f>
        <v/>
      </c>
      <c r="K153" s="33" t="n"/>
      <c r="L153" s="21">
        <f>IF(B153="","",IF(E153=Config!$B$6,"Encerrado","Ativo"))</f>
        <v/>
      </c>
      <c r="M153" s="23">
        <f>IF(OR(B153="",H153=0,H153=""),"",I153/H153)</f>
        <v/>
      </c>
    </row>
    <row r="154">
      <c r="A154" s="27" t="n"/>
      <c r="B154" s="27" t="n"/>
      <c r="C154" s="21">
        <f>IF(B154="","",IFERROR(INDEX(Clientes!$B$5:$B$64,MATCH(B154,Clientes!$A$5:$A$64,0)),""))</f>
        <v/>
      </c>
      <c r="D154" s="29" t="n"/>
      <c r="E154" s="29" t="n"/>
      <c r="F154" s="29" t="n"/>
      <c r="G154" s="29" t="n"/>
      <c r="H154" s="32" t="n"/>
      <c r="I154" s="32" t="n"/>
      <c r="J154" s="22">
        <f>IF(B154="","",H154-I154)</f>
        <v/>
      </c>
      <c r="K154" s="33" t="n"/>
      <c r="L154" s="21">
        <f>IF(B154="","",IF(E154=Config!$B$6,"Encerrado","Ativo"))</f>
        <v/>
      </c>
      <c r="M154" s="23">
        <f>IF(OR(B154="",H154=0,H154=""),"",I154/H154)</f>
        <v/>
      </c>
    </row>
    <row r="155">
      <c r="A155" s="27" t="n"/>
      <c r="B155" s="27" t="n"/>
      <c r="C155" s="21">
        <f>IF(B155="","",IFERROR(INDEX(Clientes!$B$5:$B$64,MATCH(B155,Clientes!$A$5:$A$64,0)),""))</f>
        <v/>
      </c>
      <c r="D155" s="29" t="n"/>
      <c r="E155" s="29" t="n"/>
      <c r="F155" s="29" t="n"/>
      <c r="G155" s="29" t="n"/>
      <c r="H155" s="32" t="n"/>
      <c r="I155" s="32" t="n"/>
      <c r="J155" s="22">
        <f>IF(B155="","",H155-I155)</f>
        <v/>
      </c>
      <c r="K155" s="33" t="n"/>
      <c r="L155" s="21">
        <f>IF(B155="","",IF(E155=Config!$B$6,"Encerrado","Ativo"))</f>
        <v/>
      </c>
      <c r="M155" s="23">
        <f>IF(OR(B155="",H155=0,H155=""),"",I155/H155)</f>
        <v/>
      </c>
    </row>
    <row r="156">
      <c r="A156" s="27" t="n"/>
      <c r="B156" s="27" t="n"/>
      <c r="C156" s="21">
        <f>IF(B156="","",IFERROR(INDEX(Clientes!$B$5:$B$64,MATCH(B156,Clientes!$A$5:$A$64,0)),""))</f>
        <v/>
      </c>
      <c r="D156" s="29" t="n"/>
      <c r="E156" s="29" t="n"/>
      <c r="F156" s="29" t="n"/>
      <c r="G156" s="29" t="n"/>
      <c r="H156" s="32" t="n"/>
      <c r="I156" s="32" t="n"/>
      <c r="J156" s="22">
        <f>IF(B156="","",H156-I156)</f>
        <v/>
      </c>
      <c r="K156" s="33" t="n"/>
      <c r="L156" s="21">
        <f>IF(B156="","",IF(E156=Config!$B$6,"Encerrado","Ativo"))</f>
        <v/>
      </c>
      <c r="M156" s="23">
        <f>IF(OR(B156="",H156=0,H156=""),"",I156/H156)</f>
        <v/>
      </c>
    </row>
    <row r="157">
      <c r="A157" s="27" t="n"/>
      <c r="B157" s="27" t="n"/>
      <c r="C157" s="21">
        <f>IF(B157="","",IFERROR(INDEX(Clientes!$B$5:$B$64,MATCH(B157,Clientes!$A$5:$A$64,0)),""))</f>
        <v/>
      </c>
      <c r="D157" s="29" t="n"/>
      <c r="E157" s="29" t="n"/>
      <c r="F157" s="29" t="n"/>
      <c r="G157" s="29" t="n"/>
      <c r="H157" s="32" t="n"/>
      <c r="I157" s="32" t="n"/>
      <c r="J157" s="22">
        <f>IF(B157="","",H157-I157)</f>
        <v/>
      </c>
      <c r="K157" s="33" t="n"/>
      <c r="L157" s="21">
        <f>IF(B157="","",IF(E157=Config!$B$6,"Encerrado","Ativo"))</f>
        <v/>
      </c>
      <c r="M157" s="23">
        <f>IF(OR(B157="",H157=0,H157=""),"",I157/H157)</f>
        <v/>
      </c>
    </row>
    <row r="158">
      <c r="A158" s="27" t="n"/>
      <c r="B158" s="27" t="n"/>
      <c r="C158" s="21">
        <f>IF(B158="","",IFERROR(INDEX(Clientes!$B$5:$B$64,MATCH(B158,Clientes!$A$5:$A$64,0)),""))</f>
        <v/>
      </c>
      <c r="D158" s="29" t="n"/>
      <c r="E158" s="29" t="n"/>
      <c r="F158" s="29" t="n"/>
      <c r="G158" s="29" t="n"/>
      <c r="H158" s="32" t="n"/>
      <c r="I158" s="32" t="n"/>
      <c r="J158" s="22">
        <f>IF(B158="","",H158-I158)</f>
        <v/>
      </c>
      <c r="K158" s="33" t="n"/>
      <c r="L158" s="21">
        <f>IF(B158="","",IF(E158=Config!$B$6,"Encerrado","Ativo"))</f>
        <v/>
      </c>
      <c r="M158" s="23">
        <f>IF(OR(B158="",H158=0,H158=""),"",I158/H158)</f>
        <v/>
      </c>
    </row>
    <row r="159">
      <c r="A159" s="27" t="n"/>
      <c r="B159" s="27" t="n"/>
      <c r="C159" s="21">
        <f>IF(B159="","",IFERROR(INDEX(Clientes!$B$5:$B$64,MATCH(B159,Clientes!$A$5:$A$64,0)),""))</f>
        <v/>
      </c>
      <c r="D159" s="29" t="n"/>
      <c r="E159" s="29" t="n"/>
      <c r="F159" s="29" t="n"/>
      <c r="G159" s="29" t="n"/>
      <c r="H159" s="32" t="n"/>
      <c r="I159" s="32" t="n"/>
      <c r="J159" s="22">
        <f>IF(B159="","",H159-I159)</f>
        <v/>
      </c>
      <c r="K159" s="33" t="n"/>
      <c r="L159" s="21">
        <f>IF(B159="","",IF(E159=Config!$B$6,"Encerrado","Ativo"))</f>
        <v/>
      </c>
      <c r="M159" s="23">
        <f>IF(OR(B159="",H159=0,H159=""),"",I159/H159)</f>
        <v/>
      </c>
    </row>
    <row r="160">
      <c r="A160" s="27" t="n"/>
      <c r="B160" s="27" t="n"/>
      <c r="C160" s="21">
        <f>IF(B160="","",IFERROR(INDEX(Clientes!$B$5:$B$64,MATCH(B160,Clientes!$A$5:$A$64,0)),""))</f>
        <v/>
      </c>
      <c r="D160" s="29" t="n"/>
      <c r="E160" s="29" t="n"/>
      <c r="F160" s="29" t="n"/>
      <c r="G160" s="29" t="n"/>
      <c r="H160" s="32" t="n"/>
      <c r="I160" s="32" t="n"/>
      <c r="J160" s="22">
        <f>IF(B160="","",H160-I160)</f>
        <v/>
      </c>
      <c r="K160" s="33" t="n"/>
      <c r="L160" s="21">
        <f>IF(B160="","",IF(E160=Config!$B$6,"Encerrado","Ativo"))</f>
        <v/>
      </c>
      <c r="M160" s="23">
        <f>IF(OR(B160="",H160=0,H160=""),"",I160/H160)</f>
        <v/>
      </c>
    </row>
    <row r="161">
      <c r="A161" s="27" t="n"/>
      <c r="B161" s="27" t="n"/>
      <c r="C161" s="21">
        <f>IF(B161="","",IFERROR(INDEX(Clientes!$B$5:$B$64,MATCH(B161,Clientes!$A$5:$A$64,0)),""))</f>
        <v/>
      </c>
      <c r="D161" s="29" t="n"/>
      <c r="E161" s="29" t="n"/>
      <c r="F161" s="29" t="n"/>
      <c r="G161" s="29" t="n"/>
      <c r="H161" s="32" t="n"/>
      <c r="I161" s="32" t="n"/>
      <c r="J161" s="22">
        <f>IF(B161="","",H161-I161)</f>
        <v/>
      </c>
      <c r="K161" s="33" t="n"/>
      <c r="L161" s="21">
        <f>IF(B161="","",IF(E161=Config!$B$6,"Encerrado","Ativo"))</f>
        <v/>
      </c>
      <c r="M161" s="23">
        <f>IF(OR(B161="",H161=0,H161=""),"",I161/H161)</f>
        <v/>
      </c>
    </row>
    <row r="162">
      <c r="A162" s="27" t="n"/>
      <c r="B162" s="27" t="n"/>
      <c r="C162" s="21">
        <f>IF(B162="","",IFERROR(INDEX(Clientes!$B$5:$B$64,MATCH(B162,Clientes!$A$5:$A$64,0)),""))</f>
        <v/>
      </c>
      <c r="D162" s="29" t="n"/>
      <c r="E162" s="29" t="n"/>
      <c r="F162" s="29" t="n"/>
      <c r="G162" s="29" t="n"/>
      <c r="H162" s="32" t="n"/>
      <c r="I162" s="32" t="n"/>
      <c r="J162" s="22">
        <f>IF(B162="","",H162-I162)</f>
        <v/>
      </c>
      <c r="K162" s="33" t="n"/>
      <c r="L162" s="21">
        <f>IF(B162="","",IF(E162=Config!$B$6,"Encerrado","Ativo"))</f>
        <v/>
      </c>
      <c r="M162" s="23">
        <f>IF(OR(B162="",H162=0,H162=""),"",I162/H162)</f>
        <v/>
      </c>
    </row>
    <row r="163">
      <c r="A163" s="27" t="n"/>
      <c r="B163" s="27" t="n"/>
      <c r="C163" s="21">
        <f>IF(B163="","",IFERROR(INDEX(Clientes!$B$5:$B$64,MATCH(B163,Clientes!$A$5:$A$64,0)),""))</f>
        <v/>
      </c>
      <c r="D163" s="29" t="n"/>
      <c r="E163" s="29" t="n"/>
      <c r="F163" s="29" t="n"/>
      <c r="G163" s="29" t="n"/>
      <c r="H163" s="32" t="n"/>
      <c r="I163" s="32" t="n"/>
      <c r="J163" s="22">
        <f>IF(B163="","",H163-I163)</f>
        <v/>
      </c>
      <c r="K163" s="33" t="n"/>
      <c r="L163" s="21">
        <f>IF(B163="","",IF(E163=Config!$B$6,"Encerrado","Ativo"))</f>
        <v/>
      </c>
      <c r="M163" s="23">
        <f>IF(OR(B163="",H163=0,H163=""),"",I163/H163)</f>
        <v/>
      </c>
    </row>
    <row r="164">
      <c r="A164" s="27" t="n"/>
      <c r="B164" s="27" t="n"/>
      <c r="C164" s="21">
        <f>IF(B164="","",IFERROR(INDEX(Clientes!$B$5:$B$64,MATCH(B164,Clientes!$A$5:$A$64,0)),""))</f>
        <v/>
      </c>
      <c r="D164" s="29" t="n"/>
      <c r="E164" s="29" t="n"/>
      <c r="F164" s="29" t="n"/>
      <c r="G164" s="29" t="n"/>
      <c r="H164" s="32" t="n"/>
      <c r="I164" s="32" t="n"/>
      <c r="J164" s="22">
        <f>IF(B164="","",H164-I164)</f>
        <v/>
      </c>
      <c r="K164" s="33" t="n"/>
      <c r="L164" s="21">
        <f>IF(B164="","",IF(E164=Config!$B$6,"Encerrado","Ativo"))</f>
        <v/>
      </c>
      <c r="M164" s="23">
        <f>IF(OR(B164="",H164=0,H164=""),"",I164/H164)</f>
        <v/>
      </c>
    </row>
    <row r="165">
      <c r="A165" s="27" t="n"/>
      <c r="B165" s="27" t="n"/>
      <c r="C165" s="21">
        <f>IF(B165="","",IFERROR(INDEX(Clientes!$B$5:$B$64,MATCH(B165,Clientes!$A$5:$A$64,0)),""))</f>
        <v/>
      </c>
      <c r="D165" s="29" t="n"/>
      <c r="E165" s="29" t="n"/>
      <c r="F165" s="29" t="n"/>
      <c r="G165" s="29" t="n"/>
      <c r="H165" s="32" t="n"/>
      <c r="I165" s="32" t="n"/>
      <c r="J165" s="22">
        <f>IF(B165="","",H165-I165)</f>
        <v/>
      </c>
      <c r="K165" s="33" t="n"/>
      <c r="L165" s="21">
        <f>IF(B165="","",IF(E165=Config!$B$6,"Encerrado","Ativo"))</f>
        <v/>
      </c>
      <c r="M165" s="23">
        <f>IF(OR(B165="",H165=0,H165=""),"",I165/H165)</f>
        <v/>
      </c>
    </row>
    <row r="166">
      <c r="A166" s="27" t="n"/>
      <c r="B166" s="27" t="n"/>
      <c r="C166" s="21">
        <f>IF(B166="","",IFERROR(INDEX(Clientes!$B$5:$B$64,MATCH(B166,Clientes!$A$5:$A$64,0)),""))</f>
        <v/>
      </c>
      <c r="D166" s="29" t="n"/>
      <c r="E166" s="29" t="n"/>
      <c r="F166" s="29" t="n"/>
      <c r="G166" s="29" t="n"/>
      <c r="H166" s="32" t="n"/>
      <c r="I166" s="32" t="n"/>
      <c r="J166" s="22">
        <f>IF(B166="","",H166-I166)</f>
        <v/>
      </c>
      <c r="K166" s="33" t="n"/>
      <c r="L166" s="21">
        <f>IF(B166="","",IF(E166=Config!$B$6,"Encerrado","Ativo"))</f>
        <v/>
      </c>
      <c r="M166" s="23">
        <f>IF(OR(B166="",H166=0,H166=""),"",I166/H166)</f>
        <v/>
      </c>
    </row>
    <row r="167">
      <c r="A167" s="27" t="n"/>
      <c r="B167" s="27" t="n"/>
      <c r="C167" s="21">
        <f>IF(B167="","",IFERROR(INDEX(Clientes!$B$5:$B$64,MATCH(B167,Clientes!$A$5:$A$64,0)),""))</f>
        <v/>
      </c>
      <c r="D167" s="29" t="n"/>
      <c r="E167" s="29" t="n"/>
      <c r="F167" s="29" t="n"/>
      <c r="G167" s="29" t="n"/>
      <c r="H167" s="32" t="n"/>
      <c r="I167" s="32" t="n"/>
      <c r="J167" s="22">
        <f>IF(B167="","",H167-I167)</f>
        <v/>
      </c>
      <c r="K167" s="33" t="n"/>
      <c r="L167" s="21">
        <f>IF(B167="","",IF(E167=Config!$B$6,"Encerrado","Ativo"))</f>
        <v/>
      </c>
      <c r="M167" s="23">
        <f>IF(OR(B167="",H167=0,H167=""),"",I167/H167)</f>
        <v/>
      </c>
    </row>
    <row r="168">
      <c r="A168" s="27" t="n"/>
      <c r="B168" s="27" t="n"/>
      <c r="C168" s="21">
        <f>IF(B168="","",IFERROR(INDEX(Clientes!$B$5:$B$64,MATCH(B168,Clientes!$A$5:$A$64,0)),""))</f>
        <v/>
      </c>
      <c r="D168" s="29" t="n"/>
      <c r="E168" s="29" t="n"/>
      <c r="F168" s="29" t="n"/>
      <c r="G168" s="29" t="n"/>
      <c r="H168" s="32" t="n"/>
      <c r="I168" s="32" t="n"/>
      <c r="J168" s="22">
        <f>IF(B168="","",H168-I168)</f>
        <v/>
      </c>
      <c r="K168" s="33" t="n"/>
      <c r="L168" s="21">
        <f>IF(B168="","",IF(E168=Config!$B$6,"Encerrado","Ativo"))</f>
        <v/>
      </c>
      <c r="M168" s="23">
        <f>IF(OR(B168="",H168=0,H168=""),"",I168/H168)</f>
        <v/>
      </c>
    </row>
    <row r="169">
      <c r="A169" s="27" t="n"/>
      <c r="B169" s="27" t="n"/>
      <c r="C169" s="21">
        <f>IF(B169="","",IFERROR(INDEX(Clientes!$B$5:$B$64,MATCH(B169,Clientes!$A$5:$A$64,0)),""))</f>
        <v/>
      </c>
      <c r="D169" s="29" t="n"/>
      <c r="E169" s="29" t="n"/>
      <c r="F169" s="29" t="n"/>
      <c r="G169" s="29" t="n"/>
      <c r="H169" s="32" t="n"/>
      <c r="I169" s="32" t="n"/>
      <c r="J169" s="22">
        <f>IF(B169="","",H169-I169)</f>
        <v/>
      </c>
      <c r="K169" s="33" t="n"/>
      <c r="L169" s="21">
        <f>IF(B169="","",IF(E169=Config!$B$6,"Encerrado","Ativo"))</f>
        <v/>
      </c>
      <c r="M169" s="23">
        <f>IF(OR(B169="",H169=0,H169=""),"",I169/H169)</f>
        <v/>
      </c>
    </row>
    <row r="170">
      <c r="A170" s="27" t="n"/>
      <c r="B170" s="27" t="n"/>
      <c r="C170" s="21">
        <f>IF(B170="","",IFERROR(INDEX(Clientes!$B$5:$B$64,MATCH(B170,Clientes!$A$5:$A$64,0)),""))</f>
        <v/>
      </c>
      <c r="D170" s="29" t="n"/>
      <c r="E170" s="29" t="n"/>
      <c r="F170" s="29" t="n"/>
      <c r="G170" s="29" t="n"/>
      <c r="H170" s="32" t="n"/>
      <c r="I170" s="32" t="n"/>
      <c r="J170" s="22">
        <f>IF(B170="","",H170-I170)</f>
        <v/>
      </c>
      <c r="K170" s="33" t="n"/>
      <c r="L170" s="21">
        <f>IF(B170="","",IF(E170=Config!$B$6,"Encerrado","Ativo"))</f>
        <v/>
      </c>
      <c r="M170" s="23">
        <f>IF(OR(B170="",H170=0,H170=""),"",I170/H170)</f>
        <v/>
      </c>
    </row>
    <row r="171">
      <c r="A171" s="27" t="n"/>
      <c r="B171" s="27" t="n"/>
      <c r="C171" s="21">
        <f>IF(B171="","",IFERROR(INDEX(Clientes!$B$5:$B$64,MATCH(B171,Clientes!$A$5:$A$64,0)),""))</f>
        <v/>
      </c>
      <c r="D171" s="29" t="n"/>
      <c r="E171" s="29" t="n"/>
      <c r="F171" s="29" t="n"/>
      <c r="G171" s="29" t="n"/>
      <c r="H171" s="32" t="n"/>
      <c r="I171" s="32" t="n"/>
      <c r="J171" s="22">
        <f>IF(B171="","",H171-I171)</f>
        <v/>
      </c>
      <c r="K171" s="33" t="n"/>
      <c r="L171" s="21">
        <f>IF(B171="","",IF(E171=Config!$B$6,"Encerrado","Ativo"))</f>
        <v/>
      </c>
      <c r="M171" s="23">
        <f>IF(OR(B171="",H171=0,H171=""),"",I171/H171)</f>
        <v/>
      </c>
    </row>
    <row r="172">
      <c r="A172" s="27" t="n"/>
      <c r="B172" s="27" t="n"/>
      <c r="C172" s="21">
        <f>IF(B172="","",IFERROR(INDEX(Clientes!$B$5:$B$64,MATCH(B172,Clientes!$A$5:$A$64,0)),""))</f>
        <v/>
      </c>
      <c r="D172" s="29" t="n"/>
      <c r="E172" s="29" t="n"/>
      <c r="F172" s="29" t="n"/>
      <c r="G172" s="29" t="n"/>
      <c r="H172" s="32" t="n"/>
      <c r="I172" s="32" t="n"/>
      <c r="J172" s="22">
        <f>IF(B172="","",H172-I172)</f>
        <v/>
      </c>
      <c r="K172" s="33" t="n"/>
      <c r="L172" s="21">
        <f>IF(B172="","",IF(E172=Config!$B$6,"Encerrado","Ativo"))</f>
        <v/>
      </c>
      <c r="M172" s="23">
        <f>IF(OR(B172="",H172=0,H172=""),"",I172/H172)</f>
        <v/>
      </c>
    </row>
    <row r="173">
      <c r="A173" s="27" t="n"/>
      <c r="B173" s="27" t="n"/>
      <c r="C173" s="21">
        <f>IF(B173="","",IFERROR(INDEX(Clientes!$B$5:$B$64,MATCH(B173,Clientes!$A$5:$A$64,0)),""))</f>
        <v/>
      </c>
      <c r="D173" s="29" t="n"/>
      <c r="E173" s="29" t="n"/>
      <c r="F173" s="29" t="n"/>
      <c r="G173" s="29" t="n"/>
      <c r="H173" s="32" t="n"/>
      <c r="I173" s="32" t="n"/>
      <c r="J173" s="22">
        <f>IF(B173="","",H173-I173)</f>
        <v/>
      </c>
      <c r="K173" s="33" t="n"/>
      <c r="L173" s="21">
        <f>IF(B173="","",IF(E173=Config!$B$6,"Encerrado","Ativo"))</f>
        <v/>
      </c>
      <c r="M173" s="23">
        <f>IF(OR(B173="",H173=0,H173=""),"",I173/H173)</f>
        <v/>
      </c>
    </row>
    <row r="174">
      <c r="A174" s="27" t="n"/>
      <c r="B174" s="27" t="n"/>
      <c r="C174" s="21">
        <f>IF(B174="","",IFERROR(INDEX(Clientes!$B$5:$B$64,MATCH(B174,Clientes!$A$5:$A$64,0)),""))</f>
        <v/>
      </c>
      <c r="D174" s="29" t="n"/>
      <c r="E174" s="29" t="n"/>
      <c r="F174" s="29" t="n"/>
      <c r="G174" s="29" t="n"/>
      <c r="H174" s="32" t="n"/>
      <c r="I174" s="32" t="n"/>
      <c r="J174" s="22">
        <f>IF(B174="","",H174-I174)</f>
        <v/>
      </c>
      <c r="K174" s="33" t="n"/>
      <c r="L174" s="21">
        <f>IF(B174="","",IF(E174=Config!$B$6,"Encerrado","Ativo"))</f>
        <v/>
      </c>
      <c r="M174" s="23">
        <f>IF(OR(B174="",H174=0,H174=""),"",I174/H174)</f>
        <v/>
      </c>
    </row>
    <row r="175">
      <c r="A175" s="27" t="n"/>
      <c r="B175" s="27" t="n"/>
      <c r="C175" s="21">
        <f>IF(B175="","",IFERROR(INDEX(Clientes!$B$5:$B$64,MATCH(B175,Clientes!$A$5:$A$64,0)),""))</f>
        <v/>
      </c>
      <c r="D175" s="29" t="n"/>
      <c r="E175" s="29" t="n"/>
      <c r="F175" s="29" t="n"/>
      <c r="G175" s="29" t="n"/>
      <c r="H175" s="32" t="n"/>
      <c r="I175" s="32" t="n"/>
      <c r="J175" s="22">
        <f>IF(B175="","",H175-I175)</f>
        <v/>
      </c>
      <c r="K175" s="33" t="n"/>
      <c r="L175" s="21">
        <f>IF(B175="","",IF(E175=Config!$B$6,"Encerrado","Ativo"))</f>
        <v/>
      </c>
      <c r="M175" s="23">
        <f>IF(OR(B175="",H175=0,H175=""),"",I175/H175)</f>
        <v/>
      </c>
    </row>
    <row r="176">
      <c r="A176" s="27" t="n"/>
      <c r="B176" s="27" t="n"/>
      <c r="C176" s="21">
        <f>IF(B176="","",IFERROR(INDEX(Clientes!$B$5:$B$64,MATCH(B176,Clientes!$A$5:$A$64,0)),""))</f>
        <v/>
      </c>
      <c r="D176" s="29" t="n"/>
      <c r="E176" s="29" t="n"/>
      <c r="F176" s="29" t="n"/>
      <c r="G176" s="29" t="n"/>
      <c r="H176" s="32" t="n"/>
      <c r="I176" s="32" t="n"/>
      <c r="J176" s="22">
        <f>IF(B176="","",H176-I176)</f>
        <v/>
      </c>
      <c r="K176" s="33" t="n"/>
      <c r="L176" s="21">
        <f>IF(B176="","",IF(E176=Config!$B$6,"Encerrado","Ativo"))</f>
        <v/>
      </c>
      <c r="M176" s="23">
        <f>IF(OR(B176="",H176=0,H176=""),"",I176/H176)</f>
        <v/>
      </c>
    </row>
    <row r="177">
      <c r="A177" s="27" t="n"/>
      <c r="B177" s="27" t="n"/>
      <c r="C177" s="21">
        <f>IF(B177="","",IFERROR(INDEX(Clientes!$B$5:$B$64,MATCH(B177,Clientes!$A$5:$A$64,0)),""))</f>
        <v/>
      </c>
      <c r="D177" s="29" t="n"/>
      <c r="E177" s="29" t="n"/>
      <c r="F177" s="29" t="n"/>
      <c r="G177" s="29" t="n"/>
      <c r="H177" s="32" t="n"/>
      <c r="I177" s="32" t="n"/>
      <c r="J177" s="22">
        <f>IF(B177="","",H177-I177)</f>
        <v/>
      </c>
      <c r="K177" s="33" t="n"/>
      <c r="L177" s="21">
        <f>IF(B177="","",IF(E177=Config!$B$6,"Encerrado","Ativo"))</f>
        <v/>
      </c>
      <c r="M177" s="23">
        <f>IF(OR(B177="",H177=0,H177=""),"",I177/H177)</f>
        <v/>
      </c>
    </row>
    <row r="178">
      <c r="A178" s="27" t="n"/>
      <c r="B178" s="27" t="n"/>
      <c r="C178" s="21">
        <f>IF(B178="","",IFERROR(INDEX(Clientes!$B$5:$B$64,MATCH(B178,Clientes!$A$5:$A$64,0)),""))</f>
        <v/>
      </c>
      <c r="D178" s="29" t="n"/>
      <c r="E178" s="29" t="n"/>
      <c r="F178" s="29" t="n"/>
      <c r="G178" s="29" t="n"/>
      <c r="H178" s="32" t="n"/>
      <c r="I178" s="32" t="n"/>
      <c r="J178" s="22">
        <f>IF(B178="","",H178-I178)</f>
        <v/>
      </c>
      <c r="K178" s="33" t="n"/>
      <c r="L178" s="21">
        <f>IF(B178="","",IF(E178=Config!$B$6,"Encerrado","Ativo"))</f>
        <v/>
      </c>
      <c r="M178" s="23">
        <f>IF(OR(B178="",H178=0,H178=""),"",I178/H178)</f>
        <v/>
      </c>
    </row>
    <row r="179">
      <c r="A179" s="27" t="n"/>
      <c r="B179" s="27" t="n"/>
      <c r="C179" s="21">
        <f>IF(B179="","",IFERROR(INDEX(Clientes!$B$5:$B$64,MATCH(B179,Clientes!$A$5:$A$64,0)),""))</f>
        <v/>
      </c>
      <c r="D179" s="29" t="n"/>
      <c r="E179" s="29" t="n"/>
      <c r="F179" s="29" t="n"/>
      <c r="G179" s="29" t="n"/>
      <c r="H179" s="32" t="n"/>
      <c r="I179" s="32" t="n"/>
      <c r="J179" s="22">
        <f>IF(B179="","",H179-I179)</f>
        <v/>
      </c>
      <c r="K179" s="33" t="n"/>
      <c r="L179" s="21">
        <f>IF(B179="","",IF(E179=Config!$B$6,"Encerrado","Ativo"))</f>
        <v/>
      </c>
      <c r="M179" s="23">
        <f>IF(OR(B179="",H179=0,H179=""),"",I179/H179)</f>
        <v/>
      </c>
    </row>
    <row r="180">
      <c r="A180" s="27" t="n"/>
      <c r="B180" s="27" t="n"/>
      <c r="C180" s="21">
        <f>IF(B180="","",IFERROR(INDEX(Clientes!$B$5:$B$64,MATCH(B180,Clientes!$A$5:$A$64,0)),""))</f>
        <v/>
      </c>
      <c r="D180" s="29" t="n"/>
      <c r="E180" s="29" t="n"/>
      <c r="F180" s="29" t="n"/>
      <c r="G180" s="29" t="n"/>
      <c r="H180" s="32" t="n"/>
      <c r="I180" s="32" t="n"/>
      <c r="J180" s="22">
        <f>IF(B180="","",H180-I180)</f>
        <v/>
      </c>
      <c r="K180" s="33" t="n"/>
      <c r="L180" s="21">
        <f>IF(B180="","",IF(E180=Config!$B$6,"Encerrado","Ativo"))</f>
        <v/>
      </c>
      <c r="M180" s="23">
        <f>IF(OR(B180="",H180=0,H180=""),"",I180/H180)</f>
        <v/>
      </c>
    </row>
    <row r="181">
      <c r="A181" s="27" t="n"/>
      <c r="B181" s="27" t="n"/>
      <c r="C181" s="21">
        <f>IF(B181="","",IFERROR(INDEX(Clientes!$B$5:$B$64,MATCH(B181,Clientes!$A$5:$A$64,0)),""))</f>
        <v/>
      </c>
      <c r="D181" s="29" t="n"/>
      <c r="E181" s="29" t="n"/>
      <c r="F181" s="29" t="n"/>
      <c r="G181" s="29" t="n"/>
      <c r="H181" s="32" t="n"/>
      <c r="I181" s="32" t="n"/>
      <c r="J181" s="22">
        <f>IF(B181="","",H181-I181)</f>
        <v/>
      </c>
      <c r="K181" s="33" t="n"/>
      <c r="L181" s="21">
        <f>IF(B181="","",IF(E181=Config!$B$6,"Encerrado","Ativo"))</f>
        <v/>
      </c>
      <c r="M181" s="23">
        <f>IF(OR(B181="",H181=0,H181=""),"",I181/H181)</f>
        <v/>
      </c>
    </row>
    <row r="182">
      <c r="A182" s="27" t="n"/>
      <c r="B182" s="27" t="n"/>
      <c r="C182" s="21">
        <f>IF(B182="","",IFERROR(INDEX(Clientes!$B$5:$B$64,MATCH(B182,Clientes!$A$5:$A$64,0)),""))</f>
        <v/>
      </c>
      <c r="D182" s="29" t="n"/>
      <c r="E182" s="29" t="n"/>
      <c r="F182" s="29" t="n"/>
      <c r="G182" s="29" t="n"/>
      <c r="H182" s="32" t="n"/>
      <c r="I182" s="32" t="n"/>
      <c r="J182" s="22">
        <f>IF(B182="","",H182-I182)</f>
        <v/>
      </c>
      <c r="K182" s="33" t="n"/>
      <c r="L182" s="21">
        <f>IF(B182="","",IF(E182=Config!$B$6,"Encerrado","Ativo"))</f>
        <v/>
      </c>
      <c r="M182" s="23">
        <f>IF(OR(B182="",H182=0,H182=""),"",I182/H182)</f>
        <v/>
      </c>
    </row>
    <row r="183">
      <c r="A183" s="27" t="n"/>
      <c r="B183" s="27" t="n"/>
      <c r="C183" s="21">
        <f>IF(B183="","",IFERROR(INDEX(Clientes!$B$5:$B$64,MATCH(B183,Clientes!$A$5:$A$64,0)),""))</f>
        <v/>
      </c>
      <c r="D183" s="29" t="n"/>
      <c r="E183" s="29" t="n"/>
      <c r="F183" s="29" t="n"/>
      <c r="G183" s="29" t="n"/>
      <c r="H183" s="32" t="n"/>
      <c r="I183" s="32" t="n"/>
      <c r="J183" s="22">
        <f>IF(B183="","",H183-I183)</f>
        <v/>
      </c>
      <c r="K183" s="33" t="n"/>
      <c r="L183" s="21">
        <f>IF(B183="","",IF(E183=Config!$B$6,"Encerrado","Ativo"))</f>
        <v/>
      </c>
      <c r="M183" s="23">
        <f>IF(OR(B183="",H183=0,H183=""),"",I183/H183)</f>
        <v/>
      </c>
    </row>
    <row r="184">
      <c r="A184" s="27" t="n"/>
      <c r="B184" s="27" t="n"/>
      <c r="C184" s="21">
        <f>IF(B184="","",IFERROR(INDEX(Clientes!$B$5:$B$64,MATCH(B184,Clientes!$A$5:$A$64,0)),""))</f>
        <v/>
      </c>
      <c r="D184" s="29" t="n"/>
      <c r="E184" s="29" t="n"/>
      <c r="F184" s="29" t="n"/>
      <c r="G184" s="29" t="n"/>
      <c r="H184" s="32" t="n"/>
      <c r="I184" s="32" t="n"/>
      <c r="J184" s="22">
        <f>IF(B184="","",H184-I184)</f>
        <v/>
      </c>
      <c r="K184" s="33" t="n"/>
      <c r="L184" s="21">
        <f>IF(B184="","",IF(E184=Config!$B$6,"Encerrado","Ativo"))</f>
        <v/>
      </c>
      <c r="M184" s="23">
        <f>IF(OR(B184="",H184=0,H184=""),"",I184/H184)</f>
        <v/>
      </c>
    </row>
    <row r="185">
      <c r="A185" s="27" t="n"/>
      <c r="B185" s="27" t="n"/>
      <c r="C185" s="21">
        <f>IF(B185="","",IFERROR(INDEX(Clientes!$B$5:$B$64,MATCH(B185,Clientes!$A$5:$A$64,0)),""))</f>
        <v/>
      </c>
      <c r="D185" s="29" t="n"/>
      <c r="E185" s="29" t="n"/>
      <c r="F185" s="29" t="n"/>
      <c r="G185" s="29" t="n"/>
      <c r="H185" s="32" t="n"/>
      <c r="I185" s="32" t="n"/>
      <c r="J185" s="22">
        <f>IF(B185="","",H185-I185)</f>
        <v/>
      </c>
      <c r="K185" s="33" t="n"/>
      <c r="L185" s="21">
        <f>IF(B185="","",IF(E185=Config!$B$6,"Encerrado","Ativo"))</f>
        <v/>
      </c>
      <c r="M185" s="23">
        <f>IF(OR(B185="",H185=0,H185=""),"",I185/H185)</f>
        <v/>
      </c>
    </row>
    <row r="186">
      <c r="A186" s="27" t="n"/>
      <c r="B186" s="27" t="n"/>
      <c r="C186" s="21">
        <f>IF(B186="","",IFERROR(INDEX(Clientes!$B$5:$B$64,MATCH(B186,Clientes!$A$5:$A$64,0)),""))</f>
        <v/>
      </c>
      <c r="D186" s="29" t="n"/>
      <c r="E186" s="29" t="n"/>
      <c r="F186" s="29" t="n"/>
      <c r="G186" s="29" t="n"/>
      <c r="H186" s="32" t="n"/>
      <c r="I186" s="32" t="n"/>
      <c r="J186" s="22">
        <f>IF(B186="","",H186-I186)</f>
        <v/>
      </c>
      <c r="K186" s="33" t="n"/>
      <c r="L186" s="21">
        <f>IF(B186="","",IF(E186=Config!$B$6,"Encerrado","Ativo"))</f>
        <v/>
      </c>
      <c r="M186" s="23">
        <f>IF(OR(B186="",H186=0,H186=""),"",I186/H186)</f>
        <v/>
      </c>
    </row>
    <row r="187">
      <c r="A187" s="27" t="n"/>
      <c r="B187" s="27" t="n"/>
      <c r="C187" s="21">
        <f>IF(B187="","",IFERROR(INDEX(Clientes!$B$5:$B$64,MATCH(B187,Clientes!$A$5:$A$64,0)),""))</f>
        <v/>
      </c>
      <c r="D187" s="29" t="n"/>
      <c r="E187" s="29" t="n"/>
      <c r="F187" s="29" t="n"/>
      <c r="G187" s="29" t="n"/>
      <c r="H187" s="32" t="n"/>
      <c r="I187" s="32" t="n"/>
      <c r="J187" s="22">
        <f>IF(B187="","",H187-I187)</f>
        <v/>
      </c>
      <c r="K187" s="33" t="n"/>
      <c r="L187" s="21">
        <f>IF(B187="","",IF(E187=Config!$B$6,"Encerrado","Ativo"))</f>
        <v/>
      </c>
      <c r="M187" s="23">
        <f>IF(OR(B187="",H187=0,H187=""),"",I187/H187)</f>
        <v/>
      </c>
    </row>
    <row r="188">
      <c r="A188" s="27" t="n"/>
      <c r="B188" s="27" t="n"/>
      <c r="C188" s="21">
        <f>IF(B188="","",IFERROR(INDEX(Clientes!$B$5:$B$64,MATCH(B188,Clientes!$A$5:$A$64,0)),""))</f>
        <v/>
      </c>
      <c r="D188" s="29" t="n"/>
      <c r="E188" s="29" t="n"/>
      <c r="F188" s="29" t="n"/>
      <c r="G188" s="29" t="n"/>
      <c r="H188" s="32" t="n"/>
      <c r="I188" s="32" t="n"/>
      <c r="J188" s="22">
        <f>IF(B188="","",H188-I188)</f>
        <v/>
      </c>
      <c r="K188" s="33" t="n"/>
      <c r="L188" s="21">
        <f>IF(B188="","",IF(E188=Config!$B$6,"Encerrado","Ativo"))</f>
        <v/>
      </c>
      <c r="M188" s="23">
        <f>IF(OR(B188="",H188=0,H188=""),"",I188/H188)</f>
        <v/>
      </c>
    </row>
    <row r="189">
      <c r="A189" s="27" t="n"/>
      <c r="B189" s="27" t="n"/>
      <c r="C189" s="21">
        <f>IF(B189="","",IFERROR(INDEX(Clientes!$B$5:$B$64,MATCH(B189,Clientes!$A$5:$A$64,0)),""))</f>
        <v/>
      </c>
      <c r="D189" s="29" t="n"/>
      <c r="E189" s="29" t="n"/>
      <c r="F189" s="29" t="n"/>
      <c r="G189" s="29" t="n"/>
      <c r="H189" s="32" t="n"/>
      <c r="I189" s="32" t="n"/>
      <c r="J189" s="22">
        <f>IF(B189="","",H189-I189)</f>
        <v/>
      </c>
      <c r="K189" s="33" t="n"/>
      <c r="L189" s="21">
        <f>IF(B189="","",IF(E189=Config!$B$6,"Encerrado","Ativo"))</f>
        <v/>
      </c>
      <c r="M189" s="23">
        <f>IF(OR(B189="",H189=0,H189=""),"",I189/H189)</f>
        <v/>
      </c>
    </row>
    <row r="190">
      <c r="A190" s="27" t="n"/>
      <c r="B190" s="27" t="n"/>
      <c r="C190" s="21">
        <f>IF(B190="","",IFERROR(INDEX(Clientes!$B$5:$B$64,MATCH(B190,Clientes!$A$5:$A$64,0)),""))</f>
        <v/>
      </c>
      <c r="D190" s="29" t="n"/>
      <c r="E190" s="29" t="n"/>
      <c r="F190" s="29" t="n"/>
      <c r="G190" s="29" t="n"/>
      <c r="H190" s="32" t="n"/>
      <c r="I190" s="32" t="n"/>
      <c r="J190" s="22">
        <f>IF(B190="","",H190-I190)</f>
        <v/>
      </c>
      <c r="K190" s="33" t="n"/>
      <c r="L190" s="21">
        <f>IF(B190="","",IF(E190=Config!$B$6,"Encerrado","Ativo"))</f>
        <v/>
      </c>
      <c r="M190" s="23">
        <f>IF(OR(B190="",H190=0,H190=""),"",I190/H190)</f>
        <v/>
      </c>
    </row>
    <row r="191">
      <c r="A191" s="27" t="n"/>
      <c r="B191" s="27" t="n"/>
      <c r="C191" s="21">
        <f>IF(B191="","",IFERROR(INDEX(Clientes!$B$5:$B$64,MATCH(B191,Clientes!$A$5:$A$64,0)),""))</f>
        <v/>
      </c>
      <c r="D191" s="29" t="n"/>
      <c r="E191" s="29" t="n"/>
      <c r="F191" s="29" t="n"/>
      <c r="G191" s="29" t="n"/>
      <c r="H191" s="32" t="n"/>
      <c r="I191" s="32" t="n"/>
      <c r="J191" s="22">
        <f>IF(B191="","",H191-I191)</f>
        <v/>
      </c>
      <c r="K191" s="33" t="n"/>
      <c r="L191" s="21">
        <f>IF(B191="","",IF(E191=Config!$B$6,"Encerrado","Ativo"))</f>
        <v/>
      </c>
      <c r="M191" s="23">
        <f>IF(OR(B191="",H191=0,H191=""),"",I191/H191)</f>
        <v/>
      </c>
    </row>
    <row r="192">
      <c r="A192" s="27" t="n"/>
      <c r="B192" s="27" t="n"/>
      <c r="C192" s="21">
        <f>IF(B192="","",IFERROR(INDEX(Clientes!$B$5:$B$64,MATCH(B192,Clientes!$A$5:$A$64,0)),""))</f>
        <v/>
      </c>
      <c r="D192" s="29" t="n"/>
      <c r="E192" s="29" t="n"/>
      <c r="F192" s="29" t="n"/>
      <c r="G192" s="29" t="n"/>
      <c r="H192" s="32" t="n"/>
      <c r="I192" s="32" t="n"/>
      <c r="J192" s="22">
        <f>IF(B192="","",H192-I192)</f>
        <v/>
      </c>
      <c r="K192" s="33" t="n"/>
      <c r="L192" s="21">
        <f>IF(B192="","",IF(E192=Config!$B$6,"Encerrado","Ativo"))</f>
        <v/>
      </c>
      <c r="M192" s="23">
        <f>IF(OR(B192="",H192=0,H192=""),"",I192/H192)</f>
        <v/>
      </c>
    </row>
    <row r="193">
      <c r="A193" s="27" t="n"/>
      <c r="B193" s="27" t="n"/>
      <c r="C193" s="21">
        <f>IF(B193="","",IFERROR(INDEX(Clientes!$B$5:$B$64,MATCH(B193,Clientes!$A$5:$A$64,0)),""))</f>
        <v/>
      </c>
      <c r="D193" s="29" t="n"/>
      <c r="E193" s="29" t="n"/>
      <c r="F193" s="29" t="n"/>
      <c r="G193" s="29" t="n"/>
      <c r="H193" s="32" t="n"/>
      <c r="I193" s="32" t="n"/>
      <c r="J193" s="22">
        <f>IF(B193="","",H193-I193)</f>
        <v/>
      </c>
      <c r="K193" s="33" t="n"/>
      <c r="L193" s="21">
        <f>IF(B193="","",IF(E193=Config!$B$6,"Encerrado","Ativo"))</f>
        <v/>
      </c>
      <c r="M193" s="23">
        <f>IF(OR(B193="",H193=0,H193=""),"",I193/H193)</f>
        <v/>
      </c>
    </row>
    <row r="194">
      <c r="A194" s="27" t="n"/>
      <c r="B194" s="27" t="n"/>
      <c r="C194" s="21">
        <f>IF(B194="","",IFERROR(INDEX(Clientes!$B$5:$B$64,MATCH(B194,Clientes!$A$5:$A$64,0)),""))</f>
        <v/>
      </c>
      <c r="D194" s="29" t="n"/>
      <c r="E194" s="29" t="n"/>
      <c r="F194" s="29" t="n"/>
      <c r="G194" s="29" t="n"/>
      <c r="H194" s="32" t="n"/>
      <c r="I194" s="32" t="n"/>
      <c r="J194" s="22">
        <f>IF(B194="","",H194-I194)</f>
        <v/>
      </c>
      <c r="K194" s="33" t="n"/>
      <c r="L194" s="21">
        <f>IF(B194="","",IF(E194=Config!$B$6,"Encerrado","Ativo"))</f>
        <v/>
      </c>
      <c r="M194" s="23">
        <f>IF(OR(B194="",H194=0,H194=""),"",I194/H194)</f>
        <v/>
      </c>
    </row>
    <row r="195">
      <c r="A195" s="27" t="n"/>
      <c r="B195" s="27" t="n"/>
      <c r="C195" s="21">
        <f>IF(B195="","",IFERROR(INDEX(Clientes!$B$5:$B$64,MATCH(B195,Clientes!$A$5:$A$64,0)),""))</f>
        <v/>
      </c>
      <c r="D195" s="29" t="n"/>
      <c r="E195" s="29" t="n"/>
      <c r="F195" s="29" t="n"/>
      <c r="G195" s="29" t="n"/>
      <c r="H195" s="32" t="n"/>
      <c r="I195" s="32" t="n"/>
      <c r="J195" s="22">
        <f>IF(B195="","",H195-I195)</f>
        <v/>
      </c>
      <c r="K195" s="33" t="n"/>
      <c r="L195" s="21">
        <f>IF(B195="","",IF(E195=Config!$B$6,"Encerrado","Ativo"))</f>
        <v/>
      </c>
      <c r="M195" s="23">
        <f>IF(OR(B195="",H195=0,H195=""),"",I195/H195)</f>
        <v/>
      </c>
    </row>
    <row r="196">
      <c r="A196" s="27" t="n"/>
      <c r="B196" s="27" t="n"/>
      <c r="C196" s="21">
        <f>IF(B196="","",IFERROR(INDEX(Clientes!$B$5:$B$64,MATCH(B196,Clientes!$A$5:$A$64,0)),""))</f>
        <v/>
      </c>
      <c r="D196" s="29" t="n"/>
      <c r="E196" s="29" t="n"/>
      <c r="F196" s="29" t="n"/>
      <c r="G196" s="29" t="n"/>
      <c r="H196" s="32" t="n"/>
      <c r="I196" s="32" t="n"/>
      <c r="J196" s="22">
        <f>IF(B196="","",H196-I196)</f>
        <v/>
      </c>
      <c r="K196" s="33" t="n"/>
      <c r="L196" s="21">
        <f>IF(B196="","",IF(E196=Config!$B$6,"Encerrado","Ativo"))</f>
        <v/>
      </c>
      <c r="M196" s="23">
        <f>IF(OR(B196="",H196=0,H196=""),"",I196/H196)</f>
        <v/>
      </c>
    </row>
    <row r="197">
      <c r="A197" s="27" t="n"/>
      <c r="B197" s="27" t="n"/>
      <c r="C197" s="21">
        <f>IF(B197="","",IFERROR(INDEX(Clientes!$B$5:$B$64,MATCH(B197,Clientes!$A$5:$A$64,0)),""))</f>
        <v/>
      </c>
      <c r="D197" s="29" t="n"/>
      <c r="E197" s="29" t="n"/>
      <c r="F197" s="29" t="n"/>
      <c r="G197" s="29" t="n"/>
      <c r="H197" s="32" t="n"/>
      <c r="I197" s="32" t="n"/>
      <c r="J197" s="22">
        <f>IF(B197="","",H197-I197)</f>
        <v/>
      </c>
      <c r="K197" s="33" t="n"/>
      <c r="L197" s="21">
        <f>IF(B197="","",IF(E197=Config!$B$6,"Encerrado","Ativo"))</f>
        <v/>
      </c>
      <c r="M197" s="23">
        <f>IF(OR(B197="",H197=0,H197=""),"",I197/H197)</f>
        <v/>
      </c>
    </row>
    <row r="198">
      <c r="A198" s="27" t="n"/>
      <c r="B198" s="27" t="n"/>
      <c r="C198" s="21">
        <f>IF(B198="","",IFERROR(INDEX(Clientes!$B$5:$B$64,MATCH(B198,Clientes!$A$5:$A$64,0)),""))</f>
        <v/>
      </c>
      <c r="D198" s="29" t="n"/>
      <c r="E198" s="29" t="n"/>
      <c r="F198" s="29" t="n"/>
      <c r="G198" s="29" t="n"/>
      <c r="H198" s="32" t="n"/>
      <c r="I198" s="32" t="n"/>
      <c r="J198" s="22">
        <f>IF(B198="","",H198-I198)</f>
        <v/>
      </c>
      <c r="K198" s="33" t="n"/>
      <c r="L198" s="21">
        <f>IF(B198="","",IF(E198=Config!$B$6,"Encerrado","Ativo"))</f>
        <v/>
      </c>
      <c r="M198" s="23">
        <f>IF(OR(B198="",H198=0,H198=""),"",I198/H198)</f>
        <v/>
      </c>
    </row>
    <row r="199">
      <c r="A199" s="27" t="n"/>
      <c r="B199" s="27" t="n"/>
      <c r="C199" s="21">
        <f>IF(B199="","",IFERROR(INDEX(Clientes!$B$5:$B$64,MATCH(B199,Clientes!$A$5:$A$64,0)),""))</f>
        <v/>
      </c>
      <c r="D199" s="29" t="n"/>
      <c r="E199" s="29" t="n"/>
      <c r="F199" s="29" t="n"/>
      <c r="G199" s="29" t="n"/>
      <c r="H199" s="32" t="n"/>
      <c r="I199" s="32" t="n"/>
      <c r="J199" s="22">
        <f>IF(B199="","",H199-I199)</f>
        <v/>
      </c>
      <c r="K199" s="33" t="n"/>
      <c r="L199" s="21">
        <f>IF(B199="","",IF(E199=Config!$B$6,"Encerrado","Ativo"))</f>
        <v/>
      </c>
      <c r="M199" s="23">
        <f>IF(OR(B199="",H199=0,H199=""),"",I199/H199)</f>
        <v/>
      </c>
    </row>
    <row r="200">
      <c r="A200" s="27" t="n"/>
      <c r="B200" s="27" t="n"/>
      <c r="C200" s="21">
        <f>IF(B200="","",IFERROR(INDEX(Clientes!$B$5:$B$64,MATCH(B200,Clientes!$A$5:$A$64,0)),""))</f>
        <v/>
      </c>
      <c r="D200" s="29" t="n"/>
      <c r="E200" s="29" t="n"/>
      <c r="F200" s="29" t="n"/>
      <c r="G200" s="29" t="n"/>
      <c r="H200" s="32" t="n"/>
      <c r="I200" s="32" t="n"/>
      <c r="J200" s="22">
        <f>IF(B200="","",H200-I200)</f>
        <v/>
      </c>
      <c r="K200" s="33" t="n"/>
      <c r="L200" s="21">
        <f>IF(B200="","",IF(E200=Config!$B$6,"Encerrado","Ativo"))</f>
        <v/>
      </c>
      <c r="M200" s="23">
        <f>IF(OR(B200="",H200=0,H200=""),"",I200/H200)</f>
        <v/>
      </c>
    </row>
    <row r="201">
      <c r="A201" s="27" t="n"/>
      <c r="B201" s="27" t="n"/>
      <c r="C201" s="21">
        <f>IF(B201="","",IFERROR(INDEX(Clientes!$B$5:$B$64,MATCH(B201,Clientes!$A$5:$A$64,0)),""))</f>
        <v/>
      </c>
      <c r="D201" s="29" t="n"/>
      <c r="E201" s="29" t="n"/>
      <c r="F201" s="29" t="n"/>
      <c r="G201" s="29" t="n"/>
      <c r="H201" s="32" t="n"/>
      <c r="I201" s="32" t="n"/>
      <c r="J201" s="22">
        <f>IF(B201="","",H201-I201)</f>
        <v/>
      </c>
      <c r="K201" s="33" t="n"/>
      <c r="L201" s="21">
        <f>IF(B201="","",IF(E201=Config!$B$6,"Encerrado","Ativo"))</f>
        <v/>
      </c>
      <c r="M201" s="23">
        <f>IF(OR(B201="",H201=0,H201=""),"",I201/H201)</f>
        <v/>
      </c>
    </row>
    <row r="202">
      <c r="A202" s="27" t="n"/>
      <c r="B202" s="27" t="n"/>
      <c r="C202" s="21">
        <f>IF(B202="","",IFERROR(INDEX(Clientes!$B$5:$B$64,MATCH(B202,Clientes!$A$5:$A$64,0)),""))</f>
        <v/>
      </c>
      <c r="D202" s="29" t="n"/>
      <c r="E202" s="29" t="n"/>
      <c r="F202" s="29" t="n"/>
      <c r="G202" s="29" t="n"/>
      <c r="H202" s="32" t="n"/>
      <c r="I202" s="32" t="n"/>
      <c r="J202" s="22">
        <f>IF(B202="","",H202-I202)</f>
        <v/>
      </c>
      <c r="K202" s="33" t="n"/>
      <c r="L202" s="21">
        <f>IF(B202="","",IF(E202=Config!$B$6,"Encerrado","Ativo"))</f>
        <v/>
      </c>
      <c r="M202" s="23">
        <f>IF(OR(B202="",H202=0,H202=""),"",I202/H202)</f>
        <v/>
      </c>
    </row>
    <row r="203">
      <c r="A203" s="27" t="n"/>
      <c r="B203" s="27" t="n"/>
      <c r="C203" s="21">
        <f>IF(B203="","",IFERROR(INDEX(Clientes!$B$5:$B$64,MATCH(B203,Clientes!$A$5:$A$64,0)),""))</f>
        <v/>
      </c>
      <c r="D203" s="29" t="n"/>
      <c r="E203" s="29" t="n"/>
      <c r="F203" s="29" t="n"/>
      <c r="G203" s="29" t="n"/>
      <c r="H203" s="32" t="n"/>
      <c r="I203" s="32" t="n"/>
      <c r="J203" s="22">
        <f>IF(B203="","",H203-I203)</f>
        <v/>
      </c>
      <c r="K203" s="33" t="n"/>
      <c r="L203" s="21">
        <f>IF(B203="","",IF(E203=Config!$B$6,"Encerrado","Ativo"))</f>
        <v/>
      </c>
      <c r="M203" s="23">
        <f>IF(OR(B203="",H203=0,H203=""),"",I203/H203)</f>
        <v/>
      </c>
    </row>
    <row r="204">
      <c r="A204" s="27" t="n"/>
      <c r="B204" s="27" t="n"/>
      <c r="C204" s="21">
        <f>IF(B204="","",IFERROR(INDEX(Clientes!$B$5:$B$64,MATCH(B204,Clientes!$A$5:$A$64,0)),""))</f>
        <v/>
      </c>
      <c r="D204" s="29" t="n"/>
      <c r="E204" s="29" t="n"/>
      <c r="F204" s="29" t="n"/>
      <c r="G204" s="29" t="n"/>
      <c r="H204" s="32" t="n"/>
      <c r="I204" s="32" t="n"/>
      <c r="J204" s="22">
        <f>IF(B204="","",H204-I204)</f>
        <v/>
      </c>
      <c r="K204" s="33" t="n"/>
      <c r="L204" s="21">
        <f>IF(B204="","",IF(E204=Config!$B$6,"Encerrado","Ativo"))</f>
        <v/>
      </c>
      <c r="M204" s="23">
        <f>IF(OR(B204="",H204=0,H204=""),"",I204/H204)</f>
        <v/>
      </c>
    </row>
    <row r="206">
      <c r="A206" s="25" t="inlineStr">
        <is>
          <t>Recebido em vermelho: está maior que o valor contratado; confira o contrato ou o valor lançado. Linhas cinza: casos encerrados.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M204"/>
  <mergeCells count="2">
    <mergeCell ref="A2:M2"/>
    <mergeCell ref="A1:M1"/>
  </mergeCells>
  <conditionalFormatting sqref="I5:I204">
    <cfRule type="expression" priority="1" dxfId="1">
      <formula>AND(ISNUMBER(I5),I5&gt;H5)</formula>
    </cfRule>
  </conditionalFormatting>
  <conditionalFormatting sqref="A5:M204">
    <cfRule type="expression" priority="2" dxfId="2">
      <formula>$L5="Encerrado"</formula>
    </cfRule>
  </conditionalFormatting>
  <dataValidations count="7">
    <dataValidation sqref="B5:B204" showDropDown="0" showInputMessage="0" showErrorMessage="0" allowBlank="1" type="list">
      <formula1>=OFFSET(Clientes!$A$5,0,0,MAX(1,COUNTA(Clientes!$A$5:$A$64)),1)</formula1>
    </dataValidation>
    <dataValidation sqref="D5:D204" showDropDown="0" showInputMessage="0" showErrorMessage="1" allowBlank="1" type="list">
      <formula1>=OFFSET(Config!$A$9,0,0,MAX(1,COUNTA(Config!$A$9:$A$18)),1)</formula1>
    </dataValidation>
    <dataValidation sqref="E5:E204" showDropDown="0" showInputMessage="0" showErrorMessage="1" allowBlank="1" type="list">
      <formula1>=OFFSET(Config!$C$9,0,0,MAX(1,COUNTA(Config!$C$9:$C$18)),1)</formula1>
    </dataValidation>
    <dataValidation sqref="F5:F204" showDropDown="0" showInputMessage="0" showErrorMessage="1" allowBlank="1" type="list">
      <formula1>=OFFSET(Config!$E$9,0,0,MAX(1,COUNTA(Config!$E$9:$E$18)),1)</formula1>
    </dataValidation>
    <dataValidation sqref="G5:G204" showDropDown="0" showInputMessage="0" showErrorMessage="1" allowBlank="1" type="list">
      <formula1>=OFFSET(Config!$G$9,0,0,MAX(1,COUNTA(Config!$G$9:$G$18)),1)</formula1>
    </dataValidation>
    <dataValidation sqref="K5:K204" showDropDown="0" showInputMessage="0" showErrorMessage="0" allowBlank="1" type="date" operator="greaterThan">
      <formula1>1</formula1>
    </dataValidation>
    <dataValidation sqref="H5:I2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Carteira de Clientes e Casos · Kit de Gestão para Advogados</dc:title>
  <dcterms:created xmlns:dcterms="http://purl.org/dc/terms/" xmlns:xsi="http://www.w3.org/2001/XMLSchema-instance" xsi:type="dcterms:W3CDTF">2026-09-14T09:39:40Z</dcterms:created>
  <dcterms:modified xmlns:dcterms="http://purl.org/dc/terms/" xmlns:xsi="http://www.w3.org/2001/XMLSchema-instance" xsi:type="dcterms:W3CDTF">2026-09-14T09:39:40Z</dcterms:modified>
</cp:coreProperties>
</file>