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Prazos" sheetId="4" state="visible" r:id="rId4"/>
  </sheets>
  <definedNames>
    <definedName name="_xlnm._FilterDatabase" localSheetId="3" hidden="1">'Prazos'!$A$4:$I$404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8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color rgb="00B0A6C4"/>
      <sz val="9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3B1F5E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3B1F5E"/>
      <sz val="13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9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BE4E4"/>
      </patternFill>
    </fill>
    <fill>
      <patternFill patternType="solid">
        <fgColor rgb="00FFC83D"/>
      </patternFill>
    </fill>
    <fill>
      <patternFill patternType="solid">
        <fgColor rgb="00FFE9A8"/>
      </patternFill>
    </fill>
    <fill>
      <patternFill patternType="solid">
        <fgColor rgb="00F3EEFB"/>
      </patternFill>
    </fill>
    <fill>
      <patternFill patternType="solid">
        <fgColor rgb="00DDF3E7"/>
      </patternFill>
    </fill>
  </fills>
  <borders count="5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vertical="top"/>
    </xf>
    <xf numFmtId="0" fontId="17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8" fillId="4" borderId="0" applyAlignment="1" pivotButton="0" quotePrefix="0" xfId="0">
      <alignment horizontal="center"/>
    </xf>
    <xf numFmtId="0" fontId="0" fillId="4" borderId="0" pivotButton="0" quotePrefix="0" xfId="0"/>
    <xf numFmtId="0" fontId="10" fillId="5" borderId="0" applyAlignment="1" pivotButton="0" quotePrefix="0" xfId="0">
      <alignment horizontal="center"/>
    </xf>
    <xf numFmtId="0" fontId="0" fillId="5" borderId="0" pivotButton="0" quotePrefix="0" xfId="0"/>
    <xf numFmtId="0" fontId="10" fillId="6" borderId="0" applyAlignment="1" pivotButton="0" quotePrefix="0" xfId="0">
      <alignment horizontal="center"/>
    </xf>
    <xf numFmtId="0" fontId="0" fillId="6" borderId="0" pivotButton="0" quotePrefix="0" xfId="0"/>
    <xf numFmtId="0" fontId="10" fillId="7" borderId="0" applyAlignment="1" pivotButton="0" quotePrefix="0" xfId="0">
      <alignment horizontal="center"/>
    </xf>
    <xf numFmtId="0" fontId="0" fillId="7" borderId="0" pivotButton="0" quotePrefix="0" xfId="0"/>
    <xf numFmtId="0" fontId="11" fillId="8" borderId="0" applyAlignment="1" pivotButton="0" quotePrefix="0" xfId="0">
      <alignment horizontal="center"/>
    </xf>
    <xf numFmtId="0" fontId="0" fillId="8" borderId="0" pivotButton="0" quotePrefix="0" xfId="0"/>
    <xf numFmtId="3" fontId="9" fillId="4" borderId="0" applyAlignment="1" pivotButton="0" quotePrefix="0" xfId="0">
      <alignment horizontal="center"/>
    </xf>
    <xf numFmtId="3" fontId="1" fillId="5" borderId="0" applyAlignment="1" pivotButton="0" quotePrefix="0" xfId="0">
      <alignment horizontal="center"/>
    </xf>
    <xf numFmtId="3" fontId="1" fillId="6" borderId="0" applyAlignment="1" pivotButton="0" quotePrefix="0" xfId="0">
      <alignment horizontal="center"/>
    </xf>
    <xf numFmtId="3" fontId="1" fillId="7" borderId="0" applyAlignment="1" pivotButton="0" quotePrefix="0" xfId="0">
      <alignment horizontal="center"/>
    </xf>
    <xf numFmtId="3" fontId="12" fillId="8" borderId="0" applyAlignment="1" pivotButton="0" quotePrefix="0" xfId="0">
      <alignment horizontal="center"/>
    </xf>
    <xf numFmtId="0" fontId="13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0" fontId="0" fillId="0" borderId="4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164" fontId="4" fillId="2" borderId="1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164" fontId="4" fillId="2" borderId="1" applyAlignment="1" applyProtection="1" pivotButton="0" quotePrefix="0" xfId="0">
      <alignment horizontal="center"/>
      <protection locked="0" hidden="0"/>
    </xf>
    <xf numFmtId="0" fontId="7" fillId="0" borderId="0" pivotButton="0" quotePrefix="0" xfId="0"/>
  </cellXfs>
  <cellStyles count="1">
    <cellStyle name="Normal" xfId="0" builtinId="0" hidden="0"/>
  </cellStyles>
  <dxfs count="6">
    <dxf>
      <font>
        <name val="Arial"/>
        <color rgb="007A1F1F"/>
        <sz val="10"/>
      </font>
      <fill>
        <patternFill patternType="solid">
          <fgColor rgb="00FBE4E4"/>
        </patternFill>
      </fill>
    </dxf>
    <dxf>
      <font>
        <name val="Arial"/>
        <b val="1"/>
        <color rgb="003B1F5E"/>
        <sz val="10"/>
      </font>
      <fill>
        <patternFill patternType="solid">
          <fgColor rgb="00FFC83D"/>
        </patternFill>
      </fill>
    </dxf>
    <dxf>
      <fill>
        <patternFill patternType="solid">
          <fgColor rgb="00FFF4CC"/>
        </patternFill>
      </fill>
    </dxf>
    <dxf>
      <font>
        <name val="Arial"/>
        <b val="1"/>
        <color rgb="00C8402E"/>
        <sz val="10"/>
      </font>
    </dxf>
    <dxf>
      <font>
        <name val="Arial"/>
        <b val="1"/>
        <color rgb="003B1F5E"/>
        <sz val="10"/>
      </font>
    </dxf>
    <dxf>
      <font>
        <name val="Arial"/>
        <color rgb="008A86A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Agenda de prazos e audiências</t>
        </is>
      </c>
    </row>
    <row r="2">
      <c r="A2" s="2" t="inlineStr">
        <is>
          <t>Kit de Gestão para Advogados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Reúne todos os prazos, audiências e compromissos do escritório em uma lista só e mostra, no Painel, o que está atrasado, o que vence hoje, o que vence nos próximos dias, quem responde por cada um e quantos caem em cada dia da semana.</t>
        </is>
      </c>
    </row>
    <row r="5" ht="46" customHeight="1">
      <c r="A5" s="3" t="inlineStr">
        <is>
          <t>Passo 1</t>
        </is>
      </c>
      <c r="B5" s="4" t="inlineStr">
        <is>
          <t>Em Config, confira a data de referência (fica em =HOJE()), cadastre as pessoas do escritório e ajuste a lista de tipos de prazo. Preencha de cima para baixo, sem pular linha.</t>
        </is>
      </c>
    </row>
    <row r="6" ht="46" customHeight="1">
      <c r="A6" s="3" t="inlineStr">
        <is>
          <t>Passo 2</t>
        </is>
      </c>
      <c r="B6" s="4" t="inlineStr">
        <is>
          <t>Em Prazos, apague os exemplos e registre uma linha por prazo: processo, cliente, tipo (lista), data, responsável (lista) e observação. Quando cumprir, marque Sim em Feito: a linha fica cinza e sai do painel.</t>
        </is>
      </c>
    </row>
    <row r="7" ht="46" customHeight="1">
      <c r="A7" s="3" t="inlineStr">
        <is>
          <t>Passo 3</t>
        </is>
      </c>
      <c r="B7" s="4" t="inlineStr">
        <is>
          <t>Em Painel, leia de cima para baixo: quadros de contagem, lista "O que vence primeiro", carga por responsável e os próximos 7 dias.</t>
        </is>
      </c>
    </row>
    <row r="8" ht="46" customHeight="1">
      <c r="A8" s="3" t="inlineStr">
        <is>
          <t>Rotina de segunda</t>
        </is>
      </c>
      <c r="B8" s="4" t="inlineStr">
        <is>
          <t>10 minutos: abra o Painel, resolva ou reagende os atrasados, confirme com cada responsável os prazos da semana e registre os prazos novos que chegaram.</t>
        </is>
      </c>
    </row>
    <row r="9" ht="46" customHeight="1">
      <c r="A9" s="3" t="inlineStr">
        <is>
          <t>Limite</t>
        </is>
      </c>
      <c r="B9" s="4" t="inlineStr">
        <is>
          <t>A planilha organiza e avisa. A contagem do prazo, a conferência da data na fonte oficial e o cumprimento continuam sendo responsabilidade de quem responde pelo caso.</t>
        </is>
      </c>
    </row>
    <row r="10" ht="46" customHeight="1">
      <c r="A10" s="3" t="inlineStr">
        <is>
          <t>Com a IA</t>
        </is>
      </c>
      <c r="B10" s="4" t="inlineStr">
        <is>
          <t>Copie a tabela "O que vence primeiro" e use o prompt "Prazos 04 · Distribuir a semana entre as pessoas" da biblioteca do kit.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2019 ou mais novo, Microsoft 365 ou Google Sheets. No celular abre nos aplicativos; para preencher, use o computador.</t>
        </is>
      </c>
    </row>
    <row r="14" ht="46" customHeight="1">
      <c r="A14" s="3" t="inlineStr">
        <is>
          <t>Google Sheets</t>
        </is>
      </c>
      <c r="B14" s="4" t="inlineStr">
        <is>
          <t>Faça upload no Google Drive e abra com o Google Sheets. Fórmulas, listas, cores e gráficos funcionam.</t>
        </is>
      </c>
    </row>
    <row r="15" ht="46" customHeight="1">
      <c r="A15" s="3" t="inlineStr">
        <is>
          <t>Exemplos</t>
        </is>
      </c>
      <c r="B15" s="4" t="inlineStr">
        <is>
          <t>Ferraz &amp; Lima Advocacia é um escritório fictício. Clientes, processos, nomes e valores são inventados. Apague-os antes de começar. Datas de prazo do exemplo são relativas a hoje.</t>
        </is>
      </c>
    </row>
    <row r="16" ht="46" customHeight="1">
      <c r="A16" s="3" t="inlineStr">
        <is>
          <t>Suporte</t>
        </is>
      </c>
      <c r="B16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24" customWidth="1" min="4" max="4"/>
    <col width="12" customWidth="1" min="5" max="5"/>
    <col width="8" customWidth="1" min="6" max="6"/>
    <col width="14" customWidth="1" min="7" max="7"/>
    <col width="16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5">
        <f>Config!$B$4&amp;" · Painel de prazos · "&amp;TEXT(Config!$B$5,"dd/mm/yyyy")</f>
        <v/>
      </c>
    </row>
    <row r="2">
      <c r="A2" s="6" t="inlineStr">
        <is>
          <t>Nada para digitar aqui: tudo vem de Config e Prazos. A planilha avisa; a conferência do prazo é de quem responde por ele.</t>
        </is>
      </c>
    </row>
    <row r="4">
      <c r="A4" s="7" t="inlineStr">
        <is>
          <t>Atrasados</t>
        </is>
      </c>
      <c r="B4" s="8" t="n"/>
      <c r="C4" s="9" t="inlineStr">
        <is>
          <t>Hoje</t>
        </is>
      </c>
      <c r="D4" s="10" t="n"/>
      <c r="E4" s="11">
        <f>"Próximos "&amp;Config!$B$6&amp;" dias"</f>
        <v/>
      </c>
      <c r="F4" s="12" t="n"/>
      <c r="G4" s="13">
        <f>"De "&amp;(Config!$B$6+1)&amp;" a "&amp;Config!$B$7&amp;" dias"</f>
        <v/>
      </c>
      <c r="H4" s="14" t="n"/>
      <c r="I4" s="13" t="inlineStr">
        <is>
          <t>Abertos no total</t>
        </is>
      </c>
      <c r="J4" s="14" t="n"/>
      <c r="K4" s="15" t="inlineStr">
        <is>
          <t>Feitos</t>
        </is>
      </c>
      <c r="L4" s="16" t="n"/>
    </row>
    <row r="5" ht="30" customHeight="1">
      <c r="A5" s="17">
        <f>COUNTIFS(Prazos!$I$5:$I$404,"Atrasado")</f>
        <v/>
      </c>
      <c r="B5" s="8" t="n"/>
      <c r="C5" s="18">
        <f>COUNTIFS(Prazos!$I$5:$I$404,"Hoje")</f>
        <v/>
      </c>
      <c r="D5" s="10" t="n"/>
      <c r="E5" s="19">
        <f>COUNTIFS(Prazos!$I$5:$I$404,"Até "&amp;Config!$B$6&amp;" dias")</f>
        <v/>
      </c>
      <c r="F5" s="12" t="n"/>
      <c r="G5" s="20">
        <f>COUNTIFS(Prazos!$I$5:$I$404,"Até "&amp;Config!$B$7&amp;" dias")</f>
        <v/>
      </c>
      <c r="H5" s="14" t="n"/>
      <c r="I5" s="20">
        <f>COUNTIF(Prazos!$J$5:$J$404,"&gt;0")+COUNTIFS(Prazos!$I$5:$I$404,"Sem data")</f>
        <v/>
      </c>
      <c r="J5" s="14" t="n"/>
      <c r="K5" s="21">
        <f>COUNTIFS(Prazos!$I$5:$I$404,"Feito")</f>
        <v/>
      </c>
      <c r="L5" s="16" t="n"/>
    </row>
    <row r="7">
      <c r="A7" s="22" t="inlineStr">
        <is>
          <t>O que vence primeiro</t>
        </is>
      </c>
    </row>
    <row r="8">
      <c r="A8" s="23" t="inlineStr">
        <is>
          <t>Ordem: atrasados (mais tempo de atraso primeiro), hoje, depois os mais próximos. Mostra os 15 primeiros; os demais ficam na aba Prazos, que pode ser filtrada por situação.</t>
        </is>
      </c>
    </row>
    <row r="9" ht="26" customHeight="1">
      <c r="A9" s="24" t="inlineStr">
        <is>
          <t>#</t>
        </is>
      </c>
      <c r="B9" s="24" t="inlineStr">
        <is>
          <t>Processo</t>
        </is>
      </c>
      <c r="C9" s="24" t="inlineStr">
        <is>
          <t>Cliente</t>
        </is>
      </c>
      <c r="D9" s="24" t="inlineStr">
        <is>
          <t>Tipo de prazo</t>
        </is>
      </c>
      <c r="E9" s="24" t="inlineStr">
        <is>
          <t>Data</t>
        </is>
      </c>
      <c r="F9" s="24" t="inlineStr">
        <is>
          <t>Dias</t>
        </is>
      </c>
      <c r="G9" s="24" t="inlineStr">
        <is>
          <t>Situação</t>
        </is>
      </c>
      <c r="H9" s="24" t="inlineStr">
        <is>
          <t>Responsável</t>
        </is>
      </c>
    </row>
    <row r="10">
      <c r="A10" s="25" t="n">
        <v>1</v>
      </c>
      <c r="B10" s="26">
        <f>IFERROR(IF(LARGE(Prazos!$J$5:$J$404,1)&gt;0,IF(INDEX(Prazos!$A$5:$A$404,MATCH(LARGE(Prazos!$J$5:$J$404,1),Prazos!$J$5:$J$404,0))="","",INDEX(Prazos!$A$5:$A$404,MATCH(LARGE(Prazos!$J$5:$J$404,1),Prazos!$J$5:$J$404,0))),""),"")</f>
        <v/>
      </c>
      <c r="C10" s="26">
        <f>IFERROR(IF(LARGE(Prazos!$J$5:$J$404,1)&gt;0,IF(INDEX(Prazos!$B$5:$B$404,MATCH(LARGE(Prazos!$J$5:$J$404,1),Prazos!$J$5:$J$404,0))="","",INDEX(Prazos!$B$5:$B$404,MATCH(LARGE(Prazos!$J$5:$J$404,1),Prazos!$J$5:$J$404,0))),""),"")</f>
        <v/>
      </c>
      <c r="D10" s="26">
        <f>IFERROR(IF(LARGE(Prazos!$J$5:$J$404,1)&gt;0,IF(INDEX(Prazos!$C$5:$C$404,MATCH(LARGE(Prazos!$J$5:$J$404,1),Prazos!$J$5:$J$404,0))="","",INDEX(Prazos!$C$5:$C$404,MATCH(LARGE(Prazos!$J$5:$J$404,1),Prazos!$J$5:$J$404,0))),""),"")</f>
        <v/>
      </c>
      <c r="E10" s="27">
        <f>IFERROR(IF(LARGE(Prazos!$J$5:$J$404,1)&gt;0,IF(INDEX(Prazos!$D$5:$D$404,MATCH(LARGE(Prazos!$J$5:$J$404,1),Prazos!$J$5:$J$404,0))="","",INDEX(Prazos!$D$5:$D$404,MATCH(LARGE(Prazos!$J$5:$J$404,1),Prazos!$J$5:$J$404,0))),""),"")</f>
        <v/>
      </c>
      <c r="F10" s="28">
        <f>IFERROR(IF(LARGE(Prazos!$J$5:$J$404,1)&gt;0,IF(INDEX(Prazos!$H$5:$H$404,MATCH(LARGE(Prazos!$J$5:$J$404,1),Prazos!$J$5:$J$404,0))="","",INDEX(Prazos!$H$5:$H$404,MATCH(LARGE(Prazos!$J$5:$J$404,1),Prazos!$J$5:$J$404,0))),""),"")</f>
        <v/>
      </c>
      <c r="G10" s="25">
        <f>IFERROR(IF(LARGE(Prazos!$J$5:$J$404,1)&gt;0,IF(INDEX(Prazos!$I$5:$I$404,MATCH(LARGE(Prazos!$J$5:$J$404,1),Prazos!$J$5:$J$404,0))="","",INDEX(Prazos!$I$5:$I$404,MATCH(LARGE(Prazos!$J$5:$J$404,1),Prazos!$J$5:$J$404,0))),""),"")</f>
        <v/>
      </c>
      <c r="H10" s="25">
        <f>IFERROR(IF(LARGE(Prazos!$J$5:$J$404,1)&gt;0,IF(INDEX(Prazos!$E$5:$E$404,MATCH(LARGE(Prazos!$J$5:$J$404,1),Prazos!$J$5:$J$404,0))="","",INDEX(Prazos!$E$5:$E$404,MATCH(LARGE(Prazos!$J$5:$J$404,1),Prazos!$J$5:$J$404,0))),""),"")</f>
        <v/>
      </c>
    </row>
    <row r="11">
      <c r="A11" s="25" t="n">
        <v>2</v>
      </c>
      <c r="B11" s="26">
        <f>IFERROR(IF(LARGE(Prazos!$J$5:$J$404,2)&gt;0,IF(INDEX(Prazos!$A$5:$A$404,MATCH(LARGE(Prazos!$J$5:$J$404,2),Prazos!$J$5:$J$404,0))="","",INDEX(Prazos!$A$5:$A$404,MATCH(LARGE(Prazos!$J$5:$J$404,2),Prazos!$J$5:$J$404,0))),""),"")</f>
        <v/>
      </c>
      <c r="C11" s="26">
        <f>IFERROR(IF(LARGE(Prazos!$J$5:$J$404,2)&gt;0,IF(INDEX(Prazos!$B$5:$B$404,MATCH(LARGE(Prazos!$J$5:$J$404,2),Prazos!$J$5:$J$404,0))="","",INDEX(Prazos!$B$5:$B$404,MATCH(LARGE(Prazos!$J$5:$J$404,2),Prazos!$J$5:$J$404,0))),""),"")</f>
        <v/>
      </c>
      <c r="D11" s="26">
        <f>IFERROR(IF(LARGE(Prazos!$J$5:$J$404,2)&gt;0,IF(INDEX(Prazos!$C$5:$C$404,MATCH(LARGE(Prazos!$J$5:$J$404,2),Prazos!$J$5:$J$404,0))="","",INDEX(Prazos!$C$5:$C$404,MATCH(LARGE(Prazos!$J$5:$J$404,2),Prazos!$J$5:$J$404,0))),""),"")</f>
        <v/>
      </c>
      <c r="E11" s="27">
        <f>IFERROR(IF(LARGE(Prazos!$J$5:$J$404,2)&gt;0,IF(INDEX(Prazos!$D$5:$D$404,MATCH(LARGE(Prazos!$J$5:$J$404,2),Prazos!$J$5:$J$404,0))="","",INDEX(Prazos!$D$5:$D$404,MATCH(LARGE(Prazos!$J$5:$J$404,2),Prazos!$J$5:$J$404,0))),""),"")</f>
        <v/>
      </c>
      <c r="F11" s="28">
        <f>IFERROR(IF(LARGE(Prazos!$J$5:$J$404,2)&gt;0,IF(INDEX(Prazos!$H$5:$H$404,MATCH(LARGE(Prazos!$J$5:$J$404,2),Prazos!$J$5:$J$404,0))="","",INDEX(Prazos!$H$5:$H$404,MATCH(LARGE(Prazos!$J$5:$J$404,2),Prazos!$J$5:$J$404,0))),""),"")</f>
        <v/>
      </c>
      <c r="G11" s="25">
        <f>IFERROR(IF(LARGE(Prazos!$J$5:$J$404,2)&gt;0,IF(INDEX(Prazos!$I$5:$I$404,MATCH(LARGE(Prazos!$J$5:$J$404,2),Prazos!$J$5:$J$404,0))="","",INDEX(Prazos!$I$5:$I$404,MATCH(LARGE(Prazos!$J$5:$J$404,2),Prazos!$J$5:$J$404,0))),""),"")</f>
        <v/>
      </c>
      <c r="H11" s="25">
        <f>IFERROR(IF(LARGE(Prazos!$J$5:$J$404,2)&gt;0,IF(INDEX(Prazos!$E$5:$E$404,MATCH(LARGE(Prazos!$J$5:$J$404,2),Prazos!$J$5:$J$404,0))="","",INDEX(Prazos!$E$5:$E$404,MATCH(LARGE(Prazos!$J$5:$J$404,2),Prazos!$J$5:$J$404,0))),""),"")</f>
        <v/>
      </c>
    </row>
    <row r="12">
      <c r="A12" s="25" t="n">
        <v>3</v>
      </c>
      <c r="B12" s="26">
        <f>IFERROR(IF(LARGE(Prazos!$J$5:$J$404,3)&gt;0,IF(INDEX(Prazos!$A$5:$A$404,MATCH(LARGE(Prazos!$J$5:$J$404,3),Prazos!$J$5:$J$404,0))="","",INDEX(Prazos!$A$5:$A$404,MATCH(LARGE(Prazos!$J$5:$J$404,3),Prazos!$J$5:$J$404,0))),""),"")</f>
        <v/>
      </c>
      <c r="C12" s="26">
        <f>IFERROR(IF(LARGE(Prazos!$J$5:$J$404,3)&gt;0,IF(INDEX(Prazos!$B$5:$B$404,MATCH(LARGE(Prazos!$J$5:$J$404,3),Prazos!$J$5:$J$404,0))="","",INDEX(Prazos!$B$5:$B$404,MATCH(LARGE(Prazos!$J$5:$J$404,3),Prazos!$J$5:$J$404,0))),""),"")</f>
        <v/>
      </c>
      <c r="D12" s="26">
        <f>IFERROR(IF(LARGE(Prazos!$J$5:$J$404,3)&gt;0,IF(INDEX(Prazos!$C$5:$C$404,MATCH(LARGE(Prazos!$J$5:$J$404,3),Prazos!$J$5:$J$404,0))="","",INDEX(Prazos!$C$5:$C$404,MATCH(LARGE(Prazos!$J$5:$J$404,3),Prazos!$J$5:$J$404,0))),""),"")</f>
        <v/>
      </c>
      <c r="E12" s="27">
        <f>IFERROR(IF(LARGE(Prazos!$J$5:$J$404,3)&gt;0,IF(INDEX(Prazos!$D$5:$D$404,MATCH(LARGE(Prazos!$J$5:$J$404,3),Prazos!$J$5:$J$404,0))="","",INDEX(Prazos!$D$5:$D$404,MATCH(LARGE(Prazos!$J$5:$J$404,3),Prazos!$J$5:$J$404,0))),""),"")</f>
        <v/>
      </c>
      <c r="F12" s="28">
        <f>IFERROR(IF(LARGE(Prazos!$J$5:$J$404,3)&gt;0,IF(INDEX(Prazos!$H$5:$H$404,MATCH(LARGE(Prazos!$J$5:$J$404,3),Prazos!$J$5:$J$404,0))="","",INDEX(Prazos!$H$5:$H$404,MATCH(LARGE(Prazos!$J$5:$J$404,3),Prazos!$J$5:$J$404,0))),""),"")</f>
        <v/>
      </c>
      <c r="G12" s="25">
        <f>IFERROR(IF(LARGE(Prazos!$J$5:$J$404,3)&gt;0,IF(INDEX(Prazos!$I$5:$I$404,MATCH(LARGE(Prazos!$J$5:$J$404,3),Prazos!$J$5:$J$404,0))="","",INDEX(Prazos!$I$5:$I$404,MATCH(LARGE(Prazos!$J$5:$J$404,3),Prazos!$J$5:$J$404,0))),""),"")</f>
        <v/>
      </c>
      <c r="H12" s="25">
        <f>IFERROR(IF(LARGE(Prazos!$J$5:$J$404,3)&gt;0,IF(INDEX(Prazos!$E$5:$E$404,MATCH(LARGE(Prazos!$J$5:$J$404,3),Prazos!$J$5:$J$404,0))="","",INDEX(Prazos!$E$5:$E$404,MATCH(LARGE(Prazos!$J$5:$J$404,3),Prazos!$J$5:$J$404,0))),""),"")</f>
        <v/>
      </c>
    </row>
    <row r="13">
      <c r="A13" s="25" t="n">
        <v>4</v>
      </c>
      <c r="B13" s="26">
        <f>IFERROR(IF(LARGE(Prazos!$J$5:$J$404,4)&gt;0,IF(INDEX(Prazos!$A$5:$A$404,MATCH(LARGE(Prazos!$J$5:$J$404,4),Prazos!$J$5:$J$404,0))="","",INDEX(Prazos!$A$5:$A$404,MATCH(LARGE(Prazos!$J$5:$J$404,4),Prazos!$J$5:$J$404,0))),""),"")</f>
        <v/>
      </c>
      <c r="C13" s="26">
        <f>IFERROR(IF(LARGE(Prazos!$J$5:$J$404,4)&gt;0,IF(INDEX(Prazos!$B$5:$B$404,MATCH(LARGE(Prazos!$J$5:$J$404,4),Prazos!$J$5:$J$404,0))="","",INDEX(Prazos!$B$5:$B$404,MATCH(LARGE(Prazos!$J$5:$J$404,4),Prazos!$J$5:$J$404,0))),""),"")</f>
        <v/>
      </c>
      <c r="D13" s="26">
        <f>IFERROR(IF(LARGE(Prazos!$J$5:$J$404,4)&gt;0,IF(INDEX(Prazos!$C$5:$C$404,MATCH(LARGE(Prazos!$J$5:$J$404,4),Prazos!$J$5:$J$404,0))="","",INDEX(Prazos!$C$5:$C$404,MATCH(LARGE(Prazos!$J$5:$J$404,4),Prazos!$J$5:$J$404,0))),""),"")</f>
        <v/>
      </c>
      <c r="E13" s="27">
        <f>IFERROR(IF(LARGE(Prazos!$J$5:$J$404,4)&gt;0,IF(INDEX(Prazos!$D$5:$D$404,MATCH(LARGE(Prazos!$J$5:$J$404,4),Prazos!$J$5:$J$404,0))="","",INDEX(Prazos!$D$5:$D$404,MATCH(LARGE(Prazos!$J$5:$J$404,4),Prazos!$J$5:$J$404,0))),""),"")</f>
        <v/>
      </c>
      <c r="F13" s="28">
        <f>IFERROR(IF(LARGE(Prazos!$J$5:$J$404,4)&gt;0,IF(INDEX(Prazos!$H$5:$H$404,MATCH(LARGE(Prazos!$J$5:$J$404,4),Prazos!$J$5:$J$404,0))="","",INDEX(Prazos!$H$5:$H$404,MATCH(LARGE(Prazos!$J$5:$J$404,4),Prazos!$J$5:$J$404,0))),""),"")</f>
        <v/>
      </c>
      <c r="G13" s="25">
        <f>IFERROR(IF(LARGE(Prazos!$J$5:$J$404,4)&gt;0,IF(INDEX(Prazos!$I$5:$I$404,MATCH(LARGE(Prazos!$J$5:$J$404,4),Prazos!$J$5:$J$404,0))="","",INDEX(Prazos!$I$5:$I$404,MATCH(LARGE(Prazos!$J$5:$J$404,4),Prazos!$J$5:$J$404,0))),""),"")</f>
        <v/>
      </c>
      <c r="H13" s="25">
        <f>IFERROR(IF(LARGE(Prazos!$J$5:$J$404,4)&gt;0,IF(INDEX(Prazos!$E$5:$E$404,MATCH(LARGE(Prazos!$J$5:$J$404,4),Prazos!$J$5:$J$404,0))="","",INDEX(Prazos!$E$5:$E$404,MATCH(LARGE(Prazos!$J$5:$J$404,4),Prazos!$J$5:$J$404,0))),""),"")</f>
        <v/>
      </c>
    </row>
    <row r="14">
      <c r="A14" s="25" t="n">
        <v>5</v>
      </c>
      <c r="B14" s="26">
        <f>IFERROR(IF(LARGE(Prazos!$J$5:$J$404,5)&gt;0,IF(INDEX(Prazos!$A$5:$A$404,MATCH(LARGE(Prazos!$J$5:$J$404,5),Prazos!$J$5:$J$404,0))="","",INDEX(Prazos!$A$5:$A$404,MATCH(LARGE(Prazos!$J$5:$J$404,5),Prazos!$J$5:$J$404,0))),""),"")</f>
        <v/>
      </c>
      <c r="C14" s="26">
        <f>IFERROR(IF(LARGE(Prazos!$J$5:$J$404,5)&gt;0,IF(INDEX(Prazos!$B$5:$B$404,MATCH(LARGE(Prazos!$J$5:$J$404,5),Prazos!$J$5:$J$404,0))="","",INDEX(Prazos!$B$5:$B$404,MATCH(LARGE(Prazos!$J$5:$J$404,5),Prazos!$J$5:$J$404,0))),""),"")</f>
        <v/>
      </c>
      <c r="D14" s="26">
        <f>IFERROR(IF(LARGE(Prazos!$J$5:$J$404,5)&gt;0,IF(INDEX(Prazos!$C$5:$C$404,MATCH(LARGE(Prazos!$J$5:$J$404,5),Prazos!$J$5:$J$404,0))="","",INDEX(Prazos!$C$5:$C$404,MATCH(LARGE(Prazos!$J$5:$J$404,5),Prazos!$J$5:$J$404,0))),""),"")</f>
        <v/>
      </c>
      <c r="E14" s="27">
        <f>IFERROR(IF(LARGE(Prazos!$J$5:$J$404,5)&gt;0,IF(INDEX(Prazos!$D$5:$D$404,MATCH(LARGE(Prazos!$J$5:$J$404,5),Prazos!$J$5:$J$404,0))="","",INDEX(Prazos!$D$5:$D$404,MATCH(LARGE(Prazos!$J$5:$J$404,5),Prazos!$J$5:$J$404,0))),""),"")</f>
        <v/>
      </c>
      <c r="F14" s="28">
        <f>IFERROR(IF(LARGE(Prazos!$J$5:$J$404,5)&gt;0,IF(INDEX(Prazos!$H$5:$H$404,MATCH(LARGE(Prazos!$J$5:$J$404,5),Prazos!$J$5:$J$404,0))="","",INDEX(Prazos!$H$5:$H$404,MATCH(LARGE(Prazos!$J$5:$J$404,5),Prazos!$J$5:$J$404,0))),""),"")</f>
        <v/>
      </c>
      <c r="G14" s="25">
        <f>IFERROR(IF(LARGE(Prazos!$J$5:$J$404,5)&gt;0,IF(INDEX(Prazos!$I$5:$I$404,MATCH(LARGE(Prazos!$J$5:$J$404,5),Prazos!$J$5:$J$404,0))="","",INDEX(Prazos!$I$5:$I$404,MATCH(LARGE(Prazos!$J$5:$J$404,5),Prazos!$J$5:$J$404,0))),""),"")</f>
        <v/>
      </c>
      <c r="H14" s="25">
        <f>IFERROR(IF(LARGE(Prazos!$J$5:$J$404,5)&gt;0,IF(INDEX(Prazos!$E$5:$E$404,MATCH(LARGE(Prazos!$J$5:$J$404,5),Prazos!$J$5:$J$404,0))="","",INDEX(Prazos!$E$5:$E$404,MATCH(LARGE(Prazos!$J$5:$J$404,5),Prazos!$J$5:$J$404,0))),""),"")</f>
        <v/>
      </c>
    </row>
    <row r="15">
      <c r="A15" s="25" t="n">
        <v>6</v>
      </c>
      <c r="B15" s="26">
        <f>IFERROR(IF(LARGE(Prazos!$J$5:$J$404,6)&gt;0,IF(INDEX(Prazos!$A$5:$A$404,MATCH(LARGE(Prazos!$J$5:$J$404,6),Prazos!$J$5:$J$404,0))="","",INDEX(Prazos!$A$5:$A$404,MATCH(LARGE(Prazos!$J$5:$J$404,6),Prazos!$J$5:$J$404,0))),""),"")</f>
        <v/>
      </c>
      <c r="C15" s="26">
        <f>IFERROR(IF(LARGE(Prazos!$J$5:$J$404,6)&gt;0,IF(INDEX(Prazos!$B$5:$B$404,MATCH(LARGE(Prazos!$J$5:$J$404,6),Prazos!$J$5:$J$404,0))="","",INDEX(Prazos!$B$5:$B$404,MATCH(LARGE(Prazos!$J$5:$J$404,6),Prazos!$J$5:$J$404,0))),""),"")</f>
        <v/>
      </c>
      <c r="D15" s="26">
        <f>IFERROR(IF(LARGE(Prazos!$J$5:$J$404,6)&gt;0,IF(INDEX(Prazos!$C$5:$C$404,MATCH(LARGE(Prazos!$J$5:$J$404,6),Prazos!$J$5:$J$404,0))="","",INDEX(Prazos!$C$5:$C$404,MATCH(LARGE(Prazos!$J$5:$J$404,6),Prazos!$J$5:$J$404,0))),""),"")</f>
        <v/>
      </c>
      <c r="E15" s="27">
        <f>IFERROR(IF(LARGE(Prazos!$J$5:$J$404,6)&gt;0,IF(INDEX(Prazos!$D$5:$D$404,MATCH(LARGE(Prazos!$J$5:$J$404,6),Prazos!$J$5:$J$404,0))="","",INDEX(Prazos!$D$5:$D$404,MATCH(LARGE(Prazos!$J$5:$J$404,6),Prazos!$J$5:$J$404,0))),""),"")</f>
        <v/>
      </c>
      <c r="F15" s="28">
        <f>IFERROR(IF(LARGE(Prazos!$J$5:$J$404,6)&gt;0,IF(INDEX(Prazos!$H$5:$H$404,MATCH(LARGE(Prazos!$J$5:$J$404,6),Prazos!$J$5:$J$404,0))="","",INDEX(Prazos!$H$5:$H$404,MATCH(LARGE(Prazos!$J$5:$J$404,6),Prazos!$J$5:$J$404,0))),""),"")</f>
        <v/>
      </c>
      <c r="G15" s="25">
        <f>IFERROR(IF(LARGE(Prazos!$J$5:$J$404,6)&gt;0,IF(INDEX(Prazos!$I$5:$I$404,MATCH(LARGE(Prazos!$J$5:$J$404,6),Prazos!$J$5:$J$404,0))="","",INDEX(Prazos!$I$5:$I$404,MATCH(LARGE(Prazos!$J$5:$J$404,6),Prazos!$J$5:$J$404,0))),""),"")</f>
        <v/>
      </c>
      <c r="H15" s="25">
        <f>IFERROR(IF(LARGE(Prazos!$J$5:$J$404,6)&gt;0,IF(INDEX(Prazos!$E$5:$E$404,MATCH(LARGE(Prazos!$J$5:$J$404,6),Prazos!$J$5:$J$404,0))="","",INDEX(Prazos!$E$5:$E$404,MATCH(LARGE(Prazos!$J$5:$J$404,6),Prazos!$J$5:$J$404,0))),""),"")</f>
        <v/>
      </c>
    </row>
    <row r="16">
      <c r="A16" s="25" t="n">
        <v>7</v>
      </c>
      <c r="B16" s="26">
        <f>IFERROR(IF(LARGE(Prazos!$J$5:$J$404,7)&gt;0,IF(INDEX(Prazos!$A$5:$A$404,MATCH(LARGE(Prazos!$J$5:$J$404,7),Prazos!$J$5:$J$404,0))="","",INDEX(Prazos!$A$5:$A$404,MATCH(LARGE(Prazos!$J$5:$J$404,7),Prazos!$J$5:$J$404,0))),""),"")</f>
        <v/>
      </c>
      <c r="C16" s="26">
        <f>IFERROR(IF(LARGE(Prazos!$J$5:$J$404,7)&gt;0,IF(INDEX(Prazos!$B$5:$B$404,MATCH(LARGE(Prazos!$J$5:$J$404,7),Prazos!$J$5:$J$404,0))="","",INDEX(Prazos!$B$5:$B$404,MATCH(LARGE(Prazos!$J$5:$J$404,7),Prazos!$J$5:$J$404,0))),""),"")</f>
        <v/>
      </c>
      <c r="D16" s="26">
        <f>IFERROR(IF(LARGE(Prazos!$J$5:$J$404,7)&gt;0,IF(INDEX(Prazos!$C$5:$C$404,MATCH(LARGE(Prazos!$J$5:$J$404,7),Prazos!$J$5:$J$404,0))="","",INDEX(Prazos!$C$5:$C$404,MATCH(LARGE(Prazos!$J$5:$J$404,7),Prazos!$J$5:$J$404,0))),""),"")</f>
        <v/>
      </c>
      <c r="E16" s="27">
        <f>IFERROR(IF(LARGE(Prazos!$J$5:$J$404,7)&gt;0,IF(INDEX(Prazos!$D$5:$D$404,MATCH(LARGE(Prazos!$J$5:$J$404,7),Prazos!$J$5:$J$404,0))="","",INDEX(Prazos!$D$5:$D$404,MATCH(LARGE(Prazos!$J$5:$J$404,7),Prazos!$J$5:$J$404,0))),""),"")</f>
        <v/>
      </c>
      <c r="F16" s="28">
        <f>IFERROR(IF(LARGE(Prazos!$J$5:$J$404,7)&gt;0,IF(INDEX(Prazos!$H$5:$H$404,MATCH(LARGE(Prazos!$J$5:$J$404,7),Prazos!$J$5:$J$404,0))="","",INDEX(Prazos!$H$5:$H$404,MATCH(LARGE(Prazos!$J$5:$J$404,7),Prazos!$J$5:$J$404,0))),""),"")</f>
        <v/>
      </c>
      <c r="G16" s="25">
        <f>IFERROR(IF(LARGE(Prazos!$J$5:$J$404,7)&gt;0,IF(INDEX(Prazos!$I$5:$I$404,MATCH(LARGE(Prazos!$J$5:$J$404,7),Prazos!$J$5:$J$404,0))="","",INDEX(Prazos!$I$5:$I$404,MATCH(LARGE(Prazos!$J$5:$J$404,7),Prazos!$J$5:$J$404,0))),""),"")</f>
        <v/>
      </c>
      <c r="H16" s="25">
        <f>IFERROR(IF(LARGE(Prazos!$J$5:$J$404,7)&gt;0,IF(INDEX(Prazos!$E$5:$E$404,MATCH(LARGE(Prazos!$J$5:$J$404,7),Prazos!$J$5:$J$404,0))="","",INDEX(Prazos!$E$5:$E$404,MATCH(LARGE(Prazos!$J$5:$J$404,7),Prazos!$J$5:$J$404,0))),""),"")</f>
        <v/>
      </c>
    </row>
    <row r="17">
      <c r="A17" s="25" t="n">
        <v>8</v>
      </c>
      <c r="B17" s="26">
        <f>IFERROR(IF(LARGE(Prazos!$J$5:$J$404,8)&gt;0,IF(INDEX(Prazos!$A$5:$A$404,MATCH(LARGE(Prazos!$J$5:$J$404,8),Prazos!$J$5:$J$404,0))="","",INDEX(Prazos!$A$5:$A$404,MATCH(LARGE(Prazos!$J$5:$J$404,8),Prazos!$J$5:$J$404,0))),""),"")</f>
        <v/>
      </c>
      <c r="C17" s="26">
        <f>IFERROR(IF(LARGE(Prazos!$J$5:$J$404,8)&gt;0,IF(INDEX(Prazos!$B$5:$B$404,MATCH(LARGE(Prazos!$J$5:$J$404,8),Prazos!$J$5:$J$404,0))="","",INDEX(Prazos!$B$5:$B$404,MATCH(LARGE(Prazos!$J$5:$J$404,8),Prazos!$J$5:$J$404,0))),""),"")</f>
        <v/>
      </c>
      <c r="D17" s="26">
        <f>IFERROR(IF(LARGE(Prazos!$J$5:$J$404,8)&gt;0,IF(INDEX(Prazos!$C$5:$C$404,MATCH(LARGE(Prazos!$J$5:$J$404,8),Prazos!$J$5:$J$404,0))="","",INDEX(Prazos!$C$5:$C$404,MATCH(LARGE(Prazos!$J$5:$J$404,8),Prazos!$J$5:$J$404,0))),""),"")</f>
        <v/>
      </c>
      <c r="E17" s="27">
        <f>IFERROR(IF(LARGE(Prazos!$J$5:$J$404,8)&gt;0,IF(INDEX(Prazos!$D$5:$D$404,MATCH(LARGE(Prazos!$J$5:$J$404,8),Prazos!$J$5:$J$404,0))="","",INDEX(Prazos!$D$5:$D$404,MATCH(LARGE(Prazos!$J$5:$J$404,8),Prazos!$J$5:$J$404,0))),""),"")</f>
        <v/>
      </c>
      <c r="F17" s="28">
        <f>IFERROR(IF(LARGE(Prazos!$J$5:$J$404,8)&gt;0,IF(INDEX(Prazos!$H$5:$H$404,MATCH(LARGE(Prazos!$J$5:$J$404,8),Prazos!$J$5:$J$404,0))="","",INDEX(Prazos!$H$5:$H$404,MATCH(LARGE(Prazos!$J$5:$J$404,8),Prazos!$J$5:$J$404,0))),""),"")</f>
        <v/>
      </c>
      <c r="G17" s="25">
        <f>IFERROR(IF(LARGE(Prazos!$J$5:$J$404,8)&gt;0,IF(INDEX(Prazos!$I$5:$I$404,MATCH(LARGE(Prazos!$J$5:$J$404,8),Prazos!$J$5:$J$404,0))="","",INDEX(Prazos!$I$5:$I$404,MATCH(LARGE(Prazos!$J$5:$J$404,8),Prazos!$J$5:$J$404,0))),""),"")</f>
        <v/>
      </c>
      <c r="H17" s="25">
        <f>IFERROR(IF(LARGE(Prazos!$J$5:$J$404,8)&gt;0,IF(INDEX(Prazos!$E$5:$E$404,MATCH(LARGE(Prazos!$J$5:$J$404,8),Prazos!$J$5:$J$404,0))="","",INDEX(Prazos!$E$5:$E$404,MATCH(LARGE(Prazos!$J$5:$J$404,8),Prazos!$J$5:$J$404,0))),""),"")</f>
        <v/>
      </c>
    </row>
    <row r="18">
      <c r="A18" s="25" t="n">
        <v>9</v>
      </c>
      <c r="B18" s="26">
        <f>IFERROR(IF(LARGE(Prazos!$J$5:$J$404,9)&gt;0,IF(INDEX(Prazos!$A$5:$A$404,MATCH(LARGE(Prazos!$J$5:$J$404,9),Prazos!$J$5:$J$404,0))="","",INDEX(Prazos!$A$5:$A$404,MATCH(LARGE(Prazos!$J$5:$J$404,9),Prazos!$J$5:$J$404,0))),""),"")</f>
        <v/>
      </c>
      <c r="C18" s="26">
        <f>IFERROR(IF(LARGE(Prazos!$J$5:$J$404,9)&gt;0,IF(INDEX(Prazos!$B$5:$B$404,MATCH(LARGE(Prazos!$J$5:$J$404,9),Prazos!$J$5:$J$404,0))="","",INDEX(Prazos!$B$5:$B$404,MATCH(LARGE(Prazos!$J$5:$J$404,9),Prazos!$J$5:$J$404,0))),""),"")</f>
        <v/>
      </c>
      <c r="D18" s="26">
        <f>IFERROR(IF(LARGE(Prazos!$J$5:$J$404,9)&gt;0,IF(INDEX(Prazos!$C$5:$C$404,MATCH(LARGE(Prazos!$J$5:$J$404,9),Prazos!$J$5:$J$404,0))="","",INDEX(Prazos!$C$5:$C$404,MATCH(LARGE(Prazos!$J$5:$J$404,9),Prazos!$J$5:$J$404,0))),""),"")</f>
        <v/>
      </c>
      <c r="E18" s="27">
        <f>IFERROR(IF(LARGE(Prazos!$J$5:$J$404,9)&gt;0,IF(INDEX(Prazos!$D$5:$D$404,MATCH(LARGE(Prazos!$J$5:$J$404,9),Prazos!$J$5:$J$404,0))="","",INDEX(Prazos!$D$5:$D$404,MATCH(LARGE(Prazos!$J$5:$J$404,9),Prazos!$J$5:$J$404,0))),""),"")</f>
        <v/>
      </c>
      <c r="F18" s="28">
        <f>IFERROR(IF(LARGE(Prazos!$J$5:$J$404,9)&gt;0,IF(INDEX(Prazos!$H$5:$H$404,MATCH(LARGE(Prazos!$J$5:$J$404,9),Prazos!$J$5:$J$404,0))="","",INDEX(Prazos!$H$5:$H$404,MATCH(LARGE(Prazos!$J$5:$J$404,9),Prazos!$J$5:$J$404,0))),""),"")</f>
        <v/>
      </c>
      <c r="G18" s="25">
        <f>IFERROR(IF(LARGE(Prazos!$J$5:$J$404,9)&gt;0,IF(INDEX(Prazos!$I$5:$I$404,MATCH(LARGE(Prazos!$J$5:$J$404,9),Prazos!$J$5:$J$404,0))="","",INDEX(Prazos!$I$5:$I$404,MATCH(LARGE(Prazos!$J$5:$J$404,9),Prazos!$J$5:$J$404,0))),""),"")</f>
        <v/>
      </c>
      <c r="H18" s="25">
        <f>IFERROR(IF(LARGE(Prazos!$J$5:$J$404,9)&gt;0,IF(INDEX(Prazos!$E$5:$E$404,MATCH(LARGE(Prazos!$J$5:$J$404,9),Prazos!$J$5:$J$404,0))="","",INDEX(Prazos!$E$5:$E$404,MATCH(LARGE(Prazos!$J$5:$J$404,9),Prazos!$J$5:$J$404,0))),""),"")</f>
        <v/>
      </c>
    </row>
    <row r="19">
      <c r="A19" s="25" t="n">
        <v>10</v>
      </c>
      <c r="B19" s="26">
        <f>IFERROR(IF(LARGE(Prazos!$J$5:$J$404,10)&gt;0,IF(INDEX(Prazos!$A$5:$A$404,MATCH(LARGE(Prazos!$J$5:$J$404,10),Prazos!$J$5:$J$404,0))="","",INDEX(Prazos!$A$5:$A$404,MATCH(LARGE(Prazos!$J$5:$J$404,10),Prazos!$J$5:$J$404,0))),""),"")</f>
        <v/>
      </c>
      <c r="C19" s="26">
        <f>IFERROR(IF(LARGE(Prazos!$J$5:$J$404,10)&gt;0,IF(INDEX(Prazos!$B$5:$B$404,MATCH(LARGE(Prazos!$J$5:$J$404,10),Prazos!$J$5:$J$404,0))="","",INDEX(Prazos!$B$5:$B$404,MATCH(LARGE(Prazos!$J$5:$J$404,10),Prazos!$J$5:$J$404,0))),""),"")</f>
        <v/>
      </c>
      <c r="D19" s="26">
        <f>IFERROR(IF(LARGE(Prazos!$J$5:$J$404,10)&gt;0,IF(INDEX(Prazos!$C$5:$C$404,MATCH(LARGE(Prazos!$J$5:$J$404,10),Prazos!$J$5:$J$404,0))="","",INDEX(Prazos!$C$5:$C$404,MATCH(LARGE(Prazos!$J$5:$J$404,10),Prazos!$J$5:$J$404,0))),""),"")</f>
        <v/>
      </c>
      <c r="E19" s="27">
        <f>IFERROR(IF(LARGE(Prazos!$J$5:$J$404,10)&gt;0,IF(INDEX(Prazos!$D$5:$D$404,MATCH(LARGE(Prazos!$J$5:$J$404,10),Prazos!$J$5:$J$404,0))="","",INDEX(Prazos!$D$5:$D$404,MATCH(LARGE(Prazos!$J$5:$J$404,10),Prazos!$J$5:$J$404,0))),""),"")</f>
        <v/>
      </c>
      <c r="F19" s="28">
        <f>IFERROR(IF(LARGE(Prazos!$J$5:$J$404,10)&gt;0,IF(INDEX(Prazos!$H$5:$H$404,MATCH(LARGE(Prazos!$J$5:$J$404,10),Prazos!$J$5:$J$404,0))="","",INDEX(Prazos!$H$5:$H$404,MATCH(LARGE(Prazos!$J$5:$J$404,10),Prazos!$J$5:$J$404,0))),""),"")</f>
        <v/>
      </c>
      <c r="G19" s="25">
        <f>IFERROR(IF(LARGE(Prazos!$J$5:$J$404,10)&gt;0,IF(INDEX(Prazos!$I$5:$I$404,MATCH(LARGE(Prazos!$J$5:$J$404,10),Prazos!$J$5:$J$404,0))="","",INDEX(Prazos!$I$5:$I$404,MATCH(LARGE(Prazos!$J$5:$J$404,10),Prazos!$J$5:$J$404,0))),""),"")</f>
        <v/>
      </c>
      <c r="H19" s="25">
        <f>IFERROR(IF(LARGE(Prazos!$J$5:$J$404,10)&gt;0,IF(INDEX(Prazos!$E$5:$E$404,MATCH(LARGE(Prazos!$J$5:$J$404,10),Prazos!$J$5:$J$404,0))="","",INDEX(Prazos!$E$5:$E$404,MATCH(LARGE(Prazos!$J$5:$J$404,10),Prazos!$J$5:$J$404,0))),""),"")</f>
        <v/>
      </c>
    </row>
    <row r="20">
      <c r="A20" s="25" t="n">
        <v>11</v>
      </c>
      <c r="B20" s="26">
        <f>IFERROR(IF(LARGE(Prazos!$J$5:$J$404,11)&gt;0,IF(INDEX(Prazos!$A$5:$A$404,MATCH(LARGE(Prazos!$J$5:$J$404,11),Prazos!$J$5:$J$404,0))="","",INDEX(Prazos!$A$5:$A$404,MATCH(LARGE(Prazos!$J$5:$J$404,11),Prazos!$J$5:$J$404,0))),""),"")</f>
        <v/>
      </c>
      <c r="C20" s="26">
        <f>IFERROR(IF(LARGE(Prazos!$J$5:$J$404,11)&gt;0,IF(INDEX(Prazos!$B$5:$B$404,MATCH(LARGE(Prazos!$J$5:$J$404,11),Prazos!$J$5:$J$404,0))="","",INDEX(Prazos!$B$5:$B$404,MATCH(LARGE(Prazos!$J$5:$J$404,11),Prazos!$J$5:$J$404,0))),""),"")</f>
        <v/>
      </c>
      <c r="D20" s="26">
        <f>IFERROR(IF(LARGE(Prazos!$J$5:$J$404,11)&gt;0,IF(INDEX(Prazos!$C$5:$C$404,MATCH(LARGE(Prazos!$J$5:$J$404,11),Prazos!$J$5:$J$404,0))="","",INDEX(Prazos!$C$5:$C$404,MATCH(LARGE(Prazos!$J$5:$J$404,11),Prazos!$J$5:$J$404,0))),""),"")</f>
        <v/>
      </c>
      <c r="E20" s="27">
        <f>IFERROR(IF(LARGE(Prazos!$J$5:$J$404,11)&gt;0,IF(INDEX(Prazos!$D$5:$D$404,MATCH(LARGE(Prazos!$J$5:$J$404,11),Prazos!$J$5:$J$404,0))="","",INDEX(Prazos!$D$5:$D$404,MATCH(LARGE(Prazos!$J$5:$J$404,11),Prazos!$J$5:$J$404,0))),""),"")</f>
        <v/>
      </c>
      <c r="F20" s="28">
        <f>IFERROR(IF(LARGE(Prazos!$J$5:$J$404,11)&gt;0,IF(INDEX(Prazos!$H$5:$H$404,MATCH(LARGE(Prazos!$J$5:$J$404,11),Prazos!$J$5:$J$404,0))="","",INDEX(Prazos!$H$5:$H$404,MATCH(LARGE(Prazos!$J$5:$J$404,11),Prazos!$J$5:$J$404,0))),""),"")</f>
        <v/>
      </c>
      <c r="G20" s="25">
        <f>IFERROR(IF(LARGE(Prazos!$J$5:$J$404,11)&gt;0,IF(INDEX(Prazos!$I$5:$I$404,MATCH(LARGE(Prazos!$J$5:$J$404,11),Prazos!$J$5:$J$404,0))="","",INDEX(Prazos!$I$5:$I$404,MATCH(LARGE(Prazos!$J$5:$J$404,11),Prazos!$J$5:$J$404,0))),""),"")</f>
        <v/>
      </c>
      <c r="H20" s="25">
        <f>IFERROR(IF(LARGE(Prazos!$J$5:$J$404,11)&gt;0,IF(INDEX(Prazos!$E$5:$E$404,MATCH(LARGE(Prazos!$J$5:$J$404,11),Prazos!$J$5:$J$404,0))="","",INDEX(Prazos!$E$5:$E$404,MATCH(LARGE(Prazos!$J$5:$J$404,11),Prazos!$J$5:$J$404,0))),""),"")</f>
        <v/>
      </c>
    </row>
    <row r="21">
      <c r="A21" s="25" t="n">
        <v>12</v>
      </c>
      <c r="B21" s="26">
        <f>IFERROR(IF(LARGE(Prazos!$J$5:$J$404,12)&gt;0,IF(INDEX(Prazos!$A$5:$A$404,MATCH(LARGE(Prazos!$J$5:$J$404,12),Prazos!$J$5:$J$404,0))="","",INDEX(Prazos!$A$5:$A$404,MATCH(LARGE(Prazos!$J$5:$J$404,12),Prazos!$J$5:$J$404,0))),""),"")</f>
        <v/>
      </c>
      <c r="C21" s="26">
        <f>IFERROR(IF(LARGE(Prazos!$J$5:$J$404,12)&gt;0,IF(INDEX(Prazos!$B$5:$B$404,MATCH(LARGE(Prazos!$J$5:$J$404,12),Prazos!$J$5:$J$404,0))="","",INDEX(Prazos!$B$5:$B$404,MATCH(LARGE(Prazos!$J$5:$J$404,12),Prazos!$J$5:$J$404,0))),""),"")</f>
        <v/>
      </c>
      <c r="D21" s="26">
        <f>IFERROR(IF(LARGE(Prazos!$J$5:$J$404,12)&gt;0,IF(INDEX(Prazos!$C$5:$C$404,MATCH(LARGE(Prazos!$J$5:$J$404,12),Prazos!$J$5:$J$404,0))="","",INDEX(Prazos!$C$5:$C$404,MATCH(LARGE(Prazos!$J$5:$J$404,12),Prazos!$J$5:$J$404,0))),""),"")</f>
        <v/>
      </c>
      <c r="E21" s="27">
        <f>IFERROR(IF(LARGE(Prazos!$J$5:$J$404,12)&gt;0,IF(INDEX(Prazos!$D$5:$D$404,MATCH(LARGE(Prazos!$J$5:$J$404,12),Prazos!$J$5:$J$404,0))="","",INDEX(Prazos!$D$5:$D$404,MATCH(LARGE(Prazos!$J$5:$J$404,12),Prazos!$J$5:$J$404,0))),""),"")</f>
        <v/>
      </c>
      <c r="F21" s="28">
        <f>IFERROR(IF(LARGE(Prazos!$J$5:$J$404,12)&gt;0,IF(INDEX(Prazos!$H$5:$H$404,MATCH(LARGE(Prazos!$J$5:$J$404,12),Prazos!$J$5:$J$404,0))="","",INDEX(Prazos!$H$5:$H$404,MATCH(LARGE(Prazos!$J$5:$J$404,12),Prazos!$J$5:$J$404,0))),""),"")</f>
        <v/>
      </c>
      <c r="G21" s="25">
        <f>IFERROR(IF(LARGE(Prazos!$J$5:$J$404,12)&gt;0,IF(INDEX(Prazos!$I$5:$I$404,MATCH(LARGE(Prazos!$J$5:$J$404,12),Prazos!$J$5:$J$404,0))="","",INDEX(Prazos!$I$5:$I$404,MATCH(LARGE(Prazos!$J$5:$J$404,12),Prazos!$J$5:$J$404,0))),""),"")</f>
        <v/>
      </c>
      <c r="H21" s="25">
        <f>IFERROR(IF(LARGE(Prazos!$J$5:$J$404,12)&gt;0,IF(INDEX(Prazos!$E$5:$E$404,MATCH(LARGE(Prazos!$J$5:$J$404,12),Prazos!$J$5:$J$404,0))="","",INDEX(Prazos!$E$5:$E$404,MATCH(LARGE(Prazos!$J$5:$J$404,12),Prazos!$J$5:$J$404,0))),""),"")</f>
        <v/>
      </c>
    </row>
    <row r="22">
      <c r="A22" s="25" t="n">
        <v>13</v>
      </c>
      <c r="B22" s="26">
        <f>IFERROR(IF(LARGE(Prazos!$J$5:$J$404,13)&gt;0,IF(INDEX(Prazos!$A$5:$A$404,MATCH(LARGE(Prazos!$J$5:$J$404,13),Prazos!$J$5:$J$404,0))="","",INDEX(Prazos!$A$5:$A$404,MATCH(LARGE(Prazos!$J$5:$J$404,13),Prazos!$J$5:$J$404,0))),""),"")</f>
        <v/>
      </c>
      <c r="C22" s="26">
        <f>IFERROR(IF(LARGE(Prazos!$J$5:$J$404,13)&gt;0,IF(INDEX(Prazos!$B$5:$B$404,MATCH(LARGE(Prazos!$J$5:$J$404,13),Prazos!$J$5:$J$404,0))="","",INDEX(Prazos!$B$5:$B$404,MATCH(LARGE(Prazos!$J$5:$J$404,13),Prazos!$J$5:$J$404,0))),""),"")</f>
        <v/>
      </c>
      <c r="D22" s="26">
        <f>IFERROR(IF(LARGE(Prazos!$J$5:$J$404,13)&gt;0,IF(INDEX(Prazos!$C$5:$C$404,MATCH(LARGE(Prazos!$J$5:$J$404,13),Prazos!$J$5:$J$404,0))="","",INDEX(Prazos!$C$5:$C$404,MATCH(LARGE(Prazos!$J$5:$J$404,13),Prazos!$J$5:$J$404,0))),""),"")</f>
        <v/>
      </c>
      <c r="E22" s="27">
        <f>IFERROR(IF(LARGE(Prazos!$J$5:$J$404,13)&gt;0,IF(INDEX(Prazos!$D$5:$D$404,MATCH(LARGE(Prazos!$J$5:$J$404,13),Prazos!$J$5:$J$404,0))="","",INDEX(Prazos!$D$5:$D$404,MATCH(LARGE(Prazos!$J$5:$J$404,13),Prazos!$J$5:$J$404,0))),""),"")</f>
        <v/>
      </c>
      <c r="F22" s="28">
        <f>IFERROR(IF(LARGE(Prazos!$J$5:$J$404,13)&gt;0,IF(INDEX(Prazos!$H$5:$H$404,MATCH(LARGE(Prazos!$J$5:$J$404,13),Prazos!$J$5:$J$404,0))="","",INDEX(Prazos!$H$5:$H$404,MATCH(LARGE(Prazos!$J$5:$J$404,13),Prazos!$J$5:$J$404,0))),""),"")</f>
        <v/>
      </c>
      <c r="G22" s="25">
        <f>IFERROR(IF(LARGE(Prazos!$J$5:$J$404,13)&gt;0,IF(INDEX(Prazos!$I$5:$I$404,MATCH(LARGE(Prazos!$J$5:$J$404,13),Prazos!$J$5:$J$404,0))="","",INDEX(Prazos!$I$5:$I$404,MATCH(LARGE(Prazos!$J$5:$J$404,13),Prazos!$J$5:$J$404,0))),""),"")</f>
        <v/>
      </c>
      <c r="H22" s="25">
        <f>IFERROR(IF(LARGE(Prazos!$J$5:$J$404,13)&gt;0,IF(INDEX(Prazos!$E$5:$E$404,MATCH(LARGE(Prazos!$J$5:$J$404,13),Prazos!$J$5:$J$404,0))="","",INDEX(Prazos!$E$5:$E$404,MATCH(LARGE(Prazos!$J$5:$J$404,13),Prazos!$J$5:$J$404,0))),""),"")</f>
        <v/>
      </c>
    </row>
    <row r="23">
      <c r="A23" s="25" t="n">
        <v>14</v>
      </c>
      <c r="B23" s="26">
        <f>IFERROR(IF(LARGE(Prazos!$J$5:$J$404,14)&gt;0,IF(INDEX(Prazos!$A$5:$A$404,MATCH(LARGE(Prazos!$J$5:$J$404,14),Prazos!$J$5:$J$404,0))="","",INDEX(Prazos!$A$5:$A$404,MATCH(LARGE(Prazos!$J$5:$J$404,14),Prazos!$J$5:$J$404,0))),""),"")</f>
        <v/>
      </c>
      <c r="C23" s="26">
        <f>IFERROR(IF(LARGE(Prazos!$J$5:$J$404,14)&gt;0,IF(INDEX(Prazos!$B$5:$B$404,MATCH(LARGE(Prazos!$J$5:$J$404,14),Prazos!$J$5:$J$404,0))="","",INDEX(Prazos!$B$5:$B$404,MATCH(LARGE(Prazos!$J$5:$J$404,14),Prazos!$J$5:$J$404,0))),""),"")</f>
        <v/>
      </c>
      <c r="D23" s="26">
        <f>IFERROR(IF(LARGE(Prazos!$J$5:$J$404,14)&gt;0,IF(INDEX(Prazos!$C$5:$C$404,MATCH(LARGE(Prazos!$J$5:$J$404,14),Prazos!$J$5:$J$404,0))="","",INDEX(Prazos!$C$5:$C$404,MATCH(LARGE(Prazos!$J$5:$J$404,14),Prazos!$J$5:$J$404,0))),""),"")</f>
        <v/>
      </c>
      <c r="E23" s="27">
        <f>IFERROR(IF(LARGE(Prazos!$J$5:$J$404,14)&gt;0,IF(INDEX(Prazos!$D$5:$D$404,MATCH(LARGE(Prazos!$J$5:$J$404,14),Prazos!$J$5:$J$404,0))="","",INDEX(Prazos!$D$5:$D$404,MATCH(LARGE(Prazos!$J$5:$J$404,14),Prazos!$J$5:$J$404,0))),""),"")</f>
        <v/>
      </c>
      <c r="F23" s="28">
        <f>IFERROR(IF(LARGE(Prazos!$J$5:$J$404,14)&gt;0,IF(INDEX(Prazos!$H$5:$H$404,MATCH(LARGE(Prazos!$J$5:$J$404,14),Prazos!$J$5:$J$404,0))="","",INDEX(Prazos!$H$5:$H$404,MATCH(LARGE(Prazos!$J$5:$J$404,14),Prazos!$J$5:$J$404,0))),""),"")</f>
        <v/>
      </c>
      <c r="G23" s="25">
        <f>IFERROR(IF(LARGE(Prazos!$J$5:$J$404,14)&gt;0,IF(INDEX(Prazos!$I$5:$I$404,MATCH(LARGE(Prazos!$J$5:$J$404,14),Prazos!$J$5:$J$404,0))="","",INDEX(Prazos!$I$5:$I$404,MATCH(LARGE(Prazos!$J$5:$J$404,14),Prazos!$J$5:$J$404,0))),""),"")</f>
        <v/>
      </c>
      <c r="H23" s="25">
        <f>IFERROR(IF(LARGE(Prazos!$J$5:$J$404,14)&gt;0,IF(INDEX(Prazos!$E$5:$E$404,MATCH(LARGE(Prazos!$J$5:$J$404,14),Prazos!$J$5:$J$404,0))="","",INDEX(Prazos!$E$5:$E$404,MATCH(LARGE(Prazos!$J$5:$J$404,14),Prazos!$J$5:$J$404,0))),""),"")</f>
        <v/>
      </c>
    </row>
    <row r="24">
      <c r="A24" s="25" t="n">
        <v>15</v>
      </c>
      <c r="B24" s="26">
        <f>IFERROR(IF(LARGE(Prazos!$J$5:$J$404,15)&gt;0,IF(INDEX(Prazos!$A$5:$A$404,MATCH(LARGE(Prazos!$J$5:$J$404,15),Prazos!$J$5:$J$404,0))="","",INDEX(Prazos!$A$5:$A$404,MATCH(LARGE(Prazos!$J$5:$J$404,15),Prazos!$J$5:$J$404,0))),""),"")</f>
        <v/>
      </c>
      <c r="C24" s="26">
        <f>IFERROR(IF(LARGE(Prazos!$J$5:$J$404,15)&gt;0,IF(INDEX(Prazos!$B$5:$B$404,MATCH(LARGE(Prazos!$J$5:$J$404,15),Prazos!$J$5:$J$404,0))="","",INDEX(Prazos!$B$5:$B$404,MATCH(LARGE(Prazos!$J$5:$J$404,15),Prazos!$J$5:$J$404,0))),""),"")</f>
        <v/>
      </c>
      <c r="D24" s="26">
        <f>IFERROR(IF(LARGE(Prazos!$J$5:$J$404,15)&gt;0,IF(INDEX(Prazos!$C$5:$C$404,MATCH(LARGE(Prazos!$J$5:$J$404,15),Prazos!$J$5:$J$404,0))="","",INDEX(Prazos!$C$5:$C$404,MATCH(LARGE(Prazos!$J$5:$J$404,15),Prazos!$J$5:$J$404,0))),""),"")</f>
        <v/>
      </c>
      <c r="E24" s="27">
        <f>IFERROR(IF(LARGE(Prazos!$J$5:$J$404,15)&gt;0,IF(INDEX(Prazos!$D$5:$D$404,MATCH(LARGE(Prazos!$J$5:$J$404,15),Prazos!$J$5:$J$404,0))="","",INDEX(Prazos!$D$5:$D$404,MATCH(LARGE(Prazos!$J$5:$J$404,15),Prazos!$J$5:$J$404,0))),""),"")</f>
        <v/>
      </c>
      <c r="F24" s="28">
        <f>IFERROR(IF(LARGE(Prazos!$J$5:$J$404,15)&gt;0,IF(INDEX(Prazos!$H$5:$H$404,MATCH(LARGE(Prazos!$J$5:$J$404,15),Prazos!$J$5:$J$404,0))="","",INDEX(Prazos!$H$5:$H$404,MATCH(LARGE(Prazos!$J$5:$J$404,15),Prazos!$J$5:$J$404,0))),""),"")</f>
        <v/>
      </c>
      <c r="G24" s="25">
        <f>IFERROR(IF(LARGE(Prazos!$J$5:$J$404,15)&gt;0,IF(INDEX(Prazos!$I$5:$I$404,MATCH(LARGE(Prazos!$J$5:$J$404,15),Prazos!$J$5:$J$404,0))="","",INDEX(Prazos!$I$5:$I$404,MATCH(LARGE(Prazos!$J$5:$J$404,15),Prazos!$J$5:$J$404,0))),""),"")</f>
        <v/>
      </c>
      <c r="H24" s="25">
        <f>IFERROR(IF(LARGE(Prazos!$J$5:$J$404,15)&gt;0,IF(INDEX(Prazos!$E$5:$E$404,MATCH(LARGE(Prazos!$J$5:$J$404,15),Prazos!$J$5:$J$404,0))="","",INDEX(Prazos!$E$5:$E$404,MATCH(LARGE(Prazos!$J$5:$J$404,15),Prazos!$J$5:$J$404,0))),""),"")</f>
        <v/>
      </c>
    </row>
    <row r="26">
      <c r="A26" s="22" t="inlineStr">
        <is>
          <t>Carga por responsável</t>
        </is>
      </c>
    </row>
    <row r="27" ht="26" customHeight="1">
      <c r="A27" s="24" t="inlineStr">
        <is>
          <t>Responsável</t>
        </is>
      </c>
      <c r="B27" s="29" t="n"/>
      <c r="C27" s="24" t="inlineStr">
        <is>
          <t>Abertos</t>
        </is>
      </c>
      <c r="D27" s="24" t="inlineStr">
        <is>
          <t>Atrasados</t>
        </is>
      </c>
      <c r="E27" s="24" t="inlineStr">
        <is>
          <t>Hoje</t>
        </is>
      </c>
      <c r="F27" s="24" t="inlineStr">
        <is>
          <t>Em alerta</t>
        </is>
      </c>
      <c r="G27" s="24" t="inlineStr">
        <is>
          <t>Mais antigo em aberto</t>
        </is>
      </c>
      <c r="H27" s="24" t="inlineStr">
        <is>
          <t>Feitos</t>
        </is>
      </c>
    </row>
    <row r="28">
      <c r="A28" s="26">
        <f>IF(Config!$B$10="","",Config!$B$10)</f>
        <v/>
      </c>
      <c r="B28" s="25" t="n"/>
      <c r="C28" s="25">
        <f>IF(Config!$B$10="","",COUNTIFS(Prazos!$E$5:$E$404,Config!$B$10,Prazos!$J$5:$J$404,"&gt;0")+COUNTIFS(Prazos!$E$5:$E$404,Config!$B$10,Prazos!$I$5:$I$404,"Sem data"))</f>
        <v/>
      </c>
      <c r="D28" s="25">
        <f>IF(Config!$B$10="","",COUNTIFS(Prazos!$E$5:$E$404,Config!$B$10,Prazos!$I$5:$I$404,"Atrasado"))</f>
        <v/>
      </c>
      <c r="E28" s="25">
        <f>IF(Config!$B$10="","",COUNTIFS(Prazos!$E$5:$E$404,Config!$B$10,Prazos!$I$5:$I$404,"Hoje"))</f>
        <v/>
      </c>
      <c r="F28" s="25">
        <f>IF(Config!$B$10="","",COUNTIFS(Prazos!$E$5:$E$404,Config!$B$10,Prazos!$I$5:$I$404,"Até "&amp;Config!$B$6&amp;" dias"))</f>
        <v/>
      </c>
      <c r="G28" s="27">
        <f>IF(Config!$B$10="","",IFERROR(IF(_xlfn.MINIFS(Prazos!$D$5:$D$404,Prazos!$E$5:$E$404,Config!$B$10,Prazos!$J$5:$J$404,"&gt;0")=0,"",_xlfn.MINIFS(Prazos!$D$5:$D$404,Prazos!$E$5:$E$404,Config!$B$10,Prazos!$J$5:$J$404,"&gt;0")),""))</f>
        <v/>
      </c>
      <c r="H28" s="25">
        <f>IF(Config!$B$10="","",COUNTIFS(Prazos!$E$5:$E$404,Config!$B$10,Prazos!$I$5:$I$404,"Feito"))</f>
        <v/>
      </c>
    </row>
    <row r="29">
      <c r="A29" s="26">
        <f>IF(Config!$B$11="","",Config!$B$11)</f>
        <v/>
      </c>
      <c r="B29" s="25" t="n"/>
      <c r="C29" s="25">
        <f>IF(Config!$B$11="","",COUNTIFS(Prazos!$E$5:$E$404,Config!$B$11,Prazos!$J$5:$J$404,"&gt;0")+COUNTIFS(Prazos!$E$5:$E$404,Config!$B$11,Prazos!$I$5:$I$404,"Sem data"))</f>
        <v/>
      </c>
      <c r="D29" s="25">
        <f>IF(Config!$B$11="","",COUNTIFS(Prazos!$E$5:$E$404,Config!$B$11,Prazos!$I$5:$I$404,"Atrasado"))</f>
        <v/>
      </c>
      <c r="E29" s="25">
        <f>IF(Config!$B$11="","",COUNTIFS(Prazos!$E$5:$E$404,Config!$B$11,Prazos!$I$5:$I$404,"Hoje"))</f>
        <v/>
      </c>
      <c r="F29" s="25">
        <f>IF(Config!$B$11="","",COUNTIFS(Prazos!$E$5:$E$404,Config!$B$11,Prazos!$I$5:$I$404,"Até "&amp;Config!$B$6&amp;" dias"))</f>
        <v/>
      </c>
      <c r="G29" s="27">
        <f>IF(Config!$B$11="","",IFERROR(IF(_xlfn.MINIFS(Prazos!$D$5:$D$404,Prazos!$E$5:$E$404,Config!$B$11,Prazos!$J$5:$J$404,"&gt;0")=0,"",_xlfn.MINIFS(Prazos!$D$5:$D$404,Prazos!$E$5:$E$404,Config!$B$11,Prazos!$J$5:$J$404,"&gt;0")),""))</f>
        <v/>
      </c>
      <c r="H29" s="25">
        <f>IF(Config!$B$11="","",COUNTIFS(Prazos!$E$5:$E$404,Config!$B$11,Prazos!$I$5:$I$404,"Feito"))</f>
        <v/>
      </c>
    </row>
    <row r="30">
      <c r="A30" s="26">
        <f>IF(Config!$B$12="","",Config!$B$12)</f>
        <v/>
      </c>
      <c r="B30" s="25" t="n"/>
      <c r="C30" s="25">
        <f>IF(Config!$B$12="","",COUNTIFS(Prazos!$E$5:$E$404,Config!$B$12,Prazos!$J$5:$J$404,"&gt;0")+COUNTIFS(Prazos!$E$5:$E$404,Config!$B$12,Prazos!$I$5:$I$404,"Sem data"))</f>
        <v/>
      </c>
      <c r="D30" s="25">
        <f>IF(Config!$B$12="","",COUNTIFS(Prazos!$E$5:$E$404,Config!$B$12,Prazos!$I$5:$I$404,"Atrasado"))</f>
        <v/>
      </c>
      <c r="E30" s="25">
        <f>IF(Config!$B$12="","",COUNTIFS(Prazos!$E$5:$E$404,Config!$B$12,Prazos!$I$5:$I$404,"Hoje"))</f>
        <v/>
      </c>
      <c r="F30" s="25">
        <f>IF(Config!$B$12="","",COUNTIFS(Prazos!$E$5:$E$404,Config!$B$12,Prazos!$I$5:$I$404,"Até "&amp;Config!$B$6&amp;" dias"))</f>
        <v/>
      </c>
      <c r="G30" s="27">
        <f>IF(Config!$B$12="","",IFERROR(IF(_xlfn.MINIFS(Prazos!$D$5:$D$404,Prazos!$E$5:$E$404,Config!$B$12,Prazos!$J$5:$J$404,"&gt;0")=0,"",_xlfn.MINIFS(Prazos!$D$5:$D$404,Prazos!$E$5:$E$404,Config!$B$12,Prazos!$J$5:$J$404,"&gt;0")),""))</f>
        <v/>
      </c>
      <c r="H30" s="25">
        <f>IF(Config!$B$12="","",COUNTIFS(Prazos!$E$5:$E$404,Config!$B$12,Prazos!$I$5:$I$404,"Feito"))</f>
        <v/>
      </c>
    </row>
    <row r="31">
      <c r="A31" s="26">
        <f>IF(Config!$B$13="","",Config!$B$13)</f>
        <v/>
      </c>
      <c r="B31" s="25" t="n"/>
      <c r="C31" s="25">
        <f>IF(Config!$B$13="","",COUNTIFS(Prazos!$E$5:$E$404,Config!$B$13,Prazos!$J$5:$J$404,"&gt;0")+COUNTIFS(Prazos!$E$5:$E$404,Config!$B$13,Prazos!$I$5:$I$404,"Sem data"))</f>
        <v/>
      </c>
      <c r="D31" s="25">
        <f>IF(Config!$B$13="","",COUNTIFS(Prazos!$E$5:$E$404,Config!$B$13,Prazos!$I$5:$I$404,"Atrasado"))</f>
        <v/>
      </c>
      <c r="E31" s="25">
        <f>IF(Config!$B$13="","",COUNTIFS(Prazos!$E$5:$E$404,Config!$B$13,Prazos!$I$5:$I$404,"Hoje"))</f>
        <v/>
      </c>
      <c r="F31" s="25">
        <f>IF(Config!$B$13="","",COUNTIFS(Prazos!$E$5:$E$404,Config!$B$13,Prazos!$I$5:$I$404,"Até "&amp;Config!$B$6&amp;" dias"))</f>
        <v/>
      </c>
      <c r="G31" s="27">
        <f>IF(Config!$B$13="","",IFERROR(IF(_xlfn.MINIFS(Prazos!$D$5:$D$404,Prazos!$E$5:$E$404,Config!$B$13,Prazos!$J$5:$J$404,"&gt;0")=0,"",_xlfn.MINIFS(Prazos!$D$5:$D$404,Prazos!$E$5:$E$404,Config!$B$13,Prazos!$J$5:$J$404,"&gt;0")),""))</f>
        <v/>
      </c>
      <c r="H31" s="25">
        <f>IF(Config!$B$13="","",COUNTIFS(Prazos!$E$5:$E$404,Config!$B$13,Prazos!$I$5:$I$404,"Feito"))</f>
        <v/>
      </c>
    </row>
    <row r="32">
      <c r="A32" s="26">
        <f>IF(Config!$B$14="","",Config!$B$14)</f>
        <v/>
      </c>
      <c r="B32" s="25" t="n"/>
      <c r="C32" s="25">
        <f>IF(Config!$B$14="","",COUNTIFS(Prazos!$E$5:$E$404,Config!$B$14,Prazos!$J$5:$J$404,"&gt;0")+COUNTIFS(Prazos!$E$5:$E$404,Config!$B$14,Prazos!$I$5:$I$404,"Sem data"))</f>
        <v/>
      </c>
      <c r="D32" s="25">
        <f>IF(Config!$B$14="","",COUNTIFS(Prazos!$E$5:$E$404,Config!$B$14,Prazos!$I$5:$I$404,"Atrasado"))</f>
        <v/>
      </c>
      <c r="E32" s="25">
        <f>IF(Config!$B$14="","",COUNTIFS(Prazos!$E$5:$E$404,Config!$B$14,Prazos!$I$5:$I$404,"Hoje"))</f>
        <v/>
      </c>
      <c r="F32" s="25">
        <f>IF(Config!$B$14="","",COUNTIFS(Prazos!$E$5:$E$404,Config!$B$14,Prazos!$I$5:$I$404,"Até "&amp;Config!$B$6&amp;" dias"))</f>
        <v/>
      </c>
      <c r="G32" s="27">
        <f>IF(Config!$B$14="","",IFERROR(IF(_xlfn.MINIFS(Prazos!$D$5:$D$404,Prazos!$E$5:$E$404,Config!$B$14,Prazos!$J$5:$J$404,"&gt;0")=0,"",_xlfn.MINIFS(Prazos!$D$5:$D$404,Prazos!$E$5:$E$404,Config!$B$14,Prazos!$J$5:$J$404,"&gt;0")),""))</f>
        <v/>
      </c>
      <c r="H32" s="25">
        <f>IF(Config!$B$14="","",COUNTIFS(Prazos!$E$5:$E$404,Config!$B$14,Prazos!$I$5:$I$404,"Feito"))</f>
        <v/>
      </c>
    </row>
    <row r="33">
      <c r="A33" s="26">
        <f>IF(Config!$B$15="","",Config!$B$15)</f>
        <v/>
      </c>
      <c r="B33" s="25" t="n"/>
      <c r="C33" s="25">
        <f>IF(Config!$B$15="","",COUNTIFS(Prazos!$E$5:$E$404,Config!$B$15,Prazos!$J$5:$J$404,"&gt;0")+COUNTIFS(Prazos!$E$5:$E$404,Config!$B$15,Prazos!$I$5:$I$404,"Sem data"))</f>
        <v/>
      </c>
      <c r="D33" s="25">
        <f>IF(Config!$B$15="","",COUNTIFS(Prazos!$E$5:$E$404,Config!$B$15,Prazos!$I$5:$I$404,"Atrasado"))</f>
        <v/>
      </c>
      <c r="E33" s="25">
        <f>IF(Config!$B$15="","",COUNTIFS(Prazos!$E$5:$E$404,Config!$B$15,Prazos!$I$5:$I$404,"Hoje"))</f>
        <v/>
      </c>
      <c r="F33" s="25">
        <f>IF(Config!$B$15="","",COUNTIFS(Prazos!$E$5:$E$404,Config!$B$15,Prazos!$I$5:$I$404,"Até "&amp;Config!$B$6&amp;" dias"))</f>
        <v/>
      </c>
      <c r="G33" s="27">
        <f>IF(Config!$B$15="","",IFERROR(IF(_xlfn.MINIFS(Prazos!$D$5:$D$404,Prazos!$E$5:$E$404,Config!$B$15,Prazos!$J$5:$J$404,"&gt;0")=0,"",_xlfn.MINIFS(Prazos!$D$5:$D$404,Prazos!$E$5:$E$404,Config!$B$15,Prazos!$J$5:$J$404,"&gt;0")),""))</f>
        <v/>
      </c>
      <c r="H33" s="25">
        <f>IF(Config!$B$15="","",COUNTIFS(Prazos!$E$5:$E$404,Config!$B$15,Prazos!$I$5:$I$404,"Feito"))</f>
        <v/>
      </c>
    </row>
    <row r="34">
      <c r="A34" s="26">
        <f>IF(Config!$B$16="","",Config!$B$16)</f>
        <v/>
      </c>
      <c r="B34" s="25" t="n"/>
      <c r="C34" s="25">
        <f>IF(Config!$B$16="","",COUNTIFS(Prazos!$E$5:$E$404,Config!$B$16,Prazos!$J$5:$J$404,"&gt;0")+COUNTIFS(Prazos!$E$5:$E$404,Config!$B$16,Prazos!$I$5:$I$404,"Sem data"))</f>
        <v/>
      </c>
      <c r="D34" s="25">
        <f>IF(Config!$B$16="","",COUNTIFS(Prazos!$E$5:$E$404,Config!$B$16,Prazos!$I$5:$I$404,"Atrasado"))</f>
        <v/>
      </c>
      <c r="E34" s="25">
        <f>IF(Config!$B$16="","",COUNTIFS(Prazos!$E$5:$E$404,Config!$B$16,Prazos!$I$5:$I$404,"Hoje"))</f>
        <v/>
      </c>
      <c r="F34" s="25">
        <f>IF(Config!$B$16="","",COUNTIFS(Prazos!$E$5:$E$404,Config!$B$16,Prazos!$I$5:$I$404,"Até "&amp;Config!$B$6&amp;" dias"))</f>
        <v/>
      </c>
      <c r="G34" s="27">
        <f>IF(Config!$B$16="","",IFERROR(IF(_xlfn.MINIFS(Prazos!$D$5:$D$404,Prazos!$E$5:$E$404,Config!$B$16,Prazos!$J$5:$J$404,"&gt;0")=0,"",_xlfn.MINIFS(Prazos!$D$5:$D$404,Prazos!$E$5:$E$404,Config!$B$16,Prazos!$J$5:$J$404,"&gt;0")),""))</f>
        <v/>
      </c>
      <c r="H34" s="25">
        <f>IF(Config!$B$16="","",COUNTIFS(Prazos!$E$5:$E$404,Config!$B$16,Prazos!$I$5:$I$404,"Feito"))</f>
        <v/>
      </c>
    </row>
    <row r="35">
      <c r="A35" s="26">
        <f>IF(Config!$B$17="","",Config!$B$17)</f>
        <v/>
      </c>
      <c r="B35" s="25" t="n"/>
      <c r="C35" s="25">
        <f>IF(Config!$B$17="","",COUNTIFS(Prazos!$E$5:$E$404,Config!$B$17,Prazos!$J$5:$J$404,"&gt;0")+COUNTIFS(Prazos!$E$5:$E$404,Config!$B$17,Prazos!$I$5:$I$404,"Sem data"))</f>
        <v/>
      </c>
      <c r="D35" s="25">
        <f>IF(Config!$B$17="","",COUNTIFS(Prazos!$E$5:$E$404,Config!$B$17,Prazos!$I$5:$I$404,"Atrasado"))</f>
        <v/>
      </c>
      <c r="E35" s="25">
        <f>IF(Config!$B$17="","",COUNTIFS(Prazos!$E$5:$E$404,Config!$B$17,Prazos!$I$5:$I$404,"Hoje"))</f>
        <v/>
      </c>
      <c r="F35" s="25">
        <f>IF(Config!$B$17="","",COUNTIFS(Prazos!$E$5:$E$404,Config!$B$17,Prazos!$I$5:$I$404,"Até "&amp;Config!$B$6&amp;" dias"))</f>
        <v/>
      </c>
      <c r="G35" s="27">
        <f>IF(Config!$B$17="","",IFERROR(IF(_xlfn.MINIFS(Prazos!$D$5:$D$404,Prazos!$E$5:$E$404,Config!$B$17,Prazos!$J$5:$J$404,"&gt;0")=0,"",_xlfn.MINIFS(Prazos!$D$5:$D$404,Prazos!$E$5:$E$404,Config!$B$17,Prazos!$J$5:$J$404,"&gt;0")),""))</f>
        <v/>
      </c>
      <c r="H35" s="25">
        <f>IF(Config!$B$17="","",COUNTIFS(Prazos!$E$5:$E$404,Config!$B$17,Prazos!$I$5:$I$404,"Feito"))</f>
        <v/>
      </c>
    </row>
    <row r="36">
      <c r="A36" s="26">
        <f>IF(Config!$B$18="","",Config!$B$18)</f>
        <v/>
      </c>
      <c r="B36" s="25" t="n"/>
      <c r="C36" s="25">
        <f>IF(Config!$B$18="","",COUNTIFS(Prazos!$E$5:$E$404,Config!$B$18,Prazos!$J$5:$J$404,"&gt;0")+COUNTIFS(Prazos!$E$5:$E$404,Config!$B$18,Prazos!$I$5:$I$404,"Sem data"))</f>
        <v/>
      </c>
      <c r="D36" s="25">
        <f>IF(Config!$B$18="","",COUNTIFS(Prazos!$E$5:$E$404,Config!$B$18,Prazos!$I$5:$I$404,"Atrasado"))</f>
        <v/>
      </c>
      <c r="E36" s="25">
        <f>IF(Config!$B$18="","",COUNTIFS(Prazos!$E$5:$E$404,Config!$B$18,Prazos!$I$5:$I$404,"Hoje"))</f>
        <v/>
      </c>
      <c r="F36" s="25">
        <f>IF(Config!$B$18="","",COUNTIFS(Prazos!$E$5:$E$404,Config!$B$18,Prazos!$I$5:$I$404,"Até "&amp;Config!$B$6&amp;" dias"))</f>
        <v/>
      </c>
      <c r="G36" s="27">
        <f>IF(Config!$B$18="","",IFERROR(IF(_xlfn.MINIFS(Prazos!$D$5:$D$404,Prazos!$E$5:$E$404,Config!$B$18,Prazos!$J$5:$J$404,"&gt;0")=0,"",_xlfn.MINIFS(Prazos!$D$5:$D$404,Prazos!$E$5:$E$404,Config!$B$18,Prazos!$J$5:$J$404,"&gt;0")),""))</f>
        <v/>
      </c>
      <c r="H36" s="25">
        <f>IF(Config!$B$18="","",COUNTIFS(Prazos!$E$5:$E$404,Config!$B$18,Prazos!$I$5:$I$404,"Feito"))</f>
        <v/>
      </c>
    </row>
    <row r="37">
      <c r="A37" s="26">
        <f>IF(Config!$B$19="","",Config!$B$19)</f>
        <v/>
      </c>
      <c r="B37" s="25" t="n"/>
      <c r="C37" s="25">
        <f>IF(Config!$B$19="","",COUNTIFS(Prazos!$E$5:$E$404,Config!$B$19,Prazos!$J$5:$J$404,"&gt;0")+COUNTIFS(Prazos!$E$5:$E$404,Config!$B$19,Prazos!$I$5:$I$404,"Sem data"))</f>
        <v/>
      </c>
      <c r="D37" s="25">
        <f>IF(Config!$B$19="","",COUNTIFS(Prazos!$E$5:$E$404,Config!$B$19,Prazos!$I$5:$I$404,"Atrasado"))</f>
        <v/>
      </c>
      <c r="E37" s="25">
        <f>IF(Config!$B$19="","",COUNTIFS(Prazos!$E$5:$E$404,Config!$B$19,Prazos!$I$5:$I$404,"Hoje"))</f>
        <v/>
      </c>
      <c r="F37" s="25">
        <f>IF(Config!$B$19="","",COUNTIFS(Prazos!$E$5:$E$404,Config!$B$19,Prazos!$I$5:$I$404,"Até "&amp;Config!$B$6&amp;" dias"))</f>
        <v/>
      </c>
      <c r="G37" s="27">
        <f>IF(Config!$B$19="","",IFERROR(IF(_xlfn.MINIFS(Prazos!$D$5:$D$404,Prazos!$E$5:$E$404,Config!$B$19,Prazos!$J$5:$J$404,"&gt;0")=0,"",_xlfn.MINIFS(Prazos!$D$5:$D$404,Prazos!$E$5:$E$404,Config!$B$19,Prazos!$J$5:$J$404,"&gt;0")),""))</f>
        <v/>
      </c>
      <c r="H37" s="25">
        <f>IF(Config!$B$19="","",COUNTIFS(Prazos!$E$5:$E$404,Config!$B$19,Prazos!$I$5:$I$404,"Feito"))</f>
        <v/>
      </c>
    </row>
    <row r="38">
      <c r="A38" s="23" t="inlineStr">
        <is>
          <t>Prazos sem responsável não entram nesta tabela: confira na aba Prazos, filtrando a coluna Responsável por vazio.</t>
        </is>
      </c>
    </row>
    <row r="41">
      <c r="A41" s="22" t="inlineStr">
        <is>
          <t>Próximos 7 dias, dia a dia</t>
        </is>
      </c>
    </row>
    <row r="42" ht="26" customHeight="1">
      <c r="A42" s="24" t="inlineStr">
        <is>
          <t>Dia</t>
        </is>
      </c>
      <c r="B42" s="24" t="n"/>
      <c r="C42" s="24" t="inlineStr">
        <is>
          <t>Data</t>
        </is>
      </c>
      <c r="D42" s="24" t="inlineStr">
        <is>
          <t>Prazos abertos</t>
        </is>
      </c>
      <c r="E42" s="24">
        <f>IF(Config!$B$10="","",Config!$B$10)</f>
        <v/>
      </c>
      <c r="F42" s="24">
        <f>IF(Config!$B$11="","",Config!$B$11)</f>
        <v/>
      </c>
      <c r="G42" s="24">
        <f>IF(Config!$B$12="","",Config!$B$12)</f>
        <v/>
      </c>
    </row>
    <row r="43">
      <c r="A43" s="25">
        <f>CHOOSE(WEEKDAY(C43),"domingo","segunda","terça","quarta","quinta","sexta","sábado")</f>
        <v/>
      </c>
      <c r="B43" s="25" t="n"/>
      <c r="C43" s="27">
        <f>Config!$B$5+0</f>
        <v/>
      </c>
      <c r="D43" s="25">
        <f>COUNTIFS(Prazos!$D$5:$D$404,C43,Prazos!$F$5:$F$404,"&lt;&gt;Sim")</f>
        <v/>
      </c>
      <c r="E43" s="25">
        <f>IF(Config!$B$10="","",COUNTIFS(Prazos!$D$5:$D$404,C43,Prazos!$F$5:$F$404,"&lt;&gt;Sim",Prazos!$E$5:$E$404,Config!$B$10))</f>
        <v/>
      </c>
      <c r="F43" s="25">
        <f>IF(Config!$B$11="","",COUNTIFS(Prazos!$D$5:$D$404,C43,Prazos!$F$5:$F$404,"&lt;&gt;Sim",Prazos!$E$5:$E$404,Config!$B$11))</f>
        <v/>
      </c>
      <c r="G43" s="25">
        <f>IF(Config!$B$12="","",COUNTIFS(Prazos!$D$5:$D$404,C43,Prazos!$F$5:$F$404,"&lt;&gt;Sim",Prazos!$E$5:$E$404,Config!$B$12))</f>
        <v/>
      </c>
    </row>
    <row r="44">
      <c r="A44" s="25">
        <f>CHOOSE(WEEKDAY(C44),"domingo","segunda","terça","quarta","quinta","sexta","sábado")</f>
        <v/>
      </c>
      <c r="B44" s="25" t="n"/>
      <c r="C44" s="27">
        <f>Config!$B$5+1</f>
        <v/>
      </c>
      <c r="D44" s="25">
        <f>COUNTIFS(Prazos!$D$5:$D$404,C44,Prazos!$F$5:$F$404,"&lt;&gt;Sim")</f>
        <v/>
      </c>
      <c r="E44" s="25">
        <f>IF(Config!$B$10="","",COUNTIFS(Prazos!$D$5:$D$404,C44,Prazos!$F$5:$F$404,"&lt;&gt;Sim",Prazos!$E$5:$E$404,Config!$B$10))</f>
        <v/>
      </c>
      <c r="F44" s="25">
        <f>IF(Config!$B$11="","",COUNTIFS(Prazos!$D$5:$D$404,C44,Prazos!$F$5:$F$404,"&lt;&gt;Sim",Prazos!$E$5:$E$404,Config!$B$11))</f>
        <v/>
      </c>
      <c r="G44" s="25">
        <f>IF(Config!$B$12="","",COUNTIFS(Prazos!$D$5:$D$404,C44,Prazos!$F$5:$F$404,"&lt;&gt;Sim",Prazos!$E$5:$E$404,Config!$B$12))</f>
        <v/>
      </c>
    </row>
    <row r="45">
      <c r="A45" s="25">
        <f>CHOOSE(WEEKDAY(C45),"domingo","segunda","terça","quarta","quinta","sexta","sábado")</f>
        <v/>
      </c>
      <c r="B45" s="25" t="n"/>
      <c r="C45" s="27">
        <f>Config!$B$5+2</f>
        <v/>
      </c>
      <c r="D45" s="25">
        <f>COUNTIFS(Prazos!$D$5:$D$404,C45,Prazos!$F$5:$F$404,"&lt;&gt;Sim")</f>
        <v/>
      </c>
      <c r="E45" s="25">
        <f>IF(Config!$B$10="","",COUNTIFS(Prazos!$D$5:$D$404,C45,Prazos!$F$5:$F$404,"&lt;&gt;Sim",Prazos!$E$5:$E$404,Config!$B$10))</f>
        <v/>
      </c>
      <c r="F45" s="25">
        <f>IF(Config!$B$11="","",COUNTIFS(Prazos!$D$5:$D$404,C45,Prazos!$F$5:$F$404,"&lt;&gt;Sim",Prazos!$E$5:$E$404,Config!$B$11))</f>
        <v/>
      </c>
      <c r="G45" s="25">
        <f>IF(Config!$B$12="","",COUNTIFS(Prazos!$D$5:$D$404,C45,Prazos!$F$5:$F$404,"&lt;&gt;Sim",Prazos!$E$5:$E$404,Config!$B$12))</f>
        <v/>
      </c>
    </row>
    <row r="46">
      <c r="A46" s="25">
        <f>CHOOSE(WEEKDAY(C46),"domingo","segunda","terça","quarta","quinta","sexta","sábado")</f>
        <v/>
      </c>
      <c r="B46" s="25" t="n"/>
      <c r="C46" s="27">
        <f>Config!$B$5+3</f>
        <v/>
      </c>
      <c r="D46" s="25">
        <f>COUNTIFS(Prazos!$D$5:$D$404,C46,Prazos!$F$5:$F$404,"&lt;&gt;Sim")</f>
        <v/>
      </c>
      <c r="E46" s="25">
        <f>IF(Config!$B$10="","",COUNTIFS(Prazos!$D$5:$D$404,C46,Prazos!$F$5:$F$404,"&lt;&gt;Sim",Prazos!$E$5:$E$404,Config!$B$10))</f>
        <v/>
      </c>
      <c r="F46" s="25">
        <f>IF(Config!$B$11="","",COUNTIFS(Prazos!$D$5:$D$404,C46,Prazos!$F$5:$F$404,"&lt;&gt;Sim",Prazos!$E$5:$E$404,Config!$B$11))</f>
        <v/>
      </c>
      <c r="G46" s="25">
        <f>IF(Config!$B$12="","",COUNTIFS(Prazos!$D$5:$D$404,C46,Prazos!$F$5:$F$404,"&lt;&gt;Sim",Prazos!$E$5:$E$404,Config!$B$12))</f>
        <v/>
      </c>
    </row>
    <row r="47">
      <c r="A47" s="25">
        <f>CHOOSE(WEEKDAY(C47),"domingo","segunda","terça","quarta","quinta","sexta","sábado")</f>
        <v/>
      </c>
      <c r="B47" s="25" t="n"/>
      <c r="C47" s="27">
        <f>Config!$B$5+4</f>
        <v/>
      </c>
      <c r="D47" s="25">
        <f>COUNTIFS(Prazos!$D$5:$D$404,C47,Prazos!$F$5:$F$404,"&lt;&gt;Sim")</f>
        <v/>
      </c>
      <c r="E47" s="25">
        <f>IF(Config!$B$10="","",COUNTIFS(Prazos!$D$5:$D$404,C47,Prazos!$F$5:$F$404,"&lt;&gt;Sim",Prazos!$E$5:$E$404,Config!$B$10))</f>
        <v/>
      </c>
      <c r="F47" s="25">
        <f>IF(Config!$B$11="","",COUNTIFS(Prazos!$D$5:$D$404,C47,Prazos!$F$5:$F$404,"&lt;&gt;Sim",Prazos!$E$5:$E$404,Config!$B$11))</f>
        <v/>
      </c>
      <c r="G47" s="25">
        <f>IF(Config!$B$12="","",COUNTIFS(Prazos!$D$5:$D$404,C47,Prazos!$F$5:$F$404,"&lt;&gt;Sim",Prazos!$E$5:$E$404,Config!$B$12))</f>
        <v/>
      </c>
    </row>
    <row r="48">
      <c r="A48" s="25">
        <f>CHOOSE(WEEKDAY(C48),"domingo","segunda","terça","quarta","quinta","sexta","sábado")</f>
        <v/>
      </c>
      <c r="B48" s="25" t="n"/>
      <c r="C48" s="27">
        <f>Config!$B$5+5</f>
        <v/>
      </c>
      <c r="D48" s="25">
        <f>COUNTIFS(Prazos!$D$5:$D$404,C48,Prazos!$F$5:$F$404,"&lt;&gt;Sim")</f>
        <v/>
      </c>
      <c r="E48" s="25">
        <f>IF(Config!$B$10="","",COUNTIFS(Prazos!$D$5:$D$404,C48,Prazos!$F$5:$F$404,"&lt;&gt;Sim",Prazos!$E$5:$E$404,Config!$B$10))</f>
        <v/>
      </c>
      <c r="F48" s="25">
        <f>IF(Config!$B$11="","",COUNTIFS(Prazos!$D$5:$D$404,C48,Prazos!$F$5:$F$404,"&lt;&gt;Sim",Prazos!$E$5:$E$404,Config!$B$11))</f>
        <v/>
      </c>
      <c r="G48" s="25">
        <f>IF(Config!$B$12="","",COUNTIFS(Prazos!$D$5:$D$404,C48,Prazos!$F$5:$F$404,"&lt;&gt;Sim",Prazos!$E$5:$E$404,Config!$B$12))</f>
        <v/>
      </c>
    </row>
    <row r="49">
      <c r="A49" s="25">
        <f>CHOOSE(WEEKDAY(C49),"domingo","segunda","terça","quarta","quinta","sexta","sábado")</f>
        <v/>
      </c>
      <c r="B49" s="25" t="n"/>
      <c r="C49" s="27">
        <f>Config!$B$5+6</f>
        <v/>
      </c>
      <c r="D49" s="25">
        <f>COUNTIFS(Prazos!$D$5:$D$404,C49,Prazos!$F$5:$F$404,"&lt;&gt;Sim")</f>
        <v/>
      </c>
      <c r="E49" s="25">
        <f>IF(Config!$B$10="","",COUNTIFS(Prazos!$D$5:$D$404,C49,Prazos!$F$5:$F$404,"&lt;&gt;Sim",Prazos!$E$5:$E$404,Config!$B$10))</f>
        <v/>
      </c>
      <c r="F49" s="25">
        <f>IF(Config!$B$11="","",COUNTIFS(Prazos!$D$5:$D$404,C49,Prazos!$F$5:$F$404,"&lt;&gt;Sim",Prazos!$E$5:$E$404,Config!$B$11))</f>
        <v/>
      </c>
      <c r="G49" s="25">
        <f>IF(Config!$B$12="","",COUNTIFS(Prazos!$D$5:$D$404,C49,Prazos!$F$5:$F$404,"&lt;&gt;Sim",Prazos!$E$5:$E$404,Config!$B$12))</f>
        <v/>
      </c>
    </row>
    <row r="50">
      <c r="A50" s="23" t="inlineStr">
        <is>
          <t>Os atrasados não aparecem aqui: estão no primeiro quadro e no topo de "O que vence primeiro".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4">
    <mergeCell ref="A48:B48"/>
    <mergeCell ref="A30:B30"/>
    <mergeCell ref="A49:B49"/>
    <mergeCell ref="C5:D5"/>
    <mergeCell ref="A45:B45"/>
    <mergeCell ref="E5:F5"/>
    <mergeCell ref="K5:L5"/>
    <mergeCell ref="A36:B36"/>
    <mergeCell ref="C4:D4"/>
    <mergeCell ref="A2:L2"/>
    <mergeCell ref="E4:F4"/>
    <mergeCell ref="A37:B37"/>
    <mergeCell ref="A8:L8"/>
    <mergeCell ref="A46:B46"/>
    <mergeCell ref="A27:B27"/>
    <mergeCell ref="A33:B33"/>
    <mergeCell ref="A47:B47"/>
    <mergeCell ref="A5:B5"/>
    <mergeCell ref="G5:H5"/>
    <mergeCell ref="A32:B32"/>
    <mergeCell ref="A42:B42"/>
    <mergeCell ref="I5:J5"/>
    <mergeCell ref="A35:B35"/>
    <mergeCell ref="A4:B4"/>
    <mergeCell ref="G4:H4"/>
    <mergeCell ref="I4:J4"/>
    <mergeCell ref="A29:B29"/>
    <mergeCell ref="A43:B43"/>
    <mergeCell ref="A1:L1"/>
    <mergeCell ref="A28:B28"/>
    <mergeCell ref="A44:B44"/>
    <mergeCell ref="K4:L4"/>
    <mergeCell ref="A31:B31"/>
    <mergeCell ref="A34:B34"/>
  </mergeCells>
  <conditionalFormatting sqref="A10:H24">
    <cfRule type="expression" priority="1" dxfId="0">
      <formula>$G10="Atrasado"</formula>
    </cfRule>
    <cfRule type="expression" priority="2" dxfId="1">
      <formula>$G10="Hoje"</formula>
    </cfRule>
    <cfRule type="expression" priority="3" dxfId="2">
      <formula>LEFT($G10,4)="Até "</formula>
    </cfRule>
  </conditionalFormatting>
  <conditionalFormatting sqref="D28:D37">
    <cfRule type="expression" priority="4" dxfId="3">
      <formula>AND(ISNUMBER(D28),D28&gt;0)</formula>
    </cfRule>
  </conditionalFormatting>
  <conditionalFormatting sqref="A43:G49">
    <cfRule type="expression" priority="5" dxfId="4">
      <formula>$D43&gt;0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4" customWidth="1" min="3" max="3"/>
    <col width="30" customWidth="1" min="4" max="4"/>
    <col width="4" customWidth="1" min="5" max="5"/>
    <col width="4" customWidth="1" min="6" max="6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Responsáveis e tipos de prazo aparecem nas listas da aba Prazos.</t>
        </is>
      </c>
    </row>
    <row r="4">
      <c r="A4" s="30" t="inlineStr">
        <is>
          <t>Escritório</t>
        </is>
      </c>
      <c r="B4" s="31" t="inlineStr">
        <is>
          <t>Ferraz &amp; Lima Advocacia (exemplo fictício)</t>
        </is>
      </c>
    </row>
    <row r="5">
      <c r="A5" s="30" t="inlineStr">
        <is>
          <t>Data de referência (hoje)</t>
        </is>
      </c>
      <c r="B5" s="32">
        <f>TODAY()</f>
        <v/>
      </c>
      <c r="C5" s="23" t="inlineStr">
        <is>
          <t>Deixe =HOJE() para acompanhar o dia; troque por uma data para simular outro dia.</t>
        </is>
      </c>
    </row>
    <row r="6">
      <c r="A6" s="30" t="inlineStr">
        <is>
          <t>Alerta: avisar prazos nos próximos (dias)</t>
        </is>
      </c>
      <c r="B6" s="33" t="n">
        <v>7</v>
      </c>
      <c r="C6" s="23" t="inlineStr">
        <is>
          <t>Prazos dentro desse número de dias ficam em alerta amarelo no painel.</t>
        </is>
      </c>
    </row>
    <row r="7">
      <c r="A7" s="30" t="inlineStr">
        <is>
          <t>Janela do painel: prazos nos próximos (dias)</t>
        </is>
      </c>
      <c r="B7" s="33" t="n">
        <v>30</v>
      </c>
      <c r="C7" s="23" t="inlineStr">
        <is>
          <t>Prazos entre o alerta e essa janela contam no quarto quadro do painel; o resto fica como "Depois".</t>
        </is>
      </c>
    </row>
    <row r="9">
      <c r="A9" s="30" t="inlineStr">
        <is>
          <t>Responsáveis (até 10)</t>
        </is>
      </c>
      <c r="D9" s="30" t="inlineStr">
        <is>
          <t>Tipos de prazo (até 20)</t>
        </is>
      </c>
    </row>
    <row r="10">
      <c r="B10" s="31" t="inlineStr">
        <is>
          <t>Marina Ferraz</t>
        </is>
      </c>
      <c r="D10" s="31" t="inlineStr">
        <is>
          <t>Contestação</t>
        </is>
      </c>
    </row>
    <row r="11">
      <c r="B11" s="31" t="inlineStr">
        <is>
          <t>Rafael Lima</t>
        </is>
      </c>
      <c r="D11" s="31" t="inlineStr">
        <is>
          <t>Réplica</t>
        </is>
      </c>
    </row>
    <row r="12">
      <c r="B12" s="31" t="inlineStr">
        <is>
          <t>Júlia Prado</t>
        </is>
      </c>
      <c r="D12" s="31" t="inlineStr">
        <is>
          <t>Audiência de conciliação</t>
        </is>
      </c>
    </row>
    <row r="13">
      <c r="B13" s="31" t="n"/>
      <c r="D13" s="31" t="inlineStr">
        <is>
          <t>Audiência de instrução</t>
        </is>
      </c>
    </row>
    <row r="14">
      <c r="B14" s="31" t="n"/>
      <c r="D14" s="31" t="inlineStr">
        <is>
          <t>Manifestação sobre laudo</t>
        </is>
      </c>
    </row>
    <row r="15">
      <c r="B15" s="31" t="n"/>
      <c r="D15" s="31" t="inlineStr">
        <is>
          <t>Alegações finais</t>
        </is>
      </c>
    </row>
    <row r="16">
      <c r="B16" s="31" t="n"/>
      <c r="D16" s="31" t="inlineStr">
        <is>
          <t>Recurso ordinário</t>
        </is>
      </c>
    </row>
    <row r="17">
      <c r="B17" s="31" t="n"/>
      <c r="D17" s="31" t="inlineStr">
        <is>
          <t>Contrarrazões</t>
        </is>
      </c>
    </row>
    <row r="18">
      <c r="B18" s="31" t="n"/>
      <c r="D18" s="31" t="inlineStr">
        <is>
          <t>Embargos</t>
        </is>
      </c>
    </row>
    <row r="19">
      <c r="B19" s="31" t="n"/>
      <c r="D19" s="31" t="inlineStr">
        <is>
          <t>Cumprimento de sentença</t>
        </is>
      </c>
    </row>
    <row r="20">
      <c r="D20" s="31" t="inlineStr">
        <is>
          <t>Juntada de documentos</t>
        </is>
      </c>
    </row>
    <row r="21">
      <c r="D21" s="31" t="inlineStr">
        <is>
          <t>Reunião com cliente</t>
        </is>
      </c>
    </row>
    <row r="22">
      <c r="D22" s="31" t="inlineStr">
        <is>
          <t>Prazo interno</t>
        </is>
      </c>
    </row>
    <row r="23">
      <c r="D23" s="31" t="n"/>
    </row>
    <row r="24">
      <c r="D24" s="31" t="n"/>
    </row>
    <row r="25">
      <c r="D25" s="31" t="n"/>
    </row>
    <row r="26">
      <c r="D26" s="31" t="n"/>
    </row>
    <row r="27">
      <c r="D27" s="31" t="n"/>
    </row>
    <row r="28">
      <c r="D28" s="31" t="n"/>
    </row>
    <row r="29">
      <c r="D29" s="31" t="n"/>
    </row>
    <row r="31">
      <c r="A31" s="23" t="inlineStr">
        <is>
          <t>Preencha responsáveis e tipos de cima para baixo, sem pular linha: as listas suspensas param na última linha preenchida.</t>
        </is>
      </c>
    </row>
    <row r="32">
      <c r="A32" s="23" t="inlineStr">
        <is>
          <t>O tipo de prazo é só um rótulo para organizar a agenda. Conte os dias e confira a data na fonte oficial: a planilha avisa, não calcula prazo.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6" customWidth="1" min="2" max="2"/>
    <col width="24" customWidth="1" min="3" max="3"/>
    <col width="12" customWidth="1" min="4" max="4"/>
    <col width="16" customWidth="1" min="5" max="5"/>
    <col width="8" customWidth="1" min="6" max="6"/>
    <col width="36" customWidth="1" min="7" max="7"/>
    <col width="7" customWidth="1" min="8" max="8"/>
    <col width="14" customWidth="1" min="9" max="9"/>
    <col hidden="1" width="6" customWidth="1" min="10" max="10"/>
  </cols>
  <sheetData>
    <row r="1" ht="28" customHeight="1">
      <c r="A1" s="5" t="inlineStr">
        <is>
          <t>Prazos</t>
        </is>
      </c>
    </row>
    <row r="2">
      <c r="A2" s="6" t="inlineStr">
        <is>
          <t>Uma linha por prazo, audiência ou compromisso. Preencha as colunas amarelas; dias e situação são calculados. Quando cumprir, marque Sim em Feito.</t>
        </is>
      </c>
    </row>
    <row r="4" ht="26" customHeight="1">
      <c r="A4" s="24" t="inlineStr">
        <is>
          <t>Processo</t>
        </is>
      </c>
      <c r="B4" s="24" t="inlineStr">
        <is>
          <t>Cliente</t>
        </is>
      </c>
      <c r="C4" s="24" t="inlineStr">
        <is>
          <t>Tipo de prazo</t>
        </is>
      </c>
      <c r="D4" s="24" t="inlineStr">
        <is>
          <t>Data</t>
        </is>
      </c>
      <c r="E4" s="24" t="inlineStr">
        <is>
          <t>Responsável</t>
        </is>
      </c>
      <c r="F4" s="24" t="inlineStr">
        <is>
          <t>Feito?</t>
        </is>
      </c>
      <c r="G4" s="24" t="inlineStr">
        <is>
          <t>Observação</t>
        </is>
      </c>
      <c r="H4" s="24" t="inlineStr">
        <is>
          <t>Dias</t>
        </is>
      </c>
      <c r="I4" s="24" t="inlineStr">
        <is>
          <t>Situação</t>
        </is>
      </c>
      <c r="J4" s="24" t="inlineStr">
        <is>
          <t>Chave</t>
        </is>
      </c>
    </row>
    <row r="5">
      <c r="A5" s="31" t="inlineStr">
        <is>
          <t>9236009-85.2026.8.26.0452</t>
        </is>
      </c>
      <c r="B5" s="31" t="inlineStr">
        <is>
          <t>Padaria do Sol Ltda</t>
        </is>
      </c>
      <c r="C5" s="33" t="inlineStr">
        <is>
          <t>Cumprimento de sentença</t>
        </is>
      </c>
      <c r="D5" s="34">
        <f>TODAY()+60</f>
        <v/>
      </c>
      <c r="E5" s="33" t="inlineStr">
        <is>
          <t>Marina Ferraz</t>
        </is>
      </c>
      <c r="F5" s="33" t="n"/>
      <c r="G5" s="31" t="n"/>
      <c r="H5" s="28">
        <f>IF(OR(I5="",I5="Feito",I5="Sem data"),"",D5-Config!$B$5)</f>
        <v/>
      </c>
      <c r="I5" s="25">
        <f>IF(AND(A5="",C5="",D5=""),"",IF(F5="Sim","Feito",IF(D5="","Sem data",IF(D5&lt;Config!$B$5,"Atrasado",IF(D5=Config!$B$5,"Hoje",IF(D5-Config!$B$5&lt;=Config!$B$6,"Até "&amp;Config!$B$6&amp;" dias",IF(D5-Config!$B$5&lt;=Config!$B$7,"Até "&amp;Config!$B$7&amp;" dias","Depois")))))))</f>
        <v/>
      </c>
      <c r="J5" s="35">
        <f>IF(OR(I5="",I5="Feito",I5="Sem data"),0,IF(I5="Atrasado",3000+MIN(Config!$B$5-D5,60),IF(I5="Hoje",2500,IF(D5-Config!$B$5&lt;=Config!$B$6,2000-(D5-Config!$B$5),IF(D5-Config!$B$5&lt;=Config!$B$7,1000-(D5-Config!$B$5),500-MIN(D5-Config!$B$5,400)))))-ROW()/100000)</f>
        <v/>
      </c>
    </row>
    <row r="6">
      <c r="A6" s="31" t="inlineStr">
        <is>
          <t>9225646-96.2026.8.26.0322</t>
        </is>
      </c>
      <c r="B6" s="31" t="inlineStr">
        <is>
          <t>Ana Beatriz Moreira</t>
        </is>
      </c>
      <c r="C6" s="33" t="inlineStr">
        <is>
          <t>Contrarrazões</t>
        </is>
      </c>
      <c r="D6" s="34">
        <f>TODAY()-3</f>
        <v/>
      </c>
      <c r="E6" s="33" t="inlineStr">
        <is>
          <t>Rafael Lima</t>
        </is>
      </c>
      <c r="F6" s="33" t="n"/>
      <c r="G6" s="31" t="inlineStr">
        <is>
          <t>Confirmar com o cliente ainda hoje</t>
        </is>
      </c>
      <c r="H6" s="28">
        <f>IF(OR(I6="",I6="Feito",I6="Sem data"),"",D6-Config!$B$5)</f>
        <v/>
      </c>
      <c r="I6" s="25">
        <f>IF(AND(A6="",C6="",D6=""),"",IF(F6="Sim","Feito",IF(D6="","Sem data",IF(D6&lt;Config!$B$5,"Atrasado",IF(D6=Config!$B$5,"Hoje",IF(D6-Config!$B$5&lt;=Config!$B$6,"Até "&amp;Config!$B$6&amp;" dias",IF(D6-Config!$B$5&lt;=Config!$B$7,"Até "&amp;Config!$B$7&amp;" dias","Depois")))))))</f>
        <v/>
      </c>
      <c r="J6" s="35">
        <f>IF(OR(I6="",I6="Feito",I6="Sem data"),0,IF(I6="Atrasado",3000+MIN(Config!$B$5-D6,60),IF(I6="Hoje",2500,IF(D6-Config!$B$5&lt;=Config!$B$6,2000-(D6-Config!$B$5),IF(D6-Config!$B$5&lt;=Config!$B$7,1000-(D6-Config!$B$5),500-MIN(D6-Config!$B$5,400)))))-ROW()/100000)</f>
        <v/>
      </c>
    </row>
    <row r="7">
      <c r="A7" s="31" t="inlineStr">
        <is>
          <t>6710873-21.2025.8.26.0571</t>
        </is>
      </c>
      <c r="B7" s="31" t="inlineStr">
        <is>
          <t>Construtora Horizonte</t>
        </is>
      </c>
      <c r="C7" s="33" t="inlineStr">
        <is>
          <t>Reunião com cliente</t>
        </is>
      </c>
      <c r="D7" s="34">
        <f>TODAY()</f>
        <v/>
      </c>
      <c r="E7" s="33" t="inlineStr">
        <is>
          <t>Marina Ferraz</t>
        </is>
      </c>
      <c r="F7" s="33" t="n"/>
      <c r="G7" s="31" t="inlineStr">
        <is>
          <t>Pasta separada na mesa</t>
        </is>
      </c>
      <c r="H7" s="28">
        <f>IF(OR(I7="",I7="Feito",I7="Sem data"),"",D7-Config!$B$5)</f>
        <v/>
      </c>
      <c r="I7" s="25">
        <f>IF(AND(A7="",C7="",D7=""),"",IF(F7="Sim","Feito",IF(D7="","Sem data",IF(D7&lt;Config!$B$5,"Atrasado",IF(D7=Config!$B$5,"Hoje",IF(D7-Config!$B$5&lt;=Config!$B$6,"Até "&amp;Config!$B$6&amp;" dias",IF(D7-Config!$B$5&lt;=Config!$B$7,"Até "&amp;Config!$B$7&amp;" dias","Depois")))))))</f>
        <v/>
      </c>
      <c r="J7" s="35">
        <f>IF(OR(I7="",I7="Feito",I7="Sem data"),0,IF(I7="Atrasado",3000+MIN(Config!$B$5-D7,60),IF(I7="Hoje",2500,IF(D7-Config!$B$5&lt;=Config!$B$6,2000-(D7-Config!$B$5),IF(D7-Config!$B$5&lt;=Config!$B$7,1000-(D7-Config!$B$5),500-MIN(D7-Config!$B$5,400)))))-ROW()/100000)</f>
        <v/>
      </c>
    </row>
    <row r="8">
      <c r="A8" s="31" t="inlineStr">
        <is>
          <t>8735513-64.2025.8.26.0093</t>
        </is>
      </c>
      <c r="B8" s="31" t="inlineStr">
        <is>
          <t>Carlos Eduardo Nunes</t>
        </is>
      </c>
      <c r="C8" s="33" t="inlineStr">
        <is>
          <t>Alegações finais</t>
        </is>
      </c>
      <c r="D8" s="34">
        <f>TODAY()+15</f>
        <v/>
      </c>
      <c r="E8" s="33" t="inlineStr">
        <is>
          <t>Rafael Lima</t>
        </is>
      </c>
      <c r="F8" s="33" t="n"/>
      <c r="G8" s="31" t="inlineStr">
        <is>
          <t>Rascunho começado</t>
        </is>
      </c>
      <c r="H8" s="28">
        <f>IF(OR(I8="",I8="Feito",I8="Sem data"),"",D8-Config!$B$5)</f>
        <v/>
      </c>
      <c r="I8" s="25">
        <f>IF(AND(A8="",C8="",D8=""),"",IF(F8="Sim","Feito",IF(D8="","Sem data",IF(D8&lt;Config!$B$5,"Atrasado",IF(D8=Config!$B$5,"Hoje",IF(D8-Config!$B$5&lt;=Config!$B$6,"Até "&amp;Config!$B$6&amp;" dias",IF(D8-Config!$B$5&lt;=Config!$B$7,"Até "&amp;Config!$B$7&amp;" dias","Depois")))))))</f>
        <v/>
      </c>
      <c r="J8" s="35">
        <f>IF(OR(I8="",I8="Feito",I8="Sem data"),0,IF(I8="Atrasado",3000+MIN(Config!$B$5-D8,60),IF(I8="Hoje",2500,IF(D8-Config!$B$5&lt;=Config!$B$6,2000-(D8-Config!$B$5),IF(D8-Config!$B$5&lt;=Config!$B$7,1000-(D8-Config!$B$5),500-MIN(D8-Config!$B$5,400)))))-ROW()/100000)</f>
        <v/>
      </c>
    </row>
    <row r="9">
      <c r="A9" s="31" t="inlineStr">
        <is>
          <t>9802211-43.2025.8.26.0431</t>
        </is>
      </c>
      <c r="B9" s="31" t="inlineStr">
        <is>
          <t>Loja Verde Comércio</t>
        </is>
      </c>
      <c r="C9" s="33" t="inlineStr">
        <is>
          <t>Cumprimento de sentença</t>
        </is>
      </c>
      <c r="D9" s="34">
        <f>TODAY()+35</f>
        <v/>
      </c>
      <c r="E9" s="33" t="inlineStr">
        <is>
          <t>Marina Ferraz</t>
        </is>
      </c>
      <c r="F9" s="33" t="n"/>
      <c r="G9" s="31" t="n"/>
      <c r="H9" s="28">
        <f>IF(OR(I9="",I9="Feito",I9="Sem data"),"",D9-Config!$B$5)</f>
        <v/>
      </c>
      <c r="I9" s="25">
        <f>IF(AND(A9="",C9="",D9=""),"",IF(F9="Sim","Feito",IF(D9="","Sem data",IF(D9&lt;Config!$B$5,"Atrasado",IF(D9=Config!$B$5,"Hoje",IF(D9-Config!$B$5&lt;=Config!$B$6,"Até "&amp;Config!$B$6&amp;" dias",IF(D9-Config!$B$5&lt;=Config!$B$7,"Até "&amp;Config!$B$7&amp;" dias","Depois")))))))</f>
        <v/>
      </c>
      <c r="J9" s="35">
        <f>IF(OR(I9="",I9="Feito",I9="Sem data"),0,IF(I9="Atrasado",3000+MIN(Config!$B$5-D9,60),IF(I9="Hoje",2500,IF(D9-Config!$B$5&lt;=Config!$B$6,2000-(D9-Config!$B$5),IF(D9-Config!$B$5&lt;=Config!$B$7,1000-(D9-Config!$B$5),500-MIN(D9-Config!$B$5,400)))))-ROW()/100000)</f>
        <v/>
      </c>
    </row>
    <row r="10">
      <c r="A10" s="31" t="inlineStr">
        <is>
          <t>8875326-79.2026.8.26.0258</t>
        </is>
      </c>
      <c r="B10" s="31" t="inlineStr">
        <is>
          <t>Bistrô 42</t>
        </is>
      </c>
      <c r="C10" s="33" t="inlineStr">
        <is>
          <t>Contrarrazões</t>
        </is>
      </c>
      <c r="D10" s="34">
        <f>TODAY()+27</f>
        <v/>
      </c>
      <c r="E10" s="33" t="inlineStr">
        <is>
          <t>Rafael Lima</t>
        </is>
      </c>
      <c r="F10" s="33" t="n"/>
      <c r="G10" s="31" t="n"/>
      <c r="H10" s="28">
        <f>IF(OR(I10="",I10="Feito",I10="Sem data"),"",D10-Config!$B$5)</f>
        <v/>
      </c>
      <c r="I10" s="25">
        <f>IF(AND(A10="",C10="",D10=""),"",IF(F10="Sim","Feito",IF(D10="","Sem data",IF(D10&lt;Config!$B$5,"Atrasado",IF(D10=Config!$B$5,"Hoje",IF(D10-Config!$B$5&lt;=Config!$B$6,"Até "&amp;Config!$B$6&amp;" dias",IF(D10-Config!$B$5&lt;=Config!$B$7,"Até "&amp;Config!$B$7&amp;" dias","Depois")))))))</f>
        <v/>
      </c>
      <c r="J10" s="35">
        <f>IF(OR(I10="",I10="Feito",I10="Sem data"),0,IF(I10="Atrasado",3000+MIN(Config!$B$5-D10,60),IF(I10="Hoje",2500,IF(D10-Config!$B$5&lt;=Config!$B$6,2000-(D10-Config!$B$5),IF(D10-Config!$B$5&lt;=Config!$B$7,1000-(D10-Config!$B$5),500-MIN(D10-Config!$B$5,400)))))-ROW()/100000)</f>
        <v/>
      </c>
    </row>
    <row r="11">
      <c r="A11" s="31" t="inlineStr">
        <is>
          <t>4397912-47.2025.8.26.0276</t>
        </is>
      </c>
      <c r="B11" s="31" t="inlineStr">
        <is>
          <t>Roberto Almeida</t>
        </is>
      </c>
      <c r="C11" s="33" t="inlineStr">
        <is>
          <t>Cumprimento de sentença</t>
        </is>
      </c>
      <c r="D11" s="34">
        <f>TODAY()+18</f>
        <v/>
      </c>
      <c r="E11" s="33" t="inlineStr">
        <is>
          <t>Marina Ferraz</t>
        </is>
      </c>
      <c r="F11" s="33" t="n"/>
      <c r="G11" s="31" t="n"/>
      <c r="H11" s="28">
        <f>IF(OR(I11="",I11="Feito",I11="Sem data"),"",D11-Config!$B$5)</f>
        <v/>
      </c>
      <c r="I11" s="25">
        <f>IF(AND(A11="",C11="",D11=""),"",IF(F11="Sim","Feito",IF(D11="","Sem data",IF(D11&lt;Config!$B$5,"Atrasado",IF(D11=Config!$B$5,"Hoje",IF(D11-Config!$B$5&lt;=Config!$B$6,"Até "&amp;Config!$B$6&amp;" dias",IF(D11-Config!$B$5&lt;=Config!$B$7,"Até "&amp;Config!$B$7&amp;" dias","Depois")))))))</f>
        <v/>
      </c>
      <c r="J11" s="35">
        <f>IF(OR(I11="",I11="Feito",I11="Sem data"),0,IF(I11="Atrasado",3000+MIN(Config!$B$5-D11,60),IF(I11="Hoje",2500,IF(D11-Config!$B$5&lt;=Config!$B$6,2000-(D11-Config!$B$5),IF(D11-Config!$B$5&lt;=Config!$B$7,1000-(D11-Config!$B$5),500-MIN(D11-Config!$B$5,400)))))-ROW()/100000)</f>
        <v/>
      </c>
    </row>
    <row r="12">
      <c r="A12" s="31" t="inlineStr">
        <is>
          <t>5470559-73.2026.8.26.0380</t>
        </is>
      </c>
      <c r="B12" s="31" t="inlineStr">
        <is>
          <t>Transportadora Rota Sul</t>
        </is>
      </c>
      <c r="C12" s="33" t="inlineStr">
        <is>
          <t>Contrarrazões</t>
        </is>
      </c>
      <c r="D12" s="34">
        <f>TODAY()</f>
        <v/>
      </c>
      <c r="E12" s="33" t="inlineStr">
        <is>
          <t>Rafael Lima</t>
        </is>
      </c>
      <c r="F12" s="33" t="n"/>
      <c r="G12" s="31" t="inlineStr">
        <is>
          <t>Pasta separada na mesa</t>
        </is>
      </c>
      <c r="H12" s="28">
        <f>IF(OR(I12="",I12="Feito",I12="Sem data"),"",D12-Config!$B$5)</f>
        <v/>
      </c>
      <c r="I12" s="25">
        <f>IF(AND(A12="",C12="",D12=""),"",IF(F12="Sim","Feito",IF(D12="","Sem data",IF(D12&lt;Config!$B$5,"Atrasado",IF(D12=Config!$B$5,"Hoje",IF(D12-Config!$B$5&lt;=Config!$B$6,"Até "&amp;Config!$B$6&amp;" dias",IF(D12-Config!$B$5&lt;=Config!$B$7,"Até "&amp;Config!$B$7&amp;" dias","Depois")))))))</f>
        <v/>
      </c>
      <c r="J12" s="35">
        <f>IF(OR(I12="",I12="Feito",I12="Sem data"),0,IF(I12="Atrasado",3000+MIN(Config!$B$5-D12,60),IF(I12="Hoje",2500,IF(D12-Config!$B$5&lt;=Config!$B$6,2000-(D12-Config!$B$5),IF(D12-Config!$B$5&lt;=Config!$B$7,1000-(D12-Config!$B$5),500-MIN(D12-Config!$B$5,400)))))-ROW()/100000)</f>
        <v/>
      </c>
    </row>
    <row r="13">
      <c r="A13" s="31" t="inlineStr">
        <is>
          <t>8570388-84.2025.8.26.0560</t>
        </is>
      </c>
      <c r="B13" s="31" t="inlineStr">
        <is>
          <t>Patrícia Gomes</t>
        </is>
      </c>
      <c r="C13" s="33" t="inlineStr">
        <is>
          <t>Contestação</t>
        </is>
      </c>
      <c r="D13" s="34">
        <f>TODAY()</f>
        <v/>
      </c>
      <c r="E13" s="33" t="inlineStr">
        <is>
          <t>Marina Ferraz</t>
        </is>
      </c>
      <c r="F13" s="33" t="n"/>
      <c r="G13" s="31" t="inlineStr">
        <is>
          <t>Pasta separada na mesa</t>
        </is>
      </c>
      <c r="H13" s="28">
        <f>IF(OR(I13="",I13="Feito",I13="Sem data"),"",D13-Config!$B$5)</f>
        <v/>
      </c>
      <c r="I13" s="25">
        <f>IF(AND(A13="",C13="",D13=""),"",IF(F13="Sim","Feito",IF(D13="","Sem data",IF(D13&lt;Config!$B$5,"Atrasado",IF(D13=Config!$B$5,"Hoje",IF(D13-Config!$B$5&lt;=Config!$B$6,"Até "&amp;Config!$B$6&amp;" dias",IF(D13-Config!$B$5&lt;=Config!$B$7,"Até "&amp;Config!$B$7&amp;" dias","Depois")))))))</f>
        <v/>
      </c>
      <c r="J13" s="35">
        <f>IF(OR(I13="",I13="Feito",I13="Sem data"),0,IF(I13="Atrasado",3000+MIN(Config!$B$5-D13,60),IF(I13="Hoje",2500,IF(D13-Config!$B$5&lt;=Config!$B$6,2000-(D13-Config!$B$5),IF(D13-Config!$B$5&lt;=Config!$B$7,1000-(D13-Config!$B$5),500-MIN(D13-Config!$B$5,400)))))-ROW()/100000)</f>
        <v/>
      </c>
    </row>
    <row r="14">
      <c r="A14" s="31" t="inlineStr">
        <is>
          <t>6258696-95.2026.8.26.0598</t>
        </is>
      </c>
      <c r="B14" s="31" t="inlineStr">
        <is>
          <t>Escola Aurora</t>
        </is>
      </c>
      <c r="C14" s="33" t="inlineStr">
        <is>
          <t>Contestação</t>
        </is>
      </c>
      <c r="D14" s="34">
        <f>TODAY()+2</f>
        <v/>
      </c>
      <c r="E14" s="33" t="inlineStr">
        <is>
          <t>Marina Ferraz</t>
        </is>
      </c>
      <c r="F14" s="33" t="n"/>
      <c r="G14" s="31" t="inlineStr">
        <is>
          <t>Cliente confirmou presença</t>
        </is>
      </c>
      <c r="H14" s="28">
        <f>IF(OR(I14="",I14="Feito",I14="Sem data"),"",D14-Config!$B$5)</f>
        <v/>
      </c>
      <c r="I14" s="25">
        <f>IF(AND(A14="",C14="",D14=""),"",IF(F14="Sim","Feito",IF(D14="","Sem data",IF(D14&lt;Config!$B$5,"Atrasado",IF(D14=Config!$B$5,"Hoje",IF(D14-Config!$B$5&lt;=Config!$B$6,"Até "&amp;Config!$B$6&amp;" dias",IF(D14-Config!$B$5&lt;=Config!$B$7,"Até "&amp;Config!$B$7&amp;" dias","Depois")))))))</f>
        <v/>
      </c>
      <c r="J14" s="35">
        <f>IF(OR(I14="",I14="Feito",I14="Sem data"),0,IF(I14="Atrasado",3000+MIN(Config!$B$5-D14,60),IF(I14="Hoje",2500,IF(D14-Config!$B$5&lt;=Config!$B$6,2000-(D14-Config!$B$5),IF(D14-Config!$B$5&lt;=Config!$B$7,1000-(D14-Config!$B$5),500-MIN(D14-Config!$B$5,400)))))-ROW()/100000)</f>
        <v/>
      </c>
    </row>
    <row r="15">
      <c r="A15" s="31" t="inlineStr">
        <is>
          <t>4300029-58.2025.8.26.0015</t>
        </is>
      </c>
      <c r="B15" s="31" t="inlineStr">
        <is>
          <t>Oficina Mecânica Central</t>
        </is>
      </c>
      <c r="C15" s="33" t="inlineStr">
        <is>
          <t>Audiência de conciliação</t>
        </is>
      </c>
      <c r="D15" s="34">
        <f>TODAY()+2</f>
        <v/>
      </c>
      <c r="E15" s="33" t="inlineStr">
        <is>
          <t>Rafael Lima</t>
        </is>
      </c>
      <c r="F15" s="33" t="n"/>
      <c r="G15" s="31" t="inlineStr">
        <is>
          <t>Cliente confirmou presença</t>
        </is>
      </c>
      <c r="H15" s="28">
        <f>IF(OR(I15="",I15="Feito",I15="Sem data"),"",D15-Config!$B$5)</f>
        <v/>
      </c>
      <c r="I15" s="25">
        <f>IF(AND(A15="",C15="",D15=""),"",IF(F15="Sim","Feito",IF(D15="","Sem data",IF(D15&lt;Config!$B$5,"Atrasado",IF(D15=Config!$B$5,"Hoje",IF(D15-Config!$B$5&lt;=Config!$B$6,"Até "&amp;Config!$B$6&amp;" dias",IF(D15-Config!$B$5&lt;=Config!$B$7,"Até "&amp;Config!$B$7&amp;" dias","Depois")))))))</f>
        <v/>
      </c>
      <c r="J15" s="35">
        <f>IF(OR(I15="",I15="Feito",I15="Sem data"),0,IF(I15="Atrasado",3000+MIN(Config!$B$5-D15,60),IF(I15="Hoje",2500,IF(D15-Config!$B$5&lt;=Config!$B$6,2000-(D15-Config!$B$5),IF(D15-Config!$B$5&lt;=Config!$B$7,1000-(D15-Config!$B$5),500-MIN(D15-Config!$B$5,400)))))-ROW()/100000)</f>
        <v/>
      </c>
    </row>
    <row r="16">
      <c r="A16" s="31" t="inlineStr">
        <is>
          <t>8986364-51.2026.8.26.0700</t>
        </is>
      </c>
      <c r="B16" s="31" t="inlineStr">
        <is>
          <t>Luciana Farias</t>
        </is>
      </c>
      <c r="C16" s="33" t="inlineStr">
        <is>
          <t>Audiência de conciliação</t>
        </is>
      </c>
      <c r="D16" s="34">
        <f>TODAY()-3</f>
        <v/>
      </c>
      <c r="E16" s="33" t="inlineStr">
        <is>
          <t>Marina Ferraz</t>
        </is>
      </c>
      <c r="F16" s="33" t="n"/>
      <c r="G16" s="31" t="inlineStr">
        <is>
          <t>Confirmar com o cliente ainda hoje</t>
        </is>
      </c>
      <c r="H16" s="28">
        <f>IF(OR(I16="",I16="Feito",I16="Sem data"),"",D16-Config!$B$5)</f>
        <v/>
      </c>
      <c r="I16" s="25">
        <f>IF(AND(A16="",C16="",D16=""),"",IF(F16="Sim","Feito",IF(D16="","Sem data",IF(D16&lt;Config!$B$5,"Atrasado",IF(D16=Config!$B$5,"Hoje",IF(D16-Config!$B$5&lt;=Config!$B$6,"Até "&amp;Config!$B$6&amp;" dias",IF(D16-Config!$B$5&lt;=Config!$B$7,"Até "&amp;Config!$B$7&amp;" dias","Depois")))))))</f>
        <v/>
      </c>
      <c r="J16" s="35">
        <f>IF(OR(I16="",I16="Feito",I16="Sem data"),0,IF(I16="Atrasado",3000+MIN(Config!$B$5-D16,60),IF(I16="Hoje",2500,IF(D16-Config!$B$5&lt;=Config!$B$6,2000-(D16-Config!$B$5),IF(D16-Config!$B$5&lt;=Config!$B$7,1000-(D16-Config!$B$5),500-MIN(D16-Config!$B$5,400)))))-ROW()/100000)</f>
        <v/>
      </c>
    </row>
    <row r="17">
      <c r="A17" s="31" t="inlineStr">
        <is>
          <t>9717671-36.2026.8.26.0445</t>
        </is>
      </c>
      <c r="B17" s="31" t="inlineStr">
        <is>
          <t>Agência Prisma</t>
        </is>
      </c>
      <c r="C17" s="33" t="inlineStr">
        <is>
          <t>Audiência de instrução</t>
        </is>
      </c>
      <c r="D17" s="34">
        <f>TODAY()+3</f>
        <v/>
      </c>
      <c r="E17" s="33" t="inlineStr">
        <is>
          <t>Marina Ferraz</t>
        </is>
      </c>
      <c r="F17" s="33" t="n"/>
      <c r="G17" s="31" t="n"/>
      <c r="H17" s="28">
        <f>IF(OR(I17="",I17="Feito",I17="Sem data"),"",D17-Config!$B$5)</f>
        <v/>
      </c>
      <c r="I17" s="25">
        <f>IF(AND(A17="",C17="",D17=""),"",IF(F17="Sim","Feito",IF(D17="","Sem data",IF(D17&lt;Config!$B$5,"Atrasado",IF(D17=Config!$B$5,"Hoje",IF(D17-Config!$B$5&lt;=Config!$B$6,"Até "&amp;Config!$B$6&amp;" dias",IF(D17-Config!$B$5&lt;=Config!$B$7,"Até "&amp;Config!$B$7&amp;" dias","Depois")))))))</f>
        <v/>
      </c>
      <c r="J17" s="35">
        <f>IF(OR(I17="",I17="Feito",I17="Sem data"),0,IF(I17="Atrasado",3000+MIN(Config!$B$5-D17,60),IF(I17="Hoje",2500,IF(D17-Config!$B$5&lt;=Config!$B$6,2000-(D17-Config!$B$5),IF(D17-Config!$B$5&lt;=Config!$B$7,1000-(D17-Config!$B$5),500-MIN(D17-Config!$B$5,400)))))-ROW()/100000)</f>
        <v/>
      </c>
    </row>
    <row r="18">
      <c r="A18" s="31" t="inlineStr">
        <is>
          <t>1808451-67.2026.8.26.0657</t>
        </is>
      </c>
      <c r="B18" s="31" t="inlineStr">
        <is>
          <t>Helena Duarte</t>
        </is>
      </c>
      <c r="C18" s="33" t="inlineStr">
        <is>
          <t>Contestação</t>
        </is>
      </c>
      <c r="D18" s="34">
        <f>TODAY()+3</f>
        <v/>
      </c>
      <c r="E18" s="33" t="inlineStr">
        <is>
          <t>Rafael Lima</t>
        </is>
      </c>
      <c r="F18" s="33" t="n"/>
      <c r="G18" s="31" t="n"/>
      <c r="H18" s="28">
        <f>IF(OR(I18="",I18="Feito",I18="Sem data"),"",D18-Config!$B$5)</f>
        <v/>
      </c>
      <c r="I18" s="25">
        <f>IF(AND(A18="",C18="",D18=""),"",IF(F18="Sim","Feito",IF(D18="","Sem data",IF(D18&lt;Config!$B$5,"Atrasado",IF(D18=Config!$B$5,"Hoje",IF(D18-Config!$B$5&lt;=Config!$B$6,"Até "&amp;Config!$B$6&amp;" dias",IF(D18-Config!$B$5&lt;=Config!$B$7,"Até "&amp;Config!$B$7&amp;" dias","Depois")))))))</f>
        <v/>
      </c>
      <c r="J18" s="35">
        <f>IF(OR(I18="",I18="Feito",I18="Sem data"),0,IF(I18="Atrasado",3000+MIN(Config!$B$5-D18,60),IF(I18="Hoje",2500,IF(D18-Config!$B$5&lt;=Config!$B$6,2000-(D18-Config!$B$5),IF(D18-Config!$B$5&lt;=Config!$B$7,1000-(D18-Config!$B$5),500-MIN(D18-Config!$B$5,400)))))-ROW()/100000)</f>
        <v/>
      </c>
    </row>
    <row r="19">
      <c r="A19" s="31" t="inlineStr">
        <is>
          <t>3930894-43.2025.8.26.0476</t>
        </is>
      </c>
      <c r="B19" s="31" t="inlineStr">
        <is>
          <t>Ana Beatriz Moreira</t>
        </is>
      </c>
      <c r="C19" s="33" t="inlineStr">
        <is>
          <t>Alegações finais</t>
        </is>
      </c>
      <c r="D19" s="34">
        <f>TODAY()+3</f>
        <v/>
      </c>
      <c r="E19" s="33" t="inlineStr">
        <is>
          <t>Rafael Lima</t>
        </is>
      </c>
      <c r="F19" s="33" t="n"/>
      <c r="G19" s="31" t="n"/>
      <c r="H19" s="28">
        <f>IF(OR(I19="",I19="Feito",I19="Sem data"),"",D19-Config!$B$5)</f>
        <v/>
      </c>
      <c r="I19" s="25">
        <f>IF(AND(A19="",C19="",D19=""),"",IF(F19="Sim","Feito",IF(D19="","Sem data",IF(D19&lt;Config!$B$5,"Atrasado",IF(D19=Config!$B$5,"Hoje",IF(D19-Config!$B$5&lt;=Config!$B$6,"Até "&amp;Config!$B$6&amp;" dias",IF(D19-Config!$B$5&lt;=Config!$B$7,"Até "&amp;Config!$B$7&amp;" dias","Depois")))))))</f>
        <v/>
      </c>
      <c r="J19" s="35">
        <f>IF(OR(I19="",I19="Feito",I19="Sem data"),0,IF(I19="Atrasado",3000+MIN(Config!$B$5-D19,60),IF(I19="Hoje",2500,IF(D19-Config!$B$5&lt;=Config!$B$6,2000-(D19-Config!$B$5),IF(D19-Config!$B$5&lt;=Config!$B$7,1000-(D19-Config!$B$5),500-MIN(D19-Config!$B$5,400)))))-ROW()/100000)</f>
        <v/>
      </c>
    </row>
    <row r="20">
      <c r="A20" s="31" t="inlineStr">
        <is>
          <t>9802987-45.2025.8.26.0097</t>
        </is>
      </c>
      <c r="B20" s="31" t="inlineStr">
        <is>
          <t>Construtora Horizonte</t>
        </is>
      </c>
      <c r="C20" s="33" t="inlineStr">
        <is>
          <t>Audiência de conciliação</t>
        </is>
      </c>
      <c r="D20" s="34">
        <f>TODAY()+1</f>
        <v/>
      </c>
      <c r="E20" s="33" t="inlineStr">
        <is>
          <t>Marina Ferraz</t>
        </is>
      </c>
      <c r="F20" s="33" t="n"/>
      <c r="G20" s="31" t="n"/>
      <c r="H20" s="28">
        <f>IF(OR(I20="",I20="Feito",I20="Sem data"),"",D20-Config!$B$5)</f>
        <v/>
      </c>
      <c r="I20" s="25">
        <f>IF(AND(A20="",C20="",D20=""),"",IF(F20="Sim","Feito",IF(D20="","Sem data",IF(D20&lt;Config!$B$5,"Atrasado",IF(D20=Config!$B$5,"Hoje",IF(D20-Config!$B$5&lt;=Config!$B$6,"Até "&amp;Config!$B$6&amp;" dias",IF(D20-Config!$B$5&lt;=Config!$B$7,"Até "&amp;Config!$B$7&amp;" dias","Depois")))))))</f>
        <v/>
      </c>
      <c r="J20" s="35">
        <f>IF(OR(I20="",I20="Feito",I20="Sem data"),0,IF(I20="Atrasado",3000+MIN(Config!$B$5-D20,60),IF(I20="Hoje",2500,IF(D20-Config!$B$5&lt;=Config!$B$6,2000-(D20-Config!$B$5),IF(D20-Config!$B$5&lt;=Config!$B$7,1000-(D20-Config!$B$5),500-MIN(D20-Config!$B$5,400)))))-ROW()/100000)</f>
        <v/>
      </c>
    </row>
    <row r="21">
      <c r="A21" s="31" t="inlineStr">
        <is>
          <t>6904743-30.2025.8.26.0361</t>
        </is>
      </c>
      <c r="B21" s="31" t="inlineStr">
        <is>
          <t>Carlos Eduardo Nunes</t>
        </is>
      </c>
      <c r="C21" s="33" t="inlineStr">
        <is>
          <t>Contestação</t>
        </is>
      </c>
      <c r="D21" s="34">
        <f>TODAY()+3</f>
        <v/>
      </c>
      <c r="E21" s="33" t="inlineStr">
        <is>
          <t>Rafael Lima</t>
        </is>
      </c>
      <c r="F21" s="33" t="n"/>
      <c r="G21" s="31" t="n"/>
      <c r="H21" s="28">
        <f>IF(OR(I21="",I21="Feito",I21="Sem data"),"",D21-Config!$B$5)</f>
        <v/>
      </c>
      <c r="I21" s="25">
        <f>IF(AND(A21="",C21="",D21=""),"",IF(F21="Sim","Feito",IF(D21="","Sem data",IF(D21&lt;Config!$B$5,"Atrasado",IF(D21=Config!$B$5,"Hoje",IF(D21-Config!$B$5&lt;=Config!$B$6,"Até "&amp;Config!$B$6&amp;" dias",IF(D21-Config!$B$5&lt;=Config!$B$7,"Até "&amp;Config!$B$7&amp;" dias","Depois")))))))</f>
        <v/>
      </c>
      <c r="J21" s="35">
        <f>IF(OR(I21="",I21="Feito",I21="Sem data"),0,IF(I21="Atrasado",3000+MIN(Config!$B$5-D21,60),IF(I21="Hoje",2500,IF(D21-Config!$B$5&lt;=Config!$B$6,2000-(D21-Config!$B$5),IF(D21-Config!$B$5&lt;=Config!$B$7,1000-(D21-Config!$B$5),500-MIN(D21-Config!$B$5,400)))))-ROW()/100000)</f>
        <v/>
      </c>
    </row>
    <row r="22">
      <c r="A22" s="31" t="inlineStr">
        <is>
          <t>5497983-95.2025.8.26.0570</t>
        </is>
      </c>
      <c r="B22" s="31" t="inlineStr">
        <is>
          <t>Loja Verde Comércio</t>
        </is>
      </c>
      <c r="C22" s="33" t="inlineStr">
        <is>
          <t>Embargos</t>
        </is>
      </c>
      <c r="D22" s="34">
        <f>TODAY()+10</f>
        <v/>
      </c>
      <c r="E22" s="33" t="inlineStr">
        <is>
          <t>Marina Ferraz</t>
        </is>
      </c>
      <c r="F22" s="33" t="n"/>
      <c r="G22" s="31" t="n"/>
      <c r="H22" s="28">
        <f>IF(OR(I22="",I22="Feito",I22="Sem data"),"",D22-Config!$B$5)</f>
        <v/>
      </c>
      <c r="I22" s="25">
        <f>IF(AND(A22="",C22="",D22=""),"",IF(F22="Sim","Feito",IF(D22="","Sem data",IF(D22&lt;Config!$B$5,"Atrasado",IF(D22=Config!$B$5,"Hoje",IF(D22-Config!$B$5&lt;=Config!$B$6,"Até "&amp;Config!$B$6&amp;" dias",IF(D22-Config!$B$5&lt;=Config!$B$7,"Até "&amp;Config!$B$7&amp;" dias","Depois")))))))</f>
        <v/>
      </c>
      <c r="J22" s="35">
        <f>IF(OR(I22="",I22="Feito",I22="Sem data"),0,IF(I22="Atrasado",3000+MIN(Config!$B$5-D22,60),IF(I22="Hoje",2500,IF(D22-Config!$B$5&lt;=Config!$B$6,2000-(D22-Config!$B$5),IF(D22-Config!$B$5&lt;=Config!$B$7,1000-(D22-Config!$B$5),500-MIN(D22-Config!$B$5,400)))))-ROW()/100000)</f>
        <v/>
      </c>
    </row>
    <row r="23">
      <c r="A23" s="31" t="inlineStr">
        <is>
          <t>4112092-92.2025.8.26.0646</t>
        </is>
      </c>
      <c r="B23" s="31" t="inlineStr">
        <is>
          <t>Fernanda Castro</t>
        </is>
      </c>
      <c r="C23" s="33" t="inlineStr">
        <is>
          <t>Alegações finais</t>
        </is>
      </c>
      <c r="D23" s="34">
        <f>TODAY()-1</f>
        <v/>
      </c>
      <c r="E23" s="33" t="inlineStr">
        <is>
          <t>Rafael Lima</t>
        </is>
      </c>
      <c r="F23" s="33" t="n"/>
      <c r="G23" s="31" t="inlineStr">
        <is>
          <t>Aguardando documentos do cliente</t>
        </is>
      </c>
      <c r="H23" s="28">
        <f>IF(OR(I23="",I23="Feito",I23="Sem data"),"",D23-Config!$B$5)</f>
        <v/>
      </c>
      <c r="I23" s="25">
        <f>IF(AND(A23="",C23="",D23=""),"",IF(F23="Sim","Feito",IF(D23="","Sem data",IF(D23&lt;Config!$B$5,"Atrasado",IF(D23=Config!$B$5,"Hoje",IF(D23-Config!$B$5&lt;=Config!$B$6,"Até "&amp;Config!$B$6&amp;" dias",IF(D23-Config!$B$5&lt;=Config!$B$7,"Até "&amp;Config!$B$7&amp;" dias","Depois")))))))</f>
        <v/>
      </c>
      <c r="J23" s="35">
        <f>IF(OR(I23="",I23="Feito",I23="Sem data"),0,IF(I23="Atrasado",3000+MIN(Config!$B$5-D23,60),IF(I23="Hoje",2500,IF(D23-Config!$B$5&lt;=Config!$B$6,2000-(D23-Config!$B$5),IF(D23-Config!$B$5&lt;=Config!$B$7,1000-(D23-Config!$B$5),500-MIN(D23-Config!$B$5,400)))))-ROW()/100000)</f>
        <v/>
      </c>
    </row>
    <row r="24">
      <c r="A24" s="31" t="inlineStr">
        <is>
          <t>5297049-18.2026.8.26.0015</t>
        </is>
      </c>
      <c r="B24" s="31" t="inlineStr">
        <is>
          <t>Bistrô 42</t>
        </is>
      </c>
      <c r="C24" s="33" t="inlineStr">
        <is>
          <t>Manifestação sobre laudo</t>
        </is>
      </c>
      <c r="D24" s="34">
        <f>TODAY()+3</f>
        <v/>
      </c>
      <c r="E24" s="33" t="inlineStr">
        <is>
          <t>Marina Ferraz</t>
        </is>
      </c>
      <c r="F24" s="33" t="n"/>
      <c r="G24" s="31" t="n"/>
      <c r="H24" s="28">
        <f>IF(OR(I24="",I24="Feito",I24="Sem data"),"",D24-Config!$B$5)</f>
        <v/>
      </c>
      <c r="I24" s="25">
        <f>IF(AND(A24="",C24="",D24=""),"",IF(F24="Sim","Feito",IF(D24="","Sem data",IF(D24&lt;Config!$B$5,"Atrasado",IF(D24=Config!$B$5,"Hoje",IF(D24-Config!$B$5&lt;=Config!$B$6,"Até "&amp;Config!$B$6&amp;" dias",IF(D24-Config!$B$5&lt;=Config!$B$7,"Até "&amp;Config!$B$7&amp;" dias","Depois")))))))</f>
        <v/>
      </c>
      <c r="J24" s="35">
        <f>IF(OR(I24="",I24="Feito",I24="Sem data"),0,IF(I24="Atrasado",3000+MIN(Config!$B$5-D24,60),IF(I24="Hoje",2500,IF(D24-Config!$B$5&lt;=Config!$B$6,2000-(D24-Config!$B$5),IF(D24-Config!$B$5&lt;=Config!$B$7,1000-(D24-Config!$B$5),500-MIN(D24-Config!$B$5,400)))))-ROW()/100000)</f>
        <v/>
      </c>
    </row>
    <row r="25">
      <c r="A25" s="31" t="inlineStr">
        <is>
          <t>6877173-50.2026.8.26.0467</t>
        </is>
      </c>
      <c r="B25" s="31" t="inlineStr">
        <is>
          <t>Roberto Almeida</t>
        </is>
      </c>
      <c r="C25" s="33" t="inlineStr">
        <is>
          <t>Réplica</t>
        </is>
      </c>
      <c r="D25" s="34">
        <f>TODAY()+1</f>
        <v/>
      </c>
      <c r="E25" s="33" t="inlineStr">
        <is>
          <t>Marina Ferraz</t>
        </is>
      </c>
      <c r="F25" s="33" t="n"/>
      <c r="G25" s="31" t="n"/>
      <c r="H25" s="28">
        <f>IF(OR(I25="",I25="Feito",I25="Sem data"),"",D25-Config!$B$5)</f>
        <v/>
      </c>
      <c r="I25" s="25">
        <f>IF(AND(A25="",C25="",D25=""),"",IF(F25="Sim","Feito",IF(D25="","Sem data",IF(D25&lt;Config!$B$5,"Atrasado",IF(D25=Config!$B$5,"Hoje",IF(D25-Config!$B$5&lt;=Config!$B$6,"Até "&amp;Config!$B$6&amp;" dias",IF(D25-Config!$B$5&lt;=Config!$B$7,"Até "&amp;Config!$B$7&amp;" dias","Depois")))))))</f>
        <v/>
      </c>
      <c r="J25" s="35">
        <f>IF(OR(I25="",I25="Feito",I25="Sem data"),0,IF(I25="Atrasado",3000+MIN(Config!$B$5-D25,60),IF(I25="Hoje",2500,IF(D25-Config!$B$5&lt;=Config!$B$6,2000-(D25-Config!$B$5),IF(D25-Config!$B$5&lt;=Config!$B$7,1000-(D25-Config!$B$5),500-MIN(D25-Config!$B$5,400)))))-ROW()/100000)</f>
        <v/>
      </c>
    </row>
    <row r="26">
      <c r="A26" s="31" t="inlineStr">
        <is>
          <t>6545676-47.2025.8.26.0126</t>
        </is>
      </c>
      <c r="B26" s="31" t="inlineStr">
        <is>
          <t>Marcos Vinícius Teles</t>
        </is>
      </c>
      <c r="C26" s="33" t="inlineStr">
        <is>
          <t>Manifestação sobre laudo</t>
        </is>
      </c>
      <c r="D26" s="34">
        <f>TODAY()-3</f>
        <v/>
      </c>
      <c r="E26" s="33" t="inlineStr">
        <is>
          <t>Marina Ferraz</t>
        </is>
      </c>
      <c r="F26" s="33" t="n"/>
      <c r="G26" s="31" t="inlineStr">
        <is>
          <t>Confirmar com o cliente ainda hoje</t>
        </is>
      </c>
      <c r="H26" s="28">
        <f>IF(OR(I26="",I26="Feito",I26="Sem data"),"",D26-Config!$B$5)</f>
        <v/>
      </c>
      <c r="I26" s="25">
        <f>IF(AND(A26="",C26="",D26=""),"",IF(F26="Sim","Feito",IF(D26="","Sem data",IF(D26&lt;Config!$B$5,"Atrasado",IF(D26=Config!$B$5,"Hoje",IF(D26-Config!$B$5&lt;=Config!$B$6,"Até "&amp;Config!$B$6&amp;" dias",IF(D26-Config!$B$5&lt;=Config!$B$7,"Até "&amp;Config!$B$7&amp;" dias","Depois")))))))</f>
        <v/>
      </c>
      <c r="J26" s="35">
        <f>IF(OR(I26="",I26="Feito",I26="Sem data"),0,IF(I26="Atrasado",3000+MIN(Config!$B$5-D26,60),IF(I26="Hoje",2500,IF(D26-Config!$B$5&lt;=Config!$B$6,2000-(D26-Config!$B$5),IF(D26-Config!$B$5&lt;=Config!$B$7,1000-(D26-Config!$B$5),500-MIN(D26-Config!$B$5,400)))))-ROW()/100000)</f>
        <v/>
      </c>
    </row>
    <row r="27">
      <c r="A27" s="31" t="inlineStr">
        <is>
          <t>1941959-24.2026.8.26.0167</t>
        </is>
      </c>
      <c r="B27" s="31" t="inlineStr">
        <is>
          <t>Transportadora Rota Sul</t>
        </is>
      </c>
      <c r="C27" s="33" t="inlineStr">
        <is>
          <t>Audiência de conciliação</t>
        </is>
      </c>
      <c r="D27" s="34">
        <f>TODAY()+4</f>
        <v/>
      </c>
      <c r="E27" s="33" t="inlineStr">
        <is>
          <t>Rafael Lima</t>
        </is>
      </c>
      <c r="F27" s="33" t="n"/>
      <c r="G27" s="31" t="inlineStr">
        <is>
          <t>Levar via impressa</t>
        </is>
      </c>
      <c r="H27" s="28">
        <f>IF(OR(I27="",I27="Feito",I27="Sem data"),"",D27-Config!$B$5)</f>
        <v/>
      </c>
      <c r="I27" s="25">
        <f>IF(AND(A27="",C27="",D27=""),"",IF(F27="Sim","Feito",IF(D27="","Sem data",IF(D27&lt;Config!$B$5,"Atrasado",IF(D27=Config!$B$5,"Hoje",IF(D27-Config!$B$5&lt;=Config!$B$6,"Até "&amp;Config!$B$6&amp;" dias",IF(D27-Config!$B$5&lt;=Config!$B$7,"Até "&amp;Config!$B$7&amp;" dias","Depois")))))))</f>
        <v/>
      </c>
      <c r="J27" s="35">
        <f>IF(OR(I27="",I27="Feito",I27="Sem data"),0,IF(I27="Atrasado",3000+MIN(Config!$B$5-D27,60),IF(I27="Hoje",2500,IF(D27-Config!$B$5&lt;=Config!$B$6,2000-(D27-Config!$B$5),IF(D27-Config!$B$5&lt;=Config!$B$7,1000-(D27-Config!$B$5),500-MIN(D27-Config!$B$5,400)))))-ROW()/100000)</f>
        <v/>
      </c>
    </row>
    <row r="28">
      <c r="A28" s="31" t="inlineStr">
        <is>
          <t>3118925-55.2025.8.26.0426</t>
        </is>
      </c>
      <c r="B28" s="31" t="inlineStr">
        <is>
          <t>Patrícia Gomes</t>
        </is>
      </c>
      <c r="C28" s="33" t="inlineStr">
        <is>
          <t>Cumprimento de sentença</t>
        </is>
      </c>
      <c r="D28" s="34">
        <f>TODAY()-3</f>
        <v/>
      </c>
      <c r="E28" s="33" t="inlineStr">
        <is>
          <t>Marina Ferraz</t>
        </is>
      </c>
      <c r="F28" s="33" t="n"/>
      <c r="G28" s="31" t="inlineStr">
        <is>
          <t>Confirmar com o cliente ainda hoje</t>
        </is>
      </c>
      <c r="H28" s="28">
        <f>IF(OR(I28="",I28="Feito",I28="Sem data"),"",D28-Config!$B$5)</f>
        <v/>
      </c>
      <c r="I28" s="25">
        <f>IF(AND(A28="",C28="",D28=""),"",IF(F28="Sim","Feito",IF(D28="","Sem data",IF(D28&lt;Config!$B$5,"Atrasado",IF(D28=Config!$B$5,"Hoje",IF(D28-Config!$B$5&lt;=Config!$B$6,"Até "&amp;Config!$B$6&amp;" dias",IF(D28-Config!$B$5&lt;=Config!$B$7,"Até "&amp;Config!$B$7&amp;" dias","Depois")))))))</f>
        <v/>
      </c>
      <c r="J28" s="35">
        <f>IF(OR(I28="",I28="Feito",I28="Sem data"),0,IF(I28="Atrasado",3000+MIN(Config!$B$5-D28,60),IF(I28="Hoje",2500,IF(D28-Config!$B$5&lt;=Config!$B$6,2000-(D28-Config!$B$5),IF(D28-Config!$B$5&lt;=Config!$B$7,1000-(D28-Config!$B$5),500-MIN(D28-Config!$B$5,400)))))-ROW()/100000)</f>
        <v/>
      </c>
    </row>
    <row r="29">
      <c r="A29" s="31" t="inlineStr">
        <is>
          <t>7658179-42.2026.8.26.0152</t>
        </is>
      </c>
      <c r="B29" s="31" t="inlineStr">
        <is>
          <t>Escola Aurora</t>
        </is>
      </c>
      <c r="C29" s="33" t="inlineStr">
        <is>
          <t>Contrarrazões</t>
        </is>
      </c>
      <c r="D29" s="34">
        <f>TODAY()-3</f>
        <v/>
      </c>
      <c r="E29" s="33" t="inlineStr">
        <is>
          <t>Marina Ferraz</t>
        </is>
      </c>
      <c r="F29" s="33" t="n"/>
      <c r="G29" s="31" t="inlineStr">
        <is>
          <t>Confirmar com o cliente ainda hoje</t>
        </is>
      </c>
      <c r="H29" s="28">
        <f>IF(OR(I29="",I29="Feito",I29="Sem data"),"",D29-Config!$B$5)</f>
        <v/>
      </c>
      <c r="I29" s="25">
        <f>IF(AND(A29="",C29="",D29=""),"",IF(F29="Sim","Feito",IF(D29="","Sem data",IF(D29&lt;Config!$B$5,"Atrasado",IF(D29=Config!$B$5,"Hoje",IF(D29-Config!$B$5&lt;=Config!$B$6,"Até "&amp;Config!$B$6&amp;" dias",IF(D29-Config!$B$5&lt;=Config!$B$7,"Até "&amp;Config!$B$7&amp;" dias","Depois")))))))</f>
        <v/>
      </c>
      <c r="J29" s="35">
        <f>IF(OR(I29="",I29="Feito",I29="Sem data"),0,IF(I29="Atrasado",3000+MIN(Config!$B$5-D29,60),IF(I29="Hoje",2500,IF(D29-Config!$B$5&lt;=Config!$B$6,2000-(D29-Config!$B$5),IF(D29-Config!$B$5&lt;=Config!$B$7,1000-(D29-Config!$B$5),500-MIN(D29-Config!$B$5,400)))))-ROW()/100000)</f>
        <v/>
      </c>
    </row>
    <row r="30">
      <c r="A30" s="31" t="inlineStr">
        <is>
          <t>1191416-90.2025.8.26.0249</t>
        </is>
      </c>
      <c r="B30" s="31" t="inlineStr">
        <is>
          <t>Oficina Mecânica Central</t>
        </is>
      </c>
      <c r="C30" s="33" t="inlineStr">
        <is>
          <t>Contrarrazões</t>
        </is>
      </c>
      <c r="D30" s="34">
        <f>TODAY()-1</f>
        <v/>
      </c>
      <c r="E30" s="33" t="inlineStr">
        <is>
          <t>Marina Ferraz</t>
        </is>
      </c>
      <c r="F30" s="33" t="n"/>
      <c r="G30" s="31" t="inlineStr">
        <is>
          <t>Aguardando documentos do cliente</t>
        </is>
      </c>
      <c r="H30" s="28">
        <f>IF(OR(I30="",I30="Feito",I30="Sem data"),"",D30-Config!$B$5)</f>
        <v/>
      </c>
      <c r="I30" s="25">
        <f>IF(AND(A30="",C30="",D30=""),"",IF(F30="Sim","Feito",IF(D30="","Sem data",IF(D30&lt;Config!$B$5,"Atrasado",IF(D30=Config!$B$5,"Hoje",IF(D30-Config!$B$5&lt;=Config!$B$6,"Até "&amp;Config!$B$6&amp;" dias",IF(D30-Config!$B$5&lt;=Config!$B$7,"Até "&amp;Config!$B$7&amp;" dias","Depois")))))))</f>
        <v/>
      </c>
      <c r="J30" s="35">
        <f>IF(OR(I30="",I30="Feito",I30="Sem data"),0,IF(I30="Atrasado",3000+MIN(Config!$B$5-D30,60),IF(I30="Hoje",2500,IF(D30-Config!$B$5&lt;=Config!$B$6,2000-(D30-Config!$B$5),IF(D30-Config!$B$5&lt;=Config!$B$7,1000-(D30-Config!$B$5),500-MIN(D30-Config!$B$5,400)))))-ROW()/100000)</f>
        <v/>
      </c>
    </row>
    <row r="31">
      <c r="A31" s="31" t="inlineStr">
        <is>
          <t>6710873-21.2025.8.26.0571</t>
        </is>
      </c>
      <c r="B31" s="31" t="inlineStr">
        <is>
          <t>Construtora Horizonte</t>
        </is>
      </c>
      <c r="C31" s="33" t="inlineStr">
        <is>
          <t>Audiência de instrução</t>
        </is>
      </c>
      <c r="D31" s="34">
        <f>TODAY()+9</f>
        <v/>
      </c>
      <c r="E31" s="33" t="inlineStr">
        <is>
          <t>Marina Ferraz</t>
        </is>
      </c>
      <c r="F31" s="33" t="n"/>
      <c r="G31" s="31" t="inlineStr">
        <is>
          <t>Sala 3, 14h; testemunha avisada</t>
        </is>
      </c>
      <c r="H31" s="28">
        <f>IF(OR(I31="",I31="Feito",I31="Sem data"),"",D31-Config!$B$5)</f>
        <v/>
      </c>
      <c r="I31" s="25">
        <f>IF(AND(A31="",C31="",D31=""),"",IF(F31="Sim","Feito",IF(D31="","Sem data",IF(D31&lt;Config!$B$5,"Atrasado",IF(D31=Config!$B$5,"Hoje",IF(D31-Config!$B$5&lt;=Config!$B$6,"Até "&amp;Config!$B$6&amp;" dias",IF(D31-Config!$B$5&lt;=Config!$B$7,"Até "&amp;Config!$B$7&amp;" dias","Depois")))))))</f>
        <v/>
      </c>
      <c r="J31" s="35">
        <f>IF(OR(I31="",I31="Feito",I31="Sem data"),0,IF(I31="Atrasado",3000+MIN(Config!$B$5-D31,60),IF(I31="Hoje",2500,IF(D31-Config!$B$5&lt;=Config!$B$6,2000-(D31-Config!$B$5),IF(D31-Config!$B$5&lt;=Config!$B$7,1000-(D31-Config!$B$5),500-MIN(D31-Config!$B$5,400)))))-ROW()/100000)</f>
        <v/>
      </c>
    </row>
    <row r="32">
      <c r="A32" s="31" t="inlineStr">
        <is>
          <t>6258696-95.2026.8.26.0598</t>
        </is>
      </c>
      <c r="B32" s="31" t="inlineStr">
        <is>
          <t>Escola Aurora</t>
        </is>
      </c>
      <c r="C32" s="33" t="inlineStr">
        <is>
          <t>Reunião com cliente</t>
        </is>
      </c>
      <c r="D32" s="34">
        <f>TODAY()+5</f>
        <v/>
      </c>
      <c r="E32" s="33" t="inlineStr">
        <is>
          <t>Marina Ferraz</t>
        </is>
      </c>
      <c r="F32" s="33" t="n"/>
      <c r="G32" s="31" t="inlineStr">
        <is>
          <t>Alinhar próximos passos</t>
        </is>
      </c>
      <c r="H32" s="28">
        <f>IF(OR(I32="",I32="Feito",I32="Sem data"),"",D32-Config!$B$5)</f>
        <v/>
      </c>
      <c r="I32" s="25">
        <f>IF(AND(A32="",C32="",D32=""),"",IF(F32="Sim","Feito",IF(D32="","Sem data",IF(D32&lt;Config!$B$5,"Atrasado",IF(D32=Config!$B$5,"Hoje",IF(D32-Config!$B$5&lt;=Config!$B$6,"Até "&amp;Config!$B$6&amp;" dias",IF(D32-Config!$B$5&lt;=Config!$B$7,"Até "&amp;Config!$B$7&amp;" dias","Depois")))))))</f>
        <v/>
      </c>
      <c r="J32" s="35">
        <f>IF(OR(I32="",I32="Feito",I32="Sem data"),0,IF(I32="Atrasado",3000+MIN(Config!$B$5-D32,60),IF(I32="Hoje",2500,IF(D32-Config!$B$5&lt;=Config!$B$6,2000-(D32-Config!$B$5),IF(D32-Config!$B$5&lt;=Config!$B$7,1000-(D32-Config!$B$5),500-MIN(D32-Config!$B$5,400)))))-ROW()/100000)</f>
        <v/>
      </c>
    </row>
    <row r="33">
      <c r="A33" s="31" t="inlineStr">
        <is>
          <t>9717671-36.2026.8.26.0445</t>
        </is>
      </c>
      <c r="B33" s="31" t="inlineStr">
        <is>
          <t>Agência Prisma</t>
        </is>
      </c>
      <c r="C33" s="33" t="inlineStr">
        <is>
          <t>Juntada de documentos</t>
        </is>
      </c>
      <c r="D33" s="34">
        <f>TODAY()+12</f>
        <v/>
      </c>
      <c r="E33" s="33" t="inlineStr">
        <is>
          <t>Júlia Prado</t>
        </is>
      </c>
      <c r="F33" s="33" t="n"/>
      <c r="G33" s="31" t="inlineStr">
        <is>
          <t>Pedir 2 comprovantes ao cliente</t>
        </is>
      </c>
      <c r="H33" s="28">
        <f>IF(OR(I33="",I33="Feito",I33="Sem data"),"",D33-Config!$B$5)</f>
        <v/>
      </c>
      <c r="I33" s="25">
        <f>IF(AND(A33="",C33="",D33=""),"",IF(F33="Sim","Feito",IF(D33="","Sem data",IF(D33&lt;Config!$B$5,"Atrasado",IF(D33=Config!$B$5,"Hoje",IF(D33-Config!$B$5&lt;=Config!$B$6,"Até "&amp;Config!$B$6&amp;" dias",IF(D33-Config!$B$5&lt;=Config!$B$7,"Até "&amp;Config!$B$7&amp;" dias","Depois")))))))</f>
        <v/>
      </c>
      <c r="J33" s="35">
        <f>IF(OR(I33="",I33="Feito",I33="Sem data"),0,IF(I33="Atrasado",3000+MIN(Config!$B$5-D33,60),IF(I33="Hoje",2500,IF(D33-Config!$B$5&lt;=Config!$B$6,2000-(D33-Config!$B$5),IF(D33-Config!$B$5&lt;=Config!$B$7,1000-(D33-Config!$B$5),500-MIN(D33-Config!$B$5,400)))))-ROW()/100000)</f>
        <v/>
      </c>
    </row>
    <row r="34">
      <c r="A34" s="31" t="inlineStr">
        <is>
          <t>5497983-95.2025.8.26.0570</t>
        </is>
      </c>
      <c r="B34" s="31" t="inlineStr">
        <is>
          <t>Loja Verde Comércio</t>
        </is>
      </c>
      <c r="C34" s="33" t="inlineStr">
        <is>
          <t>Audiência de conciliação</t>
        </is>
      </c>
      <c r="D34" s="34">
        <f>TODAY()+20</f>
        <v/>
      </c>
      <c r="E34" s="33" t="inlineStr">
        <is>
          <t>Marina Ferraz</t>
        </is>
      </c>
      <c r="F34" s="33" t="n"/>
      <c r="G34" s="31" t="n"/>
      <c r="H34" s="28">
        <f>IF(OR(I34="",I34="Feito",I34="Sem data"),"",D34-Config!$B$5)</f>
        <v/>
      </c>
      <c r="I34" s="25">
        <f>IF(AND(A34="",C34="",D34=""),"",IF(F34="Sim","Feito",IF(D34="","Sem data",IF(D34&lt;Config!$B$5,"Atrasado",IF(D34=Config!$B$5,"Hoje",IF(D34-Config!$B$5&lt;=Config!$B$6,"Até "&amp;Config!$B$6&amp;" dias",IF(D34-Config!$B$5&lt;=Config!$B$7,"Até "&amp;Config!$B$7&amp;" dias","Depois")))))))</f>
        <v/>
      </c>
      <c r="J34" s="35">
        <f>IF(OR(I34="",I34="Feito",I34="Sem data"),0,IF(I34="Atrasado",3000+MIN(Config!$B$5-D34,60),IF(I34="Hoje",2500,IF(D34-Config!$B$5&lt;=Config!$B$6,2000-(D34-Config!$B$5),IF(D34-Config!$B$5&lt;=Config!$B$7,1000-(D34-Config!$B$5),500-MIN(D34-Config!$B$5,400)))))-ROW()/100000)</f>
        <v/>
      </c>
    </row>
    <row r="35">
      <c r="A35" s="31" t="inlineStr">
        <is>
          <t>5470559-73.2026.8.26.0380</t>
        </is>
      </c>
      <c r="B35" s="31" t="inlineStr">
        <is>
          <t>Transportadora Rota Sul</t>
        </is>
      </c>
      <c r="C35" s="33" t="inlineStr">
        <is>
          <t>Manifestação sobre laudo</t>
        </is>
      </c>
      <c r="D35" s="34">
        <f>TODAY()+24</f>
        <v/>
      </c>
      <c r="E35" s="33" t="inlineStr">
        <is>
          <t>Rafael Lima</t>
        </is>
      </c>
      <c r="F35" s="33" t="n"/>
      <c r="G35" s="31" t="n"/>
      <c r="H35" s="28">
        <f>IF(OR(I35="",I35="Feito",I35="Sem data"),"",D35-Config!$B$5)</f>
        <v/>
      </c>
      <c r="I35" s="25">
        <f>IF(AND(A35="",C35="",D35=""),"",IF(F35="Sim","Feito",IF(D35="","Sem data",IF(D35&lt;Config!$B$5,"Atrasado",IF(D35=Config!$B$5,"Hoje",IF(D35-Config!$B$5&lt;=Config!$B$6,"Até "&amp;Config!$B$6&amp;" dias",IF(D35-Config!$B$5&lt;=Config!$B$7,"Até "&amp;Config!$B$7&amp;" dias","Depois")))))))</f>
        <v/>
      </c>
      <c r="J35" s="35">
        <f>IF(OR(I35="",I35="Feito",I35="Sem data"),0,IF(I35="Atrasado",3000+MIN(Config!$B$5-D35,60),IF(I35="Hoje",2500,IF(D35-Config!$B$5&lt;=Config!$B$6,2000-(D35-Config!$B$5),IF(D35-Config!$B$5&lt;=Config!$B$7,1000-(D35-Config!$B$5),500-MIN(D35-Config!$B$5,400)))))-ROW()/100000)</f>
        <v/>
      </c>
    </row>
    <row r="36">
      <c r="A36" s="31" t="inlineStr">
        <is>
          <t>6877173-50.2026.8.26.0467</t>
        </is>
      </c>
      <c r="B36" s="31" t="inlineStr">
        <is>
          <t>Roberto Almeida</t>
        </is>
      </c>
      <c r="C36" s="33" t="inlineStr">
        <is>
          <t>Reunião com cliente</t>
        </is>
      </c>
      <c r="D36" s="34">
        <f>TODAY()+31</f>
        <v/>
      </c>
      <c r="E36" s="33" t="inlineStr">
        <is>
          <t>Marina Ferraz</t>
        </is>
      </c>
      <c r="F36" s="33" t="n"/>
      <c r="G36" s="31" t="inlineStr">
        <is>
          <t>Revisão semestral do contrato</t>
        </is>
      </c>
      <c r="H36" s="28">
        <f>IF(OR(I36="",I36="Feito",I36="Sem data"),"",D36-Config!$B$5)</f>
        <v/>
      </c>
      <c r="I36" s="25">
        <f>IF(AND(A36="",C36="",D36=""),"",IF(F36="Sim","Feito",IF(D36="","Sem data",IF(D36&lt;Config!$B$5,"Atrasado",IF(D36=Config!$B$5,"Hoje",IF(D36-Config!$B$5&lt;=Config!$B$6,"Até "&amp;Config!$B$6&amp;" dias",IF(D36-Config!$B$5&lt;=Config!$B$7,"Até "&amp;Config!$B$7&amp;" dias","Depois")))))))</f>
        <v/>
      </c>
      <c r="J36" s="35">
        <f>IF(OR(I36="",I36="Feito",I36="Sem data"),0,IF(I36="Atrasado",3000+MIN(Config!$B$5-D36,60),IF(I36="Hoje",2500,IF(D36-Config!$B$5&lt;=Config!$B$6,2000-(D36-Config!$B$5),IF(D36-Config!$B$5&lt;=Config!$B$7,1000-(D36-Config!$B$5),500-MIN(D36-Config!$B$5,400)))))-ROW()/100000)</f>
        <v/>
      </c>
    </row>
    <row r="37">
      <c r="A37" s="31" t="inlineStr">
        <is>
          <t>8735513-64.2025.8.26.0093</t>
        </is>
      </c>
      <c r="B37" s="31" t="inlineStr">
        <is>
          <t>Carlos Eduardo Nunes</t>
        </is>
      </c>
      <c r="C37" s="33" t="inlineStr">
        <is>
          <t>Juntada de documentos</t>
        </is>
      </c>
      <c r="D37" s="34">
        <f>TODAY()+45</f>
        <v/>
      </c>
      <c r="E37" s="33" t="inlineStr">
        <is>
          <t>Júlia Prado</t>
        </is>
      </c>
      <c r="F37" s="33" t="n"/>
      <c r="G37" s="31" t="n"/>
      <c r="H37" s="28">
        <f>IF(OR(I37="",I37="Feito",I37="Sem data"),"",D37-Config!$B$5)</f>
        <v/>
      </c>
      <c r="I37" s="25">
        <f>IF(AND(A37="",C37="",D37=""),"",IF(F37="Sim","Feito",IF(D37="","Sem data",IF(D37&lt;Config!$B$5,"Atrasado",IF(D37=Config!$B$5,"Hoje",IF(D37-Config!$B$5&lt;=Config!$B$6,"Até "&amp;Config!$B$6&amp;" dias",IF(D37-Config!$B$5&lt;=Config!$B$7,"Até "&amp;Config!$B$7&amp;" dias","Depois")))))))</f>
        <v/>
      </c>
      <c r="J37" s="35">
        <f>IF(OR(I37="",I37="Feito",I37="Sem data"),0,IF(I37="Atrasado",3000+MIN(Config!$B$5-D37,60),IF(I37="Hoje",2500,IF(D37-Config!$B$5&lt;=Config!$B$6,2000-(D37-Config!$B$5),IF(D37-Config!$B$5&lt;=Config!$B$7,1000-(D37-Config!$B$5),500-MIN(D37-Config!$B$5,400)))))-ROW()/100000)</f>
        <v/>
      </c>
    </row>
    <row r="38">
      <c r="A38" s="31" t="inlineStr">
        <is>
          <t>8986364-51.2026.8.26.0700</t>
        </is>
      </c>
      <c r="B38" s="31" t="inlineStr">
        <is>
          <t>Luciana Farias</t>
        </is>
      </c>
      <c r="C38" s="33" t="inlineStr">
        <is>
          <t>Juntada de documentos</t>
        </is>
      </c>
      <c r="D38" s="34">
        <f>TODAY()-6</f>
        <v/>
      </c>
      <c r="E38" s="33" t="inlineStr">
        <is>
          <t>Júlia Prado</t>
        </is>
      </c>
      <c r="F38" s="33" t="inlineStr">
        <is>
          <t>Sim</t>
        </is>
      </c>
      <c r="G38" s="31" t="inlineStr">
        <is>
          <t>Entregue no protocolo</t>
        </is>
      </c>
      <c r="H38" s="28">
        <f>IF(OR(I38="",I38="Feito",I38="Sem data"),"",D38-Config!$B$5)</f>
        <v/>
      </c>
      <c r="I38" s="25">
        <f>IF(AND(A38="",C38="",D38=""),"",IF(F38="Sim","Feito",IF(D38="","Sem data",IF(D38&lt;Config!$B$5,"Atrasado",IF(D38=Config!$B$5,"Hoje",IF(D38-Config!$B$5&lt;=Config!$B$6,"Até "&amp;Config!$B$6&amp;" dias",IF(D38-Config!$B$5&lt;=Config!$B$7,"Até "&amp;Config!$B$7&amp;" dias","Depois")))))))</f>
        <v/>
      </c>
      <c r="J38" s="35">
        <f>IF(OR(I38="",I38="Feito",I38="Sem data"),0,IF(I38="Atrasado",3000+MIN(Config!$B$5-D38,60),IF(I38="Hoje",2500,IF(D38-Config!$B$5&lt;=Config!$B$6,2000-(D38-Config!$B$5),IF(D38-Config!$B$5&lt;=Config!$B$7,1000-(D38-Config!$B$5),500-MIN(D38-Config!$B$5,400)))))-ROW()/100000)</f>
        <v/>
      </c>
    </row>
    <row r="39">
      <c r="A39" s="31" t="inlineStr">
        <is>
          <t>1808451-67.2026.8.26.0657</t>
        </is>
      </c>
      <c r="B39" s="31" t="inlineStr">
        <is>
          <t>Helena Duarte</t>
        </is>
      </c>
      <c r="C39" s="33" t="inlineStr">
        <is>
          <t>Reunião com cliente</t>
        </is>
      </c>
      <c r="D39" s="34">
        <f>TODAY()-10</f>
        <v/>
      </c>
      <c r="E39" s="33" t="inlineStr">
        <is>
          <t>Rafael Lima</t>
        </is>
      </c>
      <c r="F39" s="33" t="inlineStr">
        <is>
          <t>Sim</t>
        </is>
      </c>
      <c r="G39" s="31" t="inlineStr">
        <is>
          <t>Feita por vídeo</t>
        </is>
      </c>
      <c r="H39" s="28">
        <f>IF(OR(I39="",I39="Feito",I39="Sem data"),"",D39-Config!$B$5)</f>
        <v/>
      </c>
      <c r="I39" s="25">
        <f>IF(AND(A39="",C39="",D39=""),"",IF(F39="Sim","Feito",IF(D39="","Sem data",IF(D39&lt;Config!$B$5,"Atrasado",IF(D39=Config!$B$5,"Hoje",IF(D39-Config!$B$5&lt;=Config!$B$6,"Até "&amp;Config!$B$6&amp;" dias",IF(D39-Config!$B$5&lt;=Config!$B$7,"Até "&amp;Config!$B$7&amp;" dias","Depois")))))))</f>
        <v/>
      </c>
      <c r="J39" s="35">
        <f>IF(OR(I39="",I39="Feito",I39="Sem data"),0,IF(I39="Atrasado",3000+MIN(Config!$B$5-D39,60),IF(I39="Hoje",2500,IF(D39-Config!$B$5&lt;=Config!$B$6,2000-(D39-Config!$B$5),IF(D39-Config!$B$5&lt;=Config!$B$7,1000-(D39-Config!$B$5),500-MIN(D39-Config!$B$5,400)))))-ROW()/100000)</f>
        <v/>
      </c>
    </row>
    <row r="40">
      <c r="A40" s="31" t="n"/>
      <c r="B40" s="31" t="n"/>
      <c r="C40" s="33" t="n"/>
      <c r="D40" s="34" t="n"/>
      <c r="E40" s="33" t="n"/>
      <c r="F40" s="33" t="n"/>
      <c r="G40" s="31" t="n"/>
      <c r="H40" s="28">
        <f>IF(OR(I40="",I40="Feito",I40="Sem data"),"",D40-Config!$B$5)</f>
        <v/>
      </c>
      <c r="I40" s="25">
        <f>IF(AND(A40="",C40="",D40=""),"",IF(F40="Sim","Feito",IF(D40="","Sem data",IF(D40&lt;Config!$B$5,"Atrasado",IF(D40=Config!$B$5,"Hoje",IF(D40-Config!$B$5&lt;=Config!$B$6,"Até "&amp;Config!$B$6&amp;" dias",IF(D40-Config!$B$5&lt;=Config!$B$7,"Até "&amp;Config!$B$7&amp;" dias","Depois")))))))</f>
        <v/>
      </c>
      <c r="J40" s="35">
        <f>IF(OR(I40="",I40="Feito",I40="Sem data"),0,IF(I40="Atrasado",3000+MIN(Config!$B$5-D40,60),IF(I40="Hoje",2500,IF(D40-Config!$B$5&lt;=Config!$B$6,2000-(D40-Config!$B$5),IF(D40-Config!$B$5&lt;=Config!$B$7,1000-(D40-Config!$B$5),500-MIN(D40-Config!$B$5,400)))))-ROW()/100000)</f>
        <v/>
      </c>
    </row>
    <row r="41">
      <c r="A41" s="31" t="n"/>
      <c r="B41" s="31" t="n"/>
      <c r="C41" s="33" t="n"/>
      <c r="D41" s="34" t="n"/>
      <c r="E41" s="33" t="n"/>
      <c r="F41" s="33" t="n"/>
      <c r="G41" s="31" t="n"/>
      <c r="H41" s="28">
        <f>IF(OR(I41="",I41="Feito",I41="Sem data"),"",D41-Config!$B$5)</f>
        <v/>
      </c>
      <c r="I41" s="25">
        <f>IF(AND(A41="",C41="",D41=""),"",IF(F41="Sim","Feito",IF(D41="","Sem data",IF(D41&lt;Config!$B$5,"Atrasado",IF(D41=Config!$B$5,"Hoje",IF(D41-Config!$B$5&lt;=Config!$B$6,"Até "&amp;Config!$B$6&amp;" dias",IF(D41-Config!$B$5&lt;=Config!$B$7,"Até "&amp;Config!$B$7&amp;" dias","Depois")))))))</f>
        <v/>
      </c>
      <c r="J41" s="35">
        <f>IF(OR(I41="",I41="Feito",I41="Sem data"),0,IF(I41="Atrasado",3000+MIN(Config!$B$5-D41,60),IF(I41="Hoje",2500,IF(D41-Config!$B$5&lt;=Config!$B$6,2000-(D41-Config!$B$5),IF(D41-Config!$B$5&lt;=Config!$B$7,1000-(D41-Config!$B$5),500-MIN(D41-Config!$B$5,400)))))-ROW()/100000)</f>
        <v/>
      </c>
    </row>
    <row r="42">
      <c r="A42" s="31" t="n"/>
      <c r="B42" s="31" t="n"/>
      <c r="C42" s="33" t="n"/>
      <c r="D42" s="34" t="n"/>
      <c r="E42" s="33" t="n"/>
      <c r="F42" s="33" t="n"/>
      <c r="G42" s="31" t="n"/>
      <c r="H42" s="28">
        <f>IF(OR(I42="",I42="Feito",I42="Sem data"),"",D42-Config!$B$5)</f>
        <v/>
      </c>
      <c r="I42" s="25">
        <f>IF(AND(A42="",C42="",D42=""),"",IF(F42="Sim","Feito",IF(D42="","Sem data",IF(D42&lt;Config!$B$5,"Atrasado",IF(D42=Config!$B$5,"Hoje",IF(D42-Config!$B$5&lt;=Config!$B$6,"Até "&amp;Config!$B$6&amp;" dias",IF(D42-Config!$B$5&lt;=Config!$B$7,"Até "&amp;Config!$B$7&amp;" dias","Depois")))))))</f>
        <v/>
      </c>
      <c r="J42" s="35">
        <f>IF(OR(I42="",I42="Feito",I42="Sem data"),0,IF(I42="Atrasado",3000+MIN(Config!$B$5-D42,60),IF(I42="Hoje",2500,IF(D42-Config!$B$5&lt;=Config!$B$6,2000-(D42-Config!$B$5),IF(D42-Config!$B$5&lt;=Config!$B$7,1000-(D42-Config!$B$5),500-MIN(D42-Config!$B$5,400)))))-ROW()/100000)</f>
        <v/>
      </c>
    </row>
    <row r="43">
      <c r="A43" s="31" t="n"/>
      <c r="B43" s="31" t="n"/>
      <c r="C43" s="33" t="n"/>
      <c r="D43" s="34" t="n"/>
      <c r="E43" s="33" t="n"/>
      <c r="F43" s="33" t="n"/>
      <c r="G43" s="31" t="n"/>
      <c r="H43" s="28">
        <f>IF(OR(I43="",I43="Feito",I43="Sem data"),"",D43-Config!$B$5)</f>
        <v/>
      </c>
      <c r="I43" s="25">
        <f>IF(AND(A43="",C43="",D43=""),"",IF(F43="Sim","Feito",IF(D43="","Sem data",IF(D43&lt;Config!$B$5,"Atrasado",IF(D43=Config!$B$5,"Hoje",IF(D43-Config!$B$5&lt;=Config!$B$6,"Até "&amp;Config!$B$6&amp;" dias",IF(D43-Config!$B$5&lt;=Config!$B$7,"Até "&amp;Config!$B$7&amp;" dias","Depois")))))))</f>
        <v/>
      </c>
      <c r="J43" s="35">
        <f>IF(OR(I43="",I43="Feito",I43="Sem data"),0,IF(I43="Atrasado",3000+MIN(Config!$B$5-D43,60),IF(I43="Hoje",2500,IF(D43-Config!$B$5&lt;=Config!$B$6,2000-(D43-Config!$B$5),IF(D43-Config!$B$5&lt;=Config!$B$7,1000-(D43-Config!$B$5),500-MIN(D43-Config!$B$5,400)))))-ROW()/100000)</f>
        <v/>
      </c>
    </row>
    <row r="44">
      <c r="A44" s="31" t="n"/>
      <c r="B44" s="31" t="n"/>
      <c r="C44" s="33" t="n"/>
      <c r="D44" s="34" t="n"/>
      <c r="E44" s="33" t="n"/>
      <c r="F44" s="33" t="n"/>
      <c r="G44" s="31" t="n"/>
      <c r="H44" s="28">
        <f>IF(OR(I44="",I44="Feito",I44="Sem data"),"",D44-Config!$B$5)</f>
        <v/>
      </c>
      <c r="I44" s="25">
        <f>IF(AND(A44="",C44="",D44=""),"",IF(F44="Sim","Feito",IF(D44="","Sem data",IF(D44&lt;Config!$B$5,"Atrasado",IF(D44=Config!$B$5,"Hoje",IF(D44-Config!$B$5&lt;=Config!$B$6,"Até "&amp;Config!$B$6&amp;" dias",IF(D44-Config!$B$5&lt;=Config!$B$7,"Até "&amp;Config!$B$7&amp;" dias","Depois")))))))</f>
        <v/>
      </c>
      <c r="J44" s="35">
        <f>IF(OR(I44="",I44="Feito",I44="Sem data"),0,IF(I44="Atrasado",3000+MIN(Config!$B$5-D44,60),IF(I44="Hoje",2500,IF(D44-Config!$B$5&lt;=Config!$B$6,2000-(D44-Config!$B$5),IF(D44-Config!$B$5&lt;=Config!$B$7,1000-(D44-Config!$B$5),500-MIN(D44-Config!$B$5,400)))))-ROW()/100000)</f>
        <v/>
      </c>
    </row>
    <row r="45">
      <c r="A45" s="31" t="n"/>
      <c r="B45" s="31" t="n"/>
      <c r="C45" s="33" t="n"/>
      <c r="D45" s="34" t="n"/>
      <c r="E45" s="33" t="n"/>
      <c r="F45" s="33" t="n"/>
      <c r="G45" s="31" t="n"/>
      <c r="H45" s="28">
        <f>IF(OR(I45="",I45="Feito",I45="Sem data"),"",D45-Config!$B$5)</f>
        <v/>
      </c>
      <c r="I45" s="25">
        <f>IF(AND(A45="",C45="",D45=""),"",IF(F45="Sim","Feito",IF(D45="","Sem data",IF(D45&lt;Config!$B$5,"Atrasado",IF(D45=Config!$B$5,"Hoje",IF(D45-Config!$B$5&lt;=Config!$B$6,"Até "&amp;Config!$B$6&amp;" dias",IF(D45-Config!$B$5&lt;=Config!$B$7,"Até "&amp;Config!$B$7&amp;" dias","Depois")))))))</f>
        <v/>
      </c>
      <c r="J45" s="35">
        <f>IF(OR(I45="",I45="Feito",I45="Sem data"),0,IF(I45="Atrasado",3000+MIN(Config!$B$5-D45,60),IF(I45="Hoje",2500,IF(D45-Config!$B$5&lt;=Config!$B$6,2000-(D45-Config!$B$5),IF(D45-Config!$B$5&lt;=Config!$B$7,1000-(D45-Config!$B$5),500-MIN(D45-Config!$B$5,400)))))-ROW()/100000)</f>
        <v/>
      </c>
    </row>
    <row r="46">
      <c r="A46" s="31" t="n"/>
      <c r="B46" s="31" t="n"/>
      <c r="C46" s="33" t="n"/>
      <c r="D46" s="34" t="n"/>
      <c r="E46" s="33" t="n"/>
      <c r="F46" s="33" t="n"/>
      <c r="G46" s="31" t="n"/>
      <c r="H46" s="28">
        <f>IF(OR(I46="",I46="Feito",I46="Sem data"),"",D46-Config!$B$5)</f>
        <v/>
      </c>
      <c r="I46" s="25">
        <f>IF(AND(A46="",C46="",D46=""),"",IF(F46="Sim","Feito",IF(D46="","Sem data",IF(D46&lt;Config!$B$5,"Atrasado",IF(D46=Config!$B$5,"Hoje",IF(D46-Config!$B$5&lt;=Config!$B$6,"Até "&amp;Config!$B$6&amp;" dias",IF(D46-Config!$B$5&lt;=Config!$B$7,"Até "&amp;Config!$B$7&amp;" dias","Depois")))))))</f>
        <v/>
      </c>
      <c r="J46" s="35">
        <f>IF(OR(I46="",I46="Feito",I46="Sem data"),0,IF(I46="Atrasado",3000+MIN(Config!$B$5-D46,60),IF(I46="Hoje",2500,IF(D46-Config!$B$5&lt;=Config!$B$6,2000-(D46-Config!$B$5),IF(D46-Config!$B$5&lt;=Config!$B$7,1000-(D46-Config!$B$5),500-MIN(D46-Config!$B$5,400)))))-ROW()/100000)</f>
        <v/>
      </c>
    </row>
    <row r="47">
      <c r="A47" s="31" t="n"/>
      <c r="B47" s="31" t="n"/>
      <c r="C47" s="33" t="n"/>
      <c r="D47" s="34" t="n"/>
      <c r="E47" s="33" t="n"/>
      <c r="F47" s="33" t="n"/>
      <c r="G47" s="31" t="n"/>
      <c r="H47" s="28">
        <f>IF(OR(I47="",I47="Feito",I47="Sem data"),"",D47-Config!$B$5)</f>
        <v/>
      </c>
      <c r="I47" s="25">
        <f>IF(AND(A47="",C47="",D47=""),"",IF(F47="Sim","Feito",IF(D47="","Sem data",IF(D47&lt;Config!$B$5,"Atrasado",IF(D47=Config!$B$5,"Hoje",IF(D47-Config!$B$5&lt;=Config!$B$6,"Até "&amp;Config!$B$6&amp;" dias",IF(D47-Config!$B$5&lt;=Config!$B$7,"Até "&amp;Config!$B$7&amp;" dias","Depois")))))))</f>
        <v/>
      </c>
      <c r="J47" s="35">
        <f>IF(OR(I47="",I47="Feito",I47="Sem data"),0,IF(I47="Atrasado",3000+MIN(Config!$B$5-D47,60),IF(I47="Hoje",2500,IF(D47-Config!$B$5&lt;=Config!$B$6,2000-(D47-Config!$B$5),IF(D47-Config!$B$5&lt;=Config!$B$7,1000-(D47-Config!$B$5),500-MIN(D47-Config!$B$5,400)))))-ROW()/100000)</f>
        <v/>
      </c>
    </row>
    <row r="48">
      <c r="A48" s="31" t="n"/>
      <c r="B48" s="31" t="n"/>
      <c r="C48" s="33" t="n"/>
      <c r="D48" s="34" t="n"/>
      <c r="E48" s="33" t="n"/>
      <c r="F48" s="33" t="n"/>
      <c r="G48" s="31" t="n"/>
      <c r="H48" s="28">
        <f>IF(OR(I48="",I48="Feito",I48="Sem data"),"",D48-Config!$B$5)</f>
        <v/>
      </c>
      <c r="I48" s="25">
        <f>IF(AND(A48="",C48="",D48=""),"",IF(F48="Sim","Feito",IF(D48="","Sem data",IF(D48&lt;Config!$B$5,"Atrasado",IF(D48=Config!$B$5,"Hoje",IF(D48-Config!$B$5&lt;=Config!$B$6,"Até "&amp;Config!$B$6&amp;" dias",IF(D48-Config!$B$5&lt;=Config!$B$7,"Até "&amp;Config!$B$7&amp;" dias","Depois")))))))</f>
        <v/>
      </c>
      <c r="J48" s="35">
        <f>IF(OR(I48="",I48="Feito",I48="Sem data"),0,IF(I48="Atrasado",3000+MIN(Config!$B$5-D48,60),IF(I48="Hoje",2500,IF(D48-Config!$B$5&lt;=Config!$B$6,2000-(D48-Config!$B$5),IF(D48-Config!$B$5&lt;=Config!$B$7,1000-(D48-Config!$B$5),500-MIN(D48-Config!$B$5,400)))))-ROW()/100000)</f>
        <v/>
      </c>
    </row>
    <row r="49">
      <c r="A49" s="31" t="n"/>
      <c r="B49" s="31" t="n"/>
      <c r="C49" s="33" t="n"/>
      <c r="D49" s="34" t="n"/>
      <c r="E49" s="33" t="n"/>
      <c r="F49" s="33" t="n"/>
      <c r="G49" s="31" t="n"/>
      <c r="H49" s="28">
        <f>IF(OR(I49="",I49="Feito",I49="Sem data"),"",D49-Config!$B$5)</f>
        <v/>
      </c>
      <c r="I49" s="25">
        <f>IF(AND(A49="",C49="",D49=""),"",IF(F49="Sim","Feito",IF(D49="","Sem data",IF(D49&lt;Config!$B$5,"Atrasado",IF(D49=Config!$B$5,"Hoje",IF(D49-Config!$B$5&lt;=Config!$B$6,"Até "&amp;Config!$B$6&amp;" dias",IF(D49-Config!$B$5&lt;=Config!$B$7,"Até "&amp;Config!$B$7&amp;" dias","Depois")))))))</f>
        <v/>
      </c>
      <c r="J49" s="35">
        <f>IF(OR(I49="",I49="Feito",I49="Sem data"),0,IF(I49="Atrasado",3000+MIN(Config!$B$5-D49,60),IF(I49="Hoje",2500,IF(D49-Config!$B$5&lt;=Config!$B$6,2000-(D49-Config!$B$5),IF(D49-Config!$B$5&lt;=Config!$B$7,1000-(D49-Config!$B$5),500-MIN(D49-Config!$B$5,400)))))-ROW()/100000)</f>
        <v/>
      </c>
    </row>
    <row r="50">
      <c r="A50" s="31" t="n"/>
      <c r="B50" s="31" t="n"/>
      <c r="C50" s="33" t="n"/>
      <c r="D50" s="34" t="n"/>
      <c r="E50" s="33" t="n"/>
      <c r="F50" s="33" t="n"/>
      <c r="G50" s="31" t="n"/>
      <c r="H50" s="28">
        <f>IF(OR(I50="",I50="Feito",I50="Sem data"),"",D50-Config!$B$5)</f>
        <v/>
      </c>
      <c r="I50" s="25">
        <f>IF(AND(A50="",C50="",D50=""),"",IF(F50="Sim","Feito",IF(D50="","Sem data",IF(D50&lt;Config!$B$5,"Atrasado",IF(D50=Config!$B$5,"Hoje",IF(D50-Config!$B$5&lt;=Config!$B$6,"Até "&amp;Config!$B$6&amp;" dias",IF(D50-Config!$B$5&lt;=Config!$B$7,"Até "&amp;Config!$B$7&amp;" dias","Depois")))))))</f>
        <v/>
      </c>
      <c r="J50" s="35">
        <f>IF(OR(I50="",I50="Feito",I50="Sem data"),0,IF(I50="Atrasado",3000+MIN(Config!$B$5-D50,60),IF(I50="Hoje",2500,IF(D50-Config!$B$5&lt;=Config!$B$6,2000-(D50-Config!$B$5),IF(D50-Config!$B$5&lt;=Config!$B$7,1000-(D50-Config!$B$5),500-MIN(D50-Config!$B$5,400)))))-ROW()/100000)</f>
        <v/>
      </c>
    </row>
    <row r="51">
      <c r="A51" s="31" t="n"/>
      <c r="B51" s="31" t="n"/>
      <c r="C51" s="33" t="n"/>
      <c r="D51" s="34" t="n"/>
      <c r="E51" s="33" t="n"/>
      <c r="F51" s="33" t="n"/>
      <c r="G51" s="31" t="n"/>
      <c r="H51" s="28">
        <f>IF(OR(I51="",I51="Feito",I51="Sem data"),"",D51-Config!$B$5)</f>
        <v/>
      </c>
      <c r="I51" s="25">
        <f>IF(AND(A51="",C51="",D51=""),"",IF(F51="Sim","Feito",IF(D51="","Sem data",IF(D51&lt;Config!$B$5,"Atrasado",IF(D51=Config!$B$5,"Hoje",IF(D51-Config!$B$5&lt;=Config!$B$6,"Até "&amp;Config!$B$6&amp;" dias",IF(D51-Config!$B$5&lt;=Config!$B$7,"Até "&amp;Config!$B$7&amp;" dias","Depois")))))))</f>
        <v/>
      </c>
      <c r="J51" s="35">
        <f>IF(OR(I51="",I51="Feito",I51="Sem data"),0,IF(I51="Atrasado",3000+MIN(Config!$B$5-D51,60),IF(I51="Hoje",2500,IF(D51-Config!$B$5&lt;=Config!$B$6,2000-(D51-Config!$B$5),IF(D51-Config!$B$5&lt;=Config!$B$7,1000-(D51-Config!$B$5),500-MIN(D51-Config!$B$5,400)))))-ROW()/100000)</f>
        <v/>
      </c>
    </row>
    <row r="52">
      <c r="A52" s="31" t="n"/>
      <c r="B52" s="31" t="n"/>
      <c r="C52" s="33" t="n"/>
      <c r="D52" s="34" t="n"/>
      <c r="E52" s="33" t="n"/>
      <c r="F52" s="33" t="n"/>
      <c r="G52" s="31" t="n"/>
      <c r="H52" s="28">
        <f>IF(OR(I52="",I52="Feito",I52="Sem data"),"",D52-Config!$B$5)</f>
        <v/>
      </c>
      <c r="I52" s="25">
        <f>IF(AND(A52="",C52="",D52=""),"",IF(F52="Sim","Feito",IF(D52="","Sem data",IF(D52&lt;Config!$B$5,"Atrasado",IF(D52=Config!$B$5,"Hoje",IF(D52-Config!$B$5&lt;=Config!$B$6,"Até "&amp;Config!$B$6&amp;" dias",IF(D52-Config!$B$5&lt;=Config!$B$7,"Até "&amp;Config!$B$7&amp;" dias","Depois")))))))</f>
        <v/>
      </c>
      <c r="J52" s="35">
        <f>IF(OR(I52="",I52="Feito",I52="Sem data"),0,IF(I52="Atrasado",3000+MIN(Config!$B$5-D52,60),IF(I52="Hoje",2500,IF(D52-Config!$B$5&lt;=Config!$B$6,2000-(D52-Config!$B$5),IF(D52-Config!$B$5&lt;=Config!$B$7,1000-(D52-Config!$B$5),500-MIN(D52-Config!$B$5,400)))))-ROW()/100000)</f>
        <v/>
      </c>
    </row>
    <row r="53">
      <c r="A53" s="31" t="n"/>
      <c r="B53" s="31" t="n"/>
      <c r="C53" s="33" t="n"/>
      <c r="D53" s="34" t="n"/>
      <c r="E53" s="33" t="n"/>
      <c r="F53" s="33" t="n"/>
      <c r="G53" s="31" t="n"/>
      <c r="H53" s="28">
        <f>IF(OR(I53="",I53="Feito",I53="Sem data"),"",D53-Config!$B$5)</f>
        <v/>
      </c>
      <c r="I53" s="25">
        <f>IF(AND(A53="",C53="",D53=""),"",IF(F53="Sim","Feito",IF(D53="","Sem data",IF(D53&lt;Config!$B$5,"Atrasado",IF(D53=Config!$B$5,"Hoje",IF(D53-Config!$B$5&lt;=Config!$B$6,"Até "&amp;Config!$B$6&amp;" dias",IF(D53-Config!$B$5&lt;=Config!$B$7,"Até "&amp;Config!$B$7&amp;" dias","Depois")))))))</f>
        <v/>
      </c>
      <c r="J53" s="35">
        <f>IF(OR(I53="",I53="Feito",I53="Sem data"),0,IF(I53="Atrasado",3000+MIN(Config!$B$5-D53,60),IF(I53="Hoje",2500,IF(D53-Config!$B$5&lt;=Config!$B$6,2000-(D53-Config!$B$5),IF(D53-Config!$B$5&lt;=Config!$B$7,1000-(D53-Config!$B$5),500-MIN(D53-Config!$B$5,400)))))-ROW()/100000)</f>
        <v/>
      </c>
    </row>
    <row r="54">
      <c r="A54" s="31" t="n"/>
      <c r="B54" s="31" t="n"/>
      <c r="C54" s="33" t="n"/>
      <c r="D54" s="34" t="n"/>
      <c r="E54" s="33" t="n"/>
      <c r="F54" s="33" t="n"/>
      <c r="G54" s="31" t="n"/>
      <c r="H54" s="28">
        <f>IF(OR(I54="",I54="Feito",I54="Sem data"),"",D54-Config!$B$5)</f>
        <v/>
      </c>
      <c r="I54" s="25">
        <f>IF(AND(A54="",C54="",D54=""),"",IF(F54="Sim","Feito",IF(D54="","Sem data",IF(D54&lt;Config!$B$5,"Atrasado",IF(D54=Config!$B$5,"Hoje",IF(D54-Config!$B$5&lt;=Config!$B$6,"Até "&amp;Config!$B$6&amp;" dias",IF(D54-Config!$B$5&lt;=Config!$B$7,"Até "&amp;Config!$B$7&amp;" dias","Depois")))))))</f>
        <v/>
      </c>
      <c r="J54" s="35">
        <f>IF(OR(I54="",I54="Feito",I54="Sem data"),0,IF(I54="Atrasado",3000+MIN(Config!$B$5-D54,60),IF(I54="Hoje",2500,IF(D54-Config!$B$5&lt;=Config!$B$6,2000-(D54-Config!$B$5),IF(D54-Config!$B$5&lt;=Config!$B$7,1000-(D54-Config!$B$5),500-MIN(D54-Config!$B$5,400)))))-ROW()/100000)</f>
        <v/>
      </c>
    </row>
    <row r="55">
      <c r="A55" s="31" t="n"/>
      <c r="B55" s="31" t="n"/>
      <c r="C55" s="33" t="n"/>
      <c r="D55" s="34" t="n"/>
      <c r="E55" s="33" t="n"/>
      <c r="F55" s="33" t="n"/>
      <c r="G55" s="31" t="n"/>
      <c r="H55" s="28">
        <f>IF(OR(I55="",I55="Feito",I55="Sem data"),"",D55-Config!$B$5)</f>
        <v/>
      </c>
      <c r="I55" s="25">
        <f>IF(AND(A55="",C55="",D55=""),"",IF(F55="Sim","Feito",IF(D55="","Sem data",IF(D55&lt;Config!$B$5,"Atrasado",IF(D55=Config!$B$5,"Hoje",IF(D55-Config!$B$5&lt;=Config!$B$6,"Até "&amp;Config!$B$6&amp;" dias",IF(D55-Config!$B$5&lt;=Config!$B$7,"Até "&amp;Config!$B$7&amp;" dias","Depois")))))))</f>
        <v/>
      </c>
      <c r="J55" s="35">
        <f>IF(OR(I55="",I55="Feito",I55="Sem data"),0,IF(I55="Atrasado",3000+MIN(Config!$B$5-D55,60),IF(I55="Hoje",2500,IF(D55-Config!$B$5&lt;=Config!$B$6,2000-(D55-Config!$B$5),IF(D55-Config!$B$5&lt;=Config!$B$7,1000-(D55-Config!$B$5),500-MIN(D55-Config!$B$5,400)))))-ROW()/100000)</f>
        <v/>
      </c>
    </row>
    <row r="56">
      <c r="A56" s="31" t="n"/>
      <c r="B56" s="31" t="n"/>
      <c r="C56" s="33" t="n"/>
      <c r="D56" s="34" t="n"/>
      <c r="E56" s="33" t="n"/>
      <c r="F56" s="33" t="n"/>
      <c r="G56" s="31" t="n"/>
      <c r="H56" s="28">
        <f>IF(OR(I56="",I56="Feito",I56="Sem data"),"",D56-Config!$B$5)</f>
        <v/>
      </c>
      <c r="I56" s="25">
        <f>IF(AND(A56="",C56="",D56=""),"",IF(F56="Sim","Feito",IF(D56="","Sem data",IF(D56&lt;Config!$B$5,"Atrasado",IF(D56=Config!$B$5,"Hoje",IF(D56-Config!$B$5&lt;=Config!$B$6,"Até "&amp;Config!$B$6&amp;" dias",IF(D56-Config!$B$5&lt;=Config!$B$7,"Até "&amp;Config!$B$7&amp;" dias","Depois")))))))</f>
        <v/>
      </c>
      <c r="J56" s="35">
        <f>IF(OR(I56="",I56="Feito",I56="Sem data"),0,IF(I56="Atrasado",3000+MIN(Config!$B$5-D56,60),IF(I56="Hoje",2500,IF(D56-Config!$B$5&lt;=Config!$B$6,2000-(D56-Config!$B$5),IF(D56-Config!$B$5&lt;=Config!$B$7,1000-(D56-Config!$B$5),500-MIN(D56-Config!$B$5,400)))))-ROW()/100000)</f>
        <v/>
      </c>
    </row>
    <row r="57">
      <c r="A57" s="31" t="n"/>
      <c r="B57" s="31" t="n"/>
      <c r="C57" s="33" t="n"/>
      <c r="D57" s="34" t="n"/>
      <c r="E57" s="33" t="n"/>
      <c r="F57" s="33" t="n"/>
      <c r="G57" s="31" t="n"/>
      <c r="H57" s="28">
        <f>IF(OR(I57="",I57="Feito",I57="Sem data"),"",D57-Config!$B$5)</f>
        <v/>
      </c>
      <c r="I57" s="25">
        <f>IF(AND(A57="",C57="",D57=""),"",IF(F57="Sim","Feito",IF(D57="","Sem data",IF(D57&lt;Config!$B$5,"Atrasado",IF(D57=Config!$B$5,"Hoje",IF(D57-Config!$B$5&lt;=Config!$B$6,"Até "&amp;Config!$B$6&amp;" dias",IF(D57-Config!$B$5&lt;=Config!$B$7,"Até "&amp;Config!$B$7&amp;" dias","Depois")))))))</f>
        <v/>
      </c>
      <c r="J57" s="35">
        <f>IF(OR(I57="",I57="Feito",I57="Sem data"),0,IF(I57="Atrasado",3000+MIN(Config!$B$5-D57,60),IF(I57="Hoje",2500,IF(D57-Config!$B$5&lt;=Config!$B$6,2000-(D57-Config!$B$5),IF(D57-Config!$B$5&lt;=Config!$B$7,1000-(D57-Config!$B$5),500-MIN(D57-Config!$B$5,400)))))-ROW()/100000)</f>
        <v/>
      </c>
    </row>
    <row r="58">
      <c r="A58" s="31" t="n"/>
      <c r="B58" s="31" t="n"/>
      <c r="C58" s="33" t="n"/>
      <c r="D58" s="34" t="n"/>
      <c r="E58" s="33" t="n"/>
      <c r="F58" s="33" t="n"/>
      <c r="G58" s="31" t="n"/>
      <c r="H58" s="28">
        <f>IF(OR(I58="",I58="Feito",I58="Sem data"),"",D58-Config!$B$5)</f>
        <v/>
      </c>
      <c r="I58" s="25">
        <f>IF(AND(A58="",C58="",D58=""),"",IF(F58="Sim","Feito",IF(D58="","Sem data",IF(D58&lt;Config!$B$5,"Atrasado",IF(D58=Config!$B$5,"Hoje",IF(D58-Config!$B$5&lt;=Config!$B$6,"Até "&amp;Config!$B$6&amp;" dias",IF(D58-Config!$B$5&lt;=Config!$B$7,"Até "&amp;Config!$B$7&amp;" dias","Depois")))))))</f>
        <v/>
      </c>
      <c r="J58" s="35">
        <f>IF(OR(I58="",I58="Feito",I58="Sem data"),0,IF(I58="Atrasado",3000+MIN(Config!$B$5-D58,60),IF(I58="Hoje",2500,IF(D58-Config!$B$5&lt;=Config!$B$6,2000-(D58-Config!$B$5),IF(D58-Config!$B$5&lt;=Config!$B$7,1000-(D58-Config!$B$5),500-MIN(D58-Config!$B$5,400)))))-ROW()/100000)</f>
        <v/>
      </c>
    </row>
    <row r="59">
      <c r="A59" s="31" t="n"/>
      <c r="B59" s="31" t="n"/>
      <c r="C59" s="33" t="n"/>
      <c r="D59" s="34" t="n"/>
      <c r="E59" s="33" t="n"/>
      <c r="F59" s="33" t="n"/>
      <c r="G59" s="31" t="n"/>
      <c r="H59" s="28">
        <f>IF(OR(I59="",I59="Feito",I59="Sem data"),"",D59-Config!$B$5)</f>
        <v/>
      </c>
      <c r="I59" s="25">
        <f>IF(AND(A59="",C59="",D59=""),"",IF(F59="Sim","Feito",IF(D59="","Sem data",IF(D59&lt;Config!$B$5,"Atrasado",IF(D59=Config!$B$5,"Hoje",IF(D59-Config!$B$5&lt;=Config!$B$6,"Até "&amp;Config!$B$6&amp;" dias",IF(D59-Config!$B$5&lt;=Config!$B$7,"Até "&amp;Config!$B$7&amp;" dias","Depois")))))))</f>
        <v/>
      </c>
      <c r="J59" s="35">
        <f>IF(OR(I59="",I59="Feito",I59="Sem data"),0,IF(I59="Atrasado",3000+MIN(Config!$B$5-D59,60),IF(I59="Hoje",2500,IF(D59-Config!$B$5&lt;=Config!$B$6,2000-(D59-Config!$B$5),IF(D59-Config!$B$5&lt;=Config!$B$7,1000-(D59-Config!$B$5),500-MIN(D59-Config!$B$5,400)))))-ROW()/100000)</f>
        <v/>
      </c>
    </row>
    <row r="60">
      <c r="A60" s="31" t="n"/>
      <c r="B60" s="31" t="n"/>
      <c r="C60" s="33" t="n"/>
      <c r="D60" s="34" t="n"/>
      <c r="E60" s="33" t="n"/>
      <c r="F60" s="33" t="n"/>
      <c r="G60" s="31" t="n"/>
      <c r="H60" s="28">
        <f>IF(OR(I60="",I60="Feito",I60="Sem data"),"",D60-Config!$B$5)</f>
        <v/>
      </c>
      <c r="I60" s="25">
        <f>IF(AND(A60="",C60="",D60=""),"",IF(F60="Sim","Feito",IF(D60="","Sem data",IF(D60&lt;Config!$B$5,"Atrasado",IF(D60=Config!$B$5,"Hoje",IF(D60-Config!$B$5&lt;=Config!$B$6,"Até "&amp;Config!$B$6&amp;" dias",IF(D60-Config!$B$5&lt;=Config!$B$7,"Até "&amp;Config!$B$7&amp;" dias","Depois")))))))</f>
        <v/>
      </c>
      <c r="J60" s="35">
        <f>IF(OR(I60="",I60="Feito",I60="Sem data"),0,IF(I60="Atrasado",3000+MIN(Config!$B$5-D60,60),IF(I60="Hoje",2500,IF(D60-Config!$B$5&lt;=Config!$B$6,2000-(D60-Config!$B$5),IF(D60-Config!$B$5&lt;=Config!$B$7,1000-(D60-Config!$B$5),500-MIN(D60-Config!$B$5,400)))))-ROW()/100000)</f>
        <v/>
      </c>
    </row>
    <row r="61">
      <c r="A61" s="31" t="n"/>
      <c r="B61" s="31" t="n"/>
      <c r="C61" s="33" t="n"/>
      <c r="D61" s="34" t="n"/>
      <c r="E61" s="33" t="n"/>
      <c r="F61" s="33" t="n"/>
      <c r="G61" s="31" t="n"/>
      <c r="H61" s="28">
        <f>IF(OR(I61="",I61="Feito",I61="Sem data"),"",D61-Config!$B$5)</f>
        <v/>
      </c>
      <c r="I61" s="25">
        <f>IF(AND(A61="",C61="",D61=""),"",IF(F61="Sim","Feito",IF(D61="","Sem data",IF(D61&lt;Config!$B$5,"Atrasado",IF(D61=Config!$B$5,"Hoje",IF(D61-Config!$B$5&lt;=Config!$B$6,"Até "&amp;Config!$B$6&amp;" dias",IF(D61-Config!$B$5&lt;=Config!$B$7,"Até "&amp;Config!$B$7&amp;" dias","Depois")))))))</f>
        <v/>
      </c>
      <c r="J61" s="35">
        <f>IF(OR(I61="",I61="Feito",I61="Sem data"),0,IF(I61="Atrasado",3000+MIN(Config!$B$5-D61,60),IF(I61="Hoje",2500,IF(D61-Config!$B$5&lt;=Config!$B$6,2000-(D61-Config!$B$5),IF(D61-Config!$B$5&lt;=Config!$B$7,1000-(D61-Config!$B$5),500-MIN(D61-Config!$B$5,400)))))-ROW()/100000)</f>
        <v/>
      </c>
    </row>
    <row r="62">
      <c r="A62" s="31" t="n"/>
      <c r="B62" s="31" t="n"/>
      <c r="C62" s="33" t="n"/>
      <c r="D62" s="34" t="n"/>
      <c r="E62" s="33" t="n"/>
      <c r="F62" s="33" t="n"/>
      <c r="G62" s="31" t="n"/>
      <c r="H62" s="28">
        <f>IF(OR(I62="",I62="Feito",I62="Sem data"),"",D62-Config!$B$5)</f>
        <v/>
      </c>
      <c r="I62" s="25">
        <f>IF(AND(A62="",C62="",D62=""),"",IF(F62="Sim","Feito",IF(D62="","Sem data",IF(D62&lt;Config!$B$5,"Atrasado",IF(D62=Config!$B$5,"Hoje",IF(D62-Config!$B$5&lt;=Config!$B$6,"Até "&amp;Config!$B$6&amp;" dias",IF(D62-Config!$B$5&lt;=Config!$B$7,"Até "&amp;Config!$B$7&amp;" dias","Depois")))))))</f>
        <v/>
      </c>
      <c r="J62" s="35">
        <f>IF(OR(I62="",I62="Feito",I62="Sem data"),0,IF(I62="Atrasado",3000+MIN(Config!$B$5-D62,60),IF(I62="Hoje",2500,IF(D62-Config!$B$5&lt;=Config!$B$6,2000-(D62-Config!$B$5),IF(D62-Config!$B$5&lt;=Config!$B$7,1000-(D62-Config!$B$5),500-MIN(D62-Config!$B$5,400)))))-ROW()/100000)</f>
        <v/>
      </c>
    </row>
    <row r="63">
      <c r="A63" s="31" t="n"/>
      <c r="B63" s="31" t="n"/>
      <c r="C63" s="33" t="n"/>
      <c r="D63" s="34" t="n"/>
      <c r="E63" s="33" t="n"/>
      <c r="F63" s="33" t="n"/>
      <c r="G63" s="31" t="n"/>
      <c r="H63" s="28">
        <f>IF(OR(I63="",I63="Feito",I63="Sem data"),"",D63-Config!$B$5)</f>
        <v/>
      </c>
      <c r="I63" s="25">
        <f>IF(AND(A63="",C63="",D63=""),"",IF(F63="Sim","Feito",IF(D63="","Sem data",IF(D63&lt;Config!$B$5,"Atrasado",IF(D63=Config!$B$5,"Hoje",IF(D63-Config!$B$5&lt;=Config!$B$6,"Até "&amp;Config!$B$6&amp;" dias",IF(D63-Config!$B$5&lt;=Config!$B$7,"Até "&amp;Config!$B$7&amp;" dias","Depois")))))))</f>
        <v/>
      </c>
      <c r="J63" s="35">
        <f>IF(OR(I63="",I63="Feito",I63="Sem data"),0,IF(I63="Atrasado",3000+MIN(Config!$B$5-D63,60),IF(I63="Hoje",2500,IF(D63-Config!$B$5&lt;=Config!$B$6,2000-(D63-Config!$B$5),IF(D63-Config!$B$5&lt;=Config!$B$7,1000-(D63-Config!$B$5),500-MIN(D63-Config!$B$5,400)))))-ROW()/100000)</f>
        <v/>
      </c>
    </row>
    <row r="64">
      <c r="A64" s="31" t="n"/>
      <c r="B64" s="31" t="n"/>
      <c r="C64" s="33" t="n"/>
      <c r="D64" s="34" t="n"/>
      <c r="E64" s="33" t="n"/>
      <c r="F64" s="33" t="n"/>
      <c r="G64" s="31" t="n"/>
      <c r="H64" s="28">
        <f>IF(OR(I64="",I64="Feito",I64="Sem data"),"",D64-Config!$B$5)</f>
        <v/>
      </c>
      <c r="I64" s="25">
        <f>IF(AND(A64="",C64="",D64=""),"",IF(F64="Sim","Feito",IF(D64="","Sem data",IF(D64&lt;Config!$B$5,"Atrasado",IF(D64=Config!$B$5,"Hoje",IF(D64-Config!$B$5&lt;=Config!$B$6,"Até "&amp;Config!$B$6&amp;" dias",IF(D64-Config!$B$5&lt;=Config!$B$7,"Até "&amp;Config!$B$7&amp;" dias","Depois")))))))</f>
        <v/>
      </c>
      <c r="J64" s="35">
        <f>IF(OR(I64="",I64="Feito",I64="Sem data"),0,IF(I64="Atrasado",3000+MIN(Config!$B$5-D64,60),IF(I64="Hoje",2500,IF(D64-Config!$B$5&lt;=Config!$B$6,2000-(D64-Config!$B$5),IF(D64-Config!$B$5&lt;=Config!$B$7,1000-(D64-Config!$B$5),500-MIN(D64-Config!$B$5,400)))))-ROW()/100000)</f>
        <v/>
      </c>
    </row>
    <row r="65">
      <c r="A65" s="31" t="n"/>
      <c r="B65" s="31" t="n"/>
      <c r="C65" s="33" t="n"/>
      <c r="D65" s="34" t="n"/>
      <c r="E65" s="33" t="n"/>
      <c r="F65" s="33" t="n"/>
      <c r="G65" s="31" t="n"/>
      <c r="H65" s="28">
        <f>IF(OR(I65="",I65="Feito",I65="Sem data"),"",D65-Config!$B$5)</f>
        <v/>
      </c>
      <c r="I65" s="25">
        <f>IF(AND(A65="",C65="",D65=""),"",IF(F65="Sim","Feito",IF(D65="","Sem data",IF(D65&lt;Config!$B$5,"Atrasado",IF(D65=Config!$B$5,"Hoje",IF(D65-Config!$B$5&lt;=Config!$B$6,"Até "&amp;Config!$B$6&amp;" dias",IF(D65-Config!$B$5&lt;=Config!$B$7,"Até "&amp;Config!$B$7&amp;" dias","Depois")))))))</f>
        <v/>
      </c>
      <c r="J65" s="35">
        <f>IF(OR(I65="",I65="Feito",I65="Sem data"),0,IF(I65="Atrasado",3000+MIN(Config!$B$5-D65,60),IF(I65="Hoje",2500,IF(D65-Config!$B$5&lt;=Config!$B$6,2000-(D65-Config!$B$5),IF(D65-Config!$B$5&lt;=Config!$B$7,1000-(D65-Config!$B$5),500-MIN(D65-Config!$B$5,400)))))-ROW()/100000)</f>
        <v/>
      </c>
    </row>
    <row r="66">
      <c r="A66" s="31" t="n"/>
      <c r="B66" s="31" t="n"/>
      <c r="C66" s="33" t="n"/>
      <c r="D66" s="34" t="n"/>
      <c r="E66" s="33" t="n"/>
      <c r="F66" s="33" t="n"/>
      <c r="G66" s="31" t="n"/>
      <c r="H66" s="28">
        <f>IF(OR(I66="",I66="Feito",I66="Sem data"),"",D66-Config!$B$5)</f>
        <v/>
      </c>
      <c r="I66" s="25">
        <f>IF(AND(A66="",C66="",D66=""),"",IF(F66="Sim","Feito",IF(D66="","Sem data",IF(D66&lt;Config!$B$5,"Atrasado",IF(D66=Config!$B$5,"Hoje",IF(D66-Config!$B$5&lt;=Config!$B$6,"Até "&amp;Config!$B$6&amp;" dias",IF(D66-Config!$B$5&lt;=Config!$B$7,"Até "&amp;Config!$B$7&amp;" dias","Depois")))))))</f>
        <v/>
      </c>
      <c r="J66" s="35">
        <f>IF(OR(I66="",I66="Feito",I66="Sem data"),0,IF(I66="Atrasado",3000+MIN(Config!$B$5-D66,60),IF(I66="Hoje",2500,IF(D66-Config!$B$5&lt;=Config!$B$6,2000-(D66-Config!$B$5),IF(D66-Config!$B$5&lt;=Config!$B$7,1000-(D66-Config!$B$5),500-MIN(D66-Config!$B$5,400)))))-ROW()/100000)</f>
        <v/>
      </c>
    </row>
    <row r="67">
      <c r="A67" s="31" t="n"/>
      <c r="B67" s="31" t="n"/>
      <c r="C67" s="33" t="n"/>
      <c r="D67" s="34" t="n"/>
      <c r="E67" s="33" t="n"/>
      <c r="F67" s="33" t="n"/>
      <c r="G67" s="31" t="n"/>
      <c r="H67" s="28">
        <f>IF(OR(I67="",I67="Feito",I67="Sem data"),"",D67-Config!$B$5)</f>
        <v/>
      </c>
      <c r="I67" s="25">
        <f>IF(AND(A67="",C67="",D67=""),"",IF(F67="Sim","Feito",IF(D67="","Sem data",IF(D67&lt;Config!$B$5,"Atrasado",IF(D67=Config!$B$5,"Hoje",IF(D67-Config!$B$5&lt;=Config!$B$6,"Até "&amp;Config!$B$6&amp;" dias",IF(D67-Config!$B$5&lt;=Config!$B$7,"Até "&amp;Config!$B$7&amp;" dias","Depois")))))))</f>
        <v/>
      </c>
      <c r="J67" s="35">
        <f>IF(OR(I67="",I67="Feito",I67="Sem data"),0,IF(I67="Atrasado",3000+MIN(Config!$B$5-D67,60),IF(I67="Hoje",2500,IF(D67-Config!$B$5&lt;=Config!$B$6,2000-(D67-Config!$B$5),IF(D67-Config!$B$5&lt;=Config!$B$7,1000-(D67-Config!$B$5),500-MIN(D67-Config!$B$5,400)))))-ROW()/100000)</f>
        <v/>
      </c>
    </row>
    <row r="68">
      <c r="A68" s="31" t="n"/>
      <c r="B68" s="31" t="n"/>
      <c r="C68" s="33" t="n"/>
      <c r="D68" s="34" t="n"/>
      <c r="E68" s="33" t="n"/>
      <c r="F68" s="33" t="n"/>
      <c r="G68" s="31" t="n"/>
      <c r="H68" s="28">
        <f>IF(OR(I68="",I68="Feito",I68="Sem data"),"",D68-Config!$B$5)</f>
        <v/>
      </c>
      <c r="I68" s="25">
        <f>IF(AND(A68="",C68="",D68=""),"",IF(F68="Sim","Feito",IF(D68="","Sem data",IF(D68&lt;Config!$B$5,"Atrasado",IF(D68=Config!$B$5,"Hoje",IF(D68-Config!$B$5&lt;=Config!$B$6,"Até "&amp;Config!$B$6&amp;" dias",IF(D68-Config!$B$5&lt;=Config!$B$7,"Até "&amp;Config!$B$7&amp;" dias","Depois")))))))</f>
        <v/>
      </c>
      <c r="J68" s="35">
        <f>IF(OR(I68="",I68="Feito",I68="Sem data"),0,IF(I68="Atrasado",3000+MIN(Config!$B$5-D68,60),IF(I68="Hoje",2500,IF(D68-Config!$B$5&lt;=Config!$B$6,2000-(D68-Config!$B$5),IF(D68-Config!$B$5&lt;=Config!$B$7,1000-(D68-Config!$B$5),500-MIN(D68-Config!$B$5,400)))))-ROW()/100000)</f>
        <v/>
      </c>
    </row>
    <row r="69">
      <c r="A69" s="31" t="n"/>
      <c r="B69" s="31" t="n"/>
      <c r="C69" s="33" t="n"/>
      <c r="D69" s="34" t="n"/>
      <c r="E69" s="33" t="n"/>
      <c r="F69" s="33" t="n"/>
      <c r="G69" s="31" t="n"/>
      <c r="H69" s="28">
        <f>IF(OR(I69="",I69="Feito",I69="Sem data"),"",D69-Config!$B$5)</f>
        <v/>
      </c>
      <c r="I69" s="25">
        <f>IF(AND(A69="",C69="",D69=""),"",IF(F69="Sim","Feito",IF(D69="","Sem data",IF(D69&lt;Config!$B$5,"Atrasado",IF(D69=Config!$B$5,"Hoje",IF(D69-Config!$B$5&lt;=Config!$B$6,"Até "&amp;Config!$B$6&amp;" dias",IF(D69-Config!$B$5&lt;=Config!$B$7,"Até "&amp;Config!$B$7&amp;" dias","Depois")))))))</f>
        <v/>
      </c>
      <c r="J69" s="35">
        <f>IF(OR(I69="",I69="Feito",I69="Sem data"),0,IF(I69="Atrasado",3000+MIN(Config!$B$5-D69,60),IF(I69="Hoje",2500,IF(D69-Config!$B$5&lt;=Config!$B$6,2000-(D69-Config!$B$5),IF(D69-Config!$B$5&lt;=Config!$B$7,1000-(D69-Config!$B$5),500-MIN(D69-Config!$B$5,400)))))-ROW()/100000)</f>
        <v/>
      </c>
    </row>
    <row r="70">
      <c r="A70" s="31" t="n"/>
      <c r="B70" s="31" t="n"/>
      <c r="C70" s="33" t="n"/>
      <c r="D70" s="34" t="n"/>
      <c r="E70" s="33" t="n"/>
      <c r="F70" s="33" t="n"/>
      <c r="G70" s="31" t="n"/>
      <c r="H70" s="28">
        <f>IF(OR(I70="",I70="Feito",I70="Sem data"),"",D70-Config!$B$5)</f>
        <v/>
      </c>
      <c r="I70" s="25">
        <f>IF(AND(A70="",C70="",D70=""),"",IF(F70="Sim","Feito",IF(D70="","Sem data",IF(D70&lt;Config!$B$5,"Atrasado",IF(D70=Config!$B$5,"Hoje",IF(D70-Config!$B$5&lt;=Config!$B$6,"Até "&amp;Config!$B$6&amp;" dias",IF(D70-Config!$B$5&lt;=Config!$B$7,"Até "&amp;Config!$B$7&amp;" dias","Depois")))))))</f>
        <v/>
      </c>
      <c r="J70" s="35">
        <f>IF(OR(I70="",I70="Feito",I70="Sem data"),0,IF(I70="Atrasado",3000+MIN(Config!$B$5-D70,60),IF(I70="Hoje",2500,IF(D70-Config!$B$5&lt;=Config!$B$6,2000-(D70-Config!$B$5),IF(D70-Config!$B$5&lt;=Config!$B$7,1000-(D70-Config!$B$5),500-MIN(D70-Config!$B$5,400)))))-ROW()/100000)</f>
        <v/>
      </c>
    </row>
    <row r="71">
      <c r="A71" s="31" t="n"/>
      <c r="B71" s="31" t="n"/>
      <c r="C71" s="33" t="n"/>
      <c r="D71" s="34" t="n"/>
      <c r="E71" s="33" t="n"/>
      <c r="F71" s="33" t="n"/>
      <c r="G71" s="31" t="n"/>
      <c r="H71" s="28">
        <f>IF(OR(I71="",I71="Feito",I71="Sem data"),"",D71-Config!$B$5)</f>
        <v/>
      </c>
      <c r="I71" s="25">
        <f>IF(AND(A71="",C71="",D71=""),"",IF(F71="Sim","Feito",IF(D71="","Sem data",IF(D71&lt;Config!$B$5,"Atrasado",IF(D71=Config!$B$5,"Hoje",IF(D71-Config!$B$5&lt;=Config!$B$6,"Até "&amp;Config!$B$6&amp;" dias",IF(D71-Config!$B$5&lt;=Config!$B$7,"Até "&amp;Config!$B$7&amp;" dias","Depois")))))))</f>
        <v/>
      </c>
      <c r="J71" s="35">
        <f>IF(OR(I71="",I71="Feito",I71="Sem data"),0,IF(I71="Atrasado",3000+MIN(Config!$B$5-D71,60),IF(I71="Hoje",2500,IF(D71-Config!$B$5&lt;=Config!$B$6,2000-(D71-Config!$B$5),IF(D71-Config!$B$5&lt;=Config!$B$7,1000-(D71-Config!$B$5),500-MIN(D71-Config!$B$5,400)))))-ROW()/100000)</f>
        <v/>
      </c>
    </row>
    <row r="72">
      <c r="A72" s="31" t="n"/>
      <c r="B72" s="31" t="n"/>
      <c r="C72" s="33" t="n"/>
      <c r="D72" s="34" t="n"/>
      <c r="E72" s="33" t="n"/>
      <c r="F72" s="33" t="n"/>
      <c r="G72" s="31" t="n"/>
      <c r="H72" s="28">
        <f>IF(OR(I72="",I72="Feito",I72="Sem data"),"",D72-Config!$B$5)</f>
        <v/>
      </c>
      <c r="I72" s="25">
        <f>IF(AND(A72="",C72="",D72=""),"",IF(F72="Sim","Feito",IF(D72="","Sem data",IF(D72&lt;Config!$B$5,"Atrasado",IF(D72=Config!$B$5,"Hoje",IF(D72-Config!$B$5&lt;=Config!$B$6,"Até "&amp;Config!$B$6&amp;" dias",IF(D72-Config!$B$5&lt;=Config!$B$7,"Até "&amp;Config!$B$7&amp;" dias","Depois")))))))</f>
        <v/>
      </c>
      <c r="J72" s="35">
        <f>IF(OR(I72="",I72="Feito",I72="Sem data"),0,IF(I72="Atrasado",3000+MIN(Config!$B$5-D72,60),IF(I72="Hoje",2500,IF(D72-Config!$B$5&lt;=Config!$B$6,2000-(D72-Config!$B$5),IF(D72-Config!$B$5&lt;=Config!$B$7,1000-(D72-Config!$B$5),500-MIN(D72-Config!$B$5,400)))))-ROW()/100000)</f>
        <v/>
      </c>
    </row>
    <row r="73">
      <c r="A73" s="31" t="n"/>
      <c r="B73" s="31" t="n"/>
      <c r="C73" s="33" t="n"/>
      <c r="D73" s="34" t="n"/>
      <c r="E73" s="33" t="n"/>
      <c r="F73" s="33" t="n"/>
      <c r="G73" s="31" t="n"/>
      <c r="H73" s="28">
        <f>IF(OR(I73="",I73="Feito",I73="Sem data"),"",D73-Config!$B$5)</f>
        <v/>
      </c>
      <c r="I73" s="25">
        <f>IF(AND(A73="",C73="",D73=""),"",IF(F73="Sim","Feito",IF(D73="","Sem data",IF(D73&lt;Config!$B$5,"Atrasado",IF(D73=Config!$B$5,"Hoje",IF(D73-Config!$B$5&lt;=Config!$B$6,"Até "&amp;Config!$B$6&amp;" dias",IF(D73-Config!$B$5&lt;=Config!$B$7,"Até "&amp;Config!$B$7&amp;" dias","Depois")))))))</f>
        <v/>
      </c>
      <c r="J73" s="35">
        <f>IF(OR(I73="",I73="Feito",I73="Sem data"),0,IF(I73="Atrasado",3000+MIN(Config!$B$5-D73,60),IF(I73="Hoje",2500,IF(D73-Config!$B$5&lt;=Config!$B$6,2000-(D73-Config!$B$5),IF(D73-Config!$B$5&lt;=Config!$B$7,1000-(D73-Config!$B$5),500-MIN(D73-Config!$B$5,400)))))-ROW()/100000)</f>
        <v/>
      </c>
    </row>
    <row r="74">
      <c r="A74" s="31" t="n"/>
      <c r="B74" s="31" t="n"/>
      <c r="C74" s="33" t="n"/>
      <c r="D74" s="34" t="n"/>
      <c r="E74" s="33" t="n"/>
      <c r="F74" s="33" t="n"/>
      <c r="G74" s="31" t="n"/>
      <c r="H74" s="28">
        <f>IF(OR(I74="",I74="Feito",I74="Sem data"),"",D74-Config!$B$5)</f>
        <v/>
      </c>
      <c r="I74" s="25">
        <f>IF(AND(A74="",C74="",D74=""),"",IF(F74="Sim","Feito",IF(D74="","Sem data",IF(D74&lt;Config!$B$5,"Atrasado",IF(D74=Config!$B$5,"Hoje",IF(D74-Config!$B$5&lt;=Config!$B$6,"Até "&amp;Config!$B$6&amp;" dias",IF(D74-Config!$B$5&lt;=Config!$B$7,"Até "&amp;Config!$B$7&amp;" dias","Depois")))))))</f>
        <v/>
      </c>
      <c r="J74" s="35">
        <f>IF(OR(I74="",I74="Feito",I74="Sem data"),0,IF(I74="Atrasado",3000+MIN(Config!$B$5-D74,60),IF(I74="Hoje",2500,IF(D74-Config!$B$5&lt;=Config!$B$6,2000-(D74-Config!$B$5),IF(D74-Config!$B$5&lt;=Config!$B$7,1000-(D74-Config!$B$5),500-MIN(D74-Config!$B$5,400)))))-ROW()/100000)</f>
        <v/>
      </c>
    </row>
    <row r="75">
      <c r="A75" s="31" t="n"/>
      <c r="B75" s="31" t="n"/>
      <c r="C75" s="33" t="n"/>
      <c r="D75" s="34" t="n"/>
      <c r="E75" s="33" t="n"/>
      <c r="F75" s="33" t="n"/>
      <c r="G75" s="31" t="n"/>
      <c r="H75" s="28">
        <f>IF(OR(I75="",I75="Feito",I75="Sem data"),"",D75-Config!$B$5)</f>
        <v/>
      </c>
      <c r="I75" s="25">
        <f>IF(AND(A75="",C75="",D75=""),"",IF(F75="Sim","Feito",IF(D75="","Sem data",IF(D75&lt;Config!$B$5,"Atrasado",IF(D75=Config!$B$5,"Hoje",IF(D75-Config!$B$5&lt;=Config!$B$6,"Até "&amp;Config!$B$6&amp;" dias",IF(D75-Config!$B$5&lt;=Config!$B$7,"Até "&amp;Config!$B$7&amp;" dias","Depois")))))))</f>
        <v/>
      </c>
      <c r="J75" s="35">
        <f>IF(OR(I75="",I75="Feito",I75="Sem data"),0,IF(I75="Atrasado",3000+MIN(Config!$B$5-D75,60),IF(I75="Hoje",2500,IF(D75-Config!$B$5&lt;=Config!$B$6,2000-(D75-Config!$B$5),IF(D75-Config!$B$5&lt;=Config!$B$7,1000-(D75-Config!$B$5),500-MIN(D75-Config!$B$5,400)))))-ROW()/100000)</f>
        <v/>
      </c>
    </row>
    <row r="76">
      <c r="A76" s="31" t="n"/>
      <c r="B76" s="31" t="n"/>
      <c r="C76" s="33" t="n"/>
      <c r="D76" s="34" t="n"/>
      <c r="E76" s="33" t="n"/>
      <c r="F76" s="33" t="n"/>
      <c r="G76" s="31" t="n"/>
      <c r="H76" s="28">
        <f>IF(OR(I76="",I76="Feito",I76="Sem data"),"",D76-Config!$B$5)</f>
        <v/>
      </c>
      <c r="I76" s="25">
        <f>IF(AND(A76="",C76="",D76=""),"",IF(F76="Sim","Feito",IF(D76="","Sem data",IF(D76&lt;Config!$B$5,"Atrasado",IF(D76=Config!$B$5,"Hoje",IF(D76-Config!$B$5&lt;=Config!$B$6,"Até "&amp;Config!$B$6&amp;" dias",IF(D76-Config!$B$5&lt;=Config!$B$7,"Até "&amp;Config!$B$7&amp;" dias","Depois")))))))</f>
        <v/>
      </c>
      <c r="J76" s="35">
        <f>IF(OR(I76="",I76="Feito",I76="Sem data"),0,IF(I76="Atrasado",3000+MIN(Config!$B$5-D76,60),IF(I76="Hoje",2500,IF(D76-Config!$B$5&lt;=Config!$B$6,2000-(D76-Config!$B$5),IF(D76-Config!$B$5&lt;=Config!$B$7,1000-(D76-Config!$B$5),500-MIN(D76-Config!$B$5,400)))))-ROW()/100000)</f>
        <v/>
      </c>
    </row>
    <row r="77">
      <c r="A77" s="31" t="n"/>
      <c r="B77" s="31" t="n"/>
      <c r="C77" s="33" t="n"/>
      <c r="D77" s="34" t="n"/>
      <c r="E77" s="33" t="n"/>
      <c r="F77" s="33" t="n"/>
      <c r="G77" s="31" t="n"/>
      <c r="H77" s="28">
        <f>IF(OR(I77="",I77="Feito",I77="Sem data"),"",D77-Config!$B$5)</f>
        <v/>
      </c>
      <c r="I77" s="25">
        <f>IF(AND(A77="",C77="",D77=""),"",IF(F77="Sim","Feito",IF(D77="","Sem data",IF(D77&lt;Config!$B$5,"Atrasado",IF(D77=Config!$B$5,"Hoje",IF(D77-Config!$B$5&lt;=Config!$B$6,"Até "&amp;Config!$B$6&amp;" dias",IF(D77-Config!$B$5&lt;=Config!$B$7,"Até "&amp;Config!$B$7&amp;" dias","Depois")))))))</f>
        <v/>
      </c>
      <c r="J77" s="35">
        <f>IF(OR(I77="",I77="Feito",I77="Sem data"),0,IF(I77="Atrasado",3000+MIN(Config!$B$5-D77,60),IF(I77="Hoje",2500,IF(D77-Config!$B$5&lt;=Config!$B$6,2000-(D77-Config!$B$5),IF(D77-Config!$B$5&lt;=Config!$B$7,1000-(D77-Config!$B$5),500-MIN(D77-Config!$B$5,400)))))-ROW()/100000)</f>
        <v/>
      </c>
    </row>
    <row r="78">
      <c r="A78" s="31" t="n"/>
      <c r="B78" s="31" t="n"/>
      <c r="C78" s="33" t="n"/>
      <c r="D78" s="34" t="n"/>
      <c r="E78" s="33" t="n"/>
      <c r="F78" s="33" t="n"/>
      <c r="G78" s="31" t="n"/>
      <c r="H78" s="28">
        <f>IF(OR(I78="",I78="Feito",I78="Sem data"),"",D78-Config!$B$5)</f>
        <v/>
      </c>
      <c r="I78" s="25">
        <f>IF(AND(A78="",C78="",D78=""),"",IF(F78="Sim","Feito",IF(D78="","Sem data",IF(D78&lt;Config!$B$5,"Atrasado",IF(D78=Config!$B$5,"Hoje",IF(D78-Config!$B$5&lt;=Config!$B$6,"Até "&amp;Config!$B$6&amp;" dias",IF(D78-Config!$B$5&lt;=Config!$B$7,"Até "&amp;Config!$B$7&amp;" dias","Depois")))))))</f>
        <v/>
      </c>
      <c r="J78" s="35">
        <f>IF(OR(I78="",I78="Feito",I78="Sem data"),0,IF(I78="Atrasado",3000+MIN(Config!$B$5-D78,60),IF(I78="Hoje",2500,IF(D78-Config!$B$5&lt;=Config!$B$6,2000-(D78-Config!$B$5),IF(D78-Config!$B$5&lt;=Config!$B$7,1000-(D78-Config!$B$5),500-MIN(D78-Config!$B$5,400)))))-ROW()/100000)</f>
        <v/>
      </c>
    </row>
    <row r="79">
      <c r="A79" s="31" t="n"/>
      <c r="B79" s="31" t="n"/>
      <c r="C79" s="33" t="n"/>
      <c r="D79" s="34" t="n"/>
      <c r="E79" s="33" t="n"/>
      <c r="F79" s="33" t="n"/>
      <c r="G79" s="31" t="n"/>
      <c r="H79" s="28">
        <f>IF(OR(I79="",I79="Feito",I79="Sem data"),"",D79-Config!$B$5)</f>
        <v/>
      </c>
      <c r="I79" s="25">
        <f>IF(AND(A79="",C79="",D79=""),"",IF(F79="Sim","Feito",IF(D79="","Sem data",IF(D79&lt;Config!$B$5,"Atrasado",IF(D79=Config!$B$5,"Hoje",IF(D79-Config!$B$5&lt;=Config!$B$6,"Até "&amp;Config!$B$6&amp;" dias",IF(D79-Config!$B$5&lt;=Config!$B$7,"Até "&amp;Config!$B$7&amp;" dias","Depois")))))))</f>
        <v/>
      </c>
      <c r="J79" s="35">
        <f>IF(OR(I79="",I79="Feito",I79="Sem data"),0,IF(I79="Atrasado",3000+MIN(Config!$B$5-D79,60),IF(I79="Hoje",2500,IF(D79-Config!$B$5&lt;=Config!$B$6,2000-(D79-Config!$B$5),IF(D79-Config!$B$5&lt;=Config!$B$7,1000-(D79-Config!$B$5),500-MIN(D79-Config!$B$5,400)))))-ROW()/100000)</f>
        <v/>
      </c>
    </row>
    <row r="80">
      <c r="A80" s="31" t="n"/>
      <c r="B80" s="31" t="n"/>
      <c r="C80" s="33" t="n"/>
      <c r="D80" s="34" t="n"/>
      <c r="E80" s="33" t="n"/>
      <c r="F80" s="33" t="n"/>
      <c r="G80" s="31" t="n"/>
      <c r="H80" s="28">
        <f>IF(OR(I80="",I80="Feito",I80="Sem data"),"",D80-Config!$B$5)</f>
        <v/>
      </c>
      <c r="I80" s="25">
        <f>IF(AND(A80="",C80="",D80=""),"",IF(F80="Sim","Feito",IF(D80="","Sem data",IF(D80&lt;Config!$B$5,"Atrasado",IF(D80=Config!$B$5,"Hoje",IF(D80-Config!$B$5&lt;=Config!$B$6,"Até "&amp;Config!$B$6&amp;" dias",IF(D80-Config!$B$5&lt;=Config!$B$7,"Até "&amp;Config!$B$7&amp;" dias","Depois")))))))</f>
        <v/>
      </c>
      <c r="J80" s="35">
        <f>IF(OR(I80="",I80="Feito",I80="Sem data"),0,IF(I80="Atrasado",3000+MIN(Config!$B$5-D80,60),IF(I80="Hoje",2500,IF(D80-Config!$B$5&lt;=Config!$B$6,2000-(D80-Config!$B$5),IF(D80-Config!$B$5&lt;=Config!$B$7,1000-(D80-Config!$B$5),500-MIN(D80-Config!$B$5,400)))))-ROW()/100000)</f>
        <v/>
      </c>
    </row>
    <row r="81">
      <c r="A81" s="31" t="n"/>
      <c r="B81" s="31" t="n"/>
      <c r="C81" s="33" t="n"/>
      <c r="D81" s="34" t="n"/>
      <c r="E81" s="33" t="n"/>
      <c r="F81" s="33" t="n"/>
      <c r="G81" s="31" t="n"/>
      <c r="H81" s="28">
        <f>IF(OR(I81="",I81="Feito",I81="Sem data"),"",D81-Config!$B$5)</f>
        <v/>
      </c>
      <c r="I81" s="25">
        <f>IF(AND(A81="",C81="",D81=""),"",IF(F81="Sim","Feito",IF(D81="","Sem data",IF(D81&lt;Config!$B$5,"Atrasado",IF(D81=Config!$B$5,"Hoje",IF(D81-Config!$B$5&lt;=Config!$B$6,"Até "&amp;Config!$B$6&amp;" dias",IF(D81-Config!$B$5&lt;=Config!$B$7,"Até "&amp;Config!$B$7&amp;" dias","Depois")))))))</f>
        <v/>
      </c>
      <c r="J81" s="35">
        <f>IF(OR(I81="",I81="Feito",I81="Sem data"),0,IF(I81="Atrasado",3000+MIN(Config!$B$5-D81,60),IF(I81="Hoje",2500,IF(D81-Config!$B$5&lt;=Config!$B$6,2000-(D81-Config!$B$5),IF(D81-Config!$B$5&lt;=Config!$B$7,1000-(D81-Config!$B$5),500-MIN(D81-Config!$B$5,400)))))-ROW()/100000)</f>
        <v/>
      </c>
    </row>
    <row r="82">
      <c r="A82" s="31" t="n"/>
      <c r="B82" s="31" t="n"/>
      <c r="C82" s="33" t="n"/>
      <c r="D82" s="34" t="n"/>
      <c r="E82" s="33" t="n"/>
      <c r="F82" s="33" t="n"/>
      <c r="G82" s="31" t="n"/>
      <c r="H82" s="28">
        <f>IF(OR(I82="",I82="Feito",I82="Sem data"),"",D82-Config!$B$5)</f>
        <v/>
      </c>
      <c r="I82" s="25">
        <f>IF(AND(A82="",C82="",D82=""),"",IF(F82="Sim","Feito",IF(D82="","Sem data",IF(D82&lt;Config!$B$5,"Atrasado",IF(D82=Config!$B$5,"Hoje",IF(D82-Config!$B$5&lt;=Config!$B$6,"Até "&amp;Config!$B$6&amp;" dias",IF(D82-Config!$B$5&lt;=Config!$B$7,"Até "&amp;Config!$B$7&amp;" dias","Depois")))))))</f>
        <v/>
      </c>
      <c r="J82" s="35">
        <f>IF(OR(I82="",I82="Feito",I82="Sem data"),0,IF(I82="Atrasado",3000+MIN(Config!$B$5-D82,60),IF(I82="Hoje",2500,IF(D82-Config!$B$5&lt;=Config!$B$6,2000-(D82-Config!$B$5),IF(D82-Config!$B$5&lt;=Config!$B$7,1000-(D82-Config!$B$5),500-MIN(D82-Config!$B$5,400)))))-ROW()/100000)</f>
        <v/>
      </c>
    </row>
    <row r="83">
      <c r="A83" s="31" t="n"/>
      <c r="B83" s="31" t="n"/>
      <c r="C83" s="33" t="n"/>
      <c r="D83" s="34" t="n"/>
      <c r="E83" s="33" t="n"/>
      <c r="F83" s="33" t="n"/>
      <c r="G83" s="31" t="n"/>
      <c r="H83" s="28">
        <f>IF(OR(I83="",I83="Feito",I83="Sem data"),"",D83-Config!$B$5)</f>
        <v/>
      </c>
      <c r="I83" s="25">
        <f>IF(AND(A83="",C83="",D83=""),"",IF(F83="Sim","Feito",IF(D83="","Sem data",IF(D83&lt;Config!$B$5,"Atrasado",IF(D83=Config!$B$5,"Hoje",IF(D83-Config!$B$5&lt;=Config!$B$6,"Até "&amp;Config!$B$6&amp;" dias",IF(D83-Config!$B$5&lt;=Config!$B$7,"Até "&amp;Config!$B$7&amp;" dias","Depois")))))))</f>
        <v/>
      </c>
      <c r="J83" s="35">
        <f>IF(OR(I83="",I83="Feito",I83="Sem data"),0,IF(I83="Atrasado",3000+MIN(Config!$B$5-D83,60),IF(I83="Hoje",2500,IF(D83-Config!$B$5&lt;=Config!$B$6,2000-(D83-Config!$B$5),IF(D83-Config!$B$5&lt;=Config!$B$7,1000-(D83-Config!$B$5),500-MIN(D83-Config!$B$5,400)))))-ROW()/100000)</f>
        <v/>
      </c>
    </row>
    <row r="84">
      <c r="A84" s="31" t="n"/>
      <c r="B84" s="31" t="n"/>
      <c r="C84" s="33" t="n"/>
      <c r="D84" s="34" t="n"/>
      <c r="E84" s="33" t="n"/>
      <c r="F84" s="33" t="n"/>
      <c r="G84" s="31" t="n"/>
      <c r="H84" s="28">
        <f>IF(OR(I84="",I84="Feito",I84="Sem data"),"",D84-Config!$B$5)</f>
        <v/>
      </c>
      <c r="I84" s="25">
        <f>IF(AND(A84="",C84="",D84=""),"",IF(F84="Sim","Feito",IF(D84="","Sem data",IF(D84&lt;Config!$B$5,"Atrasado",IF(D84=Config!$B$5,"Hoje",IF(D84-Config!$B$5&lt;=Config!$B$6,"Até "&amp;Config!$B$6&amp;" dias",IF(D84-Config!$B$5&lt;=Config!$B$7,"Até "&amp;Config!$B$7&amp;" dias","Depois")))))))</f>
        <v/>
      </c>
      <c r="J84" s="35">
        <f>IF(OR(I84="",I84="Feito",I84="Sem data"),0,IF(I84="Atrasado",3000+MIN(Config!$B$5-D84,60),IF(I84="Hoje",2500,IF(D84-Config!$B$5&lt;=Config!$B$6,2000-(D84-Config!$B$5),IF(D84-Config!$B$5&lt;=Config!$B$7,1000-(D84-Config!$B$5),500-MIN(D84-Config!$B$5,400)))))-ROW()/100000)</f>
        <v/>
      </c>
    </row>
    <row r="85">
      <c r="A85" s="31" t="n"/>
      <c r="B85" s="31" t="n"/>
      <c r="C85" s="33" t="n"/>
      <c r="D85" s="34" t="n"/>
      <c r="E85" s="33" t="n"/>
      <c r="F85" s="33" t="n"/>
      <c r="G85" s="31" t="n"/>
      <c r="H85" s="28">
        <f>IF(OR(I85="",I85="Feito",I85="Sem data"),"",D85-Config!$B$5)</f>
        <v/>
      </c>
      <c r="I85" s="25">
        <f>IF(AND(A85="",C85="",D85=""),"",IF(F85="Sim","Feito",IF(D85="","Sem data",IF(D85&lt;Config!$B$5,"Atrasado",IF(D85=Config!$B$5,"Hoje",IF(D85-Config!$B$5&lt;=Config!$B$6,"Até "&amp;Config!$B$6&amp;" dias",IF(D85-Config!$B$5&lt;=Config!$B$7,"Até "&amp;Config!$B$7&amp;" dias","Depois")))))))</f>
        <v/>
      </c>
      <c r="J85" s="35">
        <f>IF(OR(I85="",I85="Feito",I85="Sem data"),0,IF(I85="Atrasado",3000+MIN(Config!$B$5-D85,60),IF(I85="Hoje",2500,IF(D85-Config!$B$5&lt;=Config!$B$6,2000-(D85-Config!$B$5),IF(D85-Config!$B$5&lt;=Config!$B$7,1000-(D85-Config!$B$5),500-MIN(D85-Config!$B$5,400)))))-ROW()/100000)</f>
        <v/>
      </c>
    </row>
    <row r="86">
      <c r="A86" s="31" t="n"/>
      <c r="B86" s="31" t="n"/>
      <c r="C86" s="33" t="n"/>
      <c r="D86" s="34" t="n"/>
      <c r="E86" s="33" t="n"/>
      <c r="F86" s="33" t="n"/>
      <c r="G86" s="31" t="n"/>
      <c r="H86" s="28">
        <f>IF(OR(I86="",I86="Feito",I86="Sem data"),"",D86-Config!$B$5)</f>
        <v/>
      </c>
      <c r="I86" s="25">
        <f>IF(AND(A86="",C86="",D86=""),"",IF(F86="Sim","Feito",IF(D86="","Sem data",IF(D86&lt;Config!$B$5,"Atrasado",IF(D86=Config!$B$5,"Hoje",IF(D86-Config!$B$5&lt;=Config!$B$6,"Até "&amp;Config!$B$6&amp;" dias",IF(D86-Config!$B$5&lt;=Config!$B$7,"Até "&amp;Config!$B$7&amp;" dias","Depois")))))))</f>
        <v/>
      </c>
      <c r="J86" s="35">
        <f>IF(OR(I86="",I86="Feito",I86="Sem data"),0,IF(I86="Atrasado",3000+MIN(Config!$B$5-D86,60),IF(I86="Hoje",2500,IF(D86-Config!$B$5&lt;=Config!$B$6,2000-(D86-Config!$B$5),IF(D86-Config!$B$5&lt;=Config!$B$7,1000-(D86-Config!$B$5),500-MIN(D86-Config!$B$5,400)))))-ROW()/100000)</f>
        <v/>
      </c>
    </row>
    <row r="87">
      <c r="A87" s="31" t="n"/>
      <c r="B87" s="31" t="n"/>
      <c r="C87" s="33" t="n"/>
      <c r="D87" s="34" t="n"/>
      <c r="E87" s="33" t="n"/>
      <c r="F87" s="33" t="n"/>
      <c r="G87" s="31" t="n"/>
      <c r="H87" s="28">
        <f>IF(OR(I87="",I87="Feito",I87="Sem data"),"",D87-Config!$B$5)</f>
        <v/>
      </c>
      <c r="I87" s="25">
        <f>IF(AND(A87="",C87="",D87=""),"",IF(F87="Sim","Feito",IF(D87="","Sem data",IF(D87&lt;Config!$B$5,"Atrasado",IF(D87=Config!$B$5,"Hoje",IF(D87-Config!$B$5&lt;=Config!$B$6,"Até "&amp;Config!$B$6&amp;" dias",IF(D87-Config!$B$5&lt;=Config!$B$7,"Até "&amp;Config!$B$7&amp;" dias","Depois")))))))</f>
        <v/>
      </c>
      <c r="J87" s="35">
        <f>IF(OR(I87="",I87="Feito",I87="Sem data"),0,IF(I87="Atrasado",3000+MIN(Config!$B$5-D87,60),IF(I87="Hoje",2500,IF(D87-Config!$B$5&lt;=Config!$B$6,2000-(D87-Config!$B$5),IF(D87-Config!$B$5&lt;=Config!$B$7,1000-(D87-Config!$B$5),500-MIN(D87-Config!$B$5,400)))))-ROW()/100000)</f>
        <v/>
      </c>
    </row>
    <row r="88">
      <c r="A88" s="31" t="n"/>
      <c r="B88" s="31" t="n"/>
      <c r="C88" s="33" t="n"/>
      <c r="D88" s="34" t="n"/>
      <c r="E88" s="33" t="n"/>
      <c r="F88" s="33" t="n"/>
      <c r="G88" s="31" t="n"/>
      <c r="H88" s="28">
        <f>IF(OR(I88="",I88="Feito",I88="Sem data"),"",D88-Config!$B$5)</f>
        <v/>
      </c>
      <c r="I88" s="25">
        <f>IF(AND(A88="",C88="",D88=""),"",IF(F88="Sim","Feito",IF(D88="","Sem data",IF(D88&lt;Config!$B$5,"Atrasado",IF(D88=Config!$B$5,"Hoje",IF(D88-Config!$B$5&lt;=Config!$B$6,"Até "&amp;Config!$B$6&amp;" dias",IF(D88-Config!$B$5&lt;=Config!$B$7,"Até "&amp;Config!$B$7&amp;" dias","Depois")))))))</f>
        <v/>
      </c>
      <c r="J88" s="35">
        <f>IF(OR(I88="",I88="Feito",I88="Sem data"),0,IF(I88="Atrasado",3000+MIN(Config!$B$5-D88,60),IF(I88="Hoje",2500,IF(D88-Config!$B$5&lt;=Config!$B$6,2000-(D88-Config!$B$5),IF(D88-Config!$B$5&lt;=Config!$B$7,1000-(D88-Config!$B$5),500-MIN(D88-Config!$B$5,400)))))-ROW()/100000)</f>
        <v/>
      </c>
    </row>
    <row r="89">
      <c r="A89" s="31" t="n"/>
      <c r="B89" s="31" t="n"/>
      <c r="C89" s="33" t="n"/>
      <c r="D89" s="34" t="n"/>
      <c r="E89" s="33" t="n"/>
      <c r="F89" s="33" t="n"/>
      <c r="G89" s="31" t="n"/>
      <c r="H89" s="28">
        <f>IF(OR(I89="",I89="Feito",I89="Sem data"),"",D89-Config!$B$5)</f>
        <v/>
      </c>
      <c r="I89" s="25">
        <f>IF(AND(A89="",C89="",D89=""),"",IF(F89="Sim","Feito",IF(D89="","Sem data",IF(D89&lt;Config!$B$5,"Atrasado",IF(D89=Config!$B$5,"Hoje",IF(D89-Config!$B$5&lt;=Config!$B$6,"Até "&amp;Config!$B$6&amp;" dias",IF(D89-Config!$B$5&lt;=Config!$B$7,"Até "&amp;Config!$B$7&amp;" dias","Depois")))))))</f>
        <v/>
      </c>
      <c r="J89" s="35">
        <f>IF(OR(I89="",I89="Feito",I89="Sem data"),0,IF(I89="Atrasado",3000+MIN(Config!$B$5-D89,60),IF(I89="Hoje",2500,IF(D89-Config!$B$5&lt;=Config!$B$6,2000-(D89-Config!$B$5),IF(D89-Config!$B$5&lt;=Config!$B$7,1000-(D89-Config!$B$5),500-MIN(D89-Config!$B$5,400)))))-ROW()/100000)</f>
        <v/>
      </c>
    </row>
    <row r="90">
      <c r="A90" s="31" t="n"/>
      <c r="B90" s="31" t="n"/>
      <c r="C90" s="33" t="n"/>
      <c r="D90" s="34" t="n"/>
      <c r="E90" s="33" t="n"/>
      <c r="F90" s="33" t="n"/>
      <c r="G90" s="31" t="n"/>
      <c r="H90" s="28">
        <f>IF(OR(I90="",I90="Feito",I90="Sem data"),"",D90-Config!$B$5)</f>
        <v/>
      </c>
      <c r="I90" s="25">
        <f>IF(AND(A90="",C90="",D90=""),"",IF(F90="Sim","Feito",IF(D90="","Sem data",IF(D90&lt;Config!$B$5,"Atrasado",IF(D90=Config!$B$5,"Hoje",IF(D90-Config!$B$5&lt;=Config!$B$6,"Até "&amp;Config!$B$6&amp;" dias",IF(D90-Config!$B$5&lt;=Config!$B$7,"Até "&amp;Config!$B$7&amp;" dias","Depois")))))))</f>
        <v/>
      </c>
      <c r="J90" s="35">
        <f>IF(OR(I90="",I90="Feito",I90="Sem data"),0,IF(I90="Atrasado",3000+MIN(Config!$B$5-D90,60),IF(I90="Hoje",2500,IF(D90-Config!$B$5&lt;=Config!$B$6,2000-(D90-Config!$B$5),IF(D90-Config!$B$5&lt;=Config!$B$7,1000-(D90-Config!$B$5),500-MIN(D90-Config!$B$5,400)))))-ROW()/100000)</f>
        <v/>
      </c>
    </row>
    <row r="91">
      <c r="A91" s="31" t="n"/>
      <c r="B91" s="31" t="n"/>
      <c r="C91" s="33" t="n"/>
      <c r="D91" s="34" t="n"/>
      <c r="E91" s="33" t="n"/>
      <c r="F91" s="33" t="n"/>
      <c r="G91" s="31" t="n"/>
      <c r="H91" s="28">
        <f>IF(OR(I91="",I91="Feito",I91="Sem data"),"",D91-Config!$B$5)</f>
        <v/>
      </c>
      <c r="I91" s="25">
        <f>IF(AND(A91="",C91="",D91=""),"",IF(F91="Sim","Feito",IF(D91="","Sem data",IF(D91&lt;Config!$B$5,"Atrasado",IF(D91=Config!$B$5,"Hoje",IF(D91-Config!$B$5&lt;=Config!$B$6,"Até "&amp;Config!$B$6&amp;" dias",IF(D91-Config!$B$5&lt;=Config!$B$7,"Até "&amp;Config!$B$7&amp;" dias","Depois")))))))</f>
        <v/>
      </c>
      <c r="J91" s="35">
        <f>IF(OR(I91="",I91="Feito",I91="Sem data"),0,IF(I91="Atrasado",3000+MIN(Config!$B$5-D91,60),IF(I91="Hoje",2500,IF(D91-Config!$B$5&lt;=Config!$B$6,2000-(D91-Config!$B$5),IF(D91-Config!$B$5&lt;=Config!$B$7,1000-(D91-Config!$B$5),500-MIN(D91-Config!$B$5,400)))))-ROW()/100000)</f>
        <v/>
      </c>
    </row>
    <row r="92">
      <c r="A92" s="31" t="n"/>
      <c r="B92" s="31" t="n"/>
      <c r="C92" s="33" t="n"/>
      <c r="D92" s="34" t="n"/>
      <c r="E92" s="33" t="n"/>
      <c r="F92" s="33" t="n"/>
      <c r="G92" s="31" t="n"/>
      <c r="H92" s="28">
        <f>IF(OR(I92="",I92="Feito",I92="Sem data"),"",D92-Config!$B$5)</f>
        <v/>
      </c>
      <c r="I92" s="25">
        <f>IF(AND(A92="",C92="",D92=""),"",IF(F92="Sim","Feito",IF(D92="","Sem data",IF(D92&lt;Config!$B$5,"Atrasado",IF(D92=Config!$B$5,"Hoje",IF(D92-Config!$B$5&lt;=Config!$B$6,"Até "&amp;Config!$B$6&amp;" dias",IF(D92-Config!$B$5&lt;=Config!$B$7,"Até "&amp;Config!$B$7&amp;" dias","Depois")))))))</f>
        <v/>
      </c>
      <c r="J92" s="35">
        <f>IF(OR(I92="",I92="Feito",I92="Sem data"),0,IF(I92="Atrasado",3000+MIN(Config!$B$5-D92,60),IF(I92="Hoje",2500,IF(D92-Config!$B$5&lt;=Config!$B$6,2000-(D92-Config!$B$5),IF(D92-Config!$B$5&lt;=Config!$B$7,1000-(D92-Config!$B$5),500-MIN(D92-Config!$B$5,400)))))-ROW()/100000)</f>
        <v/>
      </c>
    </row>
    <row r="93">
      <c r="A93" s="31" t="n"/>
      <c r="B93" s="31" t="n"/>
      <c r="C93" s="33" t="n"/>
      <c r="D93" s="34" t="n"/>
      <c r="E93" s="33" t="n"/>
      <c r="F93" s="33" t="n"/>
      <c r="G93" s="31" t="n"/>
      <c r="H93" s="28">
        <f>IF(OR(I93="",I93="Feito",I93="Sem data"),"",D93-Config!$B$5)</f>
        <v/>
      </c>
      <c r="I93" s="25">
        <f>IF(AND(A93="",C93="",D93=""),"",IF(F93="Sim","Feito",IF(D93="","Sem data",IF(D93&lt;Config!$B$5,"Atrasado",IF(D93=Config!$B$5,"Hoje",IF(D93-Config!$B$5&lt;=Config!$B$6,"Até "&amp;Config!$B$6&amp;" dias",IF(D93-Config!$B$5&lt;=Config!$B$7,"Até "&amp;Config!$B$7&amp;" dias","Depois")))))))</f>
        <v/>
      </c>
      <c r="J93" s="35">
        <f>IF(OR(I93="",I93="Feito",I93="Sem data"),0,IF(I93="Atrasado",3000+MIN(Config!$B$5-D93,60),IF(I93="Hoje",2500,IF(D93-Config!$B$5&lt;=Config!$B$6,2000-(D93-Config!$B$5),IF(D93-Config!$B$5&lt;=Config!$B$7,1000-(D93-Config!$B$5),500-MIN(D93-Config!$B$5,400)))))-ROW()/100000)</f>
        <v/>
      </c>
    </row>
    <row r="94">
      <c r="A94" s="31" t="n"/>
      <c r="B94" s="31" t="n"/>
      <c r="C94" s="33" t="n"/>
      <c r="D94" s="34" t="n"/>
      <c r="E94" s="33" t="n"/>
      <c r="F94" s="33" t="n"/>
      <c r="G94" s="31" t="n"/>
      <c r="H94" s="28">
        <f>IF(OR(I94="",I94="Feito",I94="Sem data"),"",D94-Config!$B$5)</f>
        <v/>
      </c>
      <c r="I94" s="25">
        <f>IF(AND(A94="",C94="",D94=""),"",IF(F94="Sim","Feito",IF(D94="","Sem data",IF(D94&lt;Config!$B$5,"Atrasado",IF(D94=Config!$B$5,"Hoje",IF(D94-Config!$B$5&lt;=Config!$B$6,"Até "&amp;Config!$B$6&amp;" dias",IF(D94-Config!$B$5&lt;=Config!$B$7,"Até "&amp;Config!$B$7&amp;" dias","Depois")))))))</f>
        <v/>
      </c>
      <c r="J94" s="35">
        <f>IF(OR(I94="",I94="Feito",I94="Sem data"),0,IF(I94="Atrasado",3000+MIN(Config!$B$5-D94,60),IF(I94="Hoje",2500,IF(D94-Config!$B$5&lt;=Config!$B$6,2000-(D94-Config!$B$5),IF(D94-Config!$B$5&lt;=Config!$B$7,1000-(D94-Config!$B$5),500-MIN(D94-Config!$B$5,400)))))-ROW()/100000)</f>
        <v/>
      </c>
    </row>
    <row r="95">
      <c r="A95" s="31" t="n"/>
      <c r="B95" s="31" t="n"/>
      <c r="C95" s="33" t="n"/>
      <c r="D95" s="34" t="n"/>
      <c r="E95" s="33" t="n"/>
      <c r="F95" s="33" t="n"/>
      <c r="G95" s="31" t="n"/>
      <c r="H95" s="28">
        <f>IF(OR(I95="",I95="Feito",I95="Sem data"),"",D95-Config!$B$5)</f>
        <v/>
      </c>
      <c r="I95" s="25">
        <f>IF(AND(A95="",C95="",D95=""),"",IF(F95="Sim","Feito",IF(D95="","Sem data",IF(D95&lt;Config!$B$5,"Atrasado",IF(D95=Config!$B$5,"Hoje",IF(D95-Config!$B$5&lt;=Config!$B$6,"Até "&amp;Config!$B$6&amp;" dias",IF(D95-Config!$B$5&lt;=Config!$B$7,"Até "&amp;Config!$B$7&amp;" dias","Depois")))))))</f>
        <v/>
      </c>
      <c r="J95" s="35">
        <f>IF(OR(I95="",I95="Feito",I95="Sem data"),0,IF(I95="Atrasado",3000+MIN(Config!$B$5-D95,60),IF(I95="Hoje",2500,IF(D95-Config!$B$5&lt;=Config!$B$6,2000-(D95-Config!$B$5),IF(D95-Config!$B$5&lt;=Config!$B$7,1000-(D95-Config!$B$5),500-MIN(D95-Config!$B$5,400)))))-ROW()/100000)</f>
        <v/>
      </c>
    </row>
    <row r="96">
      <c r="A96" s="31" t="n"/>
      <c r="B96" s="31" t="n"/>
      <c r="C96" s="33" t="n"/>
      <c r="D96" s="34" t="n"/>
      <c r="E96" s="33" t="n"/>
      <c r="F96" s="33" t="n"/>
      <c r="G96" s="31" t="n"/>
      <c r="H96" s="28">
        <f>IF(OR(I96="",I96="Feito",I96="Sem data"),"",D96-Config!$B$5)</f>
        <v/>
      </c>
      <c r="I96" s="25">
        <f>IF(AND(A96="",C96="",D96=""),"",IF(F96="Sim","Feito",IF(D96="","Sem data",IF(D96&lt;Config!$B$5,"Atrasado",IF(D96=Config!$B$5,"Hoje",IF(D96-Config!$B$5&lt;=Config!$B$6,"Até "&amp;Config!$B$6&amp;" dias",IF(D96-Config!$B$5&lt;=Config!$B$7,"Até "&amp;Config!$B$7&amp;" dias","Depois")))))))</f>
        <v/>
      </c>
      <c r="J96" s="35">
        <f>IF(OR(I96="",I96="Feito",I96="Sem data"),0,IF(I96="Atrasado",3000+MIN(Config!$B$5-D96,60),IF(I96="Hoje",2500,IF(D96-Config!$B$5&lt;=Config!$B$6,2000-(D96-Config!$B$5),IF(D96-Config!$B$5&lt;=Config!$B$7,1000-(D96-Config!$B$5),500-MIN(D96-Config!$B$5,400)))))-ROW()/100000)</f>
        <v/>
      </c>
    </row>
    <row r="97">
      <c r="A97" s="31" t="n"/>
      <c r="B97" s="31" t="n"/>
      <c r="C97" s="33" t="n"/>
      <c r="D97" s="34" t="n"/>
      <c r="E97" s="33" t="n"/>
      <c r="F97" s="33" t="n"/>
      <c r="G97" s="31" t="n"/>
      <c r="H97" s="28">
        <f>IF(OR(I97="",I97="Feito",I97="Sem data"),"",D97-Config!$B$5)</f>
        <v/>
      </c>
      <c r="I97" s="25">
        <f>IF(AND(A97="",C97="",D97=""),"",IF(F97="Sim","Feito",IF(D97="","Sem data",IF(D97&lt;Config!$B$5,"Atrasado",IF(D97=Config!$B$5,"Hoje",IF(D97-Config!$B$5&lt;=Config!$B$6,"Até "&amp;Config!$B$6&amp;" dias",IF(D97-Config!$B$5&lt;=Config!$B$7,"Até "&amp;Config!$B$7&amp;" dias","Depois")))))))</f>
        <v/>
      </c>
      <c r="J97" s="35">
        <f>IF(OR(I97="",I97="Feito",I97="Sem data"),0,IF(I97="Atrasado",3000+MIN(Config!$B$5-D97,60),IF(I97="Hoje",2500,IF(D97-Config!$B$5&lt;=Config!$B$6,2000-(D97-Config!$B$5),IF(D97-Config!$B$5&lt;=Config!$B$7,1000-(D97-Config!$B$5),500-MIN(D97-Config!$B$5,400)))))-ROW()/100000)</f>
        <v/>
      </c>
    </row>
    <row r="98">
      <c r="A98" s="31" t="n"/>
      <c r="B98" s="31" t="n"/>
      <c r="C98" s="33" t="n"/>
      <c r="D98" s="34" t="n"/>
      <c r="E98" s="33" t="n"/>
      <c r="F98" s="33" t="n"/>
      <c r="G98" s="31" t="n"/>
      <c r="H98" s="28">
        <f>IF(OR(I98="",I98="Feito",I98="Sem data"),"",D98-Config!$B$5)</f>
        <v/>
      </c>
      <c r="I98" s="25">
        <f>IF(AND(A98="",C98="",D98=""),"",IF(F98="Sim","Feito",IF(D98="","Sem data",IF(D98&lt;Config!$B$5,"Atrasado",IF(D98=Config!$B$5,"Hoje",IF(D98-Config!$B$5&lt;=Config!$B$6,"Até "&amp;Config!$B$6&amp;" dias",IF(D98-Config!$B$5&lt;=Config!$B$7,"Até "&amp;Config!$B$7&amp;" dias","Depois")))))))</f>
        <v/>
      </c>
      <c r="J98" s="35">
        <f>IF(OR(I98="",I98="Feito",I98="Sem data"),0,IF(I98="Atrasado",3000+MIN(Config!$B$5-D98,60),IF(I98="Hoje",2500,IF(D98-Config!$B$5&lt;=Config!$B$6,2000-(D98-Config!$B$5),IF(D98-Config!$B$5&lt;=Config!$B$7,1000-(D98-Config!$B$5),500-MIN(D98-Config!$B$5,400)))))-ROW()/100000)</f>
        <v/>
      </c>
    </row>
    <row r="99">
      <c r="A99" s="31" t="n"/>
      <c r="B99" s="31" t="n"/>
      <c r="C99" s="33" t="n"/>
      <c r="D99" s="34" t="n"/>
      <c r="E99" s="33" t="n"/>
      <c r="F99" s="33" t="n"/>
      <c r="G99" s="31" t="n"/>
      <c r="H99" s="28">
        <f>IF(OR(I99="",I99="Feito",I99="Sem data"),"",D99-Config!$B$5)</f>
        <v/>
      </c>
      <c r="I99" s="25">
        <f>IF(AND(A99="",C99="",D99=""),"",IF(F99="Sim","Feito",IF(D99="","Sem data",IF(D99&lt;Config!$B$5,"Atrasado",IF(D99=Config!$B$5,"Hoje",IF(D99-Config!$B$5&lt;=Config!$B$6,"Até "&amp;Config!$B$6&amp;" dias",IF(D99-Config!$B$5&lt;=Config!$B$7,"Até "&amp;Config!$B$7&amp;" dias","Depois")))))))</f>
        <v/>
      </c>
      <c r="J99" s="35">
        <f>IF(OR(I99="",I99="Feito",I99="Sem data"),0,IF(I99="Atrasado",3000+MIN(Config!$B$5-D99,60),IF(I99="Hoje",2500,IF(D99-Config!$B$5&lt;=Config!$B$6,2000-(D99-Config!$B$5),IF(D99-Config!$B$5&lt;=Config!$B$7,1000-(D99-Config!$B$5),500-MIN(D99-Config!$B$5,400)))))-ROW()/100000)</f>
        <v/>
      </c>
    </row>
    <row r="100">
      <c r="A100" s="31" t="n"/>
      <c r="B100" s="31" t="n"/>
      <c r="C100" s="33" t="n"/>
      <c r="D100" s="34" t="n"/>
      <c r="E100" s="33" t="n"/>
      <c r="F100" s="33" t="n"/>
      <c r="G100" s="31" t="n"/>
      <c r="H100" s="28">
        <f>IF(OR(I100="",I100="Feito",I100="Sem data"),"",D100-Config!$B$5)</f>
        <v/>
      </c>
      <c r="I100" s="25">
        <f>IF(AND(A100="",C100="",D100=""),"",IF(F100="Sim","Feito",IF(D100="","Sem data",IF(D100&lt;Config!$B$5,"Atrasado",IF(D100=Config!$B$5,"Hoje",IF(D100-Config!$B$5&lt;=Config!$B$6,"Até "&amp;Config!$B$6&amp;" dias",IF(D100-Config!$B$5&lt;=Config!$B$7,"Até "&amp;Config!$B$7&amp;" dias","Depois")))))))</f>
        <v/>
      </c>
      <c r="J100" s="35">
        <f>IF(OR(I100="",I100="Feito",I100="Sem data"),0,IF(I100="Atrasado",3000+MIN(Config!$B$5-D100,60),IF(I100="Hoje",2500,IF(D100-Config!$B$5&lt;=Config!$B$6,2000-(D100-Config!$B$5),IF(D100-Config!$B$5&lt;=Config!$B$7,1000-(D100-Config!$B$5),500-MIN(D100-Config!$B$5,400)))))-ROW()/100000)</f>
        <v/>
      </c>
    </row>
    <row r="101">
      <c r="A101" s="31" t="n"/>
      <c r="B101" s="31" t="n"/>
      <c r="C101" s="33" t="n"/>
      <c r="D101" s="34" t="n"/>
      <c r="E101" s="33" t="n"/>
      <c r="F101" s="33" t="n"/>
      <c r="G101" s="31" t="n"/>
      <c r="H101" s="28">
        <f>IF(OR(I101="",I101="Feito",I101="Sem data"),"",D101-Config!$B$5)</f>
        <v/>
      </c>
      <c r="I101" s="25">
        <f>IF(AND(A101="",C101="",D101=""),"",IF(F101="Sim","Feito",IF(D101="","Sem data",IF(D101&lt;Config!$B$5,"Atrasado",IF(D101=Config!$B$5,"Hoje",IF(D101-Config!$B$5&lt;=Config!$B$6,"Até "&amp;Config!$B$6&amp;" dias",IF(D101-Config!$B$5&lt;=Config!$B$7,"Até "&amp;Config!$B$7&amp;" dias","Depois")))))))</f>
        <v/>
      </c>
      <c r="J101" s="35">
        <f>IF(OR(I101="",I101="Feito",I101="Sem data"),0,IF(I101="Atrasado",3000+MIN(Config!$B$5-D101,60),IF(I101="Hoje",2500,IF(D101-Config!$B$5&lt;=Config!$B$6,2000-(D101-Config!$B$5),IF(D101-Config!$B$5&lt;=Config!$B$7,1000-(D101-Config!$B$5),500-MIN(D101-Config!$B$5,400)))))-ROW()/100000)</f>
        <v/>
      </c>
    </row>
    <row r="102">
      <c r="A102" s="31" t="n"/>
      <c r="B102" s="31" t="n"/>
      <c r="C102" s="33" t="n"/>
      <c r="D102" s="34" t="n"/>
      <c r="E102" s="33" t="n"/>
      <c r="F102" s="33" t="n"/>
      <c r="G102" s="31" t="n"/>
      <c r="H102" s="28">
        <f>IF(OR(I102="",I102="Feito",I102="Sem data"),"",D102-Config!$B$5)</f>
        <v/>
      </c>
      <c r="I102" s="25">
        <f>IF(AND(A102="",C102="",D102=""),"",IF(F102="Sim","Feito",IF(D102="","Sem data",IF(D102&lt;Config!$B$5,"Atrasado",IF(D102=Config!$B$5,"Hoje",IF(D102-Config!$B$5&lt;=Config!$B$6,"Até "&amp;Config!$B$6&amp;" dias",IF(D102-Config!$B$5&lt;=Config!$B$7,"Até "&amp;Config!$B$7&amp;" dias","Depois")))))))</f>
        <v/>
      </c>
      <c r="J102" s="35">
        <f>IF(OR(I102="",I102="Feito",I102="Sem data"),0,IF(I102="Atrasado",3000+MIN(Config!$B$5-D102,60),IF(I102="Hoje",2500,IF(D102-Config!$B$5&lt;=Config!$B$6,2000-(D102-Config!$B$5),IF(D102-Config!$B$5&lt;=Config!$B$7,1000-(D102-Config!$B$5),500-MIN(D102-Config!$B$5,400)))))-ROW()/100000)</f>
        <v/>
      </c>
    </row>
    <row r="103">
      <c r="A103" s="31" t="n"/>
      <c r="B103" s="31" t="n"/>
      <c r="C103" s="33" t="n"/>
      <c r="D103" s="34" t="n"/>
      <c r="E103" s="33" t="n"/>
      <c r="F103" s="33" t="n"/>
      <c r="G103" s="31" t="n"/>
      <c r="H103" s="28">
        <f>IF(OR(I103="",I103="Feito",I103="Sem data"),"",D103-Config!$B$5)</f>
        <v/>
      </c>
      <c r="I103" s="25">
        <f>IF(AND(A103="",C103="",D103=""),"",IF(F103="Sim","Feito",IF(D103="","Sem data",IF(D103&lt;Config!$B$5,"Atrasado",IF(D103=Config!$B$5,"Hoje",IF(D103-Config!$B$5&lt;=Config!$B$6,"Até "&amp;Config!$B$6&amp;" dias",IF(D103-Config!$B$5&lt;=Config!$B$7,"Até "&amp;Config!$B$7&amp;" dias","Depois")))))))</f>
        <v/>
      </c>
      <c r="J103" s="35">
        <f>IF(OR(I103="",I103="Feito",I103="Sem data"),0,IF(I103="Atrasado",3000+MIN(Config!$B$5-D103,60),IF(I103="Hoje",2500,IF(D103-Config!$B$5&lt;=Config!$B$6,2000-(D103-Config!$B$5),IF(D103-Config!$B$5&lt;=Config!$B$7,1000-(D103-Config!$B$5),500-MIN(D103-Config!$B$5,400)))))-ROW()/100000)</f>
        <v/>
      </c>
    </row>
    <row r="104">
      <c r="A104" s="31" t="n"/>
      <c r="B104" s="31" t="n"/>
      <c r="C104" s="33" t="n"/>
      <c r="D104" s="34" t="n"/>
      <c r="E104" s="33" t="n"/>
      <c r="F104" s="33" t="n"/>
      <c r="G104" s="31" t="n"/>
      <c r="H104" s="28">
        <f>IF(OR(I104="",I104="Feito",I104="Sem data"),"",D104-Config!$B$5)</f>
        <v/>
      </c>
      <c r="I104" s="25">
        <f>IF(AND(A104="",C104="",D104=""),"",IF(F104="Sim","Feito",IF(D104="","Sem data",IF(D104&lt;Config!$B$5,"Atrasado",IF(D104=Config!$B$5,"Hoje",IF(D104-Config!$B$5&lt;=Config!$B$6,"Até "&amp;Config!$B$6&amp;" dias",IF(D104-Config!$B$5&lt;=Config!$B$7,"Até "&amp;Config!$B$7&amp;" dias","Depois")))))))</f>
        <v/>
      </c>
      <c r="J104" s="35">
        <f>IF(OR(I104="",I104="Feito",I104="Sem data"),0,IF(I104="Atrasado",3000+MIN(Config!$B$5-D104,60),IF(I104="Hoje",2500,IF(D104-Config!$B$5&lt;=Config!$B$6,2000-(D104-Config!$B$5),IF(D104-Config!$B$5&lt;=Config!$B$7,1000-(D104-Config!$B$5),500-MIN(D104-Config!$B$5,400)))))-ROW()/100000)</f>
        <v/>
      </c>
    </row>
    <row r="105">
      <c r="A105" s="31" t="n"/>
      <c r="B105" s="31" t="n"/>
      <c r="C105" s="33" t="n"/>
      <c r="D105" s="34" t="n"/>
      <c r="E105" s="33" t="n"/>
      <c r="F105" s="33" t="n"/>
      <c r="G105" s="31" t="n"/>
      <c r="H105" s="28">
        <f>IF(OR(I105="",I105="Feito",I105="Sem data"),"",D105-Config!$B$5)</f>
        <v/>
      </c>
      <c r="I105" s="25">
        <f>IF(AND(A105="",C105="",D105=""),"",IF(F105="Sim","Feito",IF(D105="","Sem data",IF(D105&lt;Config!$B$5,"Atrasado",IF(D105=Config!$B$5,"Hoje",IF(D105-Config!$B$5&lt;=Config!$B$6,"Até "&amp;Config!$B$6&amp;" dias",IF(D105-Config!$B$5&lt;=Config!$B$7,"Até "&amp;Config!$B$7&amp;" dias","Depois")))))))</f>
        <v/>
      </c>
      <c r="J105" s="35">
        <f>IF(OR(I105="",I105="Feito",I105="Sem data"),0,IF(I105="Atrasado",3000+MIN(Config!$B$5-D105,60),IF(I105="Hoje",2500,IF(D105-Config!$B$5&lt;=Config!$B$6,2000-(D105-Config!$B$5),IF(D105-Config!$B$5&lt;=Config!$B$7,1000-(D105-Config!$B$5),500-MIN(D105-Config!$B$5,400)))))-ROW()/100000)</f>
        <v/>
      </c>
    </row>
    <row r="106">
      <c r="A106" s="31" t="n"/>
      <c r="B106" s="31" t="n"/>
      <c r="C106" s="33" t="n"/>
      <c r="D106" s="34" t="n"/>
      <c r="E106" s="33" t="n"/>
      <c r="F106" s="33" t="n"/>
      <c r="G106" s="31" t="n"/>
      <c r="H106" s="28">
        <f>IF(OR(I106="",I106="Feito",I106="Sem data"),"",D106-Config!$B$5)</f>
        <v/>
      </c>
      <c r="I106" s="25">
        <f>IF(AND(A106="",C106="",D106=""),"",IF(F106="Sim","Feito",IF(D106="","Sem data",IF(D106&lt;Config!$B$5,"Atrasado",IF(D106=Config!$B$5,"Hoje",IF(D106-Config!$B$5&lt;=Config!$B$6,"Até "&amp;Config!$B$6&amp;" dias",IF(D106-Config!$B$5&lt;=Config!$B$7,"Até "&amp;Config!$B$7&amp;" dias","Depois")))))))</f>
        <v/>
      </c>
      <c r="J106" s="35">
        <f>IF(OR(I106="",I106="Feito",I106="Sem data"),0,IF(I106="Atrasado",3000+MIN(Config!$B$5-D106,60),IF(I106="Hoje",2500,IF(D106-Config!$B$5&lt;=Config!$B$6,2000-(D106-Config!$B$5),IF(D106-Config!$B$5&lt;=Config!$B$7,1000-(D106-Config!$B$5),500-MIN(D106-Config!$B$5,400)))))-ROW()/100000)</f>
        <v/>
      </c>
    </row>
    <row r="107">
      <c r="A107" s="31" t="n"/>
      <c r="B107" s="31" t="n"/>
      <c r="C107" s="33" t="n"/>
      <c r="D107" s="34" t="n"/>
      <c r="E107" s="33" t="n"/>
      <c r="F107" s="33" t="n"/>
      <c r="G107" s="31" t="n"/>
      <c r="H107" s="28">
        <f>IF(OR(I107="",I107="Feito",I107="Sem data"),"",D107-Config!$B$5)</f>
        <v/>
      </c>
      <c r="I107" s="25">
        <f>IF(AND(A107="",C107="",D107=""),"",IF(F107="Sim","Feito",IF(D107="","Sem data",IF(D107&lt;Config!$B$5,"Atrasado",IF(D107=Config!$B$5,"Hoje",IF(D107-Config!$B$5&lt;=Config!$B$6,"Até "&amp;Config!$B$6&amp;" dias",IF(D107-Config!$B$5&lt;=Config!$B$7,"Até "&amp;Config!$B$7&amp;" dias","Depois")))))))</f>
        <v/>
      </c>
      <c r="J107" s="35">
        <f>IF(OR(I107="",I107="Feito",I107="Sem data"),0,IF(I107="Atrasado",3000+MIN(Config!$B$5-D107,60),IF(I107="Hoje",2500,IF(D107-Config!$B$5&lt;=Config!$B$6,2000-(D107-Config!$B$5),IF(D107-Config!$B$5&lt;=Config!$B$7,1000-(D107-Config!$B$5),500-MIN(D107-Config!$B$5,400)))))-ROW()/100000)</f>
        <v/>
      </c>
    </row>
    <row r="108">
      <c r="A108" s="31" t="n"/>
      <c r="B108" s="31" t="n"/>
      <c r="C108" s="33" t="n"/>
      <c r="D108" s="34" t="n"/>
      <c r="E108" s="33" t="n"/>
      <c r="F108" s="33" t="n"/>
      <c r="G108" s="31" t="n"/>
      <c r="H108" s="28">
        <f>IF(OR(I108="",I108="Feito",I108="Sem data"),"",D108-Config!$B$5)</f>
        <v/>
      </c>
      <c r="I108" s="25">
        <f>IF(AND(A108="",C108="",D108=""),"",IF(F108="Sim","Feito",IF(D108="","Sem data",IF(D108&lt;Config!$B$5,"Atrasado",IF(D108=Config!$B$5,"Hoje",IF(D108-Config!$B$5&lt;=Config!$B$6,"Até "&amp;Config!$B$6&amp;" dias",IF(D108-Config!$B$5&lt;=Config!$B$7,"Até "&amp;Config!$B$7&amp;" dias","Depois")))))))</f>
        <v/>
      </c>
      <c r="J108" s="35">
        <f>IF(OR(I108="",I108="Feito",I108="Sem data"),0,IF(I108="Atrasado",3000+MIN(Config!$B$5-D108,60),IF(I108="Hoje",2500,IF(D108-Config!$B$5&lt;=Config!$B$6,2000-(D108-Config!$B$5),IF(D108-Config!$B$5&lt;=Config!$B$7,1000-(D108-Config!$B$5),500-MIN(D108-Config!$B$5,400)))))-ROW()/100000)</f>
        <v/>
      </c>
    </row>
    <row r="109">
      <c r="A109" s="31" t="n"/>
      <c r="B109" s="31" t="n"/>
      <c r="C109" s="33" t="n"/>
      <c r="D109" s="34" t="n"/>
      <c r="E109" s="33" t="n"/>
      <c r="F109" s="33" t="n"/>
      <c r="G109" s="31" t="n"/>
      <c r="H109" s="28">
        <f>IF(OR(I109="",I109="Feito",I109="Sem data"),"",D109-Config!$B$5)</f>
        <v/>
      </c>
      <c r="I109" s="25">
        <f>IF(AND(A109="",C109="",D109=""),"",IF(F109="Sim","Feito",IF(D109="","Sem data",IF(D109&lt;Config!$B$5,"Atrasado",IF(D109=Config!$B$5,"Hoje",IF(D109-Config!$B$5&lt;=Config!$B$6,"Até "&amp;Config!$B$6&amp;" dias",IF(D109-Config!$B$5&lt;=Config!$B$7,"Até "&amp;Config!$B$7&amp;" dias","Depois")))))))</f>
        <v/>
      </c>
      <c r="J109" s="35">
        <f>IF(OR(I109="",I109="Feito",I109="Sem data"),0,IF(I109="Atrasado",3000+MIN(Config!$B$5-D109,60),IF(I109="Hoje",2500,IF(D109-Config!$B$5&lt;=Config!$B$6,2000-(D109-Config!$B$5),IF(D109-Config!$B$5&lt;=Config!$B$7,1000-(D109-Config!$B$5),500-MIN(D109-Config!$B$5,400)))))-ROW()/100000)</f>
        <v/>
      </c>
    </row>
    <row r="110">
      <c r="A110" s="31" t="n"/>
      <c r="B110" s="31" t="n"/>
      <c r="C110" s="33" t="n"/>
      <c r="D110" s="34" t="n"/>
      <c r="E110" s="33" t="n"/>
      <c r="F110" s="33" t="n"/>
      <c r="G110" s="31" t="n"/>
      <c r="H110" s="28">
        <f>IF(OR(I110="",I110="Feito",I110="Sem data"),"",D110-Config!$B$5)</f>
        <v/>
      </c>
      <c r="I110" s="25">
        <f>IF(AND(A110="",C110="",D110=""),"",IF(F110="Sim","Feito",IF(D110="","Sem data",IF(D110&lt;Config!$B$5,"Atrasado",IF(D110=Config!$B$5,"Hoje",IF(D110-Config!$B$5&lt;=Config!$B$6,"Até "&amp;Config!$B$6&amp;" dias",IF(D110-Config!$B$5&lt;=Config!$B$7,"Até "&amp;Config!$B$7&amp;" dias","Depois")))))))</f>
        <v/>
      </c>
      <c r="J110" s="35">
        <f>IF(OR(I110="",I110="Feito",I110="Sem data"),0,IF(I110="Atrasado",3000+MIN(Config!$B$5-D110,60),IF(I110="Hoje",2500,IF(D110-Config!$B$5&lt;=Config!$B$6,2000-(D110-Config!$B$5),IF(D110-Config!$B$5&lt;=Config!$B$7,1000-(D110-Config!$B$5),500-MIN(D110-Config!$B$5,400)))))-ROW()/100000)</f>
        <v/>
      </c>
    </row>
    <row r="111">
      <c r="A111" s="31" t="n"/>
      <c r="B111" s="31" t="n"/>
      <c r="C111" s="33" t="n"/>
      <c r="D111" s="34" t="n"/>
      <c r="E111" s="33" t="n"/>
      <c r="F111" s="33" t="n"/>
      <c r="G111" s="31" t="n"/>
      <c r="H111" s="28">
        <f>IF(OR(I111="",I111="Feito",I111="Sem data"),"",D111-Config!$B$5)</f>
        <v/>
      </c>
      <c r="I111" s="25">
        <f>IF(AND(A111="",C111="",D111=""),"",IF(F111="Sim","Feito",IF(D111="","Sem data",IF(D111&lt;Config!$B$5,"Atrasado",IF(D111=Config!$B$5,"Hoje",IF(D111-Config!$B$5&lt;=Config!$B$6,"Até "&amp;Config!$B$6&amp;" dias",IF(D111-Config!$B$5&lt;=Config!$B$7,"Até "&amp;Config!$B$7&amp;" dias","Depois")))))))</f>
        <v/>
      </c>
      <c r="J111" s="35">
        <f>IF(OR(I111="",I111="Feito",I111="Sem data"),0,IF(I111="Atrasado",3000+MIN(Config!$B$5-D111,60),IF(I111="Hoje",2500,IF(D111-Config!$B$5&lt;=Config!$B$6,2000-(D111-Config!$B$5),IF(D111-Config!$B$5&lt;=Config!$B$7,1000-(D111-Config!$B$5),500-MIN(D111-Config!$B$5,400)))))-ROW()/100000)</f>
        <v/>
      </c>
    </row>
    <row r="112">
      <c r="A112" s="31" t="n"/>
      <c r="B112" s="31" t="n"/>
      <c r="C112" s="33" t="n"/>
      <c r="D112" s="34" t="n"/>
      <c r="E112" s="33" t="n"/>
      <c r="F112" s="33" t="n"/>
      <c r="G112" s="31" t="n"/>
      <c r="H112" s="28">
        <f>IF(OR(I112="",I112="Feito",I112="Sem data"),"",D112-Config!$B$5)</f>
        <v/>
      </c>
      <c r="I112" s="25">
        <f>IF(AND(A112="",C112="",D112=""),"",IF(F112="Sim","Feito",IF(D112="","Sem data",IF(D112&lt;Config!$B$5,"Atrasado",IF(D112=Config!$B$5,"Hoje",IF(D112-Config!$B$5&lt;=Config!$B$6,"Até "&amp;Config!$B$6&amp;" dias",IF(D112-Config!$B$5&lt;=Config!$B$7,"Até "&amp;Config!$B$7&amp;" dias","Depois")))))))</f>
        <v/>
      </c>
      <c r="J112" s="35">
        <f>IF(OR(I112="",I112="Feito",I112="Sem data"),0,IF(I112="Atrasado",3000+MIN(Config!$B$5-D112,60),IF(I112="Hoje",2500,IF(D112-Config!$B$5&lt;=Config!$B$6,2000-(D112-Config!$B$5),IF(D112-Config!$B$5&lt;=Config!$B$7,1000-(D112-Config!$B$5),500-MIN(D112-Config!$B$5,400)))))-ROW()/100000)</f>
        <v/>
      </c>
    </row>
    <row r="113">
      <c r="A113" s="31" t="n"/>
      <c r="B113" s="31" t="n"/>
      <c r="C113" s="33" t="n"/>
      <c r="D113" s="34" t="n"/>
      <c r="E113" s="33" t="n"/>
      <c r="F113" s="33" t="n"/>
      <c r="G113" s="31" t="n"/>
      <c r="H113" s="28">
        <f>IF(OR(I113="",I113="Feito",I113="Sem data"),"",D113-Config!$B$5)</f>
        <v/>
      </c>
      <c r="I113" s="25">
        <f>IF(AND(A113="",C113="",D113=""),"",IF(F113="Sim","Feito",IF(D113="","Sem data",IF(D113&lt;Config!$B$5,"Atrasado",IF(D113=Config!$B$5,"Hoje",IF(D113-Config!$B$5&lt;=Config!$B$6,"Até "&amp;Config!$B$6&amp;" dias",IF(D113-Config!$B$5&lt;=Config!$B$7,"Até "&amp;Config!$B$7&amp;" dias","Depois")))))))</f>
        <v/>
      </c>
      <c r="J113" s="35">
        <f>IF(OR(I113="",I113="Feito",I113="Sem data"),0,IF(I113="Atrasado",3000+MIN(Config!$B$5-D113,60),IF(I113="Hoje",2500,IF(D113-Config!$B$5&lt;=Config!$B$6,2000-(D113-Config!$B$5),IF(D113-Config!$B$5&lt;=Config!$B$7,1000-(D113-Config!$B$5),500-MIN(D113-Config!$B$5,400)))))-ROW()/100000)</f>
        <v/>
      </c>
    </row>
    <row r="114">
      <c r="A114" s="31" t="n"/>
      <c r="B114" s="31" t="n"/>
      <c r="C114" s="33" t="n"/>
      <c r="D114" s="34" t="n"/>
      <c r="E114" s="33" t="n"/>
      <c r="F114" s="33" t="n"/>
      <c r="G114" s="31" t="n"/>
      <c r="H114" s="28">
        <f>IF(OR(I114="",I114="Feito",I114="Sem data"),"",D114-Config!$B$5)</f>
        <v/>
      </c>
      <c r="I114" s="25">
        <f>IF(AND(A114="",C114="",D114=""),"",IF(F114="Sim","Feito",IF(D114="","Sem data",IF(D114&lt;Config!$B$5,"Atrasado",IF(D114=Config!$B$5,"Hoje",IF(D114-Config!$B$5&lt;=Config!$B$6,"Até "&amp;Config!$B$6&amp;" dias",IF(D114-Config!$B$5&lt;=Config!$B$7,"Até "&amp;Config!$B$7&amp;" dias","Depois")))))))</f>
        <v/>
      </c>
      <c r="J114" s="35">
        <f>IF(OR(I114="",I114="Feito",I114="Sem data"),0,IF(I114="Atrasado",3000+MIN(Config!$B$5-D114,60),IF(I114="Hoje",2500,IF(D114-Config!$B$5&lt;=Config!$B$6,2000-(D114-Config!$B$5),IF(D114-Config!$B$5&lt;=Config!$B$7,1000-(D114-Config!$B$5),500-MIN(D114-Config!$B$5,400)))))-ROW()/100000)</f>
        <v/>
      </c>
    </row>
    <row r="115">
      <c r="A115" s="31" t="n"/>
      <c r="B115" s="31" t="n"/>
      <c r="C115" s="33" t="n"/>
      <c r="D115" s="34" t="n"/>
      <c r="E115" s="33" t="n"/>
      <c r="F115" s="33" t="n"/>
      <c r="G115" s="31" t="n"/>
      <c r="H115" s="28">
        <f>IF(OR(I115="",I115="Feito",I115="Sem data"),"",D115-Config!$B$5)</f>
        <v/>
      </c>
      <c r="I115" s="25">
        <f>IF(AND(A115="",C115="",D115=""),"",IF(F115="Sim","Feito",IF(D115="","Sem data",IF(D115&lt;Config!$B$5,"Atrasado",IF(D115=Config!$B$5,"Hoje",IF(D115-Config!$B$5&lt;=Config!$B$6,"Até "&amp;Config!$B$6&amp;" dias",IF(D115-Config!$B$5&lt;=Config!$B$7,"Até "&amp;Config!$B$7&amp;" dias","Depois")))))))</f>
        <v/>
      </c>
      <c r="J115" s="35">
        <f>IF(OR(I115="",I115="Feito",I115="Sem data"),0,IF(I115="Atrasado",3000+MIN(Config!$B$5-D115,60),IF(I115="Hoje",2500,IF(D115-Config!$B$5&lt;=Config!$B$6,2000-(D115-Config!$B$5),IF(D115-Config!$B$5&lt;=Config!$B$7,1000-(D115-Config!$B$5),500-MIN(D115-Config!$B$5,400)))))-ROW()/100000)</f>
        <v/>
      </c>
    </row>
    <row r="116">
      <c r="A116" s="31" t="n"/>
      <c r="B116" s="31" t="n"/>
      <c r="C116" s="33" t="n"/>
      <c r="D116" s="34" t="n"/>
      <c r="E116" s="33" t="n"/>
      <c r="F116" s="33" t="n"/>
      <c r="G116" s="31" t="n"/>
      <c r="H116" s="28">
        <f>IF(OR(I116="",I116="Feito",I116="Sem data"),"",D116-Config!$B$5)</f>
        <v/>
      </c>
      <c r="I116" s="25">
        <f>IF(AND(A116="",C116="",D116=""),"",IF(F116="Sim","Feito",IF(D116="","Sem data",IF(D116&lt;Config!$B$5,"Atrasado",IF(D116=Config!$B$5,"Hoje",IF(D116-Config!$B$5&lt;=Config!$B$6,"Até "&amp;Config!$B$6&amp;" dias",IF(D116-Config!$B$5&lt;=Config!$B$7,"Até "&amp;Config!$B$7&amp;" dias","Depois")))))))</f>
        <v/>
      </c>
      <c r="J116" s="35">
        <f>IF(OR(I116="",I116="Feito",I116="Sem data"),0,IF(I116="Atrasado",3000+MIN(Config!$B$5-D116,60),IF(I116="Hoje",2500,IF(D116-Config!$B$5&lt;=Config!$B$6,2000-(D116-Config!$B$5),IF(D116-Config!$B$5&lt;=Config!$B$7,1000-(D116-Config!$B$5),500-MIN(D116-Config!$B$5,400)))))-ROW()/100000)</f>
        <v/>
      </c>
    </row>
    <row r="117">
      <c r="A117" s="31" t="n"/>
      <c r="B117" s="31" t="n"/>
      <c r="C117" s="33" t="n"/>
      <c r="D117" s="34" t="n"/>
      <c r="E117" s="33" t="n"/>
      <c r="F117" s="33" t="n"/>
      <c r="G117" s="31" t="n"/>
      <c r="H117" s="28">
        <f>IF(OR(I117="",I117="Feito",I117="Sem data"),"",D117-Config!$B$5)</f>
        <v/>
      </c>
      <c r="I117" s="25">
        <f>IF(AND(A117="",C117="",D117=""),"",IF(F117="Sim","Feito",IF(D117="","Sem data",IF(D117&lt;Config!$B$5,"Atrasado",IF(D117=Config!$B$5,"Hoje",IF(D117-Config!$B$5&lt;=Config!$B$6,"Até "&amp;Config!$B$6&amp;" dias",IF(D117-Config!$B$5&lt;=Config!$B$7,"Até "&amp;Config!$B$7&amp;" dias","Depois")))))))</f>
        <v/>
      </c>
      <c r="J117" s="35">
        <f>IF(OR(I117="",I117="Feito",I117="Sem data"),0,IF(I117="Atrasado",3000+MIN(Config!$B$5-D117,60),IF(I117="Hoje",2500,IF(D117-Config!$B$5&lt;=Config!$B$6,2000-(D117-Config!$B$5),IF(D117-Config!$B$5&lt;=Config!$B$7,1000-(D117-Config!$B$5),500-MIN(D117-Config!$B$5,400)))))-ROW()/100000)</f>
        <v/>
      </c>
    </row>
    <row r="118">
      <c r="A118" s="31" t="n"/>
      <c r="B118" s="31" t="n"/>
      <c r="C118" s="33" t="n"/>
      <c r="D118" s="34" t="n"/>
      <c r="E118" s="33" t="n"/>
      <c r="F118" s="33" t="n"/>
      <c r="G118" s="31" t="n"/>
      <c r="H118" s="28">
        <f>IF(OR(I118="",I118="Feito",I118="Sem data"),"",D118-Config!$B$5)</f>
        <v/>
      </c>
      <c r="I118" s="25">
        <f>IF(AND(A118="",C118="",D118=""),"",IF(F118="Sim","Feito",IF(D118="","Sem data",IF(D118&lt;Config!$B$5,"Atrasado",IF(D118=Config!$B$5,"Hoje",IF(D118-Config!$B$5&lt;=Config!$B$6,"Até "&amp;Config!$B$6&amp;" dias",IF(D118-Config!$B$5&lt;=Config!$B$7,"Até "&amp;Config!$B$7&amp;" dias","Depois")))))))</f>
        <v/>
      </c>
      <c r="J118" s="35">
        <f>IF(OR(I118="",I118="Feito",I118="Sem data"),0,IF(I118="Atrasado",3000+MIN(Config!$B$5-D118,60),IF(I118="Hoje",2500,IF(D118-Config!$B$5&lt;=Config!$B$6,2000-(D118-Config!$B$5),IF(D118-Config!$B$5&lt;=Config!$B$7,1000-(D118-Config!$B$5),500-MIN(D118-Config!$B$5,400)))))-ROW()/100000)</f>
        <v/>
      </c>
    </row>
    <row r="119">
      <c r="A119" s="31" t="n"/>
      <c r="B119" s="31" t="n"/>
      <c r="C119" s="33" t="n"/>
      <c r="D119" s="34" t="n"/>
      <c r="E119" s="33" t="n"/>
      <c r="F119" s="33" t="n"/>
      <c r="G119" s="31" t="n"/>
      <c r="H119" s="28">
        <f>IF(OR(I119="",I119="Feito",I119="Sem data"),"",D119-Config!$B$5)</f>
        <v/>
      </c>
      <c r="I119" s="25">
        <f>IF(AND(A119="",C119="",D119=""),"",IF(F119="Sim","Feito",IF(D119="","Sem data",IF(D119&lt;Config!$B$5,"Atrasado",IF(D119=Config!$B$5,"Hoje",IF(D119-Config!$B$5&lt;=Config!$B$6,"Até "&amp;Config!$B$6&amp;" dias",IF(D119-Config!$B$5&lt;=Config!$B$7,"Até "&amp;Config!$B$7&amp;" dias","Depois")))))))</f>
        <v/>
      </c>
      <c r="J119" s="35">
        <f>IF(OR(I119="",I119="Feito",I119="Sem data"),0,IF(I119="Atrasado",3000+MIN(Config!$B$5-D119,60),IF(I119="Hoje",2500,IF(D119-Config!$B$5&lt;=Config!$B$6,2000-(D119-Config!$B$5),IF(D119-Config!$B$5&lt;=Config!$B$7,1000-(D119-Config!$B$5),500-MIN(D119-Config!$B$5,400)))))-ROW()/100000)</f>
        <v/>
      </c>
    </row>
    <row r="120">
      <c r="A120" s="31" t="n"/>
      <c r="B120" s="31" t="n"/>
      <c r="C120" s="33" t="n"/>
      <c r="D120" s="34" t="n"/>
      <c r="E120" s="33" t="n"/>
      <c r="F120" s="33" t="n"/>
      <c r="G120" s="31" t="n"/>
      <c r="H120" s="28">
        <f>IF(OR(I120="",I120="Feito",I120="Sem data"),"",D120-Config!$B$5)</f>
        <v/>
      </c>
      <c r="I120" s="25">
        <f>IF(AND(A120="",C120="",D120=""),"",IF(F120="Sim","Feito",IF(D120="","Sem data",IF(D120&lt;Config!$B$5,"Atrasado",IF(D120=Config!$B$5,"Hoje",IF(D120-Config!$B$5&lt;=Config!$B$6,"Até "&amp;Config!$B$6&amp;" dias",IF(D120-Config!$B$5&lt;=Config!$B$7,"Até "&amp;Config!$B$7&amp;" dias","Depois")))))))</f>
        <v/>
      </c>
      <c r="J120" s="35">
        <f>IF(OR(I120="",I120="Feito",I120="Sem data"),0,IF(I120="Atrasado",3000+MIN(Config!$B$5-D120,60),IF(I120="Hoje",2500,IF(D120-Config!$B$5&lt;=Config!$B$6,2000-(D120-Config!$B$5),IF(D120-Config!$B$5&lt;=Config!$B$7,1000-(D120-Config!$B$5),500-MIN(D120-Config!$B$5,400)))))-ROW()/100000)</f>
        <v/>
      </c>
    </row>
    <row r="121">
      <c r="A121" s="31" t="n"/>
      <c r="B121" s="31" t="n"/>
      <c r="C121" s="33" t="n"/>
      <c r="D121" s="34" t="n"/>
      <c r="E121" s="33" t="n"/>
      <c r="F121" s="33" t="n"/>
      <c r="G121" s="31" t="n"/>
      <c r="H121" s="28">
        <f>IF(OR(I121="",I121="Feito",I121="Sem data"),"",D121-Config!$B$5)</f>
        <v/>
      </c>
      <c r="I121" s="25">
        <f>IF(AND(A121="",C121="",D121=""),"",IF(F121="Sim","Feito",IF(D121="","Sem data",IF(D121&lt;Config!$B$5,"Atrasado",IF(D121=Config!$B$5,"Hoje",IF(D121-Config!$B$5&lt;=Config!$B$6,"Até "&amp;Config!$B$6&amp;" dias",IF(D121-Config!$B$5&lt;=Config!$B$7,"Até "&amp;Config!$B$7&amp;" dias","Depois")))))))</f>
        <v/>
      </c>
      <c r="J121" s="35">
        <f>IF(OR(I121="",I121="Feito",I121="Sem data"),0,IF(I121="Atrasado",3000+MIN(Config!$B$5-D121,60),IF(I121="Hoje",2500,IF(D121-Config!$B$5&lt;=Config!$B$6,2000-(D121-Config!$B$5),IF(D121-Config!$B$5&lt;=Config!$B$7,1000-(D121-Config!$B$5),500-MIN(D121-Config!$B$5,400)))))-ROW()/100000)</f>
        <v/>
      </c>
    </row>
    <row r="122">
      <c r="A122" s="31" t="n"/>
      <c r="B122" s="31" t="n"/>
      <c r="C122" s="33" t="n"/>
      <c r="D122" s="34" t="n"/>
      <c r="E122" s="33" t="n"/>
      <c r="F122" s="33" t="n"/>
      <c r="G122" s="31" t="n"/>
      <c r="H122" s="28">
        <f>IF(OR(I122="",I122="Feito",I122="Sem data"),"",D122-Config!$B$5)</f>
        <v/>
      </c>
      <c r="I122" s="25">
        <f>IF(AND(A122="",C122="",D122=""),"",IF(F122="Sim","Feito",IF(D122="","Sem data",IF(D122&lt;Config!$B$5,"Atrasado",IF(D122=Config!$B$5,"Hoje",IF(D122-Config!$B$5&lt;=Config!$B$6,"Até "&amp;Config!$B$6&amp;" dias",IF(D122-Config!$B$5&lt;=Config!$B$7,"Até "&amp;Config!$B$7&amp;" dias","Depois")))))))</f>
        <v/>
      </c>
      <c r="J122" s="35">
        <f>IF(OR(I122="",I122="Feito",I122="Sem data"),0,IF(I122="Atrasado",3000+MIN(Config!$B$5-D122,60),IF(I122="Hoje",2500,IF(D122-Config!$B$5&lt;=Config!$B$6,2000-(D122-Config!$B$5),IF(D122-Config!$B$5&lt;=Config!$B$7,1000-(D122-Config!$B$5),500-MIN(D122-Config!$B$5,400)))))-ROW()/100000)</f>
        <v/>
      </c>
    </row>
    <row r="123">
      <c r="A123" s="31" t="n"/>
      <c r="B123" s="31" t="n"/>
      <c r="C123" s="33" t="n"/>
      <c r="D123" s="34" t="n"/>
      <c r="E123" s="33" t="n"/>
      <c r="F123" s="33" t="n"/>
      <c r="G123" s="31" t="n"/>
      <c r="H123" s="28">
        <f>IF(OR(I123="",I123="Feito",I123="Sem data"),"",D123-Config!$B$5)</f>
        <v/>
      </c>
      <c r="I123" s="25">
        <f>IF(AND(A123="",C123="",D123=""),"",IF(F123="Sim","Feito",IF(D123="","Sem data",IF(D123&lt;Config!$B$5,"Atrasado",IF(D123=Config!$B$5,"Hoje",IF(D123-Config!$B$5&lt;=Config!$B$6,"Até "&amp;Config!$B$6&amp;" dias",IF(D123-Config!$B$5&lt;=Config!$B$7,"Até "&amp;Config!$B$7&amp;" dias","Depois")))))))</f>
        <v/>
      </c>
      <c r="J123" s="35">
        <f>IF(OR(I123="",I123="Feito",I123="Sem data"),0,IF(I123="Atrasado",3000+MIN(Config!$B$5-D123,60),IF(I123="Hoje",2500,IF(D123-Config!$B$5&lt;=Config!$B$6,2000-(D123-Config!$B$5),IF(D123-Config!$B$5&lt;=Config!$B$7,1000-(D123-Config!$B$5),500-MIN(D123-Config!$B$5,400)))))-ROW()/100000)</f>
        <v/>
      </c>
    </row>
    <row r="124">
      <c r="A124" s="31" t="n"/>
      <c r="B124" s="31" t="n"/>
      <c r="C124" s="33" t="n"/>
      <c r="D124" s="34" t="n"/>
      <c r="E124" s="33" t="n"/>
      <c r="F124" s="33" t="n"/>
      <c r="G124" s="31" t="n"/>
      <c r="H124" s="28">
        <f>IF(OR(I124="",I124="Feito",I124="Sem data"),"",D124-Config!$B$5)</f>
        <v/>
      </c>
      <c r="I124" s="25">
        <f>IF(AND(A124="",C124="",D124=""),"",IF(F124="Sim","Feito",IF(D124="","Sem data",IF(D124&lt;Config!$B$5,"Atrasado",IF(D124=Config!$B$5,"Hoje",IF(D124-Config!$B$5&lt;=Config!$B$6,"Até "&amp;Config!$B$6&amp;" dias",IF(D124-Config!$B$5&lt;=Config!$B$7,"Até "&amp;Config!$B$7&amp;" dias","Depois")))))))</f>
        <v/>
      </c>
      <c r="J124" s="35">
        <f>IF(OR(I124="",I124="Feito",I124="Sem data"),0,IF(I124="Atrasado",3000+MIN(Config!$B$5-D124,60),IF(I124="Hoje",2500,IF(D124-Config!$B$5&lt;=Config!$B$6,2000-(D124-Config!$B$5),IF(D124-Config!$B$5&lt;=Config!$B$7,1000-(D124-Config!$B$5),500-MIN(D124-Config!$B$5,400)))))-ROW()/100000)</f>
        <v/>
      </c>
    </row>
    <row r="125">
      <c r="A125" s="31" t="n"/>
      <c r="B125" s="31" t="n"/>
      <c r="C125" s="33" t="n"/>
      <c r="D125" s="34" t="n"/>
      <c r="E125" s="33" t="n"/>
      <c r="F125" s="33" t="n"/>
      <c r="G125" s="31" t="n"/>
      <c r="H125" s="28">
        <f>IF(OR(I125="",I125="Feito",I125="Sem data"),"",D125-Config!$B$5)</f>
        <v/>
      </c>
      <c r="I125" s="25">
        <f>IF(AND(A125="",C125="",D125=""),"",IF(F125="Sim","Feito",IF(D125="","Sem data",IF(D125&lt;Config!$B$5,"Atrasado",IF(D125=Config!$B$5,"Hoje",IF(D125-Config!$B$5&lt;=Config!$B$6,"Até "&amp;Config!$B$6&amp;" dias",IF(D125-Config!$B$5&lt;=Config!$B$7,"Até "&amp;Config!$B$7&amp;" dias","Depois")))))))</f>
        <v/>
      </c>
      <c r="J125" s="35">
        <f>IF(OR(I125="",I125="Feito",I125="Sem data"),0,IF(I125="Atrasado",3000+MIN(Config!$B$5-D125,60),IF(I125="Hoje",2500,IF(D125-Config!$B$5&lt;=Config!$B$6,2000-(D125-Config!$B$5),IF(D125-Config!$B$5&lt;=Config!$B$7,1000-(D125-Config!$B$5),500-MIN(D125-Config!$B$5,400)))))-ROW()/100000)</f>
        <v/>
      </c>
    </row>
    <row r="126">
      <c r="A126" s="31" t="n"/>
      <c r="B126" s="31" t="n"/>
      <c r="C126" s="33" t="n"/>
      <c r="D126" s="34" t="n"/>
      <c r="E126" s="33" t="n"/>
      <c r="F126" s="33" t="n"/>
      <c r="G126" s="31" t="n"/>
      <c r="H126" s="28">
        <f>IF(OR(I126="",I126="Feito",I126="Sem data"),"",D126-Config!$B$5)</f>
        <v/>
      </c>
      <c r="I126" s="25">
        <f>IF(AND(A126="",C126="",D126=""),"",IF(F126="Sim","Feito",IF(D126="","Sem data",IF(D126&lt;Config!$B$5,"Atrasado",IF(D126=Config!$B$5,"Hoje",IF(D126-Config!$B$5&lt;=Config!$B$6,"Até "&amp;Config!$B$6&amp;" dias",IF(D126-Config!$B$5&lt;=Config!$B$7,"Até "&amp;Config!$B$7&amp;" dias","Depois")))))))</f>
        <v/>
      </c>
      <c r="J126" s="35">
        <f>IF(OR(I126="",I126="Feito",I126="Sem data"),0,IF(I126="Atrasado",3000+MIN(Config!$B$5-D126,60),IF(I126="Hoje",2500,IF(D126-Config!$B$5&lt;=Config!$B$6,2000-(D126-Config!$B$5),IF(D126-Config!$B$5&lt;=Config!$B$7,1000-(D126-Config!$B$5),500-MIN(D126-Config!$B$5,400)))))-ROW()/100000)</f>
        <v/>
      </c>
    </row>
    <row r="127">
      <c r="A127" s="31" t="n"/>
      <c r="B127" s="31" t="n"/>
      <c r="C127" s="33" t="n"/>
      <c r="D127" s="34" t="n"/>
      <c r="E127" s="33" t="n"/>
      <c r="F127" s="33" t="n"/>
      <c r="G127" s="31" t="n"/>
      <c r="H127" s="28">
        <f>IF(OR(I127="",I127="Feito",I127="Sem data"),"",D127-Config!$B$5)</f>
        <v/>
      </c>
      <c r="I127" s="25">
        <f>IF(AND(A127="",C127="",D127=""),"",IF(F127="Sim","Feito",IF(D127="","Sem data",IF(D127&lt;Config!$B$5,"Atrasado",IF(D127=Config!$B$5,"Hoje",IF(D127-Config!$B$5&lt;=Config!$B$6,"Até "&amp;Config!$B$6&amp;" dias",IF(D127-Config!$B$5&lt;=Config!$B$7,"Até "&amp;Config!$B$7&amp;" dias","Depois")))))))</f>
        <v/>
      </c>
      <c r="J127" s="35">
        <f>IF(OR(I127="",I127="Feito",I127="Sem data"),0,IF(I127="Atrasado",3000+MIN(Config!$B$5-D127,60),IF(I127="Hoje",2500,IF(D127-Config!$B$5&lt;=Config!$B$6,2000-(D127-Config!$B$5),IF(D127-Config!$B$5&lt;=Config!$B$7,1000-(D127-Config!$B$5),500-MIN(D127-Config!$B$5,400)))))-ROW()/100000)</f>
        <v/>
      </c>
    </row>
    <row r="128">
      <c r="A128" s="31" t="n"/>
      <c r="B128" s="31" t="n"/>
      <c r="C128" s="33" t="n"/>
      <c r="D128" s="34" t="n"/>
      <c r="E128" s="33" t="n"/>
      <c r="F128" s="33" t="n"/>
      <c r="G128" s="31" t="n"/>
      <c r="H128" s="28">
        <f>IF(OR(I128="",I128="Feito",I128="Sem data"),"",D128-Config!$B$5)</f>
        <v/>
      </c>
      <c r="I128" s="25">
        <f>IF(AND(A128="",C128="",D128=""),"",IF(F128="Sim","Feito",IF(D128="","Sem data",IF(D128&lt;Config!$B$5,"Atrasado",IF(D128=Config!$B$5,"Hoje",IF(D128-Config!$B$5&lt;=Config!$B$6,"Até "&amp;Config!$B$6&amp;" dias",IF(D128-Config!$B$5&lt;=Config!$B$7,"Até "&amp;Config!$B$7&amp;" dias","Depois")))))))</f>
        <v/>
      </c>
      <c r="J128" s="35">
        <f>IF(OR(I128="",I128="Feito",I128="Sem data"),0,IF(I128="Atrasado",3000+MIN(Config!$B$5-D128,60),IF(I128="Hoje",2500,IF(D128-Config!$B$5&lt;=Config!$B$6,2000-(D128-Config!$B$5),IF(D128-Config!$B$5&lt;=Config!$B$7,1000-(D128-Config!$B$5),500-MIN(D128-Config!$B$5,400)))))-ROW()/100000)</f>
        <v/>
      </c>
    </row>
    <row r="129">
      <c r="A129" s="31" t="n"/>
      <c r="B129" s="31" t="n"/>
      <c r="C129" s="33" t="n"/>
      <c r="D129" s="34" t="n"/>
      <c r="E129" s="33" t="n"/>
      <c r="F129" s="33" t="n"/>
      <c r="G129" s="31" t="n"/>
      <c r="H129" s="28">
        <f>IF(OR(I129="",I129="Feito",I129="Sem data"),"",D129-Config!$B$5)</f>
        <v/>
      </c>
      <c r="I129" s="25">
        <f>IF(AND(A129="",C129="",D129=""),"",IF(F129="Sim","Feito",IF(D129="","Sem data",IF(D129&lt;Config!$B$5,"Atrasado",IF(D129=Config!$B$5,"Hoje",IF(D129-Config!$B$5&lt;=Config!$B$6,"Até "&amp;Config!$B$6&amp;" dias",IF(D129-Config!$B$5&lt;=Config!$B$7,"Até "&amp;Config!$B$7&amp;" dias","Depois")))))))</f>
        <v/>
      </c>
      <c r="J129" s="35">
        <f>IF(OR(I129="",I129="Feito",I129="Sem data"),0,IF(I129="Atrasado",3000+MIN(Config!$B$5-D129,60),IF(I129="Hoje",2500,IF(D129-Config!$B$5&lt;=Config!$B$6,2000-(D129-Config!$B$5),IF(D129-Config!$B$5&lt;=Config!$B$7,1000-(D129-Config!$B$5),500-MIN(D129-Config!$B$5,400)))))-ROW()/100000)</f>
        <v/>
      </c>
    </row>
    <row r="130">
      <c r="A130" s="31" t="n"/>
      <c r="B130" s="31" t="n"/>
      <c r="C130" s="33" t="n"/>
      <c r="D130" s="34" t="n"/>
      <c r="E130" s="33" t="n"/>
      <c r="F130" s="33" t="n"/>
      <c r="G130" s="31" t="n"/>
      <c r="H130" s="28">
        <f>IF(OR(I130="",I130="Feito",I130="Sem data"),"",D130-Config!$B$5)</f>
        <v/>
      </c>
      <c r="I130" s="25">
        <f>IF(AND(A130="",C130="",D130=""),"",IF(F130="Sim","Feito",IF(D130="","Sem data",IF(D130&lt;Config!$B$5,"Atrasado",IF(D130=Config!$B$5,"Hoje",IF(D130-Config!$B$5&lt;=Config!$B$6,"Até "&amp;Config!$B$6&amp;" dias",IF(D130-Config!$B$5&lt;=Config!$B$7,"Até "&amp;Config!$B$7&amp;" dias","Depois")))))))</f>
        <v/>
      </c>
      <c r="J130" s="35">
        <f>IF(OR(I130="",I130="Feito",I130="Sem data"),0,IF(I130="Atrasado",3000+MIN(Config!$B$5-D130,60),IF(I130="Hoje",2500,IF(D130-Config!$B$5&lt;=Config!$B$6,2000-(D130-Config!$B$5),IF(D130-Config!$B$5&lt;=Config!$B$7,1000-(D130-Config!$B$5),500-MIN(D130-Config!$B$5,400)))))-ROW()/100000)</f>
        <v/>
      </c>
    </row>
    <row r="131">
      <c r="A131" s="31" t="n"/>
      <c r="B131" s="31" t="n"/>
      <c r="C131" s="33" t="n"/>
      <c r="D131" s="34" t="n"/>
      <c r="E131" s="33" t="n"/>
      <c r="F131" s="33" t="n"/>
      <c r="G131" s="31" t="n"/>
      <c r="H131" s="28">
        <f>IF(OR(I131="",I131="Feito",I131="Sem data"),"",D131-Config!$B$5)</f>
        <v/>
      </c>
      <c r="I131" s="25">
        <f>IF(AND(A131="",C131="",D131=""),"",IF(F131="Sim","Feito",IF(D131="","Sem data",IF(D131&lt;Config!$B$5,"Atrasado",IF(D131=Config!$B$5,"Hoje",IF(D131-Config!$B$5&lt;=Config!$B$6,"Até "&amp;Config!$B$6&amp;" dias",IF(D131-Config!$B$5&lt;=Config!$B$7,"Até "&amp;Config!$B$7&amp;" dias","Depois")))))))</f>
        <v/>
      </c>
      <c r="J131" s="35">
        <f>IF(OR(I131="",I131="Feito",I131="Sem data"),0,IF(I131="Atrasado",3000+MIN(Config!$B$5-D131,60),IF(I131="Hoje",2500,IF(D131-Config!$B$5&lt;=Config!$B$6,2000-(D131-Config!$B$5),IF(D131-Config!$B$5&lt;=Config!$B$7,1000-(D131-Config!$B$5),500-MIN(D131-Config!$B$5,400)))))-ROW()/100000)</f>
        <v/>
      </c>
    </row>
    <row r="132">
      <c r="A132" s="31" t="n"/>
      <c r="B132" s="31" t="n"/>
      <c r="C132" s="33" t="n"/>
      <c r="D132" s="34" t="n"/>
      <c r="E132" s="33" t="n"/>
      <c r="F132" s="33" t="n"/>
      <c r="G132" s="31" t="n"/>
      <c r="H132" s="28">
        <f>IF(OR(I132="",I132="Feito",I132="Sem data"),"",D132-Config!$B$5)</f>
        <v/>
      </c>
      <c r="I132" s="25">
        <f>IF(AND(A132="",C132="",D132=""),"",IF(F132="Sim","Feito",IF(D132="","Sem data",IF(D132&lt;Config!$B$5,"Atrasado",IF(D132=Config!$B$5,"Hoje",IF(D132-Config!$B$5&lt;=Config!$B$6,"Até "&amp;Config!$B$6&amp;" dias",IF(D132-Config!$B$5&lt;=Config!$B$7,"Até "&amp;Config!$B$7&amp;" dias","Depois")))))))</f>
        <v/>
      </c>
      <c r="J132" s="35">
        <f>IF(OR(I132="",I132="Feito",I132="Sem data"),0,IF(I132="Atrasado",3000+MIN(Config!$B$5-D132,60),IF(I132="Hoje",2500,IF(D132-Config!$B$5&lt;=Config!$B$6,2000-(D132-Config!$B$5),IF(D132-Config!$B$5&lt;=Config!$B$7,1000-(D132-Config!$B$5),500-MIN(D132-Config!$B$5,400)))))-ROW()/100000)</f>
        <v/>
      </c>
    </row>
    <row r="133">
      <c r="A133" s="31" t="n"/>
      <c r="B133" s="31" t="n"/>
      <c r="C133" s="33" t="n"/>
      <c r="D133" s="34" t="n"/>
      <c r="E133" s="33" t="n"/>
      <c r="F133" s="33" t="n"/>
      <c r="G133" s="31" t="n"/>
      <c r="H133" s="28">
        <f>IF(OR(I133="",I133="Feito",I133="Sem data"),"",D133-Config!$B$5)</f>
        <v/>
      </c>
      <c r="I133" s="25">
        <f>IF(AND(A133="",C133="",D133=""),"",IF(F133="Sim","Feito",IF(D133="","Sem data",IF(D133&lt;Config!$B$5,"Atrasado",IF(D133=Config!$B$5,"Hoje",IF(D133-Config!$B$5&lt;=Config!$B$6,"Até "&amp;Config!$B$6&amp;" dias",IF(D133-Config!$B$5&lt;=Config!$B$7,"Até "&amp;Config!$B$7&amp;" dias","Depois")))))))</f>
        <v/>
      </c>
      <c r="J133" s="35">
        <f>IF(OR(I133="",I133="Feito",I133="Sem data"),0,IF(I133="Atrasado",3000+MIN(Config!$B$5-D133,60),IF(I133="Hoje",2500,IF(D133-Config!$B$5&lt;=Config!$B$6,2000-(D133-Config!$B$5),IF(D133-Config!$B$5&lt;=Config!$B$7,1000-(D133-Config!$B$5),500-MIN(D133-Config!$B$5,400)))))-ROW()/100000)</f>
        <v/>
      </c>
    </row>
    <row r="134">
      <c r="A134" s="31" t="n"/>
      <c r="B134" s="31" t="n"/>
      <c r="C134" s="33" t="n"/>
      <c r="D134" s="34" t="n"/>
      <c r="E134" s="33" t="n"/>
      <c r="F134" s="33" t="n"/>
      <c r="G134" s="31" t="n"/>
      <c r="H134" s="28">
        <f>IF(OR(I134="",I134="Feito",I134="Sem data"),"",D134-Config!$B$5)</f>
        <v/>
      </c>
      <c r="I134" s="25">
        <f>IF(AND(A134="",C134="",D134=""),"",IF(F134="Sim","Feito",IF(D134="","Sem data",IF(D134&lt;Config!$B$5,"Atrasado",IF(D134=Config!$B$5,"Hoje",IF(D134-Config!$B$5&lt;=Config!$B$6,"Até "&amp;Config!$B$6&amp;" dias",IF(D134-Config!$B$5&lt;=Config!$B$7,"Até "&amp;Config!$B$7&amp;" dias","Depois")))))))</f>
        <v/>
      </c>
      <c r="J134" s="35">
        <f>IF(OR(I134="",I134="Feito",I134="Sem data"),0,IF(I134="Atrasado",3000+MIN(Config!$B$5-D134,60),IF(I134="Hoje",2500,IF(D134-Config!$B$5&lt;=Config!$B$6,2000-(D134-Config!$B$5),IF(D134-Config!$B$5&lt;=Config!$B$7,1000-(D134-Config!$B$5),500-MIN(D134-Config!$B$5,400)))))-ROW()/100000)</f>
        <v/>
      </c>
    </row>
    <row r="135">
      <c r="A135" s="31" t="n"/>
      <c r="B135" s="31" t="n"/>
      <c r="C135" s="33" t="n"/>
      <c r="D135" s="34" t="n"/>
      <c r="E135" s="33" t="n"/>
      <c r="F135" s="33" t="n"/>
      <c r="G135" s="31" t="n"/>
      <c r="H135" s="28">
        <f>IF(OR(I135="",I135="Feito",I135="Sem data"),"",D135-Config!$B$5)</f>
        <v/>
      </c>
      <c r="I135" s="25">
        <f>IF(AND(A135="",C135="",D135=""),"",IF(F135="Sim","Feito",IF(D135="","Sem data",IF(D135&lt;Config!$B$5,"Atrasado",IF(D135=Config!$B$5,"Hoje",IF(D135-Config!$B$5&lt;=Config!$B$6,"Até "&amp;Config!$B$6&amp;" dias",IF(D135-Config!$B$5&lt;=Config!$B$7,"Até "&amp;Config!$B$7&amp;" dias","Depois")))))))</f>
        <v/>
      </c>
      <c r="J135" s="35">
        <f>IF(OR(I135="",I135="Feito",I135="Sem data"),0,IF(I135="Atrasado",3000+MIN(Config!$B$5-D135,60),IF(I135="Hoje",2500,IF(D135-Config!$B$5&lt;=Config!$B$6,2000-(D135-Config!$B$5),IF(D135-Config!$B$5&lt;=Config!$B$7,1000-(D135-Config!$B$5),500-MIN(D135-Config!$B$5,400)))))-ROW()/100000)</f>
        <v/>
      </c>
    </row>
    <row r="136">
      <c r="A136" s="31" t="n"/>
      <c r="B136" s="31" t="n"/>
      <c r="C136" s="33" t="n"/>
      <c r="D136" s="34" t="n"/>
      <c r="E136" s="33" t="n"/>
      <c r="F136" s="33" t="n"/>
      <c r="G136" s="31" t="n"/>
      <c r="H136" s="28">
        <f>IF(OR(I136="",I136="Feito",I136="Sem data"),"",D136-Config!$B$5)</f>
        <v/>
      </c>
      <c r="I136" s="25">
        <f>IF(AND(A136="",C136="",D136=""),"",IF(F136="Sim","Feito",IF(D136="","Sem data",IF(D136&lt;Config!$B$5,"Atrasado",IF(D136=Config!$B$5,"Hoje",IF(D136-Config!$B$5&lt;=Config!$B$6,"Até "&amp;Config!$B$6&amp;" dias",IF(D136-Config!$B$5&lt;=Config!$B$7,"Até "&amp;Config!$B$7&amp;" dias","Depois")))))))</f>
        <v/>
      </c>
      <c r="J136" s="35">
        <f>IF(OR(I136="",I136="Feito",I136="Sem data"),0,IF(I136="Atrasado",3000+MIN(Config!$B$5-D136,60),IF(I136="Hoje",2500,IF(D136-Config!$B$5&lt;=Config!$B$6,2000-(D136-Config!$B$5),IF(D136-Config!$B$5&lt;=Config!$B$7,1000-(D136-Config!$B$5),500-MIN(D136-Config!$B$5,400)))))-ROW()/100000)</f>
        <v/>
      </c>
    </row>
    <row r="137">
      <c r="A137" s="31" t="n"/>
      <c r="B137" s="31" t="n"/>
      <c r="C137" s="33" t="n"/>
      <c r="D137" s="34" t="n"/>
      <c r="E137" s="33" t="n"/>
      <c r="F137" s="33" t="n"/>
      <c r="G137" s="31" t="n"/>
      <c r="H137" s="28">
        <f>IF(OR(I137="",I137="Feito",I137="Sem data"),"",D137-Config!$B$5)</f>
        <v/>
      </c>
      <c r="I137" s="25">
        <f>IF(AND(A137="",C137="",D137=""),"",IF(F137="Sim","Feito",IF(D137="","Sem data",IF(D137&lt;Config!$B$5,"Atrasado",IF(D137=Config!$B$5,"Hoje",IF(D137-Config!$B$5&lt;=Config!$B$6,"Até "&amp;Config!$B$6&amp;" dias",IF(D137-Config!$B$5&lt;=Config!$B$7,"Até "&amp;Config!$B$7&amp;" dias","Depois")))))))</f>
        <v/>
      </c>
      <c r="J137" s="35">
        <f>IF(OR(I137="",I137="Feito",I137="Sem data"),0,IF(I137="Atrasado",3000+MIN(Config!$B$5-D137,60),IF(I137="Hoje",2500,IF(D137-Config!$B$5&lt;=Config!$B$6,2000-(D137-Config!$B$5),IF(D137-Config!$B$5&lt;=Config!$B$7,1000-(D137-Config!$B$5),500-MIN(D137-Config!$B$5,400)))))-ROW()/100000)</f>
        <v/>
      </c>
    </row>
    <row r="138">
      <c r="A138" s="31" t="n"/>
      <c r="B138" s="31" t="n"/>
      <c r="C138" s="33" t="n"/>
      <c r="D138" s="34" t="n"/>
      <c r="E138" s="33" t="n"/>
      <c r="F138" s="33" t="n"/>
      <c r="G138" s="31" t="n"/>
      <c r="H138" s="28">
        <f>IF(OR(I138="",I138="Feito",I138="Sem data"),"",D138-Config!$B$5)</f>
        <v/>
      </c>
      <c r="I138" s="25">
        <f>IF(AND(A138="",C138="",D138=""),"",IF(F138="Sim","Feito",IF(D138="","Sem data",IF(D138&lt;Config!$B$5,"Atrasado",IF(D138=Config!$B$5,"Hoje",IF(D138-Config!$B$5&lt;=Config!$B$6,"Até "&amp;Config!$B$6&amp;" dias",IF(D138-Config!$B$5&lt;=Config!$B$7,"Até "&amp;Config!$B$7&amp;" dias","Depois")))))))</f>
        <v/>
      </c>
      <c r="J138" s="35">
        <f>IF(OR(I138="",I138="Feito",I138="Sem data"),0,IF(I138="Atrasado",3000+MIN(Config!$B$5-D138,60),IF(I138="Hoje",2500,IF(D138-Config!$B$5&lt;=Config!$B$6,2000-(D138-Config!$B$5),IF(D138-Config!$B$5&lt;=Config!$B$7,1000-(D138-Config!$B$5),500-MIN(D138-Config!$B$5,400)))))-ROW()/100000)</f>
        <v/>
      </c>
    </row>
    <row r="139">
      <c r="A139" s="31" t="n"/>
      <c r="B139" s="31" t="n"/>
      <c r="C139" s="33" t="n"/>
      <c r="D139" s="34" t="n"/>
      <c r="E139" s="33" t="n"/>
      <c r="F139" s="33" t="n"/>
      <c r="G139" s="31" t="n"/>
      <c r="H139" s="28">
        <f>IF(OR(I139="",I139="Feito",I139="Sem data"),"",D139-Config!$B$5)</f>
        <v/>
      </c>
      <c r="I139" s="25">
        <f>IF(AND(A139="",C139="",D139=""),"",IF(F139="Sim","Feito",IF(D139="","Sem data",IF(D139&lt;Config!$B$5,"Atrasado",IF(D139=Config!$B$5,"Hoje",IF(D139-Config!$B$5&lt;=Config!$B$6,"Até "&amp;Config!$B$6&amp;" dias",IF(D139-Config!$B$5&lt;=Config!$B$7,"Até "&amp;Config!$B$7&amp;" dias","Depois")))))))</f>
        <v/>
      </c>
      <c r="J139" s="35">
        <f>IF(OR(I139="",I139="Feito",I139="Sem data"),0,IF(I139="Atrasado",3000+MIN(Config!$B$5-D139,60),IF(I139="Hoje",2500,IF(D139-Config!$B$5&lt;=Config!$B$6,2000-(D139-Config!$B$5),IF(D139-Config!$B$5&lt;=Config!$B$7,1000-(D139-Config!$B$5),500-MIN(D139-Config!$B$5,400)))))-ROW()/100000)</f>
        <v/>
      </c>
    </row>
    <row r="140">
      <c r="A140" s="31" t="n"/>
      <c r="B140" s="31" t="n"/>
      <c r="C140" s="33" t="n"/>
      <c r="D140" s="34" t="n"/>
      <c r="E140" s="33" t="n"/>
      <c r="F140" s="33" t="n"/>
      <c r="G140" s="31" t="n"/>
      <c r="H140" s="28">
        <f>IF(OR(I140="",I140="Feito",I140="Sem data"),"",D140-Config!$B$5)</f>
        <v/>
      </c>
      <c r="I140" s="25">
        <f>IF(AND(A140="",C140="",D140=""),"",IF(F140="Sim","Feito",IF(D140="","Sem data",IF(D140&lt;Config!$B$5,"Atrasado",IF(D140=Config!$B$5,"Hoje",IF(D140-Config!$B$5&lt;=Config!$B$6,"Até "&amp;Config!$B$6&amp;" dias",IF(D140-Config!$B$5&lt;=Config!$B$7,"Até "&amp;Config!$B$7&amp;" dias","Depois")))))))</f>
        <v/>
      </c>
      <c r="J140" s="35">
        <f>IF(OR(I140="",I140="Feito",I140="Sem data"),0,IF(I140="Atrasado",3000+MIN(Config!$B$5-D140,60),IF(I140="Hoje",2500,IF(D140-Config!$B$5&lt;=Config!$B$6,2000-(D140-Config!$B$5),IF(D140-Config!$B$5&lt;=Config!$B$7,1000-(D140-Config!$B$5),500-MIN(D140-Config!$B$5,400)))))-ROW()/100000)</f>
        <v/>
      </c>
    </row>
    <row r="141">
      <c r="A141" s="31" t="n"/>
      <c r="B141" s="31" t="n"/>
      <c r="C141" s="33" t="n"/>
      <c r="D141" s="34" t="n"/>
      <c r="E141" s="33" t="n"/>
      <c r="F141" s="33" t="n"/>
      <c r="G141" s="31" t="n"/>
      <c r="H141" s="28">
        <f>IF(OR(I141="",I141="Feito",I141="Sem data"),"",D141-Config!$B$5)</f>
        <v/>
      </c>
      <c r="I141" s="25">
        <f>IF(AND(A141="",C141="",D141=""),"",IF(F141="Sim","Feito",IF(D141="","Sem data",IF(D141&lt;Config!$B$5,"Atrasado",IF(D141=Config!$B$5,"Hoje",IF(D141-Config!$B$5&lt;=Config!$B$6,"Até "&amp;Config!$B$6&amp;" dias",IF(D141-Config!$B$5&lt;=Config!$B$7,"Até "&amp;Config!$B$7&amp;" dias","Depois")))))))</f>
        <v/>
      </c>
      <c r="J141" s="35">
        <f>IF(OR(I141="",I141="Feito",I141="Sem data"),0,IF(I141="Atrasado",3000+MIN(Config!$B$5-D141,60),IF(I141="Hoje",2500,IF(D141-Config!$B$5&lt;=Config!$B$6,2000-(D141-Config!$B$5),IF(D141-Config!$B$5&lt;=Config!$B$7,1000-(D141-Config!$B$5),500-MIN(D141-Config!$B$5,400)))))-ROW()/100000)</f>
        <v/>
      </c>
    </row>
    <row r="142">
      <c r="A142" s="31" t="n"/>
      <c r="B142" s="31" t="n"/>
      <c r="C142" s="33" t="n"/>
      <c r="D142" s="34" t="n"/>
      <c r="E142" s="33" t="n"/>
      <c r="F142" s="33" t="n"/>
      <c r="G142" s="31" t="n"/>
      <c r="H142" s="28">
        <f>IF(OR(I142="",I142="Feito",I142="Sem data"),"",D142-Config!$B$5)</f>
        <v/>
      </c>
      <c r="I142" s="25">
        <f>IF(AND(A142="",C142="",D142=""),"",IF(F142="Sim","Feito",IF(D142="","Sem data",IF(D142&lt;Config!$B$5,"Atrasado",IF(D142=Config!$B$5,"Hoje",IF(D142-Config!$B$5&lt;=Config!$B$6,"Até "&amp;Config!$B$6&amp;" dias",IF(D142-Config!$B$5&lt;=Config!$B$7,"Até "&amp;Config!$B$7&amp;" dias","Depois")))))))</f>
        <v/>
      </c>
      <c r="J142" s="35">
        <f>IF(OR(I142="",I142="Feito",I142="Sem data"),0,IF(I142="Atrasado",3000+MIN(Config!$B$5-D142,60),IF(I142="Hoje",2500,IF(D142-Config!$B$5&lt;=Config!$B$6,2000-(D142-Config!$B$5),IF(D142-Config!$B$5&lt;=Config!$B$7,1000-(D142-Config!$B$5),500-MIN(D142-Config!$B$5,400)))))-ROW()/100000)</f>
        <v/>
      </c>
    </row>
    <row r="143">
      <c r="A143" s="31" t="n"/>
      <c r="B143" s="31" t="n"/>
      <c r="C143" s="33" t="n"/>
      <c r="D143" s="34" t="n"/>
      <c r="E143" s="33" t="n"/>
      <c r="F143" s="33" t="n"/>
      <c r="G143" s="31" t="n"/>
      <c r="H143" s="28">
        <f>IF(OR(I143="",I143="Feito",I143="Sem data"),"",D143-Config!$B$5)</f>
        <v/>
      </c>
      <c r="I143" s="25">
        <f>IF(AND(A143="",C143="",D143=""),"",IF(F143="Sim","Feito",IF(D143="","Sem data",IF(D143&lt;Config!$B$5,"Atrasado",IF(D143=Config!$B$5,"Hoje",IF(D143-Config!$B$5&lt;=Config!$B$6,"Até "&amp;Config!$B$6&amp;" dias",IF(D143-Config!$B$5&lt;=Config!$B$7,"Até "&amp;Config!$B$7&amp;" dias","Depois")))))))</f>
        <v/>
      </c>
      <c r="J143" s="35">
        <f>IF(OR(I143="",I143="Feito",I143="Sem data"),0,IF(I143="Atrasado",3000+MIN(Config!$B$5-D143,60),IF(I143="Hoje",2500,IF(D143-Config!$B$5&lt;=Config!$B$6,2000-(D143-Config!$B$5),IF(D143-Config!$B$5&lt;=Config!$B$7,1000-(D143-Config!$B$5),500-MIN(D143-Config!$B$5,400)))))-ROW()/100000)</f>
        <v/>
      </c>
    </row>
    <row r="144">
      <c r="A144" s="31" t="n"/>
      <c r="B144" s="31" t="n"/>
      <c r="C144" s="33" t="n"/>
      <c r="D144" s="34" t="n"/>
      <c r="E144" s="33" t="n"/>
      <c r="F144" s="33" t="n"/>
      <c r="G144" s="31" t="n"/>
      <c r="H144" s="28">
        <f>IF(OR(I144="",I144="Feito",I144="Sem data"),"",D144-Config!$B$5)</f>
        <v/>
      </c>
      <c r="I144" s="25">
        <f>IF(AND(A144="",C144="",D144=""),"",IF(F144="Sim","Feito",IF(D144="","Sem data",IF(D144&lt;Config!$B$5,"Atrasado",IF(D144=Config!$B$5,"Hoje",IF(D144-Config!$B$5&lt;=Config!$B$6,"Até "&amp;Config!$B$6&amp;" dias",IF(D144-Config!$B$5&lt;=Config!$B$7,"Até "&amp;Config!$B$7&amp;" dias","Depois")))))))</f>
        <v/>
      </c>
      <c r="J144" s="35">
        <f>IF(OR(I144="",I144="Feito",I144="Sem data"),0,IF(I144="Atrasado",3000+MIN(Config!$B$5-D144,60),IF(I144="Hoje",2500,IF(D144-Config!$B$5&lt;=Config!$B$6,2000-(D144-Config!$B$5),IF(D144-Config!$B$5&lt;=Config!$B$7,1000-(D144-Config!$B$5),500-MIN(D144-Config!$B$5,400)))))-ROW()/100000)</f>
        <v/>
      </c>
    </row>
    <row r="145">
      <c r="A145" s="31" t="n"/>
      <c r="B145" s="31" t="n"/>
      <c r="C145" s="33" t="n"/>
      <c r="D145" s="34" t="n"/>
      <c r="E145" s="33" t="n"/>
      <c r="F145" s="33" t="n"/>
      <c r="G145" s="31" t="n"/>
      <c r="H145" s="28">
        <f>IF(OR(I145="",I145="Feito",I145="Sem data"),"",D145-Config!$B$5)</f>
        <v/>
      </c>
      <c r="I145" s="25">
        <f>IF(AND(A145="",C145="",D145=""),"",IF(F145="Sim","Feito",IF(D145="","Sem data",IF(D145&lt;Config!$B$5,"Atrasado",IF(D145=Config!$B$5,"Hoje",IF(D145-Config!$B$5&lt;=Config!$B$6,"Até "&amp;Config!$B$6&amp;" dias",IF(D145-Config!$B$5&lt;=Config!$B$7,"Até "&amp;Config!$B$7&amp;" dias","Depois")))))))</f>
        <v/>
      </c>
      <c r="J145" s="35">
        <f>IF(OR(I145="",I145="Feito",I145="Sem data"),0,IF(I145="Atrasado",3000+MIN(Config!$B$5-D145,60),IF(I145="Hoje",2500,IF(D145-Config!$B$5&lt;=Config!$B$6,2000-(D145-Config!$B$5),IF(D145-Config!$B$5&lt;=Config!$B$7,1000-(D145-Config!$B$5),500-MIN(D145-Config!$B$5,400)))))-ROW()/100000)</f>
        <v/>
      </c>
    </row>
    <row r="146">
      <c r="A146" s="31" t="n"/>
      <c r="B146" s="31" t="n"/>
      <c r="C146" s="33" t="n"/>
      <c r="D146" s="34" t="n"/>
      <c r="E146" s="33" t="n"/>
      <c r="F146" s="33" t="n"/>
      <c r="G146" s="31" t="n"/>
      <c r="H146" s="28">
        <f>IF(OR(I146="",I146="Feito",I146="Sem data"),"",D146-Config!$B$5)</f>
        <v/>
      </c>
      <c r="I146" s="25">
        <f>IF(AND(A146="",C146="",D146=""),"",IF(F146="Sim","Feito",IF(D146="","Sem data",IF(D146&lt;Config!$B$5,"Atrasado",IF(D146=Config!$B$5,"Hoje",IF(D146-Config!$B$5&lt;=Config!$B$6,"Até "&amp;Config!$B$6&amp;" dias",IF(D146-Config!$B$5&lt;=Config!$B$7,"Até "&amp;Config!$B$7&amp;" dias","Depois")))))))</f>
        <v/>
      </c>
      <c r="J146" s="35">
        <f>IF(OR(I146="",I146="Feito",I146="Sem data"),0,IF(I146="Atrasado",3000+MIN(Config!$B$5-D146,60),IF(I146="Hoje",2500,IF(D146-Config!$B$5&lt;=Config!$B$6,2000-(D146-Config!$B$5),IF(D146-Config!$B$5&lt;=Config!$B$7,1000-(D146-Config!$B$5),500-MIN(D146-Config!$B$5,400)))))-ROW()/100000)</f>
        <v/>
      </c>
    </row>
    <row r="147">
      <c r="A147" s="31" t="n"/>
      <c r="B147" s="31" t="n"/>
      <c r="C147" s="33" t="n"/>
      <c r="D147" s="34" t="n"/>
      <c r="E147" s="33" t="n"/>
      <c r="F147" s="33" t="n"/>
      <c r="G147" s="31" t="n"/>
      <c r="H147" s="28">
        <f>IF(OR(I147="",I147="Feito",I147="Sem data"),"",D147-Config!$B$5)</f>
        <v/>
      </c>
      <c r="I147" s="25">
        <f>IF(AND(A147="",C147="",D147=""),"",IF(F147="Sim","Feito",IF(D147="","Sem data",IF(D147&lt;Config!$B$5,"Atrasado",IF(D147=Config!$B$5,"Hoje",IF(D147-Config!$B$5&lt;=Config!$B$6,"Até "&amp;Config!$B$6&amp;" dias",IF(D147-Config!$B$5&lt;=Config!$B$7,"Até "&amp;Config!$B$7&amp;" dias","Depois")))))))</f>
        <v/>
      </c>
      <c r="J147" s="35">
        <f>IF(OR(I147="",I147="Feito",I147="Sem data"),0,IF(I147="Atrasado",3000+MIN(Config!$B$5-D147,60),IF(I147="Hoje",2500,IF(D147-Config!$B$5&lt;=Config!$B$6,2000-(D147-Config!$B$5),IF(D147-Config!$B$5&lt;=Config!$B$7,1000-(D147-Config!$B$5),500-MIN(D147-Config!$B$5,400)))))-ROW()/100000)</f>
        <v/>
      </c>
    </row>
    <row r="148">
      <c r="A148" s="31" t="n"/>
      <c r="B148" s="31" t="n"/>
      <c r="C148" s="33" t="n"/>
      <c r="D148" s="34" t="n"/>
      <c r="E148" s="33" t="n"/>
      <c r="F148" s="33" t="n"/>
      <c r="G148" s="31" t="n"/>
      <c r="H148" s="28">
        <f>IF(OR(I148="",I148="Feito",I148="Sem data"),"",D148-Config!$B$5)</f>
        <v/>
      </c>
      <c r="I148" s="25">
        <f>IF(AND(A148="",C148="",D148=""),"",IF(F148="Sim","Feito",IF(D148="","Sem data",IF(D148&lt;Config!$B$5,"Atrasado",IF(D148=Config!$B$5,"Hoje",IF(D148-Config!$B$5&lt;=Config!$B$6,"Até "&amp;Config!$B$6&amp;" dias",IF(D148-Config!$B$5&lt;=Config!$B$7,"Até "&amp;Config!$B$7&amp;" dias","Depois")))))))</f>
        <v/>
      </c>
      <c r="J148" s="35">
        <f>IF(OR(I148="",I148="Feito",I148="Sem data"),0,IF(I148="Atrasado",3000+MIN(Config!$B$5-D148,60),IF(I148="Hoje",2500,IF(D148-Config!$B$5&lt;=Config!$B$6,2000-(D148-Config!$B$5),IF(D148-Config!$B$5&lt;=Config!$B$7,1000-(D148-Config!$B$5),500-MIN(D148-Config!$B$5,400)))))-ROW()/100000)</f>
        <v/>
      </c>
    </row>
    <row r="149">
      <c r="A149" s="31" t="n"/>
      <c r="B149" s="31" t="n"/>
      <c r="C149" s="33" t="n"/>
      <c r="D149" s="34" t="n"/>
      <c r="E149" s="33" t="n"/>
      <c r="F149" s="33" t="n"/>
      <c r="G149" s="31" t="n"/>
      <c r="H149" s="28">
        <f>IF(OR(I149="",I149="Feito",I149="Sem data"),"",D149-Config!$B$5)</f>
        <v/>
      </c>
      <c r="I149" s="25">
        <f>IF(AND(A149="",C149="",D149=""),"",IF(F149="Sim","Feito",IF(D149="","Sem data",IF(D149&lt;Config!$B$5,"Atrasado",IF(D149=Config!$B$5,"Hoje",IF(D149-Config!$B$5&lt;=Config!$B$6,"Até "&amp;Config!$B$6&amp;" dias",IF(D149-Config!$B$5&lt;=Config!$B$7,"Até "&amp;Config!$B$7&amp;" dias","Depois")))))))</f>
        <v/>
      </c>
      <c r="J149" s="35">
        <f>IF(OR(I149="",I149="Feito",I149="Sem data"),0,IF(I149="Atrasado",3000+MIN(Config!$B$5-D149,60),IF(I149="Hoje",2500,IF(D149-Config!$B$5&lt;=Config!$B$6,2000-(D149-Config!$B$5),IF(D149-Config!$B$5&lt;=Config!$B$7,1000-(D149-Config!$B$5),500-MIN(D149-Config!$B$5,400)))))-ROW()/100000)</f>
        <v/>
      </c>
    </row>
    <row r="150">
      <c r="A150" s="31" t="n"/>
      <c r="B150" s="31" t="n"/>
      <c r="C150" s="33" t="n"/>
      <c r="D150" s="34" t="n"/>
      <c r="E150" s="33" t="n"/>
      <c r="F150" s="33" t="n"/>
      <c r="G150" s="31" t="n"/>
      <c r="H150" s="28">
        <f>IF(OR(I150="",I150="Feito",I150="Sem data"),"",D150-Config!$B$5)</f>
        <v/>
      </c>
      <c r="I150" s="25">
        <f>IF(AND(A150="",C150="",D150=""),"",IF(F150="Sim","Feito",IF(D150="","Sem data",IF(D150&lt;Config!$B$5,"Atrasado",IF(D150=Config!$B$5,"Hoje",IF(D150-Config!$B$5&lt;=Config!$B$6,"Até "&amp;Config!$B$6&amp;" dias",IF(D150-Config!$B$5&lt;=Config!$B$7,"Até "&amp;Config!$B$7&amp;" dias","Depois")))))))</f>
        <v/>
      </c>
      <c r="J150" s="35">
        <f>IF(OR(I150="",I150="Feito",I150="Sem data"),0,IF(I150="Atrasado",3000+MIN(Config!$B$5-D150,60),IF(I150="Hoje",2500,IF(D150-Config!$B$5&lt;=Config!$B$6,2000-(D150-Config!$B$5),IF(D150-Config!$B$5&lt;=Config!$B$7,1000-(D150-Config!$B$5),500-MIN(D150-Config!$B$5,400)))))-ROW()/100000)</f>
        <v/>
      </c>
    </row>
    <row r="151">
      <c r="A151" s="31" t="n"/>
      <c r="B151" s="31" t="n"/>
      <c r="C151" s="33" t="n"/>
      <c r="D151" s="34" t="n"/>
      <c r="E151" s="33" t="n"/>
      <c r="F151" s="33" t="n"/>
      <c r="G151" s="31" t="n"/>
      <c r="H151" s="28">
        <f>IF(OR(I151="",I151="Feito",I151="Sem data"),"",D151-Config!$B$5)</f>
        <v/>
      </c>
      <c r="I151" s="25">
        <f>IF(AND(A151="",C151="",D151=""),"",IF(F151="Sim","Feito",IF(D151="","Sem data",IF(D151&lt;Config!$B$5,"Atrasado",IF(D151=Config!$B$5,"Hoje",IF(D151-Config!$B$5&lt;=Config!$B$6,"Até "&amp;Config!$B$6&amp;" dias",IF(D151-Config!$B$5&lt;=Config!$B$7,"Até "&amp;Config!$B$7&amp;" dias","Depois")))))))</f>
        <v/>
      </c>
      <c r="J151" s="35">
        <f>IF(OR(I151="",I151="Feito",I151="Sem data"),0,IF(I151="Atrasado",3000+MIN(Config!$B$5-D151,60),IF(I151="Hoje",2500,IF(D151-Config!$B$5&lt;=Config!$B$6,2000-(D151-Config!$B$5),IF(D151-Config!$B$5&lt;=Config!$B$7,1000-(D151-Config!$B$5),500-MIN(D151-Config!$B$5,400)))))-ROW()/100000)</f>
        <v/>
      </c>
    </row>
    <row r="152">
      <c r="A152" s="31" t="n"/>
      <c r="B152" s="31" t="n"/>
      <c r="C152" s="33" t="n"/>
      <c r="D152" s="34" t="n"/>
      <c r="E152" s="33" t="n"/>
      <c r="F152" s="33" t="n"/>
      <c r="G152" s="31" t="n"/>
      <c r="H152" s="28">
        <f>IF(OR(I152="",I152="Feito",I152="Sem data"),"",D152-Config!$B$5)</f>
        <v/>
      </c>
      <c r="I152" s="25">
        <f>IF(AND(A152="",C152="",D152=""),"",IF(F152="Sim","Feito",IF(D152="","Sem data",IF(D152&lt;Config!$B$5,"Atrasado",IF(D152=Config!$B$5,"Hoje",IF(D152-Config!$B$5&lt;=Config!$B$6,"Até "&amp;Config!$B$6&amp;" dias",IF(D152-Config!$B$5&lt;=Config!$B$7,"Até "&amp;Config!$B$7&amp;" dias","Depois")))))))</f>
        <v/>
      </c>
      <c r="J152" s="35">
        <f>IF(OR(I152="",I152="Feito",I152="Sem data"),0,IF(I152="Atrasado",3000+MIN(Config!$B$5-D152,60),IF(I152="Hoje",2500,IF(D152-Config!$B$5&lt;=Config!$B$6,2000-(D152-Config!$B$5),IF(D152-Config!$B$5&lt;=Config!$B$7,1000-(D152-Config!$B$5),500-MIN(D152-Config!$B$5,400)))))-ROW()/100000)</f>
        <v/>
      </c>
    </row>
    <row r="153">
      <c r="A153" s="31" t="n"/>
      <c r="B153" s="31" t="n"/>
      <c r="C153" s="33" t="n"/>
      <c r="D153" s="34" t="n"/>
      <c r="E153" s="33" t="n"/>
      <c r="F153" s="33" t="n"/>
      <c r="G153" s="31" t="n"/>
      <c r="H153" s="28">
        <f>IF(OR(I153="",I153="Feito",I153="Sem data"),"",D153-Config!$B$5)</f>
        <v/>
      </c>
      <c r="I153" s="25">
        <f>IF(AND(A153="",C153="",D153=""),"",IF(F153="Sim","Feito",IF(D153="","Sem data",IF(D153&lt;Config!$B$5,"Atrasado",IF(D153=Config!$B$5,"Hoje",IF(D153-Config!$B$5&lt;=Config!$B$6,"Até "&amp;Config!$B$6&amp;" dias",IF(D153-Config!$B$5&lt;=Config!$B$7,"Até "&amp;Config!$B$7&amp;" dias","Depois")))))))</f>
        <v/>
      </c>
      <c r="J153" s="35">
        <f>IF(OR(I153="",I153="Feito",I153="Sem data"),0,IF(I153="Atrasado",3000+MIN(Config!$B$5-D153,60),IF(I153="Hoje",2500,IF(D153-Config!$B$5&lt;=Config!$B$6,2000-(D153-Config!$B$5),IF(D153-Config!$B$5&lt;=Config!$B$7,1000-(D153-Config!$B$5),500-MIN(D153-Config!$B$5,400)))))-ROW()/100000)</f>
        <v/>
      </c>
    </row>
    <row r="154">
      <c r="A154" s="31" t="n"/>
      <c r="B154" s="31" t="n"/>
      <c r="C154" s="33" t="n"/>
      <c r="D154" s="34" t="n"/>
      <c r="E154" s="33" t="n"/>
      <c r="F154" s="33" t="n"/>
      <c r="G154" s="31" t="n"/>
      <c r="H154" s="28">
        <f>IF(OR(I154="",I154="Feito",I154="Sem data"),"",D154-Config!$B$5)</f>
        <v/>
      </c>
      <c r="I154" s="25">
        <f>IF(AND(A154="",C154="",D154=""),"",IF(F154="Sim","Feito",IF(D154="","Sem data",IF(D154&lt;Config!$B$5,"Atrasado",IF(D154=Config!$B$5,"Hoje",IF(D154-Config!$B$5&lt;=Config!$B$6,"Até "&amp;Config!$B$6&amp;" dias",IF(D154-Config!$B$5&lt;=Config!$B$7,"Até "&amp;Config!$B$7&amp;" dias","Depois")))))))</f>
        <v/>
      </c>
      <c r="J154" s="35">
        <f>IF(OR(I154="",I154="Feito",I154="Sem data"),0,IF(I154="Atrasado",3000+MIN(Config!$B$5-D154,60),IF(I154="Hoje",2500,IF(D154-Config!$B$5&lt;=Config!$B$6,2000-(D154-Config!$B$5),IF(D154-Config!$B$5&lt;=Config!$B$7,1000-(D154-Config!$B$5),500-MIN(D154-Config!$B$5,400)))))-ROW()/100000)</f>
        <v/>
      </c>
    </row>
    <row r="155">
      <c r="A155" s="31" t="n"/>
      <c r="B155" s="31" t="n"/>
      <c r="C155" s="33" t="n"/>
      <c r="D155" s="34" t="n"/>
      <c r="E155" s="33" t="n"/>
      <c r="F155" s="33" t="n"/>
      <c r="G155" s="31" t="n"/>
      <c r="H155" s="28">
        <f>IF(OR(I155="",I155="Feito",I155="Sem data"),"",D155-Config!$B$5)</f>
        <v/>
      </c>
      <c r="I155" s="25">
        <f>IF(AND(A155="",C155="",D155=""),"",IF(F155="Sim","Feito",IF(D155="","Sem data",IF(D155&lt;Config!$B$5,"Atrasado",IF(D155=Config!$B$5,"Hoje",IF(D155-Config!$B$5&lt;=Config!$B$6,"Até "&amp;Config!$B$6&amp;" dias",IF(D155-Config!$B$5&lt;=Config!$B$7,"Até "&amp;Config!$B$7&amp;" dias","Depois")))))))</f>
        <v/>
      </c>
      <c r="J155" s="35">
        <f>IF(OR(I155="",I155="Feito",I155="Sem data"),0,IF(I155="Atrasado",3000+MIN(Config!$B$5-D155,60),IF(I155="Hoje",2500,IF(D155-Config!$B$5&lt;=Config!$B$6,2000-(D155-Config!$B$5),IF(D155-Config!$B$5&lt;=Config!$B$7,1000-(D155-Config!$B$5),500-MIN(D155-Config!$B$5,400)))))-ROW()/100000)</f>
        <v/>
      </c>
    </row>
    <row r="156">
      <c r="A156" s="31" t="n"/>
      <c r="B156" s="31" t="n"/>
      <c r="C156" s="33" t="n"/>
      <c r="D156" s="34" t="n"/>
      <c r="E156" s="33" t="n"/>
      <c r="F156" s="33" t="n"/>
      <c r="G156" s="31" t="n"/>
      <c r="H156" s="28">
        <f>IF(OR(I156="",I156="Feito",I156="Sem data"),"",D156-Config!$B$5)</f>
        <v/>
      </c>
      <c r="I156" s="25">
        <f>IF(AND(A156="",C156="",D156=""),"",IF(F156="Sim","Feito",IF(D156="","Sem data",IF(D156&lt;Config!$B$5,"Atrasado",IF(D156=Config!$B$5,"Hoje",IF(D156-Config!$B$5&lt;=Config!$B$6,"Até "&amp;Config!$B$6&amp;" dias",IF(D156-Config!$B$5&lt;=Config!$B$7,"Até "&amp;Config!$B$7&amp;" dias","Depois")))))))</f>
        <v/>
      </c>
      <c r="J156" s="35">
        <f>IF(OR(I156="",I156="Feito",I156="Sem data"),0,IF(I156="Atrasado",3000+MIN(Config!$B$5-D156,60),IF(I156="Hoje",2500,IF(D156-Config!$B$5&lt;=Config!$B$6,2000-(D156-Config!$B$5),IF(D156-Config!$B$5&lt;=Config!$B$7,1000-(D156-Config!$B$5),500-MIN(D156-Config!$B$5,400)))))-ROW()/100000)</f>
        <v/>
      </c>
    </row>
    <row r="157">
      <c r="A157" s="31" t="n"/>
      <c r="B157" s="31" t="n"/>
      <c r="C157" s="33" t="n"/>
      <c r="D157" s="34" t="n"/>
      <c r="E157" s="33" t="n"/>
      <c r="F157" s="33" t="n"/>
      <c r="G157" s="31" t="n"/>
      <c r="H157" s="28">
        <f>IF(OR(I157="",I157="Feito",I157="Sem data"),"",D157-Config!$B$5)</f>
        <v/>
      </c>
      <c r="I157" s="25">
        <f>IF(AND(A157="",C157="",D157=""),"",IF(F157="Sim","Feito",IF(D157="","Sem data",IF(D157&lt;Config!$B$5,"Atrasado",IF(D157=Config!$B$5,"Hoje",IF(D157-Config!$B$5&lt;=Config!$B$6,"Até "&amp;Config!$B$6&amp;" dias",IF(D157-Config!$B$5&lt;=Config!$B$7,"Até "&amp;Config!$B$7&amp;" dias","Depois")))))))</f>
        <v/>
      </c>
      <c r="J157" s="35">
        <f>IF(OR(I157="",I157="Feito",I157="Sem data"),0,IF(I157="Atrasado",3000+MIN(Config!$B$5-D157,60),IF(I157="Hoje",2500,IF(D157-Config!$B$5&lt;=Config!$B$6,2000-(D157-Config!$B$5),IF(D157-Config!$B$5&lt;=Config!$B$7,1000-(D157-Config!$B$5),500-MIN(D157-Config!$B$5,400)))))-ROW()/100000)</f>
        <v/>
      </c>
    </row>
    <row r="158">
      <c r="A158" s="31" t="n"/>
      <c r="B158" s="31" t="n"/>
      <c r="C158" s="33" t="n"/>
      <c r="D158" s="34" t="n"/>
      <c r="E158" s="33" t="n"/>
      <c r="F158" s="33" t="n"/>
      <c r="G158" s="31" t="n"/>
      <c r="H158" s="28">
        <f>IF(OR(I158="",I158="Feito",I158="Sem data"),"",D158-Config!$B$5)</f>
        <v/>
      </c>
      <c r="I158" s="25">
        <f>IF(AND(A158="",C158="",D158=""),"",IF(F158="Sim","Feito",IF(D158="","Sem data",IF(D158&lt;Config!$B$5,"Atrasado",IF(D158=Config!$B$5,"Hoje",IF(D158-Config!$B$5&lt;=Config!$B$6,"Até "&amp;Config!$B$6&amp;" dias",IF(D158-Config!$B$5&lt;=Config!$B$7,"Até "&amp;Config!$B$7&amp;" dias","Depois")))))))</f>
        <v/>
      </c>
      <c r="J158" s="35">
        <f>IF(OR(I158="",I158="Feito",I158="Sem data"),0,IF(I158="Atrasado",3000+MIN(Config!$B$5-D158,60),IF(I158="Hoje",2500,IF(D158-Config!$B$5&lt;=Config!$B$6,2000-(D158-Config!$B$5),IF(D158-Config!$B$5&lt;=Config!$B$7,1000-(D158-Config!$B$5),500-MIN(D158-Config!$B$5,400)))))-ROW()/100000)</f>
        <v/>
      </c>
    </row>
    <row r="159">
      <c r="A159" s="31" t="n"/>
      <c r="B159" s="31" t="n"/>
      <c r="C159" s="33" t="n"/>
      <c r="D159" s="34" t="n"/>
      <c r="E159" s="33" t="n"/>
      <c r="F159" s="33" t="n"/>
      <c r="G159" s="31" t="n"/>
      <c r="H159" s="28">
        <f>IF(OR(I159="",I159="Feito",I159="Sem data"),"",D159-Config!$B$5)</f>
        <v/>
      </c>
      <c r="I159" s="25">
        <f>IF(AND(A159="",C159="",D159=""),"",IF(F159="Sim","Feito",IF(D159="","Sem data",IF(D159&lt;Config!$B$5,"Atrasado",IF(D159=Config!$B$5,"Hoje",IF(D159-Config!$B$5&lt;=Config!$B$6,"Até "&amp;Config!$B$6&amp;" dias",IF(D159-Config!$B$5&lt;=Config!$B$7,"Até "&amp;Config!$B$7&amp;" dias","Depois")))))))</f>
        <v/>
      </c>
      <c r="J159" s="35">
        <f>IF(OR(I159="",I159="Feito",I159="Sem data"),0,IF(I159="Atrasado",3000+MIN(Config!$B$5-D159,60),IF(I159="Hoje",2500,IF(D159-Config!$B$5&lt;=Config!$B$6,2000-(D159-Config!$B$5),IF(D159-Config!$B$5&lt;=Config!$B$7,1000-(D159-Config!$B$5),500-MIN(D159-Config!$B$5,400)))))-ROW()/100000)</f>
        <v/>
      </c>
    </row>
    <row r="160">
      <c r="A160" s="31" t="n"/>
      <c r="B160" s="31" t="n"/>
      <c r="C160" s="33" t="n"/>
      <c r="D160" s="34" t="n"/>
      <c r="E160" s="33" t="n"/>
      <c r="F160" s="33" t="n"/>
      <c r="G160" s="31" t="n"/>
      <c r="H160" s="28">
        <f>IF(OR(I160="",I160="Feito",I160="Sem data"),"",D160-Config!$B$5)</f>
        <v/>
      </c>
      <c r="I160" s="25">
        <f>IF(AND(A160="",C160="",D160=""),"",IF(F160="Sim","Feito",IF(D160="","Sem data",IF(D160&lt;Config!$B$5,"Atrasado",IF(D160=Config!$B$5,"Hoje",IF(D160-Config!$B$5&lt;=Config!$B$6,"Até "&amp;Config!$B$6&amp;" dias",IF(D160-Config!$B$5&lt;=Config!$B$7,"Até "&amp;Config!$B$7&amp;" dias","Depois")))))))</f>
        <v/>
      </c>
      <c r="J160" s="35">
        <f>IF(OR(I160="",I160="Feito",I160="Sem data"),0,IF(I160="Atrasado",3000+MIN(Config!$B$5-D160,60),IF(I160="Hoje",2500,IF(D160-Config!$B$5&lt;=Config!$B$6,2000-(D160-Config!$B$5),IF(D160-Config!$B$5&lt;=Config!$B$7,1000-(D160-Config!$B$5),500-MIN(D160-Config!$B$5,400)))))-ROW()/100000)</f>
        <v/>
      </c>
    </row>
    <row r="161">
      <c r="A161" s="31" t="n"/>
      <c r="B161" s="31" t="n"/>
      <c r="C161" s="33" t="n"/>
      <c r="D161" s="34" t="n"/>
      <c r="E161" s="33" t="n"/>
      <c r="F161" s="33" t="n"/>
      <c r="G161" s="31" t="n"/>
      <c r="H161" s="28">
        <f>IF(OR(I161="",I161="Feito",I161="Sem data"),"",D161-Config!$B$5)</f>
        <v/>
      </c>
      <c r="I161" s="25">
        <f>IF(AND(A161="",C161="",D161=""),"",IF(F161="Sim","Feito",IF(D161="","Sem data",IF(D161&lt;Config!$B$5,"Atrasado",IF(D161=Config!$B$5,"Hoje",IF(D161-Config!$B$5&lt;=Config!$B$6,"Até "&amp;Config!$B$6&amp;" dias",IF(D161-Config!$B$5&lt;=Config!$B$7,"Até "&amp;Config!$B$7&amp;" dias","Depois")))))))</f>
        <v/>
      </c>
      <c r="J161" s="35">
        <f>IF(OR(I161="",I161="Feito",I161="Sem data"),0,IF(I161="Atrasado",3000+MIN(Config!$B$5-D161,60),IF(I161="Hoje",2500,IF(D161-Config!$B$5&lt;=Config!$B$6,2000-(D161-Config!$B$5),IF(D161-Config!$B$5&lt;=Config!$B$7,1000-(D161-Config!$B$5),500-MIN(D161-Config!$B$5,400)))))-ROW()/100000)</f>
        <v/>
      </c>
    </row>
    <row r="162">
      <c r="A162" s="31" t="n"/>
      <c r="B162" s="31" t="n"/>
      <c r="C162" s="33" t="n"/>
      <c r="D162" s="34" t="n"/>
      <c r="E162" s="33" t="n"/>
      <c r="F162" s="33" t="n"/>
      <c r="G162" s="31" t="n"/>
      <c r="H162" s="28">
        <f>IF(OR(I162="",I162="Feito",I162="Sem data"),"",D162-Config!$B$5)</f>
        <v/>
      </c>
      <c r="I162" s="25">
        <f>IF(AND(A162="",C162="",D162=""),"",IF(F162="Sim","Feito",IF(D162="","Sem data",IF(D162&lt;Config!$B$5,"Atrasado",IF(D162=Config!$B$5,"Hoje",IF(D162-Config!$B$5&lt;=Config!$B$6,"Até "&amp;Config!$B$6&amp;" dias",IF(D162-Config!$B$5&lt;=Config!$B$7,"Até "&amp;Config!$B$7&amp;" dias","Depois")))))))</f>
        <v/>
      </c>
      <c r="J162" s="35">
        <f>IF(OR(I162="",I162="Feito",I162="Sem data"),0,IF(I162="Atrasado",3000+MIN(Config!$B$5-D162,60),IF(I162="Hoje",2500,IF(D162-Config!$B$5&lt;=Config!$B$6,2000-(D162-Config!$B$5),IF(D162-Config!$B$5&lt;=Config!$B$7,1000-(D162-Config!$B$5),500-MIN(D162-Config!$B$5,400)))))-ROW()/100000)</f>
        <v/>
      </c>
    </row>
    <row r="163">
      <c r="A163" s="31" t="n"/>
      <c r="B163" s="31" t="n"/>
      <c r="C163" s="33" t="n"/>
      <c r="D163" s="34" t="n"/>
      <c r="E163" s="33" t="n"/>
      <c r="F163" s="33" t="n"/>
      <c r="G163" s="31" t="n"/>
      <c r="H163" s="28">
        <f>IF(OR(I163="",I163="Feito",I163="Sem data"),"",D163-Config!$B$5)</f>
        <v/>
      </c>
      <c r="I163" s="25">
        <f>IF(AND(A163="",C163="",D163=""),"",IF(F163="Sim","Feito",IF(D163="","Sem data",IF(D163&lt;Config!$B$5,"Atrasado",IF(D163=Config!$B$5,"Hoje",IF(D163-Config!$B$5&lt;=Config!$B$6,"Até "&amp;Config!$B$6&amp;" dias",IF(D163-Config!$B$5&lt;=Config!$B$7,"Até "&amp;Config!$B$7&amp;" dias","Depois")))))))</f>
        <v/>
      </c>
      <c r="J163" s="35">
        <f>IF(OR(I163="",I163="Feito",I163="Sem data"),0,IF(I163="Atrasado",3000+MIN(Config!$B$5-D163,60),IF(I163="Hoje",2500,IF(D163-Config!$B$5&lt;=Config!$B$6,2000-(D163-Config!$B$5),IF(D163-Config!$B$5&lt;=Config!$B$7,1000-(D163-Config!$B$5),500-MIN(D163-Config!$B$5,400)))))-ROW()/100000)</f>
        <v/>
      </c>
    </row>
    <row r="164">
      <c r="A164" s="31" t="n"/>
      <c r="B164" s="31" t="n"/>
      <c r="C164" s="33" t="n"/>
      <c r="D164" s="34" t="n"/>
      <c r="E164" s="33" t="n"/>
      <c r="F164" s="33" t="n"/>
      <c r="G164" s="31" t="n"/>
      <c r="H164" s="28">
        <f>IF(OR(I164="",I164="Feito",I164="Sem data"),"",D164-Config!$B$5)</f>
        <v/>
      </c>
      <c r="I164" s="25">
        <f>IF(AND(A164="",C164="",D164=""),"",IF(F164="Sim","Feito",IF(D164="","Sem data",IF(D164&lt;Config!$B$5,"Atrasado",IF(D164=Config!$B$5,"Hoje",IF(D164-Config!$B$5&lt;=Config!$B$6,"Até "&amp;Config!$B$6&amp;" dias",IF(D164-Config!$B$5&lt;=Config!$B$7,"Até "&amp;Config!$B$7&amp;" dias","Depois")))))))</f>
        <v/>
      </c>
      <c r="J164" s="35">
        <f>IF(OR(I164="",I164="Feito",I164="Sem data"),0,IF(I164="Atrasado",3000+MIN(Config!$B$5-D164,60),IF(I164="Hoje",2500,IF(D164-Config!$B$5&lt;=Config!$B$6,2000-(D164-Config!$B$5),IF(D164-Config!$B$5&lt;=Config!$B$7,1000-(D164-Config!$B$5),500-MIN(D164-Config!$B$5,400)))))-ROW()/100000)</f>
        <v/>
      </c>
    </row>
    <row r="165">
      <c r="A165" s="31" t="n"/>
      <c r="B165" s="31" t="n"/>
      <c r="C165" s="33" t="n"/>
      <c r="D165" s="34" t="n"/>
      <c r="E165" s="33" t="n"/>
      <c r="F165" s="33" t="n"/>
      <c r="G165" s="31" t="n"/>
      <c r="H165" s="28">
        <f>IF(OR(I165="",I165="Feito",I165="Sem data"),"",D165-Config!$B$5)</f>
        <v/>
      </c>
      <c r="I165" s="25">
        <f>IF(AND(A165="",C165="",D165=""),"",IF(F165="Sim","Feito",IF(D165="","Sem data",IF(D165&lt;Config!$B$5,"Atrasado",IF(D165=Config!$B$5,"Hoje",IF(D165-Config!$B$5&lt;=Config!$B$6,"Até "&amp;Config!$B$6&amp;" dias",IF(D165-Config!$B$5&lt;=Config!$B$7,"Até "&amp;Config!$B$7&amp;" dias","Depois")))))))</f>
        <v/>
      </c>
      <c r="J165" s="35">
        <f>IF(OR(I165="",I165="Feito",I165="Sem data"),0,IF(I165="Atrasado",3000+MIN(Config!$B$5-D165,60),IF(I165="Hoje",2500,IF(D165-Config!$B$5&lt;=Config!$B$6,2000-(D165-Config!$B$5),IF(D165-Config!$B$5&lt;=Config!$B$7,1000-(D165-Config!$B$5),500-MIN(D165-Config!$B$5,400)))))-ROW()/100000)</f>
        <v/>
      </c>
    </row>
    <row r="166">
      <c r="A166" s="31" t="n"/>
      <c r="B166" s="31" t="n"/>
      <c r="C166" s="33" t="n"/>
      <c r="D166" s="34" t="n"/>
      <c r="E166" s="33" t="n"/>
      <c r="F166" s="33" t="n"/>
      <c r="G166" s="31" t="n"/>
      <c r="H166" s="28">
        <f>IF(OR(I166="",I166="Feito",I166="Sem data"),"",D166-Config!$B$5)</f>
        <v/>
      </c>
      <c r="I166" s="25">
        <f>IF(AND(A166="",C166="",D166=""),"",IF(F166="Sim","Feito",IF(D166="","Sem data",IF(D166&lt;Config!$B$5,"Atrasado",IF(D166=Config!$B$5,"Hoje",IF(D166-Config!$B$5&lt;=Config!$B$6,"Até "&amp;Config!$B$6&amp;" dias",IF(D166-Config!$B$5&lt;=Config!$B$7,"Até "&amp;Config!$B$7&amp;" dias","Depois")))))))</f>
        <v/>
      </c>
      <c r="J166" s="35">
        <f>IF(OR(I166="",I166="Feito",I166="Sem data"),0,IF(I166="Atrasado",3000+MIN(Config!$B$5-D166,60),IF(I166="Hoje",2500,IF(D166-Config!$B$5&lt;=Config!$B$6,2000-(D166-Config!$B$5),IF(D166-Config!$B$5&lt;=Config!$B$7,1000-(D166-Config!$B$5),500-MIN(D166-Config!$B$5,400)))))-ROW()/100000)</f>
        <v/>
      </c>
    </row>
    <row r="167">
      <c r="A167" s="31" t="n"/>
      <c r="B167" s="31" t="n"/>
      <c r="C167" s="33" t="n"/>
      <c r="D167" s="34" t="n"/>
      <c r="E167" s="33" t="n"/>
      <c r="F167" s="33" t="n"/>
      <c r="G167" s="31" t="n"/>
      <c r="H167" s="28">
        <f>IF(OR(I167="",I167="Feito",I167="Sem data"),"",D167-Config!$B$5)</f>
        <v/>
      </c>
      <c r="I167" s="25">
        <f>IF(AND(A167="",C167="",D167=""),"",IF(F167="Sim","Feito",IF(D167="","Sem data",IF(D167&lt;Config!$B$5,"Atrasado",IF(D167=Config!$B$5,"Hoje",IF(D167-Config!$B$5&lt;=Config!$B$6,"Até "&amp;Config!$B$6&amp;" dias",IF(D167-Config!$B$5&lt;=Config!$B$7,"Até "&amp;Config!$B$7&amp;" dias","Depois")))))))</f>
        <v/>
      </c>
      <c r="J167" s="35">
        <f>IF(OR(I167="",I167="Feito",I167="Sem data"),0,IF(I167="Atrasado",3000+MIN(Config!$B$5-D167,60),IF(I167="Hoje",2500,IF(D167-Config!$B$5&lt;=Config!$B$6,2000-(D167-Config!$B$5),IF(D167-Config!$B$5&lt;=Config!$B$7,1000-(D167-Config!$B$5),500-MIN(D167-Config!$B$5,400)))))-ROW()/100000)</f>
        <v/>
      </c>
    </row>
    <row r="168">
      <c r="A168" s="31" t="n"/>
      <c r="B168" s="31" t="n"/>
      <c r="C168" s="33" t="n"/>
      <c r="D168" s="34" t="n"/>
      <c r="E168" s="33" t="n"/>
      <c r="F168" s="33" t="n"/>
      <c r="G168" s="31" t="n"/>
      <c r="H168" s="28">
        <f>IF(OR(I168="",I168="Feito",I168="Sem data"),"",D168-Config!$B$5)</f>
        <v/>
      </c>
      <c r="I168" s="25">
        <f>IF(AND(A168="",C168="",D168=""),"",IF(F168="Sim","Feito",IF(D168="","Sem data",IF(D168&lt;Config!$B$5,"Atrasado",IF(D168=Config!$B$5,"Hoje",IF(D168-Config!$B$5&lt;=Config!$B$6,"Até "&amp;Config!$B$6&amp;" dias",IF(D168-Config!$B$5&lt;=Config!$B$7,"Até "&amp;Config!$B$7&amp;" dias","Depois")))))))</f>
        <v/>
      </c>
      <c r="J168" s="35">
        <f>IF(OR(I168="",I168="Feito",I168="Sem data"),0,IF(I168="Atrasado",3000+MIN(Config!$B$5-D168,60),IF(I168="Hoje",2500,IF(D168-Config!$B$5&lt;=Config!$B$6,2000-(D168-Config!$B$5),IF(D168-Config!$B$5&lt;=Config!$B$7,1000-(D168-Config!$B$5),500-MIN(D168-Config!$B$5,400)))))-ROW()/100000)</f>
        <v/>
      </c>
    </row>
    <row r="169">
      <c r="A169" s="31" t="n"/>
      <c r="B169" s="31" t="n"/>
      <c r="C169" s="33" t="n"/>
      <c r="D169" s="34" t="n"/>
      <c r="E169" s="33" t="n"/>
      <c r="F169" s="33" t="n"/>
      <c r="G169" s="31" t="n"/>
      <c r="H169" s="28">
        <f>IF(OR(I169="",I169="Feito",I169="Sem data"),"",D169-Config!$B$5)</f>
        <v/>
      </c>
      <c r="I169" s="25">
        <f>IF(AND(A169="",C169="",D169=""),"",IF(F169="Sim","Feito",IF(D169="","Sem data",IF(D169&lt;Config!$B$5,"Atrasado",IF(D169=Config!$B$5,"Hoje",IF(D169-Config!$B$5&lt;=Config!$B$6,"Até "&amp;Config!$B$6&amp;" dias",IF(D169-Config!$B$5&lt;=Config!$B$7,"Até "&amp;Config!$B$7&amp;" dias","Depois")))))))</f>
        <v/>
      </c>
      <c r="J169" s="35">
        <f>IF(OR(I169="",I169="Feito",I169="Sem data"),0,IF(I169="Atrasado",3000+MIN(Config!$B$5-D169,60),IF(I169="Hoje",2500,IF(D169-Config!$B$5&lt;=Config!$B$6,2000-(D169-Config!$B$5),IF(D169-Config!$B$5&lt;=Config!$B$7,1000-(D169-Config!$B$5),500-MIN(D169-Config!$B$5,400)))))-ROW()/100000)</f>
        <v/>
      </c>
    </row>
    <row r="170">
      <c r="A170" s="31" t="n"/>
      <c r="B170" s="31" t="n"/>
      <c r="C170" s="33" t="n"/>
      <c r="D170" s="34" t="n"/>
      <c r="E170" s="33" t="n"/>
      <c r="F170" s="33" t="n"/>
      <c r="G170" s="31" t="n"/>
      <c r="H170" s="28">
        <f>IF(OR(I170="",I170="Feito",I170="Sem data"),"",D170-Config!$B$5)</f>
        <v/>
      </c>
      <c r="I170" s="25">
        <f>IF(AND(A170="",C170="",D170=""),"",IF(F170="Sim","Feito",IF(D170="","Sem data",IF(D170&lt;Config!$B$5,"Atrasado",IF(D170=Config!$B$5,"Hoje",IF(D170-Config!$B$5&lt;=Config!$B$6,"Até "&amp;Config!$B$6&amp;" dias",IF(D170-Config!$B$5&lt;=Config!$B$7,"Até "&amp;Config!$B$7&amp;" dias","Depois")))))))</f>
        <v/>
      </c>
      <c r="J170" s="35">
        <f>IF(OR(I170="",I170="Feito",I170="Sem data"),0,IF(I170="Atrasado",3000+MIN(Config!$B$5-D170,60),IF(I170="Hoje",2500,IF(D170-Config!$B$5&lt;=Config!$B$6,2000-(D170-Config!$B$5),IF(D170-Config!$B$5&lt;=Config!$B$7,1000-(D170-Config!$B$5),500-MIN(D170-Config!$B$5,400)))))-ROW()/100000)</f>
        <v/>
      </c>
    </row>
    <row r="171">
      <c r="A171" s="31" t="n"/>
      <c r="B171" s="31" t="n"/>
      <c r="C171" s="33" t="n"/>
      <c r="D171" s="34" t="n"/>
      <c r="E171" s="33" t="n"/>
      <c r="F171" s="33" t="n"/>
      <c r="G171" s="31" t="n"/>
      <c r="H171" s="28">
        <f>IF(OR(I171="",I171="Feito",I171="Sem data"),"",D171-Config!$B$5)</f>
        <v/>
      </c>
      <c r="I171" s="25">
        <f>IF(AND(A171="",C171="",D171=""),"",IF(F171="Sim","Feito",IF(D171="","Sem data",IF(D171&lt;Config!$B$5,"Atrasado",IF(D171=Config!$B$5,"Hoje",IF(D171-Config!$B$5&lt;=Config!$B$6,"Até "&amp;Config!$B$6&amp;" dias",IF(D171-Config!$B$5&lt;=Config!$B$7,"Até "&amp;Config!$B$7&amp;" dias","Depois")))))))</f>
        <v/>
      </c>
      <c r="J171" s="35">
        <f>IF(OR(I171="",I171="Feito",I171="Sem data"),0,IF(I171="Atrasado",3000+MIN(Config!$B$5-D171,60),IF(I171="Hoje",2500,IF(D171-Config!$B$5&lt;=Config!$B$6,2000-(D171-Config!$B$5),IF(D171-Config!$B$5&lt;=Config!$B$7,1000-(D171-Config!$B$5),500-MIN(D171-Config!$B$5,400)))))-ROW()/100000)</f>
        <v/>
      </c>
    </row>
    <row r="172">
      <c r="A172" s="31" t="n"/>
      <c r="B172" s="31" t="n"/>
      <c r="C172" s="33" t="n"/>
      <c r="D172" s="34" t="n"/>
      <c r="E172" s="33" t="n"/>
      <c r="F172" s="33" t="n"/>
      <c r="G172" s="31" t="n"/>
      <c r="H172" s="28">
        <f>IF(OR(I172="",I172="Feito",I172="Sem data"),"",D172-Config!$B$5)</f>
        <v/>
      </c>
      <c r="I172" s="25">
        <f>IF(AND(A172="",C172="",D172=""),"",IF(F172="Sim","Feito",IF(D172="","Sem data",IF(D172&lt;Config!$B$5,"Atrasado",IF(D172=Config!$B$5,"Hoje",IF(D172-Config!$B$5&lt;=Config!$B$6,"Até "&amp;Config!$B$6&amp;" dias",IF(D172-Config!$B$5&lt;=Config!$B$7,"Até "&amp;Config!$B$7&amp;" dias","Depois")))))))</f>
        <v/>
      </c>
      <c r="J172" s="35">
        <f>IF(OR(I172="",I172="Feito",I172="Sem data"),0,IF(I172="Atrasado",3000+MIN(Config!$B$5-D172,60),IF(I172="Hoje",2500,IF(D172-Config!$B$5&lt;=Config!$B$6,2000-(D172-Config!$B$5),IF(D172-Config!$B$5&lt;=Config!$B$7,1000-(D172-Config!$B$5),500-MIN(D172-Config!$B$5,400)))))-ROW()/100000)</f>
        <v/>
      </c>
    </row>
    <row r="173">
      <c r="A173" s="31" t="n"/>
      <c r="B173" s="31" t="n"/>
      <c r="C173" s="33" t="n"/>
      <c r="D173" s="34" t="n"/>
      <c r="E173" s="33" t="n"/>
      <c r="F173" s="33" t="n"/>
      <c r="G173" s="31" t="n"/>
      <c r="H173" s="28">
        <f>IF(OR(I173="",I173="Feito",I173="Sem data"),"",D173-Config!$B$5)</f>
        <v/>
      </c>
      <c r="I173" s="25">
        <f>IF(AND(A173="",C173="",D173=""),"",IF(F173="Sim","Feito",IF(D173="","Sem data",IF(D173&lt;Config!$B$5,"Atrasado",IF(D173=Config!$B$5,"Hoje",IF(D173-Config!$B$5&lt;=Config!$B$6,"Até "&amp;Config!$B$6&amp;" dias",IF(D173-Config!$B$5&lt;=Config!$B$7,"Até "&amp;Config!$B$7&amp;" dias","Depois")))))))</f>
        <v/>
      </c>
      <c r="J173" s="35">
        <f>IF(OR(I173="",I173="Feito",I173="Sem data"),0,IF(I173="Atrasado",3000+MIN(Config!$B$5-D173,60),IF(I173="Hoje",2500,IF(D173-Config!$B$5&lt;=Config!$B$6,2000-(D173-Config!$B$5),IF(D173-Config!$B$5&lt;=Config!$B$7,1000-(D173-Config!$B$5),500-MIN(D173-Config!$B$5,400)))))-ROW()/100000)</f>
        <v/>
      </c>
    </row>
    <row r="174">
      <c r="A174" s="31" t="n"/>
      <c r="B174" s="31" t="n"/>
      <c r="C174" s="33" t="n"/>
      <c r="D174" s="34" t="n"/>
      <c r="E174" s="33" t="n"/>
      <c r="F174" s="33" t="n"/>
      <c r="G174" s="31" t="n"/>
      <c r="H174" s="28">
        <f>IF(OR(I174="",I174="Feito",I174="Sem data"),"",D174-Config!$B$5)</f>
        <v/>
      </c>
      <c r="I174" s="25">
        <f>IF(AND(A174="",C174="",D174=""),"",IF(F174="Sim","Feito",IF(D174="","Sem data",IF(D174&lt;Config!$B$5,"Atrasado",IF(D174=Config!$B$5,"Hoje",IF(D174-Config!$B$5&lt;=Config!$B$6,"Até "&amp;Config!$B$6&amp;" dias",IF(D174-Config!$B$5&lt;=Config!$B$7,"Até "&amp;Config!$B$7&amp;" dias","Depois")))))))</f>
        <v/>
      </c>
      <c r="J174" s="35">
        <f>IF(OR(I174="",I174="Feito",I174="Sem data"),0,IF(I174="Atrasado",3000+MIN(Config!$B$5-D174,60),IF(I174="Hoje",2500,IF(D174-Config!$B$5&lt;=Config!$B$6,2000-(D174-Config!$B$5),IF(D174-Config!$B$5&lt;=Config!$B$7,1000-(D174-Config!$B$5),500-MIN(D174-Config!$B$5,400)))))-ROW()/100000)</f>
        <v/>
      </c>
    </row>
    <row r="175">
      <c r="A175" s="31" t="n"/>
      <c r="B175" s="31" t="n"/>
      <c r="C175" s="33" t="n"/>
      <c r="D175" s="34" t="n"/>
      <c r="E175" s="33" t="n"/>
      <c r="F175" s="33" t="n"/>
      <c r="G175" s="31" t="n"/>
      <c r="H175" s="28">
        <f>IF(OR(I175="",I175="Feito",I175="Sem data"),"",D175-Config!$B$5)</f>
        <v/>
      </c>
      <c r="I175" s="25">
        <f>IF(AND(A175="",C175="",D175=""),"",IF(F175="Sim","Feito",IF(D175="","Sem data",IF(D175&lt;Config!$B$5,"Atrasado",IF(D175=Config!$B$5,"Hoje",IF(D175-Config!$B$5&lt;=Config!$B$6,"Até "&amp;Config!$B$6&amp;" dias",IF(D175-Config!$B$5&lt;=Config!$B$7,"Até "&amp;Config!$B$7&amp;" dias","Depois")))))))</f>
        <v/>
      </c>
      <c r="J175" s="35">
        <f>IF(OR(I175="",I175="Feito",I175="Sem data"),0,IF(I175="Atrasado",3000+MIN(Config!$B$5-D175,60),IF(I175="Hoje",2500,IF(D175-Config!$B$5&lt;=Config!$B$6,2000-(D175-Config!$B$5),IF(D175-Config!$B$5&lt;=Config!$B$7,1000-(D175-Config!$B$5),500-MIN(D175-Config!$B$5,400)))))-ROW()/100000)</f>
        <v/>
      </c>
    </row>
    <row r="176">
      <c r="A176" s="31" t="n"/>
      <c r="B176" s="31" t="n"/>
      <c r="C176" s="33" t="n"/>
      <c r="D176" s="34" t="n"/>
      <c r="E176" s="33" t="n"/>
      <c r="F176" s="33" t="n"/>
      <c r="G176" s="31" t="n"/>
      <c r="H176" s="28">
        <f>IF(OR(I176="",I176="Feito",I176="Sem data"),"",D176-Config!$B$5)</f>
        <v/>
      </c>
      <c r="I176" s="25">
        <f>IF(AND(A176="",C176="",D176=""),"",IF(F176="Sim","Feito",IF(D176="","Sem data",IF(D176&lt;Config!$B$5,"Atrasado",IF(D176=Config!$B$5,"Hoje",IF(D176-Config!$B$5&lt;=Config!$B$6,"Até "&amp;Config!$B$6&amp;" dias",IF(D176-Config!$B$5&lt;=Config!$B$7,"Até "&amp;Config!$B$7&amp;" dias","Depois")))))))</f>
        <v/>
      </c>
      <c r="J176" s="35">
        <f>IF(OR(I176="",I176="Feito",I176="Sem data"),0,IF(I176="Atrasado",3000+MIN(Config!$B$5-D176,60),IF(I176="Hoje",2500,IF(D176-Config!$B$5&lt;=Config!$B$6,2000-(D176-Config!$B$5),IF(D176-Config!$B$5&lt;=Config!$B$7,1000-(D176-Config!$B$5),500-MIN(D176-Config!$B$5,400)))))-ROW()/100000)</f>
        <v/>
      </c>
    </row>
    <row r="177">
      <c r="A177" s="31" t="n"/>
      <c r="B177" s="31" t="n"/>
      <c r="C177" s="33" t="n"/>
      <c r="D177" s="34" t="n"/>
      <c r="E177" s="33" t="n"/>
      <c r="F177" s="33" t="n"/>
      <c r="G177" s="31" t="n"/>
      <c r="H177" s="28">
        <f>IF(OR(I177="",I177="Feito",I177="Sem data"),"",D177-Config!$B$5)</f>
        <v/>
      </c>
      <c r="I177" s="25">
        <f>IF(AND(A177="",C177="",D177=""),"",IF(F177="Sim","Feito",IF(D177="","Sem data",IF(D177&lt;Config!$B$5,"Atrasado",IF(D177=Config!$B$5,"Hoje",IF(D177-Config!$B$5&lt;=Config!$B$6,"Até "&amp;Config!$B$6&amp;" dias",IF(D177-Config!$B$5&lt;=Config!$B$7,"Até "&amp;Config!$B$7&amp;" dias","Depois")))))))</f>
        <v/>
      </c>
      <c r="J177" s="35">
        <f>IF(OR(I177="",I177="Feito",I177="Sem data"),0,IF(I177="Atrasado",3000+MIN(Config!$B$5-D177,60),IF(I177="Hoje",2500,IF(D177-Config!$B$5&lt;=Config!$B$6,2000-(D177-Config!$B$5),IF(D177-Config!$B$5&lt;=Config!$B$7,1000-(D177-Config!$B$5),500-MIN(D177-Config!$B$5,400)))))-ROW()/100000)</f>
        <v/>
      </c>
    </row>
    <row r="178">
      <c r="A178" s="31" t="n"/>
      <c r="B178" s="31" t="n"/>
      <c r="C178" s="33" t="n"/>
      <c r="D178" s="34" t="n"/>
      <c r="E178" s="33" t="n"/>
      <c r="F178" s="33" t="n"/>
      <c r="G178" s="31" t="n"/>
      <c r="H178" s="28">
        <f>IF(OR(I178="",I178="Feito",I178="Sem data"),"",D178-Config!$B$5)</f>
        <v/>
      </c>
      <c r="I178" s="25">
        <f>IF(AND(A178="",C178="",D178=""),"",IF(F178="Sim","Feito",IF(D178="","Sem data",IF(D178&lt;Config!$B$5,"Atrasado",IF(D178=Config!$B$5,"Hoje",IF(D178-Config!$B$5&lt;=Config!$B$6,"Até "&amp;Config!$B$6&amp;" dias",IF(D178-Config!$B$5&lt;=Config!$B$7,"Até "&amp;Config!$B$7&amp;" dias","Depois")))))))</f>
        <v/>
      </c>
      <c r="J178" s="35">
        <f>IF(OR(I178="",I178="Feito",I178="Sem data"),0,IF(I178="Atrasado",3000+MIN(Config!$B$5-D178,60),IF(I178="Hoje",2500,IF(D178-Config!$B$5&lt;=Config!$B$6,2000-(D178-Config!$B$5),IF(D178-Config!$B$5&lt;=Config!$B$7,1000-(D178-Config!$B$5),500-MIN(D178-Config!$B$5,400)))))-ROW()/100000)</f>
        <v/>
      </c>
    </row>
    <row r="179">
      <c r="A179" s="31" t="n"/>
      <c r="B179" s="31" t="n"/>
      <c r="C179" s="33" t="n"/>
      <c r="D179" s="34" t="n"/>
      <c r="E179" s="33" t="n"/>
      <c r="F179" s="33" t="n"/>
      <c r="G179" s="31" t="n"/>
      <c r="H179" s="28">
        <f>IF(OR(I179="",I179="Feito",I179="Sem data"),"",D179-Config!$B$5)</f>
        <v/>
      </c>
      <c r="I179" s="25">
        <f>IF(AND(A179="",C179="",D179=""),"",IF(F179="Sim","Feito",IF(D179="","Sem data",IF(D179&lt;Config!$B$5,"Atrasado",IF(D179=Config!$B$5,"Hoje",IF(D179-Config!$B$5&lt;=Config!$B$6,"Até "&amp;Config!$B$6&amp;" dias",IF(D179-Config!$B$5&lt;=Config!$B$7,"Até "&amp;Config!$B$7&amp;" dias","Depois")))))))</f>
        <v/>
      </c>
      <c r="J179" s="35">
        <f>IF(OR(I179="",I179="Feito",I179="Sem data"),0,IF(I179="Atrasado",3000+MIN(Config!$B$5-D179,60),IF(I179="Hoje",2500,IF(D179-Config!$B$5&lt;=Config!$B$6,2000-(D179-Config!$B$5),IF(D179-Config!$B$5&lt;=Config!$B$7,1000-(D179-Config!$B$5),500-MIN(D179-Config!$B$5,400)))))-ROW()/100000)</f>
        <v/>
      </c>
    </row>
    <row r="180">
      <c r="A180" s="31" t="n"/>
      <c r="B180" s="31" t="n"/>
      <c r="C180" s="33" t="n"/>
      <c r="D180" s="34" t="n"/>
      <c r="E180" s="33" t="n"/>
      <c r="F180" s="33" t="n"/>
      <c r="G180" s="31" t="n"/>
      <c r="H180" s="28">
        <f>IF(OR(I180="",I180="Feito",I180="Sem data"),"",D180-Config!$B$5)</f>
        <v/>
      </c>
      <c r="I180" s="25">
        <f>IF(AND(A180="",C180="",D180=""),"",IF(F180="Sim","Feito",IF(D180="","Sem data",IF(D180&lt;Config!$B$5,"Atrasado",IF(D180=Config!$B$5,"Hoje",IF(D180-Config!$B$5&lt;=Config!$B$6,"Até "&amp;Config!$B$6&amp;" dias",IF(D180-Config!$B$5&lt;=Config!$B$7,"Até "&amp;Config!$B$7&amp;" dias","Depois")))))))</f>
        <v/>
      </c>
      <c r="J180" s="35">
        <f>IF(OR(I180="",I180="Feito",I180="Sem data"),0,IF(I180="Atrasado",3000+MIN(Config!$B$5-D180,60),IF(I180="Hoje",2500,IF(D180-Config!$B$5&lt;=Config!$B$6,2000-(D180-Config!$B$5),IF(D180-Config!$B$5&lt;=Config!$B$7,1000-(D180-Config!$B$5),500-MIN(D180-Config!$B$5,400)))))-ROW()/100000)</f>
        <v/>
      </c>
    </row>
    <row r="181">
      <c r="A181" s="31" t="n"/>
      <c r="B181" s="31" t="n"/>
      <c r="C181" s="33" t="n"/>
      <c r="D181" s="34" t="n"/>
      <c r="E181" s="33" t="n"/>
      <c r="F181" s="33" t="n"/>
      <c r="G181" s="31" t="n"/>
      <c r="H181" s="28">
        <f>IF(OR(I181="",I181="Feito",I181="Sem data"),"",D181-Config!$B$5)</f>
        <v/>
      </c>
      <c r="I181" s="25">
        <f>IF(AND(A181="",C181="",D181=""),"",IF(F181="Sim","Feito",IF(D181="","Sem data",IF(D181&lt;Config!$B$5,"Atrasado",IF(D181=Config!$B$5,"Hoje",IF(D181-Config!$B$5&lt;=Config!$B$6,"Até "&amp;Config!$B$6&amp;" dias",IF(D181-Config!$B$5&lt;=Config!$B$7,"Até "&amp;Config!$B$7&amp;" dias","Depois")))))))</f>
        <v/>
      </c>
      <c r="J181" s="35">
        <f>IF(OR(I181="",I181="Feito",I181="Sem data"),0,IF(I181="Atrasado",3000+MIN(Config!$B$5-D181,60),IF(I181="Hoje",2500,IF(D181-Config!$B$5&lt;=Config!$B$6,2000-(D181-Config!$B$5),IF(D181-Config!$B$5&lt;=Config!$B$7,1000-(D181-Config!$B$5),500-MIN(D181-Config!$B$5,400)))))-ROW()/100000)</f>
        <v/>
      </c>
    </row>
    <row r="182">
      <c r="A182" s="31" t="n"/>
      <c r="B182" s="31" t="n"/>
      <c r="C182" s="33" t="n"/>
      <c r="D182" s="34" t="n"/>
      <c r="E182" s="33" t="n"/>
      <c r="F182" s="33" t="n"/>
      <c r="G182" s="31" t="n"/>
      <c r="H182" s="28">
        <f>IF(OR(I182="",I182="Feito",I182="Sem data"),"",D182-Config!$B$5)</f>
        <v/>
      </c>
      <c r="I182" s="25">
        <f>IF(AND(A182="",C182="",D182=""),"",IF(F182="Sim","Feito",IF(D182="","Sem data",IF(D182&lt;Config!$B$5,"Atrasado",IF(D182=Config!$B$5,"Hoje",IF(D182-Config!$B$5&lt;=Config!$B$6,"Até "&amp;Config!$B$6&amp;" dias",IF(D182-Config!$B$5&lt;=Config!$B$7,"Até "&amp;Config!$B$7&amp;" dias","Depois")))))))</f>
        <v/>
      </c>
      <c r="J182" s="35">
        <f>IF(OR(I182="",I182="Feito",I182="Sem data"),0,IF(I182="Atrasado",3000+MIN(Config!$B$5-D182,60),IF(I182="Hoje",2500,IF(D182-Config!$B$5&lt;=Config!$B$6,2000-(D182-Config!$B$5),IF(D182-Config!$B$5&lt;=Config!$B$7,1000-(D182-Config!$B$5),500-MIN(D182-Config!$B$5,400)))))-ROW()/100000)</f>
        <v/>
      </c>
    </row>
    <row r="183">
      <c r="A183" s="31" t="n"/>
      <c r="B183" s="31" t="n"/>
      <c r="C183" s="33" t="n"/>
      <c r="D183" s="34" t="n"/>
      <c r="E183" s="33" t="n"/>
      <c r="F183" s="33" t="n"/>
      <c r="G183" s="31" t="n"/>
      <c r="H183" s="28">
        <f>IF(OR(I183="",I183="Feito",I183="Sem data"),"",D183-Config!$B$5)</f>
        <v/>
      </c>
      <c r="I183" s="25">
        <f>IF(AND(A183="",C183="",D183=""),"",IF(F183="Sim","Feito",IF(D183="","Sem data",IF(D183&lt;Config!$B$5,"Atrasado",IF(D183=Config!$B$5,"Hoje",IF(D183-Config!$B$5&lt;=Config!$B$6,"Até "&amp;Config!$B$6&amp;" dias",IF(D183-Config!$B$5&lt;=Config!$B$7,"Até "&amp;Config!$B$7&amp;" dias","Depois")))))))</f>
        <v/>
      </c>
      <c r="J183" s="35">
        <f>IF(OR(I183="",I183="Feito",I183="Sem data"),0,IF(I183="Atrasado",3000+MIN(Config!$B$5-D183,60),IF(I183="Hoje",2500,IF(D183-Config!$B$5&lt;=Config!$B$6,2000-(D183-Config!$B$5),IF(D183-Config!$B$5&lt;=Config!$B$7,1000-(D183-Config!$B$5),500-MIN(D183-Config!$B$5,400)))))-ROW()/100000)</f>
        <v/>
      </c>
    </row>
    <row r="184">
      <c r="A184" s="31" t="n"/>
      <c r="B184" s="31" t="n"/>
      <c r="C184" s="33" t="n"/>
      <c r="D184" s="34" t="n"/>
      <c r="E184" s="33" t="n"/>
      <c r="F184" s="33" t="n"/>
      <c r="G184" s="31" t="n"/>
      <c r="H184" s="28">
        <f>IF(OR(I184="",I184="Feito",I184="Sem data"),"",D184-Config!$B$5)</f>
        <v/>
      </c>
      <c r="I184" s="25">
        <f>IF(AND(A184="",C184="",D184=""),"",IF(F184="Sim","Feito",IF(D184="","Sem data",IF(D184&lt;Config!$B$5,"Atrasado",IF(D184=Config!$B$5,"Hoje",IF(D184-Config!$B$5&lt;=Config!$B$6,"Até "&amp;Config!$B$6&amp;" dias",IF(D184-Config!$B$5&lt;=Config!$B$7,"Até "&amp;Config!$B$7&amp;" dias","Depois")))))))</f>
        <v/>
      </c>
      <c r="J184" s="35">
        <f>IF(OR(I184="",I184="Feito",I184="Sem data"),0,IF(I184="Atrasado",3000+MIN(Config!$B$5-D184,60),IF(I184="Hoje",2500,IF(D184-Config!$B$5&lt;=Config!$B$6,2000-(D184-Config!$B$5),IF(D184-Config!$B$5&lt;=Config!$B$7,1000-(D184-Config!$B$5),500-MIN(D184-Config!$B$5,400)))))-ROW()/100000)</f>
        <v/>
      </c>
    </row>
    <row r="185">
      <c r="A185" s="31" t="n"/>
      <c r="B185" s="31" t="n"/>
      <c r="C185" s="33" t="n"/>
      <c r="D185" s="34" t="n"/>
      <c r="E185" s="33" t="n"/>
      <c r="F185" s="33" t="n"/>
      <c r="G185" s="31" t="n"/>
      <c r="H185" s="28">
        <f>IF(OR(I185="",I185="Feito",I185="Sem data"),"",D185-Config!$B$5)</f>
        <v/>
      </c>
      <c r="I185" s="25">
        <f>IF(AND(A185="",C185="",D185=""),"",IF(F185="Sim","Feito",IF(D185="","Sem data",IF(D185&lt;Config!$B$5,"Atrasado",IF(D185=Config!$B$5,"Hoje",IF(D185-Config!$B$5&lt;=Config!$B$6,"Até "&amp;Config!$B$6&amp;" dias",IF(D185-Config!$B$5&lt;=Config!$B$7,"Até "&amp;Config!$B$7&amp;" dias","Depois")))))))</f>
        <v/>
      </c>
      <c r="J185" s="35">
        <f>IF(OR(I185="",I185="Feito",I185="Sem data"),0,IF(I185="Atrasado",3000+MIN(Config!$B$5-D185,60),IF(I185="Hoje",2500,IF(D185-Config!$B$5&lt;=Config!$B$6,2000-(D185-Config!$B$5),IF(D185-Config!$B$5&lt;=Config!$B$7,1000-(D185-Config!$B$5),500-MIN(D185-Config!$B$5,400)))))-ROW()/100000)</f>
        <v/>
      </c>
    </row>
    <row r="186">
      <c r="A186" s="31" t="n"/>
      <c r="B186" s="31" t="n"/>
      <c r="C186" s="33" t="n"/>
      <c r="D186" s="34" t="n"/>
      <c r="E186" s="33" t="n"/>
      <c r="F186" s="33" t="n"/>
      <c r="G186" s="31" t="n"/>
      <c r="H186" s="28">
        <f>IF(OR(I186="",I186="Feito",I186="Sem data"),"",D186-Config!$B$5)</f>
        <v/>
      </c>
      <c r="I186" s="25">
        <f>IF(AND(A186="",C186="",D186=""),"",IF(F186="Sim","Feito",IF(D186="","Sem data",IF(D186&lt;Config!$B$5,"Atrasado",IF(D186=Config!$B$5,"Hoje",IF(D186-Config!$B$5&lt;=Config!$B$6,"Até "&amp;Config!$B$6&amp;" dias",IF(D186-Config!$B$5&lt;=Config!$B$7,"Até "&amp;Config!$B$7&amp;" dias","Depois")))))))</f>
        <v/>
      </c>
      <c r="J186" s="35">
        <f>IF(OR(I186="",I186="Feito",I186="Sem data"),0,IF(I186="Atrasado",3000+MIN(Config!$B$5-D186,60),IF(I186="Hoje",2500,IF(D186-Config!$B$5&lt;=Config!$B$6,2000-(D186-Config!$B$5),IF(D186-Config!$B$5&lt;=Config!$B$7,1000-(D186-Config!$B$5),500-MIN(D186-Config!$B$5,400)))))-ROW()/100000)</f>
        <v/>
      </c>
    </row>
    <row r="187">
      <c r="A187" s="31" t="n"/>
      <c r="B187" s="31" t="n"/>
      <c r="C187" s="33" t="n"/>
      <c r="D187" s="34" t="n"/>
      <c r="E187" s="33" t="n"/>
      <c r="F187" s="33" t="n"/>
      <c r="G187" s="31" t="n"/>
      <c r="H187" s="28">
        <f>IF(OR(I187="",I187="Feito",I187="Sem data"),"",D187-Config!$B$5)</f>
        <v/>
      </c>
      <c r="I187" s="25">
        <f>IF(AND(A187="",C187="",D187=""),"",IF(F187="Sim","Feito",IF(D187="","Sem data",IF(D187&lt;Config!$B$5,"Atrasado",IF(D187=Config!$B$5,"Hoje",IF(D187-Config!$B$5&lt;=Config!$B$6,"Até "&amp;Config!$B$6&amp;" dias",IF(D187-Config!$B$5&lt;=Config!$B$7,"Até "&amp;Config!$B$7&amp;" dias","Depois")))))))</f>
        <v/>
      </c>
      <c r="J187" s="35">
        <f>IF(OR(I187="",I187="Feito",I187="Sem data"),0,IF(I187="Atrasado",3000+MIN(Config!$B$5-D187,60),IF(I187="Hoje",2500,IF(D187-Config!$B$5&lt;=Config!$B$6,2000-(D187-Config!$B$5),IF(D187-Config!$B$5&lt;=Config!$B$7,1000-(D187-Config!$B$5),500-MIN(D187-Config!$B$5,400)))))-ROW()/100000)</f>
        <v/>
      </c>
    </row>
    <row r="188">
      <c r="A188" s="31" t="n"/>
      <c r="B188" s="31" t="n"/>
      <c r="C188" s="33" t="n"/>
      <c r="D188" s="34" t="n"/>
      <c r="E188" s="33" t="n"/>
      <c r="F188" s="33" t="n"/>
      <c r="G188" s="31" t="n"/>
      <c r="H188" s="28">
        <f>IF(OR(I188="",I188="Feito",I188="Sem data"),"",D188-Config!$B$5)</f>
        <v/>
      </c>
      <c r="I188" s="25">
        <f>IF(AND(A188="",C188="",D188=""),"",IF(F188="Sim","Feito",IF(D188="","Sem data",IF(D188&lt;Config!$B$5,"Atrasado",IF(D188=Config!$B$5,"Hoje",IF(D188-Config!$B$5&lt;=Config!$B$6,"Até "&amp;Config!$B$6&amp;" dias",IF(D188-Config!$B$5&lt;=Config!$B$7,"Até "&amp;Config!$B$7&amp;" dias","Depois")))))))</f>
        <v/>
      </c>
      <c r="J188" s="35">
        <f>IF(OR(I188="",I188="Feito",I188="Sem data"),0,IF(I188="Atrasado",3000+MIN(Config!$B$5-D188,60),IF(I188="Hoje",2500,IF(D188-Config!$B$5&lt;=Config!$B$6,2000-(D188-Config!$B$5),IF(D188-Config!$B$5&lt;=Config!$B$7,1000-(D188-Config!$B$5),500-MIN(D188-Config!$B$5,400)))))-ROW()/100000)</f>
        <v/>
      </c>
    </row>
    <row r="189">
      <c r="A189" s="31" t="n"/>
      <c r="B189" s="31" t="n"/>
      <c r="C189" s="33" t="n"/>
      <c r="D189" s="34" t="n"/>
      <c r="E189" s="33" t="n"/>
      <c r="F189" s="33" t="n"/>
      <c r="G189" s="31" t="n"/>
      <c r="H189" s="28">
        <f>IF(OR(I189="",I189="Feito",I189="Sem data"),"",D189-Config!$B$5)</f>
        <v/>
      </c>
      <c r="I189" s="25">
        <f>IF(AND(A189="",C189="",D189=""),"",IF(F189="Sim","Feito",IF(D189="","Sem data",IF(D189&lt;Config!$B$5,"Atrasado",IF(D189=Config!$B$5,"Hoje",IF(D189-Config!$B$5&lt;=Config!$B$6,"Até "&amp;Config!$B$6&amp;" dias",IF(D189-Config!$B$5&lt;=Config!$B$7,"Até "&amp;Config!$B$7&amp;" dias","Depois")))))))</f>
        <v/>
      </c>
      <c r="J189" s="35">
        <f>IF(OR(I189="",I189="Feito",I189="Sem data"),0,IF(I189="Atrasado",3000+MIN(Config!$B$5-D189,60),IF(I189="Hoje",2500,IF(D189-Config!$B$5&lt;=Config!$B$6,2000-(D189-Config!$B$5),IF(D189-Config!$B$5&lt;=Config!$B$7,1000-(D189-Config!$B$5),500-MIN(D189-Config!$B$5,400)))))-ROW()/100000)</f>
        <v/>
      </c>
    </row>
    <row r="190">
      <c r="A190" s="31" t="n"/>
      <c r="B190" s="31" t="n"/>
      <c r="C190" s="33" t="n"/>
      <c r="D190" s="34" t="n"/>
      <c r="E190" s="33" t="n"/>
      <c r="F190" s="33" t="n"/>
      <c r="G190" s="31" t="n"/>
      <c r="H190" s="28">
        <f>IF(OR(I190="",I190="Feito",I190="Sem data"),"",D190-Config!$B$5)</f>
        <v/>
      </c>
      <c r="I190" s="25">
        <f>IF(AND(A190="",C190="",D190=""),"",IF(F190="Sim","Feito",IF(D190="","Sem data",IF(D190&lt;Config!$B$5,"Atrasado",IF(D190=Config!$B$5,"Hoje",IF(D190-Config!$B$5&lt;=Config!$B$6,"Até "&amp;Config!$B$6&amp;" dias",IF(D190-Config!$B$5&lt;=Config!$B$7,"Até "&amp;Config!$B$7&amp;" dias","Depois")))))))</f>
        <v/>
      </c>
      <c r="J190" s="35">
        <f>IF(OR(I190="",I190="Feito",I190="Sem data"),0,IF(I190="Atrasado",3000+MIN(Config!$B$5-D190,60),IF(I190="Hoje",2500,IF(D190-Config!$B$5&lt;=Config!$B$6,2000-(D190-Config!$B$5),IF(D190-Config!$B$5&lt;=Config!$B$7,1000-(D190-Config!$B$5),500-MIN(D190-Config!$B$5,400)))))-ROW()/100000)</f>
        <v/>
      </c>
    </row>
    <row r="191">
      <c r="A191" s="31" t="n"/>
      <c r="B191" s="31" t="n"/>
      <c r="C191" s="33" t="n"/>
      <c r="D191" s="34" t="n"/>
      <c r="E191" s="33" t="n"/>
      <c r="F191" s="33" t="n"/>
      <c r="G191" s="31" t="n"/>
      <c r="H191" s="28">
        <f>IF(OR(I191="",I191="Feito",I191="Sem data"),"",D191-Config!$B$5)</f>
        <v/>
      </c>
      <c r="I191" s="25">
        <f>IF(AND(A191="",C191="",D191=""),"",IF(F191="Sim","Feito",IF(D191="","Sem data",IF(D191&lt;Config!$B$5,"Atrasado",IF(D191=Config!$B$5,"Hoje",IF(D191-Config!$B$5&lt;=Config!$B$6,"Até "&amp;Config!$B$6&amp;" dias",IF(D191-Config!$B$5&lt;=Config!$B$7,"Até "&amp;Config!$B$7&amp;" dias","Depois")))))))</f>
        <v/>
      </c>
      <c r="J191" s="35">
        <f>IF(OR(I191="",I191="Feito",I191="Sem data"),0,IF(I191="Atrasado",3000+MIN(Config!$B$5-D191,60),IF(I191="Hoje",2500,IF(D191-Config!$B$5&lt;=Config!$B$6,2000-(D191-Config!$B$5),IF(D191-Config!$B$5&lt;=Config!$B$7,1000-(D191-Config!$B$5),500-MIN(D191-Config!$B$5,400)))))-ROW()/100000)</f>
        <v/>
      </c>
    </row>
    <row r="192">
      <c r="A192" s="31" t="n"/>
      <c r="B192" s="31" t="n"/>
      <c r="C192" s="33" t="n"/>
      <c r="D192" s="34" t="n"/>
      <c r="E192" s="33" t="n"/>
      <c r="F192" s="33" t="n"/>
      <c r="G192" s="31" t="n"/>
      <c r="H192" s="28">
        <f>IF(OR(I192="",I192="Feito",I192="Sem data"),"",D192-Config!$B$5)</f>
        <v/>
      </c>
      <c r="I192" s="25">
        <f>IF(AND(A192="",C192="",D192=""),"",IF(F192="Sim","Feito",IF(D192="","Sem data",IF(D192&lt;Config!$B$5,"Atrasado",IF(D192=Config!$B$5,"Hoje",IF(D192-Config!$B$5&lt;=Config!$B$6,"Até "&amp;Config!$B$6&amp;" dias",IF(D192-Config!$B$5&lt;=Config!$B$7,"Até "&amp;Config!$B$7&amp;" dias","Depois")))))))</f>
        <v/>
      </c>
      <c r="J192" s="35">
        <f>IF(OR(I192="",I192="Feito",I192="Sem data"),0,IF(I192="Atrasado",3000+MIN(Config!$B$5-D192,60),IF(I192="Hoje",2500,IF(D192-Config!$B$5&lt;=Config!$B$6,2000-(D192-Config!$B$5),IF(D192-Config!$B$5&lt;=Config!$B$7,1000-(D192-Config!$B$5),500-MIN(D192-Config!$B$5,400)))))-ROW()/100000)</f>
        <v/>
      </c>
    </row>
    <row r="193">
      <c r="A193" s="31" t="n"/>
      <c r="B193" s="31" t="n"/>
      <c r="C193" s="33" t="n"/>
      <c r="D193" s="34" t="n"/>
      <c r="E193" s="33" t="n"/>
      <c r="F193" s="33" t="n"/>
      <c r="G193" s="31" t="n"/>
      <c r="H193" s="28">
        <f>IF(OR(I193="",I193="Feito",I193="Sem data"),"",D193-Config!$B$5)</f>
        <v/>
      </c>
      <c r="I193" s="25">
        <f>IF(AND(A193="",C193="",D193=""),"",IF(F193="Sim","Feito",IF(D193="","Sem data",IF(D193&lt;Config!$B$5,"Atrasado",IF(D193=Config!$B$5,"Hoje",IF(D193-Config!$B$5&lt;=Config!$B$6,"Até "&amp;Config!$B$6&amp;" dias",IF(D193-Config!$B$5&lt;=Config!$B$7,"Até "&amp;Config!$B$7&amp;" dias","Depois")))))))</f>
        <v/>
      </c>
      <c r="J193" s="35">
        <f>IF(OR(I193="",I193="Feito",I193="Sem data"),0,IF(I193="Atrasado",3000+MIN(Config!$B$5-D193,60),IF(I193="Hoje",2500,IF(D193-Config!$B$5&lt;=Config!$B$6,2000-(D193-Config!$B$5),IF(D193-Config!$B$5&lt;=Config!$B$7,1000-(D193-Config!$B$5),500-MIN(D193-Config!$B$5,400)))))-ROW()/100000)</f>
        <v/>
      </c>
    </row>
    <row r="194">
      <c r="A194" s="31" t="n"/>
      <c r="B194" s="31" t="n"/>
      <c r="C194" s="33" t="n"/>
      <c r="D194" s="34" t="n"/>
      <c r="E194" s="33" t="n"/>
      <c r="F194" s="33" t="n"/>
      <c r="G194" s="31" t="n"/>
      <c r="H194" s="28">
        <f>IF(OR(I194="",I194="Feito",I194="Sem data"),"",D194-Config!$B$5)</f>
        <v/>
      </c>
      <c r="I194" s="25">
        <f>IF(AND(A194="",C194="",D194=""),"",IF(F194="Sim","Feito",IF(D194="","Sem data",IF(D194&lt;Config!$B$5,"Atrasado",IF(D194=Config!$B$5,"Hoje",IF(D194-Config!$B$5&lt;=Config!$B$6,"Até "&amp;Config!$B$6&amp;" dias",IF(D194-Config!$B$5&lt;=Config!$B$7,"Até "&amp;Config!$B$7&amp;" dias","Depois")))))))</f>
        <v/>
      </c>
      <c r="J194" s="35">
        <f>IF(OR(I194="",I194="Feito",I194="Sem data"),0,IF(I194="Atrasado",3000+MIN(Config!$B$5-D194,60),IF(I194="Hoje",2500,IF(D194-Config!$B$5&lt;=Config!$B$6,2000-(D194-Config!$B$5),IF(D194-Config!$B$5&lt;=Config!$B$7,1000-(D194-Config!$B$5),500-MIN(D194-Config!$B$5,400)))))-ROW()/100000)</f>
        <v/>
      </c>
    </row>
    <row r="195">
      <c r="A195" s="31" t="n"/>
      <c r="B195" s="31" t="n"/>
      <c r="C195" s="33" t="n"/>
      <c r="D195" s="34" t="n"/>
      <c r="E195" s="33" t="n"/>
      <c r="F195" s="33" t="n"/>
      <c r="G195" s="31" t="n"/>
      <c r="H195" s="28">
        <f>IF(OR(I195="",I195="Feito",I195="Sem data"),"",D195-Config!$B$5)</f>
        <v/>
      </c>
      <c r="I195" s="25">
        <f>IF(AND(A195="",C195="",D195=""),"",IF(F195="Sim","Feito",IF(D195="","Sem data",IF(D195&lt;Config!$B$5,"Atrasado",IF(D195=Config!$B$5,"Hoje",IF(D195-Config!$B$5&lt;=Config!$B$6,"Até "&amp;Config!$B$6&amp;" dias",IF(D195-Config!$B$5&lt;=Config!$B$7,"Até "&amp;Config!$B$7&amp;" dias","Depois")))))))</f>
        <v/>
      </c>
      <c r="J195" s="35">
        <f>IF(OR(I195="",I195="Feito",I195="Sem data"),0,IF(I195="Atrasado",3000+MIN(Config!$B$5-D195,60),IF(I195="Hoje",2500,IF(D195-Config!$B$5&lt;=Config!$B$6,2000-(D195-Config!$B$5),IF(D195-Config!$B$5&lt;=Config!$B$7,1000-(D195-Config!$B$5),500-MIN(D195-Config!$B$5,400)))))-ROW()/100000)</f>
        <v/>
      </c>
    </row>
    <row r="196">
      <c r="A196" s="31" t="n"/>
      <c r="B196" s="31" t="n"/>
      <c r="C196" s="33" t="n"/>
      <c r="D196" s="34" t="n"/>
      <c r="E196" s="33" t="n"/>
      <c r="F196" s="33" t="n"/>
      <c r="G196" s="31" t="n"/>
      <c r="H196" s="28">
        <f>IF(OR(I196="",I196="Feito",I196="Sem data"),"",D196-Config!$B$5)</f>
        <v/>
      </c>
      <c r="I196" s="25">
        <f>IF(AND(A196="",C196="",D196=""),"",IF(F196="Sim","Feito",IF(D196="","Sem data",IF(D196&lt;Config!$B$5,"Atrasado",IF(D196=Config!$B$5,"Hoje",IF(D196-Config!$B$5&lt;=Config!$B$6,"Até "&amp;Config!$B$6&amp;" dias",IF(D196-Config!$B$5&lt;=Config!$B$7,"Até "&amp;Config!$B$7&amp;" dias","Depois")))))))</f>
        <v/>
      </c>
      <c r="J196" s="35">
        <f>IF(OR(I196="",I196="Feito",I196="Sem data"),0,IF(I196="Atrasado",3000+MIN(Config!$B$5-D196,60),IF(I196="Hoje",2500,IF(D196-Config!$B$5&lt;=Config!$B$6,2000-(D196-Config!$B$5),IF(D196-Config!$B$5&lt;=Config!$B$7,1000-(D196-Config!$B$5),500-MIN(D196-Config!$B$5,400)))))-ROW()/100000)</f>
        <v/>
      </c>
    </row>
    <row r="197">
      <c r="A197" s="31" t="n"/>
      <c r="B197" s="31" t="n"/>
      <c r="C197" s="33" t="n"/>
      <c r="D197" s="34" t="n"/>
      <c r="E197" s="33" t="n"/>
      <c r="F197" s="33" t="n"/>
      <c r="G197" s="31" t="n"/>
      <c r="H197" s="28">
        <f>IF(OR(I197="",I197="Feito",I197="Sem data"),"",D197-Config!$B$5)</f>
        <v/>
      </c>
      <c r="I197" s="25">
        <f>IF(AND(A197="",C197="",D197=""),"",IF(F197="Sim","Feito",IF(D197="","Sem data",IF(D197&lt;Config!$B$5,"Atrasado",IF(D197=Config!$B$5,"Hoje",IF(D197-Config!$B$5&lt;=Config!$B$6,"Até "&amp;Config!$B$6&amp;" dias",IF(D197-Config!$B$5&lt;=Config!$B$7,"Até "&amp;Config!$B$7&amp;" dias","Depois")))))))</f>
        <v/>
      </c>
      <c r="J197" s="35">
        <f>IF(OR(I197="",I197="Feito",I197="Sem data"),0,IF(I197="Atrasado",3000+MIN(Config!$B$5-D197,60),IF(I197="Hoje",2500,IF(D197-Config!$B$5&lt;=Config!$B$6,2000-(D197-Config!$B$5),IF(D197-Config!$B$5&lt;=Config!$B$7,1000-(D197-Config!$B$5),500-MIN(D197-Config!$B$5,400)))))-ROW()/100000)</f>
        <v/>
      </c>
    </row>
    <row r="198">
      <c r="A198" s="31" t="n"/>
      <c r="B198" s="31" t="n"/>
      <c r="C198" s="33" t="n"/>
      <c r="D198" s="34" t="n"/>
      <c r="E198" s="33" t="n"/>
      <c r="F198" s="33" t="n"/>
      <c r="G198" s="31" t="n"/>
      <c r="H198" s="28">
        <f>IF(OR(I198="",I198="Feito",I198="Sem data"),"",D198-Config!$B$5)</f>
        <v/>
      </c>
      <c r="I198" s="25">
        <f>IF(AND(A198="",C198="",D198=""),"",IF(F198="Sim","Feito",IF(D198="","Sem data",IF(D198&lt;Config!$B$5,"Atrasado",IF(D198=Config!$B$5,"Hoje",IF(D198-Config!$B$5&lt;=Config!$B$6,"Até "&amp;Config!$B$6&amp;" dias",IF(D198-Config!$B$5&lt;=Config!$B$7,"Até "&amp;Config!$B$7&amp;" dias","Depois")))))))</f>
        <v/>
      </c>
      <c r="J198" s="35">
        <f>IF(OR(I198="",I198="Feito",I198="Sem data"),0,IF(I198="Atrasado",3000+MIN(Config!$B$5-D198,60),IF(I198="Hoje",2500,IF(D198-Config!$B$5&lt;=Config!$B$6,2000-(D198-Config!$B$5),IF(D198-Config!$B$5&lt;=Config!$B$7,1000-(D198-Config!$B$5),500-MIN(D198-Config!$B$5,400)))))-ROW()/100000)</f>
        <v/>
      </c>
    </row>
    <row r="199">
      <c r="A199" s="31" t="n"/>
      <c r="B199" s="31" t="n"/>
      <c r="C199" s="33" t="n"/>
      <c r="D199" s="34" t="n"/>
      <c r="E199" s="33" t="n"/>
      <c r="F199" s="33" t="n"/>
      <c r="G199" s="31" t="n"/>
      <c r="H199" s="28">
        <f>IF(OR(I199="",I199="Feito",I199="Sem data"),"",D199-Config!$B$5)</f>
        <v/>
      </c>
      <c r="I199" s="25">
        <f>IF(AND(A199="",C199="",D199=""),"",IF(F199="Sim","Feito",IF(D199="","Sem data",IF(D199&lt;Config!$B$5,"Atrasado",IF(D199=Config!$B$5,"Hoje",IF(D199-Config!$B$5&lt;=Config!$B$6,"Até "&amp;Config!$B$6&amp;" dias",IF(D199-Config!$B$5&lt;=Config!$B$7,"Até "&amp;Config!$B$7&amp;" dias","Depois")))))))</f>
        <v/>
      </c>
      <c r="J199" s="35">
        <f>IF(OR(I199="",I199="Feito",I199="Sem data"),0,IF(I199="Atrasado",3000+MIN(Config!$B$5-D199,60),IF(I199="Hoje",2500,IF(D199-Config!$B$5&lt;=Config!$B$6,2000-(D199-Config!$B$5),IF(D199-Config!$B$5&lt;=Config!$B$7,1000-(D199-Config!$B$5),500-MIN(D199-Config!$B$5,400)))))-ROW()/100000)</f>
        <v/>
      </c>
    </row>
    <row r="200">
      <c r="A200" s="31" t="n"/>
      <c r="B200" s="31" t="n"/>
      <c r="C200" s="33" t="n"/>
      <c r="D200" s="34" t="n"/>
      <c r="E200" s="33" t="n"/>
      <c r="F200" s="33" t="n"/>
      <c r="G200" s="31" t="n"/>
      <c r="H200" s="28">
        <f>IF(OR(I200="",I200="Feito",I200="Sem data"),"",D200-Config!$B$5)</f>
        <v/>
      </c>
      <c r="I200" s="25">
        <f>IF(AND(A200="",C200="",D200=""),"",IF(F200="Sim","Feito",IF(D200="","Sem data",IF(D200&lt;Config!$B$5,"Atrasado",IF(D200=Config!$B$5,"Hoje",IF(D200-Config!$B$5&lt;=Config!$B$6,"Até "&amp;Config!$B$6&amp;" dias",IF(D200-Config!$B$5&lt;=Config!$B$7,"Até "&amp;Config!$B$7&amp;" dias","Depois")))))))</f>
        <v/>
      </c>
      <c r="J200" s="35">
        <f>IF(OR(I200="",I200="Feito",I200="Sem data"),0,IF(I200="Atrasado",3000+MIN(Config!$B$5-D200,60),IF(I200="Hoje",2500,IF(D200-Config!$B$5&lt;=Config!$B$6,2000-(D200-Config!$B$5),IF(D200-Config!$B$5&lt;=Config!$B$7,1000-(D200-Config!$B$5),500-MIN(D200-Config!$B$5,400)))))-ROW()/100000)</f>
        <v/>
      </c>
    </row>
    <row r="201">
      <c r="A201" s="31" t="n"/>
      <c r="B201" s="31" t="n"/>
      <c r="C201" s="33" t="n"/>
      <c r="D201" s="34" t="n"/>
      <c r="E201" s="33" t="n"/>
      <c r="F201" s="33" t="n"/>
      <c r="G201" s="31" t="n"/>
      <c r="H201" s="28">
        <f>IF(OR(I201="",I201="Feito",I201="Sem data"),"",D201-Config!$B$5)</f>
        <v/>
      </c>
      <c r="I201" s="25">
        <f>IF(AND(A201="",C201="",D201=""),"",IF(F201="Sim","Feito",IF(D201="","Sem data",IF(D201&lt;Config!$B$5,"Atrasado",IF(D201=Config!$B$5,"Hoje",IF(D201-Config!$B$5&lt;=Config!$B$6,"Até "&amp;Config!$B$6&amp;" dias",IF(D201-Config!$B$5&lt;=Config!$B$7,"Até "&amp;Config!$B$7&amp;" dias","Depois")))))))</f>
        <v/>
      </c>
      <c r="J201" s="35">
        <f>IF(OR(I201="",I201="Feito",I201="Sem data"),0,IF(I201="Atrasado",3000+MIN(Config!$B$5-D201,60),IF(I201="Hoje",2500,IF(D201-Config!$B$5&lt;=Config!$B$6,2000-(D201-Config!$B$5),IF(D201-Config!$B$5&lt;=Config!$B$7,1000-(D201-Config!$B$5),500-MIN(D201-Config!$B$5,400)))))-ROW()/100000)</f>
        <v/>
      </c>
    </row>
    <row r="202">
      <c r="A202" s="31" t="n"/>
      <c r="B202" s="31" t="n"/>
      <c r="C202" s="33" t="n"/>
      <c r="D202" s="34" t="n"/>
      <c r="E202" s="33" t="n"/>
      <c r="F202" s="33" t="n"/>
      <c r="G202" s="31" t="n"/>
      <c r="H202" s="28">
        <f>IF(OR(I202="",I202="Feito",I202="Sem data"),"",D202-Config!$B$5)</f>
        <v/>
      </c>
      <c r="I202" s="25">
        <f>IF(AND(A202="",C202="",D202=""),"",IF(F202="Sim","Feito",IF(D202="","Sem data",IF(D202&lt;Config!$B$5,"Atrasado",IF(D202=Config!$B$5,"Hoje",IF(D202-Config!$B$5&lt;=Config!$B$6,"Até "&amp;Config!$B$6&amp;" dias",IF(D202-Config!$B$5&lt;=Config!$B$7,"Até "&amp;Config!$B$7&amp;" dias","Depois")))))))</f>
        <v/>
      </c>
      <c r="J202" s="35">
        <f>IF(OR(I202="",I202="Feito",I202="Sem data"),0,IF(I202="Atrasado",3000+MIN(Config!$B$5-D202,60),IF(I202="Hoje",2500,IF(D202-Config!$B$5&lt;=Config!$B$6,2000-(D202-Config!$B$5),IF(D202-Config!$B$5&lt;=Config!$B$7,1000-(D202-Config!$B$5),500-MIN(D202-Config!$B$5,400)))))-ROW()/100000)</f>
        <v/>
      </c>
    </row>
    <row r="203">
      <c r="A203" s="31" t="n"/>
      <c r="B203" s="31" t="n"/>
      <c r="C203" s="33" t="n"/>
      <c r="D203" s="34" t="n"/>
      <c r="E203" s="33" t="n"/>
      <c r="F203" s="33" t="n"/>
      <c r="G203" s="31" t="n"/>
      <c r="H203" s="28">
        <f>IF(OR(I203="",I203="Feito",I203="Sem data"),"",D203-Config!$B$5)</f>
        <v/>
      </c>
      <c r="I203" s="25">
        <f>IF(AND(A203="",C203="",D203=""),"",IF(F203="Sim","Feito",IF(D203="","Sem data",IF(D203&lt;Config!$B$5,"Atrasado",IF(D203=Config!$B$5,"Hoje",IF(D203-Config!$B$5&lt;=Config!$B$6,"Até "&amp;Config!$B$6&amp;" dias",IF(D203-Config!$B$5&lt;=Config!$B$7,"Até "&amp;Config!$B$7&amp;" dias","Depois")))))))</f>
        <v/>
      </c>
      <c r="J203" s="35">
        <f>IF(OR(I203="",I203="Feito",I203="Sem data"),0,IF(I203="Atrasado",3000+MIN(Config!$B$5-D203,60),IF(I203="Hoje",2500,IF(D203-Config!$B$5&lt;=Config!$B$6,2000-(D203-Config!$B$5),IF(D203-Config!$B$5&lt;=Config!$B$7,1000-(D203-Config!$B$5),500-MIN(D203-Config!$B$5,400)))))-ROW()/100000)</f>
        <v/>
      </c>
    </row>
    <row r="204">
      <c r="A204" s="31" t="n"/>
      <c r="B204" s="31" t="n"/>
      <c r="C204" s="33" t="n"/>
      <c r="D204" s="34" t="n"/>
      <c r="E204" s="33" t="n"/>
      <c r="F204" s="33" t="n"/>
      <c r="G204" s="31" t="n"/>
      <c r="H204" s="28">
        <f>IF(OR(I204="",I204="Feito",I204="Sem data"),"",D204-Config!$B$5)</f>
        <v/>
      </c>
      <c r="I204" s="25">
        <f>IF(AND(A204="",C204="",D204=""),"",IF(F204="Sim","Feito",IF(D204="","Sem data",IF(D204&lt;Config!$B$5,"Atrasado",IF(D204=Config!$B$5,"Hoje",IF(D204-Config!$B$5&lt;=Config!$B$6,"Até "&amp;Config!$B$6&amp;" dias",IF(D204-Config!$B$5&lt;=Config!$B$7,"Até "&amp;Config!$B$7&amp;" dias","Depois")))))))</f>
        <v/>
      </c>
      <c r="J204" s="35">
        <f>IF(OR(I204="",I204="Feito",I204="Sem data"),0,IF(I204="Atrasado",3000+MIN(Config!$B$5-D204,60),IF(I204="Hoje",2500,IF(D204-Config!$B$5&lt;=Config!$B$6,2000-(D204-Config!$B$5),IF(D204-Config!$B$5&lt;=Config!$B$7,1000-(D204-Config!$B$5),500-MIN(D204-Config!$B$5,400)))))-ROW()/100000)</f>
        <v/>
      </c>
    </row>
    <row r="205">
      <c r="A205" s="31" t="n"/>
      <c r="B205" s="31" t="n"/>
      <c r="C205" s="33" t="n"/>
      <c r="D205" s="34" t="n"/>
      <c r="E205" s="33" t="n"/>
      <c r="F205" s="33" t="n"/>
      <c r="G205" s="31" t="n"/>
      <c r="H205" s="28">
        <f>IF(OR(I205="",I205="Feito",I205="Sem data"),"",D205-Config!$B$5)</f>
        <v/>
      </c>
      <c r="I205" s="25">
        <f>IF(AND(A205="",C205="",D205=""),"",IF(F205="Sim","Feito",IF(D205="","Sem data",IF(D205&lt;Config!$B$5,"Atrasado",IF(D205=Config!$B$5,"Hoje",IF(D205-Config!$B$5&lt;=Config!$B$6,"Até "&amp;Config!$B$6&amp;" dias",IF(D205-Config!$B$5&lt;=Config!$B$7,"Até "&amp;Config!$B$7&amp;" dias","Depois")))))))</f>
        <v/>
      </c>
      <c r="J205" s="35">
        <f>IF(OR(I205="",I205="Feito",I205="Sem data"),0,IF(I205="Atrasado",3000+MIN(Config!$B$5-D205,60),IF(I205="Hoje",2500,IF(D205-Config!$B$5&lt;=Config!$B$6,2000-(D205-Config!$B$5),IF(D205-Config!$B$5&lt;=Config!$B$7,1000-(D205-Config!$B$5),500-MIN(D205-Config!$B$5,400)))))-ROW()/100000)</f>
        <v/>
      </c>
    </row>
    <row r="206">
      <c r="A206" s="31" t="n"/>
      <c r="B206" s="31" t="n"/>
      <c r="C206" s="33" t="n"/>
      <c r="D206" s="34" t="n"/>
      <c r="E206" s="33" t="n"/>
      <c r="F206" s="33" t="n"/>
      <c r="G206" s="31" t="n"/>
      <c r="H206" s="28">
        <f>IF(OR(I206="",I206="Feito",I206="Sem data"),"",D206-Config!$B$5)</f>
        <v/>
      </c>
      <c r="I206" s="25">
        <f>IF(AND(A206="",C206="",D206=""),"",IF(F206="Sim","Feito",IF(D206="","Sem data",IF(D206&lt;Config!$B$5,"Atrasado",IF(D206=Config!$B$5,"Hoje",IF(D206-Config!$B$5&lt;=Config!$B$6,"Até "&amp;Config!$B$6&amp;" dias",IF(D206-Config!$B$5&lt;=Config!$B$7,"Até "&amp;Config!$B$7&amp;" dias","Depois")))))))</f>
        <v/>
      </c>
      <c r="J206" s="35">
        <f>IF(OR(I206="",I206="Feito",I206="Sem data"),0,IF(I206="Atrasado",3000+MIN(Config!$B$5-D206,60),IF(I206="Hoje",2500,IF(D206-Config!$B$5&lt;=Config!$B$6,2000-(D206-Config!$B$5),IF(D206-Config!$B$5&lt;=Config!$B$7,1000-(D206-Config!$B$5),500-MIN(D206-Config!$B$5,400)))))-ROW()/100000)</f>
        <v/>
      </c>
    </row>
    <row r="207">
      <c r="A207" s="31" t="n"/>
      <c r="B207" s="31" t="n"/>
      <c r="C207" s="33" t="n"/>
      <c r="D207" s="34" t="n"/>
      <c r="E207" s="33" t="n"/>
      <c r="F207" s="33" t="n"/>
      <c r="G207" s="31" t="n"/>
      <c r="H207" s="28">
        <f>IF(OR(I207="",I207="Feito",I207="Sem data"),"",D207-Config!$B$5)</f>
        <v/>
      </c>
      <c r="I207" s="25">
        <f>IF(AND(A207="",C207="",D207=""),"",IF(F207="Sim","Feito",IF(D207="","Sem data",IF(D207&lt;Config!$B$5,"Atrasado",IF(D207=Config!$B$5,"Hoje",IF(D207-Config!$B$5&lt;=Config!$B$6,"Até "&amp;Config!$B$6&amp;" dias",IF(D207-Config!$B$5&lt;=Config!$B$7,"Até "&amp;Config!$B$7&amp;" dias","Depois")))))))</f>
        <v/>
      </c>
      <c r="J207" s="35">
        <f>IF(OR(I207="",I207="Feito",I207="Sem data"),0,IF(I207="Atrasado",3000+MIN(Config!$B$5-D207,60),IF(I207="Hoje",2500,IF(D207-Config!$B$5&lt;=Config!$B$6,2000-(D207-Config!$B$5),IF(D207-Config!$B$5&lt;=Config!$B$7,1000-(D207-Config!$B$5),500-MIN(D207-Config!$B$5,400)))))-ROW()/100000)</f>
        <v/>
      </c>
    </row>
    <row r="208">
      <c r="A208" s="31" t="n"/>
      <c r="B208" s="31" t="n"/>
      <c r="C208" s="33" t="n"/>
      <c r="D208" s="34" t="n"/>
      <c r="E208" s="33" t="n"/>
      <c r="F208" s="33" t="n"/>
      <c r="G208" s="31" t="n"/>
      <c r="H208" s="28">
        <f>IF(OR(I208="",I208="Feito",I208="Sem data"),"",D208-Config!$B$5)</f>
        <v/>
      </c>
      <c r="I208" s="25">
        <f>IF(AND(A208="",C208="",D208=""),"",IF(F208="Sim","Feito",IF(D208="","Sem data",IF(D208&lt;Config!$B$5,"Atrasado",IF(D208=Config!$B$5,"Hoje",IF(D208-Config!$B$5&lt;=Config!$B$6,"Até "&amp;Config!$B$6&amp;" dias",IF(D208-Config!$B$5&lt;=Config!$B$7,"Até "&amp;Config!$B$7&amp;" dias","Depois")))))))</f>
        <v/>
      </c>
      <c r="J208" s="35">
        <f>IF(OR(I208="",I208="Feito",I208="Sem data"),0,IF(I208="Atrasado",3000+MIN(Config!$B$5-D208,60),IF(I208="Hoje",2500,IF(D208-Config!$B$5&lt;=Config!$B$6,2000-(D208-Config!$B$5),IF(D208-Config!$B$5&lt;=Config!$B$7,1000-(D208-Config!$B$5),500-MIN(D208-Config!$B$5,400)))))-ROW()/100000)</f>
        <v/>
      </c>
    </row>
    <row r="209">
      <c r="A209" s="31" t="n"/>
      <c r="B209" s="31" t="n"/>
      <c r="C209" s="33" t="n"/>
      <c r="D209" s="34" t="n"/>
      <c r="E209" s="33" t="n"/>
      <c r="F209" s="33" t="n"/>
      <c r="G209" s="31" t="n"/>
      <c r="H209" s="28">
        <f>IF(OR(I209="",I209="Feito",I209="Sem data"),"",D209-Config!$B$5)</f>
        <v/>
      </c>
      <c r="I209" s="25">
        <f>IF(AND(A209="",C209="",D209=""),"",IF(F209="Sim","Feito",IF(D209="","Sem data",IF(D209&lt;Config!$B$5,"Atrasado",IF(D209=Config!$B$5,"Hoje",IF(D209-Config!$B$5&lt;=Config!$B$6,"Até "&amp;Config!$B$6&amp;" dias",IF(D209-Config!$B$5&lt;=Config!$B$7,"Até "&amp;Config!$B$7&amp;" dias","Depois")))))))</f>
        <v/>
      </c>
      <c r="J209" s="35">
        <f>IF(OR(I209="",I209="Feito",I209="Sem data"),0,IF(I209="Atrasado",3000+MIN(Config!$B$5-D209,60),IF(I209="Hoje",2500,IF(D209-Config!$B$5&lt;=Config!$B$6,2000-(D209-Config!$B$5),IF(D209-Config!$B$5&lt;=Config!$B$7,1000-(D209-Config!$B$5),500-MIN(D209-Config!$B$5,400)))))-ROW()/100000)</f>
        <v/>
      </c>
    </row>
    <row r="210">
      <c r="A210" s="31" t="n"/>
      <c r="B210" s="31" t="n"/>
      <c r="C210" s="33" t="n"/>
      <c r="D210" s="34" t="n"/>
      <c r="E210" s="33" t="n"/>
      <c r="F210" s="33" t="n"/>
      <c r="G210" s="31" t="n"/>
      <c r="H210" s="28">
        <f>IF(OR(I210="",I210="Feito",I210="Sem data"),"",D210-Config!$B$5)</f>
        <v/>
      </c>
      <c r="I210" s="25">
        <f>IF(AND(A210="",C210="",D210=""),"",IF(F210="Sim","Feito",IF(D210="","Sem data",IF(D210&lt;Config!$B$5,"Atrasado",IF(D210=Config!$B$5,"Hoje",IF(D210-Config!$B$5&lt;=Config!$B$6,"Até "&amp;Config!$B$6&amp;" dias",IF(D210-Config!$B$5&lt;=Config!$B$7,"Até "&amp;Config!$B$7&amp;" dias","Depois")))))))</f>
        <v/>
      </c>
      <c r="J210" s="35">
        <f>IF(OR(I210="",I210="Feito",I210="Sem data"),0,IF(I210="Atrasado",3000+MIN(Config!$B$5-D210,60),IF(I210="Hoje",2500,IF(D210-Config!$B$5&lt;=Config!$B$6,2000-(D210-Config!$B$5),IF(D210-Config!$B$5&lt;=Config!$B$7,1000-(D210-Config!$B$5),500-MIN(D210-Config!$B$5,400)))))-ROW()/100000)</f>
        <v/>
      </c>
    </row>
    <row r="211">
      <c r="A211" s="31" t="n"/>
      <c r="B211" s="31" t="n"/>
      <c r="C211" s="33" t="n"/>
      <c r="D211" s="34" t="n"/>
      <c r="E211" s="33" t="n"/>
      <c r="F211" s="33" t="n"/>
      <c r="G211" s="31" t="n"/>
      <c r="H211" s="28">
        <f>IF(OR(I211="",I211="Feito",I211="Sem data"),"",D211-Config!$B$5)</f>
        <v/>
      </c>
      <c r="I211" s="25">
        <f>IF(AND(A211="",C211="",D211=""),"",IF(F211="Sim","Feito",IF(D211="","Sem data",IF(D211&lt;Config!$B$5,"Atrasado",IF(D211=Config!$B$5,"Hoje",IF(D211-Config!$B$5&lt;=Config!$B$6,"Até "&amp;Config!$B$6&amp;" dias",IF(D211-Config!$B$5&lt;=Config!$B$7,"Até "&amp;Config!$B$7&amp;" dias","Depois")))))))</f>
        <v/>
      </c>
      <c r="J211" s="35">
        <f>IF(OR(I211="",I211="Feito",I211="Sem data"),0,IF(I211="Atrasado",3000+MIN(Config!$B$5-D211,60),IF(I211="Hoje",2500,IF(D211-Config!$B$5&lt;=Config!$B$6,2000-(D211-Config!$B$5),IF(D211-Config!$B$5&lt;=Config!$B$7,1000-(D211-Config!$B$5),500-MIN(D211-Config!$B$5,400)))))-ROW()/100000)</f>
        <v/>
      </c>
    </row>
    <row r="212">
      <c r="A212" s="31" t="n"/>
      <c r="B212" s="31" t="n"/>
      <c r="C212" s="33" t="n"/>
      <c r="D212" s="34" t="n"/>
      <c r="E212" s="33" t="n"/>
      <c r="F212" s="33" t="n"/>
      <c r="G212" s="31" t="n"/>
      <c r="H212" s="28">
        <f>IF(OR(I212="",I212="Feito",I212="Sem data"),"",D212-Config!$B$5)</f>
        <v/>
      </c>
      <c r="I212" s="25">
        <f>IF(AND(A212="",C212="",D212=""),"",IF(F212="Sim","Feito",IF(D212="","Sem data",IF(D212&lt;Config!$B$5,"Atrasado",IF(D212=Config!$B$5,"Hoje",IF(D212-Config!$B$5&lt;=Config!$B$6,"Até "&amp;Config!$B$6&amp;" dias",IF(D212-Config!$B$5&lt;=Config!$B$7,"Até "&amp;Config!$B$7&amp;" dias","Depois")))))))</f>
        <v/>
      </c>
      <c r="J212" s="35">
        <f>IF(OR(I212="",I212="Feito",I212="Sem data"),0,IF(I212="Atrasado",3000+MIN(Config!$B$5-D212,60),IF(I212="Hoje",2500,IF(D212-Config!$B$5&lt;=Config!$B$6,2000-(D212-Config!$B$5),IF(D212-Config!$B$5&lt;=Config!$B$7,1000-(D212-Config!$B$5),500-MIN(D212-Config!$B$5,400)))))-ROW()/100000)</f>
        <v/>
      </c>
    </row>
    <row r="213">
      <c r="A213" s="31" t="n"/>
      <c r="B213" s="31" t="n"/>
      <c r="C213" s="33" t="n"/>
      <c r="D213" s="34" t="n"/>
      <c r="E213" s="33" t="n"/>
      <c r="F213" s="33" t="n"/>
      <c r="G213" s="31" t="n"/>
      <c r="H213" s="28">
        <f>IF(OR(I213="",I213="Feito",I213="Sem data"),"",D213-Config!$B$5)</f>
        <v/>
      </c>
      <c r="I213" s="25">
        <f>IF(AND(A213="",C213="",D213=""),"",IF(F213="Sim","Feito",IF(D213="","Sem data",IF(D213&lt;Config!$B$5,"Atrasado",IF(D213=Config!$B$5,"Hoje",IF(D213-Config!$B$5&lt;=Config!$B$6,"Até "&amp;Config!$B$6&amp;" dias",IF(D213-Config!$B$5&lt;=Config!$B$7,"Até "&amp;Config!$B$7&amp;" dias","Depois")))))))</f>
        <v/>
      </c>
      <c r="J213" s="35">
        <f>IF(OR(I213="",I213="Feito",I213="Sem data"),0,IF(I213="Atrasado",3000+MIN(Config!$B$5-D213,60),IF(I213="Hoje",2500,IF(D213-Config!$B$5&lt;=Config!$B$6,2000-(D213-Config!$B$5),IF(D213-Config!$B$5&lt;=Config!$B$7,1000-(D213-Config!$B$5),500-MIN(D213-Config!$B$5,400)))))-ROW()/100000)</f>
        <v/>
      </c>
    </row>
    <row r="214">
      <c r="A214" s="31" t="n"/>
      <c r="B214" s="31" t="n"/>
      <c r="C214" s="33" t="n"/>
      <c r="D214" s="34" t="n"/>
      <c r="E214" s="33" t="n"/>
      <c r="F214" s="33" t="n"/>
      <c r="G214" s="31" t="n"/>
      <c r="H214" s="28">
        <f>IF(OR(I214="",I214="Feito",I214="Sem data"),"",D214-Config!$B$5)</f>
        <v/>
      </c>
      <c r="I214" s="25">
        <f>IF(AND(A214="",C214="",D214=""),"",IF(F214="Sim","Feito",IF(D214="","Sem data",IF(D214&lt;Config!$B$5,"Atrasado",IF(D214=Config!$B$5,"Hoje",IF(D214-Config!$B$5&lt;=Config!$B$6,"Até "&amp;Config!$B$6&amp;" dias",IF(D214-Config!$B$5&lt;=Config!$B$7,"Até "&amp;Config!$B$7&amp;" dias","Depois")))))))</f>
        <v/>
      </c>
      <c r="J214" s="35">
        <f>IF(OR(I214="",I214="Feito",I214="Sem data"),0,IF(I214="Atrasado",3000+MIN(Config!$B$5-D214,60),IF(I214="Hoje",2500,IF(D214-Config!$B$5&lt;=Config!$B$6,2000-(D214-Config!$B$5),IF(D214-Config!$B$5&lt;=Config!$B$7,1000-(D214-Config!$B$5),500-MIN(D214-Config!$B$5,400)))))-ROW()/100000)</f>
        <v/>
      </c>
    </row>
    <row r="215">
      <c r="A215" s="31" t="n"/>
      <c r="B215" s="31" t="n"/>
      <c r="C215" s="33" t="n"/>
      <c r="D215" s="34" t="n"/>
      <c r="E215" s="33" t="n"/>
      <c r="F215" s="33" t="n"/>
      <c r="G215" s="31" t="n"/>
      <c r="H215" s="28">
        <f>IF(OR(I215="",I215="Feito",I215="Sem data"),"",D215-Config!$B$5)</f>
        <v/>
      </c>
      <c r="I215" s="25">
        <f>IF(AND(A215="",C215="",D215=""),"",IF(F215="Sim","Feito",IF(D215="","Sem data",IF(D215&lt;Config!$B$5,"Atrasado",IF(D215=Config!$B$5,"Hoje",IF(D215-Config!$B$5&lt;=Config!$B$6,"Até "&amp;Config!$B$6&amp;" dias",IF(D215-Config!$B$5&lt;=Config!$B$7,"Até "&amp;Config!$B$7&amp;" dias","Depois")))))))</f>
        <v/>
      </c>
      <c r="J215" s="35">
        <f>IF(OR(I215="",I215="Feito",I215="Sem data"),0,IF(I215="Atrasado",3000+MIN(Config!$B$5-D215,60),IF(I215="Hoje",2500,IF(D215-Config!$B$5&lt;=Config!$B$6,2000-(D215-Config!$B$5),IF(D215-Config!$B$5&lt;=Config!$B$7,1000-(D215-Config!$B$5),500-MIN(D215-Config!$B$5,400)))))-ROW()/100000)</f>
        <v/>
      </c>
    </row>
    <row r="216">
      <c r="A216" s="31" t="n"/>
      <c r="B216" s="31" t="n"/>
      <c r="C216" s="33" t="n"/>
      <c r="D216" s="34" t="n"/>
      <c r="E216" s="33" t="n"/>
      <c r="F216" s="33" t="n"/>
      <c r="G216" s="31" t="n"/>
      <c r="H216" s="28">
        <f>IF(OR(I216="",I216="Feito",I216="Sem data"),"",D216-Config!$B$5)</f>
        <v/>
      </c>
      <c r="I216" s="25">
        <f>IF(AND(A216="",C216="",D216=""),"",IF(F216="Sim","Feito",IF(D216="","Sem data",IF(D216&lt;Config!$B$5,"Atrasado",IF(D216=Config!$B$5,"Hoje",IF(D216-Config!$B$5&lt;=Config!$B$6,"Até "&amp;Config!$B$6&amp;" dias",IF(D216-Config!$B$5&lt;=Config!$B$7,"Até "&amp;Config!$B$7&amp;" dias","Depois")))))))</f>
        <v/>
      </c>
      <c r="J216" s="35">
        <f>IF(OR(I216="",I216="Feito",I216="Sem data"),0,IF(I216="Atrasado",3000+MIN(Config!$B$5-D216,60),IF(I216="Hoje",2500,IF(D216-Config!$B$5&lt;=Config!$B$6,2000-(D216-Config!$B$5),IF(D216-Config!$B$5&lt;=Config!$B$7,1000-(D216-Config!$B$5),500-MIN(D216-Config!$B$5,400)))))-ROW()/100000)</f>
        <v/>
      </c>
    </row>
    <row r="217">
      <c r="A217" s="31" t="n"/>
      <c r="B217" s="31" t="n"/>
      <c r="C217" s="33" t="n"/>
      <c r="D217" s="34" t="n"/>
      <c r="E217" s="33" t="n"/>
      <c r="F217" s="33" t="n"/>
      <c r="G217" s="31" t="n"/>
      <c r="H217" s="28">
        <f>IF(OR(I217="",I217="Feito",I217="Sem data"),"",D217-Config!$B$5)</f>
        <v/>
      </c>
      <c r="I217" s="25">
        <f>IF(AND(A217="",C217="",D217=""),"",IF(F217="Sim","Feito",IF(D217="","Sem data",IF(D217&lt;Config!$B$5,"Atrasado",IF(D217=Config!$B$5,"Hoje",IF(D217-Config!$B$5&lt;=Config!$B$6,"Até "&amp;Config!$B$6&amp;" dias",IF(D217-Config!$B$5&lt;=Config!$B$7,"Até "&amp;Config!$B$7&amp;" dias","Depois")))))))</f>
        <v/>
      </c>
      <c r="J217" s="35">
        <f>IF(OR(I217="",I217="Feito",I217="Sem data"),0,IF(I217="Atrasado",3000+MIN(Config!$B$5-D217,60),IF(I217="Hoje",2500,IF(D217-Config!$B$5&lt;=Config!$B$6,2000-(D217-Config!$B$5),IF(D217-Config!$B$5&lt;=Config!$B$7,1000-(D217-Config!$B$5),500-MIN(D217-Config!$B$5,400)))))-ROW()/100000)</f>
        <v/>
      </c>
    </row>
    <row r="218">
      <c r="A218" s="31" t="n"/>
      <c r="B218" s="31" t="n"/>
      <c r="C218" s="33" t="n"/>
      <c r="D218" s="34" t="n"/>
      <c r="E218" s="33" t="n"/>
      <c r="F218" s="33" t="n"/>
      <c r="G218" s="31" t="n"/>
      <c r="H218" s="28">
        <f>IF(OR(I218="",I218="Feito",I218="Sem data"),"",D218-Config!$B$5)</f>
        <v/>
      </c>
      <c r="I218" s="25">
        <f>IF(AND(A218="",C218="",D218=""),"",IF(F218="Sim","Feito",IF(D218="","Sem data",IF(D218&lt;Config!$B$5,"Atrasado",IF(D218=Config!$B$5,"Hoje",IF(D218-Config!$B$5&lt;=Config!$B$6,"Até "&amp;Config!$B$6&amp;" dias",IF(D218-Config!$B$5&lt;=Config!$B$7,"Até "&amp;Config!$B$7&amp;" dias","Depois")))))))</f>
        <v/>
      </c>
      <c r="J218" s="35">
        <f>IF(OR(I218="",I218="Feito",I218="Sem data"),0,IF(I218="Atrasado",3000+MIN(Config!$B$5-D218,60),IF(I218="Hoje",2500,IF(D218-Config!$B$5&lt;=Config!$B$6,2000-(D218-Config!$B$5),IF(D218-Config!$B$5&lt;=Config!$B$7,1000-(D218-Config!$B$5),500-MIN(D218-Config!$B$5,400)))))-ROW()/100000)</f>
        <v/>
      </c>
    </row>
    <row r="219">
      <c r="A219" s="31" t="n"/>
      <c r="B219" s="31" t="n"/>
      <c r="C219" s="33" t="n"/>
      <c r="D219" s="34" t="n"/>
      <c r="E219" s="33" t="n"/>
      <c r="F219" s="33" t="n"/>
      <c r="G219" s="31" t="n"/>
      <c r="H219" s="28">
        <f>IF(OR(I219="",I219="Feito",I219="Sem data"),"",D219-Config!$B$5)</f>
        <v/>
      </c>
      <c r="I219" s="25">
        <f>IF(AND(A219="",C219="",D219=""),"",IF(F219="Sim","Feito",IF(D219="","Sem data",IF(D219&lt;Config!$B$5,"Atrasado",IF(D219=Config!$B$5,"Hoje",IF(D219-Config!$B$5&lt;=Config!$B$6,"Até "&amp;Config!$B$6&amp;" dias",IF(D219-Config!$B$5&lt;=Config!$B$7,"Até "&amp;Config!$B$7&amp;" dias","Depois")))))))</f>
        <v/>
      </c>
      <c r="J219" s="35">
        <f>IF(OR(I219="",I219="Feito",I219="Sem data"),0,IF(I219="Atrasado",3000+MIN(Config!$B$5-D219,60),IF(I219="Hoje",2500,IF(D219-Config!$B$5&lt;=Config!$B$6,2000-(D219-Config!$B$5),IF(D219-Config!$B$5&lt;=Config!$B$7,1000-(D219-Config!$B$5),500-MIN(D219-Config!$B$5,400)))))-ROW()/100000)</f>
        <v/>
      </c>
    </row>
    <row r="220">
      <c r="A220" s="31" t="n"/>
      <c r="B220" s="31" t="n"/>
      <c r="C220" s="33" t="n"/>
      <c r="D220" s="34" t="n"/>
      <c r="E220" s="33" t="n"/>
      <c r="F220" s="33" t="n"/>
      <c r="G220" s="31" t="n"/>
      <c r="H220" s="28">
        <f>IF(OR(I220="",I220="Feito",I220="Sem data"),"",D220-Config!$B$5)</f>
        <v/>
      </c>
      <c r="I220" s="25">
        <f>IF(AND(A220="",C220="",D220=""),"",IF(F220="Sim","Feito",IF(D220="","Sem data",IF(D220&lt;Config!$B$5,"Atrasado",IF(D220=Config!$B$5,"Hoje",IF(D220-Config!$B$5&lt;=Config!$B$6,"Até "&amp;Config!$B$6&amp;" dias",IF(D220-Config!$B$5&lt;=Config!$B$7,"Até "&amp;Config!$B$7&amp;" dias","Depois")))))))</f>
        <v/>
      </c>
      <c r="J220" s="35">
        <f>IF(OR(I220="",I220="Feito",I220="Sem data"),0,IF(I220="Atrasado",3000+MIN(Config!$B$5-D220,60),IF(I220="Hoje",2500,IF(D220-Config!$B$5&lt;=Config!$B$6,2000-(D220-Config!$B$5),IF(D220-Config!$B$5&lt;=Config!$B$7,1000-(D220-Config!$B$5),500-MIN(D220-Config!$B$5,400)))))-ROW()/100000)</f>
        <v/>
      </c>
    </row>
    <row r="221">
      <c r="A221" s="31" t="n"/>
      <c r="B221" s="31" t="n"/>
      <c r="C221" s="33" t="n"/>
      <c r="D221" s="34" t="n"/>
      <c r="E221" s="33" t="n"/>
      <c r="F221" s="33" t="n"/>
      <c r="G221" s="31" t="n"/>
      <c r="H221" s="28">
        <f>IF(OR(I221="",I221="Feito",I221="Sem data"),"",D221-Config!$B$5)</f>
        <v/>
      </c>
      <c r="I221" s="25">
        <f>IF(AND(A221="",C221="",D221=""),"",IF(F221="Sim","Feito",IF(D221="","Sem data",IF(D221&lt;Config!$B$5,"Atrasado",IF(D221=Config!$B$5,"Hoje",IF(D221-Config!$B$5&lt;=Config!$B$6,"Até "&amp;Config!$B$6&amp;" dias",IF(D221-Config!$B$5&lt;=Config!$B$7,"Até "&amp;Config!$B$7&amp;" dias","Depois")))))))</f>
        <v/>
      </c>
      <c r="J221" s="35">
        <f>IF(OR(I221="",I221="Feito",I221="Sem data"),0,IF(I221="Atrasado",3000+MIN(Config!$B$5-D221,60),IF(I221="Hoje",2500,IF(D221-Config!$B$5&lt;=Config!$B$6,2000-(D221-Config!$B$5),IF(D221-Config!$B$5&lt;=Config!$B$7,1000-(D221-Config!$B$5),500-MIN(D221-Config!$B$5,400)))))-ROW()/100000)</f>
        <v/>
      </c>
    </row>
    <row r="222">
      <c r="A222" s="31" t="n"/>
      <c r="B222" s="31" t="n"/>
      <c r="C222" s="33" t="n"/>
      <c r="D222" s="34" t="n"/>
      <c r="E222" s="33" t="n"/>
      <c r="F222" s="33" t="n"/>
      <c r="G222" s="31" t="n"/>
      <c r="H222" s="28">
        <f>IF(OR(I222="",I222="Feito",I222="Sem data"),"",D222-Config!$B$5)</f>
        <v/>
      </c>
      <c r="I222" s="25">
        <f>IF(AND(A222="",C222="",D222=""),"",IF(F222="Sim","Feito",IF(D222="","Sem data",IF(D222&lt;Config!$B$5,"Atrasado",IF(D222=Config!$B$5,"Hoje",IF(D222-Config!$B$5&lt;=Config!$B$6,"Até "&amp;Config!$B$6&amp;" dias",IF(D222-Config!$B$5&lt;=Config!$B$7,"Até "&amp;Config!$B$7&amp;" dias","Depois")))))))</f>
        <v/>
      </c>
      <c r="J222" s="35">
        <f>IF(OR(I222="",I222="Feito",I222="Sem data"),0,IF(I222="Atrasado",3000+MIN(Config!$B$5-D222,60),IF(I222="Hoje",2500,IF(D222-Config!$B$5&lt;=Config!$B$6,2000-(D222-Config!$B$5),IF(D222-Config!$B$5&lt;=Config!$B$7,1000-(D222-Config!$B$5),500-MIN(D222-Config!$B$5,400)))))-ROW()/100000)</f>
        <v/>
      </c>
    </row>
    <row r="223">
      <c r="A223" s="31" t="n"/>
      <c r="B223" s="31" t="n"/>
      <c r="C223" s="33" t="n"/>
      <c r="D223" s="34" t="n"/>
      <c r="E223" s="33" t="n"/>
      <c r="F223" s="33" t="n"/>
      <c r="G223" s="31" t="n"/>
      <c r="H223" s="28">
        <f>IF(OR(I223="",I223="Feito",I223="Sem data"),"",D223-Config!$B$5)</f>
        <v/>
      </c>
      <c r="I223" s="25">
        <f>IF(AND(A223="",C223="",D223=""),"",IF(F223="Sim","Feito",IF(D223="","Sem data",IF(D223&lt;Config!$B$5,"Atrasado",IF(D223=Config!$B$5,"Hoje",IF(D223-Config!$B$5&lt;=Config!$B$6,"Até "&amp;Config!$B$6&amp;" dias",IF(D223-Config!$B$5&lt;=Config!$B$7,"Até "&amp;Config!$B$7&amp;" dias","Depois")))))))</f>
        <v/>
      </c>
      <c r="J223" s="35">
        <f>IF(OR(I223="",I223="Feito",I223="Sem data"),0,IF(I223="Atrasado",3000+MIN(Config!$B$5-D223,60),IF(I223="Hoje",2500,IF(D223-Config!$B$5&lt;=Config!$B$6,2000-(D223-Config!$B$5),IF(D223-Config!$B$5&lt;=Config!$B$7,1000-(D223-Config!$B$5),500-MIN(D223-Config!$B$5,400)))))-ROW()/100000)</f>
        <v/>
      </c>
    </row>
    <row r="224">
      <c r="A224" s="31" t="n"/>
      <c r="B224" s="31" t="n"/>
      <c r="C224" s="33" t="n"/>
      <c r="D224" s="34" t="n"/>
      <c r="E224" s="33" t="n"/>
      <c r="F224" s="33" t="n"/>
      <c r="G224" s="31" t="n"/>
      <c r="H224" s="28">
        <f>IF(OR(I224="",I224="Feito",I224="Sem data"),"",D224-Config!$B$5)</f>
        <v/>
      </c>
      <c r="I224" s="25">
        <f>IF(AND(A224="",C224="",D224=""),"",IF(F224="Sim","Feito",IF(D224="","Sem data",IF(D224&lt;Config!$B$5,"Atrasado",IF(D224=Config!$B$5,"Hoje",IF(D224-Config!$B$5&lt;=Config!$B$6,"Até "&amp;Config!$B$6&amp;" dias",IF(D224-Config!$B$5&lt;=Config!$B$7,"Até "&amp;Config!$B$7&amp;" dias","Depois")))))))</f>
        <v/>
      </c>
      <c r="J224" s="35">
        <f>IF(OR(I224="",I224="Feito",I224="Sem data"),0,IF(I224="Atrasado",3000+MIN(Config!$B$5-D224,60),IF(I224="Hoje",2500,IF(D224-Config!$B$5&lt;=Config!$B$6,2000-(D224-Config!$B$5),IF(D224-Config!$B$5&lt;=Config!$B$7,1000-(D224-Config!$B$5),500-MIN(D224-Config!$B$5,400)))))-ROW()/100000)</f>
        <v/>
      </c>
    </row>
    <row r="225">
      <c r="A225" s="31" t="n"/>
      <c r="B225" s="31" t="n"/>
      <c r="C225" s="33" t="n"/>
      <c r="D225" s="34" t="n"/>
      <c r="E225" s="33" t="n"/>
      <c r="F225" s="33" t="n"/>
      <c r="G225" s="31" t="n"/>
      <c r="H225" s="28">
        <f>IF(OR(I225="",I225="Feito",I225="Sem data"),"",D225-Config!$B$5)</f>
        <v/>
      </c>
      <c r="I225" s="25">
        <f>IF(AND(A225="",C225="",D225=""),"",IF(F225="Sim","Feito",IF(D225="","Sem data",IF(D225&lt;Config!$B$5,"Atrasado",IF(D225=Config!$B$5,"Hoje",IF(D225-Config!$B$5&lt;=Config!$B$6,"Até "&amp;Config!$B$6&amp;" dias",IF(D225-Config!$B$5&lt;=Config!$B$7,"Até "&amp;Config!$B$7&amp;" dias","Depois")))))))</f>
        <v/>
      </c>
      <c r="J225" s="35">
        <f>IF(OR(I225="",I225="Feito",I225="Sem data"),0,IF(I225="Atrasado",3000+MIN(Config!$B$5-D225,60),IF(I225="Hoje",2500,IF(D225-Config!$B$5&lt;=Config!$B$6,2000-(D225-Config!$B$5),IF(D225-Config!$B$5&lt;=Config!$B$7,1000-(D225-Config!$B$5),500-MIN(D225-Config!$B$5,400)))))-ROW()/100000)</f>
        <v/>
      </c>
    </row>
    <row r="226">
      <c r="A226" s="31" t="n"/>
      <c r="B226" s="31" t="n"/>
      <c r="C226" s="33" t="n"/>
      <c r="D226" s="34" t="n"/>
      <c r="E226" s="33" t="n"/>
      <c r="F226" s="33" t="n"/>
      <c r="G226" s="31" t="n"/>
      <c r="H226" s="28">
        <f>IF(OR(I226="",I226="Feito",I226="Sem data"),"",D226-Config!$B$5)</f>
        <v/>
      </c>
      <c r="I226" s="25">
        <f>IF(AND(A226="",C226="",D226=""),"",IF(F226="Sim","Feito",IF(D226="","Sem data",IF(D226&lt;Config!$B$5,"Atrasado",IF(D226=Config!$B$5,"Hoje",IF(D226-Config!$B$5&lt;=Config!$B$6,"Até "&amp;Config!$B$6&amp;" dias",IF(D226-Config!$B$5&lt;=Config!$B$7,"Até "&amp;Config!$B$7&amp;" dias","Depois")))))))</f>
        <v/>
      </c>
      <c r="J226" s="35">
        <f>IF(OR(I226="",I226="Feito",I226="Sem data"),0,IF(I226="Atrasado",3000+MIN(Config!$B$5-D226,60),IF(I226="Hoje",2500,IF(D226-Config!$B$5&lt;=Config!$B$6,2000-(D226-Config!$B$5),IF(D226-Config!$B$5&lt;=Config!$B$7,1000-(D226-Config!$B$5),500-MIN(D226-Config!$B$5,400)))))-ROW()/100000)</f>
        <v/>
      </c>
    </row>
    <row r="227">
      <c r="A227" s="31" t="n"/>
      <c r="B227" s="31" t="n"/>
      <c r="C227" s="33" t="n"/>
      <c r="D227" s="34" t="n"/>
      <c r="E227" s="33" t="n"/>
      <c r="F227" s="33" t="n"/>
      <c r="G227" s="31" t="n"/>
      <c r="H227" s="28">
        <f>IF(OR(I227="",I227="Feito",I227="Sem data"),"",D227-Config!$B$5)</f>
        <v/>
      </c>
      <c r="I227" s="25">
        <f>IF(AND(A227="",C227="",D227=""),"",IF(F227="Sim","Feito",IF(D227="","Sem data",IF(D227&lt;Config!$B$5,"Atrasado",IF(D227=Config!$B$5,"Hoje",IF(D227-Config!$B$5&lt;=Config!$B$6,"Até "&amp;Config!$B$6&amp;" dias",IF(D227-Config!$B$5&lt;=Config!$B$7,"Até "&amp;Config!$B$7&amp;" dias","Depois")))))))</f>
        <v/>
      </c>
      <c r="J227" s="35">
        <f>IF(OR(I227="",I227="Feito",I227="Sem data"),0,IF(I227="Atrasado",3000+MIN(Config!$B$5-D227,60),IF(I227="Hoje",2500,IF(D227-Config!$B$5&lt;=Config!$B$6,2000-(D227-Config!$B$5),IF(D227-Config!$B$5&lt;=Config!$B$7,1000-(D227-Config!$B$5),500-MIN(D227-Config!$B$5,400)))))-ROW()/100000)</f>
        <v/>
      </c>
    </row>
    <row r="228">
      <c r="A228" s="31" t="n"/>
      <c r="B228" s="31" t="n"/>
      <c r="C228" s="33" t="n"/>
      <c r="D228" s="34" t="n"/>
      <c r="E228" s="33" t="n"/>
      <c r="F228" s="33" t="n"/>
      <c r="G228" s="31" t="n"/>
      <c r="H228" s="28">
        <f>IF(OR(I228="",I228="Feito",I228="Sem data"),"",D228-Config!$B$5)</f>
        <v/>
      </c>
      <c r="I228" s="25">
        <f>IF(AND(A228="",C228="",D228=""),"",IF(F228="Sim","Feito",IF(D228="","Sem data",IF(D228&lt;Config!$B$5,"Atrasado",IF(D228=Config!$B$5,"Hoje",IF(D228-Config!$B$5&lt;=Config!$B$6,"Até "&amp;Config!$B$6&amp;" dias",IF(D228-Config!$B$5&lt;=Config!$B$7,"Até "&amp;Config!$B$7&amp;" dias","Depois")))))))</f>
        <v/>
      </c>
      <c r="J228" s="35">
        <f>IF(OR(I228="",I228="Feito",I228="Sem data"),0,IF(I228="Atrasado",3000+MIN(Config!$B$5-D228,60),IF(I228="Hoje",2500,IF(D228-Config!$B$5&lt;=Config!$B$6,2000-(D228-Config!$B$5),IF(D228-Config!$B$5&lt;=Config!$B$7,1000-(D228-Config!$B$5),500-MIN(D228-Config!$B$5,400)))))-ROW()/100000)</f>
        <v/>
      </c>
    </row>
    <row r="229">
      <c r="A229" s="31" t="n"/>
      <c r="B229" s="31" t="n"/>
      <c r="C229" s="33" t="n"/>
      <c r="D229" s="34" t="n"/>
      <c r="E229" s="33" t="n"/>
      <c r="F229" s="33" t="n"/>
      <c r="G229" s="31" t="n"/>
      <c r="H229" s="28">
        <f>IF(OR(I229="",I229="Feito",I229="Sem data"),"",D229-Config!$B$5)</f>
        <v/>
      </c>
      <c r="I229" s="25">
        <f>IF(AND(A229="",C229="",D229=""),"",IF(F229="Sim","Feito",IF(D229="","Sem data",IF(D229&lt;Config!$B$5,"Atrasado",IF(D229=Config!$B$5,"Hoje",IF(D229-Config!$B$5&lt;=Config!$B$6,"Até "&amp;Config!$B$6&amp;" dias",IF(D229-Config!$B$5&lt;=Config!$B$7,"Até "&amp;Config!$B$7&amp;" dias","Depois")))))))</f>
        <v/>
      </c>
      <c r="J229" s="35">
        <f>IF(OR(I229="",I229="Feito",I229="Sem data"),0,IF(I229="Atrasado",3000+MIN(Config!$B$5-D229,60),IF(I229="Hoje",2500,IF(D229-Config!$B$5&lt;=Config!$B$6,2000-(D229-Config!$B$5),IF(D229-Config!$B$5&lt;=Config!$B$7,1000-(D229-Config!$B$5),500-MIN(D229-Config!$B$5,400)))))-ROW()/100000)</f>
        <v/>
      </c>
    </row>
    <row r="230">
      <c r="A230" s="31" t="n"/>
      <c r="B230" s="31" t="n"/>
      <c r="C230" s="33" t="n"/>
      <c r="D230" s="34" t="n"/>
      <c r="E230" s="33" t="n"/>
      <c r="F230" s="33" t="n"/>
      <c r="G230" s="31" t="n"/>
      <c r="H230" s="28">
        <f>IF(OR(I230="",I230="Feito",I230="Sem data"),"",D230-Config!$B$5)</f>
        <v/>
      </c>
      <c r="I230" s="25">
        <f>IF(AND(A230="",C230="",D230=""),"",IF(F230="Sim","Feito",IF(D230="","Sem data",IF(D230&lt;Config!$B$5,"Atrasado",IF(D230=Config!$B$5,"Hoje",IF(D230-Config!$B$5&lt;=Config!$B$6,"Até "&amp;Config!$B$6&amp;" dias",IF(D230-Config!$B$5&lt;=Config!$B$7,"Até "&amp;Config!$B$7&amp;" dias","Depois")))))))</f>
        <v/>
      </c>
      <c r="J230" s="35">
        <f>IF(OR(I230="",I230="Feito",I230="Sem data"),0,IF(I230="Atrasado",3000+MIN(Config!$B$5-D230,60),IF(I230="Hoje",2500,IF(D230-Config!$B$5&lt;=Config!$B$6,2000-(D230-Config!$B$5),IF(D230-Config!$B$5&lt;=Config!$B$7,1000-(D230-Config!$B$5),500-MIN(D230-Config!$B$5,400)))))-ROW()/100000)</f>
        <v/>
      </c>
    </row>
    <row r="231">
      <c r="A231" s="31" t="n"/>
      <c r="B231" s="31" t="n"/>
      <c r="C231" s="33" t="n"/>
      <c r="D231" s="34" t="n"/>
      <c r="E231" s="33" t="n"/>
      <c r="F231" s="33" t="n"/>
      <c r="G231" s="31" t="n"/>
      <c r="H231" s="28">
        <f>IF(OR(I231="",I231="Feito",I231="Sem data"),"",D231-Config!$B$5)</f>
        <v/>
      </c>
      <c r="I231" s="25">
        <f>IF(AND(A231="",C231="",D231=""),"",IF(F231="Sim","Feito",IF(D231="","Sem data",IF(D231&lt;Config!$B$5,"Atrasado",IF(D231=Config!$B$5,"Hoje",IF(D231-Config!$B$5&lt;=Config!$B$6,"Até "&amp;Config!$B$6&amp;" dias",IF(D231-Config!$B$5&lt;=Config!$B$7,"Até "&amp;Config!$B$7&amp;" dias","Depois")))))))</f>
        <v/>
      </c>
      <c r="J231" s="35">
        <f>IF(OR(I231="",I231="Feito",I231="Sem data"),0,IF(I231="Atrasado",3000+MIN(Config!$B$5-D231,60),IF(I231="Hoje",2500,IF(D231-Config!$B$5&lt;=Config!$B$6,2000-(D231-Config!$B$5),IF(D231-Config!$B$5&lt;=Config!$B$7,1000-(D231-Config!$B$5),500-MIN(D231-Config!$B$5,400)))))-ROW()/100000)</f>
        <v/>
      </c>
    </row>
    <row r="232">
      <c r="A232" s="31" t="n"/>
      <c r="B232" s="31" t="n"/>
      <c r="C232" s="33" t="n"/>
      <c r="D232" s="34" t="n"/>
      <c r="E232" s="33" t="n"/>
      <c r="F232" s="33" t="n"/>
      <c r="G232" s="31" t="n"/>
      <c r="H232" s="28">
        <f>IF(OR(I232="",I232="Feito",I232="Sem data"),"",D232-Config!$B$5)</f>
        <v/>
      </c>
      <c r="I232" s="25">
        <f>IF(AND(A232="",C232="",D232=""),"",IF(F232="Sim","Feito",IF(D232="","Sem data",IF(D232&lt;Config!$B$5,"Atrasado",IF(D232=Config!$B$5,"Hoje",IF(D232-Config!$B$5&lt;=Config!$B$6,"Até "&amp;Config!$B$6&amp;" dias",IF(D232-Config!$B$5&lt;=Config!$B$7,"Até "&amp;Config!$B$7&amp;" dias","Depois")))))))</f>
        <v/>
      </c>
      <c r="J232" s="35">
        <f>IF(OR(I232="",I232="Feito",I232="Sem data"),0,IF(I232="Atrasado",3000+MIN(Config!$B$5-D232,60),IF(I232="Hoje",2500,IF(D232-Config!$B$5&lt;=Config!$B$6,2000-(D232-Config!$B$5),IF(D232-Config!$B$5&lt;=Config!$B$7,1000-(D232-Config!$B$5),500-MIN(D232-Config!$B$5,400)))))-ROW()/100000)</f>
        <v/>
      </c>
    </row>
    <row r="233">
      <c r="A233" s="31" t="n"/>
      <c r="B233" s="31" t="n"/>
      <c r="C233" s="33" t="n"/>
      <c r="D233" s="34" t="n"/>
      <c r="E233" s="33" t="n"/>
      <c r="F233" s="33" t="n"/>
      <c r="G233" s="31" t="n"/>
      <c r="H233" s="28">
        <f>IF(OR(I233="",I233="Feito",I233="Sem data"),"",D233-Config!$B$5)</f>
        <v/>
      </c>
      <c r="I233" s="25">
        <f>IF(AND(A233="",C233="",D233=""),"",IF(F233="Sim","Feito",IF(D233="","Sem data",IF(D233&lt;Config!$B$5,"Atrasado",IF(D233=Config!$B$5,"Hoje",IF(D233-Config!$B$5&lt;=Config!$B$6,"Até "&amp;Config!$B$6&amp;" dias",IF(D233-Config!$B$5&lt;=Config!$B$7,"Até "&amp;Config!$B$7&amp;" dias","Depois")))))))</f>
        <v/>
      </c>
      <c r="J233" s="35">
        <f>IF(OR(I233="",I233="Feito",I233="Sem data"),0,IF(I233="Atrasado",3000+MIN(Config!$B$5-D233,60),IF(I233="Hoje",2500,IF(D233-Config!$B$5&lt;=Config!$B$6,2000-(D233-Config!$B$5),IF(D233-Config!$B$5&lt;=Config!$B$7,1000-(D233-Config!$B$5),500-MIN(D233-Config!$B$5,400)))))-ROW()/100000)</f>
        <v/>
      </c>
    </row>
    <row r="234">
      <c r="A234" s="31" t="n"/>
      <c r="B234" s="31" t="n"/>
      <c r="C234" s="33" t="n"/>
      <c r="D234" s="34" t="n"/>
      <c r="E234" s="33" t="n"/>
      <c r="F234" s="33" t="n"/>
      <c r="G234" s="31" t="n"/>
      <c r="H234" s="28">
        <f>IF(OR(I234="",I234="Feito",I234="Sem data"),"",D234-Config!$B$5)</f>
        <v/>
      </c>
      <c r="I234" s="25">
        <f>IF(AND(A234="",C234="",D234=""),"",IF(F234="Sim","Feito",IF(D234="","Sem data",IF(D234&lt;Config!$B$5,"Atrasado",IF(D234=Config!$B$5,"Hoje",IF(D234-Config!$B$5&lt;=Config!$B$6,"Até "&amp;Config!$B$6&amp;" dias",IF(D234-Config!$B$5&lt;=Config!$B$7,"Até "&amp;Config!$B$7&amp;" dias","Depois")))))))</f>
        <v/>
      </c>
      <c r="J234" s="35">
        <f>IF(OR(I234="",I234="Feito",I234="Sem data"),0,IF(I234="Atrasado",3000+MIN(Config!$B$5-D234,60),IF(I234="Hoje",2500,IF(D234-Config!$B$5&lt;=Config!$B$6,2000-(D234-Config!$B$5),IF(D234-Config!$B$5&lt;=Config!$B$7,1000-(D234-Config!$B$5),500-MIN(D234-Config!$B$5,400)))))-ROW()/100000)</f>
        <v/>
      </c>
    </row>
    <row r="235">
      <c r="A235" s="31" t="n"/>
      <c r="B235" s="31" t="n"/>
      <c r="C235" s="33" t="n"/>
      <c r="D235" s="34" t="n"/>
      <c r="E235" s="33" t="n"/>
      <c r="F235" s="33" t="n"/>
      <c r="G235" s="31" t="n"/>
      <c r="H235" s="28">
        <f>IF(OR(I235="",I235="Feito",I235="Sem data"),"",D235-Config!$B$5)</f>
        <v/>
      </c>
      <c r="I235" s="25">
        <f>IF(AND(A235="",C235="",D235=""),"",IF(F235="Sim","Feito",IF(D235="","Sem data",IF(D235&lt;Config!$B$5,"Atrasado",IF(D235=Config!$B$5,"Hoje",IF(D235-Config!$B$5&lt;=Config!$B$6,"Até "&amp;Config!$B$6&amp;" dias",IF(D235-Config!$B$5&lt;=Config!$B$7,"Até "&amp;Config!$B$7&amp;" dias","Depois")))))))</f>
        <v/>
      </c>
      <c r="J235" s="35">
        <f>IF(OR(I235="",I235="Feito",I235="Sem data"),0,IF(I235="Atrasado",3000+MIN(Config!$B$5-D235,60),IF(I235="Hoje",2500,IF(D235-Config!$B$5&lt;=Config!$B$6,2000-(D235-Config!$B$5),IF(D235-Config!$B$5&lt;=Config!$B$7,1000-(D235-Config!$B$5),500-MIN(D235-Config!$B$5,400)))))-ROW()/100000)</f>
        <v/>
      </c>
    </row>
    <row r="236">
      <c r="A236" s="31" t="n"/>
      <c r="B236" s="31" t="n"/>
      <c r="C236" s="33" t="n"/>
      <c r="D236" s="34" t="n"/>
      <c r="E236" s="33" t="n"/>
      <c r="F236" s="33" t="n"/>
      <c r="G236" s="31" t="n"/>
      <c r="H236" s="28">
        <f>IF(OR(I236="",I236="Feito",I236="Sem data"),"",D236-Config!$B$5)</f>
        <v/>
      </c>
      <c r="I236" s="25">
        <f>IF(AND(A236="",C236="",D236=""),"",IF(F236="Sim","Feito",IF(D236="","Sem data",IF(D236&lt;Config!$B$5,"Atrasado",IF(D236=Config!$B$5,"Hoje",IF(D236-Config!$B$5&lt;=Config!$B$6,"Até "&amp;Config!$B$6&amp;" dias",IF(D236-Config!$B$5&lt;=Config!$B$7,"Até "&amp;Config!$B$7&amp;" dias","Depois")))))))</f>
        <v/>
      </c>
      <c r="J236" s="35">
        <f>IF(OR(I236="",I236="Feito",I236="Sem data"),0,IF(I236="Atrasado",3000+MIN(Config!$B$5-D236,60),IF(I236="Hoje",2500,IF(D236-Config!$B$5&lt;=Config!$B$6,2000-(D236-Config!$B$5),IF(D236-Config!$B$5&lt;=Config!$B$7,1000-(D236-Config!$B$5),500-MIN(D236-Config!$B$5,400)))))-ROW()/100000)</f>
        <v/>
      </c>
    </row>
    <row r="237">
      <c r="A237" s="31" t="n"/>
      <c r="B237" s="31" t="n"/>
      <c r="C237" s="33" t="n"/>
      <c r="D237" s="34" t="n"/>
      <c r="E237" s="33" t="n"/>
      <c r="F237" s="33" t="n"/>
      <c r="G237" s="31" t="n"/>
      <c r="H237" s="28">
        <f>IF(OR(I237="",I237="Feito",I237="Sem data"),"",D237-Config!$B$5)</f>
        <v/>
      </c>
      <c r="I237" s="25">
        <f>IF(AND(A237="",C237="",D237=""),"",IF(F237="Sim","Feito",IF(D237="","Sem data",IF(D237&lt;Config!$B$5,"Atrasado",IF(D237=Config!$B$5,"Hoje",IF(D237-Config!$B$5&lt;=Config!$B$6,"Até "&amp;Config!$B$6&amp;" dias",IF(D237-Config!$B$5&lt;=Config!$B$7,"Até "&amp;Config!$B$7&amp;" dias","Depois")))))))</f>
        <v/>
      </c>
      <c r="J237" s="35">
        <f>IF(OR(I237="",I237="Feito",I237="Sem data"),0,IF(I237="Atrasado",3000+MIN(Config!$B$5-D237,60),IF(I237="Hoje",2500,IF(D237-Config!$B$5&lt;=Config!$B$6,2000-(D237-Config!$B$5),IF(D237-Config!$B$5&lt;=Config!$B$7,1000-(D237-Config!$B$5),500-MIN(D237-Config!$B$5,400)))))-ROW()/100000)</f>
        <v/>
      </c>
    </row>
    <row r="238">
      <c r="A238" s="31" t="n"/>
      <c r="B238" s="31" t="n"/>
      <c r="C238" s="33" t="n"/>
      <c r="D238" s="34" t="n"/>
      <c r="E238" s="33" t="n"/>
      <c r="F238" s="33" t="n"/>
      <c r="G238" s="31" t="n"/>
      <c r="H238" s="28">
        <f>IF(OR(I238="",I238="Feito",I238="Sem data"),"",D238-Config!$B$5)</f>
        <v/>
      </c>
      <c r="I238" s="25">
        <f>IF(AND(A238="",C238="",D238=""),"",IF(F238="Sim","Feito",IF(D238="","Sem data",IF(D238&lt;Config!$B$5,"Atrasado",IF(D238=Config!$B$5,"Hoje",IF(D238-Config!$B$5&lt;=Config!$B$6,"Até "&amp;Config!$B$6&amp;" dias",IF(D238-Config!$B$5&lt;=Config!$B$7,"Até "&amp;Config!$B$7&amp;" dias","Depois")))))))</f>
        <v/>
      </c>
      <c r="J238" s="35">
        <f>IF(OR(I238="",I238="Feito",I238="Sem data"),0,IF(I238="Atrasado",3000+MIN(Config!$B$5-D238,60),IF(I238="Hoje",2500,IF(D238-Config!$B$5&lt;=Config!$B$6,2000-(D238-Config!$B$5),IF(D238-Config!$B$5&lt;=Config!$B$7,1000-(D238-Config!$B$5),500-MIN(D238-Config!$B$5,400)))))-ROW()/100000)</f>
        <v/>
      </c>
    </row>
    <row r="239">
      <c r="A239" s="31" t="n"/>
      <c r="B239" s="31" t="n"/>
      <c r="C239" s="33" t="n"/>
      <c r="D239" s="34" t="n"/>
      <c r="E239" s="33" t="n"/>
      <c r="F239" s="33" t="n"/>
      <c r="G239" s="31" t="n"/>
      <c r="H239" s="28">
        <f>IF(OR(I239="",I239="Feito",I239="Sem data"),"",D239-Config!$B$5)</f>
        <v/>
      </c>
      <c r="I239" s="25">
        <f>IF(AND(A239="",C239="",D239=""),"",IF(F239="Sim","Feito",IF(D239="","Sem data",IF(D239&lt;Config!$B$5,"Atrasado",IF(D239=Config!$B$5,"Hoje",IF(D239-Config!$B$5&lt;=Config!$B$6,"Até "&amp;Config!$B$6&amp;" dias",IF(D239-Config!$B$5&lt;=Config!$B$7,"Até "&amp;Config!$B$7&amp;" dias","Depois")))))))</f>
        <v/>
      </c>
      <c r="J239" s="35">
        <f>IF(OR(I239="",I239="Feito",I239="Sem data"),0,IF(I239="Atrasado",3000+MIN(Config!$B$5-D239,60),IF(I239="Hoje",2500,IF(D239-Config!$B$5&lt;=Config!$B$6,2000-(D239-Config!$B$5),IF(D239-Config!$B$5&lt;=Config!$B$7,1000-(D239-Config!$B$5),500-MIN(D239-Config!$B$5,400)))))-ROW()/100000)</f>
        <v/>
      </c>
    </row>
    <row r="240">
      <c r="A240" s="31" t="n"/>
      <c r="B240" s="31" t="n"/>
      <c r="C240" s="33" t="n"/>
      <c r="D240" s="34" t="n"/>
      <c r="E240" s="33" t="n"/>
      <c r="F240" s="33" t="n"/>
      <c r="G240" s="31" t="n"/>
      <c r="H240" s="28">
        <f>IF(OR(I240="",I240="Feito",I240="Sem data"),"",D240-Config!$B$5)</f>
        <v/>
      </c>
      <c r="I240" s="25">
        <f>IF(AND(A240="",C240="",D240=""),"",IF(F240="Sim","Feito",IF(D240="","Sem data",IF(D240&lt;Config!$B$5,"Atrasado",IF(D240=Config!$B$5,"Hoje",IF(D240-Config!$B$5&lt;=Config!$B$6,"Até "&amp;Config!$B$6&amp;" dias",IF(D240-Config!$B$5&lt;=Config!$B$7,"Até "&amp;Config!$B$7&amp;" dias","Depois")))))))</f>
        <v/>
      </c>
      <c r="J240" s="35">
        <f>IF(OR(I240="",I240="Feito",I240="Sem data"),0,IF(I240="Atrasado",3000+MIN(Config!$B$5-D240,60),IF(I240="Hoje",2500,IF(D240-Config!$B$5&lt;=Config!$B$6,2000-(D240-Config!$B$5),IF(D240-Config!$B$5&lt;=Config!$B$7,1000-(D240-Config!$B$5),500-MIN(D240-Config!$B$5,400)))))-ROW()/100000)</f>
        <v/>
      </c>
    </row>
    <row r="241">
      <c r="A241" s="31" t="n"/>
      <c r="B241" s="31" t="n"/>
      <c r="C241" s="33" t="n"/>
      <c r="D241" s="34" t="n"/>
      <c r="E241" s="33" t="n"/>
      <c r="F241" s="33" t="n"/>
      <c r="G241" s="31" t="n"/>
      <c r="H241" s="28">
        <f>IF(OR(I241="",I241="Feito",I241="Sem data"),"",D241-Config!$B$5)</f>
        <v/>
      </c>
      <c r="I241" s="25">
        <f>IF(AND(A241="",C241="",D241=""),"",IF(F241="Sim","Feito",IF(D241="","Sem data",IF(D241&lt;Config!$B$5,"Atrasado",IF(D241=Config!$B$5,"Hoje",IF(D241-Config!$B$5&lt;=Config!$B$6,"Até "&amp;Config!$B$6&amp;" dias",IF(D241-Config!$B$5&lt;=Config!$B$7,"Até "&amp;Config!$B$7&amp;" dias","Depois")))))))</f>
        <v/>
      </c>
      <c r="J241" s="35">
        <f>IF(OR(I241="",I241="Feito",I241="Sem data"),0,IF(I241="Atrasado",3000+MIN(Config!$B$5-D241,60),IF(I241="Hoje",2500,IF(D241-Config!$B$5&lt;=Config!$B$6,2000-(D241-Config!$B$5),IF(D241-Config!$B$5&lt;=Config!$B$7,1000-(D241-Config!$B$5),500-MIN(D241-Config!$B$5,400)))))-ROW()/100000)</f>
        <v/>
      </c>
    </row>
    <row r="242">
      <c r="A242" s="31" t="n"/>
      <c r="B242" s="31" t="n"/>
      <c r="C242" s="33" t="n"/>
      <c r="D242" s="34" t="n"/>
      <c r="E242" s="33" t="n"/>
      <c r="F242" s="33" t="n"/>
      <c r="G242" s="31" t="n"/>
      <c r="H242" s="28">
        <f>IF(OR(I242="",I242="Feito",I242="Sem data"),"",D242-Config!$B$5)</f>
        <v/>
      </c>
      <c r="I242" s="25">
        <f>IF(AND(A242="",C242="",D242=""),"",IF(F242="Sim","Feito",IF(D242="","Sem data",IF(D242&lt;Config!$B$5,"Atrasado",IF(D242=Config!$B$5,"Hoje",IF(D242-Config!$B$5&lt;=Config!$B$6,"Até "&amp;Config!$B$6&amp;" dias",IF(D242-Config!$B$5&lt;=Config!$B$7,"Até "&amp;Config!$B$7&amp;" dias","Depois")))))))</f>
        <v/>
      </c>
      <c r="J242" s="35">
        <f>IF(OR(I242="",I242="Feito",I242="Sem data"),0,IF(I242="Atrasado",3000+MIN(Config!$B$5-D242,60),IF(I242="Hoje",2500,IF(D242-Config!$B$5&lt;=Config!$B$6,2000-(D242-Config!$B$5),IF(D242-Config!$B$5&lt;=Config!$B$7,1000-(D242-Config!$B$5),500-MIN(D242-Config!$B$5,400)))))-ROW()/100000)</f>
        <v/>
      </c>
    </row>
    <row r="243">
      <c r="A243" s="31" t="n"/>
      <c r="B243" s="31" t="n"/>
      <c r="C243" s="33" t="n"/>
      <c r="D243" s="34" t="n"/>
      <c r="E243" s="33" t="n"/>
      <c r="F243" s="33" t="n"/>
      <c r="G243" s="31" t="n"/>
      <c r="H243" s="28">
        <f>IF(OR(I243="",I243="Feito",I243="Sem data"),"",D243-Config!$B$5)</f>
        <v/>
      </c>
      <c r="I243" s="25">
        <f>IF(AND(A243="",C243="",D243=""),"",IF(F243="Sim","Feito",IF(D243="","Sem data",IF(D243&lt;Config!$B$5,"Atrasado",IF(D243=Config!$B$5,"Hoje",IF(D243-Config!$B$5&lt;=Config!$B$6,"Até "&amp;Config!$B$6&amp;" dias",IF(D243-Config!$B$5&lt;=Config!$B$7,"Até "&amp;Config!$B$7&amp;" dias","Depois")))))))</f>
        <v/>
      </c>
      <c r="J243" s="35">
        <f>IF(OR(I243="",I243="Feito",I243="Sem data"),0,IF(I243="Atrasado",3000+MIN(Config!$B$5-D243,60),IF(I243="Hoje",2500,IF(D243-Config!$B$5&lt;=Config!$B$6,2000-(D243-Config!$B$5),IF(D243-Config!$B$5&lt;=Config!$B$7,1000-(D243-Config!$B$5),500-MIN(D243-Config!$B$5,400)))))-ROW()/100000)</f>
        <v/>
      </c>
    </row>
    <row r="244">
      <c r="A244" s="31" t="n"/>
      <c r="B244" s="31" t="n"/>
      <c r="C244" s="33" t="n"/>
      <c r="D244" s="34" t="n"/>
      <c r="E244" s="33" t="n"/>
      <c r="F244" s="33" t="n"/>
      <c r="G244" s="31" t="n"/>
      <c r="H244" s="28">
        <f>IF(OR(I244="",I244="Feito",I244="Sem data"),"",D244-Config!$B$5)</f>
        <v/>
      </c>
      <c r="I244" s="25">
        <f>IF(AND(A244="",C244="",D244=""),"",IF(F244="Sim","Feito",IF(D244="","Sem data",IF(D244&lt;Config!$B$5,"Atrasado",IF(D244=Config!$B$5,"Hoje",IF(D244-Config!$B$5&lt;=Config!$B$6,"Até "&amp;Config!$B$6&amp;" dias",IF(D244-Config!$B$5&lt;=Config!$B$7,"Até "&amp;Config!$B$7&amp;" dias","Depois")))))))</f>
        <v/>
      </c>
      <c r="J244" s="35">
        <f>IF(OR(I244="",I244="Feito",I244="Sem data"),0,IF(I244="Atrasado",3000+MIN(Config!$B$5-D244,60),IF(I244="Hoje",2500,IF(D244-Config!$B$5&lt;=Config!$B$6,2000-(D244-Config!$B$5),IF(D244-Config!$B$5&lt;=Config!$B$7,1000-(D244-Config!$B$5),500-MIN(D244-Config!$B$5,400)))))-ROW()/100000)</f>
        <v/>
      </c>
    </row>
    <row r="245">
      <c r="A245" s="31" t="n"/>
      <c r="B245" s="31" t="n"/>
      <c r="C245" s="33" t="n"/>
      <c r="D245" s="34" t="n"/>
      <c r="E245" s="33" t="n"/>
      <c r="F245" s="33" t="n"/>
      <c r="G245" s="31" t="n"/>
      <c r="H245" s="28">
        <f>IF(OR(I245="",I245="Feito",I245="Sem data"),"",D245-Config!$B$5)</f>
        <v/>
      </c>
      <c r="I245" s="25">
        <f>IF(AND(A245="",C245="",D245=""),"",IF(F245="Sim","Feito",IF(D245="","Sem data",IF(D245&lt;Config!$B$5,"Atrasado",IF(D245=Config!$B$5,"Hoje",IF(D245-Config!$B$5&lt;=Config!$B$6,"Até "&amp;Config!$B$6&amp;" dias",IF(D245-Config!$B$5&lt;=Config!$B$7,"Até "&amp;Config!$B$7&amp;" dias","Depois")))))))</f>
        <v/>
      </c>
      <c r="J245" s="35">
        <f>IF(OR(I245="",I245="Feito",I245="Sem data"),0,IF(I245="Atrasado",3000+MIN(Config!$B$5-D245,60),IF(I245="Hoje",2500,IF(D245-Config!$B$5&lt;=Config!$B$6,2000-(D245-Config!$B$5),IF(D245-Config!$B$5&lt;=Config!$B$7,1000-(D245-Config!$B$5),500-MIN(D245-Config!$B$5,400)))))-ROW()/100000)</f>
        <v/>
      </c>
    </row>
    <row r="246">
      <c r="A246" s="31" t="n"/>
      <c r="B246" s="31" t="n"/>
      <c r="C246" s="33" t="n"/>
      <c r="D246" s="34" t="n"/>
      <c r="E246" s="33" t="n"/>
      <c r="F246" s="33" t="n"/>
      <c r="G246" s="31" t="n"/>
      <c r="H246" s="28">
        <f>IF(OR(I246="",I246="Feito",I246="Sem data"),"",D246-Config!$B$5)</f>
        <v/>
      </c>
      <c r="I246" s="25">
        <f>IF(AND(A246="",C246="",D246=""),"",IF(F246="Sim","Feito",IF(D246="","Sem data",IF(D246&lt;Config!$B$5,"Atrasado",IF(D246=Config!$B$5,"Hoje",IF(D246-Config!$B$5&lt;=Config!$B$6,"Até "&amp;Config!$B$6&amp;" dias",IF(D246-Config!$B$5&lt;=Config!$B$7,"Até "&amp;Config!$B$7&amp;" dias","Depois")))))))</f>
        <v/>
      </c>
      <c r="J246" s="35">
        <f>IF(OR(I246="",I246="Feito",I246="Sem data"),0,IF(I246="Atrasado",3000+MIN(Config!$B$5-D246,60),IF(I246="Hoje",2500,IF(D246-Config!$B$5&lt;=Config!$B$6,2000-(D246-Config!$B$5),IF(D246-Config!$B$5&lt;=Config!$B$7,1000-(D246-Config!$B$5),500-MIN(D246-Config!$B$5,400)))))-ROW()/100000)</f>
        <v/>
      </c>
    </row>
    <row r="247">
      <c r="A247" s="31" t="n"/>
      <c r="B247" s="31" t="n"/>
      <c r="C247" s="33" t="n"/>
      <c r="D247" s="34" t="n"/>
      <c r="E247" s="33" t="n"/>
      <c r="F247" s="33" t="n"/>
      <c r="G247" s="31" t="n"/>
      <c r="H247" s="28">
        <f>IF(OR(I247="",I247="Feito",I247="Sem data"),"",D247-Config!$B$5)</f>
        <v/>
      </c>
      <c r="I247" s="25">
        <f>IF(AND(A247="",C247="",D247=""),"",IF(F247="Sim","Feito",IF(D247="","Sem data",IF(D247&lt;Config!$B$5,"Atrasado",IF(D247=Config!$B$5,"Hoje",IF(D247-Config!$B$5&lt;=Config!$B$6,"Até "&amp;Config!$B$6&amp;" dias",IF(D247-Config!$B$5&lt;=Config!$B$7,"Até "&amp;Config!$B$7&amp;" dias","Depois")))))))</f>
        <v/>
      </c>
      <c r="J247" s="35">
        <f>IF(OR(I247="",I247="Feito",I247="Sem data"),0,IF(I247="Atrasado",3000+MIN(Config!$B$5-D247,60),IF(I247="Hoje",2500,IF(D247-Config!$B$5&lt;=Config!$B$6,2000-(D247-Config!$B$5),IF(D247-Config!$B$5&lt;=Config!$B$7,1000-(D247-Config!$B$5),500-MIN(D247-Config!$B$5,400)))))-ROW()/100000)</f>
        <v/>
      </c>
    </row>
    <row r="248">
      <c r="A248" s="31" t="n"/>
      <c r="B248" s="31" t="n"/>
      <c r="C248" s="33" t="n"/>
      <c r="D248" s="34" t="n"/>
      <c r="E248" s="33" t="n"/>
      <c r="F248" s="33" t="n"/>
      <c r="G248" s="31" t="n"/>
      <c r="H248" s="28">
        <f>IF(OR(I248="",I248="Feito",I248="Sem data"),"",D248-Config!$B$5)</f>
        <v/>
      </c>
      <c r="I248" s="25">
        <f>IF(AND(A248="",C248="",D248=""),"",IF(F248="Sim","Feito",IF(D248="","Sem data",IF(D248&lt;Config!$B$5,"Atrasado",IF(D248=Config!$B$5,"Hoje",IF(D248-Config!$B$5&lt;=Config!$B$6,"Até "&amp;Config!$B$6&amp;" dias",IF(D248-Config!$B$5&lt;=Config!$B$7,"Até "&amp;Config!$B$7&amp;" dias","Depois")))))))</f>
        <v/>
      </c>
      <c r="J248" s="35">
        <f>IF(OR(I248="",I248="Feito",I248="Sem data"),0,IF(I248="Atrasado",3000+MIN(Config!$B$5-D248,60),IF(I248="Hoje",2500,IF(D248-Config!$B$5&lt;=Config!$B$6,2000-(D248-Config!$B$5),IF(D248-Config!$B$5&lt;=Config!$B$7,1000-(D248-Config!$B$5),500-MIN(D248-Config!$B$5,400)))))-ROW()/100000)</f>
        <v/>
      </c>
    </row>
    <row r="249">
      <c r="A249" s="31" t="n"/>
      <c r="B249" s="31" t="n"/>
      <c r="C249" s="33" t="n"/>
      <c r="D249" s="34" t="n"/>
      <c r="E249" s="33" t="n"/>
      <c r="F249" s="33" t="n"/>
      <c r="G249" s="31" t="n"/>
      <c r="H249" s="28">
        <f>IF(OR(I249="",I249="Feito",I249="Sem data"),"",D249-Config!$B$5)</f>
        <v/>
      </c>
      <c r="I249" s="25">
        <f>IF(AND(A249="",C249="",D249=""),"",IF(F249="Sim","Feito",IF(D249="","Sem data",IF(D249&lt;Config!$B$5,"Atrasado",IF(D249=Config!$B$5,"Hoje",IF(D249-Config!$B$5&lt;=Config!$B$6,"Até "&amp;Config!$B$6&amp;" dias",IF(D249-Config!$B$5&lt;=Config!$B$7,"Até "&amp;Config!$B$7&amp;" dias","Depois")))))))</f>
        <v/>
      </c>
      <c r="J249" s="35">
        <f>IF(OR(I249="",I249="Feito",I249="Sem data"),0,IF(I249="Atrasado",3000+MIN(Config!$B$5-D249,60),IF(I249="Hoje",2500,IF(D249-Config!$B$5&lt;=Config!$B$6,2000-(D249-Config!$B$5),IF(D249-Config!$B$5&lt;=Config!$B$7,1000-(D249-Config!$B$5),500-MIN(D249-Config!$B$5,400)))))-ROW()/100000)</f>
        <v/>
      </c>
    </row>
    <row r="250">
      <c r="A250" s="31" t="n"/>
      <c r="B250" s="31" t="n"/>
      <c r="C250" s="33" t="n"/>
      <c r="D250" s="34" t="n"/>
      <c r="E250" s="33" t="n"/>
      <c r="F250" s="33" t="n"/>
      <c r="G250" s="31" t="n"/>
      <c r="H250" s="28">
        <f>IF(OR(I250="",I250="Feito",I250="Sem data"),"",D250-Config!$B$5)</f>
        <v/>
      </c>
      <c r="I250" s="25">
        <f>IF(AND(A250="",C250="",D250=""),"",IF(F250="Sim","Feito",IF(D250="","Sem data",IF(D250&lt;Config!$B$5,"Atrasado",IF(D250=Config!$B$5,"Hoje",IF(D250-Config!$B$5&lt;=Config!$B$6,"Até "&amp;Config!$B$6&amp;" dias",IF(D250-Config!$B$5&lt;=Config!$B$7,"Até "&amp;Config!$B$7&amp;" dias","Depois")))))))</f>
        <v/>
      </c>
      <c r="J250" s="35">
        <f>IF(OR(I250="",I250="Feito",I250="Sem data"),0,IF(I250="Atrasado",3000+MIN(Config!$B$5-D250,60),IF(I250="Hoje",2500,IF(D250-Config!$B$5&lt;=Config!$B$6,2000-(D250-Config!$B$5),IF(D250-Config!$B$5&lt;=Config!$B$7,1000-(D250-Config!$B$5),500-MIN(D250-Config!$B$5,400)))))-ROW()/100000)</f>
        <v/>
      </c>
    </row>
    <row r="251">
      <c r="A251" s="31" t="n"/>
      <c r="B251" s="31" t="n"/>
      <c r="C251" s="33" t="n"/>
      <c r="D251" s="34" t="n"/>
      <c r="E251" s="33" t="n"/>
      <c r="F251" s="33" t="n"/>
      <c r="G251" s="31" t="n"/>
      <c r="H251" s="28">
        <f>IF(OR(I251="",I251="Feito",I251="Sem data"),"",D251-Config!$B$5)</f>
        <v/>
      </c>
      <c r="I251" s="25">
        <f>IF(AND(A251="",C251="",D251=""),"",IF(F251="Sim","Feito",IF(D251="","Sem data",IF(D251&lt;Config!$B$5,"Atrasado",IF(D251=Config!$B$5,"Hoje",IF(D251-Config!$B$5&lt;=Config!$B$6,"Até "&amp;Config!$B$6&amp;" dias",IF(D251-Config!$B$5&lt;=Config!$B$7,"Até "&amp;Config!$B$7&amp;" dias","Depois")))))))</f>
        <v/>
      </c>
      <c r="J251" s="35">
        <f>IF(OR(I251="",I251="Feito",I251="Sem data"),0,IF(I251="Atrasado",3000+MIN(Config!$B$5-D251,60),IF(I251="Hoje",2500,IF(D251-Config!$B$5&lt;=Config!$B$6,2000-(D251-Config!$B$5),IF(D251-Config!$B$5&lt;=Config!$B$7,1000-(D251-Config!$B$5),500-MIN(D251-Config!$B$5,400)))))-ROW()/100000)</f>
        <v/>
      </c>
    </row>
    <row r="252">
      <c r="A252" s="31" t="n"/>
      <c r="B252" s="31" t="n"/>
      <c r="C252" s="33" t="n"/>
      <c r="D252" s="34" t="n"/>
      <c r="E252" s="33" t="n"/>
      <c r="F252" s="33" t="n"/>
      <c r="G252" s="31" t="n"/>
      <c r="H252" s="28">
        <f>IF(OR(I252="",I252="Feito",I252="Sem data"),"",D252-Config!$B$5)</f>
        <v/>
      </c>
      <c r="I252" s="25">
        <f>IF(AND(A252="",C252="",D252=""),"",IF(F252="Sim","Feito",IF(D252="","Sem data",IF(D252&lt;Config!$B$5,"Atrasado",IF(D252=Config!$B$5,"Hoje",IF(D252-Config!$B$5&lt;=Config!$B$6,"Até "&amp;Config!$B$6&amp;" dias",IF(D252-Config!$B$5&lt;=Config!$B$7,"Até "&amp;Config!$B$7&amp;" dias","Depois")))))))</f>
        <v/>
      </c>
      <c r="J252" s="35">
        <f>IF(OR(I252="",I252="Feito",I252="Sem data"),0,IF(I252="Atrasado",3000+MIN(Config!$B$5-D252,60),IF(I252="Hoje",2500,IF(D252-Config!$B$5&lt;=Config!$B$6,2000-(D252-Config!$B$5),IF(D252-Config!$B$5&lt;=Config!$B$7,1000-(D252-Config!$B$5),500-MIN(D252-Config!$B$5,400)))))-ROW()/100000)</f>
        <v/>
      </c>
    </row>
    <row r="253">
      <c r="A253" s="31" t="n"/>
      <c r="B253" s="31" t="n"/>
      <c r="C253" s="33" t="n"/>
      <c r="D253" s="34" t="n"/>
      <c r="E253" s="33" t="n"/>
      <c r="F253" s="33" t="n"/>
      <c r="G253" s="31" t="n"/>
      <c r="H253" s="28">
        <f>IF(OR(I253="",I253="Feito",I253="Sem data"),"",D253-Config!$B$5)</f>
        <v/>
      </c>
      <c r="I253" s="25">
        <f>IF(AND(A253="",C253="",D253=""),"",IF(F253="Sim","Feito",IF(D253="","Sem data",IF(D253&lt;Config!$B$5,"Atrasado",IF(D253=Config!$B$5,"Hoje",IF(D253-Config!$B$5&lt;=Config!$B$6,"Até "&amp;Config!$B$6&amp;" dias",IF(D253-Config!$B$5&lt;=Config!$B$7,"Até "&amp;Config!$B$7&amp;" dias","Depois")))))))</f>
        <v/>
      </c>
      <c r="J253" s="35">
        <f>IF(OR(I253="",I253="Feito",I253="Sem data"),0,IF(I253="Atrasado",3000+MIN(Config!$B$5-D253,60),IF(I253="Hoje",2500,IF(D253-Config!$B$5&lt;=Config!$B$6,2000-(D253-Config!$B$5),IF(D253-Config!$B$5&lt;=Config!$B$7,1000-(D253-Config!$B$5),500-MIN(D253-Config!$B$5,400)))))-ROW()/100000)</f>
        <v/>
      </c>
    </row>
    <row r="254">
      <c r="A254" s="31" t="n"/>
      <c r="B254" s="31" t="n"/>
      <c r="C254" s="33" t="n"/>
      <c r="D254" s="34" t="n"/>
      <c r="E254" s="33" t="n"/>
      <c r="F254" s="33" t="n"/>
      <c r="G254" s="31" t="n"/>
      <c r="H254" s="28">
        <f>IF(OR(I254="",I254="Feito",I254="Sem data"),"",D254-Config!$B$5)</f>
        <v/>
      </c>
      <c r="I254" s="25">
        <f>IF(AND(A254="",C254="",D254=""),"",IF(F254="Sim","Feito",IF(D254="","Sem data",IF(D254&lt;Config!$B$5,"Atrasado",IF(D254=Config!$B$5,"Hoje",IF(D254-Config!$B$5&lt;=Config!$B$6,"Até "&amp;Config!$B$6&amp;" dias",IF(D254-Config!$B$5&lt;=Config!$B$7,"Até "&amp;Config!$B$7&amp;" dias","Depois")))))))</f>
        <v/>
      </c>
      <c r="J254" s="35">
        <f>IF(OR(I254="",I254="Feito",I254="Sem data"),0,IF(I254="Atrasado",3000+MIN(Config!$B$5-D254,60),IF(I254="Hoje",2500,IF(D254-Config!$B$5&lt;=Config!$B$6,2000-(D254-Config!$B$5),IF(D254-Config!$B$5&lt;=Config!$B$7,1000-(D254-Config!$B$5),500-MIN(D254-Config!$B$5,400)))))-ROW()/100000)</f>
        <v/>
      </c>
    </row>
    <row r="255">
      <c r="A255" s="31" t="n"/>
      <c r="B255" s="31" t="n"/>
      <c r="C255" s="33" t="n"/>
      <c r="D255" s="34" t="n"/>
      <c r="E255" s="33" t="n"/>
      <c r="F255" s="33" t="n"/>
      <c r="G255" s="31" t="n"/>
      <c r="H255" s="28">
        <f>IF(OR(I255="",I255="Feito",I255="Sem data"),"",D255-Config!$B$5)</f>
        <v/>
      </c>
      <c r="I255" s="25">
        <f>IF(AND(A255="",C255="",D255=""),"",IF(F255="Sim","Feito",IF(D255="","Sem data",IF(D255&lt;Config!$B$5,"Atrasado",IF(D255=Config!$B$5,"Hoje",IF(D255-Config!$B$5&lt;=Config!$B$6,"Até "&amp;Config!$B$6&amp;" dias",IF(D255-Config!$B$5&lt;=Config!$B$7,"Até "&amp;Config!$B$7&amp;" dias","Depois")))))))</f>
        <v/>
      </c>
      <c r="J255" s="35">
        <f>IF(OR(I255="",I255="Feito",I255="Sem data"),0,IF(I255="Atrasado",3000+MIN(Config!$B$5-D255,60),IF(I255="Hoje",2500,IF(D255-Config!$B$5&lt;=Config!$B$6,2000-(D255-Config!$B$5),IF(D255-Config!$B$5&lt;=Config!$B$7,1000-(D255-Config!$B$5),500-MIN(D255-Config!$B$5,400)))))-ROW()/100000)</f>
        <v/>
      </c>
    </row>
    <row r="256">
      <c r="A256" s="31" t="n"/>
      <c r="B256" s="31" t="n"/>
      <c r="C256" s="33" t="n"/>
      <c r="D256" s="34" t="n"/>
      <c r="E256" s="33" t="n"/>
      <c r="F256" s="33" t="n"/>
      <c r="G256" s="31" t="n"/>
      <c r="H256" s="28">
        <f>IF(OR(I256="",I256="Feito",I256="Sem data"),"",D256-Config!$B$5)</f>
        <v/>
      </c>
      <c r="I256" s="25">
        <f>IF(AND(A256="",C256="",D256=""),"",IF(F256="Sim","Feito",IF(D256="","Sem data",IF(D256&lt;Config!$B$5,"Atrasado",IF(D256=Config!$B$5,"Hoje",IF(D256-Config!$B$5&lt;=Config!$B$6,"Até "&amp;Config!$B$6&amp;" dias",IF(D256-Config!$B$5&lt;=Config!$B$7,"Até "&amp;Config!$B$7&amp;" dias","Depois")))))))</f>
        <v/>
      </c>
      <c r="J256" s="35">
        <f>IF(OR(I256="",I256="Feito",I256="Sem data"),0,IF(I256="Atrasado",3000+MIN(Config!$B$5-D256,60),IF(I256="Hoje",2500,IF(D256-Config!$B$5&lt;=Config!$B$6,2000-(D256-Config!$B$5),IF(D256-Config!$B$5&lt;=Config!$B$7,1000-(D256-Config!$B$5),500-MIN(D256-Config!$B$5,400)))))-ROW()/100000)</f>
        <v/>
      </c>
    </row>
    <row r="257">
      <c r="A257" s="31" t="n"/>
      <c r="B257" s="31" t="n"/>
      <c r="C257" s="33" t="n"/>
      <c r="D257" s="34" t="n"/>
      <c r="E257" s="33" t="n"/>
      <c r="F257" s="33" t="n"/>
      <c r="G257" s="31" t="n"/>
      <c r="H257" s="28">
        <f>IF(OR(I257="",I257="Feito",I257="Sem data"),"",D257-Config!$B$5)</f>
        <v/>
      </c>
      <c r="I257" s="25">
        <f>IF(AND(A257="",C257="",D257=""),"",IF(F257="Sim","Feito",IF(D257="","Sem data",IF(D257&lt;Config!$B$5,"Atrasado",IF(D257=Config!$B$5,"Hoje",IF(D257-Config!$B$5&lt;=Config!$B$6,"Até "&amp;Config!$B$6&amp;" dias",IF(D257-Config!$B$5&lt;=Config!$B$7,"Até "&amp;Config!$B$7&amp;" dias","Depois")))))))</f>
        <v/>
      </c>
      <c r="J257" s="35">
        <f>IF(OR(I257="",I257="Feito",I257="Sem data"),0,IF(I257="Atrasado",3000+MIN(Config!$B$5-D257,60),IF(I257="Hoje",2500,IF(D257-Config!$B$5&lt;=Config!$B$6,2000-(D257-Config!$B$5),IF(D257-Config!$B$5&lt;=Config!$B$7,1000-(D257-Config!$B$5),500-MIN(D257-Config!$B$5,400)))))-ROW()/100000)</f>
        <v/>
      </c>
    </row>
    <row r="258">
      <c r="A258" s="31" t="n"/>
      <c r="B258" s="31" t="n"/>
      <c r="C258" s="33" t="n"/>
      <c r="D258" s="34" t="n"/>
      <c r="E258" s="33" t="n"/>
      <c r="F258" s="33" t="n"/>
      <c r="G258" s="31" t="n"/>
      <c r="H258" s="28">
        <f>IF(OR(I258="",I258="Feito",I258="Sem data"),"",D258-Config!$B$5)</f>
        <v/>
      </c>
      <c r="I258" s="25">
        <f>IF(AND(A258="",C258="",D258=""),"",IF(F258="Sim","Feito",IF(D258="","Sem data",IF(D258&lt;Config!$B$5,"Atrasado",IF(D258=Config!$B$5,"Hoje",IF(D258-Config!$B$5&lt;=Config!$B$6,"Até "&amp;Config!$B$6&amp;" dias",IF(D258-Config!$B$5&lt;=Config!$B$7,"Até "&amp;Config!$B$7&amp;" dias","Depois")))))))</f>
        <v/>
      </c>
      <c r="J258" s="35">
        <f>IF(OR(I258="",I258="Feito",I258="Sem data"),0,IF(I258="Atrasado",3000+MIN(Config!$B$5-D258,60),IF(I258="Hoje",2500,IF(D258-Config!$B$5&lt;=Config!$B$6,2000-(D258-Config!$B$5),IF(D258-Config!$B$5&lt;=Config!$B$7,1000-(D258-Config!$B$5),500-MIN(D258-Config!$B$5,400)))))-ROW()/100000)</f>
        <v/>
      </c>
    </row>
    <row r="259">
      <c r="A259" s="31" t="n"/>
      <c r="B259" s="31" t="n"/>
      <c r="C259" s="33" t="n"/>
      <c r="D259" s="34" t="n"/>
      <c r="E259" s="33" t="n"/>
      <c r="F259" s="33" t="n"/>
      <c r="G259" s="31" t="n"/>
      <c r="H259" s="28">
        <f>IF(OR(I259="",I259="Feito",I259="Sem data"),"",D259-Config!$B$5)</f>
        <v/>
      </c>
      <c r="I259" s="25">
        <f>IF(AND(A259="",C259="",D259=""),"",IF(F259="Sim","Feito",IF(D259="","Sem data",IF(D259&lt;Config!$B$5,"Atrasado",IF(D259=Config!$B$5,"Hoje",IF(D259-Config!$B$5&lt;=Config!$B$6,"Até "&amp;Config!$B$6&amp;" dias",IF(D259-Config!$B$5&lt;=Config!$B$7,"Até "&amp;Config!$B$7&amp;" dias","Depois")))))))</f>
        <v/>
      </c>
      <c r="J259" s="35">
        <f>IF(OR(I259="",I259="Feito",I259="Sem data"),0,IF(I259="Atrasado",3000+MIN(Config!$B$5-D259,60),IF(I259="Hoje",2500,IF(D259-Config!$B$5&lt;=Config!$B$6,2000-(D259-Config!$B$5),IF(D259-Config!$B$5&lt;=Config!$B$7,1000-(D259-Config!$B$5),500-MIN(D259-Config!$B$5,400)))))-ROW()/100000)</f>
        <v/>
      </c>
    </row>
    <row r="260">
      <c r="A260" s="31" t="n"/>
      <c r="B260" s="31" t="n"/>
      <c r="C260" s="33" t="n"/>
      <c r="D260" s="34" t="n"/>
      <c r="E260" s="33" t="n"/>
      <c r="F260" s="33" t="n"/>
      <c r="G260" s="31" t="n"/>
      <c r="H260" s="28">
        <f>IF(OR(I260="",I260="Feito",I260="Sem data"),"",D260-Config!$B$5)</f>
        <v/>
      </c>
      <c r="I260" s="25">
        <f>IF(AND(A260="",C260="",D260=""),"",IF(F260="Sim","Feito",IF(D260="","Sem data",IF(D260&lt;Config!$B$5,"Atrasado",IF(D260=Config!$B$5,"Hoje",IF(D260-Config!$B$5&lt;=Config!$B$6,"Até "&amp;Config!$B$6&amp;" dias",IF(D260-Config!$B$5&lt;=Config!$B$7,"Até "&amp;Config!$B$7&amp;" dias","Depois")))))))</f>
        <v/>
      </c>
      <c r="J260" s="35">
        <f>IF(OR(I260="",I260="Feito",I260="Sem data"),0,IF(I260="Atrasado",3000+MIN(Config!$B$5-D260,60),IF(I260="Hoje",2500,IF(D260-Config!$B$5&lt;=Config!$B$6,2000-(D260-Config!$B$5),IF(D260-Config!$B$5&lt;=Config!$B$7,1000-(D260-Config!$B$5),500-MIN(D260-Config!$B$5,400)))))-ROW()/100000)</f>
        <v/>
      </c>
    </row>
    <row r="261">
      <c r="A261" s="31" t="n"/>
      <c r="B261" s="31" t="n"/>
      <c r="C261" s="33" t="n"/>
      <c r="D261" s="34" t="n"/>
      <c r="E261" s="33" t="n"/>
      <c r="F261" s="33" t="n"/>
      <c r="G261" s="31" t="n"/>
      <c r="H261" s="28">
        <f>IF(OR(I261="",I261="Feito",I261="Sem data"),"",D261-Config!$B$5)</f>
        <v/>
      </c>
      <c r="I261" s="25">
        <f>IF(AND(A261="",C261="",D261=""),"",IF(F261="Sim","Feito",IF(D261="","Sem data",IF(D261&lt;Config!$B$5,"Atrasado",IF(D261=Config!$B$5,"Hoje",IF(D261-Config!$B$5&lt;=Config!$B$6,"Até "&amp;Config!$B$6&amp;" dias",IF(D261-Config!$B$5&lt;=Config!$B$7,"Até "&amp;Config!$B$7&amp;" dias","Depois")))))))</f>
        <v/>
      </c>
      <c r="J261" s="35">
        <f>IF(OR(I261="",I261="Feito",I261="Sem data"),0,IF(I261="Atrasado",3000+MIN(Config!$B$5-D261,60),IF(I261="Hoje",2500,IF(D261-Config!$B$5&lt;=Config!$B$6,2000-(D261-Config!$B$5),IF(D261-Config!$B$5&lt;=Config!$B$7,1000-(D261-Config!$B$5),500-MIN(D261-Config!$B$5,400)))))-ROW()/100000)</f>
        <v/>
      </c>
    </row>
    <row r="262">
      <c r="A262" s="31" t="n"/>
      <c r="B262" s="31" t="n"/>
      <c r="C262" s="33" t="n"/>
      <c r="D262" s="34" t="n"/>
      <c r="E262" s="33" t="n"/>
      <c r="F262" s="33" t="n"/>
      <c r="G262" s="31" t="n"/>
      <c r="H262" s="28">
        <f>IF(OR(I262="",I262="Feito",I262="Sem data"),"",D262-Config!$B$5)</f>
        <v/>
      </c>
      <c r="I262" s="25">
        <f>IF(AND(A262="",C262="",D262=""),"",IF(F262="Sim","Feito",IF(D262="","Sem data",IF(D262&lt;Config!$B$5,"Atrasado",IF(D262=Config!$B$5,"Hoje",IF(D262-Config!$B$5&lt;=Config!$B$6,"Até "&amp;Config!$B$6&amp;" dias",IF(D262-Config!$B$5&lt;=Config!$B$7,"Até "&amp;Config!$B$7&amp;" dias","Depois")))))))</f>
        <v/>
      </c>
      <c r="J262" s="35">
        <f>IF(OR(I262="",I262="Feito",I262="Sem data"),0,IF(I262="Atrasado",3000+MIN(Config!$B$5-D262,60),IF(I262="Hoje",2500,IF(D262-Config!$B$5&lt;=Config!$B$6,2000-(D262-Config!$B$5),IF(D262-Config!$B$5&lt;=Config!$B$7,1000-(D262-Config!$B$5),500-MIN(D262-Config!$B$5,400)))))-ROW()/100000)</f>
        <v/>
      </c>
    </row>
    <row r="263">
      <c r="A263" s="31" t="n"/>
      <c r="B263" s="31" t="n"/>
      <c r="C263" s="33" t="n"/>
      <c r="D263" s="34" t="n"/>
      <c r="E263" s="33" t="n"/>
      <c r="F263" s="33" t="n"/>
      <c r="G263" s="31" t="n"/>
      <c r="H263" s="28">
        <f>IF(OR(I263="",I263="Feito",I263="Sem data"),"",D263-Config!$B$5)</f>
        <v/>
      </c>
      <c r="I263" s="25">
        <f>IF(AND(A263="",C263="",D263=""),"",IF(F263="Sim","Feito",IF(D263="","Sem data",IF(D263&lt;Config!$B$5,"Atrasado",IF(D263=Config!$B$5,"Hoje",IF(D263-Config!$B$5&lt;=Config!$B$6,"Até "&amp;Config!$B$6&amp;" dias",IF(D263-Config!$B$5&lt;=Config!$B$7,"Até "&amp;Config!$B$7&amp;" dias","Depois")))))))</f>
        <v/>
      </c>
      <c r="J263" s="35">
        <f>IF(OR(I263="",I263="Feito",I263="Sem data"),0,IF(I263="Atrasado",3000+MIN(Config!$B$5-D263,60),IF(I263="Hoje",2500,IF(D263-Config!$B$5&lt;=Config!$B$6,2000-(D263-Config!$B$5),IF(D263-Config!$B$5&lt;=Config!$B$7,1000-(D263-Config!$B$5),500-MIN(D263-Config!$B$5,400)))))-ROW()/100000)</f>
        <v/>
      </c>
    </row>
    <row r="264">
      <c r="A264" s="31" t="n"/>
      <c r="B264" s="31" t="n"/>
      <c r="C264" s="33" t="n"/>
      <c r="D264" s="34" t="n"/>
      <c r="E264" s="33" t="n"/>
      <c r="F264" s="33" t="n"/>
      <c r="G264" s="31" t="n"/>
      <c r="H264" s="28">
        <f>IF(OR(I264="",I264="Feito",I264="Sem data"),"",D264-Config!$B$5)</f>
        <v/>
      </c>
      <c r="I264" s="25">
        <f>IF(AND(A264="",C264="",D264=""),"",IF(F264="Sim","Feito",IF(D264="","Sem data",IF(D264&lt;Config!$B$5,"Atrasado",IF(D264=Config!$B$5,"Hoje",IF(D264-Config!$B$5&lt;=Config!$B$6,"Até "&amp;Config!$B$6&amp;" dias",IF(D264-Config!$B$5&lt;=Config!$B$7,"Até "&amp;Config!$B$7&amp;" dias","Depois")))))))</f>
        <v/>
      </c>
      <c r="J264" s="35">
        <f>IF(OR(I264="",I264="Feito",I264="Sem data"),0,IF(I264="Atrasado",3000+MIN(Config!$B$5-D264,60),IF(I264="Hoje",2500,IF(D264-Config!$B$5&lt;=Config!$B$6,2000-(D264-Config!$B$5),IF(D264-Config!$B$5&lt;=Config!$B$7,1000-(D264-Config!$B$5),500-MIN(D264-Config!$B$5,400)))))-ROW()/100000)</f>
        <v/>
      </c>
    </row>
    <row r="265">
      <c r="A265" s="31" t="n"/>
      <c r="B265" s="31" t="n"/>
      <c r="C265" s="33" t="n"/>
      <c r="D265" s="34" t="n"/>
      <c r="E265" s="33" t="n"/>
      <c r="F265" s="33" t="n"/>
      <c r="G265" s="31" t="n"/>
      <c r="H265" s="28">
        <f>IF(OR(I265="",I265="Feito",I265="Sem data"),"",D265-Config!$B$5)</f>
        <v/>
      </c>
      <c r="I265" s="25">
        <f>IF(AND(A265="",C265="",D265=""),"",IF(F265="Sim","Feito",IF(D265="","Sem data",IF(D265&lt;Config!$B$5,"Atrasado",IF(D265=Config!$B$5,"Hoje",IF(D265-Config!$B$5&lt;=Config!$B$6,"Até "&amp;Config!$B$6&amp;" dias",IF(D265-Config!$B$5&lt;=Config!$B$7,"Até "&amp;Config!$B$7&amp;" dias","Depois")))))))</f>
        <v/>
      </c>
      <c r="J265" s="35">
        <f>IF(OR(I265="",I265="Feito",I265="Sem data"),0,IF(I265="Atrasado",3000+MIN(Config!$B$5-D265,60),IF(I265="Hoje",2500,IF(D265-Config!$B$5&lt;=Config!$B$6,2000-(D265-Config!$B$5),IF(D265-Config!$B$5&lt;=Config!$B$7,1000-(D265-Config!$B$5),500-MIN(D265-Config!$B$5,400)))))-ROW()/100000)</f>
        <v/>
      </c>
    </row>
    <row r="266">
      <c r="A266" s="31" t="n"/>
      <c r="B266" s="31" t="n"/>
      <c r="C266" s="33" t="n"/>
      <c r="D266" s="34" t="n"/>
      <c r="E266" s="33" t="n"/>
      <c r="F266" s="33" t="n"/>
      <c r="G266" s="31" t="n"/>
      <c r="H266" s="28">
        <f>IF(OR(I266="",I266="Feito",I266="Sem data"),"",D266-Config!$B$5)</f>
        <v/>
      </c>
      <c r="I266" s="25">
        <f>IF(AND(A266="",C266="",D266=""),"",IF(F266="Sim","Feito",IF(D266="","Sem data",IF(D266&lt;Config!$B$5,"Atrasado",IF(D266=Config!$B$5,"Hoje",IF(D266-Config!$B$5&lt;=Config!$B$6,"Até "&amp;Config!$B$6&amp;" dias",IF(D266-Config!$B$5&lt;=Config!$B$7,"Até "&amp;Config!$B$7&amp;" dias","Depois")))))))</f>
        <v/>
      </c>
      <c r="J266" s="35">
        <f>IF(OR(I266="",I266="Feito",I266="Sem data"),0,IF(I266="Atrasado",3000+MIN(Config!$B$5-D266,60),IF(I266="Hoje",2500,IF(D266-Config!$B$5&lt;=Config!$B$6,2000-(D266-Config!$B$5),IF(D266-Config!$B$5&lt;=Config!$B$7,1000-(D266-Config!$B$5),500-MIN(D266-Config!$B$5,400)))))-ROW()/100000)</f>
        <v/>
      </c>
    </row>
    <row r="267">
      <c r="A267" s="31" t="n"/>
      <c r="B267" s="31" t="n"/>
      <c r="C267" s="33" t="n"/>
      <c r="D267" s="34" t="n"/>
      <c r="E267" s="33" t="n"/>
      <c r="F267" s="33" t="n"/>
      <c r="G267" s="31" t="n"/>
      <c r="H267" s="28">
        <f>IF(OR(I267="",I267="Feito",I267="Sem data"),"",D267-Config!$B$5)</f>
        <v/>
      </c>
      <c r="I267" s="25">
        <f>IF(AND(A267="",C267="",D267=""),"",IF(F267="Sim","Feito",IF(D267="","Sem data",IF(D267&lt;Config!$B$5,"Atrasado",IF(D267=Config!$B$5,"Hoje",IF(D267-Config!$B$5&lt;=Config!$B$6,"Até "&amp;Config!$B$6&amp;" dias",IF(D267-Config!$B$5&lt;=Config!$B$7,"Até "&amp;Config!$B$7&amp;" dias","Depois")))))))</f>
        <v/>
      </c>
      <c r="J267" s="35">
        <f>IF(OR(I267="",I267="Feito",I267="Sem data"),0,IF(I267="Atrasado",3000+MIN(Config!$B$5-D267,60),IF(I267="Hoje",2500,IF(D267-Config!$B$5&lt;=Config!$B$6,2000-(D267-Config!$B$5),IF(D267-Config!$B$5&lt;=Config!$B$7,1000-(D267-Config!$B$5),500-MIN(D267-Config!$B$5,400)))))-ROW()/100000)</f>
        <v/>
      </c>
    </row>
    <row r="268">
      <c r="A268" s="31" t="n"/>
      <c r="B268" s="31" t="n"/>
      <c r="C268" s="33" t="n"/>
      <c r="D268" s="34" t="n"/>
      <c r="E268" s="33" t="n"/>
      <c r="F268" s="33" t="n"/>
      <c r="G268" s="31" t="n"/>
      <c r="H268" s="28">
        <f>IF(OR(I268="",I268="Feito",I268="Sem data"),"",D268-Config!$B$5)</f>
        <v/>
      </c>
      <c r="I268" s="25">
        <f>IF(AND(A268="",C268="",D268=""),"",IF(F268="Sim","Feito",IF(D268="","Sem data",IF(D268&lt;Config!$B$5,"Atrasado",IF(D268=Config!$B$5,"Hoje",IF(D268-Config!$B$5&lt;=Config!$B$6,"Até "&amp;Config!$B$6&amp;" dias",IF(D268-Config!$B$5&lt;=Config!$B$7,"Até "&amp;Config!$B$7&amp;" dias","Depois")))))))</f>
        <v/>
      </c>
      <c r="J268" s="35">
        <f>IF(OR(I268="",I268="Feito",I268="Sem data"),0,IF(I268="Atrasado",3000+MIN(Config!$B$5-D268,60),IF(I268="Hoje",2500,IF(D268-Config!$B$5&lt;=Config!$B$6,2000-(D268-Config!$B$5),IF(D268-Config!$B$5&lt;=Config!$B$7,1000-(D268-Config!$B$5),500-MIN(D268-Config!$B$5,400)))))-ROW()/100000)</f>
        <v/>
      </c>
    </row>
    <row r="269">
      <c r="A269" s="31" t="n"/>
      <c r="B269" s="31" t="n"/>
      <c r="C269" s="33" t="n"/>
      <c r="D269" s="34" t="n"/>
      <c r="E269" s="33" t="n"/>
      <c r="F269" s="33" t="n"/>
      <c r="G269" s="31" t="n"/>
      <c r="H269" s="28">
        <f>IF(OR(I269="",I269="Feito",I269="Sem data"),"",D269-Config!$B$5)</f>
        <v/>
      </c>
      <c r="I269" s="25">
        <f>IF(AND(A269="",C269="",D269=""),"",IF(F269="Sim","Feito",IF(D269="","Sem data",IF(D269&lt;Config!$B$5,"Atrasado",IF(D269=Config!$B$5,"Hoje",IF(D269-Config!$B$5&lt;=Config!$B$6,"Até "&amp;Config!$B$6&amp;" dias",IF(D269-Config!$B$5&lt;=Config!$B$7,"Até "&amp;Config!$B$7&amp;" dias","Depois")))))))</f>
        <v/>
      </c>
      <c r="J269" s="35">
        <f>IF(OR(I269="",I269="Feito",I269="Sem data"),0,IF(I269="Atrasado",3000+MIN(Config!$B$5-D269,60),IF(I269="Hoje",2500,IF(D269-Config!$B$5&lt;=Config!$B$6,2000-(D269-Config!$B$5),IF(D269-Config!$B$5&lt;=Config!$B$7,1000-(D269-Config!$B$5),500-MIN(D269-Config!$B$5,400)))))-ROW()/100000)</f>
        <v/>
      </c>
    </row>
    <row r="270">
      <c r="A270" s="31" t="n"/>
      <c r="B270" s="31" t="n"/>
      <c r="C270" s="33" t="n"/>
      <c r="D270" s="34" t="n"/>
      <c r="E270" s="33" t="n"/>
      <c r="F270" s="33" t="n"/>
      <c r="G270" s="31" t="n"/>
      <c r="H270" s="28">
        <f>IF(OR(I270="",I270="Feito",I270="Sem data"),"",D270-Config!$B$5)</f>
        <v/>
      </c>
      <c r="I270" s="25">
        <f>IF(AND(A270="",C270="",D270=""),"",IF(F270="Sim","Feito",IF(D270="","Sem data",IF(D270&lt;Config!$B$5,"Atrasado",IF(D270=Config!$B$5,"Hoje",IF(D270-Config!$B$5&lt;=Config!$B$6,"Até "&amp;Config!$B$6&amp;" dias",IF(D270-Config!$B$5&lt;=Config!$B$7,"Até "&amp;Config!$B$7&amp;" dias","Depois")))))))</f>
        <v/>
      </c>
      <c r="J270" s="35">
        <f>IF(OR(I270="",I270="Feito",I270="Sem data"),0,IF(I270="Atrasado",3000+MIN(Config!$B$5-D270,60),IF(I270="Hoje",2500,IF(D270-Config!$B$5&lt;=Config!$B$6,2000-(D270-Config!$B$5),IF(D270-Config!$B$5&lt;=Config!$B$7,1000-(D270-Config!$B$5),500-MIN(D270-Config!$B$5,400)))))-ROW()/100000)</f>
        <v/>
      </c>
    </row>
    <row r="271">
      <c r="A271" s="31" t="n"/>
      <c r="B271" s="31" t="n"/>
      <c r="C271" s="33" t="n"/>
      <c r="D271" s="34" t="n"/>
      <c r="E271" s="33" t="n"/>
      <c r="F271" s="33" t="n"/>
      <c r="G271" s="31" t="n"/>
      <c r="H271" s="28">
        <f>IF(OR(I271="",I271="Feito",I271="Sem data"),"",D271-Config!$B$5)</f>
        <v/>
      </c>
      <c r="I271" s="25">
        <f>IF(AND(A271="",C271="",D271=""),"",IF(F271="Sim","Feito",IF(D271="","Sem data",IF(D271&lt;Config!$B$5,"Atrasado",IF(D271=Config!$B$5,"Hoje",IF(D271-Config!$B$5&lt;=Config!$B$6,"Até "&amp;Config!$B$6&amp;" dias",IF(D271-Config!$B$5&lt;=Config!$B$7,"Até "&amp;Config!$B$7&amp;" dias","Depois")))))))</f>
        <v/>
      </c>
      <c r="J271" s="35">
        <f>IF(OR(I271="",I271="Feito",I271="Sem data"),0,IF(I271="Atrasado",3000+MIN(Config!$B$5-D271,60),IF(I271="Hoje",2500,IF(D271-Config!$B$5&lt;=Config!$B$6,2000-(D271-Config!$B$5),IF(D271-Config!$B$5&lt;=Config!$B$7,1000-(D271-Config!$B$5),500-MIN(D271-Config!$B$5,400)))))-ROW()/100000)</f>
        <v/>
      </c>
    </row>
    <row r="272">
      <c r="A272" s="31" t="n"/>
      <c r="B272" s="31" t="n"/>
      <c r="C272" s="33" t="n"/>
      <c r="D272" s="34" t="n"/>
      <c r="E272" s="33" t="n"/>
      <c r="F272" s="33" t="n"/>
      <c r="G272" s="31" t="n"/>
      <c r="H272" s="28">
        <f>IF(OR(I272="",I272="Feito",I272="Sem data"),"",D272-Config!$B$5)</f>
        <v/>
      </c>
      <c r="I272" s="25">
        <f>IF(AND(A272="",C272="",D272=""),"",IF(F272="Sim","Feito",IF(D272="","Sem data",IF(D272&lt;Config!$B$5,"Atrasado",IF(D272=Config!$B$5,"Hoje",IF(D272-Config!$B$5&lt;=Config!$B$6,"Até "&amp;Config!$B$6&amp;" dias",IF(D272-Config!$B$5&lt;=Config!$B$7,"Até "&amp;Config!$B$7&amp;" dias","Depois")))))))</f>
        <v/>
      </c>
      <c r="J272" s="35">
        <f>IF(OR(I272="",I272="Feito",I272="Sem data"),0,IF(I272="Atrasado",3000+MIN(Config!$B$5-D272,60),IF(I272="Hoje",2500,IF(D272-Config!$B$5&lt;=Config!$B$6,2000-(D272-Config!$B$5),IF(D272-Config!$B$5&lt;=Config!$B$7,1000-(D272-Config!$B$5),500-MIN(D272-Config!$B$5,400)))))-ROW()/100000)</f>
        <v/>
      </c>
    </row>
    <row r="273">
      <c r="A273" s="31" t="n"/>
      <c r="B273" s="31" t="n"/>
      <c r="C273" s="33" t="n"/>
      <c r="D273" s="34" t="n"/>
      <c r="E273" s="33" t="n"/>
      <c r="F273" s="33" t="n"/>
      <c r="G273" s="31" t="n"/>
      <c r="H273" s="28">
        <f>IF(OR(I273="",I273="Feito",I273="Sem data"),"",D273-Config!$B$5)</f>
        <v/>
      </c>
      <c r="I273" s="25">
        <f>IF(AND(A273="",C273="",D273=""),"",IF(F273="Sim","Feito",IF(D273="","Sem data",IF(D273&lt;Config!$B$5,"Atrasado",IF(D273=Config!$B$5,"Hoje",IF(D273-Config!$B$5&lt;=Config!$B$6,"Até "&amp;Config!$B$6&amp;" dias",IF(D273-Config!$B$5&lt;=Config!$B$7,"Até "&amp;Config!$B$7&amp;" dias","Depois")))))))</f>
        <v/>
      </c>
      <c r="J273" s="35">
        <f>IF(OR(I273="",I273="Feito",I273="Sem data"),0,IF(I273="Atrasado",3000+MIN(Config!$B$5-D273,60),IF(I273="Hoje",2500,IF(D273-Config!$B$5&lt;=Config!$B$6,2000-(D273-Config!$B$5),IF(D273-Config!$B$5&lt;=Config!$B$7,1000-(D273-Config!$B$5),500-MIN(D273-Config!$B$5,400)))))-ROW()/100000)</f>
        <v/>
      </c>
    </row>
    <row r="274">
      <c r="A274" s="31" t="n"/>
      <c r="B274" s="31" t="n"/>
      <c r="C274" s="33" t="n"/>
      <c r="D274" s="34" t="n"/>
      <c r="E274" s="33" t="n"/>
      <c r="F274" s="33" t="n"/>
      <c r="G274" s="31" t="n"/>
      <c r="H274" s="28">
        <f>IF(OR(I274="",I274="Feito",I274="Sem data"),"",D274-Config!$B$5)</f>
        <v/>
      </c>
      <c r="I274" s="25">
        <f>IF(AND(A274="",C274="",D274=""),"",IF(F274="Sim","Feito",IF(D274="","Sem data",IF(D274&lt;Config!$B$5,"Atrasado",IF(D274=Config!$B$5,"Hoje",IF(D274-Config!$B$5&lt;=Config!$B$6,"Até "&amp;Config!$B$6&amp;" dias",IF(D274-Config!$B$5&lt;=Config!$B$7,"Até "&amp;Config!$B$7&amp;" dias","Depois")))))))</f>
        <v/>
      </c>
      <c r="J274" s="35">
        <f>IF(OR(I274="",I274="Feito",I274="Sem data"),0,IF(I274="Atrasado",3000+MIN(Config!$B$5-D274,60),IF(I274="Hoje",2500,IF(D274-Config!$B$5&lt;=Config!$B$6,2000-(D274-Config!$B$5),IF(D274-Config!$B$5&lt;=Config!$B$7,1000-(D274-Config!$B$5),500-MIN(D274-Config!$B$5,400)))))-ROW()/100000)</f>
        <v/>
      </c>
    </row>
    <row r="275">
      <c r="A275" s="31" t="n"/>
      <c r="B275" s="31" t="n"/>
      <c r="C275" s="33" t="n"/>
      <c r="D275" s="34" t="n"/>
      <c r="E275" s="33" t="n"/>
      <c r="F275" s="33" t="n"/>
      <c r="G275" s="31" t="n"/>
      <c r="H275" s="28">
        <f>IF(OR(I275="",I275="Feito",I275="Sem data"),"",D275-Config!$B$5)</f>
        <v/>
      </c>
      <c r="I275" s="25">
        <f>IF(AND(A275="",C275="",D275=""),"",IF(F275="Sim","Feito",IF(D275="","Sem data",IF(D275&lt;Config!$B$5,"Atrasado",IF(D275=Config!$B$5,"Hoje",IF(D275-Config!$B$5&lt;=Config!$B$6,"Até "&amp;Config!$B$6&amp;" dias",IF(D275-Config!$B$5&lt;=Config!$B$7,"Até "&amp;Config!$B$7&amp;" dias","Depois")))))))</f>
        <v/>
      </c>
      <c r="J275" s="35">
        <f>IF(OR(I275="",I275="Feito",I275="Sem data"),0,IF(I275="Atrasado",3000+MIN(Config!$B$5-D275,60),IF(I275="Hoje",2500,IF(D275-Config!$B$5&lt;=Config!$B$6,2000-(D275-Config!$B$5),IF(D275-Config!$B$5&lt;=Config!$B$7,1000-(D275-Config!$B$5),500-MIN(D275-Config!$B$5,400)))))-ROW()/100000)</f>
        <v/>
      </c>
    </row>
    <row r="276">
      <c r="A276" s="31" t="n"/>
      <c r="B276" s="31" t="n"/>
      <c r="C276" s="33" t="n"/>
      <c r="D276" s="34" t="n"/>
      <c r="E276" s="33" t="n"/>
      <c r="F276" s="33" t="n"/>
      <c r="G276" s="31" t="n"/>
      <c r="H276" s="28">
        <f>IF(OR(I276="",I276="Feito",I276="Sem data"),"",D276-Config!$B$5)</f>
        <v/>
      </c>
      <c r="I276" s="25">
        <f>IF(AND(A276="",C276="",D276=""),"",IF(F276="Sim","Feito",IF(D276="","Sem data",IF(D276&lt;Config!$B$5,"Atrasado",IF(D276=Config!$B$5,"Hoje",IF(D276-Config!$B$5&lt;=Config!$B$6,"Até "&amp;Config!$B$6&amp;" dias",IF(D276-Config!$B$5&lt;=Config!$B$7,"Até "&amp;Config!$B$7&amp;" dias","Depois")))))))</f>
        <v/>
      </c>
      <c r="J276" s="35">
        <f>IF(OR(I276="",I276="Feito",I276="Sem data"),0,IF(I276="Atrasado",3000+MIN(Config!$B$5-D276,60),IF(I276="Hoje",2500,IF(D276-Config!$B$5&lt;=Config!$B$6,2000-(D276-Config!$B$5),IF(D276-Config!$B$5&lt;=Config!$B$7,1000-(D276-Config!$B$5),500-MIN(D276-Config!$B$5,400)))))-ROW()/100000)</f>
        <v/>
      </c>
    </row>
    <row r="277">
      <c r="A277" s="31" t="n"/>
      <c r="B277" s="31" t="n"/>
      <c r="C277" s="33" t="n"/>
      <c r="D277" s="34" t="n"/>
      <c r="E277" s="33" t="n"/>
      <c r="F277" s="33" t="n"/>
      <c r="G277" s="31" t="n"/>
      <c r="H277" s="28">
        <f>IF(OR(I277="",I277="Feito",I277="Sem data"),"",D277-Config!$B$5)</f>
        <v/>
      </c>
      <c r="I277" s="25">
        <f>IF(AND(A277="",C277="",D277=""),"",IF(F277="Sim","Feito",IF(D277="","Sem data",IF(D277&lt;Config!$B$5,"Atrasado",IF(D277=Config!$B$5,"Hoje",IF(D277-Config!$B$5&lt;=Config!$B$6,"Até "&amp;Config!$B$6&amp;" dias",IF(D277-Config!$B$5&lt;=Config!$B$7,"Até "&amp;Config!$B$7&amp;" dias","Depois")))))))</f>
        <v/>
      </c>
      <c r="J277" s="35">
        <f>IF(OR(I277="",I277="Feito",I277="Sem data"),0,IF(I277="Atrasado",3000+MIN(Config!$B$5-D277,60),IF(I277="Hoje",2500,IF(D277-Config!$B$5&lt;=Config!$B$6,2000-(D277-Config!$B$5),IF(D277-Config!$B$5&lt;=Config!$B$7,1000-(D277-Config!$B$5),500-MIN(D277-Config!$B$5,400)))))-ROW()/100000)</f>
        <v/>
      </c>
    </row>
    <row r="278">
      <c r="A278" s="31" t="n"/>
      <c r="B278" s="31" t="n"/>
      <c r="C278" s="33" t="n"/>
      <c r="D278" s="34" t="n"/>
      <c r="E278" s="33" t="n"/>
      <c r="F278" s="33" t="n"/>
      <c r="G278" s="31" t="n"/>
      <c r="H278" s="28">
        <f>IF(OR(I278="",I278="Feito",I278="Sem data"),"",D278-Config!$B$5)</f>
        <v/>
      </c>
      <c r="I278" s="25">
        <f>IF(AND(A278="",C278="",D278=""),"",IF(F278="Sim","Feito",IF(D278="","Sem data",IF(D278&lt;Config!$B$5,"Atrasado",IF(D278=Config!$B$5,"Hoje",IF(D278-Config!$B$5&lt;=Config!$B$6,"Até "&amp;Config!$B$6&amp;" dias",IF(D278-Config!$B$5&lt;=Config!$B$7,"Até "&amp;Config!$B$7&amp;" dias","Depois")))))))</f>
        <v/>
      </c>
      <c r="J278" s="35">
        <f>IF(OR(I278="",I278="Feito",I278="Sem data"),0,IF(I278="Atrasado",3000+MIN(Config!$B$5-D278,60),IF(I278="Hoje",2500,IF(D278-Config!$B$5&lt;=Config!$B$6,2000-(D278-Config!$B$5),IF(D278-Config!$B$5&lt;=Config!$B$7,1000-(D278-Config!$B$5),500-MIN(D278-Config!$B$5,400)))))-ROW()/100000)</f>
        <v/>
      </c>
    </row>
    <row r="279">
      <c r="A279" s="31" t="n"/>
      <c r="B279" s="31" t="n"/>
      <c r="C279" s="33" t="n"/>
      <c r="D279" s="34" t="n"/>
      <c r="E279" s="33" t="n"/>
      <c r="F279" s="33" t="n"/>
      <c r="G279" s="31" t="n"/>
      <c r="H279" s="28">
        <f>IF(OR(I279="",I279="Feito",I279="Sem data"),"",D279-Config!$B$5)</f>
        <v/>
      </c>
      <c r="I279" s="25">
        <f>IF(AND(A279="",C279="",D279=""),"",IF(F279="Sim","Feito",IF(D279="","Sem data",IF(D279&lt;Config!$B$5,"Atrasado",IF(D279=Config!$B$5,"Hoje",IF(D279-Config!$B$5&lt;=Config!$B$6,"Até "&amp;Config!$B$6&amp;" dias",IF(D279-Config!$B$5&lt;=Config!$B$7,"Até "&amp;Config!$B$7&amp;" dias","Depois")))))))</f>
        <v/>
      </c>
      <c r="J279" s="35">
        <f>IF(OR(I279="",I279="Feito",I279="Sem data"),0,IF(I279="Atrasado",3000+MIN(Config!$B$5-D279,60),IF(I279="Hoje",2500,IF(D279-Config!$B$5&lt;=Config!$B$6,2000-(D279-Config!$B$5),IF(D279-Config!$B$5&lt;=Config!$B$7,1000-(D279-Config!$B$5),500-MIN(D279-Config!$B$5,400)))))-ROW()/100000)</f>
        <v/>
      </c>
    </row>
    <row r="280">
      <c r="A280" s="31" t="n"/>
      <c r="B280" s="31" t="n"/>
      <c r="C280" s="33" t="n"/>
      <c r="D280" s="34" t="n"/>
      <c r="E280" s="33" t="n"/>
      <c r="F280" s="33" t="n"/>
      <c r="G280" s="31" t="n"/>
      <c r="H280" s="28">
        <f>IF(OR(I280="",I280="Feito",I280="Sem data"),"",D280-Config!$B$5)</f>
        <v/>
      </c>
      <c r="I280" s="25">
        <f>IF(AND(A280="",C280="",D280=""),"",IF(F280="Sim","Feito",IF(D280="","Sem data",IF(D280&lt;Config!$B$5,"Atrasado",IF(D280=Config!$B$5,"Hoje",IF(D280-Config!$B$5&lt;=Config!$B$6,"Até "&amp;Config!$B$6&amp;" dias",IF(D280-Config!$B$5&lt;=Config!$B$7,"Até "&amp;Config!$B$7&amp;" dias","Depois")))))))</f>
        <v/>
      </c>
      <c r="J280" s="35">
        <f>IF(OR(I280="",I280="Feito",I280="Sem data"),0,IF(I280="Atrasado",3000+MIN(Config!$B$5-D280,60),IF(I280="Hoje",2500,IF(D280-Config!$B$5&lt;=Config!$B$6,2000-(D280-Config!$B$5),IF(D280-Config!$B$5&lt;=Config!$B$7,1000-(D280-Config!$B$5),500-MIN(D280-Config!$B$5,400)))))-ROW()/100000)</f>
        <v/>
      </c>
    </row>
    <row r="281">
      <c r="A281" s="31" t="n"/>
      <c r="B281" s="31" t="n"/>
      <c r="C281" s="33" t="n"/>
      <c r="D281" s="34" t="n"/>
      <c r="E281" s="33" t="n"/>
      <c r="F281" s="33" t="n"/>
      <c r="G281" s="31" t="n"/>
      <c r="H281" s="28">
        <f>IF(OR(I281="",I281="Feito",I281="Sem data"),"",D281-Config!$B$5)</f>
        <v/>
      </c>
      <c r="I281" s="25">
        <f>IF(AND(A281="",C281="",D281=""),"",IF(F281="Sim","Feito",IF(D281="","Sem data",IF(D281&lt;Config!$B$5,"Atrasado",IF(D281=Config!$B$5,"Hoje",IF(D281-Config!$B$5&lt;=Config!$B$6,"Até "&amp;Config!$B$6&amp;" dias",IF(D281-Config!$B$5&lt;=Config!$B$7,"Até "&amp;Config!$B$7&amp;" dias","Depois")))))))</f>
        <v/>
      </c>
      <c r="J281" s="35">
        <f>IF(OR(I281="",I281="Feito",I281="Sem data"),0,IF(I281="Atrasado",3000+MIN(Config!$B$5-D281,60),IF(I281="Hoje",2500,IF(D281-Config!$B$5&lt;=Config!$B$6,2000-(D281-Config!$B$5),IF(D281-Config!$B$5&lt;=Config!$B$7,1000-(D281-Config!$B$5),500-MIN(D281-Config!$B$5,400)))))-ROW()/100000)</f>
        <v/>
      </c>
    </row>
    <row r="282">
      <c r="A282" s="31" t="n"/>
      <c r="B282" s="31" t="n"/>
      <c r="C282" s="33" t="n"/>
      <c r="D282" s="34" t="n"/>
      <c r="E282" s="33" t="n"/>
      <c r="F282" s="33" t="n"/>
      <c r="G282" s="31" t="n"/>
      <c r="H282" s="28">
        <f>IF(OR(I282="",I282="Feito",I282="Sem data"),"",D282-Config!$B$5)</f>
        <v/>
      </c>
      <c r="I282" s="25">
        <f>IF(AND(A282="",C282="",D282=""),"",IF(F282="Sim","Feito",IF(D282="","Sem data",IF(D282&lt;Config!$B$5,"Atrasado",IF(D282=Config!$B$5,"Hoje",IF(D282-Config!$B$5&lt;=Config!$B$6,"Até "&amp;Config!$B$6&amp;" dias",IF(D282-Config!$B$5&lt;=Config!$B$7,"Até "&amp;Config!$B$7&amp;" dias","Depois")))))))</f>
        <v/>
      </c>
      <c r="J282" s="35">
        <f>IF(OR(I282="",I282="Feito",I282="Sem data"),0,IF(I282="Atrasado",3000+MIN(Config!$B$5-D282,60),IF(I282="Hoje",2500,IF(D282-Config!$B$5&lt;=Config!$B$6,2000-(D282-Config!$B$5),IF(D282-Config!$B$5&lt;=Config!$B$7,1000-(D282-Config!$B$5),500-MIN(D282-Config!$B$5,400)))))-ROW()/100000)</f>
        <v/>
      </c>
    </row>
    <row r="283">
      <c r="A283" s="31" t="n"/>
      <c r="B283" s="31" t="n"/>
      <c r="C283" s="33" t="n"/>
      <c r="D283" s="34" t="n"/>
      <c r="E283" s="33" t="n"/>
      <c r="F283" s="33" t="n"/>
      <c r="G283" s="31" t="n"/>
      <c r="H283" s="28">
        <f>IF(OR(I283="",I283="Feito",I283="Sem data"),"",D283-Config!$B$5)</f>
        <v/>
      </c>
      <c r="I283" s="25">
        <f>IF(AND(A283="",C283="",D283=""),"",IF(F283="Sim","Feito",IF(D283="","Sem data",IF(D283&lt;Config!$B$5,"Atrasado",IF(D283=Config!$B$5,"Hoje",IF(D283-Config!$B$5&lt;=Config!$B$6,"Até "&amp;Config!$B$6&amp;" dias",IF(D283-Config!$B$5&lt;=Config!$B$7,"Até "&amp;Config!$B$7&amp;" dias","Depois")))))))</f>
        <v/>
      </c>
      <c r="J283" s="35">
        <f>IF(OR(I283="",I283="Feito",I283="Sem data"),0,IF(I283="Atrasado",3000+MIN(Config!$B$5-D283,60),IF(I283="Hoje",2500,IF(D283-Config!$B$5&lt;=Config!$B$6,2000-(D283-Config!$B$5),IF(D283-Config!$B$5&lt;=Config!$B$7,1000-(D283-Config!$B$5),500-MIN(D283-Config!$B$5,400)))))-ROW()/100000)</f>
        <v/>
      </c>
    </row>
    <row r="284">
      <c r="A284" s="31" t="n"/>
      <c r="B284" s="31" t="n"/>
      <c r="C284" s="33" t="n"/>
      <c r="D284" s="34" t="n"/>
      <c r="E284" s="33" t="n"/>
      <c r="F284" s="33" t="n"/>
      <c r="G284" s="31" t="n"/>
      <c r="H284" s="28">
        <f>IF(OR(I284="",I284="Feito",I284="Sem data"),"",D284-Config!$B$5)</f>
        <v/>
      </c>
      <c r="I284" s="25">
        <f>IF(AND(A284="",C284="",D284=""),"",IF(F284="Sim","Feito",IF(D284="","Sem data",IF(D284&lt;Config!$B$5,"Atrasado",IF(D284=Config!$B$5,"Hoje",IF(D284-Config!$B$5&lt;=Config!$B$6,"Até "&amp;Config!$B$6&amp;" dias",IF(D284-Config!$B$5&lt;=Config!$B$7,"Até "&amp;Config!$B$7&amp;" dias","Depois")))))))</f>
        <v/>
      </c>
      <c r="J284" s="35">
        <f>IF(OR(I284="",I284="Feito",I284="Sem data"),0,IF(I284="Atrasado",3000+MIN(Config!$B$5-D284,60),IF(I284="Hoje",2500,IF(D284-Config!$B$5&lt;=Config!$B$6,2000-(D284-Config!$B$5),IF(D284-Config!$B$5&lt;=Config!$B$7,1000-(D284-Config!$B$5),500-MIN(D284-Config!$B$5,400)))))-ROW()/100000)</f>
        <v/>
      </c>
    </row>
    <row r="285">
      <c r="A285" s="31" t="n"/>
      <c r="B285" s="31" t="n"/>
      <c r="C285" s="33" t="n"/>
      <c r="D285" s="34" t="n"/>
      <c r="E285" s="33" t="n"/>
      <c r="F285" s="33" t="n"/>
      <c r="G285" s="31" t="n"/>
      <c r="H285" s="28">
        <f>IF(OR(I285="",I285="Feito",I285="Sem data"),"",D285-Config!$B$5)</f>
        <v/>
      </c>
      <c r="I285" s="25">
        <f>IF(AND(A285="",C285="",D285=""),"",IF(F285="Sim","Feito",IF(D285="","Sem data",IF(D285&lt;Config!$B$5,"Atrasado",IF(D285=Config!$B$5,"Hoje",IF(D285-Config!$B$5&lt;=Config!$B$6,"Até "&amp;Config!$B$6&amp;" dias",IF(D285-Config!$B$5&lt;=Config!$B$7,"Até "&amp;Config!$B$7&amp;" dias","Depois")))))))</f>
        <v/>
      </c>
      <c r="J285" s="35">
        <f>IF(OR(I285="",I285="Feito",I285="Sem data"),0,IF(I285="Atrasado",3000+MIN(Config!$B$5-D285,60),IF(I285="Hoje",2500,IF(D285-Config!$B$5&lt;=Config!$B$6,2000-(D285-Config!$B$5),IF(D285-Config!$B$5&lt;=Config!$B$7,1000-(D285-Config!$B$5),500-MIN(D285-Config!$B$5,400)))))-ROW()/100000)</f>
        <v/>
      </c>
    </row>
    <row r="286">
      <c r="A286" s="31" t="n"/>
      <c r="B286" s="31" t="n"/>
      <c r="C286" s="33" t="n"/>
      <c r="D286" s="34" t="n"/>
      <c r="E286" s="33" t="n"/>
      <c r="F286" s="33" t="n"/>
      <c r="G286" s="31" t="n"/>
      <c r="H286" s="28">
        <f>IF(OR(I286="",I286="Feito",I286="Sem data"),"",D286-Config!$B$5)</f>
        <v/>
      </c>
      <c r="I286" s="25">
        <f>IF(AND(A286="",C286="",D286=""),"",IF(F286="Sim","Feito",IF(D286="","Sem data",IF(D286&lt;Config!$B$5,"Atrasado",IF(D286=Config!$B$5,"Hoje",IF(D286-Config!$B$5&lt;=Config!$B$6,"Até "&amp;Config!$B$6&amp;" dias",IF(D286-Config!$B$5&lt;=Config!$B$7,"Até "&amp;Config!$B$7&amp;" dias","Depois")))))))</f>
        <v/>
      </c>
      <c r="J286" s="35">
        <f>IF(OR(I286="",I286="Feito",I286="Sem data"),0,IF(I286="Atrasado",3000+MIN(Config!$B$5-D286,60),IF(I286="Hoje",2500,IF(D286-Config!$B$5&lt;=Config!$B$6,2000-(D286-Config!$B$5),IF(D286-Config!$B$5&lt;=Config!$B$7,1000-(D286-Config!$B$5),500-MIN(D286-Config!$B$5,400)))))-ROW()/100000)</f>
        <v/>
      </c>
    </row>
    <row r="287">
      <c r="A287" s="31" t="n"/>
      <c r="B287" s="31" t="n"/>
      <c r="C287" s="33" t="n"/>
      <c r="D287" s="34" t="n"/>
      <c r="E287" s="33" t="n"/>
      <c r="F287" s="33" t="n"/>
      <c r="G287" s="31" t="n"/>
      <c r="H287" s="28">
        <f>IF(OR(I287="",I287="Feito",I287="Sem data"),"",D287-Config!$B$5)</f>
        <v/>
      </c>
      <c r="I287" s="25">
        <f>IF(AND(A287="",C287="",D287=""),"",IF(F287="Sim","Feito",IF(D287="","Sem data",IF(D287&lt;Config!$B$5,"Atrasado",IF(D287=Config!$B$5,"Hoje",IF(D287-Config!$B$5&lt;=Config!$B$6,"Até "&amp;Config!$B$6&amp;" dias",IF(D287-Config!$B$5&lt;=Config!$B$7,"Até "&amp;Config!$B$7&amp;" dias","Depois")))))))</f>
        <v/>
      </c>
      <c r="J287" s="35">
        <f>IF(OR(I287="",I287="Feito",I287="Sem data"),0,IF(I287="Atrasado",3000+MIN(Config!$B$5-D287,60),IF(I287="Hoje",2500,IF(D287-Config!$B$5&lt;=Config!$B$6,2000-(D287-Config!$B$5),IF(D287-Config!$B$5&lt;=Config!$B$7,1000-(D287-Config!$B$5),500-MIN(D287-Config!$B$5,400)))))-ROW()/100000)</f>
        <v/>
      </c>
    </row>
    <row r="288">
      <c r="A288" s="31" t="n"/>
      <c r="B288" s="31" t="n"/>
      <c r="C288" s="33" t="n"/>
      <c r="D288" s="34" t="n"/>
      <c r="E288" s="33" t="n"/>
      <c r="F288" s="33" t="n"/>
      <c r="G288" s="31" t="n"/>
      <c r="H288" s="28">
        <f>IF(OR(I288="",I288="Feito",I288="Sem data"),"",D288-Config!$B$5)</f>
        <v/>
      </c>
      <c r="I288" s="25">
        <f>IF(AND(A288="",C288="",D288=""),"",IF(F288="Sim","Feito",IF(D288="","Sem data",IF(D288&lt;Config!$B$5,"Atrasado",IF(D288=Config!$B$5,"Hoje",IF(D288-Config!$B$5&lt;=Config!$B$6,"Até "&amp;Config!$B$6&amp;" dias",IF(D288-Config!$B$5&lt;=Config!$B$7,"Até "&amp;Config!$B$7&amp;" dias","Depois")))))))</f>
        <v/>
      </c>
      <c r="J288" s="35">
        <f>IF(OR(I288="",I288="Feito",I288="Sem data"),0,IF(I288="Atrasado",3000+MIN(Config!$B$5-D288,60),IF(I288="Hoje",2500,IF(D288-Config!$B$5&lt;=Config!$B$6,2000-(D288-Config!$B$5),IF(D288-Config!$B$5&lt;=Config!$B$7,1000-(D288-Config!$B$5),500-MIN(D288-Config!$B$5,400)))))-ROW()/100000)</f>
        <v/>
      </c>
    </row>
    <row r="289">
      <c r="A289" s="31" t="n"/>
      <c r="B289" s="31" t="n"/>
      <c r="C289" s="33" t="n"/>
      <c r="D289" s="34" t="n"/>
      <c r="E289" s="33" t="n"/>
      <c r="F289" s="33" t="n"/>
      <c r="G289" s="31" t="n"/>
      <c r="H289" s="28">
        <f>IF(OR(I289="",I289="Feito",I289="Sem data"),"",D289-Config!$B$5)</f>
        <v/>
      </c>
      <c r="I289" s="25">
        <f>IF(AND(A289="",C289="",D289=""),"",IF(F289="Sim","Feito",IF(D289="","Sem data",IF(D289&lt;Config!$B$5,"Atrasado",IF(D289=Config!$B$5,"Hoje",IF(D289-Config!$B$5&lt;=Config!$B$6,"Até "&amp;Config!$B$6&amp;" dias",IF(D289-Config!$B$5&lt;=Config!$B$7,"Até "&amp;Config!$B$7&amp;" dias","Depois")))))))</f>
        <v/>
      </c>
      <c r="J289" s="35">
        <f>IF(OR(I289="",I289="Feito",I289="Sem data"),0,IF(I289="Atrasado",3000+MIN(Config!$B$5-D289,60),IF(I289="Hoje",2500,IF(D289-Config!$B$5&lt;=Config!$B$6,2000-(D289-Config!$B$5),IF(D289-Config!$B$5&lt;=Config!$B$7,1000-(D289-Config!$B$5),500-MIN(D289-Config!$B$5,400)))))-ROW()/100000)</f>
        <v/>
      </c>
    </row>
    <row r="290">
      <c r="A290" s="31" t="n"/>
      <c r="B290" s="31" t="n"/>
      <c r="C290" s="33" t="n"/>
      <c r="D290" s="34" t="n"/>
      <c r="E290" s="33" t="n"/>
      <c r="F290" s="33" t="n"/>
      <c r="G290" s="31" t="n"/>
      <c r="H290" s="28">
        <f>IF(OR(I290="",I290="Feito",I290="Sem data"),"",D290-Config!$B$5)</f>
        <v/>
      </c>
      <c r="I290" s="25">
        <f>IF(AND(A290="",C290="",D290=""),"",IF(F290="Sim","Feito",IF(D290="","Sem data",IF(D290&lt;Config!$B$5,"Atrasado",IF(D290=Config!$B$5,"Hoje",IF(D290-Config!$B$5&lt;=Config!$B$6,"Até "&amp;Config!$B$6&amp;" dias",IF(D290-Config!$B$5&lt;=Config!$B$7,"Até "&amp;Config!$B$7&amp;" dias","Depois")))))))</f>
        <v/>
      </c>
      <c r="J290" s="35">
        <f>IF(OR(I290="",I290="Feito",I290="Sem data"),0,IF(I290="Atrasado",3000+MIN(Config!$B$5-D290,60),IF(I290="Hoje",2500,IF(D290-Config!$B$5&lt;=Config!$B$6,2000-(D290-Config!$B$5),IF(D290-Config!$B$5&lt;=Config!$B$7,1000-(D290-Config!$B$5),500-MIN(D290-Config!$B$5,400)))))-ROW()/100000)</f>
        <v/>
      </c>
    </row>
    <row r="291">
      <c r="A291" s="31" t="n"/>
      <c r="B291" s="31" t="n"/>
      <c r="C291" s="33" t="n"/>
      <c r="D291" s="34" t="n"/>
      <c r="E291" s="33" t="n"/>
      <c r="F291" s="33" t="n"/>
      <c r="G291" s="31" t="n"/>
      <c r="H291" s="28">
        <f>IF(OR(I291="",I291="Feito",I291="Sem data"),"",D291-Config!$B$5)</f>
        <v/>
      </c>
      <c r="I291" s="25">
        <f>IF(AND(A291="",C291="",D291=""),"",IF(F291="Sim","Feito",IF(D291="","Sem data",IF(D291&lt;Config!$B$5,"Atrasado",IF(D291=Config!$B$5,"Hoje",IF(D291-Config!$B$5&lt;=Config!$B$6,"Até "&amp;Config!$B$6&amp;" dias",IF(D291-Config!$B$5&lt;=Config!$B$7,"Até "&amp;Config!$B$7&amp;" dias","Depois")))))))</f>
        <v/>
      </c>
      <c r="J291" s="35">
        <f>IF(OR(I291="",I291="Feito",I291="Sem data"),0,IF(I291="Atrasado",3000+MIN(Config!$B$5-D291,60),IF(I291="Hoje",2500,IF(D291-Config!$B$5&lt;=Config!$B$6,2000-(D291-Config!$B$5),IF(D291-Config!$B$5&lt;=Config!$B$7,1000-(D291-Config!$B$5),500-MIN(D291-Config!$B$5,400)))))-ROW()/100000)</f>
        <v/>
      </c>
    </row>
    <row r="292">
      <c r="A292" s="31" t="n"/>
      <c r="B292" s="31" t="n"/>
      <c r="C292" s="33" t="n"/>
      <c r="D292" s="34" t="n"/>
      <c r="E292" s="33" t="n"/>
      <c r="F292" s="33" t="n"/>
      <c r="G292" s="31" t="n"/>
      <c r="H292" s="28">
        <f>IF(OR(I292="",I292="Feito",I292="Sem data"),"",D292-Config!$B$5)</f>
        <v/>
      </c>
      <c r="I292" s="25">
        <f>IF(AND(A292="",C292="",D292=""),"",IF(F292="Sim","Feito",IF(D292="","Sem data",IF(D292&lt;Config!$B$5,"Atrasado",IF(D292=Config!$B$5,"Hoje",IF(D292-Config!$B$5&lt;=Config!$B$6,"Até "&amp;Config!$B$6&amp;" dias",IF(D292-Config!$B$5&lt;=Config!$B$7,"Até "&amp;Config!$B$7&amp;" dias","Depois")))))))</f>
        <v/>
      </c>
      <c r="J292" s="35">
        <f>IF(OR(I292="",I292="Feito",I292="Sem data"),0,IF(I292="Atrasado",3000+MIN(Config!$B$5-D292,60),IF(I292="Hoje",2500,IF(D292-Config!$B$5&lt;=Config!$B$6,2000-(D292-Config!$B$5),IF(D292-Config!$B$5&lt;=Config!$B$7,1000-(D292-Config!$B$5),500-MIN(D292-Config!$B$5,400)))))-ROW()/100000)</f>
        <v/>
      </c>
    </row>
    <row r="293">
      <c r="A293" s="31" t="n"/>
      <c r="B293" s="31" t="n"/>
      <c r="C293" s="33" t="n"/>
      <c r="D293" s="34" t="n"/>
      <c r="E293" s="33" t="n"/>
      <c r="F293" s="33" t="n"/>
      <c r="G293" s="31" t="n"/>
      <c r="H293" s="28">
        <f>IF(OR(I293="",I293="Feito",I293="Sem data"),"",D293-Config!$B$5)</f>
        <v/>
      </c>
      <c r="I293" s="25">
        <f>IF(AND(A293="",C293="",D293=""),"",IF(F293="Sim","Feito",IF(D293="","Sem data",IF(D293&lt;Config!$B$5,"Atrasado",IF(D293=Config!$B$5,"Hoje",IF(D293-Config!$B$5&lt;=Config!$B$6,"Até "&amp;Config!$B$6&amp;" dias",IF(D293-Config!$B$5&lt;=Config!$B$7,"Até "&amp;Config!$B$7&amp;" dias","Depois")))))))</f>
        <v/>
      </c>
      <c r="J293" s="35">
        <f>IF(OR(I293="",I293="Feito",I293="Sem data"),0,IF(I293="Atrasado",3000+MIN(Config!$B$5-D293,60),IF(I293="Hoje",2500,IF(D293-Config!$B$5&lt;=Config!$B$6,2000-(D293-Config!$B$5),IF(D293-Config!$B$5&lt;=Config!$B$7,1000-(D293-Config!$B$5),500-MIN(D293-Config!$B$5,400)))))-ROW()/100000)</f>
        <v/>
      </c>
    </row>
    <row r="294">
      <c r="A294" s="31" t="n"/>
      <c r="B294" s="31" t="n"/>
      <c r="C294" s="33" t="n"/>
      <c r="D294" s="34" t="n"/>
      <c r="E294" s="33" t="n"/>
      <c r="F294" s="33" t="n"/>
      <c r="G294" s="31" t="n"/>
      <c r="H294" s="28">
        <f>IF(OR(I294="",I294="Feito",I294="Sem data"),"",D294-Config!$B$5)</f>
        <v/>
      </c>
      <c r="I294" s="25">
        <f>IF(AND(A294="",C294="",D294=""),"",IF(F294="Sim","Feito",IF(D294="","Sem data",IF(D294&lt;Config!$B$5,"Atrasado",IF(D294=Config!$B$5,"Hoje",IF(D294-Config!$B$5&lt;=Config!$B$6,"Até "&amp;Config!$B$6&amp;" dias",IF(D294-Config!$B$5&lt;=Config!$B$7,"Até "&amp;Config!$B$7&amp;" dias","Depois")))))))</f>
        <v/>
      </c>
      <c r="J294" s="35">
        <f>IF(OR(I294="",I294="Feito",I294="Sem data"),0,IF(I294="Atrasado",3000+MIN(Config!$B$5-D294,60),IF(I294="Hoje",2500,IF(D294-Config!$B$5&lt;=Config!$B$6,2000-(D294-Config!$B$5),IF(D294-Config!$B$5&lt;=Config!$B$7,1000-(D294-Config!$B$5),500-MIN(D294-Config!$B$5,400)))))-ROW()/100000)</f>
        <v/>
      </c>
    </row>
    <row r="295">
      <c r="A295" s="31" t="n"/>
      <c r="B295" s="31" t="n"/>
      <c r="C295" s="33" t="n"/>
      <c r="D295" s="34" t="n"/>
      <c r="E295" s="33" t="n"/>
      <c r="F295" s="33" t="n"/>
      <c r="G295" s="31" t="n"/>
      <c r="H295" s="28">
        <f>IF(OR(I295="",I295="Feito",I295="Sem data"),"",D295-Config!$B$5)</f>
        <v/>
      </c>
      <c r="I295" s="25">
        <f>IF(AND(A295="",C295="",D295=""),"",IF(F295="Sim","Feito",IF(D295="","Sem data",IF(D295&lt;Config!$B$5,"Atrasado",IF(D295=Config!$B$5,"Hoje",IF(D295-Config!$B$5&lt;=Config!$B$6,"Até "&amp;Config!$B$6&amp;" dias",IF(D295-Config!$B$5&lt;=Config!$B$7,"Até "&amp;Config!$B$7&amp;" dias","Depois")))))))</f>
        <v/>
      </c>
      <c r="J295" s="35">
        <f>IF(OR(I295="",I295="Feito",I295="Sem data"),0,IF(I295="Atrasado",3000+MIN(Config!$B$5-D295,60),IF(I295="Hoje",2500,IF(D295-Config!$B$5&lt;=Config!$B$6,2000-(D295-Config!$B$5),IF(D295-Config!$B$5&lt;=Config!$B$7,1000-(D295-Config!$B$5),500-MIN(D295-Config!$B$5,400)))))-ROW()/100000)</f>
        <v/>
      </c>
    </row>
    <row r="296">
      <c r="A296" s="31" t="n"/>
      <c r="B296" s="31" t="n"/>
      <c r="C296" s="33" t="n"/>
      <c r="D296" s="34" t="n"/>
      <c r="E296" s="33" t="n"/>
      <c r="F296" s="33" t="n"/>
      <c r="G296" s="31" t="n"/>
      <c r="H296" s="28">
        <f>IF(OR(I296="",I296="Feito",I296="Sem data"),"",D296-Config!$B$5)</f>
        <v/>
      </c>
      <c r="I296" s="25">
        <f>IF(AND(A296="",C296="",D296=""),"",IF(F296="Sim","Feito",IF(D296="","Sem data",IF(D296&lt;Config!$B$5,"Atrasado",IF(D296=Config!$B$5,"Hoje",IF(D296-Config!$B$5&lt;=Config!$B$6,"Até "&amp;Config!$B$6&amp;" dias",IF(D296-Config!$B$5&lt;=Config!$B$7,"Até "&amp;Config!$B$7&amp;" dias","Depois")))))))</f>
        <v/>
      </c>
      <c r="J296" s="35">
        <f>IF(OR(I296="",I296="Feito",I296="Sem data"),0,IF(I296="Atrasado",3000+MIN(Config!$B$5-D296,60),IF(I296="Hoje",2500,IF(D296-Config!$B$5&lt;=Config!$B$6,2000-(D296-Config!$B$5),IF(D296-Config!$B$5&lt;=Config!$B$7,1000-(D296-Config!$B$5),500-MIN(D296-Config!$B$5,400)))))-ROW()/100000)</f>
        <v/>
      </c>
    </row>
    <row r="297">
      <c r="A297" s="31" t="n"/>
      <c r="B297" s="31" t="n"/>
      <c r="C297" s="33" t="n"/>
      <c r="D297" s="34" t="n"/>
      <c r="E297" s="33" t="n"/>
      <c r="F297" s="33" t="n"/>
      <c r="G297" s="31" t="n"/>
      <c r="H297" s="28">
        <f>IF(OR(I297="",I297="Feito",I297="Sem data"),"",D297-Config!$B$5)</f>
        <v/>
      </c>
      <c r="I297" s="25">
        <f>IF(AND(A297="",C297="",D297=""),"",IF(F297="Sim","Feito",IF(D297="","Sem data",IF(D297&lt;Config!$B$5,"Atrasado",IF(D297=Config!$B$5,"Hoje",IF(D297-Config!$B$5&lt;=Config!$B$6,"Até "&amp;Config!$B$6&amp;" dias",IF(D297-Config!$B$5&lt;=Config!$B$7,"Até "&amp;Config!$B$7&amp;" dias","Depois")))))))</f>
        <v/>
      </c>
      <c r="J297" s="35">
        <f>IF(OR(I297="",I297="Feito",I297="Sem data"),0,IF(I297="Atrasado",3000+MIN(Config!$B$5-D297,60),IF(I297="Hoje",2500,IF(D297-Config!$B$5&lt;=Config!$B$6,2000-(D297-Config!$B$5),IF(D297-Config!$B$5&lt;=Config!$B$7,1000-(D297-Config!$B$5),500-MIN(D297-Config!$B$5,400)))))-ROW()/100000)</f>
        <v/>
      </c>
    </row>
    <row r="298">
      <c r="A298" s="31" t="n"/>
      <c r="B298" s="31" t="n"/>
      <c r="C298" s="33" t="n"/>
      <c r="D298" s="34" t="n"/>
      <c r="E298" s="33" t="n"/>
      <c r="F298" s="33" t="n"/>
      <c r="G298" s="31" t="n"/>
      <c r="H298" s="28">
        <f>IF(OR(I298="",I298="Feito",I298="Sem data"),"",D298-Config!$B$5)</f>
        <v/>
      </c>
      <c r="I298" s="25">
        <f>IF(AND(A298="",C298="",D298=""),"",IF(F298="Sim","Feito",IF(D298="","Sem data",IF(D298&lt;Config!$B$5,"Atrasado",IF(D298=Config!$B$5,"Hoje",IF(D298-Config!$B$5&lt;=Config!$B$6,"Até "&amp;Config!$B$6&amp;" dias",IF(D298-Config!$B$5&lt;=Config!$B$7,"Até "&amp;Config!$B$7&amp;" dias","Depois")))))))</f>
        <v/>
      </c>
      <c r="J298" s="35">
        <f>IF(OR(I298="",I298="Feito",I298="Sem data"),0,IF(I298="Atrasado",3000+MIN(Config!$B$5-D298,60),IF(I298="Hoje",2500,IF(D298-Config!$B$5&lt;=Config!$B$6,2000-(D298-Config!$B$5),IF(D298-Config!$B$5&lt;=Config!$B$7,1000-(D298-Config!$B$5),500-MIN(D298-Config!$B$5,400)))))-ROW()/100000)</f>
        <v/>
      </c>
    </row>
    <row r="299">
      <c r="A299" s="31" t="n"/>
      <c r="B299" s="31" t="n"/>
      <c r="C299" s="33" t="n"/>
      <c r="D299" s="34" t="n"/>
      <c r="E299" s="33" t="n"/>
      <c r="F299" s="33" t="n"/>
      <c r="G299" s="31" t="n"/>
      <c r="H299" s="28">
        <f>IF(OR(I299="",I299="Feito",I299="Sem data"),"",D299-Config!$B$5)</f>
        <v/>
      </c>
      <c r="I299" s="25">
        <f>IF(AND(A299="",C299="",D299=""),"",IF(F299="Sim","Feito",IF(D299="","Sem data",IF(D299&lt;Config!$B$5,"Atrasado",IF(D299=Config!$B$5,"Hoje",IF(D299-Config!$B$5&lt;=Config!$B$6,"Até "&amp;Config!$B$6&amp;" dias",IF(D299-Config!$B$5&lt;=Config!$B$7,"Até "&amp;Config!$B$7&amp;" dias","Depois")))))))</f>
        <v/>
      </c>
      <c r="J299" s="35">
        <f>IF(OR(I299="",I299="Feito",I299="Sem data"),0,IF(I299="Atrasado",3000+MIN(Config!$B$5-D299,60),IF(I299="Hoje",2500,IF(D299-Config!$B$5&lt;=Config!$B$6,2000-(D299-Config!$B$5),IF(D299-Config!$B$5&lt;=Config!$B$7,1000-(D299-Config!$B$5),500-MIN(D299-Config!$B$5,400)))))-ROW()/100000)</f>
        <v/>
      </c>
    </row>
    <row r="300">
      <c r="A300" s="31" t="n"/>
      <c r="B300" s="31" t="n"/>
      <c r="C300" s="33" t="n"/>
      <c r="D300" s="34" t="n"/>
      <c r="E300" s="33" t="n"/>
      <c r="F300" s="33" t="n"/>
      <c r="G300" s="31" t="n"/>
      <c r="H300" s="28">
        <f>IF(OR(I300="",I300="Feito",I300="Sem data"),"",D300-Config!$B$5)</f>
        <v/>
      </c>
      <c r="I300" s="25">
        <f>IF(AND(A300="",C300="",D300=""),"",IF(F300="Sim","Feito",IF(D300="","Sem data",IF(D300&lt;Config!$B$5,"Atrasado",IF(D300=Config!$B$5,"Hoje",IF(D300-Config!$B$5&lt;=Config!$B$6,"Até "&amp;Config!$B$6&amp;" dias",IF(D300-Config!$B$5&lt;=Config!$B$7,"Até "&amp;Config!$B$7&amp;" dias","Depois")))))))</f>
        <v/>
      </c>
      <c r="J300" s="35">
        <f>IF(OR(I300="",I300="Feito",I300="Sem data"),0,IF(I300="Atrasado",3000+MIN(Config!$B$5-D300,60),IF(I300="Hoje",2500,IF(D300-Config!$B$5&lt;=Config!$B$6,2000-(D300-Config!$B$5),IF(D300-Config!$B$5&lt;=Config!$B$7,1000-(D300-Config!$B$5),500-MIN(D300-Config!$B$5,400)))))-ROW()/100000)</f>
        <v/>
      </c>
    </row>
    <row r="301">
      <c r="A301" s="31" t="n"/>
      <c r="B301" s="31" t="n"/>
      <c r="C301" s="33" t="n"/>
      <c r="D301" s="34" t="n"/>
      <c r="E301" s="33" t="n"/>
      <c r="F301" s="33" t="n"/>
      <c r="G301" s="31" t="n"/>
      <c r="H301" s="28">
        <f>IF(OR(I301="",I301="Feito",I301="Sem data"),"",D301-Config!$B$5)</f>
        <v/>
      </c>
      <c r="I301" s="25">
        <f>IF(AND(A301="",C301="",D301=""),"",IF(F301="Sim","Feito",IF(D301="","Sem data",IF(D301&lt;Config!$B$5,"Atrasado",IF(D301=Config!$B$5,"Hoje",IF(D301-Config!$B$5&lt;=Config!$B$6,"Até "&amp;Config!$B$6&amp;" dias",IF(D301-Config!$B$5&lt;=Config!$B$7,"Até "&amp;Config!$B$7&amp;" dias","Depois")))))))</f>
        <v/>
      </c>
      <c r="J301" s="35">
        <f>IF(OR(I301="",I301="Feito",I301="Sem data"),0,IF(I301="Atrasado",3000+MIN(Config!$B$5-D301,60),IF(I301="Hoje",2500,IF(D301-Config!$B$5&lt;=Config!$B$6,2000-(D301-Config!$B$5),IF(D301-Config!$B$5&lt;=Config!$B$7,1000-(D301-Config!$B$5),500-MIN(D301-Config!$B$5,400)))))-ROW()/100000)</f>
        <v/>
      </c>
    </row>
    <row r="302">
      <c r="A302" s="31" t="n"/>
      <c r="B302" s="31" t="n"/>
      <c r="C302" s="33" t="n"/>
      <c r="D302" s="34" t="n"/>
      <c r="E302" s="33" t="n"/>
      <c r="F302" s="33" t="n"/>
      <c r="G302" s="31" t="n"/>
      <c r="H302" s="28">
        <f>IF(OR(I302="",I302="Feito",I302="Sem data"),"",D302-Config!$B$5)</f>
        <v/>
      </c>
      <c r="I302" s="25">
        <f>IF(AND(A302="",C302="",D302=""),"",IF(F302="Sim","Feito",IF(D302="","Sem data",IF(D302&lt;Config!$B$5,"Atrasado",IF(D302=Config!$B$5,"Hoje",IF(D302-Config!$B$5&lt;=Config!$B$6,"Até "&amp;Config!$B$6&amp;" dias",IF(D302-Config!$B$5&lt;=Config!$B$7,"Até "&amp;Config!$B$7&amp;" dias","Depois")))))))</f>
        <v/>
      </c>
      <c r="J302" s="35">
        <f>IF(OR(I302="",I302="Feito",I302="Sem data"),0,IF(I302="Atrasado",3000+MIN(Config!$B$5-D302,60),IF(I302="Hoje",2500,IF(D302-Config!$B$5&lt;=Config!$B$6,2000-(D302-Config!$B$5),IF(D302-Config!$B$5&lt;=Config!$B$7,1000-(D302-Config!$B$5),500-MIN(D302-Config!$B$5,400)))))-ROW()/100000)</f>
        <v/>
      </c>
    </row>
    <row r="303">
      <c r="A303" s="31" t="n"/>
      <c r="B303" s="31" t="n"/>
      <c r="C303" s="33" t="n"/>
      <c r="D303" s="34" t="n"/>
      <c r="E303" s="33" t="n"/>
      <c r="F303" s="33" t="n"/>
      <c r="G303" s="31" t="n"/>
      <c r="H303" s="28">
        <f>IF(OR(I303="",I303="Feito",I303="Sem data"),"",D303-Config!$B$5)</f>
        <v/>
      </c>
      <c r="I303" s="25">
        <f>IF(AND(A303="",C303="",D303=""),"",IF(F303="Sim","Feito",IF(D303="","Sem data",IF(D303&lt;Config!$B$5,"Atrasado",IF(D303=Config!$B$5,"Hoje",IF(D303-Config!$B$5&lt;=Config!$B$6,"Até "&amp;Config!$B$6&amp;" dias",IF(D303-Config!$B$5&lt;=Config!$B$7,"Até "&amp;Config!$B$7&amp;" dias","Depois")))))))</f>
        <v/>
      </c>
      <c r="J303" s="35">
        <f>IF(OR(I303="",I303="Feito",I303="Sem data"),0,IF(I303="Atrasado",3000+MIN(Config!$B$5-D303,60),IF(I303="Hoje",2500,IF(D303-Config!$B$5&lt;=Config!$B$6,2000-(D303-Config!$B$5),IF(D303-Config!$B$5&lt;=Config!$B$7,1000-(D303-Config!$B$5),500-MIN(D303-Config!$B$5,400)))))-ROW()/100000)</f>
        <v/>
      </c>
    </row>
    <row r="304">
      <c r="A304" s="31" t="n"/>
      <c r="B304" s="31" t="n"/>
      <c r="C304" s="33" t="n"/>
      <c r="D304" s="34" t="n"/>
      <c r="E304" s="33" t="n"/>
      <c r="F304" s="33" t="n"/>
      <c r="G304" s="31" t="n"/>
      <c r="H304" s="28">
        <f>IF(OR(I304="",I304="Feito",I304="Sem data"),"",D304-Config!$B$5)</f>
        <v/>
      </c>
      <c r="I304" s="25">
        <f>IF(AND(A304="",C304="",D304=""),"",IF(F304="Sim","Feito",IF(D304="","Sem data",IF(D304&lt;Config!$B$5,"Atrasado",IF(D304=Config!$B$5,"Hoje",IF(D304-Config!$B$5&lt;=Config!$B$6,"Até "&amp;Config!$B$6&amp;" dias",IF(D304-Config!$B$5&lt;=Config!$B$7,"Até "&amp;Config!$B$7&amp;" dias","Depois")))))))</f>
        <v/>
      </c>
      <c r="J304" s="35">
        <f>IF(OR(I304="",I304="Feito",I304="Sem data"),0,IF(I304="Atrasado",3000+MIN(Config!$B$5-D304,60),IF(I304="Hoje",2500,IF(D304-Config!$B$5&lt;=Config!$B$6,2000-(D304-Config!$B$5),IF(D304-Config!$B$5&lt;=Config!$B$7,1000-(D304-Config!$B$5),500-MIN(D304-Config!$B$5,400)))))-ROW()/100000)</f>
        <v/>
      </c>
    </row>
    <row r="305">
      <c r="A305" s="31" t="n"/>
      <c r="B305" s="31" t="n"/>
      <c r="C305" s="33" t="n"/>
      <c r="D305" s="34" t="n"/>
      <c r="E305" s="33" t="n"/>
      <c r="F305" s="33" t="n"/>
      <c r="G305" s="31" t="n"/>
      <c r="H305" s="28">
        <f>IF(OR(I305="",I305="Feito",I305="Sem data"),"",D305-Config!$B$5)</f>
        <v/>
      </c>
      <c r="I305" s="25">
        <f>IF(AND(A305="",C305="",D305=""),"",IF(F305="Sim","Feito",IF(D305="","Sem data",IF(D305&lt;Config!$B$5,"Atrasado",IF(D305=Config!$B$5,"Hoje",IF(D305-Config!$B$5&lt;=Config!$B$6,"Até "&amp;Config!$B$6&amp;" dias",IF(D305-Config!$B$5&lt;=Config!$B$7,"Até "&amp;Config!$B$7&amp;" dias","Depois")))))))</f>
        <v/>
      </c>
      <c r="J305" s="35">
        <f>IF(OR(I305="",I305="Feito",I305="Sem data"),0,IF(I305="Atrasado",3000+MIN(Config!$B$5-D305,60),IF(I305="Hoje",2500,IF(D305-Config!$B$5&lt;=Config!$B$6,2000-(D305-Config!$B$5),IF(D305-Config!$B$5&lt;=Config!$B$7,1000-(D305-Config!$B$5),500-MIN(D305-Config!$B$5,400)))))-ROW()/100000)</f>
        <v/>
      </c>
    </row>
    <row r="306">
      <c r="A306" s="31" t="n"/>
      <c r="B306" s="31" t="n"/>
      <c r="C306" s="33" t="n"/>
      <c r="D306" s="34" t="n"/>
      <c r="E306" s="33" t="n"/>
      <c r="F306" s="33" t="n"/>
      <c r="G306" s="31" t="n"/>
      <c r="H306" s="28">
        <f>IF(OR(I306="",I306="Feito",I306="Sem data"),"",D306-Config!$B$5)</f>
        <v/>
      </c>
      <c r="I306" s="25">
        <f>IF(AND(A306="",C306="",D306=""),"",IF(F306="Sim","Feito",IF(D306="","Sem data",IF(D306&lt;Config!$B$5,"Atrasado",IF(D306=Config!$B$5,"Hoje",IF(D306-Config!$B$5&lt;=Config!$B$6,"Até "&amp;Config!$B$6&amp;" dias",IF(D306-Config!$B$5&lt;=Config!$B$7,"Até "&amp;Config!$B$7&amp;" dias","Depois")))))))</f>
        <v/>
      </c>
      <c r="J306" s="35">
        <f>IF(OR(I306="",I306="Feito",I306="Sem data"),0,IF(I306="Atrasado",3000+MIN(Config!$B$5-D306,60),IF(I306="Hoje",2500,IF(D306-Config!$B$5&lt;=Config!$B$6,2000-(D306-Config!$B$5),IF(D306-Config!$B$5&lt;=Config!$B$7,1000-(D306-Config!$B$5),500-MIN(D306-Config!$B$5,400)))))-ROW()/100000)</f>
        <v/>
      </c>
    </row>
    <row r="307">
      <c r="A307" s="31" t="n"/>
      <c r="B307" s="31" t="n"/>
      <c r="C307" s="33" t="n"/>
      <c r="D307" s="34" t="n"/>
      <c r="E307" s="33" t="n"/>
      <c r="F307" s="33" t="n"/>
      <c r="G307" s="31" t="n"/>
      <c r="H307" s="28">
        <f>IF(OR(I307="",I307="Feito",I307="Sem data"),"",D307-Config!$B$5)</f>
        <v/>
      </c>
      <c r="I307" s="25">
        <f>IF(AND(A307="",C307="",D307=""),"",IF(F307="Sim","Feito",IF(D307="","Sem data",IF(D307&lt;Config!$B$5,"Atrasado",IF(D307=Config!$B$5,"Hoje",IF(D307-Config!$B$5&lt;=Config!$B$6,"Até "&amp;Config!$B$6&amp;" dias",IF(D307-Config!$B$5&lt;=Config!$B$7,"Até "&amp;Config!$B$7&amp;" dias","Depois")))))))</f>
        <v/>
      </c>
      <c r="J307" s="35">
        <f>IF(OR(I307="",I307="Feito",I307="Sem data"),0,IF(I307="Atrasado",3000+MIN(Config!$B$5-D307,60),IF(I307="Hoje",2500,IF(D307-Config!$B$5&lt;=Config!$B$6,2000-(D307-Config!$B$5),IF(D307-Config!$B$5&lt;=Config!$B$7,1000-(D307-Config!$B$5),500-MIN(D307-Config!$B$5,400)))))-ROW()/100000)</f>
        <v/>
      </c>
    </row>
    <row r="308">
      <c r="A308" s="31" t="n"/>
      <c r="B308" s="31" t="n"/>
      <c r="C308" s="33" t="n"/>
      <c r="D308" s="34" t="n"/>
      <c r="E308" s="33" t="n"/>
      <c r="F308" s="33" t="n"/>
      <c r="G308" s="31" t="n"/>
      <c r="H308" s="28">
        <f>IF(OR(I308="",I308="Feito",I308="Sem data"),"",D308-Config!$B$5)</f>
        <v/>
      </c>
      <c r="I308" s="25">
        <f>IF(AND(A308="",C308="",D308=""),"",IF(F308="Sim","Feito",IF(D308="","Sem data",IF(D308&lt;Config!$B$5,"Atrasado",IF(D308=Config!$B$5,"Hoje",IF(D308-Config!$B$5&lt;=Config!$B$6,"Até "&amp;Config!$B$6&amp;" dias",IF(D308-Config!$B$5&lt;=Config!$B$7,"Até "&amp;Config!$B$7&amp;" dias","Depois")))))))</f>
        <v/>
      </c>
      <c r="J308" s="35">
        <f>IF(OR(I308="",I308="Feito",I308="Sem data"),0,IF(I308="Atrasado",3000+MIN(Config!$B$5-D308,60),IF(I308="Hoje",2500,IF(D308-Config!$B$5&lt;=Config!$B$6,2000-(D308-Config!$B$5),IF(D308-Config!$B$5&lt;=Config!$B$7,1000-(D308-Config!$B$5),500-MIN(D308-Config!$B$5,400)))))-ROW()/100000)</f>
        <v/>
      </c>
    </row>
    <row r="309">
      <c r="A309" s="31" t="n"/>
      <c r="B309" s="31" t="n"/>
      <c r="C309" s="33" t="n"/>
      <c r="D309" s="34" t="n"/>
      <c r="E309" s="33" t="n"/>
      <c r="F309" s="33" t="n"/>
      <c r="G309" s="31" t="n"/>
      <c r="H309" s="28">
        <f>IF(OR(I309="",I309="Feito",I309="Sem data"),"",D309-Config!$B$5)</f>
        <v/>
      </c>
      <c r="I309" s="25">
        <f>IF(AND(A309="",C309="",D309=""),"",IF(F309="Sim","Feito",IF(D309="","Sem data",IF(D309&lt;Config!$B$5,"Atrasado",IF(D309=Config!$B$5,"Hoje",IF(D309-Config!$B$5&lt;=Config!$B$6,"Até "&amp;Config!$B$6&amp;" dias",IF(D309-Config!$B$5&lt;=Config!$B$7,"Até "&amp;Config!$B$7&amp;" dias","Depois")))))))</f>
        <v/>
      </c>
      <c r="J309" s="35">
        <f>IF(OR(I309="",I309="Feito",I309="Sem data"),0,IF(I309="Atrasado",3000+MIN(Config!$B$5-D309,60),IF(I309="Hoje",2500,IF(D309-Config!$B$5&lt;=Config!$B$6,2000-(D309-Config!$B$5),IF(D309-Config!$B$5&lt;=Config!$B$7,1000-(D309-Config!$B$5),500-MIN(D309-Config!$B$5,400)))))-ROW()/100000)</f>
        <v/>
      </c>
    </row>
    <row r="310">
      <c r="A310" s="31" t="n"/>
      <c r="B310" s="31" t="n"/>
      <c r="C310" s="33" t="n"/>
      <c r="D310" s="34" t="n"/>
      <c r="E310" s="33" t="n"/>
      <c r="F310" s="33" t="n"/>
      <c r="G310" s="31" t="n"/>
      <c r="H310" s="28">
        <f>IF(OR(I310="",I310="Feito",I310="Sem data"),"",D310-Config!$B$5)</f>
        <v/>
      </c>
      <c r="I310" s="25">
        <f>IF(AND(A310="",C310="",D310=""),"",IF(F310="Sim","Feito",IF(D310="","Sem data",IF(D310&lt;Config!$B$5,"Atrasado",IF(D310=Config!$B$5,"Hoje",IF(D310-Config!$B$5&lt;=Config!$B$6,"Até "&amp;Config!$B$6&amp;" dias",IF(D310-Config!$B$5&lt;=Config!$B$7,"Até "&amp;Config!$B$7&amp;" dias","Depois")))))))</f>
        <v/>
      </c>
      <c r="J310" s="35">
        <f>IF(OR(I310="",I310="Feito",I310="Sem data"),0,IF(I310="Atrasado",3000+MIN(Config!$B$5-D310,60),IF(I310="Hoje",2500,IF(D310-Config!$B$5&lt;=Config!$B$6,2000-(D310-Config!$B$5),IF(D310-Config!$B$5&lt;=Config!$B$7,1000-(D310-Config!$B$5),500-MIN(D310-Config!$B$5,400)))))-ROW()/100000)</f>
        <v/>
      </c>
    </row>
    <row r="311">
      <c r="A311" s="31" t="n"/>
      <c r="B311" s="31" t="n"/>
      <c r="C311" s="33" t="n"/>
      <c r="D311" s="34" t="n"/>
      <c r="E311" s="33" t="n"/>
      <c r="F311" s="33" t="n"/>
      <c r="G311" s="31" t="n"/>
      <c r="H311" s="28">
        <f>IF(OR(I311="",I311="Feito",I311="Sem data"),"",D311-Config!$B$5)</f>
        <v/>
      </c>
      <c r="I311" s="25">
        <f>IF(AND(A311="",C311="",D311=""),"",IF(F311="Sim","Feito",IF(D311="","Sem data",IF(D311&lt;Config!$B$5,"Atrasado",IF(D311=Config!$B$5,"Hoje",IF(D311-Config!$B$5&lt;=Config!$B$6,"Até "&amp;Config!$B$6&amp;" dias",IF(D311-Config!$B$5&lt;=Config!$B$7,"Até "&amp;Config!$B$7&amp;" dias","Depois")))))))</f>
        <v/>
      </c>
      <c r="J311" s="35">
        <f>IF(OR(I311="",I311="Feito",I311="Sem data"),0,IF(I311="Atrasado",3000+MIN(Config!$B$5-D311,60),IF(I311="Hoje",2500,IF(D311-Config!$B$5&lt;=Config!$B$6,2000-(D311-Config!$B$5),IF(D311-Config!$B$5&lt;=Config!$B$7,1000-(D311-Config!$B$5),500-MIN(D311-Config!$B$5,400)))))-ROW()/100000)</f>
        <v/>
      </c>
    </row>
    <row r="312">
      <c r="A312" s="31" t="n"/>
      <c r="B312" s="31" t="n"/>
      <c r="C312" s="33" t="n"/>
      <c r="D312" s="34" t="n"/>
      <c r="E312" s="33" t="n"/>
      <c r="F312" s="33" t="n"/>
      <c r="G312" s="31" t="n"/>
      <c r="H312" s="28">
        <f>IF(OR(I312="",I312="Feito",I312="Sem data"),"",D312-Config!$B$5)</f>
        <v/>
      </c>
      <c r="I312" s="25">
        <f>IF(AND(A312="",C312="",D312=""),"",IF(F312="Sim","Feito",IF(D312="","Sem data",IF(D312&lt;Config!$B$5,"Atrasado",IF(D312=Config!$B$5,"Hoje",IF(D312-Config!$B$5&lt;=Config!$B$6,"Até "&amp;Config!$B$6&amp;" dias",IF(D312-Config!$B$5&lt;=Config!$B$7,"Até "&amp;Config!$B$7&amp;" dias","Depois")))))))</f>
        <v/>
      </c>
      <c r="J312" s="35">
        <f>IF(OR(I312="",I312="Feito",I312="Sem data"),0,IF(I312="Atrasado",3000+MIN(Config!$B$5-D312,60),IF(I312="Hoje",2500,IF(D312-Config!$B$5&lt;=Config!$B$6,2000-(D312-Config!$B$5),IF(D312-Config!$B$5&lt;=Config!$B$7,1000-(D312-Config!$B$5),500-MIN(D312-Config!$B$5,400)))))-ROW()/100000)</f>
        <v/>
      </c>
    </row>
    <row r="313">
      <c r="A313" s="31" t="n"/>
      <c r="B313" s="31" t="n"/>
      <c r="C313" s="33" t="n"/>
      <c r="D313" s="34" t="n"/>
      <c r="E313" s="33" t="n"/>
      <c r="F313" s="33" t="n"/>
      <c r="G313" s="31" t="n"/>
      <c r="H313" s="28">
        <f>IF(OR(I313="",I313="Feito",I313="Sem data"),"",D313-Config!$B$5)</f>
        <v/>
      </c>
      <c r="I313" s="25">
        <f>IF(AND(A313="",C313="",D313=""),"",IF(F313="Sim","Feito",IF(D313="","Sem data",IF(D313&lt;Config!$B$5,"Atrasado",IF(D313=Config!$B$5,"Hoje",IF(D313-Config!$B$5&lt;=Config!$B$6,"Até "&amp;Config!$B$6&amp;" dias",IF(D313-Config!$B$5&lt;=Config!$B$7,"Até "&amp;Config!$B$7&amp;" dias","Depois")))))))</f>
        <v/>
      </c>
      <c r="J313" s="35">
        <f>IF(OR(I313="",I313="Feito",I313="Sem data"),0,IF(I313="Atrasado",3000+MIN(Config!$B$5-D313,60),IF(I313="Hoje",2500,IF(D313-Config!$B$5&lt;=Config!$B$6,2000-(D313-Config!$B$5),IF(D313-Config!$B$5&lt;=Config!$B$7,1000-(D313-Config!$B$5),500-MIN(D313-Config!$B$5,400)))))-ROW()/100000)</f>
        <v/>
      </c>
    </row>
    <row r="314">
      <c r="A314" s="31" t="n"/>
      <c r="B314" s="31" t="n"/>
      <c r="C314" s="33" t="n"/>
      <c r="D314" s="34" t="n"/>
      <c r="E314" s="33" t="n"/>
      <c r="F314" s="33" t="n"/>
      <c r="G314" s="31" t="n"/>
      <c r="H314" s="28">
        <f>IF(OR(I314="",I314="Feito",I314="Sem data"),"",D314-Config!$B$5)</f>
        <v/>
      </c>
      <c r="I314" s="25">
        <f>IF(AND(A314="",C314="",D314=""),"",IF(F314="Sim","Feito",IF(D314="","Sem data",IF(D314&lt;Config!$B$5,"Atrasado",IF(D314=Config!$B$5,"Hoje",IF(D314-Config!$B$5&lt;=Config!$B$6,"Até "&amp;Config!$B$6&amp;" dias",IF(D314-Config!$B$5&lt;=Config!$B$7,"Até "&amp;Config!$B$7&amp;" dias","Depois")))))))</f>
        <v/>
      </c>
      <c r="J314" s="35">
        <f>IF(OR(I314="",I314="Feito",I314="Sem data"),0,IF(I314="Atrasado",3000+MIN(Config!$B$5-D314,60),IF(I314="Hoje",2500,IF(D314-Config!$B$5&lt;=Config!$B$6,2000-(D314-Config!$B$5),IF(D314-Config!$B$5&lt;=Config!$B$7,1000-(D314-Config!$B$5),500-MIN(D314-Config!$B$5,400)))))-ROW()/100000)</f>
        <v/>
      </c>
    </row>
    <row r="315">
      <c r="A315" s="31" t="n"/>
      <c r="B315" s="31" t="n"/>
      <c r="C315" s="33" t="n"/>
      <c r="D315" s="34" t="n"/>
      <c r="E315" s="33" t="n"/>
      <c r="F315" s="33" t="n"/>
      <c r="G315" s="31" t="n"/>
      <c r="H315" s="28">
        <f>IF(OR(I315="",I315="Feito",I315="Sem data"),"",D315-Config!$B$5)</f>
        <v/>
      </c>
      <c r="I315" s="25">
        <f>IF(AND(A315="",C315="",D315=""),"",IF(F315="Sim","Feito",IF(D315="","Sem data",IF(D315&lt;Config!$B$5,"Atrasado",IF(D315=Config!$B$5,"Hoje",IF(D315-Config!$B$5&lt;=Config!$B$6,"Até "&amp;Config!$B$6&amp;" dias",IF(D315-Config!$B$5&lt;=Config!$B$7,"Até "&amp;Config!$B$7&amp;" dias","Depois")))))))</f>
        <v/>
      </c>
      <c r="J315" s="35">
        <f>IF(OR(I315="",I315="Feito",I315="Sem data"),0,IF(I315="Atrasado",3000+MIN(Config!$B$5-D315,60),IF(I315="Hoje",2500,IF(D315-Config!$B$5&lt;=Config!$B$6,2000-(D315-Config!$B$5),IF(D315-Config!$B$5&lt;=Config!$B$7,1000-(D315-Config!$B$5),500-MIN(D315-Config!$B$5,400)))))-ROW()/100000)</f>
        <v/>
      </c>
    </row>
    <row r="316">
      <c r="A316" s="31" t="n"/>
      <c r="B316" s="31" t="n"/>
      <c r="C316" s="33" t="n"/>
      <c r="D316" s="34" t="n"/>
      <c r="E316" s="33" t="n"/>
      <c r="F316" s="33" t="n"/>
      <c r="G316" s="31" t="n"/>
      <c r="H316" s="28">
        <f>IF(OR(I316="",I316="Feito",I316="Sem data"),"",D316-Config!$B$5)</f>
        <v/>
      </c>
      <c r="I316" s="25">
        <f>IF(AND(A316="",C316="",D316=""),"",IF(F316="Sim","Feito",IF(D316="","Sem data",IF(D316&lt;Config!$B$5,"Atrasado",IF(D316=Config!$B$5,"Hoje",IF(D316-Config!$B$5&lt;=Config!$B$6,"Até "&amp;Config!$B$6&amp;" dias",IF(D316-Config!$B$5&lt;=Config!$B$7,"Até "&amp;Config!$B$7&amp;" dias","Depois")))))))</f>
        <v/>
      </c>
      <c r="J316" s="35">
        <f>IF(OR(I316="",I316="Feito",I316="Sem data"),0,IF(I316="Atrasado",3000+MIN(Config!$B$5-D316,60),IF(I316="Hoje",2500,IF(D316-Config!$B$5&lt;=Config!$B$6,2000-(D316-Config!$B$5),IF(D316-Config!$B$5&lt;=Config!$B$7,1000-(D316-Config!$B$5),500-MIN(D316-Config!$B$5,400)))))-ROW()/100000)</f>
        <v/>
      </c>
    </row>
    <row r="317">
      <c r="A317" s="31" t="n"/>
      <c r="B317" s="31" t="n"/>
      <c r="C317" s="33" t="n"/>
      <c r="D317" s="34" t="n"/>
      <c r="E317" s="33" t="n"/>
      <c r="F317" s="33" t="n"/>
      <c r="G317" s="31" t="n"/>
      <c r="H317" s="28">
        <f>IF(OR(I317="",I317="Feito",I317="Sem data"),"",D317-Config!$B$5)</f>
        <v/>
      </c>
      <c r="I317" s="25">
        <f>IF(AND(A317="",C317="",D317=""),"",IF(F317="Sim","Feito",IF(D317="","Sem data",IF(D317&lt;Config!$B$5,"Atrasado",IF(D317=Config!$B$5,"Hoje",IF(D317-Config!$B$5&lt;=Config!$B$6,"Até "&amp;Config!$B$6&amp;" dias",IF(D317-Config!$B$5&lt;=Config!$B$7,"Até "&amp;Config!$B$7&amp;" dias","Depois")))))))</f>
        <v/>
      </c>
      <c r="J317" s="35">
        <f>IF(OR(I317="",I317="Feito",I317="Sem data"),0,IF(I317="Atrasado",3000+MIN(Config!$B$5-D317,60),IF(I317="Hoje",2500,IF(D317-Config!$B$5&lt;=Config!$B$6,2000-(D317-Config!$B$5),IF(D317-Config!$B$5&lt;=Config!$B$7,1000-(D317-Config!$B$5),500-MIN(D317-Config!$B$5,400)))))-ROW()/100000)</f>
        <v/>
      </c>
    </row>
    <row r="318">
      <c r="A318" s="31" t="n"/>
      <c r="B318" s="31" t="n"/>
      <c r="C318" s="33" t="n"/>
      <c r="D318" s="34" t="n"/>
      <c r="E318" s="33" t="n"/>
      <c r="F318" s="33" t="n"/>
      <c r="G318" s="31" t="n"/>
      <c r="H318" s="28">
        <f>IF(OR(I318="",I318="Feito",I318="Sem data"),"",D318-Config!$B$5)</f>
        <v/>
      </c>
      <c r="I318" s="25">
        <f>IF(AND(A318="",C318="",D318=""),"",IF(F318="Sim","Feito",IF(D318="","Sem data",IF(D318&lt;Config!$B$5,"Atrasado",IF(D318=Config!$B$5,"Hoje",IF(D318-Config!$B$5&lt;=Config!$B$6,"Até "&amp;Config!$B$6&amp;" dias",IF(D318-Config!$B$5&lt;=Config!$B$7,"Até "&amp;Config!$B$7&amp;" dias","Depois")))))))</f>
        <v/>
      </c>
      <c r="J318" s="35">
        <f>IF(OR(I318="",I318="Feito",I318="Sem data"),0,IF(I318="Atrasado",3000+MIN(Config!$B$5-D318,60),IF(I318="Hoje",2500,IF(D318-Config!$B$5&lt;=Config!$B$6,2000-(D318-Config!$B$5),IF(D318-Config!$B$5&lt;=Config!$B$7,1000-(D318-Config!$B$5),500-MIN(D318-Config!$B$5,400)))))-ROW()/100000)</f>
        <v/>
      </c>
    </row>
    <row r="319">
      <c r="A319" s="31" t="n"/>
      <c r="B319" s="31" t="n"/>
      <c r="C319" s="33" t="n"/>
      <c r="D319" s="34" t="n"/>
      <c r="E319" s="33" t="n"/>
      <c r="F319" s="33" t="n"/>
      <c r="G319" s="31" t="n"/>
      <c r="H319" s="28">
        <f>IF(OR(I319="",I319="Feito",I319="Sem data"),"",D319-Config!$B$5)</f>
        <v/>
      </c>
      <c r="I319" s="25">
        <f>IF(AND(A319="",C319="",D319=""),"",IF(F319="Sim","Feito",IF(D319="","Sem data",IF(D319&lt;Config!$B$5,"Atrasado",IF(D319=Config!$B$5,"Hoje",IF(D319-Config!$B$5&lt;=Config!$B$6,"Até "&amp;Config!$B$6&amp;" dias",IF(D319-Config!$B$5&lt;=Config!$B$7,"Até "&amp;Config!$B$7&amp;" dias","Depois")))))))</f>
        <v/>
      </c>
      <c r="J319" s="35">
        <f>IF(OR(I319="",I319="Feito",I319="Sem data"),0,IF(I319="Atrasado",3000+MIN(Config!$B$5-D319,60),IF(I319="Hoje",2500,IF(D319-Config!$B$5&lt;=Config!$B$6,2000-(D319-Config!$B$5),IF(D319-Config!$B$5&lt;=Config!$B$7,1000-(D319-Config!$B$5),500-MIN(D319-Config!$B$5,400)))))-ROW()/100000)</f>
        <v/>
      </c>
    </row>
    <row r="320">
      <c r="A320" s="31" t="n"/>
      <c r="B320" s="31" t="n"/>
      <c r="C320" s="33" t="n"/>
      <c r="D320" s="34" t="n"/>
      <c r="E320" s="33" t="n"/>
      <c r="F320" s="33" t="n"/>
      <c r="G320" s="31" t="n"/>
      <c r="H320" s="28">
        <f>IF(OR(I320="",I320="Feito",I320="Sem data"),"",D320-Config!$B$5)</f>
        <v/>
      </c>
      <c r="I320" s="25">
        <f>IF(AND(A320="",C320="",D320=""),"",IF(F320="Sim","Feito",IF(D320="","Sem data",IF(D320&lt;Config!$B$5,"Atrasado",IF(D320=Config!$B$5,"Hoje",IF(D320-Config!$B$5&lt;=Config!$B$6,"Até "&amp;Config!$B$6&amp;" dias",IF(D320-Config!$B$5&lt;=Config!$B$7,"Até "&amp;Config!$B$7&amp;" dias","Depois")))))))</f>
        <v/>
      </c>
      <c r="J320" s="35">
        <f>IF(OR(I320="",I320="Feito",I320="Sem data"),0,IF(I320="Atrasado",3000+MIN(Config!$B$5-D320,60),IF(I320="Hoje",2500,IF(D320-Config!$B$5&lt;=Config!$B$6,2000-(D320-Config!$B$5),IF(D320-Config!$B$5&lt;=Config!$B$7,1000-(D320-Config!$B$5),500-MIN(D320-Config!$B$5,400)))))-ROW()/100000)</f>
        <v/>
      </c>
    </row>
    <row r="321">
      <c r="A321" s="31" t="n"/>
      <c r="B321" s="31" t="n"/>
      <c r="C321" s="33" t="n"/>
      <c r="D321" s="34" t="n"/>
      <c r="E321" s="33" t="n"/>
      <c r="F321" s="33" t="n"/>
      <c r="G321" s="31" t="n"/>
      <c r="H321" s="28">
        <f>IF(OR(I321="",I321="Feito",I321="Sem data"),"",D321-Config!$B$5)</f>
        <v/>
      </c>
      <c r="I321" s="25">
        <f>IF(AND(A321="",C321="",D321=""),"",IF(F321="Sim","Feito",IF(D321="","Sem data",IF(D321&lt;Config!$B$5,"Atrasado",IF(D321=Config!$B$5,"Hoje",IF(D321-Config!$B$5&lt;=Config!$B$6,"Até "&amp;Config!$B$6&amp;" dias",IF(D321-Config!$B$5&lt;=Config!$B$7,"Até "&amp;Config!$B$7&amp;" dias","Depois")))))))</f>
        <v/>
      </c>
      <c r="J321" s="35">
        <f>IF(OR(I321="",I321="Feito",I321="Sem data"),0,IF(I321="Atrasado",3000+MIN(Config!$B$5-D321,60),IF(I321="Hoje",2500,IF(D321-Config!$B$5&lt;=Config!$B$6,2000-(D321-Config!$B$5),IF(D321-Config!$B$5&lt;=Config!$B$7,1000-(D321-Config!$B$5),500-MIN(D321-Config!$B$5,400)))))-ROW()/100000)</f>
        <v/>
      </c>
    </row>
    <row r="322">
      <c r="A322" s="31" t="n"/>
      <c r="B322" s="31" t="n"/>
      <c r="C322" s="33" t="n"/>
      <c r="D322" s="34" t="n"/>
      <c r="E322" s="33" t="n"/>
      <c r="F322" s="33" t="n"/>
      <c r="G322" s="31" t="n"/>
      <c r="H322" s="28">
        <f>IF(OR(I322="",I322="Feito",I322="Sem data"),"",D322-Config!$B$5)</f>
        <v/>
      </c>
      <c r="I322" s="25">
        <f>IF(AND(A322="",C322="",D322=""),"",IF(F322="Sim","Feito",IF(D322="","Sem data",IF(D322&lt;Config!$B$5,"Atrasado",IF(D322=Config!$B$5,"Hoje",IF(D322-Config!$B$5&lt;=Config!$B$6,"Até "&amp;Config!$B$6&amp;" dias",IF(D322-Config!$B$5&lt;=Config!$B$7,"Até "&amp;Config!$B$7&amp;" dias","Depois")))))))</f>
        <v/>
      </c>
      <c r="J322" s="35">
        <f>IF(OR(I322="",I322="Feito",I322="Sem data"),0,IF(I322="Atrasado",3000+MIN(Config!$B$5-D322,60),IF(I322="Hoje",2500,IF(D322-Config!$B$5&lt;=Config!$B$6,2000-(D322-Config!$B$5),IF(D322-Config!$B$5&lt;=Config!$B$7,1000-(D322-Config!$B$5),500-MIN(D322-Config!$B$5,400)))))-ROW()/100000)</f>
        <v/>
      </c>
    </row>
    <row r="323">
      <c r="A323" s="31" t="n"/>
      <c r="B323" s="31" t="n"/>
      <c r="C323" s="33" t="n"/>
      <c r="D323" s="34" t="n"/>
      <c r="E323" s="33" t="n"/>
      <c r="F323" s="33" t="n"/>
      <c r="G323" s="31" t="n"/>
      <c r="H323" s="28">
        <f>IF(OR(I323="",I323="Feito",I323="Sem data"),"",D323-Config!$B$5)</f>
        <v/>
      </c>
      <c r="I323" s="25">
        <f>IF(AND(A323="",C323="",D323=""),"",IF(F323="Sim","Feito",IF(D323="","Sem data",IF(D323&lt;Config!$B$5,"Atrasado",IF(D323=Config!$B$5,"Hoje",IF(D323-Config!$B$5&lt;=Config!$B$6,"Até "&amp;Config!$B$6&amp;" dias",IF(D323-Config!$B$5&lt;=Config!$B$7,"Até "&amp;Config!$B$7&amp;" dias","Depois")))))))</f>
        <v/>
      </c>
      <c r="J323" s="35">
        <f>IF(OR(I323="",I323="Feito",I323="Sem data"),0,IF(I323="Atrasado",3000+MIN(Config!$B$5-D323,60),IF(I323="Hoje",2500,IF(D323-Config!$B$5&lt;=Config!$B$6,2000-(D323-Config!$B$5),IF(D323-Config!$B$5&lt;=Config!$B$7,1000-(D323-Config!$B$5),500-MIN(D323-Config!$B$5,400)))))-ROW()/100000)</f>
        <v/>
      </c>
    </row>
    <row r="324">
      <c r="A324" s="31" t="n"/>
      <c r="B324" s="31" t="n"/>
      <c r="C324" s="33" t="n"/>
      <c r="D324" s="34" t="n"/>
      <c r="E324" s="33" t="n"/>
      <c r="F324" s="33" t="n"/>
      <c r="G324" s="31" t="n"/>
      <c r="H324" s="28">
        <f>IF(OR(I324="",I324="Feito",I324="Sem data"),"",D324-Config!$B$5)</f>
        <v/>
      </c>
      <c r="I324" s="25">
        <f>IF(AND(A324="",C324="",D324=""),"",IF(F324="Sim","Feito",IF(D324="","Sem data",IF(D324&lt;Config!$B$5,"Atrasado",IF(D324=Config!$B$5,"Hoje",IF(D324-Config!$B$5&lt;=Config!$B$6,"Até "&amp;Config!$B$6&amp;" dias",IF(D324-Config!$B$5&lt;=Config!$B$7,"Até "&amp;Config!$B$7&amp;" dias","Depois")))))))</f>
        <v/>
      </c>
      <c r="J324" s="35">
        <f>IF(OR(I324="",I324="Feito",I324="Sem data"),0,IF(I324="Atrasado",3000+MIN(Config!$B$5-D324,60),IF(I324="Hoje",2500,IF(D324-Config!$B$5&lt;=Config!$B$6,2000-(D324-Config!$B$5),IF(D324-Config!$B$5&lt;=Config!$B$7,1000-(D324-Config!$B$5),500-MIN(D324-Config!$B$5,400)))))-ROW()/100000)</f>
        <v/>
      </c>
    </row>
    <row r="325">
      <c r="A325" s="31" t="n"/>
      <c r="B325" s="31" t="n"/>
      <c r="C325" s="33" t="n"/>
      <c r="D325" s="34" t="n"/>
      <c r="E325" s="33" t="n"/>
      <c r="F325" s="33" t="n"/>
      <c r="G325" s="31" t="n"/>
      <c r="H325" s="28">
        <f>IF(OR(I325="",I325="Feito",I325="Sem data"),"",D325-Config!$B$5)</f>
        <v/>
      </c>
      <c r="I325" s="25">
        <f>IF(AND(A325="",C325="",D325=""),"",IF(F325="Sim","Feito",IF(D325="","Sem data",IF(D325&lt;Config!$B$5,"Atrasado",IF(D325=Config!$B$5,"Hoje",IF(D325-Config!$B$5&lt;=Config!$B$6,"Até "&amp;Config!$B$6&amp;" dias",IF(D325-Config!$B$5&lt;=Config!$B$7,"Até "&amp;Config!$B$7&amp;" dias","Depois")))))))</f>
        <v/>
      </c>
      <c r="J325" s="35">
        <f>IF(OR(I325="",I325="Feito",I325="Sem data"),0,IF(I325="Atrasado",3000+MIN(Config!$B$5-D325,60),IF(I325="Hoje",2500,IF(D325-Config!$B$5&lt;=Config!$B$6,2000-(D325-Config!$B$5),IF(D325-Config!$B$5&lt;=Config!$B$7,1000-(D325-Config!$B$5),500-MIN(D325-Config!$B$5,400)))))-ROW()/100000)</f>
        <v/>
      </c>
    </row>
    <row r="326">
      <c r="A326" s="31" t="n"/>
      <c r="B326" s="31" t="n"/>
      <c r="C326" s="33" t="n"/>
      <c r="D326" s="34" t="n"/>
      <c r="E326" s="33" t="n"/>
      <c r="F326" s="33" t="n"/>
      <c r="G326" s="31" t="n"/>
      <c r="H326" s="28">
        <f>IF(OR(I326="",I326="Feito",I326="Sem data"),"",D326-Config!$B$5)</f>
        <v/>
      </c>
      <c r="I326" s="25">
        <f>IF(AND(A326="",C326="",D326=""),"",IF(F326="Sim","Feito",IF(D326="","Sem data",IF(D326&lt;Config!$B$5,"Atrasado",IF(D326=Config!$B$5,"Hoje",IF(D326-Config!$B$5&lt;=Config!$B$6,"Até "&amp;Config!$B$6&amp;" dias",IF(D326-Config!$B$5&lt;=Config!$B$7,"Até "&amp;Config!$B$7&amp;" dias","Depois")))))))</f>
        <v/>
      </c>
      <c r="J326" s="35">
        <f>IF(OR(I326="",I326="Feito",I326="Sem data"),0,IF(I326="Atrasado",3000+MIN(Config!$B$5-D326,60),IF(I326="Hoje",2500,IF(D326-Config!$B$5&lt;=Config!$B$6,2000-(D326-Config!$B$5),IF(D326-Config!$B$5&lt;=Config!$B$7,1000-(D326-Config!$B$5),500-MIN(D326-Config!$B$5,400)))))-ROW()/100000)</f>
        <v/>
      </c>
    </row>
    <row r="327">
      <c r="A327" s="31" t="n"/>
      <c r="B327" s="31" t="n"/>
      <c r="C327" s="33" t="n"/>
      <c r="D327" s="34" t="n"/>
      <c r="E327" s="33" t="n"/>
      <c r="F327" s="33" t="n"/>
      <c r="G327" s="31" t="n"/>
      <c r="H327" s="28">
        <f>IF(OR(I327="",I327="Feito",I327="Sem data"),"",D327-Config!$B$5)</f>
        <v/>
      </c>
      <c r="I327" s="25">
        <f>IF(AND(A327="",C327="",D327=""),"",IF(F327="Sim","Feito",IF(D327="","Sem data",IF(D327&lt;Config!$B$5,"Atrasado",IF(D327=Config!$B$5,"Hoje",IF(D327-Config!$B$5&lt;=Config!$B$6,"Até "&amp;Config!$B$6&amp;" dias",IF(D327-Config!$B$5&lt;=Config!$B$7,"Até "&amp;Config!$B$7&amp;" dias","Depois")))))))</f>
        <v/>
      </c>
      <c r="J327" s="35">
        <f>IF(OR(I327="",I327="Feito",I327="Sem data"),0,IF(I327="Atrasado",3000+MIN(Config!$B$5-D327,60),IF(I327="Hoje",2500,IF(D327-Config!$B$5&lt;=Config!$B$6,2000-(D327-Config!$B$5),IF(D327-Config!$B$5&lt;=Config!$B$7,1000-(D327-Config!$B$5),500-MIN(D327-Config!$B$5,400)))))-ROW()/100000)</f>
        <v/>
      </c>
    </row>
    <row r="328">
      <c r="A328" s="31" t="n"/>
      <c r="B328" s="31" t="n"/>
      <c r="C328" s="33" t="n"/>
      <c r="D328" s="34" t="n"/>
      <c r="E328" s="33" t="n"/>
      <c r="F328" s="33" t="n"/>
      <c r="G328" s="31" t="n"/>
      <c r="H328" s="28">
        <f>IF(OR(I328="",I328="Feito",I328="Sem data"),"",D328-Config!$B$5)</f>
        <v/>
      </c>
      <c r="I328" s="25">
        <f>IF(AND(A328="",C328="",D328=""),"",IF(F328="Sim","Feito",IF(D328="","Sem data",IF(D328&lt;Config!$B$5,"Atrasado",IF(D328=Config!$B$5,"Hoje",IF(D328-Config!$B$5&lt;=Config!$B$6,"Até "&amp;Config!$B$6&amp;" dias",IF(D328-Config!$B$5&lt;=Config!$B$7,"Até "&amp;Config!$B$7&amp;" dias","Depois")))))))</f>
        <v/>
      </c>
      <c r="J328" s="35">
        <f>IF(OR(I328="",I328="Feito",I328="Sem data"),0,IF(I328="Atrasado",3000+MIN(Config!$B$5-D328,60),IF(I328="Hoje",2500,IF(D328-Config!$B$5&lt;=Config!$B$6,2000-(D328-Config!$B$5),IF(D328-Config!$B$5&lt;=Config!$B$7,1000-(D328-Config!$B$5),500-MIN(D328-Config!$B$5,400)))))-ROW()/100000)</f>
        <v/>
      </c>
    </row>
    <row r="329">
      <c r="A329" s="31" t="n"/>
      <c r="B329" s="31" t="n"/>
      <c r="C329" s="33" t="n"/>
      <c r="D329" s="34" t="n"/>
      <c r="E329" s="33" t="n"/>
      <c r="F329" s="33" t="n"/>
      <c r="G329" s="31" t="n"/>
      <c r="H329" s="28">
        <f>IF(OR(I329="",I329="Feito",I329="Sem data"),"",D329-Config!$B$5)</f>
        <v/>
      </c>
      <c r="I329" s="25">
        <f>IF(AND(A329="",C329="",D329=""),"",IF(F329="Sim","Feito",IF(D329="","Sem data",IF(D329&lt;Config!$B$5,"Atrasado",IF(D329=Config!$B$5,"Hoje",IF(D329-Config!$B$5&lt;=Config!$B$6,"Até "&amp;Config!$B$6&amp;" dias",IF(D329-Config!$B$5&lt;=Config!$B$7,"Até "&amp;Config!$B$7&amp;" dias","Depois")))))))</f>
        <v/>
      </c>
      <c r="J329" s="35">
        <f>IF(OR(I329="",I329="Feito",I329="Sem data"),0,IF(I329="Atrasado",3000+MIN(Config!$B$5-D329,60),IF(I329="Hoje",2500,IF(D329-Config!$B$5&lt;=Config!$B$6,2000-(D329-Config!$B$5),IF(D329-Config!$B$5&lt;=Config!$B$7,1000-(D329-Config!$B$5),500-MIN(D329-Config!$B$5,400)))))-ROW()/100000)</f>
        <v/>
      </c>
    </row>
    <row r="330">
      <c r="A330" s="31" t="n"/>
      <c r="B330" s="31" t="n"/>
      <c r="C330" s="33" t="n"/>
      <c r="D330" s="34" t="n"/>
      <c r="E330" s="33" t="n"/>
      <c r="F330" s="33" t="n"/>
      <c r="G330" s="31" t="n"/>
      <c r="H330" s="28">
        <f>IF(OR(I330="",I330="Feito",I330="Sem data"),"",D330-Config!$B$5)</f>
        <v/>
      </c>
      <c r="I330" s="25">
        <f>IF(AND(A330="",C330="",D330=""),"",IF(F330="Sim","Feito",IF(D330="","Sem data",IF(D330&lt;Config!$B$5,"Atrasado",IF(D330=Config!$B$5,"Hoje",IF(D330-Config!$B$5&lt;=Config!$B$6,"Até "&amp;Config!$B$6&amp;" dias",IF(D330-Config!$B$5&lt;=Config!$B$7,"Até "&amp;Config!$B$7&amp;" dias","Depois")))))))</f>
        <v/>
      </c>
      <c r="J330" s="35">
        <f>IF(OR(I330="",I330="Feito",I330="Sem data"),0,IF(I330="Atrasado",3000+MIN(Config!$B$5-D330,60),IF(I330="Hoje",2500,IF(D330-Config!$B$5&lt;=Config!$B$6,2000-(D330-Config!$B$5),IF(D330-Config!$B$5&lt;=Config!$B$7,1000-(D330-Config!$B$5),500-MIN(D330-Config!$B$5,400)))))-ROW()/100000)</f>
        <v/>
      </c>
    </row>
    <row r="331">
      <c r="A331" s="31" t="n"/>
      <c r="B331" s="31" t="n"/>
      <c r="C331" s="33" t="n"/>
      <c r="D331" s="34" t="n"/>
      <c r="E331" s="33" t="n"/>
      <c r="F331" s="33" t="n"/>
      <c r="G331" s="31" t="n"/>
      <c r="H331" s="28">
        <f>IF(OR(I331="",I331="Feito",I331="Sem data"),"",D331-Config!$B$5)</f>
        <v/>
      </c>
      <c r="I331" s="25">
        <f>IF(AND(A331="",C331="",D331=""),"",IF(F331="Sim","Feito",IF(D331="","Sem data",IF(D331&lt;Config!$B$5,"Atrasado",IF(D331=Config!$B$5,"Hoje",IF(D331-Config!$B$5&lt;=Config!$B$6,"Até "&amp;Config!$B$6&amp;" dias",IF(D331-Config!$B$5&lt;=Config!$B$7,"Até "&amp;Config!$B$7&amp;" dias","Depois")))))))</f>
        <v/>
      </c>
      <c r="J331" s="35">
        <f>IF(OR(I331="",I331="Feito",I331="Sem data"),0,IF(I331="Atrasado",3000+MIN(Config!$B$5-D331,60),IF(I331="Hoje",2500,IF(D331-Config!$B$5&lt;=Config!$B$6,2000-(D331-Config!$B$5),IF(D331-Config!$B$5&lt;=Config!$B$7,1000-(D331-Config!$B$5),500-MIN(D331-Config!$B$5,400)))))-ROW()/100000)</f>
        <v/>
      </c>
    </row>
    <row r="332">
      <c r="A332" s="31" t="n"/>
      <c r="B332" s="31" t="n"/>
      <c r="C332" s="33" t="n"/>
      <c r="D332" s="34" t="n"/>
      <c r="E332" s="33" t="n"/>
      <c r="F332" s="33" t="n"/>
      <c r="G332" s="31" t="n"/>
      <c r="H332" s="28">
        <f>IF(OR(I332="",I332="Feito",I332="Sem data"),"",D332-Config!$B$5)</f>
        <v/>
      </c>
      <c r="I332" s="25">
        <f>IF(AND(A332="",C332="",D332=""),"",IF(F332="Sim","Feito",IF(D332="","Sem data",IF(D332&lt;Config!$B$5,"Atrasado",IF(D332=Config!$B$5,"Hoje",IF(D332-Config!$B$5&lt;=Config!$B$6,"Até "&amp;Config!$B$6&amp;" dias",IF(D332-Config!$B$5&lt;=Config!$B$7,"Até "&amp;Config!$B$7&amp;" dias","Depois")))))))</f>
        <v/>
      </c>
      <c r="J332" s="35">
        <f>IF(OR(I332="",I332="Feito",I332="Sem data"),0,IF(I332="Atrasado",3000+MIN(Config!$B$5-D332,60),IF(I332="Hoje",2500,IF(D332-Config!$B$5&lt;=Config!$B$6,2000-(D332-Config!$B$5),IF(D332-Config!$B$5&lt;=Config!$B$7,1000-(D332-Config!$B$5),500-MIN(D332-Config!$B$5,400)))))-ROW()/100000)</f>
        <v/>
      </c>
    </row>
    <row r="333">
      <c r="A333" s="31" t="n"/>
      <c r="B333" s="31" t="n"/>
      <c r="C333" s="33" t="n"/>
      <c r="D333" s="34" t="n"/>
      <c r="E333" s="33" t="n"/>
      <c r="F333" s="33" t="n"/>
      <c r="G333" s="31" t="n"/>
      <c r="H333" s="28">
        <f>IF(OR(I333="",I333="Feito",I333="Sem data"),"",D333-Config!$B$5)</f>
        <v/>
      </c>
      <c r="I333" s="25">
        <f>IF(AND(A333="",C333="",D333=""),"",IF(F333="Sim","Feito",IF(D333="","Sem data",IF(D333&lt;Config!$B$5,"Atrasado",IF(D333=Config!$B$5,"Hoje",IF(D333-Config!$B$5&lt;=Config!$B$6,"Até "&amp;Config!$B$6&amp;" dias",IF(D333-Config!$B$5&lt;=Config!$B$7,"Até "&amp;Config!$B$7&amp;" dias","Depois")))))))</f>
        <v/>
      </c>
      <c r="J333" s="35">
        <f>IF(OR(I333="",I333="Feito",I333="Sem data"),0,IF(I333="Atrasado",3000+MIN(Config!$B$5-D333,60),IF(I333="Hoje",2500,IF(D333-Config!$B$5&lt;=Config!$B$6,2000-(D333-Config!$B$5),IF(D333-Config!$B$5&lt;=Config!$B$7,1000-(D333-Config!$B$5),500-MIN(D333-Config!$B$5,400)))))-ROW()/100000)</f>
        <v/>
      </c>
    </row>
    <row r="334">
      <c r="A334" s="31" t="n"/>
      <c r="B334" s="31" t="n"/>
      <c r="C334" s="33" t="n"/>
      <c r="D334" s="34" t="n"/>
      <c r="E334" s="33" t="n"/>
      <c r="F334" s="33" t="n"/>
      <c r="G334" s="31" t="n"/>
      <c r="H334" s="28">
        <f>IF(OR(I334="",I334="Feito",I334="Sem data"),"",D334-Config!$B$5)</f>
        <v/>
      </c>
      <c r="I334" s="25">
        <f>IF(AND(A334="",C334="",D334=""),"",IF(F334="Sim","Feito",IF(D334="","Sem data",IF(D334&lt;Config!$B$5,"Atrasado",IF(D334=Config!$B$5,"Hoje",IF(D334-Config!$B$5&lt;=Config!$B$6,"Até "&amp;Config!$B$6&amp;" dias",IF(D334-Config!$B$5&lt;=Config!$B$7,"Até "&amp;Config!$B$7&amp;" dias","Depois")))))))</f>
        <v/>
      </c>
      <c r="J334" s="35">
        <f>IF(OR(I334="",I334="Feito",I334="Sem data"),0,IF(I334="Atrasado",3000+MIN(Config!$B$5-D334,60),IF(I334="Hoje",2500,IF(D334-Config!$B$5&lt;=Config!$B$6,2000-(D334-Config!$B$5),IF(D334-Config!$B$5&lt;=Config!$B$7,1000-(D334-Config!$B$5),500-MIN(D334-Config!$B$5,400)))))-ROW()/100000)</f>
        <v/>
      </c>
    </row>
    <row r="335">
      <c r="A335" s="31" t="n"/>
      <c r="B335" s="31" t="n"/>
      <c r="C335" s="33" t="n"/>
      <c r="D335" s="34" t="n"/>
      <c r="E335" s="33" t="n"/>
      <c r="F335" s="33" t="n"/>
      <c r="G335" s="31" t="n"/>
      <c r="H335" s="28">
        <f>IF(OR(I335="",I335="Feito",I335="Sem data"),"",D335-Config!$B$5)</f>
        <v/>
      </c>
      <c r="I335" s="25">
        <f>IF(AND(A335="",C335="",D335=""),"",IF(F335="Sim","Feito",IF(D335="","Sem data",IF(D335&lt;Config!$B$5,"Atrasado",IF(D335=Config!$B$5,"Hoje",IF(D335-Config!$B$5&lt;=Config!$B$6,"Até "&amp;Config!$B$6&amp;" dias",IF(D335-Config!$B$5&lt;=Config!$B$7,"Até "&amp;Config!$B$7&amp;" dias","Depois")))))))</f>
        <v/>
      </c>
      <c r="J335" s="35">
        <f>IF(OR(I335="",I335="Feito",I335="Sem data"),0,IF(I335="Atrasado",3000+MIN(Config!$B$5-D335,60),IF(I335="Hoje",2500,IF(D335-Config!$B$5&lt;=Config!$B$6,2000-(D335-Config!$B$5),IF(D335-Config!$B$5&lt;=Config!$B$7,1000-(D335-Config!$B$5),500-MIN(D335-Config!$B$5,400)))))-ROW()/100000)</f>
        <v/>
      </c>
    </row>
    <row r="336">
      <c r="A336" s="31" t="n"/>
      <c r="B336" s="31" t="n"/>
      <c r="C336" s="33" t="n"/>
      <c r="D336" s="34" t="n"/>
      <c r="E336" s="33" t="n"/>
      <c r="F336" s="33" t="n"/>
      <c r="G336" s="31" t="n"/>
      <c r="H336" s="28">
        <f>IF(OR(I336="",I336="Feito",I336="Sem data"),"",D336-Config!$B$5)</f>
        <v/>
      </c>
      <c r="I336" s="25">
        <f>IF(AND(A336="",C336="",D336=""),"",IF(F336="Sim","Feito",IF(D336="","Sem data",IF(D336&lt;Config!$B$5,"Atrasado",IF(D336=Config!$B$5,"Hoje",IF(D336-Config!$B$5&lt;=Config!$B$6,"Até "&amp;Config!$B$6&amp;" dias",IF(D336-Config!$B$5&lt;=Config!$B$7,"Até "&amp;Config!$B$7&amp;" dias","Depois")))))))</f>
        <v/>
      </c>
      <c r="J336" s="35">
        <f>IF(OR(I336="",I336="Feito",I336="Sem data"),0,IF(I336="Atrasado",3000+MIN(Config!$B$5-D336,60),IF(I336="Hoje",2500,IF(D336-Config!$B$5&lt;=Config!$B$6,2000-(D336-Config!$B$5),IF(D336-Config!$B$5&lt;=Config!$B$7,1000-(D336-Config!$B$5),500-MIN(D336-Config!$B$5,400)))))-ROW()/100000)</f>
        <v/>
      </c>
    </row>
    <row r="337">
      <c r="A337" s="31" t="n"/>
      <c r="B337" s="31" t="n"/>
      <c r="C337" s="33" t="n"/>
      <c r="D337" s="34" t="n"/>
      <c r="E337" s="33" t="n"/>
      <c r="F337" s="33" t="n"/>
      <c r="G337" s="31" t="n"/>
      <c r="H337" s="28">
        <f>IF(OR(I337="",I337="Feito",I337="Sem data"),"",D337-Config!$B$5)</f>
        <v/>
      </c>
      <c r="I337" s="25">
        <f>IF(AND(A337="",C337="",D337=""),"",IF(F337="Sim","Feito",IF(D337="","Sem data",IF(D337&lt;Config!$B$5,"Atrasado",IF(D337=Config!$B$5,"Hoje",IF(D337-Config!$B$5&lt;=Config!$B$6,"Até "&amp;Config!$B$6&amp;" dias",IF(D337-Config!$B$5&lt;=Config!$B$7,"Até "&amp;Config!$B$7&amp;" dias","Depois")))))))</f>
        <v/>
      </c>
      <c r="J337" s="35">
        <f>IF(OR(I337="",I337="Feito",I337="Sem data"),0,IF(I337="Atrasado",3000+MIN(Config!$B$5-D337,60),IF(I337="Hoje",2500,IF(D337-Config!$B$5&lt;=Config!$B$6,2000-(D337-Config!$B$5),IF(D337-Config!$B$5&lt;=Config!$B$7,1000-(D337-Config!$B$5),500-MIN(D337-Config!$B$5,400)))))-ROW()/100000)</f>
        <v/>
      </c>
    </row>
    <row r="338">
      <c r="A338" s="31" t="n"/>
      <c r="B338" s="31" t="n"/>
      <c r="C338" s="33" t="n"/>
      <c r="D338" s="34" t="n"/>
      <c r="E338" s="33" t="n"/>
      <c r="F338" s="33" t="n"/>
      <c r="G338" s="31" t="n"/>
      <c r="H338" s="28">
        <f>IF(OR(I338="",I338="Feito",I338="Sem data"),"",D338-Config!$B$5)</f>
        <v/>
      </c>
      <c r="I338" s="25">
        <f>IF(AND(A338="",C338="",D338=""),"",IF(F338="Sim","Feito",IF(D338="","Sem data",IF(D338&lt;Config!$B$5,"Atrasado",IF(D338=Config!$B$5,"Hoje",IF(D338-Config!$B$5&lt;=Config!$B$6,"Até "&amp;Config!$B$6&amp;" dias",IF(D338-Config!$B$5&lt;=Config!$B$7,"Até "&amp;Config!$B$7&amp;" dias","Depois")))))))</f>
        <v/>
      </c>
      <c r="J338" s="35">
        <f>IF(OR(I338="",I338="Feito",I338="Sem data"),0,IF(I338="Atrasado",3000+MIN(Config!$B$5-D338,60),IF(I338="Hoje",2500,IF(D338-Config!$B$5&lt;=Config!$B$6,2000-(D338-Config!$B$5),IF(D338-Config!$B$5&lt;=Config!$B$7,1000-(D338-Config!$B$5),500-MIN(D338-Config!$B$5,400)))))-ROW()/100000)</f>
        <v/>
      </c>
    </row>
    <row r="339">
      <c r="A339" s="31" t="n"/>
      <c r="B339" s="31" t="n"/>
      <c r="C339" s="33" t="n"/>
      <c r="D339" s="34" t="n"/>
      <c r="E339" s="33" t="n"/>
      <c r="F339" s="33" t="n"/>
      <c r="G339" s="31" t="n"/>
      <c r="H339" s="28">
        <f>IF(OR(I339="",I339="Feito",I339="Sem data"),"",D339-Config!$B$5)</f>
        <v/>
      </c>
      <c r="I339" s="25">
        <f>IF(AND(A339="",C339="",D339=""),"",IF(F339="Sim","Feito",IF(D339="","Sem data",IF(D339&lt;Config!$B$5,"Atrasado",IF(D339=Config!$B$5,"Hoje",IF(D339-Config!$B$5&lt;=Config!$B$6,"Até "&amp;Config!$B$6&amp;" dias",IF(D339-Config!$B$5&lt;=Config!$B$7,"Até "&amp;Config!$B$7&amp;" dias","Depois")))))))</f>
        <v/>
      </c>
      <c r="J339" s="35">
        <f>IF(OR(I339="",I339="Feito",I339="Sem data"),0,IF(I339="Atrasado",3000+MIN(Config!$B$5-D339,60),IF(I339="Hoje",2500,IF(D339-Config!$B$5&lt;=Config!$B$6,2000-(D339-Config!$B$5),IF(D339-Config!$B$5&lt;=Config!$B$7,1000-(D339-Config!$B$5),500-MIN(D339-Config!$B$5,400)))))-ROW()/100000)</f>
        <v/>
      </c>
    </row>
    <row r="340">
      <c r="A340" s="31" t="n"/>
      <c r="B340" s="31" t="n"/>
      <c r="C340" s="33" t="n"/>
      <c r="D340" s="34" t="n"/>
      <c r="E340" s="33" t="n"/>
      <c r="F340" s="33" t="n"/>
      <c r="G340" s="31" t="n"/>
      <c r="H340" s="28">
        <f>IF(OR(I340="",I340="Feito",I340="Sem data"),"",D340-Config!$B$5)</f>
        <v/>
      </c>
      <c r="I340" s="25">
        <f>IF(AND(A340="",C340="",D340=""),"",IF(F340="Sim","Feito",IF(D340="","Sem data",IF(D340&lt;Config!$B$5,"Atrasado",IF(D340=Config!$B$5,"Hoje",IF(D340-Config!$B$5&lt;=Config!$B$6,"Até "&amp;Config!$B$6&amp;" dias",IF(D340-Config!$B$5&lt;=Config!$B$7,"Até "&amp;Config!$B$7&amp;" dias","Depois")))))))</f>
        <v/>
      </c>
      <c r="J340" s="35">
        <f>IF(OR(I340="",I340="Feito",I340="Sem data"),0,IF(I340="Atrasado",3000+MIN(Config!$B$5-D340,60),IF(I340="Hoje",2500,IF(D340-Config!$B$5&lt;=Config!$B$6,2000-(D340-Config!$B$5),IF(D340-Config!$B$5&lt;=Config!$B$7,1000-(D340-Config!$B$5),500-MIN(D340-Config!$B$5,400)))))-ROW()/100000)</f>
        <v/>
      </c>
    </row>
    <row r="341">
      <c r="A341" s="31" t="n"/>
      <c r="B341" s="31" t="n"/>
      <c r="C341" s="33" t="n"/>
      <c r="D341" s="34" t="n"/>
      <c r="E341" s="33" t="n"/>
      <c r="F341" s="33" t="n"/>
      <c r="G341" s="31" t="n"/>
      <c r="H341" s="28">
        <f>IF(OR(I341="",I341="Feito",I341="Sem data"),"",D341-Config!$B$5)</f>
        <v/>
      </c>
      <c r="I341" s="25">
        <f>IF(AND(A341="",C341="",D341=""),"",IF(F341="Sim","Feito",IF(D341="","Sem data",IF(D341&lt;Config!$B$5,"Atrasado",IF(D341=Config!$B$5,"Hoje",IF(D341-Config!$B$5&lt;=Config!$B$6,"Até "&amp;Config!$B$6&amp;" dias",IF(D341-Config!$B$5&lt;=Config!$B$7,"Até "&amp;Config!$B$7&amp;" dias","Depois")))))))</f>
        <v/>
      </c>
      <c r="J341" s="35">
        <f>IF(OR(I341="",I341="Feito",I341="Sem data"),0,IF(I341="Atrasado",3000+MIN(Config!$B$5-D341,60),IF(I341="Hoje",2500,IF(D341-Config!$B$5&lt;=Config!$B$6,2000-(D341-Config!$B$5),IF(D341-Config!$B$5&lt;=Config!$B$7,1000-(D341-Config!$B$5),500-MIN(D341-Config!$B$5,400)))))-ROW()/100000)</f>
        <v/>
      </c>
    </row>
    <row r="342">
      <c r="A342" s="31" t="n"/>
      <c r="B342" s="31" t="n"/>
      <c r="C342" s="33" t="n"/>
      <c r="D342" s="34" t="n"/>
      <c r="E342" s="33" t="n"/>
      <c r="F342" s="33" t="n"/>
      <c r="G342" s="31" t="n"/>
      <c r="H342" s="28">
        <f>IF(OR(I342="",I342="Feito",I342="Sem data"),"",D342-Config!$B$5)</f>
        <v/>
      </c>
      <c r="I342" s="25">
        <f>IF(AND(A342="",C342="",D342=""),"",IF(F342="Sim","Feito",IF(D342="","Sem data",IF(D342&lt;Config!$B$5,"Atrasado",IF(D342=Config!$B$5,"Hoje",IF(D342-Config!$B$5&lt;=Config!$B$6,"Até "&amp;Config!$B$6&amp;" dias",IF(D342-Config!$B$5&lt;=Config!$B$7,"Até "&amp;Config!$B$7&amp;" dias","Depois")))))))</f>
        <v/>
      </c>
      <c r="J342" s="35">
        <f>IF(OR(I342="",I342="Feito",I342="Sem data"),0,IF(I342="Atrasado",3000+MIN(Config!$B$5-D342,60),IF(I342="Hoje",2500,IF(D342-Config!$B$5&lt;=Config!$B$6,2000-(D342-Config!$B$5),IF(D342-Config!$B$5&lt;=Config!$B$7,1000-(D342-Config!$B$5),500-MIN(D342-Config!$B$5,400)))))-ROW()/100000)</f>
        <v/>
      </c>
    </row>
    <row r="343">
      <c r="A343" s="31" t="n"/>
      <c r="B343" s="31" t="n"/>
      <c r="C343" s="33" t="n"/>
      <c r="D343" s="34" t="n"/>
      <c r="E343" s="33" t="n"/>
      <c r="F343" s="33" t="n"/>
      <c r="G343" s="31" t="n"/>
      <c r="H343" s="28">
        <f>IF(OR(I343="",I343="Feito",I343="Sem data"),"",D343-Config!$B$5)</f>
        <v/>
      </c>
      <c r="I343" s="25">
        <f>IF(AND(A343="",C343="",D343=""),"",IF(F343="Sim","Feito",IF(D343="","Sem data",IF(D343&lt;Config!$B$5,"Atrasado",IF(D343=Config!$B$5,"Hoje",IF(D343-Config!$B$5&lt;=Config!$B$6,"Até "&amp;Config!$B$6&amp;" dias",IF(D343-Config!$B$5&lt;=Config!$B$7,"Até "&amp;Config!$B$7&amp;" dias","Depois")))))))</f>
        <v/>
      </c>
      <c r="J343" s="35">
        <f>IF(OR(I343="",I343="Feito",I343="Sem data"),0,IF(I343="Atrasado",3000+MIN(Config!$B$5-D343,60),IF(I343="Hoje",2500,IF(D343-Config!$B$5&lt;=Config!$B$6,2000-(D343-Config!$B$5),IF(D343-Config!$B$5&lt;=Config!$B$7,1000-(D343-Config!$B$5),500-MIN(D343-Config!$B$5,400)))))-ROW()/100000)</f>
        <v/>
      </c>
    </row>
    <row r="344">
      <c r="A344" s="31" t="n"/>
      <c r="B344" s="31" t="n"/>
      <c r="C344" s="33" t="n"/>
      <c r="D344" s="34" t="n"/>
      <c r="E344" s="33" t="n"/>
      <c r="F344" s="33" t="n"/>
      <c r="G344" s="31" t="n"/>
      <c r="H344" s="28">
        <f>IF(OR(I344="",I344="Feito",I344="Sem data"),"",D344-Config!$B$5)</f>
        <v/>
      </c>
      <c r="I344" s="25">
        <f>IF(AND(A344="",C344="",D344=""),"",IF(F344="Sim","Feito",IF(D344="","Sem data",IF(D344&lt;Config!$B$5,"Atrasado",IF(D344=Config!$B$5,"Hoje",IF(D344-Config!$B$5&lt;=Config!$B$6,"Até "&amp;Config!$B$6&amp;" dias",IF(D344-Config!$B$5&lt;=Config!$B$7,"Até "&amp;Config!$B$7&amp;" dias","Depois")))))))</f>
        <v/>
      </c>
      <c r="J344" s="35">
        <f>IF(OR(I344="",I344="Feito",I344="Sem data"),0,IF(I344="Atrasado",3000+MIN(Config!$B$5-D344,60),IF(I344="Hoje",2500,IF(D344-Config!$B$5&lt;=Config!$B$6,2000-(D344-Config!$B$5),IF(D344-Config!$B$5&lt;=Config!$B$7,1000-(D344-Config!$B$5),500-MIN(D344-Config!$B$5,400)))))-ROW()/100000)</f>
        <v/>
      </c>
    </row>
    <row r="345">
      <c r="A345" s="31" t="n"/>
      <c r="B345" s="31" t="n"/>
      <c r="C345" s="33" t="n"/>
      <c r="D345" s="34" t="n"/>
      <c r="E345" s="33" t="n"/>
      <c r="F345" s="33" t="n"/>
      <c r="G345" s="31" t="n"/>
      <c r="H345" s="28">
        <f>IF(OR(I345="",I345="Feito",I345="Sem data"),"",D345-Config!$B$5)</f>
        <v/>
      </c>
      <c r="I345" s="25">
        <f>IF(AND(A345="",C345="",D345=""),"",IF(F345="Sim","Feito",IF(D345="","Sem data",IF(D345&lt;Config!$B$5,"Atrasado",IF(D345=Config!$B$5,"Hoje",IF(D345-Config!$B$5&lt;=Config!$B$6,"Até "&amp;Config!$B$6&amp;" dias",IF(D345-Config!$B$5&lt;=Config!$B$7,"Até "&amp;Config!$B$7&amp;" dias","Depois")))))))</f>
        <v/>
      </c>
      <c r="J345" s="35">
        <f>IF(OR(I345="",I345="Feito",I345="Sem data"),0,IF(I345="Atrasado",3000+MIN(Config!$B$5-D345,60),IF(I345="Hoje",2500,IF(D345-Config!$B$5&lt;=Config!$B$6,2000-(D345-Config!$B$5),IF(D345-Config!$B$5&lt;=Config!$B$7,1000-(D345-Config!$B$5),500-MIN(D345-Config!$B$5,400)))))-ROW()/100000)</f>
        <v/>
      </c>
    </row>
    <row r="346">
      <c r="A346" s="31" t="n"/>
      <c r="B346" s="31" t="n"/>
      <c r="C346" s="33" t="n"/>
      <c r="D346" s="34" t="n"/>
      <c r="E346" s="33" t="n"/>
      <c r="F346" s="33" t="n"/>
      <c r="G346" s="31" t="n"/>
      <c r="H346" s="28">
        <f>IF(OR(I346="",I346="Feito",I346="Sem data"),"",D346-Config!$B$5)</f>
        <v/>
      </c>
      <c r="I346" s="25">
        <f>IF(AND(A346="",C346="",D346=""),"",IF(F346="Sim","Feito",IF(D346="","Sem data",IF(D346&lt;Config!$B$5,"Atrasado",IF(D346=Config!$B$5,"Hoje",IF(D346-Config!$B$5&lt;=Config!$B$6,"Até "&amp;Config!$B$6&amp;" dias",IF(D346-Config!$B$5&lt;=Config!$B$7,"Até "&amp;Config!$B$7&amp;" dias","Depois")))))))</f>
        <v/>
      </c>
      <c r="J346" s="35">
        <f>IF(OR(I346="",I346="Feito",I346="Sem data"),0,IF(I346="Atrasado",3000+MIN(Config!$B$5-D346,60),IF(I346="Hoje",2500,IF(D346-Config!$B$5&lt;=Config!$B$6,2000-(D346-Config!$B$5),IF(D346-Config!$B$5&lt;=Config!$B$7,1000-(D346-Config!$B$5),500-MIN(D346-Config!$B$5,400)))))-ROW()/100000)</f>
        <v/>
      </c>
    </row>
    <row r="347">
      <c r="A347" s="31" t="n"/>
      <c r="B347" s="31" t="n"/>
      <c r="C347" s="33" t="n"/>
      <c r="D347" s="34" t="n"/>
      <c r="E347" s="33" t="n"/>
      <c r="F347" s="33" t="n"/>
      <c r="G347" s="31" t="n"/>
      <c r="H347" s="28">
        <f>IF(OR(I347="",I347="Feito",I347="Sem data"),"",D347-Config!$B$5)</f>
        <v/>
      </c>
      <c r="I347" s="25">
        <f>IF(AND(A347="",C347="",D347=""),"",IF(F347="Sim","Feito",IF(D347="","Sem data",IF(D347&lt;Config!$B$5,"Atrasado",IF(D347=Config!$B$5,"Hoje",IF(D347-Config!$B$5&lt;=Config!$B$6,"Até "&amp;Config!$B$6&amp;" dias",IF(D347-Config!$B$5&lt;=Config!$B$7,"Até "&amp;Config!$B$7&amp;" dias","Depois")))))))</f>
        <v/>
      </c>
      <c r="J347" s="35">
        <f>IF(OR(I347="",I347="Feito",I347="Sem data"),0,IF(I347="Atrasado",3000+MIN(Config!$B$5-D347,60),IF(I347="Hoje",2500,IF(D347-Config!$B$5&lt;=Config!$B$6,2000-(D347-Config!$B$5),IF(D347-Config!$B$5&lt;=Config!$B$7,1000-(D347-Config!$B$5),500-MIN(D347-Config!$B$5,400)))))-ROW()/100000)</f>
        <v/>
      </c>
    </row>
    <row r="348">
      <c r="A348" s="31" t="n"/>
      <c r="B348" s="31" t="n"/>
      <c r="C348" s="33" t="n"/>
      <c r="D348" s="34" t="n"/>
      <c r="E348" s="33" t="n"/>
      <c r="F348" s="33" t="n"/>
      <c r="G348" s="31" t="n"/>
      <c r="H348" s="28">
        <f>IF(OR(I348="",I348="Feito",I348="Sem data"),"",D348-Config!$B$5)</f>
        <v/>
      </c>
      <c r="I348" s="25">
        <f>IF(AND(A348="",C348="",D348=""),"",IF(F348="Sim","Feito",IF(D348="","Sem data",IF(D348&lt;Config!$B$5,"Atrasado",IF(D348=Config!$B$5,"Hoje",IF(D348-Config!$B$5&lt;=Config!$B$6,"Até "&amp;Config!$B$6&amp;" dias",IF(D348-Config!$B$5&lt;=Config!$B$7,"Até "&amp;Config!$B$7&amp;" dias","Depois")))))))</f>
        <v/>
      </c>
      <c r="J348" s="35">
        <f>IF(OR(I348="",I348="Feito",I348="Sem data"),0,IF(I348="Atrasado",3000+MIN(Config!$B$5-D348,60),IF(I348="Hoje",2500,IF(D348-Config!$B$5&lt;=Config!$B$6,2000-(D348-Config!$B$5),IF(D348-Config!$B$5&lt;=Config!$B$7,1000-(D348-Config!$B$5),500-MIN(D348-Config!$B$5,400)))))-ROW()/100000)</f>
        <v/>
      </c>
    </row>
    <row r="349">
      <c r="A349" s="31" t="n"/>
      <c r="B349" s="31" t="n"/>
      <c r="C349" s="33" t="n"/>
      <c r="D349" s="34" t="n"/>
      <c r="E349" s="33" t="n"/>
      <c r="F349" s="33" t="n"/>
      <c r="G349" s="31" t="n"/>
      <c r="H349" s="28">
        <f>IF(OR(I349="",I349="Feito",I349="Sem data"),"",D349-Config!$B$5)</f>
        <v/>
      </c>
      <c r="I349" s="25">
        <f>IF(AND(A349="",C349="",D349=""),"",IF(F349="Sim","Feito",IF(D349="","Sem data",IF(D349&lt;Config!$B$5,"Atrasado",IF(D349=Config!$B$5,"Hoje",IF(D349-Config!$B$5&lt;=Config!$B$6,"Até "&amp;Config!$B$6&amp;" dias",IF(D349-Config!$B$5&lt;=Config!$B$7,"Até "&amp;Config!$B$7&amp;" dias","Depois")))))))</f>
        <v/>
      </c>
      <c r="J349" s="35">
        <f>IF(OR(I349="",I349="Feito",I349="Sem data"),0,IF(I349="Atrasado",3000+MIN(Config!$B$5-D349,60),IF(I349="Hoje",2500,IF(D349-Config!$B$5&lt;=Config!$B$6,2000-(D349-Config!$B$5),IF(D349-Config!$B$5&lt;=Config!$B$7,1000-(D349-Config!$B$5),500-MIN(D349-Config!$B$5,400)))))-ROW()/100000)</f>
        <v/>
      </c>
    </row>
    <row r="350">
      <c r="A350" s="31" t="n"/>
      <c r="B350" s="31" t="n"/>
      <c r="C350" s="33" t="n"/>
      <c r="D350" s="34" t="n"/>
      <c r="E350" s="33" t="n"/>
      <c r="F350" s="33" t="n"/>
      <c r="G350" s="31" t="n"/>
      <c r="H350" s="28">
        <f>IF(OR(I350="",I350="Feito",I350="Sem data"),"",D350-Config!$B$5)</f>
        <v/>
      </c>
      <c r="I350" s="25">
        <f>IF(AND(A350="",C350="",D350=""),"",IF(F350="Sim","Feito",IF(D350="","Sem data",IF(D350&lt;Config!$B$5,"Atrasado",IF(D350=Config!$B$5,"Hoje",IF(D350-Config!$B$5&lt;=Config!$B$6,"Até "&amp;Config!$B$6&amp;" dias",IF(D350-Config!$B$5&lt;=Config!$B$7,"Até "&amp;Config!$B$7&amp;" dias","Depois")))))))</f>
        <v/>
      </c>
      <c r="J350" s="35">
        <f>IF(OR(I350="",I350="Feito",I350="Sem data"),0,IF(I350="Atrasado",3000+MIN(Config!$B$5-D350,60),IF(I350="Hoje",2500,IF(D350-Config!$B$5&lt;=Config!$B$6,2000-(D350-Config!$B$5),IF(D350-Config!$B$5&lt;=Config!$B$7,1000-(D350-Config!$B$5),500-MIN(D350-Config!$B$5,400)))))-ROW()/100000)</f>
        <v/>
      </c>
    </row>
    <row r="351">
      <c r="A351" s="31" t="n"/>
      <c r="B351" s="31" t="n"/>
      <c r="C351" s="33" t="n"/>
      <c r="D351" s="34" t="n"/>
      <c r="E351" s="33" t="n"/>
      <c r="F351" s="33" t="n"/>
      <c r="G351" s="31" t="n"/>
      <c r="H351" s="28">
        <f>IF(OR(I351="",I351="Feito",I351="Sem data"),"",D351-Config!$B$5)</f>
        <v/>
      </c>
      <c r="I351" s="25">
        <f>IF(AND(A351="",C351="",D351=""),"",IF(F351="Sim","Feito",IF(D351="","Sem data",IF(D351&lt;Config!$B$5,"Atrasado",IF(D351=Config!$B$5,"Hoje",IF(D351-Config!$B$5&lt;=Config!$B$6,"Até "&amp;Config!$B$6&amp;" dias",IF(D351-Config!$B$5&lt;=Config!$B$7,"Até "&amp;Config!$B$7&amp;" dias","Depois")))))))</f>
        <v/>
      </c>
      <c r="J351" s="35">
        <f>IF(OR(I351="",I351="Feito",I351="Sem data"),0,IF(I351="Atrasado",3000+MIN(Config!$B$5-D351,60),IF(I351="Hoje",2500,IF(D351-Config!$B$5&lt;=Config!$B$6,2000-(D351-Config!$B$5),IF(D351-Config!$B$5&lt;=Config!$B$7,1000-(D351-Config!$B$5),500-MIN(D351-Config!$B$5,400)))))-ROW()/100000)</f>
        <v/>
      </c>
    </row>
    <row r="352">
      <c r="A352" s="31" t="n"/>
      <c r="B352" s="31" t="n"/>
      <c r="C352" s="33" t="n"/>
      <c r="D352" s="34" t="n"/>
      <c r="E352" s="33" t="n"/>
      <c r="F352" s="33" t="n"/>
      <c r="G352" s="31" t="n"/>
      <c r="H352" s="28">
        <f>IF(OR(I352="",I352="Feito",I352="Sem data"),"",D352-Config!$B$5)</f>
        <v/>
      </c>
      <c r="I352" s="25">
        <f>IF(AND(A352="",C352="",D352=""),"",IF(F352="Sim","Feito",IF(D352="","Sem data",IF(D352&lt;Config!$B$5,"Atrasado",IF(D352=Config!$B$5,"Hoje",IF(D352-Config!$B$5&lt;=Config!$B$6,"Até "&amp;Config!$B$6&amp;" dias",IF(D352-Config!$B$5&lt;=Config!$B$7,"Até "&amp;Config!$B$7&amp;" dias","Depois")))))))</f>
        <v/>
      </c>
      <c r="J352" s="35">
        <f>IF(OR(I352="",I352="Feito",I352="Sem data"),0,IF(I352="Atrasado",3000+MIN(Config!$B$5-D352,60),IF(I352="Hoje",2500,IF(D352-Config!$B$5&lt;=Config!$B$6,2000-(D352-Config!$B$5),IF(D352-Config!$B$5&lt;=Config!$B$7,1000-(D352-Config!$B$5),500-MIN(D352-Config!$B$5,400)))))-ROW()/100000)</f>
        <v/>
      </c>
    </row>
    <row r="353">
      <c r="A353" s="31" t="n"/>
      <c r="B353" s="31" t="n"/>
      <c r="C353" s="33" t="n"/>
      <c r="D353" s="34" t="n"/>
      <c r="E353" s="33" t="n"/>
      <c r="F353" s="33" t="n"/>
      <c r="G353" s="31" t="n"/>
      <c r="H353" s="28">
        <f>IF(OR(I353="",I353="Feito",I353="Sem data"),"",D353-Config!$B$5)</f>
        <v/>
      </c>
      <c r="I353" s="25">
        <f>IF(AND(A353="",C353="",D353=""),"",IF(F353="Sim","Feito",IF(D353="","Sem data",IF(D353&lt;Config!$B$5,"Atrasado",IF(D353=Config!$B$5,"Hoje",IF(D353-Config!$B$5&lt;=Config!$B$6,"Até "&amp;Config!$B$6&amp;" dias",IF(D353-Config!$B$5&lt;=Config!$B$7,"Até "&amp;Config!$B$7&amp;" dias","Depois")))))))</f>
        <v/>
      </c>
      <c r="J353" s="35">
        <f>IF(OR(I353="",I353="Feito",I353="Sem data"),0,IF(I353="Atrasado",3000+MIN(Config!$B$5-D353,60),IF(I353="Hoje",2500,IF(D353-Config!$B$5&lt;=Config!$B$6,2000-(D353-Config!$B$5),IF(D353-Config!$B$5&lt;=Config!$B$7,1000-(D353-Config!$B$5),500-MIN(D353-Config!$B$5,400)))))-ROW()/100000)</f>
        <v/>
      </c>
    </row>
    <row r="354">
      <c r="A354" s="31" t="n"/>
      <c r="B354" s="31" t="n"/>
      <c r="C354" s="33" t="n"/>
      <c r="D354" s="34" t="n"/>
      <c r="E354" s="33" t="n"/>
      <c r="F354" s="33" t="n"/>
      <c r="G354" s="31" t="n"/>
      <c r="H354" s="28">
        <f>IF(OR(I354="",I354="Feito",I354="Sem data"),"",D354-Config!$B$5)</f>
        <v/>
      </c>
      <c r="I354" s="25">
        <f>IF(AND(A354="",C354="",D354=""),"",IF(F354="Sim","Feito",IF(D354="","Sem data",IF(D354&lt;Config!$B$5,"Atrasado",IF(D354=Config!$B$5,"Hoje",IF(D354-Config!$B$5&lt;=Config!$B$6,"Até "&amp;Config!$B$6&amp;" dias",IF(D354-Config!$B$5&lt;=Config!$B$7,"Até "&amp;Config!$B$7&amp;" dias","Depois")))))))</f>
        <v/>
      </c>
      <c r="J354" s="35">
        <f>IF(OR(I354="",I354="Feito",I354="Sem data"),0,IF(I354="Atrasado",3000+MIN(Config!$B$5-D354,60),IF(I354="Hoje",2500,IF(D354-Config!$B$5&lt;=Config!$B$6,2000-(D354-Config!$B$5),IF(D354-Config!$B$5&lt;=Config!$B$7,1000-(D354-Config!$B$5),500-MIN(D354-Config!$B$5,400)))))-ROW()/100000)</f>
        <v/>
      </c>
    </row>
    <row r="355">
      <c r="A355" s="31" t="n"/>
      <c r="B355" s="31" t="n"/>
      <c r="C355" s="33" t="n"/>
      <c r="D355" s="34" t="n"/>
      <c r="E355" s="33" t="n"/>
      <c r="F355" s="33" t="n"/>
      <c r="G355" s="31" t="n"/>
      <c r="H355" s="28">
        <f>IF(OR(I355="",I355="Feito",I355="Sem data"),"",D355-Config!$B$5)</f>
        <v/>
      </c>
      <c r="I355" s="25">
        <f>IF(AND(A355="",C355="",D355=""),"",IF(F355="Sim","Feito",IF(D355="","Sem data",IF(D355&lt;Config!$B$5,"Atrasado",IF(D355=Config!$B$5,"Hoje",IF(D355-Config!$B$5&lt;=Config!$B$6,"Até "&amp;Config!$B$6&amp;" dias",IF(D355-Config!$B$5&lt;=Config!$B$7,"Até "&amp;Config!$B$7&amp;" dias","Depois")))))))</f>
        <v/>
      </c>
      <c r="J355" s="35">
        <f>IF(OR(I355="",I355="Feito",I355="Sem data"),0,IF(I355="Atrasado",3000+MIN(Config!$B$5-D355,60),IF(I355="Hoje",2500,IF(D355-Config!$B$5&lt;=Config!$B$6,2000-(D355-Config!$B$5),IF(D355-Config!$B$5&lt;=Config!$B$7,1000-(D355-Config!$B$5),500-MIN(D355-Config!$B$5,400)))))-ROW()/100000)</f>
        <v/>
      </c>
    </row>
    <row r="356">
      <c r="A356" s="31" t="n"/>
      <c r="B356" s="31" t="n"/>
      <c r="C356" s="33" t="n"/>
      <c r="D356" s="34" t="n"/>
      <c r="E356" s="33" t="n"/>
      <c r="F356" s="33" t="n"/>
      <c r="G356" s="31" t="n"/>
      <c r="H356" s="28">
        <f>IF(OR(I356="",I356="Feito",I356="Sem data"),"",D356-Config!$B$5)</f>
        <v/>
      </c>
      <c r="I356" s="25">
        <f>IF(AND(A356="",C356="",D356=""),"",IF(F356="Sim","Feito",IF(D356="","Sem data",IF(D356&lt;Config!$B$5,"Atrasado",IF(D356=Config!$B$5,"Hoje",IF(D356-Config!$B$5&lt;=Config!$B$6,"Até "&amp;Config!$B$6&amp;" dias",IF(D356-Config!$B$5&lt;=Config!$B$7,"Até "&amp;Config!$B$7&amp;" dias","Depois")))))))</f>
        <v/>
      </c>
      <c r="J356" s="35">
        <f>IF(OR(I356="",I356="Feito",I356="Sem data"),0,IF(I356="Atrasado",3000+MIN(Config!$B$5-D356,60),IF(I356="Hoje",2500,IF(D356-Config!$B$5&lt;=Config!$B$6,2000-(D356-Config!$B$5),IF(D356-Config!$B$5&lt;=Config!$B$7,1000-(D356-Config!$B$5),500-MIN(D356-Config!$B$5,400)))))-ROW()/100000)</f>
        <v/>
      </c>
    </row>
    <row r="357">
      <c r="A357" s="31" t="n"/>
      <c r="B357" s="31" t="n"/>
      <c r="C357" s="33" t="n"/>
      <c r="D357" s="34" t="n"/>
      <c r="E357" s="33" t="n"/>
      <c r="F357" s="33" t="n"/>
      <c r="G357" s="31" t="n"/>
      <c r="H357" s="28">
        <f>IF(OR(I357="",I357="Feito",I357="Sem data"),"",D357-Config!$B$5)</f>
        <v/>
      </c>
      <c r="I357" s="25">
        <f>IF(AND(A357="",C357="",D357=""),"",IF(F357="Sim","Feito",IF(D357="","Sem data",IF(D357&lt;Config!$B$5,"Atrasado",IF(D357=Config!$B$5,"Hoje",IF(D357-Config!$B$5&lt;=Config!$B$6,"Até "&amp;Config!$B$6&amp;" dias",IF(D357-Config!$B$5&lt;=Config!$B$7,"Até "&amp;Config!$B$7&amp;" dias","Depois")))))))</f>
        <v/>
      </c>
      <c r="J357" s="35">
        <f>IF(OR(I357="",I357="Feito",I357="Sem data"),0,IF(I357="Atrasado",3000+MIN(Config!$B$5-D357,60),IF(I357="Hoje",2500,IF(D357-Config!$B$5&lt;=Config!$B$6,2000-(D357-Config!$B$5),IF(D357-Config!$B$5&lt;=Config!$B$7,1000-(D357-Config!$B$5),500-MIN(D357-Config!$B$5,400)))))-ROW()/100000)</f>
        <v/>
      </c>
    </row>
    <row r="358">
      <c r="A358" s="31" t="n"/>
      <c r="B358" s="31" t="n"/>
      <c r="C358" s="33" t="n"/>
      <c r="D358" s="34" t="n"/>
      <c r="E358" s="33" t="n"/>
      <c r="F358" s="33" t="n"/>
      <c r="G358" s="31" t="n"/>
      <c r="H358" s="28">
        <f>IF(OR(I358="",I358="Feito",I358="Sem data"),"",D358-Config!$B$5)</f>
        <v/>
      </c>
      <c r="I358" s="25">
        <f>IF(AND(A358="",C358="",D358=""),"",IF(F358="Sim","Feito",IF(D358="","Sem data",IF(D358&lt;Config!$B$5,"Atrasado",IF(D358=Config!$B$5,"Hoje",IF(D358-Config!$B$5&lt;=Config!$B$6,"Até "&amp;Config!$B$6&amp;" dias",IF(D358-Config!$B$5&lt;=Config!$B$7,"Até "&amp;Config!$B$7&amp;" dias","Depois")))))))</f>
        <v/>
      </c>
      <c r="J358" s="35">
        <f>IF(OR(I358="",I358="Feito",I358="Sem data"),0,IF(I358="Atrasado",3000+MIN(Config!$B$5-D358,60),IF(I358="Hoje",2500,IF(D358-Config!$B$5&lt;=Config!$B$6,2000-(D358-Config!$B$5),IF(D358-Config!$B$5&lt;=Config!$B$7,1000-(D358-Config!$B$5),500-MIN(D358-Config!$B$5,400)))))-ROW()/100000)</f>
        <v/>
      </c>
    </row>
    <row r="359">
      <c r="A359" s="31" t="n"/>
      <c r="B359" s="31" t="n"/>
      <c r="C359" s="33" t="n"/>
      <c r="D359" s="34" t="n"/>
      <c r="E359" s="33" t="n"/>
      <c r="F359" s="33" t="n"/>
      <c r="G359" s="31" t="n"/>
      <c r="H359" s="28">
        <f>IF(OR(I359="",I359="Feito",I359="Sem data"),"",D359-Config!$B$5)</f>
        <v/>
      </c>
      <c r="I359" s="25">
        <f>IF(AND(A359="",C359="",D359=""),"",IF(F359="Sim","Feito",IF(D359="","Sem data",IF(D359&lt;Config!$B$5,"Atrasado",IF(D359=Config!$B$5,"Hoje",IF(D359-Config!$B$5&lt;=Config!$B$6,"Até "&amp;Config!$B$6&amp;" dias",IF(D359-Config!$B$5&lt;=Config!$B$7,"Até "&amp;Config!$B$7&amp;" dias","Depois")))))))</f>
        <v/>
      </c>
      <c r="J359" s="35">
        <f>IF(OR(I359="",I359="Feito",I359="Sem data"),0,IF(I359="Atrasado",3000+MIN(Config!$B$5-D359,60),IF(I359="Hoje",2500,IF(D359-Config!$B$5&lt;=Config!$B$6,2000-(D359-Config!$B$5),IF(D359-Config!$B$5&lt;=Config!$B$7,1000-(D359-Config!$B$5),500-MIN(D359-Config!$B$5,400)))))-ROW()/100000)</f>
        <v/>
      </c>
    </row>
    <row r="360">
      <c r="A360" s="31" t="n"/>
      <c r="B360" s="31" t="n"/>
      <c r="C360" s="33" t="n"/>
      <c r="D360" s="34" t="n"/>
      <c r="E360" s="33" t="n"/>
      <c r="F360" s="33" t="n"/>
      <c r="G360" s="31" t="n"/>
      <c r="H360" s="28">
        <f>IF(OR(I360="",I360="Feito",I360="Sem data"),"",D360-Config!$B$5)</f>
        <v/>
      </c>
      <c r="I360" s="25">
        <f>IF(AND(A360="",C360="",D360=""),"",IF(F360="Sim","Feito",IF(D360="","Sem data",IF(D360&lt;Config!$B$5,"Atrasado",IF(D360=Config!$B$5,"Hoje",IF(D360-Config!$B$5&lt;=Config!$B$6,"Até "&amp;Config!$B$6&amp;" dias",IF(D360-Config!$B$5&lt;=Config!$B$7,"Até "&amp;Config!$B$7&amp;" dias","Depois")))))))</f>
        <v/>
      </c>
      <c r="J360" s="35">
        <f>IF(OR(I360="",I360="Feito",I360="Sem data"),0,IF(I360="Atrasado",3000+MIN(Config!$B$5-D360,60),IF(I360="Hoje",2500,IF(D360-Config!$B$5&lt;=Config!$B$6,2000-(D360-Config!$B$5),IF(D360-Config!$B$5&lt;=Config!$B$7,1000-(D360-Config!$B$5),500-MIN(D360-Config!$B$5,400)))))-ROW()/100000)</f>
        <v/>
      </c>
    </row>
    <row r="361">
      <c r="A361" s="31" t="n"/>
      <c r="B361" s="31" t="n"/>
      <c r="C361" s="33" t="n"/>
      <c r="D361" s="34" t="n"/>
      <c r="E361" s="33" t="n"/>
      <c r="F361" s="33" t="n"/>
      <c r="G361" s="31" t="n"/>
      <c r="H361" s="28">
        <f>IF(OR(I361="",I361="Feito",I361="Sem data"),"",D361-Config!$B$5)</f>
        <v/>
      </c>
      <c r="I361" s="25">
        <f>IF(AND(A361="",C361="",D361=""),"",IF(F361="Sim","Feito",IF(D361="","Sem data",IF(D361&lt;Config!$B$5,"Atrasado",IF(D361=Config!$B$5,"Hoje",IF(D361-Config!$B$5&lt;=Config!$B$6,"Até "&amp;Config!$B$6&amp;" dias",IF(D361-Config!$B$5&lt;=Config!$B$7,"Até "&amp;Config!$B$7&amp;" dias","Depois")))))))</f>
        <v/>
      </c>
      <c r="J361" s="35">
        <f>IF(OR(I361="",I361="Feito",I361="Sem data"),0,IF(I361="Atrasado",3000+MIN(Config!$B$5-D361,60),IF(I361="Hoje",2500,IF(D361-Config!$B$5&lt;=Config!$B$6,2000-(D361-Config!$B$5),IF(D361-Config!$B$5&lt;=Config!$B$7,1000-(D361-Config!$B$5),500-MIN(D361-Config!$B$5,400)))))-ROW()/100000)</f>
        <v/>
      </c>
    </row>
    <row r="362">
      <c r="A362" s="31" t="n"/>
      <c r="B362" s="31" t="n"/>
      <c r="C362" s="33" t="n"/>
      <c r="D362" s="34" t="n"/>
      <c r="E362" s="33" t="n"/>
      <c r="F362" s="33" t="n"/>
      <c r="G362" s="31" t="n"/>
      <c r="H362" s="28">
        <f>IF(OR(I362="",I362="Feito",I362="Sem data"),"",D362-Config!$B$5)</f>
        <v/>
      </c>
      <c r="I362" s="25">
        <f>IF(AND(A362="",C362="",D362=""),"",IF(F362="Sim","Feito",IF(D362="","Sem data",IF(D362&lt;Config!$B$5,"Atrasado",IF(D362=Config!$B$5,"Hoje",IF(D362-Config!$B$5&lt;=Config!$B$6,"Até "&amp;Config!$B$6&amp;" dias",IF(D362-Config!$B$5&lt;=Config!$B$7,"Até "&amp;Config!$B$7&amp;" dias","Depois")))))))</f>
        <v/>
      </c>
      <c r="J362" s="35">
        <f>IF(OR(I362="",I362="Feito",I362="Sem data"),0,IF(I362="Atrasado",3000+MIN(Config!$B$5-D362,60),IF(I362="Hoje",2500,IF(D362-Config!$B$5&lt;=Config!$B$6,2000-(D362-Config!$B$5),IF(D362-Config!$B$5&lt;=Config!$B$7,1000-(D362-Config!$B$5),500-MIN(D362-Config!$B$5,400)))))-ROW()/100000)</f>
        <v/>
      </c>
    </row>
    <row r="363">
      <c r="A363" s="31" t="n"/>
      <c r="B363" s="31" t="n"/>
      <c r="C363" s="33" t="n"/>
      <c r="D363" s="34" t="n"/>
      <c r="E363" s="33" t="n"/>
      <c r="F363" s="33" t="n"/>
      <c r="G363" s="31" t="n"/>
      <c r="H363" s="28">
        <f>IF(OR(I363="",I363="Feito",I363="Sem data"),"",D363-Config!$B$5)</f>
        <v/>
      </c>
      <c r="I363" s="25">
        <f>IF(AND(A363="",C363="",D363=""),"",IF(F363="Sim","Feito",IF(D363="","Sem data",IF(D363&lt;Config!$B$5,"Atrasado",IF(D363=Config!$B$5,"Hoje",IF(D363-Config!$B$5&lt;=Config!$B$6,"Até "&amp;Config!$B$6&amp;" dias",IF(D363-Config!$B$5&lt;=Config!$B$7,"Até "&amp;Config!$B$7&amp;" dias","Depois")))))))</f>
        <v/>
      </c>
      <c r="J363" s="35">
        <f>IF(OR(I363="",I363="Feito",I363="Sem data"),0,IF(I363="Atrasado",3000+MIN(Config!$B$5-D363,60),IF(I363="Hoje",2500,IF(D363-Config!$B$5&lt;=Config!$B$6,2000-(D363-Config!$B$5),IF(D363-Config!$B$5&lt;=Config!$B$7,1000-(D363-Config!$B$5),500-MIN(D363-Config!$B$5,400)))))-ROW()/100000)</f>
        <v/>
      </c>
    </row>
    <row r="364">
      <c r="A364" s="31" t="n"/>
      <c r="B364" s="31" t="n"/>
      <c r="C364" s="33" t="n"/>
      <c r="D364" s="34" t="n"/>
      <c r="E364" s="33" t="n"/>
      <c r="F364" s="33" t="n"/>
      <c r="G364" s="31" t="n"/>
      <c r="H364" s="28">
        <f>IF(OR(I364="",I364="Feito",I364="Sem data"),"",D364-Config!$B$5)</f>
        <v/>
      </c>
      <c r="I364" s="25">
        <f>IF(AND(A364="",C364="",D364=""),"",IF(F364="Sim","Feito",IF(D364="","Sem data",IF(D364&lt;Config!$B$5,"Atrasado",IF(D364=Config!$B$5,"Hoje",IF(D364-Config!$B$5&lt;=Config!$B$6,"Até "&amp;Config!$B$6&amp;" dias",IF(D364-Config!$B$5&lt;=Config!$B$7,"Até "&amp;Config!$B$7&amp;" dias","Depois")))))))</f>
        <v/>
      </c>
      <c r="J364" s="35">
        <f>IF(OR(I364="",I364="Feito",I364="Sem data"),0,IF(I364="Atrasado",3000+MIN(Config!$B$5-D364,60),IF(I364="Hoje",2500,IF(D364-Config!$B$5&lt;=Config!$B$6,2000-(D364-Config!$B$5),IF(D364-Config!$B$5&lt;=Config!$B$7,1000-(D364-Config!$B$5),500-MIN(D364-Config!$B$5,400)))))-ROW()/100000)</f>
        <v/>
      </c>
    </row>
    <row r="365">
      <c r="A365" s="31" t="n"/>
      <c r="B365" s="31" t="n"/>
      <c r="C365" s="33" t="n"/>
      <c r="D365" s="34" t="n"/>
      <c r="E365" s="33" t="n"/>
      <c r="F365" s="33" t="n"/>
      <c r="G365" s="31" t="n"/>
      <c r="H365" s="28">
        <f>IF(OR(I365="",I365="Feito",I365="Sem data"),"",D365-Config!$B$5)</f>
        <v/>
      </c>
      <c r="I365" s="25">
        <f>IF(AND(A365="",C365="",D365=""),"",IF(F365="Sim","Feito",IF(D365="","Sem data",IF(D365&lt;Config!$B$5,"Atrasado",IF(D365=Config!$B$5,"Hoje",IF(D365-Config!$B$5&lt;=Config!$B$6,"Até "&amp;Config!$B$6&amp;" dias",IF(D365-Config!$B$5&lt;=Config!$B$7,"Até "&amp;Config!$B$7&amp;" dias","Depois")))))))</f>
        <v/>
      </c>
      <c r="J365" s="35">
        <f>IF(OR(I365="",I365="Feito",I365="Sem data"),0,IF(I365="Atrasado",3000+MIN(Config!$B$5-D365,60),IF(I365="Hoje",2500,IF(D365-Config!$B$5&lt;=Config!$B$6,2000-(D365-Config!$B$5),IF(D365-Config!$B$5&lt;=Config!$B$7,1000-(D365-Config!$B$5),500-MIN(D365-Config!$B$5,400)))))-ROW()/100000)</f>
        <v/>
      </c>
    </row>
    <row r="366">
      <c r="A366" s="31" t="n"/>
      <c r="B366" s="31" t="n"/>
      <c r="C366" s="33" t="n"/>
      <c r="D366" s="34" t="n"/>
      <c r="E366" s="33" t="n"/>
      <c r="F366" s="33" t="n"/>
      <c r="G366" s="31" t="n"/>
      <c r="H366" s="28">
        <f>IF(OR(I366="",I366="Feito",I366="Sem data"),"",D366-Config!$B$5)</f>
        <v/>
      </c>
      <c r="I366" s="25">
        <f>IF(AND(A366="",C366="",D366=""),"",IF(F366="Sim","Feito",IF(D366="","Sem data",IF(D366&lt;Config!$B$5,"Atrasado",IF(D366=Config!$B$5,"Hoje",IF(D366-Config!$B$5&lt;=Config!$B$6,"Até "&amp;Config!$B$6&amp;" dias",IF(D366-Config!$B$5&lt;=Config!$B$7,"Até "&amp;Config!$B$7&amp;" dias","Depois")))))))</f>
        <v/>
      </c>
      <c r="J366" s="35">
        <f>IF(OR(I366="",I366="Feito",I366="Sem data"),0,IF(I366="Atrasado",3000+MIN(Config!$B$5-D366,60),IF(I366="Hoje",2500,IF(D366-Config!$B$5&lt;=Config!$B$6,2000-(D366-Config!$B$5),IF(D366-Config!$B$5&lt;=Config!$B$7,1000-(D366-Config!$B$5),500-MIN(D366-Config!$B$5,400)))))-ROW()/100000)</f>
        <v/>
      </c>
    </row>
    <row r="367">
      <c r="A367" s="31" t="n"/>
      <c r="B367" s="31" t="n"/>
      <c r="C367" s="33" t="n"/>
      <c r="D367" s="34" t="n"/>
      <c r="E367" s="33" t="n"/>
      <c r="F367" s="33" t="n"/>
      <c r="G367" s="31" t="n"/>
      <c r="H367" s="28">
        <f>IF(OR(I367="",I367="Feito",I367="Sem data"),"",D367-Config!$B$5)</f>
        <v/>
      </c>
      <c r="I367" s="25">
        <f>IF(AND(A367="",C367="",D367=""),"",IF(F367="Sim","Feito",IF(D367="","Sem data",IF(D367&lt;Config!$B$5,"Atrasado",IF(D367=Config!$B$5,"Hoje",IF(D367-Config!$B$5&lt;=Config!$B$6,"Até "&amp;Config!$B$6&amp;" dias",IF(D367-Config!$B$5&lt;=Config!$B$7,"Até "&amp;Config!$B$7&amp;" dias","Depois")))))))</f>
        <v/>
      </c>
      <c r="J367" s="35">
        <f>IF(OR(I367="",I367="Feito",I367="Sem data"),0,IF(I367="Atrasado",3000+MIN(Config!$B$5-D367,60),IF(I367="Hoje",2500,IF(D367-Config!$B$5&lt;=Config!$B$6,2000-(D367-Config!$B$5),IF(D367-Config!$B$5&lt;=Config!$B$7,1000-(D367-Config!$B$5),500-MIN(D367-Config!$B$5,400)))))-ROW()/100000)</f>
        <v/>
      </c>
    </row>
    <row r="368">
      <c r="A368" s="31" t="n"/>
      <c r="B368" s="31" t="n"/>
      <c r="C368" s="33" t="n"/>
      <c r="D368" s="34" t="n"/>
      <c r="E368" s="33" t="n"/>
      <c r="F368" s="33" t="n"/>
      <c r="G368" s="31" t="n"/>
      <c r="H368" s="28">
        <f>IF(OR(I368="",I368="Feito",I368="Sem data"),"",D368-Config!$B$5)</f>
        <v/>
      </c>
      <c r="I368" s="25">
        <f>IF(AND(A368="",C368="",D368=""),"",IF(F368="Sim","Feito",IF(D368="","Sem data",IF(D368&lt;Config!$B$5,"Atrasado",IF(D368=Config!$B$5,"Hoje",IF(D368-Config!$B$5&lt;=Config!$B$6,"Até "&amp;Config!$B$6&amp;" dias",IF(D368-Config!$B$5&lt;=Config!$B$7,"Até "&amp;Config!$B$7&amp;" dias","Depois")))))))</f>
        <v/>
      </c>
      <c r="J368" s="35">
        <f>IF(OR(I368="",I368="Feito",I368="Sem data"),0,IF(I368="Atrasado",3000+MIN(Config!$B$5-D368,60),IF(I368="Hoje",2500,IF(D368-Config!$B$5&lt;=Config!$B$6,2000-(D368-Config!$B$5),IF(D368-Config!$B$5&lt;=Config!$B$7,1000-(D368-Config!$B$5),500-MIN(D368-Config!$B$5,400)))))-ROW()/100000)</f>
        <v/>
      </c>
    </row>
    <row r="369">
      <c r="A369" s="31" t="n"/>
      <c r="B369" s="31" t="n"/>
      <c r="C369" s="33" t="n"/>
      <c r="D369" s="34" t="n"/>
      <c r="E369" s="33" t="n"/>
      <c r="F369" s="33" t="n"/>
      <c r="G369" s="31" t="n"/>
      <c r="H369" s="28">
        <f>IF(OR(I369="",I369="Feito",I369="Sem data"),"",D369-Config!$B$5)</f>
        <v/>
      </c>
      <c r="I369" s="25">
        <f>IF(AND(A369="",C369="",D369=""),"",IF(F369="Sim","Feito",IF(D369="","Sem data",IF(D369&lt;Config!$B$5,"Atrasado",IF(D369=Config!$B$5,"Hoje",IF(D369-Config!$B$5&lt;=Config!$B$6,"Até "&amp;Config!$B$6&amp;" dias",IF(D369-Config!$B$5&lt;=Config!$B$7,"Até "&amp;Config!$B$7&amp;" dias","Depois")))))))</f>
        <v/>
      </c>
      <c r="J369" s="35">
        <f>IF(OR(I369="",I369="Feito",I369="Sem data"),0,IF(I369="Atrasado",3000+MIN(Config!$B$5-D369,60),IF(I369="Hoje",2500,IF(D369-Config!$B$5&lt;=Config!$B$6,2000-(D369-Config!$B$5),IF(D369-Config!$B$5&lt;=Config!$B$7,1000-(D369-Config!$B$5),500-MIN(D369-Config!$B$5,400)))))-ROW()/100000)</f>
        <v/>
      </c>
    </row>
    <row r="370">
      <c r="A370" s="31" t="n"/>
      <c r="B370" s="31" t="n"/>
      <c r="C370" s="33" t="n"/>
      <c r="D370" s="34" t="n"/>
      <c r="E370" s="33" t="n"/>
      <c r="F370" s="33" t="n"/>
      <c r="G370" s="31" t="n"/>
      <c r="H370" s="28">
        <f>IF(OR(I370="",I370="Feito",I370="Sem data"),"",D370-Config!$B$5)</f>
        <v/>
      </c>
      <c r="I370" s="25">
        <f>IF(AND(A370="",C370="",D370=""),"",IF(F370="Sim","Feito",IF(D370="","Sem data",IF(D370&lt;Config!$B$5,"Atrasado",IF(D370=Config!$B$5,"Hoje",IF(D370-Config!$B$5&lt;=Config!$B$6,"Até "&amp;Config!$B$6&amp;" dias",IF(D370-Config!$B$5&lt;=Config!$B$7,"Até "&amp;Config!$B$7&amp;" dias","Depois")))))))</f>
        <v/>
      </c>
      <c r="J370" s="35">
        <f>IF(OR(I370="",I370="Feito",I370="Sem data"),0,IF(I370="Atrasado",3000+MIN(Config!$B$5-D370,60),IF(I370="Hoje",2500,IF(D370-Config!$B$5&lt;=Config!$B$6,2000-(D370-Config!$B$5),IF(D370-Config!$B$5&lt;=Config!$B$7,1000-(D370-Config!$B$5),500-MIN(D370-Config!$B$5,400)))))-ROW()/100000)</f>
        <v/>
      </c>
    </row>
    <row r="371">
      <c r="A371" s="31" t="n"/>
      <c r="B371" s="31" t="n"/>
      <c r="C371" s="33" t="n"/>
      <c r="D371" s="34" t="n"/>
      <c r="E371" s="33" t="n"/>
      <c r="F371" s="33" t="n"/>
      <c r="G371" s="31" t="n"/>
      <c r="H371" s="28">
        <f>IF(OR(I371="",I371="Feito",I371="Sem data"),"",D371-Config!$B$5)</f>
        <v/>
      </c>
      <c r="I371" s="25">
        <f>IF(AND(A371="",C371="",D371=""),"",IF(F371="Sim","Feito",IF(D371="","Sem data",IF(D371&lt;Config!$B$5,"Atrasado",IF(D371=Config!$B$5,"Hoje",IF(D371-Config!$B$5&lt;=Config!$B$6,"Até "&amp;Config!$B$6&amp;" dias",IF(D371-Config!$B$5&lt;=Config!$B$7,"Até "&amp;Config!$B$7&amp;" dias","Depois")))))))</f>
        <v/>
      </c>
      <c r="J371" s="35">
        <f>IF(OR(I371="",I371="Feito",I371="Sem data"),0,IF(I371="Atrasado",3000+MIN(Config!$B$5-D371,60),IF(I371="Hoje",2500,IF(D371-Config!$B$5&lt;=Config!$B$6,2000-(D371-Config!$B$5),IF(D371-Config!$B$5&lt;=Config!$B$7,1000-(D371-Config!$B$5),500-MIN(D371-Config!$B$5,400)))))-ROW()/100000)</f>
        <v/>
      </c>
    </row>
    <row r="372">
      <c r="A372" s="31" t="n"/>
      <c r="B372" s="31" t="n"/>
      <c r="C372" s="33" t="n"/>
      <c r="D372" s="34" t="n"/>
      <c r="E372" s="33" t="n"/>
      <c r="F372" s="33" t="n"/>
      <c r="G372" s="31" t="n"/>
      <c r="H372" s="28">
        <f>IF(OR(I372="",I372="Feito",I372="Sem data"),"",D372-Config!$B$5)</f>
        <v/>
      </c>
      <c r="I372" s="25">
        <f>IF(AND(A372="",C372="",D372=""),"",IF(F372="Sim","Feito",IF(D372="","Sem data",IF(D372&lt;Config!$B$5,"Atrasado",IF(D372=Config!$B$5,"Hoje",IF(D372-Config!$B$5&lt;=Config!$B$6,"Até "&amp;Config!$B$6&amp;" dias",IF(D372-Config!$B$5&lt;=Config!$B$7,"Até "&amp;Config!$B$7&amp;" dias","Depois")))))))</f>
        <v/>
      </c>
      <c r="J372" s="35">
        <f>IF(OR(I372="",I372="Feito",I372="Sem data"),0,IF(I372="Atrasado",3000+MIN(Config!$B$5-D372,60),IF(I372="Hoje",2500,IF(D372-Config!$B$5&lt;=Config!$B$6,2000-(D372-Config!$B$5),IF(D372-Config!$B$5&lt;=Config!$B$7,1000-(D372-Config!$B$5),500-MIN(D372-Config!$B$5,400)))))-ROW()/100000)</f>
        <v/>
      </c>
    </row>
    <row r="373">
      <c r="A373" s="31" t="n"/>
      <c r="B373" s="31" t="n"/>
      <c r="C373" s="33" t="n"/>
      <c r="D373" s="34" t="n"/>
      <c r="E373" s="33" t="n"/>
      <c r="F373" s="33" t="n"/>
      <c r="G373" s="31" t="n"/>
      <c r="H373" s="28">
        <f>IF(OR(I373="",I373="Feito",I373="Sem data"),"",D373-Config!$B$5)</f>
        <v/>
      </c>
      <c r="I373" s="25">
        <f>IF(AND(A373="",C373="",D373=""),"",IF(F373="Sim","Feito",IF(D373="","Sem data",IF(D373&lt;Config!$B$5,"Atrasado",IF(D373=Config!$B$5,"Hoje",IF(D373-Config!$B$5&lt;=Config!$B$6,"Até "&amp;Config!$B$6&amp;" dias",IF(D373-Config!$B$5&lt;=Config!$B$7,"Até "&amp;Config!$B$7&amp;" dias","Depois")))))))</f>
        <v/>
      </c>
      <c r="J373" s="35">
        <f>IF(OR(I373="",I373="Feito",I373="Sem data"),0,IF(I373="Atrasado",3000+MIN(Config!$B$5-D373,60),IF(I373="Hoje",2500,IF(D373-Config!$B$5&lt;=Config!$B$6,2000-(D373-Config!$B$5),IF(D373-Config!$B$5&lt;=Config!$B$7,1000-(D373-Config!$B$5),500-MIN(D373-Config!$B$5,400)))))-ROW()/100000)</f>
        <v/>
      </c>
    </row>
    <row r="374">
      <c r="A374" s="31" t="n"/>
      <c r="B374" s="31" t="n"/>
      <c r="C374" s="33" t="n"/>
      <c r="D374" s="34" t="n"/>
      <c r="E374" s="33" t="n"/>
      <c r="F374" s="33" t="n"/>
      <c r="G374" s="31" t="n"/>
      <c r="H374" s="28">
        <f>IF(OR(I374="",I374="Feito",I374="Sem data"),"",D374-Config!$B$5)</f>
        <v/>
      </c>
      <c r="I374" s="25">
        <f>IF(AND(A374="",C374="",D374=""),"",IF(F374="Sim","Feito",IF(D374="","Sem data",IF(D374&lt;Config!$B$5,"Atrasado",IF(D374=Config!$B$5,"Hoje",IF(D374-Config!$B$5&lt;=Config!$B$6,"Até "&amp;Config!$B$6&amp;" dias",IF(D374-Config!$B$5&lt;=Config!$B$7,"Até "&amp;Config!$B$7&amp;" dias","Depois")))))))</f>
        <v/>
      </c>
      <c r="J374" s="35">
        <f>IF(OR(I374="",I374="Feito",I374="Sem data"),0,IF(I374="Atrasado",3000+MIN(Config!$B$5-D374,60),IF(I374="Hoje",2500,IF(D374-Config!$B$5&lt;=Config!$B$6,2000-(D374-Config!$B$5),IF(D374-Config!$B$5&lt;=Config!$B$7,1000-(D374-Config!$B$5),500-MIN(D374-Config!$B$5,400)))))-ROW()/100000)</f>
        <v/>
      </c>
    </row>
    <row r="375">
      <c r="A375" s="31" t="n"/>
      <c r="B375" s="31" t="n"/>
      <c r="C375" s="33" t="n"/>
      <c r="D375" s="34" t="n"/>
      <c r="E375" s="33" t="n"/>
      <c r="F375" s="33" t="n"/>
      <c r="G375" s="31" t="n"/>
      <c r="H375" s="28">
        <f>IF(OR(I375="",I375="Feito",I375="Sem data"),"",D375-Config!$B$5)</f>
        <v/>
      </c>
      <c r="I375" s="25">
        <f>IF(AND(A375="",C375="",D375=""),"",IF(F375="Sim","Feito",IF(D375="","Sem data",IF(D375&lt;Config!$B$5,"Atrasado",IF(D375=Config!$B$5,"Hoje",IF(D375-Config!$B$5&lt;=Config!$B$6,"Até "&amp;Config!$B$6&amp;" dias",IF(D375-Config!$B$5&lt;=Config!$B$7,"Até "&amp;Config!$B$7&amp;" dias","Depois")))))))</f>
        <v/>
      </c>
      <c r="J375" s="35">
        <f>IF(OR(I375="",I375="Feito",I375="Sem data"),0,IF(I375="Atrasado",3000+MIN(Config!$B$5-D375,60),IF(I375="Hoje",2500,IF(D375-Config!$B$5&lt;=Config!$B$6,2000-(D375-Config!$B$5),IF(D375-Config!$B$5&lt;=Config!$B$7,1000-(D375-Config!$B$5),500-MIN(D375-Config!$B$5,400)))))-ROW()/100000)</f>
        <v/>
      </c>
    </row>
    <row r="376">
      <c r="A376" s="31" t="n"/>
      <c r="B376" s="31" t="n"/>
      <c r="C376" s="33" t="n"/>
      <c r="D376" s="34" t="n"/>
      <c r="E376" s="33" t="n"/>
      <c r="F376" s="33" t="n"/>
      <c r="G376" s="31" t="n"/>
      <c r="H376" s="28">
        <f>IF(OR(I376="",I376="Feito",I376="Sem data"),"",D376-Config!$B$5)</f>
        <v/>
      </c>
      <c r="I376" s="25">
        <f>IF(AND(A376="",C376="",D376=""),"",IF(F376="Sim","Feito",IF(D376="","Sem data",IF(D376&lt;Config!$B$5,"Atrasado",IF(D376=Config!$B$5,"Hoje",IF(D376-Config!$B$5&lt;=Config!$B$6,"Até "&amp;Config!$B$6&amp;" dias",IF(D376-Config!$B$5&lt;=Config!$B$7,"Até "&amp;Config!$B$7&amp;" dias","Depois")))))))</f>
        <v/>
      </c>
      <c r="J376" s="35">
        <f>IF(OR(I376="",I376="Feito",I376="Sem data"),0,IF(I376="Atrasado",3000+MIN(Config!$B$5-D376,60),IF(I376="Hoje",2500,IF(D376-Config!$B$5&lt;=Config!$B$6,2000-(D376-Config!$B$5),IF(D376-Config!$B$5&lt;=Config!$B$7,1000-(D376-Config!$B$5),500-MIN(D376-Config!$B$5,400)))))-ROW()/100000)</f>
        <v/>
      </c>
    </row>
    <row r="377">
      <c r="A377" s="31" t="n"/>
      <c r="B377" s="31" t="n"/>
      <c r="C377" s="33" t="n"/>
      <c r="D377" s="34" t="n"/>
      <c r="E377" s="33" t="n"/>
      <c r="F377" s="33" t="n"/>
      <c r="G377" s="31" t="n"/>
      <c r="H377" s="28">
        <f>IF(OR(I377="",I377="Feito",I377="Sem data"),"",D377-Config!$B$5)</f>
        <v/>
      </c>
      <c r="I377" s="25">
        <f>IF(AND(A377="",C377="",D377=""),"",IF(F377="Sim","Feito",IF(D377="","Sem data",IF(D377&lt;Config!$B$5,"Atrasado",IF(D377=Config!$B$5,"Hoje",IF(D377-Config!$B$5&lt;=Config!$B$6,"Até "&amp;Config!$B$6&amp;" dias",IF(D377-Config!$B$5&lt;=Config!$B$7,"Até "&amp;Config!$B$7&amp;" dias","Depois")))))))</f>
        <v/>
      </c>
      <c r="J377" s="35">
        <f>IF(OR(I377="",I377="Feito",I377="Sem data"),0,IF(I377="Atrasado",3000+MIN(Config!$B$5-D377,60),IF(I377="Hoje",2500,IF(D377-Config!$B$5&lt;=Config!$B$6,2000-(D377-Config!$B$5),IF(D377-Config!$B$5&lt;=Config!$B$7,1000-(D377-Config!$B$5),500-MIN(D377-Config!$B$5,400)))))-ROW()/100000)</f>
        <v/>
      </c>
    </row>
    <row r="378">
      <c r="A378" s="31" t="n"/>
      <c r="B378" s="31" t="n"/>
      <c r="C378" s="33" t="n"/>
      <c r="D378" s="34" t="n"/>
      <c r="E378" s="33" t="n"/>
      <c r="F378" s="33" t="n"/>
      <c r="G378" s="31" t="n"/>
      <c r="H378" s="28">
        <f>IF(OR(I378="",I378="Feito",I378="Sem data"),"",D378-Config!$B$5)</f>
        <v/>
      </c>
      <c r="I378" s="25">
        <f>IF(AND(A378="",C378="",D378=""),"",IF(F378="Sim","Feito",IF(D378="","Sem data",IF(D378&lt;Config!$B$5,"Atrasado",IF(D378=Config!$B$5,"Hoje",IF(D378-Config!$B$5&lt;=Config!$B$6,"Até "&amp;Config!$B$6&amp;" dias",IF(D378-Config!$B$5&lt;=Config!$B$7,"Até "&amp;Config!$B$7&amp;" dias","Depois")))))))</f>
        <v/>
      </c>
      <c r="J378" s="35">
        <f>IF(OR(I378="",I378="Feito",I378="Sem data"),0,IF(I378="Atrasado",3000+MIN(Config!$B$5-D378,60),IF(I378="Hoje",2500,IF(D378-Config!$B$5&lt;=Config!$B$6,2000-(D378-Config!$B$5),IF(D378-Config!$B$5&lt;=Config!$B$7,1000-(D378-Config!$B$5),500-MIN(D378-Config!$B$5,400)))))-ROW()/100000)</f>
        <v/>
      </c>
    </row>
    <row r="379">
      <c r="A379" s="31" t="n"/>
      <c r="B379" s="31" t="n"/>
      <c r="C379" s="33" t="n"/>
      <c r="D379" s="34" t="n"/>
      <c r="E379" s="33" t="n"/>
      <c r="F379" s="33" t="n"/>
      <c r="G379" s="31" t="n"/>
      <c r="H379" s="28">
        <f>IF(OR(I379="",I379="Feito",I379="Sem data"),"",D379-Config!$B$5)</f>
        <v/>
      </c>
      <c r="I379" s="25">
        <f>IF(AND(A379="",C379="",D379=""),"",IF(F379="Sim","Feito",IF(D379="","Sem data",IF(D379&lt;Config!$B$5,"Atrasado",IF(D379=Config!$B$5,"Hoje",IF(D379-Config!$B$5&lt;=Config!$B$6,"Até "&amp;Config!$B$6&amp;" dias",IF(D379-Config!$B$5&lt;=Config!$B$7,"Até "&amp;Config!$B$7&amp;" dias","Depois")))))))</f>
        <v/>
      </c>
      <c r="J379" s="35">
        <f>IF(OR(I379="",I379="Feito",I379="Sem data"),0,IF(I379="Atrasado",3000+MIN(Config!$B$5-D379,60),IF(I379="Hoje",2500,IF(D379-Config!$B$5&lt;=Config!$B$6,2000-(D379-Config!$B$5),IF(D379-Config!$B$5&lt;=Config!$B$7,1000-(D379-Config!$B$5),500-MIN(D379-Config!$B$5,400)))))-ROW()/100000)</f>
        <v/>
      </c>
    </row>
    <row r="380">
      <c r="A380" s="31" t="n"/>
      <c r="B380" s="31" t="n"/>
      <c r="C380" s="33" t="n"/>
      <c r="D380" s="34" t="n"/>
      <c r="E380" s="33" t="n"/>
      <c r="F380" s="33" t="n"/>
      <c r="G380" s="31" t="n"/>
      <c r="H380" s="28">
        <f>IF(OR(I380="",I380="Feito",I380="Sem data"),"",D380-Config!$B$5)</f>
        <v/>
      </c>
      <c r="I380" s="25">
        <f>IF(AND(A380="",C380="",D380=""),"",IF(F380="Sim","Feito",IF(D380="","Sem data",IF(D380&lt;Config!$B$5,"Atrasado",IF(D380=Config!$B$5,"Hoje",IF(D380-Config!$B$5&lt;=Config!$B$6,"Até "&amp;Config!$B$6&amp;" dias",IF(D380-Config!$B$5&lt;=Config!$B$7,"Até "&amp;Config!$B$7&amp;" dias","Depois")))))))</f>
        <v/>
      </c>
      <c r="J380" s="35">
        <f>IF(OR(I380="",I380="Feito",I380="Sem data"),0,IF(I380="Atrasado",3000+MIN(Config!$B$5-D380,60),IF(I380="Hoje",2500,IF(D380-Config!$B$5&lt;=Config!$B$6,2000-(D380-Config!$B$5),IF(D380-Config!$B$5&lt;=Config!$B$7,1000-(D380-Config!$B$5),500-MIN(D380-Config!$B$5,400)))))-ROW()/100000)</f>
        <v/>
      </c>
    </row>
    <row r="381">
      <c r="A381" s="31" t="n"/>
      <c r="B381" s="31" t="n"/>
      <c r="C381" s="33" t="n"/>
      <c r="D381" s="34" t="n"/>
      <c r="E381" s="33" t="n"/>
      <c r="F381" s="33" t="n"/>
      <c r="G381" s="31" t="n"/>
      <c r="H381" s="28">
        <f>IF(OR(I381="",I381="Feito",I381="Sem data"),"",D381-Config!$B$5)</f>
        <v/>
      </c>
      <c r="I381" s="25">
        <f>IF(AND(A381="",C381="",D381=""),"",IF(F381="Sim","Feito",IF(D381="","Sem data",IF(D381&lt;Config!$B$5,"Atrasado",IF(D381=Config!$B$5,"Hoje",IF(D381-Config!$B$5&lt;=Config!$B$6,"Até "&amp;Config!$B$6&amp;" dias",IF(D381-Config!$B$5&lt;=Config!$B$7,"Até "&amp;Config!$B$7&amp;" dias","Depois")))))))</f>
        <v/>
      </c>
      <c r="J381" s="35">
        <f>IF(OR(I381="",I381="Feito",I381="Sem data"),0,IF(I381="Atrasado",3000+MIN(Config!$B$5-D381,60),IF(I381="Hoje",2500,IF(D381-Config!$B$5&lt;=Config!$B$6,2000-(D381-Config!$B$5),IF(D381-Config!$B$5&lt;=Config!$B$7,1000-(D381-Config!$B$5),500-MIN(D381-Config!$B$5,400)))))-ROW()/100000)</f>
        <v/>
      </c>
    </row>
    <row r="382">
      <c r="A382" s="31" t="n"/>
      <c r="B382" s="31" t="n"/>
      <c r="C382" s="33" t="n"/>
      <c r="D382" s="34" t="n"/>
      <c r="E382" s="33" t="n"/>
      <c r="F382" s="33" t="n"/>
      <c r="G382" s="31" t="n"/>
      <c r="H382" s="28">
        <f>IF(OR(I382="",I382="Feito",I382="Sem data"),"",D382-Config!$B$5)</f>
        <v/>
      </c>
      <c r="I382" s="25">
        <f>IF(AND(A382="",C382="",D382=""),"",IF(F382="Sim","Feito",IF(D382="","Sem data",IF(D382&lt;Config!$B$5,"Atrasado",IF(D382=Config!$B$5,"Hoje",IF(D382-Config!$B$5&lt;=Config!$B$6,"Até "&amp;Config!$B$6&amp;" dias",IF(D382-Config!$B$5&lt;=Config!$B$7,"Até "&amp;Config!$B$7&amp;" dias","Depois")))))))</f>
        <v/>
      </c>
      <c r="J382" s="35">
        <f>IF(OR(I382="",I382="Feito",I382="Sem data"),0,IF(I382="Atrasado",3000+MIN(Config!$B$5-D382,60),IF(I382="Hoje",2500,IF(D382-Config!$B$5&lt;=Config!$B$6,2000-(D382-Config!$B$5),IF(D382-Config!$B$5&lt;=Config!$B$7,1000-(D382-Config!$B$5),500-MIN(D382-Config!$B$5,400)))))-ROW()/100000)</f>
        <v/>
      </c>
    </row>
    <row r="383">
      <c r="A383" s="31" t="n"/>
      <c r="B383" s="31" t="n"/>
      <c r="C383" s="33" t="n"/>
      <c r="D383" s="34" t="n"/>
      <c r="E383" s="33" t="n"/>
      <c r="F383" s="33" t="n"/>
      <c r="G383" s="31" t="n"/>
      <c r="H383" s="28">
        <f>IF(OR(I383="",I383="Feito",I383="Sem data"),"",D383-Config!$B$5)</f>
        <v/>
      </c>
      <c r="I383" s="25">
        <f>IF(AND(A383="",C383="",D383=""),"",IF(F383="Sim","Feito",IF(D383="","Sem data",IF(D383&lt;Config!$B$5,"Atrasado",IF(D383=Config!$B$5,"Hoje",IF(D383-Config!$B$5&lt;=Config!$B$6,"Até "&amp;Config!$B$6&amp;" dias",IF(D383-Config!$B$5&lt;=Config!$B$7,"Até "&amp;Config!$B$7&amp;" dias","Depois")))))))</f>
        <v/>
      </c>
      <c r="J383" s="35">
        <f>IF(OR(I383="",I383="Feito",I383="Sem data"),0,IF(I383="Atrasado",3000+MIN(Config!$B$5-D383,60),IF(I383="Hoje",2500,IF(D383-Config!$B$5&lt;=Config!$B$6,2000-(D383-Config!$B$5),IF(D383-Config!$B$5&lt;=Config!$B$7,1000-(D383-Config!$B$5),500-MIN(D383-Config!$B$5,400)))))-ROW()/100000)</f>
        <v/>
      </c>
    </row>
    <row r="384">
      <c r="A384" s="31" t="n"/>
      <c r="B384" s="31" t="n"/>
      <c r="C384" s="33" t="n"/>
      <c r="D384" s="34" t="n"/>
      <c r="E384" s="33" t="n"/>
      <c r="F384" s="33" t="n"/>
      <c r="G384" s="31" t="n"/>
      <c r="H384" s="28">
        <f>IF(OR(I384="",I384="Feito",I384="Sem data"),"",D384-Config!$B$5)</f>
        <v/>
      </c>
      <c r="I384" s="25">
        <f>IF(AND(A384="",C384="",D384=""),"",IF(F384="Sim","Feito",IF(D384="","Sem data",IF(D384&lt;Config!$B$5,"Atrasado",IF(D384=Config!$B$5,"Hoje",IF(D384-Config!$B$5&lt;=Config!$B$6,"Até "&amp;Config!$B$6&amp;" dias",IF(D384-Config!$B$5&lt;=Config!$B$7,"Até "&amp;Config!$B$7&amp;" dias","Depois")))))))</f>
        <v/>
      </c>
      <c r="J384" s="35">
        <f>IF(OR(I384="",I384="Feito",I384="Sem data"),0,IF(I384="Atrasado",3000+MIN(Config!$B$5-D384,60),IF(I384="Hoje",2500,IF(D384-Config!$B$5&lt;=Config!$B$6,2000-(D384-Config!$B$5),IF(D384-Config!$B$5&lt;=Config!$B$7,1000-(D384-Config!$B$5),500-MIN(D384-Config!$B$5,400)))))-ROW()/100000)</f>
        <v/>
      </c>
    </row>
    <row r="385">
      <c r="A385" s="31" t="n"/>
      <c r="B385" s="31" t="n"/>
      <c r="C385" s="33" t="n"/>
      <c r="D385" s="34" t="n"/>
      <c r="E385" s="33" t="n"/>
      <c r="F385" s="33" t="n"/>
      <c r="G385" s="31" t="n"/>
      <c r="H385" s="28">
        <f>IF(OR(I385="",I385="Feito",I385="Sem data"),"",D385-Config!$B$5)</f>
        <v/>
      </c>
      <c r="I385" s="25">
        <f>IF(AND(A385="",C385="",D385=""),"",IF(F385="Sim","Feito",IF(D385="","Sem data",IF(D385&lt;Config!$B$5,"Atrasado",IF(D385=Config!$B$5,"Hoje",IF(D385-Config!$B$5&lt;=Config!$B$6,"Até "&amp;Config!$B$6&amp;" dias",IF(D385-Config!$B$5&lt;=Config!$B$7,"Até "&amp;Config!$B$7&amp;" dias","Depois")))))))</f>
        <v/>
      </c>
      <c r="J385" s="35">
        <f>IF(OR(I385="",I385="Feito",I385="Sem data"),0,IF(I385="Atrasado",3000+MIN(Config!$B$5-D385,60),IF(I385="Hoje",2500,IF(D385-Config!$B$5&lt;=Config!$B$6,2000-(D385-Config!$B$5),IF(D385-Config!$B$5&lt;=Config!$B$7,1000-(D385-Config!$B$5),500-MIN(D385-Config!$B$5,400)))))-ROW()/100000)</f>
        <v/>
      </c>
    </row>
    <row r="386">
      <c r="A386" s="31" t="n"/>
      <c r="B386" s="31" t="n"/>
      <c r="C386" s="33" t="n"/>
      <c r="D386" s="34" t="n"/>
      <c r="E386" s="33" t="n"/>
      <c r="F386" s="33" t="n"/>
      <c r="G386" s="31" t="n"/>
      <c r="H386" s="28">
        <f>IF(OR(I386="",I386="Feito",I386="Sem data"),"",D386-Config!$B$5)</f>
        <v/>
      </c>
      <c r="I386" s="25">
        <f>IF(AND(A386="",C386="",D386=""),"",IF(F386="Sim","Feito",IF(D386="","Sem data",IF(D386&lt;Config!$B$5,"Atrasado",IF(D386=Config!$B$5,"Hoje",IF(D386-Config!$B$5&lt;=Config!$B$6,"Até "&amp;Config!$B$6&amp;" dias",IF(D386-Config!$B$5&lt;=Config!$B$7,"Até "&amp;Config!$B$7&amp;" dias","Depois")))))))</f>
        <v/>
      </c>
      <c r="J386" s="35">
        <f>IF(OR(I386="",I386="Feito",I386="Sem data"),0,IF(I386="Atrasado",3000+MIN(Config!$B$5-D386,60),IF(I386="Hoje",2500,IF(D386-Config!$B$5&lt;=Config!$B$6,2000-(D386-Config!$B$5),IF(D386-Config!$B$5&lt;=Config!$B$7,1000-(D386-Config!$B$5),500-MIN(D386-Config!$B$5,400)))))-ROW()/100000)</f>
        <v/>
      </c>
    </row>
    <row r="387">
      <c r="A387" s="31" t="n"/>
      <c r="B387" s="31" t="n"/>
      <c r="C387" s="33" t="n"/>
      <c r="D387" s="34" t="n"/>
      <c r="E387" s="33" t="n"/>
      <c r="F387" s="33" t="n"/>
      <c r="G387" s="31" t="n"/>
      <c r="H387" s="28">
        <f>IF(OR(I387="",I387="Feito",I387="Sem data"),"",D387-Config!$B$5)</f>
        <v/>
      </c>
      <c r="I387" s="25">
        <f>IF(AND(A387="",C387="",D387=""),"",IF(F387="Sim","Feito",IF(D387="","Sem data",IF(D387&lt;Config!$B$5,"Atrasado",IF(D387=Config!$B$5,"Hoje",IF(D387-Config!$B$5&lt;=Config!$B$6,"Até "&amp;Config!$B$6&amp;" dias",IF(D387-Config!$B$5&lt;=Config!$B$7,"Até "&amp;Config!$B$7&amp;" dias","Depois")))))))</f>
        <v/>
      </c>
      <c r="J387" s="35">
        <f>IF(OR(I387="",I387="Feito",I387="Sem data"),0,IF(I387="Atrasado",3000+MIN(Config!$B$5-D387,60),IF(I387="Hoje",2500,IF(D387-Config!$B$5&lt;=Config!$B$6,2000-(D387-Config!$B$5),IF(D387-Config!$B$5&lt;=Config!$B$7,1000-(D387-Config!$B$5),500-MIN(D387-Config!$B$5,400)))))-ROW()/100000)</f>
        <v/>
      </c>
    </row>
    <row r="388">
      <c r="A388" s="31" t="n"/>
      <c r="B388" s="31" t="n"/>
      <c r="C388" s="33" t="n"/>
      <c r="D388" s="34" t="n"/>
      <c r="E388" s="33" t="n"/>
      <c r="F388" s="33" t="n"/>
      <c r="G388" s="31" t="n"/>
      <c r="H388" s="28">
        <f>IF(OR(I388="",I388="Feito",I388="Sem data"),"",D388-Config!$B$5)</f>
        <v/>
      </c>
      <c r="I388" s="25">
        <f>IF(AND(A388="",C388="",D388=""),"",IF(F388="Sim","Feito",IF(D388="","Sem data",IF(D388&lt;Config!$B$5,"Atrasado",IF(D388=Config!$B$5,"Hoje",IF(D388-Config!$B$5&lt;=Config!$B$6,"Até "&amp;Config!$B$6&amp;" dias",IF(D388-Config!$B$5&lt;=Config!$B$7,"Até "&amp;Config!$B$7&amp;" dias","Depois")))))))</f>
        <v/>
      </c>
      <c r="J388" s="35">
        <f>IF(OR(I388="",I388="Feito",I388="Sem data"),0,IF(I388="Atrasado",3000+MIN(Config!$B$5-D388,60),IF(I388="Hoje",2500,IF(D388-Config!$B$5&lt;=Config!$B$6,2000-(D388-Config!$B$5),IF(D388-Config!$B$5&lt;=Config!$B$7,1000-(D388-Config!$B$5),500-MIN(D388-Config!$B$5,400)))))-ROW()/100000)</f>
        <v/>
      </c>
    </row>
    <row r="389">
      <c r="A389" s="31" t="n"/>
      <c r="B389" s="31" t="n"/>
      <c r="C389" s="33" t="n"/>
      <c r="D389" s="34" t="n"/>
      <c r="E389" s="33" t="n"/>
      <c r="F389" s="33" t="n"/>
      <c r="G389" s="31" t="n"/>
      <c r="H389" s="28">
        <f>IF(OR(I389="",I389="Feito",I389="Sem data"),"",D389-Config!$B$5)</f>
        <v/>
      </c>
      <c r="I389" s="25">
        <f>IF(AND(A389="",C389="",D389=""),"",IF(F389="Sim","Feito",IF(D389="","Sem data",IF(D389&lt;Config!$B$5,"Atrasado",IF(D389=Config!$B$5,"Hoje",IF(D389-Config!$B$5&lt;=Config!$B$6,"Até "&amp;Config!$B$6&amp;" dias",IF(D389-Config!$B$5&lt;=Config!$B$7,"Até "&amp;Config!$B$7&amp;" dias","Depois")))))))</f>
        <v/>
      </c>
      <c r="J389" s="35">
        <f>IF(OR(I389="",I389="Feito",I389="Sem data"),0,IF(I389="Atrasado",3000+MIN(Config!$B$5-D389,60),IF(I389="Hoje",2500,IF(D389-Config!$B$5&lt;=Config!$B$6,2000-(D389-Config!$B$5),IF(D389-Config!$B$5&lt;=Config!$B$7,1000-(D389-Config!$B$5),500-MIN(D389-Config!$B$5,400)))))-ROW()/100000)</f>
        <v/>
      </c>
    </row>
    <row r="390">
      <c r="A390" s="31" t="n"/>
      <c r="B390" s="31" t="n"/>
      <c r="C390" s="33" t="n"/>
      <c r="D390" s="34" t="n"/>
      <c r="E390" s="33" t="n"/>
      <c r="F390" s="33" t="n"/>
      <c r="G390" s="31" t="n"/>
      <c r="H390" s="28">
        <f>IF(OR(I390="",I390="Feito",I390="Sem data"),"",D390-Config!$B$5)</f>
        <v/>
      </c>
      <c r="I390" s="25">
        <f>IF(AND(A390="",C390="",D390=""),"",IF(F390="Sim","Feito",IF(D390="","Sem data",IF(D390&lt;Config!$B$5,"Atrasado",IF(D390=Config!$B$5,"Hoje",IF(D390-Config!$B$5&lt;=Config!$B$6,"Até "&amp;Config!$B$6&amp;" dias",IF(D390-Config!$B$5&lt;=Config!$B$7,"Até "&amp;Config!$B$7&amp;" dias","Depois")))))))</f>
        <v/>
      </c>
      <c r="J390" s="35">
        <f>IF(OR(I390="",I390="Feito",I390="Sem data"),0,IF(I390="Atrasado",3000+MIN(Config!$B$5-D390,60),IF(I390="Hoje",2500,IF(D390-Config!$B$5&lt;=Config!$B$6,2000-(D390-Config!$B$5),IF(D390-Config!$B$5&lt;=Config!$B$7,1000-(D390-Config!$B$5),500-MIN(D390-Config!$B$5,400)))))-ROW()/100000)</f>
        <v/>
      </c>
    </row>
    <row r="391">
      <c r="A391" s="31" t="n"/>
      <c r="B391" s="31" t="n"/>
      <c r="C391" s="33" t="n"/>
      <c r="D391" s="34" t="n"/>
      <c r="E391" s="33" t="n"/>
      <c r="F391" s="33" t="n"/>
      <c r="G391" s="31" t="n"/>
      <c r="H391" s="28">
        <f>IF(OR(I391="",I391="Feito",I391="Sem data"),"",D391-Config!$B$5)</f>
        <v/>
      </c>
      <c r="I391" s="25">
        <f>IF(AND(A391="",C391="",D391=""),"",IF(F391="Sim","Feito",IF(D391="","Sem data",IF(D391&lt;Config!$B$5,"Atrasado",IF(D391=Config!$B$5,"Hoje",IF(D391-Config!$B$5&lt;=Config!$B$6,"Até "&amp;Config!$B$6&amp;" dias",IF(D391-Config!$B$5&lt;=Config!$B$7,"Até "&amp;Config!$B$7&amp;" dias","Depois")))))))</f>
        <v/>
      </c>
      <c r="J391" s="35">
        <f>IF(OR(I391="",I391="Feito",I391="Sem data"),0,IF(I391="Atrasado",3000+MIN(Config!$B$5-D391,60),IF(I391="Hoje",2500,IF(D391-Config!$B$5&lt;=Config!$B$6,2000-(D391-Config!$B$5),IF(D391-Config!$B$5&lt;=Config!$B$7,1000-(D391-Config!$B$5),500-MIN(D391-Config!$B$5,400)))))-ROW()/100000)</f>
        <v/>
      </c>
    </row>
    <row r="392">
      <c r="A392" s="31" t="n"/>
      <c r="B392" s="31" t="n"/>
      <c r="C392" s="33" t="n"/>
      <c r="D392" s="34" t="n"/>
      <c r="E392" s="33" t="n"/>
      <c r="F392" s="33" t="n"/>
      <c r="G392" s="31" t="n"/>
      <c r="H392" s="28">
        <f>IF(OR(I392="",I392="Feito",I392="Sem data"),"",D392-Config!$B$5)</f>
        <v/>
      </c>
      <c r="I392" s="25">
        <f>IF(AND(A392="",C392="",D392=""),"",IF(F392="Sim","Feito",IF(D392="","Sem data",IF(D392&lt;Config!$B$5,"Atrasado",IF(D392=Config!$B$5,"Hoje",IF(D392-Config!$B$5&lt;=Config!$B$6,"Até "&amp;Config!$B$6&amp;" dias",IF(D392-Config!$B$5&lt;=Config!$B$7,"Até "&amp;Config!$B$7&amp;" dias","Depois")))))))</f>
        <v/>
      </c>
      <c r="J392" s="35">
        <f>IF(OR(I392="",I392="Feito",I392="Sem data"),0,IF(I392="Atrasado",3000+MIN(Config!$B$5-D392,60),IF(I392="Hoje",2500,IF(D392-Config!$B$5&lt;=Config!$B$6,2000-(D392-Config!$B$5),IF(D392-Config!$B$5&lt;=Config!$B$7,1000-(D392-Config!$B$5),500-MIN(D392-Config!$B$5,400)))))-ROW()/100000)</f>
        <v/>
      </c>
    </row>
    <row r="393">
      <c r="A393" s="31" t="n"/>
      <c r="B393" s="31" t="n"/>
      <c r="C393" s="33" t="n"/>
      <c r="D393" s="34" t="n"/>
      <c r="E393" s="33" t="n"/>
      <c r="F393" s="33" t="n"/>
      <c r="G393" s="31" t="n"/>
      <c r="H393" s="28">
        <f>IF(OR(I393="",I393="Feito",I393="Sem data"),"",D393-Config!$B$5)</f>
        <v/>
      </c>
      <c r="I393" s="25">
        <f>IF(AND(A393="",C393="",D393=""),"",IF(F393="Sim","Feito",IF(D393="","Sem data",IF(D393&lt;Config!$B$5,"Atrasado",IF(D393=Config!$B$5,"Hoje",IF(D393-Config!$B$5&lt;=Config!$B$6,"Até "&amp;Config!$B$6&amp;" dias",IF(D393-Config!$B$5&lt;=Config!$B$7,"Até "&amp;Config!$B$7&amp;" dias","Depois")))))))</f>
        <v/>
      </c>
      <c r="J393" s="35">
        <f>IF(OR(I393="",I393="Feito",I393="Sem data"),0,IF(I393="Atrasado",3000+MIN(Config!$B$5-D393,60),IF(I393="Hoje",2500,IF(D393-Config!$B$5&lt;=Config!$B$6,2000-(D393-Config!$B$5),IF(D393-Config!$B$5&lt;=Config!$B$7,1000-(D393-Config!$B$5),500-MIN(D393-Config!$B$5,400)))))-ROW()/100000)</f>
        <v/>
      </c>
    </row>
    <row r="394">
      <c r="A394" s="31" t="n"/>
      <c r="B394" s="31" t="n"/>
      <c r="C394" s="33" t="n"/>
      <c r="D394" s="34" t="n"/>
      <c r="E394" s="33" t="n"/>
      <c r="F394" s="33" t="n"/>
      <c r="G394" s="31" t="n"/>
      <c r="H394" s="28">
        <f>IF(OR(I394="",I394="Feito",I394="Sem data"),"",D394-Config!$B$5)</f>
        <v/>
      </c>
      <c r="I394" s="25">
        <f>IF(AND(A394="",C394="",D394=""),"",IF(F394="Sim","Feito",IF(D394="","Sem data",IF(D394&lt;Config!$B$5,"Atrasado",IF(D394=Config!$B$5,"Hoje",IF(D394-Config!$B$5&lt;=Config!$B$6,"Até "&amp;Config!$B$6&amp;" dias",IF(D394-Config!$B$5&lt;=Config!$B$7,"Até "&amp;Config!$B$7&amp;" dias","Depois")))))))</f>
        <v/>
      </c>
      <c r="J394" s="35">
        <f>IF(OR(I394="",I394="Feito",I394="Sem data"),0,IF(I394="Atrasado",3000+MIN(Config!$B$5-D394,60),IF(I394="Hoje",2500,IF(D394-Config!$B$5&lt;=Config!$B$6,2000-(D394-Config!$B$5),IF(D394-Config!$B$5&lt;=Config!$B$7,1000-(D394-Config!$B$5),500-MIN(D394-Config!$B$5,400)))))-ROW()/100000)</f>
        <v/>
      </c>
    </row>
    <row r="395">
      <c r="A395" s="31" t="n"/>
      <c r="B395" s="31" t="n"/>
      <c r="C395" s="33" t="n"/>
      <c r="D395" s="34" t="n"/>
      <c r="E395" s="33" t="n"/>
      <c r="F395" s="33" t="n"/>
      <c r="G395" s="31" t="n"/>
      <c r="H395" s="28">
        <f>IF(OR(I395="",I395="Feito",I395="Sem data"),"",D395-Config!$B$5)</f>
        <v/>
      </c>
      <c r="I395" s="25">
        <f>IF(AND(A395="",C395="",D395=""),"",IF(F395="Sim","Feito",IF(D395="","Sem data",IF(D395&lt;Config!$B$5,"Atrasado",IF(D395=Config!$B$5,"Hoje",IF(D395-Config!$B$5&lt;=Config!$B$6,"Até "&amp;Config!$B$6&amp;" dias",IF(D395-Config!$B$5&lt;=Config!$B$7,"Até "&amp;Config!$B$7&amp;" dias","Depois")))))))</f>
        <v/>
      </c>
      <c r="J395" s="35">
        <f>IF(OR(I395="",I395="Feito",I395="Sem data"),0,IF(I395="Atrasado",3000+MIN(Config!$B$5-D395,60),IF(I395="Hoje",2500,IF(D395-Config!$B$5&lt;=Config!$B$6,2000-(D395-Config!$B$5),IF(D395-Config!$B$5&lt;=Config!$B$7,1000-(D395-Config!$B$5),500-MIN(D395-Config!$B$5,400)))))-ROW()/100000)</f>
        <v/>
      </c>
    </row>
    <row r="396">
      <c r="A396" s="31" t="n"/>
      <c r="B396" s="31" t="n"/>
      <c r="C396" s="33" t="n"/>
      <c r="D396" s="34" t="n"/>
      <c r="E396" s="33" t="n"/>
      <c r="F396" s="33" t="n"/>
      <c r="G396" s="31" t="n"/>
      <c r="H396" s="28">
        <f>IF(OR(I396="",I396="Feito",I396="Sem data"),"",D396-Config!$B$5)</f>
        <v/>
      </c>
      <c r="I396" s="25">
        <f>IF(AND(A396="",C396="",D396=""),"",IF(F396="Sim","Feito",IF(D396="","Sem data",IF(D396&lt;Config!$B$5,"Atrasado",IF(D396=Config!$B$5,"Hoje",IF(D396-Config!$B$5&lt;=Config!$B$6,"Até "&amp;Config!$B$6&amp;" dias",IF(D396-Config!$B$5&lt;=Config!$B$7,"Até "&amp;Config!$B$7&amp;" dias","Depois")))))))</f>
        <v/>
      </c>
      <c r="J396" s="35">
        <f>IF(OR(I396="",I396="Feito",I396="Sem data"),0,IF(I396="Atrasado",3000+MIN(Config!$B$5-D396,60),IF(I396="Hoje",2500,IF(D396-Config!$B$5&lt;=Config!$B$6,2000-(D396-Config!$B$5),IF(D396-Config!$B$5&lt;=Config!$B$7,1000-(D396-Config!$B$5),500-MIN(D396-Config!$B$5,400)))))-ROW()/100000)</f>
        <v/>
      </c>
    </row>
    <row r="397">
      <c r="A397" s="31" t="n"/>
      <c r="B397" s="31" t="n"/>
      <c r="C397" s="33" t="n"/>
      <c r="D397" s="34" t="n"/>
      <c r="E397" s="33" t="n"/>
      <c r="F397" s="33" t="n"/>
      <c r="G397" s="31" t="n"/>
      <c r="H397" s="28">
        <f>IF(OR(I397="",I397="Feito",I397="Sem data"),"",D397-Config!$B$5)</f>
        <v/>
      </c>
      <c r="I397" s="25">
        <f>IF(AND(A397="",C397="",D397=""),"",IF(F397="Sim","Feito",IF(D397="","Sem data",IF(D397&lt;Config!$B$5,"Atrasado",IF(D397=Config!$B$5,"Hoje",IF(D397-Config!$B$5&lt;=Config!$B$6,"Até "&amp;Config!$B$6&amp;" dias",IF(D397-Config!$B$5&lt;=Config!$B$7,"Até "&amp;Config!$B$7&amp;" dias","Depois")))))))</f>
        <v/>
      </c>
      <c r="J397" s="35">
        <f>IF(OR(I397="",I397="Feito",I397="Sem data"),0,IF(I397="Atrasado",3000+MIN(Config!$B$5-D397,60),IF(I397="Hoje",2500,IF(D397-Config!$B$5&lt;=Config!$B$6,2000-(D397-Config!$B$5),IF(D397-Config!$B$5&lt;=Config!$B$7,1000-(D397-Config!$B$5),500-MIN(D397-Config!$B$5,400)))))-ROW()/100000)</f>
        <v/>
      </c>
    </row>
    <row r="398">
      <c r="A398" s="31" t="n"/>
      <c r="B398" s="31" t="n"/>
      <c r="C398" s="33" t="n"/>
      <c r="D398" s="34" t="n"/>
      <c r="E398" s="33" t="n"/>
      <c r="F398" s="33" t="n"/>
      <c r="G398" s="31" t="n"/>
      <c r="H398" s="28">
        <f>IF(OR(I398="",I398="Feito",I398="Sem data"),"",D398-Config!$B$5)</f>
        <v/>
      </c>
      <c r="I398" s="25">
        <f>IF(AND(A398="",C398="",D398=""),"",IF(F398="Sim","Feito",IF(D398="","Sem data",IF(D398&lt;Config!$B$5,"Atrasado",IF(D398=Config!$B$5,"Hoje",IF(D398-Config!$B$5&lt;=Config!$B$6,"Até "&amp;Config!$B$6&amp;" dias",IF(D398-Config!$B$5&lt;=Config!$B$7,"Até "&amp;Config!$B$7&amp;" dias","Depois")))))))</f>
        <v/>
      </c>
      <c r="J398" s="35">
        <f>IF(OR(I398="",I398="Feito",I398="Sem data"),0,IF(I398="Atrasado",3000+MIN(Config!$B$5-D398,60),IF(I398="Hoje",2500,IF(D398-Config!$B$5&lt;=Config!$B$6,2000-(D398-Config!$B$5),IF(D398-Config!$B$5&lt;=Config!$B$7,1000-(D398-Config!$B$5),500-MIN(D398-Config!$B$5,400)))))-ROW()/100000)</f>
        <v/>
      </c>
    </row>
    <row r="399">
      <c r="A399" s="31" t="n"/>
      <c r="B399" s="31" t="n"/>
      <c r="C399" s="33" t="n"/>
      <c r="D399" s="34" t="n"/>
      <c r="E399" s="33" t="n"/>
      <c r="F399" s="33" t="n"/>
      <c r="G399" s="31" t="n"/>
      <c r="H399" s="28">
        <f>IF(OR(I399="",I399="Feito",I399="Sem data"),"",D399-Config!$B$5)</f>
        <v/>
      </c>
      <c r="I399" s="25">
        <f>IF(AND(A399="",C399="",D399=""),"",IF(F399="Sim","Feito",IF(D399="","Sem data",IF(D399&lt;Config!$B$5,"Atrasado",IF(D399=Config!$B$5,"Hoje",IF(D399-Config!$B$5&lt;=Config!$B$6,"Até "&amp;Config!$B$6&amp;" dias",IF(D399-Config!$B$5&lt;=Config!$B$7,"Até "&amp;Config!$B$7&amp;" dias","Depois")))))))</f>
        <v/>
      </c>
      <c r="J399" s="35">
        <f>IF(OR(I399="",I399="Feito",I399="Sem data"),0,IF(I399="Atrasado",3000+MIN(Config!$B$5-D399,60),IF(I399="Hoje",2500,IF(D399-Config!$B$5&lt;=Config!$B$6,2000-(D399-Config!$B$5),IF(D399-Config!$B$5&lt;=Config!$B$7,1000-(D399-Config!$B$5),500-MIN(D399-Config!$B$5,400)))))-ROW()/100000)</f>
        <v/>
      </c>
    </row>
    <row r="400">
      <c r="A400" s="31" t="n"/>
      <c r="B400" s="31" t="n"/>
      <c r="C400" s="33" t="n"/>
      <c r="D400" s="34" t="n"/>
      <c r="E400" s="33" t="n"/>
      <c r="F400" s="33" t="n"/>
      <c r="G400" s="31" t="n"/>
      <c r="H400" s="28">
        <f>IF(OR(I400="",I400="Feito",I400="Sem data"),"",D400-Config!$B$5)</f>
        <v/>
      </c>
      <c r="I400" s="25">
        <f>IF(AND(A400="",C400="",D400=""),"",IF(F400="Sim","Feito",IF(D400="","Sem data",IF(D400&lt;Config!$B$5,"Atrasado",IF(D400=Config!$B$5,"Hoje",IF(D400-Config!$B$5&lt;=Config!$B$6,"Até "&amp;Config!$B$6&amp;" dias",IF(D400-Config!$B$5&lt;=Config!$B$7,"Até "&amp;Config!$B$7&amp;" dias","Depois")))))))</f>
        <v/>
      </c>
      <c r="J400" s="35">
        <f>IF(OR(I400="",I400="Feito",I400="Sem data"),0,IF(I400="Atrasado",3000+MIN(Config!$B$5-D400,60),IF(I400="Hoje",2500,IF(D400-Config!$B$5&lt;=Config!$B$6,2000-(D400-Config!$B$5),IF(D400-Config!$B$5&lt;=Config!$B$7,1000-(D400-Config!$B$5),500-MIN(D400-Config!$B$5,400)))))-ROW()/100000)</f>
        <v/>
      </c>
    </row>
    <row r="401">
      <c r="A401" s="31" t="n"/>
      <c r="B401" s="31" t="n"/>
      <c r="C401" s="33" t="n"/>
      <c r="D401" s="34" t="n"/>
      <c r="E401" s="33" t="n"/>
      <c r="F401" s="33" t="n"/>
      <c r="G401" s="31" t="n"/>
      <c r="H401" s="28">
        <f>IF(OR(I401="",I401="Feito",I401="Sem data"),"",D401-Config!$B$5)</f>
        <v/>
      </c>
      <c r="I401" s="25">
        <f>IF(AND(A401="",C401="",D401=""),"",IF(F401="Sim","Feito",IF(D401="","Sem data",IF(D401&lt;Config!$B$5,"Atrasado",IF(D401=Config!$B$5,"Hoje",IF(D401-Config!$B$5&lt;=Config!$B$6,"Até "&amp;Config!$B$6&amp;" dias",IF(D401-Config!$B$5&lt;=Config!$B$7,"Até "&amp;Config!$B$7&amp;" dias","Depois")))))))</f>
        <v/>
      </c>
      <c r="J401" s="35">
        <f>IF(OR(I401="",I401="Feito",I401="Sem data"),0,IF(I401="Atrasado",3000+MIN(Config!$B$5-D401,60),IF(I401="Hoje",2500,IF(D401-Config!$B$5&lt;=Config!$B$6,2000-(D401-Config!$B$5),IF(D401-Config!$B$5&lt;=Config!$B$7,1000-(D401-Config!$B$5),500-MIN(D401-Config!$B$5,400)))))-ROW()/100000)</f>
        <v/>
      </c>
    </row>
    <row r="402">
      <c r="A402" s="31" t="n"/>
      <c r="B402" s="31" t="n"/>
      <c r="C402" s="33" t="n"/>
      <c r="D402" s="34" t="n"/>
      <c r="E402" s="33" t="n"/>
      <c r="F402" s="33" t="n"/>
      <c r="G402" s="31" t="n"/>
      <c r="H402" s="28">
        <f>IF(OR(I402="",I402="Feito",I402="Sem data"),"",D402-Config!$B$5)</f>
        <v/>
      </c>
      <c r="I402" s="25">
        <f>IF(AND(A402="",C402="",D402=""),"",IF(F402="Sim","Feito",IF(D402="","Sem data",IF(D402&lt;Config!$B$5,"Atrasado",IF(D402=Config!$B$5,"Hoje",IF(D402-Config!$B$5&lt;=Config!$B$6,"Até "&amp;Config!$B$6&amp;" dias",IF(D402-Config!$B$5&lt;=Config!$B$7,"Até "&amp;Config!$B$7&amp;" dias","Depois")))))))</f>
        <v/>
      </c>
      <c r="J402" s="35">
        <f>IF(OR(I402="",I402="Feito",I402="Sem data"),0,IF(I402="Atrasado",3000+MIN(Config!$B$5-D402,60),IF(I402="Hoje",2500,IF(D402-Config!$B$5&lt;=Config!$B$6,2000-(D402-Config!$B$5),IF(D402-Config!$B$5&lt;=Config!$B$7,1000-(D402-Config!$B$5),500-MIN(D402-Config!$B$5,400)))))-ROW()/100000)</f>
        <v/>
      </c>
    </row>
    <row r="403">
      <c r="A403" s="31" t="n"/>
      <c r="B403" s="31" t="n"/>
      <c r="C403" s="33" t="n"/>
      <c r="D403" s="34" t="n"/>
      <c r="E403" s="33" t="n"/>
      <c r="F403" s="33" t="n"/>
      <c r="G403" s="31" t="n"/>
      <c r="H403" s="28">
        <f>IF(OR(I403="",I403="Feito",I403="Sem data"),"",D403-Config!$B$5)</f>
        <v/>
      </c>
      <c r="I403" s="25">
        <f>IF(AND(A403="",C403="",D403=""),"",IF(F403="Sim","Feito",IF(D403="","Sem data",IF(D403&lt;Config!$B$5,"Atrasado",IF(D403=Config!$B$5,"Hoje",IF(D403-Config!$B$5&lt;=Config!$B$6,"Até "&amp;Config!$B$6&amp;" dias",IF(D403-Config!$B$5&lt;=Config!$B$7,"Até "&amp;Config!$B$7&amp;" dias","Depois")))))))</f>
        <v/>
      </c>
      <c r="J403" s="35">
        <f>IF(OR(I403="",I403="Feito",I403="Sem data"),0,IF(I403="Atrasado",3000+MIN(Config!$B$5-D403,60),IF(I403="Hoje",2500,IF(D403-Config!$B$5&lt;=Config!$B$6,2000-(D403-Config!$B$5),IF(D403-Config!$B$5&lt;=Config!$B$7,1000-(D403-Config!$B$5),500-MIN(D403-Config!$B$5,400)))))-ROW()/100000)</f>
        <v/>
      </c>
    </row>
    <row r="404">
      <c r="A404" s="31" t="n"/>
      <c r="B404" s="31" t="n"/>
      <c r="C404" s="33" t="n"/>
      <c r="D404" s="34" t="n"/>
      <c r="E404" s="33" t="n"/>
      <c r="F404" s="33" t="n"/>
      <c r="G404" s="31" t="n"/>
      <c r="H404" s="28">
        <f>IF(OR(I404="",I404="Feito",I404="Sem data"),"",D404-Config!$B$5)</f>
        <v/>
      </c>
      <c r="I404" s="25">
        <f>IF(AND(A404="",C404="",D404=""),"",IF(F404="Sim","Feito",IF(D404="","Sem data",IF(D404&lt;Config!$B$5,"Atrasado",IF(D404=Config!$B$5,"Hoje",IF(D404-Config!$B$5&lt;=Config!$B$6,"Até "&amp;Config!$B$6&amp;" dias",IF(D404-Config!$B$5&lt;=Config!$B$7,"Até "&amp;Config!$B$7&amp;" dias","Depois")))))))</f>
        <v/>
      </c>
      <c r="J404" s="35">
        <f>IF(OR(I404="",I404="Feito",I404="Sem data"),0,IF(I404="Atrasado",3000+MIN(Config!$B$5-D404,60),IF(I404="Hoje",2500,IF(D404-Config!$B$5&lt;=Config!$B$6,2000-(D404-Config!$B$5),IF(D404-Config!$B$5&lt;=Config!$B$7,1000-(D404-Config!$B$5),500-MIN(D404-Config!$B$5,400)))))-ROW()/100000)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I404"/>
  <mergeCells count="2">
    <mergeCell ref="A1:J1"/>
    <mergeCell ref="A2:J2"/>
  </mergeCells>
  <conditionalFormatting sqref="A5:I404">
    <cfRule type="expression" priority="1" dxfId="0">
      <formula>$I5="Atrasado"</formula>
    </cfRule>
    <cfRule type="expression" priority="2" dxfId="1">
      <formula>$I5="Hoje"</formula>
    </cfRule>
    <cfRule type="expression" priority="3" dxfId="2">
      <formula>LEFT($I5,4)="Até "</formula>
    </cfRule>
    <cfRule type="expression" priority="4" dxfId="5">
      <formula>$I5="Feito"</formula>
    </cfRule>
  </conditionalFormatting>
  <dataValidations count="4">
    <dataValidation sqref="C5:C404" showDropDown="0" showInputMessage="0" showErrorMessage="0" allowBlank="1" type="list">
      <formula1>=OFFSET(Config!$D$10,0,0,MAX(1,COUNTA(Config!$D$10:$D$29)),1)</formula1>
    </dataValidation>
    <dataValidation sqref="E5:E404" showDropDown="0" showInputMessage="0" showErrorMessage="0" allowBlank="1" type="list">
      <formula1>=OFFSET(Config!$B$10,0,0,MAX(1,COUNTA(Config!$B$10:$B$19)),1)</formula1>
    </dataValidation>
    <dataValidation sqref="F5:F404" showDropDown="0" showInputMessage="0" showErrorMessage="1" allowBlank="1" type="list">
      <formula1>"Sim"</formula1>
    </dataValidation>
    <dataValidation sqref="D5:D404" showDropDown="0" showInputMessage="0" showErrorMessage="0" allowBlank="1" type="date" operator="greaterThan">
      <formula1>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Agenda de prazos e audiências · Kit de Gestão para Advogados</dc:title>
  <dcterms:created xmlns:dcterms="http://purl.org/dc/terms/" xmlns:xsi="http://www.w3.org/2001/XMLSchema-instance" xsi:type="dcterms:W3CDTF">2026-09-14T09:57:15Z</dcterms:created>
  <dcterms:modified xmlns:dcterms="http://purl.org/dc/terms/" xmlns:xsi="http://www.w3.org/2001/XMLSchema-instance" xsi:type="dcterms:W3CDTF">2026-09-14T09:57:15Z</dcterms:modified>
</cp:coreProperties>
</file>