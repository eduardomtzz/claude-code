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 e trate os atrasados. Prazo processual em atraso NÃO se reagenda aqui: confira na fonte oficial (sistema do tribunal, publicação) e leve ao responsável; a planilha mantém a data original e serve só de registro. Só tarefa administrativa pode ser remarcada. Depois confirme os prazos da semana e registre os que chegaram.</t>
        </is>
      </c>
    </row>
    <row r="9" ht="46" customHeight="1">
      <c r="A9" s="3" t="inlineStr">
        <is>
          <t>Exemplo</t>
        </is>
      </c>
      <c r="B9" s="4" t="inlineStr">
        <is>
          <t>Os prazos do exemplo são os dos 38 casos da planilha 13 · Carteira (a 13 é a fonte do cadastro de casos); o prazo principal de cada caso é a mesma "próxima ação" da planilha 02. Audiência já realizada não conta como atraso: marque Feito.</t>
        </is>
      </c>
    </row>
    <row r="10" ht="46" customHeight="1">
      <c r="A10" s="3" t="inlineStr">
        <is>
          <t>Limite</t>
        </is>
      </c>
      <c r="B10" s="4" t="inlineStr">
        <is>
          <t>A planilha organiza e avisa. A contagem do prazo, a conferência da data na fonte oficial e o cumprimento continuam sendo responsabilidade de quem responde pelo caso.</t>
        </is>
      </c>
    </row>
    <row r="11" ht="46" customHeight="1">
      <c r="A11" s="3" t="inlineStr">
        <is>
          <t>Com a IA</t>
        </is>
      </c>
      <c r="B11" s="4" t="inlineStr">
        <is>
          <t>Copie a tabela "O que vence primeiro" e use o prompt "Prazos 04 · Distribuir a semana entre as pessoas"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5" t="str">
        <f>Config!$B$4&amp;" · Painel de prazos · "&amp;TEXT(Config!$B$5,"dd/mm/yyyy")</f>
        <v>Ferraz &amp; Lima Advocacia (exemplo fictício) · Painel de prazos · 14/09/2026</v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 t="str">
        <f>"Próximos "&amp;Config!$B$6&amp;" dias"</f>
        <v>Próximos 7 dias</v>
      </c>
      <c r="F4" s="12" t="n"/>
      <c r="G4" s="13" t="str">
        <f>"De "&amp;(Config!$B$6+1)&amp;" a "&amp;Config!$B$7&amp;" dias"</f>
        <v>De 8 a 30 dias</v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>7</v>
      </c>
      <c r="B5" s="8" t="n"/>
      <c r="C5" s="18">
        <f>COUNTIFS(Prazos!$I$5:$I$404,"Hoje")</f>
        <v>3</v>
      </c>
      <c r="D5" s="10" t="n"/>
      <c r="E5" s="19">
        <f>COUNTIFS(Prazos!$I$5:$I$404,"Até "&amp;Config!$B$6&amp;" dias")</f>
        <v>11</v>
      </c>
      <c r="F5" s="12" t="n"/>
      <c r="G5" s="20">
        <f>COUNTIFS(Prazos!$I$5:$I$404,"Até "&amp;Config!$B$7&amp;" dias")</f>
        <v>13</v>
      </c>
      <c r="H5" s="14" t="n"/>
      <c r="I5" s="20">
        <f>COUNTIF(Prazos!$J$5:$J$404,"&gt;0")+COUNTIFS(Prazos!$I$5:$I$404,"Sem data")</f>
        <v>36</v>
      </c>
      <c r="J5" s="14" t="n"/>
      <c r="K5" s="21">
        <f>COUNTIFS(Prazos!$I$5:$I$404,"Feito")</f>
        <v>2</v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30 primeiros (cabe a semana inteira);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 t="str">
        <f>IFERROR(IF(LARGE(Prazos!$J$5:$J$404,1)&gt;0,IF(INDEX(Prazos!$A$5:$A$404,MATCH(LARGE(Prazos!$J$5:$J$404,1),Prazos!$J$5:$J$404,0))="","",INDEX(Prazos!$A$5:$A$404,MATCH(LARGE(Prazos!$J$5:$J$404,1),Prazos!$J$5:$J$404,0))),""),"")</f>
        <v>7099226-69.2026.8.26.0433</v>
      </c>
      <c r="C10" s="26" t="str">
        <f>IFERROR(IF(LARGE(Prazos!$J$5:$J$404,1)&gt;0,IF(INDEX(Prazos!$B$5:$B$404,MATCH(LARGE(Prazos!$J$5:$J$404,1),Prazos!$J$5:$J$404,0))="","",INDEX(Prazos!$B$5:$B$404,MATCH(LARGE(Prazos!$J$5:$J$404,1),Prazos!$J$5:$J$404,0))),""),"")</f>
        <v>Luciana Farias</v>
      </c>
      <c r="D10" s="26" t="str">
        <f>IFERROR(IF(LARGE(Prazos!$J$5:$J$404,1)&gt;0,IF(INDEX(Prazos!$C$5:$C$404,MATCH(LARGE(Prazos!$J$5:$J$404,1),Prazos!$J$5:$J$404,0))="","",INDEX(Prazos!$C$5:$C$404,MATCH(LARGE(Prazos!$J$5:$J$404,1),Prazos!$J$5:$J$404,0))),""),"")</f>
        <v>Juntada de documentos</v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>46273.0</v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>-6</v>
      </c>
      <c r="G10" s="25" t="str">
        <f>IFERROR(IF(LARGE(Prazos!$J$5:$J$404,1)&gt;0,IF(INDEX(Prazos!$I$5:$I$404,MATCH(LARGE(Prazos!$J$5:$J$404,1),Prazos!$J$5:$J$404,0))="","",INDEX(Prazos!$I$5:$I$404,MATCH(LARGE(Prazos!$J$5:$J$404,1),Prazos!$J$5:$J$404,0))),""),"")</f>
        <v>Atrasado</v>
      </c>
      <c r="H10" s="25" t="str">
        <f>IFERROR(IF(LARGE(Prazos!$J$5:$J$404,1)&gt;0,IF(INDEX(Prazos!$E$5:$E$404,MATCH(LARGE(Prazos!$J$5:$J$404,1),Prazos!$J$5:$J$404,0))="","",INDEX(Prazos!$E$5:$E$404,MATCH(LARGE(Prazos!$J$5:$J$404,1),Prazos!$J$5:$J$404,0))),""),"")</f>
        <v>Júlia Prado</v>
      </c>
    </row>
    <row r="11">
      <c r="A11" s="25" t="n">
        <v>2</v>
      </c>
      <c r="B11" s="26" t="str">
        <f>IFERROR(IF(LARGE(Prazos!$J$5:$J$404,2)&gt;0,IF(INDEX(Prazos!$A$5:$A$404,MATCH(LARGE(Prazos!$J$5:$J$404,2),Prazos!$J$5:$J$404,0))="","",INDEX(Prazos!$A$5:$A$404,MATCH(LARGE(Prazos!$J$5:$J$404,2),Prazos!$J$5:$J$404,0))),""),"")</f>
        <v>CONS-2026-06</v>
      </c>
      <c r="C11" s="26" t="str">
        <f>IFERROR(IF(LARGE(Prazos!$J$5:$J$404,2)&gt;0,IF(INDEX(Prazos!$B$5:$B$404,MATCH(LARGE(Prazos!$J$5:$J$404,2),Prazos!$J$5:$J$404,0))="","",INDEX(Prazos!$B$5:$B$404,MATCH(LARGE(Prazos!$J$5:$J$404,2),Prazos!$J$5:$J$404,0))),""),"")</f>
        <v>Transportadora Rota Sul</v>
      </c>
      <c r="D11" s="26" t="str">
        <f>IFERROR(IF(LARGE(Prazos!$J$5:$J$404,2)&gt;0,IF(INDEX(Prazos!$C$5:$C$404,MATCH(LARGE(Prazos!$J$5:$J$404,2),Prazos!$J$5:$J$404,0))="","",INDEX(Prazos!$C$5:$C$404,MATCH(LARGE(Prazos!$J$5:$J$404,2),Prazos!$J$5:$J$404,0))),""),"")</f>
        <v>Reunião com cliente</v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>46274.0</v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>-5</v>
      </c>
      <c r="G11" s="25" t="str">
        <f>IFERROR(IF(LARGE(Prazos!$J$5:$J$404,2)&gt;0,IF(INDEX(Prazos!$I$5:$I$404,MATCH(LARGE(Prazos!$J$5:$J$404,2),Prazos!$J$5:$J$404,0))="","",INDEX(Prazos!$I$5:$I$404,MATCH(LARGE(Prazos!$J$5:$J$404,2),Prazos!$J$5:$J$404,0))),""),"")</f>
        <v>Atrasado</v>
      </c>
      <c r="H11" s="25" t="str">
        <f>IFERROR(IF(LARGE(Prazos!$J$5:$J$404,2)&gt;0,IF(INDEX(Prazos!$E$5:$E$404,MATCH(LARGE(Prazos!$J$5:$J$404,2),Prazos!$J$5:$J$404,0))="","",INDEX(Prazos!$E$5:$E$404,MATCH(LARGE(Prazos!$J$5:$J$404,2),Prazos!$J$5:$J$404,0))),""),"")</f>
        <v>Rafael Lima</v>
      </c>
    </row>
    <row r="12">
      <c r="A12" s="25" t="n">
        <v>3</v>
      </c>
      <c r="B12" s="26" t="str">
        <f>IFERROR(IF(LARGE(Prazos!$J$5:$J$404,3)&gt;0,IF(INDEX(Prazos!$A$5:$A$404,MATCH(LARGE(Prazos!$J$5:$J$404,3),Prazos!$J$5:$J$404,0))="","",INDEX(Prazos!$A$5:$A$404,MATCH(LARGE(Prazos!$J$5:$J$404,3),Prazos!$J$5:$J$404,0))),""),"")</f>
        <v>5900991-46.2026.8.26.0469</v>
      </c>
      <c r="C12" s="26" t="str">
        <f>IFERROR(IF(LARGE(Prazos!$J$5:$J$404,3)&gt;0,IF(INDEX(Prazos!$B$5:$B$404,MATCH(LARGE(Prazos!$J$5:$J$404,3),Prazos!$J$5:$J$404,0))="","",INDEX(Prazos!$B$5:$B$404,MATCH(LARGE(Prazos!$J$5:$J$404,3),Prazos!$J$5:$J$404,0))),""),"")</f>
        <v>José Antônio Ribeiro</v>
      </c>
      <c r="D12" s="26" t="str">
        <f>IFERROR(IF(LARGE(Prazos!$J$5:$J$404,3)&gt;0,IF(INDEX(Prazos!$C$5:$C$404,MATCH(LARGE(Prazos!$J$5:$J$404,3),Prazos!$J$5:$J$404,0))="","",INDEX(Prazos!$C$5:$C$404,MATCH(LARGE(Prazos!$J$5:$J$404,3),Prazos!$J$5:$J$404,0))),""),"")</f>
        <v>Manifestação sobre laudo</v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>46275.0</v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>-4</v>
      </c>
      <c r="G12" s="25" t="str">
        <f>IFERROR(IF(LARGE(Prazos!$J$5:$J$404,3)&gt;0,IF(INDEX(Prazos!$I$5:$I$404,MATCH(LARGE(Prazos!$J$5:$J$404,3),Prazos!$J$5:$J$404,0))="","",INDEX(Prazos!$I$5:$I$404,MATCH(LARGE(Prazos!$J$5:$J$404,3),Prazos!$J$5:$J$404,0))),""),"")</f>
        <v>Atrasado</v>
      </c>
      <c r="H12" s="25" t="str">
        <f>IFERROR(IF(LARGE(Prazos!$J$5:$J$404,3)&gt;0,IF(INDEX(Prazos!$E$5:$E$404,MATCH(LARGE(Prazos!$J$5:$J$404,3),Prazos!$J$5:$J$404,0))="","",INDEX(Prazos!$E$5:$E$404,MATCH(LARGE(Prazos!$J$5:$J$404,3),Prazos!$J$5:$J$404,0))),""),"")</f>
        <v>Rafael Lima</v>
      </c>
    </row>
    <row r="13">
      <c r="A13" s="25" t="n">
        <v>4</v>
      </c>
      <c r="B13" s="26" t="str">
        <f>IFERROR(IF(LARGE(Prazos!$J$5:$J$404,4)&gt;0,IF(INDEX(Prazos!$A$5:$A$404,MATCH(LARGE(Prazos!$J$5:$J$404,4),Prazos!$J$5:$J$404,0))="","",INDEX(Prazos!$A$5:$A$404,MATCH(LARGE(Prazos!$J$5:$J$404,4),Prazos!$J$5:$J$404,0))),""),"")</f>
        <v>9586960-92.2026.8.26.0106</v>
      </c>
      <c r="C13" s="26" t="str">
        <f>IFERROR(IF(LARGE(Prazos!$J$5:$J$404,4)&gt;0,IF(INDEX(Prazos!$B$5:$B$404,MATCH(LARGE(Prazos!$J$5:$J$404,4),Prazos!$J$5:$J$404,0))="","",INDEX(Prazos!$B$5:$B$404,MATCH(LARGE(Prazos!$J$5:$J$404,4),Prazos!$J$5:$J$404,0))),""),"")</f>
        <v>Construtora Horizonte</v>
      </c>
      <c r="D13" s="26" t="str">
        <f>IFERROR(IF(LARGE(Prazos!$J$5:$J$404,4)&gt;0,IF(INDEX(Prazos!$C$5:$C$404,MATCH(LARGE(Prazos!$J$5:$J$404,4),Prazos!$J$5:$J$404,0))="","",INDEX(Prazos!$C$5:$C$404,MATCH(LARGE(Prazos!$J$5:$J$404,4),Prazos!$J$5:$J$404,0))),""),"")</f>
        <v>Réplica</v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>46276.0</v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>-3</v>
      </c>
      <c r="G13" s="25" t="str">
        <f>IFERROR(IF(LARGE(Prazos!$J$5:$J$404,4)&gt;0,IF(INDEX(Prazos!$I$5:$I$404,MATCH(LARGE(Prazos!$J$5:$J$404,4),Prazos!$J$5:$J$404,0))="","",INDEX(Prazos!$I$5:$I$404,MATCH(LARGE(Prazos!$J$5:$J$404,4),Prazos!$J$5:$J$404,0))),""),"")</f>
        <v>Atrasado</v>
      </c>
      <c r="H13" s="25" t="str">
        <f>IFERROR(IF(LARGE(Prazos!$J$5:$J$404,4)&gt;0,IF(INDEX(Prazos!$E$5:$E$404,MATCH(LARGE(Prazos!$J$5:$J$404,4),Prazos!$J$5:$J$404,0))="","",INDEX(Prazos!$E$5:$E$404,MATCH(LARGE(Prazos!$J$5:$J$404,4),Prazos!$J$5:$J$404,0))),""),"")</f>
        <v>Marina Ferraz</v>
      </c>
    </row>
    <row r="14">
      <c r="A14" s="25" t="n">
        <v>5</v>
      </c>
      <c r="B14" s="26" t="str">
        <f>IFERROR(IF(LARGE(Prazos!$J$5:$J$404,5)&gt;0,IF(INDEX(Prazos!$A$5:$A$404,MATCH(LARGE(Prazos!$J$5:$J$404,5),Prazos!$J$5:$J$404,0))="","",INDEX(Prazos!$A$5:$A$404,MATCH(LARGE(Prazos!$J$5:$J$404,5),Prazos!$J$5:$J$404,0))),""),"")</f>
        <v>9616569-91.2026.8.26.0079</v>
      </c>
      <c r="C14" s="26" t="str">
        <f>IFERROR(IF(LARGE(Prazos!$J$5:$J$404,5)&gt;0,IF(INDEX(Prazos!$B$5:$B$404,MATCH(LARGE(Prazos!$J$5:$J$404,5),Prazos!$J$5:$J$404,0))="","",INDEX(Prazos!$B$5:$B$404,MATCH(LARGE(Prazos!$J$5:$J$404,5),Prazos!$J$5:$J$404,0))),""),"")</f>
        <v>Patrícia Gomes</v>
      </c>
      <c r="D14" s="26" t="str">
        <f>IFERROR(IF(LARGE(Prazos!$J$5:$J$404,5)&gt;0,IF(INDEX(Prazos!$C$5:$C$404,MATCH(LARGE(Prazos!$J$5:$J$404,5),Prazos!$J$5:$J$404,0))="","",INDEX(Prazos!$C$5:$C$404,MATCH(LARGE(Prazos!$J$5:$J$404,5),Prazos!$J$5:$J$404,0))),""),"")</f>
        <v>Impugnação</v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>46277.0</v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>-2</v>
      </c>
      <c r="G14" s="25" t="str">
        <f>IFERROR(IF(LARGE(Prazos!$J$5:$J$404,5)&gt;0,IF(INDEX(Prazos!$I$5:$I$404,MATCH(LARGE(Prazos!$J$5:$J$404,5),Prazos!$J$5:$J$404,0))="","",INDEX(Prazos!$I$5:$I$404,MATCH(LARGE(Prazos!$J$5:$J$404,5),Prazos!$J$5:$J$404,0))),""),"")</f>
        <v>Atrasado</v>
      </c>
      <c r="H14" s="25" t="str">
        <f>IFERROR(IF(LARGE(Prazos!$J$5:$J$404,5)&gt;0,IF(INDEX(Prazos!$E$5:$E$404,MATCH(LARGE(Prazos!$J$5:$J$404,5),Prazos!$J$5:$J$404,0))="","",INDEX(Prazos!$E$5:$E$404,MATCH(LARGE(Prazos!$J$5:$J$404,5),Prazos!$J$5:$J$404,0))),""),"")</f>
        <v>Marina Ferraz</v>
      </c>
    </row>
    <row r="15">
      <c r="A15" s="25" t="n">
        <v>6</v>
      </c>
      <c r="B15" s="26" t="str">
        <f>IFERROR(IF(LARGE(Prazos!$J$5:$J$404,6)&gt;0,IF(INDEX(Prazos!$A$5:$A$404,MATCH(LARGE(Prazos!$J$5:$J$404,6),Prazos!$J$5:$J$404,0))="","",INDEX(Prazos!$A$5:$A$404,MATCH(LARGE(Prazos!$J$5:$J$404,6),Prazos!$J$5:$J$404,0))),""),"")</f>
        <v>5025425-10.2025.8.26.0629</v>
      </c>
      <c r="C15" s="26" t="str">
        <f>IFERROR(IF(LARGE(Prazos!$J$5:$J$404,6)&gt;0,IF(INDEX(Prazos!$B$5:$B$404,MATCH(LARGE(Prazos!$J$5:$J$404,6),Prazos!$J$5:$J$404,0))="","",INDEX(Prazos!$B$5:$B$404,MATCH(LARGE(Prazos!$J$5:$J$404,6),Prazos!$J$5:$J$404,0))),""),"")</f>
        <v>Roberto Almeida</v>
      </c>
      <c r="D15" s="26" t="str">
        <f>IFERROR(IF(LARGE(Prazos!$J$5:$J$404,6)&gt;0,IF(INDEX(Prazos!$C$5:$C$404,MATCH(LARGE(Prazos!$J$5:$J$404,6),Prazos!$J$5:$J$404,0))="","",INDEX(Prazos!$C$5:$C$404,MATCH(LARGE(Prazos!$J$5:$J$404,6),Prazos!$J$5:$J$404,0))),""),"")</f>
        <v>Embargos de declaração</v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>46278.0</v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>-1</v>
      </c>
      <c r="G15" s="25" t="str">
        <f>IFERROR(IF(LARGE(Prazos!$J$5:$J$404,6)&gt;0,IF(INDEX(Prazos!$I$5:$I$404,MATCH(LARGE(Prazos!$J$5:$J$404,6),Prazos!$J$5:$J$404,0))="","",INDEX(Prazos!$I$5:$I$404,MATCH(LARGE(Prazos!$J$5:$J$404,6),Prazos!$J$5:$J$404,0))),""),"")</f>
        <v>Atrasado</v>
      </c>
      <c r="H15" s="25" t="str">
        <f>IFERROR(IF(LARGE(Prazos!$J$5:$J$404,6)&gt;0,IF(INDEX(Prazos!$E$5:$E$404,MATCH(LARGE(Prazos!$J$5:$J$404,6),Prazos!$J$5:$J$404,0))="","",INDEX(Prazos!$E$5:$E$404,MATCH(LARGE(Prazos!$J$5:$J$404,6),Prazos!$J$5:$J$404,0))),""),"")</f>
        <v>Marina Ferraz</v>
      </c>
    </row>
    <row r="16">
      <c r="A16" s="25" t="n">
        <v>7</v>
      </c>
      <c r="B16" s="26" t="str">
        <f>IFERROR(IF(LARGE(Prazos!$J$5:$J$404,7)&gt;0,IF(INDEX(Prazos!$A$5:$A$404,MATCH(LARGE(Prazos!$J$5:$J$404,7),Prazos!$J$5:$J$404,0))="","",INDEX(Prazos!$A$5:$A$404,MATCH(LARGE(Prazos!$J$5:$J$404,7),Prazos!$J$5:$J$404,0))),""),"")</f>
        <v>9605863-76.2026.8.26.0026</v>
      </c>
      <c r="C16" s="26" t="str">
        <f>IFERROR(IF(LARGE(Prazos!$J$5:$J$404,7)&gt;0,IF(INDEX(Prazos!$B$5:$B$404,MATCH(LARGE(Prazos!$J$5:$J$404,7),Prazos!$J$5:$J$404,0))="","",INDEX(Prazos!$B$5:$B$404,MATCH(LARGE(Prazos!$J$5:$J$404,7),Prazos!$J$5:$J$404,0))),""),"")</f>
        <v>Marcos Vinícius Teles</v>
      </c>
      <c r="D16" s="26" t="str">
        <f>IFERROR(IF(LARGE(Prazos!$J$5:$J$404,7)&gt;0,IF(INDEX(Prazos!$C$5:$C$404,MATCH(LARGE(Prazos!$J$5:$J$404,7),Prazos!$J$5:$J$404,0))="","",INDEX(Prazos!$C$5:$C$404,MATCH(LARGE(Prazos!$J$5:$J$404,7),Prazos!$J$5:$J$404,0))),""),"")</f>
        <v>Manifestação sobre o recurso</v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>46278.0</v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>-1</v>
      </c>
      <c r="G16" s="25" t="str">
        <f>IFERROR(IF(LARGE(Prazos!$J$5:$J$404,7)&gt;0,IF(INDEX(Prazos!$I$5:$I$404,MATCH(LARGE(Prazos!$J$5:$J$404,7),Prazos!$J$5:$J$404,0))="","",INDEX(Prazos!$I$5:$I$404,MATCH(LARGE(Prazos!$J$5:$J$404,7),Prazos!$J$5:$J$404,0))),""),"")</f>
        <v>Atrasado</v>
      </c>
      <c r="H16" s="25" t="str">
        <f>IFERROR(IF(LARGE(Prazos!$J$5:$J$404,7)&gt;0,IF(INDEX(Prazos!$E$5:$E$404,MATCH(LARGE(Prazos!$J$5:$J$404,7),Prazos!$J$5:$J$404,0))="","",INDEX(Prazos!$E$5:$E$404,MATCH(LARGE(Prazos!$J$5:$J$404,7),Prazos!$J$5:$J$404,0))),""),"")</f>
        <v>Rafael Lima</v>
      </c>
    </row>
    <row r="17">
      <c r="A17" s="25" t="n">
        <v>8</v>
      </c>
      <c r="B17" s="26" t="str">
        <f>IFERROR(IF(LARGE(Prazos!$J$5:$J$404,8)&gt;0,IF(INDEX(Prazos!$A$5:$A$404,MATCH(LARGE(Prazos!$J$5:$J$404,8),Prazos!$J$5:$J$404,0))="","",INDEX(Prazos!$A$5:$A$404,MATCH(LARGE(Prazos!$J$5:$J$404,8),Prazos!$J$5:$J$404,0))),""),"")</f>
        <v>CONS-2026-03</v>
      </c>
      <c r="C17" s="26" t="str">
        <f>IFERROR(IF(LARGE(Prazos!$J$5:$J$404,8)&gt;0,IF(INDEX(Prazos!$B$5:$B$404,MATCH(LARGE(Prazos!$J$5:$J$404,8),Prazos!$J$5:$J$404,0))="","",INDEX(Prazos!$B$5:$B$404,MATCH(LARGE(Prazos!$J$5:$J$404,8),Prazos!$J$5:$J$404,0))),""),"")</f>
        <v>Marcos Vinícius Teles</v>
      </c>
      <c r="D17" s="26" t="str">
        <f>IFERROR(IF(LARGE(Prazos!$J$5:$J$404,8)&gt;0,IF(INDEX(Prazos!$C$5:$C$404,MATCH(LARGE(Prazos!$J$5:$J$404,8),Prazos!$J$5:$J$404,0))="","",INDEX(Prazos!$C$5:$C$404,MATCH(LARGE(Prazos!$J$5:$J$404,8),Prazos!$J$5:$J$404,0))),""),"")</f>
        <v>Entrega de parecer</v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>46279.0</v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>0</v>
      </c>
      <c r="G17" s="25" t="str">
        <f>IFERROR(IF(LARGE(Prazos!$J$5:$J$404,8)&gt;0,IF(INDEX(Prazos!$I$5:$I$404,MATCH(LARGE(Prazos!$J$5:$J$404,8),Prazos!$J$5:$J$404,0))="","",INDEX(Prazos!$I$5:$I$404,MATCH(LARGE(Prazos!$J$5:$J$404,8),Prazos!$J$5:$J$404,0))),""),"")</f>
        <v>Hoje</v>
      </c>
      <c r="H17" s="25" t="str">
        <f>IFERROR(IF(LARGE(Prazos!$J$5:$J$404,8)&gt;0,IF(INDEX(Prazos!$E$5:$E$404,MATCH(LARGE(Prazos!$J$5:$J$404,8),Prazos!$J$5:$J$404,0))="","",INDEX(Prazos!$E$5:$E$404,MATCH(LARGE(Prazos!$J$5:$J$404,8),Prazos!$J$5:$J$404,0))),""),"")</f>
        <v>Rafael Lima</v>
      </c>
    </row>
    <row r="18">
      <c r="A18" s="25" t="n">
        <v>9</v>
      </c>
      <c r="B18" s="26" t="str">
        <f>IFERROR(IF(LARGE(Prazos!$J$5:$J$404,9)&gt;0,IF(INDEX(Prazos!$A$5:$A$404,MATCH(LARGE(Prazos!$J$5:$J$404,9),Prazos!$J$5:$J$404,0))="","",INDEX(Prazos!$A$5:$A$404,MATCH(LARGE(Prazos!$J$5:$J$404,9),Prazos!$J$5:$J$404,0))),""),"")</f>
        <v>2645033-67.2026.8.26.0012</v>
      </c>
      <c r="C18" s="26" t="str">
        <f>IFERROR(IF(LARGE(Prazos!$J$5:$J$404,9)&gt;0,IF(INDEX(Prazos!$B$5:$B$404,MATCH(LARGE(Prazos!$J$5:$J$404,9),Prazos!$J$5:$J$404,0))="","",INDEX(Prazos!$B$5:$B$404,MATCH(LARGE(Prazos!$J$5:$J$404,9),Prazos!$J$5:$J$404,0))),""),"")</f>
        <v>Clínica Bem-Estar</v>
      </c>
      <c r="D18" s="26" t="str">
        <f>IFERROR(IF(LARGE(Prazos!$J$5:$J$404,9)&gt;0,IF(INDEX(Prazos!$C$5:$C$404,MATCH(LARGE(Prazos!$J$5:$J$404,9),Prazos!$J$5:$J$404,0))="","",INDEX(Prazos!$C$5:$C$404,MATCH(LARGE(Prazos!$J$5:$J$404,9),Prazos!$J$5:$J$404,0))),""),"")</f>
        <v>Contestação</v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>46279.0</v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>0</v>
      </c>
      <c r="G18" s="25" t="str">
        <f>IFERROR(IF(LARGE(Prazos!$J$5:$J$404,9)&gt;0,IF(INDEX(Prazos!$I$5:$I$404,MATCH(LARGE(Prazos!$J$5:$J$404,9),Prazos!$J$5:$J$404,0))="","",INDEX(Prazos!$I$5:$I$404,MATCH(LARGE(Prazos!$J$5:$J$404,9),Prazos!$J$5:$J$404,0))),""),"")</f>
        <v>Hoje</v>
      </c>
      <c r="H18" s="25" t="str">
        <f>IFERROR(IF(LARGE(Prazos!$J$5:$J$404,9)&gt;0,IF(INDEX(Prazos!$E$5:$E$404,MATCH(LARGE(Prazos!$J$5:$J$404,9),Prazos!$J$5:$J$404,0))="","",INDEX(Prazos!$E$5:$E$404,MATCH(LARGE(Prazos!$J$5:$J$404,9),Prazos!$J$5:$J$404,0))),""),"")</f>
        <v>Marina Ferraz</v>
      </c>
    </row>
    <row r="19">
      <c r="A19" s="25" t="n">
        <v>10</v>
      </c>
      <c r="B19" s="26" t="str">
        <f>IFERROR(IF(LARGE(Prazos!$J$5:$J$404,10)&gt;0,IF(INDEX(Prazos!$A$5:$A$404,MATCH(LARGE(Prazos!$J$5:$J$404,10),Prazos!$J$5:$J$404,0))="","",INDEX(Prazos!$A$5:$A$404,MATCH(LARGE(Prazos!$J$5:$J$404,10),Prazos!$J$5:$J$404,0))),""),"")</f>
        <v>6832730-55.2026.8.26.0386</v>
      </c>
      <c r="C19" s="26" t="str">
        <f>IFERROR(IF(LARGE(Prazos!$J$5:$J$404,10)&gt;0,IF(INDEX(Prazos!$B$5:$B$404,MATCH(LARGE(Prazos!$J$5:$J$404,10),Prazos!$J$5:$J$404,0))="","",INDEX(Prazos!$B$5:$B$404,MATCH(LARGE(Prazos!$J$5:$J$404,10),Prazos!$J$5:$J$404,0))),""),"")</f>
        <v>Patrícia Gomes</v>
      </c>
      <c r="D19" s="26" t="str">
        <f>IFERROR(IF(LARGE(Prazos!$J$5:$J$404,10)&gt;0,IF(INDEX(Prazos!$C$5:$C$404,MATCH(LARGE(Prazos!$J$5:$J$404,10),Prazos!$J$5:$J$404,0))="","",INDEX(Prazos!$C$5:$C$404,MATCH(LARGE(Prazos!$J$5:$J$404,10),Prazos!$J$5:$J$404,0))),""),"")</f>
        <v>Minuta de acordo</v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>46279.0</v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>0</v>
      </c>
      <c r="G19" s="25" t="str">
        <f>IFERROR(IF(LARGE(Prazos!$J$5:$J$404,10)&gt;0,IF(INDEX(Prazos!$I$5:$I$404,MATCH(LARGE(Prazos!$J$5:$J$404,10),Prazos!$J$5:$J$404,0))="","",INDEX(Prazos!$I$5:$I$404,MATCH(LARGE(Prazos!$J$5:$J$404,10),Prazos!$J$5:$J$404,0))),""),"")</f>
        <v>Hoje</v>
      </c>
      <c r="H19" s="25" t="str">
        <f>IFERROR(IF(LARGE(Prazos!$J$5:$J$404,10)&gt;0,IF(INDEX(Prazos!$E$5:$E$404,MATCH(LARGE(Prazos!$J$5:$J$404,10),Prazos!$J$5:$J$404,0))="","",INDEX(Prazos!$E$5:$E$404,MATCH(LARGE(Prazos!$J$5:$J$404,10),Prazos!$J$5:$J$404,0))),""),"")</f>
        <v>Marina Ferraz</v>
      </c>
    </row>
    <row r="20">
      <c r="A20" s="25" t="n">
        <v>11</v>
      </c>
      <c r="B20" s="26" t="str">
        <f>IFERROR(IF(LARGE(Prazos!$J$5:$J$404,11)&gt;0,IF(INDEX(Prazos!$A$5:$A$404,MATCH(LARGE(Prazos!$J$5:$J$404,11),Prazos!$J$5:$J$404,0))="","",INDEX(Prazos!$A$5:$A$404,MATCH(LARGE(Prazos!$J$5:$J$404,11),Prazos!$J$5:$J$404,0))),""),"")</f>
        <v>7679821-77.2026.8.26.0265</v>
      </c>
      <c r="C20" s="26" t="str">
        <f>IFERROR(IF(LARGE(Prazos!$J$5:$J$404,11)&gt;0,IF(INDEX(Prazos!$B$5:$B$404,MATCH(LARGE(Prazos!$J$5:$J$404,11),Prazos!$J$5:$J$404,0))="","",INDEX(Prazos!$B$5:$B$404,MATCH(LARGE(Prazos!$J$5:$J$404,11),Prazos!$J$5:$J$404,0))),""),"")</f>
        <v>Helena Duarte</v>
      </c>
      <c r="D20" s="26" t="str">
        <f>IFERROR(IF(LARGE(Prazos!$J$5:$J$404,11)&gt;0,IF(INDEX(Prazos!$C$5:$C$404,MATCH(LARGE(Prazos!$J$5:$J$404,11),Prazos!$J$5:$J$404,0))="","",INDEX(Prazos!$C$5:$C$404,MATCH(LARGE(Prazos!$J$5:$J$404,11),Prazos!$J$5:$J$404,0))),""),"")</f>
        <v>Réplica</v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>46280.0</v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>1</v>
      </c>
      <c r="G20" s="25" t="str">
        <f>IFERROR(IF(LARGE(Prazos!$J$5:$J$404,11)&gt;0,IF(INDEX(Prazos!$I$5:$I$404,MATCH(LARGE(Prazos!$J$5:$J$404,11),Prazos!$J$5:$J$404,0))="","",INDEX(Prazos!$I$5:$I$404,MATCH(LARGE(Prazos!$J$5:$J$404,11),Prazos!$J$5:$J$404,0))),""),"")</f>
        <v>Até 7 dias</v>
      </c>
      <c r="H20" s="25" t="str">
        <f>IFERROR(IF(LARGE(Prazos!$J$5:$J$404,11)&gt;0,IF(INDEX(Prazos!$E$5:$E$404,MATCH(LARGE(Prazos!$J$5:$J$404,11),Prazos!$J$5:$J$404,0))="","",INDEX(Prazos!$E$5:$E$404,MATCH(LARGE(Prazos!$J$5:$J$404,11),Prazos!$J$5:$J$404,0))),""),"")</f>
        <v>Rafael Lima</v>
      </c>
    </row>
    <row r="21">
      <c r="A21" s="25" t="n">
        <v>12</v>
      </c>
      <c r="B21" s="26" t="str">
        <f>IFERROR(IF(LARGE(Prazos!$J$5:$J$404,12)&gt;0,IF(INDEX(Prazos!$A$5:$A$404,MATCH(LARGE(Prazos!$J$5:$J$404,12),Prazos!$J$5:$J$404,0))="","",INDEX(Prazos!$A$5:$A$404,MATCH(LARGE(Prazos!$J$5:$J$404,12),Prazos!$J$5:$J$404,0))),""),"")</f>
        <v>2998500-50.2026.8.26.0515</v>
      </c>
      <c r="C21" s="26" t="str">
        <f>IFERROR(IF(LARGE(Prazos!$J$5:$J$404,12)&gt;0,IF(INDEX(Prazos!$B$5:$B$404,MATCH(LARGE(Prazos!$J$5:$J$404,12),Prazos!$J$5:$J$404,0))="","",INDEX(Prazos!$B$5:$B$404,MATCH(LARGE(Prazos!$J$5:$J$404,12),Prazos!$J$5:$J$404,0))),""),"")</f>
        <v>Ana Beatriz Moreira</v>
      </c>
      <c r="D21" s="26" t="str">
        <f>IFERROR(IF(LARGE(Prazos!$J$5:$J$404,12)&gt;0,IF(INDEX(Prazos!$C$5:$C$404,MATCH(LARGE(Prazos!$J$5:$J$404,12),Prazos!$J$5:$J$404,0))="","",INDEX(Prazos!$C$5:$C$404,MATCH(LARGE(Prazos!$J$5:$J$404,12),Prazos!$J$5:$J$404,0))),""),"")</f>
        <v>Prazo interno</v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>46280.0</v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>1</v>
      </c>
      <c r="G21" s="25" t="str">
        <f>IFERROR(IF(LARGE(Prazos!$J$5:$J$404,12)&gt;0,IF(INDEX(Prazos!$I$5:$I$404,MATCH(LARGE(Prazos!$J$5:$J$404,12),Prazos!$J$5:$J$404,0))="","",INDEX(Prazos!$I$5:$I$404,MATCH(LARGE(Prazos!$J$5:$J$404,12),Prazos!$J$5:$J$404,0))),""),"")</f>
        <v>Até 7 dias</v>
      </c>
      <c r="H21" s="25" t="str">
        <f>IFERROR(IF(LARGE(Prazos!$J$5:$J$404,12)&gt;0,IF(INDEX(Prazos!$E$5:$E$404,MATCH(LARGE(Prazos!$J$5:$J$404,12),Prazos!$J$5:$J$404,0))="","",INDEX(Prazos!$E$5:$E$404,MATCH(LARGE(Prazos!$J$5:$J$404,12),Prazos!$J$5:$J$404,0))),""),"")</f>
        <v>Rafael Lima</v>
      </c>
    </row>
    <row r="22">
      <c r="A22" s="25" t="n">
        <v>13</v>
      </c>
      <c r="B22" s="26" t="str">
        <f>IFERROR(IF(LARGE(Prazos!$J$5:$J$404,13)&gt;0,IF(INDEX(Prazos!$A$5:$A$404,MATCH(LARGE(Prazos!$J$5:$J$404,13),Prazos!$J$5:$J$404,0))="","",INDEX(Prazos!$A$5:$A$404,MATCH(LARGE(Prazos!$J$5:$J$404,13),Prazos!$J$5:$J$404,0))),""),"")</f>
        <v>2998500-50.2026.8.26.0515</v>
      </c>
      <c r="C22" s="26" t="str">
        <f>IFERROR(IF(LARGE(Prazos!$J$5:$J$404,13)&gt;0,IF(INDEX(Prazos!$B$5:$B$404,MATCH(LARGE(Prazos!$J$5:$J$404,13),Prazos!$J$5:$J$404,0))="","",INDEX(Prazos!$B$5:$B$404,MATCH(LARGE(Prazos!$J$5:$J$404,13),Prazos!$J$5:$J$404,0))),""),"")</f>
        <v>Ana Beatriz Moreira</v>
      </c>
      <c r="D22" s="26" t="str">
        <f>IFERROR(IF(LARGE(Prazos!$J$5:$J$404,13)&gt;0,IF(INDEX(Prazos!$C$5:$C$404,MATCH(LARGE(Prazos!$J$5:$J$404,13),Prazos!$J$5:$J$404,0))="","",INDEX(Prazos!$C$5:$C$404,MATCH(LARGE(Prazos!$J$5:$J$404,13),Prazos!$J$5:$J$404,0))),""),"")</f>
        <v>Audiência de conciliação</v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>46281.0</v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>2</v>
      </c>
      <c r="G22" s="25" t="str">
        <f>IFERROR(IF(LARGE(Prazos!$J$5:$J$404,13)&gt;0,IF(INDEX(Prazos!$I$5:$I$404,MATCH(LARGE(Prazos!$J$5:$J$404,13),Prazos!$J$5:$J$404,0))="","",INDEX(Prazos!$I$5:$I$404,MATCH(LARGE(Prazos!$J$5:$J$404,13),Prazos!$J$5:$J$404,0))),""),"")</f>
        <v>Até 7 dias</v>
      </c>
      <c r="H22" s="25" t="str">
        <f>IFERROR(IF(LARGE(Prazos!$J$5:$J$404,13)&gt;0,IF(INDEX(Prazos!$E$5:$E$404,MATCH(LARGE(Prazos!$J$5:$J$404,13),Prazos!$J$5:$J$404,0))="","",INDEX(Prazos!$E$5:$E$404,MATCH(LARGE(Prazos!$J$5:$J$404,13),Prazos!$J$5:$J$404,0))),""),"")</f>
        <v>Rafael Lima</v>
      </c>
    </row>
    <row r="23">
      <c r="A23" s="25" t="n">
        <v>14</v>
      </c>
      <c r="B23" s="26" t="str">
        <f>IFERROR(IF(LARGE(Prazos!$J$5:$J$404,14)&gt;0,IF(INDEX(Prazos!$A$5:$A$404,MATCH(LARGE(Prazos!$J$5:$J$404,14),Prazos!$J$5:$J$404,0))="","",INDEX(Prazos!$A$5:$A$404,MATCH(LARGE(Prazos!$J$5:$J$404,14),Prazos!$J$5:$J$404,0))),""),"")</f>
        <v>6710873-21.2025.8.26.0571</v>
      </c>
      <c r="C23" s="26" t="str">
        <f>IFERROR(IF(LARGE(Prazos!$J$5:$J$404,14)&gt;0,IF(INDEX(Prazos!$B$5:$B$404,MATCH(LARGE(Prazos!$J$5:$J$404,14),Prazos!$J$5:$J$404,0))="","",INDEX(Prazos!$B$5:$B$404,MATCH(LARGE(Prazos!$J$5:$J$404,14),Prazos!$J$5:$J$404,0))),""),"")</f>
        <v>Escola Aurora</v>
      </c>
      <c r="D23" s="26" t="str">
        <f>IFERROR(IF(LARGE(Prazos!$J$5:$J$404,14)&gt;0,IF(INDEX(Prazos!$C$5:$C$404,MATCH(LARGE(Prazos!$J$5:$J$404,14),Prazos!$J$5:$J$404,0))="","",INDEX(Prazos!$C$5:$C$404,MATCH(LARGE(Prazos!$J$5:$J$404,14),Prazos!$J$5:$J$404,0))),""),"")</f>
        <v>Recurso de apelação</v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>46281.0</v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>2</v>
      </c>
      <c r="G23" s="25" t="str">
        <f>IFERROR(IF(LARGE(Prazos!$J$5:$J$404,14)&gt;0,IF(INDEX(Prazos!$I$5:$I$404,MATCH(LARGE(Prazos!$J$5:$J$404,14),Prazos!$J$5:$J$404,0))="","",INDEX(Prazos!$I$5:$I$404,MATCH(LARGE(Prazos!$J$5:$J$404,14),Prazos!$J$5:$J$404,0))),""),"")</f>
        <v>Até 7 dias</v>
      </c>
      <c r="H23" s="25" t="str">
        <f>IFERROR(IF(LARGE(Prazos!$J$5:$J$404,14)&gt;0,IF(INDEX(Prazos!$E$5:$E$404,MATCH(LARGE(Prazos!$J$5:$J$404,14),Prazos!$J$5:$J$404,0))="","",INDEX(Prazos!$E$5:$E$404,MATCH(LARGE(Prazos!$J$5:$J$404,14),Prazos!$J$5:$J$404,0))),""),"")</f>
        <v>Marina Ferraz</v>
      </c>
    </row>
    <row r="24">
      <c r="A24" s="25" t="n">
        <v>15</v>
      </c>
      <c r="B24" s="26" t="str">
        <f>IFERROR(IF(LARGE(Prazos!$J$5:$J$404,15)&gt;0,IF(INDEX(Prazos!$A$5:$A$404,MATCH(LARGE(Prazos!$J$5:$J$404,15),Prazos!$J$5:$J$404,0))="","",INDEX(Prazos!$A$5:$A$404,MATCH(LARGE(Prazos!$J$5:$J$404,15),Prazos!$J$5:$J$404,0))),""),"")</f>
        <v>CONS-2026-04</v>
      </c>
      <c r="C24" s="26" t="str">
        <f>IFERROR(IF(LARGE(Prazos!$J$5:$J$404,15)&gt;0,IF(INDEX(Prazos!$B$5:$B$404,MATCH(LARGE(Prazos!$J$5:$J$404,15),Prazos!$J$5:$J$404,0))="","",INDEX(Prazos!$B$5:$B$404,MATCH(LARGE(Prazos!$J$5:$J$404,15),Prazos!$J$5:$J$404,0))),""),"")</f>
        <v>Escola Aurora</v>
      </c>
      <c r="D24" s="26" t="str">
        <f>IFERROR(IF(LARGE(Prazos!$J$5:$J$404,15)&gt;0,IF(INDEX(Prazos!$C$5:$C$404,MATCH(LARGE(Prazos!$J$5:$J$404,15),Prazos!$J$5:$J$404,0))="","",INDEX(Prazos!$C$5:$C$404,MATCH(LARGE(Prazos!$J$5:$J$404,15),Prazos!$J$5:$J$404,0))),""),"")</f>
        <v>Reunião com cliente</v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>46282.0</v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>3</v>
      </c>
      <c r="G24" s="25" t="str">
        <f>IFERROR(IF(LARGE(Prazos!$J$5:$J$404,15)&gt;0,IF(INDEX(Prazos!$I$5:$I$404,MATCH(LARGE(Prazos!$J$5:$J$404,15),Prazos!$J$5:$J$404,0))="","",INDEX(Prazos!$I$5:$I$404,MATCH(LARGE(Prazos!$J$5:$J$404,15),Prazos!$J$5:$J$404,0))),""),"")</f>
        <v>Até 7 dias</v>
      </c>
      <c r="H24" s="25" t="str">
        <f>IFERROR(IF(LARGE(Prazos!$J$5:$J$404,15)&gt;0,IF(INDEX(Prazos!$E$5:$E$404,MATCH(LARGE(Prazos!$J$5:$J$404,15),Prazos!$J$5:$J$404,0))="","",INDEX(Prazos!$E$5:$E$404,MATCH(LARGE(Prazos!$J$5:$J$404,15),Prazos!$J$5:$J$404,0))),""),"")</f>
        <v>Marina Ferraz</v>
      </c>
    </row>
    <row r="25">
      <c r="A25" s="25" t="n">
        <v>16</v>
      </c>
      <c r="B25" s="26" t="str">
        <f>IFERROR(IF(LARGE(Prazos!$J$5:$J$404,16)&gt;0,IF(INDEX(Prazos!$A$5:$A$404,MATCH(LARGE(Prazos!$J$5:$J$404,16),Prazos!$J$5:$J$404,0))="","",INDEX(Prazos!$A$5:$A$404,MATCH(LARGE(Prazos!$J$5:$J$404,16),Prazos!$J$5:$J$404,0))),""),"")</f>
        <v>8045862-82.2026.8.26.0491</v>
      </c>
      <c r="C25" s="26" t="str">
        <f>IFERROR(IF(LARGE(Prazos!$J$5:$J$404,16)&gt;0,IF(INDEX(Prazos!$B$5:$B$404,MATCH(LARGE(Prazos!$J$5:$J$404,16),Prazos!$J$5:$J$404,0))="","",INDEX(Prazos!$B$5:$B$404,MATCH(LARGE(Prazos!$J$5:$J$404,16),Prazos!$J$5:$J$404,0))),""),"")</f>
        <v>Carlos Eduardo Nunes</v>
      </c>
      <c r="D25" s="26" t="str">
        <f>IFERROR(IF(LARGE(Prazos!$J$5:$J$404,16)&gt;0,IF(INDEX(Prazos!$C$5:$C$404,MATCH(LARGE(Prazos!$J$5:$J$404,16),Prazos!$J$5:$J$404,0))="","",INDEX(Prazos!$C$5:$C$404,MATCH(LARGE(Prazos!$J$5:$J$404,16),Prazos!$J$5:$J$404,0))),""),"")</f>
        <v>Embargos de declaração</v>
      </c>
      <c r="E25" s="27">
        <f>IFERROR(IF(LARGE(Prazos!$J$5:$J$404,16)&gt;0,IF(INDEX(Prazos!$D$5:$D$404,MATCH(LARGE(Prazos!$J$5:$J$404,16),Prazos!$J$5:$J$404,0))="","",INDEX(Prazos!$D$5:$D$404,MATCH(LARGE(Prazos!$J$5:$J$404,16),Prazos!$J$5:$J$404,0))),""),"")</f>
        <v>46282.0</v>
      </c>
      <c r="F25" s="28">
        <f>IFERROR(IF(LARGE(Prazos!$J$5:$J$404,16)&gt;0,IF(INDEX(Prazos!$H$5:$H$404,MATCH(LARGE(Prazos!$J$5:$J$404,16),Prazos!$J$5:$J$404,0))="","",INDEX(Prazos!$H$5:$H$404,MATCH(LARGE(Prazos!$J$5:$J$404,16),Prazos!$J$5:$J$404,0))),""),"")</f>
        <v>3</v>
      </c>
      <c r="G25" s="25" t="str">
        <f>IFERROR(IF(LARGE(Prazos!$J$5:$J$404,16)&gt;0,IF(INDEX(Prazos!$I$5:$I$404,MATCH(LARGE(Prazos!$J$5:$J$404,16),Prazos!$J$5:$J$404,0))="","",INDEX(Prazos!$I$5:$I$404,MATCH(LARGE(Prazos!$J$5:$J$404,16),Prazos!$J$5:$J$404,0))),""),"")</f>
        <v>Até 7 dias</v>
      </c>
      <c r="H25" s="25" t="str">
        <f>IFERROR(IF(LARGE(Prazos!$J$5:$J$404,16)&gt;0,IF(INDEX(Prazos!$E$5:$E$404,MATCH(LARGE(Prazos!$J$5:$J$404,16),Prazos!$J$5:$J$404,0))="","",INDEX(Prazos!$E$5:$E$404,MATCH(LARGE(Prazos!$J$5:$J$404,16),Prazos!$J$5:$J$404,0))),""),"")</f>
        <v>Rafael Lima</v>
      </c>
    </row>
    <row r="26">
      <c r="A26" s="25" t="n">
        <v>17</v>
      </c>
      <c r="B26" s="26" t="str">
        <f>IFERROR(IF(LARGE(Prazos!$J$5:$J$404,17)&gt;0,IF(INDEX(Prazos!$A$5:$A$404,MATCH(LARGE(Prazos!$J$5:$J$404,17),Prazos!$J$5:$J$404,0))="","",INDEX(Prazos!$A$5:$A$404,MATCH(LARGE(Prazos!$J$5:$J$404,17),Prazos!$J$5:$J$404,0))),""),"")</f>
        <v>CONS-2026-02</v>
      </c>
      <c r="C26" s="26" t="str">
        <f>IFERROR(IF(LARGE(Prazos!$J$5:$J$404,17)&gt;0,IF(INDEX(Prazos!$B$5:$B$404,MATCH(LARGE(Prazos!$J$5:$J$404,17),Prazos!$J$5:$J$404,0))="","",INDEX(Prazos!$B$5:$B$404,MATCH(LARGE(Prazos!$J$5:$J$404,17),Prazos!$J$5:$J$404,0))),""),"")</f>
        <v>Loja Verde Comércio</v>
      </c>
      <c r="D26" s="26" t="str">
        <f>IFERROR(IF(LARGE(Prazos!$J$5:$J$404,17)&gt;0,IF(INDEX(Prazos!$C$5:$C$404,MATCH(LARGE(Prazos!$J$5:$J$404,17),Prazos!$J$5:$J$404,0))="","",INDEX(Prazos!$C$5:$C$404,MATCH(LARGE(Prazos!$J$5:$J$404,17),Prazos!$J$5:$J$404,0))),""),"")</f>
        <v>Entrega de parecer</v>
      </c>
      <c r="E26" s="27">
        <f>IFERROR(IF(LARGE(Prazos!$J$5:$J$404,17)&gt;0,IF(INDEX(Prazos!$D$5:$D$404,MATCH(LARGE(Prazos!$J$5:$J$404,17),Prazos!$J$5:$J$404,0))="","",INDEX(Prazos!$D$5:$D$404,MATCH(LARGE(Prazos!$J$5:$J$404,17),Prazos!$J$5:$J$404,0))),""),"")</f>
        <v>46283.0</v>
      </c>
      <c r="F26" s="28">
        <f>IFERROR(IF(LARGE(Prazos!$J$5:$J$404,17)&gt;0,IF(INDEX(Prazos!$H$5:$H$404,MATCH(LARGE(Prazos!$J$5:$J$404,17),Prazos!$J$5:$J$404,0))="","",INDEX(Prazos!$H$5:$H$404,MATCH(LARGE(Prazos!$J$5:$J$404,17),Prazos!$J$5:$J$404,0))),""),"")</f>
        <v>4</v>
      </c>
      <c r="G26" s="25" t="str">
        <f>IFERROR(IF(LARGE(Prazos!$J$5:$J$404,17)&gt;0,IF(INDEX(Prazos!$I$5:$I$404,MATCH(LARGE(Prazos!$J$5:$J$404,17),Prazos!$J$5:$J$404,0))="","",INDEX(Prazos!$I$5:$I$404,MATCH(LARGE(Prazos!$J$5:$J$404,17),Prazos!$J$5:$J$404,0))),""),"")</f>
        <v>Até 7 dias</v>
      </c>
      <c r="H26" s="25" t="str">
        <f>IFERROR(IF(LARGE(Prazos!$J$5:$J$404,17)&gt;0,IF(INDEX(Prazos!$E$5:$E$404,MATCH(LARGE(Prazos!$J$5:$J$404,17),Prazos!$J$5:$J$404,0))="","",INDEX(Prazos!$E$5:$E$404,MATCH(LARGE(Prazos!$J$5:$J$404,17),Prazos!$J$5:$J$404,0))),""),"")</f>
        <v>Marina Ferraz</v>
      </c>
    </row>
    <row r="27">
      <c r="A27" s="25" t="n">
        <v>18</v>
      </c>
      <c r="B27" s="26" t="str">
        <f>IFERROR(IF(LARGE(Prazos!$J$5:$J$404,18)&gt;0,IF(INDEX(Prazos!$A$5:$A$404,MATCH(LARGE(Prazos!$J$5:$J$404,18),Prazos!$J$5:$J$404,0))="","",INDEX(Prazos!$A$5:$A$404,MATCH(LARGE(Prazos!$J$5:$J$404,18),Prazos!$J$5:$J$404,0))),""),"")</f>
        <v>9225646-96.2025.8.26.0322</v>
      </c>
      <c r="C27" s="26" t="str">
        <f>IFERROR(IF(LARGE(Prazos!$J$5:$J$404,18)&gt;0,IF(INDEX(Prazos!$B$5:$B$404,MATCH(LARGE(Prazos!$J$5:$J$404,18),Prazos!$J$5:$J$404,0))="","",INDEX(Prazos!$B$5:$B$404,MATCH(LARGE(Prazos!$J$5:$J$404,18),Prazos!$J$5:$J$404,0))),""),"")</f>
        <v>Transportadora Rota Sul</v>
      </c>
      <c r="D27" s="26" t="str">
        <f>IFERROR(IF(LARGE(Prazos!$J$5:$J$404,18)&gt;0,IF(INDEX(Prazos!$C$5:$C$404,MATCH(LARGE(Prazos!$J$5:$J$404,18),Prazos!$J$5:$J$404,0))="","",INDEX(Prazos!$C$5:$C$404,MATCH(LARGE(Prazos!$J$5:$J$404,18),Prazos!$J$5:$J$404,0))),""),"")</f>
        <v>Manifestação sobre laudo</v>
      </c>
      <c r="E27" s="27">
        <f>IFERROR(IF(LARGE(Prazos!$J$5:$J$404,18)&gt;0,IF(INDEX(Prazos!$D$5:$D$404,MATCH(LARGE(Prazos!$J$5:$J$404,18),Prazos!$J$5:$J$404,0))="","",INDEX(Prazos!$D$5:$D$404,MATCH(LARGE(Prazos!$J$5:$J$404,18),Prazos!$J$5:$J$404,0))),""),"")</f>
        <v>46283.0</v>
      </c>
      <c r="F27" s="28">
        <f>IFERROR(IF(LARGE(Prazos!$J$5:$J$404,18)&gt;0,IF(INDEX(Prazos!$H$5:$H$404,MATCH(LARGE(Prazos!$J$5:$J$404,18),Prazos!$J$5:$J$404,0))="","",INDEX(Prazos!$H$5:$H$404,MATCH(LARGE(Prazos!$J$5:$J$404,18),Prazos!$J$5:$J$404,0))),""),"")</f>
        <v>4</v>
      </c>
      <c r="G27" s="25" t="str">
        <f>IFERROR(IF(LARGE(Prazos!$J$5:$J$404,18)&gt;0,IF(INDEX(Prazos!$I$5:$I$404,MATCH(LARGE(Prazos!$J$5:$J$404,18),Prazos!$J$5:$J$404,0))="","",INDEX(Prazos!$I$5:$I$404,MATCH(LARGE(Prazos!$J$5:$J$404,18),Prazos!$J$5:$J$404,0))),""),"")</f>
        <v>Até 7 dias</v>
      </c>
      <c r="H27" s="25" t="str">
        <f>IFERROR(IF(LARGE(Prazos!$J$5:$J$404,18)&gt;0,IF(INDEX(Prazos!$E$5:$E$404,MATCH(LARGE(Prazos!$J$5:$J$404,18),Prazos!$J$5:$J$404,0))="","",INDEX(Prazos!$E$5:$E$404,MATCH(LARGE(Prazos!$J$5:$J$404,18),Prazos!$J$5:$J$404,0))),""),"")</f>
        <v>Rafael Lima</v>
      </c>
    </row>
    <row r="28">
      <c r="A28" s="25" t="n">
        <v>19</v>
      </c>
      <c r="B28" s="26" t="str">
        <f>IFERROR(IF(LARGE(Prazos!$J$5:$J$404,19)&gt;0,IF(INDEX(Prazos!$A$5:$A$404,MATCH(LARGE(Prazos!$J$5:$J$404,19),Prazos!$J$5:$J$404,0))="","",INDEX(Prazos!$A$5:$A$404,MATCH(LARGE(Prazos!$J$5:$J$404,19),Prazos!$J$5:$J$404,0))),""),"")</f>
        <v>CONS-2025-05</v>
      </c>
      <c r="C28" s="26" t="str">
        <f>IFERROR(IF(LARGE(Prazos!$J$5:$J$404,19)&gt;0,IF(INDEX(Prazos!$B$5:$B$404,MATCH(LARGE(Prazos!$J$5:$J$404,19),Prazos!$J$5:$J$404,0))="","",INDEX(Prazos!$B$5:$B$404,MATCH(LARGE(Prazos!$J$5:$J$404,19),Prazos!$J$5:$J$404,0))),""),"")</f>
        <v>Clínica Bem-Estar</v>
      </c>
      <c r="D28" s="26" t="str">
        <f>IFERROR(IF(LARGE(Prazos!$J$5:$J$404,19)&gt;0,IF(INDEX(Prazos!$C$5:$C$404,MATCH(LARGE(Prazos!$J$5:$J$404,19),Prazos!$J$5:$J$404,0))="","",INDEX(Prazos!$C$5:$C$404,MATCH(LARGE(Prazos!$J$5:$J$404,19),Prazos!$J$5:$J$404,0))),""),"")</f>
        <v>Reunião com cliente</v>
      </c>
      <c r="E28" s="27">
        <f>IFERROR(IF(LARGE(Prazos!$J$5:$J$404,19)&gt;0,IF(INDEX(Prazos!$D$5:$D$404,MATCH(LARGE(Prazos!$J$5:$J$404,19),Prazos!$J$5:$J$404,0))="","",INDEX(Prazos!$D$5:$D$404,MATCH(LARGE(Prazos!$J$5:$J$404,19),Prazos!$J$5:$J$404,0))),""),"")</f>
        <v>46284.0</v>
      </c>
      <c r="F28" s="28">
        <f>IFERROR(IF(LARGE(Prazos!$J$5:$J$404,19)&gt;0,IF(INDEX(Prazos!$H$5:$H$404,MATCH(LARGE(Prazos!$J$5:$J$404,19),Prazos!$J$5:$J$404,0))="","",INDEX(Prazos!$H$5:$H$404,MATCH(LARGE(Prazos!$J$5:$J$404,19),Prazos!$J$5:$J$404,0))),""),"")</f>
        <v>5</v>
      </c>
      <c r="G28" s="25" t="str">
        <f>IFERROR(IF(LARGE(Prazos!$J$5:$J$404,19)&gt;0,IF(INDEX(Prazos!$I$5:$I$404,MATCH(LARGE(Prazos!$J$5:$J$404,19),Prazos!$J$5:$J$404,0))="","",INDEX(Prazos!$I$5:$I$404,MATCH(LARGE(Prazos!$J$5:$J$404,19),Prazos!$J$5:$J$404,0))),""),"")</f>
        <v>Até 7 dias</v>
      </c>
      <c r="H28" s="25" t="str">
        <f>IFERROR(IF(LARGE(Prazos!$J$5:$J$404,19)&gt;0,IF(INDEX(Prazos!$E$5:$E$404,MATCH(LARGE(Prazos!$J$5:$J$404,19),Prazos!$J$5:$J$404,0))="","",INDEX(Prazos!$E$5:$E$404,MATCH(LARGE(Prazos!$J$5:$J$404,19),Prazos!$J$5:$J$404,0))),""),"")</f>
        <v>Marina Ferraz</v>
      </c>
    </row>
    <row r="29">
      <c r="A29" s="25" t="n">
        <v>20</v>
      </c>
      <c r="B29" s="26" t="str">
        <f>IFERROR(IF(LARGE(Prazos!$J$5:$J$404,20)&gt;0,IF(INDEX(Prazos!$A$5:$A$404,MATCH(LARGE(Prazos!$J$5:$J$404,20),Prazos!$J$5:$J$404,0))="","",INDEX(Prazos!$A$5:$A$404,MATCH(LARGE(Prazos!$J$5:$J$404,20),Prazos!$J$5:$J$404,0))),""),"")</f>
        <v>8056747-83.2026.8.26.0561</v>
      </c>
      <c r="C29" s="26" t="str">
        <f>IFERROR(IF(LARGE(Prazos!$J$5:$J$404,20)&gt;0,IF(INDEX(Prazos!$B$5:$B$404,MATCH(LARGE(Prazos!$J$5:$J$404,20),Prazos!$J$5:$J$404,0))="","",INDEX(Prazos!$B$5:$B$404,MATCH(LARGE(Prazos!$J$5:$J$404,20),Prazos!$J$5:$J$404,0))),""),"")</f>
        <v>Bistrô 42</v>
      </c>
      <c r="D29" s="26" t="str">
        <f>IFERROR(IF(LARGE(Prazos!$J$5:$J$404,20)&gt;0,IF(INDEX(Prazos!$C$5:$C$404,MATCH(LARGE(Prazos!$J$5:$J$404,20),Prazos!$J$5:$J$404,0))="","",INDEX(Prazos!$C$5:$C$404,MATCH(LARGE(Prazos!$J$5:$J$404,20),Prazos!$J$5:$J$404,0))),""),"")</f>
        <v>Juntada de documentos</v>
      </c>
      <c r="E29" s="27">
        <f>IFERROR(IF(LARGE(Prazos!$J$5:$J$404,20)&gt;0,IF(INDEX(Prazos!$D$5:$D$404,MATCH(LARGE(Prazos!$J$5:$J$404,20),Prazos!$J$5:$J$404,0))="","",INDEX(Prazos!$D$5:$D$404,MATCH(LARGE(Prazos!$J$5:$J$404,20),Prazos!$J$5:$J$404,0))),""),"")</f>
        <v>46284.0</v>
      </c>
      <c r="F29" s="28">
        <f>IFERROR(IF(LARGE(Prazos!$J$5:$J$404,20)&gt;0,IF(INDEX(Prazos!$H$5:$H$404,MATCH(LARGE(Prazos!$J$5:$J$404,20),Prazos!$J$5:$J$404,0))="","",INDEX(Prazos!$H$5:$H$404,MATCH(LARGE(Prazos!$J$5:$J$404,20),Prazos!$J$5:$J$404,0))),""),"")</f>
        <v>5</v>
      </c>
      <c r="G29" s="25" t="str">
        <f>IFERROR(IF(LARGE(Prazos!$J$5:$J$404,20)&gt;0,IF(INDEX(Prazos!$I$5:$I$404,MATCH(LARGE(Prazos!$J$5:$J$404,20),Prazos!$J$5:$J$404,0))="","",INDEX(Prazos!$I$5:$I$404,MATCH(LARGE(Prazos!$J$5:$J$404,20),Prazos!$J$5:$J$404,0))),""),"")</f>
        <v>Até 7 dias</v>
      </c>
      <c r="H29" s="25" t="str">
        <f>IFERROR(IF(LARGE(Prazos!$J$5:$J$404,20)&gt;0,IF(INDEX(Prazos!$E$5:$E$404,MATCH(LARGE(Prazos!$J$5:$J$404,20),Prazos!$J$5:$J$404,0))="","",INDEX(Prazos!$E$5:$E$404,MATCH(LARGE(Prazos!$J$5:$J$404,20),Prazos!$J$5:$J$404,0))),""),"")</f>
        <v>Júlia Prado</v>
      </c>
    </row>
    <row r="30">
      <c r="A30" s="25" t="n">
        <v>21</v>
      </c>
      <c r="B30" s="26" t="str">
        <f>IFERROR(IF(LARGE(Prazos!$J$5:$J$404,21)&gt;0,IF(INDEX(Prazos!$A$5:$A$404,MATCH(LARGE(Prazos!$J$5:$J$404,21),Prazos!$J$5:$J$404,0))="","",INDEX(Prazos!$A$5:$A$404,MATCH(LARGE(Prazos!$J$5:$J$404,21),Prazos!$J$5:$J$404,0))),""),"")</f>
        <v>4746093-86.2026.8.26.0637</v>
      </c>
      <c r="C30" s="26" t="str">
        <f>IFERROR(IF(LARGE(Prazos!$J$5:$J$404,21)&gt;0,IF(INDEX(Prazos!$B$5:$B$404,MATCH(LARGE(Prazos!$J$5:$J$404,21),Prazos!$J$5:$J$404,0))="","",INDEX(Prazos!$B$5:$B$404,MATCH(LARGE(Prazos!$J$5:$J$404,21),Prazos!$J$5:$J$404,0))),""),"")</f>
        <v>Carlos Eduardo Nunes</v>
      </c>
      <c r="D30" s="26" t="str">
        <f>IFERROR(IF(LARGE(Prazos!$J$5:$J$404,21)&gt;0,IF(INDEX(Prazos!$C$5:$C$404,MATCH(LARGE(Prazos!$J$5:$J$404,21),Prazos!$J$5:$J$404,0))="","",INDEX(Prazos!$C$5:$C$404,MATCH(LARGE(Prazos!$J$5:$J$404,21),Prazos!$J$5:$J$404,0))),""),"")</f>
        <v>Juntada de documentos</v>
      </c>
      <c r="E30" s="27">
        <f>IFERROR(IF(LARGE(Prazos!$J$5:$J$404,21)&gt;0,IF(INDEX(Prazos!$D$5:$D$404,MATCH(LARGE(Prazos!$J$5:$J$404,21),Prazos!$J$5:$J$404,0))="","",INDEX(Prazos!$D$5:$D$404,MATCH(LARGE(Prazos!$J$5:$J$404,21),Prazos!$J$5:$J$404,0))),""),"")</f>
        <v>46285.0</v>
      </c>
      <c r="F30" s="28">
        <f>IFERROR(IF(LARGE(Prazos!$J$5:$J$404,21)&gt;0,IF(INDEX(Prazos!$H$5:$H$404,MATCH(LARGE(Prazos!$J$5:$J$404,21),Prazos!$J$5:$J$404,0))="","",INDEX(Prazos!$H$5:$H$404,MATCH(LARGE(Prazos!$J$5:$J$404,21),Prazos!$J$5:$J$404,0))),""),"")</f>
        <v>6</v>
      </c>
      <c r="G30" s="25" t="str">
        <f>IFERROR(IF(LARGE(Prazos!$J$5:$J$404,21)&gt;0,IF(INDEX(Prazos!$I$5:$I$404,MATCH(LARGE(Prazos!$J$5:$J$404,21),Prazos!$J$5:$J$404,0))="","",INDEX(Prazos!$I$5:$I$404,MATCH(LARGE(Prazos!$J$5:$J$404,21),Prazos!$J$5:$J$404,0))),""),"")</f>
        <v>Até 7 dias</v>
      </c>
      <c r="H30" s="25" t="str">
        <f>IFERROR(IF(LARGE(Prazos!$J$5:$J$404,21)&gt;0,IF(INDEX(Prazos!$E$5:$E$404,MATCH(LARGE(Prazos!$J$5:$J$404,21),Prazos!$J$5:$J$404,0))="","",INDEX(Prazos!$E$5:$E$404,MATCH(LARGE(Prazos!$J$5:$J$404,21),Prazos!$J$5:$J$404,0))),""),"")</f>
        <v>Júlia Prado</v>
      </c>
    </row>
    <row r="31">
      <c r="A31" s="25" t="n">
        <v>22</v>
      </c>
      <c r="B31" s="26" t="str">
        <f>IFERROR(IF(LARGE(Prazos!$J$5:$J$404,22)&gt;0,IF(INDEX(Prazos!$A$5:$A$404,MATCH(LARGE(Prazos!$J$5:$J$404,22),Prazos!$J$5:$J$404,0))="","",INDEX(Prazos!$A$5:$A$404,MATCH(LARGE(Prazos!$J$5:$J$404,22),Prazos!$J$5:$J$404,0))),""),"")</f>
        <v>2354318-24.2026.8.26.0295</v>
      </c>
      <c r="C31" s="26" t="str">
        <f>IFERROR(IF(LARGE(Prazos!$J$5:$J$404,22)&gt;0,IF(INDEX(Prazos!$B$5:$B$404,MATCH(LARGE(Prazos!$J$5:$J$404,22),Prazos!$J$5:$J$404,0))="","",INDEX(Prazos!$B$5:$B$404,MATCH(LARGE(Prazos!$J$5:$J$404,22),Prazos!$J$5:$J$404,0))),""),"")</f>
        <v>Roberto Almeida</v>
      </c>
      <c r="D31" s="26" t="str">
        <f>IFERROR(IF(LARGE(Prazos!$J$5:$J$404,22)&gt;0,IF(INDEX(Prazos!$C$5:$C$404,MATCH(LARGE(Prazos!$J$5:$J$404,22),Prazos!$J$5:$J$404,0))="","",INDEX(Prazos!$C$5:$C$404,MATCH(LARGE(Prazos!$J$5:$J$404,22),Prazos!$J$5:$J$404,0))),""),"")</f>
        <v>Contrarrazões</v>
      </c>
      <c r="E31" s="27">
        <f>IFERROR(IF(LARGE(Prazos!$J$5:$J$404,22)&gt;0,IF(INDEX(Prazos!$D$5:$D$404,MATCH(LARGE(Prazos!$J$5:$J$404,22),Prazos!$J$5:$J$404,0))="","",INDEX(Prazos!$D$5:$D$404,MATCH(LARGE(Prazos!$J$5:$J$404,22),Prazos!$J$5:$J$404,0))),""),"")</f>
        <v>46287.0</v>
      </c>
      <c r="F31" s="28">
        <f>IFERROR(IF(LARGE(Prazos!$J$5:$J$404,22)&gt;0,IF(INDEX(Prazos!$H$5:$H$404,MATCH(LARGE(Prazos!$J$5:$J$404,22),Prazos!$J$5:$J$404,0))="","",INDEX(Prazos!$H$5:$H$404,MATCH(LARGE(Prazos!$J$5:$J$404,22),Prazos!$J$5:$J$404,0))),""),"")</f>
        <v>8</v>
      </c>
      <c r="G31" s="25" t="str">
        <f>IFERROR(IF(LARGE(Prazos!$J$5:$J$404,22)&gt;0,IF(INDEX(Prazos!$I$5:$I$404,MATCH(LARGE(Prazos!$J$5:$J$404,22),Prazos!$J$5:$J$404,0))="","",INDEX(Prazos!$I$5:$I$404,MATCH(LARGE(Prazos!$J$5:$J$404,22),Prazos!$J$5:$J$404,0))),""),"")</f>
        <v>Até 30 dias</v>
      </c>
      <c r="H31" s="25" t="str">
        <f>IFERROR(IF(LARGE(Prazos!$J$5:$J$404,22)&gt;0,IF(INDEX(Prazos!$E$5:$E$404,MATCH(LARGE(Prazos!$J$5:$J$404,22),Prazos!$J$5:$J$404,0))="","",INDEX(Prazos!$E$5:$E$404,MATCH(LARGE(Prazos!$J$5:$J$404,22),Prazos!$J$5:$J$404,0))),""),"")</f>
        <v>Marina Ferraz</v>
      </c>
    </row>
    <row r="32">
      <c r="A32" s="25" t="n">
        <v>23</v>
      </c>
      <c r="B32" s="26" t="str">
        <f>IFERROR(IF(LARGE(Prazos!$J$5:$J$404,23)&gt;0,IF(INDEX(Prazos!$A$5:$A$404,MATCH(LARGE(Prazos!$J$5:$J$404,23),Prazos!$J$5:$J$404,0))="","",INDEX(Prazos!$A$5:$A$404,MATCH(LARGE(Prazos!$J$5:$J$404,23),Prazos!$J$5:$J$404,0))),""),"")</f>
        <v>CONS-2026-01</v>
      </c>
      <c r="C32" s="26" t="str">
        <f>IFERROR(IF(LARGE(Prazos!$J$5:$J$404,23)&gt;0,IF(INDEX(Prazos!$B$5:$B$404,MATCH(LARGE(Prazos!$J$5:$J$404,23),Prazos!$J$5:$J$404,0))="","",INDEX(Prazos!$B$5:$B$404,MATCH(LARGE(Prazos!$J$5:$J$404,23),Prazos!$J$5:$J$404,0))),""),"")</f>
        <v>Padaria do Sol Ltda</v>
      </c>
      <c r="D32" s="26" t="str">
        <f>IFERROR(IF(LARGE(Prazos!$J$5:$J$404,23)&gt;0,IF(INDEX(Prazos!$C$5:$C$404,MATCH(LARGE(Prazos!$J$5:$J$404,23),Prazos!$J$5:$J$404,0))="","",INDEX(Prazos!$C$5:$C$404,MATCH(LARGE(Prazos!$J$5:$J$404,23),Prazos!$J$5:$J$404,0))),""),"")</f>
        <v>Reunião com cliente</v>
      </c>
      <c r="E32" s="27">
        <f>IFERROR(IF(LARGE(Prazos!$J$5:$J$404,23)&gt;0,IF(INDEX(Prazos!$D$5:$D$404,MATCH(LARGE(Prazos!$J$5:$J$404,23),Prazos!$J$5:$J$404,0))="","",INDEX(Prazos!$D$5:$D$404,MATCH(LARGE(Prazos!$J$5:$J$404,23),Prazos!$J$5:$J$404,0))),""),"")</f>
        <v>46288.0</v>
      </c>
      <c r="F32" s="28">
        <f>IFERROR(IF(LARGE(Prazos!$J$5:$J$404,23)&gt;0,IF(INDEX(Prazos!$H$5:$H$404,MATCH(LARGE(Prazos!$J$5:$J$404,23),Prazos!$J$5:$J$404,0))="","",INDEX(Prazos!$H$5:$H$404,MATCH(LARGE(Prazos!$J$5:$J$404,23),Prazos!$J$5:$J$404,0))),""),"")</f>
        <v>9</v>
      </c>
      <c r="G32" s="25" t="str">
        <f>IFERROR(IF(LARGE(Prazos!$J$5:$J$404,23)&gt;0,IF(INDEX(Prazos!$I$5:$I$404,MATCH(LARGE(Prazos!$J$5:$J$404,23),Prazos!$J$5:$J$404,0))="","",INDEX(Prazos!$I$5:$I$404,MATCH(LARGE(Prazos!$J$5:$J$404,23),Prazos!$J$5:$J$404,0))),""),"")</f>
        <v>Até 30 dias</v>
      </c>
      <c r="H32" s="25" t="str">
        <f>IFERROR(IF(LARGE(Prazos!$J$5:$J$404,23)&gt;0,IF(INDEX(Prazos!$E$5:$E$404,MATCH(LARGE(Prazos!$J$5:$J$404,23),Prazos!$J$5:$J$404,0))="","",INDEX(Prazos!$E$5:$E$404,MATCH(LARGE(Prazos!$J$5:$J$404,23),Prazos!$J$5:$J$404,0))),""),"")</f>
        <v>Marina Ferraz</v>
      </c>
    </row>
    <row r="33">
      <c r="A33" s="25" t="n">
        <v>24</v>
      </c>
      <c r="B33" s="26" t="str">
        <f>IFERROR(IF(LARGE(Prazos!$J$5:$J$404,24)&gt;0,IF(INDEX(Prazos!$A$5:$A$404,MATCH(LARGE(Prazos!$J$5:$J$404,24),Prazos!$J$5:$J$404,0))="","",INDEX(Prazos!$A$5:$A$404,MATCH(LARGE(Prazos!$J$5:$J$404,24),Prazos!$J$5:$J$404,0))),""),"")</f>
        <v>8056747-83.2026.8.26.0561</v>
      </c>
      <c r="C33" s="26" t="str">
        <f>IFERROR(IF(LARGE(Prazos!$J$5:$J$404,24)&gt;0,IF(INDEX(Prazos!$B$5:$B$404,MATCH(LARGE(Prazos!$J$5:$J$404,24),Prazos!$J$5:$J$404,0))="","",INDEX(Prazos!$B$5:$B$404,MATCH(LARGE(Prazos!$J$5:$J$404,24),Prazos!$J$5:$J$404,0))),""),"")</f>
        <v>Bistrô 42</v>
      </c>
      <c r="D33" s="26" t="str">
        <f>IFERROR(IF(LARGE(Prazos!$J$5:$J$404,24)&gt;0,IF(INDEX(Prazos!$C$5:$C$404,MATCH(LARGE(Prazos!$J$5:$J$404,24),Prazos!$J$5:$J$404,0))="","",INDEX(Prazos!$C$5:$C$404,MATCH(LARGE(Prazos!$J$5:$J$404,24),Prazos!$J$5:$J$404,0))),""),"")</f>
        <v>Audiência de instrução</v>
      </c>
      <c r="E33" s="27">
        <f>IFERROR(IF(LARGE(Prazos!$J$5:$J$404,24)&gt;0,IF(INDEX(Prazos!$D$5:$D$404,MATCH(LARGE(Prazos!$J$5:$J$404,24),Prazos!$J$5:$J$404,0))="","",INDEX(Prazos!$D$5:$D$404,MATCH(LARGE(Prazos!$J$5:$J$404,24),Prazos!$J$5:$J$404,0))),""),"")</f>
        <v>46288.0</v>
      </c>
      <c r="F33" s="28">
        <f>IFERROR(IF(LARGE(Prazos!$J$5:$J$404,24)&gt;0,IF(INDEX(Prazos!$H$5:$H$404,MATCH(LARGE(Prazos!$J$5:$J$404,24),Prazos!$J$5:$J$404,0))="","",INDEX(Prazos!$H$5:$H$404,MATCH(LARGE(Prazos!$J$5:$J$404,24),Prazos!$J$5:$J$404,0))),""),"")</f>
        <v>9</v>
      </c>
      <c r="G33" s="25" t="str">
        <f>IFERROR(IF(LARGE(Prazos!$J$5:$J$404,24)&gt;0,IF(INDEX(Prazos!$I$5:$I$404,MATCH(LARGE(Prazos!$J$5:$J$404,24),Prazos!$J$5:$J$404,0))="","",INDEX(Prazos!$I$5:$I$404,MATCH(LARGE(Prazos!$J$5:$J$404,24),Prazos!$J$5:$J$404,0))),""),"")</f>
        <v>Até 30 dias</v>
      </c>
      <c r="H33" s="25" t="str">
        <f>IFERROR(IF(LARGE(Prazos!$J$5:$J$404,24)&gt;0,IF(INDEX(Prazos!$E$5:$E$404,MATCH(LARGE(Prazos!$J$5:$J$404,24),Prazos!$J$5:$J$404,0))="","",INDEX(Prazos!$E$5:$E$404,MATCH(LARGE(Prazos!$J$5:$J$404,24),Prazos!$J$5:$J$404,0))),""),"")</f>
        <v>Rafael Lima</v>
      </c>
    </row>
    <row r="34">
      <c r="A34" s="25" t="n">
        <v>25</v>
      </c>
      <c r="B34" s="26" t="str">
        <f>IFERROR(IF(LARGE(Prazos!$J$5:$J$404,25)&gt;0,IF(INDEX(Prazos!$A$5:$A$404,MATCH(LARGE(Prazos!$J$5:$J$404,25),Prazos!$J$5:$J$404,0))="","",INDEX(Prazos!$A$5:$A$404,MATCH(LARGE(Prazos!$J$5:$J$404,25),Prazos!$J$5:$J$404,0))),""),"")</f>
        <v>3363714-92.2025.8.26.0592</v>
      </c>
      <c r="C34" s="26" t="str">
        <f>IFERROR(IF(LARGE(Prazos!$J$5:$J$404,25)&gt;0,IF(INDEX(Prazos!$B$5:$B$404,MATCH(LARGE(Prazos!$J$5:$J$404,25),Prazos!$J$5:$J$404,0))="","",INDEX(Prazos!$B$5:$B$404,MATCH(LARGE(Prazos!$J$5:$J$404,25),Prazos!$J$5:$J$404,0))),""),"")</f>
        <v>Oficina Mecânica Central</v>
      </c>
      <c r="D34" s="26" t="str">
        <f>IFERROR(IF(LARGE(Prazos!$J$5:$J$404,25)&gt;0,IF(INDEX(Prazos!$C$5:$C$404,MATCH(LARGE(Prazos!$J$5:$J$404,25),Prazos!$J$5:$J$404,0))="","",INDEX(Prazos!$C$5:$C$404,MATCH(LARGE(Prazos!$J$5:$J$404,25),Prazos!$J$5:$J$404,0))),""),"")</f>
        <v>Alegações finais</v>
      </c>
      <c r="E34" s="27">
        <f>IFERROR(IF(LARGE(Prazos!$J$5:$J$404,25)&gt;0,IF(INDEX(Prazos!$D$5:$D$404,MATCH(LARGE(Prazos!$J$5:$J$404,25),Prazos!$J$5:$J$404,0))="","",INDEX(Prazos!$D$5:$D$404,MATCH(LARGE(Prazos!$J$5:$J$404,25),Prazos!$J$5:$J$404,0))),""),"")</f>
        <v>46289.0</v>
      </c>
      <c r="F34" s="28">
        <f>IFERROR(IF(LARGE(Prazos!$J$5:$J$404,25)&gt;0,IF(INDEX(Prazos!$H$5:$H$404,MATCH(LARGE(Prazos!$J$5:$J$404,25),Prazos!$J$5:$J$404,0))="","",INDEX(Prazos!$H$5:$H$404,MATCH(LARGE(Prazos!$J$5:$J$404,25),Prazos!$J$5:$J$404,0))),""),"")</f>
        <v>10</v>
      </c>
      <c r="G34" s="25" t="str">
        <f>IFERROR(IF(LARGE(Prazos!$J$5:$J$404,25)&gt;0,IF(INDEX(Prazos!$I$5:$I$404,MATCH(LARGE(Prazos!$J$5:$J$404,25),Prazos!$J$5:$J$404,0))="","",INDEX(Prazos!$I$5:$I$404,MATCH(LARGE(Prazos!$J$5:$J$404,25),Prazos!$J$5:$J$404,0))),""),"")</f>
        <v>Até 30 dias</v>
      </c>
      <c r="H34" s="25" t="str">
        <f>IFERROR(IF(LARGE(Prazos!$J$5:$J$404,25)&gt;0,IF(INDEX(Prazos!$E$5:$E$404,MATCH(LARGE(Prazos!$J$5:$J$404,25),Prazos!$J$5:$J$404,0))="","",INDEX(Prazos!$E$5:$E$404,MATCH(LARGE(Prazos!$J$5:$J$404,25),Prazos!$J$5:$J$404,0))),""),"")</f>
        <v>Rafael Lima</v>
      </c>
    </row>
    <row r="35">
      <c r="A35" s="25" t="n">
        <v>26</v>
      </c>
      <c r="B35" s="26" t="str">
        <f>IFERROR(IF(LARGE(Prazos!$J$5:$J$404,26)&gt;0,IF(INDEX(Prazos!$A$5:$A$404,MATCH(LARGE(Prazos!$J$5:$J$404,26),Prazos!$J$5:$J$404,0))="","",INDEX(Prazos!$A$5:$A$404,MATCH(LARGE(Prazos!$J$5:$J$404,26),Prazos!$J$5:$J$404,0))),""),"")</f>
        <v>6184138-13.2026.8.26.0378</v>
      </c>
      <c r="C35" s="26" t="str">
        <f>IFERROR(IF(LARGE(Prazos!$J$5:$J$404,26)&gt;0,IF(INDEX(Prazos!$B$5:$B$404,MATCH(LARGE(Prazos!$J$5:$J$404,26),Prazos!$J$5:$J$404,0))="","",INDEX(Prazos!$B$5:$B$404,MATCH(LARGE(Prazos!$J$5:$J$404,26),Prazos!$J$5:$J$404,0))),""),"")</f>
        <v>Oficina Mecânica Central</v>
      </c>
      <c r="D35" s="26" t="str">
        <f>IFERROR(IF(LARGE(Prazos!$J$5:$J$404,26)&gt;0,IF(INDEX(Prazos!$C$5:$C$404,MATCH(LARGE(Prazos!$J$5:$J$404,26),Prazos!$J$5:$J$404,0))="","",INDEX(Prazos!$C$5:$C$404,MATCH(LARGE(Prazos!$J$5:$J$404,26),Prazos!$J$5:$J$404,0))),""),"")</f>
        <v>Audiência de conciliação</v>
      </c>
      <c r="E35" s="27">
        <f>IFERROR(IF(LARGE(Prazos!$J$5:$J$404,26)&gt;0,IF(INDEX(Prazos!$D$5:$D$404,MATCH(LARGE(Prazos!$J$5:$J$404,26),Prazos!$J$5:$J$404,0))="","",INDEX(Prazos!$D$5:$D$404,MATCH(LARGE(Prazos!$J$5:$J$404,26),Prazos!$J$5:$J$404,0))),""),"")</f>
        <v>46291.0</v>
      </c>
      <c r="F35" s="28">
        <f>IFERROR(IF(LARGE(Prazos!$J$5:$J$404,26)&gt;0,IF(INDEX(Prazos!$H$5:$H$404,MATCH(LARGE(Prazos!$J$5:$J$404,26),Prazos!$J$5:$J$404,0))="","",INDEX(Prazos!$H$5:$H$404,MATCH(LARGE(Prazos!$J$5:$J$404,26),Prazos!$J$5:$J$404,0))),""),"")</f>
        <v>12</v>
      </c>
      <c r="G35" s="25" t="str">
        <f>IFERROR(IF(LARGE(Prazos!$J$5:$J$404,26)&gt;0,IF(INDEX(Prazos!$I$5:$I$404,MATCH(LARGE(Prazos!$J$5:$J$404,26),Prazos!$J$5:$J$404,0))="","",INDEX(Prazos!$I$5:$I$404,MATCH(LARGE(Prazos!$J$5:$J$404,26),Prazos!$J$5:$J$404,0))),""),"")</f>
        <v>Até 30 dias</v>
      </c>
      <c r="H35" s="25" t="str">
        <f>IFERROR(IF(LARGE(Prazos!$J$5:$J$404,26)&gt;0,IF(INDEX(Prazos!$E$5:$E$404,MATCH(LARGE(Prazos!$J$5:$J$404,26),Prazos!$J$5:$J$404,0))="","",INDEX(Prazos!$E$5:$E$404,MATCH(LARGE(Prazos!$J$5:$J$404,26),Prazos!$J$5:$J$404,0))),""),"")</f>
        <v>Rafael Lima</v>
      </c>
    </row>
    <row r="36">
      <c r="A36" s="25" t="n">
        <v>27</v>
      </c>
      <c r="B36" s="26" t="str">
        <f>IFERROR(IF(LARGE(Prazos!$J$5:$J$404,27)&gt;0,IF(INDEX(Prazos!$A$5:$A$404,MATCH(LARGE(Prazos!$J$5:$J$404,27),Prazos!$J$5:$J$404,0))="","",INDEX(Prazos!$A$5:$A$404,MATCH(LARGE(Prazos!$J$5:$J$404,27),Prazos!$J$5:$J$404,0))),""),"")</f>
        <v>3363714-92.2025.8.26.0592</v>
      </c>
      <c r="C36" s="26" t="str">
        <f>IFERROR(IF(LARGE(Prazos!$J$5:$J$404,27)&gt;0,IF(INDEX(Prazos!$B$5:$B$404,MATCH(LARGE(Prazos!$J$5:$J$404,27),Prazos!$J$5:$J$404,0))="","",INDEX(Prazos!$B$5:$B$404,MATCH(LARGE(Prazos!$J$5:$J$404,27),Prazos!$J$5:$J$404,0))),""),"")</f>
        <v>Oficina Mecânica Central</v>
      </c>
      <c r="D36" s="26" t="str">
        <f>IFERROR(IF(LARGE(Prazos!$J$5:$J$404,27)&gt;0,IF(INDEX(Prazos!$C$5:$C$404,MATCH(LARGE(Prazos!$J$5:$J$404,27),Prazos!$J$5:$J$404,0))="","",INDEX(Prazos!$C$5:$C$404,MATCH(LARGE(Prazos!$J$5:$J$404,27),Prazos!$J$5:$J$404,0))),""),"")</f>
        <v>Reunião com cliente</v>
      </c>
      <c r="E36" s="27">
        <f>IFERROR(IF(LARGE(Prazos!$J$5:$J$404,27)&gt;0,IF(INDEX(Prazos!$D$5:$D$404,MATCH(LARGE(Prazos!$J$5:$J$404,27),Prazos!$J$5:$J$404,0))="","",INDEX(Prazos!$D$5:$D$404,MATCH(LARGE(Prazos!$J$5:$J$404,27),Prazos!$J$5:$J$404,0))),""),"")</f>
        <v>46291.0</v>
      </c>
      <c r="F36" s="28">
        <f>IFERROR(IF(LARGE(Prazos!$J$5:$J$404,27)&gt;0,IF(INDEX(Prazos!$H$5:$H$404,MATCH(LARGE(Prazos!$J$5:$J$404,27),Prazos!$J$5:$J$404,0))="","",INDEX(Prazos!$H$5:$H$404,MATCH(LARGE(Prazos!$J$5:$J$404,27),Prazos!$J$5:$J$404,0))),""),"")</f>
        <v>12</v>
      </c>
      <c r="G36" s="25" t="str">
        <f>IFERROR(IF(LARGE(Prazos!$J$5:$J$404,27)&gt;0,IF(INDEX(Prazos!$I$5:$I$404,MATCH(LARGE(Prazos!$J$5:$J$404,27),Prazos!$J$5:$J$404,0))="","",INDEX(Prazos!$I$5:$I$404,MATCH(LARGE(Prazos!$J$5:$J$404,27),Prazos!$J$5:$J$404,0))),""),"")</f>
        <v>Até 30 dias</v>
      </c>
      <c r="H36" s="25" t="str">
        <f>IFERROR(IF(LARGE(Prazos!$J$5:$J$404,27)&gt;0,IF(INDEX(Prazos!$E$5:$E$404,MATCH(LARGE(Prazos!$J$5:$J$404,27),Prazos!$J$5:$J$404,0))="","",INDEX(Prazos!$E$5:$E$404,MATCH(LARGE(Prazos!$J$5:$J$404,27),Prazos!$J$5:$J$404,0))),""),"")</f>
        <v>Rafael Lima</v>
      </c>
    </row>
    <row r="37">
      <c r="A37" s="25" t="n">
        <v>28</v>
      </c>
      <c r="B37" s="26" t="str">
        <f>IFERROR(IF(LARGE(Prazos!$J$5:$J$404,28)&gt;0,IF(INDEX(Prazos!$A$5:$A$404,MATCH(LARGE(Prazos!$J$5:$J$404,28),Prazos!$J$5:$J$404,0))="","",INDEX(Prazos!$A$5:$A$404,MATCH(LARGE(Prazos!$J$5:$J$404,28),Prazos!$J$5:$J$404,0))),""),"")</f>
        <v>9236009-85.2025.8.26.0452</v>
      </c>
      <c r="C37" s="26" t="str">
        <f>IFERROR(IF(LARGE(Prazos!$J$5:$J$404,28)&gt;0,IF(INDEX(Prazos!$B$5:$B$404,MATCH(LARGE(Prazos!$J$5:$J$404,28),Prazos!$J$5:$J$404,0))="","",INDEX(Prazos!$B$5:$B$404,MATCH(LARGE(Prazos!$J$5:$J$404,28),Prazos!$J$5:$J$404,0))),""),"")</f>
        <v>Bistrô 42</v>
      </c>
      <c r="D37" s="26" t="str">
        <f>IFERROR(IF(LARGE(Prazos!$J$5:$J$404,28)&gt;0,IF(INDEX(Prazos!$C$5:$C$404,MATCH(LARGE(Prazos!$J$5:$J$404,28),Prazos!$J$5:$J$404,0))="","",INDEX(Prazos!$C$5:$C$404,MATCH(LARGE(Prazos!$J$5:$J$404,28),Prazos!$J$5:$J$404,0))),""),"")</f>
        <v>Cumprimento de sentença</v>
      </c>
      <c r="E37" s="27">
        <f>IFERROR(IF(LARGE(Prazos!$J$5:$J$404,28)&gt;0,IF(INDEX(Prazos!$D$5:$D$404,MATCH(LARGE(Prazos!$J$5:$J$404,28),Prazos!$J$5:$J$404,0))="","",INDEX(Prazos!$D$5:$D$404,MATCH(LARGE(Prazos!$J$5:$J$404,28),Prazos!$J$5:$J$404,0))),""),"")</f>
        <v>46294.0</v>
      </c>
      <c r="F37" s="28">
        <f>IFERROR(IF(LARGE(Prazos!$J$5:$J$404,28)&gt;0,IF(INDEX(Prazos!$H$5:$H$404,MATCH(LARGE(Prazos!$J$5:$J$404,28),Prazos!$J$5:$J$404,0))="","",INDEX(Prazos!$H$5:$H$404,MATCH(LARGE(Prazos!$J$5:$J$404,28),Prazos!$J$5:$J$404,0))),""),"")</f>
        <v>15</v>
      </c>
      <c r="G37" s="25" t="str">
        <f>IFERROR(IF(LARGE(Prazos!$J$5:$J$404,28)&gt;0,IF(INDEX(Prazos!$I$5:$I$404,MATCH(LARGE(Prazos!$J$5:$J$404,28),Prazos!$J$5:$J$404,0))="","",INDEX(Prazos!$I$5:$I$404,MATCH(LARGE(Prazos!$J$5:$J$404,28),Prazos!$J$5:$J$404,0))),""),"")</f>
        <v>Até 30 dias</v>
      </c>
      <c r="H37" s="25" t="str">
        <f>IFERROR(IF(LARGE(Prazos!$J$5:$J$404,28)&gt;0,IF(INDEX(Prazos!$E$5:$E$404,MATCH(LARGE(Prazos!$J$5:$J$404,28),Prazos!$J$5:$J$404,0))="","",INDEX(Prazos!$E$5:$E$404,MATCH(LARGE(Prazos!$J$5:$J$404,28),Prazos!$J$5:$J$404,0))),""),"")</f>
        <v>Rafael Lima</v>
      </c>
    </row>
    <row r="38">
      <c r="A38" s="25" t="n">
        <v>29</v>
      </c>
      <c r="B38" s="26" t="str">
        <f>IFERROR(IF(LARGE(Prazos!$J$5:$J$404,29)&gt;0,IF(INDEX(Prazos!$A$5:$A$404,MATCH(LARGE(Prazos!$J$5:$J$404,29),Prazos!$J$5:$J$404,0))="","",INDEX(Prazos!$A$5:$A$404,MATCH(LARGE(Prazos!$J$5:$J$404,29),Prazos!$J$5:$J$404,0))),""),"")</f>
        <v>CONS-2026-07</v>
      </c>
      <c r="C38" s="26" t="str">
        <f>IFERROR(IF(LARGE(Prazos!$J$5:$J$404,29)&gt;0,IF(INDEX(Prazos!$B$5:$B$404,MATCH(LARGE(Prazos!$J$5:$J$404,29),Prazos!$J$5:$J$404,0))="","",INDEX(Prazos!$B$5:$B$404,MATCH(LARGE(Prazos!$J$5:$J$404,29),Prazos!$J$5:$J$404,0))),""),"")</f>
        <v>Agência Prisma</v>
      </c>
      <c r="D38" s="26" t="str">
        <f>IFERROR(IF(LARGE(Prazos!$J$5:$J$404,29)&gt;0,IF(INDEX(Prazos!$C$5:$C$404,MATCH(LARGE(Prazos!$J$5:$J$404,29),Prazos!$J$5:$J$404,0))="","",INDEX(Prazos!$C$5:$C$404,MATCH(LARGE(Prazos!$J$5:$J$404,29),Prazos!$J$5:$J$404,0))),""),"")</f>
        <v>Entrega de parecer</v>
      </c>
      <c r="E38" s="27">
        <f>IFERROR(IF(LARGE(Prazos!$J$5:$J$404,29)&gt;0,IF(INDEX(Prazos!$D$5:$D$404,MATCH(LARGE(Prazos!$J$5:$J$404,29),Prazos!$J$5:$J$404,0))="","",INDEX(Prazos!$D$5:$D$404,MATCH(LARGE(Prazos!$J$5:$J$404,29),Prazos!$J$5:$J$404,0))),""),"")</f>
        <v>46295.0</v>
      </c>
      <c r="F38" s="28">
        <f>IFERROR(IF(LARGE(Prazos!$J$5:$J$404,29)&gt;0,IF(INDEX(Prazos!$H$5:$H$404,MATCH(LARGE(Prazos!$J$5:$J$404,29),Prazos!$J$5:$J$404,0))="","",INDEX(Prazos!$H$5:$H$404,MATCH(LARGE(Prazos!$J$5:$J$404,29),Prazos!$J$5:$J$404,0))),""),"")</f>
        <v>16</v>
      </c>
      <c r="G38" s="25" t="str">
        <f>IFERROR(IF(LARGE(Prazos!$J$5:$J$404,29)&gt;0,IF(INDEX(Prazos!$I$5:$I$404,MATCH(LARGE(Prazos!$J$5:$J$404,29),Prazos!$J$5:$J$404,0))="","",INDEX(Prazos!$I$5:$I$404,MATCH(LARGE(Prazos!$J$5:$J$404,29),Prazos!$J$5:$J$404,0))),""),"")</f>
        <v>Até 30 dias</v>
      </c>
      <c r="H38" s="25" t="str">
        <f>IFERROR(IF(LARGE(Prazos!$J$5:$J$404,29)&gt;0,IF(INDEX(Prazos!$E$5:$E$404,MATCH(LARGE(Prazos!$J$5:$J$404,29),Prazos!$J$5:$J$404,0))="","",INDEX(Prazos!$E$5:$E$404,MATCH(LARGE(Prazos!$J$5:$J$404,29),Prazos!$J$5:$J$404,0))),""),"")</f>
        <v>Marina Ferraz</v>
      </c>
    </row>
    <row r="39">
      <c r="A39" s="25" t="n">
        <v>30</v>
      </c>
      <c r="B39" s="26" t="str">
        <f>IFERROR(IF(LARGE(Prazos!$J$5:$J$404,30)&gt;0,IF(INDEX(Prazos!$A$5:$A$404,MATCH(LARGE(Prazos!$J$5:$J$404,30),Prazos!$J$5:$J$404,0))="","",INDEX(Prazos!$A$5:$A$404,MATCH(LARGE(Prazos!$J$5:$J$404,30),Prazos!$J$5:$J$404,0))),""),"")</f>
        <v>4526984-60.2026.8.26.0258</v>
      </c>
      <c r="C39" s="26" t="str">
        <f>IFERROR(IF(LARGE(Prazos!$J$5:$J$404,30)&gt;0,IF(INDEX(Prazos!$B$5:$B$404,MATCH(LARGE(Prazos!$J$5:$J$404,30),Prazos!$J$5:$J$404,0))="","",INDEX(Prazos!$B$5:$B$404,MATCH(LARGE(Prazos!$J$5:$J$404,30),Prazos!$J$5:$J$404,0))),""),"")</f>
        <v>Transportadora Rota Sul</v>
      </c>
      <c r="D39" s="26" t="str">
        <f>IFERROR(IF(LARGE(Prazos!$J$5:$J$404,30)&gt;0,IF(INDEX(Prazos!$C$5:$C$404,MATCH(LARGE(Prazos!$J$5:$J$404,30),Prazos!$J$5:$J$404,0))="","",INDEX(Prazos!$C$5:$C$404,MATCH(LARGE(Prazos!$J$5:$J$404,30),Prazos!$J$5:$J$404,0))),""),"")</f>
        <v>Juntada de documentos</v>
      </c>
      <c r="E39" s="27">
        <f>IFERROR(IF(LARGE(Prazos!$J$5:$J$404,30)&gt;0,IF(INDEX(Prazos!$D$5:$D$404,MATCH(LARGE(Prazos!$J$5:$J$404,30),Prazos!$J$5:$J$404,0))="","",INDEX(Prazos!$D$5:$D$404,MATCH(LARGE(Prazos!$J$5:$J$404,30),Prazos!$J$5:$J$404,0))),""),"")</f>
        <v>46295.0</v>
      </c>
      <c r="F39" s="28">
        <f>IFERROR(IF(LARGE(Prazos!$J$5:$J$404,30)&gt;0,IF(INDEX(Prazos!$H$5:$H$404,MATCH(LARGE(Prazos!$J$5:$J$404,30),Prazos!$J$5:$J$404,0))="","",INDEX(Prazos!$H$5:$H$404,MATCH(LARGE(Prazos!$J$5:$J$404,30),Prazos!$J$5:$J$404,0))),""),"")</f>
        <v>16</v>
      </c>
      <c r="G39" s="25" t="str">
        <f>IFERROR(IF(LARGE(Prazos!$J$5:$J$404,30)&gt;0,IF(INDEX(Prazos!$I$5:$I$404,MATCH(LARGE(Prazos!$J$5:$J$404,30),Prazos!$J$5:$J$404,0))="","",INDEX(Prazos!$I$5:$I$404,MATCH(LARGE(Prazos!$J$5:$J$404,30),Prazos!$J$5:$J$404,0))),""),"")</f>
        <v>Até 30 dias</v>
      </c>
      <c r="H39" s="25" t="str">
        <f>IFERROR(IF(LARGE(Prazos!$J$5:$J$404,30)&gt;0,IF(INDEX(Prazos!$E$5:$E$404,MATCH(LARGE(Prazos!$J$5:$J$404,30),Prazos!$J$5:$J$404,0))="","",INDEX(Prazos!$E$5:$E$404,MATCH(LARGE(Prazos!$J$5:$J$404,30),Prazos!$J$5:$J$404,0))),""),"")</f>
        <v>Júlia Prado</v>
      </c>
    </row>
    <row r="41">
      <c r="A41" s="22" t="inlineStr">
        <is>
          <t>Carga por responsável</t>
        </is>
      </c>
    </row>
    <row r="42" ht="26" customHeight="1">
      <c r="A42" s="24" t="inlineStr">
        <is>
          <t>Responsável</t>
        </is>
      </c>
      <c r="B42" s="29" t="n"/>
      <c r="C42" s="24" t="inlineStr">
        <is>
          <t>Abertos</t>
        </is>
      </c>
      <c r="D42" s="24" t="inlineStr">
        <is>
          <t>Atrasados</t>
        </is>
      </c>
      <c r="E42" s="24" t="inlineStr">
        <is>
          <t>Hoje</t>
        </is>
      </c>
      <c r="F42" s="24" t="inlineStr">
        <is>
          <t>Em alerta</t>
        </is>
      </c>
      <c r="G42" s="24" t="inlineStr">
        <is>
          <t>Mais antigo em aberto</t>
        </is>
      </c>
      <c r="H42" s="24" t="inlineStr">
        <is>
          <t>Feitos</t>
        </is>
      </c>
    </row>
    <row r="43">
      <c r="A43" s="26" t="str">
        <f>IF(Config!$B$10="","",Config!$B$10)</f>
        <v>Marina Ferraz</v>
      </c>
      <c r="B43" s="25" t="n"/>
      <c r="C43" s="25">
        <f>IF(Config!$B$10="","",COUNTIFS(Prazos!$E$5:$E$404,Config!$B$10,Prazos!$J$5:$J$404,"&gt;0")+COUNTIFS(Prazos!$E$5:$E$404,Config!$B$10,Prazos!$I$5:$I$404,"Sem data"))</f>
        <v>15</v>
      </c>
      <c r="D43" s="25">
        <f>IF(Config!$B$10="","",COUNTIFS(Prazos!$E$5:$E$404,Config!$B$10,Prazos!$I$5:$I$404,"Atrasado"))</f>
        <v>3</v>
      </c>
      <c r="E43" s="25">
        <f>IF(Config!$B$10="","",COUNTIFS(Prazos!$E$5:$E$404,Config!$B$10,Prazos!$I$5:$I$404,"Hoje"))</f>
        <v>2</v>
      </c>
      <c r="F43" s="25">
        <f>IF(Config!$B$10="","",COUNTIFS(Prazos!$E$5:$E$404,Config!$B$10,Prazos!$I$5:$I$404,"Até "&amp;Config!$B$6&amp;" dias"))</f>
        <v>4</v>
      </c>
      <c r="G43" s="27">
        <f>IF(Config!$B$10="","",IFERROR(IF(SUMPRODUCT(MIN(((Prazos!$E$5:$E$404=Config!$B$10)*(Prazos!$J$5:$J$404&gt;0))*Prazos!$D$5:$D$404+(1-((Prazos!$E$5:$E$404=Config!$B$10)*(Prazos!$J$5:$J$404&gt;0)))*1E+10))&gt;=1E+10,"",SUMPRODUCT(MIN(((Prazos!$E$5:$E$404=Config!$B$10)*(Prazos!$J$5:$J$404&gt;0))*Prazos!$D$5:$D$404+(1-((Prazos!$E$5:$E$404=Config!$B$10)*(Prazos!$J$5:$J$404&gt;0)))*1E+10))),""))</f>
        <v>46276.0</v>
      </c>
      <c r="H43" s="25">
        <f>IF(Config!$B$10="","",COUNTIFS(Prazos!$E$5:$E$404,Config!$B$10,Prazos!$I$5:$I$404,"Feito"))</f>
        <v>1</v>
      </c>
    </row>
    <row r="44">
      <c r="A44" s="26" t="str">
        <f>IF(Config!$B$11="","",Config!$B$11)</f>
        <v>Rafael Lima</v>
      </c>
      <c r="B44" s="25" t="n"/>
      <c r="C44" s="25">
        <f>IF(Config!$B$11="","",COUNTIFS(Prazos!$E$5:$E$404,Config!$B$11,Prazos!$J$5:$J$404,"&gt;0")+COUNTIFS(Prazos!$E$5:$E$404,Config!$B$11,Prazos!$I$5:$I$404,"Sem data"))</f>
        <v>16</v>
      </c>
      <c r="D44" s="25">
        <f>IF(Config!$B$11="","",COUNTIFS(Prazos!$E$5:$E$404,Config!$B$11,Prazos!$I$5:$I$404,"Atrasado"))</f>
        <v>3</v>
      </c>
      <c r="E44" s="25">
        <f>IF(Config!$B$11="","",COUNTIFS(Prazos!$E$5:$E$404,Config!$B$11,Prazos!$I$5:$I$404,"Hoje"))</f>
        <v>1</v>
      </c>
      <c r="F44" s="25">
        <f>IF(Config!$B$11="","",COUNTIFS(Prazos!$E$5:$E$404,Config!$B$11,Prazos!$I$5:$I$404,"Até "&amp;Config!$B$6&amp;" dias"))</f>
        <v>5</v>
      </c>
      <c r="G44" s="27">
        <f>IF(Config!$B$11="","",IFERROR(IF(SUMPRODUCT(MIN(((Prazos!$E$5:$E$404=Config!$B$11)*(Prazos!$J$5:$J$404&gt;0))*Prazos!$D$5:$D$404+(1-((Prazos!$E$5:$E$404=Config!$B$11)*(Prazos!$J$5:$J$404&gt;0)))*1E+10))&gt;=1E+10,"",SUMPRODUCT(MIN(((Prazos!$E$5:$E$404=Config!$B$11)*(Prazos!$J$5:$J$404&gt;0))*Prazos!$D$5:$D$404+(1-((Prazos!$E$5:$E$404=Config!$B$11)*(Prazos!$J$5:$J$404&gt;0)))*1E+10))),""))</f>
        <v>46274.0</v>
      </c>
      <c r="H44" s="25">
        <f>IF(Config!$B$11="","",COUNTIFS(Prazos!$E$5:$E$404,Config!$B$11,Prazos!$I$5:$I$404,"Feito"))</f>
        <v>0</v>
      </c>
    </row>
    <row r="45">
      <c r="A45" s="26" t="str">
        <f>IF(Config!$B$12="","",Config!$B$12)</f>
        <v>Júlia Prado</v>
      </c>
      <c r="B45" s="25" t="n"/>
      <c r="C45" s="25">
        <f>IF(Config!$B$12="","",COUNTIFS(Prazos!$E$5:$E$404,Config!$B$12,Prazos!$J$5:$J$404,"&gt;0")+COUNTIFS(Prazos!$E$5:$E$404,Config!$B$12,Prazos!$I$5:$I$404,"Sem data"))</f>
        <v>5</v>
      </c>
      <c r="D45" s="25">
        <f>IF(Config!$B$12="","",COUNTIFS(Prazos!$E$5:$E$404,Config!$B$12,Prazos!$I$5:$I$404,"Atrasado"))</f>
        <v>1</v>
      </c>
      <c r="E45" s="25">
        <f>IF(Config!$B$12="","",COUNTIFS(Prazos!$E$5:$E$404,Config!$B$12,Prazos!$I$5:$I$404,"Hoje"))</f>
        <v>0</v>
      </c>
      <c r="F45" s="25">
        <f>IF(Config!$B$12="","",COUNTIFS(Prazos!$E$5:$E$404,Config!$B$12,Prazos!$I$5:$I$404,"Até "&amp;Config!$B$6&amp;" dias"))</f>
        <v>2</v>
      </c>
      <c r="G45" s="27">
        <f>IF(Config!$B$12="","",IFERROR(IF(SUMPRODUCT(MIN(((Prazos!$E$5:$E$404=Config!$B$12)*(Prazos!$J$5:$J$404&gt;0))*Prazos!$D$5:$D$404+(1-((Prazos!$E$5:$E$404=Config!$B$12)*(Prazos!$J$5:$J$404&gt;0)))*1E+10))&gt;=1E+10,"",SUMPRODUCT(MIN(((Prazos!$E$5:$E$404=Config!$B$12)*(Prazos!$J$5:$J$404&gt;0))*Prazos!$D$5:$D$404+(1-((Prazos!$E$5:$E$404=Config!$B$12)*(Prazos!$J$5:$J$404&gt;0)))*1E+10))),""))</f>
        <v>46273.0</v>
      </c>
      <c r="H45" s="25">
        <f>IF(Config!$B$12="","",COUNTIFS(Prazos!$E$5:$E$404,Config!$B$12,Prazos!$I$5:$I$404,"Feito"))</f>
        <v>1</v>
      </c>
    </row>
    <row r="46">
      <c r="A46" s="26">
        <f>IF(Config!$B$13="","",Config!$B$13)</f>
        <v/>
      </c>
      <c r="B46" s="25" t="n"/>
      <c r="C46" s="25">
        <f>IF(Config!$B$13="","",COUNTIFS(Prazos!$E$5:$E$404,Config!$B$13,Prazos!$J$5:$J$404,"&gt;0")+COUNTIFS(Prazos!$E$5:$E$404,Config!$B$13,Prazos!$I$5:$I$404,"Sem data"))</f>
        <v/>
      </c>
      <c r="D46" s="25">
        <f>IF(Config!$B$13="","",COUNTIFS(Prazos!$E$5:$E$404,Config!$B$13,Prazos!$I$5:$I$404,"Atrasado"))</f>
        <v/>
      </c>
      <c r="E46" s="25">
        <f>IF(Config!$B$13="","",COUNTIFS(Prazos!$E$5:$E$404,Config!$B$13,Prazos!$I$5:$I$404,"Hoje"))</f>
        <v/>
      </c>
      <c r="F46" s="25">
        <f>IF(Config!$B$13="","",COUNTIFS(Prazos!$E$5:$E$404,Config!$B$13,Prazos!$I$5:$I$404,"Até "&amp;Config!$B$6&amp;" dias"))</f>
        <v/>
      </c>
      <c r="G46" s="27">
        <f>IF(Config!$B$13="","",IFERROR(IF(SUMPRODUCT(MIN(((Prazos!$E$5:$E$404=Config!$B$13)*(Prazos!$J$5:$J$404&gt;0))*Prazos!$D$5:$D$404+(1-((Prazos!$E$5:$E$404=Config!$B$13)*(Prazos!$J$5:$J$404&gt;0)))*1E+10))&gt;=1E+10,"",SUMPRODUCT(MIN(((Prazos!$E$5:$E$404=Config!$B$13)*(Prazos!$J$5:$J$404&gt;0))*Prazos!$D$5:$D$404+(1-((Prazos!$E$5:$E$404=Config!$B$13)*(Prazos!$J$5:$J$404&gt;0)))*1E+10))),""))</f>
        <v/>
      </c>
      <c r="H46" s="25">
        <f>IF(Config!$B$13="","",COUNTIFS(Prazos!$E$5:$E$404,Config!$B$13,Prazos!$I$5:$I$404,"Feito"))</f>
        <v/>
      </c>
    </row>
    <row r="47">
      <c r="A47" s="26">
        <f>IF(Config!$B$14="","",Config!$B$14)</f>
        <v/>
      </c>
      <c r="B47" s="25" t="n"/>
      <c r="C47" s="25">
        <f>IF(Config!$B$14="","",COUNTIFS(Prazos!$E$5:$E$404,Config!$B$14,Prazos!$J$5:$J$404,"&gt;0")+COUNTIFS(Prazos!$E$5:$E$404,Config!$B$14,Prazos!$I$5:$I$404,"Sem data"))</f>
        <v/>
      </c>
      <c r="D47" s="25">
        <f>IF(Config!$B$14="","",COUNTIFS(Prazos!$E$5:$E$404,Config!$B$14,Prazos!$I$5:$I$404,"Atrasado"))</f>
        <v/>
      </c>
      <c r="E47" s="25">
        <f>IF(Config!$B$14="","",COUNTIFS(Prazos!$E$5:$E$404,Config!$B$14,Prazos!$I$5:$I$404,"Hoje"))</f>
        <v/>
      </c>
      <c r="F47" s="25">
        <f>IF(Config!$B$14="","",COUNTIFS(Prazos!$E$5:$E$404,Config!$B$14,Prazos!$I$5:$I$404,"Até "&amp;Config!$B$6&amp;" dias"))</f>
        <v/>
      </c>
      <c r="G47" s="27">
        <f>IF(Config!$B$14="","",IFERROR(IF(SUMPRODUCT(MIN(((Prazos!$E$5:$E$404=Config!$B$14)*(Prazos!$J$5:$J$404&gt;0))*Prazos!$D$5:$D$404+(1-((Prazos!$E$5:$E$404=Config!$B$14)*(Prazos!$J$5:$J$404&gt;0)))*1E+10))&gt;=1E+10,"",SUMPRODUCT(MIN(((Prazos!$E$5:$E$404=Config!$B$14)*(Prazos!$J$5:$J$404&gt;0))*Prazos!$D$5:$D$404+(1-((Prazos!$E$5:$E$404=Config!$B$14)*(Prazos!$J$5:$J$404&gt;0)))*1E+10))),""))</f>
        <v/>
      </c>
      <c r="H47" s="25">
        <f>IF(Config!$B$14="","",COUNTIFS(Prazos!$E$5:$E$404,Config!$B$14,Prazos!$I$5:$I$404,"Feito"))</f>
        <v/>
      </c>
    </row>
    <row r="48">
      <c r="A48" s="26">
        <f>IF(Config!$B$15="","",Config!$B$15)</f>
        <v/>
      </c>
      <c r="B48" s="25" t="n"/>
      <c r="C48" s="25">
        <f>IF(Config!$B$15="","",COUNTIFS(Prazos!$E$5:$E$404,Config!$B$15,Prazos!$J$5:$J$404,"&gt;0")+COUNTIFS(Prazos!$E$5:$E$404,Config!$B$15,Prazos!$I$5:$I$404,"Sem data"))</f>
        <v/>
      </c>
      <c r="D48" s="25">
        <f>IF(Config!$B$15="","",COUNTIFS(Prazos!$E$5:$E$404,Config!$B$15,Prazos!$I$5:$I$404,"Atrasado"))</f>
        <v/>
      </c>
      <c r="E48" s="25">
        <f>IF(Config!$B$15="","",COUNTIFS(Prazos!$E$5:$E$404,Config!$B$15,Prazos!$I$5:$I$404,"Hoje"))</f>
        <v/>
      </c>
      <c r="F48" s="25">
        <f>IF(Config!$B$15="","",COUNTIFS(Prazos!$E$5:$E$404,Config!$B$15,Prazos!$I$5:$I$404,"Até "&amp;Config!$B$6&amp;" dias"))</f>
        <v/>
      </c>
      <c r="G48" s="27">
        <f>IF(Config!$B$15="","",IFERROR(IF(SUMPRODUCT(MIN(((Prazos!$E$5:$E$404=Config!$B$15)*(Prazos!$J$5:$J$404&gt;0))*Prazos!$D$5:$D$404+(1-((Prazos!$E$5:$E$404=Config!$B$15)*(Prazos!$J$5:$J$404&gt;0)))*1E+10))&gt;=1E+10,"",SUMPRODUCT(MIN(((Prazos!$E$5:$E$404=Config!$B$15)*(Prazos!$J$5:$J$404&gt;0))*Prazos!$D$5:$D$404+(1-((Prazos!$E$5:$E$404=Config!$B$15)*(Prazos!$J$5:$J$404&gt;0)))*1E+10))),""))</f>
        <v/>
      </c>
      <c r="H48" s="25">
        <f>IF(Config!$B$15="","",COUNTIFS(Prazos!$E$5:$E$404,Config!$B$15,Prazos!$I$5:$I$404,"Feito"))</f>
        <v/>
      </c>
    </row>
    <row r="49">
      <c r="A49" s="26">
        <f>IF(Config!$B$16="","",Config!$B$16)</f>
        <v/>
      </c>
      <c r="B49" s="25" t="n"/>
      <c r="C49" s="25">
        <f>IF(Config!$B$16="","",COUNTIFS(Prazos!$E$5:$E$404,Config!$B$16,Prazos!$J$5:$J$404,"&gt;0")+COUNTIFS(Prazos!$E$5:$E$404,Config!$B$16,Prazos!$I$5:$I$404,"Sem data"))</f>
        <v/>
      </c>
      <c r="D49" s="25">
        <f>IF(Config!$B$16="","",COUNTIFS(Prazos!$E$5:$E$404,Config!$B$16,Prazos!$I$5:$I$404,"Atrasado"))</f>
        <v/>
      </c>
      <c r="E49" s="25">
        <f>IF(Config!$B$16="","",COUNTIFS(Prazos!$E$5:$E$404,Config!$B$16,Prazos!$I$5:$I$404,"Hoje"))</f>
        <v/>
      </c>
      <c r="F49" s="25">
        <f>IF(Config!$B$16="","",COUNTIFS(Prazos!$E$5:$E$404,Config!$B$16,Prazos!$I$5:$I$404,"Até "&amp;Config!$B$6&amp;" dias"))</f>
        <v/>
      </c>
      <c r="G49" s="27">
        <f>IF(Config!$B$16="","",IFERROR(IF(SUMPRODUCT(MIN(((Prazos!$E$5:$E$404=Config!$B$16)*(Prazos!$J$5:$J$404&gt;0))*Prazos!$D$5:$D$404+(1-((Prazos!$E$5:$E$404=Config!$B$16)*(Prazos!$J$5:$J$404&gt;0)))*1E+10))&gt;=1E+10,"",SUMPRODUCT(MIN(((Prazos!$E$5:$E$404=Config!$B$16)*(Prazos!$J$5:$J$404&gt;0))*Prazos!$D$5:$D$404+(1-((Prazos!$E$5:$E$404=Config!$B$16)*(Prazos!$J$5:$J$404&gt;0)))*1E+10))),""))</f>
        <v/>
      </c>
      <c r="H49" s="25">
        <f>IF(Config!$B$16="","",COUNTIFS(Prazos!$E$5:$E$404,Config!$B$16,Prazos!$I$5:$I$404,"Feito"))</f>
        <v/>
      </c>
    </row>
    <row r="50">
      <c r="A50" s="26">
        <f>IF(Config!$B$17="","",Config!$B$17)</f>
        <v/>
      </c>
      <c r="B50" s="25" t="n"/>
      <c r="C50" s="25">
        <f>IF(Config!$B$17="","",COUNTIFS(Prazos!$E$5:$E$404,Config!$B$17,Prazos!$J$5:$J$404,"&gt;0")+COUNTIFS(Prazos!$E$5:$E$404,Config!$B$17,Prazos!$I$5:$I$404,"Sem data"))</f>
        <v/>
      </c>
      <c r="D50" s="25">
        <f>IF(Config!$B$17="","",COUNTIFS(Prazos!$E$5:$E$404,Config!$B$17,Prazos!$I$5:$I$404,"Atrasado"))</f>
        <v/>
      </c>
      <c r="E50" s="25">
        <f>IF(Config!$B$17="","",COUNTIFS(Prazos!$E$5:$E$404,Config!$B$17,Prazos!$I$5:$I$404,"Hoje"))</f>
        <v/>
      </c>
      <c r="F50" s="25">
        <f>IF(Config!$B$17="","",COUNTIFS(Prazos!$E$5:$E$404,Config!$B$17,Prazos!$I$5:$I$404,"Até "&amp;Config!$B$6&amp;" dias"))</f>
        <v/>
      </c>
      <c r="G50" s="27">
        <f>IF(Config!$B$17="","",IFERROR(IF(SUMPRODUCT(MIN(((Prazos!$E$5:$E$404=Config!$B$17)*(Prazos!$J$5:$J$404&gt;0))*Prazos!$D$5:$D$404+(1-((Prazos!$E$5:$E$404=Config!$B$17)*(Prazos!$J$5:$J$404&gt;0)))*1E+10))&gt;=1E+10,"",SUMPRODUCT(MIN(((Prazos!$E$5:$E$404=Config!$B$17)*(Prazos!$J$5:$J$404&gt;0))*Prazos!$D$5:$D$404+(1-((Prazos!$E$5:$E$404=Config!$B$17)*(Prazos!$J$5:$J$404&gt;0)))*1E+10))),""))</f>
        <v/>
      </c>
      <c r="H50" s="25">
        <f>IF(Config!$B$17="","",COUNTIFS(Prazos!$E$5:$E$404,Config!$B$17,Prazos!$I$5:$I$404,"Feito"))</f>
        <v/>
      </c>
    </row>
    <row r="51">
      <c r="A51" s="26">
        <f>IF(Config!$B$18="","",Config!$B$18)</f>
        <v/>
      </c>
      <c r="B51" s="25" t="n"/>
      <c r="C51" s="25">
        <f>IF(Config!$B$18="","",COUNTIFS(Prazos!$E$5:$E$404,Config!$B$18,Prazos!$J$5:$J$404,"&gt;0")+COUNTIFS(Prazos!$E$5:$E$404,Config!$B$18,Prazos!$I$5:$I$404,"Sem data"))</f>
        <v/>
      </c>
      <c r="D51" s="25">
        <f>IF(Config!$B$18="","",COUNTIFS(Prazos!$E$5:$E$404,Config!$B$18,Prazos!$I$5:$I$404,"Atrasado"))</f>
        <v/>
      </c>
      <c r="E51" s="25">
        <f>IF(Config!$B$18="","",COUNTIFS(Prazos!$E$5:$E$404,Config!$B$18,Prazos!$I$5:$I$404,"Hoje"))</f>
        <v/>
      </c>
      <c r="F51" s="25">
        <f>IF(Config!$B$18="","",COUNTIFS(Prazos!$E$5:$E$404,Config!$B$18,Prazos!$I$5:$I$404,"Até "&amp;Config!$B$6&amp;" dias"))</f>
        <v/>
      </c>
      <c r="G51" s="27">
        <f>IF(Config!$B$18="","",IFERROR(IF(SUMPRODUCT(MIN(((Prazos!$E$5:$E$404=Config!$B$18)*(Prazos!$J$5:$J$404&gt;0))*Prazos!$D$5:$D$404+(1-((Prazos!$E$5:$E$404=Config!$B$18)*(Prazos!$J$5:$J$404&gt;0)))*1E+10))&gt;=1E+10,"",SUMPRODUCT(MIN(((Prazos!$E$5:$E$404=Config!$B$18)*(Prazos!$J$5:$J$404&gt;0))*Prazos!$D$5:$D$404+(1-((Prazos!$E$5:$E$404=Config!$B$18)*(Prazos!$J$5:$J$404&gt;0)))*1E+10))),""))</f>
        <v/>
      </c>
      <c r="H51" s="25">
        <f>IF(Config!$B$18="","",COUNTIFS(Prazos!$E$5:$E$404,Config!$B$18,Prazos!$I$5:$I$404,"Feito"))</f>
        <v/>
      </c>
    </row>
    <row r="52">
      <c r="A52" s="26">
        <f>IF(Config!$B$19="","",Config!$B$19)</f>
        <v/>
      </c>
      <c r="B52" s="25" t="n"/>
      <c r="C52" s="25">
        <f>IF(Config!$B$19="","",COUNTIFS(Prazos!$E$5:$E$404,Config!$B$19,Prazos!$J$5:$J$404,"&gt;0")+COUNTIFS(Prazos!$E$5:$E$404,Config!$B$19,Prazos!$I$5:$I$404,"Sem data"))</f>
        <v/>
      </c>
      <c r="D52" s="25">
        <f>IF(Config!$B$19="","",COUNTIFS(Prazos!$E$5:$E$404,Config!$B$19,Prazos!$I$5:$I$404,"Atrasado"))</f>
        <v/>
      </c>
      <c r="E52" s="25">
        <f>IF(Config!$B$19="","",COUNTIFS(Prazos!$E$5:$E$404,Config!$B$19,Prazos!$I$5:$I$404,"Hoje"))</f>
        <v/>
      </c>
      <c r="F52" s="25">
        <f>IF(Config!$B$19="","",COUNTIFS(Prazos!$E$5:$E$404,Config!$B$19,Prazos!$I$5:$I$404,"Até "&amp;Config!$B$6&amp;" dias"))</f>
        <v/>
      </c>
      <c r="G52" s="27">
        <f>IF(Config!$B$19="","",IFERROR(IF(SUMPRODUCT(MIN(((Prazos!$E$5:$E$404=Config!$B$19)*(Prazos!$J$5:$J$404&gt;0))*Prazos!$D$5:$D$404+(1-((Prazos!$E$5:$E$404=Config!$B$19)*(Prazos!$J$5:$J$404&gt;0)))*1E+10))&gt;=1E+10,"",SUMPRODUCT(MIN(((Prazos!$E$5:$E$404=Config!$B$19)*(Prazos!$J$5:$J$404&gt;0))*Prazos!$D$5:$D$404+(1-((Prazos!$E$5:$E$404=Config!$B$19)*(Prazos!$J$5:$J$404&gt;0)))*1E+10))),""))</f>
        <v/>
      </c>
      <c r="H52" s="25">
        <f>IF(Config!$B$19="","",COUNTIFS(Prazos!$E$5:$E$404,Config!$B$19,Prazos!$I$5:$I$404,"Feito"))</f>
        <v/>
      </c>
    </row>
    <row r="53">
      <c r="A53" s="23" t="inlineStr">
        <is>
          <t>Prazos sem responsável não entram nesta tabela: confira na aba Prazos, filtrando a coluna Responsável por vazio.</t>
        </is>
      </c>
    </row>
    <row r="56">
      <c r="A56" s="22" t="inlineStr">
        <is>
          <t>Próximos 7 dias, dia a dia</t>
        </is>
      </c>
    </row>
    <row r="57" ht="26" customHeight="1">
      <c r="A57" s="24" t="inlineStr">
        <is>
          <t>Dia</t>
        </is>
      </c>
      <c r="B57" s="24" t="n"/>
      <c r="C57" s="24" t="inlineStr">
        <is>
          <t>Data</t>
        </is>
      </c>
      <c r="D57" s="24" t="inlineStr">
        <is>
          <t>Prazos abertos</t>
        </is>
      </c>
      <c r="E57" s="24" t="str">
        <f>IF(Config!$B$10="","",Config!$B$10)</f>
        <v>Marina Ferraz</v>
      </c>
      <c r="F57" s="24" t="str">
        <f>IF(Config!$B$11="","",Config!$B$11)</f>
        <v>Rafael Lima</v>
      </c>
      <c r="G57" s="24" t="str">
        <f>IF(Config!$B$12="","",Config!$B$12)</f>
        <v>Júlia Prado</v>
      </c>
    </row>
    <row r="58">
      <c r="A58" s="25" t="str">
        <f>CHOOSE(WEEKDAY(C58),"domingo","segunda","terça","quarta","quinta","sexta","sábado")</f>
        <v>segunda</v>
      </c>
      <c r="B58" s="25" t="n"/>
      <c r="C58" s="27">
        <f>Config!$B$5+0</f>
        <v>46279.0</v>
      </c>
      <c r="D58" s="25">
        <f>COUNTIFS(Prazos!$D$5:$D$404,C58,Prazos!$F$5:$F$404,"&lt;&gt;Sim")</f>
        <v>3</v>
      </c>
      <c r="E58" s="25">
        <f>IF(Config!$B$10="","",COUNTIFS(Prazos!$D$5:$D$404,C58,Prazos!$F$5:$F$404,"&lt;&gt;Sim",Prazos!$E$5:$E$404,Config!$B$10))</f>
        <v>2</v>
      </c>
      <c r="F58" s="25">
        <f>IF(Config!$B$11="","",COUNTIFS(Prazos!$D$5:$D$404,C58,Prazos!$F$5:$F$404,"&lt;&gt;Sim",Prazos!$E$5:$E$404,Config!$B$11))</f>
        <v>1</v>
      </c>
      <c r="G58" s="25">
        <f>IF(Config!$B$12="","",COUNTIFS(Prazos!$D$5:$D$404,C58,Prazos!$F$5:$F$404,"&lt;&gt;Sim",Prazos!$E$5:$E$404,Config!$B$12))</f>
        <v>0</v>
      </c>
    </row>
    <row r="59">
      <c r="A59" s="25" t="str">
        <f>CHOOSE(WEEKDAY(C59),"domingo","segunda","terça","quarta","quinta","sexta","sábado")</f>
        <v>terça</v>
      </c>
      <c r="B59" s="25" t="n"/>
      <c r="C59" s="27">
        <f>Config!$B$5+1</f>
        <v>46280.0</v>
      </c>
      <c r="D59" s="25">
        <f>COUNTIFS(Prazos!$D$5:$D$404,C59,Prazos!$F$5:$F$404,"&lt;&gt;Sim")</f>
        <v>2</v>
      </c>
      <c r="E59" s="25">
        <f>IF(Config!$B$10="","",COUNTIFS(Prazos!$D$5:$D$404,C59,Prazos!$F$5:$F$404,"&lt;&gt;Sim",Prazos!$E$5:$E$404,Config!$B$10))</f>
        <v>0</v>
      </c>
      <c r="F59" s="25">
        <f>IF(Config!$B$11="","",COUNTIFS(Prazos!$D$5:$D$404,C59,Prazos!$F$5:$F$404,"&lt;&gt;Sim",Prazos!$E$5:$E$404,Config!$B$11))</f>
        <v>2</v>
      </c>
      <c r="G59" s="25">
        <f>IF(Config!$B$12="","",COUNTIFS(Prazos!$D$5:$D$404,C59,Prazos!$F$5:$F$404,"&lt;&gt;Sim",Prazos!$E$5:$E$404,Config!$B$12))</f>
        <v>0</v>
      </c>
    </row>
    <row r="60">
      <c r="A60" s="25" t="str">
        <f>CHOOSE(WEEKDAY(C60),"domingo","segunda","terça","quarta","quinta","sexta","sábado")</f>
        <v>quarta</v>
      </c>
      <c r="B60" s="25" t="n"/>
      <c r="C60" s="27">
        <f>Config!$B$5+2</f>
        <v>46281.0</v>
      </c>
      <c r="D60" s="25">
        <f>COUNTIFS(Prazos!$D$5:$D$404,C60,Prazos!$F$5:$F$404,"&lt;&gt;Sim")</f>
        <v>2</v>
      </c>
      <c r="E60" s="25">
        <f>IF(Config!$B$10="","",COUNTIFS(Prazos!$D$5:$D$404,C60,Prazos!$F$5:$F$404,"&lt;&gt;Sim",Prazos!$E$5:$E$404,Config!$B$10))</f>
        <v>1</v>
      </c>
      <c r="F60" s="25">
        <f>IF(Config!$B$11="","",COUNTIFS(Prazos!$D$5:$D$404,C60,Prazos!$F$5:$F$404,"&lt;&gt;Sim",Prazos!$E$5:$E$404,Config!$B$11))</f>
        <v>1</v>
      </c>
      <c r="G60" s="25">
        <f>IF(Config!$B$12="","",COUNTIFS(Prazos!$D$5:$D$404,C60,Prazos!$F$5:$F$404,"&lt;&gt;Sim",Prazos!$E$5:$E$404,Config!$B$12))</f>
        <v>0</v>
      </c>
    </row>
    <row r="61">
      <c r="A61" s="25" t="str">
        <f>CHOOSE(WEEKDAY(C61),"domingo","segunda","terça","quarta","quinta","sexta","sábado")</f>
        <v>quinta</v>
      </c>
      <c r="B61" s="25" t="n"/>
      <c r="C61" s="27">
        <f>Config!$B$5+3</f>
        <v>46282.0</v>
      </c>
      <c r="D61" s="25">
        <f>COUNTIFS(Prazos!$D$5:$D$404,C61,Prazos!$F$5:$F$404,"&lt;&gt;Sim")</f>
        <v>2</v>
      </c>
      <c r="E61" s="25">
        <f>IF(Config!$B$10="","",COUNTIFS(Prazos!$D$5:$D$404,C61,Prazos!$F$5:$F$404,"&lt;&gt;Sim",Prazos!$E$5:$E$404,Config!$B$10))</f>
        <v>1</v>
      </c>
      <c r="F61" s="25">
        <f>IF(Config!$B$11="","",COUNTIFS(Prazos!$D$5:$D$404,C61,Prazos!$F$5:$F$404,"&lt;&gt;Sim",Prazos!$E$5:$E$404,Config!$B$11))</f>
        <v>1</v>
      </c>
      <c r="G61" s="25">
        <f>IF(Config!$B$12="","",COUNTIFS(Prazos!$D$5:$D$404,C61,Prazos!$F$5:$F$404,"&lt;&gt;Sim",Prazos!$E$5:$E$404,Config!$B$12))</f>
        <v>0</v>
      </c>
    </row>
    <row r="62">
      <c r="A62" s="25" t="str">
        <f>CHOOSE(WEEKDAY(C62),"domingo","segunda","terça","quarta","quinta","sexta","sábado")</f>
        <v>sexta</v>
      </c>
      <c r="B62" s="25" t="n"/>
      <c r="C62" s="27">
        <f>Config!$B$5+4</f>
        <v>46283.0</v>
      </c>
      <c r="D62" s="25">
        <f>COUNTIFS(Prazos!$D$5:$D$404,C62,Prazos!$F$5:$F$404,"&lt;&gt;Sim")</f>
        <v>2</v>
      </c>
      <c r="E62" s="25">
        <f>IF(Config!$B$10="","",COUNTIFS(Prazos!$D$5:$D$404,C62,Prazos!$F$5:$F$404,"&lt;&gt;Sim",Prazos!$E$5:$E$404,Config!$B$10))</f>
        <v>1</v>
      </c>
      <c r="F62" s="25">
        <f>IF(Config!$B$11="","",COUNTIFS(Prazos!$D$5:$D$404,C62,Prazos!$F$5:$F$404,"&lt;&gt;Sim",Prazos!$E$5:$E$404,Config!$B$11))</f>
        <v>1</v>
      </c>
      <c r="G62" s="25">
        <f>IF(Config!$B$12="","",COUNTIFS(Prazos!$D$5:$D$404,C62,Prazos!$F$5:$F$404,"&lt;&gt;Sim",Prazos!$E$5:$E$404,Config!$B$12))</f>
        <v>0</v>
      </c>
    </row>
    <row r="63">
      <c r="A63" s="25" t="str">
        <f>CHOOSE(WEEKDAY(C63),"domingo","segunda","terça","quarta","quinta","sexta","sábado")</f>
        <v>sábado</v>
      </c>
      <c r="B63" s="25" t="n"/>
      <c r="C63" s="27">
        <f>Config!$B$5+5</f>
        <v>46284.0</v>
      </c>
      <c r="D63" s="25">
        <f>COUNTIFS(Prazos!$D$5:$D$404,C63,Prazos!$F$5:$F$404,"&lt;&gt;Sim")</f>
        <v>2</v>
      </c>
      <c r="E63" s="25">
        <f>IF(Config!$B$10="","",COUNTIFS(Prazos!$D$5:$D$404,C63,Prazos!$F$5:$F$404,"&lt;&gt;Sim",Prazos!$E$5:$E$404,Config!$B$10))</f>
        <v>1</v>
      </c>
      <c r="F63" s="25">
        <f>IF(Config!$B$11="","",COUNTIFS(Prazos!$D$5:$D$404,C63,Prazos!$F$5:$F$404,"&lt;&gt;Sim",Prazos!$E$5:$E$404,Config!$B$11))</f>
        <v>0</v>
      </c>
      <c r="G63" s="25">
        <f>IF(Config!$B$12="","",COUNTIFS(Prazos!$D$5:$D$404,C63,Prazos!$F$5:$F$404,"&lt;&gt;Sim",Prazos!$E$5:$E$404,Config!$B$12))</f>
        <v>1</v>
      </c>
    </row>
    <row r="64">
      <c r="A64" s="25" t="str">
        <f>CHOOSE(WEEKDAY(C64),"domingo","segunda","terça","quarta","quinta","sexta","sábado")</f>
        <v>domingo</v>
      </c>
      <c r="B64" s="25" t="n"/>
      <c r="C64" s="27">
        <f>Config!$B$5+6</f>
        <v>46285.0</v>
      </c>
      <c r="D64" s="25">
        <f>COUNTIFS(Prazos!$D$5:$D$404,C64,Prazos!$F$5:$F$404,"&lt;&gt;Sim")</f>
        <v>1</v>
      </c>
      <c r="E64" s="25">
        <f>IF(Config!$B$10="","",COUNTIFS(Prazos!$D$5:$D$404,C64,Prazos!$F$5:$F$404,"&lt;&gt;Sim",Prazos!$E$5:$E$404,Config!$B$10))</f>
        <v>0</v>
      </c>
      <c r="F64" s="25">
        <f>IF(Config!$B$11="","",COUNTIFS(Prazos!$D$5:$D$404,C64,Prazos!$F$5:$F$404,"&lt;&gt;Sim",Prazos!$E$5:$E$404,Config!$B$11))</f>
        <v>0</v>
      </c>
      <c r="G64" s="25">
        <f>IF(Config!$B$12="","",COUNTIFS(Prazos!$D$5:$D$404,C64,Prazos!$F$5:$F$404,"&lt;&gt;Sim",Prazos!$E$5:$E$404,Config!$B$12))</f>
        <v>1</v>
      </c>
    </row>
    <row r="65">
      <c r="A65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48:B48"/>
    <mergeCell ref="A64:B64"/>
    <mergeCell ref="A59:B59"/>
    <mergeCell ref="A60:B60"/>
    <mergeCell ref="A49:B49"/>
    <mergeCell ref="A51:B51"/>
    <mergeCell ref="C5:D5"/>
    <mergeCell ref="A45:B45"/>
    <mergeCell ref="E5:F5"/>
    <mergeCell ref="K5:L5"/>
    <mergeCell ref="A61:B61"/>
    <mergeCell ref="C4:D4"/>
    <mergeCell ref="A2:L2"/>
    <mergeCell ref="E4:F4"/>
    <mergeCell ref="A46:B46"/>
    <mergeCell ref="A8:L8"/>
    <mergeCell ref="A50:B50"/>
    <mergeCell ref="A57:B57"/>
    <mergeCell ref="A47:B47"/>
    <mergeCell ref="A5:B5"/>
    <mergeCell ref="G5:H5"/>
    <mergeCell ref="A42:B42"/>
    <mergeCell ref="I5:J5"/>
    <mergeCell ref="A4:B4"/>
    <mergeCell ref="G4:H4"/>
    <mergeCell ref="A62:B62"/>
    <mergeCell ref="I4:J4"/>
    <mergeCell ref="A52:B52"/>
    <mergeCell ref="A43:B43"/>
    <mergeCell ref="A63:B63"/>
    <mergeCell ref="A1:L1"/>
    <mergeCell ref="A44:B44"/>
    <mergeCell ref="K4:L4"/>
    <mergeCell ref="A58:B58"/>
  </mergeCells>
  <conditionalFormatting sqref="A10:H39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43:D52">
    <cfRule type="expression" priority="4" dxfId="3">
      <formula>AND(ISNUMBER(D43),D43&gt;0)</formula>
    </cfRule>
  </conditionalFormatting>
  <conditionalFormatting sqref="A58:G64">
    <cfRule type="expression" priority="5" dxfId="4">
      <formula>$D58&gt;0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3" t="inlineStr">
        <is>
          <t>Deixe =HOJE() para acompanhar o dia; troque por uma data para simular outro dia.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Embargos de declaração</t>
        </is>
      </c>
    </row>
    <row r="17">
      <c r="B17" s="31" t="n"/>
      <c r="D17" s="31" t="inlineStr">
        <is>
          <t>Recurso de apelação</t>
        </is>
      </c>
    </row>
    <row r="18">
      <c r="B18" s="31" t="n"/>
      <c r="D18" s="31" t="inlineStr">
        <is>
          <t>Contrarrazões</t>
        </is>
      </c>
    </row>
    <row r="19">
      <c r="B19" s="31" t="n"/>
      <c r="D19" s="31" t="inlineStr">
        <is>
          <t>Manifestação sobre o recurso</t>
        </is>
      </c>
    </row>
    <row r="20">
      <c r="D20" s="31" t="inlineStr">
        <is>
          <t>Cumprimento de sentença</t>
        </is>
      </c>
    </row>
    <row r="21">
      <c r="D21" s="31" t="inlineStr">
        <is>
          <t>Manifestação sobre a penhora</t>
        </is>
      </c>
    </row>
    <row r="22">
      <c r="D22" s="31" t="inlineStr">
        <is>
          <t>Impugnação</t>
        </is>
      </c>
    </row>
    <row r="23">
      <c r="D23" s="31" t="inlineStr">
        <is>
          <t>Minuta de acordo</t>
        </is>
      </c>
    </row>
    <row r="24">
      <c r="D24" s="31" t="inlineStr">
        <is>
          <t>Homologação do acordo</t>
        </is>
      </c>
    </row>
    <row r="25">
      <c r="D25" s="31" t="inlineStr">
        <is>
          <t>Entrega de parecer</t>
        </is>
      </c>
    </row>
    <row r="26">
      <c r="D26" s="31" t="inlineStr">
        <is>
          <t>Juntada de documentos</t>
        </is>
      </c>
    </row>
    <row r="27">
      <c r="D27" s="31" t="inlineStr">
        <is>
          <t>Reunião com cliente</t>
        </is>
      </c>
    </row>
    <row r="28">
      <c r="D28" s="31" t="inlineStr">
        <is>
          <t>Prazo interno</t>
        </is>
      </c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  <row r="33">
      <c r="A33" s="23" t="inlineStr">
        <is>
          <t>No exemplo, a estagiária (Júlia Prado) responde pelos prazos de juntada de documentos; o caso continua com o sócio responsável (por isso ela tem prazos aqui e nenhum caso nas planilhas 02, 04 e 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 ht="28" customHeight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CONS-2026-01</t>
        </is>
      </c>
      <c r="B5" s="31" t="inlineStr">
        <is>
          <t>Padaria do Sol Ltda</t>
        </is>
      </c>
      <c r="C5" s="33" t="inlineStr">
        <is>
          <t>Reunião com cliente</t>
        </is>
      </c>
      <c r="D5" s="34" t="n">
        <v>46288</v>
      </c>
      <c r="E5" s="33" t="inlineStr">
        <is>
          <t>Marina Ferraz</t>
        </is>
      </c>
      <c r="F5" s="33" t="n"/>
      <c r="G5" s="31" t="inlineStr">
        <is>
          <t>Reunião mensal da assessoria</t>
        </is>
      </c>
      <c r="H5" s="28">
        <f>IF(OR(I5="",I5="Feito",I5="Sem data"),"",D5-Config!$B$5)</f>
        <v>9</v>
      </c>
      <c r="I5" s="25" t="str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>Até 30 dias</v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>990.99995</v>
      </c>
    </row>
    <row r="6">
      <c r="A6" s="31" t="inlineStr">
        <is>
          <t>2998500-50.2026.8.26.0515</t>
        </is>
      </c>
      <c r="B6" s="31" t="inlineStr">
        <is>
          <t>Ana Beatriz Moreira</t>
        </is>
      </c>
      <c r="C6" s="33" t="inlineStr">
        <is>
          <t>Audiência de conciliação</t>
        </is>
      </c>
      <c r="D6" s="34" t="n">
        <v>46281</v>
      </c>
      <c r="E6" s="33" t="inlineStr">
        <is>
          <t>Rafael Lima</t>
        </is>
      </c>
      <c r="F6" s="33" t="n"/>
      <c r="G6" s="31" t="inlineStr">
        <is>
          <t>Cliente confirmou presença</t>
        </is>
      </c>
      <c r="H6" s="28">
        <f>IF(OR(I6="",I6="Feito",I6="Sem data"),"",D6-Config!$B$5)</f>
        <v>2</v>
      </c>
      <c r="I6" s="25" t="str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>Até 7 dias</v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>1997.99994</v>
      </c>
    </row>
    <row r="7">
      <c r="A7" s="31" t="inlineStr">
        <is>
          <t>9586960-92.2026.8.26.0106</t>
        </is>
      </c>
      <c r="B7" s="31" t="inlineStr">
        <is>
          <t>Construtora Horizonte</t>
        </is>
      </c>
      <c r="C7" s="33" t="inlineStr">
        <is>
          <t>Réplica</t>
        </is>
      </c>
      <c r="D7" s="34" t="n">
        <v>46276</v>
      </c>
      <c r="E7" s="33" t="inlineStr">
        <is>
          <t>Marina Ferraz</t>
        </is>
      </c>
      <c r="F7" s="33" t="n"/>
      <c r="G7" s="31" t="inlineStr">
        <is>
          <t>Confirmar com o cliente ainda hoje</t>
        </is>
      </c>
      <c r="H7" s="28">
        <f>IF(OR(I7="",I7="Feito",I7="Sem data"),"",D7-Config!$B$5)</f>
        <v>-3</v>
      </c>
      <c r="I7" s="25" t="str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>Atrasado</v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>3002.99993</v>
      </c>
    </row>
    <row r="8">
      <c r="A8" s="31" t="inlineStr">
        <is>
          <t>4746093-86.2026.8.26.0637</t>
        </is>
      </c>
      <c r="B8" s="31" t="inlineStr">
        <is>
          <t>Carlos Eduardo Nunes</t>
        </is>
      </c>
      <c r="C8" s="33" t="inlineStr">
        <is>
          <t>Juntada de documentos</t>
        </is>
      </c>
      <c r="D8" s="34" t="n">
        <v>46285</v>
      </c>
      <c r="E8" s="33" t="inlineStr">
        <is>
          <t>Júlia Prado</t>
        </is>
      </c>
      <c r="F8" s="33" t="n"/>
      <c r="G8" s="31" t="inlineStr">
        <is>
          <t>Pedir 2 comprovantes ao cliente</t>
        </is>
      </c>
      <c r="H8" s="28">
        <f>IF(OR(I8="",I8="Feito",I8="Sem data"),"",D8-Config!$B$5)</f>
        <v>6</v>
      </c>
      <c r="I8" s="25" t="str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>Até 7 dias</v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>1993.99992</v>
      </c>
    </row>
    <row r="9">
      <c r="A9" s="31" t="inlineStr">
        <is>
          <t>CONS-2026-02</t>
        </is>
      </c>
      <c r="B9" s="31" t="inlineStr">
        <is>
          <t>Loja Verde Comércio</t>
        </is>
      </c>
      <c r="C9" s="33" t="inlineStr">
        <is>
          <t>Entrega de parecer</t>
        </is>
      </c>
      <c r="D9" s="34" t="n">
        <v>46283</v>
      </c>
      <c r="E9" s="33" t="inlineStr">
        <is>
          <t>Marina Ferraz</t>
        </is>
      </c>
      <c r="F9" s="33" t="n"/>
      <c r="G9" s="31" t="inlineStr">
        <is>
          <t>Rascunho começado</t>
        </is>
      </c>
      <c r="H9" s="28">
        <f>IF(OR(I9="",I9="Feito",I9="Sem data"),"",D9-Config!$B$5)</f>
        <v>4</v>
      </c>
      <c r="I9" s="25" t="str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>Até 7 dias</v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>1995.99991</v>
      </c>
    </row>
    <row r="10">
      <c r="A10" s="31" t="inlineStr">
        <is>
          <t>CONS-2026-03</t>
        </is>
      </c>
      <c r="B10" s="31" t="inlineStr">
        <is>
          <t>Marcos Vinícius Teles</t>
        </is>
      </c>
      <c r="C10" s="33" t="inlineStr">
        <is>
          <t>Entrega de parecer</t>
        </is>
      </c>
      <c r="D10" s="34" t="n">
        <v>46279</v>
      </c>
      <c r="E10" s="33" t="inlineStr">
        <is>
          <t>Rafael Lima</t>
        </is>
      </c>
      <c r="F10" s="33" t="n"/>
      <c r="G10" s="31" t="inlineStr">
        <is>
          <t>Parecer revisado; enviar hoje</t>
        </is>
      </c>
      <c r="H10" s="28">
        <f>IF(OR(I10="",I10="Feito",I10="Sem data"),"",D10-Config!$B$5)</f>
        <v>0</v>
      </c>
      <c r="I10" s="25" t="str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>Hoje</v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>2499.9999</v>
      </c>
    </row>
    <row r="11">
      <c r="A11" s="31" t="inlineStr">
        <is>
          <t>CONS-2026-04</t>
        </is>
      </c>
      <c r="B11" s="31" t="inlineStr">
        <is>
          <t>Escola Aurora</t>
        </is>
      </c>
      <c r="C11" s="33" t="inlineStr">
        <is>
          <t>Reunião com cliente</t>
        </is>
      </c>
      <c r="D11" s="34" t="n">
        <v>46282</v>
      </c>
      <c r="E11" s="33" t="inlineStr">
        <is>
          <t>Marina Ferraz</t>
        </is>
      </c>
      <c r="F11" s="33" t="n"/>
      <c r="G11" s="31" t="inlineStr">
        <is>
          <t>Reunião mensal da assessoria</t>
        </is>
      </c>
      <c r="H11" s="28">
        <f>IF(OR(I11="",I11="Feito",I11="Sem data"),"",D11-Config!$B$5)</f>
        <v>3</v>
      </c>
      <c r="I11" s="25" t="str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>Até 7 dias</v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>1996.99989</v>
      </c>
    </row>
    <row r="12">
      <c r="A12" s="31" t="inlineStr">
        <is>
          <t>8056747-83.2026.8.26.0561</t>
        </is>
      </c>
      <c r="B12" s="31" t="inlineStr">
        <is>
          <t>Bistrô 42</t>
        </is>
      </c>
      <c r="C12" s="33" t="inlineStr">
        <is>
          <t>Audiência de instrução</t>
        </is>
      </c>
      <c r="D12" s="34" t="n">
        <v>46288</v>
      </c>
      <c r="E12" s="33" t="inlineStr">
        <is>
          <t>Rafael Lima</t>
        </is>
      </c>
      <c r="F12" s="33" t="n"/>
      <c r="G12" s="31" t="inlineStr">
        <is>
          <t>Sala 3, 14h; testemunha avisada</t>
        </is>
      </c>
      <c r="H12" s="28">
        <f>IF(OR(I12="",I12="Feito",I12="Sem data"),"",D12-Config!$B$5)</f>
        <v>9</v>
      </c>
      <c r="I12" s="25" t="str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>Até 30 dias</v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>990.99988</v>
      </c>
    </row>
    <row r="13">
      <c r="A13" s="31" t="inlineStr">
        <is>
          <t>9236009-85.2025.8.26.0452</t>
        </is>
      </c>
      <c r="B13" s="31" t="inlineStr">
        <is>
          <t>Bistrô 42</t>
        </is>
      </c>
      <c r="C13" s="33" t="inlineStr">
        <is>
          <t>Cumprimento de sentença</t>
        </is>
      </c>
      <c r="D13" s="34" t="n">
        <v>46294</v>
      </c>
      <c r="E13" s="33" t="inlineStr">
        <is>
          <t>Rafael Lima</t>
        </is>
      </c>
      <c r="F13" s="33" t="n"/>
      <c r="G13" s="31" t="n"/>
      <c r="H13" s="28">
        <f>IF(OR(I13="",I13="Feito",I13="Sem data"),"",D13-Config!$B$5)</f>
        <v>15</v>
      </c>
      <c r="I13" s="25" t="str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>Até 30 dias</v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>984.99987</v>
      </c>
    </row>
    <row r="14">
      <c r="A14" s="31" t="inlineStr">
        <is>
          <t>5025425-10.2025.8.26.0629</t>
        </is>
      </c>
      <c r="B14" s="31" t="inlineStr">
        <is>
          <t>Roberto Almeida</t>
        </is>
      </c>
      <c r="C14" s="33" t="inlineStr">
        <is>
          <t>Embargos de declaração</t>
        </is>
      </c>
      <c r="D14" s="34" t="n">
        <v>46278</v>
      </c>
      <c r="E14" s="33" t="inlineStr">
        <is>
          <t>Marina Ferraz</t>
        </is>
      </c>
      <c r="F14" s="33" t="n"/>
      <c r="G14" s="31" t="inlineStr">
        <is>
          <t>Minuta pronta; protocolar hoje</t>
        </is>
      </c>
      <c r="H14" s="28">
        <f>IF(OR(I14="",I14="Feito",I14="Sem data"),"",D14-Config!$B$5)</f>
        <v>-1</v>
      </c>
      <c r="I14" s="25" t="str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>Atrasado</v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>3000.99986</v>
      </c>
    </row>
    <row r="15">
      <c r="A15" s="31" t="inlineStr">
        <is>
          <t>2354318-24.2026.8.26.0295</t>
        </is>
      </c>
      <c r="B15" s="31" t="inlineStr">
        <is>
          <t>Roberto Almeida</t>
        </is>
      </c>
      <c r="C15" s="33" t="inlineStr">
        <is>
          <t>Contrarrazões</t>
        </is>
      </c>
      <c r="D15" s="34" t="n">
        <v>46287</v>
      </c>
      <c r="E15" s="33" t="inlineStr">
        <is>
          <t>Marina Ferraz</t>
        </is>
      </c>
      <c r="F15" s="33" t="n"/>
      <c r="G15" s="31" t="n"/>
      <c r="H15" s="28">
        <f>IF(OR(I15="",I15="Feito",I15="Sem data"),"",D15-Config!$B$5)</f>
        <v>8</v>
      </c>
      <c r="I15" s="25" t="str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>Até 30 dias</v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>991.99985</v>
      </c>
    </row>
    <row r="16">
      <c r="A16" s="31" t="inlineStr">
        <is>
          <t>CONS-2025-05</t>
        </is>
      </c>
      <c r="B16" s="31" t="inlineStr">
        <is>
          <t>Clínica Bem-Estar</t>
        </is>
      </c>
      <c r="C16" s="33" t="inlineStr">
        <is>
          <t>Reunião com cliente</t>
        </is>
      </c>
      <c r="D16" s="34" t="n">
        <v>46284</v>
      </c>
      <c r="E16" s="33" t="inlineStr">
        <is>
          <t>Marina Ferraz</t>
        </is>
      </c>
      <c r="F16" s="33" t="n"/>
      <c r="G16" s="31" t="inlineStr">
        <is>
          <t>Revisão semestral do contrato</t>
        </is>
      </c>
      <c r="H16" s="28">
        <f>IF(OR(I16="",I16="Feito",I16="Sem data"),"",D16-Config!$B$5)</f>
        <v>5</v>
      </c>
      <c r="I16" s="25" t="str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>Até 7 dias</v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>1994.99984</v>
      </c>
    </row>
    <row r="17">
      <c r="A17" s="31" t="inlineStr">
        <is>
          <t>2645033-67.2026.8.26.0012</t>
        </is>
      </c>
      <c r="B17" s="31" t="inlineStr">
        <is>
          <t>Clínica Bem-Estar</t>
        </is>
      </c>
      <c r="C17" s="33" t="inlineStr">
        <is>
          <t>Contestação</t>
        </is>
      </c>
      <c r="D17" s="34" t="n">
        <v>46279</v>
      </c>
      <c r="E17" s="33" t="inlineStr">
        <is>
          <t>Marina Ferraz</t>
        </is>
      </c>
      <c r="F17" s="33" t="n"/>
      <c r="G17" s="31" t="inlineStr">
        <is>
          <t>Pasta separada na mesa</t>
        </is>
      </c>
      <c r="H17" s="28">
        <f>IF(OR(I17="",I17="Feito",I17="Sem data"),"",D17-Config!$B$5)</f>
        <v>0</v>
      </c>
      <c r="I17" s="25" t="str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>Hoje</v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>2499.99983</v>
      </c>
    </row>
    <row r="18">
      <c r="A18" s="31" t="inlineStr">
        <is>
          <t>9225646-96.2025.8.26.0322</t>
        </is>
      </c>
      <c r="B18" s="31" t="inlineStr">
        <is>
          <t>Transportadora Rota Sul</t>
        </is>
      </c>
      <c r="C18" s="33" t="inlineStr">
        <is>
          <t>Manifestação sobre laudo</t>
        </is>
      </c>
      <c r="D18" s="34" t="n">
        <v>46283</v>
      </c>
      <c r="E18" s="33" t="inlineStr">
        <is>
          <t>Rafael Lima</t>
        </is>
      </c>
      <c r="F18" s="33" t="n"/>
      <c r="G18" s="31" t="inlineStr">
        <is>
          <t>Levar via impressa</t>
        </is>
      </c>
      <c r="H18" s="28">
        <f>IF(OR(I18="",I18="Feito",I18="Sem data"),"",D18-Config!$B$5)</f>
        <v>4</v>
      </c>
      <c r="I18" s="25" t="str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>Até 7 dias</v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>1995.99982</v>
      </c>
    </row>
    <row r="19">
      <c r="A19" s="31" t="inlineStr">
        <is>
          <t>4526984-60.2026.8.26.0258</t>
        </is>
      </c>
      <c r="B19" s="31" t="inlineStr">
        <is>
          <t>Transportadora Rota Sul</t>
        </is>
      </c>
      <c r="C19" s="33" t="inlineStr">
        <is>
          <t>Audiência de conciliação</t>
        </is>
      </c>
      <c r="D19" s="34" t="n">
        <v>46299</v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>20</v>
      </c>
      <c r="I19" s="25" t="str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>Até 30 dias</v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>979.99981</v>
      </c>
    </row>
    <row r="20">
      <c r="A20" s="31" t="inlineStr">
        <is>
          <t>CONS-2026-06</t>
        </is>
      </c>
      <c r="B20" s="31" t="inlineStr">
        <is>
          <t>Transportadora Rota Sul</t>
        </is>
      </c>
      <c r="C20" s="33" t="inlineStr">
        <is>
          <t>Reunião com cliente</t>
        </is>
      </c>
      <c r="D20" s="34" t="n">
        <v>46274</v>
      </c>
      <c r="E20" s="33" t="inlineStr">
        <is>
          <t>Rafael Lima</t>
        </is>
      </c>
      <c r="F20" s="33" t="n"/>
      <c r="G20" s="31" t="inlineStr">
        <is>
          <t>Cliente pediu para remarcar; sem nova data</t>
        </is>
      </c>
      <c r="H20" s="28">
        <f>IF(OR(I20="",I20="Feito",I20="Sem data"),"",D20-Config!$B$5)</f>
        <v>-5</v>
      </c>
      <c r="I20" s="25" t="str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>Atrasado</v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>3004.9998</v>
      </c>
    </row>
    <row r="21">
      <c r="A21" s="31" t="inlineStr">
        <is>
          <t>6832730-55.2026.8.26.0386</t>
        </is>
      </c>
      <c r="B21" s="31" t="inlineStr">
        <is>
          <t>Patrícia Gomes</t>
        </is>
      </c>
      <c r="C21" s="33" t="inlineStr">
        <is>
          <t>Minuta de acordo</t>
        </is>
      </c>
      <c r="D21" s="34" t="n">
        <v>46279</v>
      </c>
      <c r="E21" s="33" t="inlineStr">
        <is>
          <t>Marina Ferraz</t>
        </is>
      </c>
      <c r="F21" s="33" t="n"/>
      <c r="G21" s="31" t="inlineStr">
        <is>
          <t>Enviar a minuta para a outra parte</t>
        </is>
      </c>
      <c r="H21" s="28">
        <f>IF(OR(I21="",I21="Feito",I21="Sem data"),"",D21-Config!$B$5)</f>
        <v>0</v>
      </c>
      <c r="I21" s="25" t="str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>Hoje</v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>2499.99979</v>
      </c>
    </row>
    <row r="22">
      <c r="A22" s="31" t="inlineStr">
        <is>
          <t>9616569-91.2026.8.26.0079</t>
        </is>
      </c>
      <c r="B22" s="31" t="inlineStr">
        <is>
          <t>Patrícia Gomes</t>
        </is>
      </c>
      <c r="C22" s="33" t="inlineStr">
        <is>
          <t>Impugnação</t>
        </is>
      </c>
      <c r="D22" s="34" t="n">
        <v>46277</v>
      </c>
      <c r="E22" s="33" t="inlineStr">
        <is>
          <t>Marina Ferraz</t>
        </is>
      </c>
      <c r="F22" s="33" t="n"/>
      <c r="G22" s="31" t="inlineStr">
        <is>
          <t>Aguardando documentos do cliente</t>
        </is>
      </c>
      <c r="H22" s="28">
        <f>IF(OR(I22="",I22="Feito",I22="Sem data"),"",D22-Config!$B$5)</f>
        <v>-2</v>
      </c>
      <c r="I22" s="25" t="str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>Atrasado</v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>3001.99978</v>
      </c>
    </row>
    <row r="23">
      <c r="A23" s="31" t="inlineStr">
        <is>
          <t>6710873-21.2025.8.26.0571</t>
        </is>
      </c>
      <c r="B23" s="31" t="inlineStr">
        <is>
          <t>Escola Aurora</t>
        </is>
      </c>
      <c r="C23" s="33" t="inlineStr">
        <is>
          <t>Recurso de apelação</t>
        </is>
      </c>
      <c r="D23" s="34" t="n">
        <v>46281</v>
      </c>
      <c r="E23" s="33" t="inlineStr">
        <is>
          <t>Marina Ferraz</t>
        </is>
      </c>
      <c r="F23" s="33" t="n"/>
      <c r="G23" s="31" t="inlineStr">
        <is>
          <t>Cliente decidiu recorrer</t>
        </is>
      </c>
      <c r="H23" s="28">
        <f>IF(OR(I23="",I23="Feito",I23="Sem data"),"",D23-Config!$B$5)</f>
        <v>2</v>
      </c>
      <c r="I23" s="25" t="str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>Até 7 dias</v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>1997.99977</v>
      </c>
    </row>
    <row r="24">
      <c r="A24" s="31" t="inlineStr">
        <is>
          <t>5900991-46.2026.8.26.0469</t>
        </is>
      </c>
      <c r="B24" s="31" t="inlineStr">
        <is>
          <t>José Antônio Ribeiro</t>
        </is>
      </c>
      <c r="C24" s="33" t="inlineStr">
        <is>
          <t>Manifestação sobre laudo</t>
        </is>
      </c>
      <c r="D24" s="34" t="n">
        <v>46275</v>
      </c>
      <c r="E24" s="33" t="inlineStr">
        <is>
          <t>Rafael Lima</t>
        </is>
      </c>
      <c r="F24" s="33" t="n"/>
      <c r="G24" s="31" t="inlineStr">
        <is>
          <t>Laudo recebido; rascunho começado</t>
        </is>
      </c>
      <c r="H24" s="28">
        <f>IF(OR(I24="",I24="Feito",I24="Sem data"),"",D24-Config!$B$5)</f>
        <v>-4</v>
      </c>
      <c r="I24" s="25" t="str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>Atrasado</v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>3003.99976</v>
      </c>
    </row>
    <row r="25">
      <c r="A25" s="31" t="inlineStr">
        <is>
          <t>3363714-92.2025.8.26.0592</t>
        </is>
      </c>
      <c r="B25" s="31" t="inlineStr">
        <is>
          <t>Oficina Mecânica Central</t>
        </is>
      </c>
      <c r="C25" s="33" t="inlineStr">
        <is>
          <t>Alegações finais</t>
        </is>
      </c>
      <c r="D25" s="34" t="n">
        <v>46289</v>
      </c>
      <c r="E25" s="33" t="inlineStr">
        <is>
          <t>Rafael Lima</t>
        </is>
      </c>
      <c r="F25" s="33" t="n"/>
      <c r="G25" s="31" t="n"/>
      <c r="H25" s="28">
        <f>IF(OR(I25="",I25="Feito",I25="Sem data"),"",D25-Config!$B$5)</f>
        <v>10</v>
      </c>
      <c r="I25" s="25" t="str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>Até 30 dias</v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>989.99975</v>
      </c>
    </row>
    <row r="26">
      <c r="A26" s="31" t="inlineStr">
        <is>
          <t>6184138-13.2026.8.26.0378</t>
        </is>
      </c>
      <c r="B26" s="31" t="inlineStr">
        <is>
          <t>Oficina Mecânica Central</t>
        </is>
      </c>
      <c r="C26" s="33" t="inlineStr">
        <is>
          <t>Audiência de conciliação</t>
        </is>
      </c>
      <c r="D26" s="34" t="n">
        <v>46291</v>
      </c>
      <c r="E26" s="33" t="inlineStr">
        <is>
          <t>Rafael Lima</t>
        </is>
      </c>
      <c r="F26" s="33" t="n"/>
      <c r="G26" s="31" t="n"/>
      <c r="H26" s="28">
        <f>IF(OR(I26="",I26="Feito",I26="Sem data"),"",D26-Config!$B$5)</f>
        <v>12</v>
      </c>
      <c r="I26" s="25" t="str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>Até 30 dias</v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>987.99974</v>
      </c>
    </row>
    <row r="27">
      <c r="A27" s="31" t="inlineStr">
        <is>
          <t>7099226-69.2026.8.26.0433</t>
        </is>
      </c>
      <c r="B27" s="31" t="inlineStr">
        <is>
          <t>Luciana Farias</t>
        </is>
      </c>
      <c r="C27" s="33" t="inlineStr">
        <is>
          <t>Juntada de documentos</t>
        </is>
      </c>
      <c r="D27" s="34" t="n">
        <v>46273</v>
      </c>
      <c r="E27" s="33" t="inlineStr">
        <is>
          <t>Júlia Prado</t>
        </is>
      </c>
      <c r="F27" s="33" t="n"/>
      <c r="G27" s="31" t="inlineStr">
        <is>
          <t>Pedir 2 comprovantes ao cliente</t>
        </is>
      </c>
      <c r="H27" s="28">
        <f>IF(OR(I27="",I27="Feito",I27="Sem data"),"",D27-Config!$B$5)</f>
        <v>-6</v>
      </c>
      <c r="I27" s="25" t="str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>Atrasado</v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>3005.99973</v>
      </c>
    </row>
    <row r="28">
      <c r="A28" s="31" t="inlineStr">
        <is>
          <t>2521428-61.2026.8.26.0600</t>
        </is>
      </c>
      <c r="B28" s="31" t="inlineStr">
        <is>
          <t>Luciana Farias</t>
        </is>
      </c>
      <c r="C28" s="33" t="inlineStr">
        <is>
          <t>Homologação do acordo</t>
        </is>
      </c>
      <c r="D28" s="34" t="n">
        <v>46297</v>
      </c>
      <c r="E28" s="33" t="inlineStr">
        <is>
          <t>Marina Ferraz</t>
        </is>
      </c>
      <c r="F28" s="33" t="n"/>
      <c r="G28" s="31" t="inlineStr">
        <is>
          <t>Minuta assinada; aguardando homologação</t>
        </is>
      </c>
      <c r="H28" s="28">
        <f>IF(OR(I28="",I28="Feito",I28="Sem data"),"",D28-Config!$B$5)</f>
        <v>18</v>
      </c>
      <c r="I28" s="25" t="str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>Até 30 dias</v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>981.99972</v>
      </c>
    </row>
    <row r="29">
      <c r="A29" s="31" t="inlineStr">
        <is>
          <t>9362688-24.2025.8.26.0436</t>
        </is>
      </c>
      <c r="B29" s="31" t="inlineStr">
        <is>
          <t>Agência Prisma</t>
        </is>
      </c>
      <c r="C29" s="33" t="inlineStr">
        <is>
          <t>Contrarrazões</t>
        </is>
      </c>
      <c r="D29" s="34" t="n">
        <v>46306</v>
      </c>
      <c r="E29" s="33" t="inlineStr">
        <is>
          <t>Marina Ferraz</t>
        </is>
      </c>
      <c r="F29" s="33" t="n"/>
      <c r="G29" s="31" t="n"/>
      <c r="H29" s="28">
        <f>IF(OR(I29="",I29="Feito",I29="Sem data"),"",D29-Config!$B$5)</f>
        <v>27</v>
      </c>
      <c r="I29" s="25" t="str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>Até 30 dias</v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>972.99971</v>
      </c>
    </row>
    <row r="30">
      <c r="A30" s="31" t="inlineStr">
        <is>
          <t>CONS-2026-07</t>
        </is>
      </c>
      <c r="B30" s="31" t="inlineStr">
        <is>
          <t>Agência Prisma</t>
        </is>
      </c>
      <c r="C30" s="33" t="inlineStr">
        <is>
          <t>Entrega de parecer</t>
        </is>
      </c>
      <c r="D30" s="34" t="n">
        <v>46295</v>
      </c>
      <c r="E30" s="33" t="inlineStr">
        <is>
          <t>Marina Ferraz</t>
        </is>
      </c>
      <c r="F30" s="33" t="n"/>
      <c r="G30" s="31" t="inlineStr">
        <is>
          <t>Parecer sobre o novo contrato</t>
        </is>
      </c>
      <c r="H30" s="28">
        <f>IF(OR(I30="",I30="Feito",I30="Sem data"),"",D30-Config!$B$5)</f>
        <v>16</v>
      </c>
      <c r="I30" s="25" t="str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>Até 30 dias</v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>983.9997</v>
      </c>
    </row>
    <row r="31">
      <c r="A31" s="31" t="inlineStr">
        <is>
          <t>9495290-86.2025.8.26.0503</t>
        </is>
      </c>
      <c r="B31" s="31" t="inlineStr">
        <is>
          <t>Helena Duarte</t>
        </is>
      </c>
      <c r="C31" s="33" t="inlineStr">
        <is>
          <t>Cumprimento de sentença</t>
        </is>
      </c>
      <c r="D31" s="34" t="n">
        <v>46301</v>
      </c>
      <c r="E31" s="33" t="inlineStr">
        <is>
          <t>Rafael Lima</t>
        </is>
      </c>
      <c r="F31" s="33" t="n"/>
      <c r="G31" s="31" t="n"/>
      <c r="H31" s="28">
        <f>IF(OR(I31="",I31="Feito",I31="Sem data"),"",D31-Config!$B$5)</f>
        <v>22</v>
      </c>
      <c r="I31" s="25" t="str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>Até 30 dias</v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>977.99969</v>
      </c>
    </row>
    <row r="32">
      <c r="A32" s="31" t="inlineStr">
        <is>
          <t>7679821-77.2026.8.26.0265</t>
        </is>
      </c>
      <c r="B32" s="31" t="inlineStr">
        <is>
          <t>Helena Duarte</t>
        </is>
      </c>
      <c r="C32" s="33" t="inlineStr">
        <is>
          <t>Réplica</t>
        </is>
      </c>
      <c r="D32" s="34" t="n">
        <v>46280</v>
      </c>
      <c r="E32" s="33" t="inlineStr">
        <is>
          <t>Rafael Lima</t>
        </is>
      </c>
      <c r="F32" s="33" t="n"/>
      <c r="G32" s="31" t="n"/>
      <c r="H32" s="28">
        <f>IF(OR(I32="",I32="Feito",I32="Sem data"),"",D32-Config!$B$5)</f>
        <v>1</v>
      </c>
      <c r="I32" s="25" t="str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>Até 7 dias</v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>1998.99968</v>
      </c>
    </row>
    <row r="33">
      <c r="A33" s="31" t="inlineStr">
        <is>
          <t>8045862-82.2026.8.26.0491</t>
        </is>
      </c>
      <c r="B33" s="31" t="inlineStr">
        <is>
          <t>Carlos Eduardo Nunes</t>
        </is>
      </c>
      <c r="C33" s="33" t="inlineStr">
        <is>
          <t>Embargos de declaração</t>
        </is>
      </c>
      <c r="D33" s="34" t="n">
        <v>46282</v>
      </c>
      <c r="E33" s="33" t="inlineStr">
        <is>
          <t>Rafael Lima</t>
        </is>
      </c>
      <c r="F33" s="33" t="n"/>
      <c r="G33" s="31" t="n"/>
      <c r="H33" s="28">
        <f>IF(OR(I33="",I33="Feito",I33="Sem data"),"",D33-Config!$B$5)</f>
        <v>3</v>
      </c>
      <c r="I33" s="25" t="str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>Até 7 dias</v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>1996.99967</v>
      </c>
    </row>
    <row r="34">
      <c r="A34" s="31" t="inlineStr">
        <is>
          <t>9605863-76.2026.8.26.0026</t>
        </is>
      </c>
      <c r="B34" s="31" t="inlineStr">
        <is>
          <t>Marcos Vinícius Teles</t>
        </is>
      </c>
      <c r="C34" s="33" t="inlineStr">
        <is>
          <t>Manifestação sobre o recurso</t>
        </is>
      </c>
      <c r="D34" s="34" t="n">
        <v>46278</v>
      </c>
      <c r="E34" s="33" t="inlineStr">
        <is>
          <t>Rafael Lima</t>
        </is>
      </c>
      <c r="F34" s="33" t="n"/>
      <c r="G34" s="31" t="inlineStr">
        <is>
          <t>Aguardando documentos do cliente</t>
        </is>
      </c>
      <c r="H34" s="28">
        <f>IF(OR(I34="",I34="Feito",I34="Sem data"),"",D34-Config!$B$5)</f>
        <v>-1</v>
      </c>
      <c r="I34" s="25" t="str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>Atrasado</v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>3000.99966</v>
      </c>
    </row>
    <row r="35">
      <c r="A35" s="31" t="inlineStr">
        <is>
          <t>8056747-83.2026.8.26.0561</t>
        </is>
      </c>
      <c r="B35" s="31" t="inlineStr">
        <is>
          <t>Bistrô 42</t>
        </is>
      </c>
      <c r="C35" s="33" t="inlineStr">
        <is>
          <t>Juntada de documentos</t>
        </is>
      </c>
      <c r="D35" s="34" t="n">
        <v>46284</v>
      </c>
      <c r="E35" s="33" t="inlineStr">
        <is>
          <t>Júlia Prado</t>
        </is>
      </c>
      <c r="F35" s="33" t="n"/>
      <c r="G35" s="31" t="inlineStr">
        <is>
          <t>Ata da audiência anterior</t>
        </is>
      </c>
      <c r="H35" s="28">
        <f>IF(OR(I35="",I35="Feito",I35="Sem data"),"",D35-Config!$B$5)</f>
        <v>5</v>
      </c>
      <c r="I35" s="25" t="str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>Até 7 dias</v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>1994.99965</v>
      </c>
    </row>
    <row r="36">
      <c r="A36" s="31" t="inlineStr">
        <is>
          <t>3363714-92.2025.8.26.0592</t>
        </is>
      </c>
      <c r="B36" s="31" t="inlineStr">
        <is>
          <t>Oficina Mecânica Central</t>
        </is>
      </c>
      <c r="C36" s="33" t="inlineStr">
        <is>
          <t>Reunião com cliente</t>
        </is>
      </c>
      <c r="D36" s="34" t="n">
        <v>46291</v>
      </c>
      <c r="E36" s="33" t="inlineStr">
        <is>
          <t>Rafael Lima</t>
        </is>
      </c>
      <c r="F36" s="33" t="n"/>
      <c r="G36" s="31" t="inlineStr">
        <is>
          <t>Alinhar alegações finais</t>
        </is>
      </c>
      <c r="H36" s="28">
        <f>IF(OR(I36="",I36="Feito",I36="Sem data"),"",D36-Config!$B$5)</f>
        <v>12</v>
      </c>
      <c r="I36" s="25" t="str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>Até 30 dias</v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>987.99964</v>
      </c>
    </row>
    <row r="37">
      <c r="A37" s="31" t="inlineStr">
        <is>
          <t>4526984-60.2026.8.26.0258</t>
        </is>
      </c>
      <c r="B37" s="31" t="inlineStr">
        <is>
          <t>Transportadora Rota Sul</t>
        </is>
      </c>
      <c r="C37" s="33" t="inlineStr">
        <is>
          <t>Juntada de documentos</t>
        </is>
      </c>
      <c r="D37" s="34" t="n">
        <v>46295</v>
      </c>
      <c r="E37" s="33" t="inlineStr">
        <is>
          <t>Júlia Prado</t>
        </is>
      </c>
      <c r="F37" s="33" t="n"/>
      <c r="G37" s="31" t="inlineStr">
        <is>
          <t>Procuração atualizada</t>
        </is>
      </c>
      <c r="H37" s="28">
        <f>IF(OR(I37="",I37="Feito",I37="Sem data"),"",D37-Config!$B$5)</f>
        <v>16</v>
      </c>
      <c r="I37" s="25" t="str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>Até 30 dias</v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>983.99963</v>
      </c>
    </row>
    <row r="38">
      <c r="A38" s="31" t="inlineStr">
        <is>
          <t>2998500-50.2026.8.26.0515</t>
        </is>
      </c>
      <c r="B38" s="31" t="inlineStr">
        <is>
          <t>Ana Beatriz Moreira</t>
        </is>
      </c>
      <c r="C38" s="33" t="inlineStr">
        <is>
          <t>Prazo interno</t>
        </is>
      </c>
      <c r="D38" s="34" t="n">
        <v>46280</v>
      </c>
      <c r="E38" s="33" t="inlineStr">
        <is>
          <t>Rafael Lima</t>
        </is>
      </c>
      <c r="F38" s="33" t="n"/>
      <c r="G38" s="31" t="inlineStr">
        <is>
          <t>Preparar o cliente para a audiência</t>
        </is>
      </c>
      <c r="H38" s="28">
        <f>IF(OR(I38="",I38="Feito",I38="Sem data"),"",D38-Config!$B$5)</f>
        <v>1</v>
      </c>
      <c r="I38" s="25" t="str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>Até 7 dias</v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>1998.99962</v>
      </c>
    </row>
    <row r="39">
      <c r="A39" s="31" t="inlineStr">
        <is>
          <t>9362688-24.2025.8.26.0436</t>
        </is>
      </c>
      <c r="B39" s="31" t="inlineStr">
        <is>
          <t>Agência Prisma</t>
        </is>
      </c>
      <c r="C39" s="33" t="inlineStr">
        <is>
          <t>Reunião com cliente</t>
        </is>
      </c>
      <c r="D39" s="34" t="n">
        <v>46310</v>
      </c>
      <c r="E39" s="33" t="inlineStr">
        <is>
          <t>Marina Ferraz</t>
        </is>
      </c>
      <c r="F39" s="33" t="n"/>
      <c r="G39" s="31" t="inlineStr">
        <is>
          <t>Fechar as horas do recurso</t>
        </is>
      </c>
      <c r="H39" s="28">
        <f>IF(OR(I39="",I39="Feito",I39="Sem data"),"",D39-Config!$B$5)</f>
        <v>31</v>
      </c>
      <c r="I39" s="25" t="str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>Depois</v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>468.99961</v>
      </c>
    </row>
    <row r="40">
      <c r="A40" s="31" t="inlineStr">
        <is>
          <t>CONS-2025-05</t>
        </is>
      </c>
      <c r="B40" s="31" t="inlineStr">
        <is>
          <t>Clínica Bem-Estar</t>
        </is>
      </c>
      <c r="C40" s="33" t="inlineStr">
        <is>
          <t>Juntada de documentos</t>
        </is>
      </c>
      <c r="D40" s="34" t="n">
        <v>46324</v>
      </c>
      <c r="E40" s="33" t="inlineStr">
        <is>
          <t>Júlia Prado</t>
        </is>
      </c>
      <c r="F40" s="33" t="n"/>
      <c r="G40" s="31" t="inlineStr">
        <is>
          <t>Alteração contratual na junta</t>
        </is>
      </c>
      <c r="H40" s="28">
        <f>IF(OR(I40="",I40="Feito",I40="Sem data"),"",D40-Config!$B$5)</f>
        <v>45</v>
      </c>
      <c r="I40" s="25" t="str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>Depois</v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>454.9996</v>
      </c>
    </row>
    <row r="41">
      <c r="A41" s="31" t="inlineStr">
        <is>
          <t>5025425-10.2025.8.26.0629</t>
        </is>
      </c>
      <c r="B41" s="31" t="inlineStr">
        <is>
          <t>Roberto Almeida</t>
        </is>
      </c>
      <c r="C41" s="33" t="inlineStr">
        <is>
          <t>Juntada de documentos</t>
        </is>
      </c>
      <c r="D41" s="34" t="n">
        <v>46273</v>
      </c>
      <c r="E41" s="33" t="inlineStr">
        <is>
          <t>Júlia Prado</t>
        </is>
      </c>
      <c r="F41" s="33" t="inlineStr">
        <is>
          <t>Sim</t>
        </is>
      </c>
      <c r="G41" s="31" t="inlineStr">
        <is>
          <t>Entregue no protocolo</t>
        </is>
      </c>
      <c r="H41" s="28">
        <f>IF(OR(I41="",I41="Feito",I41="Sem data"),"",D41-Config!$B$5)</f>
        <v/>
      </c>
      <c r="I41" s="25" t="str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>Feito</v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>0</v>
      </c>
    </row>
    <row r="42">
      <c r="A42" s="31" t="inlineStr">
        <is>
          <t>6832730-55.2026.8.26.0386</t>
        </is>
      </c>
      <c r="B42" s="31" t="inlineStr">
        <is>
          <t>Patrícia Gomes</t>
        </is>
      </c>
      <c r="C42" s="33" t="inlineStr">
        <is>
          <t>Reunião com cliente</t>
        </is>
      </c>
      <c r="D42" s="34" t="n">
        <v>46269</v>
      </c>
      <c r="E42" s="33" t="inlineStr">
        <is>
          <t>Marina Ferraz</t>
        </is>
      </c>
      <c r="F42" s="33" t="inlineStr">
        <is>
          <t>Sim</t>
        </is>
      </c>
      <c r="G42" s="31" t="inlineStr">
        <is>
          <t>Feita por vídeo</t>
        </is>
      </c>
      <c r="H42" s="28">
        <f>IF(OR(I42="",I42="Feito",I42="Sem data"),"",D42-Config!$B$5)</f>
        <v/>
      </c>
      <c r="I42" s="25" t="str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>Feito</v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>0</v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>0</v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>0</v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>0</v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>0</v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>0</v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>0</v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>0</v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>0</v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>0</v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>0</v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>0</v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>0</v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>0</v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>0</v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>0</v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>0</v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>0</v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>0</v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>0</v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>0</v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>0</v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>0</v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>0</v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>0</v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>0</v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>0</v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>0</v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>0</v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>0</v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>0</v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>0</v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>0</v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>0</v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>0</v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>0</v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>0</v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>0</v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>0</v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>0</v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>0</v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>0</v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>0</v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>0</v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>0</v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>0</v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>0</v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>0</v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>0</v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>0</v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>0</v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>0</v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>0</v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>0</v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>0</v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>0</v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>0</v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>0</v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>0</v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>0</v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>0</v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>0</v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>0</v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>0</v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>0</v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>0</v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>0</v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>0</v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>0</v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>0</v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>0</v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>0</v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>0</v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>0</v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>0</v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>0</v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>0</v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>0</v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>0</v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>0</v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>0</v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>0</v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>0</v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>0</v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>0</v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>0</v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>0</v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>0</v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>0</v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>0</v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>0</v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>0</v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>0</v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>0</v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>0</v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>0</v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>0</v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>0</v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>0</v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>0</v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>0</v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>0</v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>0</v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>0</v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>0</v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>0</v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>0</v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>0</v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>0</v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>0</v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>0</v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>0</v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>0</v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>0</v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>0</v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>0</v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>0</v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>0</v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>0</v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>0</v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>0</v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>0</v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>0</v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>0</v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>0</v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>0</v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>0</v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>0</v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>0</v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>0</v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>0</v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>0</v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>0</v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>0</v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>0</v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>0</v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>0</v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>0</v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>0</v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>0</v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>0</v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>0</v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>0</v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>0</v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>0</v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>0</v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>0</v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>0</v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>0</v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>0</v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>0</v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>0</v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>0</v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>0</v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>0</v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>0</v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>0</v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>0</v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>0</v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>0</v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>0</v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>0</v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>0</v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>0</v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>0</v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>0</v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>0</v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>0</v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>0</v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>0</v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>0</v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>0</v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>0</v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>0</v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>0</v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>0</v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>0</v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>0</v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>0</v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>0</v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>0</v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>0</v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>0</v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>0</v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>0</v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>0</v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>0</v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>0</v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>0</v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>0</v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>0</v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>0</v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>0</v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>0</v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>0</v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>0</v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>0</v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>0</v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>0</v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>0</v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>0</v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>0</v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>0</v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>0</v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>0</v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>0</v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>0</v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>0</v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>0</v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>0</v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>0</v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>0</v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>0</v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>0</v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>0</v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>0</v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>0</v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>0</v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>0</v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>0</v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>0</v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>0</v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>0</v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>0</v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>0</v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>0</v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>0</v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>0</v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>0</v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>0</v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>0</v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>0</v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>0</v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>0</v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>0</v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>0</v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>0</v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>0</v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>0</v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>0</v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>0</v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>0</v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>0</v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>0</v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>0</v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>0</v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>0</v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>0</v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>0</v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>0</v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>0</v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>0</v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>0</v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>0</v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>0</v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>0</v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>0</v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>0</v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>0</v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>0</v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>0</v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>0</v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>0</v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>0</v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>0</v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>0</v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>0</v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>0</v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>0</v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>0</v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>0</v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>0</v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>0</v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>0</v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>0</v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>0</v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>0</v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>0</v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>0</v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>0</v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>0</v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>0</v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>0</v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>0</v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>0</v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>0</v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>0</v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>0</v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>0</v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>0</v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>0</v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>0</v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>0</v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>0</v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>0</v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>0</v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>0</v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>0</v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>0</v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>0</v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>0</v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>0</v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>0</v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>0</v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>0</v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>0</v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>0</v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>0</v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>0</v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>0</v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>0</v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>0</v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>0</v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>0</v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>0</v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>0</v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>0</v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>0</v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>0</v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>0</v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>0</v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>0</v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>0</v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>0</v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>0</v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>0</v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>0</v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>0</v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>0</v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>0</v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>0</v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>0</v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>0</v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>0</v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>0</v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>0</v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>0</v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>0</v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>0</v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>0</v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>0</v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>0</v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>0</v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>0</v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>0</v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>0</v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>0</v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>0</v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>0</v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>0</v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>0</v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>0</v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>0</v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>0</v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>0</v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>0</v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>0</v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>0</v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>0</v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>0</v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>0</v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>0</v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J1"/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1" allowBlank="1" type="list">
      <formula1>=OFFSET(Config!$D$10,0,0,MAX(1,COUNTA(Config!$D$10:$D$29)),1)</formula1>
    </dataValidation>
    <dataValidation sqref="E5:E404" showDropDown="0" showInputMessage="0" showErrorMessage="1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2026-09-17T15:51:17Z</dcterms:created>
  <dcterms:modified xmlns:dcterms="http://purl.org/dc/terms/" xmlns:xsi="http://www.w3.org/2001/XMLSchema-instance" xsi:type="dcterms:W3CDTF">2026-09-17T15:51:17Z</dcterms:modified>
</cp:coreProperties>
</file>