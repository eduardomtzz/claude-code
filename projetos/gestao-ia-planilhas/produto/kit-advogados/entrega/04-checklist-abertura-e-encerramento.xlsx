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ecklist" sheetId="4" state="visible" r:id="rId4"/>
  </sheets>
  <definedNames>
    <definedName name="_xlnm._FilterDatabase" localSheetId="3" hidden="1">'Checklist'!$A$4:$AD$304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11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7A5AA8"/>
      </patternFill>
    </fill>
    <fill>
      <patternFill patternType="solid">
        <fgColor rgb="005B3F87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  <border/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9" fillId="7" borderId="0" applyAlignment="1" pivotButton="0" quotePrefix="0" xfId="0">
      <alignment horizontal="center"/>
    </xf>
    <xf numFmtId="0" fontId="0" fillId="7" borderId="0" pivotButton="0" quotePrefix="0" xfId="0"/>
    <xf numFmtId="0" fontId="8" fillId="8" borderId="0" applyAlignment="1" pivotButton="0" quotePrefix="0" xfId="0">
      <alignment horizontal="center"/>
    </xf>
    <xf numFmtId="0" fontId="0" fillId="8" borderId="0" pivotButton="0" quotePrefix="0" xfId="0"/>
    <xf numFmtId="0" fontId="11" fillId="9" borderId="0" applyAlignment="1" pivotButton="0" quotePrefix="0" xfId="0">
      <alignment horizontal="center"/>
    </xf>
    <xf numFmtId="0" fontId="0" fillId="9" borderId="0" pivotButton="0" quotePrefix="0" xfId="0"/>
    <xf numFmtId="3" fontId="1" fillId="6" borderId="0" applyAlignment="1" pivotButton="0" quotePrefix="0" xfId="0">
      <alignment horizontal="center"/>
    </xf>
    <xf numFmtId="3" fontId="10" fillId="7" borderId="0" applyAlignment="1" pivotButton="0" quotePrefix="0" xfId="0">
      <alignment horizontal="center"/>
    </xf>
    <xf numFmtId="3" fontId="1" fillId="8" borderId="0" applyAlignment="1" pivotButton="0" quotePrefix="0" xfId="0">
      <alignment horizontal="center"/>
    </xf>
    <xf numFmtId="3" fontId="12" fillId="9" borderId="0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10" borderId="5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ont>
        <name val="Arial"/>
        <color rgb="00B0A6C4"/>
        <sz val="10"/>
      </font>
      <fill>
        <patternFill patternType="solid">
          <fgColor rgb="00F2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Checklist de abertura e encerramento de caso</t>
        </is>
      </c>
    </row>
    <row r="2">
      <c r="A2" s="2" t="inlineStr">
        <is>
          <t>Kit de Gestão para Advogados · Seu Sócio Gestor · versão 1.0 (setembro de 2026)</t>
        </is>
      </c>
    </row>
    <row r="3"/>
    <row r="4" ht="46" customHeight="1">
      <c r="A4" s="3" t="inlineStr">
        <is>
          <t>O que esta planilha faz</t>
        </is>
      </c>
      <c r="B4" s="4" t="inlineStr">
        <is>
          <t>Para cada caso, marca os itens administrativos que precisam estar em ordem na abertura (contrato, procuração, documentos, honorário, cadastro no caixa) e no encerramento (última parcela, arquivo, devolução, avaliação). Calcula o % concluído por caso e mostra no Painel quem está com pendência.</t>
        </is>
      </c>
    </row>
    <row r="5" ht="46" customHeight="1">
      <c r="A5" s="3" t="inlineStr">
        <is>
          <t>Passo 1</t>
        </is>
      </c>
      <c r="B5" s="4" t="inlineStr">
        <is>
          <t>Em Config, ajuste os itens de abertura e de encerramento ao jeito do escritório e cadastre os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Checklist, apague os exemplos e cadastre uma linha por caso (número, cliente e responsável copiados da planilha 13 · Carteira, que é a fonte do cadastro). Em cada item, marque Sim, Não ou N/A (não se aplica). Vazio conta como pendente, de propósito: caso novo começa com tudo pendente.</t>
        </is>
      </c>
    </row>
    <row r="7" ht="46" customHeight="1">
      <c r="A7" s="3" t="inlineStr">
        <is>
          <t>Passo 3</t>
        </is>
      </c>
      <c r="B7" s="4" t="inlineStr">
        <is>
          <t>Ao encerrar um caso, mude a situação para Encerrado: os itens de encerramento passam a contar. Enquanto o caso está em andamento, essa parte fica cinza.</t>
        </is>
      </c>
    </row>
    <row r="8" ht="46" customHeight="1">
      <c r="A8" s="3" t="inlineStr">
        <is>
          <t>Passo 4</t>
        </is>
      </c>
      <c r="B8" s="4" t="inlineStr">
        <is>
          <t>Em Painel, resolva primeiro os casos com mais pendências e olhe "Item mais esquecido": se o mesmo item pende em vários casos, o problema é a rotina, não o caso.</t>
        </is>
      </c>
    </row>
    <row r="9" ht="46" customHeight="1">
      <c r="A9" s="3" t="inlineStr">
        <is>
          <t>Rotina</t>
        </is>
      </c>
      <c r="B9" s="4" t="inlineStr">
        <is>
          <t>Na abertura de cada caso, 3 minutos para criar a linha. Na sexta, junto com o caixa, confira os encerrados do mês: caso encerrado sem a última parcela cobrada é dinheiro parado.</t>
        </is>
      </c>
    </row>
    <row r="10" ht="46" customHeight="1">
      <c r="A10" s="3" t="inlineStr">
        <is>
          <t>Com a IA</t>
        </is>
      </c>
      <c r="B10" s="4" t="inlineStr">
        <is>
          <t>Copie a coluna "O que falta" de um caso e use o prompt "Prazos 07 · Pendências de abertura e encerramento viram tarefas"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semáforos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4" customWidth="1" min="4" max="4"/>
    <col width="16" customWidth="1" min="5" max="5"/>
    <col width="11" customWidth="1" min="6" max="6"/>
    <col width="13" customWidth="1" min="7" max="7"/>
    <col width="11" customWidth="1" min="8" max="8"/>
    <col width="34" customWidth="1" min="9" max="9"/>
    <col width="12" customWidth="1" min="10" max="10"/>
  </cols>
  <sheetData>
    <row r="1" ht="28" customHeight="1">
      <c r="A1" s="5" t="str">
        <f>Config!$B$4&amp;" · Abertura e encerramento · "&amp;TEXT(DAY(Config!$B$5),"00")&amp;"/"&amp;TEXT(MONTH(Config!$B$5),"00")&amp;"/"&amp;YEAR(Config!$B$5)</f>
        <v>Ferraz &amp; Lima Advocacia (exemplo fictício) · Abertura e encerramento · 14/09/2026</v>
      </c>
    </row>
    <row r="2">
      <c r="A2" s="6" t="inlineStr">
        <is>
          <t>Nada para digitar aqui: tudo vem de Config e Checklist. Pendência = item de abertura (ou de encerramento, em caso encerrado) que não está marcado como Sim ou N/A.</t>
        </is>
      </c>
    </row>
    <row r="4">
      <c r="A4" s="7" t="inlineStr">
        <is>
          <t>Casos cadastrados</t>
        </is>
      </c>
      <c r="B4" s="8" t="n"/>
      <c r="C4" s="9" t="inlineStr">
        <is>
          <t>Abertos com pendência de abertura</t>
        </is>
      </c>
      <c r="D4" s="10" t="n"/>
      <c r="E4" s="9" t="inlineStr">
        <is>
          <t>Encerrados com pendência</t>
        </is>
      </c>
      <c r="F4" s="10" t="n"/>
      <c r="G4" s="11" t="inlineStr">
        <is>
          <t>Itens pendentes no total</t>
        </is>
      </c>
      <c r="H4" s="12" t="n"/>
      <c r="I4" s="13" t="inlineStr">
        <is>
          <t>Casos sem pendência</t>
        </is>
      </c>
      <c r="J4" s="14" t="n"/>
    </row>
    <row r="5" ht="30" customHeight="1">
      <c r="A5" s="15">
        <f>COUNTIFS(Checklist!$A$5:$A$304,"&lt;&gt;")</f>
        <v>38</v>
      </c>
      <c r="B5" s="8" t="n"/>
      <c r="C5" s="16">
        <f>COUNTIFS(Checklist!$D$5:$D$304,"Em andamento",Checklist!$AA$5:$AA$304,"&gt;0")</f>
        <v>7</v>
      </c>
      <c r="D5" s="10" t="n"/>
      <c r="E5" s="16">
        <f>COUNTIFS(Checklist!$D$5:$D$304,"Encerrado",Checklist!$AB$5:$AB$304,"&gt;0")</f>
        <v>3</v>
      </c>
      <c r="F5" s="10" t="n"/>
      <c r="G5" s="17">
        <f>SUM(Checklist!$AC$5:$AC$304)</f>
        <v>12</v>
      </c>
      <c r="H5" s="12" t="n"/>
      <c r="I5" s="18">
        <f>COUNTIFS(Checklist!$A$5:$A$304,"&lt;&gt;",Checklist!$AC$5:$AC$304,0)</f>
        <v>28</v>
      </c>
      <c r="J5" s="14" t="n"/>
    </row>
    <row r="7">
      <c r="A7" s="19" t="inlineStr">
        <is>
          <t>Casos com pendência (mais itens pendentes primeiro)</t>
        </is>
      </c>
    </row>
    <row r="8">
      <c r="A8" s="20" t="inlineStr">
        <is>
          <t>Mostra os 15 primeiros; os demais ficam na aba Checklist, que pode ser filtrada pela coluna Pendências.</t>
        </is>
      </c>
    </row>
    <row r="9" ht="26" customHeight="1">
      <c r="A9" s="21" t="inlineStr">
        <is>
          <t>#</t>
        </is>
      </c>
      <c r="B9" s="21" t="inlineStr">
        <is>
          <t>Número</t>
        </is>
      </c>
      <c r="C9" s="21" t="inlineStr">
        <is>
          <t>Cliente</t>
        </is>
      </c>
      <c r="D9" s="21" t="inlineStr">
        <is>
          <t>Situação</t>
        </is>
      </c>
      <c r="E9" s="21" t="inlineStr">
        <is>
          <t>Responsável</t>
        </is>
      </c>
      <c r="F9" s="21" t="inlineStr">
        <is>
          <t>% abertura</t>
        </is>
      </c>
      <c r="G9" s="21" t="inlineStr">
        <is>
          <t>% encerramento</t>
        </is>
      </c>
      <c r="H9" s="21" t="inlineStr">
        <is>
          <t>Pendências</t>
        </is>
      </c>
      <c r="I9" s="21" t="inlineStr">
        <is>
          <t>O que falta</t>
        </is>
      </c>
      <c r="J9" s="22" t="n"/>
    </row>
    <row r="10" ht="28" customHeight="1">
      <c r="A10" s="23" t="n">
        <v>1</v>
      </c>
      <c r="B10" s="24" t="str">
        <f>IFERROR(IF(LARGE(Checklist!$AE$5:$AE$304,1)&gt;0,IF(INDEX(Checklist!$A$5:$A$304,MATCH(LARGE(Checklist!$AE$5:$AE$304,1),Checklist!$AE$5:$AE$304,0))="","",INDEX(Checklist!$A$5:$A$304,MATCH(LARGE(Checklist!$AE$5:$AE$304,1),Checklist!$AE$5:$AE$304,0))),""),"")</f>
        <v>6184138-13.2026.8.26.0378</v>
      </c>
      <c r="C10" s="24" t="str">
        <f>IFERROR(IF(LARGE(Checklist!$AE$5:$AE$304,1)&gt;0,IF(INDEX(Checklist!$B$5:$B$304,MATCH(LARGE(Checklist!$AE$5:$AE$304,1),Checklist!$AE$5:$AE$304,0))="","",INDEX(Checklist!$B$5:$B$304,MATCH(LARGE(Checklist!$AE$5:$AE$304,1),Checklist!$AE$5:$AE$304,0))),""),"")</f>
        <v>Oficina Mecânica Central</v>
      </c>
      <c r="D10" s="23" t="str">
        <f>IFERROR(IF(LARGE(Checklist!$AE$5:$AE$304,1)&gt;0,IF(INDEX(Checklist!$D$5:$D$304,MATCH(LARGE(Checklist!$AE$5:$AE$304,1),Checklist!$AE$5:$AE$304,0))="","",INDEX(Checklist!$D$5:$D$304,MATCH(LARGE(Checklist!$AE$5:$AE$304,1),Checklist!$AE$5:$AE$304,0))),""),"")</f>
        <v>Em andamento</v>
      </c>
      <c r="E10" s="23" t="str">
        <f>IFERROR(IF(LARGE(Checklist!$AE$5:$AE$304,1)&gt;0,IF(INDEX(Checklist!$C$5:$C$304,MATCH(LARGE(Checklist!$AE$5:$AE$304,1),Checklist!$AE$5:$AE$304,0))="","",INDEX(Checklist!$C$5:$C$304,MATCH(LARGE(Checklist!$AE$5:$AE$304,1),Checklist!$AE$5:$AE$304,0))),""),"")</f>
        <v>Rafael Lima</v>
      </c>
      <c r="F10" s="25">
        <f>IFERROR(IF(LARGE(Checklist!$AE$5:$AE$304,1)&gt;0,IF(INDEX(Checklist!$Y$5:$Y$304,MATCH(LARGE(Checklist!$AE$5:$AE$304,1),Checklist!$AE$5:$AE$304,0))="","",INDEX(Checklist!$Y$5:$Y$304,MATCH(LARGE(Checklist!$AE$5:$AE$304,1),Checklist!$AE$5:$AE$304,0))),""),"")</f>
        <v>0.777777777777778</v>
      </c>
      <c r="G10" s="25">
        <f>IFERROR(IF(LARGE(Checklist!$AE$5:$AE$304,1)&gt;0,IF(INDEX(Checklist!$Z$5:$Z$304,MATCH(LARGE(Checklist!$AE$5:$AE$304,1),Checklist!$AE$5:$AE$304,0))="","",INDEX(Checklist!$Z$5:$Z$304,MATCH(LARGE(Checklist!$AE$5:$AE$304,1),Checklist!$AE$5:$AE$304,0))),""),"")</f>
        <v/>
      </c>
      <c r="H10" s="23">
        <f>IFERROR(IF(LARGE(Checklist!$AE$5:$AE$304,1)&gt;0,IF(INDEX(Checklist!$AC$5:$AC$304,MATCH(LARGE(Checklist!$AE$5:$AE$304,1),Checklist!$AE$5:$AE$304,0))="","",INDEX(Checklist!$AC$5:$AC$304,MATCH(LARGE(Checklist!$AE$5:$AE$304,1),Checklist!$AE$5:$AE$304,0))),""),"")</f>
        <v>2</v>
      </c>
      <c r="I10" s="26" t="str">
        <f>IFERROR(IF(LARGE(Checklist!$AE$5:$AE$304,1)&gt;0,IF(INDEX(Checklist!$AD$5:$AD$304,MATCH(LARGE(Checklist!$AE$5:$AE$304,1),Checklist!$AE$5:$AE$304,0))="","",INDEX(Checklist!$AD$5:$AD$304,MATCH(LARGE(Checklist!$AE$5:$AE$304,1),Checklist!$AE$5:$AE$304,0))),""),"")</f>
        <v>Canal de contato combinado com o cliente; Pasta do caso criada (física ou digital)</v>
      </c>
      <c r="J10" s="22" t="n"/>
    </row>
    <row r="11" ht="28" customHeight="1">
      <c r="A11" s="23" t="n">
        <v>2</v>
      </c>
      <c r="B11" s="24" t="str">
        <f>IFERROR(IF(LARGE(Checklist!$AE$5:$AE$304,2)&gt;0,IF(INDEX(Checklist!$A$5:$A$304,MATCH(LARGE(Checklist!$AE$5:$AE$304,2),Checklist!$AE$5:$AE$304,0))="","",INDEX(Checklist!$A$5:$A$304,MATCH(LARGE(Checklist!$AE$5:$AE$304,2),Checklist!$AE$5:$AE$304,0))),""),"")</f>
        <v>8663770-96.2025.8.26.0481</v>
      </c>
      <c r="C11" s="24" t="str">
        <f>IFERROR(IF(LARGE(Checklist!$AE$5:$AE$304,2)&gt;0,IF(INDEX(Checklist!$B$5:$B$304,MATCH(LARGE(Checklist!$AE$5:$AE$304,2),Checklist!$AE$5:$AE$304,0))="","",INDEX(Checklist!$B$5:$B$304,MATCH(LARGE(Checklist!$AE$5:$AE$304,2),Checklist!$AE$5:$AE$304,0))),""),"")</f>
        <v>Oficina Mecânica Central</v>
      </c>
      <c r="D11" s="23" t="str">
        <f>IFERROR(IF(LARGE(Checklist!$AE$5:$AE$304,2)&gt;0,IF(INDEX(Checklist!$D$5:$D$304,MATCH(LARGE(Checklist!$AE$5:$AE$304,2),Checklist!$AE$5:$AE$304,0))="","",INDEX(Checklist!$D$5:$D$304,MATCH(LARGE(Checklist!$AE$5:$AE$304,2),Checklist!$AE$5:$AE$304,0))),""),"")</f>
        <v>Encerrado</v>
      </c>
      <c r="E11" s="23" t="str">
        <f>IFERROR(IF(LARGE(Checklist!$AE$5:$AE$304,2)&gt;0,IF(INDEX(Checklist!$C$5:$C$304,MATCH(LARGE(Checklist!$AE$5:$AE$304,2),Checklist!$AE$5:$AE$304,0))="","",INDEX(Checklist!$C$5:$C$304,MATCH(LARGE(Checklist!$AE$5:$AE$304,2),Checklist!$AE$5:$AE$304,0))),""),"")</f>
        <v>Rafael Lima</v>
      </c>
      <c r="F11" s="25">
        <f>IFERROR(IF(LARGE(Checklist!$AE$5:$AE$304,2)&gt;0,IF(INDEX(Checklist!$Y$5:$Y$304,MATCH(LARGE(Checklist!$AE$5:$AE$304,2),Checklist!$AE$5:$AE$304,0))="","",INDEX(Checklist!$Y$5:$Y$304,MATCH(LARGE(Checklist!$AE$5:$AE$304,2),Checklist!$AE$5:$AE$304,0))),""),"")</f>
        <v>1</v>
      </c>
      <c r="G11" s="25">
        <f>IFERROR(IF(LARGE(Checklist!$AE$5:$AE$304,2)&gt;0,IF(INDEX(Checklist!$Z$5:$Z$304,MATCH(LARGE(Checklist!$AE$5:$AE$304,2),Checklist!$AE$5:$AE$304,0))="","",INDEX(Checklist!$Z$5:$Z$304,MATCH(LARGE(Checklist!$AE$5:$AE$304,2),Checklist!$AE$5:$AE$304,0))),""),"")</f>
        <v>0.75</v>
      </c>
      <c r="H11" s="23">
        <f>IFERROR(IF(LARGE(Checklist!$AE$5:$AE$304,2)&gt;0,IF(INDEX(Checklist!$AC$5:$AC$304,MATCH(LARGE(Checklist!$AE$5:$AE$304,2),Checklist!$AE$5:$AE$304,0))="","",INDEX(Checklist!$AC$5:$AC$304,MATCH(LARGE(Checklist!$AE$5:$AE$304,2),Checklist!$AE$5:$AE$304,0))),""),"")</f>
        <v>2</v>
      </c>
      <c r="I11" s="26" t="str">
        <f>IFERROR(IF(LARGE(Checklist!$AE$5:$AE$304,2)&gt;0,IF(INDEX(Checklist!$AD$5:$AD$304,MATCH(LARGE(Checklist!$AE$5:$AE$304,2),Checklist!$AE$5:$AE$304,0))="","",INDEX(Checklist!$AD$5:$AD$304,MATCH(LARGE(Checklist!$AE$5:$AE$304,2),Checklist!$AE$5:$AE$304,0))),""),"")</f>
        <v>Documentos devolvidos ao cliente; Avaliação do cliente pedida</v>
      </c>
      <c r="J11" s="22" t="n"/>
    </row>
    <row r="12" ht="28" customHeight="1">
      <c r="A12" s="23" t="n">
        <v>3</v>
      </c>
      <c r="B12" s="24" t="str">
        <f>IFERROR(IF(LARGE(Checklist!$AE$5:$AE$304,3)&gt;0,IF(INDEX(Checklist!$A$5:$A$304,MATCH(LARGE(Checklist!$AE$5:$AE$304,3),Checklist!$AE$5:$AE$304,0))="","",INDEX(Checklist!$A$5:$A$304,MATCH(LARGE(Checklist!$AE$5:$AE$304,3),Checklist!$AE$5:$AE$304,0))),""),"")</f>
        <v>2998500-50.2026.8.26.0515</v>
      </c>
      <c r="C12" s="24" t="str">
        <f>IFERROR(IF(LARGE(Checklist!$AE$5:$AE$304,3)&gt;0,IF(INDEX(Checklist!$B$5:$B$304,MATCH(LARGE(Checklist!$AE$5:$AE$304,3),Checklist!$AE$5:$AE$304,0))="","",INDEX(Checklist!$B$5:$B$304,MATCH(LARGE(Checklist!$AE$5:$AE$304,3),Checklist!$AE$5:$AE$304,0))),""),"")</f>
        <v>Ana Beatriz Moreira</v>
      </c>
      <c r="D12" s="23" t="str">
        <f>IFERROR(IF(LARGE(Checklist!$AE$5:$AE$304,3)&gt;0,IF(INDEX(Checklist!$D$5:$D$304,MATCH(LARGE(Checklist!$AE$5:$AE$304,3),Checklist!$AE$5:$AE$304,0))="","",INDEX(Checklist!$D$5:$D$304,MATCH(LARGE(Checklist!$AE$5:$AE$304,3),Checklist!$AE$5:$AE$304,0))),""),"")</f>
        <v>Em andamento</v>
      </c>
      <c r="E12" s="23" t="str">
        <f>IFERROR(IF(LARGE(Checklist!$AE$5:$AE$304,3)&gt;0,IF(INDEX(Checklist!$C$5:$C$304,MATCH(LARGE(Checklist!$AE$5:$AE$304,3),Checklist!$AE$5:$AE$304,0))="","",INDEX(Checklist!$C$5:$C$304,MATCH(LARGE(Checklist!$AE$5:$AE$304,3),Checklist!$AE$5:$AE$304,0))),""),"")</f>
        <v>Rafael Lima</v>
      </c>
      <c r="F12" s="25">
        <f>IFERROR(IF(LARGE(Checklist!$AE$5:$AE$304,3)&gt;0,IF(INDEX(Checklist!$Y$5:$Y$304,MATCH(LARGE(Checklist!$AE$5:$AE$304,3),Checklist!$AE$5:$AE$304,0))="","",INDEX(Checklist!$Y$5:$Y$304,MATCH(LARGE(Checklist!$AE$5:$AE$304,3),Checklist!$AE$5:$AE$304,0))),""),"")</f>
        <v>0.888888888888889</v>
      </c>
      <c r="G12" s="25">
        <f>IFERROR(IF(LARGE(Checklist!$AE$5:$AE$304,3)&gt;0,IF(INDEX(Checklist!$Z$5:$Z$304,MATCH(LARGE(Checklist!$AE$5:$AE$304,3),Checklist!$AE$5:$AE$304,0))="","",INDEX(Checklist!$Z$5:$Z$304,MATCH(LARGE(Checklist!$AE$5:$AE$304,3),Checklist!$AE$5:$AE$304,0))),""),"")</f>
        <v/>
      </c>
      <c r="H12" s="23">
        <f>IFERROR(IF(LARGE(Checklist!$AE$5:$AE$304,3)&gt;0,IF(INDEX(Checklist!$AC$5:$AC$304,MATCH(LARGE(Checklist!$AE$5:$AE$304,3),Checklist!$AE$5:$AE$304,0))="","",INDEX(Checklist!$AC$5:$AC$304,MATCH(LARGE(Checklist!$AE$5:$AE$304,3),Checklist!$AE$5:$AE$304,0))),""),"")</f>
        <v>1</v>
      </c>
      <c r="I12" s="26" t="str">
        <f>IFERROR(IF(LARGE(Checklist!$AE$5:$AE$304,3)&gt;0,IF(INDEX(Checklist!$AD$5:$AD$304,MATCH(LARGE(Checklist!$AE$5:$AE$304,3),Checklist!$AE$5:$AE$304,0))="","",INDEX(Checklist!$AD$5:$AD$304,MATCH(LARGE(Checklist!$AE$5:$AE$304,3),Checklist!$AE$5:$AE$304,0))),""),"")</f>
        <v>Contrato de honorários assinado</v>
      </c>
      <c r="J12" s="22" t="n"/>
    </row>
    <row r="13" ht="28" customHeight="1">
      <c r="A13" s="23" t="n">
        <v>4</v>
      </c>
      <c r="B13" s="24" t="str">
        <f>IFERROR(IF(LARGE(Checklist!$AE$5:$AE$304,4)&gt;0,IF(INDEX(Checklist!$A$5:$A$304,MATCH(LARGE(Checklist!$AE$5:$AE$304,4),Checklist!$AE$5:$AE$304,0))="","",INDEX(Checklist!$A$5:$A$304,MATCH(LARGE(Checklist!$AE$5:$AE$304,4),Checklist!$AE$5:$AE$304,0))),""),"")</f>
        <v>CONS-2026-02</v>
      </c>
      <c r="C13" s="24" t="str">
        <f>IFERROR(IF(LARGE(Checklist!$AE$5:$AE$304,4)&gt;0,IF(INDEX(Checklist!$B$5:$B$304,MATCH(LARGE(Checklist!$AE$5:$AE$304,4),Checklist!$AE$5:$AE$304,0))="","",INDEX(Checklist!$B$5:$B$304,MATCH(LARGE(Checklist!$AE$5:$AE$304,4),Checklist!$AE$5:$AE$304,0))),""),"")</f>
        <v>Loja Verde Comércio</v>
      </c>
      <c r="D13" s="23" t="str">
        <f>IFERROR(IF(LARGE(Checklist!$AE$5:$AE$304,4)&gt;0,IF(INDEX(Checklist!$D$5:$D$304,MATCH(LARGE(Checklist!$AE$5:$AE$304,4),Checklist!$AE$5:$AE$304,0))="","",INDEX(Checklist!$D$5:$D$304,MATCH(LARGE(Checklist!$AE$5:$AE$304,4),Checklist!$AE$5:$AE$304,0))),""),"")</f>
        <v>Em andamento</v>
      </c>
      <c r="E13" s="23" t="str">
        <f>IFERROR(IF(LARGE(Checklist!$AE$5:$AE$304,4)&gt;0,IF(INDEX(Checklist!$C$5:$C$304,MATCH(LARGE(Checklist!$AE$5:$AE$304,4),Checklist!$AE$5:$AE$304,0))="","",INDEX(Checklist!$C$5:$C$304,MATCH(LARGE(Checklist!$AE$5:$AE$304,4),Checklist!$AE$5:$AE$304,0))),""),"")</f>
        <v>Marina Ferraz</v>
      </c>
      <c r="F13" s="25">
        <f>IFERROR(IF(LARGE(Checklist!$AE$5:$AE$304,4)&gt;0,IF(INDEX(Checklist!$Y$5:$Y$304,MATCH(LARGE(Checklist!$AE$5:$AE$304,4),Checklist!$AE$5:$AE$304,0))="","",INDEX(Checklist!$Y$5:$Y$304,MATCH(LARGE(Checklist!$AE$5:$AE$304,4),Checklist!$AE$5:$AE$304,0))),""),"")</f>
        <v>0.857142857142857</v>
      </c>
      <c r="G13" s="25">
        <f>IFERROR(IF(LARGE(Checklist!$AE$5:$AE$304,4)&gt;0,IF(INDEX(Checklist!$Z$5:$Z$304,MATCH(LARGE(Checklist!$AE$5:$AE$304,4),Checklist!$AE$5:$AE$304,0))="","",INDEX(Checklist!$Z$5:$Z$304,MATCH(LARGE(Checklist!$AE$5:$AE$304,4),Checklist!$AE$5:$AE$304,0))),""),"")</f>
        <v/>
      </c>
      <c r="H13" s="23">
        <f>IFERROR(IF(LARGE(Checklist!$AE$5:$AE$304,4)&gt;0,IF(INDEX(Checklist!$AC$5:$AC$304,MATCH(LARGE(Checklist!$AE$5:$AE$304,4),Checklist!$AE$5:$AE$304,0))="","",INDEX(Checklist!$AC$5:$AC$304,MATCH(LARGE(Checklist!$AE$5:$AE$304,4),Checklist!$AE$5:$AE$304,0))),""),"")</f>
        <v>1</v>
      </c>
      <c r="I13" s="26" t="str">
        <f>IFERROR(IF(LARGE(Checklist!$AE$5:$AE$304,4)&gt;0,IF(INDEX(Checklist!$AD$5:$AD$304,MATCH(LARGE(Checklist!$AE$5:$AE$304,4),Checklist!$AE$5:$AE$304,0))="","",INDEX(Checklist!$AD$5:$AD$304,MATCH(LARGE(Checklist!$AE$5:$AE$304,4),Checklist!$AE$5:$AE$304,0))),""),"")</f>
        <v>Caso cadastrado no caixa e na carteira</v>
      </c>
      <c r="J13" s="22" t="n"/>
    </row>
    <row r="14" ht="28" customHeight="1">
      <c r="A14" s="23" t="n">
        <v>5</v>
      </c>
      <c r="B14" s="24" t="str">
        <f>IFERROR(IF(LARGE(Checklist!$AE$5:$AE$304,5)&gt;0,IF(INDEX(Checklist!$A$5:$A$304,MATCH(LARGE(Checklist!$AE$5:$AE$304,5),Checklist!$AE$5:$AE$304,0))="","",INDEX(Checklist!$A$5:$A$304,MATCH(LARGE(Checklist!$AE$5:$AE$304,5),Checklist!$AE$5:$AE$304,0))),""),"")</f>
        <v>4526984-60.2026.8.26.0258</v>
      </c>
      <c r="C14" s="24" t="str">
        <f>IFERROR(IF(LARGE(Checklist!$AE$5:$AE$304,5)&gt;0,IF(INDEX(Checklist!$B$5:$B$304,MATCH(LARGE(Checklist!$AE$5:$AE$304,5),Checklist!$AE$5:$AE$304,0))="","",INDEX(Checklist!$B$5:$B$304,MATCH(LARGE(Checklist!$AE$5:$AE$304,5),Checklist!$AE$5:$AE$304,0))),""),"")</f>
        <v>Transportadora Rota Sul</v>
      </c>
      <c r="D14" s="23" t="str">
        <f>IFERROR(IF(LARGE(Checklist!$AE$5:$AE$304,5)&gt;0,IF(INDEX(Checklist!$D$5:$D$304,MATCH(LARGE(Checklist!$AE$5:$AE$304,5),Checklist!$AE$5:$AE$304,0))="","",INDEX(Checklist!$D$5:$D$304,MATCH(LARGE(Checklist!$AE$5:$AE$304,5),Checklist!$AE$5:$AE$304,0))),""),"")</f>
        <v>Em andamento</v>
      </c>
      <c r="E14" s="23" t="str">
        <f>IFERROR(IF(LARGE(Checklist!$AE$5:$AE$304,5)&gt;0,IF(INDEX(Checklist!$C$5:$C$304,MATCH(LARGE(Checklist!$AE$5:$AE$304,5),Checklist!$AE$5:$AE$304,0))="","",INDEX(Checklist!$C$5:$C$304,MATCH(LARGE(Checklist!$AE$5:$AE$304,5),Checklist!$AE$5:$AE$304,0))),""),"")</f>
        <v>Rafael Lima</v>
      </c>
      <c r="F14" s="25">
        <f>IFERROR(IF(LARGE(Checklist!$AE$5:$AE$304,5)&gt;0,IF(INDEX(Checklist!$Y$5:$Y$304,MATCH(LARGE(Checklist!$AE$5:$AE$304,5),Checklist!$AE$5:$AE$304,0))="","",INDEX(Checklist!$Y$5:$Y$304,MATCH(LARGE(Checklist!$AE$5:$AE$304,5),Checklist!$AE$5:$AE$304,0))),""),"")</f>
        <v>0.888888888888889</v>
      </c>
      <c r="G14" s="25">
        <f>IFERROR(IF(LARGE(Checklist!$AE$5:$AE$304,5)&gt;0,IF(INDEX(Checklist!$Z$5:$Z$304,MATCH(LARGE(Checklist!$AE$5:$AE$304,5),Checklist!$AE$5:$AE$304,0))="","",INDEX(Checklist!$Z$5:$Z$304,MATCH(LARGE(Checklist!$AE$5:$AE$304,5),Checklist!$AE$5:$AE$304,0))),""),"")</f>
        <v/>
      </c>
      <c r="H14" s="23">
        <f>IFERROR(IF(LARGE(Checklist!$AE$5:$AE$304,5)&gt;0,IF(INDEX(Checklist!$AC$5:$AC$304,MATCH(LARGE(Checklist!$AE$5:$AE$304,5),Checklist!$AE$5:$AE$304,0))="","",INDEX(Checklist!$AC$5:$AC$304,MATCH(LARGE(Checklist!$AE$5:$AE$304,5),Checklist!$AE$5:$AE$304,0))),""),"")</f>
        <v>1</v>
      </c>
      <c r="I14" s="26" t="str">
        <f>IFERROR(IF(LARGE(Checklist!$AE$5:$AE$304,5)&gt;0,IF(INDEX(Checklist!$AD$5:$AD$304,MATCH(LARGE(Checklist!$AE$5:$AE$304,5),Checklist!$AE$5:$AE$304,0))="","",INDEX(Checklist!$AD$5:$AD$304,MATCH(LARGE(Checklist!$AE$5:$AE$304,5),Checklist!$AE$5:$AE$304,0))),""),"")</f>
        <v>Caso cadastrado no caixa e na carteira</v>
      </c>
      <c r="J14" s="22" t="n"/>
    </row>
    <row r="15" ht="28" customHeight="1">
      <c r="A15" s="23" t="n">
        <v>6</v>
      </c>
      <c r="B15" s="24" t="str">
        <f>IFERROR(IF(LARGE(Checklist!$AE$5:$AE$304,6)&gt;0,IF(INDEX(Checklist!$A$5:$A$304,MATCH(LARGE(Checklist!$AE$5:$AE$304,6),Checklist!$AE$5:$AE$304,0))="","",INDEX(Checklist!$A$5:$A$304,MATCH(LARGE(Checklist!$AE$5:$AE$304,6),Checklist!$AE$5:$AE$304,0))),""),"")</f>
        <v>5900991-46.2026.8.26.0469</v>
      </c>
      <c r="C15" s="24" t="str">
        <f>IFERROR(IF(LARGE(Checklist!$AE$5:$AE$304,6)&gt;0,IF(INDEX(Checklist!$B$5:$B$304,MATCH(LARGE(Checklist!$AE$5:$AE$304,6),Checklist!$AE$5:$AE$304,0))="","",INDEX(Checklist!$B$5:$B$304,MATCH(LARGE(Checklist!$AE$5:$AE$304,6),Checklist!$AE$5:$AE$304,0))),""),"")</f>
        <v>José Antônio Ribeiro</v>
      </c>
      <c r="D15" s="23" t="str">
        <f>IFERROR(IF(LARGE(Checklist!$AE$5:$AE$304,6)&gt;0,IF(INDEX(Checklist!$D$5:$D$304,MATCH(LARGE(Checklist!$AE$5:$AE$304,6),Checklist!$AE$5:$AE$304,0))="","",INDEX(Checklist!$D$5:$D$304,MATCH(LARGE(Checklist!$AE$5:$AE$304,6),Checklist!$AE$5:$AE$304,0))),""),"")</f>
        <v>Em andamento</v>
      </c>
      <c r="E15" s="23" t="str">
        <f>IFERROR(IF(LARGE(Checklist!$AE$5:$AE$304,6)&gt;0,IF(INDEX(Checklist!$C$5:$C$304,MATCH(LARGE(Checklist!$AE$5:$AE$304,6),Checklist!$AE$5:$AE$304,0))="","",INDEX(Checklist!$C$5:$C$304,MATCH(LARGE(Checklist!$AE$5:$AE$304,6),Checklist!$AE$5:$AE$304,0))),""),"")</f>
        <v>Rafael Lima</v>
      </c>
      <c r="F15" s="25">
        <f>IFERROR(IF(LARGE(Checklist!$AE$5:$AE$304,6)&gt;0,IF(INDEX(Checklist!$Y$5:$Y$304,MATCH(LARGE(Checklist!$AE$5:$AE$304,6),Checklist!$AE$5:$AE$304,0))="","",INDEX(Checklist!$Y$5:$Y$304,MATCH(LARGE(Checklist!$AE$5:$AE$304,6),Checklist!$AE$5:$AE$304,0))),""),"")</f>
        <v>0.888888888888889</v>
      </c>
      <c r="G15" s="25">
        <f>IFERROR(IF(LARGE(Checklist!$AE$5:$AE$304,6)&gt;0,IF(INDEX(Checklist!$Z$5:$Z$304,MATCH(LARGE(Checklist!$AE$5:$AE$304,6),Checklist!$AE$5:$AE$304,0))="","",INDEX(Checklist!$Z$5:$Z$304,MATCH(LARGE(Checklist!$AE$5:$AE$304,6),Checklist!$AE$5:$AE$304,0))),""),"")</f>
        <v/>
      </c>
      <c r="H15" s="23">
        <f>IFERROR(IF(LARGE(Checklist!$AE$5:$AE$304,6)&gt;0,IF(INDEX(Checklist!$AC$5:$AC$304,MATCH(LARGE(Checklist!$AE$5:$AE$304,6),Checklist!$AE$5:$AE$304,0))="","",INDEX(Checklist!$AC$5:$AC$304,MATCH(LARGE(Checklist!$AE$5:$AE$304,6),Checklist!$AE$5:$AE$304,0))),""),"")</f>
        <v>1</v>
      </c>
      <c r="I15" s="26" t="str">
        <f>IFERROR(IF(LARGE(Checklist!$AE$5:$AE$304,6)&gt;0,IF(INDEX(Checklist!$AD$5:$AD$304,MATCH(LARGE(Checklist!$AE$5:$AE$304,6),Checklist!$AE$5:$AE$304,0))="","",INDEX(Checklist!$AD$5:$AD$304,MATCH(LARGE(Checklist!$AE$5:$AE$304,6),Checklist!$AE$5:$AE$304,0))),""),"")</f>
        <v>Documentos do cliente recebidos</v>
      </c>
      <c r="J15" s="22" t="n"/>
    </row>
    <row r="16" ht="28" customHeight="1">
      <c r="A16" s="23" t="n">
        <v>7</v>
      </c>
      <c r="B16" s="24" t="str">
        <f>IFERROR(IF(LARGE(Checklist!$AE$5:$AE$304,7)&gt;0,IF(INDEX(Checklist!$A$5:$A$304,MATCH(LARGE(Checklist!$AE$5:$AE$304,7),Checklist!$AE$5:$AE$304,0))="","",INDEX(Checklist!$A$5:$A$304,MATCH(LARGE(Checklist!$AE$5:$AE$304,7),Checklist!$AE$5:$AE$304,0))),""),"")</f>
        <v>2521428-61.2026.8.26.0600</v>
      </c>
      <c r="C16" s="24" t="str">
        <f>IFERROR(IF(LARGE(Checklist!$AE$5:$AE$304,7)&gt;0,IF(INDEX(Checklist!$B$5:$B$304,MATCH(LARGE(Checklist!$AE$5:$AE$304,7),Checklist!$AE$5:$AE$304,0))="","",INDEX(Checklist!$B$5:$B$304,MATCH(LARGE(Checklist!$AE$5:$AE$304,7),Checklist!$AE$5:$AE$304,0))),""),"")</f>
        <v>Luciana Farias</v>
      </c>
      <c r="D16" s="23" t="str">
        <f>IFERROR(IF(LARGE(Checklist!$AE$5:$AE$304,7)&gt;0,IF(INDEX(Checklist!$D$5:$D$304,MATCH(LARGE(Checklist!$AE$5:$AE$304,7),Checklist!$AE$5:$AE$304,0))="","",INDEX(Checklist!$D$5:$D$304,MATCH(LARGE(Checklist!$AE$5:$AE$304,7),Checklist!$AE$5:$AE$304,0))),""),"")</f>
        <v>Em andamento</v>
      </c>
      <c r="E16" s="23" t="str">
        <f>IFERROR(IF(LARGE(Checklist!$AE$5:$AE$304,7)&gt;0,IF(INDEX(Checklist!$C$5:$C$304,MATCH(LARGE(Checklist!$AE$5:$AE$304,7),Checklist!$AE$5:$AE$304,0))="","",INDEX(Checklist!$C$5:$C$304,MATCH(LARGE(Checklist!$AE$5:$AE$304,7),Checklist!$AE$5:$AE$304,0))),""),"")</f>
        <v>Marina Ferraz</v>
      </c>
      <c r="F16" s="25">
        <f>IFERROR(IF(LARGE(Checklist!$AE$5:$AE$304,7)&gt;0,IF(INDEX(Checklist!$Y$5:$Y$304,MATCH(LARGE(Checklist!$AE$5:$AE$304,7),Checklist!$AE$5:$AE$304,0))="","",INDEX(Checklist!$Y$5:$Y$304,MATCH(LARGE(Checklist!$AE$5:$AE$304,7),Checklist!$AE$5:$AE$304,0))),""),"")</f>
        <v>0.888888888888889</v>
      </c>
      <c r="G16" s="25">
        <f>IFERROR(IF(LARGE(Checklist!$AE$5:$AE$304,7)&gt;0,IF(INDEX(Checklist!$Z$5:$Z$304,MATCH(LARGE(Checklist!$AE$5:$AE$304,7),Checklist!$AE$5:$AE$304,0))="","",INDEX(Checklist!$Z$5:$Z$304,MATCH(LARGE(Checklist!$AE$5:$AE$304,7),Checklist!$AE$5:$AE$304,0))),""),"")</f>
        <v/>
      </c>
      <c r="H16" s="23">
        <f>IFERROR(IF(LARGE(Checklist!$AE$5:$AE$304,7)&gt;0,IF(INDEX(Checklist!$AC$5:$AC$304,MATCH(LARGE(Checklist!$AE$5:$AE$304,7),Checklist!$AE$5:$AE$304,0))="","",INDEX(Checklist!$AC$5:$AC$304,MATCH(LARGE(Checklist!$AE$5:$AE$304,7),Checklist!$AE$5:$AE$304,0))),""),"")</f>
        <v>1</v>
      </c>
      <c r="I16" s="26" t="str">
        <f>IFERROR(IF(LARGE(Checklist!$AE$5:$AE$304,7)&gt;0,IF(INDEX(Checklist!$AD$5:$AD$304,MATCH(LARGE(Checklist!$AE$5:$AE$304,7),Checklist!$AE$5:$AE$304,0))="","",INDEX(Checklist!$AD$5:$AD$304,MATCH(LARGE(Checklist!$AE$5:$AE$304,7),Checklist!$AE$5:$AE$304,0))),""),"")</f>
        <v>Procuração recebida</v>
      </c>
      <c r="J16" s="22" t="n"/>
    </row>
    <row r="17" ht="28" customHeight="1">
      <c r="A17" s="23" t="n">
        <v>8</v>
      </c>
      <c r="B17" s="24" t="str">
        <f>IFERROR(IF(LARGE(Checklist!$AE$5:$AE$304,8)&gt;0,IF(INDEX(Checklist!$A$5:$A$304,MATCH(LARGE(Checklist!$AE$5:$AE$304,8),Checklist!$AE$5:$AE$304,0))="","",INDEX(Checklist!$A$5:$A$304,MATCH(LARGE(Checklist!$AE$5:$AE$304,8),Checklist!$AE$5:$AE$304,0))),""),"")</f>
        <v>7679821-77.2026.8.26.0265</v>
      </c>
      <c r="C17" s="24" t="str">
        <f>IFERROR(IF(LARGE(Checklist!$AE$5:$AE$304,8)&gt;0,IF(INDEX(Checklist!$B$5:$B$304,MATCH(LARGE(Checklist!$AE$5:$AE$304,8),Checklist!$AE$5:$AE$304,0))="","",INDEX(Checklist!$B$5:$B$304,MATCH(LARGE(Checklist!$AE$5:$AE$304,8),Checklist!$AE$5:$AE$304,0))),""),"")</f>
        <v>Helena Duarte</v>
      </c>
      <c r="D17" s="23" t="str">
        <f>IFERROR(IF(LARGE(Checklist!$AE$5:$AE$304,8)&gt;0,IF(INDEX(Checklist!$D$5:$D$304,MATCH(LARGE(Checklist!$AE$5:$AE$304,8),Checklist!$AE$5:$AE$304,0))="","",INDEX(Checklist!$D$5:$D$304,MATCH(LARGE(Checklist!$AE$5:$AE$304,8),Checklist!$AE$5:$AE$304,0))),""),"")</f>
        <v>Em andamento</v>
      </c>
      <c r="E17" s="23" t="str">
        <f>IFERROR(IF(LARGE(Checklist!$AE$5:$AE$304,8)&gt;0,IF(INDEX(Checklist!$C$5:$C$304,MATCH(LARGE(Checklist!$AE$5:$AE$304,8),Checklist!$AE$5:$AE$304,0))="","",INDEX(Checklist!$C$5:$C$304,MATCH(LARGE(Checklist!$AE$5:$AE$304,8),Checklist!$AE$5:$AE$304,0))),""),"")</f>
        <v>Rafael Lima</v>
      </c>
      <c r="F17" s="25">
        <f>IFERROR(IF(LARGE(Checklist!$AE$5:$AE$304,8)&gt;0,IF(INDEX(Checklist!$Y$5:$Y$304,MATCH(LARGE(Checklist!$AE$5:$AE$304,8),Checklist!$AE$5:$AE$304,0))="","",INDEX(Checklist!$Y$5:$Y$304,MATCH(LARGE(Checklist!$AE$5:$AE$304,8),Checklist!$AE$5:$AE$304,0))),""),"")</f>
        <v>0.888888888888889</v>
      </c>
      <c r="G17" s="25">
        <f>IFERROR(IF(LARGE(Checklist!$AE$5:$AE$304,8)&gt;0,IF(INDEX(Checklist!$Z$5:$Z$304,MATCH(LARGE(Checklist!$AE$5:$AE$304,8),Checklist!$AE$5:$AE$304,0))="","",INDEX(Checklist!$Z$5:$Z$304,MATCH(LARGE(Checklist!$AE$5:$AE$304,8),Checklist!$AE$5:$AE$304,0))),""),"")</f>
        <v/>
      </c>
      <c r="H17" s="23">
        <f>IFERROR(IF(LARGE(Checklist!$AE$5:$AE$304,8)&gt;0,IF(INDEX(Checklist!$AC$5:$AC$304,MATCH(LARGE(Checklist!$AE$5:$AE$304,8),Checklist!$AE$5:$AE$304,0))="","",INDEX(Checklist!$AC$5:$AC$304,MATCH(LARGE(Checklist!$AE$5:$AE$304,8),Checklist!$AE$5:$AE$304,0))),""),"")</f>
        <v>1</v>
      </c>
      <c r="I17" s="26" t="str">
        <f>IFERROR(IF(LARGE(Checklist!$AE$5:$AE$304,8)&gt;0,IF(INDEX(Checklist!$AD$5:$AD$304,MATCH(LARGE(Checklist!$AE$5:$AE$304,8),Checklist!$AE$5:$AE$304,0))="","",INDEX(Checklist!$AD$5:$AD$304,MATCH(LARGE(Checklist!$AE$5:$AE$304,8),Checklist!$AE$5:$AE$304,0))),""),"")</f>
        <v>Honorário e forma de pagamento definidos</v>
      </c>
      <c r="J17" s="22" t="n"/>
    </row>
    <row r="18" ht="28" customHeight="1">
      <c r="A18" s="23" t="n">
        <v>9</v>
      </c>
      <c r="B18" s="24" t="str">
        <f>IFERROR(IF(LARGE(Checklist!$AE$5:$AE$304,9)&gt;0,IF(INDEX(Checklist!$A$5:$A$304,MATCH(LARGE(Checklist!$AE$5:$AE$304,9),Checklist!$AE$5:$AE$304,0))="","",INDEX(Checklist!$A$5:$A$304,MATCH(LARGE(Checklist!$AE$5:$AE$304,9),Checklist!$AE$5:$AE$304,0))),""),"")</f>
        <v>9778116-95.2025.8.26.0106</v>
      </c>
      <c r="C18" s="24" t="str">
        <f>IFERROR(IF(LARGE(Checklist!$AE$5:$AE$304,9)&gt;0,IF(INDEX(Checklist!$B$5:$B$304,MATCH(LARGE(Checklist!$AE$5:$AE$304,9),Checklist!$AE$5:$AE$304,0))="","",INDEX(Checklist!$B$5:$B$304,MATCH(LARGE(Checklist!$AE$5:$AE$304,9),Checklist!$AE$5:$AE$304,0))),""),"")</f>
        <v>Construtora Horizonte</v>
      </c>
      <c r="D18" s="23" t="str">
        <f>IFERROR(IF(LARGE(Checklist!$AE$5:$AE$304,9)&gt;0,IF(INDEX(Checklist!$D$5:$D$304,MATCH(LARGE(Checklist!$AE$5:$AE$304,9),Checklist!$AE$5:$AE$304,0))="","",INDEX(Checklist!$D$5:$D$304,MATCH(LARGE(Checklist!$AE$5:$AE$304,9),Checklist!$AE$5:$AE$304,0))),""),"")</f>
        <v>Encerrado</v>
      </c>
      <c r="E18" s="23" t="str">
        <f>IFERROR(IF(LARGE(Checklist!$AE$5:$AE$304,9)&gt;0,IF(INDEX(Checklist!$C$5:$C$304,MATCH(LARGE(Checklist!$AE$5:$AE$304,9),Checklist!$AE$5:$AE$304,0))="","",INDEX(Checklist!$C$5:$C$304,MATCH(LARGE(Checklist!$AE$5:$AE$304,9),Checklist!$AE$5:$AE$304,0))),""),"")</f>
        <v>Marina Ferraz</v>
      </c>
      <c r="F18" s="25">
        <f>IFERROR(IF(LARGE(Checklist!$AE$5:$AE$304,9)&gt;0,IF(INDEX(Checklist!$Y$5:$Y$304,MATCH(LARGE(Checklist!$AE$5:$AE$304,9),Checklist!$AE$5:$AE$304,0))="","",INDEX(Checklist!$Y$5:$Y$304,MATCH(LARGE(Checklist!$AE$5:$AE$304,9),Checklist!$AE$5:$AE$304,0))),""),"")</f>
        <v>1</v>
      </c>
      <c r="G18" s="25">
        <f>IFERROR(IF(LARGE(Checklist!$AE$5:$AE$304,9)&gt;0,IF(INDEX(Checklist!$Z$5:$Z$304,MATCH(LARGE(Checklist!$AE$5:$AE$304,9),Checklist!$AE$5:$AE$304,0))="","",INDEX(Checklist!$Z$5:$Z$304,MATCH(LARGE(Checklist!$AE$5:$AE$304,9),Checklist!$AE$5:$AE$304,0))),""),"")</f>
        <v>0.875</v>
      </c>
      <c r="H18" s="23">
        <f>IFERROR(IF(LARGE(Checklist!$AE$5:$AE$304,9)&gt;0,IF(INDEX(Checklist!$AC$5:$AC$304,MATCH(LARGE(Checklist!$AE$5:$AE$304,9),Checklist!$AE$5:$AE$304,0))="","",INDEX(Checklist!$AC$5:$AC$304,MATCH(LARGE(Checklist!$AE$5:$AE$304,9),Checklist!$AE$5:$AE$304,0))),""),"")</f>
        <v>1</v>
      </c>
      <c r="I18" s="26" t="str">
        <f>IFERROR(IF(LARGE(Checklist!$AE$5:$AE$304,9)&gt;0,IF(INDEX(Checklist!$AD$5:$AD$304,MATCH(LARGE(Checklist!$AE$5:$AE$304,9),Checklist!$AE$5:$AE$304,0))="","",INDEX(Checklist!$AD$5:$AD$304,MATCH(LARGE(Checklist!$AE$5:$AE$304,9),Checklist!$AE$5:$AE$304,0))),""),"")</f>
        <v>Pasta arquivada</v>
      </c>
      <c r="J18" s="22" t="n"/>
    </row>
    <row r="19" ht="28" customHeight="1">
      <c r="A19" s="23" t="n">
        <v>10</v>
      </c>
      <c r="B19" s="24" t="str">
        <f>IFERROR(IF(LARGE(Checklist!$AE$5:$AE$304,10)&gt;0,IF(INDEX(Checklist!$A$5:$A$304,MATCH(LARGE(Checklist!$AE$5:$AE$304,10),Checklist!$AE$5:$AE$304,0))="","",INDEX(Checklist!$A$5:$A$304,MATCH(LARGE(Checklist!$AE$5:$AE$304,10),Checklist!$AE$5:$AE$304,0))),""),"")</f>
        <v>5211189-81.2025.8.26.0412</v>
      </c>
      <c r="C19" s="24" t="str">
        <f>IFERROR(IF(LARGE(Checklist!$AE$5:$AE$304,10)&gt;0,IF(INDEX(Checklist!$B$5:$B$304,MATCH(LARGE(Checklist!$AE$5:$AE$304,10),Checklist!$AE$5:$AE$304,0))="","",INDEX(Checklist!$B$5:$B$304,MATCH(LARGE(Checklist!$AE$5:$AE$304,10),Checklist!$AE$5:$AE$304,0))),""),"")</f>
        <v>Fernanda Castro</v>
      </c>
      <c r="D19" s="23" t="str">
        <f>IFERROR(IF(LARGE(Checklist!$AE$5:$AE$304,10)&gt;0,IF(INDEX(Checklist!$D$5:$D$304,MATCH(LARGE(Checklist!$AE$5:$AE$304,10),Checklist!$AE$5:$AE$304,0))="","",INDEX(Checklist!$D$5:$D$304,MATCH(LARGE(Checklist!$AE$5:$AE$304,10),Checklist!$AE$5:$AE$304,0))),""),"")</f>
        <v>Encerrado</v>
      </c>
      <c r="E19" s="23" t="str">
        <f>IFERROR(IF(LARGE(Checklist!$AE$5:$AE$304,10)&gt;0,IF(INDEX(Checklist!$C$5:$C$304,MATCH(LARGE(Checklist!$AE$5:$AE$304,10),Checklist!$AE$5:$AE$304,0))="","",INDEX(Checklist!$C$5:$C$304,MATCH(LARGE(Checklist!$AE$5:$AE$304,10),Checklist!$AE$5:$AE$304,0))),""),"")</f>
        <v>Marina Ferraz</v>
      </c>
      <c r="F19" s="25">
        <f>IFERROR(IF(LARGE(Checklist!$AE$5:$AE$304,10)&gt;0,IF(INDEX(Checklist!$Y$5:$Y$304,MATCH(LARGE(Checklist!$AE$5:$AE$304,10),Checklist!$AE$5:$AE$304,0))="","",INDEX(Checklist!$Y$5:$Y$304,MATCH(LARGE(Checklist!$AE$5:$AE$304,10),Checklist!$AE$5:$AE$304,0))),""),"")</f>
        <v>1</v>
      </c>
      <c r="G19" s="25">
        <f>IFERROR(IF(LARGE(Checklist!$AE$5:$AE$304,10)&gt;0,IF(INDEX(Checklist!$Z$5:$Z$304,MATCH(LARGE(Checklist!$AE$5:$AE$304,10),Checklist!$AE$5:$AE$304,0))="","",INDEX(Checklist!$Z$5:$Z$304,MATCH(LARGE(Checklist!$AE$5:$AE$304,10),Checklist!$AE$5:$AE$304,0))),""),"")</f>
        <v>0.875</v>
      </c>
      <c r="H19" s="23">
        <f>IFERROR(IF(LARGE(Checklist!$AE$5:$AE$304,10)&gt;0,IF(INDEX(Checklist!$AC$5:$AC$304,MATCH(LARGE(Checklist!$AE$5:$AE$304,10),Checklist!$AE$5:$AE$304,0))="","",INDEX(Checklist!$AC$5:$AC$304,MATCH(LARGE(Checklist!$AE$5:$AE$304,10),Checklist!$AE$5:$AE$304,0))),""),"")</f>
        <v>1</v>
      </c>
      <c r="I19" s="26" t="str">
        <f>IFERROR(IF(LARGE(Checklist!$AE$5:$AE$304,10)&gt;0,IF(INDEX(Checklist!$AD$5:$AD$304,MATCH(LARGE(Checklist!$AE$5:$AE$304,10),Checklist!$AE$5:$AE$304,0))="","",INDEX(Checklist!$AD$5:$AD$304,MATCH(LARGE(Checklist!$AE$5:$AE$304,10),Checklist!$AE$5:$AE$304,0))),""),"")</f>
        <v>Avaliação do cliente pedida</v>
      </c>
      <c r="J19" s="22" t="n"/>
    </row>
    <row r="20" ht="28" customHeight="1">
      <c r="A20" s="23" t="n">
        <v>11</v>
      </c>
      <c r="B20" s="24">
        <f>IFERROR(IF(LARGE(Checklist!$AE$5:$AE$304,11)&gt;0,IF(INDEX(Checklist!$A$5:$A$304,MATCH(LARGE(Checklist!$AE$5:$AE$304,11),Checklist!$AE$5:$AE$304,0))="","",INDEX(Checklist!$A$5:$A$304,MATCH(LARGE(Checklist!$AE$5:$AE$304,11),Checklist!$AE$5:$AE$304,0))),""),"")</f>
        <v/>
      </c>
      <c r="C20" s="24">
        <f>IFERROR(IF(LARGE(Checklist!$AE$5:$AE$304,11)&gt;0,IF(INDEX(Checklist!$B$5:$B$304,MATCH(LARGE(Checklist!$AE$5:$AE$304,11),Checklist!$AE$5:$AE$304,0))="","",INDEX(Checklist!$B$5:$B$304,MATCH(LARGE(Checklist!$AE$5:$AE$304,11),Checklist!$AE$5:$AE$304,0))),""),"")</f>
        <v/>
      </c>
      <c r="D20" s="23">
        <f>IFERROR(IF(LARGE(Checklist!$AE$5:$AE$304,11)&gt;0,IF(INDEX(Checklist!$D$5:$D$304,MATCH(LARGE(Checklist!$AE$5:$AE$304,11),Checklist!$AE$5:$AE$304,0))="","",INDEX(Checklist!$D$5:$D$304,MATCH(LARGE(Checklist!$AE$5:$AE$304,11),Checklist!$AE$5:$AE$304,0))),""),"")</f>
        <v/>
      </c>
      <c r="E20" s="23">
        <f>IFERROR(IF(LARGE(Checklist!$AE$5:$AE$304,11)&gt;0,IF(INDEX(Checklist!$C$5:$C$304,MATCH(LARGE(Checklist!$AE$5:$AE$304,11),Checklist!$AE$5:$AE$304,0))="","",INDEX(Checklist!$C$5:$C$304,MATCH(LARGE(Checklist!$AE$5:$AE$304,11),Checklist!$AE$5:$AE$304,0))),""),"")</f>
        <v/>
      </c>
      <c r="F20" s="25">
        <f>IFERROR(IF(LARGE(Checklist!$AE$5:$AE$304,11)&gt;0,IF(INDEX(Checklist!$Y$5:$Y$304,MATCH(LARGE(Checklist!$AE$5:$AE$304,11),Checklist!$AE$5:$AE$304,0))="","",INDEX(Checklist!$Y$5:$Y$304,MATCH(LARGE(Checklist!$AE$5:$AE$304,11),Checklist!$AE$5:$AE$304,0))),""),"")</f>
        <v/>
      </c>
      <c r="G20" s="25">
        <f>IFERROR(IF(LARGE(Checklist!$AE$5:$AE$304,11)&gt;0,IF(INDEX(Checklist!$Z$5:$Z$304,MATCH(LARGE(Checklist!$AE$5:$AE$304,11),Checklist!$AE$5:$AE$304,0))="","",INDEX(Checklist!$Z$5:$Z$304,MATCH(LARGE(Checklist!$AE$5:$AE$304,11),Checklist!$AE$5:$AE$304,0))),""),"")</f>
        <v/>
      </c>
      <c r="H20" s="23">
        <f>IFERROR(IF(LARGE(Checklist!$AE$5:$AE$304,11)&gt;0,IF(INDEX(Checklist!$AC$5:$AC$304,MATCH(LARGE(Checklist!$AE$5:$AE$304,11),Checklist!$AE$5:$AE$304,0))="","",INDEX(Checklist!$AC$5:$AC$304,MATCH(LARGE(Checklist!$AE$5:$AE$304,11),Checklist!$AE$5:$AE$304,0))),""),"")</f>
        <v/>
      </c>
      <c r="I20" s="26">
        <f>IFERROR(IF(LARGE(Checklist!$AE$5:$AE$304,11)&gt;0,IF(INDEX(Checklist!$AD$5:$AD$304,MATCH(LARGE(Checklist!$AE$5:$AE$304,11),Checklist!$AE$5:$AE$304,0))="","",INDEX(Checklist!$AD$5:$AD$304,MATCH(LARGE(Checklist!$AE$5:$AE$304,11),Checklist!$AE$5:$AE$304,0))),""),"")</f>
        <v/>
      </c>
      <c r="J20" s="22" t="n"/>
    </row>
    <row r="21" ht="28" customHeight="1">
      <c r="A21" s="23" t="n">
        <v>12</v>
      </c>
      <c r="B21" s="24">
        <f>IFERROR(IF(LARGE(Checklist!$AE$5:$AE$304,12)&gt;0,IF(INDEX(Checklist!$A$5:$A$304,MATCH(LARGE(Checklist!$AE$5:$AE$304,12),Checklist!$AE$5:$AE$304,0))="","",INDEX(Checklist!$A$5:$A$304,MATCH(LARGE(Checklist!$AE$5:$AE$304,12),Checklist!$AE$5:$AE$304,0))),""),"")</f>
        <v/>
      </c>
      <c r="C21" s="24">
        <f>IFERROR(IF(LARGE(Checklist!$AE$5:$AE$304,12)&gt;0,IF(INDEX(Checklist!$B$5:$B$304,MATCH(LARGE(Checklist!$AE$5:$AE$304,12),Checklist!$AE$5:$AE$304,0))="","",INDEX(Checklist!$B$5:$B$304,MATCH(LARGE(Checklist!$AE$5:$AE$304,12),Checklist!$AE$5:$AE$304,0))),""),"")</f>
        <v/>
      </c>
      <c r="D21" s="23">
        <f>IFERROR(IF(LARGE(Checklist!$AE$5:$AE$304,12)&gt;0,IF(INDEX(Checklist!$D$5:$D$304,MATCH(LARGE(Checklist!$AE$5:$AE$304,12),Checklist!$AE$5:$AE$304,0))="","",INDEX(Checklist!$D$5:$D$304,MATCH(LARGE(Checklist!$AE$5:$AE$304,12),Checklist!$AE$5:$AE$304,0))),""),"")</f>
        <v/>
      </c>
      <c r="E21" s="23">
        <f>IFERROR(IF(LARGE(Checklist!$AE$5:$AE$304,12)&gt;0,IF(INDEX(Checklist!$C$5:$C$304,MATCH(LARGE(Checklist!$AE$5:$AE$304,12),Checklist!$AE$5:$AE$304,0))="","",INDEX(Checklist!$C$5:$C$304,MATCH(LARGE(Checklist!$AE$5:$AE$304,12),Checklist!$AE$5:$AE$304,0))),""),"")</f>
        <v/>
      </c>
      <c r="F21" s="25">
        <f>IFERROR(IF(LARGE(Checklist!$AE$5:$AE$304,12)&gt;0,IF(INDEX(Checklist!$Y$5:$Y$304,MATCH(LARGE(Checklist!$AE$5:$AE$304,12),Checklist!$AE$5:$AE$304,0))="","",INDEX(Checklist!$Y$5:$Y$304,MATCH(LARGE(Checklist!$AE$5:$AE$304,12),Checklist!$AE$5:$AE$304,0))),""),"")</f>
        <v/>
      </c>
      <c r="G21" s="25">
        <f>IFERROR(IF(LARGE(Checklist!$AE$5:$AE$304,12)&gt;0,IF(INDEX(Checklist!$Z$5:$Z$304,MATCH(LARGE(Checklist!$AE$5:$AE$304,12),Checklist!$AE$5:$AE$304,0))="","",INDEX(Checklist!$Z$5:$Z$304,MATCH(LARGE(Checklist!$AE$5:$AE$304,12),Checklist!$AE$5:$AE$304,0))),""),"")</f>
        <v/>
      </c>
      <c r="H21" s="23">
        <f>IFERROR(IF(LARGE(Checklist!$AE$5:$AE$304,12)&gt;0,IF(INDEX(Checklist!$AC$5:$AC$304,MATCH(LARGE(Checklist!$AE$5:$AE$304,12),Checklist!$AE$5:$AE$304,0))="","",INDEX(Checklist!$AC$5:$AC$304,MATCH(LARGE(Checklist!$AE$5:$AE$304,12),Checklist!$AE$5:$AE$304,0))),""),"")</f>
        <v/>
      </c>
      <c r="I21" s="26">
        <f>IFERROR(IF(LARGE(Checklist!$AE$5:$AE$304,12)&gt;0,IF(INDEX(Checklist!$AD$5:$AD$304,MATCH(LARGE(Checklist!$AE$5:$AE$304,12),Checklist!$AE$5:$AE$304,0))="","",INDEX(Checklist!$AD$5:$AD$304,MATCH(LARGE(Checklist!$AE$5:$AE$304,12),Checklist!$AE$5:$AE$304,0))),""),"")</f>
        <v/>
      </c>
      <c r="J21" s="22" t="n"/>
    </row>
    <row r="22" ht="28" customHeight="1">
      <c r="A22" s="23" t="n">
        <v>13</v>
      </c>
      <c r="B22" s="24">
        <f>IFERROR(IF(LARGE(Checklist!$AE$5:$AE$304,13)&gt;0,IF(INDEX(Checklist!$A$5:$A$304,MATCH(LARGE(Checklist!$AE$5:$AE$304,13),Checklist!$AE$5:$AE$304,0))="","",INDEX(Checklist!$A$5:$A$304,MATCH(LARGE(Checklist!$AE$5:$AE$304,13),Checklist!$AE$5:$AE$304,0))),""),"")</f>
        <v/>
      </c>
      <c r="C22" s="24">
        <f>IFERROR(IF(LARGE(Checklist!$AE$5:$AE$304,13)&gt;0,IF(INDEX(Checklist!$B$5:$B$304,MATCH(LARGE(Checklist!$AE$5:$AE$304,13),Checklist!$AE$5:$AE$304,0))="","",INDEX(Checklist!$B$5:$B$304,MATCH(LARGE(Checklist!$AE$5:$AE$304,13),Checklist!$AE$5:$AE$304,0))),""),"")</f>
        <v/>
      </c>
      <c r="D22" s="23">
        <f>IFERROR(IF(LARGE(Checklist!$AE$5:$AE$304,13)&gt;0,IF(INDEX(Checklist!$D$5:$D$304,MATCH(LARGE(Checklist!$AE$5:$AE$304,13),Checklist!$AE$5:$AE$304,0))="","",INDEX(Checklist!$D$5:$D$304,MATCH(LARGE(Checklist!$AE$5:$AE$304,13),Checklist!$AE$5:$AE$304,0))),""),"")</f>
        <v/>
      </c>
      <c r="E22" s="23">
        <f>IFERROR(IF(LARGE(Checklist!$AE$5:$AE$304,13)&gt;0,IF(INDEX(Checklist!$C$5:$C$304,MATCH(LARGE(Checklist!$AE$5:$AE$304,13),Checklist!$AE$5:$AE$304,0))="","",INDEX(Checklist!$C$5:$C$304,MATCH(LARGE(Checklist!$AE$5:$AE$304,13),Checklist!$AE$5:$AE$304,0))),""),"")</f>
        <v/>
      </c>
      <c r="F22" s="25">
        <f>IFERROR(IF(LARGE(Checklist!$AE$5:$AE$304,13)&gt;0,IF(INDEX(Checklist!$Y$5:$Y$304,MATCH(LARGE(Checklist!$AE$5:$AE$304,13),Checklist!$AE$5:$AE$304,0))="","",INDEX(Checklist!$Y$5:$Y$304,MATCH(LARGE(Checklist!$AE$5:$AE$304,13),Checklist!$AE$5:$AE$304,0))),""),"")</f>
        <v/>
      </c>
      <c r="G22" s="25">
        <f>IFERROR(IF(LARGE(Checklist!$AE$5:$AE$304,13)&gt;0,IF(INDEX(Checklist!$Z$5:$Z$304,MATCH(LARGE(Checklist!$AE$5:$AE$304,13),Checklist!$AE$5:$AE$304,0))="","",INDEX(Checklist!$Z$5:$Z$304,MATCH(LARGE(Checklist!$AE$5:$AE$304,13),Checklist!$AE$5:$AE$304,0))),""),"")</f>
        <v/>
      </c>
      <c r="H22" s="23">
        <f>IFERROR(IF(LARGE(Checklist!$AE$5:$AE$304,13)&gt;0,IF(INDEX(Checklist!$AC$5:$AC$304,MATCH(LARGE(Checklist!$AE$5:$AE$304,13),Checklist!$AE$5:$AE$304,0))="","",INDEX(Checklist!$AC$5:$AC$304,MATCH(LARGE(Checklist!$AE$5:$AE$304,13),Checklist!$AE$5:$AE$304,0))),""),"")</f>
        <v/>
      </c>
      <c r="I22" s="26">
        <f>IFERROR(IF(LARGE(Checklist!$AE$5:$AE$304,13)&gt;0,IF(INDEX(Checklist!$AD$5:$AD$304,MATCH(LARGE(Checklist!$AE$5:$AE$304,13),Checklist!$AE$5:$AE$304,0))="","",INDEX(Checklist!$AD$5:$AD$304,MATCH(LARGE(Checklist!$AE$5:$AE$304,13),Checklist!$AE$5:$AE$304,0))),""),"")</f>
        <v/>
      </c>
      <c r="J22" s="22" t="n"/>
    </row>
    <row r="23" ht="28" customHeight="1">
      <c r="A23" s="23" t="n">
        <v>14</v>
      </c>
      <c r="B23" s="24">
        <f>IFERROR(IF(LARGE(Checklist!$AE$5:$AE$304,14)&gt;0,IF(INDEX(Checklist!$A$5:$A$304,MATCH(LARGE(Checklist!$AE$5:$AE$304,14),Checklist!$AE$5:$AE$304,0))="","",INDEX(Checklist!$A$5:$A$304,MATCH(LARGE(Checklist!$AE$5:$AE$304,14),Checklist!$AE$5:$AE$304,0))),""),"")</f>
        <v/>
      </c>
      <c r="C23" s="24">
        <f>IFERROR(IF(LARGE(Checklist!$AE$5:$AE$304,14)&gt;0,IF(INDEX(Checklist!$B$5:$B$304,MATCH(LARGE(Checklist!$AE$5:$AE$304,14),Checklist!$AE$5:$AE$304,0))="","",INDEX(Checklist!$B$5:$B$304,MATCH(LARGE(Checklist!$AE$5:$AE$304,14),Checklist!$AE$5:$AE$304,0))),""),"")</f>
        <v/>
      </c>
      <c r="D23" s="23">
        <f>IFERROR(IF(LARGE(Checklist!$AE$5:$AE$304,14)&gt;0,IF(INDEX(Checklist!$D$5:$D$304,MATCH(LARGE(Checklist!$AE$5:$AE$304,14),Checklist!$AE$5:$AE$304,0))="","",INDEX(Checklist!$D$5:$D$304,MATCH(LARGE(Checklist!$AE$5:$AE$304,14),Checklist!$AE$5:$AE$304,0))),""),"")</f>
        <v/>
      </c>
      <c r="E23" s="23">
        <f>IFERROR(IF(LARGE(Checklist!$AE$5:$AE$304,14)&gt;0,IF(INDEX(Checklist!$C$5:$C$304,MATCH(LARGE(Checklist!$AE$5:$AE$304,14),Checklist!$AE$5:$AE$304,0))="","",INDEX(Checklist!$C$5:$C$304,MATCH(LARGE(Checklist!$AE$5:$AE$304,14),Checklist!$AE$5:$AE$304,0))),""),"")</f>
        <v/>
      </c>
      <c r="F23" s="25">
        <f>IFERROR(IF(LARGE(Checklist!$AE$5:$AE$304,14)&gt;0,IF(INDEX(Checklist!$Y$5:$Y$304,MATCH(LARGE(Checklist!$AE$5:$AE$304,14),Checklist!$AE$5:$AE$304,0))="","",INDEX(Checklist!$Y$5:$Y$304,MATCH(LARGE(Checklist!$AE$5:$AE$304,14),Checklist!$AE$5:$AE$304,0))),""),"")</f>
        <v/>
      </c>
      <c r="G23" s="25">
        <f>IFERROR(IF(LARGE(Checklist!$AE$5:$AE$304,14)&gt;0,IF(INDEX(Checklist!$Z$5:$Z$304,MATCH(LARGE(Checklist!$AE$5:$AE$304,14),Checklist!$AE$5:$AE$304,0))="","",INDEX(Checklist!$Z$5:$Z$304,MATCH(LARGE(Checklist!$AE$5:$AE$304,14),Checklist!$AE$5:$AE$304,0))),""),"")</f>
        <v/>
      </c>
      <c r="H23" s="23">
        <f>IFERROR(IF(LARGE(Checklist!$AE$5:$AE$304,14)&gt;0,IF(INDEX(Checklist!$AC$5:$AC$304,MATCH(LARGE(Checklist!$AE$5:$AE$304,14),Checklist!$AE$5:$AE$304,0))="","",INDEX(Checklist!$AC$5:$AC$304,MATCH(LARGE(Checklist!$AE$5:$AE$304,14),Checklist!$AE$5:$AE$304,0))),""),"")</f>
        <v/>
      </c>
      <c r="I23" s="26">
        <f>IFERROR(IF(LARGE(Checklist!$AE$5:$AE$304,14)&gt;0,IF(INDEX(Checklist!$AD$5:$AD$304,MATCH(LARGE(Checklist!$AE$5:$AE$304,14),Checklist!$AE$5:$AE$304,0))="","",INDEX(Checklist!$AD$5:$AD$304,MATCH(LARGE(Checklist!$AE$5:$AE$304,14),Checklist!$AE$5:$AE$304,0))),""),"")</f>
        <v/>
      </c>
      <c r="J23" s="22" t="n"/>
    </row>
    <row r="24" ht="28" customHeight="1">
      <c r="A24" s="23" t="n">
        <v>15</v>
      </c>
      <c r="B24" s="24">
        <f>IFERROR(IF(LARGE(Checklist!$AE$5:$AE$304,15)&gt;0,IF(INDEX(Checklist!$A$5:$A$304,MATCH(LARGE(Checklist!$AE$5:$AE$304,15),Checklist!$AE$5:$AE$304,0))="","",INDEX(Checklist!$A$5:$A$304,MATCH(LARGE(Checklist!$AE$5:$AE$304,15),Checklist!$AE$5:$AE$304,0))),""),"")</f>
        <v/>
      </c>
      <c r="C24" s="24">
        <f>IFERROR(IF(LARGE(Checklist!$AE$5:$AE$304,15)&gt;0,IF(INDEX(Checklist!$B$5:$B$304,MATCH(LARGE(Checklist!$AE$5:$AE$304,15),Checklist!$AE$5:$AE$304,0))="","",INDEX(Checklist!$B$5:$B$304,MATCH(LARGE(Checklist!$AE$5:$AE$304,15),Checklist!$AE$5:$AE$304,0))),""),"")</f>
        <v/>
      </c>
      <c r="D24" s="23">
        <f>IFERROR(IF(LARGE(Checklist!$AE$5:$AE$304,15)&gt;0,IF(INDEX(Checklist!$D$5:$D$304,MATCH(LARGE(Checklist!$AE$5:$AE$304,15),Checklist!$AE$5:$AE$304,0))="","",INDEX(Checklist!$D$5:$D$304,MATCH(LARGE(Checklist!$AE$5:$AE$304,15),Checklist!$AE$5:$AE$304,0))),""),"")</f>
        <v/>
      </c>
      <c r="E24" s="23">
        <f>IFERROR(IF(LARGE(Checklist!$AE$5:$AE$304,15)&gt;0,IF(INDEX(Checklist!$C$5:$C$304,MATCH(LARGE(Checklist!$AE$5:$AE$304,15),Checklist!$AE$5:$AE$304,0))="","",INDEX(Checklist!$C$5:$C$304,MATCH(LARGE(Checklist!$AE$5:$AE$304,15),Checklist!$AE$5:$AE$304,0))),""),"")</f>
        <v/>
      </c>
      <c r="F24" s="25">
        <f>IFERROR(IF(LARGE(Checklist!$AE$5:$AE$304,15)&gt;0,IF(INDEX(Checklist!$Y$5:$Y$304,MATCH(LARGE(Checklist!$AE$5:$AE$304,15),Checklist!$AE$5:$AE$304,0))="","",INDEX(Checklist!$Y$5:$Y$304,MATCH(LARGE(Checklist!$AE$5:$AE$304,15),Checklist!$AE$5:$AE$304,0))),""),"")</f>
        <v/>
      </c>
      <c r="G24" s="25">
        <f>IFERROR(IF(LARGE(Checklist!$AE$5:$AE$304,15)&gt;0,IF(INDEX(Checklist!$Z$5:$Z$304,MATCH(LARGE(Checklist!$AE$5:$AE$304,15),Checklist!$AE$5:$AE$304,0))="","",INDEX(Checklist!$Z$5:$Z$304,MATCH(LARGE(Checklist!$AE$5:$AE$304,15),Checklist!$AE$5:$AE$304,0))),""),"")</f>
        <v/>
      </c>
      <c r="H24" s="23">
        <f>IFERROR(IF(LARGE(Checklist!$AE$5:$AE$304,15)&gt;0,IF(INDEX(Checklist!$AC$5:$AC$304,MATCH(LARGE(Checklist!$AE$5:$AE$304,15),Checklist!$AE$5:$AE$304,0))="","",INDEX(Checklist!$AC$5:$AC$304,MATCH(LARGE(Checklist!$AE$5:$AE$304,15),Checklist!$AE$5:$AE$304,0))),""),"")</f>
        <v/>
      </c>
      <c r="I24" s="26">
        <f>IFERROR(IF(LARGE(Checklist!$AE$5:$AE$304,15)&gt;0,IF(INDEX(Checklist!$AD$5:$AD$304,MATCH(LARGE(Checklist!$AE$5:$AE$304,15),Checklist!$AE$5:$AE$304,0))="","",INDEX(Checklist!$AD$5:$AD$304,MATCH(LARGE(Checklist!$AE$5:$AE$304,15),Checklist!$AE$5:$AE$304,0))),""),"")</f>
        <v/>
      </c>
      <c r="J24" s="22" t="n"/>
    </row>
    <row r="26">
      <c r="A26" s="19" t="inlineStr">
        <is>
          <t>Item mais esquecido</t>
        </is>
      </c>
    </row>
    <row r="27">
      <c r="A27" s="20" t="inlineStr">
        <is>
          <t>Abertura: conta todos os casos cadastrados. Encerramento: só os casos com situação Encerrado. Item pendente muitas vezes é sinal de que a rotina de abertura precisa mudar.</t>
        </is>
      </c>
    </row>
    <row r="28" ht="26" customHeight="1">
      <c r="A28" s="21" t="inlineStr">
        <is>
          <t>Item de abertura</t>
        </is>
      </c>
      <c r="B28" s="22" t="n"/>
      <c r="C28" s="21" t="inlineStr">
        <is>
          <t>Pendente em</t>
        </is>
      </c>
      <c r="D28" s="21" t="inlineStr">
        <is>
          <t>Feito em</t>
        </is>
      </c>
      <c r="E28" s="21" t="inlineStr">
        <is>
          <t>N/A</t>
        </is>
      </c>
      <c r="F28" s="27" t="inlineStr"/>
      <c r="G28" s="21" t="inlineStr">
        <is>
          <t>Item de encerramento</t>
        </is>
      </c>
      <c r="H28" s="21" t="inlineStr">
        <is>
          <t>Pendente em</t>
        </is>
      </c>
      <c r="I28" s="21" t="inlineStr">
        <is>
          <t>Feito em</t>
        </is>
      </c>
      <c r="J28" s="21" t="inlineStr">
        <is>
          <t>N/A</t>
        </is>
      </c>
    </row>
    <row r="29">
      <c r="A29" s="24" t="str">
        <f>IF(Config!$B$10="","",Config!$B$10)</f>
        <v>Contrato de honorários assinado</v>
      </c>
      <c r="B29" s="23" t="n"/>
      <c r="C29" s="23">
        <f>IF(Config!$B$10="","",COUNTIFS(Checklist!$A$5:$A$304,"&lt;&gt;",Checklist!$E$5:$E$304,"&lt;&gt;Sim",Checklist!$E$5:$E$304,"&lt;&gt;N/A"))</f>
        <v>1</v>
      </c>
      <c r="D29" s="23">
        <f>IF(Config!$B$10="","",COUNTIFS(Checklist!$A$5:$A$304,"&lt;&gt;",Checklist!$E$5:$E$304,"Sim"))</f>
        <v>37</v>
      </c>
      <c r="E29" s="23">
        <f>IF(Config!$B$10="","",COUNTIFS(Checklist!$A$5:$A$304,"&lt;&gt;",Checklist!$E$5:$E$304,"N/A"))</f>
        <v>0</v>
      </c>
      <c r="G29" s="24" t="str">
        <f>IF(Config!$D$10="","",Config!$D$10)</f>
        <v>Última parcela cobrada e recebida</v>
      </c>
      <c r="H29" s="23">
        <f>IF(Config!$D$10="","",COUNTIFS(Checklist!$D$5:$D$304,"Encerrado",Checklist!$O$5:$O$304,"&lt;&gt;Sim",Checklist!$O$5:$O$304,"&lt;&gt;N/A"))</f>
        <v>0</v>
      </c>
      <c r="I29" s="23">
        <f>IF(Config!$D$10="","",COUNTIFS(Checklist!$D$5:$D$304,"Encerrado",Checklist!$O$5:$O$304,"Sim"))</f>
        <v>8</v>
      </c>
      <c r="J29" s="23">
        <f>IF(Config!$D$10="","",COUNTIFS(Checklist!$D$5:$D$304,"Encerrado",Checklist!$O$5:$O$304,"N/A"))</f>
        <v>0</v>
      </c>
    </row>
    <row r="30">
      <c r="A30" s="24" t="str">
        <f>IF(Config!$B$11="","",Config!$B$11)</f>
        <v>Procuração recebida</v>
      </c>
      <c r="B30" s="23" t="n"/>
      <c r="C30" s="23">
        <f>IF(Config!$B$11="","",COUNTIFS(Checklist!$A$5:$A$304,"&lt;&gt;",Checklist!$F$5:$F$304,"&lt;&gt;Sim",Checklist!$F$5:$F$304,"&lt;&gt;N/A"))</f>
        <v>1</v>
      </c>
      <c r="D30" s="23">
        <f>IF(Config!$B$11="","",COUNTIFS(Checklist!$A$5:$A$304,"&lt;&gt;",Checklist!$F$5:$F$304,"Sim"))</f>
        <v>30</v>
      </c>
      <c r="E30" s="23">
        <f>IF(Config!$B$11="","",COUNTIFS(Checklist!$A$5:$A$304,"&lt;&gt;",Checklist!$F$5:$F$304,"N/A"))</f>
        <v>7</v>
      </c>
      <c r="G30" s="24" t="str">
        <f>IF(Config!$D$11="","",Config!$D$11)</f>
        <v>Cliente avisado do encerramento</v>
      </c>
      <c r="H30" s="23">
        <f>IF(Config!$D$11="","",COUNTIFS(Checklist!$D$5:$D$304,"Encerrado",Checklist!$P$5:$P$304,"&lt;&gt;Sim",Checklist!$P$5:$P$304,"&lt;&gt;N/A"))</f>
        <v>0</v>
      </c>
      <c r="I30" s="23">
        <f>IF(Config!$D$11="","",COUNTIFS(Checklist!$D$5:$D$304,"Encerrado",Checklist!$P$5:$P$304,"Sim"))</f>
        <v>8</v>
      </c>
      <c r="J30" s="23">
        <f>IF(Config!$D$11="","",COUNTIFS(Checklist!$D$5:$D$304,"Encerrado",Checklist!$P$5:$P$304,"N/A"))</f>
        <v>0</v>
      </c>
    </row>
    <row r="31">
      <c r="A31" s="24" t="str">
        <f>IF(Config!$B$12="","",Config!$B$12)</f>
        <v>Documentos do cliente recebidos</v>
      </c>
      <c r="B31" s="23" t="n"/>
      <c r="C31" s="23">
        <f>IF(Config!$B$12="","",COUNTIFS(Checklist!$A$5:$A$304,"&lt;&gt;",Checklist!$G$5:$G$304,"&lt;&gt;Sim",Checklist!$G$5:$G$304,"&lt;&gt;N/A"))</f>
        <v>1</v>
      </c>
      <c r="D31" s="23">
        <f>IF(Config!$B$12="","",COUNTIFS(Checklist!$A$5:$A$304,"&lt;&gt;",Checklist!$G$5:$G$304,"Sim"))</f>
        <v>37</v>
      </c>
      <c r="E31" s="23">
        <f>IF(Config!$B$12="","",COUNTIFS(Checklist!$A$5:$A$304,"&lt;&gt;",Checklist!$G$5:$G$304,"N/A"))</f>
        <v>0</v>
      </c>
      <c r="G31" s="24" t="str">
        <f>IF(Config!$D$12="","",Config!$D$12)</f>
        <v>Documentos devolvidos ao cliente</v>
      </c>
      <c r="H31" s="23">
        <f>IF(Config!$D$12="","",COUNTIFS(Checklist!$D$5:$D$304,"Encerrado",Checklist!$Q$5:$Q$304,"&lt;&gt;Sim",Checklist!$Q$5:$Q$304,"&lt;&gt;N/A"))</f>
        <v>1</v>
      </c>
      <c r="I31" s="23">
        <f>IF(Config!$D$12="","",COUNTIFS(Checklist!$D$5:$D$304,"Encerrado",Checklist!$Q$5:$Q$304,"Sim"))</f>
        <v>7</v>
      </c>
      <c r="J31" s="23">
        <f>IF(Config!$D$12="","",COUNTIFS(Checklist!$D$5:$D$304,"Encerrado",Checklist!$Q$5:$Q$304,"N/A"))</f>
        <v>0</v>
      </c>
    </row>
    <row r="32">
      <c r="A32" s="24" t="str">
        <f>IF(Config!$B$13="","",Config!$B$13)</f>
        <v>Honorário e forma de pagamento definidos</v>
      </c>
      <c r="B32" s="23" t="n"/>
      <c r="C32" s="23">
        <f>IF(Config!$B$13="","",COUNTIFS(Checklist!$A$5:$A$304,"&lt;&gt;",Checklist!$H$5:$H$304,"&lt;&gt;Sim",Checklist!$H$5:$H$304,"&lt;&gt;N/A"))</f>
        <v>1</v>
      </c>
      <c r="D32" s="23">
        <f>IF(Config!$B$13="","",COUNTIFS(Checklist!$A$5:$A$304,"&lt;&gt;",Checklist!$H$5:$H$304,"Sim"))</f>
        <v>37</v>
      </c>
      <c r="E32" s="23">
        <f>IF(Config!$B$13="","",COUNTIFS(Checklist!$A$5:$A$304,"&lt;&gt;",Checklist!$H$5:$H$304,"N/A"))</f>
        <v>0</v>
      </c>
      <c r="G32" s="24" t="str">
        <f>IF(Config!$D$13="","",Config!$D$13)</f>
        <v>Pasta arquivada</v>
      </c>
      <c r="H32" s="23">
        <f>IF(Config!$D$13="","",COUNTIFS(Checklist!$D$5:$D$304,"Encerrado",Checklist!$R$5:$R$304,"&lt;&gt;Sim",Checklist!$R$5:$R$304,"&lt;&gt;N/A"))</f>
        <v>1</v>
      </c>
      <c r="I32" s="23">
        <f>IF(Config!$D$13="","",COUNTIFS(Checklist!$D$5:$D$304,"Encerrado",Checklist!$R$5:$R$304,"Sim"))</f>
        <v>7</v>
      </c>
      <c r="J32" s="23">
        <f>IF(Config!$D$13="","",COUNTIFS(Checklist!$D$5:$D$304,"Encerrado",Checklist!$R$5:$R$304,"N/A"))</f>
        <v>0</v>
      </c>
    </row>
    <row r="33">
      <c r="A33" s="24" t="str">
        <f>IF(Config!$B$14="","",Config!$B$14)</f>
        <v>Caso cadastrado no caixa e na carteira</v>
      </c>
      <c r="B33" s="23" t="n"/>
      <c r="C33" s="23">
        <f>IF(Config!$B$14="","",COUNTIFS(Checklist!$A$5:$A$304,"&lt;&gt;",Checklist!$I$5:$I$304,"&lt;&gt;Sim",Checklist!$I$5:$I$304,"&lt;&gt;N/A"))</f>
        <v>2</v>
      </c>
      <c r="D33" s="23">
        <f>IF(Config!$B$14="","",COUNTIFS(Checklist!$A$5:$A$304,"&lt;&gt;",Checklist!$I$5:$I$304,"Sim"))</f>
        <v>36</v>
      </c>
      <c r="E33" s="23">
        <f>IF(Config!$B$14="","",COUNTIFS(Checklist!$A$5:$A$304,"&lt;&gt;",Checklist!$I$5:$I$304,"N/A"))</f>
        <v>0</v>
      </c>
      <c r="G33" s="24" t="str">
        <f>IF(Config!$D$14="","",Config!$D$14)</f>
        <v>Caso marcado como encerrado na carteira</v>
      </c>
      <c r="H33" s="23">
        <f>IF(Config!$D$14="","",COUNTIFS(Checklist!$D$5:$D$304,"Encerrado",Checklist!$S$5:$S$304,"&lt;&gt;Sim",Checklist!$S$5:$S$304,"&lt;&gt;N/A"))</f>
        <v>0</v>
      </c>
      <c r="I33" s="23">
        <f>IF(Config!$D$14="","",COUNTIFS(Checklist!$D$5:$D$304,"Encerrado",Checklist!$S$5:$S$304,"Sim"))</f>
        <v>8</v>
      </c>
      <c r="J33" s="23">
        <f>IF(Config!$D$14="","",COUNTIFS(Checklist!$D$5:$D$304,"Encerrado",Checklist!$S$5:$S$304,"N/A"))</f>
        <v>0</v>
      </c>
    </row>
    <row r="34">
      <c r="A34" s="24" t="str">
        <f>IF(Config!$B$15="","",Config!$B$15)</f>
        <v>Responsável definido</v>
      </c>
      <c r="B34" s="23" t="n"/>
      <c r="C34" s="23">
        <f>IF(Config!$B$15="","",COUNTIFS(Checklist!$A$5:$A$304,"&lt;&gt;",Checklist!$J$5:$J$304,"&lt;&gt;Sim",Checklist!$J$5:$J$304,"&lt;&gt;N/A"))</f>
        <v>0</v>
      </c>
      <c r="D34" s="23">
        <f>IF(Config!$B$15="","",COUNTIFS(Checklist!$A$5:$A$304,"&lt;&gt;",Checklist!$J$5:$J$304,"Sim"))</f>
        <v>38</v>
      </c>
      <c r="E34" s="23">
        <f>IF(Config!$B$15="","",COUNTIFS(Checklist!$A$5:$A$304,"&lt;&gt;",Checklist!$J$5:$J$304,"N/A"))</f>
        <v>0</v>
      </c>
      <c r="G34" s="24" t="str">
        <f>IF(Config!$D$15="","",Config!$D$15)</f>
        <v>Avaliação do cliente pedida</v>
      </c>
      <c r="H34" s="23">
        <f>IF(Config!$D$15="","",COUNTIFS(Checklist!$D$5:$D$304,"Encerrado",Checklist!$T$5:$T$304,"&lt;&gt;Sim",Checklist!$T$5:$T$304,"&lt;&gt;N/A"))</f>
        <v>2</v>
      </c>
      <c r="I34" s="23">
        <f>IF(Config!$D$15="","",COUNTIFS(Checklist!$D$5:$D$304,"Encerrado",Checklist!$T$5:$T$304,"Sim"))</f>
        <v>6</v>
      </c>
      <c r="J34" s="23">
        <f>IF(Config!$D$15="","",COUNTIFS(Checklist!$D$5:$D$304,"Encerrado",Checklist!$T$5:$T$304,"N/A"))</f>
        <v>0</v>
      </c>
    </row>
    <row r="35">
      <c r="A35" s="24" t="str">
        <f>IF(Config!$B$16="","",Config!$B$16)</f>
        <v>Primeiro prazo na agenda</v>
      </c>
      <c r="B35" s="23" t="n"/>
      <c r="C35" s="23">
        <f>IF(Config!$B$16="","",COUNTIFS(Checklist!$A$5:$A$304,"&lt;&gt;",Checklist!$K$5:$K$304,"&lt;&gt;Sim",Checklist!$K$5:$K$304,"&lt;&gt;N/A"))</f>
        <v>0</v>
      </c>
      <c r="D35" s="23">
        <f>IF(Config!$B$16="","",COUNTIFS(Checklist!$A$5:$A$304,"&lt;&gt;",Checklist!$K$5:$K$304,"Sim"))</f>
        <v>31</v>
      </c>
      <c r="E35" s="23">
        <f>IF(Config!$B$16="","",COUNTIFS(Checklist!$A$5:$A$304,"&lt;&gt;",Checklist!$K$5:$K$304,"N/A"))</f>
        <v>7</v>
      </c>
      <c r="G35" s="24" t="str">
        <f>IF(Config!$D$16="","",Config!$D$16)</f>
        <v>Prazos do caso baixados na agenda</v>
      </c>
      <c r="H35" s="23">
        <f>IF(Config!$D$16="","",COUNTIFS(Checklist!$D$5:$D$304,"Encerrado",Checklist!$U$5:$U$304,"&lt;&gt;Sim",Checklist!$U$5:$U$304,"&lt;&gt;N/A"))</f>
        <v>0</v>
      </c>
      <c r="I35" s="23">
        <f>IF(Config!$D$16="","",COUNTIFS(Checklist!$D$5:$D$304,"Encerrado",Checklist!$U$5:$U$304,"Sim"))</f>
        <v>8</v>
      </c>
      <c r="J35" s="23">
        <f>IF(Config!$D$16="","",COUNTIFS(Checklist!$D$5:$D$304,"Encerrado",Checklist!$U$5:$U$304,"N/A"))</f>
        <v>0</v>
      </c>
    </row>
    <row r="36">
      <c r="A36" s="24" t="str">
        <f>IF(Config!$B$17="","",Config!$B$17)</f>
        <v>Canal de contato combinado com o cliente</v>
      </c>
      <c r="B36" s="23" t="n"/>
      <c r="C36" s="23">
        <f>IF(Config!$B$17="","",COUNTIFS(Checklist!$A$5:$A$304,"&lt;&gt;",Checklist!$L$5:$L$304,"&lt;&gt;Sim",Checklist!$L$5:$L$304,"&lt;&gt;N/A"))</f>
        <v>1</v>
      </c>
      <c r="D36" s="23">
        <f>IF(Config!$B$17="","",COUNTIFS(Checklist!$A$5:$A$304,"&lt;&gt;",Checklist!$L$5:$L$304,"Sim"))</f>
        <v>37</v>
      </c>
      <c r="E36" s="23">
        <f>IF(Config!$B$17="","",COUNTIFS(Checklist!$A$5:$A$304,"&lt;&gt;",Checklist!$L$5:$L$304,"N/A"))</f>
        <v>0</v>
      </c>
      <c r="G36" s="24" t="str">
        <f>IF(Config!$D$17="","",Config!$D$17)</f>
        <v>Horas do caso fechadas</v>
      </c>
      <c r="H36" s="23">
        <f>IF(Config!$D$17="","",COUNTIFS(Checklist!$D$5:$D$304,"Encerrado",Checklist!$V$5:$V$304,"&lt;&gt;Sim",Checklist!$V$5:$V$304,"&lt;&gt;N/A"))</f>
        <v>0</v>
      </c>
      <c r="I36" s="23">
        <f>IF(Config!$D$17="","",COUNTIFS(Checklist!$D$5:$D$304,"Encerrado",Checklist!$V$5:$V$304,"Sim"))</f>
        <v>8</v>
      </c>
      <c r="J36" s="23">
        <f>IF(Config!$D$17="","",COUNTIFS(Checklist!$D$5:$D$304,"Encerrado",Checklist!$V$5:$V$304,"N/A"))</f>
        <v>0</v>
      </c>
    </row>
    <row r="37">
      <c r="A37" s="24" t="str">
        <f>IF(Config!$B$18="","",Config!$B$18)</f>
        <v>Pasta do caso criada (física ou digital)</v>
      </c>
      <c r="B37" s="23" t="n"/>
      <c r="C37" s="23">
        <f>IF(Config!$B$18="","",COUNTIFS(Checklist!$A$5:$A$304,"&lt;&gt;",Checklist!$M$5:$M$304,"&lt;&gt;Sim",Checklist!$M$5:$M$304,"&lt;&gt;N/A"))</f>
        <v>1</v>
      </c>
      <c r="D37" s="23">
        <f>IF(Config!$B$18="","",COUNTIFS(Checklist!$A$5:$A$304,"&lt;&gt;",Checklist!$M$5:$M$304,"Sim"))</f>
        <v>37</v>
      </c>
      <c r="E37" s="23">
        <f>IF(Config!$B$18="","",COUNTIFS(Checklist!$A$5:$A$304,"&lt;&gt;",Checklist!$M$5:$M$304,"N/A"))</f>
        <v>0</v>
      </c>
      <c r="G37" s="24">
        <f>IF(Config!$D$18="","",Config!$D$18)</f>
        <v/>
      </c>
      <c r="H37" s="23">
        <f>IF(Config!$D$18="","",COUNTIFS(Checklist!$D$5:$D$304,"Encerrado",Checklist!$W$5:$W$304,"&lt;&gt;Sim",Checklist!$W$5:$W$304,"&lt;&gt;N/A"))</f>
        <v/>
      </c>
      <c r="I37" s="23">
        <f>IF(Config!$D$18="","",COUNTIFS(Checklist!$D$5:$D$304,"Encerrado",Checklist!$W$5:$W$304,"Sim"))</f>
        <v/>
      </c>
      <c r="J37" s="23">
        <f>IF(Config!$D$18="","",COUNTIFS(Checklist!$D$5:$D$304,"Encerrado",Checklist!$W$5:$W$304,"N/A"))</f>
        <v/>
      </c>
    </row>
    <row r="38">
      <c r="A38" s="24">
        <f>IF(Config!$B$19="","",Config!$B$19)</f>
        <v/>
      </c>
      <c r="B38" s="23" t="n"/>
      <c r="C38" s="23">
        <f>IF(Config!$B$19="","",COUNTIFS(Checklist!$A$5:$A$304,"&lt;&gt;",Checklist!$N$5:$N$304,"&lt;&gt;Sim",Checklist!$N$5:$N$304,"&lt;&gt;N/A"))</f>
        <v/>
      </c>
      <c r="D38" s="23">
        <f>IF(Config!$B$19="","",COUNTIFS(Checklist!$A$5:$A$304,"&lt;&gt;",Checklist!$N$5:$N$304,"Sim"))</f>
        <v/>
      </c>
      <c r="E38" s="23">
        <f>IF(Config!$B$19="","",COUNTIFS(Checklist!$A$5:$A$304,"&lt;&gt;",Checklist!$N$5:$N$304,"N/A"))</f>
        <v/>
      </c>
      <c r="G38" s="24">
        <f>IF(Config!$D$19="","",Config!$D$19)</f>
        <v/>
      </c>
      <c r="H38" s="23">
        <f>IF(Config!$D$19="","",COUNTIFS(Checklist!$D$5:$D$304,"Encerrado",Checklist!$X$5:$X$304,"&lt;&gt;Sim",Checklist!$X$5:$X$304,"&lt;&gt;N/A"))</f>
        <v/>
      </c>
      <c r="I38" s="23">
        <f>IF(Config!$D$19="","",COUNTIFS(Checklist!$D$5:$D$304,"Encerrado",Checklist!$X$5:$X$304,"Sim"))</f>
        <v/>
      </c>
      <c r="J38" s="23">
        <f>IF(Config!$D$19="","",COUNTIFS(Checklist!$D$5:$D$304,"Encerrado",Checklist!$X$5:$X$304,"N/A"))</f>
        <v/>
      </c>
    </row>
    <row r="41">
      <c r="A41" s="19" t="inlineStr">
        <is>
          <t>Por responsável</t>
        </is>
      </c>
    </row>
    <row r="42" ht="26" customHeight="1">
      <c r="A42" s="21" t="inlineStr">
        <is>
          <t>Responsável</t>
        </is>
      </c>
      <c r="B42" s="22" t="n"/>
      <c r="C42" s="21" t="inlineStr">
        <is>
          <t>Casos</t>
        </is>
      </c>
      <c r="D42" s="21" t="inlineStr">
        <is>
          <t>Em andamento</t>
        </is>
      </c>
      <c r="E42" s="21" t="inlineStr">
        <is>
          <t>Encerrados</t>
        </is>
      </c>
      <c r="F42" s="21" t="inlineStr">
        <is>
          <t>Com pendência</t>
        </is>
      </c>
      <c r="G42" s="21" t="inlineStr">
        <is>
          <t>Itens pendentes</t>
        </is>
      </c>
    </row>
    <row r="43">
      <c r="A43" s="24" t="str">
        <f>IF(Config!$F$10="","",Config!$F$10)</f>
        <v>Marina Ferraz</v>
      </c>
      <c r="B43" s="23" t="n"/>
      <c r="C43" s="23">
        <f>IF(Config!$F$10="","",COUNTIFS(Checklist!$C$5:$C$304,Config!$F$10,Checklist!$A$5:$A$304,"&lt;&gt;"))</f>
        <v>19</v>
      </c>
      <c r="D43" s="23">
        <f>IF(Config!$F$10="","",COUNTIFS(Checklist!$C$5:$C$304,Config!$F$10,Checklist!$D$5:$D$304,"Em andamento"))</f>
        <v>15</v>
      </c>
      <c r="E43" s="23">
        <f>IF(Config!$F$10="","",COUNTIFS(Checklist!$C$5:$C$304,Config!$F$10,Checklist!$D$5:$D$304,"Encerrado"))</f>
        <v>4</v>
      </c>
      <c r="F43" s="23">
        <f>IF(Config!$F$10="","",COUNTIFS(Checklist!$C$5:$C$304,Config!$F$10,Checklist!$AC$5:$AC$304,"&gt;0"))</f>
        <v>4</v>
      </c>
      <c r="G43" s="23">
        <f>IF(Config!$F$10="","",SUMIFS(Checklist!$AC$5:$AC$304,Checklist!$C$5:$C$304,Config!$F$10))</f>
        <v>4</v>
      </c>
    </row>
    <row r="44">
      <c r="A44" s="24" t="str">
        <f>IF(Config!$F$11="","",Config!$F$11)</f>
        <v>Rafael Lima</v>
      </c>
      <c r="B44" s="23" t="n"/>
      <c r="C44" s="23">
        <f>IF(Config!$F$11="","",COUNTIFS(Checklist!$C$5:$C$304,Config!$F$11,Checklist!$A$5:$A$304,"&lt;&gt;"))</f>
        <v>19</v>
      </c>
      <c r="D44" s="23">
        <f>IF(Config!$F$11="","",COUNTIFS(Checklist!$C$5:$C$304,Config!$F$11,Checklist!$D$5:$D$304,"Em andamento"))</f>
        <v>15</v>
      </c>
      <c r="E44" s="23">
        <f>IF(Config!$F$11="","",COUNTIFS(Checklist!$C$5:$C$304,Config!$F$11,Checklist!$D$5:$D$304,"Encerrado"))</f>
        <v>4</v>
      </c>
      <c r="F44" s="23">
        <f>IF(Config!$F$11="","",COUNTIFS(Checklist!$C$5:$C$304,Config!$F$11,Checklist!$AC$5:$AC$304,"&gt;0"))</f>
        <v>6</v>
      </c>
      <c r="G44" s="23">
        <f>IF(Config!$F$11="","",SUMIFS(Checklist!$AC$5:$AC$304,Checklist!$C$5:$C$304,Config!$F$11))</f>
        <v>8</v>
      </c>
    </row>
    <row r="45">
      <c r="A45" s="24" t="str">
        <f>IF(Config!$F$12="","",Config!$F$12)</f>
        <v>Júlia Prado</v>
      </c>
      <c r="B45" s="23" t="n"/>
      <c r="C45" s="23">
        <f>IF(Config!$F$12="","",COUNTIFS(Checklist!$C$5:$C$304,Config!$F$12,Checklist!$A$5:$A$304,"&lt;&gt;"))</f>
        <v>0</v>
      </c>
      <c r="D45" s="23">
        <f>IF(Config!$F$12="","",COUNTIFS(Checklist!$C$5:$C$304,Config!$F$12,Checklist!$D$5:$D$304,"Em andamento"))</f>
        <v>0</v>
      </c>
      <c r="E45" s="23">
        <f>IF(Config!$F$12="","",COUNTIFS(Checklist!$C$5:$C$304,Config!$F$12,Checklist!$D$5:$D$304,"Encerrado"))</f>
        <v>0</v>
      </c>
      <c r="F45" s="23">
        <f>IF(Config!$F$12="","",COUNTIFS(Checklist!$C$5:$C$304,Config!$F$12,Checklist!$AC$5:$AC$304,"&gt;0"))</f>
        <v>0</v>
      </c>
      <c r="G45" s="23">
        <f>IF(Config!$F$12="","",SUMIFS(Checklist!$AC$5:$AC$304,Checklist!$C$5:$C$304,Config!$F$12))</f>
        <v>0</v>
      </c>
    </row>
    <row r="46">
      <c r="A46" s="24">
        <f>IF(Config!$F$13="","",Config!$F$13)</f>
        <v/>
      </c>
      <c r="B46" s="23" t="n"/>
      <c r="C46" s="23">
        <f>IF(Config!$F$13="","",COUNTIFS(Checklist!$C$5:$C$304,Config!$F$13,Checklist!$A$5:$A$304,"&lt;&gt;"))</f>
        <v/>
      </c>
      <c r="D46" s="23">
        <f>IF(Config!$F$13="","",COUNTIFS(Checklist!$C$5:$C$304,Config!$F$13,Checklist!$D$5:$D$304,"Em andamento"))</f>
        <v/>
      </c>
      <c r="E46" s="23">
        <f>IF(Config!$F$13="","",COUNTIFS(Checklist!$C$5:$C$304,Config!$F$13,Checklist!$D$5:$D$304,"Encerrado"))</f>
        <v/>
      </c>
      <c r="F46" s="23">
        <f>IF(Config!$F$13="","",COUNTIFS(Checklist!$C$5:$C$304,Config!$F$13,Checklist!$AC$5:$AC$304,"&gt;0"))</f>
        <v/>
      </c>
      <c r="G46" s="23">
        <f>IF(Config!$F$13="","",SUMIFS(Checklist!$AC$5:$AC$304,Checklist!$C$5:$C$304,Config!$F$13))</f>
        <v/>
      </c>
    </row>
    <row r="47">
      <c r="A47" s="24">
        <f>IF(Config!$F$14="","",Config!$F$14)</f>
        <v/>
      </c>
      <c r="B47" s="23" t="n"/>
      <c r="C47" s="23">
        <f>IF(Config!$F$14="","",COUNTIFS(Checklist!$C$5:$C$304,Config!$F$14,Checklist!$A$5:$A$304,"&lt;&gt;"))</f>
        <v/>
      </c>
      <c r="D47" s="23">
        <f>IF(Config!$F$14="","",COUNTIFS(Checklist!$C$5:$C$304,Config!$F$14,Checklist!$D$5:$D$304,"Em andamento"))</f>
        <v/>
      </c>
      <c r="E47" s="23">
        <f>IF(Config!$F$14="","",COUNTIFS(Checklist!$C$5:$C$304,Config!$F$14,Checklist!$D$5:$D$304,"Encerrado"))</f>
        <v/>
      </c>
      <c r="F47" s="23">
        <f>IF(Config!$F$14="","",COUNTIFS(Checklist!$C$5:$C$304,Config!$F$14,Checklist!$AC$5:$AC$304,"&gt;0"))</f>
        <v/>
      </c>
      <c r="G47" s="23">
        <f>IF(Config!$F$14="","",SUMIFS(Checklist!$AC$5:$AC$304,Checklist!$C$5:$C$304,Config!$F$14))</f>
        <v/>
      </c>
    </row>
    <row r="48">
      <c r="A48" s="24">
        <f>IF(Config!$F$15="","",Config!$F$15)</f>
        <v/>
      </c>
      <c r="B48" s="23" t="n"/>
      <c r="C48" s="23">
        <f>IF(Config!$F$15="","",COUNTIFS(Checklist!$C$5:$C$304,Config!$F$15,Checklist!$A$5:$A$304,"&lt;&gt;"))</f>
        <v/>
      </c>
      <c r="D48" s="23">
        <f>IF(Config!$F$15="","",COUNTIFS(Checklist!$C$5:$C$304,Config!$F$15,Checklist!$D$5:$D$304,"Em andamento"))</f>
        <v/>
      </c>
      <c r="E48" s="23">
        <f>IF(Config!$F$15="","",COUNTIFS(Checklist!$C$5:$C$304,Config!$F$15,Checklist!$D$5:$D$304,"Encerrado"))</f>
        <v/>
      </c>
      <c r="F48" s="23">
        <f>IF(Config!$F$15="","",COUNTIFS(Checklist!$C$5:$C$304,Config!$F$15,Checklist!$AC$5:$AC$304,"&gt;0"))</f>
        <v/>
      </c>
      <c r="G48" s="23">
        <f>IF(Config!$F$15="","",SUMIFS(Checklist!$AC$5:$AC$304,Checklist!$C$5:$C$304,Config!$F$15))</f>
        <v/>
      </c>
    </row>
    <row r="49">
      <c r="A49" s="24">
        <f>IF(Config!$F$16="","",Config!$F$16)</f>
        <v/>
      </c>
      <c r="B49" s="23" t="n"/>
      <c r="C49" s="23">
        <f>IF(Config!$F$16="","",COUNTIFS(Checklist!$C$5:$C$304,Config!$F$16,Checklist!$A$5:$A$304,"&lt;&gt;"))</f>
        <v/>
      </c>
      <c r="D49" s="23">
        <f>IF(Config!$F$16="","",COUNTIFS(Checklist!$C$5:$C$304,Config!$F$16,Checklist!$D$5:$D$304,"Em andamento"))</f>
        <v/>
      </c>
      <c r="E49" s="23">
        <f>IF(Config!$F$16="","",COUNTIFS(Checklist!$C$5:$C$304,Config!$F$16,Checklist!$D$5:$D$304,"Encerrado"))</f>
        <v/>
      </c>
      <c r="F49" s="23">
        <f>IF(Config!$F$16="","",COUNTIFS(Checklist!$C$5:$C$304,Config!$F$16,Checklist!$AC$5:$AC$304,"&gt;0"))</f>
        <v/>
      </c>
      <c r="G49" s="23">
        <f>IF(Config!$F$16="","",SUMIFS(Checklist!$AC$5:$AC$304,Checklist!$C$5:$C$304,Config!$F$16))</f>
        <v/>
      </c>
    </row>
    <row r="50">
      <c r="A50" s="24">
        <f>IF(Config!$F$17="","",Config!$F$17)</f>
        <v/>
      </c>
      <c r="B50" s="23" t="n"/>
      <c r="C50" s="23">
        <f>IF(Config!$F$17="","",COUNTIFS(Checklist!$C$5:$C$304,Config!$F$17,Checklist!$A$5:$A$304,"&lt;&gt;"))</f>
        <v/>
      </c>
      <c r="D50" s="23">
        <f>IF(Config!$F$17="","",COUNTIFS(Checklist!$C$5:$C$304,Config!$F$17,Checklist!$D$5:$D$304,"Em andamento"))</f>
        <v/>
      </c>
      <c r="E50" s="23">
        <f>IF(Config!$F$17="","",COUNTIFS(Checklist!$C$5:$C$304,Config!$F$17,Checklist!$D$5:$D$304,"Encerrado"))</f>
        <v/>
      </c>
      <c r="F50" s="23">
        <f>IF(Config!$F$17="","",COUNTIFS(Checklist!$C$5:$C$304,Config!$F$17,Checklist!$AC$5:$AC$304,"&gt;0"))</f>
        <v/>
      </c>
      <c r="G50" s="23">
        <f>IF(Config!$F$17="","",SUMIFS(Checklist!$AC$5:$AC$304,Checklist!$C$5:$C$304,Config!$F$17))</f>
        <v/>
      </c>
    </row>
    <row r="51">
      <c r="A51" s="24">
        <f>IF(Config!$F$18="","",Config!$F$18)</f>
        <v/>
      </c>
      <c r="B51" s="23" t="n"/>
      <c r="C51" s="23">
        <f>IF(Config!$F$18="","",COUNTIFS(Checklist!$C$5:$C$304,Config!$F$18,Checklist!$A$5:$A$304,"&lt;&gt;"))</f>
        <v/>
      </c>
      <c r="D51" s="23">
        <f>IF(Config!$F$18="","",COUNTIFS(Checklist!$C$5:$C$304,Config!$F$18,Checklist!$D$5:$D$304,"Em andamento"))</f>
        <v/>
      </c>
      <c r="E51" s="23">
        <f>IF(Config!$F$18="","",COUNTIFS(Checklist!$C$5:$C$304,Config!$F$18,Checklist!$D$5:$D$304,"Encerrado"))</f>
        <v/>
      </c>
      <c r="F51" s="23">
        <f>IF(Config!$F$18="","",COUNTIFS(Checklist!$C$5:$C$304,Config!$F$18,Checklist!$AC$5:$AC$304,"&gt;0"))</f>
        <v/>
      </c>
      <c r="G51" s="23">
        <f>IF(Config!$F$18="","",SUMIFS(Checklist!$AC$5:$AC$304,Checklist!$C$5:$C$304,Config!$F$18))</f>
        <v/>
      </c>
    </row>
    <row r="52">
      <c r="A52" s="24">
        <f>IF(Config!$F$19="","",Config!$F$19)</f>
        <v/>
      </c>
      <c r="B52" s="23" t="n"/>
      <c r="C52" s="23">
        <f>IF(Config!$F$19="","",COUNTIFS(Checklist!$C$5:$C$304,Config!$F$19,Checklist!$A$5:$A$304,"&lt;&gt;"))</f>
        <v/>
      </c>
      <c r="D52" s="23">
        <f>IF(Config!$F$19="","",COUNTIFS(Checklist!$C$5:$C$304,Config!$F$19,Checklist!$D$5:$D$304,"Em andamento"))</f>
        <v/>
      </c>
      <c r="E52" s="23">
        <f>IF(Config!$F$19="","",COUNTIFS(Checklist!$C$5:$C$304,Config!$F$19,Checklist!$D$5:$D$304,"Encerrado"))</f>
        <v/>
      </c>
      <c r="F52" s="23">
        <f>IF(Config!$F$19="","",COUNTIFS(Checklist!$C$5:$C$304,Config!$F$19,Checklist!$AC$5:$AC$304,"&gt;0"))</f>
        <v/>
      </c>
      <c r="G52" s="23">
        <f>IF(Config!$F$19="","",SUMIFS(Checklist!$AC$5:$AC$304,Checklist!$C$5:$C$304,Config!$F$19))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2">
    <mergeCell ref="A48:B48"/>
    <mergeCell ref="A30:B30"/>
    <mergeCell ref="A8:J8"/>
    <mergeCell ref="I15:J15"/>
    <mergeCell ref="A49:B49"/>
    <mergeCell ref="A51:B51"/>
    <mergeCell ref="C5:D5"/>
    <mergeCell ref="A45:B45"/>
    <mergeCell ref="I11:J11"/>
    <mergeCell ref="E5:F5"/>
    <mergeCell ref="A36:B36"/>
    <mergeCell ref="C4:D4"/>
    <mergeCell ref="E4:F4"/>
    <mergeCell ref="I16:J16"/>
    <mergeCell ref="A37:B37"/>
    <mergeCell ref="A46:B46"/>
    <mergeCell ref="I22:J22"/>
    <mergeCell ref="I18:J18"/>
    <mergeCell ref="A50:B50"/>
    <mergeCell ref="I21:J21"/>
    <mergeCell ref="A1:J1"/>
    <mergeCell ref="I12:J12"/>
    <mergeCell ref="I24:J24"/>
    <mergeCell ref="A33:B33"/>
    <mergeCell ref="A47:B47"/>
    <mergeCell ref="A5:B5"/>
    <mergeCell ref="G5:H5"/>
    <mergeCell ref="A32:B32"/>
    <mergeCell ref="A42:B42"/>
    <mergeCell ref="I5:J5"/>
    <mergeCell ref="I23:J23"/>
    <mergeCell ref="I14:J14"/>
    <mergeCell ref="I17:J17"/>
    <mergeCell ref="A35:B35"/>
    <mergeCell ref="A4:B4"/>
    <mergeCell ref="G4:H4"/>
    <mergeCell ref="A38:B38"/>
    <mergeCell ref="I4:J4"/>
    <mergeCell ref="I20:J20"/>
    <mergeCell ref="A29:B29"/>
    <mergeCell ref="A52:B52"/>
    <mergeCell ref="A43:B43"/>
    <mergeCell ref="I10:J10"/>
    <mergeCell ref="A27:J27"/>
    <mergeCell ref="I19:J19"/>
    <mergeCell ref="A28:B28"/>
    <mergeCell ref="A44:B44"/>
    <mergeCell ref="I13:J13"/>
    <mergeCell ref="A2:J2"/>
    <mergeCell ref="A31:B31"/>
    <mergeCell ref="I9:J9"/>
    <mergeCell ref="A34:B34"/>
  </mergeCells>
  <conditionalFormatting sqref="A10:J24">
    <cfRule type="expression" priority="1" dxfId="0">
      <formula>$D10="Encerrado"</formula>
    </cfRule>
  </conditionalFormatting>
  <conditionalFormatting sqref="H10:H24">
    <cfRule type="expression" priority="2" dxfId="1">
      <formula>AND(ISNUMBER(H10),H10&gt;0)</formula>
    </cfRule>
  </conditionalFormatting>
  <conditionalFormatting sqref="C29:C38">
    <cfRule type="expression" priority="3" dxfId="1">
      <formula>AND(ISNUMBER(C29),C29&gt;0)</formula>
    </cfRule>
  </conditionalFormatting>
  <conditionalFormatting sqref="H29:H38">
    <cfRule type="expression" priority="4" dxfId="1">
      <formula>AND(ISNUMBER(H29),H29&gt;0)</formula>
    </cfRule>
  </conditionalFormatting>
  <conditionalFormatting sqref="F43:F52">
    <cfRule type="expression" priority="5" dxfId="1">
      <formula>AND(ISNUMBER(F43),F43&gt;0)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" customWidth="1" min="3" max="3"/>
    <col width="40" customWidth="1" min="4" max="4"/>
    <col width="4" customWidth="1" min="5" max="5"/>
    <col width="20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Os itens cadastrados aqui viram as colunas da aba Checklist.</t>
        </is>
      </c>
    </row>
    <row r="4">
      <c r="A4" s="28" t="inlineStr">
        <is>
          <t>Escritório</t>
        </is>
      </c>
      <c r="B4" s="29" t="inlineStr">
        <is>
          <t>Ferraz &amp; Lima Advocacia (exemplo fictício)</t>
        </is>
      </c>
    </row>
    <row r="5">
      <c r="A5" s="28" t="inlineStr">
        <is>
          <t>Data de referência (hoje)</t>
        </is>
      </c>
      <c r="B5" s="30" t="n">
        <v>46279</v>
      </c>
      <c r="C5" s="20" t="inlineStr">
        <is>
          <t>O exemplo está congelado em 14/09/2026, para os arquivos do kit mostrarem a mesma foto. Ao usar com os seus dados, troque por =HOJE().</t>
        </is>
      </c>
    </row>
    <row r="9">
      <c r="A9" s="28" t="inlineStr">
        <is>
          <t>Itens de abertura (até 10)</t>
        </is>
      </c>
      <c r="D9" s="28" t="inlineStr">
        <is>
          <t>Itens de encerramento (até 10)</t>
        </is>
      </c>
      <c r="F9" s="28" t="inlineStr">
        <is>
          <t>Responsáveis (até 10)</t>
        </is>
      </c>
    </row>
    <row r="10">
      <c r="B10" s="29" t="inlineStr">
        <is>
          <t>Contrato de honorários assinado</t>
        </is>
      </c>
      <c r="D10" s="29" t="inlineStr">
        <is>
          <t>Última parcela cobrada e recebida</t>
        </is>
      </c>
      <c r="F10" s="29" t="inlineStr">
        <is>
          <t>Marina Ferraz</t>
        </is>
      </c>
    </row>
    <row r="11">
      <c r="B11" s="29" t="inlineStr">
        <is>
          <t>Procuração recebida</t>
        </is>
      </c>
      <c r="D11" s="29" t="inlineStr">
        <is>
          <t>Cliente avisado do encerramento</t>
        </is>
      </c>
      <c r="F11" s="29" t="inlineStr">
        <is>
          <t>Rafael Lima</t>
        </is>
      </c>
    </row>
    <row r="12">
      <c r="B12" s="29" t="inlineStr">
        <is>
          <t>Documentos do cliente recebidos</t>
        </is>
      </c>
      <c r="D12" s="29" t="inlineStr">
        <is>
          <t>Documentos devolvidos ao cliente</t>
        </is>
      </c>
      <c r="F12" s="29" t="inlineStr">
        <is>
          <t>Júlia Prado</t>
        </is>
      </c>
    </row>
    <row r="13">
      <c r="B13" s="29" t="inlineStr">
        <is>
          <t>Honorário e forma de pagamento definidos</t>
        </is>
      </c>
      <c r="D13" s="29" t="inlineStr">
        <is>
          <t>Pasta arquivada</t>
        </is>
      </c>
      <c r="F13" s="29" t="n"/>
    </row>
    <row r="14">
      <c r="B14" s="29" t="inlineStr">
        <is>
          <t>Caso cadastrado no caixa e na carteira</t>
        </is>
      </c>
      <c r="D14" s="29" t="inlineStr">
        <is>
          <t>Caso marcado como encerrado na carteira</t>
        </is>
      </c>
      <c r="F14" s="29" t="n"/>
    </row>
    <row r="15">
      <c r="B15" s="29" t="inlineStr">
        <is>
          <t>Responsável definido</t>
        </is>
      </c>
      <c r="D15" s="29" t="inlineStr">
        <is>
          <t>Avaliação do cliente pedida</t>
        </is>
      </c>
      <c r="F15" s="29" t="n"/>
    </row>
    <row r="16">
      <c r="B16" s="29" t="inlineStr">
        <is>
          <t>Primeiro prazo na agenda</t>
        </is>
      </c>
      <c r="D16" s="29" t="inlineStr">
        <is>
          <t>Prazos do caso baixados na agenda</t>
        </is>
      </c>
      <c r="F16" s="29" t="n"/>
    </row>
    <row r="17">
      <c r="B17" s="29" t="inlineStr">
        <is>
          <t>Canal de contato combinado com o cliente</t>
        </is>
      </c>
      <c r="D17" s="29" t="inlineStr">
        <is>
          <t>Horas do caso fechadas</t>
        </is>
      </c>
      <c r="F17" s="29" t="n"/>
    </row>
    <row r="18">
      <c r="B18" s="29" t="inlineStr">
        <is>
          <t>Pasta do caso criada (física ou digital)</t>
        </is>
      </c>
      <c r="D18" s="29" t="n"/>
      <c r="F18" s="29" t="n"/>
    </row>
    <row r="19">
      <c r="B19" s="29" t="n"/>
      <c r="D19" s="29" t="n"/>
      <c r="F19" s="29" t="n"/>
    </row>
    <row r="21">
      <c r="A21" s="28" t="inlineStr">
        <is>
          <t>Itens cadastrados</t>
        </is>
      </c>
      <c r="B21" s="23">
        <f>COUNTA($B$10:$B$19)</f>
        <v>9</v>
      </c>
      <c r="D21" s="23">
        <f>COUNTA($D$10:$D$19)</f>
        <v>8</v>
      </c>
    </row>
    <row r="23">
      <c r="A23" s="20" t="inlineStr">
        <is>
          <t>Preencha de cima para baixo, sem pular linha: as listas param na última linha preenchida e os itens vazios não contam no percentual.</t>
        </is>
      </c>
    </row>
    <row r="24">
      <c r="A24" s="20" t="inlineStr">
        <is>
          <t>Os itens são administrativos (o que precisa estar em ordem para o caso começar e terminar sem pendência). Ajuste ao jeito do escritório.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2" customWidth="1" min="26" max="26"/>
    <col width="11" customWidth="1" min="27" max="27"/>
    <col width="12" customWidth="1" min="28" max="28"/>
    <col width="11" customWidth="1" min="29" max="29"/>
    <col width="60" customWidth="1" min="30" max="30"/>
    <col hidden="1" width="6" customWidth="1" min="31" max="31"/>
    <col hidden="1" width="6" customWidth="1" min="32" max="32"/>
  </cols>
  <sheetData>
    <row r="1" ht="28" customHeight="1">
      <c r="A1" s="5" t="inlineStr">
        <is>
          <t>Checklist por caso</t>
        </is>
      </c>
    </row>
    <row r="2">
      <c r="A2" s="6" t="inlineStr">
        <is>
          <t>Uma linha por caso (copie número, cliente e responsável da planilha 13 · Carteira, aba Casos: a 13 é a fonte). Em cada item marque Sim, Não ou N/A (não se aplica). Vazio conta como pendente. Os itens de encerramento só contam quando a situação é Encerrado.</t>
        </is>
      </c>
    </row>
    <row r="3">
      <c r="E3" s="31" t="inlineStr">
        <is>
          <t>Abertura</t>
        </is>
      </c>
      <c r="O3" s="31" t="inlineStr">
        <is>
          <t>Encerramento</t>
        </is>
      </c>
    </row>
    <row r="4" ht="64" customHeight="1">
      <c r="A4" s="21" t="inlineStr">
        <is>
          <t>Número</t>
        </is>
      </c>
      <c r="B4" s="21" t="inlineStr">
        <is>
          <t>Cliente</t>
        </is>
      </c>
      <c r="C4" s="21" t="inlineStr">
        <is>
          <t>Responsável</t>
        </is>
      </c>
      <c r="D4" s="21" t="inlineStr">
        <is>
          <t>Situação</t>
        </is>
      </c>
      <c r="E4" s="32" t="str">
        <f>IF(Config!$B$10="","",Config!$B$10)</f>
        <v>Contrato de honorários assinado</v>
      </c>
      <c r="F4" s="32" t="str">
        <f>IF(Config!$B$11="","",Config!$B$11)</f>
        <v>Procuração recebida</v>
      </c>
      <c r="G4" s="32" t="str">
        <f>IF(Config!$B$12="","",Config!$B$12)</f>
        <v>Documentos do cliente recebidos</v>
      </c>
      <c r="H4" s="32" t="str">
        <f>IF(Config!$B$13="","",Config!$B$13)</f>
        <v>Honorário e forma de pagamento definidos</v>
      </c>
      <c r="I4" s="32" t="str">
        <f>IF(Config!$B$14="","",Config!$B$14)</f>
        <v>Caso cadastrado no caixa e na carteira</v>
      </c>
      <c r="J4" s="32" t="str">
        <f>IF(Config!$B$15="","",Config!$B$15)</f>
        <v>Responsável definido</v>
      </c>
      <c r="K4" s="32" t="str">
        <f>IF(Config!$B$16="","",Config!$B$16)</f>
        <v>Primeiro prazo na agenda</v>
      </c>
      <c r="L4" s="32" t="str">
        <f>IF(Config!$B$17="","",Config!$B$17)</f>
        <v>Canal de contato combinado com o cliente</v>
      </c>
      <c r="M4" s="32" t="str">
        <f>IF(Config!$B$18="","",Config!$B$18)</f>
        <v>Pasta do caso criada (física ou digital)</v>
      </c>
      <c r="N4" s="32">
        <f>IF(Config!$B$19="","",Config!$B$19)</f>
        <v/>
      </c>
      <c r="O4" s="33" t="str">
        <f>IF(Config!$D$10="","",Config!$D$10)</f>
        <v>Última parcela cobrada e recebida</v>
      </c>
      <c r="P4" s="33" t="str">
        <f>IF(Config!$D$11="","",Config!$D$11)</f>
        <v>Cliente avisado do encerramento</v>
      </c>
      <c r="Q4" s="33" t="str">
        <f>IF(Config!$D$12="","",Config!$D$12)</f>
        <v>Documentos devolvidos ao cliente</v>
      </c>
      <c r="R4" s="33" t="str">
        <f>IF(Config!$D$13="","",Config!$D$13)</f>
        <v>Pasta arquivada</v>
      </c>
      <c r="S4" s="33" t="str">
        <f>IF(Config!$D$14="","",Config!$D$14)</f>
        <v>Caso marcado como encerrado na carteira</v>
      </c>
      <c r="T4" s="33" t="str">
        <f>IF(Config!$D$15="","",Config!$D$15)</f>
        <v>Avaliação do cliente pedida</v>
      </c>
      <c r="U4" s="33" t="str">
        <f>IF(Config!$D$16="","",Config!$D$16)</f>
        <v>Prazos do caso baixados na agenda</v>
      </c>
      <c r="V4" s="33" t="str">
        <f>IF(Config!$D$17="","",Config!$D$17)</f>
        <v>Horas do caso fechadas</v>
      </c>
      <c r="W4" s="33">
        <f>IF(Config!$D$18="","",Config!$D$18)</f>
        <v/>
      </c>
      <c r="X4" s="33">
        <f>IF(Config!$D$19="","",Config!$D$19)</f>
        <v/>
      </c>
      <c r="Y4" s="21" t="inlineStr">
        <is>
          <t>% abertura</t>
        </is>
      </c>
      <c r="Z4" s="21" t="inlineStr">
        <is>
          <t>% encerramento</t>
        </is>
      </c>
      <c r="AA4" s="21" t="inlineStr">
        <is>
          <t>Pendências de abertura</t>
        </is>
      </c>
      <c r="AB4" s="21" t="inlineStr">
        <is>
          <t>Pendências de encerramento</t>
        </is>
      </c>
      <c r="AC4" s="21" t="inlineStr">
        <is>
          <t>Pendências</t>
        </is>
      </c>
      <c r="AD4" s="21" t="inlineStr">
        <is>
          <t>O que falta</t>
        </is>
      </c>
      <c r="AE4" s="21" t="inlineStr">
        <is>
          <t>Chave</t>
        </is>
      </c>
      <c r="AF4" s="21" t="inlineStr">
        <is>
          <t>Auxiliar</t>
        </is>
      </c>
    </row>
    <row r="5">
      <c r="A5" s="29" t="inlineStr">
        <is>
          <t>CONS-2026-01</t>
        </is>
      </c>
      <c r="B5" s="29" t="inlineStr">
        <is>
          <t>Padaria do Sol Ltda</t>
        </is>
      </c>
      <c r="C5" s="34" t="inlineStr">
        <is>
          <t>Marina Ferraz</t>
        </is>
      </c>
      <c r="D5" s="34" t="inlineStr">
        <is>
          <t>Em andamento</t>
        </is>
      </c>
      <c r="E5" s="34" t="inlineStr">
        <is>
          <t>Sim</t>
        </is>
      </c>
      <c r="F5" s="34" t="inlineStr">
        <is>
          <t>N/A</t>
        </is>
      </c>
      <c r="G5" s="34" t="inlineStr">
        <is>
          <t>Sim</t>
        </is>
      </c>
      <c r="H5" s="34" t="inlineStr">
        <is>
          <t>Sim</t>
        </is>
      </c>
      <c r="I5" s="34" t="inlineStr">
        <is>
          <t>Sim</t>
        </is>
      </c>
      <c r="J5" s="34" t="inlineStr">
        <is>
          <t>Sim</t>
        </is>
      </c>
      <c r="K5" s="34" t="inlineStr">
        <is>
          <t>N/A</t>
        </is>
      </c>
      <c r="L5" s="34" t="inlineStr">
        <is>
          <t>Sim</t>
        </is>
      </c>
      <c r="M5" s="34" t="inlineStr">
        <is>
          <t>Sim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25">
        <f>IF(A5="","",IFERROR(COUNTIF(E5:N5,"Sim")/(Config!$B$21-COUNTIF(E5:N5,"N/A")),""))</f>
        <v>1</v>
      </c>
      <c r="Z5" s="25">
        <f>IF(OR(A5="",D5&lt;&gt;"Encerrado"),"",IFERROR(COUNTIF(O5:X5,"Sim")/(Config!$D$21-COUNTIF(O5:X5,"N/A")),""))</f>
        <v/>
      </c>
      <c r="AA5" s="23">
        <f>IF(A5="","",MAX(0,Config!$B$21-COUNTIF(E5:N5,"Sim")-COUNTIF(E5:N5,"N/A")))</f>
        <v>0</v>
      </c>
      <c r="AB5" s="23">
        <f>IF(OR(A5="",D5&lt;&gt;"Encerrado"),"",MAX(0,Config!$D$21-COUNTIF(O5:X5,"Sim")-COUNTIF(O5:X5,"N/A")))</f>
        <v/>
      </c>
      <c r="AC5" s="23">
        <f>IF(A5="","",AA5+IF(AB5="",0,AB5))</f>
        <v>0</v>
      </c>
      <c r="AD5" s="24">
        <f>IF(OR(A5="",AF5=""),"",LEFT(AF5,LEN(AF5)-2))</f>
        <v/>
      </c>
      <c r="AE5" s="35">
        <f>IF(OR(A5="",AC5=0),0,AC5*100-ROW()/100000)</f>
        <v>0</v>
      </c>
      <c r="AF5" s="35">
        <f>IF(A5="","",IF(AND(Config!$B$10&lt;&gt;"",E5&lt;&gt;"Sim",E5&lt;&gt;"N/A"),Config!$B$10&amp;"; ","")&amp;IF(AND(Config!$B$11&lt;&gt;"",F5&lt;&gt;"Sim",F5&lt;&gt;"N/A"),Config!$B$11&amp;"; ","")&amp;IF(AND(Config!$B$12&lt;&gt;"",G5&lt;&gt;"Sim",G5&lt;&gt;"N/A"),Config!$B$12&amp;"; ","")&amp;IF(AND(Config!$B$13&lt;&gt;"",H5&lt;&gt;"Sim",H5&lt;&gt;"N/A"),Config!$B$13&amp;"; ","")&amp;IF(AND(Config!$B$14&lt;&gt;"",I5&lt;&gt;"Sim",I5&lt;&gt;"N/A"),Config!$B$14&amp;"; ","")&amp;IF(AND(Config!$B$15&lt;&gt;"",J5&lt;&gt;"Sim",J5&lt;&gt;"N/A"),Config!$B$15&amp;"; ","")&amp;IF(AND(Config!$B$16&lt;&gt;"",K5&lt;&gt;"Sim",K5&lt;&gt;"N/A"),Config!$B$16&amp;"; ","")&amp;IF(AND(Config!$B$17&lt;&gt;"",L5&lt;&gt;"Sim",L5&lt;&gt;"N/A"),Config!$B$17&amp;"; ","")&amp;IF(AND(Config!$B$18&lt;&gt;"",M5&lt;&gt;"Sim",M5&lt;&gt;"N/A"),Config!$B$18&amp;"; ","")&amp;IF(AND(Config!$B$19&lt;&gt;"",N5&lt;&gt;"Sim",N5&lt;&gt;"N/A"),Config!$B$19&amp;"; ","")&amp;IF(AND($D5="Encerrado",Config!$D$10&lt;&gt;"",O5&lt;&gt;"Sim",O5&lt;&gt;"N/A"),Config!$D$10&amp;"; ","")&amp;IF(AND($D5="Encerrado",Config!$D$11&lt;&gt;"",P5&lt;&gt;"Sim",P5&lt;&gt;"N/A"),Config!$D$11&amp;"; ","")&amp;IF(AND($D5="Encerrado",Config!$D$12&lt;&gt;"",Q5&lt;&gt;"Sim",Q5&lt;&gt;"N/A"),Config!$D$12&amp;"; ","")&amp;IF(AND($D5="Encerrado",Config!$D$13&lt;&gt;"",R5&lt;&gt;"Sim",R5&lt;&gt;"N/A"),Config!$D$13&amp;"; ","")&amp;IF(AND($D5="Encerrado",Config!$D$14&lt;&gt;"",S5&lt;&gt;"Sim",S5&lt;&gt;"N/A"),Config!$D$14&amp;"; ","")&amp;IF(AND($D5="Encerrado",Config!$D$15&lt;&gt;"",T5&lt;&gt;"Sim",T5&lt;&gt;"N/A"),Config!$D$15&amp;"; ","")&amp;IF(AND($D5="Encerrado",Config!$D$16&lt;&gt;"",U5&lt;&gt;"Sim",U5&lt;&gt;"N/A"),Config!$D$16&amp;"; ","")&amp;IF(AND($D5="Encerrado",Config!$D$17&lt;&gt;"",V5&lt;&gt;"Sim",V5&lt;&gt;"N/A"),Config!$D$17&amp;"; ","")&amp;IF(AND($D5="Encerrado",Config!$D$18&lt;&gt;"",W5&lt;&gt;"Sim",W5&lt;&gt;"N/A"),Config!$D$18&amp;"; ","")&amp;IF(AND($D5="Encerrado",Config!$D$19&lt;&gt;"",X5&lt;&gt;"Sim",X5&lt;&gt;"N/A"),Config!$D$19&amp;"; ",""))</f>
        <v/>
      </c>
    </row>
    <row r="6">
      <c r="A6" s="29" t="inlineStr">
        <is>
          <t>2998500-50.2026.8.26.0515</t>
        </is>
      </c>
      <c r="B6" s="29" t="inlineStr">
        <is>
          <t>Ana Beatriz Moreira</t>
        </is>
      </c>
      <c r="C6" s="34" t="inlineStr">
        <is>
          <t>Rafael Lima</t>
        </is>
      </c>
      <c r="D6" s="34" t="inlineStr">
        <is>
          <t>Em andamento</t>
        </is>
      </c>
      <c r="E6" s="34" t="inlineStr">
        <is>
          <t>Não</t>
        </is>
      </c>
      <c r="F6" s="34" t="inlineStr">
        <is>
          <t>Sim</t>
        </is>
      </c>
      <c r="G6" s="34" t="inlineStr">
        <is>
          <t>Sim</t>
        </is>
      </c>
      <c r="H6" s="34" t="inlineStr">
        <is>
          <t>Sim</t>
        </is>
      </c>
      <c r="I6" s="34" t="inlineStr">
        <is>
          <t>Sim</t>
        </is>
      </c>
      <c r="J6" s="34" t="inlineStr">
        <is>
          <t>Sim</t>
        </is>
      </c>
      <c r="K6" s="34" t="inlineStr">
        <is>
          <t>Sim</t>
        </is>
      </c>
      <c r="L6" s="34" t="inlineStr">
        <is>
          <t>Sim</t>
        </is>
      </c>
      <c r="M6" s="34" t="inlineStr">
        <is>
          <t>Sim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25">
        <f>IF(A6="","",IFERROR(COUNTIF(E6:N6,"Sim")/(Config!$B$21-COUNTIF(E6:N6,"N/A")),""))</f>
        <v>0.888888888888889</v>
      </c>
      <c r="Z6" s="25">
        <f>IF(OR(A6="",D6&lt;&gt;"Encerrado"),"",IFERROR(COUNTIF(O6:X6,"Sim")/(Config!$D$21-COUNTIF(O6:X6,"N/A")),""))</f>
        <v/>
      </c>
      <c r="AA6" s="23">
        <f>IF(A6="","",MAX(0,Config!$B$21-COUNTIF(E6:N6,"Sim")-COUNTIF(E6:N6,"N/A")))</f>
        <v>1</v>
      </c>
      <c r="AB6" s="23">
        <f>IF(OR(A6="",D6&lt;&gt;"Encerrado"),"",MAX(0,Config!$D$21-COUNTIF(O6:X6,"Sim")-COUNTIF(O6:X6,"N/A")))</f>
        <v/>
      </c>
      <c r="AC6" s="23">
        <f>IF(A6="","",AA6+IF(AB6="",0,AB6))</f>
        <v>1</v>
      </c>
      <c r="AD6" s="24" t="str">
        <f>IF(OR(A6="",AF6=""),"",LEFT(AF6,LEN(AF6)-2))</f>
        <v>Contrato de honorários assinado</v>
      </c>
      <c r="AE6" s="35">
        <f>IF(OR(A6="",AC6=0),0,AC6*100-ROW()/100000)</f>
        <v>99.99994</v>
      </c>
      <c r="AF6" s="35" t="str">
        <f>IF(A6="","",IF(AND(Config!$B$10&lt;&gt;"",E6&lt;&gt;"Sim",E6&lt;&gt;"N/A"),Config!$B$10&amp;"; ","")&amp;IF(AND(Config!$B$11&lt;&gt;"",F6&lt;&gt;"Sim",F6&lt;&gt;"N/A"),Config!$B$11&amp;"; ","")&amp;IF(AND(Config!$B$12&lt;&gt;"",G6&lt;&gt;"Sim",G6&lt;&gt;"N/A"),Config!$B$12&amp;"; ","")&amp;IF(AND(Config!$B$13&lt;&gt;"",H6&lt;&gt;"Sim",H6&lt;&gt;"N/A"),Config!$B$13&amp;"; ","")&amp;IF(AND(Config!$B$14&lt;&gt;"",I6&lt;&gt;"Sim",I6&lt;&gt;"N/A"),Config!$B$14&amp;"; ","")&amp;IF(AND(Config!$B$15&lt;&gt;"",J6&lt;&gt;"Sim",J6&lt;&gt;"N/A"),Config!$B$15&amp;"; ","")&amp;IF(AND(Config!$B$16&lt;&gt;"",K6&lt;&gt;"Sim",K6&lt;&gt;"N/A"),Config!$B$16&amp;"; ","")&amp;IF(AND(Config!$B$17&lt;&gt;"",L6&lt;&gt;"Sim",L6&lt;&gt;"N/A"),Config!$B$17&amp;"; ","")&amp;IF(AND(Config!$B$18&lt;&gt;"",M6&lt;&gt;"Sim",M6&lt;&gt;"N/A"),Config!$B$18&amp;"; ","")&amp;IF(AND(Config!$B$19&lt;&gt;"",N6&lt;&gt;"Sim",N6&lt;&gt;"N/A"),Config!$B$19&amp;"; ","")&amp;IF(AND($D6="Encerrado",Config!$D$10&lt;&gt;"",O6&lt;&gt;"Sim",O6&lt;&gt;"N/A"),Config!$D$10&amp;"; ","")&amp;IF(AND($D6="Encerrado",Config!$D$11&lt;&gt;"",P6&lt;&gt;"Sim",P6&lt;&gt;"N/A"),Config!$D$11&amp;"; ","")&amp;IF(AND($D6="Encerrado",Config!$D$12&lt;&gt;"",Q6&lt;&gt;"Sim",Q6&lt;&gt;"N/A"),Config!$D$12&amp;"; ","")&amp;IF(AND($D6="Encerrado",Config!$D$13&lt;&gt;"",R6&lt;&gt;"Sim",R6&lt;&gt;"N/A"),Config!$D$13&amp;"; ","")&amp;IF(AND($D6="Encerrado",Config!$D$14&lt;&gt;"",S6&lt;&gt;"Sim",S6&lt;&gt;"N/A"),Config!$D$14&amp;"; ","")&amp;IF(AND($D6="Encerrado",Config!$D$15&lt;&gt;"",T6&lt;&gt;"Sim",T6&lt;&gt;"N/A"),Config!$D$15&amp;"; ","")&amp;IF(AND($D6="Encerrado",Config!$D$16&lt;&gt;"",U6&lt;&gt;"Sim",U6&lt;&gt;"N/A"),Config!$D$16&amp;"; ","")&amp;IF(AND($D6="Encerrado",Config!$D$17&lt;&gt;"",V6&lt;&gt;"Sim",V6&lt;&gt;"N/A"),Config!$D$17&amp;"; ","")&amp;IF(AND($D6="Encerrado",Config!$D$18&lt;&gt;"",W6&lt;&gt;"Sim",W6&lt;&gt;"N/A"),Config!$D$18&amp;"; ","")&amp;IF(AND($D6="Encerrado",Config!$D$19&lt;&gt;"",X6&lt;&gt;"Sim",X6&lt;&gt;"N/A"),Config!$D$19&amp;"; ",""))</f>
        <v>Contrato de honorários assinado; </v>
      </c>
    </row>
    <row r="7">
      <c r="A7" s="29" t="inlineStr">
        <is>
          <t>9586960-92.2026.8.26.0106</t>
        </is>
      </c>
      <c r="B7" s="29" t="inlineStr">
        <is>
          <t>Construtora Horizonte</t>
        </is>
      </c>
      <c r="C7" s="34" t="inlineStr">
        <is>
          <t>Marina Ferraz</t>
        </is>
      </c>
      <c r="D7" s="34" t="inlineStr">
        <is>
          <t>Em andamento</t>
        </is>
      </c>
      <c r="E7" s="34" t="inlineStr">
        <is>
          <t>Sim</t>
        </is>
      </c>
      <c r="F7" s="34" t="inlineStr">
        <is>
          <t>Sim</t>
        </is>
      </c>
      <c r="G7" s="34" t="inlineStr">
        <is>
          <t>Sim</t>
        </is>
      </c>
      <c r="H7" s="34" t="inlineStr">
        <is>
          <t>Sim</t>
        </is>
      </c>
      <c r="I7" s="34" t="inlineStr">
        <is>
          <t>Sim</t>
        </is>
      </c>
      <c r="J7" s="34" t="inlineStr">
        <is>
          <t>Sim</t>
        </is>
      </c>
      <c r="K7" s="34" t="inlineStr">
        <is>
          <t>Sim</t>
        </is>
      </c>
      <c r="L7" s="34" t="inlineStr">
        <is>
          <t>Sim</t>
        </is>
      </c>
      <c r="M7" s="34" t="inlineStr">
        <is>
          <t>Sim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25">
        <f>IF(A7="","",IFERROR(COUNTIF(E7:N7,"Sim")/(Config!$B$21-COUNTIF(E7:N7,"N/A")),""))</f>
        <v>1</v>
      </c>
      <c r="Z7" s="25">
        <f>IF(OR(A7="",D7&lt;&gt;"Encerrado"),"",IFERROR(COUNTIF(O7:X7,"Sim")/(Config!$D$21-COUNTIF(O7:X7,"N/A")),""))</f>
        <v/>
      </c>
      <c r="AA7" s="23">
        <f>IF(A7="","",MAX(0,Config!$B$21-COUNTIF(E7:N7,"Sim")-COUNTIF(E7:N7,"N/A")))</f>
        <v>0</v>
      </c>
      <c r="AB7" s="23">
        <f>IF(OR(A7="",D7&lt;&gt;"Encerrado"),"",MAX(0,Config!$D$21-COUNTIF(O7:X7,"Sim")-COUNTIF(O7:X7,"N/A")))</f>
        <v/>
      </c>
      <c r="AC7" s="23">
        <f>IF(A7="","",AA7+IF(AB7="",0,AB7))</f>
        <v>0</v>
      </c>
      <c r="AD7" s="24">
        <f>IF(OR(A7="",AF7=""),"",LEFT(AF7,LEN(AF7)-2))</f>
        <v/>
      </c>
      <c r="AE7" s="35">
        <f>IF(OR(A7="",AC7=0),0,AC7*100-ROW()/100000)</f>
        <v>0</v>
      </c>
      <c r="AF7" s="35">
        <f>IF(A7="","",IF(AND(Config!$B$10&lt;&gt;"",E7&lt;&gt;"Sim",E7&lt;&gt;"N/A"),Config!$B$10&amp;"; ","")&amp;IF(AND(Config!$B$11&lt;&gt;"",F7&lt;&gt;"Sim",F7&lt;&gt;"N/A"),Config!$B$11&amp;"; ","")&amp;IF(AND(Config!$B$12&lt;&gt;"",G7&lt;&gt;"Sim",G7&lt;&gt;"N/A"),Config!$B$12&amp;"; ","")&amp;IF(AND(Config!$B$13&lt;&gt;"",H7&lt;&gt;"Sim",H7&lt;&gt;"N/A"),Config!$B$13&amp;"; ","")&amp;IF(AND(Config!$B$14&lt;&gt;"",I7&lt;&gt;"Sim",I7&lt;&gt;"N/A"),Config!$B$14&amp;"; ","")&amp;IF(AND(Config!$B$15&lt;&gt;"",J7&lt;&gt;"Sim",J7&lt;&gt;"N/A"),Config!$B$15&amp;"; ","")&amp;IF(AND(Config!$B$16&lt;&gt;"",K7&lt;&gt;"Sim",K7&lt;&gt;"N/A"),Config!$B$16&amp;"; ","")&amp;IF(AND(Config!$B$17&lt;&gt;"",L7&lt;&gt;"Sim",L7&lt;&gt;"N/A"),Config!$B$17&amp;"; ","")&amp;IF(AND(Config!$B$18&lt;&gt;"",M7&lt;&gt;"Sim",M7&lt;&gt;"N/A"),Config!$B$18&amp;"; ","")&amp;IF(AND(Config!$B$19&lt;&gt;"",N7&lt;&gt;"Sim",N7&lt;&gt;"N/A"),Config!$B$19&amp;"; ","")&amp;IF(AND($D7="Encerrado",Config!$D$10&lt;&gt;"",O7&lt;&gt;"Sim",O7&lt;&gt;"N/A"),Config!$D$10&amp;"; ","")&amp;IF(AND($D7="Encerrado",Config!$D$11&lt;&gt;"",P7&lt;&gt;"Sim",P7&lt;&gt;"N/A"),Config!$D$11&amp;"; ","")&amp;IF(AND($D7="Encerrado",Config!$D$12&lt;&gt;"",Q7&lt;&gt;"Sim",Q7&lt;&gt;"N/A"),Config!$D$12&amp;"; ","")&amp;IF(AND($D7="Encerrado",Config!$D$13&lt;&gt;"",R7&lt;&gt;"Sim",R7&lt;&gt;"N/A"),Config!$D$13&amp;"; ","")&amp;IF(AND($D7="Encerrado",Config!$D$14&lt;&gt;"",S7&lt;&gt;"Sim",S7&lt;&gt;"N/A"),Config!$D$14&amp;"; ","")&amp;IF(AND($D7="Encerrado",Config!$D$15&lt;&gt;"",T7&lt;&gt;"Sim",T7&lt;&gt;"N/A"),Config!$D$15&amp;"; ","")&amp;IF(AND($D7="Encerrado",Config!$D$16&lt;&gt;"",U7&lt;&gt;"Sim",U7&lt;&gt;"N/A"),Config!$D$16&amp;"; ","")&amp;IF(AND($D7="Encerrado",Config!$D$17&lt;&gt;"",V7&lt;&gt;"Sim",V7&lt;&gt;"N/A"),Config!$D$17&amp;"; ","")&amp;IF(AND($D7="Encerrado",Config!$D$18&lt;&gt;"",W7&lt;&gt;"Sim",W7&lt;&gt;"N/A"),Config!$D$18&amp;"; ","")&amp;IF(AND($D7="Encerrado",Config!$D$19&lt;&gt;"",X7&lt;&gt;"Sim",X7&lt;&gt;"N/A"),Config!$D$19&amp;"; ",""))</f>
        <v/>
      </c>
    </row>
    <row r="8">
      <c r="A8" s="29" t="inlineStr">
        <is>
          <t>4746093-86.2026.8.26.0637</t>
        </is>
      </c>
      <c r="B8" s="29" t="inlineStr">
        <is>
          <t>Carlos Eduardo Nunes</t>
        </is>
      </c>
      <c r="C8" s="34" t="inlineStr">
        <is>
          <t>Rafael Lima</t>
        </is>
      </c>
      <c r="D8" s="34" t="inlineStr">
        <is>
          <t>Em andamento</t>
        </is>
      </c>
      <c r="E8" s="34" t="inlineStr">
        <is>
          <t>Sim</t>
        </is>
      </c>
      <c r="F8" s="34" t="inlineStr">
        <is>
          <t>Sim</t>
        </is>
      </c>
      <c r="G8" s="34" t="inlineStr">
        <is>
          <t>Sim</t>
        </is>
      </c>
      <c r="H8" s="34" t="inlineStr">
        <is>
          <t>Sim</t>
        </is>
      </c>
      <c r="I8" s="34" t="inlineStr">
        <is>
          <t>Sim</t>
        </is>
      </c>
      <c r="J8" s="34" t="inlineStr">
        <is>
          <t>Sim</t>
        </is>
      </c>
      <c r="K8" s="34" t="inlineStr">
        <is>
          <t>Sim</t>
        </is>
      </c>
      <c r="L8" s="34" t="inlineStr">
        <is>
          <t>Sim</t>
        </is>
      </c>
      <c r="M8" s="34" t="inlineStr">
        <is>
          <t>Sim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25">
        <f>IF(A8="","",IFERROR(COUNTIF(E8:N8,"Sim")/(Config!$B$21-COUNTIF(E8:N8,"N/A")),""))</f>
        <v>1</v>
      </c>
      <c r="Z8" s="25">
        <f>IF(OR(A8="",D8&lt;&gt;"Encerrado"),"",IFERROR(COUNTIF(O8:X8,"Sim")/(Config!$D$21-COUNTIF(O8:X8,"N/A")),""))</f>
        <v/>
      </c>
      <c r="AA8" s="23">
        <f>IF(A8="","",MAX(0,Config!$B$21-COUNTIF(E8:N8,"Sim")-COUNTIF(E8:N8,"N/A")))</f>
        <v>0</v>
      </c>
      <c r="AB8" s="23">
        <f>IF(OR(A8="",D8&lt;&gt;"Encerrado"),"",MAX(0,Config!$D$21-COUNTIF(O8:X8,"Sim")-COUNTIF(O8:X8,"N/A")))</f>
        <v/>
      </c>
      <c r="AC8" s="23">
        <f>IF(A8="","",AA8+IF(AB8="",0,AB8))</f>
        <v>0</v>
      </c>
      <c r="AD8" s="24">
        <f>IF(OR(A8="",AF8=""),"",LEFT(AF8,LEN(AF8)-2))</f>
        <v/>
      </c>
      <c r="AE8" s="35">
        <f>IF(OR(A8="",AC8=0),0,AC8*100-ROW()/100000)</f>
        <v>0</v>
      </c>
      <c r="AF8" s="35">
        <f>IF(A8="","",IF(AND(Config!$B$10&lt;&gt;"",E8&lt;&gt;"Sim",E8&lt;&gt;"N/A"),Config!$B$10&amp;"; ","")&amp;IF(AND(Config!$B$11&lt;&gt;"",F8&lt;&gt;"Sim",F8&lt;&gt;"N/A"),Config!$B$11&amp;"; ","")&amp;IF(AND(Config!$B$12&lt;&gt;"",G8&lt;&gt;"Sim",G8&lt;&gt;"N/A"),Config!$B$12&amp;"; ","")&amp;IF(AND(Config!$B$13&lt;&gt;"",H8&lt;&gt;"Sim",H8&lt;&gt;"N/A"),Config!$B$13&amp;"; ","")&amp;IF(AND(Config!$B$14&lt;&gt;"",I8&lt;&gt;"Sim",I8&lt;&gt;"N/A"),Config!$B$14&amp;"; ","")&amp;IF(AND(Config!$B$15&lt;&gt;"",J8&lt;&gt;"Sim",J8&lt;&gt;"N/A"),Config!$B$15&amp;"; ","")&amp;IF(AND(Config!$B$16&lt;&gt;"",K8&lt;&gt;"Sim",K8&lt;&gt;"N/A"),Config!$B$16&amp;"; ","")&amp;IF(AND(Config!$B$17&lt;&gt;"",L8&lt;&gt;"Sim",L8&lt;&gt;"N/A"),Config!$B$17&amp;"; ","")&amp;IF(AND(Config!$B$18&lt;&gt;"",M8&lt;&gt;"Sim",M8&lt;&gt;"N/A"),Config!$B$18&amp;"; ","")&amp;IF(AND(Config!$B$19&lt;&gt;"",N8&lt;&gt;"Sim",N8&lt;&gt;"N/A"),Config!$B$19&amp;"; ","")&amp;IF(AND($D8="Encerrado",Config!$D$10&lt;&gt;"",O8&lt;&gt;"Sim",O8&lt;&gt;"N/A"),Config!$D$10&amp;"; ","")&amp;IF(AND($D8="Encerrado",Config!$D$11&lt;&gt;"",P8&lt;&gt;"Sim",P8&lt;&gt;"N/A"),Config!$D$11&amp;"; ","")&amp;IF(AND($D8="Encerrado",Config!$D$12&lt;&gt;"",Q8&lt;&gt;"Sim",Q8&lt;&gt;"N/A"),Config!$D$12&amp;"; ","")&amp;IF(AND($D8="Encerrado",Config!$D$13&lt;&gt;"",R8&lt;&gt;"Sim",R8&lt;&gt;"N/A"),Config!$D$13&amp;"; ","")&amp;IF(AND($D8="Encerrado",Config!$D$14&lt;&gt;"",S8&lt;&gt;"Sim",S8&lt;&gt;"N/A"),Config!$D$14&amp;"; ","")&amp;IF(AND($D8="Encerrado",Config!$D$15&lt;&gt;"",T8&lt;&gt;"Sim",T8&lt;&gt;"N/A"),Config!$D$15&amp;"; ","")&amp;IF(AND($D8="Encerrado",Config!$D$16&lt;&gt;"",U8&lt;&gt;"Sim",U8&lt;&gt;"N/A"),Config!$D$16&amp;"; ","")&amp;IF(AND($D8="Encerrado",Config!$D$17&lt;&gt;"",V8&lt;&gt;"Sim",V8&lt;&gt;"N/A"),Config!$D$17&amp;"; ","")&amp;IF(AND($D8="Encerrado",Config!$D$18&lt;&gt;"",W8&lt;&gt;"Sim",W8&lt;&gt;"N/A"),Config!$D$18&amp;"; ","")&amp;IF(AND($D8="Encerrado",Config!$D$19&lt;&gt;"",X8&lt;&gt;"Sim",X8&lt;&gt;"N/A"),Config!$D$19&amp;"; ",""))</f>
        <v/>
      </c>
    </row>
    <row r="9">
      <c r="A9" s="29" t="inlineStr">
        <is>
          <t>CONS-2026-02</t>
        </is>
      </c>
      <c r="B9" s="29" t="inlineStr">
        <is>
          <t>Loja Verde Comércio</t>
        </is>
      </c>
      <c r="C9" s="34" t="inlineStr">
        <is>
          <t>Marina Ferraz</t>
        </is>
      </c>
      <c r="D9" s="34" t="inlineStr">
        <is>
          <t>Em andamento</t>
        </is>
      </c>
      <c r="E9" s="34" t="inlineStr">
        <is>
          <t>Sim</t>
        </is>
      </c>
      <c r="F9" s="34" t="inlineStr">
        <is>
          <t>N/A</t>
        </is>
      </c>
      <c r="G9" s="34" t="inlineStr">
        <is>
          <t>Sim</t>
        </is>
      </c>
      <c r="H9" s="34" t="inlineStr">
        <is>
          <t>Sim</t>
        </is>
      </c>
      <c r="I9" s="34" t="n"/>
      <c r="J9" s="34" t="inlineStr">
        <is>
          <t>Sim</t>
        </is>
      </c>
      <c r="K9" s="34" t="inlineStr">
        <is>
          <t>N/A</t>
        </is>
      </c>
      <c r="L9" s="34" t="inlineStr">
        <is>
          <t>Sim</t>
        </is>
      </c>
      <c r="M9" s="34" t="inlineStr">
        <is>
          <t>Sim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25">
        <f>IF(A9="","",IFERROR(COUNTIF(E9:N9,"Sim")/(Config!$B$21-COUNTIF(E9:N9,"N/A")),""))</f>
        <v>0.857142857142857</v>
      </c>
      <c r="Z9" s="25">
        <f>IF(OR(A9="",D9&lt;&gt;"Encerrado"),"",IFERROR(COUNTIF(O9:X9,"Sim")/(Config!$D$21-COUNTIF(O9:X9,"N/A")),""))</f>
        <v/>
      </c>
      <c r="AA9" s="23">
        <f>IF(A9="","",MAX(0,Config!$B$21-COUNTIF(E9:N9,"Sim")-COUNTIF(E9:N9,"N/A")))</f>
        <v>1</v>
      </c>
      <c r="AB9" s="23">
        <f>IF(OR(A9="",D9&lt;&gt;"Encerrado"),"",MAX(0,Config!$D$21-COUNTIF(O9:X9,"Sim")-COUNTIF(O9:X9,"N/A")))</f>
        <v/>
      </c>
      <c r="AC9" s="23">
        <f>IF(A9="","",AA9+IF(AB9="",0,AB9))</f>
        <v>1</v>
      </c>
      <c r="AD9" s="24" t="str">
        <f>IF(OR(A9="",AF9=""),"",LEFT(AF9,LEN(AF9)-2))</f>
        <v>Caso cadastrado no caixa e na carteira</v>
      </c>
      <c r="AE9" s="35">
        <f>IF(OR(A9="",AC9=0),0,AC9*100-ROW()/100000)</f>
        <v>99.99991</v>
      </c>
      <c r="AF9" s="35" t="str">
        <f>IF(A9="","",IF(AND(Config!$B$10&lt;&gt;"",E9&lt;&gt;"Sim",E9&lt;&gt;"N/A"),Config!$B$10&amp;"; ","")&amp;IF(AND(Config!$B$11&lt;&gt;"",F9&lt;&gt;"Sim",F9&lt;&gt;"N/A"),Config!$B$11&amp;"; ","")&amp;IF(AND(Config!$B$12&lt;&gt;"",G9&lt;&gt;"Sim",G9&lt;&gt;"N/A"),Config!$B$12&amp;"; ","")&amp;IF(AND(Config!$B$13&lt;&gt;"",H9&lt;&gt;"Sim",H9&lt;&gt;"N/A"),Config!$B$13&amp;"; ","")&amp;IF(AND(Config!$B$14&lt;&gt;"",I9&lt;&gt;"Sim",I9&lt;&gt;"N/A"),Config!$B$14&amp;"; ","")&amp;IF(AND(Config!$B$15&lt;&gt;"",J9&lt;&gt;"Sim",J9&lt;&gt;"N/A"),Config!$B$15&amp;"; ","")&amp;IF(AND(Config!$B$16&lt;&gt;"",K9&lt;&gt;"Sim",K9&lt;&gt;"N/A"),Config!$B$16&amp;"; ","")&amp;IF(AND(Config!$B$17&lt;&gt;"",L9&lt;&gt;"Sim",L9&lt;&gt;"N/A"),Config!$B$17&amp;"; ","")&amp;IF(AND(Config!$B$18&lt;&gt;"",M9&lt;&gt;"Sim",M9&lt;&gt;"N/A"),Config!$B$18&amp;"; ","")&amp;IF(AND(Config!$B$19&lt;&gt;"",N9&lt;&gt;"Sim",N9&lt;&gt;"N/A"),Config!$B$19&amp;"; ","")&amp;IF(AND($D9="Encerrado",Config!$D$10&lt;&gt;"",O9&lt;&gt;"Sim",O9&lt;&gt;"N/A"),Config!$D$10&amp;"; ","")&amp;IF(AND($D9="Encerrado",Config!$D$11&lt;&gt;"",P9&lt;&gt;"Sim",P9&lt;&gt;"N/A"),Config!$D$11&amp;"; ","")&amp;IF(AND($D9="Encerrado",Config!$D$12&lt;&gt;"",Q9&lt;&gt;"Sim",Q9&lt;&gt;"N/A"),Config!$D$12&amp;"; ","")&amp;IF(AND($D9="Encerrado",Config!$D$13&lt;&gt;"",R9&lt;&gt;"Sim",R9&lt;&gt;"N/A"),Config!$D$13&amp;"; ","")&amp;IF(AND($D9="Encerrado",Config!$D$14&lt;&gt;"",S9&lt;&gt;"Sim",S9&lt;&gt;"N/A"),Config!$D$14&amp;"; ","")&amp;IF(AND($D9="Encerrado",Config!$D$15&lt;&gt;"",T9&lt;&gt;"Sim",T9&lt;&gt;"N/A"),Config!$D$15&amp;"; ","")&amp;IF(AND($D9="Encerrado",Config!$D$16&lt;&gt;"",U9&lt;&gt;"Sim",U9&lt;&gt;"N/A"),Config!$D$16&amp;"; ","")&amp;IF(AND($D9="Encerrado",Config!$D$17&lt;&gt;"",V9&lt;&gt;"Sim",V9&lt;&gt;"N/A"),Config!$D$17&amp;"; ","")&amp;IF(AND($D9="Encerrado",Config!$D$18&lt;&gt;"",W9&lt;&gt;"Sim",W9&lt;&gt;"N/A"),Config!$D$18&amp;"; ","")&amp;IF(AND($D9="Encerrado",Config!$D$19&lt;&gt;"",X9&lt;&gt;"Sim",X9&lt;&gt;"N/A"),Config!$D$19&amp;"; ",""))</f>
        <v>Caso cadastrado no caixa e na carteira; </v>
      </c>
    </row>
    <row r="10">
      <c r="A10" s="29" t="inlineStr">
        <is>
          <t>CONS-2026-03</t>
        </is>
      </c>
      <c r="B10" s="29" t="inlineStr">
        <is>
          <t>Marcos Vinícius Teles</t>
        </is>
      </c>
      <c r="C10" s="34" t="inlineStr">
        <is>
          <t>Rafael Lima</t>
        </is>
      </c>
      <c r="D10" s="34" t="inlineStr">
        <is>
          <t>Em andamento</t>
        </is>
      </c>
      <c r="E10" s="34" t="inlineStr">
        <is>
          <t>Sim</t>
        </is>
      </c>
      <c r="F10" s="34" t="inlineStr">
        <is>
          <t>N/A</t>
        </is>
      </c>
      <c r="G10" s="34" t="inlineStr">
        <is>
          <t>Sim</t>
        </is>
      </c>
      <c r="H10" s="34" t="inlineStr">
        <is>
          <t>Sim</t>
        </is>
      </c>
      <c r="I10" s="34" t="inlineStr">
        <is>
          <t>Sim</t>
        </is>
      </c>
      <c r="J10" s="34" t="inlineStr">
        <is>
          <t>Sim</t>
        </is>
      </c>
      <c r="K10" s="34" t="inlineStr">
        <is>
          <t>N/A</t>
        </is>
      </c>
      <c r="L10" s="34" t="inlineStr">
        <is>
          <t>Sim</t>
        </is>
      </c>
      <c r="M10" s="34" t="inlineStr">
        <is>
          <t>Sim</t>
        </is>
      </c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25">
        <f>IF(A10="","",IFERROR(COUNTIF(E10:N10,"Sim")/(Config!$B$21-COUNTIF(E10:N10,"N/A")),""))</f>
        <v>1</v>
      </c>
      <c r="Z10" s="25">
        <f>IF(OR(A10="",D10&lt;&gt;"Encerrado"),"",IFERROR(COUNTIF(O10:X10,"Sim")/(Config!$D$21-COUNTIF(O10:X10,"N/A")),""))</f>
        <v/>
      </c>
      <c r="AA10" s="23">
        <f>IF(A10="","",MAX(0,Config!$B$21-COUNTIF(E10:N10,"Sim")-COUNTIF(E10:N10,"N/A")))</f>
        <v>0</v>
      </c>
      <c r="AB10" s="23">
        <f>IF(OR(A10="",D10&lt;&gt;"Encerrado"),"",MAX(0,Config!$D$21-COUNTIF(O10:X10,"Sim")-COUNTIF(O10:X10,"N/A")))</f>
        <v/>
      </c>
      <c r="AC10" s="23">
        <f>IF(A10="","",AA10+IF(AB10="",0,AB10))</f>
        <v>0</v>
      </c>
      <c r="AD10" s="24">
        <f>IF(OR(A10="",AF10=""),"",LEFT(AF10,LEN(AF10)-2))</f>
        <v/>
      </c>
      <c r="AE10" s="35">
        <f>IF(OR(A10="",AC10=0),0,AC10*100-ROW()/100000)</f>
        <v>0</v>
      </c>
      <c r="AF10" s="35">
        <f>IF(A10="","",IF(AND(Config!$B$10&lt;&gt;"",E10&lt;&gt;"Sim",E10&lt;&gt;"N/A"),Config!$B$10&amp;"; ","")&amp;IF(AND(Config!$B$11&lt;&gt;"",F10&lt;&gt;"Sim",F10&lt;&gt;"N/A"),Config!$B$11&amp;"; ","")&amp;IF(AND(Config!$B$12&lt;&gt;"",G10&lt;&gt;"Sim",G10&lt;&gt;"N/A"),Config!$B$12&amp;"; ","")&amp;IF(AND(Config!$B$13&lt;&gt;"",H10&lt;&gt;"Sim",H10&lt;&gt;"N/A"),Config!$B$13&amp;"; ","")&amp;IF(AND(Config!$B$14&lt;&gt;"",I10&lt;&gt;"Sim",I10&lt;&gt;"N/A"),Config!$B$14&amp;"; ","")&amp;IF(AND(Config!$B$15&lt;&gt;"",J10&lt;&gt;"Sim",J10&lt;&gt;"N/A"),Config!$B$15&amp;"; ","")&amp;IF(AND(Config!$B$16&lt;&gt;"",K10&lt;&gt;"Sim",K10&lt;&gt;"N/A"),Config!$B$16&amp;"; ","")&amp;IF(AND(Config!$B$17&lt;&gt;"",L10&lt;&gt;"Sim",L10&lt;&gt;"N/A"),Config!$B$17&amp;"; ","")&amp;IF(AND(Config!$B$18&lt;&gt;"",M10&lt;&gt;"Sim",M10&lt;&gt;"N/A"),Config!$B$18&amp;"; ","")&amp;IF(AND(Config!$B$19&lt;&gt;"",N10&lt;&gt;"Sim",N10&lt;&gt;"N/A"),Config!$B$19&amp;"; ","")&amp;IF(AND($D10="Encerrado",Config!$D$10&lt;&gt;"",O10&lt;&gt;"Sim",O10&lt;&gt;"N/A"),Config!$D$10&amp;"; ","")&amp;IF(AND($D10="Encerrado",Config!$D$11&lt;&gt;"",P10&lt;&gt;"Sim",P10&lt;&gt;"N/A"),Config!$D$11&amp;"; ","")&amp;IF(AND($D10="Encerrado",Config!$D$12&lt;&gt;"",Q10&lt;&gt;"Sim",Q10&lt;&gt;"N/A"),Config!$D$12&amp;"; ","")&amp;IF(AND($D10="Encerrado",Config!$D$13&lt;&gt;"",R10&lt;&gt;"Sim",R10&lt;&gt;"N/A"),Config!$D$13&amp;"; ","")&amp;IF(AND($D10="Encerrado",Config!$D$14&lt;&gt;"",S10&lt;&gt;"Sim",S10&lt;&gt;"N/A"),Config!$D$14&amp;"; ","")&amp;IF(AND($D10="Encerrado",Config!$D$15&lt;&gt;"",T10&lt;&gt;"Sim",T10&lt;&gt;"N/A"),Config!$D$15&amp;"; ","")&amp;IF(AND($D10="Encerrado",Config!$D$16&lt;&gt;"",U10&lt;&gt;"Sim",U10&lt;&gt;"N/A"),Config!$D$16&amp;"; ","")&amp;IF(AND($D10="Encerrado",Config!$D$17&lt;&gt;"",V10&lt;&gt;"Sim",V10&lt;&gt;"N/A"),Config!$D$17&amp;"; ","")&amp;IF(AND($D10="Encerrado",Config!$D$18&lt;&gt;"",W10&lt;&gt;"Sim",W10&lt;&gt;"N/A"),Config!$D$18&amp;"; ","")&amp;IF(AND($D10="Encerrado",Config!$D$19&lt;&gt;"",X10&lt;&gt;"Sim",X10&lt;&gt;"N/A"),Config!$D$19&amp;"; ",""))</f>
        <v/>
      </c>
    </row>
    <row r="11">
      <c r="A11" s="29" t="inlineStr">
        <is>
          <t>CONS-2026-04</t>
        </is>
      </c>
      <c r="B11" s="29" t="inlineStr">
        <is>
          <t>Escola Aurora</t>
        </is>
      </c>
      <c r="C11" s="34" t="inlineStr">
        <is>
          <t>Marina Ferraz</t>
        </is>
      </c>
      <c r="D11" s="34" t="inlineStr">
        <is>
          <t>Em andamento</t>
        </is>
      </c>
      <c r="E11" s="34" t="inlineStr">
        <is>
          <t>Sim</t>
        </is>
      </c>
      <c r="F11" s="34" t="inlineStr">
        <is>
          <t>N/A</t>
        </is>
      </c>
      <c r="G11" s="34" t="inlineStr">
        <is>
          <t>Sim</t>
        </is>
      </c>
      <c r="H11" s="34" t="inlineStr">
        <is>
          <t>Sim</t>
        </is>
      </c>
      <c r="I11" s="34" t="inlineStr">
        <is>
          <t>Sim</t>
        </is>
      </c>
      <c r="J11" s="34" t="inlineStr">
        <is>
          <t>Sim</t>
        </is>
      </c>
      <c r="K11" s="34" t="inlineStr">
        <is>
          <t>N/A</t>
        </is>
      </c>
      <c r="L11" s="34" t="inlineStr">
        <is>
          <t>Sim</t>
        </is>
      </c>
      <c r="M11" s="34" t="inlineStr">
        <is>
          <t>Sim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25">
        <f>IF(A11="","",IFERROR(COUNTIF(E11:N11,"Sim")/(Config!$B$21-COUNTIF(E11:N11,"N/A")),""))</f>
        <v>1</v>
      </c>
      <c r="Z11" s="25">
        <f>IF(OR(A11="",D11&lt;&gt;"Encerrado"),"",IFERROR(COUNTIF(O11:X11,"Sim")/(Config!$D$21-COUNTIF(O11:X11,"N/A")),""))</f>
        <v/>
      </c>
      <c r="AA11" s="23">
        <f>IF(A11="","",MAX(0,Config!$B$21-COUNTIF(E11:N11,"Sim")-COUNTIF(E11:N11,"N/A")))</f>
        <v>0</v>
      </c>
      <c r="AB11" s="23">
        <f>IF(OR(A11="",D11&lt;&gt;"Encerrado"),"",MAX(0,Config!$D$21-COUNTIF(O11:X11,"Sim")-COUNTIF(O11:X11,"N/A")))</f>
        <v/>
      </c>
      <c r="AC11" s="23">
        <f>IF(A11="","",AA11+IF(AB11="",0,AB11))</f>
        <v>0</v>
      </c>
      <c r="AD11" s="24">
        <f>IF(OR(A11="",AF11=""),"",LEFT(AF11,LEN(AF11)-2))</f>
        <v/>
      </c>
      <c r="AE11" s="35">
        <f>IF(OR(A11="",AC11=0),0,AC11*100-ROW()/100000)</f>
        <v>0</v>
      </c>
      <c r="AF11" s="35">
        <f>IF(A11="","",IF(AND(Config!$B$10&lt;&gt;"",E11&lt;&gt;"Sim",E11&lt;&gt;"N/A"),Config!$B$10&amp;"; ","")&amp;IF(AND(Config!$B$11&lt;&gt;"",F11&lt;&gt;"Sim",F11&lt;&gt;"N/A"),Config!$B$11&amp;"; ","")&amp;IF(AND(Config!$B$12&lt;&gt;"",G11&lt;&gt;"Sim",G11&lt;&gt;"N/A"),Config!$B$12&amp;"; ","")&amp;IF(AND(Config!$B$13&lt;&gt;"",H11&lt;&gt;"Sim",H11&lt;&gt;"N/A"),Config!$B$13&amp;"; ","")&amp;IF(AND(Config!$B$14&lt;&gt;"",I11&lt;&gt;"Sim",I11&lt;&gt;"N/A"),Config!$B$14&amp;"; ","")&amp;IF(AND(Config!$B$15&lt;&gt;"",J11&lt;&gt;"Sim",J11&lt;&gt;"N/A"),Config!$B$15&amp;"; ","")&amp;IF(AND(Config!$B$16&lt;&gt;"",K11&lt;&gt;"Sim",K11&lt;&gt;"N/A"),Config!$B$16&amp;"; ","")&amp;IF(AND(Config!$B$17&lt;&gt;"",L11&lt;&gt;"Sim",L11&lt;&gt;"N/A"),Config!$B$17&amp;"; ","")&amp;IF(AND(Config!$B$18&lt;&gt;"",M11&lt;&gt;"Sim",M11&lt;&gt;"N/A"),Config!$B$18&amp;"; ","")&amp;IF(AND(Config!$B$19&lt;&gt;"",N11&lt;&gt;"Sim",N11&lt;&gt;"N/A"),Config!$B$19&amp;"; ","")&amp;IF(AND($D11="Encerrado",Config!$D$10&lt;&gt;"",O11&lt;&gt;"Sim",O11&lt;&gt;"N/A"),Config!$D$10&amp;"; ","")&amp;IF(AND($D11="Encerrado",Config!$D$11&lt;&gt;"",P11&lt;&gt;"Sim",P11&lt;&gt;"N/A"),Config!$D$11&amp;"; ","")&amp;IF(AND($D11="Encerrado",Config!$D$12&lt;&gt;"",Q11&lt;&gt;"Sim",Q11&lt;&gt;"N/A"),Config!$D$12&amp;"; ","")&amp;IF(AND($D11="Encerrado",Config!$D$13&lt;&gt;"",R11&lt;&gt;"Sim",R11&lt;&gt;"N/A"),Config!$D$13&amp;"; ","")&amp;IF(AND($D11="Encerrado",Config!$D$14&lt;&gt;"",S11&lt;&gt;"Sim",S11&lt;&gt;"N/A"),Config!$D$14&amp;"; ","")&amp;IF(AND($D11="Encerrado",Config!$D$15&lt;&gt;"",T11&lt;&gt;"Sim",T11&lt;&gt;"N/A"),Config!$D$15&amp;"; ","")&amp;IF(AND($D11="Encerrado",Config!$D$16&lt;&gt;"",U11&lt;&gt;"Sim",U11&lt;&gt;"N/A"),Config!$D$16&amp;"; ","")&amp;IF(AND($D11="Encerrado",Config!$D$17&lt;&gt;"",V11&lt;&gt;"Sim",V11&lt;&gt;"N/A"),Config!$D$17&amp;"; ","")&amp;IF(AND($D11="Encerrado",Config!$D$18&lt;&gt;"",W11&lt;&gt;"Sim",W11&lt;&gt;"N/A"),Config!$D$18&amp;"; ","")&amp;IF(AND($D11="Encerrado",Config!$D$19&lt;&gt;"",X11&lt;&gt;"Sim",X11&lt;&gt;"N/A"),Config!$D$19&amp;"; ",""))</f>
        <v/>
      </c>
    </row>
    <row r="12">
      <c r="A12" s="29" t="inlineStr">
        <is>
          <t>8056747-83.2026.8.26.0561</t>
        </is>
      </c>
      <c r="B12" s="29" t="inlineStr">
        <is>
          <t>Bistrô 42</t>
        </is>
      </c>
      <c r="C12" s="34" t="inlineStr">
        <is>
          <t>Rafael Lima</t>
        </is>
      </c>
      <c r="D12" s="34" t="inlineStr">
        <is>
          <t>Em andamento</t>
        </is>
      </c>
      <c r="E12" s="34" t="inlineStr">
        <is>
          <t>Sim</t>
        </is>
      </c>
      <c r="F12" s="34" t="inlineStr">
        <is>
          <t>Sim</t>
        </is>
      </c>
      <c r="G12" s="34" t="inlineStr">
        <is>
          <t>Sim</t>
        </is>
      </c>
      <c r="H12" s="34" t="inlineStr">
        <is>
          <t>Sim</t>
        </is>
      </c>
      <c r="I12" s="34" t="inlineStr">
        <is>
          <t>Sim</t>
        </is>
      </c>
      <c r="J12" s="34" t="inlineStr">
        <is>
          <t>Sim</t>
        </is>
      </c>
      <c r="K12" s="34" t="inlineStr">
        <is>
          <t>Sim</t>
        </is>
      </c>
      <c r="L12" s="34" t="inlineStr">
        <is>
          <t>Sim</t>
        </is>
      </c>
      <c r="M12" s="34" t="inlineStr">
        <is>
          <t>Sim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25">
        <f>IF(A12="","",IFERROR(COUNTIF(E12:N12,"Sim")/(Config!$B$21-COUNTIF(E12:N12,"N/A")),""))</f>
        <v>1</v>
      </c>
      <c r="Z12" s="25">
        <f>IF(OR(A12="",D12&lt;&gt;"Encerrado"),"",IFERROR(COUNTIF(O12:X12,"Sim")/(Config!$D$21-COUNTIF(O12:X12,"N/A")),""))</f>
        <v/>
      </c>
      <c r="AA12" s="23">
        <f>IF(A12="","",MAX(0,Config!$B$21-COUNTIF(E12:N12,"Sim")-COUNTIF(E12:N12,"N/A")))</f>
        <v>0</v>
      </c>
      <c r="AB12" s="23">
        <f>IF(OR(A12="",D12&lt;&gt;"Encerrado"),"",MAX(0,Config!$D$21-COUNTIF(O12:X12,"Sim")-COUNTIF(O12:X12,"N/A")))</f>
        <v/>
      </c>
      <c r="AC12" s="23">
        <f>IF(A12="","",AA12+IF(AB12="",0,AB12))</f>
        <v>0</v>
      </c>
      <c r="AD12" s="24">
        <f>IF(OR(A12="",AF12=""),"",LEFT(AF12,LEN(AF12)-2))</f>
        <v/>
      </c>
      <c r="AE12" s="35">
        <f>IF(OR(A12="",AC12=0),0,AC12*100-ROW()/100000)</f>
        <v>0</v>
      </c>
      <c r="AF12" s="35">
        <f>IF(A12="","",IF(AND(Config!$B$10&lt;&gt;"",E12&lt;&gt;"Sim",E12&lt;&gt;"N/A"),Config!$B$10&amp;"; ","")&amp;IF(AND(Config!$B$11&lt;&gt;"",F12&lt;&gt;"Sim",F12&lt;&gt;"N/A"),Config!$B$11&amp;"; ","")&amp;IF(AND(Config!$B$12&lt;&gt;"",G12&lt;&gt;"Sim",G12&lt;&gt;"N/A"),Config!$B$12&amp;"; ","")&amp;IF(AND(Config!$B$13&lt;&gt;"",H12&lt;&gt;"Sim",H12&lt;&gt;"N/A"),Config!$B$13&amp;"; ","")&amp;IF(AND(Config!$B$14&lt;&gt;"",I12&lt;&gt;"Sim",I12&lt;&gt;"N/A"),Config!$B$14&amp;"; ","")&amp;IF(AND(Config!$B$15&lt;&gt;"",J12&lt;&gt;"Sim",J12&lt;&gt;"N/A"),Config!$B$15&amp;"; ","")&amp;IF(AND(Config!$B$16&lt;&gt;"",K12&lt;&gt;"Sim",K12&lt;&gt;"N/A"),Config!$B$16&amp;"; ","")&amp;IF(AND(Config!$B$17&lt;&gt;"",L12&lt;&gt;"Sim",L12&lt;&gt;"N/A"),Config!$B$17&amp;"; ","")&amp;IF(AND(Config!$B$18&lt;&gt;"",M12&lt;&gt;"Sim",M12&lt;&gt;"N/A"),Config!$B$18&amp;"; ","")&amp;IF(AND(Config!$B$19&lt;&gt;"",N12&lt;&gt;"Sim",N12&lt;&gt;"N/A"),Config!$B$19&amp;"; ","")&amp;IF(AND($D12="Encerrado",Config!$D$10&lt;&gt;"",O12&lt;&gt;"Sim",O12&lt;&gt;"N/A"),Config!$D$10&amp;"; ","")&amp;IF(AND($D12="Encerrado",Config!$D$11&lt;&gt;"",P12&lt;&gt;"Sim",P12&lt;&gt;"N/A"),Config!$D$11&amp;"; ","")&amp;IF(AND($D12="Encerrado",Config!$D$12&lt;&gt;"",Q12&lt;&gt;"Sim",Q12&lt;&gt;"N/A"),Config!$D$12&amp;"; ","")&amp;IF(AND($D12="Encerrado",Config!$D$13&lt;&gt;"",R12&lt;&gt;"Sim",R12&lt;&gt;"N/A"),Config!$D$13&amp;"; ","")&amp;IF(AND($D12="Encerrado",Config!$D$14&lt;&gt;"",S12&lt;&gt;"Sim",S12&lt;&gt;"N/A"),Config!$D$14&amp;"; ","")&amp;IF(AND($D12="Encerrado",Config!$D$15&lt;&gt;"",T12&lt;&gt;"Sim",T12&lt;&gt;"N/A"),Config!$D$15&amp;"; ","")&amp;IF(AND($D12="Encerrado",Config!$D$16&lt;&gt;"",U12&lt;&gt;"Sim",U12&lt;&gt;"N/A"),Config!$D$16&amp;"; ","")&amp;IF(AND($D12="Encerrado",Config!$D$17&lt;&gt;"",V12&lt;&gt;"Sim",V12&lt;&gt;"N/A"),Config!$D$17&amp;"; ","")&amp;IF(AND($D12="Encerrado",Config!$D$18&lt;&gt;"",W12&lt;&gt;"Sim",W12&lt;&gt;"N/A"),Config!$D$18&amp;"; ","")&amp;IF(AND($D12="Encerrado",Config!$D$19&lt;&gt;"",X12&lt;&gt;"Sim",X12&lt;&gt;"N/A"),Config!$D$19&amp;"; ",""))</f>
        <v/>
      </c>
    </row>
    <row r="13">
      <c r="A13" s="29" t="inlineStr">
        <is>
          <t>9236009-85.2025.8.26.0452</t>
        </is>
      </c>
      <c r="B13" s="29" t="inlineStr">
        <is>
          <t>Bistrô 42</t>
        </is>
      </c>
      <c r="C13" s="34" t="inlineStr">
        <is>
          <t>Rafael Lima</t>
        </is>
      </c>
      <c r="D13" s="34" t="inlineStr">
        <is>
          <t>Em andamento</t>
        </is>
      </c>
      <c r="E13" s="34" t="inlineStr">
        <is>
          <t>Sim</t>
        </is>
      </c>
      <c r="F13" s="34" t="inlineStr">
        <is>
          <t>Sim</t>
        </is>
      </c>
      <c r="G13" s="34" t="inlineStr">
        <is>
          <t>Sim</t>
        </is>
      </c>
      <c r="H13" s="34" t="inlineStr">
        <is>
          <t>Sim</t>
        </is>
      </c>
      <c r="I13" s="34" t="inlineStr">
        <is>
          <t>Sim</t>
        </is>
      </c>
      <c r="J13" s="34" t="inlineStr">
        <is>
          <t>Sim</t>
        </is>
      </c>
      <c r="K13" s="34" t="inlineStr">
        <is>
          <t>Sim</t>
        </is>
      </c>
      <c r="L13" s="34" t="inlineStr">
        <is>
          <t>Sim</t>
        </is>
      </c>
      <c r="M13" s="34" t="inlineStr">
        <is>
          <t>Sim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25">
        <f>IF(A13="","",IFERROR(COUNTIF(E13:N13,"Sim")/(Config!$B$21-COUNTIF(E13:N13,"N/A")),""))</f>
        <v>1</v>
      </c>
      <c r="Z13" s="25">
        <f>IF(OR(A13="",D13&lt;&gt;"Encerrado"),"",IFERROR(COUNTIF(O13:X13,"Sim")/(Config!$D$21-COUNTIF(O13:X13,"N/A")),""))</f>
        <v/>
      </c>
      <c r="AA13" s="23">
        <f>IF(A13="","",MAX(0,Config!$B$21-COUNTIF(E13:N13,"Sim")-COUNTIF(E13:N13,"N/A")))</f>
        <v>0</v>
      </c>
      <c r="AB13" s="23">
        <f>IF(OR(A13="",D13&lt;&gt;"Encerrado"),"",MAX(0,Config!$D$21-COUNTIF(O13:X13,"Sim")-COUNTIF(O13:X13,"N/A")))</f>
        <v/>
      </c>
      <c r="AC13" s="23">
        <f>IF(A13="","",AA13+IF(AB13="",0,AB13))</f>
        <v>0</v>
      </c>
      <c r="AD13" s="24">
        <f>IF(OR(A13="",AF13=""),"",LEFT(AF13,LEN(AF13)-2))</f>
        <v/>
      </c>
      <c r="AE13" s="35">
        <f>IF(OR(A13="",AC13=0),0,AC13*100-ROW()/100000)</f>
        <v>0</v>
      </c>
      <c r="AF13" s="35">
        <f>IF(A13="","",IF(AND(Config!$B$10&lt;&gt;"",E13&lt;&gt;"Sim",E13&lt;&gt;"N/A"),Config!$B$10&amp;"; ","")&amp;IF(AND(Config!$B$11&lt;&gt;"",F13&lt;&gt;"Sim",F13&lt;&gt;"N/A"),Config!$B$11&amp;"; ","")&amp;IF(AND(Config!$B$12&lt;&gt;"",G13&lt;&gt;"Sim",G13&lt;&gt;"N/A"),Config!$B$12&amp;"; ","")&amp;IF(AND(Config!$B$13&lt;&gt;"",H13&lt;&gt;"Sim",H13&lt;&gt;"N/A"),Config!$B$13&amp;"; ","")&amp;IF(AND(Config!$B$14&lt;&gt;"",I13&lt;&gt;"Sim",I13&lt;&gt;"N/A"),Config!$B$14&amp;"; ","")&amp;IF(AND(Config!$B$15&lt;&gt;"",J13&lt;&gt;"Sim",J13&lt;&gt;"N/A"),Config!$B$15&amp;"; ","")&amp;IF(AND(Config!$B$16&lt;&gt;"",K13&lt;&gt;"Sim",K13&lt;&gt;"N/A"),Config!$B$16&amp;"; ","")&amp;IF(AND(Config!$B$17&lt;&gt;"",L13&lt;&gt;"Sim",L13&lt;&gt;"N/A"),Config!$B$17&amp;"; ","")&amp;IF(AND(Config!$B$18&lt;&gt;"",M13&lt;&gt;"Sim",M13&lt;&gt;"N/A"),Config!$B$18&amp;"; ","")&amp;IF(AND(Config!$B$19&lt;&gt;"",N13&lt;&gt;"Sim",N13&lt;&gt;"N/A"),Config!$B$19&amp;"; ","")&amp;IF(AND($D13="Encerrado",Config!$D$10&lt;&gt;"",O13&lt;&gt;"Sim",O13&lt;&gt;"N/A"),Config!$D$10&amp;"; ","")&amp;IF(AND($D13="Encerrado",Config!$D$11&lt;&gt;"",P13&lt;&gt;"Sim",P13&lt;&gt;"N/A"),Config!$D$11&amp;"; ","")&amp;IF(AND($D13="Encerrado",Config!$D$12&lt;&gt;"",Q13&lt;&gt;"Sim",Q13&lt;&gt;"N/A"),Config!$D$12&amp;"; ","")&amp;IF(AND($D13="Encerrado",Config!$D$13&lt;&gt;"",R13&lt;&gt;"Sim",R13&lt;&gt;"N/A"),Config!$D$13&amp;"; ","")&amp;IF(AND($D13="Encerrado",Config!$D$14&lt;&gt;"",S13&lt;&gt;"Sim",S13&lt;&gt;"N/A"),Config!$D$14&amp;"; ","")&amp;IF(AND($D13="Encerrado",Config!$D$15&lt;&gt;"",T13&lt;&gt;"Sim",T13&lt;&gt;"N/A"),Config!$D$15&amp;"; ","")&amp;IF(AND($D13="Encerrado",Config!$D$16&lt;&gt;"",U13&lt;&gt;"Sim",U13&lt;&gt;"N/A"),Config!$D$16&amp;"; ","")&amp;IF(AND($D13="Encerrado",Config!$D$17&lt;&gt;"",V13&lt;&gt;"Sim",V13&lt;&gt;"N/A"),Config!$D$17&amp;"; ","")&amp;IF(AND($D13="Encerrado",Config!$D$18&lt;&gt;"",W13&lt;&gt;"Sim",W13&lt;&gt;"N/A"),Config!$D$18&amp;"; ","")&amp;IF(AND($D13="Encerrado",Config!$D$19&lt;&gt;"",X13&lt;&gt;"Sim",X13&lt;&gt;"N/A"),Config!$D$19&amp;"; ",""))</f>
        <v/>
      </c>
    </row>
    <row r="14">
      <c r="A14" s="29" t="inlineStr">
        <is>
          <t>5025425-10.2025.8.26.0629</t>
        </is>
      </c>
      <c r="B14" s="29" t="inlineStr">
        <is>
          <t>Roberto Almeida</t>
        </is>
      </c>
      <c r="C14" s="34" t="inlineStr">
        <is>
          <t>Marina Ferraz</t>
        </is>
      </c>
      <c r="D14" s="34" t="inlineStr">
        <is>
          <t>Em andamento</t>
        </is>
      </c>
      <c r="E14" s="34" t="inlineStr">
        <is>
          <t>Sim</t>
        </is>
      </c>
      <c r="F14" s="34" t="inlineStr">
        <is>
          <t>Sim</t>
        </is>
      </c>
      <c r="G14" s="34" t="inlineStr">
        <is>
          <t>Sim</t>
        </is>
      </c>
      <c r="H14" s="34" t="inlineStr">
        <is>
          <t>Sim</t>
        </is>
      </c>
      <c r="I14" s="34" t="inlineStr">
        <is>
          <t>Sim</t>
        </is>
      </c>
      <c r="J14" s="34" t="inlineStr">
        <is>
          <t>Sim</t>
        </is>
      </c>
      <c r="K14" s="34" t="inlineStr">
        <is>
          <t>Sim</t>
        </is>
      </c>
      <c r="L14" s="34" t="inlineStr">
        <is>
          <t>Sim</t>
        </is>
      </c>
      <c r="M14" s="34" t="inlineStr">
        <is>
          <t>Sim</t>
        </is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25">
        <f>IF(A14="","",IFERROR(COUNTIF(E14:N14,"Sim")/(Config!$B$21-COUNTIF(E14:N14,"N/A")),""))</f>
        <v>1</v>
      </c>
      <c r="Z14" s="25">
        <f>IF(OR(A14="",D14&lt;&gt;"Encerrado"),"",IFERROR(COUNTIF(O14:X14,"Sim")/(Config!$D$21-COUNTIF(O14:X14,"N/A")),""))</f>
        <v/>
      </c>
      <c r="AA14" s="23">
        <f>IF(A14="","",MAX(0,Config!$B$21-COUNTIF(E14:N14,"Sim")-COUNTIF(E14:N14,"N/A")))</f>
        <v>0</v>
      </c>
      <c r="AB14" s="23">
        <f>IF(OR(A14="",D14&lt;&gt;"Encerrado"),"",MAX(0,Config!$D$21-COUNTIF(O14:X14,"Sim")-COUNTIF(O14:X14,"N/A")))</f>
        <v/>
      </c>
      <c r="AC14" s="23">
        <f>IF(A14="","",AA14+IF(AB14="",0,AB14))</f>
        <v>0</v>
      </c>
      <c r="AD14" s="24">
        <f>IF(OR(A14="",AF14=""),"",LEFT(AF14,LEN(AF14)-2))</f>
        <v/>
      </c>
      <c r="AE14" s="35">
        <f>IF(OR(A14="",AC14=0),0,AC14*100-ROW()/100000)</f>
        <v>0</v>
      </c>
      <c r="AF14" s="35">
        <f>IF(A14="","",IF(AND(Config!$B$10&lt;&gt;"",E14&lt;&gt;"Sim",E14&lt;&gt;"N/A"),Config!$B$10&amp;"; ","")&amp;IF(AND(Config!$B$11&lt;&gt;"",F14&lt;&gt;"Sim",F14&lt;&gt;"N/A"),Config!$B$11&amp;"; ","")&amp;IF(AND(Config!$B$12&lt;&gt;"",G14&lt;&gt;"Sim",G14&lt;&gt;"N/A"),Config!$B$12&amp;"; ","")&amp;IF(AND(Config!$B$13&lt;&gt;"",H14&lt;&gt;"Sim",H14&lt;&gt;"N/A"),Config!$B$13&amp;"; ","")&amp;IF(AND(Config!$B$14&lt;&gt;"",I14&lt;&gt;"Sim",I14&lt;&gt;"N/A"),Config!$B$14&amp;"; ","")&amp;IF(AND(Config!$B$15&lt;&gt;"",J14&lt;&gt;"Sim",J14&lt;&gt;"N/A"),Config!$B$15&amp;"; ","")&amp;IF(AND(Config!$B$16&lt;&gt;"",K14&lt;&gt;"Sim",K14&lt;&gt;"N/A"),Config!$B$16&amp;"; ","")&amp;IF(AND(Config!$B$17&lt;&gt;"",L14&lt;&gt;"Sim",L14&lt;&gt;"N/A"),Config!$B$17&amp;"; ","")&amp;IF(AND(Config!$B$18&lt;&gt;"",M14&lt;&gt;"Sim",M14&lt;&gt;"N/A"),Config!$B$18&amp;"; ","")&amp;IF(AND(Config!$B$19&lt;&gt;"",N14&lt;&gt;"Sim",N14&lt;&gt;"N/A"),Config!$B$19&amp;"; ","")&amp;IF(AND($D14="Encerrado",Config!$D$10&lt;&gt;"",O14&lt;&gt;"Sim",O14&lt;&gt;"N/A"),Config!$D$10&amp;"; ","")&amp;IF(AND($D14="Encerrado",Config!$D$11&lt;&gt;"",P14&lt;&gt;"Sim",P14&lt;&gt;"N/A"),Config!$D$11&amp;"; ","")&amp;IF(AND($D14="Encerrado",Config!$D$12&lt;&gt;"",Q14&lt;&gt;"Sim",Q14&lt;&gt;"N/A"),Config!$D$12&amp;"; ","")&amp;IF(AND($D14="Encerrado",Config!$D$13&lt;&gt;"",R14&lt;&gt;"Sim",R14&lt;&gt;"N/A"),Config!$D$13&amp;"; ","")&amp;IF(AND($D14="Encerrado",Config!$D$14&lt;&gt;"",S14&lt;&gt;"Sim",S14&lt;&gt;"N/A"),Config!$D$14&amp;"; ","")&amp;IF(AND($D14="Encerrado",Config!$D$15&lt;&gt;"",T14&lt;&gt;"Sim",T14&lt;&gt;"N/A"),Config!$D$15&amp;"; ","")&amp;IF(AND($D14="Encerrado",Config!$D$16&lt;&gt;"",U14&lt;&gt;"Sim",U14&lt;&gt;"N/A"),Config!$D$16&amp;"; ","")&amp;IF(AND($D14="Encerrado",Config!$D$17&lt;&gt;"",V14&lt;&gt;"Sim",V14&lt;&gt;"N/A"),Config!$D$17&amp;"; ","")&amp;IF(AND($D14="Encerrado",Config!$D$18&lt;&gt;"",W14&lt;&gt;"Sim",W14&lt;&gt;"N/A"),Config!$D$18&amp;"; ","")&amp;IF(AND($D14="Encerrado",Config!$D$19&lt;&gt;"",X14&lt;&gt;"Sim",X14&lt;&gt;"N/A"),Config!$D$19&amp;"; ",""))</f>
        <v/>
      </c>
    </row>
    <row r="15">
      <c r="A15" s="29" t="inlineStr">
        <is>
          <t>2354318-24.2026.8.26.0295</t>
        </is>
      </c>
      <c r="B15" s="29" t="inlineStr">
        <is>
          <t>Roberto Almeida</t>
        </is>
      </c>
      <c r="C15" s="34" t="inlineStr">
        <is>
          <t>Marina Ferraz</t>
        </is>
      </c>
      <c r="D15" s="34" t="inlineStr">
        <is>
          <t>Em andamento</t>
        </is>
      </c>
      <c r="E15" s="34" t="inlineStr">
        <is>
          <t>Sim</t>
        </is>
      </c>
      <c r="F15" s="34" t="inlineStr">
        <is>
          <t>Sim</t>
        </is>
      </c>
      <c r="G15" s="34" t="inlineStr">
        <is>
          <t>Sim</t>
        </is>
      </c>
      <c r="H15" s="34" t="inlineStr">
        <is>
          <t>Sim</t>
        </is>
      </c>
      <c r="I15" s="34" t="inlineStr">
        <is>
          <t>Sim</t>
        </is>
      </c>
      <c r="J15" s="34" t="inlineStr">
        <is>
          <t>Sim</t>
        </is>
      </c>
      <c r="K15" s="34" t="inlineStr">
        <is>
          <t>Sim</t>
        </is>
      </c>
      <c r="L15" s="34" t="inlineStr">
        <is>
          <t>Sim</t>
        </is>
      </c>
      <c r="M15" s="34" t="inlineStr">
        <is>
          <t>Sim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25">
        <f>IF(A15="","",IFERROR(COUNTIF(E15:N15,"Sim")/(Config!$B$21-COUNTIF(E15:N15,"N/A")),""))</f>
        <v>1</v>
      </c>
      <c r="Z15" s="25">
        <f>IF(OR(A15="",D15&lt;&gt;"Encerrado"),"",IFERROR(COUNTIF(O15:X15,"Sim")/(Config!$D$21-COUNTIF(O15:X15,"N/A")),""))</f>
        <v/>
      </c>
      <c r="AA15" s="23">
        <f>IF(A15="","",MAX(0,Config!$B$21-COUNTIF(E15:N15,"Sim")-COUNTIF(E15:N15,"N/A")))</f>
        <v>0</v>
      </c>
      <c r="AB15" s="23">
        <f>IF(OR(A15="",D15&lt;&gt;"Encerrado"),"",MAX(0,Config!$D$21-COUNTIF(O15:X15,"Sim")-COUNTIF(O15:X15,"N/A")))</f>
        <v/>
      </c>
      <c r="AC15" s="23">
        <f>IF(A15="","",AA15+IF(AB15="",0,AB15))</f>
        <v>0</v>
      </c>
      <c r="AD15" s="24">
        <f>IF(OR(A15="",AF15=""),"",LEFT(AF15,LEN(AF15)-2))</f>
        <v/>
      </c>
      <c r="AE15" s="35">
        <f>IF(OR(A15="",AC15=0),0,AC15*100-ROW()/100000)</f>
        <v>0</v>
      </c>
      <c r="AF15" s="35">
        <f>IF(A15="","",IF(AND(Config!$B$10&lt;&gt;"",E15&lt;&gt;"Sim",E15&lt;&gt;"N/A"),Config!$B$10&amp;"; ","")&amp;IF(AND(Config!$B$11&lt;&gt;"",F15&lt;&gt;"Sim",F15&lt;&gt;"N/A"),Config!$B$11&amp;"; ","")&amp;IF(AND(Config!$B$12&lt;&gt;"",G15&lt;&gt;"Sim",G15&lt;&gt;"N/A"),Config!$B$12&amp;"; ","")&amp;IF(AND(Config!$B$13&lt;&gt;"",H15&lt;&gt;"Sim",H15&lt;&gt;"N/A"),Config!$B$13&amp;"; ","")&amp;IF(AND(Config!$B$14&lt;&gt;"",I15&lt;&gt;"Sim",I15&lt;&gt;"N/A"),Config!$B$14&amp;"; ","")&amp;IF(AND(Config!$B$15&lt;&gt;"",J15&lt;&gt;"Sim",J15&lt;&gt;"N/A"),Config!$B$15&amp;"; ","")&amp;IF(AND(Config!$B$16&lt;&gt;"",K15&lt;&gt;"Sim",K15&lt;&gt;"N/A"),Config!$B$16&amp;"; ","")&amp;IF(AND(Config!$B$17&lt;&gt;"",L15&lt;&gt;"Sim",L15&lt;&gt;"N/A"),Config!$B$17&amp;"; ","")&amp;IF(AND(Config!$B$18&lt;&gt;"",M15&lt;&gt;"Sim",M15&lt;&gt;"N/A"),Config!$B$18&amp;"; ","")&amp;IF(AND(Config!$B$19&lt;&gt;"",N15&lt;&gt;"Sim",N15&lt;&gt;"N/A"),Config!$B$19&amp;"; ","")&amp;IF(AND($D15="Encerrado",Config!$D$10&lt;&gt;"",O15&lt;&gt;"Sim",O15&lt;&gt;"N/A"),Config!$D$10&amp;"; ","")&amp;IF(AND($D15="Encerrado",Config!$D$11&lt;&gt;"",P15&lt;&gt;"Sim",P15&lt;&gt;"N/A"),Config!$D$11&amp;"; ","")&amp;IF(AND($D15="Encerrado",Config!$D$12&lt;&gt;"",Q15&lt;&gt;"Sim",Q15&lt;&gt;"N/A"),Config!$D$12&amp;"; ","")&amp;IF(AND($D15="Encerrado",Config!$D$13&lt;&gt;"",R15&lt;&gt;"Sim",R15&lt;&gt;"N/A"),Config!$D$13&amp;"; ","")&amp;IF(AND($D15="Encerrado",Config!$D$14&lt;&gt;"",S15&lt;&gt;"Sim",S15&lt;&gt;"N/A"),Config!$D$14&amp;"; ","")&amp;IF(AND($D15="Encerrado",Config!$D$15&lt;&gt;"",T15&lt;&gt;"Sim",T15&lt;&gt;"N/A"),Config!$D$15&amp;"; ","")&amp;IF(AND($D15="Encerrado",Config!$D$16&lt;&gt;"",U15&lt;&gt;"Sim",U15&lt;&gt;"N/A"),Config!$D$16&amp;"; ","")&amp;IF(AND($D15="Encerrado",Config!$D$17&lt;&gt;"",V15&lt;&gt;"Sim",V15&lt;&gt;"N/A"),Config!$D$17&amp;"; ","")&amp;IF(AND($D15="Encerrado",Config!$D$18&lt;&gt;"",W15&lt;&gt;"Sim",W15&lt;&gt;"N/A"),Config!$D$18&amp;"; ","")&amp;IF(AND($D15="Encerrado",Config!$D$19&lt;&gt;"",X15&lt;&gt;"Sim",X15&lt;&gt;"N/A"),Config!$D$19&amp;"; ",""))</f>
        <v/>
      </c>
    </row>
    <row r="16">
      <c r="A16" s="29" t="inlineStr">
        <is>
          <t>CONS-2025-05</t>
        </is>
      </c>
      <c r="B16" s="29" t="inlineStr">
        <is>
          <t>Clínica Bem-Estar</t>
        </is>
      </c>
      <c r="C16" s="34" t="inlineStr">
        <is>
          <t>Marina Ferraz</t>
        </is>
      </c>
      <c r="D16" s="34" t="inlineStr">
        <is>
          <t>Em andamento</t>
        </is>
      </c>
      <c r="E16" s="34" t="inlineStr">
        <is>
          <t>Sim</t>
        </is>
      </c>
      <c r="F16" s="34" t="inlineStr">
        <is>
          <t>N/A</t>
        </is>
      </c>
      <c r="G16" s="34" t="inlineStr">
        <is>
          <t>Sim</t>
        </is>
      </c>
      <c r="H16" s="34" t="inlineStr">
        <is>
          <t>Sim</t>
        </is>
      </c>
      <c r="I16" s="34" t="inlineStr">
        <is>
          <t>Sim</t>
        </is>
      </c>
      <c r="J16" s="34" t="inlineStr">
        <is>
          <t>Sim</t>
        </is>
      </c>
      <c r="K16" s="34" t="inlineStr">
        <is>
          <t>N/A</t>
        </is>
      </c>
      <c r="L16" s="34" t="inlineStr">
        <is>
          <t>Sim</t>
        </is>
      </c>
      <c r="M16" s="34" t="inlineStr">
        <is>
          <t>Sim</t>
        </is>
      </c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25">
        <f>IF(A16="","",IFERROR(COUNTIF(E16:N16,"Sim")/(Config!$B$21-COUNTIF(E16:N16,"N/A")),""))</f>
        <v>1</v>
      </c>
      <c r="Z16" s="25">
        <f>IF(OR(A16="",D16&lt;&gt;"Encerrado"),"",IFERROR(COUNTIF(O16:X16,"Sim")/(Config!$D$21-COUNTIF(O16:X16,"N/A")),""))</f>
        <v/>
      </c>
      <c r="AA16" s="23">
        <f>IF(A16="","",MAX(0,Config!$B$21-COUNTIF(E16:N16,"Sim")-COUNTIF(E16:N16,"N/A")))</f>
        <v>0</v>
      </c>
      <c r="AB16" s="23">
        <f>IF(OR(A16="",D16&lt;&gt;"Encerrado"),"",MAX(0,Config!$D$21-COUNTIF(O16:X16,"Sim")-COUNTIF(O16:X16,"N/A")))</f>
        <v/>
      </c>
      <c r="AC16" s="23">
        <f>IF(A16="","",AA16+IF(AB16="",0,AB16))</f>
        <v>0</v>
      </c>
      <c r="AD16" s="24">
        <f>IF(OR(A16="",AF16=""),"",LEFT(AF16,LEN(AF16)-2))</f>
        <v/>
      </c>
      <c r="AE16" s="35">
        <f>IF(OR(A16="",AC16=0),0,AC16*100-ROW()/100000)</f>
        <v>0</v>
      </c>
      <c r="AF16" s="35">
        <f>IF(A16="","",IF(AND(Config!$B$10&lt;&gt;"",E16&lt;&gt;"Sim",E16&lt;&gt;"N/A"),Config!$B$10&amp;"; ","")&amp;IF(AND(Config!$B$11&lt;&gt;"",F16&lt;&gt;"Sim",F16&lt;&gt;"N/A"),Config!$B$11&amp;"; ","")&amp;IF(AND(Config!$B$12&lt;&gt;"",G16&lt;&gt;"Sim",G16&lt;&gt;"N/A"),Config!$B$12&amp;"; ","")&amp;IF(AND(Config!$B$13&lt;&gt;"",H16&lt;&gt;"Sim",H16&lt;&gt;"N/A"),Config!$B$13&amp;"; ","")&amp;IF(AND(Config!$B$14&lt;&gt;"",I16&lt;&gt;"Sim",I16&lt;&gt;"N/A"),Config!$B$14&amp;"; ","")&amp;IF(AND(Config!$B$15&lt;&gt;"",J16&lt;&gt;"Sim",J16&lt;&gt;"N/A"),Config!$B$15&amp;"; ","")&amp;IF(AND(Config!$B$16&lt;&gt;"",K16&lt;&gt;"Sim",K16&lt;&gt;"N/A"),Config!$B$16&amp;"; ","")&amp;IF(AND(Config!$B$17&lt;&gt;"",L16&lt;&gt;"Sim",L16&lt;&gt;"N/A"),Config!$B$17&amp;"; ","")&amp;IF(AND(Config!$B$18&lt;&gt;"",M16&lt;&gt;"Sim",M16&lt;&gt;"N/A"),Config!$B$18&amp;"; ","")&amp;IF(AND(Config!$B$19&lt;&gt;"",N16&lt;&gt;"Sim",N16&lt;&gt;"N/A"),Config!$B$19&amp;"; ","")&amp;IF(AND($D16="Encerrado",Config!$D$10&lt;&gt;"",O16&lt;&gt;"Sim",O16&lt;&gt;"N/A"),Config!$D$10&amp;"; ","")&amp;IF(AND($D16="Encerrado",Config!$D$11&lt;&gt;"",P16&lt;&gt;"Sim",P16&lt;&gt;"N/A"),Config!$D$11&amp;"; ","")&amp;IF(AND($D16="Encerrado",Config!$D$12&lt;&gt;"",Q16&lt;&gt;"Sim",Q16&lt;&gt;"N/A"),Config!$D$12&amp;"; ","")&amp;IF(AND($D16="Encerrado",Config!$D$13&lt;&gt;"",R16&lt;&gt;"Sim",R16&lt;&gt;"N/A"),Config!$D$13&amp;"; ","")&amp;IF(AND($D16="Encerrado",Config!$D$14&lt;&gt;"",S16&lt;&gt;"Sim",S16&lt;&gt;"N/A"),Config!$D$14&amp;"; ","")&amp;IF(AND($D16="Encerrado",Config!$D$15&lt;&gt;"",T16&lt;&gt;"Sim",T16&lt;&gt;"N/A"),Config!$D$15&amp;"; ","")&amp;IF(AND($D16="Encerrado",Config!$D$16&lt;&gt;"",U16&lt;&gt;"Sim",U16&lt;&gt;"N/A"),Config!$D$16&amp;"; ","")&amp;IF(AND($D16="Encerrado",Config!$D$17&lt;&gt;"",V16&lt;&gt;"Sim",V16&lt;&gt;"N/A"),Config!$D$17&amp;"; ","")&amp;IF(AND($D16="Encerrado",Config!$D$18&lt;&gt;"",W16&lt;&gt;"Sim",W16&lt;&gt;"N/A"),Config!$D$18&amp;"; ","")&amp;IF(AND($D16="Encerrado",Config!$D$19&lt;&gt;"",X16&lt;&gt;"Sim",X16&lt;&gt;"N/A"),Config!$D$19&amp;"; ",""))</f>
        <v/>
      </c>
    </row>
    <row r="17">
      <c r="A17" s="29" t="inlineStr">
        <is>
          <t>2645033-67.2026.8.26.0012</t>
        </is>
      </c>
      <c r="B17" s="29" t="inlineStr">
        <is>
          <t>Clínica Bem-Estar</t>
        </is>
      </c>
      <c r="C17" s="34" t="inlineStr">
        <is>
          <t>Marina Ferraz</t>
        </is>
      </c>
      <c r="D17" s="34" t="inlineStr">
        <is>
          <t>Em andamento</t>
        </is>
      </c>
      <c r="E17" s="34" t="inlineStr">
        <is>
          <t>Sim</t>
        </is>
      </c>
      <c r="F17" s="34" t="inlineStr">
        <is>
          <t>Sim</t>
        </is>
      </c>
      <c r="G17" s="34" t="inlineStr">
        <is>
          <t>Sim</t>
        </is>
      </c>
      <c r="H17" s="34" t="inlineStr">
        <is>
          <t>Sim</t>
        </is>
      </c>
      <c r="I17" s="34" t="inlineStr">
        <is>
          <t>Sim</t>
        </is>
      </c>
      <c r="J17" s="34" t="inlineStr">
        <is>
          <t>Sim</t>
        </is>
      </c>
      <c r="K17" s="34" t="inlineStr">
        <is>
          <t>Sim</t>
        </is>
      </c>
      <c r="L17" s="34" t="inlineStr">
        <is>
          <t>Sim</t>
        </is>
      </c>
      <c r="M17" s="34" t="inlineStr">
        <is>
          <t>Sim</t>
        </is>
      </c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25">
        <f>IF(A17="","",IFERROR(COUNTIF(E17:N17,"Sim")/(Config!$B$21-COUNTIF(E17:N17,"N/A")),""))</f>
        <v>1</v>
      </c>
      <c r="Z17" s="25">
        <f>IF(OR(A17="",D17&lt;&gt;"Encerrado"),"",IFERROR(COUNTIF(O17:X17,"Sim")/(Config!$D$21-COUNTIF(O17:X17,"N/A")),""))</f>
        <v/>
      </c>
      <c r="AA17" s="23">
        <f>IF(A17="","",MAX(0,Config!$B$21-COUNTIF(E17:N17,"Sim")-COUNTIF(E17:N17,"N/A")))</f>
        <v>0</v>
      </c>
      <c r="AB17" s="23">
        <f>IF(OR(A17="",D17&lt;&gt;"Encerrado"),"",MAX(0,Config!$D$21-COUNTIF(O17:X17,"Sim")-COUNTIF(O17:X17,"N/A")))</f>
        <v/>
      </c>
      <c r="AC17" s="23">
        <f>IF(A17="","",AA17+IF(AB17="",0,AB17))</f>
        <v>0</v>
      </c>
      <c r="AD17" s="24">
        <f>IF(OR(A17="",AF17=""),"",LEFT(AF17,LEN(AF17)-2))</f>
        <v/>
      </c>
      <c r="AE17" s="35">
        <f>IF(OR(A17="",AC17=0),0,AC17*100-ROW()/100000)</f>
        <v>0</v>
      </c>
      <c r="AF17" s="35">
        <f>IF(A17="","",IF(AND(Config!$B$10&lt;&gt;"",E17&lt;&gt;"Sim",E17&lt;&gt;"N/A"),Config!$B$10&amp;"; ","")&amp;IF(AND(Config!$B$11&lt;&gt;"",F17&lt;&gt;"Sim",F17&lt;&gt;"N/A"),Config!$B$11&amp;"; ","")&amp;IF(AND(Config!$B$12&lt;&gt;"",G17&lt;&gt;"Sim",G17&lt;&gt;"N/A"),Config!$B$12&amp;"; ","")&amp;IF(AND(Config!$B$13&lt;&gt;"",H17&lt;&gt;"Sim",H17&lt;&gt;"N/A"),Config!$B$13&amp;"; ","")&amp;IF(AND(Config!$B$14&lt;&gt;"",I17&lt;&gt;"Sim",I17&lt;&gt;"N/A"),Config!$B$14&amp;"; ","")&amp;IF(AND(Config!$B$15&lt;&gt;"",J17&lt;&gt;"Sim",J17&lt;&gt;"N/A"),Config!$B$15&amp;"; ","")&amp;IF(AND(Config!$B$16&lt;&gt;"",K17&lt;&gt;"Sim",K17&lt;&gt;"N/A"),Config!$B$16&amp;"; ","")&amp;IF(AND(Config!$B$17&lt;&gt;"",L17&lt;&gt;"Sim",L17&lt;&gt;"N/A"),Config!$B$17&amp;"; ","")&amp;IF(AND(Config!$B$18&lt;&gt;"",M17&lt;&gt;"Sim",M17&lt;&gt;"N/A"),Config!$B$18&amp;"; ","")&amp;IF(AND(Config!$B$19&lt;&gt;"",N17&lt;&gt;"Sim",N17&lt;&gt;"N/A"),Config!$B$19&amp;"; ","")&amp;IF(AND($D17="Encerrado",Config!$D$10&lt;&gt;"",O17&lt;&gt;"Sim",O17&lt;&gt;"N/A"),Config!$D$10&amp;"; ","")&amp;IF(AND($D17="Encerrado",Config!$D$11&lt;&gt;"",P17&lt;&gt;"Sim",P17&lt;&gt;"N/A"),Config!$D$11&amp;"; ","")&amp;IF(AND($D17="Encerrado",Config!$D$12&lt;&gt;"",Q17&lt;&gt;"Sim",Q17&lt;&gt;"N/A"),Config!$D$12&amp;"; ","")&amp;IF(AND($D17="Encerrado",Config!$D$13&lt;&gt;"",R17&lt;&gt;"Sim",R17&lt;&gt;"N/A"),Config!$D$13&amp;"; ","")&amp;IF(AND($D17="Encerrado",Config!$D$14&lt;&gt;"",S17&lt;&gt;"Sim",S17&lt;&gt;"N/A"),Config!$D$14&amp;"; ","")&amp;IF(AND($D17="Encerrado",Config!$D$15&lt;&gt;"",T17&lt;&gt;"Sim",T17&lt;&gt;"N/A"),Config!$D$15&amp;"; ","")&amp;IF(AND($D17="Encerrado",Config!$D$16&lt;&gt;"",U17&lt;&gt;"Sim",U17&lt;&gt;"N/A"),Config!$D$16&amp;"; ","")&amp;IF(AND($D17="Encerrado",Config!$D$17&lt;&gt;"",V17&lt;&gt;"Sim",V17&lt;&gt;"N/A"),Config!$D$17&amp;"; ","")&amp;IF(AND($D17="Encerrado",Config!$D$18&lt;&gt;"",W17&lt;&gt;"Sim",W17&lt;&gt;"N/A"),Config!$D$18&amp;"; ","")&amp;IF(AND($D17="Encerrado",Config!$D$19&lt;&gt;"",X17&lt;&gt;"Sim",X17&lt;&gt;"N/A"),Config!$D$19&amp;"; ",""))</f>
        <v/>
      </c>
    </row>
    <row r="18">
      <c r="A18" s="29" t="inlineStr">
        <is>
          <t>9225646-96.2025.8.26.0322</t>
        </is>
      </c>
      <c r="B18" s="29" t="inlineStr">
        <is>
          <t>Transportadora Rota Sul</t>
        </is>
      </c>
      <c r="C18" s="34" t="inlineStr">
        <is>
          <t>Rafael Lima</t>
        </is>
      </c>
      <c r="D18" s="34" t="inlineStr">
        <is>
          <t>Em andamento</t>
        </is>
      </c>
      <c r="E18" s="34" t="inlineStr">
        <is>
          <t>Sim</t>
        </is>
      </c>
      <c r="F18" s="34" t="inlineStr">
        <is>
          <t>Sim</t>
        </is>
      </c>
      <c r="G18" s="34" t="inlineStr">
        <is>
          <t>Sim</t>
        </is>
      </c>
      <c r="H18" s="34" t="inlineStr">
        <is>
          <t>Sim</t>
        </is>
      </c>
      <c r="I18" s="34" t="inlineStr">
        <is>
          <t>Sim</t>
        </is>
      </c>
      <c r="J18" s="34" t="inlineStr">
        <is>
          <t>Sim</t>
        </is>
      </c>
      <c r="K18" s="34" t="inlineStr">
        <is>
          <t>Sim</t>
        </is>
      </c>
      <c r="L18" s="34" t="inlineStr">
        <is>
          <t>Sim</t>
        </is>
      </c>
      <c r="M18" s="34" t="inlineStr">
        <is>
          <t>Sim</t>
        </is>
      </c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25">
        <f>IF(A18="","",IFERROR(COUNTIF(E18:N18,"Sim")/(Config!$B$21-COUNTIF(E18:N18,"N/A")),""))</f>
        <v>1</v>
      </c>
      <c r="Z18" s="25">
        <f>IF(OR(A18="",D18&lt;&gt;"Encerrado"),"",IFERROR(COUNTIF(O18:X18,"Sim")/(Config!$D$21-COUNTIF(O18:X18,"N/A")),""))</f>
        <v/>
      </c>
      <c r="AA18" s="23">
        <f>IF(A18="","",MAX(0,Config!$B$21-COUNTIF(E18:N18,"Sim")-COUNTIF(E18:N18,"N/A")))</f>
        <v>0</v>
      </c>
      <c r="AB18" s="23">
        <f>IF(OR(A18="",D18&lt;&gt;"Encerrado"),"",MAX(0,Config!$D$21-COUNTIF(O18:X18,"Sim")-COUNTIF(O18:X18,"N/A")))</f>
        <v/>
      </c>
      <c r="AC18" s="23">
        <f>IF(A18="","",AA18+IF(AB18="",0,AB18))</f>
        <v>0</v>
      </c>
      <c r="AD18" s="24">
        <f>IF(OR(A18="",AF18=""),"",LEFT(AF18,LEN(AF18)-2))</f>
        <v/>
      </c>
      <c r="AE18" s="35">
        <f>IF(OR(A18="",AC18=0),0,AC18*100-ROW()/100000)</f>
        <v>0</v>
      </c>
      <c r="AF18" s="35">
        <f>IF(A18="","",IF(AND(Config!$B$10&lt;&gt;"",E18&lt;&gt;"Sim",E18&lt;&gt;"N/A"),Config!$B$10&amp;"; ","")&amp;IF(AND(Config!$B$11&lt;&gt;"",F18&lt;&gt;"Sim",F18&lt;&gt;"N/A"),Config!$B$11&amp;"; ","")&amp;IF(AND(Config!$B$12&lt;&gt;"",G18&lt;&gt;"Sim",G18&lt;&gt;"N/A"),Config!$B$12&amp;"; ","")&amp;IF(AND(Config!$B$13&lt;&gt;"",H18&lt;&gt;"Sim",H18&lt;&gt;"N/A"),Config!$B$13&amp;"; ","")&amp;IF(AND(Config!$B$14&lt;&gt;"",I18&lt;&gt;"Sim",I18&lt;&gt;"N/A"),Config!$B$14&amp;"; ","")&amp;IF(AND(Config!$B$15&lt;&gt;"",J18&lt;&gt;"Sim",J18&lt;&gt;"N/A"),Config!$B$15&amp;"; ","")&amp;IF(AND(Config!$B$16&lt;&gt;"",K18&lt;&gt;"Sim",K18&lt;&gt;"N/A"),Config!$B$16&amp;"; ","")&amp;IF(AND(Config!$B$17&lt;&gt;"",L18&lt;&gt;"Sim",L18&lt;&gt;"N/A"),Config!$B$17&amp;"; ","")&amp;IF(AND(Config!$B$18&lt;&gt;"",M18&lt;&gt;"Sim",M18&lt;&gt;"N/A"),Config!$B$18&amp;"; ","")&amp;IF(AND(Config!$B$19&lt;&gt;"",N18&lt;&gt;"Sim",N18&lt;&gt;"N/A"),Config!$B$19&amp;"; ","")&amp;IF(AND($D18="Encerrado",Config!$D$10&lt;&gt;"",O18&lt;&gt;"Sim",O18&lt;&gt;"N/A"),Config!$D$10&amp;"; ","")&amp;IF(AND($D18="Encerrado",Config!$D$11&lt;&gt;"",P18&lt;&gt;"Sim",P18&lt;&gt;"N/A"),Config!$D$11&amp;"; ","")&amp;IF(AND($D18="Encerrado",Config!$D$12&lt;&gt;"",Q18&lt;&gt;"Sim",Q18&lt;&gt;"N/A"),Config!$D$12&amp;"; ","")&amp;IF(AND($D18="Encerrado",Config!$D$13&lt;&gt;"",R18&lt;&gt;"Sim",R18&lt;&gt;"N/A"),Config!$D$13&amp;"; ","")&amp;IF(AND($D18="Encerrado",Config!$D$14&lt;&gt;"",S18&lt;&gt;"Sim",S18&lt;&gt;"N/A"),Config!$D$14&amp;"; ","")&amp;IF(AND($D18="Encerrado",Config!$D$15&lt;&gt;"",T18&lt;&gt;"Sim",T18&lt;&gt;"N/A"),Config!$D$15&amp;"; ","")&amp;IF(AND($D18="Encerrado",Config!$D$16&lt;&gt;"",U18&lt;&gt;"Sim",U18&lt;&gt;"N/A"),Config!$D$16&amp;"; ","")&amp;IF(AND($D18="Encerrado",Config!$D$17&lt;&gt;"",V18&lt;&gt;"Sim",V18&lt;&gt;"N/A"),Config!$D$17&amp;"; ","")&amp;IF(AND($D18="Encerrado",Config!$D$18&lt;&gt;"",W18&lt;&gt;"Sim",W18&lt;&gt;"N/A"),Config!$D$18&amp;"; ","")&amp;IF(AND($D18="Encerrado",Config!$D$19&lt;&gt;"",X18&lt;&gt;"Sim",X18&lt;&gt;"N/A"),Config!$D$19&amp;"; ",""))</f>
        <v/>
      </c>
    </row>
    <row r="19">
      <c r="A19" s="29" t="inlineStr">
        <is>
          <t>4526984-60.2026.8.26.0258</t>
        </is>
      </c>
      <c r="B19" s="29" t="inlineStr">
        <is>
          <t>Transportadora Rota Sul</t>
        </is>
      </c>
      <c r="C19" s="34" t="inlineStr">
        <is>
          <t>Rafael Lima</t>
        </is>
      </c>
      <c r="D19" s="34" t="inlineStr">
        <is>
          <t>Em andamento</t>
        </is>
      </c>
      <c r="E19" s="34" t="inlineStr">
        <is>
          <t>Sim</t>
        </is>
      </c>
      <c r="F19" s="34" t="inlineStr">
        <is>
          <t>Sim</t>
        </is>
      </c>
      <c r="G19" s="34" t="inlineStr">
        <is>
          <t>Sim</t>
        </is>
      </c>
      <c r="H19" s="34" t="inlineStr">
        <is>
          <t>Sim</t>
        </is>
      </c>
      <c r="I19" s="34" t="inlineStr">
        <is>
          <t>Não</t>
        </is>
      </c>
      <c r="J19" s="34" t="inlineStr">
        <is>
          <t>Sim</t>
        </is>
      </c>
      <c r="K19" s="34" t="inlineStr">
        <is>
          <t>Sim</t>
        </is>
      </c>
      <c r="L19" s="34" t="inlineStr">
        <is>
          <t>Sim</t>
        </is>
      </c>
      <c r="M19" s="34" t="inlineStr">
        <is>
          <t>Sim</t>
        </is>
      </c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25">
        <f>IF(A19="","",IFERROR(COUNTIF(E19:N19,"Sim")/(Config!$B$21-COUNTIF(E19:N19,"N/A")),""))</f>
        <v>0.888888888888889</v>
      </c>
      <c r="Z19" s="25">
        <f>IF(OR(A19="",D19&lt;&gt;"Encerrado"),"",IFERROR(COUNTIF(O19:X19,"Sim")/(Config!$D$21-COUNTIF(O19:X19,"N/A")),""))</f>
        <v/>
      </c>
      <c r="AA19" s="23">
        <f>IF(A19="","",MAX(0,Config!$B$21-COUNTIF(E19:N19,"Sim")-COUNTIF(E19:N19,"N/A")))</f>
        <v>1</v>
      </c>
      <c r="AB19" s="23">
        <f>IF(OR(A19="",D19&lt;&gt;"Encerrado"),"",MAX(0,Config!$D$21-COUNTIF(O19:X19,"Sim")-COUNTIF(O19:X19,"N/A")))</f>
        <v/>
      </c>
      <c r="AC19" s="23">
        <f>IF(A19="","",AA19+IF(AB19="",0,AB19))</f>
        <v>1</v>
      </c>
      <c r="AD19" s="24" t="str">
        <f>IF(OR(A19="",AF19=""),"",LEFT(AF19,LEN(AF19)-2))</f>
        <v>Caso cadastrado no caixa e na carteira</v>
      </c>
      <c r="AE19" s="35">
        <f>IF(OR(A19="",AC19=0),0,AC19*100-ROW()/100000)</f>
        <v>99.99981</v>
      </c>
      <c r="AF19" s="35" t="str">
        <f>IF(A19="","",IF(AND(Config!$B$10&lt;&gt;"",E19&lt;&gt;"Sim",E19&lt;&gt;"N/A"),Config!$B$10&amp;"; ","")&amp;IF(AND(Config!$B$11&lt;&gt;"",F19&lt;&gt;"Sim",F19&lt;&gt;"N/A"),Config!$B$11&amp;"; ","")&amp;IF(AND(Config!$B$12&lt;&gt;"",G19&lt;&gt;"Sim",G19&lt;&gt;"N/A"),Config!$B$12&amp;"; ","")&amp;IF(AND(Config!$B$13&lt;&gt;"",H19&lt;&gt;"Sim",H19&lt;&gt;"N/A"),Config!$B$13&amp;"; ","")&amp;IF(AND(Config!$B$14&lt;&gt;"",I19&lt;&gt;"Sim",I19&lt;&gt;"N/A"),Config!$B$14&amp;"; ","")&amp;IF(AND(Config!$B$15&lt;&gt;"",J19&lt;&gt;"Sim",J19&lt;&gt;"N/A"),Config!$B$15&amp;"; ","")&amp;IF(AND(Config!$B$16&lt;&gt;"",K19&lt;&gt;"Sim",K19&lt;&gt;"N/A"),Config!$B$16&amp;"; ","")&amp;IF(AND(Config!$B$17&lt;&gt;"",L19&lt;&gt;"Sim",L19&lt;&gt;"N/A"),Config!$B$17&amp;"; ","")&amp;IF(AND(Config!$B$18&lt;&gt;"",M19&lt;&gt;"Sim",M19&lt;&gt;"N/A"),Config!$B$18&amp;"; ","")&amp;IF(AND(Config!$B$19&lt;&gt;"",N19&lt;&gt;"Sim",N19&lt;&gt;"N/A"),Config!$B$19&amp;"; ","")&amp;IF(AND($D19="Encerrado",Config!$D$10&lt;&gt;"",O19&lt;&gt;"Sim",O19&lt;&gt;"N/A"),Config!$D$10&amp;"; ","")&amp;IF(AND($D19="Encerrado",Config!$D$11&lt;&gt;"",P19&lt;&gt;"Sim",P19&lt;&gt;"N/A"),Config!$D$11&amp;"; ","")&amp;IF(AND($D19="Encerrado",Config!$D$12&lt;&gt;"",Q19&lt;&gt;"Sim",Q19&lt;&gt;"N/A"),Config!$D$12&amp;"; ","")&amp;IF(AND($D19="Encerrado",Config!$D$13&lt;&gt;"",R19&lt;&gt;"Sim",R19&lt;&gt;"N/A"),Config!$D$13&amp;"; ","")&amp;IF(AND($D19="Encerrado",Config!$D$14&lt;&gt;"",S19&lt;&gt;"Sim",S19&lt;&gt;"N/A"),Config!$D$14&amp;"; ","")&amp;IF(AND($D19="Encerrado",Config!$D$15&lt;&gt;"",T19&lt;&gt;"Sim",T19&lt;&gt;"N/A"),Config!$D$15&amp;"; ","")&amp;IF(AND($D19="Encerrado",Config!$D$16&lt;&gt;"",U19&lt;&gt;"Sim",U19&lt;&gt;"N/A"),Config!$D$16&amp;"; ","")&amp;IF(AND($D19="Encerrado",Config!$D$17&lt;&gt;"",V19&lt;&gt;"Sim",V19&lt;&gt;"N/A"),Config!$D$17&amp;"; ","")&amp;IF(AND($D19="Encerrado",Config!$D$18&lt;&gt;"",W19&lt;&gt;"Sim",W19&lt;&gt;"N/A"),Config!$D$18&amp;"; ","")&amp;IF(AND($D19="Encerrado",Config!$D$19&lt;&gt;"",X19&lt;&gt;"Sim",X19&lt;&gt;"N/A"),Config!$D$19&amp;"; ",""))</f>
        <v>Caso cadastrado no caixa e na carteira; </v>
      </c>
    </row>
    <row r="20">
      <c r="A20" s="29" t="inlineStr">
        <is>
          <t>CONS-2026-06</t>
        </is>
      </c>
      <c r="B20" s="29" t="inlineStr">
        <is>
          <t>Transportadora Rota Sul</t>
        </is>
      </c>
      <c r="C20" s="34" t="inlineStr">
        <is>
          <t>Rafael Lima</t>
        </is>
      </c>
      <c r="D20" s="34" t="inlineStr">
        <is>
          <t>Em andamento</t>
        </is>
      </c>
      <c r="E20" s="34" t="inlineStr">
        <is>
          <t>Sim</t>
        </is>
      </c>
      <c r="F20" s="34" t="inlineStr">
        <is>
          <t>N/A</t>
        </is>
      </c>
      <c r="G20" s="34" t="inlineStr">
        <is>
          <t>Sim</t>
        </is>
      </c>
      <c r="H20" s="34" t="inlineStr">
        <is>
          <t>Sim</t>
        </is>
      </c>
      <c r="I20" s="34" t="inlineStr">
        <is>
          <t>Sim</t>
        </is>
      </c>
      <c r="J20" s="34" t="inlineStr">
        <is>
          <t>Sim</t>
        </is>
      </c>
      <c r="K20" s="34" t="inlineStr">
        <is>
          <t>N/A</t>
        </is>
      </c>
      <c r="L20" s="34" t="inlineStr">
        <is>
          <t>Sim</t>
        </is>
      </c>
      <c r="M20" s="34" t="inlineStr">
        <is>
          <t>Sim</t>
        </is>
      </c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25">
        <f>IF(A20="","",IFERROR(COUNTIF(E20:N20,"Sim")/(Config!$B$21-COUNTIF(E20:N20,"N/A")),""))</f>
        <v>1</v>
      </c>
      <c r="Z20" s="25">
        <f>IF(OR(A20="",D20&lt;&gt;"Encerrado"),"",IFERROR(COUNTIF(O20:X20,"Sim")/(Config!$D$21-COUNTIF(O20:X20,"N/A")),""))</f>
        <v/>
      </c>
      <c r="AA20" s="23">
        <f>IF(A20="","",MAX(0,Config!$B$21-COUNTIF(E20:N20,"Sim")-COUNTIF(E20:N20,"N/A")))</f>
        <v>0</v>
      </c>
      <c r="AB20" s="23">
        <f>IF(OR(A20="",D20&lt;&gt;"Encerrado"),"",MAX(0,Config!$D$21-COUNTIF(O20:X20,"Sim")-COUNTIF(O20:X20,"N/A")))</f>
        <v/>
      </c>
      <c r="AC20" s="23">
        <f>IF(A20="","",AA20+IF(AB20="",0,AB20))</f>
        <v>0</v>
      </c>
      <c r="AD20" s="24">
        <f>IF(OR(A20="",AF20=""),"",LEFT(AF20,LEN(AF20)-2))</f>
        <v/>
      </c>
      <c r="AE20" s="35">
        <f>IF(OR(A20="",AC20=0),0,AC20*100-ROW()/100000)</f>
        <v>0</v>
      </c>
      <c r="AF20" s="35">
        <f>IF(A20="","",IF(AND(Config!$B$10&lt;&gt;"",E20&lt;&gt;"Sim",E20&lt;&gt;"N/A"),Config!$B$10&amp;"; ","")&amp;IF(AND(Config!$B$11&lt;&gt;"",F20&lt;&gt;"Sim",F20&lt;&gt;"N/A"),Config!$B$11&amp;"; ","")&amp;IF(AND(Config!$B$12&lt;&gt;"",G20&lt;&gt;"Sim",G20&lt;&gt;"N/A"),Config!$B$12&amp;"; ","")&amp;IF(AND(Config!$B$13&lt;&gt;"",H20&lt;&gt;"Sim",H20&lt;&gt;"N/A"),Config!$B$13&amp;"; ","")&amp;IF(AND(Config!$B$14&lt;&gt;"",I20&lt;&gt;"Sim",I20&lt;&gt;"N/A"),Config!$B$14&amp;"; ","")&amp;IF(AND(Config!$B$15&lt;&gt;"",J20&lt;&gt;"Sim",J20&lt;&gt;"N/A"),Config!$B$15&amp;"; ","")&amp;IF(AND(Config!$B$16&lt;&gt;"",K20&lt;&gt;"Sim",K20&lt;&gt;"N/A"),Config!$B$16&amp;"; ","")&amp;IF(AND(Config!$B$17&lt;&gt;"",L20&lt;&gt;"Sim",L20&lt;&gt;"N/A"),Config!$B$17&amp;"; ","")&amp;IF(AND(Config!$B$18&lt;&gt;"",M20&lt;&gt;"Sim",M20&lt;&gt;"N/A"),Config!$B$18&amp;"; ","")&amp;IF(AND(Config!$B$19&lt;&gt;"",N20&lt;&gt;"Sim",N20&lt;&gt;"N/A"),Config!$B$19&amp;"; ","")&amp;IF(AND($D20="Encerrado",Config!$D$10&lt;&gt;"",O20&lt;&gt;"Sim",O20&lt;&gt;"N/A"),Config!$D$10&amp;"; ","")&amp;IF(AND($D20="Encerrado",Config!$D$11&lt;&gt;"",P20&lt;&gt;"Sim",P20&lt;&gt;"N/A"),Config!$D$11&amp;"; ","")&amp;IF(AND($D20="Encerrado",Config!$D$12&lt;&gt;"",Q20&lt;&gt;"Sim",Q20&lt;&gt;"N/A"),Config!$D$12&amp;"; ","")&amp;IF(AND($D20="Encerrado",Config!$D$13&lt;&gt;"",R20&lt;&gt;"Sim",R20&lt;&gt;"N/A"),Config!$D$13&amp;"; ","")&amp;IF(AND($D20="Encerrado",Config!$D$14&lt;&gt;"",S20&lt;&gt;"Sim",S20&lt;&gt;"N/A"),Config!$D$14&amp;"; ","")&amp;IF(AND($D20="Encerrado",Config!$D$15&lt;&gt;"",T20&lt;&gt;"Sim",T20&lt;&gt;"N/A"),Config!$D$15&amp;"; ","")&amp;IF(AND($D20="Encerrado",Config!$D$16&lt;&gt;"",U20&lt;&gt;"Sim",U20&lt;&gt;"N/A"),Config!$D$16&amp;"; ","")&amp;IF(AND($D20="Encerrado",Config!$D$17&lt;&gt;"",V20&lt;&gt;"Sim",V20&lt;&gt;"N/A"),Config!$D$17&amp;"; ","")&amp;IF(AND($D20="Encerrado",Config!$D$18&lt;&gt;"",W20&lt;&gt;"Sim",W20&lt;&gt;"N/A"),Config!$D$18&amp;"; ","")&amp;IF(AND($D20="Encerrado",Config!$D$19&lt;&gt;"",X20&lt;&gt;"Sim",X20&lt;&gt;"N/A"),Config!$D$19&amp;"; ",""))</f>
        <v/>
      </c>
    </row>
    <row r="21">
      <c r="A21" s="29" t="inlineStr">
        <is>
          <t>6832730-55.2026.8.26.0386</t>
        </is>
      </c>
      <c r="B21" s="29" t="inlineStr">
        <is>
          <t>Patrícia Gomes</t>
        </is>
      </c>
      <c r="C21" s="34" t="inlineStr">
        <is>
          <t>Marina Ferraz</t>
        </is>
      </c>
      <c r="D21" s="34" t="inlineStr">
        <is>
          <t>Em andamento</t>
        </is>
      </c>
      <c r="E21" s="34" t="inlineStr">
        <is>
          <t>Sim</t>
        </is>
      </c>
      <c r="F21" s="34" t="inlineStr">
        <is>
          <t>Sim</t>
        </is>
      </c>
      <c r="G21" s="34" t="inlineStr">
        <is>
          <t>Sim</t>
        </is>
      </c>
      <c r="H21" s="34" t="inlineStr">
        <is>
          <t>Sim</t>
        </is>
      </c>
      <c r="I21" s="34" t="inlineStr">
        <is>
          <t>Sim</t>
        </is>
      </c>
      <c r="J21" s="34" t="inlineStr">
        <is>
          <t>Sim</t>
        </is>
      </c>
      <c r="K21" s="34" t="inlineStr">
        <is>
          <t>Sim</t>
        </is>
      </c>
      <c r="L21" s="34" t="inlineStr">
        <is>
          <t>Sim</t>
        </is>
      </c>
      <c r="M21" s="34" t="inlineStr">
        <is>
          <t>Sim</t>
        </is>
      </c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25">
        <f>IF(A21="","",IFERROR(COUNTIF(E21:N21,"Sim")/(Config!$B$21-COUNTIF(E21:N21,"N/A")),""))</f>
        <v>1</v>
      </c>
      <c r="Z21" s="25">
        <f>IF(OR(A21="",D21&lt;&gt;"Encerrado"),"",IFERROR(COUNTIF(O21:X21,"Sim")/(Config!$D$21-COUNTIF(O21:X21,"N/A")),""))</f>
        <v/>
      </c>
      <c r="AA21" s="23">
        <f>IF(A21="","",MAX(0,Config!$B$21-COUNTIF(E21:N21,"Sim")-COUNTIF(E21:N21,"N/A")))</f>
        <v>0</v>
      </c>
      <c r="AB21" s="23">
        <f>IF(OR(A21="",D21&lt;&gt;"Encerrado"),"",MAX(0,Config!$D$21-COUNTIF(O21:X21,"Sim")-COUNTIF(O21:X21,"N/A")))</f>
        <v/>
      </c>
      <c r="AC21" s="23">
        <f>IF(A21="","",AA21+IF(AB21="",0,AB21))</f>
        <v>0</v>
      </c>
      <c r="AD21" s="24">
        <f>IF(OR(A21="",AF21=""),"",LEFT(AF21,LEN(AF21)-2))</f>
        <v/>
      </c>
      <c r="AE21" s="35">
        <f>IF(OR(A21="",AC21=0),0,AC21*100-ROW()/100000)</f>
        <v>0</v>
      </c>
      <c r="AF21" s="35">
        <f>IF(A21="","",IF(AND(Config!$B$10&lt;&gt;"",E21&lt;&gt;"Sim",E21&lt;&gt;"N/A"),Config!$B$10&amp;"; ","")&amp;IF(AND(Config!$B$11&lt;&gt;"",F21&lt;&gt;"Sim",F21&lt;&gt;"N/A"),Config!$B$11&amp;"; ","")&amp;IF(AND(Config!$B$12&lt;&gt;"",G21&lt;&gt;"Sim",G21&lt;&gt;"N/A"),Config!$B$12&amp;"; ","")&amp;IF(AND(Config!$B$13&lt;&gt;"",H21&lt;&gt;"Sim",H21&lt;&gt;"N/A"),Config!$B$13&amp;"; ","")&amp;IF(AND(Config!$B$14&lt;&gt;"",I21&lt;&gt;"Sim",I21&lt;&gt;"N/A"),Config!$B$14&amp;"; ","")&amp;IF(AND(Config!$B$15&lt;&gt;"",J21&lt;&gt;"Sim",J21&lt;&gt;"N/A"),Config!$B$15&amp;"; ","")&amp;IF(AND(Config!$B$16&lt;&gt;"",K21&lt;&gt;"Sim",K21&lt;&gt;"N/A"),Config!$B$16&amp;"; ","")&amp;IF(AND(Config!$B$17&lt;&gt;"",L21&lt;&gt;"Sim",L21&lt;&gt;"N/A"),Config!$B$17&amp;"; ","")&amp;IF(AND(Config!$B$18&lt;&gt;"",M21&lt;&gt;"Sim",M21&lt;&gt;"N/A"),Config!$B$18&amp;"; ","")&amp;IF(AND(Config!$B$19&lt;&gt;"",N21&lt;&gt;"Sim",N21&lt;&gt;"N/A"),Config!$B$19&amp;"; ","")&amp;IF(AND($D21="Encerrado",Config!$D$10&lt;&gt;"",O21&lt;&gt;"Sim",O21&lt;&gt;"N/A"),Config!$D$10&amp;"; ","")&amp;IF(AND($D21="Encerrado",Config!$D$11&lt;&gt;"",P21&lt;&gt;"Sim",P21&lt;&gt;"N/A"),Config!$D$11&amp;"; ","")&amp;IF(AND($D21="Encerrado",Config!$D$12&lt;&gt;"",Q21&lt;&gt;"Sim",Q21&lt;&gt;"N/A"),Config!$D$12&amp;"; ","")&amp;IF(AND($D21="Encerrado",Config!$D$13&lt;&gt;"",R21&lt;&gt;"Sim",R21&lt;&gt;"N/A"),Config!$D$13&amp;"; ","")&amp;IF(AND($D21="Encerrado",Config!$D$14&lt;&gt;"",S21&lt;&gt;"Sim",S21&lt;&gt;"N/A"),Config!$D$14&amp;"; ","")&amp;IF(AND($D21="Encerrado",Config!$D$15&lt;&gt;"",T21&lt;&gt;"Sim",T21&lt;&gt;"N/A"),Config!$D$15&amp;"; ","")&amp;IF(AND($D21="Encerrado",Config!$D$16&lt;&gt;"",U21&lt;&gt;"Sim",U21&lt;&gt;"N/A"),Config!$D$16&amp;"; ","")&amp;IF(AND($D21="Encerrado",Config!$D$17&lt;&gt;"",V21&lt;&gt;"Sim",V21&lt;&gt;"N/A"),Config!$D$17&amp;"; ","")&amp;IF(AND($D21="Encerrado",Config!$D$18&lt;&gt;"",W21&lt;&gt;"Sim",W21&lt;&gt;"N/A"),Config!$D$18&amp;"; ","")&amp;IF(AND($D21="Encerrado",Config!$D$19&lt;&gt;"",X21&lt;&gt;"Sim",X21&lt;&gt;"N/A"),Config!$D$19&amp;"; ",""))</f>
        <v/>
      </c>
    </row>
    <row r="22">
      <c r="A22" s="29" t="inlineStr">
        <is>
          <t>9616569-91.2026.8.26.0079</t>
        </is>
      </c>
      <c r="B22" s="29" t="inlineStr">
        <is>
          <t>Patrícia Gomes</t>
        </is>
      </c>
      <c r="C22" s="34" t="inlineStr">
        <is>
          <t>Marina Ferraz</t>
        </is>
      </c>
      <c r="D22" s="34" t="inlineStr">
        <is>
          <t>Em andamento</t>
        </is>
      </c>
      <c r="E22" s="34" t="inlineStr">
        <is>
          <t>Sim</t>
        </is>
      </c>
      <c r="F22" s="34" t="inlineStr">
        <is>
          <t>Sim</t>
        </is>
      </c>
      <c r="G22" s="34" t="inlineStr">
        <is>
          <t>Sim</t>
        </is>
      </c>
      <c r="H22" s="34" t="inlineStr">
        <is>
          <t>Sim</t>
        </is>
      </c>
      <c r="I22" s="34" t="inlineStr">
        <is>
          <t>Sim</t>
        </is>
      </c>
      <c r="J22" s="34" t="inlineStr">
        <is>
          <t>Sim</t>
        </is>
      </c>
      <c r="K22" s="34" t="inlineStr">
        <is>
          <t>Sim</t>
        </is>
      </c>
      <c r="L22" s="34" t="inlineStr">
        <is>
          <t>Sim</t>
        </is>
      </c>
      <c r="M22" s="34" t="inlineStr">
        <is>
          <t>Sim</t>
        </is>
      </c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25">
        <f>IF(A22="","",IFERROR(COUNTIF(E22:N22,"Sim")/(Config!$B$21-COUNTIF(E22:N22,"N/A")),""))</f>
        <v>1</v>
      </c>
      <c r="Z22" s="25">
        <f>IF(OR(A22="",D22&lt;&gt;"Encerrado"),"",IFERROR(COUNTIF(O22:X22,"Sim")/(Config!$D$21-COUNTIF(O22:X22,"N/A")),""))</f>
        <v/>
      </c>
      <c r="AA22" s="23">
        <f>IF(A22="","",MAX(0,Config!$B$21-COUNTIF(E22:N22,"Sim")-COUNTIF(E22:N22,"N/A")))</f>
        <v>0</v>
      </c>
      <c r="AB22" s="23">
        <f>IF(OR(A22="",D22&lt;&gt;"Encerrado"),"",MAX(0,Config!$D$21-COUNTIF(O22:X22,"Sim")-COUNTIF(O22:X22,"N/A")))</f>
        <v/>
      </c>
      <c r="AC22" s="23">
        <f>IF(A22="","",AA22+IF(AB22="",0,AB22))</f>
        <v>0</v>
      </c>
      <c r="AD22" s="24">
        <f>IF(OR(A22="",AF22=""),"",LEFT(AF22,LEN(AF22)-2))</f>
        <v/>
      </c>
      <c r="AE22" s="35">
        <f>IF(OR(A22="",AC22=0),0,AC22*100-ROW()/100000)</f>
        <v>0</v>
      </c>
      <c r="AF22" s="35">
        <f>IF(A22="","",IF(AND(Config!$B$10&lt;&gt;"",E22&lt;&gt;"Sim",E22&lt;&gt;"N/A"),Config!$B$10&amp;"; ","")&amp;IF(AND(Config!$B$11&lt;&gt;"",F22&lt;&gt;"Sim",F22&lt;&gt;"N/A"),Config!$B$11&amp;"; ","")&amp;IF(AND(Config!$B$12&lt;&gt;"",G22&lt;&gt;"Sim",G22&lt;&gt;"N/A"),Config!$B$12&amp;"; ","")&amp;IF(AND(Config!$B$13&lt;&gt;"",H22&lt;&gt;"Sim",H22&lt;&gt;"N/A"),Config!$B$13&amp;"; ","")&amp;IF(AND(Config!$B$14&lt;&gt;"",I22&lt;&gt;"Sim",I22&lt;&gt;"N/A"),Config!$B$14&amp;"; ","")&amp;IF(AND(Config!$B$15&lt;&gt;"",J22&lt;&gt;"Sim",J22&lt;&gt;"N/A"),Config!$B$15&amp;"; ","")&amp;IF(AND(Config!$B$16&lt;&gt;"",K22&lt;&gt;"Sim",K22&lt;&gt;"N/A"),Config!$B$16&amp;"; ","")&amp;IF(AND(Config!$B$17&lt;&gt;"",L22&lt;&gt;"Sim",L22&lt;&gt;"N/A"),Config!$B$17&amp;"; ","")&amp;IF(AND(Config!$B$18&lt;&gt;"",M22&lt;&gt;"Sim",M22&lt;&gt;"N/A"),Config!$B$18&amp;"; ","")&amp;IF(AND(Config!$B$19&lt;&gt;"",N22&lt;&gt;"Sim",N22&lt;&gt;"N/A"),Config!$B$19&amp;"; ","")&amp;IF(AND($D22="Encerrado",Config!$D$10&lt;&gt;"",O22&lt;&gt;"Sim",O22&lt;&gt;"N/A"),Config!$D$10&amp;"; ","")&amp;IF(AND($D22="Encerrado",Config!$D$11&lt;&gt;"",P22&lt;&gt;"Sim",P22&lt;&gt;"N/A"),Config!$D$11&amp;"; ","")&amp;IF(AND($D22="Encerrado",Config!$D$12&lt;&gt;"",Q22&lt;&gt;"Sim",Q22&lt;&gt;"N/A"),Config!$D$12&amp;"; ","")&amp;IF(AND($D22="Encerrado",Config!$D$13&lt;&gt;"",R22&lt;&gt;"Sim",R22&lt;&gt;"N/A"),Config!$D$13&amp;"; ","")&amp;IF(AND($D22="Encerrado",Config!$D$14&lt;&gt;"",S22&lt;&gt;"Sim",S22&lt;&gt;"N/A"),Config!$D$14&amp;"; ","")&amp;IF(AND($D22="Encerrado",Config!$D$15&lt;&gt;"",T22&lt;&gt;"Sim",T22&lt;&gt;"N/A"),Config!$D$15&amp;"; ","")&amp;IF(AND($D22="Encerrado",Config!$D$16&lt;&gt;"",U22&lt;&gt;"Sim",U22&lt;&gt;"N/A"),Config!$D$16&amp;"; ","")&amp;IF(AND($D22="Encerrado",Config!$D$17&lt;&gt;"",V22&lt;&gt;"Sim",V22&lt;&gt;"N/A"),Config!$D$17&amp;"; ","")&amp;IF(AND($D22="Encerrado",Config!$D$18&lt;&gt;"",W22&lt;&gt;"Sim",W22&lt;&gt;"N/A"),Config!$D$18&amp;"; ","")&amp;IF(AND($D22="Encerrado",Config!$D$19&lt;&gt;"",X22&lt;&gt;"Sim",X22&lt;&gt;"N/A"),Config!$D$19&amp;"; ",""))</f>
        <v/>
      </c>
    </row>
    <row r="23">
      <c r="A23" s="29" t="inlineStr">
        <is>
          <t>6710873-21.2025.8.26.0571</t>
        </is>
      </c>
      <c r="B23" s="29" t="inlineStr">
        <is>
          <t>Escola Aurora</t>
        </is>
      </c>
      <c r="C23" s="34" t="inlineStr">
        <is>
          <t>Marina Ferraz</t>
        </is>
      </c>
      <c r="D23" s="34" t="inlineStr">
        <is>
          <t>Em andamento</t>
        </is>
      </c>
      <c r="E23" s="34" t="inlineStr">
        <is>
          <t>Sim</t>
        </is>
      </c>
      <c r="F23" s="34" t="inlineStr">
        <is>
          <t>Sim</t>
        </is>
      </c>
      <c r="G23" s="34" t="inlineStr">
        <is>
          <t>Sim</t>
        </is>
      </c>
      <c r="H23" s="34" t="inlineStr">
        <is>
          <t>Sim</t>
        </is>
      </c>
      <c r="I23" s="34" t="inlineStr">
        <is>
          <t>Sim</t>
        </is>
      </c>
      <c r="J23" s="34" t="inlineStr">
        <is>
          <t>Sim</t>
        </is>
      </c>
      <c r="K23" s="34" t="inlineStr">
        <is>
          <t>Sim</t>
        </is>
      </c>
      <c r="L23" s="34" t="inlineStr">
        <is>
          <t>Sim</t>
        </is>
      </c>
      <c r="M23" s="34" t="inlineStr">
        <is>
          <t>Sim</t>
        </is>
      </c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25">
        <f>IF(A23="","",IFERROR(COUNTIF(E23:N23,"Sim")/(Config!$B$21-COUNTIF(E23:N23,"N/A")),""))</f>
        <v>1</v>
      </c>
      <c r="Z23" s="25">
        <f>IF(OR(A23="",D23&lt;&gt;"Encerrado"),"",IFERROR(COUNTIF(O23:X23,"Sim")/(Config!$D$21-COUNTIF(O23:X23,"N/A")),""))</f>
        <v/>
      </c>
      <c r="AA23" s="23">
        <f>IF(A23="","",MAX(0,Config!$B$21-COUNTIF(E23:N23,"Sim")-COUNTIF(E23:N23,"N/A")))</f>
        <v>0</v>
      </c>
      <c r="AB23" s="23">
        <f>IF(OR(A23="",D23&lt;&gt;"Encerrado"),"",MAX(0,Config!$D$21-COUNTIF(O23:X23,"Sim")-COUNTIF(O23:X23,"N/A")))</f>
        <v/>
      </c>
      <c r="AC23" s="23">
        <f>IF(A23="","",AA23+IF(AB23="",0,AB23))</f>
        <v>0</v>
      </c>
      <c r="AD23" s="24">
        <f>IF(OR(A23="",AF23=""),"",LEFT(AF23,LEN(AF23)-2))</f>
        <v/>
      </c>
      <c r="AE23" s="35">
        <f>IF(OR(A23="",AC23=0),0,AC23*100-ROW()/100000)</f>
        <v>0</v>
      </c>
      <c r="AF23" s="35">
        <f>IF(A23="","",IF(AND(Config!$B$10&lt;&gt;"",E23&lt;&gt;"Sim",E23&lt;&gt;"N/A"),Config!$B$10&amp;"; ","")&amp;IF(AND(Config!$B$11&lt;&gt;"",F23&lt;&gt;"Sim",F23&lt;&gt;"N/A"),Config!$B$11&amp;"; ","")&amp;IF(AND(Config!$B$12&lt;&gt;"",G23&lt;&gt;"Sim",G23&lt;&gt;"N/A"),Config!$B$12&amp;"; ","")&amp;IF(AND(Config!$B$13&lt;&gt;"",H23&lt;&gt;"Sim",H23&lt;&gt;"N/A"),Config!$B$13&amp;"; ","")&amp;IF(AND(Config!$B$14&lt;&gt;"",I23&lt;&gt;"Sim",I23&lt;&gt;"N/A"),Config!$B$14&amp;"; ","")&amp;IF(AND(Config!$B$15&lt;&gt;"",J23&lt;&gt;"Sim",J23&lt;&gt;"N/A"),Config!$B$15&amp;"; ","")&amp;IF(AND(Config!$B$16&lt;&gt;"",K23&lt;&gt;"Sim",K23&lt;&gt;"N/A"),Config!$B$16&amp;"; ","")&amp;IF(AND(Config!$B$17&lt;&gt;"",L23&lt;&gt;"Sim",L23&lt;&gt;"N/A"),Config!$B$17&amp;"; ","")&amp;IF(AND(Config!$B$18&lt;&gt;"",M23&lt;&gt;"Sim",M23&lt;&gt;"N/A"),Config!$B$18&amp;"; ","")&amp;IF(AND(Config!$B$19&lt;&gt;"",N23&lt;&gt;"Sim",N23&lt;&gt;"N/A"),Config!$B$19&amp;"; ","")&amp;IF(AND($D23="Encerrado",Config!$D$10&lt;&gt;"",O23&lt;&gt;"Sim",O23&lt;&gt;"N/A"),Config!$D$10&amp;"; ","")&amp;IF(AND($D23="Encerrado",Config!$D$11&lt;&gt;"",P23&lt;&gt;"Sim",P23&lt;&gt;"N/A"),Config!$D$11&amp;"; ","")&amp;IF(AND($D23="Encerrado",Config!$D$12&lt;&gt;"",Q23&lt;&gt;"Sim",Q23&lt;&gt;"N/A"),Config!$D$12&amp;"; ","")&amp;IF(AND($D23="Encerrado",Config!$D$13&lt;&gt;"",R23&lt;&gt;"Sim",R23&lt;&gt;"N/A"),Config!$D$13&amp;"; ","")&amp;IF(AND($D23="Encerrado",Config!$D$14&lt;&gt;"",S23&lt;&gt;"Sim",S23&lt;&gt;"N/A"),Config!$D$14&amp;"; ","")&amp;IF(AND($D23="Encerrado",Config!$D$15&lt;&gt;"",T23&lt;&gt;"Sim",T23&lt;&gt;"N/A"),Config!$D$15&amp;"; ","")&amp;IF(AND($D23="Encerrado",Config!$D$16&lt;&gt;"",U23&lt;&gt;"Sim",U23&lt;&gt;"N/A"),Config!$D$16&amp;"; ","")&amp;IF(AND($D23="Encerrado",Config!$D$17&lt;&gt;"",V23&lt;&gt;"Sim",V23&lt;&gt;"N/A"),Config!$D$17&amp;"; ","")&amp;IF(AND($D23="Encerrado",Config!$D$18&lt;&gt;"",W23&lt;&gt;"Sim",W23&lt;&gt;"N/A"),Config!$D$18&amp;"; ","")&amp;IF(AND($D23="Encerrado",Config!$D$19&lt;&gt;"",X23&lt;&gt;"Sim",X23&lt;&gt;"N/A"),Config!$D$19&amp;"; ",""))</f>
        <v/>
      </c>
    </row>
    <row r="24">
      <c r="A24" s="29" t="inlineStr">
        <is>
          <t>5900991-46.2026.8.26.0469</t>
        </is>
      </c>
      <c r="B24" s="29" t="inlineStr">
        <is>
          <t>José Antônio Ribeiro</t>
        </is>
      </c>
      <c r="C24" s="34" t="inlineStr">
        <is>
          <t>Rafael Lima</t>
        </is>
      </c>
      <c r="D24" s="34" t="inlineStr">
        <is>
          <t>Em andamento</t>
        </is>
      </c>
      <c r="E24" s="34" t="inlineStr">
        <is>
          <t>Sim</t>
        </is>
      </c>
      <c r="F24" s="34" t="inlineStr">
        <is>
          <t>Sim</t>
        </is>
      </c>
      <c r="G24" s="34" t="inlineStr">
        <is>
          <t>Não</t>
        </is>
      </c>
      <c r="H24" s="34" t="inlineStr">
        <is>
          <t>Sim</t>
        </is>
      </c>
      <c r="I24" s="34" t="inlineStr">
        <is>
          <t>Sim</t>
        </is>
      </c>
      <c r="J24" s="34" t="inlineStr">
        <is>
          <t>Sim</t>
        </is>
      </c>
      <c r="K24" s="34" t="inlineStr">
        <is>
          <t>Sim</t>
        </is>
      </c>
      <c r="L24" s="34" t="inlineStr">
        <is>
          <t>Sim</t>
        </is>
      </c>
      <c r="M24" s="34" t="inlineStr">
        <is>
          <t>Sim</t>
        </is>
      </c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25">
        <f>IF(A24="","",IFERROR(COUNTIF(E24:N24,"Sim")/(Config!$B$21-COUNTIF(E24:N24,"N/A")),""))</f>
        <v>0.888888888888889</v>
      </c>
      <c r="Z24" s="25">
        <f>IF(OR(A24="",D24&lt;&gt;"Encerrado"),"",IFERROR(COUNTIF(O24:X24,"Sim")/(Config!$D$21-COUNTIF(O24:X24,"N/A")),""))</f>
        <v/>
      </c>
      <c r="AA24" s="23">
        <f>IF(A24="","",MAX(0,Config!$B$21-COUNTIF(E24:N24,"Sim")-COUNTIF(E24:N24,"N/A")))</f>
        <v>1</v>
      </c>
      <c r="AB24" s="23">
        <f>IF(OR(A24="",D24&lt;&gt;"Encerrado"),"",MAX(0,Config!$D$21-COUNTIF(O24:X24,"Sim")-COUNTIF(O24:X24,"N/A")))</f>
        <v/>
      </c>
      <c r="AC24" s="23">
        <f>IF(A24="","",AA24+IF(AB24="",0,AB24))</f>
        <v>1</v>
      </c>
      <c r="AD24" s="24" t="str">
        <f>IF(OR(A24="",AF24=""),"",LEFT(AF24,LEN(AF24)-2))</f>
        <v>Documentos do cliente recebidos</v>
      </c>
      <c r="AE24" s="35">
        <f>IF(OR(A24="",AC24=0),0,AC24*100-ROW()/100000)</f>
        <v>99.99976</v>
      </c>
      <c r="AF24" s="35" t="str">
        <f>IF(A24="","",IF(AND(Config!$B$10&lt;&gt;"",E24&lt;&gt;"Sim",E24&lt;&gt;"N/A"),Config!$B$10&amp;"; ","")&amp;IF(AND(Config!$B$11&lt;&gt;"",F24&lt;&gt;"Sim",F24&lt;&gt;"N/A"),Config!$B$11&amp;"; ","")&amp;IF(AND(Config!$B$12&lt;&gt;"",G24&lt;&gt;"Sim",G24&lt;&gt;"N/A"),Config!$B$12&amp;"; ","")&amp;IF(AND(Config!$B$13&lt;&gt;"",H24&lt;&gt;"Sim",H24&lt;&gt;"N/A"),Config!$B$13&amp;"; ","")&amp;IF(AND(Config!$B$14&lt;&gt;"",I24&lt;&gt;"Sim",I24&lt;&gt;"N/A"),Config!$B$14&amp;"; ","")&amp;IF(AND(Config!$B$15&lt;&gt;"",J24&lt;&gt;"Sim",J24&lt;&gt;"N/A"),Config!$B$15&amp;"; ","")&amp;IF(AND(Config!$B$16&lt;&gt;"",K24&lt;&gt;"Sim",K24&lt;&gt;"N/A"),Config!$B$16&amp;"; ","")&amp;IF(AND(Config!$B$17&lt;&gt;"",L24&lt;&gt;"Sim",L24&lt;&gt;"N/A"),Config!$B$17&amp;"; ","")&amp;IF(AND(Config!$B$18&lt;&gt;"",M24&lt;&gt;"Sim",M24&lt;&gt;"N/A"),Config!$B$18&amp;"; ","")&amp;IF(AND(Config!$B$19&lt;&gt;"",N24&lt;&gt;"Sim",N24&lt;&gt;"N/A"),Config!$B$19&amp;"; ","")&amp;IF(AND($D24="Encerrado",Config!$D$10&lt;&gt;"",O24&lt;&gt;"Sim",O24&lt;&gt;"N/A"),Config!$D$10&amp;"; ","")&amp;IF(AND($D24="Encerrado",Config!$D$11&lt;&gt;"",P24&lt;&gt;"Sim",P24&lt;&gt;"N/A"),Config!$D$11&amp;"; ","")&amp;IF(AND($D24="Encerrado",Config!$D$12&lt;&gt;"",Q24&lt;&gt;"Sim",Q24&lt;&gt;"N/A"),Config!$D$12&amp;"; ","")&amp;IF(AND($D24="Encerrado",Config!$D$13&lt;&gt;"",R24&lt;&gt;"Sim",R24&lt;&gt;"N/A"),Config!$D$13&amp;"; ","")&amp;IF(AND($D24="Encerrado",Config!$D$14&lt;&gt;"",S24&lt;&gt;"Sim",S24&lt;&gt;"N/A"),Config!$D$14&amp;"; ","")&amp;IF(AND($D24="Encerrado",Config!$D$15&lt;&gt;"",T24&lt;&gt;"Sim",T24&lt;&gt;"N/A"),Config!$D$15&amp;"; ","")&amp;IF(AND($D24="Encerrado",Config!$D$16&lt;&gt;"",U24&lt;&gt;"Sim",U24&lt;&gt;"N/A"),Config!$D$16&amp;"; ","")&amp;IF(AND($D24="Encerrado",Config!$D$17&lt;&gt;"",V24&lt;&gt;"Sim",V24&lt;&gt;"N/A"),Config!$D$17&amp;"; ","")&amp;IF(AND($D24="Encerrado",Config!$D$18&lt;&gt;"",W24&lt;&gt;"Sim",W24&lt;&gt;"N/A"),Config!$D$18&amp;"; ","")&amp;IF(AND($D24="Encerrado",Config!$D$19&lt;&gt;"",X24&lt;&gt;"Sim",X24&lt;&gt;"N/A"),Config!$D$19&amp;"; ",""))</f>
        <v>Documentos do cliente recebidos; </v>
      </c>
    </row>
    <row r="25">
      <c r="A25" s="29" t="inlineStr">
        <is>
          <t>3363714-92.2025.8.26.0592</t>
        </is>
      </c>
      <c r="B25" s="29" t="inlineStr">
        <is>
          <t>Oficina Mecânica Central</t>
        </is>
      </c>
      <c r="C25" s="34" t="inlineStr">
        <is>
          <t>Rafael Lima</t>
        </is>
      </c>
      <c r="D25" s="34" t="inlineStr">
        <is>
          <t>Em andamento</t>
        </is>
      </c>
      <c r="E25" s="34" t="inlineStr">
        <is>
          <t>Sim</t>
        </is>
      </c>
      <c r="F25" s="34" t="inlineStr">
        <is>
          <t>Sim</t>
        </is>
      </c>
      <c r="G25" s="34" t="inlineStr">
        <is>
          <t>Sim</t>
        </is>
      </c>
      <c r="H25" s="34" t="inlineStr">
        <is>
          <t>Sim</t>
        </is>
      </c>
      <c r="I25" s="34" t="inlineStr">
        <is>
          <t>Sim</t>
        </is>
      </c>
      <c r="J25" s="34" t="inlineStr">
        <is>
          <t>Sim</t>
        </is>
      </c>
      <c r="K25" s="34" t="inlineStr">
        <is>
          <t>Sim</t>
        </is>
      </c>
      <c r="L25" s="34" t="inlineStr">
        <is>
          <t>Sim</t>
        </is>
      </c>
      <c r="M25" s="34" t="inlineStr">
        <is>
          <t>Sim</t>
        </is>
      </c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25">
        <f>IF(A25="","",IFERROR(COUNTIF(E25:N25,"Sim")/(Config!$B$21-COUNTIF(E25:N25,"N/A")),""))</f>
        <v>1</v>
      </c>
      <c r="Z25" s="25">
        <f>IF(OR(A25="",D25&lt;&gt;"Encerrado"),"",IFERROR(COUNTIF(O25:X25,"Sim")/(Config!$D$21-COUNTIF(O25:X25,"N/A")),""))</f>
        <v/>
      </c>
      <c r="AA25" s="23">
        <f>IF(A25="","",MAX(0,Config!$B$21-COUNTIF(E25:N25,"Sim")-COUNTIF(E25:N25,"N/A")))</f>
        <v>0</v>
      </c>
      <c r="AB25" s="23">
        <f>IF(OR(A25="",D25&lt;&gt;"Encerrado"),"",MAX(0,Config!$D$21-COUNTIF(O25:X25,"Sim")-COUNTIF(O25:X25,"N/A")))</f>
        <v/>
      </c>
      <c r="AC25" s="23">
        <f>IF(A25="","",AA25+IF(AB25="",0,AB25))</f>
        <v>0</v>
      </c>
      <c r="AD25" s="24">
        <f>IF(OR(A25="",AF25=""),"",LEFT(AF25,LEN(AF25)-2))</f>
        <v/>
      </c>
      <c r="AE25" s="35">
        <f>IF(OR(A25="",AC25=0),0,AC25*100-ROW()/100000)</f>
        <v>0</v>
      </c>
      <c r="AF25" s="35">
        <f>IF(A25="","",IF(AND(Config!$B$10&lt;&gt;"",E25&lt;&gt;"Sim",E25&lt;&gt;"N/A"),Config!$B$10&amp;"; ","")&amp;IF(AND(Config!$B$11&lt;&gt;"",F25&lt;&gt;"Sim",F25&lt;&gt;"N/A"),Config!$B$11&amp;"; ","")&amp;IF(AND(Config!$B$12&lt;&gt;"",G25&lt;&gt;"Sim",G25&lt;&gt;"N/A"),Config!$B$12&amp;"; ","")&amp;IF(AND(Config!$B$13&lt;&gt;"",H25&lt;&gt;"Sim",H25&lt;&gt;"N/A"),Config!$B$13&amp;"; ","")&amp;IF(AND(Config!$B$14&lt;&gt;"",I25&lt;&gt;"Sim",I25&lt;&gt;"N/A"),Config!$B$14&amp;"; ","")&amp;IF(AND(Config!$B$15&lt;&gt;"",J25&lt;&gt;"Sim",J25&lt;&gt;"N/A"),Config!$B$15&amp;"; ","")&amp;IF(AND(Config!$B$16&lt;&gt;"",K25&lt;&gt;"Sim",K25&lt;&gt;"N/A"),Config!$B$16&amp;"; ","")&amp;IF(AND(Config!$B$17&lt;&gt;"",L25&lt;&gt;"Sim",L25&lt;&gt;"N/A"),Config!$B$17&amp;"; ","")&amp;IF(AND(Config!$B$18&lt;&gt;"",M25&lt;&gt;"Sim",M25&lt;&gt;"N/A"),Config!$B$18&amp;"; ","")&amp;IF(AND(Config!$B$19&lt;&gt;"",N25&lt;&gt;"Sim",N25&lt;&gt;"N/A"),Config!$B$19&amp;"; ","")&amp;IF(AND($D25="Encerrado",Config!$D$10&lt;&gt;"",O25&lt;&gt;"Sim",O25&lt;&gt;"N/A"),Config!$D$10&amp;"; ","")&amp;IF(AND($D25="Encerrado",Config!$D$11&lt;&gt;"",P25&lt;&gt;"Sim",P25&lt;&gt;"N/A"),Config!$D$11&amp;"; ","")&amp;IF(AND($D25="Encerrado",Config!$D$12&lt;&gt;"",Q25&lt;&gt;"Sim",Q25&lt;&gt;"N/A"),Config!$D$12&amp;"; ","")&amp;IF(AND($D25="Encerrado",Config!$D$13&lt;&gt;"",R25&lt;&gt;"Sim",R25&lt;&gt;"N/A"),Config!$D$13&amp;"; ","")&amp;IF(AND($D25="Encerrado",Config!$D$14&lt;&gt;"",S25&lt;&gt;"Sim",S25&lt;&gt;"N/A"),Config!$D$14&amp;"; ","")&amp;IF(AND($D25="Encerrado",Config!$D$15&lt;&gt;"",T25&lt;&gt;"Sim",T25&lt;&gt;"N/A"),Config!$D$15&amp;"; ","")&amp;IF(AND($D25="Encerrado",Config!$D$16&lt;&gt;"",U25&lt;&gt;"Sim",U25&lt;&gt;"N/A"),Config!$D$16&amp;"; ","")&amp;IF(AND($D25="Encerrado",Config!$D$17&lt;&gt;"",V25&lt;&gt;"Sim",V25&lt;&gt;"N/A"),Config!$D$17&amp;"; ","")&amp;IF(AND($D25="Encerrado",Config!$D$18&lt;&gt;"",W25&lt;&gt;"Sim",W25&lt;&gt;"N/A"),Config!$D$18&amp;"; ","")&amp;IF(AND($D25="Encerrado",Config!$D$19&lt;&gt;"",X25&lt;&gt;"Sim",X25&lt;&gt;"N/A"),Config!$D$19&amp;"; ",""))</f>
        <v/>
      </c>
    </row>
    <row r="26">
      <c r="A26" s="29" t="inlineStr">
        <is>
          <t>6184138-13.2026.8.26.0378</t>
        </is>
      </c>
      <c r="B26" s="29" t="inlineStr">
        <is>
          <t>Oficina Mecânica Central</t>
        </is>
      </c>
      <c r="C26" s="34" t="inlineStr">
        <is>
          <t>Rafael Lima</t>
        </is>
      </c>
      <c r="D26" s="34" t="inlineStr">
        <is>
          <t>Em andamento</t>
        </is>
      </c>
      <c r="E26" s="34" t="inlineStr">
        <is>
          <t>Sim</t>
        </is>
      </c>
      <c r="F26" s="34" t="inlineStr">
        <is>
          <t>Sim</t>
        </is>
      </c>
      <c r="G26" s="34" t="inlineStr">
        <is>
          <t>Sim</t>
        </is>
      </c>
      <c r="H26" s="34" t="inlineStr">
        <is>
          <t>Sim</t>
        </is>
      </c>
      <c r="I26" s="34" t="inlineStr">
        <is>
          <t>Sim</t>
        </is>
      </c>
      <c r="J26" s="34" t="inlineStr">
        <is>
          <t>Sim</t>
        </is>
      </c>
      <c r="K26" s="34" t="inlineStr">
        <is>
          <t>Sim</t>
        </is>
      </c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25">
        <f>IF(A26="","",IFERROR(COUNTIF(E26:N26,"Sim")/(Config!$B$21-COUNTIF(E26:N26,"N/A")),""))</f>
        <v>0.777777777777778</v>
      </c>
      <c r="Z26" s="25">
        <f>IF(OR(A26="",D26&lt;&gt;"Encerrado"),"",IFERROR(COUNTIF(O26:X26,"Sim")/(Config!$D$21-COUNTIF(O26:X26,"N/A")),""))</f>
        <v/>
      </c>
      <c r="AA26" s="23">
        <f>IF(A26="","",MAX(0,Config!$B$21-COUNTIF(E26:N26,"Sim")-COUNTIF(E26:N26,"N/A")))</f>
        <v>2</v>
      </c>
      <c r="AB26" s="23">
        <f>IF(OR(A26="",D26&lt;&gt;"Encerrado"),"",MAX(0,Config!$D$21-COUNTIF(O26:X26,"Sim")-COUNTIF(O26:X26,"N/A")))</f>
        <v/>
      </c>
      <c r="AC26" s="23">
        <f>IF(A26="","",AA26+IF(AB26="",0,AB26))</f>
        <v>2</v>
      </c>
      <c r="AD26" s="24" t="str">
        <f>IF(OR(A26="",AF26=""),"",LEFT(AF26,LEN(AF26)-2))</f>
        <v>Canal de contato combinado com o cliente; Pasta do caso criada (física ou digital)</v>
      </c>
      <c r="AE26" s="35">
        <f>IF(OR(A26="",AC26=0),0,AC26*100-ROW()/100000)</f>
        <v>199.99974</v>
      </c>
      <c r="AF26" s="35" t="str">
        <f>IF(A26="","",IF(AND(Config!$B$10&lt;&gt;"",E26&lt;&gt;"Sim",E26&lt;&gt;"N/A"),Config!$B$10&amp;"; ","")&amp;IF(AND(Config!$B$11&lt;&gt;"",F26&lt;&gt;"Sim",F26&lt;&gt;"N/A"),Config!$B$11&amp;"; ","")&amp;IF(AND(Config!$B$12&lt;&gt;"",G26&lt;&gt;"Sim",G26&lt;&gt;"N/A"),Config!$B$12&amp;"; ","")&amp;IF(AND(Config!$B$13&lt;&gt;"",H26&lt;&gt;"Sim",H26&lt;&gt;"N/A"),Config!$B$13&amp;"; ","")&amp;IF(AND(Config!$B$14&lt;&gt;"",I26&lt;&gt;"Sim",I26&lt;&gt;"N/A"),Config!$B$14&amp;"; ","")&amp;IF(AND(Config!$B$15&lt;&gt;"",J26&lt;&gt;"Sim",J26&lt;&gt;"N/A"),Config!$B$15&amp;"; ","")&amp;IF(AND(Config!$B$16&lt;&gt;"",K26&lt;&gt;"Sim",K26&lt;&gt;"N/A"),Config!$B$16&amp;"; ","")&amp;IF(AND(Config!$B$17&lt;&gt;"",L26&lt;&gt;"Sim",L26&lt;&gt;"N/A"),Config!$B$17&amp;"; ","")&amp;IF(AND(Config!$B$18&lt;&gt;"",M26&lt;&gt;"Sim",M26&lt;&gt;"N/A"),Config!$B$18&amp;"; ","")&amp;IF(AND(Config!$B$19&lt;&gt;"",N26&lt;&gt;"Sim",N26&lt;&gt;"N/A"),Config!$B$19&amp;"; ","")&amp;IF(AND($D26="Encerrado",Config!$D$10&lt;&gt;"",O26&lt;&gt;"Sim",O26&lt;&gt;"N/A"),Config!$D$10&amp;"; ","")&amp;IF(AND($D26="Encerrado",Config!$D$11&lt;&gt;"",P26&lt;&gt;"Sim",P26&lt;&gt;"N/A"),Config!$D$11&amp;"; ","")&amp;IF(AND($D26="Encerrado",Config!$D$12&lt;&gt;"",Q26&lt;&gt;"Sim",Q26&lt;&gt;"N/A"),Config!$D$12&amp;"; ","")&amp;IF(AND($D26="Encerrado",Config!$D$13&lt;&gt;"",R26&lt;&gt;"Sim",R26&lt;&gt;"N/A"),Config!$D$13&amp;"; ","")&amp;IF(AND($D26="Encerrado",Config!$D$14&lt;&gt;"",S26&lt;&gt;"Sim",S26&lt;&gt;"N/A"),Config!$D$14&amp;"; ","")&amp;IF(AND($D26="Encerrado",Config!$D$15&lt;&gt;"",T26&lt;&gt;"Sim",T26&lt;&gt;"N/A"),Config!$D$15&amp;"; ","")&amp;IF(AND($D26="Encerrado",Config!$D$16&lt;&gt;"",U26&lt;&gt;"Sim",U26&lt;&gt;"N/A"),Config!$D$16&amp;"; ","")&amp;IF(AND($D26="Encerrado",Config!$D$17&lt;&gt;"",V26&lt;&gt;"Sim",V26&lt;&gt;"N/A"),Config!$D$17&amp;"; ","")&amp;IF(AND($D26="Encerrado",Config!$D$18&lt;&gt;"",W26&lt;&gt;"Sim",W26&lt;&gt;"N/A"),Config!$D$18&amp;"; ","")&amp;IF(AND($D26="Encerrado",Config!$D$19&lt;&gt;"",X26&lt;&gt;"Sim",X26&lt;&gt;"N/A"),Config!$D$19&amp;"; ",""))</f>
        <v>Canal de contato combinado com o cliente; Pasta do caso criada (física ou digital); </v>
      </c>
    </row>
    <row r="27">
      <c r="A27" s="29" t="inlineStr">
        <is>
          <t>7099226-69.2026.8.26.0433</t>
        </is>
      </c>
      <c r="B27" s="29" t="inlineStr">
        <is>
          <t>Luciana Farias</t>
        </is>
      </c>
      <c r="C27" s="34" t="inlineStr">
        <is>
          <t>Marina Ferraz</t>
        </is>
      </c>
      <c r="D27" s="34" t="inlineStr">
        <is>
          <t>Em andamento</t>
        </is>
      </c>
      <c r="E27" s="34" t="inlineStr">
        <is>
          <t>Sim</t>
        </is>
      </c>
      <c r="F27" s="34" t="inlineStr">
        <is>
          <t>Sim</t>
        </is>
      </c>
      <c r="G27" s="34" t="inlineStr">
        <is>
          <t>Sim</t>
        </is>
      </c>
      <c r="H27" s="34" t="inlineStr">
        <is>
          <t>Sim</t>
        </is>
      </c>
      <c r="I27" s="34" t="inlineStr">
        <is>
          <t>Sim</t>
        </is>
      </c>
      <c r="J27" s="34" t="inlineStr">
        <is>
          <t>Sim</t>
        </is>
      </c>
      <c r="K27" s="34" t="inlineStr">
        <is>
          <t>Sim</t>
        </is>
      </c>
      <c r="L27" s="34" t="inlineStr">
        <is>
          <t>Sim</t>
        </is>
      </c>
      <c r="M27" s="34" t="inlineStr">
        <is>
          <t>Sim</t>
        </is>
      </c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25">
        <f>IF(A27="","",IFERROR(COUNTIF(E27:N27,"Sim")/(Config!$B$21-COUNTIF(E27:N27,"N/A")),""))</f>
        <v>1</v>
      </c>
      <c r="Z27" s="25">
        <f>IF(OR(A27="",D27&lt;&gt;"Encerrado"),"",IFERROR(COUNTIF(O27:X27,"Sim")/(Config!$D$21-COUNTIF(O27:X27,"N/A")),""))</f>
        <v/>
      </c>
      <c r="AA27" s="23">
        <f>IF(A27="","",MAX(0,Config!$B$21-COUNTIF(E27:N27,"Sim")-COUNTIF(E27:N27,"N/A")))</f>
        <v>0</v>
      </c>
      <c r="AB27" s="23">
        <f>IF(OR(A27="",D27&lt;&gt;"Encerrado"),"",MAX(0,Config!$D$21-COUNTIF(O27:X27,"Sim")-COUNTIF(O27:X27,"N/A")))</f>
        <v/>
      </c>
      <c r="AC27" s="23">
        <f>IF(A27="","",AA27+IF(AB27="",0,AB27))</f>
        <v>0</v>
      </c>
      <c r="AD27" s="24">
        <f>IF(OR(A27="",AF27=""),"",LEFT(AF27,LEN(AF27)-2))</f>
        <v/>
      </c>
      <c r="AE27" s="35">
        <f>IF(OR(A27="",AC27=0),0,AC27*100-ROW()/100000)</f>
        <v>0</v>
      </c>
      <c r="AF27" s="35">
        <f>IF(A27="","",IF(AND(Config!$B$10&lt;&gt;"",E27&lt;&gt;"Sim",E27&lt;&gt;"N/A"),Config!$B$10&amp;"; ","")&amp;IF(AND(Config!$B$11&lt;&gt;"",F27&lt;&gt;"Sim",F27&lt;&gt;"N/A"),Config!$B$11&amp;"; ","")&amp;IF(AND(Config!$B$12&lt;&gt;"",G27&lt;&gt;"Sim",G27&lt;&gt;"N/A"),Config!$B$12&amp;"; ","")&amp;IF(AND(Config!$B$13&lt;&gt;"",H27&lt;&gt;"Sim",H27&lt;&gt;"N/A"),Config!$B$13&amp;"; ","")&amp;IF(AND(Config!$B$14&lt;&gt;"",I27&lt;&gt;"Sim",I27&lt;&gt;"N/A"),Config!$B$14&amp;"; ","")&amp;IF(AND(Config!$B$15&lt;&gt;"",J27&lt;&gt;"Sim",J27&lt;&gt;"N/A"),Config!$B$15&amp;"; ","")&amp;IF(AND(Config!$B$16&lt;&gt;"",K27&lt;&gt;"Sim",K27&lt;&gt;"N/A"),Config!$B$16&amp;"; ","")&amp;IF(AND(Config!$B$17&lt;&gt;"",L27&lt;&gt;"Sim",L27&lt;&gt;"N/A"),Config!$B$17&amp;"; ","")&amp;IF(AND(Config!$B$18&lt;&gt;"",M27&lt;&gt;"Sim",M27&lt;&gt;"N/A"),Config!$B$18&amp;"; ","")&amp;IF(AND(Config!$B$19&lt;&gt;"",N27&lt;&gt;"Sim",N27&lt;&gt;"N/A"),Config!$B$19&amp;"; ","")&amp;IF(AND($D27="Encerrado",Config!$D$10&lt;&gt;"",O27&lt;&gt;"Sim",O27&lt;&gt;"N/A"),Config!$D$10&amp;"; ","")&amp;IF(AND($D27="Encerrado",Config!$D$11&lt;&gt;"",P27&lt;&gt;"Sim",P27&lt;&gt;"N/A"),Config!$D$11&amp;"; ","")&amp;IF(AND($D27="Encerrado",Config!$D$12&lt;&gt;"",Q27&lt;&gt;"Sim",Q27&lt;&gt;"N/A"),Config!$D$12&amp;"; ","")&amp;IF(AND($D27="Encerrado",Config!$D$13&lt;&gt;"",R27&lt;&gt;"Sim",R27&lt;&gt;"N/A"),Config!$D$13&amp;"; ","")&amp;IF(AND($D27="Encerrado",Config!$D$14&lt;&gt;"",S27&lt;&gt;"Sim",S27&lt;&gt;"N/A"),Config!$D$14&amp;"; ","")&amp;IF(AND($D27="Encerrado",Config!$D$15&lt;&gt;"",T27&lt;&gt;"Sim",T27&lt;&gt;"N/A"),Config!$D$15&amp;"; ","")&amp;IF(AND($D27="Encerrado",Config!$D$16&lt;&gt;"",U27&lt;&gt;"Sim",U27&lt;&gt;"N/A"),Config!$D$16&amp;"; ","")&amp;IF(AND($D27="Encerrado",Config!$D$17&lt;&gt;"",V27&lt;&gt;"Sim",V27&lt;&gt;"N/A"),Config!$D$17&amp;"; ","")&amp;IF(AND($D27="Encerrado",Config!$D$18&lt;&gt;"",W27&lt;&gt;"Sim",W27&lt;&gt;"N/A"),Config!$D$18&amp;"; ","")&amp;IF(AND($D27="Encerrado",Config!$D$19&lt;&gt;"",X27&lt;&gt;"Sim",X27&lt;&gt;"N/A"),Config!$D$19&amp;"; ",""))</f>
        <v/>
      </c>
    </row>
    <row r="28">
      <c r="A28" s="29" t="inlineStr">
        <is>
          <t>2521428-61.2026.8.26.0600</t>
        </is>
      </c>
      <c r="B28" s="29" t="inlineStr">
        <is>
          <t>Luciana Farias</t>
        </is>
      </c>
      <c r="C28" s="34" t="inlineStr">
        <is>
          <t>Marina Ferraz</t>
        </is>
      </c>
      <c r="D28" s="34" t="inlineStr">
        <is>
          <t>Em andamento</t>
        </is>
      </c>
      <c r="E28" s="34" t="inlineStr">
        <is>
          <t>Sim</t>
        </is>
      </c>
      <c r="F28" s="34" t="inlineStr">
        <is>
          <t>Não</t>
        </is>
      </c>
      <c r="G28" s="34" t="inlineStr">
        <is>
          <t>Sim</t>
        </is>
      </c>
      <c r="H28" s="34" t="inlineStr">
        <is>
          <t>Sim</t>
        </is>
      </c>
      <c r="I28" s="34" t="inlineStr">
        <is>
          <t>Sim</t>
        </is>
      </c>
      <c r="J28" s="34" t="inlineStr">
        <is>
          <t>Sim</t>
        </is>
      </c>
      <c r="K28" s="34" t="inlineStr">
        <is>
          <t>Sim</t>
        </is>
      </c>
      <c r="L28" s="34" t="inlineStr">
        <is>
          <t>Sim</t>
        </is>
      </c>
      <c r="M28" s="34" t="inlineStr">
        <is>
          <t>Sim</t>
        </is>
      </c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25">
        <f>IF(A28="","",IFERROR(COUNTIF(E28:N28,"Sim")/(Config!$B$21-COUNTIF(E28:N28,"N/A")),""))</f>
        <v>0.888888888888889</v>
      </c>
      <c r="Z28" s="25">
        <f>IF(OR(A28="",D28&lt;&gt;"Encerrado"),"",IFERROR(COUNTIF(O28:X28,"Sim")/(Config!$D$21-COUNTIF(O28:X28,"N/A")),""))</f>
        <v/>
      </c>
      <c r="AA28" s="23">
        <f>IF(A28="","",MAX(0,Config!$B$21-COUNTIF(E28:N28,"Sim")-COUNTIF(E28:N28,"N/A")))</f>
        <v>1</v>
      </c>
      <c r="AB28" s="23">
        <f>IF(OR(A28="",D28&lt;&gt;"Encerrado"),"",MAX(0,Config!$D$21-COUNTIF(O28:X28,"Sim")-COUNTIF(O28:X28,"N/A")))</f>
        <v/>
      </c>
      <c r="AC28" s="23">
        <f>IF(A28="","",AA28+IF(AB28="",0,AB28))</f>
        <v>1</v>
      </c>
      <c r="AD28" s="24" t="str">
        <f>IF(OR(A28="",AF28=""),"",LEFT(AF28,LEN(AF28)-2))</f>
        <v>Procuração recebida</v>
      </c>
      <c r="AE28" s="35">
        <f>IF(OR(A28="",AC28=0),0,AC28*100-ROW()/100000)</f>
        <v>99.99972</v>
      </c>
      <c r="AF28" s="35" t="str">
        <f>IF(A28="","",IF(AND(Config!$B$10&lt;&gt;"",E28&lt;&gt;"Sim",E28&lt;&gt;"N/A"),Config!$B$10&amp;"; ","")&amp;IF(AND(Config!$B$11&lt;&gt;"",F28&lt;&gt;"Sim",F28&lt;&gt;"N/A"),Config!$B$11&amp;"; ","")&amp;IF(AND(Config!$B$12&lt;&gt;"",G28&lt;&gt;"Sim",G28&lt;&gt;"N/A"),Config!$B$12&amp;"; ","")&amp;IF(AND(Config!$B$13&lt;&gt;"",H28&lt;&gt;"Sim",H28&lt;&gt;"N/A"),Config!$B$13&amp;"; ","")&amp;IF(AND(Config!$B$14&lt;&gt;"",I28&lt;&gt;"Sim",I28&lt;&gt;"N/A"),Config!$B$14&amp;"; ","")&amp;IF(AND(Config!$B$15&lt;&gt;"",J28&lt;&gt;"Sim",J28&lt;&gt;"N/A"),Config!$B$15&amp;"; ","")&amp;IF(AND(Config!$B$16&lt;&gt;"",K28&lt;&gt;"Sim",K28&lt;&gt;"N/A"),Config!$B$16&amp;"; ","")&amp;IF(AND(Config!$B$17&lt;&gt;"",L28&lt;&gt;"Sim",L28&lt;&gt;"N/A"),Config!$B$17&amp;"; ","")&amp;IF(AND(Config!$B$18&lt;&gt;"",M28&lt;&gt;"Sim",M28&lt;&gt;"N/A"),Config!$B$18&amp;"; ","")&amp;IF(AND(Config!$B$19&lt;&gt;"",N28&lt;&gt;"Sim",N28&lt;&gt;"N/A"),Config!$B$19&amp;"; ","")&amp;IF(AND($D28="Encerrado",Config!$D$10&lt;&gt;"",O28&lt;&gt;"Sim",O28&lt;&gt;"N/A"),Config!$D$10&amp;"; ","")&amp;IF(AND($D28="Encerrado",Config!$D$11&lt;&gt;"",P28&lt;&gt;"Sim",P28&lt;&gt;"N/A"),Config!$D$11&amp;"; ","")&amp;IF(AND($D28="Encerrado",Config!$D$12&lt;&gt;"",Q28&lt;&gt;"Sim",Q28&lt;&gt;"N/A"),Config!$D$12&amp;"; ","")&amp;IF(AND($D28="Encerrado",Config!$D$13&lt;&gt;"",R28&lt;&gt;"Sim",R28&lt;&gt;"N/A"),Config!$D$13&amp;"; ","")&amp;IF(AND($D28="Encerrado",Config!$D$14&lt;&gt;"",S28&lt;&gt;"Sim",S28&lt;&gt;"N/A"),Config!$D$14&amp;"; ","")&amp;IF(AND($D28="Encerrado",Config!$D$15&lt;&gt;"",T28&lt;&gt;"Sim",T28&lt;&gt;"N/A"),Config!$D$15&amp;"; ","")&amp;IF(AND($D28="Encerrado",Config!$D$16&lt;&gt;"",U28&lt;&gt;"Sim",U28&lt;&gt;"N/A"),Config!$D$16&amp;"; ","")&amp;IF(AND($D28="Encerrado",Config!$D$17&lt;&gt;"",V28&lt;&gt;"Sim",V28&lt;&gt;"N/A"),Config!$D$17&amp;"; ","")&amp;IF(AND($D28="Encerrado",Config!$D$18&lt;&gt;"",W28&lt;&gt;"Sim",W28&lt;&gt;"N/A"),Config!$D$18&amp;"; ","")&amp;IF(AND($D28="Encerrado",Config!$D$19&lt;&gt;"",X28&lt;&gt;"Sim",X28&lt;&gt;"N/A"),Config!$D$19&amp;"; ",""))</f>
        <v>Procuração recebida; </v>
      </c>
    </row>
    <row r="29">
      <c r="A29" s="29" t="inlineStr">
        <is>
          <t>9362688-24.2025.8.26.0436</t>
        </is>
      </c>
      <c r="B29" s="29" t="inlineStr">
        <is>
          <t>Agência Prisma</t>
        </is>
      </c>
      <c r="C29" s="34" t="inlineStr">
        <is>
          <t>Marina Ferraz</t>
        </is>
      </c>
      <c r="D29" s="34" t="inlineStr">
        <is>
          <t>Em andamento</t>
        </is>
      </c>
      <c r="E29" s="34" t="inlineStr">
        <is>
          <t>Sim</t>
        </is>
      </c>
      <c r="F29" s="34" t="inlineStr">
        <is>
          <t>Sim</t>
        </is>
      </c>
      <c r="G29" s="34" t="inlineStr">
        <is>
          <t>Sim</t>
        </is>
      </c>
      <c r="H29" s="34" t="inlineStr">
        <is>
          <t>Sim</t>
        </is>
      </c>
      <c r="I29" s="34" t="inlineStr">
        <is>
          <t>Sim</t>
        </is>
      </c>
      <c r="J29" s="34" t="inlineStr">
        <is>
          <t>Sim</t>
        </is>
      </c>
      <c r="K29" s="34" t="inlineStr">
        <is>
          <t>Sim</t>
        </is>
      </c>
      <c r="L29" s="34" t="inlineStr">
        <is>
          <t>Sim</t>
        </is>
      </c>
      <c r="M29" s="34" t="inlineStr">
        <is>
          <t>Sim</t>
        </is>
      </c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25">
        <f>IF(A29="","",IFERROR(COUNTIF(E29:N29,"Sim")/(Config!$B$21-COUNTIF(E29:N29,"N/A")),""))</f>
        <v>1</v>
      </c>
      <c r="Z29" s="25">
        <f>IF(OR(A29="",D29&lt;&gt;"Encerrado"),"",IFERROR(COUNTIF(O29:X29,"Sim")/(Config!$D$21-COUNTIF(O29:X29,"N/A")),""))</f>
        <v/>
      </c>
      <c r="AA29" s="23">
        <f>IF(A29="","",MAX(0,Config!$B$21-COUNTIF(E29:N29,"Sim")-COUNTIF(E29:N29,"N/A")))</f>
        <v>0</v>
      </c>
      <c r="AB29" s="23">
        <f>IF(OR(A29="",D29&lt;&gt;"Encerrado"),"",MAX(0,Config!$D$21-COUNTIF(O29:X29,"Sim")-COUNTIF(O29:X29,"N/A")))</f>
        <v/>
      </c>
      <c r="AC29" s="23">
        <f>IF(A29="","",AA29+IF(AB29="",0,AB29))</f>
        <v>0</v>
      </c>
      <c r="AD29" s="24">
        <f>IF(OR(A29="",AF29=""),"",LEFT(AF29,LEN(AF29)-2))</f>
        <v/>
      </c>
      <c r="AE29" s="35">
        <f>IF(OR(A29="",AC29=0),0,AC29*100-ROW()/100000)</f>
        <v>0</v>
      </c>
      <c r="AF29" s="35">
        <f>IF(A29="","",IF(AND(Config!$B$10&lt;&gt;"",E29&lt;&gt;"Sim",E29&lt;&gt;"N/A"),Config!$B$10&amp;"; ","")&amp;IF(AND(Config!$B$11&lt;&gt;"",F29&lt;&gt;"Sim",F29&lt;&gt;"N/A"),Config!$B$11&amp;"; ","")&amp;IF(AND(Config!$B$12&lt;&gt;"",G29&lt;&gt;"Sim",G29&lt;&gt;"N/A"),Config!$B$12&amp;"; ","")&amp;IF(AND(Config!$B$13&lt;&gt;"",H29&lt;&gt;"Sim",H29&lt;&gt;"N/A"),Config!$B$13&amp;"; ","")&amp;IF(AND(Config!$B$14&lt;&gt;"",I29&lt;&gt;"Sim",I29&lt;&gt;"N/A"),Config!$B$14&amp;"; ","")&amp;IF(AND(Config!$B$15&lt;&gt;"",J29&lt;&gt;"Sim",J29&lt;&gt;"N/A"),Config!$B$15&amp;"; ","")&amp;IF(AND(Config!$B$16&lt;&gt;"",K29&lt;&gt;"Sim",K29&lt;&gt;"N/A"),Config!$B$16&amp;"; ","")&amp;IF(AND(Config!$B$17&lt;&gt;"",L29&lt;&gt;"Sim",L29&lt;&gt;"N/A"),Config!$B$17&amp;"; ","")&amp;IF(AND(Config!$B$18&lt;&gt;"",M29&lt;&gt;"Sim",M29&lt;&gt;"N/A"),Config!$B$18&amp;"; ","")&amp;IF(AND(Config!$B$19&lt;&gt;"",N29&lt;&gt;"Sim",N29&lt;&gt;"N/A"),Config!$B$19&amp;"; ","")&amp;IF(AND($D29="Encerrado",Config!$D$10&lt;&gt;"",O29&lt;&gt;"Sim",O29&lt;&gt;"N/A"),Config!$D$10&amp;"; ","")&amp;IF(AND($D29="Encerrado",Config!$D$11&lt;&gt;"",P29&lt;&gt;"Sim",P29&lt;&gt;"N/A"),Config!$D$11&amp;"; ","")&amp;IF(AND($D29="Encerrado",Config!$D$12&lt;&gt;"",Q29&lt;&gt;"Sim",Q29&lt;&gt;"N/A"),Config!$D$12&amp;"; ","")&amp;IF(AND($D29="Encerrado",Config!$D$13&lt;&gt;"",R29&lt;&gt;"Sim",R29&lt;&gt;"N/A"),Config!$D$13&amp;"; ","")&amp;IF(AND($D29="Encerrado",Config!$D$14&lt;&gt;"",S29&lt;&gt;"Sim",S29&lt;&gt;"N/A"),Config!$D$14&amp;"; ","")&amp;IF(AND($D29="Encerrado",Config!$D$15&lt;&gt;"",T29&lt;&gt;"Sim",T29&lt;&gt;"N/A"),Config!$D$15&amp;"; ","")&amp;IF(AND($D29="Encerrado",Config!$D$16&lt;&gt;"",U29&lt;&gt;"Sim",U29&lt;&gt;"N/A"),Config!$D$16&amp;"; ","")&amp;IF(AND($D29="Encerrado",Config!$D$17&lt;&gt;"",V29&lt;&gt;"Sim",V29&lt;&gt;"N/A"),Config!$D$17&amp;"; ","")&amp;IF(AND($D29="Encerrado",Config!$D$18&lt;&gt;"",W29&lt;&gt;"Sim",W29&lt;&gt;"N/A"),Config!$D$18&amp;"; ","")&amp;IF(AND($D29="Encerrado",Config!$D$19&lt;&gt;"",X29&lt;&gt;"Sim",X29&lt;&gt;"N/A"),Config!$D$19&amp;"; ",""))</f>
        <v/>
      </c>
    </row>
    <row r="30">
      <c r="A30" s="29" t="inlineStr">
        <is>
          <t>CONS-2026-07</t>
        </is>
      </c>
      <c r="B30" s="29" t="inlineStr">
        <is>
          <t>Agência Prisma</t>
        </is>
      </c>
      <c r="C30" s="34" t="inlineStr">
        <is>
          <t>Marina Ferraz</t>
        </is>
      </c>
      <c r="D30" s="34" t="inlineStr">
        <is>
          <t>Em andamento</t>
        </is>
      </c>
      <c r="E30" s="34" t="inlineStr">
        <is>
          <t>Sim</t>
        </is>
      </c>
      <c r="F30" s="34" t="inlineStr">
        <is>
          <t>N/A</t>
        </is>
      </c>
      <c r="G30" s="34" t="inlineStr">
        <is>
          <t>Sim</t>
        </is>
      </c>
      <c r="H30" s="34" t="inlineStr">
        <is>
          <t>Sim</t>
        </is>
      </c>
      <c r="I30" s="34" t="inlineStr">
        <is>
          <t>Sim</t>
        </is>
      </c>
      <c r="J30" s="34" t="inlineStr">
        <is>
          <t>Sim</t>
        </is>
      </c>
      <c r="K30" s="34" t="inlineStr">
        <is>
          <t>N/A</t>
        </is>
      </c>
      <c r="L30" s="34" t="inlineStr">
        <is>
          <t>Sim</t>
        </is>
      </c>
      <c r="M30" s="34" t="inlineStr">
        <is>
          <t>Sim</t>
        </is>
      </c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25">
        <f>IF(A30="","",IFERROR(COUNTIF(E30:N30,"Sim")/(Config!$B$21-COUNTIF(E30:N30,"N/A")),""))</f>
        <v>1</v>
      </c>
      <c r="Z30" s="25">
        <f>IF(OR(A30="",D30&lt;&gt;"Encerrado"),"",IFERROR(COUNTIF(O30:X30,"Sim")/(Config!$D$21-COUNTIF(O30:X30,"N/A")),""))</f>
        <v/>
      </c>
      <c r="AA30" s="23">
        <f>IF(A30="","",MAX(0,Config!$B$21-COUNTIF(E30:N30,"Sim")-COUNTIF(E30:N30,"N/A")))</f>
        <v>0</v>
      </c>
      <c r="AB30" s="23">
        <f>IF(OR(A30="",D30&lt;&gt;"Encerrado"),"",MAX(0,Config!$D$21-COUNTIF(O30:X30,"Sim")-COUNTIF(O30:X30,"N/A")))</f>
        <v/>
      </c>
      <c r="AC30" s="23">
        <f>IF(A30="","",AA30+IF(AB30="",0,AB30))</f>
        <v>0</v>
      </c>
      <c r="AD30" s="24">
        <f>IF(OR(A30="",AF30=""),"",LEFT(AF30,LEN(AF30)-2))</f>
        <v/>
      </c>
      <c r="AE30" s="35">
        <f>IF(OR(A30="",AC30=0),0,AC30*100-ROW()/100000)</f>
        <v>0</v>
      </c>
      <c r="AF30" s="35">
        <f>IF(A30="","",IF(AND(Config!$B$10&lt;&gt;"",E30&lt;&gt;"Sim",E30&lt;&gt;"N/A"),Config!$B$10&amp;"; ","")&amp;IF(AND(Config!$B$11&lt;&gt;"",F30&lt;&gt;"Sim",F30&lt;&gt;"N/A"),Config!$B$11&amp;"; ","")&amp;IF(AND(Config!$B$12&lt;&gt;"",G30&lt;&gt;"Sim",G30&lt;&gt;"N/A"),Config!$B$12&amp;"; ","")&amp;IF(AND(Config!$B$13&lt;&gt;"",H30&lt;&gt;"Sim",H30&lt;&gt;"N/A"),Config!$B$13&amp;"; ","")&amp;IF(AND(Config!$B$14&lt;&gt;"",I30&lt;&gt;"Sim",I30&lt;&gt;"N/A"),Config!$B$14&amp;"; ","")&amp;IF(AND(Config!$B$15&lt;&gt;"",J30&lt;&gt;"Sim",J30&lt;&gt;"N/A"),Config!$B$15&amp;"; ","")&amp;IF(AND(Config!$B$16&lt;&gt;"",K30&lt;&gt;"Sim",K30&lt;&gt;"N/A"),Config!$B$16&amp;"; ","")&amp;IF(AND(Config!$B$17&lt;&gt;"",L30&lt;&gt;"Sim",L30&lt;&gt;"N/A"),Config!$B$17&amp;"; ","")&amp;IF(AND(Config!$B$18&lt;&gt;"",M30&lt;&gt;"Sim",M30&lt;&gt;"N/A"),Config!$B$18&amp;"; ","")&amp;IF(AND(Config!$B$19&lt;&gt;"",N30&lt;&gt;"Sim",N30&lt;&gt;"N/A"),Config!$B$19&amp;"; ","")&amp;IF(AND($D30="Encerrado",Config!$D$10&lt;&gt;"",O30&lt;&gt;"Sim",O30&lt;&gt;"N/A"),Config!$D$10&amp;"; ","")&amp;IF(AND($D30="Encerrado",Config!$D$11&lt;&gt;"",P30&lt;&gt;"Sim",P30&lt;&gt;"N/A"),Config!$D$11&amp;"; ","")&amp;IF(AND($D30="Encerrado",Config!$D$12&lt;&gt;"",Q30&lt;&gt;"Sim",Q30&lt;&gt;"N/A"),Config!$D$12&amp;"; ","")&amp;IF(AND($D30="Encerrado",Config!$D$13&lt;&gt;"",R30&lt;&gt;"Sim",R30&lt;&gt;"N/A"),Config!$D$13&amp;"; ","")&amp;IF(AND($D30="Encerrado",Config!$D$14&lt;&gt;"",S30&lt;&gt;"Sim",S30&lt;&gt;"N/A"),Config!$D$14&amp;"; ","")&amp;IF(AND($D30="Encerrado",Config!$D$15&lt;&gt;"",T30&lt;&gt;"Sim",T30&lt;&gt;"N/A"),Config!$D$15&amp;"; ","")&amp;IF(AND($D30="Encerrado",Config!$D$16&lt;&gt;"",U30&lt;&gt;"Sim",U30&lt;&gt;"N/A"),Config!$D$16&amp;"; ","")&amp;IF(AND($D30="Encerrado",Config!$D$17&lt;&gt;"",V30&lt;&gt;"Sim",V30&lt;&gt;"N/A"),Config!$D$17&amp;"; ","")&amp;IF(AND($D30="Encerrado",Config!$D$18&lt;&gt;"",W30&lt;&gt;"Sim",W30&lt;&gt;"N/A"),Config!$D$18&amp;"; ","")&amp;IF(AND($D30="Encerrado",Config!$D$19&lt;&gt;"",X30&lt;&gt;"Sim",X30&lt;&gt;"N/A"),Config!$D$19&amp;"; ",""))</f>
        <v/>
      </c>
    </row>
    <row r="31">
      <c r="A31" s="29" t="inlineStr">
        <is>
          <t>9495290-86.2025.8.26.0503</t>
        </is>
      </c>
      <c r="B31" s="29" t="inlineStr">
        <is>
          <t>Helena Duarte</t>
        </is>
      </c>
      <c r="C31" s="34" t="inlineStr">
        <is>
          <t>Rafael Lima</t>
        </is>
      </c>
      <c r="D31" s="34" t="inlineStr">
        <is>
          <t>Em andamento</t>
        </is>
      </c>
      <c r="E31" s="34" t="inlineStr">
        <is>
          <t>Sim</t>
        </is>
      </c>
      <c r="F31" s="34" t="inlineStr">
        <is>
          <t>Sim</t>
        </is>
      </c>
      <c r="G31" s="34" t="inlineStr">
        <is>
          <t>Sim</t>
        </is>
      </c>
      <c r="H31" s="34" t="inlineStr">
        <is>
          <t>Sim</t>
        </is>
      </c>
      <c r="I31" s="34" t="inlineStr">
        <is>
          <t>Sim</t>
        </is>
      </c>
      <c r="J31" s="34" t="inlineStr">
        <is>
          <t>Sim</t>
        </is>
      </c>
      <c r="K31" s="34" t="inlineStr">
        <is>
          <t>Sim</t>
        </is>
      </c>
      <c r="L31" s="34" t="inlineStr">
        <is>
          <t>Sim</t>
        </is>
      </c>
      <c r="M31" s="34" t="inlineStr">
        <is>
          <t>Sim</t>
        </is>
      </c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25">
        <f>IF(A31="","",IFERROR(COUNTIF(E31:N31,"Sim")/(Config!$B$21-COUNTIF(E31:N31,"N/A")),""))</f>
        <v>1</v>
      </c>
      <c r="Z31" s="25">
        <f>IF(OR(A31="",D31&lt;&gt;"Encerrado"),"",IFERROR(COUNTIF(O31:X31,"Sim")/(Config!$D$21-COUNTIF(O31:X31,"N/A")),""))</f>
        <v/>
      </c>
      <c r="AA31" s="23">
        <f>IF(A31="","",MAX(0,Config!$B$21-COUNTIF(E31:N31,"Sim")-COUNTIF(E31:N31,"N/A")))</f>
        <v>0</v>
      </c>
      <c r="AB31" s="23">
        <f>IF(OR(A31="",D31&lt;&gt;"Encerrado"),"",MAX(0,Config!$D$21-COUNTIF(O31:X31,"Sim")-COUNTIF(O31:X31,"N/A")))</f>
        <v/>
      </c>
      <c r="AC31" s="23">
        <f>IF(A31="","",AA31+IF(AB31="",0,AB31))</f>
        <v>0</v>
      </c>
      <c r="AD31" s="24">
        <f>IF(OR(A31="",AF31=""),"",LEFT(AF31,LEN(AF31)-2))</f>
        <v/>
      </c>
      <c r="AE31" s="35">
        <f>IF(OR(A31="",AC31=0),0,AC31*100-ROW()/100000)</f>
        <v>0</v>
      </c>
      <c r="AF31" s="35">
        <f>IF(A31="","",IF(AND(Config!$B$10&lt;&gt;"",E31&lt;&gt;"Sim",E31&lt;&gt;"N/A"),Config!$B$10&amp;"; ","")&amp;IF(AND(Config!$B$11&lt;&gt;"",F31&lt;&gt;"Sim",F31&lt;&gt;"N/A"),Config!$B$11&amp;"; ","")&amp;IF(AND(Config!$B$12&lt;&gt;"",G31&lt;&gt;"Sim",G31&lt;&gt;"N/A"),Config!$B$12&amp;"; ","")&amp;IF(AND(Config!$B$13&lt;&gt;"",H31&lt;&gt;"Sim",H31&lt;&gt;"N/A"),Config!$B$13&amp;"; ","")&amp;IF(AND(Config!$B$14&lt;&gt;"",I31&lt;&gt;"Sim",I31&lt;&gt;"N/A"),Config!$B$14&amp;"; ","")&amp;IF(AND(Config!$B$15&lt;&gt;"",J31&lt;&gt;"Sim",J31&lt;&gt;"N/A"),Config!$B$15&amp;"; ","")&amp;IF(AND(Config!$B$16&lt;&gt;"",K31&lt;&gt;"Sim",K31&lt;&gt;"N/A"),Config!$B$16&amp;"; ","")&amp;IF(AND(Config!$B$17&lt;&gt;"",L31&lt;&gt;"Sim",L31&lt;&gt;"N/A"),Config!$B$17&amp;"; ","")&amp;IF(AND(Config!$B$18&lt;&gt;"",M31&lt;&gt;"Sim",M31&lt;&gt;"N/A"),Config!$B$18&amp;"; ","")&amp;IF(AND(Config!$B$19&lt;&gt;"",N31&lt;&gt;"Sim",N31&lt;&gt;"N/A"),Config!$B$19&amp;"; ","")&amp;IF(AND($D31="Encerrado",Config!$D$10&lt;&gt;"",O31&lt;&gt;"Sim",O31&lt;&gt;"N/A"),Config!$D$10&amp;"; ","")&amp;IF(AND($D31="Encerrado",Config!$D$11&lt;&gt;"",P31&lt;&gt;"Sim",P31&lt;&gt;"N/A"),Config!$D$11&amp;"; ","")&amp;IF(AND($D31="Encerrado",Config!$D$12&lt;&gt;"",Q31&lt;&gt;"Sim",Q31&lt;&gt;"N/A"),Config!$D$12&amp;"; ","")&amp;IF(AND($D31="Encerrado",Config!$D$13&lt;&gt;"",R31&lt;&gt;"Sim",R31&lt;&gt;"N/A"),Config!$D$13&amp;"; ","")&amp;IF(AND($D31="Encerrado",Config!$D$14&lt;&gt;"",S31&lt;&gt;"Sim",S31&lt;&gt;"N/A"),Config!$D$14&amp;"; ","")&amp;IF(AND($D31="Encerrado",Config!$D$15&lt;&gt;"",T31&lt;&gt;"Sim",T31&lt;&gt;"N/A"),Config!$D$15&amp;"; ","")&amp;IF(AND($D31="Encerrado",Config!$D$16&lt;&gt;"",U31&lt;&gt;"Sim",U31&lt;&gt;"N/A"),Config!$D$16&amp;"; ","")&amp;IF(AND($D31="Encerrado",Config!$D$17&lt;&gt;"",V31&lt;&gt;"Sim",V31&lt;&gt;"N/A"),Config!$D$17&amp;"; ","")&amp;IF(AND($D31="Encerrado",Config!$D$18&lt;&gt;"",W31&lt;&gt;"Sim",W31&lt;&gt;"N/A"),Config!$D$18&amp;"; ","")&amp;IF(AND($D31="Encerrado",Config!$D$19&lt;&gt;"",X31&lt;&gt;"Sim",X31&lt;&gt;"N/A"),Config!$D$19&amp;"; ",""))</f>
        <v/>
      </c>
    </row>
    <row r="32">
      <c r="A32" s="29" t="inlineStr">
        <is>
          <t>7679821-77.2026.8.26.0265</t>
        </is>
      </c>
      <c r="B32" s="29" t="inlineStr">
        <is>
          <t>Helena Duarte</t>
        </is>
      </c>
      <c r="C32" s="34" t="inlineStr">
        <is>
          <t>Rafael Lima</t>
        </is>
      </c>
      <c r="D32" s="34" t="inlineStr">
        <is>
          <t>Em andamento</t>
        </is>
      </c>
      <c r="E32" s="34" t="inlineStr">
        <is>
          <t>Sim</t>
        </is>
      </c>
      <c r="F32" s="34" t="inlineStr">
        <is>
          <t>Sim</t>
        </is>
      </c>
      <c r="G32" s="34" t="inlineStr">
        <is>
          <t>Sim</t>
        </is>
      </c>
      <c r="H32" s="34" t="inlineStr">
        <is>
          <t>Não</t>
        </is>
      </c>
      <c r="I32" s="34" t="inlineStr">
        <is>
          <t>Sim</t>
        </is>
      </c>
      <c r="J32" s="34" t="inlineStr">
        <is>
          <t>Sim</t>
        </is>
      </c>
      <c r="K32" s="34" t="inlineStr">
        <is>
          <t>Sim</t>
        </is>
      </c>
      <c r="L32" s="34" t="inlineStr">
        <is>
          <t>Sim</t>
        </is>
      </c>
      <c r="M32" s="34" t="inlineStr">
        <is>
          <t>Sim</t>
        </is>
      </c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25">
        <f>IF(A32="","",IFERROR(COUNTIF(E32:N32,"Sim")/(Config!$B$21-COUNTIF(E32:N32,"N/A")),""))</f>
        <v>0.888888888888889</v>
      </c>
      <c r="Z32" s="25">
        <f>IF(OR(A32="",D32&lt;&gt;"Encerrado"),"",IFERROR(COUNTIF(O32:X32,"Sim")/(Config!$D$21-COUNTIF(O32:X32,"N/A")),""))</f>
        <v/>
      </c>
      <c r="AA32" s="23">
        <f>IF(A32="","",MAX(0,Config!$B$21-COUNTIF(E32:N32,"Sim")-COUNTIF(E32:N32,"N/A")))</f>
        <v>1</v>
      </c>
      <c r="AB32" s="23">
        <f>IF(OR(A32="",D32&lt;&gt;"Encerrado"),"",MAX(0,Config!$D$21-COUNTIF(O32:X32,"Sim")-COUNTIF(O32:X32,"N/A")))</f>
        <v/>
      </c>
      <c r="AC32" s="23">
        <f>IF(A32="","",AA32+IF(AB32="",0,AB32))</f>
        <v>1</v>
      </c>
      <c r="AD32" s="24" t="str">
        <f>IF(OR(A32="",AF32=""),"",LEFT(AF32,LEN(AF32)-2))</f>
        <v>Honorário e forma de pagamento definidos</v>
      </c>
      <c r="AE32" s="35">
        <f>IF(OR(A32="",AC32=0),0,AC32*100-ROW()/100000)</f>
        <v>99.99968</v>
      </c>
      <c r="AF32" s="35" t="str">
        <f>IF(A32="","",IF(AND(Config!$B$10&lt;&gt;"",E32&lt;&gt;"Sim",E32&lt;&gt;"N/A"),Config!$B$10&amp;"; ","")&amp;IF(AND(Config!$B$11&lt;&gt;"",F32&lt;&gt;"Sim",F32&lt;&gt;"N/A"),Config!$B$11&amp;"; ","")&amp;IF(AND(Config!$B$12&lt;&gt;"",G32&lt;&gt;"Sim",G32&lt;&gt;"N/A"),Config!$B$12&amp;"; ","")&amp;IF(AND(Config!$B$13&lt;&gt;"",H32&lt;&gt;"Sim",H32&lt;&gt;"N/A"),Config!$B$13&amp;"; ","")&amp;IF(AND(Config!$B$14&lt;&gt;"",I32&lt;&gt;"Sim",I32&lt;&gt;"N/A"),Config!$B$14&amp;"; ","")&amp;IF(AND(Config!$B$15&lt;&gt;"",J32&lt;&gt;"Sim",J32&lt;&gt;"N/A"),Config!$B$15&amp;"; ","")&amp;IF(AND(Config!$B$16&lt;&gt;"",K32&lt;&gt;"Sim",K32&lt;&gt;"N/A"),Config!$B$16&amp;"; ","")&amp;IF(AND(Config!$B$17&lt;&gt;"",L32&lt;&gt;"Sim",L32&lt;&gt;"N/A"),Config!$B$17&amp;"; ","")&amp;IF(AND(Config!$B$18&lt;&gt;"",M32&lt;&gt;"Sim",M32&lt;&gt;"N/A"),Config!$B$18&amp;"; ","")&amp;IF(AND(Config!$B$19&lt;&gt;"",N32&lt;&gt;"Sim",N32&lt;&gt;"N/A"),Config!$B$19&amp;"; ","")&amp;IF(AND($D32="Encerrado",Config!$D$10&lt;&gt;"",O32&lt;&gt;"Sim",O32&lt;&gt;"N/A"),Config!$D$10&amp;"; ","")&amp;IF(AND($D32="Encerrado",Config!$D$11&lt;&gt;"",P32&lt;&gt;"Sim",P32&lt;&gt;"N/A"),Config!$D$11&amp;"; ","")&amp;IF(AND($D32="Encerrado",Config!$D$12&lt;&gt;"",Q32&lt;&gt;"Sim",Q32&lt;&gt;"N/A"),Config!$D$12&amp;"; ","")&amp;IF(AND($D32="Encerrado",Config!$D$13&lt;&gt;"",R32&lt;&gt;"Sim",R32&lt;&gt;"N/A"),Config!$D$13&amp;"; ","")&amp;IF(AND($D32="Encerrado",Config!$D$14&lt;&gt;"",S32&lt;&gt;"Sim",S32&lt;&gt;"N/A"),Config!$D$14&amp;"; ","")&amp;IF(AND($D32="Encerrado",Config!$D$15&lt;&gt;"",T32&lt;&gt;"Sim",T32&lt;&gt;"N/A"),Config!$D$15&amp;"; ","")&amp;IF(AND($D32="Encerrado",Config!$D$16&lt;&gt;"",U32&lt;&gt;"Sim",U32&lt;&gt;"N/A"),Config!$D$16&amp;"; ","")&amp;IF(AND($D32="Encerrado",Config!$D$17&lt;&gt;"",V32&lt;&gt;"Sim",V32&lt;&gt;"N/A"),Config!$D$17&amp;"; ","")&amp;IF(AND($D32="Encerrado",Config!$D$18&lt;&gt;"",W32&lt;&gt;"Sim",W32&lt;&gt;"N/A"),Config!$D$18&amp;"; ","")&amp;IF(AND($D32="Encerrado",Config!$D$19&lt;&gt;"",X32&lt;&gt;"Sim",X32&lt;&gt;"N/A"),Config!$D$19&amp;"; ",""))</f>
        <v>Honorário e forma de pagamento definidos; </v>
      </c>
    </row>
    <row r="33">
      <c r="A33" s="29" t="inlineStr">
        <is>
          <t>8045862-82.2026.8.26.0491</t>
        </is>
      </c>
      <c r="B33" s="29" t="inlineStr">
        <is>
          <t>Carlos Eduardo Nunes</t>
        </is>
      </c>
      <c r="C33" s="34" t="inlineStr">
        <is>
          <t>Rafael Lima</t>
        </is>
      </c>
      <c r="D33" s="34" t="inlineStr">
        <is>
          <t>Em andamento</t>
        </is>
      </c>
      <c r="E33" s="34" t="inlineStr">
        <is>
          <t>Sim</t>
        </is>
      </c>
      <c r="F33" s="34" t="inlineStr">
        <is>
          <t>Sim</t>
        </is>
      </c>
      <c r="G33" s="34" t="inlineStr">
        <is>
          <t>Sim</t>
        </is>
      </c>
      <c r="H33" s="34" t="inlineStr">
        <is>
          <t>Sim</t>
        </is>
      </c>
      <c r="I33" s="34" t="inlineStr">
        <is>
          <t>Sim</t>
        </is>
      </c>
      <c r="J33" s="34" t="inlineStr">
        <is>
          <t>Sim</t>
        </is>
      </c>
      <c r="K33" s="34" t="inlineStr">
        <is>
          <t>Sim</t>
        </is>
      </c>
      <c r="L33" s="34" t="inlineStr">
        <is>
          <t>Sim</t>
        </is>
      </c>
      <c r="M33" s="34" t="inlineStr">
        <is>
          <t>Sim</t>
        </is>
      </c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25">
        <f>IF(A33="","",IFERROR(COUNTIF(E33:N33,"Sim")/(Config!$B$21-COUNTIF(E33:N33,"N/A")),""))</f>
        <v>1</v>
      </c>
      <c r="Z33" s="25">
        <f>IF(OR(A33="",D33&lt;&gt;"Encerrado"),"",IFERROR(COUNTIF(O33:X33,"Sim")/(Config!$D$21-COUNTIF(O33:X33,"N/A")),""))</f>
        <v/>
      </c>
      <c r="AA33" s="23">
        <f>IF(A33="","",MAX(0,Config!$B$21-COUNTIF(E33:N33,"Sim")-COUNTIF(E33:N33,"N/A")))</f>
        <v>0</v>
      </c>
      <c r="AB33" s="23">
        <f>IF(OR(A33="",D33&lt;&gt;"Encerrado"),"",MAX(0,Config!$D$21-COUNTIF(O33:X33,"Sim")-COUNTIF(O33:X33,"N/A")))</f>
        <v/>
      </c>
      <c r="AC33" s="23">
        <f>IF(A33="","",AA33+IF(AB33="",0,AB33))</f>
        <v>0</v>
      </c>
      <c r="AD33" s="24">
        <f>IF(OR(A33="",AF33=""),"",LEFT(AF33,LEN(AF33)-2))</f>
        <v/>
      </c>
      <c r="AE33" s="35">
        <f>IF(OR(A33="",AC33=0),0,AC33*100-ROW()/100000)</f>
        <v>0</v>
      </c>
      <c r="AF33" s="35">
        <f>IF(A33="","",IF(AND(Config!$B$10&lt;&gt;"",E33&lt;&gt;"Sim",E33&lt;&gt;"N/A"),Config!$B$10&amp;"; ","")&amp;IF(AND(Config!$B$11&lt;&gt;"",F33&lt;&gt;"Sim",F33&lt;&gt;"N/A"),Config!$B$11&amp;"; ","")&amp;IF(AND(Config!$B$12&lt;&gt;"",G33&lt;&gt;"Sim",G33&lt;&gt;"N/A"),Config!$B$12&amp;"; ","")&amp;IF(AND(Config!$B$13&lt;&gt;"",H33&lt;&gt;"Sim",H33&lt;&gt;"N/A"),Config!$B$13&amp;"; ","")&amp;IF(AND(Config!$B$14&lt;&gt;"",I33&lt;&gt;"Sim",I33&lt;&gt;"N/A"),Config!$B$14&amp;"; ","")&amp;IF(AND(Config!$B$15&lt;&gt;"",J33&lt;&gt;"Sim",J33&lt;&gt;"N/A"),Config!$B$15&amp;"; ","")&amp;IF(AND(Config!$B$16&lt;&gt;"",K33&lt;&gt;"Sim",K33&lt;&gt;"N/A"),Config!$B$16&amp;"; ","")&amp;IF(AND(Config!$B$17&lt;&gt;"",L33&lt;&gt;"Sim",L33&lt;&gt;"N/A"),Config!$B$17&amp;"; ","")&amp;IF(AND(Config!$B$18&lt;&gt;"",M33&lt;&gt;"Sim",M33&lt;&gt;"N/A"),Config!$B$18&amp;"; ","")&amp;IF(AND(Config!$B$19&lt;&gt;"",N33&lt;&gt;"Sim",N33&lt;&gt;"N/A"),Config!$B$19&amp;"; ","")&amp;IF(AND($D33="Encerrado",Config!$D$10&lt;&gt;"",O33&lt;&gt;"Sim",O33&lt;&gt;"N/A"),Config!$D$10&amp;"; ","")&amp;IF(AND($D33="Encerrado",Config!$D$11&lt;&gt;"",P33&lt;&gt;"Sim",P33&lt;&gt;"N/A"),Config!$D$11&amp;"; ","")&amp;IF(AND($D33="Encerrado",Config!$D$12&lt;&gt;"",Q33&lt;&gt;"Sim",Q33&lt;&gt;"N/A"),Config!$D$12&amp;"; ","")&amp;IF(AND($D33="Encerrado",Config!$D$13&lt;&gt;"",R33&lt;&gt;"Sim",R33&lt;&gt;"N/A"),Config!$D$13&amp;"; ","")&amp;IF(AND($D33="Encerrado",Config!$D$14&lt;&gt;"",S33&lt;&gt;"Sim",S33&lt;&gt;"N/A"),Config!$D$14&amp;"; ","")&amp;IF(AND($D33="Encerrado",Config!$D$15&lt;&gt;"",T33&lt;&gt;"Sim",T33&lt;&gt;"N/A"),Config!$D$15&amp;"; ","")&amp;IF(AND($D33="Encerrado",Config!$D$16&lt;&gt;"",U33&lt;&gt;"Sim",U33&lt;&gt;"N/A"),Config!$D$16&amp;"; ","")&amp;IF(AND($D33="Encerrado",Config!$D$17&lt;&gt;"",V33&lt;&gt;"Sim",V33&lt;&gt;"N/A"),Config!$D$17&amp;"; ","")&amp;IF(AND($D33="Encerrado",Config!$D$18&lt;&gt;"",W33&lt;&gt;"Sim",W33&lt;&gt;"N/A"),Config!$D$18&amp;"; ","")&amp;IF(AND($D33="Encerrado",Config!$D$19&lt;&gt;"",X33&lt;&gt;"Sim",X33&lt;&gt;"N/A"),Config!$D$19&amp;"; ",""))</f>
        <v/>
      </c>
    </row>
    <row r="34">
      <c r="A34" s="29" t="inlineStr">
        <is>
          <t>9605863-76.2026.8.26.0026</t>
        </is>
      </c>
      <c r="B34" s="29" t="inlineStr">
        <is>
          <t>Marcos Vinícius Teles</t>
        </is>
      </c>
      <c r="C34" s="34" t="inlineStr">
        <is>
          <t>Rafael Lima</t>
        </is>
      </c>
      <c r="D34" s="34" t="inlineStr">
        <is>
          <t>Em andamento</t>
        </is>
      </c>
      <c r="E34" s="34" t="inlineStr">
        <is>
          <t>Sim</t>
        </is>
      </c>
      <c r="F34" s="34" t="inlineStr">
        <is>
          <t>Sim</t>
        </is>
      </c>
      <c r="G34" s="34" t="inlineStr">
        <is>
          <t>Sim</t>
        </is>
      </c>
      <c r="H34" s="34" t="inlineStr">
        <is>
          <t>Sim</t>
        </is>
      </c>
      <c r="I34" s="34" t="inlineStr">
        <is>
          <t>Sim</t>
        </is>
      </c>
      <c r="J34" s="34" t="inlineStr">
        <is>
          <t>Sim</t>
        </is>
      </c>
      <c r="K34" s="34" t="inlineStr">
        <is>
          <t>Sim</t>
        </is>
      </c>
      <c r="L34" s="34" t="inlineStr">
        <is>
          <t>Sim</t>
        </is>
      </c>
      <c r="M34" s="34" t="inlineStr">
        <is>
          <t>Sim</t>
        </is>
      </c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25">
        <f>IF(A34="","",IFERROR(COUNTIF(E34:N34,"Sim")/(Config!$B$21-COUNTIF(E34:N34,"N/A")),""))</f>
        <v>1</v>
      </c>
      <c r="Z34" s="25">
        <f>IF(OR(A34="",D34&lt;&gt;"Encerrado"),"",IFERROR(COUNTIF(O34:X34,"Sim")/(Config!$D$21-COUNTIF(O34:X34,"N/A")),""))</f>
        <v/>
      </c>
      <c r="AA34" s="23">
        <f>IF(A34="","",MAX(0,Config!$B$21-COUNTIF(E34:N34,"Sim")-COUNTIF(E34:N34,"N/A")))</f>
        <v>0</v>
      </c>
      <c r="AB34" s="23">
        <f>IF(OR(A34="",D34&lt;&gt;"Encerrado"),"",MAX(0,Config!$D$21-COUNTIF(O34:X34,"Sim")-COUNTIF(O34:X34,"N/A")))</f>
        <v/>
      </c>
      <c r="AC34" s="23">
        <f>IF(A34="","",AA34+IF(AB34="",0,AB34))</f>
        <v>0</v>
      </c>
      <c r="AD34" s="24">
        <f>IF(OR(A34="",AF34=""),"",LEFT(AF34,LEN(AF34)-2))</f>
        <v/>
      </c>
      <c r="AE34" s="35">
        <f>IF(OR(A34="",AC34=0),0,AC34*100-ROW()/100000)</f>
        <v>0</v>
      </c>
      <c r="AF34" s="35">
        <f>IF(A34="","",IF(AND(Config!$B$10&lt;&gt;"",E34&lt;&gt;"Sim",E34&lt;&gt;"N/A"),Config!$B$10&amp;"; ","")&amp;IF(AND(Config!$B$11&lt;&gt;"",F34&lt;&gt;"Sim",F34&lt;&gt;"N/A"),Config!$B$11&amp;"; ","")&amp;IF(AND(Config!$B$12&lt;&gt;"",G34&lt;&gt;"Sim",G34&lt;&gt;"N/A"),Config!$B$12&amp;"; ","")&amp;IF(AND(Config!$B$13&lt;&gt;"",H34&lt;&gt;"Sim",H34&lt;&gt;"N/A"),Config!$B$13&amp;"; ","")&amp;IF(AND(Config!$B$14&lt;&gt;"",I34&lt;&gt;"Sim",I34&lt;&gt;"N/A"),Config!$B$14&amp;"; ","")&amp;IF(AND(Config!$B$15&lt;&gt;"",J34&lt;&gt;"Sim",J34&lt;&gt;"N/A"),Config!$B$15&amp;"; ","")&amp;IF(AND(Config!$B$16&lt;&gt;"",K34&lt;&gt;"Sim",K34&lt;&gt;"N/A"),Config!$B$16&amp;"; ","")&amp;IF(AND(Config!$B$17&lt;&gt;"",L34&lt;&gt;"Sim",L34&lt;&gt;"N/A"),Config!$B$17&amp;"; ","")&amp;IF(AND(Config!$B$18&lt;&gt;"",M34&lt;&gt;"Sim",M34&lt;&gt;"N/A"),Config!$B$18&amp;"; ","")&amp;IF(AND(Config!$B$19&lt;&gt;"",N34&lt;&gt;"Sim",N34&lt;&gt;"N/A"),Config!$B$19&amp;"; ","")&amp;IF(AND($D34="Encerrado",Config!$D$10&lt;&gt;"",O34&lt;&gt;"Sim",O34&lt;&gt;"N/A"),Config!$D$10&amp;"; ","")&amp;IF(AND($D34="Encerrado",Config!$D$11&lt;&gt;"",P34&lt;&gt;"Sim",P34&lt;&gt;"N/A"),Config!$D$11&amp;"; ","")&amp;IF(AND($D34="Encerrado",Config!$D$12&lt;&gt;"",Q34&lt;&gt;"Sim",Q34&lt;&gt;"N/A"),Config!$D$12&amp;"; ","")&amp;IF(AND($D34="Encerrado",Config!$D$13&lt;&gt;"",R34&lt;&gt;"Sim",R34&lt;&gt;"N/A"),Config!$D$13&amp;"; ","")&amp;IF(AND($D34="Encerrado",Config!$D$14&lt;&gt;"",S34&lt;&gt;"Sim",S34&lt;&gt;"N/A"),Config!$D$14&amp;"; ","")&amp;IF(AND($D34="Encerrado",Config!$D$15&lt;&gt;"",T34&lt;&gt;"Sim",T34&lt;&gt;"N/A"),Config!$D$15&amp;"; ","")&amp;IF(AND($D34="Encerrado",Config!$D$16&lt;&gt;"",U34&lt;&gt;"Sim",U34&lt;&gt;"N/A"),Config!$D$16&amp;"; ","")&amp;IF(AND($D34="Encerrado",Config!$D$17&lt;&gt;"",V34&lt;&gt;"Sim",V34&lt;&gt;"N/A"),Config!$D$17&amp;"; ","")&amp;IF(AND($D34="Encerrado",Config!$D$18&lt;&gt;"",W34&lt;&gt;"Sim",W34&lt;&gt;"N/A"),Config!$D$18&amp;"; ","")&amp;IF(AND($D34="Encerrado",Config!$D$19&lt;&gt;"",X34&lt;&gt;"Sim",X34&lt;&gt;"N/A"),Config!$D$19&amp;"; ",""))</f>
        <v/>
      </c>
    </row>
    <row r="35">
      <c r="A35" s="29" t="inlineStr">
        <is>
          <t>4766902-26.2025.8.26.0051</t>
        </is>
      </c>
      <c r="B35" s="29" t="inlineStr">
        <is>
          <t>Padaria do Sol Ltda</t>
        </is>
      </c>
      <c r="C35" s="34" t="inlineStr">
        <is>
          <t>Marina Ferraz</t>
        </is>
      </c>
      <c r="D35" s="34" t="inlineStr">
        <is>
          <t>Encerrado</t>
        </is>
      </c>
      <c r="E35" s="34" t="inlineStr">
        <is>
          <t>Sim</t>
        </is>
      </c>
      <c r="F35" s="34" t="inlineStr">
        <is>
          <t>Sim</t>
        </is>
      </c>
      <c r="G35" s="34" t="inlineStr">
        <is>
          <t>Sim</t>
        </is>
      </c>
      <c r="H35" s="34" t="inlineStr">
        <is>
          <t>Sim</t>
        </is>
      </c>
      <c r="I35" s="34" t="inlineStr">
        <is>
          <t>Sim</t>
        </is>
      </c>
      <c r="J35" s="34" t="inlineStr">
        <is>
          <t>Sim</t>
        </is>
      </c>
      <c r="K35" s="34" t="inlineStr">
        <is>
          <t>Sim</t>
        </is>
      </c>
      <c r="L35" s="34" t="inlineStr">
        <is>
          <t>Sim</t>
        </is>
      </c>
      <c r="M35" s="34" t="inlineStr">
        <is>
          <t>Sim</t>
        </is>
      </c>
      <c r="N35" s="34" t="n"/>
      <c r="O35" s="34" t="inlineStr">
        <is>
          <t>Sim</t>
        </is>
      </c>
      <c r="P35" s="34" t="inlineStr">
        <is>
          <t>Sim</t>
        </is>
      </c>
      <c r="Q35" s="34" t="inlineStr">
        <is>
          <t>Sim</t>
        </is>
      </c>
      <c r="R35" s="34" t="inlineStr">
        <is>
          <t>Sim</t>
        </is>
      </c>
      <c r="S35" s="34" t="inlineStr">
        <is>
          <t>Sim</t>
        </is>
      </c>
      <c r="T35" s="34" t="inlineStr">
        <is>
          <t>Sim</t>
        </is>
      </c>
      <c r="U35" s="34" t="inlineStr">
        <is>
          <t>Sim</t>
        </is>
      </c>
      <c r="V35" s="34" t="inlineStr">
        <is>
          <t>Sim</t>
        </is>
      </c>
      <c r="W35" s="34" t="n"/>
      <c r="X35" s="34" t="n"/>
      <c r="Y35" s="25">
        <f>IF(A35="","",IFERROR(COUNTIF(E35:N35,"Sim")/(Config!$B$21-COUNTIF(E35:N35,"N/A")),""))</f>
        <v>1</v>
      </c>
      <c r="Z35" s="25">
        <f>IF(OR(A35="",D35&lt;&gt;"Encerrado"),"",IFERROR(COUNTIF(O35:X35,"Sim")/(Config!$D$21-COUNTIF(O35:X35,"N/A")),""))</f>
        <v>1</v>
      </c>
      <c r="AA35" s="23">
        <f>IF(A35="","",MAX(0,Config!$B$21-COUNTIF(E35:N35,"Sim")-COUNTIF(E35:N35,"N/A")))</f>
        <v>0</v>
      </c>
      <c r="AB35" s="23">
        <f>IF(OR(A35="",D35&lt;&gt;"Encerrado"),"",MAX(0,Config!$D$21-COUNTIF(O35:X35,"Sim")-COUNTIF(O35:X35,"N/A")))</f>
        <v>0</v>
      </c>
      <c r="AC35" s="23">
        <f>IF(A35="","",AA35+IF(AB35="",0,AB35))</f>
        <v>0</v>
      </c>
      <c r="AD35" s="24">
        <f>IF(OR(A35="",AF35=""),"",LEFT(AF35,LEN(AF35)-2))</f>
        <v/>
      </c>
      <c r="AE35" s="35">
        <f>IF(OR(A35="",AC35=0),0,AC35*100-ROW()/100000)</f>
        <v>0</v>
      </c>
      <c r="AF35" s="35">
        <f>IF(A35="","",IF(AND(Config!$B$10&lt;&gt;"",E35&lt;&gt;"Sim",E35&lt;&gt;"N/A"),Config!$B$10&amp;"; ","")&amp;IF(AND(Config!$B$11&lt;&gt;"",F35&lt;&gt;"Sim",F35&lt;&gt;"N/A"),Config!$B$11&amp;"; ","")&amp;IF(AND(Config!$B$12&lt;&gt;"",G35&lt;&gt;"Sim",G35&lt;&gt;"N/A"),Config!$B$12&amp;"; ","")&amp;IF(AND(Config!$B$13&lt;&gt;"",H35&lt;&gt;"Sim",H35&lt;&gt;"N/A"),Config!$B$13&amp;"; ","")&amp;IF(AND(Config!$B$14&lt;&gt;"",I35&lt;&gt;"Sim",I35&lt;&gt;"N/A"),Config!$B$14&amp;"; ","")&amp;IF(AND(Config!$B$15&lt;&gt;"",J35&lt;&gt;"Sim",J35&lt;&gt;"N/A"),Config!$B$15&amp;"; ","")&amp;IF(AND(Config!$B$16&lt;&gt;"",K35&lt;&gt;"Sim",K35&lt;&gt;"N/A"),Config!$B$16&amp;"; ","")&amp;IF(AND(Config!$B$17&lt;&gt;"",L35&lt;&gt;"Sim",L35&lt;&gt;"N/A"),Config!$B$17&amp;"; ","")&amp;IF(AND(Config!$B$18&lt;&gt;"",M35&lt;&gt;"Sim",M35&lt;&gt;"N/A"),Config!$B$18&amp;"; ","")&amp;IF(AND(Config!$B$19&lt;&gt;"",N35&lt;&gt;"Sim",N35&lt;&gt;"N/A"),Config!$B$19&amp;"; ","")&amp;IF(AND($D35="Encerrado",Config!$D$10&lt;&gt;"",O35&lt;&gt;"Sim",O35&lt;&gt;"N/A"),Config!$D$10&amp;"; ","")&amp;IF(AND($D35="Encerrado",Config!$D$11&lt;&gt;"",P35&lt;&gt;"Sim",P35&lt;&gt;"N/A"),Config!$D$11&amp;"; ","")&amp;IF(AND($D35="Encerrado",Config!$D$12&lt;&gt;"",Q35&lt;&gt;"Sim",Q35&lt;&gt;"N/A"),Config!$D$12&amp;"; ","")&amp;IF(AND($D35="Encerrado",Config!$D$13&lt;&gt;"",R35&lt;&gt;"Sim",R35&lt;&gt;"N/A"),Config!$D$13&amp;"; ","")&amp;IF(AND($D35="Encerrado",Config!$D$14&lt;&gt;"",S35&lt;&gt;"Sim",S35&lt;&gt;"N/A"),Config!$D$14&amp;"; ","")&amp;IF(AND($D35="Encerrado",Config!$D$15&lt;&gt;"",T35&lt;&gt;"Sim",T35&lt;&gt;"N/A"),Config!$D$15&amp;"; ","")&amp;IF(AND($D35="Encerrado",Config!$D$16&lt;&gt;"",U35&lt;&gt;"Sim",U35&lt;&gt;"N/A"),Config!$D$16&amp;"; ","")&amp;IF(AND($D35="Encerrado",Config!$D$17&lt;&gt;"",V35&lt;&gt;"Sim",V35&lt;&gt;"N/A"),Config!$D$17&amp;"; ","")&amp;IF(AND($D35="Encerrado",Config!$D$18&lt;&gt;"",W35&lt;&gt;"Sim",W35&lt;&gt;"N/A"),Config!$D$18&amp;"; ","")&amp;IF(AND($D35="Encerrado",Config!$D$19&lt;&gt;"",X35&lt;&gt;"Sim",X35&lt;&gt;"N/A"),Config!$D$19&amp;"; ",""))</f>
        <v/>
      </c>
    </row>
    <row r="36">
      <c r="A36" s="29" t="inlineStr">
        <is>
          <t>9778116-95.2025.8.26.0106</t>
        </is>
      </c>
      <c r="B36" s="29" t="inlineStr">
        <is>
          <t>Construtora Horizonte</t>
        </is>
      </c>
      <c r="C36" s="34" t="inlineStr">
        <is>
          <t>Marina Ferraz</t>
        </is>
      </c>
      <c r="D36" s="34" t="inlineStr">
        <is>
          <t>Encerrado</t>
        </is>
      </c>
      <c r="E36" s="34" t="inlineStr">
        <is>
          <t>Sim</t>
        </is>
      </c>
      <c r="F36" s="34" t="inlineStr">
        <is>
          <t>Sim</t>
        </is>
      </c>
      <c r="G36" s="34" t="inlineStr">
        <is>
          <t>Sim</t>
        </is>
      </c>
      <c r="H36" s="34" t="inlineStr">
        <is>
          <t>Sim</t>
        </is>
      </c>
      <c r="I36" s="34" t="inlineStr">
        <is>
          <t>Sim</t>
        </is>
      </c>
      <c r="J36" s="34" t="inlineStr">
        <is>
          <t>Sim</t>
        </is>
      </c>
      <c r="K36" s="34" t="inlineStr">
        <is>
          <t>Sim</t>
        </is>
      </c>
      <c r="L36" s="34" t="inlineStr">
        <is>
          <t>Sim</t>
        </is>
      </c>
      <c r="M36" s="34" t="inlineStr">
        <is>
          <t>Sim</t>
        </is>
      </c>
      <c r="N36" s="34" t="n"/>
      <c r="O36" s="34" t="inlineStr">
        <is>
          <t>Sim</t>
        </is>
      </c>
      <c r="P36" s="34" t="inlineStr">
        <is>
          <t>Sim</t>
        </is>
      </c>
      <c r="Q36" s="34" t="inlineStr">
        <is>
          <t>Sim</t>
        </is>
      </c>
      <c r="R36" s="34" t="inlineStr">
        <is>
          <t>Não</t>
        </is>
      </c>
      <c r="S36" s="34" t="inlineStr">
        <is>
          <t>Sim</t>
        </is>
      </c>
      <c r="T36" s="34" t="inlineStr">
        <is>
          <t>Sim</t>
        </is>
      </c>
      <c r="U36" s="34" t="inlineStr">
        <is>
          <t>Sim</t>
        </is>
      </c>
      <c r="V36" s="34" t="inlineStr">
        <is>
          <t>Sim</t>
        </is>
      </c>
      <c r="W36" s="34" t="n"/>
      <c r="X36" s="34" t="n"/>
      <c r="Y36" s="25">
        <f>IF(A36="","",IFERROR(COUNTIF(E36:N36,"Sim")/(Config!$B$21-COUNTIF(E36:N36,"N/A")),""))</f>
        <v>1</v>
      </c>
      <c r="Z36" s="25">
        <f>IF(OR(A36="",D36&lt;&gt;"Encerrado"),"",IFERROR(COUNTIF(O36:X36,"Sim")/(Config!$D$21-COUNTIF(O36:X36,"N/A")),""))</f>
        <v>0.875</v>
      </c>
      <c r="AA36" s="23">
        <f>IF(A36="","",MAX(0,Config!$B$21-COUNTIF(E36:N36,"Sim")-COUNTIF(E36:N36,"N/A")))</f>
        <v>0</v>
      </c>
      <c r="AB36" s="23">
        <f>IF(OR(A36="",D36&lt;&gt;"Encerrado"),"",MAX(0,Config!$D$21-COUNTIF(O36:X36,"Sim")-COUNTIF(O36:X36,"N/A")))</f>
        <v>1</v>
      </c>
      <c r="AC36" s="23">
        <f>IF(A36="","",AA36+IF(AB36="",0,AB36))</f>
        <v>1</v>
      </c>
      <c r="AD36" s="24" t="str">
        <f>IF(OR(A36="",AF36=""),"",LEFT(AF36,LEN(AF36)-2))</f>
        <v>Pasta arquivada</v>
      </c>
      <c r="AE36" s="35">
        <f>IF(OR(A36="",AC36=0),0,AC36*100-ROW()/100000)</f>
        <v>99.99964</v>
      </c>
      <c r="AF36" s="35" t="str">
        <f>IF(A36="","",IF(AND(Config!$B$10&lt;&gt;"",E36&lt;&gt;"Sim",E36&lt;&gt;"N/A"),Config!$B$10&amp;"; ","")&amp;IF(AND(Config!$B$11&lt;&gt;"",F36&lt;&gt;"Sim",F36&lt;&gt;"N/A"),Config!$B$11&amp;"; ","")&amp;IF(AND(Config!$B$12&lt;&gt;"",G36&lt;&gt;"Sim",G36&lt;&gt;"N/A"),Config!$B$12&amp;"; ","")&amp;IF(AND(Config!$B$13&lt;&gt;"",H36&lt;&gt;"Sim",H36&lt;&gt;"N/A"),Config!$B$13&amp;"; ","")&amp;IF(AND(Config!$B$14&lt;&gt;"",I36&lt;&gt;"Sim",I36&lt;&gt;"N/A"),Config!$B$14&amp;"; ","")&amp;IF(AND(Config!$B$15&lt;&gt;"",J36&lt;&gt;"Sim",J36&lt;&gt;"N/A"),Config!$B$15&amp;"; ","")&amp;IF(AND(Config!$B$16&lt;&gt;"",K36&lt;&gt;"Sim",K36&lt;&gt;"N/A"),Config!$B$16&amp;"; ","")&amp;IF(AND(Config!$B$17&lt;&gt;"",L36&lt;&gt;"Sim",L36&lt;&gt;"N/A"),Config!$B$17&amp;"; ","")&amp;IF(AND(Config!$B$18&lt;&gt;"",M36&lt;&gt;"Sim",M36&lt;&gt;"N/A"),Config!$B$18&amp;"; ","")&amp;IF(AND(Config!$B$19&lt;&gt;"",N36&lt;&gt;"Sim",N36&lt;&gt;"N/A"),Config!$B$19&amp;"; ","")&amp;IF(AND($D36="Encerrado",Config!$D$10&lt;&gt;"",O36&lt;&gt;"Sim",O36&lt;&gt;"N/A"),Config!$D$10&amp;"; ","")&amp;IF(AND($D36="Encerrado",Config!$D$11&lt;&gt;"",P36&lt;&gt;"Sim",P36&lt;&gt;"N/A"),Config!$D$11&amp;"; ","")&amp;IF(AND($D36="Encerrado",Config!$D$12&lt;&gt;"",Q36&lt;&gt;"Sim",Q36&lt;&gt;"N/A"),Config!$D$12&amp;"; ","")&amp;IF(AND($D36="Encerrado",Config!$D$13&lt;&gt;"",R36&lt;&gt;"Sim",R36&lt;&gt;"N/A"),Config!$D$13&amp;"; ","")&amp;IF(AND($D36="Encerrado",Config!$D$14&lt;&gt;"",S36&lt;&gt;"Sim",S36&lt;&gt;"N/A"),Config!$D$14&amp;"; ","")&amp;IF(AND($D36="Encerrado",Config!$D$15&lt;&gt;"",T36&lt;&gt;"Sim",T36&lt;&gt;"N/A"),Config!$D$15&amp;"; ","")&amp;IF(AND($D36="Encerrado",Config!$D$16&lt;&gt;"",U36&lt;&gt;"Sim",U36&lt;&gt;"N/A"),Config!$D$16&amp;"; ","")&amp;IF(AND($D36="Encerrado",Config!$D$17&lt;&gt;"",V36&lt;&gt;"Sim",V36&lt;&gt;"N/A"),Config!$D$17&amp;"; ","")&amp;IF(AND($D36="Encerrado",Config!$D$18&lt;&gt;"",W36&lt;&gt;"Sim",W36&lt;&gt;"N/A"),Config!$D$18&amp;"; ","")&amp;IF(AND($D36="Encerrado",Config!$D$19&lt;&gt;"",X36&lt;&gt;"Sim",X36&lt;&gt;"N/A"),Config!$D$19&amp;"; ",""))</f>
        <v>Pasta arquivada; </v>
      </c>
    </row>
    <row r="37">
      <c r="A37" s="29" t="inlineStr">
        <is>
          <t>8204296-70.2025.8.26.0146</t>
        </is>
      </c>
      <c r="B37" s="29" t="inlineStr">
        <is>
          <t>Marcos Vinícius Teles</t>
        </is>
      </c>
      <c r="C37" s="34" t="inlineStr">
        <is>
          <t>Rafael Lima</t>
        </is>
      </c>
      <c r="D37" s="34" t="inlineStr">
        <is>
          <t>Encerrado</t>
        </is>
      </c>
      <c r="E37" s="34" t="inlineStr">
        <is>
          <t>Sim</t>
        </is>
      </c>
      <c r="F37" s="34" t="inlineStr">
        <is>
          <t>Sim</t>
        </is>
      </c>
      <c r="G37" s="34" t="inlineStr">
        <is>
          <t>Sim</t>
        </is>
      </c>
      <c r="H37" s="34" t="inlineStr">
        <is>
          <t>Sim</t>
        </is>
      </c>
      <c r="I37" s="34" t="inlineStr">
        <is>
          <t>Sim</t>
        </is>
      </c>
      <c r="J37" s="34" t="inlineStr">
        <is>
          <t>Sim</t>
        </is>
      </c>
      <c r="K37" s="34" t="inlineStr">
        <is>
          <t>Sim</t>
        </is>
      </c>
      <c r="L37" s="34" t="inlineStr">
        <is>
          <t>Sim</t>
        </is>
      </c>
      <c r="M37" s="34" t="inlineStr">
        <is>
          <t>Sim</t>
        </is>
      </c>
      <c r="N37" s="34" t="n"/>
      <c r="O37" s="34" t="inlineStr">
        <is>
          <t>Sim</t>
        </is>
      </c>
      <c r="P37" s="34" t="inlineStr">
        <is>
          <t>Sim</t>
        </is>
      </c>
      <c r="Q37" s="34" t="inlineStr">
        <is>
          <t>Sim</t>
        </is>
      </c>
      <c r="R37" s="34" t="inlineStr">
        <is>
          <t>Sim</t>
        </is>
      </c>
      <c r="S37" s="34" t="inlineStr">
        <is>
          <t>Sim</t>
        </is>
      </c>
      <c r="T37" s="34" t="inlineStr">
        <is>
          <t>Sim</t>
        </is>
      </c>
      <c r="U37" s="34" t="inlineStr">
        <is>
          <t>Sim</t>
        </is>
      </c>
      <c r="V37" s="34" t="inlineStr">
        <is>
          <t>Sim</t>
        </is>
      </c>
      <c r="W37" s="34" t="n"/>
      <c r="X37" s="34" t="n"/>
      <c r="Y37" s="25">
        <f>IF(A37="","",IFERROR(COUNTIF(E37:N37,"Sim")/(Config!$B$21-COUNTIF(E37:N37,"N/A")),""))</f>
        <v>1</v>
      </c>
      <c r="Z37" s="25">
        <f>IF(OR(A37="",D37&lt;&gt;"Encerrado"),"",IFERROR(COUNTIF(O37:X37,"Sim")/(Config!$D$21-COUNTIF(O37:X37,"N/A")),""))</f>
        <v>1</v>
      </c>
      <c r="AA37" s="23">
        <f>IF(A37="","",MAX(0,Config!$B$21-COUNTIF(E37:N37,"Sim")-COUNTIF(E37:N37,"N/A")))</f>
        <v>0</v>
      </c>
      <c r="AB37" s="23">
        <f>IF(OR(A37="",D37&lt;&gt;"Encerrado"),"",MAX(0,Config!$D$21-COUNTIF(O37:X37,"Sim")-COUNTIF(O37:X37,"N/A")))</f>
        <v>0</v>
      </c>
      <c r="AC37" s="23">
        <f>IF(A37="","",AA37+IF(AB37="",0,AB37))</f>
        <v>0</v>
      </c>
      <c r="AD37" s="24">
        <f>IF(OR(A37="",AF37=""),"",LEFT(AF37,LEN(AF37)-2))</f>
        <v/>
      </c>
      <c r="AE37" s="35">
        <f>IF(OR(A37="",AC37=0),0,AC37*100-ROW()/100000)</f>
        <v>0</v>
      </c>
      <c r="AF37" s="35">
        <f>IF(A37="","",IF(AND(Config!$B$10&lt;&gt;"",E37&lt;&gt;"Sim",E37&lt;&gt;"N/A"),Config!$B$10&amp;"; ","")&amp;IF(AND(Config!$B$11&lt;&gt;"",F37&lt;&gt;"Sim",F37&lt;&gt;"N/A"),Config!$B$11&amp;"; ","")&amp;IF(AND(Config!$B$12&lt;&gt;"",G37&lt;&gt;"Sim",G37&lt;&gt;"N/A"),Config!$B$12&amp;"; ","")&amp;IF(AND(Config!$B$13&lt;&gt;"",H37&lt;&gt;"Sim",H37&lt;&gt;"N/A"),Config!$B$13&amp;"; ","")&amp;IF(AND(Config!$B$14&lt;&gt;"",I37&lt;&gt;"Sim",I37&lt;&gt;"N/A"),Config!$B$14&amp;"; ","")&amp;IF(AND(Config!$B$15&lt;&gt;"",J37&lt;&gt;"Sim",J37&lt;&gt;"N/A"),Config!$B$15&amp;"; ","")&amp;IF(AND(Config!$B$16&lt;&gt;"",K37&lt;&gt;"Sim",K37&lt;&gt;"N/A"),Config!$B$16&amp;"; ","")&amp;IF(AND(Config!$B$17&lt;&gt;"",L37&lt;&gt;"Sim",L37&lt;&gt;"N/A"),Config!$B$17&amp;"; ","")&amp;IF(AND(Config!$B$18&lt;&gt;"",M37&lt;&gt;"Sim",M37&lt;&gt;"N/A"),Config!$B$18&amp;"; ","")&amp;IF(AND(Config!$B$19&lt;&gt;"",N37&lt;&gt;"Sim",N37&lt;&gt;"N/A"),Config!$B$19&amp;"; ","")&amp;IF(AND($D37="Encerrado",Config!$D$10&lt;&gt;"",O37&lt;&gt;"Sim",O37&lt;&gt;"N/A"),Config!$D$10&amp;"; ","")&amp;IF(AND($D37="Encerrado",Config!$D$11&lt;&gt;"",P37&lt;&gt;"Sim",P37&lt;&gt;"N/A"),Config!$D$11&amp;"; ","")&amp;IF(AND($D37="Encerrado",Config!$D$12&lt;&gt;"",Q37&lt;&gt;"Sim",Q37&lt;&gt;"N/A"),Config!$D$12&amp;"; ","")&amp;IF(AND($D37="Encerrado",Config!$D$13&lt;&gt;"",R37&lt;&gt;"Sim",R37&lt;&gt;"N/A"),Config!$D$13&amp;"; ","")&amp;IF(AND($D37="Encerrado",Config!$D$14&lt;&gt;"",S37&lt;&gt;"Sim",S37&lt;&gt;"N/A"),Config!$D$14&amp;"; ","")&amp;IF(AND($D37="Encerrado",Config!$D$15&lt;&gt;"",T37&lt;&gt;"Sim",T37&lt;&gt;"N/A"),Config!$D$15&amp;"; ","")&amp;IF(AND($D37="Encerrado",Config!$D$16&lt;&gt;"",U37&lt;&gt;"Sim",U37&lt;&gt;"N/A"),Config!$D$16&amp;"; ","")&amp;IF(AND($D37="Encerrado",Config!$D$17&lt;&gt;"",V37&lt;&gt;"Sim",V37&lt;&gt;"N/A"),Config!$D$17&amp;"; ","")&amp;IF(AND($D37="Encerrado",Config!$D$18&lt;&gt;"",W37&lt;&gt;"Sim",W37&lt;&gt;"N/A"),Config!$D$18&amp;"; ","")&amp;IF(AND($D37="Encerrado",Config!$D$19&lt;&gt;"",X37&lt;&gt;"Sim",X37&lt;&gt;"N/A"),Config!$D$19&amp;"; ",""))</f>
        <v/>
      </c>
    </row>
    <row r="38">
      <c r="A38" s="29" t="inlineStr">
        <is>
          <t>9088515-39.2025.8.26.0125</t>
        </is>
      </c>
      <c r="B38" s="29" t="inlineStr">
        <is>
          <t>Loja Verde Comércio</t>
        </is>
      </c>
      <c r="C38" s="34" t="inlineStr">
        <is>
          <t>Marina Ferraz</t>
        </is>
      </c>
      <c r="D38" s="34" t="inlineStr">
        <is>
          <t>Encerrado</t>
        </is>
      </c>
      <c r="E38" s="34" t="inlineStr">
        <is>
          <t>Sim</t>
        </is>
      </c>
      <c r="F38" s="34" t="inlineStr">
        <is>
          <t>Sim</t>
        </is>
      </c>
      <c r="G38" s="34" t="inlineStr">
        <is>
          <t>Sim</t>
        </is>
      </c>
      <c r="H38" s="34" t="inlineStr">
        <is>
          <t>Sim</t>
        </is>
      </c>
      <c r="I38" s="34" t="inlineStr">
        <is>
          <t>Sim</t>
        </is>
      </c>
      <c r="J38" s="34" t="inlineStr">
        <is>
          <t>Sim</t>
        </is>
      </c>
      <c r="K38" s="34" t="inlineStr">
        <is>
          <t>Sim</t>
        </is>
      </c>
      <c r="L38" s="34" t="inlineStr">
        <is>
          <t>Sim</t>
        </is>
      </c>
      <c r="M38" s="34" t="inlineStr">
        <is>
          <t>Sim</t>
        </is>
      </c>
      <c r="N38" s="34" t="n"/>
      <c r="O38" s="34" t="inlineStr">
        <is>
          <t>Sim</t>
        </is>
      </c>
      <c r="P38" s="34" t="inlineStr">
        <is>
          <t>Sim</t>
        </is>
      </c>
      <c r="Q38" s="34" t="inlineStr">
        <is>
          <t>Sim</t>
        </is>
      </c>
      <c r="R38" s="34" t="inlineStr">
        <is>
          <t>Sim</t>
        </is>
      </c>
      <c r="S38" s="34" t="inlineStr">
        <is>
          <t>Sim</t>
        </is>
      </c>
      <c r="T38" s="34" t="inlineStr">
        <is>
          <t>Sim</t>
        </is>
      </c>
      <c r="U38" s="34" t="inlineStr">
        <is>
          <t>Sim</t>
        </is>
      </c>
      <c r="V38" s="34" t="inlineStr">
        <is>
          <t>Sim</t>
        </is>
      </c>
      <c r="W38" s="34" t="n"/>
      <c r="X38" s="34" t="n"/>
      <c r="Y38" s="25">
        <f>IF(A38="","",IFERROR(COUNTIF(E38:N38,"Sim")/(Config!$B$21-COUNTIF(E38:N38,"N/A")),""))</f>
        <v>1</v>
      </c>
      <c r="Z38" s="25">
        <f>IF(OR(A38="",D38&lt;&gt;"Encerrado"),"",IFERROR(COUNTIF(O38:X38,"Sim")/(Config!$D$21-COUNTIF(O38:X38,"N/A")),""))</f>
        <v>1</v>
      </c>
      <c r="AA38" s="23">
        <f>IF(A38="","",MAX(0,Config!$B$21-COUNTIF(E38:N38,"Sim")-COUNTIF(E38:N38,"N/A")))</f>
        <v>0</v>
      </c>
      <c r="AB38" s="23">
        <f>IF(OR(A38="",D38&lt;&gt;"Encerrado"),"",MAX(0,Config!$D$21-COUNTIF(O38:X38,"Sim")-COUNTIF(O38:X38,"N/A")))</f>
        <v>0</v>
      </c>
      <c r="AC38" s="23">
        <f>IF(A38="","",AA38+IF(AB38="",0,AB38))</f>
        <v>0</v>
      </c>
      <c r="AD38" s="24">
        <f>IF(OR(A38="",AF38=""),"",LEFT(AF38,LEN(AF38)-2))</f>
        <v/>
      </c>
      <c r="AE38" s="35">
        <f>IF(OR(A38="",AC38=0),0,AC38*100-ROW()/100000)</f>
        <v>0</v>
      </c>
      <c r="AF38" s="35">
        <f>IF(A38="","",IF(AND(Config!$B$10&lt;&gt;"",E38&lt;&gt;"Sim",E38&lt;&gt;"N/A"),Config!$B$10&amp;"; ","")&amp;IF(AND(Config!$B$11&lt;&gt;"",F38&lt;&gt;"Sim",F38&lt;&gt;"N/A"),Config!$B$11&amp;"; ","")&amp;IF(AND(Config!$B$12&lt;&gt;"",G38&lt;&gt;"Sim",G38&lt;&gt;"N/A"),Config!$B$12&amp;"; ","")&amp;IF(AND(Config!$B$13&lt;&gt;"",H38&lt;&gt;"Sim",H38&lt;&gt;"N/A"),Config!$B$13&amp;"; ","")&amp;IF(AND(Config!$B$14&lt;&gt;"",I38&lt;&gt;"Sim",I38&lt;&gt;"N/A"),Config!$B$14&amp;"; ","")&amp;IF(AND(Config!$B$15&lt;&gt;"",J38&lt;&gt;"Sim",J38&lt;&gt;"N/A"),Config!$B$15&amp;"; ","")&amp;IF(AND(Config!$B$16&lt;&gt;"",K38&lt;&gt;"Sim",K38&lt;&gt;"N/A"),Config!$B$16&amp;"; ","")&amp;IF(AND(Config!$B$17&lt;&gt;"",L38&lt;&gt;"Sim",L38&lt;&gt;"N/A"),Config!$B$17&amp;"; ","")&amp;IF(AND(Config!$B$18&lt;&gt;"",M38&lt;&gt;"Sim",M38&lt;&gt;"N/A"),Config!$B$18&amp;"; ","")&amp;IF(AND(Config!$B$19&lt;&gt;"",N38&lt;&gt;"Sim",N38&lt;&gt;"N/A"),Config!$B$19&amp;"; ","")&amp;IF(AND($D38="Encerrado",Config!$D$10&lt;&gt;"",O38&lt;&gt;"Sim",O38&lt;&gt;"N/A"),Config!$D$10&amp;"; ","")&amp;IF(AND($D38="Encerrado",Config!$D$11&lt;&gt;"",P38&lt;&gt;"Sim",P38&lt;&gt;"N/A"),Config!$D$11&amp;"; ","")&amp;IF(AND($D38="Encerrado",Config!$D$12&lt;&gt;"",Q38&lt;&gt;"Sim",Q38&lt;&gt;"N/A"),Config!$D$12&amp;"; ","")&amp;IF(AND($D38="Encerrado",Config!$D$13&lt;&gt;"",R38&lt;&gt;"Sim",R38&lt;&gt;"N/A"),Config!$D$13&amp;"; ","")&amp;IF(AND($D38="Encerrado",Config!$D$14&lt;&gt;"",S38&lt;&gt;"Sim",S38&lt;&gt;"N/A"),Config!$D$14&amp;"; ","")&amp;IF(AND($D38="Encerrado",Config!$D$15&lt;&gt;"",T38&lt;&gt;"Sim",T38&lt;&gt;"N/A"),Config!$D$15&amp;"; ","")&amp;IF(AND($D38="Encerrado",Config!$D$16&lt;&gt;"",U38&lt;&gt;"Sim",U38&lt;&gt;"N/A"),Config!$D$16&amp;"; ","")&amp;IF(AND($D38="Encerrado",Config!$D$17&lt;&gt;"",V38&lt;&gt;"Sim",V38&lt;&gt;"N/A"),Config!$D$17&amp;"; ","")&amp;IF(AND($D38="Encerrado",Config!$D$18&lt;&gt;"",W38&lt;&gt;"Sim",W38&lt;&gt;"N/A"),Config!$D$18&amp;"; ","")&amp;IF(AND($D38="Encerrado",Config!$D$19&lt;&gt;"",X38&lt;&gt;"Sim",X38&lt;&gt;"N/A"),Config!$D$19&amp;"; ",""))</f>
        <v/>
      </c>
    </row>
    <row r="39">
      <c r="A39" s="29" t="inlineStr">
        <is>
          <t>8663770-96.2025.8.26.0481</t>
        </is>
      </c>
      <c r="B39" s="29" t="inlineStr">
        <is>
          <t>Oficina Mecânica Central</t>
        </is>
      </c>
      <c r="C39" s="34" t="inlineStr">
        <is>
          <t>Rafael Lima</t>
        </is>
      </c>
      <c r="D39" s="34" t="inlineStr">
        <is>
          <t>Encerrado</t>
        </is>
      </c>
      <c r="E39" s="34" t="inlineStr">
        <is>
          <t>Sim</t>
        </is>
      </c>
      <c r="F39" s="34" t="inlineStr">
        <is>
          <t>Sim</t>
        </is>
      </c>
      <c r="G39" s="34" t="inlineStr">
        <is>
          <t>Sim</t>
        </is>
      </c>
      <c r="H39" s="34" t="inlineStr">
        <is>
          <t>Sim</t>
        </is>
      </c>
      <c r="I39" s="34" t="inlineStr">
        <is>
          <t>Sim</t>
        </is>
      </c>
      <c r="J39" s="34" t="inlineStr">
        <is>
          <t>Sim</t>
        </is>
      </c>
      <c r="K39" s="34" t="inlineStr">
        <is>
          <t>Sim</t>
        </is>
      </c>
      <c r="L39" s="34" t="inlineStr">
        <is>
          <t>Sim</t>
        </is>
      </c>
      <c r="M39" s="34" t="inlineStr">
        <is>
          <t>Sim</t>
        </is>
      </c>
      <c r="N39" s="34" t="n"/>
      <c r="O39" s="34" t="inlineStr">
        <is>
          <t>Sim</t>
        </is>
      </c>
      <c r="P39" s="34" t="inlineStr">
        <is>
          <t>Sim</t>
        </is>
      </c>
      <c r="Q39" s="34" t="n"/>
      <c r="R39" s="34" t="inlineStr">
        <is>
          <t>Sim</t>
        </is>
      </c>
      <c r="S39" s="34" t="inlineStr">
        <is>
          <t>Sim</t>
        </is>
      </c>
      <c r="T39" s="34" t="inlineStr">
        <is>
          <t>Não</t>
        </is>
      </c>
      <c r="U39" s="34" t="inlineStr">
        <is>
          <t>Sim</t>
        </is>
      </c>
      <c r="V39" s="34" t="inlineStr">
        <is>
          <t>Sim</t>
        </is>
      </c>
      <c r="W39" s="34" t="n"/>
      <c r="X39" s="34" t="n"/>
      <c r="Y39" s="25">
        <f>IF(A39="","",IFERROR(COUNTIF(E39:N39,"Sim")/(Config!$B$21-COUNTIF(E39:N39,"N/A")),""))</f>
        <v>1</v>
      </c>
      <c r="Z39" s="25">
        <f>IF(OR(A39="",D39&lt;&gt;"Encerrado"),"",IFERROR(COUNTIF(O39:X39,"Sim")/(Config!$D$21-COUNTIF(O39:X39,"N/A")),""))</f>
        <v>0.75</v>
      </c>
      <c r="AA39" s="23">
        <f>IF(A39="","",MAX(0,Config!$B$21-COUNTIF(E39:N39,"Sim")-COUNTIF(E39:N39,"N/A")))</f>
        <v>0</v>
      </c>
      <c r="AB39" s="23">
        <f>IF(OR(A39="",D39&lt;&gt;"Encerrado"),"",MAX(0,Config!$D$21-COUNTIF(O39:X39,"Sim")-COUNTIF(O39:X39,"N/A")))</f>
        <v>2</v>
      </c>
      <c r="AC39" s="23">
        <f>IF(A39="","",AA39+IF(AB39="",0,AB39))</f>
        <v>2</v>
      </c>
      <c r="AD39" s="24" t="str">
        <f>IF(OR(A39="",AF39=""),"",LEFT(AF39,LEN(AF39)-2))</f>
        <v>Documentos devolvidos ao cliente; Avaliação do cliente pedida</v>
      </c>
      <c r="AE39" s="35">
        <f>IF(OR(A39="",AC39=0),0,AC39*100-ROW()/100000)</f>
        <v>199.99961</v>
      </c>
      <c r="AF39" s="35" t="str">
        <f>IF(A39="","",IF(AND(Config!$B$10&lt;&gt;"",E39&lt;&gt;"Sim",E39&lt;&gt;"N/A"),Config!$B$10&amp;"; ","")&amp;IF(AND(Config!$B$11&lt;&gt;"",F39&lt;&gt;"Sim",F39&lt;&gt;"N/A"),Config!$B$11&amp;"; ","")&amp;IF(AND(Config!$B$12&lt;&gt;"",G39&lt;&gt;"Sim",G39&lt;&gt;"N/A"),Config!$B$12&amp;"; ","")&amp;IF(AND(Config!$B$13&lt;&gt;"",H39&lt;&gt;"Sim",H39&lt;&gt;"N/A"),Config!$B$13&amp;"; ","")&amp;IF(AND(Config!$B$14&lt;&gt;"",I39&lt;&gt;"Sim",I39&lt;&gt;"N/A"),Config!$B$14&amp;"; ","")&amp;IF(AND(Config!$B$15&lt;&gt;"",J39&lt;&gt;"Sim",J39&lt;&gt;"N/A"),Config!$B$15&amp;"; ","")&amp;IF(AND(Config!$B$16&lt;&gt;"",K39&lt;&gt;"Sim",K39&lt;&gt;"N/A"),Config!$B$16&amp;"; ","")&amp;IF(AND(Config!$B$17&lt;&gt;"",L39&lt;&gt;"Sim",L39&lt;&gt;"N/A"),Config!$B$17&amp;"; ","")&amp;IF(AND(Config!$B$18&lt;&gt;"",M39&lt;&gt;"Sim",M39&lt;&gt;"N/A"),Config!$B$18&amp;"; ","")&amp;IF(AND(Config!$B$19&lt;&gt;"",N39&lt;&gt;"Sim",N39&lt;&gt;"N/A"),Config!$B$19&amp;"; ","")&amp;IF(AND($D39="Encerrado",Config!$D$10&lt;&gt;"",O39&lt;&gt;"Sim",O39&lt;&gt;"N/A"),Config!$D$10&amp;"; ","")&amp;IF(AND($D39="Encerrado",Config!$D$11&lt;&gt;"",P39&lt;&gt;"Sim",P39&lt;&gt;"N/A"),Config!$D$11&amp;"; ","")&amp;IF(AND($D39="Encerrado",Config!$D$12&lt;&gt;"",Q39&lt;&gt;"Sim",Q39&lt;&gt;"N/A"),Config!$D$12&amp;"; ","")&amp;IF(AND($D39="Encerrado",Config!$D$13&lt;&gt;"",R39&lt;&gt;"Sim",R39&lt;&gt;"N/A"),Config!$D$13&amp;"; ","")&amp;IF(AND($D39="Encerrado",Config!$D$14&lt;&gt;"",S39&lt;&gt;"Sim",S39&lt;&gt;"N/A"),Config!$D$14&amp;"; ","")&amp;IF(AND($D39="Encerrado",Config!$D$15&lt;&gt;"",T39&lt;&gt;"Sim",T39&lt;&gt;"N/A"),Config!$D$15&amp;"; ","")&amp;IF(AND($D39="Encerrado",Config!$D$16&lt;&gt;"",U39&lt;&gt;"Sim",U39&lt;&gt;"N/A"),Config!$D$16&amp;"; ","")&amp;IF(AND($D39="Encerrado",Config!$D$17&lt;&gt;"",V39&lt;&gt;"Sim",V39&lt;&gt;"N/A"),Config!$D$17&amp;"; ","")&amp;IF(AND($D39="Encerrado",Config!$D$18&lt;&gt;"",W39&lt;&gt;"Sim",W39&lt;&gt;"N/A"),Config!$D$18&amp;"; ","")&amp;IF(AND($D39="Encerrado",Config!$D$19&lt;&gt;"",X39&lt;&gt;"Sim",X39&lt;&gt;"N/A"),Config!$D$19&amp;"; ",""))</f>
        <v>Documentos devolvidos ao cliente; Avaliação do cliente pedida; </v>
      </c>
    </row>
    <row r="40">
      <c r="A40" s="29" t="inlineStr">
        <is>
          <t>5211189-81.2025.8.26.0412</t>
        </is>
      </c>
      <c r="B40" s="29" t="inlineStr">
        <is>
          <t>Fernanda Castro</t>
        </is>
      </c>
      <c r="C40" s="34" t="inlineStr">
        <is>
          <t>Marina Ferraz</t>
        </is>
      </c>
      <c r="D40" s="34" t="inlineStr">
        <is>
          <t>Encerrado</t>
        </is>
      </c>
      <c r="E40" s="34" t="inlineStr">
        <is>
          <t>Sim</t>
        </is>
      </c>
      <c r="F40" s="34" t="inlineStr">
        <is>
          <t>Sim</t>
        </is>
      </c>
      <c r="G40" s="34" t="inlineStr">
        <is>
          <t>Sim</t>
        </is>
      </c>
      <c r="H40" s="34" t="inlineStr">
        <is>
          <t>Sim</t>
        </is>
      </c>
      <c r="I40" s="34" t="inlineStr">
        <is>
          <t>Sim</t>
        </is>
      </c>
      <c r="J40" s="34" t="inlineStr">
        <is>
          <t>Sim</t>
        </is>
      </c>
      <c r="K40" s="34" t="inlineStr">
        <is>
          <t>Sim</t>
        </is>
      </c>
      <c r="L40" s="34" t="inlineStr">
        <is>
          <t>Sim</t>
        </is>
      </c>
      <c r="M40" s="34" t="inlineStr">
        <is>
          <t>Sim</t>
        </is>
      </c>
      <c r="N40" s="34" t="n"/>
      <c r="O40" s="34" t="inlineStr">
        <is>
          <t>Sim</t>
        </is>
      </c>
      <c r="P40" s="34" t="inlineStr">
        <is>
          <t>Sim</t>
        </is>
      </c>
      <c r="Q40" s="34" t="inlineStr">
        <is>
          <t>Sim</t>
        </is>
      </c>
      <c r="R40" s="34" t="inlineStr">
        <is>
          <t>Sim</t>
        </is>
      </c>
      <c r="S40" s="34" t="inlineStr">
        <is>
          <t>Sim</t>
        </is>
      </c>
      <c r="T40" s="34" t="inlineStr">
        <is>
          <t>Não</t>
        </is>
      </c>
      <c r="U40" s="34" t="inlineStr">
        <is>
          <t>Sim</t>
        </is>
      </c>
      <c r="V40" s="34" t="inlineStr">
        <is>
          <t>Sim</t>
        </is>
      </c>
      <c r="W40" s="34" t="n"/>
      <c r="X40" s="34" t="n"/>
      <c r="Y40" s="25">
        <f>IF(A40="","",IFERROR(COUNTIF(E40:N40,"Sim")/(Config!$B$21-COUNTIF(E40:N40,"N/A")),""))</f>
        <v>1</v>
      </c>
      <c r="Z40" s="25">
        <f>IF(OR(A40="",D40&lt;&gt;"Encerrado"),"",IFERROR(COUNTIF(O40:X40,"Sim")/(Config!$D$21-COUNTIF(O40:X40,"N/A")),""))</f>
        <v>0.875</v>
      </c>
      <c r="AA40" s="23">
        <f>IF(A40="","",MAX(0,Config!$B$21-COUNTIF(E40:N40,"Sim")-COUNTIF(E40:N40,"N/A")))</f>
        <v>0</v>
      </c>
      <c r="AB40" s="23">
        <f>IF(OR(A40="",D40&lt;&gt;"Encerrado"),"",MAX(0,Config!$D$21-COUNTIF(O40:X40,"Sim")-COUNTIF(O40:X40,"N/A")))</f>
        <v>1</v>
      </c>
      <c r="AC40" s="23">
        <f>IF(A40="","",AA40+IF(AB40="",0,AB40))</f>
        <v>1</v>
      </c>
      <c r="AD40" s="24" t="str">
        <f>IF(OR(A40="",AF40=""),"",LEFT(AF40,LEN(AF40)-2))</f>
        <v>Avaliação do cliente pedida</v>
      </c>
      <c r="AE40" s="35">
        <f>IF(OR(A40="",AC40=0),0,AC40*100-ROW()/100000)</f>
        <v>99.9996</v>
      </c>
      <c r="AF40" s="35" t="str">
        <f>IF(A40="","",IF(AND(Config!$B$10&lt;&gt;"",E40&lt;&gt;"Sim",E40&lt;&gt;"N/A"),Config!$B$10&amp;"; ","")&amp;IF(AND(Config!$B$11&lt;&gt;"",F40&lt;&gt;"Sim",F40&lt;&gt;"N/A"),Config!$B$11&amp;"; ","")&amp;IF(AND(Config!$B$12&lt;&gt;"",G40&lt;&gt;"Sim",G40&lt;&gt;"N/A"),Config!$B$12&amp;"; ","")&amp;IF(AND(Config!$B$13&lt;&gt;"",H40&lt;&gt;"Sim",H40&lt;&gt;"N/A"),Config!$B$13&amp;"; ","")&amp;IF(AND(Config!$B$14&lt;&gt;"",I40&lt;&gt;"Sim",I40&lt;&gt;"N/A"),Config!$B$14&amp;"; ","")&amp;IF(AND(Config!$B$15&lt;&gt;"",J40&lt;&gt;"Sim",J40&lt;&gt;"N/A"),Config!$B$15&amp;"; ","")&amp;IF(AND(Config!$B$16&lt;&gt;"",K40&lt;&gt;"Sim",K40&lt;&gt;"N/A"),Config!$B$16&amp;"; ","")&amp;IF(AND(Config!$B$17&lt;&gt;"",L40&lt;&gt;"Sim",L40&lt;&gt;"N/A"),Config!$B$17&amp;"; ","")&amp;IF(AND(Config!$B$18&lt;&gt;"",M40&lt;&gt;"Sim",M40&lt;&gt;"N/A"),Config!$B$18&amp;"; ","")&amp;IF(AND(Config!$B$19&lt;&gt;"",N40&lt;&gt;"Sim",N40&lt;&gt;"N/A"),Config!$B$19&amp;"; ","")&amp;IF(AND($D40="Encerrado",Config!$D$10&lt;&gt;"",O40&lt;&gt;"Sim",O40&lt;&gt;"N/A"),Config!$D$10&amp;"; ","")&amp;IF(AND($D40="Encerrado",Config!$D$11&lt;&gt;"",P40&lt;&gt;"Sim",P40&lt;&gt;"N/A"),Config!$D$11&amp;"; ","")&amp;IF(AND($D40="Encerrado",Config!$D$12&lt;&gt;"",Q40&lt;&gt;"Sim",Q40&lt;&gt;"N/A"),Config!$D$12&amp;"; ","")&amp;IF(AND($D40="Encerrado",Config!$D$13&lt;&gt;"",R40&lt;&gt;"Sim",R40&lt;&gt;"N/A"),Config!$D$13&amp;"; ","")&amp;IF(AND($D40="Encerrado",Config!$D$14&lt;&gt;"",S40&lt;&gt;"Sim",S40&lt;&gt;"N/A"),Config!$D$14&amp;"; ","")&amp;IF(AND($D40="Encerrado",Config!$D$15&lt;&gt;"",T40&lt;&gt;"Sim",T40&lt;&gt;"N/A"),Config!$D$15&amp;"; ","")&amp;IF(AND($D40="Encerrado",Config!$D$16&lt;&gt;"",U40&lt;&gt;"Sim",U40&lt;&gt;"N/A"),Config!$D$16&amp;"; ","")&amp;IF(AND($D40="Encerrado",Config!$D$17&lt;&gt;"",V40&lt;&gt;"Sim",V40&lt;&gt;"N/A"),Config!$D$17&amp;"; ","")&amp;IF(AND($D40="Encerrado",Config!$D$18&lt;&gt;"",W40&lt;&gt;"Sim",W40&lt;&gt;"N/A"),Config!$D$18&amp;"; ","")&amp;IF(AND($D40="Encerrado",Config!$D$19&lt;&gt;"",X40&lt;&gt;"Sim",X40&lt;&gt;"N/A"),Config!$D$19&amp;"; ",""))</f>
        <v>Avaliação do cliente pedida; </v>
      </c>
    </row>
    <row r="41">
      <c r="A41" s="29" t="inlineStr">
        <is>
          <t>6161129-80.2025.8.26.0663</t>
        </is>
      </c>
      <c r="B41" s="29" t="inlineStr">
        <is>
          <t>José Antônio Ribeiro</t>
        </is>
      </c>
      <c r="C41" s="34" t="inlineStr">
        <is>
          <t>Rafael Lima</t>
        </is>
      </c>
      <c r="D41" s="34" t="inlineStr">
        <is>
          <t>Encerrado</t>
        </is>
      </c>
      <c r="E41" s="34" t="inlineStr">
        <is>
          <t>Sim</t>
        </is>
      </c>
      <c r="F41" s="34" t="inlineStr">
        <is>
          <t>Sim</t>
        </is>
      </c>
      <c r="G41" s="34" t="inlineStr">
        <is>
          <t>Sim</t>
        </is>
      </c>
      <c r="H41" s="34" t="inlineStr">
        <is>
          <t>Sim</t>
        </is>
      </c>
      <c r="I41" s="34" t="inlineStr">
        <is>
          <t>Sim</t>
        </is>
      </c>
      <c r="J41" s="34" t="inlineStr">
        <is>
          <t>Sim</t>
        </is>
      </c>
      <c r="K41" s="34" t="inlineStr">
        <is>
          <t>Sim</t>
        </is>
      </c>
      <c r="L41" s="34" t="inlineStr">
        <is>
          <t>Sim</t>
        </is>
      </c>
      <c r="M41" s="34" t="inlineStr">
        <is>
          <t>Sim</t>
        </is>
      </c>
      <c r="N41" s="34" t="n"/>
      <c r="O41" s="34" t="inlineStr">
        <is>
          <t>Sim</t>
        </is>
      </c>
      <c r="P41" s="34" t="inlineStr">
        <is>
          <t>Sim</t>
        </is>
      </c>
      <c r="Q41" s="34" t="inlineStr">
        <is>
          <t>Sim</t>
        </is>
      </c>
      <c r="R41" s="34" t="inlineStr">
        <is>
          <t>Sim</t>
        </is>
      </c>
      <c r="S41" s="34" t="inlineStr">
        <is>
          <t>Sim</t>
        </is>
      </c>
      <c r="T41" s="34" t="inlineStr">
        <is>
          <t>Sim</t>
        </is>
      </c>
      <c r="U41" s="34" t="inlineStr">
        <is>
          <t>Sim</t>
        </is>
      </c>
      <c r="V41" s="34" t="inlineStr">
        <is>
          <t>Sim</t>
        </is>
      </c>
      <c r="W41" s="34" t="n"/>
      <c r="X41" s="34" t="n"/>
      <c r="Y41" s="25">
        <f>IF(A41="","",IFERROR(COUNTIF(E41:N41,"Sim")/(Config!$B$21-COUNTIF(E41:N41,"N/A")),""))</f>
        <v>1</v>
      </c>
      <c r="Z41" s="25">
        <f>IF(OR(A41="",D41&lt;&gt;"Encerrado"),"",IFERROR(COUNTIF(O41:X41,"Sim")/(Config!$D$21-COUNTIF(O41:X41,"N/A")),""))</f>
        <v>1</v>
      </c>
      <c r="AA41" s="23">
        <f>IF(A41="","",MAX(0,Config!$B$21-COUNTIF(E41:N41,"Sim")-COUNTIF(E41:N41,"N/A")))</f>
        <v>0</v>
      </c>
      <c r="AB41" s="23">
        <f>IF(OR(A41="",D41&lt;&gt;"Encerrado"),"",MAX(0,Config!$D$21-COUNTIF(O41:X41,"Sim")-COUNTIF(O41:X41,"N/A")))</f>
        <v>0</v>
      </c>
      <c r="AC41" s="23">
        <f>IF(A41="","",AA41+IF(AB41="",0,AB41))</f>
        <v>0</v>
      </c>
      <c r="AD41" s="24">
        <f>IF(OR(A41="",AF41=""),"",LEFT(AF41,LEN(AF41)-2))</f>
        <v/>
      </c>
      <c r="AE41" s="35">
        <f>IF(OR(A41="",AC41=0),0,AC41*100-ROW()/100000)</f>
        <v>0</v>
      </c>
      <c r="AF41" s="35">
        <f>IF(A41="","",IF(AND(Config!$B$10&lt;&gt;"",E41&lt;&gt;"Sim",E41&lt;&gt;"N/A"),Config!$B$10&amp;"; ","")&amp;IF(AND(Config!$B$11&lt;&gt;"",F41&lt;&gt;"Sim",F41&lt;&gt;"N/A"),Config!$B$11&amp;"; ","")&amp;IF(AND(Config!$B$12&lt;&gt;"",G41&lt;&gt;"Sim",G41&lt;&gt;"N/A"),Config!$B$12&amp;"; ","")&amp;IF(AND(Config!$B$13&lt;&gt;"",H41&lt;&gt;"Sim",H41&lt;&gt;"N/A"),Config!$B$13&amp;"; ","")&amp;IF(AND(Config!$B$14&lt;&gt;"",I41&lt;&gt;"Sim",I41&lt;&gt;"N/A"),Config!$B$14&amp;"; ","")&amp;IF(AND(Config!$B$15&lt;&gt;"",J41&lt;&gt;"Sim",J41&lt;&gt;"N/A"),Config!$B$15&amp;"; ","")&amp;IF(AND(Config!$B$16&lt;&gt;"",K41&lt;&gt;"Sim",K41&lt;&gt;"N/A"),Config!$B$16&amp;"; ","")&amp;IF(AND(Config!$B$17&lt;&gt;"",L41&lt;&gt;"Sim",L41&lt;&gt;"N/A"),Config!$B$17&amp;"; ","")&amp;IF(AND(Config!$B$18&lt;&gt;"",M41&lt;&gt;"Sim",M41&lt;&gt;"N/A"),Config!$B$18&amp;"; ","")&amp;IF(AND(Config!$B$19&lt;&gt;"",N41&lt;&gt;"Sim",N41&lt;&gt;"N/A"),Config!$B$19&amp;"; ","")&amp;IF(AND($D41="Encerrado",Config!$D$10&lt;&gt;"",O41&lt;&gt;"Sim",O41&lt;&gt;"N/A"),Config!$D$10&amp;"; ","")&amp;IF(AND($D41="Encerrado",Config!$D$11&lt;&gt;"",P41&lt;&gt;"Sim",P41&lt;&gt;"N/A"),Config!$D$11&amp;"; ","")&amp;IF(AND($D41="Encerrado",Config!$D$12&lt;&gt;"",Q41&lt;&gt;"Sim",Q41&lt;&gt;"N/A"),Config!$D$12&amp;"; ","")&amp;IF(AND($D41="Encerrado",Config!$D$13&lt;&gt;"",R41&lt;&gt;"Sim",R41&lt;&gt;"N/A"),Config!$D$13&amp;"; ","")&amp;IF(AND($D41="Encerrado",Config!$D$14&lt;&gt;"",S41&lt;&gt;"Sim",S41&lt;&gt;"N/A"),Config!$D$14&amp;"; ","")&amp;IF(AND($D41="Encerrado",Config!$D$15&lt;&gt;"",T41&lt;&gt;"Sim",T41&lt;&gt;"N/A"),Config!$D$15&amp;"; ","")&amp;IF(AND($D41="Encerrado",Config!$D$16&lt;&gt;"",U41&lt;&gt;"Sim",U41&lt;&gt;"N/A"),Config!$D$16&amp;"; ","")&amp;IF(AND($D41="Encerrado",Config!$D$17&lt;&gt;"",V41&lt;&gt;"Sim",V41&lt;&gt;"N/A"),Config!$D$17&amp;"; ","")&amp;IF(AND($D41="Encerrado",Config!$D$18&lt;&gt;"",W41&lt;&gt;"Sim",W41&lt;&gt;"N/A"),Config!$D$18&amp;"; ","")&amp;IF(AND($D41="Encerrado",Config!$D$19&lt;&gt;"",X41&lt;&gt;"Sim",X41&lt;&gt;"N/A"),Config!$D$19&amp;"; ",""))</f>
        <v/>
      </c>
    </row>
    <row r="42">
      <c r="A42" s="29" t="inlineStr">
        <is>
          <t>9420478-99.2025.8.26.0491</t>
        </is>
      </c>
      <c r="B42" s="29" t="inlineStr">
        <is>
          <t>Ana Beatriz Moreira</t>
        </is>
      </c>
      <c r="C42" s="34" t="inlineStr">
        <is>
          <t>Rafael Lima</t>
        </is>
      </c>
      <c r="D42" s="34" t="inlineStr">
        <is>
          <t>Encerrado</t>
        </is>
      </c>
      <c r="E42" s="34" t="inlineStr">
        <is>
          <t>Sim</t>
        </is>
      </c>
      <c r="F42" s="34" t="inlineStr">
        <is>
          <t>Sim</t>
        </is>
      </c>
      <c r="G42" s="34" t="inlineStr">
        <is>
          <t>Sim</t>
        </is>
      </c>
      <c r="H42" s="34" t="inlineStr">
        <is>
          <t>Sim</t>
        </is>
      </c>
      <c r="I42" s="34" t="inlineStr">
        <is>
          <t>Sim</t>
        </is>
      </c>
      <c r="J42" s="34" t="inlineStr">
        <is>
          <t>Sim</t>
        </is>
      </c>
      <c r="K42" s="34" t="inlineStr">
        <is>
          <t>Sim</t>
        </is>
      </c>
      <c r="L42" s="34" t="inlineStr">
        <is>
          <t>Sim</t>
        </is>
      </c>
      <c r="M42" s="34" t="inlineStr">
        <is>
          <t>Sim</t>
        </is>
      </c>
      <c r="N42" s="34" t="n"/>
      <c r="O42" s="34" t="inlineStr">
        <is>
          <t>Sim</t>
        </is>
      </c>
      <c r="P42" s="34" t="inlineStr">
        <is>
          <t>Sim</t>
        </is>
      </c>
      <c r="Q42" s="34" t="inlineStr">
        <is>
          <t>Sim</t>
        </is>
      </c>
      <c r="R42" s="34" t="inlineStr">
        <is>
          <t>Sim</t>
        </is>
      </c>
      <c r="S42" s="34" t="inlineStr">
        <is>
          <t>Sim</t>
        </is>
      </c>
      <c r="T42" s="34" t="inlineStr">
        <is>
          <t>Sim</t>
        </is>
      </c>
      <c r="U42" s="34" t="inlineStr">
        <is>
          <t>Sim</t>
        </is>
      </c>
      <c r="V42" s="34" t="inlineStr">
        <is>
          <t>Sim</t>
        </is>
      </c>
      <c r="W42" s="34" t="n"/>
      <c r="X42" s="34" t="n"/>
      <c r="Y42" s="25">
        <f>IF(A42="","",IFERROR(COUNTIF(E42:N42,"Sim")/(Config!$B$21-COUNTIF(E42:N42,"N/A")),""))</f>
        <v>1</v>
      </c>
      <c r="Z42" s="25">
        <f>IF(OR(A42="",D42&lt;&gt;"Encerrado"),"",IFERROR(COUNTIF(O42:X42,"Sim")/(Config!$D$21-COUNTIF(O42:X42,"N/A")),""))</f>
        <v>1</v>
      </c>
      <c r="AA42" s="23">
        <f>IF(A42="","",MAX(0,Config!$B$21-COUNTIF(E42:N42,"Sim")-COUNTIF(E42:N42,"N/A")))</f>
        <v>0</v>
      </c>
      <c r="AB42" s="23">
        <f>IF(OR(A42="",D42&lt;&gt;"Encerrado"),"",MAX(0,Config!$D$21-COUNTIF(O42:X42,"Sim")-COUNTIF(O42:X42,"N/A")))</f>
        <v>0</v>
      </c>
      <c r="AC42" s="23">
        <f>IF(A42="","",AA42+IF(AB42="",0,AB42))</f>
        <v>0</v>
      </c>
      <c r="AD42" s="24">
        <f>IF(OR(A42="",AF42=""),"",LEFT(AF42,LEN(AF42)-2))</f>
        <v/>
      </c>
      <c r="AE42" s="35">
        <f>IF(OR(A42="",AC42=0),0,AC42*100-ROW()/100000)</f>
        <v>0</v>
      </c>
      <c r="AF42" s="35">
        <f>IF(A42="","",IF(AND(Config!$B$10&lt;&gt;"",E42&lt;&gt;"Sim",E42&lt;&gt;"N/A"),Config!$B$10&amp;"; ","")&amp;IF(AND(Config!$B$11&lt;&gt;"",F42&lt;&gt;"Sim",F42&lt;&gt;"N/A"),Config!$B$11&amp;"; ","")&amp;IF(AND(Config!$B$12&lt;&gt;"",G42&lt;&gt;"Sim",G42&lt;&gt;"N/A"),Config!$B$12&amp;"; ","")&amp;IF(AND(Config!$B$13&lt;&gt;"",H42&lt;&gt;"Sim",H42&lt;&gt;"N/A"),Config!$B$13&amp;"; ","")&amp;IF(AND(Config!$B$14&lt;&gt;"",I42&lt;&gt;"Sim",I42&lt;&gt;"N/A"),Config!$B$14&amp;"; ","")&amp;IF(AND(Config!$B$15&lt;&gt;"",J42&lt;&gt;"Sim",J42&lt;&gt;"N/A"),Config!$B$15&amp;"; ","")&amp;IF(AND(Config!$B$16&lt;&gt;"",K42&lt;&gt;"Sim",K42&lt;&gt;"N/A"),Config!$B$16&amp;"; ","")&amp;IF(AND(Config!$B$17&lt;&gt;"",L42&lt;&gt;"Sim",L42&lt;&gt;"N/A"),Config!$B$17&amp;"; ","")&amp;IF(AND(Config!$B$18&lt;&gt;"",M42&lt;&gt;"Sim",M42&lt;&gt;"N/A"),Config!$B$18&amp;"; ","")&amp;IF(AND(Config!$B$19&lt;&gt;"",N42&lt;&gt;"Sim",N42&lt;&gt;"N/A"),Config!$B$19&amp;"; ","")&amp;IF(AND($D42="Encerrado",Config!$D$10&lt;&gt;"",O42&lt;&gt;"Sim",O42&lt;&gt;"N/A"),Config!$D$10&amp;"; ","")&amp;IF(AND($D42="Encerrado",Config!$D$11&lt;&gt;"",P42&lt;&gt;"Sim",P42&lt;&gt;"N/A"),Config!$D$11&amp;"; ","")&amp;IF(AND($D42="Encerrado",Config!$D$12&lt;&gt;"",Q42&lt;&gt;"Sim",Q42&lt;&gt;"N/A"),Config!$D$12&amp;"; ","")&amp;IF(AND($D42="Encerrado",Config!$D$13&lt;&gt;"",R42&lt;&gt;"Sim",R42&lt;&gt;"N/A"),Config!$D$13&amp;"; ","")&amp;IF(AND($D42="Encerrado",Config!$D$14&lt;&gt;"",S42&lt;&gt;"Sim",S42&lt;&gt;"N/A"),Config!$D$14&amp;"; ","")&amp;IF(AND($D42="Encerrado",Config!$D$15&lt;&gt;"",T42&lt;&gt;"Sim",T42&lt;&gt;"N/A"),Config!$D$15&amp;"; ","")&amp;IF(AND($D42="Encerrado",Config!$D$16&lt;&gt;"",U42&lt;&gt;"Sim",U42&lt;&gt;"N/A"),Config!$D$16&amp;"; ","")&amp;IF(AND($D42="Encerrado",Config!$D$17&lt;&gt;"",V42&lt;&gt;"Sim",V42&lt;&gt;"N/A"),Config!$D$17&amp;"; ","")&amp;IF(AND($D42="Encerrado",Config!$D$18&lt;&gt;"",W42&lt;&gt;"Sim",W42&lt;&gt;"N/A"),Config!$D$18&amp;"; ","")&amp;IF(AND($D42="Encerrado",Config!$D$19&lt;&gt;"",X42&lt;&gt;"Sim",X42&lt;&gt;"N/A"),Config!$D$19&amp;"; ",""))</f>
        <v/>
      </c>
    </row>
    <row r="43">
      <c r="A43" s="29" t="n"/>
      <c r="B43" s="29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25">
        <f>IF(A43="","",IFERROR(COUNTIF(E43:N43,"Sim")/(Config!$B$21-COUNTIF(E43:N43,"N/A")),""))</f>
        <v/>
      </c>
      <c r="Z43" s="25">
        <f>IF(OR(A43="",D43&lt;&gt;"Encerrado"),"",IFERROR(COUNTIF(O43:X43,"Sim")/(Config!$D$21-COUNTIF(O43:X43,"N/A")),""))</f>
        <v/>
      </c>
      <c r="AA43" s="23">
        <f>IF(A43="","",MAX(0,Config!$B$21-COUNTIF(E43:N43,"Sim")-COUNTIF(E43:N43,"N/A")))</f>
        <v/>
      </c>
      <c r="AB43" s="23">
        <f>IF(OR(A43="",D43&lt;&gt;"Encerrado"),"",MAX(0,Config!$D$21-COUNTIF(O43:X43,"Sim")-COUNTIF(O43:X43,"N/A")))</f>
        <v/>
      </c>
      <c r="AC43" s="23">
        <f>IF(A43="","",AA43+IF(AB43="",0,AB43))</f>
        <v/>
      </c>
      <c r="AD43" s="24">
        <f>IF(OR(A43="",AF43=""),"",LEFT(AF43,LEN(AF43)-2))</f>
        <v/>
      </c>
      <c r="AE43" s="35">
        <f>IF(OR(A43="",AC43=0),0,AC43*100-ROW()/100000)</f>
        <v>0</v>
      </c>
      <c r="AF43" s="35">
        <f>IF(A43="","",IF(AND(Config!$B$10&lt;&gt;"",E43&lt;&gt;"Sim",E43&lt;&gt;"N/A"),Config!$B$10&amp;"; ","")&amp;IF(AND(Config!$B$11&lt;&gt;"",F43&lt;&gt;"Sim",F43&lt;&gt;"N/A"),Config!$B$11&amp;"; ","")&amp;IF(AND(Config!$B$12&lt;&gt;"",G43&lt;&gt;"Sim",G43&lt;&gt;"N/A"),Config!$B$12&amp;"; ","")&amp;IF(AND(Config!$B$13&lt;&gt;"",H43&lt;&gt;"Sim",H43&lt;&gt;"N/A"),Config!$B$13&amp;"; ","")&amp;IF(AND(Config!$B$14&lt;&gt;"",I43&lt;&gt;"Sim",I43&lt;&gt;"N/A"),Config!$B$14&amp;"; ","")&amp;IF(AND(Config!$B$15&lt;&gt;"",J43&lt;&gt;"Sim",J43&lt;&gt;"N/A"),Config!$B$15&amp;"; ","")&amp;IF(AND(Config!$B$16&lt;&gt;"",K43&lt;&gt;"Sim",K43&lt;&gt;"N/A"),Config!$B$16&amp;"; ","")&amp;IF(AND(Config!$B$17&lt;&gt;"",L43&lt;&gt;"Sim",L43&lt;&gt;"N/A"),Config!$B$17&amp;"; ","")&amp;IF(AND(Config!$B$18&lt;&gt;"",M43&lt;&gt;"Sim",M43&lt;&gt;"N/A"),Config!$B$18&amp;"; ","")&amp;IF(AND(Config!$B$19&lt;&gt;"",N43&lt;&gt;"Sim",N43&lt;&gt;"N/A"),Config!$B$19&amp;"; ","")&amp;IF(AND($D43="Encerrado",Config!$D$10&lt;&gt;"",O43&lt;&gt;"Sim",O43&lt;&gt;"N/A"),Config!$D$10&amp;"; ","")&amp;IF(AND($D43="Encerrado",Config!$D$11&lt;&gt;"",P43&lt;&gt;"Sim",P43&lt;&gt;"N/A"),Config!$D$11&amp;"; ","")&amp;IF(AND($D43="Encerrado",Config!$D$12&lt;&gt;"",Q43&lt;&gt;"Sim",Q43&lt;&gt;"N/A"),Config!$D$12&amp;"; ","")&amp;IF(AND($D43="Encerrado",Config!$D$13&lt;&gt;"",R43&lt;&gt;"Sim",R43&lt;&gt;"N/A"),Config!$D$13&amp;"; ","")&amp;IF(AND($D43="Encerrado",Config!$D$14&lt;&gt;"",S43&lt;&gt;"Sim",S43&lt;&gt;"N/A"),Config!$D$14&amp;"; ","")&amp;IF(AND($D43="Encerrado",Config!$D$15&lt;&gt;"",T43&lt;&gt;"Sim",T43&lt;&gt;"N/A"),Config!$D$15&amp;"; ","")&amp;IF(AND($D43="Encerrado",Config!$D$16&lt;&gt;"",U43&lt;&gt;"Sim",U43&lt;&gt;"N/A"),Config!$D$16&amp;"; ","")&amp;IF(AND($D43="Encerrado",Config!$D$17&lt;&gt;"",V43&lt;&gt;"Sim",V43&lt;&gt;"N/A"),Config!$D$17&amp;"; ","")&amp;IF(AND($D43="Encerrado",Config!$D$18&lt;&gt;"",W43&lt;&gt;"Sim",W43&lt;&gt;"N/A"),Config!$D$18&amp;"; ","")&amp;IF(AND($D43="Encerrado",Config!$D$19&lt;&gt;"",X43&lt;&gt;"Sim",X43&lt;&gt;"N/A"),Config!$D$19&amp;"; ",""))</f>
        <v/>
      </c>
    </row>
    <row r="44">
      <c r="A44" s="29" t="n"/>
      <c r="B44" s="29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25">
        <f>IF(A44="","",IFERROR(COUNTIF(E44:N44,"Sim")/(Config!$B$21-COUNTIF(E44:N44,"N/A")),""))</f>
        <v/>
      </c>
      <c r="Z44" s="25">
        <f>IF(OR(A44="",D44&lt;&gt;"Encerrado"),"",IFERROR(COUNTIF(O44:X44,"Sim")/(Config!$D$21-COUNTIF(O44:X44,"N/A")),""))</f>
        <v/>
      </c>
      <c r="AA44" s="23">
        <f>IF(A44="","",MAX(0,Config!$B$21-COUNTIF(E44:N44,"Sim")-COUNTIF(E44:N44,"N/A")))</f>
        <v/>
      </c>
      <c r="AB44" s="23">
        <f>IF(OR(A44="",D44&lt;&gt;"Encerrado"),"",MAX(0,Config!$D$21-COUNTIF(O44:X44,"Sim")-COUNTIF(O44:X44,"N/A")))</f>
        <v/>
      </c>
      <c r="AC44" s="23">
        <f>IF(A44="","",AA44+IF(AB44="",0,AB44))</f>
        <v/>
      </c>
      <c r="AD44" s="24">
        <f>IF(OR(A44="",AF44=""),"",LEFT(AF44,LEN(AF44)-2))</f>
        <v/>
      </c>
      <c r="AE44" s="35">
        <f>IF(OR(A44="",AC44=0),0,AC44*100-ROW()/100000)</f>
        <v>0</v>
      </c>
      <c r="AF44" s="35">
        <f>IF(A44="","",IF(AND(Config!$B$10&lt;&gt;"",E44&lt;&gt;"Sim",E44&lt;&gt;"N/A"),Config!$B$10&amp;"; ","")&amp;IF(AND(Config!$B$11&lt;&gt;"",F44&lt;&gt;"Sim",F44&lt;&gt;"N/A"),Config!$B$11&amp;"; ","")&amp;IF(AND(Config!$B$12&lt;&gt;"",G44&lt;&gt;"Sim",G44&lt;&gt;"N/A"),Config!$B$12&amp;"; ","")&amp;IF(AND(Config!$B$13&lt;&gt;"",H44&lt;&gt;"Sim",H44&lt;&gt;"N/A"),Config!$B$13&amp;"; ","")&amp;IF(AND(Config!$B$14&lt;&gt;"",I44&lt;&gt;"Sim",I44&lt;&gt;"N/A"),Config!$B$14&amp;"; ","")&amp;IF(AND(Config!$B$15&lt;&gt;"",J44&lt;&gt;"Sim",J44&lt;&gt;"N/A"),Config!$B$15&amp;"; ","")&amp;IF(AND(Config!$B$16&lt;&gt;"",K44&lt;&gt;"Sim",K44&lt;&gt;"N/A"),Config!$B$16&amp;"; ","")&amp;IF(AND(Config!$B$17&lt;&gt;"",L44&lt;&gt;"Sim",L44&lt;&gt;"N/A"),Config!$B$17&amp;"; ","")&amp;IF(AND(Config!$B$18&lt;&gt;"",M44&lt;&gt;"Sim",M44&lt;&gt;"N/A"),Config!$B$18&amp;"; ","")&amp;IF(AND(Config!$B$19&lt;&gt;"",N44&lt;&gt;"Sim",N44&lt;&gt;"N/A"),Config!$B$19&amp;"; ","")&amp;IF(AND($D44="Encerrado",Config!$D$10&lt;&gt;"",O44&lt;&gt;"Sim",O44&lt;&gt;"N/A"),Config!$D$10&amp;"; ","")&amp;IF(AND($D44="Encerrado",Config!$D$11&lt;&gt;"",P44&lt;&gt;"Sim",P44&lt;&gt;"N/A"),Config!$D$11&amp;"; ","")&amp;IF(AND($D44="Encerrado",Config!$D$12&lt;&gt;"",Q44&lt;&gt;"Sim",Q44&lt;&gt;"N/A"),Config!$D$12&amp;"; ","")&amp;IF(AND($D44="Encerrado",Config!$D$13&lt;&gt;"",R44&lt;&gt;"Sim",R44&lt;&gt;"N/A"),Config!$D$13&amp;"; ","")&amp;IF(AND($D44="Encerrado",Config!$D$14&lt;&gt;"",S44&lt;&gt;"Sim",S44&lt;&gt;"N/A"),Config!$D$14&amp;"; ","")&amp;IF(AND($D44="Encerrado",Config!$D$15&lt;&gt;"",T44&lt;&gt;"Sim",T44&lt;&gt;"N/A"),Config!$D$15&amp;"; ","")&amp;IF(AND($D44="Encerrado",Config!$D$16&lt;&gt;"",U44&lt;&gt;"Sim",U44&lt;&gt;"N/A"),Config!$D$16&amp;"; ","")&amp;IF(AND($D44="Encerrado",Config!$D$17&lt;&gt;"",V44&lt;&gt;"Sim",V44&lt;&gt;"N/A"),Config!$D$17&amp;"; ","")&amp;IF(AND($D44="Encerrado",Config!$D$18&lt;&gt;"",W44&lt;&gt;"Sim",W44&lt;&gt;"N/A"),Config!$D$18&amp;"; ","")&amp;IF(AND($D44="Encerrado",Config!$D$19&lt;&gt;"",X44&lt;&gt;"Sim",X44&lt;&gt;"N/A"),Config!$D$19&amp;"; ",""))</f>
        <v/>
      </c>
    </row>
    <row r="45">
      <c r="A45" s="29" t="n"/>
      <c r="B45" s="29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25">
        <f>IF(A45="","",IFERROR(COUNTIF(E45:N45,"Sim")/(Config!$B$21-COUNTIF(E45:N45,"N/A")),""))</f>
        <v/>
      </c>
      <c r="Z45" s="25">
        <f>IF(OR(A45="",D45&lt;&gt;"Encerrado"),"",IFERROR(COUNTIF(O45:X45,"Sim")/(Config!$D$21-COUNTIF(O45:X45,"N/A")),""))</f>
        <v/>
      </c>
      <c r="AA45" s="23">
        <f>IF(A45="","",MAX(0,Config!$B$21-COUNTIF(E45:N45,"Sim")-COUNTIF(E45:N45,"N/A")))</f>
        <v/>
      </c>
      <c r="AB45" s="23">
        <f>IF(OR(A45="",D45&lt;&gt;"Encerrado"),"",MAX(0,Config!$D$21-COUNTIF(O45:X45,"Sim")-COUNTIF(O45:X45,"N/A")))</f>
        <v/>
      </c>
      <c r="AC45" s="23">
        <f>IF(A45="","",AA45+IF(AB45="",0,AB45))</f>
        <v/>
      </c>
      <c r="AD45" s="24">
        <f>IF(OR(A45="",AF45=""),"",LEFT(AF45,LEN(AF45)-2))</f>
        <v/>
      </c>
      <c r="AE45" s="35">
        <f>IF(OR(A45="",AC45=0),0,AC45*100-ROW()/100000)</f>
        <v>0</v>
      </c>
      <c r="AF45" s="35">
        <f>IF(A45="","",IF(AND(Config!$B$10&lt;&gt;"",E45&lt;&gt;"Sim",E45&lt;&gt;"N/A"),Config!$B$10&amp;"; ","")&amp;IF(AND(Config!$B$11&lt;&gt;"",F45&lt;&gt;"Sim",F45&lt;&gt;"N/A"),Config!$B$11&amp;"; ","")&amp;IF(AND(Config!$B$12&lt;&gt;"",G45&lt;&gt;"Sim",G45&lt;&gt;"N/A"),Config!$B$12&amp;"; ","")&amp;IF(AND(Config!$B$13&lt;&gt;"",H45&lt;&gt;"Sim",H45&lt;&gt;"N/A"),Config!$B$13&amp;"; ","")&amp;IF(AND(Config!$B$14&lt;&gt;"",I45&lt;&gt;"Sim",I45&lt;&gt;"N/A"),Config!$B$14&amp;"; ","")&amp;IF(AND(Config!$B$15&lt;&gt;"",J45&lt;&gt;"Sim",J45&lt;&gt;"N/A"),Config!$B$15&amp;"; ","")&amp;IF(AND(Config!$B$16&lt;&gt;"",K45&lt;&gt;"Sim",K45&lt;&gt;"N/A"),Config!$B$16&amp;"; ","")&amp;IF(AND(Config!$B$17&lt;&gt;"",L45&lt;&gt;"Sim",L45&lt;&gt;"N/A"),Config!$B$17&amp;"; ","")&amp;IF(AND(Config!$B$18&lt;&gt;"",M45&lt;&gt;"Sim",M45&lt;&gt;"N/A"),Config!$B$18&amp;"; ","")&amp;IF(AND(Config!$B$19&lt;&gt;"",N45&lt;&gt;"Sim",N45&lt;&gt;"N/A"),Config!$B$19&amp;"; ","")&amp;IF(AND($D45="Encerrado",Config!$D$10&lt;&gt;"",O45&lt;&gt;"Sim",O45&lt;&gt;"N/A"),Config!$D$10&amp;"; ","")&amp;IF(AND($D45="Encerrado",Config!$D$11&lt;&gt;"",P45&lt;&gt;"Sim",P45&lt;&gt;"N/A"),Config!$D$11&amp;"; ","")&amp;IF(AND($D45="Encerrado",Config!$D$12&lt;&gt;"",Q45&lt;&gt;"Sim",Q45&lt;&gt;"N/A"),Config!$D$12&amp;"; ","")&amp;IF(AND($D45="Encerrado",Config!$D$13&lt;&gt;"",R45&lt;&gt;"Sim",R45&lt;&gt;"N/A"),Config!$D$13&amp;"; ","")&amp;IF(AND($D45="Encerrado",Config!$D$14&lt;&gt;"",S45&lt;&gt;"Sim",S45&lt;&gt;"N/A"),Config!$D$14&amp;"; ","")&amp;IF(AND($D45="Encerrado",Config!$D$15&lt;&gt;"",T45&lt;&gt;"Sim",T45&lt;&gt;"N/A"),Config!$D$15&amp;"; ","")&amp;IF(AND($D45="Encerrado",Config!$D$16&lt;&gt;"",U45&lt;&gt;"Sim",U45&lt;&gt;"N/A"),Config!$D$16&amp;"; ","")&amp;IF(AND($D45="Encerrado",Config!$D$17&lt;&gt;"",V45&lt;&gt;"Sim",V45&lt;&gt;"N/A"),Config!$D$17&amp;"; ","")&amp;IF(AND($D45="Encerrado",Config!$D$18&lt;&gt;"",W45&lt;&gt;"Sim",W45&lt;&gt;"N/A"),Config!$D$18&amp;"; ","")&amp;IF(AND($D45="Encerrado",Config!$D$19&lt;&gt;"",X45&lt;&gt;"Sim",X45&lt;&gt;"N/A"),Config!$D$19&amp;"; ",""))</f>
        <v/>
      </c>
    </row>
    <row r="46">
      <c r="A46" s="29" t="n"/>
      <c r="B46" s="29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25">
        <f>IF(A46="","",IFERROR(COUNTIF(E46:N46,"Sim")/(Config!$B$21-COUNTIF(E46:N46,"N/A")),""))</f>
        <v/>
      </c>
      <c r="Z46" s="25">
        <f>IF(OR(A46="",D46&lt;&gt;"Encerrado"),"",IFERROR(COUNTIF(O46:X46,"Sim")/(Config!$D$21-COUNTIF(O46:X46,"N/A")),""))</f>
        <v/>
      </c>
      <c r="AA46" s="23">
        <f>IF(A46="","",MAX(0,Config!$B$21-COUNTIF(E46:N46,"Sim")-COUNTIF(E46:N46,"N/A")))</f>
        <v/>
      </c>
      <c r="AB46" s="23">
        <f>IF(OR(A46="",D46&lt;&gt;"Encerrado"),"",MAX(0,Config!$D$21-COUNTIF(O46:X46,"Sim")-COUNTIF(O46:X46,"N/A")))</f>
        <v/>
      </c>
      <c r="AC46" s="23">
        <f>IF(A46="","",AA46+IF(AB46="",0,AB46))</f>
        <v/>
      </c>
      <c r="AD46" s="24">
        <f>IF(OR(A46="",AF46=""),"",LEFT(AF46,LEN(AF46)-2))</f>
        <v/>
      </c>
      <c r="AE46" s="35">
        <f>IF(OR(A46="",AC46=0),0,AC46*100-ROW()/100000)</f>
        <v>0</v>
      </c>
      <c r="AF46" s="35">
        <f>IF(A46="","",IF(AND(Config!$B$10&lt;&gt;"",E46&lt;&gt;"Sim",E46&lt;&gt;"N/A"),Config!$B$10&amp;"; ","")&amp;IF(AND(Config!$B$11&lt;&gt;"",F46&lt;&gt;"Sim",F46&lt;&gt;"N/A"),Config!$B$11&amp;"; ","")&amp;IF(AND(Config!$B$12&lt;&gt;"",G46&lt;&gt;"Sim",G46&lt;&gt;"N/A"),Config!$B$12&amp;"; ","")&amp;IF(AND(Config!$B$13&lt;&gt;"",H46&lt;&gt;"Sim",H46&lt;&gt;"N/A"),Config!$B$13&amp;"; ","")&amp;IF(AND(Config!$B$14&lt;&gt;"",I46&lt;&gt;"Sim",I46&lt;&gt;"N/A"),Config!$B$14&amp;"; ","")&amp;IF(AND(Config!$B$15&lt;&gt;"",J46&lt;&gt;"Sim",J46&lt;&gt;"N/A"),Config!$B$15&amp;"; ","")&amp;IF(AND(Config!$B$16&lt;&gt;"",K46&lt;&gt;"Sim",K46&lt;&gt;"N/A"),Config!$B$16&amp;"; ","")&amp;IF(AND(Config!$B$17&lt;&gt;"",L46&lt;&gt;"Sim",L46&lt;&gt;"N/A"),Config!$B$17&amp;"; ","")&amp;IF(AND(Config!$B$18&lt;&gt;"",M46&lt;&gt;"Sim",M46&lt;&gt;"N/A"),Config!$B$18&amp;"; ","")&amp;IF(AND(Config!$B$19&lt;&gt;"",N46&lt;&gt;"Sim",N46&lt;&gt;"N/A"),Config!$B$19&amp;"; ","")&amp;IF(AND($D46="Encerrado",Config!$D$10&lt;&gt;"",O46&lt;&gt;"Sim",O46&lt;&gt;"N/A"),Config!$D$10&amp;"; ","")&amp;IF(AND($D46="Encerrado",Config!$D$11&lt;&gt;"",P46&lt;&gt;"Sim",P46&lt;&gt;"N/A"),Config!$D$11&amp;"; ","")&amp;IF(AND($D46="Encerrado",Config!$D$12&lt;&gt;"",Q46&lt;&gt;"Sim",Q46&lt;&gt;"N/A"),Config!$D$12&amp;"; ","")&amp;IF(AND($D46="Encerrado",Config!$D$13&lt;&gt;"",R46&lt;&gt;"Sim",R46&lt;&gt;"N/A"),Config!$D$13&amp;"; ","")&amp;IF(AND($D46="Encerrado",Config!$D$14&lt;&gt;"",S46&lt;&gt;"Sim",S46&lt;&gt;"N/A"),Config!$D$14&amp;"; ","")&amp;IF(AND($D46="Encerrado",Config!$D$15&lt;&gt;"",T46&lt;&gt;"Sim",T46&lt;&gt;"N/A"),Config!$D$15&amp;"; ","")&amp;IF(AND($D46="Encerrado",Config!$D$16&lt;&gt;"",U46&lt;&gt;"Sim",U46&lt;&gt;"N/A"),Config!$D$16&amp;"; ","")&amp;IF(AND($D46="Encerrado",Config!$D$17&lt;&gt;"",V46&lt;&gt;"Sim",V46&lt;&gt;"N/A"),Config!$D$17&amp;"; ","")&amp;IF(AND($D46="Encerrado",Config!$D$18&lt;&gt;"",W46&lt;&gt;"Sim",W46&lt;&gt;"N/A"),Config!$D$18&amp;"; ","")&amp;IF(AND($D46="Encerrado",Config!$D$19&lt;&gt;"",X46&lt;&gt;"Sim",X46&lt;&gt;"N/A"),Config!$D$19&amp;"; ",""))</f>
        <v/>
      </c>
    </row>
    <row r="47">
      <c r="A47" s="29" t="n"/>
      <c r="B47" s="29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25">
        <f>IF(A47="","",IFERROR(COUNTIF(E47:N47,"Sim")/(Config!$B$21-COUNTIF(E47:N47,"N/A")),""))</f>
        <v/>
      </c>
      <c r="Z47" s="25">
        <f>IF(OR(A47="",D47&lt;&gt;"Encerrado"),"",IFERROR(COUNTIF(O47:X47,"Sim")/(Config!$D$21-COUNTIF(O47:X47,"N/A")),""))</f>
        <v/>
      </c>
      <c r="AA47" s="23">
        <f>IF(A47="","",MAX(0,Config!$B$21-COUNTIF(E47:N47,"Sim")-COUNTIF(E47:N47,"N/A")))</f>
        <v/>
      </c>
      <c r="AB47" s="23">
        <f>IF(OR(A47="",D47&lt;&gt;"Encerrado"),"",MAX(0,Config!$D$21-COUNTIF(O47:X47,"Sim")-COUNTIF(O47:X47,"N/A")))</f>
        <v/>
      </c>
      <c r="AC47" s="23">
        <f>IF(A47="","",AA47+IF(AB47="",0,AB47))</f>
        <v/>
      </c>
      <c r="AD47" s="24">
        <f>IF(OR(A47="",AF47=""),"",LEFT(AF47,LEN(AF47)-2))</f>
        <v/>
      </c>
      <c r="AE47" s="35">
        <f>IF(OR(A47="",AC47=0),0,AC47*100-ROW()/100000)</f>
        <v>0</v>
      </c>
      <c r="AF47" s="35">
        <f>IF(A47="","",IF(AND(Config!$B$10&lt;&gt;"",E47&lt;&gt;"Sim",E47&lt;&gt;"N/A"),Config!$B$10&amp;"; ","")&amp;IF(AND(Config!$B$11&lt;&gt;"",F47&lt;&gt;"Sim",F47&lt;&gt;"N/A"),Config!$B$11&amp;"; ","")&amp;IF(AND(Config!$B$12&lt;&gt;"",G47&lt;&gt;"Sim",G47&lt;&gt;"N/A"),Config!$B$12&amp;"; ","")&amp;IF(AND(Config!$B$13&lt;&gt;"",H47&lt;&gt;"Sim",H47&lt;&gt;"N/A"),Config!$B$13&amp;"; ","")&amp;IF(AND(Config!$B$14&lt;&gt;"",I47&lt;&gt;"Sim",I47&lt;&gt;"N/A"),Config!$B$14&amp;"; ","")&amp;IF(AND(Config!$B$15&lt;&gt;"",J47&lt;&gt;"Sim",J47&lt;&gt;"N/A"),Config!$B$15&amp;"; ","")&amp;IF(AND(Config!$B$16&lt;&gt;"",K47&lt;&gt;"Sim",K47&lt;&gt;"N/A"),Config!$B$16&amp;"; ","")&amp;IF(AND(Config!$B$17&lt;&gt;"",L47&lt;&gt;"Sim",L47&lt;&gt;"N/A"),Config!$B$17&amp;"; ","")&amp;IF(AND(Config!$B$18&lt;&gt;"",M47&lt;&gt;"Sim",M47&lt;&gt;"N/A"),Config!$B$18&amp;"; ","")&amp;IF(AND(Config!$B$19&lt;&gt;"",N47&lt;&gt;"Sim",N47&lt;&gt;"N/A"),Config!$B$19&amp;"; ","")&amp;IF(AND($D47="Encerrado",Config!$D$10&lt;&gt;"",O47&lt;&gt;"Sim",O47&lt;&gt;"N/A"),Config!$D$10&amp;"; ","")&amp;IF(AND($D47="Encerrado",Config!$D$11&lt;&gt;"",P47&lt;&gt;"Sim",P47&lt;&gt;"N/A"),Config!$D$11&amp;"; ","")&amp;IF(AND($D47="Encerrado",Config!$D$12&lt;&gt;"",Q47&lt;&gt;"Sim",Q47&lt;&gt;"N/A"),Config!$D$12&amp;"; ","")&amp;IF(AND($D47="Encerrado",Config!$D$13&lt;&gt;"",R47&lt;&gt;"Sim",R47&lt;&gt;"N/A"),Config!$D$13&amp;"; ","")&amp;IF(AND($D47="Encerrado",Config!$D$14&lt;&gt;"",S47&lt;&gt;"Sim",S47&lt;&gt;"N/A"),Config!$D$14&amp;"; ","")&amp;IF(AND($D47="Encerrado",Config!$D$15&lt;&gt;"",T47&lt;&gt;"Sim",T47&lt;&gt;"N/A"),Config!$D$15&amp;"; ","")&amp;IF(AND($D47="Encerrado",Config!$D$16&lt;&gt;"",U47&lt;&gt;"Sim",U47&lt;&gt;"N/A"),Config!$D$16&amp;"; ","")&amp;IF(AND($D47="Encerrado",Config!$D$17&lt;&gt;"",V47&lt;&gt;"Sim",V47&lt;&gt;"N/A"),Config!$D$17&amp;"; ","")&amp;IF(AND($D47="Encerrado",Config!$D$18&lt;&gt;"",W47&lt;&gt;"Sim",W47&lt;&gt;"N/A"),Config!$D$18&amp;"; ","")&amp;IF(AND($D47="Encerrado",Config!$D$19&lt;&gt;"",X47&lt;&gt;"Sim",X47&lt;&gt;"N/A"),Config!$D$19&amp;"; ",""))</f>
        <v/>
      </c>
    </row>
    <row r="48">
      <c r="A48" s="29" t="n"/>
      <c r="B48" s="29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25">
        <f>IF(A48="","",IFERROR(COUNTIF(E48:N48,"Sim")/(Config!$B$21-COUNTIF(E48:N48,"N/A")),""))</f>
        <v/>
      </c>
      <c r="Z48" s="25">
        <f>IF(OR(A48="",D48&lt;&gt;"Encerrado"),"",IFERROR(COUNTIF(O48:X48,"Sim")/(Config!$D$21-COUNTIF(O48:X48,"N/A")),""))</f>
        <v/>
      </c>
      <c r="AA48" s="23">
        <f>IF(A48="","",MAX(0,Config!$B$21-COUNTIF(E48:N48,"Sim")-COUNTIF(E48:N48,"N/A")))</f>
        <v/>
      </c>
      <c r="AB48" s="23">
        <f>IF(OR(A48="",D48&lt;&gt;"Encerrado"),"",MAX(0,Config!$D$21-COUNTIF(O48:X48,"Sim")-COUNTIF(O48:X48,"N/A")))</f>
        <v/>
      </c>
      <c r="AC48" s="23">
        <f>IF(A48="","",AA48+IF(AB48="",0,AB48))</f>
        <v/>
      </c>
      <c r="AD48" s="24">
        <f>IF(OR(A48="",AF48=""),"",LEFT(AF48,LEN(AF48)-2))</f>
        <v/>
      </c>
      <c r="AE48" s="35">
        <f>IF(OR(A48="",AC48=0),0,AC48*100-ROW()/100000)</f>
        <v>0</v>
      </c>
      <c r="AF48" s="35">
        <f>IF(A48="","",IF(AND(Config!$B$10&lt;&gt;"",E48&lt;&gt;"Sim",E48&lt;&gt;"N/A"),Config!$B$10&amp;"; ","")&amp;IF(AND(Config!$B$11&lt;&gt;"",F48&lt;&gt;"Sim",F48&lt;&gt;"N/A"),Config!$B$11&amp;"; ","")&amp;IF(AND(Config!$B$12&lt;&gt;"",G48&lt;&gt;"Sim",G48&lt;&gt;"N/A"),Config!$B$12&amp;"; ","")&amp;IF(AND(Config!$B$13&lt;&gt;"",H48&lt;&gt;"Sim",H48&lt;&gt;"N/A"),Config!$B$13&amp;"; ","")&amp;IF(AND(Config!$B$14&lt;&gt;"",I48&lt;&gt;"Sim",I48&lt;&gt;"N/A"),Config!$B$14&amp;"; ","")&amp;IF(AND(Config!$B$15&lt;&gt;"",J48&lt;&gt;"Sim",J48&lt;&gt;"N/A"),Config!$B$15&amp;"; ","")&amp;IF(AND(Config!$B$16&lt;&gt;"",K48&lt;&gt;"Sim",K48&lt;&gt;"N/A"),Config!$B$16&amp;"; ","")&amp;IF(AND(Config!$B$17&lt;&gt;"",L48&lt;&gt;"Sim",L48&lt;&gt;"N/A"),Config!$B$17&amp;"; ","")&amp;IF(AND(Config!$B$18&lt;&gt;"",M48&lt;&gt;"Sim",M48&lt;&gt;"N/A"),Config!$B$18&amp;"; ","")&amp;IF(AND(Config!$B$19&lt;&gt;"",N48&lt;&gt;"Sim",N48&lt;&gt;"N/A"),Config!$B$19&amp;"; ","")&amp;IF(AND($D48="Encerrado",Config!$D$10&lt;&gt;"",O48&lt;&gt;"Sim",O48&lt;&gt;"N/A"),Config!$D$10&amp;"; ","")&amp;IF(AND($D48="Encerrado",Config!$D$11&lt;&gt;"",P48&lt;&gt;"Sim",P48&lt;&gt;"N/A"),Config!$D$11&amp;"; ","")&amp;IF(AND($D48="Encerrado",Config!$D$12&lt;&gt;"",Q48&lt;&gt;"Sim",Q48&lt;&gt;"N/A"),Config!$D$12&amp;"; ","")&amp;IF(AND($D48="Encerrado",Config!$D$13&lt;&gt;"",R48&lt;&gt;"Sim",R48&lt;&gt;"N/A"),Config!$D$13&amp;"; ","")&amp;IF(AND($D48="Encerrado",Config!$D$14&lt;&gt;"",S48&lt;&gt;"Sim",S48&lt;&gt;"N/A"),Config!$D$14&amp;"; ","")&amp;IF(AND($D48="Encerrado",Config!$D$15&lt;&gt;"",T48&lt;&gt;"Sim",T48&lt;&gt;"N/A"),Config!$D$15&amp;"; ","")&amp;IF(AND($D48="Encerrado",Config!$D$16&lt;&gt;"",U48&lt;&gt;"Sim",U48&lt;&gt;"N/A"),Config!$D$16&amp;"; ","")&amp;IF(AND($D48="Encerrado",Config!$D$17&lt;&gt;"",V48&lt;&gt;"Sim",V48&lt;&gt;"N/A"),Config!$D$17&amp;"; ","")&amp;IF(AND($D48="Encerrado",Config!$D$18&lt;&gt;"",W48&lt;&gt;"Sim",W48&lt;&gt;"N/A"),Config!$D$18&amp;"; ","")&amp;IF(AND($D48="Encerrado",Config!$D$19&lt;&gt;"",X48&lt;&gt;"Sim",X48&lt;&gt;"N/A"),Config!$D$19&amp;"; ",""))</f>
        <v/>
      </c>
    </row>
    <row r="49">
      <c r="A49" s="29" t="n"/>
      <c r="B49" s="29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25">
        <f>IF(A49="","",IFERROR(COUNTIF(E49:N49,"Sim")/(Config!$B$21-COUNTIF(E49:N49,"N/A")),""))</f>
        <v/>
      </c>
      <c r="Z49" s="25">
        <f>IF(OR(A49="",D49&lt;&gt;"Encerrado"),"",IFERROR(COUNTIF(O49:X49,"Sim")/(Config!$D$21-COUNTIF(O49:X49,"N/A")),""))</f>
        <v/>
      </c>
      <c r="AA49" s="23">
        <f>IF(A49="","",MAX(0,Config!$B$21-COUNTIF(E49:N49,"Sim")-COUNTIF(E49:N49,"N/A")))</f>
        <v/>
      </c>
      <c r="AB49" s="23">
        <f>IF(OR(A49="",D49&lt;&gt;"Encerrado"),"",MAX(0,Config!$D$21-COUNTIF(O49:X49,"Sim")-COUNTIF(O49:X49,"N/A")))</f>
        <v/>
      </c>
      <c r="AC49" s="23">
        <f>IF(A49="","",AA49+IF(AB49="",0,AB49))</f>
        <v/>
      </c>
      <c r="AD49" s="24">
        <f>IF(OR(A49="",AF49=""),"",LEFT(AF49,LEN(AF49)-2))</f>
        <v/>
      </c>
      <c r="AE49" s="35">
        <f>IF(OR(A49="",AC49=0),0,AC49*100-ROW()/100000)</f>
        <v>0</v>
      </c>
      <c r="AF49" s="35">
        <f>IF(A49="","",IF(AND(Config!$B$10&lt;&gt;"",E49&lt;&gt;"Sim",E49&lt;&gt;"N/A"),Config!$B$10&amp;"; ","")&amp;IF(AND(Config!$B$11&lt;&gt;"",F49&lt;&gt;"Sim",F49&lt;&gt;"N/A"),Config!$B$11&amp;"; ","")&amp;IF(AND(Config!$B$12&lt;&gt;"",G49&lt;&gt;"Sim",G49&lt;&gt;"N/A"),Config!$B$12&amp;"; ","")&amp;IF(AND(Config!$B$13&lt;&gt;"",H49&lt;&gt;"Sim",H49&lt;&gt;"N/A"),Config!$B$13&amp;"; ","")&amp;IF(AND(Config!$B$14&lt;&gt;"",I49&lt;&gt;"Sim",I49&lt;&gt;"N/A"),Config!$B$14&amp;"; ","")&amp;IF(AND(Config!$B$15&lt;&gt;"",J49&lt;&gt;"Sim",J49&lt;&gt;"N/A"),Config!$B$15&amp;"; ","")&amp;IF(AND(Config!$B$16&lt;&gt;"",K49&lt;&gt;"Sim",K49&lt;&gt;"N/A"),Config!$B$16&amp;"; ","")&amp;IF(AND(Config!$B$17&lt;&gt;"",L49&lt;&gt;"Sim",L49&lt;&gt;"N/A"),Config!$B$17&amp;"; ","")&amp;IF(AND(Config!$B$18&lt;&gt;"",M49&lt;&gt;"Sim",M49&lt;&gt;"N/A"),Config!$B$18&amp;"; ","")&amp;IF(AND(Config!$B$19&lt;&gt;"",N49&lt;&gt;"Sim",N49&lt;&gt;"N/A"),Config!$B$19&amp;"; ","")&amp;IF(AND($D49="Encerrado",Config!$D$10&lt;&gt;"",O49&lt;&gt;"Sim",O49&lt;&gt;"N/A"),Config!$D$10&amp;"; ","")&amp;IF(AND($D49="Encerrado",Config!$D$11&lt;&gt;"",P49&lt;&gt;"Sim",P49&lt;&gt;"N/A"),Config!$D$11&amp;"; ","")&amp;IF(AND($D49="Encerrado",Config!$D$12&lt;&gt;"",Q49&lt;&gt;"Sim",Q49&lt;&gt;"N/A"),Config!$D$12&amp;"; ","")&amp;IF(AND($D49="Encerrado",Config!$D$13&lt;&gt;"",R49&lt;&gt;"Sim",R49&lt;&gt;"N/A"),Config!$D$13&amp;"; ","")&amp;IF(AND($D49="Encerrado",Config!$D$14&lt;&gt;"",S49&lt;&gt;"Sim",S49&lt;&gt;"N/A"),Config!$D$14&amp;"; ","")&amp;IF(AND($D49="Encerrado",Config!$D$15&lt;&gt;"",T49&lt;&gt;"Sim",T49&lt;&gt;"N/A"),Config!$D$15&amp;"; ","")&amp;IF(AND($D49="Encerrado",Config!$D$16&lt;&gt;"",U49&lt;&gt;"Sim",U49&lt;&gt;"N/A"),Config!$D$16&amp;"; ","")&amp;IF(AND($D49="Encerrado",Config!$D$17&lt;&gt;"",V49&lt;&gt;"Sim",V49&lt;&gt;"N/A"),Config!$D$17&amp;"; ","")&amp;IF(AND($D49="Encerrado",Config!$D$18&lt;&gt;"",W49&lt;&gt;"Sim",W49&lt;&gt;"N/A"),Config!$D$18&amp;"; ","")&amp;IF(AND($D49="Encerrado",Config!$D$19&lt;&gt;"",X49&lt;&gt;"Sim",X49&lt;&gt;"N/A"),Config!$D$19&amp;"; ",""))</f>
        <v/>
      </c>
    </row>
    <row r="50">
      <c r="A50" s="29" t="n"/>
      <c r="B50" s="29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25">
        <f>IF(A50="","",IFERROR(COUNTIF(E50:N50,"Sim")/(Config!$B$21-COUNTIF(E50:N50,"N/A")),""))</f>
        <v/>
      </c>
      <c r="Z50" s="25">
        <f>IF(OR(A50="",D50&lt;&gt;"Encerrado"),"",IFERROR(COUNTIF(O50:X50,"Sim")/(Config!$D$21-COUNTIF(O50:X50,"N/A")),""))</f>
        <v/>
      </c>
      <c r="AA50" s="23">
        <f>IF(A50="","",MAX(0,Config!$B$21-COUNTIF(E50:N50,"Sim")-COUNTIF(E50:N50,"N/A")))</f>
        <v/>
      </c>
      <c r="AB50" s="23">
        <f>IF(OR(A50="",D50&lt;&gt;"Encerrado"),"",MAX(0,Config!$D$21-COUNTIF(O50:X50,"Sim")-COUNTIF(O50:X50,"N/A")))</f>
        <v/>
      </c>
      <c r="AC50" s="23">
        <f>IF(A50="","",AA50+IF(AB50="",0,AB50))</f>
        <v/>
      </c>
      <c r="AD50" s="24">
        <f>IF(OR(A50="",AF50=""),"",LEFT(AF50,LEN(AF50)-2))</f>
        <v/>
      </c>
      <c r="AE50" s="35">
        <f>IF(OR(A50="",AC50=0),0,AC50*100-ROW()/100000)</f>
        <v>0</v>
      </c>
      <c r="AF50" s="35">
        <f>IF(A50="","",IF(AND(Config!$B$10&lt;&gt;"",E50&lt;&gt;"Sim",E50&lt;&gt;"N/A"),Config!$B$10&amp;"; ","")&amp;IF(AND(Config!$B$11&lt;&gt;"",F50&lt;&gt;"Sim",F50&lt;&gt;"N/A"),Config!$B$11&amp;"; ","")&amp;IF(AND(Config!$B$12&lt;&gt;"",G50&lt;&gt;"Sim",G50&lt;&gt;"N/A"),Config!$B$12&amp;"; ","")&amp;IF(AND(Config!$B$13&lt;&gt;"",H50&lt;&gt;"Sim",H50&lt;&gt;"N/A"),Config!$B$13&amp;"; ","")&amp;IF(AND(Config!$B$14&lt;&gt;"",I50&lt;&gt;"Sim",I50&lt;&gt;"N/A"),Config!$B$14&amp;"; ","")&amp;IF(AND(Config!$B$15&lt;&gt;"",J50&lt;&gt;"Sim",J50&lt;&gt;"N/A"),Config!$B$15&amp;"; ","")&amp;IF(AND(Config!$B$16&lt;&gt;"",K50&lt;&gt;"Sim",K50&lt;&gt;"N/A"),Config!$B$16&amp;"; ","")&amp;IF(AND(Config!$B$17&lt;&gt;"",L50&lt;&gt;"Sim",L50&lt;&gt;"N/A"),Config!$B$17&amp;"; ","")&amp;IF(AND(Config!$B$18&lt;&gt;"",M50&lt;&gt;"Sim",M50&lt;&gt;"N/A"),Config!$B$18&amp;"; ","")&amp;IF(AND(Config!$B$19&lt;&gt;"",N50&lt;&gt;"Sim",N50&lt;&gt;"N/A"),Config!$B$19&amp;"; ","")&amp;IF(AND($D50="Encerrado",Config!$D$10&lt;&gt;"",O50&lt;&gt;"Sim",O50&lt;&gt;"N/A"),Config!$D$10&amp;"; ","")&amp;IF(AND($D50="Encerrado",Config!$D$11&lt;&gt;"",P50&lt;&gt;"Sim",P50&lt;&gt;"N/A"),Config!$D$11&amp;"; ","")&amp;IF(AND($D50="Encerrado",Config!$D$12&lt;&gt;"",Q50&lt;&gt;"Sim",Q50&lt;&gt;"N/A"),Config!$D$12&amp;"; ","")&amp;IF(AND($D50="Encerrado",Config!$D$13&lt;&gt;"",R50&lt;&gt;"Sim",R50&lt;&gt;"N/A"),Config!$D$13&amp;"; ","")&amp;IF(AND($D50="Encerrado",Config!$D$14&lt;&gt;"",S50&lt;&gt;"Sim",S50&lt;&gt;"N/A"),Config!$D$14&amp;"; ","")&amp;IF(AND($D50="Encerrado",Config!$D$15&lt;&gt;"",T50&lt;&gt;"Sim",T50&lt;&gt;"N/A"),Config!$D$15&amp;"; ","")&amp;IF(AND($D50="Encerrado",Config!$D$16&lt;&gt;"",U50&lt;&gt;"Sim",U50&lt;&gt;"N/A"),Config!$D$16&amp;"; ","")&amp;IF(AND($D50="Encerrado",Config!$D$17&lt;&gt;"",V50&lt;&gt;"Sim",V50&lt;&gt;"N/A"),Config!$D$17&amp;"; ","")&amp;IF(AND($D50="Encerrado",Config!$D$18&lt;&gt;"",W50&lt;&gt;"Sim",W50&lt;&gt;"N/A"),Config!$D$18&amp;"; ","")&amp;IF(AND($D50="Encerrado",Config!$D$19&lt;&gt;"",X50&lt;&gt;"Sim",X50&lt;&gt;"N/A"),Config!$D$19&amp;"; ",""))</f>
        <v/>
      </c>
    </row>
    <row r="51">
      <c r="A51" s="29" t="n"/>
      <c r="B51" s="29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25">
        <f>IF(A51="","",IFERROR(COUNTIF(E51:N51,"Sim")/(Config!$B$21-COUNTIF(E51:N51,"N/A")),""))</f>
        <v/>
      </c>
      <c r="Z51" s="25">
        <f>IF(OR(A51="",D51&lt;&gt;"Encerrado"),"",IFERROR(COUNTIF(O51:X51,"Sim")/(Config!$D$21-COUNTIF(O51:X51,"N/A")),""))</f>
        <v/>
      </c>
      <c r="AA51" s="23">
        <f>IF(A51="","",MAX(0,Config!$B$21-COUNTIF(E51:N51,"Sim")-COUNTIF(E51:N51,"N/A")))</f>
        <v/>
      </c>
      <c r="AB51" s="23">
        <f>IF(OR(A51="",D51&lt;&gt;"Encerrado"),"",MAX(0,Config!$D$21-COUNTIF(O51:X51,"Sim")-COUNTIF(O51:X51,"N/A")))</f>
        <v/>
      </c>
      <c r="AC51" s="23">
        <f>IF(A51="","",AA51+IF(AB51="",0,AB51))</f>
        <v/>
      </c>
      <c r="AD51" s="24">
        <f>IF(OR(A51="",AF51=""),"",LEFT(AF51,LEN(AF51)-2))</f>
        <v/>
      </c>
      <c r="AE51" s="35">
        <f>IF(OR(A51="",AC51=0),0,AC51*100-ROW()/100000)</f>
        <v>0</v>
      </c>
      <c r="AF51" s="35">
        <f>IF(A51="","",IF(AND(Config!$B$10&lt;&gt;"",E51&lt;&gt;"Sim",E51&lt;&gt;"N/A"),Config!$B$10&amp;"; ","")&amp;IF(AND(Config!$B$11&lt;&gt;"",F51&lt;&gt;"Sim",F51&lt;&gt;"N/A"),Config!$B$11&amp;"; ","")&amp;IF(AND(Config!$B$12&lt;&gt;"",G51&lt;&gt;"Sim",G51&lt;&gt;"N/A"),Config!$B$12&amp;"; ","")&amp;IF(AND(Config!$B$13&lt;&gt;"",H51&lt;&gt;"Sim",H51&lt;&gt;"N/A"),Config!$B$13&amp;"; ","")&amp;IF(AND(Config!$B$14&lt;&gt;"",I51&lt;&gt;"Sim",I51&lt;&gt;"N/A"),Config!$B$14&amp;"; ","")&amp;IF(AND(Config!$B$15&lt;&gt;"",J51&lt;&gt;"Sim",J51&lt;&gt;"N/A"),Config!$B$15&amp;"; ","")&amp;IF(AND(Config!$B$16&lt;&gt;"",K51&lt;&gt;"Sim",K51&lt;&gt;"N/A"),Config!$B$16&amp;"; ","")&amp;IF(AND(Config!$B$17&lt;&gt;"",L51&lt;&gt;"Sim",L51&lt;&gt;"N/A"),Config!$B$17&amp;"; ","")&amp;IF(AND(Config!$B$18&lt;&gt;"",M51&lt;&gt;"Sim",M51&lt;&gt;"N/A"),Config!$B$18&amp;"; ","")&amp;IF(AND(Config!$B$19&lt;&gt;"",N51&lt;&gt;"Sim",N51&lt;&gt;"N/A"),Config!$B$19&amp;"; ","")&amp;IF(AND($D51="Encerrado",Config!$D$10&lt;&gt;"",O51&lt;&gt;"Sim",O51&lt;&gt;"N/A"),Config!$D$10&amp;"; ","")&amp;IF(AND($D51="Encerrado",Config!$D$11&lt;&gt;"",P51&lt;&gt;"Sim",P51&lt;&gt;"N/A"),Config!$D$11&amp;"; ","")&amp;IF(AND($D51="Encerrado",Config!$D$12&lt;&gt;"",Q51&lt;&gt;"Sim",Q51&lt;&gt;"N/A"),Config!$D$12&amp;"; ","")&amp;IF(AND($D51="Encerrado",Config!$D$13&lt;&gt;"",R51&lt;&gt;"Sim",R51&lt;&gt;"N/A"),Config!$D$13&amp;"; ","")&amp;IF(AND($D51="Encerrado",Config!$D$14&lt;&gt;"",S51&lt;&gt;"Sim",S51&lt;&gt;"N/A"),Config!$D$14&amp;"; ","")&amp;IF(AND($D51="Encerrado",Config!$D$15&lt;&gt;"",T51&lt;&gt;"Sim",T51&lt;&gt;"N/A"),Config!$D$15&amp;"; ","")&amp;IF(AND($D51="Encerrado",Config!$D$16&lt;&gt;"",U51&lt;&gt;"Sim",U51&lt;&gt;"N/A"),Config!$D$16&amp;"; ","")&amp;IF(AND($D51="Encerrado",Config!$D$17&lt;&gt;"",V51&lt;&gt;"Sim",V51&lt;&gt;"N/A"),Config!$D$17&amp;"; ","")&amp;IF(AND($D51="Encerrado",Config!$D$18&lt;&gt;"",W51&lt;&gt;"Sim",W51&lt;&gt;"N/A"),Config!$D$18&amp;"; ","")&amp;IF(AND($D51="Encerrado",Config!$D$19&lt;&gt;"",X51&lt;&gt;"Sim",X51&lt;&gt;"N/A"),Config!$D$19&amp;"; ",""))</f>
        <v/>
      </c>
    </row>
    <row r="52">
      <c r="A52" s="29" t="n"/>
      <c r="B52" s="29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25">
        <f>IF(A52="","",IFERROR(COUNTIF(E52:N52,"Sim")/(Config!$B$21-COUNTIF(E52:N52,"N/A")),""))</f>
        <v/>
      </c>
      <c r="Z52" s="25">
        <f>IF(OR(A52="",D52&lt;&gt;"Encerrado"),"",IFERROR(COUNTIF(O52:X52,"Sim")/(Config!$D$21-COUNTIF(O52:X52,"N/A")),""))</f>
        <v/>
      </c>
      <c r="AA52" s="23">
        <f>IF(A52="","",MAX(0,Config!$B$21-COUNTIF(E52:N52,"Sim")-COUNTIF(E52:N52,"N/A")))</f>
        <v/>
      </c>
      <c r="AB52" s="23">
        <f>IF(OR(A52="",D52&lt;&gt;"Encerrado"),"",MAX(0,Config!$D$21-COUNTIF(O52:X52,"Sim")-COUNTIF(O52:X52,"N/A")))</f>
        <v/>
      </c>
      <c r="AC52" s="23">
        <f>IF(A52="","",AA52+IF(AB52="",0,AB52))</f>
        <v/>
      </c>
      <c r="AD52" s="24">
        <f>IF(OR(A52="",AF52=""),"",LEFT(AF52,LEN(AF52)-2))</f>
        <v/>
      </c>
      <c r="AE52" s="35">
        <f>IF(OR(A52="",AC52=0),0,AC52*100-ROW()/100000)</f>
        <v>0</v>
      </c>
      <c r="AF52" s="35">
        <f>IF(A52="","",IF(AND(Config!$B$10&lt;&gt;"",E52&lt;&gt;"Sim",E52&lt;&gt;"N/A"),Config!$B$10&amp;"; ","")&amp;IF(AND(Config!$B$11&lt;&gt;"",F52&lt;&gt;"Sim",F52&lt;&gt;"N/A"),Config!$B$11&amp;"; ","")&amp;IF(AND(Config!$B$12&lt;&gt;"",G52&lt;&gt;"Sim",G52&lt;&gt;"N/A"),Config!$B$12&amp;"; ","")&amp;IF(AND(Config!$B$13&lt;&gt;"",H52&lt;&gt;"Sim",H52&lt;&gt;"N/A"),Config!$B$13&amp;"; ","")&amp;IF(AND(Config!$B$14&lt;&gt;"",I52&lt;&gt;"Sim",I52&lt;&gt;"N/A"),Config!$B$14&amp;"; ","")&amp;IF(AND(Config!$B$15&lt;&gt;"",J52&lt;&gt;"Sim",J52&lt;&gt;"N/A"),Config!$B$15&amp;"; ","")&amp;IF(AND(Config!$B$16&lt;&gt;"",K52&lt;&gt;"Sim",K52&lt;&gt;"N/A"),Config!$B$16&amp;"; ","")&amp;IF(AND(Config!$B$17&lt;&gt;"",L52&lt;&gt;"Sim",L52&lt;&gt;"N/A"),Config!$B$17&amp;"; ","")&amp;IF(AND(Config!$B$18&lt;&gt;"",M52&lt;&gt;"Sim",M52&lt;&gt;"N/A"),Config!$B$18&amp;"; ","")&amp;IF(AND(Config!$B$19&lt;&gt;"",N52&lt;&gt;"Sim",N52&lt;&gt;"N/A"),Config!$B$19&amp;"; ","")&amp;IF(AND($D52="Encerrado",Config!$D$10&lt;&gt;"",O52&lt;&gt;"Sim",O52&lt;&gt;"N/A"),Config!$D$10&amp;"; ","")&amp;IF(AND($D52="Encerrado",Config!$D$11&lt;&gt;"",P52&lt;&gt;"Sim",P52&lt;&gt;"N/A"),Config!$D$11&amp;"; ","")&amp;IF(AND($D52="Encerrado",Config!$D$12&lt;&gt;"",Q52&lt;&gt;"Sim",Q52&lt;&gt;"N/A"),Config!$D$12&amp;"; ","")&amp;IF(AND($D52="Encerrado",Config!$D$13&lt;&gt;"",R52&lt;&gt;"Sim",R52&lt;&gt;"N/A"),Config!$D$13&amp;"; ","")&amp;IF(AND($D52="Encerrado",Config!$D$14&lt;&gt;"",S52&lt;&gt;"Sim",S52&lt;&gt;"N/A"),Config!$D$14&amp;"; ","")&amp;IF(AND($D52="Encerrado",Config!$D$15&lt;&gt;"",T52&lt;&gt;"Sim",T52&lt;&gt;"N/A"),Config!$D$15&amp;"; ","")&amp;IF(AND($D52="Encerrado",Config!$D$16&lt;&gt;"",U52&lt;&gt;"Sim",U52&lt;&gt;"N/A"),Config!$D$16&amp;"; ","")&amp;IF(AND($D52="Encerrado",Config!$D$17&lt;&gt;"",V52&lt;&gt;"Sim",V52&lt;&gt;"N/A"),Config!$D$17&amp;"; ","")&amp;IF(AND($D52="Encerrado",Config!$D$18&lt;&gt;"",W52&lt;&gt;"Sim",W52&lt;&gt;"N/A"),Config!$D$18&amp;"; ","")&amp;IF(AND($D52="Encerrado",Config!$D$19&lt;&gt;"",X52&lt;&gt;"Sim",X52&lt;&gt;"N/A"),Config!$D$19&amp;"; ",""))</f>
        <v/>
      </c>
    </row>
    <row r="53">
      <c r="A53" s="29" t="n"/>
      <c r="B53" s="29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25">
        <f>IF(A53="","",IFERROR(COUNTIF(E53:N53,"Sim")/(Config!$B$21-COUNTIF(E53:N53,"N/A")),""))</f>
        <v/>
      </c>
      <c r="Z53" s="25">
        <f>IF(OR(A53="",D53&lt;&gt;"Encerrado"),"",IFERROR(COUNTIF(O53:X53,"Sim")/(Config!$D$21-COUNTIF(O53:X53,"N/A")),""))</f>
        <v/>
      </c>
      <c r="AA53" s="23">
        <f>IF(A53="","",MAX(0,Config!$B$21-COUNTIF(E53:N53,"Sim")-COUNTIF(E53:N53,"N/A")))</f>
        <v/>
      </c>
      <c r="AB53" s="23">
        <f>IF(OR(A53="",D53&lt;&gt;"Encerrado"),"",MAX(0,Config!$D$21-COUNTIF(O53:X53,"Sim")-COUNTIF(O53:X53,"N/A")))</f>
        <v/>
      </c>
      <c r="AC53" s="23">
        <f>IF(A53="","",AA53+IF(AB53="",0,AB53))</f>
        <v/>
      </c>
      <c r="AD53" s="24">
        <f>IF(OR(A53="",AF53=""),"",LEFT(AF53,LEN(AF53)-2))</f>
        <v/>
      </c>
      <c r="AE53" s="35">
        <f>IF(OR(A53="",AC53=0),0,AC53*100-ROW()/100000)</f>
        <v>0</v>
      </c>
      <c r="AF53" s="35">
        <f>IF(A53="","",IF(AND(Config!$B$10&lt;&gt;"",E53&lt;&gt;"Sim",E53&lt;&gt;"N/A"),Config!$B$10&amp;"; ","")&amp;IF(AND(Config!$B$11&lt;&gt;"",F53&lt;&gt;"Sim",F53&lt;&gt;"N/A"),Config!$B$11&amp;"; ","")&amp;IF(AND(Config!$B$12&lt;&gt;"",G53&lt;&gt;"Sim",G53&lt;&gt;"N/A"),Config!$B$12&amp;"; ","")&amp;IF(AND(Config!$B$13&lt;&gt;"",H53&lt;&gt;"Sim",H53&lt;&gt;"N/A"),Config!$B$13&amp;"; ","")&amp;IF(AND(Config!$B$14&lt;&gt;"",I53&lt;&gt;"Sim",I53&lt;&gt;"N/A"),Config!$B$14&amp;"; ","")&amp;IF(AND(Config!$B$15&lt;&gt;"",J53&lt;&gt;"Sim",J53&lt;&gt;"N/A"),Config!$B$15&amp;"; ","")&amp;IF(AND(Config!$B$16&lt;&gt;"",K53&lt;&gt;"Sim",K53&lt;&gt;"N/A"),Config!$B$16&amp;"; ","")&amp;IF(AND(Config!$B$17&lt;&gt;"",L53&lt;&gt;"Sim",L53&lt;&gt;"N/A"),Config!$B$17&amp;"; ","")&amp;IF(AND(Config!$B$18&lt;&gt;"",M53&lt;&gt;"Sim",M53&lt;&gt;"N/A"),Config!$B$18&amp;"; ","")&amp;IF(AND(Config!$B$19&lt;&gt;"",N53&lt;&gt;"Sim",N53&lt;&gt;"N/A"),Config!$B$19&amp;"; ","")&amp;IF(AND($D53="Encerrado",Config!$D$10&lt;&gt;"",O53&lt;&gt;"Sim",O53&lt;&gt;"N/A"),Config!$D$10&amp;"; ","")&amp;IF(AND($D53="Encerrado",Config!$D$11&lt;&gt;"",P53&lt;&gt;"Sim",P53&lt;&gt;"N/A"),Config!$D$11&amp;"; ","")&amp;IF(AND($D53="Encerrado",Config!$D$12&lt;&gt;"",Q53&lt;&gt;"Sim",Q53&lt;&gt;"N/A"),Config!$D$12&amp;"; ","")&amp;IF(AND($D53="Encerrado",Config!$D$13&lt;&gt;"",R53&lt;&gt;"Sim",R53&lt;&gt;"N/A"),Config!$D$13&amp;"; ","")&amp;IF(AND($D53="Encerrado",Config!$D$14&lt;&gt;"",S53&lt;&gt;"Sim",S53&lt;&gt;"N/A"),Config!$D$14&amp;"; ","")&amp;IF(AND($D53="Encerrado",Config!$D$15&lt;&gt;"",T53&lt;&gt;"Sim",T53&lt;&gt;"N/A"),Config!$D$15&amp;"; ","")&amp;IF(AND($D53="Encerrado",Config!$D$16&lt;&gt;"",U53&lt;&gt;"Sim",U53&lt;&gt;"N/A"),Config!$D$16&amp;"; ","")&amp;IF(AND($D53="Encerrado",Config!$D$17&lt;&gt;"",V53&lt;&gt;"Sim",V53&lt;&gt;"N/A"),Config!$D$17&amp;"; ","")&amp;IF(AND($D53="Encerrado",Config!$D$18&lt;&gt;"",W53&lt;&gt;"Sim",W53&lt;&gt;"N/A"),Config!$D$18&amp;"; ","")&amp;IF(AND($D53="Encerrado",Config!$D$19&lt;&gt;"",X53&lt;&gt;"Sim",X53&lt;&gt;"N/A"),Config!$D$19&amp;"; ",""))</f>
        <v/>
      </c>
    </row>
    <row r="54">
      <c r="A54" s="29" t="n"/>
      <c r="B54" s="29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25">
        <f>IF(A54="","",IFERROR(COUNTIF(E54:N54,"Sim")/(Config!$B$21-COUNTIF(E54:N54,"N/A")),""))</f>
        <v/>
      </c>
      <c r="Z54" s="25">
        <f>IF(OR(A54="",D54&lt;&gt;"Encerrado"),"",IFERROR(COUNTIF(O54:X54,"Sim")/(Config!$D$21-COUNTIF(O54:X54,"N/A")),""))</f>
        <v/>
      </c>
      <c r="AA54" s="23">
        <f>IF(A54="","",MAX(0,Config!$B$21-COUNTIF(E54:N54,"Sim")-COUNTIF(E54:N54,"N/A")))</f>
        <v/>
      </c>
      <c r="AB54" s="23">
        <f>IF(OR(A54="",D54&lt;&gt;"Encerrado"),"",MAX(0,Config!$D$21-COUNTIF(O54:X54,"Sim")-COUNTIF(O54:X54,"N/A")))</f>
        <v/>
      </c>
      <c r="AC54" s="23">
        <f>IF(A54="","",AA54+IF(AB54="",0,AB54))</f>
        <v/>
      </c>
      <c r="AD54" s="24">
        <f>IF(OR(A54="",AF54=""),"",LEFT(AF54,LEN(AF54)-2))</f>
        <v/>
      </c>
      <c r="AE54" s="35">
        <f>IF(OR(A54="",AC54=0),0,AC54*100-ROW()/100000)</f>
        <v>0</v>
      </c>
      <c r="AF54" s="35">
        <f>IF(A54="","",IF(AND(Config!$B$10&lt;&gt;"",E54&lt;&gt;"Sim",E54&lt;&gt;"N/A"),Config!$B$10&amp;"; ","")&amp;IF(AND(Config!$B$11&lt;&gt;"",F54&lt;&gt;"Sim",F54&lt;&gt;"N/A"),Config!$B$11&amp;"; ","")&amp;IF(AND(Config!$B$12&lt;&gt;"",G54&lt;&gt;"Sim",G54&lt;&gt;"N/A"),Config!$B$12&amp;"; ","")&amp;IF(AND(Config!$B$13&lt;&gt;"",H54&lt;&gt;"Sim",H54&lt;&gt;"N/A"),Config!$B$13&amp;"; ","")&amp;IF(AND(Config!$B$14&lt;&gt;"",I54&lt;&gt;"Sim",I54&lt;&gt;"N/A"),Config!$B$14&amp;"; ","")&amp;IF(AND(Config!$B$15&lt;&gt;"",J54&lt;&gt;"Sim",J54&lt;&gt;"N/A"),Config!$B$15&amp;"; ","")&amp;IF(AND(Config!$B$16&lt;&gt;"",K54&lt;&gt;"Sim",K54&lt;&gt;"N/A"),Config!$B$16&amp;"; ","")&amp;IF(AND(Config!$B$17&lt;&gt;"",L54&lt;&gt;"Sim",L54&lt;&gt;"N/A"),Config!$B$17&amp;"; ","")&amp;IF(AND(Config!$B$18&lt;&gt;"",M54&lt;&gt;"Sim",M54&lt;&gt;"N/A"),Config!$B$18&amp;"; ","")&amp;IF(AND(Config!$B$19&lt;&gt;"",N54&lt;&gt;"Sim",N54&lt;&gt;"N/A"),Config!$B$19&amp;"; ","")&amp;IF(AND($D54="Encerrado",Config!$D$10&lt;&gt;"",O54&lt;&gt;"Sim",O54&lt;&gt;"N/A"),Config!$D$10&amp;"; ","")&amp;IF(AND($D54="Encerrado",Config!$D$11&lt;&gt;"",P54&lt;&gt;"Sim",P54&lt;&gt;"N/A"),Config!$D$11&amp;"; ","")&amp;IF(AND($D54="Encerrado",Config!$D$12&lt;&gt;"",Q54&lt;&gt;"Sim",Q54&lt;&gt;"N/A"),Config!$D$12&amp;"; ","")&amp;IF(AND($D54="Encerrado",Config!$D$13&lt;&gt;"",R54&lt;&gt;"Sim",R54&lt;&gt;"N/A"),Config!$D$13&amp;"; ","")&amp;IF(AND($D54="Encerrado",Config!$D$14&lt;&gt;"",S54&lt;&gt;"Sim",S54&lt;&gt;"N/A"),Config!$D$14&amp;"; ","")&amp;IF(AND($D54="Encerrado",Config!$D$15&lt;&gt;"",T54&lt;&gt;"Sim",T54&lt;&gt;"N/A"),Config!$D$15&amp;"; ","")&amp;IF(AND($D54="Encerrado",Config!$D$16&lt;&gt;"",U54&lt;&gt;"Sim",U54&lt;&gt;"N/A"),Config!$D$16&amp;"; ","")&amp;IF(AND($D54="Encerrado",Config!$D$17&lt;&gt;"",V54&lt;&gt;"Sim",V54&lt;&gt;"N/A"),Config!$D$17&amp;"; ","")&amp;IF(AND($D54="Encerrado",Config!$D$18&lt;&gt;"",W54&lt;&gt;"Sim",W54&lt;&gt;"N/A"),Config!$D$18&amp;"; ","")&amp;IF(AND($D54="Encerrado",Config!$D$19&lt;&gt;"",X54&lt;&gt;"Sim",X54&lt;&gt;"N/A"),Config!$D$19&amp;"; ",""))</f>
        <v/>
      </c>
    </row>
    <row r="55">
      <c r="A55" s="29" t="n"/>
      <c r="B55" s="29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25">
        <f>IF(A55="","",IFERROR(COUNTIF(E55:N55,"Sim")/(Config!$B$21-COUNTIF(E55:N55,"N/A")),""))</f>
        <v/>
      </c>
      <c r="Z55" s="25">
        <f>IF(OR(A55="",D55&lt;&gt;"Encerrado"),"",IFERROR(COUNTIF(O55:X55,"Sim")/(Config!$D$21-COUNTIF(O55:X55,"N/A")),""))</f>
        <v/>
      </c>
      <c r="AA55" s="23">
        <f>IF(A55="","",MAX(0,Config!$B$21-COUNTIF(E55:N55,"Sim")-COUNTIF(E55:N55,"N/A")))</f>
        <v/>
      </c>
      <c r="AB55" s="23">
        <f>IF(OR(A55="",D55&lt;&gt;"Encerrado"),"",MAX(0,Config!$D$21-COUNTIF(O55:X55,"Sim")-COUNTIF(O55:X55,"N/A")))</f>
        <v/>
      </c>
      <c r="AC55" s="23">
        <f>IF(A55="","",AA55+IF(AB55="",0,AB55))</f>
        <v/>
      </c>
      <c r="AD55" s="24">
        <f>IF(OR(A55="",AF55=""),"",LEFT(AF55,LEN(AF55)-2))</f>
        <v/>
      </c>
      <c r="AE55" s="35">
        <f>IF(OR(A55="",AC55=0),0,AC55*100-ROW()/100000)</f>
        <v>0</v>
      </c>
      <c r="AF55" s="35">
        <f>IF(A55="","",IF(AND(Config!$B$10&lt;&gt;"",E55&lt;&gt;"Sim",E55&lt;&gt;"N/A"),Config!$B$10&amp;"; ","")&amp;IF(AND(Config!$B$11&lt;&gt;"",F55&lt;&gt;"Sim",F55&lt;&gt;"N/A"),Config!$B$11&amp;"; ","")&amp;IF(AND(Config!$B$12&lt;&gt;"",G55&lt;&gt;"Sim",G55&lt;&gt;"N/A"),Config!$B$12&amp;"; ","")&amp;IF(AND(Config!$B$13&lt;&gt;"",H55&lt;&gt;"Sim",H55&lt;&gt;"N/A"),Config!$B$13&amp;"; ","")&amp;IF(AND(Config!$B$14&lt;&gt;"",I55&lt;&gt;"Sim",I55&lt;&gt;"N/A"),Config!$B$14&amp;"; ","")&amp;IF(AND(Config!$B$15&lt;&gt;"",J55&lt;&gt;"Sim",J55&lt;&gt;"N/A"),Config!$B$15&amp;"; ","")&amp;IF(AND(Config!$B$16&lt;&gt;"",K55&lt;&gt;"Sim",K55&lt;&gt;"N/A"),Config!$B$16&amp;"; ","")&amp;IF(AND(Config!$B$17&lt;&gt;"",L55&lt;&gt;"Sim",L55&lt;&gt;"N/A"),Config!$B$17&amp;"; ","")&amp;IF(AND(Config!$B$18&lt;&gt;"",M55&lt;&gt;"Sim",M55&lt;&gt;"N/A"),Config!$B$18&amp;"; ","")&amp;IF(AND(Config!$B$19&lt;&gt;"",N55&lt;&gt;"Sim",N55&lt;&gt;"N/A"),Config!$B$19&amp;"; ","")&amp;IF(AND($D55="Encerrado",Config!$D$10&lt;&gt;"",O55&lt;&gt;"Sim",O55&lt;&gt;"N/A"),Config!$D$10&amp;"; ","")&amp;IF(AND($D55="Encerrado",Config!$D$11&lt;&gt;"",P55&lt;&gt;"Sim",P55&lt;&gt;"N/A"),Config!$D$11&amp;"; ","")&amp;IF(AND($D55="Encerrado",Config!$D$12&lt;&gt;"",Q55&lt;&gt;"Sim",Q55&lt;&gt;"N/A"),Config!$D$12&amp;"; ","")&amp;IF(AND($D55="Encerrado",Config!$D$13&lt;&gt;"",R55&lt;&gt;"Sim",R55&lt;&gt;"N/A"),Config!$D$13&amp;"; ","")&amp;IF(AND($D55="Encerrado",Config!$D$14&lt;&gt;"",S55&lt;&gt;"Sim",S55&lt;&gt;"N/A"),Config!$D$14&amp;"; ","")&amp;IF(AND($D55="Encerrado",Config!$D$15&lt;&gt;"",T55&lt;&gt;"Sim",T55&lt;&gt;"N/A"),Config!$D$15&amp;"; ","")&amp;IF(AND($D55="Encerrado",Config!$D$16&lt;&gt;"",U55&lt;&gt;"Sim",U55&lt;&gt;"N/A"),Config!$D$16&amp;"; ","")&amp;IF(AND($D55="Encerrado",Config!$D$17&lt;&gt;"",V55&lt;&gt;"Sim",V55&lt;&gt;"N/A"),Config!$D$17&amp;"; ","")&amp;IF(AND($D55="Encerrado",Config!$D$18&lt;&gt;"",W55&lt;&gt;"Sim",W55&lt;&gt;"N/A"),Config!$D$18&amp;"; ","")&amp;IF(AND($D55="Encerrado",Config!$D$19&lt;&gt;"",X55&lt;&gt;"Sim",X55&lt;&gt;"N/A"),Config!$D$19&amp;"; ",""))</f>
        <v/>
      </c>
    </row>
    <row r="56">
      <c r="A56" s="29" t="n"/>
      <c r="B56" s="29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25">
        <f>IF(A56="","",IFERROR(COUNTIF(E56:N56,"Sim")/(Config!$B$21-COUNTIF(E56:N56,"N/A")),""))</f>
        <v/>
      </c>
      <c r="Z56" s="25">
        <f>IF(OR(A56="",D56&lt;&gt;"Encerrado"),"",IFERROR(COUNTIF(O56:X56,"Sim")/(Config!$D$21-COUNTIF(O56:X56,"N/A")),""))</f>
        <v/>
      </c>
      <c r="AA56" s="23">
        <f>IF(A56="","",MAX(0,Config!$B$21-COUNTIF(E56:N56,"Sim")-COUNTIF(E56:N56,"N/A")))</f>
        <v/>
      </c>
      <c r="AB56" s="23">
        <f>IF(OR(A56="",D56&lt;&gt;"Encerrado"),"",MAX(0,Config!$D$21-COUNTIF(O56:X56,"Sim")-COUNTIF(O56:X56,"N/A")))</f>
        <v/>
      </c>
      <c r="AC56" s="23">
        <f>IF(A56="","",AA56+IF(AB56="",0,AB56))</f>
        <v/>
      </c>
      <c r="AD56" s="24">
        <f>IF(OR(A56="",AF56=""),"",LEFT(AF56,LEN(AF56)-2))</f>
        <v/>
      </c>
      <c r="AE56" s="35">
        <f>IF(OR(A56="",AC56=0),0,AC56*100-ROW()/100000)</f>
        <v>0</v>
      </c>
      <c r="AF56" s="35">
        <f>IF(A56="","",IF(AND(Config!$B$10&lt;&gt;"",E56&lt;&gt;"Sim",E56&lt;&gt;"N/A"),Config!$B$10&amp;"; ","")&amp;IF(AND(Config!$B$11&lt;&gt;"",F56&lt;&gt;"Sim",F56&lt;&gt;"N/A"),Config!$B$11&amp;"; ","")&amp;IF(AND(Config!$B$12&lt;&gt;"",G56&lt;&gt;"Sim",G56&lt;&gt;"N/A"),Config!$B$12&amp;"; ","")&amp;IF(AND(Config!$B$13&lt;&gt;"",H56&lt;&gt;"Sim",H56&lt;&gt;"N/A"),Config!$B$13&amp;"; ","")&amp;IF(AND(Config!$B$14&lt;&gt;"",I56&lt;&gt;"Sim",I56&lt;&gt;"N/A"),Config!$B$14&amp;"; ","")&amp;IF(AND(Config!$B$15&lt;&gt;"",J56&lt;&gt;"Sim",J56&lt;&gt;"N/A"),Config!$B$15&amp;"; ","")&amp;IF(AND(Config!$B$16&lt;&gt;"",K56&lt;&gt;"Sim",K56&lt;&gt;"N/A"),Config!$B$16&amp;"; ","")&amp;IF(AND(Config!$B$17&lt;&gt;"",L56&lt;&gt;"Sim",L56&lt;&gt;"N/A"),Config!$B$17&amp;"; ","")&amp;IF(AND(Config!$B$18&lt;&gt;"",M56&lt;&gt;"Sim",M56&lt;&gt;"N/A"),Config!$B$18&amp;"; ","")&amp;IF(AND(Config!$B$19&lt;&gt;"",N56&lt;&gt;"Sim",N56&lt;&gt;"N/A"),Config!$B$19&amp;"; ","")&amp;IF(AND($D56="Encerrado",Config!$D$10&lt;&gt;"",O56&lt;&gt;"Sim",O56&lt;&gt;"N/A"),Config!$D$10&amp;"; ","")&amp;IF(AND($D56="Encerrado",Config!$D$11&lt;&gt;"",P56&lt;&gt;"Sim",P56&lt;&gt;"N/A"),Config!$D$11&amp;"; ","")&amp;IF(AND($D56="Encerrado",Config!$D$12&lt;&gt;"",Q56&lt;&gt;"Sim",Q56&lt;&gt;"N/A"),Config!$D$12&amp;"; ","")&amp;IF(AND($D56="Encerrado",Config!$D$13&lt;&gt;"",R56&lt;&gt;"Sim",R56&lt;&gt;"N/A"),Config!$D$13&amp;"; ","")&amp;IF(AND($D56="Encerrado",Config!$D$14&lt;&gt;"",S56&lt;&gt;"Sim",S56&lt;&gt;"N/A"),Config!$D$14&amp;"; ","")&amp;IF(AND($D56="Encerrado",Config!$D$15&lt;&gt;"",T56&lt;&gt;"Sim",T56&lt;&gt;"N/A"),Config!$D$15&amp;"; ","")&amp;IF(AND($D56="Encerrado",Config!$D$16&lt;&gt;"",U56&lt;&gt;"Sim",U56&lt;&gt;"N/A"),Config!$D$16&amp;"; ","")&amp;IF(AND($D56="Encerrado",Config!$D$17&lt;&gt;"",V56&lt;&gt;"Sim",V56&lt;&gt;"N/A"),Config!$D$17&amp;"; ","")&amp;IF(AND($D56="Encerrado",Config!$D$18&lt;&gt;"",W56&lt;&gt;"Sim",W56&lt;&gt;"N/A"),Config!$D$18&amp;"; ","")&amp;IF(AND($D56="Encerrado",Config!$D$19&lt;&gt;"",X56&lt;&gt;"Sim",X56&lt;&gt;"N/A"),Config!$D$19&amp;"; ",""))</f>
        <v/>
      </c>
    </row>
    <row r="57">
      <c r="A57" s="29" t="n"/>
      <c r="B57" s="29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25">
        <f>IF(A57="","",IFERROR(COUNTIF(E57:N57,"Sim")/(Config!$B$21-COUNTIF(E57:N57,"N/A")),""))</f>
        <v/>
      </c>
      <c r="Z57" s="25">
        <f>IF(OR(A57="",D57&lt;&gt;"Encerrado"),"",IFERROR(COUNTIF(O57:X57,"Sim")/(Config!$D$21-COUNTIF(O57:X57,"N/A")),""))</f>
        <v/>
      </c>
      <c r="AA57" s="23">
        <f>IF(A57="","",MAX(0,Config!$B$21-COUNTIF(E57:N57,"Sim")-COUNTIF(E57:N57,"N/A")))</f>
        <v/>
      </c>
      <c r="AB57" s="23">
        <f>IF(OR(A57="",D57&lt;&gt;"Encerrado"),"",MAX(0,Config!$D$21-COUNTIF(O57:X57,"Sim")-COUNTIF(O57:X57,"N/A")))</f>
        <v/>
      </c>
      <c r="AC57" s="23">
        <f>IF(A57="","",AA57+IF(AB57="",0,AB57))</f>
        <v/>
      </c>
      <c r="AD57" s="24">
        <f>IF(OR(A57="",AF57=""),"",LEFT(AF57,LEN(AF57)-2))</f>
        <v/>
      </c>
      <c r="AE57" s="35">
        <f>IF(OR(A57="",AC57=0),0,AC57*100-ROW()/100000)</f>
        <v>0</v>
      </c>
      <c r="AF57" s="35">
        <f>IF(A57="","",IF(AND(Config!$B$10&lt;&gt;"",E57&lt;&gt;"Sim",E57&lt;&gt;"N/A"),Config!$B$10&amp;"; ","")&amp;IF(AND(Config!$B$11&lt;&gt;"",F57&lt;&gt;"Sim",F57&lt;&gt;"N/A"),Config!$B$11&amp;"; ","")&amp;IF(AND(Config!$B$12&lt;&gt;"",G57&lt;&gt;"Sim",G57&lt;&gt;"N/A"),Config!$B$12&amp;"; ","")&amp;IF(AND(Config!$B$13&lt;&gt;"",H57&lt;&gt;"Sim",H57&lt;&gt;"N/A"),Config!$B$13&amp;"; ","")&amp;IF(AND(Config!$B$14&lt;&gt;"",I57&lt;&gt;"Sim",I57&lt;&gt;"N/A"),Config!$B$14&amp;"; ","")&amp;IF(AND(Config!$B$15&lt;&gt;"",J57&lt;&gt;"Sim",J57&lt;&gt;"N/A"),Config!$B$15&amp;"; ","")&amp;IF(AND(Config!$B$16&lt;&gt;"",K57&lt;&gt;"Sim",K57&lt;&gt;"N/A"),Config!$B$16&amp;"; ","")&amp;IF(AND(Config!$B$17&lt;&gt;"",L57&lt;&gt;"Sim",L57&lt;&gt;"N/A"),Config!$B$17&amp;"; ","")&amp;IF(AND(Config!$B$18&lt;&gt;"",M57&lt;&gt;"Sim",M57&lt;&gt;"N/A"),Config!$B$18&amp;"; ","")&amp;IF(AND(Config!$B$19&lt;&gt;"",N57&lt;&gt;"Sim",N57&lt;&gt;"N/A"),Config!$B$19&amp;"; ","")&amp;IF(AND($D57="Encerrado",Config!$D$10&lt;&gt;"",O57&lt;&gt;"Sim",O57&lt;&gt;"N/A"),Config!$D$10&amp;"; ","")&amp;IF(AND($D57="Encerrado",Config!$D$11&lt;&gt;"",P57&lt;&gt;"Sim",P57&lt;&gt;"N/A"),Config!$D$11&amp;"; ","")&amp;IF(AND($D57="Encerrado",Config!$D$12&lt;&gt;"",Q57&lt;&gt;"Sim",Q57&lt;&gt;"N/A"),Config!$D$12&amp;"; ","")&amp;IF(AND($D57="Encerrado",Config!$D$13&lt;&gt;"",R57&lt;&gt;"Sim",R57&lt;&gt;"N/A"),Config!$D$13&amp;"; ","")&amp;IF(AND($D57="Encerrado",Config!$D$14&lt;&gt;"",S57&lt;&gt;"Sim",S57&lt;&gt;"N/A"),Config!$D$14&amp;"; ","")&amp;IF(AND($D57="Encerrado",Config!$D$15&lt;&gt;"",T57&lt;&gt;"Sim",T57&lt;&gt;"N/A"),Config!$D$15&amp;"; ","")&amp;IF(AND($D57="Encerrado",Config!$D$16&lt;&gt;"",U57&lt;&gt;"Sim",U57&lt;&gt;"N/A"),Config!$D$16&amp;"; ","")&amp;IF(AND($D57="Encerrado",Config!$D$17&lt;&gt;"",V57&lt;&gt;"Sim",V57&lt;&gt;"N/A"),Config!$D$17&amp;"; ","")&amp;IF(AND($D57="Encerrado",Config!$D$18&lt;&gt;"",W57&lt;&gt;"Sim",W57&lt;&gt;"N/A"),Config!$D$18&amp;"; ","")&amp;IF(AND($D57="Encerrado",Config!$D$19&lt;&gt;"",X57&lt;&gt;"Sim",X57&lt;&gt;"N/A"),Config!$D$19&amp;"; ",""))</f>
        <v/>
      </c>
    </row>
    <row r="58">
      <c r="A58" s="29" t="n"/>
      <c r="B58" s="29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25">
        <f>IF(A58="","",IFERROR(COUNTIF(E58:N58,"Sim")/(Config!$B$21-COUNTIF(E58:N58,"N/A")),""))</f>
        <v/>
      </c>
      <c r="Z58" s="25">
        <f>IF(OR(A58="",D58&lt;&gt;"Encerrado"),"",IFERROR(COUNTIF(O58:X58,"Sim")/(Config!$D$21-COUNTIF(O58:X58,"N/A")),""))</f>
        <v/>
      </c>
      <c r="AA58" s="23">
        <f>IF(A58="","",MAX(0,Config!$B$21-COUNTIF(E58:N58,"Sim")-COUNTIF(E58:N58,"N/A")))</f>
        <v/>
      </c>
      <c r="AB58" s="23">
        <f>IF(OR(A58="",D58&lt;&gt;"Encerrado"),"",MAX(0,Config!$D$21-COUNTIF(O58:X58,"Sim")-COUNTIF(O58:X58,"N/A")))</f>
        <v/>
      </c>
      <c r="AC58" s="23">
        <f>IF(A58="","",AA58+IF(AB58="",0,AB58))</f>
        <v/>
      </c>
      <c r="AD58" s="24">
        <f>IF(OR(A58="",AF58=""),"",LEFT(AF58,LEN(AF58)-2))</f>
        <v/>
      </c>
      <c r="AE58" s="35">
        <f>IF(OR(A58="",AC58=0),0,AC58*100-ROW()/100000)</f>
        <v>0</v>
      </c>
      <c r="AF58" s="35">
        <f>IF(A58="","",IF(AND(Config!$B$10&lt;&gt;"",E58&lt;&gt;"Sim",E58&lt;&gt;"N/A"),Config!$B$10&amp;"; ","")&amp;IF(AND(Config!$B$11&lt;&gt;"",F58&lt;&gt;"Sim",F58&lt;&gt;"N/A"),Config!$B$11&amp;"; ","")&amp;IF(AND(Config!$B$12&lt;&gt;"",G58&lt;&gt;"Sim",G58&lt;&gt;"N/A"),Config!$B$12&amp;"; ","")&amp;IF(AND(Config!$B$13&lt;&gt;"",H58&lt;&gt;"Sim",H58&lt;&gt;"N/A"),Config!$B$13&amp;"; ","")&amp;IF(AND(Config!$B$14&lt;&gt;"",I58&lt;&gt;"Sim",I58&lt;&gt;"N/A"),Config!$B$14&amp;"; ","")&amp;IF(AND(Config!$B$15&lt;&gt;"",J58&lt;&gt;"Sim",J58&lt;&gt;"N/A"),Config!$B$15&amp;"; ","")&amp;IF(AND(Config!$B$16&lt;&gt;"",K58&lt;&gt;"Sim",K58&lt;&gt;"N/A"),Config!$B$16&amp;"; ","")&amp;IF(AND(Config!$B$17&lt;&gt;"",L58&lt;&gt;"Sim",L58&lt;&gt;"N/A"),Config!$B$17&amp;"; ","")&amp;IF(AND(Config!$B$18&lt;&gt;"",M58&lt;&gt;"Sim",M58&lt;&gt;"N/A"),Config!$B$18&amp;"; ","")&amp;IF(AND(Config!$B$19&lt;&gt;"",N58&lt;&gt;"Sim",N58&lt;&gt;"N/A"),Config!$B$19&amp;"; ","")&amp;IF(AND($D58="Encerrado",Config!$D$10&lt;&gt;"",O58&lt;&gt;"Sim",O58&lt;&gt;"N/A"),Config!$D$10&amp;"; ","")&amp;IF(AND($D58="Encerrado",Config!$D$11&lt;&gt;"",P58&lt;&gt;"Sim",P58&lt;&gt;"N/A"),Config!$D$11&amp;"; ","")&amp;IF(AND($D58="Encerrado",Config!$D$12&lt;&gt;"",Q58&lt;&gt;"Sim",Q58&lt;&gt;"N/A"),Config!$D$12&amp;"; ","")&amp;IF(AND($D58="Encerrado",Config!$D$13&lt;&gt;"",R58&lt;&gt;"Sim",R58&lt;&gt;"N/A"),Config!$D$13&amp;"; ","")&amp;IF(AND($D58="Encerrado",Config!$D$14&lt;&gt;"",S58&lt;&gt;"Sim",S58&lt;&gt;"N/A"),Config!$D$14&amp;"; ","")&amp;IF(AND($D58="Encerrado",Config!$D$15&lt;&gt;"",T58&lt;&gt;"Sim",T58&lt;&gt;"N/A"),Config!$D$15&amp;"; ","")&amp;IF(AND($D58="Encerrado",Config!$D$16&lt;&gt;"",U58&lt;&gt;"Sim",U58&lt;&gt;"N/A"),Config!$D$16&amp;"; ","")&amp;IF(AND($D58="Encerrado",Config!$D$17&lt;&gt;"",V58&lt;&gt;"Sim",V58&lt;&gt;"N/A"),Config!$D$17&amp;"; ","")&amp;IF(AND($D58="Encerrado",Config!$D$18&lt;&gt;"",W58&lt;&gt;"Sim",W58&lt;&gt;"N/A"),Config!$D$18&amp;"; ","")&amp;IF(AND($D58="Encerrado",Config!$D$19&lt;&gt;"",X58&lt;&gt;"Sim",X58&lt;&gt;"N/A"),Config!$D$19&amp;"; ",""))</f>
        <v/>
      </c>
    </row>
    <row r="59">
      <c r="A59" s="29" t="n"/>
      <c r="B59" s="29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25">
        <f>IF(A59="","",IFERROR(COUNTIF(E59:N59,"Sim")/(Config!$B$21-COUNTIF(E59:N59,"N/A")),""))</f>
        <v/>
      </c>
      <c r="Z59" s="25">
        <f>IF(OR(A59="",D59&lt;&gt;"Encerrado"),"",IFERROR(COUNTIF(O59:X59,"Sim")/(Config!$D$21-COUNTIF(O59:X59,"N/A")),""))</f>
        <v/>
      </c>
      <c r="AA59" s="23">
        <f>IF(A59="","",MAX(0,Config!$B$21-COUNTIF(E59:N59,"Sim")-COUNTIF(E59:N59,"N/A")))</f>
        <v/>
      </c>
      <c r="AB59" s="23">
        <f>IF(OR(A59="",D59&lt;&gt;"Encerrado"),"",MAX(0,Config!$D$21-COUNTIF(O59:X59,"Sim")-COUNTIF(O59:X59,"N/A")))</f>
        <v/>
      </c>
      <c r="AC59" s="23">
        <f>IF(A59="","",AA59+IF(AB59="",0,AB59))</f>
        <v/>
      </c>
      <c r="AD59" s="24">
        <f>IF(OR(A59="",AF59=""),"",LEFT(AF59,LEN(AF59)-2))</f>
        <v/>
      </c>
      <c r="AE59" s="35">
        <f>IF(OR(A59="",AC59=0),0,AC59*100-ROW()/100000)</f>
        <v>0</v>
      </c>
      <c r="AF59" s="35">
        <f>IF(A59="","",IF(AND(Config!$B$10&lt;&gt;"",E59&lt;&gt;"Sim",E59&lt;&gt;"N/A"),Config!$B$10&amp;"; ","")&amp;IF(AND(Config!$B$11&lt;&gt;"",F59&lt;&gt;"Sim",F59&lt;&gt;"N/A"),Config!$B$11&amp;"; ","")&amp;IF(AND(Config!$B$12&lt;&gt;"",G59&lt;&gt;"Sim",G59&lt;&gt;"N/A"),Config!$B$12&amp;"; ","")&amp;IF(AND(Config!$B$13&lt;&gt;"",H59&lt;&gt;"Sim",H59&lt;&gt;"N/A"),Config!$B$13&amp;"; ","")&amp;IF(AND(Config!$B$14&lt;&gt;"",I59&lt;&gt;"Sim",I59&lt;&gt;"N/A"),Config!$B$14&amp;"; ","")&amp;IF(AND(Config!$B$15&lt;&gt;"",J59&lt;&gt;"Sim",J59&lt;&gt;"N/A"),Config!$B$15&amp;"; ","")&amp;IF(AND(Config!$B$16&lt;&gt;"",K59&lt;&gt;"Sim",K59&lt;&gt;"N/A"),Config!$B$16&amp;"; ","")&amp;IF(AND(Config!$B$17&lt;&gt;"",L59&lt;&gt;"Sim",L59&lt;&gt;"N/A"),Config!$B$17&amp;"; ","")&amp;IF(AND(Config!$B$18&lt;&gt;"",M59&lt;&gt;"Sim",M59&lt;&gt;"N/A"),Config!$B$18&amp;"; ","")&amp;IF(AND(Config!$B$19&lt;&gt;"",N59&lt;&gt;"Sim",N59&lt;&gt;"N/A"),Config!$B$19&amp;"; ","")&amp;IF(AND($D59="Encerrado",Config!$D$10&lt;&gt;"",O59&lt;&gt;"Sim",O59&lt;&gt;"N/A"),Config!$D$10&amp;"; ","")&amp;IF(AND($D59="Encerrado",Config!$D$11&lt;&gt;"",P59&lt;&gt;"Sim",P59&lt;&gt;"N/A"),Config!$D$11&amp;"; ","")&amp;IF(AND($D59="Encerrado",Config!$D$12&lt;&gt;"",Q59&lt;&gt;"Sim",Q59&lt;&gt;"N/A"),Config!$D$12&amp;"; ","")&amp;IF(AND($D59="Encerrado",Config!$D$13&lt;&gt;"",R59&lt;&gt;"Sim",R59&lt;&gt;"N/A"),Config!$D$13&amp;"; ","")&amp;IF(AND($D59="Encerrado",Config!$D$14&lt;&gt;"",S59&lt;&gt;"Sim",S59&lt;&gt;"N/A"),Config!$D$14&amp;"; ","")&amp;IF(AND($D59="Encerrado",Config!$D$15&lt;&gt;"",T59&lt;&gt;"Sim",T59&lt;&gt;"N/A"),Config!$D$15&amp;"; ","")&amp;IF(AND($D59="Encerrado",Config!$D$16&lt;&gt;"",U59&lt;&gt;"Sim",U59&lt;&gt;"N/A"),Config!$D$16&amp;"; ","")&amp;IF(AND($D59="Encerrado",Config!$D$17&lt;&gt;"",V59&lt;&gt;"Sim",V59&lt;&gt;"N/A"),Config!$D$17&amp;"; ","")&amp;IF(AND($D59="Encerrado",Config!$D$18&lt;&gt;"",W59&lt;&gt;"Sim",W59&lt;&gt;"N/A"),Config!$D$18&amp;"; ","")&amp;IF(AND($D59="Encerrado",Config!$D$19&lt;&gt;"",X59&lt;&gt;"Sim",X59&lt;&gt;"N/A"),Config!$D$19&amp;"; ",""))</f>
        <v/>
      </c>
    </row>
    <row r="60">
      <c r="A60" s="29" t="n"/>
      <c r="B60" s="2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25">
        <f>IF(A60="","",IFERROR(COUNTIF(E60:N60,"Sim")/(Config!$B$21-COUNTIF(E60:N60,"N/A")),""))</f>
        <v/>
      </c>
      <c r="Z60" s="25">
        <f>IF(OR(A60="",D60&lt;&gt;"Encerrado"),"",IFERROR(COUNTIF(O60:X60,"Sim")/(Config!$D$21-COUNTIF(O60:X60,"N/A")),""))</f>
        <v/>
      </c>
      <c r="AA60" s="23">
        <f>IF(A60="","",MAX(0,Config!$B$21-COUNTIF(E60:N60,"Sim")-COUNTIF(E60:N60,"N/A")))</f>
        <v/>
      </c>
      <c r="AB60" s="23">
        <f>IF(OR(A60="",D60&lt;&gt;"Encerrado"),"",MAX(0,Config!$D$21-COUNTIF(O60:X60,"Sim")-COUNTIF(O60:X60,"N/A")))</f>
        <v/>
      </c>
      <c r="AC60" s="23">
        <f>IF(A60="","",AA60+IF(AB60="",0,AB60))</f>
        <v/>
      </c>
      <c r="AD60" s="24">
        <f>IF(OR(A60="",AF60=""),"",LEFT(AF60,LEN(AF60)-2))</f>
        <v/>
      </c>
      <c r="AE60" s="35">
        <f>IF(OR(A60="",AC60=0),0,AC60*100-ROW()/100000)</f>
        <v>0</v>
      </c>
      <c r="AF60" s="35">
        <f>IF(A60="","",IF(AND(Config!$B$10&lt;&gt;"",E60&lt;&gt;"Sim",E60&lt;&gt;"N/A"),Config!$B$10&amp;"; ","")&amp;IF(AND(Config!$B$11&lt;&gt;"",F60&lt;&gt;"Sim",F60&lt;&gt;"N/A"),Config!$B$11&amp;"; ","")&amp;IF(AND(Config!$B$12&lt;&gt;"",G60&lt;&gt;"Sim",G60&lt;&gt;"N/A"),Config!$B$12&amp;"; ","")&amp;IF(AND(Config!$B$13&lt;&gt;"",H60&lt;&gt;"Sim",H60&lt;&gt;"N/A"),Config!$B$13&amp;"; ","")&amp;IF(AND(Config!$B$14&lt;&gt;"",I60&lt;&gt;"Sim",I60&lt;&gt;"N/A"),Config!$B$14&amp;"; ","")&amp;IF(AND(Config!$B$15&lt;&gt;"",J60&lt;&gt;"Sim",J60&lt;&gt;"N/A"),Config!$B$15&amp;"; ","")&amp;IF(AND(Config!$B$16&lt;&gt;"",K60&lt;&gt;"Sim",K60&lt;&gt;"N/A"),Config!$B$16&amp;"; ","")&amp;IF(AND(Config!$B$17&lt;&gt;"",L60&lt;&gt;"Sim",L60&lt;&gt;"N/A"),Config!$B$17&amp;"; ","")&amp;IF(AND(Config!$B$18&lt;&gt;"",M60&lt;&gt;"Sim",M60&lt;&gt;"N/A"),Config!$B$18&amp;"; ","")&amp;IF(AND(Config!$B$19&lt;&gt;"",N60&lt;&gt;"Sim",N60&lt;&gt;"N/A"),Config!$B$19&amp;"; ","")&amp;IF(AND($D60="Encerrado",Config!$D$10&lt;&gt;"",O60&lt;&gt;"Sim",O60&lt;&gt;"N/A"),Config!$D$10&amp;"; ","")&amp;IF(AND($D60="Encerrado",Config!$D$11&lt;&gt;"",P60&lt;&gt;"Sim",P60&lt;&gt;"N/A"),Config!$D$11&amp;"; ","")&amp;IF(AND($D60="Encerrado",Config!$D$12&lt;&gt;"",Q60&lt;&gt;"Sim",Q60&lt;&gt;"N/A"),Config!$D$12&amp;"; ","")&amp;IF(AND($D60="Encerrado",Config!$D$13&lt;&gt;"",R60&lt;&gt;"Sim",R60&lt;&gt;"N/A"),Config!$D$13&amp;"; ","")&amp;IF(AND($D60="Encerrado",Config!$D$14&lt;&gt;"",S60&lt;&gt;"Sim",S60&lt;&gt;"N/A"),Config!$D$14&amp;"; ","")&amp;IF(AND($D60="Encerrado",Config!$D$15&lt;&gt;"",T60&lt;&gt;"Sim",T60&lt;&gt;"N/A"),Config!$D$15&amp;"; ","")&amp;IF(AND($D60="Encerrado",Config!$D$16&lt;&gt;"",U60&lt;&gt;"Sim",U60&lt;&gt;"N/A"),Config!$D$16&amp;"; ","")&amp;IF(AND($D60="Encerrado",Config!$D$17&lt;&gt;"",V60&lt;&gt;"Sim",V60&lt;&gt;"N/A"),Config!$D$17&amp;"; ","")&amp;IF(AND($D60="Encerrado",Config!$D$18&lt;&gt;"",W60&lt;&gt;"Sim",W60&lt;&gt;"N/A"),Config!$D$18&amp;"; ","")&amp;IF(AND($D60="Encerrado",Config!$D$19&lt;&gt;"",X60&lt;&gt;"Sim",X60&lt;&gt;"N/A"),Config!$D$19&amp;"; ",""))</f>
        <v/>
      </c>
    </row>
    <row r="61">
      <c r="A61" s="29" t="n"/>
      <c r="B61" s="29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25">
        <f>IF(A61="","",IFERROR(COUNTIF(E61:N61,"Sim")/(Config!$B$21-COUNTIF(E61:N61,"N/A")),""))</f>
        <v/>
      </c>
      <c r="Z61" s="25">
        <f>IF(OR(A61="",D61&lt;&gt;"Encerrado"),"",IFERROR(COUNTIF(O61:X61,"Sim")/(Config!$D$21-COUNTIF(O61:X61,"N/A")),""))</f>
        <v/>
      </c>
      <c r="AA61" s="23">
        <f>IF(A61="","",MAX(0,Config!$B$21-COUNTIF(E61:N61,"Sim")-COUNTIF(E61:N61,"N/A")))</f>
        <v/>
      </c>
      <c r="AB61" s="23">
        <f>IF(OR(A61="",D61&lt;&gt;"Encerrado"),"",MAX(0,Config!$D$21-COUNTIF(O61:X61,"Sim")-COUNTIF(O61:X61,"N/A")))</f>
        <v/>
      </c>
      <c r="AC61" s="23">
        <f>IF(A61="","",AA61+IF(AB61="",0,AB61))</f>
        <v/>
      </c>
      <c r="AD61" s="24">
        <f>IF(OR(A61="",AF61=""),"",LEFT(AF61,LEN(AF61)-2))</f>
        <v/>
      </c>
      <c r="AE61" s="35">
        <f>IF(OR(A61="",AC61=0),0,AC61*100-ROW()/100000)</f>
        <v>0</v>
      </c>
      <c r="AF61" s="35">
        <f>IF(A61="","",IF(AND(Config!$B$10&lt;&gt;"",E61&lt;&gt;"Sim",E61&lt;&gt;"N/A"),Config!$B$10&amp;"; ","")&amp;IF(AND(Config!$B$11&lt;&gt;"",F61&lt;&gt;"Sim",F61&lt;&gt;"N/A"),Config!$B$11&amp;"; ","")&amp;IF(AND(Config!$B$12&lt;&gt;"",G61&lt;&gt;"Sim",G61&lt;&gt;"N/A"),Config!$B$12&amp;"; ","")&amp;IF(AND(Config!$B$13&lt;&gt;"",H61&lt;&gt;"Sim",H61&lt;&gt;"N/A"),Config!$B$13&amp;"; ","")&amp;IF(AND(Config!$B$14&lt;&gt;"",I61&lt;&gt;"Sim",I61&lt;&gt;"N/A"),Config!$B$14&amp;"; ","")&amp;IF(AND(Config!$B$15&lt;&gt;"",J61&lt;&gt;"Sim",J61&lt;&gt;"N/A"),Config!$B$15&amp;"; ","")&amp;IF(AND(Config!$B$16&lt;&gt;"",K61&lt;&gt;"Sim",K61&lt;&gt;"N/A"),Config!$B$16&amp;"; ","")&amp;IF(AND(Config!$B$17&lt;&gt;"",L61&lt;&gt;"Sim",L61&lt;&gt;"N/A"),Config!$B$17&amp;"; ","")&amp;IF(AND(Config!$B$18&lt;&gt;"",M61&lt;&gt;"Sim",M61&lt;&gt;"N/A"),Config!$B$18&amp;"; ","")&amp;IF(AND(Config!$B$19&lt;&gt;"",N61&lt;&gt;"Sim",N61&lt;&gt;"N/A"),Config!$B$19&amp;"; ","")&amp;IF(AND($D61="Encerrado",Config!$D$10&lt;&gt;"",O61&lt;&gt;"Sim",O61&lt;&gt;"N/A"),Config!$D$10&amp;"; ","")&amp;IF(AND($D61="Encerrado",Config!$D$11&lt;&gt;"",P61&lt;&gt;"Sim",P61&lt;&gt;"N/A"),Config!$D$11&amp;"; ","")&amp;IF(AND($D61="Encerrado",Config!$D$12&lt;&gt;"",Q61&lt;&gt;"Sim",Q61&lt;&gt;"N/A"),Config!$D$12&amp;"; ","")&amp;IF(AND($D61="Encerrado",Config!$D$13&lt;&gt;"",R61&lt;&gt;"Sim",R61&lt;&gt;"N/A"),Config!$D$13&amp;"; ","")&amp;IF(AND($D61="Encerrado",Config!$D$14&lt;&gt;"",S61&lt;&gt;"Sim",S61&lt;&gt;"N/A"),Config!$D$14&amp;"; ","")&amp;IF(AND($D61="Encerrado",Config!$D$15&lt;&gt;"",T61&lt;&gt;"Sim",T61&lt;&gt;"N/A"),Config!$D$15&amp;"; ","")&amp;IF(AND($D61="Encerrado",Config!$D$16&lt;&gt;"",U61&lt;&gt;"Sim",U61&lt;&gt;"N/A"),Config!$D$16&amp;"; ","")&amp;IF(AND($D61="Encerrado",Config!$D$17&lt;&gt;"",V61&lt;&gt;"Sim",V61&lt;&gt;"N/A"),Config!$D$17&amp;"; ","")&amp;IF(AND($D61="Encerrado",Config!$D$18&lt;&gt;"",W61&lt;&gt;"Sim",W61&lt;&gt;"N/A"),Config!$D$18&amp;"; ","")&amp;IF(AND($D61="Encerrado",Config!$D$19&lt;&gt;"",X61&lt;&gt;"Sim",X61&lt;&gt;"N/A"),Config!$D$19&amp;"; ",""))</f>
        <v/>
      </c>
    </row>
    <row r="62">
      <c r="A62" s="29" t="n"/>
      <c r="B62" s="29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25">
        <f>IF(A62="","",IFERROR(COUNTIF(E62:N62,"Sim")/(Config!$B$21-COUNTIF(E62:N62,"N/A")),""))</f>
        <v/>
      </c>
      <c r="Z62" s="25">
        <f>IF(OR(A62="",D62&lt;&gt;"Encerrado"),"",IFERROR(COUNTIF(O62:X62,"Sim")/(Config!$D$21-COUNTIF(O62:X62,"N/A")),""))</f>
        <v/>
      </c>
      <c r="AA62" s="23">
        <f>IF(A62="","",MAX(0,Config!$B$21-COUNTIF(E62:N62,"Sim")-COUNTIF(E62:N62,"N/A")))</f>
        <v/>
      </c>
      <c r="AB62" s="23">
        <f>IF(OR(A62="",D62&lt;&gt;"Encerrado"),"",MAX(0,Config!$D$21-COUNTIF(O62:X62,"Sim")-COUNTIF(O62:X62,"N/A")))</f>
        <v/>
      </c>
      <c r="AC62" s="23">
        <f>IF(A62="","",AA62+IF(AB62="",0,AB62))</f>
        <v/>
      </c>
      <c r="AD62" s="24">
        <f>IF(OR(A62="",AF62=""),"",LEFT(AF62,LEN(AF62)-2))</f>
        <v/>
      </c>
      <c r="AE62" s="35">
        <f>IF(OR(A62="",AC62=0),0,AC62*100-ROW()/100000)</f>
        <v>0</v>
      </c>
      <c r="AF62" s="35">
        <f>IF(A62="","",IF(AND(Config!$B$10&lt;&gt;"",E62&lt;&gt;"Sim",E62&lt;&gt;"N/A"),Config!$B$10&amp;"; ","")&amp;IF(AND(Config!$B$11&lt;&gt;"",F62&lt;&gt;"Sim",F62&lt;&gt;"N/A"),Config!$B$11&amp;"; ","")&amp;IF(AND(Config!$B$12&lt;&gt;"",G62&lt;&gt;"Sim",G62&lt;&gt;"N/A"),Config!$B$12&amp;"; ","")&amp;IF(AND(Config!$B$13&lt;&gt;"",H62&lt;&gt;"Sim",H62&lt;&gt;"N/A"),Config!$B$13&amp;"; ","")&amp;IF(AND(Config!$B$14&lt;&gt;"",I62&lt;&gt;"Sim",I62&lt;&gt;"N/A"),Config!$B$14&amp;"; ","")&amp;IF(AND(Config!$B$15&lt;&gt;"",J62&lt;&gt;"Sim",J62&lt;&gt;"N/A"),Config!$B$15&amp;"; ","")&amp;IF(AND(Config!$B$16&lt;&gt;"",K62&lt;&gt;"Sim",K62&lt;&gt;"N/A"),Config!$B$16&amp;"; ","")&amp;IF(AND(Config!$B$17&lt;&gt;"",L62&lt;&gt;"Sim",L62&lt;&gt;"N/A"),Config!$B$17&amp;"; ","")&amp;IF(AND(Config!$B$18&lt;&gt;"",M62&lt;&gt;"Sim",M62&lt;&gt;"N/A"),Config!$B$18&amp;"; ","")&amp;IF(AND(Config!$B$19&lt;&gt;"",N62&lt;&gt;"Sim",N62&lt;&gt;"N/A"),Config!$B$19&amp;"; ","")&amp;IF(AND($D62="Encerrado",Config!$D$10&lt;&gt;"",O62&lt;&gt;"Sim",O62&lt;&gt;"N/A"),Config!$D$10&amp;"; ","")&amp;IF(AND($D62="Encerrado",Config!$D$11&lt;&gt;"",P62&lt;&gt;"Sim",P62&lt;&gt;"N/A"),Config!$D$11&amp;"; ","")&amp;IF(AND($D62="Encerrado",Config!$D$12&lt;&gt;"",Q62&lt;&gt;"Sim",Q62&lt;&gt;"N/A"),Config!$D$12&amp;"; ","")&amp;IF(AND($D62="Encerrado",Config!$D$13&lt;&gt;"",R62&lt;&gt;"Sim",R62&lt;&gt;"N/A"),Config!$D$13&amp;"; ","")&amp;IF(AND($D62="Encerrado",Config!$D$14&lt;&gt;"",S62&lt;&gt;"Sim",S62&lt;&gt;"N/A"),Config!$D$14&amp;"; ","")&amp;IF(AND($D62="Encerrado",Config!$D$15&lt;&gt;"",T62&lt;&gt;"Sim",T62&lt;&gt;"N/A"),Config!$D$15&amp;"; ","")&amp;IF(AND($D62="Encerrado",Config!$D$16&lt;&gt;"",U62&lt;&gt;"Sim",U62&lt;&gt;"N/A"),Config!$D$16&amp;"; ","")&amp;IF(AND($D62="Encerrado",Config!$D$17&lt;&gt;"",V62&lt;&gt;"Sim",V62&lt;&gt;"N/A"),Config!$D$17&amp;"; ","")&amp;IF(AND($D62="Encerrado",Config!$D$18&lt;&gt;"",W62&lt;&gt;"Sim",W62&lt;&gt;"N/A"),Config!$D$18&amp;"; ","")&amp;IF(AND($D62="Encerrado",Config!$D$19&lt;&gt;"",X62&lt;&gt;"Sim",X62&lt;&gt;"N/A"),Config!$D$19&amp;"; ",""))</f>
        <v/>
      </c>
    </row>
    <row r="63">
      <c r="A63" s="29" t="n"/>
      <c r="B63" s="29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25">
        <f>IF(A63="","",IFERROR(COUNTIF(E63:N63,"Sim")/(Config!$B$21-COUNTIF(E63:N63,"N/A")),""))</f>
        <v/>
      </c>
      <c r="Z63" s="25">
        <f>IF(OR(A63="",D63&lt;&gt;"Encerrado"),"",IFERROR(COUNTIF(O63:X63,"Sim")/(Config!$D$21-COUNTIF(O63:X63,"N/A")),""))</f>
        <v/>
      </c>
      <c r="AA63" s="23">
        <f>IF(A63="","",MAX(0,Config!$B$21-COUNTIF(E63:N63,"Sim")-COUNTIF(E63:N63,"N/A")))</f>
        <v/>
      </c>
      <c r="AB63" s="23">
        <f>IF(OR(A63="",D63&lt;&gt;"Encerrado"),"",MAX(0,Config!$D$21-COUNTIF(O63:X63,"Sim")-COUNTIF(O63:X63,"N/A")))</f>
        <v/>
      </c>
      <c r="AC63" s="23">
        <f>IF(A63="","",AA63+IF(AB63="",0,AB63))</f>
        <v/>
      </c>
      <c r="AD63" s="24">
        <f>IF(OR(A63="",AF63=""),"",LEFT(AF63,LEN(AF63)-2))</f>
        <v/>
      </c>
      <c r="AE63" s="35">
        <f>IF(OR(A63="",AC63=0),0,AC63*100-ROW()/100000)</f>
        <v>0</v>
      </c>
      <c r="AF63" s="35">
        <f>IF(A63="","",IF(AND(Config!$B$10&lt;&gt;"",E63&lt;&gt;"Sim",E63&lt;&gt;"N/A"),Config!$B$10&amp;"; ","")&amp;IF(AND(Config!$B$11&lt;&gt;"",F63&lt;&gt;"Sim",F63&lt;&gt;"N/A"),Config!$B$11&amp;"; ","")&amp;IF(AND(Config!$B$12&lt;&gt;"",G63&lt;&gt;"Sim",G63&lt;&gt;"N/A"),Config!$B$12&amp;"; ","")&amp;IF(AND(Config!$B$13&lt;&gt;"",H63&lt;&gt;"Sim",H63&lt;&gt;"N/A"),Config!$B$13&amp;"; ","")&amp;IF(AND(Config!$B$14&lt;&gt;"",I63&lt;&gt;"Sim",I63&lt;&gt;"N/A"),Config!$B$14&amp;"; ","")&amp;IF(AND(Config!$B$15&lt;&gt;"",J63&lt;&gt;"Sim",J63&lt;&gt;"N/A"),Config!$B$15&amp;"; ","")&amp;IF(AND(Config!$B$16&lt;&gt;"",K63&lt;&gt;"Sim",K63&lt;&gt;"N/A"),Config!$B$16&amp;"; ","")&amp;IF(AND(Config!$B$17&lt;&gt;"",L63&lt;&gt;"Sim",L63&lt;&gt;"N/A"),Config!$B$17&amp;"; ","")&amp;IF(AND(Config!$B$18&lt;&gt;"",M63&lt;&gt;"Sim",M63&lt;&gt;"N/A"),Config!$B$18&amp;"; ","")&amp;IF(AND(Config!$B$19&lt;&gt;"",N63&lt;&gt;"Sim",N63&lt;&gt;"N/A"),Config!$B$19&amp;"; ","")&amp;IF(AND($D63="Encerrado",Config!$D$10&lt;&gt;"",O63&lt;&gt;"Sim",O63&lt;&gt;"N/A"),Config!$D$10&amp;"; ","")&amp;IF(AND($D63="Encerrado",Config!$D$11&lt;&gt;"",P63&lt;&gt;"Sim",P63&lt;&gt;"N/A"),Config!$D$11&amp;"; ","")&amp;IF(AND($D63="Encerrado",Config!$D$12&lt;&gt;"",Q63&lt;&gt;"Sim",Q63&lt;&gt;"N/A"),Config!$D$12&amp;"; ","")&amp;IF(AND($D63="Encerrado",Config!$D$13&lt;&gt;"",R63&lt;&gt;"Sim",R63&lt;&gt;"N/A"),Config!$D$13&amp;"; ","")&amp;IF(AND($D63="Encerrado",Config!$D$14&lt;&gt;"",S63&lt;&gt;"Sim",S63&lt;&gt;"N/A"),Config!$D$14&amp;"; ","")&amp;IF(AND($D63="Encerrado",Config!$D$15&lt;&gt;"",T63&lt;&gt;"Sim",T63&lt;&gt;"N/A"),Config!$D$15&amp;"; ","")&amp;IF(AND($D63="Encerrado",Config!$D$16&lt;&gt;"",U63&lt;&gt;"Sim",U63&lt;&gt;"N/A"),Config!$D$16&amp;"; ","")&amp;IF(AND($D63="Encerrado",Config!$D$17&lt;&gt;"",V63&lt;&gt;"Sim",V63&lt;&gt;"N/A"),Config!$D$17&amp;"; ","")&amp;IF(AND($D63="Encerrado",Config!$D$18&lt;&gt;"",W63&lt;&gt;"Sim",W63&lt;&gt;"N/A"),Config!$D$18&amp;"; ","")&amp;IF(AND($D63="Encerrado",Config!$D$19&lt;&gt;"",X63&lt;&gt;"Sim",X63&lt;&gt;"N/A"),Config!$D$19&amp;"; ",""))</f>
        <v/>
      </c>
    </row>
    <row r="64">
      <c r="A64" s="29" t="n"/>
      <c r="B64" s="29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25">
        <f>IF(A64="","",IFERROR(COUNTIF(E64:N64,"Sim")/(Config!$B$21-COUNTIF(E64:N64,"N/A")),""))</f>
        <v/>
      </c>
      <c r="Z64" s="25">
        <f>IF(OR(A64="",D64&lt;&gt;"Encerrado"),"",IFERROR(COUNTIF(O64:X64,"Sim")/(Config!$D$21-COUNTIF(O64:X64,"N/A")),""))</f>
        <v/>
      </c>
      <c r="AA64" s="23">
        <f>IF(A64="","",MAX(0,Config!$B$21-COUNTIF(E64:N64,"Sim")-COUNTIF(E64:N64,"N/A")))</f>
        <v/>
      </c>
      <c r="AB64" s="23">
        <f>IF(OR(A64="",D64&lt;&gt;"Encerrado"),"",MAX(0,Config!$D$21-COUNTIF(O64:X64,"Sim")-COUNTIF(O64:X64,"N/A")))</f>
        <v/>
      </c>
      <c r="AC64" s="23">
        <f>IF(A64="","",AA64+IF(AB64="",0,AB64))</f>
        <v/>
      </c>
      <c r="AD64" s="24">
        <f>IF(OR(A64="",AF64=""),"",LEFT(AF64,LEN(AF64)-2))</f>
        <v/>
      </c>
      <c r="AE64" s="35">
        <f>IF(OR(A64="",AC64=0),0,AC64*100-ROW()/100000)</f>
        <v>0</v>
      </c>
      <c r="AF64" s="35">
        <f>IF(A64="","",IF(AND(Config!$B$10&lt;&gt;"",E64&lt;&gt;"Sim",E64&lt;&gt;"N/A"),Config!$B$10&amp;"; ","")&amp;IF(AND(Config!$B$11&lt;&gt;"",F64&lt;&gt;"Sim",F64&lt;&gt;"N/A"),Config!$B$11&amp;"; ","")&amp;IF(AND(Config!$B$12&lt;&gt;"",G64&lt;&gt;"Sim",G64&lt;&gt;"N/A"),Config!$B$12&amp;"; ","")&amp;IF(AND(Config!$B$13&lt;&gt;"",H64&lt;&gt;"Sim",H64&lt;&gt;"N/A"),Config!$B$13&amp;"; ","")&amp;IF(AND(Config!$B$14&lt;&gt;"",I64&lt;&gt;"Sim",I64&lt;&gt;"N/A"),Config!$B$14&amp;"; ","")&amp;IF(AND(Config!$B$15&lt;&gt;"",J64&lt;&gt;"Sim",J64&lt;&gt;"N/A"),Config!$B$15&amp;"; ","")&amp;IF(AND(Config!$B$16&lt;&gt;"",K64&lt;&gt;"Sim",K64&lt;&gt;"N/A"),Config!$B$16&amp;"; ","")&amp;IF(AND(Config!$B$17&lt;&gt;"",L64&lt;&gt;"Sim",L64&lt;&gt;"N/A"),Config!$B$17&amp;"; ","")&amp;IF(AND(Config!$B$18&lt;&gt;"",M64&lt;&gt;"Sim",M64&lt;&gt;"N/A"),Config!$B$18&amp;"; ","")&amp;IF(AND(Config!$B$19&lt;&gt;"",N64&lt;&gt;"Sim",N64&lt;&gt;"N/A"),Config!$B$19&amp;"; ","")&amp;IF(AND($D64="Encerrado",Config!$D$10&lt;&gt;"",O64&lt;&gt;"Sim",O64&lt;&gt;"N/A"),Config!$D$10&amp;"; ","")&amp;IF(AND($D64="Encerrado",Config!$D$11&lt;&gt;"",P64&lt;&gt;"Sim",P64&lt;&gt;"N/A"),Config!$D$11&amp;"; ","")&amp;IF(AND($D64="Encerrado",Config!$D$12&lt;&gt;"",Q64&lt;&gt;"Sim",Q64&lt;&gt;"N/A"),Config!$D$12&amp;"; ","")&amp;IF(AND($D64="Encerrado",Config!$D$13&lt;&gt;"",R64&lt;&gt;"Sim",R64&lt;&gt;"N/A"),Config!$D$13&amp;"; ","")&amp;IF(AND($D64="Encerrado",Config!$D$14&lt;&gt;"",S64&lt;&gt;"Sim",S64&lt;&gt;"N/A"),Config!$D$14&amp;"; ","")&amp;IF(AND($D64="Encerrado",Config!$D$15&lt;&gt;"",T64&lt;&gt;"Sim",T64&lt;&gt;"N/A"),Config!$D$15&amp;"; ","")&amp;IF(AND($D64="Encerrado",Config!$D$16&lt;&gt;"",U64&lt;&gt;"Sim",U64&lt;&gt;"N/A"),Config!$D$16&amp;"; ","")&amp;IF(AND($D64="Encerrado",Config!$D$17&lt;&gt;"",V64&lt;&gt;"Sim",V64&lt;&gt;"N/A"),Config!$D$17&amp;"; ","")&amp;IF(AND($D64="Encerrado",Config!$D$18&lt;&gt;"",W64&lt;&gt;"Sim",W64&lt;&gt;"N/A"),Config!$D$18&amp;"; ","")&amp;IF(AND($D64="Encerrado",Config!$D$19&lt;&gt;"",X64&lt;&gt;"Sim",X64&lt;&gt;"N/A"),Config!$D$19&amp;"; ",""))</f>
        <v/>
      </c>
    </row>
    <row r="65">
      <c r="A65" s="29" t="n"/>
      <c r="B65" s="29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25">
        <f>IF(A65="","",IFERROR(COUNTIF(E65:N65,"Sim")/(Config!$B$21-COUNTIF(E65:N65,"N/A")),""))</f>
        <v/>
      </c>
      <c r="Z65" s="25">
        <f>IF(OR(A65="",D65&lt;&gt;"Encerrado"),"",IFERROR(COUNTIF(O65:X65,"Sim")/(Config!$D$21-COUNTIF(O65:X65,"N/A")),""))</f>
        <v/>
      </c>
      <c r="AA65" s="23">
        <f>IF(A65="","",MAX(0,Config!$B$21-COUNTIF(E65:N65,"Sim")-COUNTIF(E65:N65,"N/A")))</f>
        <v/>
      </c>
      <c r="AB65" s="23">
        <f>IF(OR(A65="",D65&lt;&gt;"Encerrado"),"",MAX(0,Config!$D$21-COUNTIF(O65:X65,"Sim")-COUNTIF(O65:X65,"N/A")))</f>
        <v/>
      </c>
      <c r="AC65" s="23">
        <f>IF(A65="","",AA65+IF(AB65="",0,AB65))</f>
        <v/>
      </c>
      <c r="AD65" s="24">
        <f>IF(OR(A65="",AF65=""),"",LEFT(AF65,LEN(AF65)-2))</f>
        <v/>
      </c>
      <c r="AE65" s="35">
        <f>IF(OR(A65="",AC65=0),0,AC65*100-ROW()/100000)</f>
        <v>0</v>
      </c>
      <c r="AF65" s="35">
        <f>IF(A65="","",IF(AND(Config!$B$10&lt;&gt;"",E65&lt;&gt;"Sim",E65&lt;&gt;"N/A"),Config!$B$10&amp;"; ","")&amp;IF(AND(Config!$B$11&lt;&gt;"",F65&lt;&gt;"Sim",F65&lt;&gt;"N/A"),Config!$B$11&amp;"; ","")&amp;IF(AND(Config!$B$12&lt;&gt;"",G65&lt;&gt;"Sim",G65&lt;&gt;"N/A"),Config!$B$12&amp;"; ","")&amp;IF(AND(Config!$B$13&lt;&gt;"",H65&lt;&gt;"Sim",H65&lt;&gt;"N/A"),Config!$B$13&amp;"; ","")&amp;IF(AND(Config!$B$14&lt;&gt;"",I65&lt;&gt;"Sim",I65&lt;&gt;"N/A"),Config!$B$14&amp;"; ","")&amp;IF(AND(Config!$B$15&lt;&gt;"",J65&lt;&gt;"Sim",J65&lt;&gt;"N/A"),Config!$B$15&amp;"; ","")&amp;IF(AND(Config!$B$16&lt;&gt;"",K65&lt;&gt;"Sim",K65&lt;&gt;"N/A"),Config!$B$16&amp;"; ","")&amp;IF(AND(Config!$B$17&lt;&gt;"",L65&lt;&gt;"Sim",L65&lt;&gt;"N/A"),Config!$B$17&amp;"; ","")&amp;IF(AND(Config!$B$18&lt;&gt;"",M65&lt;&gt;"Sim",M65&lt;&gt;"N/A"),Config!$B$18&amp;"; ","")&amp;IF(AND(Config!$B$19&lt;&gt;"",N65&lt;&gt;"Sim",N65&lt;&gt;"N/A"),Config!$B$19&amp;"; ","")&amp;IF(AND($D65="Encerrado",Config!$D$10&lt;&gt;"",O65&lt;&gt;"Sim",O65&lt;&gt;"N/A"),Config!$D$10&amp;"; ","")&amp;IF(AND($D65="Encerrado",Config!$D$11&lt;&gt;"",P65&lt;&gt;"Sim",P65&lt;&gt;"N/A"),Config!$D$11&amp;"; ","")&amp;IF(AND($D65="Encerrado",Config!$D$12&lt;&gt;"",Q65&lt;&gt;"Sim",Q65&lt;&gt;"N/A"),Config!$D$12&amp;"; ","")&amp;IF(AND($D65="Encerrado",Config!$D$13&lt;&gt;"",R65&lt;&gt;"Sim",R65&lt;&gt;"N/A"),Config!$D$13&amp;"; ","")&amp;IF(AND($D65="Encerrado",Config!$D$14&lt;&gt;"",S65&lt;&gt;"Sim",S65&lt;&gt;"N/A"),Config!$D$14&amp;"; ","")&amp;IF(AND($D65="Encerrado",Config!$D$15&lt;&gt;"",T65&lt;&gt;"Sim",T65&lt;&gt;"N/A"),Config!$D$15&amp;"; ","")&amp;IF(AND($D65="Encerrado",Config!$D$16&lt;&gt;"",U65&lt;&gt;"Sim",U65&lt;&gt;"N/A"),Config!$D$16&amp;"; ","")&amp;IF(AND($D65="Encerrado",Config!$D$17&lt;&gt;"",V65&lt;&gt;"Sim",V65&lt;&gt;"N/A"),Config!$D$17&amp;"; ","")&amp;IF(AND($D65="Encerrado",Config!$D$18&lt;&gt;"",W65&lt;&gt;"Sim",W65&lt;&gt;"N/A"),Config!$D$18&amp;"; ","")&amp;IF(AND($D65="Encerrado",Config!$D$19&lt;&gt;"",X65&lt;&gt;"Sim",X65&lt;&gt;"N/A"),Config!$D$19&amp;"; ",""))</f>
        <v/>
      </c>
    </row>
    <row r="66">
      <c r="A66" s="29" t="n"/>
      <c r="B66" s="29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25">
        <f>IF(A66="","",IFERROR(COUNTIF(E66:N66,"Sim")/(Config!$B$21-COUNTIF(E66:N66,"N/A")),""))</f>
        <v/>
      </c>
      <c r="Z66" s="25">
        <f>IF(OR(A66="",D66&lt;&gt;"Encerrado"),"",IFERROR(COUNTIF(O66:X66,"Sim")/(Config!$D$21-COUNTIF(O66:X66,"N/A")),""))</f>
        <v/>
      </c>
      <c r="AA66" s="23">
        <f>IF(A66="","",MAX(0,Config!$B$21-COUNTIF(E66:N66,"Sim")-COUNTIF(E66:N66,"N/A")))</f>
        <v/>
      </c>
      <c r="AB66" s="23">
        <f>IF(OR(A66="",D66&lt;&gt;"Encerrado"),"",MAX(0,Config!$D$21-COUNTIF(O66:X66,"Sim")-COUNTIF(O66:X66,"N/A")))</f>
        <v/>
      </c>
      <c r="AC66" s="23">
        <f>IF(A66="","",AA66+IF(AB66="",0,AB66))</f>
        <v/>
      </c>
      <c r="AD66" s="24">
        <f>IF(OR(A66="",AF66=""),"",LEFT(AF66,LEN(AF66)-2))</f>
        <v/>
      </c>
      <c r="AE66" s="35">
        <f>IF(OR(A66="",AC66=0),0,AC66*100-ROW()/100000)</f>
        <v>0</v>
      </c>
      <c r="AF66" s="35">
        <f>IF(A66="","",IF(AND(Config!$B$10&lt;&gt;"",E66&lt;&gt;"Sim",E66&lt;&gt;"N/A"),Config!$B$10&amp;"; ","")&amp;IF(AND(Config!$B$11&lt;&gt;"",F66&lt;&gt;"Sim",F66&lt;&gt;"N/A"),Config!$B$11&amp;"; ","")&amp;IF(AND(Config!$B$12&lt;&gt;"",G66&lt;&gt;"Sim",G66&lt;&gt;"N/A"),Config!$B$12&amp;"; ","")&amp;IF(AND(Config!$B$13&lt;&gt;"",H66&lt;&gt;"Sim",H66&lt;&gt;"N/A"),Config!$B$13&amp;"; ","")&amp;IF(AND(Config!$B$14&lt;&gt;"",I66&lt;&gt;"Sim",I66&lt;&gt;"N/A"),Config!$B$14&amp;"; ","")&amp;IF(AND(Config!$B$15&lt;&gt;"",J66&lt;&gt;"Sim",J66&lt;&gt;"N/A"),Config!$B$15&amp;"; ","")&amp;IF(AND(Config!$B$16&lt;&gt;"",K66&lt;&gt;"Sim",K66&lt;&gt;"N/A"),Config!$B$16&amp;"; ","")&amp;IF(AND(Config!$B$17&lt;&gt;"",L66&lt;&gt;"Sim",L66&lt;&gt;"N/A"),Config!$B$17&amp;"; ","")&amp;IF(AND(Config!$B$18&lt;&gt;"",M66&lt;&gt;"Sim",M66&lt;&gt;"N/A"),Config!$B$18&amp;"; ","")&amp;IF(AND(Config!$B$19&lt;&gt;"",N66&lt;&gt;"Sim",N66&lt;&gt;"N/A"),Config!$B$19&amp;"; ","")&amp;IF(AND($D66="Encerrado",Config!$D$10&lt;&gt;"",O66&lt;&gt;"Sim",O66&lt;&gt;"N/A"),Config!$D$10&amp;"; ","")&amp;IF(AND($D66="Encerrado",Config!$D$11&lt;&gt;"",P66&lt;&gt;"Sim",P66&lt;&gt;"N/A"),Config!$D$11&amp;"; ","")&amp;IF(AND($D66="Encerrado",Config!$D$12&lt;&gt;"",Q66&lt;&gt;"Sim",Q66&lt;&gt;"N/A"),Config!$D$12&amp;"; ","")&amp;IF(AND($D66="Encerrado",Config!$D$13&lt;&gt;"",R66&lt;&gt;"Sim",R66&lt;&gt;"N/A"),Config!$D$13&amp;"; ","")&amp;IF(AND($D66="Encerrado",Config!$D$14&lt;&gt;"",S66&lt;&gt;"Sim",S66&lt;&gt;"N/A"),Config!$D$14&amp;"; ","")&amp;IF(AND($D66="Encerrado",Config!$D$15&lt;&gt;"",T66&lt;&gt;"Sim",T66&lt;&gt;"N/A"),Config!$D$15&amp;"; ","")&amp;IF(AND($D66="Encerrado",Config!$D$16&lt;&gt;"",U66&lt;&gt;"Sim",U66&lt;&gt;"N/A"),Config!$D$16&amp;"; ","")&amp;IF(AND($D66="Encerrado",Config!$D$17&lt;&gt;"",V66&lt;&gt;"Sim",V66&lt;&gt;"N/A"),Config!$D$17&amp;"; ","")&amp;IF(AND($D66="Encerrado",Config!$D$18&lt;&gt;"",W66&lt;&gt;"Sim",W66&lt;&gt;"N/A"),Config!$D$18&amp;"; ","")&amp;IF(AND($D66="Encerrado",Config!$D$19&lt;&gt;"",X66&lt;&gt;"Sim",X66&lt;&gt;"N/A"),Config!$D$19&amp;"; ",""))</f>
        <v/>
      </c>
    </row>
    <row r="67">
      <c r="A67" s="29" t="n"/>
      <c r="B67" s="29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25">
        <f>IF(A67="","",IFERROR(COUNTIF(E67:N67,"Sim")/(Config!$B$21-COUNTIF(E67:N67,"N/A")),""))</f>
        <v/>
      </c>
      <c r="Z67" s="25">
        <f>IF(OR(A67="",D67&lt;&gt;"Encerrado"),"",IFERROR(COUNTIF(O67:X67,"Sim")/(Config!$D$21-COUNTIF(O67:X67,"N/A")),""))</f>
        <v/>
      </c>
      <c r="AA67" s="23">
        <f>IF(A67="","",MAX(0,Config!$B$21-COUNTIF(E67:N67,"Sim")-COUNTIF(E67:N67,"N/A")))</f>
        <v/>
      </c>
      <c r="AB67" s="23">
        <f>IF(OR(A67="",D67&lt;&gt;"Encerrado"),"",MAX(0,Config!$D$21-COUNTIF(O67:X67,"Sim")-COUNTIF(O67:X67,"N/A")))</f>
        <v/>
      </c>
      <c r="AC67" s="23">
        <f>IF(A67="","",AA67+IF(AB67="",0,AB67))</f>
        <v/>
      </c>
      <c r="AD67" s="24">
        <f>IF(OR(A67="",AF67=""),"",LEFT(AF67,LEN(AF67)-2))</f>
        <v/>
      </c>
      <c r="AE67" s="35">
        <f>IF(OR(A67="",AC67=0),0,AC67*100-ROW()/100000)</f>
        <v>0</v>
      </c>
      <c r="AF67" s="35">
        <f>IF(A67="","",IF(AND(Config!$B$10&lt;&gt;"",E67&lt;&gt;"Sim",E67&lt;&gt;"N/A"),Config!$B$10&amp;"; ","")&amp;IF(AND(Config!$B$11&lt;&gt;"",F67&lt;&gt;"Sim",F67&lt;&gt;"N/A"),Config!$B$11&amp;"; ","")&amp;IF(AND(Config!$B$12&lt;&gt;"",G67&lt;&gt;"Sim",G67&lt;&gt;"N/A"),Config!$B$12&amp;"; ","")&amp;IF(AND(Config!$B$13&lt;&gt;"",H67&lt;&gt;"Sim",H67&lt;&gt;"N/A"),Config!$B$13&amp;"; ","")&amp;IF(AND(Config!$B$14&lt;&gt;"",I67&lt;&gt;"Sim",I67&lt;&gt;"N/A"),Config!$B$14&amp;"; ","")&amp;IF(AND(Config!$B$15&lt;&gt;"",J67&lt;&gt;"Sim",J67&lt;&gt;"N/A"),Config!$B$15&amp;"; ","")&amp;IF(AND(Config!$B$16&lt;&gt;"",K67&lt;&gt;"Sim",K67&lt;&gt;"N/A"),Config!$B$16&amp;"; ","")&amp;IF(AND(Config!$B$17&lt;&gt;"",L67&lt;&gt;"Sim",L67&lt;&gt;"N/A"),Config!$B$17&amp;"; ","")&amp;IF(AND(Config!$B$18&lt;&gt;"",M67&lt;&gt;"Sim",M67&lt;&gt;"N/A"),Config!$B$18&amp;"; ","")&amp;IF(AND(Config!$B$19&lt;&gt;"",N67&lt;&gt;"Sim",N67&lt;&gt;"N/A"),Config!$B$19&amp;"; ","")&amp;IF(AND($D67="Encerrado",Config!$D$10&lt;&gt;"",O67&lt;&gt;"Sim",O67&lt;&gt;"N/A"),Config!$D$10&amp;"; ","")&amp;IF(AND($D67="Encerrado",Config!$D$11&lt;&gt;"",P67&lt;&gt;"Sim",P67&lt;&gt;"N/A"),Config!$D$11&amp;"; ","")&amp;IF(AND($D67="Encerrado",Config!$D$12&lt;&gt;"",Q67&lt;&gt;"Sim",Q67&lt;&gt;"N/A"),Config!$D$12&amp;"; ","")&amp;IF(AND($D67="Encerrado",Config!$D$13&lt;&gt;"",R67&lt;&gt;"Sim",R67&lt;&gt;"N/A"),Config!$D$13&amp;"; ","")&amp;IF(AND($D67="Encerrado",Config!$D$14&lt;&gt;"",S67&lt;&gt;"Sim",S67&lt;&gt;"N/A"),Config!$D$14&amp;"; ","")&amp;IF(AND($D67="Encerrado",Config!$D$15&lt;&gt;"",T67&lt;&gt;"Sim",T67&lt;&gt;"N/A"),Config!$D$15&amp;"; ","")&amp;IF(AND($D67="Encerrado",Config!$D$16&lt;&gt;"",U67&lt;&gt;"Sim",U67&lt;&gt;"N/A"),Config!$D$16&amp;"; ","")&amp;IF(AND($D67="Encerrado",Config!$D$17&lt;&gt;"",V67&lt;&gt;"Sim",V67&lt;&gt;"N/A"),Config!$D$17&amp;"; ","")&amp;IF(AND($D67="Encerrado",Config!$D$18&lt;&gt;"",W67&lt;&gt;"Sim",W67&lt;&gt;"N/A"),Config!$D$18&amp;"; ","")&amp;IF(AND($D67="Encerrado",Config!$D$19&lt;&gt;"",X67&lt;&gt;"Sim",X67&lt;&gt;"N/A"),Config!$D$19&amp;"; ",""))</f>
        <v/>
      </c>
    </row>
    <row r="68">
      <c r="A68" s="29" t="n"/>
      <c r="B68" s="29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25">
        <f>IF(A68="","",IFERROR(COUNTIF(E68:N68,"Sim")/(Config!$B$21-COUNTIF(E68:N68,"N/A")),""))</f>
        <v/>
      </c>
      <c r="Z68" s="25">
        <f>IF(OR(A68="",D68&lt;&gt;"Encerrado"),"",IFERROR(COUNTIF(O68:X68,"Sim")/(Config!$D$21-COUNTIF(O68:X68,"N/A")),""))</f>
        <v/>
      </c>
      <c r="AA68" s="23">
        <f>IF(A68="","",MAX(0,Config!$B$21-COUNTIF(E68:N68,"Sim")-COUNTIF(E68:N68,"N/A")))</f>
        <v/>
      </c>
      <c r="AB68" s="23">
        <f>IF(OR(A68="",D68&lt;&gt;"Encerrado"),"",MAX(0,Config!$D$21-COUNTIF(O68:X68,"Sim")-COUNTIF(O68:X68,"N/A")))</f>
        <v/>
      </c>
      <c r="AC68" s="23">
        <f>IF(A68="","",AA68+IF(AB68="",0,AB68))</f>
        <v/>
      </c>
      <c r="AD68" s="24">
        <f>IF(OR(A68="",AF68=""),"",LEFT(AF68,LEN(AF68)-2))</f>
        <v/>
      </c>
      <c r="AE68" s="35">
        <f>IF(OR(A68="",AC68=0),0,AC68*100-ROW()/100000)</f>
        <v>0</v>
      </c>
      <c r="AF68" s="35">
        <f>IF(A68="","",IF(AND(Config!$B$10&lt;&gt;"",E68&lt;&gt;"Sim",E68&lt;&gt;"N/A"),Config!$B$10&amp;"; ","")&amp;IF(AND(Config!$B$11&lt;&gt;"",F68&lt;&gt;"Sim",F68&lt;&gt;"N/A"),Config!$B$11&amp;"; ","")&amp;IF(AND(Config!$B$12&lt;&gt;"",G68&lt;&gt;"Sim",G68&lt;&gt;"N/A"),Config!$B$12&amp;"; ","")&amp;IF(AND(Config!$B$13&lt;&gt;"",H68&lt;&gt;"Sim",H68&lt;&gt;"N/A"),Config!$B$13&amp;"; ","")&amp;IF(AND(Config!$B$14&lt;&gt;"",I68&lt;&gt;"Sim",I68&lt;&gt;"N/A"),Config!$B$14&amp;"; ","")&amp;IF(AND(Config!$B$15&lt;&gt;"",J68&lt;&gt;"Sim",J68&lt;&gt;"N/A"),Config!$B$15&amp;"; ","")&amp;IF(AND(Config!$B$16&lt;&gt;"",K68&lt;&gt;"Sim",K68&lt;&gt;"N/A"),Config!$B$16&amp;"; ","")&amp;IF(AND(Config!$B$17&lt;&gt;"",L68&lt;&gt;"Sim",L68&lt;&gt;"N/A"),Config!$B$17&amp;"; ","")&amp;IF(AND(Config!$B$18&lt;&gt;"",M68&lt;&gt;"Sim",M68&lt;&gt;"N/A"),Config!$B$18&amp;"; ","")&amp;IF(AND(Config!$B$19&lt;&gt;"",N68&lt;&gt;"Sim",N68&lt;&gt;"N/A"),Config!$B$19&amp;"; ","")&amp;IF(AND($D68="Encerrado",Config!$D$10&lt;&gt;"",O68&lt;&gt;"Sim",O68&lt;&gt;"N/A"),Config!$D$10&amp;"; ","")&amp;IF(AND($D68="Encerrado",Config!$D$11&lt;&gt;"",P68&lt;&gt;"Sim",P68&lt;&gt;"N/A"),Config!$D$11&amp;"; ","")&amp;IF(AND($D68="Encerrado",Config!$D$12&lt;&gt;"",Q68&lt;&gt;"Sim",Q68&lt;&gt;"N/A"),Config!$D$12&amp;"; ","")&amp;IF(AND($D68="Encerrado",Config!$D$13&lt;&gt;"",R68&lt;&gt;"Sim",R68&lt;&gt;"N/A"),Config!$D$13&amp;"; ","")&amp;IF(AND($D68="Encerrado",Config!$D$14&lt;&gt;"",S68&lt;&gt;"Sim",S68&lt;&gt;"N/A"),Config!$D$14&amp;"; ","")&amp;IF(AND($D68="Encerrado",Config!$D$15&lt;&gt;"",T68&lt;&gt;"Sim",T68&lt;&gt;"N/A"),Config!$D$15&amp;"; ","")&amp;IF(AND($D68="Encerrado",Config!$D$16&lt;&gt;"",U68&lt;&gt;"Sim",U68&lt;&gt;"N/A"),Config!$D$16&amp;"; ","")&amp;IF(AND($D68="Encerrado",Config!$D$17&lt;&gt;"",V68&lt;&gt;"Sim",V68&lt;&gt;"N/A"),Config!$D$17&amp;"; ","")&amp;IF(AND($D68="Encerrado",Config!$D$18&lt;&gt;"",W68&lt;&gt;"Sim",W68&lt;&gt;"N/A"),Config!$D$18&amp;"; ","")&amp;IF(AND($D68="Encerrado",Config!$D$19&lt;&gt;"",X68&lt;&gt;"Sim",X68&lt;&gt;"N/A"),Config!$D$19&amp;"; ",""))</f>
        <v/>
      </c>
    </row>
    <row r="69">
      <c r="A69" s="29" t="n"/>
      <c r="B69" s="29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25">
        <f>IF(A69="","",IFERROR(COUNTIF(E69:N69,"Sim")/(Config!$B$21-COUNTIF(E69:N69,"N/A")),""))</f>
        <v/>
      </c>
      <c r="Z69" s="25">
        <f>IF(OR(A69="",D69&lt;&gt;"Encerrado"),"",IFERROR(COUNTIF(O69:X69,"Sim")/(Config!$D$21-COUNTIF(O69:X69,"N/A")),""))</f>
        <v/>
      </c>
      <c r="AA69" s="23">
        <f>IF(A69="","",MAX(0,Config!$B$21-COUNTIF(E69:N69,"Sim")-COUNTIF(E69:N69,"N/A")))</f>
        <v/>
      </c>
      <c r="AB69" s="23">
        <f>IF(OR(A69="",D69&lt;&gt;"Encerrado"),"",MAX(0,Config!$D$21-COUNTIF(O69:X69,"Sim")-COUNTIF(O69:X69,"N/A")))</f>
        <v/>
      </c>
      <c r="AC69" s="23">
        <f>IF(A69="","",AA69+IF(AB69="",0,AB69))</f>
        <v/>
      </c>
      <c r="AD69" s="24">
        <f>IF(OR(A69="",AF69=""),"",LEFT(AF69,LEN(AF69)-2))</f>
        <v/>
      </c>
      <c r="AE69" s="35">
        <f>IF(OR(A69="",AC69=0),0,AC69*100-ROW()/100000)</f>
        <v>0</v>
      </c>
      <c r="AF69" s="35">
        <f>IF(A69="","",IF(AND(Config!$B$10&lt;&gt;"",E69&lt;&gt;"Sim",E69&lt;&gt;"N/A"),Config!$B$10&amp;"; ","")&amp;IF(AND(Config!$B$11&lt;&gt;"",F69&lt;&gt;"Sim",F69&lt;&gt;"N/A"),Config!$B$11&amp;"; ","")&amp;IF(AND(Config!$B$12&lt;&gt;"",G69&lt;&gt;"Sim",G69&lt;&gt;"N/A"),Config!$B$12&amp;"; ","")&amp;IF(AND(Config!$B$13&lt;&gt;"",H69&lt;&gt;"Sim",H69&lt;&gt;"N/A"),Config!$B$13&amp;"; ","")&amp;IF(AND(Config!$B$14&lt;&gt;"",I69&lt;&gt;"Sim",I69&lt;&gt;"N/A"),Config!$B$14&amp;"; ","")&amp;IF(AND(Config!$B$15&lt;&gt;"",J69&lt;&gt;"Sim",J69&lt;&gt;"N/A"),Config!$B$15&amp;"; ","")&amp;IF(AND(Config!$B$16&lt;&gt;"",K69&lt;&gt;"Sim",K69&lt;&gt;"N/A"),Config!$B$16&amp;"; ","")&amp;IF(AND(Config!$B$17&lt;&gt;"",L69&lt;&gt;"Sim",L69&lt;&gt;"N/A"),Config!$B$17&amp;"; ","")&amp;IF(AND(Config!$B$18&lt;&gt;"",M69&lt;&gt;"Sim",M69&lt;&gt;"N/A"),Config!$B$18&amp;"; ","")&amp;IF(AND(Config!$B$19&lt;&gt;"",N69&lt;&gt;"Sim",N69&lt;&gt;"N/A"),Config!$B$19&amp;"; ","")&amp;IF(AND($D69="Encerrado",Config!$D$10&lt;&gt;"",O69&lt;&gt;"Sim",O69&lt;&gt;"N/A"),Config!$D$10&amp;"; ","")&amp;IF(AND($D69="Encerrado",Config!$D$11&lt;&gt;"",P69&lt;&gt;"Sim",P69&lt;&gt;"N/A"),Config!$D$11&amp;"; ","")&amp;IF(AND($D69="Encerrado",Config!$D$12&lt;&gt;"",Q69&lt;&gt;"Sim",Q69&lt;&gt;"N/A"),Config!$D$12&amp;"; ","")&amp;IF(AND($D69="Encerrado",Config!$D$13&lt;&gt;"",R69&lt;&gt;"Sim",R69&lt;&gt;"N/A"),Config!$D$13&amp;"; ","")&amp;IF(AND($D69="Encerrado",Config!$D$14&lt;&gt;"",S69&lt;&gt;"Sim",S69&lt;&gt;"N/A"),Config!$D$14&amp;"; ","")&amp;IF(AND($D69="Encerrado",Config!$D$15&lt;&gt;"",T69&lt;&gt;"Sim",T69&lt;&gt;"N/A"),Config!$D$15&amp;"; ","")&amp;IF(AND($D69="Encerrado",Config!$D$16&lt;&gt;"",U69&lt;&gt;"Sim",U69&lt;&gt;"N/A"),Config!$D$16&amp;"; ","")&amp;IF(AND($D69="Encerrado",Config!$D$17&lt;&gt;"",V69&lt;&gt;"Sim",V69&lt;&gt;"N/A"),Config!$D$17&amp;"; ","")&amp;IF(AND($D69="Encerrado",Config!$D$18&lt;&gt;"",W69&lt;&gt;"Sim",W69&lt;&gt;"N/A"),Config!$D$18&amp;"; ","")&amp;IF(AND($D69="Encerrado",Config!$D$19&lt;&gt;"",X69&lt;&gt;"Sim",X69&lt;&gt;"N/A"),Config!$D$19&amp;"; ",""))</f>
        <v/>
      </c>
    </row>
    <row r="70">
      <c r="A70" s="29" t="n"/>
      <c r="B70" s="29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25">
        <f>IF(A70="","",IFERROR(COUNTIF(E70:N70,"Sim")/(Config!$B$21-COUNTIF(E70:N70,"N/A")),""))</f>
        <v/>
      </c>
      <c r="Z70" s="25">
        <f>IF(OR(A70="",D70&lt;&gt;"Encerrado"),"",IFERROR(COUNTIF(O70:X70,"Sim")/(Config!$D$21-COUNTIF(O70:X70,"N/A")),""))</f>
        <v/>
      </c>
      <c r="AA70" s="23">
        <f>IF(A70="","",MAX(0,Config!$B$21-COUNTIF(E70:N70,"Sim")-COUNTIF(E70:N70,"N/A")))</f>
        <v/>
      </c>
      <c r="AB70" s="23">
        <f>IF(OR(A70="",D70&lt;&gt;"Encerrado"),"",MAX(0,Config!$D$21-COUNTIF(O70:X70,"Sim")-COUNTIF(O70:X70,"N/A")))</f>
        <v/>
      </c>
      <c r="AC70" s="23">
        <f>IF(A70="","",AA70+IF(AB70="",0,AB70))</f>
        <v/>
      </c>
      <c r="AD70" s="24">
        <f>IF(OR(A70="",AF70=""),"",LEFT(AF70,LEN(AF70)-2))</f>
        <v/>
      </c>
      <c r="AE70" s="35">
        <f>IF(OR(A70="",AC70=0),0,AC70*100-ROW()/100000)</f>
        <v>0</v>
      </c>
      <c r="AF70" s="35">
        <f>IF(A70="","",IF(AND(Config!$B$10&lt;&gt;"",E70&lt;&gt;"Sim",E70&lt;&gt;"N/A"),Config!$B$10&amp;"; ","")&amp;IF(AND(Config!$B$11&lt;&gt;"",F70&lt;&gt;"Sim",F70&lt;&gt;"N/A"),Config!$B$11&amp;"; ","")&amp;IF(AND(Config!$B$12&lt;&gt;"",G70&lt;&gt;"Sim",G70&lt;&gt;"N/A"),Config!$B$12&amp;"; ","")&amp;IF(AND(Config!$B$13&lt;&gt;"",H70&lt;&gt;"Sim",H70&lt;&gt;"N/A"),Config!$B$13&amp;"; ","")&amp;IF(AND(Config!$B$14&lt;&gt;"",I70&lt;&gt;"Sim",I70&lt;&gt;"N/A"),Config!$B$14&amp;"; ","")&amp;IF(AND(Config!$B$15&lt;&gt;"",J70&lt;&gt;"Sim",J70&lt;&gt;"N/A"),Config!$B$15&amp;"; ","")&amp;IF(AND(Config!$B$16&lt;&gt;"",K70&lt;&gt;"Sim",K70&lt;&gt;"N/A"),Config!$B$16&amp;"; ","")&amp;IF(AND(Config!$B$17&lt;&gt;"",L70&lt;&gt;"Sim",L70&lt;&gt;"N/A"),Config!$B$17&amp;"; ","")&amp;IF(AND(Config!$B$18&lt;&gt;"",M70&lt;&gt;"Sim",M70&lt;&gt;"N/A"),Config!$B$18&amp;"; ","")&amp;IF(AND(Config!$B$19&lt;&gt;"",N70&lt;&gt;"Sim",N70&lt;&gt;"N/A"),Config!$B$19&amp;"; ","")&amp;IF(AND($D70="Encerrado",Config!$D$10&lt;&gt;"",O70&lt;&gt;"Sim",O70&lt;&gt;"N/A"),Config!$D$10&amp;"; ","")&amp;IF(AND($D70="Encerrado",Config!$D$11&lt;&gt;"",P70&lt;&gt;"Sim",P70&lt;&gt;"N/A"),Config!$D$11&amp;"; ","")&amp;IF(AND($D70="Encerrado",Config!$D$12&lt;&gt;"",Q70&lt;&gt;"Sim",Q70&lt;&gt;"N/A"),Config!$D$12&amp;"; ","")&amp;IF(AND($D70="Encerrado",Config!$D$13&lt;&gt;"",R70&lt;&gt;"Sim",R70&lt;&gt;"N/A"),Config!$D$13&amp;"; ","")&amp;IF(AND($D70="Encerrado",Config!$D$14&lt;&gt;"",S70&lt;&gt;"Sim",S70&lt;&gt;"N/A"),Config!$D$14&amp;"; ","")&amp;IF(AND($D70="Encerrado",Config!$D$15&lt;&gt;"",T70&lt;&gt;"Sim",T70&lt;&gt;"N/A"),Config!$D$15&amp;"; ","")&amp;IF(AND($D70="Encerrado",Config!$D$16&lt;&gt;"",U70&lt;&gt;"Sim",U70&lt;&gt;"N/A"),Config!$D$16&amp;"; ","")&amp;IF(AND($D70="Encerrado",Config!$D$17&lt;&gt;"",V70&lt;&gt;"Sim",V70&lt;&gt;"N/A"),Config!$D$17&amp;"; ","")&amp;IF(AND($D70="Encerrado",Config!$D$18&lt;&gt;"",W70&lt;&gt;"Sim",W70&lt;&gt;"N/A"),Config!$D$18&amp;"; ","")&amp;IF(AND($D70="Encerrado",Config!$D$19&lt;&gt;"",X70&lt;&gt;"Sim",X70&lt;&gt;"N/A"),Config!$D$19&amp;"; ",""))</f>
        <v/>
      </c>
    </row>
    <row r="71">
      <c r="A71" s="29" t="n"/>
      <c r="B71" s="29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25">
        <f>IF(A71="","",IFERROR(COUNTIF(E71:N71,"Sim")/(Config!$B$21-COUNTIF(E71:N71,"N/A")),""))</f>
        <v/>
      </c>
      <c r="Z71" s="25">
        <f>IF(OR(A71="",D71&lt;&gt;"Encerrado"),"",IFERROR(COUNTIF(O71:X71,"Sim")/(Config!$D$21-COUNTIF(O71:X71,"N/A")),""))</f>
        <v/>
      </c>
      <c r="AA71" s="23">
        <f>IF(A71="","",MAX(0,Config!$B$21-COUNTIF(E71:N71,"Sim")-COUNTIF(E71:N71,"N/A")))</f>
        <v/>
      </c>
      <c r="AB71" s="23">
        <f>IF(OR(A71="",D71&lt;&gt;"Encerrado"),"",MAX(0,Config!$D$21-COUNTIF(O71:X71,"Sim")-COUNTIF(O71:X71,"N/A")))</f>
        <v/>
      </c>
      <c r="AC71" s="23">
        <f>IF(A71="","",AA71+IF(AB71="",0,AB71))</f>
        <v/>
      </c>
      <c r="AD71" s="24">
        <f>IF(OR(A71="",AF71=""),"",LEFT(AF71,LEN(AF71)-2))</f>
        <v/>
      </c>
      <c r="AE71" s="35">
        <f>IF(OR(A71="",AC71=0),0,AC71*100-ROW()/100000)</f>
        <v>0</v>
      </c>
      <c r="AF71" s="35">
        <f>IF(A71="","",IF(AND(Config!$B$10&lt;&gt;"",E71&lt;&gt;"Sim",E71&lt;&gt;"N/A"),Config!$B$10&amp;"; ","")&amp;IF(AND(Config!$B$11&lt;&gt;"",F71&lt;&gt;"Sim",F71&lt;&gt;"N/A"),Config!$B$11&amp;"; ","")&amp;IF(AND(Config!$B$12&lt;&gt;"",G71&lt;&gt;"Sim",G71&lt;&gt;"N/A"),Config!$B$12&amp;"; ","")&amp;IF(AND(Config!$B$13&lt;&gt;"",H71&lt;&gt;"Sim",H71&lt;&gt;"N/A"),Config!$B$13&amp;"; ","")&amp;IF(AND(Config!$B$14&lt;&gt;"",I71&lt;&gt;"Sim",I71&lt;&gt;"N/A"),Config!$B$14&amp;"; ","")&amp;IF(AND(Config!$B$15&lt;&gt;"",J71&lt;&gt;"Sim",J71&lt;&gt;"N/A"),Config!$B$15&amp;"; ","")&amp;IF(AND(Config!$B$16&lt;&gt;"",K71&lt;&gt;"Sim",K71&lt;&gt;"N/A"),Config!$B$16&amp;"; ","")&amp;IF(AND(Config!$B$17&lt;&gt;"",L71&lt;&gt;"Sim",L71&lt;&gt;"N/A"),Config!$B$17&amp;"; ","")&amp;IF(AND(Config!$B$18&lt;&gt;"",M71&lt;&gt;"Sim",M71&lt;&gt;"N/A"),Config!$B$18&amp;"; ","")&amp;IF(AND(Config!$B$19&lt;&gt;"",N71&lt;&gt;"Sim",N71&lt;&gt;"N/A"),Config!$B$19&amp;"; ","")&amp;IF(AND($D71="Encerrado",Config!$D$10&lt;&gt;"",O71&lt;&gt;"Sim",O71&lt;&gt;"N/A"),Config!$D$10&amp;"; ","")&amp;IF(AND($D71="Encerrado",Config!$D$11&lt;&gt;"",P71&lt;&gt;"Sim",P71&lt;&gt;"N/A"),Config!$D$11&amp;"; ","")&amp;IF(AND($D71="Encerrado",Config!$D$12&lt;&gt;"",Q71&lt;&gt;"Sim",Q71&lt;&gt;"N/A"),Config!$D$12&amp;"; ","")&amp;IF(AND($D71="Encerrado",Config!$D$13&lt;&gt;"",R71&lt;&gt;"Sim",R71&lt;&gt;"N/A"),Config!$D$13&amp;"; ","")&amp;IF(AND($D71="Encerrado",Config!$D$14&lt;&gt;"",S71&lt;&gt;"Sim",S71&lt;&gt;"N/A"),Config!$D$14&amp;"; ","")&amp;IF(AND($D71="Encerrado",Config!$D$15&lt;&gt;"",T71&lt;&gt;"Sim",T71&lt;&gt;"N/A"),Config!$D$15&amp;"; ","")&amp;IF(AND($D71="Encerrado",Config!$D$16&lt;&gt;"",U71&lt;&gt;"Sim",U71&lt;&gt;"N/A"),Config!$D$16&amp;"; ","")&amp;IF(AND($D71="Encerrado",Config!$D$17&lt;&gt;"",V71&lt;&gt;"Sim",V71&lt;&gt;"N/A"),Config!$D$17&amp;"; ","")&amp;IF(AND($D71="Encerrado",Config!$D$18&lt;&gt;"",W71&lt;&gt;"Sim",W71&lt;&gt;"N/A"),Config!$D$18&amp;"; ","")&amp;IF(AND($D71="Encerrado",Config!$D$19&lt;&gt;"",X71&lt;&gt;"Sim",X71&lt;&gt;"N/A"),Config!$D$19&amp;"; ",""))</f>
        <v/>
      </c>
    </row>
    <row r="72">
      <c r="A72" s="29" t="n"/>
      <c r="B72" s="29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25">
        <f>IF(A72="","",IFERROR(COUNTIF(E72:N72,"Sim")/(Config!$B$21-COUNTIF(E72:N72,"N/A")),""))</f>
        <v/>
      </c>
      <c r="Z72" s="25">
        <f>IF(OR(A72="",D72&lt;&gt;"Encerrado"),"",IFERROR(COUNTIF(O72:X72,"Sim")/(Config!$D$21-COUNTIF(O72:X72,"N/A")),""))</f>
        <v/>
      </c>
      <c r="AA72" s="23">
        <f>IF(A72="","",MAX(0,Config!$B$21-COUNTIF(E72:N72,"Sim")-COUNTIF(E72:N72,"N/A")))</f>
        <v/>
      </c>
      <c r="AB72" s="23">
        <f>IF(OR(A72="",D72&lt;&gt;"Encerrado"),"",MAX(0,Config!$D$21-COUNTIF(O72:X72,"Sim")-COUNTIF(O72:X72,"N/A")))</f>
        <v/>
      </c>
      <c r="AC72" s="23">
        <f>IF(A72="","",AA72+IF(AB72="",0,AB72))</f>
        <v/>
      </c>
      <c r="AD72" s="24">
        <f>IF(OR(A72="",AF72=""),"",LEFT(AF72,LEN(AF72)-2))</f>
        <v/>
      </c>
      <c r="AE72" s="35">
        <f>IF(OR(A72="",AC72=0),0,AC72*100-ROW()/100000)</f>
        <v>0</v>
      </c>
      <c r="AF72" s="35">
        <f>IF(A72="","",IF(AND(Config!$B$10&lt;&gt;"",E72&lt;&gt;"Sim",E72&lt;&gt;"N/A"),Config!$B$10&amp;"; ","")&amp;IF(AND(Config!$B$11&lt;&gt;"",F72&lt;&gt;"Sim",F72&lt;&gt;"N/A"),Config!$B$11&amp;"; ","")&amp;IF(AND(Config!$B$12&lt;&gt;"",G72&lt;&gt;"Sim",G72&lt;&gt;"N/A"),Config!$B$12&amp;"; ","")&amp;IF(AND(Config!$B$13&lt;&gt;"",H72&lt;&gt;"Sim",H72&lt;&gt;"N/A"),Config!$B$13&amp;"; ","")&amp;IF(AND(Config!$B$14&lt;&gt;"",I72&lt;&gt;"Sim",I72&lt;&gt;"N/A"),Config!$B$14&amp;"; ","")&amp;IF(AND(Config!$B$15&lt;&gt;"",J72&lt;&gt;"Sim",J72&lt;&gt;"N/A"),Config!$B$15&amp;"; ","")&amp;IF(AND(Config!$B$16&lt;&gt;"",K72&lt;&gt;"Sim",K72&lt;&gt;"N/A"),Config!$B$16&amp;"; ","")&amp;IF(AND(Config!$B$17&lt;&gt;"",L72&lt;&gt;"Sim",L72&lt;&gt;"N/A"),Config!$B$17&amp;"; ","")&amp;IF(AND(Config!$B$18&lt;&gt;"",M72&lt;&gt;"Sim",M72&lt;&gt;"N/A"),Config!$B$18&amp;"; ","")&amp;IF(AND(Config!$B$19&lt;&gt;"",N72&lt;&gt;"Sim",N72&lt;&gt;"N/A"),Config!$B$19&amp;"; ","")&amp;IF(AND($D72="Encerrado",Config!$D$10&lt;&gt;"",O72&lt;&gt;"Sim",O72&lt;&gt;"N/A"),Config!$D$10&amp;"; ","")&amp;IF(AND($D72="Encerrado",Config!$D$11&lt;&gt;"",P72&lt;&gt;"Sim",P72&lt;&gt;"N/A"),Config!$D$11&amp;"; ","")&amp;IF(AND($D72="Encerrado",Config!$D$12&lt;&gt;"",Q72&lt;&gt;"Sim",Q72&lt;&gt;"N/A"),Config!$D$12&amp;"; ","")&amp;IF(AND($D72="Encerrado",Config!$D$13&lt;&gt;"",R72&lt;&gt;"Sim",R72&lt;&gt;"N/A"),Config!$D$13&amp;"; ","")&amp;IF(AND($D72="Encerrado",Config!$D$14&lt;&gt;"",S72&lt;&gt;"Sim",S72&lt;&gt;"N/A"),Config!$D$14&amp;"; ","")&amp;IF(AND($D72="Encerrado",Config!$D$15&lt;&gt;"",T72&lt;&gt;"Sim",T72&lt;&gt;"N/A"),Config!$D$15&amp;"; ","")&amp;IF(AND($D72="Encerrado",Config!$D$16&lt;&gt;"",U72&lt;&gt;"Sim",U72&lt;&gt;"N/A"),Config!$D$16&amp;"; ","")&amp;IF(AND($D72="Encerrado",Config!$D$17&lt;&gt;"",V72&lt;&gt;"Sim",V72&lt;&gt;"N/A"),Config!$D$17&amp;"; ","")&amp;IF(AND($D72="Encerrado",Config!$D$18&lt;&gt;"",W72&lt;&gt;"Sim",W72&lt;&gt;"N/A"),Config!$D$18&amp;"; ","")&amp;IF(AND($D72="Encerrado",Config!$D$19&lt;&gt;"",X72&lt;&gt;"Sim",X72&lt;&gt;"N/A"),Config!$D$19&amp;"; ",""))</f>
        <v/>
      </c>
    </row>
    <row r="73">
      <c r="A73" s="29" t="n"/>
      <c r="B73" s="29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25">
        <f>IF(A73="","",IFERROR(COUNTIF(E73:N73,"Sim")/(Config!$B$21-COUNTIF(E73:N73,"N/A")),""))</f>
        <v/>
      </c>
      <c r="Z73" s="25">
        <f>IF(OR(A73="",D73&lt;&gt;"Encerrado"),"",IFERROR(COUNTIF(O73:X73,"Sim")/(Config!$D$21-COUNTIF(O73:X73,"N/A")),""))</f>
        <v/>
      </c>
      <c r="AA73" s="23">
        <f>IF(A73="","",MAX(0,Config!$B$21-COUNTIF(E73:N73,"Sim")-COUNTIF(E73:N73,"N/A")))</f>
        <v/>
      </c>
      <c r="AB73" s="23">
        <f>IF(OR(A73="",D73&lt;&gt;"Encerrado"),"",MAX(0,Config!$D$21-COUNTIF(O73:X73,"Sim")-COUNTIF(O73:X73,"N/A")))</f>
        <v/>
      </c>
      <c r="AC73" s="23">
        <f>IF(A73="","",AA73+IF(AB73="",0,AB73))</f>
        <v/>
      </c>
      <c r="AD73" s="24">
        <f>IF(OR(A73="",AF73=""),"",LEFT(AF73,LEN(AF73)-2))</f>
        <v/>
      </c>
      <c r="AE73" s="35">
        <f>IF(OR(A73="",AC73=0),0,AC73*100-ROW()/100000)</f>
        <v>0</v>
      </c>
      <c r="AF73" s="35">
        <f>IF(A73="","",IF(AND(Config!$B$10&lt;&gt;"",E73&lt;&gt;"Sim",E73&lt;&gt;"N/A"),Config!$B$10&amp;"; ","")&amp;IF(AND(Config!$B$11&lt;&gt;"",F73&lt;&gt;"Sim",F73&lt;&gt;"N/A"),Config!$B$11&amp;"; ","")&amp;IF(AND(Config!$B$12&lt;&gt;"",G73&lt;&gt;"Sim",G73&lt;&gt;"N/A"),Config!$B$12&amp;"; ","")&amp;IF(AND(Config!$B$13&lt;&gt;"",H73&lt;&gt;"Sim",H73&lt;&gt;"N/A"),Config!$B$13&amp;"; ","")&amp;IF(AND(Config!$B$14&lt;&gt;"",I73&lt;&gt;"Sim",I73&lt;&gt;"N/A"),Config!$B$14&amp;"; ","")&amp;IF(AND(Config!$B$15&lt;&gt;"",J73&lt;&gt;"Sim",J73&lt;&gt;"N/A"),Config!$B$15&amp;"; ","")&amp;IF(AND(Config!$B$16&lt;&gt;"",K73&lt;&gt;"Sim",K73&lt;&gt;"N/A"),Config!$B$16&amp;"; ","")&amp;IF(AND(Config!$B$17&lt;&gt;"",L73&lt;&gt;"Sim",L73&lt;&gt;"N/A"),Config!$B$17&amp;"; ","")&amp;IF(AND(Config!$B$18&lt;&gt;"",M73&lt;&gt;"Sim",M73&lt;&gt;"N/A"),Config!$B$18&amp;"; ","")&amp;IF(AND(Config!$B$19&lt;&gt;"",N73&lt;&gt;"Sim",N73&lt;&gt;"N/A"),Config!$B$19&amp;"; ","")&amp;IF(AND($D73="Encerrado",Config!$D$10&lt;&gt;"",O73&lt;&gt;"Sim",O73&lt;&gt;"N/A"),Config!$D$10&amp;"; ","")&amp;IF(AND($D73="Encerrado",Config!$D$11&lt;&gt;"",P73&lt;&gt;"Sim",P73&lt;&gt;"N/A"),Config!$D$11&amp;"; ","")&amp;IF(AND($D73="Encerrado",Config!$D$12&lt;&gt;"",Q73&lt;&gt;"Sim",Q73&lt;&gt;"N/A"),Config!$D$12&amp;"; ","")&amp;IF(AND($D73="Encerrado",Config!$D$13&lt;&gt;"",R73&lt;&gt;"Sim",R73&lt;&gt;"N/A"),Config!$D$13&amp;"; ","")&amp;IF(AND($D73="Encerrado",Config!$D$14&lt;&gt;"",S73&lt;&gt;"Sim",S73&lt;&gt;"N/A"),Config!$D$14&amp;"; ","")&amp;IF(AND($D73="Encerrado",Config!$D$15&lt;&gt;"",T73&lt;&gt;"Sim",T73&lt;&gt;"N/A"),Config!$D$15&amp;"; ","")&amp;IF(AND($D73="Encerrado",Config!$D$16&lt;&gt;"",U73&lt;&gt;"Sim",U73&lt;&gt;"N/A"),Config!$D$16&amp;"; ","")&amp;IF(AND($D73="Encerrado",Config!$D$17&lt;&gt;"",V73&lt;&gt;"Sim",V73&lt;&gt;"N/A"),Config!$D$17&amp;"; ","")&amp;IF(AND($D73="Encerrado",Config!$D$18&lt;&gt;"",W73&lt;&gt;"Sim",W73&lt;&gt;"N/A"),Config!$D$18&amp;"; ","")&amp;IF(AND($D73="Encerrado",Config!$D$19&lt;&gt;"",X73&lt;&gt;"Sim",X73&lt;&gt;"N/A"),Config!$D$19&amp;"; ",""))</f>
        <v/>
      </c>
    </row>
    <row r="74">
      <c r="A74" s="29" t="n"/>
      <c r="B74" s="29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25">
        <f>IF(A74="","",IFERROR(COUNTIF(E74:N74,"Sim")/(Config!$B$21-COUNTIF(E74:N74,"N/A")),""))</f>
        <v/>
      </c>
      <c r="Z74" s="25">
        <f>IF(OR(A74="",D74&lt;&gt;"Encerrado"),"",IFERROR(COUNTIF(O74:X74,"Sim")/(Config!$D$21-COUNTIF(O74:X74,"N/A")),""))</f>
        <v/>
      </c>
      <c r="AA74" s="23">
        <f>IF(A74="","",MAX(0,Config!$B$21-COUNTIF(E74:N74,"Sim")-COUNTIF(E74:N74,"N/A")))</f>
        <v/>
      </c>
      <c r="AB74" s="23">
        <f>IF(OR(A74="",D74&lt;&gt;"Encerrado"),"",MAX(0,Config!$D$21-COUNTIF(O74:X74,"Sim")-COUNTIF(O74:X74,"N/A")))</f>
        <v/>
      </c>
      <c r="AC74" s="23">
        <f>IF(A74="","",AA74+IF(AB74="",0,AB74))</f>
        <v/>
      </c>
      <c r="AD74" s="24">
        <f>IF(OR(A74="",AF74=""),"",LEFT(AF74,LEN(AF74)-2))</f>
        <v/>
      </c>
      <c r="AE74" s="35">
        <f>IF(OR(A74="",AC74=0),0,AC74*100-ROW()/100000)</f>
        <v>0</v>
      </c>
      <c r="AF74" s="35">
        <f>IF(A74="","",IF(AND(Config!$B$10&lt;&gt;"",E74&lt;&gt;"Sim",E74&lt;&gt;"N/A"),Config!$B$10&amp;"; ","")&amp;IF(AND(Config!$B$11&lt;&gt;"",F74&lt;&gt;"Sim",F74&lt;&gt;"N/A"),Config!$B$11&amp;"; ","")&amp;IF(AND(Config!$B$12&lt;&gt;"",G74&lt;&gt;"Sim",G74&lt;&gt;"N/A"),Config!$B$12&amp;"; ","")&amp;IF(AND(Config!$B$13&lt;&gt;"",H74&lt;&gt;"Sim",H74&lt;&gt;"N/A"),Config!$B$13&amp;"; ","")&amp;IF(AND(Config!$B$14&lt;&gt;"",I74&lt;&gt;"Sim",I74&lt;&gt;"N/A"),Config!$B$14&amp;"; ","")&amp;IF(AND(Config!$B$15&lt;&gt;"",J74&lt;&gt;"Sim",J74&lt;&gt;"N/A"),Config!$B$15&amp;"; ","")&amp;IF(AND(Config!$B$16&lt;&gt;"",K74&lt;&gt;"Sim",K74&lt;&gt;"N/A"),Config!$B$16&amp;"; ","")&amp;IF(AND(Config!$B$17&lt;&gt;"",L74&lt;&gt;"Sim",L74&lt;&gt;"N/A"),Config!$B$17&amp;"; ","")&amp;IF(AND(Config!$B$18&lt;&gt;"",M74&lt;&gt;"Sim",M74&lt;&gt;"N/A"),Config!$B$18&amp;"; ","")&amp;IF(AND(Config!$B$19&lt;&gt;"",N74&lt;&gt;"Sim",N74&lt;&gt;"N/A"),Config!$B$19&amp;"; ","")&amp;IF(AND($D74="Encerrado",Config!$D$10&lt;&gt;"",O74&lt;&gt;"Sim",O74&lt;&gt;"N/A"),Config!$D$10&amp;"; ","")&amp;IF(AND($D74="Encerrado",Config!$D$11&lt;&gt;"",P74&lt;&gt;"Sim",P74&lt;&gt;"N/A"),Config!$D$11&amp;"; ","")&amp;IF(AND($D74="Encerrado",Config!$D$12&lt;&gt;"",Q74&lt;&gt;"Sim",Q74&lt;&gt;"N/A"),Config!$D$12&amp;"; ","")&amp;IF(AND($D74="Encerrado",Config!$D$13&lt;&gt;"",R74&lt;&gt;"Sim",R74&lt;&gt;"N/A"),Config!$D$13&amp;"; ","")&amp;IF(AND($D74="Encerrado",Config!$D$14&lt;&gt;"",S74&lt;&gt;"Sim",S74&lt;&gt;"N/A"),Config!$D$14&amp;"; ","")&amp;IF(AND($D74="Encerrado",Config!$D$15&lt;&gt;"",T74&lt;&gt;"Sim",T74&lt;&gt;"N/A"),Config!$D$15&amp;"; ","")&amp;IF(AND($D74="Encerrado",Config!$D$16&lt;&gt;"",U74&lt;&gt;"Sim",U74&lt;&gt;"N/A"),Config!$D$16&amp;"; ","")&amp;IF(AND($D74="Encerrado",Config!$D$17&lt;&gt;"",V74&lt;&gt;"Sim",V74&lt;&gt;"N/A"),Config!$D$17&amp;"; ","")&amp;IF(AND($D74="Encerrado",Config!$D$18&lt;&gt;"",W74&lt;&gt;"Sim",W74&lt;&gt;"N/A"),Config!$D$18&amp;"; ","")&amp;IF(AND($D74="Encerrado",Config!$D$19&lt;&gt;"",X74&lt;&gt;"Sim",X74&lt;&gt;"N/A"),Config!$D$19&amp;"; ",""))</f>
        <v/>
      </c>
    </row>
    <row r="75">
      <c r="A75" s="29" t="n"/>
      <c r="B75" s="29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25">
        <f>IF(A75="","",IFERROR(COUNTIF(E75:N75,"Sim")/(Config!$B$21-COUNTIF(E75:N75,"N/A")),""))</f>
        <v/>
      </c>
      <c r="Z75" s="25">
        <f>IF(OR(A75="",D75&lt;&gt;"Encerrado"),"",IFERROR(COUNTIF(O75:X75,"Sim")/(Config!$D$21-COUNTIF(O75:X75,"N/A")),""))</f>
        <v/>
      </c>
      <c r="AA75" s="23">
        <f>IF(A75="","",MAX(0,Config!$B$21-COUNTIF(E75:N75,"Sim")-COUNTIF(E75:N75,"N/A")))</f>
        <v/>
      </c>
      <c r="AB75" s="23">
        <f>IF(OR(A75="",D75&lt;&gt;"Encerrado"),"",MAX(0,Config!$D$21-COUNTIF(O75:X75,"Sim")-COUNTIF(O75:X75,"N/A")))</f>
        <v/>
      </c>
      <c r="AC75" s="23">
        <f>IF(A75="","",AA75+IF(AB75="",0,AB75))</f>
        <v/>
      </c>
      <c r="AD75" s="24">
        <f>IF(OR(A75="",AF75=""),"",LEFT(AF75,LEN(AF75)-2))</f>
        <v/>
      </c>
      <c r="AE75" s="35">
        <f>IF(OR(A75="",AC75=0),0,AC75*100-ROW()/100000)</f>
        <v>0</v>
      </c>
      <c r="AF75" s="35">
        <f>IF(A75="","",IF(AND(Config!$B$10&lt;&gt;"",E75&lt;&gt;"Sim",E75&lt;&gt;"N/A"),Config!$B$10&amp;"; ","")&amp;IF(AND(Config!$B$11&lt;&gt;"",F75&lt;&gt;"Sim",F75&lt;&gt;"N/A"),Config!$B$11&amp;"; ","")&amp;IF(AND(Config!$B$12&lt;&gt;"",G75&lt;&gt;"Sim",G75&lt;&gt;"N/A"),Config!$B$12&amp;"; ","")&amp;IF(AND(Config!$B$13&lt;&gt;"",H75&lt;&gt;"Sim",H75&lt;&gt;"N/A"),Config!$B$13&amp;"; ","")&amp;IF(AND(Config!$B$14&lt;&gt;"",I75&lt;&gt;"Sim",I75&lt;&gt;"N/A"),Config!$B$14&amp;"; ","")&amp;IF(AND(Config!$B$15&lt;&gt;"",J75&lt;&gt;"Sim",J75&lt;&gt;"N/A"),Config!$B$15&amp;"; ","")&amp;IF(AND(Config!$B$16&lt;&gt;"",K75&lt;&gt;"Sim",K75&lt;&gt;"N/A"),Config!$B$16&amp;"; ","")&amp;IF(AND(Config!$B$17&lt;&gt;"",L75&lt;&gt;"Sim",L75&lt;&gt;"N/A"),Config!$B$17&amp;"; ","")&amp;IF(AND(Config!$B$18&lt;&gt;"",M75&lt;&gt;"Sim",M75&lt;&gt;"N/A"),Config!$B$18&amp;"; ","")&amp;IF(AND(Config!$B$19&lt;&gt;"",N75&lt;&gt;"Sim",N75&lt;&gt;"N/A"),Config!$B$19&amp;"; ","")&amp;IF(AND($D75="Encerrado",Config!$D$10&lt;&gt;"",O75&lt;&gt;"Sim",O75&lt;&gt;"N/A"),Config!$D$10&amp;"; ","")&amp;IF(AND($D75="Encerrado",Config!$D$11&lt;&gt;"",P75&lt;&gt;"Sim",P75&lt;&gt;"N/A"),Config!$D$11&amp;"; ","")&amp;IF(AND($D75="Encerrado",Config!$D$12&lt;&gt;"",Q75&lt;&gt;"Sim",Q75&lt;&gt;"N/A"),Config!$D$12&amp;"; ","")&amp;IF(AND($D75="Encerrado",Config!$D$13&lt;&gt;"",R75&lt;&gt;"Sim",R75&lt;&gt;"N/A"),Config!$D$13&amp;"; ","")&amp;IF(AND($D75="Encerrado",Config!$D$14&lt;&gt;"",S75&lt;&gt;"Sim",S75&lt;&gt;"N/A"),Config!$D$14&amp;"; ","")&amp;IF(AND($D75="Encerrado",Config!$D$15&lt;&gt;"",T75&lt;&gt;"Sim",T75&lt;&gt;"N/A"),Config!$D$15&amp;"; ","")&amp;IF(AND($D75="Encerrado",Config!$D$16&lt;&gt;"",U75&lt;&gt;"Sim",U75&lt;&gt;"N/A"),Config!$D$16&amp;"; ","")&amp;IF(AND($D75="Encerrado",Config!$D$17&lt;&gt;"",V75&lt;&gt;"Sim",V75&lt;&gt;"N/A"),Config!$D$17&amp;"; ","")&amp;IF(AND($D75="Encerrado",Config!$D$18&lt;&gt;"",W75&lt;&gt;"Sim",W75&lt;&gt;"N/A"),Config!$D$18&amp;"; ","")&amp;IF(AND($D75="Encerrado",Config!$D$19&lt;&gt;"",X75&lt;&gt;"Sim",X75&lt;&gt;"N/A"),Config!$D$19&amp;"; ",""))</f>
        <v/>
      </c>
    </row>
    <row r="76">
      <c r="A76" s="29" t="n"/>
      <c r="B76" s="29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25">
        <f>IF(A76="","",IFERROR(COUNTIF(E76:N76,"Sim")/(Config!$B$21-COUNTIF(E76:N76,"N/A")),""))</f>
        <v/>
      </c>
      <c r="Z76" s="25">
        <f>IF(OR(A76="",D76&lt;&gt;"Encerrado"),"",IFERROR(COUNTIF(O76:X76,"Sim")/(Config!$D$21-COUNTIF(O76:X76,"N/A")),""))</f>
        <v/>
      </c>
      <c r="AA76" s="23">
        <f>IF(A76="","",MAX(0,Config!$B$21-COUNTIF(E76:N76,"Sim")-COUNTIF(E76:N76,"N/A")))</f>
        <v/>
      </c>
      <c r="AB76" s="23">
        <f>IF(OR(A76="",D76&lt;&gt;"Encerrado"),"",MAX(0,Config!$D$21-COUNTIF(O76:X76,"Sim")-COUNTIF(O76:X76,"N/A")))</f>
        <v/>
      </c>
      <c r="AC76" s="23">
        <f>IF(A76="","",AA76+IF(AB76="",0,AB76))</f>
        <v/>
      </c>
      <c r="AD76" s="24">
        <f>IF(OR(A76="",AF76=""),"",LEFT(AF76,LEN(AF76)-2))</f>
        <v/>
      </c>
      <c r="AE76" s="35">
        <f>IF(OR(A76="",AC76=0),0,AC76*100-ROW()/100000)</f>
        <v>0</v>
      </c>
      <c r="AF76" s="35">
        <f>IF(A76="","",IF(AND(Config!$B$10&lt;&gt;"",E76&lt;&gt;"Sim",E76&lt;&gt;"N/A"),Config!$B$10&amp;"; ","")&amp;IF(AND(Config!$B$11&lt;&gt;"",F76&lt;&gt;"Sim",F76&lt;&gt;"N/A"),Config!$B$11&amp;"; ","")&amp;IF(AND(Config!$B$12&lt;&gt;"",G76&lt;&gt;"Sim",G76&lt;&gt;"N/A"),Config!$B$12&amp;"; ","")&amp;IF(AND(Config!$B$13&lt;&gt;"",H76&lt;&gt;"Sim",H76&lt;&gt;"N/A"),Config!$B$13&amp;"; ","")&amp;IF(AND(Config!$B$14&lt;&gt;"",I76&lt;&gt;"Sim",I76&lt;&gt;"N/A"),Config!$B$14&amp;"; ","")&amp;IF(AND(Config!$B$15&lt;&gt;"",J76&lt;&gt;"Sim",J76&lt;&gt;"N/A"),Config!$B$15&amp;"; ","")&amp;IF(AND(Config!$B$16&lt;&gt;"",K76&lt;&gt;"Sim",K76&lt;&gt;"N/A"),Config!$B$16&amp;"; ","")&amp;IF(AND(Config!$B$17&lt;&gt;"",L76&lt;&gt;"Sim",L76&lt;&gt;"N/A"),Config!$B$17&amp;"; ","")&amp;IF(AND(Config!$B$18&lt;&gt;"",M76&lt;&gt;"Sim",M76&lt;&gt;"N/A"),Config!$B$18&amp;"; ","")&amp;IF(AND(Config!$B$19&lt;&gt;"",N76&lt;&gt;"Sim",N76&lt;&gt;"N/A"),Config!$B$19&amp;"; ","")&amp;IF(AND($D76="Encerrado",Config!$D$10&lt;&gt;"",O76&lt;&gt;"Sim",O76&lt;&gt;"N/A"),Config!$D$10&amp;"; ","")&amp;IF(AND($D76="Encerrado",Config!$D$11&lt;&gt;"",P76&lt;&gt;"Sim",P76&lt;&gt;"N/A"),Config!$D$11&amp;"; ","")&amp;IF(AND($D76="Encerrado",Config!$D$12&lt;&gt;"",Q76&lt;&gt;"Sim",Q76&lt;&gt;"N/A"),Config!$D$12&amp;"; ","")&amp;IF(AND($D76="Encerrado",Config!$D$13&lt;&gt;"",R76&lt;&gt;"Sim",R76&lt;&gt;"N/A"),Config!$D$13&amp;"; ","")&amp;IF(AND($D76="Encerrado",Config!$D$14&lt;&gt;"",S76&lt;&gt;"Sim",S76&lt;&gt;"N/A"),Config!$D$14&amp;"; ","")&amp;IF(AND($D76="Encerrado",Config!$D$15&lt;&gt;"",T76&lt;&gt;"Sim",T76&lt;&gt;"N/A"),Config!$D$15&amp;"; ","")&amp;IF(AND($D76="Encerrado",Config!$D$16&lt;&gt;"",U76&lt;&gt;"Sim",U76&lt;&gt;"N/A"),Config!$D$16&amp;"; ","")&amp;IF(AND($D76="Encerrado",Config!$D$17&lt;&gt;"",V76&lt;&gt;"Sim",V76&lt;&gt;"N/A"),Config!$D$17&amp;"; ","")&amp;IF(AND($D76="Encerrado",Config!$D$18&lt;&gt;"",W76&lt;&gt;"Sim",W76&lt;&gt;"N/A"),Config!$D$18&amp;"; ","")&amp;IF(AND($D76="Encerrado",Config!$D$19&lt;&gt;"",X76&lt;&gt;"Sim",X76&lt;&gt;"N/A"),Config!$D$19&amp;"; ",""))</f>
        <v/>
      </c>
    </row>
    <row r="77">
      <c r="A77" s="29" t="n"/>
      <c r="B77" s="29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25">
        <f>IF(A77="","",IFERROR(COUNTIF(E77:N77,"Sim")/(Config!$B$21-COUNTIF(E77:N77,"N/A")),""))</f>
        <v/>
      </c>
      <c r="Z77" s="25">
        <f>IF(OR(A77="",D77&lt;&gt;"Encerrado"),"",IFERROR(COUNTIF(O77:X77,"Sim")/(Config!$D$21-COUNTIF(O77:X77,"N/A")),""))</f>
        <v/>
      </c>
      <c r="AA77" s="23">
        <f>IF(A77="","",MAX(0,Config!$B$21-COUNTIF(E77:N77,"Sim")-COUNTIF(E77:N77,"N/A")))</f>
        <v/>
      </c>
      <c r="AB77" s="23">
        <f>IF(OR(A77="",D77&lt;&gt;"Encerrado"),"",MAX(0,Config!$D$21-COUNTIF(O77:X77,"Sim")-COUNTIF(O77:X77,"N/A")))</f>
        <v/>
      </c>
      <c r="AC77" s="23">
        <f>IF(A77="","",AA77+IF(AB77="",0,AB77))</f>
        <v/>
      </c>
      <c r="AD77" s="24">
        <f>IF(OR(A77="",AF77=""),"",LEFT(AF77,LEN(AF77)-2))</f>
        <v/>
      </c>
      <c r="AE77" s="35">
        <f>IF(OR(A77="",AC77=0),0,AC77*100-ROW()/100000)</f>
        <v>0</v>
      </c>
      <c r="AF77" s="35">
        <f>IF(A77="","",IF(AND(Config!$B$10&lt;&gt;"",E77&lt;&gt;"Sim",E77&lt;&gt;"N/A"),Config!$B$10&amp;"; ","")&amp;IF(AND(Config!$B$11&lt;&gt;"",F77&lt;&gt;"Sim",F77&lt;&gt;"N/A"),Config!$B$11&amp;"; ","")&amp;IF(AND(Config!$B$12&lt;&gt;"",G77&lt;&gt;"Sim",G77&lt;&gt;"N/A"),Config!$B$12&amp;"; ","")&amp;IF(AND(Config!$B$13&lt;&gt;"",H77&lt;&gt;"Sim",H77&lt;&gt;"N/A"),Config!$B$13&amp;"; ","")&amp;IF(AND(Config!$B$14&lt;&gt;"",I77&lt;&gt;"Sim",I77&lt;&gt;"N/A"),Config!$B$14&amp;"; ","")&amp;IF(AND(Config!$B$15&lt;&gt;"",J77&lt;&gt;"Sim",J77&lt;&gt;"N/A"),Config!$B$15&amp;"; ","")&amp;IF(AND(Config!$B$16&lt;&gt;"",K77&lt;&gt;"Sim",K77&lt;&gt;"N/A"),Config!$B$16&amp;"; ","")&amp;IF(AND(Config!$B$17&lt;&gt;"",L77&lt;&gt;"Sim",L77&lt;&gt;"N/A"),Config!$B$17&amp;"; ","")&amp;IF(AND(Config!$B$18&lt;&gt;"",M77&lt;&gt;"Sim",M77&lt;&gt;"N/A"),Config!$B$18&amp;"; ","")&amp;IF(AND(Config!$B$19&lt;&gt;"",N77&lt;&gt;"Sim",N77&lt;&gt;"N/A"),Config!$B$19&amp;"; ","")&amp;IF(AND($D77="Encerrado",Config!$D$10&lt;&gt;"",O77&lt;&gt;"Sim",O77&lt;&gt;"N/A"),Config!$D$10&amp;"; ","")&amp;IF(AND($D77="Encerrado",Config!$D$11&lt;&gt;"",P77&lt;&gt;"Sim",P77&lt;&gt;"N/A"),Config!$D$11&amp;"; ","")&amp;IF(AND($D77="Encerrado",Config!$D$12&lt;&gt;"",Q77&lt;&gt;"Sim",Q77&lt;&gt;"N/A"),Config!$D$12&amp;"; ","")&amp;IF(AND($D77="Encerrado",Config!$D$13&lt;&gt;"",R77&lt;&gt;"Sim",R77&lt;&gt;"N/A"),Config!$D$13&amp;"; ","")&amp;IF(AND($D77="Encerrado",Config!$D$14&lt;&gt;"",S77&lt;&gt;"Sim",S77&lt;&gt;"N/A"),Config!$D$14&amp;"; ","")&amp;IF(AND($D77="Encerrado",Config!$D$15&lt;&gt;"",T77&lt;&gt;"Sim",T77&lt;&gt;"N/A"),Config!$D$15&amp;"; ","")&amp;IF(AND($D77="Encerrado",Config!$D$16&lt;&gt;"",U77&lt;&gt;"Sim",U77&lt;&gt;"N/A"),Config!$D$16&amp;"; ","")&amp;IF(AND($D77="Encerrado",Config!$D$17&lt;&gt;"",V77&lt;&gt;"Sim",V77&lt;&gt;"N/A"),Config!$D$17&amp;"; ","")&amp;IF(AND($D77="Encerrado",Config!$D$18&lt;&gt;"",W77&lt;&gt;"Sim",W77&lt;&gt;"N/A"),Config!$D$18&amp;"; ","")&amp;IF(AND($D77="Encerrado",Config!$D$19&lt;&gt;"",X77&lt;&gt;"Sim",X77&lt;&gt;"N/A"),Config!$D$19&amp;"; ",""))</f>
        <v/>
      </c>
    </row>
    <row r="78">
      <c r="A78" s="29" t="n"/>
      <c r="B78" s="29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25">
        <f>IF(A78="","",IFERROR(COUNTIF(E78:N78,"Sim")/(Config!$B$21-COUNTIF(E78:N78,"N/A")),""))</f>
        <v/>
      </c>
      <c r="Z78" s="25">
        <f>IF(OR(A78="",D78&lt;&gt;"Encerrado"),"",IFERROR(COUNTIF(O78:X78,"Sim")/(Config!$D$21-COUNTIF(O78:X78,"N/A")),""))</f>
        <v/>
      </c>
      <c r="AA78" s="23">
        <f>IF(A78="","",MAX(0,Config!$B$21-COUNTIF(E78:N78,"Sim")-COUNTIF(E78:N78,"N/A")))</f>
        <v/>
      </c>
      <c r="AB78" s="23">
        <f>IF(OR(A78="",D78&lt;&gt;"Encerrado"),"",MAX(0,Config!$D$21-COUNTIF(O78:X78,"Sim")-COUNTIF(O78:X78,"N/A")))</f>
        <v/>
      </c>
      <c r="AC78" s="23">
        <f>IF(A78="","",AA78+IF(AB78="",0,AB78))</f>
        <v/>
      </c>
      <c r="AD78" s="24">
        <f>IF(OR(A78="",AF78=""),"",LEFT(AF78,LEN(AF78)-2))</f>
        <v/>
      </c>
      <c r="AE78" s="35">
        <f>IF(OR(A78="",AC78=0),0,AC78*100-ROW()/100000)</f>
        <v>0</v>
      </c>
      <c r="AF78" s="35">
        <f>IF(A78="","",IF(AND(Config!$B$10&lt;&gt;"",E78&lt;&gt;"Sim",E78&lt;&gt;"N/A"),Config!$B$10&amp;"; ","")&amp;IF(AND(Config!$B$11&lt;&gt;"",F78&lt;&gt;"Sim",F78&lt;&gt;"N/A"),Config!$B$11&amp;"; ","")&amp;IF(AND(Config!$B$12&lt;&gt;"",G78&lt;&gt;"Sim",G78&lt;&gt;"N/A"),Config!$B$12&amp;"; ","")&amp;IF(AND(Config!$B$13&lt;&gt;"",H78&lt;&gt;"Sim",H78&lt;&gt;"N/A"),Config!$B$13&amp;"; ","")&amp;IF(AND(Config!$B$14&lt;&gt;"",I78&lt;&gt;"Sim",I78&lt;&gt;"N/A"),Config!$B$14&amp;"; ","")&amp;IF(AND(Config!$B$15&lt;&gt;"",J78&lt;&gt;"Sim",J78&lt;&gt;"N/A"),Config!$B$15&amp;"; ","")&amp;IF(AND(Config!$B$16&lt;&gt;"",K78&lt;&gt;"Sim",K78&lt;&gt;"N/A"),Config!$B$16&amp;"; ","")&amp;IF(AND(Config!$B$17&lt;&gt;"",L78&lt;&gt;"Sim",L78&lt;&gt;"N/A"),Config!$B$17&amp;"; ","")&amp;IF(AND(Config!$B$18&lt;&gt;"",M78&lt;&gt;"Sim",M78&lt;&gt;"N/A"),Config!$B$18&amp;"; ","")&amp;IF(AND(Config!$B$19&lt;&gt;"",N78&lt;&gt;"Sim",N78&lt;&gt;"N/A"),Config!$B$19&amp;"; ","")&amp;IF(AND($D78="Encerrado",Config!$D$10&lt;&gt;"",O78&lt;&gt;"Sim",O78&lt;&gt;"N/A"),Config!$D$10&amp;"; ","")&amp;IF(AND($D78="Encerrado",Config!$D$11&lt;&gt;"",P78&lt;&gt;"Sim",P78&lt;&gt;"N/A"),Config!$D$11&amp;"; ","")&amp;IF(AND($D78="Encerrado",Config!$D$12&lt;&gt;"",Q78&lt;&gt;"Sim",Q78&lt;&gt;"N/A"),Config!$D$12&amp;"; ","")&amp;IF(AND($D78="Encerrado",Config!$D$13&lt;&gt;"",R78&lt;&gt;"Sim",R78&lt;&gt;"N/A"),Config!$D$13&amp;"; ","")&amp;IF(AND($D78="Encerrado",Config!$D$14&lt;&gt;"",S78&lt;&gt;"Sim",S78&lt;&gt;"N/A"),Config!$D$14&amp;"; ","")&amp;IF(AND($D78="Encerrado",Config!$D$15&lt;&gt;"",T78&lt;&gt;"Sim",T78&lt;&gt;"N/A"),Config!$D$15&amp;"; ","")&amp;IF(AND($D78="Encerrado",Config!$D$16&lt;&gt;"",U78&lt;&gt;"Sim",U78&lt;&gt;"N/A"),Config!$D$16&amp;"; ","")&amp;IF(AND($D78="Encerrado",Config!$D$17&lt;&gt;"",V78&lt;&gt;"Sim",V78&lt;&gt;"N/A"),Config!$D$17&amp;"; ","")&amp;IF(AND($D78="Encerrado",Config!$D$18&lt;&gt;"",W78&lt;&gt;"Sim",W78&lt;&gt;"N/A"),Config!$D$18&amp;"; ","")&amp;IF(AND($D78="Encerrado",Config!$D$19&lt;&gt;"",X78&lt;&gt;"Sim",X78&lt;&gt;"N/A"),Config!$D$19&amp;"; ",""))</f>
        <v/>
      </c>
    </row>
    <row r="79">
      <c r="A79" s="29" t="n"/>
      <c r="B79" s="29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25">
        <f>IF(A79="","",IFERROR(COUNTIF(E79:N79,"Sim")/(Config!$B$21-COUNTIF(E79:N79,"N/A")),""))</f>
        <v/>
      </c>
      <c r="Z79" s="25">
        <f>IF(OR(A79="",D79&lt;&gt;"Encerrado"),"",IFERROR(COUNTIF(O79:X79,"Sim")/(Config!$D$21-COUNTIF(O79:X79,"N/A")),""))</f>
        <v/>
      </c>
      <c r="AA79" s="23">
        <f>IF(A79="","",MAX(0,Config!$B$21-COUNTIF(E79:N79,"Sim")-COUNTIF(E79:N79,"N/A")))</f>
        <v/>
      </c>
      <c r="AB79" s="23">
        <f>IF(OR(A79="",D79&lt;&gt;"Encerrado"),"",MAX(0,Config!$D$21-COUNTIF(O79:X79,"Sim")-COUNTIF(O79:X79,"N/A")))</f>
        <v/>
      </c>
      <c r="AC79" s="23">
        <f>IF(A79="","",AA79+IF(AB79="",0,AB79))</f>
        <v/>
      </c>
      <c r="AD79" s="24">
        <f>IF(OR(A79="",AF79=""),"",LEFT(AF79,LEN(AF79)-2))</f>
        <v/>
      </c>
      <c r="AE79" s="35">
        <f>IF(OR(A79="",AC79=0),0,AC79*100-ROW()/100000)</f>
        <v>0</v>
      </c>
      <c r="AF79" s="35">
        <f>IF(A79="","",IF(AND(Config!$B$10&lt;&gt;"",E79&lt;&gt;"Sim",E79&lt;&gt;"N/A"),Config!$B$10&amp;"; ","")&amp;IF(AND(Config!$B$11&lt;&gt;"",F79&lt;&gt;"Sim",F79&lt;&gt;"N/A"),Config!$B$11&amp;"; ","")&amp;IF(AND(Config!$B$12&lt;&gt;"",G79&lt;&gt;"Sim",G79&lt;&gt;"N/A"),Config!$B$12&amp;"; ","")&amp;IF(AND(Config!$B$13&lt;&gt;"",H79&lt;&gt;"Sim",H79&lt;&gt;"N/A"),Config!$B$13&amp;"; ","")&amp;IF(AND(Config!$B$14&lt;&gt;"",I79&lt;&gt;"Sim",I79&lt;&gt;"N/A"),Config!$B$14&amp;"; ","")&amp;IF(AND(Config!$B$15&lt;&gt;"",J79&lt;&gt;"Sim",J79&lt;&gt;"N/A"),Config!$B$15&amp;"; ","")&amp;IF(AND(Config!$B$16&lt;&gt;"",K79&lt;&gt;"Sim",K79&lt;&gt;"N/A"),Config!$B$16&amp;"; ","")&amp;IF(AND(Config!$B$17&lt;&gt;"",L79&lt;&gt;"Sim",L79&lt;&gt;"N/A"),Config!$B$17&amp;"; ","")&amp;IF(AND(Config!$B$18&lt;&gt;"",M79&lt;&gt;"Sim",M79&lt;&gt;"N/A"),Config!$B$18&amp;"; ","")&amp;IF(AND(Config!$B$19&lt;&gt;"",N79&lt;&gt;"Sim",N79&lt;&gt;"N/A"),Config!$B$19&amp;"; ","")&amp;IF(AND($D79="Encerrado",Config!$D$10&lt;&gt;"",O79&lt;&gt;"Sim",O79&lt;&gt;"N/A"),Config!$D$10&amp;"; ","")&amp;IF(AND($D79="Encerrado",Config!$D$11&lt;&gt;"",P79&lt;&gt;"Sim",P79&lt;&gt;"N/A"),Config!$D$11&amp;"; ","")&amp;IF(AND($D79="Encerrado",Config!$D$12&lt;&gt;"",Q79&lt;&gt;"Sim",Q79&lt;&gt;"N/A"),Config!$D$12&amp;"; ","")&amp;IF(AND($D79="Encerrado",Config!$D$13&lt;&gt;"",R79&lt;&gt;"Sim",R79&lt;&gt;"N/A"),Config!$D$13&amp;"; ","")&amp;IF(AND($D79="Encerrado",Config!$D$14&lt;&gt;"",S79&lt;&gt;"Sim",S79&lt;&gt;"N/A"),Config!$D$14&amp;"; ","")&amp;IF(AND($D79="Encerrado",Config!$D$15&lt;&gt;"",T79&lt;&gt;"Sim",T79&lt;&gt;"N/A"),Config!$D$15&amp;"; ","")&amp;IF(AND($D79="Encerrado",Config!$D$16&lt;&gt;"",U79&lt;&gt;"Sim",U79&lt;&gt;"N/A"),Config!$D$16&amp;"; ","")&amp;IF(AND($D79="Encerrado",Config!$D$17&lt;&gt;"",V79&lt;&gt;"Sim",V79&lt;&gt;"N/A"),Config!$D$17&amp;"; ","")&amp;IF(AND($D79="Encerrado",Config!$D$18&lt;&gt;"",W79&lt;&gt;"Sim",W79&lt;&gt;"N/A"),Config!$D$18&amp;"; ","")&amp;IF(AND($D79="Encerrado",Config!$D$19&lt;&gt;"",X79&lt;&gt;"Sim",X79&lt;&gt;"N/A"),Config!$D$19&amp;"; ",""))</f>
        <v/>
      </c>
    </row>
    <row r="80">
      <c r="A80" s="29" t="n"/>
      <c r="B80" s="29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25">
        <f>IF(A80="","",IFERROR(COUNTIF(E80:N80,"Sim")/(Config!$B$21-COUNTIF(E80:N80,"N/A")),""))</f>
        <v/>
      </c>
      <c r="Z80" s="25">
        <f>IF(OR(A80="",D80&lt;&gt;"Encerrado"),"",IFERROR(COUNTIF(O80:X80,"Sim")/(Config!$D$21-COUNTIF(O80:X80,"N/A")),""))</f>
        <v/>
      </c>
      <c r="AA80" s="23">
        <f>IF(A80="","",MAX(0,Config!$B$21-COUNTIF(E80:N80,"Sim")-COUNTIF(E80:N80,"N/A")))</f>
        <v/>
      </c>
      <c r="AB80" s="23">
        <f>IF(OR(A80="",D80&lt;&gt;"Encerrado"),"",MAX(0,Config!$D$21-COUNTIF(O80:X80,"Sim")-COUNTIF(O80:X80,"N/A")))</f>
        <v/>
      </c>
      <c r="AC80" s="23">
        <f>IF(A80="","",AA80+IF(AB80="",0,AB80))</f>
        <v/>
      </c>
      <c r="AD80" s="24">
        <f>IF(OR(A80="",AF80=""),"",LEFT(AF80,LEN(AF80)-2))</f>
        <v/>
      </c>
      <c r="AE80" s="35">
        <f>IF(OR(A80="",AC80=0),0,AC80*100-ROW()/100000)</f>
        <v>0</v>
      </c>
      <c r="AF80" s="35">
        <f>IF(A80="","",IF(AND(Config!$B$10&lt;&gt;"",E80&lt;&gt;"Sim",E80&lt;&gt;"N/A"),Config!$B$10&amp;"; ","")&amp;IF(AND(Config!$B$11&lt;&gt;"",F80&lt;&gt;"Sim",F80&lt;&gt;"N/A"),Config!$B$11&amp;"; ","")&amp;IF(AND(Config!$B$12&lt;&gt;"",G80&lt;&gt;"Sim",G80&lt;&gt;"N/A"),Config!$B$12&amp;"; ","")&amp;IF(AND(Config!$B$13&lt;&gt;"",H80&lt;&gt;"Sim",H80&lt;&gt;"N/A"),Config!$B$13&amp;"; ","")&amp;IF(AND(Config!$B$14&lt;&gt;"",I80&lt;&gt;"Sim",I80&lt;&gt;"N/A"),Config!$B$14&amp;"; ","")&amp;IF(AND(Config!$B$15&lt;&gt;"",J80&lt;&gt;"Sim",J80&lt;&gt;"N/A"),Config!$B$15&amp;"; ","")&amp;IF(AND(Config!$B$16&lt;&gt;"",K80&lt;&gt;"Sim",K80&lt;&gt;"N/A"),Config!$B$16&amp;"; ","")&amp;IF(AND(Config!$B$17&lt;&gt;"",L80&lt;&gt;"Sim",L80&lt;&gt;"N/A"),Config!$B$17&amp;"; ","")&amp;IF(AND(Config!$B$18&lt;&gt;"",M80&lt;&gt;"Sim",M80&lt;&gt;"N/A"),Config!$B$18&amp;"; ","")&amp;IF(AND(Config!$B$19&lt;&gt;"",N80&lt;&gt;"Sim",N80&lt;&gt;"N/A"),Config!$B$19&amp;"; ","")&amp;IF(AND($D80="Encerrado",Config!$D$10&lt;&gt;"",O80&lt;&gt;"Sim",O80&lt;&gt;"N/A"),Config!$D$10&amp;"; ","")&amp;IF(AND($D80="Encerrado",Config!$D$11&lt;&gt;"",P80&lt;&gt;"Sim",P80&lt;&gt;"N/A"),Config!$D$11&amp;"; ","")&amp;IF(AND($D80="Encerrado",Config!$D$12&lt;&gt;"",Q80&lt;&gt;"Sim",Q80&lt;&gt;"N/A"),Config!$D$12&amp;"; ","")&amp;IF(AND($D80="Encerrado",Config!$D$13&lt;&gt;"",R80&lt;&gt;"Sim",R80&lt;&gt;"N/A"),Config!$D$13&amp;"; ","")&amp;IF(AND($D80="Encerrado",Config!$D$14&lt;&gt;"",S80&lt;&gt;"Sim",S80&lt;&gt;"N/A"),Config!$D$14&amp;"; ","")&amp;IF(AND($D80="Encerrado",Config!$D$15&lt;&gt;"",T80&lt;&gt;"Sim",T80&lt;&gt;"N/A"),Config!$D$15&amp;"; ","")&amp;IF(AND($D80="Encerrado",Config!$D$16&lt;&gt;"",U80&lt;&gt;"Sim",U80&lt;&gt;"N/A"),Config!$D$16&amp;"; ","")&amp;IF(AND($D80="Encerrado",Config!$D$17&lt;&gt;"",V80&lt;&gt;"Sim",V80&lt;&gt;"N/A"),Config!$D$17&amp;"; ","")&amp;IF(AND($D80="Encerrado",Config!$D$18&lt;&gt;"",W80&lt;&gt;"Sim",W80&lt;&gt;"N/A"),Config!$D$18&amp;"; ","")&amp;IF(AND($D80="Encerrado",Config!$D$19&lt;&gt;"",X80&lt;&gt;"Sim",X80&lt;&gt;"N/A"),Config!$D$19&amp;"; ",""))</f>
        <v/>
      </c>
    </row>
    <row r="81">
      <c r="A81" s="29" t="n"/>
      <c r="B81" s="29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25">
        <f>IF(A81="","",IFERROR(COUNTIF(E81:N81,"Sim")/(Config!$B$21-COUNTIF(E81:N81,"N/A")),""))</f>
        <v/>
      </c>
      <c r="Z81" s="25">
        <f>IF(OR(A81="",D81&lt;&gt;"Encerrado"),"",IFERROR(COUNTIF(O81:X81,"Sim")/(Config!$D$21-COUNTIF(O81:X81,"N/A")),""))</f>
        <v/>
      </c>
      <c r="AA81" s="23">
        <f>IF(A81="","",MAX(0,Config!$B$21-COUNTIF(E81:N81,"Sim")-COUNTIF(E81:N81,"N/A")))</f>
        <v/>
      </c>
      <c r="AB81" s="23">
        <f>IF(OR(A81="",D81&lt;&gt;"Encerrado"),"",MAX(0,Config!$D$21-COUNTIF(O81:X81,"Sim")-COUNTIF(O81:X81,"N/A")))</f>
        <v/>
      </c>
      <c r="AC81" s="23">
        <f>IF(A81="","",AA81+IF(AB81="",0,AB81))</f>
        <v/>
      </c>
      <c r="AD81" s="24">
        <f>IF(OR(A81="",AF81=""),"",LEFT(AF81,LEN(AF81)-2))</f>
        <v/>
      </c>
      <c r="AE81" s="35">
        <f>IF(OR(A81="",AC81=0),0,AC81*100-ROW()/100000)</f>
        <v>0</v>
      </c>
      <c r="AF81" s="35">
        <f>IF(A81="","",IF(AND(Config!$B$10&lt;&gt;"",E81&lt;&gt;"Sim",E81&lt;&gt;"N/A"),Config!$B$10&amp;"; ","")&amp;IF(AND(Config!$B$11&lt;&gt;"",F81&lt;&gt;"Sim",F81&lt;&gt;"N/A"),Config!$B$11&amp;"; ","")&amp;IF(AND(Config!$B$12&lt;&gt;"",G81&lt;&gt;"Sim",G81&lt;&gt;"N/A"),Config!$B$12&amp;"; ","")&amp;IF(AND(Config!$B$13&lt;&gt;"",H81&lt;&gt;"Sim",H81&lt;&gt;"N/A"),Config!$B$13&amp;"; ","")&amp;IF(AND(Config!$B$14&lt;&gt;"",I81&lt;&gt;"Sim",I81&lt;&gt;"N/A"),Config!$B$14&amp;"; ","")&amp;IF(AND(Config!$B$15&lt;&gt;"",J81&lt;&gt;"Sim",J81&lt;&gt;"N/A"),Config!$B$15&amp;"; ","")&amp;IF(AND(Config!$B$16&lt;&gt;"",K81&lt;&gt;"Sim",K81&lt;&gt;"N/A"),Config!$B$16&amp;"; ","")&amp;IF(AND(Config!$B$17&lt;&gt;"",L81&lt;&gt;"Sim",L81&lt;&gt;"N/A"),Config!$B$17&amp;"; ","")&amp;IF(AND(Config!$B$18&lt;&gt;"",M81&lt;&gt;"Sim",M81&lt;&gt;"N/A"),Config!$B$18&amp;"; ","")&amp;IF(AND(Config!$B$19&lt;&gt;"",N81&lt;&gt;"Sim",N81&lt;&gt;"N/A"),Config!$B$19&amp;"; ","")&amp;IF(AND($D81="Encerrado",Config!$D$10&lt;&gt;"",O81&lt;&gt;"Sim",O81&lt;&gt;"N/A"),Config!$D$10&amp;"; ","")&amp;IF(AND($D81="Encerrado",Config!$D$11&lt;&gt;"",P81&lt;&gt;"Sim",P81&lt;&gt;"N/A"),Config!$D$11&amp;"; ","")&amp;IF(AND($D81="Encerrado",Config!$D$12&lt;&gt;"",Q81&lt;&gt;"Sim",Q81&lt;&gt;"N/A"),Config!$D$12&amp;"; ","")&amp;IF(AND($D81="Encerrado",Config!$D$13&lt;&gt;"",R81&lt;&gt;"Sim",R81&lt;&gt;"N/A"),Config!$D$13&amp;"; ","")&amp;IF(AND($D81="Encerrado",Config!$D$14&lt;&gt;"",S81&lt;&gt;"Sim",S81&lt;&gt;"N/A"),Config!$D$14&amp;"; ","")&amp;IF(AND($D81="Encerrado",Config!$D$15&lt;&gt;"",T81&lt;&gt;"Sim",T81&lt;&gt;"N/A"),Config!$D$15&amp;"; ","")&amp;IF(AND($D81="Encerrado",Config!$D$16&lt;&gt;"",U81&lt;&gt;"Sim",U81&lt;&gt;"N/A"),Config!$D$16&amp;"; ","")&amp;IF(AND($D81="Encerrado",Config!$D$17&lt;&gt;"",V81&lt;&gt;"Sim",V81&lt;&gt;"N/A"),Config!$D$17&amp;"; ","")&amp;IF(AND($D81="Encerrado",Config!$D$18&lt;&gt;"",W81&lt;&gt;"Sim",W81&lt;&gt;"N/A"),Config!$D$18&amp;"; ","")&amp;IF(AND($D81="Encerrado",Config!$D$19&lt;&gt;"",X81&lt;&gt;"Sim",X81&lt;&gt;"N/A"),Config!$D$19&amp;"; ",""))</f>
        <v/>
      </c>
    </row>
    <row r="82">
      <c r="A82" s="29" t="n"/>
      <c r="B82" s="29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25">
        <f>IF(A82="","",IFERROR(COUNTIF(E82:N82,"Sim")/(Config!$B$21-COUNTIF(E82:N82,"N/A")),""))</f>
        <v/>
      </c>
      <c r="Z82" s="25">
        <f>IF(OR(A82="",D82&lt;&gt;"Encerrado"),"",IFERROR(COUNTIF(O82:X82,"Sim")/(Config!$D$21-COUNTIF(O82:X82,"N/A")),""))</f>
        <v/>
      </c>
      <c r="AA82" s="23">
        <f>IF(A82="","",MAX(0,Config!$B$21-COUNTIF(E82:N82,"Sim")-COUNTIF(E82:N82,"N/A")))</f>
        <v/>
      </c>
      <c r="AB82" s="23">
        <f>IF(OR(A82="",D82&lt;&gt;"Encerrado"),"",MAX(0,Config!$D$21-COUNTIF(O82:X82,"Sim")-COUNTIF(O82:X82,"N/A")))</f>
        <v/>
      </c>
      <c r="AC82" s="23">
        <f>IF(A82="","",AA82+IF(AB82="",0,AB82))</f>
        <v/>
      </c>
      <c r="AD82" s="24">
        <f>IF(OR(A82="",AF82=""),"",LEFT(AF82,LEN(AF82)-2))</f>
        <v/>
      </c>
      <c r="AE82" s="35">
        <f>IF(OR(A82="",AC82=0),0,AC82*100-ROW()/100000)</f>
        <v>0</v>
      </c>
      <c r="AF82" s="35">
        <f>IF(A82="","",IF(AND(Config!$B$10&lt;&gt;"",E82&lt;&gt;"Sim",E82&lt;&gt;"N/A"),Config!$B$10&amp;"; ","")&amp;IF(AND(Config!$B$11&lt;&gt;"",F82&lt;&gt;"Sim",F82&lt;&gt;"N/A"),Config!$B$11&amp;"; ","")&amp;IF(AND(Config!$B$12&lt;&gt;"",G82&lt;&gt;"Sim",G82&lt;&gt;"N/A"),Config!$B$12&amp;"; ","")&amp;IF(AND(Config!$B$13&lt;&gt;"",H82&lt;&gt;"Sim",H82&lt;&gt;"N/A"),Config!$B$13&amp;"; ","")&amp;IF(AND(Config!$B$14&lt;&gt;"",I82&lt;&gt;"Sim",I82&lt;&gt;"N/A"),Config!$B$14&amp;"; ","")&amp;IF(AND(Config!$B$15&lt;&gt;"",J82&lt;&gt;"Sim",J82&lt;&gt;"N/A"),Config!$B$15&amp;"; ","")&amp;IF(AND(Config!$B$16&lt;&gt;"",K82&lt;&gt;"Sim",K82&lt;&gt;"N/A"),Config!$B$16&amp;"; ","")&amp;IF(AND(Config!$B$17&lt;&gt;"",L82&lt;&gt;"Sim",L82&lt;&gt;"N/A"),Config!$B$17&amp;"; ","")&amp;IF(AND(Config!$B$18&lt;&gt;"",M82&lt;&gt;"Sim",M82&lt;&gt;"N/A"),Config!$B$18&amp;"; ","")&amp;IF(AND(Config!$B$19&lt;&gt;"",N82&lt;&gt;"Sim",N82&lt;&gt;"N/A"),Config!$B$19&amp;"; ","")&amp;IF(AND($D82="Encerrado",Config!$D$10&lt;&gt;"",O82&lt;&gt;"Sim",O82&lt;&gt;"N/A"),Config!$D$10&amp;"; ","")&amp;IF(AND($D82="Encerrado",Config!$D$11&lt;&gt;"",P82&lt;&gt;"Sim",P82&lt;&gt;"N/A"),Config!$D$11&amp;"; ","")&amp;IF(AND($D82="Encerrado",Config!$D$12&lt;&gt;"",Q82&lt;&gt;"Sim",Q82&lt;&gt;"N/A"),Config!$D$12&amp;"; ","")&amp;IF(AND($D82="Encerrado",Config!$D$13&lt;&gt;"",R82&lt;&gt;"Sim",R82&lt;&gt;"N/A"),Config!$D$13&amp;"; ","")&amp;IF(AND($D82="Encerrado",Config!$D$14&lt;&gt;"",S82&lt;&gt;"Sim",S82&lt;&gt;"N/A"),Config!$D$14&amp;"; ","")&amp;IF(AND($D82="Encerrado",Config!$D$15&lt;&gt;"",T82&lt;&gt;"Sim",T82&lt;&gt;"N/A"),Config!$D$15&amp;"; ","")&amp;IF(AND($D82="Encerrado",Config!$D$16&lt;&gt;"",U82&lt;&gt;"Sim",U82&lt;&gt;"N/A"),Config!$D$16&amp;"; ","")&amp;IF(AND($D82="Encerrado",Config!$D$17&lt;&gt;"",V82&lt;&gt;"Sim",V82&lt;&gt;"N/A"),Config!$D$17&amp;"; ","")&amp;IF(AND($D82="Encerrado",Config!$D$18&lt;&gt;"",W82&lt;&gt;"Sim",W82&lt;&gt;"N/A"),Config!$D$18&amp;"; ","")&amp;IF(AND($D82="Encerrado",Config!$D$19&lt;&gt;"",X82&lt;&gt;"Sim",X82&lt;&gt;"N/A"),Config!$D$19&amp;"; ",""))</f>
        <v/>
      </c>
    </row>
    <row r="83">
      <c r="A83" s="29" t="n"/>
      <c r="B83" s="29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25">
        <f>IF(A83="","",IFERROR(COUNTIF(E83:N83,"Sim")/(Config!$B$21-COUNTIF(E83:N83,"N/A")),""))</f>
        <v/>
      </c>
      <c r="Z83" s="25">
        <f>IF(OR(A83="",D83&lt;&gt;"Encerrado"),"",IFERROR(COUNTIF(O83:X83,"Sim")/(Config!$D$21-COUNTIF(O83:X83,"N/A")),""))</f>
        <v/>
      </c>
      <c r="AA83" s="23">
        <f>IF(A83="","",MAX(0,Config!$B$21-COUNTIF(E83:N83,"Sim")-COUNTIF(E83:N83,"N/A")))</f>
        <v/>
      </c>
      <c r="AB83" s="23">
        <f>IF(OR(A83="",D83&lt;&gt;"Encerrado"),"",MAX(0,Config!$D$21-COUNTIF(O83:X83,"Sim")-COUNTIF(O83:X83,"N/A")))</f>
        <v/>
      </c>
      <c r="AC83" s="23">
        <f>IF(A83="","",AA83+IF(AB83="",0,AB83))</f>
        <v/>
      </c>
      <c r="AD83" s="24">
        <f>IF(OR(A83="",AF83=""),"",LEFT(AF83,LEN(AF83)-2))</f>
        <v/>
      </c>
      <c r="AE83" s="35">
        <f>IF(OR(A83="",AC83=0),0,AC83*100-ROW()/100000)</f>
        <v>0</v>
      </c>
      <c r="AF83" s="35">
        <f>IF(A83="","",IF(AND(Config!$B$10&lt;&gt;"",E83&lt;&gt;"Sim",E83&lt;&gt;"N/A"),Config!$B$10&amp;"; ","")&amp;IF(AND(Config!$B$11&lt;&gt;"",F83&lt;&gt;"Sim",F83&lt;&gt;"N/A"),Config!$B$11&amp;"; ","")&amp;IF(AND(Config!$B$12&lt;&gt;"",G83&lt;&gt;"Sim",G83&lt;&gt;"N/A"),Config!$B$12&amp;"; ","")&amp;IF(AND(Config!$B$13&lt;&gt;"",H83&lt;&gt;"Sim",H83&lt;&gt;"N/A"),Config!$B$13&amp;"; ","")&amp;IF(AND(Config!$B$14&lt;&gt;"",I83&lt;&gt;"Sim",I83&lt;&gt;"N/A"),Config!$B$14&amp;"; ","")&amp;IF(AND(Config!$B$15&lt;&gt;"",J83&lt;&gt;"Sim",J83&lt;&gt;"N/A"),Config!$B$15&amp;"; ","")&amp;IF(AND(Config!$B$16&lt;&gt;"",K83&lt;&gt;"Sim",K83&lt;&gt;"N/A"),Config!$B$16&amp;"; ","")&amp;IF(AND(Config!$B$17&lt;&gt;"",L83&lt;&gt;"Sim",L83&lt;&gt;"N/A"),Config!$B$17&amp;"; ","")&amp;IF(AND(Config!$B$18&lt;&gt;"",M83&lt;&gt;"Sim",M83&lt;&gt;"N/A"),Config!$B$18&amp;"; ","")&amp;IF(AND(Config!$B$19&lt;&gt;"",N83&lt;&gt;"Sim",N83&lt;&gt;"N/A"),Config!$B$19&amp;"; ","")&amp;IF(AND($D83="Encerrado",Config!$D$10&lt;&gt;"",O83&lt;&gt;"Sim",O83&lt;&gt;"N/A"),Config!$D$10&amp;"; ","")&amp;IF(AND($D83="Encerrado",Config!$D$11&lt;&gt;"",P83&lt;&gt;"Sim",P83&lt;&gt;"N/A"),Config!$D$11&amp;"; ","")&amp;IF(AND($D83="Encerrado",Config!$D$12&lt;&gt;"",Q83&lt;&gt;"Sim",Q83&lt;&gt;"N/A"),Config!$D$12&amp;"; ","")&amp;IF(AND($D83="Encerrado",Config!$D$13&lt;&gt;"",R83&lt;&gt;"Sim",R83&lt;&gt;"N/A"),Config!$D$13&amp;"; ","")&amp;IF(AND($D83="Encerrado",Config!$D$14&lt;&gt;"",S83&lt;&gt;"Sim",S83&lt;&gt;"N/A"),Config!$D$14&amp;"; ","")&amp;IF(AND($D83="Encerrado",Config!$D$15&lt;&gt;"",T83&lt;&gt;"Sim",T83&lt;&gt;"N/A"),Config!$D$15&amp;"; ","")&amp;IF(AND($D83="Encerrado",Config!$D$16&lt;&gt;"",U83&lt;&gt;"Sim",U83&lt;&gt;"N/A"),Config!$D$16&amp;"; ","")&amp;IF(AND($D83="Encerrado",Config!$D$17&lt;&gt;"",V83&lt;&gt;"Sim",V83&lt;&gt;"N/A"),Config!$D$17&amp;"; ","")&amp;IF(AND($D83="Encerrado",Config!$D$18&lt;&gt;"",W83&lt;&gt;"Sim",W83&lt;&gt;"N/A"),Config!$D$18&amp;"; ","")&amp;IF(AND($D83="Encerrado",Config!$D$19&lt;&gt;"",X83&lt;&gt;"Sim",X83&lt;&gt;"N/A"),Config!$D$19&amp;"; ",""))</f>
        <v/>
      </c>
    </row>
    <row r="84">
      <c r="A84" s="29" t="n"/>
      <c r="B84" s="29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25">
        <f>IF(A84="","",IFERROR(COUNTIF(E84:N84,"Sim")/(Config!$B$21-COUNTIF(E84:N84,"N/A")),""))</f>
        <v/>
      </c>
      <c r="Z84" s="25">
        <f>IF(OR(A84="",D84&lt;&gt;"Encerrado"),"",IFERROR(COUNTIF(O84:X84,"Sim")/(Config!$D$21-COUNTIF(O84:X84,"N/A")),""))</f>
        <v/>
      </c>
      <c r="AA84" s="23">
        <f>IF(A84="","",MAX(0,Config!$B$21-COUNTIF(E84:N84,"Sim")-COUNTIF(E84:N84,"N/A")))</f>
        <v/>
      </c>
      <c r="AB84" s="23">
        <f>IF(OR(A84="",D84&lt;&gt;"Encerrado"),"",MAX(0,Config!$D$21-COUNTIF(O84:X84,"Sim")-COUNTIF(O84:X84,"N/A")))</f>
        <v/>
      </c>
      <c r="AC84" s="23">
        <f>IF(A84="","",AA84+IF(AB84="",0,AB84))</f>
        <v/>
      </c>
      <c r="AD84" s="24">
        <f>IF(OR(A84="",AF84=""),"",LEFT(AF84,LEN(AF84)-2))</f>
        <v/>
      </c>
      <c r="AE84" s="35">
        <f>IF(OR(A84="",AC84=0),0,AC84*100-ROW()/100000)</f>
        <v>0</v>
      </c>
      <c r="AF84" s="35">
        <f>IF(A84="","",IF(AND(Config!$B$10&lt;&gt;"",E84&lt;&gt;"Sim",E84&lt;&gt;"N/A"),Config!$B$10&amp;"; ","")&amp;IF(AND(Config!$B$11&lt;&gt;"",F84&lt;&gt;"Sim",F84&lt;&gt;"N/A"),Config!$B$11&amp;"; ","")&amp;IF(AND(Config!$B$12&lt;&gt;"",G84&lt;&gt;"Sim",G84&lt;&gt;"N/A"),Config!$B$12&amp;"; ","")&amp;IF(AND(Config!$B$13&lt;&gt;"",H84&lt;&gt;"Sim",H84&lt;&gt;"N/A"),Config!$B$13&amp;"; ","")&amp;IF(AND(Config!$B$14&lt;&gt;"",I84&lt;&gt;"Sim",I84&lt;&gt;"N/A"),Config!$B$14&amp;"; ","")&amp;IF(AND(Config!$B$15&lt;&gt;"",J84&lt;&gt;"Sim",J84&lt;&gt;"N/A"),Config!$B$15&amp;"; ","")&amp;IF(AND(Config!$B$16&lt;&gt;"",K84&lt;&gt;"Sim",K84&lt;&gt;"N/A"),Config!$B$16&amp;"; ","")&amp;IF(AND(Config!$B$17&lt;&gt;"",L84&lt;&gt;"Sim",L84&lt;&gt;"N/A"),Config!$B$17&amp;"; ","")&amp;IF(AND(Config!$B$18&lt;&gt;"",M84&lt;&gt;"Sim",M84&lt;&gt;"N/A"),Config!$B$18&amp;"; ","")&amp;IF(AND(Config!$B$19&lt;&gt;"",N84&lt;&gt;"Sim",N84&lt;&gt;"N/A"),Config!$B$19&amp;"; ","")&amp;IF(AND($D84="Encerrado",Config!$D$10&lt;&gt;"",O84&lt;&gt;"Sim",O84&lt;&gt;"N/A"),Config!$D$10&amp;"; ","")&amp;IF(AND($D84="Encerrado",Config!$D$11&lt;&gt;"",P84&lt;&gt;"Sim",P84&lt;&gt;"N/A"),Config!$D$11&amp;"; ","")&amp;IF(AND($D84="Encerrado",Config!$D$12&lt;&gt;"",Q84&lt;&gt;"Sim",Q84&lt;&gt;"N/A"),Config!$D$12&amp;"; ","")&amp;IF(AND($D84="Encerrado",Config!$D$13&lt;&gt;"",R84&lt;&gt;"Sim",R84&lt;&gt;"N/A"),Config!$D$13&amp;"; ","")&amp;IF(AND($D84="Encerrado",Config!$D$14&lt;&gt;"",S84&lt;&gt;"Sim",S84&lt;&gt;"N/A"),Config!$D$14&amp;"; ","")&amp;IF(AND($D84="Encerrado",Config!$D$15&lt;&gt;"",T84&lt;&gt;"Sim",T84&lt;&gt;"N/A"),Config!$D$15&amp;"; ","")&amp;IF(AND($D84="Encerrado",Config!$D$16&lt;&gt;"",U84&lt;&gt;"Sim",U84&lt;&gt;"N/A"),Config!$D$16&amp;"; ","")&amp;IF(AND($D84="Encerrado",Config!$D$17&lt;&gt;"",V84&lt;&gt;"Sim",V84&lt;&gt;"N/A"),Config!$D$17&amp;"; ","")&amp;IF(AND($D84="Encerrado",Config!$D$18&lt;&gt;"",W84&lt;&gt;"Sim",W84&lt;&gt;"N/A"),Config!$D$18&amp;"; ","")&amp;IF(AND($D84="Encerrado",Config!$D$19&lt;&gt;"",X84&lt;&gt;"Sim",X84&lt;&gt;"N/A"),Config!$D$19&amp;"; ",""))</f>
        <v/>
      </c>
    </row>
    <row r="85">
      <c r="A85" s="29" t="n"/>
      <c r="B85" s="29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25">
        <f>IF(A85="","",IFERROR(COUNTIF(E85:N85,"Sim")/(Config!$B$21-COUNTIF(E85:N85,"N/A")),""))</f>
        <v/>
      </c>
      <c r="Z85" s="25">
        <f>IF(OR(A85="",D85&lt;&gt;"Encerrado"),"",IFERROR(COUNTIF(O85:X85,"Sim")/(Config!$D$21-COUNTIF(O85:X85,"N/A")),""))</f>
        <v/>
      </c>
      <c r="AA85" s="23">
        <f>IF(A85="","",MAX(0,Config!$B$21-COUNTIF(E85:N85,"Sim")-COUNTIF(E85:N85,"N/A")))</f>
        <v/>
      </c>
      <c r="AB85" s="23">
        <f>IF(OR(A85="",D85&lt;&gt;"Encerrado"),"",MAX(0,Config!$D$21-COUNTIF(O85:X85,"Sim")-COUNTIF(O85:X85,"N/A")))</f>
        <v/>
      </c>
      <c r="AC85" s="23">
        <f>IF(A85="","",AA85+IF(AB85="",0,AB85))</f>
        <v/>
      </c>
      <c r="AD85" s="24">
        <f>IF(OR(A85="",AF85=""),"",LEFT(AF85,LEN(AF85)-2))</f>
        <v/>
      </c>
      <c r="AE85" s="35">
        <f>IF(OR(A85="",AC85=0),0,AC85*100-ROW()/100000)</f>
        <v>0</v>
      </c>
      <c r="AF85" s="35">
        <f>IF(A85="","",IF(AND(Config!$B$10&lt;&gt;"",E85&lt;&gt;"Sim",E85&lt;&gt;"N/A"),Config!$B$10&amp;"; ","")&amp;IF(AND(Config!$B$11&lt;&gt;"",F85&lt;&gt;"Sim",F85&lt;&gt;"N/A"),Config!$B$11&amp;"; ","")&amp;IF(AND(Config!$B$12&lt;&gt;"",G85&lt;&gt;"Sim",G85&lt;&gt;"N/A"),Config!$B$12&amp;"; ","")&amp;IF(AND(Config!$B$13&lt;&gt;"",H85&lt;&gt;"Sim",H85&lt;&gt;"N/A"),Config!$B$13&amp;"; ","")&amp;IF(AND(Config!$B$14&lt;&gt;"",I85&lt;&gt;"Sim",I85&lt;&gt;"N/A"),Config!$B$14&amp;"; ","")&amp;IF(AND(Config!$B$15&lt;&gt;"",J85&lt;&gt;"Sim",J85&lt;&gt;"N/A"),Config!$B$15&amp;"; ","")&amp;IF(AND(Config!$B$16&lt;&gt;"",K85&lt;&gt;"Sim",K85&lt;&gt;"N/A"),Config!$B$16&amp;"; ","")&amp;IF(AND(Config!$B$17&lt;&gt;"",L85&lt;&gt;"Sim",L85&lt;&gt;"N/A"),Config!$B$17&amp;"; ","")&amp;IF(AND(Config!$B$18&lt;&gt;"",M85&lt;&gt;"Sim",M85&lt;&gt;"N/A"),Config!$B$18&amp;"; ","")&amp;IF(AND(Config!$B$19&lt;&gt;"",N85&lt;&gt;"Sim",N85&lt;&gt;"N/A"),Config!$B$19&amp;"; ","")&amp;IF(AND($D85="Encerrado",Config!$D$10&lt;&gt;"",O85&lt;&gt;"Sim",O85&lt;&gt;"N/A"),Config!$D$10&amp;"; ","")&amp;IF(AND($D85="Encerrado",Config!$D$11&lt;&gt;"",P85&lt;&gt;"Sim",P85&lt;&gt;"N/A"),Config!$D$11&amp;"; ","")&amp;IF(AND($D85="Encerrado",Config!$D$12&lt;&gt;"",Q85&lt;&gt;"Sim",Q85&lt;&gt;"N/A"),Config!$D$12&amp;"; ","")&amp;IF(AND($D85="Encerrado",Config!$D$13&lt;&gt;"",R85&lt;&gt;"Sim",R85&lt;&gt;"N/A"),Config!$D$13&amp;"; ","")&amp;IF(AND($D85="Encerrado",Config!$D$14&lt;&gt;"",S85&lt;&gt;"Sim",S85&lt;&gt;"N/A"),Config!$D$14&amp;"; ","")&amp;IF(AND($D85="Encerrado",Config!$D$15&lt;&gt;"",T85&lt;&gt;"Sim",T85&lt;&gt;"N/A"),Config!$D$15&amp;"; ","")&amp;IF(AND($D85="Encerrado",Config!$D$16&lt;&gt;"",U85&lt;&gt;"Sim",U85&lt;&gt;"N/A"),Config!$D$16&amp;"; ","")&amp;IF(AND($D85="Encerrado",Config!$D$17&lt;&gt;"",V85&lt;&gt;"Sim",V85&lt;&gt;"N/A"),Config!$D$17&amp;"; ","")&amp;IF(AND($D85="Encerrado",Config!$D$18&lt;&gt;"",W85&lt;&gt;"Sim",W85&lt;&gt;"N/A"),Config!$D$18&amp;"; ","")&amp;IF(AND($D85="Encerrado",Config!$D$19&lt;&gt;"",X85&lt;&gt;"Sim",X85&lt;&gt;"N/A"),Config!$D$19&amp;"; ",""))</f>
        <v/>
      </c>
    </row>
    <row r="86">
      <c r="A86" s="29" t="n"/>
      <c r="B86" s="29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25">
        <f>IF(A86="","",IFERROR(COUNTIF(E86:N86,"Sim")/(Config!$B$21-COUNTIF(E86:N86,"N/A")),""))</f>
        <v/>
      </c>
      <c r="Z86" s="25">
        <f>IF(OR(A86="",D86&lt;&gt;"Encerrado"),"",IFERROR(COUNTIF(O86:X86,"Sim")/(Config!$D$21-COUNTIF(O86:X86,"N/A")),""))</f>
        <v/>
      </c>
      <c r="AA86" s="23">
        <f>IF(A86="","",MAX(0,Config!$B$21-COUNTIF(E86:N86,"Sim")-COUNTIF(E86:N86,"N/A")))</f>
        <v/>
      </c>
      <c r="AB86" s="23">
        <f>IF(OR(A86="",D86&lt;&gt;"Encerrado"),"",MAX(0,Config!$D$21-COUNTIF(O86:X86,"Sim")-COUNTIF(O86:X86,"N/A")))</f>
        <v/>
      </c>
      <c r="AC86" s="23">
        <f>IF(A86="","",AA86+IF(AB86="",0,AB86))</f>
        <v/>
      </c>
      <c r="AD86" s="24">
        <f>IF(OR(A86="",AF86=""),"",LEFT(AF86,LEN(AF86)-2))</f>
        <v/>
      </c>
      <c r="AE86" s="35">
        <f>IF(OR(A86="",AC86=0),0,AC86*100-ROW()/100000)</f>
        <v>0</v>
      </c>
      <c r="AF86" s="35">
        <f>IF(A86="","",IF(AND(Config!$B$10&lt;&gt;"",E86&lt;&gt;"Sim",E86&lt;&gt;"N/A"),Config!$B$10&amp;"; ","")&amp;IF(AND(Config!$B$11&lt;&gt;"",F86&lt;&gt;"Sim",F86&lt;&gt;"N/A"),Config!$B$11&amp;"; ","")&amp;IF(AND(Config!$B$12&lt;&gt;"",G86&lt;&gt;"Sim",G86&lt;&gt;"N/A"),Config!$B$12&amp;"; ","")&amp;IF(AND(Config!$B$13&lt;&gt;"",H86&lt;&gt;"Sim",H86&lt;&gt;"N/A"),Config!$B$13&amp;"; ","")&amp;IF(AND(Config!$B$14&lt;&gt;"",I86&lt;&gt;"Sim",I86&lt;&gt;"N/A"),Config!$B$14&amp;"; ","")&amp;IF(AND(Config!$B$15&lt;&gt;"",J86&lt;&gt;"Sim",J86&lt;&gt;"N/A"),Config!$B$15&amp;"; ","")&amp;IF(AND(Config!$B$16&lt;&gt;"",K86&lt;&gt;"Sim",K86&lt;&gt;"N/A"),Config!$B$16&amp;"; ","")&amp;IF(AND(Config!$B$17&lt;&gt;"",L86&lt;&gt;"Sim",L86&lt;&gt;"N/A"),Config!$B$17&amp;"; ","")&amp;IF(AND(Config!$B$18&lt;&gt;"",M86&lt;&gt;"Sim",M86&lt;&gt;"N/A"),Config!$B$18&amp;"; ","")&amp;IF(AND(Config!$B$19&lt;&gt;"",N86&lt;&gt;"Sim",N86&lt;&gt;"N/A"),Config!$B$19&amp;"; ","")&amp;IF(AND($D86="Encerrado",Config!$D$10&lt;&gt;"",O86&lt;&gt;"Sim",O86&lt;&gt;"N/A"),Config!$D$10&amp;"; ","")&amp;IF(AND($D86="Encerrado",Config!$D$11&lt;&gt;"",P86&lt;&gt;"Sim",P86&lt;&gt;"N/A"),Config!$D$11&amp;"; ","")&amp;IF(AND($D86="Encerrado",Config!$D$12&lt;&gt;"",Q86&lt;&gt;"Sim",Q86&lt;&gt;"N/A"),Config!$D$12&amp;"; ","")&amp;IF(AND($D86="Encerrado",Config!$D$13&lt;&gt;"",R86&lt;&gt;"Sim",R86&lt;&gt;"N/A"),Config!$D$13&amp;"; ","")&amp;IF(AND($D86="Encerrado",Config!$D$14&lt;&gt;"",S86&lt;&gt;"Sim",S86&lt;&gt;"N/A"),Config!$D$14&amp;"; ","")&amp;IF(AND($D86="Encerrado",Config!$D$15&lt;&gt;"",T86&lt;&gt;"Sim",T86&lt;&gt;"N/A"),Config!$D$15&amp;"; ","")&amp;IF(AND($D86="Encerrado",Config!$D$16&lt;&gt;"",U86&lt;&gt;"Sim",U86&lt;&gt;"N/A"),Config!$D$16&amp;"; ","")&amp;IF(AND($D86="Encerrado",Config!$D$17&lt;&gt;"",V86&lt;&gt;"Sim",V86&lt;&gt;"N/A"),Config!$D$17&amp;"; ","")&amp;IF(AND($D86="Encerrado",Config!$D$18&lt;&gt;"",W86&lt;&gt;"Sim",W86&lt;&gt;"N/A"),Config!$D$18&amp;"; ","")&amp;IF(AND($D86="Encerrado",Config!$D$19&lt;&gt;"",X86&lt;&gt;"Sim",X86&lt;&gt;"N/A"),Config!$D$19&amp;"; ",""))</f>
        <v/>
      </c>
    </row>
    <row r="87">
      <c r="A87" s="29" t="n"/>
      <c r="B87" s="29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25">
        <f>IF(A87="","",IFERROR(COUNTIF(E87:N87,"Sim")/(Config!$B$21-COUNTIF(E87:N87,"N/A")),""))</f>
        <v/>
      </c>
      <c r="Z87" s="25">
        <f>IF(OR(A87="",D87&lt;&gt;"Encerrado"),"",IFERROR(COUNTIF(O87:X87,"Sim")/(Config!$D$21-COUNTIF(O87:X87,"N/A")),""))</f>
        <v/>
      </c>
      <c r="AA87" s="23">
        <f>IF(A87="","",MAX(0,Config!$B$21-COUNTIF(E87:N87,"Sim")-COUNTIF(E87:N87,"N/A")))</f>
        <v/>
      </c>
      <c r="AB87" s="23">
        <f>IF(OR(A87="",D87&lt;&gt;"Encerrado"),"",MAX(0,Config!$D$21-COUNTIF(O87:X87,"Sim")-COUNTIF(O87:X87,"N/A")))</f>
        <v/>
      </c>
      <c r="AC87" s="23">
        <f>IF(A87="","",AA87+IF(AB87="",0,AB87))</f>
        <v/>
      </c>
      <c r="AD87" s="24">
        <f>IF(OR(A87="",AF87=""),"",LEFT(AF87,LEN(AF87)-2))</f>
        <v/>
      </c>
      <c r="AE87" s="35">
        <f>IF(OR(A87="",AC87=0),0,AC87*100-ROW()/100000)</f>
        <v>0</v>
      </c>
      <c r="AF87" s="35">
        <f>IF(A87="","",IF(AND(Config!$B$10&lt;&gt;"",E87&lt;&gt;"Sim",E87&lt;&gt;"N/A"),Config!$B$10&amp;"; ","")&amp;IF(AND(Config!$B$11&lt;&gt;"",F87&lt;&gt;"Sim",F87&lt;&gt;"N/A"),Config!$B$11&amp;"; ","")&amp;IF(AND(Config!$B$12&lt;&gt;"",G87&lt;&gt;"Sim",G87&lt;&gt;"N/A"),Config!$B$12&amp;"; ","")&amp;IF(AND(Config!$B$13&lt;&gt;"",H87&lt;&gt;"Sim",H87&lt;&gt;"N/A"),Config!$B$13&amp;"; ","")&amp;IF(AND(Config!$B$14&lt;&gt;"",I87&lt;&gt;"Sim",I87&lt;&gt;"N/A"),Config!$B$14&amp;"; ","")&amp;IF(AND(Config!$B$15&lt;&gt;"",J87&lt;&gt;"Sim",J87&lt;&gt;"N/A"),Config!$B$15&amp;"; ","")&amp;IF(AND(Config!$B$16&lt;&gt;"",K87&lt;&gt;"Sim",K87&lt;&gt;"N/A"),Config!$B$16&amp;"; ","")&amp;IF(AND(Config!$B$17&lt;&gt;"",L87&lt;&gt;"Sim",L87&lt;&gt;"N/A"),Config!$B$17&amp;"; ","")&amp;IF(AND(Config!$B$18&lt;&gt;"",M87&lt;&gt;"Sim",M87&lt;&gt;"N/A"),Config!$B$18&amp;"; ","")&amp;IF(AND(Config!$B$19&lt;&gt;"",N87&lt;&gt;"Sim",N87&lt;&gt;"N/A"),Config!$B$19&amp;"; ","")&amp;IF(AND($D87="Encerrado",Config!$D$10&lt;&gt;"",O87&lt;&gt;"Sim",O87&lt;&gt;"N/A"),Config!$D$10&amp;"; ","")&amp;IF(AND($D87="Encerrado",Config!$D$11&lt;&gt;"",P87&lt;&gt;"Sim",P87&lt;&gt;"N/A"),Config!$D$11&amp;"; ","")&amp;IF(AND($D87="Encerrado",Config!$D$12&lt;&gt;"",Q87&lt;&gt;"Sim",Q87&lt;&gt;"N/A"),Config!$D$12&amp;"; ","")&amp;IF(AND($D87="Encerrado",Config!$D$13&lt;&gt;"",R87&lt;&gt;"Sim",R87&lt;&gt;"N/A"),Config!$D$13&amp;"; ","")&amp;IF(AND($D87="Encerrado",Config!$D$14&lt;&gt;"",S87&lt;&gt;"Sim",S87&lt;&gt;"N/A"),Config!$D$14&amp;"; ","")&amp;IF(AND($D87="Encerrado",Config!$D$15&lt;&gt;"",T87&lt;&gt;"Sim",T87&lt;&gt;"N/A"),Config!$D$15&amp;"; ","")&amp;IF(AND($D87="Encerrado",Config!$D$16&lt;&gt;"",U87&lt;&gt;"Sim",U87&lt;&gt;"N/A"),Config!$D$16&amp;"; ","")&amp;IF(AND($D87="Encerrado",Config!$D$17&lt;&gt;"",V87&lt;&gt;"Sim",V87&lt;&gt;"N/A"),Config!$D$17&amp;"; ","")&amp;IF(AND($D87="Encerrado",Config!$D$18&lt;&gt;"",W87&lt;&gt;"Sim",W87&lt;&gt;"N/A"),Config!$D$18&amp;"; ","")&amp;IF(AND($D87="Encerrado",Config!$D$19&lt;&gt;"",X87&lt;&gt;"Sim",X87&lt;&gt;"N/A"),Config!$D$19&amp;"; ",""))</f>
        <v/>
      </c>
    </row>
    <row r="88">
      <c r="A88" s="29" t="n"/>
      <c r="B88" s="29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25">
        <f>IF(A88="","",IFERROR(COUNTIF(E88:N88,"Sim")/(Config!$B$21-COUNTIF(E88:N88,"N/A")),""))</f>
        <v/>
      </c>
      <c r="Z88" s="25">
        <f>IF(OR(A88="",D88&lt;&gt;"Encerrado"),"",IFERROR(COUNTIF(O88:X88,"Sim")/(Config!$D$21-COUNTIF(O88:X88,"N/A")),""))</f>
        <v/>
      </c>
      <c r="AA88" s="23">
        <f>IF(A88="","",MAX(0,Config!$B$21-COUNTIF(E88:N88,"Sim")-COUNTIF(E88:N88,"N/A")))</f>
        <v/>
      </c>
      <c r="AB88" s="23">
        <f>IF(OR(A88="",D88&lt;&gt;"Encerrado"),"",MAX(0,Config!$D$21-COUNTIF(O88:X88,"Sim")-COUNTIF(O88:X88,"N/A")))</f>
        <v/>
      </c>
      <c r="AC88" s="23">
        <f>IF(A88="","",AA88+IF(AB88="",0,AB88))</f>
        <v/>
      </c>
      <c r="AD88" s="24">
        <f>IF(OR(A88="",AF88=""),"",LEFT(AF88,LEN(AF88)-2))</f>
        <v/>
      </c>
      <c r="AE88" s="35">
        <f>IF(OR(A88="",AC88=0),0,AC88*100-ROW()/100000)</f>
        <v>0</v>
      </c>
      <c r="AF88" s="35">
        <f>IF(A88="","",IF(AND(Config!$B$10&lt;&gt;"",E88&lt;&gt;"Sim",E88&lt;&gt;"N/A"),Config!$B$10&amp;"; ","")&amp;IF(AND(Config!$B$11&lt;&gt;"",F88&lt;&gt;"Sim",F88&lt;&gt;"N/A"),Config!$B$11&amp;"; ","")&amp;IF(AND(Config!$B$12&lt;&gt;"",G88&lt;&gt;"Sim",G88&lt;&gt;"N/A"),Config!$B$12&amp;"; ","")&amp;IF(AND(Config!$B$13&lt;&gt;"",H88&lt;&gt;"Sim",H88&lt;&gt;"N/A"),Config!$B$13&amp;"; ","")&amp;IF(AND(Config!$B$14&lt;&gt;"",I88&lt;&gt;"Sim",I88&lt;&gt;"N/A"),Config!$B$14&amp;"; ","")&amp;IF(AND(Config!$B$15&lt;&gt;"",J88&lt;&gt;"Sim",J88&lt;&gt;"N/A"),Config!$B$15&amp;"; ","")&amp;IF(AND(Config!$B$16&lt;&gt;"",K88&lt;&gt;"Sim",K88&lt;&gt;"N/A"),Config!$B$16&amp;"; ","")&amp;IF(AND(Config!$B$17&lt;&gt;"",L88&lt;&gt;"Sim",L88&lt;&gt;"N/A"),Config!$B$17&amp;"; ","")&amp;IF(AND(Config!$B$18&lt;&gt;"",M88&lt;&gt;"Sim",M88&lt;&gt;"N/A"),Config!$B$18&amp;"; ","")&amp;IF(AND(Config!$B$19&lt;&gt;"",N88&lt;&gt;"Sim",N88&lt;&gt;"N/A"),Config!$B$19&amp;"; ","")&amp;IF(AND($D88="Encerrado",Config!$D$10&lt;&gt;"",O88&lt;&gt;"Sim",O88&lt;&gt;"N/A"),Config!$D$10&amp;"; ","")&amp;IF(AND($D88="Encerrado",Config!$D$11&lt;&gt;"",P88&lt;&gt;"Sim",P88&lt;&gt;"N/A"),Config!$D$11&amp;"; ","")&amp;IF(AND($D88="Encerrado",Config!$D$12&lt;&gt;"",Q88&lt;&gt;"Sim",Q88&lt;&gt;"N/A"),Config!$D$12&amp;"; ","")&amp;IF(AND($D88="Encerrado",Config!$D$13&lt;&gt;"",R88&lt;&gt;"Sim",R88&lt;&gt;"N/A"),Config!$D$13&amp;"; ","")&amp;IF(AND($D88="Encerrado",Config!$D$14&lt;&gt;"",S88&lt;&gt;"Sim",S88&lt;&gt;"N/A"),Config!$D$14&amp;"; ","")&amp;IF(AND($D88="Encerrado",Config!$D$15&lt;&gt;"",T88&lt;&gt;"Sim",T88&lt;&gt;"N/A"),Config!$D$15&amp;"; ","")&amp;IF(AND($D88="Encerrado",Config!$D$16&lt;&gt;"",U88&lt;&gt;"Sim",U88&lt;&gt;"N/A"),Config!$D$16&amp;"; ","")&amp;IF(AND($D88="Encerrado",Config!$D$17&lt;&gt;"",V88&lt;&gt;"Sim",V88&lt;&gt;"N/A"),Config!$D$17&amp;"; ","")&amp;IF(AND($D88="Encerrado",Config!$D$18&lt;&gt;"",W88&lt;&gt;"Sim",W88&lt;&gt;"N/A"),Config!$D$18&amp;"; ","")&amp;IF(AND($D88="Encerrado",Config!$D$19&lt;&gt;"",X88&lt;&gt;"Sim",X88&lt;&gt;"N/A"),Config!$D$19&amp;"; ",""))</f>
        <v/>
      </c>
    </row>
    <row r="89">
      <c r="A89" s="29" t="n"/>
      <c r="B89" s="29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25">
        <f>IF(A89="","",IFERROR(COUNTIF(E89:N89,"Sim")/(Config!$B$21-COUNTIF(E89:N89,"N/A")),""))</f>
        <v/>
      </c>
      <c r="Z89" s="25">
        <f>IF(OR(A89="",D89&lt;&gt;"Encerrado"),"",IFERROR(COUNTIF(O89:X89,"Sim")/(Config!$D$21-COUNTIF(O89:X89,"N/A")),""))</f>
        <v/>
      </c>
      <c r="AA89" s="23">
        <f>IF(A89="","",MAX(0,Config!$B$21-COUNTIF(E89:N89,"Sim")-COUNTIF(E89:N89,"N/A")))</f>
        <v/>
      </c>
      <c r="AB89" s="23">
        <f>IF(OR(A89="",D89&lt;&gt;"Encerrado"),"",MAX(0,Config!$D$21-COUNTIF(O89:X89,"Sim")-COUNTIF(O89:X89,"N/A")))</f>
        <v/>
      </c>
      <c r="AC89" s="23">
        <f>IF(A89="","",AA89+IF(AB89="",0,AB89))</f>
        <v/>
      </c>
      <c r="AD89" s="24">
        <f>IF(OR(A89="",AF89=""),"",LEFT(AF89,LEN(AF89)-2))</f>
        <v/>
      </c>
      <c r="AE89" s="35">
        <f>IF(OR(A89="",AC89=0),0,AC89*100-ROW()/100000)</f>
        <v>0</v>
      </c>
      <c r="AF89" s="35">
        <f>IF(A89="","",IF(AND(Config!$B$10&lt;&gt;"",E89&lt;&gt;"Sim",E89&lt;&gt;"N/A"),Config!$B$10&amp;"; ","")&amp;IF(AND(Config!$B$11&lt;&gt;"",F89&lt;&gt;"Sim",F89&lt;&gt;"N/A"),Config!$B$11&amp;"; ","")&amp;IF(AND(Config!$B$12&lt;&gt;"",G89&lt;&gt;"Sim",G89&lt;&gt;"N/A"),Config!$B$12&amp;"; ","")&amp;IF(AND(Config!$B$13&lt;&gt;"",H89&lt;&gt;"Sim",H89&lt;&gt;"N/A"),Config!$B$13&amp;"; ","")&amp;IF(AND(Config!$B$14&lt;&gt;"",I89&lt;&gt;"Sim",I89&lt;&gt;"N/A"),Config!$B$14&amp;"; ","")&amp;IF(AND(Config!$B$15&lt;&gt;"",J89&lt;&gt;"Sim",J89&lt;&gt;"N/A"),Config!$B$15&amp;"; ","")&amp;IF(AND(Config!$B$16&lt;&gt;"",K89&lt;&gt;"Sim",K89&lt;&gt;"N/A"),Config!$B$16&amp;"; ","")&amp;IF(AND(Config!$B$17&lt;&gt;"",L89&lt;&gt;"Sim",L89&lt;&gt;"N/A"),Config!$B$17&amp;"; ","")&amp;IF(AND(Config!$B$18&lt;&gt;"",M89&lt;&gt;"Sim",M89&lt;&gt;"N/A"),Config!$B$18&amp;"; ","")&amp;IF(AND(Config!$B$19&lt;&gt;"",N89&lt;&gt;"Sim",N89&lt;&gt;"N/A"),Config!$B$19&amp;"; ","")&amp;IF(AND($D89="Encerrado",Config!$D$10&lt;&gt;"",O89&lt;&gt;"Sim",O89&lt;&gt;"N/A"),Config!$D$10&amp;"; ","")&amp;IF(AND($D89="Encerrado",Config!$D$11&lt;&gt;"",P89&lt;&gt;"Sim",P89&lt;&gt;"N/A"),Config!$D$11&amp;"; ","")&amp;IF(AND($D89="Encerrado",Config!$D$12&lt;&gt;"",Q89&lt;&gt;"Sim",Q89&lt;&gt;"N/A"),Config!$D$12&amp;"; ","")&amp;IF(AND($D89="Encerrado",Config!$D$13&lt;&gt;"",R89&lt;&gt;"Sim",R89&lt;&gt;"N/A"),Config!$D$13&amp;"; ","")&amp;IF(AND($D89="Encerrado",Config!$D$14&lt;&gt;"",S89&lt;&gt;"Sim",S89&lt;&gt;"N/A"),Config!$D$14&amp;"; ","")&amp;IF(AND($D89="Encerrado",Config!$D$15&lt;&gt;"",T89&lt;&gt;"Sim",T89&lt;&gt;"N/A"),Config!$D$15&amp;"; ","")&amp;IF(AND($D89="Encerrado",Config!$D$16&lt;&gt;"",U89&lt;&gt;"Sim",U89&lt;&gt;"N/A"),Config!$D$16&amp;"; ","")&amp;IF(AND($D89="Encerrado",Config!$D$17&lt;&gt;"",V89&lt;&gt;"Sim",V89&lt;&gt;"N/A"),Config!$D$17&amp;"; ","")&amp;IF(AND($D89="Encerrado",Config!$D$18&lt;&gt;"",W89&lt;&gt;"Sim",W89&lt;&gt;"N/A"),Config!$D$18&amp;"; ","")&amp;IF(AND($D89="Encerrado",Config!$D$19&lt;&gt;"",X89&lt;&gt;"Sim",X89&lt;&gt;"N/A"),Config!$D$19&amp;"; ",""))</f>
        <v/>
      </c>
    </row>
    <row r="90">
      <c r="A90" s="29" t="n"/>
      <c r="B90" s="29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25">
        <f>IF(A90="","",IFERROR(COUNTIF(E90:N90,"Sim")/(Config!$B$21-COUNTIF(E90:N90,"N/A")),""))</f>
        <v/>
      </c>
      <c r="Z90" s="25">
        <f>IF(OR(A90="",D90&lt;&gt;"Encerrado"),"",IFERROR(COUNTIF(O90:X90,"Sim")/(Config!$D$21-COUNTIF(O90:X90,"N/A")),""))</f>
        <v/>
      </c>
      <c r="AA90" s="23">
        <f>IF(A90="","",MAX(0,Config!$B$21-COUNTIF(E90:N90,"Sim")-COUNTIF(E90:N90,"N/A")))</f>
        <v/>
      </c>
      <c r="AB90" s="23">
        <f>IF(OR(A90="",D90&lt;&gt;"Encerrado"),"",MAX(0,Config!$D$21-COUNTIF(O90:X90,"Sim")-COUNTIF(O90:X90,"N/A")))</f>
        <v/>
      </c>
      <c r="AC90" s="23">
        <f>IF(A90="","",AA90+IF(AB90="",0,AB90))</f>
        <v/>
      </c>
      <c r="AD90" s="24">
        <f>IF(OR(A90="",AF90=""),"",LEFT(AF90,LEN(AF90)-2))</f>
        <v/>
      </c>
      <c r="AE90" s="35">
        <f>IF(OR(A90="",AC90=0),0,AC90*100-ROW()/100000)</f>
        <v>0</v>
      </c>
      <c r="AF90" s="35">
        <f>IF(A90="","",IF(AND(Config!$B$10&lt;&gt;"",E90&lt;&gt;"Sim",E90&lt;&gt;"N/A"),Config!$B$10&amp;"; ","")&amp;IF(AND(Config!$B$11&lt;&gt;"",F90&lt;&gt;"Sim",F90&lt;&gt;"N/A"),Config!$B$11&amp;"; ","")&amp;IF(AND(Config!$B$12&lt;&gt;"",G90&lt;&gt;"Sim",G90&lt;&gt;"N/A"),Config!$B$12&amp;"; ","")&amp;IF(AND(Config!$B$13&lt;&gt;"",H90&lt;&gt;"Sim",H90&lt;&gt;"N/A"),Config!$B$13&amp;"; ","")&amp;IF(AND(Config!$B$14&lt;&gt;"",I90&lt;&gt;"Sim",I90&lt;&gt;"N/A"),Config!$B$14&amp;"; ","")&amp;IF(AND(Config!$B$15&lt;&gt;"",J90&lt;&gt;"Sim",J90&lt;&gt;"N/A"),Config!$B$15&amp;"; ","")&amp;IF(AND(Config!$B$16&lt;&gt;"",K90&lt;&gt;"Sim",K90&lt;&gt;"N/A"),Config!$B$16&amp;"; ","")&amp;IF(AND(Config!$B$17&lt;&gt;"",L90&lt;&gt;"Sim",L90&lt;&gt;"N/A"),Config!$B$17&amp;"; ","")&amp;IF(AND(Config!$B$18&lt;&gt;"",M90&lt;&gt;"Sim",M90&lt;&gt;"N/A"),Config!$B$18&amp;"; ","")&amp;IF(AND(Config!$B$19&lt;&gt;"",N90&lt;&gt;"Sim",N90&lt;&gt;"N/A"),Config!$B$19&amp;"; ","")&amp;IF(AND($D90="Encerrado",Config!$D$10&lt;&gt;"",O90&lt;&gt;"Sim",O90&lt;&gt;"N/A"),Config!$D$10&amp;"; ","")&amp;IF(AND($D90="Encerrado",Config!$D$11&lt;&gt;"",P90&lt;&gt;"Sim",P90&lt;&gt;"N/A"),Config!$D$11&amp;"; ","")&amp;IF(AND($D90="Encerrado",Config!$D$12&lt;&gt;"",Q90&lt;&gt;"Sim",Q90&lt;&gt;"N/A"),Config!$D$12&amp;"; ","")&amp;IF(AND($D90="Encerrado",Config!$D$13&lt;&gt;"",R90&lt;&gt;"Sim",R90&lt;&gt;"N/A"),Config!$D$13&amp;"; ","")&amp;IF(AND($D90="Encerrado",Config!$D$14&lt;&gt;"",S90&lt;&gt;"Sim",S90&lt;&gt;"N/A"),Config!$D$14&amp;"; ","")&amp;IF(AND($D90="Encerrado",Config!$D$15&lt;&gt;"",T90&lt;&gt;"Sim",T90&lt;&gt;"N/A"),Config!$D$15&amp;"; ","")&amp;IF(AND($D90="Encerrado",Config!$D$16&lt;&gt;"",U90&lt;&gt;"Sim",U90&lt;&gt;"N/A"),Config!$D$16&amp;"; ","")&amp;IF(AND($D90="Encerrado",Config!$D$17&lt;&gt;"",V90&lt;&gt;"Sim",V90&lt;&gt;"N/A"),Config!$D$17&amp;"; ","")&amp;IF(AND($D90="Encerrado",Config!$D$18&lt;&gt;"",W90&lt;&gt;"Sim",W90&lt;&gt;"N/A"),Config!$D$18&amp;"; ","")&amp;IF(AND($D90="Encerrado",Config!$D$19&lt;&gt;"",X90&lt;&gt;"Sim",X90&lt;&gt;"N/A"),Config!$D$19&amp;"; ",""))</f>
        <v/>
      </c>
    </row>
    <row r="91">
      <c r="A91" s="29" t="n"/>
      <c r="B91" s="29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25">
        <f>IF(A91="","",IFERROR(COUNTIF(E91:N91,"Sim")/(Config!$B$21-COUNTIF(E91:N91,"N/A")),""))</f>
        <v/>
      </c>
      <c r="Z91" s="25">
        <f>IF(OR(A91="",D91&lt;&gt;"Encerrado"),"",IFERROR(COUNTIF(O91:X91,"Sim")/(Config!$D$21-COUNTIF(O91:X91,"N/A")),""))</f>
        <v/>
      </c>
      <c r="AA91" s="23">
        <f>IF(A91="","",MAX(0,Config!$B$21-COUNTIF(E91:N91,"Sim")-COUNTIF(E91:N91,"N/A")))</f>
        <v/>
      </c>
      <c r="AB91" s="23">
        <f>IF(OR(A91="",D91&lt;&gt;"Encerrado"),"",MAX(0,Config!$D$21-COUNTIF(O91:X91,"Sim")-COUNTIF(O91:X91,"N/A")))</f>
        <v/>
      </c>
      <c r="AC91" s="23">
        <f>IF(A91="","",AA91+IF(AB91="",0,AB91))</f>
        <v/>
      </c>
      <c r="AD91" s="24">
        <f>IF(OR(A91="",AF91=""),"",LEFT(AF91,LEN(AF91)-2))</f>
        <v/>
      </c>
      <c r="AE91" s="35">
        <f>IF(OR(A91="",AC91=0),0,AC91*100-ROW()/100000)</f>
        <v>0</v>
      </c>
      <c r="AF91" s="35">
        <f>IF(A91="","",IF(AND(Config!$B$10&lt;&gt;"",E91&lt;&gt;"Sim",E91&lt;&gt;"N/A"),Config!$B$10&amp;"; ","")&amp;IF(AND(Config!$B$11&lt;&gt;"",F91&lt;&gt;"Sim",F91&lt;&gt;"N/A"),Config!$B$11&amp;"; ","")&amp;IF(AND(Config!$B$12&lt;&gt;"",G91&lt;&gt;"Sim",G91&lt;&gt;"N/A"),Config!$B$12&amp;"; ","")&amp;IF(AND(Config!$B$13&lt;&gt;"",H91&lt;&gt;"Sim",H91&lt;&gt;"N/A"),Config!$B$13&amp;"; ","")&amp;IF(AND(Config!$B$14&lt;&gt;"",I91&lt;&gt;"Sim",I91&lt;&gt;"N/A"),Config!$B$14&amp;"; ","")&amp;IF(AND(Config!$B$15&lt;&gt;"",J91&lt;&gt;"Sim",J91&lt;&gt;"N/A"),Config!$B$15&amp;"; ","")&amp;IF(AND(Config!$B$16&lt;&gt;"",K91&lt;&gt;"Sim",K91&lt;&gt;"N/A"),Config!$B$16&amp;"; ","")&amp;IF(AND(Config!$B$17&lt;&gt;"",L91&lt;&gt;"Sim",L91&lt;&gt;"N/A"),Config!$B$17&amp;"; ","")&amp;IF(AND(Config!$B$18&lt;&gt;"",M91&lt;&gt;"Sim",M91&lt;&gt;"N/A"),Config!$B$18&amp;"; ","")&amp;IF(AND(Config!$B$19&lt;&gt;"",N91&lt;&gt;"Sim",N91&lt;&gt;"N/A"),Config!$B$19&amp;"; ","")&amp;IF(AND($D91="Encerrado",Config!$D$10&lt;&gt;"",O91&lt;&gt;"Sim",O91&lt;&gt;"N/A"),Config!$D$10&amp;"; ","")&amp;IF(AND($D91="Encerrado",Config!$D$11&lt;&gt;"",P91&lt;&gt;"Sim",P91&lt;&gt;"N/A"),Config!$D$11&amp;"; ","")&amp;IF(AND($D91="Encerrado",Config!$D$12&lt;&gt;"",Q91&lt;&gt;"Sim",Q91&lt;&gt;"N/A"),Config!$D$12&amp;"; ","")&amp;IF(AND($D91="Encerrado",Config!$D$13&lt;&gt;"",R91&lt;&gt;"Sim",R91&lt;&gt;"N/A"),Config!$D$13&amp;"; ","")&amp;IF(AND($D91="Encerrado",Config!$D$14&lt;&gt;"",S91&lt;&gt;"Sim",S91&lt;&gt;"N/A"),Config!$D$14&amp;"; ","")&amp;IF(AND($D91="Encerrado",Config!$D$15&lt;&gt;"",T91&lt;&gt;"Sim",T91&lt;&gt;"N/A"),Config!$D$15&amp;"; ","")&amp;IF(AND($D91="Encerrado",Config!$D$16&lt;&gt;"",U91&lt;&gt;"Sim",U91&lt;&gt;"N/A"),Config!$D$16&amp;"; ","")&amp;IF(AND($D91="Encerrado",Config!$D$17&lt;&gt;"",V91&lt;&gt;"Sim",V91&lt;&gt;"N/A"),Config!$D$17&amp;"; ","")&amp;IF(AND($D91="Encerrado",Config!$D$18&lt;&gt;"",W91&lt;&gt;"Sim",W91&lt;&gt;"N/A"),Config!$D$18&amp;"; ","")&amp;IF(AND($D91="Encerrado",Config!$D$19&lt;&gt;"",X91&lt;&gt;"Sim",X91&lt;&gt;"N/A"),Config!$D$19&amp;"; ",""))</f>
        <v/>
      </c>
    </row>
    <row r="92">
      <c r="A92" s="29" t="n"/>
      <c r="B92" s="29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25">
        <f>IF(A92="","",IFERROR(COUNTIF(E92:N92,"Sim")/(Config!$B$21-COUNTIF(E92:N92,"N/A")),""))</f>
        <v/>
      </c>
      <c r="Z92" s="25">
        <f>IF(OR(A92="",D92&lt;&gt;"Encerrado"),"",IFERROR(COUNTIF(O92:X92,"Sim")/(Config!$D$21-COUNTIF(O92:X92,"N/A")),""))</f>
        <v/>
      </c>
      <c r="AA92" s="23">
        <f>IF(A92="","",MAX(0,Config!$B$21-COUNTIF(E92:N92,"Sim")-COUNTIF(E92:N92,"N/A")))</f>
        <v/>
      </c>
      <c r="AB92" s="23">
        <f>IF(OR(A92="",D92&lt;&gt;"Encerrado"),"",MAX(0,Config!$D$21-COUNTIF(O92:X92,"Sim")-COUNTIF(O92:X92,"N/A")))</f>
        <v/>
      </c>
      <c r="AC92" s="23">
        <f>IF(A92="","",AA92+IF(AB92="",0,AB92))</f>
        <v/>
      </c>
      <c r="AD92" s="24">
        <f>IF(OR(A92="",AF92=""),"",LEFT(AF92,LEN(AF92)-2))</f>
        <v/>
      </c>
      <c r="AE92" s="35">
        <f>IF(OR(A92="",AC92=0),0,AC92*100-ROW()/100000)</f>
        <v>0</v>
      </c>
      <c r="AF92" s="35">
        <f>IF(A92="","",IF(AND(Config!$B$10&lt;&gt;"",E92&lt;&gt;"Sim",E92&lt;&gt;"N/A"),Config!$B$10&amp;"; ","")&amp;IF(AND(Config!$B$11&lt;&gt;"",F92&lt;&gt;"Sim",F92&lt;&gt;"N/A"),Config!$B$11&amp;"; ","")&amp;IF(AND(Config!$B$12&lt;&gt;"",G92&lt;&gt;"Sim",G92&lt;&gt;"N/A"),Config!$B$12&amp;"; ","")&amp;IF(AND(Config!$B$13&lt;&gt;"",H92&lt;&gt;"Sim",H92&lt;&gt;"N/A"),Config!$B$13&amp;"; ","")&amp;IF(AND(Config!$B$14&lt;&gt;"",I92&lt;&gt;"Sim",I92&lt;&gt;"N/A"),Config!$B$14&amp;"; ","")&amp;IF(AND(Config!$B$15&lt;&gt;"",J92&lt;&gt;"Sim",J92&lt;&gt;"N/A"),Config!$B$15&amp;"; ","")&amp;IF(AND(Config!$B$16&lt;&gt;"",K92&lt;&gt;"Sim",K92&lt;&gt;"N/A"),Config!$B$16&amp;"; ","")&amp;IF(AND(Config!$B$17&lt;&gt;"",L92&lt;&gt;"Sim",L92&lt;&gt;"N/A"),Config!$B$17&amp;"; ","")&amp;IF(AND(Config!$B$18&lt;&gt;"",M92&lt;&gt;"Sim",M92&lt;&gt;"N/A"),Config!$B$18&amp;"; ","")&amp;IF(AND(Config!$B$19&lt;&gt;"",N92&lt;&gt;"Sim",N92&lt;&gt;"N/A"),Config!$B$19&amp;"; ","")&amp;IF(AND($D92="Encerrado",Config!$D$10&lt;&gt;"",O92&lt;&gt;"Sim",O92&lt;&gt;"N/A"),Config!$D$10&amp;"; ","")&amp;IF(AND($D92="Encerrado",Config!$D$11&lt;&gt;"",P92&lt;&gt;"Sim",P92&lt;&gt;"N/A"),Config!$D$11&amp;"; ","")&amp;IF(AND($D92="Encerrado",Config!$D$12&lt;&gt;"",Q92&lt;&gt;"Sim",Q92&lt;&gt;"N/A"),Config!$D$12&amp;"; ","")&amp;IF(AND($D92="Encerrado",Config!$D$13&lt;&gt;"",R92&lt;&gt;"Sim",R92&lt;&gt;"N/A"),Config!$D$13&amp;"; ","")&amp;IF(AND($D92="Encerrado",Config!$D$14&lt;&gt;"",S92&lt;&gt;"Sim",S92&lt;&gt;"N/A"),Config!$D$14&amp;"; ","")&amp;IF(AND($D92="Encerrado",Config!$D$15&lt;&gt;"",T92&lt;&gt;"Sim",T92&lt;&gt;"N/A"),Config!$D$15&amp;"; ","")&amp;IF(AND($D92="Encerrado",Config!$D$16&lt;&gt;"",U92&lt;&gt;"Sim",U92&lt;&gt;"N/A"),Config!$D$16&amp;"; ","")&amp;IF(AND($D92="Encerrado",Config!$D$17&lt;&gt;"",V92&lt;&gt;"Sim",V92&lt;&gt;"N/A"),Config!$D$17&amp;"; ","")&amp;IF(AND($D92="Encerrado",Config!$D$18&lt;&gt;"",W92&lt;&gt;"Sim",W92&lt;&gt;"N/A"),Config!$D$18&amp;"; ","")&amp;IF(AND($D92="Encerrado",Config!$D$19&lt;&gt;"",X92&lt;&gt;"Sim",X92&lt;&gt;"N/A"),Config!$D$19&amp;"; ",""))</f>
        <v/>
      </c>
    </row>
    <row r="93">
      <c r="A93" s="29" t="n"/>
      <c r="B93" s="29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25">
        <f>IF(A93="","",IFERROR(COUNTIF(E93:N93,"Sim")/(Config!$B$21-COUNTIF(E93:N93,"N/A")),""))</f>
        <v/>
      </c>
      <c r="Z93" s="25">
        <f>IF(OR(A93="",D93&lt;&gt;"Encerrado"),"",IFERROR(COUNTIF(O93:X93,"Sim")/(Config!$D$21-COUNTIF(O93:X93,"N/A")),""))</f>
        <v/>
      </c>
      <c r="AA93" s="23">
        <f>IF(A93="","",MAX(0,Config!$B$21-COUNTIF(E93:N93,"Sim")-COUNTIF(E93:N93,"N/A")))</f>
        <v/>
      </c>
      <c r="AB93" s="23">
        <f>IF(OR(A93="",D93&lt;&gt;"Encerrado"),"",MAX(0,Config!$D$21-COUNTIF(O93:X93,"Sim")-COUNTIF(O93:X93,"N/A")))</f>
        <v/>
      </c>
      <c r="AC93" s="23">
        <f>IF(A93="","",AA93+IF(AB93="",0,AB93))</f>
        <v/>
      </c>
      <c r="AD93" s="24">
        <f>IF(OR(A93="",AF93=""),"",LEFT(AF93,LEN(AF93)-2))</f>
        <v/>
      </c>
      <c r="AE93" s="35">
        <f>IF(OR(A93="",AC93=0),0,AC93*100-ROW()/100000)</f>
        <v>0</v>
      </c>
      <c r="AF93" s="35">
        <f>IF(A93="","",IF(AND(Config!$B$10&lt;&gt;"",E93&lt;&gt;"Sim",E93&lt;&gt;"N/A"),Config!$B$10&amp;"; ","")&amp;IF(AND(Config!$B$11&lt;&gt;"",F93&lt;&gt;"Sim",F93&lt;&gt;"N/A"),Config!$B$11&amp;"; ","")&amp;IF(AND(Config!$B$12&lt;&gt;"",G93&lt;&gt;"Sim",G93&lt;&gt;"N/A"),Config!$B$12&amp;"; ","")&amp;IF(AND(Config!$B$13&lt;&gt;"",H93&lt;&gt;"Sim",H93&lt;&gt;"N/A"),Config!$B$13&amp;"; ","")&amp;IF(AND(Config!$B$14&lt;&gt;"",I93&lt;&gt;"Sim",I93&lt;&gt;"N/A"),Config!$B$14&amp;"; ","")&amp;IF(AND(Config!$B$15&lt;&gt;"",J93&lt;&gt;"Sim",J93&lt;&gt;"N/A"),Config!$B$15&amp;"; ","")&amp;IF(AND(Config!$B$16&lt;&gt;"",K93&lt;&gt;"Sim",K93&lt;&gt;"N/A"),Config!$B$16&amp;"; ","")&amp;IF(AND(Config!$B$17&lt;&gt;"",L93&lt;&gt;"Sim",L93&lt;&gt;"N/A"),Config!$B$17&amp;"; ","")&amp;IF(AND(Config!$B$18&lt;&gt;"",M93&lt;&gt;"Sim",M93&lt;&gt;"N/A"),Config!$B$18&amp;"; ","")&amp;IF(AND(Config!$B$19&lt;&gt;"",N93&lt;&gt;"Sim",N93&lt;&gt;"N/A"),Config!$B$19&amp;"; ","")&amp;IF(AND($D93="Encerrado",Config!$D$10&lt;&gt;"",O93&lt;&gt;"Sim",O93&lt;&gt;"N/A"),Config!$D$10&amp;"; ","")&amp;IF(AND($D93="Encerrado",Config!$D$11&lt;&gt;"",P93&lt;&gt;"Sim",P93&lt;&gt;"N/A"),Config!$D$11&amp;"; ","")&amp;IF(AND($D93="Encerrado",Config!$D$12&lt;&gt;"",Q93&lt;&gt;"Sim",Q93&lt;&gt;"N/A"),Config!$D$12&amp;"; ","")&amp;IF(AND($D93="Encerrado",Config!$D$13&lt;&gt;"",R93&lt;&gt;"Sim",R93&lt;&gt;"N/A"),Config!$D$13&amp;"; ","")&amp;IF(AND($D93="Encerrado",Config!$D$14&lt;&gt;"",S93&lt;&gt;"Sim",S93&lt;&gt;"N/A"),Config!$D$14&amp;"; ","")&amp;IF(AND($D93="Encerrado",Config!$D$15&lt;&gt;"",T93&lt;&gt;"Sim",T93&lt;&gt;"N/A"),Config!$D$15&amp;"; ","")&amp;IF(AND($D93="Encerrado",Config!$D$16&lt;&gt;"",U93&lt;&gt;"Sim",U93&lt;&gt;"N/A"),Config!$D$16&amp;"; ","")&amp;IF(AND($D93="Encerrado",Config!$D$17&lt;&gt;"",V93&lt;&gt;"Sim",V93&lt;&gt;"N/A"),Config!$D$17&amp;"; ","")&amp;IF(AND($D93="Encerrado",Config!$D$18&lt;&gt;"",W93&lt;&gt;"Sim",W93&lt;&gt;"N/A"),Config!$D$18&amp;"; ","")&amp;IF(AND($D93="Encerrado",Config!$D$19&lt;&gt;"",X93&lt;&gt;"Sim",X93&lt;&gt;"N/A"),Config!$D$19&amp;"; ",""))</f>
        <v/>
      </c>
    </row>
    <row r="94">
      <c r="A94" s="29" t="n"/>
      <c r="B94" s="29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25">
        <f>IF(A94="","",IFERROR(COUNTIF(E94:N94,"Sim")/(Config!$B$21-COUNTIF(E94:N94,"N/A")),""))</f>
        <v/>
      </c>
      <c r="Z94" s="25">
        <f>IF(OR(A94="",D94&lt;&gt;"Encerrado"),"",IFERROR(COUNTIF(O94:X94,"Sim")/(Config!$D$21-COUNTIF(O94:X94,"N/A")),""))</f>
        <v/>
      </c>
      <c r="AA94" s="23">
        <f>IF(A94="","",MAX(0,Config!$B$21-COUNTIF(E94:N94,"Sim")-COUNTIF(E94:N94,"N/A")))</f>
        <v/>
      </c>
      <c r="AB94" s="23">
        <f>IF(OR(A94="",D94&lt;&gt;"Encerrado"),"",MAX(0,Config!$D$21-COUNTIF(O94:X94,"Sim")-COUNTIF(O94:X94,"N/A")))</f>
        <v/>
      </c>
      <c r="AC94" s="23">
        <f>IF(A94="","",AA94+IF(AB94="",0,AB94))</f>
        <v/>
      </c>
      <c r="AD94" s="24">
        <f>IF(OR(A94="",AF94=""),"",LEFT(AF94,LEN(AF94)-2))</f>
        <v/>
      </c>
      <c r="AE94" s="35">
        <f>IF(OR(A94="",AC94=0),0,AC94*100-ROW()/100000)</f>
        <v>0</v>
      </c>
      <c r="AF94" s="35">
        <f>IF(A94="","",IF(AND(Config!$B$10&lt;&gt;"",E94&lt;&gt;"Sim",E94&lt;&gt;"N/A"),Config!$B$10&amp;"; ","")&amp;IF(AND(Config!$B$11&lt;&gt;"",F94&lt;&gt;"Sim",F94&lt;&gt;"N/A"),Config!$B$11&amp;"; ","")&amp;IF(AND(Config!$B$12&lt;&gt;"",G94&lt;&gt;"Sim",G94&lt;&gt;"N/A"),Config!$B$12&amp;"; ","")&amp;IF(AND(Config!$B$13&lt;&gt;"",H94&lt;&gt;"Sim",H94&lt;&gt;"N/A"),Config!$B$13&amp;"; ","")&amp;IF(AND(Config!$B$14&lt;&gt;"",I94&lt;&gt;"Sim",I94&lt;&gt;"N/A"),Config!$B$14&amp;"; ","")&amp;IF(AND(Config!$B$15&lt;&gt;"",J94&lt;&gt;"Sim",J94&lt;&gt;"N/A"),Config!$B$15&amp;"; ","")&amp;IF(AND(Config!$B$16&lt;&gt;"",K94&lt;&gt;"Sim",K94&lt;&gt;"N/A"),Config!$B$16&amp;"; ","")&amp;IF(AND(Config!$B$17&lt;&gt;"",L94&lt;&gt;"Sim",L94&lt;&gt;"N/A"),Config!$B$17&amp;"; ","")&amp;IF(AND(Config!$B$18&lt;&gt;"",M94&lt;&gt;"Sim",M94&lt;&gt;"N/A"),Config!$B$18&amp;"; ","")&amp;IF(AND(Config!$B$19&lt;&gt;"",N94&lt;&gt;"Sim",N94&lt;&gt;"N/A"),Config!$B$19&amp;"; ","")&amp;IF(AND($D94="Encerrado",Config!$D$10&lt;&gt;"",O94&lt;&gt;"Sim",O94&lt;&gt;"N/A"),Config!$D$10&amp;"; ","")&amp;IF(AND($D94="Encerrado",Config!$D$11&lt;&gt;"",P94&lt;&gt;"Sim",P94&lt;&gt;"N/A"),Config!$D$11&amp;"; ","")&amp;IF(AND($D94="Encerrado",Config!$D$12&lt;&gt;"",Q94&lt;&gt;"Sim",Q94&lt;&gt;"N/A"),Config!$D$12&amp;"; ","")&amp;IF(AND($D94="Encerrado",Config!$D$13&lt;&gt;"",R94&lt;&gt;"Sim",R94&lt;&gt;"N/A"),Config!$D$13&amp;"; ","")&amp;IF(AND($D94="Encerrado",Config!$D$14&lt;&gt;"",S94&lt;&gt;"Sim",S94&lt;&gt;"N/A"),Config!$D$14&amp;"; ","")&amp;IF(AND($D94="Encerrado",Config!$D$15&lt;&gt;"",T94&lt;&gt;"Sim",T94&lt;&gt;"N/A"),Config!$D$15&amp;"; ","")&amp;IF(AND($D94="Encerrado",Config!$D$16&lt;&gt;"",U94&lt;&gt;"Sim",U94&lt;&gt;"N/A"),Config!$D$16&amp;"; ","")&amp;IF(AND($D94="Encerrado",Config!$D$17&lt;&gt;"",V94&lt;&gt;"Sim",V94&lt;&gt;"N/A"),Config!$D$17&amp;"; ","")&amp;IF(AND($D94="Encerrado",Config!$D$18&lt;&gt;"",W94&lt;&gt;"Sim",W94&lt;&gt;"N/A"),Config!$D$18&amp;"; ","")&amp;IF(AND($D94="Encerrado",Config!$D$19&lt;&gt;"",X94&lt;&gt;"Sim",X94&lt;&gt;"N/A"),Config!$D$19&amp;"; ",""))</f>
        <v/>
      </c>
    </row>
    <row r="95">
      <c r="A95" s="29" t="n"/>
      <c r="B95" s="29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25">
        <f>IF(A95="","",IFERROR(COUNTIF(E95:N95,"Sim")/(Config!$B$21-COUNTIF(E95:N95,"N/A")),""))</f>
        <v/>
      </c>
      <c r="Z95" s="25">
        <f>IF(OR(A95="",D95&lt;&gt;"Encerrado"),"",IFERROR(COUNTIF(O95:X95,"Sim")/(Config!$D$21-COUNTIF(O95:X95,"N/A")),""))</f>
        <v/>
      </c>
      <c r="AA95" s="23">
        <f>IF(A95="","",MAX(0,Config!$B$21-COUNTIF(E95:N95,"Sim")-COUNTIF(E95:N95,"N/A")))</f>
        <v/>
      </c>
      <c r="AB95" s="23">
        <f>IF(OR(A95="",D95&lt;&gt;"Encerrado"),"",MAX(0,Config!$D$21-COUNTIF(O95:X95,"Sim")-COUNTIF(O95:X95,"N/A")))</f>
        <v/>
      </c>
      <c r="AC95" s="23">
        <f>IF(A95="","",AA95+IF(AB95="",0,AB95))</f>
        <v/>
      </c>
      <c r="AD95" s="24">
        <f>IF(OR(A95="",AF95=""),"",LEFT(AF95,LEN(AF95)-2))</f>
        <v/>
      </c>
      <c r="AE95" s="35">
        <f>IF(OR(A95="",AC95=0),0,AC95*100-ROW()/100000)</f>
        <v>0</v>
      </c>
      <c r="AF95" s="35">
        <f>IF(A95="","",IF(AND(Config!$B$10&lt;&gt;"",E95&lt;&gt;"Sim",E95&lt;&gt;"N/A"),Config!$B$10&amp;"; ","")&amp;IF(AND(Config!$B$11&lt;&gt;"",F95&lt;&gt;"Sim",F95&lt;&gt;"N/A"),Config!$B$11&amp;"; ","")&amp;IF(AND(Config!$B$12&lt;&gt;"",G95&lt;&gt;"Sim",G95&lt;&gt;"N/A"),Config!$B$12&amp;"; ","")&amp;IF(AND(Config!$B$13&lt;&gt;"",H95&lt;&gt;"Sim",H95&lt;&gt;"N/A"),Config!$B$13&amp;"; ","")&amp;IF(AND(Config!$B$14&lt;&gt;"",I95&lt;&gt;"Sim",I95&lt;&gt;"N/A"),Config!$B$14&amp;"; ","")&amp;IF(AND(Config!$B$15&lt;&gt;"",J95&lt;&gt;"Sim",J95&lt;&gt;"N/A"),Config!$B$15&amp;"; ","")&amp;IF(AND(Config!$B$16&lt;&gt;"",K95&lt;&gt;"Sim",K95&lt;&gt;"N/A"),Config!$B$16&amp;"; ","")&amp;IF(AND(Config!$B$17&lt;&gt;"",L95&lt;&gt;"Sim",L95&lt;&gt;"N/A"),Config!$B$17&amp;"; ","")&amp;IF(AND(Config!$B$18&lt;&gt;"",M95&lt;&gt;"Sim",M95&lt;&gt;"N/A"),Config!$B$18&amp;"; ","")&amp;IF(AND(Config!$B$19&lt;&gt;"",N95&lt;&gt;"Sim",N95&lt;&gt;"N/A"),Config!$B$19&amp;"; ","")&amp;IF(AND($D95="Encerrado",Config!$D$10&lt;&gt;"",O95&lt;&gt;"Sim",O95&lt;&gt;"N/A"),Config!$D$10&amp;"; ","")&amp;IF(AND($D95="Encerrado",Config!$D$11&lt;&gt;"",P95&lt;&gt;"Sim",P95&lt;&gt;"N/A"),Config!$D$11&amp;"; ","")&amp;IF(AND($D95="Encerrado",Config!$D$12&lt;&gt;"",Q95&lt;&gt;"Sim",Q95&lt;&gt;"N/A"),Config!$D$12&amp;"; ","")&amp;IF(AND($D95="Encerrado",Config!$D$13&lt;&gt;"",R95&lt;&gt;"Sim",R95&lt;&gt;"N/A"),Config!$D$13&amp;"; ","")&amp;IF(AND($D95="Encerrado",Config!$D$14&lt;&gt;"",S95&lt;&gt;"Sim",S95&lt;&gt;"N/A"),Config!$D$14&amp;"; ","")&amp;IF(AND($D95="Encerrado",Config!$D$15&lt;&gt;"",T95&lt;&gt;"Sim",T95&lt;&gt;"N/A"),Config!$D$15&amp;"; ","")&amp;IF(AND($D95="Encerrado",Config!$D$16&lt;&gt;"",U95&lt;&gt;"Sim",U95&lt;&gt;"N/A"),Config!$D$16&amp;"; ","")&amp;IF(AND($D95="Encerrado",Config!$D$17&lt;&gt;"",V95&lt;&gt;"Sim",V95&lt;&gt;"N/A"),Config!$D$17&amp;"; ","")&amp;IF(AND($D95="Encerrado",Config!$D$18&lt;&gt;"",W95&lt;&gt;"Sim",W95&lt;&gt;"N/A"),Config!$D$18&amp;"; ","")&amp;IF(AND($D95="Encerrado",Config!$D$19&lt;&gt;"",X95&lt;&gt;"Sim",X95&lt;&gt;"N/A"),Config!$D$19&amp;"; ",""))</f>
        <v/>
      </c>
    </row>
    <row r="96">
      <c r="A96" s="29" t="n"/>
      <c r="B96" s="29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25">
        <f>IF(A96="","",IFERROR(COUNTIF(E96:N96,"Sim")/(Config!$B$21-COUNTIF(E96:N96,"N/A")),""))</f>
        <v/>
      </c>
      <c r="Z96" s="25">
        <f>IF(OR(A96="",D96&lt;&gt;"Encerrado"),"",IFERROR(COUNTIF(O96:X96,"Sim")/(Config!$D$21-COUNTIF(O96:X96,"N/A")),""))</f>
        <v/>
      </c>
      <c r="AA96" s="23">
        <f>IF(A96="","",MAX(0,Config!$B$21-COUNTIF(E96:N96,"Sim")-COUNTIF(E96:N96,"N/A")))</f>
        <v/>
      </c>
      <c r="AB96" s="23">
        <f>IF(OR(A96="",D96&lt;&gt;"Encerrado"),"",MAX(0,Config!$D$21-COUNTIF(O96:X96,"Sim")-COUNTIF(O96:X96,"N/A")))</f>
        <v/>
      </c>
      <c r="AC96" s="23">
        <f>IF(A96="","",AA96+IF(AB96="",0,AB96))</f>
        <v/>
      </c>
      <c r="AD96" s="24">
        <f>IF(OR(A96="",AF96=""),"",LEFT(AF96,LEN(AF96)-2))</f>
        <v/>
      </c>
      <c r="AE96" s="35">
        <f>IF(OR(A96="",AC96=0),0,AC96*100-ROW()/100000)</f>
        <v>0</v>
      </c>
      <c r="AF96" s="35">
        <f>IF(A96="","",IF(AND(Config!$B$10&lt;&gt;"",E96&lt;&gt;"Sim",E96&lt;&gt;"N/A"),Config!$B$10&amp;"; ","")&amp;IF(AND(Config!$B$11&lt;&gt;"",F96&lt;&gt;"Sim",F96&lt;&gt;"N/A"),Config!$B$11&amp;"; ","")&amp;IF(AND(Config!$B$12&lt;&gt;"",G96&lt;&gt;"Sim",G96&lt;&gt;"N/A"),Config!$B$12&amp;"; ","")&amp;IF(AND(Config!$B$13&lt;&gt;"",H96&lt;&gt;"Sim",H96&lt;&gt;"N/A"),Config!$B$13&amp;"; ","")&amp;IF(AND(Config!$B$14&lt;&gt;"",I96&lt;&gt;"Sim",I96&lt;&gt;"N/A"),Config!$B$14&amp;"; ","")&amp;IF(AND(Config!$B$15&lt;&gt;"",J96&lt;&gt;"Sim",J96&lt;&gt;"N/A"),Config!$B$15&amp;"; ","")&amp;IF(AND(Config!$B$16&lt;&gt;"",K96&lt;&gt;"Sim",K96&lt;&gt;"N/A"),Config!$B$16&amp;"; ","")&amp;IF(AND(Config!$B$17&lt;&gt;"",L96&lt;&gt;"Sim",L96&lt;&gt;"N/A"),Config!$B$17&amp;"; ","")&amp;IF(AND(Config!$B$18&lt;&gt;"",M96&lt;&gt;"Sim",M96&lt;&gt;"N/A"),Config!$B$18&amp;"; ","")&amp;IF(AND(Config!$B$19&lt;&gt;"",N96&lt;&gt;"Sim",N96&lt;&gt;"N/A"),Config!$B$19&amp;"; ","")&amp;IF(AND($D96="Encerrado",Config!$D$10&lt;&gt;"",O96&lt;&gt;"Sim",O96&lt;&gt;"N/A"),Config!$D$10&amp;"; ","")&amp;IF(AND($D96="Encerrado",Config!$D$11&lt;&gt;"",P96&lt;&gt;"Sim",P96&lt;&gt;"N/A"),Config!$D$11&amp;"; ","")&amp;IF(AND($D96="Encerrado",Config!$D$12&lt;&gt;"",Q96&lt;&gt;"Sim",Q96&lt;&gt;"N/A"),Config!$D$12&amp;"; ","")&amp;IF(AND($D96="Encerrado",Config!$D$13&lt;&gt;"",R96&lt;&gt;"Sim",R96&lt;&gt;"N/A"),Config!$D$13&amp;"; ","")&amp;IF(AND($D96="Encerrado",Config!$D$14&lt;&gt;"",S96&lt;&gt;"Sim",S96&lt;&gt;"N/A"),Config!$D$14&amp;"; ","")&amp;IF(AND($D96="Encerrado",Config!$D$15&lt;&gt;"",T96&lt;&gt;"Sim",T96&lt;&gt;"N/A"),Config!$D$15&amp;"; ","")&amp;IF(AND($D96="Encerrado",Config!$D$16&lt;&gt;"",U96&lt;&gt;"Sim",U96&lt;&gt;"N/A"),Config!$D$16&amp;"; ","")&amp;IF(AND($D96="Encerrado",Config!$D$17&lt;&gt;"",V96&lt;&gt;"Sim",V96&lt;&gt;"N/A"),Config!$D$17&amp;"; ","")&amp;IF(AND($D96="Encerrado",Config!$D$18&lt;&gt;"",W96&lt;&gt;"Sim",W96&lt;&gt;"N/A"),Config!$D$18&amp;"; ","")&amp;IF(AND($D96="Encerrado",Config!$D$19&lt;&gt;"",X96&lt;&gt;"Sim",X96&lt;&gt;"N/A"),Config!$D$19&amp;"; ",""))</f>
        <v/>
      </c>
    </row>
    <row r="97">
      <c r="A97" s="29" t="n"/>
      <c r="B97" s="29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25">
        <f>IF(A97="","",IFERROR(COUNTIF(E97:N97,"Sim")/(Config!$B$21-COUNTIF(E97:N97,"N/A")),""))</f>
        <v/>
      </c>
      <c r="Z97" s="25">
        <f>IF(OR(A97="",D97&lt;&gt;"Encerrado"),"",IFERROR(COUNTIF(O97:X97,"Sim")/(Config!$D$21-COUNTIF(O97:X97,"N/A")),""))</f>
        <v/>
      </c>
      <c r="AA97" s="23">
        <f>IF(A97="","",MAX(0,Config!$B$21-COUNTIF(E97:N97,"Sim")-COUNTIF(E97:N97,"N/A")))</f>
        <v/>
      </c>
      <c r="AB97" s="23">
        <f>IF(OR(A97="",D97&lt;&gt;"Encerrado"),"",MAX(0,Config!$D$21-COUNTIF(O97:X97,"Sim")-COUNTIF(O97:X97,"N/A")))</f>
        <v/>
      </c>
      <c r="AC97" s="23">
        <f>IF(A97="","",AA97+IF(AB97="",0,AB97))</f>
        <v/>
      </c>
      <c r="AD97" s="24">
        <f>IF(OR(A97="",AF97=""),"",LEFT(AF97,LEN(AF97)-2))</f>
        <v/>
      </c>
      <c r="AE97" s="35">
        <f>IF(OR(A97="",AC97=0),0,AC97*100-ROW()/100000)</f>
        <v>0</v>
      </c>
      <c r="AF97" s="35">
        <f>IF(A97="","",IF(AND(Config!$B$10&lt;&gt;"",E97&lt;&gt;"Sim",E97&lt;&gt;"N/A"),Config!$B$10&amp;"; ","")&amp;IF(AND(Config!$B$11&lt;&gt;"",F97&lt;&gt;"Sim",F97&lt;&gt;"N/A"),Config!$B$11&amp;"; ","")&amp;IF(AND(Config!$B$12&lt;&gt;"",G97&lt;&gt;"Sim",G97&lt;&gt;"N/A"),Config!$B$12&amp;"; ","")&amp;IF(AND(Config!$B$13&lt;&gt;"",H97&lt;&gt;"Sim",H97&lt;&gt;"N/A"),Config!$B$13&amp;"; ","")&amp;IF(AND(Config!$B$14&lt;&gt;"",I97&lt;&gt;"Sim",I97&lt;&gt;"N/A"),Config!$B$14&amp;"; ","")&amp;IF(AND(Config!$B$15&lt;&gt;"",J97&lt;&gt;"Sim",J97&lt;&gt;"N/A"),Config!$B$15&amp;"; ","")&amp;IF(AND(Config!$B$16&lt;&gt;"",K97&lt;&gt;"Sim",K97&lt;&gt;"N/A"),Config!$B$16&amp;"; ","")&amp;IF(AND(Config!$B$17&lt;&gt;"",L97&lt;&gt;"Sim",L97&lt;&gt;"N/A"),Config!$B$17&amp;"; ","")&amp;IF(AND(Config!$B$18&lt;&gt;"",M97&lt;&gt;"Sim",M97&lt;&gt;"N/A"),Config!$B$18&amp;"; ","")&amp;IF(AND(Config!$B$19&lt;&gt;"",N97&lt;&gt;"Sim",N97&lt;&gt;"N/A"),Config!$B$19&amp;"; ","")&amp;IF(AND($D97="Encerrado",Config!$D$10&lt;&gt;"",O97&lt;&gt;"Sim",O97&lt;&gt;"N/A"),Config!$D$10&amp;"; ","")&amp;IF(AND($D97="Encerrado",Config!$D$11&lt;&gt;"",P97&lt;&gt;"Sim",P97&lt;&gt;"N/A"),Config!$D$11&amp;"; ","")&amp;IF(AND($D97="Encerrado",Config!$D$12&lt;&gt;"",Q97&lt;&gt;"Sim",Q97&lt;&gt;"N/A"),Config!$D$12&amp;"; ","")&amp;IF(AND($D97="Encerrado",Config!$D$13&lt;&gt;"",R97&lt;&gt;"Sim",R97&lt;&gt;"N/A"),Config!$D$13&amp;"; ","")&amp;IF(AND($D97="Encerrado",Config!$D$14&lt;&gt;"",S97&lt;&gt;"Sim",S97&lt;&gt;"N/A"),Config!$D$14&amp;"; ","")&amp;IF(AND($D97="Encerrado",Config!$D$15&lt;&gt;"",T97&lt;&gt;"Sim",T97&lt;&gt;"N/A"),Config!$D$15&amp;"; ","")&amp;IF(AND($D97="Encerrado",Config!$D$16&lt;&gt;"",U97&lt;&gt;"Sim",U97&lt;&gt;"N/A"),Config!$D$16&amp;"; ","")&amp;IF(AND($D97="Encerrado",Config!$D$17&lt;&gt;"",V97&lt;&gt;"Sim",V97&lt;&gt;"N/A"),Config!$D$17&amp;"; ","")&amp;IF(AND($D97="Encerrado",Config!$D$18&lt;&gt;"",W97&lt;&gt;"Sim",W97&lt;&gt;"N/A"),Config!$D$18&amp;"; ","")&amp;IF(AND($D97="Encerrado",Config!$D$19&lt;&gt;"",X97&lt;&gt;"Sim",X97&lt;&gt;"N/A"),Config!$D$19&amp;"; ",""))</f>
        <v/>
      </c>
    </row>
    <row r="98">
      <c r="A98" s="29" t="n"/>
      <c r="B98" s="29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25">
        <f>IF(A98="","",IFERROR(COUNTIF(E98:N98,"Sim")/(Config!$B$21-COUNTIF(E98:N98,"N/A")),""))</f>
        <v/>
      </c>
      <c r="Z98" s="25">
        <f>IF(OR(A98="",D98&lt;&gt;"Encerrado"),"",IFERROR(COUNTIF(O98:X98,"Sim")/(Config!$D$21-COUNTIF(O98:X98,"N/A")),""))</f>
        <v/>
      </c>
      <c r="AA98" s="23">
        <f>IF(A98="","",MAX(0,Config!$B$21-COUNTIF(E98:N98,"Sim")-COUNTIF(E98:N98,"N/A")))</f>
        <v/>
      </c>
      <c r="AB98" s="23">
        <f>IF(OR(A98="",D98&lt;&gt;"Encerrado"),"",MAX(0,Config!$D$21-COUNTIF(O98:X98,"Sim")-COUNTIF(O98:X98,"N/A")))</f>
        <v/>
      </c>
      <c r="AC98" s="23">
        <f>IF(A98="","",AA98+IF(AB98="",0,AB98))</f>
        <v/>
      </c>
      <c r="AD98" s="24">
        <f>IF(OR(A98="",AF98=""),"",LEFT(AF98,LEN(AF98)-2))</f>
        <v/>
      </c>
      <c r="AE98" s="35">
        <f>IF(OR(A98="",AC98=0),0,AC98*100-ROW()/100000)</f>
        <v>0</v>
      </c>
      <c r="AF98" s="35">
        <f>IF(A98="","",IF(AND(Config!$B$10&lt;&gt;"",E98&lt;&gt;"Sim",E98&lt;&gt;"N/A"),Config!$B$10&amp;"; ","")&amp;IF(AND(Config!$B$11&lt;&gt;"",F98&lt;&gt;"Sim",F98&lt;&gt;"N/A"),Config!$B$11&amp;"; ","")&amp;IF(AND(Config!$B$12&lt;&gt;"",G98&lt;&gt;"Sim",G98&lt;&gt;"N/A"),Config!$B$12&amp;"; ","")&amp;IF(AND(Config!$B$13&lt;&gt;"",H98&lt;&gt;"Sim",H98&lt;&gt;"N/A"),Config!$B$13&amp;"; ","")&amp;IF(AND(Config!$B$14&lt;&gt;"",I98&lt;&gt;"Sim",I98&lt;&gt;"N/A"),Config!$B$14&amp;"; ","")&amp;IF(AND(Config!$B$15&lt;&gt;"",J98&lt;&gt;"Sim",J98&lt;&gt;"N/A"),Config!$B$15&amp;"; ","")&amp;IF(AND(Config!$B$16&lt;&gt;"",K98&lt;&gt;"Sim",K98&lt;&gt;"N/A"),Config!$B$16&amp;"; ","")&amp;IF(AND(Config!$B$17&lt;&gt;"",L98&lt;&gt;"Sim",L98&lt;&gt;"N/A"),Config!$B$17&amp;"; ","")&amp;IF(AND(Config!$B$18&lt;&gt;"",M98&lt;&gt;"Sim",M98&lt;&gt;"N/A"),Config!$B$18&amp;"; ","")&amp;IF(AND(Config!$B$19&lt;&gt;"",N98&lt;&gt;"Sim",N98&lt;&gt;"N/A"),Config!$B$19&amp;"; ","")&amp;IF(AND($D98="Encerrado",Config!$D$10&lt;&gt;"",O98&lt;&gt;"Sim",O98&lt;&gt;"N/A"),Config!$D$10&amp;"; ","")&amp;IF(AND($D98="Encerrado",Config!$D$11&lt;&gt;"",P98&lt;&gt;"Sim",P98&lt;&gt;"N/A"),Config!$D$11&amp;"; ","")&amp;IF(AND($D98="Encerrado",Config!$D$12&lt;&gt;"",Q98&lt;&gt;"Sim",Q98&lt;&gt;"N/A"),Config!$D$12&amp;"; ","")&amp;IF(AND($D98="Encerrado",Config!$D$13&lt;&gt;"",R98&lt;&gt;"Sim",R98&lt;&gt;"N/A"),Config!$D$13&amp;"; ","")&amp;IF(AND($D98="Encerrado",Config!$D$14&lt;&gt;"",S98&lt;&gt;"Sim",S98&lt;&gt;"N/A"),Config!$D$14&amp;"; ","")&amp;IF(AND($D98="Encerrado",Config!$D$15&lt;&gt;"",T98&lt;&gt;"Sim",T98&lt;&gt;"N/A"),Config!$D$15&amp;"; ","")&amp;IF(AND($D98="Encerrado",Config!$D$16&lt;&gt;"",U98&lt;&gt;"Sim",U98&lt;&gt;"N/A"),Config!$D$16&amp;"; ","")&amp;IF(AND($D98="Encerrado",Config!$D$17&lt;&gt;"",V98&lt;&gt;"Sim",V98&lt;&gt;"N/A"),Config!$D$17&amp;"; ","")&amp;IF(AND($D98="Encerrado",Config!$D$18&lt;&gt;"",W98&lt;&gt;"Sim",W98&lt;&gt;"N/A"),Config!$D$18&amp;"; ","")&amp;IF(AND($D98="Encerrado",Config!$D$19&lt;&gt;"",X98&lt;&gt;"Sim",X98&lt;&gt;"N/A"),Config!$D$19&amp;"; ",""))</f>
        <v/>
      </c>
    </row>
    <row r="99">
      <c r="A99" s="29" t="n"/>
      <c r="B99" s="29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25">
        <f>IF(A99="","",IFERROR(COUNTIF(E99:N99,"Sim")/(Config!$B$21-COUNTIF(E99:N99,"N/A")),""))</f>
        <v/>
      </c>
      <c r="Z99" s="25">
        <f>IF(OR(A99="",D99&lt;&gt;"Encerrado"),"",IFERROR(COUNTIF(O99:X99,"Sim")/(Config!$D$21-COUNTIF(O99:X99,"N/A")),""))</f>
        <v/>
      </c>
      <c r="AA99" s="23">
        <f>IF(A99="","",MAX(0,Config!$B$21-COUNTIF(E99:N99,"Sim")-COUNTIF(E99:N99,"N/A")))</f>
        <v/>
      </c>
      <c r="AB99" s="23">
        <f>IF(OR(A99="",D99&lt;&gt;"Encerrado"),"",MAX(0,Config!$D$21-COUNTIF(O99:X99,"Sim")-COUNTIF(O99:X99,"N/A")))</f>
        <v/>
      </c>
      <c r="AC99" s="23">
        <f>IF(A99="","",AA99+IF(AB99="",0,AB99))</f>
        <v/>
      </c>
      <c r="AD99" s="24">
        <f>IF(OR(A99="",AF99=""),"",LEFT(AF99,LEN(AF99)-2))</f>
        <v/>
      </c>
      <c r="AE99" s="35">
        <f>IF(OR(A99="",AC99=0),0,AC99*100-ROW()/100000)</f>
        <v>0</v>
      </c>
      <c r="AF99" s="35">
        <f>IF(A99="","",IF(AND(Config!$B$10&lt;&gt;"",E99&lt;&gt;"Sim",E99&lt;&gt;"N/A"),Config!$B$10&amp;"; ","")&amp;IF(AND(Config!$B$11&lt;&gt;"",F99&lt;&gt;"Sim",F99&lt;&gt;"N/A"),Config!$B$11&amp;"; ","")&amp;IF(AND(Config!$B$12&lt;&gt;"",G99&lt;&gt;"Sim",G99&lt;&gt;"N/A"),Config!$B$12&amp;"; ","")&amp;IF(AND(Config!$B$13&lt;&gt;"",H99&lt;&gt;"Sim",H99&lt;&gt;"N/A"),Config!$B$13&amp;"; ","")&amp;IF(AND(Config!$B$14&lt;&gt;"",I99&lt;&gt;"Sim",I99&lt;&gt;"N/A"),Config!$B$14&amp;"; ","")&amp;IF(AND(Config!$B$15&lt;&gt;"",J99&lt;&gt;"Sim",J99&lt;&gt;"N/A"),Config!$B$15&amp;"; ","")&amp;IF(AND(Config!$B$16&lt;&gt;"",K99&lt;&gt;"Sim",K99&lt;&gt;"N/A"),Config!$B$16&amp;"; ","")&amp;IF(AND(Config!$B$17&lt;&gt;"",L99&lt;&gt;"Sim",L99&lt;&gt;"N/A"),Config!$B$17&amp;"; ","")&amp;IF(AND(Config!$B$18&lt;&gt;"",M99&lt;&gt;"Sim",M99&lt;&gt;"N/A"),Config!$B$18&amp;"; ","")&amp;IF(AND(Config!$B$19&lt;&gt;"",N99&lt;&gt;"Sim",N99&lt;&gt;"N/A"),Config!$B$19&amp;"; ","")&amp;IF(AND($D99="Encerrado",Config!$D$10&lt;&gt;"",O99&lt;&gt;"Sim",O99&lt;&gt;"N/A"),Config!$D$10&amp;"; ","")&amp;IF(AND($D99="Encerrado",Config!$D$11&lt;&gt;"",P99&lt;&gt;"Sim",P99&lt;&gt;"N/A"),Config!$D$11&amp;"; ","")&amp;IF(AND($D99="Encerrado",Config!$D$12&lt;&gt;"",Q99&lt;&gt;"Sim",Q99&lt;&gt;"N/A"),Config!$D$12&amp;"; ","")&amp;IF(AND($D99="Encerrado",Config!$D$13&lt;&gt;"",R99&lt;&gt;"Sim",R99&lt;&gt;"N/A"),Config!$D$13&amp;"; ","")&amp;IF(AND($D99="Encerrado",Config!$D$14&lt;&gt;"",S99&lt;&gt;"Sim",S99&lt;&gt;"N/A"),Config!$D$14&amp;"; ","")&amp;IF(AND($D99="Encerrado",Config!$D$15&lt;&gt;"",T99&lt;&gt;"Sim",T99&lt;&gt;"N/A"),Config!$D$15&amp;"; ","")&amp;IF(AND($D99="Encerrado",Config!$D$16&lt;&gt;"",U99&lt;&gt;"Sim",U99&lt;&gt;"N/A"),Config!$D$16&amp;"; ","")&amp;IF(AND($D99="Encerrado",Config!$D$17&lt;&gt;"",V99&lt;&gt;"Sim",V99&lt;&gt;"N/A"),Config!$D$17&amp;"; ","")&amp;IF(AND($D99="Encerrado",Config!$D$18&lt;&gt;"",W99&lt;&gt;"Sim",W99&lt;&gt;"N/A"),Config!$D$18&amp;"; ","")&amp;IF(AND($D99="Encerrado",Config!$D$19&lt;&gt;"",X99&lt;&gt;"Sim",X99&lt;&gt;"N/A"),Config!$D$19&amp;"; ",""))</f>
        <v/>
      </c>
    </row>
    <row r="100">
      <c r="A100" s="29" t="n"/>
      <c r="B100" s="29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25">
        <f>IF(A100="","",IFERROR(COUNTIF(E100:N100,"Sim")/(Config!$B$21-COUNTIF(E100:N100,"N/A")),""))</f>
        <v/>
      </c>
      <c r="Z100" s="25">
        <f>IF(OR(A100="",D100&lt;&gt;"Encerrado"),"",IFERROR(COUNTIF(O100:X100,"Sim")/(Config!$D$21-COUNTIF(O100:X100,"N/A")),""))</f>
        <v/>
      </c>
      <c r="AA100" s="23">
        <f>IF(A100="","",MAX(0,Config!$B$21-COUNTIF(E100:N100,"Sim")-COUNTIF(E100:N100,"N/A")))</f>
        <v/>
      </c>
      <c r="AB100" s="23">
        <f>IF(OR(A100="",D100&lt;&gt;"Encerrado"),"",MAX(0,Config!$D$21-COUNTIF(O100:X100,"Sim")-COUNTIF(O100:X100,"N/A")))</f>
        <v/>
      </c>
      <c r="AC100" s="23">
        <f>IF(A100="","",AA100+IF(AB100="",0,AB100))</f>
        <v/>
      </c>
      <c r="AD100" s="24">
        <f>IF(OR(A100="",AF100=""),"",LEFT(AF100,LEN(AF100)-2))</f>
        <v/>
      </c>
      <c r="AE100" s="35">
        <f>IF(OR(A100="",AC100=0),0,AC100*100-ROW()/100000)</f>
        <v>0</v>
      </c>
      <c r="AF100" s="35">
        <f>IF(A100="","",IF(AND(Config!$B$10&lt;&gt;"",E100&lt;&gt;"Sim",E100&lt;&gt;"N/A"),Config!$B$10&amp;"; ","")&amp;IF(AND(Config!$B$11&lt;&gt;"",F100&lt;&gt;"Sim",F100&lt;&gt;"N/A"),Config!$B$11&amp;"; ","")&amp;IF(AND(Config!$B$12&lt;&gt;"",G100&lt;&gt;"Sim",G100&lt;&gt;"N/A"),Config!$B$12&amp;"; ","")&amp;IF(AND(Config!$B$13&lt;&gt;"",H100&lt;&gt;"Sim",H100&lt;&gt;"N/A"),Config!$B$13&amp;"; ","")&amp;IF(AND(Config!$B$14&lt;&gt;"",I100&lt;&gt;"Sim",I100&lt;&gt;"N/A"),Config!$B$14&amp;"; ","")&amp;IF(AND(Config!$B$15&lt;&gt;"",J100&lt;&gt;"Sim",J100&lt;&gt;"N/A"),Config!$B$15&amp;"; ","")&amp;IF(AND(Config!$B$16&lt;&gt;"",K100&lt;&gt;"Sim",K100&lt;&gt;"N/A"),Config!$B$16&amp;"; ","")&amp;IF(AND(Config!$B$17&lt;&gt;"",L100&lt;&gt;"Sim",L100&lt;&gt;"N/A"),Config!$B$17&amp;"; ","")&amp;IF(AND(Config!$B$18&lt;&gt;"",M100&lt;&gt;"Sim",M100&lt;&gt;"N/A"),Config!$B$18&amp;"; ","")&amp;IF(AND(Config!$B$19&lt;&gt;"",N100&lt;&gt;"Sim",N100&lt;&gt;"N/A"),Config!$B$19&amp;"; ","")&amp;IF(AND($D100="Encerrado",Config!$D$10&lt;&gt;"",O100&lt;&gt;"Sim",O100&lt;&gt;"N/A"),Config!$D$10&amp;"; ","")&amp;IF(AND($D100="Encerrado",Config!$D$11&lt;&gt;"",P100&lt;&gt;"Sim",P100&lt;&gt;"N/A"),Config!$D$11&amp;"; ","")&amp;IF(AND($D100="Encerrado",Config!$D$12&lt;&gt;"",Q100&lt;&gt;"Sim",Q100&lt;&gt;"N/A"),Config!$D$12&amp;"; ","")&amp;IF(AND($D100="Encerrado",Config!$D$13&lt;&gt;"",R100&lt;&gt;"Sim",R100&lt;&gt;"N/A"),Config!$D$13&amp;"; ","")&amp;IF(AND($D100="Encerrado",Config!$D$14&lt;&gt;"",S100&lt;&gt;"Sim",S100&lt;&gt;"N/A"),Config!$D$14&amp;"; ","")&amp;IF(AND($D100="Encerrado",Config!$D$15&lt;&gt;"",T100&lt;&gt;"Sim",T100&lt;&gt;"N/A"),Config!$D$15&amp;"; ","")&amp;IF(AND($D100="Encerrado",Config!$D$16&lt;&gt;"",U100&lt;&gt;"Sim",U100&lt;&gt;"N/A"),Config!$D$16&amp;"; ","")&amp;IF(AND($D100="Encerrado",Config!$D$17&lt;&gt;"",V100&lt;&gt;"Sim",V100&lt;&gt;"N/A"),Config!$D$17&amp;"; ","")&amp;IF(AND($D100="Encerrado",Config!$D$18&lt;&gt;"",W100&lt;&gt;"Sim",W100&lt;&gt;"N/A"),Config!$D$18&amp;"; ","")&amp;IF(AND($D100="Encerrado",Config!$D$19&lt;&gt;"",X100&lt;&gt;"Sim",X100&lt;&gt;"N/A"),Config!$D$19&amp;"; ",""))</f>
        <v/>
      </c>
    </row>
    <row r="101">
      <c r="A101" s="29" t="n"/>
      <c r="B101" s="29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25">
        <f>IF(A101="","",IFERROR(COUNTIF(E101:N101,"Sim")/(Config!$B$21-COUNTIF(E101:N101,"N/A")),""))</f>
        <v/>
      </c>
      <c r="Z101" s="25">
        <f>IF(OR(A101="",D101&lt;&gt;"Encerrado"),"",IFERROR(COUNTIF(O101:X101,"Sim")/(Config!$D$21-COUNTIF(O101:X101,"N/A")),""))</f>
        <v/>
      </c>
      <c r="AA101" s="23">
        <f>IF(A101="","",MAX(0,Config!$B$21-COUNTIF(E101:N101,"Sim")-COUNTIF(E101:N101,"N/A")))</f>
        <v/>
      </c>
      <c r="AB101" s="23">
        <f>IF(OR(A101="",D101&lt;&gt;"Encerrado"),"",MAX(0,Config!$D$21-COUNTIF(O101:X101,"Sim")-COUNTIF(O101:X101,"N/A")))</f>
        <v/>
      </c>
      <c r="AC101" s="23">
        <f>IF(A101="","",AA101+IF(AB101="",0,AB101))</f>
        <v/>
      </c>
      <c r="AD101" s="24">
        <f>IF(OR(A101="",AF101=""),"",LEFT(AF101,LEN(AF101)-2))</f>
        <v/>
      </c>
      <c r="AE101" s="35">
        <f>IF(OR(A101="",AC101=0),0,AC101*100-ROW()/100000)</f>
        <v>0</v>
      </c>
      <c r="AF101" s="35">
        <f>IF(A101="","",IF(AND(Config!$B$10&lt;&gt;"",E101&lt;&gt;"Sim",E101&lt;&gt;"N/A"),Config!$B$10&amp;"; ","")&amp;IF(AND(Config!$B$11&lt;&gt;"",F101&lt;&gt;"Sim",F101&lt;&gt;"N/A"),Config!$B$11&amp;"; ","")&amp;IF(AND(Config!$B$12&lt;&gt;"",G101&lt;&gt;"Sim",G101&lt;&gt;"N/A"),Config!$B$12&amp;"; ","")&amp;IF(AND(Config!$B$13&lt;&gt;"",H101&lt;&gt;"Sim",H101&lt;&gt;"N/A"),Config!$B$13&amp;"; ","")&amp;IF(AND(Config!$B$14&lt;&gt;"",I101&lt;&gt;"Sim",I101&lt;&gt;"N/A"),Config!$B$14&amp;"; ","")&amp;IF(AND(Config!$B$15&lt;&gt;"",J101&lt;&gt;"Sim",J101&lt;&gt;"N/A"),Config!$B$15&amp;"; ","")&amp;IF(AND(Config!$B$16&lt;&gt;"",K101&lt;&gt;"Sim",K101&lt;&gt;"N/A"),Config!$B$16&amp;"; ","")&amp;IF(AND(Config!$B$17&lt;&gt;"",L101&lt;&gt;"Sim",L101&lt;&gt;"N/A"),Config!$B$17&amp;"; ","")&amp;IF(AND(Config!$B$18&lt;&gt;"",M101&lt;&gt;"Sim",M101&lt;&gt;"N/A"),Config!$B$18&amp;"; ","")&amp;IF(AND(Config!$B$19&lt;&gt;"",N101&lt;&gt;"Sim",N101&lt;&gt;"N/A"),Config!$B$19&amp;"; ","")&amp;IF(AND($D101="Encerrado",Config!$D$10&lt;&gt;"",O101&lt;&gt;"Sim",O101&lt;&gt;"N/A"),Config!$D$10&amp;"; ","")&amp;IF(AND($D101="Encerrado",Config!$D$11&lt;&gt;"",P101&lt;&gt;"Sim",P101&lt;&gt;"N/A"),Config!$D$11&amp;"; ","")&amp;IF(AND($D101="Encerrado",Config!$D$12&lt;&gt;"",Q101&lt;&gt;"Sim",Q101&lt;&gt;"N/A"),Config!$D$12&amp;"; ","")&amp;IF(AND($D101="Encerrado",Config!$D$13&lt;&gt;"",R101&lt;&gt;"Sim",R101&lt;&gt;"N/A"),Config!$D$13&amp;"; ","")&amp;IF(AND($D101="Encerrado",Config!$D$14&lt;&gt;"",S101&lt;&gt;"Sim",S101&lt;&gt;"N/A"),Config!$D$14&amp;"; ","")&amp;IF(AND($D101="Encerrado",Config!$D$15&lt;&gt;"",T101&lt;&gt;"Sim",T101&lt;&gt;"N/A"),Config!$D$15&amp;"; ","")&amp;IF(AND($D101="Encerrado",Config!$D$16&lt;&gt;"",U101&lt;&gt;"Sim",U101&lt;&gt;"N/A"),Config!$D$16&amp;"; ","")&amp;IF(AND($D101="Encerrado",Config!$D$17&lt;&gt;"",V101&lt;&gt;"Sim",V101&lt;&gt;"N/A"),Config!$D$17&amp;"; ","")&amp;IF(AND($D101="Encerrado",Config!$D$18&lt;&gt;"",W101&lt;&gt;"Sim",W101&lt;&gt;"N/A"),Config!$D$18&amp;"; ","")&amp;IF(AND($D101="Encerrado",Config!$D$19&lt;&gt;"",X101&lt;&gt;"Sim",X101&lt;&gt;"N/A"),Config!$D$19&amp;"; ",""))</f>
        <v/>
      </c>
    </row>
    <row r="102">
      <c r="A102" s="29" t="n"/>
      <c r="B102" s="29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25">
        <f>IF(A102="","",IFERROR(COUNTIF(E102:N102,"Sim")/(Config!$B$21-COUNTIF(E102:N102,"N/A")),""))</f>
        <v/>
      </c>
      <c r="Z102" s="25">
        <f>IF(OR(A102="",D102&lt;&gt;"Encerrado"),"",IFERROR(COUNTIF(O102:X102,"Sim")/(Config!$D$21-COUNTIF(O102:X102,"N/A")),""))</f>
        <v/>
      </c>
      <c r="AA102" s="23">
        <f>IF(A102="","",MAX(0,Config!$B$21-COUNTIF(E102:N102,"Sim")-COUNTIF(E102:N102,"N/A")))</f>
        <v/>
      </c>
      <c r="AB102" s="23">
        <f>IF(OR(A102="",D102&lt;&gt;"Encerrado"),"",MAX(0,Config!$D$21-COUNTIF(O102:X102,"Sim")-COUNTIF(O102:X102,"N/A")))</f>
        <v/>
      </c>
      <c r="AC102" s="23">
        <f>IF(A102="","",AA102+IF(AB102="",0,AB102))</f>
        <v/>
      </c>
      <c r="AD102" s="24">
        <f>IF(OR(A102="",AF102=""),"",LEFT(AF102,LEN(AF102)-2))</f>
        <v/>
      </c>
      <c r="AE102" s="35">
        <f>IF(OR(A102="",AC102=0),0,AC102*100-ROW()/100000)</f>
        <v>0</v>
      </c>
      <c r="AF102" s="35">
        <f>IF(A102="","",IF(AND(Config!$B$10&lt;&gt;"",E102&lt;&gt;"Sim",E102&lt;&gt;"N/A"),Config!$B$10&amp;"; ","")&amp;IF(AND(Config!$B$11&lt;&gt;"",F102&lt;&gt;"Sim",F102&lt;&gt;"N/A"),Config!$B$11&amp;"; ","")&amp;IF(AND(Config!$B$12&lt;&gt;"",G102&lt;&gt;"Sim",G102&lt;&gt;"N/A"),Config!$B$12&amp;"; ","")&amp;IF(AND(Config!$B$13&lt;&gt;"",H102&lt;&gt;"Sim",H102&lt;&gt;"N/A"),Config!$B$13&amp;"; ","")&amp;IF(AND(Config!$B$14&lt;&gt;"",I102&lt;&gt;"Sim",I102&lt;&gt;"N/A"),Config!$B$14&amp;"; ","")&amp;IF(AND(Config!$B$15&lt;&gt;"",J102&lt;&gt;"Sim",J102&lt;&gt;"N/A"),Config!$B$15&amp;"; ","")&amp;IF(AND(Config!$B$16&lt;&gt;"",K102&lt;&gt;"Sim",K102&lt;&gt;"N/A"),Config!$B$16&amp;"; ","")&amp;IF(AND(Config!$B$17&lt;&gt;"",L102&lt;&gt;"Sim",L102&lt;&gt;"N/A"),Config!$B$17&amp;"; ","")&amp;IF(AND(Config!$B$18&lt;&gt;"",M102&lt;&gt;"Sim",M102&lt;&gt;"N/A"),Config!$B$18&amp;"; ","")&amp;IF(AND(Config!$B$19&lt;&gt;"",N102&lt;&gt;"Sim",N102&lt;&gt;"N/A"),Config!$B$19&amp;"; ","")&amp;IF(AND($D102="Encerrado",Config!$D$10&lt;&gt;"",O102&lt;&gt;"Sim",O102&lt;&gt;"N/A"),Config!$D$10&amp;"; ","")&amp;IF(AND($D102="Encerrado",Config!$D$11&lt;&gt;"",P102&lt;&gt;"Sim",P102&lt;&gt;"N/A"),Config!$D$11&amp;"; ","")&amp;IF(AND($D102="Encerrado",Config!$D$12&lt;&gt;"",Q102&lt;&gt;"Sim",Q102&lt;&gt;"N/A"),Config!$D$12&amp;"; ","")&amp;IF(AND($D102="Encerrado",Config!$D$13&lt;&gt;"",R102&lt;&gt;"Sim",R102&lt;&gt;"N/A"),Config!$D$13&amp;"; ","")&amp;IF(AND($D102="Encerrado",Config!$D$14&lt;&gt;"",S102&lt;&gt;"Sim",S102&lt;&gt;"N/A"),Config!$D$14&amp;"; ","")&amp;IF(AND($D102="Encerrado",Config!$D$15&lt;&gt;"",T102&lt;&gt;"Sim",T102&lt;&gt;"N/A"),Config!$D$15&amp;"; ","")&amp;IF(AND($D102="Encerrado",Config!$D$16&lt;&gt;"",U102&lt;&gt;"Sim",U102&lt;&gt;"N/A"),Config!$D$16&amp;"; ","")&amp;IF(AND($D102="Encerrado",Config!$D$17&lt;&gt;"",V102&lt;&gt;"Sim",V102&lt;&gt;"N/A"),Config!$D$17&amp;"; ","")&amp;IF(AND($D102="Encerrado",Config!$D$18&lt;&gt;"",W102&lt;&gt;"Sim",W102&lt;&gt;"N/A"),Config!$D$18&amp;"; ","")&amp;IF(AND($D102="Encerrado",Config!$D$19&lt;&gt;"",X102&lt;&gt;"Sim",X102&lt;&gt;"N/A"),Config!$D$19&amp;"; ",""))</f>
        <v/>
      </c>
    </row>
    <row r="103">
      <c r="A103" s="29" t="n"/>
      <c r="B103" s="29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25">
        <f>IF(A103="","",IFERROR(COUNTIF(E103:N103,"Sim")/(Config!$B$21-COUNTIF(E103:N103,"N/A")),""))</f>
        <v/>
      </c>
      <c r="Z103" s="25">
        <f>IF(OR(A103="",D103&lt;&gt;"Encerrado"),"",IFERROR(COUNTIF(O103:X103,"Sim")/(Config!$D$21-COUNTIF(O103:X103,"N/A")),""))</f>
        <v/>
      </c>
      <c r="AA103" s="23">
        <f>IF(A103="","",MAX(0,Config!$B$21-COUNTIF(E103:N103,"Sim")-COUNTIF(E103:N103,"N/A")))</f>
        <v/>
      </c>
      <c r="AB103" s="23">
        <f>IF(OR(A103="",D103&lt;&gt;"Encerrado"),"",MAX(0,Config!$D$21-COUNTIF(O103:X103,"Sim")-COUNTIF(O103:X103,"N/A")))</f>
        <v/>
      </c>
      <c r="AC103" s="23">
        <f>IF(A103="","",AA103+IF(AB103="",0,AB103))</f>
        <v/>
      </c>
      <c r="AD103" s="24">
        <f>IF(OR(A103="",AF103=""),"",LEFT(AF103,LEN(AF103)-2))</f>
        <v/>
      </c>
      <c r="AE103" s="35">
        <f>IF(OR(A103="",AC103=0),0,AC103*100-ROW()/100000)</f>
        <v>0</v>
      </c>
      <c r="AF103" s="35">
        <f>IF(A103="","",IF(AND(Config!$B$10&lt;&gt;"",E103&lt;&gt;"Sim",E103&lt;&gt;"N/A"),Config!$B$10&amp;"; ","")&amp;IF(AND(Config!$B$11&lt;&gt;"",F103&lt;&gt;"Sim",F103&lt;&gt;"N/A"),Config!$B$11&amp;"; ","")&amp;IF(AND(Config!$B$12&lt;&gt;"",G103&lt;&gt;"Sim",G103&lt;&gt;"N/A"),Config!$B$12&amp;"; ","")&amp;IF(AND(Config!$B$13&lt;&gt;"",H103&lt;&gt;"Sim",H103&lt;&gt;"N/A"),Config!$B$13&amp;"; ","")&amp;IF(AND(Config!$B$14&lt;&gt;"",I103&lt;&gt;"Sim",I103&lt;&gt;"N/A"),Config!$B$14&amp;"; ","")&amp;IF(AND(Config!$B$15&lt;&gt;"",J103&lt;&gt;"Sim",J103&lt;&gt;"N/A"),Config!$B$15&amp;"; ","")&amp;IF(AND(Config!$B$16&lt;&gt;"",K103&lt;&gt;"Sim",K103&lt;&gt;"N/A"),Config!$B$16&amp;"; ","")&amp;IF(AND(Config!$B$17&lt;&gt;"",L103&lt;&gt;"Sim",L103&lt;&gt;"N/A"),Config!$B$17&amp;"; ","")&amp;IF(AND(Config!$B$18&lt;&gt;"",M103&lt;&gt;"Sim",M103&lt;&gt;"N/A"),Config!$B$18&amp;"; ","")&amp;IF(AND(Config!$B$19&lt;&gt;"",N103&lt;&gt;"Sim",N103&lt;&gt;"N/A"),Config!$B$19&amp;"; ","")&amp;IF(AND($D103="Encerrado",Config!$D$10&lt;&gt;"",O103&lt;&gt;"Sim",O103&lt;&gt;"N/A"),Config!$D$10&amp;"; ","")&amp;IF(AND($D103="Encerrado",Config!$D$11&lt;&gt;"",P103&lt;&gt;"Sim",P103&lt;&gt;"N/A"),Config!$D$11&amp;"; ","")&amp;IF(AND($D103="Encerrado",Config!$D$12&lt;&gt;"",Q103&lt;&gt;"Sim",Q103&lt;&gt;"N/A"),Config!$D$12&amp;"; ","")&amp;IF(AND($D103="Encerrado",Config!$D$13&lt;&gt;"",R103&lt;&gt;"Sim",R103&lt;&gt;"N/A"),Config!$D$13&amp;"; ","")&amp;IF(AND($D103="Encerrado",Config!$D$14&lt;&gt;"",S103&lt;&gt;"Sim",S103&lt;&gt;"N/A"),Config!$D$14&amp;"; ","")&amp;IF(AND($D103="Encerrado",Config!$D$15&lt;&gt;"",T103&lt;&gt;"Sim",T103&lt;&gt;"N/A"),Config!$D$15&amp;"; ","")&amp;IF(AND($D103="Encerrado",Config!$D$16&lt;&gt;"",U103&lt;&gt;"Sim",U103&lt;&gt;"N/A"),Config!$D$16&amp;"; ","")&amp;IF(AND($D103="Encerrado",Config!$D$17&lt;&gt;"",V103&lt;&gt;"Sim",V103&lt;&gt;"N/A"),Config!$D$17&amp;"; ","")&amp;IF(AND($D103="Encerrado",Config!$D$18&lt;&gt;"",W103&lt;&gt;"Sim",W103&lt;&gt;"N/A"),Config!$D$18&amp;"; ","")&amp;IF(AND($D103="Encerrado",Config!$D$19&lt;&gt;"",X103&lt;&gt;"Sim",X103&lt;&gt;"N/A"),Config!$D$19&amp;"; ",""))</f>
        <v/>
      </c>
    </row>
    <row r="104">
      <c r="A104" s="29" t="n"/>
      <c r="B104" s="29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25">
        <f>IF(A104="","",IFERROR(COUNTIF(E104:N104,"Sim")/(Config!$B$21-COUNTIF(E104:N104,"N/A")),""))</f>
        <v/>
      </c>
      <c r="Z104" s="25">
        <f>IF(OR(A104="",D104&lt;&gt;"Encerrado"),"",IFERROR(COUNTIF(O104:X104,"Sim")/(Config!$D$21-COUNTIF(O104:X104,"N/A")),""))</f>
        <v/>
      </c>
      <c r="AA104" s="23">
        <f>IF(A104="","",MAX(0,Config!$B$21-COUNTIF(E104:N104,"Sim")-COUNTIF(E104:N104,"N/A")))</f>
        <v/>
      </c>
      <c r="AB104" s="23">
        <f>IF(OR(A104="",D104&lt;&gt;"Encerrado"),"",MAX(0,Config!$D$21-COUNTIF(O104:X104,"Sim")-COUNTIF(O104:X104,"N/A")))</f>
        <v/>
      </c>
      <c r="AC104" s="23">
        <f>IF(A104="","",AA104+IF(AB104="",0,AB104))</f>
        <v/>
      </c>
      <c r="AD104" s="24">
        <f>IF(OR(A104="",AF104=""),"",LEFT(AF104,LEN(AF104)-2))</f>
        <v/>
      </c>
      <c r="AE104" s="35">
        <f>IF(OR(A104="",AC104=0),0,AC104*100-ROW()/100000)</f>
        <v>0</v>
      </c>
      <c r="AF104" s="35">
        <f>IF(A104="","",IF(AND(Config!$B$10&lt;&gt;"",E104&lt;&gt;"Sim",E104&lt;&gt;"N/A"),Config!$B$10&amp;"; ","")&amp;IF(AND(Config!$B$11&lt;&gt;"",F104&lt;&gt;"Sim",F104&lt;&gt;"N/A"),Config!$B$11&amp;"; ","")&amp;IF(AND(Config!$B$12&lt;&gt;"",G104&lt;&gt;"Sim",G104&lt;&gt;"N/A"),Config!$B$12&amp;"; ","")&amp;IF(AND(Config!$B$13&lt;&gt;"",H104&lt;&gt;"Sim",H104&lt;&gt;"N/A"),Config!$B$13&amp;"; ","")&amp;IF(AND(Config!$B$14&lt;&gt;"",I104&lt;&gt;"Sim",I104&lt;&gt;"N/A"),Config!$B$14&amp;"; ","")&amp;IF(AND(Config!$B$15&lt;&gt;"",J104&lt;&gt;"Sim",J104&lt;&gt;"N/A"),Config!$B$15&amp;"; ","")&amp;IF(AND(Config!$B$16&lt;&gt;"",K104&lt;&gt;"Sim",K104&lt;&gt;"N/A"),Config!$B$16&amp;"; ","")&amp;IF(AND(Config!$B$17&lt;&gt;"",L104&lt;&gt;"Sim",L104&lt;&gt;"N/A"),Config!$B$17&amp;"; ","")&amp;IF(AND(Config!$B$18&lt;&gt;"",M104&lt;&gt;"Sim",M104&lt;&gt;"N/A"),Config!$B$18&amp;"; ","")&amp;IF(AND(Config!$B$19&lt;&gt;"",N104&lt;&gt;"Sim",N104&lt;&gt;"N/A"),Config!$B$19&amp;"; ","")&amp;IF(AND($D104="Encerrado",Config!$D$10&lt;&gt;"",O104&lt;&gt;"Sim",O104&lt;&gt;"N/A"),Config!$D$10&amp;"; ","")&amp;IF(AND($D104="Encerrado",Config!$D$11&lt;&gt;"",P104&lt;&gt;"Sim",P104&lt;&gt;"N/A"),Config!$D$11&amp;"; ","")&amp;IF(AND($D104="Encerrado",Config!$D$12&lt;&gt;"",Q104&lt;&gt;"Sim",Q104&lt;&gt;"N/A"),Config!$D$12&amp;"; ","")&amp;IF(AND($D104="Encerrado",Config!$D$13&lt;&gt;"",R104&lt;&gt;"Sim",R104&lt;&gt;"N/A"),Config!$D$13&amp;"; ","")&amp;IF(AND($D104="Encerrado",Config!$D$14&lt;&gt;"",S104&lt;&gt;"Sim",S104&lt;&gt;"N/A"),Config!$D$14&amp;"; ","")&amp;IF(AND($D104="Encerrado",Config!$D$15&lt;&gt;"",T104&lt;&gt;"Sim",T104&lt;&gt;"N/A"),Config!$D$15&amp;"; ","")&amp;IF(AND($D104="Encerrado",Config!$D$16&lt;&gt;"",U104&lt;&gt;"Sim",U104&lt;&gt;"N/A"),Config!$D$16&amp;"; ","")&amp;IF(AND($D104="Encerrado",Config!$D$17&lt;&gt;"",V104&lt;&gt;"Sim",V104&lt;&gt;"N/A"),Config!$D$17&amp;"; ","")&amp;IF(AND($D104="Encerrado",Config!$D$18&lt;&gt;"",W104&lt;&gt;"Sim",W104&lt;&gt;"N/A"),Config!$D$18&amp;"; ","")&amp;IF(AND($D104="Encerrado",Config!$D$19&lt;&gt;"",X104&lt;&gt;"Sim",X104&lt;&gt;"N/A"),Config!$D$19&amp;"; ",""))</f>
        <v/>
      </c>
    </row>
    <row r="105">
      <c r="A105" s="29" t="n"/>
      <c r="B105" s="29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25">
        <f>IF(A105="","",IFERROR(COUNTIF(E105:N105,"Sim")/(Config!$B$21-COUNTIF(E105:N105,"N/A")),""))</f>
        <v/>
      </c>
      <c r="Z105" s="25">
        <f>IF(OR(A105="",D105&lt;&gt;"Encerrado"),"",IFERROR(COUNTIF(O105:X105,"Sim")/(Config!$D$21-COUNTIF(O105:X105,"N/A")),""))</f>
        <v/>
      </c>
      <c r="AA105" s="23">
        <f>IF(A105="","",MAX(0,Config!$B$21-COUNTIF(E105:N105,"Sim")-COUNTIF(E105:N105,"N/A")))</f>
        <v/>
      </c>
      <c r="AB105" s="23">
        <f>IF(OR(A105="",D105&lt;&gt;"Encerrado"),"",MAX(0,Config!$D$21-COUNTIF(O105:X105,"Sim")-COUNTIF(O105:X105,"N/A")))</f>
        <v/>
      </c>
      <c r="AC105" s="23">
        <f>IF(A105="","",AA105+IF(AB105="",0,AB105))</f>
        <v/>
      </c>
      <c r="AD105" s="24">
        <f>IF(OR(A105="",AF105=""),"",LEFT(AF105,LEN(AF105)-2))</f>
        <v/>
      </c>
      <c r="AE105" s="35">
        <f>IF(OR(A105="",AC105=0),0,AC105*100-ROW()/100000)</f>
        <v>0</v>
      </c>
      <c r="AF105" s="35">
        <f>IF(A105="","",IF(AND(Config!$B$10&lt;&gt;"",E105&lt;&gt;"Sim",E105&lt;&gt;"N/A"),Config!$B$10&amp;"; ","")&amp;IF(AND(Config!$B$11&lt;&gt;"",F105&lt;&gt;"Sim",F105&lt;&gt;"N/A"),Config!$B$11&amp;"; ","")&amp;IF(AND(Config!$B$12&lt;&gt;"",G105&lt;&gt;"Sim",G105&lt;&gt;"N/A"),Config!$B$12&amp;"; ","")&amp;IF(AND(Config!$B$13&lt;&gt;"",H105&lt;&gt;"Sim",H105&lt;&gt;"N/A"),Config!$B$13&amp;"; ","")&amp;IF(AND(Config!$B$14&lt;&gt;"",I105&lt;&gt;"Sim",I105&lt;&gt;"N/A"),Config!$B$14&amp;"; ","")&amp;IF(AND(Config!$B$15&lt;&gt;"",J105&lt;&gt;"Sim",J105&lt;&gt;"N/A"),Config!$B$15&amp;"; ","")&amp;IF(AND(Config!$B$16&lt;&gt;"",K105&lt;&gt;"Sim",K105&lt;&gt;"N/A"),Config!$B$16&amp;"; ","")&amp;IF(AND(Config!$B$17&lt;&gt;"",L105&lt;&gt;"Sim",L105&lt;&gt;"N/A"),Config!$B$17&amp;"; ","")&amp;IF(AND(Config!$B$18&lt;&gt;"",M105&lt;&gt;"Sim",M105&lt;&gt;"N/A"),Config!$B$18&amp;"; ","")&amp;IF(AND(Config!$B$19&lt;&gt;"",N105&lt;&gt;"Sim",N105&lt;&gt;"N/A"),Config!$B$19&amp;"; ","")&amp;IF(AND($D105="Encerrado",Config!$D$10&lt;&gt;"",O105&lt;&gt;"Sim",O105&lt;&gt;"N/A"),Config!$D$10&amp;"; ","")&amp;IF(AND($D105="Encerrado",Config!$D$11&lt;&gt;"",P105&lt;&gt;"Sim",P105&lt;&gt;"N/A"),Config!$D$11&amp;"; ","")&amp;IF(AND($D105="Encerrado",Config!$D$12&lt;&gt;"",Q105&lt;&gt;"Sim",Q105&lt;&gt;"N/A"),Config!$D$12&amp;"; ","")&amp;IF(AND($D105="Encerrado",Config!$D$13&lt;&gt;"",R105&lt;&gt;"Sim",R105&lt;&gt;"N/A"),Config!$D$13&amp;"; ","")&amp;IF(AND($D105="Encerrado",Config!$D$14&lt;&gt;"",S105&lt;&gt;"Sim",S105&lt;&gt;"N/A"),Config!$D$14&amp;"; ","")&amp;IF(AND($D105="Encerrado",Config!$D$15&lt;&gt;"",T105&lt;&gt;"Sim",T105&lt;&gt;"N/A"),Config!$D$15&amp;"; ","")&amp;IF(AND($D105="Encerrado",Config!$D$16&lt;&gt;"",U105&lt;&gt;"Sim",U105&lt;&gt;"N/A"),Config!$D$16&amp;"; ","")&amp;IF(AND($D105="Encerrado",Config!$D$17&lt;&gt;"",V105&lt;&gt;"Sim",V105&lt;&gt;"N/A"),Config!$D$17&amp;"; ","")&amp;IF(AND($D105="Encerrado",Config!$D$18&lt;&gt;"",W105&lt;&gt;"Sim",W105&lt;&gt;"N/A"),Config!$D$18&amp;"; ","")&amp;IF(AND($D105="Encerrado",Config!$D$19&lt;&gt;"",X105&lt;&gt;"Sim",X105&lt;&gt;"N/A"),Config!$D$19&amp;"; ",""))</f>
        <v/>
      </c>
    </row>
    <row r="106">
      <c r="A106" s="29" t="n"/>
      <c r="B106" s="29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25">
        <f>IF(A106="","",IFERROR(COUNTIF(E106:N106,"Sim")/(Config!$B$21-COUNTIF(E106:N106,"N/A")),""))</f>
        <v/>
      </c>
      <c r="Z106" s="25">
        <f>IF(OR(A106="",D106&lt;&gt;"Encerrado"),"",IFERROR(COUNTIF(O106:X106,"Sim")/(Config!$D$21-COUNTIF(O106:X106,"N/A")),""))</f>
        <v/>
      </c>
      <c r="AA106" s="23">
        <f>IF(A106="","",MAX(0,Config!$B$21-COUNTIF(E106:N106,"Sim")-COUNTIF(E106:N106,"N/A")))</f>
        <v/>
      </c>
      <c r="AB106" s="23">
        <f>IF(OR(A106="",D106&lt;&gt;"Encerrado"),"",MAX(0,Config!$D$21-COUNTIF(O106:X106,"Sim")-COUNTIF(O106:X106,"N/A")))</f>
        <v/>
      </c>
      <c r="AC106" s="23">
        <f>IF(A106="","",AA106+IF(AB106="",0,AB106))</f>
        <v/>
      </c>
      <c r="AD106" s="24">
        <f>IF(OR(A106="",AF106=""),"",LEFT(AF106,LEN(AF106)-2))</f>
        <v/>
      </c>
      <c r="AE106" s="35">
        <f>IF(OR(A106="",AC106=0),0,AC106*100-ROW()/100000)</f>
        <v>0</v>
      </c>
      <c r="AF106" s="35">
        <f>IF(A106="","",IF(AND(Config!$B$10&lt;&gt;"",E106&lt;&gt;"Sim",E106&lt;&gt;"N/A"),Config!$B$10&amp;"; ","")&amp;IF(AND(Config!$B$11&lt;&gt;"",F106&lt;&gt;"Sim",F106&lt;&gt;"N/A"),Config!$B$11&amp;"; ","")&amp;IF(AND(Config!$B$12&lt;&gt;"",G106&lt;&gt;"Sim",G106&lt;&gt;"N/A"),Config!$B$12&amp;"; ","")&amp;IF(AND(Config!$B$13&lt;&gt;"",H106&lt;&gt;"Sim",H106&lt;&gt;"N/A"),Config!$B$13&amp;"; ","")&amp;IF(AND(Config!$B$14&lt;&gt;"",I106&lt;&gt;"Sim",I106&lt;&gt;"N/A"),Config!$B$14&amp;"; ","")&amp;IF(AND(Config!$B$15&lt;&gt;"",J106&lt;&gt;"Sim",J106&lt;&gt;"N/A"),Config!$B$15&amp;"; ","")&amp;IF(AND(Config!$B$16&lt;&gt;"",K106&lt;&gt;"Sim",K106&lt;&gt;"N/A"),Config!$B$16&amp;"; ","")&amp;IF(AND(Config!$B$17&lt;&gt;"",L106&lt;&gt;"Sim",L106&lt;&gt;"N/A"),Config!$B$17&amp;"; ","")&amp;IF(AND(Config!$B$18&lt;&gt;"",M106&lt;&gt;"Sim",M106&lt;&gt;"N/A"),Config!$B$18&amp;"; ","")&amp;IF(AND(Config!$B$19&lt;&gt;"",N106&lt;&gt;"Sim",N106&lt;&gt;"N/A"),Config!$B$19&amp;"; ","")&amp;IF(AND($D106="Encerrado",Config!$D$10&lt;&gt;"",O106&lt;&gt;"Sim",O106&lt;&gt;"N/A"),Config!$D$10&amp;"; ","")&amp;IF(AND($D106="Encerrado",Config!$D$11&lt;&gt;"",P106&lt;&gt;"Sim",P106&lt;&gt;"N/A"),Config!$D$11&amp;"; ","")&amp;IF(AND($D106="Encerrado",Config!$D$12&lt;&gt;"",Q106&lt;&gt;"Sim",Q106&lt;&gt;"N/A"),Config!$D$12&amp;"; ","")&amp;IF(AND($D106="Encerrado",Config!$D$13&lt;&gt;"",R106&lt;&gt;"Sim",R106&lt;&gt;"N/A"),Config!$D$13&amp;"; ","")&amp;IF(AND($D106="Encerrado",Config!$D$14&lt;&gt;"",S106&lt;&gt;"Sim",S106&lt;&gt;"N/A"),Config!$D$14&amp;"; ","")&amp;IF(AND($D106="Encerrado",Config!$D$15&lt;&gt;"",T106&lt;&gt;"Sim",T106&lt;&gt;"N/A"),Config!$D$15&amp;"; ","")&amp;IF(AND($D106="Encerrado",Config!$D$16&lt;&gt;"",U106&lt;&gt;"Sim",U106&lt;&gt;"N/A"),Config!$D$16&amp;"; ","")&amp;IF(AND($D106="Encerrado",Config!$D$17&lt;&gt;"",V106&lt;&gt;"Sim",V106&lt;&gt;"N/A"),Config!$D$17&amp;"; ","")&amp;IF(AND($D106="Encerrado",Config!$D$18&lt;&gt;"",W106&lt;&gt;"Sim",W106&lt;&gt;"N/A"),Config!$D$18&amp;"; ","")&amp;IF(AND($D106="Encerrado",Config!$D$19&lt;&gt;"",X106&lt;&gt;"Sim",X106&lt;&gt;"N/A"),Config!$D$19&amp;"; ",""))</f>
        <v/>
      </c>
    </row>
    <row r="107">
      <c r="A107" s="29" t="n"/>
      <c r="B107" s="29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25">
        <f>IF(A107="","",IFERROR(COUNTIF(E107:N107,"Sim")/(Config!$B$21-COUNTIF(E107:N107,"N/A")),""))</f>
        <v/>
      </c>
      <c r="Z107" s="25">
        <f>IF(OR(A107="",D107&lt;&gt;"Encerrado"),"",IFERROR(COUNTIF(O107:X107,"Sim")/(Config!$D$21-COUNTIF(O107:X107,"N/A")),""))</f>
        <v/>
      </c>
      <c r="AA107" s="23">
        <f>IF(A107="","",MAX(0,Config!$B$21-COUNTIF(E107:N107,"Sim")-COUNTIF(E107:N107,"N/A")))</f>
        <v/>
      </c>
      <c r="AB107" s="23">
        <f>IF(OR(A107="",D107&lt;&gt;"Encerrado"),"",MAX(0,Config!$D$21-COUNTIF(O107:X107,"Sim")-COUNTIF(O107:X107,"N/A")))</f>
        <v/>
      </c>
      <c r="AC107" s="23">
        <f>IF(A107="","",AA107+IF(AB107="",0,AB107))</f>
        <v/>
      </c>
      <c r="AD107" s="24">
        <f>IF(OR(A107="",AF107=""),"",LEFT(AF107,LEN(AF107)-2))</f>
        <v/>
      </c>
      <c r="AE107" s="35">
        <f>IF(OR(A107="",AC107=0),0,AC107*100-ROW()/100000)</f>
        <v>0</v>
      </c>
      <c r="AF107" s="35">
        <f>IF(A107="","",IF(AND(Config!$B$10&lt;&gt;"",E107&lt;&gt;"Sim",E107&lt;&gt;"N/A"),Config!$B$10&amp;"; ","")&amp;IF(AND(Config!$B$11&lt;&gt;"",F107&lt;&gt;"Sim",F107&lt;&gt;"N/A"),Config!$B$11&amp;"; ","")&amp;IF(AND(Config!$B$12&lt;&gt;"",G107&lt;&gt;"Sim",G107&lt;&gt;"N/A"),Config!$B$12&amp;"; ","")&amp;IF(AND(Config!$B$13&lt;&gt;"",H107&lt;&gt;"Sim",H107&lt;&gt;"N/A"),Config!$B$13&amp;"; ","")&amp;IF(AND(Config!$B$14&lt;&gt;"",I107&lt;&gt;"Sim",I107&lt;&gt;"N/A"),Config!$B$14&amp;"; ","")&amp;IF(AND(Config!$B$15&lt;&gt;"",J107&lt;&gt;"Sim",J107&lt;&gt;"N/A"),Config!$B$15&amp;"; ","")&amp;IF(AND(Config!$B$16&lt;&gt;"",K107&lt;&gt;"Sim",K107&lt;&gt;"N/A"),Config!$B$16&amp;"; ","")&amp;IF(AND(Config!$B$17&lt;&gt;"",L107&lt;&gt;"Sim",L107&lt;&gt;"N/A"),Config!$B$17&amp;"; ","")&amp;IF(AND(Config!$B$18&lt;&gt;"",M107&lt;&gt;"Sim",M107&lt;&gt;"N/A"),Config!$B$18&amp;"; ","")&amp;IF(AND(Config!$B$19&lt;&gt;"",N107&lt;&gt;"Sim",N107&lt;&gt;"N/A"),Config!$B$19&amp;"; ","")&amp;IF(AND($D107="Encerrado",Config!$D$10&lt;&gt;"",O107&lt;&gt;"Sim",O107&lt;&gt;"N/A"),Config!$D$10&amp;"; ","")&amp;IF(AND($D107="Encerrado",Config!$D$11&lt;&gt;"",P107&lt;&gt;"Sim",P107&lt;&gt;"N/A"),Config!$D$11&amp;"; ","")&amp;IF(AND($D107="Encerrado",Config!$D$12&lt;&gt;"",Q107&lt;&gt;"Sim",Q107&lt;&gt;"N/A"),Config!$D$12&amp;"; ","")&amp;IF(AND($D107="Encerrado",Config!$D$13&lt;&gt;"",R107&lt;&gt;"Sim",R107&lt;&gt;"N/A"),Config!$D$13&amp;"; ","")&amp;IF(AND($D107="Encerrado",Config!$D$14&lt;&gt;"",S107&lt;&gt;"Sim",S107&lt;&gt;"N/A"),Config!$D$14&amp;"; ","")&amp;IF(AND($D107="Encerrado",Config!$D$15&lt;&gt;"",T107&lt;&gt;"Sim",T107&lt;&gt;"N/A"),Config!$D$15&amp;"; ","")&amp;IF(AND($D107="Encerrado",Config!$D$16&lt;&gt;"",U107&lt;&gt;"Sim",U107&lt;&gt;"N/A"),Config!$D$16&amp;"; ","")&amp;IF(AND($D107="Encerrado",Config!$D$17&lt;&gt;"",V107&lt;&gt;"Sim",V107&lt;&gt;"N/A"),Config!$D$17&amp;"; ","")&amp;IF(AND($D107="Encerrado",Config!$D$18&lt;&gt;"",W107&lt;&gt;"Sim",W107&lt;&gt;"N/A"),Config!$D$18&amp;"; ","")&amp;IF(AND($D107="Encerrado",Config!$D$19&lt;&gt;"",X107&lt;&gt;"Sim",X107&lt;&gt;"N/A"),Config!$D$19&amp;"; ",""))</f>
        <v/>
      </c>
    </row>
    <row r="108">
      <c r="A108" s="29" t="n"/>
      <c r="B108" s="29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25">
        <f>IF(A108="","",IFERROR(COUNTIF(E108:N108,"Sim")/(Config!$B$21-COUNTIF(E108:N108,"N/A")),""))</f>
        <v/>
      </c>
      <c r="Z108" s="25">
        <f>IF(OR(A108="",D108&lt;&gt;"Encerrado"),"",IFERROR(COUNTIF(O108:X108,"Sim")/(Config!$D$21-COUNTIF(O108:X108,"N/A")),""))</f>
        <v/>
      </c>
      <c r="AA108" s="23">
        <f>IF(A108="","",MAX(0,Config!$B$21-COUNTIF(E108:N108,"Sim")-COUNTIF(E108:N108,"N/A")))</f>
        <v/>
      </c>
      <c r="AB108" s="23">
        <f>IF(OR(A108="",D108&lt;&gt;"Encerrado"),"",MAX(0,Config!$D$21-COUNTIF(O108:X108,"Sim")-COUNTIF(O108:X108,"N/A")))</f>
        <v/>
      </c>
      <c r="AC108" s="23">
        <f>IF(A108="","",AA108+IF(AB108="",0,AB108))</f>
        <v/>
      </c>
      <c r="AD108" s="24">
        <f>IF(OR(A108="",AF108=""),"",LEFT(AF108,LEN(AF108)-2))</f>
        <v/>
      </c>
      <c r="AE108" s="35">
        <f>IF(OR(A108="",AC108=0),0,AC108*100-ROW()/100000)</f>
        <v>0</v>
      </c>
      <c r="AF108" s="35">
        <f>IF(A108="","",IF(AND(Config!$B$10&lt;&gt;"",E108&lt;&gt;"Sim",E108&lt;&gt;"N/A"),Config!$B$10&amp;"; ","")&amp;IF(AND(Config!$B$11&lt;&gt;"",F108&lt;&gt;"Sim",F108&lt;&gt;"N/A"),Config!$B$11&amp;"; ","")&amp;IF(AND(Config!$B$12&lt;&gt;"",G108&lt;&gt;"Sim",G108&lt;&gt;"N/A"),Config!$B$12&amp;"; ","")&amp;IF(AND(Config!$B$13&lt;&gt;"",H108&lt;&gt;"Sim",H108&lt;&gt;"N/A"),Config!$B$13&amp;"; ","")&amp;IF(AND(Config!$B$14&lt;&gt;"",I108&lt;&gt;"Sim",I108&lt;&gt;"N/A"),Config!$B$14&amp;"; ","")&amp;IF(AND(Config!$B$15&lt;&gt;"",J108&lt;&gt;"Sim",J108&lt;&gt;"N/A"),Config!$B$15&amp;"; ","")&amp;IF(AND(Config!$B$16&lt;&gt;"",K108&lt;&gt;"Sim",K108&lt;&gt;"N/A"),Config!$B$16&amp;"; ","")&amp;IF(AND(Config!$B$17&lt;&gt;"",L108&lt;&gt;"Sim",L108&lt;&gt;"N/A"),Config!$B$17&amp;"; ","")&amp;IF(AND(Config!$B$18&lt;&gt;"",M108&lt;&gt;"Sim",M108&lt;&gt;"N/A"),Config!$B$18&amp;"; ","")&amp;IF(AND(Config!$B$19&lt;&gt;"",N108&lt;&gt;"Sim",N108&lt;&gt;"N/A"),Config!$B$19&amp;"; ","")&amp;IF(AND($D108="Encerrado",Config!$D$10&lt;&gt;"",O108&lt;&gt;"Sim",O108&lt;&gt;"N/A"),Config!$D$10&amp;"; ","")&amp;IF(AND($D108="Encerrado",Config!$D$11&lt;&gt;"",P108&lt;&gt;"Sim",P108&lt;&gt;"N/A"),Config!$D$11&amp;"; ","")&amp;IF(AND($D108="Encerrado",Config!$D$12&lt;&gt;"",Q108&lt;&gt;"Sim",Q108&lt;&gt;"N/A"),Config!$D$12&amp;"; ","")&amp;IF(AND($D108="Encerrado",Config!$D$13&lt;&gt;"",R108&lt;&gt;"Sim",R108&lt;&gt;"N/A"),Config!$D$13&amp;"; ","")&amp;IF(AND($D108="Encerrado",Config!$D$14&lt;&gt;"",S108&lt;&gt;"Sim",S108&lt;&gt;"N/A"),Config!$D$14&amp;"; ","")&amp;IF(AND($D108="Encerrado",Config!$D$15&lt;&gt;"",T108&lt;&gt;"Sim",T108&lt;&gt;"N/A"),Config!$D$15&amp;"; ","")&amp;IF(AND($D108="Encerrado",Config!$D$16&lt;&gt;"",U108&lt;&gt;"Sim",U108&lt;&gt;"N/A"),Config!$D$16&amp;"; ","")&amp;IF(AND($D108="Encerrado",Config!$D$17&lt;&gt;"",V108&lt;&gt;"Sim",V108&lt;&gt;"N/A"),Config!$D$17&amp;"; ","")&amp;IF(AND($D108="Encerrado",Config!$D$18&lt;&gt;"",W108&lt;&gt;"Sim",W108&lt;&gt;"N/A"),Config!$D$18&amp;"; ","")&amp;IF(AND($D108="Encerrado",Config!$D$19&lt;&gt;"",X108&lt;&gt;"Sim",X108&lt;&gt;"N/A"),Config!$D$19&amp;"; ",""))</f>
        <v/>
      </c>
    </row>
    <row r="109">
      <c r="A109" s="29" t="n"/>
      <c r="B109" s="29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25">
        <f>IF(A109="","",IFERROR(COUNTIF(E109:N109,"Sim")/(Config!$B$21-COUNTIF(E109:N109,"N/A")),""))</f>
        <v/>
      </c>
      <c r="Z109" s="25">
        <f>IF(OR(A109="",D109&lt;&gt;"Encerrado"),"",IFERROR(COUNTIF(O109:X109,"Sim")/(Config!$D$21-COUNTIF(O109:X109,"N/A")),""))</f>
        <v/>
      </c>
      <c r="AA109" s="23">
        <f>IF(A109="","",MAX(0,Config!$B$21-COUNTIF(E109:N109,"Sim")-COUNTIF(E109:N109,"N/A")))</f>
        <v/>
      </c>
      <c r="AB109" s="23">
        <f>IF(OR(A109="",D109&lt;&gt;"Encerrado"),"",MAX(0,Config!$D$21-COUNTIF(O109:X109,"Sim")-COUNTIF(O109:X109,"N/A")))</f>
        <v/>
      </c>
      <c r="AC109" s="23">
        <f>IF(A109="","",AA109+IF(AB109="",0,AB109))</f>
        <v/>
      </c>
      <c r="AD109" s="24">
        <f>IF(OR(A109="",AF109=""),"",LEFT(AF109,LEN(AF109)-2))</f>
        <v/>
      </c>
      <c r="AE109" s="35">
        <f>IF(OR(A109="",AC109=0),0,AC109*100-ROW()/100000)</f>
        <v>0</v>
      </c>
      <c r="AF109" s="35">
        <f>IF(A109="","",IF(AND(Config!$B$10&lt;&gt;"",E109&lt;&gt;"Sim",E109&lt;&gt;"N/A"),Config!$B$10&amp;"; ","")&amp;IF(AND(Config!$B$11&lt;&gt;"",F109&lt;&gt;"Sim",F109&lt;&gt;"N/A"),Config!$B$11&amp;"; ","")&amp;IF(AND(Config!$B$12&lt;&gt;"",G109&lt;&gt;"Sim",G109&lt;&gt;"N/A"),Config!$B$12&amp;"; ","")&amp;IF(AND(Config!$B$13&lt;&gt;"",H109&lt;&gt;"Sim",H109&lt;&gt;"N/A"),Config!$B$13&amp;"; ","")&amp;IF(AND(Config!$B$14&lt;&gt;"",I109&lt;&gt;"Sim",I109&lt;&gt;"N/A"),Config!$B$14&amp;"; ","")&amp;IF(AND(Config!$B$15&lt;&gt;"",J109&lt;&gt;"Sim",J109&lt;&gt;"N/A"),Config!$B$15&amp;"; ","")&amp;IF(AND(Config!$B$16&lt;&gt;"",K109&lt;&gt;"Sim",K109&lt;&gt;"N/A"),Config!$B$16&amp;"; ","")&amp;IF(AND(Config!$B$17&lt;&gt;"",L109&lt;&gt;"Sim",L109&lt;&gt;"N/A"),Config!$B$17&amp;"; ","")&amp;IF(AND(Config!$B$18&lt;&gt;"",M109&lt;&gt;"Sim",M109&lt;&gt;"N/A"),Config!$B$18&amp;"; ","")&amp;IF(AND(Config!$B$19&lt;&gt;"",N109&lt;&gt;"Sim",N109&lt;&gt;"N/A"),Config!$B$19&amp;"; ","")&amp;IF(AND($D109="Encerrado",Config!$D$10&lt;&gt;"",O109&lt;&gt;"Sim",O109&lt;&gt;"N/A"),Config!$D$10&amp;"; ","")&amp;IF(AND($D109="Encerrado",Config!$D$11&lt;&gt;"",P109&lt;&gt;"Sim",P109&lt;&gt;"N/A"),Config!$D$11&amp;"; ","")&amp;IF(AND($D109="Encerrado",Config!$D$12&lt;&gt;"",Q109&lt;&gt;"Sim",Q109&lt;&gt;"N/A"),Config!$D$12&amp;"; ","")&amp;IF(AND($D109="Encerrado",Config!$D$13&lt;&gt;"",R109&lt;&gt;"Sim",R109&lt;&gt;"N/A"),Config!$D$13&amp;"; ","")&amp;IF(AND($D109="Encerrado",Config!$D$14&lt;&gt;"",S109&lt;&gt;"Sim",S109&lt;&gt;"N/A"),Config!$D$14&amp;"; ","")&amp;IF(AND($D109="Encerrado",Config!$D$15&lt;&gt;"",T109&lt;&gt;"Sim",T109&lt;&gt;"N/A"),Config!$D$15&amp;"; ","")&amp;IF(AND($D109="Encerrado",Config!$D$16&lt;&gt;"",U109&lt;&gt;"Sim",U109&lt;&gt;"N/A"),Config!$D$16&amp;"; ","")&amp;IF(AND($D109="Encerrado",Config!$D$17&lt;&gt;"",V109&lt;&gt;"Sim",V109&lt;&gt;"N/A"),Config!$D$17&amp;"; ","")&amp;IF(AND($D109="Encerrado",Config!$D$18&lt;&gt;"",W109&lt;&gt;"Sim",W109&lt;&gt;"N/A"),Config!$D$18&amp;"; ","")&amp;IF(AND($D109="Encerrado",Config!$D$19&lt;&gt;"",X109&lt;&gt;"Sim",X109&lt;&gt;"N/A"),Config!$D$19&amp;"; ",""))</f>
        <v/>
      </c>
    </row>
    <row r="110">
      <c r="A110" s="29" t="n"/>
      <c r="B110" s="29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25">
        <f>IF(A110="","",IFERROR(COUNTIF(E110:N110,"Sim")/(Config!$B$21-COUNTIF(E110:N110,"N/A")),""))</f>
        <v/>
      </c>
      <c r="Z110" s="25">
        <f>IF(OR(A110="",D110&lt;&gt;"Encerrado"),"",IFERROR(COUNTIF(O110:X110,"Sim")/(Config!$D$21-COUNTIF(O110:X110,"N/A")),""))</f>
        <v/>
      </c>
      <c r="AA110" s="23">
        <f>IF(A110="","",MAX(0,Config!$B$21-COUNTIF(E110:N110,"Sim")-COUNTIF(E110:N110,"N/A")))</f>
        <v/>
      </c>
      <c r="AB110" s="23">
        <f>IF(OR(A110="",D110&lt;&gt;"Encerrado"),"",MAX(0,Config!$D$21-COUNTIF(O110:X110,"Sim")-COUNTIF(O110:X110,"N/A")))</f>
        <v/>
      </c>
      <c r="AC110" s="23">
        <f>IF(A110="","",AA110+IF(AB110="",0,AB110))</f>
        <v/>
      </c>
      <c r="AD110" s="24">
        <f>IF(OR(A110="",AF110=""),"",LEFT(AF110,LEN(AF110)-2))</f>
        <v/>
      </c>
      <c r="AE110" s="35">
        <f>IF(OR(A110="",AC110=0),0,AC110*100-ROW()/100000)</f>
        <v>0</v>
      </c>
      <c r="AF110" s="35">
        <f>IF(A110="","",IF(AND(Config!$B$10&lt;&gt;"",E110&lt;&gt;"Sim",E110&lt;&gt;"N/A"),Config!$B$10&amp;"; ","")&amp;IF(AND(Config!$B$11&lt;&gt;"",F110&lt;&gt;"Sim",F110&lt;&gt;"N/A"),Config!$B$11&amp;"; ","")&amp;IF(AND(Config!$B$12&lt;&gt;"",G110&lt;&gt;"Sim",G110&lt;&gt;"N/A"),Config!$B$12&amp;"; ","")&amp;IF(AND(Config!$B$13&lt;&gt;"",H110&lt;&gt;"Sim",H110&lt;&gt;"N/A"),Config!$B$13&amp;"; ","")&amp;IF(AND(Config!$B$14&lt;&gt;"",I110&lt;&gt;"Sim",I110&lt;&gt;"N/A"),Config!$B$14&amp;"; ","")&amp;IF(AND(Config!$B$15&lt;&gt;"",J110&lt;&gt;"Sim",J110&lt;&gt;"N/A"),Config!$B$15&amp;"; ","")&amp;IF(AND(Config!$B$16&lt;&gt;"",K110&lt;&gt;"Sim",K110&lt;&gt;"N/A"),Config!$B$16&amp;"; ","")&amp;IF(AND(Config!$B$17&lt;&gt;"",L110&lt;&gt;"Sim",L110&lt;&gt;"N/A"),Config!$B$17&amp;"; ","")&amp;IF(AND(Config!$B$18&lt;&gt;"",M110&lt;&gt;"Sim",M110&lt;&gt;"N/A"),Config!$B$18&amp;"; ","")&amp;IF(AND(Config!$B$19&lt;&gt;"",N110&lt;&gt;"Sim",N110&lt;&gt;"N/A"),Config!$B$19&amp;"; ","")&amp;IF(AND($D110="Encerrado",Config!$D$10&lt;&gt;"",O110&lt;&gt;"Sim",O110&lt;&gt;"N/A"),Config!$D$10&amp;"; ","")&amp;IF(AND($D110="Encerrado",Config!$D$11&lt;&gt;"",P110&lt;&gt;"Sim",P110&lt;&gt;"N/A"),Config!$D$11&amp;"; ","")&amp;IF(AND($D110="Encerrado",Config!$D$12&lt;&gt;"",Q110&lt;&gt;"Sim",Q110&lt;&gt;"N/A"),Config!$D$12&amp;"; ","")&amp;IF(AND($D110="Encerrado",Config!$D$13&lt;&gt;"",R110&lt;&gt;"Sim",R110&lt;&gt;"N/A"),Config!$D$13&amp;"; ","")&amp;IF(AND($D110="Encerrado",Config!$D$14&lt;&gt;"",S110&lt;&gt;"Sim",S110&lt;&gt;"N/A"),Config!$D$14&amp;"; ","")&amp;IF(AND($D110="Encerrado",Config!$D$15&lt;&gt;"",T110&lt;&gt;"Sim",T110&lt;&gt;"N/A"),Config!$D$15&amp;"; ","")&amp;IF(AND($D110="Encerrado",Config!$D$16&lt;&gt;"",U110&lt;&gt;"Sim",U110&lt;&gt;"N/A"),Config!$D$16&amp;"; ","")&amp;IF(AND($D110="Encerrado",Config!$D$17&lt;&gt;"",V110&lt;&gt;"Sim",V110&lt;&gt;"N/A"),Config!$D$17&amp;"; ","")&amp;IF(AND($D110="Encerrado",Config!$D$18&lt;&gt;"",W110&lt;&gt;"Sim",W110&lt;&gt;"N/A"),Config!$D$18&amp;"; ","")&amp;IF(AND($D110="Encerrado",Config!$D$19&lt;&gt;"",X110&lt;&gt;"Sim",X110&lt;&gt;"N/A"),Config!$D$19&amp;"; ",""))</f>
        <v/>
      </c>
    </row>
    <row r="111">
      <c r="A111" s="29" t="n"/>
      <c r="B111" s="29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25">
        <f>IF(A111="","",IFERROR(COUNTIF(E111:N111,"Sim")/(Config!$B$21-COUNTIF(E111:N111,"N/A")),""))</f>
        <v/>
      </c>
      <c r="Z111" s="25">
        <f>IF(OR(A111="",D111&lt;&gt;"Encerrado"),"",IFERROR(COUNTIF(O111:X111,"Sim")/(Config!$D$21-COUNTIF(O111:X111,"N/A")),""))</f>
        <v/>
      </c>
      <c r="AA111" s="23">
        <f>IF(A111="","",MAX(0,Config!$B$21-COUNTIF(E111:N111,"Sim")-COUNTIF(E111:N111,"N/A")))</f>
        <v/>
      </c>
      <c r="AB111" s="23">
        <f>IF(OR(A111="",D111&lt;&gt;"Encerrado"),"",MAX(0,Config!$D$21-COUNTIF(O111:X111,"Sim")-COUNTIF(O111:X111,"N/A")))</f>
        <v/>
      </c>
      <c r="AC111" s="23">
        <f>IF(A111="","",AA111+IF(AB111="",0,AB111))</f>
        <v/>
      </c>
      <c r="AD111" s="24">
        <f>IF(OR(A111="",AF111=""),"",LEFT(AF111,LEN(AF111)-2))</f>
        <v/>
      </c>
      <c r="AE111" s="35">
        <f>IF(OR(A111="",AC111=0),0,AC111*100-ROW()/100000)</f>
        <v>0</v>
      </c>
      <c r="AF111" s="35">
        <f>IF(A111="","",IF(AND(Config!$B$10&lt;&gt;"",E111&lt;&gt;"Sim",E111&lt;&gt;"N/A"),Config!$B$10&amp;"; ","")&amp;IF(AND(Config!$B$11&lt;&gt;"",F111&lt;&gt;"Sim",F111&lt;&gt;"N/A"),Config!$B$11&amp;"; ","")&amp;IF(AND(Config!$B$12&lt;&gt;"",G111&lt;&gt;"Sim",G111&lt;&gt;"N/A"),Config!$B$12&amp;"; ","")&amp;IF(AND(Config!$B$13&lt;&gt;"",H111&lt;&gt;"Sim",H111&lt;&gt;"N/A"),Config!$B$13&amp;"; ","")&amp;IF(AND(Config!$B$14&lt;&gt;"",I111&lt;&gt;"Sim",I111&lt;&gt;"N/A"),Config!$B$14&amp;"; ","")&amp;IF(AND(Config!$B$15&lt;&gt;"",J111&lt;&gt;"Sim",J111&lt;&gt;"N/A"),Config!$B$15&amp;"; ","")&amp;IF(AND(Config!$B$16&lt;&gt;"",K111&lt;&gt;"Sim",K111&lt;&gt;"N/A"),Config!$B$16&amp;"; ","")&amp;IF(AND(Config!$B$17&lt;&gt;"",L111&lt;&gt;"Sim",L111&lt;&gt;"N/A"),Config!$B$17&amp;"; ","")&amp;IF(AND(Config!$B$18&lt;&gt;"",M111&lt;&gt;"Sim",M111&lt;&gt;"N/A"),Config!$B$18&amp;"; ","")&amp;IF(AND(Config!$B$19&lt;&gt;"",N111&lt;&gt;"Sim",N111&lt;&gt;"N/A"),Config!$B$19&amp;"; ","")&amp;IF(AND($D111="Encerrado",Config!$D$10&lt;&gt;"",O111&lt;&gt;"Sim",O111&lt;&gt;"N/A"),Config!$D$10&amp;"; ","")&amp;IF(AND($D111="Encerrado",Config!$D$11&lt;&gt;"",P111&lt;&gt;"Sim",P111&lt;&gt;"N/A"),Config!$D$11&amp;"; ","")&amp;IF(AND($D111="Encerrado",Config!$D$12&lt;&gt;"",Q111&lt;&gt;"Sim",Q111&lt;&gt;"N/A"),Config!$D$12&amp;"; ","")&amp;IF(AND($D111="Encerrado",Config!$D$13&lt;&gt;"",R111&lt;&gt;"Sim",R111&lt;&gt;"N/A"),Config!$D$13&amp;"; ","")&amp;IF(AND($D111="Encerrado",Config!$D$14&lt;&gt;"",S111&lt;&gt;"Sim",S111&lt;&gt;"N/A"),Config!$D$14&amp;"; ","")&amp;IF(AND($D111="Encerrado",Config!$D$15&lt;&gt;"",T111&lt;&gt;"Sim",T111&lt;&gt;"N/A"),Config!$D$15&amp;"; ","")&amp;IF(AND($D111="Encerrado",Config!$D$16&lt;&gt;"",U111&lt;&gt;"Sim",U111&lt;&gt;"N/A"),Config!$D$16&amp;"; ","")&amp;IF(AND($D111="Encerrado",Config!$D$17&lt;&gt;"",V111&lt;&gt;"Sim",V111&lt;&gt;"N/A"),Config!$D$17&amp;"; ","")&amp;IF(AND($D111="Encerrado",Config!$D$18&lt;&gt;"",W111&lt;&gt;"Sim",W111&lt;&gt;"N/A"),Config!$D$18&amp;"; ","")&amp;IF(AND($D111="Encerrado",Config!$D$19&lt;&gt;"",X111&lt;&gt;"Sim",X111&lt;&gt;"N/A"),Config!$D$19&amp;"; ",""))</f>
        <v/>
      </c>
    </row>
    <row r="112">
      <c r="A112" s="29" t="n"/>
      <c r="B112" s="29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25">
        <f>IF(A112="","",IFERROR(COUNTIF(E112:N112,"Sim")/(Config!$B$21-COUNTIF(E112:N112,"N/A")),""))</f>
        <v/>
      </c>
      <c r="Z112" s="25">
        <f>IF(OR(A112="",D112&lt;&gt;"Encerrado"),"",IFERROR(COUNTIF(O112:X112,"Sim")/(Config!$D$21-COUNTIF(O112:X112,"N/A")),""))</f>
        <v/>
      </c>
      <c r="AA112" s="23">
        <f>IF(A112="","",MAX(0,Config!$B$21-COUNTIF(E112:N112,"Sim")-COUNTIF(E112:N112,"N/A")))</f>
        <v/>
      </c>
      <c r="AB112" s="23">
        <f>IF(OR(A112="",D112&lt;&gt;"Encerrado"),"",MAX(0,Config!$D$21-COUNTIF(O112:X112,"Sim")-COUNTIF(O112:X112,"N/A")))</f>
        <v/>
      </c>
      <c r="AC112" s="23">
        <f>IF(A112="","",AA112+IF(AB112="",0,AB112))</f>
        <v/>
      </c>
      <c r="AD112" s="24">
        <f>IF(OR(A112="",AF112=""),"",LEFT(AF112,LEN(AF112)-2))</f>
        <v/>
      </c>
      <c r="AE112" s="35">
        <f>IF(OR(A112="",AC112=0),0,AC112*100-ROW()/100000)</f>
        <v>0</v>
      </c>
      <c r="AF112" s="35">
        <f>IF(A112="","",IF(AND(Config!$B$10&lt;&gt;"",E112&lt;&gt;"Sim",E112&lt;&gt;"N/A"),Config!$B$10&amp;"; ","")&amp;IF(AND(Config!$B$11&lt;&gt;"",F112&lt;&gt;"Sim",F112&lt;&gt;"N/A"),Config!$B$11&amp;"; ","")&amp;IF(AND(Config!$B$12&lt;&gt;"",G112&lt;&gt;"Sim",G112&lt;&gt;"N/A"),Config!$B$12&amp;"; ","")&amp;IF(AND(Config!$B$13&lt;&gt;"",H112&lt;&gt;"Sim",H112&lt;&gt;"N/A"),Config!$B$13&amp;"; ","")&amp;IF(AND(Config!$B$14&lt;&gt;"",I112&lt;&gt;"Sim",I112&lt;&gt;"N/A"),Config!$B$14&amp;"; ","")&amp;IF(AND(Config!$B$15&lt;&gt;"",J112&lt;&gt;"Sim",J112&lt;&gt;"N/A"),Config!$B$15&amp;"; ","")&amp;IF(AND(Config!$B$16&lt;&gt;"",K112&lt;&gt;"Sim",K112&lt;&gt;"N/A"),Config!$B$16&amp;"; ","")&amp;IF(AND(Config!$B$17&lt;&gt;"",L112&lt;&gt;"Sim",L112&lt;&gt;"N/A"),Config!$B$17&amp;"; ","")&amp;IF(AND(Config!$B$18&lt;&gt;"",M112&lt;&gt;"Sim",M112&lt;&gt;"N/A"),Config!$B$18&amp;"; ","")&amp;IF(AND(Config!$B$19&lt;&gt;"",N112&lt;&gt;"Sim",N112&lt;&gt;"N/A"),Config!$B$19&amp;"; ","")&amp;IF(AND($D112="Encerrado",Config!$D$10&lt;&gt;"",O112&lt;&gt;"Sim",O112&lt;&gt;"N/A"),Config!$D$10&amp;"; ","")&amp;IF(AND($D112="Encerrado",Config!$D$11&lt;&gt;"",P112&lt;&gt;"Sim",P112&lt;&gt;"N/A"),Config!$D$11&amp;"; ","")&amp;IF(AND($D112="Encerrado",Config!$D$12&lt;&gt;"",Q112&lt;&gt;"Sim",Q112&lt;&gt;"N/A"),Config!$D$12&amp;"; ","")&amp;IF(AND($D112="Encerrado",Config!$D$13&lt;&gt;"",R112&lt;&gt;"Sim",R112&lt;&gt;"N/A"),Config!$D$13&amp;"; ","")&amp;IF(AND($D112="Encerrado",Config!$D$14&lt;&gt;"",S112&lt;&gt;"Sim",S112&lt;&gt;"N/A"),Config!$D$14&amp;"; ","")&amp;IF(AND($D112="Encerrado",Config!$D$15&lt;&gt;"",T112&lt;&gt;"Sim",T112&lt;&gt;"N/A"),Config!$D$15&amp;"; ","")&amp;IF(AND($D112="Encerrado",Config!$D$16&lt;&gt;"",U112&lt;&gt;"Sim",U112&lt;&gt;"N/A"),Config!$D$16&amp;"; ","")&amp;IF(AND($D112="Encerrado",Config!$D$17&lt;&gt;"",V112&lt;&gt;"Sim",V112&lt;&gt;"N/A"),Config!$D$17&amp;"; ","")&amp;IF(AND($D112="Encerrado",Config!$D$18&lt;&gt;"",W112&lt;&gt;"Sim",W112&lt;&gt;"N/A"),Config!$D$18&amp;"; ","")&amp;IF(AND($D112="Encerrado",Config!$D$19&lt;&gt;"",X112&lt;&gt;"Sim",X112&lt;&gt;"N/A"),Config!$D$19&amp;"; ",""))</f>
        <v/>
      </c>
    </row>
    <row r="113">
      <c r="A113" s="29" t="n"/>
      <c r="B113" s="29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25">
        <f>IF(A113="","",IFERROR(COUNTIF(E113:N113,"Sim")/(Config!$B$21-COUNTIF(E113:N113,"N/A")),""))</f>
        <v/>
      </c>
      <c r="Z113" s="25">
        <f>IF(OR(A113="",D113&lt;&gt;"Encerrado"),"",IFERROR(COUNTIF(O113:X113,"Sim")/(Config!$D$21-COUNTIF(O113:X113,"N/A")),""))</f>
        <v/>
      </c>
      <c r="AA113" s="23">
        <f>IF(A113="","",MAX(0,Config!$B$21-COUNTIF(E113:N113,"Sim")-COUNTIF(E113:N113,"N/A")))</f>
        <v/>
      </c>
      <c r="AB113" s="23">
        <f>IF(OR(A113="",D113&lt;&gt;"Encerrado"),"",MAX(0,Config!$D$21-COUNTIF(O113:X113,"Sim")-COUNTIF(O113:X113,"N/A")))</f>
        <v/>
      </c>
      <c r="AC113" s="23">
        <f>IF(A113="","",AA113+IF(AB113="",0,AB113))</f>
        <v/>
      </c>
      <c r="AD113" s="24">
        <f>IF(OR(A113="",AF113=""),"",LEFT(AF113,LEN(AF113)-2))</f>
        <v/>
      </c>
      <c r="AE113" s="35">
        <f>IF(OR(A113="",AC113=0),0,AC113*100-ROW()/100000)</f>
        <v>0</v>
      </c>
      <c r="AF113" s="35">
        <f>IF(A113="","",IF(AND(Config!$B$10&lt;&gt;"",E113&lt;&gt;"Sim",E113&lt;&gt;"N/A"),Config!$B$10&amp;"; ","")&amp;IF(AND(Config!$B$11&lt;&gt;"",F113&lt;&gt;"Sim",F113&lt;&gt;"N/A"),Config!$B$11&amp;"; ","")&amp;IF(AND(Config!$B$12&lt;&gt;"",G113&lt;&gt;"Sim",G113&lt;&gt;"N/A"),Config!$B$12&amp;"; ","")&amp;IF(AND(Config!$B$13&lt;&gt;"",H113&lt;&gt;"Sim",H113&lt;&gt;"N/A"),Config!$B$13&amp;"; ","")&amp;IF(AND(Config!$B$14&lt;&gt;"",I113&lt;&gt;"Sim",I113&lt;&gt;"N/A"),Config!$B$14&amp;"; ","")&amp;IF(AND(Config!$B$15&lt;&gt;"",J113&lt;&gt;"Sim",J113&lt;&gt;"N/A"),Config!$B$15&amp;"; ","")&amp;IF(AND(Config!$B$16&lt;&gt;"",K113&lt;&gt;"Sim",K113&lt;&gt;"N/A"),Config!$B$16&amp;"; ","")&amp;IF(AND(Config!$B$17&lt;&gt;"",L113&lt;&gt;"Sim",L113&lt;&gt;"N/A"),Config!$B$17&amp;"; ","")&amp;IF(AND(Config!$B$18&lt;&gt;"",M113&lt;&gt;"Sim",M113&lt;&gt;"N/A"),Config!$B$18&amp;"; ","")&amp;IF(AND(Config!$B$19&lt;&gt;"",N113&lt;&gt;"Sim",N113&lt;&gt;"N/A"),Config!$B$19&amp;"; ","")&amp;IF(AND($D113="Encerrado",Config!$D$10&lt;&gt;"",O113&lt;&gt;"Sim",O113&lt;&gt;"N/A"),Config!$D$10&amp;"; ","")&amp;IF(AND($D113="Encerrado",Config!$D$11&lt;&gt;"",P113&lt;&gt;"Sim",P113&lt;&gt;"N/A"),Config!$D$11&amp;"; ","")&amp;IF(AND($D113="Encerrado",Config!$D$12&lt;&gt;"",Q113&lt;&gt;"Sim",Q113&lt;&gt;"N/A"),Config!$D$12&amp;"; ","")&amp;IF(AND($D113="Encerrado",Config!$D$13&lt;&gt;"",R113&lt;&gt;"Sim",R113&lt;&gt;"N/A"),Config!$D$13&amp;"; ","")&amp;IF(AND($D113="Encerrado",Config!$D$14&lt;&gt;"",S113&lt;&gt;"Sim",S113&lt;&gt;"N/A"),Config!$D$14&amp;"; ","")&amp;IF(AND($D113="Encerrado",Config!$D$15&lt;&gt;"",T113&lt;&gt;"Sim",T113&lt;&gt;"N/A"),Config!$D$15&amp;"; ","")&amp;IF(AND($D113="Encerrado",Config!$D$16&lt;&gt;"",U113&lt;&gt;"Sim",U113&lt;&gt;"N/A"),Config!$D$16&amp;"; ","")&amp;IF(AND($D113="Encerrado",Config!$D$17&lt;&gt;"",V113&lt;&gt;"Sim",V113&lt;&gt;"N/A"),Config!$D$17&amp;"; ","")&amp;IF(AND($D113="Encerrado",Config!$D$18&lt;&gt;"",W113&lt;&gt;"Sim",W113&lt;&gt;"N/A"),Config!$D$18&amp;"; ","")&amp;IF(AND($D113="Encerrado",Config!$D$19&lt;&gt;"",X113&lt;&gt;"Sim",X113&lt;&gt;"N/A"),Config!$D$19&amp;"; ",""))</f>
        <v/>
      </c>
    </row>
    <row r="114">
      <c r="A114" s="29" t="n"/>
      <c r="B114" s="29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25">
        <f>IF(A114="","",IFERROR(COUNTIF(E114:N114,"Sim")/(Config!$B$21-COUNTIF(E114:N114,"N/A")),""))</f>
        <v/>
      </c>
      <c r="Z114" s="25">
        <f>IF(OR(A114="",D114&lt;&gt;"Encerrado"),"",IFERROR(COUNTIF(O114:X114,"Sim")/(Config!$D$21-COUNTIF(O114:X114,"N/A")),""))</f>
        <v/>
      </c>
      <c r="AA114" s="23">
        <f>IF(A114="","",MAX(0,Config!$B$21-COUNTIF(E114:N114,"Sim")-COUNTIF(E114:N114,"N/A")))</f>
        <v/>
      </c>
      <c r="AB114" s="23">
        <f>IF(OR(A114="",D114&lt;&gt;"Encerrado"),"",MAX(0,Config!$D$21-COUNTIF(O114:X114,"Sim")-COUNTIF(O114:X114,"N/A")))</f>
        <v/>
      </c>
      <c r="AC114" s="23">
        <f>IF(A114="","",AA114+IF(AB114="",0,AB114))</f>
        <v/>
      </c>
      <c r="AD114" s="24">
        <f>IF(OR(A114="",AF114=""),"",LEFT(AF114,LEN(AF114)-2))</f>
        <v/>
      </c>
      <c r="AE114" s="35">
        <f>IF(OR(A114="",AC114=0),0,AC114*100-ROW()/100000)</f>
        <v>0</v>
      </c>
      <c r="AF114" s="35">
        <f>IF(A114="","",IF(AND(Config!$B$10&lt;&gt;"",E114&lt;&gt;"Sim",E114&lt;&gt;"N/A"),Config!$B$10&amp;"; ","")&amp;IF(AND(Config!$B$11&lt;&gt;"",F114&lt;&gt;"Sim",F114&lt;&gt;"N/A"),Config!$B$11&amp;"; ","")&amp;IF(AND(Config!$B$12&lt;&gt;"",G114&lt;&gt;"Sim",G114&lt;&gt;"N/A"),Config!$B$12&amp;"; ","")&amp;IF(AND(Config!$B$13&lt;&gt;"",H114&lt;&gt;"Sim",H114&lt;&gt;"N/A"),Config!$B$13&amp;"; ","")&amp;IF(AND(Config!$B$14&lt;&gt;"",I114&lt;&gt;"Sim",I114&lt;&gt;"N/A"),Config!$B$14&amp;"; ","")&amp;IF(AND(Config!$B$15&lt;&gt;"",J114&lt;&gt;"Sim",J114&lt;&gt;"N/A"),Config!$B$15&amp;"; ","")&amp;IF(AND(Config!$B$16&lt;&gt;"",K114&lt;&gt;"Sim",K114&lt;&gt;"N/A"),Config!$B$16&amp;"; ","")&amp;IF(AND(Config!$B$17&lt;&gt;"",L114&lt;&gt;"Sim",L114&lt;&gt;"N/A"),Config!$B$17&amp;"; ","")&amp;IF(AND(Config!$B$18&lt;&gt;"",M114&lt;&gt;"Sim",M114&lt;&gt;"N/A"),Config!$B$18&amp;"; ","")&amp;IF(AND(Config!$B$19&lt;&gt;"",N114&lt;&gt;"Sim",N114&lt;&gt;"N/A"),Config!$B$19&amp;"; ","")&amp;IF(AND($D114="Encerrado",Config!$D$10&lt;&gt;"",O114&lt;&gt;"Sim",O114&lt;&gt;"N/A"),Config!$D$10&amp;"; ","")&amp;IF(AND($D114="Encerrado",Config!$D$11&lt;&gt;"",P114&lt;&gt;"Sim",P114&lt;&gt;"N/A"),Config!$D$11&amp;"; ","")&amp;IF(AND($D114="Encerrado",Config!$D$12&lt;&gt;"",Q114&lt;&gt;"Sim",Q114&lt;&gt;"N/A"),Config!$D$12&amp;"; ","")&amp;IF(AND($D114="Encerrado",Config!$D$13&lt;&gt;"",R114&lt;&gt;"Sim",R114&lt;&gt;"N/A"),Config!$D$13&amp;"; ","")&amp;IF(AND($D114="Encerrado",Config!$D$14&lt;&gt;"",S114&lt;&gt;"Sim",S114&lt;&gt;"N/A"),Config!$D$14&amp;"; ","")&amp;IF(AND($D114="Encerrado",Config!$D$15&lt;&gt;"",T114&lt;&gt;"Sim",T114&lt;&gt;"N/A"),Config!$D$15&amp;"; ","")&amp;IF(AND($D114="Encerrado",Config!$D$16&lt;&gt;"",U114&lt;&gt;"Sim",U114&lt;&gt;"N/A"),Config!$D$16&amp;"; ","")&amp;IF(AND($D114="Encerrado",Config!$D$17&lt;&gt;"",V114&lt;&gt;"Sim",V114&lt;&gt;"N/A"),Config!$D$17&amp;"; ","")&amp;IF(AND($D114="Encerrado",Config!$D$18&lt;&gt;"",W114&lt;&gt;"Sim",W114&lt;&gt;"N/A"),Config!$D$18&amp;"; ","")&amp;IF(AND($D114="Encerrado",Config!$D$19&lt;&gt;"",X114&lt;&gt;"Sim",X114&lt;&gt;"N/A"),Config!$D$19&amp;"; ",""))</f>
        <v/>
      </c>
    </row>
    <row r="115">
      <c r="A115" s="29" t="n"/>
      <c r="B115" s="29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25">
        <f>IF(A115="","",IFERROR(COUNTIF(E115:N115,"Sim")/(Config!$B$21-COUNTIF(E115:N115,"N/A")),""))</f>
        <v/>
      </c>
      <c r="Z115" s="25">
        <f>IF(OR(A115="",D115&lt;&gt;"Encerrado"),"",IFERROR(COUNTIF(O115:X115,"Sim")/(Config!$D$21-COUNTIF(O115:X115,"N/A")),""))</f>
        <v/>
      </c>
      <c r="AA115" s="23">
        <f>IF(A115="","",MAX(0,Config!$B$21-COUNTIF(E115:N115,"Sim")-COUNTIF(E115:N115,"N/A")))</f>
        <v/>
      </c>
      <c r="AB115" s="23">
        <f>IF(OR(A115="",D115&lt;&gt;"Encerrado"),"",MAX(0,Config!$D$21-COUNTIF(O115:X115,"Sim")-COUNTIF(O115:X115,"N/A")))</f>
        <v/>
      </c>
      <c r="AC115" s="23">
        <f>IF(A115="","",AA115+IF(AB115="",0,AB115))</f>
        <v/>
      </c>
      <c r="AD115" s="24">
        <f>IF(OR(A115="",AF115=""),"",LEFT(AF115,LEN(AF115)-2))</f>
        <v/>
      </c>
      <c r="AE115" s="35">
        <f>IF(OR(A115="",AC115=0),0,AC115*100-ROW()/100000)</f>
        <v>0</v>
      </c>
      <c r="AF115" s="35">
        <f>IF(A115="","",IF(AND(Config!$B$10&lt;&gt;"",E115&lt;&gt;"Sim",E115&lt;&gt;"N/A"),Config!$B$10&amp;"; ","")&amp;IF(AND(Config!$B$11&lt;&gt;"",F115&lt;&gt;"Sim",F115&lt;&gt;"N/A"),Config!$B$11&amp;"; ","")&amp;IF(AND(Config!$B$12&lt;&gt;"",G115&lt;&gt;"Sim",G115&lt;&gt;"N/A"),Config!$B$12&amp;"; ","")&amp;IF(AND(Config!$B$13&lt;&gt;"",H115&lt;&gt;"Sim",H115&lt;&gt;"N/A"),Config!$B$13&amp;"; ","")&amp;IF(AND(Config!$B$14&lt;&gt;"",I115&lt;&gt;"Sim",I115&lt;&gt;"N/A"),Config!$B$14&amp;"; ","")&amp;IF(AND(Config!$B$15&lt;&gt;"",J115&lt;&gt;"Sim",J115&lt;&gt;"N/A"),Config!$B$15&amp;"; ","")&amp;IF(AND(Config!$B$16&lt;&gt;"",K115&lt;&gt;"Sim",K115&lt;&gt;"N/A"),Config!$B$16&amp;"; ","")&amp;IF(AND(Config!$B$17&lt;&gt;"",L115&lt;&gt;"Sim",L115&lt;&gt;"N/A"),Config!$B$17&amp;"; ","")&amp;IF(AND(Config!$B$18&lt;&gt;"",M115&lt;&gt;"Sim",M115&lt;&gt;"N/A"),Config!$B$18&amp;"; ","")&amp;IF(AND(Config!$B$19&lt;&gt;"",N115&lt;&gt;"Sim",N115&lt;&gt;"N/A"),Config!$B$19&amp;"; ","")&amp;IF(AND($D115="Encerrado",Config!$D$10&lt;&gt;"",O115&lt;&gt;"Sim",O115&lt;&gt;"N/A"),Config!$D$10&amp;"; ","")&amp;IF(AND($D115="Encerrado",Config!$D$11&lt;&gt;"",P115&lt;&gt;"Sim",P115&lt;&gt;"N/A"),Config!$D$11&amp;"; ","")&amp;IF(AND($D115="Encerrado",Config!$D$12&lt;&gt;"",Q115&lt;&gt;"Sim",Q115&lt;&gt;"N/A"),Config!$D$12&amp;"; ","")&amp;IF(AND($D115="Encerrado",Config!$D$13&lt;&gt;"",R115&lt;&gt;"Sim",R115&lt;&gt;"N/A"),Config!$D$13&amp;"; ","")&amp;IF(AND($D115="Encerrado",Config!$D$14&lt;&gt;"",S115&lt;&gt;"Sim",S115&lt;&gt;"N/A"),Config!$D$14&amp;"; ","")&amp;IF(AND($D115="Encerrado",Config!$D$15&lt;&gt;"",T115&lt;&gt;"Sim",T115&lt;&gt;"N/A"),Config!$D$15&amp;"; ","")&amp;IF(AND($D115="Encerrado",Config!$D$16&lt;&gt;"",U115&lt;&gt;"Sim",U115&lt;&gt;"N/A"),Config!$D$16&amp;"; ","")&amp;IF(AND($D115="Encerrado",Config!$D$17&lt;&gt;"",V115&lt;&gt;"Sim",V115&lt;&gt;"N/A"),Config!$D$17&amp;"; ","")&amp;IF(AND($D115="Encerrado",Config!$D$18&lt;&gt;"",W115&lt;&gt;"Sim",W115&lt;&gt;"N/A"),Config!$D$18&amp;"; ","")&amp;IF(AND($D115="Encerrado",Config!$D$19&lt;&gt;"",X115&lt;&gt;"Sim",X115&lt;&gt;"N/A"),Config!$D$19&amp;"; ",""))</f>
        <v/>
      </c>
    </row>
    <row r="116">
      <c r="A116" s="29" t="n"/>
      <c r="B116" s="29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25">
        <f>IF(A116="","",IFERROR(COUNTIF(E116:N116,"Sim")/(Config!$B$21-COUNTIF(E116:N116,"N/A")),""))</f>
        <v/>
      </c>
      <c r="Z116" s="25">
        <f>IF(OR(A116="",D116&lt;&gt;"Encerrado"),"",IFERROR(COUNTIF(O116:X116,"Sim")/(Config!$D$21-COUNTIF(O116:X116,"N/A")),""))</f>
        <v/>
      </c>
      <c r="AA116" s="23">
        <f>IF(A116="","",MAX(0,Config!$B$21-COUNTIF(E116:N116,"Sim")-COUNTIF(E116:N116,"N/A")))</f>
        <v/>
      </c>
      <c r="AB116" s="23">
        <f>IF(OR(A116="",D116&lt;&gt;"Encerrado"),"",MAX(0,Config!$D$21-COUNTIF(O116:X116,"Sim")-COUNTIF(O116:X116,"N/A")))</f>
        <v/>
      </c>
      <c r="AC116" s="23">
        <f>IF(A116="","",AA116+IF(AB116="",0,AB116))</f>
        <v/>
      </c>
      <c r="AD116" s="24">
        <f>IF(OR(A116="",AF116=""),"",LEFT(AF116,LEN(AF116)-2))</f>
        <v/>
      </c>
      <c r="AE116" s="35">
        <f>IF(OR(A116="",AC116=0),0,AC116*100-ROW()/100000)</f>
        <v>0</v>
      </c>
      <c r="AF116" s="35">
        <f>IF(A116="","",IF(AND(Config!$B$10&lt;&gt;"",E116&lt;&gt;"Sim",E116&lt;&gt;"N/A"),Config!$B$10&amp;"; ","")&amp;IF(AND(Config!$B$11&lt;&gt;"",F116&lt;&gt;"Sim",F116&lt;&gt;"N/A"),Config!$B$11&amp;"; ","")&amp;IF(AND(Config!$B$12&lt;&gt;"",G116&lt;&gt;"Sim",G116&lt;&gt;"N/A"),Config!$B$12&amp;"; ","")&amp;IF(AND(Config!$B$13&lt;&gt;"",H116&lt;&gt;"Sim",H116&lt;&gt;"N/A"),Config!$B$13&amp;"; ","")&amp;IF(AND(Config!$B$14&lt;&gt;"",I116&lt;&gt;"Sim",I116&lt;&gt;"N/A"),Config!$B$14&amp;"; ","")&amp;IF(AND(Config!$B$15&lt;&gt;"",J116&lt;&gt;"Sim",J116&lt;&gt;"N/A"),Config!$B$15&amp;"; ","")&amp;IF(AND(Config!$B$16&lt;&gt;"",K116&lt;&gt;"Sim",K116&lt;&gt;"N/A"),Config!$B$16&amp;"; ","")&amp;IF(AND(Config!$B$17&lt;&gt;"",L116&lt;&gt;"Sim",L116&lt;&gt;"N/A"),Config!$B$17&amp;"; ","")&amp;IF(AND(Config!$B$18&lt;&gt;"",M116&lt;&gt;"Sim",M116&lt;&gt;"N/A"),Config!$B$18&amp;"; ","")&amp;IF(AND(Config!$B$19&lt;&gt;"",N116&lt;&gt;"Sim",N116&lt;&gt;"N/A"),Config!$B$19&amp;"; ","")&amp;IF(AND($D116="Encerrado",Config!$D$10&lt;&gt;"",O116&lt;&gt;"Sim",O116&lt;&gt;"N/A"),Config!$D$10&amp;"; ","")&amp;IF(AND($D116="Encerrado",Config!$D$11&lt;&gt;"",P116&lt;&gt;"Sim",P116&lt;&gt;"N/A"),Config!$D$11&amp;"; ","")&amp;IF(AND($D116="Encerrado",Config!$D$12&lt;&gt;"",Q116&lt;&gt;"Sim",Q116&lt;&gt;"N/A"),Config!$D$12&amp;"; ","")&amp;IF(AND($D116="Encerrado",Config!$D$13&lt;&gt;"",R116&lt;&gt;"Sim",R116&lt;&gt;"N/A"),Config!$D$13&amp;"; ","")&amp;IF(AND($D116="Encerrado",Config!$D$14&lt;&gt;"",S116&lt;&gt;"Sim",S116&lt;&gt;"N/A"),Config!$D$14&amp;"; ","")&amp;IF(AND($D116="Encerrado",Config!$D$15&lt;&gt;"",T116&lt;&gt;"Sim",T116&lt;&gt;"N/A"),Config!$D$15&amp;"; ","")&amp;IF(AND($D116="Encerrado",Config!$D$16&lt;&gt;"",U116&lt;&gt;"Sim",U116&lt;&gt;"N/A"),Config!$D$16&amp;"; ","")&amp;IF(AND($D116="Encerrado",Config!$D$17&lt;&gt;"",V116&lt;&gt;"Sim",V116&lt;&gt;"N/A"),Config!$D$17&amp;"; ","")&amp;IF(AND($D116="Encerrado",Config!$D$18&lt;&gt;"",W116&lt;&gt;"Sim",W116&lt;&gt;"N/A"),Config!$D$18&amp;"; ","")&amp;IF(AND($D116="Encerrado",Config!$D$19&lt;&gt;"",X116&lt;&gt;"Sim",X116&lt;&gt;"N/A"),Config!$D$19&amp;"; ",""))</f>
        <v/>
      </c>
    </row>
    <row r="117">
      <c r="A117" s="29" t="n"/>
      <c r="B117" s="29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25">
        <f>IF(A117="","",IFERROR(COUNTIF(E117:N117,"Sim")/(Config!$B$21-COUNTIF(E117:N117,"N/A")),""))</f>
        <v/>
      </c>
      <c r="Z117" s="25">
        <f>IF(OR(A117="",D117&lt;&gt;"Encerrado"),"",IFERROR(COUNTIF(O117:X117,"Sim")/(Config!$D$21-COUNTIF(O117:X117,"N/A")),""))</f>
        <v/>
      </c>
      <c r="AA117" s="23">
        <f>IF(A117="","",MAX(0,Config!$B$21-COUNTIF(E117:N117,"Sim")-COUNTIF(E117:N117,"N/A")))</f>
        <v/>
      </c>
      <c r="AB117" s="23">
        <f>IF(OR(A117="",D117&lt;&gt;"Encerrado"),"",MAX(0,Config!$D$21-COUNTIF(O117:X117,"Sim")-COUNTIF(O117:X117,"N/A")))</f>
        <v/>
      </c>
      <c r="AC117" s="23">
        <f>IF(A117="","",AA117+IF(AB117="",0,AB117))</f>
        <v/>
      </c>
      <c r="AD117" s="24">
        <f>IF(OR(A117="",AF117=""),"",LEFT(AF117,LEN(AF117)-2))</f>
        <v/>
      </c>
      <c r="AE117" s="35">
        <f>IF(OR(A117="",AC117=0),0,AC117*100-ROW()/100000)</f>
        <v>0</v>
      </c>
      <c r="AF117" s="35">
        <f>IF(A117="","",IF(AND(Config!$B$10&lt;&gt;"",E117&lt;&gt;"Sim",E117&lt;&gt;"N/A"),Config!$B$10&amp;"; ","")&amp;IF(AND(Config!$B$11&lt;&gt;"",F117&lt;&gt;"Sim",F117&lt;&gt;"N/A"),Config!$B$11&amp;"; ","")&amp;IF(AND(Config!$B$12&lt;&gt;"",G117&lt;&gt;"Sim",G117&lt;&gt;"N/A"),Config!$B$12&amp;"; ","")&amp;IF(AND(Config!$B$13&lt;&gt;"",H117&lt;&gt;"Sim",H117&lt;&gt;"N/A"),Config!$B$13&amp;"; ","")&amp;IF(AND(Config!$B$14&lt;&gt;"",I117&lt;&gt;"Sim",I117&lt;&gt;"N/A"),Config!$B$14&amp;"; ","")&amp;IF(AND(Config!$B$15&lt;&gt;"",J117&lt;&gt;"Sim",J117&lt;&gt;"N/A"),Config!$B$15&amp;"; ","")&amp;IF(AND(Config!$B$16&lt;&gt;"",K117&lt;&gt;"Sim",K117&lt;&gt;"N/A"),Config!$B$16&amp;"; ","")&amp;IF(AND(Config!$B$17&lt;&gt;"",L117&lt;&gt;"Sim",L117&lt;&gt;"N/A"),Config!$B$17&amp;"; ","")&amp;IF(AND(Config!$B$18&lt;&gt;"",M117&lt;&gt;"Sim",M117&lt;&gt;"N/A"),Config!$B$18&amp;"; ","")&amp;IF(AND(Config!$B$19&lt;&gt;"",N117&lt;&gt;"Sim",N117&lt;&gt;"N/A"),Config!$B$19&amp;"; ","")&amp;IF(AND($D117="Encerrado",Config!$D$10&lt;&gt;"",O117&lt;&gt;"Sim",O117&lt;&gt;"N/A"),Config!$D$10&amp;"; ","")&amp;IF(AND($D117="Encerrado",Config!$D$11&lt;&gt;"",P117&lt;&gt;"Sim",P117&lt;&gt;"N/A"),Config!$D$11&amp;"; ","")&amp;IF(AND($D117="Encerrado",Config!$D$12&lt;&gt;"",Q117&lt;&gt;"Sim",Q117&lt;&gt;"N/A"),Config!$D$12&amp;"; ","")&amp;IF(AND($D117="Encerrado",Config!$D$13&lt;&gt;"",R117&lt;&gt;"Sim",R117&lt;&gt;"N/A"),Config!$D$13&amp;"; ","")&amp;IF(AND($D117="Encerrado",Config!$D$14&lt;&gt;"",S117&lt;&gt;"Sim",S117&lt;&gt;"N/A"),Config!$D$14&amp;"; ","")&amp;IF(AND($D117="Encerrado",Config!$D$15&lt;&gt;"",T117&lt;&gt;"Sim",T117&lt;&gt;"N/A"),Config!$D$15&amp;"; ","")&amp;IF(AND($D117="Encerrado",Config!$D$16&lt;&gt;"",U117&lt;&gt;"Sim",U117&lt;&gt;"N/A"),Config!$D$16&amp;"; ","")&amp;IF(AND($D117="Encerrado",Config!$D$17&lt;&gt;"",V117&lt;&gt;"Sim",V117&lt;&gt;"N/A"),Config!$D$17&amp;"; ","")&amp;IF(AND($D117="Encerrado",Config!$D$18&lt;&gt;"",W117&lt;&gt;"Sim",W117&lt;&gt;"N/A"),Config!$D$18&amp;"; ","")&amp;IF(AND($D117="Encerrado",Config!$D$19&lt;&gt;"",X117&lt;&gt;"Sim",X117&lt;&gt;"N/A"),Config!$D$19&amp;"; ",""))</f>
        <v/>
      </c>
    </row>
    <row r="118">
      <c r="A118" s="29" t="n"/>
      <c r="B118" s="29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25">
        <f>IF(A118="","",IFERROR(COUNTIF(E118:N118,"Sim")/(Config!$B$21-COUNTIF(E118:N118,"N/A")),""))</f>
        <v/>
      </c>
      <c r="Z118" s="25">
        <f>IF(OR(A118="",D118&lt;&gt;"Encerrado"),"",IFERROR(COUNTIF(O118:X118,"Sim")/(Config!$D$21-COUNTIF(O118:X118,"N/A")),""))</f>
        <v/>
      </c>
      <c r="AA118" s="23">
        <f>IF(A118="","",MAX(0,Config!$B$21-COUNTIF(E118:N118,"Sim")-COUNTIF(E118:N118,"N/A")))</f>
        <v/>
      </c>
      <c r="AB118" s="23">
        <f>IF(OR(A118="",D118&lt;&gt;"Encerrado"),"",MAX(0,Config!$D$21-COUNTIF(O118:X118,"Sim")-COUNTIF(O118:X118,"N/A")))</f>
        <v/>
      </c>
      <c r="AC118" s="23">
        <f>IF(A118="","",AA118+IF(AB118="",0,AB118))</f>
        <v/>
      </c>
      <c r="AD118" s="24">
        <f>IF(OR(A118="",AF118=""),"",LEFT(AF118,LEN(AF118)-2))</f>
        <v/>
      </c>
      <c r="AE118" s="35">
        <f>IF(OR(A118="",AC118=0),0,AC118*100-ROW()/100000)</f>
        <v>0</v>
      </c>
      <c r="AF118" s="35">
        <f>IF(A118="","",IF(AND(Config!$B$10&lt;&gt;"",E118&lt;&gt;"Sim",E118&lt;&gt;"N/A"),Config!$B$10&amp;"; ","")&amp;IF(AND(Config!$B$11&lt;&gt;"",F118&lt;&gt;"Sim",F118&lt;&gt;"N/A"),Config!$B$11&amp;"; ","")&amp;IF(AND(Config!$B$12&lt;&gt;"",G118&lt;&gt;"Sim",G118&lt;&gt;"N/A"),Config!$B$12&amp;"; ","")&amp;IF(AND(Config!$B$13&lt;&gt;"",H118&lt;&gt;"Sim",H118&lt;&gt;"N/A"),Config!$B$13&amp;"; ","")&amp;IF(AND(Config!$B$14&lt;&gt;"",I118&lt;&gt;"Sim",I118&lt;&gt;"N/A"),Config!$B$14&amp;"; ","")&amp;IF(AND(Config!$B$15&lt;&gt;"",J118&lt;&gt;"Sim",J118&lt;&gt;"N/A"),Config!$B$15&amp;"; ","")&amp;IF(AND(Config!$B$16&lt;&gt;"",K118&lt;&gt;"Sim",K118&lt;&gt;"N/A"),Config!$B$16&amp;"; ","")&amp;IF(AND(Config!$B$17&lt;&gt;"",L118&lt;&gt;"Sim",L118&lt;&gt;"N/A"),Config!$B$17&amp;"; ","")&amp;IF(AND(Config!$B$18&lt;&gt;"",M118&lt;&gt;"Sim",M118&lt;&gt;"N/A"),Config!$B$18&amp;"; ","")&amp;IF(AND(Config!$B$19&lt;&gt;"",N118&lt;&gt;"Sim",N118&lt;&gt;"N/A"),Config!$B$19&amp;"; ","")&amp;IF(AND($D118="Encerrado",Config!$D$10&lt;&gt;"",O118&lt;&gt;"Sim",O118&lt;&gt;"N/A"),Config!$D$10&amp;"; ","")&amp;IF(AND($D118="Encerrado",Config!$D$11&lt;&gt;"",P118&lt;&gt;"Sim",P118&lt;&gt;"N/A"),Config!$D$11&amp;"; ","")&amp;IF(AND($D118="Encerrado",Config!$D$12&lt;&gt;"",Q118&lt;&gt;"Sim",Q118&lt;&gt;"N/A"),Config!$D$12&amp;"; ","")&amp;IF(AND($D118="Encerrado",Config!$D$13&lt;&gt;"",R118&lt;&gt;"Sim",R118&lt;&gt;"N/A"),Config!$D$13&amp;"; ","")&amp;IF(AND($D118="Encerrado",Config!$D$14&lt;&gt;"",S118&lt;&gt;"Sim",S118&lt;&gt;"N/A"),Config!$D$14&amp;"; ","")&amp;IF(AND($D118="Encerrado",Config!$D$15&lt;&gt;"",T118&lt;&gt;"Sim",T118&lt;&gt;"N/A"),Config!$D$15&amp;"; ","")&amp;IF(AND($D118="Encerrado",Config!$D$16&lt;&gt;"",U118&lt;&gt;"Sim",U118&lt;&gt;"N/A"),Config!$D$16&amp;"; ","")&amp;IF(AND($D118="Encerrado",Config!$D$17&lt;&gt;"",V118&lt;&gt;"Sim",V118&lt;&gt;"N/A"),Config!$D$17&amp;"; ","")&amp;IF(AND($D118="Encerrado",Config!$D$18&lt;&gt;"",W118&lt;&gt;"Sim",W118&lt;&gt;"N/A"),Config!$D$18&amp;"; ","")&amp;IF(AND($D118="Encerrado",Config!$D$19&lt;&gt;"",X118&lt;&gt;"Sim",X118&lt;&gt;"N/A"),Config!$D$19&amp;"; ",""))</f>
        <v/>
      </c>
    </row>
    <row r="119">
      <c r="A119" s="29" t="n"/>
      <c r="B119" s="29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25">
        <f>IF(A119="","",IFERROR(COUNTIF(E119:N119,"Sim")/(Config!$B$21-COUNTIF(E119:N119,"N/A")),""))</f>
        <v/>
      </c>
      <c r="Z119" s="25">
        <f>IF(OR(A119="",D119&lt;&gt;"Encerrado"),"",IFERROR(COUNTIF(O119:X119,"Sim")/(Config!$D$21-COUNTIF(O119:X119,"N/A")),""))</f>
        <v/>
      </c>
      <c r="AA119" s="23">
        <f>IF(A119="","",MAX(0,Config!$B$21-COUNTIF(E119:N119,"Sim")-COUNTIF(E119:N119,"N/A")))</f>
        <v/>
      </c>
      <c r="AB119" s="23">
        <f>IF(OR(A119="",D119&lt;&gt;"Encerrado"),"",MAX(0,Config!$D$21-COUNTIF(O119:X119,"Sim")-COUNTIF(O119:X119,"N/A")))</f>
        <v/>
      </c>
      <c r="AC119" s="23">
        <f>IF(A119="","",AA119+IF(AB119="",0,AB119))</f>
        <v/>
      </c>
      <c r="AD119" s="24">
        <f>IF(OR(A119="",AF119=""),"",LEFT(AF119,LEN(AF119)-2))</f>
        <v/>
      </c>
      <c r="AE119" s="35">
        <f>IF(OR(A119="",AC119=0),0,AC119*100-ROW()/100000)</f>
        <v>0</v>
      </c>
      <c r="AF119" s="35">
        <f>IF(A119="","",IF(AND(Config!$B$10&lt;&gt;"",E119&lt;&gt;"Sim",E119&lt;&gt;"N/A"),Config!$B$10&amp;"; ","")&amp;IF(AND(Config!$B$11&lt;&gt;"",F119&lt;&gt;"Sim",F119&lt;&gt;"N/A"),Config!$B$11&amp;"; ","")&amp;IF(AND(Config!$B$12&lt;&gt;"",G119&lt;&gt;"Sim",G119&lt;&gt;"N/A"),Config!$B$12&amp;"; ","")&amp;IF(AND(Config!$B$13&lt;&gt;"",H119&lt;&gt;"Sim",H119&lt;&gt;"N/A"),Config!$B$13&amp;"; ","")&amp;IF(AND(Config!$B$14&lt;&gt;"",I119&lt;&gt;"Sim",I119&lt;&gt;"N/A"),Config!$B$14&amp;"; ","")&amp;IF(AND(Config!$B$15&lt;&gt;"",J119&lt;&gt;"Sim",J119&lt;&gt;"N/A"),Config!$B$15&amp;"; ","")&amp;IF(AND(Config!$B$16&lt;&gt;"",K119&lt;&gt;"Sim",K119&lt;&gt;"N/A"),Config!$B$16&amp;"; ","")&amp;IF(AND(Config!$B$17&lt;&gt;"",L119&lt;&gt;"Sim",L119&lt;&gt;"N/A"),Config!$B$17&amp;"; ","")&amp;IF(AND(Config!$B$18&lt;&gt;"",M119&lt;&gt;"Sim",M119&lt;&gt;"N/A"),Config!$B$18&amp;"; ","")&amp;IF(AND(Config!$B$19&lt;&gt;"",N119&lt;&gt;"Sim",N119&lt;&gt;"N/A"),Config!$B$19&amp;"; ","")&amp;IF(AND($D119="Encerrado",Config!$D$10&lt;&gt;"",O119&lt;&gt;"Sim",O119&lt;&gt;"N/A"),Config!$D$10&amp;"; ","")&amp;IF(AND($D119="Encerrado",Config!$D$11&lt;&gt;"",P119&lt;&gt;"Sim",P119&lt;&gt;"N/A"),Config!$D$11&amp;"; ","")&amp;IF(AND($D119="Encerrado",Config!$D$12&lt;&gt;"",Q119&lt;&gt;"Sim",Q119&lt;&gt;"N/A"),Config!$D$12&amp;"; ","")&amp;IF(AND($D119="Encerrado",Config!$D$13&lt;&gt;"",R119&lt;&gt;"Sim",R119&lt;&gt;"N/A"),Config!$D$13&amp;"; ","")&amp;IF(AND($D119="Encerrado",Config!$D$14&lt;&gt;"",S119&lt;&gt;"Sim",S119&lt;&gt;"N/A"),Config!$D$14&amp;"; ","")&amp;IF(AND($D119="Encerrado",Config!$D$15&lt;&gt;"",T119&lt;&gt;"Sim",T119&lt;&gt;"N/A"),Config!$D$15&amp;"; ","")&amp;IF(AND($D119="Encerrado",Config!$D$16&lt;&gt;"",U119&lt;&gt;"Sim",U119&lt;&gt;"N/A"),Config!$D$16&amp;"; ","")&amp;IF(AND($D119="Encerrado",Config!$D$17&lt;&gt;"",V119&lt;&gt;"Sim",V119&lt;&gt;"N/A"),Config!$D$17&amp;"; ","")&amp;IF(AND($D119="Encerrado",Config!$D$18&lt;&gt;"",W119&lt;&gt;"Sim",W119&lt;&gt;"N/A"),Config!$D$18&amp;"; ","")&amp;IF(AND($D119="Encerrado",Config!$D$19&lt;&gt;"",X119&lt;&gt;"Sim",X119&lt;&gt;"N/A"),Config!$D$19&amp;"; ",""))</f>
        <v/>
      </c>
    </row>
    <row r="120">
      <c r="A120" s="29" t="n"/>
      <c r="B120" s="29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25">
        <f>IF(A120="","",IFERROR(COUNTIF(E120:N120,"Sim")/(Config!$B$21-COUNTIF(E120:N120,"N/A")),""))</f>
        <v/>
      </c>
      <c r="Z120" s="25">
        <f>IF(OR(A120="",D120&lt;&gt;"Encerrado"),"",IFERROR(COUNTIF(O120:X120,"Sim")/(Config!$D$21-COUNTIF(O120:X120,"N/A")),""))</f>
        <v/>
      </c>
      <c r="AA120" s="23">
        <f>IF(A120="","",MAX(0,Config!$B$21-COUNTIF(E120:N120,"Sim")-COUNTIF(E120:N120,"N/A")))</f>
        <v/>
      </c>
      <c r="AB120" s="23">
        <f>IF(OR(A120="",D120&lt;&gt;"Encerrado"),"",MAX(0,Config!$D$21-COUNTIF(O120:X120,"Sim")-COUNTIF(O120:X120,"N/A")))</f>
        <v/>
      </c>
      <c r="AC120" s="23">
        <f>IF(A120="","",AA120+IF(AB120="",0,AB120))</f>
        <v/>
      </c>
      <c r="AD120" s="24">
        <f>IF(OR(A120="",AF120=""),"",LEFT(AF120,LEN(AF120)-2))</f>
        <v/>
      </c>
      <c r="AE120" s="35">
        <f>IF(OR(A120="",AC120=0),0,AC120*100-ROW()/100000)</f>
        <v>0</v>
      </c>
      <c r="AF120" s="35">
        <f>IF(A120="","",IF(AND(Config!$B$10&lt;&gt;"",E120&lt;&gt;"Sim",E120&lt;&gt;"N/A"),Config!$B$10&amp;"; ","")&amp;IF(AND(Config!$B$11&lt;&gt;"",F120&lt;&gt;"Sim",F120&lt;&gt;"N/A"),Config!$B$11&amp;"; ","")&amp;IF(AND(Config!$B$12&lt;&gt;"",G120&lt;&gt;"Sim",G120&lt;&gt;"N/A"),Config!$B$12&amp;"; ","")&amp;IF(AND(Config!$B$13&lt;&gt;"",H120&lt;&gt;"Sim",H120&lt;&gt;"N/A"),Config!$B$13&amp;"; ","")&amp;IF(AND(Config!$B$14&lt;&gt;"",I120&lt;&gt;"Sim",I120&lt;&gt;"N/A"),Config!$B$14&amp;"; ","")&amp;IF(AND(Config!$B$15&lt;&gt;"",J120&lt;&gt;"Sim",J120&lt;&gt;"N/A"),Config!$B$15&amp;"; ","")&amp;IF(AND(Config!$B$16&lt;&gt;"",K120&lt;&gt;"Sim",K120&lt;&gt;"N/A"),Config!$B$16&amp;"; ","")&amp;IF(AND(Config!$B$17&lt;&gt;"",L120&lt;&gt;"Sim",L120&lt;&gt;"N/A"),Config!$B$17&amp;"; ","")&amp;IF(AND(Config!$B$18&lt;&gt;"",M120&lt;&gt;"Sim",M120&lt;&gt;"N/A"),Config!$B$18&amp;"; ","")&amp;IF(AND(Config!$B$19&lt;&gt;"",N120&lt;&gt;"Sim",N120&lt;&gt;"N/A"),Config!$B$19&amp;"; ","")&amp;IF(AND($D120="Encerrado",Config!$D$10&lt;&gt;"",O120&lt;&gt;"Sim",O120&lt;&gt;"N/A"),Config!$D$10&amp;"; ","")&amp;IF(AND($D120="Encerrado",Config!$D$11&lt;&gt;"",P120&lt;&gt;"Sim",P120&lt;&gt;"N/A"),Config!$D$11&amp;"; ","")&amp;IF(AND($D120="Encerrado",Config!$D$12&lt;&gt;"",Q120&lt;&gt;"Sim",Q120&lt;&gt;"N/A"),Config!$D$12&amp;"; ","")&amp;IF(AND($D120="Encerrado",Config!$D$13&lt;&gt;"",R120&lt;&gt;"Sim",R120&lt;&gt;"N/A"),Config!$D$13&amp;"; ","")&amp;IF(AND($D120="Encerrado",Config!$D$14&lt;&gt;"",S120&lt;&gt;"Sim",S120&lt;&gt;"N/A"),Config!$D$14&amp;"; ","")&amp;IF(AND($D120="Encerrado",Config!$D$15&lt;&gt;"",T120&lt;&gt;"Sim",T120&lt;&gt;"N/A"),Config!$D$15&amp;"; ","")&amp;IF(AND($D120="Encerrado",Config!$D$16&lt;&gt;"",U120&lt;&gt;"Sim",U120&lt;&gt;"N/A"),Config!$D$16&amp;"; ","")&amp;IF(AND($D120="Encerrado",Config!$D$17&lt;&gt;"",V120&lt;&gt;"Sim",V120&lt;&gt;"N/A"),Config!$D$17&amp;"; ","")&amp;IF(AND($D120="Encerrado",Config!$D$18&lt;&gt;"",W120&lt;&gt;"Sim",W120&lt;&gt;"N/A"),Config!$D$18&amp;"; ","")&amp;IF(AND($D120="Encerrado",Config!$D$19&lt;&gt;"",X120&lt;&gt;"Sim",X120&lt;&gt;"N/A"),Config!$D$19&amp;"; ",""))</f>
        <v/>
      </c>
    </row>
    <row r="121">
      <c r="A121" s="29" t="n"/>
      <c r="B121" s="29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25">
        <f>IF(A121="","",IFERROR(COUNTIF(E121:N121,"Sim")/(Config!$B$21-COUNTIF(E121:N121,"N/A")),""))</f>
        <v/>
      </c>
      <c r="Z121" s="25">
        <f>IF(OR(A121="",D121&lt;&gt;"Encerrado"),"",IFERROR(COUNTIF(O121:X121,"Sim")/(Config!$D$21-COUNTIF(O121:X121,"N/A")),""))</f>
        <v/>
      </c>
      <c r="AA121" s="23">
        <f>IF(A121="","",MAX(0,Config!$B$21-COUNTIF(E121:N121,"Sim")-COUNTIF(E121:N121,"N/A")))</f>
        <v/>
      </c>
      <c r="AB121" s="23">
        <f>IF(OR(A121="",D121&lt;&gt;"Encerrado"),"",MAX(0,Config!$D$21-COUNTIF(O121:X121,"Sim")-COUNTIF(O121:X121,"N/A")))</f>
        <v/>
      </c>
      <c r="AC121" s="23">
        <f>IF(A121="","",AA121+IF(AB121="",0,AB121))</f>
        <v/>
      </c>
      <c r="AD121" s="24">
        <f>IF(OR(A121="",AF121=""),"",LEFT(AF121,LEN(AF121)-2))</f>
        <v/>
      </c>
      <c r="AE121" s="35">
        <f>IF(OR(A121="",AC121=0),0,AC121*100-ROW()/100000)</f>
        <v>0</v>
      </c>
      <c r="AF121" s="35">
        <f>IF(A121="","",IF(AND(Config!$B$10&lt;&gt;"",E121&lt;&gt;"Sim",E121&lt;&gt;"N/A"),Config!$B$10&amp;"; ","")&amp;IF(AND(Config!$B$11&lt;&gt;"",F121&lt;&gt;"Sim",F121&lt;&gt;"N/A"),Config!$B$11&amp;"; ","")&amp;IF(AND(Config!$B$12&lt;&gt;"",G121&lt;&gt;"Sim",G121&lt;&gt;"N/A"),Config!$B$12&amp;"; ","")&amp;IF(AND(Config!$B$13&lt;&gt;"",H121&lt;&gt;"Sim",H121&lt;&gt;"N/A"),Config!$B$13&amp;"; ","")&amp;IF(AND(Config!$B$14&lt;&gt;"",I121&lt;&gt;"Sim",I121&lt;&gt;"N/A"),Config!$B$14&amp;"; ","")&amp;IF(AND(Config!$B$15&lt;&gt;"",J121&lt;&gt;"Sim",J121&lt;&gt;"N/A"),Config!$B$15&amp;"; ","")&amp;IF(AND(Config!$B$16&lt;&gt;"",K121&lt;&gt;"Sim",K121&lt;&gt;"N/A"),Config!$B$16&amp;"; ","")&amp;IF(AND(Config!$B$17&lt;&gt;"",L121&lt;&gt;"Sim",L121&lt;&gt;"N/A"),Config!$B$17&amp;"; ","")&amp;IF(AND(Config!$B$18&lt;&gt;"",M121&lt;&gt;"Sim",M121&lt;&gt;"N/A"),Config!$B$18&amp;"; ","")&amp;IF(AND(Config!$B$19&lt;&gt;"",N121&lt;&gt;"Sim",N121&lt;&gt;"N/A"),Config!$B$19&amp;"; ","")&amp;IF(AND($D121="Encerrado",Config!$D$10&lt;&gt;"",O121&lt;&gt;"Sim",O121&lt;&gt;"N/A"),Config!$D$10&amp;"; ","")&amp;IF(AND($D121="Encerrado",Config!$D$11&lt;&gt;"",P121&lt;&gt;"Sim",P121&lt;&gt;"N/A"),Config!$D$11&amp;"; ","")&amp;IF(AND($D121="Encerrado",Config!$D$12&lt;&gt;"",Q121&lt;&gt;"Sim",Q121&lt;&gt;"N/A"),Config!$D$12&amp;"; ","")&amp;IF(AND($D121="Encerrado",Config!$D$13&lt;&gt;"",R121&lt;&gt;"Sim",R121&lt;&gt;"N/A"),Config!$D$13&amp;"; ","")&amp;IF(AND($D121="Encerrado",Config!$D$14&lt;&gt;"",S121&lt;&gt;"Sim",S121&lt;&gt;"N/A"),Config!$D$14&amp;"; ","")&amp;IF(AND($D121="Encerrado",Config!$D$15&lt;&gt;"",T121&lt;&gt;"Sim",T121&lt;&gt;"N/A"),Config!$D$15&amp;"; ","")&amp;IF(AND($D121="Encerrado",Config!$D$16&lt;&gt;"",U121&lt;&gt;"Sim",U121&lt;&gt;"N/A"),Config!$D$16&amp;"; ","")&amp;IF(AND($D121="Encerrado",Config!$D$17&lt;&gt;"",V121&lt;&gt;"Sim",V121&lt;&gt;"N/A"),Config!$D$17&amp;"; ","")&amp;IF(AND($D121="Encerrado",Config!$D$18&lt;&gt;"",W121&lt;&gt;"Sim",W121&lt;&gt;"N/A"),Config!$D$18&amp;"; ","")&amp;IF(AND($D121="Encerrado",Config!$D$19&lt;&gt;"",X121&lt;&gt;"Sim",X121&lt;&gt;"N/A"),Config!$D$19&amp;"; ",""))</f>
        <v/>
      </c>
    </row>
    <row r="122">
      <c r="A122" s="29" t="n"/>
      <c r="B122" s="29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25">
        <f>IF(A122="","",IFERROR(COUNTIF(E122:N122,"Sim")/(Config!$B$21-COUNTIF(E122:N122,"N/A")),""))</f>
        <v/>
      </c>
      <c r="Z122" s="25">
        <f>IF(OR(A122="",D122&lt;&gt;"Encerrado"),"",IFERROR(COUNTIF(O122:X122,"Sim")/(Config!$D$21-COUNTIF(O122:X122,"N/A")),""))</f>
        <v/>
      </c>
      <c r="AA122" s="23">
        <f>IF(A122="","",MAX(0,Config!$B$21-COUNTIF(E122:N122,"Sim")-COUNTIF(E122:N122,"N/A")))</f>
        <v/>
      </c>
      <c r="AB122" s="23">
        <f>IF(OR(A122="",D122&lt;&gt;"Encerrado"),"",MAX(0,Config!$D$21-COUNTIF(O122:X122,"Sim")-COUNTIF(O122:X122,"N/A")))</f>
        <v/>
      </c>
      <c r="AC122" s="23">
        <f>IF(A122="","",AA122+IF(AB122="",0,AB122))</f>
        <v/>
      </c>
      <c r="AD122" s="24">
        <f>IF(OR(A122="",AF122=""),"",LEFT(AF122,LEN(AF122)-2))</f>
        <v/>
      </c>
      <c r="AE122" s="35">
        <f>IF(OR(A122="",AC122=0),0,AC122*100-ROW()/100000)</f>
        <v>0</v>
      </c>
      <c r="AF122" s="35">
        <f>IF(A122="","",IF(AND(Config!$B$10&lt;&gt;"",E122&lt;&gt;"Sim",E122&lt;&gt;"N/A"),Config!$B$10&amp;"; ","")&amp;IF(AND(Config!$B$11&lt;&gt;"",F122&lt;&gt;"Sim",F122&lt;&gt;"N/A"),Config!$B$11&amp;"; ","")&amp;IF(AND(Config!$B$12&lt;&gt;"",G122&lt;&gt;"Sim",G122&lt;&gt;"N/A"),Config!$B$12&amp;"; ","")&amp;IF(AND(Config!$B$13&lt;&gt;"",H122&lt;&gt;"Sim",H122&lt;&gt;"N/A"),Config!$B$13&amp;"; ","")&amp;IF(AND(Config!$B$14&lt;&gt;"",I122&lt;&gt;"Sim",I122&lt;&gt;"N/A"),Config!$B$14&amp;"; ","")&amp;IF(AND(Config!$B$15&lt;&gt;"",J122&lt;&gt;"Sim",J122&lt;&gt;"N/A"),Config!$B$15&amp;"; ","")&amp;IF(AND(Config!$B$16&lt;&gt;"",K122&lt;&gt;"Sim",K122&lt;&gt;"N/A"),Config!$B$16&amp;"; ","")&amp;IF(AND(Config!$B$17&lt;&gt;"",L122&lt;&gt;"Sim",L122&lt;&gt;"N/A"),Config!$B$17&amp;"; ","")&amp;IF(AND(Config!$B$18&lt;&gt;"",M122&lt;&gt;"Sim",M122&lt;&gt;"N/A"),Config!$B$18&amp;"; ","")&amp;IF(AND(Config!$B$19&lt;&gt;"",N122&lt;&gt;"Sim",N122&lt;&gt;"N/A"),Config!$B$19&amp;"; ","")&amp;IF(AND($D122="Encerrado",Config!$D$10&lt;&gt;"",O122&lt;&gt;"Sim",O122&lt;&gt;"N/A"),Config!$D$10&amp;"; ","")&amp;IF(AND($D122="Encerrado",Config!$D$11&lt;&gt;"",P122&lt;&gt;"Sim",P122&lt;&gt;"N/A"),Config!$D$11&amp;"; ","")&amp;IF(AND($D122="Encerrado",Config!$D$12&lt;&gt;"",Q122&lt;&gt;"Sim",Q122&lt;&gt;"N/A"),Config!$D$12&amp;"; ","")&amp;IF(AND($D122="Encerrado",Config!$D$13&lt;&gt;"",R122&lt;&gt;"Sim",R122&lt;&gt;"N/A"),Config!$D$13&amp;"; ","")&amp;IF(AND($D122="Encerrado",Config!$D$14&lt;&gt;"",S122&lt;&gt;"Sim",S122&lt;&gt;"N/A"),Config!$D$14&amp;"; ","")&amp;IF(AND($D122="Encerrado",Config!$D$15&lt;&gt;"",T122&lt;&gt;"Sim",T122&lt;&gt;"N/A"),Config!$D$15&amp;"; ","")&amp;IF(AND($D122="Encerrado",Config!$D$16&lt;&gt;"",U122&lt;&gt;"Sim",U122&lt;&gt;"N/A"),Config!$D$16&amp;"; ","")&amp;IF(AND($D122="Encerrado",Config!$D$17&lt;&gt;"",V122&lt;&gt;"Sim",V122&lt;&gt;"N/A"),Config!$D$17&amp;"; ","")&amp;IF(AND($D122="Encerrado",Config!$D$18&lt;&gt;"",W122&lt;&gt;"Sim",W122&lt;&gt;"N/A"),Config!$D$18&amp;"; ","")&amp;IF(AND($D122="Encerrado",Config!$D$19&lt;&gt;"",X122&lt;&gt;"Sim",X122&lt;&gt;"N/A"),Config!$D$19&amp;"; ",""))</f>
        <v/>
      </c>
    </row>
    <row r="123">
      <c r="A123" s="29" t="n"/>
      <c r="B123" s="29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25">
        <f>IF(A123="","",IFERROR(COUNTIF(E123:N123,"Sim")/(Config!$B$21-COUNTIF(E123:N123,"N/A")),""))</f>
        <v/>
      </c>
      <c r="Z123" s="25">
        <f>IF(OR(A123="",D123&lt;&gt;"Encerrado"),"",IFERROR(COUNTIF(O123:X123,"Sim")/(Config!$D$21-COUNTIF(O123:X123,"N/A")),""))</f>
        <v/>
      </c>
      <c r="AA123" s="23">
        <f>IF(A123="","",MAX(0,Config!$B$21-COUNTIF(E123:N123,"Sim")-COUNTIF(E123:N123,"N/A")))</f>
        <v/>
      </c>
      <c r="AB123" s="23">
        <f>IF(OR(A123="",D123&lt;&gt;"Encerrado"),"",MAX(0,Config!$D$21-COUNTIF(O123:X123,"Sim")-COUNTIF(O123:X123,"N/A")))</f>
        <v/>
      </c>
      <c r="AC123" s="23">
        <f>IF(A123="","",AA123+IF(AB123="",0,AB123))</f>
        <v/>
      </c>
      <c r="AD123" s="24">
        <f>IF(OR(A123="",AF123=""),"",LEFT(AF123,LEN(AF123)-2))</f>
        <v/>
      </c>
      <c r="AE123" s="35">
        <f>IF(OR(A123="",AC123=0),0,AC123*100-ROW()/100000)</f>
        <v>0</v>
      </c>
      <c r="AF123" s="35">
        <f>IF(A123="","",IF(AND(Config!$B$10&lt;&gt;"",E123&lt;&gt;"Sim",E123&lt;&gt;"N/A"),Config!$B$10&amp;"; ","")&amp;IF(AND(Config!$B$11&lt;&gt;"",F123&lt;&gt;"Sim",F123&lt;&gt;"N/A"),Config!$B$11&amp;"; ","")&amp;IF(AND(Config!$B$12&lt;&gt;"",G123&lt;&gt;"Sim",G123&lt;&gt;"N/A"),Config!$B$12&amp;"; ","")&amp;IF(AND(Config!$B$13&lt;&gt;"",H123&lt;&gt;"Sim",H123&lt;&gt;"N/A"),Config!$B$13&amp;"; ","")&amp;IF(AND(Config!$B$14&lt;&gt;"",I123&lt;&gt;"Sim",I123&lt;&gt;"N/A"),Config!$B$14&amp;"; ","")&amp;IF(AND(Config!$B$15&lt;&gt;"",J123&lt;&gt;"Sim",J123&lt;&gt;"N/A"),Config!$B$15&amp;"; ","")&amp;IF(AND(Config!$B$16&lt;&gt;"",K123&lt;&gt;"Sim",K123&lt;&gt;"N/A"),Config!$B$16&amp;"; ","")&amp;IF(AND(Config!$B$17&lt;&gt;"",L123&lt;&gt;"Sim",L123&lt;&gt;"N/A"),Config!$B$17&amp;"; ","")&amp;IF(AND(Config!$B$18&lt;&gt;"",M123&lt;&gt;"Sim",M123&lt;&gt;"N/A"),Config!$B$18&amp;"; ","")&amp;IF(AND(Config!$B$19&lt;&gt;"",N123&lt;&gt;"Sim",N123&lt;&gt;"N/A"),Config!$B$19&amp;"; ","")&amp;IF(AND($D123="Encerrado",Config!$D$10&lt;&gt;"",O123&lt;&gt;"Sim",O123&lt;&gt;"N/A"),Config!$D$10&amp;"; ","")&amp;IF(AND($D123="Encerrado",Config!$D$11&lt;&gt;"",P123&lt;&gt;"Sim",P123&lt;&gt;"N/A"),Config!$D$11&amp;"; ","")&amp;IF(AND($D123="Encerrado",Config!$D$12&lt;&gt;"",Q123&lt;&gt;"Sim",Q123&lt;&gt;"N/A"),Config!$D$12&amp;"; ","")&amp;IF(AND($D123="Encerrado",Config!$D$13&lt;&gt;"",R123&lt;&gt;"Sim",R123&lt;&gt;"N/A"),Config!$D$13&amp;"; ","")&amp;IF(AND($D123="Encerrado",Config!$D$14&lt;&gt;"",S123&lt;&gt;"Sim",S123&lt;&gt;"N/A"),Config!$D$14&amp;"; ","")&amp;IF(AND($D123="Encerrado",Config!$D$15&lt;&gt;"",T123&lt;&gt;"Sim",T123&lt;&gt;"N/A"),Config!$D$15&amp;"; ","")&amp;IF(AND($D123="Encerrado",Config!$D$16&lt;&gt;"",U123&lt;&gt;"Sim",U123&lt;&gt;"N/A"),Config!$D$16&amp;"; ","")&amp;IF(AND($D123="Encerrado",Config!$D$17&lt;&gt;"",V123&lt;&gt;"Sim",V123&lt;&gt;"N/A"),Config!$D$17&amp;"; ","")&amp;IF(AND($D123="Encerrado",Config!$D$18&lt;&gt;"",W123&lt;&gt;"Sim",W123&lt;&gt;"N/A"),Config!$D$18&amp;"; ","")&amp;IF(AND($D123="Encerrado",Config!$D$19&lt;&gt;"",X123&lt;&gt;"Sim",X123&lt;&gt;"N/A"),Config!$D$19&amp;"; ",""))</f>
        <v/>
      </c>
    </row>
    <row r="124">
      <c r="A124" s="29" t="n"/>
      <c r="B124" s="29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25">
        <f>IF(A124="","",IFERROR(COUNTIF(E124:N124,"Sim")/(Config!$B$21-COUNTIF(E124:N124,"N/A")),""))</f>
        <v/>
      </c>
      <c r="Z124" s="25">
        <f>IF(OR(A124="",D124&lt;&gt;"Encerrado"),"",IFERROR(COUNTIF(O124:X124,"Sim")/(Config!$D$21-COUNTIF(O124:X124,"N/A")),""))</f>
        <v/>
      </c>
      <c r="AA124" s="23">
        <f>IF(A124="","",MAX(0,Config!$B$21-COUNTIF(E124:N124,"Sim")-COUNTIF(E124:N124,"N/A")))</f>
        <v/>
      </c>
      <c r="AB124" s="23">
        <f>IF(OR(A124="",D124&lt;&gt;"Encerrado"),"",MAX(0,Config!$D$21-COUNTIF(O124:X124,"Sim")-COUNTIF(O124:X124,"N/A")))</f>
        <v/>
      </c>
      <c r="AC124" s="23">
        <f>IF(A124="","",AA124+IF(AB124="",0,AB124))</f>
        <v/>
      </c>
      <c r="AD124" s="24">
        <f>IF(OR(A124="",AF124=""),"",LEFT(AF124,LEN(AF124)-2))</f>
        <v/>
      </c>
      <c r="AE124" s="35">
        <f>IF(OR(A124="",AC124=0),0,AC124*100-ROW()/100000)</f>
        <v>0</v>
      </c>
      <c r="AF124" s="35">
        <f>IF(A124="","",IF(AND(Config!$B$10&lt;&gt;"",E124&lt;&gt;"Sim",E124&lt;&gt;"N/A"),Config!$B$10&amp;"; ","")&amp;IF(AND(Config!$B$11&lt;&gt;"",F124&lt;&gt;"Sim",F124&lt;&gt;"N/A"),Config!$B$11&amp;"; ","")&amp;IF(AND(Config!$B$12&lt;&gt;"",G124&lt;&gt;"Sim",G124&lt;&gt;"N/A"),Config!$B$12&amp;"; ","")&amp;IF(AND(Config!$B$13&lt;&gt;"",H124&lt;&gt;"Sim",H124&lt;&gt;"N/A"),Config!$B$13&amp;"; ","")&amp;IF(AND(Config!$B$14&lt;&gt;"",I124&lt;&gt;"Sim",I124&lt;&gt;"N/A"),Config!$B$14&amp;"; ","")&amp;IF(AND(Config!$B$15&lt;&gt;"",J124&lt;&gt;"Sim",J124&lt;&gt;"N/A"),Config!$B$15&amp;"; ","")&amp;IF(AND(Config!$B$16&lt;&gt;"",K124&lt;&gt;"Sim",K124&lt;&gt;"N/A"),Config!$B$16&amp;"; ","")&amp;IF(AND(Config!$B$17&lt;&gt;"",L124&lt;&gt;"Sim",L124&lt;&gt;"N/A"),Config!$B$17&amp;"; ","")&amp;IF(AND(Config!$B$18&lt;&gt;"",M124&lt;&gt;"Sim",M124&lt;&gt;"N/A"),Config!$B$18&amp;"; ","")&amp;IF(AND(Config!$B$19&lt;&gt;"",N124&lt;&gt;"Sim",N124&lt;&gt;"N/A"),Config!$B$19&amp;"; ","")&amp;IF(AND($D124="Encerrado",Config!$D$10&lt;&gt;"",O124&lt;&gt;"Sim",O124&lt;&gt;"N/A"),Config!$D$10&amp;"; ","")&amp;IF(AND($D124="Encerrado",Config!$D$11&lt;&gt;"",P124&lt;&gt;"Sim",P124&lt;&gt;"N/A"),Config!$D$11&amp;"; ","")&amp;IF(AND($D124="Encerrado",Config!$D$12&lt;&gt;"",Q124&lt;&gt;"Sim",Q124&lt;&gt;"N/A"),Config!$D$12&amp;"; ","")&amp;IF(AND($D124="Encerrado",Config!$D$13&lt;&gt;"",R124&lt;&gt;"Sim",R124&lt;&gt;"N/A"),Config!$D$13&amp;"; ","")&amp;IF(AND($D124="Encerrado",Config!$D$14&lt;&gt;"",S124&lt;&gt;"Sim",S124&lt;&gt;"N/A"),Config!$D$14&amp;"; ","")&amp;IF(AND($D124="Encerrado",Config!$D$15&lt;&gt;"",T124&lt;&gt;"Sim",T124&lt;&gt;"N/A"),Config!$D$15&amp;"; ","")&amp;IF(AND($D124="Encerrado",Config!$D$16&lt;&gt;"",U124&lt;&gt;"Sim",U124&lt;&gt;"N/A"),Config!$D$16&amp;"; ","")&amp;IF(AND($D124="Encerrado",Config!$D$17&lt;&gt;"",V124&lt;&gt;"Sim",V124&lt;&gt;"N/A"),Config!$D$17&amp;"; ","")&amp;IF(AND($D124="Encerrado",Config!$D$18&lt;&gt;"",W124&lt;&gt;"Sim",W124&lt;&gt;"N/A"),Config!$D$18&amp;"; ","")&amp;IF(AND($D124="Encerrado",Config!$D$19&lt;&gt;"",X124&lt;&gt;"Sim",X124&lt;&gt;"N/A"),Config!$D$19&amp;"; ",""))</f>
        <v/>
      </c>
    </row>
    <row r="125">
      <c r="A125" s="29" t="n"/>
      <c r="B125" s="29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25">
        <f>IF(A125="","",IFERROR(COUNTIF(E125:N125,"Sim")/(Config!$B$21-COUNTIF(E125:N125,"N/A")),""))</f>
        <v/>
      </c>
      <c r="Z125" s="25">
        <f>IF(OR(A125="",D125&lt;&gt;"Encerrado"),"",IFERROR(COUNTIF(O125:X125,"Sim")/(Config!$D$21-COUNTIF(O125:X125,"N/A")),""))</f>
        <v/>
      </c>
      <c r="AA125" s="23">
        <f>IF(A125="","",MAX(0,Config!$B$21-COUNTIF(E125:N125,"Sim")-COUNTIF(E125:N125,"N/A")))</f>
        <v/>
      </c>
      <c r="AB125" s="23">
        <f>IF(OR(A125="",D125&lt;&gt;"Encerrado"),"",MAX(0,Config!$D$21-COUNTIF(O125:X125,"Sim")-COUNTIF(O125:X125,"N/A")))</f>
        <v/>
      </c>
      <c r="AC125" s="23">
        <f>IF(A125="","",AA125+IF(AB125="",0,AB125))</f>
        <v/>
      </c>
      <c r="AD125" s="24">
        <f>IF(OR(A125="",AF125=""),"",LEFT(AF125,LEN(AF125)-2))</f>
        <v/>
      </c>
      <c r="AE125" s="35">
        <f>IF(OR(A125="",AC125=0),0,AC125*100-ROW()/100000)</f>
        <v>0</v>
      </c>
      <c r="AF125" s="35">
        <f>IF(A125="","",IF(AND(Config!$B$10&lt;&gt;"",E125&lt;&gt;"Sim",E125&lt;&gt;"N/A"),Config!$B$10&amp;"; ","")&amp;IF(AND(Config!$B$11&lt;&gt;"",F125&lt;&gt;"Sim",F125&lt;&gt;"N/A"),Config!$B$11&amp;"; ","")&amp;IF(AND(Config!$B$12&lt;&gt;"",G125&lt;&gt;"Sim",G125&lt;&gt;"N/A"),Config!$B$12&amp;"; ","")&amp;IF(AND(Config!$B$13&lt;&gt;"",H125&lt;&gt;"Sim",H125&lt;&gt;"N/A"),Config!$B$13&amp;"; ","")&amp;IF(AND(Config!$B$14&lt;&gt;"",I125&lt;&gt;"Sim",I125&lt;&gt;"N/A"),Config!$B$14&amp;"; ","")&amp;IF(AND(Config!$B$15&lt;&gt;"",J125&lt;&gt;"Sim",J125&lt;&gt;"N/A"),Config!$B$15&amp;"; ","")&amp;IF(AND(Config!$B$16&lt;&gt;"",K125&lt;&gt;"Sim",K125&lt;&gt;"N/A"),Config!$B$16&amp;"; ","")&amp;IF(AND(Config!$B$17&lt;&gt;"",L125&lt;&gt;"Sim",L125&lt;&gt;"N/A"),Config!$B$17&amp;"; ","")&amp;IF(AND(Config!$B$18&lt;&gt;"",M125&lt;&gt;"Sim",M125&lt;&gt;"N/A"),Config!$B$18&amp;"; ","")&amp;IF(AND(Config!$B$19&lt;&gt;"",N125&lt;&gt;"Sim",N125&lt;&gt;"N/A"),Config!$B$19&amp;"; ","")&amp;IF(AND($D125="Encerrado",Config!$D$10&lt;&gt;"",O125&lt;&gt;"Sim",O125&lt;&gt;"N/A"),Config!$D$10&amp;"; ","")&amp;IF(AND($D125="Encerrado",Config!$D$11&lt;&gt;"",P125&lt;&gt;"Sim",P125&lt;&gt;"N/A"),Config!$D$11&amp;"; ","")&amp;IF(AND($D125="Encerrado",Config!$D$12&lt;&gt;"",Q125&lt;&gt;"Sim",Q125&lt;&gt;"N/A"),Config!$D$12&amp;"; ","")&amp;IF(AND($D125="Encerrado",Config!$D$13&lt;&gt;"",R125&lt;&gt;"Sim",R125&lt;&gt;"N/A"),Config!$D$13&amp;"; ","")&amp;IF(AND($D125="Encerrado",Config!$D$14&lt;&gt;"",S125&lt;&gt;"Sim",S125&lt;&gt;"N/A"),Config!$D$14&amp;"; ","")&amp;IF(AND($D125="Encerrado",Config!$D$15&lt;&gt;"",T125&lt;&gt;"Sim",T125&lt;&gt;"N/A"),Config!$D$15&amp;"; ","")&amp;IF(AND($D125="Encerrado",Config!$D$16&lt;&gt;"",U125&lt;&gt;"Sim",U125&lt;&gt;"N/A"),Config!$D$16&amp;"; ","")&amp;IF(AND($D125="Encerrado",Config!$D$17&lt;&gt;"",V125&lt;&gt;"Sim",V125&lt;&gt;"N/A"),Config!$D$17&amp;"; ","")&amp;IF(AND($D125="Encerrado",Config!$D$18&lt;&gt;"",W125&lt;&gt;"Sim",W125&lt;&gt;"N/A"),Config!$D$18&amp;"; ","")&amp;IF(AND($D125="Encerrado",Config!$D$19&lt;&gt;"",X125&lt;&gt;"Sim",X125&lt;&gt;"N/A"),Config!$D$19&amp;"; ",""))</f>
        <v/>
      </c>
    </row>
    <row r="126">
      <c r="A126" s="29" t="n"/>
      <c r="B126" s="29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25">
        <f>IF(A126="","",IFERROR(COUNTIF(E126:N126,"Sim")/(Config!$B$21-COUNTIF(E126:N126,"N/A")),""))</f>
        <v/>
      </c>
      <c r="Z126" s="25">
        <f>IF(OR(A126="",D126&lt;&gt;"Encerrado"),"",IFERROR(COUNTIF(O126:X126,"Sim")/(Config!$D$21-COUNTIF(O126:X126,"N/A")),""))</f>
        <v/>
      </c>
      <c r="AA126" s="23">
        <f>IF(A126="","",MAX(0,Config!$B$21-COUNTIF(E126:N126,"Sim")-COUNTIF(E126:N126,"N/A")))</f>
        <v/>
      </c>
      <c r="AB126" s="23">
        <f>IF(OR(A126="",D126&lt;&gt;"Encerrado"),"",MAX(0,Config!$D$21-COUNTIF(O126:X126,"Sim")-COUNTIF(O126:X126,"N/A")))</f>
        <v/>
      </c>
      <c r="AC126" s="23">
        <f>IF(A126="","",AA126+IF(AB126="",0,AB126))</f>
        <v/>
      </c>
      <c r="AD126" s="24">
        <f>IF(OR(A126="",AF126=""),"",LEFT(AF126,LEN(AF126)-2))</f>
        <v/>
      </c>
      <c r="AE126" s="35">
        <f>IF(OR(A126="",AC126=0),0,AC126*100-ROW()/100000)</f>
        <v>0</v>
      </c>
      <c r="AF126" s="35">
        <f>IF(A126="","",IF(AND(Config!$B$10&lt;&gt;"",E126&lt;&gt;"Sim",E126&lt;&gt;"N/A"),Config!$B$10&amp;"; ","")&amp;IF(AND(Config!$B$11&lt;&gt;"",F126&lt;&gt;"Sim",F126&lt;&gt;"N/A"),Config!$B$11&amp;"; ","")&amp;IF(AND(Config!$B$12&lt;&gt;"",G126&lt;&gt;"Sim",G126&lt;&gt;"N/A"),Config!$B$12&amp;"; ","")&amp;IF(AND(Config!$B$13&lt;&gt;"",H126&lt;&gt;"Sim",H126&lt;&gt;"N/A"),Config!$B$13&amp;"; ","")&amp;IF(AND(Config!$B$14&lt;&gt;"",I126&lt;&gt;"Sim",I126&lt;&gt;"N/A"),Config!$B$14&amp;"; ","")&amp;IF(AND(Config!$B$15&lt;&gt;"",J126&lt;&gt;"Sim",J126&lt;&gt;"N/A"),Config!$B$15&amp;"; ","")&amp;IF(AND(Config!$B$16&lt;&gt;"",K126&lt;&gt;"Sim",K126&lt;&gt;"N/A"),Config!$B$16&amp;"; ","")&amp;IF(AND(Config!$B$17&lt;&gt;"",L126&lt;&gt;"Sim",L126&lt;&gt;"N/A"),Config!$B$17&amp;"; ","")&amp;IF(AND(Config!$B$18&lt;&gt;"",M126&lt;&gt;"Sim",M126&lt;&gt;"N/A"),Config!$B$18&amp;"; ","")&amp;IF(AND(Config!$B$19&lt;&gt;"",N126&lt;&gt;"Sim",N126&lt;&gt;"N/A"),Config!$B$19&amp;"; ","")&amp;IF(AND($D126="Encerrado",Config!$D$10&lt;&gt;"",O126&lt;&gt;"Sim",O126&lt;&gt;"N/A"),Config!$D$10&amp;"; ","")&amp;IF(AND($D126="Encerrado",Config!$D$11&lt;&gt;"",P126&lt;&gt;"Sim",P126&lt;&gt;"N/A"),Config!$D$11&amp;"; ","")&amp;IF(AND($D126="Encerrado",Config!$D$12&lt;&gt;"",Q126&lt;&gt;"Sim",Q126&lt;&gt;"N/A"),Config!$D$12&amp;"; ","")&amp;IF(AND($D126="Encerrado",Config!$D$13&lt;&gt;"",R126&lt;&gt;"Sim",R126&lt;&gt;"N/A"),Config!$D$13&amp;"; ","")&amp;IF(AND($D126="Encerrado",Config!$D$14&lt;&gt;"",S126&lt;&gt;"Sim",S126&lt;&gt;"N/A"),Config!$D$14&amp;"; ","")&amp;IF(AND($D126="Encerrado",Config!$D$15&lt;&gt;"",T126&lt;&gt;"Sim",T126&lt;&gt;"N/A"),Config!$D$15&amp;"; ","")&amp;IF(AND($D126="Encerrado",Config!$D$16&lt;&gt;"",U126&lt;&gt;"Sim",U126&lt;&gt;"N/A"),Config!$D$16&amp;"; ","")&amp;IF(AND($D126="Encerrado",Config!$D$17&lt;&gt;"",V126&lt;&gt;"Sim",V126&lt;&gt;"N/A"),Config!$D$17&amp;"; ","")&amp;IF(AND($D126="Encerrado",Config!$D$18&lt;&gt;"",W126&lt;&gt;"Sim",W126&lt;&gt;"N/A"),Config!$D$18&amp;"; ","")&amp;IF(AND($D126="Encerrado",Config!$D$19&lt;&gt;"",X126&lt;&gt;"Sim",X126&lt;&gt;"N/A"),Config!$D$19&amp;"; ",""))</f>
        <v/>
      </c>
    </row>
    <row r="127">
      <c r="A127" s="29" t="n"/>
      <c r="B127" s="29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25">
        <f>IF(A127="","",IFERROR(COUNTIF(E127:N127,"Sim")/(Config!$B$21-COUNTIF(E127:N127,"N/A")),""))</f>
        <v/>
      </c>
      <c r="Z127" s="25">
        <f>IF(OR(A127="",D127&lt;&gt;"Encerrado"),"",IFERROR(COUNTIF(O127:X127,"Sim")/(Config!$D$21-COUNTIF(O127:X127,"N/A")),""))</f>
        <v/>
      </c>
      <c r="AA127" s="23">
        <f>IF(A127="","",MAX(0,Config!$B$21-COUNTIF(E127:N127,"Sim")-COUNTIF(E127:N127,"N/A")))</f>
        <v/>
      </c>
      <c r="AB127" s="23">
        <f>IF(OR(A127="",D127&lt;&gt;"Encerrado"),"",MAX(0,Config!$D$21-COUNTIF(O127:X127,"Sim")-COUNTIF(O127:X127,"N/A")))</f>
        <v/>
      </c>
      <c r="AC127" s="23">
        <f>IF(A127="","",AA127+IF(AB127="",0,AB127))</f>
        <v/>
      </c>
      <c r="AD127" s="24">
        <f>IF(OR(A127="",AF127=""),"",LEFT(AF127,LEN(AF127)-2))</f>
        <v/>
      </c>
      <c r="AE127" s="35">
        <f>IF(OR(A127="",AC127=0),0,AC127*100-ROW()/100000)</f>
        <v>0</v>
      </c>
      <c r="AF127" s="35">
        <f>IF(A127="","",IF(AND(Config!$B$10&lt;&gt;"",E127&lt;&gt;"Sim",E127&lt;&gt;"N/A"),Config!$B$10&amp;"; ","")&amp;IF(AND(Config!$B$11&lt;&gt;"",F127&lt;&gt;"Sim",F127&lt;&gt;"N/A"),Config!$B$11&amp;"; ","")&amp;IF(AND(Config!$B$12&lt;&gt;"",G127&lt;&gt;"Sim",G127&lt;&gt;"N/A"),Config!$B$12&amp;"; ","")&amp;IF(AND(Config!$B$13&lt;&gt;"",H127&lt;&gt;"Sim",H127&lt;&gt;"N/A"),Config!$B$13&amp;"; ","")&amp;IF(AND(Config!$B$14&lt;&gt;"",I127&lt;&gt;"Sim",I127&lt;&gt;"N/A"),Config!$B$14&amp;"; ","")&amp;IF(AND(Config!$B$15&lt;&gt;"",J127&lt;&gt;"Sim",J127&lt;&gt;"N/A"),Config!$B$15&amp;"; ","")&amp;IF(AND(Config!$B$16&lt;&gt;"",K127&lt;&gt;"Sim",K127&lt;&gt;"N/A"),Config!$B$16&amp;"; ","")&amp;IF(AND(Config!$B$17&lt;&gt;"",L127&lt;&gt;"Sim",L127&lt;&gt;"N/A"),Config!$B$17&amp;"; ","")&amp;IF(AND(Config!$B$18&lt;&gt;"",M127&lt;&gt;"Sim",M127&lt;&gt;"N/A"),Config!$B$18&amp;"; ","")&amp;IF(AND(Config!$B$19&lt;&gt;"",N127&lt;&gt;"Sim",N127&lt;&gt;"N/A"),Config!$B$19&amp;"; ","")&amp;IF(AND($D127="Encerrado",Config!$D$10&lt;&gt;"",O127&lt;&gt;"Sim",O127&lt;&gt;"N/A"),Config!$D$10&amp;"; ","")&amp;IF(AND($D127="Encerrado",Config!$D$11&lt;&gt;"",P127&lt;&gt;"Sim",P127&lt;&gt;"N/A"),Config!$D$11&amp;"; ","")&amp;IF(AND($D127="Encerrado",Config!$D$12&lt;&gt;"",Q127&lt;&gt;"Sim",Q127&lt;&gt;"N/A"),Config!$D$12&amp;"; ","")&amp;IF(AND($D127="Encerrado",Config!$D$13&lt;&gt;"",R127&lt;&gt;"Sim",R127&lt;&gt;"N/A"),Config!$D$13&amp;"; ","")&amp;IF(AND($D127="Encerrado",Config!$D$14&lt;&gt;"",S127&lt;&gt;"Sim",S127&lt;&gt;"N/A"),Config!$D$14&amp;"; ","")&amp;IF(AND($D127="Encerrado",Config!$D$15&lt;&gt;"",T127&lt;&gt;"Sim",T127&lt;&gt;"N/A"),Config!$D$15&amp;"; ","")&amp;IF(AND($D127="Encerrado",Config!$D$16&lt;&gt;"",U127&lt;&gt;"Sim",U127&lt;&gt;"N/A"),Config!$D$16&amp;"; ","")&amp;IF(AND($D127="Encerrado",Config!$D$17&lt;&gt;"",V127&lt;&gt;"Sim",V127&lt;&gt;"N/A"),Config!$D$17&amp;"; ","")&amp;IF(AND($D127="Encerrado",Config!$D$18&lt;&gt;"",W127&lt;&gt;"Sim",W127&lt;&gt;"N/A"),Config!$D$18&amp;"; ","")&amp;IF(AND($D127="Encerrado",Config!$D$19&lt;&gt;"",X127&lt;&gt;"Sim",X127&lt;&gt;"N/A"),Config!$D$19&amp;"; ",""))</f>
        <v/>
      </c>
    </row>
    <row r="128">
      <c r="A128" s="29" t="n"/>
      <c r="B128" s="29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25">
        <f>IF(A128="","",IFERROR(COUNTIF(E128:N128,"Sim")/(Config!$B$21-COUNTIF(E128:N128,"N/A")),""))</f>
        <v/>
      </c>
      <c r="Z128" s="25">
        <f>IF(OR(A128="",D128&lt;&gt;"Encerrado"),"",IFERROR(COUNTIF(O128:X128,"Sim")/(Config!$D$21-COUNTIF(O128:X128,"N/A")),""))</f>
        <v/>
      </c>
      <c r="AA128" s="23">
        <f>IF(A128="","",MAX(0,Config!$B$21-COUNTIF(E128:N128,"Sim")-COUNTIF(E128:N128,"N/A")))</f>
        <v/>
      </c>
      <c r="AB128" s="23">
        <f>IF(OR(A128="",D128&lt;&gt;"Encerrado"),"",MAX(0,Config!$D$21-COUNTIF(O128:X128,"Sim")-COUNTIF(O128:X128,"N/A")))</f>
        <v/>
      </c>
      <c r="AC128" s="23">
        <f>IF(A128="","",AA128+IF(AB128="",0,AB128))</f>
        <v/>
      </c>
      <c r="AD128" s="24">
        <f>IF(OR(A128="",AF128=""),"",LEFT(AF128,LEN(AF128)-2))</f>
        <v/>
      </c>
      <c r="AE128" s="35">
        <f>IF(OR(A128="",AC128=0),0,AC128*100-ROW()/100000)</f>
        <v>0</v>
      </c>
      <c r="AF128" s="35">
        <f>IF(A128="","",IF(AND(Config!$B$10&lt;&gt;"",E128&lt;&gt;"Sim",E128&lt;&gt;"N/A"),Config!$B$10&amp;"; ","")&amp;IF(AND(Config!$B$11&lt;&gt;"",F128&lt;&gt;"Sim",F128&lt;&gt;"N/A"),Config!$B$11&amp;"; ","")&amp;IF(AND(Config!$B$12&lt;&gt;"",G128&lt;&gt;"Sim",G128&lt;&gt;"N/A"),Config!$B$12&amp;"; ","")&amp;IF(AND(Config!$B$13&lt;&gt;"",H128&lt;&gt;"Sim",H128&lt;&gt;"N/A"),Config!$B$13&amp;"; ","")&amp;IF(AND(Config!$B$14&lt;&gt;"",I128&lt;&gt;"Sim",I128&lt;&gt;"N/A"),Config!$B$14&amp;"; ","")&amp;IF(AND(Config!$B$15&lt;&gt;"",J128&lt;&gt;"Sim",J128&lt;&gt;"N/A"),Config!$B$15&amp;"; ","")&amp;IF(AND(Config!$B$16&lt;&gt;"",K128&lt;&gt;"Sim",K128&lt;&gt;"N/A"),Config!$B$16&amp;"; ","")&amp;IF(AND(Config!$B$17&lt;&gt;"",L128&lt;&gt;"Sim",L128&lt;&gt;"N/A"),Config!$B$17&amp;"; ","")&amp;IF(AND(Config!$B$18&lt;&gt;"",M128&lt;&gt;"Sim",M128&lt;&gt;"N/A"),Config!$B$18&amp;"; ","")&amp;IF(AND(Config!$B$19&lt;&gt;"",N128&lt;&gt;"Sim",N128&lt;&gt;"N/A"),Config!$B$19&amp;"; ","")&amp;IF(AND($D128="Encerrado",Config!$D$10&lt;&gt;"",O128&lt;&gt;"Sim",O128&lt;&gt;"N/A"),Config!$D$10&amp;"; ","")&amp;IF(AND($D128="Encerrado",Config!$D$11&lt;&gt;"",P128&lt;&gt;"Sim",P128&lt;&gt;"N/A"),Config!$D$11&amp;"; ","")&amp;IF(AND($D128="Encerrado",Config!$D$12&lt;&gt;"",Q128&lt;&gt;"Sim",Q128&lt;&gt;"N/A"),Config!$D$12&amp;"; ","")&amp;IF(AND($D128="Encerrado",Config!$D$13&lt;&gt;"",R128&lt;&gt;"Sim",R128&lt;&gt;"N/A"),Config!$D$13&amp;"; ","")&amp;IF(AND($D128="Encerrado",Config!$D$14&lt;&gt;"",S128&lt;&gt;"Sim",S128&lt;&gt;"N/A"),Config!$D$14&amp;"; ","")&amp;IF(AND($D128="Encerrado",Config!$D$15&lt;&gt;"",T128&lt;&gt;"Sim",T128&lt;&gt;"N/A"),Config!$D$15&amp;"; ","")&amp;IF(AND($D128="Encerrado",Config!$D$16&lt;&gt;"",U128&lt;&gt;"Sim",U128&lt;&gt;"N/A"),Config!$D$16&amp;"; ","")&amp;IF(AND($D128="Encerrado",Config!$D$17&lt;&gt;"",V128&lt;&gt;"Sim",V128&lt;&gt;"N/A"),Config!$D$17&amp;"; ","")&amp;IF(AND($D128="Encerrado",Config!$D$18&lt;&gt;"",W128&lt;&gt;"Sim",W128&lt;&gt;"N/A"),Config!$D$18&amp;"; ","")&amp;IF(AND($D128="Encerrado",Config!$D$19&lt;&gt;"",X128&lt;&gt;"Sim",X128&lt;&gt;"N/A"),Config!$D$19&amp;"; ",""))</f>
        <v/>
      </c>
    </row>
    <row r="129">
      <c r="A129" s="29" t="n"/>
      <c r="B129" s="29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25">
        <f>IF(A129="","",IFERROR(COUNTIF(E129:N129,"Sim")/(Config!$B$21-COUNTIF(E129:N129,"N/A")),""))</f>
        <v/>
      </c>
      <c r="Z129" s="25">
        <f>IF(OR(A129="",D129&lt;&gt;"Encerrado"),"",IFERROR(COUNTIF(O129:X129,"Sim")/(Config!$D$21-COUNTIF(O129:X129,"N/A")),""))</f>
        <v/>
      </c>
      <c r="AA129" s="23">
        <f>IF(A129="","",MAX(0,Config!$B$21-COUNTIF(E129:N129,"Sim")-COUNTIF(E129:N129,"N/A")))</f>
        <v/>
      </c>
      <c r="AB129" s="23">
        <f>IF(OR(A129="",D129&lt;&gt;"Encerrado"),"",MAX(0,Config!$D$21-COUNTIF(O129:X129,"Sim")-COUNTIF(O129:X129,"N/A")))</f>
        <v/>
      </c>
      <c r="AC129" s="23">
        <f>IF(A129="","",AA129+IF(AB129="",0,AB129))</f>
        <v/>
      </c>
      <c r="AD129" s="24">
        <f>IF(OR(A129="",AF129=""),"",LEFT(AF129,LEN(AF129)-2))</f>
        <v/>
      </c>
      <c r="AE129" s="35">
        <f>IF(OR(A129="",AC129=0),0,AC129*100-ROW()/100000)</f>
        <v>0</v>
      </c>
      <c r="AF129" s="35">
        <f>IF(A129="","",IF(AND(Config!$B$10&lt;&gt;"",E129&lt;&gt;"Sim",E129&lt;&gt;"N/A"),Config!$B$10&amp;"; ","")&amp;IF(AND(Config!$B$11&lt;&gt;"",F129&lt;&gt;"Sim",F129&lt;&gt;"N/A"),Config!$B$11&amp;"; ","")&amp;IF(AND(Config!$B$12&lt;&gt;"",G129&lt;&gt;"Sim",G129&lt;&gt;"N/A"),Config!$B$12&amp;"; ","")&amp;IF(AND(Config!$B$13&lt;&gt;"",H129&lt;&gt;"Sim",H129&lt;&gt;"N/A"),Config!$B$13&amp;"; ","")&amp;IF(AND(Config!$B$14&lt;&gt;"",I129&lt;&gt;"Sim",I129&lt;&gt;"N/A"),Config!$B$14&amp;"; ","")&amp;IF(AND(Config!$B$15&lt;&gt;"",J129&lt;&gt;"Sim",J129&lt;&gt;"N/A"),Config!$B$15&amp;"; ","")&amp;IF(AND(Config!$B$16&lt;&gt;"",K129&lt;&gt;"Sim",K129&lt;&gt;"N/A"),Config!$B$16&amp;"; ","")&amp;IF(AND(Config!$B$17&lt;&gt;"",L129&lt;&gt;"Sim",L129&lt;&gt;"N/A"),Config!$B$17&amp;"; ","")&amp;IF(AND(Config!$B$18&lt;&gt;"",M129&lt;&gt;"Sim",M129&lt;&gt;"N/A"),Config!$B$18&amp;"; ","")&amp;IF(AND(Config!$B$19&lt;&gt;"",N129&lt;&gt;"Sim",N129&lt;&gt;"N/A"),Config!$B$19&amp;"; ","")&amp;IF(AND($D129="Encerrado",Config!$D$10&lt;&gt;"",O129&lt;&gt;"Sim",O129&lt;&gt;"N/A"),Config!$D$10&amp;"; ","")&amp;IF(AND($D129="Encerrado",Config!$D$11&lt;&gt;"",P129&lt;&gt;"Sim",P129&lt;&gt;"N/A"),Config!$D$11&amp;"; ","")&amp;IF(AND($D129="Encerrado",Config!$D$12&lt;&gt;"",Q129&lt;&gt;"Sim",Q129&lt;&gt;"N/A"),Config!$D$12&amp;"; ","")&amp;IF(AND($D129="Encerrado",Config!$D$13&lt;&gt;"",R129&lt;&gt;"Sim",R129&lt;&gt;"N/A"),Config!$D$13&amp;"; ","")&amp;IF(AND($D129="Encerrado",Config!$D$14&lt;&gt;"",S129&lt;&gt;"Sim",S129&lt;&gt;"N/A"),Config!$D$14&amp;"; ","")&amp;IF(AND($D129="Encerrado",Config!$D$15&lt;&gt;"",T129&lt;&gt;"Sim",T129&lt;&gt;"N/A"),Config!$D$15&amp;"; ","")&amp;IF(AND($D129="Encerrado",Config!$D$16&lt;&gt;"",U129&lt;&gt;"Sim",U129&lt;&gt;"N/A"),Config!$D$16&amp;"; ","")&amp;IF(AND($D129="Encerrado",Config!$D$17&lt;&gt;"",V129&lt;&gt;"Sim",V129&lt;&gt;"N/A"),Config!$D$17&amp;"; ","")&amp;IF(AND($D129="Encerrado",Config!$D$18&lt;&gt;"",W129&lt;&gt;"Sim",W129&lt;&gt;"N/A"),Config!$D$18&amp;"; ","")&amp;IF(AND($D129="Encerrado",Config!$D$19&lt;&gt;"",X129&lt;&gt;"Sim",X129&lt;&gt;"N/A"),Config!$D$19&amp;"; ",""))</f>
        <v/>
      </c>
    </row>
    <row r="130">
      <c r="A130" s="29" t="n"/>
      <c r="B130" s="29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25">
        <f>IF(A130="","",IFERROR(COUNTIF(E130:N130,"Sim")/(Config!$B$21-COUNTIF(E130:N130,"N/A")),""))</f>
        <v/>
      </c>
      <c r="Z130" s="25">
        <f>IF(OR(A130="",D130&lt;&gt;"Encerrado"),"",IFERROR(COUNTIF(O130:X130,"Sim")/(Config!$D$21-COUNTIF(O130:X130,"N/A")),""))</f>
        <v/>
      </c>
      <c r="AA130" s="23">
        <f>IF(A130="","",MAX(0,Config!$B$21-COUNTIF(E130:N130,"Sim")-COUNTIF(E130:N130,"N/A")))</f>
        <v/>
      </c>
      <c r="AB130" s="23">
        <f>IF(OR(A130="",D130&lt;&gt;"Encerrado"),"",MAX(0,Config!$D$21-COUNTIF(O130:X130,"Sim")-COUNTIF(O130:X130,"N/A")))</f>
        <v/>
      </c>
      <c r="AC130" s="23">
        <f>IF(A130="","",AA130+IF(AB130="",0,AB130))</f>
        <v/>
      </c>
      <c r="AD130" s="24">
        <f>IF(OR(A130="",AF130=""),"",LEFT(AF130,LEN(AF130)-2))</f>
        <v/>
      </c>
      <c r="AE130" s="35">
        <f>IF(OR(A130="",AC130=0),0,AC130*100-ROW()/100000)</f>
        <v>0</v>
      </c>
      <c r="AF130" s="35">
        <f>IF(A130="","",IF(AND(Config!$B$10&lt;&gt;"",E130&lt;&gt;"Sim",E130&lt;&gt;"N/A"),Config!$B$10&amp;"; ","")&amp;IF(AND(Config!$B$11&lt;&gt;"",F130&lt;&gt;"Sim",F130&lt;&gt;"N/A"),Config!$B$11&amp;"; ","")&amp;IF(AND(Config!$B$12&lt;&gt;"",G130&lt;&gt;"Sim",G130&lt;&gt;"N/A"),Config!$B$12&amp;"; ","")&amp;IF(AND(Config!$B$13&lt;&gt;"",H130&lt;&gt;"Sim",H130&lt;&gt;"N/A"),Config!$B$13&amp;"; ","")&amp;IF(AND(Config!$B$14&lt;&gt;"",I130&lt;&gt;"Sim",I130&lt;&gt;"N/A"),Config!$B$14&amp;"; ","")&amp;IF(AND(Config!$B$15&lt;&gt;"",J130&lt;&gt;"Sim",J130&lt;&gt;"N/A"),Config!$B$15&amp;"; ","")&amp;IF(AND(Config!$B$16&lt;&gt;"",K130&lt;&gt;"Sim",K130&lt;&gt;"N/A"),Config!$B$16&amp;"; ","")&amp;IF(AND(Config!$B$17&lt;&gt;"",L130&lt;&gt;"Sim",L130&lt;&gt;"N/A"),Config!$B$17&amp;"; ","")&amp;IF(AND(Config!$B$18&lt;&gt;"",M130&lt;&gt;"Sim",M130&lt;&gt;"N/A"),Config!$B$18&amp;"; ","")&amp;IF(AND(Config!$B$19&lt;&gt;"",N130&lt;&gt;"Sim",N130&lt;&gt;"N/A"),Config!$B$19&amp;"; ","")&amp;IF(AND($D130="Encerrado",Config!$D$10&lt;&gt;"",O130&lt;&gt;"Sim",O130&lt;&gt;"N/A"),Config!$D$10&amp;"; ","")&amp;IF(AND($D130="Encerrado",Config!$D$11&lt;&gt;"",P130&lt;&gt;"Sim",P130&lt;&gt;"N/A"),Config!$D$11&amp;"; ","")&amp;IF(AND($D130="Encerrado",Config!$D$12&lt;&gt;"",Q130&lt;&gt;"Sim",Q130&lt;&gt;"N/A"),Config!$D$12&amp;"; ","")&amp;IF(AND($D130="Encerrado",Config!$D$13&lt;&gt;"",R130&lt;&gt;"Sim",R130&lt;&gt;"N/A"),Config!$D$13&amp;"; ","")&amp;IF(AND($D130="Encerrado",Config!$D$14&lt;&gt;"",S130&lt;&gt;"Sim",S130&lt;&gt;"N/A"),Config!$D$14&amp;"; ","")&amp;IF(AND($D130="Encerrado",Config!$D$15&lt;&gt;"",T130&lt;&gt;"Sim",T130&lt;&gt;"N/A"),Config!$D$15&amp;"; ","")&amp;IF(AND($D130="Encerrado",Config!$D$16&lt;&gt;"",U130&lt;&gt;"Sim",U130&lt;&gt;"N/A"),Config!$D$16&amp;"; ","")&amp;IF(AND($D130="Encerrado",Config!$D$17&lt;&gt;"",V130&lt;&gt;"Sim",V130&lt;&gt;"N/A"),Config!$D$17&amp;"; ","")&amp;IF(AND($D130="Encerrado",Config!$D$18&lt;&gt;"",W130&lt;&gt;"Sim",W130&lt;&gt;"N/A"),Config!$D$18&amp;"; ","")&amp;IF(AND($D130="Encerrado",Config!$D$19&lt;&gt;"",X130&lt;&gt;"Sim",X130&lt;&gt;"N/A"),Config!$D$19&amp;"; ",""))</f>
        <v/>
      </c>
    </row>
    <row r="131">
      <c r="A131" s="29" t="n"/>
      <c r="B131" s="29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25">
        <f>IF(A131="","",IFERROR(COUNTIF(E131:N131,"Sim")/(Config!$B$21-COUNTIF(E131:N131,"N/A")),""))</f>
        <v/>
      </c>
      <c r="Z131" s="25">
        <f>IF(OR(A131="",D131&lt;&gt;"Encerrado"),"",IFERROR(COUNTIF(O131:X131,"Sim")/(Config!$D$21-COUNTIF(O131:X131,"N/A")),""))</f>
        <v/>
      </c>
      <c r="AA131" s="23">
        <f>IF(A131="","",MAX(0,Config!$B$21-COUNTIF(E131:N131,"Sim")-COUNTIF(E131:N131,"N/A")))</f>
        <v/>
      </c>
      <c r="AB131" s="23">
        <f>IF(OR(A131="",D131&lt;&gt;"Encerrado"),"",MAX(0,Config!$D$21-COUNTIF(O131:X131,"Sim")-COUNTIF(O131:X131,"N/A")))</f>
        <v/>
      </c>
      <c r="AC131" s="23">
        <f>IF(A131="","",AA131+IF(AB131="",0,AB131))</f>
        <v/>
      </c>
      <c r="AD131" s="24">
        <f>IF(OR(A131="",AF131=""),"",LEFT(AF131,LEN(AF131)-2))</f>
        <v/>
      </c>
      <c r="AE131" s="35">
        <f>IF(OR(A131="",AC131=0),0,AC131*100-ROW()/100000)</f>
        <v>0</v>
      </c>
      <c r="AF131" s="35">
        <f>IF(A131="","",IF(AND(Config!$B$10&lt;&gt;"",E131&lt;&gt;"Sim",E131&lt;&gt;"N/A"),Config!$B$10&amp;"; ","")&amp;IF(AND(Config!$B$11&lt;&gt;"",F131&lt;&gt;"Sim",F131&lt;&gt;"N/A"),Config!$B$11&amp;"; ","")&amp;IF(AND(Config!$B$12&lt;&gt;"",G131&lt;&gt;"Sim",G131&lt;&gt;"N/A"),Config!$B$12&amp;"; ","")&amp;IF(AND(Config!$B$13&lt;&gt;"",H131&lt;&gt;"Sim",H131&lt;&gt;"N/A"),Config!$B$13&amp;"; ","")&amp;IF(AND(Config!$B$14&lt;&gt;"",I131&lt;&gt;"Sim",I131&lt;&gt;"N/A"),Config!$B$14&amp;"; ","")&amp;IF(AND(Config!$B$15&lt;&gt;"",J131&lt;&gt;"Sim",J131&lt;&gt;"N/A"),Config!$B$15&amp;"; ","")&amp;IF(AND(Config!$B$16&lt;&gt;"",K131&lt;&gt;"Sim",K131&lt;&gt;"N/A"),Config!$B$16&amp;"; ","")&amp;IF(AND(Config!$B$17&lt;&gt;"",L131&lt;&gt;"Sim",L131&lt;&gt;"N/A"),Config!$B$17&amp;"; ","")&amp;IF(AND(Config!$B$18&lt;&gt;"",M131&lt;&gt;"Sim",M131&lt;&gt;"N/A"),Config!$B$18&amp;"; ","")&amp;IF(AND(Config!$B$19&lt;&gt;"",N131&lt;&gt;"Sim",N131&lt;&gt;"N/A"),Config!$B$19&amp;"; ","")&amp;IF(AND($D131="Encerrado",Config!$D$10&lt;&gt;"",O131&lt;&gt;"Sim",O131&lt;&gt;"N/A"),Config!$D$10&amp;"; ","")&amp;IF(AND($D131="Encerrado",Config!$D$11&lt;&gt;"",P131&lt;&gt;"Sim",P131&lt;&gt;"N/A"),Config!$D$11&amp;"; ","")&amp;IF(AND($D131="Encerrado",Config!$D$12&lt;&gt;"",Q131&lt;&gt;"Sim",Q131&lt;&gt;"N/A"),Config!$D$12&amp;"; ","")&amp;IF(AND($D131="Encerrado",Config!$D$13&lt;&gt;"",R131&lt;&gt;"Sim",R131&lt;&gt;"N/A"),Config!$D$13&amp;"; ","")&amp;IF(AND($D131="Encerrado",Config!$D$14&lt;&gt;"",S131&lt;&gt;"Sim",S131&lt;&gt;"N/A"),Config!$D$14&amp;"; ","")&amp;IF(AND($D131="Encerrado",Config!$D$15&lt;&gt;"",T131&lt;&gt;"Sim",T131&lt;&gt;"N/A"),Config!$D$15&amp;"; ","")&amp;IF(AND($D131="Encerrado",Config!$D$16&lt;&gt;"",U131&lt;&gt;"Sim",U131&lt;&gt;"N/A"),Config!$D$16&amp;"; ","")&amp;IF(AND($D131="Encerrado",Config!$D$17&lt;&gt;"",V131&lt;&gt;"Sim",V131&lt;&gt;"N/A"),Config!$D$17&amp;"; ","")&amp;IF(AND($D131="Encerrado",Config!$D$18&lt;&gt;"",W131&lt;&gt;"Sim",W131&lt;&gt;"N/A"),Config!$D$18&amp;"; ","")&amp;IF(AND($D131="Encerrado",Config!$D$19&lt;&gt;"",X131&lt;&gt;"Sim",X131&lt;&gt;"N/A"),Config!$D$19&amp;"; ",""))</f>
        <v/>
      </c>
    </row>
    <row r="132">
      <c r="A132" s="29" t="n"/>
      <c r="B132" s="29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25">
        <f>IF(A132="","",IFERROR(COUNTIF(E132:N132,"Sim")/(Config!$B$21-COUNTIF(E132:N132,"N/A")),""))</f>
        <v/>
      </c>
      <c r="Z132" s="25">
        <f>IF(OR(A132="",D132&lt;&gt;"Encerrado"),"",IFERROR(COUNTIF(O132:X132,"Sim")/(Config!$D$21-COUNTIF(O132:X132,"N/A")),""))</f>
        <v/>
      </c>
      <c r="AA132" s="23">
        <f>IF(A132="","",MAX(0,Config!$B$21-COUNTIF(E132:N132,"Sim")-COUNTIF(E132:N132,"N/A")))</f>
        <v/>
      </c>
      <c r="AB132" s="23">
        <f>IF(OR(A132="",D132&lt;&gt;"Encerrado"),"",MAX(0,Config!$D$21-COUNTIF(O132:X132,"Sim")-COUNTIF(O132:X132,"N/A")))</f>
        <v/>
      </c>
      <c r="AC132" s="23">
        <f>IF(A132="","",AA132+IF(AB132="",0,AB132))</f>
        <v/>
      </c>
      <c r="AD132" s="24">
        <f>IF(OR(A132="",AF132=""),"",LEFT(AF132,LEN(AF132)-2))</f>
        <v/>
      </c>
      <c r="AE132" s="35">
        <f>IF(OR(A132="",AC132=0),0,AC132*100-ROW()/100000)</f>
        <v>0</v>
      </c>
      <c r="AF132" s="35">
        <f>IF(A132="","",IF(AND(Config!$B$10&lt;&gt;"",E132&lt;&gt;"Sim",E132&lt;&gt;"N/A"),Config!$B$10&amp;"; ","")&amp;IF(AND(Config!$B$11&lt;&gt;"",F132&lt;&gt;"Sim",F132&lt;&gt;"N/A"),Config!$B$11&amp;"; ","")&amp;IF(AND(Config!$B$12&lt;&gt;"",G132&lt;&gt;"Sim",G132&lt;&gt;"N/A"),Config!$B$12&amp;"; ","")&amp;IF(AND(Config!$B$13&lt;&gt;"",H132&lt;&gt;"Sim",H132&lt;&gt;"N/A"),Config!$B$13&amp;"; ","")&amp;IF(AND(Config!$B$14&lt;&gt;"",I132&lt;&gt;"Sim",I132&lt;&gt;"N/A"),Config!$B$14&amp;"; ","")&amp;IF(AND(Config!$B$15&lt;&gt;"",J132&lt;&gt;"Sim",J132&lt;&gt;"N/A"),Config!$B$15&amp;"; ","")&amp;IF(AND(Config!$B$16&lt;&gt;"",K132&lt;&gt;"Sim",K132&lt;&gt;"N/A"),Config!$B$16&amp;"; ","")&amp;IF(AND(Config!$B$17&lt;&gt;"",L132&lt;&gt;"Sim",L132&lt;&gt;"N/A"),Config!$B$17&amp;"; ","")&amp;IF(AND(Config!$B$18&lt;&gt;"",M132&lt;&gt;"Sim",M132&lt;&gt;"N/A"),Config!$B$18&amp;"; ","")&amp;IF(AND(Config!$B$19&lt;&gt;"",N132&lt;&gt;"Sim",N132&lt;&gt;"N/A"),Config!$B$19&amp;"; ","")&amp;IF(AND($D132="Encerrado",Config!$D$10&lt;&gt;"",O132&lt;&gt;"Sim",O132&lt;&gt;"N/A"),Config!$D$10&amp;"; ","")&amp;IF(AND($D132="Encerrado",Config!$D$11&lt;&gt;"",P132&lt;&gt;"Sim",P132&lt;&gt;"N/A"),Config!$D$11&amp;"; ","")&amp;IF(AND($D132="Encerrado",Config!$D$12&lt;&gt;"",Q132&lt;&gt;"Sim",Q132&lt;&gt;"N/A"),Config!$D$12&amp;"; ","")&amp;IF(AND($D132="Encerrado",Config!$D$13&lt;&gt;"",R132&lt;&gt;"Sim",R132&lt;&gt;"N/A"),Config!$D$13&amp;"; ","")&amp;IF(AND($D132="Encerrado",Config!$D$14&lt;&gt;"",S132&lt;&gt;"Sim",S132&lt;&gt;"N/A"),Config!$D$14&amp;"; ","")&amp;IF(AND($D132="Encerrado",Config!$D$15&lt;&gt;"",T132&lt;&gt;"Sim",T132&lt;&gt;"N/A"),Config!$D$15&amp;"; ","")&amp;IF(AND($D132="Encerrado",Config!$D$16&lt;&gt;"",U132&lt;&gt;"Sim",U132&lt;&gt;"N/A"),Config!$D$16&amp;"; ","")&amp;IF(AND($D132="Encerrado",Config!$D$17&lt;&gt;"",V132&lt;&gt;"Sim",V132&lt;&gt;"N/A"),Config!$D$17&amp;"; ","")&amp;IF(AND($D132="Encerrado",Config!$D$18&lt;&gt;"",W132&lt;&gt;"Sim",W132&lt;&gt;"N/A"),Config!$D$18&amp;"; ","")&amp;IF(AND($D132="Encerrado",Config!$D$19&lt;&gt;"",X132&lt;&gt;"Sim",X132&lt;&gt;"N/A"),Config!$D$19&amp;"; ",""))</f>
        <v/>
      </c>
    </row>
    <row r="133">
      <c r="A133" s="29" t="n"/>
      <c r="B133" s="29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25">
        <f>IF(A133="","",IFERROR(COUNTIF(E133:N133,"Sim")/(Config!$B$21-COUNTIF(E133:N133,"N/A")),""))</f>
        <v/>
      </c>
      <c r="Z133" s="25">
        <f>IF(OR(A133="",D133&lt;&gt;"Encerrado"),"",IFERROR(COUNTIF(O133:X133,"Sim")/(Config!$D$21-COUNTIF(O133:X133,"N/A")),""))</f>
        <v/>
      </c>
      <c r="AA133" s="23">
        <f>IF(A133="","",MAX(0,Config!$B$21-COUNTIF(E133:N133,"Sim")-COUNTIF(E133:N133,"N/A")))</f>
        <v/>
      </c>
      <c r="AB133" s="23">
        <f>IF(OR(A133="",D133&lt;&gt;"Encerrado"),"",MAX(0,Config!$D$21-COUNTIF(O133:X133,"Sim")-COUNTIF(O133:X133,"N/A")))</f>
        <v/>
      </c>
      <c r="AC133" s="23">
        <f>IF(A133="","",AA133+IF(AB133="",0,AB133))</f>
        <v/>
      </c>
      <c r="AD133" s="24">
        <f>IF(OR(A133="",AF133=""),"",LEFT(AF133,LEN(AF133)-2))</f>
        <v/>
      </c>
      <c r="AE133" s="35">
        <f>IF(OR(A133="",AC133=0),0,AC133*100-ROW()/100000)</f>
        <v>0</v>
      </c>
      <c r="AF133" s="35">
        <f>IF(A133="","",IF(AND(Config!$B$10&lt;&gt;"",E133&lt;&gt;"Sim",E133&lt;&gt;"N/A"),Config!$B$10&amp;"; ","")&amp;IF(AND(Config!$B$11&lt;&gt;"",F133&lt;&gt;"Sim",F133&lt;&gt;"N/A"),Config!$B$11&amp;"; ","")&amp;IF(AND(Config!$B$12&lt;&gt;"",G133&lt;&gt;"Sim",G133&lt;&gt;"N/A"),Config!$B$12&amp;"; ","")&amp;IF(AND(Config!$B$13&lt;&gt;"",H133&lt;&gt;"Sim",H133&lt;&gt;"N/A"),Config!$B$13&amp;"; ","")&amp;IF(AND(Config!$B$14&lt;&gt;"",I133&lt;&gt;"Sim",I133&lt;&gt;"N/A"),Config!$B$14&amp;"; ","")&amp;IF(AND(Config!$B$15&lt;&gt;"",J133&lt;&gt;"Sim",J133&lt;&gt;"N/A"),Config!$B$15&amp;"; ","")&amp;IF(AND(Config!$B$16&lt;&gt;"",K133&lt;&gt;"Sim",K133&lt;&gt;"N/A"),Config!$B$16&amp;"; ","")&amp;IF(AND(Config!$B$17&lt;&gt;"",L133&lt;&gt;"Sim",L133&lt;&gt;"N/A"),Config!$B$17&amp;"; ","")&amp;IF(AND(Config!$B$18&lt;&gt;"",M133&lt;&gt;"Sim",M133&lt;&gt;"N/A"),Config!$B$18&amp;"; ","")&amp;IF(AND(Config!$B$19&lt;&gt;"",N133&lt;&gt;"Sim",N133&lt;&gt;"N/A"),Config!$B$19&amp;"; ","")&amp;IF(AND($D133="Encerrado",Config!$D$10&lt;&gt;"",O133&lt;&gt;"Sim",O133&lt;&gt;"N/A"),Config!$D$10&amp;"; ","")&amp;IF(AND($D133="Encerrado",Config!$D$11&lt;&gt;"",P133&lt;&gt;"Sim",P133&lt;&gt;"N/A"),Config!$D$11&amp;"; ","")&amp;IF(AND($D133="Encerrado",Config!$D$12&lt;&gt;"",Q133&lt;&gt;"Sim",Q133&lt;&gt;"N/A"),Config!$D$12&amp;"; ","")&amp;IF(AND($D133="Encerrado",Config!$D$13&lt;&gt;"",R133&lt;&gt;"Sim",R133&lt;&gt;"N/A"),Config!$D$13&amp;"; ","")&amp;IF(AND($D133="Encerrado",Config!$D$14&lt;&gt;"",S133&lt;&gt;"Sim",S133&lt;&gt;"N/A"),Config!$D$14&amp;"; ","")&amp;IF(AND($D133="Encerrado",Config!$D$15&lt;&gt;"",T133&lt;&gt;"Sim",T133&lt;&gt;"N/A"),Config!$D$15&amp;"; ","")&amp;IF(AND($D133="Encerrado",Config!$D$16&lt;&gt;"",U133&lt;&gt;"Sim",U133&lt;&gt;"N/A"),Config!$D$16&amp;"; ","")&amp;IF(AND($D133="Encerrado",Config!$D$17&lt;&gt;"",V133&lt;&gt;"Sim",V133&lt;&gt;"N/A"),Config!$D$17&amp;"; ","")&amp;IF(AND($D133="Encerrado",Config!$D$18&lt;&gt;"",W133&lt;&gt;"Sim",W133&lt;&gt;"N/A"),Config!$D$18&amp;"; ","")&amp;IF(AND($D133="Encerrado",Config!$D$19&lt;&gt;"",X133&lt;&gt;"Sim",X133&lt;&gt;"N/A"),Config!$D$19&amp;"; ",""))</f>
        <v/>
      </c>
    </row>
    <row r="134">
      <c r="A134" s="29" t="n"/>
      <c r="B134" s="29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25">
        <f>IF(A134="","",IFERROR(COUNTIF(E134:N134,"Sim")/(Config!$B$21-COUNTIF(E134:N134,"N/A")),""))</f>
        <v/>
      </c>
      <c r="Z134" s="25">
        <f>IF(OR(A134="",D134&lt;&gt;"Encerrado"),"",IFERROR(COUNTIF(O134:X134,"Sim")/(Config!$D$21-COUNTIF(O134:X134,"N/A")),""))</f>
        <v/>
      </c>
      <c r="AA134" s="23">
        <f>IF(A134="","",MAX(0,Config!$B$21-COUNTIF(E134:N134,"Sim")-COUNTIF(E134:N134,"N/A")))</f>
        <v/>
      </c>
      <c r="AB134" s="23">
        <f>IF(OR(A134="",D134&lt;&gt;"Encerrado"),"",MAX(0,Config!$D$21-COUNTIF(O134:X134,"Sim")-COUNTIF(O134:X134,"N/A")))</f>
        <v/>
      </c>
      <c r="AC134" s="23">
        <f>IF(A134="","",AA134+IF(AB134="",0,AB134))</f>
        <v/>
      </c>
      <c r="AD134" s="24">
        <f>IF(OR(A134="",AF134=""),"",LEFT(AF134,LEN(AF134)-2))</f>
        <v/>
      </c>
      <c r="AE134" s="35">
        <f>IF(OR(A134="",AC134=0),0,AC134*100-ROW()/100000)</f>
        <v>0</v>
      </c>
      <c r="AF134" s="35">
        <f>IF(A134="","",IF(AND(Config!$B$10&lt;&gt;"",E134&lt;&gt;"Sim",E134&lt;&gt;"N/A"),Config!$B$10&amp;"; ","")&amp;IF(AND(Config!$B$11&lt;&gt;"",F134&lt;&gt;"Sim",F134&lt;&gt;"N/A"),Config!$B$11&amp;"; ","")&amp;IF(AND(Config!$B$12&lt;&gt;"",G134&lt;&gt;"Sim",G134&lt;&gt;"N/A"),Config!$B$12&amp;"; ","")&amp;IF(AND(Config!$B$13&lt;&gt;"",H134&lt;&gt;"Sim",H134&lt;&gt;"N/A"),Config!$B$13&amp;"; ","")&amp;IF(AND(Config!$B$14&lt;&gt;"",I134&lt;&gt;"Sim",I134&lt;&gt;"N/A"),Config!$B$14&amp;"; ","")&amp;IF(AND(Config!$B$15&lt;&gt;"",J134&lt;&gt;"Sim",J134&lt;&gt;"N/A"),Config!$B$15&amp;"; ","")&amp;IF(AND(Config!$B$16&lt;&gt;"",K134&lt;&gt;"Sim",K134&lt;&gt;"N/A"),Config!$B$16&amp;"; ","")&amp;IF(AND(Config!$B$17&lt;&gt;"",L134&lt;&gt;"Sim",L134&lt;&gt;"N/A"),Config!$B$17&amp;"; ","")&amp;IF(AND(Config!$B$18&lt;&gt;"",M134&lt;&gt;"Sim",M134&lt;&gt;"N/A"),Config!$B$18&amp;"; ","")&amp;IF(AND(Config!$B$19&lt;&gt;"",N134&lt;&gt;"Sim",N134&lt;&gt;"N/A"),Config!$B$19&amp;"; ","")&amp;IF(AND($D134="Encerrado",Config!$D$10&lt;&gt;"",O134&lt;&gt;"Sim",O134&lt;&gt;"N/A"),Config!$D$10&amp;"; ","")&amp;IF(AND($D134="Encerrado",Config!$D$11&lt;&gt;"",P134&lt;&gt;"Sim",P134&lt;&gt;"N/A"),Config!$D$11&amp;"; ","")&amp;IF(AND($D134="Encerrado",Config!$D$12&lt;&gt;"",Q134&lt;&gt;"Sim",Q134&lt;&gt;"N/A"),Config!$D$12&amp;"; ","")&amp;IF(AND($D134="Encerrado",Config!$D$13&lt;&gt;"",R134&lt;&gt;"Sim",R134&lt;&gt;"N/A"),Config!$D$13&amp;"; ","")&amp;IF(AND($D134="Encerrado",Config!$D$14&lt;&gt;"",S134&lt;&gt;"Sim",S134&lt;&gt;"N/A"),Config!$D$14&amp;"; ","")&amp;IF(AND($D134="Encerrado",Config!$D$15&lt;&gt;"",T134&lt;&gt;"Sim",T134&lt;&gt;"N/A"),Config!$D$15&amp;"; ","")&amp;IF(AND($D134="Encerrado",Config!$D$16&lt;&gt;"",U134&lt;&gt;"Sim",U134&lt;&gt;"N/A"),Config!$D$16&amp;"; ","")&amp;IF(AND($D134="Encerrado",Config!$D$17&lt;&gt;"",V134&lt;&gt;"Sim",V134&lt;&gt;"N/A"),Config!$D$17&amp;"; ","")&amp;IF(AND($D134="Encerrado",Config!$D$18&lt;&gt;"",W134&lt;&gt;"Sim",W134&lt;&gt;"N/A"),Config!$D$18&amp;"; ","")&amp;IF(AND($D134="Encerrado",Config!$D$19&lt;&gt;"",X134&lt;&gt;"Sim",X134&lt;&gt;"N/A"),Config!$D$19&amp;"; ",""))</f>
        <v/>
      </c>
    </row>
    <row r="135">
      <c r="A135" s="29" t="n"/>
      <c r="B135" s="29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25">
        <f>IF(A135="","",IFERROR(COUNTIF(E135:N135,"Sim")/(Config!$B$21-COUNTIF(E135:N135,"N/A")),""))</f>
        <v/>
      </c>
      <c r="Z135" s="25">
        <f>IF(OR(A135="",D135&lt;&gt;"Encerrado"),"",IFERROR(COUNTIF(O135:X135,"Sim")/(Config!$D$21-COUNTIF(O135:X135,"N/A")),""))</f>
        <v/>
      </c>
      <c r="AA135" s="23">
        <f>IF(A135="","",MAX(0,Config!$B$21-COUNTIF(E135:N135,"Sim")-COUNTIF(E135:N135,"N/A")))</f>
        <v/>
      </c>
      <c r="AB135" s="23">
        <f>IF(OR(A135="",D135&lt;&gt;"Encerrado"),"",MAX(0,Config!$D$21-COUNTIF(O135:X135,"Sim")-COUNTIF(O135:X135,"N/A")))</f>
        <v/>
      </c>
      <c r="AC135" s="23">
        <f>IF(A135="","",AA135+IF(AB135="",0,AB135))</f>
        <v/>
      </c>
      <c r="AD135" s="24">
        <f>IF(OR(A135="",AF135=""),"",LEFT(AF135,LEN(AF135)-2))</f>
        <v/>
      </c>
      <c r="AE135" s="35">
        <f>IF(OR(A135="",AC135=0),0,AC135*100-ROW()/100000)</f>
        <v>0</v>
      </c>
      <c r="AF135" s="35">
        <f>IF(A135="","",IF(AND(Config!$B$10&lt;&gt;"",E135&lt;&gt;"Sim",E135&lt;&gt;"N/A"),Config!$B$10&amp;"; ","")&amp;IF(AND(Config!$B$11&lt;&gt;"",F135&lt;&gt;"Sim",F135&lt;&gt;"N/A"),Config!$B$11&amp;"; ","")&amp;IF(AND(Config!$B$12&lt;&gt;"",G135&lt;&gt;"Sim",G135&lt;&gt;"N/A"),Config!$B$12&amp;"; ","")&amp;IF(AND(Config!$B$13&lt;&gt;"",H135&lt;&gt;"Sim",H135&lt;&gt;"N/A"),Config!$B$13&amp;"; ","")&amp;IF(AND(Config!$B$14&lt;&gt;"",I135&lt;&gt;"Sim",I135&lt;&gt;"N/A"),Config!$B$14&amp;"; ","")&amp;IF(AND(Config!$B$15&lt;&gt;"",J135&lt;&gt;"Sim",J135&lt;&gt;"N/A"),Config!$B$15&amp;"; ","")&amp;IF(AND(Config!$B$16&lt;&gt;"",K135&lt;&gt;"Sim",K135&lt;&gt;"N/A"),Config!$B$16&amp;"; ","")&amp;IF(AND(Config!$B$17&lt;&gt;"",L135&lt;&gt;"Sim",L135&lt;&gt;"N/A"),Config!$B$17&amp;"; ","")&amp;IF(AND(Config!$B$18&lt;&gt;"",M135&lt;&gt;"Sim",M135&lt;&gt;"N/A"),Config!$B$18&amp;"; ","")&amp;IF(AND(Config!$B$19&lt;&gt;"",N135&lt;&gt;"Sim",N135&lt;&gt;"N/A"),Config!$B$19&amp;"; ","")&amp;IF(AND($D135="Encerrado",Config!$D$10&lt;&gt;"",O135&lt;&gt;"Sim",O135&lt;&gt;"N/A"),Config!$D$10&amp;"; ","")&amp;IF(AND($D135="Encerrado",Config!$D$11&lt;&gt;"",P135&lt;&gt;"Sim",P135&lt;&gt;"N/A"),Config!$D$11&amp;"; ","")&amp;IF(AND($D135="Encerrado",Config!$D$12&lt;&gt;"",Q135&lt;&gt;"Sim",Q135&lt;&gt;"N/A"),Config!$D$12&amp;"; ","")&amp;IF(AND($D135="Encerrado",Config!$D$13&lt;&gt;"",R135&lt;&gt;"Sim",R135&lt;&gt;"N/A"),Config!$D$13&amp;"; ","")&amp;IF(AND($D135="Encerrado",Config!$D$14&lt;&gt;"",S135&lt;&gt;"Sim",S135&lt;&gt;"N/A"),Config!$D$14&amp;"; ","")&amp;IF(AND($D135="Encerrado",Config!$D$15&lt;&gt;"",T135&lt;&gt;"Sim",T135&lt;&gt;"N/A"),Config!$D$15&amp;"; ","")&amp;IF(AND($D135="Encerrado",Config!$D$16&lt;&gt;"",U135&lt;&gt;"Sim",U135&lt;&gt;"N/A"),Config!$D$16&amp;"; ","")&amp;IF(AND($D135="Encerrado",Config!$D$17&lt;&gt;"",V135&lt;&gt;"Sim",V135&lt;&gt;"N/A"),Config!$D$17&amp;"; ","")&amp;IF(AND($D135="Encerrado",Config!$D$18&lt;&gt;"",W135&lt;&gt;"Sim",W135&lt;&gt;"N/A"),Config!$D$18&amp;"; ","")&amp;IF(AND($D135="Encerrado",Config!$D$19&lt;&gt;"",X135&lt;&gt;"Sim",X135&lt;&gt;"N/A"),Config!$D$19&amp;"; ",""))</f>
        <v/>
      </c>
    </row>
    <row r="136">
      <c r="A136" s="29" t="n"/>
      <c r="B136" s="29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25">
        <f>IF(A136="","",IFERROR(COUNTIF(E136:N136,"Sim")/(Config!$B$21-COUNTIF(E136:N136,"N/A")),""))</f>
        <v/>
      </c>
      <c r="Z136" s="25">
        <f>IF(OR(A136="",D136&lt;&gt;"Encerrado"),"",IFERROR(COUNTIF(O136:X136,"Sim")/(Config!$D$21-COUNTIF(O136:X136,"N/A")),""))</f>
        <v/>
      </c>
      <c r="AA136" s="23">
        <f>IF(A136="","",MAX(0,Config!$B$21-COUNTIF(E136:N136,"Sim")-COUNTIF(E136:N136,"N/A")))</f>
        <v/>
      </c>
      <c r="AB136" s="23">
        <f>IF(OR(A136="",D136&lt;&gt;"Encerrado"),"",MAX(0,Config!$D$21-COUNTIF(O136:X136,"Sim")-COUNTIF(O136:X136,"N/A")))</f>
        <v/>
      </c>
      <c r="AC136" s="23">
        <f>IF(A136="","",AA136+IF(AB136="",0,AB136))</f>
        <v/>
      </c>
      <c r="AD136" s="24">
        <f>IF(OR(A136="",AF136=""),"",LEFT(AF136,LEN(AF136)-2))</f>
        <v/>
      </c>
      <c r="AE136" s="35">
        <f>IF(OR(A136="",AC136=0),0,AC136*100-ROW()/100000)</f>
        <v>0</v>
      </c>
      <c r="AF136" s="35">
        <f>IF(A136="","",IF(AND(Config!$B$10&lt;&gt;"",E136&lt;&gt;"Sim",E136&lt;&gt;"N/A"),Config!$B$10&amp;"; ","")&amp;IF(AND(Config!$B$11&lt;&gt;"",F136&lt;&gt;"Sim",F136&lt;&gt;"N/A"),Config!$B$11&amp;"; ","")&amp;IF(AND(Config!$B$12&lt;&gt;"",G136&lt;&gt;"Sim",G136&lt;&gt;"N/A"),Config!$B$12&amp;"; ","")&amp;IF(AND(Config!$B$13&lt;&gt;"",H136&lt;&gt;"Sim",H136&lt;&gt;"N/A"),Config!$B$13&amp;"; ","")&amp;IF(AND(Config!$B$14&lt;&gt;"",I136&lt;&gt;"Sim",I136&lt;&gt;"N/A"),Config!$B$14&amp;"; ","")&amp;IF(AND(Config!$B$15&lt;&gt;"",J136&lt;&gt;"Sim",J136&lt;&gt;"N/A"),Config!$B$15&amp;"; ","")&amp;IF(AND(Config!$B$16&lt;&gt;"",K136&lt;&gt;"Sim",K136&lt;&gt;"N/A"),Config!$B$16&amp;"; ","")&amp;IF(AND(Config!$B$17&lt;&gt;"",L136&lt;&gt;"Sim",L136&lt;&gt;"N/A"),Config!$B$17&amp;"; ","")&amp;IF(AND(Config!$B$18&lt;&gt;"",M136&lt;&gt;"Sim",M136&lt;&gt;"N/A"),Config!$B$18&amp;"; ","")&amp;IF(AND(Config!$B$19&lt;&gt;"",N136&lt;&gt;"Sim",N136&lt;&gt;"N/A"),Config!$B$19&amp;"; ","")&amp;IF(AND($D136="Encerrado",Config!$D$10&lt;&gt;"",O136&lt;&gt;"Sim",O136&lt;&gt;"N/A"),Config!$D$10&amp;"; ","")&amp;IF(AND($D136="Encerrado",Config!$D$11&lt;&gt;"",P136&lt;&gt;"Sim",P136&lt;&gt;"N/A"),Config!$D$11&amp;"; ","")&amp;IF(AND($D136="Encerrado",Config!$D$12&lt;&gt;"",Q136&lt;&gt;"Sim",Q136&lt;&gt;"N/A"),Config!$D$12&amp;"; ","")&amp;IF(AND($D136="Encerrado",Config!$D$13&lt;&gt;"",R136&lt;&gt;"Sim",R136&lt;&gt;"N/A"),Config!$D$13&amp;"; ","")&amp;IF(AND($D136="Encerrado",Config!$D$14&lt;&gt;"",S136&lt;&gt;"Sim",S136&lt;&gt;"N/A"),Config!$D$14&amp;"; ","")&amp;IF(AND($D136="Encerrado",Config!$D$15&lt;&gt;"",T136&lt;&gt;"Sim",T136&lt;&gt;"N/A"),Config!$D$15&amp;"; ","")&amp;IF(AND($D136="Encerrado",Config!$D$16&lt;&gt;"",U136&lt;&gt;"Sim",U136&lt;&gt;"N/A"),Config!$D$16&amp;"; ","")&amp;IF(AND($D136="Encerrado",Config!$D$17&lt;&gt;"",V136&lt;&gt;"Sim",V136&lt;&gt;"N/A"),Config!$D$17&amp;"; ","")&amp;IF(AND($D136="Encerrado",Config!$D$18&lt;&gt;"",W136&lt;&gt;"Sim",W136&lt;&gt;"N/A"),Config!$D$18&amp;"; ","")&amp;IF(AND($D136="Encerrado",Config!$D$19&lt;&gt;"",X136&lt;&gt;"Sim",X136&lt;&gt;"N/A"),Config!$D$19&amp;"; ",""))</f>
        <v/>
      </c>
    </row>
    <row r="137">
      <c r="A137" s="29" t="n"/>
      <c r="B137" s="29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25">
        <f>IF(A137="","",IFERROR(COUNTIF(E137:N137,"Sim")/(Config!$B$21-COUNTIF(E137:N137,"N/A")),""))</f>
        <v/>
      </c>
      <c r="Z137" s="25">
        <f>IF(OR(A137="",D137&lt;&gt;"Encerrado"),"",IFERROR(COUNTIF(O137:X137,"Sim")/(Config!$D$21-COUNTIF(O137:X137,"N/A")),""))</f>
        <v/>
      </c>
      <c r="AA137" s="23">
        <f>IF(A137="","",MAX(0,Config!$B$21-COUNTIF(E137:N137,"Sim")-COUNTIF(E137:N137,"N/A")))</f>
        <v/>
      </c>
      <c r="AB137" s="23">
        <f>IF(OR(A137="",D137&lt;&gt;"Encerrado"),"",MAX(0,Config!$D$21-COUNTIF(O137:X137,"Sim")-COUNTIF(O137:X137,"N/A")))</f>
        <v/>
      </c>
      <c r="AC137" s="23">
        <f>IF(A137="","",AA137+IF(AB137="",0,AB137))</f>
        <v/>
      </c>
      <c r="AD137" s="24">
        <f>IF(OR(A137="",AF137=""),"",LEFT(AF137,LEN(AF137)-2))</f>
        <v/>
      </c>
      <c r="AE137" s="35">
        <f>IF(OR(A137="",AC137=0),0,AC137*100-ROW()/100000)</f>
        <v>0</v>
      </c>
      <c r="AF137" s="35">
        <f>IF(A137="","",IF(AND(Config!$B$10&lt;&gt;"",E137&lt;&gt;"Sim",E137&lt;&gt;"N/A"),Config!$B$10&amp;"; ","")&amp;IF(AND(Config!$B$11&lt;&gt;"",F137&lt;&gt;"Sim",F137&lt;&gt;"N/A"),Config!$B$11&amp;"; ","")&amp;IF(AND(Config!$B$12&lt;&gt;"",G137&lt;&gt;"Sim",G137&lt;&gt;"N/A"),Config!$B$12&amp;"; ","")&amp;IF(AND(Config!$B$13&lt;&gt;"",H137&lt;&gt;"Sim",H137&lt;&gt;"N/A"),Config!$B$13&amp;"; ","")&amp;IF(AND(Config!$B$14&lt;&gt;"",I137&lt;&gt;"Sim",I137&lt;&gt;"N/A"),Config!$B$14&amp;"; ","")&amp;IF(AND(Config!$B$15&lt;&gt;"",J137&lt;&gt;"Sim",J137&lt;&gt;"N/A"),Config!$B$15&amp;"; ","")&amp;IF(AND(Config!$B$16&lt;&gt;"",K137&lt;&gt;"Sim",K137&lt;&gt;"N/A"),Config!$B$16&amp;"; ","")&amp;IF(AND(Config!$B$17&lt;&gt;"",L137&lt;&gt;"Sim",L137&lt;&gt;"N/A"),Config!$B$17&amp;"; ","")&amp;IF(AND(Config!$B$18&lt;&gt;"",M137&lt;&gt;"Sim",M137&lt;&gt;"N/A"),Config!$B$18&amp;"; ","")&amp;IF(AND(Config!$B$19&lt;&gt;"",N137&lt;&gt;"Sim",N137&lt;&gt;"N/A"),Config!$B$19&amp;"; ","")&amp;IF(AND($D137="Encerrado",Config!$D$10&lt;&gt;"",O137&lt;&gt;"Sim",O137&lt;&gt;"N/A"),Config!$D$10&amp;"; ","")&amp;IF(AND($D137="Encerrado",Config!$D$11&lt;&gt;"",P137&lt;&gt;"Sim",P137&lt;&gt;"N/A"),Config!$D$11&amp;"; ","")&amp;IF(AND($D137="Encerrado",Config!$D$12&lt;&gt;"",Q137&lt;&gt;"Sim",Q137&lt;&gt;"N/A"),Config!$D$12&amp;"; ","")&amp;IF(AND($D137="Encerrado",Config!$D$13&lt;&gt;"",R137&lt;&gt;"Sim",R137&lt;&gt;"N/A"),Config!$D$13&amp;"; ","")&amp;IF(AND($D137="Encerrado",Config!$D$14&lt;&gt;"",S137&lt;&gt;"Sim",S137&lt;&gt;"N/A"),Config!$D$14&amp;"; ","")&amp;IF(AND($D137="Encerrado",Config!$D$15&lt;&gt;"",T137&lt;&gt;"Sim",T137&lt;&gt;"N/A"),Config!$D$15&amp;"; ","")&amp;IF(AND($D137="Encerrado",Config!$D$16&lt;&gt;"",U137&lt;&gt;"Sim",U137&lt;&gt;"N/A"),Config!$D$16&amp;"; ","")&amp;IF(AND($D137="Encerrado",Config!$D$17&lt;&gt;"",V137&lt;&gt;"Sim",V137&lt;&gt;"N/A"),Config!$D$17&amp;"; ","")&amp;IF(AND($D137="Encerrado",Config!$D$18&lt;&gt;"",W137&lt;&gt;"Sim",W137&lt;&gt;"N/A"),Config!$D$18&amp;"; ","")&amp;IF(AND($D137="Encerrado",Config!$D$19&lt;&gt;"",X137&lt;&gt;"Sim",X137&lt;&gt;"N/A"),Config!$D$19&amp;"; ",""))</f>
        <v/>
      </c>
    </row>
    <row r="138">
      <c r="A138" s="29" t="n"/>
      <c r="B138" s="29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25">
        <f>IF(A138="","",IFERROR(COUNTIF(E138:N138,"Sim")/(Config!$B$21-COUNTIF(E138:N138,"N/A")),""))</f>
        <v/>
      </c>
      <c r="Z138" s="25">
        <f>IF(OR(A138="",D138&lt;&gt;"Encerrado"),"",IFERROR(COUNTIF(O138:X138,"Sim")/(Config!$D$21-COUNTIF(O138:X138,"N/A")),""))</f>
        <v/>
      </c>
      <c r="AA138" s="23">
        <f>IF(A138="","",MAX(0,Config!$B$21-COUNTIF(E138:N138,"Sim")-COUNTIF(E138:N138,"N/A")))</f>
        <v/>
      </c>
      <c r="AB138" s="23">
        <f>IF(OR(A138="",D138&lt;&gt;"Encerrado"),"",MAX(0,Config!$D$21-COUNTIF(O138:X138,"Sim")-COUNTIF(O138:X138,"N/A")))</f>
        <v/>
      </c>
      <c r="AC138" s="23">
        <f>IF(A138="","",AA138+IF(AB138="",0,AB138))</f>
        <v/>
      </c>
      <c r="AD138" s="24">
        <f>IF(OR(A138="",AF138=""),"",LEFT(AF138,LEN(AF138)-2))</f>
        <v/>
      </c>
      <c r="AE138" s="35">
        <f>IF(OR(A138="",AC138=0),0,AC138*100-ROW()/100000)</f>
        <v>0</v>
      </c>
      <c r="AF138" s="35">
        <f>IF(A138="","",IF(AND(Config!$B$10&lt;&gt;"",E138&lt;&gt;"Sim",E138&lt;&gt;"N/A"),Config!$B$10&amp;"; ","")&amp;IF(AND(Config!$B$11&lt;&gt;"",F138&lt;&gt;"Sim",F138&lt;&gt;"N/A"),Config!$B$11&amp;"; ","")&amp;IF(AND(Config!$B$12&lt;&gt;"",G138&lt;&gt;"Sim",G138&lt;&gt;"N/A"),Config!$B$12&amp;"; ","")&amp;IF(AND(Config!$B$13&lt;&gt;"",H138&lt;&gt;"Sim",H138&lt;&gt;"N/A"),Config!$B$13&amp;"; ","")&amp;IF(AND(Config!$B$14&lt;&gt;"",I138&lt;&gt;"Sim",I138&lt;&gt;"N/A"),Config!$B$14&amp;"; ","")&amp;IF(AND(Config!$B$15&lt;&gt;"",J138&lt;&gt;"Sim",J138&lt;&gt;"N/A"),Config!$B$15&amp;"; ","")&amp;IF(AND(Config!$B$16&lt;&gt;"",K138&lt;&gt;"Sim",K138&lt;&gt;"N/A"),Config!$B$16&amp;"; ","")&amp;IF(AND(Config!$B$17&lt;&gt;"",L138&lt;&gt;"Sim",L138&lt;&gt;"N/A"),Config!$B$17&amp;"; ","")&amp;IF(AND(Config!$B$18&lt;&gt;"",M138&lt;&gt;"Sim",M138&lt;&gt;"N/A"),Config!$B$18&amp;"; ","")&amp;IF(AND(Config!$B$19&lt;&gt;"",N138&lt;&gt;"Sim",N138&lt;&gt;"N/A"),Config!$B$19&amp;"; ","")&amp;IF(AND($D138="Encerrado",Config!$D$10&lt;&gt;"",O138&lt;&gt;"Sim",O138&lt;&gt;"N/A"),Config!$D$10&amp;"; ","")&amp;IF(AND($D138="Encerrado",Config!$D$11&lt;&gt;"",P138&lt;&gt;"Sim",P138&lt;&gt;"N/A"),Config!$D$11&amp;"; ","")&amp;IF(AND($D138="Encerrado",Config!$D$12&lt;&gt;"",Q138&lt;&gt;"Sim",Q138&lt;&gt;"N/A"),Config!$D$12&amp;"; ","")&amp;IF(AND($D138="Encerrado",Config!$D$13&lt;&gt;"",R138&lt;&gt;"Sim",R138&lt;&gt;"N/A"),Config!$D$13&amp;"; ","")&amp;IF(AND($D138="Encerrado",Config!$D$14&lt;&gt;"",S138&lt;&gt;"Sim",S138&lt;&gt;"N/A"),Config!$D$14&amp;"; ","")&amp;IF(AND($D138="Encerrado",Config!$D$15&lt;&gt;"",T138&lt;&gt;"Sim",T138&lt;&gt;"N/A"),Config!$D$15&amp;"; ","")&amp;IF(AND($D138="Encerrado",Config!$D$16&lt;&gt;"",U138&lt;&gt;"Sim",U138&lt;&gt;"N/A"),Config!$D$16&amp;"; ","")&amp;IF(AND($D138="Encerrado",Config!$D$17&lt;&gt;"",V138&lt;&gt;"Sim",V138&lt;&gt;"N/A"),Config!$D$17&amp;"; ","")&amp;IF(AND($D138="Encerrado",Config!$D$18&lt;&gt;"",W138&lt;&gt;"Sim",W138&lt;&gt;"N/A"),Config!$D$18&amp;"; ","")&amp;IF(AND($D138="Encerrado",Config!$D$19&lt;&gt;"",X138&lt;&gt;"Sim",X138&lt;&gt;"N/A"),Config!$D$19&amp;"; ",""))</f>
        <v/>
      </c>
    </row>
    <row r="139">
      <c r="A139" s="29" t="n"/>
      <c r="B139" s="29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25">
        <f>IF(A139="","",IFERROR(COUNTIF(E139:N139,"Sim")/(Config!$B$21-COUNTIF(E139:N139,"N/A")),""))</f>
        <v/>
      </c>
      <c r="Z139" s="25">
        <f>IF(OR(A139="",D139&lt;&gt;"Encerrado"),"",IFERROR(COUNTIF(O139:X139,"Sim")/(Config!$D$21-COUNTIF(O139:X139,"N/A")),""))</f>
        <v/>
      </c>
      <c r="AA139" s="23">
        <f>IF(A139="","",MAX(0,Config!$B$21-COUNTIF(E139:N139,"Sim")-COUNTIF(E139:N139,"N/A")))</f>
        <v/>
      </c>
      <c r="AB139" s="23">
        <f>IF(OR(A139="",D139&lt;&gt;"Encerrado"),"",MAX(0,Config!$D$21-COUNTIF(O139:X139,"Sim")-COUNTIF(O139:X139,"N/A")))</f>
        <v/>
      </c>
      <c r="AC139" s="23">
        <f>IF(A139="","",AA139+IF(AB139="",0,AB139))</f>
        <v/>
      </c>
      <c r="AD139" s="24">
        <f>IF(OR(A139="",AF139=""),"",LEFT(AF139,LEN(AF139)-2))</f>
        <v/>
      </c>
      <c r="AE139" s="35">
        <f>IF(OR(A139="",AC139=0),0,AC139*100-ROW()/100000)</f>
        <v>0</v>
      </c>
      <c r="AF139" s="35">
        <f>IF(A139="","",IF(AND(Config!$B$10&lt;&gt;"",E139&lt;&gt;"Sim",E139&lt;&gt;"N/A"),Config!$B$10&amp;"; ","")&amp;IF(AND(Config!$B$11&lt;&gt;"",F139&lt;&gt;"Sim",F139&lt;&gt;"N/A"),Config!$B$11&amp;"; ","")&amp;IF(AND(Config!$B$12&lt;&gt;"",G139&lt;&gt;"Sim",G139&lt;&gt;"N/A"),Config!$B$12&amp;"; ","")&amp;IF(AND(Config!$B$13&lt;&gt;"",H139&lt;&gt;"Sim",H139&lt;&gt;"N/A"),Config!$B$13&amp;"; ","")&amp;IF(AND(Config!$B$14&lt;&gt;"",I139&lt;&gt;"Sim",I139&lt;&gt;"N/A"),Config!$B$14&amp;"; ","")&amp;IF(AND(Config!$B$15&lt;&gt;"",J139&lt;&gt;"Sim",J139&lt;&gt;"N/A"),Config!$B$15&amp;"; ","")&amp;IF(AND(Config!$B$16&lt;&gt;"",K139&lt;&gt;"Sim",K139&lt;&gt;"N/A"),Config!$B$16&amp;"; ","")&amp;IF(AND(Config!$B$17&lt;&gt;"",L139&lt;&gt;"Sim",L139&lt;&gt;"N/A"),Config!$B$17&amp;"; ","")&amp;IF(AND(Config!$B$18&lt;&gt;"",M139&lt;&gt;"Sim",M139&lt;&gt;"N/A"),Config!$B$18&amp;"; ","")&amp;IF(AND(Config!$B$19&lt;&gt;"",N139&lt;&gt;"Sim",N139&lt;&gt;"N/A"),Config!$B$19&amp;"; ","")&amp;IF(AND($D139="Encerrado",Config!$D$10&lt;&gt;"",O139&lt;&gt;"Sim",O139&lt;&gt;"N/A"),Config!$D$10&amp;"; ","")&amp;IF(AND($D139="Encerrado",Config!$D$11&lt;&gt;"",P139&lt;&gt;"Sim",P139&lt;&gt;"N/A"),Config!$D$11&amp;"; ","")&amp;IF(AND($D139="Encerrado",Config!$D$12&lt;&gt;"",Q139&lt;&gt;"Sim",Q139&lt;&gt;"N/A"),Config!$D$12&amp;"; ","")&amp;IF(AND($D139="Encerrado",Config!$D$13&lt;&gt;"",R139&lt;&gt;"Sim",R139&lt;&gt;"N/A"),Config!$D$13&amp;"; ","")&amp;IF(AND($D139="Encerrado",Config!$D$14&lt;&gt;"",S139&lt;&gt;"Sim",S139&lt;&gt;"N/A"),Config!$D$14&amp;"; ","")&amp;IF(AND($D139="Encerrado",Config!$D$15&lt;&gt;"",T139&lt;&gt;"Sim",T139&lt;&gt;"N/A"),Config!$D$15&amp;"; ","")&amp;IF(AND($D139="Encerrado",Config!$D$16&lt;&gt;"",U139&lt;&gt;"Sim",U139&lt;&gt;"N/A"),Config!$D$16&amp;"; ","")&amp;IF(AND($D139="Encerrado",Config!$D$17&lt;&gt;"",V139&lt;&gt;"Sim",V139&lt;&gt;"N/A"),Config!$D$17&amp;"; ","")&amp;IF(AND($D139="Encerrado",Config!$D$18&lt;&gt;"",W139&lt;&gt;"Sim",W139&lt;&gt;"N/A"),Config!$D$18&amp;"; ","")&amp;IF(AND($D139="Encerrado",Config!$D$19&lt;&gt;"",X139&lt;&gt;"Sim",X139&lt;&gt;"N/A"),Config!$D$19&amp;"; ",""))</f>
        <v/>
      </c>
    </row>
    <row r="140">
      <c r="A140" s="29" t="n"/>
      <c r="B140" s="29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25">
        <f>IF(A140="","",IFERROR(COUNTIF(E140:N140,"Sim")/(Config!$B$21-COUNTIF(E140:N140,"N/A")),""))</f>
        <v/>
      </c>
      <c r="Z140" s="25">
        <f>IF(OR(A140="",D140&lt;&gt;"Encerrado"),"",IFERROR(COUNTIF(O140:X140,"Sim")/(Config!$D$21-COUNTIF(O140:X140,"N/A")),""))</f>
        <v/>
      </c>
      <c r="AA140" s="23">
        <f>IF(A140="","",MAX(0,Config!$B$21-COUNTIF(E140:N140,"Sim")-COUNTIF(E140:N140,"N/A")))</f>
        <v/>
      </c>
      <c r="AB140" s="23">
        <f>IF(OR(A140="",D140&lt;&gt;"Encerrado"),"",MAX(0,Config!$D$21-COUNTIF(O140:X140,"Sim")-COUNTIF(O140:X140,"N/A")))</f>
        <v/>
      </c>
      <c r="AC140" s="23">
        <f>IF(A140="","",AA140+IF(AB140="",0,AB140))</f>
        <v/>
      </c>
      <c r="AD140" s="24">
        <f>IF(OR(A140="",AF140=""),"",LEFT(AF140,LEN(AF140)-2))</f>
        <v/>
      </c>
      <c r="AE140" s="35">
        <f>IF(OR(A140="",AC140=0),0,AC140*100-ROW()/100000)</f>
        <v>0</v>
      </c>
      <c r="AF140" s="35">
        <f>IF(A140="","",IF(AND(Config!$B$10&lt;&gt;"",E140&lt;&gt;"Sim",E140&lt;&gt;"N/A"),Config!$B$10&amp;"; ","")&amp;IF(AND(Config!$B$11&lt;&gt;"",F140&lt;&gt;"Sim",F140&lt;&gt;"N/A"),Config!$B$11&amp;"; ","")&amp;IF(AND(Config!$B$12&lt;&gt;"",G140&lt;&gt;"Sim",G140&lt;&gt;"N/A"),Config!$B$12&amp;"; ","")&amp;IF(AND(Config!$B$13&lt;&gt;"",H140&lt;&gt;"Sim",H140&lt;&gt;"N/A"),Config!$B$13&amp;"; ","")&amp;IF(AND(Config!$B$14&lt;&gt;"",I140&lt;&gt;"Sim",I140&lt;&gt;"N/A"),Config!$B$14&amp;"; ","")&amp;IF(AND(Config!$B$15&lt;&gt;"",J140&lt;&gt;"Sim",J140&lt;&gt;"N/A"),Config!$B$15&amp;"; ","")&amp;IF(AND(Config!$B$16&lt;&gt;"",K140&lt;&gt;"Sim",K140&lt;&gt;"N/A"),Config!$B$16&amp;"; ","")&amp;IF(AND(Config!$B$17&lt;&gt;"",L140&lt;&gt;"Sim",L140&lt;&gt;"N/A"),Config!$B$17&amp;"; ","")&amp;IF(AND(Config!$B$18&lt;&gt;"",M140&lt;&gt;"Sim",M140&lt;&gt;"N/A"),Config!$B$18&amp;"; ","")&amp;IF(AND(Config!$B$19&lt;&gt;"",N140&lt;&gt;"Sim",N140&lt;&gt;"N/A"),Config!$B$19&amp;"; ","")&amp;IF(AND($D140="Encerrado",Config!$D$10&lt;&gt;"",O140&lt;&gt;"Sim",O140&lt;&gt;"N/A"),Config!$D$10&amp;"; ","")&amp;IF(AND($D140="Encerrado",Config!$D$11&lt;&gt;"",P140&lt;&gt;"Sim",P140&lt;&gt;"N/A"),Config!$D$11&amp;"; ","")&amp;IF(AND($D140="Encerrado",Config!$D$12&lt;&gt;"",Q140&lt;&gt;"Sim",Q140&lt;&gt;"N/A"),Config!$D$12&amp;"; ","")&amp;IF(AND($D140="Encerrado",Config!$D$13&lt;&gt;"",R140&lt;&gt;"Sim",R140&lt;&gt;"N/A"),Config!$D$13&amp;"; ","")&amp;IF(AND($D140="Encerrado",Config!$D$14&lt;&gt;"",S140&lt;&gt;"Sim",S140&lt;&gt;"N/A"),Config!$D$14&amp;"; ","")&amp;IF(AND($D140="Encerrado",Config!$D$15&lt;&gt;"",T140&lt;&gt;"Sim",T140&lt;&gt;"N/A"),Config!$D$15&amp;"; ","")&amp;IF(AND($D140="Encerrado",Config!$D$16&lt;&gt;"",U140&lt;&gt;"Sim",U140&lt;&gt;"N/A"),Config!$D$16&amp;"; ","")&amp;IF(AND($D140="Encerrado",Config!$D$17&lt;&gt;"",V140&lt;&gt;"Sim",V140&lt;&gt;"N/A"),Config!$D$17&amp;"; ","")&amp;IF(AND($D140="Encerrado",Config!$D$18&lt;&gt;"",W140&lt;&gt;"Sim",W140&lt;&gt;"N/A"),Config!$D$18&amp;"; ","")&amp;IF(AND($D140="Encerrado",Config!$D$19&lt;&gt;"",X140&lt;&gt;"Sim",X140&lt;&gt;"N/A"),Config!$D$19&amp;"; ",""))</f>
        <v/>
      </c>
    </row>
    <row r="141">
      <c r="A141" s="29" t="n"/>
      <c r="B141" s="29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25">
        <f>IF(A141="","",IFERROR(COUNTIF(E141:N141,"Sim")/(Config!$B$21-COUNTIF(E141:N141,"N/A")),""))</f>
        <v/>
      </c>
      <c r="Z141" s="25">
        <f>IF(OR(A141="",D141&lt;&gt;"Encerrado"),"",IFERROR(COUNTIF(O141:X141,"Sim")/(Config!$D$21-COUNTIF(O141:X141,"N/A")),""))</f>
        <v/>
      </c>
      <c r="AA141" s="23">
        <f>IF(A141="","",MAX(0,Config!$B$21-COUNTIF(E141:N141,"Sim")-COUNTIF(E141:N141,"N/A")))</f>
        <v/>
      </c>
      <c r="AB141" s="23">
        <f>IF(OR(A141="",D141&lt;&gt;"Encerrado"),"",MAX(0,Config!$D$21-COUNTIF(O141:X141,"Sim")-COUNTIF(O141:X141,"N/A")))</f>
        <v/>
      </c>
      <c r="AC141" s="23">
        <f>IF(A141="","",AA141+IF(AB141="",0,AB141))</f>
        <v/>
      </c>
      <c r="AD141" s="24">
        <f>IF(OR(A141="",AF141=""),"",LEFT(AF141,LEN(AF141)-2))</f>
        <v/>
      </c>
      <c r="AE141" s="35">
        <f>IF(OR(A141="",AC141=0),0,AC141*100-ROW()/100000)</f>
        <v>0</v>
      </c>
      <c r="AF141" s="35">
        <f>IF(A141="","",IF(AND(Config!$B$10&lt;&gt;"",E141&lt;&gt;"Sim",E141&lt;&gt;"N/A"),Config!$B$10&amp;"; ","")&amp;IF(AND(Config!$B$11&lt;&gt;"",F141&lt;&gt;"Sim",F141&lt;&gt;"N/A"),Config!$B$11&amp;"; ","")&amp;IF(AND(Config!$B$12&lt;&gt;"",G141&lt;&gt;"Sim",G141&lt;&gt;"N/A"),Config!$B$12&amp;"; ","")&amp;IF(AND(Config!$B$13&lt;&gt;"",H141&lt;&gt;"Sim",H141&lt;&gt;"N/A"),Config!$B$13&amp;"; ","")&amp;IF(AND(Config!$B$14&lt;&gt;"",I141&lt;&gt;"Sim",I141&lt;&gt;"N/A"),Config!$B$14&amp;"; ","")&amp;IF(AND(Config!$B$15&lt;&gt;"",J141&lt;&gt;"Sim",J141&lt;&gt;"N/A"),Config!$B$15&amp;"; ","")&amp;IF(AND(Config!$B$16&lt;&gt;"",K141&lt;&gt;"Sim",K141&lt;&gt;"N/A"),Config!$B$16&amp;"; ","")&amp;IF(AND(Config!$B$17&lt;&gt;"",L141&lt;&gt;"Sim",L141&lt;&gt;"N/A"),Config!$B$17&amp;"; ","")&amp;IF(AND(Config!$B$18&lt;&gt;"",M141&lt;&gt;"Sim",M141&lt;&gt;"N/A"),Config!$B$18&amp;"; ","")&amp;IF(AND(Config!$B$19&lt;&gt;"",N141&lt;&gt;"Sim",N141&lt;&gt;"N/A"),Config!$B$19&amp;"; ","")&amp;IF(AND($D141="Encerrado",Config!$D$10&lt;&gt;"",O141&lt;&gt;"Sim",O141&lt;&gt;"N/A"),Config!$D$10&amp;"; ","")&amp;IF(AND($D141="Encerrado",Config!$D$11&lt;&gt;"",P141&lt;&gt;"Sim",P141&lt;&gt;"N/A"),Config!$D$11&amp;"; ","")&amp;IF(AND($D141="Encerrado",Config!$D$12&lt;&gt;"",Q141&lt;&gt;"Sim",Q141&lt;&gt;"N/A"),Config!$D$12&amp;"; ","")&amp;IF(AND($D141="Encerrado",Config!$D$13&lt;&gt;"",R141&lt;&gt;"Sim",R141&lt;&gt;"N/A"),Config!$D$13&amp;"; ","")&amp;IF(AND($D141="Encerrado",Config!$D$14&lt;&gt;"",S141&lt;&gt;"Sim",S141&lt;&gt;"N/A"),Config!$D$14&amp;"; ","")&amp;IF(AND($D141="Encerrado",Config!$D$15&lt;&gt;"",T141&lt;&gt;"Sim",T141&lt;&gt;"N/A"),Config!$D$15&amp;"; ","")&amp;IF(AND($D141="Encerrado",Config!$D$16&lt;&gt;"",U141&lt;&gt;"Sim",U141&lt;&gt;"N/A"),Config!$D$16&amp;"; ","")&amp;IF(AND($D141="Encerrado",Config!$D$17&lt;&gt;"",V141&lt;&gt;"Sim",V141&lt;&gt;"N/A"),Config!$D$17&amp;"; ","")&amp;IF(AND($D141="Encerrado",Config!$D$18&lt;&gt;"",W141&lt;&gt;"Sim",W141&lt;&gt;"N/A"),Config!$D$18&amp;"; ","")&amp;IF(AND($D141="Encerrado",Config!$D$19&lt;&gt;"",X141&lt;&gt;"Sim",X141&lt;&gt;"N/A"),Config!$D$19&amp;"; ",""))</f>
        <v/>
      </c>
    </row>
    <row r="142">
      <c r="A142" s="29" t="n"/>
      <c r="B142" s="29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25">
        <f>IF(A142="","",IFERROR(COUNTIF(E142:N142,"Sim")/(Config!$B$21-COUNTIF(E142:N142,"N/A")),""))</f>
        <v/>
      </c>
      <c r="Z142" s="25">
        <f>IF(OR(A142="",D142&lt;&gt;"Encerrado"),"",IFERROR(COUNTIF(O142:X142,"Sim")/(Config!$D$21-COUNTIF(O142:X142,"N/A")),""))</f>
        <v/>
      </c>
      <c r="AA142" s="23">
        <f>IF(A142="","",MAX(0,Config!$B$21-COUNTIF(E142:N142,"Sim")-COUNTIF(E142:N142,"N/A")))</f>
        <v/>
      </c>
      <c r="AB142" s="23">
        <f>IF(OR(A142="",D142&lt;&gt;"Encerrado"),"",MAX(0,Config!$D$21-COUNTIF(O142:X142,"Sim")-COUNTIF(O142:X142,"N/A")))</f>
        <v/>
      </c>
      <c r="AC142" s="23">
        <f>IF(A142="","",AA142+IF(AB142="",0,AB142))</f>
        <v/>
      </c>
      <c r="AD142" s="24">
        <f>IF(OR(A142="",AF142=""),"",LEFT(AF142,LEN(AF142)-2))</f>
        <v/>
      </c>
      <c r="AE142" s="35">
        <f>IF(OR(A142="",AC142=0),0,AC142*100-ROW()/100000)</f>
        <v>0</v>
      </c>
      <c r="AF142" s="35">
        <f>IF(A142="","",IF(AND(Config!$B$10&lt;&gt;"",E142&lt;&gt;"Sim",E142&lt;&gt;"N/A"),Config!$B$10&amp;"; ","")&amp;IF(AND(Config!$B$11&lt;&gt;"",F142&lt;&gt;"Sim",F142&lt;&gt;"N/A"),Config!$B$11&amp;"; ","")&amp;IF(AND(Config!$B$12&lt;&gt;"",G142&lt;&gt;"Sim",G142&lt;&gt;"N/A"),Config!$B$12&amp;"; ","")&amp;IF(AND(Config!$B$13&lt;&gt;"",H142&lt;&gt;"Sim",H142&lt;&gt;"N/A"),Config!$B$13&amp;"; ","")&amp;IF(AND(Config!$B$14&lt;&gt;"",I142&lt;&gt;"Sim",I142&lt;&gt;"N/A"),Config!$B$14&amp;"; ","")&amp;IF(AND(Config!$B$15&lt;&gt;"",J142&lt;&gt;"Sim",J142&lt;&gt;"N/A"),Config!$B$15&amp;"; ","")&amp;IF(AND(Config!$B$16&lt;&gt;"",K142&lt;&gt;"Sim",K142&lt;&gt;"N/A"),Config!$B$16&amp;"; ","")&amp;IF(AND(Config!$B$17&lt;&gt;"",L142&lt;&gt;"Sim",L142&lt;&gt;"N/A"),Config!$B$17&amp;"; ","")&amp;IF(AND(Config!$B$18&lt;&gt;"",M142&lt;&gt;"Sim",M142&lt;&gt;"N/A"),Config!$B$18&amp;"; ","")&amp;IF(AND(Config!$B$19&lt;&gt;"",N142&lt;&gt;"Sim",N142&lt;&gt;"N/A"),Config!$B$19&amp;"; ","")&amp;IF(AND($D142="Encerrado",Config!$D$10&lt;&gt;"",O142&lt;&gt;"Sim",O142&lt;&gt;"N/A"),Config!$D$10&amp;"; ","")&amp;IF(AND($D142="Encerrado",Config!$D$11&lt;&gt;"",P142&lt;&gt;"Sim",P142&lt;&gt;"N/A"),Config!$D$11&amp;"; ","")&amp;IF(AND($D142="Encerrado",Config!$D$12&lt;&gt;"",Q142&lt;&gt;"Sim",Q142&lt;&gt;"N/A"),Config!$D$12&amp;"; ","")&amp;IF(AND($D142="Encerrado",Config!$D$13&lt;&gt;"",R142&lt;&gt;"Sim",R142&lt;&gt;"N/A"),Config!$D$13&amp;"; ","")&amp;IF(AND($D142="Encerrado",Config!$D$14&lt;&gt;"",S142&lt;&gt;"Sim",S142&lt;&gt;"N/A"),Config!$D$14&amp;"; ","")&amp;IF(AND($D142="Encerrado",Config!$D$15&lt;&gt;"",T142&lt;&gt;"Sim",T142&lt;&gt;"N/A"),Config!$D$15&amp;"; ","")&amp;IF(AND($D142="Encerrado",Config!$D$16&lt;&gt;"",U142&lt;&gt;"Sim",U142&lt;&gt;"N/A"),Config!$D$16&amp;"; ","")&amp;IF(AND($D142="Encerrado",Config!$D$17&lt;&gt;"",V142&lt;&gt;"Sim",V142&lt;&gt;"N/A"),Config!$D$17&amp;"; ","")&amp;IF(AND($D142="Encerrado",Config!$D$18&lt;&gt;"",W142&lt;&gt;"Sim",W142&lt;&gt;"N/A"),Config!$D$18&amp;"; ","")&amp;IF(AND($D142="Encerrado",Config!$D$19&lt;&gt;"",X142&lt;&gt;"Sim",X142&lt;&gt;"N/A"),Config!$D$19&amp;"; ",""))</f>
        <v/>
      </c>
    </row>
    <row r="143">
      <c r="A143" s="29" t="n"/>
      <c r="B143" s="29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25">
        <f>IF(A143="","",IFERROR(COUNTIF(E143:N143,"Sim")/(Config!$B$21-COUNTIF(E143:N143,"N/A")),""))</f>
        <v/>
      </c>
      <c r="Z143" s="25">
        <f>IF(OR(A143="",D143&lt;&gt;"Encerrado"),"",IFERROR(COUNTIF(O143:X143,"Sim")/(Config!$D$21-COUNTIF(O143:X143,"N/A")),""))</f>
        <v/>
      </c>
      <c r="AA143" s="23">
        <f>IF(A143="","",MAX(0,Config!$B$21-COUNTIF(E143:N143,"Sim")-COUNTIF(E143:N143,"N/A")))</f>
        <v/>
      </c>
      <c r="AB143" s="23">
        <f>IF(OR(A143="",D143&lt;&gt;"Encerrado"),"",MAX(0,Config!$D$21-COUNTIF(O143:X143,"Sim")-COUNTIF(O143:X143,"N/A")))</f>
        <v/>
      </c>
      <c r="AC143" s="23">
        <f>IF(A143="","",AA143+IF(AB143="",0,AB143))</f>
        <v/>
      </c>
      <c r="AD143" s="24">
        <f>IF(OR(A143="",AF143=""),"",LEFT(AF143,LEN(AF143)-2))</f>
        <v/>
      </c>
      <c r="AE143" s="35">
        <f>IF(OR(A143="",AC143=0),0,AC143*100-ROW()/100000)</f>
        <v>0</v>
      </c>
      <c r="AF143" s="35">
        <f>IF(A143="","",IF(AND(Config!$B$10&lt;&gt;"",E143&lt;&gt;"Sim",E143&lt;&gt;"N/A"),Config!$B$10&amp;"; ","")&amp;IF(AND(Config!$B$11&lt;&gt;"",F143&lt;&gt;"Sim",F143&lt;&gt;"N/A"),Config!$B$11&amp;"; ","")&amp;IF(AND(Config!$B$12&lt;&gt;"",G143&lt;&gt;"Sim",G143&lt;&gt;"N/A"),Config!$B$12&amp;"; ","")&amp;IF(AND(Config!$B$13&lt;&gt;"",H143&lt;&gt;"Sim",H143&lt;&gt;"N/A"),Config!$B$13&amp;"; ","")&amp;IF(AND(Config!$B$14&lt;&gt;"",I143&lt;&gt;"Sim",I143&lt;&gt;"N/A"),Config!$B$14&amp;"; ","")&amp;IF(AND(Config!$B$15&lt;&gt;"",J143&lt;&gt;"Sim",J143&lt;&gt;"N/A"),Config!$B$15&amp;"; ","")&amp;IF(AND(Config!$B$16&lt;&gt;"",K143&lt;&gt;"Sim",K143&lt;&gt;"N/A"),Config!$B$16&amp;"; ","")&amp;IF(AND(Config!$B$17&lt;&gt;"",L143&lt;&gt;"Sim",L143&lt;&gt;"N/A"),Config!$B$17&amp;"; ","")&amp;IF(AND(Config!$B$18&lt;&gt;"",M143&lt;&gt;"Sim",M143&lt;&gt;"N/A"),Config!$B$18&amp;"; ","")&amp;IF(AND(Config!$B$19&lt;&gt;"",N143&lt;&gt;"Sim",N143&lt;&gt;"N/A"),Config!$B$19&amp;"; ","")&amp;IF(AND($D143="Encerrado",Config!$D$10&lt;&gt;"",O143&lt;&gt;"Sim",O143&lt;&gt;"N/A"),Config!$D$10&amp;"; ","")&amp;IF(AND($D143="Encerrado",Config!$D$11&lt;&gt;"",P143&lt;&gt;"Sim",P143&lt;&gt;"N/A"),Config!$D$11&amp;"; ","")&amp;IF(AND($D143="Encerrado",Config!$D$12&lt;&gt;"",Q143&lt;&gt;"Sim",Q143&lt;&gt;"N/A"),Config!$D$12&amp;"; ","")&amp;IF(AND($D143="Encerrado",Config!$D$13&lt;&gt;"",R143&lt;&gt;"Sim",R143&lt;&gt;"N/A"),Config!$D$13&amp;"; ","")&amp;IF(AND($D143="Encerrado",Config!$D$14&lt;&gt;"",S143&lt;&gt;"Sim",S143&lt;&gt;"N/A"),Config!$D$14&amp;"; ","")&amp;IF(AND($D143="Encerrado",Config!$D$15&lt;&gt;"",T143&lt;&gt;"Sim",T143&lt;&gt;"N/A"),Config!$D$15&amp;"; ","")&amp;IF(AND($D143="Encerrado",Config!$D$16&lt;&gt;"",U143&lt;&gt;"Sim",U143&lt;&gt;"N/A"),Config!$D$16&amp;"; ","")&amp;IF(AND($D143="Encerrado",Config!$D$17&lt;&gt;"",V143&lt;&gt;"Sim",V143&lt;&gt;"N/A"),Config!$D$17&amp;"; ","")&amp;IF(AND($D143="Encerrado",Config!$D$18&lt;&gt;"",W143&lt;&gt;"Sim",W143&lt;&gt;"N/A"),Config!$D$18&amp;"; ","")&amp;IF(AND($D143="Encerrado",Config!$D$19&lt;&gt;"",X143&lt;&gt;"Sim",X143&lt;&gt;"N/A"),Config!$D$19&amp;"; ",""))</f>
        <v/>
      </c>
    </row>
    <row r="144">
      <c r="A144" s="29" t="n"/>
      <c r="B144" s="29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25">
        <f>IF(A144="","",IFERROR(COUNTIF(E144:N144,"Sim")/(Config!$B$21-COUNTIF(E144:N144,"N/A")),""))</f>
        <v/>
      </c>
      <c r="Z144" s="25">
        <f>IF(OR(A144="",D144&lt;&gt;"Encerrado"),"",IFERROR(COUNTIF(O144:X144,"Sim")/(Config!$D$21-COUNTIF(O144:X144,"N/A")),""))</f>
        <v/>
      </c>
      <c r="AA144" s="23">
        <f>IF(A144="","",MAX(0,Config!$B$21-COUNTIF(E144:N144,"Sim")-COUNTIF(E144:N144,"N/A")))</f>
        <v/>
      </c>
      <c r="AB144" s="23">
        <f>IF(OR(A144="",D144&lt;&gt;"Encerrado"),"",MAX(0,Config!$D$21-COUNTIF(O144:X144,"Sim")-COUNTIF(O144:X144,"N/A")))</f>
        <v/>
      </c>
      <c r="AC144" s="23">
        <f>IF(A144="","",AA144+IF(AB144="",0,AB144))</f>
        <v/>
      </c>
      <c r="AD144" s="24">
        <f>IF(OR(A144="",AF144=""),"",LEFT(AF144,LEN(AF144)-2))</f>
        <v/>
      </c>
      <c r="AE144" s="35">
        <f>IF(OR(A144="",AC144=0),0,AC144*100-ROW()/100000)</f>
        <v>0</v>
      </c>
      <c r="AF144" s="35">
        <f>IF(A144="","",IF(AND(Config!$B$10&lt;&gt;"",E144&lt;&gt;"Sim",E144&lt;&gt;"N/A"),Config!$B$10&amp;"; ","")&amp;IF(AND(Config!$B$11&lt;&gt;"",F144&lt;&gt;"Sim",F144&lt;&gt;"N/A"),Config!$B$11&amp;"; ","")&amp;IF(AND(Config!$B$12&lt;&gt;"",G144&lt;&gt;"Sim",G144&lt;&gt;"N/A"),Config!$B$12&amp;"; ","")&amp;IF(AND(Config!$B$13&lt;&gt;"",H144&lt;&gt;"Sim",H144&lt;&gt;"N/A"),Config!$B$13&amp;"; ","")&amp;IF(AND(Config!$B$14&lt;&gt;"",I144&lt;&gt;"Sim",I144&lt;&gt;"N/A"),Config!$B$14&amp;"; ","")&amp;IF(AND(Config!$B$15&lt;&gt;"",J144&lt;&gt;"Sim",J144&lt;&gt;"N/A"),Config!$B$15&amp;"; ","")&amp;IF(AND(Config!$B$16&lt;&gt;"",K144&lt;&gt;"Sim",K144&lt;&gt;"N/A"),Config!$B$16&amp;"; ","")&amp;IF(AND(Config!$B$17&lt;&gt;"",L144&lt;&gt;"Sim",L144&lt;&gt;"N/A"),Config!$B$17&amp;"; ","")&amp;IF(AND(Config!$B$18&lt;&gt;"",M144&lt;&gt;"Sim",M144&lt;&gt;"N/A"),Config!$B$18&amp;"; ","")&amp;IF(AND(Config!$B$19&lt;&gt;"",N144&lt;&gt;"Sim",N144&lt;&gt;"N/A"),Config!$B$19&amp;"; ","")&amp;IF(AND($D144="Encerrado",Config!$D$10&lt;&gt;"",O144&lt;&gt;"Sim",O144&lt;&gt;"N/A"),Config!$D$10&amp;"; ","")&amp;IF(AND($D144="Encerrado",Config!$D$11&lt;&gt;"",P144&lt;&gt;"Sim",P144&lt;&gt;"N/A"),Config!$D$11&amp;"; ","")&amp;IF(AND($D144="Encerrado",Config!$D$12&lt;&gt;"",Q144&lt;&gt;"Sim",Q144&lt;&gt;"N/A"),Config!$D$12&amp;"; ","")&amp;IF(AND($D144="Encerrado",Config!$D$13&lt;&gt;"",R144&lt;&gt;"Sim",R144&lt;&gt;"N/A"),Config!$D$13&amp;"; ","")&amp;IF(AND($D144="Encerrado",Config!$D$14&lt;&gt;"",S144&lt;&gt;"Sim",S144&lt;&gt;"N/A"),Config!$D$14&amp;"; ","")&amp;IF(AND($D144="Encerrado",Config!$D$15&lt;&gt;"",T144&lt;&gt;"Sim",T144&lt;&gt;"N/A"),Config!$D$15&amp;"; ","")&amp;IF(AND($D144="Encerrado",Config!$D$16&lt;&gt;"",U144&lt;&gt;"Sim",U144&lt;&gt;"N/A"),Config!$D$16&amp;"; ","")&amp;IF(AND($D144="Encerrado",Config!$D$17&lt;&gt;"",V144&lt;&gt;"Sim",V144&lt;&gt;"N/A"),Config!$D$17&amp;"; ","")&amp;IF(AND($D144="Encerrado",Config!$D$18&lt;&gt;"",W144&lt;&gt;"Sim",W144&lt;&gt;"N/A"),Config!$D$18&amp;"; ","")&amp;IF(AND($D144="Encerrado",Config!$D$19&lt;&gt;"",X144&lt;&gt;"Sim",X144&lt;&gt;"N/A"),Config!$D$19&amp;"; ",""))</f>
        <v/>
      </c>
    </row>
    <row r="145">
      <c r="A145" s="29" t="n"/>
      <c r="B145" s="29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25">
        <f>IF(A145="","",IFERROR(COUNTIF(E145:N145,"Sim")/(Config!$B$21-COUNTIF(E145:N145,"N/A")),""))</f>
        <v/>
      </c>
      <c r="Z145" s="25">
        <f>IF(OR(A145="",D145&lt;&gt;"Encerrado"),"",IFERROR(COUNTIF(O145:X145,"Sim")/(Config!$D$21-COUNTIF(O145:X145,"N/A")),""))</f>
        <v/>
      </c>
      <c r="AA145" s="23">
        <f>IF(A145="","",MAX(0,Config!$B$21-COUNTIF(E145:N145,"Sim")-COUNTIF(E145:N145,"N/A")))</f>
        <v/>
      </c>
      <c r="AB145" s="23">
        <f>IF(OR(A145="",D145&lt;&gt;"Encerrado"),"",MAX(0,Config!$D$21-COUNTIF(O145:X145,"Sim")-COUNTIF(O145:X145,"N/A")))</f>
        <v/>
      </c>
      <c r="AC145" s="23">
        <f>IF(A145="","",AA145+IF(AB145="",0,AB145))</f>
        <v/>
      </c>
      <c r="AD145" s="24">
        <f>IF(OR(A145="",AF145=""),"",LEFT(AF145,LEN(AF145)-2))</f>
        <v/>
      </c>
      <c r="AE145" s="35">
        <f>IF(OR(A145="",AC145=0),0,AC145*100-ROW()/100000)</f>
        <v>0</v>
      </c>
      <c r="AF145" s="35">
        <f>IF(A145="","",IF(AND(Config!$B$10&lt;&gt;"",E145&lt;&gt;"Sim",E145&lt;&gt;"N/A"),Config!$B$10&amp;"; ","")&amp;IF(AND(Config!$B$11&lt;&gt;"",F145&lt;&gt;"Sim",F145&lt;&gt;"N/A"),Config!$B$11&amp;"; ","")&amp;IF(AND(Config!$B$12&lt;&gt;"",G145&lt;&gt;"Sim",G145&lt;&gt;"N/A"),Config!$B$12&amp;"; ","")&amp;IF(AND(Config!$B$13&lt;&gt;"",H145&lt;&gt;"Sim",H145&lt;&gt;"N/A"),Config!$B$13&amp;"; ","")&amp;IF(AND(Config!$B$14&lt;&gt;"",I145&lt;&gt;"Sim",I145&lt;&gt;"N/A"),Config!$B$14&amp;"; ","")&amp;IF(AND(Config!$B$15&lt;&gt;"",J145&lt;&gt;"Sim",J145&lt;&gt;"N/A"),Config!$B$15&amp;"; ","")&amp;IF(AND(Config!$B$16&lt;&gt;"",K145&lt;&gt;"Sim",K145&lt;&gt;"N/A"),Config!$B$16&amp;"; ","")&amp;IF(AND(Config!$B$17&lt;&gt;"",L145&lt;&gt;"Sim",L145&lt;&gt;"N/A"),Config!$B$17&amp;"; ","")&amp;IF(AND(Config!$B$18&lt;&gt;"",M145&lt;&gt;"Sim",M145&lt;&gt;"N/A"),Config!$B$18&amp;"; ","")&amp;IF(AND(Config!$B$19&lt;&gt;"",N145&lt;&gt;"Sim",N145&lt;&gt;"N/A"),Config!$B$19&amp;"; ","")&amp;IF(AND($D145="Encerrado",Config!$D$10&lt;&gt;"",O145&lt;&gt;"Sim",O145&lt;&gt;"N/A"),Config!$D$10&amp;"; ","")&amp;IF(AND($D145="Encerrado",Config!$D$11&lt;&gt;"",P145&lt;&gt;"Sim",P145&lt;&gt;"N/A"),Config!$D$11&amp;"; ","")&amp;IF(AND($D145="Encerrado",Config!$D$12&lt;&gt;"",Q145&lt;&gt;"Sim",Q145&lt;&gt;"N/A"),Config!$D$12&amp;"; ","")&amp;IF(AND($D145="Encerrado",Config!$D$13&lt;&gt;"",R145&lt;&gt;"Sim",R145&lt;&gt;"N/A"),Config!$D$13&amp;"; ","")&amp;IF(AND($D145="Encerrado",Config!$D$14&lt;&gt;"",S145&lt;&gt;"Sim",S145&lt;&gt;"N/A"),Config!$D$14&amp;"; ","")&amp;IF(AND($D145="Encerrado",Config!$D$15&lt;&gt;"",T145&lt;&gt;"Sim",T145&lt;&gt;"N/A"),Config!$D$15&amp;"; ","")&amp;IF(AND($D145="Encerrado",Config!$D$16&lt;&gt;"",U145&lt;&gt;"Sim",U145&lt;&gt;"N/A"),Config!$D$16&amp;"; ","")&amp;IF(AND($D145="Encerrado",Config!$D$17&lt;&gt;"",V145&lt;&gt;"Sim",V145&lt;&gt;"N/A"),Config!$D$17&amp;"; ","")&amp;IF(AND($D145="Encerrado",Config!$D$18&lt;&gt;"",W145&lt;&gt;"Sim",W145&lt;&gt;"N/A"),Config!$D$18&amp;"; ","")&amp;IF(AND($D145="Encerrado",Config!$D$19&lt;&gt;"",X145&lt;&gt;"Sim",X145&lt;&gt;"N/A"),Config!$D$19&amp;"; ",""))</f>
        <v/>
      </c>
    </row>
    <row r="146">
      <c r="A146" s="29" t="n"/>
      <c r="B146" s="29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25">
        <f>IF(A146="","",IFERROR(COUNTIF(E146:N146,"Sim")/(Config!$B$21-COUNTIF(E146:N146,"N/A")),""))</f>
        <v/>
      </c>
      <c r="Z146" s="25">
        <f>IF(OR(A146="",D146&lt;&gt;"Encerrado"),"",IFERROR(COUNTIF(O146:X146,"Sim")/(Config!$D$21-COUNTIF(O146:X146,"N/A")),""))</f>
        <v/>
      </c>
      <c r="AA146" s="23">
        <f>IF(A146="","",MAX(0,Config!$B$21-COUNTIF(E146:N146,"Sim")-COUNTIF(E146:N146,"N/A")))</f>
        <v/>
      </c>
      <c r="AB146" s="23">
        <f>IF(OR(A146="",D146&lt;&gt;"Encerrado"),"",MAX(0,Config!$D$21-COUNTIF(O146:X146,"Sim")-COUNTIF(O146:X146,"N/A")))</f>
        <v/>
      </c>
      <c r="AC146" s="23">
        <f>IF(A146="","",AA146+IF(AB146="",0,AB146))</f>
        <v/>
      </c>
      <c r="AD146" s="24">
        <f>IF(OR(A146="",AF146=""),"",LEFT(AF146,LEN(AF146)-2))</f>
        <v/>
      </c>
      <c r="AE146" s="35">
        <f>IF(OR(A146="",AC146=0),0,AC146*100-ROW()/100000)</f>
        <v>0</v>
      </c>
      <c r="AF146" s="35">
        <f>IF(A146="","",IF(AND(Config!$B$10&lt;&gt;"",E146&lt;&gt;"Sim",E146&lt;&gt;"N/A"),Config!$B$10&amp;"; ","")&amp;IF(AND(Config!$B$11&lt;&gt;"",F146&lt;&gt;"Sim",F146&lt;&gt;"N/A"),Config!$B$11&amp;"; ","")&amp;IF(AND(Config!$B$12&lt;&gt;"",G146&lt;&gt;"Sim",G146&lt;&gt;"N/A"),Config!$B$12&amp;"; ","")&amp;IF(AND(Config!$B$13&lt;&gt;"",H146&lt;&gt;"Sim",H146&lt;&gt;"N/A"),Config!$B$13&amp;"; ","")&amp;IF(AND(Config!$B$14&lt;&gt;"",I146&lt;&gt;"Sim",I146&lt;&gt;"N/A"),Config!$B$14&amp;"; ","")&amp;IF(AND(Config!$B$15&lt;&gt;"",J146&lt;&gt;"Sim",J146&lt;&gt;"N/A"),Config!$B$15&amp;"; ","")&amp;IF(AND(Config!$B$16&lt;&gt;"",K146&lt;&gt;"Sim",K146&lt;&gt;"N/A"),Config!$B$16&amp;"; ","")&amp;IF(AND(Config!$B$17&lt;&gt;"",L146&lt;&gt;"Sim",L146&lt;&gt;"N/A"),Config!$B$17&amp;"; ","")&amp;IF(AND(Config!$B$18&lt;&gt;"",M146&lt;&gt;"Sim",M146&lt;&gt;"N/A"),Config!$B$18&amp;"; ","")&amp;IF(AND(Config!$B$19&lt;&gt;"",N146&lt;&gt;"Sim",N146&lt;&gt;"N/A"),Config!$B$19&amp;"; ","")&amp;IF(AND($D146="Encerrado",Config!$D$10&lt;&gt;"",O146&lt;&gt;"Sim",O146&lt;&gt;"N/A"),Config!$D$10&amp;"; ","")&amp;IF(AND($D146="Encerrado",Config!$D$11&lt;&gt;"",P146&lt;&gt;"Sim",P146&lt;&gt;"N/A"),Config!$D$11&amp;"; ","")&amp;IF(AND($D146="Encerrado",Config!$D$12&lt;&gt;"",Q146&lt;&gt;"Sim",Q146&lt;&gt;"N/A"),Config!$D$12&amp;"; ","")&amp;IF(AND($D146="Encerrado",Config!$D$13&lt;&gt;"",R146&lt;&gt;"Sim",R146&lt;&gt;"N/A"),Config!$D$13&amp;"; ","")&amp;IF(AND($D146="Encerrado",Config!$D$14&lt;&gt;"",S146&lt;&gt;"Sim",S146&lt;&gt;"N/A"),Config!$D$14&amp;"; ","")&amp;IF(AND($D146="Encerrado",Config!$D$15&lt;&gt;"",T146&lt;&gt;"Sim",T146&lt;&gt;"N/A"),Config!$D$15&amp;"; ","")&amp;IF(AND($D146="Encerrado",Config!$D$16&lt;&gt;"",U146&lt;&gt;"Sim",U146&lt;&gt;"N/A"),Config!$D$16&amp;"; ","")&amp;IF(AND($D146="Encerrado",Config!$D$17&lt;&gt;"",V146&lt;&gt;"Sim",V146&lt;&gt;"N/A"),Config!$D$17&amp;"; ","")&amp;IF(AND($D146="Encerrado",Config!$D$18&lt;&gt;"",W146&lt;&gt;"Sim",W146&lt;&gt;"N/A"),Config!$D$18&amp;"; ","")&amp;IF(AND($D146="Encerrado",Config!$D$19&lt;&gt;"",X146&lt;&gt;"Sim",X146&lt;&gt;"N/A"),Config!$D$19&amp;"; ",""))</f>
        <v/>
      </c>
    </row>
    <row r="147">
      <c r="A147" s="29" t="n"/>
      <c r="B147" s="29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25">
        <f>IF(A147="","",IFERROR(COUNTIF(E147:N147,"Sim")/(Config!$B$21-COUNTIF(E147:N147,"N/A")),""))</f>
        <v/>
      </c>
      <c r="Z147" s="25">
        <f>IF(OR(A147="",D147&lt;&gt;"Encerrado"),"",IFERROR(COUNTIF(O147:X147,"Sim")/(Config!$D$21-COUNTIF(O147:X147,"N/A")),""))</f>
        <v/>
      </c>
      <c r="AA147" s="23">
        <f>IF(A147="","",MAX(0,Config!$B$21-COUNTIF(E147:N147,"Sim")-COUNTIF(E147:N147,"N/A")))</f>
        <v/>
      </c>
      <c r="AB147" s="23">
        <f>IF(OR(A147="",D147&lt;&gt;"Encerrado"),"",MAX(0,Config!$D$21-COUNTIF(O147:X147,"Sim")-COUNTIF(O147:X147,"N/A")))</f>
        <v/>
      </c>
      <c r="AC147" s="23">
        <f>IF(A147="","",AA147+IF(AB147="",0,AB147))</f>
        <v/>
      </c>
      <c r="AD147" s="24">
        <f>IF(OR(A147="",AF147=""),"",LEFT(AF147,LEN(AF147)-2))</f>
        <v/>
      </c>
      <c r="AE147" s="35">
        <f>IF(OR(A147="",AC147=0),0,AC147*100-ROW()/100000)</f>
        <v>0</v>
      </c>
      <c r="AF147" s="35">
        <f>IF(A147="","",IF(AND(Config!$B$10&lt;&gt;"",E147&lt;&gt;"Sim",E147&lt;&gt;"N/A"),Config!$B$10&amp;"; ","")&amp;IF(AND(Config!$B$11&lt;&gt;"",F147&lt;&gt;"Sim",F147&lt;&gt;"N/A"),Config!$B$11&amp;"; ","")&amp;IF(AND(Config!$B$12&lt;&gt;"",G147&lt;&gt;"Sim",G147&lt;&gt;"N/A"),Config!$B$12&amp;"; ","")&amp;IF(AND(Config!$B$13&lt;&gt;"",H147&lt;&gt;"Sim",H147&lt;&gt;"N/A"),Config!$B$13&amp;"; ","")&amp;IF(AND(Config!$B$14&lt;&gt;"",I147&lt;&gt;"Sim",I147&lt;&gt;"N/A"),Config!$B$14&amp;"; ","")&amp;IF(AND(Config!$B$15&lt;&gt;"",J147&lt;&gt;"Sim",J147&lt;&gt;"N/A"),Config!$B$15&amp;"; ","")&amp;IF(AND(Config!$B$16&lt;&gt;"",K147&lt;&gt;"Sim",K147&lt;&gt;"N/A"),Config!$B$16&amp;"; ","")&amp;IF(AND(Config!$B$17&lt;&gt;"",L147&lt;&gt;"Sim",L147&lt;&gt;"N/A"),Config!$B$17&amp;"; ","")&amp;IF(AND(Config!$B$18&lt;&gt;"",M147&lt;&gt;"Sim",M147&lt;&gt;"N/A"),Config!$B$18&amp;"; ","")&amp;IF(AND(Config!$B$19&lt;&gt;"",N147&lt;&gt;"Sim",N147&lt;&gt;"N/A"),Config!$B$19&amp;"; ","")&amp;IF(AND($D147="Encerrado",Config!$D$10&lt;&gt;"",O147&lt;&gt;"Sim",O147&lt;&gt;"N/A"),Config!$D$10&amp;"; ","")&amp;IF(AND($D147="Encerrado",Config!$D$11&lt;&gt;"",P147&lt;&gt;"Sim",P147&lt;&gt;"N/A"),Config!$D$11&amp;"; ","")&amp;IF(AND($D147="Encerrado",Config!$D$12&lt;&gt;"",Q147&lt;&gt;"Sim",Q147&lt;&gt;"N/A"),Config!$D$12&amp;"; ","")&amp;IF(AND($D147="Encerrado",Config!$D$13&lt;&gt;"",R147&lt;&gt;"Sim",R147&lt;&gt;"N/A"),Config!$D$13&amp;"; ","")&amp;IF(AND($D147="Encerrado",Config!$D$14&lt;&gt;"",S147&lt;&gt;"Sim",S147&lt;&gt;"N/A"),Config!$D$14&amp;"; ","")&amp;IF(AND($D147="Encerrado",Config!$D$15&lt;&gt;"",T147&lt;&gt;"Sim",T147&lt;&gt;"N/A"),Config!$D$15&amp;"; ","")&amp;IF(AND($D147="Encerrado",Config!$D$16&lt;&gt;"",U147&lt;&gt;"Sim",U147&lt;&gt;"N/A"),Config!$D$16&amp;"; ","")&amp;IF(AND($D147="Encerrado",Config!$D$17&lt;&gt;"",V147&lt;&gt;"Sim",V147&lt;&gt;"N/A"),Config!$D$17&amp;"; ","")&amp;IF(AND($D147="Encerrado",Config!$D$18&lt;&gt;"",W147&lt;&gt;"Sim",W147&lt;&gt;"N/A"),Config!$D$18&amp;"; ","")&amp;IF(AND($D147="Encerrado",Config!$D$19&lt;&gt;"",X147&lt;&gt;"Sim",X147&lt;&gt;"N/A"),Config!$D$19&amp;"; ",""))</f>
        <v/>
      </c>
    </row>
    <row r="148">
      <c r="A148" s="29" t="n"/>
      <c r="B148" s="29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25">
        <f>IF(A148="","",IFERROR(COUNTIF(E148:N148,"Sim")/(Config!$B$21-COUNTIF(E148:N148,"N/A")),""))</f>
        <v/>
      </c>
      <c r="Z148" s="25">
        <f>IF(OR(A148="",D148&lt;&gt;"Encerrado"),"",IFERROR(COUNTIF(O148:X148,"Sim")/(Config!$D$21-COUNTIF(O148:X148,"N/A")),""))</f>
        <v/>
      </c>
      <c r="AA148" s="23">
        <f>IF(A148="","",MAX(0,Config!$B$21-COUNTIF(E148:N148,"Sim")-COUNTIF(E148:N148,"N/A")))</f>
        <v/>
      </c>
      <c r="AB148" s="23">
        <f>IF(OR(A148="",D148&lt;&gt;"Encerrado"),"",MAX(0,Config!$D$21-COUNTIF(O148:X148,"Sim")-COUNTIF(O148:X148,"N/A")))</f>
        <v/>
      </c>
      <c r="AC148" s="23">
        <f>IF(A148="","",AA148+IF(AB148="",0,AB148))</f>
        <v/>
      </c>
      <c r="AD148" s="24">
        <f>IF(OR(A148="",AF148=""),"",LEFT(AF148,LEN(AF148)-2))</f>
        <v/>
      </c>
      <c r="AE148" s="35">
        <f>IF(OR(A148="",AC148=0),0,AC148*100-ROW()/100000)</f>
        <v>0</v>
      </c>
      <c r="AF148" s="35">
        <f>IF(A148="","",IF(AND(Config!$B$10&lt;&gt;"",E148&lt;&gt;"Sim",E148&lt;&gt;"N/A"),Config!$B$10&amp;"; ","")&amp;IF(AND(Config!$B$11&lt;&gt;"",F148&lt;&gt;"Sim",F148&lt;&gt;"N/A"),Config!$B$11&amp;"; ","")&amp;IF(AND(Config!$B$12&lt;&gt;"",G148&lt;&gt;"Sim",G148&lt;&gt;"N/A"),Config!$B$12&amp;"; ","")&amp;IF(AND(Config!$B$13&lt;&gt;"",H148&lt;&gt;"Sim",H148&lt;&gt;"N/A"),Config!$B$13&amp;"; ","")&amp;IF(AND(Config!$B$14&lt;&gt;"",I148&lt;&gt;"Sim",I148&lt;&gt;"N/A"),Config!$B$14&amp;"; ","")&amp;IF(AND(Config!$B$15&lt;&gt;"",J148&lt;&gt;"Sim",J148&lt;&gt;"N/A"),Config!$B$15&amp;"; ","")&amp;IF(AND(Config!$B$16&lt;&gt;"",K148&lt;&gt;"Sim",K148&lt;&gt;"N/A"),Config!$B$16&amp;"; ","")&amp;IF(AND(Config!$B$17&lt;&gt;"",L148&lt;&gt;"Sim",L148&lt;&gt;"N/A"),Config!$B$17&amp;"; ","")&amp;IF(AND(Config!$B$18&lt;&gt;"",M148&lt;&gt;"Sim",M148&lt;&gt;"N/A"),Config!$B$18&amp;"; ","")&amp;IF(AND(Config!$B$19&lt;&gt;"",N148&lt;&gt;"Sim",N148&lt;&gt;"N/A"),Config!$B$19&amp;"; ","")&amp;IF(AND($D148="Encerrado",Config!$D$10&lt;&gt;"",O148&lt;&gt;"Sim",O148&lt;&gt;"N/A"),Config!$D$10&amp;"; ","")&amp;IF(AND($D148="Encerrado",Config!$D$11&lt;&gt;"",P148&lt;&gt;"Sim",P148&lt;&gt;"N/A"),Config!$D$11&amp;"; ","")&amp;IF(AND($D148="Encerrado",Config!$D$12&lt;&gt;"",Q148&lt;&gt;"Sim",Q148&lt;&gt;"N/A"),Config!$D$12&amp;"; ","")&amp;IF(AND($D148="Encerrado",Config!$D$13&lt;&gt;"",R148&lt;&gt;"Sim",R148&lt;&gt;"N/A"),Config!$D$13&amp;"; ","")&amp;IF(AND($D148="Encerrado",Config!$D$14&lt;&gt;"",S148&lt;&gt;"Sim",S148&lt;&gt;"N/A"),Config!$D$14&amp;"; ","")&amp;IF(AND($D148="Encerrado",Config!$D$15&lt;&gt;"",T148&lt;&gt;"Sim",T148&lt;&gt;"N/A"),Config!$D$15&amp;"; ","")&amp;IF(AND($D148="Encerrado",Config!$D$16&lt;&gt;"",U148&lt;&gt;"Sim",U148&lt;&gt;"N/A"),Config!$D$16&amp;"; ","")&amp;IF(AND($D148="Encerrado",Config!$D$17&lt;&gt;"",V148&lt;&gt;"Sim",V148&lt;&gt;"N/A"),Config!$D$17&amp;"; ","")&amp;IF(AND($D148="Encerrado",Config!$D$18&lt;&gt;"",W148&lt;&gt;"Sim",W148&lt;&gt;"N/A"),Config!$D$18&amp;"; ","")&amp;IF(AND($D148="Encerrado",Config!$D$19&lt;&gt;"",X148&lt;&gt;"Sim",X148&lt;&gt;"N/A"),Config!$D$19&amp;"; ",""))</f>
        <v/>
      </c>
    </row>
    <row r="149">
      <c r="A149" s="29" t="n"/>
      <c r="B149" s="29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25">
        <f>IF(A149="","",IFERROR(COUNTIF(E149:N149,"Sim")/(Config!$B$21-COUNTIF(E149:N149,"N/A")),""))</f>
        <v/>
      </c>
      <c r="Z149" s="25">
        <f>IF(OR(A149="",D149&lt;&gt;"Encerrado"),"",IFERROR(COUNTIF(O149:X149,"Sim")/(Config!$D$21-COUNTIF(O149:X149,"N/A")),""))</f>
        <v/>
      </c>
      <c r="AA149" s="23">
        <f>IF(A149="","",MAX(0,Config!$B$21-COUNTIF(E149:N149,"Sim")-COUNTIF(E149:N149,"N/A")))</f>
        <v/>
      </c>
      <c r="AB149" s="23">
        <f>IF(OR(A149="",D149&lt;&gt;"Encerrado"),"",MAX(0,Config!$D$21-COUNTIF(O149:X149,"Sim")-COUNTIF(O149:X149,"N/A")))</f>
        <v/>
      </c>
      <c r="AC149" s="23">
        <f>IF(A149="","",AA149+IF(AB149="",0,AB149))</f>
        <v/>
      </c>
      <c r="AD149" s="24">
        <f>IF(OR(A149="",AF149=""),"",LEFT(AF149,LEN(AF149)-2))</f>
        <v/>
      </c>
      <c r="AE149" s="35">
        <f>IF(OR(A149="",AC149=0),0,AC149*100-ROW()/100000)</f>
        <v>0</v>
      </c>
      <c r="AF149" s="35">
        <f>IF(A149="","",IF(AND(Config!$B$10&lt;&gt;"",E149&lt;&gt;"Sim",E149&lt;&gt;"N/A"),Config!$B$10&amp;"; ","")&amp;IF(AND(Config!$B$11&lt;&gt;"",F149&lt;&gt;"Sim",F149&lt;&gt;"N/A"),Config!$B$11&amp;"; ","")&amp;IF(AND(Config!$B$12&lt;&gt;"",G149&lt;&gt;"Sim",G149&lt;&gt;"N/A"),Config!$B$12&amp;"; ","")&amp;IF(AND(Config!$B$13&lt;&gt;"",H149&lt;&gt;"Sim",H149&lt;&gt;"N/A"),Config!$B$13&amp;"; ","")&amp;IF(AND(Config!$B$14&lt;&gt;"",I149&lt;&gt;"Sim",I149&lt;&gt;"N/A"),Config!$B$14&amp;"; ","")&amp;IF(AND(Config!$B$15&lt;&gt;"",J149&lt;&gt;"Sim",J149&lt;&gt;"N/A"),Config!$B$15&amp;"; ","")&amp;IF(AND(Config!$B$16&lt;&gt;"",K149&lt;&gt;"Sim",K149&lt;&gt;"N/A"),Config!$B$16&amp;"; ","")&amp;IF(AND(Config!$B$17&lt;&gt;"",L149&lt;&gt;"Sim",L149&lt;&gt;"N/A"),Config!$B$17&amp;"; ","")&amp;IF(AND(Config!$B$18&lt;&gt;"",M149&lt;&gt;"Sim",M149&lt;&gt;"N/A"),Config!$B$18&amp;"; ","")&amp;IF(AND(Config!$B$19&lt;&gt;"",N149&lt;&gt;"Sim",N149&lt;&gt;"N/A"),Config!$B$19&amp;"; ","")&amp;IF(AND($D149="Encerrado",Config!$D$10&lt;&gt;"",O149&lt;&gt;"Sim",O149&lt;&gt;"N/A"),Config!$D$10&amp;"; ","")&amp;IF(AND($D149="Encerrado",Config!$D$11&lt;&gt;"",P149&lt;&gt;"Sim",P149&lt;&gt;"N/A"),Config!$D$11&amp;"; ","")&amp;IF(AND($D149="Encerrado",Config!$D$12&lt;&gt;"",Q149&lt;&gt;"Sim",Q149&lt;&gt;"N/A"),Config!$D$12&amp;"; ","")&amp;IF(AND($D149="Encerrado",Config!$D$13&lt;&gt;"",R149&lt;&gt;"Sim",R149&lt;&gt;"N/A"),Config!$D$13&amp;"; ","")&amp;IF(AND($D149="Encerrado",Config!$D$14&lt;&gt;"",S149&lt;&gt;"Sim",S149&lt;&gt;"N/A"),Config!$D$14&amp;"; ","")&amp;IF(AND($D149="Encerrado",Config!$D$15&lt;&gt;"",T149&lt;&gt;"Sim",T149&lt;&gt;"N/A"),Config!$D$15&amp;"; ","")&amp;IF(AND($D149="Encerrado",Config!$D$16&lt;&gt;"",U149&lt;&gt;"Sim",U149&lt;&gt;"N/A"),Config!$D$16&amp;"; ","")&amp;IF(AND($D149="Encerrado",Config!$D$17&lt;&gt;"",V149&lt;&gt;"Sim",V149&lt;&gt;"N/A"),Config!$D$17&amp;"; ","")&amp;IF(AND($D149="Encerrado",Config!$D$18&lt;&gt;"",W149&lt;&gt;"Sim",W149&lt;&gt;"N/A"),Config!$D$18&amp;"; ","")&amp;IF(AND($D149="Encerrado",Config!$D$19&lt;&gt;"",X149&lt;&gt;"Sim",X149&lt;&gt;"N/A"),Config!$D$19&amp;"; ",""))</f>
        <v/>
      </c>
    </row>
    <row r="150">
      <c r="A150" s="29" t="n"/>
      <c r="B150" s="29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25">
        <f>IF(A150="","",IFERROR(COUNTIF(E150:N150,"Sim")/(Config!$B$21-COUNTIF(E150:N150,"N/A")),""))</f>
        <v/>
      </c>
      <c r="Z150" s="25">
        <f>IF(OR(A150="",D150&lt;&gt;"Encerrado"),"",IFERROR(COUNTIF(O150:X150,"Sim")/(Config!$D$21-COUNTIF(O150:X150,"N/A")),""))</f>
        <v/>
      </c>
      <c r="AA150" s="23">
        <f>IF(A150="","",MAX(0,Config!$B$21-COUNTIF(E150:N150,"Sim")-COUNTIF(E150:N150,"N/A")))</f>
        <v/>
      </c>
      <c r="AB150" s="23">
        <f>IF(OR(A150="",D150&lt;&gt;"Encerrado"),"",MAX(0,Config!$D$21-COUNTIF(O150:X150,"Sim")-COUNTIF(O150:X150,"N/A")))</f>
        <v/>
      </c>
      <c r="AC150" s="23">
        <f>IF(A150="","",AA150+IF(AB150="",0,AB150))</f>
        <v/>
      </c>
      <c r="AD150" s="24">
        <f>IF(OR(A150="",AF150=""),"",LEFT(AF150,LEN(AF150)-2))</f>
        <v/>
      </c>
      <c r="AE150" s="35">
        <f>IF(OR(A150="",AC150=0),0,AC150*100-ROW()/100000)</f>
        <v>0</v>
      </c>
      <c r="AF150" s="35">
        <f>IF(A150="","",IF(AND(Config!$B$10&lt;&gt;"",E150&lt;&gt;"Sim",E150&lt;&gt;"N/A"),Config!$B$10&amp;"; ","")&amp;IF(AND(Config!$B$11&lt;&gt;"",F150&lt;&gt;"Sim",F150&lt;&gt;"N/A"),Config!$B$11&amp;"; ","")&amp;IF(AND(Config!$B$12&lt;&gt;"",G150&lt;&gt;"Sim",G150&lt;&gt;"N/A"),Config!$B$12&amp;"; ","")&amp;IF(AND(Config!$B$13&lt;&gt;"",H150&lt;&gt;"Sim",H150&lt;&gt;"N/A"),Config!$B$13&amp;"; ","")&amp;IF(AND(Config!$B$14&lt;&gt;"",I150&lt;&gt;"Sim",I150&lt;&gt;"N/A"),Config!$B$14&amp;"; ","")&amp;IF(AND(Config!$B$15&lt;&gt;"",J150&lt;&gt;"Sim",J150&lt;&gt;"N/A"),Config!$B$15&amp;"; ","")&amp;IF(AND(Config!$B$16&lt;&gt;"",K150&lt;&gt;"Sim",K150&lt;&gt;"N/A"),Config!$B$16&amp;"; ","")&amp;IF(AND(Config!$B$17&lt;&gt;"",L150&lt;&gt;"Sim",L150&lt;&gt;"N/A"),Config!$B$17&amp;"; ","")&amp;IF(AND(Config!$B$18&lt;&gt;"",M150&lt;&gt;"Sim",M150&lt;&gt;"N/A"),Config!$B$18&amp;"; ","")&amp;IF(AND(Config!$B$19&lt;&gt;"",N150&lt;&gt;"Sim",N150&lt;&gt;"N/A"),Config!$B$19&amp;"; ","")&amp;IF(AND($D150="Encerrado",Config!$D$10&lt;&gt;"",O150&lt;&gt;"Sim",O150&lt;&gt;"N/A"),Config!$D$10&amp;"; ","")&amp;IF(AND($D150="Encerrado",Config!$D$11&lt;&gt;"",P150&lt;&gt;"Sim",P150&lt;&gt;"N/A"),Config!$D$11&amp;"; ","")&amp;IF(AND($D150="Encerrado",Config!$D$12&lt;&gt;"",Q150&lt;&gt;"Sim",Q150&lt;&gt;"N/A"),Config!$D$12&amp;"; ","")&amp;IF(AND($D150="Encerrado",Config!$D$13&lt;&gt;"",R150&lt;&gt;"Sim",R150&lt;&gt;"N/A"),Config!$D$13&amp;"; ","")&amp;IF(AND($D150="Encerrado",Config!$D$14&lt;&gt;"",S150&lt;&gt;"Sim",S150&lt;&gt;"N/A"),Config!$D$14&amp;"; ","")&amp;IF(AND($D150="Encerrado",Config!$D$15&lt;&gt;"",T150&lt;&gt;"Sim",T150&lt;&gt;"N/A"),Config!$D$15&amp;"; ","")&amp;IF(AND($D150="Encerrado",Config!$D$16&lt;&gt;"",U150&lt;&gt;"Sim",U150&lt;&gt;"N/A"),Config!$D$16&amp;"; ","")&amp;IF(AND($D150="Encerrado",Config!$D$17&lt;&gt;"",V150&lt;&gt;"Sim",V150&lt;&gt;"N/A"),Config!$D$17&amp;"; ","")&amp;IF(AND($D150="Encerrado",Config!$D$18&lt;&gt;"",W150&lt;&gt;"Sim",W150&lt;&gt;"N/A"),Config!$D$18&amp;"; ","")&amp;IF(AND($D150="Encerrado",Config!$D$19&lt;&gt;"",X150&lt;&gt;"Sim",X150&lt;&gt;"N/A"),Config!$D$19&amp;"; ",""))</f>
        <v/>
      </c>
    </row>
    <row r="151">
      <c r="A151" s="29" t="n"/>
      <c r="B151" s="29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25">
        <f>IF(A151="","",IFERROR(COUNTIF(E151:N151,"Sim")/(Config!$B$21-COUNTIF(E151:N151,"N/A")),""))</f>
        <v/>
      </c>
      <c r="Z151" s="25">
        <f>IF(OR(A151="",D151&lt;&gt;"Encerrado"),"",IFERROR(COUNTIF(O151:X151,"Sim")/(Config!$D$21-COUNTIF(O151:X151,"N/A")),""))</f>
        <v/>
      </c>
      <c r="AA151" s="23">
        <f>IF(A151="","",MAX(0,Config!$B$21-COUNTIF(E151:N151,"Sim")-COUNTIF(E151:N151,"N/A")))</f>
        <v/>
      </c>
      <c r="AB151" s="23">
        <f>IF(OR(A151="",D151&lt;&gt;"Encerrado"),"",MAX(0,Config!$D$21-COUNTIF(O151:X151,"Sim")-COUNTIF(O151:X151,"N/A")))</f>
        <v/>
      </c>
      <c r="AC151" s="23">
        <f>IF(A151="","",AA151+IF(AB151="",0,AB151))</f>
        <v/>
      </c>
      <c r="AD151" s="24">
        <f>IF(OR(A151="",AF151=""),"",LEFT(AF151,LEN(AF151)-2))</f>
        <v/>
      </c>
      <c r="AE151" s="35">
        <f>IF(OR(A151="",AC151=0),0,AC151*100-ROW()/100000)</f>
        <v>0</v>
      </c>
      <c r="AF151" s="35">
        <f>IF(A151="","",IF(AND(Config!$B$10&lt;&gt;"",E151&lt;&gt;"Sim",E151&lt;&gt;"N/A"),Config!$B$10&amp;"; ","")&amp;IF(AND(Config!$B$11&lt;&gt;"",F151&lt;&gt;"Sim",F151&lt;&gt;"N/A"),Config!$B$11&amp;"; ","")&amp;IF(AND(Config!$B$12&lt;&gt;"",G151&lt;&gt;"Sim",G151&lt;&gt;"N/A"),Config!$B$12&amp;"; ","")&amp;IF(AND(Config!$B$13&lt;&gt;"",H151&lt;&gt;"Sim",H151&lt;&gt;"N/A"),Config!$B$13&amp;"; ","")&amp;IF(AND(Config!$B$14&lt;&gt;"",I151&lt;&gt;"Sim",I151&lt;&gt;"N/A"),Config!$B$14&amp;"; ","")&amp;IF(AND(Config!$B$15&lt;&gt;"",J151&lt;&gt;"Sim",J151&lt;&gt;"N/A"),Config!$B$15&amp;"; ","")&amp;IF(AND(Config!$B$16&lt;&gt;"",K151&lt;&gt;"Sim",K151&lt;&gt;"N/A"),Config!$B$16&amp;"; ","")&amp;IF(AND(Config!$B$17&lt;&gt;"",L151&lt;&gt;"Sim",L151&lt;&gt;"N/A"),Config!$B$17&amp;"; ","")&amp;IF(AND(Config!$B$18&lt;&gt;"",M151&lt;&gt;"Sim",M151&lt;&gt;"N/A"),Config!$B$18&amp;"; ","")&amp;IF(AND(Config!$B$19&lt;&gt;"",N151&lt;&gt;"Sim",N151&lt;&gt;"N/A"),Config!$B$19&amp;"; ","")&amp;IF(AND($D151="Encerrado",Config!$D$10&lt;&gt;"",O151&lt;&gt;"Sim",O151&lt;&gt;"N/A"),Config!$D$10&amp;"; ","")&amp;IF(AND($D151="Encerrado",Config!$D$11&lt;&gt;"",P151&lt;&gt;"Sim",P151&lt;&gt;"N/A"),Config!$D$11&amp;"; ","")&amp;IF(AND($D151="Encerrado",Config!$D$12&lt;&gt;"",Q151&lt;&gt;"Sim",Q151&lt;&gt;"N/A"),Config!$D$12&amp;"; ","")&amp;IF(AND($D151="Encerrado",Config!$D$13&lt;&gt;"",R151&lt;&gt;"Sim",R151&lt;&gt;"N/A"),Config!$D$13&amp;"; ","")&amp;IF(AND($D151="Encerrado",Config!$D$14&lt;&gt;"",S151&lt;&gt;"Sim",S151&lt;&gt;"N/A"),Config!$D$14&amp;"; ","")&amp;IF(AND($D151="Encerrado",Config!$D$15&lt;&gt;"",T151&lt;&gt;"Sim",T151&lt;&gt;"N/A"),Config!$D$15&amp;"; ","")&amp;IF(AND($D151="Encerrado",Config!$D$16&lt;&gt;"",U151&lt;&gt;"Sim",U151&lt;&gt;"N/A"),Config!$D$16&amp;"; ","")&amp;IF(AND($D151="Encerrado",Config!$D$17&lt;&gt;"",V151&lt;&gt;"Sim",V151&lt;&gt;"N/A"),Config!$D$17&amp;"; ","")&amp;IF(AND($D151="Encerrado",Config!$D$18&lt;&gt;"",W151&lt;&gt;"Sim",W151&lt;&gt;"N/A"),Config!$D$18&amp;"; ","")&amp;IF(AND($D151="Encerrado",Config!$D$19&lt;&gt;"",X151&lt;&gt;"Sim",X151&lt;&gt;"N/A"),Config!$D$19&amp;"; ",""))</f>
        <v/>
      </c>
    </row>
    <row r="152">
      <c r="A152" s="29" t="n"/>
      <c r="B152" s="29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25">
        <f>IF(A152="","",IFERROR(COUNTIF(E152:N152,"Sim")/(Config!$B$21-COUNTIF(E152:N152,"N/A")),""))</f>
        <v/>
      </c>
      <c r="Z152" s="25">
        <f>IF(OR(A152="",D152&lt;&gt;"Encerrado"),"",IFERROR(COUNTIF(O152:X152,"Sim")/(Config!$D$21-COUNTIF(O152:X152,"N/A")),""))</f>
        <v/>
      </c>
      <c r="AA152" s="23">
        <f>IF(A152="","",MAX(0,Config!$B$21-COUNTIF(E152:N152,"Sim")-COUNTIF(E152:N152,"N/A")))</f>
        <v/>
      </c>
      <c r="AB152" s="23">
        <f>IF(OR(A152="",D152&lt;&gt;"Encerrado"),"",MAX(0,Config!$D$21-COUNTIF(O152:X152,"Sim")-COUNTIF(O152:X152,"N/A")))</f>
        <v/>
      </c>
      <c r="AC152" s="23">
        <f>IF(A152="","",AA152+IF(AB152="",0,AB152))</f>
        <v/>
      </c>
      <c r="AD152" s="24">
        <f>IF(OR(A152="",AF152=""),"",LEFT(AF152,LEN(AF152)-2))</f>
        <v/>
      </c>
      <c r="AE152" s="35">
        <f>IF(OR(A152="",AC152=0),0,AC152*100-ROW()/100000)</f>
        <v>0</v>
      </c>
      <c r="AF152" s="35">
        <f>IF(A152="","",IF(AND(Config!$B$10&lt;&gt;"",E152&lt;&gt;"Sim",E152&lt;&gt;"N/A"),Config!$B$10&amp;"; ","")&amp;IF(AND(Config!$B$11&lt;&gt;"",F152&lt;&gt;"Sim",F152&lt;&gt;"N/A"),Config!$B$11&amp;"; ","")&amp;IF(AND(Config!$B$12&lt;&gt;"",G152&lt;&gt;"Sim",G152&lt;&gt;"N/A"),Config!$B$12&amp;"; ","")&amp;IF(AND(Config!$B$13&lt;&gt;"",H152&lt;&gt;"Sim",H152&lt;&gt;"N/A"),Config!$B$13&amp;"; ","")&amp;IF(AND(Config!$B$14&lt;&gt;"",I152&lt;&gt;"Sim",I152&lt;&gt;"N/A"),Config!$B$14&amp;"; ","")&amp;IF(AND(Config!$B$15&lt;&gt;"",J152&lt;&gt;"Sim",J152&lt;&gt;"N/A"),Config!$B$15&amp;"; ","")&amp;IF(AND(Config!$B$16&lt;&gt;"",K152&lt;&gt;"Sim",K152&lt;&gt;"N/A"),Config!$B$16&amp;"; ","")&amp;IF(AND(Config!$B$17&lt;&gt;"",L152&lt;&gt;"Sim",L152&lt;&gt;"N/A"),Config!$B$17&amp;"; ","")&amp;IF(AND(Config!$B$18&lt;&gt;"",M152&lt;&gt;"Sim",M152&lt;&gt;"N/A"),Config!$B$18&amp;"; ","")&amp;IF(AND(Config!$B$19&lt;&gt;"",N152&lt;&gt;"Sim",N152&lt;&gt;"N/A"),Config!$B$19&amp;"; ","")&amp;IF(AND($D152="Encerrado",Config!$D$10&lt;&gt;"",O152&lt;&gt;"Sim",O152&lt;&gt;"N/A"),Config!$D$10&amp;"; ","")&amp;IF(AND($D152="Encerrado",Config!$D$11&lt;&gt;"",P152&lt;&gt;"Sim",P152&lt;&gt;"N/A"),Config!$D$11&amp;"; ","")&amp;IF(AND($D152="Encerrado",Config!$D$12&lt;&gt;"",Q152&lt;&gt;"Sim",Q152&lt;&gt;"N/A"),Config!$D$12&amp;"; ","")&amp;IF(AND($D152="Encerrado",Config!$D$13&lt;&gt;"",R152&lt;&gt;"Sim",R152&lt;&gt;"N/A"),Config!$D$13&amp;"; ","")&amp;IF(AND($D152="Encerrado",Config!$D$14&lt;&gt;"",S152&lt;&gt;"Sim",S152&lt;&gt;"N/A"),Config!$D$14&amp;"; ","")&amp;IF(AND($D152="Encerrado",Config!$D$15&lt;&gt;"",T152&lt;&gt;"Sim",T152&lt;&gt;"N/A"),Config!$D$15&amp;"; ","")&amp;IF(AND($D152="Encerrado",Config!$D$16&lt;&gt;"",U152&lt;&gt;"Sim",U152&lt;&gt;"N/A"),Config!$D$16&amp;"; ","")&amp;IF(AND($D152="Encerrado",Config!$D$17&lt;&gt;"",V152&lt;&gt;"Sim",V152&lt;&gt;"N/A"),Config!$D$17&amp;"; ","")&amp;IF(AND($D152="Encerrado",Config!$D$18&lt;&gt;"",W152&lt;&gt;"Sim",W152&lt;&gt;"N/A"),Config!$D$18&amp;"; ","")&amp;IF(AND($D152="Encerrado",Config!$D$19&lt;&gt;"",X152&lt;&gt;"Sim",X152&lt;&gt;"N/A"),Config!$D$19&amp;"; ",""))</f>
        <v/>
      </c>
    </row>
    <row r="153">
      <c r="A153" s="29" t="n"/>
      <c r="B153" s="29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25">
        <f>IF(A153="","",IFERROR(COUNTIF(E153:N153,"Sim")/(Config!$B$21-COUNTIF(E153:N153,"N/A")),""))</f>
        <v/>
      </c>
      <c r="Z153" s="25">
        <f>IF(OR(A153="",D153&lt;&gt;"Encerrado"),"",IFERROR(COUNTIF(O153:X153,"Sim")/(Config!$D$21-COUNTIF(O153:X153,"N/A")),""))</f>
        <v/>
      </c>
      <c r="AA153" s="23">
        <f>IF(A153="","",MAX(0,Config!$B$21-COUNTIF(E153:N153,"Sim")-COUNTIF(E153:N153,"N/A")))</f>
        <v/>
      </c>
      <c r="AB153" s="23">
        <f>IF(OR(A153="",D153&lt;&gt;"Encerrado"),"",MAX(0,Config!$D$21-COUNTIF(O153:X153,"Sim")-COUNTIF(O153:X153,"N/A")))</f>
        <v/>
      </c>
      <c r="AC153" s="23">
        <f>IF(A153="","",AA153+IF(AB153="",0,AB153))</f>
        <v/>
      </c>
      <c r="AD153" s="24">
        <f>IF(OR(A153="",AF153=""),"",LEFT(AF153,LEN(AF153)-2))</f>
        <v/>
      </c>
      <c r="AE153" s="35">
        <f>IF(OR(A153="",AC153=0),0,AC153*100-ROW()/100000)</f>
        <v>0</v>
      </c>
      <c r="AF153" s="35">
        <f>IF(A153="","",IF(AND(Config!$B$10&lt;&gt;"",E153&lt;&gt;"Sim",E153&lt;&gt;"N/A"),Config!$B$10&amp;"; ","")&amp;IF(AND(Config!$B$11&lt;&gt;"",F153&lt;&gt;"Sim",F153&lt;&gt;"N/A"),Config!$B$11&amp;"; ","")&amp;IF(AND(Config!$B$12&lt;&gt;"",G153&lt;&gt;"Sim",G153&lt;&gt;"N/A"),Config!$B$12&amp;"; ","")&amp;IF(AND(Config!$B$13&lt;&gt;"",H153&lt;&gt;"Sim",H153&lt;&gt;"N/A"),Config!$B$13&amp;"; ","")&amp;IF(AND(Config!$B$14&lt;&gt;"",I153&lt;&gt;"Sim",I153&lt;&gt;"N/A"),Config!$B$14&amp;"; ","")&amp;IF(AND(Config!$B$15&lt;&gt;"",J153&lt;&gt;"Sim",J153&lt;&gt;"N/A"),Config!$B$15&amp;"; ","")&amp;IF(AND(Config!$B$16&lt;&gt;"",K153&lt;&gt;"Sim",K153&lt;&gt;"N/A"),Config!$B$16&amp;"; ","")&amp;IF(AND(Config!$B$17&lt;&gt;"",L153&lt;&gt;"Sim",L153&lt;&gt;"N/A"),Config!$B$17&amp;"; ","")&amp;IF(AND(Config!$B$18&lt;&gt;"",M153&lt;&gt;"Sim",M153&lt;&gt;"N/A"),Config!$B$18&amp;"; ","")&amp;IF(AND(Config!$B$19&lt;&gt;"",N153&lt;&gt;"Sim",N153&lt;&gt;"N/A"),Config!$B$19&amp;"; ","")&amp;IF(AND($D153="Encerrado",Config!$D$10&lt;&gt;"",O153&lt;&gt;"Sim",O153&lt;&gt;"N/A"),Config!$D$10&amp;"; ","")&amp;IF(AND($D153="Encerrado",Config!$D$11&lt;&gt;"",P153&lt;&gt;"Sim",P153&lt;&gt;"N/A"),Config!$D$11&amp;"; ","")&amp;IF(AND($D153="Encerrado",Config!$D$12&lt;&gt;"",Q153&lt;&gt;"Sim",Q153&lt;&gt;"N/A"),Config!$D$12&amp;"; ","")&amp;IF(AND($D153="Encerrado",Config!$D$13&lt;&gt;"",R153&lt;&gt;"Sim",R153&lt;&gt;"N/A"),Config!$D$13&amp;"; ","")&amp;IF(AND($D153="Encerrado",Config!$D$14&lt;&gt;"",S153&lt;&gt;"Sim",S153&lt;&gt;"N/A"),Config!$D$14&amp;"; ","")&amp;IF(AND($D153="Encerrado",Config!$D$15&lt;&gt;"",T153&lt;&gt;"Sim",T153&lt;&gt;"N/A"),Config!$D$15&amp;"; ","")&amp;IF(AND($D153="Encerrado",Config!$D$16&lt;&gt;"",U153&lt;&gt;"Sim",U153&lt;&gt;"N/A"),Config!$D$16&amp;"; ","")&amp;IF(AND($D153="Encerrado",Config!$D$17&lt;&gt;"",V153&lt;&gt;"Sim",V153&lt;&gt;"N/A"),Config!$D$17&amp;"; ","")&amp;IF(AND($D153="Encerrado",Config!$D$18&lt;&gt;"",W153&lt;&gt;"Sim",W153&lt;&gt;"N/A"),Config!$D$18&amp;"; ","")&amp;IF(AND($D153="Encerrado",Config!$D$19&lt;&gt;"",X153&lt;&gt;"Sim",X153&lt;&gt;"N/A"),Config!$D$19&amp;"; ",""))</f>
        <v/>
      </c>
    </row>
    <row r="154">
      <c r="A154" s="29" t="n"/>
      <c r="B154" s="29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25">
        <f>IF(A154="","",IFERROR(COUNTIF(E154:N154,"Sim")/(Config!$B$21-COUNTIF(E154:N154,"N/A")),""))</f>
        <v/>
      </c>
      <c r="Z154" s="25">
        <f>IF(OR(A154="",D154&lt;&gt;"Encerrado"),"",IFERROR(COUNTIF(O154:X154,"Sim")/(Config!$D$21-COUNTIF(O154:X154,"N/A")),""))</f>
        <v/>
      </c>
      <c r="AA154" s="23">
        <f>IF(A154="","",MAX(0,Config!$B$21-COUNTIF(E154:N154,"Sim")-COUNTIF(E154:N154,"N/A")))</f>
        <v/>
      </c>
      <c r="AB154" s="23">
        <f>IF(OR(A154="",D154&lt;&gt;"Encerrado"),"",MAX(0,Config!$D$21-COUNTIF(O154:X154,"Sim")-COUNTIF(O154:X154,"N/A")))</f>
        <v/>
      </c>
      <c r="AC154" s="23">
        <f>IF(A154="","",AA154+IF(AB154="",0,AB154))</f>
        <v/>
      </c>
      <c r="AD154" s="24">
        <f>IF(OR(A154="",AF154=""),"",LEFT(AF154,LEN(AF154)-2))</f>
        <v/>
      </c>
      <c r="AE154" s="35">
        <f>IF(OR(A154="",AC154=0),0,AC154*100-ROW()/100000)</f>
        <v>0</v>
      </c>
      <c r="AF154" s="35">
        <f>IF(A154="","",IF(AND(Config!$B$10&lt;&gt;"",E154&lt;&gt;"Sim",E154&lt;&gt;"N/A"),Config!$B$10&amp;"; ","")&amp;IF(AND(Config!$B$11&lt;&gt;"",F154&lt;&gt;"Sim",F154&lt;&gt;"N/A"),Config!$B$11&amp;"; ","")&amp;IF(AND(Config!$B$12&lt;&gt;"",G154&lt;&gt;"Sim",G154&lt;&gt;"N/A"),Config!$B$12&amp;"; ","")&amp;IF(AND(Config!$B$13&lt;&gt;"",H154&lt;&gt;"Sim",H154&lt;&gt;"N/A"),Config!$B$13&amp;"; ","")&amp;IF(AND(Config!$B$14&lt;&gt;"",I154&lt;&gt;"Sim",I154&lt;&gt;"N/A"),Config!$B$14&amp;"; ","")&amp;IF(AND(Config!$B$15&lt;&gt;"",J154&lt;&gt;"Sim",J154&lt;&gt;"N/A"),Config!$B$15&amp;"; ","")&amp;IF(AND(Config!$B$16&lt;&gt;"",K154&lt;&gt;"Sim",K154&lt;&gt;"N/A"),Config!$B$16&amp;"; ","")&amp;IF(AND(Config!$B$17&lt;&gt;"",L154&lt;&gt;"Sim",L154&lt;&gt;"N/A"),Config!$B$17&amp;"; ","")&amp;IF(AND(Config!$B$18&lt;&gt;"",M154&lt;&gt;"Sim",M154&lt;&gt;"N/A"),Config!$B$18&amp;"; ","")&amp;IF(AND(Config!$B$19&lt;&gt;"",N154&lt;&gt;"Sim",N154&lt;&gt;"N/A"),Config!$B$19&amp;"; ","")&amp;IF(AND($D154="Encerrado",Config!$D$10&lt;&gt;"",O154&lt;&gt;"Sim",O154&lt;&gt;"N/A"),Config!$D$10&amp;"; ","")&amp;IF(AND($D154="Encerrado",Config!$D$11&lt;&gt;"",P154&lt;&gt;"Sim",P154&lt;&gt;"N/A"),Config!$D$11&amp;"; ","")&amp;IF(AND($D154="Encerrado",Config!$D$12&lt;&gt;"",Q154&lt;&gt;"Sim",Q154&lt;&gt;"N/A"),Config!$D$12&amp;"; ","")&amp;IF(AND($D154="Encerrado",Config!$D$13&lt;&gt;"",R154&lt;&gt;"Sim",R154&lt;&gt;"N/A"),Config!$D$13&amp;"; ","")&amp;IF(AND($D154="Encerrado",Config!$D$14&lt;&gt;"",S154&lt;&gt;"Sim",S154&lt;&gt;"N/A"),Config!$D$14&amp;"; ","")&amp;IF(AND($D154="Encerrado",Config!$D$15&lt;&gt;"",T154&lt;&gt;"Sim",T154&lt;&gt;"N/A"),Config!$D$15&amp;"; ","")&amp;IF(AND($D154="Encerrado",Config!$D$16&lt;&gt;"",U154&lt;&gt;"Sim",U154&lt;&gt;"N/A"),Config!$D$16&amp;"; ","")&amp;IF(AND($D154="Encerrado",Config!$D$17&lt;&gt;"",V154&lt;&gt;"Sim",V154&lt;&gt;"N/A"),Config!$D$17&amp;"; ","")&amp;IF(AND($D154="Encerrado",Config!$D$18&lt;&gt;"",W154&lt;&gt;"Sim",W154&lt;&gt;"N/A"),Config!$D$18&amp;"; ","")&amp;IF(AND($D154="Encerrado",Config!$D$19&lt;&gt;"",X154&lt;&gt;"Sim",X154&lt;&gt;"N/A"),Config!$D$19&amp;"; ",""))</f>
        <v/>
      </c>
    </row>
    <row r="155">
      <c r="A155" s="29" t="n"/>
      <c r="B155" s="29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25">
        <f>IF(A155="","",IFERROR(COUNTIF(E155:N155,"Sim")/(Config!$B$21-COUNTIF(E155:N155,"N/A")),""))</f>
        <v/>
      </c>
      <c r="Z155" s="25">
        <f>IF(OR(A155="",D155&lt;&gt;"Encerrado"),"",IFERROR(COUNTIF(O155:X155,"Sim")/(Config!$D$21-COUNTIF(O155:X155,"N/A")),""))</f>
        <v/>
      </c>
      <c r="AA155" s="23">
        <f>IF(A155="","",MAX(0,Config!$B$21-COUNTIF(E155:N155,"Sim")-COUNTIF(E155:N155,"N/A")))</f>
        <v/>
      </c>
      <c r="AB155" s="23">
        <f>IF(OR(A155="",D155&lt;&gt;"Encerrado"),"",MAX(0,Config!$D$21-COUNTIF(O155:X155,"Sim")-COUNTIF(O155:X155,"N/A")))</f>
        <v/>
      </c>
      <c r="AC155" s="23">
        <f>IF(A155="","",AA155+IF(AB155="",0,AB155))</f>
        <v/>
      </c>
      <c r="AD155" s="24">
        <f>IF(OR(A155="",AF155=""),"",LEFT(AF155,LEN(AF155)-2))</f>
        <v/>
      </c>
      <c r="AE155" s="35">
        <f>IF(OR(A155="",AC155=0),0,AC155*100-ROW()/100000)</f>
        <v>0</v>
      </c>
      <c r="AF155" s="35">
        <f>IF(A155="","",IF(AND(Config!$B$10&lt;&gt;"",E155&lt;&gt;"Sim",E155&lt;&gt;"N/A"),Config!$B$10&amp;"; ","")&amp;IF(AND(Config!$B$11&lt;&gt;"",F155&lt;&gt;"Sim",F155&lt;&gt;"N/A"),Config!$B$11&amp;"; ","")&amp;IF(AND(Config!$B$12&lt;&gt;"",G155&lt;&gt;"Sim",G155&lt;&gt;"N/A"),Config!$B$12&amp;"; ","")&amp;IF(AND(Config!$B$13&lt;&gt;"",H155&lt;&gt;"Sim",H155&lt;&gt;"N/A"),Config!$B$13&amp;"; ","")&amp;IF(AND(Config!$B$14&lt;&gt;"",I155&lt;&gt;"Sim",I155&lt;&gt;"N/A"),Config!$B$14&amp;"; ","")&amp;IF(AND(Config!$B$15&lt;&gt;"",J155&lt;&gt;"Sim",J155&lt;&gt;"N/A"),Config!$B$15&amp;"; ","")&amp;IF(AND(Config!$B$16&lt;&gt;"",K155&lt;&gt;"Sim",K155&lt;&gt;"N/A"),Config!$B$16&amp;"; ","")&amp;IF(AND(Config!$B$17&lt;&gt;"",L155&lt;&gt;"Sim",L155&lt;&gt;"N/A"),Config!$B$17&amp;"; ","")&amp;IF(AND(Config!$B$18&lt;&gt;"",M155&lt;&gt;"Sim",M155&lt;&gt;"N/A"),Config!$B$18&amp;"; ","")&amp;IF(AND(Config!$B$19&lt;&gt;"",N155&lt;&gt;"Sim",N155&lt;&gt;"N/A"),Config!$B$19&amp;"; ","")&amp;IF(AND($D155="Encerrado",Config!$D$10&lt;&gt;"",O155&lt;&gt;"Sim",O155&lt;&gt;"N/A"),Config!$D$10&amp;"; ","")&amp;IF(AND($D155="Encerrado",Config!$D$11&lt;&gt;"",P155&lt;&gt;"Sim",P155&lt;&gt;"N/A"),Config!$D$11&amp;"; ","")&amp;IF(AND($D155="Encerrado",Config!$D$12&lt;&gt;"",Q155&lt;&gt;"Sim",Q155&lt;&gt;"N/A"),Config!$D$12&amp;"; ","")&amp;IF(AND($D155="Encerrado",Config!$D$13&lt;&gt;"",R155&lt;&gt;"Sim",R155&lt;&gt;"N/A"),Config!$D$13&amp;"; ","")&amp;IF(AND($D155="Encerrado",Config!$D$14&lt;&gt;"",S155&lt;&gt;"Sim",S155&lt;&gt;"N/A"),Config!$D$14&amp;"; ","")&amp;IF(AND($D155="Encerrado",Config!$D$15&lt;&gt;"",T155&lt;&gt;"Sim",T155&lt;&gt;"N/A"),Config!$D$15&amp;"; ","")&amp;IF(AND($D155="Encerrado",Config!$D$16&lt;&gt;"",U155&lt;&gt;"Sim",U155&lt;&gt;"N/A"),Config!$D$16&amp;"; ","")&amp;IF(AND($D155="Encerrado",Config!$D$17&lt;&gt;"",V155&lt;&gt;"Sim",V155&lt;&gt;"N/A"),Config!$D$17&amp;"; ","")&amp;IF(AND($D155="Encerrado",Config!$D$18&lt;&gt;"",W155&lt;&gt;"Sim",W155&lt;&gt;"N/A"),Config!$D$18&amp;"; ","")&amp;IF(AND($D155="Encerrado",Config!$D$19&lt;&gt;"",X155&lt;&gt;"Sim",X155&lt;&gt;"N/A"),Config!$D$19&amp;"; ",""))</f>
        <v/>
      </c>
    </row>
    <row r="156">
      <c r="A156" s="29" t="n"/>
      <c r="B156" s="29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25">
        <f>IF(A156="","",IFERROR(COUNTIF(E156:N156,"Sim")/(Config!$B$21-COUNTIF(E156:N156,"N/A")),""))</f>
        <v/>
      </c>
      <c r="Z156" s="25">
        <f>IF(OR(A156="",D156&lt;&gt;"Encerrado"),"",IFERROR(COUNTIF(O156:X156,"Sim")/(Config!$D$21-COUNTIF(O156:X156,"N/A")),""))</f>
        <v/>
      </c>
      <c r="AA156" s="23">
        <f>IF(A156="","",MAX(0,Config!$B$21-COUNTIF(E156:N156,"Sim")-COUNTIF(E156:N156,"N/A")))</f>
        <v/>
      </c>
      <c r="AB156" s="23">
        <f>IF(OR(A156="",D156&lt;&gt;"Encerrado"),"",MAX(0,Config!$D$21-COUNTIF(O156:X156,"Sim")-COUNTIF(O156:X156,"N/A")))</f>
        <v/>
      </c>
      <c r="AC156" s="23">
        <f>IF(A156="","",AA156+IF(AB156="",0,AB156))</f>
        <v/>
      </c>
      <c r="AD156" s="24">
        <f>IF(OR(A156="",AF156=""),"",LEFT(AF156,LEN(AF156)-2))</f>
        <v/>
      </c>
      <c r="AE156" s="35">
        <f>IF(OR(A156="",AC156=0),0,AC156*100-ROW()/100000)</f>
        <v>0</v>
      </c>
      <c r="AF156" s="35">
        <f>IF(A156="","",IF(AND(Config!$B$10&lt;&gt;"",E156&lt;&gt;"Sim",E156&lt;&gt;"N/A"),Config!$B$10&amp;"; ","")&amp;IF(AND(Config!$B$11&lt;&gt;"",F156&lt;&gt;"Sim",F156&lt;&gt;"N/A"),Config!$B$11&amp;"; ","")&amp;IF(AND(Config!$B$12&lt;&gt;"",G156&lt;&gt;"Sim",G156&lt;&gt;"N/A"),Config!$B$12&amp;"; ","")&amp;IF(AND(Config!$B$13&lt;&gt;"",H156&lt;&gt;"Sim",H156&lt;&gt;"N/A"),Config!$B$13&amp;"; ","")&amp;IF(AND(Config!$B$14&lt;&gt;"",I156&lt;&gt;"Sim",I156&lt;&gt;"N/A"),Config!$B$14&amp;"; ","")&amp;IF(AND(Config!$B$15&lt;&gt;"",J156&lt;&gt;"Sim",J156&lt;&gt;"N/A"),Config!$B$15&amp;"; ","")&amp;IF(AND(Config!$B$16&lt;&gt;"",K156&lt;&gt;"Sim",K156&lt;&gt;"N/A"),Config!$B$16&amp;"; ","")&amp;IF(AND(Config!$B$17&lt;&gt;"",L156&lt;&gt;"Sim",L156&lt;&gt;"N/A"),Config!$B$17&amp;"; ","")&amp;IF(AND(Config!$B$18&lt;&gt;"",M156&lt;&gt;"Sim",M156&lt;&gt;"N/A"),Config!$B$18&amp;"; ","")&amp;IF(AND(Config!$B$19&lt;&gt;"",N156&lt;&gt;"Sim",N156&lt;&gt;"N/A"),Config!$B$19&amp;"; ","")&amp;IF(AND($D156="Encerrado",Config!$D$10&lt;&gt;"",O156&lt;&gt;"Sim",O156&lt;&gt;"N/A"),Config!$D$10&amp;"; ","")&amp;IF(AND($D156="Encerrado",Config!$D$11&lt;&gt;"",P156&lt;&gt;"Sim",P156&lt;&gt;"N/A"),Config!$D$11&amp;"; ","")&amp;IF(AND($D156="Encerrado",Config!$D$12&lt;&gt;"",Q156&lt;&gt;"Sim",Q156&lt;&gt;"N/A"),Config!$D$12&amp;"; ","")&amp;IF(AND($D156="Encerrado",Config!$D$13&lt;&gt;"",R156&lt;&gt;"Sim",R156&lt;&gt;"N/A"),Config!$D$13&amp;"; ","")&amp;IF(AND($D156="Encerrado",Config!$D$14&lt;&gt;"",S156&lt;&gt;"Sim",S156&lt;&gt;"N/A"),Config!$D$14&amp;"; ","")&amp;IF(AND($D156="Encerrado",Config!$D$15&lt;&gt;"",T156&lt;&gt;"Sim",T156&lt;&gt;"N/A"),Config!$D$15&amp;"; ","")&amp;IF(AND($D156="Encerrado",Config!$D$16&lt;&gt;"",U156&lt;&gt;"Sim",U156&lt;&gt;"N/A"),Config!$D$16&amp;"; ","")&amp;IF(AND($D156="Encerrado",Config!$D$17&lt;&gt;"",V156&lt;&gt;"Sim",V156&lt;&gt;"N/A"),Config!$D$17&amp;"; ","")&amp;IF(AND($D156="Encerrado",Config!$D$18&lt;&gt;"",W156&lt;&gt;"Sim",W156&lt;&gt;"N/A"),Config!$D$18&amp;"; ","")&amp;IF(AND($D156="Encerrado",Config!$D$19&lt;&gt;"",X156&lt;&gt;"Sim",X156&lt;&gt;"N/A"),Config!$D$19&amp;"; ",""))</f>
        <v/>
      </c>
    </row>
    <row r="157">
      <c r="A157" s="29" t="n"/>
      <c r="B157" s="29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25">
        <f>IF(A157="","",IFERROR(COUNTIF(E157:N157,"Sim")/(Config!$B$21-COUNTIF(E157:N157,"N/A")),""))</f>
        <v/>
      </c>
      <c r="Z157" s="25">
        <f>IF(OR(A157="",D157&lt;&gt;"Encerrado"),"",IFERROR(COUNTIF(O157:X157,"Sim")/(Config!$D$21-COUNTIF(O157:X157,"N/A")),""))</f>
        <v/>
      </c>
      <c r="AA157" s="23">
        <f>IF(A157="","",MAX(0,Config!$B$21-COUNTIF(E157:N157,"Sim")-COUNTIF(E157:N157,"N/A")))</f>
        <v/>
      </c>
      <c r="AB157" s="23">
        <f>IF(OR(A157="",D157&lt;&gt;"Encerrado"),"",MAX(0,Config!$D$21-COUNTIF(O157:X157,"Sim")-COUNTIF(O157:X157,"N/A")))</f>
        <v/>
      </c>
      <c r="AC157" s="23">
        <f>IF(A157="","",AA157+IF(AB157="",0,AB157))</f>
        <v/>
      </c>
      <c r="AD157" s="24">
        <f>IF(OR(A157="",AF157=""),"",LEFT(AF157,LEN(AF157)-2))</f>
        <v/>
      </c>
      <c r="AE157" s="35">
        <f>IF(OR(A157="",AC157=0),0,AC157*100-ROW()/100000)</f>
        <v>0</v>
      </c>
      <c r="AF157" s="35">
        <f>IF(A157="","",IF(AND(Config!$B$10&lt;&gt;"",E157&lt;&gt;"Sim",E157&lt;&gt;"N/A"),Config!$B$10&amp;"; ","")&amp;IF(AND(Config!$B$11&lt;&gt;"",F157&lt;&gt;"Sim",F157&lt;&gt;"N/A"),Config!$B$11&amp;"; ","")&amp;IF(AND(Config!$B$12&lt;&gt;"",G157&lt;&gt;"Sim",G157&lt;&gt;"N/A"),Config!$B$12&amp;"; ","")&amp;IF(AND(Config!$B$13&lt;&gt;"",H157&lt;&gt;"Sim",H157&lt;&gt;"N/A"),Config!$B$13&amp;"; ","")&amp;IF(AND(Config!$B$14&lt;&gt;"",I157&lt;&gt;"Sim",I157&lt;&gt;"N/A"),Config!$B$14&amp;"; ","")&amp;IF(AND(Config!$B$15&lt;&gt;"",J157&lt;&gt;"Sim",J157&lt;&gt;"N/A"),Config!$B$15&amp;"; ","")&amp;IF(AND(Config!$B$16&lt;&gt;"",K157&lt;&gt;"Sim",K157&lt;&gt;"N/A"),Config!$B$16&amp;"; ","")&amp;IF(AND(Config!$B$17&lt;&gt;"",L157&lt;&gt;"Sim",L157&lt;&gt;"N/A"),Config!$B$17&amp;"; ","")&amp;IF(AND(Config!$B$18&lt;&gt;"",M157&lt;&gt;"Sim",M157&lt;&gt;"N/A"),Config!$B$18&amp;"; ","")&amp;IF(AND(Config!$B$19&lt;&gt;"",N157&lt;&gt;"Sim",N157&lt;&gt;"N/A"),Config!$B$19&amp;"; ","")&amp;IF(AND($D157="Encerrado",Config!$D$10&lt;&gt;"",O157&lt;&gt;"Sim",O157&lt;&gt;"N/A"),Config!$D$10&amp;"; ","")&amp;IF(AND($D157="Encerrado",Config!$D$11&lt;&gt;"",P157&lt;&gt;"Sim",P157&lt;&gt;"N/A"),Config!$D$11&amp;"; ","")&amp;IF(AND($D157="Encerrado",Config!$D$12&lt;&gt;"",Q157&lt;&gt;"Sim",Q157&lt;&gt;"N/A"),Config!$D$12&amp;"; ","")&amp;IF(AND($D157="Encerrado",Config!$D$13&lt;&gt;"",R157&lt;&gt;"Sim",R157&lt;&gt;"N/A"),Config!$D$13&amp;"; ","")&amp;IF(AND($D157="Encerrado",Config!$D$14&lt;&gt;"",S157&lt;&gt;"Sim",S157&lt;&gt;"N/A"),Config!$D$14&amp;"; ","")&amp;IF(AND($D157="Encerrado",Config!$D$15&lt;&gt;"",T157&lt;&gt;"Sim",T157&lt;&gt;"N/A"),Config!$D$15&amp;"; ","")&amp;IF(AND($D157="Encerrado",Config!$D$16&lt;&gt;"",U157&lt;&gt;"Sim",U157&lt;&gt;"N/A"),Config!$D$16&amp;"; ","")&amp;IF(AND($D157="Encerrado",Config!$D$17&lt;&gt;"",V157&lt;&gt;"Sim",V157&lt;&gt;"N/A"),Config!$D$17&amp;"; ","")&amp;IF(AND($D157="Encerrado",Config!$D$18&lt;&gt;"",W157&lt;&gt;"Sim",W157&lt;&gt;"N/A"),Config!$D$18&amp;"; ","")&amp;IF(AND($D157="Encerrado",Config!$D$19&lt;&gt;"",X157&lt;&gt;"Sim",X157&lt;&gt;"N/A"),Config!$D$19&amp;"; ",""))</f>
        <v/>
      </c>
    </row>
    <row r="158">
      <c r="A158" s="29" t="n"/>
      <c r="B158" s="29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25">
        <f>IF(A158="","",IFERROR(COUNTIF(E158:N158,"Sim")/(Config!$B$21-COUNTIF(E158:N158,"N/A")),""))</f>
        <v/>
      </c>
      <c r="Z158" s="25">
        <f>IF(OR(A158="",D158&lt;&gt;"Encerrado"),"",IFERROR(COUNTIF(O158:X158,"Sim")/(Config!$D$21-COUNTIF(O158:X158,"N/A")),""))</f>
        <v/>
      </c>
      <c r="AA158" s="23">
        <f>IF(A158="","",MAX(0,Config!$B$21-COUNTIF(E158:N158,"Sim")-COUNTIF(E158:N158,"N/A")))</f>
        <v/>
      </c>
      <c r="AB158" s="23">
        <f>IF(OR(A158="",D158&lt;&gt;"Encerrado"),"",MAX(0,Config!$D$21-COUNTIF(O158:X158,"Sim")-COUNTIF(O158:X158,"N/A")))</f>
        <v/>
      </c>
      <c r="AC158" s="23">
        <f>IF(A158="","",AA158+IF(AB158="",0,AB158))</f>
        <v/>
      </c>
      <c r="AD158" s="24">
        <f>IF(OR(A158="",AF158=""),"",LEFT(AF158,LEN(AF158)-2))</f>
        <v/>
      </c>
      <c r="AE158" s="35">
        <f>IF(OR(A158="",AC158=0),0,AC158*100-ROW()/100000)</f>
        <v>0</v>
      </c>
      <c r="AF158" s="35">
        <f>IF(A158="","",IF(AND(Config!$B$10&lt;&gt;"",E158&lt;&gt;"Sim",E158&lt;&gt;"N/A"),Config!$B$10&amp;"; ","")&amp;IF(AND(Config!$B$11&lt;&gt;"",F158&lt;&gt;"Sim",F158&lt;&gt;"N/A"),Config!$B$11&amp;"; ","")&amp;IF(AND(Config!$B$12&lt;&gt;"",G158&lt;&gt;"Sim",G158&lt;&gt;"N/A"),Config!$B$12&amp;"; ","")&amp;IF(AND(Config!$B$13&lt;&gt;"",H158&lt;&gt;"Sim",H158&lt;&gt;"N/A"),Config!$B$13&amp;"; ","")&amp;IF(AND(Config!$B$14&lt;&gt;"",I158&lt;&gt;"Sim",I158&lt;&gt;"N/A"),Config!$B$14&amp;"; ","")&amp;IF(AND(Config!$B$15&lt;&gt;"",J158&lt;&gt;"Sim",J158&lt;&gt;"N/A"),Config!$B$15&amp;"; ","")&amp;IF(AND(Config!$B$16&lt;&gt;"",K158&lt;&gt;"Sim",K158&lt;&gt;"N/A"),Config!$B$16&amp;"; ","")&amp;IF(AND(Config!$B$17&lt;&gt;"",L158&lt;&gt;"Sim",L158&lt;&gt;"N/A"),Config!$B$17&amp;"; ","")&amp;IF(AND(Config!$B$18&lt;&gt;"",M158&lt;&gt;"Sim",M158&lt;&gt;"N/A"),Config!$B$18&amp;"; ","")&amp;IF(AND(Config!$B$19&lt;&gt;"",N158&lt;&gt;"Sim",N158&lt;&gt;"N/A"),Config!$B$19&amp;"; ","")&amp;IF(AND($D158="Encerrado",Config!$D$10&lt;&gt;"",O158&lt;&gt;"Sim",O158&lt;&gt;"N/A"),Config!$D$10&amp;"; ","")&amp;IF(AND($D158="Encerrado",Config!$D$11&lt;&gt;"",P158&lt;&gt;"Sim",P158&lt;&gt;"N/A"),Config!$D$11&amp;"; ","")&amp;IF(AND($D158="Encerrado",Config!$D$12&lt;&gt;"",Q158&lt;&gt;"Sim",Q158&lt;&gt;"N/A"),Config!$D$12&amp;"; ","")&amp;IF(AND($D158="Encerrado",Config!$D$13&lt;&gt;"",R158&lt;&gt;"Sim",R158&lt;&gt;"N/A"),Config!$D$13&amp;"; ","")&amp;IF(AND($D158="Encerrado",Config!$D$14&lt;&gt;"",S158&lt;&gt;"Sim",S158&lt;&gt;"N/A"),Config!$D$14&amp;"; ","")&amp;IF(AND($D158="Encerrado",Config!$D$15&lt;&gt;"",T158&lt;&gt;"Sim",T158&lt;&gt;"N/A"),Config!$D$15&amp;"; ","")&amp;IF(AND($D158="Encerrado",Config!$D$16&lt;&gt;"",U158&lt;&gt;"Sim",U158&lt;&gt;"N/A"),Config!$D$16&amp;"; ","")&amp;IF(AND($D158="Encerrado",Config!$D$17&lt;&gt;"",V158&lt;&gt;"Sim",V158&lt;&gt;"N/A"),Config!$D$17&amp;"; ","")&amp;IF(AND($D158="Encerrado",Config!$D$18&lt;&gt;"",W158&lt;&gt;"Sim",W158&lt;&gt;"N/A"),Config!$D$18&amp;"; ","")&amp;IF(AND($D158="Encerrado",Config!$D$19&lt;&gt;"",X158&lt;&gt;"Sim",X158&lt;&gt;"N/A"),Config!$D$19&amp;"; ",""))</f>
        <v/>
      </c>
    </row>
    <row r="159">
      <c r="A159" s="29" t="n"/>
      <c r="B159" s="29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25">
        <f>IF(A159="","",IFERROR(COUNTIF(E159:N159,"Sim")/(Config!$B$21-COUNTIF(E159:N159,"N/A")),""))</f>
        <v/>
      </c>
      <c r="Z159" s="25">
        <f>IF(OR(A159="",D159&lt;&gt;"Encerrado"),"",IFERROR(COUNTIF(O159:X159,"Sim")/(Config!$D$21-COUNTIF(O159:X159,"N/A")),""))</f>
        <v/>
      </c>
      <c r="AA159" s="23">
        <f>IF(A159="","",MAX(0,Config!$B$21-COUNTIF(E159:N159,"Sim")-COUNTIF(E159:N159,"N/A")))</f>
        <v/>
      </c>
      <c r="AB159" s="23">
        <f>IF(OR(A159="",D159&lt;&gt;"Encerrado"),"",MAX(0,Config!$D$21-COUNTIF(O159:X159,"Sim")-COUNTIF(O159:X159,"N/A")))</f>
        <v/>
      </c>
      <c r="AC159" s="23">
        <f>IF(A159="","",AA159+IF(AB159="",0,AB159))</f>
        <v/>
      </c>
      <c r="AD159" s="24">
        <f>IF(OR(A159="",AF159=""),"",LEFT(AF159,LEN(AF159)-2))</f>
        <v/>
      </c>
      <c r="AE159" s="35">
        <f>IF(OR(A159="",AC159=0),0,AC159*100-ROW()/100000)</f>
        <v>0</v>
      </c>
      <c r="AF159" s="35">
        <f>IF(A159="","",IF(AND(Config!$B$10&lt;&gt;"",E159&lt;&gt;"Sim",E159&lt;&gt;"N/A"),Config!$B$10&amp;"; ","")&amp;IF(AND(Config!$B$11&lt;&gt;"",F159&lt;&gt;"Sim",F159&lt;&gt;"N/A"),Config!$B$11&amp;"; ","")&amp;IF(AND(Config!$B$12&lt;&gt;"",G159&lt;&gt;"Sim",G159&lt;&gt;"N/A"),Config!$B$12&amp;"; ","")&amp;IF(AND(Config!$B$13&lt;&gt;"",H159&lt;&gt;"Sim",H159&lt;&gt;"N/A"),Config!$B$13&amp;"; ","")&amp;IF(AND(Config!$B$14&lt;&gt;"",I159&lt;&gt;"Sim",I159&lt;&gt;"N/A"),Config!$B$14&amp;"; ","")&amp;IF(AND(Config!$B$15&lt;&gt;"",J159&lt;&gt;"Sim",J159&lt;&gt;"N/A"),Config!$B$15&amp;"; ","")&amp;IF(AND(Config!$B$16&lt;&gt;"",K159&lt;&gt;"Sim",K159&lt;&gt;"N/A"),Config!$B$16&amp;"; ","")&amp;IF(AND(Config!$B$17&lt;&gt;"",L159&lt;&gt;"Sim",L159&lt;&gt;"N/A"),Config!$B$17&amp;"; ","")&amp;IF(AND(Config!$B$18&lt;&gt;"",M159&lt;&gt;"Sim",M159&lt;&gt;"N/A"),Config!$B$18&amp;"; ","")&amp;IF(AND(Config!$B$19&lt;&gt;"",N159&lt;&gt;"Sim",N159&lt;&gt;"N/A"),Config!$B$19&amp;"; ","")&amp;IF(AND($D159="Encerrado",Config!$D$10&lt;&gt;"",O159&lt;&gt;"Sim",O159&lt;&gt;"N/A"),Config!$D$10&amp;"; ","")&amp;IF(AND($D159="Encerrado",Config!$D$11&lt;&gt;"",P159&lt;&gt;"Sim",P159&lt;&gt;"N/A"),Config!$D$11&amp;"; ","")&amp;IF(AND($D159="Encerrado",Config!$D$12&lt;&gt;"",Q159&lt;&gt;"Sim",Q159&lt;&gt;"N/A"),Config!$D$12&amp;"; ","")&amp;IF(AND($D159="Encerrado",Config!$D$13&lt;&gt;"",R159&lt;&gt;"Sim",R159&lt;&gt;"N/A"),Config!$D$13&amp;"; ","")&amp;IF(AND($D159="Encerrado",Config!$D$14&lt;&gt;"",S159&lt;&gt;"Sim",S159&lt;&gt;"N/A"),Config!$D$14&amp;"; ","")&amp;IF(AND($D159="Encerrado",Config!$D$15&lt;&gt;"",T159&lt;&gt;"Sim",T159&lt;&gt;"N/A"),Config!$D$15&amp;"; ","")&amp;IF(AND($D159="Encerrado",Config!$D$16&lt;&gt;"",U159&lt;&gt;"Sim",U159&lt;&gt;"N/A"),Config!$D$16&amp;"; ","")&amp;IF(AND($D159="Encerrado",Config!$D$17&lt;&gt;"",V159&lt;&gt;"Sim",V159&lt;&gt;"N/A"),Config!$D$17&amp;"; ","")&amp;IF(AND($D159="Encerrado",Config!$D$18&lt;&gt;"",W159&lt;&gt;"Sim",W159&lt;&gt;"N/A"),Config!$D$18&amp;"; ","")&amp;IF(AND($D159="Encerrado",Config!$D$19&lt;&gt;"",X159&lt;&gt;"Sim",X159&lt;&gt;"N/A"),Config!$D$19&amp;"; ",""))</f>
        <v/>
      </c>
    </row>
    <row r="160">
      <c r="A160" s="29" t="n"/>
      <c r="B160" s="29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25">
        <f>IF(A160="","",IFERROR(COUNTIF(E160:N160,"Sim")/(Config!$B$21-COUNTIF(E160:N160,"N/A")),""))</f>
        <v/>
      </c>
      <c r="Z160" s="25">
        <f>IF(OR(A160="",D160&lt;&gt;"Encerrado"),"",IFERROR(COUNTIF(O160:X160,"Sim")/(Config!$D$21-COUNTIF(O160:X160,"N/A")),""))</f>
        <v/>
      </c>
      <c r="AA160" s="23">
        <f>IF(A160="","",MAX(0,Config!$B$21-COUNTIF(E160:N160,"Sim")-COUNTIF(E160:N160,"N/A")))</f>
        <v/>
      </c>
      <c r="AB160" s="23">
        <f>IF(OR(A160="",D160&lt;&gt;"Encerrado"),"",MAX(0,Config!$D$21-COUNTIF(O160:X160,"Sim")-COUNTIF(O160:X160,"N/A")))</f>
        <v/>
      </c>
      <c r="AC160" s="23">
        <f>IF(A160="","",AA160+IF(AB160="",0,AB160))</f>
        <v/>
      </c>
      <c r="AD160" s="24">
        <f>IF(OR(A160="",AF160=""),"",LEFT(AF160,LEN(AF160)-2))</f>
        <v/>
      </c>
      <c r="AE160" s="35">
        <f>IF(OR(A160="",AC160=0),0,AC160*100-ROW()/100000)</f>
        <v>0</v>
      </c>
      <c r="AF160" s="35">
        <f>IF(A160="","",IF(AND(Config!$B$10&lt;&gt;"",E160&lt;&gt;"Sim",E160&lt;&gt;"N/A"),Config!$B$10&amp;"; ","")&amp;IF(AND(Config!$B$11&lt;&gt;"",F160&lt;&gt;"Sim",F160&lt;&gt;"N/A"),Config!$B$11&amp;"; ","")&amp;IF(AND(Config!$B$12&lt;&gt;"",G160&lt;&gt;"Sim",G160&lt;&gt;"N/A"),Config!$B$12&amp;"; ","")&amp;IF(AND(Config!$B$13&lt;&gt;"",H160&lt;&gt;"Sim",H160&lt;&gt;"N/A"),Config!$B$13&amp;"; ","")&amp;IF(AND(Config!$B$14&lt;&gt;"",I160&lt;&gt;"Sim",I160&lt;&gt;"N/A"),Config!$B$14&amp;"; ","")&amp;IF(AND(Config!$B$15&lt;&gt;"",J160&lt;&gt;"Sim",J160&lt;&gt;"N/A"),Config!$B$15&amp;"; ","")&amp;IF(AND(Config!$B$16&lt;&gt;"",K160&lt;&gt;"Sim",K160&lt;&gt;"N/A"),Config!$B$16&amp;"; ","")&amp;IF(AND(Config!$B$17&lt;&gt;"",L160&lt;&gt;"Sim",L160&lt;&gt;"N/A"),Config!$B$17&amp;"; ","")&amp;IF(AND(Config!$B$18&lt;&gt;"",M160&lt;&gt;"Sim",M160&lt;&gt;"N/A"),Config!$B$18&amp;"; ","")&amp;IF(AND(Config!$B$19&lt;&gt;"",N160&lt;&gt;"Sim",N160&lt;&gt;"N/A"),Config!$B$19&amp;"; ","")&amp;IF(AND($D160="Encerrado",Config!$D$10&lt;&gt;"",O160&lt;&gt;"Sim",O160&lt;&gt;"N/A"),Config!$D$10&amp;"; ","")&amp;IF(AND($D160="Encerrado",Config!$D$11&lt;&gt;"",P160&lt;&gt;"Sim",P160&lt;&gt;"N/A"),Config!$D$11&amp;"; ","")&amp;IF(AND($D160="Encerrado",Config!$D$12&lt;&gt;"",Q160&lt;&gt;"Sim",Q160&lt;&gt;"N/A"),Config!$D$12&amp;"; ","")&amp;IF(AND($D160="Encerrado",Config!$D$13&lt;&gt;"",R160&lt;&gt;"Sim",R160&lt;&gt;"N/A"),Config!$D$13&amp;"; ","")&amp;IF(AND($D160="Encerrado",Config!$D$14&lt;&gt;"",S160&lt;&gt;"Sim",S160&lt;&gt;"N/A"),Config!$D$14&amp;"; ","")&amp;IF(AND($D160="Encerrado",Config!$D$15&lt;&gt;"",T160&lt;&gt;"Sim",T160&lt;&gt;"N/A"),Config!$D$15&amp;"; ","")&amp;IF(AND($D160="Encerrado",Config!$D$16&lt;&gt;"",U160&lt;&gt;"Sim",U160&lt;&gt;"N/A"),Config!$D$16&amp;"; ","")&amp;IF(AND($D160="Encerrado",Config!$D$17&lt;&gt;"",V160&lt;&gt;"Sim",V160&lt;&gt;"N/A"),Config!$D$17&amp;"; ","")&amp;IF(AND($D160="Encerrado",Config!$D$18&lt;&gt;"",W160&lt;&gt;"Sim",W160&lt;&gt;"N/A"),Config!$D$18&amp;"; ","")&amp;IF(AND($D160="Encerrado",Config!$D$19&lt;&gt;"",X160&lt;&gt;"Sim",X160&lt;&gt;"N/A"),Config!$D$19&amp;"; ",""))</f>
        <v/>
      </c>
    </row>
    <row r="161">
      <c r="A161" s="29" t="n"/>
      <c r="B161" s="29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25">
        <f>IF(A161="","",IFERROR(COUNTIF(E161:N161,"Sim")/(Config!$B$21-COUNTIF(E161:N161,"N/A")),""))</f>
        <v/>
      </c>
      <c r="Z161" s="25">
        <f>IF(OR(A161="",D161&lt;&gt;"Encerrado"),"",IFERROR(COUNTIF(O161:X161,"Sim")/(Config!$D$21-COUNTIF(O161:X161,"N/A")),""))</f>
        <v/>
      </c>
      <c r="AA161" s="23">
        <f>IF(A161="","",MAX(0,Config!$B$21-COUNTIF(E161:N161,"Sim")-COUNTIF(E161:N161,"N/A")))</f>
        <v/>
      </c>
      <c r="AB161" s="23">
        <f>IF(OR(A161="",D161&lt;&gt;"Encerrado"),"",MAX(0,Config!$D$21-COUNTIF(O161:X161,"Sim")-COUNTIF(O161:X161,"N/A")))</f>
        <v/>
      </c>
      <c r="AC161" s="23">
        <f>IF(A161="","",AA161+IF(AB161="",0,AB161))</f>
        <v/>
      </c>
      <c r="AD161" s="24">
        <f>IF(OR(A161="",AF161=""),"",LEFT(AF161,LEN(AF161)-2))</f>
        <v/>
      </c>
      <c r="AE161" s="35">
        <f>IF(OR(A161="",AC161=0),0,AC161*100-ROW()/100000)</f>
        <v>0</v>
      </c>
      <c r="AF161" s="35">
        <f>IF(A161="","",IF(AND(Config!$B$10&lt;&gt;"",E161&lt;&gt;"Sim",E161&lt;&gt;"N/A"),Config!$B$10&amp;"; ","")&amp;IF(AND(Config!$B$11&lt;&gt;"",F161&lt;&gt;"Sim",F161&lt;&gt;"N/A"),Config!$B$11&amp;"; ","")&amp;IF(AND(Config!$B$12&lt;&gt;"",G161&lt;&gt;"Sim",G161&lt;&gt;"N/A"),Config!$B$12&amp;"; ","")&amp;IF(AND(Config!$B$13&lt;&gt;"",H161&lt;&gt;"Sim",H161&lt;&gt;"N/A"),Config!$B$13&amp;"; ","")&amp;IF(AND(Config!$B$14&lt;&gt;"",I161&lt;&gt;"Sim",I161&lt;&gt;"N/A"),Config!$B$14&amp;"; ","")&amp;IF(AND(Config!$B$15&lt;&gt;"",J161&lt;&gt;"Sim",J161&lt;&gt;"N/A"),Config!$B$15&amp;"; ","")&amp;IF(AND(Config!$B$16&lt;&gt;"",K161&lt;&gt;"Sim",K161&lt;&gt;"N/A"),Config!$B$16&amp;"; ","")&amp;IF(AND(Config!$B$17&lt;&gt;"",L161&lt;&gt;"Sim",L161&lt;&gt;"N/A"),Config!$B$17&amp;"; ","")&amp;IF(AND(Config!$B$18&lt;&gt;"",M161&lt;&gt;"Sim",M161&lt;&gt;"N/A"),Config!$B$18&amp;"; ","")&amp;IF(AND(Config!$B$19&lt;&gt;"",N161&lt;&gt;"Sim",N161&lt;&gt;"N/A"),Config!$B$19&amp;"; ","")&amp;IF(AND($D161="Encerrado",Config!$D$10&lt;&gt;"",O161&lt;&gt;"Sim",O161&lt;&gt;"N/A"),Config!$D$10&amp;"; ","")&amp;IF(AND($D161="Encerrado",Config!$D$11&lt;&gt;"",P161&lt;&gt;"Sim",P161&lt;&gt;"N/A"),Config!$D$11&amp;"; ","")&amp;IF(AND($D161="Encerrado",Config!$D$12&lt;&gt;"",Q161&lt;&gt;"Sim",Q161&lt;&gt;"N/A"),Config!$D$12&amp;"; ","")&amp;IF(AND($D161="Encerrado",Config!$D$13&lt;&gt;"",R161&lt;&gt;"Sim",R161&lt;&gt;"N/A"),Config!$D$13&amp;"; ","")&amp;IF(AND($D161="Encerrado",Config!$D$14&lt;&gt;"",S161&lt;&gt;"Sim",S161&lt;&gt;"N/A"),Config!$D$14&amp;"; ","")&amp;IF(AND($D161="Encerrado",Config!$D$15&lt;&gt;"",T161&lt;&gt;"Sim",T161&lt;&gt;"N/A"),Config!$D$15&amp;"; ","")&amp;IF(AND($D161="Encerrado",Config!$D$16&lt;&gt;"",U161&lt;&gt;"Sim",U161&lt;&gt;"N/A"),Config!$D$16&amp;"; ","")&amp;IF(AND($D161="Encerrado",Config!$D$17&lt;&gt;"",V161&lt;&gt;"Sim",V161&lt;&gt;"N/A"),Config!$D$17&amp;"; ","")&amp;IF(AND($D161="Encerrado",Config!$D$18&lt;&gt;"",W161&lt;&gt;"Sim",W161&lt;&gt;"N/A"),Config!$D$18&amp;"; ","")&amp;IF(AND($D161="Encerrado",Config!$D$19&lt;&gt;"",X161&lt;&gt;"Sim",X161&lt;&gt;"N/A"),Config!$D$19&amp;"; ",""))</f>
        <v/>
      </c>
    </row>
    <row r="162">
      <c r="A162" s="29" t="n"/>
      <c r="B162" s="29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25">
        <f>IF(A162="","",IFERROR(COUNTIF(E162:N162,"Sim")/(Config!$B$21-COUNTIF(E162:N162,"N/A")),""))</f>
        <v/>
      </c>
      <c r="Z162" s="25">
        <f>IF(OR(A162="",D162&lt;&gt;"Encerrado"),"",IFERROR(COUNTIF(O162:X162,"Sim")/(Config!$D$21-COUNTIF(O162:X162,"N/A")),""))</f>
        <v/>
      </c>
      <c r="AA162" s="23">
        <f>IF(A162="","",MAX(0,Config!$B$21-COUNTIF(E162:N162,"Sim")-COUNTIF(E162:N162,"N/A")))</f>
        <v/>
      </c>
      <c r="AB162" s="23">
        <f>IF(OR(A162="",D162&lt;&gt;"Encerrado"),"",MAX(0,Config!$D$21-COUNTIF(O162:X162,"Sim")-COUNTIF(O162:X162,"N/A")))</f>
        <v/>
      </c>
      <c r="AC162" s="23">
        <f>IF(A162="","",AA162+IF(AB162="",0,AB162))</f>
        <v/>
      </c>
      <c r="AD162" s="24">
        <f>IF(OR(A162="",AF162=""),"",LEFT(AF162,LEN(AF162)-2))</f>
        <v/>
      </c>
      <c r="AE162" s="35">
        <f>IF(OR(A162="",AC162=0),0,AC162*100-ROW()/100000)</f>
        <v>0</v>
      </c>
      <c r="AF162" s="35">
        <f>IF(A162="","",IF(AND(Config!$B$10&lt;&gt;"",E162&lt;&gt;"Sim",E162&lt;&gt;"N/A"),Config!$B$10&amp;"; ","")&amp;IF(AND(Config!$B$11&lt;&gt;"",F162&lt;&gt;"Sim",F162&lt;&gt;"N/A"),Config!$B$11&amp;"; ","")&amp;IF(AND(Config!$B$12&lt;&gt;"",G162&lt;&gt;"Sim",G162&lt;&gt;"N/A"),Config!$B$12&amp;"; ","")&amp;IF(AND(Config!$B$13&lt;&gt;"",H162&lt;&gt;"Sim",H162&lt;&gt;"N/A"),Config!$B$13&amp;"; ","")&amp;IF(AND(Config!$B$14&lt;&gt;"",I162&lt;&gt;"Sim",I162&lt;&gt;"N/A"),Config!$B$14&amp;"; ","")&amp;IF(AND(Config!$B$15&lt;&gt;"",J162&lt;&gt;"Sim",J162&lt;&gt;"N/A"),Config!$B$15&amp;"; ","")&amp;IF(AND(Config!$B$16&lt;&gt;"",K162&lt;&gt;"Sim",K162&lt;&gt;"N/A"),Config!$B$16&amp;"; ","")&amp;IF(AND(Config!$B$17&lt;&gt;"",L162&lt;&gt;"Sim",L162&lt;&gt;"N/A"),Config!$B$17&amp;"; ","")&amp;IF(AND(Config!$B$18&lt;&gt;"",M162&lt;&gt;"Sim",M162&lt;&gt;"N/A"),Config!$B$18&amp;"; ","")&amp;IF(AND(Config!$B$19&lt;&gt;"",N162&lt;&gt;"Sim",N162&lt;&gt;"N/A"),Config!$B$19&amp;"; ","")&amp;IF(AND($D162="Encerrado",Config!$D$10&lt;&gt;"",O162&lt;&gt;"Sim",O162&lt;&gt;"N/A"),Config!$D$10&amp;"; ","")&amp;IF(AND($D162="Encerrado",Config!$D$11&lt;&gt;"",P162&lt;&gt;"Sim",P162&lt;&gt;"N/A"),Config!$D$11&amp;"; ","")&amp;IF(AND($D162="Encerrado",Config!$D$12&lt;&gt;"",Q162&lt;&gt;"Sim",Q162&lt;&gt;"N/A"),Config!$D$12&amp;"; ","")&amp;IF(AND($D162="Encerrado",Config!$D$13&lt;&gt;"",R162&lt;&gt;"Sim",R162&lt;&gt;"N/A"),Config!$D$13&amp;"; ","")&amp;IF(AND($D162="Encerrado",Config!$D$14&lt;&gt;"",S162&lt;&gt;"Sim",S162&lt;&gt;"N/A"),Config!$D$14&amp;"; ","")&amp;IF(AND($D162="Encerrado",Config!$D$15&lt;&gt;"",T162&lt;&gt;"Sim",T162&lt;&gt;"N/A"),Config!$D$15&amp;"; ","")&amp;IF(AND($D162="Encerrado",Config!$D$16&lt;&gt;"",U162&lt;&gt;"Sim",U162&lt;&gt;"N/A"),Config!$D$16&amp;"; ","")&amp;IF(AND($D162="Encerrado",Config!$D$17&lt;&gt;"",V162&lt;&gt;"Sim",V162&lt;&gt;"N/A"),Config!$D$17&amp;"; ","")&amp;IF(AND($D162="Encerrado",Config!$D$18&lt;&gt;"",W162&lt;&gt;"Sim",W162&lt;&gt;"N/A"),Config!$D$18&amp;"; ","")&amp;IF(AND($D162="Encerrado",Config!$D$19&lt;&gt;"",X162&lt;&gt;"Sim",X162&lt;&gt;"N/A"),Config!$D$19&amp;"; ",""))</f>
        <v/>
      </c>
    </row>
    <row r="163">
      <c r="A163" s="29" t="n"/>
      <c r="B163" s="29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25">
        <f>IF(A163="","",IFERROR(COUNTIF(E163:N163,"Sim")/(Config!$B$21-COUNTIF(E163:N163,"N/A")),""))</f>
        <v/>
      </c>
      <c r="Z163" s="25">
        <f>IF(OR(A163="",D163&lt;&gt;"Encerrado"),"",IFERROR(COUNTIF(O163:X163,"Sim")/(Config!$D$21-COUNTIF(O163:X163,"N/A")),""))</f>
        <v/>
      </c>
      <c r="AA163" s="23">
        <f>IF(A163="","",MAX(0,Config!$B$21-COUNTIF(E163:N163,"Sim")-COUNTIF(E163:N163,"N/A")))</f>
        <v/>
      </c>
      <c r="AB163" s="23">
        <f>IF(OR(A163="",D163&lt;&gt;"Encerrado"),"",MAX(0,Config!$D$21-COUNTIF(O163:X163,"Sim")-COUNTIF(O163:X163,"N/A")))</f>
        <v/>
      </c>
      <c r="AC163" s="23">
        <f>IF(A163="","",AA163+IF(AB163="",0,AB163))</f>
        <v/>
      </c>
      <c r="AD163" s="24">
        <f>IF(OR(A163="",AF163=""),"",LEFT(AF163,LEN(AF163)-2))</f>
        <v/>
      </c>
      <c r="AE163" s="35">
        <f>IF(OR(A163="",AC163=0),0,AC163*100-ROW()/100000)</f>
        <v>0</v>
      </c>
      <c r="AF163" s="35">
        <f>IF(A163="","",IF(AND(Config!$B$10&lt;&gt;"",E163&lt;&gt;"Sim",E163&lt;&gt;"N/A"),Config!$B$10&amp;"; ","")&amp;IF(AND(Config!$B$11&lt;&gt;"",F163&lt;&gt;"Sim",F163&lt;&gt;"N/A"),Config!$B$11&amp;"; ","")&amp;IF(AND(Config!$B$12&lt;&gt;"",G163&lt;&gt;"Sim",G163&lt;&gt;"N/A"),Config!$B$12&amp;"; ","")&amp;IF(AND(Config!$B$13&lt;&gt;"",H163&lt;&gt;"Sim",H163&lt;&gt;"N/A"),Config!$B$13&amp;"; ","")&amp;IF(AND(Config!$B$14&lt;&gt;"",I163&lt;&gt;"Sim",I163&lt;&gt;"N/A"),Config!$B$14&amp;"; ","")&amp;IF(AND(Config!$B$15&lt;&gt;"",J163&lt;&gt;"Sim",J163&lt;&gt;"N/A"),Config!$B$15&amp;"; ","")&amp;IF(AND(Config!$B$16&lt;&gt;"",K163&lt;&gt;"Sim",K163&lt;&gt;"N/A"),Config!$B$16&amp;"; ","")&amp;IF(AND(Config!$B$17&lt;&gt;"",L163&lt;&gt;"Sim",L163&lt;&gt;"N/A"),Config!$B$17&amp;"; ","")&amp;IF(AND(Config!$B$18&lt;&gt;"",M163&lt;&gt;"Sim",M163&lt;&gt;"N/A"),Config!$B$18&amp;"; ","")&amp;IF(AND(Config!$B$19&lt;&gt;"",N163&lt;&gt;"Sim",N163&lt;&gt;"N/A"),Config!$B$19&amp;"; ","")&amp;IF(AND($D163="Encerrado",Config!$D$10&lt;&gt;"",O163&lt;&gt;"Sim",O163&lt;&gt;"N/A"),Config!$D$10&amp;"; ","")&amp;IF(AND($D163="Encerrado",Config!$D$11&lt;&gt;"",P163&lt;&gt;"Sim",P163&lt;&gt;"N/A"),Config!$D$11&amp;"; ","")&amp;IF(AND($D163="Encerrado",Config!$D$12&lt;&gt;"",Q163&lt;&gt;"Sim",Q163&lt;&gt;"N/A"),Config!$D$12&amp;"; ","")&amp;IF(AND($D163="Encerrado",Config!$D$13&lt;&gt;"",R163&lt;&gt;"Sim",R163&lt;&gt;"N/A"),Config!$D$13&amp;"; ","")&amp;IF(AND($D163="Encerrado",Config!$D$14&lt;&gt;"",S163&lt;&gt;"Sim",S163&lt;&gt;"N/A"),Config!$D$14&amp;"; ","")&amp;IF(AND($D163="Encerrado",Config!$D$15&lt;&gt;"",T163&lt;&gt;"Sim",T163&lt;&gt;"N/A"),Config!$D$15&amp;"; ","")&amp;IF(AND($D163="Encerrado",Config!$D$16&lt;&gt;"",U163&lt;&gt;"Sim",U163&lt;&gt;"N/A"),Config!$D$16&amp;"; ","")&amp;IF(AND($D163="Encerrado",Config!$D$17&lt;&gt;"",V163&lt;&gt;"Sim",V163&lt;&gt;"N/A"),Config!$D$17&amp;"; ","")&amp;IF(AND($D163="Encerrado",Config!$D$18&lt;&gt;"",W163&lt;&gt;"Sim",W163&lt;&gt;"N/A"),Config!$D$18&amp;"; ","")&amp;IF(AND($D163="Encerrado",Config!$D$19&lt;&gt;"",X163&lt;&gt;"Sim",X163&lt;&gt;"N/A"),Config!$D$19&amp;"; ",""))</f>
        <v/>
      </c>
    </row>
    <row r="164">
      <c r="A164" s="29" t="n"/>
      <c r="B164" s="29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25">
        <f>IF(A164="","",IFERROR(COUNTIF(E164:N164,"Sim")/(Config!$B$21-COUNTIF(E164:N164,"N/A")),""))</f>
        <v/>
      </c>
      <c r="Z164" s="25">
        <f>IF(OR(A164="",D164&lt;&gt;"Encerrado"),"",IFERROR(COUNTIF(O164:X164,"Sim")/(Config!$D$21-COUNTIF(O164:X164,"N/A")),""))</f>
        <v/>
      </c>
      <c r="AA164" s="23">
        <f>IF(A164="","",MAX(0,Config!$B$21-COUNTIF(E164:N164,"Sim")-COUNTIF(E164:N164,"N/A")))</f>
        <v/>
      </c>
      <c r="AB164" s="23">
        <f>IF(OR(A164="",D164&lt;&gt;"Encerrado"),"",MAX(0,Config!$D$21-COUNTIF(O164:X164,"Sim")-COUNTIF(O164:X164,"N/A")))</f>
        <v/>
      </c>
      <c r="AC164" s="23">
        <f>IF(A164="","",AA164+IF(AB164="",0,AB164))</f>
        <v/>
      </c>
      <c r="AD164" s="24">
        <f>IF(OR(A164="",AF164=""),"",LEFT(AF164,LEN(AF164)-2))</f>
        <v/>
      </c>
      <c r="AE164" s="35">
        <f>IF(OR(A164="",AC164=0),0,AC164*100-ROW()/100000)</f>
        <v>0</v>
      </c>
      <c r="AF164" s="35">
        <f>IF(A164="","",IF(AND(Config!$B$10&lt;&gt;"",E164&lt;&gt;"Sim",E164&lt;&gt;"N/A"),Config!$B$10&amp;"; ","")&amp;IF(AND(Config!$B$11&lt;&gt;"",F164&lt;&gt;"Sim",F164&lt;&gt;"N/A"),Config!$B$11&amp;"; ","")&amp;IF(AND(Config!$B$12&lt;&gt;"",G164&lt;&gt;"Sim",G164&lt;&gt;"N/A"),Config!$B$12&amp;"; ","")&amp;IF(AND(Config!$B$13&lt;&gt;"",H164&lt;&gt;"Sim",H164&lt;&gt;"N/A"),Config!$B$13&amp;"; ","")&amp;IF(AND(Config!$B$14&lt;&gt;"",I164&lt;&gt;"Sim",I164&lt;&gt;"N/A"),Config!$B$14&amp;"; ","")&amp;IF(AND(Config!$B$15&lt;&gt;"",J164&lt;&gt;"Sim",J164&lt;&gt;"N/A"),Config!$B$15&amp;"; ","")&amp;IF(AND(Config!$B$16&lt;&gt;"",K164&lt;&gt;"Sim",K164&lt;&gt;"N/A"),Config!$B$16&amp;"; ","")&amp;IF(AND(Config!$B$17&lt;&gt;"",L164&lt;&gt;"Sim",L164&lt;&gt;"N/A"),Config!$B$17&amp;"; ","")&amp;IF(AND(Config!$B$18&lt;&gt;"",M164&lt;&gt;"Sim",M164&lt;&gt;"N/A"),Config!$B$18&amp;"; ","")&amp;IF(AND(Config!$B$19&lt;&gt;"",N164&lt;&gt;"Sim",N164&lt;&gt;"N/A"),Config!$B$19&amp;"; ","")&amp;IF(AND($D164="Encerrado",Config!$D$10&lt;&gt;"",O164&lt;&gt;"Sim",O164&lt;&gt;"N/A"),Config!$D$10&amp;"; ","")&amp;IF(AND($D164="Encerrado",Config!$D$11&lt;&gt;"",P164&lt;&gt;"Sim",P164&lt;&gt;"N/A"),Config!$D$11&amp;"; ","")&amp;IF(AND($D164="Encerrado",Config!$D$12&lt;&gt;"",Q164&lt;&gt;"Sim",Q164&lt;&gt;"N/A"),Config!$D$12&amp;"; ","")&amp;IF(AND($D164="Encerrado",Config!$D$13&lt;&gt;"",R164&lt;&gt;"Sim",R164&lt;&gt;"N/A"),Config!$D$13&amp;"; ","")&amp;IF(AND($D164="Encerrado",Config!$D$14&lt;&gt;"",S164&lt;&gt;"Sim",S164&lt;&gt;"N/A"),Config!$D$14&amp;"; ","")&amp;IF(AND($D164="Encerrado",Config!$D$15&lt;&gt;"",T164&lt;&gt;"Sim",T164&lt;&gt;"N/A"),Config!$D$15&amp;"; ","")&amp;IF(AND($D164="Encerrado",Config!$D$16&lt;&gt;"",U164&lt;&gt;"Sim",U164&lt;&gt;"N/A"),Config!$D$16&amp;"; ","")&amp;IF(AND($D164="Encerrado",Config!$D$17&lt;&gt;"",V164&lt;&gt;"Sim",V164&lt;&gt;"N/A"),Config!$D$17&amp;"; ","")&amp;IF(AND($D164="Encerrado",Config!$D$18&lt;&gt;"",W164&lt;&gt;"Sim",W164&lt;&gt;"N/A"),Config!$D$18&amp;"; ","")&amp;IF(AND($D164="Encerrado",Config!$D$19&lt;&gt;"",X164&lt;&gt;"Sim",X164&lt;&gt;"N/A"),Config!$D$19&amp;"; ",""))</f>
        <v/>
      </c>
    </row>
    <row r="165">
      <c r="A165" s="29" t="n"/>
      <c r="B165" s="29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25">
        <f>IF(A165="","",IFERROR(COUNTIF(E165:N165,"Sim")/(Config!$B$21-COUNTIF(E165:N165,"N/A")),""))</f>
        <v/>
      </c>
      <c r="Z165" s="25">
        <f>IF(OR(A165="",D165&lt;&gt;"Encerrado"),"",IFERROR(COUNTIF(O165:X165,"Sim")/(Config!$D$21-COUNTIF(O165:X165,"N/A")),""))</f>
        <v/>
      </c>
      <c r="AA165" s="23">
        <f>IF(A165="","",MAX(0,Config!$B$21-COUNTIF(E165:N165,"Sim")-COUNTIF(E165:N165,"N/A")))</f>
        <v/>
      </c>
      <c r="AB165" s="23">
        <f>IF(OR(A165="",D165&lt;&gt;"Encerrado"),"",MAX(0,Config!$D$21-COUNTIF(O165:X165,"Sim")-COUNTIF(O165:X165,"N/A")))</f>
        <v/>
      </c>
      <c r="AC165" s="23">
        <f>IF(A165="","",AA165+IF(AB165="",0,AB165))</f>
        <v/>
      </c>
      <c r="AD165" s="24">
        <f>IF(OR(A165="",AF165=""),"",LEFT(AF165,LEN(AF165)-2))</f>
        <v/>
      </c>
      <c r="AE165" s="35">
        <f>IF(OR(A165="",AC165=0),0,AC165*100-ROW()/100000)</f>
        <v>0</v>
      </c>
      <c r="AF165" s="35">
        <f>IF(A165="","",IF(AND(Config!$B$10&lt;&gt;"",E165&lt;&gt;"Sim",E165&lt;&gt;"N/A"),Config!$B$10&amp;"; ","")&amp;IF(AND(Config!$B$11&lt;&gt;"",F165&lt;&gt;"Sim",F165&lt;&gt;"N/A"),Config!$B$11&amp;"; ","")&amp;IF(AND(Config!$B$12&lt;&gt;"",G165&lt;&gt;"Sim",G165&lt;&gt;"N/A"),Config!$B$12&amp;"; ","")&amp;IF(AND(Config!$B$13&lt;&gt;"",H165&lt;&gt;"Sim",H165&lt;&gt;"N/A"),Config!$B$13&amp;"; ","")&amp;IF(AND(Config!$B$14&lt;&gt;"",I165&lt;&gt;"Sim",I165&lt;&gt;"N/A"),Config!$B$14&amp;"; ","")&amp;IF(AND(Config!$B$15&lt;&gt;"",J165&lt;&gt;"Sim",J165&lt;&gt;"N/A"),Config!$B$15&amp;"; ","")&amp;IF(AND(Config!$B$16&lt;&gt;"",K165&lt;&gt;"Sim",K165&lt;&gt;"N/A"),Config!$B$16&amp;"; ","")&amp;IF(AND(Config!$B$17&lt;&gt;"",L165&lt;&gt;"Sim",L165&lt;&gt;"N/A"),Config!$B$17&amp;"; ","")&amp;IF(AND(Config!$B$18&lt;&gt;"",M165&lt;&gt;"Sim",M165&lt;&gt;"N/A"),Config!$B$18&amp;"; ","")&amp;IF(AND(Config!$B$19&lt;&gt;"",N165&lt;&gt;"Sim",N165&lt;&gt;"N/A"),Config!$B$19&amp;"; ","")&amp;IF(AND($D165="Encerrado",Config!$D$10&lt;&gt;"",O165&lt;&gt;"Sim",O165&lt;&gt;"N/A"),Config!$D$10&amp;"; ","")&amp;IF(AND($D165="Encerrado",Config!$D$11&lt;&gt;"",P165&lt;&gt;"Sim",P165&lt;&gt;"N/A"),Config!$D$11&amp;"; ","")&amp;IF(AND($D165="Encerrado",Config!$D$12&lt;&gt;"",Q165&lt;&gt;"Sim",Q165&lt;&gt;"N/A"),Config!$D$12&amp;"; ","")&amp;IF(AND($D165="Encerrado",Config!$D$13&lt;&gt;"",R165&lt;&gt;"Sim",R165&lt;&gt;"N/A"),Config!$D$13&amp;"; ","")&amp;IF(AND($D165="Encerrado",Config!$D$14&lt;&gt;"",S165&lt;&gt;"Sim",S165&lt;&gt;"N/A"),Config!$D$14&amp;"; ","")&amp;IF(AND($D165="Encerrado",Config!$D$15&lt;&gt;"",T165&lt;&gt;"Sim",T165&lt;&gt;"N/A"),Config!$D$15&amp;"; ","")&amp;IF(AND($D165="Encerrado",Config!$D$16&lt;&gt;"",U165&lt;&gt;"Sim",U165&lt;&gt;"N/A"),Config!$D$16&amp;"; ","")&amp;IF(AND($D165="Encerrado",Config!$D$17&lt;&gt;"",V165&lt;&gt;"Sim",V165&lt;&gt;"N/A"),Config!$D$17&amp;"; ","")&amp;IF(AND($D165="Encerrado",Config!$D$18&lt;&gt;"",W165&lt;&gt;"Sim",W165&lt;&gt;"N/A"),Config!$D$18&amp;"; ","")&amp;IF(AND($D165="Encerrado",Config!$D$19&lt;&gt;"",X165&lt;&gt;"Sim",X165&lt;&gt;"N/A"),Config!$D$19&amp;"; ",""))</f>
        <v/>
      </c>
    </row>
    <row r="166">
      <c r="A166" s="29" t="n"/>
      <c r="B166" s="29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25">
        <f>IF(A166="","",IFERROR(COUNTIF(E166:N166,"Sim")/(Config!$B$21-COUNTIF(E166:N166,"N/A")),""))</f>
        <v/>
      </c>
      <c r="Z166" s="25">
        <f>IF(OR(A166="",D166&lt;&gt;"Encerrado"),"",IFERROR(COUNTIF(O166:X166,"Sim")/(Config!$D$21-COUNTIF(O166:X166,"N/A")),""))</f>
        <v/>
      </c>
      <c r="AA166" s="23">
        <f>IF(A166="","",MAX(0,Config!$B$21-COUNTIF(E166:N166,"Sim")-COUNTIF(E166:N166,"N/A")))</f>
        <v/>
      </c>
      <c r="AB166" s="23">
        <f>IF(OR(A166="",D166&lt;&gt;"Encerrado"),"",MAX(0,Config!$D$21-COUNTIF(O166:X166,"Sim")-COUNTIF(O166:X166,"N/A")))</f>
        <v/>
      </c>
      <c r="AC166" s="23">
        <f>IF(A166="","",AA166+IF(AB166="",0,AB166))</f>
        <v/>
      </c>
      <c r="AD166" s="24">
        <f>IF(OR(A166="",AF166=""),"",LEFT(AF166,LEN(AF166)-2))</f>
        <v/>
      </c>
      <c r="AE166" s="35">
        <f>IF(OR(A166="",AC166=0),0,AC166*100-ROW()/100000)</f>
        <v>0</v>
      </c>
      <c r="AF166" s="35">
        <f>IF(A166="","",IF(AND(Config!$B$10&lt;&gt;"",E166&lt;&gt;"Sim",E166&lt;&gt;"N/A"),Config!$B$10&amp;"; ","")&amp;IF(AND(Config!$B$11&lt;&gt;"",F166&lt;&gt;"Sim",F166&lt;&gt;"N/A"),Config!$B$11&amp;"; ","")&amp;IF(AND(Config!$B$12&lt;&gt;"",G166&lt;&gt;"Sim",G166&lt;&gt;"N/A"),Config!$B$12&amp;"; ","")&amp;IF(AND(Config!$B$13&lt;&gt;"",H166&lt;&gt;"Sim",H166&lt;&gt;"N/A"),Config!$B$13&amp;"; ","")&amp;IF(AND(Config!$B$14&lt;&gt;"",I166&lt;&gt;"Sim",I166&lt;&gt;"N/A"),Config!$B$14&amp;"; ","")&amp;IF(AND(Config!$B$15&lt;&gt;"",J166&lt;&gt;"Sim",J166&lt;&gt;"N/A"),Config!$B$15&amp;"; ","")&amp;IF(AND(Config!$B$16&lt;&gt;"",K166&lt;&gt;"Sim",K166&lt;&gt;"N/A"),Config!$B$16&amp;"; ","")&amp;IF(AND(Config!$B$17&lt;&gt;"",L166&lt;&gt;"Sim",L166&lt;&gt;"N/A"),Config!$B$17&amp;"; ","")&amp;IF(AND(Config!$B$18&lt;&gt;"",M166&lt;&gt;"Sim",M166&lt;&gt;"N/A"),Config!$B$18&amp;"; ","")&amp;IF(AND(Config!$B$19&lt;&gt;"",N166&lt;&gt;"Sim",N166&lt;&gt;"N/A"),Config!$B$19&amp;"; ","")&amp;IF(AND($D166="Encerrado",Config!$D$10&lt;&gt;"",O166&lt;&gt;"Sim",O166&lt;&gt;"N/A"),Config!$D$10&amp;"; ","")&amp;IF(AND($D166="Encerrado",Config!$D$11&lt;&gt;"",P166&lt;&gt;"Sim",P166&lt;&gt;"N/A"),Config!$D$11&amp;"; ","")&amp;IF(AND($D166="Encerrado",Config!$D$12&lt;&gt;"",Q166&lt;&gt;"Sim",Q166&lt;&gt;"N/A"),Config!$D$12&amp;"; ","")&amp;IF(AND($D166="Encerrado",Config!$D$13&lt;&gt;"",R166&lt;&gt;"Sim",R166&lt;&gt;"N/A"),Config!$D$13&amp;"; ","")&amp;IF(AND($D166="Encerrado",Config!$D$14&lt;&gt;"",S166&lt;&gt;"Sim",S166&lt;&gt;"N/A"),Config!$D$14&amp;"; ","")&amp;IF(AND($D166="Encerrado",Config!$D$15&lt;&gt;"",T166&lt;&gt;"Sim",T166&lt;&gt;"N/A"),Config!$D$15&amp;"; ","")&amp;IF(AND($D166="Encerrado",Config!$D$16&lt;&gt;"",U166&lt;&gt;"Sim",U166&lt;&gt;"N/A"),Config!$D$16&amp;"; ","")&amp;IF(AND($D166="Encerrado",Config!$D$17&lt;&gt;"",V166&lt;&gt;"Sim",V166&lt;&gt;"N/A"),Config!$D$17&amp;"; ","")&amp;IF(AND($D166="Encerrado",Config!$D$18&lt;&gt;"",W166&lt;&gt;"Sim",W166&lt;&gt;"N/A"),Config!$D$18&amp;"; ","")&amp;IF(AND($D166="Encerrado",Config!$D$19&lt;&gt;"",X166&lt;&gt;"Sim",X166&lt;&gt;"N/A"),Config!$D$19&amp;"; ",""))</f>
        <v/>
      </c>
    </row>
    <row r="167">
      <c r="A167" s="29" t="n"/>
      <c r="B167" s="29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25">
        <f>IF(A167="","",IFERROR(COUNTIF(E167:N167,"Sim")/(Config!$B$21-COUNTIF(E167:N167,"N/A")),""))</f>
        <v/>
      </c>
      <c r="Z167" s="25">
        <f>IF(OR(A167="",D167&lt;&gt;"Encerrado"),"",IFERROR(COUNTIF(O167:X167,"Sim")/(Config!$D$21-COUNTIF(O167:X167,"N/A")),""))</f>
        <v/>
      </c>
      <c r="AA167" s="23">
        <f>IF(A167="","",MAX(0,Config!$B$21-COUNTIF(E167:N167,"Sim")-COUNTIF(E167:N167,"N/A")))</f>
        <v/>
      </c>
      <c r="AB167" s="23">
        <f>IF(OR(A167="",D167&lt;&gt;"Encerrado"),"",MAX(0,Config!$D$21-COUNTIF(O167:X167,"Sim")-COUNTIF(O167:X167,"N/A")))</f>
        <v/>
      </c>
      <c r="AC167" s="23">
        <f>IF(A167="","",AA167+IF(AB167="",0,AB167))</f>
        <v/>
      </c>
      <c r="AD167" s="24">
        <f>IF(OR(A167="",AF167=""),"",LEFT(AF167,LEN(AF167)-2))</f>
        <v/>
      </c>
      <c r="AE167" s="35">
        <f>IF(OR(A167="",AC167=0),0,AC167*100-ROW()/100000)</f>
        <v>0</v>
      </c>
      <c r="AF167" s="35">
        <f>IF(A167="","",IF(AND(Config!$B$10&lt;&gt;"",E167&lt;&gt;"Sim",E167&lt;&gt;"N/A"),Config!$B$10&amp;"; ","")&amp;IF(AND(Config!$B$11&lt;&gt;"",F167&lt;&gt;"Sim",F167&lt;&gt;"N/A"),Config!$B$11&amp;"; ","")&amp;IF(AND(Config!$B$12&lt;&gt;"",G167&lt;&gt;"Sim",G167&lt;&gt;"N/A"),Config!$B$12&amp;"; ","")&amp;IF(AND(Config!$B$13&lt;&gt;"",H167&lt;&gt;"Sim",H167&lt;&gt;"N/A"),Config!$B$13&amp;"; ","")&amp;IF(AND(Config!$B$14&lt;&gt;"",I167&lt;&gt;"Sim",I167&lt;&gt;"N/A"),Config!$B$14&amp;"; ","")&amp;IF(AND(Config!$B$15&lt;&gt;"",J167&lt;&gt;"Sim",J167&lt;&gt;"N/A"),Config!$B$15&amp;"; ","")&amp;IF(AND(Config!$B$16&lt;&gt;"",K167&lt;&gt;"Sim",K167&lt;&gt;"N/A"),Config!$B$16&amp;"; ","")&amp;IF(AND(Config!$B$17&lt;&gt;"",L167&lt;&gt;"Sim",L167&lt;&gt;"N/A"),Config!$B$17&amp;"; ","")&amp;IF(AND(Config!$B$18&lt;&gt;"",M167&lt;&gt;"Sim",M167&lt;&gt;"N/A"),Config!$B$18&amp;"; ","")&amp;IF(AND(Config!$B$19&lt;&gt;"",N167&lt;&gt;"Sim",N167&lt;&gt;"N/A"),Config!$B$19&amp;"; ","")&amp;IF(AND($D167="Encerrado",Config!$D$10&lt;&gt;"",O167&lt;&gt;"Sim",O167&lt;&gt;"N/A"),Config!$D$10&amp;"; ","")&amp;IF(AND($D167="Encerrado",Config!$D$11&lt;&gt;"",P167&lt;&gt;"Sim",P167&lt;&gt;"N/A"),Config!$D$11&amp;"; ","")&amp;IF(AND($D167="Encerrado",Config!$D$12&lt;&gt;"",Q167&lt;&gt;"Sim",Q167&lt;&gt;"N/A"),Config!$D$12&amp;"; ","")&amp;IF(AND($D167="Encerrado",Config!$D$13&lt;&gt;"",R167&lt;&gt;"Sim",R167&lt;&gt;"N/A"),Config!$D$13&amp;"; ","")&amp;IF(AND($D167="Encerrado",Config!$D$14&lt;&gt;"",S167&lt;&gt;"Sim",S167&lt;&gt;"N/A"),Config!$D$14&amp;"; ","")&amp;IF(AND($D167="Encerrado",Config!$D$15&lt;&gt;"",T167&lt;&gt;"Sim",T167&lt;&gt;"N/A"),Config!$D$15&amp;"; ","")&amp;IF(AND($D167="Encerrado",Config!$D$16&lt;&gt;"",U167&lt;&gt;"Sim",U167&lt;&gt;"N/A"),Config!$D$16&amp;"; ","")&amp;IF(AND($D167="Encerrado",Config!$D$17&lt;&gt;"",V167&lt;&gt;"Sim",V167&lt;&gt;"N/A"),Config!$D$17&amp;"; ","")&amp;IF(AND($D167="Encerrado",Config!$D$18&lt;&gt;"",W167&lt;&gt;"Sim",W167&lt;&gt;"N/A"),Config!$D$18&amp;"; ","")&amp;IF(AND($D167="Encerrado",Config!$D$19&lt;&gt;"",X167&lt;&gt;"Sim",X167&lt;&gt;"N/A"),Config!$D$19&amp;"; ",""))</f>
        <v/>
      </c>
    </row>
    <row r="168">
      <c r="A168" s="29" t="n"/>
      <c r="B168" s="29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25">
        <f>IF(A168="","",IFERROR(COUNTIF(E168:N168,"Sim")/(Config!$B$21-COUNTIF(E168:N168,"N/A")),""))</f>
        <v/>
      </c>
      <c r="Z168" s="25">
        <f>IF(OR(A168="",D168&lt;&gt;"Encerrado"),"",IFERROR(COUNTIF(O168:X168,"Sim")/(Config!$D$21-COUNTIF(O168:X168,"N/A")),""))</f>
        <v/>
      </c>
      <c r="AA168" s="23">
        <f>IF(A168="","",MAX(0,Config!$B$21-COUNTIF(E168:N168,"Sim")-COUNTIF(E168:N168,"N/A")))</f>
        <v/>
      </c>
      <c r="AB168" s="23">
        <f>IF(OR(A168="",D168&lt;&gt;"Encerrado"),"",MAX(0,Config!$D$21-COUNTIF(O168:X168,"Sim")-COUNTIF(O168:X168,"N/A")))</f>
        <v/>
      </c>
      <c r="AC168" s="23">
        <f>IF(A168="","",AA168+IF(AB168="",0,AB168))</f>
        <v/>
      </c>
      <c r="AD168" s="24">
        <f>IF(OR(A168="",AF168=""),"",LEFT(AF168,LEN(AF168)-2))</f>
        <v/>
      </c>
      <c r="AE168" s="35">
        <f>IF(OR(A168="",AC168=0),0,AC168*100-ROW()/100000)</f>
        <v>0</v>
      </c>
      <c r="AF168" s="35">
        <f>IF(A168="","",IF(AND(Config!$B$10&lt;&gt;"",E168&lt;&gt;"Sim",E168&lt;&gt;"N/A"),Config!$B$10&amp;"; ","")&amp;IF(AND(Config!$B$11&lt;&gt;"",F168&lt;&gt;"Sim",F168&lt;&gt;"N/A"),Config!$B$11&amp;"; ","")&amp;IF(AND(Config!$B$12&lt;&gt;"",G168&lt;&gt;"Sim",G168&lt;&gt;"N/A"),Config!$B$12&amp;"; ","")&amp;IF(AND(Config!$B$13&lt;&gt;"",H168&lt;&gt;"Sim",H168&lt;&gt;"N/A"),Config!$B$13&amp;"; ","")&amp;IF(AND(Config!$B$14&lt;&gt;"",I168&lt;&gt;"Sim",I168&lt;&gt;"N/A"),Config!$B$14&amp;"; ","")&amp;IF(AND(Config!$B$15&lt;&gt;"",J168&lt;&gt;"Sim",J168&lt;&gt;"N/A"),Config!$B$15&amp;"; ","")&amp;IF(AND(Config!$B$16&lt;&gt;"",K168&lt;&gt;"Sim",K168&lt;&gt;"N/A"),Config!$B$16&amp;"; ","")&amp;IF(AND(Config!$B$17&lt;&gt;"",L168&lt;&gt;"Sim",L168&lt;&gt;"N/A"),Config!$B$17&amp;"; ","")&amp;IF(AND(Config!$B$18&lt;&gt;"",M168&lt;&gt;"Sim",M168&lt;&gt;"N/A"),Config!$B$18&amp;"; ","")&amp;IF(AND(Config!$B$19&lt;&gt;"",N168&lt;&gt;"Sim",N168&lt;&gt;"N/A"),Config!$B$19&amp;"; ","")&amp;IF(AND($D168="Encerrado",Config!$D$10&lt;&gt;"",O168&lt;&gt;"Sim",O168&lt;&gt;"N/A"),Config!$D$10&amp;"; ","")&amp;IF(AND($D168="Encerrado",Config!$D$11&lt;&gt;"",P168&lt;&gt;"Sim",P168&lt;&gt;"N/A"),Config!$D$11&amp;"; ","")&amp;IF(AND($D168="Encerrado",Config!$D$12&lt;&gt;"",Q168&lt;&gt;"Sim",Q168&lt;&gt;"N/A"),Config!$D$12&amp;"; ","")&amp;IF(AND($D168="Encerrado",Config!$D$13&lt;&gt;"",R168&lt;&gt;"Sim",R168&lt;&gt;"N/A"),Config!$D$13&amp;"; ","")&amp;IF(AND($D168="Encerrado",Config!$D$14&lt;&gt;"",S168&lt;&gt;"Sim",S168&lt;&gt;"N/A"),Config!$D$14&amp;"; ","")&amp;IF(AND($D168="Encerrado",Config!$D$15&lt;&gt;"",T168&lt;&gt;"Sim",T168&lt;&gt;"N/A"),Config!$D$15&amp;"; ","")&amp;IF(AND($D168="Encerrado",Config!$D$16&lt;&gt;"",U168&lt;&gt;"Sim",U168&lt;&gt;"N/A"),Config!$D$16&amp;"; ","")&amp;IF(AND($D168="Encerrado",Config!$D$17&lt;&gt;"",V168&lt;&gt;"Sim",V168&lt;&gt;"N/A"),Config!$D$17&amp;"; ","")&amp;IF(AND($D168="Encerrado",Config!$D$18&lt;&gt;"",W168&lt;&gt;"Sim",W168&lt;&gt;"N/A"),Config!$D$18&amp;"; ","")&amp;IF(AND($D168="Encerrado",Config!$D$19&lt;&gt;"",X168&lt;&gt;"Sim",X168&lt;&gt;"N/A"),Config!$D$19&amp;"; ",""))</f>
        <v/>
      </c>
    </row>
    <row r="169">
      <c r="A169" s="29" t="n"/>
      <c r="B169" s="29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25">
        <f>IF(A169="","",IFERROR(COUNTIF(E169:N169,"Sim")/(Config!$B$21-COUNTIF(E169:N169,"N/A")),""))</f>
        <v/>
      </c>
      <c r="Z169" s="25">
        <f>IF(OR(A169="",D169&lt;&gt;"Encerrado"),"",IFERROR(COUNTIF(O169:X169,"Sim")/(Config!$D$21-COUNTIF(O169:X169,"N/A")),""))</f>
        <v/>
      </c>
      <c r="AA169" s="23">
        <f>IF(A169="","",MAX(0,Config!$B$21-COUNTIF(E169:N169,"Sim")-COUNTIF(E169:N169,"N/A")))</f>
        <v/>
      </c>
      <c r="AB169" s="23">
        <f>IF(OR(A169="",D169&lt;&gt;"Encerrado"),"",MAX(0,Config!$D$21-COUNTIF(O169:X169,"Sim")-COUNTIF(O169:X169,"N/A")))</f>
        <v/>
      </c>
      <c r="AC169" s="23">
        <f>IF(A169="","",AA169+IF(AB169="",0,AB169))</f>
        <v/>
      </c>
      <c r="AD169" s="24">
        <f>IF(OR(A169="",AF169=""),"",LEFT(AF169,LEN(AF169)-2))</f>
        <v/>
      </c>
      <c r="AE169" s="35">
        <f>IF(OR(A169="",AC169=0),0,AC169*100-ROW()/100000)</f>
        <v>0</v>
      </c>
      <c r="AF169" s="35">
        <f>IF(A169="","",IF(AND(Config!$B$10&lt;&gt;"",E169&lt;&gt;"Sim",E169&lt;&gt;"N/A"),Config!$B$10&amp;"; ","")&amp;IF(AND(Config!$B$11&lt;&gt;"",F169&lt;&gt;"Sim",F169&lt;&gt;"N/A"),Config!$B$11&amp;"; ","")&amp;IF(AND(Config!$B$12&lt;&gt;"",G169&lt;&gt;"Sim",G169&lt;&gt;"N/A"),Config!$B$12&amp;"; ","")&amp;IF(AND(Config!$B$13&lt;&gt;"",H169&lt;&gt;"Sim",H169&lt;&gt;"N/A"),Config!$B$13&amp;"; ","")&amp;IF(AND(Config!$B$14&lt;&gt;"",I169&lt;&gt;"Sim",I169&lt;&gt;"N/A"),Config!$B$14&amp;"; ","")&amp;IF(AND(Config!$B$15&lt;&gt;"",J169&lt;&gt;"Sim",J169&lt;&gt;"N/A"),Config!$B$15&amp;"; ","")&amp;IF(AND(Config!$B$16&lt;&gt;"",K169&lt;&gt;"Sim",K169&lt;&gt;"N/A"),Config!$B$16&amp;"; ","")&amp;IF(AND(Config!$B$17&lt;&gt;"",L169&lt;&gt;"Sim",L169&lt;&gt;"N/A"),Config!$B$17&amp;"; ","")&amp;IF(AND(Config!$B$18&lt;&gt;"",M169&lt;&gt;"Sim",M169&lt;&gt;"N/A"),Config!$B$18&amp;"; ","")&amp;IF(AND(Config!$B$19&lt;&gt;"",N169&lt;&gt;"Sim",N169&lt;&gt;"N/A"),Config!$B$19&amp;"; ","")&amp;IF(AND($D169="Encerrado",Config!$D$10&lt;&gt;"",O169&lt;&gt;"Sim",O169&lt;&gt;"N/A"),Config!$D$10&amp;"; ","")&amp;IF(AND($D169="Encerrado",Config!$D$11&lt;&gt;"",P169&lt;&gt;"Sim",P169&lt;&gt;"N/A"),Config!$D$11&amp;"; ","")&amp;IF(AND($D169="Encerrado",Config!$D$12&lt;&gt;"",Q169&lt;&gt;"Sim",Q169&lt;&gt;"N/A"),Config!$D$12&amp;"; ","")&amp;IF(AND($D169="Encerrado",Config!$D$13&lt;&gt;"",R169&lt;&gt;"Sim",R169&lt;&gt;"N/A"),Config!$D$13&amp;"; ","")&amp;IF(AND($D169="Encerrado",Config!$D$14&lt;&gt;"",S169&lt;&gt;"Sim",S169&lt;&gt;"N/A"),Config!$D$14&amp;"; ","")&amp;IF(AND($D169="Encerrado",Config!$D$15&lt;&gt;"",T169&lt;&gt;"Sim",T169&lt;&gt;"N/A"),Config!$D$15&amp;"; ","")&amp;IF(AND($D169="Encerrado",Config!$D$16&lt;&gt;"",U169&lt;&gt;"Sim",U169&lt;&gt;"N/A"),Config!$D$16&amp;"; ","")&amp;IF(AND($D169="Encerrado",Config!$D$17&lt;&gt;"",V169&lt;&gt;"Sim",V169&lt;&gt;"N/A"),Config!$D$17&amp;"; ","")&amp;IF(AND($D169="Encerrado",Config!$D$18&lt;&gt;"",W169&lt;&gt;"Sim",W169&lt;&gt;"N/A"),Config!$D$18&amp;"; ","")&amp;IF(AND($D169="Encerrado",Config!$D$19&lt;&gt;"",X169&lt;&gt;"Sim",X169&lt;&gt;"N/A"),Config!$D$19&amp;"; ",""))</f>
        <v/>
      </c>
    </row>
    <row r="170">
      <c r="A170" s="29" t="n"/>
      <c r="B170" s="29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25">
        <f>IF(A170="","",IFERROR(COUNTIF(E170:N170,"Sim")/(Config!$B$21-COUNTIF(E170:N170,"N/A")),""))</f>
        <v/>
      </c>
      <c r="Z170" s="25">
        <f>IF(OR(A170="",D170&lt;&gt;"Encerrado"),"",IFERROR(COUNTIF(O170:X170,"Sim")/(Config!$D$21-COUNTIF(O170:X170,"N/A")),""))</f>
        <v/>
      </c>
      <c r="AA170" s="23">
        <f>IF(A170="","",MAX(0,Config!$B$21-COUNTIF(E170:N170,"Sim")-COUNTIF(E170:N170,"N/A")))</f>
        <v/>
      </c>
      <c r="AB170" s="23">
        <f>IF(OR(A170="",D170&lt;&gt;"Encerrado"),"",MAX(0,Config!$D$21-COUNTIF(O170:X170,"Sim")-COUNTIF(O170:X170,"N/A")))</f>
        <v/>
      </c>
      <c r="AC170" s="23">
        <f>IF(A170="","",AA170+IF(AB170="",0,AB170))</f>
        <v/>
      </c>
      <c r="AD170" s="24">
        <f>IF(OR(A170="",AF170=""),"",LEFT(AF170,LEN(AF170)-2))</f>
        <v/>
      </c>
      <c r="AE170" s="35">
        <f>IF(OR(A170="",AC170=0),0,AC170*100-ROW()/100000)</f>
        <v>0</v>
      </c>
      <c r="AF170" s="35">
        <f>IF(A170="","",IF(AND(Config!$B$10&lt;&gt;"",E170&lt;&gt;"Sim",E170&lt;&gt;"N/A"),Config!$B$10&amp;"; ","")&amp;IF(AND(Config!$B$11&lt;&gt;"",F170&lt;&gt;"Sim",F170&lt;&gt;"N/A"),Config!$B$11&amp;"; ","")&amp;IF(AND(Config!$B$12&lt;&gt;"",G170&lt;&gt;"Sim",G170&lt;&gt;"N/A"),Config!$B$12&amp;"; ","")&amp;IF(AND(Config!$B$13&lt;&gt;"",H170&lt;&gt;"Sim",H170&lt;&gt;"N/A"),Config!$B$13&amp;"; ","")&amp;IF(AND(Config!$B$14&lt;&gt;"",I170&lt;&gt;"Sim",I170&lt;&gt;"N/A"),Config!$B$14&amp;"; ","")&amp;IF(AND(Config!$B$15&lt;&gt;"",J170&lt;&gt;"Sim",J170&lt;&gt;"N/A"),Config!$B$15&amp;"; ","")&amp;IF(AND(Config!$B$16&lt;&gt;"",K170&lt;&gt;"Sim",K170&lt;&gt;"N/A"),Config!$B$16&amp;"; ","")&amp;IF(AND(Config!$B$17&lt;&gt;"",L170&lt;&gt;"Sim",L170&lt;&gt;"N/A"),Config!$B$17&amp;"; ","")&amp;IF(AND(Config!$B$18&lt;&gt;"",M170&lt;&gt;"Sim",M170&lt;&gt;"N/A"),Config!$B$18&amp;"; ","")&amp;IF(AND(Config!$B$19&lt;&gt;"",N170&lt;&gt;"Sim",N170&lt;&gt;"N/A"),Config!$B$19&amp;"; ","")&amp;IF(AND($D170="Encerrado",Config!$D$10&lt;&gt;"",O170&lt;&gt;"Sim",O170&lt;&gt;"N/A"),Config!$D$10&amp;"; ","")&amp;IF(AND($D170="Encerrado",Config!$D$11&lt;&gt;"",P170&lt;&gt;"Sim",P170&lt;&gt;"N/A"),Config!$D$11&amp;"; ","")&amp;IF(AND($D170="Encerrado",Config!$D$12&lt;&gt;"",Q170&lt;&gt;"Sim",Q170&lt;&gt;"N/A"),Config!$D$12&amp;"; ","")&amp;IF(AND($D170="Encerrado",Config!$D$13&lt;&gt;"",R170&lt;&gt;"Sim",R170&lt;&gt;"N/A"),Config!$D$13&amp;"; ","")&amp;IF(AND($D170="Encerrado",Config!$D$14&lt;&gt;"",S170&lt;&gt;"Sim",S170&lt;&gt;"N/A"),Config!$D$14&amp;"; ","")&amp;IF(AND($D170="Encerrado",Config!$D$15&lt;&gt;"",T170&lt;&gt;"Sim",T170&lt;&gt;"N/A"),Config!$D$15&amp;"; ","")&amp;IF(AND($D170="Encerrado",Config!$D$16&lt;&gt;"",U170&lt;&gt;"Sim",U170&lt;&gt;"N/A"),Config!$D$16&amp;"; ","")&amp;IF(AND($D170="Encerrado",Config!$D$17&lt;&gt;"",V170&lt;&gt;"Sim",V170&lt;&gt;"N/A"),Config!$D$17&amp;"; ","")&amp;IF(AND($D170="Encerrado",Config!$D$18&lt;&gt;"",W170&lt;&gt;"Sim",W170&lt;&gt;"N/A"),Config!$D$18&amp;"; ","")&amp;IF(AND($D170="Encerrado",Config!$D$19&lt;&gt;"",X170&lt;&gt;"Sim",X170&lt;&gt;"N/A"),Config!$D$19&amp;"; ",""))</f>
        <v/>
      </c>
    </row>
    <row r="171">
      <c r="A171" s="29" t="n"/>
      <c r="B171" s="29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25">
        <f>IF(A171="","",IFERROR(COUNTIF(E171:N171,"Sim")/(Config!$B$21-COUNTIF(E171:N171,"N/A")),""))</f>
        <v/>
      </c>
      <c r="Z171" s="25">
        <f>IF(OR(A171="",D171&lt;&gt;"Encerrado"),"",IFERROR(COUNTIF(O171:X171,"Sim")/(Config!$D$21-COUNTIF(O171:X171,"N/A")),""))</f>
        <v/>
      </c>
      <c r="AA171" s="23">
        <f>IF(A171="","",MAX(0,Config!$B$21-COUNTIF(E171:N171,"Sim")-COUNTIF(E171:N171,"N/A")))</f>
        <v/>
      </c>
      <c r="AB171" s="23">
        <f>IF(OR(A171="",D171&lt;&gt;"Encerrado"),"",MAX(0,Config!$D$21-COUNTIF(O171:X171,"Sim")-COUNTIF(O171:X171,"N/A")))</f>
        <v/>
      </c>
      <c r="AC171" s="23">
        <f>IF(A171="","",AA171+IF(AB171="",0,AB171))</f>
        <v/>
      </c>
      <c r="AD171" s="24">
        <f>IF(OR(A171="",AF171=""),"",LEFT(AF171,LEN(AF171)-2))</f>
        <v/>
      </c>
      <c r="AE171" s="35">
        <f>IF(OR(A171="",AC171=0),0,AC171*100-ROW()/100000)</f>
        <v>0</v>
      </c>
      <c r="AF171" s="35">
        <f>IF(A171="","",IF(AND(Config!$B$10&lt;&gt;"",E171&lt;&gt;"Sim",E171&lt;&gt;"N/A"),Config!$B$10&amp;"; ","")&amp;IF(AND(Config!$B$11&lt;&gt;"",F171&lt;&gt;"Sim",F171&lt;&gt;"N/A"),Config!$B$11&amp;"; ","")&amp;IF(AND(Config!$B$12&lt;&gt;"",G171&lt;&gt;"Sim",G171&lt;&gt;"N/A"),Config!$B$12&amp;"; ","")&amp;IF(AND(Config!$B$13&lt;&gt;"",H171&lt;&gt;"Sim",H171&lt;&gt;"N/A"),Config!$B$13&amp;"; ","")&amp;IF(AND(Config!$B$14&lt;&gt;"",I171&lt;&gt;"Sim",I171&lt;&gt;"N/A"),Config!$B$14&amp;"; ","")&amp;IF(AND(Config!$B$15&lt;&gt;"",J171&lt;&gt;"Sim",J171&lt;&gt;"N/A"),Config!$B$15&amp;"; ","")&amp;IF(AND(Config!$B$16&lt;&gt;"",K171&lt;&gt;"Sim",K171&lt;&gt;"N/A"),Config!$B$16&amp;"; ","")&amp;IF(AND(Config!$B$17&lt;&gt;"",L171&lt;&gt;"Sim",L171&lt;&gt;"N/A"),Config!$B$17&amp;"; ","")&amp;IF(AND(Config!$B$18&lt;&gt;"",M171&lt;&gt;"Sim",M171&lt;&gt;"N/A"),Config!$B$18&amp;"; ","")&amp;IF(AND(Config!$B$19&lt;&gt;"",N171&lt;&gt;"Sim",N171&lt;&gt;"N/A"),Config!$B$19&amp;"; ","")&amp;IF(AND($D171="Encerrado",Config!$D$10&lt;&gt;"",O171&lt;&gt;"Sim",O171&lt;&gt;"N/A"),Config!$D$10&amp;"; ","")&amp;IF(AND($D171="Encerrado",Config!$D$11&lt;&gt;"",P171&lt;&gt;"Sim",P171&lt;&gt;"N/A"),Config!$D$11&amp;"; ","")&amp;IF(AND($D171="Encerrado",Config!$D$12&lt;&gt;"",Q171&lt;&gt;"Sim",Q171&lt;&gt;"N/A"),Config!$D$12&amp;"; ","")&amp;IF(AND($D171="Encerrado",Config!$D$13&lt;&gt;"",R171&lt;&gt;"Sim",R171&lt;&gt;"N/A"),Config!$D$13&amp;"; ","")&amp;IF(AND($D171="Encerrado",Config!$D$14&lt;&gt;"",S171&lt;&gt;"Sim",S171&lt;&gt;"N/A"),Config!$D$14&amp;"; ","")&amp;IF(AND($D171="Encerrado",Config!$D$15&lt;&gt;"",T171&lt;&gt;"Sim",T171&lt;&gt;"N/A"),Config!$D$15&amp;"; ","")&amp;IF(AND($D171="Encerrado",Config!$D$16&lt;&gt;"",U171&lt;&gt;"Sim",U171&lt;&gt;"N/A"),Config!$D$16&amp;"; ","")&amp;IF(AND($D171="Encerrado",Config!$D$17&lt;&gt;"",V171&lt;&gt;"Sim",V171&lt;&gt;"N/A"),Config!$D$17&amp;"; ","")&amp;IF(AND($D171="Encerrado",Config!$D$18&lt;&gt;"",W171&lt;&gt;"Sim",W171&lt;&gt;"N/A"),Config!$D$18&amp;"; ","")&amp;IF(AND($D171="Encerrado",Config!$D$19&lt;&gt;"",X171&lt;&gt;"Sim",X171&lt;&gt;"N/A"),Config!$D$19&amp;"; ",""))</f>
        <v/>
      </c>
    </row>
    <row r="172">
      <c r="A172" s="29" t="n"/>
      <c r="B172" s="29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25">
        <f>IF(A172="","",IFERROR(COUNTIF(E172:N172,"Sim")/(Config!$B$21-COUNTIF(E172:N172,"N/A")),""))</f>
        <v/>
      </c>
      <c r="Z172" s="25">
        <f>IF(OR(A172="",D172&lt;&gt;"Encerrado"),"",IFERROR(COUNTIF(O172:X172,"Sim")/(Config!$D$21-COUNTIF(O172:X172,"N/A")),""))</f>
        <v/>
      </c>
      <c r="AA172" s="23">
        <f>IF(A172="","",MAX(0,Config!$B$21-COUNTIF(E172:N172,"Sim")-COUNTIF(E172:N172,"N/A")))</f>
        <v/>
      </c>
      <c r="AB172" s="23">
        <f>IF(OR(A172="",D172&lt;&gt;"Encerrado"),"",MAX(0,Config!$D$21-COUNTIF(O172:X172,"Sim")-COUNTIF(O172:X172,"N/A")))</f>
        <v/>
      </c>
      <c r="AC172" s="23">
        <f>IF(A172="","",AA172+IF(AB172="",0,AB172))</f>
        <v/>
      </c>
      <c r="AD172" s="24">
        <f>IF(OR(A172="",AF172=""),"",LEFT(AF172,LEN(AF172)-2))</f>
        <v/>
      </c>
      <c r="AE172" s="35">
        <f>IF(OR(A172="",AC172=0),0,AC172*100-ROW()/100000)</f>
        <v>0</v>
      </c>
      <c r="AF172" s="35">
        <f>IF(A172="","",IF(AND(Config!$B$10&lt;&gt;"",E172&lt;&gt;"Sim",E172&lt;&gt;"N/A"),Config!$B$10&amp;"; ","")&amp;IF(AND(Config!$B$11&lt;&gt;"",F172&lt;&gt;"Sim",F172&lt;&gt;"N/A"),Config!$B$11&amp;"; ","")&amp;IF(AND(Config!$B$12&lt;&gt;"",G172&lt;&gt;"Sim",G172&lt;&gt;"N/A"),Config!$B$12&amp;"; ","")&amp;IF(AND(Config!$B$13&lt;&gt;"",H172&lt;&gt;"Sim",H172&lt;&gt;"N/A"),Config!$B$13&amp;"; ","")&amp;IF(AND(Config!$B$14&lt;&gt;"",I172&lt;&gt;"Sim",I172&lt;&gt;"N/A"),Config!$B$14&amp;"; ","")&amp;IF(AND(Config!$B$15&lt;&gt;"",J172&lt;&gt;"Sim",J172&lt;&gt;"N/A"),Config!$B$15&amp;"; ","")&amp;IF(AND(Config!$B$16&lt;&gt;"",K172&lt;&gt;"Sim",K172&lt;&gt;"N/A"),Config!$B$16&amp;"; ","")&amp;IF(AND(Config!$B$17&lt;&gt;"",L172&lt;&gt;"Sim",L172&lt;&gt;"N/A"),Config!$B$17&amp;"; ","")&amp;IF(AND(Config!$B$18&lt;&gt;"",M172&lt;&gt;"Sim",M172&lt;&gt;"N/A"),Config!$B$18&amp;"; ","")&amp;IF(AND(Config!$B$19&lt;&gt;"",N172&lt;&gt;"Sim",N172&lt;&gt;"N/A"),Config!$B$19&amp;"; ","")&amp;IF(AND($D172="Encerrado",Config!$D$10&lt;&gt;"",O172&lt;&gt;"Sim",O172&lt;&gt;"N/A"),Config!$D$10&amp;"; ","")&amp;IF(AND($D172="Encerrado",Config!$D$11&lt;&gt;"",P172&lt;&gt;"Sim",P172&lt;&gt;"N/A"),Config!$D$11&amp;"; ","")&amp;IF(AND($D172="Encerrado",Config!$D$12&lt;&gt;"",Q172&lt;&gt;"Sim",Q172&lt;&gt;"N/A"),Config!$D$12&amp;"; ","")&amp;IF(AND($D172="Encerrado",Config!$D$13&lt;&gt;"",R172&lt;&gt;"Sim",R172&lt;&gt;"N/A"),Config!$D$13&amp;"; ","")&amp;IF(AND($D172="Encerrado",Config!$D$14&lt;&gt;"",S172&lt;&gt;"Sim",S172&lt;&gt;"N/A"),Config!$D$14&amp;"; ","")&amp;IF(AND($D172="Encerrado",Config!$D$15&lt;&gt;"",T172&lt;&gt;"Sim",T172&lt;&gt;"N/A"),Config!$D$15&amp;"; ","")&amp;IF(AND($D172="Encerrado",Config!$D$16&lt;&gt;"",U172&lt;&gt;"Sim",U172&lt;&gt;"N/A"),Config!$D$16&amp;"; ","")&amp;IF(AND($D172="Encerrado",Config!$D$17&lt;&gt;"",V172&lt;&gt;"Sim",V172&lt;&gt;"N/A"),Config!$D$17&amp;"; ","")&amp;IF(AND($D172="Encerrado",Config!$D$18&lt;&gt;"",W172&lt;&gt;"Sim",W172&lt;&gt;"N/A"),Config!$D$18&amp;"; ","")&amp;IF(AND($D172="Encerrado",Config!$D$19&lt;&gt;"",X172&lt;&gt;"Sim",X172&lt;&gt;"N/A"),Config!$D$19&amp;"; ",""))</f>
        <v/>
      </c>
    </row>
    <row r="173">
      <c r="A173" s="29" t="n"/>
      <c r="B173" s="29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25">
        <f>IF(A173="","",IFERROR(COUNTIF(E173:N173,"Sim")/(Config!$B$21-COUNTIF(E173:N173,"N/A")),""))</f>
        <v/>
      </c>
      <c r="Z173" s="25">
        <f>IF(OR(A173="",D173&lt;&gt;"Encerrado"),"",IFERROR(COUNTIF(O173:X173,"Sim")/(Config!$D$21-COUNTIF(O173:X173,"N/A")),""))</f>
        <v/>
      </c>
      <c r="AA173" s="23">
        <f>IF(A173="","",MAX(0,Config!$B$21-COUNTIF(E173:N173,"Sim")-COUNTIF(E173:N173,"N/A")))</f>
        <v/>
      </c>
      <c r="AB173" s="23">
        <f>IF(OR(A173="",D173&lt;&gt;"Encerrado"),"",MAX(0,Config!$D$21-COUNTIF(O173:X173,"Sim")-COUNTIF(O173:X173,"N/A")))</f>
        <v/>
      </c>
      <c r="AC173" s="23">
        <f>IF(A173="","",AA173+IF(AB173="",0,AB173))</f>
        <v/>
      </c>
      <c r="AD173" s="24">
        <f>IF(OR(A173="",AF173=""),"",LEFT(AF173,LEN(AF173)-2))</f>
        <v/>
      </c>
      <c r="AE173" s="35">
        <f>IF(OR(A173="",AC173=0),0,AC173*100-ROW()/100000)</f>
        <v>0</v>
      </c>
      <c r="AF173" s="35">
        <f>IF(A173="","",IF(AND(Config!$B$10&lt;&gt;"",E173&lt;&gt;"Sim",E173&lt;&gt;"N/A"),Config!$B$10&amp;"; ","")&amp;IF(AND(Config!$B$11&lt;&gt;"",F173&lt;&gt;"Sim",F173&lt;&gt;"N/A"),Config!$B$11&amp;"; ","")&amp;IF(AND(Config!$B$12&lt;&gt;"",G173&lt;&gt;"Sim",G173&lt;&gt;"N/A"),Config!$B$12&amp;"; ","")&amp;IF(AND(Config!$B$13&lt;&gt;"",H173&lt;&gt;"Sim",H173&lt;&gt;"N/A"),Config!$B$13&amp;"; ","")&amp;IF(AND(Config!$B$14&lt;&gt;"",I173&lt;&gt;"Sim",I173&lt;&gt;"N/A"),Config!$B$14&amp;"; ","")&amp;IF(AND(Config!$B$15&lt;&gt;"",J173&lt;&gt;"Sim",J173&lt;&gt;"N/A"),Config!$B$15&amp;"; ","")&amp;IF(AND(Config!$B$16&lt;&gt;"",K173&lt;&gt;"Sim",K173&lt;&gt;"N/A"),Config!$B$16&amp;"; ","")&amp;IF(AND(Config!$B$17&lt;&gt;"",L173&lt;&gt;"Sim",L173&lt;&gt;"N/A"),Config!$B$17&amp;"; ","")&amp;IF(AND(Config!$B$18&lt;&gt;"",M173&lt;&gt;"Sim",M173&lt;&gt;"N/A"),Config!$B$18&amp;"; ","")&amp;IF(AND(Config!$B$19&lt;&gt;"",N173&lt;&gt;"Sim",N173&lt;&gt;"N/A"),Config!$B$19&amp;"; ","")&amp;IF(AND($D173="Encerrado",Config!$D$10&lt;&gt;"",O173&lt;&gt;"Sim",O173&lt;&gt;"N/A"),Config!$D$10&amp;"; ","")&amp;IF(AND($D173="Encerrado",Config!$D$11&lt;&gt;"",P173&lt;&gt;"Sim",P173&lt;&gt;"N/A"),Config!$D$11&amp;"; ","")&amp;IF(AND($D173="Encerrado",Config!$D$12&lt;&gt;"",Q173&lt;&gt;"Sim",Q173&lt;&gt;"N/A"),Config!$D$12&amp;"; ","")&amp;IF(AND($D173="Encerrado",Config!$D$13&lt;&gt;"",R173&lt;&gt;"Sim",R173&lt;&gt;"N/A"),Config!$D$13&amp;"; ","")&amp;IF(AND($D173="Encerrado",Config!$D$14&lt;&gt;"",S173&lt;&gt;"Sim",S173&lt;&gt;"N/A"),Config!$D$14&amp;"; ","")&amp;IF(AND($D173="Encerrado",Config!$D$15&lt;&gt;"",T173&lt;&gt;"Sim",T173&lt;&gt;"N/A"),Config!$D$15&amp;"; ","")&amp;IF(AND($D173="Encerrado",Config!$D$16&lt;&gt;"",U173&lt;&gt;"Sim",U173&lt;&gt;"N/A"),Config!$D$16&amp;"; ","")&amp;IF(AND($D173="Encerrado",Config!$D$17&lt;&gt;"",V173&lt;&gt;"Sim",V173&lt;&gt;"N/A"),Config!$D$17&amp;"; ","")&amp;IF(AND($D173="Encerrado",Config!$D$18&lt;&gt;"",W173&lt;&gt;"Sim",W173&lt;&gt;"N/A"),Config!$D$18&amp;"; ","")&amp;IF(AND($D173="Encerrado",Config!$D$19&lt;&gt;"",X173&lt;&gt;"Sim",X173&lt;&gt;"N/A"),Config!$D$19&amp;"; ",""))</f>
        <v/>
      </c>
    </row>
    <row r="174">
      <c r="A174" s="29" t="n"/>
      <c r="B174" s="29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25">
        <f>IF(A174="","",IFERROR(COUNTIF(E174:N174,"Sim")/(Config!$B$21-COUNTIF(E174:N174,"N/A")),""))</f>
        <v/>
      </c>
      <c r="Z174" s="25">
        <f>IF(OR(A174="",D174&lt;&gt;"Encerrado"),"",IFERROR(COUNTIF(O174:X174,"Sim")/(Config!$D$21-COUNTIF(O174:X174,"N/A")),""))</f>
        <v/>
      </c>
      <c r="AA174" s="23">
        <f>IF(A174="","",MAX(0,Config!$B$21-COUNTIF(E174:N174,"Sim")-COUNTIF(E174:N174,"N/A")))</f>
        <v/>
      </c>
      <c r="AB174" s="23">
        <f>IF(OR(A174="",D174&lt;&gt;"Encerrado"),"",MAX(0,Config!$D$21-COUNTIF(O174:X174,"Sim")-COUNTIF(O174:X174,"N/A")))</f>
        <v/>
      </c>
      <c r="AC174" s="23">
        <f>IF(A174="","",AA174+IF(AB174="",0,AB174))</f>
        <v/>
      </c>
      <c r="AD174" s="24">
        <f>IF(OR(A174="",AF174=""),"",LEFT(AF174,LEN(AF174)-2))</f>
        <v/>
      </c>
      <c r="AE174" s="35">
        <f>IF(OR(A174="",AC174=0),0,AC174*100-ROW()/100000)</f>
        <v>0</v>
      </c>
      <c r="AF174" s="35">
        <f>IF(A174="","",IF(AND(Config!$B$10&lt;&gt;"",E174&lt;&gt;"Sim",E174&lt;&gt;"N/A"),Config!$B$10&amp;"; ","")&amp;IF(AND(Config!$B$11&lt;&gt;"",F174&lt;&gt;"Sim",F174&lt;&gt;"N/A"),Config!$B$11&amp;"; ","")&amp;IF(AND(Config!$B$12&lt;&gt;"",G174&lt;&gt;"Sim",G174&lt;&gt;"N/A"),Config!$B$12&amp;"; ","")&amp;IF(AND(Config!$B$13&lt;&gt;"",H174&lt;&gt;"Sim",H174&lt;&gt;"N/A"),Config!$B$13&amp;"; ","")&amp;IF(AND(Config!$B$14&lt;&gt;"",I174&lt;&gt;"Sim",I174&lt;&gt;"N/A"),Config!$B$14&amp;"; ","")&amp;IF(AND(Config!$B$15&lt;&gt;"",J174&lt;&gt;"Sim",J174&lt;&gt;"N/A"),Config!$B$15&amp;"; ","")&amp;IF(AND(Config!$B$16&lt;&gt;"",K174&lt;&gt;"Sim",K174&lt;&gt;"N/A"),Config!$B$16&amp;"; ","")&amp;IF(AND(Config!$B$17&lt;&gt;"",L174&lt;&gt;"Sim",L174&lt;&gt;"N/A"),Config!$B$17&amp;"; ","")&amp;IF(AND(Config!$B$18&lt;&gt;"",M174&lt;&gt;"Sim",M174&lt;&gt;"N/A"),Config!$B$18&amp;"; ","")&amp;IF(AND(Config!$B$19&lt;&gt;"",N174&lt;&gt;"Sim",N174&lt;&gt;"N/A"),Config!$B$19&amp;"; ","")&amp;IF(AND($D174="Encerrado",Config!$D$10&lt;&gt;"",O174&lt;&gt;"Sim",O174&lt;&gt;"N/A"),Config!$D$10&amp;"; ","")&amp;IF(AND($D174="Encerrado",Config!$D$11&lt;&gt;"",P174&lt;&gt;"Sim",P174&lt;&gt;"N/A"),Config!$D$11&amp;"; ","")&amp;IF(AND($D174="Encerrado",Config!$D$12&lt;&gt;"",Q174&lt;&gt;"Sim",Q174&lt;&gt;"N/A"),Config!$D$12&amp;"; ","")&amp;IF(AND($D174="Encerrado",Config!$D$13&lt;&gt;"",R174&lt;&gt;"Sim",R174&lt;&gt;"N/A"),Config!$D$13&amp;"; ","")&amp;IF(AND($D174="Encerrado",Config!$D$14&lt;&gt;"",S174&lt;&gt;"Sim",S174&lt;&gt;"N/A"),Config!$D$14&amp;"; ","")&amp;IF(AND($D174="Encerrado",Config!$D$15&lt;&gt;"",T174&lt;&gt;"Sim",T174&lt;&gt;"N/A"),Config!$D$15&amp;"; ","")&amp;IF(AND($D174="Encerrado",Config!$D$16&lt;&gt;"",U174&lt;&gt;"Sim",U174&lt;&gt;"N/A"),Config!$D$16&amp;"; ","")&amp;IF(AND($D174="Encerrado",Config!$D$17&lt;&gt;"",V174&lt;&gt;"Sim",V174&lt;&gt;"N/A"),Config!$D$17&amp;"; ","")&amp;IF(AND($D174="Encerrado",Config!$D$18&lt;&gt;"",W174&lt;&gt;"Sim",W174&lt;&gt;"N/A"),Config!$D$18&amp;"; ","")&amp;IF(AND($D174="Encerrado",Config!$D$19&lt;&gt;"",X174&lt;&gt;"Sim",X174&lt;&gt;"N/A"),Config!$D$19&amp;"; ",""))</f>
        <v/>
      </c>
    </row>
    <row r="175">
      <c r="A175" s="29" t="n"/>
      <c r="B175" s="29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25">
        <f>IF(A175="","",IFERROR(COUNTIF(E175:N175,"Sim")/(Config!$B$21-COUNTIF(E175:N175,"N/A")),""))</f>
        <v/>
      </c>
      <c r="Z175" s="25">
        <f>IF(OR(A175="",D175&lt;&gt;"Encerrado"),"",IFERROR(COUNTIF(O175:X175,"Sim")/(Config!$D$21-COUNTIF(O175:X175,"N/A")),""))</f>
        <v/>
      </c>
      <c r="AA175" s="23">
        <f>IF(A175="","",MAX(0,Config!$B$21-COUNTIF(E175:N175,"Sim")-COUNTIF(E175:N175,"N/A")))</f>
        <v/>
      </c>
      <c r="AB175" s="23">
        <f>IF(OR(A175="",D175&lt;&gt;"Encerrado"),"",MAX(0,Config!$D$21-COUNTIF(O175:X175,"Sim")-COUNTIF(O175:X175,"N/A")))</f>
        <v/>
      </c>
      <c r="AC175" s="23">
        <f>IF(A175="","",AA175+IF(AB175="",0,AB175))</f>
        <v/>
      </c>
      <c r="AD175" s="24">
        <f>IF(OR(A175="",AF175=""),"",LEFT(AF175,LEN(AF175)-2))</f>
        <v/>
      </c>
      <c r="AE175" s="35">
        <f>IF(OR(A175="",AC175=0),0,AC175*100-ROW()/100000)</f>
        <v>0</v>
      </c>
      <c r="AF175" s="35">
        <f>IF(A175="","",IF(AND(Config!$B$10&lt;&gt;"",E175&lt;&gt;"Sim",E175&lt;&gt;"N/A"),Config!$B$10&amp;"; ","")&amp;IF(AND(Config!$B$11&lt;&gt;"",F175&lt;&gt;"Sim",F175&lt;&gt;"N/A"),Config!$B$11&amp;"; ","")&amp;IF(AND(Config!$B$12&lt;&gt;"",G175&lt;&gt;"Sim",G175&lt;&gt;"N/A"),Config!$B$12&amp;"; ","")&amp;IF(AND(Config!$B$13&lt;&gt;"",H175&lt;&gt;"Sim",H175&lt;&gt;"N/A"),Config!$B$13&amp;"; ","")&amp;IF(AND(Config!$B$14&lt;&gt;"",I175&lt;&gt;"Sim",I175&lt;&gt;"N/A"),Config!$B$14&amp;"; ","")&amp;IF(AND(Config!$B$15&lt;&gt;"",J175&lt;&gt;"Sim",J175&lt;&gt;"N/A"),Config!$B$15&amp;"; ","")&amp;IF(AND(Config!$B$16&lt;&gt;"",K175&lt;&gt;"Sim",K175&lt;&gt;"N/A"),Config!$B$16&amp;"; ","")&amp;IF(AND(Config!$B$17&lt;&gt;"",L175&lt;&gt;"Sim",L175&lt;&gt;"N/A"),Config!$B$17&amp;"; ","")&amp;IF(AND(Config!$B$18&lt;&gt;"",M175&lt;&gt;"Sim",M175&lt;&gt;"N/A"),Config!$B$18&amp;"; ","")&amp;IF(AND(Config!$B$19&lt;&gt;"",N175&lt;&gt;"Sim",N175&lt;&gt;"N/A"),Config!$B$19&amp;"; ","")&amp;IF(AND($D175="Encerrado",Config!$D$10&lt;&gt;"",O175&lt;&gt;"Sim",O175&lt;&gt;"N/A"),Config!$D$10&amp;"; ","")&amp;IF(AND($D175="Encerrado",Config!$D$11&lt;&gt;"",P175&lt;&gt;"Sim",P175&lt;&gt;"N/A"),Config!$D$11&amp;"; ","")&amp;IF(AND($D175="Encerrado",Config!$D$12&lt;&gt;"",Q175&lt;&gt;"Sim",Q175&lt;&gt;"N/A"),Config!$D$12&amp;"; ","")&amp;IF(AND($D175="Encerrado",Config!$D$13&lt;&gt;"",R175&lt;&gt;"Sim",R175&lt;&gt;"N/A"),Config!$D$13&amp;"; ","")&amp;IF(AND($D175="Encerrado",Config!$D$14&lt;&gt;"",S175&lt;&gt;"Sim",S175&lt;&gt;"N/A"),Config!$D$14&amp;"; ","")&amp;IF(AND($D175="Encerrado",Config!$D$15&lt;&gt;"",T175&lt;&gt;"Sim",T175&lt;&gt;"N/A"),Config!$D$15&amp;"; ","")&amp;IF(AND($D175="Encerrado",Config!$D$16&lt;&gt;"",U175&lt;&gt;"Sim",U175&lt;&gt;"N/A"),Config!$D$16&amp;"; ","")&amp;IF(AND($D175="Encerrado",Config!$D$17&lt;&gt;"",V175&lt;&gt;"Sim",V175&lt;&gt;"N/A"),Config!$D$17&amp;"; ","")&amp;IF(AND($D175="Encerrado",Config!$D$18&lt;&gt;"",W175&lt;&gt;"Sim",W175&lt;&gt;"N/A"),Config!$D$18&amp;"; ","")&amp;IF(AND($D175="Encerrado",Config!$D$19&lt;&gt;"",X175&lt;&gt;"Sim",X175&lt;&gt;"N/A"),Config!$D$19&amp;"; ",""))</f>
        <v/>
      </c>
    </row>
    <row r="176">
      <c r="A176" s="29" t="n"/>
      <c r="B176" s="29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25">
        <f>IF(A176="","",IFERROR(COUNTIF(E176:N176,"Sim")/(Config!$B$21-COUNTIF(E176:N176,"N/A")),""))</f>
        <v/>
      </c>
      <c r="Z176" s="25">
        <f>IF(OR(A176="",D176&lt;&gt;"Encerrado"),"",IFERROR(COUNTIF(O176:X176,"Sim")/(Config!$D$21-COUNTIF(O176:X176,"N/A")),""))</f>
        <v/>
      </c>
      <c r="AA176" s="23">
        <f>IF(A176="","",MAX(0,Config!$B$21-COUNTIF(E176:N176,"Sim")-COUNTIF(E176:N176,"N/A")))</f>
        <v/>
      </c>
      <c r="AB176" s="23">
        <f>IF(OR(A176="",D176&lt;&gt;"Encerrado"),"",MAX(0,Config!$D$21-COUNTIF(O176:X176,"Sim")-COUNTIF(O176:X176,"N/A")))</f>
        <v/>
      </c>
      <c r="AC176" s="23">
        <f>IF(A176="","",AA176+IF(AB176="",0,AB176))</f>
        <v/>
      </c>
      <c r="AD176" s="24">
        <f>IF(OR(A176="",AF176=""),"",LEFT(AF176,LEN(AF176)-2))</f>
        <v/>
      </c>
      <c r="AE176" s="35">
        <f>IF(OR(A176="",AC176=0),0,AC176*100-ROW()/100000)</f>
        <v>0</v>
      </c>
      <c r="AF176" s="35">
        <f>IF(A176="","",IF(AND(Config!$B$10&lt;&gt;"",E176&lt;&gt;"Sim",E176&lt;&gt;"N/A"),Config!$B$10&amp;"; ","")&amp;IF(AND(Config!$B$11&lt;&gt;"",F176&lt;&gt;"Sim",F176&lt;&gt;"N/A"),Config!$B$11&amp;"; ","")&amp;IF(AND(Config!$B$12&lt;&gt;"",G176&lt;&gt;"Sim",G176&lt;&gt;"N/A"),Config!$B$12&amp;"; ","")&amp;IF(AND(Config!$B$13&lt;&gt;"",H176&lt;&gt;"Sim",H176&lt;&gt;"N/A"),Config!$B$13&amp;"; ","")&amp;IF(AND(Config!$B$14&lt;&gt;"",I176&lt;&gt;"Sim",I176&lt;&gt;"N/A"),Config!$B$14&amp;"; ","")&amp;IF(AND(Config!$B$15&lt;&gt;"",J176&lt;&gt;"Sim",J176&lt;&gt;"N/A"),Config!$B$15&amp;"; ","")&amp;IF(AND(Config!$B$16&lt;&gt;"",K176&lt;&gt;"Sim",K176&lt;&gt;"N/A"),Config!$B$16&amp;"; ","")&amp;IF(AND(Config!$B$17&lt;&gt;"",L176&lt;&gt;"Sim",L176&lt;&gt;"N/A"),Config!$B$17&amp;"; ","")&amp;IF(AND(Config!$B$18&lt;&gt;"",M176&lt;&gt;"Sim",M176&lt;&gt;"N/A"),Config!$B$18&amp;"; ","")&amp;IF(AND(Config!$B$19&lt;&gt;"",N176&lt;&gt;"Sim",N176&lt;&gt;"N/A"),Config!$B$19&amp;"; ","")&amp;IF(AND($D176="Encerrado",Config!$D$10&lt;&gt;"",O176&lt;&gt;"Sim",O176&lt;&gt;"N/A"),Config!$D$10&amp;"; ","")&amp;IF(AND($D176="Encerrado",Config!$D$11&lt;&gt;"",P176&lt;&gt;"Sim",P176&lt;&gt;"N/A"),Config!$D$11&amp;"; ","")&amp;IF(AND($D176="Encerrado",Config!$D$12&lt;&gt;"",Q176&lt;&gt;"Sim",Q176&lt;&gt;"N/A"),Config!$D$12&amp;"; ","")&amp;IF(AND($D176="Encerrado",Config!$D$13&lt;&gt;"",R176&lt;&gt;"Sim",R176&lt;&gt;"N/A"),Config!$D$13&amp;"; ","")&amp;IF(AND($D176="Encerrado",Config!$D$14&lt;&gt;"",S176&lt;&gt;"Sim",S176&lt;&gt;"N/A"),Config!$D$14&amp;"; ","")&amp;IF(AND($D176="Encerrado",Config!$D$15&lt;&gt;"",T176&lt;&gt;"Sim",T176&lt;&gt;"N/A"),Config!$D$15&amp;"; ","")&amp;IF(AND($D176="Encerrado",Config!$D$16&lt;&gt;"",U176&lt;&gt;"Sim",U176&lt;&gt;"N/A"),Config!$D$16&amp;"; ","")&amp;IF(AND($D176="Encerrado",Config!$D$17&lt;&gt;"",V176&lt;&gt;"Sim",V176&lt;&gt;"N/A"),Config!$D$17&amp;"; ","")&amp;IF(AND($D176="Encerrado",Config!$D$18&lt;&gt;"",W176&lt;&gt;"Sim",W176&lt;&gt;"N/A"),Config!$D$18&amp;"; ","")&amp;IF(AND($D176="Encerrado",Config!$D$19&lt;&gt;"",X176&lt;&gt;"Sim",X176&lt;&gt;"N/A"),Config!$D$19&amp;"; ",""))</f>
        <v/>
      </c>
    </row>
    <row r="177">
      <c r="A177" s="29" t="n"/>
      <c r="B177" s="29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25">
        <f>IF(A177="","",IFERROR(COUNTIF(E177:N177,"Sim")/(Config!$B$21-COUNTIF(E177:N177,"N/A")),""))</f>
        <v/>
      </c>
      <c r="Z177" s="25">
        <f>IF(OR(A177="",D177&lt;&gt;"Encerrado"),"",IFERROR(COUNTIF(O177:X177,"Sim")/(Config!$D$21-COUNTIF(O177:X177,"N/A")),""))</f>
        <v/>
      </c>
      <c r="AA177" s="23">
        <f>IF(A177="","",MAX(0,Config!$B$21-COUNTIF(E177:N177,"Sim")-COUNTIF(E177:N177,"N/A")))</f>
        <v/>
      </c>
      <c r="AB177" s="23">
        <f>IF(OR(A177="",D177&lt;&gt;"Encerrado"),"",MAX(0,Config!$D$21-COUNTIF(O177:X177,"Sim")-COUNTIF(O177:X177,"N/A")))</f>
        <v/>
      </c>
      <c r="AC177" s="23">
        <f>IF(A177="","",AA177+IF(AB177="",0,AB177))</f>
        <v/>
      </c>
      <c r="AD177" s="24">
        <f>IF(OR(A177="",AF177=""),"",LEFT(AF177,LEN(AF177)-2))</f>
        <v/>
      </c>
      <c r="AE177" s="35">
        <f>IF(OR(A177="",AC177=0),0,AC177*100-ROW()/100000)</f>
        <v>0</v>
      </c>
      <c r="AF177" s="35">
        <f>IF(A177="","",IF(AND(Config!$B$10&lt;&gt;"",E177&lt;&gt;"Sim",E177&lt;&gt;"N/A"),Config!$B$10&amp;"; ","")&amp;IF(AND(Config!$B$11&lt;&gt;"",F177&lt;&gt;"Sim",F177&lt;&gt;"N/A"),Config!$B$11&amp;"; ","")&amp;IF(AND(Config!$B$12&lt;&gt;"",G177&lt;&gt;"Sim",G177&lt;&gt;"N/A"),Config!$B$12&amp;"; ","")&amp;IF(AND(Config!$B$13&lt;&gt;"",H177&lt;&gt;"Sim",H177&lt;&gt;"N/A"),Config!$B$13&amp;"; ","")&amp;IF(AND(Config!$B$14&lt;&gt;"",I177&lt;&gt;"Sim",I177&lt;&gt;"N/A"),Config!$B$14&amp;"; ","")&amp;IF(AND(Config!$B$15&lt;&gt;"",J177&lt;&gt;"Sim",J177&lt;&gt;"N/A"),Config!$B$15&amp;"; ","")&amp;IF(AND(Config!$B$16&lt;&gt;"",K177&lt;&gt;"Sim",K177&lt;&gt;"N/A"),Config!$B$16&amp;"; ","")&amp;IF(AND(Config!$B$17&lt;&gt;"",L177&lt;&gt;"Sim",L177&lt;&gt;"N/A"),Config!$B$17&amp;"; ","")&amp;IF(AND(Config!$B$18&lt;&gt;"",M177&lt;&gt;"Sim",M177&lt;&gt;"N/A"),Config!$B$18&amp;"; ","")&amp;IF(AND(Config!$B$19&lt;&gt;"",N177&lt;&gt;"Sim",N177&lt;&gt;"N/A"),Config!$B$19&amp;"; ","")&amp;IF(AND($D177="Encerrado",Config!$D$10&lt;&gt;"",O177&lt;&gt;"Sim",O177&lt;&gt;"N/A"),Config!$D$10&amp;"; ","")&amp;IF(AND($D177="Encerrado",Config!$D$11&lt;&gt;"",P177&lt;&gt;"Sim",P177&lt;&gt;"N/A"),Config!$D$11&amp;"; ","")&amp;IF(AND($D177="Encerrado",Config!$D$12&lt;&gt;"",Q177&lt;&gt;"Sim",Q177&lt;&gt;"N/A"),Config!$D$12&amp;"; ","")&amp;IF(AND($D177="Encerrado",Config!$D$13&lt;&gt;"",R177&lt;&gt;"Sim",R177&lt;&gt;"N/A"),Config!$D$13&amp;"; ","")&amp;IF(AND($D177="Encerrado",Config!$D$14&lt;&gt;"",S177&lt;&gt;"Sim",S177&lt;&gt;"N/A"),Config!$D$14&amp;"; ","")&amp;IF(AND($D177="Encerrado",Config!$D$15&lt;&gt;"",T177&lt;&gt;"Sim",T177&lt;&gt;"N/A"),Config!$D$15&amp;"; ","")&amp;IF(AND($D177="Encerrado",Config!$D$16&lt;&gt;"",U177&lt;&gt;"Sim",U177&lt;&gt;"N/A"),Config!$D$16&amp;"; ","")&amp;IF(AND($D177="Encerrado",Config!$D$17&lt;&gt;"",V177&lt;&gt;"Sim",V177&lt;&gt;"N/A"),Config!$D$17&amp;"; ","")&amp;IF(AND($D177="Encerrado",Config!$D$18&lt;&gt;"",W177&lt;&gt;"Sim",W177&lt;&gt;"N/A"),Config!$D$18&amp;"; ","")&amp;IF(AND($D177="Encerrado",Config!$D$19&lt;&gt;"",X177&lt;&gt;"Sim",X177&lt;&gt;"N/A"),Config!$D$19&amp;"; ",""))</f>
        <v/>
      </c>
    </row>
    <row r="178">
      <c r="A178" s="29" t="n"/>
      <c r="B178" s="29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25">
        <f>IF(A178="","",IFERROR(COUNTIF(E178:N178,"Sim")/(Config!$B$21-COUNTIF(E178:N178,"N/A")),""))</f>
        <v/>
      </c>
      <c r="Z178" s="25">
        <f>IF(OR(A178="",D178&lt;&gt;"Encerrado"),"",IFERROR(COUNTIF(O178:X178,"Sim")/(Config!$D$21-COUNTIF(O178:X178,"N/A")),""))</f>
        <v/>
      </c>
      <c r="AA178" s="23">
        <f>IF(A178="","",MAX(0,Config!$B$21-COUNTIF(E178:N178,"Sim")-COUNTIF(E178:N178,"N/A")))</f>
        <v/>
      </c>
      <c r="AB178" s="23">
        <f>IF(OR(A178="",D178&lt;&gt;"Encerrado"),"",MAX(0,Config!$D$21-COUNTIF(O178:X178,"Sim")-COUNTIF(O178:X178,"N/A")))</f>
        <v/>
      </c>
      <c r="AC178" s="23">
        <f>IF(A178="","",AA178+IF(AB178="",0,AB178))</f>
        <v/>
      </c>
      <c r="AD178" s="24">
        <f>IF(OR(A178="",AF178=""),"",LEFT(AF178,LEN(AF178)-2))</f>
        <v/>
      </c>
      <c r="AE178" s="35">
        <f>IF(OR(A178="",AC178=0),0,AC178*100-ROW()/100000)</f>
        <v>0</v>
      </c>
      <c r="AF178" s="35">
        <f>IF(A178="","",IF(AND(Config!$B$10&lt;&gt;"",E178&lt;&gt;"Sim",E178&lt;&gt;"N/A"),Config!$B$10&amp;"; ","")&amp;IF(AND(Config!$B$11&lt;&gt;"",F178&lt;&gt;"Sim",F178&lt;&gt;"N/A"),Config!$B$11&amp;"; ","")&amp;IF(AND(Config!$B$12&lt;&gt;"",G178&lt;&gt;"Sim",G178&lt;&gt;"N/A"),Config!$B$12&amp;"; ","")&amp;IF(AND(Config!$B$13&lt;&gt;"",H178&lt;&gt;"Sim",H178&lt;&gt;"N/A"),Config!$B$13&amp;"; ","")&amp;IF(AND(Config!$B$14&lt;&gt;"",I178&lt;&gt;"Sim",I178&lt;&gt;"N/A"),Config!$B$14&amp;"; ","")&amp;IF(AND(Config!$B$15&lt;&gt;"",J178&lt;&gt;"Sim",J178&lt;&gt;"N/A"),Config!$B$15&amp;"; ","")&amp;IF(AND(Config!$B$16&lt;&gt;"",K178&lt;&gt;"Sim",K178&lt;&gt;"N/A"),Config!$B$16&amp;"; ","")&amp;IF(AND(Config!$B$17&lt;&gt;"",L178&lt;&gt;"Sim",L178&lt;&gt;"N/A"),Config!$B$17&amp;"; ","")&amp;IF(AND(Config!$B$18&lt;&gt;"",M178&lt;&gt;"Sim",M178&lt;&gt;"N/A"),Config!$B$18&amp;"; ","")&amp;IF(AND(Config!$B$19&lt;&gt;"",N178&lt;&gt;"Sim",N178&lt;&gt;"N/A"),Config!$B$19&amp;"; ","")&amp;IF(AND($D178="Encerrado",Config!$D$10&lt;&gt;"",O178&lt;&gt;"Sim",O178&lt;&gt;"N/A"),Config!$D$10&amp;"; ","")&amp;IF(AND($D178="Encerrado",Config!$D$11&lt;&gt;"",P178&lt;&gt;"Sim",P178&lt;&gt;"N/A"),Config!$D$11&amp;"; ","")&amp;IF(AND($D178="Encerrado",Config!$D$12&lt;&gt;"",Q178&lt;&gt;"Sim",Q178&lt;&gt;"N/A"),Config!$D$12&amp;"; ","")&amp;IF(AND($D178="Encerrado",Config!$D$13&lt;&gt;"",R178&lt;&gt;"Sim",R178&lt;&gt;"N/A"),Config!$D$13&amp;"; ","")&amp;IF(AND($D178="Encerrado",Config!$D$14&lt;&gt;"",S178&lt;&gt;"Sim",S178&lt;&gt;"N/A"),Config!$D$14&amp;"; ","")&amp;IF(AND($D178="Encerrado",Config!$D$15&lt;&gt;"",T178&lt;&gt;"Sim",T178&lt;&gt;"N/A"),Config!$D$15&amp;"; ","")&amp;IF(AND($D178="Encerrado",Config!$D$16&lt;&gt;"",U178&lt;&gt;"Sim",U178&lt;&gt;"N/A"),Config!$D$16&amp;"; ","")&amp;IF(AND($D178="Encerrado",Config!$D$17&lt;&gt;"",V178&lt;&gt;"Sim",V178&lt;&gt;"N/A"),Config!$D$17&amp;"; ","")&amp;IF(AND($D178="Encerrado",Config!$D$18&lt;&gt;"",W178&lt;&gt;"Sim",W178&lt;&gt;"N/A"),Config!$D$18&amp;"; ","")&amp;IF(AND($D178="Encerrado",Config!$D$19&lt;&gt;"",X178&lt;&gt;"Sim",X178&lt;&gt;"N/A"),Config!$D$19&amp;"; ",""))</f>
        <v/>
      </c>
    </row>
    <row r="179">
      <c r="A179" s="29" t="n"/>
      <c r="B179" s="29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25">
        <f>IF(A179="","",IFERROR(COUNTIF(E179:N179,"Sim")/(Config!$B$21-COUNTIF(E179:N179,"N/A")),""))</f>
        <v/>
      </c>
      <c r="Z179" s="25">
        <f>IF(OR(A179="",D179&lt;&gt;"Encerrado"),"",IFERROR(COUNTIF(O179:X179,"Sim")/(Config!$D$21-COUNTIF(O179:X179,"N/A")),""))</f>
        <v/>
      </c>
      <c r="AA179" s="23">
        <f>IF(A179="","",MAX(0,Config!$B$21-COUNTIF(E179:N179,"Sim")-COUNTIF(E179:N179,"N/A")))</f>
        <v/>
      </c>
      <c r="AB179" s="23">
        <f>IF(OR(A179="",D179&lt;&gt;"Encerrado"),"",MAX(0,Config!$D$21-COUNTIF(O179:X179,"Sim")-COUNTIF(O179:X179,"N/A")))</f>
        <v/>
      </c>
      <c r="AC179" s="23">
        <f>IF(A179="","",AA179+IF(AB179="",0,AB179))</f>
        <v/>
      </c>
      <c r="AD179" s="24">
        <f>IF(OR(A179="",AF179=""),"",LEFT(AF179,LEN(AF179)-2))</f>
        <v/>
      </c>
      <c r="AE179" s="35">
        <f>IF(OR(A179="",AC179=0),0,AC179*100-ROW()/100000)</f>
        <v>0</v>
      </c>
      <c r="AF179" s="35">
        <f>IF(A179="","",IF(AND(Config!$B$10&lt;&gt;"",E179&lt;&gt;"Sim",E179&lt;&gt;"N/A"),Config!$B$10&amp;"; ","")&amp;IF(AND(Config!$B$11&lt;&gt;"",F179&lt;&gt;"Sim",F179&lt;&gt;"N/A"),Config!$B$11&amp;"; ","")&amp;IF(AND(Config!$B$12&lt;&gt;"",G179&lt;&gt;"Sim",G179&lt;&gt;"N/A"),Config!$B$12&amp;"; ","")&amp;IF(AND(Config!$B$13&lt;&gt;"",H179&lt;&gt;"Sim",H179&lt;&gt;"N/A"),Config!$B$13&amp;"; ","")&amp;IF(AND(Config!$B$14&lt;&gt;"",I179&lt;&gt;"Sim",I179&lt;&gt;"N/A"),Config!$B$14&amp;"; ","")&amp;IF(AND(Config!$B$15&lt;&gt;"",J179&lt;&gt;"Sim",J179&lt;&gt;"N/A"),Config!$B$15&amp;"; ","")&amp;IF(AND(Config!$B$16&lt;&gt;"",K179&lt;&gt;"Sim",K179&lt;&gt;"N/A"),Config!$B$16&amp;"; ","")&amp;IF(AND(Config!$B$17&lt;&gt;"",L179&lt;&gt;"Sim",L179&lt;&gt;"N/A"),Config!$B$17&amp;"; ","")&amp;IF(AND(Config!$B$18&lt;&gt;"",M179&lt;&gt;"Sim",M179&lt;&gt;"N/A"),Config!$B$18&amp;"; ","")&amp;IF(AND(Config!$B$19&lt;&gt;"",N179&lt;&gt;"Sim",N179&lt;&gt;"N/A"),Config!$B$19&amp;"; ","")&amp;IF(AND($D179="Encerrado",Config!$D$10&lt;&gt;"",O179&lt;&gt;"Sim",O179&lt;&gt;"N/A"),Config!$D$10&amp;"; ","")&amp;IF(AND($D179="Encerrado",Config!$D$11&lt;&gt;"",P179&lt;&gt;"Sim",P179&lt;&gt;"N/A"),Config!$D$11&amp;"; ","")&amp;IF(AND($D179="Encerrado",Config!$D$12&lt;&gt;"",Q179&lt;&gt;"Sim",Q179&lt;&gt;"N/A"),Config!$D$12&amp;"; ","")&amp;IF(AND($D179="Encerrado",Config!$D$13&lt;&gt;"",R179&lt;&gt;"Sim",R179&lt;&gt;"N/A"),Config!$D$13&amp;"; ","")&amp;IF(AND($D179="Encerrado",Config!$D$14&lt;&gt;"",S179&lt;&gt;"Sim",S179&lt;&gt;"N/A"),Config!$D$14&amp;"; ","")&amp;IF(AND($D179="Encerrado",Config!$D$15&lt;&gt;"",T179&lt;&gt;"Sim",T179&lt;&gt;"N/A"),Config!$D$15&amp;"; ","")&amp;IF(AND($D179="Encerrado",Config!$D$16&lt;&gt;"",U179&lt;&gt;"Sim",U179&lt;&gt;"N/A"),Config!$D$16&amp;"; ","")&amp;IF(AND($D179="Encerrado",Config!$D$17&lt;&gt;"",V179&lt;&gt;"Sim",V179&lt;&gt;"N/A"),Config!$D$17&amp;"; ","")&amp;IF(AND($D179="Encerrado",Config!$D$18&lt;&gt;"",W179&lt;&gt;"Sim",W179&lt;&gt;"N/A"),Config!$D$18&amp;"; ","")&amp;IF(AND($D179="Encerrado",Config!$D$19&lt;&gt;"",X179&lt;&gt;"Sim",X179&lt;&gt;"N/A"),Config!$D$19&amp;"; ",""))</f>
        <v/>
      </c>
    </row>
    <row r="180">
      <c r="A180" s="29" t="n"/>
      <c r="B180" s="29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25">
        <f>IF(A180="","",IFERROR(COUNTIF(E180:N180,"Sim")/(Config!$B$21-COUNTIF(E180:N180,"N/A")),""))</f>
        <v/>
      </c>
      <c r="Z180" s="25">
        <f>IF(OR(A180="",D180&lt;&gt;"Encerrado"),"",IFERROR(COUNTIF(O180:X180,"Sim")/(Config!$D$21-COUNTIF(O180:X180,"N/A")),""))</f>
        <v/>
      </c>
      <c r="AA180" s="23">
        <f>IF(A180="","",MAX(0,Config!$B$21-COUNTIF(E180:N180,"Sim")-COUNTIF(E180:N180,"N/A")))</f>
        <v/>
      </c>
      <c r="AB180" s="23">
        <f>IF(OR(A180="",D180&lt;&gt;"Encerrado"),"",MAX(0,Config!$D$21-COUNTIF(O180:X180,"Sim")-COUNTIF(O180:X180,"N/A")))</f>
        <v/>
      </c>
      <c r="AC180" s="23">
        <f>IF(A180="","",AA180+IF(AB180="",0,AB180))</f>
        <v/>
      </c>
      <c r="AD180" s="24">
        <f>IF(OR(A180="",AF180=""),"",LEFT(AF180,LEN(AF180)-2))</f>
        <v/>
      </c>
      <c r="AE180" s="35">
        <f>IF(OR(A180="",AC180=0),0,AC180*100-ROW()/100000)</f>
        <v>0</v>
      </c>
      <c r="AF180" s="35">
        <f>IF(A180="","",IF(AND(Config!$B$10&lt;&gt;"",E180&lt;&gt;"Sim",E180&lt;&gt;"N/A"),Config!$B$10&amp;"; ","")&amp;IF(AND(Config!$B$11&lt;&gt;"",F180&lt;&gt;"Sim",F180&lt;&gt;"N/A"),Config!$B$11&amp;"; ","")&amp;IF(AND(Config!$B$12&lt;&gt;"",G180&lt;&gt;"Sim",G180&lt;&gt;"N/A"),Config!$B$12&amp;"; ","")&amp;IF(AND(Config!$B$13&lt;&gt;"",H180&lt;&gt;"Sim",H180&lt;&gt;"N/A"),Config!$B$13&amp;"; ","")&amp;IF(AND(Config!$B$14&lt;&gt;"",I180&lt;&gt;"Sim",I180&lt;&gt;"N/A"),Config!$B$14&amp;"; ","")&amp;IF(AND(Config!$B$15&lt;&gt;"",J180&lt;&gt;"Sim",J180&lt;&gt;"N/A"),Config!$B$15&amp;"; ","")&amp;IF(AND(Config!$B$16&lt;&gt;"",K180&lt;&gt;"Sim",K180&lt;&gt;"N/A"),Config!$B$16&amp;"; ","")&amp;IF(AND(Config!$B$17&lt;&gt;"",L180&lt;&gt;"Sim",L180&lt;&gt;"N/A"),Config!$B$17&amp;"; ","")&amp;IF(AND(Config!$B$18&lt;&gt;"",M180&lt;&gt;"Sim",M180&lt;&gt;"N/A"),Config!$B$18&amp;"; ","")&amp;IF(AND(Config!$B$19&lt;&gt;"",N180&lt;&gt;"Sim",N180&lt;&gt;"N/A"),Config!$B$19&amp;"; ","")&amp;IF(AND($D180="Encerrado",Config!$D$10&lt;&gt;"",O180&lt;&gt;"Sim",O180&lt;&gt;"N/A"),Config!$D$10&amp;"; ","")&amp;IF(AND($D180="Encerrado",Config!$D$11&lt;&gt;"",P180&lt;&gt;"Sim",P180&lt;&gt;"N/A"),Config!$D$11&amp;"; ","")&amp;IF(AND($D180="Encerrado",Config!$D$12&lt;&gt;"",Q180&lt;&gt;"Sim",Q180&lt;&gt;"N/A"),Config!$D$12&amp;"; ","")&amp;IF(AND($D180="Encerrado",Config!$D$13&lt;&gt;"",R180&lt;&gt;"Sim",R180&lt;&gt;"N/A"),Config!$D$13&amp;"; ","")&amp;IF(AND($D180="Encerrado",Config!$D$14&lt;&gt;"",S180&lt;&gt;"Sim",S180&lt;&gt;"N/A"),Config!$D$14&amp;"; ","")&amp;IF(AND($D180="Encerrado",Config!$D$15&lt;&gt;"",T180&lt;&gt;"Sim",T180&lt;&gt;"N/A"),Config!$D$15&amp;"; ","")&amp;IF(AND($D180="Encerrado",Config!$D$16&lt;&gt;"",U180&lt;&gt;"Sim",U180&lt;&gt;"N/A"),Config!$D$16&amp;"; ","")&amp;IF(AND($D180="Encerrado",Config!$D$17&lt;&gt;"",V180&lt;&gt;"Sim",V180&lt;&gt;"N/A"),Config!$D$17&amp;"; ","")&amp;IF(AND($D180="Encerrado",Config!$D$18&lt;&gt;"",W180&lt;&gt;"Sim",W180&lt;&gt;"N/A"),Config!$D$18&amp;"; ","")&amp;IF(AND($D180="Encerrado",Config!$D$19&lt;&gt;"",X180&lt;&gt;"Sim",X180&lt;&gt;"N/A"),Config!$D$19&amp;"; ",""))</f>
        <v/>
      </c>
    </row>
    <row r="181">
      <c r="A181" s="29" t="n"/>
      <c r="B181" s="29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25">
        <f>IF(A181="","",IFERROR(COUNTIF(E181:N181,"Sim")/(Config!$B$21-COUNTIF(E181:N181,"N/A")),""))</f>
        <v/>
      </c>
      <c r="Z181" s="25">
        <f>IF(OR(A181="",D181&lt;&gt;"Encerrado"),"",IFERROR(COUNTIF(O181:X181,"Sim")/(Config!$D$21-COUNTIF(O181:X181,"N/A")),""))</f>
        <v/>
      </c>
      <c r="AA181" s="23">
        <f>IF(A181="","",MAX(0,Config!$B$21-COUNTIF(E181:N181,"Sim")-COUNTIF(E181:N181,"N/A")))</f>
        <v/>
      </c>
      <c r="AB181" s="23">
        <f>IF(OR(A181="",D181&lt;&gt;"Encerrado"),"",MAX(0,Config!$D$21-COUNTIF(O181:X181,"Sim")-COUNTIF(O181:X181,"N/A")))</f>
        <v/>
      </c>
      <c r="AC181" s="23">
        <f>IF(A181="","",AA181+IF(AB181="",0,AB181))</f>
        <v/>
      </c>
      <c r="AD181" s="24">
        <f>IF(OR(A181="",AF181=""),"",LEFT(AF181,LEN(AF181)-2))</f>
        <v/>
      </c>
      <c r="AE181" s="35">
        <f>IF(OR(A181="",AC181=0),0,AC181*100-ROW()/100000)</f>
        <v>0</v>
      </c>
      <c r="AF181" s="35">
        <f>IF(A181="","",IF(AND(Config!$B$10&lt;&gt;"",E181&lt;&gt;"Sim",E181&lt;&gt;"N/A"),Config!$B$10&amp;"; ","")&amp;IF(AND(Config!$B$11&lt;&gt;"",F181&lt;&gt;"Sim",F181&lt;&gt;"N/A"),Config!$B$11&amp;"; ","")&amp;IF(AND(Config!$B$12&lt;&gt;"",G181&lt;&gt;"Sim",G181&lt;&gt;"N/A"),Config!$B$12&amp;"; ","")&amp;IF(AND(Config!$B$13&lt;&gt;"",H181&lt;&gt;"Sim",H181&lt;&gt;"N/A"),Config!$B$13&amp;"; ","")&amp;IF(AND(Config!$B$14&lt;&gt;"",I181&lt;&gt;"Sim",I181&lt;&gt;"N/A"),Config!$B$14&amp;"; ","")&amp;IF(AND(Config!$B$15&lt;&gt;"",J181&lt;&gt;"Sim",J181&lt;&gt;"N/A"),Config!$B$15&amp;"; ","")&amp;IF(AND(Config!$B$16&lt;&gt;"",K181&lt;&gt;"Sim",K181&lt;&gt;"N/A"),Config!$B$16&amp;"; ","")&amp;IF(AND(Config!$B$17&lt;&gt;"",L181&lt;&gt;"Sim",L181&lt;&gt;"N/A"),Config!$B$17&amp;"; ","")&amp;IF(AND(Config!$B$18&lt;&gt;"",M181&lt;&gt;"Sim",M181&lt;&gt;"N/A"),Config!$B$18&amp;"; ","")&amp;IF(AND(Config!$B$19&lt;&gt;"",N181&lt;&gt;"Sim",N181&lt;&gt;"N/A"),Config!$B$19&amp;"; ","")&amp;IF(AND($D181="Encerrado",Config!$D$10&lt;&gt;"",O181&lt;&gt;"Sim",O181&lt;&gt;"N/A"),Config!$D$10&amp;"; ","")&amp;IF(AND($D181="Encerrado",Config!$D$11&lt;&gt;"",P181&lt;&gt;"Sim",P181&lt;&gt;"N/A"),Config!$D$11&amp;"; ","")&amp;IF(AND($D181="Encerrado",Config!$D$12&lt;&gt;"",Q181&lt;&gt;"Sim",Q181&lt;&gt;"N/A"),Config!$D$12&amp;"; ","")&amp;IF(AND($D181="Encerrado",Config!$D$13&lt;&gt;"",R181&lt;&gt;"Sim",R181&lt;&gt;"N/A"),Config!$D$13&amp;"; ","")&amp;IF(AND($D181="Encerrado",Config!$D$14&lt;&gt;"",S181&lt;&gt;"Sim",S181&lt;&gt;"N/A"),Config!$D$14&amp;"; ","")&amp;IF(AND($D181="Encerrado",Config!$D$15&lt;&gt;"",T181&lt;&gt;"Sim",T181&lt;&gt;"N/A"),Config!$D$15&amp;"; ","")&amp;IF(AND($D181="Encerrado",Config!$D$16&lt;&gt;"",U181&lt;&gt;"Sim",U181&lt;&gt;"N/A"),Config!$D$16&amp;"; ","")&amp;IF(AND($D181="Encerrado",Config!$D$17&lt;&gt;"",V181&lt;&gt;"Sim",V181&lt;&gt;"N/A"),Config!$D$17&amp;"; ","")&amp;IF(AND($D181="Encerrado",Config!$D$18&lt;&gt;"",W181&lt;&gt;"Sim",W181&lt;&gt;"N/A"),Config!$D$18&amp;"; ","")&amp;IF(AND($D181="Encerrado",Config!$D$19&lt;&gt;"",X181&lt;&gt;"Sim",X181&lt;&gt;"N/A"),Config!$D$19&amp;"; ",""))</f>
        <v/>
      </c>
    </row>
    <row r="182">
      <c r="A182" s="29" t="n"/>
      <c r="B182" s="29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25">
        <f>IF(A182="","",IFERROR(COUNTIF(E182:N182,"Sim")/(Config!$B$21-COUNTIF(E182:N182,"N/A")),""))</f>
        <v/>
      </c>
      <c r="Z182" s="25">
        <f>IF(OR(A182="",D182&lt;&gt;"Encerrado"),"",IFERROR(COUNTIF(O182:X182,"Sim")/(Config!$D$21-COUNTIF(O182:X182,"N/A")),""))</f>
        <v/>
      </c>
      <c r="AA182" s="23">
        <f>IF(A182="","",MAX(0,Config!$B$21-COUNTIF(E182:N182,"Sim")-COUNTIF(E182:N182,"N/A")))</f>
        <v/>
      </c>
      <c r="AB182" s="23">
        <f>IF(OR(A182="",D182&lt;&gt;"Encerrado"),"",MAX(0,Config!$D$21-COUNTIF(O182:X182,"Sim")-COUNTIF(O182:X182,"N/A")))</f>
        <v/>
      </c>
      <c r="AC182" s="23">
        <f>IF(A182="","",AA182+IF(AB182="",0,AB182))</f>
        <v/>
      </c>
      <c r="AD182" s="24">
        <f>IF(OR(A182="",AF182=""),"",LEFT(AF182,LEN(AF182)-2))</f>
        <v/>
      </c>
      <c r="AE182" s="35">
        <f>IF(OR(A182="",AC182=0),0,AC182*100-ROW()/100000)</f>
        <v>0</v>
      </c>
      <c r="AF182" s="35">
        <f>IF(A182="","",IF(AND(Config!$B$10&lt;&gt;"",E182&lt;&gt;"Sim",E182&lt;&gt;"N/A"),Config!$B$10&amp;"; ","")&amp;IF(AND(Config!$B$11&lt;&gt;"",F182&lt;&gt;"Sim",F182&lt;&gt;"N/A"),Config!$B$11&amp;"; ","")&amp;IF(AND(Config!$B$12&lt;&gt;"",G182&lt;&gt;"Sim",G182&lt;&gt;"N/A"),Config!$B$12&amp;"; ","")&amp;IF(AND(Config!$B$13&lt;&gt;"",H182&lt;&gt;"Sim",H182&lt;&gt;"N/A"),Config!$B$13&amp;"; ","")&amp;IF(AND(Config!$B$14&lt;&gt;"",I182&lt;&gt;"Sim",I182&lt;&gt;"N/A"),Config!$B$14&amp;"; ","")&amp;IF(AND(Config!$B$15&lt;&gt;"",J182&lt;&gt;"Sim",J182&lt;&gt;"N/A"),Config!$B$15&amp;"; ","")&amp;IF(AND(Config!$B$16&lt;&gt;"",K182&lt;&gt;"Sim",K182&lt;&gt;"N/A"),Config!$B$16&amp;"; ","")&amp;IF(AND(Config!$B$17&lt;&gt;"",L182&lt;&gt;"Sim",L182&lt;&gt;"N/A"),Config!$B$17&amp;"; ","")&amp;IF(AND(Config!$B$18&lt;&gt;"",M182&lt;&gt;"Sim",M182&lt;&gt;"N/A"),Config!$B$18&amp;"; ","")&amp;IF(AND(Config!$B$19&lt;&gt;"",N182&lt;&gt;"Sim",N182&lt;&gt;"N/A"),Config!$B$19&amp;"; ","")&amp;IF(AND($D182="Encerrado",Config!$D$10&lt;&gt;"",O182&lt;&gt;"Sim",O182&lt;&gt;"N/A"),Config!$D$10&amp;"; ","")&amp;IF(AND($D182="Encerrado",Config!$D$11&lt;&gt;"",P182&lt;&gt;"Sim",P182&lt;&gt;"N/A"),Config!$D$11&amp;"; ","")&amp;IF(AND($D182="Encerrado",Config!$D$12&lt;&gt;"",Q182&lt;&gt;"Sim",Q182&lt;&gt;"N/A"),Config!$D$12&amp;"; ","")&amp;IF(AND($D182="Encerrado",Config!$D$13&lt;&gt;"",R182&lt;&gt;"Sim",R182&lt;&gt;"N/A"),Config!$D$13&amp;"; ","")&amp;IF(AND($D182="Encerrado",Config!$D$14&lt;&gt;"",S182&lt;&gt;"Sim",S182&lt;&gt;"N/A"),Config!$D$14&amp;"; ","")&amp;IF(AND($D182="Encerrado",Config!$D$15&lt;&gt;"",T182&lt;&gt;"Sim",T182&lt;&gt;"N/A"),Config!$D$15&amp;"; ","")&amp;IF(AND($D182="Encerrado",Config!$D$16&lt;&gt;"",U182&lt;&gt;"Sim",U182&lt;&gt;"N/A"),Config!$D$16&amp;"; ","")&amp;IF(AND($D182="Encerrado",Config!$D$17&lt;&gt;"",V182&lt;&gt;"Sim",V182&lt;&gt;"N/A"),Config!$D$17&amp;"; ","")&amp;IF(AND($D182="Encerrado",Config!$D$18&lt;&gt;"",W182&lt;&gt;"Sim",W182&lt;&gt;"N/A"),Config!$D$18&amp;"; ","")&amp;IF(AND($D182="Encerrado",Config!$D$19&lt;&gt;"",X182&lt;&gt;"Sim",X182&lt;&gt;"N/A"),Config!$D$19&amp;"; ",""))</f>
        <v/>
      </c>
    </row>
    <row r="183">
      <c r="A183" s="29" t="n"/>
      <c r="B183" s="29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25">
        <f>IF(A183="","",IFERROR(COUNTIF(E183:N183,"Sim")/(Config!$B$21-COUNTIF(E183:N183,"N/A")),""))</f>
        <v/>
      </c>
      <c r="Z183" s="25">
        <f>IF(OR(A183="",D183&lt;&gt;"Encerrado"),"",IFERROR(COUNTIF(O183:X183,"Sim")/(Config!$D$21-COUNTIF(O183:X183,"N/A")),""))</f>
        <v/>
      </c>
      <c r="AA183" s="23">
        <f>IF(A183="","",MAX(0,Config!$B$21-COUNTIF(E183:N183,"Sim")-COUNTIF(E183:N183,"N/A")))</f>
        <v/>
      </c>
      <c r="AB183" s="23">
        <f>IF(OR(A183="",D183&lt;&gt;"Encerrado"),"",MAX(0,Config!$D$21-COUNTIF(O183:X183,"Sim")-COUNTIF(O183:X183,"N/A")))</f>
        <v/>
      </c>
      <c r="AC183" s="23">
        <f>IF(A183="","",AA183+IF(AB183="",0,AB183))</f>
        <v/>
      </c>
      <c r="AD183" s="24">
        <f>IF(OR(A183="",AF183=""),"",LEFT(AF183,LEN(AF183)-2))</f>
        <v/>
      </c>
      <c r="AE183" s="35">
        <f>IF(OR(A183="",AC183=0),0,AC183*100-ROW()/100000)</f>
        <v>0</v>
      </c>
      <c r="AF183" s="35">
        <f>IF(A183="","",IF(AND(Config!$B$10&lt;&gt;"",E183&lt;&gt;"Sim",E183&lt;&gt;"N/A"),Config!$B$10&amp;"; ","")&amp;IF(AND(Config!$B$11&lt;&gt;"",F183&lt;&gt;"Sim",F183&lt;&gt;"N/A"),Config!$B$11&amp;"; ","")&amp;IF(AND(Config!$B$12&lt;&gt;"",G183&lt;&gt;"Sim",G183&lt;&gt;"N/A"),Config!$B$12&amp;"; ","")&amp;IF(AND(Config!$B$13&lt;&gt;"",H183&lt;&gt;"Sim",H183&lt;&gt;"N/A"),Config!$B$13&amp;"; ","")&amp;IF(AND(Config!$B$14&lt;&gt;"",I183&lt;&gt;"Sim",I183&lt;&gt;"N/A"),Config!$B$14&amp;"; ","")&amp;IF(AND(Config!$B$15&lt;&gt;"",J183&lt;&gt;"Sim",J183&lt;&gt;"N/A"),Config!$B$15&amp;"; ","")&amp;IF(AND(Config!$B$16&lt;&gt;"",K183&lt;&gt;"Sim",K183&lt;&gt;"N/A"),Config!$B$16&amp;"; ","")&amp;IF(AND(Config!$B$17&lt;&gt;"",L183&lt;&gt;"Sim",L183&lt;&gt;"N/A"),Config!$B$17&amp;"; ","")&amp;IF(AND(Config!$B$18&lt;&gt;"",M183&lt;&gt;"Sim",M183&lt;&gt;"N/A"),Config!$B$18&amp;"; ","")&amp;IF(AND(Config!$B$19&lt;&gt;"",N183&lt;&gt;"Sim",N183&lt;&gt;"N/A"),Config!$B$19&amp;"; ","")&amp;IF(AND($D183="Encerrado",Config!$D$10&lt;&gt;"",O183&lt;&gt;"Sim",O183&lt;&gt;"N/A"),Config!$D$10&amp;"; ","")&amp;IF(AND($D183="Encerrado",Config!$D$11&lt;&gt;"",P183&lt;&gt;"Sim",P183&lt;&gt;"N/A"),Config!$D$11&amp;"; ","")&amp;IF(AND($D183="Encerrado",Config!$D$12&lt;&gt;"",Q183&lt;&gt;"Sim",Q183&lt;&gt;"N/A"),Config!$D$12&amp;"; ","")&amp;IF(AND($D183="Encerrado",Config!$D$13&lt;&gt;"",R183&lt;&gt;"Sim",R183&lt;&gt;"N/A"),Config!$D$13&amp;"; ","")&amp;IF(AND($D183="Encerrado",Config!$D$14&lt;&gt;"",S183&lt;&gt;"Sim",S183&lt;&gt;"N/A"),Config!$D$14&amp;"; ","")&amp;IF(AND($D183="Encerrado",Config!$D$15&lt;&gt;"",T183&lt;&gt;"Sim",T183&lt;&gt;"N/A"),Config!$D$15&amp;"; ","")&amp;IF(AND($D183="Encerrado",Config!$D$16&lt;&gt;"",U183&lt;&gt;"Sim",U183&lt;&gt;"N/A"),Config!$D$16&amp;"; ","")&amp;IF(AND($D183="Encerrado",Config!$D$17&lt;&gt;"",V183&lt;&gt;"Sim",V183&lt;&gt;"N/A"),Config!$D$17&amp;"; ","")&amp;IF(AND($D183="Encerrado",Config!$D$18&lt;&gt;"",W183&lt;&gt;"Sim",W183&lt;&gt;"N/A"),Config!$D$18&amp;"; ","")&amp;IF(AND($D183="Encerrado",Config!$D$19&lt;&gt;"",X183&lt;&gt;"Sim",X183&lt;&gt;"N/A"),Config!$D$19&amp;"; ",""))</f>
        <v/>
      </c>
    </row>
    <row r="184">
      <c r="A184" s="29" t="n"/>
      <c r="B184" s="29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25">
        <f>IF(A184="","",IFERROR(COUNTIF(E184:N184,"Sim")/(Config!$B$21-COUNTIF(E184:N184,"N/A")),""))</f>
        <v/>
      </c>
      <c r="Z184" s="25">
        <f>IF(OR(A184="",D184&lt;&gt;"Encerrado"),"",IFERROR(COUNTIF(O184:X184,"Sim")/(Config!$D$21-COUNTIF(O184:X184,"N/A")),""))</f>
        <v/>
      </c>
      <c r="AA184" s="23">
        <f>IF(A184="","",MAX(0,Config!$B$21-COUNTIF(E184:N184,"Sim")-COUNTIF(E184:N184,"N/A")))</f>
        <v/>
      </c>
      <c r="AB184" s="23">
        <f>IF(OR(A184="",D184&lt;&gt;"Encerrado"),"",MAX(0,Config!$D$21-COUNTIF(O184:X184,"Sim")-COUNTIF(O184:X184,"N/A")))</f>
        <v/>
      </c>
      <c r="AC184" s="23">
        <f>IF(A184="","",AA184+IF(AB184="",0,AB184))</f>
        <v/>
      </c>
      <c r="AD184" s="24">
        <f>IF(OR(A184="",AF184=""),"",LEFT(AF184,LEN(AF184)-2))</f>
        <v/>
      </c>
      <c r="AE184" s="35">
        <f>IF(OR(A184="",AC184=0),0,AC184*100-ROW()/100000)</f>
        <v>0</v>
      </c>
      <c r="AF184" s="35">
        <f>IF(A184="","",IF(AND(Config!$B$10&lt;&gt;"",E184&lt;&gt;"Sim",E184&lt;&gt;"N/A"),Config!$B$10&amp;"; ","")&amp;IF(AND(Config!$B$11&lt;&gt;"",F184&lt;&gt;"Sim",F184&lt;&gt;"N/A"),Config!$B$11&amp;"; ","")&amp;IF(AND(Config!$B$12&lt;&gt;"",G184&lt;&gt;"Sim",G184&lt;&gt;"N/A"),Config!$B$12&amp;"; ","")&amp;IF(AND(Config!$B$13&lt;&gt;"",H184&lt;&gt;"Sim",H184&lt;&gt;"N/A"),Config!$B$13&amp;"; ","")&amp;IF(AND(Config!$B$14&lt;&gt;"",I184&lt;&gt;"Sim",I184&lt;&gt;"N/A"),Config!$B$14&amp;"; ","")&amp;IF(AND(Config!$B$15&lt;&gt;"",J184&lt;&gt;"Sim",J184&lt;&gt;"N/A"),Config!$B$15&amp;"; ","")&amp;IF(AND(Config!$B$16&lt;&gt;"",K184&lt;&gt;"Sim",K184&lt;&gt;"N/A"),Config!$B$16&amp;"; ","")&amp;IF(AND(Config!$B$17&lt;&gt;"",L184&lt;&gt;"Sim",L184&lt;&gt;"N/A"),Config!$B$17&amp;"; ","")&amp;IF(AND(Config!$B$18&lt;&gt;"",M184&lt;&gt;"Sim",M184&lt;&gt;"N/A"),Config!$B$18&amp;"; ","")&amp;IF(AND(Config!$B$19&lt;&gt;"",N184&lt;&gt;"Sim",N184&lt;&gt;"N/A"),Config!$B$19&amp;"; ","")&amp;IF(AND($D184="Encerrado",Config!$D$10&lt;&gt;"",O184&lt;&gt;"Sim",O184&lt;&gt;"N/A"),Config!$D$10&amp;"; ","")&amp;IF(AND($D184="Encerrado",Config!$D$11&lt;&gt;"",P184&lt;&gt;"Sim",P184&lt;&gt;"N/A"),Config!$D$11&amp;"; ","")&amp;IF(AND($D184="Encerrado",Config!$D$12&lt;&gt;"",Q184&lt;&gt;"Sim",Q184&lt;&gt;"N/A"),Config!$D$12&amp;"; ","")&amp;IF(AND($D184="Encerrado",Config!$D$13&lt;&gt;"",R184&lt;&gt;"Sim",R184&lt;&gt;"N/A"),Config!$D$13&amp;"; ","")&amp;IF(AND($D184="Encerrado",Config!$D$14&lt;&gt;"",S184&lt;&gt;"Sim",S184&lt;&gt;"N/A"),Config!$D$14&amp;"; ","")&amp;IF(AND($D184="Encerrado",Config!$D$15&lt;&gt;"",T184&lt;&gt;"Sim",T184&lt;&gt;"N/A"),Config!$D$15&amp;"; ","")&amp;IF(AND($D184="Encerrado",Config!$D$16&lt;&gt;"",U184&lt;&gt;"Sim",U184&lt;&gt;"N/A"),Config!$D$16&amp;"; ","")&amp;IF(AND($D184="Encerrado",Config!$D$17&lt;&gt;"",V184&lt;&gt;"Sim",V184&lt;&gt;"N/A"),Config!$D$17&amp;"; ","")&amp;IF(AND($D184="Encerrado",Config!$D$18&lt;&gt;"",W184&lt;&gt;"Sim",W184&lt;&gt;"N/A"),Config!$D$18&amp;"; ","")&amp;IF(AND($D184="Encerrado",Config!$D$19&lt;&gt;"",X184&lt;&gt;"Sim",X184&lt;&gt;"N/A"),Config!$D$19&amp;"; ",""))</f>
        <v/>
      </c>
    </row>
    <row r="185">
      <c r="A185" s="29" t="n"/>
      <c r="B185" s="29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25">
        <f>IF(A185="","",IFERROR(COUNTIF(E185:N185,"Sim")/(Config!$B$21-COUNTIF(E185:N185,"N/A")),""))</f>
        <v/>
      </c>
      <c r="Z185" s="25">
        <f>IF(OR(A185="",D185&lt;&gt;"Encerrado"),"",IFERROR(COUNTIF(O185:X185,"Sim")/(Config!$D$21-COUNTIF(O185:X185,"N/A")),""))</f>
        <v/>
      </c>
      <c r="AA185" s="23">
        <f>IF(A185="","",MAX(0,Config!$B$21-COUNTIF(E185:N185,"Sim")-COUNTIF(E185:N185,"N/A")))</f>
        <v/>
      </c>
      <c r="AB185" s="23">
        <f>IF(OR(A185="",D185&lt;&gt;"Encerrado"),"",MAX(0,Config!$D$21-COUNTIF(O185:X185,"Sim")-COUNTIF(O185:X185,"N/A")))</f>
        <v/>
      </c>
      <c r="AC185" s="23">
        <f>IF(A185="","",AA185+IF(AB185="",0,AB185))</f>
        <v/>
      </c>
      <c r="AD185" s="24">
        <f>IF(OR(A185="",AF185=""),"",LEFT(AF185,LEN(AF185)-2))</f>
        <v/>
      </c>
      <c r="AE185" s="35">
        <f>IF(OR(A185="",AC185=0),0,AC185*100-ROW()/100000)</f>
        <v>0</v>
      </c>
      <c r="AF185" s="35">
        <f>IF(A185="","",IF(AND(Config!$B$10&lt;&gt;"",E185&lt;&gt;"Sim",E185&lt;&gt;"N/A"),Config!$B$10&amp;"; ","")&amp;IF(AND(Config!$B$11&lt;&gt;"",F185&lt;&gt;"Sim",F185&lt;&gt;"N/A"),Config!$B$11&amp;"; ","")&amp;IF(AND(Config!$B$12&lt;&gt;"",G185&lt;&gt;"Sim",G185&lt;&gt;"N/A"),Config!$B$12&amp;"; ","")&amp;IF(AND(Config!$B$13&lt;&gt;"",H185&lt;&gt;"Sim",H185&lt;&gt;"N/A"),Config!$B$13&amp;"; ","")&amp;IF(AND(Config!$B$14&lt;&gt;"",I185&lt;&gt;"Sim",I185&lt;&gt;"N/A"),Config!$B$14&amp;"; ","")&amp;IF(AND(Config!$B$15&lt;&gt;"",J185&lt;&gt;"Sim",J185&lt;&gt;"N/A"),Config!$B$15&amp;"; ","")&amp;IF(AND(Config!$B$16&lt;&gt;"",K185&lt;&gt;"Sim",K185&lt;&gt;"N/A"),Config!$B$16&amp;"; ","")&amp;IF(AND(Config!$B$17&lt;&gt;"",L185&lt;&gt;"Sim",L185&lt;&gt;"N/A"),Config!$B$17&amp;"; ","")&amp;IF(AND(Config!$B$18&lt;&gt;"",M185&lt;&gt;"Sim",M185&lt;&gt;"N/A"),Config!$B$18&amp;"; ","")&amp;IF(AND(Config!$B$19&lt;&gt;"",N185&lt;&gt;"Sim",N185&lt;&gt;"N/A"),Config!$B$19&amp;"; ","")&amp;IF(AND($D185="Encerrado",Config!$D$10&lt;&gt;"",O185&lt;&gt;"Sim",O185&lt;&gt;"N/A"),Config!$D$10&amp;"; ","")&amp;IF(AND($D185="Encerrado",Config!$D$11&lt;&gt;"",P185&lt;&gt;"Sim",P185&lt;&gt;"N/A"),Config!$D$11&amp;"; ","")&amp;IF(AND($D185="Encerrado",Config!$D$12&lt;&gt;"",Q185&lt;&gt;"Sim",Q185&lt;&gt;"N/A"),Config!$D$12&amp;"; ","")&amp;IF(AND($D185="Encerrado",Config!$D$13&lt;&gt;"",R185&lt;&gt;"Sim",R185&lt;&gt;"N/A"),Config!$D$13&amp;"; ","")&amp;IF(AND($D185="Encerrado",Config!$D$14&lt;&gt;"",S185&lt;&gt;"Sim",S185&lt;&gt;"N/A"),Config!$D$14&amp;"; ","")&amp;IF(AND($D185="Encerrado",Config!$D$15&lt;&gt;"",T185&lt;&gt;"Sim",T185&lt;&gt;"N/A"),Config!$D$15&amp;"; ","")&amp;IF(AND($D185="Encerrado",Config!$D$16&lt;&gt;"",U185&lt;&gt;"Sim",U185&lt;&gt;"N/A"),Config!$D$16&amp;"; ","")&amp;IF(AND($D185="Encerrado",Config!$D$17&lt;&gt;"",V185&lt;&gt;"Sim",V185&lt;&gt;"N/A"),Config!$D$17&amp;"; ","")&amp;IF(AND($D185="Encerrado",Config!$D$18&lt;&gt;"",W185&lt;&gt;"Sim",W185&lt;&gt;"N/A"),Config!$D$18&amp;"; ","")&amp;IF(AND($D185="Encerrado",Config!$D$19&lt;&gt;"",X185&lt;&gt;"Sim",X185&lt;&gt;"N/A"),Config!$D$19&amp;"; ",""))</f>
        <v/>
      </c>
    </row>
    <row r="186">
      <c r="A186" s="29" t="n"/>
      <c r="B186" s="29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25">
        <f>IF(A186="","",IFERROR(COUNTIF(E186:N186,"Sim")/(Config!$B$21-COUNTIF(E186:N186,"N/A")),""))</f>
        <v/>
      </c>
      <c r="Z186" s="25">
        <f>IF(OR(A186="",D186&lt;&gt;"Encerrado"),"",IFERROR(COUNTIF(O186:X186,"Sim")/(Config!$D$21-COUNTIF(O186:X186,"N/A")),""))</f>
        <v/>
      </c>
      <c r="AA186" s="23">
        <f>IF(A186="","",MAX(0,Config!$B$21-COUNTIF(E186:N186,"Sim")-COUNTIF(E186:N186,"N/A")))</f>
        <v/>
      </c>
      <c r="AB186" s="23">
        <f>IF(OR(A186="",D186&lt;&gt;"Encerrado"),"",MAX(0,Config!$D$21-COUNTIF(O186:X186,"Sim")-COUNTIF(O186:X186,"N/A")))</f>
        <v/>
      </c>
      <c r="AC186" s="23">
        <f>IF(A186="","",AA186+IF(AB186="",0,AB186))</f>
        <v/>
      </c>
      <c r="AD186" s="24">
        <f>IF(OR(A186="",AF186=""),"",LEFT(AF186,LEN(AF186)-2))</f>
        <v/>
      </c>
      <c r="AE186" s="35">
        <f>IF(OR(A186="",AC186=0),0,AC186*100-ROW()/100000)</f>
        <v>0</v>
      </c>
      <c r="AF186" s="35">
        <f>IF(A186="","",IF(AND(Config!$B$10&lt;&gt;"",E186&lt;&gt;"Sim",E186&lt;&gt;"N/A"),Config!$B$10&amp;"; ","")&amp;IF(AND(Config!$B$11&lt;&gt;"",F186&lt;&gt;"Sim",F186&lt;&gt;"N/A"),Config!$B$11&amp;"; ","")&amp;IF(AND(Config!$B$12&lt;&gt;"",G186&lt;&gt;"Sim",G186&lt;&gt;"N/A"),Config!$B$12&amp;"; ","")&amp;IF(AND(Config!$B$13&lt;&gt;"",H186&lt;&gt;"Sim",H186&lt;&gt;"N/A"),Config!$B$13&amp;"; ","")&amp;IF(AND(Config!$B$14&lt;&gt;"",I186&lt;&gt;"Sim",I186&lt;&gt;"N/A"),Config!$B$14&amp;"; ","")&amp;IF(AND(Config!$B$15&lt;&gt;"",J186&lt;&gt;"Sim",J186&lt;&gt;"N/A"),Config!$B$15&amp;"; ","")&amp;IF(AND(Config!$B$16&lt;&gt;"",K186&lt;&gt;"Sim",K186&lt;&gt;"N/A"),Config!$B$16&amp;"; ","")&amp;IF(AND(Config!$B$17&lt;&gt;"",L186&lt;&gt;"Sim",L186&lt;&gt;"N/A"),Config!$B$17&amp;"; ","")&amp;IF(AND(Config!$B$18&lt;&gt;"",M186&lt;&gt;"Sim",M186&lt;&gt;"N/A"),Config!$B$18&amp;"; ","")&amp;IF(AND(Config!$B$19&lt;&gt;"",N186&lt;&gt;"Sim",N186&lt;&gt;"N/A"),Config!$B$19&amp;"; ","")&amp;IF(AND($D186="Encerrado",Config!$D$10&lt;&gt;"",O186&lt;&gt;"Sim",O186&lt;&gt;"N/A"),Config!$D$10&amp;"; ","")&amp;IF(AND($D186="Encerrado",Config!$D$11&lt;&gt;"",P186&lt;&gt;"Sim",P186&lt;&gt;"N/A"),Config!$D$11&amp;"; ","")&amp;IF(AND($D186="Encerrado",Config!$D$12&lt;&gt;"",Q186&lt;&gt;"Sim",Q186&lt;&gt;"N/A"),Config!$D$12&amp;"; ","")&amp;IF(AND($D186="Encerrado",Config!$D$13&lt;&gt;"",R186&lt;&gt;"Sim",R186&lt;&gt;"N/A"),Config!$D$13&amp;"; ","")&amp;IF(AND($D186="Encerrado",Config!$D$14&lt;&gt;"",S186&lt;&gt;"Sim",S186&lt;&gt;"N/A"),Config!$D$14&amp;"; ","")&amp;IF(AND($D186="Encerrado",Config!$D$15&lt;&gt;"",T186&lt;&gt;"Sim",T186&lt;&gt;"N/A"),Config!$D$15&amp;"; ","")&amp;IF(AND($D186="Encerrado",Config!$D$16&lt;&gt;"",U186&lt;&gt;"Sim",U186&lt;&gt;"N/A"),Config!$D$16&amp;"; ","")&amp;IF(AND($D186="Encerrado",Config!$D$17&lt;&gt;"",V186&lt;&gt;"Sim",V186&lt;&gt;"N/A"),Config!$D$17&amp;"; ","")&amp;IF(AND($D186="Encerrado",Config!$D$18&lt;&gt;"",W186&lt;&gt;"Sim",W186&lt;&gt;"N/A"),Config!$D$18&amp;"; ","")&amp;IF(AND($D186="Encerrado",Config!$D$19&lt;&gt;"",X186&lt;&gt;"Sim",X186&lt;&gt;"N/A"),Config!$D$19&amp;"; ",""))</f>
        <v/>
      </c>
    </row>
    <row r="187">
      <c r="A187" s="29" t="n"/>
      <c r="B187" s="29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25">
        <f>IF(A187="","",IFERROR(COUNTIF(E187:N187,"Sim")/(Config!$B$21-COUNTIF(E187:N187,"N/A")),""))</f>
        <v/>
      </c>
      <c r="Z187" s="25">
        <f>IF(OR(A187="",D187&lt;&gt;"Encerrado"),"",IFERROR(COUNTIF(O187:X187,"Sim")/(Config!$D$21-COUNTIF(O187:X187,"N/A")),""))</f>
        <v/>
      </c>
      <c r="AA187" s="23">
        <f>IF(A187="","",MAX(0,Config!$B$21-COUNTIF(E187:N187,"Sim")-COUNTIF(E187:N187,"N/A")))</f>
        <v/>
      </c>
      <c r="AB187" s="23">
        <f>IF(OR(A187="",D187&lt;&gt;"Encerrado"),"",MAX(0,Config!$D$21-COUNTIF(O187:X187,"Sim")-COUNTIF(O187:X187,"N/A")))</f>
        <v/>
      </c>
      <c r="AC187" s="23">
        <f>IF(A187="","",AA187+IF(AB187="",0,AB187))</f>
        <v/>
      </c>
      <c r="AD187" s="24">
        <f>IF(OR(A187="",AF187=""),"",LEFT(AF187,LEN(AF187)-2))</f>
        <v/>
      </c>
      <c r="AE187" s="35">
        <f>IF(OR(A187="",AC187=0),0,AC187*100-ROW()/100000)</f>
        <v>0</v>
      </c>
      <c r="AF187" s="35">
        <f>IF(A187="","",IF(AND(Config!$B$10&lt;&gt;"",E187&lt;&gt;"Sim",E187&lt;&gt;"N/A"),Config!$B$10&amp;"; ","")&amp;IF(AND(Config!$B$11&lt;&gt;"",F187&lt;&gt;"Sim",F187&lt;&gt;"N/A"),Config!$B$11&amp;"; ","")&amp;IF(AND(Config!$B$12&lt;&gt;"",G187&lt;&gt;"Sim",G187&lt;&gt;"N/A"),Config!$B$12&amp;"; ","")&amp;IF(AND(Config!$B$13&lt;&gt;"",H187&lt;&gt;"Sim",H187&lt;&gt;"N/A"),Config!$B$13&amp;"; ","")&amp;IF(AND(Config!$B$14&lt;&gt;"",I187&lt;&gt;"Sim",I187&lt;&gt;"N/A"),Config!$B$14&amp;"; ","")&amp;IF(AND(Config!$B$15&lt;&gt;"",J187&lt;&gt;"Sim",J187&lt;&gt;"N/A"),Config!$B$15&amp;"; ","")&amp;IF(AND(Config!$B$16&lt;&gt;"",K187&lt;&gt;"Sim",K187&lt;&gt;"N/A"),Config!$B$16&amp;"; ","")&amp;IF(AND(Config!$B$17&lt;&gt;"",L187&lt;&gt;"Sim",L187&lt;&gt;"N/A"),Config!$B$17&amp;"; ","")&amp;IF(AND(Config!$B$18&lt;&gt;"",M187&lt;&gt;"Sim",M187&lt;&gt;"N/A"),Config!$B$18&amp;"; ","")&amp;IF(AND(Config!$B$19&lt;&gt;"",N187&lt;&gt;"Sim",N187&lt;&gt;"N/A"),Config!$B$19&amp;"; ","")&amp;IF(AND($D187="Encerrado",Config!$D$10&lt;&gt;"",O187&lt;&gt;"Sim",O187&lt;&gt;"N/A"),Config!$D$10&amp;"; ","")&amp;IF(AND($D187="Encerrado",Config!$D$11&lt;&gt;"",P187&lt;&gt;"Sim",P187&lt;&gt;"N/A"),Config!$D$11&amp;"; ","")&amp;IF(AND($D187="Encerrado",Config!$D$12&lt;&gt;"",Q187&lt;&gt;"Sim",Q187&lt;&gt;"N/A"),Config!$D$12&amp;"; ","")&amp;IF(AND($D187="Encerrado",Config!$D$13&lt;&gt;"",R187&lt;&gt;"Sim",R187&lt;&gt;"N/A"),Config!$D$13&amp;"; ","")&amp;IF(AND($D187="Encerrado",Config!$D$14&lt;&gt;"",S187&lt;&gt;"Sim",S187&lt;&gt;"N/A"),Config!$D$14&amp;"; ","")&amp;IF(AND($D187="Encerrado",Config!$D$15&lt;&gt;"",T187&lt;&gt;"Sim",T187&lt;&gt;"N/A"),Config!$D$15&amp;"; ","")&amp;IF(AND($D187="Encerrado",Config!$D$16&lt;&gt;"",U187&lt;&gt;"Sim",U187&lt;&gt;"N/A"),Config!$D$16&amp;"; ","")&amp;IF(AND($D187="Encerrado",Config!$D$17&lt;&gt;"",V187&lt;&gt;"Sim",V187&lt;&gt;"N/A"),Config!$D$17&amp;"; ","")&amp;IF(AND($D187="Encerrado",Config!$D$18&lt;&gt;"",W187&lt;&gt;"Sim",W187&lt;&gt;"N/A"),Config!$D$18&amp;"; ","")&amp;IF(AND($D187="Encerrado",Config!$D$19&lt;&gt;"",X187&lt;&gt;"Sim",X187&lt;&gt;"N/A"),Config!$D$19&amp;"; ",""))</f>
        <v/>
      </c>
    </row>
    <row r="188">
      <c r="A188" s="29" t="n"/>
      <c r="B188" s="29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25">
        <f>IF(A188="","",IFERROR(COUNTIF(E188:N188,"Sim")/(Config!$B$21-COUNTIF(E188:N188,"N/A")),""))</f>
        <v/>
      </c>
      <c r="Z188" s="25">
        <f>IF(OR(A188="",D188&lt;&gt;"Encerrado"),"",IFERROR(COUNTIF(O188:X188,"Sim")/(Config!$D$21-COUNTIF(O188:X188,"N/A")),""))</f>
        <v/>
      </c>
      <c r="AA188" s="23">
        <f>IF(A188="","",MAX(0,Config!$B$21-COUNTIF(E188:N188,"Sim")-COUNTIF(E188:N188,"N/A")))</f>
        <v/>
      </c>
      <c r="AB188" s="23">
        <f>IF(OR(A188="",D188&lt;&gt;"Encerrado"),"",MAX(0,Config!$D$21-COUNTIF(O188:X188,"Sim")-COUNTIF(O188:X188,"N/A")))</f>
        <v/>
      </c>
      <c r="AC188" s="23">
        <f>IF(A188="","",AA188+IF(AB188="",0,AB188))</f>
        <v/>
      </c>
      <c r="AD188" s="24">
        <f>IF(OR(A188="",AF188=""),"",LEFT(AF188,LEN(AF188)-2))</f>
        <v/>
      </c>
      <c r="AE188" s="35">
        <f>IF(OR(A188="",AC188=0),0,AC188*100-ROW()/100000)</f>
        <v>0</v>
      </c>
      <c r="AF188" s="35">
        <f>IF(A188="","",IF(AND(Config!$B$10&lt;&gt;"",E188&lt;&gt;"Sim",E188&lt;&gt;"N/A"),Config!$B$10&amp;"; ","")&amp;IF(AND(Config!$B$11&lt;&gt;"",F188&lt;&gt;"Sim",F188&lt;&gt;"N/A"),Config!$B$11&amp;"; ","")&amp;IF(AND(Config!$B$12&lt;&gt;"",G188&lt;&gt;"Sim",G188&lt;&gt;"N/A"),Config!$B$12&amp;"; ","")&amp;IF(AND(Config!$B$13&lt;&gt;"",H188&lt;&gt;"Sim",H188&lt;&gt;"N/A"),Config!$B$13&amp;"; ","")&amp;IF(AND(Config!$B$14&lt;&gt;"",I188&lt;&gt;"Sim",I188&lt;&gt;"N/A"),Config!$B$14&amp;"; ","")&amp;IF(AND(Config!$B$15&lt;&gt;"",J188&lt;&gt;"Sim",J188&lt;&gt;"N/A"),Config!$B$15&amp;"; ","")&amp;IF(AND(Config!$B$16&lt;&gt;"",K188&lt;&gt;"Sim",K188&lt;&gt;"N/A"),Config!$B$16&amp;"; ","")&amp;IF(AND(Config!$B$17&lt;&gt;"",L188&lt;&gt;"Sim",L188&lt;&gt;"N/A"),Config!$B$17&amp;"; ","")&amp;IF(AND(Config!$B$18&lt;&gt;"",M188&lt;&gt;"Sim",M188&lt;&gt;"N/A"),Config!$B$18&amp;"; ","")&amp;IF(AND(Config!$B$19&lt;&gt;"",N188&lt;&gt;"Sim",N188&lt;&gt;"N/A"),Config!$B$19&amp;"; ","")&amp;IF(AND($D188="Encerrado",Config!$D$10&lt;&gt;"",O188&lt;&gt;"Sim",O188&lt;&gt;"N/A"),Config!$D$10&amp;"; ","")&amp;IF(AND($D188="Encerrado",Config!$D$11&lt;&gt;"",P188&lt;&gt;"Sim",P188&lt;&gt;"N/A"),Config!$D$11&amp;"; ","")&amp;IF(AND($D188="Encerrado",Config!$D$12&lt;&gt;"",Q188&lt;&gt;"Sim",Q188&lt;&gt;"N/A"),Config!$D$12&amp;"; ","")&amp;IF(AND($D188="Encerrado",Config!$D$13&lt;&gt;"",R188&lt;&gt;"Sim",R188&lt;&gt;"N/A"),Config!$D$13&amp;"; ","")&amp;IF(AND($D188="Encerrado",Config!$D$14&lt;&gt;"",S188&lt;&gt;"Sim",S188&lt;&gt;"N/A"),Config!$D$14&amp;"; ","")&amp;IF(AND($D188="Encerrado",Config!$D$15&lt;&gt;"",T188&lt;&gt;"Sim",T188&lt;&gt;"N/A"),Config!$D$15&amp;"; ","")&amp;IF(AND($D188="Encerrado",Config!$D$16&lt;&gt;"",U188&lt;&gt;"Sim",U188&lt;&gt;"N/A"),Config!$D$16&amp;"; ","")&amp;IF(AND($D188="Encerrado",Config!$D$17&lt;&gt;"",V188&lt;&gt;"Sim",V188&lt;&gt;"N/A"),Config!$D$17&amp;"; ","")&amp;IF(AND($D188="Encerrado",Config!$D$18&lt;&gt;"",W188&lt;&gt;"Sim",W188&lt;&gt;"N/A"),Config!$D$18&amp;"; ","")&amp;IF(AND($D188="Encerrado",Config!$D$19&lt;&gt;"",X188&lt;&gt;"Sim",X188&lt;&gt;"N/A"),Config!$D$19&amp;"; ",""))</f>
        <v/>
      </c>
    </row>
    <row r="189">
      <c r="A189" s="29" t="n"/>
      <c r="B189" s="29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25">
        <f>IF(A189="","",IFERROR(COUNTIF(E189:N189,"Sim")/(Config!$B$21-COUNTIF(E189:N189,"N/A")),""))</f>
        <v/>
      </c>
      <c r="Z189" s="25">
        <f>IF(OR(A189="",D189&lt;&gt;"Encerrado"),"",IFERROR(COUNTIF(O189:X189,"Sim")/(Config!$D$21-COUNTIF(O189:X189,"N/A")),""))</f>
        <v/>
      </c>
      <c r="AA189" s="23">
        <f>IF(A189="","",MAX(0,Config!$B$21-COUNTIF(E189:N189,"Sim")-COUNTIF(E189:N189,"N/A")))</f>
        <v/>
      </c>
      <c r="AB189" s="23">
        <f>IF(OR(A189="",D189&lt;&gt;"Encerrado"),"",MAX(0,Config!$D$21-COUNTIF(O189:X189,"Sim")-COUNTIF(O189:X189,"N/A")))</f>
        <v/>
      </c>
      <c r="AC189" s="23">
        <f>IF(A189="","",AA189+IF(AB189="",0,AB189))</f>
        <v/>
      </c>
      <c r="AD189" s="24">
        <f>IF(OR(A189="",AF189=""),"",LEFT(AF189,LEN(AF189)-2))</f>
        <v/>
      </c>
      <c r="AE189" s="35">
        <f>IF(OR(A189="",AC189=0),0,AC189*100-ROW()/100000)</f>
        <v>0</v>
      </c>
      <c r="AF189" s="35">
        <f>IF(A189="","",IF(AND(Config!$B$10&lt;&gt;"",E189&lt;&gt;"Sim",E189&lt;&gt;"N/A"),Config!$B$10&amp;"; ","")&amp;IF(AND(Config!$B$11&lt;&gt;"",F189&lt;&gt;"Sim",F189&lt;&gt;"N/A"),Config!$B$11&amp;"; ","")&amp;IF(AND(Config!$B$12&lt;&gt;"",G189&lt;&gt;"Sim",G189&lt;&gt;"N/A"),Config!$B$12&amp;"; ","")&amp;IF(AND(Config!$B$13&lt;&gt;"",H189&lt;&gt;"Sim",H189&lt;&gt;"N/A"),Config!$B$13&amp;"; ","")&amp;IF(AND(Config!$B$14&lt;&gt;"",I189&lt;&gt;"Sim",I189&lt;&gt;"N/A"),Config!$B$14&amp;"; ","")&amp;IF(AND(Config!$B$15&lt;&gt;"",J189&lt;&gt;"Sim",J189&lt;&gt;"N/A"),Config!$B$15&amp;"; ","")&amp;IF(AND(Config!$B$16&lt;&gt;"",K189&lt;&gt;"Sim",K189&lt;&gt;"N/A"),Config!$B$16&amp;"; ","")&amp;IF(AND(Config!$B$17&lt;&gt;"",L189&lt;&gt;"Sim",L189&lt;&gt;"N/A"),Config!$B$17&amp;"; ","")&amp;IF(AND(Config!$B$18&lt;&gt;"",M189&lt;&gt;"Sim",M189&lt;&gt;"N/A"),Config!$B$18&amp;"; ","")&amp;IF(AND(Config!$B$19&lt;&gt;"",N189&lt;&gt;"Sim",N189&lt;&gt;"N/A"),Config!$B$19&amp;"; ","")&amp;IF(AND($D189="Encerrado",Config!$D$10&lt;&gt;"",O189&lt;&gt;"Sim",O189&lt;&gt;"N/A"),Config!$D$10&amp;"; ","")&amp;IF(AND($D189="Encerrado",Config!$D$11&lt;&gt;"",P189&lt;&gt;"Sim",P189&lt;&gt;"N/A"),Config!$D$11&amp;"; ","")&amp;IF(AND($D189="Encerrado",Config!$D$12&lt;&gt;"",Q189&lt;&gt;"Sim",Q189&lt;&gt;"N/A"),Config!$D$12&amp;"; ","")&amp;IF(AND($D189="Encerrado",Config!$D$13&lt;&gt;"",R189&lt;&gt;"Sim",R189&lt;&gt;"N/A"),Config!$D$13&amp;"; ","")&amp;IF(AND($D189="Encerrado",Config!$D$14&lt;&gt;"",S189&lt;&gt;"Sim",S189&lt;&gt;"N/A"),Config!$D$14&amp;"; ","")&amp;IF(AND($D189="Encerrado",Config!$D$15&lt;&gt;"",T189&lt;&gt;"Sim",T189&lt;&gt;"N/A"),Config!$D$15&amp;"; ","")&amp;IF(AND($D189="Encerrado",Config!$D$16&lt;&gt;"",U189&lt;&gt;"Sim",U189&lt;&gt;"N/A"),Config!$D$16&amp;"; ","")&amp;IF(AND($D189="Encerrado",Config!$D$17&lt;&gt;"",V189&lt;&gt;"Sim",V189&lt;&gt;"N/A"),Config!$D$17&amp;"; ","")&amp;IF(AND($D189="Encerrado",Config!$D$18&lt;&gt;"",W189&lt;&gt;"Sim",W189&lt;&gt;"N/A"),Config!$D$18&amp;"; ","")&amp;IF(AND($D189="Encerrado",Config!$D$19&lt;&gt;"",X189&lt;&gt;"Sim",X189&lt;&gt;"N/A"),Config!$D$19&amp;"; ",""))</f>
        <v/>
      </c>
    </row>
    <row r="190">
      <c r="A190" s="29" t="n"/>
      <c r="B190" s="29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25">
        <f>IF(A190="","",IFERROR(COUNTIF(E190:N190,"Sim")/(Config!$B$21-COUNTIF(E190:N190,"N/A")),""))</f>
        <v/>
      </c>
      <c r="Z190" s="25">
        <f>IF(OR(A190="",D190&lt;&gt;"Encerrado"),"",IFERROR(COUNTIF(O190:X190,"Sim")/(Config!$D$21-COUNTIF(O190:X190,"N/A")),""))</f>
        <v/>
      </c>
      <c r="AA190" s="23">
        <f>IF(A190="","",MAX(0,Config!$B$21-COUNTIF(E190:N190,"Sim")-COUNTIF(E190:N190,"N/A")))</f>
        <v/>
      </c>
      <c r="AB190" s="23">
        <f>IF(OR(A190="",D190&lt;&gt;"Encerrado"),"",MAX(0,Config!$D$21-COUNTIF(O190:X190,"Sim")-COUNTIF(O190:X190,"N/A")))</f>
        <v/>
      </c>
      <c r="AC190" s="23">
        <f>IF(A190="","",AA190+IF(AB190="",0,AB190))</f>
        <v/>
      </c>
      <c r="AD190" s="24">
        <f>IF(OR(A190="",AF190=""),"",LEFT(AF190,LEN(AF190)-2))</f>
        <v/>
      </c>
      <c r="AE190" s="35">
        <f>IF(OR(A190="",AC190=0),0,AC190*100-ROW()/100000)</f>
        <v>0</v>
      </c>
      <c r="AF190" s="35">
        <f>IF(A190="","",IF(AND(Config!$B$10&lt;&gt;"",E190&lt;&gt;"Sim",E190&lt;&gt;"N/A"),Config!$B$10&amp;"; ","")&amp;IF(AND(Config!$B$11&lt;&gt;"",F190&lt;&gt;"Sim",F190&lt;&gt;"N/A"),Config!$B$11&amp;"; ","")&amp;IF(AND(Config!$B$12&lt;&gt;"",G190&lt;&gt;"Sim",G190&lt;&gt;"N/A"),Config!$B$12&amp;"; ","")&amp;IF(AND(Config!$B$13&lt;&gt;"",H190&lt;&gt;"Sim",H190&lt;&gt;"N/A"),Config!$B$13&amp;"; ","")&amp;IF(AND(Config!$B$14&lt;&gt;"",I190&lt;&gt;"Sim",I190&lt;&gt;"N/A"),Config!$B$14&amp;"; ","")&amp;IF(AND(Config!$B$15&lt;&gt;"",J190&lt;&gt;"Sim",J190&lt;&gt;"N/A"),Config!$B$15&amp;"; ","")&amp;IF(AND(Config!$B$16&lt;&gt;"",K190&lt;&gt;"Sim",K190&lt;&gt;"N/A"),Config!$B$16&amp;"; ","")&amp;IF(AND(Config!$B$17&lt;&gt;"",L190&lt;&gt;"Sim",L190&lt;&gt;"N/A"),Config!$B$17&amp;"; ","")&amp;IF(AND(Config!$B$18&lt;&gt;"",M190&lt;&gt;"Sim",M190&lt;&gt;"N/A"),Config!$B$18&amp;"; ","")&amp;IF(AND(Config!$B$19&lt;&gt;"",N190&lt;&gt;"Sim",N190&lt;&gt;"N/A"),Config!$B$19&amp;"; ","")&amp;IF(AND($D190="Encerrado",Config!$D$10&lt;&gt;"",O190&lt;&gt;"Sim",O190&lt;&gt;"N/A"),Config!$D$10&amp;"; ","")&amp;IF(AND($D190="Encerrado",Config!$D$11&lt;&gt;"",P190&lt;&gt;"Sim",P190&lt;&gt;"N/A"),Config!$D$11&amp;"; ","")&amp;IF(AND($D190="Encerrado",Config!$D$12&lt;&gt;"",Q190&lt;&gt;"Sim",Q190&lt;&gt;"N/A"),Config!$D$12&amp;"; ","")&amp;IF(AND($D190="Encerrado",Config!$D$13&lt;&gt;"",R190&lt;&gt;"Sim",R190&lt;&gt;"N/A"),Config!$D$13&amp;"; ","")&amp;IF(AND($D190="Encerrado",Config!$D$14&lt;&gt;"",S190&lt;&gt;"Sim",S190&lt;&gt;"N/A"),Config!$D$14&amp;"; ","")&amp;IF(AND($D190="Encerrado",Config!$D$15&lt;&gt;"",T190&lt;&gt;"Sim",T190&lt;&gt;"N/A"),Config!$D$15&amp;"; ","")&amp;IF(AND($D190="Encerrado",Config!$D$16&lt;&gt;"",U190&lt;&gt;"Sim",U190&lt;&gt;"N/A"),Config!$D$16&amp;"; ","")&amp;IF(AND($D190="Encerrado",Config!$D$17&lt;&gt;"",V190&lt;&gt;"Sim",V190&lt;&gt;"N/A"),Config!$D$17&amp;"; ","")&amp;IF(AND($D190="Encerrado",Config!$D$18&lt;&gt;"",W190&lt;&gt;"Sim",W190&lt;&gt;"N/A"),Config!$D$18&amp;"; ","")&amp;IF(AND($D190="Encerrado",Config!$D$19&lt;&gt;"",X190&lt;&gt;"Sim",X190&lt;&gt;"N/A"),Config!$D$19&amp;"; ",""))</f>
        <v/>
      </c>
    </row>
    <row r="191">
      <c r="A191" s="29" t="n"/>
      <c r="B191" s="29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25">
        <f>IF(A191="","",IFERROR(COUNTIF(E191:N191,"Sim")/(Config!$B$21-COUNTIF(E191:N191,"N/A")),""))</f>
        <v/>
      </c>
      <c r="Z191" s="25">
        <f>IF(OR(A191="",D191&lt;&gt;"Encerrado"),"",IFERROR(COUNTIF(O191:X191,"Sim")/(Config!$D$21-COUNTIF(O191:X191,"N/A")),""))</f>
        <v/>
      </c>
      <c r="AA191" s="23">
        <f>IF(A191="","",MAX(0,Config!$B$21-COUNTIF(E191:N191,"Sim")-COUNTIF(E191:N191,"N/A")))</f>
        <v/>
      </c>
      <c r="AB191" s="23">
        <f>IF(OR(A191="",D191&lt;&gt;"Encerrado"),"",MAX(0,Config!$D$21-COUNTIF(O191:X191,"Sim")-COUNTIF(O191:X191,"N/A")))</f>
        <v/>
      </c>
      <c r="AC191" s="23">
        <f>IF(A191="","",AA191+IF(AB191="",0,AB191))</f>
        <v/>
      </c>
      <c r="AD191" s="24">
        <f>IF(OR(A191="",AF191=""),"",LEFT(AF191,LEN(AF191)-2))</f>
        <v/>
      </c>
      <c r="AE191" s="35">
        <f>IF(OR(A191="",AC191=0),0,AC191*100-ROW()/100000)</f>
        <v>0</v>
      </c>
      <c r="AF191" s="35">
        <f>IF(A191="","",IF(AND(Config!$B$10&lt;&gt;"",E191&lt;&gt;"Sim",E191&lt;&gt;"N/A"),Config!$B$10&amp;"; ","")&amp;IF(AND(Config!$B$11&lt;&gt;"",F191&lt;&gt;"Sim",F191&lt;&gt;"N/A"),Config!$B$11&amp;"; ","")&amp;IF(AND(Config!$B$12&lt;&gt;"",G191&lt;&gt;"Sim",G191&lt;&gt;"N/A"),Config!$B$12&amp;"; ","")&amp;IF(AND(Config!$B$13&lt;&gt;"",H191&lt;&gt;"Sim",H191&lt;&gt;"N/A"),Config!$B$13&amp;"; ","")&amp;IF(AND(Config!$B$14&lt;&gt;"",I191&lt;&gt;"Sim",I191&lt;&gt;"N/A"),Config!$B$14&amp;"; ","")&amp;IF(AND(Config!$B$15&lt;&gt;"",J191&lt;&gt;"Sim",J191&lt;&gt;"N/A"),Config!$B$15&amp;"; ","")&amp;IF(AND(Config!$B$16&lt;&gt;"",K191&lt;&gt;"Sim",K191&lt;&gt;"N/A"),Config!$B$16&amp;"; ","")&amp;IF(AND(Config!$B$17&lt;&gt;"",L191&lt;&gt;"Sim",L191&lt;&gt;"N/A"),Config!$B$17&amp;"; ","")&amp;IF(AND(Config!$B$18&lt;&gt;"",M191&lt;&gt;"Sim",M191&lt;&gt;"N/A"),Config!$B$18&amp;"; ","")&amp;IF(AND(Config!$B$19&lt;&gt;"",N191&lt;&gt;"Sim",N191&lt;&gt;"N/A"),Config!$B$19&amp;"; ","")&amp;IF(AND($D191="Encerrado",Config!$D$10&lt;&gt;"",O191&lt;&gt;"Sim",O191&lt;&gt;"N/A"),Config!$D$10&amp;"; ","")&amp;IF(AND($D191="Encerrado",Config!$D$11&lt;&gt;"",P191&lt;&gt;"Sim",P191&lt;&gt;"N/A"),Config!$D$11&amp;"; ","")&amp;IF(AND($D191="Encerrado",Config!$D$12&lt;&gt;"",Q191&lt;&gt;"Sim",Q191&lt;&gt;"N/A"),Config!$D$12&amp;"; ","")&amp;IF(AND($D191="Encerrado",Config!$D$13&lt;&gt;"",R191&lt;&gt;"Sim",R191&lt;&gt;"N/A"),Config!$D$13&amp;"; ","")&amp;IF(AND($D191="Encerrado",Config!$D$14&lt;&gt;"",S191&lt;&gt;"Sim",S191&lt;&gt;"N/A"),Config!$D$14&amp;"; ","")&amp;IF(AND($D191="Encerrado",Config!$D$15&lt;&gt;"",T191&lt;&gt;"Sim",T191&lt;&gt;"N/A"),Config!$D$15&amp;"; ","")&amp;IF(AND($D191="Encerrado",Config!$D$16&lt;&gt;"",U191&lt;&gt;"Sim",U191&lt;&gt;"N/A"),Config!$D$16&amp;"; ","")&amp;IF(AND($D191="Encerrado",Config!$D$17&lt;&gt;"",V191&lt;&gt;"Sim",V191&lt;&gt;"N/A"),Config!$D$17&amp;"; ","")&amp;IF(AND($D191="Encerrado",Config!$D$18&lt;&gt;"",W191&lt;&gt;"Sim",W191&lt;&gt;"N/A"),Config!$D$18&amp;"; ","")&amp;IF(AND($D191="Encerrado",Config!$D$19&lt;&gt;"",X191&lt;&gt;"Sim",X191&lt;&gt;"N/A"),Config!$D$19&amp;"; ",""))</f>
        <v/>
      </c>
    </row>
    <row r="192">
      <c r="A192" s="29" t="n"/>
      <c r="B192" s="29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25">
        <f>IF(A192="","",IFERROR(COUNTIF(E192:N192,"Sim")/(Config!$B$21-COUNTIF(E192:N192,"N/A")),""))</f>
        <v/>
      </c>
      <c r="Z192" s="25">
        <f>IF(OR(A192="",D192&lt;&gt;"Encerrado"),"",IFERROR(COUNTIF(O192:X192,"Sim")/(Config!$D$21-COUNTIF(O192:X192,"N/A")),""))</f>
        <v/>
      </c>
      <c r="AA192" s="23">
        <f>IF(A192="","",MAX(0,Config!$B$21-COUNTIF(E192:N192,"Sim")-COUNTIF(E192:N192,"N/A")))</f>
        <v/>
      </c>
      <c r="AB192" s="23">
        <f>IF(OR(A192="",D192&lt;&gt;"Encerrado"),"",MAX(0,Config!$D$21-COUNTIF(O192:X192,"Sim")-COUNTIF(O192:X192,"N/A")))</f>
        <v/>
      </c>
      <c r="AC192" s="23">
        <f>IF(A192="","",AA192+IF(AB192="",0,AB192))</f>
        <v/>
      </c>
      <c r="AD192" s="24">
        <f>IF(OR(A192="",AF192=""),"",LEFT(AF192,LEN(AF192)-2))</f>
        <v/>
      </c>
      <c r="AE192" s="35">
        <f>IF(OR(A192="",AC192=0),0,AC192*100-ROW()/100000)</f>
        <v>0</v>
      </c>
      <c r="AF192" s="35">
        <f>IF(A192="","",IF(AND(Config!$B$10&lt;&gt;"",E192&lt;&gt;"Sim",E192&lt;&gt;"N/A"),Config!$B$10&amp;"; ","")&amp;IF(AND(Config!$B$11&lt;&gt;"",F192&lt;&gt;"Sim",F192&lt;&gt;"N/A"),Config!$B$11&amp;"; ","")&amp;IF(AND(Config!$B$12&lt;&gt;"",G192&lt;&gt;"Sim",G192&lt;&gt;"N/A"),Config!$B$12&amp;"; ","")&amp;IF(AND(Config!$B$13&lt;&gt;"",H192&lt;&gt;"Sim",H192&lt;&gt;"N/A"),Config!$B$13&amp;"; ","")&amp;IF(AND(Config!$B$14&lt;&gt;"",I192&lt;&gt;"Sim",I192&lt;&gt;"N/A"),Config!$B$14&amp;"; ","")&amp;IF(AND(Config!$B$15&lt;&gt;"",J192&lt;&gt;"Sim",J192&lt;&gt;"N/A"),Config!$B$15&amp;"; ","")&amp;IF(AND(Config!$B$16&lt;&gt;"",K192&lt;&gt;"Sim",K192&lt;&gt;"N/A"),Config!$B$16&amp;"; ","")&amp;IF(AND(Config!$B$17&lt;&gt;"",L192&lt;&gt;"Sim",L192&lt;&gt;"N/A"),Config!$B$17&amp;"; ","")&amp;IF(AND(Config!$B$18&lt;&gt;"",M192&lt;&gt;"Sim",M192&lt;&gt;"N/A"),Config!$B$18&amp;"; ","")&amp;IF(AND(Config!$B$19&lt;&gt;"",N192&lt;&gt;"Sim",N192&lt;&gt;"N/A"),Config!$B$19&amp;"; ","")&amp;IF(AND($D192="Encerrado",Config!$D$10&lt;&gt;"",O192&lt;&gt;"Sim",O192&lt;&gt;"N/A"),Config!$D$10&amp;"; ","")&amp;IF(AND($D192="Encerrado",Config!$D$11&lt;&gt;"",P192&lt;&gt;"Sim",P192&lt;&gt;"N/A"),Config!$D$11&amp;"; ","")&amp;IF(AND($D192="Encerrado",Config!$D$12&lt;&gt;"",Q192&lt;&gt;"Sim",Q192&lt;&gt;"N/A"),Config!$D$12&amp;"; ","")&amp;IF(AND($D192="Encerrado",Config!$D$13&lt;&gt;"",R192&lt;&gt;"Sim",R192&lt;&gt;"N/A"),Config!$D$13&amp;"; ","")&amp;IF(AND($D192="Encerrado",Config!$D$14&lt;&gt;"",S192&lt;&gt;"Sim",S192&lt;&gt;"N/A"),Config!$D$14&amp;"; ","")&amp;IF(AND($D192="Encerrado",Config!$D$15&lt;&gt;"",T192&lt;&gt;"Sim",T192&lt;&gt;"N/A"),Config!$D$15&amp;"; ","")&amp;IF(AND($D192="Encerrado",Config!$D$16&lt;&gt;"",U192&lt;&gt;"Sim",U192&lt;&gt;"N/A"),Config!$D$16&amp;"; ","")&amp;IF(AND($D192="Encerrado",Config!$D$17&lt;&gt;"",V192&lt;&gt;"Sim",V192&lt;&gt;"N/A"),Config!$D$17&amp;"; ","")&amp;IF(AND($D192="Encerrado",Config!$D$18&lt;&gt;"",W192&lt;&gt;"Sim",W192&lt;&gt;"N/A"),Config!$D$18&amp;"; ","")&amp;IF(AND($D192="Encerrado",Config!$D$19&lt;&gt;"",X192&lt;&gt;"Sim",X192&lt;&gt;"N/A"),Config!$D$19&amp;"; ",""))</f>
        <v/>
      </c>
    </row>
    <row r="193">
      <c r="A193" s="29" t="n"/>
      <c r="B193" s="29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25">
        <f>IF(A193="","",IFERROR(COUNTIF(E193:N193,"Sim")/(Config!$B$21-COUNTIF(E193:N193,"N/A")),""))</f>
        <v/>
      </c>
      <c r="Z193" s="25">
        <f>IF(OR(A193="",D193&lt;&gt;"Encerrado"),"",IFERROR(COUNTIF(O193:X193,"Sim")/(Config!$D$21-COUNTIF(O193:X193,"N/A")),""))</f>
        <v/>
      </c>
      <c r="AA193" s="23">
        <f>IF(A193="","",MAX(0,Config!$B$21-COUNTIF(E193:N193,"Sim")-COUNTIF(E193:N193,"N/A")))</f>
        <v/>
      </c>
      <c r="AB193" s="23">
        <f>IF(OR(A193="",D193&lt;&gt;"Encerrado"),"",MAX(0,Config!$D$21-COUNTIF(O193:X193,"Sim")-COUNTIF(O193:X193,"N/A")))</f>
        <v/>
      </c>
      <c r="AC193" s="23">
        <f>IF(A193="","",AA193+IF(AB193="",0,AB193))</f>
        <v/>
      </c>
      <c r="AD193" s="24">
        <f>IF(OR(A193="",AF193=""),"",LEFT(AF193,LEN(AF193)-2))</f>
        <v/>
      </c>
      <c r="AE193" s="35">
        <f>IF(OR(A193="",AC193=0),0,AC193*100-ROW()/100000)</f>
        <v>0</v>
      </c>
      <c r="AF193" s="35">
        <f>IF(A193="","",IF(AND(Config!$B$10&lt;&gt;"",E193&lt;&gt;"Sim",E193&lt;&gt;"N/A"),Config!$B$10&amp;"; ","")&amp;IF(AND(Config!$B$11&lt;&gt;"",F193&lt;&gt;"Sim",F193&lt;&gt;"N/A"),Config!$B$11&amp;"; ","")&amp;IF(AND(Config!$B$12&lt;&gt;"",G193&lt;&gt;"Sim",G193&lt;&gt;"N/A"),Config!$B$12&amp;"; ","")&amp;IF(AND(Config!$B$13&lt;&gt;"",H193&lt;&gt;"Sim",H193&lt;&gt;"N/A"),Config!$B$13&amp;"; ","")&amp;IF(AND(Config!$B$14&lt;&gt;"",I193&lt;&gt;"Sim",I193&lt;&gt;"N/A"),Config!$B$14&amp;"; ","")&amp;IF(AND(Config!$B$15&lt;&gt;"",J193&lt;&gt;"Sim",J193&lt;&gt;"N/A"),Config!$B$15&amp;"; ","")&amp;IF(AND(Config!$B$16&lt;&gt;"",K193&lt;&gt;"Sim",K193&lt;&gt;"N/A"),Config!$B$16&amp;"; ","")&amp;IF(AND(Config!$B$17&lt;&gt;"",L193&lt;&gt;"Sim",L193&lt;&gt;"N/A"),Config!$B$17&amp;"; ","")&amp;IF(AND(Config!$B$18&lt;&gt;"",M193&lt;&gt;"Sim",M193&lt;&gt;"N/A"),Config!$B$18&amp;"; ","")&amp;IF(AND(Config!$B$19&lt;&gt;"",N193&lt;&gt;"Sim",N193&lt;&gt;"N/A"),Config!$B$19&amp;"; ","")&amp;IF(AND($D193="Encerrado",Config!$D$10&lt;&gt;"",O193&lt;&gt;"Sim",O193&lt;&gt;"N/A"),Config!$D$10&amp;"; ","")&amp;IF(AND($D193="Encerrado",Config!$D$11&lt;&gt;"",P193&lt;&gt;"Sim",P193&lt;&gt;"N/A"),Config!$D$11&amp;"; ","")&amp;IF(AND($D193="Encerrado",Config!$D$12&lt;&gt;"",Q193&lt;&gt;"Sim",Q193&lt;&gt;"N/A"),Config!$D$12&amp;"; ","")&amp;IF(AND($D193="Encerrado",Config!$D$13&lt;&gt;"",R193&lt;&gt;"Sim",R193&lt;&gt;"N/A"),Config!$D$13&amp;"; ","")&amp;IF(AND($D193="Encerrado",Config!$D$14&lt;&gt;"",S193&lt;&gt;"Sim",S193&lt;&gt;"N/A"),Config!$D$14&amp;"; ","")&amp;IF(AND($D193="Encerrado",Config!$D$15&lt;&gt;"",T193&lt;&gt;"Sim",T193&lt;&gt;"N/A"),Config!$D$15&amp;"; ","")&amp;IF(AND($D193="Encerrado",Config!$D$16&lt;&gt;"",U193&lt;&gt;"Sim",U193&lt;&gt;"N/A"),Config!$D$16&amp;"; ","")&amp;IF(AND($D193="Encerrado",Config!$D$17&lt;&gt;"",V193&lt;&gt;"Sim",V193&lt;&gt;"N/A"),Config!$D$17&amp;"; ","")&amp;IF(AND($D193="Encerrado",Config!$D$18&lt;&gt;"",W193&lt;&gt;"Sim",W193&lt;&gt;"N/A"),Config!$D$18&amp;"; ","")&amp;IF(AND($D193="Encerrado",Config!$D$19&lt;&gt;"",X193&lt;&gt;"Sim",X193&lt;&gt;"N/A"),Config!$D$19&amp;"; ",""))</f>
        <v/>
      </c>
    </row>
    <row r="194">
      <c r="A194" s="29" t="n"/>
      <c r="B194" s="29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25">
        <f>IF(A194="","",IFERROR(COUNTIF(E194:N194,"Sim")/(Config!$B$21-COUNTIF(E194:N194,"N/A")),""))</f>
        <v/>
      </c>
      <c r="Z194" s="25">
        <f>IF(OR(A194="",D194&lt;&gt;"Encerrado"),"",IFERROR(COUNTIF(O194:X194,"Sim")/(Config!$D$21-COUNTIF(O194:X194,"N/A")),""))</f>
        <v/>
      </c>
      <c r="AA194" s="23">
        <f>IF(A194="","",MAX(0,Config!$B$21-COUNTIF(E194:N194,"Sim")-COUNTIF(E194:N194,"N/A")))</f>
        <v/>
      </c>
      <c r="AB194" s="23">
        <f>IF(OR(A194="",D194&lt;&gt;"Encerrado"),"",MAX(0,Config!$D$21-COUNTIF(O194:X194,"Sim")-COUNTIF(O194:X194,"N/A")))</f>
        <v/>
      </c>
      <c r="AC194" s="23">
        <f>IF(A194="","",AA194+IF(AB194="",0,AB194))</f>
        <v/>
      </c>
      <c r="AD194" s="24">
        <f>IF(OR(A194="",AF194=""),"",LEFT(AF194,LEN(AF194)-2))</f>
        <v/>
      </c>
      <c r="AE194" s="35">
        <f>IF(OR(A194="",AC194=0),0,AC194*100-ROW()/100000)</f>
        <v>0</v>
      </c>
      <c r="AF194" s="35">
        <f>IF(A194="","",IF(AND(Config!$B$10&lt;&gt;"",E194&lt;&gt;"Sim",E194&lt;&gt;"N/A"),Config!$B$10&amp;"; ","")&amp;IF(AND(Config!$B$11&lt;&gt;"",F194&lt;&gt;"Sim",F194&lt;&gt;"N/A"),Config!$B$11&amp;"; ","")&amp;IF(AND(Config!$B$12&lt;&gt;"",G194&lt;&gt;"Sim",G194&lt;&gt;"N/A"),Config!$B$12&amp;"; ","")&amp;IF(AND(Config!$B$13&lt;&gt;"",H194&lt;&gt;"Sim",H194&lt;&gt;"N/A"),Config!$B$13&amp;"; ","")&amp;IF(AND(Config!$B$14&lt;&gt;"",I194&lt;&gt;"Sim",I194&lt;&gt;"N/A"),Config!$B$14&amp;"; ","")&amp;IF(AND(Config!$B$15&lt;&gt;"",J194&lt;&gt;"Sim",J194&lt;&gt;"N/A"),Config!$B$15&amp;"; ","")&amp;IF(AND(Config!$B$16&lt;&gt;"",K194&lt;&gt;"Sim",K194&lt;&gt;"N/A"),Config!$B$16&amp;"; ","")&amp;IF(AND(Config!$B$17&lt;&gt;"",L194&lt;&gt;"Sim",L194&lt;&gt;"N/A"),Config!$B$17&amp;"; ","")&amp;IF(AND(Config!$B$18&lt;&gt;"",M194&lt;&gt;"Sim",M194&lt;&gt;"N/A"),Config!$B$18&amp;"; ","")&amp;IF(AND(Config!$B$19&lt;&gt;"",N194&lt;&gt;"Sim",N194&lt;&gt;"N/A"),Config!$B$19&amp;"; ","")&amp;IF(AND($D194="Encerrado",Config!$D$10&lt;&gt;"",O194&lt;&gt;"Sim",O194&lt;&gt;"N/A"),Config!$D$10&amp;"; ","")&amp;IF(AND($D194="Encerrado",Config!$D$11&lt;&gt;"",P194&lt;&gt;"Sim",P194&lt;&gt;"N/A"),Config!$D$11&amp;"; ","")&amp;IF(AND($D194="Encerrado",Config!$D$12&lt;&gt;"",Q194&lt;&gt;"Sim",Q194&lt;&gt;"N/A"),Config!$D$12&amp;"; ","")&amp;IF(AND($D194="Encerrado",Config!$D$13&lt;&gt;"",R194&lt;&gt;"Sim",R194&lt;&gt;"N/A"),Config!$D$13&amp;"; ","")&amp;IF(AND($D194="Encerrado",Config!$D$14&lt;&gt;"",S194&lt;&gt;"Sim",S194&lt;&gt;"N/A"),Config!$D$14&amp;"; ","")&amp;IF(AND($D194="Encerrado",Config!$D$15&lt;&gt;"",T194&lt;&gt;"Sim",T194&lt;&gt;"N/A"),Config!$D$15&amp;"; ","")&amp;IF(AND($D194="Encerrado",Config!$D$16&lt;&gt;"",U194&lt;&gt;"Sim",U194&lt;&gt;"N/A"),Config!$D$16&amp;"; ","")&amp;IF(AND($D194="Encerrado",Config!$D$17&lt;&gt;"",V194&lt;&gt;"Sim",V194&lt;&gt;"N/A"),Config!$D$17&amp;"; ","")&amp;IF(AND($D194="Encerrado",Config!$D$18&lt;&gt;"",W194&lt;&gt;"Sim",W194&lt;&gt;"N/A"),Config!$D$18&amp;"; ","")&amp;IF(AND($D194="Encerrado",Config!$D$19&lt;&gt;"",X194&lt;&gt;"Sim",X194&lt;&gt;"N/A"),Config!$D$19&amp;"; ",""))</f>
        <v/>
      </c>
    </row>
    <row r="195">
      <c r="A195" s="29" t="n"/>
      <c r="B195" s="29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25">
        <f>IF(A195="","",IFERROR(COUNTIF(E195:N195,"Sim")/(Config!$B$21-COUNTIF(E195:N195,"N/A")),""))</f>
        <v/>
      </c>
      <c r="Z195" s="25">
        <f>IF(OR(A195="",D195&lt;&gt;"Encerrado"),"",IFERROR(COUNTIF(O195:X195,"Sim")/(Config!$D$21-COUNTIF(O195:X195,"N/A")),""))</f>
        <v/>
      </c>
      <c r="AA195" s="23">
        <f>IF(A195="","",MAX(0,Config!$B$21-COUNTIF(E195:N195,"Sim")-COUNTIF(E195:N195,"N/A")))</f>
        <v/>
      </c>
      <c r="AB195" s="23">
        <f>IF(OR(A195="",D195&lt;&gt;"Encerrado"),"",MAX(0,Config!$D$21-COUNTIF(O195:X195,"Sim")-COUNTIF(O195:X195,"N/A")))</f>
        <v/>
      </c>
      <c r="AC195" s="23">
        <f>IF(A195="","",AA195+IF(AB195="",0,AB195))</f>
        <v/>
      </c>
      <c r="AD195" s="24">
        <f>IF(OR(A195="",AF195=""),"",LEFT(AF195,LEN(AF195)-2))</f>
        <v/>
      </c>
      <c r="AE195" s="35">
        <f>IF(OR(A195="",AC195=0),0,AC195*100-ROW()/100000)</f>
        <v>0</v>
      </c>
      <c r="AF195" s="35">
        <f>IF(A195="","",IF(AND(Config!$B$10&lt;&gt;"",E195&lt;&gt;"Sim",E195&lt;&gt;"N/A"),Config!$B$10&amp;"; ","")&amp;IF(AND(Config!$B$11&lt;&gt;"",F195&lt;&gt;"Sim",F195&lt;&gt;"N/A"),Config!$B$11&amp;"; ","")&amp;IF(AND(Config!$B$12&lt;&gt;"",G195&lt;&gt;"Sim",G195&lt;&gt;"N/A"),Config!$B$12&amp;"; ","")&amp;IF(AND(Config!$B$13&lt;&gt;"",H195&lt;&gt;"Sim",H195&lt;&gt;"N/A"),Config!$B$13&amp;"; ","")&amp;IF(AND(Config!$B$14&lt;&gt;"",I195&lt;&gt;"Sim",I195&lt;&gt;"N/A"),Config!$B$14&amp;"; ","")&amp;IF(AND(Config!$B$15&lt;&gt;"",J195&lt;&gt;"Sim",J195&lt;&gt;"N/A"),Config!$B$15&amp;"; ","")&amp;IF(AND(Config!$B$16&lt;&gt;"",K195&lt;&gt;"Sim",K195&lt;&gt;"N/A"),Config!$B$16&amp;"; ","")&amp;IF(AND(Config!$B$17&lt;&gt;"",L195&lt;&gt;"Sim",L195&lt;&gt;"N/A"),Config!$B$17&amp;"; ","")&amp;IF(AND(Config!$B$18&lt;&gt;"",M195&lt;&gt;"Sim",M195&lt;&gt;"N/A"),Config!$B$18&amp;"; ","")&amp;IF(AND(Config!$B$19&lt;&gt;"",N195&lt;&gt;"Sim",N195&lt;&gt;"N/A"),Config!$B$19&amp;"; ","")&amp;IF(AND($D195="Encerrado",Config!$D$10&lt;&gt;"",O195&lt;&gt;"Sim",O195&lt;&gt;"N/A"),Config!$D$10&amp;"; ","")&amp;IF(AND($D195="Encerrado",Config!$D$11&lt;&gt;"",P195&lt;&gt;"Sim",P195&lt;&gt;"N/A"),Config!$D$11&amp;"; ","")&amp;IF(AND($D195="Encerrado",Config!$D$12&lt;&gt;"",Q195&lt;&gt;"Sim",Q195&lt;&gt;"N/A"),Config!$D$12&amp;"; ","")&amp;IF(AND($D195="Encerrado",Config!$D$13&lt;&gt;"",R195&lt;&gt;"Sim",R195&lt;&gt;"N/A"),Config!$D$13&amp;"; ","")&amp;IF(AND($D195="Encerrado",Config!$D$14&lt;&gt;"",S195&lt;&gt;"Sim",S195&lt;&gt;"N/A"),Config!$D$14&amp;"; ","")&amp;IF(AND($D195="Encerrado",Config!$D$15&lt;&gt;"",T195&lt;&gt;"Sim",T195&lt;&gt;"N/A"),Config!$D$15&amp;"; ","")&amp;IF(AND($D195="Encerrado",Config!$D$16&lt;&gt;"",U195&lt;&gt;"Sim",U195&lt;&gt;"N/A"),Config!$D$16&amp;"; ","")&amp;IF(AND($D195="Encerrado",Config!$D$17&lt;&gt;"",V195&lt;&gt;"Sim",V195&lt;&gt;"N/A"),Config!$D$17&amp;"; ","")&amp;IF(AND($D195="Encerrado",Config!$D$18&lt;&gt;"",W195&lt;&gt;"Sim",W195&lt;&gt;"N/A"),Config!$D$18&amp;"; ","")&amp;IF(AND($D195="Encerrado",Config!$D$19&lt;&gt;"",X195&lt;&gt;"Sim",X195&lt;&gt;"N/A"),Config!$D$19&amp;"; ",""))</f>
        <v/>
      </c>
    </row>
    <row r="196">
      <c r="A196" s="29" t="n"/>
      <c r="B196" s="29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25">
        <f>IF(A196="","",IFERROR(COUNTIF(E196:N196,"Sim")/(Config!$B$21-COUNTIF(E196:N196,"N/A")),""))</f>
        <v/>
      </c>
      <c r="Z196" s="25">
        <f>IF(OR(A196="",D196&lt;&gt;"Encerrado"),"",IFERROR(COUNTIF(O196:X196,"Sim")/(Config!$D$21-COUNTIF(O196:X196,"N/A")),""))</f>
        <v/>
      </c>
      <c r="AA196" s="23">
        <f>IF(A196="","",MAX(0,Config!$B$21-COUNTIF(E196:N196,"Sim")-COUNTIF(E196:N196,"N/A")))</f>
        <v/>
      </c>
      <c r="AB196" s="23">
        <f>IF(OR(A196="",D196&lt;&gt;"Encerrado"),"",MAX(0,Config!$D$21-COUNTIF(O196:X196,"Sim")-COUNTIF(O196:X196,"N/A")))</f>
        <v/>
      </c>
      <c r="AC196" s="23">
        <f>IF(A196="","",AA196+IF(AB196="",0,AB196))</f>
        <v/>
      </c>
      <c r="AD196" s="24">
        <f>IF(OR(A196="",AF196=""),"",LEFT(AF196,LEN(AF196)-2))</f>
        <v/>
      </c>
      <c r="AE196" s="35">
        <f>IF(OR(A196="",AC196=0),0,AC196*100-ROW()/100000)</f>
        <v>0</v>
      </c>
      <c r="AF196" s="35">
        <f>IF(A196="","",IF(AND(Config!$B$10&lt;&gt;"",E196&lt;&gt;"Sim",E196&lt;&gt;"N/A"),Config!$B$10&amp;"; ","")&amp;IF(AND(Config!$B$11&lt;&gt;"",F196&lt;&gt;"Sim",F196&lt;&gt;"N/A"),Config!$B$11&amp;"; ","")&amp;IF(AND(Config!$B$12&lt;&gt;"",G196&lt;&gt;"Sim",G196&lt;&gt;"N/A"),Config!$B$12&amp;"; ","")&amp;IF(AND(Config!$B$13&lt;&gt;"",H196&lt;&gt;"Sim",H196&lt;&gt;"N/A"),Config!$B$13&amp;"; ","")&amp;IF(AND(Config!$B$14&lt;&gt;"",I196&lt;&gt;"Sim",I196&lt;&gt;"N/A"),Config!$B$14&amp;"; ","")&amp;IF(AND(Config!$B$15&lt;&gt;"",J196&lt;&gt;"Sim",J196&lt;&gt;"N/A"),Config!$B$15&amp;"; ","")&amp;IF(AND(Config!$B$16&lt;&gt;"",K196&lt;&gt;"Sim",K196&lt;&gt;"N/A"),Config!$B$16&amp;"; ","")&amp;IF(AND(Config!$B$17&lt;&gt;"",L196&lt;&gt;"Sim",L196&lt;&gt;"N/A"),Config!$B$17&amp;"; ","")&amp;IF(AND(Config!$B$18&lt;&gt;"",M196&lt;&gt;"Sim",M196&lt;&gt;"N/A"),Config!$B$18&amp;"; ","")&amp;IF(AND(Config!$B$19&lt;&gt;"",N196&lt;&gt;"Sim",N196&lt;&gt;"N/A"),Config!$B$19&amp;"; ","")&amp;IF(AND($D196="Encerrado",Config!$D$10&lt;&gt;"",O196&lt;&gt;"Sim",O196&lt;&gt;"N/A"),Config!$D$10&amp;"; ","")&amp;IF(AND($D196="Encerrado",Config!$D$11&lt;&gt;"",P196&lt;&gt;"Sim",P196&lt;&gt;"N/A"),Config!$D$11&amp;"; ","")&amp;IF(AND($D196="Encerrado",Config!$D$12&lt;&gt;"",Q196&lt;&gt;"Sim",Q196&lt;&gt;"N/A"),Config!$D$12&amp;"; ","")&amp;IF(AND($D196="Encerrado",Config!$D$13&lt;&gt;"",R196&lt;&gt;"Sim",R196&lt;&gt;"N/A"),Config!$D$13&amp;"; ","")&amp;IF(AND($D196="Encerrado",Config!$D$14&lt;&gt;"",S196&lt;&gt;"Sim",S196&lt;&gt;"N/A"),Config!$D$14&amp;"; ","")&amp;IF(AND($D196="Encerrado",Config!$D$15&lt;&gt;"",T196&lt;&gt;"Sim",T196&lt;&gt;"N/A"),Config!$D$15&amp;"; ","")&amp;IF(AND($D196="Encerrado",Config!$D$16&lt;&gt;"",U196&lt;&gt;"Sim",U196&lt;&gt;"N/A"),Config!$D$16&amp;"; ","")&amp;IF(AND($D196="Encerrado",Config!$D$17&lt;&gt;"",V196&lt;&gt;"Sim",V196&lt;&gt;"N/A"),Config!$D$17&amp;"; ","")&amp;IF(AND($D196="Encerrado",Config!$D$18&lt;&gt;"",W196&lt;&gt;"Sim",W196&lt;&gt;"N/A"),Config!$D$18&amp;"; ","")&amp;IF(AND($D196="Encerrado",Config!$D$19&lt;&gt;"",X196&lt;&gt;"Sim",X196&lt;&gt;"N/A"),Config!$D$19&amp;"; ",""))</f>
        <v/>
      </c>
    </row>
    <row r="197">
      <c r="A197" s="29" t="n"/>
      <c r="B197" s="29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25">
        <f>IF(A197="","",IFERROR(COUNTIF(E197:N197,"Sim")/(Config!$B$21-COUNTIF(E197:N197,"N/A")),""))</f>
        <v/>
      </c>
      <c r="Z197" s="25">
        <f>IF(OR(A197="",D197&lt;&gt;"Encerrado"),"",IFERROR(COUNTIF(O197:X197,"Sim")/(Config!$D$21-COUNTIF(O197:X197,"N/A")),""))</f>
        <v/>
      </c>
      <c r="AA197" s="23">
        <f>IF(A197="","",MAX(0,Config!$B$21-COUNTIF(E197:N197,"Sim")-COUNTIF(E197:N197,"N/A")))</f>
        <v/>
      </c>
      <c r="AB197" s="23">
        <f>IF(OR(A197="",D197&lt;&gt;"Encerrado"),"",MAX(0,Config!$D$21-COUNTIF(O197:X197,"Sim")-COUNTIF(O197:X197,"N/A")))</f>
        <v/>
      </c>
      <c r="AC197" s="23">
        <f>IF(A197="","",AA197+IF(AB197="",0,AB197))</f>
        <v/>
      </c>
      <c r="AD197" s="24">
        <f>IF(OR(A197="",AF197=""),"",LEFT(AF197,LEN(AF197)-2))</f>
        <v/>
      </c>
      <c r="AE197" s="35">
        <f>IF(OR(A197="",AC197=0),0,AC197*100-ROW()/100000)</f>
        <v>0</v>
      </c>
      <c r="AF197" s="35">
        <f>IF(A197="","",IF(AND(Config!$B$10&lt;&gt;"",E197&lt;&gt;"Sim",E197&lt;&gt;"N/A"),Config!$B$10&amp;"; ","")&amp;IF(AND(Config!$B$11&lt;&gt;"",F197&lt;&gt;"Sim",F197&lt;&gt;"N/A"),Config!$B$11&amp;"; ","")&amp;IF(AND(Config!$B$12&lt;&gt;"",G197&lt;&gt;"Sim",G197&lt;&gt;"N/A"),Config!$B$12&amp;"; ","")&amp;IF(AND(Config!$B$13&lt;&gt;"",H197&lt;&gt;"Sim",H197&lt;&gt;"N/A"),Config!$B$13&amp;"; ","")&amp;IF(AND(Config!$B$14&lt;&gt;"",I197&lt;&gt;"Sim",I197&lt;&gt;"N/A"),Config!$B$14&amp;"; ","")&amp;IF(AND(Config!$B$15&lt;&gt;"",J197&lt;&gt;"Sim",J197&lt;&gt;"N/A"),Config!$B$15&amp;"; ","")&amp;IF(AND(Config!$B$16&lt;&gt;"",K197&lt;&gt;"Sim",K197&lt;&gt;"N/A"),Config!$B$16&amp;"; ","")&amp;IF(AND(Config!$B$17&lt;&gt;"",L197&lt;&gt;"Sim",L197&lt;&gt;"N/A"),Config!$B$17&amp;"; ","")&amp;IF(AND(Config!$B$18&lt;&gt;"",M197&lt;&gt;"Sim",M197&lt;&gt;"N/A"),Config!$B$18&amp;"; ","")&amp;IF(AND(Config!$B$19&lt;&gt;"",N197&lt;&gt;"Sim",N197&lt;&gt;"N/A"),Config!$B$19&amp;"; ","")&amp;IF(AND($D197="Encerrado",Config!$D$10&lt;&gt;"",O197&lt;&gt;"Sim",O197&lt;&gt;"N/A"),Config!$D$10&amp;"; ","")&amp;IF(AND($D197="Encerrado",Config!$D$11&lt;&gt;"",P197&lt;&gt;"Sim",P197&lt;&gt;"N/A"),Config!$D$11&amp;"; ","")&amp;IF(AND($D197="Encerrado",Config!$D$12&lt;&gt;"",Q197&lt;&gt;"Sim",Q197&lt;&gt;"N/A"),Config!$D$12&amp;"; ","")&amp;IF(AND($D197="Encerrado",Config!$D$13&lt;&gt;"",R197&lt;&gt;"Sim",R197&lt;&gt;"N/A"),Config!$D$13&amp;"; ","")&amp;IF(AND($D197="Encerrado",Config!$D$14&lt;&gt;"",S197&lt;&gt;"Sim",S197&lt;&gt;"N/A"),Config!$D$14&amp;"; ","")&amp;IF(AND($D197="Encerrado",Config!$D$15&lt;&gt;"",T197&lt;&gt;"Sim",T197&lt;&gt;"N/A"),Config!$D$15&amp;"; ","")&amp;IF(AND($D197="Encerrado",Config!$D$16&lt;&gt;"",U197&lt;&gt;"Sim",U197&lt;&gt;"N/A"),Config!$D$16&amp;"; ","")&amp;IF(AND($D197="Encerrado",Config!$D$17&lt;&gt;"",V197&lt;&gt;"Sim",V197&lt;&gt;"N/A"),Config!$D$17&amp;"; ","")&amp;IF(AND($D197="Encerrado",Config!$D$18&lt;&gt;"",W197&lt;&gt;"Sim",W197&lt;&gt;"N/A"),Config!$D$18&amp;"; ","")&amp;IF(AND($D197="Encerrado",Config!$D$19&lt;&gt;"",X197&lt;&gt;"Sim",X197&lt;&gt;"N/A"),Config!$D$19&amp;"; ",""))</f>
        <v/>
      </c>
    </row>
    <row r="198">
      <c r="A198" s="29" t="n"/>
      <c r="B198" s="29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25">
        <f>IF(A198="","",IFERROR(COUNTIF(E198:N198,"Sim")/(Config!$B$21-COUNTIF(E198:N198,"N/A")),""))</f>
        <v/>
      </c>
      <c r="Z198" s="25">
        <f>IF(OR(A198="",D198&lt;&gt;"Encerrado"),"",IFERROR(COUNTIF(O198:X198,"Sim")/(Config!$D$21-COUNTIF(O198:X198,"N/A")),""))</f>
        <v/>
      </c>
      <c r="AA198" s="23">
        <f>IF(A198="","",MAX(0,Config!$B$21-COUNTIF(E198:N198,"Sim")-COUNTIF(E198:N198,"N/A")))</f>
        <v/>
      </c>
      <c r="AB198" s="23">
        <f>IF(OR(A198="",D198&lt;&gt;"Encerrado"),"",MAX(0,Config!$D$21-COUNTIF(O198:X198,"Sim")-COUNTIF(O198:X198,"N/A")))</f>
        <v/>
      </c>
      <c r="AC198" s="23">
        <f>IF(A198="","",AA198+IF(AB198="",0,AB198))</f>
        <v/>
      </c>
      <c r="AD198" s="24">
        <f>IF(OR(A198="",AF198=""),"",LEFT(AF198,LEN(AF198)-2))</f>
        <v/>
      </c>
      <c r="AE198" s="35">
        <f>IF(OR(A198="",AC198=0),0,AC198*100-ROW()/100000)</f>
        <v>0</v>
      </c>
      <c r="AF198" s="35">
        <f>IF(A198="","",IF(AND(Config!$B$10&lt;&gt;"",E198&lt;&gt;"Sim",E198&lt;&gt;"N/A"),Config!$B$10&amp;"; ","")&amp;IF(AND(Config!$B$11&lt;&gt;"",F198&lt;&gt;"Sim",F198&lt;&gt;"N/A"),Config!$B$11&amp;"; ","")&amp;IF(AND(Config!$B$12&lt;&gt;"",G198&lt;&gt;"Sim",G198&lt;&gt;"N/A"),Config!$B$12&amp;"; ","")&amp;IF(AND(Config!$B$13&lt;&gt;"",H198&lt;&gt;"Sim",H198&lt;&gt;"N/A"),Config!$B$13&amp;"; ","")&amp;IF(AND(Config!$B$14&lt;&gt;"",I198&lt;&gt;"Sim",I198&lt;&gt;"N/A"),Config!$B$14&amp;"; ","")&amp;IF(AND(Config!$B$15&lt;&gt;"",J198&lt;&gt;"Sim",J198&lt;&gt;"N/A"),Config!$B$15&amp;"; ","")&amp;IF(AND(Config!$B$16&lt;&gt;"",K198&lt;&gt;"Sim",K198&lt;&gt;"N/A"),Config!$B$16&amp;"; ","")&amp;IF(AND(Config!$B$17&lt;&gt;"",L198&lt;&gt;"Sim",L198&lt;&gt;"N/A"),Config!$B$17&amp;"; ","")&amp;IF(AND(Config!$B$18&lt;&gt;"",M198&lt;&gt;"Sim",M198&lt;&gt;"N/A"),Config!$B$18&amp;"; ","")&amp;IF(AND(Config!$B$19&lt;&gt;"",N198&lt;&gt;"Sim",N198&lt;&gt;"N/A"),Config!$B$19&amp;"; ","")&amp;IF(AND($D198="Encerrado",Config!$D$10&lt;&gt;"",O198&lt;&gt;"Sim",O198&lt;&gt;"N/A"),Config!$D$10&amp;"; ","")&amp;IF(AND($D198="Encerrado",Config!$D$11&lt;&gt;"",P198&lt;&gt;"Sim",P198&lt;&gt;"N/A"),Config!$D$11&amp;"; ","")&amp;IF(AND($D198="Encerrado",Config!$D$12&lt;&gt;"",Q198&lt;&gt;"Sim",Q198&lt;&gt;"N/A"),Config!$D$12&amp;"; ","")&amp;IF(AND($D198="Encerrado",Config!$D$13&lt;&gt;"",R198&lt;&gt;"Sim",R198&lt;&gt;"N/A"),Config!$D$13&amp;"; ","")&amp;IF(AND($D198="Encerrado",Config!$D$14&lt;&gt;"",S198&lt;&gt;"Sim",S198&lt;&gt;"N/A"),Config!$D$14&amp;"; ","")&amp;IF(AND($D198="Encerrado",Config!$D$15&lt;&gt;"",T198&lt;&gt;"Sim",T198&lt;&gt;"N/A"),Config!$D$15&amp;"; ","")&amp;IF(AND($D198="Encerrado",Config!$D$16&lt;&gt;"",U198&lt;&gt;"Sim",U198&lt;&gt;"N/A"),Config!$D$16&amp;"; ","")&amp;IF(AND($D198="Encerrado",Config!$D$17&lt;&gt;"",V198&lt;&gt;"Sim",V198&lt;&gt;"N/A"),Config!$D$17&amp;"; ","")&amp;IF(AND($D198="Encerrado",Config!$D$18&lt;&gt;"",W198&lt;&gt;"Sim",W198&lt;&gt;"N/A"),Config!$D$18&amp;"; ","")&amp;IF(AND($D198="Encerrado",Config!$D$19&lt;&gt;"",X198&lt;&gt;"Sim",X198&lt;&gt;"N/A"),Config!$D$19&amp;"; ",""))</f>
        <v/>
      </c>
    </row>
    <row r="199">
      <c r="A199" s="29" t="n"/>
      <c r="B199" s="29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25">
        <f>IF(A199="","",IFERROR(COUNTIF(E199:N199,"Sim")/(Config!$B$21-COUNTIF(E199:N199,"N/A")),""))</f>
        <v/>
      </c>
      <c r="Z199" s="25">
        <f>IF(OR(A199="",D199&lt;&gt;"Encerrado"),"",IFERROR(COUNTIF(O199:X199,"Sim")/(Config!$D$21-COUNTIF(O199:X199,"N/A")),""))</f>
        <v/>
      </c>
      <c r="AA199" s="23">
        <f>IF(A199="","",MAX(0,Config!$B$21-COUNTIF(E199:N199,"Sim")-COUNTIF(E199:N199,"N/A")))</f>
        <v/>
      </c>
      <c r="AB199" s="23">
        <f>IF(OR(A199="",D199&lt;&gt;"Encerrado"),"",MAX(0,Config!$D$21-COUNTIF(O199:X199,"Sim")-COUNTIF(O199:X199,"N/A")))</f>
        <v/>
      </c>
      <c r="AC199" s="23">
        <f>IF(A199="","",AA199+IF(AB199="",0,AB199))</f>
        <v/>
      </c>
      <c r="AD199" s="24">
        <f>IF(OR(A199="",AF199=""),"",LEFT(AF199,LEN(AF199)-2))</f>
        <v/>
      </c>
      <c r="AE199" s="35">
        <f>IF(OR(A199="",AC199=0),0,AC199*100-ROW()/100000)</f>
        <v>0</v>
      </c>
      <c r="AF199" s="35">
        <f>IF(A199="","",IF(AND(Config!$B$10&lt;&gt;"",E199&lt;&gt;"Sim",E199&lt;&gt;"N/A"),Config!$B$10&amp;"; ","")&amp;IF(AND(Config!$B$11&lt;&gt;"",F199&lt;&gt;"Sim",F199&lt;&gt;"N/A"),Config!$B$11&amp;"; ","")&amp;IF(AND(Config!$B$12&lt;&gt;"",G199&lt;&gt;"Sim",G199&lt;&gt;"N/A"),Config!$B$12&amp;"; ","")&amp;IF(AND(Config!$B$13&lt;&gt;"",H199&lt;&gt;"Sim",H199&lt;&gt;"N/A"),Config!$B$13&amp;"; ","")&amp;IF(AND(Config!$B$14&lt;&gt;"",I199&lt;&gt;"Sim",I199&lt;&gt;"N/A"),Config!$B$14&amp;"; ","")&amp;IF(AND(Config!$B$15&lt;&gt;"",J199&lt;&gt;"Sim",J199&lt;&gt;"N/A"),Config!$B$15&amp;"; ","")&amp;IF(AND(Config!$B$16&lt;&gt;"",K199&lt;&gt;"Sim",K199&lt;&gt;"N/A"),Config!$B$16&amp;"; ","")&amp;IF(AND(Config!$B$17&lt;&gt;"",L199&lt;&gt;"Sim",L199&lt;&gt;"N/A"),Config!$B$17&amp;"; ","")&amp;IF(AND(Config!$B$18&lt;&gt;"",M199&lt;&gt;"Sim",M199&lt;&gt;"N/A"),Config!$B$18&amp;"; ","")&amp;IF(AND(Config!$B$19&lt;&gt;"",N199&lt;&gt;"Sim",N199&lt;&gt;"N/A"),Config!$B$19&amp;"; ","")&amp;IF(AND($D199="Encerrado",Config!$D$10&lt;&gt;"",O199&lt;&gt;"Sim",O199&lt;&gt;"N/A"),Config!$D$10&amp;"; ","")&amp;IF(AND($D199="Encerrado",Config!$D$11&lt;&gt;"",P199&lt;&gt;"Sim",P199&lt;&gt;"N/A"),Config!$D$11&amp;"; ","")&amp;IF(AND($D199="Encerrado",Config!$D$12&lt;&gt;"",Q199&lt;&gt;"Sim",Q199&lt;&gt;"N/A"),Config!$D$12&amp;"; ","")&amp;IF(AND($D199="Encerrado",Config!$D$13&lt;&gt;"",R199&lt;&gt;"Sim",R199&lt;&gt;"N/A"),Config!$D$13&amp;"; ","")&amp;IF(AND($D199="Encerrado",Config!$D$14&lt;&gt;"",S199&lt;&gt;"Sim",S199&lt;&gt;"N/A"),Config!$D$14&amp;"; ","")&amp;IF(AND($D199="Encerrado",Config!$D$15&lt;&gt;"",T199&lt;&gt;"Sim",T199&lt;&gt;"N/A"),Config!$D$15&amp;"; ","")&amp;IF(AND($D199="Encerrado",Config!$D$16&lt;&gt;"",U199&lt;&gt;"Sim",U199&lt;&gt;"N/A"),Config!$D$16&amp;"; ","")&amp;IF(AND($D199="Encerrado",Config!$D$17&lt;&gt;"",V199&lt;&gt;"Sim",V199&lt;&gt;"N/A"),Config!$D$17&amp;"; ","")&amp;IF(AND($D199="Encerrado",Config!$D$18&lt;&gt;"",W199&lt;&gt;"Sim",W199&lt;&gt;"N/A"),Config!$D$18&amp;"; ","")&amp;IF(AND($D199="Encerrado",Config!$D$19&lt;&gt;"",X199&lt;&gt;"Sim",X199&lt;&gt;"N/A"),Config!$D$19&amp;"; ",""))</f>
        <v/>
      </c>
    </row>
    <row r="200">
      <c r="A200" s="29" t="n"/>
      <c r="B200" s="29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25">
        <f>IF(A200="","",IFERROR(COUNTIF(E200:N200,"Sim")/(Config!$B$21-COUNTIF(E200:N200,"N/A")),""))</f>
        <v/>
      </c>
      <c r="Z200" s="25">
        <f>IF(OR(A200="",D200&lt;&gt;"Encerrado"),"",IFERROR(COUNTIF(O200:X200,"Sim")/(Config!$D$21-COUNTIF(O200:X200,"N/A")),""))</f>
        <v/>
      </c>
      <c r="AA200" s="23">
        <f>IF(A200="","",MAX(0,Config!$B$21-COUNTIF(E200:N200,"Sim")-COUNTIF(E200:N200,"N/A")))</f>
        <v/>
      </c>
      <c r="AB200" s="23">
        <f>IF(OR(A200="",D200&lt;&gt;"Encerrado"),"",MAX(0,Config!$D$21-COUNTIF(O200:X200,"Sim")-COUNTIF(O200:X200,"N/A")))</f>
        <v/>
      </c>
      <c r="AC200" s="23">
        <f>IF(A200="","",AA200+IF(AB200="",0,AB200))</f>
        <v/>
      </c>
      <c r="AD200" s="24">
        <f>IF(OR(A200="",AF200=""),"",LEFT(AF200,LEN(AF200)-2))</f>
        <v/>
      </c>
      <c r="AE200" s="35">
        <f>IF(OR(A200="",AC200=0),0,AC200*100-ROW()/100000)</f>
        <v>0</v>
      </c>
      <c r="AF200" s="35">
        <f>IF(A200="","",IF(AND(Config!$B$10&lt;&gt;"",E200&lt;&gt;"Sim",E200&lt;&gt;"N/A"),Config!$B$10&amp;"; ","")&amp;IF(AND(Config!$B$11&lt;&gt;"",F200&lt;&gt;"Sim",F200&lt;&gt;"N/A"),Config!$B$11&amp;"; ","")&amp;IF(AND(Config!$B$12&lt;&gt;"",G200&lt;&gt;"Sim",G200&lt;&gt;"N/A"),Config!$B$12&amp;"; ","")&amp;IF(AND(Config!$B$13&lt;&gt;"",H200&lt;&gt;"Sim",H200&lt;&gt;"N/A"),Config!$B$13&amp;"; ","")&amp;IF(AND(Config!$B$14&lt;&gt;"",I200&lt;&gt;"Sim",I200&lt;&gt;"N/A"),Config!$B$14&amp;"; ","")&amp;IF(AND(Config!$B$15&lt;&gt;"",J200&lt;&gt;"Sim",J200&lt;&gt;"N/A"),Config!$B$15&amp;"; ","")&amp;IF(AND(Config!$B$16&lt;&gt;"",K200&lt;&gt;"Sim",K200&lt;&gt;"N/A"),Config!$B$16&amp;"; ","")&amp;IF(AND(Config!$B$17&lt;&gt;"",L200&lt;&gt;"Sim",L200&lt;&gt;"N/A"),Config!$B$17&amp;"; ","")&amp;IF(AND(Config!$B$18&lt;&gt;"",M200&lt;&gt;"Sim",M200&lt;&gt;"N/A"),Config!$B$18&amp;"; ","")&amp;IF(AND(Config!$B$19&lt;&gt;"",N200&lt;&gt;"Sim",N200&lt;&gt;"N/A"),Config!$B$19&amp;"; ","")&amp;IF(AND($D200="Encerrado",Config!$D$10&lt;&gt;"",O200&lt;&gt;"Sim",O200&lt;&gt;"N/A"),Config!$D$10&amp;"; ","")&amp;IF(AND($D200="Encerrado",Config!$D$11&lt;&gt;"",P200&lt;&gt;"Sim",P200&lt;&gt;"N/A"),Config!$D$11&amp;"; ","")&amp;IF(AND($D200="Encerrado",Config!$D$12&lt;&gt;"",Q200&lt;&gt;"Sim",Q200&lt;&gt;"N/A"),Config!$D$12&amp;"; ","")&amp;IF(AND($D200="Encerrado",Config!$D$13&lt;&gt;"",R200&lt;&gt;"Sim",R200&lt;&gt;"N/A"),Config!$D$13&amp;"; ","")&amp;IF(AND($D200="Encerrado",Config!$D$14&lt;&gt;"",S200&lt;&gt;"Sim",S200&lt;&gt;"N/A"),Config!$D$14&amp;"; ","")&amp;IF(AND($D200="Encerrado",Config!$D$15&lt;&gt;"",T200&lt;&gt;"Sim",T200&lt;&gt;"N/A"),Config!$D$15&amp;"; ","")&amp;IF(AND($D200="Encerrado",Config!$D$16&lt;&gt;"",U200&lt;&gt;"Sim",U200&lt;&gt;"N/A"),Config!$D$16&amp;"; ","")&amp;IF(AND($D200="Encerrado",Config!$D$17&lt;&gt;"",V200&lt;&gt;"Sim",V200&lt;&gt;"N/A"),Config!$D$17&amp;"; ","")&amp;IF(AND($D200="Encerrado",Config!$D$18&lt;&gt;"",W200&lt;&gt;"Sim",W200&lt;&gt;"N/A"),Config!$D$18&amp;"; ","")&amp;IF(AND($D200="Encerrado",Config!$D$19&lt;&gt;"",X200&lt;&gt;"Sim",X200&lt;&gt;"N/A"),Config!$D$19&amp;"; ",""))</f>
        <v/>
      </c>
    </row>
    <row r="201">
      <c r="A201" s="29" t="n"/>
      <c r="B201" s="29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25">
        <f>IF(A201="","",IFERROR(COUNTIF(E201:N201,"Sim")/(Config!$B$21-COUNTIF(E201:N201,"N/A")),""))</f>
        <v/>
      </c>
      <c r="Z201" s="25">
        <f>IF(OR(A201="",D201&lt;&gt;"Encerrado"),"",IFERROR(COUNTIF(O201:X201,"Sim")/(Config!$D$21-COUNTIF(O201:X201,"N/A")),""))</f>
        <v/>
      </c>
      <c r="AA201" s="23">
        <f>IF(A201="","",MAX(0,Config!$B$21-COUNTIF(E201:N201,"Sim")-COUNTIF(E201:N201,"N/A")))</f>
        <v/>
      </c>
      <c r="AB201" s="23">
        <f>IF(OR(A201="",D201&lt;&gt;"Encerrado"),"",MAX(0,Config!$D$21-COUNTIF(O201:X201,"Sim")-COUNTIF(O201:X201,"N/A")))</f>
        <v/>
      </c>
      <c r="AC201" s="23">
        <f>IF(A201="","",AA201+IF(AB201="",0,AB201))</f>
        <v/>
      </c>
      <c r="AD201" s="24">
        <f>IF(OR(A201="",AF201=""),"",LEFT(AF201,LEN(AF201)-2))</f>
        <v/>
      </c>
      <c r="AE201" s="35">
        <f>IF(OR(A201="",AC201=0),0,AC201*100-ROW()/100000)</f>
        <v>0</v>
      </c>
      <c r="AF201" s="35">
        <f>IF(A201="","",IF(AND(Config!$B$10&lt;&gt;"",E201&lt;&gt;"Sim",E201&lt;&gt;"N/A"),Config!$B$10&amp;"; ","")&amp;IF(AND(Config!$B$11&lt;&gt;"",F201&lt;&gt;"Sim",F201&lt;&gt;"N/A"),Config!$B$11&amp;"; ","")&amp;IF(AND(Config!$B$12&lt;&gt;"",G201&lt;&gt;"Sim",G201&lt;&gt;"N/A"),Config!$B$12&amp;"; ","")&amp;IF(AND(Config!$B$13&lt;&gt;"",H201&lt;&gt;"Sim",H201&lt;&gt;"N/A"),Config!$B$13&amp;"; ","")&amp;IF(AND(Config!$B$14&lt;&gt;"",I201&lt;&gt;"Sim",I201&lt;&gt;"N/A"),Config!$B$14&amp;"; ","")&amp;IF(AND(Config!$B$15&lt;&gt;"",J201&lt;&gt;"Sim",J201&lt;&gt;"N/A"),Config!$B$15&amp;"; ","")&amp;IF(AND(Config!$B$16&lt;&gt;"",K201&lt;&gt;"Sim",K201&lt;&gt;"N/A"),Config!$B$16&amp;"; ","")&amp;IF(AND(Config!$B$17&lt;&gt;"",L201&lt;&gt;"Sim",L201&lt;&gt;"N/A"),Config!$B$17&amp;"; ","")&amp;IF(AND(Config!$B$18&lt;&gt;"",M201&lt;&gt;"Sim",M201&lt;&gt;"N/A"),Config!$B$18&amp;"; ","")&amp;IF(AND(Config!$B$19&lt;&gt;"",N201&lt;&gt;"Sim",N201&lt;&gt;"N/A"),Config!$B$19&amp;"; ","")&amp;IF(AND($D201="Encerrado",Config!$D$10&lt;&gt;"",O201&lt;&gt;"Sim",O201&lt;&gt;"N/A"),Config!$D$10&amp;"; ","")&amp;IF(AND($D201="Encerrado",Config!$D$11&lt;&gt;"",P201&lt;&gt;"Sim",P201&lt;&gt;"N/A"),Config!$D$11&amp;"; ","")&amp;IF(AND($D201="Encerrado",Config!$D$12&lt;&gt;"",Q201&lt;&gt;"Sim",Q201&lt;&gt;"N/A"),Config!$D$12&amp;"; ","")&amp;IF(AND($D201="Encerrado",Config!$D$13&lt;&gt;"",R201&lt;&gt;"Sim",R201&lt;&gt;"N/A"),Config!$D$13&amp;"; ","")&amp;IF(AND($D201="Encerrado",Config!$D$14&lt;&gt;"",S201&lt;&gt;"Sim",S201&lt;&gt;"N/A"),Config!$D$14&amp;"; ","")&amp;IF(AND($D201="Encerrado",Config!$D$15&lt;&gt;"",T201&lt;&gt;"Sim",T201&lt;&gt;"N/A"),Config!$D$15&amp;"; ","")&amp;IF(AND($D201="Encerrado",Config!$D$16&lt;&gt;"",U201&lt;&gt;"Sim",U201&lt;&gt;"N/A"),Config!$D$16&amp;"; ","")&amp;IF(AND($D201="Encerrado",Config!$D$17&lt;&gt;"",V201&lt;&gt;"Sim",V201&lt;&gt;"N/A"),Config!$D$17&amp;"; ","")&amp;IF(AND($D201="Encerrado",Config!$D$18&lt;&gt;"",W201&lt;&gt;"Sim",W201&lt;&gt;"N/A"),Config!$D$18&amp;"; ","")&amp;IF(AND($D201="Encerrado",Config!$D$19&lt;&gt;"",X201&lt;&gt;"Sim",X201&lt;&gt;"N/A"),Config!$D$19&amp;"; ",""))</f>
        <v/>
      </c>
    </row>
    <row r="202">
      <c r="A202" s="29" t="n"/>
      <c r="B202" s="29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25">
        <f>IF(A202="","",IFERROR(COUNTIF(E202:N202,"Sim")/(Config!$B$21-COUNTIF(E202:N202,"N/A")),""))</f>
        <v/>
      </c>
      <c r="Z202" s="25">
        <f>IF(OR(A202="",D202&lt;&gt;"Encerrado"),"",IFERROR(COUNTIF(O202:X202,"Sim")/(Config!$D$21-COUNTIF(O202:X202,"N/A")),""))</f>
        <v/>
      </c>
      <c r="AA202" s="23">
        <f>IF(A202="","",MAX(0,Config!$B$21-COUNTIF(E202:N202,"Sim")-COUNTIF(E202:N202,"N/A")))</f>
        <v/>
      </c>
      <c r="AB202" s="23">
        <f>IF(OR(A202="",D202&lt;&gt;"Encerrado"),"",MAX(0,Config!$D$21-COUNTIF(O202:X202,"Sim")-COUNTIF(O202:X202,"N/A")))</f>
        <v/>
      </c>
      <c r="AC202" s="23">
        <f>IF(A202="","",AA202+IF(AB202="",0,AB202))</f>
        <v/>
      </c>
      <c r="AD202" s="24">
        <f>IF(OR(A202="",AF202=""),"",LEFT(AF202,LEN(AF202)-2))</f>
        <v/>
      </c>
      <c r="AE202" s="35">
        <f>IF(OR(A202="",AC202=0),0,AC202*100-ROW()/100000)</f>
        <v>0</v>
      </c>
      <c r="AF202" s="35">
        <f>IF(A202="","",IF(AND(Config!$B$10&lt;&gt;"",E202&lt;&gt;"Sim",E202&lt;&gt;"N/A"),Config!$B$10&amp;"; ","")&amp;IF(AND(Config!$B$11&lt;&gt;"",F202&lt;&gt;"Sim",F202&lt;&gt;"N/A"),Config!$B$11&amp;"; ","")&amp;IF(AND(Config!$B$12&lt;&gt;"",G202&lt;&gt;"Sim",G202&lt;&gt;"N/A"),Config!$B$12&amp;"; ","")&amp;IF(AND(Config!$B$13&lt;&gt;"",H202&lt;&gt;"Sim",H202&lt;&gt;"N/A"),Config!$B$13&amp;"; ","")&amp;IF(AND(Config!$B$14&lt;&gt;"",I202&lt;&gt;"Sim",I202&lt;&gt;"N/A"),Config!$B$14&amp;"; ","")&amp;IF(AND(Config!$B$15&lt;&gt;"",J202&lt;&gt;"Sim",J202&lt;&gt;"N/A"),Config!$B$15&amp;"; ","")&amp;IF(AND(Config!$B$16&lt;&gt;"",K202&lt;&gt;"Sim",K202&lt;&gt;"N/A"),Config!$B$16&amp;"; ","")&amp;IF(AND(Config!$B$17&lt;&gt;"",L202&lt;&gt;"Sim",L202&lt;&gt;"N/A"),Config!$B$17&amp;"; ","")&amp;IF(AND(Config!$B$18&lt;&gt;"",M202&lt;&gt;"Sim",M202&lt;&gt;"N/A"),Config!$B$18&amp;"; ","")&amp;IF(AND(Config!$B$19&lt;&gt;"",N202&lt;&gt;"Sim",N202&lt;&gt;"N/A"),Config!$B$19&amp;"; ","")&amp;IF(AND($D202="Encerrado",Config!$D$10&lt;&gt;"",O202&lt;&gt;"Sim",O202&lt;&gt;"N/A"),Config!$D$10&amp;"; ","")&amp;IF(AND($D202="Encerrado",Config!$D$11&lt;&gt;"",P202&lt;&gt;"Sim",P202&lt;&gt;"N/A"),Config!$D$11&amp;"; ","")&amp;IF(AND($D202="Encerrado",Config!$D$12&lt;&gt;"",Q202&lt;&gt;"Sim",Q202&lt;&gt;"N/A"),Config!$D$12&amp;"; ","")&amp;IF(AND($D202="Encerrado",Config!$D$13&lt;&gt;"",R202&lt;&gt;"Sim",R202&lt;&gt;"N/A"),Config!$D$13&amp;"; ","")&amp;IF(AND($D202="Encerrado",Config!$D$14&lt;&gt;"",S202&lt;&gt;"Sim",S202&lt;&gt;"N/A"),Config!$D$14&amp;"; ","")&amp;IF(AND($D202="Encerrado",Config!$D$15&lt;&gt;"",T202&lt;&gt;"Sim",T202&lt;&gt;"N/A"),Config!$D$15&amp;"; ","")&amp;IF(AND($D202="Encerrado",Config!$D$16&lt;&gt;"",U202&lt;&gt;"Sim",U202&lt;&gt;"N/A"),Config!$D$16&amp;"; ","")&amp;IF(AND($D202="Encerrado",Config!$D$17&lt;&gt;"",V202&lt;&gt;"Sim",V202&lt;&gt;"N/A"),Config!$D$17&amp;"; ","")&amp;IF(AND($D202="Encerrado",Config!$D$18&lt;&gt;"",W202&lt;&gt;"Sim",W202&lt;&gt;"N/A"),Config!$D$18&amp;"; ","")&amp;IF(AND($D202="Encerrado",Config!$D$19&lt;&gt;"",X202&lt;&gt;"Sim",X202&lt;&gt;"N/A"),Config!$D$19&amp;"; ",""))</f>
        <v/>
      </c>
    </row>
    <row r="203">
      <c r="A203" s="29" t="n"/>
      <c r="B203" s="29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25">
        <f>IF(A203="","",IFERROR(COUNTIF(E203:N203,"Sim")/(Config!$B$21-COUNTIF(E203:N203,"N/A")),""))</f>
        <v/>
      </c>
      <c r="Z203" s="25">
        <f>IF(OR(A203="",D203&lt;&gt;"Encerrado"),"",IFERROR(COUNTIF(O203:X203,"Sim")/(Config!$D$21-COUNTIF(O203:X203,"N/A")),""))</f>
        <v/>
      </c>
      <c r="AA203" s="23">
        <f>IF(A203="","",MAX(0,Config!$B$21-COUNTIF(E203:N203,"Sim")-COUNTIF(E203:N203,"N/A")))</f>
        <v/>
      </c>
      <c r="AB203" s="23">
        <f>IF(OR(A203="",D203&lt;&gt;"Encerrado"),"",MAX(0,Config!$D$21-COUNTIF(O203:X203,"Sim")-COUNTIF(O203:X203,"N/A")))</f>
        <v/>
      </c>
      <c r="AC203" s="23">
        <f>IF(A203="","",AA203+IF(AB203="",0,AB203))</f>
        <v/>
      </c>
      <c r="AD203" s="24">
        <f>IF(OR(A203="",AF203=""),"",LEFT(AF203,LEN(AF203)-2))</f>
        <v/>
      </c>
      <c r="AE203" s="35">
        <f>IF(OR(A203="",AC203=0),0,AC203*100-ROW()/100000)</f>
        <v>0</v>
      </c>
      <c r="AF203" s="35">
        <f>IF(A203="","",IF(AND(Config!$B$10&lt;&gt;"",E203&lt;&gt;"Sim",E203&lt;&gt;"N/A"),Config!$B$10&amp;"; ","")&amp;IF(AND(Config!$B$11&lt;&gt;"",F203&lt;&gt;"Sim",F203&lt;&gt;"N/A"),Config!$B$11&amp;"; ","")&amp;IF(AND(Config!$B$12&lt;&gt;"",G203&lt;&gt;"Sim",G203&lt;&gt;"N/A"),Config!$B$12&amp;"; ","")&amp;IF(AND(Config!$B$13&lt;&gt;"",H203&lt;&gt;"Sim",H203&lt;&gt;"N/A"),Config!$B$13&amp;"; ","")&amp;IF(AND(Config!$B$14&lt;&gt;"",I203&lt;&gt;"Sim",I203&lt;&gt;"N/A"),Config!$B$14&amp;"; ","")&amp;IF(AND(Config!$B$15&lt;&gt;"",J203&lt;&gt;"Sim",J203&lt;&gt;"N/A"),Config!$B$15&amp;"; ","")&amp;IF(AND(Config!$B$16&lt;&gt;"",K203&lt;&gt;"Sim",K203&lt;&gt;"N/A"),Config!$B$16&amp;"; ","")&amp;IF(AND(Config!$B$17&lt;&gt;"",L203&lt;&gt;"Sim",L203&lt;&gt;"N/A"),Config!$B$17&amp;"; ","")&amp;IF(AND(Config!$B$18&lt;&gt;"",M203&lt;&gt;"Sim",M203&lt;&gt;"N/A"),Config!$B$18&amp;"; ","")&amp;IF(AND(Config!$B$19&lt;&gt;"",N203&lt;&gt;"Sim",N203&lt;&gt;"N/A"),Config!$B$19&amp;"; ","")&amp;IF(AND($D203="Encerrado",Config!$D$10&lt;&gt;"",O203&lt;&gt;"Sim",O203&lt;&gt;"N/A"),Config!$D$10&amp;"; ","")&amp;IF(AND($D203="Encerrado",Config!$D$11&lt;&gt;"",P203&lt;&gt;"Sim",P203&lt;&gt;"N/A"),Config!$D$11&amp;"; ","")&amp;IF(AND($D203="Encerrado",Config!$D$12&lt;&gt;"",Q203&lt;&gt;"Sim",Q203&lt;&gt;"N/A"),Config!$D$12&amp;"; ","")&amp;IF(AND($D203="Encerrado",Config!$D$13&lt;&gt;"",R203&lt;&gt;"Sim",R203&lt;&gt;"N/A"),Config!$D$13&amp;"; ","")&amp;IF(AND($D203="Encerrado",Config!$D$14&lt;&gt;"",S203&lt;&gt;"Sim",S203&lt;&gt;"N/A"),Config!$D$14&amp;"; ","")&amp;IF(AND($D203="Encerrado",Config!$D$15&lt;&gt;"",T203&lt;&gt;"Sim",T203&lt;&gt;"N/A"),Config!$D$15&amp;"; ","")&amp;IF(AND($D203="Encerrado",Config!$D$16&lt;&gt;"",U203&lt;&gt;"Sim",U203&lt;&gt;"N/A"),Config!$D$16&amp;"; ","")&amp;IF(AND($D203="Encerrado",Config!$D$17&lt;&gt;"",V203&lt;&gt;"Sim",V203&lt;&gt;"N/A"),Config!$D$17&amp;"; ","")&amp;IF(AND($D203="Encerrado",Config!$D$18&lt;&gt;"",W203&lt;&gt;"Sim",W203&lt;&gt;"N/A"),Config!$D$18&amp;"; ","")&amp;IF(AND($D203="Encerrado",Config!$D$19&lt;&gt;"",X203&lt;&gt;"Sim",X203&lt;&gt;"N/A"),Config!$D$19&amp;"; ",""))</f>
        <v/>
      </c>
    </row>
    <row r="204">
      <c r="A204" s="29" t="n"/>
      <c r="B204" s="29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25">
        <f>IF(A204="","",IFERROR(COUNTIF(E204:N204,"Sim")/(Config!$B$21-COUNTIF(E204:N204,"N/A")),""))</f>
        <v/>
      </c>
      <c r="Z204" s="25">
        <f>IF(OR(A204="",D204&lt;&gt;"Encerrado"),"",IFERROR(COUNTIF(O204:X204,"Sim")/(Config!$D$21-COUNTIF(O204:X204,"N/A")),""))</f>
        <v/>
      </c>
      <c r="AA204" s="23">
        <f>IF(A204="","",MAX(0,Config!$B$21-COUNTIF(E204:N204,"Sim")-COUNTIF(E204:N204,"N/A")))</f>
        <v/>
      </c>
      <c r="AB204" s="23">
        <f>IF(OR(A204="",D204&lt;&gt;"Encerrado"),"",MAX(0,Config!$D$21-COUNTIF(O204:X204,"Sim")-COUNTIF(O204:X204,"N/A")))</f>
        <v/>
      </c>
      <c r="AC204" s="23">
        <f>IF(A204="","",AA204+IF(AB204="",0,AB204))</f>
        <v/>
      </c>
      <c r="AD204" s="24">
        <f>IF(OR(A204="",AF204=""),"",LEFT(AF204,LEN(AF204)-2))</f>
        <v/>
      </c>
      <c r="AE204" s="35">
        <f>IF(OR(A204="",AC204=0),0,AC204*100-ROW()/100000)</f>
        <v>0</v>
      </c>
      <c r="AF204" s="35">
        <f>IF(A204="","",IF(AND(Config!$B$10&lt;&gt;"",E204&lt;&gt;"Sim",E204&lt;&gt;"N/A"),Config!$B$10&amp;"; ","")&amp;IF(AND(Config!$B$11&lt;&gt;"",F204&lt;&gt;"Sim",F204&lt;&gt;"N/A"),Config!$B$11&amp;"; ","")&amp;IF(AND(Config!$B$12&lt;&gt;"",G204&lt;&gt;"Sim",G204&lt;&gt;"N/A"),Config!$B$12&amp;"; ","")&amp;IF(AND(Config!$B$13&lt;&gt;"",H204&lt;&gt;"Sim",H204&lt;&gt;"N/A"),Config!$B$13&amp;"; ","")&amp;IF(AND(Config!$B$14&lt;&gt;"",I204&lt;&gt;"Sim",I204&lt;&gt;"N/A"),Config!$B$14&amp;"; ","")&amp;IF(AND(Config!$B$15&lt;&gt;"",J204&lt;&gt;"Sim",J204&lt;&gt;"N/A"),Config!$B$15&amp;"; ","")&amp;IF(AND(Config!$B$16&lt;&gt;"",K204&lt;&gt;"Sim",K204&lt;&gt;"N/A"),Config!$B$16&amp;"; ","")&amp;IF(AND(Config!$B$17&lt;&gt;"",L204&lt;&gt;"Sim",L204&lt;&gt;"N/A"),Config!$B$17&amp;"; ","")&amp;IF(AND(Config!$B$18&lt;&gt;"",M204&lt;&gt;"Sim",M204&lt;&gt;"N/A"),Config!$B$18&amp;"; ","")&amp;IF(AND(Config!$B$19&lt;&gt;"",N204&lt;&gt;"Sim",N204&lt;&gt;"N/A"),Config!$B$19&amp;"; ","")&amp;IF(AND($D204="Encerrado",Config!$D$10&lt;&gt;"",O204&lt;&gt;"Sim",O204&lt;&gt;"N/A"),Config!$D$10&amp;"; ","")&amp;IF(AND($D204="Encerrado",Config!$D$11&lt;&gt;"",P204&lt;&gt;"Sim",P204&lt;&gt;"N/A"),Config!$D$11&amp;"; ","")&amp;IF(AND($D204="Encerrado",Config!$D$12&lt;&gt;"",Q204&lt;&gt;"Sim",Q204&lt;&gt;"N/A"),Config!$D$12&amp;"; ","")&amp;IF(AND($D204="Encerrado",Config!$D$13&lt;&gt;"",R204&lt;&gt;"Sim",R204&lt;&gt;"N/A"),Config!$D$13&amp;"; ","")&amp;IF(AND($D204="Encerrado",Config!$D$14&lt;&gt;"",S204&lt;&gt;"Sim",S204&lt;&gt;"N/A"),Config!$D$14&amp;"; ","")&amp;IF(AND($D204="Encerrado",Config!$D$15&lt;&gt;"",T204&lt;&gt;"Sim",T204&lt;&gt;"N/A"),Config!$D$15&amp;"; ","")&amp;IF(AND($D204="Encerrado",Config!$D$16&lt;&gt;"",U204&lt;&gt;"Sim",U204&lt;&gt;"N/A"),Config!$D$16&amp;"; ","")&amp;IF(AND($D204="Encerrado",Config!$D$17&lt;&gt;"",V204&lt;&gt;"Sim",V204&lt;&gt;"N/A"),Config!$D$17&amp;"; ","")&amp;IF(AND($D204="Encerrado",Config!$D$18&lt;&gt;"",W204&lt;&gt;"Sim",W204&lt;&gt;"N/A"),Config!$D$18&amp;"; ","")&amp;IF(AND($D204="Encerrado",Config!$D$19&lt;&gt;"",X204&lt;&gt;"Sim",X204&lt;&gt;"N/A"),Config!$D$19&amp;"; ",""))</f>
        <v/>
      </c>
    </row>
    <row r="205">
      <c r="A205" s="29" t="n"/>
      <c r="B205" s="29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25">
        <f>IF(A205="","",IFERROR(COUNTIF(E205:N205,"Sim")/(Config!$B$21-COUNTIF(E205:N205,"N/A")),""))</f>
        <v/>
      </c>
      <c r="Z205" s="25">
        <f>IF(OR(A205="",D205&lt;&gt;"Encerrado"),"",IFERROR(COUNTIF(O205:X205,"Sim")/(Config!$D$21-COUNTIF(O205:X205,"N/A")),""))</f>
        <v/>
      </c>
      <c r="AA205" s="23">
        <f>IF(A205="","",MAX(0,Config!$B$21-COUNTIF(E205:N205,"Sim")-COUNTIF(E205:N205,"N/A")))</f>
        <v/>
      </c>
      <c r="AB205" s="23">
        <f>IF(OR(A205="",D205&lt;&gt;"Encerrado"),"",MAX(0,Config!$D$21-COUNTIF(O205:X205,"Sim")-COUNTIF(O205:X205,"N/A")))</f>
        <v/>
      </c>
      <c r="AC205" s="23">
        <f>IF(A205="","",AA205+IF(AB205="",0,AB205))</f>
        <v/>
      </c>
      <c r="AD205" s="24">
        <f>IF(OR(A205="",AF205=""),"",LEFT(AF205,LEN(AF205)-2))</f>
        <v/>
      </c>
      <c r="AE205" s="35">
        <f>IF(OR(A205="",AC205=0),0,AC205*100-ROW()/100000)</f>
        <v>0</v>
      </c>
      <c r="AF205" s="35">
        <f>IF(A205="","",IF(AND(Config!$B$10&lt;&gt;"",E205&lt;&gt;"Sim",E205&lt;&gt;"N/A"),Config!$B$10&amp;"; ","")&amp;IF(AND(Config!$B$11&lt;&gt;"",F205&lt;&gt;"Sim",F205&lt;&gt;"N/A"),Config!$B$11&amp;"; ","")&amp;IF(AND(Config!$B$12&lt;&gt;"",G205&lt;&gt;"Sim",G205&lt;&gt;"N/A"),Config!$B$12&amp;"; ","")&amp;IF(AND(Config!$B$13&lt;&gt;"",H205&lt;&gt;"Sim",H205&lt;&gt;"N/A"),Config!$B$13&amp;"; ","")&amp;IF(AND(Config!$B$14&lt;&gt;"",I205&lt;&gt;"Sim",I205&lt;&gt;"N/A"),Config!$B$14&amp;"; ","")&amp;IF(AND(Config!$B$15&lt;&gt;"",J205&lt;&gt;"Sim",J205&lt;&gt;"N/A"),Config!$B$15&amp;"; ","")&amp;IF(AND(Config!$B$16&lt;&gt;"",K205&lt;&gt;"Sim",K205&lt;&gt;"N/A"),Config!$B$16&amp;"; ","")&amp;IF(AND(Config!$B$17&lt;&gt;"",L205&lt;&gt;"Sim",L205&lt;&gt;"N/A"),Config!$B$17&amp;"; ","")&amp;IF(AND(Config!$B$18&lt;&gt;"",M205&lt;&gt;"Sim",M205&lt;&gt;"N/A"),Config!$B$18&amp;"; ","")&amp;IF(AND(Config!$B$19&lt;&gt;"",N205&lt;&gt;"Sim",N205&lt;&gt;"N/A"),Config!$B$19&amp;"; ","")&amp;IF(AND($D205="Encerrado",Config!$D$10&lt;&gt;"",O205&lt;&gt;"Sim",O205&lt;&gt;"N/A"),Config!$D$10&amp;"; ","")&amp;IF(AND($D205="Encerrado",Config!$D$11&lt;&gt;"",P205&lt;&gt;"Sim",P205&lt;&gt;"N/A"),Config!$D$11&amp;"; ","")&amp;IF(AND($D205="Encerrado",Config!$D$12&lt;&gt;"",Q205&lt;&gt;"Sim",Q205&lt;&gt;"N/A"),Config!$D$12&amp;"; ","")&amp;IF(AND($D205="Encerrado",Config!$D$13&lt;&gt;"",R205&lt;&gt;"Sim",R205&lt;&gt;"N/A"),Config!$D$13&amp;"; ","")&amp;IF(AND($D205="Encerrado",Config!$D$14&lt;&gt;"",S205&lt;&gt;"Sim",S205&lt;&gt;"N/A"),Config!$D$14&amp;"; ","")&amp;IF(AND($D205="Encerrado",Config!$D$15&lt;&gt;"",T205&lt;&gt;"Sim",T205&lt;&gt;"N/A"),Config!$D$15&amp;"; ","")&amp;IF(AND($D205="Encerrado",Config!$D$16&lt;&gt;"",U205&lt;&gt;"Sim",U205&lt;&gt;"N/A"),Config!$D$16&amp;"; ","")&amp;IF(AND($D205="Encerrado",Config!$D$17&lt;&gt;"",V205&lt;&gt;"Sim",V205&lt;&gt;"N/A"),Config!$D$17&amp;"; ","")&amp;IF(AND($D205="Encerrado",Config!$D$18&lt;&gt;"",W205&lt;&gt;"Sim",W205&lt;&gt;"N/A"),Config!$D$18&amp;"; ","")&amp;IF(AND($D205="Encerrado",Config!$D$19&lt;&gt;"",X205&lt;&gt;"Sim",X205&lt;&gt;"N/A"),Config!$D$19&amp;"; ",""))</f>
        <v/>
      </c>
    </row>
    <row r="206">
      <c r="A206" s="29" t="n"/>
      <c r="B206" s="29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25">
        <f>IF(A206="","",IFERROR(COUNTIF(E206:N206,"Sim")/(Config!$B$21-COUNTIF(E206:N206,"N/A")),""))</f>
        <v/>
      </c>
      <c r="Z206" s="25">
        <f>IF(OR(A206="",D206&lt;&gt;"Encerrado"),"",IFERROR(COUNTIF(O206:X206,"Sim")/(Config!$D$21-COUNTIF(O206:X206,"N/A")),""))</f>
        <v/>
      </c>
      <c r="AA206" s="23">
        <f>IF(A206="","",MAX(0,Config!$B$21-COUNTIF(E206:N206,"Sim")-COUNTIF(E206:N206,"N/A")))</f>
        <v/>
      </c>
      <c r="AB206" s="23">
        <f>IF(OR(A206="",D206&lt;&gt;"Encerrado"),"",MAX(0,Config!$D$21-COUNTIF(O206:X206,"Sim")-COUNTIF(O206:X206,"N/A")))</f>
        <v/>
      </c>
      <c r="AC206" s="23">
        <f>IF(A206="","",AA206+IF(AB206="",0,AB206))</f>
        <v/>
      </c>
      <c r="AD206" s="24">
        <f>IF(OR(A206="",AF206=""),"",LEFT(AF206,LEN(AF206)-2))</f>
        <v/>
      </c>
      <c r="AE206" s="35">
        <f>IF(OR(A206="",AC206=0),0,AC206*100-ROW()/100000)</f>
        <v>0</v>
      </c>
      <c r="AF206" s="35">
        <f>IF(A206="","",IF(AND(Config!$B$10&lt;&gt;"",E206&lt;&gt;"Sim",E206&lt;&gt;"N/A"),Config!$B$10&amp;"; ","")&amp;IF(AND(Config!$B$11&lt;&gt;"",F206&lt;&gt;"Sim",F206&lt;&gt;"N/A"),Config!$B$11&amp;"; ","")&amp;IF(AND(Config!$B$12&lt;&gt;"",G206&lt;&gt;"Sim",G206&lt;&gt;"N/A"),Config!$B$12&amp;"; ","")&amp;IF(AND(Config!$B$13&lt;&gt;"",H206&lt;&gt;"Sim",H206&lt;&gt;"N/A"),Config!$B$13&amp;"; ","")&amp;IF(AND(Config!$B$14&lt;&gt;"",I206&lt;&gt;"Sim",I206&lt;&gt;"N/A"),Config!$B$14&amp;"; ","")&amp;IF(AND(Config!$B$15&lt;&gt;"",J206&lt;&gt;"Sim",J206&lt;&gt;"N/A"),Config!$B$15&amp;"; ","")&amp;IF(AND(Config!$B$16&lt;&gt;"",K206&lt;&gt;"Sim",K206&lt;&gt;"N/A"),Config!$B$16&amp;"; ","")&amp;IF(AND(Config!$B$17&lt;&gt;"",L206&lt;&gt;"Sim",L206&lt;&gt;"N/A"),Config!$B$17&amp;"; ","")&amp;IF(AND(Config!$B$18&lt;&gt;"",M206&lt;&gt;"Sim",M206&lt;&gt;"N/A"),Config!$B$18&amp;"; ","")&amp;IF(AND(Config!$B$19&lt;&gt;"",N206&lt;&gt;"Sim",N206&lt;&gt;"N/A"),Config!$B$19&amp;"; ","")&amp;IF(AND($D206="Encerrado",Config!$D$10&lt;&gt;"",O206&lt;&gt;"Sim",O206&lt;&gt;"N/A"),Config!$D$10&amp;"; ","")&amp;IF(AND($D206="Encerrado",Config!$D$11&lt;&gt;"",P206&lt;&gt;"Sim",P206&lt;&gt;"N/A"),Config!$D$11&amp;"; ","")&amp;IF(AND($D206="Encerrado",Config!$D$12&lt;&gt;"",Q206&lt;&gt;"Sim",Q206&lt;&gt;"N/A"),Config!$D$12&amp;"; ","")&amp;IF(AND($D206="Encerrado",Config!$D$13&lt;&gt;"",R206&lt;&gt;"Sim",R206&lt;&gt;"N/A"),Config!$D$13&amp;"; ","")&amp;IF(AND($D206="Encerrado",Config!$D$14&lt;&gt;"",S206&lt;&gt;"Sim",S206&lt;&gt;"N/A"),Config!$D$14&amp;"; ","")&amp;IF(AND($D206="Encerrado",Config!$D$15&lt;&gt;"",T206&lt;&gt;"Sim",T206&lt;&gt;"N/A"),Config!$D$15&amp;"; ","")&amp;IF(AND($D206="Encerrado",Config!$D$16&lt;&gt;"",U206&lt;&gt;"Sim",U206&lt;&gt;"N/A"),Config!$D$16&amp;"; ","")&amp;IF(AND($D206="Encerrado",Config!$D$17&lt;&gt;"",V206&lt;&gt;"Sim",V206&lt;&gt;"N/A"),Config!$D$17&amp;"; ","")&amp;IF(AND($D206="Encerrado",Config!$D$18&lt;&gt;"",W206&lt;&gt;"Sim",W206&lt;&gt;"N/A"),Config!$D$18&amp;"; ","")&amp;IF(AND($D206="Encerrado",Config!$D$19&lt;&gt;"",X206&lt;&gt;"Sim",X206&lt;&gt;"N/A"),Config!$D$19&amp;"; ",""))</f>
        <v/>
      </c>
    </row>
    <row r="207">
      <c r="A207" s="29" t="n"/>
      <c r="B207" s="29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25">
        <f>IF(A207="","",IFERROR(COUNTIF(E207:N207,"Sim")/(Config!$B$21-COUNTIF(E207:N207,"N/A")),""))</f>
        <v/>
      </c>
      <c r="Z207" s="25">
        <f>IF(OR(A207="",D207&lt;&gt;"Encerrado"),"",IFERROR(COUNTIF(O207:X207,"Sim")/(Config!$D$21-COUNTIF(O207:X207,"N/A")),""))</f>
        <v/>
      </c>
      <c r="AA207" s="23">
        <f>IF(A207="","",MAX(0,Config!$B$21-COUNTIF(E207:N207,"Sim")-COUNTIF(E207:N207,"N/A")))</f>
        <v/>
      </c>
      <c r="AB207" s="23">
        <f>IF(OR(A207="",D207&lt;&gt;"Encerrado"),"",MAX(0,Config!$D$21-COUNTIF(O207:X207,"Sim")-COUNTIF(O207:X207,"N/A")))</f>
        <v/>
      </c>
      <c r="AC207" s="23">
        <f>IF(A207="","",AA207+IF(AB207="",0,AB207))</f>
        <v/>
      </c>
      <c r="AD207" s="24">
        <f>IF(OR(A207="",AF207=""),"",LEFT(AF207,LEN(AF207)-2))</f>
        <v/>
      </c>
      <c r="AE207" s="35">
        <f>IF(OR(A207="",AC207=0),0,AC207*100-ROW()/100000)</f>
        <v>0</v>
      </c>
      <c r="AF207" s="35">
        <f>IF(A207="","",IF(AND(Config!$B$10&lt;&gt;"",E207&lt;&gt;"Sim",E207&lt;&gt;"N/A"),Config!$B$10&amp;"; ","")&amp;IF(AND(Config!$B$11&lt;&gt;"",F207&lt;&gt;"Sim",F207&lt;&gt;"N/A"),Config!$B$11&amp;"; ","")&amp;IF(AND(Config!$B$12&lt;&gt;"",G207&lt;&gt;"Sim",G207&lt;&gt;"N/A"),Config!$B$12&amp;"; ","")&amp;IF(AND(Config!$B$13&lt;&gt;"",H207&lt;&gt;"Sim",H207&lt;&gt;"N/A"),Config!$B$13&amp;"; ","")&amp;IF(AND(Config!$B$14&lt;&gt;"",I207&lt;&gt;"Sim",I207&lt;&gt;"N/A"),Config!$B$14&amp;"; ","")&amp;IF(AND(Config!$B$15&lt;&gt;"",J207&lt;&gt;"Sim",J207&lt;&gt;"N/A"),Config!$B$15&amp;"; ","")&amp;IF(AND(Config!$B$16&lt;&gt;"",K207&lt;&gt;"Sim",K207&lt;&gt;"N/A"),Config!$B$16&amp;"; ","")&amp;IF(AND(Config!$B$17&lt;&gt;"",L207&lt;&gt;"Sim",L207&lt;&gt;"N/A"),Config!$B$17&amp;"; ","")&amp;IF(AND(Config!$B$18&lt;&gt;"",M207&lt;&gt;"Sim",M207&lt;&gt;"N/A"),Config!$B$18&amp;"; ","")&amp;IF(AND(Config!$B$19&lt;&gt;"",N207&lt;&gt;"Sim",N207&lt;&gt;"N/A"),Config!$B$19&amp;"; ","")&amp;IF(AND($D207="Encerrado",Config!$D$10&lt;&gt;"",O207&lt;&gt;"Sim",O207&lt;&gt;"N/A"),Config!$D$10&amp;"; ","")&amp;IF(AND($D207="Encerrado",Config!$D$11&lt;&gt;"",P207&lt;&gt;"Sim",P207&lt;&gt;"N/A"),Config!$D$11&amp;"; ","")&amp;IF(AND($D207="Encerrado",Config!$D$12&lt;&gt;"",Q207&lt;&gt;"Sim",Q207&lt;&gt;"N/A"),Config!$D$12&amp;"; ","")&amp;IF(AND($D207="Encerrado",Config!$D$13&lt;&gt;"",R207&lt;&gt;"Sim",R207&lt;&gt;"N/A"),Config!$D$13&amp;"; ","")&amp;IF(AND($D207="Encerrado",Config!$D$14&lt;&gt;"",S207&lt;&gt;"Sim",S207&lt;&gt;"N/A"),Config!$D$14&amp;"; ","")&amp;IF(AND($D207="Encerrado",Config!$D$15&lt;&gt;"",T207&lt;&gt;"Sim",T207&lt;&gt;"N/A"),Config!$D$15&amp;"; ","")&amp;IF(AND($D207="Encerrado",Config!$D$16&lt;&gt;"",U207&lt;&gt;"Sim",U207&lt;&gt;"N/A"),Config!$D$16&amp;"; ","")&amp;IF(AND($D207="Encerrado",Config!$D$17&lt;&gt;"",V207&lt;&gt;"Sim",V207&lt;&gt;"N/A"),Config!$D$17&amp;"; ","")&amp;IF(AND($D207="Encerrado",Config!$D$18&lt;&gt;"",W207&lt;&gt;"Sim",W207&lt;&gt;"N/A"),Config!$D$18&amp;"; ","")&amp;IF(AND($D207="Encerrado",Config!$D$19&lt;&gt;"",X207&lt;&gt;"Sim",X207&lt;&gt;"N/A"),Config!$D$19&amp;"; ",""))</f>
        <v/>
      </c>
    </row>
    <row r="208">
      <c r="A208" s="29" t="n"/>
      <c r="B208" s="29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25">
        <f>IF(A208="","",IFERROR(COUNTIF(E208:N208,"Sim")/(Config!$B$21-COUNTIF(E208:N208,"N/A")),""))</f>
        <v/>
      </c>
      <c r="Z208" s="25">
        <f>IF(OR(A208="",D208&lt;&gt;"Encerrado"),"",IFERROR(COUNTIF(O208:X208,"Sim")/(Config!$D$21-COUNTIF(O208:X208,"N/A")),""))</f>
        <v/>
      </c>
      <c r="AA208" s="23">
        <f>IF(A208="","",MAX(0,Config!$B$21-COUNTIF(E208:N208,"Sim")-COUNTIF(E208:N208,"N/A")))</f>
        <v/>
      </c>
      <c r="AB208" s="23">
        <f>IF(OR(A208="",D208&lt;&gt;"Encerrado"),"",MAX(0,Config!$D$21-COUNTIF(O208:X208,"Sim")-COUNTIF(O208:X208,"N/A")))</f>
        <v/>
      </c>
      <c r="AC208" s="23">
        <f>IF(A208="","",AA208+IF(AB208="",0,AB208))</f>
        <v/>
      </c>
      <c r="AD208" s="24">
        <f>IF(OR(A208="",AF208=""),"",LEFT(AF208,LEN(AF208)-2))</f>
        <v/>
      </c>
      <c r="AE208" s="35">
        <f>IF(OR(A208="",AC208=0),0,AC208*100-ROW()/100000)</f>
        <v>0</v>
      </c>
      <c r="AF208" s="35">
        <f>IF(A208="","",IF(AND(Config!$B$10&lt;&gt;"",E208&lt;&gt;"Sim",E208&lt;&gt;"N/A"),Config!$B$10&amp;"; ","")&amp;IF(AND(Config!$B$11&lt;&gt;"",F208&lt;&gt;"Sim",F208&lt;&gt;"N/A"),Config!$B$11&amp;"; ","")&amp;IF(AND(Config!$B$12&lt;&gt;"",G208&lt;&gt;"Sim",G208&lt;&gt;"N/A"),Config!$B$12&amp;"; ","")&amp;IF(AND(Config!$B$13&lt;&gt;"",H208&lt;&gt;"Sim",H208&lt;&gt;"N/A"),Config!$B$13&amp;"; ","")&amp;IF(AND(Config!$B$14&lt;&gt;"",I208&lt;&gt;"Sim",I208&lt;&gt;"N/A"),Config!$B$14&amp;"; ","")&amp;IF(AND(Config!$B$15&lt;&gt;"",J208&lt;&gt;"Sim",J208&lt;&gt;"N/A"),Config!$B$15&amp;"; ","")&amp;IF(AND(Config!$B$16&lt;&gt;"",K208&lt;&gt;"Sim",K208&lt;&gt;"N/A"),Config!$B$16&amp;"; ","")&amp;IF(AND(Config!$B$17&lt;&gt;"",L208&lt;&gt;"Sim",L208&lt;&gt;"N/A"),Config!$B$17&amp;"; ","")&amp;IF(AND(Config!$B$18&lt;&gt;"",M208&lt;&gt;"Sim",M208&lt;&gt;"N/A"),Config!$B$18&amp;"; ","")&amp;IF(AND(Config!$B$19&lt;&gt;"",N208&lt;&gt;"Sim",N208&lt;&gt;"N/A"),Config!$B$19&amp;"; ","")&amp;IF(AND($D208="Encerrado",Config!$D$10&lt;&gt;"",O208&lt;&gt;"Sim",O208&lt;&gt;"N/A"),Config!$D$10&amp;"; ","")&amp;IF(AND($D208="Encerrado",Config!$D$11&lt;&gt;"",P208&lt;&gt;"Sim",P208&lt;&gt;"N/A"),Config!$D$11&amp;"; ","")&amp;IF(AND($D208="Encerrado",Config!$D$12&lt;&gt;"",Q208&lt;&gt;"Sim",Q208&lt;&gt;"N/A"),Config!$D$12&amp;"; ","")&amp;IF(AND($D208="Encerrado",Config!$D$13&lt;&gt;"",R208&lt;&gt;"Sim",R208&lt;&gt;"N/A"),Config!$D$13&amp;"; ","")&amp;IF(AND($D208="Encerrado",Config!$D$14&lt;&gt;"",S208&lt;&gt;"Sim",S208&lt;&gt;"N/A"),Config!$D$14&amp;"; ","")&amp;IF(AND($D208="Encerrado",Config!$D$15&lt;&gt;"",T208&lt;&gt;"Sim",T208&lt;&gt;"N/A"),Config!$D$15&amp;"; ","")&amp;IF(AND($D208="Encerrado",Config!$D$16&lt;&gt;"",U208&lt;&gt;"Sim",U208&lt;&gt;"N/A"),Config!$D$16&amp;"; ","")&amp;IF(AND($D208="Encerrado",Config!$D$17&lt;&gt;"",V208&lt;&gt;"Sim",V208&lt;&gt;"N/A"),Config!$D$17&amp;"; ","")&amp;IF(AND($D208="Encerrado",Config!$D$18&lt;&gt;"",W208&lt;&gt;"Sim",W208&lt;&gt;"N/A"),Config!$D$18&amp;"; ","")&amp;IF(AND($D208="Encerrado",Config!$D$19&lt;&gt;"",X208&lt;&gt;"Sim",X208&lt;&gt;"N/A"),Config!$D$19&amp;"; ",""))</f>
        <v/>
      </c>
    </row>
    <row r="209">
      <c r="A209" s="29" t="n"/>
      <c r="B209" s="29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25">
        <f>IF(A209="","",IFERROR(COUNTIF(E209:N209,"Sim")/(Config!$B$21-COUNTIF(E209:N209,"N/A")),""))</f>
        <v/>
      </c>
      <c r="Z209" s="25">
        <f>IF(OR(A209="",D209&lt;&gt;"Encerrado"),"",IFERROR(COUNTIF(O209:X209,"Sim")/(Config!$D$21-COUNTIF(O209:X209,"N/A")),""))</f>
        <v/>
      </c>
      <c r="AA209" s="23">
        <f>IF(A209="","",MAX(0,Config!$B$21-COUNTIF(E209:N209,"Sim")-COUNTIF(E209:N209,"N/A")))</f>
        <v/>
      </c>
      <c r="AB209" s="23">
        <f>IF(OR(A209="",D209&lt;&gt;"Encerrado"),"",MAX(0,Config!$D$21-COUNTIF(O209:X209,"Sim")-COUNTIF(O209:X209,"N/A")))</f>
        <v/>
      </c>
      <c r="AC209" s="23">
        <f>IF(A209="","",AA209+IF(AB209="",0,AB209))</f>
        <v/>
      </c>
      <c r="AD209" s="24">
        <f>IF(OR(A209="",AF209=""),"",LEFT(AF209,LEN(AF209)-2))</f>
        <v/>
      </c>
      <c r="AE209" s="35">
        <f>IF(OR(A209="",AC209=0),0,AC209*100-ROW()/100000)</f>
        <v>0</v>
      </c>
      <c r="AF209" s="35">
        <f>IF(A209="","",IF(AND(Config!$B$10&lt;&gt;"",E209&lt;&gt;"Sim",E209&lt;&gt;"N/A"),Config!$B$10&amp;"; ","")&amp;IF(AND(Config!$B$11&lt;&gt;"",F209&lt;&gt;"Sim",F209&lt;&gt;"N/A"),Config!$B$11&amp;"; ","")&amp;IF(AND(Config!$B$12&lt;&gt;"",G209&lt;&gt;"Sim",G209&lt;&gt;"N/A"),Config!$B$12&amp;"; ","")&amp;IF(AND(Config!$B$13&lt;&gt;"",H209&lt;&gt;"Sim",H209&lt;&gt;"N/A"),Config!$B$13&amp;"; ","")&amp;IF(AND(Config!$B$14&lt;&gt;"",I209&lt;&gt;"Sim",I209&lt;&gt;"N/A"),Config!$B$14&amp;"; ","")&amp;IF(AND(Config!$B$15&lt;&gt;"",J209&lt;&gt;"Sim",J209&lt;&gt;"N/A"),Config!$B$15&amp;"; ","")&amp;IF(AND(Config!$B$16&lt;&gt;"",K209&lt;&gt;"Sim",K209&lt;&gt;"N/A"),Config!$B$16&amp;"; ","")&amp;IF(AND(Config!$B$17&lt;&gt;"",L209&lt;&gt;"Sim",L209&lt;&gt;"N/A"),Config!$B$17&amp;"; ","")&amp;IF(AND(Config!$B$18&lt;&gt;"",M209&lt;&gt;"Sim",M209&lt;&gt;"N/A"),Config!$B$18&amp;"; ","")&amp;IF(AND(Config!$B$19&lt;&gt;"",N209&lt;&gt;"Sim",N209&lt;&gt;"N/A"),Config!$B$19&amp;"; ","")&amp;IF(AND($D209="Encerrado",Config!$D$10&lt;&gt;"",O209&lt;&gt;"Sim",O209&lt;&gt;"N/A"),Config!$D$10&amp;"; ","")&amp;IF(AND($D209="Encerrado",Config!$D$11&lt;&gt;"",P209&lt;&gt;"Sim",P209&lt;&gt;"N/A"),Config!$D$11&amp;"; ","")&amp;IF(AND($D209="Encerrado",Config!$D$12&lt;&gt;"",Q209&lt;&gt;"Sim",Q209&lt;&gt;"N/A"),Config!$D$12&amp;"; ","")&amp;IF(AND($D209="Encerrado",Config!$D$13&lt;&gt;"",R209&lt;&gt;"Sim",R209&lt;&gt;"N/A"),Config!$D$13&amp;"; ","")&amp;IF(AND($D209="Encerrado",Config!$D$14&lt;&gt;"",S209&lt;&gt;"Sim",S209&lt;&gt;"N/A"),Config!$D$14&amp;"; ","")&amp;IF(AND($D209="Encerrado",Config!$D$15&lt;&gt;"",T209&lt;&gt;"Sim",T209&lt;&gt;"N/A"),Config!$D$15&amp;"; ","")&amp;IF(AND($D209="Encerrado",Config!$D$16&lt;&gt;"",U209&lt;&gt;"Sim",U209&lt;&gt;"N/A"),Config!$D$16&amp;"; ","")&amp;IF(AND($D209="Encerrado",Config!$D$17&lt;&gt;"",V209&lt;&gt;"Sim",V209&lt;&gt;"N/A"),Config!$D$17&amp;"; ","")&amp;IF(AND($D209="Encerrado",Config!$D$18&lt;&gt;"",W209&lt;&gt;"Sim",W209&lt;&gt;"N/A"),Config!$D$18&amp;"; ","")&amp;IF(AND($D209="Encerrado",Config!$D$19&lt;&gt;"",X209&lt;&gt;"Sim",X209&lt;&gt;"N/A"),Config!$D$19&amp;"; ",""))</f>
        <v/>
      </c>
    </row>
    <row r="210">
      <c r="A210" s="29" t="n"/>
      <c r="B210" s="29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25">
        <f>IF(A210="","",IFERROR(COUNTIF(E210:N210,"Sim")/(Config!$B$21-COUNTIF(E210:N210,"N/A")),""))</f>
        <v/>
      </c>
      <c r="Z210" s="25">
        <f>IF(OR(A210="",D210&lt;&gt;"Encerrado"),"",IFERROR(COUNTIF(O210:X210,"Sim")/(Config!$D$21-COUNTIF(O210:X210,"N/A")),""))</f>
        <v/>
      </c>
      <c r="AA210" s="23">
        <f>IF(A210="","",MAX(0,Config!$B$21-COUNTIF(E210:N210,"Sim")-COUNTIF(E210:N210,"N/A")))</f>
        <v/>
      </c>
      <c r="AB210" s="23">
        <f>IF(OR(A210="",D210&lt;&gt;"Encerrado"),"",MAX(0,Config!$D$21-COUNTIF(O210:X210,"Sim")-COUNTIF(O210:X210,"N/A")))</f>
        <v/>
      </c>
      <c r="AC210" s="23">
        <f>IF(A210="","",AA210+IF(AB210="",0,AB210))</f>
        <v/>
      </c>
      <c r="AD210" s="24">
        <f>IF(OR(A210="",AF210=""),"",LEFT(AF210,LEN(AF210)-2))</f>
        <v/>
      </c>
      <c r="AE210" s="35">
        <f>IF(OR(A210="",AC210=0),0,AC210*100-ROW()/100000)</f>
        <v>0</v>
      </c>
      <c r="AF210" s="35">
        <f>IF(A210="","",IF(AND(Config!$B$10&lt;&gt;"",E210&lt;&gt;"Sim",E210&lt;&gt;"N/A"),Config!$B$10&amp;"; ","")&amp;IF(AND(Config!$B$11&lt;&gt;"",F210&lt;&gt;"Sim",F210&lt;&gt;"N/A"),Config!$B$11&amp;"; ","")&amp;IF(AND(Config!$B$12&lt;&gt;"",G210&lt;&gt;"Sim",G210&lt;&gt;"N/A"),Config!$B$12&amp;"; ","")&amp;IF(AND(Config!$B$13&lt;&gt;"",H210&lt;&gt;"Sim",H210&lt;&gt;"N/A"),Config!$B$13&amp;"; ","")&amp;IF(AND(Config!$B$14&lt;&gt;"",I210&lt;&gt;"Sim",I210&lt;&gt;"N/A"),Config!$B$14&amp;"; ","")&amp;IF(AND(Config!$B$15&lt;&gt;"",J210&lt;&gt;"Sim",J210&lt;&gt;"N/A"),Config!$B$15&amp;"; ","")&amp;IF(AND(Config!$B$16&lt;&gt;"",K210&lt;&gt;"Sim",K210&lt;&gt;"N/A"),Config!$B$16&amp;"; ","")&amp;IF(AND(Config!$B$17&lt;&gt;"",L210&lt;&gt;"Sim",L210&lt;&gt;"N/A"),Config!$B$17&amp;"; ","")&amp;IF(AND(Config!$B$18&lt;&gt;"",M210&lt;&gt;"Sim",M210&lt;&gt;"N/A"),Config!$B$18&amp;"; ","")&amp;IF(AND(Config!$B$19&lt;&gt;"",N210&lt;&gt;"Sim",N210&lt;&gt;"N/A"),Config!$B$19&amp;"; ","")&amp;IF(AND($D210="Encerrado",Config!$D$10&lt;&gt;"",O210&lt;&gt;"Sim",O210&lt;&gt;"N/A"),Config!$D$10&amp;"; ","")&amp;IF(AND($D210="Encerrado",Config!$D$11&lt;&gt;"",P210&lt;&gt;"Sim",P210&lt;&gt;"N/A"),Config!$D$11&amp;"; ","")&amp;IF(AND($D210="Encerrado",Config!$D$12&lt;&gt;"",Q210&lt;&gt;"Sim",Q210&lt;&gt;"N/A"),Config!$D$12&amp;"; ","")&amp;IF(AND($D210="Encerrado",Config!$D$13&lt;&gt;"",R210&lt;&gt;"Sim",R210&lt;&gt;"N/A"),Config!$D$13&amp;"; ","")&amp;IF(AND($D210="Encerrado",Config!$D$14&lt;&gt;"",S210&lt;&gt;"Sim",S210&lt;&gt;"N/A"),Config!$D$14&amp;"; ","")&amp;IF(AND($D210="Encerrado",Config!$D$15&lt;&gt;"",T210&lt;&gt;"Sim",T210&lt;&gt;"N/A"),Config!$D$15&amp;"; ","")&amp;IF(AND($D210="Encerrado",Config!$D$16&lt;&gt;"",U210&lt;&gt;"Sim",U210&lt;&gt;"N/A"),Config!$D$16&amp;"; ","")&amp;IF(AND($D210="Encerrado",Config!$D$17&lt;&gt;"",V210&lt;&gt;"Sim",V210&lt;&gt;"N/A"),Config!$D$17&amp;"; ","")&amp;IF(AND($D210="Encerrado",Config!$D$18&lt;&gt;"",W210&lt;&gt;"Sim",W210&lt;&gt;"N/A"),Config!$D$18&amp;"; ","")&amp;IF(AND($D210="Encerrado",Config!$D$19&lt;&gt;"",X210&lt;&gt;"Sim",X210&lt;&gt;"N/A"),Config!$D$19&amp;"; ",""))</f>
        <v/>
      </c>
    </row>
    <row r="211">
      <c r="A211" s="29" t="n"/>
      <c r="B211" s="29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25">
        <f>IF(A211="","",IFERROR(COUNTIF(E211:N211,"Sim")/(Config!$B$21-COUNTIF(E211:N211,"N/A")),""))</f>
        <v/>
      </c>
      <c r="Z211" s="25">
        <f>IF(OR(A211="",D211&lt;&gt;"Encerrado"),"",IFERROR(COUNTIF(O211:X211,"Sim")/(Config!$D$21-COUNTIF(O211:X211,"N/A")),""))</f>
        <v/>
      </c>
      <c r="AA211" s="23">
        <f>IF(A211="","",MAX(0,Config!$B$21-COUNTIF(E211:N211,"Sim")-COUNTIF(E211:N211,"N/A")))</f>
        <v/>
      </c>
      <c r="AB211" s="23">
        <f>IF(OR(A211="",D211&lt;&gt;"Encerrado"),"",MAX(0,Config!$D$21-COUNTIF(O211:X211,"Sim")-COUNTIF(O211:X211,"N/A")))</f>
        <v/>
      </c>
      <c r="AC211" s="23">
        <f>IF(A211="","",AA211+IF(AB211="",0,AB211))</f>
        <v/>
      </c>
      <c r="AD211" s="24">
        <f>IF(OR(A211="",AF211=""),"",LEFT(AF211,LEN(AF211)-2))</f>
        <v/>
      </c>
      <c r="AE211" s="35">
        <f>IF(OR(A211="",AC211=0),0,AC211*100-ROW()/100000)</f>
        <v>0</v>
      </c>
      <c r="AF211" s="35">
        <f>IF(A211="","",IF(AND(Config!$B$10&lt;&gt;"",E211&lt;&gt;"Sim",E211&lt;&gt;"N/A"),Config!$B$10&amp;"; ","")&amp;IF(AND(Config!$B$11&lt;&gt;"",F211&lt;&gt;"Sim",F211&lt;&gt;"N/A"),Config!$B$11&amp;"; ","")&amp;IF(AND(Config!$B$12&lt;&gt;"",G211&lt;&gt;"Sim",G211&lt;&gt;"N/A"),Config!$B$12&amp;"; ","")&amp;IF(AND(Config!$B$13&lt;&gt;"",H211&lt;&gt;"Sim",H211&lt;&gt;"N/A"),Config!$B$13&amp;"; ","")&amp;IF(AND(Config!$B$14&lt;&gt;"",I211&lt;&gt;"Sim",I211&lt;&gt;"N/A"),Config!$B$14&amp;"; ","")&amp;IF(AND(Config!$B$15&lt;&gt;"",J211&lt;&gt;"Sim",J211&lt;&gt;"N/A"),Config!$B$15&amp;"; ","")&amp;IF(AND(Config!$B$16&lt;&gt;"",K211&lt;&gt;"Sim",K211&lt;&gt;"N/A"),Config!$B$16&amp;"; ","")&amp;IF(AND(Config!$B$17&lt;&gt;"",L211&lt;&gt;"Sim",L211&lt;&gt;"N/A"),Config!$B$17&amp;"; ","")&amp;IF(AND(Config!$B$18&lt;&gt;"",M211&lt;&gt;"Sim",M211&lt;&gt;"N/A"),Config!$B$18&amp;"; ","")&amp;IF(AND(Config!$B$19&lt;&gt;"",N211&lt;&gt;"Sim",N211&lt;&gt;"N/A"),Config!$B$19&amp;"; ","")&amp;IF(AND($D211="Encerrado",Config!$D$10&lt;&gt;"",O211&lt;&gt;"Sim",O211&lt;&gt;"N/A"),Config!$D$10&amp;"; ","")&amp;IF(AND($D211="Encerrado",Config!$D$11&lt;&gt;"",P211&lt;&gt;"Sim",P211&lt;&gt;"N/A"),Config!$D$11&amp;"; ","")&amp;IF(AND($D211="Encerrado",Config!$D$12&lt;&gt;"",Q211&lt;&gt;"Sim",Q211&lt;&gt;"N/A"),Config!$D$12&amp;"; ","")&amp;IF(AND($D211="Encerrado",Config!$D$13&lt;&gt;"",R211&lt;&gt;"Sim",R211&lt;&gt;"N/A"),Config!$D$13&amp;"; ","")&amp;IF(AND($D211="Encerrado",Config!$D$14&lt;&gt;"",S211&lt;&gt;"Sim",S211&lt;&gt;"N/A"),Config!$D$14&amp;"; ","")&amp;IF(AND($D211="Encerrado",Config!$D$15&lt;&gt;"",T211&lt;&gt;"Sim",T211&lt;&gt;"N/A"),Config!$D$15&amp;"; ","")&amp;IF(AND($D211="Encerrado",Config!$D$16&lt;&gt;"",U211&lt;&gt;"Sim",U211&lt;&gt;"N/A"),Config!$D$16&amp;"; ","")&amp;IF(AND($D211="Encerrado",Config!$D$17&lt;&gt;"",V211&lt;&gt;"Sim",V211&lt;&gt;"N/A"),Config!$D$17&amp;"; ","")&amp;IF(AND($D211="Encerrado",Config!$D$18&lt;&gt;"",W211&lt;&gt;"Sim",W211&lt;&gt;"N/A"),Config!$D$18&amp;"; ","")&amp;IF(AND($D211="Encerrado",Config!$D$19&lt;&gt;"",X211&lt;&gt;"Sim",X211&lt;&gt;"N/A"),Config!$D$19&amp;"; ",""))</f>
        <v/>
      </c>
    </row>
    <row r="212">
      <c r="A212" s="29" t="n"/>
      <c r="B212" s="29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25">
        <f>IF(A212="","",IFERROR(COUNTIF(E212:N212,"Sim")/(Config!$B$21-COUNTIF(E212:N212,"N/A")),""))</f>
        <v/>
      </c>
      <c r="Z212" s="25">
        <f>IF(OR(A212="",D212&lt;&gt;"Encerrado"),"",IFERROR(COUNTIF(O212:X212,"Sim")/(Config!$D$21-COUNTIF(O212:X212,"N/A")),""))</f>
        <v/>
      </c>
      <c r="AA212" s="23">
        <f>IF(A212="","",MAX(0,Config!$B$21-COUNTIF(E212:N212,"Sim")-COUNTIF(E212:N212,"N/A")))</f>
        <v/>
      </c>
      <c r="AB212" s="23">
        <f>IF(OR(A212="",D212&lt;&gt;"Encerrado"),"",MAX(0,Config!$D$21-COUNTIF(O212:X212,"Sim")-COUNTIF(O212:X212,"N/A")))</f>
        <v/>
      </c>
      <c r="AC212" s="23">
        <f>IF(A212="","",AA212+IF(AB212="",0,AB212))</f>
        <v/>
      </c>
      <c r="AD212" s="24">
        <f>IF(OR(A212="",AF212=""),"",LEFT(AF212,LEN(AF212)-2))</f>
        <v/>
      </c>
      <c r="AE212" s="35">
        <f>IF(OR(A212="",AC212=0),0,AC212*100-ROW()/100000)</f>
        <v>0</v>
      </c>
      <c r="AF212" s="35">
        <f>IF(A212="","",IF(AND(Config!$B$10&lt;&gt;"",E212&lt;&gt;"Sim",E212&lt;&gt;"N/A"),Config!$B$10&amp;"; ","")&amp;IF(AND(Config!$B$11&lt;&gt;"",F212&lt;&gt;"Sim",F212&lt;&gt;"N/A"),Config!$B$11&amp;"; ","")&amp;IF(AND(Config!$B$12&lt;&gt;"",G212&lt;&gt;"Sim",G212&lt;&gt;"N/A"),Config!$B$12&amp;"; ","")&amp;IF(AND(Config!$B$13&lt;&gt;"",H212&lt;&gt;"Sim",H212&lt;&gt;"N/A"),Config!$B$13&amp;"; ","")&amp;IF(AND(Config!$B$14&lt;&gt;"",I212&lt;&gt;"Sim",I212&lt;&gt;"N/A"),Config!$B$14&amp;"; ","")&amp;IF(AND(Config!$B$15&lt;&gt;"",J212&lt;&gt;"Sim",J212&lt;&gt;"N/A"),Config!$B$15&amp;"; ","")&amp;IF(AND(Config!$B$16&lt;&gt;"",K212&lt;&gt;"Sim",K212&lt;&gt;"N/A"),Config!$B$16&amp;"; ","")&amp;IF(AND(Config!$B$17&lt;&gt;"",L212&lt;&gt;"Sim",L212&lt;&gt;"N/A"),Config!$B$17&amp;"; ","")&amp;IF(AND(Config!$B$18&lt;&gt;"",M212&lt;&gt;"Sim",M212&lt;&gt;"N/A"),Config!$B$18&amp;"; ","")&amp;IF(AND(Config!$B$19&lt;&gt;"",N212&lt;&gt;"Sim",N212&lt;&gt;"N/A"),Config!$B$19&amp;"; ","")&amp;IF(AND($D212="Encerrado",Config!$D$10&lt;&gt;"",O212&lt;&gt;"Sim",O212&lt;&gt;"N/A"),Config!$D$10&amp;"; ","")&amp;IF(AND($D212="Encerrado",Config!$D$11&lt;&gt;"",P212&lt;&gt;"Sim",P212&lt;&gt;"N/A"),Config!$D$11&amp;"; ","")&amp;IF(AND($D212="Encerrado",Config!$D$12&lt;&gt;"",Q212&lt;&gt;"Sim",Q212&lt;&gt;"N/A"),Config!$D$12&amp;"; ","")&amp;IF(AND($D212="Encerrado",Config!$D$13&lt;&gt;"",R212&lt;&gt;"Sim",R212&lt;&gt;"N/A"),Config!$D$13&amp;"; ","")&amp;IF(AND($D212="Encerrado",Config!$D$14&lt;&gt;"",S212&lt;&gt;"Sim",S212&lt;&gt;"N/A"),Config!$D$14&amp;"; ","")&amp;IF(AND($D212="Encerrado",Config!$D$15&lt;&gt;"",T212&lt;&gt;"Sim",T212&lt;&gt;"N/A"),Config!$D$15&amp;"; ","")&amp;IF(AND($D212="Encerrado",Config!$D$16&lt;&gt;"",U212&lt;&gt;"Sim",U212&lt;&gt;"N/A"),Config!$D$16&amp;"; ","")&amp;IF(AND($D212="Encerrado",Config!$D$17&lt;&gt;"",V212&lt;&gt;"Sim",V212&lt;&gt;"N/A"),Config!$D$17&amp;"; ","")&amp;IF(AND($D212="Encerrado",Config!$D$18&lt;&gt;"",W212&lt;&gt;"Sim",W212&lt;&gt;"N/A"),Config!$D$18&amp;"; ","")&amp;IF(AND($D212="Encerrado",Config!$D$19&lt;&gt;"",X212&lt;&gt;"Sim",X212&lt;&gt;"N/A"),Config!$D$19&amp;"; ",""))</f>
        <v/>
      </c>
    </row>
    <row r="213">
      <c r="A213" s="29" t="n"/>
      <c r="B213" s="29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25">
        <f>IF(A213="","",IFERROR(COUNTIF(E213:N213,"Sim")/(Config!$B$21-COUNTIF(E213:N213,"N/A")),""))</f>
        <v/>
      </c>
      <c r="Z213" s="25">
        <f>IF(OR(A213="",D213&lt;&gt;"Encerrado"),"",IFERROR(COUNTIF(O213:X213,"Sim")/(Config!$D$21-COUNTIF(O213:X213,"N/A")),""))</f>
        <v/>
      </c>
      <c r="AA213" s="23">
        <f>IF(A213="","",MAX(0,Config!$B$21-COUNTIF(E213:N213,"Sim")-COUNTIF(E213:N213,"N/A")))</f>
        <v/>
      </c>
      <c r="AB213" s="23">
        <f>IF(OR(A213="",D213&lt;&gt;"Encerrado"),"",MAX(0,Config!$D$21-COUNTIF(O213:X213,"Sim")-COUNTIF(O213:X213,"N/A")))</f>
        <v/>
      </c>
      <c r="AC213" s="23">
        <f>IF(A213="","",AA213+IF(AB213="",0,AB213))</f>
        <v/>
      </c>
      <c r="AD213" s="24">
        <f>IF(OR(A213="",AF213=""),"",LEFT(AF213,LEN(AF213)-2))</f>
        <v/>
      </c>
      <c r="AE213" s="35">
        <f>IF(OR(A213="",AC213=0),0,AC213*100-ROW()/100000)</f>
        <v>0</v>
      </c>
      <c r="AF213" s="35">
        <f>IF(A213="","",IF(AND(Config!$B$10&lt;&gt;"",E213&lt;&gt;"Sim",E213&lt;&gt;"N/A"),Config!$B$10&amp;"; ","")&amp;IF(AND(Config!$B$11&lt;&gt;"",F213&lt;&gt;"Sim",F213&lt;&gt;"N/A"),Config!$B$11&amp;"; ","")&amp;IF(AND(Config!$B$12&lt;&gt;"",G213&lt;&gt;"Sim",G213&lt;&gt;"N/A"),Config!$B$12&amp;"; ","")&amp;IF(AND(Config!$B$13&lt;&gt;"",H213&lt;&gt;"Sim",H213&lt;&gt;"N/A"),Config!$B$13&amp;"; ","")&amp;IF(AND(Config!$B$14&lt;&gt;"",I213&lt;&gt;"Sim",I213&lt;&gt;"N/A"),Config!$B$14&amp;"; ","")&amp;IF(AND(Config!$B$15&lt;&gt;"",J213&lt;&gt;"Sim",J213&lt;&gt;"N/A"),Config!$B$15&amp;"; ","")&amp;IF(AND(Config!$B$16&lt;&gt;"",K213&lt;&gt;"Sim",K213&lt;&gt;"N/A"),Config!$B$16&amp;"; ","")&amp;IF(AND(Config!$B$17&lt;&gt;"",L213&lt;&gt;"Sim",L213&lt;&gt;"N/A"),Config!$B$17&amp;"; ","")&amp;IF(AND(Config!$B$18&lt;&gt;"",M213&lt;&gt;"Sim",M213&lt;&gt;"N/A"),Config!$B$18&amp;"; ","")&amp;IF(AND(Config!$B$19&lt;&gt;"",N213&lt;&gt;"Sim",N213&lt;&gt;"N/A"),Config!$B$19&amp;"; ","")&amp;IF(AND($D213="Encerrado",Config!$D$10&lt;&gt;"",O213&lt;&gt;"Sim",O213&lt;&gt;"N/A"),Config!$D$10&amp;"; ","")&amp;IF(AND($D213="Encerrado",Config!$D$11&lt;&gt;"",P213&lt;&gt;"Sim",P213&lt;&gt;"N/A"),Config!$D$11&amp;"; ","")&amp;IF(AND($D213="Encerrado",Config!$D$12&lt;&gt;"",Q213&lt;&gt;"Sim",Q213&lt;&gt;"N/A"),Config!$D$12&amp;"; ","")&amp;IF(AND($D213="Encerrado",Config!$D$13&lt;&gt;"",R213&lt;&gt;"Sim",R213&lt;&gt;"N/A"),Config!$D$13&amp;"; ","")&amp;IF(AND($D213="Encerrado",Config!$D$14&lt;&gt;"",S213&lt;&gt;"Sim",S213&lt;&gt;"N/A"),Config!$D$14&amp;"; ","")&amp;IF(AND($D213="Encerrado",Config!$D$15&lt;&gt;"",T213&lt;&gt;"Sim",T213&lt;&gt;"N/A"),Config!$D$15&amp;"; ","")&amp;IF(AND($D213="Encerrado",Config!$D$16&lt;&gt;"",U213&lt;&gt;"Sim",U213&lt;&gt;"N/A"),Config!$D$16&amp;"; ","")&amp;IF(AND($D213="Encerrado",Config!$D$17&lt;&gt;"",V213&lt;&gt;"Sim",V213&lt;&gt;"N/A"),Config!$D$17&amp;"; ","")&amp;IF(AND($D213="Encerrado",Config!$D$18&lt;&gt;"",W213&lt;&gt;"Sim",W213&lt;&gt;"N/A"),Config!$D$18&amp;"; ","")&amp;IF(AND($D213="Encerrado",Config!$D$19&lt;&gt;"",X213&lt;&gt;"Sim",X213&lt;&gt;"N/A"),Config!$D$19&amp;"; ",""))</f>
        <v/>
      </c>
    </row>
    <row r="214">
      <c r="A214" s="29" t="n"/>
      <c r="B214" s="29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25">
        <f>IF(A214="","",IFERROR(COUNTIF(E214:N214,"Sim")/(Config!$B$21-COUNTIF(E214:N214,"N/A")),""))</f>
        <v/>
      </c>
      <c r="Z214" s="25">
        <f>IF(OR(A214="",D214&lt;&gt;"Encerrado"),"",IFERROR(COUNTIF(O214:X214,"Sim")/(Config!$D$21-COUNTIF(O214:X214,"N/A")),""))</f>
        <v/>
      </c>
      <c r="AA214" s="23">
        <f>IF(A214="","",MAX(0,Config!$B$21-COUNTIF(E214:N214,"Sim")-COUNTIF(E214:N214,"N/A")))</f>
        <v/>
      </c>
      <c r="AB214" s="23">
        <f>IF(OR(A214="",D214&lt;&gt;"Encerrado"),"",MAX(0,Config!$D$21-COUNTIF(O214:X214,"Sim")-COUNTIF(O214:X214,"N/A")))</f>
        <v/>
      </c>
      <c r="AC214" s="23">
        <f>IF(A214="","",AA214+IF(AB214="",0,AB214))</f>
        <v/>
      </c>
      <c r="AD214" s="24">
        <f>IF(OR(A214="",AF214=""),"",LEFT(AF214,LEN(AF214)-2))</f>
        <v/>
      </c>
      <c r="AE214" s="35">
        <f>IF(OR(A214="",AC214=0),0,AC214*100-ROW()/100000)</f>
        <v>0</v>
      </c>
      <c r="AF214" s="35">
        <f>IF(A214="","",IF(AND(Config!$B$10&lt;&gt;"",E214&lt;&gt;"Sim",E214&lt;&gt;"N/A"),Config!$B$10&amp;"; ","")&amp;IF(AND(Config!$B$11&lt;&gt;"",F214&lt;&gt;"Sim",F214&lt;&gt;"N/A"),Config!$B$11&amp;"; ","")&amp;IF(AND(Config!$B$12&lt;&gt;"",G214&lt;&gt;"Sim",G214&lt;&gt;"N/A"),Config!$B$12&amp;"; ","")&amp;IF(AND(Config!$B$13&lt;&gt;"",H214&lt;&gt;"Sim",H214&lt;&gt;"N/A"),Config!$B$13&amp;"; ","")&amp;IF(AND(Config!$B$14&lt;&gt;"",I214&lt;&gt;"Sim",I214&lt;&gt;"N/A"),Config!$B$14&amp;"; ","")&amp;IF(AND(Config!$B$15&lt;&gt;"",J214&lt;&gt;"Sim",J214&lt;&gt;"N/A"),Config!$B$15&amp;"; ","")&amp;IF(AND(Config!$B$16&lt;&gt;"",K214&lt;&gt;"Sim",K214&lt;&gt;"N/A"),Config!$B$16&amp;"; ","")&amp;IF(AND(Config!$B$17&lt;&gt;"",L214&lt;&gt;"Sim",L214&lt;&gt;"N/A"),Config!$B$17&amp;"; ","")&amp;IF(AND(Config!$B$18&lt;&gt;"",M214&lt;&gt;"Sim",M214&lt;&gt;"N/A"),Config!$B$18&amp;"; ","")&amp;IF(AND(Config!$B$19&lt;&gt;"",N214&lt;&gt;"Sim",N214&lt;&gt;"N/A"),Config!$B$19&amp;"; ","")&amp;IF(AND($D214="Encerrado",Config!$D$10&lt;&gt;"",O214&lt;&gt;"Sim",O214&lt;&gt;"N/A"),Config!$D$10&amp;"; ","")&amp;IF(AND($D214="Encerrado",Config!$D$11&lt;&gt;"",P214&lt;&gt;"Sim",P214&lt;&gt;"N/A"),Config!$D$11&amp;"; ","")&amp;IF(AND($D214="Encerrado",Config!$D$12&lt;&gt;"",Q214&lt;&gt;"Sim",Q214&lt;&gt;"N/A"),Config!$D$12&amp;"; ","")&amp;IF(AND($D214="Encerrado",Config!$D$13&lt;&gt;"",R214&lt;&gt;"Sim",R214&lt;&gt;"N/A"),Config!$D$13&amp;"; ","")&amp;IF(AND($D214="Encerrado",Config!$D$14&lt;&gt;"",S214&lt;&gt;"Sim",S214&lt;&gt;"N/A"),Config!$D$14&amp;"; ","")&amp;IF(AND($D214="Encerrado",Config!$D$15&lt;&gt;"",T214&lt;&gt;"Sim",T214&lt;&gt;"N/A"),Config!$D$15&amp;"; ","")&amp;IF(AND($D214="Encerrado",Config!$D$16&lt;&gt;"",U214&lt;&gt;"Sim",U214&lt;&gt;"N/A"),Config!$D$16&amp;"; ","")&amp;IF(AND($D214="Encerrado",Config!$D$17&lt;&gt;"",V214&lt;&gt;"Sim",V214&lt;&gt;"N/A"),Config!$D$17&amp;"; ","")&amp;IF(AND($D214="Encerrado",Config!$D$18&lt;&gt;"",W214&lt;&gt;"Sim",W214&lt;&gt;"N/A"),Config!$D$18&amp;"; ","")&amp;IF(AND($D214="Encerrado",Config!$D$19&lt;&gt;"",X214&lt;&gt;"Sim",X214&lt;&gt;"N/A"),Config!$D$19&amp;"; ",""))</f>
        <v/>
      </c>
    </row>
    <row r="215">
      <c r="A215" s="29" t="n"/>
      <c r="B215" s="29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25">
        <f>IF(A215="","",IFERROR(COUNTIF(E215:N215,"Sim")/(Config!$B$21-COUNTIF(E215:N215,"N/A")),""))</f>
        <v/>
      </c>
      <c r="Z215" s="25">
        <f>IF(OR(A215="",D215&lt;&gt;"Encerrado"),"",IFERROR(COUNTIF(O215:X215,"Sim")/(Config!$D$21-COUNTIF(O215:X215,"N/A")),""))</f>
        <v/>
      </c>
      <c r="AA215" s="23">
        <f>IF(A215="","",MAX(0,Config!$B$21-COUNTIF(E215:N215,"Sim")-COUNTIF(E215:N215,"N/A")))</f>
        <v/>
      </c>
      <c r="AB215" s="23">
        <f>IF(OR(A215="",D215&lt;&gt;"Encerrado"),"",MAX(0,Config!$D$21-COUNTIF(O215:X215,"Sim")-COUNTIF(O215:X215,"N/A")))</f>
        <v/>
      </c>
      <c r="AC215" s="23">
        <f>IF(A215="","",AA215+IF(AB215="",0,AB215))</f>
        <v/>
      </c>
      <c r="AD215" s="24">
        <f>IF(OR(A215="",AF215=""),"",LEFT(AF215,LEN(AF215)-2))</f>
        <v/>
      </c>
      <c r="AE215" s="35">
        <f>IF(OR(A215="",AC215=0),0,AC215*100-ROW()/100000)</f>
        <v>0</v>
      </c>
      <c r="AF215" s="35">
        <f>IF(A215="","",IF(AND(Config!$B$10&lt;&gt;"",E215&lt;&gt;"Sim",E215&lt;&gt;"N/A"),Config!$B$10&amp;"; ","")&amp;IF(AND(Config!$B$11&lt;&gt;"",F215&lt;&gt;"Sim",F215&lt;&gt;"N/A"),Config!$B$11&amp;"; ","")&amp;IF(AND(Config!$B$12&lt;&gt;"",G215&lt;&gt;"Sim",G215&lt;&gt;"N/A"),Config!$B$12&amp;"; ","")&amp;IF(AND(Config!$B$13&lt;&gt;"",H215&lt;&gt;"Sim",H215&lt;&gt;"N/A"),Config!$B$13&amp;"; ","")&amp;IF(AND(Config!$B$14&lt;&gt;"",I215&lt;&gt;"Sim",I215&lt;&gt;"N/A"),Config!$B$14&amp;"; ","")&amp;IF(AND(Config!$B$15&lt;&gt;"",J215&lt;&gt;"Sim",J215&lt;&gt;"N/A"),Config!$B$15&amp;"; ","")&amp;IF(AND(Config!$B$16&lt;&gt;"",K215&lt;&gt;"Sim",K215&lt;&gt;"N/A"),Config!$B$16&amp;"; ","")&amp;IF(AND(Config!$B$17&lt;&gt;"",L215&lt;&gt;"Sim",L215&lt;&gt;"N/A"),Config!$B$17&amp;"; ","")&amp;IF(AND(Config!$B$18&lt;&gt;"",M215&lt;&gt;"Sim",M215&lt;&gt;"N/A"),Config!$B$18&amp;"; ","")&amp;IF(AND(Config!$B$19&lt;&gt;"",N215&lt;&gt;"Sim",N215&lt;&gt;"N/A"),Config!$B$19&amp;"; ","")&amp;IF(AND($D215="Encerrado",Config!$D$10&lt;&gt;"",O215&lt;&gt;"Sim",O215&lt;&gt;"N/A"),Config!$D$10&amp;"; ","")&amp;IF(AND($D215="Encerrado",Config!$D$11&lt;&gt;"",P215&lt;&gt;"Sim",P215&lt;&gt;"N/A"),Config!$D$11&amp;"; ","")&amp;IF(AND($D215="Encerrado",Config!$D$12&lt;&gt;"",Q215&lt;&gt;"Sim",Q215&lt;&gt;"N/A"),Config!$D$12&amp;"; ","")&amp;IF(AND($D215="Encerrado",Config!$D$13&lt;&gt;"",R215&lt;&gt;"Sim",R215&lt;&gt;"N/A"),Config!$D$13&amp;"; ","")&amp;IF(AND($D215="Encerrado",Config!$D$14&lt;&gt;"",S215&lt;&gt;"Sim",S215&lt;&gt;"N/A"),Config!$D$14&amp;"; ","")&amp;IF(AND($D215="Encerrado",Config!$D$15&lt;&gt;"",T215&lt;&gt;"Sim",T215&lt;&gt;"N/A"),Config!$D$15&amp;"; ","")&amp;IF(AND($D215="Encerrado",Config!$D$16&lt;&gt;"",U215&lt;&gt;"Sim",U215&lt;&gt;"N/A"),Config!$D$16&amp;"; ","")&amp;IF(AND($D215="Encerrado",Config!$D$17&lt;&gt;"",V215&lt;&gt;"Sim",V215&lt;&gt;"N/A"),Config!$D$17&amp;"; ","")&amp;IF(AND($D215="Encerrado",Config!$D$18&lt;&gt;"",W215&lt;&gt;"Sim",W215&lt;&gt;"N/A"),Config!$D$18&amp;"; ","")&amp;IF(AND($D215="Encerrado",Config!$D$19&lt;&gt;"",X215&lt;&gt;"Sim",X215&lt;&gt;"N/A"),Config!$D$19&amp;"; ",""))</f>
        <v/>
      </c>
    </row>
    <row r="216">
      <c r="A216" s="29" t="n"/>
      <c r="B216" s="29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25">
        <f>IF(A216="","",IFERROR(COUNTIF(E216:N216,"Sim")/(Config!$B$21-COUNTIF(E216:N216,"N/A")),""))</f>
        <v/>
      </c>
      <c r="Z216" s="25">
        <f>IF(OR(A216="",D216&lt;&gt;"Encerrado"),"",IFERROR(COUNTIF(O216:X216,"Sim")/(Config!$D$21-COUNTIF(O216:X216,"N/A")),""))</f>
        <v/>
      </c>
      <c r="AA216" s="23">
        <f>IF(A216="","",MAX(0,Config!$B$21-COUNTIF(E216:N216,"Sim")-COUNTIF(E216:N216,"N/A")))</f>
        <v/>
      </c>
      <c r="AB216" s="23">
        <f>IF(OR(A216="",D216&lt;&gt;"Encerrado"),"",MAX(0,Config!$D$21-COUNTIF(O216:X216,"Sim")-COUNTIF(O216:X216,"N/A")))</f>
        <v/>
      </c>
      <c r="AC216" s="23">
        <f>IF(A216="","",AA216+IF(AB216="",0,AB216))</f>
        <v/>
      </c>
      <c r="AD216" s="24">
        <f>IF(OR(A216="",AF216=""),"",LEFT(AF216,LEN(AF216)-2))</f>
        <v/>
      </c>
      <c r="AE216" s="35">
        <f>IF(OR(A216="",AC216=0),0,AC216*100-ROW()/100000)</f>
        <v>0</v>
      </c>
      <c r="AF216" s="35">
        <f>IF(A216="","",IF(AND(Config!$B$10&lt;&gt;"",E216&lt;&gt;"Sim",E216&lt;&gt;"N/A"),Config!$B$10&amp;"; ","")&amp;IF(AND(Config!$B$11&lt;&gt;"",F216&lt;&gt;"Sim",F216&lt;&gt;"N/A"),Config!$B$11&amp;"; ","")&amp;IF(AND(Config!$B$12&lt;&gt;"",G216&lt;&gt;"Sim",G216&lt;&gt;"N/A"),Config!$B$12&amp;"; ","")&amp;IF(AND(Config!$B$13&lt;&gt;"",H216&lt;&gt;"Sim",H216&lt;&gt;"N/A"),Config!$B$13&amp;"; ","")&amp;IF(AND(Config!$B$14&lt;&gt;"",I216&lt;&gt;"Sim",I216&lt;&gt;"N/A"),Config!$B$14&amp;"; ","")&amp;IF(AND(Config!$B$15&lt;&gt;"",J216&lt;&gt;"Sim",J216&lt;&gt;"N/A"),Config!$B$15&amp;"; ","")&amp;IF(AND(Config!$B$16&lt;&gt;"",K216&lt;&gt;"Sim",K216&lt;&gt;"N/A"),Config!$B$16&amp;"; ","")&amp;IF(AND(Config!$B$17&lt;&gt;"",L216&lt;&gt;"Sim",L216&lt;&gt;"N/A"),Config!$B$17&amp;"; ","")&amp;IF(AND(Config!$B$18&lt;&gt;"",M216&lt;&gt;"Sim",M216&lt;&gt;"N/A"),Config!$B$18&amp;"; ","")&amp;IF(AND(Config!$B$19&lt;&gt;"",N216&lt;&gt;"Sim",N216&lt;&gt;"N/A"),Config!$B$19&amp;"; ","")&amp;IF(AND($D216="Encerrado",Config!$D$10&lt;&gt;"",O216&lt;&gt;"Sim",O216&lt;&gt;"N/A"),Config!$D$10&amp;"; ","")&amp;IF(AND($D216="Encerrado",Config!$D$11&lt;&gt;"",P216&lt;&gt;"Sim",P216&lt;&gt;"N/A"),Config!$D$11&amp;"; ","")&amp;IF(AND($D216="Encerrado",Config!$D$12&lt;&gt;"",Q216&lt;&gt;"Sim",Q216&lt;&gt;"N/A"),Config!$D$12&amp;"; ","")&amp;IF(AND($D216="Encerrado",Config!$D$13&lt;&gt;"",R216&lt;&gt;"Sim",R216&lt;&gt;"N/A"),Config!$D$13&amp;"; ","")&amp;IF(AND($D216="Encerrado",Config!$D$14&lt;&gt;"",S216&lt;&gt;"Sim",S216&lt;&gt;"N/A"),Config!$D$14&amp;"; ","")&amp;IF(AND($D216="Encerrado",Config!$D$15&lt;&gt;"",T216&lt;&gt;"Sim",T216&lt;&gt;"N/A"),Config!$D$15&amp;"; ","")&amp;IF(AND($D216="Encerrado",Config!$D$16&lt;&gt;"",U216&lt;&gt;"Sim",U216&lt;&gt;"N/A"),Config!$D$16&amp;"; ","")&amp;IF(AND($D216="Encerrado",Config!$D$17&lt;&gt;"",V216&lt;&gt;"Sim",V216&lt;&gt;"N/A"),Config!$D$17&amp;"; ","")&amp;IF(AND($D216="Encerrado",Config!$D$18&lt;&gt;"",W216&lt;&gt;"Sim",W216&lt;&gt;"N/A"),Config!$D$18&amp;"; ","")&amp;IF(AND($D216="Encerrado",Config!$D$19&lt;&gt;"",X216&lt;&gt;"Sim",X216&lt;&gt;"N/A"),Config!$D$19&amp;"; ",""))</f>
        <v/>
      </c>
    </row>
    <row r="217">
      <c r="A217" s="29" t="n"/>
      <c r="B217" s="29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25">
        <f>IF(A217="","",IFERROR(COUNTIF(E217:N217,"Sim")/(Config!$B$21-COUNTIF(E217:N217,"N/A")),""))</f>
        <v/>
      </c>
      <c r="Z217" s="25">
        <f>IF(OR(A217="",D217&lt;&gt;"Encerrado"),"",IFERROR(COUNTIF(O217:X217,"Sim")/(Config!$D$21-COUNTIF(O217:X217,"N/A")),""))</f>
        <v/>
      </c>
      <c r="AA217" s="23">
        <f>IF(A217="","",MAX(0,Config!$B$21-COUNTIF(E217:N217,"Sim")-COUNTIF(E217:N217,"N/A")))</f>
        <v/>
      </c>
      <c r="AB217" s="23">
        <f>IF(OR(A217="",D217&lt;&gt;"Encerrado"),"",MAX(0,Config!$D$21-COUNTIF(O217:X217,"Sim")-COUNTIF(O217:X217,"N/A")))</f>
        <v/>
      </c>
      <c r="AC217" s="23">
        <f>IF(A217="","",AA217+IF(AB217="",0,AB217))</f>
        <v/>
      </c>
      <c r="AD217" s="24">
        <f>IF(OR(A217="",AF217=""),"",LEFT(AF217,LEN(AF217)-2))</f>
        <v/>
      </c>
      <c r="AE217" s="35">
        <f>IF(OR(A217="",AC217=0),0,AC217*100-ROW()/100000)</f>
        <v>0</v>
      </c>
      <c r="AF217" s="35">
        <f>IF(A217="","",IF(AND(Config!$B$10&lt;&gt;"",E217&lt;&gt;"Sim",E217&lt;&gt;"N/A"),Config!$B$10&amp;"; ","")&amp;IF(AND(Config!$B$11&lt;&gt;"",F217&lt;&gt;"Sim",F217&lt;&gt;"N/A"),Config!$B$11&amp;"; ","")&amp;IF(AND(Config!$B$12&lt;&gt;"",G217&lt;&gt;"Sim",G217&lt;&gt;"N/A"),Config!$B$12&amp;"; ","")&amp;IF(AND(Config!$B$13&lt;&gt;"",H217&lt;&gt;"Sim",H217&lt;&gt;"N/A"),Config!$B$13&amp;"; ","")&amp;IF(AND(Config!$B$14&lt;&gt;"",I217&lt;&gt;"Sim",I217&lt;&gt;"N/A"),Config!$B$14&amp;"; ","")&amp;IF(AND(Config!$B$15&lt;&gt;"",J217&lt;&gt;"Sim",J217&lt;&gt;"N/A"),Config!$B$15&amp;"; ","")&amp;IF(AND(Config!$B$16&lt;&gt;"",K217&lt;&gt;"Sim",K217&lt;&gt;"N/A"),Config!$B$16&amp;"; ","")&amp;IF(AND(Config!$B$17&lt;&gt;"",L217&lt;&gt;"Sim",L217&lt;&gt;"N/A"),Config!$B$17&amp;"; ","")&amp;IF(AND(Config!$B$18&lt;&gt;"",M217&lt;&gt;"Sim",M217&lt;&gt;"N/A"),Config!$B$18&amp;"; ","")&amp;IF(AND(Config!$B$19&lt;&gt;"",N217&lt;&gt;"Sim",N217&lt;&gt;"N/A"),Config!$B$19&amp;"; ","")&amp;IF(AND($D217="Encerrado",Config!$D$10&lt;&gt;"",O217&lt;&gt;"Sim",O217&lt;&gt;"N/A"),Config!$D$10&amp;"; ","")&amp;IF(AND($D217="Encerrado",Config!$D$11&lt;&gt;"",P217&lt;&gt;"Sim",P217&lt;&gt;"N/A"),Config!$D$11&amp;"; ","")&amp;IF(AND($D217="Encerrado",Config!$D$12&lt;&gt;"",Q217&lt;&gt;"Sim",Q217&lt;&gt;"N/A"),Config!$D$12&amp;"; ","")&amp;IF(AND($D217="Encerrado",Config!$D$13&lt;&gt;"",R217&lt;&gt;"Sim",R217&lt;&gt;"N/A"),Config!$D$13&amp;"; ","")&amp;IF(AND($D217="Encerrado",Config!$D$14&lt;&gt;"",S217&lt;&gt;"Sim",S217&lt;&gt;"N/A"),Config!$D$14&amp;"; ","")&amp;IF(AND($D217="Encerrado",Config!$D$15&lt;&gt;"",T217&lt;&gt;"Sim",T217&lt;&gt;"N/A"),Config!$D$15&amp;"; ","")&amp;IF(AND($D217="Encerrado",Config!$D$16&lt;&gt;"",U217&lt;&gt;"Sim",U217&lt;&gt;"N/A"),Config!$D$16&amp;"; ","")&amp;IF(AND($D217="Encerrado",Config!$D$17&lt;&gt;"",V217&lt;&gt;"Sim",V217&lt;&gt;"N/A"),Config!$D$17&amp;"; ","")&amp;IF(AND($D217="Encerrado",Config!$D$18&lt;&gt;"",W217&lt;&gt;"Sim",W217&lt;&gt;"N/A"),Config!$D$18&amp;"; ","")&amp;IF(AND($D217="Encerrado",Config!$D$19&lt;&gt;"",X217&lt;&gt;"Sim",X217&lt;&gt;"N/A"),Config!$D$19&amp;"; ",""))</f>
        <v/>
      </c>
    </row>
    <row r="218">
      <c r="A218" s="29" t="n"/>
      <c r="B218" s="29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25">
        <f>IF(A218="","",IFERROR(COUNTIF(E218:N218,"Sim")/(Config!$B$21-COUNTIF(E218:N218,"N/A")),""))</f>
        <v/>
      </c>
      <c r="Z218" s="25">
        <f>IF(OR(A218="",D218&lt;&gt;"Encerrado"),"",IFERROR(COUNTIF(O218:X218,"Sim")/(Config!$D$21-COUNTIF(O218:X218,"N/A")),""))</f>
        <v/>
      </c>
      <c r="AA218" s="23">
        <f>IF(A218="","",MAX(0,Config!$B$21-COUNTIF(E218:N218,"Sim")-COUNTIF(E218:N218,"N/A")))</f>
        <v/>
      </c>
      <c r="AB218" s="23">
        <f>IF(OR(A218="",D218&lt;&gt;"Encerrado"),"",MAX(0,Config!$D$21-COUNTIF(O218:X218,"Sim")-COUNTIF(O218:X218,"N/A")))</f>
        <v/>
      </c>
      <c r="AC218" s="23">
        <f>IF(A218="","",AA218+IF(AB218="",0,AB218))</f>
        <v/>
      </c>
      <c r="AD218" s="24">
        <f>IF(OR(A218="",AF218=""),"",LEFT(AF218,LEN(AF218)-2))</f>
        <v/>
      </c>
      <c r="AE218" s="35">
        <f>IF(OR(A218="",AC218=0),0,AC218*100-ROW()/100000)</f>
        <v>0</v>
      </c>
      <c r="AF218" s="35">
        <f>IF(A218="","",IF(AND(Config!$B$10&lt;&gt;"",E218&lt;&gt;"Sim",E218&lt;&gt;"N/A"),Config!$B$10&amp;"; ","")&amp;IF(AND(Config!$B$11&lt;&gt;"",F218&lt;&gt;"Sim",F218&lt;&gt;"N/A"),Config!$B$11&amp;"; ","")&amp;IF(AND(Config!$B$12&lt;&gt;"",G218&lt;&gt;"Sim",G218&lt;&gt;"N/A"),Config!$B$12&amp;"; ","")&amp;IF(AND(Config!$B$13&lt;&gt;"",H218&lt;&gt;"Sim",H218&lt;&gt;"N/A"),Config!$B$13&amp;"; ","")&amp;IF(AND(Config!$B$14&lt;&gt;"",I218&lt;&gt;"Sim",I218&lt;&gt;"N/A"),Config!$B$14&amp;"; ","")&amp;IF(AND(Config!$B$15&lt;&gt;"",J218&lt;&gt;"Sim",J218&lt;&gt;"N/A"),Config!$B$15&amp;"; ","")&amp;IF(AND(Config!$B$16&lt;&gt;"",K218&lt;&gt;"Sim",K218&lt;&gt;"N/A"),Config!$B$16&amp;"; ","")&amp;IF(AND(Config!$B$17&lt;&gt;"",L218&lt;&gt;"Sim",L218&lt;&gt;"N/A"),Config!$B$17&amp;"; ","")&amp;IF(AND(Config!$B$18&lt;&gt;"",M218&lt;&gt;"Sim",M218&lt;&gt;"N/A"),Config!$B$18&amp;"; ","")&amp;IF(AND(Config!$B$19&lt;&gt;"",N218&lt;&gt;"Sim",N218&lt;&gt;"N/A"),Config!$B$19&amp;"; ","")&amp;IF(AND($D218="Encerrado",Config!$D$10&lt;&gt;"",O218&lt;&gt;"Sim",O218&lt;&gt;"N/A"),Config!$D$10&amp;"; ","")&amp;IF(AND($D218="Encerrado",Config!$D$11&lt;&gt;"",P218&lt;&gt;"Sim",P218&lt;&gt;"N/A"),Config!$D$11&amp;"; ","")&amp;IF(AND($D218="Encerrado",Config!$D$12&lt;&gt;"",Q218&lt;&gt;"Sim",Q218&lt;&gt;"N/A"),Config!$D$12&amp;"; ","")&amp;IF(AND($D218="Encerrado",Config!$D$13&lt;&gt;"",R218&lt;&gt;"Sim",R218&lt;&gt;"N/A"),Config!$D$13&amp;"; ","")&amp;IF(AND($D218="Encerrado",Config!$D$14&lt;&gt;"",S218&lt;&gt;"Sim",S218&lt;&gt;"N/A"),Config!$D$14&amp;"; ","")&amp;IF(AND($D218="Encerrado",Config!$D$15&lt;&gt;"",T218&lt;&gt;"Sim",T218&lt;&gt;"N/A"),Config!$D$15&amp;"; ","")&amp;IF(AND($D218="Encerrado",Config!$D$16&lt;&gt;"",U218&lt;&gt;"Sim",U218&lt;&gt;"N/A"),Config!$D$16&amp;"; ","")&amp;IF(AND($D218="Encerrado",Config!$D$17&lt;&gt;"",V218&lt;&gt;"Sim",V218&lt;&gt;"N/A"),Config!$D$17&amp;"; ","")&amp;IF(AND($D218="Encerrado",Config!$D$18&lt;&gt;"",W218&lt;&gt;"Sim",W218&lt;&gt;"N/A"),Config!$D$18&amp;"; ","")&amp;IF(AND($D218="Encerrado",Config!$D$19&lt;&gt;"",X218&lt;&gt;"Sim",X218&lt;&gt;"N/A"),Config!$D$19&amp;"; ",""))</f>
        <v/>
      </c>
    </row>
    <row r="219">
      <c r="A219" s="29" t="n"/>
      <c r="B219" s="29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25">
        <f>IF(A219="","",IFERROR(COUNTIF(E219:N219,"Sim")/(Config!$B$21-COUNTIF(E219:N219,"N/A")),""))</f>
        <v/>
      </c>
      <c r="Z219" s="25">
        <f>IF(OR(A219="",D219&lt;&gt;"Encerrado"),"",IFERROR(COUNTIF(O219:X219,"Sim")/(Config!$D$21-COUNTIF(O219:X219,"N/A")),""))</f>
        <v/>
      </c>
      <c r="AA219" s="23">
        <f>IF(A219="","",MAX(0,Config!$B$21-COUNTIF(E219:N219,"Sim")-COUNTIF(E219:N219,"N/A")))</f>
        <v/>
      </c>
      <c r="AB219" s="23">
        <f>IF(OR(A219="",D219&lt;&gt;"Encerrado"),"",MAX(0,Config!$D$21-COUNTIF(O219:X219,"Sim")-COUNTIF(O219:X219,"N/A")))</f>
        <v/>
      </c>
      <c r="AC219" s="23">
        <f>IF(A219="","",AA219+IF(AB219="",0,AB219))</f>
        <v/>
      </c>
      <c r="AD219" s="24">
        <f>IF(OR(A219="",AF219=""),"",LEFT(AF219,LEN(AF219)-2))</f>
        <v/>
      </c>
      <c r="AE219" s="35">
        <f>IF(OR(A219="",AC219=0),0,AC219*100-ROW()/100000)</f>
        <v>0</v>
      </c>
      <c r="AF219" s="35">
        <f>IF(A219="","",IF(AND(Config!$B$10&lt;&gt;"",E219&lt;&gt;"Sim",E219&lt;&gt;"N/A"),Config!$B$10&amp;"; ","")&amp;IF(AND(Config!$B$11&lt;&gt;"",F219&lt;&gt;"Sim",F219&lt;&gt;"N/A"),Config!$B$11&amp;"; ","")&amp;IF(AND(Config!$B$12&lt;&gt;"",G219&lt;&gt;"Sim",G219&lt;&gt;"N/A"),Config!$B$12&amp;"; ","")&amp;IF(AND(Config!$B$13&lt;&gt;"",H219&lt;&gt;"Sim",H219&lt;&gt;"N/A"),Config!$B$13&amp;"; ","")&amp;IF(AND(Config!$B$14&lt;&gt;"",I219&lt;&gt;"Sim",I219&lt;&gt;"N/A"),Config!$B$14&amp;"; ","")&amp;IF(AND(Config!$B$15&lt;&gt;"",J219&lt;&gt;"Sim",J219&lt;&gt;"N/A"),Config!$B$15&amp;"; ","")&amp;IF(AND(Config!$B$16&lt;&gt;"",K219&lt;&gt;"Sim",K219&lt;&gt;"N/A"),Config!$B$16&amp;"; ","")&amp;IF(AND(Config!$B$17&lt;&gt;"",L219&lt;&gt;"Sim",L219&lt;&gt;"N/A"),Config!$B$17&amp;"; ","")&amp;IF(AND(Config!$B$18&lt;&gt;"",M219&lt;&gt;"Sim",M219&lt;&gt;"N/A"),Config!$B$18&amp;"; ","")&amp;IF(AND(Config!$B$19&lt;&gt;"",N219&lt;&gt;"Sim",N219&lt;&gt;"N/A"),Config!$B$19&amp;"; ","")&amp;IF(AND($D219="Encerrado",Config!$D$10&lt;&gt;"",O219&lt;&gt;"Sim",O219&lt;&gt;"N/A"),Config!$D$10&amp;"; ","")&amp;IF(AND($D219="Encerrado",Config!$D$11&lt;&gt;"",P219&lt;&gt;"Sim",P219&lt;&gt;"N/A"),Config!$D$11&amp;"; ","")&amp;IF(AND($D219="Encerrado",Config!$D$12&lt;&gt;"",Q219&lt;&gt;"Sim",Q219&lt;&gt;"N/A"),Config!$D$12&amp;"; ","")&amp;IF(AND($D219="Encerrado",Config!$D$13&lt;&gt;"",R219&lt;&gt;"Sim",R219&lt;&gt;"N/A"),Config!$D$13&amp;"; ","")&amp;IF(AND($D219="Encerrado",Config!$D$14&lt;&gt;"",S219&lt;&gt;"Sim",S219&lt;&gt;"N/A"),Config!$D$14&amp;"; ","")&amp;IF(AND($D219="Encerrado",Config!$D$15&lt;&gt;"",T219&lt;&gt;"Sim",T219&lt;&gt;"N/A"),Config!$D$15&amp;"; ","")&amp;IF(AND($D219="Encerrado",Config!$D$16&lt;&gt;"",U219&lt;&gt;"Sim",U219&lt;&gt;"N/A"),Config!$D$16&amp;"; ","")&amp;IF(AND($D219="Encerrado",Config!$D$17&lt;&gt;"",V219&lt;&gt;"Sim",V219&lt;&gt;"N/A"),Config!$D$17&amp;"; ","")&amp;IF(AND($D219="Encerrado",Config!$D$18&lt;&gt;"",W219&lt;&gt;"Sim",W219&lt;&gt;"N/A"),Config!$D$18&amp;"; ","")&amp;IF(AND($D219="Encerrado",Config!$D$19&lt;&gt;"",X219&lt;&gt;"Sim",X219&lt;&gt;"N/A"),Config!$D$19&amp;"; ",""))</f>
        <v/>
      </c>
    </row>
    <row r="220">
      <c r="A220" s="29" t="n"/>
      <c r="B220" s="29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25">
        <f>IF(A220="","",IFERROR(COUNTIF(E220:N220,"Sim")/(Config!$B$21-COUNTIF(E220:N220,"N/A")),""))</f>
        <v/>
      </c>
      <c r="Z220" s="25">
        <f>IF(OR(A220="",D220&lt;&gt;"Encerrado"),"",IFERROR(COUNTIF(O220:X220,"Sim")/(Config!$D$21-COUNTIF(O220:X220,"N/A")),""))</f>
        <v/>
      </c>
      <c r="AA220" s="23">
        <f>IF(A220="","",MAX(0,Config!$B$21-COUNTIF(E220:N220,"Sim")-COUNTIF(E220:N220,"N/A")))</f>
        <v/>
      </c>
      <c r="AB220" s="23">
        <f>IF(OR(A220="",D220&lt;&gt;"Encerrado"),"",MAX(0,Config!$D$21-COUNTIF(O220:X220,"Sim")-COUNTIF(O220:X220,"N/A")))</f>
        <v/>
      </c>
      <c r="AC220" s="23">
        <f>IF(A220="","",AA220+IF(AB220="",0,AB220))</f>
        <v/>
      </c>
      <c r="AD220" s="24">
        <f>IF(OR(A220="",AF220=""),"",LEFT(AF220,LEN(AF220)-2))</f>
        <v/>
      </c>
      <c r="AE220" s="35">
        <f>IF(OR(A220="",AC220=0),0,AC220*100-ROW()/100000)</f>
        <v>0</v>
      </c>
      <c r="AF220" s="35">
        <f>IF(A220="","",IF(AND(Config!$B$10&lt;&gt;"",E220&lt;&gt;"Sim",E220&lt;&gt;"N/A"),Config!$B$10&amp;"; ","")&amp;IF(AND(Config!$B$11&lt;&gt;"",F220&lt;&gt;"Sim",F220&lt;&gt;"N/A"),Config!$B$11&amp;"; ","")&amp;IF(AND(Config!$B$12&lt;&gt;"",G220&lt;&gt;"Sim",G220&lt;&gt;"N/A"),Config!$B$12&amp;"; ","")&amp;IF(AND(Config!$B$13&lt;&gt;"",H220&lt;&gt;"Sim",H220&lt;&gt;"N/A"),Config!$B$13&amp;"; ","")&amp;IF(AND(Config!$B$14&lt;&gt;"",I220&lt;&gt;"Sim",I220&lt;&gt;"N/A"),Config!$B$14&amp;"; ","")&amp;IF(AND(Config!$B$15&lt;&gt;"",J220&lt;&gt;"Sim",J220&lt;&gt;"N/A"),Config!$B$15&amp;"; ","")&amp;IF(AND(Config!$B$16&lt;&gt;"",K220&lt;&gt;"Sim",K220&lt;&gt;"N/A"),Config!$B$16&amp;"; ","")&amp;IF(AND(Config!$B$17&lt;&gt;"",L220&lt;&gt;"Sim",L220&lt;&gt;"N/A"),Config!$B$17&amp;"; ","")&amp;IF(AND(Config!$B$18&lt;&gt;"",M220&lt;&gt;"Sim",M220&lt;&gt;"N/A"),Config!$B$18&amp;"; ","")&amp;IF(AND(Config!$B$19&lt;&gt;"",N220&lt;&gt;"Sim",N220&lt;&gt;"N/A"),Config!$B$19&amp;"; ","")&amp;IF(AND($D220="Encerrado",Config!$D$10&lt;&gt;"",O220&lt;&gt;"Sim",O220&lt;&gt;"N/A"),Config!$D$10&amp;"; ","")&amp;IF(AND($D220="Encerrado",Config!$D$11&lt;&gt;"",P220&lt;&gt;"Sim",P220&lt;&gt;"N/A"),Config!$D$11&amp;"; ","")&amp;IF(AND($D220="Encerrado",Config!$D$12&lt;&gt;"",Q220&lt;&gt;"Sim",Q220&lt;&gt;"N/A"),Config!$D$12&amp;"; ","")&amp;IF(AND($D220="Encerrado",Config!$D$13&lt;&gt;"",R220&lt;&gt;"Sim",R220&lt;&gt;"N/A"),Config!$D$13&amp;"; ","")&amp;IF(AND($D220="Encerrado",Config!$D$14&lt;&gt;"",S220&lt;&gt;"Sim",S220&lt;&gt;"N/A"),Config!$D$14&amp;"; ","")&amp;IF(AND($D220="Encerrado",Config!$D$15&lt;&gt;"",T220&lt;&gt;"Sim",T220&lt;&gt;"N/A"),Config!$D$15&amp;"; ","")&amp;IF(AND($D220="Encerrado",Config!$D$16&lt;&gt;"",U220&lt;&gt;"Sim",U220&lt;&gt;"N/A"),Config!$D$16&amp;"; ","")&amp;IF(AND($D220="Encerrado",Config!$D$17&lt;&gt;"",V220&lt;&gt;"Sim",V220&lt;&gt;"N/A"),Config!$D$17&amp;"; ","")&amp;IF(AND($D220="Encerrado",Config!$D$18&lt;&gt;"",W220&lt;&gt;"Sim",W220&lt;&gt;"N/A"),Config!$D$18&amp;"; ","")&amp;IF(AND($D220="Encerrado",Config!$D$19&lt;&gt;"",X220&lt;&gt;"Sim",X220&lt;&gt;"N/A"),Config!$D$19&amp;"; ",""))</f>
        <v/>
      </c>
    </row>
    <row r="221">
      <c r="A221" s="29" t="n"/>
      <c r="B221" s="29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25">
        <f>IF(A221="","",IFERROR(COUNTIF(E221:N221,"Sim")/(Config!$B$21-COUNTIF(E221:N221,"N/A")),""))</f>
        <v/>
      </c>
      <c r="Z221" s="25">
        <f>IF(OR(A221="",D221&lt;&gt;"Encerrado"),"",IFERROR(COUNTIF(O221:X221,"Sim")/(Config!$D$21-COUNTIF(O221:X221,"N/A")),""))</f>
        <v/>
      </c>
      <c r="AA221" s="23">
        <f>IF(A221="","",MAX(0,Config!$B$21-COUNTIF(E221:N221,"Sim")-COUNTIF(E221:N221,"N/A")))</f>
        <v/>
      </c>
      <c r="AB221" s="23">
        <f>IF(OR(A221="",D221&lt;&gt;"Encerrado"),"",MAX(0,Config!$D$21-COUNTIF(O221:X221,"Sim")-COUNTIF(O221:X221,"N/A")))</f>
        <v/>
      </c>
      <c r="AC221" s="23">
        <f>IF(A221="","",AA221+IF(AB221="",0,AB221))</f>
        <v/>
      </c>
      <c r="AD221" s="24">
        <f>IF(OR(A221="",AF221=""),"",LEFT(AF221,LEN(AF221)-2))</f>
        <v/>
      </c>
      <c r="AE221" s="35">
        <f>IF(OR(A221="",AC221=0),0,AC221*100-ROW()/100000)</f>
        <v>0</v>
      </c>
      <c r="AF221" s="35">
        <f>IF(A221="","",IF(AND(Config!$B$10&lt;&gt;"",E221&lt;&gt;"Sim",E221&lt;&gt;"N/A"),Config!$B$10&amp;"; ","")&amp;IF(AND(Config!$B$11&lt;&gt;"",F221&lt;&gt;"Sim",F221&lt;&gt;"N/A"),Config!$B$11&amp;"; ","")&amp;IF(AND(Config!$B$12&lt;&gt;"",G221&lt;&gt;"Sim",G221&lt;&gt;"N/A"),Config!$B$12&amp;"; ","")&amp;IF(AND(Config!$B$13&lt;&gt;"",H221&lt;&gt;"Sim",H221&lt;&gt;"N/A"),Config!$B$13&amp;"; ","")&amp;IF(AND(Config!$B$14&lt;&gt;"",I221&lt;&gt;"Sim",I221&lt;&gt;"N/A"),Config!$B$14&amp;"; ","")&amp;IF(AND(Config!$B$15&lt;&gt;"",J221&lt;&gt;"Sim",J221&lt;&gt;"N/A"),Config!$B$15&amp;"; ","")&amp;IF(AND(Config!$B$16&lt;&gt;"",K221&lt;&gt;"Sim",K221&lt;&gt;"N/A"),Config!$B$16&amp;"; ","")&amp;IF(AND(Config!$B$17&lt;&gt;"",L221&lt;&gt;"Sim",L221&lt;&gt;"N/A"),Config!$B$17&amp;"; ","")&amp;IF(AND(Config!$B$18&lt;&gt;"",M221&lt;&gt;"Sim",M221&lt;&gt;"N/A"),Config!$B$18&amp;"; ","")&amp;IF(AND(Config!$B$19&lt;&gt;"",N221&lt;&gt;"Sim",N221&lt;&gt;"N/A"),Config!$B$19&amp;"; ","")&amp;IF(AND($D221="Encerrado",Config!$D$10&lt;&gt;"",O221&lt;&gt;"Sim",O221&lt;&gt;"N/A"),Config!$D$10&amp;"; ","")&amp;IF(AND($D221="Encerrado",Config!$D$11&lt;&gt;"",P221&lt;&gt;"Sim",P221&lt;&gt;"N/A"),Config!$D$11&amp;"; ","")&amp;IF(AND($D221="Encerrado",Config!$D$12&lt;&gt;"",Q221&lt;&gt;"Sim",Q221&lt;&gt;"N/A"),Config!$D$12&amp;"; ","")&amp;IF(AND($D221="Encerrado",Config!$D$13&lt;&gt;"",R221&lt;&gt;"Sim",R221&lt;&gt;"N/A"),Config!$D$13&amp;"; ","")&amp;IF(AND($D221="Encerrado",Config!$D$14&lt;&gt;"",S221&lt;&gt;"Sim",S221&lt;&gt;"N/A"),Config!$D$14&amp;"; ","")&amp;IF(AND($D221="Encerrado",Config!$D$15&lt;&gt;"",T221&lt;&gt;"Sim",T221&lt;&gt;"N/A"),Config!$D$15&amp;"; ","")&amp;IF(AND($D221="Encerrado",Config!$D$16&lt;&gt;"",U221&lt;&gt;"Sim",U221&lt;&gt;"N/A"),Config!$D$16&amp;"; ","")&amp;IF(AND($D221="Encerrado",Config!$D$17&lt;&gt;"",V221&lt;&gt;"Sim",V221&lt;&gt;"N/A"),Config!$D$17&amp;"; ","")&amp;IF(AND($D221="Encerrado",Config!$D$18&lt;&gt;"",W221&lt;&gt;"Sim",W221&lt;&gt;"N/A"),Config!$D$18&amp;"; ","")&amp;IF(AND($D221="Encerrado",Config!$D$19&lt;&gt;"",X221&lt;&gt;"Sim",X221&lt;&gt;"N/A"),Config!$D$19&amp;"; ",""))</f>
        <v/>
      </c>
    </row>
    <row r="222">
      <c r="A222" s="29" t="n"/>
      <c r="B222" s="29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25">
        <f>IF(A222="","",IFERROR(COUNTIF(E222:N222,"Sim")/(Config!$B$21-COUNTIF(E222:N222,"N/A")),""))</f>
        <v/>
      </c>
      <c r="Z222" s="25">
        <f>IF(OR(A222="",D222&lt;&gt;"Encerrado"),"",IFERROR(COUNTIF(O222:X222,"Sim")/(Config!$D$21-COUNTIF(O222:X222,"N/A")),""))</f>
        <v/>
      </c>
      <c r="AA222" s="23">
        <f>IF(A222="","",MAX(0,Config!$B$21-COUNTIF(E222:N222,"Sim")-COUNTIF(E222:N222,"N/A")))</f>
        <v/>
      </c>
      <c r="AB222" s="23">
        <f>IF(OR(A222="",D222&lt;&gt;"Encerrado"),"",MAX(0,Config!$D$21-COUNTIF(O222:X222,"Sim")-COUNTIF(O222:X222,"N/A")))</f>
        <v/>
      </c>
      <c r="AC222" s="23">
        <f>IF(A222="","",AA222+IF(AB222="",0,AB222))</f>
        <v/>
      </c>
      <c r="AD222" s="24">
        <f>IF(OR(A222="",AF222=""),"",LEFT(AF222,LEN(AF222)-2))</f>
        <v/>
      </c>
      <c r="AE222" s="35">
        <f>IF(OR(A222="",AC222=0),0,AC222*100-ROW()/100000)</f>
        <v>0</v>
      </c>
      <c r="AF222" s="35">
        <f>IF(A222="","",IF(AND(Config!$B$10&lt;&gt;"",E222&lt;&gt;"Sim",E222&lt;&gt;"N/A"),Config!$B$10&amp;"; ","")&amp;IF(AND(Config!$B$11&lt;&gt;"",F222&lt;&gt;"Sim",F222&lt;&gt;"N/A"),Config!$B$11&amp;"; ","")&amp;IF(AND(Config!$B$12&lt;&gt;"",G222&lt;&gt;"Sim",G222&lt;&gt;"N/A"),Config!$B$12&amp;"; ","")&amp;IF(AND(Config!$B$13&lt;&gt;"",H222&lt;&gt;"Sim",H222&lt;&gt;"N/A"),Config!$B$13&amp;"; ","")&amp;IF(AND(Config!$B$14&lt;&gt;"",I222&lt;&gt;"Sim",I222&lt;&gt;"N/A"),Config!$B$14&amp;"; ","")&amp;IF(AND(Config!$B$15&lt;&gt;"",J222&lt;&gt;"Sim",J222&lt;&gt;"N/A"),Config!$B$15&amp;"; ","")&amp;IF(AND(Config!$B$16&lt;&gt;"",K222&lt;&gt;"Sim",K222&lt;&gt;"N/A"),Config!$B$16&amp;"; ","")&amp;IF(AND(Config!$B$17&lt;&gt;"",L222&lt;&gt;"Sim",L222&lt;&gt;"N/A"),Config!$B$17&amp;"; ","")&amp;IF(AND(Config!$B$18&lt;&gt;"",M222&lt;&gt;"Sim",M222&lt;&gt;"N/A"),Config!$B$18&amp;"; ","")&amp;IF(AND(Config!$B$19&lt;&gt;"",N222&lt;&gt;"Sim",N222&lt;&gt;"N/A"),Config!$B$19&amp;"; ","")&amp;IF(AND($D222="Encerrado",Config!$D$10&lt;&gt;"",O222&lt;&gt;"Sim",O222&lt;&gt;"N/A"),Config!$D$10&amp;"; ","")&amp;IF(AND($D222="Encerrado",Config!$D$11&lt;&gt;"",P222&lt;&gt;"Sim",P222&lt;&gt;"N/A"),Config!$D$11&amp;"; ","")&amp;IF(AND($D222="Encerrado",Config!$D$12&lt;&gt;"",Q222&lt;&gt;"Sim",Q222&lt;&gt;"N/A"),Config!$D$12&amp;"; ","")&amp;IF(AND($D222="Encerrado",Config!$D$13&lt;&gt;"",R222&lt;&gt;"Sim",R222&lt;&gt;"N/A"),Config!$D$13&amp;"; ","")&amp;IF(AND($D222="Encerrado",Config!$D$14&lt;&gt;"",S222&lt;&gt;"Sim",S222&lt;&gt;"N/A"),Config!$D$14&amp;"; ","")&amp;IF(AND($D222="Encerrado",Config!$D$15&lt;&gt;"",T222&lt;&gt;"Sim",T222&lt;&gt;"N/A"),Config!$D$15&amp;"; ","")&amp;IF(AND($D222="Encerrado",Config!$D$16&lt;&gt;"",U222&lt;&gt;"Sim",U222&lt;&gt;"N/A"),Config!$D$16&amp;"; ","")&amp;IF(AND($D222="Encerrado",Config!$D$17&lt;&gt;"",V222&lt;&gt;"Sim",V222&lt;&gt;"N/A"),Config!$D$17&amp;"; ","")&amp;IF(AND($D222="Encerrado",Config!$D$18&lt;&gt;"",W222&lt;&gt;"Sim",W222&lt;&gt;"N/A"),Config!$D$18&amp;"; ","")&amp;IF(AND($D222="Encerrado",Config!$D$19&lt;&gt;"",X222&lt;&gt;"Sim",X222&lt;&gt;"N/A"),Config!$D$19&amp;"; ",""))</f>
        <v/>
      </c>
    </row>
    <row r="223">
      <c r="A223" s="29" t="n"/>
      <c r="B223" s="29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25">
        <f>IF(A223="","",IFERROR(COUNTIF(E223:N223,"Sim")/(Config!$B$21-COUNTIF(E223:N223,"N/A")),""))</f>
        <v/>
      </c>
      <c r="Z223" s="25">
        <f>IF(OR(A223="",D223&lt;&gt;"Encerrado"),"",IFERROR(COUNTIF(O223:X223,"Sim")/(Config!$D$21-COUNTIF(O223:X223,"N/A")),""))</f>
        <v/>
      </c>
      <c r="AA223" s="23">
        <f>IF(A223="","",MAX(0,Config!$B$21-COUNTIF(E223:N223,"Sim")-COUNTIF(E223:N223,"N/A")))</f>
        <v/>
      </c>
      <c r="AB223" s="23">
        <f>IF(OR(A223="",D223&lt;&gt;"Encerrado"),"",MAX(0,Config!$D$21-COUNTIF(O223:X223,"Sim")-COUNTIF(O223:X223,"N/A")))</f>
        <v/>
      </c>
      <c r="AC223" s="23">
        <f>IF(A223="","",AA223+IF(AB223="",0,AB223))</f>
        <v/>
      </c>
      <c r="AD223" s="24">
        <f>IF(OR(A223="",AF223=""),"",LEFT(AF223,LEN(AF223)-2))</f>
        <v/>
      </c>
      <c r="AE223" s="35">
        <f>IF(OR(A223="",AC223=0),0,AC223*100-ROW()/100000)</f>
        <v>0</v>
      </c>
      <c r="AF223" s="35">
        <f>IF(A223="","",IF(AND(Config!$B$10&lt;&gt;"",E223&lt;&gt;"Sim",E223&lt;&gt;"N/A"),Config!$B$10&amp;"; ","")&amp;IF(AND(Config!$B$11&lt;&gt;"",F223&lt;&gt;"Sim",F223&lt;&gt;"N/A"),Config!$B$11&amp;"; ","")&amp;IF(AND(Config!$B$12&lt;&gt;"",G223&lt;&gt;"Sim",G223&lt;&gt;"N/A"),Config!$B$12&amp;"; ","")&amp;IF(AND(Config!$B$13&lt;&gt;"",H223&lt;&gt;"Sim",H223&lt;&gt;"N/A"),Config!$B$13&amp;"; ","")&amp;IF(AND(Config!$B$14&lt;&gt;"",I223&lt;&gt;"Sim",I223&lt;&gt;"N/A"),Config!$B$14&amp;"; ","")&amp;IF(AND(Config!$B$15&lt;&gt;"",J223&lt;&gt;"Sim",J223&lt;&gt;"N/A"),Config!$B$15&amp;"; ","")&amp;IF(AND(Config!$B$16&lt;&gt;"",K223&lt;&gt;"Sim",K223&lt;&gt;"N/A"),Config!$B$16&amp;"; ","")&amp;IF(AND(Config!$B$17&lt;&gt;"",L223&lt;&gt;"Sim",L223&lt;&gt;"N/A"),Config!$B$17&amp;"; ","")&amp;IF(AND(Config!$B$18&lt;&gt;"",M223&lt;&gt;"Sim",M223&lt;&gt;"N/A"),Config!$B$18&amp;"; ","")&amp;IF(AND(Config!$B$19&lt;&gt;"",N223&lt;&gt;"Sim",N223&lt;&gt;"N/A"),Config!$B$19&amp;"; ","")&amp;IF(AND($D223="Encerrado",Config!$D$10&lt;&gt;"",O223&lt;&gt;"Sim",O223&lt;&gt;"N/A"),Config!$D$10&amp;"; ","")&amp;IF(AND($D223="Encerrado",Config!$D$11&lt;&gt;"",P223&lt;&gt;"Sim",P223&lt;&gt;"N/A"),Config!$D$11&amp;"; ","")&amp;IF(AND($D223="Encerrado",Config!$D$12&lt;&gt;"",Q223&lt;&gt;"Sim",Q223&lt;&gt;"N/A"),Config!$D$12&amp;"; ","")&amp;IF(AND($D223="Encerrado",Config!$D$13&lt;&gt;"",R223&lt;&gt;"Sim",R223&lt;&gt;"N/A"),Config!$D$13&amp;"; ","")&amp;IF(AND($D223="Encerrado",Config!$D$14&lt;&gt;"",S223&lt;&gt;"Sim",S223&lt;&gt;"N/A"),Config!$D$14&amp;"; ","")&amp;IF(AND($D223="Encerrado",Config!$D$15&lt;&gt;"",T223&lt;&gt;"Sim",T223&lt;&gt;"N/A"),Config!$D$15&amp;"; ","")&amp;IF(AND($D223="Encerrado",Config!$D$16&lt;&gt;"",U223&lt;&gt;"Sim",U223&lt;&gt;"N/A"),Config!$D$16&amp;"; ","")&amp;IF(AND($D223="Encerrado",Config!$D$17&lt;&gt;"",V223&lt;&gt;"Sim",V223&lt;&gt;"N/A"),Config!$D$17&amp;"; ","")&amp;IF(AND($D223="Encerrado",Config!$D$18&lt;&gt;"",W223&lt;&gt;"Sim",W223&lt;&gt;"N/A"),Config!$D$18&amp;"; ","")&amp;IF(AND($D223="Encerrado",Config!$D$19&lt;&gt;"",X223&lt;&gt;"Sim",X223&lt;&gt;"N/A"),Config!$D$19&amp;"; ",""))</f>
        <v/>
      </c>
    </row>
    <row r="224">
      <c r="A224" s="29" t="n"/>
      <c r="B224" s="29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25">
        <f>IF(A224="","",IFERROR(COUNTIF(E224:N224,"Sim")/(Config!$B$21-COUNTIF(E224:N224,"N/A")),""))</f>
        <v/>
      </c>
      <c r="Z224" s="25">
        <f>IF(OR(A224="",D224&lt;&gt;"Encerrado"),"",IFERROR(COUNTIF(O224:X224,"Sim")/(Config!$D$21-COUNTIF(O224:X224,"N/A")),""))</f>
        <v/>
      </c>
      <c r="AA224" s="23">
        <f>IF(A224="","",MAX(0,Config!$B$21-COUNTIF(E224:N224,"Sim")-COUNTIF(E224:N224,"N/A")))</f>
        <v/>
      </c>
      <c r="AB224" s="23">
        <f>IF(OR(A224="",D224&lt;&gt;"Encerrado"),"",MAX(0,Config!$D$21-COUNTIF(O224:X224,"Sim")-COUNTIF(O224:X224,"N/A")))</f>
        <v/>
      </c>
      <c r="AC224" s="23">
        <f>IF(A224="","",AA224+IF(AB224="",0,AB224))</f>
        <v/>
      </c>
      <c r="AD224" s="24">
        <f>IF(OR(A224="",AF224=""),"",LEFT(AF224,LEN(AF224)-2))</f>
        <v/>
      </c>
      <c r="AE224" s="35">
        <f>IF(OR(A224="",AC224=0),0,AC224*100-ROW()/100000)</f>
        <v>0</v>
      </c>
      <c r="AF224" s="35">
        <f>IF(A224="","",IF(AND(Config!$B$10&lt;&gt;"",E224&lt;&gt;"Sim",E224&lt;&gt;"N/A"),Config!$B$10&amp;"; ","")&amp;IF(AND(Config!$B$11&lt;&gt;"",F224&lt;&gt;"Sim",F224&lt;&gt;"N/A"),Config!$B$11&amp;"; ","")&amp;IF(AND(Config!$B$12&lt;&gt;"",G224&lt;&gt;"Sim",G224&lt;&gt;"N/A"),Config!$B$12&amp;"; ","")&amp;IF(AND(Config!$B$13&lt;&gt;"",H224&lt;&gt;"Sim",H224&lt;&gt;"N/A"),Config!$B$13&amp;"; ","")&amp;IF(AND(Config!$B$14&lt;&gt;"",I224&lt;&gt;"Sim",I224&lt;&gt;"N/A"),Config!$B$14&amp;"; ","")&amp;IF(AND(Config!$B$15&lt;&gt;"",J224&lt;&gt;"Sim",J224&lt;&gt;"N/A"),Config!$B$15&amp;"; ","")&amp;IF(AND(Config!$B$16&lt;&gt;"",K224&lt;&gt;"Sim",K224&lt;&gt;"N/A"),Config!$B$16&amp;"; ","")&amp;IF(AND(Config!$B$17&lt;&gt;"",L224&lt;&gt;"Sim",L224&lt;&gt;"N/A"),Config!$B$17&amp;"; ","")&amp;IF(AND(Config!$B$18&lt;&gt;"",M224&lt;&gt;"Sim",M224&lt;&gt;"N/A"),Config!$B$18&amp;"; ","")&amp;IF(AND(Config!$B$19&lt;&gt;"",N224&lt;&gt;"Sim",N224&lt;&gt;"N/A"),Config!$B$19&amp;"; ","")&amp;IF(AND($D224="Encerrado",Config!$D$10&lt;&gt;"",O224&lt;&gt;"Sim",O224&lt;&gt;"N/A"),Config!$D$10&amp;"; ","")&amp;IF(AND($D224="Encerrado",Config!$D$11&lt;&gt;"",P224&lt;&gt;"Sim",P224&lt;&gt;"N/A"),Config!$D$11&amp;"; ","")&amp;IF(AND($D224="Encerrado",Config!$D$12&lt;&gt;"",Q224&lt;&gt;"Sim",Q224&lt;&gt;"N/A"),Config!$D$12&amp;"; ","")&amp;IF(AND($D224="Encerrado",Config!$D$13&lt;&gt;"",R224&lt;&gt;"Sim",R224&lt;&gt;"N/A"),Config!$D$13&amp;"; ","")&amp;IF(AND($D224="Encerrado",Config!$D$14&lt;&gt;"",S224&lt;&gt;"Sim",S224&lt;&gt;"N/A"),Config!$D$14&amp;"; ","")&amp;IF(AND($D224="Encerrado",Config!$D$15&lt;&gt;"",T224&lt;&gt;"Sim",T224&lt;&gt;"N/A"),Config!$D$15&amp;"; ","")&amp;IF(AND($D224="Encerrado",Config!$D$16&lt;&gt;"",U224&lt;&gt;"Sim",U224&lt;&gt;"N/A"),Config!$D$16&amp;"; ","")&amp;IF(AND($D224="Encerrado",Config!$D$17&lt;&gt;"",V224&lt;&gt;"Sim",V224&lt;&gt;"N/A"),Config!$D$17&amp;"; ","")&amp;IF(AND($D224="Encerrado",Config!$D$18&lt;&gt;"",W224&lt;&gt;"Sim",W224&lt;&gt;"N/A"),Config!$D$18&amp;"; ","")&amp;IF(AND($D224="Encerrado",Config!$D$19&lt;&gt;"",X224&lt;&gt;"Sim",X224&lt;&gt;"N/A"),Config!$D$19&amp;"; ",""))</f>
        <v/>
      </c>
    </row>
    <row r="225">
      <c r="A225" s="29" t="n"/>
      <c r="B225" s="29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25">
        <f>IF(A225="","",IFERROR(COUNTIF(E225:N225,"Sim")/(Config!$B$21-COUNTIF(E225:N225,"N/A")),""))</f>
        <v/>
      </c>
      <c r="Z225" s="25">
        <f>IF(OR(A225="",D225&lt;&gt;"Encerrado"),"",IFERROR(COUNTIF(O225:X225,"Sim")/(Config!$D$21-COUNTIF(O225:X225,"N/A")),""))</f>
        <v/>
      </c>
      <c r="AA225" s="23">
        <f>IF(A225="","",MAX(0,Config!$B$21-COUNTIF(E225:N225,"Sim")-COUNTIF(E225:N225,"N/A")))</f>
        <v/>
      </c>
      <c r="AB225" s="23">
        <f>IF(OR(A225="",D225&lt;&gt;"Encerrado"),"",MAX(0,Config!$D$21-COUNTIF(O225:X225,"Sim")-COUNTIF(O225:X225,"N/A")))</f>
        <v/>
      </c>
      <c r="AC225" s="23">
        <f>IF(A225="","",AA225+IF(AB225="",0,AB225))</f>
        <v/>
      </c>
      <c r="AD225" s="24">
        <f>IF(OR(A225="",AF225=""),"",LEFT(AF225,LEN(AF225)-2))</f>
        <v/>
      </c>
      <c r="AE225" s="35">
        <f>IF(OR(A225="",AC225=0),0,AC225*100-ROW()/100000)</f>
        <v>0</v>
      </c>
      <c r="AF225" s="35">
        <f>IF(A225="","",IF(AND(Config!$B$10&lt;&gt;"",E225&lt;&gt;"Sim",E225&lt;&gt;"N/A"),Config!$B$10&amp;"; ","")&amp;IF(AND(Config!$B$11&lt;&gt;"",F225&lt;&gt;"Sim",F225&lt;&gt;"N/A"),Config!$B$11&amp;"; ","")&amp;IF(AND(Config!$B$12&lt;&gt;"",G225&lt;&gt;"Sim",G225&lt;&gt;"N/A"),Config!$B$12&amp;"; ","")&amp;IF(AND(Config!$B$13&lt;&gt;"",H225&lt;&gt;"Sim",H225&lt;&gt;"N/A"),Config!$B$13&amp;"; ","")&amp;IF(AND(Config!$B$14&lt;&gt;"",I225&lt;&gt;"Sim",I225&lt;&gt;"N/A"),Config!$B$14&amp;"; ","")&amp;IF(AND(Config!$B$15&lt;&gt;"",J225&lt;&gt;"Sim",J225&lt;&gt;"N/A"),Config!$B$15&amp;"; ","")&amp;IF(AND(Config!$B$16&lt;&gt;"",K225&lt;&gt;"Sim",K225&lt;&gt;"N/A"),Config!$B$16&amp;"; ","")&amp;IF(AND(Config!$B$17&lt;&gt;"",L225&lt;&gt;"Sim",L225&lt;&gt;"N/A"),Config!$B$17&amp;"; ","")&amp;IF(AND(Config!$B$18&lt;&gt;"",M225&lt;&gt;"Sim",M225&lt;&gt;"N/A"),Config!$B$18&amp;"; ","")&amp;IF(AND(Config!$B$19&lt;&gt;"",N225&lt;&gt;"Sim",N225&lt;&gt;"N/A"),Config!$B$19&amp;"; ","")&amp;IF(AND($D225="Encerrado",Config!$D$10&lt;&gt;"",O225&lt;&gt;"Sim",O225&lt;&gt;"N/A"),Config!$D$10&amp;"; ","")&amp;IF(AND($D225="Encerrado",Config!$D$11&lt;&gt;"",P225&lt;&gt;"Sim",P225&lt;&gt;"N/A"),Config!$D$11&amp;"; ","")&amp;IF(AND($D225="Encerrado",Config!$D$12&lt;&gt;"",Q225&lt;&gt;"Sim",Q225&lt;&gt;"N/A"),Config!$D$12&amp;"; ","")&amp;IF(AND($D225="Encerrado",Config!$D$13&lt;&gt;"",R225&lt;&gt;"Sim",R225&lt;&gt;"N/A"),Config!$D$13&amp;"; ","")&amp;IF(AND($D225="Encerrado",Config!$D$14&lt;&gt;"",S225&lt;&gt;"Sim",S225&lt;&gt;"N/A"),Config!$D$14&amp;"; ","")&amp;IF(AND($D225="Encerrado",Config!$D$15&lt;&gt;"",T225&lt;&gt;"Sim",T225&lt;&gt;"N/A"),Config!$D$15&amp;"; ","")&amp;IF(AND($D225="Encerrado",Config!$D$16&lt;&gt;"",U225&lt;&gt;"Sim",U225&lt;&gt;"N/A"),Config!$D$16&amp;"; ","")&amp;IF(AND($D225="Encerrado",Config!$D$17&lt;&gt;"",V225&lt;&gt;"Sim",V225&lt;&gt;"N/A"),Config!$D$17&amp;"; ","")&amp;IF(AND($D225="Encerrado",Config!$D$18&lt;&gt;"",W225&lt;&gt;"Sim",W225&lt;&gt;"N/A"),Config!$D$18&amp;"; ","")&amp;IF(AND($D225="Encerrado",Config!$D$19&lt;&gt;"",X225&lt;&gt;"Sim",X225&lt;&gt;"N/A"),Config!$D$19&amp;"; ",""))</f>
        <v/>
      </c>
    </row>
    <row r="226">
      <c r="A226" s="29" t="n"/>
      <c r="B226" s="29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25">
        <f>IF(A226="","",IFERROR(COUNTIF(E226:N226,"Sim")/(Config!$B$21-COUNTIF(E226:N226,"N/A")),""))</f>
        <v/>
      </c>
      <c r="Z226" s="25">
        <f>IF(OR(A226="",D226&lt;&gt;"Encerrado"),"",IFERROR(COUNTIF(O226:X226,"Sim")/(Config!$D$21-COUNTIF(O226:X226,"N/A")),""))</f>
        <v/>
      </c>
      <c r="AA226" s="23">
        <f>IF(A226="","",MAX(0,Config!$B$21-COUNTIF(E226:N226,"Sim")-COUNTIF(E226:N226,"N/A")))</f>
        <v/>
      </c>
      <c r="AB226" s="23">
        <f>IF(OR(A226="",D226&lt;&gt;"Encerrado"),"",MAX(0,Config!$D$21-COUNTIF(O226:X226,"Sim")-COUNTIF(O226:X226,"N/A")))</f>
        <v/>
      </c>
      <c r="AC226" s="23">
        <f>IF(A226="","",AA226+IF(AB226="",0,AB226))</f>
        <v/>
      </c>
      <c r="AD226" s="24">
        <f>IF(OR(A226="",AF226=""),"",LEFT(AF226,LEN(AF226)-2))</f>
        <v/>
      </c>
      <c r="AE226" s="35">
        <f>IF(OR(A226="",AC226=0),0,AC226*100-ROW()/100000)</f>
        <v>0</v>
      </c>
      <c r="AF226" s="35">
        <f>IF(A226="","",IF(AND(Config!$B$10&lt;&gt;"",E226&lt;&gt;"Sim",E226&lt;&gt;"N/A"),Config!$B$10&amp;"; ","")&amp;IF(AND(Config!$B$11&lt;&gt;"",F226&lt;&gt;"Sim",F226&lt;&gt;"N/A"),Config!$B$11&amp;"; ","")&amp;IF(AND(Config!$B$12&lt;&gt;"",G226&lt;&gt;"Sim",G226&lt;&gt;"N/A"),Config!$B$12&amp;"; ","")&amp;IF(AND(Config!$B$13&lt;&gt;"",H226&lt;&gt;"Sim",H226&lt;&gt;"N/A"),Config!$B$13&amp;"; ","")&amp;IF(AND(Config!$B$14&lt;&gt;"",I226&lt;&gt;"Sim",I226&lt;&gt;"N/A"),Config!$B$14&amp;"; ","")&amp;IF(AND(Config!$B$15&lt;&gt;"",J226&lt;&gt;"Sim",J226&lt;&gt;"N/A"),Config!$B$15&amp;"; ","")&amp;IF(AND(Config!$B$16&lt;&gt;"",K226&lt;&gt;"Sim",K226&lt;&gt;"N/A"),Config!$B$16&amp;"; ","")&amp;IF(AND(Config!$B$17&lt;&gt;"",L226&lt;&gt;"Sim",L226&lt;&gt;"N/A"),Config!$B$17&amp;"; ","")&amp;IF(AND(Config!$B$18&lt;&gt;"",M226&lt;&gt;"Sim",M226&lt;&gt;"N/A"),Config!$B$18&amp;"; ","")&amp;IF(AND(Config!$B$19&lt;&gt;"",N226&lt;&gt;"Sim",N226&lt;&gt;"N/A"),Config!$B$19&amp;"; ","")&amp;IF(AND($D226="Encerrado",Config!$D$10&lt;&gt;"",O226&lt;&gt;"Sim",O226&lt;&gt;"N/A"),Config!$D$10&amp;"; ","")&amp;IF(AND($D226="Encerrado",Config!$D$11&lt;&gt;"",P226&lt;&gt;"Sim",P226&lt;&gt;"N/A"),Config!$D$11&amp;"; ","")&amp;IF(AND($D226="Encerrado",Config!$D$12&lt;&gt;"",Q226&lt;&gt;"Sim",Q226&lt;&gt;"N/A"),Config!$D$12&amp;"; ","")&amp;IF(AND($D226="Encerrado",Config!$D$13&lt;&gt;"",R226&lt;&gt;"Sim",R226&lt;&gt;"N/A"),Config!$D$13&amp;"; ","")&amp;IF(AND($D226="Encerrado",Config!$D$14&lt;&gt;"",S226&lt;&gt;"Sim",S226&lt;&gt;"N/A"),Config!$D$14&amp;"; ","")&amp;IF(AND($D226="Encerrado",Config!$D$15&lt;&gt;"",T226&lt;&gt;"Sim",T226&lt;&gt;"N/A"),Config!$D$15&amp;"; ","")&amp;IF(AND($D226="Encerrado",Config!$D$16&lt;&gt;"",U226&lt;&gt;"Sim",U226&lt;&gt;"N/A"),Config!$D$16&amp;"; ","")&amp;IF(AND($D226="Encerrado",Config!$D$17&lt;&gt;"",V226&lt;&gt;"Sim",V226&lt;&gt;"N/A"),Config!$D$17&amp;"; ","")&amp;IF(AND($D226="Encerrado",Config!$D$18&lt;&gt;"",W226&lt;&gt;"Sim",W226&lt;&gt;"N/A"),Config!$D$18&amp;"; ","")&amp;IF(AND($D226="Encerrado",Config!$D$19&lt;&gt;"",X226&lt;&gt;"Sim",X226&lt;&gt;"N/A"),Config!$D$19&amp;"; ",""))</f>
        <v/>
      </c>
    </row>
    <row r="227">
      <c r="A227" s="29" t="n"/>
      <c r="B227" s="29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25">
        <f>IF(A227="","",IFERROR(COUNTIF(E227:N227,"Sim")/(Config!$B$21-COUNTIF(E227:N227,"N/A")),""))</f>
        <v/>
      </c>
      <c r="Z227" s="25">
        <f>IF(OR(A227="",D227&lt;&gt;"Encerrado"),"",IFERROR(COUNTIF(O227:X227,"Sim")/(Config!$D$21-COUNTIF(O227:X227,"N/A")),""))</f>
        <v/>
      </c>
      <c r="AA227" s="23">
        <f>IF(A227="","",MAX(0,Config!$B$21-COUNTIF(E227:N227,"Sim")-COUNTIF(E227:N227,"N/A")))</f>
        <v/>
      </c>
      <c r="AB227" s="23">
        <f>IF(OR(A227="",D227&lt;&gt;"Encerrado"),"",MAX(0,Config!$D$21-COUNTIF(O227:X227,"Sim")-COUNTIF(O227:X227,"N/A")))</f>
        <v/>
      </c>
      <c r="AC227" s="23">
        <f>IF(A227="","",AA227+IF(AB227="",0,AB227))</f>
        <v/>
      </c>
      <c r="AD227" s="24">
        <f>IF(OR(A227="",AF227=""),"",LEFT(AF227,LEN(AF227)-2))</f>
        <v/>
      </c>
      <c r="AE227" s="35">
        <f>IF(OR(A227="",AC227=0),0,AC227*100-ROW()/100000)</f>
        <v>0</v>
      </c>
      <c r="AF227" s="35">
        <f>IF(A227="","",IF(AND(Config!$B$10&lt;&gt;"",E227&lt;&gt;"Sim",E227&lt;&gt;"N/A"),Config!$B$10&amp;"; ","")&amp;IF(AND(Config!$B$11&lt;&gt;"",F227&lt;&gt;"Sim",F227&lt;&gt;"N/A"),Config!$B$11&amp;"; ","")&amp;IF(AND(Config!$B$12&lt;&gt;"",G227&lt;&gt;"Sim",G227&lt;&gt;"N/A"),Config!$B$12&amp;"; ","")&amp;IF(AND(Config!$B$13&lt;&gt;"",H227&lt;&gt;"Sim",H227&lt;&gt;"N/A"),Config!$B$13&amp;"; ","")&amp;IF(AND(Config!$B$14&lt;&gt;"",I227&lt;&gt;"Sim",I227&lt;&gt;"N/A"),Config!$B$14&amp;"; ","")&amp;IF(AND(Config!$B$15&lt;&gt;"",J227&lt;&gt;"Sim",J227&lt;&gt;"N/A"),Config!$B$15&amp;"; ","")&amp;IF(AND(Config!$B$16&lt;&gt;"",K227&lt;&gt;"Sim",K227&lt;&gt;"N/A"),Config!$B$16&amp;"; ","")&amp;IF(AND(Config!$B$17&lt;&gt;"",L227&lt;&gt;"Sim",L227&lt;&gt;"N/A"),Config!$B$17&amp;"; ","")&amp;IF(AND(Config!$B$18&lt;&gt;"",M227&lt;&gt;"Sim",M227&lt;&gt;"N/A"),Config!$B$18&amp;"; ","")&amp;IF(AND(Config!$B$19&lt;&gt;"",N227&lt;&gt;"Sim",N227&lt;&gt;"N/A"),Config!$B$19&amp;"; ","")&amp;IF(AND($D227="Encerrado",Config!$D$10&lt;&gt;"",O227&lt;&gt;"Sim",O227&lt;&gt;"N/A"),Config!$D$10&amp;"; ","")&amp;IF(AND($D227="Encerrado",Config!$D$11&lt;&gt;"",P227&lt;&gt;"Sim",P227&lt;&gt;"N/A"),Config!$D$11&amp;"; ","")&amp;IF(AND($D227="Encerrado",Config!$D$12&lt;&gt;"",Q227&lt;&gt;"Sim",Q227&lt;&gt;"N/A"),Config!$D$12&amp;"; ","")&amp;IF(AND($D227="Encerrado",Config!$D$13&lt;&gt;"",R227&lt;&gt;"Sim",R227&lt;&gt;"N/A"),Config!$D$13&amp;"; ","")&amp;IF(AND($D227="Encerrado",Config!$D$14&lt;&gt;"",S227&lt;&gt;"Sim",S227&lt;&gt;"N/A"),Config!$D$14&amp;"; ","")&amp;IF(AND($D227="Encerrado",Config!$D$15&lt;&gt;"",T227&lt;&gt;"Sim",T227&lt;&gt;"N/A"),Config!$D$15&amp;"; ","")&amp;IF(AND($D227="Encerrado",Config!$D$16&lt;&gt;"",U227&lt;&gt;"Sim",U227&lt;&gt;"N/A"),Config!$D$16&amp;"; ","")&amp;IF(AND($D227="Encerrado",Config!$D$17&lt;&gt;"",V227&lt;&gt;"Sim",V227&lt;&gt;"N/A"),Config!$D$17&amp;"; ","")&amp;IF(AND($D227="Encerrado",Config!$D$18&lt;&gt;"",W227&lt;&gt;"Sim",W227&lt;&gt;"N/A"),Config!$D$18&amp;"; ","")&amp;IF(AND($D227="Encerrado",Config!$D$19&lt;&gt;"",X227&lt;&gt;"Sim",X227&lt;&gt;"N/A"),Config!$D$19&amp;"; ",""))</f>
        <v/>
      </c>
    </row>
    <row r="228">
      <c r="A228" s="29" t="n"/>
      <c r="B228" s="29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25">
        <f>IF(A228="","",IFERROR(COUNTIF(E228:N228,"Sim")/(Config!$B$21-COUNTIF(E228:N228,"N/A")),""))</f>
        <v/>
      </c>
      <c r="Z228" s="25">
        <f>IF(OR(A228="",D228&lt;&gt;"Encerrado"),"",IFERROR(COUNTIF(O228:X228,"Sim")/(Config!$D$21-COUNTIF(O228:X228,"N/A")),""))</f>
        <v/>
      </c>
      <c r="AA228" s="23">
        <f>IF(A228="","",MAX(0,Config!$B$21-COUNTIF(E228:N228,"Sim")-COUNTIF(E228:N228,"N/A")))</f>
        <v/>
      </c>
      <c r="AB228" s="23">
        <f>IF(OR(A228="",D228&lt;&gt;"Encerrado"),"",MAX(0,Config!$D$21-COUNTIF(O228:X228,"Sim")-COUNTIF(O228:X228,"N/A")))</f>
        <v/>
      </c>
      <c r="AC228" s="23">
        <f>IF(A228="","",AA228+IF(AB228="",0,AB228))</f>
        <v/>
      </c>
      <c r="AD228" s="24">
        <f>IF(OR(A228="",AF228=""),"",LEFT(AF228,LEN(AF228)-2))</f>
        <v/>
      </c>
      <c r="AE228" s="35">
        <f>IF(OR(A228="",AC228=0),0,AC228*100-ROW()/100000)</f>
        <v>0</v>
      </c>
      <c r="AF228" s="35">
        <f>IF(A228="","",IF(AND(Config!$B$10&lt;&gt;"",E228&lt;&gt;"Sim",E228&lt;&gt;"N/A"),Config!$B$10&amp;"; ","")&amp;IF(AND(Config!$B$11&lt;&gt;"",F228&lt;&gt;"Sim",F228&lt;&gt;"N/A"),Config!$B$11&amp;"; ","")&amp;IF(AND(Config!$B$12&lt;&gt;"",G228&lt;&gt;"Sim",G228&lt;&gt;"N/A"),Config!$B$12&amp;"; ","")&amp;IF(AND(Config!$B$13&lt;&gt;"",H228&lt;&gt;"Sim",H228&lt;&gt;"N/A"),Config!$B$13&amp;"; ","")&amp;IF(AND(Config!$B$14&lt;&gt;"",I228&lt;&gt;"Sim",I228&lt;&gt;"N/A"),Config!$B$14&amp;"; ","")&amp;IF(AND(Config!$B$15&lt;&gt;"",J228&lt;&gt;"Sim",J228&lt;&gt;"N/A"),Config!$B$15&amp;"; ","")&amp;IF(AND(Config!$B$16&lt;&gt;"",K228&lt;&gt;"Sim",K228&lt;&gt;"N/A"),Config!$B$16&amp;"; ","")&amp;IF(AND(Config!$B$17&lt;&gt;"",L228&lt;&gt;"Sim",L228&lt;&gt;"N/A"),Config!$B$17&amp;"; ","")&amp;IF(AND(Config!$B$18&lt;&gt;"",M228&lt;&gt;"Sim",M228&lt;&gt;"N/A"),Config!$B$18&amp;"; ","")&amp;IF(AND(Config!$B$19&lt;&gt;"",N228&lt;&gt;"Sim",N228&lt;&gt;"N/A"),Config!$B$19&amp;"; ","")&amp;IF(AND($D228="Encerrado",Config!$D$10&lt;&gt;"",O228&lt;&gt;"Sim",O228&lt;&gt;"N/A"),Config!$D$10&amp;"; ","")&amp;IF(AND($D228="Encerrado",Config!$D$11&lt;&gt;"",P228&lt;&gt;"Sim",P228&lt;&gt;"N/A"),Config!$D$11&amp;"; ","")&amp;IF(AND($D228="Encerrado",Config!$D$12&lt;&gt;"",Q228&lt;&gt;"Sim",Q228&lt;&gt;"N/A"),Config!$D$12&amp;"; ","")&amp;IF(AND($D228="Encerrado",Config!$D$13&lt;&gt;"",R228&lt;&gt;"Sim",R228&lt;&gt;"N/A"),Config!$D$13&amp;"; ","")&amp;IF(AND($D228="Encerrado",Config!$D$14&lt;&gt;"",S228&lt;&gt;"Sim",S228&lt;&gt;"N/A"),Config!$D$14&amp;"; ","")&amp;IF(AND($D228="Encerrado",Config!$D$15&lt;&gt;"",T228&lt;&gt;"Sim",T228&lt;&gt;"N/A"),Config!$D$15&amp;"; ","")&amp;IF(AND($D228="Encerrado",Config!$D$16&lt;&gt;"",U228&lt;&gt;"Sim",U228&lt;&gt;"N/A"),Config!$D$16&amp;"; ","")&amp;IF(AND($D228="Encerrado",Config!$D$17&lt;&gt;"",V228&lt;&gt;"Sim",V228&lt;&gt;"N/A"),Config!$D$17&amp;"; ","")&amp;IF(AND($D228="Encerrado",Config!$D$18&lt;&gt;"",W228&lt;&gt;"Sim",W228&lt;&gt;"N/A"),Config!$D$18&amp;"; ","")&amp;IF(AND($D228="Encerrado",Config!$D$19&lt;&gt;"",X228&lt;&gt;"Sim",X228&lt;&gt;"N/A"),Config!$D$19&amp;"; ",""))</f>
        <v/>
      </c>
    </row>
    <row r="229">
      <c r="A229" s="29" t="n"/>
      <c r="B229" s="29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25">
        <f>IF(A229="","",IFERROR(COUNTIF(E229:N229,"Sim")/(Config!$B$21-COUNTIF(E229:N229,"N/A")),""))</f>
        <v/>
      </c>
      <c r="Z229" s="25">
        <f>IF(OR(A229="",D229&lt;&gt;"Encerrado"),"",IFERROR(COUNTIF(O229:X229,"Sim")/(Config!$D$21-COUNTIF(O229:X229,"N/A")),""))</f>
        <v/>
      </c>
      <c r="AA229" s="23">
        <f>IF(A229="","",MAX(0,Config!$B$21-COUNTIF(E229:N229,"Sim")-COUNTIF(E229:N229,"N/A")))</f>
        <v/>
      </c>
      <c r="AB229" s="23">
        <f>IF(OR(A229="",D229&lt;&gt;"Encerrado"),"",MAX(0,Config!$D$21-COUNTIF(O229:X229,"Sim")-COUNTIF(O229:X229,"N/A")))</f>
        <v/>
      </c>
      <c r="AC229" s="23">
        <f>IF(A229="","",AA229+IF(AB229="",0,AB229))</f>
        <v/>
      </c>
      <c r="AD229" s="24">
        <f>IF(OR(A229="",AF229=""),"",LEFT(AF229,LEN(AF229)-2))</f>
        <v/>
      </c>
      <c r="AE229" s="35">
        <f>IF(OR(A229="",AC229=0),0,AC229*100-ROW()/100000)</f>
        <v>0</v>
      </c>
      <c r="AF229" s="35">
        <f>IF(A229="","",IF(AND(Config!$B$10&lt;&gt;"",E229&lt;&gt;"Sim",E229&lt;&gt;"N/A"),Config!$B$10&amp;"; ","")&amp;IF(AND(Config!$B$11&lt;&gt;"",F229&lt;&gt;"Sim",F229&lt;&gt;"N/A"),Config!$B$11&amp;"; ","")&amp;IF(AND(Config!$B$12&lt;&gt;"",G229&lt;&gt;"Sim",G229&lt;&gt;"N/A"),Config!$B$12&amp;"; ","")&amp;IF(AND(Config!$B$13&lt;&gt;"",H229&lt;&gt;"Sim",H229&lt;&gt;"N/A"),Config!$B$13&amp;"; ","")&amp;IF(AND(Config!$B$14&lt;&gt;"",I229&lt;&gt;"Sim",I229&lt;&gt;"N/A"),Config!$B$14&amp;"; ","")&amp;IF(AND(Config!$B$15&lt;&gt;"",J229&lt;&gt;"Sim",J229&lt;&gt;"N/A"),Config!$B$15&amp;"; ","")&amp;IF(AND(Config!$B$16&lt;&gt;"",K229&lt;&gt;"Sim",K229&lt;&gt;"N/A"),Config!$B$16&amp;"; ","")&amp;IF(AND(Config!$B$17&lt;&gt;"",L229&lt;&gt;"Sim",L229&lt;&gt;"N/A"),Config!$B$17&amp;"; ","")&amp;IF(AND(Config!$B$18&lt;&gt;"",M229&lt;&gt;"Sim",M229&lt;&gt;"N/A"),Config!$B$18&amp;"; ","")&amp;IF(AND(Config!$B$19&lt;&gt;"",N229&lt;&gt;"Sim",N229&lt;&gt;"N/A"),Config!$B$19&amp;"; ","")&amp;IF(AND($D229="Encerrado",Config!$D$10&lt;&gt;"",O229&lt;&gt;"Sim",O229&lt;&gt;"N/A"),Config!$D$10&amp;"; ","")&amp;IF(AND($D229="Encerrado",Config!$D$11&lt;&gt;"",P229&lt;&gt;"Sim",P229&lt;&gt;"N/A"),Config!$D$11&amp;"; ","")&amp;IF(AND($D229="Encerrado",Config!$D$12&lt;&gt;"",Q229&lt;&gt;"Sim",Q229&lt;&gt;"N/A"),Config!$D$12&amp;"; ","")&amp;IF(AND($D229="Encerrado",Config!$D$13&lt;&gt;"",R229&lt;&gt;"Sim",R229&lt;&gt;"N/A"),Config!$D$13&amp;"; ","")&amp;IF(AND($D229="Encerrado",Config!$D$14&lt;&gt;"",S229&lt;&gt;"Sim",S229&lt;&gt;"N/A"),Config!$D$14&amp;"; ","")&amp;IF(AND($D229="Encerrado",Config!$D$15&lt;&gt;"",T229&lt;&gt;"Sim",T229&lt;&gt;"N/A"),Config!$D$15&amp;"; ","")&amp;IF(AND($D229="Encerrado",Config!$D$16&lt;&gt;"",U229&lt;&gt;"Sim",U229&lt;&gt;"N/A"),Config!$D$16&amp;"; ","")&amp;IF(AND($D229="Encerrado",Config!$D$17&lt;&gt;"",V229&lt;&gt;"Sim",V229&lt;&gt;"N/A"),Config!$D$17&amp;"; ","")&amp;IF(AND($D229="Encerrado",Config!$D$18&lt;&gt;"",W229&lt;&gt;"Sim",W229&lt;&gt;"N/A"),Config!$D$18&amp;"; ","")&amp;IF(AND($D229="Encerrado",Config!$D$19&lt;&gt;"",X229&lt;&gt;"Sim",X229&lt;&gt;"N/A"),Config!$D$19&amp;"; ",""))</f>
        <v/>
      </c>
    </row>
    <row r="230">
      <c r="A230" s="29" t="n"/>
      <c r="B230" s="29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25">
        <f>IF(A230="","",IFERROR(COUNTIF(E230:N230,"Sim")/(Config!$B$21-COUNTIF(E230:N230,"N/A")),""))</f>
        <v/>
      </c>
      <c r="Z230" s="25">
        <f>IF(OR(A230="",D230&lt;&gt;"Encerrado"),"",IFERROR(COUNTIF(O230:X230,"Sim")/(Config!$D$21-COUNTIF(O230:X230,"N/A")),""))</f>
        <v/>
      </c>
      <c r="AA230" s="23">
        <f>IF(A230="","",MAX(0,Config!$B$21-COUNTIF(E230:N230,"Sim")-COUNTIF(E230:N230,"N/A")))</f>
        <v/>
      </c>
      <c r="AB230" s="23">
        <f>IF(OR(A230="",D230&lt;&gt;"Encerrado"),"",MAX(0,Config!$D$21-COUNTIF(O230:X230,"Sim")-COUNTIF(O230:X230,"N/A")))</f>
        <v/>
      </c>
      <c r="AC230" s="23">
        <f>IF(A230="","",AA230+IF(AB230="",0,AB230))</f>
        <v/>
      </c>
      <c r="AD230" s="24">
        <f>IF(OR(A230="",AF230=""),"",LEFT(AF230,LEN(AF230)-2))</f>
        <v/>
      </c>
      <c r="AE230" s="35">
        <f>IF(OR(A230="",AC230=0),0,AC230*100-ROW()/100000)</f>
        <v>0</v>
      </c>
      <c r="AF230" s="35">
        <f>IF(A230="","",IF(AND(Config!$B$10&lt;&gt;"",E230&lt;&gt;"Sim",E230&lt;&gt;"N/A"),Config!$B$10&amp;"; ","")&amp;IF(AND(Config!$B$11&lt;&gt;"",F230&lt;&gt;"Sim",F230&lt;&gt;"N/A"),Config!$B$11&amp;"; ","")&amp;IF(AND(Config!$B$12&lt;&gt;"",G230&lt;&gt;"Sim",G230&lt;&gt;"N/A"),Config!$B$12&amp;"; ","")&amp;IF(AND(Config!$B$13&lt;&gt;"",H230&lt;&gt;"Sim",H230&lt;&gt;"N/A"),Config!$B$13&amp;"; ","")&amp;IF(AND(Config!$B$14&lt;&gt;"",I230&lt;&gt;"Sim",I230&lt;&gt;"N/A"),Config!$B$14&amp;"; ","")&amp;IF(AND(Config!$B$15&lt;&gt;"",J230&lt;&gt;"Sim",J230&lt;&gt;"N/A"),Config!$B$15&amp;"; ","")&amp;IF(AND(Config!$B$16&lt;&gt;"",K230&lt;&gt;"Sim",K230&lt;&gt;"N/A"),Config!$B$16&amp;"; ","")&amp;IF(AND(Config!$B$17&lt;&gt;"",L230&lt;&gt;"Sim",L230&lt;&gt;"N/A"),Config!$B$17&amp;"; ","")&amp;IF(AND(Config!$B$18&lt;&gt;"",M230&lt;&gt;"Sim",M230&lt;&gt;"N/A"),Config!$B$18&amp;"; ","")&amp;IF(AND(Config!$B$19&lt;&gt;"",N230&lt;&gt;"Sim",N230&lt;&gt;"N/A"),Config!$B$19&amp;"; ","")&amp;IF(AND($D230="Encerrado",Config!$D$10&lt;&gt;"",O230&lt;&gt;"Sim",O230&lt;&gt;"N/A"),Config!$D$10&amp;"; ","")&amp;IF(AND($D230="Encerrado",Config!$D$11&lt;&gt;"",P230&lt;&gt;"Sim",P230&lt;&gt;"N/A"),Config!$D$11&amp;"; ","")&amp;IF(AND($D230="Encerrado",Config!$D$12&lt;&gt;"",Q230&lt;&gt;"Sim",Q230&lt;&gt;"N/A"),Config!$D$12&amp;"; ","")&amp;IF(AND($D230="Encerrado",Config!$D$13&lt;&gt;"",R230&lt;&gt;"Sim",R230&lt;&gt;"N/A"),Config!$D$13&amp;"; ","")&amp;IF(AND($D230="Encerrado",Config!$D$14&lt;&gt;"",S230&lt;&gt;"Sim",S230&lt;&gt;"N/A"),Config!$D$14&amp;"; ","")&amp;IF(AND($D230="Encerrado",Config!$D$15&lt;&gt;"",T230&lt;&gt;"Sim",T230&lt;&gt;"N/A"),Config!$D$15&amp;"; ","")&amp;IF(AND($D230="Encerrado",Config!$D$16&lt;&gt;"",U230&lt;&gt;"Sim",U230&lt;&gt;"N/A"),Config!$D$16&amp;"; ","")&amp;IF(AND($D230="Encerrado",Config!$D$17&lt;&gt;"",V230&lt;&gt;"Sim",V230&lt;&gt;"N/A"),Config!$D$17&amp;"; ","")&amp;IF(AND($D230="Encerrado",Config!$D$18&lt;&gt;"",W230&lt;&gt;"Sim",W230&lt;&gt;"N/A"),Config!$D$18&amp;"; ","")&amp;IF(AND($D230="Encerrado",Config!$D$19&lt;&gt;"",X230&lt;&gt;"Sim",X230&lt;&gt;"N/A"),Config!$D$19&amp;"; ",""))</f>
        <v/>
      </c>
    </row>
    <row r="231">
      <c r="A231" s="29" t="n"/>
      <c r="B231" s="29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25">
        <f>IF(A231="","",IFERROR(COUNTIF(E231:N231,"Sim")/(Config!$B$21-COUNTIF(E231:N231,"N/A")),""))</f>
        <v/>
      </c>
      <c r="Z231" s="25">
        <f>IF(OR(A231="",D231&lt;&gt;"Encerrado"),"",IFERROR(COUNTIF(O231:X231,"Sim")/(Config!$D$21-COUNTIF(O231:X231,"N/A")),""))</f>
        <v/>
      </c>
      <c r="AA231" s="23">
        <f>IF(A231="","",MAX(0,Config!$B$21-COUNTIF(E231:N231,"Sim")-COUNTIF(E231:N231,"N/A")))</f>
        <v/>
      </c>
      <c r="AB231" s="23">
        <f>IF(OR(A231="",D231&lt;&gt;"Encerrado"),"",MAX(0,Config!$D$21-COUNTIF(O231:X231,"Sim")-COUNTIF(O231:X231,"N/A")))</f>
        <v/>
      </c>
      <c r="AC231" s="23">
        <f>IF(A231="","",AA231+IF(AB231="",0,AB231))</f>
        <v/>
      </c>
      <c r="AD231" s="24">
        <f>IF(OR(A231="",AF231=""),"",LEFT(AF231,LEN(AF231)-2))</f>
        <v/>
      </c>
      <c r="AE231" s="35">
        <f>IF(OR(A231="",AC231=0),0,AC231*100-ROW()/100000)</f>
        <v>0</v>
      </c>
      <c r="AF231" s="35">
        <f>IF(A231="","",IF(AND(Config!$B$10&lt;&gt;"",E231&lt;&gt;"Sim",E231&lt;&gt;"N/A"),Config!$B$10&amp;"; ","")&amp;IF(AND(Config!$B$11&lt;&gt;"",F231&lt;&gt;"Sim",F231&lt;&gt;"N/A"),Config!$B$11&amp;"; ","")&amp;IF(AND(Config!$B$12&lt;&gt;"",G231&lt;&gt;"Sim",G231&lt;&gt;"N/A"),Config!$B$12&amp;"; ","")&amp;IF(AND(Config!$B$13&lt;&gt;"",H231&lt;&gt;"Sim",H231&lt;&gt;"N/A"),Config!$B$13&amp;"; ","")&amp;IF(AND(Config!$B$14&lt;&gt;"",I231&lt;&gt;"Sim",I231&lt;&gt;"N/A"),Config!$B$14&amp;"; ","")&amp;IF(AND(Config!$B$15&lt;&gt;"",J231&lt;&gt;"Sim",J231&lt;&gt;"N/A"),Config!$B$15&amp;"; ","")&amp;IF(AND(Config!$B$16&lt;&gt;"",K231&lt;&gt;"Sim",K231&lt;&gt;"N/A"),Config!$B$16&amp;"; ","")&amp;IF(AND(Config!$B$17&lt;&gt;"",L231&lt;&gt;"Sim",L231&lt;&gt;"N/A"),Config!$B$17&amp;"; ","")&amp;IF(AND(Config!$B$18&lt;&gt;"",M231&lt;&gt;"Sim",M231&lt;&gt;"N/A"),Config!$B$18&amp;"; ","")&amp;IF(AND(Config!$B$19&lt;&gt;"",N231&lt;&gt;"Sim",N231&lt;&gt;"N/A"),Config!$B$19&amp;"; ","")&amp;IF(AND($D231="Encerrado",Config!$D$10&lt;&gt;"",O231&lt;&gt;"Sim",O231&lt;&gt;"N/A"),Config!$D$10&amp;"; ","")&amp;IF(AND($D231="Encerrado",Config!$D$11&lt;&gt;"",P231&lt;&gt;"Sim",P231&lt;&gt;"N/A"),Config!$D$11&amp;"; ","")&amp;IF(AND($D231="Encerrado",Config!$D$12&lt;&gt;"",Q231&lt;&gt;"Sim",Q231&lt;&gt;"N/A"),Config!$D$12&amp;"; ","")&amp;IF(AND($D231="Encerrado",Config!$D$13&lt;&gt;"",R231&lt;&gt;"Sim",R231&lt;&gt;"N/A"),Config!$D$13&amp;"; ","")&amp;IF(AND($D231="Encerrado",Config!$D$14&lt;&gt;"",S231&lt;&gt;"Sim",S231&lt;&gt;"N/A"),Config!$D$14&amp;"; ","")&amp;IF(AND($D231="Encerrado",Config!$D$15&lt;&gt;"",T231&lt;&gt;"Sim",T231&lt;&gt;"N/A"),Config!$D$15&amp;"; ","")&amp;IF(AND($D231="Encerrado",Config!$D$16&lt;&gt;"",U231&lt;&gt;"Sim",U231&lt;&gt;"N/A"),Config!$D$16&amp;"; ","")&amp;IF(AND($D231="Encerrado",Config!$D$17&lt;&gt;"",V231&lt;&gt;"Sim",V231&lt;&gt;"N/A"),Config!$D$17&amp;"; ","")&amp;IF(AND($D231="Encerrado",Config!$D$18&lt;&gt;"",W231&lt;&gt;"Sim",W231&lt;&gt;"N/A"),Config!$D$18&amp;"; ","")&amp;IF(AND($D231="Encerrado",Config!$D$19&lt;&gt;"",X231&lt;&gt;"Sim",X231&lt;&gt;"N/A"),Config!$D$19&amp;"; ",""))</f>
        <v/>
      </c>
    </row>
    <row r="232">
      <c r="A232" s="29" t="n"/>
      <c r="B232" s="29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25">
        <f>IF(A232="","",IFERROR(COUNTIF(E232:N232,"Sim")/(Config!$B$21-COUNTIF(E232:N232,"N/A")),""))</f>
        <v/>
      </c>
      <c r="Z232" s="25">
        <f>IF(OR(A232="",D232&lt;&gt;"Encerrado"),"",IFERROR(COUNTIF(O232:X232,"Sim")/(Config!$D$21-COUNTIF(O232:X232,"N/A")),""))</f>
        <v/>
      </c>
      <c r="AA232" s="23">
        <f>IF(A232="","",MAX(0,Config!$B$21-COUNTIF(E232:N232,"Sim")-COUNTIF(E232:N232,"N/A")))</f>
        <v/>
      </c>
      <c r="AB232" s="23">
        <f>IF(OR(A232="",D232&lt;&gt;"Encerrado"),"",MAX(0,Config!$D$21-COUNTIF(O232:X232,"Sim")-COUNTIF(O232:X232,"N/A")))</f>
        <v/>
      </c>
      <c r="AC232" s="23">
        <f>IF(A232="","",AA232+IF(AB232="",0,AB232))</f>
        <v/>
      </c>
      <c r="AD232" s="24">
        <f>IF(OR(A232="",AF232=""),"",LEFT(AF232,LEN(AF232)-2))</f>
        <v/>
      </c>
      <c r="AE232" s="35">
        <f>IF(OR(A232="",AC232=0),0,AC232*100-ROW()/100000)</f>
        <v>0</v>
      </c>
      <c r="AF232" s="35">
        <f>IF(A232="","",IF(AND(Config!$B$10&lt;&gt;"",E232&lt;&gt;"Sim",E232&lt;&gt;"N/A"),Config!$B$10&amp;"; ","")&amp;IF(AND(Config!$B$11&lt;&gt;"",F232&lt;&gt;"Sim",F232&lt;&gt;"N/A"),Config!$B$11&amp;"; ","")&amp;IF(AND(Config!$B$12&lt;&gt;"",G232&lt;&gt;"Sim",G232&lt;&gt;"N/A"),Config!$B$12&amp;"; ","")&amp;IF(AND(Config!$B$13&lt;&gt;"",H232&lt;&gt;"Sim",H232&lt;&gt;"N/A"),Config!$B$13&amp;"; ","")&amp;IF(AND(Config!$B$14&lt;&gt;"",I232&lt;&gt;"Sim",I232&lt;&gt;"N/A"),Config!$B$14&amp;"; ","")&amp;IF(AND(Config!$B$15&lt;&gt;"",J232&lt;&gt;"Sim",J232&lt;&gt;"N/A"),Config!$B$15&amp;"; ","")&amp;IF(AND(Config!$B$16&lt;&gt;"",K232&lt;&gt;"Sim",K232&lt;&gt;"N/A"),Config!$B$16&amp;"; ","")&amp;IF(AND(Config!$B$17&lt;&gt;"",L232&lt;&gt;"Sim",L232&lt;&gt;"N/A"),Config!$B$17&amp;"; ","")&amp;IF(AND(Config!$B$18&lt;&gt;"",M232&lt;&gt;"Sim",M232&lt;&gt;"N/A"),Config!$B$18&amp;"; ","")&amp;IF(AND(Config!$B$19&lt;&gt;"",N232&lt;&gt;"Sim",N232&lt;&gt;"N/A"),Config!$B$19&amp;"; ","")&amp;IF(AND($D232="Encerrado",Config!$D$10&lt;&gt;"",O232&lt;&gt;"Sim",O232&lt;&gt;"N/A"),Config!$D$10&amp;"; ","")&amp;IF(AND($D232="Encerrado",Config!$D$11&lt;&gt;"",P232&lt;&gt;"Sim",P232&lt;&gt;"N/A"),Config!$D$11&amp;"; ","")&amp;IF(AND($D232="Encerrado",Config!$D$12&lt;&gt;"",Q232&lt;&gt;"Sim",Q232&lt;&gt;"N/A"),Config!$D$12&amp;"; ","")&amp;IF(AND($D232="Encerrado",Config!$D$13&lt;&gt;"",R232&lt;&gt;"Sim",R232&lt;&gt;"N/A"),Config!$D$13&amp;"; ","")&amp;IF(AND($D232="Encerrado",Config!$D$14&lt;&gt;"",S232&lt;&gt;"Sim",S232&lt;&gt;"N/A"),Config!$D$14&amp;"; ","")&amp;IF(AND($D232="Encerrado",Config!$D$15&lt;&gt;"",T232&lt;&gt;"Sim",T232&lt;&gt;"N/A"),Config!$D$15&amp;"; ","")&amp;IF(AND($D232="Encerrado",Config!$D$16&lt;&gt;"",U232&lt;&gt;"Sim",U232&lt;&gt;"N/A"),Config!$D$16&amp;"; ","")&amp;IF(AND($D232="Encerrado",Config!$D$17&lt;&gt;"",V232&lt;&gt;"Sim",V232&lt;&gt;"N/A"),Config!$D$17&amp;"; ","")&amp;IF(AND($D232="Encerrado",Config!$D$18&lt;&gt;"",W232&lt;&gt;"Sim",W232&lt;&gt;"N/A"),Config!$D$18&amp;"; ","")&amp;IF(AND($D232="Encerrado",Config!$D$19&lt;&gt;"",X232&lt;&gt;"Sim",X232&lt;&gt;"N/A"),Config!$D$19&amp;"; ",""))</f>
        <v/>
      </c>
    </row>
    <row r="233">
      <c r="A233" s="29" t="n"/>
      <c r="B233" s="29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25">
        <f>IF(A233="","",IFERROR(COUNTIF(E233:N233,"Sim")/(Config!$B$21-COUNTIF(E233:N233,"N/A")),""))</f>
        <v/>
      </c>
      <c r="Z233" s="25">
        <f>IF(OR(A233="",D233&lt;&gt;"Encerrado"),"",IFERROR(COUNTIF(O233:X233,"Sim")/(Config!$D$21-COUNTIF(O233:X233,"N/A")),""))</f>
        <v/>
      </c>
      <c r="AA233" s="23">
        <f>IF(A233="","",MAX(0,Config!$B$21-COUNTIF(E233:N233,"Sim")-COUNTIF(E233:N233,"N/A")))</f>
        <v/>
      </c>
      <c r="AB233" s="23">
        <f>IF(OR(A233="",D233&lt;&gt;"Encerrado"),"",MAX(0,Config!$D$21-COUNTIF(O233:X233,"Sim")-COUNTIF(O233:X233,"N/A")))</f>
        <v/>
      </c>
      <c r="AC233" s="23">
        <f>IF(A233="","",AA233+IF(AB233="",0,AB233))</f>
        <v/>
      </c>
      <c r="AD233" s="24">
        <f>IF(OR(A233="",AF233=""),"",LEFT(AF233,LEN(AF233)-2))</f>
        <v/>
      </c>
      <c r="AE233" s="35">
        <f>IF(OR(A233="",AC233=0),0,AC233*100-ROW()/100000)</f>
        <v>0</v>
      </c>
      <c r="AF233" s="35">
        <f>IF(A233="","",IF(AND(Config!$B$10&lt;&gt;"",E233&lt;&gt;"Sim",E233&lt;&gt;"N/A"),Config!$B$10&amp;"; ","")&amp;IF(AND(Config!$B$11&lt;&gt;"",F233&lt;&gt;"Sim",F233&lt;&gt;"N/A"),Config!$B$11&amp;"; ","")&amp;IF(AND(Config!$B$12&lt;&gt;"",G233&lt;&gt;"Sim",G233&lt;&gt;"N/A"),Config!$B$12&amp;"; ","")&amp;IF(AND(Config!$B$13&lt;&gt;"",H233&lt;&gt;"Sim",H233&lt;&gt;"N/A"),Config!$B$13&amp;"; ","")&amp;IF(AND(Config!$B$14&lt;&gt;"",I233&lt;&gt;"Sim",I233&lt;&gt;"N/A"),Config!$B$14&amp;"; ","")&amp;IF(AND(Config!$B$15&lt;&gt;"",J233&lt;&gt;"Sim",J233&lt;&gt;"N/A"),Config!$B$15&amp;"; ","")&amp;IF(AND(Config!$B$16&lt;&gt;"",K233&lt;&gt;"Sim",K233&lt;&gt;"N/A"),Config!$B$16&amp;"; ","")&amp;IF(AND(Config!$B$17&lt;&gt;"",L233&lt;&gt;"Sim",L233&lt;&gt;"N/A"),Config!$B$17&amp;"; ","")&amp;IF(AND(Config!$B$18&lt;&gt;"",M233&lt;&gt;"Sim",M233&lt;&gt;"N/A"),Config!$B$18&amp;"; ","")&amp;IF(AND(Config!$B$19&lt;&gt;"",N233&lt;&gt;"Sim",N233&lt;&gt;"N/A"),Config!$B$19&amp;"; ","")&amp;IF(AND($D233="Encerrado",Config!$D$10&lt;&gt;"",O233&lt;&gt;"Sim",O233&lt;&gt;"N/A"),Config!$D$10&amp;"; ","")&amp;IF(AND($D233="Encerrado",Config!$D$11&lt;&gt;"",P233&lt;&gt;"Sim",P233&lt;&gt;"N/A"),Config!$D$11&amp;"; ","")&amp;IF(AND($D233="Encerrado",Config!$D$12&lt;&gt;"",Q233&lt;&gt;"Sim",Q233&lt;&gt;"N/A"),Config!$D$12&amp;"; ","")&amp;IF(AND($D233="Encerrado",Config!$D$13&lt;&gt;"",R233&lt;&gt;"Sim",R233&lt;&gt;"N/A"),Config!$D$13&amp;"; ","")&amp;IF(AND($D233="Encerrado",Config!$D$14&lt;&gt;"",S233&lt;&gt;"Sim",S233&lt;&gt;"N/A"),Config!$D$14&amp;"; ","")&amp;IF(AND($D233="Encerrado",Config!$D$15&lt;&gt;"",T233&lt;&gt;"Sim",T233&lt;&gt;"N/A"),Config!$D$15&amp;"; ","")&amp;IF(AND($D233="Encerrado",Config!$D$16&lt;&gt;"",U233&lt;&gt;"Sim",U233&lt;&gt;"N/A"),Config!$D$16&amp;"; ","")&amp;IF(AND($D233="Encerrado",Config!$D$17&lt;&gt;"",V233&lt;&gt;"Sim",V233&lt;&gt;"N/A"),Config!$D$17&amp;"; ","")&amp;IF(AND($D233="Encerrado",Config!$D$18&lt;&gt;"",W233&lt;&gt;"Sim",W233&lt;&gt;"N/A"),Config!$D$18&amp;"; ","")&amp;IF(AND($D233="Encerrado",Config!$D$19&lt;&gt;"",X233&lt;&gt;"Sim",X233&lt;&gt;"N/A"),Config!$D$19&amp;"; ",""))</f>
        <v/>
      </c>
    </row>
    <row r="234">
      <c r="A234" s="29" t="n"/>
      <c r="B234" s="29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25">
        <f>IF(A234="","",IFERROR(COUNTIF(E234:N234,"Sim")/(Config!$B$21-COUNTIF(E234:N234,"N/A")),""))</f>
        <v/>
      </c>
      <c r="Z234" s="25">
        <f>IF(OR(A234="",D234&lt;&gt;"Encerrado"),"",IFERROR(COUNTIF(O234:X234,"Sim")/(Config!$D$21-COUNTIF(O234:X234,"N/A")),""))</f>
        <v/>
      </c>
      <c r="AA234" s="23">
        <f>IF(A234="","",MAX(0,Config!$B$21-COUNTIF(E234:N234,"Sim")-COUNTIF(E234:N234,"N/A")))</f>
        <v/>
      </c>
      <c r="AB234" s="23">
        <f>IF(OR(A234="",D234&lt;&gt;"Encerrado"),"",MAX(0,Config!$D$21-COUNTIF(O234:X234,"Sim")-COUNTIF(O234:X234,"N/A")))</f>
        <v/>
      </c>
      <c r="AC234" s="23">
        <f>IF(A234="","",AA234+IF(AB234="",0,AB234))</f>
        <v/>
      </c>
      <c r="AD234" s="24">
        <f>IF(OR(A234="",AF234=""),"",LEFT(AF234,LEN(AF234)-2))</f>
        <v/>
      </c>
      <c r="AE234" s="35">
        <f>IF(OR(A234="",AC234=0),0,AC234*100-ROW()/100000)</f>
        <v>0</v>
      </c>
      <c r="AF234" s="35">
        <f>IF(A234="","",IF(AND(Config!$B$10&lt;&gt;"",E234&lt;&gt;"Sim",E234&lt;&gt;"N/A"),Config!$B$10&amp;"; ","")&amp;IF(AND(Config!$B$11&lt;&gt;"",F234&lt;&gt;"Sim",F234&lt;&gt;"N/A"),Config!$B$11&amp;"; ","")&amp;IF(AND(Config!$B$12&lt;&gt;"",G234&lt;&gt;"Sim",G234&lt;&gt;"N/A"),Config!$B$12&amp;"; ","")&amp;IF(AND(Config!$B$13&lt;&gt;"",H234&lt;&gt;"Sim",H234&lt;&gt;"N/A"),Config!$B$13&amp;"; ","")&amp;IF(AND(Config!$B$14&lt;&gt;"",I234&lt;&gt;"Sim",I234&lt;&gt;"N/A"),Config!$B$14&amp;"; ","")&amp;IF(AND(Config!$B$15&lt;&gt;"",J234&lt;&gt;"Sim",J234&lt;&gt;"N/A"),Config!$B$15&amp;"; ","")&amp;IF(AND(Config!$B$16&lt;&gt;"",K234&lt;&gt;"Sim",K234&lt;&gt;"N/A"),Config!$B$16&amp;"; ","")&amp;IF(AND(Config!$B$17&lt;&gt;"",L234&lt;&gt;"Sim",L234&lt;&gt;"N/A"),Config!$B$17&amp;"; ","")&amp;IF(AND(Config!$B$18&lt;&gt;"",M234&lt;&gt;"Sim",M234&lt;&gt;"N/A"),Config!$B$18&amp;"; ","")&amp;IF(AND(Config!$B$19&lt;&gt;"",N234&lt;&gt;"Sim",N234&lt;&gt;"N/A"),Config!$B$19&amp;"; ","")&amp;IF(AND($D234="Encerrado",Config!$D$10&lt;&gt;"",O234&lt;&gt;"Sim",O234&lt;&gt;"N/A"),Config!$D$10&amp;"; ","")&amp;IF(AND($D234="Encerrado",Config!$D$11&lt;&gt;"",P234&lt;&gt;"Sim",P234&lt;&gt;"N/A"),Config!$D$11&amp;"; ","")&amp;IF(AND($D234="Encerrado",Config!$D$12&lt;&gt;"",Q234&lt;&gt;"Sim",Q234&lt;&gt;"N/A"),Config!$D$12&amp;"; ","")&amp;IF(AND($D234="Encerrado",Config!$D$13&lt;&gt;"",R234&lt;&gt;"Sim",R234&lt;&gt;"N/A"),Config!$D$13&amp;"; ","")&amp;IF(AND($D234="Encerrado",Config!$D$14&lt;&gt;"",S234&lt;&gt;"Sim",S234&lt;&gt;"N/A"),Config!$D$14&amp;"; ","")&amp;IF(AND($D234="Encerrado",Config!$D$15&lt;&gt;"",T234&lt;&gt;"Sim",T234&lt;&gt;"N/A"),Config!$D$15&amp;"; ","")&amp;IF(AND($D234="Encerrado",Config!$D$16&lt;&gt;"",U234&lt;&gt;"Sim",U234&lt;&gt;"N/A"),Config!$D$16&amp;"; ","")&amp;IF(AND($D234="Encerrado",Config!$D$17&lt;&gt;"",V234&lt;&gt;"Sim",V234&lt;&gt;"N/A"),Config!$D$17&amp;"; ","")&amp;IF(AND($D234="Encerrado",Config!$D$18&lt;&gt;"",W234&lt;&gt;"Sim",W234&lt;&gt;"N/A"),Config!$D$18&amp;"; ","")&amp;IF(AND($D234="Encerrado",Config!$D$19&lt;&gt;"",X234&lt;&gt;"Sim",X234&lt;&gt;"N/A"),Config!$D$19&amp;"; ",""))</f>
        <v/>
      </c>
    </row>
    <row r="235">
      <c r="A235" s="29" t="n"/>
      <c r="B235" s="29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25">
        <f>IF(A235="","",IFERROR(COUNTIF(E235:N235,"Sim")/(Config!$B$21-COUNTIF(E235:N235,"N/A")),""))</f>
        <v/>
      </c>
      <c r="Z235" s="25">
        <f>IF(OR(A235="",D235&lt;&gt;"Encerrado"),"",IFERROR(COUNTIF(O235:X235,"Sim")/(Config!$D$21-COUNTIF(O235:X235,"N/A")),""))</f>
        <v/>
      </c>
      <c r="AA235" s="23">
        <f>IF(A235="","",MAX(0,Config!$B$21-COUNTIF(E235:N235,"Sim")-COUNTIF(E235:N235,"N/A")))</f>
        <v/>
      </c>
      <c r="AB235" s="23">
        <f>IF(OR(A235="",D235&lt;&gt;"Encerrado"),"",MAX(0,Config!$D$21-COUNTIF(O235:X235,"Sim")-COUNTIF(O235:X235,"N/A")))</f>
        <v/>
      </c>
      <c r="AC235" s="23">
        <f>IF(A235="","",AA235+IF(AB235="",0,AB235))</f>
        <v/>
      </c>
      <c r="AD235" s="24">
        <f>IF(OR(A235="",AF235=""),"",LEFT(AF235,LEN(AF235)-2))</f>
        <v/>
      </c>
      <c r="AE235" s="35">
        <f>IF(OR(A235="",AC235=0),0,AC235*100-ROW()/100000)</f>
        <v>0</v>
      </c>
      <c r="AF235" s="35">
        <f>IF(A235="","",IF(AND(Config!$B$10&lt;&gt;"",E235&lt;&gt;"Sim",E235&lt;&gt;"N/A"),Config!$B$10&amp;"; ","")&amp;IF(AND(Config!$B$11&lt;&gt;"",F235&lt;&gt;"Sim",F235&lt;&gt;"N/A"),Config!$B$11&amp;"; ","")&amp;IF(AND(Config!$B$12&lt;&gt;"",G235&lt;&gt;"Sim",G235&lt;&gt;"N/A"),Config!$B$12&amp;"; ","")&amp;IF(AND(Config!$B$13&lt;&gt;"",H235&lt;&gt;"Sim",H235&lt;&gt;"N/A"),Config!$B$13&amp;"; ","")&amp;IF(AND(Config!$B$14&lt;&gt;"",I235&lt;&gt;"Sim",I235&lt;&gt;"N/A"),Config!$B$14&amp;"; ","")&amp;IF(AND(Config!$B$15&lt;&gt;"",J235&lt;&gt;"Sim",J235&lt;&gt;"N/A"),Config!$B$15&amp;"; ","")&amp;IF(AND(Config!$B$16&lt;&gt;"",K235&lt;&gt;"Sim",K235&lt;&gt;"N/A"),Config!$B$16&amp;"; ","")&amp;IF(AND(Config!$B$17&lt;&gt;"",L235&lt;&gt;"Sim",L235&lt;&gt;"N/A"),Config!$B$17&amp;"; ","")&amp;IF(AND(Config!$B$18&lt;&gt;"",M235&lt;&gt;"Sim",M235&lt;&gt;"N/A"),Config!$B$18&amp;"; ","")&amp;IF(AND(Config!$B$19&lt;&gt;"",N235&lt;&gt;"Sim",N235&lt;&gt;"N/A"),Config!$B$19&amp;"; ","")&amp;IF(AND($D235="Encerrado",Config!$D$10&lt;&gt;"",O235&lt;&gt;"Sim",O235&lt;&gt;"N/A"),Config!$D$10&amp;"; ","")&amp;IF(AND($D235="Encerrado",Config!$D$11&lt;&gt;"",P235&lt;&gt;"Sim",P235&lt;&gt;"N/A"),Config!$D$11&amp;"; ","")&amp;IF(AND($D235="Encerrado",Config!$D$12&lt;&gt;"",Q235&lt;&gt;"Sim",Q235&lt;&gt;"N/A"),Config!$D$12&amp;"; ","")&amp;IF(AND($D235="Encerrado",Config!$D$13&lt;&gt;"",R235&lt;&gt;"Sim",R235&lt;&gt;"N/A"),Config!$D$13&amp;"; ","")&amp;IF(AND($D235="Encerrado",Config!$D$14&lt;&gt;"",S235&lt;&gt;"Sim",S235&lt;&gt;"N/A"),Config!$D$14&amp;"; ","")&amp;IF(AND($D235="Encerrado",Config!$D$15&lt;&gt;"",T235&lt;&gt;"Sim",T235&lt;&gt;"N/A"),Config!$D$15&amp;"; ","")&amp;IF(AND($D235="Encerrado",Config!$D$16&lt;&gt;"",U235&lt;&gt;"Sim",U235&lt;&gt;"N/A"),Config!$D$16&amp;"; ","")&amp;IF(AND($D235="Encerrado",Config!$D$17&lt;&gt;"",V235&lt;&gt;"Sim",V235&lt;&gt;"N/A"),Config!$D$17&amp;"; ","")&amp;IF(AND($D235="Encerrado",Config!$D$18&lt;&gt;"",W235&lt;&gt;"Sim",W235&lt;&gt;"N/A"),Config!$D$18&amp;"; ","")&amp;IF(AND($D235="Encerrado",Config!$D$19&lt;&gt;"",X235&lt;&gt;"Sim",X235&lt;&gt;"N/A"),Config!$D$19&amp;"; ",""))</f>
        <v/>
      </c>
    </row>
    <row r="236">
      <c r="A236" s="29" t="n"/>
      <c r="B236" s="29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25">
        <f>IF(A236="","",IFERROR(COUNTIF(E236:N236,"Sim")/(Config!$B$21-COUNTIF(E236:N236,"N/A")),""))</f>
        <v/>
      </c>
      <c r="Z236" s="25">
        <f>IF(OR(A236="",D236&lt;&gt;"Encerrado"),"",IFERROR(COUNTIF(O236:X236,"Sim")/(Config!$D$21-COUNTIF(O236:X236,"N/A")),""))</f>
        <v/>
      </c>
      <c r="AA236" s="23">
        <f>IF(A236="","",MAX(0,Config!$B$21-COUNTIF(E236:N236,"Sim")-COUNTIF(E236:N236,"N/A")))</f>
        <v/>
      </c>
      <c r="AB236" s="23">
        <f>IF(OR(A236="",D236&lt;&gt;"Encerrado"),"",MAX(0,Config!$D$21-COUNTIF(O236:X236,"Sim")-COUNTIF(O236:X236,"N/A")))</f>
        <v/>
      </c>
      <c r="AC236" s="23">
        <f>IF(A236="","",AA236+IF(AB236="",0,AB236))</f>
        <v/>
      </c>
      <c r="AD236" s="24">
        <f>IF(OR(A236="",AF236=""),"",LEFT(AF236,LEN(AF236)-2))</f>
        <v/>
      </c>
      <c r="AE236" s="35">
        <f>IF(OR(A236="",AC236=0),0,AC236*100-ROW()/100000)</f>
        <v>0</v>
      </c>
      <c r="AF236" s="35">
        <f>IF(A236="","",IF(AND(Config!$B$10&lt;&gt;"",E236&lt;&gt;"Sim",E236&lt;&gt;"N/A"),Config!$B$10&amp;"; ","")&amp;IF(AND(Config!$B$11&lt;&gt;"",F236&lt;&gt;"Sim",F236&lt;&gt;"N/A"),Config!$B$11&amp;"; ","")&amp;IF(AND(Config!$B$12&lt;&gt;"",G236&lt;&gt;"Sim",G236&lt;&gt;"N/A"),Config!$B$12&amp;"; ","")&amp;IF(AND(Config!$B$13&lt;&gt;"",H236&lt;&gt;"Sim",H236&lt;&gt;"N/A"),Config!$B$13&amp;"; ","")&amp;IF(AND(Config!$B$14&lt;&gt;"",I236&lt;&gt;"Sim",I236&lt;&gt;"N/A"),Config!$B$14&amp;"; ","")&amp;IF(AND(Config!$B$15&lt;&gt;"",J236&lt;&gt;"Sim",J236&lt;&gt;"N/A"),Config!$B$15&amp;"; ","")&amp;IF(AND(Config!$B$16&lt;&gt;"",K236&lt;&gt;"Sim",K236&lt;&gt;"N/A"),Config!$B$16&amp;"; ","")&amp;IF(AND(Config!$B$17&lt;&gt;"",L236&lt;&gt;"Sim",L236&lt;&gt;"N/A"),Config!$B$17&amp;"; ","")&amp;IF(AND(Config!$B$18&lt;&gt;"",M236&lt;&gt;"Sim",M236&lt;&gt;"N/A"),Config!$B$18&amp;"; ","")&amp;IF(AND(Config!$B$19&lt;&gt;"",N236&lt;&gt;"Sim",N236&lt;&gt;"N/A"),Config!$B$19&amp;"; ","")&amp;IF(AND($D236="Encerrado",Config!$D$10&lt;&gt;"",O236&lt;&gt;"Sim",O236&lt;&gt;"N/A"),Config!$D$10&amp;"; ","")&amp;IF(AND($D236="Encerrado",Config!$D$11&lt;&gt;"",P236&lt;&gt;"Sim",P236&lt;&gt;"N/A"),Config!$D$11&amp;"; ","")&amp;IF(AND($D236="Encerrado",Config!$D$12&lt;&gt;"",Q236&lt;&gt;"Sim",Q236&lt;&gt;"N/A"),Config!$D$12&amp;"; ","")&amp;IF(AND($D236="Encerrado",Config!$D$13&lt;&gt;"",R236&lt;&gt;"Sim",R236&lt;&gt;"N/A"),Config!$D$13&amp;"; ","")&amp;IF(AND($D236="Encerrado",Config!$D$14&lt;&gt;"",S236&lt;&gt;"Sim",S236&lt;&gt;"N/A"),Config!$D$14&amp;"; ","")&amp;IF(AND($D236="Encerrado",Config!$D$15&lt;&gt;"",T236&lt;&gt;"Sim",T236&lt;&gt;"N/A"),Config!$D$15&amp;"; ","")&amp;IF(AND($D236="Encerrado",Config!$D$16&lt;&gt;"",U236&lt;&gt;"Sim",U236&lt;&gt;"N/A"),Config!$D$16&amp;"; ","")&amp;IF(AND($D236="Encerrado",Config!$D$17&lt;&gt;"",V236&lt;&gt;"Sim",V236&lt;&gt;"N/A"),Config!$D$17&amp;"; ","")&amp;IF(AND($D236="Encerrado",Config!$D$18&lt;&gt;"",W236&lt;&gt;"Sim",W236&lt;&gt;"N/A"),Config!$D$18&amp;"; ","")&amp;IF(AND($D236="Encerrado",Config!$D$19&lt;&gt;"",X236&lt;&gt;"Sim",X236&lt;&gt;"N/A"),Config!$D$19&amp;"; ",""))</f>
        <v/>
      </c>
    </row>
    <row r="237">
      <c r="A237" s="29" t="n"/>
      <c r="B237" s="29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25">
        <f>IF(A237="","",IFERROR(COUNTIF(E237:N237,"Sim")/(Config!$B$21-COUNTIF(E237:N237,"N/A")),""))</f>
        <v/>
      </c>
      <c r="Z237" s="25">
        <f>IF(OR(A237="",D237&lt;&gt;"Encerrado"),"",IFERROR(COUNTIF(O237:X237,"Sim")/(Config!$D$21-COUNTIF(O237:X237,"N/A")),""))</f>
        <v/>
      </c>
      <c r="AA237" s="23">
        <f>IF(A237="","",MAX(0,Config!$B$21-COUNTIF(E237:N237,"Sim")-COUNTIF(E237:N237,"N/A")))</f>
        <v/>
      </c>
      <c r="AB237" s="23">
        <f>IF(OR(A237="",D237&lt;&gt;"Encerrado"),"",MAX(0,Config!$D$21-COUNTIF(O237:X237,"Sim")-COUNTIF(O237:X237,"N/A")))</f>
        <v/>
      </c>
      <c r="AC237" s="23">
        <f>IF(A237="","",AA237+IF(AB237="",0,AB237))</f>
        <v/>
      </c>
      <c r="AD237" s="24">
        <f>IF(OR(A237="",AF237=""),"",LEFT(AF237,LEN(AF237)-2))</f>
        <v/>
      </c>
      <c r="AE237" s="35">
        <f>IF(OR(A237="",AC237=0),0,AC237*100-ROW()/100000)</f>
        <v>0</v>
      </c>
      <c r="AF237" s="35">
        <f>IF(A237="","",IF(AND(Config!$B$10&lt;&gt;"",E237&lt;&gt;"Sim",E237&lt;&gt;"N/A"),Config!$B$10&amp;"; ","")&amp;IF(AND(Config!$B$11&lt;&gt;"",F237&lt;&gt;"Sim",F237&lt;&gt;"N/A"),Config!$B$11&amp;"; ","")&amp;IF(AND(Config!$B$12&lt;&gt;"",G237&lt;&gt;"Sim",G237&lt;&gt;"N/A"),Config!$B$12&amp;"; ","")&amp;IF(AND(Config!$B$13&lt;&gt;"",H237&lt;&gt;"Sim",H237&lt;&gt;"N/A"),Config!$B$13&amp;"; ","")&amp;IF(AND(Config!$B$14&lt;&gt;"",I237&lt;&gt;"Sim",I237&lt;&gt;"N/A"),Config!$B$14&amp;"; ","")&amp;IF(AND(Config!$B$15&lt;&gt;"",J237&lt;&gt;"Sim",J237&lt;&gt;"N/A"),Config!$B$15&amp;"; ","")&amp;IF(AND(Config!$B$16&lt;&gt;"",K237&lt;&gt;"Sim",K237&lt;&gt;"N/A"),Config!$B$16&amp;"; ","")&amp;IF(AND(Config!$B$17&lt;&gt;"",L237&lt;&gt;"Sim",L237&lt;&gt;"N/A"),Config!$B$17&amp;"; ","")&amp;IF(AND(Config!$B$18&lt;&gt;"",M237&lt;&gt;"Sim",M237&lt;&gt;"N/A"),Config!$B$18&amp;"; ","")&amp;IF(AND(Config!$B$19&lt;&gt;"",N237&lt;&gt;"Sim",N237&lt;&gt;"N/A"),Config!$B$19&amp;"; ","")&amp;IF(AND($D237="Encerrado",Config!$D$10&lt;&gt;"",O237&lt;&gt;"Sim",O237&lt;&gt;"N/A"),Config!$D$10&amp;"; ","")&amp;IF(AND($D237="Encerrado",Config!$D$11&lt;&gt;"",P237&lt;&gt;"Sim",P237&lt;&gt;"N/A"),Config!$D$11&amp;"; ","")&amp;IF(AND($D237="Encerrado",Config!$D$12&lt;&gt;"",Q237&lt;&gt;"Sim",Q237&lt;&gt;"N/A"),Config!$D$12&amp;"; ","")&amp;IF(AND($D237="Encerrado",Config!$D$13&lt;&gt;"",R237&lt;&gt;"Sim",R237&lt;&gt;"N/A"),Config!$D$13&amp;"; ","")&amp;IF(AND($D237="Encerrado",Config!$D$14&lt;&gt;"",S237&lt;&gt;"Sim",S237&lt;&gt;"N/A"),Config!$D$14&amp;"; ","")&amp;IF(AND($D237="Encerrado",Config!$D$15&lt;&gt;"",T237&lt;&gt;"Sim",T237&lt;&gt;"N/A"),Config!$D$15&amp;"; ","")&amp;IF(AND($D237="Encerrado",Config!$D$16&lt;&gt;"",U237&lt;&gt;"Sim",U237&lt;&gt;"N/A"),Config!$D$16&amp;"; ","")&amp;IF(AND($D237="Encerrado",Config!$D$17&lt;&gt;"",V237&lt;&gt;"Sim",V237&lt;&gt;"N/A"),Config!$D$17&amp;"; ","")&amp;IF(AND($D237="Encerrado",Config!$D$18&lt;&gt;"",W237&lt;&gt;"Sim",W237&lt;&gt;"N/A"),Config!$D$18&amp;"; ","")&amp;IF(AND($D237="Encerrado",Config!$D$19&lt;&gt;"",X237&lt;&gt;"Sim",X237&lt;&gt;"N/A"),Config!$D$19&amp;"; ",""))</f>
        <v/>
      </c>
    </row>
    <row r="238">
      <c r="A238" s="29" t="n"/>
      <c r="B238" s="29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25">
        <f>IF(A238="","",IFERROR(COUNTIF(E238:N238,"Sim")/(Config!$B$21-COUNTIF(E238:N238,"N/A")),""))</f>
        <v/>
      </c>
      <c r="Z238" s="25">
        <f>IF(OR(A238="",D238&lt;&gt;"Encerrado"),"",IFERROR(COUNTIF(O238:X238,"Sim")/(Config!$D$21-COUNTIF(O238:X238,"N/A")),""))</f>
        <v/>
      </c>
      <c r="AA238" s="23">
        <f>IF(A238="","",MAX(0,Config!$B$21-COUNTIF(E238:N238,"Sim")-COUNTIF(E238:N238,"N/A")))</f>
        <v/>
      </c>
      <c r="AB238" s="23">
        <f>IF(OR(A238="",D238&lt;&gt;"Encerrado"),"",MAX(0,Config!$D$21-COUNTIF(O238:X238,"Sim")-COUNTIF(O238:X238,"N/A")))</f>
        <v/>
      </c>
      <c r="AC238" s="23">
        <f>IF(A238="","",AA238+IF(AB238="",0,AB238))</f>
        <v/>
      </c>
      <c r="AD238" s="24">
        <f>IF(OR(A238="",AF238=""),"",LEFT(AF238,LEN(AF238)-2))</f>
        <v/>
      </c>
      <c r="AE238" s="35">
        <f>IF(OR(A238="",AC238=0),0,AC238*100-ROW()/100000)</f>
        <v>0</v>
      </c>
      <c r="AF238" s="35">
        <f>IF(A238="","",IF(AND(Config!$B$10&lt;&gt;"",E238&lt;&gt;"Sim",E238&lt;&gt;"N/A"),Config!$B$10&amp;"; ","")&amp;IF(AND(Config!$B$11&lt;&gt;"",F238&lt;&gt;"Sim",F238&lt;&gt;"N/A"),Config!$B$11&amp;"; ","")&amp;IF(AND(Config!$B$12&lt;&gt;"",G238&lt;&gt;"Sim",G238&lt;&gt;"N/A"),Config!$B$12&amp;"; ","")&amp;IF(AND(Config!$B$13&lt;&gt;"",H238&lt;&gt;"Sim",H238&lt;&gt;"N/A"),Config!$B$13&amp;"; ","")&amp;IF(AND(Config!$B$14&lt;&gt;"",I238&lt;&gt;"Sim",I238&lt;&gt;"N/A"),Config!$B$14&amp;"; ","")&amp;IF(AND(Config!$B$15&lt;&gt;"",J238&lt;&gt;"Sim",J238&lt;&gt;"N/A"),Config!$B$15&amp;"; ","")&amp;IF(AND(Config!$B$16&lt;&gt;"",K238&lt;&gt;"Sim",K238&lt;&gt;"N/A"),Config!$B$16&amp;"; ","")&amp;IF(AND(Config!$B$17&lt;&gt;"",L238&lt;&gt;"Sim",L238&lt;&gt;"N/A"),Config!$B$17&amp;"; ","")&amp;IF(AND(Config!$B$18&lt;&gt;"",M238&lt;&gt;"Sim",M238&lt;&gt;"N/A"),Config!$B$18&amp;"; ","")&amp;IF(AND(Config!$B$19&lt;&gt;"",N238&lt;&gt;"Sim",N238&lt;&gt;"N/A"),Config!$B$19&amp;"; ","")&amp;IF(AND($D238="Encerrado",Config!$D$10&lt;&gt;"",O238&lt;&gt;"Sim",O238&lt;&gt;"N/A"),Config!$D$10&amp;"; ","")&amp;IF(AND($D238="Encerrado",Config!$D$11&lt;&gt;"",P238&lt;&gt;"Sim",P238&lt;&gt;"N/A"),Config!$D$11&amp;"; ","")&amp;IF(AND($D238="Encerrado",Config!$D$12&lt;&gt;"",Q238&lt;&gt;"Sim",Q238&lt;&gt;"N/A"),Config!$D$12&amp;"; ","")&amp;IF(AND($D238="Encerrado",Config!$D$13&lt;&gt;"",R238&lt;&gt;"Sim",R238&lt;&gt;"N/A"),Config!$D$13&amp;"; ","")&amp;IF(AND($D238="Encerrado",Config!$D$14&lt;&gt;"",S238&lt;&gt;"Sim",S238&lt;&gt;"N/A"),Config!$D$14&amp;"; ","")&amp;IF(AND($D238="Encerrado",Config!$D$15&lt;&gt;"",T238&lt;&gt;"Sim",T238&lt;&gt;"N/A"),Config!$D$15&amp;"; ","")&amp;IF(AND($D238="Encerrado",Config!$D$16&lt;&gt;"",U238&lt;&gt;"Sim",U238&lt;&gt;"N/A"),Config!$D$16&amp;"; ","")&amp;IF(AND($D238="Encerrado",Config!$D$17&lt;&gt;"",V238&lt;&gt;"Sim",V238&lt;&gt;"N/A"),Config!$D$17&amp;"; ","")&amp;IF(AND($D238="Encerrado",Config!$D$18&lt;&gt;"",W238&lt;&gt;"Sim",W238&lt;&gt;"N/A"),Config!$D$18&amp;"; ","")&amp;IF(AND($D238="Encerrado",Config!$D$19&lt;&gt;"",X238&lt;&gt;"Sim",X238&lt;&gt;"N/A"),Config!$D$19&amp;"; ",""))</f>
        <v/>
      </c>
    </row>
    <row r="239">
      <c r="A239" s="29" t="n"/>
      <c r="B239" s="29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25">
        <f>IF(A239="","",IFERROR(COUNTIF(E239:N239,"Sim")/(Config!$B$21-COUNTIF(E239:N239,"N/A")),""))</f>
        <v/>
      </c>
      <c r="Z239" s="25">
        <f>IF(OR(A239="",D239&lt;&gt;"Encerrado"),"",IFERROR(COUNTIF(O239:X239,"Sim")/(Config!$D$21-COUNTIF(O239:X239,"N/A")),""))</f>
        <v/>
      </c>
      <c r="AA239" s="23">
        <f>IF(A239="","",MAX(0,Config!$B$21-COUNTIF(E239:N239,"Sim")-COUNTIF(E239:N239,"N/A")))</f>
        <v/>
      </c>
      <c r="AB239" s="23">
        <f>IF(OR(A239="",D239&lt;&gt;"Encerrado"),"",MAX(0,Config!$D$21-COUNTIF(O239:X239,"Sim")-COUNTIF(O239:X239,"N/A")))</f>
        <v/>
      </c>
      <c r="AC239" s="23">
        <f>IF(A239="","",AA239+IF(AB239="",0,AB239))</f>
        <v/>
      </c>
      <c r="AD239" s="24">
        <f>IF(OR(A239="",AF239=""),"",LEFT(AF239,LEN(AF239)-2))</f>
        <v/>
      </c>
      <c r="AE239" s="35">
        <f>IF(OR(A239="",AC239=0),0,AC239*100-ROW()/100000)</f>
        <v>0</v>
      </c>
      <c r="AF239" s="35">
        <f>IF(A239="","",IF(AND(Config!$B$10&lt;&gt;"",E239&lt;&gt;"Sim",E239&lt;&gt;"N/A"),Config!$B$10&amp;"; ","")&amp;IF(AND(Config!$B$11&lt;&gt;"",F239&lt;&gt;"Sim",F239&lt;&gt;"N/A"),Config!$B$11&amp;"; ","")&amp;IF(AND(Config!$B$12&lt;&gt;"",G239&lt;&gt;"Sim",G239&lt;&gt;"N/A"),Config!$B$12&amp;"; ","")&amp;IF(AND(Config!$B$13&lt;&gt;"",H239&lt;&gt;"Sim",H239&lt;&gt;"N/A"),Config!$B$13&amp;"; ","")&amp;IF(AND(Config!$B$14&lt;&gt;"",I239&lt;&gt;"Sim",I239&lt;&gt;"N/A"),Config!$B$14&amp;"; ","")&amp;IF(AND(Config!$B$15&lt;&gt;"",J239&lt;&gt;"Sim",J239&lt;&gt;"N/A"),Config!$B$15&amp;"; ","")&amp;IF(AND(Config!$B$16&lt;&gt;"",K239&lt;&gt;"Sim",K239&lt;&gt;"N/A"),Config!$B$16&amp;"; ","")&amp;IF(AND(Config!$B$17&lt;&gt;"",L239&lt;&gt;"Sim",L239&lt;&gt;"N/A"),Config!$B$17&amp;"; ","")&amp;IF(AND(Config!$B$18&lt;&gt;"",M239&lt;&gt;"Sim",M239&lt;&gt;"N/A"),Config!$B$18&amp;"; ","")&amp;IF(AND(Config!$B$19&lt;&gt;"",N239&lt;&gt;"Sim",N239&lt;&gt;"N/A"),Config!$B$19&amp;"; ","")&amp;IF(AND($D239="Encerrado",Config!$D$10&lt;&gt;"",O239&lt;&gt;"Sim",O239&lt;&gt;"N/A"),Config!$D$10&amp;"; ","")&amp;IF(AND($D239="Encerrado",Config!$D$11&lt;&gt;"",P239&lt;&gt;"Sim",P239&lt;&gt;"N/A"),Config!$D$11&amp;"; ","")&amp;IF(AND($D239="Encerrado",Config!$D$12&lt;&gt;"",Q239&lt;&gt;"Sim",Q239&lt;&gt;"N/A"),Config!$D$12&amp;"; ","")&amp;IF(AND($D239="Encerrado",Config!$D$13&lt;&gt;"",R239&lt;&gt;"Sim",R239&lt;&gt;"N/A"),Config!$D$13&amp;"; ","")&amp;IF(AND($D239="Encerrado",Config!$D$14&lt;&gt;"",S239&lt;&gt;"Sim",S239&lt;&gt;"N/A"),Config!$D$14&amp;"; ","")&amp;IF(AND($D239="Encerrado",Config!$D$15&lt;&gt;"",T239&lt;&gt;"Sim",T239&lt;&gt;"N/A"),Config!$D$15&amp;"; ","")&amp;IF(AND($D239="Encerrado",Config!$D$16&lt;&gt;"",U239&lt;&gt;"Sim",U239&lt;&gt;"N/A"),Config!$D$16&amp;"; ","")&amp;IF(AND($D239="Encerrado",Config!$D$17&lt;&gt;"",V239&lt;&gt;"Sim",V239&lt;&gt;"N/A"),Config!$D$17&amp;"; ","")&amp;IF(AND($D239="Encerrado",Config!$D$18&lt;&gt;"",W239&lt;&gt;"Sim",W239&lt;&gt;"N/A"),Config!$D$18&amp;"; ","")&amp;IF(AND($D239="Encerrado",Config!$D$19&lt;&gt;"",X239&lt;&gt;"Sim",X239&lt;&gt;"N/A"),Config!$D$19&amp;"; ",""))</f>
        <v/>
      </c>
    </row>
    <row r="240">
      <c r="A240" s="29" t="n"/>
      <c r="B240" s="29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25">
        <f>IF(A240="","",IFERROR(COUNTIF(E240:N240,"Sim")/(Config!$B$21-COUNTIF(E240:N240,"N/A")),""))</f>
        <v/>
      </c>
      <c r="Z240" s="25">
        <f>IF(OR(A240="",D240&lt;&gt;"Encerrado"),"",IFERROR(COUNTIF(O240:X240,"Sim")/(Config!$D$21-COUNTIF(O240:X240,"N/A")),""))</f>
        <v/>
      </c>
      <c r="AA240" s="23">
        <f>IF(A240="","",MAX(0,Config!$B$21-COUNTIF(E240:N240,"Sim")-COUNTIF(E240:N240,"N/A")))</f>
        <v/>
      </c>
      <c r="AB240" s="23">
        <f>IF(OR(A240="",D240&lt;&gt;"Encerrado"),"",MAX(0,Config!$D$21-COUNTIF(O240:X240,"Sim")-COUNTIF(O240:X240,"N/A")))</f>
        <v/>
      </c>
      <c r="AC240" s="23">
        <f>IF(A240="","",AA240+IF(AB240="",0,AB240))</f>
        <v/>
      </c>
      <c r="AD240" s="24">
        <f>IF(OR(A240="",AF240=""),"",LEFT(AF240,LEN(AF240)-2))</f>
        <v/>
      </c>
      <c r="AE240" s="35">
        <f>IF(OR(A240="",AC240=0),0,AC240*100-ROW()/100000)</f>
        <v>0</v>
      </c>
      <c r="AF240" s="35">
        <f>IF(A240="","",IF(AND(Config!$B$10&lt;&gt;"",E240&lt;&gt;"Sim",E240&lt;&gt;"N/A"),Config!$B$10&amp;"; ","")&amp;IF(AND(Config!$B$11&lt;&gt;"",F240&lt;&gt;"Sim",F240&lt;&gt;"N/A"),Config!$B$11&amp;"; ","")&amp;IF(AND(Config!$B$12&lt;&gt;"",G240&lt;&gt;"Sim",G240&lt;&gt;"N/A"),Config!$B$12&amp;"; ","")&amp;IF(AND(Config!$B$13&lt;&gt;"",H240&lt;&gt;"Sim",H240&lt;&gt;"N/A"),Config!$B$13&amp;"; ","")&amp;IF(AND(Config!$B$14&lt;&gt;"",I240&lt;&gt;"Sim",I240&lt;&gt;"N/A"),Config!$B$14&amp;"; ","")&amp;IF(AND(Config!$B$15&lt;&gt;"",J240&lt;&gt;"Sim",J240&lt;&gt;"N/A"),Config!$B$15&amp;"; ","")&amp;IF(AND(Config!$B$16&lt;&gt;"",K240&lt;&gt;"Sim",K240&lt;&gt;"N/A"),Config!$B$16&amp;"; ","")&amp;IF(AND(Config!$B$17&lt;&gt;"",L240&lt;&gt;"Sim",L240&lt;&gt;"N/A"),Config!$B$17&amp;"; ","")&amp;IF(AND(Config!$B$18&lt;&gt;"",M240&lt;&gt;"Sim",M240&lt;&gt;"N/A"),Config!$B$18&amp;"; ","")&amp;IF(AND(Config!$B$19&lt;&gt;"",N240&lt;&gt;"Sim",N240&lt;&gt;"N/A"),Config!$B$19&amp;"; ","")&amp;IF(AND($D240="Encerrado",Config!$D$10&lt;&gt;"",O240&lt;&gt;"Sim",O240&lt;&gt;"N/A"),Config!$D$10&amp;"; ","")&amp;IF(AND($D240="Encerrado",Config!$D$11&lt;&gt;"",P240&lt;&gt;"Sim",P240&lt;&gt;"N/A"),Config!$D$11&amp;"; ","")&amp;IF(AND($D240="Encerrado",Config!$D$12&lt;&gt;"",Q240&lt;&gt;"Sim",Q240&lt;&gt;"N/A"),Config!$D$12&amp;"; ","")&amp;IF(AND($D240="Encerrado",Config!$D$13&lt;&gt;"",R240&lt;&gt;"Sim",R240&lt;&gt;"N/A"),Config!$D$13&amp;"; ","")&amp;IF(AND($D240="Encerrado",Config!$D$14&lt;&gt;"",S240&lt;&gt;"Sim",S240&lt;&gt;"N/A"),Config!$D$14&amp;"; ","")&amp;IF(AND($D240="Encerrado",Config!$D$15&lt;&gt;"",T240&lt;&gt;"Sim",T240&lt;&gt;"N/A"),Config!$D$15&amp;"; ","")&amp;IF(AND($D240="Encerrado",Config!$D$16&lt;&gt;"",U240&lt;&gt;"Sim",U240&lt;&gt;"N/A"),Config!$D$16&amp;"; ","")&amp;IF(AND($D240="Encerrado",Config!$D$17&lt;&gt;"",V240&lt;&gt;"Sim",V240&lt;&gt;"N/A"),Config!$D$17&amp;"; ","")&amp;IF(AND($D240="Encerrado",Config!$D$18&lt;&gt;"",W240&lt;&gt;"Sim",W240&lt;&gt;"N/A"),Config!$D$18&amp;"; ","")&amp;IF(AND($D240="Encerrado",Config!$D$19&lt;&gt;"",X240&lt;&gt;"Sim",X240&lt;&gt;"N/A"),Config!$D$19&amp;"; ",""))</f>
        <v/>
      </c>
    </row>
    <row r="241">
      <c r="A241" s="29" t="n"/>
      <c r="B241" s="29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25">
        <f>IF(A241="","",IFERROR(COUNTIF(E241:N241,"Sim")/(Config!$B$21-COUNTIF(E241:N241,"N/A")),""))</f>
        <v/>
      </c>
      <c r="Z241" s="25">
        <f>IF(OR(A241="",D241&lt;&gt;"Encerrado"),"",IFERROR(COUNTIF(O241:X241,"Sim")/(Config!$D$21-COUNTIF(O241:X241,"N/A")),""))</f>
        <v/>
      </c>
      <c r="AA241" s="23">
        <f>IF(A241="","",MAX(0,Config!$B$21-COUNTIF(E241:N241,"Sim")-COUNTIF(E241:N241,"N/A")))</f>
        <v/>
      </c>
      <c r="AB241" s="23">
        <f>IF(OR(A241="",D241&lt;&gt;"Encerrado"),"",MAX(0,Config!$D$21-COUNTIF(O241:X241,"Sim")-COUNTIF(O241:X241,"N/A")))</f>
        <v/>
      </c>
      <c r="AC241" s="23">
        <f>IF(A241="","",AA241+IF(AB241="",0,AB241))</f>
        <v/>
      </c>
      <c r="AD241" s="24">
        <f>IF(OR(A241="",AF241=""),"",LEFT(AF241,LEN(AF241)-2))</f>
        <v/>
      </c>
      <c r="AE241" s="35">
        <f>IF(OR(A241="",AC241=0),0,AC241*100-ROW()/100000)</f>
        <v>0</v>
      </c>
      <c r="AF241" s="35">
        <f>IF(A241="","",IF(AND(Config!$B$10&lt;&gt;"",E241&lt;&gt;"Sim",E241&lt;&gt;"N/A"),Config!$B$10&amp;"; ","")&amp;IF(AND(Config!$B$11&lt;&gt;"",F241&lt;&gt;"Sim",F241&lt;&gt;"N/A"),Config!$B$11&amp;"; ","")&amp;IF(AND(Config!$B$12&lt;&gt;"",G241&lt;&gt;"Sim",G241&lt;&gt;"N/A"),Config!$B$12&amp;"; ","")&amp;IF(AND(Config!$B$13&lt;&gt;"",H241&lt;&gt;"Sim",H241&lt;&gt;"N/A"),Config!$B$13&amp;"; ","")&amp;IF(AND(Config!$B$14&lt;&gt;"",I241&lt;&gt;"Sim",I241&lt;&gt;"N/A"),Config!$B$14&amp;"; ","")&amp;IF(AND(Config!$B$15&lt;&gt;"",J241&lt;&gt;"Sim",J241&lt;&gt;"N/A"),Config!$B$15&amp;"; ","")&amp;IF(AND(Config!$B$16&lt;&gt;"",K241&lt;&gt;"Sim",K241&lt;&gt;"N/A"),Config!$B$16&amp;"; ","")&amp;IF(AND(Config!$B$17&lt;&gt;"",L241&lt;&gt;"Sim",L241&lt;&gt;"N/A"),Config!$B$17&amp;"; ","")&amp;IF(AND(Config!$B$18&lt;&gt;"",M241&lt;&gt;"Sim",M241&lt;&gt;"N/A"),Config!$B$18&amp;"; ","")&amp;IF(AND(Config!$B$19&lt;&gt;"",N241&lt;&gt;"Sim",N241&lt;&gt;"N/A"),Config!$B$19&amp;"; ","")&amp;IF(AND($D241="Encerrado",Config!$D$10&lt;&gt;"",O241&lt;&gt;"Sim",O241&lt;&gt;"N/A"),Config!$D$10&amp;"; ","")&amp;IF(AND($D241="Encerrado",Config!$D$11&lt;&gt;"",P241&lt;&gt;"Sim",P241&lt;&gt;"N/A"),Config!$D$11&amp;"; ","")&amp;IF(AND($D241="Encerrado",Config!$D$12&lt;&gt;"",Q241&lt;&gt;"Sim",Q241&lt;&gt;"N/A"),Config!$D$12&amp;"; ","")&amp;IF(AND($D241="Encerrado",Config!$D$13&lt;&gt;"",R241&lt;&gt;"Sim",R241&lt;&gt;"N/A"),Config!$D$13&amp;"; ","")&amp;IF(AND($D241="Encerrado",Config!$D$14&lt;&gt;"",S241&lt;&gt;"Sim",S241&lt;&gt;"N/A"),Config!$D$14&amp;"; ","")&amp;IF(AND($D241="Encerrado",Config!$D$15&lt;&gt;"",T241&lt;&gt;"Sim",T241&lt;&gt;"N/A"),Config!$D$15&amp;"; ","")&amp;IF(AND($D241="Encerrado",Config!$D$16&lt;&gt;"",U241&lt;&gt;"Sim",U241&lt;&gt;"N/A"),Config!$D$16&amp;"; ","")&amp;IF(AND($D241="Encerrado",Config!$D$17&lt;&gt;"",V241&lt;&gt;"Sim",V241&lt;&gt;"N/A"),Config!$D$17&amp;"; ","")&amp;IF(AND($D241="Encerrado",Config!$D$18&lt;&gt;"",W241&lt;&gt;"Sim",W241&lt;&gt;"N/A"),Config!$D$18&amp;"; ","")&amp;IF(AND($D241="Encerrado",Config!$D$19&lt;&gt;"",X241&lt;&gt;"Sim",X241&lt;&gt;"N/A"),Config!$D$19&amp;"; ",""))</f>
        <v/>
      </c>
    </row>
    <row r="242">
      <c r="A242" s="29" t="n"/>
      <c r="B242" s="29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25">
        <f>IF(A242="","",IFERROR(COUNTIF(E242:N242,"Sim")/(Config!$B$21-COUNTIF(E242:N242,"N/A")),""))</f>
        <v/>
      </c>
      <c r="Z242" s="25">
        <f>IF(OR(A242="",D242&lt;&gt;"Encerrado"),"",IFERROR(COUNTIF(O242:X242,"Sim")/(Config!$D$21-COUNTIF(O242:X242,"N/A")),""))</f>
        <v/>
      </c>
      <c r="AA242" s="23">
        <f>IF(A242="","",MAX(0,Config!$B$21-COUNTIF(E242:N242,"Sim")-COUNTIF(E242:N242,"N/A")))</f>
        <v/>
      </c>
      <c r="AB242" s="23">
        <f>IF(OR(A242="",D242&lt;&gt;"Encerrado"),"",MAX(0,Config!$D$21-COUNTIF(O242:X242,"Sim")-COUNTIF(O242:X242,"N/A")))</f>
        <v/>
      </c>
      <c r="AC242" s="23">
        <f>IF(A242="","",AA242+IF(AB242="",0,AB242))</f>
        <v/>
      </c>
      <c r="AD242" s="24">
        <f>IF(OR(A242="",AF242=""),"",LEFT(AF242,LEN(AF242)-2))</f>
        <v/>
      </c>
      <c r="AE242" s="35">
        <f>IF(OR(A242="",AC242=0),0,AC242*100-ROW()/100000)</f>
        <v>0</v>
      </c>
      <c r="AF242" s="35">
        <f>IF(A242="","",IF(AND(Config!$B$10&lt;&gt;"",E242&lt;&gt;"Sim",E242&lt;&gt;"N/A"),Config!$B$10&amp;"; ","")&amp;IF(AND(Config!$B$11&lt;&gt;"",F242&lt;&gt;"Sim",F242&lt;&gt;"N/A"),Config!$B$11&amp;"; ","")&amp;IF(AND(Config!$B$12&lt;&gt;"",G242&lt;&gt;"Sim",G242&lt;&gt;"N/A"),Config!$B$12&amp;"; ","")&amp;IF(AND(Config!$B$13&lt;&gt;"",H242&lt;&gt;"Sim",H242&lt;&gt;"N/A"),Config!$B$13&amp;"; ","")&amp;IF(AND(Config!$B$14&lt;&gt;"",I242&lt;&gt;"Sim",I242&lt;&gt;"N/A"),Config!$B$14&amp;"; ","")&amp;IF(AND(Config!$B$15&lt;&gt;"",J242&lt;&gt;"Sim",J242&lt;&gt;"N/A"),Config!$B$15&amp;"; ","")&amp;IF(AND(Config!$B$16&lt;&gt;"",K242&lt;&gt;"Sim",K242&lt;&gt;"N/A"),Config!$B$16&amp;"; ","")&amp;IF(AND(Config!$B$17&lt;&gt;"",L242&lt;&gt;"Sim",L242&lt;&gt;"N/A"),Config!$B$17&amp;"; ","")&amp;IF(AND(Config!$B$18&lt;&gt;"",M242&lt;&gt;"Sim",M242&lt;&gt;"N/A"),Config!$B$18&amp;"; ","")&amp;IF(AND(Config!$B$19&lt;&gt;"",N242&lt;&gt;"Sim",N242&lt;&gt;"N/A"),Config!$B$19&amp;"; ","")&amp;IF(AND($D242="Encerrado",Config!$D$10&lt;&gt;"",O242&lt;&gt;"Sim",O242&lt;&gt;"N/A"),Config!$D$10&amp;"; ","")&amp;IF(AND($D242="Encerrado",Config!$D$11&lt;&gt;"",P242&lt;&gt;"Sim",P242&lt;&gt;"N/A"),Config!$D$11&amp;"; ","")&amp;IF(AND($D242="Encerrado",Config!$D$12&lt;&gt;"",Q242&lt;&gt;"Sim",Q242&lt;&gt;"N/A"),Config!$D$12&amp;"; ","")&amp;IF(AND($D242="Encerrado",Config!$D$13&lt;&gt;"",R242&lt;&gt;"Sim",R242&lt;&gt;"N/A"),Config!$D$13&amp;"; ","")&amp;IF(AND($D242="Encerrado",Config!$D$14&lt;&gt;"",S242&lt;&gt;"Sim",S242&lt;&gt;"N/A"),Config!$D$14&amp;"; ","")&amp;IF(AND($D242="Encerrado",Config!$D$15&lt;&gt;"",T242&lt;&gt;"Sim",T242&lt;&gt;"N/A"),Config!$D$15&amp;"; ","")&amp;IF(AND($D242="Encerrado",Config!$D$16&lt;&gt;"",U242&lt;&gt;"Sim",U242&lt;&gt;"N/A"),Config!$D$16&amp;"; ","")&amp;IF(AND($D242="Encerrado",Config!$D$17&lt;&gt;"",V242&lt;&gt;"Sim",V242&lt;&gt;"N/A"),Config!$D$17&amp;"; ","")&amp;IF(AND($D242="Encerrado",Config!$D$18&lt;&gt;"",W242&lt;&gt;"Sim",W242&lt;&gt;"N/A"),Config!$D$18&amp;"; ","")&amp;IF(AND($D242="Encerrado",Config!$D$19&lt;&gt;"",X242&lt;&gt;"Sim",X242&lt;&gt;"N/A"),Config!$D$19&amp;"; ",""))</f>
        <v/>
      </c>
    </row>
    <row r="243">
      <c r="A243" s="29" t="n"/>
      <c r="B243" s="29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25">
        <f>IF(A243="","",IFERROR(COUNTIF(E243:N243,"Sim")/(Config!$B$21-COUNTIF(E243:N243,"N/A")),""))</f>
        <v/>
      </c>
      <c r="Z243" s="25">
        <f>IF(OR(A243="",D243&lt;&gt;"Encerrado"),"",IFERROR(COUNTIF(O243:X243,"Sim")/(Config!$D$21-COUNTIF(O243:X243,"N/A")),""))</f>
        <v/>
      </c>
      <c r="AA243" s="23">
        <f>IF(A243="","",MAX(0,Config!$B$21-COUNTIF(E243:N243,"Sim")-COUNTIF(E243:N243,"N/A")))</f>
        <v/>
      </c>
      <c r="AB243" s="23">
        <f>IF(OR(A243="",D243&lt;&gt;"Encerrado"),"",MAX(0,Config!$D$21-COUNTIF(O243:X243,"Sim")-COUNTIF(O243:X243,"N/A")))</f>
        <v/>
      </c>
      <c r="AC243" s="23">
        <f>IF(A243="","",AA243+IF(AB243="",0,AB243))</f>
        <v/>
      </c>
      <c r="AD243" s="24">
        <f>IF(OR(A243="",AF243=""),"",LEFT(AF243,LEN(AF243)-2))</f>
        <v/>
      </c>
      <c r="AE243" s="35">
        <f>IF(OR(A243="",AC243=0),0,AC243*100-ROW()/100000)</f>
        <v>0</v>
      </c>
      <c r="AF243" s="35">
        <f>IF(A243="","",IF(AND(Config!$B$10&lt;&gt;"",E243&lt;&gt;"Sim",E243&lt;&gt;"N/A"),Config!$B$10&amp;"; ","")&amp;IF(AND(Config!$B$11&lt;&gt;"",F243&lt;&gt;"Sim",F243&lt;&gt;"N/A"),Config!$B$11&amp;"; ","")&amp;IF(AND(Config!$B$12&lt;&gt;"",G243&lt;&gt;"Sim",G243&lt;&gt;"N/A"),Config!$B$12&amp;"; ","")&amp;IF(AND(Config!$B$13&lt;&gt;"",H243&lt;&gt;"Sim",H243&lt;&gt;"N/A"),Config!$B$13&amp;"; ","")&amp;IF(AND(Config!$B$14&lt;&gt;"",I243&lt;&gt;"Sim",I243&lt;&gt;"N/A"),Config!$B$14&amp;"; ","")&amp;IF(AND(Config!$B$15&lt;&gt;"",J243&lt;&gt;"Sim",J243&lt;&gt;"N/A"),Config!$B$15&amp;"; ","")&amp;IF(AND(Config!$B$16&lt;&gt;"",K243&lt;&gt;"Sim",K243&lt;&gt;"N/A"),Config!$B$16&amp;"; ","")&amp;IF(AND(Config!$B$17&lt;&gt;"",L243&lt;&gt;"Sim",L243&lt;&gt;"N/A"),Config!$B$17&amp;"; ","")&amp;IF(AND(Config!$B$18&lt;&gt;"",M243&lt;&gt;"Sim",M243&lt;&gt;"N/A"),Config!$B$18&amp;"; ","")&amp;IF(AND(Config!$B$19&lt;&gt;"",N243&lt;&gt;"Sim",N243&lt;&gt;"N/A"),Config!$B$19&amp;"; ","")&amp;IF(AND($D243="Encerrado",Config!$D$10&lt;&gt;"",O243&lt;&gt;"Sim",O243&lt;&gt;"N/A"),Config!$D$10&amp;"; ","")&amp;IF(AND($D243="Encerrado",Config!$D$11&lt;&gt;"",P243&lt;&gt;"Sim",P243&lt;&gt;"N/A"),Config!$D$11&amp;"; ","")&amp;IF(AND($D243="Encerrado",Config!$D$12&lt;&gt;"",Q243&lt;&gt;"Sim",Q243&lt;&gt;"N/A"),Config!$D$12&amp;"; ","")&amp;IF(AND($D243="Encerrado",Config!$D$13&lt;&gt;"",R243&lt;&gt;"Sim",R243&lt;&gt;"N/A"),Config!$D$13&amp;"; ","")&amp;IF(AND($D243="Encerrado",Config!$D$14&lt;&gt;"",S243&lt;&gt;"Sim",S243&lt;&gt;"N/A"),Config!$D$14&amp;"; ","")&amp;IF(AND($D243="Encerrado",Config!$D$15&lt;&gt;"",T243&lt;&gt;"Sim",T243&lt;&gt;"N/A"),Config!$D$15&amp;"; ","")&amp;IF(AND($D243="Encerrado",Config!$D$16&lt;&gt;"",U243&lt;&gt;"Sim",U243&lt;&gt;"N/A"),Config!$D$16&amp;"; ","")&amp;IF(AND($D243="Encerrado",Config!$D$17&lt;&gt;"",V243&lt;&gt;"Sim",V243&lt;&gt;"N/A"),Config!$D$17&amp;"; ","")&amp;IF(AND($D243="Encerrado",Config!$D$18&lt;&gt;"",W243&lt;&gt;"Sim",W243&lt;&gt;"N/A"),Config!$D$18&amp;"; ","")&amp;IF(AND($D243="Encerrado",Config!$D$19&lt;&gt;"",X243&lt;&gt;"Sim",X243&lt;&gt;"N/A"),Config!$D$19&amp;"; ",""))</f>
        <v/>
      </c>
    </row>
    <row r="244">
      <c r="A244" s="29" t="n"/>
      <c r="B244" s="29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25">
        <f>IF(A244="","",IFERROR(COUNTIF(E244:N244,"Sim")/(Config!$B$21-COUNTIF(E244:N244,"N/A")),""))</f>
        <v/>
      </c>
      <c r="Z244" s="25">
        <f>IF(OR(A244="",D244&lt;&gt;"Encerrado"),"",IFERROR(COUNTIF(O244:X244,"Sim")/(Config!$D$21-COUNTIF(O244:X244,"N/A")),""))</f>
        <v/>
      </c>
      <c r="AA244" s="23">
        <f>IF(A244="","",MAX(0,Config!$B$21-COUNTIF(E244:N244,"Sim")-COUNTIF(E244:N244,"N/A")))</f>
        <v/>
      </c>
      <c r="AB244" s="23">
        <f>IF(OR(A244="",D244&lt;&gt;"Encerrado"),"",MAX(0,Config!$D$21-COUNTIF(O244:X244,"Sim")-COUNTIF(O244:X244,"N/A")))</f>
        <v/>
      </c>
      <c r="AC244" s="23">
        <f>IF(A244="","",AA244+IF(AB244="",0,AB244))</f>
        <v/>
      </c>
      <c r="AD244" s="24">
        <f>IF(OR(A244="",AF244=""),"",LEFT(AF244,LEN(AF244)-2))</f>
        <v/>
      </c>
      <c r="AE244" s="35">
        <f>IF(OR(A244="",AC244=0),0,AC244*100-ROW()/100000)</f>
        <v>0</v>
      </c>
      <c r="AF244" s="35">
        <f>IF(A244="","",IF(AND(Config!$B$10&lt;&gt;"",E244&lt;&gt;"Sim",E244&lt;&gt;"N/A"),Config!$B$10&amp;"; ","")&amp;IF(AND(Config!$B$11&lt;&gt;"",F244&lt;&gt;"Sim",F244&lt;&gt;"N/A"),Config!$B$11&amp;"; ","")&amp;IF(AND(Config!$B$12&lt;&gt;"",G244&lt;&gt;"Sim",G244&lt;&gt;"N/A"),Config!$B$12&amp;"; ","")&amp;IF(AND(Config!$B$13&lt;&gt;"",H244&lt;&gt;"Sim",H244&lt;&gt;"N/A"),Config!$B$13&amp;"; ","")&amp;IF(AND(Config!$B$14&lt;&gt;"",I244&lt;&gt;"Sim",I244&lt;&gt;"N/A"),Config!$B$14&amp;"; ","")&amp;IF(AND(Config!$B$15&lt;&gt;"",J244&lt;&gt;"Sim",J244&lt;&gt;"N/A"),Config!$B$15&amp;"; ","")&amp;IF(AND(Config!$B$16&lt;&gt;"",K244&lt;&gt;"Sim",K244&lt;&gt;"N/A"),Config!$B$16&amp;"; ","")&amp;IF(AND(Config!$B$17&lt;&gt;"",L244&lt;&gt;"Sim",L244&lt;&gt;"N/A"),Config!$B$17&amp;"; ","")&amp;IF(AND(Config!$B$18&lt;&gt;"",M244&lt;&gt;"Sim",M244&lt;&gt;"N/A"),Config!$B$18&amp;"; ","")&amp;IF(AND(Config!$B$19&lt;&gt;"",N244&lt;&gt;"Sim",N244&lt;&gt;"N/A"),Config!$B$19&amp;"; ","")&amp;IF(AND($D244="Encerrado",Config!$D$10&lt;&gt;"",O244&lt;&gt;"Sim",O244&lt;&gt;"N/A"),Config!$D$10&amp;"; ","")&amp;IF(AND($D244="Encerrado",Config!$D$11&lt;&gt;"",P244&lt;&gt;"Sim",P244&lt;&gt;"N/A"),Config!$D$11&amp;"; ","")&amp;IF(AND($D244="Encerrado",Config!$D$12&lt;&gt;"",Q244&lt;&gt;"Sim",Q244&lt;&gt;"N/A"),Config!$D$12&amp;"; ","")&amp;IF(AND($D244="Encerrado",Config!$D$13&lt;&gt;"",R244&lt;&gt;"Sim",R244&lt;&gt;"N/A"),Config!$D$13&amp;"; ","")&amp;IF(AND($D244="Encerrado",Config!$D$14&lt;&gt;"",S244&lt;&gt;"Sim",S244&lt;&gt;"N/A"),Config!$D$14&amp;"; ","")&amp;IF(AND($D244="Encerrado",Config!$D$15&lt;&gt;"",T244&lt;&gt;"Sim",T244&lt;&gt;"N/A"),Config!$D$15&amp;"; ","")&amp;IF(AND($D244="Encerrado",Config!$D$16&lt;&gt;"",U244&lt;&gt;"Sim",U244&lt;&gt;"N/A"),Config!$D$16&amp;"; ","")&amp;IF(AND($D244="Encerrado",Config!$D$17&lt;&gt;"",V244&lt;&gt;"Sim",V244&lt;&gt;"N/A"),Config!$D$17&amp;"; ","")&amp;IF(AND($D244="Encerrado",Config!$D$18&lt;&gt;"",W244&lt;&gt;"Sim",W244&lt;&gt;"N/A"),Config!$D$18&amp;"; ","")&amp;IF(AND($D244="Encerrado",Config!$D$19&lt;&gt;"",X244&lt;&gt;"Sim",X244&lt;&gt;"N/A"),Config!$D$19&amp;"; ",""))</f>
        <v/>
      </c>
    </row>
    <row r="245">
      <c r="A245" s="29" t="n"/>
      <c r="B245" s="29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25">
        <f>IF(A245="","",IFERROR(COUNTIF(E245:N245,"Sim")/(Config!$B$21-COUNTIF(E245:N245,"N/A")),""))</f>
        <v/>
      </c>
      <c r="Z245" s="25">
        <f>IF(OR(A245="",D245&lt;&gt;"Encerrado"),"",IFERROR(COUNTIF(O245:X245,"Sim")/(Config!$D$21-COUNTIF(O245:X245,"N/A")),""))</f>
        <v/>
      </c>
      <c r="AA245" s="23">
        <f>IF(A245="","",MAX(0,Config!$B$21-COUNTIF(E245:N245,"Sim")-COUNTIF(E245:N245,"N/A")))</f>
        <v/>
      </c>
      <c r="AB245" s="23">
        <f>IF(OR(A245="",D245&lt;&gt;"Encerrado"),"",MAX(0,Config!$D$21-COUNTIF(O245:X245,"Sim")-COUNTIF(O245:X245,"N/A")))</f>
        <v/>
      </c>
      <c r="AC245" s="23">
        <f>IF(A245="","",AA245+IF(AB245="",0,AB245))</f>
        <v/>
      </c>
      <c r="AD245" s="24">
        <f>IF(OR(A245="",AF245=""),"",LEFT(AF245,LEN(AF245)-2))</f>
        <v/>
      </c>
      <c r="AE245" s="35">
        <f>IF(OR(A245="",AC245=0),0,AC245*100-ROW()/100000)</f>
        <v>0</v>
      </c>
      <c r="AF245" s="35">
        <f>IF(A245="","",IF(AND(Config!$B$10&lt;&gt;"",E245&lt;&gt;"Sim",E245&lt;&gt;"N/A"),Config!$B$10&amp;"; ","")&amp;IF(AND(Config!$B$11&lt;&gt;"",F245&lt;&gt;"Sim",F245&lt;&gt;"N/A"),Config!$B$11&amp;"; ","")&amp;IF(AND(Config!$B$12&lt;&gt;"",G245&lt;&gt;"Sim",G245&lt;&gt;"N/A"),Config!$B$12&amp;"; ","")&amp;IF(AND(Config!$B$13&lt;&gt;"",H245&lt;&gt;"Sim",H245&lt;&gt;"N/A"),Config!$B$13&amp;"; ","")&amp;IF(AND(Config!$B$14&lt;&gt;"",I245&lt;&gt;"Sim",I245&lt;&gt;"N/A"),Config!$B$14&amp;"; ","")&amp;IF(AND(Config!$B$15&lt;&gt;"",J245&lt;&gt;"Sim",J245&lt;&gt;"N/A"),Config!$B$15&amp;"; ","")&amp;IF(AND(Config!$B$16&lt;&gt;"",K245&lt;&gt;"Sim",K245&lt;&gt;"N/A"),Config!$B$16&amp;"; ","")&amp;IF(AND(Config!$B$17&lt;&gt;"",L245&lt;&gt;"Sim",L245&lt;&gt;"N/A"),Config!$B$17&amp;"; ","")&amp;IF(AND(Config!$B$18&lt;&gt;"",M245&lt;&gt;"Sim",M245&lt;&gt;"N/A"),Config!$B$18&amp;"; ","")&amp;IF(AND(Config!$B$19&lt;&gt;"",N245&lt;&gt;"Sim",N245&lt;&gt;"N/A"),Config!$B$19&amp;"; ","")&amp;IF(AND($D245="Encerrado",Config!$D$10&lt;&gt;"",O245&lt;&gt;"Sim",O245&lt;&gt;"N/A"),Config!$D$10&amp;"; ","")&amp;IF(AND($D245="Encerrado",Config!$D$11&lt;&gt;"",P245&lt;&gt;"Sim",P245&lt;&gt;"N/A"),Config!$D$11&amp;"; ","")&amp;IF(AND($D245="Encerrado",Config!$D$12&lt;&gt;"",Q245&lt;&gt;"Sim",Q245&lt;&gt;"N/A"),Config!$D$12&amp;"; ","")&amp;IF(AND($D245="Encerrado",Config!$D$13&lt;&gt;"",R245&lt;&gt;"Sim",R245&lt;&gt;"N/A"),Config!$D$13&amp;"; ","")&amp;IF(AND($D245="Encerrado",Config!$D$14&lt;&gt;"",S245&lt;&gt;"Sim",S245&lt;&gt;"N/A"),Config!$D$14&amp;"; ","")&amp;IF(AND($D245="Encerrado",Config!$D$15&lt;&gt;"",T245&lt;&gt;"Sim",T245&lt;&gt;"N/A"),Config!$D$15&amp;"; ","")&amp;IF(AND($D245="Encerrado",Config!$D$16&lt;&gt;"",U245&lt;&gt;"Sim",U245&lt;&gt;"N/A"),Config!$D$16&amp;"; ","")&amp;IF(AND($D245="Encerrado",Config!$D$17&lt;&gt;"",V245&lt;&gt;"Sim",V245&lt;&gt;"N/A"),Config!$D$17&amp;"; ","")&amp;IF(AND($D245="Encerrado",Config!$D$18&lt;&gt;"",W245&lt;&gt;"Sim",W245&lt;&gt;"N/A"),Config!$D$18&amp;"; ","")&amp;IF(AND($D245="Encerrado",Config!$D$19&lt;&gt;"",X245&lt;&gt;"Sim",X245&lt;&gt;"N/A"),Config!$D$19&amp;"; ",""))</f>
        <v/>
      </c>
    </row>
    <row r="246">
      <c r="A246" s="29" t="n"/>
      <c r="B246" s="29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25">
        <f>IF(A246="","",IFERROR(COUNTIF(E246:N246,"Sim")/(Config!$B$21-COUNTIF(E246:N246,"N/A")),""))</f>
        <v/>
      </c>
      <c r="Z246" s="25">
        <f>IF(OR(A246="",D246&lt;&gt;"Encerrado"),"",IFERROR(COUNTIF(O246:X246,"Sim")/(Config!$D$21-COUNTIF(O246:X246,"N/A")),""))</f>
        <v/>
      </c>
      <c r="AA246" s="23">
        <f>IF(A246="","",MAX(0,Config!$B$21-COUNTIF(E246:N246,"Sim")-COUNTIF(E246:N246,"N/A")))</f>
        <v/>
      </c>
      <c r="AB246" s="23">
        <f>IF(OR(A246="",D246&lt;&gt;"Encerrado"),"",MAX(0,Config!$D$21-COUNTIF(O246:X246,"Sim")-COUNTIF(O246:X246,"N/A")))</f>
        <v/>
      </c>
      <c r="AC246" s="23">
        <f>IF(A246="","",AA246+IF(AB246="",0,AB246))</f>
        <v/>
      </c>
      <c r="AD246" s="24">
        <f>IF(OR(A246="",AF246=""),"",LEFT(AF246,LEN(AF246)-2))</f>
        <v/>
      </c>
      <c r="AE246" s="35">
        <f>IF(OR(A246="",AC246=0),0,AC246*100-ROW()/100000)</f>
        <v>0</v>
      </c>
      <c r="AF246" s="35">
        <f>IF(A246="","",IF(AND(Config!$B$10&lt;&gt;"",E246&lt;&gt;"Sim",E246&lt;&gt;"N/A"),Config!$B$10&amp;"; ","")&amp;IF(AND(Config!$B$11&lt;&gt;"",F246&lt;&gt;"Sim",F246&lt;&gt;"N/A"),Config!$B$11&amp;"; ","")&amp;IF(AND(Config!$B$12&lt;&gt;"",G246&lt;&gt;"Sim",G246&lt;&gt;"N/A"),Config!$B$12&amp;"; ","")&amp;IF(AND(Config!$B$13&lt;&gt;"",H246&lt;&gt;"Sim",H246&lt;&gt;"N/A"),Config!$B$13&amp;"; ","")&amp;IF(AND(Config!$B$14&lt;&gt;"",I246&lt;&gt;"Sim",I246&lt;&gt;"N/A"),Config!$B$14&amp;"; ","")&amp;IF(AND(Config!$B$15&lt;&gt;"",J246&lt;&gt;"Sim",J246&lt;&gt;"N/A"),Config!$B$15&amp;"; ","")&amp;IF(AND(Config!$B$16&lt;&gt;"",K246&lt;&gt;"Sim",K246&lt;&gt;"N/A"),Config!$B$16&amp;"; ","")&amp;IF(AND(Config!$B$17&lt;&gt;"",L246&lt;&gt;"Sim",L246&lt;&gt;"N/A"),Config!$B$17&amp;"; ","")&amp;IF(AND(Config!$B$18&lt;&gt;"",M246&lt;&gt;"Sim",M246&lt;&gt;"N/A"),Config!$B$18&amp;"; ","")&amp;IF(AND(Config!$B$19&lt;&gt;"",N246&lt;&gt;"Sim",N246&lt;&gt;"N/A"),Config!$B$19&amp;"; ","")&amp;IF(AND($D246="Encerrado",Config!$D$10&lt;&gt;"",O246&lt;&gt;"Sim",O246&lt;&gt;"N/A"),Config!$D$10&amp;"; ","")&amp;IF(AND($D246="Encerrado",Config!$D$11&lt;&gt;"",P246&lt;&gt;"Sim",P246&lt;&gt;"N/A"),Config!$D$11&amp;"; ","")&amp;IF(AND($D246="Encerrado",Config!$D$12&lt;&gt;"",Q246&lt;&gt;"Sim",Q246&lt;&gt;"N/A"),Config!$D$12&amp;"; ","")&amp;IF(AND($D246="Encerrado",Config!$D$13&lt;&gt;"",R246&lt;&gt;"Sim",R246&lt;&gt;"N/A"),Config!$D$13&amp;"; ","")&amp;IF(AND($D246="Encerrado",Config!$D$14&lt;&gt;"",S246&lt;&gt;"Sim",S246&lt;&gt;"N/A"),Config!$D$14&amp;"; ","")&amp;IF(AND($D246="Encerrado",Config!$D$15&lt;&gt;"",T246&lt;&gt;"Sim",T246&lt;&gt;"N/A"),Config!$D$15&amp;"; ","")&amp;IF(AND($D246="Encerrado",Config!$D$16&lt;&gt;"",U246&lt;&gt;"Sim",U246&lt;&gt;"N/A"),Config!$D$16&amp;"; ","")&amp;IF(AND($D246="Encerrado",Config!$D$17&lt;&gt;"",V246&lt;&gt;"Sim",V246&lt;&gt;"N/A"),Config!$D$17&amp;"; ","")&amp;IF(AND($D246="Encerrado",Config!$D$18&lt;&gt;"",W246&lt;&gt;"Sim",W246&lt;&gt;"N/A"),Config!$D$18&amp;"; ","")&amp;IF(AND($D246="Encerrado",Config!$D$19&lt;&gt;"",X246&lt;&gt;"Sim",X246&lt;&gt;"N/A"),Config!$D$19&amp;"; ",""))</f>
        <v/>
      </c>
    </row>
    <row r="247">
      <c r="A247" s="29" t="n"/>
      <c r="B247" s="29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25">
        <f>IF(A247="","",IFERROR(COUNTIF(E247:N247,"Sim")/(Config!$B$21-COUNTIF(E247:N247,"N/A")),""))</f>
        <v/>
      </c>
      <c r="Z247" s="25">
        <f>IF(OR(A247="",D247&lt;&gt;"Encerrado"),"",IFERROR(COUNTIF(O247:X247,"Sim")/(Config!$D$21-COUNTIF(O247:X247,"N/A")),""))</f>
        <v/>
      </c>
      <c r="AA247" s="23">
        <f>IF(A247="","",MAX(0,Config!$B$21-COUNTIF(E247:N247,"Sim")-COUNTIF(E247:N247,"N/A")))</f>
        <v/>
      </c>
      <c r="AB247" s="23">
        <f>IF(OR(A247="",D247&lt;&gt;"Encerrado"),"",MAX(0,Config!$D$21-COUNTIF(O247:X247,"Sim")-COUNTIF(O247:X247,"N/A")))</f>
        <v/>
      </c>
      <c r="AC247" s="23">
        <f>IF(A247="","",AA247+IF(AB247="",0,AB247))</f>
        <v/>
      </c>
      <c r="AD247" s="24">
        <f>IF(OR(A247="",AF247=""),"",LEFT(AF247,LEN(AF247)-2))</f>
        <v/>
      </c>
      <c r="AE247" s="35">
        <f>IF(OR(A247="",AC247=0),0,AC247*100-ROW()/100000)</f>
        <v>0</v>
      </c>
      <c r="AF247" s="35">
        <f>IF(A247="","",IF(AND(Config!$B$10&lt;&gt;"",E247&lt;&gt;"Sim",E247&lt;&gt;"N/A"),Config!$B$10&amp;"; ","")&amp;IF(AND(Config!$B$11&lt;&gt;"",F247&lt;&gt;"Sim",F247&lt;&gt;"N/A"),Config!$B$11&amp;"; ","")&amp;IF(AND(Config!$B$12&lt;&gt;"",G247&lt;&gt;"Sim",G247&lt;&gt;"N/A"),Config!$B$12&amp;"; ","")&amp;IF(AND(Config!$B$13&lt;&gt;"",H247&lt;&gt;"Sim",H247&lt;&gt;"N/A"),Config!$B$13&amp;"; ","")&amp;IF(AND(Config!$B$14&lt;&gt;"",I247&lt;&gt;"Sim",I247&lt;&gt;"N/A"),Config!$B$14&amp;"; ","")&amp;IF(AND(Config!$B$15&lt;&gt;"",J247&lt;&gt;"Sim",J247&lt;&gt;"N/A"),Config!$B$15&amp;"; ","")&amp;IF(AND(Config!$B$16&lt;&gt;"",K247&lt;&gt;"Sim",K247&lt;&gt;"N/A"),Config!$B$16&amp;"; ","")&amp;IF(AND(Config!$B$17&lt;&gt;"",L247&lt;&gt;"Sim",L247&lt;&gt;"N/A"),Config!$B$17&amp;"; ","")&amp;IF(AND(Config!$B$18&lt;&gt;"",M247&lt;&gt;"Sim",M247&lt;&gt;"N/A"),Config!$B$18&amp;"; ","")&amp;IF(AND(Config!$B$19&lt;&gt;"",N247&lt;&gt;"Sim",N247&lt;&gt;"N/A"),Config!$B$19&amp;"; ","")&amp;IF(AND($D247="Encerrado",Config!$D$10&lt;&gt;"",O247&lt;&gt;"Sim",O247&lt;&gt;"N/A"),Config!$D$10&amp;"; ","")&amp;IF(AND($D247="Encerrado",Config!$D$11&lt;&gt;"",P247&lt;&gt;"Sim",P247&lt;&gt;"N/A"),Config!$D$11&amp;"; ","")&amp;IF(AND($D247="Encerrado",Config!$D$12&lt;&gt;"",Q247&lt;&gt;"Sim",Q247&lt;&gt;"N/A"),Config!$D$12&amp;"; ","")&amp;IF(AND($D247="Encerrado",Config!$D$13&lt;&gt;"",R247&lt;&gt;"Sim",R247&lt;&gt;"N/A"),Config!$D$13&amp;"; ","")&amp;IF(AND($D247="Encerrado",Config!$D$14&lt;&gt;"",S247&lt;&gt;"Sim",S247&lt;&gt;"N/A"),Config!$D$14&amp;"; ","")&amp;IF(AND($D247="Encerrado",Config!$D$15&lt;&gt;"",T247&lt;&gt;"Sim",T247&lt;&gt;"N/A"),Config!$D$15&amp;"; ","")&amp;IF(AND($D247="Encerrado",Config!$D$16&lt;&gt;"",U247&lt;&gt;"Sim",U247&lt;&gt;"N/A"),Config!$D$16&amp;"; ","")&amp;IF(AND($D247="Encerrado",Config!$D$17&lt;&gt;"",V247&lt;&gt;"Sim",V247&lt;&gt;"N/A"),Config!$D$17&amp;"; ","")&amp;IF(AND($D247="Encerrado",Config!$D$18&lt;&gt;"",W247&lt;&gt;"Sim",W247&lt;&gt;"N/A"),Config!$D$18&amp;"; ","")&amp;IF(AND($D247="Encerrado",Config!$D$19&lt;&gt;"",X247&lt;&gt;"Sim",X247&lt;&gt;"N/A"),Config!$D$19&amp;"; ",""))</f>
        <v/>
      </c>
    </row>
    <row r="248">
      <c r="A248" s="29" t="n"/>
      <c r="B248" s="29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25">
        <f>IF(A248="","",IFERROR(COUNTIF(E248:N248,"Sim")/(Config!$B$21-COUNTIF(E248:N248,"N/A")),""))</f>
        <v/>
      </c>
      <c r="Z248" s="25">
        <f>IF(OR(A248="",D248&lt;&gt;"Encerrado"),"",IFERROR(COUNTIF(O248:X248,"Sim")/(Config!$D$21-COUNTIF(O248:X248,"N/A")),""))</f>
        <v/>
      </c>
      <c r="AA248" s="23">
        <f>IF(A248="","",MAX(0,Config!$B$21-COUNTIF(E248:N248,"Sim")-COUNTIF(E248:N248,"N/A")))</f>
        <v/>
      </c>
      <c r="AB248" s="23">
        <f>IF(OR(A248="",D248&lt;&gt;"Encerrado"),"",MAX(0,Config!$D$21-COUNTIF(O248:X248,"Sim")-COUNTIF(O248:X248,"N/A")))</f>
        <v/>
      </c>
      <c r="AC248" s="23">
        <f>IF(A248="","",AA248+IF(AB248="",0,AB248))</f>
        <v/>
      </c>
      <c r="AD248" s="24">
        <f>IF(OR(A248="",AF248=""),"",LEFT(AF248,LEN(AF248)-2))</f>
        <v/>
      </c>
      <c r="AE248" s="35">
        <f>IF(OR(A248="",AC248=0),0,AC248*100-ROW()/100000)</f>
        <v>0</v>
      </c>
      <c r="AF248" s="35">
        <f>IF(A248="","",IF(AND(Config!$B$10&lt;&gt;"",E248&lt;&gt;"Sim",E248&lt;&gt;"N/A"),Config!$B$10&amp;"; ","")&amp;IF(AND(Config!$B$11&lt;&gt;"",F248&lt;&gt;"Sim",F248&lt;&gt;"N/A"),Config!$B$11&amp;"; ","")&amp;IF(AND(Config!$B$12&lt;&gt;"",G248&lt;&gt;"Sim",G248&lt;&gt;"N/A"),Config!$B$12&amp;"; ","")&amp;IF(AND(Config!$B$13&lt;&gt;"",H248&lt;&gt;"Sim",H248&lt;&gt;"N/A"),Config!$B$13&amp;"; ","")&amp;IF(AND(Config!$B$14&lt;&gt;"",I248&lt;&gt;"Sim",I248&lt;&gt;"N/A"),Config!$B$14&amp;"; ","")&amp;IF(AND(Config!$B$15&lt;&gt;"",J248&lt;&gt;"Sim",J248&lt;&gt;"N/A"),Config!$B$15&amp;"; ","")&amp;IF(AND(Config!$B$16&lt;&gt;"",K248&lt;&gt;"Sim",K248&lt;&gt;"N/A"),Config!$B$16&amp;"; ","")&amp;IF(AND(Config!$B$17&lt;&gt;"",L248&lt;&gt;"Sim",L248&lt;&gt;"N/A"),Config!$B$17&amp;"; ","")&amp;IF(AND(Config!$B$18&lt;&gt;"",M248&lt;&gt;"Sim",M248&lt;&gt;"N/A"),Config!$B$18&amp;"; ","")&amp;IF(AND(Config!$B$19&lt;&gt;"",N248&lt;&gt;"Sim",N248&lt;&gt;"N/A"),Config!$B$19&amp;"; ","")&amp;IF(AND($D248="Encerrado",Config!$D$10&lt;&gt;"",O248&lt;&gt;"Sim",O248&lt;&gt;"N/A"),Config!$D$10&amp;"; ","")&amp;IF(AND($D248="Encerrado",Config!$D$11&lt;&gt;"",P248&lt;&gt;"Sim",P248&lt;&gt;"N/A"),Config!$D$11&amp;"; ","")&amp;IF(AND($D248="Encerrado",Config!$D$12&lt;&gt;"",Q248&lt;&gt;"Sim",Q248&lt;&gt;"N/A"),Config!$D$12&amp;"; ","")&amp;IF(AND($D248="Encerrado",Config!$D$13&lt;&gt;"",R248&lt;&gt;"Sim",R248&lt;&gt;"N/A"),Config!$D$13&amp;"; ","")&amp;IF(AND($D248="Encerrado",Config!$D$14&lt;&gt;"",S248&lt;&gt;"Sim",S248&lt;&gt;"N/A"),Config!$D$14&amp;"; ","")&amp;IF(AND($D248="Encerrado",Config!$D$15&lt;&gt;"",T248&lt;&gt;"Sim",T248&lt;&gt;"N/A"),Config!$D$15&amp;"; ","")&amp;IF(AND($D248="Encerrado",Config!$D$16&lt;&gt;"",U248&lt;&gt;"Sim",U248&lt;&gt;"N/A"),Config!$D$16&amp;"; ","")&amp;IF(AND($D248="Encerrado",Config!$D$17&lt;&gt;"",V248&lt;&gt;"Sim",V248&lt;&gt;"N/A"),Config!$D$17&amp;"; ","")&amp;IF(AND($D248="Encerrado",Config!$D$18&lt;&gt;"",W248&lt;&gt;"Sim",W248&lt;&gt;"N/A"),Config!$D$18&amp;"; ","")&amp;IF(AND($D248="Encerrado",Config!$D$19&lt;&gt;"",X248&lt;&gt;"Sim",X248&lt;&gt;"N/A"),Config!$D$19&amp;"; ",""))</f>
        <v/>
      </c>
    </row>
    <row r="249">
      <c r="A249" s="29" t="n"/>
      <c r="B249" s="29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25">
        <f>IF(A249="","",IFERROR(COUNTIF(E249:N249,"Sim")/(Config!$B$21-COUNTIF(E249:N249,"N/A")),""))</f>
        <v/>
      </c>
      <c r="Z249" s="25">
        <f>IF(OR(A249="",D249&lt;&gt;"Encerrado"),"",IFERROR(COUNTIF(O249:X249,"Sim")/(Config!$D$21-COUNTIF(O249:X249,"N/A")),""))</f>
        <v/>
      </c>
      <c r="AA249" s="23">
        <f>IF(A249="","",MAX(0,Config!$B$21-COUNTIF(E249:N249,"Sim")-COUNTIF(E249:N249,"N/A")))</f>
        <v/>
      </c>
      <c r="AB249" s="23">
        <f>IF(OR(A249="",D249&lt;&gt;"Encerrado"),"",MAX(0,Config!$D$21-COUNTIF(O249:X249,"Sim")-COUNTIF(O249:X249,"N/A")))</f>
        <v/>
      </c>
      <c r="AC249" s="23">
        <f>IF(A249="","",AA249+IF(AB249="",0,AB249))</f>
        <v/>
      </c>
      <c r="AD249" s="24">
        <f>IF(OR(A249="",AF249=""),"",LEFT(AF249,LEN(AF249)-2))</f>
        <v/>
      </c>
      <c r="AE249" s="35">
        <f>IF(OR(A249="",AC249=0),0,AC249*100-ROW()/100000)</f>
        <v>0</v>
      </c>
      <c r="AF249" s="35">
        <f>IF(A249="","",IF(AND(Config!$B$10&lt;&gt;"",E249&lt;&gt;"Sim",E249&lt;&gt;"N/A"),Config!$B$10&amp;"; ","")&amp;IF(AND(Config!$B$11&lt;&gt;"",F249&lt;&gt;"Sim",F249&lt;&gt;"N/A"),Config!$B$11&amp;"; ","")&amp;IF(AND(Config!$B$12&lt;&gt;"",G249&lt;&gt;"Sim",G249&lt;&gt;"N/A"),Config!$B$12&amp;"; ","")&amp;IF(AND(Config!$B$13&lt;&gt;"",H249&lt;&gt;"Sim",H249&lt;&gt;"N/A"),Config!$B$13&amp;"; ","")&amp;IF(AND(Config!$B$14&lt;&gt;"",I249&lt;&gt;"Sim",I249&lt;&gt;"N/A"),Config!$B$14&amp;"; ","")&amp;IF(AND(Config!$B$15&lt;&gt;"",J249&lt;&gt;"Sim",J249&lt;&gt;"N/A"),Config!$B$15&amp;"; ","")&amp;IF(AND(Config!$B$16&lt;&gt;"",K249&lt;&gt;"Sim",K249&lt;&gt;"N/A"),Config!$B$16&amp;"; ","")&amp;IF(AND(Config!$B$17&lt;&gt;"",L249&lt;&gt;"Sim",L249&lt;&gt;"N/A"),Config!$B$17&amp;"; ","")&amp;IF(AND(Config!$B$18&lt;&gt;"",M249&lt;&gt;"Sim",M249&lt;&gt;"N/A"),Config!$B$18&amp;"; ","")&amp;IF(AND(Config!$B$19&lt;&gt;"",N249&lt;&gt;"Sim",N249&lt;&gt;"N/A"),Config!$B$19&amp;"; ","")&amp;IF(AND($D249="Encerrado",Config!$D$10&lt;&gt;"",O249&lt;&gt;"Sim",O249&lt;&gt;"N/A"),Config!$D$10&amp;"; ","")&amp;IF(AND($D249="Encerrado",Config!$D$11&lt;&gt;"",P249&lt;&gt;"Sim",P249&lt;&gt;"N/A"),Config!$D$11&amp;"; ","")&amp;IF(AND($D249="Encerrado",Config!$D$12&lt;&gt;"",Q249&lt;&gt;"Sim",Q249&lt;&gt;"N/A"),Config!$D$12&amp;"; ","")&amp;IF(AND($D249="Encerrado",Config!$D$13&lt;&gt;"",R249&lt;&gt;"Sim",R249&lt;&gt;"N/A"),Config!$D$13&amp;"; ","")&amp;IF(AND($D249="Encerrado",Config!$D$14&lt;&gt;"",S249&lt;&gt;"Sim",S249&lt;&gt;"N/A"),Config!$D$14&amp;"; ","")&amp;IF(AND($D249="Encerrado",Config!$D$15&lt;&gt;"",T249&lt;&gt;"Sim",T249&lt;&gt;"N/A"),Config!$D$15&amp;"; ","")&amp;IF(AND($D249="Encerrado",Config!$D$16&lt;&gt;"",U249&lt;&gt;"Sim",U249&lt;&gt;"N/A"),Config!$D$16&amp;"; ","")&amp;IF(AND($D249="Encerrado",Config!$D$17&lt;&gt;"",V249&lt;&gt;"Sim",V249&lt;&gt;"N/A"),Config!$D$17&amp;"; ","")&amp;IF(AND($D249="Encerrado",Config!$D$18&lt;&gt;"",W249&lt;&gt;"Sim",W249&lt;&gt;"N/A"),Config!$D$18&amp;"; ","")&amp;IF(AND($D249="Encerrado",Config!$D$19&lt;&gt;"",X249&lt;&gt;"Sim",X249&lt;&gt;"N/A"),Config!$D$19&amp;"; ",""))</f>
        <v/>
      </c>
    </row>
    <row r="250">
      <c r="A250" s="29" t="n"/>
      <c r="B250" s="29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25">
        <f>IF(A250="","",IFERROR(COUNTIF(E250:N250,"Sim")/(Config!$B$21-COUNTIF(E250:N250,"N/A")),""))</f>
        <v/>
      </c>
      <c r="Z250" s="25">
        <f>IF(OR(A250="",D250&lt;&gt;"Encerrado"),"",IFERROR(COUNTIF(O250:X250,"Sim")/(Config!$D$21-COUNTIF(O250:X250,"N/A")),""))</f>
        <v/>
      </c>
      <c r="AA250" s="23">
        <f>IF(A250="","",MAX(0,Config!$B$21-COUNTIF(E250:N250,"Sim")-COUNTIF(E250:N250,"N/A")))</f>
        <v/>
      </c>
      <c r="AB250" s="23">
        <f>IF(OR(A250="",D250&lt;&gt;"Encerrado"),"",MAX(0,Config!$D$21-COUNTIF(O250:X250,"Sim")-COUNTIF(O250:X250,"N/A")))</f>
        <v/>
      </c>
      <c r="AC250" s="23">
        <f>IF(A250="","",AA250+IF(AB250="",0,AB250))</f>
        <v/>
      </c>
      <c r="AD250" s="24">
        <f>IF(OR(A250="",AF250=""),"",LEFT(AF250,LEN(AF250)-2))</f>
        <v/>
      </c>
      <c r="AE250" s="35">
        <f>IF(OR(A250="",AC250=0),0,AC250*100-ROW()/100000)</f>
        <v>0</v>
      </c>
      <c r="AF250" s="35">
        <f>IF(A250="","",IF(AND(Config!$B$10&lt;&gt;"",E250&lt;&gt;"Sim",E250&lt;&gt;"N/A"),Config!$B$10&amp;"; ","")&amp;IF(AND(Config!$B$11&lt;&gt;"",F250&lt;&gt;"Sim",F250&lt;&gt;"N/A"),Config!$B$11&amp;"; ","")&amp;IF(AND(Config!$B$12&lt;&gt;"",G250&lt;&gt;"Sim",G250&lt;&gt;"N/A"),Config!$B$12&amp;"; ","")&amp;IF(AND(Config!$B$13&lt;&gt;"",H250&lt;&gt;"Sim",H250&lt;&gt;"N/A"),Config!$B$13&amp;"; ","")&amp;IF(AND(Config!$B$14&lt;&gt;"",I250&lt;&gt;"Sim",I250&lt;&gt;"N/A"),Config!$B$14&amp;"; ","")&amp;IF(AND(Config!$B$15&lt;&gt;"",J250&lt;&gt;"Sim",J250&lt;&gt;"N/A"),Config!$B$15&amp;"; ","")&amp;IF(AND(Config!$B$16&lt;&gt;"",K250&lt;&gt;"Sim",K250&lt;&gt;"N/A"),Config!$B$16&amp;"; ","")&amp;IF(AND(Config!$B$17&lt;&gt;"",L250&lt;&gt;"Sim",L250&lt;&gt;"N/A"),Config!$B$17&amp;"; ","")&amp;IF(AND(Config!$B$18&lt;&gt;"",M250&lt;&gt;"Sim",M250&lt;&gt;"N/A"),Config!$B$18&amp;"; ","")&amp;IF(AND(Config!$B$19&lt;&gt;"",N250&lt;&gt;"Sim",N250&lt;&gt;"N/A"),Config!$B$19&amp;"; ","")&amp;IF(AND($D250="Encerrado",Config!$D$10&lt;&gt;"",O250&lt;&gt;"Sim",O250&lt;&gt;"N/A"),Config!$D$10&amp;"; ","")&amp;IF(AND($D250="Encerrado",Config!$D$11&lt;&gt;"",P250&lt;&gt;"Sim",P250&lt;&gt;"N/A"),Config!$D$11&amp;"; ","")&amp;IF(AND($D250="Encerrado",Config!$D$12&lt;&gt;"",Q250&lt;&gt;"Sim",Q250&lt;&gt;"N/A"),Config!$D$12&amp;"; ","")&amp;IF(AND($D250="Encerrado",Config!$D$13&lt;&gt;"",R250&lt;&gt;"Sim",R250&lt;&gt;"N/A"),Config!$D$13&amp;"; ","")&amp;IF(AND($D250="Encerrado",Config!$D$14&lt;&gt;"",S250&lt;&gt;"Sim",S250&lt;&gt;"N/A"),Config!$D$14&amp;"; ","")&amp;IF(AND($D250="Encerrado",Config!$D$15&lt;&gt;"",T250&lt;&gt;"Sim",T250&lt;&gt;"N/A"),Config!$D$15&amp;"; ","")&amp;IF(AND($D250="Encerrado",Config!$D$16&lt;&gt;"",U250&lt;&gt;"Sim",U250&lt;&gt;"N/A"),Config!$D$16&amp;"; ","")&amp;IF(AND($D250="Encerrado",Config!$D$17&lt;&gt;"",V250&lt;&gt;"Sim",V250&lt;&gt;"N/A"),Config!$D$17&amp;"; ","")&amp;IF(AND($D250="Encerrado",Config!$D$18&lt;&gt;"",W250&lt;&gt;"Sim",W250&lt;&gt;"N/A"),Config!$D$18&amp;"; ","")&amp;IF(AND($D250="Encerrado",Config!$D$19&lt;&gt;"",X250&lt;&gt;"Sim",X250&lt;&gt;"N/A"),Config!$D$19&amp;"; ",""))</f>
        <v/>
      </c>
    </row>
    <row r="251">
      <c r="A251" s="29" t="n"/>
      <c r="B251" s="29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25">
        <f>IF(A251="","",IFERROR(COUNTIF(E251:N251,"Sim")/(Config!$B$21-COUNTIF(E251:N251,"N/A")),""))</f>
        <v/>
      </c>
      <c r="Z251" s="25">
        <f>IF(OR(A251="",D251&lt;&gt;"Encerrado"),"",IFERROR(COUNTIF(O251:X251,"Sim")/(Config!$D$21-COUNTIF(O251:X251,"N/A")),""))</f>
        <v/>
      </c>
      <c r="AA251" s="23">
        <f>IF(A251="","",MAX(0,Config!$B$21-COUNTIF(E251:N251,"Sim")-COUNTIF(E251:N251,"N/A")))</f>
        <v/>
      </c>
      <c r="AB251" s="23">
        <f>IF(OR(A251="",D251&lt;&gt;"Encerrado"),"",MAX(0,Config!$D$21-COUNTIF(O251:X251,"Sim")-COUNTIF(O251:X251,"N/A")))</f>
        <v/>
      </c>
      <c r="AC251" s="23">
        <f>IF(A251="","",AA251+IF(AB251="",0,AB251))</f>
        <v/>
      </c>
      <c r="AD251" s="24">
        <f>IF(OR(A251="",AF251=""),"",LEFT(AF251,LEN(AF251)-2))</f>
        <v/>
      </c>
      <c r="AE251" s="35">
        <f>IF(OR(A251="",AC251=0),0,AC251*100-ROW()/100000)</f>
        <v>0</v>
      </c>
      <c r="AF251" s="35">
        <f>IF(A251="","",IF(AND(Config!$B$10&lt;&gt;"",E251&lt;&gt;"Sim",E251&lt;&gt;"N/A"),Config!$B$10&amp;"; ","")&amp;IF(AND(Config!$B$11&lt;&gt;"",F251&lt;&gt;"Sim",F251&lt;&gt;"N/A"),Config!$B$11&amp;"; ","")&amp;IF(AND(Config!$B$12&lt;&gt;"",G251&lt;&gt;"Sim",G251&lt;&gt;"N/A"),Config!$B$12&amp;"; ","")&amp;IF(AND(Config!$B$13&lt;&gt;"",H251&lt;&gt;"Sim",H251&lt;&gt;"N/A"),Config!$B$13&amp;"; ","")&amp;IF(AND(Config!$B$14&lt;&gt;"",I251&lt;&gt;"Sim",I251&lt;&gt;"N/A"),Config!$B$14&amp;"; ","")&amp;IF(AND(Config!$B$15&lt;&gt;"",J251&lt;&gt;"Sim",J251&lt;&gt;"N/A"),Config!$B$15&amp;"; ","")&amp;IF(AND(Config!$B$16&lt;&gt;"",K251&lt;&gt;"Sim",K251&lt;&gt;"N/A"),Config!$B$16&amp;"; ","")&amp;IF(AND(Config!$B$17&lt;&gt;"",L251&lt;&gt;"Sim",L251&lt;&gt;"N/A"),Config!$B$17&amp;"; ","")&amp;IF(AND(Config!$B$18&lt;&gt;"",M251&lt;&gt;"Sim",M251&lt;&gt;"N/A"),Config!$B$18&amp;"; ","")&amp;IF(AND(Config!$B$19&lt;&gt;"",N251&lt;&gt;"Sim",N251&lt;&gt;"N/A"),Config!$B$19&amp;"; ","")&amp;IF(AND($D251="Encerrado",Config!$D$10&lt;&gt;"",O251&lt;&gt;"Sim",O251&lt;&gt;"N/A"),Config!$D$10&amp;"; ","")&amp;IF(AND($D251="Encerrado",Config!$D$11&lt;&gt;"",P251&lt;&gt;"Sim",P251&lt;&gt;"N/A"),Config!$D$11&amp;"; ","")&amp;IF(AND($D251="Encerrado",Config!$D$12&lt;&gt;"",Q251&lt;&gt;"Sim",Q251&lt;&gt;"N/A"),Config!$D$12&amp;"; ","")&amp;IF(AND($D251="Encerrado",Config!$D$13&lt;&gt;"",R251&lt;&gt;"Sim",R251&lt;&gt;"N/A"),Config!$D$13&amp;"; ","")&amp;IF(AND($D251="Encerrado",Config!$D$14&lt;&gt;"",S251&lt;&gt;"Sim",S251&lt;&gt;"N/A"),Config!$D$14&amp;"; ","")&amp;IF(AND($D251="Encerrado",Config!$D$15&lt;&gt;"",T251&lt;&gt;"Sim",T251&lt;&gt;"N/A"),Config!$D$15&amp;"; ","")&amp;IF(AND($D251="Encerrado",Config!$D$16&lt;&gt;"",U251&lt;&gt;"Sim",U251&lt;&gt;"N/A"),Config!$D$16&amp;"; ","")&amp;IF(AND($D251="Encerrado",Config!$D$17&lt;&gt;"",V251&lt;&gt;"Sim",V251&lt;&gt;"N/A"),Config!$D$17&amp;"; ","")&amp;IF(AND($D251="Encerrado",Config!$D$18&lt;&gt;"",W251&lt;&gt;"Sim",W251&lt;&gt;"N/A"),Config!$D$18&amp;"; ","")&amp;IF(AND($D251="Encerrado",Config!$D$19&lt;&gt;"",X251&lt;&gt;"Sim",X251&lt;&gt;"N/A"),Config!$D$19&amp;"; ",""))</f>
        <v/>
      </c>
    </row>
    <row r="252">
      <c r="A252" s="29" t="n"/>
      <c r="B252" s="29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25">
        <f>IF(A252="","",IFERROR(COUNTIF(E252:N252,"Sim")/(Config!$B$21-COUNTIF(E252:N252,"N/A")),""))</f>
        <v/>
      </c>
      <c r="Z252" s="25">
        <f>IF(OR(A252="",D252&lt;&gt;"Encerrado"),"",IFERROR(COUNTIF(O252:X252,"Sim")/(Config!$D$21-COUNTIF(O252:X252,"N/A")),""))</f>
        <v/>
      </c>
      <c r="AA252" s="23">
        <f>IF(A252="","",MAX(0,Config!$B$21-COUNTIF(E252:N252,"Sim")-COUNTIF(E252:N252,"N/A")))</f>
        <v/>
      </c>
      <c r="AB252" s="23">
        <f>IF(OR(A252="",D252&lt;&gt;"Encerrado"),"",MAX(0,Config!$D$21-COUNTIF(O252:X252,"Sim")-COUNTIF(O252:X252,"N/A")))</f>
        <v/>
      </c>
      <c r="AC252" s="23">
        <f>IF(A252="","",AA252+IF(AB252="",0,AB252))</f>
        <v/>
      </c>
      <c r="AD252" s="24">
        <f>IF(OR(A252="",AF252=""),"",LEFT(AF252,LEN(AF252)-2))</f>
        <v/>
      </c>
      <c r="AE252" s="35">
        <f>IF(OR(A252="",AC252=0),0,AC252*100-ROW()/100000)</f>
        <v>0</v>
      </c>
      <c r="AF252" s="35">
        <f>IF(A252="","",IF(AND(Config!$B$10&lt;&gt;"",E252&lt;&gt;"Sim",E252&lt;&gt;"N/A"),Config!$B$10&amp;"; ","")&amp;IF(AND(Config!$B$11&lt;&gt;"",F252&lt;&gt;"Sim",F252&lt;&gt;"N/A"),Config!$B$11&amp;"; ","")&amp;IF(AND(Config!$B$12&lt;&gt;"",G252&lt;&gt;"Sim",G252&lt;&gt;"N/A"),Config!$B$12&amp;"; ","")&amp;IF(AND(Config!$B$13&lt;&gt;"",H252&lt;&gt;"Sim",H252&lt;&gt;"N/A"),Config!$B$13&amp;"; ","")&amp;IF(AND(Config!$B$14&lt;&gt;"",I252&lt;&gt;"Sim",I252&lt;&gt;"N/A"),Config!$B$14&amp;"; ","")&amp;IF(AND(Config!$B$15&lt;&gt;"",J252&lt;&gt;"Sim",J252&lt;&gt;"N/A"),Config!$B$15&amp;"; ","")&amp;IF(AND(Config!$B$16&lt;&gt;"",K252&lt;&gt;"Sim",K252&lt;&gt;"N/A"),Config!$B$16&amp;"; ","")&amp;IF(AND(Config!$B$17&lt;&gt;"",L252&lt;&gt;"Sim",L252&lt;&gt;"N/A"),Config!$B$17&amp;"; ","")&amp;IF(AND(Config!$B$18&lt;&gt;"",M252&lt;&gt;"Sim",M252&lt;&gt;"N/A"),Config!$B$18&amp;"; ","")&amp;IF(AND(Config!$B$19&lt;&gt;"",N252&lt;&gt;"Sim",N252&lt;&gt;"N/A"),Config!$B$19&amp;"; ","")&amp;IF(AND($D252="Encerrado",Config!$D$10&lt;&gt;"",O252&lt;&gt;"Sim",O252&lt;&gt;"N/A"),Config!$D$10&amp;"; ","")&amp;IF(AND($D252="Encerrado",Config!$D$11&lt;&gt;"",P252&lt;&gt;"Sim",P252&lt;&gt;"N/A"),Config!$D$11&amp;"; ","")&amp;IF(AND($D252="Encerrado",Config!$D$12&lt;&gt;"",Q252&lt;&gt;"Sim",Q252&lt;&gt;"N/A"),Config!$D$12&amp;"; ","")&amp;IF(AND($D252="Encerrado",Config!$D$13&lt;&gt;"",R252&lt;&gt;"Sim",R252&lt;&gt;"N/A"),Config!$D$13&amp;"; ","")&amp;IF(AND($D252="Encerrado",Config!$D$14&lt;&gt;"",S252&lt;&gt;"Sim",S252&lt;&gt;"N/A"),Config!$D$14&amp;"; ","")&amp;IF(AND($D252="Encerrado",Config!$D$15&lt;&gt;"",T252&lt;&gt;"Sim",T252&lt;&gt;"N/A"),Config!$D$15&amp;"; ","")&amp;IF(AND($D252="Encerrado",Config!$D$16&lt;&gt;"",U252&lt;&gt;"Sim",U252&lt;&gt;"N/A"),Config!$D$16&amp;"; ","")&amp;IF(AND($D252="Encerrado",Config!$D$17&lt;&gt;"",V252&lt;&gt;"Sim",V252&lt;&gt;"N/A"),Config!$D$17&amp;"; ","")&amp;IF(AND($D252="Encerrado",Config!$D$18&lt;&gt;"",W252&lt;&gt;"Sim",W252&lt;&gt;"N/A"),Config!$D$18&amp;"; ","")&amp;IF(AND($D252="Encerrado",Config!$D$19&lt;&gt;"",X252&lt;&gt;"Sim",X252&lt;&gt;"N/A"),Config!$D$19&amp;"; ",""))</f>
        <v/>
      </c>
    </row>
    <row r="253">
      <c r="A253" s="29" t="n"/>
      <c r="B253" s="29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25">
        <f>IF(A253="","",IFERROR(COUNTIF(E253:N253,"Sim")/(Config!$B$21-COUNTIF(E253:N253,"N/A")),""))</f>
        <v/>
      </c>
      <c r="Z253" s="25">
        <f>IF(OR(A253="",D253&lt;&gt;"Encerrado"),"",IFERROR(COUNTIF(O253:X253,"Sim")/(Config!$D$21-COUNTIF(O253:X253,"N/A")),""))</f>
        <v/>
      </c>
      <c r="AA253" s="23">
        <f>IF(A253="","",MAX(0,Config!$B$21-COUNTIF(E253:N253,"Sim")-COUNTIF(E253:N253,"N/A")))</f>
        <v/>
      </c>
      <c r="AB253" s="23">
        <f>IF(OR(A253="",D253&lt;&gt;"Encerrado"),"",MAX(0,Config!$D$21-COUNTIF(O253:X253,"Sim")-COUNTIF(O253:X253,"N/A")))</f>
        <v/>
      </c>
      <c r="AC253" s="23">
        <f>IF(A253="","",AA253+IF(AB253="",0,AB253))</f>
        <v/>
      </c>
      <c r="AD253" s="24">
        <f>IF(OR(A253="",AF253=""),"",LEFT(AF253,LEN(AF253)-2))</f>
        <v/>
      </c>
      <c r="AE253" s="35">
        <f>IF(OR(A253="",AC253=0),0,AC253*100-ROW()/100000)</f>
        <v>0</v>
      </c>
      <c r="AF253" s="35">
        <f>IF(A253="","",IF(AND(Config!$B$10&lt;&gt;"",E253&lt;&gt;"Sim",E253&lt;&gt;"N/A"),Config!$B$10&amp;"; ","")&amp;IF(AND(Config!$B$11&lt;&gt;"",F253&lt;&gt;"Sim",F253&lt;&gt;"N/A"),Config!$B$11&amp;"; ","")&amp;IF(AND(Config!$B$12&lt;&gt;"",G253&lt;&gt;"Sim",G253&lt;&gt;"N/A"),Config!$B$12&amp;"; ","")&amp;IF(AND(Config!$B$13&lt;&gt;"",H253&lt;&gt;"Sim",H253&lt;&gt;"N/A"),Config!$B$13&amp;"; ","")&amp;IF(AND(Config!$B$14&lt;&gt;"",I253&lt;&gt;"Sim",I253&lt;&gt;"N/A"),Config!$B$14&amp;"; ","")&amp;IF(AND(Config!$B$15&lt;&gt;"",J253&lt;&gt;"Sim",J253&lt;&gt;"N/A"),Config!$B$15&amp;"; ","")&amp;IF(AND(Config!$B$16&lt;&gt;"",K253&lt;&gt;"Sim",K253&lt;&gt;"N/A"),Config!$B$16&amp;"; ","")&amp;IF(AND(Config!$B$17&lt;&gt;"",L253&lt;&gt;"Sim",L253&lt;&gt;"N/A"),Config!$B$17&amp;"; ","")&amp;IF(AND(Config!$B$18&lt;&gt;"",M253&lt;&gt;"Sim",M253&lt;&gt;"N/A"),Config!$B$18&amp;"; ","")&amp;IF(AND(Config!$B$19&lt;&gt;"",N253&lt;&gt;"Sim",N253&lt;&gt;"N/A"),Config!$B$19&amp;"; ","")&amp;IF(AND($D253="Encerrado",Config!$D$10&lt;&gt;"",O253&lt;&gt;"Sim",O253&lt;&gt;"N/A"),Config!$D$10&amp;"; ","")&amp;IF(AND($D253="Encerrado",Config!$D$11&lt;&gt;"",P253&lt;&gt;"Sim",P253&lt;&gt;"N/A"),Config!$D$11&amp;"; ","")&amp;IF(AND($D253="Encerrado",Config!$D$12&lt;&gt;"",Q253&lt;&gt;"Sim",Q253&lt;&gt;"N/A"),Config!$D$12&amp;"; ","")&amp;IF(AND($D253="Encerrado",Config!$D$13&lt;&gt;"",R253&lt;&gt;"Sim",R253&lt;&gt;"N/A"),Config!$D$13&amp;"; ","")&amp;IF(AND($D253="Encerrado",Config!$D$14&lt;&gt;"",S253&lt;&gt;"Sim",S253&lt;&gt;"N/A"),Config!$D$14&amp;"; ","")&amp;IF(AND($D253="Encerrado",Config!$D$15&lt;&gt;"",T253&lt;&gt;"Sim",T253&lt;&gt;"N/A"),Config!$D$15&amp;"; ","")&amp;IF(AND($D253="Encerrado",Config!$D$16&lt;&gt;"",U253&lt;&gt;"Sim",U253&lt;&gt;"N/A"),Config!$D$16&amp;"; ","")&amp;IF(AND($D253="Encerrado",Config!$D$17&lt;&gt;"",V253&lt;&gt;"Sim",V253&lt;&gt;"N/A"),Config!$D$17&amp;"; ","")&amp;IF(AND($D253="Encerrado",Config!$D$18&lt;&gt;"",W253&lt;&gt;"Sim",W253&lt;&gt;"N/A"),Config!$D$18&amp;"; ","")&amp;IF(AND($D253="Encerrado",Config!$D$19&lt;&gt;"",X253&lt;&gt;"Sim",X253&lt;&gt;"N/A"),Config!$D$19&amp;"; ",""))</f>
        <v/>
      </c>
    </row>
    <row r="254">
      <c r="A254" s="29" t="n"/>
      <c r="B254" s="29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25">
        <f>IF(A254="","",IFERROR(COUNTIF(E254:N254,"Sim")/(Config!$B$21-COUNTIF(E254:N254,"N/A")),""))</f>
        <v/>
      </c>
      <c r="Z254" s="25">
        <f>IF(OR(A254="",D254&lt;&gt;"Encerrado"),"",IFERROR(COUNTIF(O254:X254,"Sim")/(Config!$D$21-COUNTIF(O254:X254,"N/A")),""))</f>
        <v/>
      </c>
      <c r="AA254" s="23">
        <f>IF(A254="","",MAX(0,Config!$B$21-COUNTIF(E254:N254,"Sim")-COUNTIF(E254:N254,"N/A")))</f>
        <v/>
      </c>
      <c r="AB254" s="23">
        <f>IF(OR(A254="",D254&lt;&gt;"Encerrado"),"",MAX(0,Config!$D$21-COUNTIF(O254:X254,"Sim")-COUNTIF(O254:X254,"N/A")))</f>
        <v/>
      </c>
      <c r="AC254" s="23">
        <f>IF(A254="","",AA254+IF(AB254="",0,AB254))</f>
        <v/>
      </c>
      <c r="AD254" s="24">
        <f>IF(OR(A254="",AF254=""),"",LEFT(AF254,LEN(AF254)-2))</f>
        <v/>
      </c>
      <c r="AE254" s="35">
        <f>IF(OR(A254="",AC254=0),0,AC254*100-ROW()/100000)</f>
        <v>0</v>
      </c>
      <c r="AF254" s="35">
        <f>IF(A254="","",IF(AND(Config!$B$10&lt;&gt;"",E254&lt;&gt;"Sim",E254&lt;&gt;"N/A"),Config!$B$10&amp;"; ","")&amp;IF(AND(Config!$B$11&lt;&gt;"",F254&lt;&gt;"Sim",F254&lt;&gt;"N/A"),Config!$B$11&amp;"; ","")&amp;IF(AND(Config!$B$12&lt;&gt;"",G254&lt;&gt;"Sim",G254&lt;&gt;"N/A"),Config!$B$12&amp;"; ","")&amp;IF(AND(Config!$B$13&lt;&gt;"",H254&lt;&gt;"Sim",H254&lt;&gt;"N/A"),Config!$B$13&amp;"; ","")&amp;IF(AND(Config!$B$14&lt;&gt;"",I254&lt;&gt;"Sim",I254&lt;&gt;"N/A"),Config!$B$14&amp;"; ","")&amp;IF(AND(Config!$B$15&lt;&gt;"",J254&lt;&gt;"Sim",J254&lt;&gt;"N/A"),Config!$B$15&amp;"; ","")&amp;IF(AND(Config!$B$16&lt;&gt;"",K254&lt;&gt;"Sim",K254&lt;&gt;"N/A"),Config!$B$16&amp;"; ","")&amp;IF(AND(Config!$B$17&lt;&gt;"",L254&lt;&gt;"Sim",L254&lt;&gt;"N/A"),Config!$B$17&amp;"; ","")&amp;IF(AND(Config!$B$18&lt;&gt;"",M254&lt;&gt;"Sim",M254&lt;&gt;"N/A"),Config!$B$18&amp;"; ","")&amp;IF(AND(Config!$B$19&lt;&gt;"",N254&lt;&gt;"Sim",N254&lt;&gt;"N/A"),Config!$B$19&amp;"; ","")&amp;IF(AND($D254="Encerrado",Config!$D$10&lt;&gt;"",O254&lt;&gt;"Sim",O254&lt;&gt;"N/A"),Config!$D$10&amp;"; ","")&amp;IF(AND($D254="Encerrado",Config!$D$11&lt;&gt;"",P254&lt;&gt;"Sim",P254&lt;&gt;"N/A"),Config!$D$11&amp;"; ","")&amp;IF(AND($D254="Encerrado",Config!$D$12&lt;&gt;"",Q254&lt;&gt;"Sim",Q254&lt;&gt;"N/A"),Config!$D$12&amp;"; ","")&amp;IF(AND($D254="Encerrado",Config!$D$13&lt;&gt;"",R254&lt;&gt;"Sim",R254&lt;&gt;"N/A"),Config!$D$13&amp;"; ","")&amp;IF(AND($D254="Encerrado",Config!$D$14&lt;&gt;"",S254&lt;&gt;"Sim",S254&lt;&gt;"N/A"),Config!$D$14&amp;"; ","")&amp;IF(AND($D254="Encerrado",Config!$D$15&lt;&gt;"",T254&lt;&gt;"Sim",T254&lt;&gt;"N/A"),Config!$D$15&amp;"; ","")&amp;IF(AND($D254="Encerrado",Config!$D$16&lt;&gt;"",U254&lt;&gt;"Sim",U254&lt;&gt;"N/A"),Config!$D$16&amp;"; ","")&amp;IF(AND($D254="Encerrado",Config!$D$17&lt;&gt;"",V254&lt;&gt;"Sim",V254&lt;&gt;"N/A"),Config!$D$17&amp;"; ","")&amp;IF(AND($D254="Encerrado",Config!$D$18&lt;&gt;"",W254&lt;&gt;"Sim",W254&lt;&gt;"N/A"),Config!$D$18&amp;"; ","")&amp;IF(AND($D254="Encerrado",Config!$D$19&lt;&gt;"",X254&lt;&gt;"Sim",X254&lt;&gt;"N/A"),Config!$D$19&amp;"; ",""))</f>
        <v/>
      </c>
    </row>
    <row r="255">
      <c r="A255" s="29" t="n"/>
      <c r="B255" s="29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25">
        <f>IF(A255="","",IFERROR(COUNTIF(E255:N255,"Sim")/(Config!$B$21-COUNTIF(E255:N255,"N/A")),""))</f>
        <v/>
      </c>
      <c r="Z255" s="25">
        <f>IF(OR(A255="",D255&lt;&gt;"Encerrado"),"",IFERROR(COUNTIF(O255:X255,"Sim")/(Config!$D$21-COUNTIF(O255:X255,"N/A")),""))</f>
        <v/>
      </c>
      <c r="AA255" s="23">
        <f>IF(A255="","",MAX(0,Config!$B$21-COUNTIF(E255:N255,"Sim")-COUNTIF(E255:N255,"N/A")))</f>
        <v/>
      </c>
      <c r="AB255" s="23">
        <f>IF(OR(A255="",D255&lt;&gt;"Encerrado"),"",MAX(0,Config!$D$21-COUNTIF(O255:X255,"Sim")-COUNTIF(O255:X255,"N/A")))</f>
        <v/>
      </c>
      <c r="AC255" s="23">
        <f>IF(A255="","",AA255+IF(AB255="",0,AB255))</f>
        <v/>
      </c>
      <c r="AD255" s="24">
        <f>IF(OR(A255="",AF255=""),"",LEFT(AF255,LEN(AF255)-2))</f>
        <v/>
      </c>
      <c r="AE255" s="35">
        <f>IF(OR(A255="",AC255=0),0,AC255*100-ROW()/100000)</f>
        <v>0</v>
      </c>
      <c r="AF255" s="35">
        <f>IF(A255="","",IF(AND(Config!$B$10&lt;&gt;"",E255&lt;&gt;"Sim",E255&lt;&gt;"N/A"),Config!$B$10&amp;"; ","")&amp;IF(AND(Config!$B$11&lt;&gt;"",F255&lt;&gt;"Sim",F255&lt;&gt;"N/A"),Config!$B$11&amp;"; ","")&amp;IF(AND(Config!$B$12&lt;&gt;"",G255&lt;&gt;"Sim",G255&lt;&gt;"N/A"),Config!$B$12&amp;"; ","")&amp;IF(AND(Config!$B$13&lt;&gt;"",H255&lt;&gt;"Sim",H255&lt;&gt;"N/A"),Config!$B$13&amp;"; ","")&amp;IF(AND(Config!$B$14&lt;&gt;"",I255&lt;&gt;"Sim",I255&lt;&gt;"N/A"),Config!$B$14&amp;"; ","")&amp;IF(AND(Config!$B$15&lt;&gt;"",J255&lt;&gt;"Sim",J255&lt;&gt;"N/A"),Config!$B$15&amp;"; ","")&amp;IF(AND(Config!$B$16&lt;&gt;"",K255&lt;&gt;"Sim",K255&lt;&gt;"N/A"),Config!$B$16&amp;"; ","")&amp;IF(AND(Config!$B$17&lt;&gt;"",L255&lt;&gt;"Sim",L255&lt;&gt;"N/A"),Config!$B$17&amp;"; ","")&amp;IF(AND(Config!$B$18&lt;&gt;"",M255&lt;&gt;"Sim",M255&lt;&gt;"N/A"),Config!$B$18&amp;"; ","")&amp;IF(AND(Config!$B$19&lt;&gt;"",N255&lt;&gt;"Sim",N255&lt;&gt;"N/A"),Config!$B$19&amp;"; ","")&amp;IF(AND($D255="Encerrado",Config!$D$10&lt;&gt;"",O255&lt;&gt;"Sim",O255&lt;&gt;"N/A"),Config!$D$10&amp;"; ","")&amp;IF(AND($D255="Encerrado",Config!$D$11&lt;&gt;"",P255&lt;&gt;"Sim",P255&lt;&gt;"N/A"),Config!$D$11&amp;"; ","")&amp;IF(AND($D255="Encerrado",Config!$D$12&lt;&gt;"",Q255&lt;&gt;"Sim",Q255&lt;&gt;"N/A"),Config!$D$12&amp;"; ","")&amp;IF(AND($D255="Encerrado",Config!$D$13&lt;&gt;"",R255&lt;&gt;"Sim",R255&lt;&gt;"N/A"),Config!$D$13&amp;"; ","")&amp;IF(AND($D255="Encerrado",Config!$D$14&lt;&gt;"",S255&lt;&gt;"Sim",S255&lt;&gt;"N/A"),Config!$D$14&amp;"; ","")&amp;IF(AND($D255="Encerrado",Config!$D$15&lt;&gt;"",T255&lt;&gt;"Sim",T255&lt;&gt;"N/A"),Config!$D$15&amp;"; ","")&amp;IF(AND($D255="Encerrado",Config!$D$16&lt;&gt;"",U255&lt;&gt;"Sim",U255&lt;&gt;"N/A"),Config!$D$16&amp;"; ","")&amp;IF(AND($D255="Encerrado",Config!$D$17&lt;&gt;"",V255&lt;&gt;"Sim",V255&lt;&gt;"N/A"),Config!$D$17&amp;"; ","")&amp;IF(AND($D255="Encerrado",Config!$D$18&lt;&gt;"",W255&lt;&gt;"Sim",W255&lt;&gt;"N/A"),Config!$D$18&amp;"; ","")&amp;IF(AND($D255="Encerrado",Config!$D$19&lt;&gt;"",X255&lt;&gt;"Sim",X255&lt;&gt;"N/A"),Config!$D$19&amp;"; ",""))</f>
        <v/>
      </c>
    </row>
    <row r="256">
      <c r="A256" s="29" t="n"/>
      <c r="B256" s="29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25">
        <f>IF(A256="","",IFERROR(COUNTIF(E256:N256,"Sim")/(Config!$B$21-COUNTIF(E256:N256,"N/A")),""))</f>
        <v/>
      </c>
      <c r="Z256" s="25">
        <f>IF(OR(A256="",D256&lt;&gt;"Encerrado"),"",IFERROR(COUNTIF(O256:X256,"Sim")/(Config!$D$21-COUNTIF(O256:X256,"N/A")),""))</f>
        <v/>
      </c>
      <c r="AA256" s="23">
        <f>IF(A256="","",MAX(0,Config!$B$21-COUNTIF(E256:N256,"Sim")-COUNTIF(E256:N256,"N/A")))</f>
        <v/>
      </c>
      <c r="AB256" s="23">
        <f>IF(OR(A256="",D256&lt;&gt;"Encerrado"),"",MAX(0,Config!$D$21-COUNTIF(O256:X256,"Sim")-COUNTIF(O256:X256,"N/A")))</f>
        <v/>
      </c>
      <c r="AC256" s="23">
        <f>IF(A256="","",AA256+IF(AB256="",0,AB256))</f>
        <v/>
      </c>
      <c r="AD256" s="24">
        <f>IF(OR(A256="",AF256=""),"",LEFT(AF256,LEN(AF256)-2))</f>
        <v/>
      </c>
      <c r="AE256" s="35">
        <f>IF(OR(A256="",AC256=0),0,AC256*100-ROW()/100000)</f>
        <v>0</v>
      </c>
      <c r="AF256" s="35">
        <f>IF(A256="","",IF(AND(Config!$B$10&lt;&gt;"",E256&lt;&gt;"Sim",E256&lt;&gt;"N/A"),Config!$B$10&amp;"; ","")&amp;IF(AND(Config!$B$11&lt;&gt;"",F256&lt;&gt;"Sim",F256&lt;&gt;"N/A"),Config!$B$11&amp;"; ","")&amp;IF(AND(Config!$B$12&lt;&gt;"",G256&lt;&gt;"Sim",G256&lt;&gt;"N/A"),Config!$B$12&amp;"; ","")&amp;IF(AND(Config!$B$13&lt;&gt;"",H256&lt;&gt;"Sim",H256&lt;&gt;"N/A"),Config!$B$13&amp;"; ","")&amp;IF(AND(Config!$B$14&lt;&gt;"",I256&lt;&gt;"Sim",I256&lt;&gt;"N/A"),Config!$B$14&amp;"; ","")&amp;IF(AND(Config!$B$15&lt;&gt;"",J256&lt;&gt;"Sim",J256&lt;&gt;"N/A"),Config!$B$15&amp;"; ","")&amp;IF(AND(Config!$B$16&lt;&gt;"",K256&lt;&gt;"Sim",K256&lt;&gt;"N/A"),Config!$B$16&amp;"; ","")&amp;IF(AND(Config!$B$17&lt;&gt;"",L256&lt;&gt;"Sim",L256&lt;&gt;"N/A"),Config!$B$17&amp;"; ","")&amp;IF(AND(Config!$B$18&lt;&gt;"",M256&lt;&gt;"Sim",M256&lt;&gt;"N/A"),Config!$B$18&amp;"; ","")&amp;IF(AND(Config!$B$19&lt;&gt;"",N256&lt;&gt;"Sim",N256&lt;&gt;"N/A"),Config!$B$19&amp;"; ","")&amp;IF(AND($D256="Encerrado",Config!$D$10&lt;&gt;"",O256&lt;&gt;"Sim",O256&lt;&gt;"N/A"),Config!$D$10&amp;"; ","")&amp;IF(AND($D256="Encerrado",Config!$D$11&lt;&gt;"",P256&lt;&gt;"Sim",P256&lt;&gt;"N/A"),Config!$D$11&amp;"; ","")&amp;IF(AND($D256="Encerrado",Config!$D$12&lt;&gt;"",Q256&lt;&gt;"Sim",Q256&lt;&gt;"N/A"),Config!$D$12&amp;"; ","")&amp;IF(AND($D256="Encerrado",Config!$D$13&lt;&gt;"",R256&lt;&gt;"Sim",R256&lt;&gt;"N/A"),Config!$D$13&amp;"; ","")&amp;IF(AND($D256="Encerrado",Config!$D$14&lt;&gt;"",S256&lt;&gt;"Sim",S256&lt;&gt;"N/A"),Config!$D$14&amp;"; ","")&amp;IF(AND($D256="Encerrado",Config!$D$15&lt;&gt;"",T256&lt;&gt;"Sim",T256&lt;&gt;"N/A"),Config!$D$15&amp;"; ","")&amp;IF(AND($D256="Encerrado",Config!$D$16&lt;&gt;"",U256&lt;&gt;"Sim",U256&lt;&gt;"N/A"),Config!$D$16&amp;"; ","")&amp;IF(AND($D256="Encerrado",Config!$D$17&lt;&gt;"",V256&lt;&gt;"Sim",V256&lt;&gt;"N/A"),Config!$D$17&amp;"; ","")&amp;IF(AND($D256="Encerrado",Config!$D$18&lt;&gt;"",W256&lt;&gt;"Sim",W256&lt;&gt;"N/A"),Config!$D$18&amp;"; ","")&amp;IF(AND($D256="Encerrado",Config!$D$19&lt;&gt;"",X256&lt;&gt;"Sim",X256&lt;&gt;"N/A"),Config!$D$19&amp;"; ",""))</f>
        <v/>
      </c>
    </row>
    <row r="257">
      <c r="A257" s="29" t="n"/>
      <c r="B257" s="29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25">
        <f>IF(A257="","",IFERROR(COUNTIF(E257:N257,"Sim")/(Config!$B$21-COUNTIF(E257:N257,"N/A")),""))</f>
        <v/>
      </c>
      <c r="Z257" s="25">
        <f>IF(OR(A257="",D257&lt;&gt;"Encerrado"),"",IFERROR(COUNTIF(O257:X257,"Sim")/(Config!$D$21-COUNTIF(O257:X257,"N/A")),""))</f>
        <v/>
      </c>
      <c r="AA257" s="23">
        <f>IF(A257="","",MAX(0,Config!$B$21-COUNTIF(E257:N257,"Sim")-COUNTIF(E257:N257,"N/A")))</f>
        <v/>
      </c>
      <c r="AB257" s="23">
        <f>IF(OR(A257="",D257&lt;&gt;"Encerrado"),"",MAX(0,Config!$D$21-COUNTIF(O257:X257,"Sim")-COUNTIF(O257:X257,"N/A")))</f>
        <v/>
      </c>
      <c r="AC257" s="23">
        <f>IF(A257="","",AA257+IF(AB257="",0,AB257))</f>
        <v/>
      </c>
      <c r="AD257" s="24">
        <f>IF(OR(A257="",AF257=""),"",LEFT(AF257,LEN(AF257)-2))</f>
        <v/>
      </c>
      <c r="AE257" s="35">
        <f>IF(OR(A257="",AC257=0),0,AC257*100-ROW()/100000)</f>
        <v>0</v>
      </c>
      <c r="AF257" s="35">
        <f>IF(A257="","",IF(AND(Config!$B$10&lt;&gt;"",E257&lt;&gt;"Sim",E257&lt;&gt;"N/A"),Config!$B$10&amp;"; ","")&amp;IF(AND(Config!$B$11&lt;&gt;"",F257&lt;&gt;"Sim",F257&lt;&gt;"N/A"),Config!$B$11&amp;"; ","")&amp;IF(AND(Config!$B$12&lt;&gt;"",G257&lt;&gt;"Sim",G257&lt;&gt;"N/A"),Config!$B$12&amp;"; ","")&amp;IF(AND(Config!$B$13&lt;&gt;"",H257&lt;&gt;"Sim",H257&lt;&gt;"N/A"),Config!$B$13&amp;"; ","")&amp;IF(AND(Config!$B$14&lt;&gt;"",I257&lt;&gt;"Sim",I257&lt;&gt;"N/A"),Config!$B$14&amp;"; ","")&amp;IF(AND(Config!$B$15&lt;&gt;"",J257&lt;&gt;"Sim",J257&lt;&gt;"N/A"),Config!$B$15&amp;"; ","")&amp;IF(AND(Config!$B$16&lt;&gt;"",K257&lt;&gt;"Sim",K257&lt;&gt;"N/A"),Config!$B$16&amp;"; ","")&amp;IF(AND(Config!$B$17&lt;&gt;"",L257&lt;&gt;"Sim",L257&lt;&gt;"N/A"),Config!$B$17&amp;"; ","")&amp;IF(AND(Config!$B$18&lt;&gt;"",M257&lt;&gt;"Sim",M257&lt;&gt;"N/A"),Config!$B$18&amp;"; ","")&amp;IF(AND(Config!$B$19&lt;&gt;"",N257&lt;&gt;"Sim",N257&lt;&gt;"N/A"),Config!$B$19&amp;"; ","")&amp;IF(AND($D257="Encerrado",Config!$D$10&lt;&gt;"",O257&lt;&gt;"Sim",O257&lt;&gt;"N/A"),Config!$D$10&amp;"; ","")&amp;IF(AND($D257="Encerrado",Config!$D$11&lt;&gt;"",P257&lt;&gt;"Sim",P257&lt;&gt;"N/A"),Config!$D$11&amp;"; ","")&amp;IF(AND($D257="Encerrado",Config!$D$12&lt;&gt;"",Q257&lt;&gt;"Sim",Q257&lt;&gt;"N/A"),Config!$D$12&amp;"; ","")&amp;IF(AND($D257="Encerrado",Config!$D$13&lt;&gt;"",R257&lt;&gt;"Sim",R257&lt;&gt;"N/A"),Config!$D$13&amp;"; ","")&amp;IF(AND($D257="Encerrado",Config!$D$14&lt;&gt;"",S257&lt;&gt;"Sim",S257&lt;&gt;"N/A"),Config!$D$14&amp;"; ","")&amp;IF(AND($D257="Encerrado",Config!$D$15&lt;&gt;"",T257&lt;&gt;"Sim",T257&lt;&gt;"N/A"),Config!$D$15&amp;"; ","")&amp;IF(AND($D257="Encerrado",Config!$D$16&lt;&gt;"",U257&lt;&gt;"Sim",U257&lt;&gt;"N/A"),Config!$D$16&amp;"; ","")&amp;IF(AND($D257="Encerrado",Config!$D$17&lt;&gt;"",V257&lt;&gt;"Sim",V257&lt;&gt;"N/A"),Config!$D$17&amp;"; ","")&amp;IF(AND($D257="Encerrado",Config!$D$18&lt;&gt;"",W257&lt;&gt;"Sim",W257&lt;&gt;"N/A"),Config!$D$18&amp;"; ","")&amp;IF(AND($D257="Encerrado",Config!$D$19&lt;&gt;"",X257&lt;&gt;"Sim",X257&lt;&gt;"N/A"),Config!$D$19&amp;"; ",""))</f>
        <v/>
      </c>
    </row>
    <row r="258">
      <c r="A258" s="29" t="n"/>
      <c r="B258" s="29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25">
        <f>IF(A258="","",IFERROR(COUNTIF(E258:N258,"Sim")/(Config!$B$21-COUNTIF(E258:N258,"N/A")),""))</f>
        <v/>
      </c>
      <c r="Z258" s="25">
        <f>IF(OR(A258="",D258&lt;&gt;"Encerrado"),"",IFERROR(COUNTIF(O258:X258,"Sim")/(Config!$D$21-COUNTIF(O258:X258,"N/A")),""))</f>
        <v/>
      </c>
      <c r="AA258" s="23">
        <f>IF(A258="","",MAX(0,Config!$B$21-COUNTIF(E258:N258,"Sim")-COUNTIF(E258:N258,"N/A")))</f>
        <v/>
      </c>
      <c r="AB258" s="23">
        <f>IF(OR(A258="",D258&lt;&gt;"Encerrado"),"",MAX(0,Config!$D$21-COUNTIF(O258:X258,"Sim")-COUNTIF(O258:X258,"N/A")))</f>
        <v/>
      </c>
      <c r="AC258" s="23">
        <f>IF(A258="","",AA258+IF(AB258="",0,AB258))</f>
        <v/>
      </c>
      <c r="AD258" s="24">
        <f>IF(OR(A258="",AF258=""),"",LEFT(AF258,LEN(AF258)-2))</f>
        <v/>
      </c>
      <c r="AE258" s="35">
        <f>IF(OR(A258="",AC258=0),0,AC258*100-ROW()/100000)</f>
        <v>0</v>
      </c>
      <c r="AF258" s="35">
        <f>IF(A258="","",IF(AND(Config!$B$10&lt;&gt;"",E258&lt;&gt;"Sim",E258&lt;&gt;"N/A"),Config!$B$10&amp;"; ","")&amp;IF(AND(Config!$B$11&lt;&gt;"",F258&lt;&gt;"Sim",F258&lt;&gt;"N/A"),Config!$B$11&amp;"; ","")&amp;IF(AND(Config!$B$12&lt;&gt;"",G258&lt;&gt;"Sim",G258&lt;&gt;"N/A"),Config!$B$12&amp;"; ","")&amp;IF(AND(Config!$B$13&lt;&gt;"",H258&lt;&gt;"Sim",H258&lt;&gt;"N/A"),Config!$B$13&amp;"; ","")&amp;IF(AND(Config!$B$14&lt;&gt;"",I258&lt;&gt;"Sim",I258&lt;&gt;"N/A"),Config!$B$14&amp;"; ","")&amp;IF(AND(Config!$B$15&lt;&gt;"",J258&lt;&gt;"Sim",J258&lt;&gt;"N/A"),Config!$B$15&amp;"; ","")&amp;IF(AND(Config!$B$16&lt;&gt;"",K258&lt;&gt;"Sim",K258&lt;&gt;"N/A"),Config!$B$16&amp;"; ","")&amp;IF(AND(Config!$B$17&lt;&gt;"",L258&lt;&gt;"Sim",L258&lt;&gt;"N/A"),Config!$B$17&amp;"; ","")&amp;IF(AND(Config!$B$18&lt;&gt;"",M258&lt;&gt;"Sim",M258&lt;&gt;"N/A"),Config!$B$18&amp;"; ","")&amp;IF(AND(Config!$B$19&lt;&gt;"",N258&lt;&gt;"Sim",N258&lt;&gt;"N/A"),Config!$B$19&amp;"; ","")&amp;IF(AND($D258="Encerrado",Config!$D$10&lt;&gt;"",O258&lt;&gt;"Sim",O258&lt;&gt;"N/A"),Config!$D$10&amp;"; ","")&amp;IF(AND($D258="Encerrado",Config!$D$11&lt;&gt;"",P258&lt;&gt;"Sim",P258&lt;&gt;"N/A"),Config!$D$11&amp;"; ","")&amp;IF(AND($D258="Encerrado",Config!$D$12&lt;&gt;"",Q258&lt;&gt;"Sim",Q258&lt;&gt;"N/A"),Config!$D$12&amp;"; ","")&amp;IF(AND($D258="Encerrado",Config!$D$13&lt;&gt;"",R258&lt;&gt;"Sim",R258&lt;&gt;"N/A"),Config!$D$13&amp;"; ","")&amp;IF(AND($D258="Encerrado",Config!$D$14&lt;&gt;"",S258&lt;&gt;"Sim",S258&lt;&gt;"N/A"),Config!$D$14&amp;"; ","")&amp;IF(AND($D258="Encerrado",Config!$D$15&lt;&gt;"",T258&lt;&gt;"Sim",T258&lt;&gt;"N/A"),Config!$D$15&amp;"; ","")&amp;IF(AND($D258="Encerrado",Config!$D$16&lt;&gt;"",U258&lt;&gt;"Sim",U258&lt;&gt;"N/A"),Config!$D$16&amp;"; ","")&amp;IF(AND($D258="Encerrado",Config!$D$17&lt;&gt;"",V258&lt;&gt;"Sim",V258&lt;&gt;"N/A"),Config!$D$17&amp;"; ","")&amp;IF(AND($D258="Encerrado",Config!$D$18&lt;&gt;"",W258&lt;&gt;"Sim",W258&lt;&gt;"N/A"),Config!$D$18&amp;"; ","")&amp;IF(AND($D258="Encerrado",Config!$D$19&lt;&gt;"",X258&lt;&gt;"Sim",X258&lt;&gt;"N/A"),Config!$D$19&amp;"; ",""))</f>
        <v/>
      </c>
    </row>
    <row r="259">
      <c r="A259" s="29" t="n"/>
      <c r="B259" s="29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25">
        <f>IF(A259="","",IFERROR(COUNTIF(E259:N259,"Sim")/(Config!$B$21-COUNTIF(E259:N259,"N/A")),""))</f>
        <v/>
      </c>
      <c r="Z259" s="25">
        <f>IF(OR(A259="",D259&lt;&gt;"Encerrado"),"",IFERROR(COUNTIF(O259:X259,"Sim")/(Config!$D$21-COUNTIF(O259:X259,"N/A")),""))</f>
        <v/>
      </c>
      <c r="AA259" s="23">
        <f>IF(A259="","",MAX(0,Config!$B$21-COUNTIF(E259:N259,"Sim")-COUNTIF(E259:N259,"N/A")))</f>
        <v/>
      </c>
      <c r="AB259" s="23">
        <f>IF(OR(A259="",D259&lt;&gt;"Encerrado"),"",MAX(0,Config!$D$21-COUNTIF(O259:X259,"Sim")-COUNTIF(O259:X259,"N/A")))</f>
        <v/>
      </c>
      <c r="AC259" s="23">
        <f>IF(A259="","",AA259+IF(AB259="",0,AB259))</f>
        <v/>
      </c>
      <c r="AD259" s="24">
        <f>IF(OR(A259="",AF259=""),"",LEFT(AF259,LEN(AF259)-2))</f>
        <v/>
      </c>
      <c r="AE259" s="35">
        <f>IF(OR(A259="",AC259=0),0,AC259*100-ROW()/100000)</f>
        <v>0</v>
      </c>
      <c r="AF259" s="35">
        <f>IF(A259="","",IF(AND(Config!$B$10&lt;&gt;"",E259&lt;&gt;"Sim",E259&lt;&gt;"N/A"),Config!$B$10&amp;"; ","")&amp;IF(AND(Config!$B$11&lt;&gt;"",F259&lt;&gt;"Sim",F259&lt;&gt;"N/A"),Config!$B$11&amp;"; ","")&amp;IF(AND(Config!$B$12&lt;&gt;"",G259&lt;&gt;"Sim",G259&lt;&gt;"N/A"),Config!$B$12&amp;"; ","")&amp;IF(AND(Config!$B$13&lt;&gt;"",H259&lt;&gt;"Sim",H259&lt;&gt;"N/A"),Config!$B$13&amp;"; ","")&amp;IF(AND(Config!$B$14&lt;&gt;"",I259&lt;&gt;"Sim",I259&lt;&gt;"N/A"),Config!$B$14&amp;"; ","")&amp;IF(AND(Config!$B$15&lt;&gt;"",J259&lt;&gt;"Sim",J259&lt;&gt;"N/A"),Config!$B$15&amp;"; ","")&amp;IF(AND(Config!$B$16&lt;&gt;"",K259&lt;&gt;"Sim",K259&lt;&gt;"N/A"),Config!$B$16&amp;"; ","")&amp;IF(AND(Config!$B$17&lt;&gt;"",L259&lt;&gt;"Sim",L259&lt;&gt;"N/A"),Config!$B$17&amp;"; ","")&amp;IF(AND(Config!$B$18&lt;&gt;"",M259&lt;&gt;"Sim",M259&lt;&gt;"N/A"),Config!$B$18&amp;"; ","")&amp;IF(AND(Config!$B$19&lt;&gt;"",N259&lt;&gt;"Sim",N259&lt;&gt;"N/A"),Config!$B$19&amp;"; ","")&amp;IF(AND($D259="Encerrado",Config!$D$10&lt;&gt;"",O259&lt;&gt;"Sim",O259&lt;&gt;"N/A"),Config!$D$10&amp;"; ","")&amp;IF(AND($D259="Encerrado",Config!$D$11&lt;&gt;"",P259&lt;&gt;"Sim",P259&lt;&gt;"N/A"),Config!$D$11&amp;"; ","")&amp;IF(AND($D259="Encerrado",Config!$D$12&lt;&gt;"",Q259&lt;&gt;"Sim",Q259&lt;&gt;"N/A"),Config!$D$12&amp;"; ","")&amp;IF(AND($D259="Encerrado",Config!$D$13&lt;&gt;"",R259&lt;&gt;"Sim",R259&lt;&gt;"N/A"),Config!$D$13&amp;"; ","")&amp;IF(AND($D259="Encerrado",Config!$D$14&lt;&gt;"",S259&lt;&gt;"Sim",S259&lt;&gt;"N/A"),Config!$D$14&amp;"; ","")&amp;IF(AND($D259="Encerrado",Config!$D$15&lt;&gt;"",T259&lt;&gt;"Sim",T259&lt;&gt;"N/A"),Config!$D$15&amp;"; ","")&amp;IF(AND($D259="Encerrado",Config!$D$16&lt;&gt;"",U259&lt;&gt;"Sim",U259&lt;&gt;"N/A"),Config!$D$16&amp;"; ","")&amp;IF(AND($D259="Encerrado",Config!$D$17&lt;&gt;"",V259&lt;&gt;"Sim",V259&lt;&gt;"N/A"),Config!$D$17&amp;"; ","")&amp;IF(AND($D259="Encerrado",Config!$D$18&lt;&gt;"",W259&lt;&gt;"Sim",W259&lt;&gt;"N/A"),Config!$D$18&amp;"; ","")&amp;IF(AND($D259="Encerrado",Config!$D$19&lt;&gt;"",X259&lt;&gt;"Sim",X259&lt;&gt;"N/A"),Config!$D$19&amp;"; ",""))</f>
        <v/>
      </c>
    </row>
    <row r="260">
      <c r="A260" s="29" t="n"/>
      <c r="B260" s="29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25">
        <f>IF(A260="","",IFERROR(COUNTIF(E260:N260,"Sim")/(Config!$B$21-COUNTIF(E260:N260,"N/A")),""))</f>
        <v/>
      </c>
      <c r="Z260" s="25">
        <f>IF(OR(A260="",D260&lt;&gt;"Encerrado"),"",IFERROR(COUNTIF(O260:X260,"Sim")/(Config!$D$21-COUNTIF(O260:X260,"N/A")),""))</f>
        <v/>
      </c>
      <c r="AA260" s="23">
        <f>IF(A260="","",MAX(0,Config!$B$21-COUNTIF(E260:N260,"Sim")-COUNTIF(E260:N260,"N/A")))</f>
        <v/>
      </c>
      <c r="AB260" s="23">
        <f>IF(OR(A260="",D260&lt;&gt;"Encerrado"),"",MAX(0,Config!$D$21-COUNTIF(O260:X260,"Sim")-COUNTIF(O260:X260,"N/A")))</f>
        <v/>
      </c>
      <c r="AC260" s="23">
        <f>IF(A260="","",AA260+IF(AB260="",0,AB260))</f>
        <v/>
      </c>
      <c r="AD260" s="24">
        <f>IF(OR(A260="",AF260=""),"",LEFT(AF260,LEN(AF260)-2))</f>
        <v/>
      </c>
      <c r="AE260" s="35">
        <f>IF(OR(A260="",AC260=0),0,AC260*100-ROW()/100000)</f>
        <v>0</v>
      </c>
      <c r="AF260" s="35">
        <f>IF(A260="","",IF(AND(Config!$B$10&lt;&gt;"",E260&lt;&gt;"Sim",E260&lt;&gt;"N/A"),Config!$B$10&amp;"; ","")&amp;IF(AND(Config!$B$11&lt;&gt;"",F260&lt;&gt;"Sim",F260&lt;&gt;"N/A"),Config!$B$11&amp;"; ","")&amp;IF(AND(Config!$B$12&lt;&gt;"",G260&lt;&gt;"Sim",G260&lt;&gt;"N/A"),Config!$B$12&amp;"; ","")&amp;IF(AND(Config!$B$13&lt;&gt;"",H260&lt;&gt;"Sim",H260&lt;&gt;"N/A"),Config!$B$13&amp;"; ","")&amp;IF(AND(Config!$B$14&lt;&gt;"",I260&lt;&gt;"Sim",I260&lt;&gt;"N/A"),Config!$B$14&amp;"; ","")&amp;IF(AND(Config!$B$15&lt;&gt;"",J260&lt;&gt;"Sim",J260&lt;&gt;"N/A"),Config!$B$15&amp;"; ","")&amp;IF(AND(Config!$B$16&lt;&gt;"",K260&lt;&gt;"Sim",K260&lt;&gt;"N/A"),Config!$B$16&amp;"; ","")&amp;IF(AND(Config!$B$17&lt;&gt;"",L260&lt;&gt;"Sim",L260&lt;&gt;"N/A"),Config!$B$17&amp;"; ","")&amp;IF(AND(Config!$B$18&lt;&gt;"",M260&lt;&gt;"Sim",M260&lt;&gt;"N/A"),Config!$B$18&amp;"; ","")&amp;IF(AND(Config!$B$19&lt;&gt;"",N260&lt;&gt;"Sim",N260&lt;&gt;"N/A"),Config!$B$19&amp;"; ","")&amp;IF(AND($D260="Encerrado",Config!$D$10&lt;&gt;"",O260&lt;&gt;"Sim",O260&lt;&gt;"N/A"),Config!$D$10&amp;"; ","")&amp;IF(AND($D260="Encerrado",Config!$D$11&lt;&gt;"",P260&lt;&gt;"Sim",P260&lt;&gt;"N/A"),Config!$D$11&amp;"; ","")&amp;IF(AND($D260="Encerrado",Config!$D$12&lt;&gt;"",Q260&lt;&gt;"Sim",Q260&lt;&gt;"N/A"),Config!$D$12&amp;"; ","")&amp;IF(AND($D260="Encerrado",Config!$D$13&lt;&gt;"",R260&lt;&gt;"Sim",R260&lt;&gt;"N/A"),Config!$D$13&amp;"; ","")&amp;IF(AND($D260="Encerrado",Config!$D$14&lt;&gt;"",S260&lt;&gt;"Sim",S260&lt;&gt;"N/A"),Config!$D$14&amp;"; ","")&amp;IF(AND($D260="Encerrado",Config!$D$15&lt;&gt;"",T260&lt;&gt;"Sim",T260&lt;&gt;"N/A"),Config!$D$15&amp;"; ","")&amp;IF(AND($D260="Encerrado",Config!$D$16&lt;&gt;"",U260&lt;&gt;"Sim",U260&lt;&gt;"N/A"),Config!$D$16&amp;"; ","")&amp;IF(AND($D260="Encerrado",Config!$D$17&lt;&gt;"",V260&lt;&gt;"Sim",V260&lt;&gt;"N/A"),Config!$D$17&amp;"; ","")&amp;IF(AND($D260="Encerrado",Config!$D$18&lt;&gt;"",W260&lt;&gt;"Sim",W260&lt;&gt;"N/A"),Config!$D$18&amp;"; ","")&amp;IF(AND($D260="Encerrado",Config!$D$19&lt;&gt;"",X260&lt;&gt;"Sim",X260&lt;&gt;"N/A"),Config!$D$19&amp;"; ",""))</f>
        <v/>
      </c>
    </row>
    <row r="261">
      <c r="A261" s="29" t="n"/>
      <c r="B261" s="29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25">
        <f>IF(A261="","",IFERROR(COUNTIF(E261:N261,"Sim")/(Config!$B$21-COUNTIF(E261:N261,"N/A")),""))</f>
        <v/>
      </c>
      <c r="Z261" s="25">
        <f>IF(OR(A261="",D261&lt;&gt;"Encerrado"),"",IFERROR(COUNTIF(O261:X261,"Sim")/(Config!$D$21-COUNTIF(O261:X261,"N/A")),""))</f>
        <v/>
      </c>
      <c r="AA261" s="23">
        <f>IF(A261="","",MAX(0,Config!$B$21-COUNTIF(E261:N261,"Sim")-COUNTIF(E261:N261,"N/A")))</f>
        <v/>
      </c>
      <c r="AB261" s="23">
        <f>IF(OR(A261="",D261&lt;&gt;"Encerrado"),"",MAX(0,Config!$D$21-COUNTIF(O261:X261,"Sim")-COUNTIF(O261:X261,"N/A")))</f>
        <v/>
      </c>
      <c r="AC261" s="23">
        <f>IF(A261="","",AA261+IF(AB261="",0,AB261))</f>
        <v/>
      </c>
      <c r="AD261" s="24">
        <f>IF(OR(A261="",AF261=""),"",LEFT(AF261,LEN(AF261)-2))</f>
        <v/>
      </c>
      <c r="AE261" s="35">
        <f>IF(OR(A261="",AC261=0),0,AC261*100-ROW()/100000)</f>
        <v>0</v>
      </c>
      <c r="AF261" s="35">
        <f>IF(A261="","",IF(AND(Config!$B$10&lt;&gt;"",E261&lt;&gt;"Sim",E261&lt;&gt;"N/A"),Config!$B$10&amp;"; ","")&amp;IF(AND(Config!$B$11&lt;&gt;"",F261&lt;&gt;"Sim",F261&lt;&gt;"N/A"),Config!$B$11&amp;"; ","")&amp;IF(AND(Config!$B$12&lt;&gt;"",G261&lt;&gt;"Sim",G261&lt;&gt;"N/A"),Config!$B$12&amp;"; ","")&amp;IF(AND(Config!$B$13&lt;&gt;"",H261&lt;&gt;"Sim",H261&lt;&gt;"N/A"),Config!$B$13&amp;"; ","")&amp;IF(AND(Config!$B$14&lt;&gt;"",I261&lt;&gt;"Sim",I261&lt;&gt;"N/A"),Config!$B$14&amp;"; ","")&amp;IF(AND(Config!$B$15&lt;&gt;"",J261&lt;&gt;"Sim",J261&lt;&gt;"N/A"),Config!$B$15&amp;"; ","")&amp;IF(AND(Config!$B$16&lt;&gt;"",K261&lt;&gt;"Sim",K261&lt;&gt;"N/A"),Config!$B$16&amp;"; ","")&amp;IF(AND(Config!$B$17&lt;&gt;"",L261&lt;&gt;"Sim",L261&lt;&gt;"N/A"),Config!$B$17&amp;"; ","")&amp;IF(AND(Config!$B$18&lt;&gt;"",M261&lt;&gt;"Sim",M261&lt;&gt;"N/A"),Config!$B$18&amp;"; ","")&amp;IF(AND(Config!$B$19&lt;&gt;"",N261&lt;&gt;"Sim",N261&lt;&gt;"N/A"),Config!$B$19&amp;"; ","")&amp;IF(AND($D261="Encerrado",Config!$D$10&lt;&gt;"",O261&lt;&gt;"Sim",O261&lt;&gt;"N/A"),Config!$D$10&amp;"; ","")&amp;IF(AND($D261="Encerrado",Config!$D$11&lt;&gt;"",P261&lt;&gt;"Sim",P261&lt;&gt;"N/A"),Config!$D$11&amp;"; ","")&amp;IF(AND($D261="Encerrado",Config!$D$12&lt;&gt;"",Q261&lt;&gt;"Sim",Q261&lt;&gt;"N/A"),Config!$D$12&amp;"; ","")&amp;IF(AND($D261="Encerrado",Config!$D$13&lt;&gt;"",R261&lt;&gt;"Sim",R261&lt;&gt;"N/A"),Config!$D$13&amp;"; ","")&amp;IF(AND($D261="Encerrado",Config!$D$14&lt;&gt;"",S261&lt;&gt;"Sim",S261&lt;&gt;"N/A"),Config!$D$14&amp;"; ","")&amp;IF(AND($D261="Encerrado",Config!$D$15&lt;&gt;"",T261&lt;&gt;"Sim",T261&lt;&gt;"N/A"),Config!$D$15&amp;"; ","")&amp;IF(AND($D261="Encerrado",Config!$D$16&lt;&gt;"",U261&lt;&gt;"Sim",U261&lt;&gt;"N/A"),Config!$D$16&amp;"; ","")&amp;IF(AND($D261="Encerrado",Config!$D$17&lt;&gt;"",V261&lt;&gt;"Sim",V261&lt;&gt;"N/A"),Config!$D$17&amp;"; ","")&amp;IF(AND($D261="Encerrado",Config!$D$18&lt;&gt;"",W261&lt;&gt;"Sim",W261&lt;&gt;"N/A"),Config!$D$18&amp;"; ","")&amp;IF(AND($D261="Encerrado",Config!$D$19&lt;&gt;"",X261&lt;&gt;"Sim",X261&lt;&gt;"N/A"),Config!$D$19&amp;"; ",""))</f>
        <v/>
      </c>
    </row>
    <row r="262">
      <c r="A262" s="29" t="n"/>
      <c r="B262" s="29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25">
        <f>IF(A262="","",IFERROR(COUNTIF(E262:N262,"Sim")/(Config!$B$21-COUNTIF(E262:N262,"N/A")),""))</f>
        <v/>
      </c>
      <c r="Z262" s="25">
        <f>IF(OR(A262="",D262&lt;&gt;"Encerrado"),"",IFERROR(COUNTIF(O262:X262,"Sim")/(Config!$D$21-COUNTIF(O262:X262,"N/A")),""))</f>
        <v/>
      </c>
      <c r="AA262" s="23">
        <f>IF(A262="","",MAX(0,Config!$B$21-COUNTIF(E262:N262,"Sim")-COUNTIF(E262:N262,"N/A")))</f>
        <v/>
      </c>
      <c r="AB262" s="23">
        <f>IF(OR(A262="",D262&lt;&gt;"Encerrado"),"",MAX(0,Config!$D$21-COUNTIF(O262:X262,"Sim")-COUNTIF(O262:X262,"N/A")))</f>
        <v/>
      </c>
      <c r="AC262" s="23">
        <f>IF(A262="","",AA262+IF(AB262="",0,AB262))</f>
        <v/>
      </c>
      <c r="AD262" s="24">
        <f>IF(OR(A262="",AF262=""),"",LEFT(AF262,LEN(AF262)-2))</f>
        <v/>
      </c>
      <c r="AE262" s="35">
        <f>IF(OR(A262="",AC262=0),0,AC262*100-ROW()/100000)</f>
        <v>0</v>
      </c>
      <c r="AF262" s="35">
        <f>IF(A262="","",IF(AND(Config!$B$10&lt;&gt;"",E262&lt;&gt;"Sim",E262&lt;&gt;"N/A"),Config!$B$10&amp;"; ","")&amp;IF(AND(Config!$B$11&lt;&gt;"",F262&lt;&gt;"Sim",F262&lt;&gt;"N/A"),Config!$B$11&amp;"; ","")&amp;IF(AND(Config!$B$12&lt;&gt;"",G262&lt;&gt;"Sim",G262&lt;&gt;"N/A"),Config!$B$12&amp;"; ","")&amp;IF(AND(Config!$B$13&lt;&gt;"",H262&lt;&gt;"Sim",H262&lt;&gt;"N/A"),Config!$B$13&amp;"; ","")&amp;IF(AND(Config!$B$14&lt;&gt;"",I262&lt;&gt;"Sim",I262&lt;&gt;"N/A"),Config!$B$14&amp;"; ","")&amp;IF(AND(Config!$B$15&lt;&gt;"",J262&lt;&gt;"Sim",J262&lt;&gt;"N/A"),Config!$B$15&amp;"; ","")&amp;IF(AND(Config!$B$16&lt;&gt;"",K262&lt;&gt;"Sim",K262&lt;&gt;"N/A"),Config!$B$16&amp;"; ","")&amp;IF(AND(Config!$B$17&lt;&gt;"",L262&lt;&gt;"Sim",L262&lt;&gt;"N/A"),Config!$B$17&amp;"; ","")&amp;IF(AND(Config!$B$18&lt;&gt;"",M262&lt;&gt;"Sim",M262&lt;&gt;"N/A"),Config!$B$18&amp;"; ","")&amp;IF(AND(Config!$B$19&lt;&gt;"",N262&lt;&gt;"Sim",N262&lt;&gt;"N/A"),Config!$B$19&amp;"; ","")&amp;IF(AND($D262="Encerrado",Config!$D$10&lt;&gt;"",O262&lt;&gt;"Sim",O262&lt;&gt;"N/A"),Config!$D$10&amp;"; ","")&amp;IF(AND($D262="Encerrado",Config!$D$11&lt;&gt;"",P262&lt;&gt;"Sim",P262&lt;&gt;"N/A"),Config!$D$11&amp;"; ","")&amp;IF(AND($D262="Encerrado",Config!$D$12&lt;&gt;"",Q262&lt;&gt;"Sim",Q262&lt;&gt;"N/A"),Config!$D$12&amp;"; ","")&amp;IF(AND($D262="Encerrado",Config!$D$13&lt;&gt;"",R262&lt;&gt;"Sim",R262&lt;&gt;"N/A"),Config!$D$13&amp;"; ","")&amp;IF(AND($D262="Encerrado",Config!$D$14&lt;&gt;"",S262&lt;&gt;"Sim",S262&lt;&gt;"N/A"),Config!$D$14&amp;"; ","")&amp;IF(AND($D262="Encerrado",Config!$D$15&lt;&gt;"",T262&lt;&gt;"Sim",T262&lt;&gt;"N/A"),Config!$D$15&amp;"; ","")&amp;IF(AND($D262="Encerrado",Config!$D$16&lt;&gt;"",U262&lt;&gt;"Sim",U262&lt;&gt;"N/A"),Config!$D$16&amp;"; ","")&amp;IF(AND($D262="Encerrado",Config!$D$17&lt;&gt;"",V262&lt;&gt;"Sim",V262&lt;&gt;"N/A"),Config!$D$17&amp;"; ","")&amp;IF(AND($D262="Encerrado",Config!$D$18&lt;&gt;"",W262&lt;&gt;"Sim",W262&lt;&gt;"N/A"),Config!$D$18&amp;"; ","")&amp;IF(AND($D262="Encerrado",Config!$D$19&lt;&gt;"",X262&lt;&gt;"Sim",X262&lt;&gt;"N/A"),Config!$D$19&amp;"; ",""))</f>
        <v/>
      </c>
    </row>
    <row r="263">
      <c r="A263" s="29" t="n"/>
      <c r="B263" s="29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25">
        <f>IF(A263="","",IFERROR(COUNTIF(E263:N263,"Sim")/(Config!$B$21-COUNTIF(E263:N263,"N/A")),""))</f>
        <v/>
      </c>
      <c r="Z263" s="25">
        <f>IF(OR(A263="",D263&lt;&gt;"Encerrado"),"",IFERROR(COUNTIF(O263:X263,"Sim")/(Config!$D$21-COUNTIF(O263:X263,"N/A")),""))</f>
        <v/>
      </c>
      <c r="AA263" s="23">
        <f>IF(A263="","",MAX(0,Config!$B$21-COUNTIF(E263:N263,"Sim")-COUNTIF(E263:N263,"N/A")))</f>
        <v/>
      </c>
      <c r="AB263" s="23">
        <f>IF(OR(A263="",D263&lt;&gt;"Encerrado"),"",MAX(0,Config!$D$21-COUNTIF(O263:X263,"Sim")-COUNTIF(O263:X263,"N/A")))</f>
        <v/>
      </c>
      <c r="AC263" s="23">
        <f>IF(A263="","",AA263+IF(AB263="",0,AB263))</f>
        <v/>
      </c>
      <c r="AD263" s="24">
        <f>IF(OR(A263="",AF263=""),"",LEFT(AF263,LEN(AF263)-2))</f>
        <v/>
      </c>
      <c r="AE263" s="35">
        <f>IF(OR(A263="",AC263=0),0,AC263*100-ROW()/100000)</f>
        <v>0</v>
      </c>
      <c r="AF263" s="35">
        <f>IF(A263="","",IF(AND(Config!$B$10&lt;&gt;"",E263&lt;&gt;"Sim",E263&lt;&gt;"N/A"),Config!$B$10&amp;"; ","")&amp;IF(AND(Config!$B$11&lt;&gt;"",F263&lt;&gt;"Sim",F263&lt;&gt;"N/A"),Config!$B$11&amp;"; ","")&amp;IF(AND(Config!$B$12&lt;&gt;"",G263&lt;&gt;"Sim",G263&lt;&gt;"N/A"),Config!$B$12&amp;"; ","")&amp;IF(AND(Config!$B$13&lt;&gt;"",H263&lt;&gt;"Sim",H263&lt;&gt;"N/A"),Config!$B$13&amp;"; ","")&amp;IF(AND(Config!$B$14&lt;&gt;"",I263&lt;&gt;"Sim",I263&lt;&gt;"N/A"),Config!$B$14&amp;"; ","")&amp;IF(AND(Config!$B$15&lt;&gt;"",J263&lt;&gt;"Sim",J263&lt;&gt;"N/A"),Config!$B$15&amp;"; ","")&amp;IF(AND(Config!$B$16&lt;&gt;"",K263&lt;&gt;"Sim",K263&lt;&gt;"N/A"),Config!$B$16&amp;"; ","")&amp;IF(AND(Config!$B$17&lt;&gt;"",L263&lt;&gt;"Sim",L263&lt;&gt;"N/A"),Config!$B$17&amp;"; ","")&amp;IF(AND(Config!$B$18&lt;&gt;"",M263&lt;&gt;"Sim",M263&lt;&gt;"N/A"),Config!$B$18&amp;"; ","")&amp;IF(AND(Config!$B$19&lt;&gt;"",N263&lt;&gt;"Sim",N263&lt;&gt;"N/A"),Config!$B$19&amp;"; ","")&amp;IF(AND($D263="Encerrado",Config!$D$10&lt;&gt;"",O263&lt;&gt;"Sim",O263&lt;&gt;"N/A"),Config!$D$10&amp;"; ","")&amp;IF(AND($D263="Encerrado",Config!$D$11&lt;&gt;"",P263&lt;&gt;"Sim",P263&lt;&gt;"N/A"),Config!$D$11&amp;"; ","")&amp;IF(AND($D263="Encerrado",Config!$D$12&lt;&gt;"",Q263&lt;&gt;"Sim",Q263&lt;&gt;"N/A"),Config!$D$12&amp;"; ","")&amp;IF(AND($D263="Encerrado",Config!$D$13&lt;&gt;"",R263&lt;&gt;"Sim",R263&lt;&gt;"N/A"),Config!$D$13&amp;"; ","")&amp;IF(AND($D263="Encerrado",Config!$D$14&lt;&gt;"",S263&lt;&gt;"Sim",S263&lt;&gt;"N/A"),Config!$D$14&amp;"; ","")&amp;IF(AND($D263="Encerrado",Config!$D$15&lt;&gt;"",T263&lt;&gt;"Sim",T263&lt;&gt;"N/A"),Config!$D$15&amp;"; ","")&amp;IF(AND($D263="Encerrado",Config!$D$16&lt;&gt;"",U263&lt;&gt;"Sim",U263&lt;&gt;"N/A"),Config!$D$16&amp;"; ","")&amp;IF(AND($D263="Encerrado",Config!$D$17&lt;&gt;"",V263&lt;&gt;"Sim",V263&lt;&gt;"N/A"),Config!$D$17&amp;"; ","")&amp;IF(AND($D263="Encerrado",Config!$D$18&lt;&gt;"",W263&lt;&gt;"Sim",W263&lt;&gt;"N/A"),Config!$D$18&amp;"; ","")&amp;IF(AND($D263="Encerrado",Config!$D$19&lt;&gt;"",X263&lt;&gt;"Sim",X263&lt;&gt;"N/A"),Config!$D$19&amp;"; ",""))</f>
        <v/>
      </c>
    </row>
    <row r="264">
      <c r="A264" s="29" t="n"/>
      <c r="B264" s="29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25">
        <f>IF(A264="","",IFERROR(COUNTIF(E264:N264,"Sim")/(Config!$B$21-COUNTIF(E264:N264,"N/A")),""))</f>
        <v/>
      </c>
      <c r="Z264" s="25">
        <f>IF(OR(A264="",D264&lt;&gt;"Encerrado"),"",IFERROR(COUNTIF(O264:X264,"Sim")/(Config!$D$21-COUNTIF(O264:X264,"N/A")),""))</f>
        <v/>
      </c>
      <c r="AA264" s="23">
        <f>IF(A264="","",MAX(0,Config!$B$21-COUNTIF(E264:N264,"Sim")-COUNTIF(E264:N264,"N/A")))</f>
        <v/>
      </c>
      <c r="AB264" s="23">
        <f>IF(OR(A264="",D264&lt;&gt;"Encerrado"),"",MAX(0,Config!$D$21-COUNTIF(O264:X264,"Sim")-COUNTIF(O264:X264,"N/A")))</f>
        <v/>
      </c>
      <c r="AC264" s="23">
        <f>IF(A264="","",AA264+IF(AB264="",0,AB264))</f>
        <v/>
      </c>
      <c r="AD264" s="24">
        <f>IF(OR(A264="",AF264=""),"",LEFT(AF264,LEN(AF264)-2))</f>
        <v/>
      </c>
      <c r="AE264" s="35">
        <f>IF(OR(A264="",AC264=0),0,AC264*100-ROW()/100000)</f>
        <v>0</v>
      </c>
      <c r="AF264" s="35">
        <f>IF(A264="","",IF(AND(Config!$B$10&lt;&gt;"",E264&lt;&gt;"Sim",E264&lt;&gt;"N/A"),Config!$B$10&amp;"; ","")&amp;IF(AND(Config!$B$11&lt;&gt;"",F264&lt;&gt;"Sim",F264&lt;&gt;"N/A"),Config!$B$11&amp;"; ","")&amp;IF(AND(Config!$B$12&lt;&gt;"",G264&lt;&gt;"Sim",G264&lt;&gt;"N/A"),Config!$B$12&amp;"; ","")&amp;IF(AND(Config!$B$13&lt;&gt;"",H264&lt;&gt;"Sim",H264&lt;&gt;"N/A"),Config!$B$13&amp;"; ","")&amp;IF(AND(Config!$B$14&lt;&gt;"",I264&lt;&gt;"Sim",I264&lt;&gt;"N/A"),Config!$B$14&amp;"; ","")&amp;IF(AND(Config!$B$15&lt;&gt;"",J264&lt;&gt;"Sim",J264&lt;&gt;"N/A"),Config!$B$15&amp;"; ","")&amp;IF(AND(Config!$B$16&lt;&gt;"",K264&lt;&gt;"Sim",K264&lt;&gt;"N/A"),Config!$B$16&amp;"; ","")&amp;IF(AND(Config!$B$17&lt;&gt;"",L264&lt;&gt;"Sim",L264&lt;&gt;"N/A"),Config!$B$17&amp;"; ","")&amp;IF(AND(Config!$B$18&lt;&gt;"",M264&lt;&gt;"Sim",M264&lt;&gt;"N/A"),Config!$B$18&amp;"; ","")&amp;IF(AND(Config!$B$19&lt;&gt;"",N264&lt;&gt;"Sim",N264&lt;&gt;"N/A"),Config!$B$19&amp;"; ","")&amp;IF(AND($D264="Encerrado",Config!$D$10&lt;&gt;"",O264&lt;&gt;"Sim",O264&lt;&gt;"N/A"),Config!$D$10&amp;"; ","")&amp;IF(AND($D264="Encerrado",Config!$D$11&lt;&gt;"",P264&lt;&gt;"Sim",P264&lt;&gt;"N/A"),Config!$D$11&amp;"; ","")&amp;IF(AND($D264="Encerrado",Config!$D$12&lt;&gt;"",Q264&lt;&gt;"Sim",Q264&lt;&gt;"N/A"),Config!$D$12&amp;"; ","")&amp;IF(AND($D264="Encerrado",Config!$D$13&lt;&gt;"",R264&lt;&gt;"Sim",R264&lt;&gt;"N/A"),Config!$D$13&amp;"; ","")&amp;IF(AND($D264="Encerrado",Config!$D$14&lt;&gt;"",S264&lt;&gt;"Sim",S264&lt;&gt;"N/A"),Config!$D$14&amp;"; ","")&amp;IF(AND($D264="Encerrado",Config!$D$15&lt;&gt;"",T264&lt;&gt;"Sim",T264&lt;&gt;"N/A"),Config!$D$15&amp;"; ","")&amp;IF(AND($D264="Encerrado",Config!$D$16&lt;&gt;"",U264&lt;&gt;"Sim",U264&lt;&gt;"N/A"),Config!$D$16&amp;"; ","")&amp;IF(AND($D264="Encerrado",Config!$D$17&lt;&gt;"",V264&lt;&gt;"Sim",V264&lt;&gt;"N/A"),Config!$D$17&amp;"; ","")&amp;IF(AND($D264="Encerrado",Config!$D$18&lt;&gt;"",W264&lt;&gt;"Sim",W264&lt;&gt;"N/A"),Config!$D$18&amp;"; ","")&amp;IF(AND($D264="Encerrado",Config!$D$19&lt;&gt;"",X264&lt;&gt;"Sim",X264&lt;&gt;"N/A"),Config!$D$19&amp;"; ",""))</f>
        <v/>
      </c>
    </row>
    <row r="265">
      <c r="A265" s="29" t="n"/>
      <c r="B265" s="29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25">
        <f>IF(A265="","",IFERROR(COUNTIF(E265:N265,"Sim")/(Config!$B$21-COUNTIF(E265:N265,"N/A")),""))</f>
        <v/>
      </c>
      <c r="Z265" s="25">
        <f>IF(OR(A265="",D265&lt;&gt;"Encerrado"),"",IFERROR(COUNTIF(O265:X265,"Sim")/(Config!$D$21-COUNTIF(O265:X265,"N/A")),""))</f>
        <v/>
      </c>
      <c r="AA265" s="23">
        <f>IF(A265="","",MAX(0,Config!$B$21-COUNTIF(E265:N265,"Sim")-COUNTIF(E265:N265,"N/A")))</f>
        <v/>
      </c>
      <c r="AB265" s="23">
        <f>IF(OR(A265="",D265&lt;&gt;"Encerrado"),"",MAX(0,Config!$D$21-COUNTIF(O265:X265,"Sim")-COUNTIF(O265:X265,"N/A")))</f>
        <v/>
      </c>
      <c r="AC265" s="23">
        <f>IF(A265="","",AA265+IF(AB265="",0,AB265))</f>
        <v/>
      </c>
      <c r="AD265" s="24">
        <f>IF(OR(A265="",AF265=""),"",LEFT(AF265,LEN(AF265)-2))</f>
        <v/>
      </c>
      <c r="AE265" s="35">
        <f>IF(OR(A265="",AC265=0),0,AC265*100-ROW()/100000)</f>
        <v>0</v>
      </c>
      <c r="AF265" s="35">
        <f>IF(A265="","",IF(AND(Config!$B$10&lt;&gt;"",E265&lt;&gt;"Sim",E265&lt;&gt;"N/A"),Config!$B$10&amp;"; ","")&amp;IF(AND(Config!$B$11&lt;&gt;"",F265&lt;&gt;"Sim",F265&lt;&gt;"N/A"),Config!$B$11&amp;"; ","")&amp;IF(AND(Config!$B$12&lt;&gt;"",G265&lt;&gt;"Sim",G265&lt;&gt;"N/A"),Config!$B$12&amp;"; ","")&amp;IF(AND(Config!$B$13&lt;&gt;"",H265&lt;&gt;"Sim",H265&lt;&gt;"N/A"),Config!$B$13&amp;"; ","")&amp;IF(AND(Config!$B$14&lt;&gt;"",I265&lt;&gt;"Sim",I265&lt;&gt;"N/A"),Config!$B$14&amp;"; ","")&amp;IF(AND(Config!$B$15&lt;&gt;"",J265&lt;&gt;"Sim",J265&lt;&gt;"N/A"),Config!$B$15&amp;"; ","")&amp;IF(AND(Config!$B$16&lt;&gt;"",K265&lt;&gt;"Sim",K265&lt;&gt;"N/A"),Config!$B$16&amp;"; ","")&amp;IF(AND(Config!$B$17&lt;&gt;"",L265&lt;&gt;"Sim",L265&lt;&gt;"N/A"),Config!$B$17&amp;"; ","")&amp;IF(AND(Config!$B$18&lt;&gt;"",M265&lt;&gt;"Sim",M265&lt;&gt;"N/A"),Config!$B$18&amp;"; ","")&amp;IF(AND(Config!$B$19&lt;&gt;"",N265&lt;&gt;"Sim",N265&lt;&gt;"N/A"),Config!$B$19&amp;"; ","")&amp;IF(AND($D265="Encerrado",Config!$D$10&lt;&gt;"",O265&lt;&gt;"Sim",O265&lt;&gt;"N/A"),Config!$D$10&amp;"; ","")&amp;IF(AND($D265="Encerrado",Config!$D$11&lt;&gt;"",P265&lt;&gt;"Sim",P265&lt;&gt;"N/A"),Config!$D$11&amp;"; ","")&amp;IF(AND($D265="Encerrado",Config!$D$12&lt;&gt;"",Q265&lt;&gt;"Sim",Q265&lt;&gt;"N/A"),Config!$D$12&amp;"; ","")&amp;IF(AND($D265="Encerrado",Config!$D$13&lt;&gt;"",R265&lt;&gt;"Sim",R265&lt;&gt;"N/A"),Config!$D$13&amp;"; ","")&amp;IF(AND($D265="Encerrado",Config!$D$14&lt;&gt;"",S265&lt;&gt;"Sim",S265&lt;&gt;"N/A"),Config!$D$14&amp;"; ","")&amp;IF(AND($D265="Encerrado",Config!$D$15&lt;&gt;"",T265&lt;&gt;"Sim",T265&lt;&gt;"N/A"),Config!$D$15&amp;"; ","")&amp;IF(AND($D265="Encerrado",Config!$D$16&lt;&gt;"",U265&lt;&gt;"Sim",U265&lt;&gt;"N/A"),Config!$D$16&amp;"; ","")&amp;IF(AND($D265="Encerrado",Config!$D$17&lt;&gt;"",V265&lt;&gt;"Sim",V265&lt;&gt;"N/A"),Config!$D$17&amp;"; ","")&amp;IF(AND($D265="Encerrado",Config!$D$18&lt;&gt;"",W265&lt;&gt;"Sim",W265&lt;&gt;"N/A"),Config!$D$18&amp;"; ","")&amp;IF(AND($D265="Encerrado",Config!$D$19&lt;&gt;"",X265&lt;&gt;"Sim",X265&lt;&gt;"N/A"),Config!$D$19&amp;"; ",""))</f>
        <v/>
      </c>
    </row>
    <row r="266">
      <c r="A266" s="29" t="n"/>
      <c r="B266" s="29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25">
        <f>IF(A266="","",IFERROR(COUNTIF(E266:N266,"Sim")/(Config!$B$21-COUNTIF(E266:N266,"N/A")),""))</f>
        <v/>
      </c>
      <c r="Z266" s="25">
        <f>IF(OR(A266="",D266&lt;&gt;"Encerrado"),"",IFERROR(COUNTIF(O266:X266,"Sim")/(Config!$D$21-COUNTIF(O266:X266,"N/A")),""))</f>
        <v/>
      </c>
      <c r="AA266" s="23">
        <f>IF(A266="","",MAX(0,Config!$B$21-COUNTIF(E266:N266,"Sim")-COUNTIF(E266:N266,"N/A")))</f>
        <v/>
      </c>
      <c r="AB266" s="23">
        <f>IF(OR(A266="",D266&lt;&gt;"Encerrado"),"",MAX(0,Config!$D$21-COUNTIF(O266:X266,"Sim")-COUNTIF(O266:X266,"N/A")))</f>
        <v/>
      </c>
      <c r="AC266" s="23">
        <f>IF(A266="","",AA266+IF(AB266="",0,AB266))</f>
        <v/>
      </c>
      <c r="AD266" s="24">
        <f>IF(OR(A266="",AF266=""),"",LEFT(AF266,LEN(AF266)-2))</f>
        <v/>
      </c>
      <c r="AE266" s="35">
        <f>IF(OR(A266="",AC266=0),0,AC266*100-ROW()/100000)</f>
        <v>0</v>
      </c>
      <c r="AF266" s="35">
        <f>IF(A266="","",IF(AND(Config!$B$10&lt;&gt;"",E266&lt;&gt;"Sim",E266&lt;&gt;"N/A"),Config!$B$10&amp;"; ","")&amp;IF(AND(Config!$B$11&lt;&gt;"",F266&lt;&gt;"Sim",F266&lt;&gt;"N/A"),Config!$B$11&amp;"; ","")&amp;IF(AND(Config!$B$12&lt;&gt;"",G266&lt;&gt;"Sim",G266&lt;&gt;"N/A"),Config!$B$12&amp;"; ","")&amp;IF(AND(Config!$B$13&lt;&gt;"",H266&lt;&gt;"Sim",H266&lt;&gt;"N/A"),Config!$B$13&amp;"; ","")&amp;IF(AND(Config!$B$14&lt;&gt;"",I266&lt;&gt;"Sim",I266&lt;&gt;"N/A"),Config!$B$14&amp;"; ","")&amp;IF(AND(Config!$B$15&lt;&gt;"",J266&lt;&gt;"Sim",J266&lt;&gt;"N/A"),Config!$B$15&amp;"; ","")&amp;IF(AND(Config!$B$16&lt;&gt;"",K266&lt;&gt;"Sim",K266&lt;&gt;"N/A"),Config!$B$16&amp;"; ","")&amp;IF(AND(Config!$B$17&lt;&gt;"",L266&lt;&gt;"Sim",L266&lt;&gt;"N/A"),Config!$B$17&amp;"; ","")&amp;IF(AND(Config!$B$18&lt;&gt;"",M266&lt;&gt;"Sim",M266&lt;&gt;"N/A"),Config!$B$18&amp;"; ","")&amp;IF(AND(Config!$B$19&lt;&gt;"",N266&lt;&gt;"Sim",N266&lt;&gt;"N/A"),Config!$B$19&amp;"; ","")&amp;IF(AND($D266="Encerrado",Config!$D$10&lt;&gt;"",O266&lt;&gt;"Sim",O266&lt;&gt;"N/A"),Config!$D$10&amp;"; ","")&amp;IF(AND($D266="Encerrado",Config!$D$11&lt;&gt;"",P266&lt;&gt;"Sim",P266&lt;&gt;"N/A"),Config!$D$11&amp;"; ","")&amp;IF(AND($D266="Encerrado",Config!$D$12&lt;&gt;"",Q266&lt;&gt;"Sim",Q266&lt;&gt;"N/A"),Config!$D$12&amp;"; ","")&amp;IF(AND($D266="Encerrado",Config!$D$13&lt;&gt;"",R266&lt;&gt;"Sim",R266&lt;&gt;"N/A"),Config!$D$13&amp;"; ","")&amp;IF(AND($D266="Encerrado",Config!$D$14&lt;&gt;"",S266&lt;&gt;"Sim",S266&lt;&gt;"N/A"),Config!$D$14&amp;"; ","")&amp;IF(AND($D266="Encerrado",Config!$D$15&lt;&gt;"",T266&lt;&gt;"Sim",T266&lt;&gt;"N/A"),Config!$D$15&amp;"; ","")&amp;IF(AND($D266="Encerrado",Config!$D$16&lt;&gt;"",U266&lt;&gt;"Sim",U266&lt;&gt;"N/A"),Config!$D$16&amp;"; ","")&amp;IF(AND($D266="Encerrado",Config!$D$17&lt;&gt;"",V266&lt;&gt;"Sim",V266&lt;&gt;"N/A"),Config!$D$17&amp;"; ","")&amp;IF(AND($D266="Encerrado",Config!$D$18&lt;&gt;"",W266&lt;&gt;"Sim",W266&lt;&gt;"N/A"),Config!$D$18&amp;"; ","")&amp;IF(AND($D266="Encerrado",Config!$D$19&lt;&gt;"",X266&lt;&gt;"Sim",X266&lt;&gt;"N/A"),Config!$D$19&amp;"; ",""))</f>
        <v/>
      </c>
    </row>
    <row r="267">
      <c r="A267" s="29" t="n"/>
      <c r="B267" s="29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25">
        <f>IF(A267="","",IFERROR(COUNTIF(E267:N267,"Sim")/(Config!$B$21-COUNTIF(E267:N267,"N/A")),""))</f>
        <v/>
      </c>
      <c r="Z267" s="25">
        <f>IF(OR(A267="",D267&lt;&gt;"Encerrado"),"",IFERROR(COUNTIF(O267:X267,"Sim")/(Config!$D$21-COUNTIF(O267:X267,"N/A")),""))</f>
        <v/>
      </c>
      <c r="AA267" s="23">
        <f>IF(A267="","",MAX(0,Config!$B$21-COUNTIF(E267:N267,"Sim")-COUNTIF(E267:N267,"N/A")))</f>
        <v/>
      </c>
      <c r="AB267" s="23">
        <f>IF(OR(A267="",D267&lt;&gt;"Encerrado"),"",MAX(0,Config!$D$21-COUNTIF(O267:X267,"Sim")-COUNTIF(O267:X267,"N/A")))</f>
        <v/>
      </c>
      <c r="AC267" s="23">
        <f>IF(A267="","",AA267+IF(AB267="",0,AB267))</f>
        <v/>
      </c>
      <c r="AD267" s="24">
        <f>IF(OR(A267="",AF267=""),"",LEFT(AF267,LEN(AF267)-2))</f>
        <v/>
      </c>
      <c r="AE267" s="35">
        <f>IF(OR(A267="",AC267=0),0,AC267*100-ROW()/100000)</f>
        <v>0</v>
      </c>
      <c r="AF267" s="35">
        <f>IF(A267="","",IF(AND(Config!$B$10&lt;&gt;"",E267&lt;&gt;"Sim",E267&lt;&gt;"N/A"),Config!$B$10&amp;"; ","")&amp;IF(AND(Config!$B$11&lt;&gt;"",F267&lt;&gt;"Sim",F267&lt;&gt;"N/A"),Config!$B$11&amp;"; ","")&amp;IF(AND(Config!$B$12&lt;&gt;"",G267&lt;&gt;"Sim",G267&lt;&gt;"N/A"),Config!$B$12&amp;"; ","")&amp;IF(AND(Config!$B$13&lt;&gt;"",H267&lt;&gt;"Sim",H267&lt;&gt;"N/A"),Config!$B$13&amp;"; ","")&amp;IF(AND(Config!$B$14&lt;&gt;"",I267&lt;&gt;"Sim",I267&lt;&gt;"N/A"),Config!$B$14&amp;"; ","")&amp;IF(AND(Config!$B$15&lt;&gt;"",J267&lt;&gt;"Sim",J267&lt;&gt;"N/A"),Config!$B$15&amp;"; ","")&amp;IF(AND(Config!$B$16&lt;&gt;"",K267&lt;&gt;"Sim",K267&lt;&gt;"N/A"),Config!$B$16&amp;"; ","")&amp;IF(AND(Config!$B$17&lt;&gt;"",L267&lt;&gt;"Sim",L267&lt;&gt;"N/A"),Config!$B$17&amp;"; ","")&amp;IF(AND(Config!$B$18&lt;&gt;"",M267&lt;&gt;"Sim",M267&lt;&gt;"N/A"),Config!$B$18&amp;"; ","")&amp;IF(AND(Config!$B$19&lt;&gt;"",N267&lt;&gt;"Sim",N267&lt;&gt;"N/A"),Config!$B$19&amp;"; ","")&amp;IF(AND($D267="Encerrado",Config!$D$10&lt;&gt;"",O267&lt;&gt;"Sim",O267&lt;&gt;"N/A"),Config!$D$10&amp;"; ","")&amp;IF(AND($D267="Encerrado",Config!$D$11&lt;&gt;"",P267&lt;&gt;"Sim",P267&lt;&gt;"N/A"),Config!$D$11&amp;"; ","")&amp;IF(AND($D267="Encerrado",Config!$D$12&lt;&gt;"",Q267&lt;&gt;"Sim",Q267&lt;&gt;"N/A"),Config!$D$12&amp;"; ","")&amp;IF(AND($D267="Encerrado",Config!$D$13&lt;&gt;"",R267&lt;&gt;"Sim",R267&lt;&gt;"N/A"),Config!$D$13&amp;"; ","")&amp;IF(AND($D267="Encerrado",Config!$D$14&lt;&gt;"",S267&lt;&gt;"Sim",S267&lt;&gt;"N/A"),Config!$D$14&amp;"; ","")&amp;IF(AND($D267="Encerrado",Config!$D$15&lt;&gt;"",T267&lt;&gt;"Sim",T267&lt;&gt;"N/A"),Config!$D$15&amp;"; ","")&amp;IF(AND($D267="Encerrado",Config!$D$16&lt;&gt;"",U267&lt;&gt;"Sim",U267&lt;&gt;"N/A"),Config!$D$16&amp;"; ","")&amp;IF(AND($D267="Encerrado",Config!$D$17&lt;&gt;"",V267&lt;&gt;"Sim",V267&lt;&gt;"N/A"),Config!$D$17&amp;"; ","")&amp;IF(AND($D267="Encerrado",Config!$D$18&lt;&gt;"",W267&lt;&gt;"Sim",W267&lt;&gt;"N/A"),Config!$D$18&amp;"; ","")&amp;IF(AND($D267="Encerrado",Config!$D$19&lt;&gt;"",X267&lt;&gt;"Sim",X267&lt;&gt;"N/A"),Config!$D$19&amp;"; ",""))</f>
        <v/>
      </c>
    </row>
    <row r="268">
      <c r="A268" s="29" t="n"/>
      <c r="B268" s="29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25">
        <f>IF(A268="","",IFERROR(COUNTIF(E268:N268,"Sim")/(Config!$B$21-COUNTIF(E268:N268,"N/A")),""))</f>
        <v/>
      </c>
      <c r="Z268" s="25">
        <f>IF(OR(A268="",D268&lt;&gt;"Encerrado"),"",IFERROR(COUNTIF(O268:X268,"Sim")/(Config!$D$21-COUNTIF(O268:X268,"N/A")),""))</f>
        <v/>
      </c>
      <c r="AA268" s="23">
        <f>IF(A268="","",MAX(0,Config!$B$21-COUNTIF(E268:N268,"Sim")-COUNTIF(E268:N268,"N/A")))</f>
        <v/>
      </c>
      <c r="AB268" s="23">
        <f>IF(OR(A268="",D268&lt;&gt;"Encerrado"),"",MAX(0,Config!$D$21-COUNTIF(O268:X268,"Sim")-COUNTIF(O268:X268,"N/A")))</f>
        <v/>
      </c>
      <c r="AC268" s="23">
        <f>IF(A268="","",AA268+IF(AB268="",0,AB268))</f>
        <v/>
      </c>
      <c r="AD268" s="24">
        <f>IF(OR(A268="",AF268=""),"",LEFT(AF268,LEN(AF268)-2))</f>
        <v/>
      </c>
      <c r="AE268" s="35">
        <f>IF(OR(A268="",AC268=0),0,AC268*100-ROW()/100000)</f>
        <v>0</v>
      </c>
      <c r="AF268" s="35">
        <f>IF(A268="","",IF(AND(Config!$B$10&lt;&gt;"",E268&lt;&gt;"Sim",E268&lt;&gt;"N/A"),Config!$B$10&amp;"; ","")&amp;IF(AND(Config!$B$11&lt;&gt;"",F268&lt;&gt;"Sim",F268&lt;&gt;"N/A"),Config!$B$11&amp;"; ","")&amp;IF(AND(Config!$B$12&lt;&gt;"",G268&lt;&gt;"Sim",G268&lt;&gt;"N/A"),Config!$B$12&amp;"; ","")&amp;IF(AND(Config!$B$13&lt;&gt;"",H268&lt;&gt;"Sim",H268&lt;&gt;"N/A"),Config!$B$13&amp;"; ","")&amp;IF(AND(Config!$B$14&lt;&gt;"",I268&lt;&gt;"Sim",I268&lt;&gt;"N/A"),Config!$B$14&amp;"; ","")&amp;IF(AND(Config!$B$15&lt;&gt;"",J268&lt;&gt;"Sim",J268&lt;&gt;"N/A"),Config!$B$15&amp;"; ","")&amp;IF(AND(Config!$B$16&lt;&gt;"",K268&lt;&gt;"Sim",K268&lt;&gt;"N/A"),Config!$B$16&amp;"; ","")&amp;IF(AND(Config!$B$17&lt;&gt;"",L268&lt;&gt;"Sim",L268&lt;&gt;"N/A"),Config!$B$17&amp;"; ","")&amp;IF(AND(Config!$B$18&lt;&gt;"",M268&lt;&gt;"Sim",M268&lt;&gt;"N/A"),Config!$B$18&amp;"; ","")&amp;IF(AND(Config!$B$19&lt;&gt;"",N268&lt;&gt;"Sim",N268&lt;&gt;"N/A"),Config!$B$19&amp;"; ","")&amp;IF(AND($D268="Encerrado",Config!$D$10&lt;&gt;"",O268&lt;&gt;"Sim",O268&lt;&gt;"N/A"),Config!$D$10&amp;"; ","")&amp;IF(AND($D268="Encerrado",Config!$D$11&lt;&gt;"",P268&lt;&gt;"Sim",P268&lt;&gt;"N/A"),Config!$D$11&amp;"; ","")&amp;IF(AND($D268="Encerrado",Config!$D$12&lt;&gt;"",Q268&lt;&gt;"Sim",Q268&lt;&gt;"N/A"),Config!$D$12&amp;"; ","")&amp;IF(AND($D268="Encerrado",Config!$D$13&lt;&gt;"",R268&lt;&gt;"Sim",R268&lt;&gt;"N/A"),Config!$D$13&amp;"; ","")&amp;IF(AND($D268="Encerrado",Config!$D$14&lt;&gt;"",S268&lt;&gt;"Sim",S268&lt;&gt;"N/A"),Config!$D$14&amp;"; ","")&amp;IF(AND($D268="Encerrado",Config!$D$15&lt;&gt;"",T268&lt;&gt;"Sim",T268&lt;&gt;"N/A"),Config!$D$15&amp;"; ","")&amp;IF(AND($D268="Encerrado",Config!$D$16&lt;&gt;"",U268&lt;&gt;"Sim",U268&lt;&gt;"N/A"),Config!$D$16&amp;"; ","")&amp;IF(AND($D268="Encerrado",Config!$D$17&lt;&gt;"",V268&lt;&gt;"Sim",V268&lt;&gt;"N/A"),Config!$D$17&amp;"; ","")&amp;IF(AND($D268="Encerrado",Config!$D$18&lt;&gt;"",W268&lt;&gt;"Sim",W268&lt;&gt;"N/A"),Config!$D$18&amp;"; ","")&amp;IF(AND($D268="Encerrado",Config!$D$19&lt;&gt;"",X268&lt;&gt;"Sim",X268&lt;&gt;"N/A"),Config!$D$19&amp;"; ",""))</f>
        <v/>
      </c>
    </row>
    <row r="269">
      <c r="A269" s="29" t="n"/>
      <c r="B269" s="29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25">
        <f>IF(A269="","",IFERROR(COUNTIF(E269:N269,"Sim")/(Config!$B$21-COUNTIF(E269:N269,"N/A")),""))</f>
        <v/>
      </c>
      <c r="Z269" s="25">
        <f>IF(OR(A269="",D269&lt;&gt;"Encerrado"),"",IFERROR(COUNTIF(O269:X269,"Sim")/(Config!$D$21-COUNTIF(O269:X269,"N/A")),""))</f>
        <v/>
      </c>
      <c r="AA269" s="23">
        <f>IF(A269="","",MAX(0,Config!$B$21-COUNTIF(E269:N269,"Sim")-COUNTIF(E269:N269,"N/A")))</f>
        <v/>
      </c>
      <c r="AB269" s="23">
        <f>IF(OR(A269="",D269&lt;&gt;"Encerrado"),"",MAX(0,Config!$D$21-COUNTIF(O269:X269,"Sim")-COUNTIF(O269:X269,"N/A")))</f>
        <v/>
      </c>
      <c r="AC269" s="23">
        <f>IF(A269="","",AA269+IF(AB269="",0,AB269))</f>
        <v/>
      </c>
      <c r="AD269" s="24">
        <f>IF(OR(A269="",AF269=""),"",LEFT(AF269,LEN(AF269)-2))</f>
        <v/>
      </c>
      <c r="AE269" s="35">
        <f>IF(OR(A269="",AC269=0),0,AC269*100-ROW()/100000)</f>
        <v>0</v>
      </c>
      <c r="AF269" s="35">
        <f>IF(A269="","",IF(AND(Config!$B$10&lt;&gt;"",E269&lt;&gt;"Sim",E269&lt;&gt;"N/A"),Config!$B$10&amp;"; ","")&amp;IF(AND(Config!$B$11&lt;&gt;"",F269&lt;&gt;"Sim",F269&lt;&gt;"N/A"),Config!$B$11&amp;"; ","")&amp;IF(AND(Config!$B$12&lt;&gt;"",G269&lt;&gt;"Sim",G269&lt;&gt;"N/A"),Config!$B$12&amp;"; ","")&amp;IF(AND(Config!$B$13&lt;&gt;"",H269&lt;&gt;"Sim",H269&lt;&gt;"N/A"),Config!$B$13&amp;"; ","")&amp;IF(AND(Config!$B$14&lt;&gt;"",I269&lt;&gt;"Sim",I269&lt;&gt;"N/A"),Config!$B$14&amp;"; ","")&amp;IF(AND(Config!$B$15&lt;&gt;"",J269&lt;&gt;"Sim",J269&lt;&gt;"N/A"),Config!$B$15&amp;"; ","")&amp;IF(AND(Config!$B$16&lt;&gt;"",K269&lt;&gt;"Sim",K269&lt;&gt;"N/A"),Config!$B$16&amp;"; ","")&amp;IF(AND(Config!$B$17&lt;&gt;"",L269&lt;&gt;"Sim",L269&lt;&gt;"N/A"),Config!$B$17&amp;"; ","")&amp;IF(AND(Config!$B$18&lt;&gt;"",M269&lt;&gt;"Sim",M269&lt;&gt;"N/A"),Config!$B$18&amp;"; ","")&amp;IF(AND(Config!$B$19&lt;&gt;"",N269&lt;&gt;"Sim",N269&lt;&gt;"N/A"),Config!$B$19&amp;"; ","")&amp;IF(AND($D269="Encerrado",Config!$D$10&lt;&gt;"",O269&lt;&gt;"Sim",O269&lt;&gt;"N/A"),Config!$D$10&amp;"; ","")&amp;IF(AND($D269="Encerrado",Config!$D$11&lt;&gt;"",P269&lt;&gt;"Sim",P269&lt;&gt;"N/A"),Config!$D$11&amp;"; ","")&amp;IF(AND($D269="Encerrado",Config!$D$12&lt;&gt;"",Q269&lt;&gt;"Sim",Q269&lt;&gt;"N/A"),Config!$D$12&amp;"; ","")&amp;IF(AND($D269="Encerrado",Config!$D$13&lt;&gt;"",R269&lt;&gt;"Sim",R269&lt;&gt;"N/A"),Config!$D$13&amp;"; ","")&amp;IF(AND($D269="Encerrado",Config!$D$14&lt;&gt;"",S269&lt;&gt;"Sim",S269&lt;&gt;"N/A"),Config!$D$14&amp;"; ","")&amp;IF(AND($D269="Encerrado",Config!$D$15&lt;&gt;"",T269&lt;&gt;"Sim",T269&lt;&gt;"N/A"),Config!$D$15&amp;"; ","")&amp;IF(AND($D269="Encerrado",Config!$D$16&lt;&gt;"",U269&lt;&gt;"Sim",U269&lt;&gt;"N/A"),Config!$D$16&amp;"; ","")&amp;IF(AND($D269="Encerrado",Config!$D$17&lt;&gt;"",V269&lt;&gt;"Sim",V269&lt;&gt;"N/A"),Config!$D$17&amp;"; ","")&amp;IF(AND($D269="Encerrado",Config!$D$18&lt;&gt;"",W269&lt;&gt;"Sim",W269&lt;&gt;"N/A"),Config!$D$18&amp;"; ","")&amp;IF(AND($D269="Encerrado",Config!$D$19&lt;&gt;"",X269&lt;&gt;"Sim",X269&lt;&gt;"N/A"),Config!$D$19&amp;"; ",""))</f>
        <v/>
      </c>
    </row>
    <row r="270">
      <c r="A270" s="29" t="n"/>
      <c r="B270" s="29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25">
        <f>IF(A270="","",IFERROR(COUNTIF(E270:N270,"Sim")/(Config!$B$21-COUNTIF(E270:N270,"N/A")),""))</f>
        <v/>
      </c>
      <c r="Z270" s="25">
        <f>IF(OR(A270="",D270&lt;&gt;"Encerrado"),"",IFERROR(COUNTIF(O270:X270,"Sim")/(Config!$D$21-COUNTIF(O270:X270,"N/A")),""))</f>
        <v/>
      </c>
      <c r="AA270" s="23">
        <f>IF(A270="","",MAX(0,Config!$B$21-COUNTIF(E270:N270,"Sim")-COUNTIF(E270:N270,"N/A")))</f>
        <v/>
      </c>
      <c r="AB270" s="23">
        <f>IF(OR(A270="",D270&lt;&gt;"Encerrado"),"",MAX(0,Config!$D$21-COUNTIF(O270:X270,"Sim")-COUNTIF(O270:X270,"N/A")))</f>
        <v/>
      </c>
      <c r="AC270" s="23">
        <f>IF(A270="","",AA270+IF(AB270="",0,AB270))</f>
        <v/>
      </c>
      <c r="AD270" s="24">
        <f>IF(OR(A270="",AF270=""),"",LEFT(AF270,LEN(AF270)-2))</f>
        <v/>
      </c>
      <c r="AE270" s="35">
        <f>IF(OR(A270="",AC270=0),0,AC270*100-ROW()/100000)</f>
        <v>0</v>
      </c>
      <c r="AF270" s="35">
        <f>IF(A270="","",IF(AND(Config!$B$10&lt;&gt;"",E270&lt;&gt;"Sim",E270&lt;&gt;"N/A"),Config!$B$10&amp;"; ","")&amp;IF(AND(Config!$B$11&lt;&gt;"",F270&lt;&gt;"Sim",F270&lt;&gt;"N/A"),Config!$B$11&amp;"; ","")&amp;IF(AND(Config!$B$12&lt;&gt;"",G270&lt;&gt;"Sim",G270&lt;&gt;"N/A"),Config!$B$12&amp;"; ","")&amp;IF(AND(Config!$B$13&lt;&gt;"",H270&lt;&gt;"Sim",H270&lt;&gt;"N/A"),Config!$B$13&amp;"; ","")&amp;IF(AND(Config!$B$14&lt;&gt;"",I270&lt;&gt;"Sim",I270&lt;&gt;"N/A"),Config!$B$14&amp;"; ","")&amp;IF(AND(Config!$B$15&lt;&gt;"",J270&lt;&gt;"Sim",J270&lt;&gt;"N/A"),Config!$B$15&amp;"; ","")&amp;IF(AND(Config!$B$16&lt;&gt;"",K270&lt;&gt;"Sim",K270&lt;&gt;"N/A"),Config!$B$16&amp;"; ","")&amp;IF(AND(Config!$B$17&lt;&gt;"",L270&lt;&gt;"Sim",L270&lt;&gt;"N/A"),Config!$B$17&amp;"; ","")&amp;IF(AND(Config!$B$18&lt;&gt;"",M270&lt;&gt;"Sim",M270&lt;&gt;"N/A"),Config!$B$18&amp;"; ","")&amp;IF(AND(Config!$B$19&lt;&gt;"",N270&lt;&gt;"Sim",N270&lt;&gt;"N/A"),Config!$B$19&amp;"; ","")&amp;IF(AND($D270="Encerrado",Config!$D$10&lt;&gt;"",O270&lt;&gt;"Sim",O270&lt;&gt;"N/A"),Config!$D$10&amp;"; ","")&amp;IF(AND($D270="Encerrado",Config!$D$11&lt;&gt;"",P270&lt;&gt;"Sim",P270&lt;&gt;"N/A"),Config!$D$11&amp;"; ","")&amp;IF(AND($D270="Encerrado",Config!$D$12&lt;&gt;"",Q270&lt;&gt;"Sim",Q270&lt;&gt;"N/A"),Config!$D$12&amp;"; ","")&amp;IF(AND($D270="Encerrado",Config!$D$13&lt;&gt;"",R270&lt;&gt;"Sim",R270&lt;&gt;"N/A"),Config!$D$13&amp;"; ","")&amp;IF(AND($D270="Encerrado",Config!$D$14&lt;&gt;"",S270&lt;&gt;"Sim",S270&lt;&gt;"N/A"),Config!$D$14&amp;"; ","")&amp;IF(AND($D270="Encerrado",Config!$D$15&lt;&gt;"",T270&lt;&gt;"Sim",T270&lt;&gt;"N/A"),Config!$D$15&amp;"; ","")&amp;IF(AND($D270="Encerrado",Config!$D$16&lt;&gt;"",U270&lt;&gt;"Sim",U270&lt;&gt;"N/A"),Config!$D$16&amp;"; ","")&amp;IF(AND($D270="Encerrado",Config!$D$17&lt;&gt;"",V270&lt;&gt;"Sim",V270&lt;&gt;"N/A"),Config!$D$17&amp;"; ","")&amp;IF(AND($D270="Encerrado",Config!$D$18&lt;&gt;"",W270&lt;&gt;"Sim",W270&lt;&gt;"N/A"),Config!$D$18&amp;"; ","")&amp;IF(AND($D270="Encerrado",Config!$D$19&lt;&gt;"",X270&lt;&gt;"Sim",X270&lt;&gt;"N/A"),Config!$D$19&amp;"; ",""))</f>
        <v/>
      </c>
    </row>
    <row r="271">
      <c r="A271" s="29" t="n"/>
      <c r="B271" s="29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25">
        <f>IF(A271="","",IFERROR(COUNTIF(E271:N271,"Sim")/(Config!$B$21-COUNTIF(E271:N271,"N/A")),""))</f>
        <v/>
      </c>
      <c r="Z271" s="25">
        <f>IF(OR(A271="",D271&lt;&gt;"Encerrado"),"",IFERROR(COUNTIF(O271:X271,"Sim")/(Config!$D$21-COUNTIF(O271:X271,"N/A")),""))</f>
        <v/>
      </c>
      <c r="AA271" s="23">
        <f>IF(A271="","",MAX(0,Config!$B$21-COUNTIF(E271:N271,"Sim")-COUNTIF(E271:N271,"N/A")))</f>
        <v/>
      </c>
      <c r="AB271" s="23">
        <f>IF(OR(A271="",D271&lt;&gt;"Encerrado"),"",MAX(0,Config!$D$21-COUNTIF(O271:X271,"Sim")-COUNTIF(O271:X271,"N/A")))</f>
        <v/>
      </c>
      <c r="AC271" s="23">
        <f>IF(A271="","",AA271+IF(AB271="",0,AB271))</f>
        <v/>
      </c>
      <c r="AD271" s="24">
        <f>IF(OR(A271="",AF271=""),"",LEFT(AF271,LEN(AF271)-2))</f>
        <v/>
      </c>
      <c r="AE271" s="35">
        <f>IF(OR(A271="",AC271=0),0,AC271*100-ROW()/100000)</f>
        <v>0</v>
      </c>
      <c r="AF271" s="35">
        <f>IF(A271="","",IF(AND(Config!$B$10&lt;&gt;"",E271&lt;&gt;"Sim",E271&lt;&gt;"N/A"),Config!$B$10&amp;"; ","")&amp;IF(AND(Config!$B$11&lt;&gt;"",F271&lt;&gt;"Sim",F271&lt;&gt;"N/A"),Config!$B$11&amp;"; ","")&amp;IF(AND(Config!$B$12&lt;&gt;"",G271&lt;&gt;"Sim",G271&lt;&gt;"N/A"),Config!$B$12&amp;"; ","")&amp;IF(AND(Config!$B$13&lt;&gt;"",H271&lt;&gt;"Sim",H271&lt;&gt;"N/A"),Config!$B$13&amp;"; ","")&amp;IF(AND(Config!$B$14&lt;&gt;"",I271&lt;&gt;"Sim",I271&lt;&gt;"N/A"),Config!$B$14&amp;"; ","")&amp;IF(AND(Config!$B$15&lt;&gt;"",J271&lt;&gt;"Sim",J271&lt;&gt;"N/A"),Config!$B$15&amp;"; ","")&amp;IF(AND(Config!$B$16&lt;&gt;"",K271&lt;&gt;"Sim",K271&lt;&gt;"N/A"),Config!$B$16&amp;"; ","")&amp;IF(AND(Config!$B$17&lt;&gt;"",L271&lt;&gt;"Sim",L271&lt;&gt;"N/A"),Config!$B$17&amp;"; ","")&amp;IF(AND(Config!$B$18&lt;&gt;"",M271&lt;&gt;"Sim",M271&lt;&gt;"N/A"),Config!$B$18&amp;"; ","")&amp;IF(AND(Config!$B$19&lt;&gt;"",N271&lt;&gt;"Sim",N271&lt;&gt;"N/A"),Config!$B$19&amp;"; ","")&amp;IF(AND($D271="Encerrado",Config!$D$10&lt;&gt;"",O271&lt;&gt;"Sim",O271&lt;&gt;"N/A"),Config!$D$10&amp;"; ","")&amp;IF(AND($D271="Encerrado",Config!$D$11&lt;&gt;"",P271&lt;&gt;"Sim",P271&lt;&gt;"N/A"),Config!$D$11&amp;"; ","")&amp;IF(AND($D271="Encerrado",Config!$D$12&lt;&gt;"",Q271&lt;&gt;"Sim",Q271&lt;&gt;"N/A"),Config!$D$12&amp;"; ","")&amp;IF(AND($D271="Encerrado",Config!$D$13&lt;&gt;"",R271&lt;&gt;"Sim",R271&lt;&gt;"N/A"),Config!$D$13&amp;"; ","")&amp;IF(AND($D271="Encerrado",Config!$D$14&lt;&gt;"",S271&lt;&gt;"Sim",S271&lt;&gt;"N/A"),Config!$D$14&amp;"; ","")&amp;IF(AND($D271="Encerrado",Config!$D$15&lt;&gt;"",T271&lt;&gt;"Sim",T271&lt;&gt;"N/A"),Config!$D$15&amp;"; ","")&amp;IF(AND($D271="Encerrado",Config!$D$16&lt;&gt;"",U271&lt;&gt;"Sim",U271&lt;&gt;"N/A"),Config!$D$16&amp;"; ","")&amp;IF(AND($D271="Encerrado",Config!$D$17&lt;&gt;"",V271&lt;&gt;"Sim",V271&lt;&gt;"N/A"),Config!$D$17&amp;"; ","")&amp;IF(AND($D271="Encerrado",Config!$D$18&lt;&gt;"",W271&lt;&gt;"Sim",W271&lt;&gt;"N/A"),Config!$D$18&amp;"; ","")&amp;IF(AND($D271="Encerrado",Config!$D$19&lt;&gt;"",X271&lt;&gt;"Sim",X271&lt;&gt;"N/A"),Config!$D$19&amp;"; ",""))</f>
        <v/>
      </c>
    </row>
    <row r="272">
      <c r="A272" s="29" t="n"/>
      <c r="B272" s="29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25">
        <f>IF(A272="","",IFERROR(COUNTIF(E272:N272,"Sim")/(Config!$B$21-COUNTIF(E272:N272,"N/A")),""))</f>
        <v/>
      </c>
      <c r="Z272" s="25">
        <f>IF(OR(A272="",D272&lt;&gt;"Encerrado"),"",IFERROR(COUNTIF(O272:X272,"Sim")/(Config!$D$21-COUNTIF(O272:X272,"N/A")),""))</f>
        <v/>
      </c>
      <c r="AA272" s="23">
        <f>IF(A272="","",MAX(0,Config!$B$21-COUNTIF(E272:N272,"Sim")-COUNTIF(E272:N272,"N/A")))</f>
        <v/>
      </c>
      <c r="AB272" s="23">
        <f>IF(OR(A272="",D272&lt;&gt;"Encerrado"),"",MAX(0,Config!$D$21-COUNTIF(O272:X272,"Sim")-COUNTIF(O272:X272,"N/A")))</f>
        <v/>
      </c>
      <c r="AC272" s="23">
        <f>IF(A272="","",AA272+IF(AB272="",0,AB272))</f>
        <v/>
      </c>
      <c r="AD272" s="24">
        <f>IF(OR(A272="",AF272=""),"",LEFT(AF272,LEN(AF272)-2))</f>
        <v/>
      </c>
      <c r="AE272" s="35">
        <f>IF(OR(A272="",AC272=0),0,AC272*100-ROW()/100000)</f>
        <v>0</v>
      </c>
      <c r="AF272" s="35">
        <f>IF(A272="","",IF(AND(Config!$B$10&lt;&gt;"",E272&lt;&gt;"Sim",E272&lt;&gt;"N/A"),Config!$B$10&amp;"; ","")&amp;IF(AND(Config!$B$11&lt;&gt;"",F272&lt;&gt;"Sim",F272&lt;&gt;"N/A"),Config!$B$11&amp;"; ","")&amp;IF(AND(Config!$B$12&lt;&gt;"",G272&lt;&gt;"Sim",G272&lt;&gt;"N/A"),Config!$B$12&amp;"; ","")&amp;IF(AND(Config!$B$13&lt;&gt;"",H272&lt;&gt;"Sim",H272&lt;&gt;"N/A"),Config!$B$13&amp;"; ","")&amp;IF(AND(Config!$B$14&lt;&gt;"",I272&lt;&gt;"Sim",I272&lt;&gt;"N/A"),Config!$B$14&amp;"; ","")&amp;IF(AND(Config!$B$15&lt;&gt;"",J272&lt;&gt;"Sim",J272&lt;&gt;"N/A"),Config!$B$15&amp;"; ","")&amp;IF(AND(Config!$B$16&lt;&gt;"",K272&lt;&gt;"Sim",K272&lt;&gt;"N/A"),Config!$B$16&amp;"; ","")&amp;IF(AND(Config!$B$17&lt;&gt;"",L272&lt;&gt;"Sim",L272&lt;&gt;"N/A"),Config!$B$17&amp;"; ","")&amp;IF(AND(Config!$B$18&lt;&gt;"",M272&lt;&gt;"Sim",M272&lt;&gt;"N/A"),Config!$B$18&amp;"; ","")&amp;IF(AND(Config!$B$19&lt;&gt;"",N272&lt;&gt;"Sim",N272&lt;&gt;"N/A"),Config!$B$19&amp;"; ","")&amp;IF(AND($D272="Encerrado",Config!$D$10&lt;&gt;"",O272&lt;&gt;"Sim",O272&lt;&gt;"N/A"),Config!$D$10&amp;"; ","")&amp;IF(AND($D272="Encerrado",Config!$D$11&lt;&gt;"",P272&lt;&gt;"Sim",P272&lt;&gt;"N/A"),Config!$D$11&amp;"; ","")&amp;IF(AND($D272="Encerrado",Config!$D$12&lt;&gt;"",Q272&lt;&gt;"Sim",Q272&lt;&gt;"N/A"),Config!$D$12&amp;"; ","")&amp;IF(AND($D272="Encerrado",Config!$D$13&lt;&gt;"",R272&lt;&gt;"Sim",R272&lt;&gt;"N/A"),Config!$D$13&amp;"; ","")&amp;IF(AND($D272="Encerrado",Config!$D$14&lt;&gt;"",S272&lt;&gt;"Sim",S272&lt;&gt;"N/A"),Config!$D$14&amp;"; ","")&amp;IF(AND($D272="Encerrado",Config!$D$15&lt;&gt;"",T272&lt;&gt;"Sim",T272&lt;&gt;"N/A"),Config!$D$15&amp;"; ","")&amp;IF(AND($D272="Encerrado",Config!$D$16&lt;&gt;"",U272&lt;&gt;"Sim",U272&lt;&gt;"N/A"),Config!$D$16&amp;"; ","")&amp;IF(AND($D272="Encerrado",Config!$D$17&lt;&gt;"",V272&lt;&gt;"Sim",V272&lt;&gt;"N/A"),Config!$D$17&amp;"; ","")&amp;IF(AND($D272="Encerrado",Config!$D$18&lt;&gt;"",W272&lt;&gt;"Sim",W272&lt;&gt;"N/A"),Config!$D$18&amp;"; ","")&amp;IF(AND($D272="Encerrado",Config!$D$19&lt;&gt;"",X272&lt;&gt;"Sim",X272&lt;&gt;"N/A"),Config!$D$19&amp;"; ",""))</f>
        <v/>
      </c>
    </row>
    <row r="273">
      <c r="A273" s="29" t="n"/>
      <c r="B273" s="29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25">
        <f>IF(A273="","",IFERROR(COUNTIF(E273:N273,"Sim")/(Config!$B$21-COUNTIF(E273:N273,"N/A")),""))</f>
        <v/>
      </c>
      <c r="Z273" s="25">
        <f>IF(OR(A273="",D273&lt;&gt;"Encerrado"),"",IFERROR(COUNTIF(O273:X273,"Sim")/(Config!$D$21-COUNTIF(O273:X273,"N/A")),""))</f>
        <v/>
      </c>
      <c r="AA273" s="23">
        <f>IF(A273="","",MAX(0,Config!$B$21-COUNTIF(E273:N273,"Sim")-COUNTIF(E273:N273,"N/A")))</f>
        <v/>
      </c>
      <c r="AB273" s="23">
        <f>IF(OR(A273="",D273&lt;&gt;"Encerrado"),"",MAX(0,Config!$D$21-COUNTIF(O273:X273,"Sim")-COUNTIF(O273:X273,"N/A")))</f>
        <v/>
      </c>
      <c r="AC273" s="23">
        <f>IF(A273="","",AA273+IF(AB273="",0,AB273))</f>
        <v/>
      </c>
      <c r="AD273" s="24">
        <f>IF(OR(A273="",AF273=""),"",LEFT(AF273,LEN(AF273)-2))</f>
        <v/>
      </c>
      <c r="AE273" s="35">
        <f>IF(OR(A273="",AC273=0),0,AC273*100-ROW()/100000)</f>
        <v>0</v>
      </c>
      <c r="AF273" s="35">
        <f>IF(A273="","",IF(AND(Config!$B$10&lt;&gt;"",E273&lt;&gt;"Sim",E273&lt;&gt;"N/A"),Config!$B$10&amp;"; ","")&amp;IF(AND(Config!$B$11&lt;&gt;"",F273&lt;&gt;"Sim",F273&lt;&gt;"N/A"),Config!$B$11&amp;"; ","")&amp;IF(AND(Config!$B$12&lt;&gt;"",G273&lt;&gt;"Sim",G273&lt;&gt;"N/A"),Config!$B$12&amp;"; ","")&amp;IF(AND(Config!$B$13&lt;&gt;"",H273&lt;&gt;"Sim",H273&lt;&gt;"N/A"),Config!$B$13&amp;"; ","")&amp;IF(AND(Config!$B$14&lt;&gt;"",I273&lt;&gt;"Sim",I273&lt;&gt;"N/A"),Config!$B$14&amp;"; ","")&amp;IF(AND(Config!$B$15&lt;&gt;"",J273&lt;&gt;"Sim",J273&lt;&gt;"N/A"),Config!$B$15&amp;"; ","")&amp;IF(AND(Config!$B$16&lt;&gt;"",K273&lt;&gt;"Sim",K273&lt;&gt;"N/A"),Config!$B$16&amp;"; ","")&amp;IF(AND(Config!$B$17&lt;&gt;"",L273&lt;&gt;"Sim",L273&lt;&gt;"N/A"),Config!$B$17&amp;"; ","")&amp;IF(AND(Config!$B$18&lt;&gt;"",M273&lt;&gt;"Sim",M273&lt;&gt;"N/A"),Config!$B$18&amp;"; ","")&amp;IF(AND(Config!$B$19&lt;&gt;"",N273&lt;&gt;"Sim",N273&lt;&gt;"N/A"),Config!$B$19&amp;"; ","")&amp;IF(AND($D273="Encerrado",Config!$D$10&lt;&gt;"",O273&lt;&gt;"Sim",O273&lt;&gt;"N/A"),Config!$D$10&amp;"; ","")&amp;IF(AND($D273="Encerrado",Config!$D$11&lt;&gt;"",P273&lt;&gt;"Sim",P273&lt;&gt;"N/A"),Config!$D$11&amp;"; ","")&amp;IF(AND($D273="Encerrado",Config!$D$12&lt;&gt;"",Q273&lt;&gt;"Sim",Q273&lt;&gt;"N/A"),Config!$D$12&amp;"; ","")&amp;IF(AND($D273="Encerrado",Config!$D$13&lt;&gt;"",R273&lt;&gt;"Sim",R273&lt;&gt;"N/A"),Config!$D$13&amp;"; ","")&amp;IF(AND($D273="Encerrado",Config!$D$14&lt;&gt;"",S273&lt;&gt;"Sim",S273&lt;&gt;"N/A"),Config!$D$14&amp;"; ","")&amp;IF(AND($D273="Encerrado",Config!$D$15&lt;&gt;"",T273&lt;&gt;"Sim",T273&lt;&gt;"N/A"),Config!$D$15&amp;"; ","")&amp;IF(AND($D273="Encerrado",Config!$D$16&lt;&gt;"",U273&lt;&gt;"Sim",U273&lt;&gt;"N/A"),Config!$D$16&amp;"; ","")&amp;IF(AND($D273="Encerrado",Config!$D$17&lt;&gt;"",V273&lt;&gt;"Sim",V273&lt;&gt;"N/A"),Config!$D$17&amp;"; ","")&amp;IF(AND($D273="Encerrado",Config!$D$18&lt;&gt;"",W273&lt;&gt;"Sim",W273&lt;&gt;"N/A"),Config!$D$18&amp;"; ","")&amp;IF(AND($D273="Encerrado",Config!$D$19&lt;&gt;"",X273&lt;&gt;"Sim",X273&lt;&gt;"N/A"),Config!$D$19&amp;"; ",""))</f>
        <v/>
      </c>
    </row>
    <row r="274">
      <c r="A274" s="29" t="n"/>
      <c r="B274" s="29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25">
        <f>IF(A274="","",IFERROR(COUNTIF(E274:N274,"Sim")/(Config!$B$21-COUNTIF(E274:N274,"N/A")),""))</f>
        <v/>
      </c>
      <c r="Z274" s="25">
        <f>IF(OR(A274="",D274&lt;&gt;"Encerrado"),"",IFERROR(COUNTIF(O274:X274,"Sim")/(Config!$D$21-COUNTIF(O274:X274,"N/A")),""))</f>
        <v/>
      </c>
      <c r="AA274" s="23">
        <f>IF(A274="","",MAX(0,Config!$B$21-COUNTIF(E274:N274,"Sim")-COUNTIF(E274:N274,"N/A")))</f>
        <v/>
      </c>
      <c r="AB274" s="23">
        <f>IF(OR(A274="",D274&lt;&gt;"Encerrado"),"",MAX(0,Config!$D$21-COUNTIF(O274:X274,"Sim")-COUNTIF(O274:X274,"N/A")))</f>
        <v/>
      </c>
      <c r="AC274" s="23">
        <f>IF(A274="","",AA274+IF(AB274="",0,AB274))</f>
        <v/>
      </c>
      <c r="AD274" s="24">
        <f>IF(OR(A274="",AF274=""),"",LEFT(AF274,LEN(AF274)-2))</f>
        <v/>
      </c>
      <c r="AE274" s="35">
        <f>IF(OR(A274="",AC274=0),0,AC274*100-ROW()/100000)</f>
        <v>0</v>
      </c>
      <c r="AF274" s="35">
        <f>IF(A274="","",IF(AND(Config!$B$10&lt;&gt;"",E274&lt;&gt;"Sim",E274&lt;&gt;"N/A"),Config!$B$10&amp;"; ","")&amp;IF(AND(Config!$B$11&lt;&gt;"",F274&lt;&gt;"Sim",F274&lt;&gt;"N/A"),Config!$B$11&amp;"; ","")&amp;IF(AND(Config!$B$12&lt;&gt;"",G274&lt;&gt;"Sim",G274&lt;&gt;"N/A"),Config!$B$12&amp;"; ","")&amp;IF(AND(Config!$B$13&lt;&gt;"",H274&lt;&gt;"Sim",H274&lt;&gt;"N/A"),Config!$B$13&amp;"; ","")&amp;IF(AND(Config!$B$14&lt;&gt;"",I274&lt;&gt;"Sim",I274&lt;&gt;"N/A"),Config!$B$14&amp;"; ","")&amp;IF(AND(Config!$B$15&lt;&gt;"",J274&lt;&gt;"Sim",J274&lt;&gt;"N/A"),Config!$B$15&amp;"; ","")&amp;IF(AND(Config!$B$16&lt;&gt;"",K274&lt;&gt;"Sim",K274&lt;&gt;"N/A"),Config!$B$16&amp;"; ","")&amp;IF(AND(Config!$B$17&lt;&gt;"",L274&lt;&gt;"Sim",L274&lt;&gt;"N/A"),Config!$B$17&amp;"; ","")&amp;IF(AND(Config!$B$18&lt;&gt;"",M274&lt;&gt;"Sim",M274&lt;&gt;"N/A"),Config!$B$18&amp;"; ","")&amp;IF(AND(Config!$B$19&lt;&gt;"",N274&lt;&gt;"Sim",N274&lt;&gt;"N/A"),Config!$B$19&amp;"; ","")&amp;IF(AND($D274="Encerrado",Config!$D$10&lt;&gt;"",O274&lt;&gt;"Sim",O274&lt;&gt;"N/A"),Config!$D$10&amp;"; ","")&amp;IF(AND($D274="Encerrado",Config!$D$11&lt;&gt;"",P274&lt;&gt;"Sim",P274&lt;&gt;"N/A"),Config!$D$11&amp;"; ","")&amp;IF(AND($D274="Encerrado",Config!$D$12&lt;&gt;"",Q274&lt;&gt;"Sim",Q274&lt;&gt;"N/A"),Config!$D$12&amp;"; ","")&amp;IF(AND($D274="Encerrado",Config!$D$13&lt;&gt;"",R274&lt;&gt;"Sim",R274&lt;&gt;"N/A"),Config!$D$13&amp;"; ","")&amp;IF(AND($D274="Encerrado",Config!$D$14&lt;&gt;"",S274&lt;&gt;"Sim",S274&lt;&gt;"N/A"),Config!$D$14&amp;"; ","")&amp;IF(AND($D274="Encerrado",Config!$D$15&lt;&gt;"",T274&lt;&gt;"Sim",T274&lt;&gt;"N/A"),Config!$D$15&amp;"; ","")&amp;IF(AND($D274="Encerrado",Config!$D$16&lt;&gt;"",U274&lt;&gt;"Sim",U274&lt;&gt;"N/A"),Config!$D$16&amp;"; ","")&amp;IF(AND($D274="Encerrado",Config!$D$17&lt;&gt;"",V274&lt;&gt;"Sim",V274&lt;&gt;"N/A"),Config!$D$17&amp;"; ","")&amp;IF(AND($D274="Encerrado",Config!$D$18&lt;&gt;"",W274&lt;&gt;"Sim",W274&lt;&gt;"N/A"),Config!$D$18&amp;"; ","")&amp;IF(AND($D274="Encerrado",Config!$D$19&lt;&gt;"",X274&lt;&gt;"Sim",X274&lt;&gt;"N/A"),Config!$D$19&amp;"; ",""))</f>
        <v/>
      </c>
    </row>
    <row r="275">
      <c r="A275" s="29" t="n"/>
      <c r="B275" s="29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25">
        <f>IF(A275="","",IFERROR(COUNTIF(E275:N275,"Sim")/(Config!$B$21-COUNTIF(E275:N275,"N/A")),""))</f>
        <v/>
      </c>
      <c r="Z275" s="25">
        <f>IF(OR(A275="",D275&lt;&gt;"Encerrado"),"",IFERROR(COUNTIF(O275:X275,"Sim")/(Config!$D$21-COUNTIF(O275:X275,"N/A")),""))</f>
        <v/>
      </c>
      <c r="AA275" s="23">
        <f>IF(A275="","",MAX(0,Config!$B$21-COUNTIF(E275:N275,"Sim")-COUNTIF(E275:N275,"N/A")))</f>
        <v/>
      </c>
      <c r="AB275" s="23">
        <f>IF(OR(A275="",D275&lt;&gt;"Encerrado"),"",MAX(0,Config!$D$21-COUNTIF(O275:X275,"Sim")-COUNTIF(O275:X275,"N/A")))</f>
        <v/>
      </c>
      <c r="AC275" s="23">
        <f>IF(A275="","",AA275+IF(AB275="",0,AB275))</f>
        <v/>
      </c>
      <c r="AD275" s="24">
        <f>IF(OR(A275="",AF275=""),"",LEFT(AF275,LEN(AF275)-2))</f>
        <v/>
      </c>
      <c r="AE275" s="35">
        <f>IF(OR(A275="",AC275=0),0,AC275*100-ROW()/100000)</f>
        <v>0</v>
      </c>
      <c r="AF275" s="35">
        <f>IF(A275="","",IF(AND(Config!$B$10&lt;&gt;"",E275&lt;&gt;"Sim",E275&lt;&gt;"N/A"),Config!$B$10&amp;"; ","")&amp;IF(AND(Config!$B$11&lt;&gt;"",F275&lt;&gt;"Sim",F275&lt;&gt;"N/A"),Config!$B$11&amp;"; ","")&amp;IF(AND(Config!$B$12&lt;&gt;"",G275&lt;&gt;"Sim",G275&lt;&gt;"N/A"),Config!$B$12&amp;"; ","")&amp;IF(AND(Config!$B$13&lt;&gt;"",H275&lt;&gt;"Sim",H275&lt;&gt;"N/A"),Config!$B$13&amp;"; ","")&amp;IF(AND(Config!$B$14&lt;&gt;"",I275&lt;&gt;"Sim",I275&lt;&gt;"N/A"),Config!$B$14&amp;"; ","")&amp;IF(AND(Config!$B$15&lt;&gt;"",J275&lt;&gt;"Sim",J275&lt;&gt;"N/A"),Config!$B$15&amp;"; ","")&amp;IF(AND(Config!$B$16&lt;&gt;"",K275&lt;&gt;"Sim",K275&lt;&gt;"N/A"),Config!$B$16&amp;"; ","")&amp;IF(AND(Config!$B$17&lt;&gt;"",L275&lt;&gt;"Sim",L275&lt;&gt;"N/A"),Config!$B$17&amp;"; ","")&amp;IF(AND(Config!$B$18&lt;&gt;"",M275&lt;&gt;"Sim",M275&lt;&gt;"N/A"),Config!$B$18&amp;"; ","")&amp;IF(AND(Config!$B$19&lt;&gt;"",N275&lt;&gt;"Sim",N275&lt;&gt;"N/A"),Config!$B$19&amp;"; ","")&amp;IF(AND($D275="Encerrado",Config!$D$10&lt;&gt;"",O275&lt;&gt;"Sim",O275&lt;&gt;"N/A"),Config!$D$10&amp;"; ","")&amp;IF(AND($D275="Encerrado",Config!$D$11&lt;&gt;"",P275&lt;&gt;"Sim",P275&lt;&gt;"N/A"),Config!$D$11&amp;"; ","")&amp;IF(AND($D275="Encerrado",Config!$D$12&lt;&gt;"",Q275&lt;&gt;"Sim",Q275&lt;&gt;"N/A"),Config!$D$12&amp;"; ","")&amp;IF(AND($D275="Encerrado",Config!$D$13&lt;&gt;"",R275&lt;&gt;"Sim",R275&lt;&gt;"N/A"),Config!$D$13&amp;"; ","")&amp;IF(AND($D275="Encerrado",Config!$D$14&lt;&gt;"",S275&lt;&gt;"Sim",S275&lt;&gt;"N/A"),Config!$D$14&amp;"; ","")&amp;IF(AND($D275="Encerrado",Config!$D$15&lt;&gt;"",T275&lt;&gt;"Sim",T275&lt;&gt;"N/A"),Config!$D$15&amp;"; ","")&amp;IF(AND($D275="Encerrado",Config!$D$16&lt;&gt;"",U275&lt;&gt;"Sim",U275&lt;&gt;"N/A"),Config!$D$16&amp;"; ","")&amp;IF(AND($D275="Encerrado",Config!$D$17&lt;&gt;"",V275&lt;&gt;"Sim",V275&lt;&gt;"N/A"),Config!$D$17&amp;"; ","")&amp;IF(AND($D275="Encerrado",Config!$D$18&lt;&gt;"",W275&lt;&gt;"Sim",W275&lt;&gt;"N/A"),Config!$D$18&amp;"; ","")&amp;IF(AND($D275="Encerrado",Config!$D$19&lt;&gt;"",X275&lt;&gt;"Sim",X275&lt;&gt;"N/A"),Config!$D$19&amp;"; ",""))</f>
        <v/>
      </c>
    </row>
    <row r="276">
      <c r="A276" s="29" t="n"/>
      <c r="B276" s="29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25">
        <f>IF(A276="","",IFERROR(COUNTIF(E276:N276,"Sim")/(Config!$B$21-COUNTIF(E276:N276,"N/A")),""))</f>
        <v/>
      </c>
      <c r="Z276" s="25">
        <f>IF(OR(A276="",D276&lt;&gt;"Encerrado"),"",IFERROR(COUNTIF(O276:X276,"Sim")/(Config!$D$21-COUNTIF(O276:X276,"N/A")),""))</f>
        <v/>
      </c>
      <c r="AA276" s="23">
        <f>IF(A276="","",MAX(0,Config!$B$21-COUNTIF(E276:N276,"Sim")-COUNTIF(E276:N276,"N/A")))</f>
        <v/>
      </c>
      <c r="AB276" s="23">
        <f>IF(OR(A276="",D276&lt;&gt;"Encerrado"),"",MAX(0,Config!$D$21-COUNTIF(O276:X276,"Sim")-COUNTIF(O276:X276,"N/A")))</f>
        <v/>
      </c>
      <c r="AC276" s="23">
        <f>IF(A276="","",AA276+IF(AB276="",0,AB276))</f>
        <v/>
      </c>
      <c r="AD276" s="24">
        <f>IF(OR(A276="",AF276=""),"",LEFT(AF276,LEN(AF276)-2))</f>
        <v/>
      </c>
      <c r="AE276" s="35">
        <f>IF(OR(A276="",AC276=0),0,AC276*100-ROW()/100000)</f>
        <v>0</v>
      </c>
      <c r="AF276" s="35">
        <f>IF(A276="","",IF(AND(Config!$B$10&lt;&gt;"",E276&lt;&gt;"Sim",E276&lt;&gt;"N/A"),Config!$B$10&amp;"; ","")&amp;IF(AND(Config!$B$11&lt;&gt;"",F276&lt;&gt;"Sim",F276&lt;&gt;"N/A"),Config!$B$11&amp;"; ","")&amp;IF(AND(Config!$B$12&lt;&gt;"",G276&lt;&gt;"Sim",G276&lt;&gt;"N/A"),Config!$B$12&amp;"; ","")&amp;IF(AND(Config!$B$13&lt;&gt;"",H276&lt;&gt;"Sim",H276&lt;&gt;"N/A"),Config!$B$13&amp;"; ","")&amp;IF(AND(Config!$B$14&lt;&gt;"",I276&lt;&gt;"Sim",I276&lt;&gt;"N/A"),Config!$B$14&amp;"; ","")&amp;IF(AND(Config!$B$15&lt;&gt;"",J276&lt;&gt;"Sim",J276&lt;&gt;"N/A"),Config!$B$15&amp;"; ","")&amp;IF(AND(Config!$B$16&lt;&gt;"",K276&lt;&gt;"Sim",K276&lt;&gt;"N/A"),Config!$B$16&amp;"; ","")&amp;IF(AND(Config!$B$17&lt;&gt;"",L276&lt;&gt;"Sim",L276&lt;&gt;"N/A"),Config!$B$17&amp;"; ","")&amp;IF(AND(Config!$B$18&lt;&gt;"",M276&lt;&gt;"Sim",M276&lt;&gt;"N/A"),Config!$B$18&amp;"; ","")&amp;IF(AND(Config!$B$19&lt;&gt;"",N276&lt;&gt;"Sim",N276&lt;&gt;"N/A"),Config!$B$19&amp;"; ","")&amp;IF(AND($D276="Encerrado",Config!$D$10&lt;&gt;"",O276&lt;&gt;"Sim",O276&lt;&gt;"N/A"),Config!$D$10&amp;"; ","")&amp;IF(AND($D276="Encerrado",Config!$D$11&lt;&gt;"",P276&lt;&gt;"Sim",P276&lt;&gt;"N/A"),Config!$D$11&amp;"; ","")&amp;IF(AND($D276="Encerrado",Config!$D$12&lt;&gt;"",Q276&lt;&gt;"Sim",Q276&lt;&gt;"N/A"),Config!$D$12&amp;"; ","")&amp;IF(AND($D276="Encerrado",Config!$D$13&lt;&gt;"",R276&lt;&gt;"Sim",R276&lt;&gt;"N/A"),Config!$D$13&amp;"; ","")&amp;IF(AND($D276="Encerrado",Config!$D$14&lt;&gt;"",S276&lt;&gt;"Sim",S276&lt;&gt;"N/A"),Config!$D$14&amp;"; ","")&amp;IF(AND($D276="Encerrado",Config!$D$15&lt;&gt;"",T276&lt;&gt;"Sim",T276&lt;&gt;"N/A"),Config!$D$15&amp;"; ","")&amp;IF(AND($D276="Encerrado",Config!$D$16&lt;&gt;"",U276&lt;&gt;"Sim",U276&lt;&gt;"N/A"),Config!$D$16&amp;"; ","")&amp;IF(AND($D276="Encerrado",Config!$D$17&lt;&gt;"",V276&lt;&gt;"Sim",V276&lt;&gt;"N/A"),Config!$D$17&amp;"; ","")&amp;IF(AND($D276="Encerrado",Config!$D$18&lt;&gt;"",W276&lt;&gt;"Sim",W276&lt;&gt;"N/A"),Config!$D$18&amp;"; ","")&amp;IF(AND($D276="Encerrado",Config!$D$19&lt;&gt;"",X276&lt;&gt;"Sim",X276&lt;&gt;"N/A"),Config!$D$19&amp;"; ",""))</f>
        <v/>
      </c>
    </row>
    <row r="277">
      <c r="A277" s="29" t="n"/>
      <c r="B277" s="29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25">
        <f>IF(A277="","",IFERROR(COUNTIF(E277:N277,"Sim")/(Config!$B$21-COUNTIF(E277:N277,"N/A")),""))</f>
        <v/>
      </c>
      <c r="Z277" s="25">
        <f>IF(OR(A277="",D277&lt;&gt;"Encerrado"),"",IFERROR(COUNTIF(O277:X277,"Sim")/(Config!$D$21-COUNTIF(O277:X277,"N/A")),""))</f>
        <v/>
      </c>
      <c r="AA277" s="23">
        <f>IF(A277="","",MAX(0,Config!$B$21-COUNTIF(E277:N277,"Sim")-COUNTIF(E277:N277,"N/A")))</f>
        <v/>
      </c>
      <c r="AB277" s="23">
        <f>IF(OR(A277="",D277&lt;&gt;"Encerrado"),"",MAX(0,Config!$D$21-COUNTIF(O277:X277,"Sim")-COUNTIF(O277:X277,"N/A")))</f>
        <v/>
      </c>
      <c r="AC277" s="23">
        <f>IF(A277="","",AA277+IF(AB277="",0,AB277))</f>
        <v/>
      </c>
      <c r="AD277" s="24">
        <f>IF(OR(A277="",AF277=""),"",LEFT(AF277,LEN(AF277)-2))</f>
        <v/>
      </c>
      <c r="AE277" s="35">
        <f>IF(OR(A277="",AC277=0),0,AC277*100-ROW()/100000)</f>
        <v>0</v>
      </c>
      <c r="AF277" s="35">
        <f>IF(A277="","",IF(AND(Config!$B$10&lt;&gt;"",E277&lt;&gt;"Sim",E277&lt;&gt;"N/A"),Config!$B$10&amp;"; ","")&amp;IF(AND(Config!$B$11&lt;&gt;"",F277&lt;&gt;"Sim",F277&lt;&gt;"N/A"),Config!$B$11&amp;"; ","")&amp;IF(AND(Config!$B$12&lt;&gt;"",G277&lt;&gt;"Sim",G277&lt;&gt;"N/A"),Config!$B$12&amp;"; ","")&amp;IF(AND(Config!$B$13&lt;&gt;"",H277&lt;&gt;"Sim",H277&lt;&gt;"N/A"),Config!$B$13&amp;"; ","")&amp;IF(AND(Config!$B$14&lt;&gt;"",I277&lt;&gt;"Sim",I277&lt;&gt;"N/A"),Config!$B$14&amp;"; ","")&amp;IF(AND(Config!$B$15&lt;&gt;"",J277&lt;&gt;"Sim",J277&lt;&gt;"N/A"),Config!$B$15&amp;"; ","")&amp;IF(AND(Config!$B$16&lt;&gt;"",K277&lt;&gt;"Sim",K277&lt;&gt;"N/A"),Config!$B$16&amp;"; ","")&amp;IF(AND(Config!$B$17&lt;&gt;"",L277&lt;&gt;"Sim",L277&lt;&gt;"N/A"),Config!$B$17&amp;"; ","")&amp;IF(AND(Config!$B$18&lt;&gt;"",M277&lt;&gt;"Sim",M277&lt;&gt;"N/A"),Config!$B$18&amp;"; ","")&amp;IF(AND(Config!$B$19&lt;&gt;"",N277&lt;&gt;"Sim",N277&lt;&gt;"N/A"),Config!$B$19&amp;"; ","")&amp;IF(AND($D277="Encerrado",Config!$D$10&lt;&gt;"",O277&lt;&gt;"Sim",O277&lt;&gt;"N/A"),Config!$D$10&amp;"; ","")&amp;IF(AND($D277="Encerrado",Config!$D$11&lt;&gt;"",P277&lt;&gt;"Sim",P277&lt;&gt;"N/A"),Config!$D$11&amp;"; ","")&amp;IF(AND($D277="Encerrado",Config!$D$12&lt;&gt;"",Q277&lt;&gt;"Sim",Q277&lt;&gt;"N/A"),Config!$D$12&amp;"; ","")&amp;IF(AND($D277="Encerrado",Config!$D$13&lt;&gt;"",R277&lt;&gt;"Sim",R277&lt;&gt;"N/A"),Config!$D$13&amp;"; ","")&amp;IF(AND($D277="Encerrado",Config!$D$14&lt;&gt;"",S277&lt;&gt;"Sim",S277&lt;&gt;"N/A"),Config!$D$14&amp;"; ","")&amp;IF(AND($D277="Encerrado",Config!$D$15&lt;&gt;"",T277&lt;&gt;"Sim",T277&lt;&gt;"N/A"),Config!$D$15&amp;"; ","")&amp;IF(AND($D277="Encerrado",Config!$D$16&lt;&gt;"",U277&lt;&gt;"Sim",U277&lt;&gt;"N/A"),Config!$D$16&amp;"; ","")&amp;IF(AND($D277="Encerrado",Config!$D$17&lt;&gt;"",V277&lt;&gt;"Sim",V277&lt;&gt;"N/A"),Config!$D$17&amp;"; ","")&amp;IF(AND($D277="Encerrado",Config!$D$18&lt;&gt;"",W277&lt;&gt;"Sim",W277&lt;&gt;"N/A"),Config!$D$18&amp;"; ","")&amp;IF(AND($D277="Encerrado",Config!$D$19&lt;&gt;"",X277&lt;&gt;"Sim",X277&lt;&gt;"N/A"),Config!$D$19&amp;"; ",""))</f>
        <v/>
      </c>
    </row>
    <row r="278">
      <c r="A278" s="29" t="n"/>
      <c r="B278" s="29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25">
        <f>IF(A278="","",IFERROR(COUNTIF(E278:N278,"Sim")/(Config!$B$21-COUNTIF(E278:N278,"N/A")),""))</f>
        <v/>
      </c>
      <c r="Z278" s="25">
        <f>IF(OR(A278="",D278&lt;&gt;"Encerrado"),"",IFERROR(COUNTIF(O278:X278,"Sim")/(Config!$D$21-COUNTIF(O278:X278,"N/A")),""))</f>
        <v/>
      </c>
      <c r="AA278" s="23">
        <f>IF(A278="","",MAX(0,Config!$B$21-COUNTIF(E278:N278,"Sim")-COUNTIF(E278:N278,"N/A")))</f>
        <v/>
      </c>
      <c r="AB278" s="23">
        <f>IF(OR(A278="",D278&lt;&gt;"Encerrado"),"",MAX(0,Config!$D$21-COUNTIF(O278:X278,"Sim")-COUNTIF(O278:X278,"N/A")))</f>
        <v/>
      </c>
      <c r="AC278" s="23">
        <f>IF(A278="","",AA278+IF(AB278="",0,AB278))</f>
        <v/>
      </c>
      <c r="AD278" s="24">
        <f>IF(OR(A278="",AF278=""),"",LEFT(AF278,LEN(AF278)-2))</f>
        <v/>
      </c>
      <c r="AE278" s="35">
        <f>IF(OR(A278="",AC278=0),0,AC278*100-ROW()/100000)</f>
        <v>0</v>
      </c>
      <c r="AF278" s="35">
        <f>IF(A278="","",IF(AND(Config!$B$10&lt;&gt;"",E278&lt;&gt;"Sim",E278&lt;&gt;"N/A"),Config!$B$10&amp;"; ","")&amp;IF(AND(Config!$B$11&lt;&gt;"",F278&lt;&gt;"Sim",F278&lt;&gt;"N/A"),Config!$B$11&amp;"; ","")&amp;IF(AND(Config!$B$12&lt;&gt;"",G278&lt;&gt;"Sim",G278&lt;&gt;"N/A"),Config!$B$12&amp;"; ","")&amp;IF(AND(Config!$B$13&lt;&gt;"",H278&lt;&gt;"Sim",H278&lt;&gt;"N/A"),Config!$B$13&amp;"; ","")&amp;IF(AND(Config!$B$14&lt;&gt;"",I278&lt;&gt;"Sim",I278&lt;&gt;"N/A"),Config!$B$14&amp;"; ","")&amp;IF(AND(Config!$B$15&lt;&gt;"",J278&lt;&gt;"Sim",J278&lt;&gt;"N/A"),Config!$B$15&amp;"; ","")&amp;IF(AND(Config!$B$16&lt;&gt;"",K278&lt;&gt;"Sim",K278&lt;&gt;"N/A"),Config!$B$16&amp;"; ","")&amp;IF(AND(Config!$B$17&lt;&gt;"",L278&lt;&gt;"Sim",L278&lt;&gt;"N/A"),Config!$B$17&amp;"; ","")&amp;IF(AND(Config!$B$18&lt;&gt;"",M278&lt;&gt;"Sim",M278&lt;&gt;"N/A"),Config!$B$18&amp;"; ","")&amp;IF(AND(Config!$B$19&lt;&gt;"",N278&lt;&gt;"Sim",N278&lt;&gt;"N/A"),Config!$B$19&amp;"; ","")&amp;IF(AND($D278="Encerrado",Config!$D$10&lt;&gt;"",O278&lt;&gt;"Sim",O278&lt;&gt;"N/A"),Config!$D$10&amp;"; ","")&amp;IF(AND($D278="Encerrado",Config!$D$11&lt;&gt;"",P278&lt;&gt;"Sim",P278&lt;&gt;"N/A"),Config!$D$11&amp;"; ","")&amp;IF(AND($D278="Encerrado",Config!$D$12&lt;&gt;"",Q278&lt;&gt;"Sim",Q278&lt;&gt;"N/A"),Config!$D$12&amp;"; ","")&amp;IF(AND($D278="Encerrado",Config!$D$13&lt;&gt;"",R278&lt;&gt;"Sim",R278&lt;&gt;"N/A"),Config!$D$13&amp;"; ","")&amp;IF(AND($D278="Encerrado",Config!$D$14&lt;&gt;"",S278&lt;&gt;"Sim",S278&lt;&gt;"N/A"),Config!$D$14&amp;"; ","")&amp;IF(AND($D278="Encerrado",Config!$D$15&lt;&gt;"",T278&lt;&gt;"Sim",T278&lt;&gt;"N/A"),Config!$D$15&amp;"; ","")&amp;IF(AND($D278="Encerrado",Config!$D$16&lt;&gt;"",U278&lt;&gt;"Sim",U278&lt;&gt;"N/A"),Config!$D$16&amp;"; ","")&amp;IF(AND($D278="Encerrado",Config!$D$17&lt;&gt;"",V278&lt;&gt;"Sim",V278&lt;&gt;"N/A"),Config!$D$17&amp;"; ","")&amp;IF(AND($D278="Encerrado",Config!$D$18&lt;&gt;"",W278&lt;&gt;"Sim",W278&lt;&gt;"N/A"),Config!$D$18&amp;"; ","")&amp;IF(AND($D278="Encerrado",Config!$D$19&lt;&gt;"",X278&lt;&gt;"Sim",X278&lt;&gt;"N/A"),Config!$D$19&amp;"; ",""))</f>
        <v/>
      </c>
    </row>
    <row r="279">
      <c r="A279" s="29" t="n"/>
      <c r="B279" s="29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25">
        <f>IF(A279="","",IFERROR(COUNTIF(E279:N279,"Sim")/(Config!$B$21-COUNTIF(E279:N279,"N/A")),""))</f>
        <v/>
      </c>
      <c r="Z279" s="25">
        <f>IF(OR(A279="",D279&lt;&gt;"Encerrado"),"",IFERROR(COUNTIF(O279:X279,"Sim")/(Config!$D$21-COUNTIF(O279:X279,"N/A")),""))</f>
        <v/>
      </c>
      <c r="AA279" s="23">
        <f>IF(A279="","",MAX(0,Config!$B$21-COUNTIF(E279:N279,"Sim")-COUNTIF(E279:N279,"N/A")))</f>
        <v/>
      </c>
      <c r="AB279" s="23">
        <f>IF(OR(A279="",D279&lt;&gt;"Encerrado"),"",MAX(0,Config!$D$21-COUNTIF(O279:X279,"Sim")-COUNTIF(O279:X279,"N/A")))</f>
        <v/>
      </c>
      <c r="AC279" s="23">
        <f>IF(A279="","",AA279+IF(AB279="",0,AB279))</f>
        <v/>
      </c>
      <c r="AD279" s="24">
        <f>IF(OR(A279="",AF279=""),"",LEFT(AF279,LEN(AF279)-2))</f>
        <v/>
      </c>
      <c r="AE279" s="35">
        <f>IF(OR(A279="",AC279=0),0,AC279*100-ROW()/100000)</f>
        <v>0</v>
      </c>
      <c r="AF279" s="35">
        <f>IF(A279="","",IF(AND(Config!$B$10&lt;&gt;"",E279&lt;&gt;"Sim",E279&lt;&gt;"N/A"),Config!$B$10&amp;"; ","")&amp;IF(AND(Config!$B$11&lt;&gt;"",F279&lt;&gt;"Sim",F279&lt;&gt;"N/A"),Config!$B$11&amp;"; ","")&amp;IF(AND(Config!$B$12&lt;&gt;"",G279&lt;&gt;"Sim",G279&lt;&gt;"N/A"),Config!$B$12&amp;"; ","")&amp;IF(AND(Config!$B$13&lt;&gt;"",H279&lt;&gt;"Sim",H279&lt;&gt;"N/A"),Config!$B$13&amp;"; ","")&amp;IF(AND(Config!$B$14&lt;&gt;"",I279&lt;&gt;"Sim",I279&lt;&gt;"N/A"),Config!$B$14&amp;"; ","")&amp;IF(AND(Config!$B$15&lt;&gt;"",J279&lt;&gt;"Sim",J279&lt;&gt;"N/A"),Config!$B$15&amp;"; ","")&amp;IF(AND(Config!$B$16&lt;&gt;"",K279&lt;&gt;"Sim",K279&lt;&gt;"N/A"),Config!$B$16&amp;"; ","")&amp;IF(AND(Config!$B$17&lt;&gt;"",L279&lt;&gt;"Sim",L279&lt;&gt;"N/A"),Config!$B$17&amp;"; ","")&amp;IF(AND(Config!$B$18&lt;&gt;"",M279&lt;&gt;"Sim",M279&lt;&gt;"N/A"),Config!$B$18&amp;"; ","")&amp;IF(AND(Config!$B$19&lt;&gt;"",N279&lt;&gt;"Sim",N279&lt;&gt;"N/A"),Config!$B$19&amp;"; ","")&amp;IF(AND($D279="Encerrado",Config!$D$10&lt;&gt;"",O279&lt;&gt;"Sim",O279&lt;&gt;"N/A"),Config!$D$10&amp;"; ","")&amp;IF(AND($D279="Encerrado",Config!$D$11&lt;&gt;"",P279&lt;&gt;"Sim",P279&lt;&gt;"N/A"),Config!$D$11&amp;"; ","")&amp;IF(AND($D279="Encerrado",Config!$D$12&lt;&gt;"",Q279&lt;&gt;"Sim",Q279&lt;&gt;"N/A"),Config!$D$12&amp;"; ","")&amp;IF(AND($D279="Encerrado",Config!$D$13&lt;&gt;"",R279&lt;&gt;"Sim",R279&lt;&gt;"N/A"),Config!$D$13&amp;"; ","")&amp;IF(AND($D279="Encerrado",Config!$D$14&lt;&gt;"",S279&lt;&gt;"Sim",S279&lt;&gt;"N/A"),Config!$D$14&amp;"; ","")&amp;IF(AND($D279="Encerrado",Config!$D$15&lt;&gt;"",T279&lt;&gt;"Sim",T279&lt;&gt;"N/A"),Config!$D$15&amp;"; ","")&amp;IF(AND($D279="Encerrado",Config!$D$16&lt;&gt;"",U279&lt;&gt;"Sim",U279&lt;&gt;"N/A"),Config!$D$16&amp;"; ","")&amp;IF(AND($D279="Encerrado",Config!$D$17&lt;&gt;"",V279&lt;&gt;"Sim",V279&lt;&gt;"N/A"),Config!$D$17&amp;"; ","")&amp;IF(AND($D279="Encerrado",Config!$D$18&lt;&gt;"",W279&lt;&gt;"Sim",W279&lt;&gt;"N/A"),Config!$D$18&amp;"; ","")&amp;IF(AND($D279="Encerrado",Config!$D$19&lt;&gt;"",X279&lt;&gt;"Sim",X279&lt;&gt;"N/A"),Config!$D$19&amp;"; ",""))</f>
        <v/>
      </c>
    </row>
    <row r="280">
      <c r="A280" s="29" t="n"/>
      <c r="B280" s="29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25">
        <f>IF(A280="","",IFERROR(COUNTIF(E280:N280,"Sim")/(Config!$B$21-COUNTIF(E280:N280,"N/A")),""))</f>
        <v/>
      </c>
      <c r="Z280" s="25">
        <f>IF(OR(A280="",D280&lt;&gt;"Encerrado"),"",IFERROR(COUNTIF(O280:X280,"Sim")/(Config!$D$21-COUNTIF(O280:X280,"N/A")),""))</f>
        <v/>
      </c>
      <c r="AA280" s="23">
        <f>IF(A280="","",MAX(0,Config!$B$21-COUNTIF(E280:N280,"Sim")-COUNTIF(E280:N280,"N/A")))</f>
        <v/>
      </c>
      <c r="AB280" s="23">
        <f>IF(OR(A280="",D280&lt;&gt;"Encerrado"),"",MAX(0,Config!$D$21-COUNTIF(O280:X280,"Sim")-COUNTIF(O280:X280,"N/A")))</f>
        <v/>
      </c>
      <c r="AC280" s="23">
        <f>IF(A280="","",AA280+IF(AB280="",0,AB280))</f>
        <v/>
      </c>
      <c r="AD280" s="24">
        <f>IF(OR(A280="",AF280=""),"",LEFT(AF280,LEN(AF280)-2))</f>
        <v/>
      </c>
      <c r="AE280" s="35">
        <f>IF(OR(A280="",AC280=0),0,AC280*100-ROW()/100000)</f>
        <v>0</v>
      </c>
      <c r="AF280" s="35">
        <f>IF(A280="","",IF(AND(Config!$B$10&lt;&gt;"",E280&lt;&gt;"Sim",E280&lt;&gt;"N/A"),Config!$B$10&amp;"; ","")&amp;IF(AND(Config!$B$11&lt;&gt;"",F280&lt;&gt;"Sim",F280&lt;&gt;"N/A"),Config!$B$11&amp;"; ","")&amp;IF(AND(Config!$B$12&lt;&gt;"",G280&lt;&gt;"Sim",G280&lt;&gt;"N/A"),Config!$B$12&amp;"; ","")&amp;IF(AND(Config!$B$13&lt;&gt;"",H280&lt;&gt;"Sim",H280&lt;&gt;"N/A"),Config!$B$13&amp;"; ","")&amp;IF(AND(Config!$B$14&lt;&gt;"",I280&lt;&gt;"Sim",I280&lt;&gt;"N/A"),Config!$B$14&amp;"; ","")&amp;IF(AND(Config!$B$15&lt;&gt;"",J280&lt;&gt;"Sim",J280&lt;&gt;"N/A"),Config!$B$15&amp;"; ","")&amp;IF(AND(Config!$B$16&lt;&gt;"",K280&lt;&gt;"Sim",K280&lt;&gt;"N/A"),Config!$B$16&amp;"; ","")&amp;IF(AND(Config!$B$17&lt;&gt;"",L280&lt;&gt;"Sim",L280&lt;&gt;"N/A"),Config!$B$17&amp;"; ","")&amp;IF(AND(Config!$B$18&lt;&gt;"",M280&lt;&gt;"Sim",M280&lt;&gt;"N/A"),Config!$B$18&amp;"; ","")&amp;IF(AND(Config!$B$19&lt;&gt;"",N280&lt;&gt;"Sim",N280&lt;&gt;"N/A"),Config!$B$19&amp;"; ","")&amp;IF(AND($D280="Encerrado",Config!$D$10&lt;&gt;"",O280&lt;&gt;"Sim",O280&lt;&gt;"N/A"),Config!$D$10&amp;"; ","")&amp;IF(AND($D280="Encerrado",Config!$D$11&lt;&gt;"",P280&lt;&gt;"Sim",P280&lt;&gt;"N/A"),Config!$D$11&amp;"; ","")&amp;IF(AND($D280="Encerrado",Config!$D$12&lt;&gt;"",Q280&lt;&gt;"Sim",Q280&lt;&gt;"N/A"),Config!$D$12&amp;"; ","")&amp;IF(AND($D280="Encerrado",Config!$D$13&lt;&gt;"",R280&lt;&gt;"Sim",R280&lt;&gt;"N/A"),Config!$D$13&amp;"; ","")&amp;IF(AND($D280="Encerrado",Config!$D$14&lt;&gt;"",S280&lt;&gt;"Sim",S280&lt;&gt;"N/A"),Config!$D$14&amp;"; ","")&amp;IF(AND($D280="Encerrado",Config!$D$15&lt;&gt;"",T280&lt;&gt;"Sim",T280&lt;&gt;"N/A"),Config!$D$15&amp;"; ","")&amp;IF(AND($D280="Encerrado",Config!$D$16&lt;&gt;"",U280&lt;&gt;"Sim",U280&lt;&gt;"N/A"),Config!$D$16&amp;"; ","")&amp;IF(AND($D280="Encerrado",Config!$D$17&lt;&gt;"",V280&lt;&gt;"Sim",V280&lt;&gt;"N/A"),Config!$D$17&amp;"; ","")&amp;IF(AND($D280="Encerrado",Config!$D$18&lt;&gt;"",W280&lt;&gt;"Sim",W280&lt;&gt;"N/A"),Config!$D$18&amp;"; ","")&amp;IF(AND($D280="Encerrado",Config!$D$19&lt;&gt;"",X280&lt;&gt;"Sim",X280&lt;&gt;"N/A"),Config!$D$19&amp;"; ",""))</f>
        <v/>
      </c>
    </row>
    <row r="281">
      <c r="A281" s="29" t="n"/>
      <c r="B281" s="29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25">
        <f>IF(A281="","",IFERROR(COUNTIF(E281:N281,"Sim")/(Config!$B$21-COUNTIF(E281:N281,"N/A")),""))</f>
        <v/>
      </c>
      <c r="Z281" s="25">
        <f>IF(OR(A281="",D281&lt;&gt;"Encerrado"),"",IFERROR(COUNTIF(O281:X281,"Sim")/(Config!$D$21-COUNTIF(O281:X281,"N/A")),""))</f>
        <v/>
      </c>
      <c r="AA281" s="23">
        <f>IF(A281="","",MAX(0,Config!$B$21-COUNTIF(E281:N281,"Sim")-COUNTIF(E281:N281,"N/A")))</f>
        <v/>
      </c>
      <c r="AB281" s="23">
        <f>IF(OR(A281="",D281&lt;&gt;"Encerrado"),"",MAX(0,Config!$D$21-COUNTIF(O281:X281,"Sim")-COUNTIF(O281:X281,"N/A")))</f>
        <v/>
      </c>
      <c r="AC281" s="23">
        <f>IF(A281="","",AA281+IF(AB281="",0,AB281))</f>
        <v/>
      </c>
      <c r="AD281" s="24">
        <f>IF(OR(A281="",AF281=""),"",LEFT(AF281,LEN(AF281)-2))</f>
        <v/>
      </c>
      <c r="AE281" s="35">
        <f>IF(OR(A281="",AC281=0),0,AC281*100-ROW()/100000)</f>
        <v>0</v>
      </c>
      <c r="AF281" s="35">
        <f>IF(A281="","",IF(AND(Config!$B$10&lt;&gt;"",E281&lt;&gt;"Sim",E281&lt;&gt;"N/A"),Config!$B$10&amp;"; ","")&amp;IF(AND(Config!$B$11&lt;&gt;"",F281&lt;&gt;"Sim",F281&lt;&gt;"N/A"),Config!$B$11&amp;"; ","")&amp;IF(AND(Config!$B$12&lt;&gt;"",G281&lt;&gt;"Sim",G281&lt;&gt;"N/A"),Config!$B$12&amp;"; ","")&amp;IF(AND(Config!$B$13&lt;&gt;"",H281&lt;&gt;"Sim",H281&lt;&gt;"N/A"),Config!$B$13&amp;"; ","")&amp;IF(AND(Config!$B$14&lt;&gt;"",I281&lt;&gt;"Sim",I281&lt;&gt;"N/A"),Config!$B$14&amp;"; ","")&amp;IF(AND(Config!$B$15&lt;&gt;"",J281&lt;&gt;"Sim",J281&lt;&gt;"N/A"),Config!$B$15&amp;"; ","")&amp;IF(AND(Config!$B$16&lt;&gt;"",K281&lt;&gt;"Sim",K281&lt;&gt;"N/A"),Config!$B$16&amp;"; ","")&amp;IF(AND(Config!$B$17&lt;&gt;"",L281&lt;&gt;"Sim",L281&lt;&gt;"N/A"),Config!$B$17&amp;"; ","")&amp;IF(AND(Config!$B$18&lt;&gt;"",M281&lt;&gt;"Sim",M281&lt;&gt;"N/A"),Config!$B$18&amp;"; ","")&amp;IF(AND(Config!$B$19&lt;&gt;"",N281&lt;&gt;"Sim",N281&lt;&gt;"N/A"),Config!$B$19&amp;"; ","")&amp;IF(AND($D281="Encerrado",Config!$D$10&lt;&gt;"",O281&lt;&gt;"Sim",O281&lt;&gt;"N/A"),Config!$D$10&amp;"; ","")&amp;IF(AND($D281="Encerrado",Config!$D$11&lt;&gt;"",P281&lt;&gt;"Sim",P281&lt;&gt;"N/A"),Config!$D$11&amp;"; ","")&amp;IF(AND($D281="Encerrado",Config!$D$12&lt;&gt;"",Q281&lt;&gt;"Sim",Q281&lt;&gt;"N/A"),Config!$D$12&amp;"; ","")&amp;IF(AND($D281="Encerrado",Config!$D$13&lt;&gt;"",R281&lt;&gt;"Sim",R281&lt;&gt;"N/A"),Config!$D$13&amp;"; ","")&amp;IF(AND($D281="Encerrado",Config!$D$14&lt;&gt;"",S281&lt;&gt;"Sim",S281&lt;&gt;"N/A"),Config!$D$14&amp;"; ","")&amp;IF(AND($D281="Encerrado",Config!$D$15&lt;&gt;"",T281&lt;&gt;"Sim",T281&lt;&gt;"N/A"),Config!$D$15&amp;"; ","")&amp;IF(AND($D281="Encerrado",Config!$D$16&lt;&gt;"",U281&lt;&gt;"Sim",U281&lt;&gt;"N/A"),Config!$D$16&amp;"; ","")&amp;IF(AND($D281="Encerrado",Config!$D$17&lt;&gt;"",V281&lt;&gt;"Sim",V281&lt;&gt;"N/A"),Config!$D$17&amp;"; ","")&amp;IF(AND($D281="Encerrado",Config!$D$18&lt;&gt;"",W281&lt;&gt;"Sim",W281&lt;&gt;"N/A"),Config!$D$18&amp;"; ","")&amp;IF(AND($D281="Encerrado",Config!$D$19&lt;&gt;"",X281&lt;&gt;"Sim",X281&lt;&gt;"N/A"),Config!$D$19&amp;"; ",""))</f>
        <v/>
      </c>
    </row>
    <row r="282">
      <c r="A282" s="29" t="n"/>
      <c r="B282" s="29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25">
        <f>IF(A282="","",IFERROR(COUNTIF(E282:N282,"Sim")/(Config!$B$21-COUNTIF(E282:N282,"N/A")),""))</f>
        <v/>
      </c>
      <c r="Z282" s="25">
        <f>IF(OR(A282="",D282&lt;&gt;"Encerrado"),"",IFERROR(COUNTIF(O282:X282,"Sim")/(Config!$D$21-COUNTIF(O282:X282,"N/A")),""))</f>
        <v/>
      </c>
      <c r="AA282" s="23">
        <f>IF(A282="","",MAX(0,Config!$B$21-COUNTIF(E282:N282,"Sim")-COUNTIF(E282:N282,"N/A")))</f>
        <v/>
      </c>
      <c r="AB282" s="23">
        <f>IF(OR(A282="",D282&lt;&gt;"Encerrado"),"",MAX(0,Config!$D$21-COUNTIF(O282:X282,"Sim")-COUNTIF(O282:X282,"N/A")))</f>
        <v/>
      </c>
      <c r="AC282" s="23">
        <f>IF(A282="","",AA282+IF(AB282="",0,AB282))</f>
        <v/>
      </c>
      <c r="AD282" s="24">
        <f>IF(OR(A282="",AF282=""),"",LEFT(AF282,LEN(AF282)-2))</f>
        <v/>
      </c>
      <c r="AE282" s="35">
        <f>IF(OR(A282="",AC282=0),0,AC282*100-ROW()/100000)</f>
        <v>0</v>
      </c>
      <c r="AF282" s="35">
        <f>IF(A282="","",IF(AND(Config!$B$10&lt;&gt;"",E282&lt;&gt;"Sim",E282&lt;&gt;"N/A"),Config!$B$10&amp;"; ","")&amp;IF(AND(Config!$B$11&lt;&gt;"",F282&lt;&gt;"Sim",F282&lt;&gt;"N/A"),Config!$B$11&amp;"; ","")&amp;IF(AND(Config!$B$12&lt;&gt;"",G282&lt;&gt;"Sim",G282&lt;&gt;"N/A"),Config!$B$12&amp;"; ","")&amp;IF(AND(Config!$B$13&lt;&gt;"",H282&lt;&gt;"Sim",H282&lt;&gt;"N/A"),Config!$B$13&amp;"; ","")&amp;IF(AND(Config!$B$14&lt;&gt;"",I282&lt;&gt;"Sim",I282&lt;&gt;"N/A"),Config!$B$14&amp;"; ","")&amp;IF(AND(Config!$B$15&lt;&gt;"",J282&lt;&gt;"Sim",J282&lt;&gt;"N/A"),Config!$B$15&amp;"; ","")&amp;IF(AND(Config!$B$16&lt;&gt;"",K282&lt;&gt;"Sim",K282&lt;&gt;"N/A"),Config!$B$16&amp;"; ","")&amp;IF(AND(Config!$B$17&lt;&gt;"",L282&lt;&gt;"Sim",L282&lt;&gt;"N/A"),Config!$B$17&amp;"; ","")&amp;IF(AND(Config!$B$18&lt;&gt;"",M282&lt;&gt;"Sim",M282&lt;&gt;"N/A"),Config!$B$18&amp;"; ","")&amp;IF(AND(Config!$B$19&lt;&gt;"",N282&lt;&gt;"Sim",N282&lt;&gt;"N/A"),Config!$B$19&amp;"; ","")&amp;IF(AND($D282="Encerrado",Config!$D$10&lt;&gt;"",O282&lt;&gt;"Sim",O282&lt;&gt;"N/A"),Config!$D$10&amp;"; ","")&amp;IF(AND($D282="Encerrado",Config!$D$11&lt;&gt;"",P282&lt;&gt;"Sim",P282&lt;&gt;"N/A"),Config!$D$11&amp;"; ","")&amp;IF(AND($D282="Encerrado",Config!$D$12&lt;&gt;"",Q282&lt;&gt;"Sim",Q282&lt;&gt;"N/A"),Config!$D$12&amp;"; ","")&amp;IF(AND($D282="Encerrado",Config!$D$13&lt;&gt;"",R282&lt;&gt;"Sim",R282&lt;&gt;"N/A"),Config!$D$13&amp;"; ","")&amp;IF(AND($D282="Encerrado",Config!$D$14&lt;&gt;"",S282&lt;&gt;"Sim",S282&lt;&gt;"N/A"),Config!$D$14&amp;"; ","")&amp;IF(AND($D282="Encerrado",Config!$D$15&lt;&gt;"",T282&lt;&gt;"Sim",T282&lt;&gt;"N/A"),Config!$D$15&amp;"; ","")&amp;IF(AND($D282="Encerrado",Config!$D$16&lt;&gt;"",U282&lt;&gt;"Sim",U282&lt;&gt;"N/A"),Config!$D$16&amp;"; ","")&amp;IF(AND($D282="Encerrado",Config!$D$17&lt;&gt;"",V282&lt;&gt;"Sim",V282&lt;&gt;"N/A"),Config!$D$17&amp;"; ","")&amp;IF(AND($D282="Encerrado",Config!$D$18&lt;&gt;"",W282&lt;&gt;"Sim",W282&lt;&gt;"N/A"),Config!$D$18&amp;"; ","")&amp;IF(AND($D282="Encerrado",Config!$D$19&lt;&gt;"",X282&lt;&gt;"Sim",X282&lt;&gt;"N/A"),Config!$D$19&amp;"; ",""))</f>
        <v/>
      </c>
    </row>
    <row r="283">
      <c r="A283" s="29" t="n"/>
      <c r="B283" s="29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25">
        <f>IF(A283="","",IFERROR(COUNTIF(E283:N283,"Sim")/(Config!$B$21-COUNTIF(E283:N283,"N/A")),""))</f>
        <v/>
      </c>
      <c r="Z283" s="25">
        <f>IF(OR(A283="",D283&lt;&gt;"Encerrado"),"",IFERROR(COUNTIF(O283:X283,"Sim")/(Config!$D$21-COUNTIF(O283:X283,"N/A")),""))</f>
        <v/>
      </c>
      <c r="AA283" s="23">
        <f>IF(A283="","",MAX(0,Config!$B$21-COUNTIF(E283:N283,"Sim")-COUNTIF(E283:N283,"N/A")))</f>
        <v/>
      </c>
      <c r="AB283" s="23">
        <f>IF(OR(A283="",D283&lt;&gt;"Encerrado"),"",MAX(0,Config!$D$21-COUNTIF(O283:X283,"Sim")-COUNTIF(O283:X283,"N/A")))</f>
        <v/>
      </c>
      <c r="AC283" s="23">
        <f>IF(A283="","",AA283+IF(AB283="",0,AB283))</f>
        <v/>
      </c>
      <c r="AD283" s="24">
        <f>IF(OR(A283="",AF283=""),"",LEFT(AF283,LEN(AF283)-2))</f>
        <v/>
      </c>
      <c r="AE283" s="35">
        <f>IF(OR(A283="",AC283=0),0,AC283*100-ROW()/100000)</f>
        <v>0</v>
      </c>
      <c r="AF283" s="35">
        <f>IF(A283="","",IF(AND(Config!$B$10&lt;&gt;"",E283&lt;&gt;"Sim",E283&lt;&gt;"N/A"),Config!$B$10&amp;"; ","")&amp;IF(AND(Config!$B$11&lt;&gt;"",F283&lt;&gt;"Sim",F283&lt;&gt;"N/A"),Config!$B$11&amp;"; ","")&amp;IF(AND(Config!$B$12&lt;&gt;"",G283&lt;&gt;"Sim",G283&lt;&gt;"N/A"),Config!$B$12&amp;"; ","")&amp;IF(AND(Config!$B$13&lt;&gt;"",H283&lt;&gt;"Sim",H283&lt;&gt;"N/A"),Config!$B$13&amp;"; ","")&amp;IF(AND(Config!$B$14&lt;&gt;"",I283&lt;&gt;"Sim",I283&lt;&gt;"N/A"),Config!$B$14&amp;"; ","")&amp;IF(AND(Config!$B$15&lt;&gt;"",J283&lt;&gt;"Sim",J283&lt;&gt;"N/A"),Config!$B$15&amp;"; ","")&amp;IF(AND(Config!$B$16&lt;&gt;"",K283&lt;&gt;"Sim",K283&lt;&gt;"N/A"),Config!$B$16&amp;"; ","")&amp;IF(AND(Config!$B$17&lt;&gt;"",L283&lt;&gt;"Sim",L283&lt;&gt;"N/A"),Config!$B$17&amp;"; ","")&amp;IF(AND(Config!$B$18&lt;&gt;"",M283&lt;&gt;"Sim",M283&lt;&gt;"N/A"),Config!$B$18&amp;"; ","")&amp;IF(AND(Config!$B$19&lt;&gt;"",N283&lt;&gt;"Sim",N283&lt;&gt;"N/A"),Config!$B$19&amp;"; ","")&amp;IF(AND($D283="Encerrado",Config!$D$10&lt;&gt;"",O283&lt;&gt;"Sim",O283&lt;&gt;"N/A"),Config!$D$10&amp;"; ","")&amp;IF(AND($D283="Encerrado",Config!$D$11&lt;&gt;"",P283&lt;&gt;"Sim",P283&lt;&gt;"N/A"),Config!$D$11&amp;"; ","")&amp;IF(AND($D283="Encerrado",Config!$D$12&lt;&gt;"",Q283&lt;&gt;"Sim",Q283&lt;&gt;"N/A"),Config!$D$12&amp;"; ","")&amp;IF(AND($D283="Encerrado",Config!$D$13&lt;&gt;"",R283&lt;&gt;"Sim",R283&lt;&gt;"N/A"),Config!$D$13&amp;"; ","")&amp;IF(AND($D283="Encerrado",Config!$D$14&lt;&gt;"",S283&lt;&gt;"Sim",S283&lt;&gt;"N/A"),Config!$D$14&amp;"; ","")&amp;IF(AND($D283="Encerrado",Config!$D$15&lt;&gt;"",T283&lt;&gt;"Sim",T283&lt;&gt;"N/A"),Config!$D$15&amp;"; ","")&amp;IF(AND($D283="Encerrado",Config!$D$16&lt;&gt;"",U283&lt;&gt;"Sim",U283&lt;&gt;"N/A"),Config!$D$16&amp;"; ","")&amp;IF(AND($D283="Encerrado",Config!$D$17&lt;&gt;"",V283&lt;&gt;"Sim",V283&lt;&gt;"N/A"),Config!$D$17&amp;"; ","")&amp;IF(AND($D283="Encerrado",Config!$D$18&lt;&gt;"",W283&lt;&gt;"Sim",W283&lt;&gt;"N/A"),Config!$D$18&amp;"; ","")&amp;IF(AND($D283="Encerrado",Config!$D$19&lt;&gt;"",X283&lt;&gt;"Sim",X283&lt;&gt;"N/A"),Config!$D$19&amp;"; ",""))</f>
        <v/>
      </c>
    </row>
    <row r="284">
      <c r="A284" s="29" t="n"/>
      <c r="B284" s="29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25">
        <f>IF(A284="","",IFERROR(COUNTIF(E284:N284,"Sim")/(Config!$B$21-COUNTIF(E284:N284,"N/A")),""))</f>
        <v/>
      </c>
      <c r="Z284" s="25">
        <f>IF(OR(A284="",D284&lt;&gt;"Encerrado"),"",IFERROR(COUNTIF(O284:X284,"Sim")/(Config!$D$21-COUNTIF(O284:X284,"N/A")),""))</f>
        <v/>
      </c>
      <c r="AA284" s="23">
        <f>IF(A284="","",MAX(0,Config!$B$21-COUNTIF(E284:N284,"Sim")-COUNTIF(E284:N284,"N/A")))</f>
        <v/>
      </c>
      <c r="AB284" s="23">
        <f>IF(OR(A284="",D284&lt;&gt;"Encerrado"),"",MAX(0,Config!$D$21-COUNTIF(O284:X284,"Sim")-COUNTIF(O284:X284,"N/A")))</f>
        <v/>
      </c>
      <c r="AC284" s="23">
        <f>IF(A284="","",AA284+IF(AB284="",0,AB284))</f>
        <v/>
      </c>
      <c r="AD284" s="24">
        <f>IF(OR(A284="",AF284=""),"",LEFT(AF284,LEN(AF284)-2))</f>
        <v/>
      </c>
      <c r="AE284" s="35">
        <f>IF(OR(A284="",AC284=0),0,AC284*100-ROW()/100000)</f>
        <v>0</v>
      </c>
      <c r="AF284" s="35">
        <f>IF(A284="","",IF(AND(Config!$B$10&lt;&gt;"",E284&lt;&gt;"Sim",E284&lt;&gt;"N/A"),Config!$B$10&amp;"; ","")&amp;IF(AND(Config!$B$11&lt;&gt;"",F284&lt;&gt;"Sim",F284&lt;&gt;"N/A"),Config!$B$11&amp;"; ","")&amp;IF(AND(Config!$B$12&lt;&gt;"",G284&lt;&gt;"Sim",G284&lt;&gt;"N/A"),Config!$B$12&amp;"; ","")&amp;IF(AND(Config!$B$13&lt;&gt;"",H284&lt;&gt;"Sim",H284&lt;&gt;"N/A"),Config!$B$13&amp;"; ","")&amp;IF(AND(Config!$B$14&lt;&gt;"",I284&lt;&gt;"Sim",I284&lt;&gt;"N/A"),Config!$B$14&amp;"; ","")&amp;IF(AND(Config!$B$15&lt;&gt;"",J284&lt;&gt;"Sim",J284&lt;&gt;"N/A"),Config!$B$15&amp;"; ","")&amp;IF(AND(Config!$B$16&lt;&gt;"",K284&lt;&gt;"Sim",K284&lt;&gt;"N/A"),Config!$B$16&amp;"; ","")&amp;IF(AND(Config!$B$17&lt;&gt;"",L284&lt;&gt;"Sim",L284&lt;&gt;"N/A"),Config!$B$17&amp;"; ","")&amp;IF(AND(Config!$B$18&lt;&gt;"",M284&lt;&gt;"Sim",M284&lt;&gt;"N/A"),Config!$B$18&amp;"; ","")&amp;IF(AND(Config!$B$19&lt;&gt;"",N284&lt;&gt;"Sim",N284&lt;&gt;"N/A"),Config!$B$19&amp;"; ","")&amp;IF(AND($D284="Encerrado",Config!$D$10&lt;&gt;"",O284&lt;&gt;"Sim",O284&lt;&gt;"N/A"),Config!$D$10&amp;"; ","")&amp;IF(AND($D284="Encerrado",Config!$D$11&lt;&gt;"",P284&lt;&gt;"Sim",P284&lt;&gt;"N/A"),Config!$D$11&amp;"; ","")&amp;IF(AND($D284="Encerrado",Config!$D$12&lt;&gt;"",Q284&lt;&gt;"Sim",Q284&lt;&gt;"N/A"),Config!$D$12&amp;"; ","")&amp;IF(AND($D284="Encerrado",Config!$D$13&lt;&gt;"",R284&lt;&gt;"Sim",R284&lt;&gt;"N/A"),Config!$D$13&amp;"; ","")&amp;IF(AND($D284="Encerrado",Config!$D$14&lt;&gt;"",S284&lt;&gt;"Sim",S284&lt;&gt;"N/A"),Config!$D$14&amp;"; ","")&amp;IF(AND($D284="Encerrado",Config!$D$15&lt;&gt;"",T284&lt;&gt;"Sim",T284&lt;&gt;"N/A"),Config!$D$15&amp;"; ","")&amp;IF(AND($D284="Encerrado",Config!$D$16&lt;&gt;"",U284&lt;&gt;"Sim",U284&lt;&gt;"N/A"),Config!$D$16&amp;"; ","")&amp;IF(AND($D284="Encerrado",Config!$D$17&lt;&gt;"",V284&lt;&gt;"Sim",V284&lt;&gt;"N/A"),Config!$D$17&amp;"; ","")&amp;IF(AND($D284="Encerrado",Config!$D$18&lt;&gt;"",W284&lt;&gt;"Sim",W284&lt;&gt;"N/A"),Config!$D$18&amp;"; ","")&amp;IF(AND($D284="Encerrado",Config!$D$19&lt;&gt;"",X284&lt;&gt;"Sim",X284&lt;&gt;"N/A"),Config!$D$19&amp;"; ",""))</f>
        <v/>
      </c>
    </row>
    <row r="285">
      <c r="A285" s="29" t="n"/>
      <c r="B285" s="29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25">
        <f>IF(A285="","",IFERROR(COUNTIF(E285:N285,"Sim")/(Config!$B$21-COUNTIF(E285:N285,"N/A")),""))</f>
        <v/>
      </c>
      <c r="Z285" s="25">
        <f>IF(OR(A285="",D285&lt;&gt;"Encerrado"),"",IFERROR(COUNTIF(O285:X285,"Sim")/(Config!$D$21-COUNTIF(O285:X285,"N/A")),""))</f>
        <v/>
      </c>
      <c r="AA285" s="23">
        <f>IF(A285="","",MAX(0,Config!$B$21-COUNTIF(E285:N285,"Sim")-COUNTIF(E285:N285,"N/A")))</f>
        <v/>
      </c>
      <c r="AB285" s="23">
        <f>IF(OR(A285="",D285&lt;&gt;"Encerrado"),"",MAX(0,Config!$D$21-COUNTIF(O285:X285,"Sim")-COUNTIF(O285:X285,"N/A")))</f>
        <v/>
      </c>
      <c r="AC285" s="23">
        <f>IF(A285="","",AA285+IF(AB285="",0,AB285))</f>
        <v/>
      </c>
      <c r="AD285" s="24">
        <f>IF(OR(A285="",AF285=""),"",LEFT(AF285,LEN(AF285)-2))</f>
        <v/>
      </c>
      <c r="AE285" s="35">
        <f>IF(OR(A285="",AC285=0),0,AC285*100-ROW()/100000)</f>
        <v>0</v>
      </c>
      <c r="AF285" s="35">
        <f>IF(A285="","",IF(AND(Config!$B$10&lt;&gt;"",E285&lt;&gt;"Sim",E285&lt;&gt;"N/A"),Config!$B$10&amp;"; ","")&amp;IF(AND(Config!$B$11&lt;&gt;"",F285&lt;&gt;"Sim",F285&lt;&gt;"N/A"),Config!$B$11&amp;"; ","")&amp;IF(AND(Config!$B$12&lt;&gt;"",G285&lt;&gt;"Sim",G285&lt;&gt;"N/A"),Config!$B$12&amp;"; ","")&amp;IF(AND(Config!$B$13&lt;&gt;"",H285&lt;&gt;"Sim",H285&lt;&gt;"N/A"),Config!$B$13&amp;"; ","")&amp;IF(AND(Config!$B$14&lt;&gt;"",I285&lt;&gt;"Sim",I285&lt;&gt;"N/A"),Config!$B$14&amp;"; ","")&amp;IF(AND(Config!$B$15&lt;&gt;"",J285&lt;&gt;"Sim",J285&lt;&gt;"N/A"),Config!$B$15&amp;"; ","")&amp;IF(AND(Config!$B$16&lt;&gt;"",K285&lt;&gt;"Sim",K285&lt;&gt;"N/A"),Config!$B$16&amp;"; ","")&amp;IF(AND(Config!$B$17&lt;&gt;"",L285&lt;&gt;"Sim",L285&lt;&gt;"N/A"),Config!$B$17&amp;"; ","")&amp;IF(AND(Config!$B$18&lt;&gt;"",M285&lt;&gt;"Sim",M285&lt;&gt;"N/A"),Config!$B$18&amp;"; ","")&amp;IF(AND(Config!$B$19&lt;&gt;"",N285&lt;&gt;"Sim",N285&lt;&gt;"N/A"),Config!$B$19&amp;"; ","")&amp;IF(AND($D285="Encerrado",Config!$D$10&lt;&gt;"",O285&lt;&gt;"Sim",O285&lt;&gt;"N/A"),Config!$D$10&amp;"; ","")&amp;IF(AND($D285="Encerrado",Config!$D$11&lt;&gt;"",P285&lt;&gt;"Sim",P285&lt;&gt;"N/A"),Config!$D$11&amp;"; ","")&amp;IF(AND($D285="Encerrado",Config!$D$12&lt;&gt;"",Q285&lt;&gt;"Sim",Q285&lt;&gt;"N/A"),Config!$D$12&amp;"; ","")&amp;IF(AND($D285="Encerrado",Config!$D$13&lt;&gt;"",R285&lt;&gt;"Sim",R285&lt;&gt;"N/A"),Config!$D$13&amp;"; ","")&amp;IF(AND($D285="Encerrado",Config!$D$14&lt;&gt;"",S285&lt;&gt;"Sim",S285&lt;&gt;"N/A"),Config!$D$14&amp;"; ","")&amp;IF(AND($D285="Encerrado",Config!$D$15&lt;&gt;"",T285&lt;&gt;"Sim",T285&lt;&gt;"N/A"),Config!$D$15&amp;"; ","")&amp;IF(AND($D285="Encerrado",Config!$D$16&lt;&gt;"",U285&lt;&gt;"Sim",U285&lt;&gt;"N/A"),Config!$D$16&amp;"; ","")&amp;IF(AND($D285="Encerrado",Config!$D$17&lt;&gt;"",V285&lt;&gt;"Sim",V285&lt;&gt;"N/A"),Config!$D$17&amp;"; ","")&amp;IF(AND($D285="Encerrado",Config!$D$18&lt;&gt;"",W285&lt;&gt;"Sim",W285&lt;&gt;"N/A"),Config!$D$18&amp;"; ","")&amp;IF(AND($D285="Encerrado",Config!$D$19&lt;&gt;"",X285&lt;&gt;"Sim",X285&lt;&gt;"N/A"),Config!$D$19&amp;"; ",""))</f>
        <v/>
      </c>
    </row>
    <row r="286">
      <c r="A286" s="29" t="n"/>
      <c r="B286" s="29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25">
        <f>IF(A286="","",IFERROR(COUNTIF(E286:N286,"Sim")/(Config!$B$21-COUNTIF(E286:N286,"N/A")),""))</f>
        <v/>
      </c>
      <c r="Z286" s="25">
        <f>IF(OR(A286="",D286&lt;&gt;"Encerrado"),"",IFERROR(COUNTIF(O286:X286,"Sim")/(Config!$D$21-COUNTIF(O286:X286,"N/A")),""))</f>
        <v/>
      </c>
      <c r="AA286" s="23">
        <f>IF(A286="","",MAX(0,Config!$B$21-COUNTIF(E286:N286,"Sim")-COUNTIF(E286:N286,"N/A")))</f>
        <v/>
      </c>
      <c r="AB286" s="23">
        <f>IF(OR(A286="",D286&lt;&gt;"Encerrado"),"",MAX(0,Config!$D$21-COUNTIF(O286:X286,"Sim")-COUNTIF(O286:X286,"N/A")))</f>
        <v/>
      </c>
      <c r="AC286" s="23">
        <f>IF(A286="","",AA286+IF(AB286="",0,AB286))</f>
        <v/>
      </c>
      <c r="AD286" s="24">
        <f>IF(OR(A286="",AF286=""),"",LEFT(AF286,LEN(AF286)-2))</f>
        <v/>
      </c>
      <c r="AE286" s="35">
        <f>IF(OR(A286="",AC286=0),0,AC286*100-ROW()/100000)</f>
        <v>0</v>
      </c>
      <c r="AF286" s="35">
        <f>IF(A286="","",IF(AND(Config!$B$10&lt;&gt;"",E286&lt;&gt;"Sim",E286&lt;&gt;"N/A"),Config!$B$10&amp;"; ","")&amp;IF(AND(Config!$B$11&lt;&gt;"",F286&lt;&gt;"Sim",F286&lt;&gt;"N/A"),Config!$B$11&amp;"; ","")&amp;IF(AND(Config!$B$12&lt;&gt;"",G286&lt;&gt;"Sim",G286&lt;&gt;"N/A"),Config!$B$12&amp;"; ","")&amp;IF(AND(Config!$B$13&lt;&gt;"",H286&lt;&gt;"Sim",H286&lt;&gt;"N/A"),Config!$B$13&amp;"; ","")&amp;IF(AND(Config!$B$14&lt;&gt;"",I286&lt;&gt;"Sim",I286&lt;&gt;"N/A"),Config!$B$14&amp;"; ","")&amp;IF(AND(Config!$B$15&lt;&gt;"",J286&lt;&gt;"Sim",J286&lt;&gt;"N/A"),Config!$B$15&amp;"; ","")&amp;IF(AND(Config!$B$16&lt;&gt;"",K286&lt;&gt;"Sim",K286&lt;&gt;"N/A"),Config!$B$16&amp;"; ","")&amp;IF(AND(Config!$B$17&lt;&gt;"",L286&lt;&gt;"Sim",L286&lt;&gt;"N/A"),Config!$B$17&amp;"; ","")&amp;IF(AND(Config!$B$18&lt;&gt;"",M286&lt;&gt;"Sim",M286&lt;&gt;"N/A"),Config!$B$18&amp;"; ","")&amp;IF(AND(Config!$B$19&lt;&gt;"",N286&lt;&gt;"Sim",N286&lt;&gt;"N/A"),Config!$B$19&amp;"; ","")&amp;IF(AND($D286="Encerrado",Config!$D$10&lt;&gt;"",O286&lt;&gt;"Sim",O286&lt;&gt;"N/A"),Config!$D$10&amp;"; ","")&amp;IF(AND($D286="Encerrado",Config!$D$11&lt;&gt;"",P286&lt;&gt;"Sim",P286&lt;&gt;"N/A"),Config!$D$11&amp;"; ","")&amp;IF(AND($D286="Encerrado",Config!$D$12&lt;&gt;"",Q286&lt;&gt;"Sim",Q286&lt;&gt;"N/A"),Config!$D$12&amp;"; ","")&amp;IF(AND($D286="Encerrado",Config!$D$13&lt;&gt;"",R286&lt;&gt;"Sim",R286&lt;&gt;"N/A"),Config!$D$13&amp;"; ","")&amp;IF(AND($D286="Encerrado",Config!$D$14&lt;&gt;"",S286&lt;&gt;"Sim",S286&lt;&gt;"N/A"),Config!$D$14&amp;"; ","")&amp;IF(AND($D286="Encerrado",Config!$D$15&lt;&gt;"",T286&lt;&gt;"Sim",T286&lt;&gt;"N/A"),Config!$D$15&amp;"; ","")&amp;IF(AND($D286="Encerrado",Config!$D$16&lt;&gt;"",U286&lt;&gt;"Sim",U286&lt;&gt;"N/A"),Config!$D$16&amp;"; ","")&amp;IF(AND($D286="Encerrado",Config!$D$17&lt;&gt;"",V286&lt;&gt;"Sim",V286&lt;&gt;"N/A"),Config!$D$17&amp;"; ","")&amp;IF(AND($D286="Encerrado",Config!$D$18&lt;&gt;"",W286&lt;&gt;"Sim",W286&lt;&gt;"N/A"),Config!$D$18&amp;"; ","")&amp;IF(AND($D286="Encerrado",Config!$D$19&lt;&gt;"",X286&lt;&gt;"Sim",X286&lt;&gt;"N/A"),Config!$D$19&amp;"; ",""))</f>
        <v/>
      </c>
    </row>
    <row r="287">
      <c r="A287" s="29" t="n"/>
      <c r="B287" s="29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25">
        <f>IF(A287="","",IFERROR(COUNTIF(E287:N287,"Sim")/(Config!$B$21-COUNTIF(E287:N287,"N/A")),""))</f>
        <v/>
      </c>
      <c r="Z287" s="25">
        <f>IF(OR(A287="",D287&lt;&gt;"Encerrado"),"",IFERROR(COUNTIF(O287:X287,"Sim")/(Config!$D$21-COUNTIF(O287:X287,"N/A")),""))</f>
        <v/>
      </c>
      <c r="AA287" s="23">
        <f>IF(A287="","",MAX(0,Config!$B$21-COUNTIF(E287:N287,"Sim")-COUNTIF(E287:N287,"N/A")))</f>
        <v/>
      </c>
      <c r="AB287" s="23">
        <f>IF(OR(A287="",D287&lt;&gt;"Encerrado"),"",MAX(0,Config!$D$21-COUNTIF(O287:X287,"Sim")-COUNTIF(O287:X287,"N/A")))</f>
        <v/>
      </c>
      <c r="AC287" s="23">
        <f>IF(A287="","",AA287+IF(AB287="",0,AB287))</f>
        <v/>
      </c>
      <c r="AD287" s="24">
        <f>IF(OR(A287="",AF287=""),"",LEFT(AF287,LEN(AF287)-2))</f>
        <v/>
      </c>
      <c r="AE287" s="35">
        <f>IF(OR(A287="",AC287=0),0,AC287*100-ROW()/100000)</f>
        <v>0</v>
      </c>
      <c r="AF287" s="35">
        <f>IF(A287="","",IF(AND(Config!$B$10&lt;&gt;"",E287&lt;&gt;"Sim",E287&lt;&gt;"N/A"),Config!$B$10&amp;"; ","")&amp;IF(AND(Config!$B$11&lt;&gt;"",F287&lt;&gt;"Sim",F287&lt;&gt;"N/A"),Config!$B$11&amp;"; ","")&amp;IF(AND(Config!$B$12&lt;&gt;"",G287&lt;&gt;"Sim",G287&lt;&gt;"N/A"),Config!$B$12&amp;"; ","")&amp;IF(AND(Config!$B$13&lt;&gt;"",H287&lt;&gt;"Sim",H287&lt;&gt;"N/A"),Config!$B$13&amp;"; ","")&amp;IF(AND(Config!$B$14&lt;&gt;"",I287&lt;&gt;"Sim",I287&lt;&gt;"N/A"),Config!$B$14&amp;"; ","")&amp;IF(AND(Config!$B$15&lt;&gt;"",J287&lt;&gt;"Sim",J287&lt;&gt;"N/A"),Config!$B$15&amp;"; ","")&amp;IF(AND(Config!$B$16&lt;&gt;"",K287&lt;&gt;"Sim",K287&lt;&gt;"N/A"),Config!$B$16&amp;"; ","")&amp;IF(AND(Config!$B$17&lt;&gt;"",L287&lt;&gt;"Sim",L287&lt;&gt;"N/A"),Config!$B$17&amp;"; ","")&amp;IF(AND(Config!$B$18&lt;&gt;"",M287&lt;&gt;"Sim",M287&lt;&gt;"N/A"),Config!$B$18&amp;"; ","")&amp;IF(AND(Config!$B$19&lt;&gt;"",N287&lt;&gt;"Sim",N287&lt;&gt;"N/A"),Config!$B$19&amp;"; ","")&amp;IF(AND($D287="Encerrado",Config!$D$10&lt;&gt;"",O287&lt;&gt;"Sim",O287&lt;&gt;"N/A"),Config!$D$10&amp;"; ","")&amp;IF(AND($D287="Encerrado",Config!$D$11&lt;&gt;"",P287&lt;&gt;"Sim",P287&lt;&gt;"N/A"),Config!$D$11&amp;"; ","")&amp;IF(AND($D287="Encerrado",Config!$D$12&lt;&gt;"",Q287&lt;&gt;"Sim",Q287&lt;&gt;"N/A"),Config!$D$12&amp;"; ","")&amp;IF(AND($D287="Encerrado",Config!$D$13&lt;&gt;"",R287&lt;&gt;"Sim",R287&lt;&gt;"N/A"),Config!$D$13&amp;"; ","")&amp;IF(AND($D287="Encerrado",Config!$D$14&lt;&gt;"",S287&lt;&gt;"Sim",S287&lt;&gt;"N/A"),Config!$D$14&amp;"; ","")&amp;IF(AND($D287="Encerrado",Config!$D$15&lt;&gt;"",T287&lt;&gt;"Sim",T287&lt;&gt;"N/A"),Config!$D$15&amp;"; ","")&amp;IF(AND($D287="Encerrado",Config!$D$16&lt;&gt;"",U287&lt;&gt;"Sim",U287&lt;&gt;"N/A"),Config!$D$16&amp;"; ","")&amp;IF(AND($D287="Encerrado",Config!$D$17&lt;&gt;"",V287&lt;&gt;"Sim",V287&lt;&gt;"N/A"),Config!$D$17&amp;"; ","")&amp;IF(AND($D287="Encerrado",Config!$D$18&lt;&gt;"",W287&lt;&gt;"Sim",W287&lt;&gt;"N/A"),Config!$D$18&amp;"; ","")&amp;IF(AND($D287="Encerrado",Config!$D$19&lt;&gt;"",X287&lt;&gt;"Sim",X287&lt;&gt;"N/A"),Config!$D$19&amp;"; ",""))</f>
        <v/>
      </c>
    </row>
    <row r="288">
      <c r="A288" s="29" t="n"/>
      <c r="B288" s="29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25">
        <f>IF(A288="","",IFERROR(COUNTIF(E288:N288,"Sim")/(Config!$B$21-COUNTIF(E288:N288,"N/A")),""))</f>
        <v/>
      </c>
      <c r="Z288" s="25">
        <f>IF(OR(A288="",D288&lt;&gt;"Encerrado"),"",IFERROR(COUNTIF(O288:X288,"Sim")/(Config!$D$21-COUNTIF(O288:X288,"N/A")),""))</f>
        <v/>
      </c>
      <c r="AA288" s="23">
        <f>IF(A288="","",MAX(0,Config!$B$21-COUNTIF(E288:N288,"Sim")-COUNTIF(E288:N288,"N/A")))</f>
        <v/>
      </c>
      <c r="AB288" s="23">
        <f>IF(OR(A288="",D288&lt;&gt;"Encerrado"),"",MAX(0,Config!$D$21-COUNTIF(O288:X288,"Sim")-COUNTIF(O288:X288,"N/A")))</f>
        <v/>
      </c>
      <c r="AC288" s="23">
        <f>IF(A288="","",AA288+IF(AB288="",0,AB288))</f>
        <v/>
      </c>
      <c r="AD288" s="24">
        <f>IF(OR(A288="",AF288=""),"",LEFT(AF288,LEN(AF288)-2))</f>
        <v/>
      </c>
      <c r="AE288" s="35">
        <f>IF(OR(A288="",AC288=0),0,AC288*100-ROW()/100000)</f>
        <v>0</v>
      </c>
      <c r="AF288" s="35">
        <f>IF(A288="","",IF(AND(Config!$B$10&lt;&gt;"",E288&lt;&gt;"Sim",E288&lt;&gt;"N/A"),Config!$B$10&amp;"; ","")&amp;IF(AND(Config!$B$11&lt;&gt;"",F288&lt;&gt;"Sim",F288&lt;&gt;"N/A"),Config!$B$11&amp;"; ","")&amp;IF(AND(Config!$B$12&lt;&gt;"",G288&lt;&gt;"Sim",G288&lt;&gt;"N/A"),Config!$B$12&amp;"; ","")&amp;IF(AND(Config!$B$13&lt;&gt;"",H288&lt;&gt;"Sim",H288&lt;&gt;"N/A"),Config!$B$13&amp;"; ","")&amp;IF(AND(Config!$B$14&lt;&gt;"",I288&lt;&gt;"Sim",I288&lt;&gt;"N/A"),Config!$B$14&amp;"; ","")&amp;IF(AND(Config!$B$15&lt;&gt;"",J288&lt;&gt;"Sim",J288&lt;&gt;"N/A"),Config!$B$15&amp;"; ","")&amp;IF(AND(Config!$B$16&lt;&gt;"",K288&lt;&gt;"Sim",K288&lt;&gt;"N/A"),Config!$B$16&amp;"; ","")&amp;IF(AND(Config!$B$17&lt;&gt;"",L288&lt;&gt;"Sim",L288&lt;&gt;"N/A"),Config!$B$17&amp;"; ","")&amp;IF(AND(Config!$B$18&lt;&gt;"",M288&lt;&gt;"Sim",M288&lt;&gt;"N/A"),Config!$B$18&amp;"; ","")&amp;IF(AND(Config!$B$19&lt;&gt;"",N288&lt;&gt;"Sim",N288&lt;&gt;"N/A"),Config!$B$19&amp;"; ","")&amp;IF(AND($D288="Encerrado",Config!$D$10&lt;&gt;"",O288&lt;&gt;"Sim",O288&lt;&gt;"N/A"),Config!$D$10&amp;"; ","")&amp;IF(AND($D288="Encerrado",Config!$D$11&lt;&gt;"",P288&lt;&gt;"Sim",P288&lt;&gt;"N/A"),Config!$D$11&amp;"; ","")&amp;IF(AND($D288="Encerrado",Config!$D$12&lt;&gt;"",Q288&lt;&gt;"Sim",Q288&lt;&gt;"N/A"),Config!$D$12&amp;"; ","")&amp;IF(AND($D288="Encerrado",Config!$D$13&lt;&gt;"",R288&lt;&gt;"Sim",R288&lt;&gt;"N/A"),Config!$D$13&amp;"; ","")&amp;IF(AND($D288="Encerrado",Config!$D$14&lt;&gt;"",S288&lt;&gt;"Sim",S288&lt;&gt;"N/A"),Config!$D$14&amp;"; ","")&amp;IF(AND($D288="Encerrado",Config!$D$15&lt;&gt;"",T288&lt;&gt;"Sim",T288&lt;&gt;"N/A"),Config!$D$15&amp;"; ","")&amp;IF(AND($D288="Encerrado",Config!$D$16&lt;&gt;"",U288&lt;&gt;"Sim",U288&lt;&gt;"N/A"),Config!$D$16&amp;"; ","")&amp;IF(AND($D288="Encerrado",Config!$D$17&lt;&gt;"",V288&lt;&gt;"Sim",V288&lt;&gt;"N/A"),Config!$D$17&amp;"; ","")&amp;IF(AND($D288="Encerrado",Config!$D$18&lt;&gt;"",W288&lt;&gt;"Sim",W288&lt;&gt;"N/A"),Config!$D$18&amp;"; ","")&amp;IF(AND($D288="Encerrado",Config!$D$19&lt;&gt;"",X288&lt;&gt;"Sim",X288&lt;&gt;"N/A"),Config!$D$19&amp;"; ",""))</f>
        <v/>
      </c>
    </row>
    <row r="289">
      <c r="A289" s="29" t="n"/>
      <c r="B289" s="29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25">
        <f>IF(A289="","",IFERROR(COUNTIF(E289:N289,"Sim")/(Config!$B$21-COUNTIF(E289:N289,"N/A")),""))</f>
        <v/>
      </c>
      <c r="Z289" s="25">
        <f>IF(OR(A289="",D289&lt;&gt;"Encerrado"),"",IFERROR(COUNTIF(O289:X289,"Sim")/(Config!$D$21-COUNTIF(O289:X289,"N/A")),""))</f>
        <v/>
      </c>
      <c r="AA289" s="23">
        <f>IF(A289="","",MAX(0,Config!$B$21-COUNTIF(E289:N289,"Sim")-COUNTIF(E289:N289,"N/A")))</f>
        <v/>
      </c>
      <c r="AB289" s="23">
        <f>IF(OR(A289="",D289&lt;&gt;"Encerrado"),"",MAX(0,Config!$D$21-COUNTIF(O289:X289,"Sim")-COUNTIF(O289:X289,"N/A")))</f>
        <v/>
      </c>
      <c r="AC289" s="23">
        <f>IF(A289="","",AA289+IF(AB289="",0,AB289))</f>
        <v/>
      </c>
      <c r="AD289" s="24">
        <f>IF(OR(A289="",AF289=""),"",LEFT(AF289,LEN(AF289)-2))</f>
        <v/>
      </c>
      <c r="AE289" s="35">
        <f>IF(OR(A289="",AC289=0),0,AC289*100-ROW()/100000)</f>
        <v>0</v>
      </c>
      <c r="AF289" s="35">
        <f>IF(A289="","",IF(AND(Config!$B$10&lt;&gt;"",E289&lt;&gt;"Sim",E289&lt;&gt;"N/A"),Config!$B$10&amp;"; ","")&amp;IF(AND(Config!$B$11&lt;&gt;"",F289&lt;&gt;"Sim",F289&lt;&gt;"N/A"),Config!$B$11&amp;"; ","")&amp;IF(AND(Config!$B$12&lt;&gt;"",G289&lt;&gt;"Sim",G289&lt;&gt;"N/A"),Config!$B$12&amp;"; ","")&amp;IF(AND(Config!$B$13&lt;&gt;"",H289&lt;&gt;"Sim",H289&lt;&gt;"N/A"),Config!$B$13&amp;"; ","")&amp;IF(AND(Config!$B$14&lt;&gt;"",I289&lt;&gt;"Sim",I289&lt;&gt;"N/A"),Config!$B$14&amp;"; ","")&amp;IF(AND(Config!$B$15&lt;&gt;"",J289&lt;&gt;"Sim",J289&lt;&gt;"N/A"),Config!$B$15&amp;"; ","")&amp;IF(AND(Config!$B$16&lt;&gt;"",K289&lt;&gt;"Sim",K289&lt;&gt;"N/A"),Config!$B$16&amp;"; ","")&amp;IF(AND(Config!$B$17&lt;&gt;"",L289&lt;&gt;"Sim",L289&lt;&gt;"N/A"),Config!$B$17&amp;"; ","")&amp;IF(AND(Config!$B$18&lt;&gt;"",M289&lt;&gt;"Sim",M289&lt;&gt;"N/A"),Config!$B$18&amp;"; ","")&amp;IF(AND(Config!$B$19&lt;&gt;"",N289&lt;&gt;"Sim",N289&lt;&gt;"N/A"),Config!$B$19&amp;"; ","")&amp;IF(AND($D289="Encerrado",Config!$D$10&lt;&gt;"",O289&lt;&gt;"Sim",O289&lt;&gt;"N/A"),Config!$D$10&amp;"; ","")&amp;IF(AND($D289="Encerrado",Config!$D$11&lt;&gt;"",P289&lt;&gt;"Sim",P289&lt;&gt;"N/A"),Config!$D$11&amp;"; ","")&amp;IF(AND($D289="Encerrado",Config!$D$12&lt;&gt;"",Q289&lt;&gt;"Sim",Q289&lt;&gt;"N/A"),Config!$D$12&amp;"; ","")&amp;IF(AND($D289="Encerrado",Config!$D$13&lt;&gt;"",R289&lt;&gt;"Sim",R289&lt;&gt;"N/A"),Config!$D$13&amp;"; ","")&amp;IF(AND($D289="Encerrado",Config!$D$14&lt;&gt;"",S289&lt;&gt;"Sim",S289&lt;&gt;"N/A"),Config!$D$14&amp;"; ","")&amp;IF(AND($D289="Encerrado",Config!$D$15&lt;&gt;"",T289&lt;&gt;"Sim",T289&lt;&gt;"N/A"),Config!$D$15&amp;"; ","")&amp;IF(AND($D289="Encerrado",Config!$D$16&lt;&gt;"",U289&lt;&gt;"Sim",U289&lt;&gt;"N/A"),Config!$D$16&amp;"; ","")&amp;IF(AND($D289="Encerrado",Config!$D$17&lt;&gt;"",V289&lt;&gt;"Sim",V289&lt;&gt;"N/A"),Config!$D$17&amp;"; ","")&amp;IF(AND($D289="Encerrado",Config!$D$18&lt;&gt;"",W289&lt;&gt;"Sim",W289&lt;&gt;"N/A"),Config!$D$18&amp;"; ","")&amp;IF(AND($D289="Encerrado",Config!$D$19&lt;&gt;"",X289&lt;&gt;"Sim",X289&lt;&gt;"N/A"),Config!$D$19&amp;"; ",""))</f>
        <v/>
      </c>
    </row>
    <row r="290">
      <c r="A290" s="29" t="n"/>
      <c r="B290" s="29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25">
        <f>IF(A290="","",IFERROR(COUNTIF(E290:N290,"Sim")/(Config!$B$21-COUNTIF(E290:N290,"N/A")),""))</f>
        <v/>
      </c>
      <c r="Z290" s="25">
        <f>IF(OR(A290="",D290&lt;&gt;"Encerrado"),"",IFERROR(COUNTIF(O290:X290,"Sim")/(Config!$D$21-COUNTIF(O290:X290,"N/A")),""))</f>
        <v/>
      </c>
      <c r="AA290" s="23">
        <f>IF(A290="","",MAX(0,Config!$B$21-COUNTIF(E290:N290,"Sim")-COUNTIF(E290:N290,"N/A")))</f>
        <v/>
      </c>
      <c r="AB290" s="23">
        <f>IF(OR(A290="",D290&lt;&gt;"Encerrado"),"",MAX(0,Config!$D$21-COUNTIF(O290:X290,"Sim")-COUNTIF(O290:X290,"N/A")))</f>
        <v/>
      </c>
      <c r="AC290" s="23">
        <f>IF(A290="","",AA290+IF(AB290="",0,AB290))</f>
        <v/>
      </c>
      <c r="AD290" s="24">
        <f>IF(OR(A290="",AF290=""),"",LEFT(AF290,LEN(AF290)-2))</f>
        <v/>
      </c>
      <c r="AE290" s="35">
        <f>IF(OR(A290="",AC290=0),0,AC290*100-ROW()/100000)</f>
        <v>0</v>
      </c>
      <c r="AF290" s="35">
        <f>IF(A290="","",IF(AND(Config!$B$10&lt;&gt;"",E290&lt;&gt;"Sim",E290&lt;&gt;"N/A"),Config!$B$10&amp;"; ","")&amp;IF(AND(Config!$B$11&lt;&gt;"",F290&lt;&gt;"Sim",F290&lt;&gt;"N/A"),Config!$B$11&amp;"; ","")&amp;IF(AND(Config!$B$12&lt;&gt;"",G290&lt;&gt;"Sim",G290&lt;&gt;"N/A"),Config!$B$12&amp;"; ","")&amp;IF(AND(Config!$B$13&lt;&gt;"",H290&lt;&gt;"Sim",H290&lt;&gt;"N/A"),Config!$B$13&amp;"; ","")&amp;IF(AND(Config!$B$14&lt;&gt;"",I290&lt;&gt;"Sim",I290&lt;&gt;"N/A"),Config!$B$14&amp;"; ","")&amp;IF(AND(Config!$B$15&lt;&gt;"",J290&lt;&gt;"Sim",J290&lt;&gt;"N/A"),Config!$B$15&amp;"; ","")&amp;IF(AND(Config!$B$16&lt;&gt;"",K290&lt;&gt;"Sim",K290&lt;&gt;"N/A"),Config!$B$16&amp;"; ","")&amp;IF(AND(Config!$B$17&lt;&gt;"",L290&lt;&gt;"Sim",L290&lt;&gt;"N/A"),Config!$B$17&amp;"; ","")&amp;IF(AND(Config!$B$18&lt;&gt;"",M290&lt;&gt;"Sim",M290&lt;&gt;"N/A"),Config!$B$18&amp;"; ","")&amp;IF(AND(Config!$B$19&lt;&gt;"",N290&lt;&gt;"Sim",N290&lt;&gt;"N/A"),Config!$B$19&amp;"; ","")&amp;IF(AND($D290="Encerrado",Config!$D$10&lt;&gt;"",O290&lt;&gt;"Sim",O290&lt;&gt;"N/A"),Config!$D$10&amp;"; ","")&amp;IF(AND($D290="Encerrado",Config!$D$11&lt;&gt;"",P290&lt;&gt;"Sim",P290&lt;&gt;"N/A"),Config!$D$11&amp;"; ","")&amp;IF(AND($D290="Encerrado",Config!$D$12&lt;&gt;"",Q290&lt;&gt;"Sim",Q290&lt;&gt;"N/A"),Config!$D$12&amp;"; ","")&amp;IF(AND($D290="Encerrado",Config!$D$13&lt;&gt;"",R290&lt;&gt;"Sim",R290&lt;&gt;"N/A"),Config!$D$13&amp;"; ","")&amp;IF(AND($D290="Encerrado",Config!$D$14&lt;&gt;"",S290&lt;&gt;"Sim",S290&lt;&gt;"N/A"),Config!$D$14&amp;"; ","")&amp;IF(AND($D290="Encerrado",Config!$D$15&lt;&gt;"",T290&lt;&gt;"Sim",T290&lt;&gt;"N/A"),Config!$D$15&amp;"; ","")&amp;IF(AND($D290="Encerrado",Config!$D$16&lt;&gt;"",U290&lt;&gt;"Sim",U290&lt;&gt;"N/A"),Config!$D$16&amp;"; ","")&amp;IF(AND($D290="Encerrado",Config!$D$17&lt;&gt;"",V290&lt;&gt;"Sim",V290&lt;&gt;"N/A"),Config!$D$17&amp;"; ","")&amp;IF(AND($D290="Encerrado",Config!$D$18&lt;&gt;"",W290&lt;&gt;"Sim",W290&lt;&gt;"N/A"),Config!$D$18&amp;"; ","")&amp;IF(AND($D290="Encerrado",Config!$D$19&lt;&gt;"",X290&lt;&gt;"Sim",X290&lt;&gt;"N/A"),Config!$D$19&amp;"; ",""))</f>
        <v/>
      </c>
    </row>
    <row r="291">
      <c r="A291" s="29" t="n"/>
      <c r="B291" s="29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25">
        <f>IF(A291="","",IFERROR(COUNTIF(E291:N291,"Sim")/(Config!$B$21-COUNTIF(E291:N291,"N/A")),""))</f>
        <v/>
      </c>
      <c r="Z291" s="25">
        <f>IF(OR(A291="",D291&lt;&gt;"Encerrado"),"",IFERROR(COUNTIF(O291:X291,"Sim")/(Config!$D$21-COUNTIF(O291:X291,"N/A")),""))</f>
        <v/>
      </c>
      <c r="AA291" s="23">
        <f>IF(A291="","",MAX(0,Config!$B$21-COUNTIF(E291:N291,"Sim")-COUNTIF(E291:N291,"N/A")))</f>
        <v/>
      </c>
      <c r="AB291" s="23">
        <f>IF(OR(A291="",D291&lt;&gt;"Encerrado"),"",MAX(0,Config!$D$21-COUNTIF(O291:X291,"Sim")-COUNTIF(O291:X291,"N/A")))</f>
        <v/>
      </c>
      <c r="AC291" s="23">
        <f>IF(A291="","",AA291+IF(AB291="",0,AB291))</f>
        <v/>
      </c>
      <c r="AD291" s="24">
        <f>IF(OR(A291="",AF291=""),"",LEFT(AF291,LEN(AF291)-2))</f>
        <v/>
      </c>
      <c r="AE291" s="35">
        <f>IF(OR(A291="",AC291=0),0,AC291*100-ROW()/100000)</f>
        <v>0</v>
      </c>
      <c r="AF291" s="35">
        <f>IF(A291="","",IF(AND(Config!$B$10&lt;&gt;"",E291&lt;&gt;"Sim",E291&lt;&gt;"N/A"),Config!$B$10&amp;"; ","")&amp;IF(AND(Config!$B$11&lt;&gt;"",F291&lt;&gt;"Sim",F291&lt;&gt;"N/A"),Config!$B$11&amp;"; ","")&amp;IF(AND(Config!$B$12&lt;&gt;"",G291&lt;&gt;"Sim",G291&lt;&gt;"N/A"),Config!$B$12&amp;"; ","")&amp;IF(AND(Config!$B$13&lt;&gt;"",H291&lt;&gt;"Sim",H291&lt;&gt;"N/A"),Config!$B$13&amp;"; ","")&amp;IF(AND(Config!$B$14&lt;&gt;"",I291&lt;&gt;"Sim",I291&lt;&gt;"N/A"),Config!$B$14&amp;"; ","")&amp;IF(AND(Config!$B$15&lt;&gt;"",J291&lt;&gt;"Sim",J291&lt;&gt;"N/A"),Config!$B$15&amp;"; ","")&amp;IF(AND(Config!$B$16&lt;&gt;"",K291&lt;&gt;"Sim",K291&lt;&gt;"N/A"),Config!$B$16&amp;"; ","")&amp;IF(AND(Config!$B$17&lt;&gt;"",L291&lt;&gt;"Sim",L291&lt;&gt;"N/A"),Config!$B$17&amp;"; ","")&amp;IF(AND(Config!$B$18&lt;&gt;"",M291&lt;&gt;"Sim",M291&lt;&gt;"N/A"),Config!$B$18&amp;"; ","")&amp;IF(AND(Config!$B$19&lt;&gt;"",N291&lt;&gt;"Sim",N291&lt;&gt;"N/A"),Config!$B$19&amp;"; ","")&amp;IF(AND($D291="Encerrado",Config!$D$10&lt;&gt;"",O291&lt;&gt;"Sim",O291&lt;&gt;"N/A"),Config!$D$10&amp;"; ","")&amp;IF(AND($D291="Encerrado",Config!$D$11&lt;&gt;"",P291&lt;&gt;"Sim",P291&lt;&gt;"N/A"),Config!$D$11&amp;"; ","")&amp;IF(AND($D291="Encerrado",Config!$D$12&lt;&gt;"",Q291&lt;&gt;"Sim",Q291&lt;&gt;"N/A"),Config!$D$12&amp;"; ","")&amp;IF(AND($D291="Encerrado",Config!$D$13&lt;&gt;"",R291&lt;&gt;"Sim",R291&lt;&gt;"N/A"),Config!$D$13&amp;"; ","")&amp;IF(AND($D291="Encerrado",Config!$D$14&lt;&gt;"",S291&lt;&gt;"Sim",S291&lt;&gt;"N/A"),Config!$D$14&amp;"; ","")&amp;IF(AND($D291="Encerrado",Config!$D$15&lt;&gt;"",T291&lt;&gt;"Sim",T291&lt;&gt;"N/A"),Config!$D$15&amp;"; ","")&amp;IF(AND($D291="Encerrado",Config!$D$16&lt;&gt;"",U291&lt;&gt;"Sim",U291&lt;&gt;"N/A"),Config!$D$16&amp;"; ","")&amp;IF(AND($D291="Encerrado",Config!$D$17&lt;&gt;"",V291&lt;&gt;"Sim",V291&lt;&gt;"N/A"),Config!$D$17&amp;"; ","")&amp;IF(AND($D291="Encerrado",Config!$D$18&lt;&gt;"",W291&lt;&gt;"Sim",W291&lt;&gt;"N/A"),Config!$D$18&amp;"; ","")&amp;IF(AND($D291="Encerrado",Config!$D$19&lt;&gt;"",X291&lt;&gt;"Sim",X291&lt;&gt;"N/A"),Config!$D$19&amp;"; ",""))</f>
        <v/>
      </c>
    </row>
    <row r="292">
      <c r="A292" s="29" t="n"/>
      <c r="B292" s="29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25">
        <f>IF(A292="","",IFERROR(COUNTIF(E292:N292,"Sim")/(Config!$B$21-COUNTIF(E292:N292,"N/A")),""))</f>
        <v/>
      </c>
      <c r="Z292" s="25">
        <f>IF(OR(A292="",D292&lt;&gt;"Encerrado"),"",IFERROR(COUNTIF(O292:X292,"Sim")/(Config!$D$21-COUNTIF(O292:X292,"N/A")),""))</f>
        <v/>
      </c>
      <c r="AA292" s="23">
        <f>IF(A292="","",MAX(0,Config!$B$21-COUNTIF(E292:N292,"Sim")-COUNTIF(E292:N292,"N/A")))</f>
        <v/>
      </c>
      <c r="AB292" s="23">
        <f>IF(OR(A292="",D292&lt;&gt;"Encerrado"),"",MAX(0,Config!$D$21-COUNTIF(O292:X292,"Sim")-COUNTIF(O292:X292,"N/A")))</f>
        <v/>
      </c>
      <c r="AC292" s="23">
        <f>IF(A292="","",AA292+IF(AB292="",0,AB292))</f>
        <v/>
      </c>
      <c r="AD292" s="24">
        <f>IF(OR(A292="",AF292=""),"",LEFT(AF292,LEN(AF292)-2))</f>
        <v/>
      </c>
      <c r="AE292" s="35">
        <f>IF(OR(A292="",AC292=0),0,AC292*100-ROW()/100000)</f>
        <v>0</v>
      </c>
      <c r="AF292" s="35">
        <f>IF(A292="","",IF(AND(Config!$B$10&lt;&gt;"",E292&lt;&gt;"Sim",E292&lt;&gt;"N/A"),Config!$B$10&amp;"; ","")&amp;IF(AND(Config!$B$11&lt;&gt;"",F292&lt;&gt;"Sim",F292&lt;&gt;"N/A"),Config!$B$11&amp;"; ","")&amp;IF(AND(Config!$B$12&lt;&gt;"",G292&lt;&gt;"Sim",G292&lt;&gt;"N/A"),Config!$B$12&amp;"; ","")&amp;IF(AND(Config!$B$13&lt;&gt;"",H292&lt;&gt;"Sim",H292&lt;&gt;"N/A"),Config!$B$13&amp;"; ","")&amp;IF(AND(Config!$B$14&lt;&gt;"",I292&lt;&gt;"Sim",I292&lt;&gt;"N/A"),Config!$B$14&amp;"; ","")&amp;IF(AND(Config!$B$15&lt;&gt;"",J292&lt;&gt;"Sim",J292&lt;&gt;"N/A"),Config!$B$15&amp;"; ","")&amp;IF(AND(Config!$B$16&lt;&gt;"",K292&lt;&gt;"Sim",K292&lt;&gt;"N/A"),Config!$B$16&amp;"; ","")&amp;IF(AND(Config!$B$17&lt;&gt;"",L292&lt;&gt;"Sim",L292&lt;&gt;"N/A"),Config!$B$17&amp;"; ","")&amp;IF(AND(Config!$B$18&lt;&gt;"",M292&lt;&gt;"Sim",M292&lt;&gt;"N/A"),Config!$B$18&amp;"; ","")&amp;IF(AND(Config!$B$19&lt;&gt;"",N292&lt;&gt;"Sim",N292&lt;&gt;"N/A"),Config!$B$19&amp;"; ","")&amp;IF(AND($D292="Encerrado",Config!$D$10&lt;&gt;"",O292&lt;&gt;"Sim",O292&lt;&gt;"N/A"),Config!$D$10&amp;"; ","")&amp;IF(AND($D292="Encerrado",Config!$D$11&lt;&gt;"",P292&lt;&gt;"Sim",P292&lt;&gt;"N/A"),Config!$D$11&amp;"; ","")&amp;IF(AND($D292="Encerrado",Config!$D$12&lt;&gt;"",Q292&lt;&gt;"Sim",Q292&lt;&gt;"N/A"),Config!$D$12&amp;"; ","")&amp;IF(AND($D292="Encerrado",Config!$D$13&lt;&gt;"",R292&lt;&gt;"Sim",R292&lt;&gt;"N/A"),Config!$D$13&amp;"; ","")&amp;IF(AND($D292="Encerrado",Config!$D$14&lt;&gt;"",S292&lt;&gt;"Sim",S292&lt;&gt;"N/A"),Config!$D$14&amp;"; ","")&amp;IF(AND($D292="Encerrado",Config!$D$15&lt;&gt;"",T292&lt;&gt;"Sim",T292&lt;&gt;"N/A"),Config!$D$15&amp;"; ","")&amp;IF(AND($D292="Encerrado",Config!$D$16&lt;&gt;"",U292&lt;&gt;"Sim",U292&lt;&gt;"N/A"),Config!$D$16&amp;"; ","")&amp;IF(AND($D292="Encerrado",Config!$D$17&lt;&gt;"",V292&lt;&gt;"Sim",V292&lt;&gt;"N/A"),Config!$D$17&amp;"; ","")&amp;IF(AND($D292="Encerrado",Config!$D$18&lt;&gt;"",W292&lt;&gt;"Sim",W292&lt;&gt;"N/A"),Config!$D$18&amp;"; ","")&amp;IF(AND($D292="Encerrado",Config!$D$19&lt;&gt;"",X292&lt;&gt;"Sim",X292&lt;&gt;"N/A"),Config!$D$19&amp;"; ",""))</f>
        <v/>
      </c>
    </row>
    <row r="293">
      <c r="A293" s="29" t="n"/>
      <c r="B293" s="29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25">
        <f>IF(A293="","",IFERROR(COUNTIF(E293:N293,"Sim")/(Config!$B$21-COUNTIF(E293:N293,"N/A")),""))</f>
        <v/>
      </c>
      <c r="Z293" s="25">
        <f>IF(OR(A293="",D293&lt;&gt;"Encerrado"),"",IFERROR(COUNTIF(O293:X293,"Sim")/(Config!$D$21-COUNTIF(O293:X293,"N/A")),""))</f>
        <v/>
      </c>
      <c r="AA293" s="23">
        <f>IF(A293="","",MAX(0,Config!$B$21-COUNTIF(E293:N293,"Sim")-COUNTIF(E293:N293,"N/A")))</f>
        <v/>
      </c>
      <c r="AB293" s="23">
        <f>IF(OR(A293="",D293&lt;&gt;"Encerrado"),"",MAX(0,Config!$D$21-COUNTIF(O293:X293,"Sim")-COUNTIF(O293:X293,"N/A")))</f>
        <v/>
      </c>
      <c r="AC293" s="23">
        <f>IF(A293="","",AA293+IF(AB293="",0,AB293))</f>
        <v/>
      </c>
      <c r="AD293" s="24">
        <f>IF(OR(A293="",AF293=""),"",LEFT(AF293,LEN(AF293)-2))</f>
        <v/>
      </c>
      <c r="AE293" s="35">
        <f>IF(OR(A293="",AC293=0),0,AC293*100-ROW()/100000)</f>
        <v>0</v>
      </c>
      <c r="AF293" s="35">
        <f>IF(A293="","",IF(AND(Config!$B$10&lt;&gt;"",E293&lt;&gt;"Sim",E293&lt;&gt;"N/A"),Config!$B$10&amp;"; ","")&amp;IF(AND(Config!$B$11&lt;&gt;"",F293&lt;&gt;"Sim",F293&lt;&gt;"N/A"),Config!$B$11&amp;"; ","")&amp;IF(AND(Config!$B$12&lt;&gt;"",G293&lt;&gt;"Sim",G293&lt;&gt;"N/A"),Config!$B$12&amp;"; ","")&amp;IF(AND(Config!$B$13&lt;&gt;"",H293&lt;&gt;"Sim",H293&lt;&gt;"N/A"),Config!$B$13&amp;"; ","")&amp;IF(AND(Config!$B$14&lt;&gt;"",I293&lt;&gt;"Sim",I293&lt;&gt;"N/A"),Config!$B$14&amp;"; ","")&amp;IF(AND(Config!$B$15&lt;&gt;"",J293&lt;&gt;"Sim",J293&lt;&gt;"N/A"),Config!$B$15&amp;"; ","")&amp;IF(AND(Config!$B$16&lt;&gt;"",K293&lt;&gt;"Sim",K293&lt;&gt;"N/A"),Config!$B$16&amp;"; ","")&amp;IF(AND(Config!$B$17&lt;&gt;"",L293&lt;&gt;"Sim",L293&lt;&gt;"N/A"),Config!$B$17&amp;"; ","")&amp;IF(AND(Config!$B$18&lt;&gt;"",M293&lt;&gt;"Sim",M293&lt;&gt;"N/A"),Config!$B$18&amp;"; ","")&amp;IF(AND(Config!$B$19&lt;&gt;"",N293&lt;&gt;"Sim",N293&lt;&gt;"N/A"),Config!$B$19&amp;"; ","")&amp;IF(AND($D293="Encerrado",Config!$D$10&lt;&gt;"",O293&lt;&gt;"Sim",O293&lt;&gt;"N/A"),Config!$D$10&amp;"; ","")&amp;IF(AND($D293="Encerrado",Config!$D$11&lt;&gt;"",P293&lt;&gt;"Sim",P293&lt;&gt;"N/A"),Config!$D$11&amp;"; ","")&amp;IF(AND($D293="Encerrado",Config!$D$12&lt;&gt;"",Q293&lt;&gt;"Sim",Q293&lt;&gt;"N/A"),Config!$D$12&amp;"; ","")&amp;IF(AND($D293="Encerrado",Config!$D$13&lt;&gt;"",R293&lt;&gt;"Sim",R293&lt;&gt;"N/A"),Config!$D$13&amp;"; ","")&amp;IF(AND($D293="Encerrado",Config!$D$14&lt;&gt;"",S293&lt;&gt;"Sim",S293&lt;&gt;"N/A"),Config!$D$14&amp;"; ","")&amp;IF(AND($D293="Encerrado",Config!$D$15&lt;&gt;"",T293&lt;&gt;"Sim",T293&lt;&gt;"N/A"),Config!$D$15&amp;"; ","")&amp;IF(AND($D293="Encerrado",Config!$D$16&lt;&gt;"",U293&lt;&gt;"Sim",U293&lt;&gt;"N/A"),Config!$D$16&amp;"; ","")&amp;IF(AND($D293="Encerrado",Config!$D$17&lt;&gt;"",V293&lt;&gt;"Sim",V293&lt;&gt;"N/A"),Config!$D$17&amp;"; ","")&amp;IF(AND($D293="Encerrado",Config!$D$18&lt;&gt;"",W293&lt;&gt;"Sim",W293&lt;&gt;"N/A"),Config!$D$18&amp;"; ","")&amp;IF(AND($D293="Encerrado",Config!$D$19&lt;&gt;"",X293&lt;&gt;"Sim",X293&lt;&gt;"N/A"),Config!$D$19&amp;"; ",""))</f>
        <v/>
      </c>
    </row>
    <row r="294">
      <c r="A294" s="29" t="n"/>
      <c r="B294" s="29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25">
        <f>IF(A294="","",IFERROR(COUNTIF(E294:N294,"Sim")/(Config!$B$21-COUNTIF(E294:N294,"N/A")),""))</f>
        <v/>
      </c>
      <c r="Z294" s="25">
        <f>IF(OR(A294="",D294&lt;&gt;"Encerrado"),"",IFERROR(COUNTIF(O294:X294,"Sim")/(Config!$D$21-COUNTIF(O294:X294,"N/A")),""))</f>
        <v/>
      </c>
      <c r="AA294" s="23">
        <f>IF(A294="","",MAX(0,Config!$B$21-COUNTIF(E294:N294,"Sim")-COUNTIF(E294:N294,"N/A")))</f>
        <v/>
      </c>
      <c r="AB294" s="23">
        <f>IF(OR(A294="",D294&lt;&gt;"Encerrado"),"",MAX(0,Config!$D$21-COUNTIF(O294:X294,"Sim")-COUNTIF(O294:X294,"N/A")))</f>
        <v/>
      </c>
      <c r="AC294" s="23">
        <f>IF(A294="","",AA294+IF(AB294="",0,AB294))</f>
        <v/>
      </c>
      <c r="AD294" s="24">
        <f>IF(OR(A294="",AF294=""),"",LEFT(AF294,LEN(AF294)-2))</f>
        <v/>
      </c>
      <c r="AE294" s="35">
        <f>IF(OR(A294="",AC294=0),0,AC294*100-ROW()/100000)</f>
        <v>0</v>
      </c>
      <c r="AF294" s="35">
        <f>IF(A294="","",IF(AND(Config!$B$10&lt;&gt;"",E294&lt;&gt;"Sim",E294&lt;&gt;"N/A"),Config!$B$10&amp;"; ","")&amp;IF(AND(Config!$B$11&lt;&gt;"",F294&lt;&gt;"Sim",F294&lt;&gt;"N/A"),Config!$B$11&amp;"; ","")&amp;IF(AND(Config!$B$12&lt;&gt;"",G294&lt;&gt;"Sim",G294&lt;&gt;"N/A"),Config!$B$12&amp;"; ","")&amp;IF(AND(Config!$B$13&lt;&gt;"",H294&lt;&gt;"Sim",H294&lt;&gt;"N/A"),Config!$B$13&amp;"; ","")&amp;IF(AND(Config!$B$14&lt;&gt;"",I294&lt;&gt;"Sim",I294&lt;&gt;"N/A"),Config!$B$14&amp;"; ","")&amp;IF(AND(Config!$B$15&lt;&gt;"",J294&lt;&gt;"Sim",J294&lt;&gt;"N/A"),Config!$B$15&amp;"; ","")&amp;IF(AND(Config!$B$16&lt;&gt;"",K294&lt;&gt;"Sim",K294&lt;&gt;"N/A"),Config!$B$16&amp;"; ","")&amp;IF(AND(Config!$B$17&lt;&gt;"",L294&lt;&gt;"Sim",L294&lt;&gt;"N/A"),Config!$B$17&amp;"; ","")&amp;IF(AND(Config!$B$18&lt;&gt;"",M294&lt;&gt;"Sim",M294&lt;&gt;"N/A"),Config!$B$18&amp;"; ","")&amp;IF(AND(Config!$B$19&lt;&gt;"",N294&lt;&gt;"Sim",N294&lt;&gt;"N/A"),Config!$B$19&amp;"; ","")&amp;IF(AND($D294="Encerrado",Config!$D$10&lt;&gt;"",O294&lt;&gt;"Sim",O294&lt;&gt;"N/A"),Config!$D$10&amp;"; ","")&amp;IF(AND($D294="Encerrado",Config!$D$11&lt;&gt;"",P294&lt;&gt;"Sim",P294&lt;&gt;"N/A"),Config!$D$11&amp;"; ","")&amp;IF(AND($D294="Encerrado",Config!$D$12&lt;&gt;"",Q294&lt;&gt;"Sim",Q294&lt;&gt;"N/A"),Config!$D$12&amp;"; ","")&amp;IF(AND($D294="Encerrado",Config!$D$13&lt;&gt;"",R294&lt;&gt;"Sim",R294&lt;&gt;"N/A"),Config!$D$13&amp;"; ","")&amp;IF(AND($D294="Encerrado",Config!$D$14&lt;&gt;"",S294&lt;&gt;"Sim",S294&lt;&gt;"N/A"),Config!$D$14&amp;"; ","")&amp;IF(AND($D294="Encerrado",Config!$D$15&lt;&gt;"",T294&lt;&gt;"Sim",T294&lt;&gt;"N/A"),Config!$D$15&amp;"; ","")&amp;IF(AND($D294="Encerrado",Config!$D$16&lt;&gt;"",U294&lt;&gt;"Sim",U294&lt;&gt;"N/A"),Config!$D$16&amp;"; ","")&amp;IF(AND($D294="Encerrado",Config!$D$17&lt;&gt;"",V294&lt;&gt;"Sim",V294&lt;&gt;"N/A"),Config!$D$17&amp;"; ","")&amp;IF(AND($D294="Encerrado",Config!$D$18&lt;&gt;"",W294&lt;&gt;"Sim",W294&lt;&gt;"N/A"),Config!$D$18&amp;"; ","")&amp;IF(AND($D294="Encerrado",Config!$D$19&lt;&gt;"",X294&lt;&gt;"Sim",X294&lt;&gt;"N/A"),Config!$D$19&amp;"; ",""))</f>
        <v/>
      </c>
    </row>
    <row r="295">
      <c r="A295" s="29" t="n"/>
      <c r="B295" s="29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25">
        <f>IF(A295="","",IFERROR(COUNTIF(E295:N295,"Sim")/(Config!$B$21-COUNTIF(E295:N295,"N/A")),""))</f>
        <v/>
      </c>
      <c r="Z295" s="25">
        <f>IF(OR(A295="",D295&lt;&gt;"Encerrado"),"",IFERROR(COUNTIF(O295:X295,"Sim")/(Config!$D$21-COUNTIF(O295:X295,"N/A")),""))</f>
        <v/>
      </c>
      <c r="AA295" s="23">
        <f>IF(A295="","",MAX(0,Config!$B$21-COUNTIF(E295:N295,"Sim")-COUNTIF(E295:N295,"N/A")))</f>
        <v/>
      </c>
      <c r="AB295" s="23">
        <f>IF(OR(A295="",D295&lt;&gt;"Encerrado"),"",MAX(0,Config!$D$21-COUNTIF(O295:X295,"Sim")-COUNTIF(O295:X295,"N/A")))</f>
        <v/>
      </c>
      <c r="AC295" s="23">
        <f>IF(A295="","",AA295+IF(AB295="",0,AB295))</f>
        <v/>
      </c>
      <c r="AD295" s="24">
        <f>IF(OR(A295="",AF295=""),"",LEFT(AF295,LEN(AF295)-2))</f>
        <v/>
      </c>
      <c r="AE295" s="35">
        <f>IF(OR(A295="",AC295=0),0,AC295*100-ROW()/100000)</f>
        <v>0</v>
      </c>
      <c r="AF295" s="35">
        <f>IF(A295="","",IF(AND(Config!$B$10&lt;&gt;"",E295&lt;&gt;"Sim",E295&lt;&gt;"N/A"),Config!$B$10&amp;"; ","")&amp;IF(AND(Config!$B$11&lt;&gt;"",F295&lt;&gt;"Sim",F295&lt;&gt;"N/A"),Config!$B$11&amp;"; ","")&amp;IF(AND(Config!$B$12&lt;&gt;"",G295&lt;&gt;"Sim",G295&lt;&gt;"N/A"),Config!$B$12&amp;"; ","")&amp;IF(AND(Config!$B$13&lt;&gt;"",H295&lt;&gt;"Sim",H295&lt;&gt;"N/A"),Config!$B$13&amp;"; ","")&amp;IF(AND(Config!$B$14&lt;&gt;"",I295&lt;&gt;"Sim",I295&lt;&gt;"N/A"),Config!$B$14&amp;"; ","")&amp;IF(AND(Config!$B$15&lt;&gt;"",J295&lt;&gt;"Sim",J295&lt;&gt;"N/A"),Config!$B$15&amp;"; ","")&amp;IF(AND(Config!$B$16&lt;&gt;"",K295&lt;&gt;"Sim",K295&lt;&gt;"N/A"),Config!$B$16&amp;"; ","")&amp;IF(AND(Config!$B$17&lt;&gt;"",L295&lt;&gt;"Sim",L295&lt;&gt;"N/A"),Config!$B$17&amp;"; ","")&amp;IF(AND(Config!$B$18&lt;&gt;"",M295&lt;&gt;"Sim",M295&lt;&gt;"N/A"),Config!$B$18&amp;"; ","")&amp;IF(AND(Config!$B$19&lt;&gt;"",N295&lt;&gt;"Sim",N295&lt;&gt;"N/A"),Config!$B$19&amp;"; ","")&amp;IF(AND($D295="Encerrado",Config!$D$10&lt;&gt;"",O295&lt;&gt;"Sim",O295&lt;&gt;"N/A"),Config!$D$10&amp;"; ","")&amp;IF(AND($D295="Encerrado",Config!$D$11&lt;&gt;"",P295&lt;&gt;"Sim",P295&lt;&gt;"N/A"),Config!$D$11&amp;"; ","")&amp;IF(AND($D295="Encerrado",Config!$D$12&lt;&gt;"",Q295&lt;&gt;"Sim",Q295&lt;&gt;"N/A"),Config!$D$12&amp;"; ","")&amp;IF(AND($D295="Encerrado",Config!$D$13&lt;&gt;"",R295&lt;&gt;"Sim",R295&lt;&gt;"N/A"),Config!$D$13&amp;"; ","")&amp;IF(AND($D295="Encerrado",Config!$D$14&lt;&gt;"",S295&lt;&gt;"Sim",S295&lt;&gt;"N/A"),Config!$D$14&amp;"; ","")&amp;IF(AND($D295="Encerrado",Config!$D$15&lt;&gt;"",T295&lt;&gt;"Sim",T295&lt;&gt;"N/A"),Config!$D$15&amp;"; ","")&amp;IF(AND($D295="Encerrado",Config!$D$16&lt;&gt;"",U295&lt;&gt;"Sim",U295&lt;&gt;"N/A"),Config!$D$16&amp;"; ","")&amp;IF(AND($D295="Encerrado",Config!$D$17&lt;&gt;"",V295&lt;&gt;"Sim",V295&lt;&gt;"N/A"),Config!$D$17&amp;"; ","")&amp;IF(AND($D295="Encerrado",Config!$D$18&lt;&gt;"",W295&lt;&gt;"Sim",W295&lt;&gt;"N/A"),Config!$D$18&amp;"; ","")&amp;IF(AND($D295="Encerrado",Config!$D$19&lt;&gt;"",X295&lt;&gt;"Sim",X295&lt;&gt;"N/A"),Config!$D$19&amp;"; ",""))</f>
        <v/>
      </c>
    </row>
    <row r="296">
      <c r="A296" s="29" t="n"/>
      <c r="B296" s="29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25">
        <f>IF(A296="","",IFERROR(COUNTIF(E296:N296,"Sim")/(Config!$B$21-COUNTIF(E296:N296,"N/A")),""))</f>
        <v/>
      </c>
      <c r="Z296" s="25">
        <f>IF(OR(A296="",D296&lt;&gt;"Encerrado"),"",IFERROR(COUNTIF(O296:X296,"Sim")/(Config!$D$21-COUNTIF(O296:X296,"N/A")),""))</f>
        <v/>
      </c>
      <c r="AA296" s="23">
        <f>IF(A296="","",MAX(0,Config!$B$21-COUNTIF(E296:N296,"Sim")-COUNTIF(E296:N296,"N/A")))</f>
        <v/>
      </c>
      <c r="AB296" s="23">
        <f>IF(OR(A296="",D296&lt;&gt;"Encerrado"),"",MAX(0,Config!$D$21-COUNTIF(O296:X296,"Sim")-COUNTIF(O296:X296,"N/A")))</f>
        <v/>
      </c>
      <c r="AC296" s="23">
        <f>IF(A296="","",AA296+IF(AB296="",0,AB296))</f>
        <v/>
      </c>
      <c r="AD296" s="24">
        <f>IF(OR(A296="",AF296=""),"",LEFT(AF296,LEN(AF296)-2))</f>
        <v/>
      </c>
      <c r="AE296" s="35">
        <f>IF(OR(A296="",AC296=0),0,AC296*100-ROW()/100000)</f>
        <v>0</v>
      </c>
      <c r="AF296" s="35">
        <f>IF(A296="","",IF(AND(Config!$B$10&lt;&gt;"",E296&lt;&gt;"Sim",E296&lt;&gt;"N/A"),Config!$B$10&amp;"; ","")&amp;IF(AND(Config!$B$11&lt;&gt;"",F296&lt;&gt;"Sim",F296&lt;&gt;"N/A"),Config!$B$11&amp;"; ","")&amp;IF(AND(Config!$B$12&lt;&gt;"",G296&lt;&gt;"Sim",G296&lt;&gt;"N/A"),Config!$B$12&amp;"; ","")&amp;IF(AND(Config!$B$13&lt;&gt;"",H296&lt;&gt;"Sim",H296&lt;&gt;"N/A"),Config!$B$13&amp;"; ","")&amp;IF(AND(Config!$B$14&lt;&gt;"",I296&lt;&gt;"Sim",I296&lt;&gt;"N/A"),Config!$B$14&amp;"; ","")&amp;IF(AND(Config!$B$15&lt;&gt;"",J296&lt;&gt;"Sim",J296&lt;&gt;"N/A"),Config!$B$15&amp;"; ","")&amp;IF(AND(Config!$B$16&lt;&gt;"",K296&lt;&gt;"Sim",K296&lt;&gt;"N/A"),Config!$B$16&amp;"; ","")&amp;IF(AND(Config!$B$17&lt;&gt;"",L296&lt;&gt;"Sim",L296&lt;&gt;"N/A"),Config!$B$17&amp;"; ","")&amp;IF(AND(Config!$B$18&lt;&gt;"",M296&lt;&gt;"Sim",M296&lt;&gt;"N/A"),Config!$B$18&amp;"; ","")&amp;IF(AND(Config!$B$19&lt;&gt;"",N296&lt;&gt;"Sim",N296&lt;&gt;"N/A"),Config!$B$19&amp;"; ","")&amp;IF(AND($D296="Encerrado",Config!$D$10&lt;&gt;"",O296&lt;&gt;"Sim",O296&lt;&gt;"N/A"),Config!$D$10&amp;"; ","")&amp;IF(AND($D296="Encerrado",Config!$D$11&lt;&gt;"",P296&lt;&gt;"Sim",P296&lt;&gt;"N/A"),Config!$D$11&amp;"; ","")&amp;IF(AND($D296="Encerrado",Config!$D$12&lt;&gt;"",Q296&lt;&gt;"Sim",Q296&lt;&gt;"N/A"),Config!$D$12&amp;"; ","")&amp;IF(AND($D296="Encerrado",Config!$D$13&lt;&gt;"",R296&lt;&gt;"Sim",R296&lt;&gt;"N/A"),Config!$D$13&amp;"; ","")&amp;IF(AND($D296="Encerrado",Config!$D$14&lt;&gt;"",S296&lt;&gt;"Sim",S296&lt;&gt;"N/A"),Config!$D$14&amp;"; ","")&amp;IF(AND($D296="Encerrado",Config!$D$15&lt;&gt;"",T296&lt;&gt;"Sim",T296&lt;&gt;"N/A"),Config!$D$15&amp;"; ","")&amp;IF(AND($D296="Encerrado",Config!$D$16&lt;&gt;"",U296&lt;&gt;"Sim",U296&lt;&gt;"N/A"),Config!$D$16&amp;"; ","")&amp;IF(AND($D296="Encerrado",Config!$D$17&lt;&gt;"",V296&lt;&gt;"Sim",V296&lt;&gt;"N/A"),Config!$D$17&amp;"; ","")&amp;IF(AND($D296="Encerrado",Config!$D$18&lt;&gt;"",W296&lt;&gt;"Sim",W296&lt;&gt;"N/A"),Config!$D$18&amp;"; ","")&amp;IF(AND($D296="Encerrado",Config!$D$19&lt;&gt;"",X296&lt;&gt;"Sim",X296&lt;&gt;"N/A"),Config!$D$19&amp;"; ",""))</f>
        <v/>
      </c>
    </row>
    <row r="297">
      <c r="A297" s="29" t="n"/>
      <c r="B297" s="29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25">
        <f>IF(A297="","",IFERROR(COUNTIF(E297:N297,"Sim")/(Config!$B$21-COUNTIF(E297:N297,"N/A")),""))</f>
        <v/>
      </c>
      <c r="Z297" s="25">
        <f>IF(OR(A297="",D297&lt;&gt;"Encerrado"),"",IFERROR(COUNTIF(O297:X297,"Sim")/(Config!$D$21-COUNTIF(O297:X297,"N/A")),""))</f>
        <v/>
      </c>
      <c r="AA297" s="23">
        <f>IF(A297="","",MAX(0,Config!$B$21-COUNTIF(E297:N297,"Sim")-COUNTIF(E297:N297,"N/A")))</f>
        <v/>
      </c>
      <c r="AB297" s="23">
        <f>IF(OR(A297="",D297&lt;&gt;"Encerrado"),"",MAX(0,Config!$D$21-COUNTIF(O297:X297,"Sim")-COUNTIF(O297:X297,"N/A")))</f>
        <v/>
      </c>
      <c r="AC297" s="23">
        <f>IF(A297="","",AA297+IF(AB297="",0,AB297))</f>
        <v/>
      </c>
      <c r="AD297" s="24">
        <f>IF(OR(A297="",AF297=""),"",LEFT(AF297,LEN(AF297)-2))</f>
        <v/>
      </c>
      <c r="AE297" s="35">
        <f>IF(OR(A297="",AC297=0),0,AC297*100-ROW()/100000)</f>
        <v>0</v>
      </c>
      <c r="AF297" s="35">
        <f>IF(A297="","",IF(AND(Config!$B$10&lt;&gt;"",E297&lt;&gt;"Sim",E297&lt;&gt;"N/A"),Config!$B$10&amp;"; ","")&amp;IF(AND(Config!$B$11&lt;&gt;"",F297&lt;&gt;"Sim",F297&lt;&gt;"N/A"),Config!$B$11&amp;"; ","")&amp;IF(AND(Config!$B$12&lt;&gt;"",G297&lt;&gt;"Sim",G297&lt;&gt;"N/A"),Config!$B$12&amp;"; ","")&amp;IF(AND(Config!$B$13&lt;&gt;"",H297&lt;&gt;"Sim",H297&lt;&gt;"N/A"),Config!$B$13&amp;"; ","")&amp;IF(AND(Config!$B$14&lt;&gt;"",I297&lt;&gt;"Sim",I297&lt;&gt;"N/A"),Config!$B$14&amp;"; ","")&amp;IF(AND(Config!$B$15&lt;&gt;"",J297&lt;&gt;"Sim",J297&lt;&gt;"N/A"),Config!$B$15&amp;"; ","")&amp;IF(AND(Config!$B$16&lt;&gt;"",K297&lt;&gt;"Sim",K297&lt;&gt;"N/A"),Config!$B$16&amp;"; ","")&amp;IF(AND(Config!$B$17&lt;&gt;"",L297&lt;&gt;"Sim",L297&lt;&gt;"N/A"),Config!$B$17&amp;"; ","")&amp;IF(AND(Config!$B$18&lt;&gt;"",M297&lt;&gt;"Sim",M297&lt;&gt;"N/A"),Config!$B$18&amp;"; ","")&amp;IF(AND(Config!$B$19&lt;&gt;"",N297&lt;&gt;"Sim",N297&lt;&gt;"N/A"),Config!$B$19&amp;"; ","")&amp;IF(AND($D297="Encerrado",Config!$D$10&lt;&gt;"",O297&lt;&gt;"Sim",O297&lt;&gt;"N/A"),Config!$D$10&amp;"; ","")&amp;IF(AND($D297="Encerrado",Config!$D$11&lt;&gt;"",P297&lt;&gt;"Sim",P297&lt;&gt;"N/A"),Config!$D$11&amp;"; ","")&amp;IF(AND($D297="Encerrado",Config!$D$12&lt;&gt;"",Q297&lt;&gt;"Sim",Q297&lt;&gt;"N/A"),Config!$D$12&amp;"; ","")&amp;IF(AND($D297="Encerrado",Config!$D$13&lt;&gt;"",R297&lt;&gt;"Sim",R297&lt;&gt;"N/A"),Config!$D$13&amp;"; ","")&amp;IF(AND($D297="Encerrado",Config!$D$14&lt;&gt;"",S297&lt;&gt;"Sim",S297&lt;&gt;"N/A"),Config!$D$14&amp;"; ","")&amp;IF(AND($D297="Encerrado",Config!$D$15&lt;&gt;"",T297&lt;&gt;"Sim",T297&lt;&gt;"N/A"),Config!$D$15&amp;"; ","")&amp;IF(AND($D297="Encerrado",Config!$D$16&lt;&gt;"",U297&lt;&gt;"Sim",U297&lt;&gt;"N/A"),Config!$D$16&amp;"; ","")&amp;IF(AND($D297="Encerrado",Config!$D$17&lt;&gt;"",V297&lt;&gt;"Sim",V297&lt;&gt;"N/A"),Config!$D$17&amp;"; ","")&amp;IF(AND($D297="Encerrado",Config!$D$18&lt;&gt;"",W297&lt;&gt;"Sim",W297&lt;&gt;"N/A"),Config!$D$18&amp;"; ","")&amp;IF(AND($D297="Encerrado",Config!$D$19&lt;&gt;"",X297&lt;&gt;"Sim",X297&lt;&gt;"N/A"),Config!$D$19&amp;"; ",""))</f>
        <v/>
      </c>
    </row>
    <row r="298">
      <c r="A298" s="29" t="n"/>
      <c r="B298" s="29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25">
        <f>IF(A298="","",IFERROR(COUNTIF(E298:N298,"Sim")/(Config!$B$21-COUNTIF(E298:N298,"N/A")),""))</f>
        <v/>
      </c>
      <c r="Z298" s="25">
        <f>IF(OR(A298="",D298&lt;&gt;"Encerrado"),"",IFERROR(COUNTIF(O298:X298,"Sim")/(Config!$D$21-COUNTIF(O298:X298,"N/A")),""))</f>
        <v/>
      </c>
      <c r="AA298" s="23">
        <f>IF(A298="","",MAX(0,Config!$B$21-COUNTIF(E298:N298,"Sim")-COUNTIF(E298:N298,"N/A")))</f>
        <v/>
      </c>
      <c r="AB298" s="23">
        <f>IF(OR(A298="",D298&lt;&gt;"Encerrado"),"",MAX(0,Config!$D$21-COUNTIF(O298:X298,"Sim")-COUNTIF(O298:X298,"N/A")))</f>
        <v/>
      </c>
      <c r="AC298" s="23">
        <f>IF(A298="","",AA298+IF(AB298="",0,AB298))</f>
        <v/>
      </c>
      <c r="AD298" s="24">
        <f>IF(OR(A298="",AF298=""),"",LEFT(AF298,LEN(AF298)-2))</f>
        <v/>
      </c>
      <c r="AE298" s="35">
        <f>IF(OR(A298="",AC298=0),0,AC298*100-ROW()/100000)</f>
        <v>0</v>
      </c>
      <c r="AF298" s="35">
        <f>IF(A298="","",IF(AND(Config!$B$10&lt;&gt;"",E298&lt;&gt;"Sim",E298&lt;&gt;"N/A"),Config!$B$10&amp;"; ","")&amp;IF(AND(Config!$B$11&lt;&gt;"",F298&lt;&gt;"Sim",F298&lt;&gt;"N/A"),Config!$B$11&amp;"; ","")&amp;IF(AND(Config!$B$12&lt;&gt;"",G298&lt;&gt;"Sim",G298&lt;&gt;"N/A"),Config!$B$12&amp;"; ","")&amp;IF(AND(Config!$B$13&lt;&gt;"",H298&lt;&gt;"Sim",H298&lt;&gt;"N/A"),Config!$B$13&amp;"; ","")&amp;IF(AND(Config!$B$14&lt;&gt;"",I298&lt;&gt;"Sim",I298&lt;&gt;"N/A"),Config!$B$14&amp;"; ","")&amp;IF(AND(Config!$B$15&lt;&gt;"",J298&lt;&gt;"Sim",J298&lt;&gt;"N/A"),Config!$B$15&amp;"; ","")&amp;IF(AND(Config!$B$16&lt;&gt;"",K298&lt;&gt;"Sim",K298&lt;&gt;"N/A"),Config!$B$16&amp;"; ","")&amp;IF(AND(Config!$B$17&lt;&gt;"",L298&lt;&gt;"Sim",L298&lt;&gt;"N/A"),Config!$B$17&amp;"; ","")&amp;IF(AND(Config!$B$18&lt;&gt;"",M298&lt;&gt;"Sim",M298&lt;&gt;"N/A"),Config!$B$18&amp;"; ","")&amp;IF(AND(Config!$B$19&lt;&gt;"",N298&lt;&gt;"Sim",N298&lt;&gt;"N/A"),Config!$B$19&amp;"; ","")&amp;IF(AND($D298="Encerrado",Config!$D$10&lt;&gt;"",O298&lt;&gt;"Sim",O298&lt;&gt;"N/A"),Config!$D$10&amp;"; ","")&amp;IF(AND($D298="Encerrado",Config!$D$11&lt;&gt;"",P298&lt;&gt;"Sim",P298&lt;&gt;"N/A"),Config!$D$11&amp;"; ","")&amp;IF(AND($D298="Encerrado",Config!$D$12&lt;&gt;"",Q298&lt;&gt;"Sim",Q298&lt;&gt;"N/A"),Config!$D$12&amp;"; ","")&amp;IF(AND($D298="Encerrado",Config!$D$13&lt;&gt;"",R298&lt;&gt;"Sim",R298&lt;&gt;"N/A"),Config!$D$13&amp;"; ","")&amp;IF(AND($D298="Encerrado",Config!$D$14&lt;&gt;"",S298&lt;&gt;"Sim",S298&lt;&gt;"N/A"),Config!$D$14&amp;"; ","")&amp;IF(AND($D298="Encerrado",Config!$D$15&lt;&gt;"",T298&lt;&gt;"Sim",T298&lt;&gt;"N/A"),Config!$D$15&amp;"; ","")&amp;IF(AND($D298="Encerrado",Config!$D$16&lt;&gt;"",U298&lt;&gt;"Sim",U298&lt;&gt;"N/A"),Config!$D$16&amp;"; ","")&amp;IF(AND($D298="Encerrado",Config!$D$17&lt;&gt;"",V298&lt;&gt;"Sim",V298&lt;&gt;"N/A"),Config!$D$17&amp;"; ","")&amp;IF(AND($D298="Encerrado",Config!$D$18&lt;&gt;"",W298&lt;&gt;"Sim",W298&lt;&gt;"N/A"),Config!$D$18&amp;"; ","")&amp;IF(AND($D298="Encerrado",Config!$D$19&lt;&gt;"",X298&lt;&gt;"Sim",X298&lt;&gt;"N/A"),Config!$D$19&amp;"; ",""))</f>
        <v/>
      </c>
    </row>
    <row r="299">
      <c r="A299" s="29" t="n"/>
      <c r="B299" s="29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25">
        <f>IF(A299="","",IFERROR(COUNTIF(E299:N299,"Sim")/(Config!$B$21-COUNTIF(E299:N299,"N/A")),""))</f>
        <v/>
      </c>
      <c r="Z299" s="25">
        <f>IF(OR(A299="",D299&lt;&gt;"Encerrado"),"",IFERROR(COUNTIF(O299:X299,"Sim")/(Config!$D$21-COUNTIF(O299:X299,"N/A")),""))</f>
        <v/>
      </c>
      <c r="AA299" s="23">
        <f>IF(A299="","",MAX(0,Config!$B$21-COUNTIF(E299:N299,"Sim")-COUNTIF(E299:N299,"N/A")))</f>
        <v/>
      </c>
      <c r="AB299" s="23">
        <f>IF(OR(A299="",D299&lt;&gt;"Encerrado"),"",MAX(0,Config!$D$21-COUNTIF(O299:X299,"Sim")-COUNTIF(O299:X299,"N/A")))</f>
        <v/>
      </c>
      <c r="AC299" s="23">
        <f>IF(A299="","",AA299+IF(AB299="",0,AB299))</f>
        <v/>
      </c>
      <c r="AD299" s="24">
        <f>IF(OR(A299="",AF299=""),"",LEFT(AF299,LEN(AF299)-2))</f>
        <v/>
      </c>
      <c r="AE299" s="35">
        <f>IF(OR(A299="",AC299=0),0,AC299*100-ROW()/100000)</f>
        <v>0</v>
      </c>
      <c r="AF299" s="35">
        <f>IF(A299="","",IF(AND(Config!$B$10&lt;&gt;"",E299&lt;&gt;"Sim",E299&lt;&gt;"N/A"),Config!$B$10&amp;"; ","")&amp;IF(AND(Config!$B$11&lt;&gt;"",F299&lt;&gt;"Sim",F299&lt;&gt;"N/A"),Config!$B$11&amp;"; ","")&amp;IF(AND(Config!$B$12&lt;&gt;"",G299&lt;&gt;"Sim",G299&lt;&gt;"N/A"),Config!$B$12&amp;"; ","")&amp;IF(AND(Config!$B$13&lt;&gt;"",H299&lt;&gt;"Sim",H299&lt;&gt;"N/A"),Config!$B$13&amp;"; ","")&amp;IF(AND(Config!$B$14&lt;&gt;"",I299&lt;&gt;"Sim",I299&lt;&gt;"N/A"),Config!$B$14&amp;"; ","")&amp;IF(AND(Config!$B$15&lt;&gt;"",J299&lt;&gt;"Sim",J299&lt;&gt;"N/A"),Config!$B$15&amp;"; ","")&amp;IF(AND(Config!$B$16&lt;&gt;"",K299&lt;&gt;"Sim",K299&lt;&gt;"N/A"),Config!$B$16&amp;"; ","")&amp;IF(AND(Config!$B$17&lt;&gt;"",L299&lt;&gt;"Sim",L299&lt;&gt;"N/A"),Config!$B$17&amp;"; ","")&amp;IF(AND(Config!$B$18&lt;&gt;"",M299&lt;&gt;"Sim",M299&lt;&gt;"N/A"),Config!$B$18&amp;"; ","")&amp;IF(AND(Config!$B$19&lt;&gt;"",N299&lt;&gt;"Sim",N299&lt;&gt;"N/A"),Config!$B$19&amp;"; ","")&amp;IF(AND($D299="Encerrado",Config!$D$10&lt;&gt;"",O299&lt;&gt;"Sim",O299&lt;&gt;"N/A"),Config!$D$10&amp;"; ","")&amp;IF(AND($D299="Encerrado",Config!$D$11&lt;&gt;"",P299&lt;&gt;"Sim",P299&lt;&gt;"N/A"),Config!$D$11&amp;"; ","")&amp;IF(AND($D299="Encerrado",Config!$D$12&lt;&gt;"",Q299&lt;&gt;"Sim",Q299&lt;&gt;"N/A"),Config!$D$12&amp;"; ","")&amp;IF(AND($D299="Encerrado",Config!$D$13&lt;&gt;"",R299&lt;&gt;"Sim",R299&lt;&gt;"N/A"),Config!$D$13&amp;"; ","")&amp;IF(AND($D299="Encerrado",Config!$D$14&lt;&gt;"",S299&lt;&gt;"Sim",S299&lt;&gt;"N/A"),Config!$D$14&amp;"; ","")&amp;IF(AND($D299="Encerrado",Config!$D$15&lt;&gt;"",T299&lt;&gt;"Sim",T299&lt;&gt;"N/A"),Config!$D$15&amp;"; ","")&amp;IF(AND($D299="Encerrado",Config!$D$16&lt;&gt;"",U299&lt;&gt;"Sim",U299&lt;&gt;"N/A"),Config!$D$16&amp;"; ","")&amp;IF(AND($D299="Encerrado",Config!$D$17&lt;&gt;"",V299&lt;&gt;"Sim",V299&lt;&gt;"N/A"),Config!$D$17&amp;"; ","")&amp;IF(AND($D299="Encerrado",Config!$D$18&lt;&gt;"",W299&lt;&gt;"Sim",W299&lt;&gt;"N/A"),Config!$D$18&amp;"; ","")&amp;IF(AND($D299="Encerrado",Config!$D$19&lt;&gt;"",X299&lt;&gt;"Sim",X299&lt;&gt;"N/A"),Config!$D$19&amp;"; ",""))</f>
        <v/>
      </c>
    </row>
    <row r="300">
      <c r="A300" s="29" t="n"/>
      <c r="B300" s="29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25">
        <f>IF(A300="","",IFERROR(COUNTIF(E300:N300,"Sim")/(Config!$B$21-COUNTIF(E300:N300,"N/A")),""))</f>
        <v/>
      </c>
      <c r="Z300" s="25">
        <f>IF(OR(A300="",D300&lt;&gt;"Encerrado"),"",IFERROR(COUNTIF(O300:X300,"Sim")/(Config!$D$21-COUNTIF(O300:X300,"N/A")),""))</f>
        <v/>
      </c>
      <c r="AA300" s="23">
        <f>IF(A300="","",MAX(0,Config!$B$21-COUNTIF(E300:N300,"Sim")-COUNTIF(E300:N300,"N/A")))</f>
        <v/>
      </c>
      <c r="AB300" s="23">
        <f>IF(OR(A300="",D300&lt;&gt;"Encerrado"),"",MAX(0,Config!$D$21-COUNTIF(O300:X300,"Sim")-COUNTIF(O300:X300,"N/A")))</f>
        <v/>
      </c>
      <c r="AC300" s="23">
        <f>IF(A300="","",AA300+IF(AB300="",0,AB300))</f>
        <v/>
      </c>
      <c r="AD300" s="24">
        <f>IF(OR(A300="",AF300=""),"",LEFT(AF300,LEN(AF300)-2))</f>
        <v/>
      </c>
      <c r="AE300" s="35">
        <f>IF(OR(A300="",AC300=0),0,AC300*100-ROW()/100000)</f>
        <v>0</v>
      </c>
      <c r="AF300" s="35">
        <f>IF(A300="","",IF(AND(Config!$B$10&lt;&gt;"",E300&lt;&gt;"Sim",E300&lt;&gt;"N/A"),Config!$B$10&amp;"; ","")&amp;IF(AND(Config!$B$11&lt;&gt;"",F300&lt;&gt;"Sim",F300&lt;&gt;"N/A"),Config!$B$11&amp;"; ","")&amp;IF(AND(Config!$B$12&lt;&gt;"",G300&lt;&gt;"Sim",G300&lt;&gt;"N/A"),Config!$B$12&amp;"; ","")&amp;IF(AND(Config!$B$13&lt;&gt;"",H300&lt;&gt;"Sim",H300&lt;&gt;"N/A"),Config!$B$13&amp;"; ","")&amp;IF(AND(Config!$B$14&lt;&gt;"",I300&lt;&gt;"Sim",I300&lt;&gt;"N/A"),Config!$B$14&amp;"; ","")&amp;IF(AND(Config!$B$15&lt;&gt;"",J300&lt;&gt;"Sim",J300&lt;&gt;"N/A"),Config!$B$15&amp;"; ","")&amp;IF(AND(Config!$B$16&lt;&gt;"",K300&lt;&gt;"Sim",K300&lt;&gt;"N/A"),Config!$B$16&amp;"; ","")&amp;IF(AND(Config!$B$17&lt;&gt;"",L300&lt;&gt;"Sim",L300&lt;&gt;"N/A"),Config!$B$17&amp;"; ","")&amp;IF(AND(Config!$B$18&lt;&gt;"",M300&lt;&gt;"Sim",M300&lt;&gt;"N/A"),Config!$B$18&amp;"; ","")&amp;IF(AND(Config!$B$19&lt;&gt;"",N300&lt;&gt;"Sim",N300&lt;&gt;"N/A"),Config!$B$19&amp;"; ","")&amp;IF(AND($D300="Encerrado",Config!$D$10&lt;&gt;"",O300&lt;&gt;"Sim",O300&lt;&gt;"N/A"),Config!$D$10&amp;"; ","")&amp;IF(AND($D300="Encerrado",Config!$D$11&lt;&gt;"",P300&lt;&gt;"Sim",P300&lt;&gt;"N/A"),Config!$D$11&amp;"; ","")&amp;IF(AND($D300="Encerrado",Config!$D$12&lt;&gt;"",Q300&lt;&gt;"Sim",Q300&lt;&gt;"N/A"),Config!$D$12&amp;"; ","")&amp;IF(AND($D300="Encerrado",Config!$D$13&lt;&gt;"",R300&lt;&gt;"Sim",R300&lt;&gt;"N/A"),Config!$D$13&amp;"; ","")&amp;IF(AND($D300="Encerrado",Config!$D$14&lt;&gt;"",S300&lt;&gt;"Sim",S300&lt;&gt;"N/A"),Config!$D$14&amp;"; ","")&amp;IF(AND($D300="Encerrado",Config!$D$15&lt;&gt;"",T300&lt;&gt;"Sim",T300&lt;&gt;"N/A"),Config!$D$15&amp;"; ","")&amp;IF(AND($D300="Encerrado",Config!$D$16&lt;&gt;"",U300&lt;&gt;"Sim",U300&lt;&gt;"N/A"),Config!$D$16&amp;"; ","")&amp;IF(AND($D300="Encerrado",Config!$D$17&lt;&gt;"",V300&lt;&gt;"Sim",V300&lt;&gt;"N/A"),Config!$D$17&amp;"; ","")&amp;IF(AND($D300="Encerrado",Config!$D$18&lt;&gt;"",W300&lt;&gt;"Sim",W300&lt;&gt;"N/A"),Config!$D$18&amp;"; ","")&amp;IF(AND($D300="Encerrado",Config!$D$19&lt;&gt;"",X300&lt;&gt;"Sim",X300&lt;&gt;"N/A"),Config!$D$19&amp;"; ",""))</f>
        <v/>
      </c>
    </row>
    <row r="301">
      <c r="A301" s="29" t="n"/>
      <c r="B301" s="29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25">
        <f>IF(A301="","",IFERROR(COUNTIF(E301:N301,"Sim")/(Config!$B$21-COUNTIF(E301:N301,"N/A")),""))</f>
        <v/>
      </c>
      <c r="Z301" s="25">
        <f>IF(OR(A301="",D301&lt;&gt;"Encerrado"),"",IFERROR(COUNTIF(O301:X301,"Sim")/(Config!$D$21-COUNTIF(O301:X301,"N/A")),""))</f>
        <v/>
      </c>
      <c r="AA301" s="23">
        <f>IF(A301="","",MAX(0,Config!$B$21-COUNTIF(E301:N301,"Sim")-COUNTIF(E301:N301,"N/A")))</f>
        <v/>
      </c>
      <c r="AB301" s="23">
        <f>IF(OR(A301="",D301&lt;&gt;"Encerrado"),"",MAX(0,Config!$D$21-COUNTIF(O301:X301,"Sim")-COUNTIF(O301:X301,"N/A")))</f>
        <v/>
      </c>
      <c r="AC301" s="23">
        <f>IF(A301="","",AA301+IF(AB301="",0,AB301))</f>
        <v/>
      </c>
      <c r="AD301" s="24">
        <f>IF(OR(A301="",AF301=""),"",LEFT(AF301,LEN(AF301)-2))</f>
        <v/>
      </c>
      <c r="AE301" s="35">
        <f>IF(OR(A301="",AC301=0),0,AC301*100-ROW()/100000)</f>
        <v>0</v>
      </c>
      <c r="AF301" s="35">
        <f>IF(A301="","",IF(AND(Config!$B$10&lt;&gt;"",E301&lt;&gt;"Sim",E301&lt;&gt;"N/A"),Config!$B$10&amp;"; ","")&amp;IF(AND(Config!$B$11&lt;&gt;"",F301&lt;&gt;"Sim",F301&lt;&gt;"N/A"),Config!$B$11&amp;"; ","")&amp;IF(AND(Config!$B$12&lt;&gt;"",G301&lt;&gt;"Sim",G301&lt;&gt;"N/A"),Config!$B$12&amp;"; ","")&amp;IF(AND(Config!$B$13&lt;&gt;"",H301&lt;&gt;"Sim",H301&lt;&gt;"N/A"),Config!$B$13&amp;"; ","")&amp;IF(AND(Config!$B$14&lt;&gt;"",I301&lt;&gt;"Sim",I301&lt;&gt;"N/A"),Config!$B$14&amp;"; ","")&amp;IF(AND(Config!$B$15&lt;&gt;"",J301&lt;&gt;"Sim",J301&lt;&gt;"N/A"),Config!$B$15&amp;"; ","")&amp;IF(AND(Config!$B$16&lt;&gt;"",K301&lt;&gt;"Sim",K301&lt;&gt;"N/A"),Config!$B$16&amp;"; ","")&amp;IF(AND(Config!$B$17&lt;&gt;"",L301&lt;&gt;"Sim",L301&lt;&gt;"N/A"),Config!$B$17&amp;"; ","")&amp;IF(AND(Config!$B$18&lt;&gt;"",M301&lt;&gt;"Sim",M301&lt;&gt;"N/A"),Config!$B$18&amp;"; ","")&amp;IF(AND(Config!$B$19&lt;&gt;"",N301&lt;&gt;"Sim",N301&lt;&gt;"N/A"),Config!$B$19&amp;"; ","")&amp;IF(AND($D301="Encerrado",Config!$D$10&lt;&gt;"",O301&lt;&gt;"Sim",O301&lt;&gt;"N/A"),Config!$D$10&amp;"; ","")&amp;IF(AND($D301="Encerrado",Config!$D$11&lt;&gt;"",P301&lt;&gt;"Sim",P301&lt;&gt;"N/A"),Config!$D$11&amp;"; ","")&amp;IF(AND($D301="Encerrado",Config!$D$12&lt;&gt;"",Q301&lt;&gt;"Sim",Q301&lt;&gt;"N/A"),Config!$D$12&amp;"; ","")&amp;IF(AND($D301="Encerrado",Config!$D$13&lt;&gt;"",R301&lt;&gt;"Sim",R301&lt;&gt;"N/A"),Config!$D$13&amp;"; ","")&amp;IF(AND($D301="Encerrado",Config!$D$14&lt;&gt;"",S301&lt;&gt;"Sim",S301&lt;&gt;"N/A"),Config!$D$14&amp;"; ","")&amp;IF(AND($D301="Encerrado",Config!$D$15&lt;&gt;"",T301&lt;&gt;"Sim",T301&lt;&gt;"N/A"),Config!$D$15&amp;"; ","")&amp;IF(AND($D301="Encerrado",Config!$D$16&lt;&gt;"",U301&lt;&gt;"Sim",U301&lt;&gt;"N/A"),Config!$D$16&amp;"; ","")&amp;IF(AND($D301="Encerrado",Config!$D$17&lt;&gt;"",V301&lt;&gt;"Sim",V301&lt;&gt;"N/A"),Config!$D$17&amp;"; ","")&amp;IF(AND($D301="Encerrado",Config!$D$18&lt;&gt;"",W301&lt;&gt;"Sim",W301&lt;&gt;"N/A"),Config!$D$18&amp;"; ","")&amp;IF(AND($D301="Encerrado",Config!$D$19&lt;&gt;"",X301&lt;&gt;"Sim",X301&lt;&gt;"N/A"),Config!$D$19&amp;"; ",""))</f>
        <v/>
      </c>
    </row>
    <row r="302">
      <c r="A302" s="29" t="n"/>
      <c r="B302" s="29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25">
        <f>IF(A302="","",IFERROR(COUNTIF(E302:N302,"Sim")/(Config!$B$21-COUNTIF(E302:N302,"N/A")),""))</f>
        <v/>
      </c>
      <c r="Z302" s="25">
        <f>IF(OR(A302="",D302&lt;&gt;"Encerrado"),"",IFERROR(COUNTIF(O302:X302,"Sim")/(Config!$D$21-COUNTIF(O302:X302,"N/A")),""))</f>
        <v/>
      </c>
      <c r="AA302" s="23">
        <f>IF(A302="","",MAX(0,Config!$B$21-COUNTIF(E302:N302,"Sim")-COUNTIF(E302:N302,"N/A")))</f>
        <v/>
      </c>
      <c r="AB302" s="23">
        <f>IF(OR(A302="",D302&lt;&gt;"Encerrado"),"",MAX(0,Config!$D$21-COUNTIF(O302:X302,"Sim")-COUNTIF(O302:X302,"N/A")))</f>
        <v/>
      </c>
      <c r="AC302" s="23">
        <f>IF(A302="","",AA302+IF(AB302="",0,AB302))</f>
        <v/>
      </c>
      <c r="AD302" s="24">
        <f>IF(OR(A302="",AF302=""),"",LEFT(AF302,LEN(AF302)-2))</f>
        <v/>
      </c>
      <c r="AE302" s="35">
        <f>IF(OR(A302="",AC302=0),0,AC302*100-ROW()/100000)</f>
        <v>0</v>
      </c>
      <c r="AF302" s="35">
        <f>IF(A302="","",IF(AND(Config!$B$10&lt;&gt;"",E302&lt;&gt;"Sim",E302&lt;&gt;"N/A"),Config!$B$10&amp;"; ","")&amp;IF(AND(Config!$B$11&lt;&gt;"",F302&lt;&gt;"Sim",F302&lt;&gt;"N/A"),Config!$B$11&amp;"; ","")&amp;IF(AND(Config!$B$12&lt;&gt;"",G302&lt;&gt;"Sim",G302&lt;&gt;"N/A"),Config!$B$12&amp;"; ","")&amp;IF(AND(Config!$B$13&lt;&gt;"",H302&lt;&gt;"Sim",H302&lt;&gt;"N/A"),Config!$B$13&amp;"; ","")&amp;IF(AND(Config!$B$14&lt;&gt;"",I302&lt;&gt;"Sim",I302&lt;&gt;"N/A"),Config!$B$14&amp;"; ","")&amp;IF(AND(Config!$B$15&lt;&gt;"",J302&lt;&gt;"Sim",J302&lt;&gt;"N/A"),Config!$B$15&amp;"; ","")&amp;IF(AND(Config!$B$16&lt;&gt;"",K302&lt;&gt;"Sim",K302&lt;&gt;"N/A"),Config!$B$16&amp;"; ","")&amp;IF(AND(Config!$B$17&lt;&gt;"",L302&lt;&gt;"Sim",L302&lt;&gt;"N/A"),Config!$B$17&amp;"; ","")&amp;IF(AND(Config!$B$18&lt;&gt;"",M302&lt;&gt;"Sim",M302&lt;&gt;"N/A"),Config!$B$18&amp;"; ","")&amp;IF(AND(Config!$B$19&lt;&gt;"",N302&lt;&gt;"Sim",N302&lt;&gt;"N/A"),Config!$B$19&amp;"; ","")&amp;IF(AND($D302="Encerrado",Config!$D$10&lt;&gt;"",O302&lt;&gt;"Sim",O302&lt;&gt;"N/A"),Config!$D$10&amp;"; ","")&amp;IF(AND($D302="Encerrado",Config!$D$11&lt;&gt;"",P302&lt;&gt;"Sim",P302&lt;&gt;"N/A"),Config!$D$11&amp;"; ","")&amp;IF(AND($D302="Encerrado",Config!$D$12&lt;&gt;"",Q302&lt;&gt;"Sim",Q302&lt;&gt;"N/A"),Config!$D$12&amp;"; ","")&amp;IF(AND($D302="Encerrado",Config!$D$13&lt;&gt;"",R302&lt;&gt;"Sim",R302&lt;&gt;"N/A"),Config!$D$13&amp;"; ","")&amp;IF(AND($D302="Encerrado",Config!$D$14&lt;&gt;"",S302&lt;&gt;"Sim",S302&lt;&gt;"N/A"),Config!$D$14&amp;"; ","")&amp;IF(AND($D302="Encerrado",Config!$D$15&lt;&gt;"",T302&lt;&gt;"Sim",T302&lt;&gt;"N/A"),Config!$D$15&amp;"; ","")&amp;IF(AND($D302="Encerrado",Config!$D$16&lt;&gt;"",U302&lt;&gt;"Sim",U302&lt;&gt;"N/A"),Config!$D$16&amp;"; ","")&amp;IF(AND($D302="Encerrado",Config!$D$17&lt;&gt;"",V302&lt;&gt;"Sim",V302&lt;&gt;"N/A"),Config!$D$17&amp;"; ","")&amp;IF(AND($D302="Encerrado",Config!$D$18&lt;&gt;"",W302&lt;&gt;"Sim",W302&lt;&gt;"N/A"),Config!$D$18&amp;"; ","")&amp;IF(AND($D302="Encerrado",Config!$D$19&lt;&gt;"",X302&lt;&gt;"Sim",X302&lt;&gt;"N/A"),Config!$D$19&amp;"; ",""))</f>
        <v/>
      </c>
    </row>
    <row r="303">
      <c r="A303" s="29" t="n"/>
      <c r="B303" s="29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25">
        <f>IF(A303="","",IFERROR(COUNTIF(E303:N303,"Sim")/(Config!$B$21-COUNTIF(E303:N303,"N/A")),""))</f>
        <v/>
      </c>
      <c r="Z303" s="25">
        <f>IF(OR(A303="",D303&lt;&gt;"Encerrado"),"",IFERROR(COUNTIF(O303:X303,"Sim")/(Config!$D$21-COUNTIF(O303:X303,"N/A")),""))</f>
        <v/>
      </c>
      <c r="AA303" s="23">
        <f>IF(A303="","",MAX(0,Config!$B$21-COUNTIF(E303:N303,"Sim")-COUNTIF(E303:N303,"N/A")))</f>
        <v/>
      </c>
      <c r="AB303" s="23">
        <f>IF(OR(A303="",D303&lt;&gt;"Encerrado"),"",MAX(0,Config!$D$21-COUNTIF(O303:X303,"Sim")-COUNTIF(O303:X303,"N/A")))</f>
        <v/>
      </c>
      <c r="AC303" s="23">
        <f>IF(A303="","",AA303+IF(AB303="",0,AB303))</f>
        <v/>
      </c>
      <c r="AD303" s="24">
        <f>IF(OR(A303="",AF303=""),"",LEFT(AF303,LEN(AF303)-2))</f>
        <v/>
      </c>
      <c r="AE303" s="35">
        <f>IF(OR(A303="",AC303=0),0,AC303*100-ROW()/100000)</f>
        <v>0</v>
      </c>
      <c r="AF303" s="35">
        <f>IF(A303="","",IF(AND(Config!$B$10&lt;&gt;"",E303&lt;&gt;"Sim",E303&lt;&gt;"N/A"),Config!$B$10&amp;"; ","")&amp;IF(AND(Config!$B$11&lt;&gt;"",F303&lt;&gt;"Sim",F303&lt;&gt;"N/A"),Config!$B$11&amp;"; ","")&amp;IF(AND(Config!$B$12&lt;&gt;"",G303&lt;&gt;"Sim",G303&lt;&gt;"N/A"),Config!$B$12&amp;"; ","")&amp;IF(AND(Config!$B$13&lt;&gt;"",H303&lt;&gt;"Sim",H303&lt;&gt;"N/A"),Config!$B$13&amp;"; ","")&amp;IF(AND(Config!$B$14&lt;&gt;"",I303&lt;&gt;"Sim",I303&lt;&gt;"N/A"),Config!$B$14&amp;"; ","")&amp;IF(AND(Config!$B$15&lt;&gt;"",J303&lt;&gt;"Sim",J303&lt;&gt;"N/A"),Config!$B$15&amp;"; ","")&amp;IF(AND(Config!$B$16&lt;&gt;"",K303&lt;&gt;"Sim",K303&lt;&gt;"N/A"),Config!$B$16&amp;"; ","")&amp;IF(AND(Config!$B$17&lt;&gt;"",L303&lt;&gt;"Sim",L303&lt;&gt;"N/A"),Config!$B$17&amp;"; ","")&amp;IF(AND(Config!$B$18&lt;&gt;"",M303&lt;&gt;"Sim",M303&lt;&gt;"N/A"),Config!$B$18&amp;"; ","")&amp;IF(AND(Config!$B$19&lt;&gt;"",N303&lt;&gt;"Sim",N303&lt;&gt;"N/A"),Config!$B$19&amp;"; ","")&amp;IF(AND($D303="Encerrado",Config!$D$10&lt;&gt;"",O303&lt;&gt;"Sim",O303&lt;&gt;"N/A"),Config!$D$10&amp;"; ","")&amp;IF(AND($D303="Encerrado",Config!$D$11&lt;&gt;"",P303&lt;&gt;"Sim",P303&lt;&gt;"N/A"),Config!$D$11&amp;"; ","")&amp;IF(AND($D303="Encerrado",Config!$D$12&lt;&gt;"",Q303&lt;&gt;"Sim",Q303&lt;&gt;"N/A"),Config!$D$12&amp;"; ","")&amp;IF(AND($D303="Encerrado",Config!$D$13&lt;&gt;"",R303&lt;&gt;"Sim",R303&lt;&gt;"N/A"),Config!$D$13&amp;"; ","")&amp;IF(AND($D303="Encerrado",Config!$D$14&lt;&gt;"",S303&lt;&gt;"Sim",S303&lt;&gt;"N/A"),Config!$D$14&amp;"; ","")&amp;IF(AND($D303="Encerrado",Config!$D$15&lt;&gt;"",T303&lt;&gt;"Sim",T303&lt;&gt;"N/A"),Config!$D$15&amp;"; ","")&amp;IF(AND($D303="Encerrado",Config!$D$16&lt;&gt;"",U303&lt;&gt;"Sim",U303&lt;&gt;"N/A"),Config!$D$16&amp;"; ","")&amp;IF(AND($D303="Encerrado",Config!$D$17&lt;&gt;"",V303&lt;&gt;"Sim",V303&lt;&gt;"N/A"),Config!$D$17&amp;"; ","")&amp;IF(AND($D303="Encerrado",Config!$D$18&lt;&gt;"",W303&lt;&gt;"Sim",W303&lt;&gt;"N/A"),Config!$D$18&amp;"; ","")&amp;IF(AND($D303="Encerrado",Config!$D$19&lt;&gt;"",X303&lt;&gt;"Sim",X303&lt;&gt;"N/A"),Config!$D$19&amp;"; ",""))</f>
        <v/>
      </c>
    </row>
    <row r="304">
      <c r="A304" s="29" t="n"/>
      <c r="B304" s="29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25">
        <f>IF(A304="","",IFERROR(COUNTIF(E304:N304,"Sim")/(Config!$B$21-COUNTIF(E304:N304,"N/A")),""))</f>
        <v/>
      </c>
      <c r="Z304" s="25">
        <f>IF(OR(A304="",D304&lt;&gt;"Encerrado"),"",IFERROR(COUNTIF(O304:X304,"Sim")/(Config!$D$21-COUNTIF(O304:X304,"N/A")),""))</f>
        <v/>
      </c>
      <c r="AA304" s="23">
        <f>IF(A304="","",MAX(0,Config!$B$21-COUNTIF(E304:N304,"Sim")-COUNTIF(E304:N304,"N/A")))</f>
        <v/>
      </c>
      <c r="AB304" s="23">
        <f>IF(OR(A304="",D304&lt;&gt;"Encerrado"),"",MAX(0,Config!$D$21-COUNTIF(O304:X304,"Sim")-COUNTIF(O304:X304,"N/A")))</f>
        <v/>
      </c>
      <c r="AC304" s="23">
        <f>IF(A304="","",AA304+IF(AB304="",0,AB304))</f>
        <v/>
      </c>
      <c r="AD304" s="24">
        <f>IF(OR(A304="",AF304=""),"",LEFT(AF304,LEN(AF304)-2))</f>
        <v/>
      </c>
      <c r="AE304" s="35">
        <f>IF(OR(A304="",AC304=0),0,AC304*100-ROW()/100000)</f>
        <v>0</v>
      </c>
      <c r="AF304" s="35">
        <f>IF(A304="","",IF(AND(Config!$B$10&lt;&gt;"",E304&lt;&gt;"Sim",E304&lt;&gt;"N/A"),Config!$B$10&amp;"; ","")&amp;IF(AND(Config!$B$11&lt;&gt;"",F304&lt;&gt;"Sim",F304&lt;&gt;"N/A"),Config!$B$11&amp;"; ","")&amp;IF(AND(Config!$B$12&lt;&gt;"",G304&lt;&gt;"Sim",G304&lt;&gt;"N/A"),Config!$B$12&amp;"; ","")&amp;IF(AND(Config!$B$13&lt;&gt;"",H304&lt;&gt;"Sim",H304&lt;&gt;"N/A"),Config!$B$13&amp;"; ","")&amp;IF(AND(Config!$B$14&lt;&gt;"",I304&lt;&gt;"Sim",I304&lt;&gt;"N/A"),Config!$B$14&amp;"; ","")&amp;IF(AND(Config!$B$15&lt;&gt;"",J304&lt;&gt;"Sim",J304&lt;&gt;"N/A"),Config!$B$15&amp;"; ","")&amp;IF(AND(Config!$B$16&lt;&gt;"",K304&lt;&gt;"Sim",K304&lt;&gt;"N/A"),Config!$B$16&amp;"; ","")&amp;IF(AND(Config!$B$17&lt;&gt;"",L304&lt;&gt;"Sim",L304&lt;&gt;"N/A"),Config!$B$17&amp;"; ","")&amp;IF(AND(Config!$B$18&lt;&gt;"",M304&lt;&gt;"Sim",M304&lt;&gt;"N/A"),Config!$B$18&amp;"; ","")&amp;IF(AND(Config!$B$19&lt;&gt;"",N304&lt;&gt;"Sim",N304&lt;&gt;"N/A"),Config!$B$19&amp;"; ","")&amp;IF(AND($D304="Encerrado",Config!$D$10&lt;&gt;"",O304&lt;&gt;"Sim",O304&lt;&gt;"N/A"),Config!$D$10&amp;"; ","")&amp;IF(AND($D304="Encerrado",Config!$D$11&lt;&gt;"",P304&lt;&gt;"Sim",P304&lt;&gt;"N/A"),Config!$D$11&amp;"; ","")&amp;IF(AND($D304="Encerrado",Config!$D$12&lt;&gt;"",Q304&lt;&gt;"Sim",Q304&lt;&gt;"N/A"),Config!$D$12&amp;"; ","")&amp;IF(AND($D304="Encerrado",Config!$D$13&lt;&gt;"",R304&lt;&gt;"Sim",R304&lt;&gt;"N/A"),Config!$D$13&amp;"; ","")&amp;IF(AND($D304="Encerrado",Config!$D$14&lt;&gt;"",S304&lt;&gt;"Sim",S304&lt;&gt;"N/A"),Config!$D$14&amp;"; ","")&amp;IF(AND($D304="Encerrado",Config!$D$15&lt;&gt;"",T304&lt;&gt;"Sim",T304&lt;&gt;"N/A"),Config!$D$15&amp;"; ","")&amp;IF(AND($D304="Encerrado",Config!$D$16&lt;&gt;"",U304&lt;&gt;"Sim",U304&lt;&gt;"N/A"),Config!$D$16&amp;"; ","")&amp;IF(AND($D304="Encerrado",Config!$D$17&lt;&gt;"",V304&lt;&gt;"Sim",V304&lt;&gt;"N/A"),Config!$D$17&amp;"; ","")&amp;IF(AND($D304="Encerrado",Config!$D$18&lt;&gt;"",W304&lt;&gt;"Sim",W304&lt;&gt;"N/A"),Config!$D$18&amp;"; ","")&amp;IF(AND($D304="Encerrado",Config!$D$19&lt;&gt;"",X304&lt;&gt;"Sim",X304&lt;&gt;"N/A"),Config!$D$19&amp;"; ",""))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AD304"/>
  <mergeCells count="4">
    <mergeCell ref="E3:N3"/>
    <mergeCell ref="A1:P1"/>
    <mergeCell ref="O3:X3"/>
    <mergeCell ref="A2:P2"/>
  </mergeCells>
  <conditionalFormatting sqref="E5:X304">
    <cfRule type="expression" priority="1" dxfId="2">
      <formula>E5="Sim"</formula>
    </cfRule>
    <cfRule type="expression" priority="2" dxfId="3">
      <formula>E5="Não"</formula>
    </cfRule>
    <cfRule type="expression" priority="3" dxfId="4">
      <formula>E5="N/A"</formula>
    </cfRule>
  </conditionalFormatting>
  <conditionalFormatting sqref="O5:X304">
    <cfRule type="expression" priority="4" dxfId="5">
      <formula>$D5&lt;&gt;"Encerrado"</formula>
    </cfRule>
  </conditionalFormatting>
  <conditionalFormatting sqref="A5:D304">
    <cfRule type="expression" priority="5" dxfId="1">
      <formula>AND(ISNUMBER($AC5),$AC5&gt;0)</formula>
    </cfRule>
  </conditionalFormatting>
  <conditionalFormatting sqref="Y5:Z304">
    <cfRule type="expression" priority="6" dxfId="1">
      <formula>AND(ISNUMBER(Y5),Y5&lt;1)</formula>
    </cfRule>
  </conditionalFormatting>
  <dataValidations count="3">
    <dataValidation sqref="C5:C304" showDropDown="0" showInputMessage="0" showErrorMessage="1" allowBlank="1" type="list">
      <formula1>=OFFSET(Config!$F$10,0,0,MAX(1,COUNTA(Config!$F$10:$F$19)),1)</formula1>
    </dataValidation>
    <dataValidation sqref="D5:D304" showDropDown="0" showInputMessage="0" showErrorMessage="1" allowBlank="1" type="list">
      <formula1>"Em andamento,Encerrado"</formula1>
    </dataValidation>
    <dataValidation sqref="E5:X304" showDropDown="0" showInputMessage="0" showErrorMessage="1" allowBlank="1" type="list">
      <formula1>"Sim,Não,N/A"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Checklist de abertura e encerramento de caso · Kit de Gestão para Advogados</dc:title>
  <dcterms:created xmlns:dcterms="http://purl.org/dc/terms/" xmlns:xsi="http://www.w3.org/2001/XMLSchema-instance" xsi:type="dcterms:W3CDTF">2026-09-24T11:42:16Z</dcterms:created>
  <dcterms:modified xmlns:dcterms="http://purl.org/dc/terms/" xmlns:xsi="http://www.w3.org/2001/XMLSchema-instance" xsi:type="dcterms:W3CDTF">2026-09-24T11:42:17Z</dcterms:modified>
</cp:coreProperties>
</file>