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ocessos" sheetId="4" state="visible" r:id="rId4"/>
  </sheets>
  <definedNames>
    <definedName name="_xlnm._FilterDatabase" localSheetId="3" hidden="1">'Processos'!$A$4:$M$304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9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FE9A8"/>
      </patternFill>
    </fill>
    <fill>
      <patternFill patternType="solid">
        <fgColor rgb="00DDF3E7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0" fontId="11" fillId="8" borderId="0" applyAlignment="1" pivotButton="0" quotePrefix="0" xfId="0">
      <alignment horizontal="center"/>
    </xf>
    <xf numFmtId="0" fontId="0" fillId="8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" fillId="6" borderId="0" applyAlignment="1" pivotButton="0" quotePrefix="0" xfId="0">
      <alignment horizontal="center"/>
    </xf>
    <xf numFmtId="3" fontId="1" fillId="7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C8402E"/>
        <sz val="10"/>
      </font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  <dxf>
      <fill>
        <patternFill patternType="solid">
          <fgColor rgb="00FFF4CC"/>
        </patternFill>
      </fill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Andamento por processo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Uma linha por caso com fase, responsável, próxima ação e data. O Painel mostra quantos casos há em cada fase e área, a carga de cada pessoa e quais casos estão parados há mais tempo sem atualização.</t>
        </is>
      </c>
    </row>
    <row r="5" ht="46" customHeight="1">
      <c r="A5" s="3" t="inlineStr">
        <is>
          <t>Passo 1</t>
        </is>
      </c>
      <c r="B5" s="4" t="inlineStr">
        <is>
          <t>Em Config, troque a data de referência por =HOJE() (no exemplo ela está congelada em 14/09/2026), o número de dias para considerar um caso parado, e as listas de fases, áreas e responsáveis.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Processos, apague os exemplos e cadastre os seus casos: número, cliente, área, fase, responsável, próxima ação com data, e a data da última atualização. O cadastro (número, cliente, área, fase, responsável) é o mesmo da planilha 13 · Carteira: copie de lá e mantenha a 13 como fonte.</t>
        </is>
      </c>
    </row>
    <row r="7" ht="46" customHeight="1">
      <c r="A7" s="3" t="inlineStr">
        <is>
          <t>Passo 3</t>
        </is>
      </c>
      <c r="B7" s="4" t="inlineStr">
        <is>
          <t>A cada movimentação, atualize a fase, a próxima ação e a data da última atualização. Ao encerrar, mude a fase para Encerrado: o caso sai das contagens de ativos.</t>
        </is>
      </c>
    </row>
    <row r="8" ht="46" customHeight="1">
      <c r="A8" s="3" t="inlineStr">
        <is>
          <t>Passo 4</t>
        </is>
      </c>
      <c r="B8" s="4" t="inlineStr">
        <is>
          <t>Em Painel, confira os casos com ação atrasada, os sem próxima ação (ninguém sabe o próximo passo) e os parados há mais de N dias.</t>
        </is>
      </c>
    </row>
    <row r="9" ht="46" customHeight="1">
      <c r="A9" s="3" t="inlineStr">
        <is>
          <t>Rotina de segunda</t>
        </is>
      </c>
      <c r="B9" s="4" t="inlineStr">
        <is>
          <t>5 minutos depois da Agenda de prazos: casos parados e sem próxima ação. Decida a ação e a data; se o caso só aguarda o andamento, registre isso na observação e atualize a data.</t>
        </is>
      </c>
    </row>
    <row r="10" ht="46" customHeight="1">
      <c r="A10" s="3" t="inlineStr">
        <is>
          <t>Exemplo</t>
        </is>
      </c>
      <c r="B10" s="4" t="inlineStr">
        <is>
          <t>Caso consultivo não tem número de processo (referência CONS-ano-nº) e a próxima ação é entrega de parecer ou reunião. A próxima ação de cada caso é coerente com a fase (inicial: contestação, réplica, juntada, conciliação; instrução: audiência, laudo, alegações finais; sentença: embargos, recurso; recurso: contrarrazões; execução: cumprimento, penhora; acordo: minuta, homologação).</t>
        </is>
      </c>
    </row>
    <row r="11" ht="46" customHeight="1">
      <c r="A11" s="3" t="inlineStr">
        <is>
          <t>Com a IA</t>
        </is>
      </c>
      <c r="B11" s="4" t="inlineStr">
        <is>
          <t>Copie a tabela "Parados" ou "Por responsável" e use o prompt "Prazos 05 · Resumo de andamento para o sócio" da biblioteca do kit.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Ferraz &amp; Lima Advocacia é um escritório fictício. Clientes, processos, nomes e valores são inventados. Apague-os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6" customWidth="1" min="5" max="5"/>
    <col width="12" customWidth="1" min="6" max="6"/>
    <col width="14" customWidth="1" min="7" max="7"/>
    <col width="18" customWidth="1" min="8" max="8"/>
    <col width="10" customWidth="1" min="9" max="9"/>
    <col width="11" customWidth="1" min="10" max="10"/>
    <col width="13" customWidth="1" min="11" max="11"/>
    <col width="10" customWidth="1" min="12" max="12"/>
  </cols>
  <sheetData>
    <row r="1" ht="28" customHeight="1">
      <c r="A1" s="5" t="str">
        <f>Config!$B$4&amp;" · Andamento dos processos · "&amp;TEXT(DAY(Config!$B$5),"00")&amp;"/"&amp;TEXT(MONTH(Config!$B$5),"00")&amp;"/"&amp;YEAR(Config!$B$5)</f>
        <v>Ferraz &amp; Lima Advocacia (exemplo fictício) · Andamento dos processos · 14/09/2026</v>
      </c>
    </row>
    <row r="2">
      <c r="A2" s="6" t="inlineStr">
        <is>
          <t>Nada para digitar aqui: tudo vem de Config e Processos.</t>
        </is>
      </c>
    </row>
    <row r="4">
      <c r="A4" s="7" t="inlineStr">
        <is>
          <t>Casos ativos</t>
        </is>
      </c>
      <c r="B4" s="8" t="n"/>
      <c r="C4" s="9" t="inlineStr">
        <is>
          <t>Ação atrasada</t>
        </is>
      </c>
      <c r="D4" s="10" t="n"/>
      <c r="E4" s="11" t="inlineStr">
        <is>
          <t>Ação hoje ou esta semana</t>
        </is>
      </c>
      <c r="F4" s="12" t="n"/>
      <c r="G4" s="13" t="inlineStr">
        <is>
          <t>Sem próxima ação</t>
        </is>
      </c>
      <c r="H4" s="14" t="n"/>
      <c r="I4" s="9" t="str">
        <f>"Parados há mais de "&amp;Config!$B$6&amp;" dias"</f>
        <v>Parados há mais de 30 dias</v>
      </c>
      <c r="J4" s="10" t="n"/>
      <c r="K4" s="15" t="inlineStr">
        <is>
          <t>Encerrados</t>
        </is>
      </c>
      <c r="L4" s="16" t="n"/>
    </row>
    <row r="5" ht="30" customHeight="1">
      <c r="A5" s="17">
        <f>COUNTIFS(Processos!$A$5:$A$304,"&lt;&gt;",Processos!$D$5:$D$304,"&lt;&gt;Encerrado")</f>
        <v>30</v>
      </c>
      <c r="B5" s="8" t="n"/>
      <c r="C5" s="18">
        <f>COUNTIFS(Processos!$K$5:$K$304,"Atrasado")</f>
        <v>7</v>
      </c>
      <c r="D5" s="10" t="n"/>
      <c r="E5" s="19">
        <f>COUNTIFS(Processos!$K$5:$K$304,"Hoje")+COUNTIFS(Processos!$K$5:$K$304,"Esta semana")</f>
        <v>12</v>
      </c>
      <c r="F5" s="12" t="n"/>
      <c r="G5" s="20">
        <f>COUNTIFS(Processos!$K$5:$K$304,"Sem próxima ação")</f>
        <v>0</v>
      </c>
      <c r="H5" s="14" t="n"/>
      <c r="I5" s="18">
        <f>COUNTIFS(Processos!$M$5:$M$304,"Sim")</f>
        <v>4</v>
      </c>
      <c r="J5" s="10" t="n"/>
      <c r="K5" s="21">
        <f>COUNTIFS(Processos!$A$5:$A$304,"&lt;&gt;",Processos!$D$5:$D$304,"Encerrado")</f>
        <v>8</v>
      </c>
      <c r="L5" s="16" t="n"/>
    </row>
    <row r="7">
      <c r="A7" s="22" t="inlineStr">
        <is>
          <t>Por fase</t>
        </is>
      </c>
      <c r="H7" s="22" t="inlineStr">
        <is>
          <t>Por área</t>
        </is>
      </c>
    </row>
    <row r="8" ht="26" customHeight="1">
      <c r="A8" s="23" t="inlineStr">
        <is>
          <t>Fase</t>
        </is>
      </c>
      <c r="B8" s="23" t="inlineStr">
        <is>
          <t>Casos</t>
        </is>
      </c>
      <c r="C8" s="23" t="inlineStr">
        <is>
          <t>Ação atrasada</t>
        </is>
      </c>
      <c r="D8" s="23" t="inlineStr">
        <is>
          <t>Esta semana</t>
        </is>
      </c>
      <c r="E8" s="23" t="inlineStr">
        <is>
          <t>Sem próxima ação</t>
        </is>
      </c>
      <c r="F8" s="23" t="inlineStr">
        <is>
          <t>Parados</t>
        </is>
      </c>
      <c r="H8" s="23" t="inlineStr">
        <is>
          <t>Área</t>
        </is>
      </c>
      <c r="I8" s="23" t="inlineStr">
        <is>
          <t>Ativos</t>
        </is>
      </c>
      <c r="J8" s="23" t="inlineStr">
        <is>
          <t>Encerrados</t>
        </is>
      </c>
      <c r="K8" s="23" t="inlineStr">
        <is>
          <t>Ação atrasada</t>
        </is>
      </c>
      <c r="L8" s="23" t="inlineStr">
        <is>
          <t>Parados</t>
        </is>
      </c>
    </row>
    <row r="9">
      <c r="A9" s="24" t="str">
        <f>IF(Config!$B$10="","",Config!$B$10)</f>
        <v>Consultivo</v>
      </c>
      <c r="B9" s="25">
        <f>IF(Config!$B$10="","",COUNTIFS(Processos!$A$5:$A$304,"&lt;&gt;",Processos!$D$5:$D$304,Config!$B$10))</f>
        <v>7</v>
      </c>
      <c r="C9" s="25">
        <f>IF(Config!$B$10="","",COUNTIFS(Processos!$D$5:$D$304,Config!$B$10,Processos!$K$5:$K$304,"Atrasado"))</f>
        <v>1</v>
      </c>
      <c r="D9" s="25">
        <f>IF(Config!$B$10="","",COUNTIFS(Processos!$D$5:$D$304,Config!$B$10,Processos!$K$5:$K$304,"Hoje")+COUNTIFS(Processos!$D$5:$D$304,Config!$B$10,Processos!$K$5:$K$304,"Esta semana"))</f>
        <v>4</v>
      </c>
      <c r="E9" s="25">
        <f>IF(Config!$B$10="","",COUNTIFS(Processos!$D$5:$D$304,Config!$B$10,Processos!$K$5:$K$304,"Sem próxima ação"))</f>
        <v>0</v>
      </c>
      <c r="F9" s="25">
        <f>IF(Config!$B$10="","",COUNTIFS(Processos!$D$5:$D$304,Config!$B$10,Processos!$M$5:$M$304,"Sim"))</f>
        <v>0</v>
      </c>
      <c r="H9" s="24" t="str">
        <f>IF(Config!$D$10="","",Config!$D$10)</f>
        <v>Cível</v>
      </c>
      <c r="I9" s="25">
        <f>IF(Config!$D$10="","",COUNTIFS(Processos!$A$5:$A$304,"&lt;&gt;",Processos!$C$5:$C$304,Config!$D$10,Processos!$D$5:$D$304,"&lt;&gt;Encerrado"))</f>
        <v>7</v>
      </c>
      <c r="J9" s="25">
        <f>IF(Config!$D$10="","",COUNTIFS(Processos!$C$5:$C$304,Config!$D$10,Processos!$D$5:$D$304,"Encerrado"))</f>
        <v>1</v>
      </c>
      <c r="K9" s="25">
        <f>IF(Config!$D$10="","",COUNTIFS(Processos!$C$5:$C$304,Config!$D$10,Processos!$K$5:$K$304,"Atrasado"))</f>
        <v>3</v>
      </c>
      <c r="L9" s="25">
        <f>IF(Config!$D$10="","",COUNTIFS(Processos!$C$5:$C$304,Config!$D$10,Processos!$M$5:$M$304,"Sim"))</f>
        <v>1</v>
      </c>
    </row>
    <row r="10">
      <c r="A10" s="24" t="str">
        <f>IF(Config!$B$11="","",Config!$B$11)</f>
        <v>Inicial</v>
      </c>
      <c r="B10" s="25">
        <f>IF(Config!$B$11="","",COUNTIFS(Processos!$A$5:$A$304,"&lt;&gt;",Processos!$D$5:$D$304,Config!$B$11))</f>
        <v>8</v>
      </c>
      <c r="C10" s="25">
        <f>IF(Config!$B$11="","",COUNTIFS(Processos!$D$5:$D$304,Config!$B$11,Processos!$K$5:$K$304,"Atrasado"))</f>
        <v>2</v>
      </c>
      <c r="D10" s="25">
        <f>IF(Config!$B$11="","",COUNTIFS(Processos!$D$5:$D$304,Config!$B$11,Processos!$K$5:$K$304,"Hoje")+COUNTIFS(Processos!$D$5:$D$304,Config!$B$11,Processos!$K$5:$K$304,"Esta semana"))</f>
        <v>4</v>
      </c>
      <c r="E10" s="25">
        <f>IF(Config!$B$11="","",COUNTIFS(Processos!$D$5:$D$304,Config!$B$11,Processos!$K$5:$K$304,"Sem próxima ação"))</f>
        <v>0</v>
      </c>
      <c r="F10" s="25">
        <f>IF(Config!$B$11="","",COUNTIFS(Processos!$D$5:$D$304,Config!$B$11,Processos!$M$5:$M$304,"Sim"))</f>
        <v>1</v>
      </c>
      <c r="H10" s="24" t="str">
        <f>IF(Config!$D$11="","",Config!$D$11)</f>
        <v>Trabalhista</v>
      </c>
      <c r="I10" s="25">
        <f>IF(Config!$D$11="","",COUNTIFS(Processos!$A$5:$A$304,"&lt;&gt;",Processos!$C$5:$C$304,Config!$D$11,Processos!$D$5:$D$304,"&lt;&gt;Encerrado"))</f>
        <v>10</v>
      </c>
      <c r="J10" s="25">
        <f>IF(Config!$D$11="","",COUNTIFS(Processos!$C$5:$C$304,Config!$D$11,Processos!$D$5:$D$304,"Encerrado"))</f>
        <v>2</v>
      </c>
      <c r="K10" s="25">
        <f>IF(Config!$D$11="","",COUNTIFS(Processos!$C$5:$C$304,Config!$D$11,Processos!$K$5:$K$304,"Atrasado"))</f>
        <v>1</v>
      </c>
      <c r="L10" s="25">
        <f>IF(Config!$D$11="","",COUNTIFS(Processos!$C$5:$C$304,Config!$D$11,Processos!$M$5:$M$304,"Sim"))</f>
        <v>3</v>
      </c>
    </row>
    <row r="11">
      <c r="A11" s="24" t="str">
        <f>IF(Config!$B$12="","",Config!$B$12)</f>
        <v>Instrução</v>
      </c>
      <c r="B11" s="25">
        <f>IF(Config!$B$12="","",COUNTIFS(Processos!$A$5:$A$304,"&lt;&gt;",Processos!$D$5:$D$304,Config!$B$12))</f>
        <v>4</v>
      </c>
      <c r="C11" s="25">
        <f>IF(Config!$B$12="","",COUNTIFS(Processos!$D$5:$D$304,Config!$B$12,Processos!$K$5:$K$304,"Atrasado"))</f>
        <v>1</v>
      </c>
      <c r="D11" s="25">
        <f>IF(Config!$B$12="","",COUNTIFS(Processos!$D$5:$D$304,Config!$B$12,Processos!$K$5:$K$304,"Hoje")+COUNTIFS(Processos!$D$5:$D$304,Config!$B$12,Processos!$K$5:$K$304,"Esta semana"))</f>
        <v>1</v>
      </c>
      <c r="E11" s="25">
        <f>IF(Config!$B$12="","",COUNTIFS(Processos!$D$5:$D$304,Config!$B$12,Processos!$K$5:$K$304,"Sem próxima ação"))</f>
        <v>0</v>
      </c>
      <c r="F11" s="25">
        <f>IF(Config!$B$12="","",COUNTIFS(Processos!$D$5:$D$304,Config!$B$12,Processos!$M$5:$M$304,"Sim"))</f>
        <v>0</v>
      </c>
      <c r="H11" s="24" t="str">
        <f>IF(Config!$D$12="","",Config!$D$12)</f>
        <v>Previdenciário</v>
      </c>
      <c r="I11" s="25">
        <f>IF(Config!$D$12="","",COUNTIFS(Processos!$A$5:$A$304,"&lt;&gt;",Processos!$C$5:$C$304,Config!$D$12,Processos!$D$5:$D$304,"&lt;&gt;Encerrado"))</f>
        <v>5</v>
      </c>
      <c r="J11" s="25">
        <f>IF(Config!$D$12="","",COUNTIFS(Processos!$C$5:$C$304,Config!$D$12,Processos!$D$5:$D$304,"Encerrado"))</f>
        <v>2</v>
      </c>
      <c r="K11" s="25">
        <f>IF(Config!$D$12="","",COUNTIFS(Processos!$C$5:$C$304,Config!$D$12,Processos!$K$5:$K$304,"Atrasado"))</f>
        <v>2</v>
      </c>
      <c r="L11" s="25">
        <f>IF(Config!$D$12="","",COUNTIFS(Processos!$C$5:$C$304,Config!$D$12,Processos!$M$5:$M$304,"Sim"))</f>
        <v>0</v>
      </c>
    </row>
    <row r="12">
      <c r="A12" s="24" t="str">
        <f>IF(Config!$B$13="","",Config!$B$13)</f>
        <v>Sentença</v>
      </c>
      <c r="B12" s="25">
        <f>IF(Config!$B$13="","",COUNTIFS(Processos!$A$5:$A$304,"&lt;&gt;",Processos!$D$5:$D$304,Config!$B$13))</f>
        <v>3</v>
      </c>
      <c r="C12" s="25">
        <f>IF(Config!$B$13="","",COUNTIFS(Processos!$D$5:$D$304,Config!$B$13,Processos!$K$5:$K$304,"Atrasado"))</f>
        <v>1</v>
      </c>
      <c r="D12" s="25">
        <f>IF(Config!$B$13="","",COUNTIFS(Processos!$D$5:$D$304,Config!$B$13,Processos!$K$5:$K$304,"Hoje")+COUNTIFS(Processos!$D$5:$D$304,Config!$B$13,Processos!$K$5:$K$304,"Esta semana"))</f>
        <v>2</v>
      </c>
      <c r="E12" s="25">
        <f>IF(Config!$B$13="","",COUNTIFS(Processos!$D$5:$D$304,Config!$B$13,Processos!$K$5:$K$304,"Sem próxima ação"))</f>
        <v>0</v>
      </c>
      <c r="F12" s="25">
        <f>IF(Config!$B$13="","",COUNTIFS(Processos!$D$5:$D$304,Config!$B$13,Processos!$M$5:$M$304,"Sim"))</f>
        <v>0</v>
      </c>
      <c r="H12" s="24" t="str">
        <f>IF(Config!$D$13="","",Config!$D$13)</f>
        <v>Empresarial</v>
      </c>
      <c r="I12" s="25">
        <f>IF(Config!$D$13="","",COUNTIFS(Processos!$A$5:$A$304,"&lt;&gt;",Processos!$C$5:$C$304,Config!$D$13,Processos!$D$5:$D$304,"&lt;&gt;Encerrado"))</f>
        <v>6</v>
      </c>
      <c r="J12" s="25">
        <f>IF(Config!$D$13="","",COUNTIFS(Processos!$C$5:$C$304,Config!$D$13,Processos!$D$5:$D$304,"Encerrado"))</f>
        <v>2</v>
      </c>
      <c r="K12" s="25">
        <f>IF(Config!$D$13="","",COUNTIFS(Processos!$C$5:$C$304,Config!$D$13,Processos!$K$5:$K$304,"Atrasado"))</f>
        <v>0</v>
      </c>
      <c r="L12" s="25">
        <f>IF(Config!$D$13="","",COUNTIFS(Processos!$C$5:$C$304,Config!$D$13,Processos!$M$5:$M$304,"Sim"))</f>
        <v>0</v>
      </c>
    </row>
    <row r="13">
      <c r="A13" s="24" t="str">
        <f>IF(Config!$B$14="","",Config!$B$14)</f>
        <v>Recurso</v>
      </c>
      <c r="B13" s="25">
        <f>IF(Config!$B$14="","",COUNTIFS(Processos!$A$5:$A$304,"&lt;&gt;",Processos!$D$5:$D$304,Config!$B$14))</f>
        <v>3</v>
      </c>
      <c r="C13" s="25">
        <f>IF(Config!$B$14="","",COUNTIFS(Processos!$D$5:$D$304,Config!$B$14,Processos!$K$5:$K$304,"Atrasado"))</f>
        <v>1</v>
      </c>
      <c r="D13" s="25">
        <f>IF(Config!$B$14="","",COUNTIFS(Processos!$D$5:$D$304,Config!$B$14,Processos!$K$5:$K$304,"Hoje")+COUNTIFS(Processos!$D$5:$D$304,Config!$B$14,Processos!$K$5:$K$304,"Esta semana"))</f>
        <v>0</v>
      </c>
      <c r="E13" s="25">
        <f>IF(Config!$B$14="","",COUNTIFS(Processos!$D$5:$D$304,Config!$B$14,Processos!$K$5:$K$304,"Sem próxima ação"))</f>
        <v>0</v>
      </c>
      <c r="F13" s="25">
        <f>IF(Config!$B$14="","",COUNTIFS(Processos!$D$5:$D$304,Config!$B$14,Processos!$M$5:$M$304,"Sim"))</f>
        <v>0</v>
      </c>
      <c r="H13" s="24" t="str">
        <f>IF(Config!$D$14="","",Config!$D$14)</f>
        <v>Família</v>
      </c>
      <c r="I13" s="25">
        <f>IF(Config!$D$14="","",COUNTIFS(Processos!$A$5:$A$304,"&lt;&gt;",Processos!$C$5:$C$304,Config!$D$14,Processos!$D$5:$D$304,"&lt;&gt;Encerrado"))</f>
        <v>2</v>
      </c>
      <c r="J13" s="25">
        <f>IF(Config!$D$14="","",COUNTIFS(Processos!$C$5:$C$304,Config!$D$14,Processos!$D$5:$D$304,"Encerrado"))</f>
        <v>1</v>
      </c>
      <c r="K13" s="25">
        <f>IF(Config!$D$14="","",COUNTIFS(Processos!$C$5:$C$304,Config!$D$14,Processos!$K$5:$K$304,"Atrasado"))</f>
        <v>1</v>
      </c>
      <c r="L13" s="25">
        <f>IF(Config!$D$14="","",COUNTIFS(Processos!$C$5:$C$304,Config!$D$14,Processos!$M$5:$M$304,"Sim"))</f>
        <v>0</v>
      </c>
    </row>
    <row r="14">
      <c r="A14" s="24" t="str">
        <f>IF(Config!$B$15="","",Config!$B$15)</f>
        <v>Execução</v>
      </c>
      <c r="B14" s="25">
        <f>IF(Config!$B$15="","",COUNTIFS(Processos!$A$5:$A$304,"&lt;&gt;",Processos!$D$5:$D$304,Config!$B$15))</f>
        <v>3</v>
      </c>
      <c r="C14" s="25">
        <f>IF(Config!$B$15="","",COUNTIFS(Processos!$D$5:$D$304,Config!$B$15,Processos!$K$5:$K$304,"Atrasado"))</f>
        <v>1</v>
      </c>
      <c r="D14" s="25">
        <f>IF(Config!$B$15="","",COUNTIFS(Processos!$D$5:$D$304,Config!$B$15,Processos!$K$5:$K$304,"Hoje")+COUNTIFS(Processos!$D$5:$D$304,Config!$B$15,Processos!$K$5:$K$304,"Esta semana"))</f>
        <v>0</v>
      </c>
      <c r="E14" s="25">
        <f>IF(Config!$B$15="","",COUNTIFS(Processos!$D$5:$D$304,Config!$B$15,Processos!$K$5:$K$304,"Sem próxima ação"))</f>
        <v>0</v>
      </c>
      <c r="F14" s="25">
        <f>IF(Config!$B$15="","",COUNTIFS(Processos!$D$5:$D$304,Config!$B$15,Processos!$M$5:$M$304,"Sim"))</f>
        <v>2</v>
      </c>
      <c r="H14" s="24">
        <f>IF(Config!$D$15="","",Config!$D$15)</f>
        <v/>
      </c>
      <c r="I14" s="25">
        <f>IF(Config!$D$15="","",COUNTIFS(Processos!$A$5:$A$304,"&lt;&gt;",Processos!$C$5:$C$304,Config!$D$15,Processos!$D$5:$D$304,"&lt;&gt;Encerrado"))</f>
        <v/>
      </c>
      <c r="J14" s="25">
        <f>IF(Config!$D$15="","",COUNTIFS(Processos!$C$5:$C$304,Config!$D$15,Processos!$D$5:$D$304,"Encerrado"))</f>
        <v/>
      </c>
      <c r="K14" s="25">
        <f>IF(Config!$D$15="","",COUNTIFS(Processos!$C$5:$C$304,Config!$D$15,Processos!$K$5:$K$304,"Atrasado"))</f>
        <v/>
      </c>
      <c r="L14" s="25">
        <f>IF(Config!$D$15="","",COUNTIFS(Processos!$C$5:$C$304,Config!$D$15,Processos!$M$5:$M$304,"Sim"))</f>
        <v/>
      </c>
    </row>
    <row r="15">
      <c r="A15" s="24" t="str">
        <f>IF(Config!$B$16="","",Config!$B$16)</f>
        <v>Acordo</v>
      </c>
      <c r="B15" s="25">
        <f>IF(Config!$B$16="","",COUNTIFS(Processos!$A$5:$A$304,"&lt;&gt;",Processos!$D$5:$D$304,Config!$B$16))</f>
        <v>2</v>
      </c>
      <c r="C15" s="25">
        <f>IF(Config!$B$16="","",COUNTIFS(Processos!$D$5:$D$304,Config!$B$16,Processos!$K$5:$K$304,"Atrasado"))</f>
        <v>0</v>
      </c>
      <c r="D15" s="25">
        <f>IF(Config!$B$16="","",COUNTIFS(Processos!$D$5:$D$304,Config!$B$16,Processos!$K$5:$K$304,"Hoje")+COUNTIFS(Processos!$D$5:$D$304,Config!$B$16,Processos!$K$5:$K$304,"Esta semana"))</f>
        <v>1</v>
      </c>
      <c r="E15" s="25">
        <f>IF(Config!$B$16="","",COUNTIFS(Processos!$D$5:$D$304,Config!$B$16,Processos!$K$5:$K$304,"Sem próxima ação"))</f>
        <v>0</v>
      </c>
      <c r="F15" s="25">
        <f>IF(Config!$B$16="","",COUNTIFS(Processos!$D$5:$D$304,Config!$B$16,Processos!$M$5:$M$304,"Sim"))</f>
        <v>1</v>
      </c>
      <c r="H15" s="24">
        <f>IF(Config!$D$16="","",Config!$D$16)</f>
        <v/>
      </c>
      <c r="I15" s="25">
        <f>IF(Config!$D$16="","",COUNTIFS(Processos!$A$5:$A$304,"&lt;&gt;",Processos!$C$5:$C$304,Config!$D$16,Processos!$D$5:$D$304,"&lt;&gt;Encerrado"))</f>
        <v/>
      </c>
      <c r="J15" s="25">
        <f>IF(Config!$D$16="","",COUNTIFS(Processos!$C$5:$C$304,Config!$D$16,Processos!$D$5:$D$304,"Encerrado"))</f>
        <v/>
      </c>
      <c r="K15" s="25">
        <f>IF(Config!$D$16="","",COUNTIFS(Processos!$C$5:$C$304,Config!$D$16,Processos!$K$5:$K$304,"Atrasado"))</f>
        <v/>
      </c>
      <c r="L15" s="25">
        <f>IF(Config!$D$16="","",COUNTIFS(Processos!$C$5:$C$304,Config!$D$16,Processos!$M$5:$M$304,"Sim"))</f>
        <v/>
      </c>
    </row>
    <row r="16">
      <c r="A16" s="24" t="str">
        <f>IF(Config!$B$17="","",Config!$B$17)</f>
        <v>Encerrado</v>
      </c>
      <c r="B16" s="25">
        <f>IF(Config!$B$17="","",COUNTIFS(Processos!$A$5:$A$304,"&lt;&gt;",Processos!$D$5:$D$304,Config!$B$17))</f>
        <v>8</v>
      </c>
      <c r="C16" s="25">
        <f>IF(Config!$B$17="","",COUNTIFS(Processos!$D$5:$D$304,Config!$B$17,Processos!$K$5:$K$304,"Atrasado"))</f>
        <v>0</v>
      </c>
      <c r="D16" s="25">
        <f>IF(Config!$B$17="","",COUNTIFS(Processos!$D$5:$D$304,Config!$B$17,Processos!$K$5:$K$304,"Hoje")+COUNTIFS(Processos!$D$5:$D$304,Config!$B$17,Processos!$K$5:$K$304,"Esta semana"))</f>
        <v>0</v>
      </c>
      <c r="E16" s="25">
        <f>IF(Config!$B$17="","",COUNTIFS(Processos!$D$5:$D$304,Config!$B$17,Processos!$K$5:$K$304,"Sem próxima ação"))</f>
        <v>0</v>
      </c>
      <c r="F16" s="25">
        <f>IF(Config!$B$17="","",COUNTIFS(Processos!$D$5:$D$304,Config!$B$17,Processos!$M$5:$M$304,"Sim"))</f>
        <v>0</v>
      </c>
      <c r="H16" s="24">
        <f>IF(Config!$D$17="","",Config!$D$17)</f>
        <v/>
      </c>
      <c r="I16" s="25">
        <f>IF(Config!$D$17="","",COUNTIFS(Processos!$A$5:$A$304,"&lt;&gt;",Processos!$C$5:$C$304,Config!$D$17,Processos!$D$5:$D$304,"&lt;&gt;Encerrado"))</f>
        <v/>
      </c>
      <c r="J16" s="25">
        <f>IF(Config!$D$17="","",COUNTIFS(Processos!$C$5:$C$304,Config!$D$17,Processos!$D$5:$D$304,"Encerrado"))</f>
        <v/>
      </c>
      <c r="K16" s="25">
        <f>IF(Config!$D$17="","",COUNTIFS(Processos!$C$5:$C$304,Config!$D$17,Processos!$K$5:$K$304,"Atrasado"))</f>
        <v/>
      </c>
      <c r="L16" s="25">
        <f>IF(Config!$D$17="","",COUNTIFS(Processos!$C$5:$C$304,Config!$D$17,Processos!$M$5:$M$304,"Sim"))</f>
        <v/>
      </c>
    </row>
    <row r="17">
      <c r="A17" s="24">
        <f>IF(Config!$B$18="","",Config!$B$18)</f>
        <v/>
      </c>
      <c r="B17" s="25">
        <f>IF(Config!$B$18="","",COUNTIFS(Processos!$A$5:$A$304,"&lt;&gt;",Processos!$D$5:$D$304,Config!$B$18))</f>
        <v/>
      </c>
      <c r="C17" s="25">
        <f>IF(Config!$B$18="","",COUNTIFS(Processos!$D$5:$D$304,Config!$B$18,Processos!$K$5:$K$304,"Atrasado"))</f>
        <v/>
      </c>
      <c r="D17" s="25">
        <f>IF(Config!$B$18="","",COUNTIFS(Processos!$D$5:$D$304,Config!$B$18,Processos!$K$5:$K$304,"Hoje")+COUNTIFS(Processos!$D$5:$D$304,Config!$B$18,Processos!$K$5:$K$304,"Esta semana"))</f>
        <v/>
      </c>
      <c r="E17" s="25">
        <f>IF(Config!$B$18="","",COUNTIFS(Processos!$D$5:$D$304,Config!$B$18,Processos!$K$5:$K$304,"Sem próxima ação"))</f>
        <v/>
      </c>
      <c r="F17" s="25">
        <f>IF(Config!$B$18="","",COUNTIFS(Processos!$D$5:$D$304,Config!$B$18,Processos!$M$5:$M$304,"Sim"))</f>
        <v/>
      </c>
      <c r="H17" s="24">
        <f>IF(Config!$D$18="","",Config!$D$18)</f>
        <v/>
      </c>
      <c r="I17" s="25">
        <f>IF(Config!$D$18="","",COUNTIFS(Processos!$A$5:$A$304,"&lt;&gt;",Processos!$C$5:$C$304,Config!$D$18,Processos!$D$5:$D$304,"&lt;&gt;Encerrado"))</f>
        <v/>
      </c>
      <c r="J17" s="25">
        <f>IF(Config!$D$18="","",COUNTIFS(Processos!$C$5:$C$304,Config!$D$18,Processos!$D$5:$D$304,"Encerrado"))</f>
        <v/>
      </c>
      <c r="K17" s="25">
        <f>IF(Config!$D$18="","",COUNTIFS(Processos!$C$5:$C$304,Config!$D$18,Processos!$K$5:$K$304,"Atrasado"))</f>
        <v/>
      </c>
      <c r="L17" s="25">
        <f>IF(Config!$D$18="","",COUNTIFS(Processos!$C$5:$C$304,Config!$D$18,Processos!$M$5:$M$304,"Sim"))</f>
        <v/>
      </c>
    </row>
    <row r="18">
      <c r="A18" s="24">
        <f>IF(Config!$B$19="","",Config!$B$19)</f>
        <v/>
      </c>
      <c r="B18" s="25">
        <f>IF(Config!$B$19="","",COUNTIFS(Processos!$A$5:$A$304,"&lt;&gt;",Processos!$D$5:$D$304,Config!$B$19))</f>
        <v/>
      </c>
      <c r="C18" s="25">
        <f>IF(Config!$B$19="","",COUNTIFS(Processos!$D$5:$D$304,Config!$B$19,Processos!$K$5:$K$304,"Atrasado"))</f>
        <v/>
      </c>
      <c r="D18" s="25">
        <f>IF(Config!$B$19="","",COUNTIFS(Processos!$D$5:$D$304,Config!$B$19,Processos!$K$5:$K$304,"Hoje")+COUNTIFS(Processos!$D$5:$D$304,Config!$B$19,Processos!$K$5:$K$304,"Esta semana"))</f>
        <v/>
      </c>
      <c r="E18" s="25">
        <f>IF(Config!$B$19="","",COUNTIFS(Processos!$D$5:$D$304,Config!$B$19,Processos!$K$5:$K$304,"Sem próxima ação"))</f>
        <v/>
      </c>
      <c r="F18" s="25">
        <f>IF(Config!$B$19="","",COUNTIFS(Processos!$D$5:$D$304,Config!$B$19,Processos!$M$5:$M$304,"Sim"))</f>
        <v/>
      </c>
      <c r="H18" s="24">
        <f>IF(Config!$D$19="","",Config!$D$19)</f>
        <v/>
      </c>
      <c r="I18" s="25">
        <f>IF(Config!$D$19="","",COUNTIFS(Processos!$A$5:$A$304,"&lt;&gt;",Processos!$C$5:$C$304,Config!$D$19,Processos!$D$5:$D$304,"&lt;&gt;Encerrado"))</f>
        <v/>
      </c>
      <c r="J18" s="25">
        <f>IF(Config!$D$19="","",COUNTIFS(Processos!$C$5:$C$304,Config!$D$19,Processos!$D$5:$D$304,"Encerrado"))</f>
        <v/>
      </c>
      <c r="K18" s="25">
        <f>IF(Config!$D$19="","",COUNTIFS(Processos!$C$5:$C$304,Config!$D$19,Processos!$K$5:$K$304,"Atrasado"))</f>
        <v/>
      </c>
      <c r="L18" s="25">
        <f>IF(Config!$D$19="","",COUNTIFS(Processos!$C$5:$C$304,Config!$D$19,Processos!$M$5:$M$304,"Sim"))</f>
        <v/>
      </c>
    </row>
    <row r="21">
      <c r="A21" s="22" t="inlineStr">
        <is>
          <t>Por responsável</t>
        </is>
      </c>
    </row>
    <row r="22" ht="26" customHeight="1">
      <c r="A22" s="23" t="inlineStr">
        <is>
          <t>Responsável</t>
        </is>
      </c>
      <c r="B22" s="23" t="inlineStr">
        <is>
          <t>Casos ativos</t>
        </is>
      </c>
      <c r="C22" s="23" t="inlineStr">
        <is>
          <t>Ação atrasada</t>
        </is>
      </c>
      <c r="D22" s="23" t="inlineStr">
        <is>
          <t>Esta semana</t>
        </is>
      </c>
      <c r="E22" s="23" t="inlineStr">
        <is>
          <t>Sem próxima ação</t>
        </is>
      </c>
      <c r="F22" s="23" t="inlineStr">
        <is>
          <t>Parados</t>
        </is>
      </c>
      <c r="G22" s="23" t="inlineStr">
        <is>
          <t>Próxima ação a partir de hoje</t>
        </is>
      </c>
    </row>
    <row r="23">
      <c r="A23" s="24" t="str">
        <f>IF(Config!$F$10="","",Config!$F$10)</f>
        <v>Marina Ferraz</v>
      </c>
      <c r="B23" s="25">
        <f>IF(Config!$F$10="","",COUNTIFS(Processos!$A$5:$A$304,"&lt;&gt;",Processos!$E$5:$E$304,Config!$F$10,Processos!$D$5:$D$304,"&lt;&gt;Encerrado"))</f>
        <v>15</v>
      </c>
      <c r="C23" s="25">
        <f>IF(Config!$F$10="","",COUNTIFS(Processos!$E$5:$E$304,Config!$F$10,Processos!$K$5:$K$304,"Atrasado"))</f>
        <v>4</v>
      </c>
      <c r="D23" s="25">
        <f>IF(Config!$F$10="","",COUNTIFS(Processos!$E$5:$E$304,Config!$F$10,Processos!$K$5:$K$304,"Hoje")+COUNTIFS(Processos!$E$5:$E$304,Config!$F$10,Processos!$K$5:$K$304,"Esta semana"))</f>
        <v>6</v>
      </c>
      <c r="E23" s="25">
        <f>IF(Config!$F$10="","",COUNTIFS(Processos!$E$5:$E$304,Config!$F$10,Processos!$K$5:$K$304,"Sem próxima ação"))</f>
        <v>0</v>
      </c>
      <c r="F23" s="25">
        <f>IF(Config!$F$10="","",COUNTIFS(Processos!$E$5:$E$304,Config!$F$10,Processos!$M$5:$M$304,"Sim"))</f>
        <v>1</v>
      </c>
      <c r="G23" s="26">
        <f>IF(Config!$F$10="","",IFERROR(IF(SUMPRODUCT(MIN(((Processos!$E$5:$E$304=Config!$F$10)*(Processos!$D$5:$D$304&lt;&gt;"Encerrado")*(Processos!$G$5:$G$304&gt;=Config!$B$5))*Processos!$G$5:$G$304+(1-((Processos!$E$5:$E$304=Config!$F$10)*(Processos!$D$5:$D$304&lt;&gt;"Encerrado")*(Processos!$G$5:$G$304&gt;=Config!$B$5)))*1E+10))&gt;=1E+10,"",SUMPRODUCT(MIN(((Processos!$E$5:$E$304=Config!$F$10)*(Processos!$D$5:$D$304&lt;&gt;"Encerrado")*(Processos!$G$5:$G$304&gt;=Config!$B$5))*Processos!$G$5:$G$304+(1-((Processos!$E$5:$E$304=Config!$F$10)*(Processos!$D$5:$D$304&lt;&gt;"Encerrado")*(Processos!$G$5:$G$304&gt;=Config!$B$5)))*1E+10))),""))</f>
        <v>46279.0</v>
      </c>
    </row>
    <row r="24">
      <c r="A24" s="24" t="str">
        <f>IF(Config!$F$11="","",Config!$F$11)</f>
        <v>Rafael Lima</v>
      </c>
      <c r="B24" s="25">
        <f>IF(Config!$F$11="","",COUNTIFS(Processos!$A$5:$A$304,"&lt;&gt;",Processos!$E$5:$E$304,Config!$F$11,Processos!$D$5:$D$304,"&lt;&gt;Encerrado"))</f>
        <v>15</v>
      </c>
      <c r="C24" s="25">
        <f>IF(Config!$F$11="","",COUNTIFS(Processos!$E$5:$E$304,Config!$F$11,Processos!$K$5:$K$304,"Atrasado"))</f>
        <v>3</v>
      </c>
      <c r="D24" s="25">
        <f>IF(Config!$F$11="","",COUNTIFS(Processos!$E$5:$E$304,Config!$F$11,Processos!$K$5:$K$304,"Hoje")+COUNTIFS(Processos!$E$5:$E$304,Config!$F$11,Processos!$K$5:$K$304,"Esta semana"))</f>
        <v>6</v>
      </c>
      <c r="E24" s="25">
        <f>IF(Config!$F$11="","",COUNTIFS(Processos!$E$5:$E$304,Config!$F$11,Processos!$K$5:$K$304,"Sem próxima ação"))</f>
        <v>0</v>
      </c>
      <c r="F24" s="25">
        <f>IF(Config!$F$11="","",COUNTIFS(Processos!$E$5:$E$304,Config!$F$11,Processos!$M$5:$M$304,"Sim"))</f>
        <v>3</v>
      </c>
      <c r="G24" s="26">
        <f>IF(Config!$F$11="","",IFERROR(IF(SUMPRODUCT(MIN(((Processos!$E$5:$E$304=Config!$F$11)*(Processos!$D$5:$D$304&lt;&gt;"Encerrado")*(Processos!$G$5:$G$304&gt;=Config!$B$5))*Processos!$G$5:$G$304+(1-((Processos!$E$5:$E$304=Config!$F$11)*(Processos!$D$5:$D$304&lt;&gt;"Encerrado")*(Processos!$G$5:$G$304&gt;=Config!$B$5)))*1E+10))&gt;=1E+10,"",SUMPRODUCT(MIN(((Processos!$E$5:$E$304=Config!$F$11)*(Processos!$D$5:$D$304&lt;&gt;"Encerrado")*(Processos!$G$5:$G$304&gt;=Config!$B$5))*Processos!$G$5:$G$304+(1-((Processos!$E$5:$E$304=Config!$F$11)*(Processos!$D$5:$D$304&lt;&gt;"Encerrado")*(Processos!$G$5:$G$304&gt;=Config!$B$5)))*1E+10))),""))</f>
        <v>46279.0</v>
      </c>
    </row>
    <row r="25">
      <c r="A25" s="24" t="str">
        <f>IF(Config!$F$12="","",Config!$F$12)</f>
        <v>Júlia Prado</v>
      </c>
      <c r="B25" s="25">
        <f>IF(Config!$F$12="","",COUNTIFS(Processos!$A$5:$A$304,"&lt;&gt;",Processos!$E$5:$E$304,Config!$F$12,Processos!$D$5:$D$304,"&lt;&gt;Encerrado"))</f>
        <v>0</v>
      </c>
      <c r="C25" s="25">
        <f>IF(Config!$F$12="","",COUNTIFS(Processos!$E$5:$E$304,Config!$F$12,Processos!$K$5:$K$304,"Atrasado"))</f>
        <v>0</v>
      </c>
      <c r="D25" s="25">
        <f>IF(Config!$F$12="","",COUNTIFS(Processos!$E$5:$E$304,Config!$F$12,Processos!$K$5:$K$304,"Hoje")+COUNTIFS(Processos!$E$5:$E$304,Config!$F$12,Processos!$K$5:$K$304,"Esta semana"))</f>
        <v>0</v>
      </c>
      <c r="E25" s="25">
        <f>IF(Config!$F$12="","",COUNTIFS(Processos!$E$5:$E$304,Config!$F$12,Processos!$K$5:$K$304,"Sem próxima ação"))</f>
        <v>0</v>
      </c>
      <c r="F25" s="25">
        <f>IF(Config!$F$12="","",COUNTIFS(Processos!$E$5:$E$304,Config!$F$12,Processos!$M$5:$M$304,"Sim"))</f>
        <v>0</v>
      </c>
      <c r="G25" s="26">
        <f>IF(Config!$F$12="","",IFERROR(IF(SUMPRODUCT(MIN(((Processos!$E$5:$E$304=Config!$F$12)*(Processos!$D$5:$D$304&lt;&gt;"Encerrado")*(Processos!$G$5:$G$304&gt;=Config!$B$5))*Processos!$G$5:$G$304+(1-((Processos!$E$5:$E$304=Config!$F$12)*(Processos!$D$5:$D$304&lt;&gt;"Encerrado")*(Processos!$G$5:$G$304&gt;=Config!$B$5)))*1E+10))&gt;=1E+10,"",SUMPRODUCT(MIN(((Processos!$E$5:$E$304=Config!$F$12)*(Processos!$D$5:$D$304&lt;&gt;"Encerrado")*(Processos!$G$5:$G$304&gt;=Config!$B$5))*Processos!$G$5:$G$304+(1-((Processos!$E$5:$E$304=Config!$F$12)*(Processos!$D$5:$D$304&lt;&gt;"Encerrado")*(Processos!$G$5:$G$304&gt;=Config!$B$5)))*1E+10))),""))</f>
        <v/>
      </c>
    </row>
    <row r="26">
      <c r="A26" s="24">
        <f>IF(Config!$F$13="","",Config!$F$13)</f>
        <v/>
      </c>
      <c r="B26" s="25">
        <f>IF(Config!$F$13="","",COUNTIFS(Processos!$A$5:$A$304,"&lt;&gt;",Processos!$E$5:$E$304,Config!$F$13,Processos!$D$5:$D$304,"&lt;&gt;Encerrado"))</f>
        <v/>
      </c>
      <c r="C26" s="25">
        <f>IF(Config!$F$13="","",COUNTIFS(Processos!$E$5:$E$304,Config!$F$13,Processos!$K$5:$K$304,"Atrasado"))</f>
        <v/>
      </c>
      <c r="D26" s="25">
        <f>IF(Config!$F$13="","",COUNTIFS(Processos!$E$5:$E$304,Config!$F$13,Processos!$K$5:$K$304,"Hoje")+COUNTIFS(Processos!$E$5:$E$304,Config!$F$13,Processos!$K$5:$K$304,"Esta semana"))</f>
        <v/>
      </c>
      <c r="E26" s="25">
        <f>IF(Config!$F$13="","",COUNTIFS(Processos!$E$5:$E$304,Config!$F$13,Processos!$K$5:$K$304,"Sem próxima ação"))</f>
        <v/>
      </c>
      <c r="F26" s="25">
        <f>IF(Config!$F$13="","",COUNTIFS(Processos!$E$5:$E$304,Config!$F$13,Processos!$M$5:$M$304,"Sim"))</f>
        <v/>
      </c>
      <c r="G26" s="26">
        <f>IF(Config!$F$13="","",IFERROR(IF(SUMPRODUCT(MIN(((Processos!$E$5:$E$304=Config!$F$13)*(Processos!$D$5:$D$304&lt;&gt;"Encerrado")*(Processos!$G$5:$G$304&gt;=Config!$B$5))*Processos!$G$5:$G$304+(1-((Processos!$E$5:$E$304=Config!$F$13)*(Processos!$D$5:$D$304&lt;&gt;"Encerrado")*(Processos!$G$5:$G$304&gt;=Config!$B$5)))*1E+10))&gt;=1E+10,"",SUMPRODUCT(MIN(((Processos!$E$5:$E$304=Config!$F$13)*(Processos!$D$5:$D$304&lt;&gt;"Encerrado")*(Processos!$G$5:$G$304&gt;=Config!$B$5))*Processos!$G$5:$G$304+(1-((Processos!$E$5:$E$304=Config!$F$13)*(Processos!$D$5:$D$304&lt;&gt;"Encerrado")*(Processos!$G$5:$G$304&gt;=Config!$B$5)))*1E+10))),""))</f>
        <v/>
      </c>
    </row>
    <row r="27">
      <c r="A27" s="24">
        <f>IF(Config!$F$14="","",Config!$F$14)</f>
        <v/>
      </c>
      <c r="B27" s="25">
        <f>IF(Config!$F$14="","",COUNTIFS(Processos!$A$5:$A$304,"&lt;&gt;",Processos!$E$5:$E$304,Config!$F$14,Processos!$D$5:$D$304,"&lt;&gt;Encerrado"))</f>
        <v/>
      </c>
      <c r="C27" s="25">
        <f>IF(Config!$F$14="","",COUNTIFS(Processos!$E$5:$E$304,Config!$F$14,Processos!$K$5:$K$304,"Atrasado"))</f>
        <v/>
      </c>
      <c r="D27" s="25">
        <f>IF(Config!$F$14="","",COUNTIFS(Processos!$E$5:$E$304,Config!$F$14,Processos!$K$5:$K$304,"Hoje")+COUNTIFS(Processos!$E$5:$E$304,Config!$F$14,Processos!$K$5:$K$304,"Esta semana"))</f>
        <v/>
      </c>
      <c r="E27" s="25">
        <f>IF(Config!$F$14="","",COUNTIFS(Processos!$E$5:$E$304,Config!$F$14,Processos!$K$5:$K$304,"Sem próxima ação"))</f>
        <v/>
      </c>
      <c r="F27" s="25">
        <f>IF(Config!$F$14="","",COUNTIFS(Processos!$E$5:$E$304,Config!$F$14,Processos!$M$5:$M$304,"Sim"))</f>
        <v/>
      </c>
      <c r="G27" s="26">
        <f>IF(Config!$F$14="","",IFERROR(IF(SUMPRODUCT(MIN(((Processos!$E$5:$E$304=Config!$F$14)*(Processos!$D$5:$D$304&lt;&gt;"Encerrado")*(Processos!$G$5:$G$304&gt;=Config!$B$5))*Processos!$G$5:$G$304+(1-((Processos!$E$5:$E$304=Config!$F$14)*(Processos!$D$5:$D$304&lt;&gt;"Encerrado")*(Processos!$G$5:$G$304&gt;=Config!$B$5)))*1E+10))&gt;=1E+10,"",SUMPRODUCT(MIN(((Processos!$E$5:$E$304=Config!$F$14)*(Processos!$D$5:$D$304&lt;&gt;"Encerrado")*(Processos!$G$5:$G$304&gt;=Config!$B$5))*Processos!$G$5:$G$304+(1-((Processos!$E$5:$E$304=Config!$F$14)*(Processos!$D$5:$D$304&lt;&gt;"Encerrado")*(Processos!$G$5:$G$304&gt;=Config!$B$5)))*1E+10))),""))</f>
        <v/>
      </c>
    </row>
    <row r="28">
      <c r="A28" s="24">
        <f>IF(Config!$F$15="","",Config!$F$15)</f>
        <v/>
      </c>
      <c r="B28" s="25">
        <f>IF(Config!$F$15="","",COUNTIFS(Processos!$A$5:$A$304,"&lt;&gt;",Processos!$E$5:$E$304,Config!$F$15,Processos!$D$5:$D$304,"&lt;&gt;Encerrado"))</f>
        <v/>
      </c>
      <c r="C28" s="25">
        <f>IF(Config!$F$15="","",COUNTIFS(Processos!$E$5:$E$304,Config!$F$15,Processos!$K$5:$K$304,"Atrasado"))</f>
        <v/>
      </c>
      <c r="D28" s="25">
        <f>IF(Config!$F$15="","",COUNTIFS(Processos!$E$5:$E$304,Config!$F$15,Processos!$K$5:$K$304,"Hoje")+COUNTIFS(Processos!$E$5:$E$304,Config!$F$15,Processos!$K$5:$K$304,"Esta semana"))</f>
        <v/>
      </c>
      <c r="E28" s="25">
        <f>IF(Config!$F$15="","",COUNTIFS(Processos!$E$5:$E$304,Config!$F$15,Processos!$K$5:$K$304,"Sem próxima ação"))</f>
        <v/>
      </c>
      <c r="F28" s="25">
        <f>IF(Config!$F$15="","",COUNTIFS(Processos!$E$5:$E$304,Config!$F$15,Processos!$M$5:$M$304,"Sim"))</f>
        <v/>
      </c>
      <c r="G28" s="26">
        <f>IF(Config!$F$15="","",IFERROR(IF(SUMPRODUCT(MIN(((Processos!$E$5:$E$304=Config!$F$15)*(Processos!$D$5:$D$304&lt;&gt;"Encerrado")*(Processos!$G$5:$G$304&gt;=Config!$B$5))*Processos!$G$5:$G$304+(1-((Processos!$E$5:$E$304=Config!$F$15)*(Processos!$D$5:$D$304&lt;&gt;"Encerrado")*(Processos!$G$5:$G$304&gt;=Config!$B$5)))*1E+10))&gt;=1E+10,"",SUMPRODUCT(MIN(((Processos!$E$5:$E$304=Config!$F$15)*(Processos!$D$5:$D$304&lt;&gt;"Encerrado")*(Processos!$G$5:$G$304&gt;=Config!$B$5))*Processos!$G$5:$G$304+(1-((Processos!$E$5:$E$304=Config!$F$15)*(Processos!$D$5:$D$304&lt;&gt;"Encerrado")*(Processos!$G$5:$G$304&gt;=Config!$B$5)))*1E+10))),""))</f>
        <v/>
      </c>
    </row>
    <row r="29">
      <c r="A29" s="24">
        <f>IF(Config!$F$16="","",Config!$F$16)</f>
        <v/>
      </c>
      <c r="B29" s="25">
        <f>IF(Config!$F$16="","",COUNTIFS(Processos!$A$5:$A$304,"&lt;&gt;",Processos!$E$5:$E$304,Config!$F$16,Processos!$D$5:$D$304,"&lt;&gt;Encerrado"))</f>
        <v/>
      </c>
      <c r="C29" s="25">
        <f>IF(Config!$F$16="","",COUNTIFS(Processos!$E$5:$E$304,Config!$F$16,Processos!$K$5:$K$304,"Atrasado"))</f>
        <v/>
      </c>
      <c r="D29" s="25">
        <f>IF(Config!$F$16="","",COUNTIFS(Processos!$E$5:$E$304,Config!$F$16,Processos!$K$5:$K$304,"Hoje")+COUNTIFS(Processos!$E$5:$E$304,Config!$F$16,Processos!$K$5:$K$304,"Esta semana"))</f>
        <v/>
      </c>
      <c r="E29" s="25">
        <f>IF(Config!$F$16="","",COUNTIFS(Processos!$E$5:$E$304,Config!$F$16,Processos!$K$5:$K$304,"Sem próxima ação"))</f>
        <v/>
      </c>
      <c r="F29" s="25">
        <f>IF(Config!$F$16="","",COUNTIFS(Processos!$E$5:$E$304,Config!$F$16,Processos!$M$5:$M$304,"Sim"))</f>
        <v/>
      </c>
      <c r="G29" s="26">
        <f>IF(Config!$F$16="","",IFERROR(IF(SUMPRODUCT(MIN(((Processos!$E$5:$E$304=Config!$F$16)*(Processos!$D$5:$D$304&lt;&gt;"Encerrado")*(Processos!$G$5:$G$304&gt;=Config!$B$5))*Processos!$G$5:$G$304+(1-((Processos!$E$5:$E$304=Config!$F$16)*(Processos!$D$5:$D$304&lt;&gt;"Encerrado")*(Processos!$G$5:$G$304&gt;=Config!$B$5)))*1E+10))&gt;=1E+10,"",SUMPRODUCT(MIN(((Processos!$E$5:$E$304=Config!$F$16)*(Processos!$D$5:$D$304&lt;&gt;"Encerrado")*(Processos!$G$5:$G$304&gt;=Config!$B$5))*Processos!$G$5:$G$304+(1-((Processos!$E$5:$E$304=Config!$F$16)*(Processos!$D$5:$D$304&lt;&gt;"Encerrado")*(Processos!$G$5:$G$304&gt;=Config!$B$5)))*1E+10))),""))</f>
        <v/>
      </c>
    </row>
    <row r="30">
      <c r="A30" s="24">
        <f>IF(Config!$F$17="","",Config!$F$17)</f>
        <v/>
      </c>
      <c r="B30" s="25">
        <f>IF(Config!$F$17="","",COUNTIFS(Processos!$A$5:$A$304,"&lt;&gt;",Processos!$E$5:$E$304,Config!$F$17,Processos!$D$5:$D$304,"&lt;&gt;Encerrado"))</f>
        <v/>
      </c>
      <c r="C30" s="25">
        <f>IF(Config!$F$17="","",COUNTIFS(Processos!$E$5:$E$304,Config!$F$17,Processos!$K$5:$K$304,"Atrasado"))</f>
        <v/>
      </c>
      <c r="D30" s="25">
        <f>IF(Config!$F$17="","",COUNTIFS(Processos!$E$5:$E$304,Config!$F$17,Processos!$K$5:$K$304,"Hoje")+COUNTIFS(Processos!$E$5:$E$304,Config!$F$17,Processos!$K$5:$K$304,"Esta semana"))</f>
        <v/>
      </c>
      <c r="E30" s="25">
        <f>IF(Config!$F$17="","",COUNTIFS(Processos!$E$5:$E$304,Config!$F$17,Processos!$K$5:$K$304,"Sem próxima ação"))</f>
        <v/>
      </c>
      <c r="F30" s="25">
        <f>IF(Config!$F$17="","",COUNTIFS(Processos!$E$5:$E$304,Config!$F$17,Processos!$M$5:$M$304,"Sim"))</f>
        <v/>
      </c>
      <c r="G30" s="26">
        <f>IF(Config!$F$17="","",IFERROR(IF(SUMPRODUCT(MIN(((Processos!$E$5:$E$304=Config!$F$17)*(Processos!$D$5:$D$304&lt;&gt;"Encerrado")*(Processos!$G$5:$G$304&gt;=Config!$B$5))*Processos!$G$5:$G$304+(1-((Processos!$E$5:$E$304=Config!$F$17)*(Processos!$D$5:$D$304&lt;&gt;"Encerrado")*(Processos!$G$5:$G$304&gt;=Config!$B$5)))*1E+10))&gt;=1E+10,"",SUMPRODUCT(MIN(((Processos!$E$5:$E$304=Config!$F$17)*(Processos!$D$5:$D$304&lt;&gt;"Encerrado")*(Processos!$G$5:$G$304&gt;=Config!$B$5))*Processos!$G$5:$G$304+(1-((Processos!$E$5:$E$304=Config!$F$17)*(Processos!$D$5:$D$304&lt;&gt;"Encerrado")*(Processos!$G$5:$G$304&gt;=Config!$B$5)))*1E+10))),""))</f>
        <v/>
      </c>
    </row>
    <row r="31">
      <c r="A31" s="24">
        <f>IF(Config!$F$18="","",Config!$F$18)</f>
        <v/>
      </c>
      <c r="B31" s="25">
        <f>IF(Config!$F$18="","",COUNTIFS(Processos!$A$5:$A$304,"&lt;&gt;",Processos!$E$5:$E$304,Config!$F$18,Processos!$D$5:$D$304,"&lt;&gt;Encerrado"))</f>
        <v/>
      </c>
      <c r="C31" s="25">
        <f>IF(Config!$F$18="","",COUNTIFS(Processos!$E$5:$E$304,Config!$F$18,Processos!$K$5:$K$304,"Atrasado"))</f>
        <v/>
      </c>
      <c r="D31" s="25">
        <f>IF(Config!$F$18="","",COUNTIFS(Processos!$E$5:$E$304,Config!$F$18,Processos!$K$5:$K$304,"Hoje")+COUNTIFS(Processos!$E$5:$E$304,Config!$F$18,Processos!$K$5:$K$304,"Esta semana"))</f>
        <v/>
      </c>
      <c r="E31" s="25">
        <f>IF(Config!$F$18="","",COUNTIFS(Processos!$E$5:$E$304,Config!$F$18,Processos!$K$5:$K$304,"Sem próxima ação"))</f>
        <v/>
      </c>
      <c r="F31" s="25">
        <f>IF(Config!$F$18="","",COUNTIFS(Processos!$E$5:$E$304,Config!$F$18,Processos!$M$5:$M$304,"Sim"))</f>
        <v/>
      </c>
      <c r="G31" s="26">
        <f>IF(Config!$F$18="","",IFERROR(IF(SUMPRODUCT(MIN(((Processos!$E$5:$E$304=Config!$F$18)*(Processos!$D$5:$D$304&lt;&gt;"Encerrado")*(Processos!$G$5:$G$304&gt;=Config!$B$5))*Processos!$G$5:$G$304+(1-((Processos!$E$5:$E$304=Config!$F$18)*(Processos!$D$5:$D$304&lt;&gt;"Encerrado")*(Processos!$G$5:$G$304&gt;=Config!$B$5)))*1E+10))&gt;=1E+10,"",SUMPRODUCT(MIN(((Processos!$E$5:$E$304=Config!$F$18)*(Processos!$D$5:$D$304&lt;&gt;"Encerrado")*(Processos!$G$5:$G$304&gt;=Config!$B$5))*Processos!$G$5:$G$304+(1-((Processos!$E$5:$E$304=Config!$F$18)*(Processos!$D$5:$D$304&lt;&gt;"Encerrado")*(Processos!$G$5:$G$304&gt;=Config!$B$5)))*1E+10))),""))</f>
        <v/>
      </c>
    </row>
    <row r="32">
      <c r="A32" s="24">
        <f>IF(Config!$F$19="","",Config!$F$19)</f>
        <v/>
      </c>
      <c r="B32" s="25">
        <f>IF(Config!$F$19="","",COUNTIFS(Processos!$A$5:$A$304,"&lt;&gt;",Processos!$E$5:$E$304,Config!$F$19,Processos!$D$5:$D$304,"&lt;&gt;Encerrado"))</f>
        <v/>
      </c>
      <c r="C32" s="25">
        <f>IF(Config!$F$19="","",COUNTIFS(Processos!$E$5:$E$304,Config!$F$19,Processos!$K$5:$K$304,"Atrasado"))</f>
        <v/>
      </c>
      <c r="D32" s="25">
        <f>IF(Config!$F$19="","",COUNTIFS(Processos!$E$5:$E$304,Config!$F$19,Processos!$K$5:$K$304,"Hoje")+COUNTIFS(Processos!$E$5:$E$304,Config!$F$19,Processos!$K$5:$K$304,"Esta semana"))</f>
        <v/>
      </c>
      <c r="E32" s="25">
        <f>IF(Config!$F$19="","",COUNTIFS(Processos!$E$5:$E$304,Config!$F$19,Processos!$K$5:$K$304,"Sem próxima ação"))</f>
        <v/>
      </c>
      <c r="F32" s="25">
        <f>IF(Config!$F$19="","",COUNTIFS(Processos!$E$5:$E$304,Config!$F$19,Processos!$M$5:$M$304,"Sim"))</f>
        <v/>
      </c>
      <c r="G32" s="26">
        <f>IF(Config!$F$19="","",IFERROR(IF(SUMPRODUCT(MIN(((Processos!$E$5:$E$304=Config!$F$19)*(Processos!$D$5:$D$304&lt;&gt;"Encerrado")*(Processos!$G$5:$G$304&gt;=Config!$B$5))*Processos!$G$5:$G$304+(1-((Processos!$E$5:$E$304=Config!$F$19)*(Processos!$D$5:$D$304&lt;&gt;"Encerrado")*(Processos!$G$5:$G$304&gt;=Config!$B$5)))*1E+10))&gt;=1E+10,"",SUMPRODUCT(MIN(((Processos!$E$5:$E$304=Config!$F$19)*(Processos!$D$5:$D$304&lt;&gt;"Encerrado")*(Processos!$G$5:$G$304&gt;=Config!$B$5))*Processos!$G$5:$G$304+(1-((Processos!$E$5:$E$304=Config!$F$19)*(Processos!$D$5:$D$304&lt;&gt;"Encerrado")*(Processos!$G$5:$G$304&gt;=Config!$B$5)))*1E+10))),""))</f>
        <v/>
      </c>
    </row>
    <row r="33">
      <c r="A33" s="27" t="inlineStr">
        <is>
          <t>Próxima ação a partir de hoje: a data mais próxima entre as ações de hoje em diante; as atrasadas estão na coluna "Ação atrasada".</t>
        </is>
      </c>
    </row>
    <row r="35">
      <c r="A35" s="22" t="str">
        <f>"Parados há mais de "&amp;Config!$B$6&amp;" dias (os mais antigos primeiro)"</f>
        <v>Parados há mais de 30 dias (os mais antigos primeiro)</v>
      </c>
    </row>
    <row r="36">
      <c r="A36" s="27" t="inlineStr">
        <is>
          <t>Mostra os 12 casos ativos há mais tempo sem atualização. Um caso parado pode estar apenas aguardando o andamento; o painel avisa para que alguém confira.</t>
        </is>
      </c>
    </row>
    <row r="37" ht="26" customHeight="1">
      <c r="A37" s="23" t="inlineStr">
        <is>
          <t>#</t>
        </is>
      </c>
      <c r="B37" s="23" t="inlineStr">
        <is>
          <t>Número</t>
        </is>
      </c>
      <c r="C37" s="23" t="inlineStr">
        <is>
          <t>Cliente</t>
        </is>
      </c>
      <c r="D37" s="23" t="inlineStr">
        <is>
          <t>Fase</t>
        </is>
      </c>
      <c r="E37" s="23" t="inlineStr">
        <is>
          <t>Responsável</t>
        </is>
      </c>
      <c r="F37" s="23" t="inlineStr">
        <is>
          <t>Última atualização</t>
        </is>
      </c>
      <c r="G37" s="23" t="inlineStr">
        <is>
          <t>Dias parado</t>
        </is>
      </c>
      <c r="H37" s="23" t="inlineStr">
        <is>
          <t>Próxima ação</t>
        </is>
      </c>
    </row>
    <row r="38">
      <c r="A38" s="25" t="n">
        <v>1</v>
      </c>
      <c r="B38" s="24" t="str">
        <f>IFERROR(IF(LARGE(Processos!$N$5:$N$304,1)&gt;0,IF(INDEX(Processos!$A$5:$A$304,MATCH(LARGE(Processos!$N$5:$N$304,1),Processos!$N$5:$N$304,0))="","",INDEX(Processos!$A$5:$A$304,MATCH(LARGE(Processos!$N$5:$N$304,1),Processos!$N$5:$N$304,0))),""),"")</f>
        <v>9495290-86.2025.8.26.0503</v>
      </c>
      <c r="C38" s="24" t="str">
        <f>IFERROR(IF(LARGE(Processos!$N$5:$N$304,1)&gt;0,IF(INDEX(Processos!$B$5:$B$304,MATCH(LARGE(Processos!$N$5:$N$304,1),Processos!$N$5:$N$304,0))="","",INDEX(Processos!$B$5:$B$304,MATCH(LARGE(Processos!$N$5:$N$304,1),Processos!$N$5:$N$304,0))),""),"")</f>
        <v>Helena Duarte</v>
      </c>
      <c r="D38" s="25" t="str">
        <f>IFERROR(IF(LARGE(Processos!$N$5:$N$304,1)&gt;0,IF(INDEX(Processos!$D$5:$D$304,MATCH(LARGE(Processos!$N$5:$N$304,1),Processos!$N$5:$N$304,0))="","",INDEX(Processos!$D$5:$D$304,MATCH(LARGE(Processos!$N$5:$N$304,1),Processos!$N$5:$N$304,0))),""),"")</f>
        <v>Execução</v>
      </c>
      <c r="E38" s="25" t="str">
        <f>IFERROR(IF(LARGE(Processos!$N$5:$N$304,1)&gt;0,IF(INDEX(Processos!$E$5:$E$304,MATCH(LARGE(Processos!$N$5:$N$304,1),Processos!$N$5:$N$304,0))="","",INDEX(Processos!$E$5:$E$304,MATCH(LARGE(Processos!$N$5:$N$304,1),Processos!$N$5:$N$304,0))),""),"")</f>
        <v>Rafael Lima</v>
      </c>
      <c r="F38" s="26">
        <f>IFERROR(IF(LARGE(Processos!$N$5:$N$304,1)&gt;0,IF(INDEX(Processos!$H$5:$H$304,MATCH(LARGE(Processos!$N$5:$N$304,1),Processos!$N$5:$N$304,0))="","",INDEX(Processos!$H$5:$H$304,MATCH(LARGE(Processos!$N$5:$N$304,1),Processos!$N$5:$N$304,0))),""),"")</f>
        <v>46232.0</v>
      </c>
      <c r="G38" s="28">
        <f>IFERROR(IF(LARGE(Processos!$N$5:$N$304,1)&gt;0,IF(INDEX(Processos!$L$5:$L$304,MATCH(LARGE(Processos!$N$5:$N$304,1),Processos!$N$5:$N$304,0))="","",INDEX(Processos!$L$5:$L$304,MATCH(LARGE(Processos!$N$5:$N$304,1),Processos!$N$5:$N$304,0))),""),"")</f>
        <v>47</v>
      </c>
      <c r="H38" s="24" t="str">
        <f>IFERROR(IF(LARGE(Processos!$N$5:$N$304,1)&gt;0,IF(INDEX(Processos!$F$5:$F$304,MATCH(LARGE(Processos!$N$5:$N$304,1),Processos!$N$5:$N$304,0))="","",INDEX(Processos!$F$5:$F$304,MATCH(LARGE(Processos!$N$5:$N$304,1),Processos!$N$5:$N$304,0))),""),"")</f>
        <v>Iniciar o cumprimento de sentença</v>
      </c>
    </row>
    <row r="39">
      <c r="A39" s="25" t="n">
        <v>2</v>
      </c>
      <c r="B39" s="24" t="str">
        <f>IFERROR(IF(LARGE(Processos!$N$5:$N$304,2)&gt;0,IF(INDEX(Processos!$A$5:$A$304,MATCH(LARGE(Processos!$N$5:$N$304,2),Processos!$N$5:$N$304,0))="","",INDEX(Processos!$A$5:$A$304,MATCH(LARGE(Processos!$N$5:$N$304,2),Processos!$N$5:$N$304,0))),""),"")</f>
        <v>9236009-85.2025.8.26.0452</v>
      </c>
      <c r="C39" s="24" t="str">
        <f>IFERROR(IF(LARGE(Processos!$N$5:$N$304,2)&gt;0,IF(INDEX(Processos!$B$5:$B$304,MATCH(LARGE(Processos!$N$5:$N$304,2),Processos!$N$5:$N$304,0))="","",INDEX(Processos!$B$5:$B$304,MATCH(LARGE(Processos!$N$5:$N$304,2),Processos!$N$5:$N$304,0))),""),"")</f>
        <v>Bistrô 42</v>
      </c>
      <c r="D39" s="25" t="str">
        <f>IFERROR(IF(LARGE(Processos!$N$5:$N$304,2)&gt;0,IF(INDEX(Processos!$D$5:$D$304,MATCH(LARGE(Processos!$N$5:$N$304,2),Processos!$N$5:$N$304,0))="","",INDEX(Processos!$D$5:$D$304,MATCH(LARGE(Processos!$N$5:$N$304,2),Processos!$N$5:$N$304,0))),""),"")</f>
        <v>Execução</v>
      </c>
      <c r="E39" s="25" t="str">
        <f>IFERROR(IF(LARGE(Processos!$N$5:$N$304,2)&gt;0,IF(INDEX(Processos!$E$5:$E$304,MATCH(LARGE(Processos!$N$5:$N$304,2),Processos!$N$5:$N$304,0))="","",INDEX(Processos!$E$5:$E$304,MATCH(LARGE(Processos!$N$5:$N$304,2),Processos!$N$5:$N$304,0))),""),"")</f>
        <v>Rafael Lima</v>
      </c>
      <c r="F39" s="26">
        <f>IFERROR(IF(LARGE(Processos!$N$5:$N$304,2)&gt;0,IF(INDEX(Processos!$H$5:$H$304,MATCH(LARGE(Processos!$N$5:$N$304,2),Processos!$N$5:$N$304,0))="","",INDEX(Processos!$H$5:$H$304,MATCH(LARGE(Processos!$N$5:$N$304,2),Processos!$N$5:$N$304,0))),""),"")</f>
        <v>46238.0</v>
      </c>
      <c r="G39" s="28">
        <f>IFERROR(IF(LARGE(Processos!$N$5:$N$304,2)&gt;0,IF(INDEX(Processos!$L$5:$L$304,MATCH(LARGE(Processos!$N$5:$N$304,2),Processos!$N$5:$N$304,0))="","",INDEX(Processos!$L$5:$L$304,MATCH(LARGE(Processos!$N$5:$N$304,2),Processos!$N$5:$N$304,0))),""),"")</f>
        <v>41</v>
      </c>
      <c r="H39" s="24" t="str">
        <f>IFERROR(IF(LARGE(Processos!$N$5:$N$304,2)&gt;0,IF(INDEX(Processos!$F$5:$F$304,MATCH(LARGE(Processos!$N$5:$N$304,2),Processos!$N$5:$N$304,0))="","",INDEX(Processos!$F$5:$F$304,MATCH(LARGE(Processos!$N$5:$N$304,2),Processos!$N$5:$N$304,0))),""),"")</f>
        <v>Iniciar o cumprimento de sentença</v>
      </c>
    </row>
    <row r="40">
      <c r="A40" s="25" t="n">
        <v>3</v>
      </c>
      <c r="B40" s="24" t="str">
        <f>IFERROR(IF(LARGE(Processos!$N$5:$N$304,3)&gt;0,IF(INDEX(Processos!$A$5:$A$304,MATCH(LARGE(Processos!$N$5:$N$304,3),Processos!$N$5:$N$304,0))="","",INDEX(Processos!$A$5:$A$304,MATCH(LARGE(Processos!$N$5:$N$304,3),Processos!$N$5:$N$304,0))),""),"")</f>
        <v>6184138-13.2026.8.26.0378</v>
      </c>
      <c r="C40" s="24" t="str">
        <f>IFERROR(IF(LARGE(Processos!$N$5:$N$304,3)&gt;0,IF(INDEX(Processos!$B$5:$B$304,MATCH(LARGE(Processos!$N$5:$N$304,3),Processos!$N$5:$N$304,0))="","",INDEX(Processos!$B$5:$B$304,MATCH(LARGE(Processos!$N$5:$N$304,3),Processos!$N$5:$N$304,0))),""),"")</f>
        <v>Oficina Mecânica Central</v>
      </c>
      <c r="D40" s="25" t="str">
        <f>IFERROR(IF(LARGE(Processos!$N$5:$N$304,3)&gt;0,IF(INDEX(Processos!$D$5:$D$304,MATCH(LARGE(Processos!$N$5:$N$304,3),Processos!$N$5:$N$304,0))="","",INDEX(Processos!$D$5:$D$304,MATCH(LARGE(Processos!$N$5:$N$304,3),Processos!$N$5:$N$304,0))),""),"")</f>
        <v>Inicial</v>
      </c>
      <c r="E40" s="25" t="str">
        <f>IFERROR(IF(LARGE(Processos!$N$5:$N$304,3)&gt;0,IF(INDEX(Processos!$E$5:$E$304,MATCH(LARGE(Processos!$N$5:$N$304,3),Processos!$N$5:$N$304,0))="","",INDEX(Processos!$E$5:$E$304,MATCH(LARGE(Processos!$N$5:$N$304,3),Processos!$N$5:$N$304,0))),""),"")</f>
        <v>Rafael Lima</v>
      </c>
      <c r="F40" s="26">
        <f>IFERROR(IF(LARGE(Processos!$N$5:$N$304,3)&gt;0,IF(INDEX(Processos!$H$5:$H$304,MATCH(LARGE(Processos!$N$5:$N$304,3),Processos!$N$5:$N$304,0))="","",INDEX(Processos!$H$5:$H$304,MATCH(LARGE(Processos!$N$5:$N$304,3),Processos!$N$5:$N$304,0))),""),"")</f>
        <v>46243.0</v>
      </c>
      <c r="G40" s="28">
        <f>IFERROR(IF(LARGE(Processos!$N$5:$N$304,3)&gt;0,IF(INDEX(Processos!$L$5:$L$304,MATCH(LARGE(Processos!$N$5:$N$304,3),Processos!$N$5:$N$304,0))="","",INDEX(Processos!$L$5:$L$304,MATCH(LARGE(Processos!$N$5:$N$304,3),Processos!$N$5:$N$304,0))),""),"")</f>
        <v>36</v>
      </c>
      <c r="H40" s="24" t="str">
        <f>IFERROR(IF(LARGE(Processos!$N$5:$N$304,3)&gt;0,IF(INDEX(Processos!$F$5:$F$304,MATCH(LARGE(Processos!$N$5:$N$304,3),Processos!$N$5:$N$304,0))="","",INDEX(Processos!$F$5:$F$304,MATCH(LARGE(Processos!$N$5:$N$304,3),Processos!$N$5:$N$304,0))),""),"")</f>
        <v>Audiência de conciliação (confirmar presença do cliente)</v>
      </c>
    </row>
    <row r="41">
      <c r="A41" s="25" t="n">
        <v>4</v>
      </c>
      <c r="B41" s="24" t="str">
        <f>IFERROR(IF(LARGE(Processos!$N$5:$N$304,4)&gt;0,IF(INDEX(Processos!$A$5:$A$304,MATCH(LARGE(Processos!$N$5:$N$304,4),Processos!$N$5:$N$304,0))="","",INDEX(Processos!$A$5:$A$304,MATCH(LARGE(Processos!$N$5:$N$304,4),Processos!$N$5:$N$304,0))),""),"")</f>
        <v>2521428-61.2026.8.26.0600</v>
      </c>
      <c r="C41" s="24" t="str">
        <f>IFERROR(IF(LARGE(Processos!$N$5:$N$304,4)&gt;0,IF(INDEX(Processos!$B$5:$B$304,MATCH(LARGE(Processos!$N$5:$N$304,4),Processos!$N$5:$N$304,0))="","",INDEX(Processos!$B$5:$B$304,MATCH(LARGE(Processos!$N$5:$N$304,4),Processos!$N$5:$N$304,0))),""),"")</f>
        <v>Luciana Farias</v>
      </c>
      <c r="D41" s="25" t="str">
        <f>IFERROR(IF(LARGE(Processos!$N$5:$N$304,4)&gt;0,IF(INDEX(Processos!$D$5:$D$304,MATCH(LARGE(Processos!$N$5:$N$304,4),Processos!$N$5:$N$304,0))="","",INDEX(Processos!$D$5:$D$304,MATCH(LARGE(Processos!$N$5:$N$304,4),Processos!$N$5:$N$304,0))),""),"")</f>
        <v>Acordo</v>
      </c>
      <c r="E41" s="25" t="str">
        <f>IFERROR(IF(LARGE(Processos!$N$5:$N$304,4)&gt;0,IF(INDEX(Processos!$E$5:$E$304,MATCH(LARGE(Processos!$N$5:$N$304,4),Processos!$N$5:$N$304,0))="","",INDEX(Processos!$E$5:$E$304,MATCH(LARGE(Processos!$N$5:$N$304,4),Processos!$N$5:$N$304,0))),""),"")</f>
        <v>Marina Ferraz</v>
      </c>
      <c r="F41" s="26">
        <f>IFERROR(IF(LARGE(Processos!$N$5:$N$304,4)&gt;0,IF(INDEX(Processos!$H$5:$H$304,MATCH(LARGE(Processos!$N$5:$N$304,4),Processos!$N$5:$N$304,0))="","",INDEX(Processos!$H$5:$H$304,MATCH(LARGE(Processos!$N$5:$N$304,4),Processos!$N$5:$N$304,0))),""),"")</f>
        <v>46246.0</v>
      </c>
      <c r="G41" s="28">
        <f>IFERROR(IF(LARGE(Processos!$N$5:$N$304,4)&gt;0,IF(INDEX(Processos!$L$5:$L$304,MATCH(LARGE(Processos!$N$5:$N$304,4),Processos!$N$5:$N$304,0))="","",INDEX(Processos!$L$5:$L$304,MATCH(LARGE(Processos!$N$5:$N$304,4),Processos!$N$5:$N$304,0))),""),"")</f>
        <v>33</v>
      </c>
      <c r="H41" s="24" t="str">
        <f>IFERROR(IF(LARGE(Processos!$N$5:$N$304,4)&gt;0,IF(INDEX(Processos!$F$5:$F$304,MATCH(LARGE(Processos!$N$5:$N$304,4),Processos!$N$5:$N$304,0))="","",INDEX(Processos!$F$5:$F$304,MATCH(LARGE(Processos!$N$5:$N$304,4),Processos!$N$5:$N$304,0))),""),"")</f>
        <v>Acompanhar a homologação do acordo</v>
      </c>
    </row>
    <row r="42">
      <c r="A42" s="25" t="n">
        <v>5</v>
      </c>
      <c r="B42" s="24">
        <f>IFERROR(IF(LARGE(Processos!$N$5:$N$304,5)&gt;0,IF(INDEX(Processos!$A$5:$A$304,MATCH(LARGE(Processos!$N$5:$N$304,5),Processos!$N$5:$N$304,0))="","",INDEX(Processos!$A$5:$A$304,MATCH(LARGE(Processos!$N$5:$N$304,5),Processos!$N$5:$N$304,0))),""),"")</f>
        <v/>
      </c>
      <c r="C42" s="24">
        <f>IFERROR(IF(LARGE(Processos!$N$5:$N$304,5)&gt;0,IF(INDEX(Processos!$B$5:$B$304,MATCH(LARGE(Processos!$N$5:$N$304,5),Processos!$N$5:$N$304,0))="","",INDEX(Processos!$B$5:$B$304,MATCH(LARGE(Processos!$N$5:$N$304,5),Processos!$N$5:$N$304,0))),""),"")</f>
        <v/>
      </c>
      <c r="D42" s="25">
        <f>IFERROR(IF(LARGE(Processos!$N$5:$N$304,5)&gt;0,IF(INDEX(Processos!$D$5:$D$304,MATCH(LARGE(Processos!$N$5:$N$304,5),Processos!$N$5:$N$304,0))="","",INDEX(Processos!$D$5:$D$304,MATCH(LARGE(Processos!$N$5:$N$304,5),Processos!$N$5:$N$304,0))),""),"")</f>
        <v/>
      </c>
      <c r="E42" s="25">
        <f>IFERROR(IF(LARGE(Processos!$N$5:$N$304,5)&gt;0,IF(INDEX(Processos!$E$5:$E$304,MATCH(LARGE(Processos!$N$5:$N$304,5),Processos!$N$5:$N$304,0))="","",INDEX(Processos!$E$5:$E$304,MATCH(LARGE(Processos!$N$5:$N$304,5),Processos!$N$5:$N$304,0))),""),"")</f>
        <v/>
      </c>
      <c r="F42" s="26">
        <f>IFERROR(IF(LARGE(Processos!$N$5:$N$304,5)&gt;0,IF(INDEX(Processos!$H$5:$H$304,MATCH(LARGE(Processos!$N$5:$N$304,5),Processos!$N$5:$N$304,0))="","",INDEX(Processos!$H$5:$H$304,MATCH(LARGE(Processos!$N$5:$N$304,5),Processos!$N$5:$N$304,0))),""),"")</f>
        <v/>
      </c>
      <c r="G42" s="28">
        <f>IFERROR(IF(LARGE(Processos!$N$5:$N$304,5)&gt;0,IF(INDEX(Processos!$L$5:$L$304,MATCH(LARGE(Processos!$N$5:$N$304,5),Processos!$N$5:$N$304,0))="","",INDEX(Processos!$L$5:$L$304,MATCH(LARGE(Processos!$N$5:$N$304,5),Processos!$N$5:$N$304,0))),""),"")</f>
        <v/>
      </c>
      <c r="H42" s="24">
        <f>IFERROR(IF(LARGE(Processos!$N$5:$N$304,5)&gt;0,IF(INDEX(Processos!$F$5:$F$304,MATCH(LARGE(Processos!$N$5:$N$304,5),Processos!$N$5:$N$304,0))="","",INDEX(Processos!$F$5:$F$304,MATCH(LARGE(Processos!$N$5:$N$304,5),Processos!$N$5:$N$304,0))),""),"")</f>
        <v/>
      </c>
    </row>
    <row r="43">
      <c r="A43" s="25" t="n">
        <v>6</v>
      </c>
      <c r="B43" s="24">
        <f>IFERROR(IF(LARGE(Processos!$N$5:$N$304,6)&gt;0,IF(INDEX(Processos!$A$5:$A$304,MATCH(LARGE(Processos!$N$5:$N$304,6),Processos!$N$5:$N$304,0))="","",INDEX(Processos!$A$5:$A$304,MATCH(LARGE(Processos!$N$5:$N$304,6),Processos!$N$5:$N$304,0))),""),"")</f>
        <v/>
      </c>
      <c r="C43" s="24">
        <f>IFERROR(IF(LARGE(Processos!$N$5:$N$304,6)&gt;0,IF(INDEX(Processos!$B$5:$B$304,MATCH(LARGE(Processos!$N$5:$N$304,6),Processos!$N$5:$N$304,0))="","",INDEX(Processos!$B$5:$B$304,MATCH(LARGE(Processos!$N$5:$N$304,6),Processos!$N$5:$N$304,0))),""),"")</f>
        <v/>
      </c>
      <c r="D43" s="25">
        <f>IFERROR(IF(LARGE(Processos!$N$5:$N$304,6)&gt;0,IF(INDEX(Processos!$D$5:$D$304,MATCH(LARGE(Processos!$N$5:$N$304,6),Processos!$N$5:$N$304,0))="","",INDEX(Processos!$D$5:$D$304,MATCH(LARGE(Processos!$N$5:$N$304,6),Processos!$N$5:$N$304,0))),""),"")</f>
        <v/>
      </c>
      <c r="E43" s="25">
        <f>IFERROR(IF(LARGE(Processos!$N$5:$N$304,6)&gt;0,IF(INDEX(Processos!$E$5:$E$304,MATCH(LARGE(Processos!$N$5:$N$304,6),Processos!$N$5:$N$304,0))="","",INDEX(Processos!$E$5:$E$304,MATCH(LARGE(Processos!$N$5:$N$304,6),Processos!$N$5:$N$304,0))),""),"")</f>
        <v/>
      </c>
      <c r="F43" s="26">
        <f>IFERROR(IF(LARGE(Processos!$N$5:$N$304,6)&gt;0,IF(INDEX(Processos!$H$5:$H$304,MATCH(LARGE(Processos!$N$5:$N$304,6),Processos!$N$5:$N$304,0))="","",INDEX(Processos!$H$5:$H$304,MATCH(LARGE(Processos!$N$5:$N$304,6),Processos!$N$5:$N$304,0))),""),"")</f>
        <v/>
      </c>
      <c r="G43" s="28">
        <f>IFERROR(IF(LARGE(Processos!$N$5:$N$304,6)&gt;0,IF(INDEX(Processos!$L$5:$L$304,MATCH(LARGE(Processos!$N$5:$N$304,6),Processos!$N$5:$N$304,0))="","",INDEX(Processos!$L$5:$L$304,MATCH(LARGE(Processos!$N$5:$N$304,6),Processos!$N$5:$N$304,0))),""),"")</f>
        <v/>
      </c>
      <c r="H43" s="24">
        <f>IFERROR(IF(LARGE(Processos!$N$5:$N$304,6)&gt;0,IF(INDEX(Processos!$F$5:$F$304,MATCH(LARGE(Processos!$N$5:$N$304,6),Processos!$N$5:$N$304,0))="","",INDEX(Processos!$F$5:$F$304,MATCH(LARGE(Processos!$N$5:$N$304,6),Processos!$N$5:$N$304,0))),""),"")</f>
        <v/>
      </c>
    </row>
    <row r="44">
      <c r="A44" s="25" t="n">
        <v>7</v>
      </c>
      <c r="B44" s="24">
        <f>IFERROR(IF(LARGE(Processos!$N$5:$N$304,7)&gt;0,IF(INDEX(Processos!$A$5:$A$304,MATCH(LARGE(Processos!$N$5:$N$304,7),Processos!$N$5:$N$304,0))="","",INDEX(Processos!$A$5:$A$304,MATCH(LARGE(Processos!$N$5:$N$304,7),Processos!$N$5:$N$304,0))),""),"")</f>
        <v/>
      </c>
      <c r="C44" s="24">
        <f>IFERROR(IF(LARGE(Processos!$N$5:$N$304,7)&gt;0,IF(INDEX(Processos!$B$5:$B$304,MATCH(LARGE(Processos!$N$5:$N$304,7),Processos!$N$5:$N$304,0))="","",INDEX(Processos!$B$5:$B$304,MATCH(LARGE(Processos!$N$5:$N$304,7),Processos!$N$5:$N$304,0))),""),"")</f>
        <v/>
      </c>
      <c r="D44" s="25">
        <f>IFERROR(IF(LARGE(Processos!$N$5:$N$304,7)&gt;0,IF(INDEX(Processos!$D$5:$D$304,MATCH(LARGE(Processos!$N$5:$N$304,7),Processos!$N$5:$N$304,0))="","",INDEX(Processos!$D$5:$D$304,MATCH(LARGE(Processos!$N$5:$N$304,7),Processos!$N$5:$N$304,0))),""),"")</f>
        <v/>
      </c>
      <c r="E44" s="25">
        <f>IFERROR(IF(LARGE(Processos!$N$5:$N$304,7)&gt;0,IF(INDEX(Processos!$E$5:$E$304,MATCH(LARGE(Processos!$N$5:$N$304,7),Processos!$N$5:$N$304,0))="","",INDEX(Processos!$E$5:$E$304,MATCH(LARGE(Processos!$N$5:$N$304,7),Processos!$N$5:$N$304,0))),""),"")</f>
        <v/>
      </c>
      <c r="F44" s="26">
        <f>IFERROR(IF(LARGE(Processos!$N$5:$N$304,7)&gt;0,IF(INDEX(Processos!$H$5:$H$304,MATCH(LARGE(Processos!$N$5:$N$304,7),Processos!$N$5:$N$304,0))="","",INDEX(Processos!$H$5:$H$304,MATCH(LARGE(Processos!$N$5:$N$304,7),Processos!$N$5:$N$304,0))),""),"")</f>
        <v/>
      </c>
      <c r="G44" s="28">
        <f>IFERROR(IF(LARGE(Processos!$N$5:$N$304,7)&gt;0,IF(INDEX(Processos!$L$5:$L$304,MATCH(LARGE(Processos!$N$5:$N$304,7),Processos!$N$5:$N$304,0))="","",INDEX(Processos!$L$5:$L$304,MATCH(LARGE(Processos!$N$5:$N$304,7),Processos!$N$5:$N$304,0))),""),"")</f>
        <v/>
      </c>
      <c r="H44" s="24">
        <f>IFERROR(IF(LARGE(Processos!$N$5:$N$304,7)&gt;0,IF(INDEX(Processos!$F$5:$F$304,MATCH(LARGE(Processos!$N$5:$N$304,7),Processos!$N$5:$N$304,0))="","",INDEX(Processos!$F$5:$F$304,MATCH(LARGE(Processos!$N$5:$N$304,7),Processos!$N$5:$N$304,0))),""),"")</f>
        <v/>
      </c>
    </row>
    <row r="45">
      <c r="A45" s="25" t="n">
        <v>8</v>
      </c>
      <c r="B45" s="24">
        <f>IFERROR(IF(LARGE(Processos!$N$5:$N$304,8)&gt;0,IF(INDEX(Processos!$A$5:$A$304,MATCH(LARGE(Processos!$N$5:$N$304,8),Processos!$N$5:$N$304,0))="","",INDEX(Processos!$A$5:$A$304,MATCH(LARGE(Processos!$N$5:$N$304,8),Processos!$N$5:$N$304,0))),""),"")</f>
        <v/>
      </c>
      <c r="C45" s="24">
        <f>IFERROR(IF(LARGE(Processos!$N$5:$N$304,8)&gt;0,IF(INDEX(Processos!$B$5:$B$304,MATCH(LARGE(Processos!$N$5:$N$304,8),Processos!$N$5:$N$304,0))="","",INDEX(Processos!$B$5:$B$304,MATCH(LARGE(Processos!$N$5:$N$304,8),Processos!$N$5:$N$304,0))),""),"")</f>
        <v/>
      </c>
      <c r="D45" s="25">
        <f>IFERROR(IF(LARGE(Processos!$N$5:$N$304,8)&gt;0,IF(INDEX(Processos!$D$5:$D$304,MATCH(LARGE(Processos!$N$5:$N$304,8),Processos!$N$5:$N$304,0))="","",INDEX(Processos!$D$5:$D$304,MATCH(LARGE(Processos!$N$5:$N$304,8),Processos!$N$5:$N$304,0))),""),"")</f>
        <v/>
      </c>
      <c r="E45" s="25">
        <f>IFERROR(IF(LARGE(Processos!$N$5:$N$304,8)&gt;0,IF(INDEX(Processos!$E$5:$E$304,MATCH(LARGE(Processos!$N$5:$N$304,8),Processos!$N$5:$N$304,0))="","",INDEX(Processos!$E$5:$E$304,MATCH(LARGE(Processos!$N$5:$N$304,8),Processos!$N$5:$N$304,0))),""),"")</f>
        <v/>
      </c>
      <c r="F45" s="26">
        <f>IFERROR(IF(LARGE(Processos!$N$5:$N$304,8)&gt;0,IF(INDEX(Processos!$H$5:$H$304,MATCH(LARGE(Processos!$N$5:$N$304,8),Processos!$N$5:$N$304,0))="","",INDEX(Processos!$H$5:$H$304,MATCH(LARGE(Processos!$N$5:$N$304,8),Processos!$N$5:$N$304,0))),""),"")</f>
        <v/>
      </c>
      <c r="G45" s="28">
        <f>IFERROR(IF(LARGE(Processos!$N$5:$N$304,8)&gt;0,IF(INDEX(Processos!$L$5:$L$304,MATCH(LARGE(Processos!$N$5:$N$304,8),Processos!$N$5:$N$304,0))="","",INDEX(Processos!$L$5:$L$304,MATCH(LARGE(Processos!$N$5:$N$304,8),Processos!$N$5:$N$304,0))),""),"")</f>
        <v/>
      </c>
      <c r="H45" s="24">
        <f>IFERROR(IF(LARGE(Processos!$N$5:$N$304,8)&gt;0,IF(INDEX(Processos!$F$5:$F$304,MATCH(LARGE(Processos!$N$5:$N$304,8),Processos!$N$5:$N$304,0))="","",INDEX(Processos!$F$5:$F$304,MATCH(LARGE(Processos!$N$5:$N$304,8),Processos!$N$5:$N$304,0))),""),"")</f>
        <v/>
      </c>
    </row>
    <row r="46">
      <c r="A46" s="25" t="n">
        <v>9</v>
      </c>
      <c r="B46" s="24">
        <f>IFERROR(IF(LARGE(Processos!$N$5:$N$304,9)&gt;0,IF(INDEX(Processos!$A$5:$A$304,MATCH(LARGE(Processos!$N$5:$N$304,9),Processos!$N$5:$N$304,0))="","",INDEX(Processos!$A$5:$A$304,MATCH(LARGE(Processos!$N$5:$N$304,9),Processos!$N$5:$N$304,0))),""),"")</f>
        <v/>
      </c>
      <c r="C46" s="24">
        <f>IFERROR(IF(LARGE(Processos!$N$5:$N$304,9)&gt;0,IF(INDEX(Processos!$B$5:$B$304,MATCH(LARGE(Processos!$N$5:$N$304,9),Processos!$N$5:$N$304,0))="","",INDEX(Processos!$B$5:$B$304,MATCH(LARGE(Processos!$N$5:$N$304,9),Processos!$N$5:$N$304,0))),""),"")</f>
        <v/>
      </c>
      <c r="D46" s="25">
        <f>IFERROR(IF(LARGE(Processos!$N$5:$N$304,9)&gt;0,IF(INDEX(Processos!$D$5:$D$304,MATCH(LARGE(Processos!$N$5:$N$304,9),Processos!$N$5:$N$304,0))="","",INDEX(Processos!$D$5:$D$304,MATCH(LARGE(Processos!$N$5:$N$304,9),Processos!$N$5:$N$304,0))),""),"")</f>
        <v/>
      </c>
      <c r="E46" s="25">
        <f>IFERROR(IF(LARGE(Processos!$N$5:$N$304,9)&gt;0,IF(INDEX(Processos!$E$5:$E$304,MATCH(LARGE(Processos!$N$5:$N$304,9),Processos!$N$5:$N$304,0))="","",INDEX(Processos!$E$5:$E$304,MATCH(LARGE(Processos!$N$5:$N$304,9),Processos!$N$5:$N$304,0))),""),"")</f>
        <v/>
      </c>
      <c r="F46" s="26">
        <f>IFERROR(IF(LARGE(Processos!$N$5:$N$304,9)&gt;0,IF(INDEX(Processos!$H$5:$H$304,MATCH(LARGE(Processos!$N$5:$N$304,9),Processos!$N$5:$N$304,0))="","",INDEX(Processos!$H$5:$H$304,MATCH(LARGE(Processos!$N$5:$N$304,9),Processos!$N$5:$N$304,0))),""),"")</f>
        <v/>
      </c>
      <c r="G46" s="28">
        <f>IFERROR(IF(LARGE(Processos!$N$5:$N$304,9)&gt;0,IF(INDEX(Processos!$L$5:$L$304,MATCH(LARGE(Processos!$N$5:$N$304,9),Processos!$N$5:$N$304,0))="","",INDEX(Processos!$L$5:$L$304,MATCH(LARGE(Processos!$N$5:$N$304,9),Processos!$N$5:$N$304,0))),""),"")</f>
        <v/>
      </c>
      <c r="H46" s="24">
        <f>IFERROR(IF(LARGE(Processos!$N$5:$N$304,9)&gt;0,IF(INDEX(Processos!$F$5:$F$304,MATCH(LARGE(Processos!$N$5:$N$304,9),Processos!$N$5:$N$304,0))="","",INDEX(Processos!$F$5:$F$304,MATCH(LARGE(Processos!$N$5:$N$304,9),Processos!$N$5:$N$304,0))),""),"")</f>
        <v/>
      </c>
    </row>
    <row r="47">
      <c r="A47" s="25" t="n">
        <v>10</v>
      </c>
      <c r="B47" s="24">
        <f>IFERROR(IF(LARGE(Processos!$N$5:$N$304,10)&gt;0,IF(INDEX(Processos!$A$5:$A$304,MATCH(LARGE(Processos!$N$5:$N$304,10),Processos!$N$5:$N$304,0))="","",INDEX(Processos!$A$5:$A$304,MATCH(LARGE(Processos!$N$5:$N$304,10),Processos!$N$5:$N$304,0))),""),"")</f>
        <v/>
      </c>
      <c r="C47" s="24">
        <f>IFERROR(IF(LARGE(Processos!$N$5:$N$304,10)&gt;0,IF(INDEX(Processos!$B$5:$B$304,MATCH(LARGE(Processos!$N$5:$N$304,10),Processos!$N$5:$N$304,0))="","",INDEX(Processos!$B$5:$B$304,MATCH(LARGE(Processos!$N$5:$N$304,10),Processos!$N$5:$N$304,0))),""),"")</f>
        <v/>
      </c>
      <c r="D47" s="25">
        <f>IFERROR(IF(LARGE(Processos!$N$5:$N$304,10)&gt;0,IF(INDEX(Processos!$D$5:$D$304,MATCH(LARGE(Processos!$N$5:$N$304,10),Processos!$N$5:$N$304,0))="","",INDEX(Processos!$D$5:$D$304,MATCH(LARGE(Processos!$N$5:$N$304,10),Processos!$N$5:$N$304,0))),""),"")</f>
        <v/>
      </c>
      <c r="E47" s="25">
        <f>IFERROR(IF(LARGE(Processos!$N$5:$N$304,10)&gt;0,IF(INDEX(Processos!$E$5:$E$304,MATCH(LARGE(Processos!$N$5:$N$304,10),Processos!$N$5:$N$304,0))="","",INDEX(Processos!$E$5:$E$304,MATCH(LARGE(Processos!$N$5:$N$304,10),Processos!$N$5:$N$304,0))),""),"")</f>
        <v/>
      </c>
      <c r="F47" s="26">
        <f>IFERROR(IF(LARGE(Processos!$N$5:$N$304,10)&gt;0,IF(INDEX(Processos!$H$5:$H$304,MATCH(LARGE(Processos!$N$5:$N$304,10),Processos!$N$5:$N$304,0))="","",INDEX(Processos!$H$5:$H$304,MATCH(LARGE(Processos!$N$5:$N$304,10),Processos!$N$5:$N$304,0))),""),"")</f>
        <v/>
      </c>
      <c r="G47" s="28">
        <f>IFERROR(IF(LARGE(Processos!$N$5:$N$304,10)&gt;0,IF(INDEX(Processos!$L$5:$L$304,MATCH(LARGE(Processos!$N$5:$N$304,10),Processos!$N$5:$N$304,0))="","",INDEX(Processos!$L$5:$L$304,MATCH(LARGE(Processos!$N$5:$N$304,10),Processos!$N$5:$N$304,0))),""),"")</f>
        <v/>
      </c>
      <c r="H47" s="24">
        <f>IFERROR(IF(LARGE(Processos!$N$5:$N$304,10)&gt;0,IF(INDEX(Processos!$F$5:$F$304,MATCH(LARGE(Processos!$N$5:$N$304,10),Processos!$N$5:$N$304,0))="","",INDEX(Processos!$F$5:$F$304,MATCH(LARGE(Processos!$N$5:$N$304,10),Processos!$N$5:$N$304,0))),""),"")</f>
        <v/>
      </c>
    </row>
    <row r="48">
      <c r="A48" s="25" t="n">
        <v>11</v>
      </c>
      <c r="B48" s="24">
        <f>IFERROR(IF(LARGE(Processos!$N$5:$N$304,11)&gt;0,IF(INDEX(Processos!$A$5:$A$304,MATCH(LARGE(Processos!$N$5:$N$304,11),Processos!$N$5:$N$304,0))="","",INDEX(Processos!$A$5:$A$304,MATCH(LARGE(Processos!$N$5:$N$304,11),Processos!$N$5:$N$304,0))),""),"")</f>
        <v/>
      </c>
      <c r="C48" s="24">
        <f>IFERROR(IF(LARGE(Processos!$N$5:$N$304,11)&gt;0,IF(INDEX(Processos!$B$5:$B$304,MATCH(LARGE(Processos!$N$5:$N$304,11),Processos!$N$5:$N$304,0))="","",INDEX(Processos!$B$5:$B$304,MATCH(LARGE(Processos!$N$5:$N$304,11),Processos!$N$5:$N$304,0))),""),"")</f>
        <v/>
      </c>
      <c r="D48" s="25">
        <f>IFERROR(IF(LARGE(Processos!$N$5:$N$304,11)&gt;0,IF(INDEX(Processos!$D$5:$D$304,MATCH(LARGE(Processos!$N$5:$N$304,11),Processos!$N$5:$N$304,0))="","",INDEX(Processos!$D$5:$D$304,MATCH(LARGE(Processos!$N$5:$N$304,11),Processos!$N$5:$N$304,0))),""),"")</f>
        <v/>
      </c>
      <c r="E48" s="25">
        <f>IFERROR(IF(LARGE(Processos!$N$5:$N$304,11)&gt;0,IF(INDEX(Processos!$E$5:$E$304,MATCH(LARGE(Processos!$N$5:$N$304,11),Processos!$N$5:$N$304,0))="","",INDEX(Processos!$E$5:$E$304,MATCH(LARGE(Processos!$N$5:$N$304,11),Processos!$N$5:$N$304,0))),""),"")</f>
        <v/>
      </c>
      <c r="F48" s="26">
        <f>IFERROR(IF(LARGE(Processos!$N$5:$N$304,11)&gt;0,IF(INDEX(Processos!$H$5:$H$304,MATCH(LARGE(Processos!$N$5:$N$304,11),Processos!$N$5:$N$304,0))="","",INDEX(Processos!$H$5:$H$304,MATCH(LARGE(Processos!$N$5:$N$304,11),Processos!$N$5:$N$304,0))),""),"")</f>
        <v/>
      </c>
      <c r="G48" s="28">
        <f>IFERROR(IF(LARGE(Processos!$N$5:$N$304,11)&gt;0,IF(INDEX(Processos!$L$5:$L$304,MATCH(LARGE(Processos!$N$5:$N$304,11),Processos!$N$5:$N$304,0))="","",INDEX(Processos!$L$5:$L$304,MATCH(LARGE(Processos!$N$5:$N$304,11),Processos!$N$5:$N$304,0))),""),"")</f>
        <v/>
      </c>
      <c r="H48" s="24">
        <f>IFERROR(IF(LARGE(Processos!$N$5:$N$304,11)&gt;0,IF(INDEX(Processos!$F$5:$F$304,MATCH(LARGE(Processos!$N$5:$N$304,11),Processos!$N$5:$N$304,0))="","",INDEX(Processos!$F$5:$F$304,MATCH(LARGE(Processos!$N$5:$N$304,11),Processos!$N$5:$N$304,0))),""),"")</f>
        <v/>
      </c>
    </row>
    <row r="49">
      <c r="A49" s="25" t="n">
        <v>12</v>
      </c>
      <c r="B49" s="24">
        <f>IFERROR(IF(LARGE(Processos!$N$5:$N$304,12)&gt;0,IF(INDEX(Processos!$A$5:$A$304,MATCH(LARGE(Processos!$N$5:$N$304,12),Processos!$N$5:$N$304,0))="","",INDEX(Processos!$A$5:$A$304,MATCH(LARGE(Processos!$N$5:$N$304,12),Processos!$N$5:$N$304,0))),""),"")</f>
        <v/>
      </c>
      <c r="C49" s="24">
        <f>IFERROR(IF(LARGE(Processos!$N$5:$N$304,12)&gt;0,IF(INDEX(Processos!$B$5:$B$304,MATCH(LARGE(Processos!$N$5:$N$304,12),Processos!$N$5:$N$304,0))="","",INDEX(Processos!$B$5:$B$304,MATCH(LARGE(Processos!$N$5:$N$304,12),Processos!$N$5:$N$304,0))),""),"")</f>
        <v/>
      </c>
      <c r="D49" s="25">
        <f>IFERROR(IF(LARGE(Processos!$N$5:$N$304,12)&gt;0,IF(INDEX(Processos!$D$5:$D$304,MATCH(LARGE(Processos!$N$5:$N$304,12),Processos!$N$5:$N$304,0))="","",INDEX(Processos!$D$5:$D$304,MATCH(LARGE(Processos!$N$5:$N$304,12),Processos!$N$5:$N$304,0))),""),"")</f>
        <v/>
      </c>
      <c r="E49" s="25">
        <f>IFERROR(IF(LARGE(Processos!$N$5:$N$304,12)&gt;0,IF(INDEX(Processos!$E$5:$E$304,MATCH(LARGE(Processos!$N$5:$N$304,12),Processos!$N$5:$N$304,0))="","",INDEX(Processos!$E$5:$E$304,MATCH(LARGE(Processos!$N$5:$N$304,12),Processos!$N$5:$N$304,0))),""),"")</f>
        <v/>
      </c>
      <c r="F49" s="26">
        <f>IFERROR(IF(LARGE(Processos!$N$5:$N$304,12)&gt;0,IF(INDEX(Processos!$H$5:$H$304,MATCH(LARGE(Processos!$N$5:$N$304,12),Processos!$N$5:$N$304,0))="","",INDEX(Processos!$H$5:$H$304,MATCH(LARGE(Processos!$N$5:$N$304,12),Processos!$N$5:$N$304,0))),""),"")</f>
        <v/>
      </c>
      <c r="G49" s="28">
        <f>IFERROR(IF(LARGE(Processos!$N$5:$N$304,12)&gt;0,IF(INDEX(Processos!$L$5:$L$304,MATCH(LARGE(Processos!$N$5:$N$304,12),Processos!$N$5:$N$304,0))="","",INDEX(Processos!$L$5:$L$304,MATCH(LARGE(Processos!$N$5:$N$304,12),Processos!$N$5:$N$304,0))),""),"")</f>
        <v/>
      </c>
      <c r="H49" s="24">
        <f>IFERROR(IF(LARGE(Processos!$N$5:$N$304,12)&gt;0,IF(INDEX(Processos!$F$5:$F$304,MATCH(LARGE(Processos!$N$5:$N$304,12),Processos!$N$5:$N$304,0))="","",INDEX(Processos!$F$5:$F$304,MATCH(LARGE(Processos!$N$5:$N$304,12),Processos!$N$5:$N$304,0))),""),"")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A36:L36"/>
    <mergeCell ref="K4:L4"/>
    <mergeCell ref="C4:D4"/>
  </mergeCells>
  <conditionalFormatting sqref="C9:C18">
    <cfRule type="expression" priority="1" dxfId="0">
      <formula>AND(ISNUMBER(C9),C9&gt;0)</formula>
    </cfRule>
  </conditionalFormatting>
  <conditionalFormatting sqref="F9:F18">
    <cfRule type="expression" priority="2" dxfId="0">
      <formula>AND(ISNUMBER(F9),F9&gt;0)</formula>
    </cfRule>
  </conditionalFormatting>
  <conditionalFormatting sqref="K9:L18">
    <cfRule type="expression" priority="3" dxfId="0">
      <formula>AND(ISNUMBER(K9),K9&gt;0)</formula>
    </cfRule>
  </conditionalFormatting>
  <conditionalFormatting sqref="C23:C32">
    <cfRule type="expression" priority="4" dxfId="0">
      <formula>AND(ISNUMBER(C23),C23&gt;0)</formula>
    </cfRule>
  </conditionalFormatting>
  <conditionalFormatting sqref="A38:H49">
    <cfRule type="expression" priority="5" dxfId="1">
      <formula>AND(ISNUMBER($G38),$G38&gt;0)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4" customWidth="1" min="3" max="3"/>
    <col width="20" customWidth="1" min="4" max="4"/>
    <col width="4" customWidth="1" min="5" max="5"/>
    <col width="20" customWidth="1" min="6" max="6"/>
    <col width="4" customWidth="1" min="7" max="7"/>
    <col width="4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Fases, áreas e responsáveis aparecem nas listas da aba Processos.</t>
        </is>
      </c>
    </row>
    <row r="4">
      <c r="A4" s="29" t="inlineStr">
        <is>
          <t>Escritório</t>
        </is>
      </c>
      <c r="B4" s="30" t="inlineStr">
        <is>
          <t>Ferraz &amp; Lima Advocacia (exemplo fictício)</t>
        </is>
      </c>
    </row>
    <row r="5">
      <c r="A5" s="29" t="inlineStr">
        <is>
          <t>Data de referência (hoje)</t>
        </is>
      </c>
      <c r="B5" s="31" t="n">
        <v>46279</v>
      </c>
      <c r="C5" s="27" t="inlineStr">
        <is>
          <t>O exemplo está congelado em 14/09/2026, para os arquivos do kit mostrarem a mesma foto. Ao usar com os seus dados, troque por =HOJE().</t>
        </is>
      </c>
    </row>
    <row r="6">
      <c r="A6" s="29" t="inlineStr">
        <is>
          <t>Considerar parado após (dias sem atualização)</t>
        </is>
      </c>
      <c r="B6" s="32" t="n">
        <v>30</v>
      </c>
      <c r="C6" s="27" t="inlineStr">
        <is>
          <t>Caso sem atualização há mais dias do que isso aparece como parado no Painel.</t>
        </is>
      </c>
    </row>
    <row r="9">
      <c r="A9" s="29" t="inlineStr">
        <is>
          <t>Fases (até 10)</t>
        </is>
      </c>
      <c r="D9" s="29" t="inlineStr">
        <is>
          <t>Áreas (até 10)</t>
        </is>
      </c>
      <c r="F9" s="29" t="inlineStr">
        <is>
          <t>Responsáveis (até 10)</t>
        </is>
      </c>
    </row>
    <row r="10">
      <c r="B10" s="30" t="inlineStr">
        <is>
          <t>Consultivo</t>
        </is>
      </c>
      <c r="D10" s="30" t="inlineStr">
        <is>
          <t>Cível</t>
        </is>
      </c>
      <c r="F10" s="30" t="inlineStr">
        <is>
          <t>Marina Ferraz</t>
        </is>
      </c>
    </row>
    <row r="11">
      <c r="B11" s="30" t="inlineStr">
        <is>
          <t>Inicial</t>
        </is>
      </c>
      <c r="D11" s="30" t="inlineStr">
        <is>
          <t>Trabalhista</t>
        </is>
      </c>
      <c r="F11" s="30" t="inlineStr">
        <is>
          <t>Rafael Lima</t>
        </is>
      </c>
    </row>
    <row r="12">
      <c r="B12" s="30" t="inlineStr">
        <is>
          <t>Instrução</t>
        </is>
      </c>
      <c r="D12" s="30" t="inlineStr">
        <is>
          <t>Previdenciário</t>
        </is>
      </c>
      <c r="F12" s="30" t="inlineStr">
        <is>
          <t>Júlia Prado</t>
        </is>
      </c>
    </row>
    <row r="13">
      <c r="B13" s="30" t="inlineStr">
        <is>
          <t>Sentença</t>
        </is>
      </c>
      <c r="D13" s="30" t="inlineStr">
        <is>
          <t>Empresarial</t>
        </is>
      </c>
      <c r="F13" s="30" t="n"/>
    </row>
    <row r="14">
      <c r="B14" s="30" t="inlineStr">
        <is>
          <t>Recurso</t>
        </is>
      </c>
      <c r="D14" s="30" t="inlineStr">
        <is>
          <t>Família</t>
        </is>
      </c>
      <c r="F14" s="30" t="n"/>
    </row>
    <row r="15">
      <c r="B15" s="30" t="inlineStr">
        <is>
          <t>Execução</t>
        </is>
      </c>
      <c r="D15" s="30" t="n"/>
      <c r="F15" s="30" t="n"/>
    </row>
    <row r="16">
      <c r="B16" s="30" t="inlineStr">
        <is>
          <t>Acordo</t>
        </is>
      </c>
      <c r="D16" s="30" t="n"/>
      <c r="F16" s="30" t="n"/>
    </row>
    <row r="17">
      <c r="B17" s="30" t="inlineStr">
        <is>
          <t>Encerrado</t>
        </is>
      </c>
      <c r="D17" s="30" t="n"/>
      <c r="F17" s="30" t="n"/>
    </row>
    <row r="18">
      <c r="B18" s="30" t="n"/>
      <c r="D18" s="30" t="n"/>
      <c r="F18" s="30" t="n"/>
    </row>
    <row r="19">
      <c r="B19" s="30" t="n"/>
      <c r="D19" s="30" t="n"/>
      <c r="F19" s="30" t="n"/>
    </row>
    <row r="21">
      <c r="A21" s="27" t="inlineStr">
        <is>
          <t>Preencha de cima para baixo, sem pular linha: as listas suspensas param na última linha preenchida.</t>
        </is>
      </c>
    </row>
    <row r="22">
      <c r="A22" s="27" t="inlineStr">
        <is>
          <t>Mantenha a fase "Encerrado" com esse nome: é ela que tira o caso das contagens de ativos.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2" customWidth="1" min="4" max="4"/>
    <col width="16" customWidth="1" min="5" max="5"/>
    <col width="36" customWidth="1" min="6" max="6"/>
    <col width="13" customWidth="1" min="7" max="7"/>
    <col width="13" customWidth="1" min="8" max="8"/>
    <col width="30" customWidth="1" min="9" max="9"/>
    <col width="10" customWidth="1" min="10" max="10"/>
    <col width="16" customWidth="1" min="11" max="11"/>
    <col width="11" customWidth="1" min="12" max="12"/>
    <col width="9" customWidth="1" min="13" max="13"/>
    <col hidden="1" width="6" customWidth="1" min="14" max="14"/>
  </cols>
  <sheetData>
    <row r="1" ht="28" customHeight="1">
      <c r="A1" s="5" t="inlineStr">
        <is>
          <t>Processos</t>
        </is>
      </c>
    </row>
    <row r="2">
      <c r="A2" s="6" t="inlineStr">
        <is>
          <t>Uma linha por caso (copie o cadastro da planilha 13 · Carteira, aba Casos: a 13 é a fonte). Preencha as colunas amarelas; dias, situação e parado são calculados. A cada movimentação, atualize a fase, a próxima ação e a data da última atualização.</t>
        </is>
      </c>
    </row>
    <row r="4" ht="26" customHeight="1">
      <c r="A4" s="23" t="inlineStr">
        <is>
          <t>Número</t>
        </is>
      </c>
      <c r="B4" s="23" t="inlineStr">
        <is>
          <t>Cliente</t>
        </is>
      </c>
      <c r="C4" s="23" t="inlineStr">
        <is>
          <t>Área</t>
        </is>
      </c>
      <c r="D4" s="23" t="inlineStr">
        <is>
          <t>Fase</t>
        </is>
      </c>
      <c r="E4" s="23" t="inlineStr">
        <is>
          <t>Responsável</t>
        </is>
      </c>
      <c r="F4" s="23" t="inlineStr">
        <is>
          <t>Próxima ação</t>
        </is>
      </c>
      <c r="G4" s="23" t="inlineStr">
        <is>
          <t>Data da próxima ação</t>
        </is>
      </c>
      <c r="H4" s="23" t="inlineStr">
        <is>
          <t>Última atualização</t>
        </is>
      </c>
      <c r="I4" s="23" t="inlineStr">
        <is>
          <t>Observação</t>
        </is>
      </c>
      <c r="J4" s="23" t="inlineStr">
        <is>
          <t>Dias para a ação</t>
        </is>
      </c>
      <c r="K4" s="23" t="inlineStr">
        <is>
          <t>Situação</t>
        </is>
      </c>
      <c r="L4" s="23" t="inlineStr">
        <is>
          <t>Dias sem atualizar</t>
        </is>
      </c>
      <c r="M4" s="23" t="inlineStr">
        <is>
          <t>Parado?</t>
        </is>
      </c>
      <c r="N4" s="23" t="inlineStr">
        <is>
          <t>Chave</t>
        </is>
      </c>
    </row>
    <row r="5">
      <c r="A5" s="30" t="inlineStr">
        <is>
          <t>CONS-2026-01</t>
        </is>
      </c>
      <c r="B5" s="30" t="inlineStr">
        <is>
          <t>Padaria do Sol Ltda</t>
        </is>
      </c>
      <c r="C5" s="32" t="inlineStr">
        <is>
          <t>Empresarial</t>
        </is>
      </c>
      <c r="D5" s="32" t="inlineStr">
        <is>
          <t>Consultivo</t>
        </is>
      </c>
      <c r="E5" s="32" t="inlineStr">
        <is>
          <t>Marina Ferraz</t>
        </is>
      </c>
      <c r="F5" s="30" t="inlineStr">
        <is>
          <t>Reunião com o cliente</t>
        </is>
      </c>
      <c r="G5" s="33" t="n">
        <v>46288</v>
      </c>
      <c r="H5" s="33" t="n">
        <v>46273</v>
      </c>
      <c r="I5" s="30" t="n"/>
      <c r="J5" s="28">
        <f>IF(OR(K5="",K5="Encerrado",K5="Sem próxima ação"),"",G5-Config!$B$5)</f>
        <v>9</v>
      </c>
      <c r="K5" s="25" t="str">
        <f>IF(A5="","",IF(D5="Encerrado","Encerrado",IF(G5="","Sem próxima ação",IF(G5&lt;Config!$B$5,"Atrasado",IF(G5=Config!$B$5,"Hoje",IF(G5-Config!$B$5&lt;=7,"Esta semana","Em dia"))))))</f>
        <v>Em dia</v>
      </c>
      <c r="L5" s="28">
        <f>IF(OR(A5="",D5="Encerrado",H5=""),"",Config!$B$5-H5)</f>
        <v>6</v>
      </c>
      <c r="M5" s="25">
        <f>IF(L5="","",IF(L5&gt;Config!$B$6,"Sim",""))</f>
        <v/>
      </c>
      <c r="N5" s="34">
        <f>IF(M5="Sim",L5-ROW()/100000,0)</f>
        <v>0</v>
      </c>
    </row>
    <row r="6">
      <c r="A6" s="30" t="inlineStr">
        <is>
          <t>2998500-50.2026.8.26.0515</t>
        </is>
      </c>
      <c r="B6" s="30" t="inlineStr">
        <is>
          <t>Ana Beatriz Moreira</t>
        </is>
      </c>
      <c r="C6" s="32" t="inlineStr">
        <is>
          <t>Trabalhista</t>
        </is>
      </c>
      <c r="D6" s="32" t="inlineStr">
        <is>
          <t>Inicial</t>
        </is>
      </c>
      <c r="E6" s="32" t="inlineStr">
        <is>
          <t>Rafael Lima</t>
        </is>
      </c>
      <c r="F6" s="30" t="inlineStr">
        <is>
          <t>Audiência de conciliação (confirmar presença do cliente)</t>
        </is>
      </c>
      <c r="G6" s="33" t="n">
        <v>46281</v>
      </c>
      <c r="H6" s="33" t="n">
        <v>46275</v>
      </c>
      <c r="I6" s="30" t="n"/>
      <c r="J6" s="28">
        <f>IF(OR(K6="",K6="Encerrado",K6="Sem próxima ação"),"",G6-Config!$B$5)</f>
        <v>2</v>
      </c>
      <c r="K6" s="25" t="str">
        <f>IF(A6="","",IF(D6="Encerrado","Encerrado",IF(G6="","Sem próxima ação",IF(G6&lt;Config!$B$5,"Atrasado",IF(G6=Config!$B$5,"Hoje",IF(G6-Config!$B$5&lt;=7,"Esta semana","Em dia"))))))</f>
        <v>Esta semana</v>
      </c>
      <c r="L6" s="28">
        <f>IF(OR(A6="",D6="Encerrado",H6=""),"",Config!$B$5-H6)</f>
        <v>4</v>
      </c>
      <c r="M6" s="25">
        <f>IF(L6="","",IF(L6&gt;Config!$B$6,"Sim",""))</f>
        <v/>
      </c>
      <c r="N6" s="34">
        <f>IF(M6="Sim",L6-ROW()/100000,0)</f>
        <v>0</v>
      </c>
    </row>
    <row r="7">
      <c r="A7" s="30" t="inlineStr">
        <is>
          <t>9586960-92.2026.8.26.0106</t>
        </is>
      </c>
      <c r="B7" s="30" t="inlineStr">
        <is>
          <t>Construtora Horizonte</t>
        </is>
      </c>
      <c r="C7" s="32" t="inlineStr">
        <is>
          <t>Cível</t>
        </is>
      </c>
      <c r="D7" s="32" t="inlineStr">
        <is>
          <t>Inicial</t>
        </is>
      </c>
      <c r="E7" s="32" t="inlineStr">
        <is>
          <t>Marina Ferraz</t>
        </is>
      </c>
      <c r="F7" s="30" t="inlineStr">
        <is>
          <t>Protocolar: réplica</t>
        </is>
      </c>
      <c r="G7" s="33" t="n">
        <v>46276</v>
      </c>
      <c r="H7" s="33" t="n">
        <v>46276</v>
      </c>
      <c r="I7" s="30" t="n"/>
      <c r="J7" s="28">
        <f>IF(OR(K7="",K7="Encerrado",K7="Sem próxima ação"),"",G7-Config!$B$5)</f>
        <v>-3</v>
      </c>
      <c r="K7" s="25" t="str">
        <f>IF(A7="","",IF(D7="Encerrado","Encerrado",IF(G7="","Sem próxima ação",IF(G7&lt;Config!$B$5,"Atrasado",IF(G7=Config!$B$5,"Hoje",IF(G7-Config!$B$5&lt;=7,"Esta semana","Em dia"))))))</f>
        <v>Atrasado</v>
      </c>
      <c r="L7" s="28">
        <f>IF(OR(A7="",D7="Encerrado",H7=""),"",Config!$B$5-H7)</f>
        <v>3</v>
      </c>
      <c r="M7" s="25">
        <f>IF(L7="","",IF(L7&gt;Config!$B$6,"Sim",""))</f>
        <v/>
      </c>
      <c r="N7" s="34">
        <f>IF(M7="Sim",L7-ROW()/100000,0)</f>
        <v>0</v>
      </c>
    </row>
    <row r="8">
      <c r="A8" s="30" t="inlineStr">
        <is>
          <t>4746093-86.2026.8.26.0637</t>
        </is>
      </c>
      <c r="B8" s="30" t="inlineStr">
        <is>
          <t>Carlos Eduardo Nunes</t>
        </is>
      </c>
      <c r="C8" s="32" t="inlineStr">
        <is>
          <t>Previdenciário</t>
        </is>
      </c>
      <c r="D8" s="32" t="inlineStr">
        <is>
          <t>Inicial</t>
        </is>
      </c>
      <c r="E8" s="32" t="inlineStr">
        <is>
          <t>Rafael Lima</t>
        </is>
      </c>
      <c r="F8" s="30" t="inlineStr">
        <is>
          <t>Juntar documentos enviados pelo cliente</t>
        </is>
      </c>
      <c r="G8" s="33" t="n">
        <v>46285</v>
      </c>
      <c r="H8" s="33" t="n">
        <v>46274</v>
      </c>
      <c r="I8" s="30" t="n"/>
      <c r="J8" s="28">
        <f>IF(OR(K8="",K8="Encerrado",K8="Sem próxima ação"),"",G8-Config!$B$5)</f>
        <v>6</v>
      </c>
      <c r="K8" s="25" t="str">
        <f>IF(A8="","",IF(D8="Encerrado","Encerrado",IF(G8="","Sem próxima ação",IF(G8&lt;Config!$B$5,"Atrasado",IF(G8=Config!$B$5,"Hoje",IF(G8-Config!$B$5&lt;=7,"Esta semana","Em dia"))))))</f>
        <v>Esta semana</v>
      </c>
      <c r="L8" s="28">
        <f>IF(OR(A8="",D8="Encerrado",H8=""),"",Config!$B$5-H8)</f>
        <v>5</v>
      </c>
      <c r="M8" s="25">
        <f>IF(L8="","",IF(L8&gt;Config!$B$6,"Sim",""))</f>
        <v/>
      </c>
      <c r="N8" s="34">
        <f>IF(M8="Sim",L8-ROW()/100000,0)</f>
        <v>0</v>
      </c>
    </row>
    <row r="9">
      <c r="A9" s="30" t="inlineStr">
        <is>
          <t>CONS-2026-02</t>
        </is>
      </c>
      <c r="B9" s="30" t="inlineStr">
        <is>
          <t>Loja Verde Comércio</t>
        </is>
      </c>
      <c r="C9" s="32" t="inlineStr">
        <is>
          <t>Empresarial</t>
        </is>
      </c>
      <c r="D9" s="32" t="inlineStr">
        <is>
          <t>Consultivo</t>
        </is>
      </c>
      <c r="E9" s="32" t="inlineStr">
        <is>
          <t>Marina Ferraz</t>
        </is>
      </c>
      <c r="F9" s="30" t="inlineStr">
        <is>
          <t>Entregar o parecer ao cliente</t>
        </is>
      </c>
      <c r="G9" s="33" t="n">
        <v>46283</v>
      </c>
      <c r="H9" s="33" t="n">
        <v>46277</v>
      </c>
      <c r="I9" s="30" t="n"/>
      <c r="J9" s="28">
        <f>IF(OR(K9="",K9="Encerrado",K9="Sem próxima ação"),"",G9-Config!$B$5)</f>
        <v>4</v>
      </c>
      <c r="K9" s="25" t="str">
        <f>IF(A9="","",IF(D9="Encerrado","Encerrado",IF(G9="","Sem próxima ação",IF(G9&lt;Config!$B$5,"Atrasado",IF(G9=Config!$B$5,"Hoje",IF(G9-Config!$B$5&lt;=7,"Esta semana","Em dia"))))))</f>
        <v>Esta semana</v>
      </c>
      <c r="L9" s="28">
        <f>IF(OR(A9="",D9="Encerrado",H9=""),"",Config!$B$5-H9)</f>
        <v>2</v>
      </c>
      <c r="M9" s="25">
        <f>IF(L9="","",IF(L9&gt;Config!$B$6,"Sim",""))</f>
        <v/>
      </c>
      <c r="N9" s="34">
        <f>IF(M9="Sim",L9-ROW()/100000,0)</f>
        <v>0</v>
      </c>
    </row>
    <row r="10">
      <c r="A10" s="30" t="inlineStr">
        <is>
          <t>CONS-2026-03</t>
        </is>
      </c>
      <c r="B10" s="30" t="inlineStr">
        <is>
          <t>Marcos Vinícius Teles</t>
        </is>
      </c>
      <c r="C10" s="32" t="inlineStr">
        <is>
          <t>Previdenciário</t>
        </is>
      </c>
      <c r="D10" s="32" t="inlineStr">
        <is>
          <t>Consultivo</t>
        </is>
      </c>
      <c r="E10" s="32" t="inlineStr">
        <is>
          <t>Rafael Lima</t>
        </is>
      </c>
      <c r="F10" s="30" t="inlineStr">
        <is>
          <t>Entregar o parecer ao cliente</t>
        </is>
      </c>
      <c r="G10" s="33" t="n">
        <v>46279</v>
      </c>
      <c r="H10" s="33" t="n">
        <v>46278</v>
      </c>
      <c r="I10" s="30" t="n"/>
      <c r="J10" s="28">
        <f>IF(OR(K10="",K10="Encerrado",K10="Sem próxima ação"),"",G10-Config!$B$5)</f>
        <v>0</v>
      </c>
      <c r="K10" s="25" t="str">
        <f>IF(A10="","",IF(D10="Encerrado","Encerrado",IF(G10="","Sem próxima ação",IF(G10&lt;Config!$B$5,"Atrasado",IF(G10=Config!$B$5,"Hoje",IF(G10-Config!$B$5&lt;=7,"Esta semana","Em dia"))))))</f>
        <v>Hoje</v>
      </c>
      <c r="L10" s="28">
        <f>IF(OR(A10="",D10="Encerrado",H10=""),"",Config!$B$5-H10)</f>
        <v>1</v>
      </c>
      <c r="M10" s="25">
        <f>IF(L10="","",IF(L10&gt;Config!$B$6,"Sim",""))</f>
        <v/>
      </c>
      <c r="N10" s="34">
        <f>IF(M10="Sim",L10-ROW()/100000,0)</f>
        <v>0</v>
      </c>
    </row>
    <row r="11">
      <c r="A11" s="30" t="inlineStr">
        <is>
          <t>CONS-2026-04</t>
        </is>
      </c>
      <c r="B11" s="30" t="inlineStr">
        <is>
          <t>Escola Aurora</t>
        </is>
      </c>
      <c r="C11" s="32" t="inlineStr">
        <is>
          <t>Cível</t>
        </is>
      </c>
      <c r="D11" s="32" t="inlineStr">
        <is>
          <t>Consultivo</t>
        </is>
      </c>
      <c r="E11" s="32" t="inlineStr">
        <is>
          <t>Marina Ferraz</t>
        </is>
      </c>
      <c r="F11" s="30" t="inlineStr">
        <is>
          <t>Reunião com o cliente</t>
        </is>
      </c>
      <c r="G11" s="33" t="n">
        <v>46282</v>
      </c>
      <c r="H11" s="33" t="n">
        <v>46270</v>
      </c>
      <c r="I11" s="30" t="n"/>
      <c r="J11" s="28">
        <f>IF(OR(K11="",K11="Encerrado",K11="Sem próxima ação"),"",G11-Config!$B$5)</f>
        <v>3</v>
      </c>
      <c r="K11" s="25" t="str">
        <f>IF(A11="","",IF(D11="Encerrado","Encerrado",IF(G11="","Sem próxima ação",IF(G11&lt;Config!$B$5,"Atrasado",IF(G11=Config!$B$5,"Hoje",IF(G11-Config!$B$5&lt;=7,"Esta semana","Em dia"))))))</f>
        <v>Esta semana</v>
      </c>
      <c r="L11" s="28">
        <f>IF(OR(A11="",D11="Encerrado",H11=""),"",Config!$B$5-H11)</f>
        <v>9</v>
      </c>
      <c r="M11" s="25">
        <f>IF(L11="","",IF(L11&gt;Config!$B$6,"Sim",""))</f>
        <v/>
      </c>
      <c r="N11" s="34">
        <f>IF(M11="Sim",L11-ROW()/100000,0)</f>
        <v>0</v>
      </c>
    </row>
    <row r="12">
      <c r="A12" s="30" t="inlineStr">
        <is>
          <t>8056747-83.2026.8.26.0561</t>
        </is>
      </c>
      <c r="B12" s="30" t="inlineStr">
        <is>
          <t>Bistrô 42</t>
        </is>
      </c>
      <c r="C12" s="32" t="inlineStr">
        <is>
          <t>Trabalhista</t>
        </is>
      </c>
      <c r="D12" s="32" t="inlineStr">
        <is>
          <t>Instrução</t>
        </is>
      </c>
      <c r="E12" s="32" t="inlineStr">
        <is>
          <t>Rafael Lima</t>
        </is>
      </c>
      <c r="F12" s="30" t="inlineStr">
        <is>
          <t>Audiência de instrução (avisar testemunhas)</t>
        </is>
      </c>
      <c r="G12" s="33" t="n">
        <v>46288</v>
      </c>
      <c r="H12" s="33" t="n">
        <v>46267</v>
      </c>
      <c r="I12" s="30" t="n"/>
      <c r="J12" s="28">
        <f>IF(OR(K12="",K12="Encerrado",K12="Sem próxima ação"),"",G12-Config!$B$5)</f>
        <v>9</v>
      </c>
      <c r="K12" s="25" t="str">
        <f>IF(A12="","",IF(D12="Encerrado","Encerrado",IF(G12="","Sem próxima ação",IF(G12&lt;Config!$B$5,"Atrasado",IF(G12=Config!$B$5,"Hoje",IF(G12-Config!$B$5&lt;=7,"Esta semana","Em dia"))))))</f>
        <v>Em dia</v>
      </c>
      <c r="L12" s="28">
        <f>IF(OR(A12="",D12="Encerrado",H12=""),"",Config!$B$5-H12)</f>
        <v>12</v>
      </c>
      <c r="M12" s="25">
        <f>IF(L12="","",IF(L12&gt;Config!$B$6,"Sim",""))</f>
        <v/>
      </c>
      <c r="N12" s="34">
        <f>IF(M12="Sim",L12-ROW()/100000,0)</f>
        <v>0</v>
      </c>
    </row>
    <row r="13">
      <c r="A13" s="30" t="inlineStr">
        <is>
          <t>9236009-85.2025.8.26.0452</t>
        </is>
      </c>
      <c r="B13" s="30" t="inlineStr">
        <is>
          <t>Bistrô 42</t>
        </is>
      </c>
      <c r="C13" s="32" t="inlineStr">
        <is>
          <t>Trabalhista</t>
        </is>
      </c>
      <c r="D13" s="32" t="inlineStr">
        <is>
          <t>Execução</t>
        </is>
      </c>
      <c r="E13" s="32" t="inlineStr">
        <is>
          <t>Rafael Lima</t>
        </is>
      </c>
      <c r="F13" s="30" t="inlineStr">
        <is>
          <t>Iniciar o cumprimento de sentença</t>
        </is>
      </c>
      <c r="G13" s="33" t="n">
        <v>46294</v>
      </c>
      <c r="H13" s="33" t="n">
        <v>46238</v>
      </c>
      <c r="I13" s="30" t="inlineStr">
        <is>
          <t>Aguardando andamento da execução (penhora)</t>
        </is>
      </c>
      <c r="J13" s="28">
        <f>IF(OR(K13="",K13="Encerrado",K13="Sem próxima ação"),"",G13-Config!$B$5)</f>
        <v>15</v>
      </c>
      <c r="K13" s="25" t="str">
        <f>IF(A13="","",IF(D13="Encerrado","Encerrado",IF(G13="","Sem próxima ação",IF(G13&lt;Config!$B$5,"Atrasado",IF(G13=Config!$B$5,"Hoje",IF(G13-Config!$B$5&lt;=7,"Esta semana","Em dia"))))))</f>
        <v>Em dia</v>
      </c>
      <c r="L13" s="28">
        <f>IF(OR(A13="",D13="Encerrado",H13=""),"",Config!$B$5-H13)</f>
        <v>41</v>
      </c>
      <c r="M13" s="25" t="str">
        <f>IF(L13="","",IF(L13&gt;Config!$B$6,"Sim",""))</f>
        <v>Sim</v>
      </c>
      <c r="N13" s="34">
        <f>IF(M13="Sim",L13-ROW()/100000,0)</f>
        <v>40.99987</v>
      </c>
    </row>
    <row r="14">
      <c r="A14" s="30" t="inlineStr">
        <is>
          <t>5025425-10.2025.8.26.0629</t>
        </is>
      </c>
      <c r="B14" s="30" t="inlineStr">
        <is>
          <t>Roberto Almeida</t>
        </is>
      </c>
      <c r="C14" s="32" t="inlineStr">
        <is>
          <t>Cível</t>
        </is>
      </c>
      <c r="D14" s="32" t="inlineStr">
        <is>
          <t>Sentença</t>
        </is>
      </c>
      <c r="E14" s="32" t="inlineStr">
        <is>
          <t>Marina Ferraz</t>
        </is>
      </c>
      <c r="F14" s="30" t="inlineStr">
        <is>
          <t>Protocolar: embargos de declaração</t>
        </is>
      </c>
      <c r="G14" s="33" t="n">
        <v>46278</v>
      </c>
      <c r="H14" s="33" t="n">
        <v>46277</v>
      </c>
      <c r="I14" s="30" t="n"/>
      <c r="J14" s="28">
        <f>IF(OR(K14="",K14="Encerrado",K14="Sem próxima ação"),"",G14-Config!$B$5)</f>
        <v>-1</v>
      </c>
      <c r="K14" s="25" t="str">
        <f>IF(A14="","",IF(D14="Encerrado","Encerrado",IF(G14="","Sem próxima ação",IF(G14&lt;Config!$B$5,"Atrasado",IF(G14=Config!$B$5,"Hoje",IF(G14-Config!$B$5&lt;=7,"Esta semana","Em dia"))))))</f>
        <v>Atrasado</v>
      </c>
      <c r="L14" s="28">
        <f>IF(OR(A14="",D14="Encerrado",H14=""),"",Config!$B$5-H14)</f>
        <v>2</v>
      </c>
      <c r="M14" s="25">
        <f>IF(L14="","",IF(L14&gt;Config!$B$6,"Sim",""))</f>
        <v/>
      </c>
      <c r="N14" s="34">
        <f>IF(M14="Sim",L14-ROW()/100000,0)</f>
        <v>0</v>
      </c>
    </row>
    <row r="15">
      <c r="A15" s="30" t="inlineStr">
        <is>
          <t>2354318-24.2026.8.26.0295</t>
        </is>
      </c>
      <c r="B15" s="30" t="inlineStr">
        <is>
          <t>Roberto Almeida</t>
        </is>
      </c>
      <c r="C15" s="32" t="inlineStr">
        <is>
          <t>Cível</t>
        </is>
      </c>
      <c r="D15" s="32" t="inlineStr">
        <is>
          <t>Recurso</t>
        </is>
      </c>
      <c r="E15" s="32" t="inlineStr">
        <is>
          <t>Marina Ferraz</t>
        </is>
      </c>
      <c r="F15" s="30" t="inlineStr">
        <is>
          <t>Protocolar: contrarrazões</t>
        </is>
      </c>
      <c r="G15" s="33" t="n">
        <v>46287</v>
      </c>
      <c r="H15" s="33" t="n">
        <v>46272</v>
      </c>
      <c r="I15" s="30" t="n"/>
      <c r="J15" s="28">
        <f>IF(OR(K15="",K15="Encerrado",K15="Sem próxima ação"),"",G15-Config!$B$5)</f>
        <v>8</v>
      </c>
      <c r="K15" s="25" t="str">
        <f>IF(A15="","",IF(D15="Encerrado","Encerrado",IF(G15="","Sem próxima ação",IF(G15&lt;Config!$B$5,"Atrasado",IF(G15=Config!$B$5,"Hoje",IF(G15-Config!$B$5&lt;=7,"Esta semana","Em dia"))))))</f>
        <v>Em dia</v>
      </c>
      <c r="L15" s="28">
        <f>IF(OR(A15="",D15="Encerrado",H15=""),"",Config!$B$5-H15)</f>
        <v>7</v>
      </c>
      <c r="M15" s="25">
        <f>IF(L15="","",IF(L15&gt;Config!$B$6,"Sim",""))</f>
        <v/>
      </c>
      <c r="N15" s="34">
        <f>IF(M15="Sim",L15-ROW()/100000,0)</f>
        <v>0</v>
      </c>
    </row>
    <row r="16">
      <c r="A16" s="30" t="inlineStr">
        <is>
          <t>CONS-2025-05</t>
        </is>
      </c>
      <c r="B16" s="30" t="inlineStr">
        <is>
          <t>Clínica Bem-Estar</t>
        </is>
      </c>
      <c r="C16" s="32" t="inlineStr">
        <is>
          <t>Empresarial</t>
        </is>
      </c>
      <c r="D16" s="32" t="inlineStr">
        <is>
          <t>Consultivo</t>
        </is>
      </c>
      <c r="E16" s="32" t="inlineStr">
        <is>
          <t>Marina Ferraz</t>
        </is>
      </c>
      <c r="F16" s="30" t="inlineStr">
        <is>
          <t>Reunião com o cliente</t>
        </is>
      </c>
      <c r="G16" s="33" t="n">
        <v>46284</v>
      </c>
      <c r="H16" s="33" t="n">
        <v>46271</v>
      </c>
      <c r="I16" s="30" t="n"/>
      <c r="J16" s="28">
        <f>IF(OR(K16="",K16="Encerrado",K16="Sem próxima ação"),"",G16-Config!$B$5)</f>
        <v>5</v>
      </c>
      <c r="K16" s="25" t="str">
        <f>IF(A16="","",IF(D16="Encerrado","Encerrado",IF(G16="","Sem próxima ação",IF(G16&lt;Config!$B$5,"Atrasado",IF(G16=Config!$B$5,"Hoje",IF(G16-Config!$B$5&lt;=7,"Esta semana","Em dia"))))))</f>
        <v>Esta semana</v>
      </c>
      <c r="L16" s="28">
        <f>IF(OR(A16="",D16="Encerrado",H16=""),"",Config!$B$5-H16)</f>
        <v>8</v>
      </c>
      <c r="M16" s="25">
        <f>IF(L16="","",IF(L16&gt;Config!$B$6,"Sim",""))</f>
        <v/>
      </c>
      <c r="N16" s="34">
        <f>IF(M16="Sim",L16-ROW()/100000,0)</f>
        <v>0</v>
      </c>
    </row>
    <row r="17">
      <c r="A17" s="30" t="inlineStr">
        <is>
          <t>2645033-67.2026.8.26.0012</t>
        </is>
      </c>
      <c r="B17" s="30" t="inlineStr">
        <is>
          <t>Clínica Bem-Estar</t>
        </is>
      </c>
      <c r="C17" s="32" t="inlineStr">
        <is>
          <t>Empresarial</t>
        </is>
      </c>
      <c r="D17" s="32" t="inlineStr">
        <is>
          <t>Inicial</t>
        </is>
      </c>
      <c r="E17" s="32" t="inlineStr">
        <is>
          <t>Marina Ferraz</t>
        </is>
      </c>
      <c r="F17" s="30" t="inlineStr">
        <is>
          <t>Protocolar: contestação</t>
        </is>
      </c>
      <c r="G17" s="33" t="n">
        <v>46279</v>
      </c>
      <c r="H17" s="33" t="n">
        <v>46278</v>
      </c>
      <c r="I17" s="30" t="n"/>
      <c r="J17" s="28">
        <f>IF(OR(K17="",K17="Encerrado",K17="Sem próxima ação"),"",G17-Config!$B$5)</f>
        <v>0</v>
      </c>
      <c r="K17" s="25" t="str">
        <f>IF(A17="","",IF(D17="Encerrado","Encerrado",IF(G17="","Sem próxima ação",IF(G17&lt;Config!$B$5,"Atrasado",IF(G17=Config!$B$5,"Hoje",IF(G17-Config!$B$5&lt;=7,"Esta semana","Em dia"))))))</f>
        <v>Hoje</v>
      </c>
      <c r="L17" s="28">
        <f>IF(OR(A17="",D17="Encerrado",H17=""),"",Config!$B$5-H17)</f>
        <v>1</v>
      </c>
      <c r="M17" s="25">
        <f>IF(L17="","",IF(L17&gt;Config!$B$6,"Sim",""))</f>
        <v/>
      </c>
      <c r="N17" s="34">
        <f>IF(M17="Sim",L17-ROW()/100000,0)</f>
        <v>0</v>
      </c>
    </row>
    <row r="18">
      <c r="A18" s="30" t="inlineStr">
        <is>
          <t>9225646-96.2025.8.26.0322</t>
        </is>
      </c>
      <c r="B18" s="30" t="inlineStr">
        <is>
          <t>Transportadora Rota Sul</t>
        </is>
      </c>
      <c r="C18" s="32" t="inlineStr">
        <is>
          <t>Trabalhista</t>
        </is>
      </c>
      <c r="D18" s="32" t="inlineStr">
        <is>
          <t>Instrução</t>
        </is>
      </c>
      <c r="E18" s="32" t="inlineStr">
        <is>
          <t>Rafael Lima</t>
        </is>
      </c>
      <c r="F18" s="30" t="inlineStr">
        <is>
          <t>Protocolar: manifestação sobre laudo</t>
        </is>
      </c>
      <c r="G18" s="33" t="n">
        <v>46283</v>
      </c>
      <c r="H18" s="33" t="n">
        <v>46273</v>
      </c>
      <c r="I18" s="30" t="n"/>
      <c r="J18" s="28">
        <f>IF(OR(K18="",K18="Encerrado",K18="Sem próxima ação"),"",G18-Config!$B$5)</f>
        <v>4</v>
      </c>
      <c r="K18" s="25" t="str">
        <f>IF(A18="","",IF(D18="Encerrado","Encerrado",IF(G18="","Sem próxima ação",IF(G18&lt;Config!$B$5,"Atrasado",IF(G18=Config!$B$5,"Hoje",IF(G18-Config!$B$5&lt;=7,"Esta semana","Em dia"))))))</f>
        <v>Esta semana</v>
      </c>
      <c r="L18" s="28">
        <f>IF(OR(A18="",D18="Encerrado",H18=""),"",Config!$B$5-H18)</f>
        <v>6</v>
      </c>
      <c r="M18" s="25">
        <f>IF(L18="","",IF(L18&gt;Config!$B$6,"Sim",""))</f>
        <v/>
      </c>
      <c r="N18" s="34">
        <f>IF(M18="Sim",L18-ROW()/100000,0)</f>
        <v>0</v>
      </c>
    </row>
    <row r="19">
      <c r="A19" s="30" t="inlineStr">
        <is>
          <t>4526984-60.2026.8.26.0258</t>
        </is>
      </c>
      <c r="B19" s="30" t="inlineStr">
        <is>
          <t>Transportadora Rota Sul</t>
        </is>
      </c>
      <c r="C19" s="32" t="inlineStr">
        <is>
          <t>Trabalhista</t>
        </is>
      </c>
      <c r="D19" s="32" t="inlineStr">
        <is>
          <t>Inicial</t>
        </is>
      </c>
      <c r="E19" s="32" t="inlineStr">
        <is>
          <t>Rafael Lima</t>
        </is>
      </c>
      <c r="F19" s="30" t="inlineStr">
        <is>
          <t>Audiência de conciliação (confirmar presença do cliente)</t>
        </is>
      </c>
      <c r="G19" s="33" t="n">
        <v>46299</v>
      </c>
      <c r="H19" s="33" t="n">
        <v>46266</v>
      </c>
      <c r="I19" s="30" t="n"/>
      <c r="J19" s="28">
        <f>IF(OR(K19="",K19="Encerrado",K19="Sem próxima ação"),"",G19-Config!$B$5)</f>
        <v>20</v>
      </c>
      <c r="K19" s="25" t="str">
        <f>IF(A19="","",IF(D19="Encerrado","Encerrado",IF(G19="","Sem próxima ação",IF(G19&lt;Config!$B$5,"Atrasado",IF(G19=Config!$B$5,"Hoje",IF(G19-Config!$B$5&lt;=7,"Esta semana","Em dia"))))))</f>
        <v>Em dia</v>
      </c>
      <c r="L19" s="28">
        <f>IF(OR(A19="",D19="Encerrado",H19=""),"",Config!$B$5-H19)</f>
        <v>13</v>
      </c>
      <c r="M19" s="25">
        <f>IF(L19="","",IF(L19&gt;Config!$B$6,"Sim",""))</f>
        <v/>
      </c>
      <c r="N19" s="34">
        <f>IF(M19="Sim",L19-ROW()/100000,0)</f>
        <v>0</v>
      </c>
    </row>
    <row r="20">
      <c r="A20" s="30" t="inlineStr">
        <is>
          <t>CONS-2026-06</t>
        </is>
      </c>
      <c r="B20" s="30" t="inlineStr">
        <is>
          <t>Transportadora Rota Sul</t>
        </is>
      </c>
      <c r="C20" s="32" t="inlineStr">
        <is>
          <t>Trabalhista</t>
        </is>
      </c>
      <c r="D20" s="32" t="inlineStr">
        <is>
          <t>Consultivo</t>
        </is>
      </c>
      <c r="E20" s="32" t="inlineStr">
        <is>
          <t>Rafael Lima</t>
        </is>
      </c>
      <c r="F20" s="30" t="inlineStr">
        <is>
          <t>Reunião com o cliente</t>
        </is>
      </c>
      <c r="G20" s="33" t="n">
        <v>46274</v>
      </c>
      <c r="H20" s="33" t="n">
        <v>46261</v>
      </c>
      <c r="I20" s="30" t="inlineStr">
        <is>
          <t>Cliente pediu para remarcar a reunião</t>
        </is>
      </c>
      <c r="J20" s="28">
        <f>IF(OR(K20="",K20="Encerrado",K20="Sem próxima ação"),"",G20-Config!$B$5)</f>
        <v>-5</v>
      </c>
      <c r="K20" s="25" t="str">
        <f>IF(A20="","",IF(D20="Encerrado","Encerrado",IF(G20="","Sem próxima ação",IF(G20&lt;Config!$B$5,"Atrasado",IF(G20=Config!$B$5,"Hoje",IF(G20-Config!$B$5&lt;=7,"Esta semana","Em dia"))))))</f>
        <v>Atrasado</v>
      </c>
      <c r="L20" s="28">
        <f>IF(OR(A20="",D20="Encerrado",H20=""),"",Config!$B$5-H20)</f>
        <v>18</v>
      </c>
      <c r="M20" s="25">
        <f>IF(L20="","",IF(L20&gt;Config!$B$6,"Sim",""))</f>
        <v/>
      </c>
      <c r="N20" s="34">
        <f>IF(M20="Sim",L20-ROW()/100000,0)</f>
        <v>0</v>
      </c>
    </row>
    <row r="21">
      <c r="A21" s="30" t="inlineStr">
        <is>
          <t>6832730-55.2026.8.26.0386</t>
        </is>
      </c>
      <c r="B21" s="30" t="inlineStr">
        <is>
          <t>Patrícia Gomes</t>
        </is>
      </c>
      <c r="C21" s="32" t="inlineStr">
        <is>
          <t>Família</t>
        </is>
      </c>
      <c r="D21" s="32" t="inlineStr">
        <is>
          <t>Acordo</t>
        </is>
      </c>
      <c r="E21" s="32" t="inlineStr">
        <is>
          <t>Marina Ferraz</t>
        </is>
      </c>
      <c r="F21" s="30" t="inlineStr">
        <is>
          <t>Enviar a minuta de acordo</t>
        </is>
      </c>
      <c r="G21" s="33" t="n">
        <v>46279</v>
      </c>
      <c r="H21" s="33" t="n">
        <v>46278</v>
      </c>
      <c r="I21" s="30" t="n"/>
      <c r="J21" s="28">
        <f>IF(OR(K21="",K21="Encerrado",K21="Sem próxima ação"),"",G21-Config!$B$5)</f>
        <v>0</v>
      </c>
      <c r="K21" s="25" t="str">
        <f>IF(A21="","",IF(D21="Encerrado","Encerrado",IF(G21="","Sem próxima ação",IF(G21&lt;Config!$B$5,"Atrasado",IF(G21=Config!$B$5,"Hoje",IF(G21-Config!$B$5&lt;=7,"Esta semana","Em dia"))))))</f>
        <v>Hoje</v>
      </c>
      <c r="L21" s="28">
        <f>IF(OR(A21="",D21="Encerrado",H21=""),"",Config!$B$5-H21)</f>
        <v>1</v>
      </c>
      <c r="M21" s="25">
        <f>IF(L21="","",IF(L21&gt;Config!$B$6,"Sim",""))</f>
        <v/>
      </c>
      <c r="N21" s="34">
        <f>IF(M21="Sim",L21-ROW()/100000,0)</f>
        <v>0</v>
      </c>
    </row>
    <row r="22">
      <c r="A22" s="30" t="inlineStr">
        <is>
          <t>9616569-91.2026.8.26.0079</t>
        </is>
      </c>
      <c r="B22" s="30" t="inlineStr">
        <is>
          <t>Patrícia Gomes</t>
        </is>
      </c>
      <c r="C22" s="32" t="inlineStr">
        <is>
          <t>Família</t>
        </is>
      </c>
      <c r="D22" s="32" t="inlineStr">
        <is>
          <t>Execução</t>
        </is>
      </c>
      <c r="E22" s="32" t="inlineStr">
        <is>
          <t>Marina Ferraz</t>
        </is>
      </c>
      <c r="F22" s="30" t="inlineStr">
        <is>
          <t>Protocolar: impugnação</t>
        </is>
      </c>
      <c r="G22" s="33" t="n">
        <v>46277</v>
      </c>
      <c r="H22" s="33" t="n">
        <v>46275</v>
      </c>
      <c r="I22" s="30" t="inlineStr">
        <is>
          <t>Aguardando documentos do cliente</t>
        </is>
      </c>
      <c r="J22" s="28">
        <f>IF(OR(K22="",K22="Encerrado",K22="Sem próxima ação"),"",G22-Config!$B$5)</f>
        <v>-2</v>
      </c>
      <c r="K22" s="25" t="str">
        <f>IF(A22="","",IF(D22="Encerrado","Encerrado",IF(G22="","Sem próxima ação",IF(G22&lt;Config!$B$5,"Atrasado",IF(G22=Config!$B$5,"Hoje",IF(G22-Config!$B$5&lt;=7,"Esta semana","Em dia"))))))</f>
        <v>Atrasado</v>
      </c>
      <c r="L22" s="28">
        <f>IF(OR(A22="",D22="Encerrado",H22=""),"",Config!$B$5-H22)</f>
        <v>4</v>
      </c>
      <c r="M22" s="25">
        <f>IF(L22="","",IF(L22&gt;Config!$B$6,"Sim",""))</f>
        <v/>
      </c>
      <c r="N22" s="34">
        <f>IF(M22="Sim",L22-ROW()/100000,0)</f>
        <v>0</v>
      </c>
    </row>
    <row r="23">
      <c r="A23" s="30" t="inlineStr">
        <is>
          <t>6710873-21.2025.8.26.0571</t>
        </is>
      </c>
      <c r="B23" s="30" t="inlineStr">
        <is>
          <t>Escola Aurora</t>
        </is>
      </c>
      <c r="C23" s="32" t="inlineStr">
        <is>
          <t>Cível</t>
        </is>
      </c>
      <c r="D23" s="32" t="inlineStr">
        <is>
          <t>Sentença</t>
        </is>
      </c>
      <c r="E23" s="32" t="inlineStr">
        <is>
          <t>Marina Ferraz</t>
        </is>
      </c>
      <c r="F23" s="30" t="inlineStr">
        <is>
          <t>Protocolar: recurso de apelação</t>
        </is>
      </c>
      <c r="G23" s="33" t="n">
        <v>46281</v>
      </c>
      <c r="H23" s="33" t="n">
        <v>46276</v>
      </c>
      <c r="I23" s="30" t="n"/>
      <c r="J23" s="28">
        <f>IF(OR(K23="",K23="Encerrado",K23="Sem próxima ação"),"",G23-Config!$B$5)</f>
        <v>2</v>
      </c>
      <c r="K23" s="25" t="str">
        <f>IF(A23="","",IF(D23="Encerrado","Encerrado",IF(G23="","Sem próxima ação",IF(G23&lt;Config!$B$5,"Atrasado",IF(G23=Config!$B$5,"Hoje",IF(G23-Config!$B$5&lt;=7,"Esta semana","Em dia"))))))</f>
        <v>Esta semana</v>
      </c>
      <c r="L23" s="28">
        <f>IF(OR(A23="",D23="Encerrado",H23=""),"",Config!$B$5-H23)</f>
        <v>3</v>
      </c>
      <c r="M23" s="25">
        <f>IF(L23="","",IF(L23&gt;Config!$B$6,"Sim",""))</f>
        <v/>
      </c>
      <c r="N23" s="34">
        <f>IF(M23="Sim",L23-ROW()/100000,0)</f>
        <v>0</v>
      </c>
    </row>
    <row r="24">
      <c r="A24" s="30" t="inlineStr">
        <is>
          <t>5900991-46.2026.8.26.0469</t>
        </is>
      </c>
      <c r="B24" s="30" t="inlineStr">
        <is>
          <t>José Antônio Ribeiro</t>
        </is>
      </c>
      <c r="C24" s="32" t="inlineStr">
        <is>
          <t>Previdenciário</t>
        </is>
      </c>
      <c r="D24" s="32" t="inlineStr">
        <is>
          <t>Instrução</t>
        </is>
      </c>
      <c r="E24" s="32" t="inlineStr">
        <is>
          <t>Rafael Lima</t>
        </is>
      </c>
      <c r="F24" s="30" t="inlineStr">
        <is>
          <t>Protocolar: manifestação sobre laudo</t>
        </is>
      </c>
      <c r="G24" s="33" t="n">
        <v>46275</v>
      </c>
      <c r="H24" s="33" t="n">
        <v>46274</v>
      </c>
      <c r="I24" s="30" t="n"/>
      <c r="J24" s="28">
        <f>IF(OR(K24="",K24="Encerrado",K24="Sem próxima ação"),"",G24-Config!$B$5)</f>
        <v>-4</v>
      </c>
      <c r="K24" s="25" t="str">
        <f>IF(A24="","",IF(D24="Encerrado","Encerrado",IF(G24="","Sem próxima ação",IF(G24&lt;Config!$B$5,"Atrasado",IF(G24=Config!$B$5,"Hoje",IF(G24-Config!$B$5&lt;=7,"Esta semana","Em dia"))))))</f>
        <v>Atrasado</v>
      </c>
      <c r="L24" s="28">
        <f>IF(OR(A24="",D24="Encerrado",H24=""),"",Config!$B$5-H24)</f>
        <v>5</v>
      </c>
      <c r="M24" s="25">
        <f>IF(L24="","",IF(L24&gt;Config!$B$6,"Sim",""))</f>
        <v/>
      </c>
      <c r="N24" s="34">
        <f>IF(M24="Sim",L24-ROW()/100000,0)</f>
        <v>0</v>
      </c>
    </row>
    <row r="25">
      <c r="A25" s="30" t="inlineStr">
        <is>
          <t>3363714-92.2025.8.26.0592</t>
        </is>
      </c>
      <c r="B25" s="30" t="inlineStr">
        <is>
          <t>Oficina Mecânica Central</t>
        </is>
      </c>
      <c r="C25" s="32" t="inlineStr">
        <is>
          <t>Trabalhista</t>
        </is>
      </c>
      <c r="D25" s="32" t="inlineStr">
        <is>
          <t>Instrução</t>
        </is>
      </c>
      <c r="E25" s="32" t="inlineStr">
        <is>
          <t>Rafael Lima</t>
        </is>
      </c>
      <c r="F25" s="30" t="inlineStr">
        <is>
          <t>Protocolar: alegações finais</t>
        </is>
      </c>
      <c r="G25" s="33" t="n">
        <v>46289</v>
      </c>
      <c r="H25" s="33" t="n">
        <v>46270</v>
      </c>
      <c r="I25" s="30" t="n"/>
      <c r="J25" s="28">
        <f>IF(OR(K25="",K25="Encerrado",K25="Sem próxima ação"),"",G25-Config!$B$5)</f>
        <v>10</v>
      </c>
      <c r="K25" s="25" t="str">
        <f>IF(A25="","",IF(D25="Encerrado","Encerrado",IF(G25="","Sem próxima ação",IF(G25&lt;Config!$B$5,"Atrasado",IF(G25=Config!$B$5,"Hoje",IF(G25-Config!$B$5&lt;=7,"Esta semana","Em dia"))))))</f>
        <v>Em dia</v>
      </c>
      <c r="L25" s="28">
        <f>IF(OR(A25="",D25="Encerrado",H25=""),"",Config!$B$5-H25)</f>
        <v>9</v>
      </c>
      <c r="M25" s="25">
        <f>IF(L25="","",IF(L25&gt;Config!$B$6,"Sim",""))</f>
        <v/>
      </c>
      <c r="N25" s="34">
        <f>IF(M25="Sim",L25-ROW()/100000,0)</f>
        <v>0</v>
      </c>
    </row>
    <row r="26">
      <c r="A26" s="30" t="inlineStr">
        <is>
          <t>6184138-13.2026.8.26.0378</t>
        </is>
      </c>
      <c r="B26" s="30" t="inlineStr">
        <is>
          <t>Oficina Mecânica Central</t>
        </is>
      </c>
      <c r="C26" s="32" t="inlineStr">
        <is>
          <t>Trabalhista</t>
        </is>
      </c>
      <c r="D26" s="32" t="inlineStr">
        <is>
          <t>Inicial</t>
        </is>
      </c>
      <c r="E26" s="32" t="inlineStr">
        <is>
          <t>Rafael Lima</t>
        </is>
      </c>
      <c r="F26" s="30" t="inlineStr">
        <is>
          <t>Audiência de conciliação (confirmar presença do cliente)</t>
        </is>
      </c>
      <c r="G26" s="33" t="n">
        <v>46291</v>
      </c>
      <c r="H26" s="33" t="n">
        <v>46243</v>
      </c>
      <c r="I26" s="30" t="inlineStr">
        <is>
          <t>Aguardando designação da audiência</t>
        </is>
      </c>
      <c r="J26" s="28">
        <f>IF(OR(K26="",K26="Encerrado",K26="Sem próxima ação"),"",G26-Config!$B$5)</f>
        <v>12</v>
      </c>
      <c r="K26" s="25" t="str">
        <f>IF(A26="","",IF(D26="Encerrado","Encerrado",IF(G26="","Sem próxima ação",IF(G26&lt;Config!$B$5,"Atrasado",IF(G26=Config!$B$5,"Hoje",IF(G26-Config!$B$5&lt;=7,"Esta semana","Em dia"))))))</f>
        <v>Em dia</v>
      </c>
      <c r="L26" s="28">
        <f>IF(OR(A26="",D26="Encerrado",H26=""),"",Config!$B$5-H26)</f>
        <v>36</v>
      </c>
      <c r="M26" s="25" t="str">
        <f>IF(L26="","",IF(L26&gt;Config!$B$6,"Sim",""))</f>
        <v>Sim</v>
      </c>
      <c r="N26" s="34">
        <f>IF(M26="Sim",L26-ROW()/100000,0)</f>
        <v>35.99974</v>
      </c>
    </row>
    <row r="27">
      <c r="A27" s="30" t="inlineStr">
        <is>
          <t>7099226-69.2026.8.26.0433</t>
        </is>
      </c>
      <c r="B27" s="30" t="inlineStr">
        <is>
          <t>Luciana Farias</t>
        </is>
      </c>
      <c r="C27" s="32" t="inlineStr">
        <is>
          <t>Cível</t>
        </is>
      </c>
      <c r="D27" s="32" t="inlineStr">
        <is>
          <t>Inicial</t>
        </is>
      </c>
      <c r="E27" s="32" t="inlineStr">
        <is>
          <t>Marina Ferraz</t>
        </is>
      </c>
      <c r="F27" s="30" t="inlineStr">
        <is>
          <t>Juntar documentos enviados pelo cliente</t>
        </is>
      </c>
      <c r="G27" s="33" t="n">
        <v>46273</v>
      </c>
      <c r="H27" s="33" t="n">
        <v>46275</v>
      </c>
      <c r="I27" s="30" t="n"/>
      <c r="J27" s="28">
        <f>IF(OR(K27="",K27="Encerrado",K27="Sem próxima ação"),"",G27-Config!$B$5)</f>
        <v>-6</v>
      </c>
      <c r="K27" s="25" t="str">
        <f>IF(A27="","",IF(D27="Encerrado","Encerrado",IF(G27="","Sem próxima ação",IF(G27&lt;Config!$B$5,"Atrasado",IF(G27=Config!$B$5,"Hoje",IF(G27-Config!$B$5&lt;=7,"Esta semana","Em dia"))))))</f>
        <v>Atrasado</v>
      </c>
      <c r="L27" s="28">
        <f>IF(OR(A27="",D27="Encerrado",H27=""),"",Config!$B$5-H27)</f>
        <v>4</v>
      </c>
      <c r="M27" s="25">
        <f>IF(L27="","",IF(L27&gt;Config!$B$6,"Sim",""))</f>
        <v/>
      </c>
      <c r="N27" s="34">
        <f>IF(M27="Sim",L27-ROW()/100000,0)</f>
        <v>0</v>
      </c>
    </row>
    <row r="28">
      <c r="A28" s="30" t="inlineStr">
        <is>
          <t>2521428-61.2026.8.26.0600</t>
        </is>
      </c>
      <c r="B28" s="30" t="inlineStr">
        <is>
          <t>Luciana Farias</t>
        </is>
      </c>
      <c r="C28" s="32" t="inlineStr">
        <is>
          <t>Cível</t>
        </is>
      </c>
      <c r="D28" s="32" t="inlineStr">
        <is>
          <t>Acordo</t>
        </is>
      </c>
      <c r="E28" s="32" t="inlineStr">
        <is>
          <t>Marina Ferraz</t>
        </is>
      </c>
      <c r="F28" s="30" t="inlineStr">
        <is>
          <t>Acompanhar a homologação do acordo</t>
        </is>
      </c>
      <c r="G28" s="33" t="n">
        <v>46297</v>
      </c>
      <c r="H28" s="33" t="n">
        <v>46246</v>
      </c>
      <c r="I28" s="30" t="inlineStr">
        <is>
          <t>Aguardando homologação do acordo pelo juízo</t>
        </is>
      </c>
      <c r="J28" s="28">
        <f>IF(OR(K28="",K28="Encerrado",K28="Sem próxima ação"),"",G28-Config!$B$5)</f>
        <v>18</v>
      </c>
      <c r="K28" s="25" t="str">
        <f>IF(A28="","",IF(D28="Encerrado","Encerrado",IF(G28="","Sem próxima ação",IF(G28&lt;Config!$B$5,"Atrasado",IF(G28=Config!$B$5,"Hoje",IF(G28-Config!$B$5&lt;=7,"Esta semana","Em dia"))))))</f>
        <v>Em dia</v>
      </c>
      <c r="L28" s="28">
        <f>IF(OR(A28="",D28="Encerrado",H28=""),"",Config!$B$5-H28)</f>
        <v>33</v>
      </c>
      <c r="M28" s="25" t="str">
        <f>IF(L28="","",IF(L28&gt;Config!$B$6,"Sim",""))</f>
        <v>Sim</v>
      </c>
      <c r="N28" s="34">
        <f>IF(M28="Sim",L28-ROW()/100000,0)</f>
        <v>32.99972</v>
      </c>
    </row>
    <row r="29">
      <c r="A29" s="30" t="inlineStr">
        <is>
          <t>9362688-24.2025.8.26.0436</t>
        </is>
      </c>
      <c r="B29" s="30" t="inlineStr">
        <is>
          <t>Agência Prisma</t>
        </is>
      </c>
      <c r="C29" s="32" t="inlineStr">
        <is>
          <t>Empresarial</t>
        </is>
      </c>
      <c r="D29" s="32" t="inlineStr">
        <is>
          <t>Recurso</t>
        </is>
      </c>
      <c r="E29" s="32" t="inlineStr">
        <is>
          <t>Marina Ferraz</t>
        </is>
      </c>
      <c r="F29" s="30" t="inlineStr">
        <is>
          <t>Protocolar: contrarrazões</t>
        </is>
      </c>
      <c r="G29" s="33" t="n">
        <v>46306</v>
      </c>
      <c r="H29" s="33" t="n">
        <v>46268</v>
      </c>
      <c r="I29" s="30" t="n"/>
      <c r="J29" s="28">
        <f>IF(OR(K29="",K29="Encerrado",K29="Sem próxima ação"),"",G29-Config!$B$5)</f>
        <v>27</v>
      </c>
      <c r="K29" s="25" t="str">
        <f>IF(A29="","",IF(D29="Encerrado","Encerrado",IF(G29="","Sem próxima ação",IF(G29&lt;Config!$B$5,"Atrasado",IF(G29=Config!$B$5,"Hoje",IF(G29-Config!$B$5&lt;=7,"Esta semana","Em dia"))))))</f>
        <v>Em dia</v>
      </c>
      <c r="L29" s="28">
        <f>IF(OR(A29="",D29="Encerrado",H29=""),"",Config!$B$5-H29)</f>
        <v>11</v>
      </c>
      <c r="M29" s="25">
        <f>IF(L29="","",IF(L29&gt;Config!$B$6,"Sim",""))</f>
        <v/>
      </c>
      <c r="N29" s="34">
        <f>IF(M29="Sim",L29-ROW()/100000,0)</f>
        <v>0</v>
      </c>
    </row>
    <row r="30">
      <c r="A30" s="30" t="inlineStr">
        <is>
          <t>CONS-2026-07</t>
        </is>
      </c>
      <c r="B30" s="30" t="inlineStr">
        <is>
          <t>Agência Prisma</t>
        </is>
      </c>
      <c r="C30" s="32" t="inlineStr">
        <is>
          <t>Empresarial</t>
        </is>
      </c>
      <c r="D30" s="32" t="inlineStr">
        <is>
          <t>Consultivo</t>
        </is>
      </c>
      <c r="E30" s="32" t="inlineStr">
        <is>
          <t>Marina Ferraz</t>
        </is>
      </c>
      <c r="F30" s="30" t="inlineStr">
        <is>
          <t>Entregar o parecer ao cliente</t>
        </is>
      </c>
      <c r="G30" s="33" t="n">
        <v>46295</v>
      </c>
      <c r="H30" s="33" t="n">
        <v>46264</v>
      </c>
      <c r="I30" s="30" t="n"/>
      <c r="J30" s="28">
        <f>IF(OR(K30="",K30="Encerrado",K30="Sem próxima ação"),"",G30-Config!$B$5)</f>
        <v>16</v>
      </c>
      <c r="K30" s="25" t="str">
        <f>IF(A30="","",IF(D30="Encerrado","Encerrado",IF(G30="","Sem próxima ação",IF(G30&lt;Config!$B$5,"Atrasado",IF(G30=Config!$B$5,"Hoje",IF(G30-Config!$B$5&lt;=7,"Esta semana","Em dia"))))))</f>
        <v>Em dia</v>
      </c>
      <c r="L30" s="28">
        <f>IF(OR(A30="",D30="Encerrado",H30=""),"",Config!$B$5-H30)</f>
        <v>15</v>
      </c>
      <c r="M30" s="25">
        <f>IF(L30="","",IF(L30&gt;Config!$B$6,"Sim",""))</f>
        <v/>
      </c>
      <c r="N30" s="34">
        <f>IF(M30="Sim",L30-ROW()/100000,0)</f>
        <v>0</v>
      </c>
    </row>
    <row r="31">
      <c r="A31" s="30" t="inlineStr">
        <is>
          <t>9495290-86.2025.8.26.0503</t>
        </is>
      </c>
      <c r="B31" s="30" t="inlineStr">
        <is>
          <t>Helena Duarte</t>
        </is>
      </c>
      <c r="C31" s="32" t="inlineStr">
        <is>
          <t>Trabalhista</t>
        </is>
      </c>
      <c r="D31" s="32" t="inlineStr">
        <is>
          <t>Execução</t>
        </is>
      </c>
      <c r="E31" s="32" t="inlineStr">
        <is>
          <t>Rafael Lima</t>
        </is>
      </c>
      <c r="F31" s="30" t="inlineStr">
        <is>
          <t>Iniciar o cumprimento de sentença</t>
        </is>
      </c>
      <c r="G31" s="33" t="n">
        <v>46301</v>
      </c>
      <c r="H31" s="33" t="n">
        <v>46232</v>
      </c>
      <c r="I31" s="30" t="inlineStr">
        <is>
          <t>Aguardando andamento da execução</t>
        </is>
      </c>
      <c r="J31" s="28">
        <f>IF(OR(K31="",K31="Encerrado",K31="Sem próxima ação"),"",G31-Config!$B$5)</f>
        <v>22</v>
      </c>
      <c r="K31" s="25" t="str">
        <f>IF(A31="","",IF(D31="Encerrado","Encerrado",IF(G31="","Sem próxima ação",IF(G31&lt;Config!$B$5,"Atrasado",IF(G31=Config!$B$5,"Hoje",IF(G31-Config!$B$5&lt;=7,"Esta semana","Em dia"))))))</f>
        <v>Em dia</v>
      </c>
      <c r="L31" s="28">
        <f>IF(OR(A31="",D31="Encerrado",H31=""),"",Config!$B$5-H31)</f>
        <v>47</v>
      </c>
      <c r="M31" s="25" t="str">
        <f>IF(L31="","",IF(L31&gt;Config!$B$6,"Sim",""))</f>
        <v>Sim</v>
      </c>
      <c r="N31" s="34">
        <f>IF(M31="Sim",L31-ROW()/100000,0)</f>
        <v>46.99969</v>
      </c>
    </row>
    <row r="32">
      <c r="A32" s="30" t="inlineStr">
        <is>
          <t>7679821-77.2026.8.26.0265</t>
        </is>
      </c>
      <c r="B32" s="30" t="inlineStr">
        <is>
          <t>Helena Duarte</t>
        </is>
      </c>
      <c r="C32" s="32" t="inlineStr">
        <is>
          <t>Trabalhista</t>
        </is>
      </c>
      <c r="D32" s="32" t="inlineStr">
        <is>
          <t>Inicial</t>
        </is>
      </c>
      <c r="E32" s="32" t="inlineStr">
        <is>
          <t>Rafael Lima</t>
        </is>
      </c>
      <c r="F32" s="30" t="inlineStr">
        <is>
          <t>Protocolar: réplica</t>
        </is>
      </c>
      <c r="G32" s="33" t="n">
        <v>46280</v>
      </c>
      <c r="H32" s="33" t="n">
        <v>46277</v>
      </c>
      <c r="I32" s="30" t="n"/>
      <c r="J32" s="28">
        <f>IF(OR(K32="",K32="Encerrado",K32="Sem próxima ação"),"",G32-Config!$B$5)</f>
        <v>1</v>
      </c>
      <c r="K32" s="25" t="str">
        <f>IF(A32="","",IF(D32="Encerrado","Encerrado",IF(G32="","Sem próxima ação",IF(G32&lt;Config!$B$5,"Atrasado",IF(G32=Config!$B$5,"Hoje",IF(G32-Config!$B$5&lt;=7,"Esta semana","Em dia"))))))</f>
        <v>Esta semana</v>
      </c>
      <c r="L32" s="28">
        <f>IF(OR(A32="",D32="Encerrado",H32=""),"",Config!$B$5-H32)</f>
        <v>2</v>
      </c>
      <c r="M32" s="25">
        <f>IF(L32="","",IF(L32&gt;Config!$B$6,"Sim",""))</f>
        <v/>
      </c>
      <c r="N32" s="34">
        <f>IF(M32="Sim",L32-ROW()/100000,0)</f>
        <v>0</v>
      </c>
    </row>
    <row r="33">
      <c r="A33" s="30" t="inlineStr">
        <is>
          <t>8045862-82.2026.8.26.0491</t>
        </is>
      </c>
      <c r="B33" s="30" t="inlineStr">
        <is>
          <t>Carlos Eduardo Nunes</t>
        </is>
      </c>
      <c r="C33" s="32" t="inlineStr">
        <is>
          <t>Previdenciário</t>
        </is>
      </c>
      <c r="D33" s="32" t="inlineStr">
        <is>
          <t>Sentença</t>
        </is>
      </c>
      <c r="E33" s="32" t="inlineStr">
        <is>
          <t>Rafael Lima</t>
        </is>
      </c>
      <c r="F33" s="30" t="inlineStr">
        <is>
          <t>Protocolar: embargos de declaração</t>
        </is>
      </c>
      <c r="G33" s="33" t="n">
        <v>46282</v>
      </c>
      <c r="H33" s="33" t="n">
        <v>46276</v>
      </c>
      <c r="I33" s="30" t="n"/>
      <c r="J33" s="28">
        <f>IF(OR(K33="",K33="Encerrado",K33="Sem próxima ação"),"",G33-Config!$B$5)</f>
        <v>3</v>
      </c>
      <c r="K33" s="25" t="str">
        <f>IF(A33="","",IF(D33="Encerrado","Encerrado",IF(G33="","Sem próxima ação",IF(G33&lt;Config!$B$5,"Atrasado",IF(G33=Config!$B$5,"Hoje",IF(G33-Config!$B$5&lt;=7,"Esta semana","Em dia"))))))</f>
        <v>Esta semana</v>
      </c>
      <c r="L33" s="28">
        <f>IF(OR(A33="",D33="Encerrado",H33=""),"",Config!$B$5-H33)</f>
        <v>3</v>
      </c>
      <c r="M33" s="25">
        <f>IF(L33="","",IF(L33&gt;Config!$B$6,"Sim",""))</f>
        <v/>
      </c>
      <c r="N33" s="34">
        <f>IF(M33="Sim",L33-ROW()/100000,0)</f>
        <v>0</v>
      </c>
    </row>
    <row r="34">
      <c r="A34" s="30" t="inlineStr">
        <is>
          <t>9605863-76.2026.8.26.0026</t>
        </is>
      </c>
      <c r="B34" s="30" t="inlineStr">
        <is>
          <t>Marcos Vinícius Teles</t>
        </is>
      </c>
      <c r="C34" s="32" t="inlineStr">
        <is>
          <t>Previdenciário</t>
        </is>
      </c>
      <c r="D34" s="32" t="inlineStr">
        <is>
          <t>Recurso</t>
        </is>
      </c>
      <c r="E34" s="32" t="inlineStr">
        <is>
          <t>Rafael Lima</t>
        </is>
      </c>
      <c r="F34" s="30" t="inlineStr">
        <is>
          <t>Protocolar: manifestação sobre o recurso</t>
        </is>
      </c>
      <c r="G34" s="33" t="n">
        <v>46278</v>
      </c>
      <c r="H34" s="33" t="n">
        <v>46277</v>
      </c>
      <c r="I34" s="30" t="inlineStr">
        <is>
          <t>Aguardando documentos do cliente</t>
        </is>
      </c>
      <c r="J34" s="28">
        <f>IF(OR(K34="",K34="Encerrado",K34="Sem próxima ação"),"",G34-Config!$B$5)</f>
        <v>-1</v>
      </c>
      <c r="K34" s="25" t="str">
        <f>IF(A34="","",IF(D34="Encerrado","Encerrado",IF(G34="","Sem próxima ação",IF(G34&lt;Config!$B$5,"Atrasado",IF(G34=Config!$B$5,"Hoje",IF(G34-Config!$B$5&lt;=7,"Esta semana","Em dia"))))))</f>
        <v>Atrasado</v>
      </c>
      <c r="L34" s="28">
        <f>IF(OR(A34="",D34="Encerrado",H34=""),"",Config!$B$5-H34)</f>
        <v>2</v>
      </c>
      <c r="M34" s="25">
        <f>IF(L34="","",IF(L34&gt;Config!$B$6,"Sim",""))</f>
        <v/>
      </c>
      <c r="N34" s="34">
        <f>IF(M34="Sim",L34-ROW()/100000,0)</f>
        <v>0</v>
      </c>
    </row>
    <row r="35">
      <c r="A35" s="30" t="inlineStr">
        <is>
          <t>4766902-26.2025.8.26.0051</t>
        </is>
      </c>
      <c r="B35" s="30" t="inlineStr">
        <is>
          <t>Padaria do Sol Ltda</t>
        </is>
      </c>
      <c r="C35" s="32" t="inlineStr">
        <is>
          <t>Empresarial</t>
        </is>
      </c>
      <c r="D35" s="32" t="inlineStr">
        <is>
          <t>Encerrado</t>
        </is>
      </c>
      <c r="E35" s="32" t="inlineStr">
        <is>
          <t>Marina Ferraz</t>
        </is>
      </c>
      <c r="F35" s="30" t="n"/>
      <c r="G35" s="33" t="n"/>
      <c r="H35" s="33" t="n">
        <v>46106</v>
      </c>
      <c r="I35" s="30" t="inlineStr">
        <is>
          <t>Encerrado; conferir checklist de encerramento</t>
        </is>
      </c>
      <c r="J35" s="28">
        <f>IF(OR(K35="",K35="Encerrado",K35="Sem próxima ação"),"",G35-Config!$B$5)</f>
        <v/>
      </c>
      <c r="K35" s="25" t="str">
        <f>IF(A35="","",IF(D35="Encerrado","Encerrado",IF(G35="","Sem próxima ação",IF(G35&lt;Config!$B$5,"Atrasado",IF(G35=Config!$B$5,"Hoje",IF(G35-Config!$B$5&lt;=7,"Esta semana","Em dia"))))))</f>
        <v>Encerrado</v>
      </c>
      <c r="L35" s="28">
        <f>IF(OR(A35="",D35="Encerrado",H35=""),"",Config!$B$5-H35)</f>
        <v/>
      </c>
      <c r="M35" s="25">
        <f>IF(L35="","",IF(L35&gt;Config!$B$6,"Sim",""))</f>
        <v/>
      </c>
      <c r="N35" s="34">
        <f>IF(M35="Sim",L35-ROW()/100000,0)</f>
        <v>0</v>
      </c>
    </row>
    <row r="36">
      <c r="A36" s="30" t="inlineStr">
        <is>
          <t>9778116-95.2025.8.26.0106</t>
        </is>
      </c>
      <c r="B36" s="30" t="inlineStr">
        <is>
          <t>Construtora Horizonte</t>
        </is>
      </c>
      <c r="C36" s="32" t="inlineStr">
        <is>
          <t>Cível</t>
        </is>
      </c>
      <c r="D36" s="32" t="inlineStr">
        <is>
          <t>Encerrado</t>
        </is>
      </c>
      <c r="E36" s="32" t="inlineStr">
        <is>
          <t>Marina Ferraz</t>
        </is>
      </c>
      <c r="F36" s="30" t="n"/>
      <c r="G36" s="33" t="n"/>
      <c r="H36" s="33" t="n">
        <v>46142</v>
      </c>
      <c r="I36" s="30" t="inlineStr">
        <is>
          <t>Encerrado; conferir checklist de encerramento</t>
        </is>
      </c>
      <c r="J36" s="28">
        <f>IF(OR(K36="",K36="Encerrado",K36="Sem próxima ação"),"",G36-Config!$B$5)</f>
        <v/>
      </c>
      <c r="K36" s="25" t="str">
        <f>IF(A36="","",IF(D36="Encerrado","Encerrado",IF(G36="","Sem próxima ação",IF(G36&lt;Config!$B$5,"Atrasado",IF(G36=Config!$B$5,"Hoje",IF(G36-Config!$B$5&lt;=7,"Esta semana","Em dia"))))))</f>
        <v>Encerrado</v>
      </c>
      <c r="L36" s="28">
        <f>IF(OR(A36="",D36="Encerrado",H36=""),"",Config!$B$5-H36)</f>
        <v/>
      </c>
      <c r="M36" s="25">
        <f>IF(L36="","",IF(L36&gt;Config!$B$6,"Sim",""))</f>
        <v/>
      </c>
      <c r="N36" s="34">
        <f>IF(M36="Sim",L36-ROW()/100000,0)</f>
        <v>0</v>
      </c>
    </row>
    <row r="37">
      <c r="A37" s="30" t="inlineStr">
        <is>
          <t>8204296-70.2025.8.26.0146</t>
        </is>
      </c>
      <c r="B37" s="30" t="inlineStr">
        <is>
          <t>Marcos Vinícius Teles</t>
        </is>
      </c>
      <c r="C37" s="32" t="inlineStr">
        <is>
          <t>Previdenciário</t>
        </is>
      </c>
      <c r="D37" s="32" t="inlineStr">
        <is>
          <t>Encerrado</t>
        </is>
      </c>
      <c r="E37" s="32" t="inlineStr">
        <is>
          <t>Rafael Lima</t>
        </is>
      </c>
      <c r="F37" s="30" t="n"/>
      <c r="G37" s="33" t="n"/>
      <c r="H37" s="33" t="n">
        <v>46052</v>
      </c>
      <c r="I37" s="30" t="inlineStr">
        <is>
          <t>Encerrado; conferir checklist de encerramento</t>
        </is>
      </c>
      <c r="J37" s="28">
        <f>IF(OR(K37="",K37="Encerrado",K37="Sem próxima ação"),"",G37-Config!$B$5)</f>
        <v/>
      </c>
      <c r="K37" s="25" t="str">
        <f>IF(A37="","",IF(D37="Encerrado","Encerrado",IF(G37="","Sem próxima ação",IF(G37&lt;Config!$B$5,"Atrasado",IF(G37=Config!$B$5,"Hoje",IF(G37-Config!$B$5&lt;=7,"Esta semana","Em dia"))))))</f>
        <v>Encerrado</v>
      </c>
      <c r="L37" s="28">
        <f>IF(OR(A37="",D37="Encerrado",H37=""),"",Config!$B$5-H37)</f>
        <v/>
      </c>
      <c r="M37" s="25">
        <f>IF(L37="","",IF(L37&gt;Config!$B$6,"Sim",""))</f>
        <v/>
      </c>
      <c r="N37" s="34">
        <f>IF(M37="Sim",L37-ROW()/100000,0)</f>
        <v>0</v>
      </c>
    </row>
    <row r="38">
      <c r="A38" s="30" t="inlineStr">
        <is>
          <t>9088515-39.2025.8.26.0125</t>
        </is>
      </c>
      <c r="B38" s="30" t="inlineStr">
        <is>
          <t>Loja Verde Comércio</t>
        </is>
      </c>
      <c r="C38" s="32" t="inlineStr">
        <is>
          <t>Empresarial</t>
        </is>
      </c>
      <c r="D38" s="32" t="inlineStr">
        <is>
          <t>Encerrado</t>
        </is>
      </c>
      <c r="E38" s="32" t="inlineStr">
        <is>
          <t>Marina Ferraz</t>
        </is>
      </c>
      <c r="F38" s="30" t="n"/>
      <c r="G38" s="33" t="n"/>
      <c r="H38" s="33" t="n">
        <v>46185</v>
      </c>
      <c r="I38" s="30" t="inlineStr">
        <is>
          <t>Encerrado; conferir checklist de encerramento</t>
        </is>
      </c>
      <c r="J38" s="28">
        <f>IF(OR(K38="",K38="Encerrado",K38="Sem próxima ação"),"",G38-Config!$B$5)</f>
        <v/>
      </c>
      <c r="K38" s="25" t="str">
        <f>IF(A38="","",IF(D38="Encerrado","Encerrado",IF(G38="","Sem próxima ação",IF(G38&lt;Config!$B$5,"Atrasado",IF(G38=Config!$B$5,"Hoje",IF(G38-Config!$B$5&lt;=7,"Esta semana","Em dia"))))))</f>
        <v>Encerrado</v>
      </c>
      <c r="L38" s="28">
        <f>IF(OR(A38="",D38="Encerrado",H38=""),"",Config!$B$5-H38)</f>
        <v/>
      </c>
      <c r="M38" s="25">
        <f>IF(L38="","",IF(L38&gt;Config!$B$6,"Sim",""))</f>
        <v/>
      </c>
      <c r="N38" s="34">
        <f>IF(M38="Sim",L38-ROW()/100000,0)</f>
        <v>0</v>
      </c>
    </row>
    <row r="39">
      <c r="A39" s="30" t="inlineStr">
        <is>
          <t>8663770-96.2025.8.26.0481</t>
        </is>
      </c>
      <c r="B39" s="30" t="inlineStr">
        <is>
          <t>Oficina Mecânica Central</t>
        </is>
      </c>
      <c r="C39" s="32" t="inlineStr">
        <is>
          <t>Trabalhista</t>
        </is>
      </c>
      <c r="D39" s="32" t="inlineStr">
        <is>
          <t>Encerrado</t>
        </is>
      </c>
      <c r="E39" s="32" t="inlineStr">
        <is>
          <t>Rafael Lima</t>
        </is>
      </c>
      <c r="F39" s="30" t="n"/>
      <c r="G39" s="33" t="n"/>
      <c r="H39" s="33" t="n">
        <v>46234</v>
      </c>
      <c r="I39" s="30" t="inlineStr">
        <is>
          <t>Encerrado; conferir checklist de encerramento</t>
        </is>
      </c>
      <c r="J39" s="28">
        <f>IF(OR(K39="",K39="Encerrado",K39="Sem próxima ação"),"",G39-Config!$B$5)</f>
        <v/>
      </c>
      <c r="K39" s="25" t="str">
        <f>IF(A39="","",IF(D39="Encerrado","Encerrado",IF(G39="","Sem próxima ação",IF(G39&lt;Config!$B$5,"Atrasado",IF(G39=Config!$B$5,"Hoje",IF(G39-Config!$B$5&lt;=7,"Esta semana","Em dia"))))))</f>
        <v>Encerrado</v>
      </c>
      <c r="L39" s="28">
        <f>IF(OR(A39="",D39="Encerrado",H39=""),"",Config!$B$5-H39)</f>
        <v/>
      </c>
      <c r="M39" s="25">
        <f>IF(L39="","",IF(L39&gt;Config!$B$6,"Sim",""))</f>
        <v/>
      </c>
      <c r="N39" s="34">
        <f>IF(M39="Sim",L39-ROW()/100000,0)</f>
        <v>0</v>
      </c>
    </row>
    <row r="40">
      <c r="A40" s="30" t="inlineStr">
        <is>
          <t>5211189-81.2025.8.26.0412</t>
        </is>
      </c>
      <c r="B40" s="30" t="inlineStr">
        <is>
          <t>Fernanda Castro</t>
        </is>
      </c>
      <c r="C40" s="32" t="inlineStr">
        <is>
          <t>Família</t>
        </is>
      </c>
      <c r="D40" s="32" t="inlineStr">
        <is>
          <t>Encerrado</t>
        </is>
      </c>
      <c r="E40" s="32" t="inlineStr">
        <is>
          <t>Marina Ferraz</t>
        </is>
      </c>
      <c r="F40" s="30" t="n"/>
      <c r="G40" s="33" t="n"/>
      <c r="H40" s="33" t="n">
        <v>46248</v>
      </c>
      <c r="I40" s="30" t="inlineStr">
        <is>
          <t>Encerrado; conferir checklist de encerramento</t>
        </is>
      </c>
      <c r="J40" s="28">
        <f>IF(OR(K40="",K40="Encerrado",K40="Sem próxima ação"),"",G40-Config!$B$5)</f>
        <v/>
      </c>
      <c r="K40" s="25" t="str">
        <f>IF(A40="","",IF(D40="Encerrado","Encerrado",IF(G40="","Sem próxima ação",IF(G40&lt;Config!$B$5,"Atrasado",IF(G40=Config!$B$5,"Hoje",IF(G40-Config!$B$5&lt;=7,"Esta semana","Em dia"))))))</f>
        <v>Encerrado</v>
      </c>
      <c r="L40" s="28">
        <f>IF(OR(A40="",D40="Encerrado",H40=""),"",Config!$B$5-H40)</f>
        <v/>
      </c>
      <c r="M40" s="25">
        <f>IF(L40="","",IF(L40&gt;Config!$B$6,"Sim",""))</f>
        <v/>
      </c>
      <c r="N40" s="34">
        <f>IF(M40="Sim",L40-ROW()/100000,0)</f>
        <v>0</v>
      </c>
    </row>
    <row r="41">
      <c r="A41" s="30" t="inlineStr">
        <is>
          <t>6161129-80.2025.8.26.0663</t>
        </is>
      </c>
      <c r="B41" s="30" t="inlineStr">
        <is>
          <t>José Antônio Ribeiro</t>
        </is>
      </c>
      <c r="C41" s="32" t="inlineStr">
        <is>
          <t>Previdenciário</t>
        </is>
      </c>
      <c r="D41" s="32" t="inlineStr">
        <is>
          <t>Encerrado</t>
        </is>
      </c>
      <c r="E41" s="32" t="inlineStr">
        <is>
          <t>Rafael Lima</t>
        </is>
      </c>
      <c r="F41" s="30" t="n"/>
      <c r="G41" s="33" t="n"/>
      <c r="H41" s="33" t="n">
        <v>46199</v>
      </c>
      <c r="I41" s="30" t="inlineStr">
        <is>
          <t>Encerrado; conferir checklist de encerramento</t>
        </is>
      </c>
      <c r="J41" s="28">
        <f>IF(OR(K41="",K41="Encerrado",K41="Sem próxima ação"),"",G41-Config!$B$5)</f>
        <v/>
      </c>
      <c r="K41" s="25" t="str">
        <f>IF(A41="","",IF(D41="Encerrado","Encerrado",IF(G41="","Sem próxima ação",IF(G41&lt;Config!$B$5,"Atrasado",IF(G41=Config!$B$5,"Hoje",IF(G41-Config!$B$5&lt;=7,"Esta semana","Em dia"))))))</f>
        <v>Encerrado</v>
      </c>
      <c r="L41" s="28">
        <f>IF(OR(A41="",D41="Encerrado",H41=""),"",Config!$B$5-H41)</f>
        <v/>
      </c>
      <c r="M41" s="25">
        <f>IF(L41="","",IF(L41&gt;Config!$B$6,"Sim",""))</f>
        <v/>
      </c>
      <c r="N41" s="34">
        <f>IF(M41="Sim",L41-ROW()/100000,0)</f>
        <v>0</v>
      </c>
    </row>
    <row r="42">
      <c r="A42" s="30" t="inlineStr">
        <is>
          <t>9420478-99.2025.8.26.0491</t>
        </is>
      </c>
      <c r="B42" s="30" t="inlineStr">
        <is>
          <t>Ana Beatriz Moreira</t>
        </is>
      </c>
      <c r="C42" s="32" t="inlineStr">
        <is>
          <t>Trabalhista</t>
        </is>
      </c>
      <c r="D42" s="32" t="inlineStr">
        <is>
          <t>Encerrado</t>
        </is>
      </c>
      <c r="E42" s="32" t="inlineStr">
        <is>
          <t>Rafael Lima</t>
        </is>
      </c>
      <c r="F42" s="30" t="n"/>
      <c r="G42" s="33" t="n"/>
      <c r="H42" s="33" t="n">
        <v>46094</v>
      </c>
      <c r="I42" s="30" t="inlineStr">
        <is>
          <t>Encerrado; conferir checklist de encerramento</t>
        </is>
      </c>
      <c r="J42" s="28">
        <f>IF(OR(K42="",K42="Encerrado",K42="Sem próxima ação"),"",G42-Config!$B$5)</f>
        <v/>
      </c>
      <c r="K42" s="25" t="str">
        <f>IF(A42="","",IF(D42="Encerrado","Encerrado",IF(G42="","Sem próxima ação",IF(G42&lt;Config!$B$5,"Atrasado",IF(G42=Config!$B$5,"Hoje",IF(G42-Config!$B$5&lt;=7,"Esta semana","Em dia"))))))</f>
        <v>Encerrado</v>
      </c>
      <c r="L42" s="28">
        <f>IF(OR(A42="",D42="Encerrado",H42=""),"",Config!$B$5-H42)</f>
        <v/>
      </c>
      <c r="M42" s="25">
        <f>IF(L42="","",IF(L42&gt;Config!$B$6,"Sim",""))</f>
        <v/>
      </c>
      <c r="N42" s="34">
        <f>IF(M42="Sim",L42-ROW()/100000,0)</f>
        <v>0</v>
      </c>
    </row>
    <row r="43">
      <c r="A43" s="30" t="n"/>
      <c r="B43" s="30" t="n"/>
      <c r="C43" s="32" t="n"/>
      <c r="D43" s="32" t="n"/>
      <c r="E43" s="32" t="n"/>
      <c r="F43" s="30" t="n"/>
      <c r="G43" s="33" t="n"/>
      <c r="H43" s="33" t="n"/>
      <c r="I43" s="30" t="n"/>
      <c r="J43" s="28">
        <f>IF(OR(K43="",K43="Encerrado",K43="Sem próxima ação"),"",G43-Config!$B$5)</f>
        <v/>
      </c>
      <c r="K43" s="25">
        <f>IF(A43="","",IF(D43="Encerrado","Encerrado",IF(G43="","Sem próxima ação",IF(G43&lt;Config!$B$5,"Atrasado",IF(G43=Config!$B$5,"Hoje",IF(G43-Config!$B$5&lt;=7,"Esta semana","Em dia"))))))</f>
        <v/>
      </c>
      <c r="L43" s="28">
        <f>IF(OR(A43="",D43="Encerrado",H43=""),"",Config!$B$5-H43)</f>
        <v/>
      </c>
      <c r="M43" s="25">
        <f>IF(L43="","",IF(L43&gt;Config!$B$6,"Sim",""))</f>
        <v/>
      </c>
      <c r="N43" s="34">
        <f>IF(M43="Sim",L43-ROW()/100000,0)</f>
        <v>0</v>
      </c>
    </row>
    <row r="44">
      <c r="A44" s="30" t="n"/>
      <c r="B44" s="30" t="n"/>
      <c r="C44" s="32" t="n"/>
      <c r="D44" s="32" t="n"/>
      <c r="E44" s="32" t="n"/>
      <c r="F44" s="30" t="n"/>
      <c r="G44" s="33" t="n"/>
      <c r="H44" s="33" t="n"/>
      <c r="I44" s="30" t="n"/>
      <c r="J44" s="28">
        <f>IF(OR(K44="",K44="Encerrado",K44="Sem próxima ação"),"",G44-Config!$B$5)</f>
        <v/>
      </c>
      <c r="K44" s="25">
        <f>IF(A44="","",IF(D44="Encerrado","Encerrado",IF(G44="","Sem próxima ação",IF(G44&lt;Config!$B$5,"Atrasado",IF(G44=Config!$B$5,"Hoje",IF(G44-Config!$B$5&lt;=7,"Esta semana","Em dia"))))))</f>
        <v/>
      </c>
      <c r="L44" s="28">
        <f>IF(OR(A44="",D44="Encerrado",H44=""),"",Config!$B$5-H44)</f>
        <v/>
      </c>
      <c r="M44" s="25">
        <f>IF(L44="","",IF(L44&gt;Config!$B$6,"Sim",""))</f>
        <v/>
      </c>
      <c r="N44" s="34">
        <f>IF(M44="Sim",L44-ROW()/100000,0)</f>
        <v>0</v>
      </c>
    </row>
    <row r="45">
      <c r="A45" s="30" t="n"/>
      <c r="B45" s="30" t="n"/>
      <c r="C45" s="32" t="n"/>
      <c r="D45" s="32" t="n"/>
      <c r="E45" s="32" t="n"/>
      <c r="F45" s="30" t="n"/>
      <c r="G45" s="33" t="n"/>
      <c r="H45" s="33" t="n"/>
      <c r="I45" s="30" t="n"/>
      <c r="J45" s="28">
        <f>IF(OR(K45="",K45="Encerrado",K45="Sem próxima ação"),"",G45-Config!$B$5)</f>
        <v/>
      </c>
      <c r="K45" s="25">
        <f>IF(A45="","",IF(D45="Encerrado","Encerrado",IF(G45="","Sem próxima ação",IF(G45&lt;Config!$B$5,"Atrasado",IF(G45=Config!$B$5,"Hoje",IF(G45-Config!$B$5&lt;=7,"Esta semana","Em dia"))))))</f>
        <v/>
      </c>
      <c r="L45" s="28">
        <f>IF(OR(A45="",D45="Encerrado",H45=""),"",Config!$B$5-H45)</f>
        <v/>
      </c>
      <c r="M45" s="25">
        <f>IF(L45="","",IF(L45&gt;Config!$B$6,"Sim",""))</f>
        <v/>
      </c>
      <c r="N45" s="34">
        <f>IF(M45="Sim",L45-ROW()/100000,0)</f>
        <v>0</v>
      </c>
    </row>
    <row r="46">
      <c r="A46" s="30" t="n"/>
      <c r="B46" s="30" t="n"/>
      <c r="C46" s="32" t="n"/>
      <c r="D46" s="32" t="n"/>
      <c r="E46" s="32" t="n"/>
      <c r="F46" s="30" t="n"/>
      <c r="G46" s="33" t="n"/>
      <c r="H46" s="33" t="n"/>
      <c r="I46" s="30" t="n"/>
      <c r="J46" s="28">
        <f>IF(OR(K46="",K46="Encerrado",K46="Sem próxima ação"),"",G46-Config!$B$5)</f>
        <v/>
      </c>
      <c r="K46" s="25">
        <f>IF(A46="","",IF(D46="Encerrado","Encerrado",IF(G46="","Sem próxima ação",IF(G46&lt;Config!$B$5,"Atrasado",IF(G46=Config!$B$5,"Hoje",IF(G46-Config!$B$5&lt;=7,"Esta semana","Em dia"))))))</f>
        <v/>
      </c>
      <c r="L46" s="28">
        <f>IF(OR(A46="",D46="Encerrado",H46=""),"",Config!$B$5-H46)</f>
        <v/>
      </c>
      <c r="M46" s="25">
        <f>IF(L46="","",IF(L46&gt;Config!$B$6,"Sim",""))</f>
        <v/>
      </c>
      <c r="N46" s="34">
        <f>IF(M46="Sim",L46-ROW()/100000,0)</f>
        <v>0</v>
      </c>
    </row>
    <row r="47">
      <c r="A47" s="30" t="n"/>
      <c r="B47" s="30" t="n"/>
      <c r="C47" s="32" t="n"/>
      <c r="D47" s="32" t="n"/>
      <c r="E47" s="32" t="n"/>
      <c r="F47" s="30" t="n"/>
      <c r="G47" s="33" t="n"/>
      <c r="H47" s="33" t="n"/>
      <c r="I47" s="30" t="n"/>
      <c r="J47" s="28">
        <f>IF(OR(K47="",K47="Encerrado",K47="Sem próxima ação"),"",G47-Config!$B$5)</f>
        <v/>
      </c>
      <c r="K47" s="25">
        <f>IF(A47="","",IF(D47="Encerrado","Encerrado",IF(G47="","Sem próxima ação",IF(G47&lt;Config!$B$5,"Atrasado",IF(G47=Config!$B$5,"Hoje",IF(G47-Config!$B$5&lt;=7,"Esta semana","Em dia"))))))</f>
        <v/>
      </c>
      <c r="L47" s="28">
        <f>IF(OR(A47="",D47="Encerrado",H47=""),"",Config!$B$5-H47)</f>
        <v/>
      </c>
      <c r="M47" s="25">
        <f>IF(L47="","",IF(L47&gt;Config!$B$6,"Sim",""))</f>
        <v/>
      </c>
      <c r="N47" s="34">
        <f>IF(M47="Sim",L47-ROW()/100000,0)</f>
        <v>0</v>
      </c>
    </row>
    <row r="48">
      <c r="A48" s="30" t="n"/>
      <c r="B48" s="30" t="n"/>
      <c r="C48" s="32" t="n"/>
      <c r="D48" s="32" t="n"/>
      <c r="E48" s="32" t="n"/>
      <c r="F48" s="30" t="n"/>
      <c r="G48" s="33" t="n"/>
      <c r="H48" s="33" t="n"/>
      <c r="I48" s="30" t="n"/>
      <c r="J48" s="28">
        <f>IF(OR(K48="",K48="Encerrado",K48="Sem próxima ação"),"",G48-Config!$B$5)</f>
        <v/>
      </c>
      <c r="K48" s="25">
        <f>IF(A48="","",IF(D48="Encerrado","Encerrado",IF(G48="","Sem próxima ação",IF(G48&lt;Config!$B$5,"Atrasado",IF(G48=Config!$B$5,"Hoje",IF(G48-Config!$B$5&lt;=7,"Esta semana","Em dia"))))))</f>
        <v/>
      </c>
      <c r="L48" s="28">
        <f>IF(OR(A48="",D48="Encerrado",H48=""),"",Config!$B$5-H48)</f>
        <v/>
      </c>
      <c r="M48" s="25">
        <f>IF(L48="","",IF(L48&gt;Config!$B$6,"Sim",""))</f>
        <v/>
      </c>
      <c r="N48" s="34">
        <f>IF(M48="Sim",L48-ROW()/100000,0)</f>
        <v>0</v>
      </c>
    </row>
    <row r="49">
      <c r="A49" s="30" t="n"/>
      <c r="B49" s="30" t="n"/>
      <c r="C49" s="32" t="n"/>
      <c r="D49" s="32" t="n"/>
      <c r="E49" s="32" t="n"/>
      <c r="F49" s="30" t="n"/>
      <c r="G49" s="33" t="n"/>
      <c r="H49" s="33" t="n"/>
      <c r="I49" s="30" t="n"/>
      <c r="J49" s="28">
        <f>IF(OR(K49="",K49="Encerrado",K49="Sem próxima ação"),"",G49-Config!$B$5)</f>
        <v/>
      </c>
      <c r="K49" s="25">
        <f>IF(A49="","",IF(D49="Encerrado","Encerrado",IF(G49="","Sem próxima ação",IF(G49&lt;Config!$B$5,"Atrasado",IF(G49=Config!$B$5,"Hoje",IF(G49-Config!$B$5&lt;=7,"Esta semana","Em dia"))))))</f>
        <v/>
      </c>
      <c r="L49" s="28">
        <f>IF(OR(A49="",D49="Encerrado",H49=""),"",Config!$B$5-H49)</f>
        <v/>
      </c>
      <c r="M49" s="25">
        <f>IF(L49="","",IF(L49&gt;Config!$B$6,"Sim",""))</f>
        <v/>
      </c>
      <c r="N49" s="34">
        <f>IF(M49="Sim",L49-ROW()/100000,0)</f>
        <v>0</v>
      </c>
    </row>
    <row r="50">
      <c r="A50" s="30" t="n"/>
      <c r="B50" s="30" t="n"/>
      <c r="C50" s="32" t="n"/>
      <c r="D50" s="32" t="n"/>
      <c r="E50" s="32" t="n"/>
      <c r="F50" s="30" t="n"/>
      <c r="G50" s="33" t="n"/>
      <c r="H50" s="33" t="n"/>
      <c r="I50" s="30" t="n"/>
      <c r="J50" s="28">
        <f>IF(OR(K50="",K50="Encerrado",K50="Sem próxima ação"),"",G50-Config!$B$5)</f>
        <v/>
      </c>
      <c r="K50" s="25">
        <f>IF(A50="","",IF(D50="Encerrado","Encerrado",IF(G50="","Sem próxima ação",IF(G50&lt;Config!$B$5,"Atrasado",IF(G50=Config!$B$5,"Hoje",IF(G50-Config!$B$5&lt;=7,"Esta semana","Em dia"))))))</f>
        <v/>
      </c>
      <c r="L50" s="28">
        <f>IF(OR(A50="",D50="Encerrado",H50=""),"",Config!$B$5-H50)</f>
        <v/>
      </c>
      <c r="M50" s="25">
        <f>IF(L50="","",IF(L50&gt;Config!$B$6,"Sim",""))</f>
        <v/>
      </c>
      <c r="N50" s="34">
        <f>IF(M50="Sim",L50-ROW()/100000,0)</f>
        <v>0</v>
      </c>
    </row>
    <row r="51">
      <c r="A51" s="30" t="n"/>
      <c r="B51" s="30" t="n"/>
      <c r="C51" s="32" t="n"/>
      <c r="D51" s="32" t="n"/>
      <c r="E51" s="32" t="n"/>
      <c r="F51" s="30" t="n"/>
      <c r="G51" s="33" t="n"/>
      <c r="H51" s="33" t="n"/>
      <c r="I51" s="30" t="n"/>
      <c r="J51" s="28">
        <f>IF(OR(K51="",K51="Encerrado",K51="Sem próxima ação"),"",G51-Config!$B$5)</f>
        <v/>
      </c>
      <c r="K51" s="25">
        <f>IF(A51="","",IF(D51="Encerrado","Encerrado",IF(G51="","Sem próxima ação",IF(G51&lt;Config!$B$5,"Atrasado",IF(G51=Config!$B$5,"Hoje",IF(G51-Config!$B$5&lt;=7,"Esta semana","Em dia"))))))</f>
        <v/>
      </c>
      <c r="L51" s="28">
        <f>IF(OR(A51="",D51="Encerrado",H51=""),"",Config!$B$5-H51)</f>
        <v/>
      </c>
      <c r="M51" s="25">
        <f>IF(L51="","",IF(L51&gt;Config!$B$6,"Sim",""))</f>
        <v/>
      </c>
      <c r="N51" s="34">
        <f>IF(M51="Sim",L51-ROW()/100000,0)</f>
        <v>0</v>
      </c>
    </row>
    <row r="52">
      <c r="A52" s="30" t="n"/>
      <c r="B52" s="30" t="n"/>
      <c r="C52" s="32" t="n"/>
      <c r="D52" s="32" t="n"/>
      <c r="E52" s="32" t="n"/>
      <c r="F52" s="30" t="n"/>
      <c r="G52" s="33" t="n"/>
      <c r="H52" s="33" t="n"/>
      <c r="I52" s="30" t="n"/>
      <c r="J52" s="28">
        <f>IF(OR(K52="",K52="Encerrado",K52="Sem próxima ação"),"",G52-Config!$B$5)</f>
        <v/>
      </c>
      <c r="K52" s="25">
        <f>IF(A52="","",IF(D52="Encerrado","Encerrado",IF(G52="","Sem próxima ação",IF(G52&lt;Config!$B$5,"Atrasado",IF(G52=Config!$B$5,"Hoje",IF(G52-Config!$B$5&lt;=7,"Esta semana","Em dia"))))))</f>
        <v/>
      </c>
      <c r="L52" s="28">
        <f>IF(OR(A52="",D52="Encerrado",H52=""),"",Config!$B$5-H52)</f>
        <v/>
      </c>
      <c r="M52" s="25">
        <f>IF(L52="","",IF(L52&gt;Config!$B$6,"Sim",""))</f>
        <v/>
      </c>
      <c r="N52" s="34">
        <f>IF(M52="Sim",L52-ROW()/100000,0)</f>
        <v>0</v>
      </c>
    </row>
    <row r="53">
      <c r="A53" s="30" t="n"/>
      <c r="B53" s="30" t="n"/>
      <c r="C53" s="32" t="n"/>
      <c r="D53" s="32" t="n"/>
      <c r="E53" s="32" t="n"/>
      <c r="F53" s="30" t="n"/>
      <c r="G53" s="33" t="n"/>
      <c r="H53" s="33" t="n"/>
      <c r="I53" s="30" t="n"/>
      <c r="J53" s="28">
        <f>IF(OR(K53="",K53="Encerrado",K53="Sem próxima ação"),"",G53-Config!$B$5)</f>
        <v/>
      </c>
      <c r="K53" s="25">
        <f>IF(A53="","",IF(D53="Encerrado","Encerrado",IF(G53="","Sem próxima ação",IF(G53&lt;Config!$B$5,"Atrasado",IF(G53=Config!$B$5,"Hoje",IF(G53-Config!$B$5&lt;=7,"Esta semana","Em dia"))))))</f>
        <v/>
      </c>
      <c r="L53" s="28">
        <f>IF(OR(A53="",D53="Encerrado",H53=""),"",Config!$B$5-H53)</f>
        <v/>
      </c>
      <c r="M53" s="25">
        <f>IF(L53="","",IF(L53&gt;Config!$B$6,"Sim",""))</f>
        <v/>
      </c>
      <c r="N53" s="34">
        <f>IF(M53="Sim",L53-ROW()/100000,0)</f>
        <v>0</v>
      </c>
    </row>
    <row r="54">
      <c r="A54" s="30" t="n"/>
      <c r="B54" s="30" t="n"/>
      <c r="C54" s="32" t="n"/>
      <c r="D54" s="32" t="n"/>
      <c r="E54" s="32" t="n"/>
      <c r="F54" s="30" t="n"/>
      <c r="G54" s="33" t="n"/>
      <c r="H54" s="33" t="n"/>
      <c r="I54" s="30" t="n"/>
      <c r="J54" s="28">
        <f>IF(OR(K54="",K54="Encerrado",K54="Sem próxima ação"),"",G54-Config!$B$5)</f>
        <v/>
      </c>
      <c r="K54" s="25">
        <f>IF(A54="","",IF(D54="Encerrado","Encerrado",IF(G54="","Sem próxima ação",IF(G54&lt;Config!$B$5,"Atrasado",IF(G54=Config!$B$5,"Hoje",IF(G54-Config!$B$5&lt;=7,"Esta semana","Em dia"))))))</f>
        <v/>
      </c>
      <c r="L54" s="28">
        <f>IF(OR(A54="",D54="Encerrado",H54=""),"",Config!$B$5-H54)</f>
        <v/>
      </c>
      <c r="M54" s="25">
        <f>IF(L54="","",IF(L54&gt;Config!$B$6,"Sim",""))</f>
        <v/>
      </c>
      <c r="N54" s="34">
        <f>IF(M54="Sim",L54-ROW()/100000,0)</f>
        <v>0</v>
      </c>
    </row>
    <row r="55">
      <c r="A55" s="30" t="n"/>
      <c r="B55" s="30" t="n"/>
      <c r="C55" s="32" t="n"/>
      <c r="D55" s="32" t="n"/>
      <c r="E55" s="32" t="n"/>
      <c r="F55" s="30" t="n"/>
      <c r="G55" s="33" t="n"/>
      <c r="H55" s="33" t="n"/>
      <c r="I55" s="30" t="n"/>
      <c r="J55" s="28">
        <f>IF(OR(K55="",K55="Encerrado",K55="Sem próxima ação"),"",G55-Config!$B$5)</f>
        <v/>
      </c>
      <c r="K55" s="25">
        <f>IF(A55="","",IF(D55="Encerrado","Encerrado",IF(G55="","Sem próxima ação",IF(G55&lt;Config!$B$5,"Atrasado",IF(G55=Config!$B$5,"Hoje",IF(G55-Config!$B$5&lt;=7,"Esta semana","Em dia"))))))</f>
        <v/>
      </c>
      <c r="L55" s="28">
        <f>IF(OR(A55="",D55="Encerrado",H55=""),"",Config!$B$5-H55)</f>
        <v/>
      </c>
      <c r="M55" s="25">
        <f>IF(L55="","",IF(L55&gt;Config!$B$6,"Sim",""))</f>
        <v/>
      </c>
      <c r="N55" s="34">
        <f>IF(M55="Sim",L55-ROW()/100000,0)</f>
        <v>0</v>
      </c>
    </row>
    <row r="56">
      <c r="A56" s="30" t="n"/>
      <c r="B56" s="30" t="n"/>
      <c r="C56" s="32" t="n"/>
      <c r="D56" s="32" t="n"/>
      <c r="E56" s="32" t="n"/>
      <c r="F56" s="30" t="n"/>
      <c r="G56" s="33" t="n"/>
      <c r="H56" s="33" t="n"/>
      <c r="I56" s="30" t="n"/>
      <c r="J56" s="28">
        <f>IF(OR(K56="",K56="Encerrado",K56="Sem próxima ação"),"",G56-Config!$B$5)</f>
        <v/>
      </c>
      <c r="K56" s="25">
        <f>IF(A56="","",IF(D56="Encerrado","Encerrado",IF(G56="","Sem próxima ação",IF(G56&lt;Config!$B$5,"Atrasado",IF(G56=Config!$B$5,"Hoje",IF(G56-Config!$B$5&lt;=7,"Esta semana","Em dia"))))))</f>
        <v/>
      </c>
      <c r="L56" s="28">
        <f>IF(OR(A56="",D56="Encerrado",H56=""),"",Config!$B$5-H56)</f>
        <v/>
      </c>
      <c r="M56" s="25">
        <f>IF(L56="","",IF(L56&gt;Config!$B$6,"Sim",""))</f>
        <v/>
      </c>
      <c r="N56" s="34">
        <f>IF(M56="Sim",L56-ROW()/100000,0)</f>
        <v>0</v>
      </c>
    </row>
    <row r="57">
      <c r="A57" s="30" t="n"/>
      <c r="B57" s="30" t="n"/>
      <c r="C57" s="32" t="n"/>
      <c r="D57" s="32" t="n"/>
      <c r="E57" s="32" t="n"/>
      <c r="F57" s="30" t="n"/>
      <c r="G57" s="33" t="n"/>
      <c r="H57" s="33" t="n"/>
      <c r="I57" s="30" t="n"/>
      <c r="J57" s="28">
        <f>IF(OR(K57="",K57="Encerrado",K57="Sem próxima ação"),"",G57-Config!$B$5)</f>
        <v/>
      </c>
      <c r="K57" s="25">
        <f>IF(A57="","",IF(D57="Encerrado","Encerrado",IF(G57="","Sem próxima ação",IF(G57&lt;Config!$B$5,"Atrasado",IF(G57=Config!$B$5,"Hoje",IF(G57-Config!$B$5&lt;=7,"Esta semana","Em dia"))))))</f>
        <v/>
      </c>
      <c r="L57" s="28">
        <f>IF(OR(A57="",D57="Encerrado",H57=""),"",Config!$B$5-H57)</f>
        <v/>
      </c>
      <c r="M57" s="25">
        <f>IF(L57="","",IF(L57&gt;Config!$B$6,"Sim",""))</f>
        <v/>
      </c>
      <c r="N57" s="34">
        <f>IF(M57="Sim",L57-ROW()/100000,0)</f>
        <v>0</v>
      </c>
    </row>
    <row r="58">
      <c r="A58" s="30" t="n"/>
      <c r="B58" s="30" t="n"/>
      <c r="C58" s="32" t="n"/>
      <c r="D58" s="32" t="n"/>
      <c r="E58" s="32" t="n"/>
      <c r="F58" s="30" t="n"/>
      <c r="G58" s="33" t="n"/>
      <c r="H58" s="33" t="n"/>
      <c r="I58" s="30" t="n"/>
      <c r="J58" s="28">
        <f>IF(OR(K58="",K58="Encerrado",K58="Sem próxima ação"),"",G58-Config!$B$5)</f>
        <v/>
      </c>
      <c r="K58" s="25">
        <f>IF(A58="","",IF(D58="Encerrado","Encerrado",IF(G58="","Sem próxima ação",IF(G58&lt;Config!$B$5,"Atrasado",IF(G58=Config!$B$5,"Hoje",IF(G58-Config!$B$5&lt;=7,"Esta semana","Em dia"))))))</f>
        <v/>
      </c>
      <c r="L58" s="28">
        <f>IF(OR(A58="",D58="Encerrado",H58=""),"",Config!$B$5-H58)</f>
        <v/>
      </c>
      <c r="M58" s="25">
        <f>IF(L58="","",IF(L58&gt;Config!$B$6,"Sim",""))</f>
        <v/>
      </c>
      <c r="N58" s="34">
        <f>IF(M58="Sim",L58-ROW()/100000,0)</f>
        <v>0</v>
      </c>
    </row>
    <row r="59">
      <c r="A59" s="30" t="n"/>
      <c r="B59" s="30" t="n"/>
      <c r="C59" s="32" t="n"/>
      <c r="D59" s="32" t="n"/>
      <c r="E59" s="32" t="n"/>
      <c r="F59" s="30" t="n"/>
      <c r="G59" s="33" t="n"/>
      <c r="H59" s="33" t="n"/>
      <c r="I59" s="30" t="n"/>
      <c r="J59" s="28">
        <f>IF(OR(K59="",K59="Encerrado",K59="Sem próxima ação"),"",G59-Config!$B$5)</f>
        <v/>
      </c>
      <c r="K59" s="25">
        <f>IF(A59="","",IF(D59="Encerrado","Encerrado",IF(G59="","Sem próxima ação",IF(G59&lt;Config!$B$5,"Atrasado",IF(G59=Config!$B$5,"Hoje",IF(G59-Config!$B$5&lt;=7,"Esta semana","Em dia"))))))</f>
        <v/>
      </c>
      <c r="L59" s="28">
        <f>IF(OR(A59="",D59="Encerrado",H59=""),"",Config!$B$5-H59)</f>
        <v/>
      </c>
      <c r="M59" s="25">
        <f>IF(L59="","",IF(L59&gt;Config!$B$6,"Sim",""))</f>
        <v/>
      </c>
      <c r="N59" s="34">
        <f>IF(M59="Sim",L59-ROW()/100000,0)</f>
        <v>0</v>
      </c>
    </row>
    <row r="60">
      <c r="A60" s="30" t="n"/>
      <c r="B60" s="30" t="n"/>
      <c r="C60" s="32" t="n"/>
      <c r="D60" s="32" t="n"/>
      <c r="E60" s="32" t="n"/>
      <c r="F60" s="30" t="n"/>
      <c r="G60" s="33" t="n"/>
      <c r="H60" s="33" t="n"/>
      <c r="I60" s="30" t="n"/>
      <c r="J60" s="28">
        <f>IF(OR(K60="",K60="Encerrado",K60="Sem próxima ação"),"",G60-Config!$B$5)</f>
        <v/>
      </c>
      <c r="K60" s="25">
        <f>IF(A60="","",IF(D60="Encerrado","Encerrado",IF(G60="","Sem próxima ação",IF(G60&lt;Config!$B$5,"Atrasado",IF(G60=Config!$B$5,"Hoje",IF(G60-Config!$B$5&lt;=7,"Esta semana","Em dia"))))))</f>
        <v/>
      </c>
      <c r="L60" s="28">
        <f>IF(OR(A60="",D60="Encerrado",H60=""),"",Config!$B$5-H60)</f>
        <v/>
      </c>
      <c r="M60" s="25">
        <f>IF(L60="","",IF(L60&gt;Config!$B$6,"Sim",""))</f>
        <v/>
      </c>
      <c r="N60" s="34">
        <f>IF(M60="Sim",L60-ROW()/100000,0)</f>
        <v>0</v>
      </c>
    </row>
    <row r="61">
      <c r="A61" s="30" t="n"/>
      <c r="B61" s="30" t="n"/>
      <c r="C61" s="32" t="n"/>
      <c r="D61" s="32" t="n"/>
      <c r="E61" s="32" t="n"/>
      <c r="F61" s="30" t="n"/>
      <c r="G61" s="33" t="n"/>
      <c r="H61" s="33" t="n"/>
      <c r="I61" s="30" t="n"/>
      <c r="J61" s="28">
        <f>IF(OR(K61="",K61="Encerrado",K61="Sem próxima ação"),"",G61-Config!$B$5)</f>
        <v/>
      </c>
      <c r="K61" s="25">
        <f>IF(A61="","",IF(D61="Encerrado","Encerrado",IF(G61="","Sem próxima ação",IF(G61&lt;Config!$B$5,"Atrasado",IF(G61=Config!$B$5,"Hoje",IF(G61-Config!$B$5&lt;=7,"Esta semana","Em dia"))))))</f>
        <v/>
      </c>
      <c r="L61" s="28">
        <f>IF(OR(A61="",D61="Encerrado",H61=""),"",Config!$B$5-H61)</f>
        <v/>
      </c>
      <c r="M61" s="25">
        <f>IF(L61="","",IF(L61&gt;Config!$B$6,"Sim",""))</f>
        <v/>
      </c>
      <c r="N61" s="34">
        <f>IF(M61="Sim",L61-ROW()/100000,0)</f>
        <v>0</v>
      </c>
    </row>
    <row r="62">
      <c r="A62" s="30" t="n"/>
      <c r="B62" s="30" t="n"/>
      <c r="C62" s="32" t="n"/>
      <c r="D62" s="32" t="n"/>
      <c r="E62" s="32" t="n"/>
      <c r="F62" s="30" t="n"/>
      <c r="G62" s="33" t="n"/>
      <c r="H62" s="33" t="n"/>
      <c r="I62" s="30" t="n"/>
      <c r="J62" s="28">
        <f>IF(OR(K62="",K62="Encerrado",K62="Sem próxima ação"),"",G62-Config!$B$5)</f>
        <v/>
      </c>
      <c r="K62" s="25">
        <f>IF(A62="","",IF(D62="Encerrado","Encerrado",IF(G62="","Sem próxima ação",IF(G62&lt;Config!$B$5,"Atrasado",IF(G62=Config!$B$5,"Hoje",IF(G62-Config!$B$5&lt;=7,"Esta semana","Em dia"))))))</f>
        <v/>
      </c>
      <c r="L62" s="28">
        <f>IF(OR(A62="",D62="Encerrado",H62=""),"",Config!$B$5-H62)</f>
        <v/>
      </c>
      <c r="M62" s="25">
        <f>IF(L62="","",IF(L62&gt;Config!$B$6,"Sim",""))</f>
        <v/>
      </c>
      <c r="N62" s="34">
        <f>IF(M62="Sim",L62-ROW()/100000,0)</f>
        <v>0</v>
      </c>
    </row>
    <row r="63">
      <c r="A63" s="30" t="n"/>
      <c r="B63" s="30" t="n"/>
      <c r="C63" s="32" t="n"/>
      <c r="D63" s="32" t="n"/>
      <c r="E63" s="32" t="n"/>
      <c r="F63" s="30" t="n"/>
      <c r="G63" s="33" t="n"/>
      <c r="H63" s="33" t="n"/>
      <c r="I63" s="30" t="n"/>
      <c r="J63" s="28">
        <f>IF(OR(K63="",K63="Encerrado",K63="Sem próxima ação"),"",G63-Config!$B$5)</f>
        <v/>
      </c>
      <c r="K63" s="25">
        <f>IF(A63="","",IF(D63="Encerrado","Encerrado",IF(G63="","Sem próxima ação",IF(G63&lt;Config!$B$5,"Atrasado",IF(G63=Config!$B$5,"Hoje",IF(G63-Config!$B$5&lt;=7,"Esta semana","Em dia"))))))</f>
        <v/>
      </c>
      <c r="L63" s="28">
        <f>IF(OR(A63="",D63="Encerrado",H63=""),"",Config!$B$5-H63)</f>
        <v/>
      </c>
      <c r="M63" s="25">
        <f>IF(L63="","",IF(L63&gt;Config!$B$6,"Sim",""))</f>
        <v/>
      </c>
      <c r="N63" s="34">
        <f>IF(M63="Sim",L63-ROW()/100000,0)</f>
        <v>0</v>
      </c>
    </row>
    <row r="64">
      <c r="A64" s="30" t="n"/>
      <c r="B64" s="30" t="n"/>
      <c r="C64" s="32" t="n"/>
      <c r="D64" s="32" t="n"/>
      <c r="E64" s="32" t="n"/>
      <c r="F64" s="30" t="n"/>
      <c r="G64" s="33" t="n"/>
      <c r="H64" s="33" t="n"/>
      <c r="I64" s="30" t="n"/>
      <c r="J64" s="28">
        <f>IF(OR(K64="",K64="Encerrado",K64="Sem próxima ação"),"",G64-Config!$B$5)</f>
        <v/>
      </c>
      <c r="K64" s="25">
        <f>IF(A64="","",IF(D64="Encerrado","Encerrado",IF(G64="","Sem próxima ação",IF(G64&lt;Config!$B$5,"Atrasado",IF(G64=Config!$B$5,"Hoje",IF(G64-Config!$B$5&lt;=7,"Esta semana","Em dia"))))))</f>
        <v/>
      </c>
      <c r="L64" s="28">
        <f>IF(OR(A64="",D64="Encerrado",H64=""),"",Config!$B$5-H64)</f>
        <v/>
      </c>
      <c r="M64" s="25">
        <f>IF(L64="","",IF(L64&gt;Config!$B$6,"Sim",""))</f>
        <v/>
      </c>
      <c r="N64" s="34">
        <f>IF(M64="Sim",L64-ROW()/100000,0)</f>
        <v>0</v>
      </c>
    </row>
    <row r="65">
      <c r="A65" s="30" t="n"/>
      <c r="B65" s="30" t="n"/>
      <c r="C65" s="32" t="n"/>
      <c r="D65" s="32" t="n"/>
      <c r="E65" s="32" t="n"/>
      <c r="F65" s="30" t="n"/>
      <c r="G65" s="33" t="n"/>
      <c r="H65" s="33" t="n"/>
      <c r="I65" s="30" t="n"/>
      <c r="J65" s="28">
        <f>IF(OR(K65="",K65="Encerrado",K65="Sem próxima ação"),"",G65-Config!$B$5)</f>
        <v/>
      </c>
      <c r="K65" s="25">
        <f>IF(A65="","",IF(D65="Encerrado","Encerrado",IF(G65="","Sem próxima ação",IF(G65&lt;Config!$B$5,"Atrasado",IF(G65=Config!$B$5,"Hoje",IF(G65-Config!$B$5&lt;=7,"Esta semana","Em dia"))))))</f>
        <v/>
      </c>
      <c r="L65" s="28">
        <f>IF(OR(A65="",D65="Encerrado",H65=""),"",Config!$B$5-H65)</f>
        <v/>
      </c>
      <c r="M65" s="25">
        <f>IF(L65="","",IF(L65&gt;Config!$B$6,"Sim",""))</f>
        <v/>
      </c>
      <c r="N65" s="34">
        <f>IF(M65="Sim",L65-ROW()/100000,0)</f>
        <v>0</v>
      </c>
    </row>
    <row r="66">
      <c r="A66" s="30" t="n"/>
      <c r="B66" s="30" t="n"/>
      <c r="C66" s="32" t="n"/>
      <c r="D66" s="32" t="n"/>
      <c r="E66" s="32" t="n"/>
      <c r="F66" s="30" t="n"/>
      <c r="G66" s="33" t="n"/>
      <c r="H66" s="33" t="n"/>
      <c r="I66" s="30" t="n"/>
      <c r="J66" s="28">
        <f>IF(OR(K66="",K66="Encerrado",K66="Sem próxima ação"),"",G66-Config!$B$5)</f>
        <v/>
      </c>
      <c r="K66" s="25">
        <f>IF(A66="","",IF(D66="Encerrado","Encerrado",IF(G66="","Sem próxima ação",IF(G66&lt;Config!$B$5,"Atrasado",IF(G66=Config!$B$5,"Hoje",IF(G66-Config!$B$5&lt;=7,"Esta semana","Em dia"))))))</f>
        <v/>
      </c>
      <c r="L66" s="28">
        <f>IF(OR(A66="",D66="Encerrado",H66=""),"",Config!$B$5-H66)</f>
        <v/>
      </c>
      <c r="M66" s="25">
        <f>IF(L66="","",IF(L66&gt;Config!$B$6,"Sim",""))</f>
        <v/>
      </c>
      <c r="N66" s="34">
        <f>IF(M66="Sim",L66-ROW()/100000,0)</f>
        <v>0</v>
      </c>
    </row>
    <row r="67">
      <c r="A67" s="30" t="n"/>
      <c r="B67" s="30" t="n"/>
      <c r="C67" s="32" t="n"/>
      <c r="D67" s="32" t="n"/>
      <c r="E67" s="32" t="n"/>
      <c r="F67" s="30" t="n"/>
      <c r="G67" s="33" t="n"/>
      <c r="H67" s="33" t="n"/>
      <c r="I67" s="30" t="n"/>
      <c r="J67" s="28">
        <f>IF(OR(K67="",K67="Encerrado",K67="Sem próxima ação"),"",G67-Config!$B$5)</f>
        <v/>
      </c>
      <c r="K67" s="25">
        <f>IF(A67="","",IF(D67="Encerrado","Encerrado",IF(G67="","Sem próxima ação",IF(G67&lt;Config!$B$5,"Atrasado",IF(G67=Config!$B$5,"Hoje",IF(G67-Config!$B$5&lt;=7,"Esta semana","Em dia"))))))</f>
        <v/>
      </c>
      <c r="L67" s="28">
        <f>IF(OR(A67="",D67="Encerrado",H67=""),"",Config!$B$5-H67)</f>
        <v/>
      </c>
      <c r="M67" s="25">
        <f>IF(L67="","",IF(L67&gt;Config!$B$6,"Sim",""))</f>
        <v/>
      </c>
      <c r="N67" s="34">
        <f>IF(M67="Sim",L67-ROW()/100000,0)</f>
        <v>0</v>
      </c>
    </row>
    <row r="68">
      <c r="A68" s="30" t="n"/>
      <c r="B68" s="30" t="n"/>
      <c r="C68" s="32" t="n"/>
      <c r="D68" s="32" t="n"/>
      <c r="E68" s="32" t="n"/>
      <c r="F68" s="30" t="n"/>
      <c r="G68" s="33" t="n"/>
      <c r="H68" s="33" t="n"/>
      <c r="I68" s="30" t="n"/>
      <c r="J68" s="28">
        <f>IF(OR(K68="",K68="Encerrado",K68="Sem próxima ação"),"",G68-Config!$B$5)</f>
        <v/>
      </c>
      <c r="K68" s="25">
        <f>IF(A68="","",IF(D68="Encerrado","Encerrado",IF(G68="","Sem próxima ação",IF(G68&lt;Config!$B$5,"Atrasado",IF(G68=Config!$B$5,"Hoje",IF(G68-Config!$B$5&lt;=7,"Esta semana","Em dia"))))))</f>
        <v/>
      </c>
      <c r="L68" s="28">
        <f>IF(OR(A68="",D68="Encerrado",H68=""),"",Config!$B$5-H68)</f>
        <v/>
      </c>
      <c r="M68" s="25">
        <f>IF(L68="","",IF(L68&gt;Config!$B$6,"Sim",""))</f>
        <v/>
      </c>
      <c r="N68" s="34">
        <f>IF(M68="Sim",L68-ROW()/100000,0)</f>
        <v>0</v>
      </c>
    </row>
    <row r="69">
      <c r="A69" s="30" t="n"/>
      <c r="B69" s="30" t="n"/>
      <c r="C69" s="32" t="n"/>
      <c r="D69" s="32" t="n"/>
      <c r="E69" s="32" t="n"/>
      <c r="F69" s="30" t="n"/>
      <c r="G69" s="33" t="n"/>
      <c r="H69" s="33" t="n"/>
      <c r="I69" s="30" t="n"/>
      <c r="J69" s="28">
        <f>IF(OR(K69="",K69="Encerrado",K69="Sem próxima ação"),"",G69-Config!$B$5)</f>
        <v/>
      </c>
      <c r="K69" s="25">
        <f>IF(A69="","",IF(D69="Encerrado","Encerrado",IF(G69="","Sem próxima ação",IF(G69&lt;Config!$B$5,"Atrasado",IF(G69=Config!$B$5,"Hoje",IF(G69-Config!$B$5&lt;=7,"Esta semana","Em dia"))))))</f>
        <v/>
      </c>
      <c r="L69" s="28">
        <f>IF(OR(A69="",D69="Encerrado",H69=""),"",Config!$B$5-H69)</f>
        <v/>
      </c>
      <c r="M69" s="25">
        <f>IF(L69="","",IF(L69&gt;Config!$B$6,"Sim",""))</f>
        <v/>
      </c>
      <c r="N69" s="34">
        <f>IF(M69="Sim",L69-ROW()/100000,0)</f>
        <v>0</v>
      </c>
    </row>
    <row r="70">
      <c r="A70" s="30" t="n"/>
      <c r="B70" s="30" t="n"/>
      <c r="C70" s="32" t="n"/>
      <c r="D70" s="32" t="n"/>
      <c r="E70" s="32" t="n"/>
      <c r="F70" s="30" t="n"/>
      <c r="G70" s="33" t="n"/>
      <c r="H70" s="33" t="n"/>
      <c r="I70" s="30" t="n"/>
      <c r="J70" s="28">
        <f>IF(OR(K70="",K70="Encerrado",K70="Sem próxima ação"),"",G70-Config!$B$5)</f>
        <v/>
      </c>
      <c r="K70" s="25">
        <f>IF(A70="","",IF(D70="Encerrado","Encerrado",IF(G70="","Sem próxima ação",IF(G70&lt;Config!$B$5,"Atrasado",IF(G70=Config!$B$5,"Hoje",IF(G70-Config!$B$5&lt;=7,"Esta semana","Em dia"))))))</f>
        <v/>
      </c>
      <c r="L70" s="28">
        <f>IF(OR(A70="",D70="Encerrado",H70=""),"",Config!$B$5-H70)</f>
        <v/>
      </c>
      <c r="M70" s="25">
        <f>IF(L70="","",IF(L70&gt;Config!$B$6,"Sim",""))</f>
        <v/>
      </c>
      <c r="N70" s="34">
        <f>IF(M70="Sim",L70-ROW()/100000,0)</f>
        <v>0</v>
      </c>
    </row>
    <row r="71">
      <c r="A71" s="30" t="n"/>
      <c r="B71" s="30" t="n"/>
      <c r="C71" s="32" t="n"/>
      <c r="D71" s="32" t="n"/>
      <c r="E71" s="32" t="n"/>
      <c r="F71" s="30" t="n"/>
      <c r="G71" s="33" t="n"/>
      <c r="H71" s="33" t="n"/>
      <c r="I71" s="30" t="n"/>
      <c r="J71" s="28">
        <f>IF(OR(K71="",K71="Encerrado",K71="Sem próxima ação"),"",G71-Config!$B$5)</f>
        <v/>
      </c>
      <c r="K71" s="25">
        <f>IF(A71="","",IF(D71="Encerrado","Encerrado",IF(G71="","Sem próxima ação",IF(G71&lt;Config!$B$5,"Atrasado",IF(G71=Config!$B$5,"Hoje",IF(G71-Config!$B$5&lt;=7,"Esta semana","Em dia"))))))</f>
        <v/>
      </c>
      <c r="L71" s="28">
        <f>IF(OR(A71="",D71="Encerrado",H71=""),"",Config!$B$5-H71)</f>
        <v/>
      </c>
      <c r="M71" s="25">
        <f>IF(L71="","",IF(L71&gt;Config!$B$6,"Sim",""))</f>
        <v/>
      </c>
      <c r="N71" s="34">
        <f>IF(M71="Sim",L71-ROW()/100000,0)</f>
        <v>0</v>
      </c>
    </row>
    <row r="72">
      <c r="A72" s="30" t="n"/>
      <c r="B72" s="30" t="n"/>
      <c r="C72" s="32" t="n"/>
      <c r="D72" s="32" t="n"/>
      <c r="E72" s="32" t="n"/>
      <c r="F72" s="30" t="n"/>
      <c r="G72" s="33" t="n"/>
      <c r="H72" s="33" t="n"/>
      <c r="I72" s="30" t="n"/>
      <c r="J72" s="28">
        <f>IF(OR(K72="",K72="Encerrado",K72="Sem próxima ação"),"",G72-Config!$B$5)</f>
        <v/>
      </c>
      <c r="K72" s="25">
        <f>IF(A72="","",IF(D72="Encerrado","Encerrado",IF(G72="","Sem próxima ação",IF(G72&lt;Config!$B$5,"Atrasado",IF(G72=Config!$B$5,"Hoje",IF(G72-Config!$B$5&lt;=7,"Esta semana","Em dia"))))))</f>
        <v/>
      </c>
      <c r="L72" s="28">
        <f>IF(OR(A72="",D72="Encerrado",H72=""),"",Config!$B$5-H72)</f>
        <v/>
      </c>
      <c r="M72" s="25">
        <f>IF(L72="","",IF(L72&gt;Config!$B$6,"Sim",""))</f>
        <v/>
      </c>
      <c r="N72" s="34">
        <f>IF(M72="Sim",L72-ROW()/100000,0)</f>
        <v>0</v>
      </c>
    </row>
    <row r="73">
      <c r="A73" s="30" t="n"/>
      <c r="B73" s="30" t="n"/>
      <c r="C73" s="32" t="n"/>
      <c r="D73" s="32" t="n"/>
      <c r="E73" s="32" t="n"/>
      <c r="F73" s="30" t="n"/>
      <c r="G73" s="33" t="n"/>
      <c r="H73" s="33" t="n"/>
      <c r="I73" s="30" t="n"/>
      <c r="J73" s="28">
        <f>IF(OR(K73="",K73="Encerrado",K73="Sem próxima ação"),"",G73-Config!$B$5)</f>
        <v/>
      </c>
      <c r="K73" s="25">
        <f>IF(A73="","",IF(D73="Encerrado","Encerrado",IF(G73="","Sem próxima ação",IF(G73&lt;Config!$B$5,"Atrasado",IF(G73=Config!$B$5,"Hoje",IF(G73-Config!$B$5&lt;=7,"Esta semana","Em dia"))))))</f>
        <v/>
      </c>
      <c r="L73" s="28">
        <f>IF(OR(A73="",D73="Encerrado",H73=""),"",Config!$B$5-H73)</f>
        <v/>
      </c>
      <c r="M73" s="25">
        <f>IF(L73="","",IF(L73&gt;Config!$B$6,"Sim",""))</f>
        <v/>
      </c>
      <c r="N73" s="34">
        <f>IF(M73="Sim",L73-ROW()/100000,0)</f>
        <v>0</v>
      </c>
    </row>
    <row r="74">
      <c r="A74" s="30" t="n"/>
      <c r="B74" s="30" t="n"/>
      <c r="C74" s="32" t="n"/>
      <c r="D74" s="32" t="n"/>
      <c r="E74" s="32" t="n"/>
      <c r="F74" s="30" t="n"/>
      <c r="G74" s="33" t="n"/>
      <c r="H74" s="33" t="n"/>
      <c r="I74" s="30" t="n"/>
      <c r="J74" s="28">
        <f>IF(OR(K74="",K74="Encerrado",K74="Sem próxima ação"),"",G74-Config!$B$5)</f>
        <v/>
      </c>
      <c r="K74" s="25">
        <f>IF(A74="","",IF(D74="Encerrado","Encerrado",IF(G74="","Sem próxima ação",IF(G74&lt;Config!$B$5,"Atrasado",IF(G74=Config!$B$5,"Hoje",IF(G74-Config!$B$5&lt;=7,"Esta semana","Em dia"))))))</f>
        <v/>
      </c>
      <c r="L74" s="28">
        <f>IF(OR(A74="",D74="Encerrado",H74=""),"",Config!$B$5-H74)</f>
        <v/>
      </c>
      <c r="M74" s="25">
        <f>IF(L74="","",IF(L74&gt;Config!$B$6,"Sim",""))</f>
        <v/>
      </c>
      <c r="N74" s="34">
        <f>IF(M74="Sim",L74-ROW()/100000,0)</f>
        <v>0</v>
      </c>
    </row>
    <row r="75">
      <c r="A75" s="30" t="n"/>
      <c r="B75" s="30" t="n"/>
      <c r="C75" s="32" t="n"/>
      <c r="D75" s="32" t="n"/>
      <c r="E75" s="32" t="n"/>
      <c r="F75" s="30" t="n"/>
      <c r="G75" s="33" t="n"/>
      <c r="H75" s="33" t="n"/>
      <c r="I75" s="30" t="n"/>
      <c r="J75" s="28">
        <f>IF(OR(K75="",K75="Encerrado",K75="Sem próxima ação"),"",G75-Config!$B$5)</f>
        <v/>
      </c>
      <c r="K75" s="25">
        <f>IF(A75="","",IF(D75="Encerrado","Encerrado",IF(G75="","Sem próxima ação",IF(G75&lt;Config!$B$5,"Atrasado",IF(G75=Config!$B$5,"Hoje",IF(G75-Config!$B$5&lt;=7,"Esta semana","Em dia"))))))</f>
        <v/>
      </c>
      <c r="L75" s="28">
        <f>IF(OR(A75="",D75="Encerrado",H75=""),"",Config!$B$5-H75)</f>
        <v/>
      </c>
      <c r="M75" s="25">
        <f>IF(L75="","",IF(L75&gt;Config!$B$6,"Sim",""))</f>
        <v/>
      </c>
      <c r="N75" s="34">
        <f>IF(M75="Sim",L75-ROW()/100000,0)</f>
        <v>0</v>
      </c>
    </row>
    <row r="76">
      <c r="A76" s="30" t="n"/>
      <c r="B76" s="30" t="n"/>
      <c r="C76" s="32" t="n"/>
      <c r="D76" s="32" t="n"/>
      <c r="E76" s="32" t="n"/>
      <c r="F76" s="30" t="n"/>
      <c r="G76" s="33" t="n"/>
      <c r="H76" s="33" t="n"/>
      <c r="I76" s="30" t="n"/>
      <c r="J76" s="28">
        <f>IF(OR(K76="",K76="Encerrado",K76="Sem próxima ação"),"",G76-Config!$B$5)</f>
        <v/>
      </c>
      <c r="K76" s="25">
        <f>IF(A76="","",IF(D76="Encerrado","Encerrado",IF(G76="","Sem próxima ação",IF(G76&lt;Config!$B$5,"Atrasado",IF(G76=Config!$B$5,"Hoje",IF(G76-Config!$B$5&lt;=7,"Esta semana","Em dia"))))))</f>
        <v/>
      </c>
      <c r="L76" s="28">
        <f>IF(OR(A76="",D76="Encerrado",H76=""),"",Config!$B$5-H76)</f>
        <v/>
      </c>
      <c r="M76" s="25">
        <f>IF(L76="","",IF(L76&gt;Config!$B$6,"Sim",""))</f>
        <v/>
      </c>
      <c r="N76" s="34">
        <f>IF(M76="Sim",L76-ROW()/100000,0)</f>
        <v>0</v>
      </c>
    </row>
    <row r="77">
      <c r="A77" s="30" t="n"/>
      <c r="B77" s="30" t="n"/>
      <c r="C77" s="32" t="n"/>
      <c r="D77" s="32" t="n"/>
      <c r="E77" s="32" t="n"/>
      <c r="F77" s="30" t="n"/>
      <c r="G77" s="33" t="n"/>
      <c r="H77" s="33" t="n"/>
      <c r="I77" s="30" t="n"/>
      <c r="J77" s="28">
        <f>IF(OR(K77="",K77="Encerrado",K77="Sem próxima ação"),"",G77-Config!$B$5)</f>
        <v/>
      </c>
      <c r="K77" s="25">
        <f>IF(A77="","",IF(D77="Encerrado","Encerrado",IF(G77="","Sem próxima ação",IF(G77&lt;Config!$B$5,"Atrasado",IF(G77=Config!$B$5,"Hoje",IF(G77-Config!$B$5&lt;=7,"Esta semana","Em dia"))))))</f>
        <v/>
      </c>
      <c r="L77" s="28">
        <f>IF(OR(A77="",D77="Encerrado",H77=""),"",Config!$B$5-H77)</f>
        <v/>
      </c>
      <c r="M77" s="25">
        <f>IF(L77="","",IF(L77&gt;Config!$B$6,"Sim",""))</f>
        <v/>
      </c>
      <c r="N77" s="34">
        <f>IF(M77="Sim",L77-ROW()/100000,0)</f>
        <v>0</v>
      </c>
    </row>
    <row r="78">
      <c r="A78" s="30" t="n"/>
      <c r="B78" s="30" t="n"/>
      <c r="C78" s="32" t="n"/>
      <c r="D78" s="32" t="n"/>
      <c r="E78" s="32" t="n"/>
      <c r="F78" s="30" t="n"/>
      <c r="G78" s="33" t="n"/>
      <c r="H78" s="33" t="n"/>
      <c r="I78" s="30" t="n"/>
      <c r="J78" s="28">
        <f>IF(OR(K78="",K78="Encerrado",K78="Sem próxima ação"),"",G78-Config!$B$5)</f>
        <v/>
      </c>
      <c r="K78" s="25">
        <f>IF(A78="","",IF(D78="Encerrado","Encerrado",IF(G78="","Sem próxima ação",IF(G78&lt;Config!$B$5,"Atrasado",IF(G78=Config!$B$5,"Hoje",IF(G78-Config!$B$5&lt;=7,"Esta semana","Em dia"))))))</f>
        <v/>
      </c>
      <c r="L78" s="28">
        <f>IF(OR(A78="",D78="Encerrado",H78=""),"",Config!$B$5-H78)</f>
        <v/>
      </c>
      <c r="M78" s="25">
        <f>IF(L78="","",IF(L78&gt;Config!$B$6,"Sim",""))</f>
        <v/>
      </c>
      <c r="N78" s="34">
        <f>IF(M78="Sim",L78-ROW()/100000,0)</f>
        <v>0</v>
      </c>
    </row>
    <row r="79">
      <c r="A79" s="30" t="n"/>
      <c r="B79" s="30" t="n"/>
      <c r="C79" s="32" t="n"/>
      <c r="D79" s="32" t="n"/>
      <c r="E79" s="32" t="n"/>
      <c r="F79" s="30" t="n"/>
      <c r="G79" s="33" t="n"/>
      <c r="H79" s="33" t="n"/>
      <c r="I79" s="30" t="n"/>
      <c r="J79" s="28">
        <f>IF(OR(K79="",K79="Encerrado",K79="Sem próxima ação"),"",G79-Config!$B$5)</f>
        <v/>
      </c>
      <c r="K79" s="25">
        <f>IF(A79="","",IF(D79="Encerrado","Encerrado",IF(G79="","Sem próxima ação",IF(G79&lt;Config!$B$5,"Atrasado",IF(G79=Config!$B$5,"Hoje",IF(G79-Config!$B$5&lt;=7,"Esta semana","Em dia"))))))</f>
        <v/>
      </c>
      <c r="L79" s="28">
        <f>IF(OR(A79="",D79="Encerrado",H79=""),"",Config!$B$5-H79)</f>
        <v/>
      </c>
      <c r="M79" s="25">
        <f>IF(L79="","",IF(L79&gt;Config!$B$6,"Sim",""))</f>
        <v/>
      </c>
      <c r="N79" s="34">
        <f>IF(M79="Sim",L79-ROW()/100000,0)</f>
        <v>0</v>
      </c>
    </row>
    <row r="80">
      <c r="A80" s="30" t="n"/>
      <c r="B80" s="30" t="n"/>
      <c r="C80" s="32" t="n"/>
      <c r="D80" s="32" t="n"/>
      <c r="E80" s="32" t="n"/>
      <c r="F80" s="30" t="n"/>
      <c r="G80" s="33" t="n"/>
      <c r="H80" s="33" t="n"/>
      <c r="I80" s="30" t="n"/>
      <c r="J80" s="28">
        <f>IF(OR(K80="",K80="Encerrado",K80="Sem próxima ação"),"",G80-Config!$B$5)</f>
        <v/>
      </c>
      <c r="K80" s="25">
        <f>IF(A80="","",IF(D80="Encerrado","Encerrado",IF(G80="","Sem próxima ação",IF(G80&lt;Config!$B$5,"Atrasado",IF(G80=Config!$B$5,"Hoje",IF(G80-Config!$B$5&lt;=7,"Esta semana","Em dia"))))))</f>
        <v/>
      </c>
      <c r="L80" s="28">
        <f>IF(OR(A80="",D80="Encerrado",H80=""),"",Config!$B$5-H80)</f>
        <v/>
      </c>
      <c r="M80" s="25">
        <f>IF(L80="","",IF(L80&gt;Config!$B$6,"Sim",""))</f>
        <v/>
      </c>
      <c r="N80" s="34">
        <f>IF(M80="Sim",L80-ROW()/100000,0)</f>
        <v>0</v>
      </c>
    </row>
    <row r="81">
      <c r="A81" s="30" t="n"/>
      <c r="B81" s="30" t="n"/>
      <c r="C81" s="32" t="n"/>
      <c r="D81" s="32" t="n"/>
      <c r="E81" s="32" t="n"/>
      <c r="F81" s="30" t="n"/>
      <c r="G81" s="33" t="n"/>
      <c r="H81" s="33" t="n"/>
      <c r="I81" s="30" t="n"/>
      <c r="J81" s="28">
        <f>IF(OR(K81="",K81="Encerrado",K81="Sem próxima ação"),"",G81-Config!$B$5)</f>
        <v/>
      </c>
      <c r="K81" s="25">
        <f>IF(A81="","",IF(D81="Encerrado","Encerrado",IF(G81="","Sem próxima ação",IF(G81&lt;Config!$B$5,"Atrasado",IF(G81=Config!$B$5,"Hoje",IF(G81-Config!$B$5&lt;=7,"Esta semana","Em dia"))))))</f>
        <v/>
      </c>
      <c r="L81" s="28">
        <f>IF(OR(A81="",D81="Encerrado",H81=""),"",Config!$B$5-H81)</f>
        <v/>
      </c>
      <c r="M81" s="25">
        <f>IF(L81="","",IF(L81&gt;Config!$B$6,"Sim",""))</f>
        <v/>
      </c>
      <c r="N81" s="34">
        <f>IF(M81="Sim",L81-ROW()/100000,0)</f>
        <v>0</v>
      </c>
    </row>
    <row r="82">
      <c r="A82" s="30" t="n"/>
      <c r="B82" s="30" t="n"/>
      <c r="C82" s="32" t="n"/>
      <c r="D82" s="32" t="n"/>
      <c r="E82" s="32" t="n"/>
      <c r="F82" s="30" t="n"/>
      <c r="G82" s="33" t="n"/>
      <c r="H82" s="33" t="n"/>
      <c r="I82" s="30" t="n"/>
      <c r="J82" s="28">
        <f>IF(OR(K82="",K82="Encerrado",K82="Sem próxima ação"),"",G82-Config!$B$5)</f>
        <v/>
      </c>
      <c r="K82" s="25">
        <f>IF(A82="","",IF(D82="Encerrado","Encerrado",IF(G82="","Sem próxima ação",IF(G82&lt;Config!$B$5,"Atrasado",IF(G82=Config!$B$5,"Hoje",IF(G82-Config!$B$5&lt;=7,"Esta semana","Em dia"))))))</f>
        <v/>
      </c>
      <c r="L82" s="28">
        <f>IF(OR(A82="",D82="Encerrado",H82=""),"",Config!$B$5-H82)</f>
        <v/>
      </c>
      <c r="M82" s="25">
        <f>IF(L82="","",IF(L82&gt;Config!$B$6,"Sim",""))</f>
        <v/>
      </c>
      <c r="N82" s="34">
        <f>IF(M82="Sim",L82-ROW()/100000,0)</f>
        <v>0</v>
      </c>
    </row>
    <row r="83">
      <c r="A83" s="30" t="n"/>
      <c r="B83" s="30" t="n"/>
      <c r="C83" s="32" t="n"/>
      <c r="D83" s="32" t="n"/>
      <c r="E83" s="32" t="n"/>
      <c r="F83" s="30" t="n"/>
      <c r="G83" s="33" t="n"/>
      <c r="H83" s="33" t="n"/>
      <c r="I83" s="30" t="n"/>
      <c r="J83" s="28">
        <f>IF(OR(K83="",K83="Encerrado",K83="Sem próxima ação"),"",G83-Config!$B$5)</f>
        <v/>
      </c>
      <c r="K83" s="25">
        <f>IF(A83="","",IF(D83="Encerrado","Encerrado",IF(G83="","Sem próxima ação",IF(G83&lt;Config!$B$5,"Atrasado",IF(G83=Config!$B$5,"Hoje",IF(G83-Config!$B$5&lt;=7,"Esta semana","Em dia"))))))</f>
        <v/>
      </c>
      <c r="L83" s="28">
        <f>IF(OR(A83="",D83="Encerrado",H83=""),"",Config!$B$5-H83)</f>
        <v/>
      </c>
      <c r="M83" s="25">
        <f>IF(L83="","",IF(L83&gt;Config!$B$6,"Sim",""))</f>
        <v/>
      </c>
      <c r="N83" s="34">
        <f>IF(M83="Sim",L83-ROW()/100000,0)</f>
        <v>0</v>
      </c>
    </row>
    <row r="84">
      <c r="A84" s="30" t="n"/>
      <c r="B84" s="30" t="n"/>
      <c r="C84" s="32" t="n"/>
      <c r="D84" s="32" t="n"/>
      <c r="E84" s="32" t="n"/>
      <c r="F84" s="30" t="n"/>
      <c r="G84" s="33" t="n"/>
      <c r="H84" s="33" t="n"/>
      <c r="I84" s="30" t="n"/>
      <c r="J84" s="28">
        <f>IF(OR(K84="",K84="Encerrado",K84="Sem próxima ação"),"",G84-Config!$B$5)</f>
        <v/>
      </c>
      <c r="K84" s="25">
        <f>IF(A84="","",IF(D84="Encerrado","Encerrado",IF(G84="","Sem próxima ação",IF(G84&lt;Config!$B$5,"Atrasado",IF(G84=Config!$B$5,"Hoje",IF(G84-Config!$B$5&lt;=7,"Esta semana","Em dia"))))))</f>
        <v/>
      </c>
      <c r="L84" s="28">
        <f>IF(OR(A84="",D84="Encerrado",H84=""),"",Config!$B$5-H84)</f>
        <v/>
      </c>
      <c r="M84" s="25">
        <f>IF(L84="","",IF(L84&gt;Config!$B$6,"Sim",""))</f>
        <v/>
      </c>
      <c r="N84" s="34">
        <f>IF(M84="Sim",L84-ROW()/100000,0)</f>
        <v>0</v>
      </c>
    </row>
    <row r="85">
      <c r="A85" s="30" t="n"/>
      <c r="B85" s="30" t="n"/>
      <c r="C85" s="32" t="n"/>
      <c r="D85" s="32" t="n"/>
      <c r="E85" s="32" t="n"/>
      <c r="F85" s="30" t="n"/>
      <c r="G85" s="33" t="n"/>
      <c r="H85" s="33" t="n"/>
      <c r="I85" s="30" t="n"/>
      <c r="J85" s="28">
        <f>IF(OR(K85="",K85="Encerrado",K85="Sem próxima ação"),"",G85-Config!$B$5)</f>
        <v/>
      </c>
      <c r="K85" s="25">
        <f>IF(A85="","",IF(D85="Encerrado","Encerrado",IF(G85="","Sem próxima ação",IF(G85&lt;Config!$B$5,"Atrasado",IF(G85=Config!$B$5,"Hoje",IF(G85-Config!$B$5&lt;=7,"Esta semana","Em dia"))))))</f>
        <v/>
      </c>
      <c r="L85" s="28">
        <f>IF(OR(A85="",D85="Encerrado",H85=""),"",Config!$B$5-H85)</f>
        <v/>
      </c>
      <c r="M85" s="25">
        <f>IF(L85="","",IF(L85&gt;Config!$B$6,"Sim",""))</f>
        <v/>
      </c>
      <c r="N85" s="34">
        <f>IF(M85="Sim",L85-ROW()/100000,0)</f>
        <v>0</v>
      </c>
    </row>
    <row r="86">
      <c r="A86" s="30" t="n"/>
      <c r="B86" s="30" t="n"/>
      <c r="C86" s="32" t="n"/>
      <c r="D86" s="32" t="n"/>
      <c r="E86" s="32" t="n"/>
      <c r="F86" s="30" t="n"/>
      <c r="G86" s="33" t="n"/>
      <c r="H86" s="33" t="n"/>
      <c r="I86" s="30" t="n"/>
      <c r="J86" s="28">
        <f>IF(OR(K86="",K86="Encerrado",K86="Sem próxima ação"),"",G86-Config!$B$5)</f>
        <v/>
      </c>
      <c r="K86" s="25">
        <f>IF(A86="","",IF(D86="Encerrado","Encerrado",IF(G86="","Sem próxima ação",IF(G86&lt;Config!$B$5,"Atrasado",IF(G86=Config!$B$5,"Hoje",IF(G86-Config!$B$5&lt;=7,"Esta semana","Em dia"))))))</f>
        <v/>
      </c>
      <c r="L86" s="28">
        <f>IF(OR(A86="",D86="Encerrado",H86=""),"",Config!$B$5-H86)</f>
        <v/>
      </c>
      <c r="M86" s="25">
        <f>IF(L86="","",IF(L86&gt;Config!$B$6,"Sim",""))</f>
        <v/>
      </c>
      <c r="N86" s="34">
        <f>IF(M86="Sim",L86-ROW()/100000,0)</f>
        <v>0</v>
      </c>
    </row>
    <row r="87">
      <c r="A87" s="30" t="n"/>
      <c r="B87" s="30" t="n"/>
      <c r="C87" s="32" t="n"/>
      <c r="D87" s="32" t="n"/>
      <c r="E87" s="32" t="n"/>
      <c r="F87" s="30" t="n"/>
      <c r="G87" s="33" t="n"/>
      <c r="H87" s="33" t="n"/>
      <c r="I87" s="30" t="n"/>
      <c r="J87" s="28">
        <f>IF(OR(K87="",K87="Encerrado",K87="Sem próxima ação"),"",G87-Config!$B$5)</f>
        <v/>
      </c>
      <c r="K87" s="25">
        <f>IF(A87="","",IF(D87="Encerrado","Encerrado",IF(G87="","Sem próxima ação",IF(G87&lt;Config!$B$5,"Atrasado",IF(G87=Config!$B$5,"Hoje",IF(G87-Config!$B$5&lt;=7,"Esta semana","Em dia"))))))</f>
        <v/>
      </c>
      <c r="L87" s="28">
        <f>IF(OR(A87="",D87="Encerrado",H87=""),"",Config!$B$5-H87)</f>
        <v/>
      </c>
      <c r="M87" s="25">
        <f>IF(L87="","",IF(L87&gt;Config!$B$6,"Sim",""))</f>
        <v/>
      </c>
      <c r="N87" s="34">
        <f>IF(M87="Sim",L87-ROW()/100000,0)</f>
        <v>0</v>
      </c>
    </row>
    <row r="88">
      <c r="A88" s="30" t="n"/>
      <c r="B88" s="30" t="n"/>
      <c r="C88" s="32" t="n"/>
      <c r="D88" s="32" t="n"/>
      <c r="E88" s="32" t="n"/>
      <c r="F88" s="30" t="n"/>
      <c r="G88" s="33" t="n"/>
      <c r="H88" s="33" t="n"/>
      <c r="I88" s="30" t="n"/>
      <c r="J88" s="28">
        <f>IF(OR(K88="",K88="Encerrado",K88="Sem próxima ação"),"",G88-Config!$B$5)</f>
        <v/>
      </c>
      <c r="K88" s="25">
        <f>IF(A88="","",IF(D88="Encerrado","Encerrado",IF(G88="","Sem próxima ação",IF(G88&lt;Config!$B$5,"Atrasado",IF(G88=Config!$B$5,"Hoje",IF(G88-Config!$B$5&lt;=7,"Esta semana","Em dia"))))))</f>
        <v/>
      </c>
      <c r="L88" s="28">
        <f>IF(OR(A88="",D88="Encerrado",H88=""),"",Config!$B$5-H88)</f>
        <v/>
      </c>
      <c r="M88" s="25">
        <f>IF(L88="","",IF(L88&gt;Config!$B$6,"Sim",""))</f>
        <v/>
      </c>
      <c r="N88" s="34">
        <f>IF(M88="Sim",L88-ROW()/100000,0)</f>
        <v>0</v>
      </c>
    </row>
    <row r="89">
      <c r="A89" s="30" t="n"/>
      <c r="B89" s="30" t="n"/>
      <c r="C89" s="32" t="n"/>
      <c r="D89" s="32" t="n"/>
      <c r="E89" s="32" t="n"/>
      <c r="F89" s="30" t="n"/>
      <c r="G89" s="33" t="n"/>
      <c r="H89" s="33" t="n"/>
      <c r="I89" s="30" t="n"/>
      <c r="J89" s="28">
        <f>IF(OR(K89="",K89="Encerrado",K89="Sem próxima ação"),"",G89-Config!$B$5)</f>
        <v/>
      </c>
      <c r="K89" s="25">
        <f>IF(A89="","",IF(D89="Encerrado","Encerrado",IF(G89="","Sem próxima ação",IF(G89&lt;Config!$B$5,"Atrasado",IF(G89=Config!$B$5,"Hoje",IF(G89-Config!$B$5&lt;=7,"Esta semana","Em dia"))))))</f>
        <v/>
      </c>
      <c r="L89" s="28">
        <f>IF(OR(A89="",D89="Encerrado",H89=""),"",Config!$B$5-H89)</f>
        <v/>
      </c>
      <c r="M89" s="25">
        <f>IF(L89="","",IF(L89&gt;Config!$B$6,"Sim",""))</f>
        <v/>
      </c>
      <c r="N89" s="34">
        <f>IF(M89="Sim",L89-ROW()/100000,0)</f>
        <v>0</v>
      </c>
    </row>
    <row r="90">
      <c r="A90" s="30" t="n"/>
      <c r="B90" s="30" t="n"/>
      <c r="C90" s="32" t="n"/>
      <c r="D90" s="32" t="n"/>
      <c r="E90" s="32" t="n"/>
      <c r="F90" s="30" t="n"/>
      <c r="G90" s="33" t="n"/>
      <c r="H90" s="33" t="n"/>
      <c r="I90" s="30" t="n"/>
      <c r="J90" s="28">
        <f>IF(OR(K90="",K90="Encerrado",K90="Sem próxima ação"),"",G90-Config!$B$5)</f>
        <v/>
      </c>
      <c r="K90" s="25">
        <f>IF(A90="","",IF(D90="Encerrado","Encerrado",IF(G90="","Sem próxima ação",IF(G90&lt;Config!$B$5,"Atrasado",IF(G90=Config!$B$5,"Hoje",IF(G90-Config!$B$5&lt;=7,"Esta semana","Em dia"))))))</f>
        <v/>
      </c>
      <c r="L90" s="28">
        <f>IF(OR(A90="",D90="Encerrado",H90=""),"",Config!$B$5-H90)</f>
        <v/>
      </c>
      <c r="M90" s="25">
        <f>IF(L90="","",IF(L90&gt;Config!$B$6,"Sim",""))</f>
        <v/>
      </c>
      <c r="N90" s="34">
        <f>IF(M90="Sim",L90-ROW()/100000,0)</f>
        <v>0</v>
      </c>
    </row>
    <row r="91">
      <c r="A91" s="30" t="n"/>
      <c r="B91" s="30" t="n"/>
      <c r="C91" s="32" t="n"/>
      <c r="D91" s="32" t="n"/>
      <c r="E91" s="32" t="n"/>
      <c r="F91" s="30" t="n"/>
      <c r="G91" s="33" t="n"/>
      <c r="H91" s="33" t="n"/>
      <c r="I91" s="30" t="n"/>
      <c r="J91" s="28">
        <f>IF(OR(K91="",K91="Encerrado",K91="Sem próxima ação"),"",G91-Config!$B$5)</f>
        <v/>
      </c>
      <c r="K91" s="25">
        <f>IF(A91="","",IF(D91="Encerrado","Encerrado",IF(G91="","Sem próxima ação",IF(G91&lt;Config!$B$5,"Atrasado",IF(G91=Config!$B$5,"Hoje",IF(G91-Config!$B$5&lt;=7,"Esta semana","Em dia"))))))</f>
        <v/>
      </c>
      <c r="L91" s="28">
        <f>IF(OR(A91="",D91="Encerrado",H91=""),"",Config!$B$5-H91)</f>
        <v/>
      </c>
      <c r="M91" s="25">
        <f>IF(L91="","",IF(L91&gt;Config!$B$6,"Sim",""))</f>
        <v/>
      </c>
      <c r="N91" s="34">
        <f>IF(M91="Sim",L91-ROW()/100000,0)</f>
        <v>0</v>
      </c>
    </row>
    <row r="92">
      <c r="A92" s="30" t="n"/>
      <c r="B92" s="30" t="n"/>
      <c r="C92" s="32" t="n"/>
      <c r="D92" s="32" t="n"/>
      <c r="E92" s="32" t="n"/>
      <c r="F92" s="30" t="n"/>
      <c r="G92" s="33" t="n"/>
      <c r="H92" s="33" t="n"/>
      <c r="I92" s="30" t="n"/>
      <c r="J92" s="28">
        <f>IF(OR(K92="",K92="Encerrado",K92="Sem próxima ação"),"",G92-Config!$B$5)</f>
        <v/>
      </c>
      <c r="K92" s="25">
        <f>IF(A92="","",IF(D92="Encerrado","Encerrado",IF(G92="","Sem próxima ação",IF(G92&lt;Config!$B$5,"Atrasado",IF(G92=Config!$B$5,"Hoje",IF(G92-Config!$B$5&lt;=7,"Esta semana","Em dia"))))))</f>
        <v/>
      </c>
      <c r="L92" s="28">
        <f>IF(OR(A92="",D92="Encerrado",H92=""),"",Config!$B$5-H92)</f>
        <v/>
      </c>
      <c r="M92" s="25">
        <f>IF(L92="","",IF(L92&gt;Config!$B$6,"Sim",""))</f>
        <v/>
      </c>
      <c r="N92" s="34">
        <f>IF(M92="Sim",L92-ROW()/100000,0)</f>
        <v>0</v>
      </c>
    </row>
    <row r="93">
      <c r="A93" s="30" t="n"/>
      <c r="B93" s="30" t="n"/>
      <c r="C93" s="32" t="n"/>
      <c r="D93" s="32" t="n"/>
      <c r="E93" s="32" t="n"/>
      <c r="F93" s="30" t="n"/>
      <c r="G93" s="33" t="n"/>
      <c r="H93" s="33" t="n"/>
      <c r="I93" s="30" t="n"/>
      <c r="J93" s="28">
        <f>IF(OR(K93="",K93="Encerrado",K93="Sem próxima ação"),"",G93-Config!$B$5)</f>
        <v/>
      </c>
      <c r="K93" s="25">
        <f>IF(A93="","",IF(D93="Encerrado","Encerrado",IF(G93="","Sem próxima ação",IF(G93&lt;Config!$B$5,"Atrasado",IF(G93=Config!$B$5,"Hoje",IF(G93-Config!$B$5&lt;=7,"Esta semana","Em dia"))))))</f>
        <v/>
      </c>
      <c r="L93" s="28">
        <f>IF(OR(A93="",D93="Encerrado",H93=""),"",Config!$B$5-H93)</f>
        <v/>
      </c>
      <c r="M93" s="25">
        <f>IF(L93="","",IF(L93&gt;Config!$B$6,"Sim",""))</f>
        <v/>
      </c>
      <c r="N93" s="34">
        <f>IF(M93="Sim",L93-ROW()/100000,0)</f>
        <v>0</v>
      </c>
    </row>
    <row r="94">
      <c r="A94" s="30" t="n"/>
      <c r="B94" s="30" t="n"/>
      <c r="C94" s="32" t="n"/>
      <c r="D94" s="32" t="n"/>
      <c r="E94" s="32" t="n"/>
      <c r="F94" s="30" t="n"/>
      <c r="G94" s="33" t="n"/>
      <c r="H94" s="33" t="n"/>
      <c r="I94" s="30" t="n"/>
      <c r="J94" s="28">
        <f>IF(OR(K94="",K94="Encerrado",K94="Sem próxima ação"),"",G94-Config!$B$5)</f>
        <v/>
      </c>
      <c r="K94" s="25">
        <f>IF(A94="","",IF(D94="Encerrado","Encerrado",IF(G94="","Sem próxima ação",IF(G94&lt;Config!$B$5,"Atrasado",IF(G94=Config!$B$5,"Hoje",IF(G94-Config!$B$5&lt;=7,"Esta semana","Em dia"))))))</f>
        <v/>
      </c>
      <c r="L94" s="28">
        <f>IF(OR(A94="",D94="Encerrado",H94=""),"",Config!$B$5-H94)</f>
        <v/>
      </c>
      <c r="M94" s="25">
        <f>IF(L94="","",IF(L94&gt;Config!$B$6,"Sim",""))</f>
        <v/>
      </c>
      <c r="N94" s="34">
        <f>IF(M94="Sim",L94-ROW()/100000,0)</f>
        <v>0</v>
      </c>
    </row>
    <row r="95">
      <c r="A95" s="30" t="n"/>
      <c r="B95" s="30" t="n"/>
      <c r="C95" s="32" t="n"/>
      <c r="D95" s="32" t="n"/>
      <c r="E95" s="32" t="n"/>
      <c r="F95" s="30" t="n"/>
      <c r="G95" s="33" t="n"/>
      <c r="H95" s="33" t="n"/>
      <c r="I95" s="30" t="n"/>
      <c r="J95" s="28">
        <f>IF(OR(K95="",K95="Encerrado",K95="Sem próxima ação"),"",G95-Config!$B$5)</f>
        <v/>
      </c>
      <c r="K95" s="25">
        <f>IF(A95="","",IF(D95="Encerrado","Encerrado",IF(G95="","Sem próxima ação",IF(G95&lt;Config!$B$5,"Atrasado",IF(G95=Config!$B$5,"Hoje",IF(G95-Config!$B$5&lt;=7,"Esta semana","Em dia"))))))</f>
        <v/>
      </c>
      <c r="L95" s="28">
        <f>IF(OR(A95="",D95="Encerrado",H95=""),"",Config!$B$5-H95)</f>
        <v/>
      </c>
      <c r="M95" s="25">
        <f>IF(L95="","",IF(L95&gt;Config!$B$6,"Sim",""))</f>
        <v/>
      </c>
      <c r="N95" s="34">
        <f>IF(M95="Sim",L95-ROW()/100000,0)</f>
        <v>0</v>
      </c>
    </row>
    <row r="96">
      <c r="A96" s="30" t="n"/>
      <c r="B96" s="30" t="n"/>
      <c r="C96" s="32" t="n"/>
      <c r="D96" s="32" t="n"/>
      <c r="E96" s="32" t="n"/>
      <c r="F96" s="30" t="n"/>
      <c r="G96" s="33" t="n"/>
      <c r="H96" s="33" t="n"/>
      <c r="I96" s="30" t="n"/>
      <c r="J96" s="28">
        <f>IF(OR(K96="",K96="Encerrado",K96="Sem próxima ação"),"",G96-Config!$B$5)</f>
        <v/>
      </c>
      <c r="K96" s="25">
        <f>IF(A96="","",IF(D96="Encerrado","Encerrado",IF(G96="","Sem próxima ação",IF(G96&lt;Config!$B$5,"Atrasado",IF(G96=Config!$B$5,"Hoje",IF(G96-Config!$B$5&lt;=7,"Esta semana","Em dia"))))))</f>
        <v/>
      </c>
      <c r="L96" s="28">
        <f>IF(OR(A96="",D96="Encerrado",H96=""),"",Config!$B$5-H96)</f>
        <v/>
      </c>
      <c r="M96" s="25">
        <f>IF(L96="","",IF(L96&gt;Config!$B$6,"Sim",""))</f>
        <v/>
      </c>
      <c r="N96" s="34">
        <f>IF(M96="Sim",L96-ROW()/100000,0)</f>
        <v>0</v>
      </c>
    </row>
    <row r="97">
      <c r="A97" s="30" t="n"/>
      <c r="B97" s="30" t="n"/>
      <c r="C97" s="32" t="n"/>
      <c r="D97" s="32" t="n"/>
      <c r="E97" s="32" t="n"/>
      <c r="F97" s="30" t="n"/>
      <c r="G97" s="33" t="n"/>
      <c r="H97" s="33" t="n"/>
      <c r="I97" s="30" t="n"/>
      <c r="J97" s="28">
        <f>IF(OR(K97="",K97="Encerrado",K97="Sem próxima ação"),"",G97-Config!$B$5)</f>
        <v/>
      </c>
      <c r="K97" s="25">
        <f>IF(A97="","",IF(D97="Encerrado","Encerrado",IF(G97="","Sem próxima ação",IF(G97&lt;Config!$B$5,"Atrasado",IF(G97=Config!$B$5,"Hoje",IF(G97-Config!$B$5&lt;=7,"Esta semana","Em dia"))))))</f>
        <v/>
      </c>
      <c r="L97" s="28">
        <f>IF(OR(A97="",D97="Encerrado",H97=""),"",Config!$B$5-H97)</f>
        <v/>
      </c>
      <c r="M97" s="25">
        <f>IF(L97="","",IF(L97&gt;Config!$B$6,"Sim",""))</f>
        <v/>
      </c>
      <c r="N97" s="34">
        <f>IF(M97="Sim",L97-ROW()/100000,0)</f>
        <v>0</v>
      </c>
    </row>
    <row r="98">
      <c r="A98" s="30" t="n"/>
      <c r="B98" s="30" t="n"/>
      <c r="C98" s="32" t="n"/>
      <c r="D98" s="32" t="n"/>
      <c r="E98" s="32" t="n"/>
      <c r="F98" s="30" t="n"/>
      <c r="G98" s="33" t="n"/>
      <c r="H98" s="33" t="n"/>
      <c r="I98" s="30" t="n"/>
      <c r="J98" s="28">
        <f>IF(OR(K98="",K98="Encerrado",K98="Sem próxima ação"),"",G98-Config!$B$5)</f>
        <v/>
      </c>
      <c r="K98" s="25">
        <f>IF(A98="","",IF(D98="Encerrado","Encerrado",IF(G98="","Sem próxima ação",IF(G98&lt;Config!$B$5,"Atrasado",IF(G98=Config!$B$5,"Hoje",IF(G98-Config!$B$5&lt;=7,"Esta semana","Em dia"))))))</f>
        <v/>
      </c>
      <c r="L98" s="28">
        <f>IF(OR(A98="",D98="Encerrado",H98=""),"",Config!$B$5-H98)</f>
        <v/>
      </c>
      <c r="M98" s="25">
        <f>IF(L98="","",IF(L98&gt;Config!$B$6,"Sim",""))</f>
        <v/>
      </c>
      <c r="N98" s="34">
        <f>IF(M98="Sim",L98-ROW()/100000,0)</f>
        <v>0</v>
      </c>
    </row>
    <row r="99">
      <c r="A99" s="30" t="n"/>
      <c r="B99" s="30" t="n"/>
      <c r="C99" s="32" t="n"/>
      <c r="D99" s="32" t="n"/>
      <c r="E99" s="32" t="n"/>
      <c r="F99" s="30" t="n"/>
      <c r="G99" s="33" t="n"/>
      <c r="H99" s="33" t="n"/>
      <c r="I99" s="30" t="n"/>
      <c r="J99" s="28">
        <f>IF(OR(K99="",K99="Encerrado",K99="Sem próxima ação"),"",G99-Config!$B$5)</f>
        <v/>
      </c>
      <c r="K99" s="25">
        <f>IF(A99="","",IF(D99="Encerrado","Encerrado",IF(G99="","Sem próxima ação",IF(G99&lt;Config!$B$5,"Atrasado",IF(G99=Config!$B$5,"Hoje",IF(G99-Config!$B$5&lt;=7,"Esta semana","Em dia"))))))</f>
        <v/>
      </c>
      <c r="L99" s="28">
        <f>IF(OR(A99="",D99="Encerrado",H99=""),"",Config!$B$5-H99)</f>
        <v/>
      </c>
      <c r="M99" s="25">
        <f>IF(L99="","",IF(L99&gt;Config!$B$6,"Sim",""))</f>
        <v/>
      </c>
      <c r="N99" s="34">
        <f>IF(M99="Sim",L99-ROW()/100000,0)</f>
        <v>0</v>
      </c>
    </row>
    <row r="100">
      <c r="A100" s="30" t="n"/>
      <c r="B100" s="30" t="n"/>
      <c r="C100" s="32" t="n"/>
      <c r="D100" s="32" t="n"/>
      <c r="E100" s="32" t="n"/>
      <c r="F100" s="30" t="n"/>
      <c r="G100" s="33" t="n"/>
      <c r="H100" s="33" t="n"/>
      <c r="I100" s="30" t="n"/>
      <c r="J100" s="28">
        <f>IF(OR(K100="",K100="Encerrado",K100="Sem próxima ação"),"",G100-Config!$B$5)</f>
        <v/>
      </c>
      <c r="K100" s="25">
        <f>IF(A100="","",IF(D100="Encerrado","Encerrado",IF(G100="","Sem próxima ação",IF(G100&lt;Config!$B$5,"Atrasado",IF(G100=Config!$B$5,"Hoje",IF(G100-Config!$B$5&lt;=7,"Esta semana","Em dia"))))))</f>
        <v/>
      </c>
      <c r="L100" s="28">
        <f>IF(OR(A100="",D100="Encerrado",H100=""),"",Config!$B$5-H100)</f>
        <v/>
      </c>
      <c r="M100" s="25">
        <f>IF(L100="","",IF(L100&gt;Config!$B$6,"Sim",""))</f>
        <v/>
      </c>
      <c r="N100" s="34">
        <f>IF(M100="Sim",L100-ROW()/100000,0)</f>
        <v>0</v>
      </c>
    </row>
    <row r="101">
      <c r="A101" s="30" t="n"/>
      <c r="B101" s="30" t="n"/>
      <c r="C101" s="32" t="n"/>
      <c r="D101" s="32" t="n"/>
      <c r="E101" s="32" t="n"/>
      <c r="F101" s="30" t="n"/>
      <c r="G101" s="33" t="n"/>
      <c r="H101" s="33" t="n"/>
      <c r="I101" s="30" t="n"/>
      <c r="J101" s="28">
        <f>IF(OR(K101="",K101="Encerrado",K101="Sem próxima ação"),"",G101-Config!$B$5)</f>
        <v/>
      </c>
      <c r="K101" s="25">
        <f>IF(A101="","",IF(D101="Encerrado","Encerrado",IF(G101="","Sem próxima ação",IF(G101&lt;Config!$B$5,"Atrasado",IF(G101=Config!$B$5,"Hoje",IF(G101-Config!$B$5&lt;=7,"Esta semana","Em dia"))))))</f>
        <v/>
      </c>
      <c r="L101" s="28">
        <f>IF(OR(A101="",D101="Encerrado",H101=""),"",Config!$B$5-H101)</f>
        <v/>
      </c>
      <c r="M101" s="25">
        <f>IF(L101="","",IF(L101&gt;Config!$B$6,"Sim",""))</f>
        <v/>
      </c>
      <c r="N101" s="34">
        <f>IF(M101="Sim",L101-ROW()/100000,0)</f>
        <v>0</v>
      </c>
    </row>
    <row r="102">
      <c r="A102" s="30" t="n"/>
      <c r="B102" s="30" t="n"/>
      <c r="C102" s="32" t="n"/>
      <c r="D102" s="32" t="n"/>
      <c r="E102" s="32" t="n"/>
      <c r="F102" s="30" t="n"/>
      <c r="G102" s="33" t="n"/>
      <c r="H102" s="33" t="n"/>
      <c r="I102" s="30" t="n"/>
      <c r="J102" s="28">
        <f>IF(OR(K102="",K102="Encerrado",K102="Sem próxima ação"),"",G102-Config!$B$5)</f>
        <v/>
      </c>
      <c r="K102" s="25">
        <f>IF(A102="","",IF(D102="Encerrado","Encerrado",IF(G102="","Sem próxima ação",IF(G102&lt;Config!$B$5,"Atrasado",IF(G102=Config!$B$5,"Hoje",IF(G102-Config!$B$5&lt;=7,"Esta semana","Em dia"))))))</f>
        <v/>
      </c>
      <c r="L102" s="28">
        <f>IF(OR(A102="",D102="Encerrado",H102=""),"",Config!$B$5-H102)</f>
        <v/>
      </c>
      <c r="M102" s="25">
        <f>IF(L102="","",IF(L102&gt;Config!$B$6,"Sim",""))</f>
        <v/>
      </c>
      <c r="N102" s="34">
        <f>IF(M102="Sim",L102-ROW()/100000,0)</f>
        <v>0</v>
      </c>
    </row>
    <row r="103">
      <c r="A103" s="30" t="n"/>
      <c r="B103" s="30" t="n"/>
      <c r="C103" s="32" t="n"/>
      <c r="D103" s="32" t="n"/>
      <c r="E103" s="32" t="n"/>
      <c r="F103" s="30" t="n"/>
      <c r="G103" s="33" t="n"/>
      <c r="H103" s="33" t="n"/>
      <c r="I103" s="30" t="n"/>
      <c r="J103" s="28">
        <f>IF(OR(K103="",K103="Encerrado",K103="Sem próxima ação"),"",G103-Config!$B$5)</f>
        <v/>
      </c>
      <c r="K103" s="25">
        <f>IF(A103="","",IF(D103="Encerrado","Encerrado",IF(G103="","Sem próxima ação",IF(G103&lt;Config!$B$5,"Atrasado",IF(G103=Config!$B$5,"Hoje",IF(G103-Config!$B$5&lt;=7,"Esta semana","Em dia"))))))</f>
        <v/>
      </c>
      <c r="L103" s="28">
        <f>IF(OR(A103="",D103="Encerrado",H103=""),"",Config!$B$5-H103)</f>
        <v/>
      </c>
      <c r="M103" s="25">
        <f>IF(L103="","",IF(L103&gt;Config!$B$6,"Sim",""))</f>
        <v/>
      </c>
      <c r="N103" s="34">
        <f>IF(M103="Sim",L103-ROW()/100000,0)</f>
        <v>0</v>
      </c>
    </row>
    <row r="104">
      <c r="A104" s="30" t="n"/>
      <c r="B104" s="30" t="n"/>
      <c r="C104" s="32" t="n"/>
      <c r="D104" s="32" t="n"/>
      <c r="E104" s="32" t="n"/>
      <c r="F104" s="30" t="n"/>
      <c r="G104" s="33" t="n"/>
      <c r="H104" s="33" t="n"/>
      <c r="I104" s="30" t="n"/>
      <c r="J104" s="28">
        <f>IF(OR(K104="",K104="Encerrado",K104="Sem próxima ação"),"",G104-Config!$B$5)</f>
        <v/>
      </c>
      <c r="K104" s="25">
        <f>IF(A104="","",IF(D104="Encerrado","Encerrado",IF(G104="","Sem próxima ação",IF(G104&lt;Config!$B$5,"Atrasado",IF(G104=Config!$B$5,"Hoje",IF(G104-Config!$B$5&lt;=7,"Esta semana","Em dia"))))))</f>
        <v/>
      </c>
      <c r="L104" s="28">
        <f>IF(OR(A104="",D104="Encerrado",H104=""),"",Config!$B$5-H104)</f>
        <v/>
      </c>
      <c r="M104" s="25">
        <f>IF(L104="","",IF(L104&gt;Config!$B$6,"Sim",""))</f>
        <v/>
      </c>
      <c r="N104" s="34">
        <f>IF(M104="Sim",L104-ROW()/100000,0)</f>
        <v>0</v>
      </c>
    </row>
    <row r="105">
      <c r="A105" s="30" t="n"/>
      <c r="B105" s="30" t="n"/>
      <c r="C105" s="32" t="n"/>
      <c r="D105" s="32" t="n"/>
      <c r="E105" s="32" t="n"/>
      <c r="F105" s="30" t="n"/>
      <c r="G105" s="33" t="n"/>
      <c r="H105" s="33" t="n"/>
      <c r="I105" s="30" t="n"/>
      <c r="J105" s="28">
        <f>IF(OR(K105="",K105="Encerrado",K105="Sem próxima ação"),"",G105-Config!$B$5)</f>
        <v/>
      </c>
      <c r="K105" s="25">
        <f>IF(A105="","",IF(D105="Encerrado","Encerrado",IF(G105="","Sem próxima ação",IF(G105&lt;Config!$B$5,"Atrasado",IF(G105=Config!$B$5,"Hoje",IF(G105-Config!$B$5&lt;=7,"Esta semana","Em dia"))))))</f>
        <v/>
      </c>
      <c r="L105" s="28">
        <f>IF(OR(A105="",D105="Encerrado",H105=""),"",Config!$B$5-H105)</f>
        <v/>
      </c>
      <c r="M105" s="25">
        <f>IF(L105="","",IF(L105&gt;Config!$B$6,"Sim",""))</f>
        <v/>
      </c>
      <c r="N105" s="34">
        <f>IF(M105="Sim",L105-ROW()/100000,0)</f>
        <v>0</v>
      </c>
    </row>
    <row r="106">
      <c r="A106" s="30" t="n"/>
      <c r="B106" s="30" t="n"/>
      <c r="C106" s="32" t="n"/>
      <c r="D106" s="32" t="n"/>
      <c r="E106" s="32" t="n"/>
      <c r="F106" s="30" t="n"/>
      <c r="G106" s="33" t="n"/>
      <c r="H106" s="33" t="n"/>
      <c r="I106" s="30" t="n"/>
      <c r="J106" s="28">
        <f>IF(OR(K106="",K106="Encerrado",K106="Sem próxima ação"),"",G106-Config!$B$5)</f>
        <v/>
      </c>
      <c r="K106" s="25">
        <f>IF(A106="","",IF(D106="Encerrado","Encerrado",IF(G106="","Sem próxima ação",IF(G106&lt;Config!$B$5,"Atrasado",IF(G106=Config!$B$5,"Hoje",IF(G106-Config!$B$5&lt;=7,"Esta semana","Em dia"))))))</f>
        <v/>
      </c>
      <c r="L106" s="28">
        <f>IF(OR(A106="",D106="Encerrado",H106=""),"",Config!$B$5-H106)</f>
        <v/>
      </c>
      <c r="M106" s="25">
        <f>IF(L106="","",IF(L106&gt;Config!$B$6,"Sim",""))</f>
        <v/>
      </c>
      <c r="N106" s="34">
        <f>IF(M106="Sim",L106-ROW()/100000,0)</f>
        <v>0</v>
      </c>
    </row>
    <row r="107">
      <c r="A107" s="30" t="n"/>
      <c r="B107" s="30" t="n"/>
      <c r="C107" s="32" t="n"/>
      <c r="D107" s="32" t="n"/>
      <c r="E107" s="32" t="n"/>
      <c r="F107" s="30" t="n"/>
      <c r="G107" s="33" t="n"/>
      <c r="H107" s="33" t="n"/>
      <c r="I107" s="30" t="n"/>
      <c r="J107" s="28">
        <f>IF(OR(K107="",K107="Encerrado",K107="Sem próxima ação"),"",G107-Config!$B$5)</f>
        <v/>
      </c>
      <c r="K107" s="25">
        <f>IF(A107="","",IF(D107="Encerrado","Encerrado",IF(G107="","Sem próxima ação",IF(G107&lt;Config!$B$5,"Atrasado",IF(G107=Config!$B$5,"Hoje",IF(G107-Config!$B$5&lt;=7,"Esta semana","Em dia"))))))</f>
        <v/>
      </c>
      <c r="L107" s="28">
        <f>IF(OR(A107="",D107="Encerrado",H107=""),"",Config!$B$5-H107)</f>
        <v/>
      </c>
      <c r="M107" s="25">
        <f>IF(L107="","",IF(L107&gt;Config!$B$6,"Sim",""))</f>
        <v/>
      </c>
      <c r="N107" s="34">
        <f>IF(M107="Sim",L107-ROW()/100000,0)</f>
        <v>0</v>
      </c>
    </row>
    <row r="108">
      <c r="A108" s="30" t="n"/>
      <c r="B108" s="30" t="n"/>
      <c r="C108" s="32" t="n"/>
      <c r="D108" s="32" t="n"/>
      <c r="E108" s="32" t="n"/>
      <c r="F108" s="30" t="n"/>
      <c r="G108" s="33" t="n"/>
      <c r="H108" s="33" t="n"/>
      <c r="I108" s="30" t="n"/>
      <c r="J108" s="28">
        <f>IF(OR(K108="",K108="Encerrado",K108="Sem próxima ação"),"",G108-Config!$B$5)</f>
        <v/>
      </c>
      <c r="K108" s="25">
        <f>IF(A108="","",IF(D108="Encerrado","Encerrado",IF(G108="","Sem próxima ação",IF(G108&lt;Config!$B$5,"Atrasado",IF(G108=Config!$B$5,"Hoje",IF(G108-Config!$B$5&lt;=7,"Esta semana","Em dia"))))))</f>
        <v/>
      </c>
      <c r="L108" s="28">
        <f>IF(OR(A108="",D108="Encerrado",H108=""),"",Config!$B$5-H108)</f>
        <v/>
      </c>
      <c r="M108" s="25">
        <f>IF(L108="","",IF(L108&gt;Config!$B$6,"Sim",""))</f>
        <v/>
      </c>
      <c r="N108" s="34">
        <f>IF(M108="Sim",L108-ROW()/100000,0)</f>
        <v>0</v>
      </c>
    </row>
    <row r="109">
      <c r="A109" s="30" t="n"/>
      <c r="B109" s="30" t="n"/>
      <c r="C109" s="32" t="n"/>
      <c r="D109" s="32" t="n"/>
      <c r="E109" s="32" t="n"/>
      <c r="F109" s="30" t="n"/>
      <c r="G109" s="33" t="n"/>
      <c r="H109" s="33" t="n"/>
      <c r="I109" s="30" t="n"/>
      <c r="J109" s="28">
        <f>IF(OR(K109="",K109="Encerrado",K109="Sem próxima ação"),"",G109-Config!$B$5)</f>
        <v/>
      </c>
      <c r="K109" s="25">
        <f>IF(A109="","",IF(D109="Encerrado","Encerrado",IF(G109="","Sem próxima ação",IF(G109&lt;Config!$B$5,"Atrasado",IF(G109=Config!$B$5,"Hoje",IF(G109-Config!$B$5&lt;=7,"Esta semana","Em dia"))))))</f>
        <v/>
      </c>
      <c r="L109" s="28">
        <f>IF(OR(A109="",D109="Encerrado",H109=""),"",Config!$B$5-H109)</f>
        <v/>
      </c>
      <c r="M109" s="25">
        <f>IF(L109="","",IF(L109&gt;Config!$B$6,"Sim",""))</f>
        <v/>
      </c>
      <c r="N109" s="34">
        <f>IF(M109="Sim",L109-ROW()/100000,0)</f>
        <v>0</v>
      </c>
    </row>
    <row r="110">
      <c r="A110" s="30" t="n"/>
      <c r="B110" s="30" t="n"/>
      <c r="C110" s="32" t="n"/>
      <c r="D110" s="32" t="n"/>
      <c r="E110" s="32" t="n"/>
      <c r="F110" s="30" t="n"/>
      <c r="G110" s="33" t="n"/>
      <c r="H110" s="33" t="n"/>
      <c r="I110" s="30" t="n"/>
      <c r="J110" s="28">
        <f>IF(OR(K110="",K110="Encerrado",K110="Sem próxima ação"),"",G110-Config!$B$5)</f>
        <v/>
      </c>
      <c r="K110" s="25">
        <f>IF(A110="","",IF(D110="Encerrado","Encerrado",IF(G110="","Sem próxima ação",IF(G110&lt;Config!$B$5,"Atrasado",IF(G110=Config!$B$5,"Hoje",IF(G110-Config!$B$5&lt;=7,"Esta semana","Em dia"))))))</f>
        <v/>
      </c>
      <c r="L110" s="28">
        <f>IF(OR(A110="",D110="Encerrado",H110=""),"",Config!$B$5-H110)</f>
        <v/>
      </c>
      <c r="M110" s="25">
        <f>IF(L110="","",IF(L110&gt;Config!$B$6,"Sim",""))</f>
        <v/>
      </c>
      <c r="N110" s="34">
        <f>IF(M110="Sim",L110-ROW()/100000,0)</f>
        <v>0</v>
      </c>
    </row>
    <row r="111">
      <c r="A111" s="30" t="n"/>
      <c r="B111" s="30" t="n"/>
      <c r="C111" s="32" t="n"/>
      <c r="D111" s="32" t="n"/>
      <c r="E111" s="32" t="n"/>
      <c r="F111" s="30" t="n"/>
      <c r="G111" s="33" t="n"/>
      <c r="H111" s="33" t="n"/>
      <c r="I111" s="30" t="n"/>
      <c r="J111" s="28">
        <f>IF(OR(K111="",K111="Encerrado",K111="Sem próxima ação"),"",G111-Config!$B$5)</f>
        <v/>
      </c>
      <c r="K111" s="25">
        <f>IF(A111="","",IF(D111="Encerrado","Encerrado",IF(G111="","Sem próxima ação",IF(G111&lt;Config!$B$5,"Atrasado",IF(G111=Config!$B$5,"Hoje",IF(G111-Config!$B$5&lt;=7,"Esta semana","Em dia"))))))</f>
        <v/>
      </c>
      <c r="L111" s="28">
        <f>IF(OR(A111="",D111="Encerrado",H111=""),"",Config!$B$5-H111)</f>
        <v/>
      </c>
      <c r="M111" s="25">
        <f>IF(L111="","",IF(L111&gt;Config!$B$6,"Sim",""))</f>
        <v/>
      </c>
      <c r="N111" s="34">
        <f>IF(M111="Sim",L111-ROW()/100000,0)</f>
        <v>0</v>
      </c>
    </row>
    <row r="112">
      <c r="A112" s="30" t="n"/>
      <c r="B112" s="30" t="n"/>
      <c r="C112" s="32" t="n"/>
      <c r="D112" s="32" t="n"/>
      <c r="E112" s="32" t="n"/>
      <c r="F112" s="30" t="n"/>
      <c r="G112" s="33" t="n"/>
      <c r="H112" s="33" t="n"/>
      <c r="I112" s="30" t="n"/>
      <c r="J112" s="28">
        <f>IF(OR(K112="",K112="Encerrado",K112="Sem próxima ação"),"",G112-Config!$B$5)</f>
        <v/>
      </c>
      <c r="K112" s="25">
        <f>IF(A112="","",IF(D112="Encerrado","Encerrado",IF(G112="","Sem próxima ação",IF(G112&lt;Config!$B$5,"Atrasado",IF(G112=Config!$B$5,"Hoje",IF(G112-Config!$B$5&lt;=7,"Esta semana","Em dia"))))))</f>
        <v/>
      </c>
      <c r="L112" s="28">
        <f>IF(OR(A112="",D112="Encerrado",H112=""),"",Config!$B$5-H112)</f>
        <v/>
      </c>
      <c r="M112" s="25">
        <f>IF(L112="","",IF(L112&gt;Config!$B$6,"Sim",""))</f>
        <v/>
      </c>
      <c r="N112" s="34">
        <f>IF(M112="Sim",L112-ROW()/100000,0)</f>
        <v>0</v>
      </c>
    </row>
    <row r="113">
      <c r="A113" s="30" t="n"/>
      <c r="B113" s="30" t="n"/>
      <c r="C113" s="32" t="n"/>
      <c r="D113" s="32" t="n"/>
      <c r="E113" s="32" t="n"/>
      <c r="F113" s="30" t="n"/>
      <c r="G113" s="33" t="n"/>
      <c r="H113" s="33" t="n"/>
      <c r="I113" s="30" t="n"/>
      <c r="J113" s="28">
        <f>IF(OR(K113="",K113="Encerrado",K113="Sem próxima ação"),"",G113-Config!$B$5)</f>
        <v/>
      </c>
      <c r="K113" s="25">
        <f>IF(A113="","",IF(D113="Encerrado","Encerrado",IF(G113="","Sem próxima ação",IF(G113&lt;Config!$B$5,"Atrasado",IF(G113=Config!$B$5,"Hoje",IF(G113-Config!$B$5&lt;=7,"Esta semana","Em dia"))))))</f>
        <v/>
      </c>
      <c r="L113" s="28">
        <f>IF(OR(A113="",D113="Encerrado",H113=""),"",Config!$B$5-H113)</f>
        <v/>
      </c>
      <c r="M113" s="25">
        <f>IF(L113="","",IF(L113&gt;Config!$B$6,"Sim",""))</f>
        <v/>
      </c>
      <c r="N113" s="34">
        <f>IF(M113="Sim",L113-ROW()/100000,0)</f>
        <v>0</v>
      </c>
    </row>
    <row r="114">
      <c r="A114" s="30" t="n"/>
      <c r="B114" s="30" t="n"/>
      <c r="C114" s="32" t="n"/>
      <c r="D114" s="32" t="n"/>
      <c r="E114" s="32" t="n"/>
      <c r="F114" s="30" t="n"/>
      <c r="G114" s="33" t="n"/>
      <c r="H114" s="33" t="n"/>
      <c r="I114" s="30" t="n"/>
      <c r="J114" s="28">
        <f>IF(OR(K114="",K114="Encerrado",K114="Sem próxima ação"),"",G114-Config!$B$5)</f>
        <v/>
      </c>
      <c r="K114" s="25">
        <f>IF(A114="","",IF(D114="Encerrado","Encerrado",IF(G114="","Sem próxima ação",IF(G114&lt;Config!$B$5,"Atrasado",IF(G114=Config!$B$5,"Hoje",IF(G114-Config!$B$5&lt;=7,"Esta semana","Em dia"))))))</f>
        <v/>
      </c>
      <c r="L114" s="28">
        <f>IF(OR(A114="",D114="Encerrado",H114=""),"",Config!$B$5-H114)</f>
        <v/>
      </c>
      <c r="M114" s="25">
        <f>IF(L114="","",IF(L114&gt;Config!$B$6,"Sim",""))</f>
        <v/>
      </c>
      <c r="N114" s="34">
        <f>IF(M114="Sim",L114-ROW()/100000,0)</f>
        <v>0</v>
      </c>
    </row>
    <row r="115">
      <c r="A115" s="30" t="n"/>
      <c r="B115" s="30" t="n"/>
      <c r="C115" s="32" t="n"/>
      <c r="D115" s="32" t="n"/>
      <c r="E115" s="32" t="n"/>
      <c r="F115" s="30" t="n"/>
      <c r="G115" s="33" t="n"/>
      <c r="H115" s="33" t="n"/>
      <c r="I115" s="30" t="n"/>
      <c r="J115" s="28">
        <f>IF(OR(K115="",K115="Encerrado",K115="Sem próxima ação"),"",G115-Config!$B$5)</f>
        <v/>
      </c>
      <c r="K115" s="25">
        <f>IF(A115="","",IF(D115="Encerrado","Encerrado",IF(G115="","Sem próxima ação",IF(G115&lt;Config!$B$5,"Atrasado",IF(G115=Config!$B$5,"Hoje",IF(G115-Config!$B$5&lt;=7,"Esta semana","Em dia"))))))</f>
        <v/>
      </c>
      <c r="L115" s="28">
        <f>IF(OR(A115="",D115="Encerrado",H115=""),"",Config!$B$5-H115)</f>
        <v/>
      </c>
      <c r="M115" s="25">
        <f>IF(L115="","",IF(L115&gt;Config!$B$6,"Sim",""))</f>
        <v/>
      </c>
      <c r="N115" s="34">
        <f>IF(M115="Sim",L115-ROW()/100000,0)</f>
        <v>0</v>
      </c>
    </row>
    <row r="116">
      <c r="A116" s="30" t="n"/>
      <c r="B116" s="30" t="n"/>
      <c r="C116" s="32" t="n"/>
      <c r="D116" s="32" t="n"/>
      <c r="E116" s="32" t="n"/>
      <c r="F116" s="30" t="n"/>
      <c r="G116" s="33" t="n"/>
      <c r="H116" s="33" t="n"/>
      <c r="I116" s="30" t="n"/>
      <c r="J116" s="28">
        <f>IF(OR(K116="",K116="Encerrado",K116="Sem próxima ação"),"",G116-Config!$B$5)</f>
        <v/>
      </c>
      <c r="K116" s="25">
        <f>IF(A116="","",IF(D116="Encerrado","Encerrado",IF(G116="","Sem próxima ação",IF(G116&lt;Config!$B$5,"Atrasado",IF(G116=Config!$B$5,"Hoje",IF(G116-Config!$B$5&lt;=7,"Esta semana","Em dia"))))))</f>
        <v/>
      </c>
      <c r="L116" s="28">
        <f>IF(OR(A116="",D116="Encerrado",H116=""),"",Config!$B$5-H116)</f>
        <v/>
      </c>
      <c r="M116" s="25">
        <f>IF(L116="","",IF(L116&gt;Config!$B$6,"Sim",""))</f>
        <v/>
      </c>
      <c r="N116" s="34">
        <f>IF(M116="Sim",L116-ROW()/100000,0)</f>
        <v>0</v>
      </c>
    </row>
    <row r="117">
      <c r="A117" s="30" t="n"/>
      <c r="B117" s="30" t="n"/>
      <c r="C117" s="32" t="n"/>
      <c r="D117" s="32" t="n"/>
      <c r="E117" s="32" t="n"/>
      <c r="F117" s="30" t="n"/>
      <c r="G117" s="33" t="n"/>
      <c r="H117" s="33" t="n"/>
      <c r="I117" s="30" t="n"/>
      <c r="J117" s="28">
        <f>IF(OR(K117="",K117="Encerrado",K117="Sem próxima ação"),"",G117-Config!$B$5)</f>
        <v/>
      </c>
      <c r="K117" s="25">
        <f>IF(A117="","",IF(D117="Encerrado","Encerrado",IF(G117="","Sem próxima ação",IF(G117&lt;Config!$B$5,"Atrasado",IF(G117=Config!$B$5,"Hoje",IF(G117-Config!$B$5&lt;=7,"Esta semana","Em dia"))))))</f>
        <v/>
      </c>
      <c r="L117" s="28">
        <f>IF(OR(A117="",D117="Encerrado",H117=""),"",Config!$B$5-H117)</f>
        <v/>
      </c>
      <c r="M117" s="25">
        <f>IF(L117="","",IF(L117&gt;Config!$B$6,"Sim",""))</f>
        <v/>
      </c>
      <c r="N117" s="34">
        <f>IF(M117="Sim",L117-ROW()/100000,0)</f>
        <v>0</v>
      </c>
    </row>
    <row r="118">
      <c r="A118" s="30" t="n"/>
      <c r="B118" s="30" t="n"/>
      <c r="C118" s="32" t="n"/>
      <c r="D118" s="32" t="n"/>
      <c r="E118" s="32" t="n"/>
      <c r="F118" s="30" t="n"/>
      <c r="G118" s="33" t="n"/>
      <c r="H118" s="33" t="n"/>
      <c r="I118" s="30" t="n"/>
      <c r="J118" s="28">
        <f>IF(OR(K118="",K118="Encerrado",K118="Sem próxima ação"),"",G118-Config!$B$5)</f>
        <v/>
      </c>
      <c r="K118" s="25">
        <f>IF(A118="","",IF(D118="Encerrado","Encerrado",IF(G118="","Sem próxima ação",IF(G118&lt;Config!$B$5,"Atrasado",IF(G118=Config!$B$5,"Hoje",IF(G118-Config!$B$5&lt;=7,"Esta semana","Em dia"))))))</f>
        <v/>
      </c>
      <c r="L118" s="28">
        <f>IF(OR(A118="",D118="Encerrado",H118=""),"",Config!$B$5-H118)</f>
        <v/>
      </c>
      <c r="M118" s="25">
        <f>IF(L118="","",IF(L118&gt;Config!$B$6,"Sim",""))</f>
        <v/>
      </c>
      <c r="N118" s="34">
        <f>IF(M118="Sim",L118-ROW()/100000,0)</f>
        <v>0</v>
      </c>
    </row>
    <row r="119">
      <c r="A119" s="30" t="n"/>
      <c r="B119" s="30" t="n"/>
      <c r="C119" s="32" t="n"/>
      <c r="D119" s="32" t="n"/>
      <c r="E119" s="32" t="n"/>
      <c r="F119" s="30" t="n"/>
      <c r="G119" s="33" t="n"/>
      <c r="H119" s="33" t="n"/>
      <c r="I119" s="30" t="n"/>
      <c r="J119" s="28">
        <f>IF(OR(K119="",K119="Encerrado",K119="Sem próxima ação"),"",G119-Config!$B$5)</f>
        <v/>
      </c>
      <c r="K119" s="25">
        <f>IF(A119="","",IF(D119="Encerrado","Encerrado",IF(G119="","Sem próxima ação",IF(G119&lt;Config!$B$5,"Atrasado",IF(G119=Config!$B$5,"Hoje",IF(G119-Config!$B$5&lt;=7,"Esta semana","Em dia"))))))</f>
        <v/>
      </c>
      <c r="L119" s="28">
        <f>IF(OR(A119="",D119="Encerrado",H119=""),"",Config!$B$5-H119)</f>
        <v/>
      </c>
      <c r="M119" s="25">
        <f>IF(L119="","",IF(L119&gt;Config!$B$6,"Sim",""))</f>
        <v/>
      </c>
      <c r="N119" s="34">
        <f>IF(M119="Sim",L119-ROW()/100000,0)</f>
        <v>0</v>
      </c>
    </row>
    <row r="120">
      <c r="A120" s="30" t="n"/>
      <c r="B120" s="30" t="n"/>
      <c r="C120" s="32" t="n"/>
      <c r="D120" s="32" t="n"/>
      <c r="E120" s="32" t="n"/>
      <c r="F120" s="30" t="n"/>
      <c r="G120" s="33" t="n"/>
      <c r="H120" s="33" t="n"/>
      <c r="I120" s="30" t="n"/>
      <c r="J120" s="28">
        <f>IF(OR(K120="",K120="Encerrado",K120="Sem próxima ação"),"",G120-Config!$B$5)</f>
        <v/>
      </c>
      <c r="K120" s="25">
        <f>IF(A120="","",IF(D120="Encerrado","Encerrado",IF(G120="","Sem próxima ação",IF(G120&lt;Config!$B$5,"Atrasado",IF(G120=Config!$B$5,"Hoje",IF(G120-Config!$B$5&lt;=7,"Esta semana","Em dia"))))))</f>
        <v/>
      </c>
      <c r="L120" s="28">
        <f>IF(OR(A120="",D120="Encerrado",H120=""),"",Config!$B$5-H120)</f>
        <v/>
      </c>
      <c r="M120" s="25">
        <f>IF(L120="","",IF(L120&gt;Config!$B$6,"Sim",""))</f>
        <v/>
      </c>
      <c r="N120" s="34">
        <f>IF(M120="Sim",L120-ROW()/100000,0)</f>
        <v>0</v>
      </c>
    </row>
    <row r="121">
      <c r="A121" s="30" t="n"/>
      <c r="B121" s="30" t="n"/>
      <c r="C121" s="32" t="n"/>
      <c r="D121" s="32" t="n"/>
      <c r="E121" s="32" t="n"/>
      <c r="F121" s="30" t="n"/>
      <c r="G121" s="33" t="n"/>
      <c r="H121" s="33" t="n"/>
      <c r="I121" s="30" t="n"/>
      <c r="J121" s="28">
        <f>IF(OR(K121="",K121="Encerrado",K121="Sem próxima ação"),"",G121-Config!$B$5)</f>
        <v/>
      </c>
      <c r="K121" s="25">
        <f>IF(A121="","",IF(D121="Encerrado","Encerrado",IF(G121="","Sem próxima ação",IF(G121&lt;Config!$B$5,"Atrasado",IF(G121=Config!$B$5,"Hoje",IF(G121-Config!$B$5&lt;=7,"Esta semana","Em dia"))))))</f>
        <v/>
      </c>
      <c r="L121" s="28">
        <f>IF(OR(A121="",D121="Encerrado",H121=""),"",Config!$B$5-H121)</f>
        <v/>
      </c>
      <c r="M121" s="25">
        <f>IF(L121="","",IF(L121&gt;Config!$B$6,"Sim",""))</f>
        <v/>
      </c>
      <c r="N121" s="34">
        <f>IF(M121="Sim",L121-ROW()/100000,0)</f>
        <v>0</v>
      </c>
    </row>
    <row r="122">
      <c r="A122" s="30" t="n"/>
      <c r="B122" s="30" t="n"/>
      <c r="C122" s="32" t="n"/>
      <c r="D122" s="32" t="n"/>
      <c r="E122" s="32" t="n"/>
      <c r="F122" s="30" t="n"/>
      <c r="G122" s="33" t="n"/>
      <c r="H122" s="33" t="n"/>
      <c r="I122" s="30" t="n"/>
      <c r="J122" s="28">
        <f>IF(OR(K122="",K122="Encerrado",K122="Sem próxima ação"),"",G122-Config!$B$5)</f>
        <v/>
      </c>
      <c r="K122" s="25">
        <f>IF(A122="","",IF(D122="Encerrado","Encerrado",IF(G122="","Sem próxima ação",IF(G122&lt;Config!$B$5,"Atrasado",IF(G122=Config!$B$5,"Hoje",IF(G122-Config!$B$5&lt;=7,"Esta semana","Em dia"))))))</f>
        <v/>
      </c>
      <c r="L122" s="28">
        <f>IF(OR(A122="",D122="Encerrado",H122=""),"",Config!$B$5-H122)</f>
        <v/>
      </c>
      <c r="M122" s="25">
        <f>IF(L122="","",IF(L122&gt;Config!$B$6,"Sim",""))</f>
        <v/>
      </c>
      <c r="N122" s="34">
        <f>IF(M122="Sim",L122-ROW()/100000,0)</f>
        <v>0</v>
      </c>
    </row>
    <row r="123">
      <c r="A123" s="30" t="n"/>
      <c r="B123" s="30" t="n"/>
      <c r="C123" s="32" t="n"/>
      <c r="D123" s="32" t="n"/>
      <c r="E123" s="32" t="n"/>
      <c r="F123" s="30" t="n"/>
      <c r="G123" s="33" t="n"/>
      <c r="H123" s="33" t="n"/>
      <c r="I123" s="30" t="n"/>
      <c r="J123" s="28">
        <f>IF(OR(K123="",K123="Encerrado",K123="Sem próxima ação"),"",G123-Config!$B$5)</f>
        <v/>
      </c>
      <c r="K123" s="25">
        <f>IF(A123="","",IF(D123="Encerrado","Encerrado",IF(G123="","Sem próxima ação",IF(G123&lt;Config!$B$5,"Atrasado",IF(G123=Config!$B$5,"Hoje",IF(G123-Config!$B$5&lt;=7,"Esta semana","Em dia"))))))</f>
        <v/>
      </c>
      <c r="L123" s="28">
        <f>IF(OR(A123="",D123="Encerrado",H123=""),"",Config!$B$5-H123)</f>
        <v/>
      </c>
      <c r="M123" s="25">
        <f>IF(L123="","",IF(L123&gt;Config!$B$6,"Sim",""))</f>
        <v/>
      </c>
      <c r="N123" s="34">
        <f>IF(M123="Sim",L123-ROW()/100000,0)</f>
        <v>0</v>
      </c>
    </row>
    <row r="124">
      <c r="A124" s="30" t="n"/>
      <c r="B124" s="30" t="n"/>
      <c r="C124" s="32" t="n"/>
      <c r="D124" s="32" t="n"/>
      <c r="E124" s="32" t="n"/>
      <c r="F124" s="30" t="n"/>
      <c r="G124" s="33" t="n"/>
      <c r="H124" s="33" t="n"/>
      <c r="I124" s="30" t="n"/>
      <c r="J124" s="28">
        <f>IF(OR(K124="",K124="Encerrado",K124="Sem próxima ação"),"",G124-Config!$B$5)</f>
        <v/>
      </c>
      <c r="K124" s="25">
        <f>IF(A124="","",IF(D124="Encerrado","Encerrado",IF(G124="","Sem próxima ação",IF(G124&lt;Config!$B$5,"Atrasado",IF(G124=Config!$B$5,"Hoje",IF(G124-Config!$B$5&lt;=7,"Esta semana","Em dia"))))))</f>
        <v/>
      </c>
      <c r="L124" s="28">
        <f>IF(OR(A124="",D124="Encerrado",H124=""),"",Config!$B$5-H124)</f>
        <v/>
      </c>
      <c r="M124" s="25">
        <f>IF(L124="","",IF(L124&gt;Config!$B$6,"Sim",""))</f>
        <v/>
      </c>
      <c r="N124" s="34">
        <f>IF(M124="Sim",L124-ROW()/100000,0)</f>
        <v>0</v>
      </c>
    </row>
    <row r="125">
      <c r="A125" s="30" t="n"/>
      <c r="B125" s="30" t="n"/>
      <c r="C125" s="32" t="n"/>
      <c r="D125" s="32" t="n"/>
      <c r="E125" s="32" t="n"/>
      <c r="F125" s="30" t="n"/>
      <c r="G125" s="33" t="n"/>
      <c r="H125" s="33" t="n"/>
      <c r="I125" s="30" t="n"/>
      <c r="J125" s="28">
        <f>IF(OR(K125="",K125="Encerrado",K125="Sem próxima ação"),"",G125-Config!$B$5)</f>
        <v/>
      </c>
      <c r="K125" s="25">
        <f>IF(A125="","",IF(D125="Encerrado","Encerrado",IF(G125="","Sem próxima ação",IF(G125&lt;Config!$B$5,"Atrasado",IF(G125=Config!$B$5,"Hoje",IF(G125-Config!$B$5&lt;=7,"Esta semana","Em dia"))))))</f>
        <v/>
      </c>
      <c r="L125" s="28">
        <f>IF(OR(A125="",D125="Encerrado",H125=""),"",Config!$B$5-H125)</f>
        <v/>
      </c>
      <c r="M125" s="25">
        <f>IF(L125="","",IF(L125&gt;Config!$B$6,"Sim",""))</f>
        <v/>
      </c>
      <c r="N125" s="34">
        <f>IF(M125="Sim",L125-ROW()/100000,0)</f>
        <v>0</v>
      </c>
    </row>
    <row r="126">
      <c r="A126" s="30" t="n"/>
      <c r="B126" s="30" t="n"/>
      <c r="C126" s="32" t="n"/>
      <c r="D126" s="32" t="n"/>
      <c r="E126" s="32" t="n"/>
      <c r="F126" s="30" t="n"/>
      <c r="G126" s="33" t="n"/>
      <c r="H126" s="33" t="n"/>
      <c r="I126" s="30" t="n"/>
      <c r="J126" s="28">
        <f>IF(OR(K126="",K126="Encerrado",K126="Sem próxima ação"),"",G126-Config!$B$5)</f>
        <v/>
      </c>
      <c r="K126" s="25">
        <f>IF(A126="","",IF(D126="Encerrado","Encerrado",IF(G126="","Sem próxima ação",IF(G126&lt;Config!$B$5,"Atrasado",IF(G126=Config!$B$5,"Hoje",IF(G126-Config!$B$5&lt;=7,"Esta semana","Em dia"))))))</f>
        <v/>
      </c>
      <c r="L126" s="28">
        <f>IF(OR(A126="",D126="Encerrado",H126=""),"",Config!$B$5-H126)</f>
        <v/>
      </c>
      <c r="M126" s="25">
        <f>IF(L126="","",IF(L126&gt;Config!$B$6,"Sim",""))</f>
        <v/>
      </c>
      <c r="N126" s="34">
        <f>IF(M126="Sim",L126-ROW()/100000,0)</f>
        <v>0</v>
      </c>
    </row>
    <row r="127">
      <c r="A127" s="30" t="n"/>
      <c r="B127" s="30" t="n"/>
      <c r="C127" s="32" t="n"/>
      <c r="D127" s="32" t="n"/>
      <c r="E127" s="32" t="n"/>
      <c r="F127" s="30" t="n"/>
      <c r="G127" s="33" t="n"/>
      <c r="H127" s="33" t="n"/>
      <c r="I127" s="30" t="n"/>
      <c r="J127" s="28">
        <f>IF(OR(K127="",K127="Encerrado",K127="Sem próxima ação"),"",G127-Config!$B$5)</f>
        <v/>
      </c>
      <c r="K127" s="25">
        <f>IF(A127="","",IF(D127="Encerrado","Encerrado",IF(G127="","Sem próxima ação",IF(G127&lt;Config!$B$5,"Atrasado",IF(G127=Config!$B$5,"Hoje",IF(G127-Config!$B$5&lt;=7,"Esta semana","Em dia"))))))</f>
        <v/>
      </c>
      <c r="L127" s="28">
        <f>IF(OR(A127="",D127="Encerrado",H127=""),"",Config!$B$5-H127)</f>
        <v/>
      </c>
      <c r="M127" s="25">
        <f>IF(L127="","",IF(L127&gt;Config!$B$6,"Sim",""))</f>
        <v/>
      </c>
      <c r="N127" s="34">
        <f>IF(M127="Sim",L127-ROW()/100000,0)</f>
        <v>0</v>
      </c>
    </row>
    <row r="128">
      <c r="A128" s="30" t="n"/>
      <c r="B128" s="30" t="n"/>
      <c r="C128" s="32" t="n"/>
      <c r="D128" s="32" t="n"/>
      <c r="E128" s="32" t="n"/>
      <c r="F128" s="30" t="n"/>
      <c r="G128" s="33" t="n"/>
      <c r="H128" s="33" t="n"/>
      <c r="I128" s="30" t="n"/>
      <c r="J128" s="28">
        <f>IF(OR(K128="",K128="Encerrado",K128="Sem próxima ação"),"",G128-Config!$B$5)</f>
        <v/>
      </c>
      <c r="K128" s="25">
        <f>IF(A128="","",IF(D128="Encerrado","Encerrado",IF(G128="","Sem próxima ação",IF(G128&lt;Config!$B$5,"Atrasado",IF(G128=Config!$B$5,"Hoje",IF(G128-Config!$B$5&lt;=7,"Esta semana","Em dia"))))))</f>
        <v/>
      </c>
      <c r="L128" s="28">
        <f>IF(OR(A128="",D128="Encerrado",H128=""),"",Config!$B$5-H128)</f>
        <v/>
      </c>
      <c r="M128" s="25">
        <f>IF(L128="","",IF(L128&gt;Config!$B$6,"Sim",""))</f>
        <v/>
      </c>
      <c r="N128" s="34">
        <f>IF(M128="Sim",L128-ROW()/100000,0)</f>
        <v>0</v>
      </c>
    </row>
    <row r="129">
      <c r="A129" s="30" t="n"/>
      <c r="B129" s="30" t="n"/>
      <c r="C129" s="32" t="n"/>
      <c r="D129" s="32" t="n"/>
      <c r="E129" s="32" t="n"/>
      <c r="F129" s="30" t="n"/>
      <c r="G129" s="33" t="n"/>
      <c r="H129" s="33" t="n"/>
      <c r="I129" s="30" t="n"/>
      <c r="J129" s="28">
        <f>IF(OR(K129="",K129="Encerrado",K129="Sem próxima ação"),"",G129-Config!$B$5)</f>
        <v/>
      </c>
      <c r="K129" s="25">
        <f>IF(A129="","",IF(D129="Encerrado","Encerrado",IF(G129="","Sem próxima ação",IF(G129&lt;Config!$B$5,"Atrasado",IF(G129=Config!$B$5,"Hoje",IF(G129-Config!$B$5&lt;=7,"Esta semana","Em dia"))))))</f>
        <v/>
      </c>
      <c r="L129" s="28">
        <f>IF(OR(A129="",D129="Encerrado",H129=""),"",Config!$B$5-H129)</f>
        <v/>
      </c>
      <c r="M129" s="25">
        <f>IF(L129="","",IF(L129&gt;Config!$B$6,"Sim",""))</f>
        <v/>
      </c>
      <c r="N129" s="34">
        <f>IF(M129="Sim",L129-ROW()/100000,0)</f>
        <v>0</v>
      </c>
    </row>
    <row r="130">
      <c r="A130" s="30" t="n"/>
      <c r="B130" s="30" t="n"/>
      <c r="C130" s="32" t="n"/>
      <c r="D130" s="32" t="n"/>
      <c r="E130" s="32" t="n"/>
      <c r="F130" s="30" t="n"/>
      <c r="G130" s="33" t="n"/>
      <c r="H130" s="33" t="n"/>
      <c r="I130" s="30" t="n"/>
      <c r="J130" s="28">
        <f>IF(OR(K130="",K130="Encerrado",K130="Sem próxima ação"),"",G130-Config!$B$5)</f>
        <v/>
      </c>
      <c r="K130" s="25">
        <f>IF(A130="","",IF(D130="Encerrado","Encerrado",IF(G130="","Sem próxima ação",IF(G130&lt;Config!$B$5,"Atrasado",IF(G130=Config!$B$5,"Hoje",IF(G130-Config!$B$5&lt;=7,"Esta semana","Em dia"))))))</f>
        <v/>
      </c>
      <c r="L130" s="28">
        <f>IF(OR(A130="",D130="Encerrado",H130=""),"",Config!$B$5-H130)</f>
        <v/>
      </c>
      <c r="M130" s="25">
        <f>IF(L130="","",IF(L130&gt;Config!$B$6,"Sim",""))</f>
        <v/>
      </c>
      <c r="N130" s="34">
        <f>IF(M130="Sim",L130-ROW()/100000,0)</f>
        <v>0</v>
      </c>
    </row>
    <row r="131">
      <c r="A131" s="30" t="n"/>
      <c r="B131" s="30" t="n"/>
      <c r="C131" s="32" t="n"/>
      <c r="D131" s="32" t="n"/>
      <c r="E131" s="32" t="n"/>
      <c r="F131" s="30" t="n"/>
      <c r="G131" s="33" t="n"/>
      <c r="H131" s="33" t="n"/>
      <c r="I131" s="30" t="n"/>
      <c r="J131" s="28">
        <f>IF(OR(K131="",K131="Encerrado",K131="Sem próxima ação"),"",G131-Config!$B$5)</f>
        <v/>
      </c>
      <c r="K131" s="25">
        <f>IF(A131="","",IF(D131="Encerrado","Encerrado",IF(G131="","Sem próxima ação",IF(G131&lt;Config!$B$5,"Atrasado",IF(G131=Config!$B$5,"Hoje",IF(G131-Config!$B$5&lt;=7,"Esta semana","Em dia"))))))</f>
        <v/>
      </c>
      <c r="L131" s="28">
        <f>IF(OR(A131="",D131="Encerrado",H131=""),"",Config!$B$5-H131)</f>
        <v/>
      </c>
      <c r="M131" s="25">
        <f>IF(L131="","",IF(L131&gt;Config!$B$6,"Sim",""))</f>
        <v/>
      </c>
      <c r="N131" s="34">
        <f>IF(M131="Sim",L131-ROW()/100000,0)</f>
        <v>0</v>
      </c>
    </row>
    <row r="132">
      <c r="A132" s="30" t="n"/>
      <c r="B132" s="30" t="n"/>
      <c r="C132" s="32" t="n"/>
      <c r="D132" s="32" t="n"/>
      <c r="E132" s="32" t="n"/>
      <c r="F132" s="30" t="n"/>
      <c r="G132" s="33" t="n"/>
      <c r="H132" s="33" t="n"/>
      <c r="I132" s="30" t="n"/>
      <c r="J132" s="28">
        <f>IF(OR(K132="",K132="Encerrado",K132="Sem próxima ação"),"",G132-Config!$B$5)</f>
        <v/>
      </c>
      <c r="K132" s="25">
        <f>IF(A132="","",IF(D132="Encerrado","Encerrado",IF(G132="","Sem próxima ação",IF(G132&lt;Config!$B$5,"Atrasado",IF(G132=Config!$B$5,"Hoje",IF(G132-Config!$B$5&lt;=7,"Esta semana","Em dia"))))))</f>
        <v/>
      </c>
      <c r="L132" s="28">
        <f>IF(OR(A132="",D132="Encerrado",H132=""),"",Config!$B$5-H132)</f>
        <v/>
      </c>
      <c r="M132" s="25">
        <f>IF(L132="","",IF(L132&gt;Config!$B$6,"Sim",""))</f>
        <v/>
      </c>
      <c r="N132" s="34">
        <f>IF(M132="Sim",L132-ROW()/100000,0)</f>
        <v>0</v>
      </c>
    </row>
    <row r="133">
      <c r="A133" s="30" t="n"/>
      <c r="B133" s="30" t="n"/>
      <c r="C133" s="32" t="n"/>
      <c r="D133" s="32" t="n"/>
      <c r="E133" s="32" t="n"/>
      <c r="F133" s="30" t="n"/>
      <c r="G133" s="33" t="n"/>
      <c r="H133" s="33" t="n"/>
      <c r="I133" s="30" t="n"/>
      <c r="J133" s="28">
        <f>IF(OR(K133="",K133="Encerrado",K133="Sem próxima ação"),"",G133-Config!$B$5)</f>
        <v/>
      </c>
      <c r="K133" s="25">
        <f>IF(A133="","",IF(D133="Encerrado","Encerrado",IF(G133="","Sem próxima ação",IF(G133&lt;Config!$B$5,"Atrasado",IF(G133=Config!$B$5,"Hoje",IF(G133-Config!$B$5&lt;=7,"Esta semana","Em dia"))))))</f>
        <v/>
      </c>
      <c r="L133" s="28">
        <f>IF(OR(A133="",D133="Encerrado",H133=""),"",Config!$B$5-H133)</f>
        <v/>
      </c>
      <c r="M133" s="25">
        <f>IF(L133="","",IF(L133&gt;Config!$B$6,"Sim",""))</f>
        <v/>
      </c>
      <c r="N133" s="34">
        <f>IF(M133="Sim",L133-ROW()/100000,0)</f>
        <v>0</v>
      </c>
    </row>
    <row r="134">
      <c r="A134" s="30" t="n"/>
      <c r="B134" s="30" t="n"/>
      <c r="C134" s="32" t="n"/>
      <c r="D134" s="32" t="n"/>
      <c r="E134" s="32" t="n"/>
      <c r="F134" s="30" t="n"/>
      <c r="G134" s="33" t="n"/>
      <c r="H134" s="33" t="n"/>
      <c r="I134" s="30" t="n"/>
      <c r="J134" s="28">
        <f>IF(OR(K134="",K134="Encerrado",K134="Sem próxima ação"),"",G134-Config!$B$5)</f>
        <v/>
      </c>
      <c r="K134" s="25">
        <f>IF(A134="","",IF(D134="Encerrado","Encerrado",IF(G134="","Sem próxima ação",IF(G134&lt;Config!$B$5,"Atrasado",IF(G134=Config!$B$5,"Hoje",IF(G134-Config!$B$5&lt;=7,"Esta semana","Em dia"))))))</f>
        <v/>
      </c>
      <c r="L134" s="28">
        <f>IF(OR(A134="",D134="Encerrado",H134=""),"",Config!$B$5-H134)</f>
        <v/>
      </c>
      <c r="M134" s="25">
        <f>IF(L134="","",IF(L134&gt;Config!$B$6,"Sim",""))</f>
        <v/>
      </c>
      <c r="N134" s="34">
        <f>IF(M134="Sim",L134-ROW()/100000,0)</f>
        <v>0</v>
      </c>
    </row>
    <row r="135">
      <c r="A135" s="30" t="n"/>
      <c r="B135" s="30" t="n"/>
      <c r="C135" s="32" t="n"/>
      <c r="D135" s="32" t="n"/>
      <c r="E135" s="32" t="n"/>
      <c r="F135" s="30" t="n"/>
      <c r="G135" s="33" t="n"/>
      <c r="H135" s="33" t="n"/>
      <c r="I135" s="30" t="n"/>
      <c r="J135" s="28">
        <f>IF(OR(K135="",K135="Encerrado",K135="Sem próxima ação"),"",G135-Config!$B$5)</f>
        <v/>
      </c>
      <c r="K135" s="25">
        <f>IF(A135="","",IF(D135="Encerrado","Encerrado",IF(G135="","Sem próxima ação",IF(G135&lt;Config!$B$5,"Atrasado",IF(G135=Config!$B$5,"Hoje",IF(G135-Config!$B$5&lt;=7,"Esta semana","Em dia"))))))</f>
        <v/>
      </c>
      <c r="L135" s="28">
        <f>IF(OR(A135="",D135="Encerrado",H135=""),"",Config!$B$5-H135)</f>
        <v/>
      </c>
      <c r="M135" s="25">
        <f>IF(L135="","",IF(L135&gt;Config!$B$6,"Sim",""))</f>
        <v/>
      </c>
      <c r="N135" s="34">
        <f>IF(M135="Sim",L135-ROW()/100000,0)</f>
        <v>0</v>
      </c>
    </row>
    <row r="136">
      <c r="A136" s="30" t="n"/>
      <c r="B136" s="30" t="n"/>
      <c r="C136" s="32" t="n"/>
      <c r="D136" s="32" t="n"/>
      <c r="E136" s="32" t="n"/>
      <c r="F136" s="30" t="n"/>
      <c r="G136" s="33" t="n"/>
      <c r="H136" s="33" t="n"/>
      <c r="I136" s="30" t="n"/>
      <c r="J136" s="28">
        <f>IF(OR(K136="",K136="Encerrado",K136="Sem próxima ação"),"",G136-Config!$B$5)</f>
        <v/>
      </c>
      <c r="K136" s="25">
        <f>IF(A136="","",IF(D136="Encerrado","Encerrado",IF(G136="","Sem próxima ação",IF(G136&lt;Config!$B$5,"Atrasado",IF(G136=Config!$B$5,"Hoje",IF(G136-Config!$B$5&lt;=7,"Esta semana","Em dia"))))))</f>
        <v/>
      </c>
      <c r="L136" s="28">
        <f>IF(OR(A136="",D136="Encerrado",H136=""),"",Config!$B$5-H136)</f>
        <v/>
      </c>
      <c r="M136" s="25">
        <f>IF(L136="","",IF(L136&gt;Config!$B$6,"Sim",""))</f>
        <v/>
      </c>
      <c r="N136" s="34">
        <f>IF(M136="Sim",L136-ROW()/100000,0)</f>
        <v>0</v>
      </c>
    </row>
    <row r="137">
      <c r="A137" s="30" t="n"/>
      <c r="B137" s="30" t="n"/>
      <c r="C137" s="32" t="n"/>
      <c r="D137" s="32" t="n"/>
      <c r="E137" s="32" t="n"/>
      <c r="F137" s="30" t="n"/>
      <c r="G137" s="33" t="n"/>
      <c r="H137" s="33" t="n"/>
      <c r="I137" s="30" t="n"/>
      <c r="J137" s="28">
        <f>IF(OR(K137="",K137="Encerrado",K137="Sem próxima ação"),"",G137-Config!$B$5)</f>
        <v/>
      </c>
      <c r="K137" s="25">
        <f>IF(A137="","",IF(D137="Encerrado","Encerrado",IF(G137="","Sem próxima ação",IF(G137&lt;Config!$B$5,"Atrasado",IF(G137=Config!$B$5,"Hoje",IF(G137-Config!$B$5&lt;=7,"Esta semana","Em dia"))))))</f>
        <v/>
      </c>
      <c r="L137" s="28">
        <f>IF(OR(A137="",D137="Encerrado",H137=""),"",Config!$B$5-H137)</f>
        <v/>
      </c>
      <c r="M137" s="25">
        <f>IF(L137="","",IF(L137&gt;Config!$B$6,"Sim",""))</f>
        <v/>
      </c>
      <c r="N137" s="34">
        <f>IF(M137="Sim",L137-ROW()/100000,0)</f>
        <v>0</v>
      </c>
    </row>
    <row r="138">
      <c r="A138" s="30" t="n"/>
      <c r="B138" s="30" t="n"/>
      <c r="C138" s="32" t="n"/>
      <c r="D138" s="32" t="n"/>
      <c r="E138" s="32" t="n"/>
      <c r="F138" s="30" t="n"/>
      <c r="G138" s="33" t="n"/>
      <c r="H138" s="33" t="n"/>
      <c r="I138" s="30" t="n"/>
      <c r="J138" s="28">
        <f>IF(OR(K138="",K138="Encerrado",K138="Sem próxima ação"),"",G138-Config!$B$5)</f>
        <v/>
      </c>
      <c r="K138" s="25">
        <f>IF(A138="","",IF(D138="Encerrado","Encerrado",IF(G138="","Sem próxima ação",IF(G138&lt;Config!$B$5,"Atrasado",IF(G138=Config!$B$5,"Hoje",IF(G138-Config!$B$5&lt;=7,"Esta semana","Em dia"))))))</f>
        <v/>
      </c>
      <c r="L138" s="28">
        <f>IF(OR(A138="",D138="Encerrado",H138=""),"",Config!$B$5-H138)</f>
        <v/>
      </c>
      <c r="M138" s="25">
        <f>IF(L138="","",IF(L138&gt;Config!$B$6,"Sim",""))</f>
        <v/>
      </c>
      <c r="N138" s="34">
        <f>IF(M138="Sim",L138-ROW()/100000,0)</f>
        <v>0</v>
      </c>
    </row>
    <row r="139">
      <c r="A139" s="30" t="n"/>
      <c r="B139" s="30" t="n"/>
      <c r="C139" s="32" t="n"/>
      <c r="D139" s="32" t="n"/>
      <c r="E139" s="32" t="n"/>
      <c r="F139" s="30" t="n"/>
      <c r="G139" s="33" t="n"/>
      <c r="H139" s="33" t="n"/>
      <c r="I139" s="30" t="n"/>
      <c r="J139" s="28">
        <f>IF(OR(K139="",K139="Encerrado",K139="Sem próxima ação"),"",G139-Config!$B$5)</f>
        <v/>
      </c>
      <c r="K139" s="25">
        <f>IF(A139="","",IF(D139="Encerrado","Encerrado",IF(G139="","Sem próxima ação",IF(G139&lt;Config!$B$5,"Atrasado",IF(G139=Config!$B$5,"Hoje",IF(G139-Config!$B$5&lt;=7,"Esta semana","Em dia"))))))</f>
        <v/>
      </c>
      <c r="L139" s="28">
        <f>IF(OR(A139="",D139="Encerrado",H139=""),"",Config!$B$5-H139)</f>
        <v/>
      </c>
      <c r="M139" s="25">
        <f>IF(L139="","",IF(L139&gt;Config!$B$6,"Sim",""))</f>
        <v/>
      </c>
      <c r="N139" s="34">
        <f>IF(M139="Sim",L139-ROW()/100000,0)</f>
        <v>0</v>
      </c>
    </row>
    <row r="140">
      <c r="A140" s="30" t="n"/>
      <c r="B140" s="30" t="n"/>
      <c r="C140" s="32" t="n"/>
      <c r="D140" s="32" t="n"/>
      <c r="E140" s="32" t="n"/>
      <c r="F140" s="30" t="n"/>
      <c r="G140" s="33" t="n"/>
      <c r="H140" s="33" t="n"/>
      <c r="I140" s="30" t="n"/>
      <c r="J140" s="28">
        <f>IF(OR(K140="",K140="Encerrado",K140="Sem próxima ação"),"",G140-Config!$B$5)</f>
        <v/>
      </c>
      <c r="K140" s="25">
        <f>IF(A140="","",IF(D140="Encerrado","Encerrado",IF(G140="","Sem próxima ação",IF(G140&lt;Config!$B$5,"Atrasado",IF(G140=Config!$B$5,"Hoje",IF(G140-Config!$B$5&lt;=7,"Esta semana","Em dia"))))))</f>
        <v/>
      </c>
      <c r="L140" s="28">
        <f>IF(OR(A140="",D140="Encerrado",H140=""),"",Config!$B$5-H140)</f>
        <v/>
      </c>
      <c r="M140" s="25">
        <f>IF(L140="","",IF(L140&gt;Config!$B$6,"Sim",""))</f>
        <v/>
      </c>
      <c r="N140" s="34">
        <f>IF(M140="Sim",L140-ROW()/100000,0)</f>
        <v>0</v>
      </c>
    </row>
    <row r="141">
      <c r="A141" s="30" t="n"/>
      <c r="B141" s="30" t="n"/>
      <c r="C141" s="32" t="n"/>
      <c r="D141" s="32" t="n"/>
      <c r="E141" s="32" t="n"/>
      <c r="F141" s="30" t="n"/>
      <c r="G141" s="33" t="n"/>
      <c r="H141" s="33" t="n"/>
      <c r="I141" s="30" t="n"/>
      <c r="J141" s="28">
        <f>IF(OR(K141="",K141="Encerrado",K141="Sem próxima ação"),"",G141-Config!$B$5)</f>
        <v/>
      </c>
      <c r="K141" s="25">
        <f>IF(A141="","",IF(D141="Encerrado","Encerrado",IF(G141="","Sem próxima ação",IF(G141&lt;Config!$B$5,"Atrasado",IF(G141=Config!$B$5,"Hoje",IF(G141-Config!$B$5&lt;=7,"Esta semana","Em dia"))))))</f>
        <v/>
      </c>
      <c r="L141" s="28">
        <f>IF(OR(A141="",D141="Encerrado",H141=""),"",Config!$B$5-H141)</f>
        <v/>
      </c>
      <c r="M141" s="25">
        <f>IF(L141="","",IF(L141&gt;Config!$B$6,"Sim",""))</f>
        <v/>
      </c>
      <c r="N141" s="34">
        <f>IF(M141="Sim",L141-ROW()/100000,0)</f>
        <v>0</v>
      </c>
    </row>
    <row r="142">
      <c r="A142" s="30" t="n"/>
      <c r="B142" s="30" t="n"/>
      <c r="C142" s="32" t="n"/>
      <c r="D142" s="32" t="n"/>
      <c r="E142" s="32" t="n"/>
      <c r="F142" s="30" t="n"/>
      <c r="G142" s="33" t="n"/>
      <c r="H142" s="33" t="n"/>
      <c r="I142" s="30" t="n"/>
      <c r="J142" s="28">
        <f>IF(OR(K142="",K142="Encerrado",K142="Sem próxima ação"),"",G142-Config!$B$5)</f>
        <v/>
      </c>
      <c r="K142" s="25">
        <f>IF(A142="","",IF(D142="Encerrado","Encerrado",IF(G142="","Sem próxima ação",IF(G142&lt;Config!$B$5,"Atrasado",IF(G142=Config!$B$5,"Hoje",IF(G142-Config!$B$5&lt;=7,"Esta semana","Em dia"))))))</f>
        <v/>
      </c>
      <c r="L142" s="28">
        <f>IF(OR(A142="",D142="Encerrado",H142=""),"",Config!$B$5-H142)</f>
        <v/>
      </c>
      <c r="M142" s="25">
        <f>IF(L142="","",IF(L142&gt;Config!$B$6,"Sim",""))</f>
        <v/>
      </c>
      <c r="N142" s="34">
        <f>IF(M142="Sim",L142-ROW()/100000,0)</f>
        <v>0</v>
      </c>
    </row>
    <row r="143">
      <c r="A143" s="30" t="n"/>
      <c r="B143" s="30" t="n"/>
      <c r="C143" s="32" t="n"/>
      <c r="D143" s="32" t="n"/>
      <c r="E143" s="32" t="n"/>
      <c r="F143" s="30" t="n"/>
      <c r="G143" s="33" t="n"/>
      <c r="H143" s="33" t="n"/>
      <c r="I143" s="30" t="n"/>
      <c r="J143" s="28">
        <f>IF(OR(K143="",K143="Encerrado",K143="Sem próxima ação"),"",G143-Config!$B$5)</f>
        <v/>
      </c>
      <c r="K143" s="25">
        <f>IF(A143="","",IF(D143="Encerrado","Encerrado",IF(G143="","Sem próxima ação",IF(G143&lt;Config!$B$5,"Atrasado",IF(G143=Config!$B$5,"Hoje",IF(G143-Config!$B$5&lt;=7,"Esta semana","Em dia"))))))</f>
        <v/>
      </c>
      <c r="L143" s="28">
        <f>IF(OR(A143="",D143="Encerrado",H143=""),"",Config!$B$5-H143)</f>
        <v/>
      </c>
      <c r="M143" s="25">
        <f>IF(L143="","",IF(L143&gt;Config!$B$6,"Sim",""))</f>
        <v/>
      </c>
      <c r="N143" s="34">
        <f>IF(M143="Sim",L143-ROW()/100000,0)</f>
        <v>0</v>
      </c>
    </row>
    <row r="144">
      <c r="A144" s="30" t="n"/>
      <c r="B144" s="30" t="n"/>
      <c r="C144" s="32" t="n"/>
      <c r="D144" s="32" t="n"/>
      <c r="E144" s="32" t="n"/>
      <c r="F144" s="30" t="n"/>
      <c r="G144" s="33" t="n"/>
      <c r="H144" s="33" t="n"/>
      <c r="I144" s="30" t="n"/>
      <c r="J144" s="28">
        <f>IF(OR(K144="",K144="Encerrado",K144="Sem próxima ação"),"",G144-Config!$B$5)</f>
        <v/>
      </c>
      <c r="K144" s="25">
        <f>IF(A144="","",IF(D144="Encerrado","Encerrado",IF(G144="","Sem próxima ação",IF(G144&lt;Config!$B$5,"Atrasado",IF(G144=Config!$B$5,"Hoje",IF(G144-Config!$B$5&lt;=7,"Esta semana","Em dia"))))))</f>
        <v/>
      </c>
      <c r="L144" s="28">
        <f>IF(OR(A144="",D144="Encerrado",H144=""),"",Config!$B$5-H144)</f>
        <v/>
      </c>
      <c r="M144" s="25">
        <f>IF(L144="","",IF(L144&gt;Config!$B$6,"Sim",""))</f>
        <v/>
      </c>
      <c r="N144" s="34">
        <f>IF(M144="Sim",L144-ROW()/100000,0)</f>
        <v>0</v>
      </c>
    </row>
    <row r="145">
      <c r="A145" s="30" t="n"/>
      <c r="B145" s="30" t="n"/>
      <c r="C145" s="32" t="n"/>
      <c r="D145" s="32" t="n"/>
      <c r="E145" s="32" t="n"/>
      <c r="F145" s="30" t="n"/>
      <c r="G145" s="33" t="n"/>
      <c r="H145" s="33" t="n"/>
      <c r="I145" s="30" t="n"/>
      <c r="J145" s="28">
        <f>IF(OR(K145="",K145="Encerrado",K145="Sem próxima ação"),"",G145-Config!$B$5)</f>
        <v/>
      </c>
      <c r="K145" s="25">
        <f>IF(A145="","",IF(D145="Encerrado","Encerrado",IF(G145="","Sem próxima ação",IF(G145&lt;Config!$B$5,"Atrasado",IF(G145=Config!$B$5,"Hoje",IF(G145-Config!$B$5&lt;=7,"Esta semana","Em dia"))))))</f>
        <v/>
      </c>
      <c r="L145" s="28">
        <f>IF(OR(A145="",D145="Encerrado",H145=""),"",Config!$B$5-H145)</f>
        <v/>
      </c>
      <c r="M145" s="25">
        <f>IF(L145="","",IF(L145&gt;Config!$B$6,"Sim",""))</f>
        <v/>
      </c>
      <c r="N145" s="34">
        <f>IF(M145="Sim",L145-ROW()/100000,0)</f>
        <v>0</v>
      </c>
    </row>
    <row r="146">
      <c r="A146" s="30" t="n"/>
      <c r="B146" s="30" t="n"/>
      <c r="C146" s="32" t="n"/>
      <c r="D146" s="32" t="n"/>
      <c r="E146" s="32" t="n"/>
      <c r="F146" s="30" t="n"/>
      <c r="G146" s="33" t="n"/>
      <c r="H146" s="33" t="n"/>
      <c r="I146" s="30" t="n"/>
      <c r="J146" s="28">
        <f>IF(OR(K146="",K146="Encerrado",K146="Sem próxima ação"),"",G146-Config!$B$5)</f>
        <v/>
      </c>
      <c r="K146" s="25">
        <f>IF(A146="","",IF(D146="Encerrado","Encerrado",IF(G146="","Sem próxima ação",IF(G146&lt;Config!$B$5,"Atrasado",IF(G146=Config!$B$5,"Hoje",IF(G146-Config!$B$5&lt;=7,"Esta semana","Em dia"))))))</f>
        <v/>
      </c>
      <c r="L146" s="28">
        <f>IF(OR(A146="",D146="Encerrado",H146=""),"",Config!$B$5-H146)</f>
        <v/>
      </c>
      <c r="M146" s="25">
        <f>IF(L146="","",IF(L146&gt;Config!$B$6,"Sim",""))</f>
        <v/>
      </c>
      <c r="N146" s="34">
        <f>IF(M146="Sim",L146-ROW()/100000,0)</f>
        <v>0</v>
      </c>
    </row>
    <row r="147">
      <c r="A147" s="30" t="n"/>
      <c r="B147" s="30" t="n"/>
      <c r="C147" s="32" t="n"/>
      <c r="D147" s="32" t="n"/>
      <c r="E147" s="32" t="n"/>
      <c r="F147" s="30" t="n"/>
      <c r="G147" s="33" t="n"/>
      <c r="H147" s="33" t="n"/>
      <c r="I147" s="30" t="n"/>
      <c r="J147" s="28">
        <f>IF(OR(K147="",K147="Encerrado",K147="Sem próxima ação"),"",G147-Config!$B$5)</f>
        <v/>
      </c>
      <c r="K147" s="25">
        <f>IF(A147="","",IF(D147="Encerrado","Encerrado",IF(G147="","Sem próxima ação",IF(G147&lt;Config!$B$5,"Atrasado",IF(G147=Config!$B$5,"Hoje",IF(G147-Config!$B$5&lt;=7,"Esta semana","Em dia"))))))</f>
        <v/>
      </c>
      <c r="L147" s="28">
        <f>IF(OR(A147="",D147="Encerrado",H147=""),"",Config!$B$5-H147)</f>
        <v/>
      </c>
      <c r="M147" s="25">
        <f>IF(L147="","",IF(L147&gt;Config!$B$6,"Sim",""))</f>
        <v/>
      </c>
      <c r="N147" s="34">
        <f>IF(M147="Sim",L147-ROW()/100000,0)</f>
        <v>0</v>
      </c>
    </row>
    <row r="148">
      <c r="A148" s="30" t="n"/>
      <c r="B148" s="30" t="n"/>
      <c r="C148" s="32" t="n"/>
      <c r="D148" s="32" t="n"/>
      <c r="E148" s="32" t="n"/>
      <c r="F148" s="30" t="n"/>
      <c r="G148" s="33" t="n"/>
      <c r="H148" s="33" t="n"/>
      <c r="I148" s="30" t="n"/>
      <c r="J148" s="28">
        <f>IF(OR(K148="",K148="Encerrado",K148="Sem próxima ação"),"",G148-Config!$B$5)</f>
        <v/>
      </c>
      <c r="K148" s="25">
        <f>IF(A148="","",IF(D148="Encerrado","Encerrado",IF(G148="","Sem próxima ação",IF(G148&lt;Config!$B$5,"Atrasado",IF(G148=Config!$B$5,"Hoje",IF(G148-Config!$B$5&lt;=7,"Esta semana","Em dia"))))))</f>
        <v/>
      </c>
      <c r="L148" s="28">
        <f>IF(OR(A148="",D148="Encerrado",H148=""),"",Config!$B$5-H148)</f>
        <v/>
      </c>
      <c r="M148" s="25">
        <f>IF(L148="","",IF(L148&gt;Config!$B$6,"Sim",""))</f>
        <v/>
      </c>
      <c r="N148" s="34">
        <f>IF(M148="Sim",L148-ROW()/100000,0)</f>
        <v>0</v>
      </c>
    </row>
    <row r="149">
      <c r="A149" s="30" t="n"/>
      <c r="B149" s="30" t="n"/>
      <c r="C149" s="32" t="n"/>
      <c r="D149" s="32" t="n"/>
      <c r="E149" s="32" t="n"/>
      <c r="F149" s="30" t="n"/>
      <c r="G149" s="33" t="n"/>
      <c r="H149" s="33" t="n"/>
      <c r="I149" s="30" t="n"/>
      <c r="J149" s="28">
        <f>IF(OR(K149="",K149="Encerrado",K149="Sem próxima ação"),"",G149-Config!$B$5)</f>
        <v/>
      </c>
      <c r="K149" s="25">
        <f>IF(A149="","",IF(D149="Encerrado","Encerrado",IF(G149="","Sem próxima ação",IF(G149&lt;Config!$B$5,"Atrasado",IF(G149=Config!$B$5,"Hoje",IF(G149-Config!$B$5&lt;=7,"Esta semana","Em dia"))))))</f>
        <v/>
      </c>
      <c r="L149" s="28">
        <f>IF(OR(A149="",D149="Encerrado",H149=""),"",Config!$B$5-H149)</f>
        <v/>
      </c>
      <c r="M149" s="25">
        <f>IF(L149="","",IF(L149&gt;Config!$B$6,"Sim",""))</f>
        <v/>
      </c>
      <c r="N149" s="34">
        <f>IF(M149="Sim",L149-ROW()/100000,0)</f>
        <v>0</v>
      </c>
    </row>
    <row r="150">
      <c r="A150" s="30" t="n"/>
      <c r="B150" s="30" t="n"/>
      <c r="C150" s="32" t="n"/>
      <c r="D150" s="32" t="n"/>
      <c r="E150" s="32" t="n"/>
      <c r="F150" s="30" t="n"/>
      <c r="G150" s="33" t="n"/>
      <c r="H150" s="33" t="n"/>
      <c r="I150" s="30" t="n"/>
      <c r="J150" s="28">
        <f>IF(OR(K150="",K150="Encerrado",K150="Sem próxima ação"),"",G150-Config!$B$5)</f>
        <v/>
      </c>
      <c r="K150" s="25">
        <f>IF(A150="","",IF(D150="Encerrado","Encerrado",IF(G150="","Sem próxima ação",IF(G150&lt;Config!$B$5,"Atrasado",IF(G150=Config!$B$5,"Hoje",IF(G150-Config!$B$5&lt;=7,"Esta semana","Em dia"))))))</f>
        <v/>
      </c>
      <c r="L150" s="28">
        <f>IF(OR(A150="",D150="Encerrado",H150=""),"",Config!$B$5-H150)</f>
        <v/>
      </c>
      <c r="M150" s="25">
        <f>IF(L150="","",IF(L150&gt;Config!$B$6,"Sim",""))</f>
        <v/>
      </c>
      <c r="N150" s="34">
        <f>IF(M150="Sim",L150-ROW()/100000,0)</f>
        <v>0</v>
      </c>
    </row>
    <row r="151">
      <c r="A151" s="30" t="n"/>
      <c r="B151" s="30" t="n"/>
      <c r="C151" s="32" t="n"/>
      <c r="D151" s="32" t="n"/>
      <c r="E151" s="32" t="n"/>
      <c r="F151" s="30" t="n"/>
      <c r="G151" s="33" t="n"/>
      <c r="H151" s="33" t="n"/>
      <c r="I151" s="30" t="n"/>
      <c r="J151" s="28">
        <f>IF(OR(K151="",K151="Encerrado",K151="Sem próxima ação"),"",G151-Config!$B$5)</f>
        <v/>
      </c>
      <c r="K151" s="25">
        <f>IF(A151="","",IF(D151="Encerrado","Encerrado",IF(G151="","Sem próxima ação",IF(G151&lt;Config!$B$5,"Atrasado",IF(G151=Config!$B$5,"Hoje",IF(G151-Config!$B$5&lt;=7,"Esta semana","Em dia"))))))</f>
        <v/>
      </c>
      <c r="L151" s="28">
        <f>IF(OR(A151="",D151="Encerrado",H151=""),"",Config!$B$5-H151)</f>
        <v/>
      </c>
      <c r="M151" s="25">
        <f>IF(L151="","",IF(L151&gt;Config!$B$6,"Sim",""))</f>
        <v/>
      </c>
      <c r="N151" s="34">
        <f>IF(M151="Sim",L151-ROW()/100000,0)</f>
        <v>0</v>
      </c>
    </row>
    <row r="152">
      <c r="A152" s="30" t="n"/>
      <c r="B152" s="30" t="n"/>
      <c r="C152" s="32" t="n"/>
      <c r="D152" s="32" t="n"/>
      <c r="E152" s="32" t="n"/>
      <c r="F152" s="30" t="n"/>
      <c r="G152" s="33" t="n"/>
      <c r="H152" s="33" t="n"/>
      <c r="I152" s="30" t="n"/>
      <c r="J152" s="28">
        <f>IF(OR(K152="",K152="Encerrado",K152="Sem próxima ação"),"",G152-Config!$B$5)</f>
        <v/>
      </c>
      <c r="K152" s="25">
        <f>IF(A152="","",IF(D152="Encerrado","Encerrado",IF(G152="","Sem próxima ação",IF(G152&lt;Config!$B$5,"Atrasado",IF(G152=Config!$B$5,"Hoje",IF(G152-Config!$B$5&lt;=7,"Esta semana","Em dia"))))))</f>
        <v/>
      </c>
      <c r="L152" s="28">
        <f>IF(OR(A152="",D152="Encerrado",H152=""),"",Config!$B$5-H152)</f>
        <v/>
      </c>
      <c r="M152" s="25">
        <f>IF(L152="","",IF(L152&gt;Config!$B$6,"Sim",""))</f>
        <v/>
      </c>
      <c r="N152" s="34">
        <f>IF(M152="Sim",L152-ROW()/100000,0)</f>
        <v>0</v>
      </c>
    </row>
    <row r="153">
      <c r="A153" s="30" t="n"/>
      <c r="B153" s="30" t="n"/>
      <c r="C153" s="32" t="n"/>
      <c r="D153" s="32" t="n"/>
      <c r="E153" s="32" t="n"/>
      <c r="F153" s="30" t="n"/>
      <c r="G153" s="33" t="n"/>
      <c r="H153" s="33" t="n"/>
      <c r="I153" s="30" t="n"/>
      <c r="J153" s="28">
        <f>IF(OR(K153="",K153="Encerrado",K153="Sem próxima ação"),"",G153-Config!$B$5)</f>
        <v/>
      </c>
      <c r="K153" s="25">
        <f>IF(A153="","",IF(D153="Encerrado","Encerrado",IF(G153="","Sem próxima ação",IF(G153&lt;Config!$B$5,"Atrasado",IF(G153=Config!$B$5,"Hoje",IF(G153-Config!$B$5&lt;=7,"Esta semana","Em dia"))))))</f>
        <v/>
      </c>
      <c r="L153" s="28">
        <f>IF(OR(A153="",D153="Encerrado",H153=""),"",Config!$B$5-H153)</f>
        <v/>
      </c>
      <c r="M153" s="25">
        <f>IF(L153="","",IF(L153&gt;Config!$B$6,"Sim",""))</f>
        <v/>
      </c>
      <c r="N153" s="34">
        <f>IF(M153="Sim",L153-ROW()/100000,0)</f>
        <v>0</v>
      </c>
    </row>
    <row r="154">
      <c r="A154" s="30" t="n"/>
      <c r="B154" s="30" t="n"/>
      <c r="C154" s="32" t="n"/>
      <c r="D154" s="32" t="n"/>
      <c r="E154" s="32" t="n"/>
      <c r="F154" s="30" t="n"/>
      <c r="G154" s="33" t="n"/>
      <c r="H154" s="33" t="n"/>
      <c r="I154" s="30" t="n"/>
      <c r="J154" s="28">
        <f>IF(OR(K154="",K154="Encerrado",K154="Sem próxima ação"),"",G154-Config!$B$5)</f>
        <v/>
      </c>
      <c r="K154" s="25">
        <f>IF(A154="","",IF(D154="Encerrado","Encerrado",IF(G154="","Sem próxima ação",IF(G154&lt;Config!$B$5,"Atrasado",IF(G154=Config!$B$5,"Hoje",IF(G154-Config!$B$5&lt;=7,"Esta semana","Em dia"))))))</f>
        <v/>
      </c>
      <c r="L154" s="28">
        <f>IF(OR(A154="",D154="Encerrado",H154=""),"",Config!$B$5-H154)</f>
        <v/>
      </c>
      <c r="M154" s="25">
        <f>IF(L154="","",IF(L154&gt;Config!$B$6,"Sim",""))</f>
        <v/>
      </c>
      <c r="N154" s="34">
        <f>IF(M154="Sim",L154-ROW()/100000,0)</f>
        <v>0</v>
      </c>
    </row>
    <row r="155">
      <c r="A155" s="30" t="n"/>
      <c r="B155" s="30" t="n"/>
      <c r="C155" s="32" t="n"/>
      <c r="D155" s="32" t="n"/>
      <c r="E155" s="32" t="n"/>
      <c r="F155" s="30" t="n"/>
      <c r="G155" s="33" t="n"/>
      <c r="H155" s="33" t="n"/>
      <c r="I155" s="30" t="n"/>
      <c r="J155" s="28">
        <f>IF(OR(K155="",K155="Encerrado",K155="Sem próxima ação"),"",G155-Config!$B$5)</f>
        <v/>
      </c>
      <c r="K155" s="25">
        <f>IF(A155="","",IF(D155="Encerrado","Encerrado",IF(G155="","Sem próxima ação",IF(G155&lt;Config!$B$5,"Atrasado",IF(G155=Config!$B$5,"Hoje",IF(G155-Config!$B$5&lt;=7,"Esta semana","Em dia"))))))</f>
        <v/>
      </c>
      <c r="L155" s="28">
        <f>IF(OR(A155="",D155="Encerrado",H155=""),"",Config!$B$5-H155)</f>
        <v/>
      </c>
      <c r="M155" s="25">
        <f>IF(L155="","",IF(L155&gt;Config!$B$6,"Sim",""))</f>
        <v/>
      </c>
      <c r="N155" s="34">
        <f>IF(M155="Sim",L155-ROW()/100000,0)</f>
        <v>0</v>
      </c>
    </row>
    <row r="156">
      <c r="A156" s="30" t="n"/>
      <c r="B156" s="30" t="n"/>
      <c r="C156" s="32" t="n"/>
      <c r="D156" s="32" t="n"/>
      <c r="E156" s="32" t="n"/>
      <c r="F156" s="30" t="n"/>
      <c r="G156" s="33" t="n"/>
      <c r="H156" s="33" t="n"/>
      <c r="I156" s="30" t="n"/>
      <c r="J156" s="28">
        <f>IF(OR(K156="",K156="Encerrado",K156="Sem próxima ação"),"",G156-Config!$B$5)</f>
        <v/>
      </c>
      <c r="K156" s="25">
        <f>IF(A156="","",IF(D156="Encerrado","Encerrado",IF(G156="","Sem próxima ação",IF(G156&lt;Config!$B$5,"Atrasado",IF(G156=Config!$B$5,"Hoje",IF(G156-Config!$B$5&lt;=7,"Esta semana","Em dia"))))))</f>
        <v/>
      </c>
      <c r="L156" s="28">
        <f>IF(OR(A156="",D156="Encerrado",H156=""),"",Config!$B$5-H156)</f>
        <v/>
      </c>
      <c r="M156" s="25">
        <f>IF(L156="","",IF(L156&gt;Config!$B$6,"Sim",""))</f>
        <v/>
      </c>
      <c r="N156" s="34">
        <f>IF(M156="Sim",L156-ROW()/100000,0)</f>
        <v>0</v>
      </c>
    </row>
    <row r="157">
      <c r="A157" s="30" t="n"/>
      <c r="B157" s="30" t="n"/>
      <c r="C157" s="32" t="n"/>
      <c r="D157" s="32" t="n"/>
      <c r="E157" s="32" t="n"/>
      <c r="F157" s="30" t="n"/>
      <c r="G157" s="33" t="n"/>
      <c r="H157" s="33" t="n"/>
      <c r="I157" s="30" t="n"/>
      <c r="J157" s="28">
        <f>IF(OR(K157="",K157="Encerrado",K157="Sem próxima ação"),"",G157-Config!$B$5)</f>
        <v/>
      </c>
      <c r="K157" s="25">
        <f>IF(A157="","",IF(D157="Encerrado","Encerrado",IF(G157="","Sem próxima ação",IF(G157&lt;Config!$B$5,"Atrasado",IF(G157=Config!$B$5,"Hoje",IF(G157-Config!$B$5&lt;=7,"Esta semana","Em dia"))))))</f>
        <v/>
      </c>
      <c r="L157" s="28">
        <f>IF(OR(A157="",D157="Encerrado",H157=""),"",Config!$B$5-H157)</f>
        <v/>
      </c>
      <c r="M157" s="25">
        <f>IF(L157="","",IF(L157&gt;Config!$B$6,"Sim",""))</f>
        <v/>
      </c>
      <c r="N157" s="34">
        <f>IF(M157="Sim",L157-ROW()/100000,0)</f>
        <v>0</v>
      </c>
    </row>
    <row r="158">
      <c r="A158" s="30" t="n"/>
      <c r="B158" s="30" t="n"/>
      <c r="C158" s="32" t="n"/>
      <c r="D158" s="32" t="n"/>
      <c r="E158" s="32" t="n"/>
      <c r="F158" s="30" t="n"/>
      <c r="G158" s="33" t="n"/>
      <c r="H158" s="33" t="n"/>
      <c r="I158" s="30" t="n"/>
      <c r="J158" s="28">
        <f>IF(OR(K158="",K158="Encerrado",K158="Sem próxima ação"),"",G158-Config!$B$5)</f>
        <v/>
      </c>
      <c r="K158" s="25">
        <f>IF(A158="","",IF(D158="Encerrado","Encerrado",IF(G158="","Sem próxima ação",IF(G158&lt;Config!$B$5,"Atrasado",IF(G158=Config!$B$5,"Hoje",IF(G158-Config!$B$5&lt;=7,"Esta semana","Em dia"))))))</f>
        <v/>
      </c>
      <c r="L158" s="28">
        <f>IF(OR(A158="",D158="Encerrado",H158=""),"",Config!$B$5-H158)</f>
        <v/>
      </c>
      <c r="M158" s="25">
        <f>IF(L158="","",IF(L158&gt;Config!$B$6,"Sim",""))</f>
        <v/>
      </c>
      <c r="N158" s="34">
        <f>IF(M158="Sim",L158-ROW()/100000,0)</f>
        <v>0</v>
      </c>
    </row>
    <row r="159">
      <c r="A159" s="30" t="n"/>
      <c r="B159" s="30" t="n"/>
      <c r="C159" s="32" t="n"/>
      <c r="D159" s="32" t="n"/>
      <c r="E159" s="32" t="n"/>
      <c r="F159" s="30" t="n"/>
      <c r="G159" s="33" t="n"/>
      <c r="H159" s="33" t="n"/>
      <c r="I159" s="30" t="n"/>
      <c r="J159" s="28">
        <f>IF(OR(K159="",K159="Encerrado",K159="Sem próxima ação"),"",G159-Config!$B$5)</f>
        <v/>
      </c>
      <c r="K159" s="25">
        <f>IF(A159="","",IF(D159="Encerrado","Encerrado",IF(G159="","Sem próxima ação",IF(G159&lt;Config!$B$5,"Atrasado",IF(G159=Config!$B$5,"Hoje",IF(G159-Config!$B$5&lt;=7,"Esta semana","Em dia"))))))</f>
        <v/>
      </c>
      <c r="L159" s="28">
        <f>IF(OR(A159="",D159="Encerrado",H159=""),"",Config!$B$5-H159)</f>
        <v/>
      </c>
      <c r="M159" s="25">
        <f>IF(L159="","",IF(L159&gt;Config!$B$6,"Sim",""))</f>
        <v/>
      </c>
      <c r="N159" s="34">
        <f>IF(M159="Sim",L159-ROW()/100000,0)</f>
        <v>0</v>
      </c>
    </row>
    <row r="160">
      <c r="A160" s="30" t="n"/>
      <c r="B160" s="30" t="n"/>
      <c r="C160" s="32" t="n"/>
      <c r="D160" s="32" t="n"/>
      <c r="E160" s="32" t="n"/>
      <c r="F160" s="30" t="n"/>
      <c r="G160" s="33" t="n"/>
      <c r="H160" s="33" t="n"/>
      <c r="I160" s="30" t="n"/>
      <c r="J160" s="28">
        <f>IF(OR(K160="",K160="Encerrado",K160="Sem próxima ação"),"",G160-Config!$B$5)</f>
        <v/>
      </c>
      <c r="K160" s="25">
        <f>IF(A160="","",IF(D160="Encerrado","Encerrado",IF(G160="","Sem próxima ação",IF(G160&lt;Config!$B$5,"Atrasado",IF(G160=Config!$B$5,"Hoje",IF(G160-Config!$B$5&lt;=7,"Esta semana","Em dia"))))))</f>
        <v/>
      </c>
      <c r="L160" s="28">
        <f>IF(OR(A160="",D160="Encerrado",H160=""),"",Config!$B$5-H160)</f>
        <v/>
      </c>
      <c r="M160" s="25">
        <f>IF(L160="","",IF(L160&gt;Config!$B$6,"Sim",""))</f>
        <v/>
      </c>
      <c r="N160" s="34">
        <f>IF(M160="Sim",L160-ROW()/100000,0)</f>
        <v>0</v>
      </c>
    </row>
    <row r="161">
      <c r="A161" s="30" t="n"/>
      <c r="B161" s="30" t="n"/>
      <c r="C161" s="32" t="n"/>
      <c r="D161" s="32" t="n"/>
      <c r="E161" s="32" t="n"/>
      <c r="F161" s="30" t="n"/>
      <c r="G161" s="33" t="n"/>
      <c r="H161" s="33" t="n"/>
      <c r="I161" s="30" t="n"/>
      <c r="J161" s="28">
        <f>IF(OR(K161="",K161="Encerrado",K161="Sem próxima ação"),"",G161-Config!$B$5)</f>
        <v/>
      </c>
      <c r="K161" s="25">
        <f>IF(A161="","",IF(D161="Encerrado","Encerrado",IF(G161="","Sem próxima ação",IF(G161&lt;Config!$B$5,"Atrasado",IF(G161=Config!$B$5,"Hoje",IF(G161-Config!$B$5&lt;=7,"Esta semana","Em dia"))))))</f>
        <v/>
      </c>
      <c r="L161" s="28">
        <f>IF(OR(A161="",D161="Encerrado",H161=""),"",Config!$B$5-H161)</f>
        <v/>
      </c>
      <c r="M161" s="25">
        <f>IF(L161="","",IF(L161&gt;Config!$B$6,"Sim",""))</f>
        <v/>
      </c>
      <c r="N161" s="34">
        <f>IF(M161="Sim",L161-ROW()/100000,0)</f>
        <v>0</v>
      </c>
    </row>
    <row r="162">
      <c r="A162" s="30" t="n"/>
      <c r="B162" s="30" t="n"/>
      <c r="C162" s="32" t="n"/>
      <c r="D162" s="32" t="n"/>
      <c r="E162" s="32" t="n"/>
      <c r="F162" s="30" t="n"/>
      <c r="G162" s="33" t="n"/>
      <c r="H162" s="33" t="n"/>
      <c r="I162" s="30" t="n"/>
      <c r="J162" s="28">
        <f>IF(OR(K162="",K162="Encerrado",K162="Sem próxima ação"),"",G162-Config!$B$5)</f>
        <v/>
      </c>
      <c r="K162" s="25">
        <f>IF(A162="","",IF(D162="Encerrado","Encerrado",IF(G162="","Sem próxima ação",IF(G162&lt;Config!$B$5,"Atrasado",IF(G162=Config!$B$5,"Hoje",IF(G162-Config!$B$5&lt;=7,"Esta semana","Em dia"))))))</f>
        <v/>
      </c>
      <c r="L162" s="28">
        <f>IF(OR(A162="",D162="Encerrado",H162=""),"",Config!$B$5-H162)</f>
        <v/>
      </c>
      <c r="M162" s="25">
        <f>IF(L162="","",IF(L162&gt;Config!$B$6,"Sim",""))</f>
        <v/>
      </c>
      <c r="N162" s="34">
        <f>IF(M162="Sim",L162-ROW()/100000,0)</f>
        <v>0</v>
      </c>
    </row>
    <row r="163">
      <c r="A163" s="30" t="n"/>
      <c r="B163" s="30" t="n"/>
      <c r="C163" s="32" t="n"/>
      <c r="D163" s="32" t="n"/>
      <c r="E163" s="32" t="n"/>
      <c r="F163" s="30" t="n"/>
      <c r="G163" s="33" t="n"/>
      <c r="H163" s="33" t="n"/>
      <c r="I163" s="30" t="n"/>
      <c r="J163" s="28">
        <f>IF(OR(K163="",K163="Encerrado",K163="Sem próxima ação"),"",G163-Config!$B$5)</f>
        <v/>
      </c>
      <c r="K163" s="25">
        <f>IF(A163="","",IF(D163="Encerrado","Encerrado",IF(G163="","Sem próxima ação",IF(G163&lt;Config!$B$5,"Atrasado",IF(G163=Config!$B$5,"Hoje",IF(G163-Config!$B$5&lt;=7,"Esta semana","Em dia"))))))</f>
        <v/>
      </c>
      <c r="L163" s="28">
        <f>IF(OR(A163="",D163="Encerrado",H163=""),"",Config!$B$5-H163)</f>
        <v/>
      </c>
      <c r="M163" s="25">
        <f>IF(L163="","",IF(L163&gt;Config!$B$6,"Sim",""))</f>
        <v/>
      </c>
      <c r="N163" s="34">
        <f>IF(M163="Sim",L163-ROW()/100000,0)</f>
        <v>0</v>
      </c>
    </row>
    <row r="164">
      <c r="A164" s="30" t="n"/>
      <c r="B164" s="30" t="n"/>
      <c r="C164" s="32" t="n"/>
      <c r="D164" s="32" t="n"/>
      <c r="E164" s="32" t="n"/>
      <c r="F164" s="30" t="n"/>
      <c r="G164" s="33" t="n"/>
      <c r="H164" s="33" t="n"/>
      <c r="I164" s="30" t="n"/>
      <c r="J164" s="28">
        <f>IF(OR(K164="",K164="Encerrado",K164="Sem próxima ação"),"",G164-Config!$B$5)</f>
        <v/>
      </c>
      <c r="K164" s="25">
        <f>IF(A164="","",IF(D164="Encerrado","Encerrado",IF(G164="","Sem próxima ação",IF(G164&lt;Config!$B$5,"Atrasado",IF(G164=Config!$B$5,"Hoje",IF(G164-Config!$B$5&lt;=7,"Esta semana","Em dia"))))))</f>
        <v/>
      </c>
      <c r="L164" s="28">
        <f>IF(OR(A164="",D164="Encerrado",H164=""),"",Config!$B$5-H164)</f>
        <v/>
      </c>
      <c r="M164" s="25">
        <f>IF(L164="","",IF(L164&gt;Config!$B$6,"Sim",""))</f>
        <v/>
      </c>
      <c r="N164" s="34">
        <f>IF(M164="Sim",L164-ROW()/100000,0)</f>
        <v>0</v>
      </c>
    </row>
    <row r="165">
      <c r="A165" s="30" t="n"/>
      <c r="B165" s="30" t="n"/>
      <c r="C165" s="32" t="n"/>
      <c r="D165" s="32" t="n"/>
      <c r="E165" s="32" t="n"/>
      <c r="F165" s="30" t="n"/>
      <c r="G165" s="33" t="n"/>
      <c r="H165" s="33" t="n"/>
      <c r="I165" s="30" t="n"/>
      <c r="J165" s="28">
        <f>IF(OR(K165="",K165="Encerrado",K165="Sem próxima ação"),"",G165-Config!$B$5)</f>
        <v/>
      </c>
      <c r="K165" s="25">
        <f>IF(A165="","",IF(D165="Encerrado","Encerrado",IF(G165="","Sem próxima ação",IF(G165&lt;Config!$B$5,"Atrasado",IF(G165=Config!$B$5,"Hoje",IF(G165-Config!$B$5&lt;=7,"Esta semana","Em dia"))))))</f>
        <v/>
      </c>
      <c r="L165" s="28">
        <f>IF(OR(A165="",D165="Encerrado",H165=""),"",Config!$B$5-H165)</f>
        <v/>
      </c>
      <c r="M165" s="25">
        <f>IF(L165="","",IF(L165&gt;Config!$B$6,"Sim",""))</f>
        <v/>
      </c>
      <c r="N165" s="34">
        <f>IF(M165="Sim",L165-ROW()/100000,0)</f>
        <v>0</v>
      </c>
    </row>
    <row r="166">
      <c r="A166" s="30" t="n"/>
      <c r="B166" s="30" t="n"/>
      <c r="C166" s="32" t="n"/>
      <c r="D166" s="32" t="n"/>
      <c r="E166" s="32" t="n"/>
      <c r="F166" s="30" t="n"/>
      <c r="G166" s="33" t="n"/>
      <c r="H166" s="33" t="n"/>
      <c r="I166" s="30" t="n"/>
      <c r="J166" s="28">
        <f>IF(OR(K166="",K166="Encerrado",K166="Sem próxima ação"),"",G166-Config!$B$5)</f>
        <v/>
      </c>
      <c r="K166" s="25">
        <f>IF(A166="","",IF(D166="Encerrado","Encerrado",IF(G166="","Sem próxima ação",IF(G166&lt;Config!$B$5,"Atrasado",IF(G166=Config!$B$5,"Hoje",IF(G166-Config!$B$5&lt;=7,"Esta semana","Em dia"))))))</f>
        <v/>
      </c>
      <c r="L166" s="28">
        <f>IF(OR(A166="",D166="Encerrado",H166=""),"",Config!$B$5-H166)</f>
        <v/>
      </c>
      <c r="M166" s="25">
        <f>IF(L166="","",IF(L166&gt;Config!$B$6,"Sim",""))</f>
        <v/>
      </c>
      <c r="N166" s="34">
        <f>IF(M166="Sim",L166-ROW()/100000,0)</f>
        <v>0</v>
      </c>
    </row>
    <row r="167">
      <c r="A167" s="30" t="n"/>
      <c r="B167" s="30" t="n"/>
      <c r="C167" s="32" t="n"/>
      <c r="D167" s="32" t="n"/>
      <c r="E167" s="32" t="n"/>
      <c r="F167" s="30" t="n"/>
      <c r="G167" s="33" t="n"/>
      <c r="H167" s="33" t="n"/>
      <c r="I167" s="30" t="n"/>
      <c r="J167" s="28">
        <f>IF(OR(K167="",K167="Encerrado",K167="Sem próxima ação"),"",G167-Config!$B$5)</f>
        <v/>
      </c>
      <c r="K167" s="25">
        <f>IF(A167="","",IF(D167="Encerrado","Encerrado",IF(G167="","Sem próxima ação",IF(G167&lt;Config!$B$5,"Atrasado",IF(G167=Config!$B$5,"Hoje",IF(G167-Config!$B$5&lt;=7,"Esta semana","Em dia"))))))</f>
        <v/>
      </c>
      <c r="L167" s="28">
        <f>IF(OR(A167="",D167="Encerrado",H167=""),"",Config!$B$5-H167)</f>
        <v/>
      </c>
      <c r="M167" s="25">
        <f>IF(L167="","",IF(L167&gt;Config!$B$6,"Sim",""))</f>
        <v/>
      </c>
      <c r="N167" s="34">
        <f>IF(M167="Sim",L167-ROW()/100000,0)</f>
        <v>0</v>
      </c>
    </row>
    <row r="168">
      <c r="A168" s="30" t="n"/>
      <c r="B168" s="30" t="n"/>
      <c r="C168" s="32" t="n"/>
      <c r="D168" s="32" t="n"/>
      <c r="E168" s="32" t="n"/>
      <c r="F168" s="30" t="n"/>
      <c r="G168" s="33" t="n"/>
      <c r="H168" s="33" t="n"/>
      <c r="I168" s="30" t="n"/>
      <c r="J168" s="28">
        <f>IF(OR(K168="",K168="Encerrado",K168="Sem próxima ação"),"",G168-Config!$B$5)</f>
        <v/>
      </c>
      <c r="K168" s="25">
        <f>IF(A168="","",IF(D168="Encerrado","Encerrado",IF(G168="","Sem próxima ação",IF(G168&lt;Config!$B$5,"Atrasado",IF(G168=Config!$B$5,"Hoje",IF(G168-Config!$B$5&lt;=7,"Esta semana","Em dia"))))))</f>
        <v/>
      </c>
      <c r="L168" s="28">
        <f>IF(OR(A168="",D168="Encerrado",H168=""),"",Config!$B$5-H168)</f>
        <v/>
      </c>
      <c r="M168" s="25">
        <f>IF(L168="","",IF(L168&gt;Config!$B$6,"Sim",""))</f>
        <v/>
      </c>
      <c r="N168" s="34">
        <f>IF(M168="Sim",L168-ROW()/100000,0)</f>
        <v>0</v>
      </c>
    </row>
    <row r="169">
      <c r="A169" s="30" t="n"/>
      <c r="B169" s="30" t="n"/>
      <c r="C169" s="32" t="n"/>
      <c r="D169" s="32" t="n"/>
      <c r="E169" s="32" t="n"/>
      <c r="F169" s="30" t="n"/>
      <c r="G169" s="33" t="n"/>
      <c r="H169" s="33" t="n"/>
      <c r="I169" s="30" t="n"/>
      <c r="J169" s="28">
        <f>IF(OR(K169="",K169="Encerrado",K169="Sem próxima ação"),"",G169-Config!$B$5)</f>
        <v/>
      </c>
      <c r="K169" s="25">
        <f>IF(A169="","",IF(D169="Encerrado","Encerrado",IF(G169="","Sem próxima ação",IF(G169&lt;Config!$B$5,"Atrasado",IF(G169=Config!$B$5,"Hoje",IF(G169-Config!$B$5&lt;=7,"Esta semana","Em dia"))))))</f>
        <v/>
      </c>
      <c r="L169" s="28">
        <f>IF(OR(A169="",D169="Encerrado",H169=""),"",Config!$B$5-H169)</f>
        <v/>
      </c>
      <c r="M169" s="25">
        <f>IF(L169="","",IF(L169&gt;Config!$B$6,"Sim",""))</f>
        <v/>
      </c>
      <c r="N169" s="34">
        <f>IF(M169="Sim",L169-ROW()/100000,0)</f>
        <v>0</v>
      </c>
    </row>
    <row r="170">
      <c r="A170" s="30" t="n"/>
      <c r="B170" s="30" t="n"/>
      <c r="C170" s="32" t="n"/>
      <c r="D170" s="32" t="n"/>
      <c r="E170" s="32" t="n"/>
      <c r="F170" s="30" t="n"/>
      <c r="G170" s="33" t="n"/>
      <c r="H170" s="33" t="n"/>
      <c r="I170" s="30" t="n"/>
      <c r="J170" s="28">
        <f>IF(OR(K170="",K170="Encerrado",K170="Sem próxima ação"),"",G170-Config!$B$5)</f>
        <v/>
      </c>
      <c r="K170" s="25">
        <f>IF(A170="","",IF(D170="Encerrado","Encerrado",IF(G170="","Sem próxima ação",IF(G170&lt;Config!$B$5,"Atrasado",IF(G170=Config!$B$5,"Hoje",IF(G170-Config!$B$5&lt;=7,"Esta semana","Em dia"))))))</f>
        <v/>
      </c>
      <c r="L170" s="28">
        <f>IF(OR(A170="",D170="Encerrado",H170=""),"",Config!$B$5-H170)</f>
        <v/>
      </c>
      <c r="M170" s="25">
        <f>IF(L170="","",IF(L170&gt;Config!$B$6,"Sim",""))</f>
        <v/>
      </c>
      <c r="N170" s="34">
        <f>IF(M170="Sim",L170-ROW()/100000,0)</f>
        <v>0</v>
      </c>
    </row>
    <row r="171">
      <c r="A171" s="30" t="n"/>
      <c r="B171" s="30" t="n"/>
      <c r="C171" s="32" t="n"/>
      <c r="D171" s="32" t="n"/>
      <c r="E171" s="32" t="n"/>
      <c r="F171" s="30" t="n"/>
      <c r="G171" s="33" t="n"/>
      <c r="H171" s="33" t="n"/>
      <c r="I171" s="30" t="n"/>
      <c r="J171" s="28">
        <f>IF(OR(K171="",K171="Encerrado",K171="Sem próxima ação"),"",G171-Config!$B$5)</f>
        <v/>
      </c>
      <c r="K171" s="25">
        <f>IF(A171="","",IF(D171="Encerrado","Encerrado",IF(G171="","Sem próxima ação",IF(G171&lt;Config!$B$5,"Atrasado",IF(G171=Config!$B$5,"Hoje",IF(G171-Config!$B$5&lt;=7,"Esta semana","Em dia"))))))</f>
        <v/>
      </c>
      <c r="L171" s="28">
        <f>IF(OR(A171="",D171="Encerrado",H171=""),"",Config!$B$5-H171)</f>
        <v/>
      </c>
      <c r="M171" s="25">
        <f>IF(L171="","",IF(L171&gt;Config!$B$6,"Sim",""))</f>
        <v/>
      </c>
      <c r="N171" s="34">
        <f>IF(M171="Sim",L171-ROW()/100000,0)</f>
        <v>0</v>
      </c>
    </row>
    <row r="172">
      <c r="A172" s="30" t="n"/>
      <c r="B172" s="30" t="n"/>
      <c r="C172" s="32" t="n"/>
      <c r="D172" s="32" t="n"/>
      <c r="E172" s="32" t="n"/>
      <c r="F172" s="30" t="n"/>
      <c r="G172" s="33" t="n"/>
      <c r="H172" s="33" t="n"/>
      <c r="I172" s="30" t="n"/>
      <c r="J172" s="28">
        <f>IF(OR(K172="",K172="Encerrado",K172="Sem próxima ação"),"",G172-Config!$B$5)</f>
        <v/>
      </c>
      <c r="K172" s="25">
        <f>IF(A172="","",IF(D172="Encerrado","Encerrado",IF(G172="","Sem próxima ação",IF(G172&lt;Config!$B$5,"Atrasado",IF(G172=Config!$B$5,"Hoje",IF(G172-Config!$B$5&lt;=7,"Esta semana","Em dia"))))))</f>
        <v/>
      </c>
      <c r="L172" s="28">
        <f>IF(OR(A172="",D172="Encerrado",H172=""),"",Config!$B$5-H172)</f>
        <v/>
      </c>
      <c r="M172" s="25">
        <f>IF(L172="","",IF(L172&gt;Config!$B$6,"Sim",""))</f>
        <v/>
      </c>
      <c r="N172" s="34">
        <f>IF(M172="Sim",L172-ROW()/100000,0)</f>
        <v>0</v>
      </c>
    </row>
    <row r="173">
      <c r="A173" s="30" t="n"/>
      <c r="B173" s="30" t="n"/>
      <c r="C173" s="32" t="n"/>
      <c r="D173" s="32" t="n"/>
      <c r="E173" s="32" t="n"/>
      <c r="F173" s="30" t="n"/>
      <c r="G173" s="33" t="n"/>
      <c r="H173" s="33" t="n"/>
      <c r="I173" s="30" t="n"/>
      <c r="J173" s="28">
        <f>IF(OR(K173="",K173="Encerrado",K173="Sem próxima ação"),"",G173-Config!$B$5)</f>
        <v/>
      </c>
      <c r="K173" s="25">
        <f>IF(A173="","",IF(D173="Encerrado","Encerrado",IF(G173="","Sem próxima ação",IF(G173&lt;Config!$B$5,"Atrasado",IF(G173=Config!$B$5,"Hoje",IF(G173-Config!$B$5&lt;=7,"Esta semana","Em dia"))))))</f>
        <v/>
      </c>
      <c r="L173" s="28">
        <f>IF(OR(A173="",D173="Encerrado",H173=""),"",Config!$B$5-H173)</f>
        <v/>
      </c>
      <c r="M173" s="25">
        <f>IF(L173="","",IF(L173&gt;Config!$B$6,"Sim",""))</f>
        <v/>
      </c>
      <c r="N173" s="34">
        <f>IF(M173="Sim",L173-ROW()/100000,0)</f>
        <v>0</v>
      </c>
    </row>
    <row r="174">
      <c r="A174" s="30" t="n"/>
      <c r="B174" s="30" t="n"/>
      <c r="C174" s="32" t="n"/>
      <c r="D174" s="32" t="n"/>
      <c r="E174" s="32" t="n"/>
      <c r="F174" s="30" t="n"/>
      <c r="G174" s="33" t="n"/>
      <c r="H174" s="33" t="n"/>
      <c r="I174" s="30" t="n"/>
      <c r="J174" s="28">
        <f>IF(OR(K174="",K174="Encerrado",K174="Sem próxima ação"),"",G174-Config!$B$5)</f>
        <v/>
      </c>
      <c r="K174" s="25">
        <f>IF(A174="","",IF(D174="Encerrado","Encerrado",IF(G174="","Sem próxima ação",IF(G174&lt;Config!$B$5,"Atrasado",IF(G174=Config!$B$5,"Hoje",IF(G174-Config!$B$5&lt;=7,"Esta semana","Em dia"))))))</f>
        <v/>
      </c>
      <c r="L174" s="28">
        <f>IF(OR(A174="",D174="Encerrado",H174=""),"",Config!$B$5-H174)</f>
        <v/>
      </c>
      <c r="M174" s="25">
        <f>IF(L174="","",IF(L174&gt;Config!$B$6,"Sim",""))</f>
        <v/>
      </c>
      <c r="N174" s="34">
        <f>IF(M174="Sim",L174-ROW()/100000,0)</f>
        <v>0</v>
      </c>
    </row>
    <row r="175">
      <c r="A175" s="30" t="n"/>
      <c r="B175" s="30" t="n"/>
      <c r="C175" s="32" t="n"/>
      <c r="D175" s="32" t="n"/>
      <c r="E175" s="32" t="n"/>
      <c r="F175" s="30" t="n"/>
      <c r="G175" s="33" t="n"/>
      <c r="H175" s="33" t="n"/>
      <c r="I175" s="30" t="n"/>
      <c r="J175" s="28">
        <f>IF(OR(K175="",K175="Encerrado",K175="Sem próxima ação"),"",G175-Config!$B$5)</f>
        <v/>
      </c>
      <c r="K175" s="25">
        <f>IF(A175="","",IF(D175="Encerrado","Encerrado",IF(G175="","Sem próxima ação",IF(G175&lt;Config!$B$5,"Atrasado",IF(G175=Config!$B$5,"Hoje",IF(G175-Config!$B$5&lt;=7,"Esta semana","Em dia"))))))</f>
        <v/>
      </c>
      <c r="L175" s="28">
        <f>IF(OR(A175="",D175="Encerrado",H175=""),"",Config!$B$5-H175)</f>
        <v/>
      </c>
      <c r="M175" s="25">
        <f>IF(L175="","",IF(L175&gt;Config!$B$6,"Sim",""))</f>
        <v/>
      </c>
      <c r="N175" s="34">
        <f>IF(M175="Sim",L175-ROW()/100000,0)</f>
        <v>0</v>
      </c>
    </row>
    <row r="176">
      <c r="A176" s="30" t="n"/>
      <c r="B176" s="30" t="n"/>
      <c r="C176" s="32" t="n"/>
      <c r="D176" s="32" t="n"/>
      <c r="E176" s="32" t="n"/>
      <c r="F176" s="30" t="n"/>
      <c r="G176" s="33" t="n"/>
      <c r="H176" s="33" t="n"/>
      <c r="I176" s="30" t="n"/>
      <c r="J176" s="28">
        <f>IF(OR(K176="",K176="Encerrado",K176="Sem próxima ação"),"",G176-Config!$B$5)</f>
        <v/>
      </c>
      <c r="K176" s="25">
        <f>IF(A176="","",IF(D176="Encerrado","Encerrado",IF(G176="","Sem próxima ação",IF(G176&lt;Config!$B$5,"Atrasado",IF(G176=Config!$B$5,"Hoje",IF(G176-Config!$B$5&lt;=7,"Esta semana","Em dia"))))))</f>
        <v/>
      </c>
      <c r="L176" s="28">
        <f>IF(OR(A176="",D176="Encerrado",H176=""),"",Config!$B$5-H176)</f>
        <v/>
      </c>
      <c r="M176" s="25">
        <f>IF(L176="","",IF(L176&gt;Config!$B$6,"Sim",""))</f>
        <v/>
      </c>
      <c r="N176" s="34">
        <f>IF(M176="Sim",L176-ROW()/100000,0)</f>
        <v>0</v>
      </c>
    </row>
    <row r="177">
      <c r="A177" s="30" t="n"/>
      <c r="B177" s="30" t="n"/>
      <c r="C177" s="32" t="n"/>
      <c r="D177" s="32" t="n"/>
      <c r="E177" s="32" t="n"/>
      <c r="F177" s="30" t="n"/>
      <c r="G177" s="33" t="n"/>
      <c r="H177" s="33" t="n"/>
      <c r="I177" s="30" t="n"/>
      <c r="J177" s="28">
        <f>IF(OR(K177="",K177="Encerrado",K177="Sem próxima ação"),"",G177-Config!$B$5)</f>
        <v/>
      </c>
      <c r="K177" s="25">
        <f>IF(A177="","",IF(D177="Encerrado","Encerrado",IF(G177="","Sem próxima ação",IF(G177&lt;Config!$B$5,"Atrasado",IF(G177=Config!$B$5,"Hoje",IF(G177-Config!$B$5&lt;=7,"Esta semana","Em dia"))))))</f>
        <v/>
      </c>
      <c r="L177" s="28">
        <f>IF(OR(A177="",D177="Encerrado",H177=""),"",Config!$B$5-H177)</f>
        <v/>
      </c>
      <c r="M177" s="25">
        <f>IF(L177="","",IF(L177&gt;Config!$B$6,"Sim",""))</f>
        <v/>
      </c>
      <c r="N177" s="34">
        <f>IF(M177="Sim",L177-ROW()/100000,0)</f>
        <v>0</v>
      </c>
    </row>
    <row r="178">
      <c r="A178" s="30" t="n"/>
      <c r="B178" s="30" t="n"/>
      <c r="C178" s="32" t="n"/>
      <c r="D178" s="32" t="n"/>
      <c r="E178" s="32" t="n"/>
      <c r="F178" s="30" t="n"/>
      <c r="G178" s="33" t="n"/>
      <c r="H178" s="33" t="n"/>
      <c r="I178" s="30" t="n"/>
      <c r="J178" s="28">
        <f>IF(OR(K178="",K178="Encerrado",K178="Sem próxima ação"),"",G178-Config!$B$5)</f>
        <v/>
      </c>
      <c r="K178" s="25">
        <f>IF(A178="","",IF(D178="Encerrado","Encerrado",IF(G178="","Sem próxima ação",IF(G178&lt;Config!$B$5,"Atrasado",IF(G178=Config!$B$5,"Hoje",IF(G178-Config!$B$5&lt;=7,"Esta semana","Em dia"))))))</f>
        <v/>
      </c>
      <c r="L178" s="28">
        <f>IF(OR(A178="",D178="Encerrado",H178=""),"",Config!$B$5-H178)</f>
        <v/>
      </c>
      <c r="M178" s="25">
        <f>IF(L178="","",IF(L178&gt;Config!$B$6,"Sim",""))</f>
        <v/>
      </c>
      <c r="N178" s="34">
        <f>IF(M178="Sim",L178-ROW()/100000,0)</f>
        <v>0</v>
      </c>
    </row>
    <row r="179">
      <c r="A179" s="30" t="n"/>
      <c r="B179" s="30" t="n"/>
      <c r="C179" s="32" t="n"/>
      <c r="D179" s="32" t="n"/>
      <c r="E179" s="32" t="n"/>
      <c r="F179" s="30" t="n"/>
      <c r="G179" s="33" t="n"/>
      <c r="H179" s="33" t="n"/>
      <c r="I179" s="30" t="n"/>
      <c r="J179" s="28">
        <f>IF(OR(K179="",K179="Encerrado",K179="Sem próxima ação"),"",G179-Config!$B$5)</f>
        <v/>
      </c>
      <c r="K179" s="25">
        <f>IF(A179="","",IF(D179="Encerrado","Encerrado",IF(G179="","Sem próxima ação",IF(G179&lt;Config!$B$5,"Atrasado",IF(G179=Config!$B$5,"Hoje",IF(G179-Config!$B$5&lt;=7,"Esta semana","Em dia"))))))</f>
        <v/>
      </c>
      <c r="L179" s="28">
        <f>IF(OR(A179="",D179="Encerrado",H179=""),"",Config!$B$5-H179)</f>
        <v/>
      </c>
      <c r="M179" s="25">
        <f>IF(L179="","",IF(L179&gt;Config!$B$6,"Sim",""))</f>
        <v/>
      </c>
      <c r="N179" s="34">
        <f>IF(M179="Sim",L179-ROW()/100000,0)</f>
        <v>0</v>
      </c>
    </row>
    <row r="180">
      <c r="A180" s="30" t="n"/>
      <c r="B180" s="30" t="n"/>
      <c r="C180" s="32" t="n"/>
      <c r="D180" s="32" t="n"/>
      <c r="E180" s="32" t="n"/>
      <c r="F180" s="30" t="n"/>
      <c r="G180" s="33" t="n"/>
      <c r="H180" s="33" t="n"/>
      <c r="I180" s="30" t="n"/>
      <c r="J180" s="28">
        <f>IF(OR(K180="",K180="Encerrado",K180="Sem próxima ação"),"",G180-Config!$B$5)</f>
        <v/>
      </c>
      <c r="K180" s="25">
        <f>IF(A180="","",IF(D180="Encerrado","Encerrado",IF(G180="","Sem próxima ação",IF(G180&lt;Config!$B$5,"Atrasado",IF(G180=Config!$B$5,"Hoje",IF(G180-Config!$B$5&lt;=7,"Esta semana","Em dia"))))))</f>
        <v/>
      </c>
      <c r="L180" s="28">
        <f>IF(OR(A180="",D180="Encerrado",H180=""),"",Config!$B$5-H180)</f>
        <v/>
      </c>
      <c r="M180" s="25">
        <f>IF(L180="","",IF(L180&gt;Config!$B$6,"Sim",""))</f>
        <v/>
      </c>
      <c r="N180" s="34">
        <f>IF(M180="Sim",L180-ROW()/100000,0)</f>
        <v>0</v>
      </c>
    </row>
    <row r="181">
      <c r="A181" s="30" t="n"/>
      <c r="B181" s="30" t="n"/>
      <c r="C181" s="32" t="n"/>
      <c r="D181" s="32" t="n"/>
      <c r="E181" s="32" t="n"/>
      <c r="F181" s="30" t="n"/>
      <c r="G181" s="33" t="n"/>
      <c r="H181" s="33" t="n"/>
      <c r="I181" s="30" t="n"/>
      <c r="J181" s="28">
        <f>IF(OR(K181="",K181="Encerrado",K181="Sem próxima ação"),"",G181-Config!$B$5)</f>
        <v/>
      </c>
      <c r="K181" s="25">
        <f>IF(A181="","",IF(D181="Encerrado","Encerrado",IF(G181="","Sem próxima ação",IF(G181&lt;Config!$B$5,"Atrasado",IF(G181=Config!$B$5,"Hoje",IF(G181-Config!$B$5&lt;=7,"Esta semana","Em dia"))))))</f>
        <v/>
      </c>
      <c r="L181" s="28">
        <f>IF(OR(A181="",D181="Encerrado",H181=""),"",Config!$B$5-H181)</f>
        <v/>
      </c>
      <c r="M181" s="25">
        <f>IF(L181="","",IF(L181&gt;Config!$B$6,"Sim",""))</f>
        <v/>
      </c>
      <c r="N181" s="34">
        <f>IF(M181="Sim",L181-ROW()/100000,0)</f>
        <v>0</v>
      </c>
    </row>
    <row r="182">
      <c r="A182" s="30" t="n"/>
      <c r="B182" s="30" t="n"/>
      <c r="C182" s="32" t="n"/>
      <c r="D182" s="32" t="n"/>
      <c r="E182" s="32" t="n"/>
      <c r="F182" s="30" t="n"/>
      <c r="G182" s="33" t="n"/>
      <c r="H182" s="33" t="n"/>
      <c r="I182" s="30" t="n"/>
      <c r="J182" s="28">
        <f>IF(OR(K182="",K182="Encerrado",K182="Sem próxima ação"),"",G182-Config!$B$5)</f>
        <v/>
      </c>
      <c r="K182" s="25">
        <f>IF(A182="","",IF(D182="Encerrado","Encerrado",IF(G182="","Sem próxima ação",IF(G182&lt;Config!$B$5,"Atrasado",IF(G182=Config!$B$5,"Hoje",IF(G182-Config!$B$5&lt;=7,"Esta semana","Em dia"))))))</f>
        <v/>
      </c>
      <c r="L182" s="28">
        <f>IF(OR(A182="",D182="Encerrado",H182=""),"",Config!$B$5-H182)</f>
        <v/>
      </c>
      <c r="M182" s="25">
        <f>IF(L182="","",IF(L182&gt;Config!$B$6,"Sim",""))</f>
        <v/>
      </c>
      <c r="N182" s="34">
        <f>IF(M182="Sim",L182-ROW()/100000,0)</f>
        <v>0</v>
      </c>
    </row>
    <row r="183">
      <c r="A183" s="30" t="n"/>
      <c r="B183" s="30" t="n"/>
      <c r="C183" s="32" t="n"/>
      <c r="D183" s="32" t="n"/>
      <c r="E183" s="32" t="n"/>
      <c r="F183" s="30" t="n"/>
      <c r="G183" s="33" t="n"/>
      <c r="H183" s="33" t="n"/>
      <c r="I183" s="30" t="n"/>
      <c r="J183" s="28">
        <f>IF(OR(K183="",K183="Encerrado",K183="Sem próxima ação"),"",G183-Config!$B$5)</f>
        <v/>
      </c>
      <c r="K183" s="25">
        <f>IF(A183="","",IF(D183="Encerrado","Encerrado",IF(G183="","Sem próxima ação",IF(G183&lt;Config!$B$5,"Atrasado",IF(G183=Config!$B$5,"Hoje",IF(G183-Config!$B$5&lt;=7,"Esta semana","Em dia"))))))</f>
        <v/>
      </c>
      <c r="L183" s="28">
        <f>IF(OR(A183="",D183="Encerrado",H183=""),"",Config!$B$5-H183)</f>
        <v/>
      </c>
      <c r="M183" s="25">
        <f>IF(L183="","",IF(L183&gt;Config!$B$6,"Sim",""))</f>
        <v/>
      </c>
      <c r="N183" s="34">
        <f>IF(M183="Sim",L183-ROW()/100000,0)</f>
        <v>0</v>
      </c>
    </row>
    <row r="184">
      <c r="A184" s="30" t="n"/>
      <c r="B184" s="30" t="n"/>
      <c r="C184" s="32" t="n"/>
      <c r="D184" s="32" t="n"/>
      <c r="E184" s="32" t="n"/>
      <c r="F184" s="30" t="n"/>
      <c r="G184" s="33" t="n"/>
      <c r="H184" s="33" t="n"/>
      <c r="I184" s="30" t="n"/>
      <c r="J184" s="28">
        <f>IF(OR(K184="",K184="Encerrado",K184="Sem próxima ação"),"",G184-Config!$B$5)</f>
        <v/>
      </c>
      <c r="K184" s="25">
        <f>IF(A184="","",IF(D184="Encerrado","Encerrado",IF(G184="","Sem próxima ação",IF(G184&lt;Config!$B$5,"Atrasado",IF(G184=Config!$B$5,"Hoje",IF(G184-Config!$B$5&lt;=7,"Esta semana","Em dia"))))))</f>
        <v/>
      </c>
      <c r="L184" s="28">
        <f>IF(OR(A184="",D184="Encerrado",H184=""),"",Config!$B$5-H184)</f>
        <v/>
      </c>
      <c r="M184" s="25">
        <f>IF(L184="","",IF(L184&gt;Config!$B$6,"Sim",""))</f>
        <v/>
      </c>
      <c r="N184" s="34">
        <f>IF(M184="Sim",L184-ROW()/100000,0)</f>
        <v>0</v>
      </c>
    </row>
    <row r="185">
      <c r="A185" s="30" t="n"/>
      <c r="B185" s="30" t="n"/>
      <c r="C185" s="32" t="n"/>
      <c r="D185" s="32" t="n"/>
      <c r="E185" s="32" t="n"/>
      <c r="F185" s="30" t="n"/>
      <c r="G185" s="33" t="n"/>
      <c r="H185" s="33" t="n"/>
      <c r="I185" s="30" t="n"/>
      <c r="J185" s="28">
        <f>IF(OR(K185="",K185="Encerrado",K185="Sem próxima ação"),"",G185-Config!$B$5)</f>
        <v/>
      </c>
      <c r="K185" s="25">
        <f>IF(A185="","",IF(D185="Encerrado","Encerrado",IF(G185="","Sem próxima ação",IF(G185&lt;Config!$B$5,"Atrasado",IF(G185=Config!$B$5,"Hoje",IF(G185-Config!$B$5&lt;=7,"Esta semana","Em dia"))))))</f>
        <v/>
      </c>
      <c r="L185" s="28">
        <f>IF(OR(A185="",D185="Encerrado",H185=""),"",Config!$B$5-H185)</f>
        <v/>
      </c>
      <c r="M185" s="25">
        <f>IF(L185="","",IF(L185&gt;Config!$B$6,"Sim",""))</f>
        <v/>
      </c>
      <c r="N185" s="34">
        <f>IF(M185="Sim",L185-ROW()/100000,0)</f>
        <v>0</v>
      </c>
    </row>
    <row r="186">
      <c r="A186" s="30" t="n"/>
      <c r="B186" s="30" t="n"/>
      <c r="C186" s="32" t="n"/>
      <c r="D186" s="32" t="n"/>
      <c r="E186" s="32" t="n"/>
      <c r="F186" s="30" t="n"/>
      <c r="G186" s="33" t="n"/>
      <c r="H186" s="33" t="n"/>
      <c r="I186" s="30" t="n"/>
      <c r="J186" s="28">
        <f>IF(OR(K186="",K186="Encerrado",K186="Sem próxima ação"),"",G186-Config!$B$5)</f>
        <v/>
      </c>
      <c r="K186" s="25">
        <f>IF(A186="","",IF(D186="Encerrado","Encerrado",IF(G186="","Sem próxima ação",IF(G186&lt;Config!$B$5,"Atrasado",IF(G186=Config!$B$5,"Hoje",IF(G186-Config!$B$5&lt;=7,"Esta semana","Em dia"))))))</f>
        <v/>
      </c>
      <c r="L186" s="28">
        <f>IF(OR(A186="",D186="Encerrado",H186=""),"",Config!$B$5-H186)</f>
        <v/>
      </c>
      <c r="M186" s="25">
        <f>IF(L186="","",IF(L186&gt;Config!$B$6,"Sim",""))</f>
        <v/>
      </c>
      <c r="N186" s="34">
        <f>IF(M186="Sim",L186-ROW()/100000,0)</f>
        <v>0</v>
      </c>
    </row>
    <row r="187">
      <c r="A187" s="30" t="n"/>
      <c r="B187" s="30" t="n"/>
      <c r="C187" s="32" t="n"/>
      <c r="D187" s="32" t="n"/>
      <c r="E187" s="32" t="n"/>
      <c r="F187" s="30" t="n"/>
      <c r="G187" s="33" t="n"/>
      <c r="H187" s="33" t="n"/>
      <c r="I187" s="30" t="n"/>
      <c r="J187" s="28">
        <f>IF(OR(K187="",K187="Encerrado",K187="Sem próxima ação"),"",G187-Config!$B$5)</f>
        <v/>
      </c>
      <c r="K187" s="25">
        <f>IF(A187="","",IF(D187="Encerrado","Encerrado",IF(G187="","Sem próxima ação",IF(G187&lt;Config!$B$5,"Atrasado",IF(G187=Config!$B$5,"Hoje",IF(G187-Config!$B$5&lt;=7,"Esta semana","Em dia"))))))</f>
        <v/>
      </c>
      <c r="L187" s="28">
        <f>IF(OR(A187="",D187="Encerrado",H187=""),"",Config!$B$5-H187)</f>
        <v/>
      </c>
      <c r="M187" s="25">
        <f>IF(L187="","",IF(L187&gt;Config!$B$6,"Sim",""))</f>
        <v/>
      </c>
      <c r="N187" s="34">
        <f>IF(M187="Sim",L187-ROW()/100000,0)</f>
        <v>0</v>
      </c>
    </row>
    <row r="188">
      <c r="A188" s="30" t="n"/>
      <c r="B188" s="30" t="n"/>
      <c r="C188" s="32" t="n"/>
      <c r="D188" s="32" t="n"/>
      <c r="E188" s="32" t="n"/>
      <c r="F188" s="30" t="n"/>
      <c r="G188" s="33" t="n"/>
      <c r="H188" s="33" t="n"/>
      <c r="I188" s="30" t="n"/>
      <c r="J188" s="28">
        <f>IF(OR(K188="",K188="Encerrado",K188="Sem próxima ação"),"",G188-Config!$B$5)</f>
        <v/>
      </c>
      <c r="K188" s="25">
        <f>IF(A188="","",IF(D188="Encerrado","Encerrado",IF(G188="","Sem próxima ação",IF(G188&lt;Config!$B$5,"Atrasado",IF(G188=Config!$B$5,"Hoje",IF(G188-Config!$B$5&lt;=7,"Esta semana","Em dia"))))))</f>
        <v/>
      </c>
      <c r="L188" s="28">
        <f>IF(OR(A188="",D188="Encerrado",H188=""),"",Config!$B$5-H188)</f>
        <v/>
      </c>
      <c r="M188" s="25">
        <f>IF(L188="","",IF(L188&gt;Config!$B$6,"Sim",""))</f>
        <v/>
      </c>
      <c r="N188" s="34">
        <f>IF(M188="Sim",L188-ROW()/100000,0)</f>
        <v>0</v>
      </c>
    </row>
    <row r="189">
      <c r="A189" s="30" t="n"/>
      <c r="B189" s="30" t="n"/>
      <c r="C189" s="32" t="n"/>
      <c r="D189" s="32" t="n"/>
      <c r="E189" s="32" t="n"/>
      <c r="F189" s="30" t="n"/>
      <c r="G189" s="33" t="n"/>
      <c r="H189" s="33" t="n"/>
      <c r="I189" s="30" t="n"/>
      <c r="J189" s="28">
        <f>IF(OR(K189="",K189="Encerrado",K189="Sem próxima ação"),"",G189-Config!$B$5)</f>
        <v/>
      </c>
      <c r="K189" s="25">
        <f>IF(A189="","",IF(D189="Encerrado","Encerrado",IF(G189="","Sem próxima ação",IF(G189&lt;Config!$B$5,"Atrasado",IF(G189=Config!$B$5,"Hoje",IF(G189-Config!$B$5&lt;=7,"Esta semana","Em dia"))))))</f>
        <v/>
      </c>
      <c r="L189" s="28">
        <f>IF(OR(A189="",D189="Encerrado",H189=""),"",Config!$B$5-H189)</f>
        <v/>
      </c>
      <c r="M189" s="25">
        <f>IF(L189="","",IF(L189&gt;Config!$B$6,"Sim",""))</f>
        <v/>
      </c>
      <c r="N189" s="34">
        <f>IF(M189="Sim",L189-ROW()/100000,0)</f>
        <v>0</v>
      </c>
    </row>
    <row r="190">
      <c r="A190" s="30" t="n"/>
      <c r="B190" s="30" t="n"/>
      <c r="C190" s="32" t="n"/>
      <c r="D190" s="32" t="n"/>
      <c r="E190" s="32" t="n"/>
      <c r="F190" s="30" t="n"/>
      <c r="G190" s="33" t="n"/>
      <c r="H190" s="33" t="n"/>
      <c r="I190" s="30" t="n"/>
      <c r="J190" s="28">
        <f>IF(OR(K190="",K190="Encerrado",K190="Sem próxima ação"),"",G190-Config!$B$5)</f>
        <v/>
      </c>
      <c r="K190" s="25">
        <f>IF(A190="","",IF(D190="Encerrado","Encerrado",IF(G190="","Sem próxima ação",IF(G190&lt;Config!$B$5,"Atrasado",IF(G190=Config!$B$5,"Hoje",IF(G190-Config!$B$5&lt;=7,"Esta semana","Em dia"))))))</f>
        <v/>
      </c>
      <c r="L190" s="28">
        <f>IF(OR(A190="",D190="Encerrado",H190=""),"",Config!$B$5-H190)</f>
        <v/>
      </c>
      <c r="M190" s="25">
        <f>IF(L190="","",IF(L190&gt;Config!$B$6,"Sim",""))</f>
        <v/>
      </c>
      <c r="N190" s="34">
        <f>IF(M190="Sim",L190-ROW()/100000,0)</f>
        <v>0</v>
      </c>
    </row>
    <row r="191">
      <c r="A191" s="30" t="n"/>
      <c r="B191" s="30" t="n"/>
      <c r="C191" s="32" t="n"/>
      <c r="D191" s="32" t="n"/>
      <c r="E191" s="32" t="n"/>
      <c r="F191" s="30" t="n"/>
      <c r="G191" s="33" t="n"/>
      <c r="H191" s="33" t="n"/>
      <c r="I191" s="30" t="n"/>
      <c r="J191" s="28">
        <f>IF(OR(K191="",K191="Encerrado",K191="Sem próxima ação"),"",G191-Config!$B$5)</f>
        <v/>
      </c>
      <c r="K191" s="25">
        <f>IF(A191="","",IF(D191="Encerrado","Encerrado",IF(G191="","Sem próxima ação",IF(G191&lt;Config!$B$5,"Atrasado",IF(G191=Config!$B$5,"Hoje",IF(G191-Config!$B$5&lt;=7,"Esta semana","Em dia"))))))</f>
        <v/>
      </c>
      <c r="L191" s="28">
        <f>IF(OR(A191="",D191="Encerrado",H191=""),"",Config!$B$5-H191)</f>
        <v/>
      </c>
      <c r="M191" s="25">
        <f>IF(L191="","",IF(L191&gt;Config!$B$6,"Sim",""))</f>
        <v/>
      </c>
      <c r="N191" s="34">
        <f>IF(M191="Sim",L191-ROW()/100000,0)</f>
        <v>0</v>
      </c>
    </row>
    <row r="192">
      <c r="A192" s="30" t="n"/>
      <c r="B192" s="30" t="n"/>
      <c r="C192" s="32" t="n"/>
      <c r="D192" s="32" t="n"/>
      <c r="E192" s="32" t="n"/>
      <c r="F192" s="30" t="n"/>
      <c r="G192" s="33" t="n"/>
      <c r="H192" s="33" t="n"/>
      <c r="I192" s="30" t="n"/>
      <c r="J192" s="28">
        <f>IF(OR(K192="",K192="Encerrado",K192="Sem próxima ação"),"",G192-Config!$B$5)</f>
        <v/>
      </c>
      <c r="K192" s="25">
        <f>IF(A192="","",IF(D192="Encerrado","Encerrado",IF(G192="","Sem próxima ação",IF(G192&lt;Config!$B$5,"Atrasado",IF(G192=Config!$B$5,"Hoje",IF(G192-Config!$B$5&lt;=7,"Esta semana","Em dia"))))))</f>
        <v/>
      </c>
      <c r="L192" s="28">
        <f>IF(OR(A192="",D192="Encerrado",H192=""),"",Config!$B$5-H192)</f>
        <v/>
      </c>
      <c r="M192" s="25">
        <f>IF(L192="","",IF(L192&gt;Config!$B$6,"Sim",""))</f>
        <v/>
      </c>
      <c r="N192" s="34">
        <f>IF(M192="Sim",L192-ROW()/100000,0)</f>
        <v>0</v>
      </c>
    </row>
    <row r="193">
      <c r="A193" s="30" t="n"/>
      <c r="B193" s="30" t="n"/>
      <c r="C193" s="32" t="n"/>
      <c r="D193" s="32" t="n"/>
      <c r="E193" s="32" t="n"/>
      <c r="F193" s="30" t="n"/>
      <c r="G193" s="33" t="n"/>
      <c r="H193" s="33" t="n"/>
      <c r="I193" s="30" t="n"/>
      <c r="J193" s="28">
        <f>IF(OR(K193="",K193="Encerrado",K193="Sem próxima ação"),"",G193-Config!$B$5)</f>
        <v/>
      </c>
      <c r="K193" s="25">
        <f>IF(A193="","",IF(D193="Encerrado","Encerrado",IF(G193="","Sem próxima ação",IF(G193&lt;Config!$B$5,"Atrasado",IF(G193=Config!$B$5,"Hoje",IF(G193-Config!$B$5&lt;=7,"Esta semana","Em dia"))))))</f>
        <v/>
      </c>
      <c r="L193" s="28">
        <f>IF(OR(A193="",D193="Encerrado",H193=""),"",Config!$B$5-H193)</f>
        <v/>
      </c>
      <c r="M193" s="25">
        <f>IF(L193="","",IF(L193&gt;Config!$B$6,"Sim",""))</f>
        <v/>
      </c>
      <c r="N193" s="34">
        <f>IF(M193="Sim",L193-ROW()/100000,0)</f>
        <v>0</v>
      </c>
    </row>
    <row r="194">
      <c r="A194" s="30" t="n"/>
      <c r="B194" s="30" t="n"/>
      <c r="C194" s="32" t="n"/>
      <c r="D194" s="32" t="n"/>
      <c r="E194" s="32" t="n"/>
      <c r="F194" s="30" t="n"/>
      <c r="G194" s="33" t="n"/>
      <c r="H194" s="33" t="n"/>
      <c r="I194" s="30" t="n"/>
      <c r="J194" s="28">
        <f>IF(OR(K194="",K194="Encerrado",K194="Sem próxima ação"),"",G194-Config!$B$5)</f>
        <v/>
      </c>
      <c r="K194" s="25">
        <f>IF(A194="","",IF(D194="Encerrado","Encerrado",IF(G194="","Sem próxima ação",IF(G194&lt;Config!$B$5,"Atrasado",IF(G194=Config!$B$5,"Hoje",IF(G194-Config!$B$5&lt;=7,"Esta semana","Em dia"))))))</f>
        <v/>
      </c>
      <c r="L194" s="28">
        <f>IF(OR(A194="",D194="Encerrado",H194=""),"",Config!$B$5-H194)</f>
        <v/>
      </c>
      <c r="M194" s="25">
        <f>IF(L194="","",IF(L194&gt;Config!$B$6,"Sim",""))</f>
        <v/>
      </c>
      <c r="N194" s="34">
        <f>IF(M194="Sim",L194-ROW()/100000,0)</f>
        <v>0</v>
      </c>
    </row>
    <row r="195">
      <c r="A195" s="30" t="n"/>
      <c r="B195" s="30" t="n"/>
      <c r="C195" s="32" t="n"/>
      <c r="D195" s="32" t="n"/>
      <c r="E195" s="32" t="n"/>
      <c r="F195" s="30" t="n"/>
      <c r="G195" s="33" t="n"/>
      <c r="H195" s="33" t="n"/>
      <c r="I195" s="30" t="n"/>
      <c r="J195" s="28">
        <f>IF(OR(K195="",K195="Encerrado",K195="Sem próxima ação"),"",G195-Config!$B$5)</f>
        <v/>
      </c>
      <c r="K195" s="25">
        <f>IF(A195="","",IF(D195="Encerrado","Encerrado",IF(G195="","Sem próxima ação",IF(G195&lt;Config!$B$5,"Atrasado",IF(G195=Config!$B$5,"Hoje",IF(G195-Config!$B$5&lt;=7,"Esta semana","Em dia"))))))</f>
        <v/>
      </c>
      <c r="L195" s="28">
        <f>IF(OR(A195="",D195="Encerrado",H195=""),"",Config!$B$5-H195)</f>
        <v/>
      </c>
      <c r="M195" s="25">
        <f>IF(L195="","",IF(L195&gt;Config!$B$6,"Sim",""))</f>
        <v/>
      </c>
      <c r="N195" s="34">
        <f>IF(M195="Sim",L195-ROW()/100000,0)</f>
        <v>0</v>
      </c>
    </row>
    <row r="196">
      <c r="A196" s="30" t="n"/>
      <c r="B196" s="30" t="n"/>
      <c r="C196" s="32" t="n"/>
      <c r="D196" s="32" t="n"/>
      <c r="E196" s="32" t="n"/>
      <c r="F196" s="30" t="n"/>
      <c r="G196" s="33" t="n"/>
      <c r="H196" s="33" t="n"/>
      <c r="I196" s="30" t="n"/>
      <c r="J196" s="28">
        <f>IF(OR(K196="",K196="Encerrado",K196="Sem próxima ação"),"",G196-Config!$B$5)</f>
        <v/>
      </c>
      <c r="K196" s="25">
        <f>IF(A196="","",IF(D196="Encerrado","Encerrado",IF(G196="","Sem próxima ação",IF(G196&lt;Config!$B$5,"Atrasado",IF(G196=Config!$B$5,"Hoje",IF(G196-Config!$B$5&lt;=7,"Esta semana","Em dia"))))))</f>
        <v/>
      </c>
      <c r="L196" s="28">
        <f>IF(OR(A196="",D196="Encerrado",H196=""),"",Config!$B$5-H196)</f>
        <v/>
      </c>
      <c r="M196" s="25">
        <f>IF(L196="","",IF(L196&gt;Config!$B$6,"Sim",""))</f>
        <v/>
      </c>
      <c r="N196" s="34">
        <f>IF(M196="Sim",L196-ROW()/100000,0)</f>
        <v>0</v>
      </c>
    </row>
    <row r="197">
      <c r="A197" s="30" t="n"/>
      <c r="B197" s="30" t="n"/>
      <c r="C197" s="32" t="n"/>
      <c r="D197" s="32" t="n"/>
      <c r="E197" s="32" t="n"/>
      <c r="F197" s="30" t="n"/>
      <c r="G197" s="33" t="n"/>
      <c r="H197" s="33" t="n"/>
      <c r="I197" s="30" t="n"/>
      <c r="J197" s="28">
        <f>IF(OR(K197="",K197="Encerrado",K197="Sem próxima ação"),"",G197-Config!$B$5)</f>
        <v/>
      </c>
      <c r="K197" s="25">
        <f>IF(A197="","",IF(D197="Encerrado","Encerrado",IF(G197="","Sem próxima ação",IF(G197&lt;Config!$B$5,"Atrasado",IF(G197=Config!$B$5,"Hoje",IF(G197-Config!$B$5&lt;=7,"Esta semana","Em dia"))))))</f>
        <v/>
      </c>
      <c r="L197" s="28">
        <f>IF(OR(A197="",D197="Encerrado",H197=""),"",Config!$B$5-H197)</f>
        <v/>
      </c>
      <c r="M197" s="25">
        <f>IF(L197="","",IF(L197&gt;Config!$B$6,"Sim",""))</f>
        <v/>
      </c>
      <c r="N197" s="34">
        <f>IF(M197="Sim",L197-ROW()/100000,0)</f>
        <v>0</v>
      </c>
    </row>
    <row r="198">
      <c r="A198" s="30" t="n"/>
      <c r="B198" s="30" t="n"/>
      <c r="C198" s="32" t="n"/>
      <c r="D198" s="32" t="n"/>
      <c r="E198" s="32" t="n"/>
      <c r="F198" s="30" t="n"/>
      <c r="G198" s="33" t="n"/>
      <c r="H198" s="33" t="n"/>
      <c r="I198" s="30" t="n"/>
      <c r="J198" s="28">
        <f>IF(OR(K198="",K198="Encerrado",K198="Sem próxima ação"),"",G198-Config!$B$5)</f>
        <v/>
      </c>
      <c r="K198" s="25">
        <f>IF(A198="","",IF(D198="Encerrado","Encerrado",IF(G198="","Sem próxima ação",IF(G198&lt;Config!$B$5,"Atrasado",IF(G198=Config!$B$5,"Hoje",IF(G198-Config!$B$5&lt;=7,"Esta semana","Em dia"))))))</f>
        <v/>
      </c>
      <c r="L198" s="28">
        <f>IF(OR(A198="",D198="Encerrado",H198=""),"",Config!$B$5-H198)</f>
        <v/>
      </c>
      <c r="M198" s="25">
        <f>IF(L198="","",IF(L198&gt;Config!$B$6,"Sim",""))</f>
        <v/>
      </c>
      <c r="N198" s="34">
        <f>IF(M198="Sim",L198-ROW()/100000,0)</f>
        <v>0</v>
      </c>
    </row>
    <row r="199">
      <c r="A199" s="30" t="n"/>
      <c r="B199" s="30" t="n"/>
      <c r="C199" s="32" t="n"/>
      <c r="D199" s="32" t="n"/>
      <c r="E199" s="32" t="n"/>
      <c r="F199" s="30" t="n"/>
      <c r="G199" s="33" t="n"/>
      <c r="H199" s="33" t="n"/>
      <c r="I199" s="30" t="n"/>
      <c r="J199" s="28">
        <f>IF(OR(K199="",K199="Encerrado",K199="Sem próxima ação"),"",G199-Config!$B$5)</f>
        <v/>
      </c>
      <c r="K199" s="25">
        <f>IF(A199="","",IF(D199="Encerrado","Encerrado",IF(G199="","Sem próxima ação",IF(G199&lt;Config!$B$5,"Atrasado",IF(G199=Config!$B$5,"Hoje",IF(G199-Config!$B$5&lt;=7,"Esta semana","Em dia"))))))</f>
        <v/>
      </c>
      <c r="L199" s="28">
        <f>IF(OR(A199="",D199="Encerrado",H199=""),"",Config!$B$5-H199)</f>
        <v/>
      </c>
      <c r="M199" s="25">
        <f>IF(L199="","",IF(L199&gt;Config!$B$6,"Sim",""))</f>
        <v/>
      </c>
      <c r="N199" s="34">
        <f>IF(M199="Sim",L199-ROW()/100000,0)</f>
        <v>0</v>
      </c>
    </row>
    <row r="200">
      <c r="A200" s="30" t="n"/>
      <c r="B200" s="30" t="n"/>
      <c r="C200" s="32" t="n"/>
      <c r="D200" s="32" t="n"/>
      <c r="E200" s="32" t="n"/>
      <c r="F200" s="30" t="n"/>
      <c r="G200" s="33" t="n"/>
      <c r="H200" s="33" t="n"/>
      <c r="I200" s="30" t="n"/>
      <c r="J200" s="28">
        <f>IF(OR(K200="",K200="Encerrado",K200="Sem próxima ação"),"",G200-Config!$B$5)</f>
        <v/>
      </c>
      <c r="K200" s="25">
        <f>IF(A200="","",IF(D200="Encerrado","Encerrado",IF(G200="","Sem próxima ação",IF(G200&lt;Config!$B$5,"Atrasado",IF(G200=Config!$B$5,"Hoje",IF(G200-Config!$B$5&lt;=7,"Esta semana","Em dia"))))))</f>
        <v/>
      </c>
      <c r="L200" s="28">
        <f>IF(OR(A200="",D200="Encerrado",H200=""),"",Config!$B$5-H200)</f>
        <v/>
      </c>
      <c r="M200" s="25">
        <f>IF(L200="","",IF(L200&gt;Config!$B$6,"Sim",""))</f>
        <v/>
      </c>
      <c r="N200" s="34">
        <f>IF(M200="Sim",L200-ROW()/100000,0)</f>
        <v>0</v>
      </c>
    </row>
    <row r="201">
      <c r="A201" s="30" t="n"/>
      <c r="B201" s="30" t="n"/>
      <c r="C201" s="32" t="n"/>
      <c r="D201" s="32" t="n"/>
      <c r="E201" s="32" t="n"/>
      <c r="F201" s="30" t="n"/>
      <c r="G201" s="33" t="n"/>
      <c r="H201" s="33" t="n"/>
      <c r="I201" s="30" t="n"/>
      <c r="J201" s="28">
        <f>IF(OR(K201="",K201="Encerrado",K201="Sem próxima ação"),"",G201-Config!$B$5)</f>
        <v/>
      </c>
      <c r="K201" s="25">
        <f>IF(A201="","",IF(D201="Encerrado","Encerrado",IF(G201="","Sem próxima ação",IF(G201&lt;Config!$B$5,"Atrasado",IF(G201=Config!$B$5,"Hoje",IF(G201-Config!$B$5&lt;=7,"Esta semana","Em dia"))))))</f>
        <v/>
      </c>
      <c r="L201" s="28">
        <f>IF(OR(A201="",D201="Encerrado",H201=""),"",Config!$B$5-H201)</f>
        <v/>
      </c>
      <c r="M201" s="25">
        <f>IF(L201="","",IF(L201&gt;Config!$B$6,"Sim",""))</f>
        <v/>
      </c>
      <c r="N201" s="34">
        <f>IF(M201="Sim",L201-ROW()/100000,0)</f>
        <v>0</v>
      </c>
    </row>
    <row r="202">
      <c r="A202" s="30" t="n"/>
      <c r="B202" s="30" t="n"/>
      <c r="C202" s="32" t="n"/>
      <c r="D202" s="32" t="n"/>
      <c r="E202" s="32" t="n"/>
      <c r="F202" s="30" t="n"/>
      <c r="G202" s="33" t="n"/>
      <c r="H202" s="33" t="n"/>
      <c r="I202" s="30" t="n"/>
      <c r="J202" s="28">
        <f>IF(OR(K202="",K202="Encerrado",K202="Sem próxima ação"),"",G202-Config!$B$5)</f>
        <v/>
      </c>
      <c r="K202" s="25">
        <f>IF(A202="","",IF(D202="Encerrado","Encerrado",IF(G202="","Sem próxima ação",IF(G202&lt;Config!$B$5,"Atrasado",IF(G202=Config!$B$5,"Hoje",IF(G202-Config!$B$5&lt;=7,"Esta semana","Em dia"))))))</f>
        <v/>
      </c>
      <c r="L202" s="28">
        <f>IF(OR(A202="",D202="Encerrado",H202=""),"",Config!$B$5-H202)</f>
        <v/>
      </c>
      <c r="M202" s="25">
        <f>IF(L202="","",IF(L202&gt;Config!$B$6,"Sim",""))</f>
        <v/>
      </c>
      <c r="N202" s="34">
        <f>IF(M202="Sim",L202-ROW()/100000,0)</f>
        <v>0</v>
      </c>
    </row>
    <row r="203">
      <c r="A203" s="30" t="n"/>
      <c r="B203" s="30" t="n"/>
      <c r="C203" s="32" t="n"/>
      <c r="D203" s="32" t="n"/>
      <c r="E203" s="32" t="n"/>
      <c r="F203" s="30" t="n"/>
      <c r="G203" s="33" t="n"/>
      <c r="H203" s="33" t="n"/>
      <c r="I203" s="30" t="n"/>
      <c r="J203" s="28">
        <f>IF(OR(K203="",K203="Encerrado",K203="Sem próxima ação"),"",G203-Config!$B$5)</f>
        <v/>
      </c>
      <c r="K203" s="25">
        <f>IF(A203="","",IF(D203="Encerrado","Encerrado",IF(G203="","Sem próxima ação",IF(G203&lt;Config!$B$5,"Atrasado",IF(G203=Config!$B$5,"Hoje",IF(G203-Config!$B$5&lt;=7,"Esta semana","Em dia"))))))</f>
        <v/>
      </c>
      <c r="L203" s="28">
        <f>IF(OR(A203="",D203="Encerrado",H203=""),"",Config!$B$5-H203)</f>
        <v/>
      </c>
      <c r="M203" s="25">
        <f>IF(L203="","",IF(L203&gt;Config!$B$6,"Sim",""))</f>
        <v/>
      </c>
      <c r="N203" s="34">
        <f>IF(M203="Sim",L203-ROW()/100000,0)</f>
        <v>0</v>
      </c>
    </row>
    <row r="204">
      <c r="A204" s="30" t="n"/>
      <c r="B204" s="30" t="n"/>
      <c r="C204" s="32" t="n"/>
      <c r="D204" s="32" t="n"/>
      <c r="E204" s="32" t="n"/>
      <c r="F204" s="30" t="n"/>
      <c r="G204" s="33" t="n"/>
      <c r="H204" s="33" t="n"/>
      <c r="I204" s="30" t="n"/>
      <c r="J204" s="28">
        <f>IF(OR(K204="",K204="Encerrado",K204="Sem próxima ação"),"",G204-Config!$B$5)</f>
        <v/>
      </c>
      <c r="K204" s="25">
        <f>IF(A204="","",IF(D204="Encerrado","Encerrado",IF(G204="","Sem próxima ação",IF(G204&lt;Config!$B$5,"Atrasado",IF(G204=Config!$B$5,"Hoje",IF(G204-Config!$B$5&lt;=7,"Esta semana","Em dia"))))))</f>
        <v/>
      </c>
      <c r="L204" s="28">
        <f>IF(OR(A204="",D204="Encerrado",H204=""),"",Config!$B$5-H204)</f>
        <v/>
      </c>
      <c r="M204" s="25">
        <f>IF(L204="","",IF(L204&gt;Config!$B$6,"Sim",""))</f>
        <v/>
      </c>
      <c r="N204" s="34">
        <f>IF(M204="Sim",L204-ROW()/100000,0)</f>
        <v>0</v>
      </c>
    </row>
    <row r="205">
      <c r="A205" s="30" t="n"/>
      <c r="B205" s="30" t="n"/>
      <c r="C205" s="32" t="n"/>
      <c r="D205" s="32" t="n"/>
      <c r="E205" s="32" t="n"/>
      <c r="F205" s="30" t="n"/>
      <c r="G205" s="33" t="n"/>
      <c r="H205" s="33" t="n"/>
      <c r="I205" s="30" t="n"/>
      <c r="J205" s="28">
        <f>IF(OR(K205="",K205="Encerrado",K205="Sem próxima ação"),"",G205-Config!$B$5)</f>
        <v/>
      </c>
      <c r="K205" s="25">
        <f>IF(A205="","",IF(D205="Encerrado","Encerrado",IF(G205="","Sem próxima ação",IF(G205&lt;Config!$B$5,"Atrasado",IF(G205=Config!$B$5,"Hoje",IF(G205-Config!$B$5&lt;=7,"Esta semana","Em dia"))))))</f>
        <v/>
      </c>
      <c r="L205" s="28">
        <f>IF(OR(A205="",D205="Encerrado",H205=""),"",Config!$B$5-H205)</f>
        <v/>
      </c>
      <c r="M205" s="25">
        <f>IF(L205="","",IF(L205&gt;Config!$B$6,"Sim",""))</f>
        <v/>
      </c>
      <c r="N205" s="34">
        <f>IF(M205="Sim",L205-ROW()/100000,0)</f>
        <v>0</v>
      </c>
    </row>
    <row r="206">
      <c r="A206" s="30" t="n"/>
      <c r="B206" s="30" t="n"/>
      <c r="C206" s="32" t="n"/>
      <c r="D206" s="32" t="n"/>
      <c r="E206" s="32" t="n"/>
      <c r="F206" s="30" t="n"/>
      <c r="G206" s="33" t="n"/>
      <c r="H206" s="33" t="n"/>
      <c r="I206" s="30" t="n"/>
      <c r="J206" s="28">
        <f>IF(OR(K206="",K206="Encerrado",K206="Sem próxima ação"),"",G206-Config!$B$5)</f>
        <v/>
      </c>
      <c r="K206" s="25">
        <f>IF(A206="","",IF(D206="Encerrado","Encerrado",IF(G206="","Sem próxima ação",IF(G206&lt;Config!$B$5,"Atrasado",IF(G206=Config!$B$5,"Hoje",IF(G206-Config!$B$5&lt;=7,"Esta semana","Em dia"))))))</f>
        <v/>
      </c>
      <c r="L206" s="28">
        <f>IF(OR(A206="",D206="Encerrado",H206=""),"",Config!$B$5-H206)</f>
        <v/>
      </c>
      <c r="M206" s="25">
        <f>IF(L206="","",IF(L206&gt;Config!$B$6,"Sim",""))</f>
        <v/>
      </c>
      <c r="N206" s="34">
        <f>IF(M206="Sim",L206-ROW()/100000,0)</f>
        <v>0</v>
      </c>
    </row>
    <row r="207">
      <c r="A207" s="30" t="n"/>
      <c r="B207" s="30" t="n"/>
      <c r="C207" s="32" t="n"/>
      <c r="D207" s="32" t="n"/>
      <c r="E207" s="32" t="n"/>
      <c r="F207" s="30" t="n"/>
      <c r="G207" s="33" t="n"/>
      <c r="H207" s="33" t="n"/>
      <c r="I207" s="30" t="n"/>
      <c r="J207" s="28">
        <f>IF(OR(K207="",K207="Encerrado",K207="Sem próxima ação"),"",G207-Config!$B$5)</f>
        <v/>
      </c>
      <c r="K207" s="25">
        <f>IF(A207="","",IF(D207="Encerrado","Encerrado",IF(G207="","Sem próxima ação",IF(G207&lt;Config!$B$5,"Atrasado",IF(G207=Config!$B$5,"Hoje",IF(G207-Config!$B$5&lt;=7,"Esta semana","Em dia"))))))</f>
        <v/>
      </c>
      <c r="L207" s="28">
        <f>IF(OR(A207="",D207="Encerrado",H207=""),"",Config!$B$5-H207)</f>
        <v/>
      </c>
      <c r="M207" s="25">
        <f>IF(L207="","",IF(L207&gt;Config!$B$6,"Sim",""))</f>
        <v/>
      </c>
      <c r="N207" s="34">
        <f>IF(M207="Sim",L207-ROW()/100000,0)</f>
        <v>0</v>
      </c>
    </row>
    <row r="208">
      <c r="A208" s="30" t="n"/>
      <c r="B208" s="30" t="n"/>
      <c r="C208" s="32" t="n"/>
      <c r="D208" s="32" t="n"/>
      <c r="E208" s="32" t="n"/>
      <c r="F208" s="30" t="n"/>
      <c r="G208" s="33" t="n"/>
      <c r="H208" s="33" t="n"/>
      <c r="I208" s="30" t="n"/>
      <c r="J208" s="28">
        <f>IF(OR(K208="",K208="Encerrado",K208="Sem próxima ação"),"",G208-Config!$B$5)</f>
        <v/>
      </c>
      <c r="K208" s="25">
        <f>IF(A208="","",IF(D208="Encerrado","Encerrado",IF(G208="","Sem próxima ação",IF(G208&lt;Config!$B$5,"Atrasado",IF(G208=Config!$B$5,"Hoje",IF(G208-Config!$B$5&lt;=7,"Esta semana","Em dia"))))))</f>
        <v/>
      </c>
      <c r="L208" s="28">
        <f>IF(OR(A208="",D208="Encerrado",H208=""),"",Config!$B$5-H208)</f>
        <v/>
      </c>
      <c r="M208" s="25">
        <f>IF(L208="","",IF(L208&gt;Config!$B$6,"Sim",""))</f>
        <v/>
      </c>
      <c r="N208" s="34">
        <f>IF(M208="Sim",L208-ROW()/100000,0)</f>
        <v>0</v>
      </c>
    </row>
    <row r="209">
      <c r="A209" s="30" t="n"/>
      <c r="B209" s="30" t="n"/>
      <c r="C209" s="32" t="n"/>
      <c r="D209" s="32" t="n"/>
      <c r="E209" s="32" t="n"/>
      <c r="F209" s="30" t="n"/>
      <c r="G209" s="33" t="n"/>
      <c r="H209" s="33" t="n"/>
      <c r="I209" s="30" t="n"/>
      <c r="J209" s="28">
        <f>IF(OR(K209="",K209="Encerrado",K209="Sem próxima ação"),"",G209-Config!$B$5)</f>
        <v/>
      </c>
      <c r="K209" s="25">
        <f>IF(A209="","",IF(D209="Encerrado","Encerrado",IF(G209="","Sem próxima ação",IF(G209&lt;Config!$B$5,"Atrasado",IF(G209=Config!$B$5,"Hoje",IF(G209-Config!$B$5&lt;=7,"Esta semana","Em dia"))))))</f>
        <v/>
      </c>
      <c r="L209" s="28">
        <f>IF(OR(A209="",D209="Encerrado",H209=""),"",Config!$B$5-H209)</f>
        <v/>
      </c>
      <c r="M209" s="25">
        <f>IF(L209="","",IF(L209&gt;Config!$B$6,"Sim",""))</f>
        <v/>
      </c>
      <c r="N209" s="34">
        <f>IF(M209="Sim",L209-ROW()/100000,0)</f>
        <v>0</v>
      </c>
    </row>
    <row r="210">
      <c r="A210" s="30" t="n"/>
      <c r="B210" s="30" t="n"/>
      <c r="C210" s="32" t="n"/>
      <c r="D210" s="32" t="n"/>
      <c r="E210" s="32" t="n"/>
      <c r="F210" s="30" t="n"/>
      <c r="G210" s="33" t="n"/>
      <c r="H210" s="33" t="n"/>
      <c r="I210" s="30" t="n"/>
      <c r="J210" s="28">
        <f>IF(OR(K210="",K210="Encerrado",K210="Sem próxima ação"),"",G210-Config!$B$5)</f>
        <v/>
      </c>
      <c r="K210" s="25">
        <f>IF(A210="","",IF(D210="Encerrado","Encerrado",IF(G210="","Sem próxima ação",IF(G210&lt;Config!$B$5,"Atrasado",IF(G210=Config!$B$5,"Hoje",IF(G210-Config!$B$5&lt;=7,"Esta semana","Em dia"))))))</f>
        <v/>
      </c>
      <c r="L210" s="28">
        <f>IF(OR(A210="",D210="Encerrado",H210=""),"",Config!$B$5-H210)</f>
        <v/>
      </c>
      <c r="M210" s="25">
        <f>IF(L210="","",IF(L210&gt;Config!$B$6,"Sim",""))</f>
        <v/>
      </c>
      <c r="N210" s="34">
        <f>IF(M210="Sim",L210-ROW()/100000,0)</f>
        <v>0</v>
      </c>
    </row>
    <row r="211">
      <c r="A211" s="30" t="n"/>
      <c r="B211" s="30" t="n"/>
      <c r="C211" s="32" t="n"/>
      <c r="D211" s="32" t="n"/>
      <c r="E211" s="32" t="n"/>
      <c r="F211" s="30" t="n"/>
      <c r="G211" s="33" t="n"/>
      <c r="H211" s="33" t="n"/>
      <c r="I211" s="30" t="n"/>
      <c r="J211" s="28">
        <f>IF(OR(K211="",K211="Encerrado",K211="Sem próxima ação"),"",G211-Config!$B$5)</f>
        <v/>
      </c>
      <c r="K211" s="25">
        <f>IF(A211="","",IF(D211="Encerrado","Encerrado",IF(G211="","Sem próxima ação",IF(G211&lt;Config!$B$5,"Atrasado",IF(G211=Config!$B$5,"Hoje",IF(G211-Config!$B$5&lt;=7,"Esta semana","Em dia"))))))</f>
        <v/>
      </c>
      <c r="L211" s="28">
        <f>IF(OR(A211="",D211="Encerrado",H211=""),"",Config!$B$5-H211)</f>
        <v/>
      </c>
      <c r="M211" s="25">
        <f>IF(L211="","",IF(L211&gt;Config!$B$6,"Sim",""))</f>
        <v/>
      </c>
      <c r="N211" s="34">
        <f>IF(M211="Sim",L211-ROW()/100000,0)</f>
        <v>0</v>
      </c>
    </row>
    <row r="212">
      <c r="A212" s="30" t="n"/>
      <c r="B212" s="30" t="n"/>
      <c r="C212" s="32" t="n"/>
      <c r="D212" s="32" t="n"/>
      <c r="E212" s="32" t="n"/>
      <c r="F212" s="30" t="n"/>
      <c r="G212" s="33" t="n"/>
      <c r="H212" s="33" t="n"/>
      <c r="I212" s="30" t="n"/>
      <c r="J212" s="28">
        <f>IF(OR(K212="",K212="Encerrado",K212="Sem próxima ação"),"",G212-Config!$B$5)</f>
        <v/>
      </c>
      <c r="K212" s="25">
        <f>IF(A212="","",IF(D212="Encerrado","Encerrado",IF(G212="","Sem próxima ação",IF(G212&lt;Config!$B$5,"Atrasado",IF(G212=Config!$B$5,"Hoje",IF(G212-Config!$B$5&lt;=7,"Esta semana","Em dia"))))))</f>
        <v/>
      </c>
      <c r="L212" s="28">
        <f>IF(OR(A212="",D212="Encerrado",H212=""),"",Config!$B$5-H212)</f>
        <v/>
      </c>
      <c r="M212" s="25">
        <f>IF(L212="","",IF(L212&gt;Config!$B$6,"Sim",""))</f>
        <v/>
      </c>
      <c r="N212" s="34">
        <f>IF(M212="Sim",L212-ROW()/100000,0)</f>
        <v>0</v>
      </c>
    </row>
    <row r="213">
      <c r="A213" s="30" t="n"/>
      <c r="B213" s="30" t="n"/>
      <c r="C213" s="32" t="n"/>
      <c r="D213" s="32" t="n"/>
      <c r="E213" s="32" t="n"/>
      <c r="F213" s="30" t="n"/>
      <c r="G213" s="33" t="n"/>
      <c r="H213" s="33" t="n"/>
      <c r="I213" s="30" t="n"/>
      <c r="J213" s="28">
        <f>IF(OR(K213="",K213="Encerrado",K213="Sem próxima ação"),"",G213-Config!$B$5)</f>
        <v/>
      </c>
      <c r="K213" s="25">
        <f>IF(A213="","",IF(D213="Encerrado","Encerrado",IF(G213="","Sem próxima ação",IF(G213&lt;Config!$B$5,"Atrasado",IF(G213=Config!$B$5,"Hoje",IF(G213-Config!$B$5&lt;=7,"Esta semana","Em dia"))))))</f>
        <v/>
      </c>
      <c r="L213" s="28">
        <f>IF(OR(A213="",D213="Encerrado",H213=""),"",Config!$B$5-H213)</f>
        <v/>
      </c>
      <c r="M213" s="25">
        <f>IF(L213="","",IF(L213&gt;Config!$B$6,"Sim",""))</f>
        <v/>
      </c>
      <c r="N213" s="34">
        <f>IF(M213="Sim",L213-ROW()/100000,0)</f>
        <v>0</v>
      </c>
    </row>
    <row r="214">
      <c r="A214" s="30" t="n"/>
      <c r="B214" s="30" t="n"/>
      <c r="C214" s="32" t="n"/>
      <c r="D214" s="32" t="n"/>
      <c r="E214" s="32" t="n"/>
      <c r="F214" s="30" t="n"/>
      <c r="G214" s="33" t="n"/>
      <c r="H214" s="33" t="n"/>
      <c r="I214" s="30" t="n"/>
      <c r="J214" s="28">
        <f>IF(OR(K214="",K214="Encerrado",K214="Sem próxima ação"),"",G214-Config!$B$5)</f>
        <v/>
      </c>
      <c r="K214" s="25">
        <f>IF(A214="","",IF(D214="Encerrado","Encerrado",IF(G214="","Sem próxima ação",IF(G214&lt;Config!$B$5,"Atrasado",IF(G214=Config!$B$5,"Hoje",IF(G214-Config!$B$5&lt;=7,"Esta semana","Em dia"))))))</f>
        <v/>
      </c>
      <c r="L214" s="28">
        <f>IF(OR(A214="",D214="Encerrado",H214=""),"",Config!$B$5-H214)</f>
        <v/>
      </c>
      <c r="M214" s="25">
        <f>IF(L214="","",IF(L214&gt;Config!$B$6,"Sim",""))</f>
        <v/>
      </c>
      <c r="N214" s="34">
        <f>IF(M214="Sim",L214-ROW()/100000,0)</f>
        <v>0</v>
      </c>
    </row>
    <row r="215">
      <c r="A215" s="30" t="n"/>
      <c r="B215" s="30" t="n"/>
      <c r="C215" s="32" t="n"/>
      <c r="D215" s="32" t="n"/>
      <c r="E215" s="32" t="n"/>
      <c r="F215" s="30" t="n"/>
      <c r="G215" s="33" t="n"/>
      <c r="H215" s="33" t="n"/>
      <c r="I215" s="30" t="n"/>
      <c r="J215" s="28">
        <f>IF(OR(K215="",K215="Encerrado",K215="Sem próxima ação"),"",G215-Config!$B$5)</f>
        <v/>
      </c>
      <c r="K215" s="25">
        <f>IF(A215="","",IF(D215="Encerrado","Encerrado",IF(G215="","Sem próxima ação",IF(G215&lt;Config!$B$5,"Atrasado",IF(G215=Config!$B$5,"Hoje",IF(G215-Config!$B$5&lt;=7,"Esta semana","Em dia"))))))</f>
        <v/>
      </c>
      <c r="L215" s="28">
        <f>IF(OR(A215="",D215="Encerrado",H215=""),"",Config!$B$5-H215)</f>
        <v/>
      </c>
      <c r="M215" s="25">
        <f>IF(L215="","",IF(L215&gt;Config!$B$6,"Sim",""))</f>
        <v/>
      </c>
      <c r="N215" s="34">
        <f>IF(M215="Sim",L215-ROW()/100000,0)</f>
        <v>0</v>
      </c>
    </row>
    <row r="216">
      <c r="A216" s="30" t="n"/>
      <c r="B216" s="30" t="n"/>
      <c r="C216" s="32" t="n"/>
      <c r="D216" s="32" t="n"/>
      <c r="E216" s="32" t="n"/>
      <c r="F216" s="30" t="n"/>
      <c r="G216" s="33" t="n"/>
      <c r="H216" s="33" t="n"/>
      <c r="I216" s="30" t="n"/>
      <c r="J216" s="28">
        <f>IF(OR(K216="",K216="Encerrado",K216="Sem próxima ação"),"",G216-Config!$B$5)</f>
        <v/>
      </c>
      <c r="K216" s="25">
        <f>IF(A216="","",IF(D216="Encerrado","Encerrado",IF(G216="","Sem próxima ação",IF(G216&lt;Config!$B$5,"Atrasado",IF(G216=Config!$B$5,"Hoje",IF(G216-Config!$B$5&lt;=7,"Esta semana","Em dia"))))))</f>
        <v/>
      </c>
      <c r="L216" s="28">
        <f>IF(OR(A216="",D216="Encerrado",H216=""),"",Config!$B$5-H216)</f>
        <v/>
      </c>
      <c r="M216" s="25">
        <f>IF(L216="","",IF(L216&gt;Config!$B$6,"Sim",""))</f>
        <v/>
      </c>
      <c r="N216" s="34">
        <f>IF(M216="Sim",L216-ROW()/100000,0)</f>
        <v>0</v>
      </c>
    </row>
    <row r="217">
      <c r="A217" s="30" t="n"/>
      <c r="B217" s="30" t="n"/>
      <c r="C217" s="32" t="n"/>
      <c r="D217" s="32" t="n"/>
      <c r="E217" s="32" t="n"/>
      <c r="F217" s="30" t="n"/>
      <c r="G217" s="33" t="n"/>
      <c r="H217" s="33" t="n"/>
      <c r="I217" s="30" t="n"/>
      <c r="J217" s="28">
        <f>IF(OR(K217="",K217="Encerrado",K217="Sem próxima ação"),"",G217-Config!$B$5)</f>
        <v/>
      </c>
      <c r="K217" s="25">
        <f>IF(A217="","",IF(D217="Encerrado","Encerrado",IF(G217="","Sem próxima ação",IF(G217&lt;Config!$B$5,"Atrasado",IF(G217=Config!$B$5,"Hoje",IF(G217-Config!$B$5&lt;=7,"Esta semana","Em dia"))))))</f>
        <v/>
      </c>
      <c r="L217" s="28">
        <f>IF(OR(A217="",D217="Encerrado",H217=""),"",Config!$B$5-H217)</f>
        <v/>
      </c>
      <c r="M217" s="25">
        <f>IF(L217="","",IF(L217&gt;Config!$B$6,"Sim",""))</f>
        <v/>
      </c>
      <c r="N217" s="34">
        <f>IF(M217="Sim",L217-ROW()/100000,0)</f>
        <v>0</v>
      </c>
    </row>
    <row r="218">
      <c r="A218" s="30" t="n"/>
      <c r="B218" s="30" t="n"/>
      <c r="C218" s="32" t="n"/>
      <c r="D218" s="32" t="n"/>
      <c r="E218" s="32" t="n"/>
      <c r="F218" s="30" t="n"/>
      <c r="G218" s="33" t="n"/>
      <c r="H218" s="33" t="n"/>
      <c r="I218" s="30" t="n"/>
      <c r="J218" s="28">
        <f>IF(OR(K218="",K218="Encerrado",K218="Sem próxima ação"),"",G218-Config!$B$5)</f>
        <v/>
      </c>
      <c r="K218" s="25">
        <f>IF(A218="","",IF(D218="Encerrado","Encerrado",IF(G218="","Sem próxima ação",IF(G218&lt;Config!$B$5,"Atrasado",IF(G218=Config!$B$5,"Hoje",IF(G218-Config!$B$5&lt;=7,"Esta semana","Em dia"))))))</f>
        <v/>
      </c>
      <c r="L218" s="28">
        <f>IF(OR(A218="",D218="Encerrado",H218=""),"",Config!$B$5-H218)</f>
        <v/>
      </c>
      <c r="M218" s="25">
        <f>IF(L218="","",IF(L218&gt;Config!$B$6,"Sim",""))</f>
        <v/>
      </c>
      <c r="N218" s="34">
        <f>IF(M218="Sim",L218-ROW()/100000,0)</f>
        <v>0</v>
      </c>
    </row>
    <row r="219">
      <c r="A219" s="30" t="n"/>
      <c r="B219" s="30" t="n"/>
      <c r="C219" s="32" t="n"/>
      <c r="D219" s="32" t="n"/>
      <c r="E219" s="32" t="n"/>
      <c r="F219" s="30" t="n"/>
      <c r="G219" s="33" t="n"/>
      <c r="H219" s="33" t="n"/>
      <c r="I219" s="30" t="n"/>
      <c r="J219" s="28">
        <f>IF(OR(K219="",K219="Encerrado",K219="Sem próxima ação"),"",G219-Config!$B$5)</f>
        <v/>
      </c>
      <c r="K219" s="25">
        <f>IF(A219="","",IF(D219="Encerrado","Encerrado",IF(G219="","Sem próxima ação",IF(G219&lt;Config!$B$5,"Atrasado",IF(G219=Config!$B$5,"Hoje",IF(G219-Config!$B$5&lt;=7,"Esta semana","Em dia"))))))</f>
        <v/>
      </c>
      <c r="L219" s="28">
        <f>IF(OR(A219="",D219="Encerrado",H219=""),"",Config!$B$5-H219)</f>
        <v/>
      </c>
      <c r="M219" s="25">
        <f>IF(L219="","",IF(L219&gt;Config!$B$6,"Sim",""))</f>
        <v/>
      </c>
      <c r="N219" s="34">
        <f>IF(M219="Sim",L219-ROW()/100000,0)</f>
        <v>0</v>
      </c>
    </row>
    <row r="220">
      <c r="A220" s="30" t="n"/>
      <c r="B220" s="30" t="n"/>
      <c r="C220" s="32" t="n"/>
      <c r="D220" s="32" t="n"/>
      <c r="E220" s="32" t="n"/>
      <c r="F220" s="30" t="n"/>
      <c r="G220" s="33" t="n"/>
      <c r="H220" s="33" t="n"/>
      <c r="I220" s="30" t="n"/>
      <c r="J220" s="28">
        <f>IF(OR(K220="",K220="Encerrado",K220="Sem próxima ação"),"",G220-Config!$B$5)</f>
        <v/>
      </c>
      <c r="K220" s="25">
        <f>IF(A220="","",IF(D220="Encerrado","Encerrado",IF(G220="","Sem próxima ação",IF(G220&lt;Config!$B$5,"Atrasado",IF(G220=Config!$B$5,"Hoje",IF(G220-Config!$B$5&lt;=7,"Esta semana","Em dia"))))))</f>
        <v/>
      </c>
      <c r="L220" s="28">
        <f>IF(OR(A220="",D220="Encerrado",H220=""),"",Config!$B$5-H220)</f>
        <v/>
      </c>
      <c r="M220" s="25">
        <f>IF(L220="","",IF(L220&gt;Config!$B$6,"Sim",""))</f>
        <v/>
      </c>
      <c r="N220" s="34">
        <f>IF(M220="Sim",L220-ROW()/100000,0)</f>
        <v>0</v>
      </c>
    </row>
    <row r="221">
      <c r="A221" s="30" t="n"/>
      <c r="B221" s="30" t="n"/>
      <c r="C221" s="32" t="n"/>
      <c r="D221" s="32" t="n"/>
      <c r="E221" s="32" t="n"/>
      <c r="F221" s="30" t="n"/>
      <c r="G221" s="33" t="n"/>
      <c r="H221" s="33" t="n"/>
      <c r="I221" s="30" t="n"/>
      <c r="J221" s="28">
        <f>IF(OR(K221="",K221="Encerrado",K221="Sem próxima ação"),"",G221-Config!$B$5)</f>
        <v/>
      </c>
      <c r="K221" s="25">
        <f>IF(A221="","",IF(D221="Encerrado","Encerrado",IF(G221="","Sem próxima ação",IF(G221&lt;Config!$B$5,"Atrasado",IF(G221=Config!$B$5,"Hoje",IF(G221-Config!$B$5&lt;=7,"Esta semana","Em dia"))))))</f>
        <v/>
      </c>
      <c r="L221" s="28">
        <f>IF(OR(A221="",D221="Encerrado",H221=""),"",Config!$B$5-H221)</f>
        <v/>
      </c>
      <c r="M221" s="25">
        <f>IF(L221="","",IF(L221&gt;Config!$B$6,"Sim",""))</f>
        <v/>
      </c>
      <c r="N221" s="34">
        <f>IF(M221="Sim",L221-ROW()/100000,0)</f>
        <v>0</v>
      </c>
    </row>
    <row r="222">
      <c r="A222" s="30" t="n"/>
      <c r="B222" s="30" t="n"/>
      <c r="C222" s="32" t="n"/>
      <c r="D222" s="32" t="n"/>
      <c r="E222" s="32" t="n"/>
      <c r="F222" s="30" t="n"/>
      <c r="G222" s="33" t="n"/>
      <c r="H222" s="33" t="n"/>
      <c r="I222" s="30" t="n"/>
      <c r="J222" s="28">
        <f>IF(OR(K222="",K222="Encerrado",K222="Sem próxima ação"),"",G222-Config!$B$5)</f>
        <v/>
      </c>
      <c r="K222" s="25">
        <f>IF(A222="","",IF(D222="Encerrado","Encerrado",IF(G222="","Sem próxima ação",IF(G222&lt;Config!$B$5,"Atrasado",IF(G222=Config!$B$5,"Hoje",IF(G222-Config!$B$5&lt;=7,"Esta semana","Em dia"))))))</f>
        <v/>
      </c>
      <c r="L222" s="28">
        <f>IF(OR(A222="",D222="Encerrado",H222=""),"",Config!$B$5-H222)</f>
        <v/>
      </c>
      <c r="M222" s="25">
        <f>IF(L222="","",IF(L222&gt;Config!$B$6,"Sim",""))</f>
        <v/>
      </c>
      <c r="N222" s="34">
        <f>IF(M222="Sim",L222-ROW()/100000,0)</f>
        <v>0</v>
      </c>
    </row>
    <row r="223">
      <c r="A223" s="30" t="n"/>
      <c r="B223" s="30" t="n"/>
      <c r="C223" s="32" t="n"/>
      <c r="D223" s="32" t="n"/>
      <c r="E223" s="32" t="n"/>
      <c r="F223" s="30" t="n"/>
      <c r="G223" s="33" t="n"/>
      <c r="H223" s="33" t="n"/>
      <c r="I223" s="30" t="n"/>
      <c r="J223" s="28">
        <f>IF(OR(K223="",K223="Encerrado",K223="Sem próxima ação"),"",G223-Config!$B$5)</f>
        <v/>
      </c>
      <c r="K223" s="25">
        <f>IF(A223="","",IF(D223="Encerrado","Encerrado",IF(G223="","Sem próxima ação",IF(G223&lt;Config!$B$5,"Atrasado",IF(G223=Config!$B$5,"Hoje",IF(G223-Config!$B$5&lt;=7,"Esta semana","Em dia"))))))</f>
        <v/>
      </c>
      <c r="L223" s="28">
        <f>IF(OR(A223="",D223="Encerrado",H223=""),"",Config!$B$5-H223)</f>
        <v/>
      </c>
      <c r="M223" s="25">
        <f>IF(L223="","",IF(L223&gt;Config!$B$6,"Sim",""))</f>
        <v/>
      </c>
      <c r="N223" s="34">
        <f>IF(M223="Sim",L223-ROW()/100000,0)</f>
        <v>0</v>
      </c>
    </row>
    <row r="224">
      <c r="A224" s="30" t="n"/>
      <c r="B224" s="30" t="n"/>
      <c r="C224" s="32" t="n"/>
      <c r="D224" s="32" t="n"/>
      <c r="E224" s="32" t="n"/>
      <c r="F224" s="30" t="n"/>
      <c r="G224" s="33" t="n"/>
      <c r="H224" s="33" t="n"/>
      <c r="I224" s="30" t="n"/>
      <c r="J224" s="28">
        <f>IF(OR(K224="",K224="Encerrado",K224="Sem próxima ação"),"",G224-Config!$B$5)</f>
        <v/>
      </c>
      <c r="K224" s="25">
        <f>IF(A224="","",IF(D224="Encerrado","Encerrado",IF(G224="","Sem próxima ação",IF(G224&lt;Config!$B$5,"Atrasado",IF(G224=Config!$B$5,"Hoje",IF(G224-Config!$B$5&lt;=7,"Esta semana","Em dia"))))))</f>
        <v/>
      </c>
      <c r="L224" s="28">
        <f>IF(OR(A224="",D224="Encerrado",H224=""),"",Config!$B$5-H224)</f>
        <v/>
      </c>
      <c r="M224" s="25">
        <f>IF(L224="","",IF(L224&gt;Config!$B$6,"Sim",""))</f>
        <v/>
      </c>
      <c r="N224" s="34">
        <f>IF(M224="Sim",L224-ROW()/100000,0)</f>
        <v>0</v>
      </c>
    </row>
    <row r="225">
      <c r="A225" s="30" t="n"/>
      <c r="B225" s="30" t="n"/>
      <c r="C225" s="32" t="n"/>
      <c r="D225" s="32" t="n"/>
      <c r="E225" s="32" t="n"/>
      <c r="F225" s="30" t="n"/>
      <c r="G225" s="33" t="n"/>
      <c r="H225" s="33" t="n"/>
      <c r="I225" s="30" t="n"/>
      <c r="J225" s="28">
        <f>IF(OR(K225="",K225="Encerrado",K225="Sem próxima ação"),"",G225-Config!$B$5)</f>
        <v/>
      </c>
      <c r="K225" s="25">
        <f>IF(A225="","",IF(D225="Encerrado","Encerrado",IF(G225="","Sem próxima ação",IF(G225&lt;Config!$B$5,"Atrasado",IF(G225=Config!$B$5,"Hoje",IF(G225-Config!$B$5&lt;=7,"Esta semana","Em dia"))))))</f>
        <v/>
      </c>
      <c r="L225" s="28">
        <f>IF(OR(A225="",D225="Encerrado",H225=""),"",Config!$B$5-H225)</f>
        <v/>
      </c>
      <c r="M225" s="25">
        <f>IF(L225="","",IF(L225&gt;Config!$B$6,"Sim",""))</f>
        <v/>
      </c>
      <c r="N225" s="34">
        <f>IF(M225="Sim",L225-ROW()/100000,0)</f>
        <v>0</v>
      </c>
    </row>
    <row r="226">
      <c r="A226" s="30" t="n"/>
      <c r="B226" s="30" t="n"/>
      <c r="C226" s="32" t="n"/>
      <c r="D226" s="32" t="n"/>
      <c r="E226" s="32" t="n"/>
      <c r="F226" s="30" t="n"/>
      <c r="G226" s="33" t="n"/>
      <c r="H226" s="33" t="n"/>
      <c r="I226" s="30" t="n"/>
      <c r="J226" s="28">
        <f>IF(OR(K226="",K226="Encerrado",K226="Sem próxima ação"),"",G226-Config!$B$5)</f>
        <v/>
      </c>
      <c r="K226" s="25">
        <f>IF(A226="","",IF(D226="Encerrado","Encerrado",IF(G226="","Sem próxima ação",IF(G226&lt;Config!$B$5,"Atrasado",IF(G226=Config!$B$5,"Hoje",IF(G226-Config!$B$5&lt;=7,"Esta semana","Em dia"))))))</f>
        <v/>
      </c>
      <c r="L226" s="28">
        <f>IF(OR(A226="",D226="Encerrado",H226=""),"",Config!$B$5-H226)</f>
        <v/>
      </c>
      <c r="M226" s="25">
        <f>IF(L226="","",IF(L226&gt;Config!$B$6,"Sim",""))</f>
        <v/>
      </c>
      <c r="N226" s="34">
        <f>IF(M226="Sim",L226-ROW()/100000,0)</f>
        <v>0</v>
      </c>
    </row>
    <row r="227">
      <c r="A227" s="30" t="n"/>
      <c r="B227" s="30" t="n"/>
      <c r="C227" s="32" t="n"/>
      <c r="D227" s="32" t="n"/>
      <c r="E227" s="32" t="n"/>
      <c r="F227" s="30" t="n"/>
      <c r="G227" s="33" t="n"/>
      <c r="H227" s="33" t="n"/>
      <c r="I227" s="30" t="n"/>
      <c r="J227" s="28">
        <f>IF(OR(K227="",K227="Encerrado",K227="Sem próxima ação"),"",G227-Config!$B$5)</f>
        <v/>
      </c>
      <c r="K227" s="25">
        <f>IF(A227="","",IF(D227="Encerrado","Encerrado",IF(G227="","Sem próxima ação",IF(G227&lt;Config!$B$5,"Atrasado",IF(G227=Config!$B$5,"Hoje",IF(G227-Config!$B$5&lt;=7,"Esta semana","Em dia"))))))</f>
        <v/>
      </c>
      <c r="L227" s="28">
        <f>IF(OR(A227="",D227="Encerrado",H227=""),"",Config!$B$5-H227)</f>
        <v/>
      </c>
      <c r="M227" s="25">
        <f>IF(L227="","",IF(L227&gt;Config!$B$6,"Sim",""))</f>
        <v/>
      </c>
      <c r="N227" s="34">
        <f>IF(M227="Sim",L227-ROW()/100000,0)</f>
        <v>0</v>
      </c>
    </row>
    <row r="228">
      <c r="A228" s="30" t="n"/>
      <c r="B228" s="30" t="n"/>
      <c r="C228" s="32" t="n"/>
      <c r="D228" s="32" t="n"/>
      <c r="E228" s="32" t="n"/>
      <c r="F228" s="30" t="n"/>
      <c r="G228" s="33" t="n"/>
      <c r="H228" s="33" t="n"/>
      <c r="I228" s="30" t="n"/>
      <c r="J228" s="28">
        <f>IF(OR(K228="",K228="Encerrado",K228="Sem próxima ação"),"",G228-Config!$B$5)</f>
        <v/>
      </c>
      <c r="K228" s="25">
        <f>IF(A228="","",IF(D228="Encerrado","Encerrado",IF(G228="","Sem próxima ação",IF(G228&lt;Config!$B$5,"Atrasado",IF(G228=Config!$B$5,"Hoje",IF(G228-Config!$B$5&lt;=7,"Esta semana","Em dia"))))))</f>
        <v/>
      </c>
      <c r="L228" s="28">
        <f>IF(OR(A228="",D228="Encerrado",H228=""),"",Config!$B$5-H228)</f>
        <v/>
      </c>
      <c r="M228" s="25">
        <f>IF(L228="","",IF(L228&gt;Config!$B$6,"Sim",""))</f>
        <v/>
      </c>
      <c r="N228" s="34">
        <f>IF(M228="Sim",L228-ROW()/100000,0)</f>
        <v>0</v>
      </c>
    </row>
    <row r="229">
      <c r="A229" s="30" t="n"/>
      <c r="B229" s="30" t="n"/>
      <c r="C229" s="32" t="n"/>
      <c r="D229" s="32" t="n"/>
      <c r="E229" s="32" t="n"/>
      <c r="F229" s="30" t="n"/>
      <c r="G229" s="33" t="n"/>
      <c r="H229" s="33" t="n"/>
      <c r="I229" s="30" t="n"/>
      <c r="J229" s="28">
        <f>IF(OR(K229="",K229="Encerrado",K229="Sem próxima ação"),"",G229-Config!$B$5)</f>
        <v/>
      </c>
      <c r="K229" s="25">
        <f>IF(A229="","",IF(D229="Encerrado","Encerrado",IF(G229="","Sem próxima ação",IF(G229&lt;Config!$B$5,"Atrasado",IF(G229=Config!$B$5,"Hoje",IF(G229-Config!$B$5&lt;=7,"Esta semana","Em dia"))))))</f>
        <v/>
      </c>
      <c r="L229" s="28">
        <f>IF(OR(A229="",D229="Encerrado",H229=""),"",Config!$B$5-H229)</f>
        <v/>
      </c>
      <c r="M229" s="25">
        <f>IF(L229="","",IF(L229&gt;Config!$B$6,"Sim",""))</f>
        <v/>
      </c>
      <c r="N229" s="34">
        <f>IF(M229="Sim",L229-ROW()/100000,0)</f>
        <v>0</v>
      </c>
    </row>
    <row r="230">
      <c r="A230" s="30" t="n"/>
      <c r="B230" s="30" t="n"/>
      <c r="C230" s="32" t="n"/>
      <c r="D230" s="32" t="n"/>
      <c r="E230" s="32" t="n"/>
      <c r="F230" s="30" t="n"/>
      <c r="G230" s="33" t="n"/>
      <c r="H230" s="33" t="n"/>
      <c r="I230" s="30" t="n"/>
      <c r="J230" s="28">
        <f>IF(OR(K230="",K230="Encerrado",K230="Sem próxima ação"),"",G230-Config!$B$5)</f>
        <v/>
      </c>
      <c r="K230" s="25">
        <f>IF(A230="","",IF(D230="Encerrado","Encerrado",IF(G230="","Sem próxima ação",IF(G230&lt;Config!$B$5,"Atrasado",IF(G230=Config!$B$5,"Hoje",IF(G230-Config!$B$5&lt;=7,"Esta semana","Em dia"))))))</f>
        <v/>
      </c>
      <c r="L230" s="28">
        <f>IF(OR(A230="",D230="Encerrado",H230=""),"",Config!$B$5-H230)</f>
        <v/>
      </c>
      <c r="M230" s="25">
        <f>IF(L230="","",IF(L230&gt;Config!$B$6,"Sim",""))</f>
        <v/>
      </c>
      <c r="N230" s="34">
        <f>IF(M230="Sim",L230-ROW()/100000,0)</f>
        <v>0</v>
      </c>
    </row>
    <row r="231">
      <c r="A231" s="30" t="n"/>
      <c r="B231" s="30" t="n"/>
      <c r="C231" s="32" t="n"/>
      <c r="D231" s="32" t="n"/>
      <c r="E231" s="32" t="n"/>
      <c r="F231" s="30" t="n"/>
      <c r="G231" s="33" t="n"/>
      <c r="H231" s="33" t="n"/>
      <c r="I231" s="30" t="n"/>
      <c r="J231" s="28">
        <f>IF(OR(K231="",K231="Encerrado",K231="Sem próxima ação"),"",G231-Config!$B$5)</f>
        <v/>
      </c>
      <c r="K231" s="25">
        <f>IF(A231="","",IF(D231="Encerrado","Encerrado",IF(G231="","Sem próxima ação",IF(G231&lt;Config!$B$5,"Atrasado",IF(G231=Config!$B$5,"Hoje",IF(G231-Config!$B$5&lt;=7,"Esta semana","Em dia"))))))</f>
        <v/>
      </c>
      <c r="L231" s="28">
        <f>IF(OR(A231="",D231="Encerrado",H231=""),"",Config!$B$5-H231)</f>
        <v/>
      </c>
      <c r="M231" s="25">
        <f>IF(L231="","",IF(L231&gt;Config!$B$6,"Sim",""))</f>
        <v/>
      </c>
      <c r="N231" s="34">
        <f>IF(M231="Sim",L231-ROW()/100000,0)</f>
        <v>0</v>
      </c>
    </row>
    <row r="232">
      <c r="A232" s="30" t="n"/>
      <c r="B232" s="30" t="n"/>
      <c r="C232" s="32" t="n"/>
      <c r="D232" s="32" t="n"/>
      <c r="E232" s="32" t="n"/>
      <c r="F232" s="30" t="n"/>
      <c r="G232" s="33" t="n"/>
      <c r="H232" s="33" t="n"/>
      <c r="I232" s="30" t="n"/>
      <c r="J232" s="28">
        <f>IF(OR(K232="",K232="Encerrado",K232="Sem próxima ação"),"",G232-Config!$B$5)</f>
        <v/>
      </c>
      <c r="K232" s="25">
        <f>IF(A232="","",IF(D232="Encerrado","Encerrado",IF(G232="","Sem próxima ação",IF(G232&lt;Config!$B$5,"Atrasado",IF(G232=Config!$B$5,"Hoje",IF(G232-Config!$B$5&lt;=7,"Esta semana","Em dia"))))))</f>
        <v/>
      </c>
      <c r="L232" s="28">
        <f>IF(OR(A232="",D232="Encerrado",H232=""),"",Config!$B$5-H232)</f>
        <v/>
      </c>
      <c r="M232" s="25">
        <f>IF(L232="","",IF(L232&gt;Config!$B$6,"Sim",""))</f>
        <v/>
      </c>
      <c r="N232" s="34">
        <f>IF(M232="Sim",L232-ROW()/100000,0)</f>
        <v>0</v>
      </c>
    </row>
    <row r="233">
      <c r="A233" s="30" t="n"/>
      <c r="B233" s="30" t="n"/>
      <c r="C233" s="32" t="n"/>
      <c r="D233" s="32" t="n"/>
      <c r="E233" s="32" t="n"/>
      <c r="F233" s="30" t="n"/>
      <c r="G233" s="33" t="n"/>
      <c r="H233" s="33" t="n"/>
      <c r="I233" s="30" t="n"/>
      <c r="J233" s="28">
        <f>IF(OR(K233="",K233="Encerrado",K233="Sem próxima ação"),"",G233-Config!$B$5)</f>
        <v/>
      </c>
      <c r="K233" s="25">
        <f>IF(A233="","",IF(D233="Encerrado","Encerrado",IF(G233="","Sem próxima ação",IF(G233&lt;Config!$B$5,"Atrasado",IF(G233=Config!$B$5,"Hoje",IF(G233-Config!$B$5&lt;=7,"Esta semana","Em dia"))))))</f>
        <v/>
      </c>
      <c r="L233" s="28">
        <f>IF(OR(A233="",D233="Encerrado",H233=""),"",Config!$B$5-H233)</f>
        <v/>
      </c>
      <c r="M233" s="25">
        <f>IF(L233="","",IF(L233&gt;Config!$B$6,"Sim",""))</f>
        <v/>
      </c>
      <c r="N233" s="34">
        <f>IF(M233="Sim",L233-ROW()/100000,0)</f>
        <v>0</v>
      </c>
    </row>
    <row r="234">
      <c r="A234" s="30" t="n"/>
      <c r="B234" s="30" t="n"/>
      <c r="C234" s="32" t="n"/>
      <c r="D234" s="32" t="n"/>
      <c r="E234" s="32" t="n"/>
      <c r="F234" s="30" t="n"/>
      <c r="G234" s="33" t="n"/>
      <c r="H234" s="33" t="n"/>
      <c r="I234" s="30" t="n"/>
      <c r="J234" s="28">
        <f>IF(OR(K234="",K234="Encerrado",K234="Sem próxima ação"),"",G234-Config!$B$5)</f>
        <v/>
      </c>
      <c r="K234" s="25">
        <f>IF(A234="","",IF(D234="Encerrado","Encerrado",IF(G234="","Sem próxima ação",IF(G234&lt;Config!$B$5,"Atrasado",IF(G234=Config!$B$5,"Hoje",IF(G234-Config!$B$5&lt;=7,"Esta semana","Em dia"))))))</f>
        <v/>
      </c>
      <c r="L234" s="28">
        <f>IF(OR(A234="",D234="Encerrado",H234=""),"",Config!$B$5-H234)</f>
        <v/>
      </c>
      <c r="M234" s="25">
        <f>IF(L234="","",IF(L234&gt;Config!$B$6,"Sim",""))</f>
        <v/>
      </c>
      <c r="N234" s="34">
        <f>IF(M234="Sim",L234-ROW()/100000,0)</f>
        <v>0</v>
      </c>
    </row>
    <row r="235">
      <c r="A235" s="30" t="n"/>
      <c r="B235" s="30" t="n"/>
      <c r="C235" s="32" t="n"/>
      <c r="D235" s="32" t="n"/>
      <c r="E235" s="32" t="n"/>
      <c r="F235" s="30" t="n"/>
      <c r="G235" s="33" t="n"/>
      <c r="H235" s="33" t="n"/>
      <c r="I235" s="30" t="n"/>
      <c r="J235" s="28">
        <f>IF(OR(K235="",K235="Encerrado",K235="Sem próxima ação"),"",G235-Config!$B$5)</f>
        <v/>
      </c>
      <c r="K235" s="25">
        <f>IF(A235="","",IF(D235="Encerrado","Encerrado",IF(G235="","Sem próxima ação",IF(G235&lt;Config!$B$5,"Atrasado",IF(G235=Config!$B$5,"Hoje",IF(G235-Config!$B$5&lt;=7,"Esta semana","Em dia"))))))</f>
        <v/>
      </c>
      <c r="L235" s="28">
        <f>IF(OR(A235="",D235="Encerrado",H235=""),"",Config!$B$5-H235)</f>
        <v/>
      </c>
      <c r="M235" s="25">
        <f>IF(L235="","",IF(L235&gt;Config!$B$6,"Sim",""))</f>
        <v/>
      </c>
      <c r="N235" s="34">
        <f>IF(M235="Sim",L235-ROW()/100000,0)</f>
        <v>0</v>
      </c>
    </row>
    <row r="236">
      <c r="A236" s="30" t="n"/>
      <c r="B236" s="30" t="n"/>
      <c r="C236" s="32" t="n"/>
      <c r="D236" s="32" t="n"/>
      <c r="E236" s="32" t="n"/>
      <c r="F236" s="30" t="n"/>
      <c r="G236" s="33" t="n"/>
      <c r="H236" s="33" t="n"/>
      <c r="I236" s="30" t="n"/>
      <c r="J236" s="28">
        <f>IF(OR(K236="",K236="Encerrado",K236="Sem próxima ação"),"",G236-Config!$B$5)</f>
        <v/>
      </c>
      <c r="K236" s="25">
        <f>IF(A236="","",IF(D236="Encerrado","Encerrado",IF(G236="","Sem próxima ação",IF(G236&lt;Config!$B$5,"Atrasado",IF(G236=Config!$B$5,"Hoje",IF(G236-Config!$B$5&lt;=7,"Esta semana","Em dia"))))))</f>
        <v/>
      </c>
      <c r="L236" s="28">
        <f>IF(OR(A236="",D236="Encerrado",H236=""),"",Config!$B$5-H236)</f>
        <v/>
      </c>
      <c r="M236" s="25">
        <f>IF(L236="","",IF(L236&gt;Config!$B$6,"Sim",""))</f>
        <v/>
      </c>
      <c r="N236" s="34">
        <f>IF(M236="Sim",L236-ROW()/100000,0)</f>
        <v>0</v>
      </c>
    </row>
    <row r="237">
      <c r="A237" s="30" t="n"/>
      <c r="B237" s="30" t="n"/>
      <c r="C237" s="32" t="n"/>
      <c r="D237" s="32" t="n"/>
      <c r="E237" s="32" t="n"/>
      <c r="F237" s="30" t="n"/>
      <c r="G237" s="33" t="n"/>
      <c r="H237" s="33" t="n"/>
      <c r="I237" s="30" t="n"/>
      <c r="J237" s="28">
        <f>IF(OR(K237="",K237="Encerrado",K237="Sem próxima ação"),"",G237-Config!$B$5)</f>
        <v/>
      </c>
      <c r="K237" s="25">
        <f>IF(A237="","",IF(D237="Encerrado","Encerrado",IF(G237="","Sem próxima ação",IF(G237&lt;Config!$B$5,"Atrasado",IF(G237=Config!$B$5,"Hoje",IF(G237-Config!$B$5&lt;=7,"Esta semana","Em dia"))))))</f>
        <v/>
      </c>
      <c r="L237" s="28">
        <f>IF(OR(A237="",D237="Encerrado",H237=""),"",Config!$B$5-H237)</f>
        <v/>
      </c>
      <c r="M237" s="25">
        <f>IF(L237="","",IF(L237&gt;Config!$B$6,"Sim",""))</f>
        <v/>
      </c>
      <c r="N237" s="34">
        <f>IF(M237="Sim",L237-ROW()/100000,0)</f>
        <v>0</v>
      </c>
    </row>
    <row r="238">
      <c r="A238" s="30" t="n"/>
      <c r="B238" s="30" t="n"/>
      <c r="C238" s="32" t="n"/>
      <c r="D238" s="32" t="n"/>
      <c r="E238" s="32" t="n"/>
      <c r="F238" s="30" t="n"/>
      <c r="G238" s="33" t="n"/>
      <c r="H238" s="33" t="n"/>
      <c r="I238" s="30" t="n"/>
      <c r="J238" s="28">
        <f>IF(OR(K238="",K238="Encerrado",K238="Sem próxima ação"),"",G238-Config!$B$5)</f>
        <v/>
      </c>
      <c r="K238" s="25">
        <f>IF(A238="","",IF(D238="Encerrado","Encerrado",IF(G238="","Sem próxima ação",IF(G238&lt;Config!$B$5,"Atrasado",IF(G238=Config!$B$5,"Hoje",IF(G238-Config!$B$5&lt;=7,"Esta semana","Em dia"))))))</f>
        <v/>
      </c>
      <c r="L238" s="28">
        <f>IF(OR(A238="",D238="Encerrado",H238=""),"",Config!$B$5-H238)</f>
        <v/>
      </c>
      <c r="M238" s="25">
        <f>IF(L238="","",IF(L238&gt;Config!$B$6,"Sim",""))</f>
        <v/>
      </c>
      <c r="N238" s="34">
        <f>IF(M238="Sim",L238-ROW()/100000,0)</f>
        <v>0</v>
      </c>
    </row>
    <row r="239">
      <c r="A239" s="30" t="n"/>
      <c r="B239" s="30" t="n"/>
      <c r="C239" s="32" t="n"/>
      <c r="D239" s="32" t="n"/>
      <c r="E239" s="32" t="n"/>
      <c r="F239" s="30" t="n"/>
      <c r="G239" s="33" t="n"/>
      <c r="H239" s="33" t="n"/>
      <c r="I239" s="30" t="n"/>
      <c r="J239" s="28">
        <f>IF(OR(K239="",K239="Encerrado",K239="Sem próxima ação"),"",G239-Config!$B$5)</f>
        <v/>
      </c>
      <c r="K239" s="25">
        <f>IF(A239="","",IF(D239="Encerrado","Encerrado",IF(G239="","Sem próxima ação",IF(G239&lt;Config!$B$5,"Atrasado",IF(G239=Config!$B$5,"Hoje",IF(G239-Config!$B$5&lt;=7,"Esta semana","Em dia"))))))</f>
        <v/>
      </c>
      <c r="L239" s="28">
        <f>IF(OR(A239="",D239="Encerrado",H239=""),"",Config!$B$5-H239)</f>
        <v/>
      </c>
      <c r="M239" s="25">
        <f>IF(L239="","",IF(L239&gt;Config!$B$6,"Sim",""))</f>
        <v/>
      </c>
      <c r="N239" s="34">
        <f>IF(M239="Sim",L239-ROW()/100000,0)</f>
        <v>0</v>
      </c>
    </row>
    <row r="240">
      <c r="A240" s="30" t="n"/>
      <c r="B240" s="30" t="n"/>
      <c r="C240" s="32" t="n"/>
      <c r="D240" s="32" t="n"/>
      <c r="E240" s="32" t="n"/>
      <c r="F240" s="30" t="n"/>
      <c r="G240" s="33" t="n"/>
      <c r="H240" s="33" t="n"/>
      <c r="I240" s="30" t="n"/>
      <c r="J240" s="28">
        <f>IF(OR(K240="",K240="Encerrado",K240="Sem próxima ação"),"",G240-Config!$B$5)</f>
        <v/>
      </c>
      <c r="K240" s="25">
        <f>IF(A240="","",IF(D240="Encerrado","Encerrado",IF(G240="","Sem próxima ação",IF(G240&lt;Config!$B$5,"Atrasado",IF(G240=Config!$B$5,"Hoje",IF(G240-Config!$B$5&lt;=7,"Esta semana","Em dia"))))))</f>
        <v/>
      </c>
      <c r="L240" s="28">
        <f>IF(OR(A240="",D240="Encerrado",H240=""),"",Config!$B$5-H240)</f>
        <v/>
      </c>
      <c r="M240" s="25">
        <f>IF(L240="","",IF(L240&gt;Config!$B$6,"Sim",""))</f>
        <v/>
      </c>
      <c r="N240" s="34">
        <f>IF(M240="Sim",L240-ROW()/100000,0)</f>
        <v>0</v>
      </c>
    </row>
    <row r="241">
      <c r="A241" s="30" t="n"/>
      <c r="B241" s="30" t="n"/>
      <c r="C241" s="32" t="n"/>
      <c r="D241" s="32" t="n"/>
      <c r="E241" s="32" t="n"/>
      <c r="F241" s="30" t="n"/>
      <c r="G241" s="33" t="n"/>
      <c r="H241" s="33" t="n"/>
      <c r="I241" s="30" t="n"/>
      <c r="J241" s="28">
        <f>IF(OR(K241="",K241="Encerrado",K241="Sem próxima ação"),"",G241-Config!$B$5)</f>
        <v/>
      </c>
      <c r="K241" s="25">
        <f>IF(A241="","",IF(D241="Encerrado","Encerrado",IF(G241="","Sem próxima ação",IF(G241&lt;Config!$B$5,"Atrasado",IF(G241=Config!$B$5,"Hoje",IF(G241-Config!$B$5&lt;=7,"Esta semana","Em dia"))))))</f>
        <v/>
      </c>
      <c r="L241" s="28">
        <f>IF(OR(A241="",D241="Encerrado",H241=""),"",Config!$B$5-H241)</f>
        <v/>
      </c>
      <c r="M241" s="25">
        <f>IF(L241="","",IF(L241&gt;Config!$B$6,"Sim",""))</f>
        <v/>
      </c>
      <c r="N241" s="34">
        <f>IF(M241="Sim",L241-ROW()/100000,0)</f>
        <v>0</v>
      </c>
    </row>
    <row r="242">
      <c r="A242" s="30" t="n"/>
      <c r="B242" s="30" t="n"/>
      <c r="C242" s="32" t="n"/>
      <c r="D242" s="32" t="n"/>
      <c r="E242" s="32" t="n"/>
      <c r="F242" s="30" t="n"/>
      <c r="G242" s="33" t="n"/>
      <c r="H242" s="33" t="n"/>
      <c r="I242" s="30" t="n"/>
      <c r="J242" s="28">
        <f>IF(OR(K242="",K242="Encerrado",K242="Sem próxima ação"),"",G242-Config!$B$5)</f>
        <v/>
      </c>
      <c r="K242" s="25">
        <f>IF(A242="","",IF(D242="Encerrado","Encerrado",IF(G242="","Sem próxima ação",IF(G242&lt;Config!$B$5,"Atrasado",IF(G242=Config!$B$5,"Hoje",IF(G242-Config!$B$5&lt;=7,"Esta semana","Em dia"))))))</f>
        <v/>
      </c>
      <c r="L242" s="28">
        <f>IF(OR(A242="",D242="Encerrado",H242=""),"",Config!$B$5-H242)</f>
        <v/>
      </c>
      <c r="M242" s="25">
        <f>IF(L242="","",IF(L242&gt;Config!$B$6,"Sim",""))</f>
        <v/>
      </c>
      <c r="N242" s="34">
        <f>IF(M242="Sim",L242-ROW()/100000,0)</f>
        <v>0</v>
      </c>
    </row>
    <row r="243">
      <c r="A243" s="30" t="n"/>
      <c r="B243" s="30" t="n"/>
      <c r="C243" s="32" t="n"/>
      <c r="D243" s="32" t="n"/>
      <c r="E243" s="32" t="n"/>
      <c r="F243" s="30" t="n"/>
      <c r="G243" s="33" t="n"/>
      <c r="H243" s="33" t="n"/>
      <c r="I243" s="30" t="n"/>
      <c r="J243" s="28">
        <f>IF(OR(K243="",K243="Encerrado",K243="Sem próxima ação"),"",G243-Config!$B$5)</f>
        <v/>
      </c>
      <c r="K243" s="25">
        <f>IF(A243="","",IF(D243="Encerrado","Encerrado",IF(G243="","Sem próxima ação",IF(G243&lt;Config!$B$5,"Atrasado",IF(G243=Config!$B$5,"Hoje",IF(G243-Config!$B$5&lt;=7,"Esta semana","Em dia"))))))</f>
        <v/>
      </c>
      <c r="L243" s="28">
        <f>IF(OR(A243="",D243="Encerrado",H243=""),"",Config!$B$5-H243)</f>
        <v/>
      </c>
      <c r="M243" s="25">
        <f>IF(L243="","",IF(L243&gt;Config!$B$6,"Sim",""))</f>
        <v/>
      </c>
      <c r="N243" s="34">
        <f>IF(M243="Sim",L243-ROW()/100000,0)</f>
        <v>0</v>
      </c>
    </row>
    <row r="244">
      <c r="A244" s="30" t="n"/>
      <c r="B244" s="30" t="n"/>
      <c r="C244" s="32" t="n"/>
      <c r="D244" s="32" t="n"/>
      <c r="E244" s="32" t="n"/>
      <c r="F244" s="30" t="n"/>
      <c r="G244" s="33" t="n"/>
      <c r="H244" s="33" t="n"/>
      <c r="I244" s="30" t="n"/>
      <c r="J244" s="28">
        <f>IF(OR(K244="",K244="Encerrado",K244="Sem próxima ação"),"",G244-Config!$B$5)</f>
        <v/>
      </c>
      <c r="K244" s="25">
        <f>IF(A244="","",IF(D244="Encerrado","Encerrado",IF(G244="","Sem próxima ação",IF(G244&lt;Config!$B$5,"Atrasado",IF(G244=Config!$B$5,"Hoje",IF(G244-Config!$B$5&lt;=7,"Esta semana","Em dia"))))))</f>
        <v/>
      </c>
      <c r="L244" s="28">
        <f>IF(OR(A244="",D244="Encerrado",H244=""),"",Config!$B$5-H244)</f>
        <v/>
      </c>
      <c r="M244" s="25">
        <f>IF(L244="","",IF(L244&gt;Config!$B$6,"Sim",""))</f>
        <v/>
      </c>
      <c r="N244" s="34">
        <f>IF(M244="Sim",L244-ROW()/100000,0)</f>
        <v>0</v>
      </c>
    </row>
    <row r="245">
      <c r="A245" s="30" t="n"/>
      <c r="B245" s="30" t="n"/>
      <c r="C245" s="32" t="n"/>
      <c r="D245" s="32" t="n"/>
      <c r="E245" s="32" t="n"/>
      <c r="F245" s="30" t="n"/>
      <c r="G245" s="33" t="n"/>
      <c r="H245" s="33" t="n"/>
      <c r="I245" s="30" t="n"/>
      <c r="J245" s="28">
        <f>IF(OR(K245="",K245="Encerrado",K245="Sem próxima ação"),"",G245-Config!$B$5)</f>
        <v/>
      </c>
      <c r="K245" s="25">
        <f>IF(A245="","",IF(D245="Encerrado","Encerrado",IF(G245="","Sem próxima ação",IF(G245&lt;Config!$B$5,"Atrasado",IF(G245=Config!$B$5,"Hoje",IF(G245-Config!$B$5&lt;=7,"Esta semana","Em dia"))))))</f>
        <v/>
      </c>
      <c r="L245" s="28">
        <f>IF(OR(A245="",D245="Encerrado",H245=""),"",Config!$B$5-H245)</f>
        <v/>
      </c>
      <c r="M245" s="25">
        <f>IF(L245="","",IF(L245&gt;Config!$B$6,"Sim",""))</f>
        <v/>
      </c>
      <c r="N245" s="34">
        <f>IF(M245="Sim",L245-ROW()/100000,0)</f>
        <v>0</v>
      </c>
    </row>
    <row r="246">
      <c r="A246" s="30" t="n"/>
      <c r="B246" s="30" t="n"/>
      <c r="C246" s="32" t="n"/>
      <c r="D246" s="32" t="n"/>
      <c r="E246" s="32" t="n"/>
      <c r="F246" s="30" t="n"/>
      <c r="G246" s="33" t="n"/>
      <c r="H246" s="33" t="n"/>
      <c r="I246" s="30" t="n"/>
      <c r="J246" s="28">
        <f>IF(OR(K246="",K246="Encerrado",K246="Sem próxima ação"),"",G246-Config!$B$5)</f>
        <v/>
      </c>
      <c r="K246" s="25">
        <f>IF(A246="","",IF(D246="Encerrado","Encerrado",IF(G246="","Sem próxima ação",IF(G246&lt;Config!$B$5,"Atrasado",IF(G246=Config!$B$5,"Hoje",IF(G246-Config!$B$5&lt;=7,"Esta semana","Em dia"))))))</f>
        <v/>
      </c>
      <c r="L246" s="28">
        <f>IF(OR(A246="",D246="Encerrado",H246=""),"",Config!$B$5-H246)</f>
        <v/>
      </c>
      <c r="M246" s="25">
        <f>IF(L246="","",IF(L246&gt;Config!$B$6,"Sim",""))</f>
        <v/>
      </c>
      <c r="N246" s="34">
        <f>IF(M246="Sim",L246-ROW()/100000,0)</f>
        <v>0</v>
      </c>
    </row>
    <row r="247">
      <c r="A247" s="30" t="n"/>
      <c r="B247" s="30" t="n"/>
      <c r="C247" s="32" t="n"/>
      <c r="D247" s="32" t="n"/>
      <c r="E247" s="32" t="n"/>
      <c r="F247" s="30" t="n"/>
      <c r="G247" s="33" t="n"/>
      <c r="H247" s="33" t="n"/>
      <c r="I247" s="30" t="n"/>
      <c r="J247" s="28">
        <f>IF(OR(K247="",K247="Encerrado",K247="Sem próxima ação"),"",G247-Config!$B$5)</f>
        <v/>
      </c>
      <c r="K247" s="25">
        <f>IF(A247="","",IF(D247="Encerrado","Encerrado",IF(G247="","Sem próxima ação",IF(G247&lt;Config!$B$5,"Atrasado",IF(G247=Config!$B$5,"Hoje",IF(G247-Config!$B$5&lt;=7,"Esta semana","Em dia"))))))</f>
        <v/>
      </c>
      <c r="L247" s="28">
        <f>IF(OR(A247="",D247="Encerrado",H247=""),"",Config!$B$5-H247)</f>
        <v/>
      </c>
      <c r="M247" s="25">
        <f>IF(L247="","",IF(L247&gt;Config!$B$6,"Sim",""))</f>
        <v/>
      </c>
      <c r="N247" s="34">
        <f>IF(M247="Sim",L247-ROW()/100000,0)</f>
        <v>0</v>
      </c>
    </row>
    <row r="248">
      <c r="A248" s="30" t="n"/>
      <c r="B248" s="30" t="n"/>
      <c r="C248" s="32" t="n"/>
      <c r="D248" s="32" t="n"/>
      <c r="E248" s="32" t="n"/>
      <c r="F248" s="30" t="n"/>
      <c r="G248" s="33" t="n"/>
      <c r="H248" s="33" t="n"/>
      <c r="I248" s="30" t="n"/>
      <c r="J248" s="28">
        <f>IF(OR(K248="",K248="Encerrado",K248="Sem próxima ação"),"",G248-Config!$B$5)</f>
        <v/>
      </c>
      <c r="K248" s="25">
        <f>IF(A248="","",IF(D248="Encerrado","Encerrado",IF(G248="","Sem próxima ação",IF(G248&lt;Config!$B$5,"Atrasado",IF(G248=Config!$B$5,"Hoje",IF(G248-Config!$B$5&lt;=7,"Esta semana","Em dia"))))))</f>
        <v/>
      </c>
      <c r="L248" s="28">
        <f>IF(OR(A248="",D248="Encerrado",H248=""),"",Config!$B$5-H248)</f>
        <v/>
      </c>
      <c r="M248" s="25">
        <f>IF(L248="","",IF(L248&gt;Config!$B$6,"Sim",""))</f>
        <v/>
      </c>
      <c r="N248" s="34">
        <f>IF(M248="Sim",L248-ROW()/100000,0)</f>
        <v>0</v>
      </c>
    </row>
    <row r="249">
      <c r="A249" s="30" t="n"/>
      <c r="B249" s="30" t="n"/>
      <c r="C249" s="32" t="n"/>
      <c r="D249" s="32" t="n"/>
      <c r="E249" s="32" t="n"/>
      <c r="F249" s="30" t="n"/>
      <c r="G249" s="33" t="n"/>
      <c r="H249" s="33" t="n"/>
      <c r="I249" s="30" t="n"/>
      <c r="J249" s="28">
        <f>IF(OR(K249="",K249="Encerrado",K249="Sem próxima ação"),"",G249-Config!$B$5)</f>
        <v/>
      </c>
      <c r="K249" s="25">
        <f>IF(A249="","",IF(D249="Encerrado","Encerrado",IF(G249="","Sem próxima ação",IF(G249&lt;Config!$B$5,"Atrasado",IF(G249=Config!$B$5,"Hoje",IF(G249-Config!$B$5&lt;=7,"Esta semana","Em dia"))))))</f>
        <v/>
      </c>
      <c r="L249" s="28">
        <f>IF(OR(A249="",D249="Encerrado",H249=""),"",Config!$B$5-H249)</f>
        <v/>
      </c>
      <c r="M249" s="25">
        <f>IF(L249="","",IF(L249&gt;Config!$B$6,"Sim",""))</f>
        <v/>
      </c>
      <c r="N249" s="34">
        <f>IF(M249="Sim",L249-ROW()/100000,0)</f>
        <v>0</v>
      </c>
    </row>
    <row r="250">
      <c r="A250" s="30" t="n"/>
      <c r="B250" s="30" t="n"/>
      <c r="C250" s="32" t="n"/>
      <c r="D250" s="32" t="n"/>
      <c r="E250" s="32" t="n"/>
      <c r="F250" s="30" t="n"/>
      <c r="G250" s="33" t="n"/>
      <c r="H250" s="33" t="n"/>
      <c r="I250" s="30" t="n"/>
      <c r="J250" s="28">
        <f>IF(OR(K250="",K250="Encerrado",K250="Sem próxima ação"),"",G250-Config!$B$5)</f>
        <v/>
      </c>
      <c r="K250" s="25">
        <f>IF(A250="","",IF(D250="Encerrado","Encerrado",IF(G250="","Sem próxima ação",IF(G250&lt;Config!$B$5,"Atrasado",IF(G250=Config!$B$5,"Hoje",IF(G250-Config!$B$5&lt;=7,"Esta semana","Em dia"))))))</f>
        <v/>
      </c>
      <c r="L250" s="28">
        <f>IF(OR(A250="",D250="Encerrado",H250=""),"",Config!$B$5-H250)</f>
        <v/>
      </c>
      <c r="M250" s="25">
        <f>IF(L250="","",IF(L250&gt;Config!$B$6,"Sim",""))</f>
        <v/>
      </c>
      <c r="N250" s="34">
        <f>IF(M250="Sim",L250-ROW()/100000,0)</f>
        <v>0</v>
      </c>
    </row>
    <row r="251">
      <c r="A251" s="30" t="n"/>
      <c r="B251" s="30" t="n"/>
      <c r="C251" s="32" t="n"/>
      <c r="D251" s="32" t="n"/>
      <c r="E251" s="32" t="n"/>
      <c r="F251" s="30" t="n"/>
      <c r="G251" s="33" t="n"/>
      <c r="H251" s="33" t="n"/>
      <c r="I251" s="30" t="n"/>
      <c r="J251" s="28">
        <f>IF(OR(K251="",K251="Encerrado",K251="Sem próxima ação"),"",G251-Config!$B$5)</f>
        <v/>
      </c>
      <c r="K251" s="25">
        <f>IF(A251="","",IF(D251="Encerrado","Encerrado",IF(G251="","Sem próxima ação",IF(G251&lt;Config!$B$5,"Atrasado",IF(G251=Config!$B$5,"Hoje",IF(G251-Config!$B$5&lt;=7,"Esta semana","Em dia"))))))</f>
        <v/>
      </c>
      <c r="L251" s="28">
        <f>IF(OR(A251="",D251="Encerrado",H251=""),"",Config!$B$5-H251)</f>
        <v/>
      </c>
      <c r="M251" s="25">
        <f>IF(L251="","",IF(L251&gt;Config!$B$6,"Sim",""))</f>
        <v/>
      </c>
      <c r="N251" s="34">
        <f>IF(M251="Sim",L251-ROW()/100000,0)</f>
        <v>0</v>
      </c>
    </row>
    <row r="252">
      <c r="A252" s="30" t="n"/>
      <c r="B252" s="30" t="n"/>
      <c r="C252" s="32" t="n"/>
      <c r="D252" s="32" t="n"/>
      <c r="E252" s="32" t="n"/>
      <c r="F252" s="30" t="n"/>
      <c r="G252" s="33" t="n"/>
      <c r="H252" s="33" t="n"/>
      <c r="I252" s="30" t="n"/>
      <c r="J252" s="28">
        <f>IF(OR(K252="",K252="Encerrado",K252="Sem próxima ação"),"",G252-Config!$B$5)</f>
        <v/>
      </c>
      <c r="K252" s="25">
        <f>IF(A252="","",IF(D252="Encerrado","Encerrado",IF(G252="","Sem próxima ação",IF(G252&lt;Config!$B$5,"Atrasado",IF(G252=Config!$B$5,"Hoje",IF(G252-Config!$B$5&lt;=7,"Esta semana","Em dia"))))))</f>
        <v/>
      </c>
      <c r="L252" s="28">
        <f>IF(OR(A252="",D252="Encerrado",H252=""),"",Config!$B$5-H252)</f>
        <v/>
      </c>
      <c r="M252" s="25">
        <f>IF(L252="","",IF(L252&gt;Config!$B$6,"Sim",""))</f>
        <v/>
      </c>
      <c r="N252" s="34">
        <f>IF(M252="Sim",L252-ROW()/100000,0)</f>
        <v>0</v>
      </c>
    </row>
    <row r="253">
      <c r="A253" s="30" t="n"/>
      <c r="B253" s="30" t="n"/>
      <c r="C253" s="32" t="n"/>
      <c r="D253" s="32" t="n"/>
      <c r="E253" s="32" t="n"/>
      <c r="F253" s="30" t="n"/>
      <c r="G253" s="33" t="n"/>
      <c r="H253" s="33" t="n"/>
      <c r="I253" s="30" t="n"/>
      <c r="J253" s="28">
        <f>IF(OR(K253="",K253="Encerrado",K253="Sem próxima ação"),"",G253-Config!$B$5)</f>
        <v/>
      </c>
      <c r="K253" s="25">
        <f>IF(A253="","",IF(D253="Encerrado","Encerrado",IF(G253="","Sem próxima ação",IF(G253&lt;Config!$B$5,"Atrasado",IF(G253=Config!$B$5,"Hoje",IF(G253-Config!$B$5&lt;=7,"Esta semana","Em dia"))))))</f>
        <v/>
      </c>
      <c r="L253" s="28">
        <f>IF(OR(A253="",D253="Encerrado",H253=""),"",Config!$B$5-H253)</f>
        <v/>
      </c>
      <c r="M253" s="25">
        <f>IF(L253="","",IF(L253&gt;Config!$B$6,"Sim",""))</f>
        <v/>
      </c>
      <c r="N253" s="34">
        <f>IF(M253="Sim",L253-ROW()/100000,0)</f>
        <v>0</v>
      </c>
    </row>
    <row r="254">
      <c r="A254" s="30" t="n"/>
      <c r="B254" s="30" t="n"/>
      <c r="C254" s="32" t="n"/>
      <c r="D254" s="32" t="n"/>
      <c r="E254" s="32" t="n"/>
      <c r="F254" s="30" t="n"/>
      <c r="G254" s="33" t="n"/>
      <c r="H254" s="33" t="n"/>
      <c r="I254" s="30" t="n"/>
      <c r="J254" s="28">
        <f>IF(OR(K254="",K254="Encerrado",K254="Sem próxima ação"),"",G254-Config!$B$5)</f>
        <v/>
      </c>
      <c r="K254" s="25">
        <f>IF(A254="","",IF(D254="Encerrado","Encerrado",IF(G254="","Sem próxima ação",IF(G254&lt;Config!$B$5,"Atrasado",IF(G254=Config!$B$5,"Hoje",IF(G254-Config!$B$5&lt;=7,"Esta semana","Em dia"))))))</f>
        <v/>
      </c>
      <c r="L254" s="28">
        <f>IF(OR(A254="",D254="Encerrado",H254=""),"",Config!$B$5-H254)</f>
        <v/>
      </c>
      <c r="M254" s="25">
        <f>IF(L254="","",IF(L254&gt;Config!$B$6,"Sim",""))</f>
        <v/>
      </c>
      <c r="N254" s="34">
        <f>IF(M254="Sim",L254-ROW()/100000,0)</f>
        <v>0</v>
      </c>
    </row>
    <row r="255">
      <c r="A255" s="30" t="n"/>
      <c r="B255" s="30" t="n"/>
      <c r="C255" s="32" t="n"/>
      <c r="D255" s="32" t="n"/>
      <c r="E255" s="32" t="n"/>
      <c r="F255" s="30" t="n"/>
      <c r="G255" s="33" t="n"/>
      <c r="H255" s="33" t="n"/>
      <c r="I255" s="30" t="n"/>
      <c r="J255" s="28">
        <f>IF(OR(K255="",K255="Encerrado",K255="Sem próxima ação"),"",G255-Config!$B$5)</f>
        <v/>
      </c>
      <c r="K255" s="25">
        <f>IF(A255="","",IF(D255="Encerrado","Encerrado",IF(G255="","Sem próxima ação",IF(G255&lt;Config!$B$5,"Atrasado",IF(G255=Config!$B$5,"Hoje",IF(G255-Config!$B$5&lt;=7,"Esta semana","Em dia"))))))</f>
        <v/>
      </c>
      <c r="L255" s="28">
        <f>IF(OR(A255="",D255="Encerrado",H255=""),"",Config!$B$5-H255)</f>
        <v/>
      </c>
      <c r="M255" s="25">
        <f>IF(L255="","",IF(L255&gt;Config!$B$6,"Sim",""))</f>
        <v/>
      </c>
      <c r="N255" s="34">
        <f>IF(M255="Sim",L255-ROW()/100000,0)</f>
        <v>0</v>
      </c>
    </row>
    <row r="256">
      <c r="A256" s="30" t="n"/>
      <c r="B256" s="30" t="n"/>
      <c r="C256" s="32" t="n"/>
      <c r="D256" s="32" t="n"/>
      <c r="E256" s="32" t="n"/>
      <c r="F256" s="30" t="n"/>
      <c r="G256" s="33" t="n"/>
      <c r="H256" s="33" t="n"/>
      <c r="I256" s="30" t="n"/>
      <c r="J256" s="28">
        <f>IF(OR(K256="",K256="Encerrado",K256="Sem próxima ação"),"",G256-Config!$B$5)</f>
        <v/>
      </c>
      <c r="K256" s="25">
        <f>IF(A256="","",IF(D256="Encerrado","Encerrado",IF(G256="","Sem próxima ação",IF(G256&lt;Config!$B$5,"Atrasado",IF(G256=Config!$B$5,"Hoje",IF(G256-Config!$B$5&lt;=7,"Esta semana","Em dia"))))))</f>
        <v/>
      </c>
      <c r="L256" s="28">
        <f>IF(OR(A256="",D256="Encerrado",H256=""),"",Config!$B$5-H256)</f>
        <v/>
      </c>
      <c r="M256" s="25">
        <f>IF(L256="","",IF(L256&gt;Config!$B$6,"Sim",""))</f>
        <v/>
      </c>
      <c r="N256" s="34">
        <f>IF(M256="Sim",L256-ROW()/100000,0)</f>
        <v>0</v>
      </c>
    </row>
    <row r="257">
      <c r="A257" s="30" t="n"/>
      <c r="B257" s="30" t="n"/>
      <c r="C257" s="32" t="n"/>
      <c r="D257" s="32" t="n"/>
      <c r="E257" s="32" t="n"/>
      <c r="F257" s="30" t="n"/>
      <c r="G257" s="33" t="n"/>
      <c r="H257" s="33" t="n"/>
      <c r="I257" s="30" t="n"/>
      <c r="J257" s="28">
        <f>IF(OR(K257="",K257="Encerrado",K257="Sem próxima ação"),"",G257-Config!$B$5)</f>
        <v/>
      </c>
      <c r="K257" s="25">
        <f>IF(A257="","",IF(D257="Encerrado","Encerrado",IF(G257="","Sem próxima ação",IF(G257&lt;Config!$B$5,"Atrasado",IF(G257=Config!$B$5,"Hoje",IF(G257-Config!$B$5&lt;=7,"Esta semana","Em dia"))))))</f>
        <v/>
      </c>
      <c r="L257" s="28">
        <f>IF(OR(A257="",D257="Encerrado",H257=""),"",Config!$B$5-H257)</f>
        <v/>
      </c>
      <c r="M257" s="25">
        <f>IF(L257="","",IF(L257&gt;Config!$B$6,"Sim",""))</f>
        <v/>
      </c>
      <c r="N257" s="34">
        <f>IF(M257="Sim",L257-ROW()/100000,0)</f>
        <v>0</v>
      </c>
    </row>
    <row r="258">
      <c r="A258" s="30" t="n"/>
      <c r="B258" s="30" t="n"/>
      <c r="C258" s="32" t="n"/>
      <c r="D258" s="32" t="n"/>
      <c r="E258" s="32" t="n"/>
      <c r="F258" s="30" t="n"/>
      <c r="G258" s="33" t="n"/>
      <c r="H258" s="33" t="n"/>
      <c r="I258" s="30" t="n"/>
      <c r="J258" s="28">
        <f>IF(OR(K258="",K258="Encerrado",K258="Sem próxima ação"),"",G258-Config!$B$5)</f>
        <v/>
      </c>
      <c r="K258" s="25">
        <f>IF(A258="","",IF(D258="Encerrado","Encerrado",IF(G258="","Sem próxima ação",IF(G258&lt;Config!$B$5,"Atrasado",IF(G258=Config!$B$5,"Hoje",IF(G258-Config!$B$5&lt;=7,"Esta semana","Em dia"))))))</f>
        <v/>
      </c>
      <c r="L258" s="28">
        <f>IF(OR(A258="",D258="Encerrado",H258=""),"",Config!$B$5-H258)</f>
        <v/>
      </c>
      <c r="M258" s="25">
        <f>IF(L258="","",IF(L258&gt;Config!$B$6,"Sim",""))</f>
        <v/>
      </c>
      <c r="N258" s="34">
        <f>IF(M258="Sim",L258-ROW()/100000,0)</f>
        <v>0</v>
      </c>
    </row>
    <row r="259">
      <c r="A259" s="30" t="n"/>
      <c r="B259" s="30" t="n"/>
      <c r="C259" s="32" t="n"/>
      <c r="D259" s="32" t="n"/>
      <c r="E259" s="32" t="n"/>
      <c r="F259" s="30" t="n"/>
      <c r="G259" s="33" t="n"/>
      <c r="H259" s="33" t="n"/>
      <c r="I259" s="30" t="n"/>
      <c r="J259" s="28">
        <f>IF(OR(K259="",K259="Encerrado",K259="Sem próxima ação"),"",G259-Config!$B$5)</f>
        <v/>
      </c>
      <c r="K259" s="25">
        <f>IF(A259="","",IF(D259="Encerrado","Encerrado",IF(G259="","Sem próxima ação",IF(G259&lt;Config!$B$5,"Atrasado",IF(G259=Config!$B$5,"Hoje",IF(G259-Config!$B$5&lt;=7,"Esta semana","Em dia"))))))</f>
        <v/>
      </c>
      <c r="L259" s="28">
        <f>IF(OR(A259="",D259="Encerrado",H259=""),"",Config!$B$5-H259)</f>
        <v/>
      </c>
      <c r="M259" s="25">
        <f>IF(L259="","",IF(L259&gt;Config!$B$6,"Sim",""))</f>
        <v/>
      </c>
      <c r="N259" s="34">
        <f>IF(M259="Sim",L259-ROW()/100000,0)</f>
        <v>0</v>
      </c>
    </row>
    <row r="260">
      <c r="A260" s="30" t="n"/>
      <c r="B260" s="30" t="n"/>
      <c r="C260" s="32" t="n"/>
      <c r="D260" s="32" t="n"/>
      <c r="E260" s="32" t="n"/>
      <c r="F260" s="30" t="n"/>
      <c r="G260" s="33" t="n"/>
      <c r="H260" s="33" t="n"/>
      <c r="I260" s="30" t="n"/>
      <c r="J260" s="28">
        <f>IF(OR(K260="",K260="Encerrado",K260="Sem próxima ação"),"",G260-Config!$B$5)</f>
        <v/>
      </c>
      <c r="K260" s="25">
        <f>IF(A260="","",IF(D260="Encerrado","Encerrado",IF(G260="","Sem próxima ação",IF(G260&lt;Config!$B$5,"Atrasado",IF(G260=Config!$B$5,"Hoje",IF(G260-Config!$B$5&lt;=7,"Esta semana","Em dia"))))))</f>
        <v/>
      </c>
      <c r="L260" s="28">
        <f>IF(OR(A260="",D260="Encerrado",H260=""),"",Config!$B$5-H260)</f>
        <v/>
      </c>
      <c r="M260" s="25">
        <f>IF(L260="","",IF(L260&gt;Config!$B$6,"Sim",""))</f>
        <v/>
      </c>
      <c r="N260" s="34">
        <f>IF(M260="Sim",L260-ROW()/100000,0)</f>
        <v>0</v>
      </c>
    </row>
    <row r="261">
      <c r="A261" s="30" t="n"/>
      <c r="B261" s="30" t="n"/>
      <c r="C261" s="32" t="n"/>
      <c r="D261" s="32" t="n"/>
      <c r="E261" s="32" t="n"/>
      <c r="F261" s="30" t="n"/>
      <c r="G261" s="33" t="n"/>
      <c r="H261" s="33" t="n"/>
      <c r="I261" s="30" t="n"/>
      <c r="J261" s="28">
        <f>IF(OR(K261="",K261="Encerrado",K261="Sem próxima ação"),"",G261-Config!$B$5)</f>
        <v/>
      </c>
      <c r="K261" s="25">
        <f>IF(A261="","",IF(D261="Encerrado","Encerrado",IF(G261="","Sem próxima ação",IF(G261&lt;Config!$B$5,"Atrasado",IF(G261=Config!$B$5,"Hoje",IF(G261-Config!$B$5&lt;=7,"Esta semana","Em dia"))))))</f>
        <v/>
      </c>
      <c r="L261" s="28">
        <f>IF(OR(A261="",D261="Encerrado",H261=""),"",Config!$B$5-H261)</f>
        <v/>
      </c>
      <c r="M261" s="25">
        <f>IF(L261="","",IF(L261&gt;Config!$B$6,"Sim",""))</f>
        <v/>
      </c>
      <c r="N261" s="34">
        <f>IF(M261="Sim",L261-ROW()/100000,0)</f>
        <v>0</v>
      </c>
    </row>
    <row r="262">
      <c r="A262" s="30" t="n"/>
      <c r="B262" s="30" t="n"/>
      <c r="C262" s="32" t="n"/>
      <c r="D262" s="32" t="n"/>
      <c r="E262" s="32" t="n"/>
      <c r="F262" s="30" t="n"/>
      <c r="G262" s="33" t="n"/>
      <c r="H262" s="33" t="n"/>
      <c r="I262" s="30" t="n"/>
      <c r="J262" s="28">
        <f>IF(OR(K262="",K262="Encerrado",K262="Sem próxima ação"),"",G262-Config!$B$5)</f>
        <v/>
      </c>
      <c r="K262" s="25">
        <f>IF(A262="","",IF(D262="Encerrado","Encerrado",IF(G262="","Sem próxima ação",IF(G262&lt;Config!$B$5,"Atrasado",IF(G262=Config!$B$5,"Hoje",IF(G262-Config!$B$5&lt;=7,"Esta semana","Em dia"))))))</f>
        <v/>
      </c>
      <c r="L262" s="28">
        <f>IF(OR(A262="",D262="Encerrado",H262=""),"",Config!$B$5-H262)</f>
        <v/>
      </c>
      <c r="M262" s="25">
        <f>IF(L262="","",IF(L262&gt;Config!$B$6,"Sim",""))</f>
        <v/>
      </c>
      <c r="N262" s="34">
        <f>IF(M262="Sim",L262-ROW()/100000,0)</f>
        <v>0</v>
      </c>
    </row>
    <row r="263">
      <c r="A263" s="30" t="n"/>
      <c r="B263" s="30" t="n"/>
      <c r="C263" s="32" t="n"/>
      <c r="D263" s="32" t="n"/>
      <c r="E263" s="32" t="n"/>
      <c r="F263" s="30" t="n"/>
      <c r="G263" s="33" t="n"/>
      <c r="H263" s="33" t="n"/>
      <c r="I263" s="30" t="n"/>
      <c r="J263" s="28">
        <f>IF(OR(K263="",K263="Encerrado",K263="Sem próxima ação"),"",G263-Config!$B$5)</f>
        <v/>
      </c>
      <c r="K263" s="25">
        <f>IF(A263="","",IF(D263="Encerrado","Encerrado",IF(G263="","Sem próxima ação",IF(G263&lt;Config!$B$5,"Atrasado",IF(G263=Config!$B$5,"Hoje",IF(G263-Config!$B$5&lt;=7,"Esta semana","Em dia"))))))</f>
        <v/>
      </c>
      <c r="L263" s="28">
        <f>IF(OR(A263="",D263="Encerrado",H263=""),"",Config!$B$5-H263)</f>
        <v/>
      </c>
      <c r="M263" s="25">
        <f>IF(L263="","",IF(L263&gt;Config!$B$6,"Sim",""))</f>
        <v/>
      </c>
      <c r="N263" s="34">
        <f>IF(M263="Sim",L263-ROW()/100000,0)</f>
        <v>0</v>
      </c>
    </row>
    <row r="264">
      <c r="A264" s="30" t="n"/>
      <c r="B264" s="30" t="n"/>
      <c r="C264" s="32" t="n"/>
      <c r="D264" s="32" t="n"/>
      <c r="E264" s="32" t="n"/>
      <c r="F264" s="30" t="n"/>
      <c r="G264" s="33" t="n"/>
      <c r="H264" s="33" t="n"/>
      <c r="I264" s="30" t="n"/>
      <c r="J264" s="28">
        <f>IF(OR(K264="",K264="Encerrado",K264="Sem próxima ação"),"",G264-Config!$B$5)</f>
        <v/>
      </c>
      <c r="K264" s="25">
        <f>IF(A264="","",IF(D264="Encerrado","Encerrado",IF(G264="","Sem próxima ação",IF(G264&lt;Config!$B$5,"Atrasado",IF(G264=Config!$B$5,"Hoje",IF(G264-Config!$B$5&lt;=7,"Esta semana","Em dia"))))))</f>
        <v/>
      </c>
      <c r="L264" s="28">
        <f>IF(OR(A264="",D264="Encerrado",H264=""),"",Config!$B$5-H264)</f>
        <v/>
      </c>
      <c r="M264" s="25">
        <f>IF(L264="","",IF(L264&gt;Config!$B$6,"Sim",""))</f>
        <v/>
      </c>
      <c r="N264" s="34">
        <f>IF(M264="Sim",L264-ROW()/100000,0)</f>
        <v>0</v>
      </c>
    </row>
    <row r="265">
      <c r="A265" s="30" t="n"/>
      <c r="B265" s="30" t="n"/>
      <c r="C265" s="32" t="n"/>
      <c r="D265" s="32" t="n"/>
      <c r="E265" s="32" t="n"/>
      <c r="F265" s="30" t="n"/>
      <c r="G265" s="33" t="n"/>
      <c r="H265" s="33" t="n"/>
      <c r="I265" s="30" t="n"/>
      <c r="J265" s="28">
        <f>IF(OR(K265="",K265="Encerrado",K265="Sem próxima ação"),"",G265-Config!$B$5)</f>
        <v/>
      </c>
      <c r="K265" s="25">
        <f>IF(A265="","",IF(D265="Encerrado","Encerrado",IF(G265="","Sem próxima ação",IF(G265&lt;Config!$B$5,"Atrasado",IF(G265=Config!$B$5,"Hoje",IF(G265-Config!$B$5&lt;=7,"Esta semana","Em dia"))))))</f>
        <v/>
      </c>
      <c r="L265" s="28">
        <f>IF(OR(A265="",D265="Encerrado",H265=""),"",Config!$B$5-H265)</f>
        <v/>
      </c>
      <c r="M265" s="25">
        <f>IF(L265="","",IF(L265&gt;Config!$B$6,"Sim",""))</f>
        <v/>
      </c>
      <c r="N265" s="34">
        <f>IF(M265="Sim",L265-ROW()/100000,0)</f>
        <v>0</v>
      </c>
    </row>
    <row r="266">
      <c r="A266" s="30" t="n"/>
      <c r="B266" s="30" t="n"/>
      <c r="C266" s="32" t="n"/>
      <c r="D266" s="32" t="n"/>
      <c r="E266" s="32" t="n"/>
      <c r="F266" s="30" t="n"/>
      <c r="G266" s="33" t="n"/>
      <c r="H266" s="33" t="n"/>
      <c r="I266" s="30" t="n"/>
      <c r="J266" s="28">
        <f>IF(OR(K266="",K266="Encerrado",K266="Sem próxima ação"),"",G266-Config!$B$5)</f>
        <v/>
      </c>
      <c r="K266" s="25">
        <f>IF(A266="","",IF(D266="Encerrado","Encerrado",IF(G266="","Sem próxima ação",IF(G266&lt;Config!$B$5,"Atrasado",IF(G266=Config!$B$5,"Hoje",IF(G266-Config!$B$5&lt;=7,"Esta semana","Em dia"))))))</f>
        <v/>
      </c>
      <c r="L266" s="28">
        <f>IF(OR(A266="",D266="Encerrado",H266=""),"",Config!$B$5-H266)</f>
        <v/>
      </c>
      <c r="M266" s="25">
        <f>IF(L266="","",IF(L266&gt;Config!$B$6,"Sim",""))</f>
        <v/>
      </c>
      <c r="N266" s="34">
        <f>IF(M266="Sim",L266-ROW()/100000,0)</f>
        <v>0</v>
      </c>
    </row>
    <row r="267">
      <c r="A267" s="30" t="n"/>
      <c r="B267" s="30" t="n"/>
      <c r="C267" s="32" t="n"/>
      <c r="D267" s="32" t="n"/>
      <c r="E267" s="32" t="n"/>
      <c r="F267" s="30" t="n"/>
      <c r="G267" s="33" t="n"/>
      <c r="H267" s="33" t="n"/>
      <c r="I267" s="30" t="n"/>
      <c r="J267" s="28">
        <f>IF(OR(K267="",K267="Encerrado",K267="Sem próxima ação"),"",G267-Config!$B$5)</f>
        <v/>
      </c>
      <c r="K267" s="25">
        <f>IF(A267="","",IF(D267="Encerrado","Encerrado",IF(G267="","Sem próxima ação",IF(G267&lt;Config!$B$5,"Atrasado",IF(G267=Config!$B$5,"Hoje",IF(G267-Config!$B$5&lt;=7,"Esta semana","Em dia"))))))</f>
        <v/>
      </c>
      <c r="L267" s="28">
        <f>IF(OR(A267="",D267="Encerrado",H267=""),"",Config!$B$5-H267)</f>
        <v/>
      </c>
      <c r="M267" s="25">
        <f>IF(L267="","",IF(L267&gt;Config!$B$6,"Sim",""))</f>
        <v/>
      </c>
      <c r="N267" s="34">
        <f>IF(M267="Sim",L267-ROW()/100000,0)</f>
        <v>0</v>
      </c>
    </row>
    <row r="268">
      <c r="A268" s="30" t="n"/>
      <c r="B268" s="30" t="n"/>
      <c r="C268" s="32" t="n"/>
      <c r="D268" s="32" t="n"/>
      <c r="E268" s="32" t="n"/>
      <c r="F268" s="30" t="n"/>
      <c r="G268" s="33" t="n"/>
      <c r="H268" s="33" t="n"/>
      <c r="I268" s="30" t="n"/>
      <c r="J268" s="28">
        <f>IF(OR(K268="",K268="Encerrado",K268="Sem próxima ação"),"",G268-Config!$B$5)</f>
        <v/>
      </c>
      <c r="K268" s="25">
        <f>IF(A268="","",IF(D268="Encerrado","Encerrado",IF(G268="","Sem próxima ação",IF(G268&lt;Config!$B$5,"Atrasado",IF(G268=Config!$B$5,"Hoje",IF(G268-Config!$B$5&lt;=7,"Esta semana","Em dia"))))))</f>
        <v/>
      </c>
      <c r="L268" s="28">
        <f>IF(OR(A268="",D268="Encerrado",H268=""),"",Config!$B$5-H268)</f>
        <v/>
      </c>
      <c r="M268" s="25">
        <f>IF(L268="","",IF(L268&gt;Config!$B$6,"Sim",""))</f>
        <v/>
      </c>
      <c r="N268" s="34">
        <f>IF(M268="Sim",L268-ROW()/100000,0)</f>
        <v>0</v>
      </c>
    </row>
    <row r="269">
      <c r="A269" s="30" t="n"/>
      <c r="B269" s="30" t="n"/>
      <c r="C269" s="32" t="n"/>
      <c r="D269" s="32" t="n"/>
      <c r="E269" s="32" t="n"/>
      <c r="F269" s="30" t="n"/>
      <c r="G269" s="33" t="n"/>
      <c r="H269" s="33" t="n"/>
      <c r="I269" s="30" t="n"/>
      <c r="J269" s="28">
        <f>IF(OR(K269="",K269="Encerrado",K269="Sem próxima ação"),"",G269-Config!$B$5)</f>
        <v/>
      </c>
      <c r="K269" s="25">
        <f>IF(A269="","",IF(D269="Encerrado","Encerrado",IF(G269="","Sem próxima ação",IF(G269&lt;Config!$B$5,"Atrasado",IF(G269=Config!$B$5,"Hoje",IF(G269-Config!$B$5&lt;=7,"Esta semana","Em dia"))))))</f>
        <v/>
      </c>
      <c r="L269" s="28">
        <f>IF(OR(A269="",D269="Encerrado",H269=""),"",Config!$B$5-H269)</f>
        <v/>
      </c>
      <c r="M269" s="25">
        <f>IF(L269="","",IF(L269&gt;Config!$B$6,"Sim",""))</f>
        <v/>
      </c>
      <c r="N269" s="34">
        <f>IF(M269="Sim",L269-ROW()/100000,0)</f>
        <v>0</v>
      </c>
    </row>
    <row r="270">
      <c r="A270" s="30" t="n"/>
      <c r="B270" s="30" t="n"/>
      <c r="C270" s="32" t="n"/>
      <c r="D270" s="32" t="n"/>
      <c r="E270" s="32" t="n"/>
      <c r="F270" s="30" t="n"/>
      <c r="G270" s="33" t="n"/>
      <c r="H270" s="33" t="n"/>
      <c r="I270" s="30" t="n"/>
      <c r="J270" s="28">
        <f>IF(OR(K270="",K270="Encerrado",K270="Sem próxima ação"),"",G270-Config!$B$5)</f>
        <v/>
      </c>
      <c r="K270" s="25">
        <f>IF(A270="","",IF(D270="Encerrado","Encerrado",IF(G270="","Sem próxima ação",IF(G270&lt;Config!$B$5,"Atrasado",IF(G270=Config!$B$5,"Hoje",IF(G270-Config!$B$5&lt;=7,"Esta semana","Em dia"))))))</f>
        <v/>
      </c>
      <c r="L270" s="28">
        <f>IF(OR(A270="",D270="Encerrado",H270=""),"",Config!$B$5-H270)</f>
        <v/>
      </c>
      <c r="M270" s="25">
        <f>IF(L270="","",IF(L270&gt;Config!$B$6,"Sim",""))</f>
        <v/>
      </c>
      <c r="N270" s="34">
        <f>IF(M270="Sim",L270-ROW()/100000,0)</f>
        <v>0</v>
      </c>
    </row>
    <row r="271">
      <c r="A271" s="30" t="n"/>
      <c r="B271" s="30" t="n"/>
      <c r="C271" s="32" t="n"/>
      <c r="D271" s="32" t="n"/>
      <c r="E271" s="32" t="n"/>
      <c r="F271" s="30" t="n"/>
      <c r="G271" s="33" t="n"/>
      <c r="H271" s="33" t="n"/>
      <c r="I271" s="30" t="n"/>
      <c r="J271" s="28">
        <f>IF(OR(K271="",K271="Encerrado",K271="Sem próxima ação"),"",G271-Config!$B$5)</f>
        <v/>
      </c>
      <c r="K271" s="25">
        <f>IF(A271="","",IF(D271="Encerrado","Encerrado",IF(G271="","Sem próxima ação",IF(G271&lt;Config!$B$5,"Atrasado",IF(G271=Config!$B$5,"Hoje",IF(G271-Config!$B$5&lt;=7,"Esta semana","Em dia"))))))</f>
        <v/>
      </c>
      <c r="L271" s="28">
        <f>IF(OR(A271="",D271="Encerrado",H271=""),"",Config!$B$5-H271)</f>
        <v/>
      </c>
      <c r="M271" s="25">
        <f>IF(L271="","",IF(L271&gt;Config!$B$6,"Sim",""))</f>
        <v/>
      </c>
      <c r="N271" s="34">
        <f>IF(M271="Sim",L271-ROW()/100000,0)</f>
        <v>0</v>
      </c>
    </row>
    <row r="272">
      <c r="A272" s="30" t="n"/>
      <c r="B272" s="30" t="n"/>
      <c r="C272" s="32" t="n"/>
      <c r="D272" s="32" t="n"/>
      <c r="E272" s="32" t="n"/>
      <c r="F272" s="30" t="n"/>
      <c r="G272" s="33" t="n"/>
      <c r="H272" s="33" t="n"/>
      <c r="I272" s="30" t="n"/>
      <c r="J272" s="28">
        <f>IF(OR(K272="",K272="Encerrado",K272="Sem próxima ação"),"",G272-Config!$B$5)</f>
        <v/>
      </c>
      <c r="K272" s="25">
        <f>IF(A272="","",IF(D272="Encerrado","Encerrado",IF(G272="","Sem próxima ação",IF(G272&lt;Config!$B$5,"Atrasado",IF(G272=Config!$B$5,"Hoje",IF(G272-Config!$B$5&lt;=7,"Esta semana","Em dia"))))))</f>
        <v/>
      </c>
      <c r="L272" s="28">
        <f>IF(OR(A272="",D272="Encerrado",H272=""),"",Config!$B$5-H272)</f>
        <v/>
      </c>
      <c r="M272" s="25">
        <f>IF(L272="","",IF(L272&gt;Config!$B$6,"Sim",""))</f>
        <v/>
      </c>
      <c r="N272" s="34">
        <f>IF(M272="Sim",L272-ROW()/100000,0)</f>
        <v>0</v>
      </c>
    </row>
    <row r="273">
      <c r="A273" s="30" t="n"/>
      <c r="B273" s="30" t="n"/>
      <c r="C273" s="32" t="n"/>
      <c r="D273" s="32" t="n"/>
      <c r="E273" s="32" t="n"/>
      <c r="F273" s="30" t="n"/>
      <c r="G273" s="33" t="n"/>
      <c r="H273" s="33" t="n"/>
      <c r="I273" s="30" t="n"/>
      <c r="J273" s="28">
        <f>IF(OR(K273="",K273="Encerrado",K273="Sem próxima ação"),"",G273-Config!$B$5)</f>
        <v/>
      </c>
      <c r="K273" s="25">
        <f>IF(A273="","",IF(D273="Encerrado","Encerrado",IF(G273="","Sem próxima ação",IF(G273&lt;Config!$B$5,"Atrasado",IF(G273=Config!$B$5,"Hoje",IF(G273-Config!$B$5&lt;=7,"Esta semana","Em dia"))))))</f>
        <v/>
      </c>
      <c r="L273" s="28">
        <f>IF(OR(A273="",D273="Encerrado",H273=""),"",Config!$B$5-H273)</f>
        <v/>
      </c>
      <c r="M273" s="25">
        <f>IF(L273="","",IF(L273&gt;Config!$B$6,"Sim",""))</f>
        <v/>
      </c>
      <c r="N273" s="34">
        <f>IF(M273="Sim",L273-ROW()/100000,0)</f>
        <v>0</v>
      </c>
    </row>
    <row r="274">
      <c r="A274" s="30" t="n"/>
      <c r="B274" s="30" t="n"/>
      <c r="C274" s="32" t="n"/>
      <c r="D274" s="32" t="n"/>
      <c r="E274" s="32" t="n"/>
      <c r="F274" s="30" t="n"/>
      <c r="G274" s="33" t="n"/>
      <c r="H274" s="33" t="n"/>
      <c r="I274" s="30" t="n"/>
      <c r="J274" s="28">
        <f>IF(OR(K274="",K274="Encerrado",K274="Sem próxima ação"),"",G274-Config!$B$5)</f>
        <v/>
      </c>
      <c r="K274" s="25">
        <f>IF(A274="","",IF(D274="Encerrado","Encerrado",IF(G274="","Sem próxima ação",IF(G274&lt;Config!$B$5,"Atrasado",IF(G274=Config!$B$5,"Hoje",IF(G274-Config!$B$5&lt;=7,"Esta semana","Em dia"))))))</f>
        <v/>
      </c>
      <c r="L274" s="28">
        <f>IF(OR(A274="",D274="Encerrado",H274=""),"",Config!$B$5-H274)</f>
        <v/>
      </c>
      <c r="M274" s="25">
        <f>IF(L274="","",IF(L274&gt;Config!$B$6,"Sim",""))</f>
        <v/>
      </c>
      <c r="N274" s="34">
        <f>IF(M274="Sim",L274-ROW()/100000,0)</f>
        <v>0</v>
      </c>
    </row>
    <row r="275">
      <c r="A275" s="30" t="n"/>
      <c r="B275" s="30" t="n"/>
      <c r="C275" s="32" t="n"/>
      <c r="D275" s="32" t="n"/>
      <c r="E275" s="32" t="n"/>
      <c r="F275" s="30" t="n"/>
      <c r="G275" s="33" t="n"/>
      <c r="H275" s="33" t="n"/>
      <c r="I275" s="30" t="n"/>
      <c r="J275" s="28">
        <f>IF(OR(K275="",K275="Encerrado",K275="Sem próxima ação"),"",G275-Config!$B$5)</f>
        <v/>
      </c>
      <c r="K275" s="25">
        <f>IF(A275="","",IF(D275="Encerrado","Encerrado",IF(G275="","Sem próxima ação",IF(G275&lt;Config!$B$5,"Atrasado",IF(G275=Config!$B$5,"Hoje",IF(G275-Config!$B$5&lt;=7,"Esta semana","Em dia"))))))</f>
        <v/>
      </c>
      <c r="L275" s="28">
        <f>IF(OR(A275="",D275="Encerrado",H275=""),"",Config!$B$5-H275)</f>
        <v/>
      </c>
      <c r="M275" s="25">
        <f>IF(L275="","",IF(L275&gt;Config!$B$6,"Sim",""))</f>
        <v/>
      </c>
      <c r="N275" s="34">
        <f>IF(M275="Sim",L275-ROW()/100000,0)</f>
        <v>0</v>
      </c>
    </row>
    <row r="276">
      <c r="A276" s="30" t="n"/>
      <c r="B276" s="30" t="n"/>
      <c r="C276" s="32" t="n"/>
      <c r="D276" s="32" t="n"/>
      <c r="E276" s="32" t="n"/>
      <c r="F276" s="30" t="n"/>
      <c r="G276" s="33" t="n"/>
      <c r="H276" s="33" t="n"/>
      <c r="I276" s="30" t="n"/>
      <c r="J276" s="28">
        <f>IF(OR(K276="",K276="Encerrado",K276="Sem próxima ação"),"",G276-Config!$B$5)</f>
        <v/>
      </c>
      <c r="K276" s="25">
        <f>IF(A276="","",IF(D276="Encerrado","Encerrado",IF(G276="","Sem próxima ação",IF(G276&lt;Config!$B$5,"Atrasado",IF(G276=Config!$B$5,"Hoje",IF(G276-Config!$B$5&lt;=7,"Esta semana","Em dia"))))))</f>
        <v/>
      </c>
      <c r="L276" s="28">
        <f>IF(OR(A276="",D276="Encerrado",H276=""),"",Config!$B$5-H276)</f>
        <v/>
      </c>
      <c r="M276" s="25">
        <f>IF(L276="","",IF(L276&gt;Config!$B$6,"Sim",""))</f>
        <v/>
      </c>
      <c r="N276" s="34">
        <f>IF(M276="Sim",L276-ROW()/100000,0)</f>
        <v>0</v>
      </c>
    </row>
    <row r="277">
      <c r="A277" s="30" t="n"/>
      <c r="B277" s="30" t="n"/>
      <c r="C277" s="32" t="n"/>
      <c r="D277" s="32" t="n"/>
      <c r="E277" s="32" t="n"/>
      <c r="F277" s="30" t="n"/>
      <c r="G277" s="33" t="n"/>
      <c r="H277" s="33" t="n"/>
      <c r="I277" s="30" t="n"/>
      <c r="J277" s="28">
        <f>IF(OR(K277="",K277="Encerrado",K277="Sem próxima ação"),"",G277-Config!$B$5)</f>
        <v/>
      </c>
      <c r="K277" s="25">
        <f>IF(A277="","",IF(D277="Encerrado","Encerrado",IF(G277="","Sem próxima ação",IF(G277&lt;Config!$B$5,"Atrasado",IF(G277=Config!$B$5,"Hoje",IF(G277-Config!$B$5&lt;=7,"Esta semana","Em dia"))))))</f>
        <v/>
      </c>
      <c r="L277" s="28">
        <f>IF(OR(A277="",D277="Encerrado",H277=""),"",Config!$B$5-H277)</f>
        <v/>
      </c>
      <c r="M277" s="25">
        <f>IF(L277="","",IF(L277&gt;Config!$B$6,"Sim",""))</f>
        <v/>
      </c>
      <c r="N277" s="34">
        <f>IF(M277="Sim",L277-ROW()/100000,0)</f>
        <v>0</v>
      </c>
    </row>
    <row r="278">
      <c r="A278" s="30" t="n"/>
      <c r="B278" s="30" t="n"/>
      <c r="C278" s="32" t="n"/>
      <c r="D278" s="32" t="n"/>
      <c r="E278" s="32" t="n"/>
      <c r="F278" s="30" t="n"/>
      <c r="G278" s="33" t="n"/>
      <c r="H278" s="33" t="n"/>
      <c r="I278" s="30" t="n"/>
      <c r="J278" s="28">
        <f>IF(OR(K278="",K278="Encerrado",K278="Sem próxima ação"),"",G278-Config!$B$5)</f>
        <v/>
      </c>
      <c r="K278" s="25">
        <f>IF(A278="","",IF(D278="Encerrado","Encerrado",IF(G278="","Sem próxima ação",IF(G278&lt;Config!$B$5,"Atrasado",IF(G278=Config!$B$5,"Hoje",IF(G278-Config!$B$5&lt;=7,"Esta semana","Em dia"))))))</f>
        <v/>
      </c>
      <c r="L278" s="28">
        <f>IF(OR(A278="",D278="Encerrado",H278=""),"",Config!$B$5-H278)</f>
        <v/>
      </c>
      <c r="M278" s="25">
        <f>IF(L278="","",IF(L278&gt;Config!$B$6,"Sim",""))</f>
        <v/>
      </c>
      <c r="N278" s="34">
        <f>IF(M278="Sim",L278-ROW()/100000,0)</f>
        <v>0</v>
      </c>
    </row>
    <row r="279">
      <c r="A279" s="30" t="n"/>
      <c r="B279" s="30" t="n"/>
      <c r="C279" s="32" t="n"/>
      <c r="D279" s="32" t="n"/>
      <c r="E279" s="32" t="n"/>
      <c r="F279" s="30" t="n"/>
      <c r="G279" s="33" t="n"/>
      <c r="H279" s="33" t="n"/>
      <c r="I279" s="30" t="n"/>
      <c r="J279" s="28">
        <f>IF(OR(K279="",K279="Encerrado",K279="Sem próxima ação"),"",G279-Config!$B$5)</f>
        <v/>
      </c>
      <c r="K279" s="25">
        <f>IF(A279="","",IF(D279="Encerrado","Encerrado",IF(G279="","Sem próxima ação",IF(G279&lt;Config!$B$5,"Atrasado",IF(G279=Config!$B$5,"Hoje",IF(G279-Config!$B$5&lt;=7,"Esta semana","Em dia"))))))</f>
        <v/>
      </c>
      <c r="L279" s="28">
        <f>IF(OR(A279="",D279="Encerrado",H279=""),"",Config!$B$5-H279)</f>
        <v/>
      </c>
      <c r="M279" s="25">
        <f>IF(L279="","",IF(L279&gt;Config!$B$6,"Sim",""))</f>
        <v/>
      </c>
      <c r="N279" s="34">
        <f>IF(M279="Sim",L279-ROW()/100000,0)</f>
        <v>0</v>
      </c>
    </row>
    <row r="280">
      <c r="A280" s="30" t="n"/>
      <c r="B280" s="30" t="n"/>
      <c r="C280" s="32" t="n"/>
      <c r="D280" s="32" t="n"/>
      <c r="E280" s="32" t="n"/>
      <c r="F280" s="30" t="n"/>
      <c r="G280" s="33" t="n"/>
      <c r="H280" s="33" t="n"/>
      <c r="I280" s="30" t="n"/>
      <c r="J280" s="28">
        <f>IF(OR(K280="",K280="Encerrado",K280="Sem próxima ação"),"",G280-Config!$B$5)</f>
        <v/>
      </c>
      <c r="K280" s="25">
        <f>IF(A280="","",IF(D280="Encerrado","Encerrado",IF(G280="","Sem próxima ação",IF(G280&lt;Config!$B$5,"Atrasado",IF(G280=Config!$B$5,"Hoje",IF(G280-Config!$B$5&lt;=7,"Esta semana","Em dia"))))))</f>
        <v/>
      </c>
      <c r="L280" s="28">
        <f>IF(OR(A280="",D280="Encerrado",H280=""),"",Config!$B$5-H280)</f>
        <v/>
      </c>
      <c r="M280" s="25">
        <f>IF(L280="","",IF(L280&gt;Config!$B$6,"Sim",""))</f>
        <v/>
      </c>
      <c r="N280" s="34">
        <f>IF(M280="Sim",L280-ROW()/100000,0)</f>
        <v>0</v>
      </c>
    </row>
    <row r="281">
      <c r="A281" s="30" t="n"/>
      <c r="B281" s="30" t="n"/>
      <c r="C281" s="32" t="n"/>
      <c r="D281" s="32" t="n"/>
      <c r="E281" s="32" t="n"/>
      <c r="F281" s="30" t="n"/>
      <c r="G281" s="33" t="n"/>
      <c r="H281" s="33" t="n"/>
      <c r="I281" s="30" t="n"/>
      <c r="J281" s="28">
        <f>IF(OR(K281="",K281="Encerrado",K281="Sem próxima ação"),"",G281-Config!$B$5)</f>
        <v/>
      </c>
      <c r="K281" s="25">
        <f>IF(A281="","",IF(D281="Encerrado","Encerrado",IF(G281="","Sem próxima ação",IF(G281&lt;Config!$B$5,"Atrasado",IF(G281=Config!$B$5,"Hoje",IF(G281-Config!$B$5&lt;=7,"Esta semana","Em dia"))))))</f>
        <v/>
      </c>
      <c r="L281" s="28">
        <f>IF(OR(A281="",D281="Encerrado",H281=""),"",Config!$B$5-H281)</f>
        <v/>
      </c>
      <c r="M281" s="25">
        <f>IF(L281="","",IF(L281&gt;Config!$B$6,"Sim",""))</f>
        <v/>
      </c>
      <c r="N281" s="34">
        <f>IF(M281="Sim",L281-ROW()/100000,0)</f>
        <v>0</v>
      </c>
    </row>
    <row r="282">
      <c r="A282" s="30" t="n"/>
      <c r="B282" s="30" t="n"/>
      <c r="C282" s="32" t="n"/>
      <c r="D282" s="32" t="n"/>
      <c r="E282" s="32" t="n"/>
      <c r="F282" s="30" t="n"/>
      <c r="G282" s="33" t="n"/>
      <c r="H282" s="33" t="n"/>
      <c r="I282" s="30" t="n"/>
      <c r="J282" s="28">
        <f>IF(OR(K282="",K282="Encerrado",K282="Sem próxima ação"),"",G282-Config!$B$5)</f>
        <v/>
      </c>
      <c r="K282" s="25">
        <f>IF(A282="","",IF(D282="Encerrado","Encerrado",IF(G282="","Sem próxima ação",IF(G282&lt;Config!$B$5,"Atrasado",IF(G282=Config!$B$5,"Hoje",IF(G282-Config!$B$5&lt;=7,"Esta semana","Em dia"))))))</f>
        <v/>
      </c>
      <c r="L282" s="28">
        <f>IF(OR(A282="",D282="Encerrado",H282=""),"",Config!$B$5-H282)</f>
        <v/>
      </c>
      <c r="M282" s="25">
        <f>IF(L282="","",IF(L282&gt;Config!$B$6,"Sim",""))</f>
        <v/>
      </c>
      <c r="N282" s="34">
        <f>IF(M282="Sim",L282-ROW()/100000,0)</f>
        <v>0</v>
      </c>
    </row>
    <row r="283">
      <c r="A283" s="30" t="n"/>
      <c r="B283" s="30" t="n"/>
      <c r="C283" s="32" t="n"/>
      <c r="D283" s="32" t="n"/>
      <c r="E283" s="32" t="n"/>
      <c r="F283" s="30" t="n"/>
      <c r="G283" s="33" t="n"/>
      <c r="H283" s="33" t="n"/>
      <c r="I283" s="30" t="n"/>
      <c r="J283" s="28">
        <f>IF(OR(K283="",K283="Encerrado",K283="Sem próxima ação"),"",G283-Config!$B$5)</f>
        <v/>
      </c>
      <c r="K283" s="25">
        <f>IF(A283="","",IF(D283="Encerrado","Encerrado",IF(G283="","Sem próxima ação",IF(G283&lt;Config!$B$5,"Atrasado",IF(G283=Config!$B$5,"Hoje",IF(G283-Config!$B$5&lt;=7,"Esta semana","Em dia"))))))</f>
        <v/>
      </c>
      <c r="L283" s="28">
        <f>IF(OR(A283="",D283="Encerrado",H283=""),"",Config!$B$5-H283)</f>
        <v/>
      </c>
      <c r="M283" s="25">
        <f>IF(L283="","",IF(L283&gt;Config!$B$6,"Sim",""))</f>
        <v/>
      </c>
      <c r="N283" s="34">
        <f>IF(M283="Sim",L283-ROW()/100000,0)</f>
        <v>0</v>
      </c>
    </row>
    <row r="284">
      <c r="A284" s="30" t="n"/>
      <c r="B284" s="30" t="n"/>
      <c r="C284" s="32" t="n"/>
      <c r="D284" s="32" t="n"/>
      <c r="E284" s="32" t="n"/>
      <c r="F284" s="30" t="n"/>
      <c r="G284" s="33" t="n"/>
      <c r="H284" s="33" t="n"/>
      <c r="I284" s="30" t="n"/>
      <c r="J284" s="28">
        <f>IF(OR(K284="",K284="Encerrado",K284="Sem próxima ação"),"",G284-Config!$B$5)</f>
        <v/>
      </c>
      <c r="K284" s="25">
        <f>IF(A284="","",IF(D284="Encerrado","Encerrado",IF(G284="","Sem próxima ação",IF(G284&lt;Config!$B$5,"Atrasado",IF(G284=Config!$B$5,"Hoje",IF(G284-Config!$B$5&lt;=7,"Esta semana","Em dia"))))))</f>
        <v/>
      </c>
      <c r="L284" s="28">
        <f>IF(OR(A284="",D284="Encerrado",H284=""),"",Config!$B$5-H284)</f>
        <v/>
      </c>
      <c r="M284" s="25">
        <f>IF(L284="","",IF(L284&gt;Config!$B$6,"Sim",""))</f>
        <v/>
      </c>
      <c r="N284" s="34">
        <f>IF(M284="Sim",L284-ROW()/100000,0)</f>
        <v>0</v>
      </c>
    </row>
    <row r="285">
      <c r="A285" s="30" t="n"/>
      <c r="B285" s="30" t="n"/>
      <c r="C285" s="32" t="n"/>
      <c r="D285" s="32" t="n"/>
      <c r="E285" s="32" t="n"/>
      <c r="F285" s="30" t="n"/>
      <c r="G285" s="33" t="n"/>
      <c r="H285" s="33" t="n"/>
      <c r="I285" s="30" t="n"/>
      <c r="J285" s="28">
        <f>IF(OR(K285="",K285="Encerrado",K285="Sem próxima ação"),"",G285-Config!$B$5)</f>
        <v/>
      </c>
      <c r="K285" s="25">
        <f>IF(A285="","",IF(D285="Encerrado","Encerrado",IF(G285="","Sem próxima ação",IF(G285&lt;Config!$B$5,"Atrasado",IF(G285=Config!$B$5,"Hoje",IF(G285-Config!$B$5&lt;=7,"Esta semana","Em dia"))))))</f>
        <v/>
      </c>
      <c r="L285" s="28">
        <f>IF(OR(A285="",D285="Encerrado",H285=""),"",Config!$B$5-H285)</f>
        <v/>
      </c>
      <c r="M285" s="25">
        <f>IF(L285="","",IF(L285&gt;Config!$B$6,"Sim",""))</f>
        <v/>
      </c>
      <c r="N285" s="34">
        <f>IF(M285="Sim",L285-ROW()/100000,0)</f>
        <v>0</v>
      </c>
    </row>
    <row r="286">
      <c r="A286" s="30" t="n"/>
      <c r="B286" s="30" t="n"/>
      <c r="C286" s="32" t="n"/>
      <c r="D286" s="32" t="n"/>
      <c r="E286" s="32" t="n"/>
      <c r="F286" s="30" t="n"/>
      <c r="G286" s="33" t="n"/>
      <c r="H286" s="33" t="n"/>
      <c r="I286" s="30" t="n"/>
      <c r="J286" s="28">
        <f>IF(OR(K286="",K286="Encerrado",K286="Sem próxima ação"),"",G286-Config!$B$5)</f>
        <v/>
      </c>
      <c r="K286" s="25">
        <f>IF(A286="","",IF(D286="Encerrado","Encerrado",IF(G286="","Sem próxima ação",IF(G286&lt;Config!$B$5,"Atrasado",IF(G286=Config!$B$5,"Hoje",IF(G286-Config!$B$5&lt;=7,"Esta semana","Em dia"))))))</f>
        <v/>
      </c>
      <c r="L286" s="28">
        <f>IF(OR(A286="",D286="Encerrado",H286=""),"",Config!$B$5-H286)</f>
        <v/>
      </c>
      <c r="M286" s="25">
        <f>IF(L286="","",IF(L286&gt;Config!$B$6,"Sim",""))</f>
        <v/>
      </c>
      <c r="N286" s="34">
        <f>IF(M286="Sim",L286-ROW()/100000,0)</f>
        <v>0</v>
      </c>
    </row>
    <row r="287">
      <c r="A287" s="30" t="n"/>
      <c r="B287" s="30" t="n"/>
      <c r="C287" s="32" t="n"/>
      <c r="D287" s="32" t="n"/>
      <c r="E287" s="32" t="n"/>
      <c r="F287" s="30" t="n"/>
      <c r="G287" s="33" t="n"/>
      <c r="H287" s="33" t="n"/>
      <c r="I287" s="30" t="n"/>
      <c r="J287" s="28">
        <f>IF(OR(K287="",K287="Encerrado",K287="Sem próxima ação"),"",G287-Config!$B$5)</f>
        <v/>
      </c>
      <c r="K287" s="25">
        <f>IF(A287="","",IF(D287="Encerrado","Encerrado",IF(G287="","Sem próxima ação",IF(G287&lt;Config!$B$5,"Atrasado",IF(G287=Config!$B$5,"Hoje",IF(G287-Config!$B$5&lt;=7,"Esta semana","Em dia"))))))</f>
        <v/>
      </c>
      <c r="L287" s="28">
        <f>IF(OR(A287="",D287="Encerrado",H287=""),"",Config!$B$5-H287)</f>
        <v/>
      </c>
      <c r="M287" s="25">
        <f>IF(L287="","",IF(L287&gt;Config!$B$6,"Sim",""))</f>
        <v/>
      </c>
      <c r="N287" s="34">
        <f>IF(M287="Sim",L287-ROW()/100000,0)</f>
        <v>0</v>
      </c>
    </row>
    <row r="288">
      <c r="A288" s="30" t="n"/>
      <c r="B288" s="30" t="n"/>
      <c r="C288" s="32" t="n"/>
      <c r="D288" s="32" t="n"/>
      <c r="E288" s="32" t="n"/>
      <c r="F288" s="30" t="n"/>
      <c r="G288" s="33" t="n"/>
      <c r="H288" s="33" t="n"/>
      <c r="I288" s="30" t="n"/>
      <c r="J288" s="28">
        <f>IF(OR(K288="",K288="Encerrado",K288="Sem próxima ação"),"",G288-Config!$B$5)</f>
        <v/>
      </c>
      <c r="K288" s="25">
        <f>IF(A288="","",IF(D288="Encerrado","Encerrado",IF(G288="","Sem próxima ação",IF(G288&lt;Config!$B$5,"Atrasado",IF(G288=Config!$B$5,"Hoje",IF(G288-Config!$B$5&lt;=7,"Esta semana","Em dia"))))))</f>
        <v/>
      </c>
      <c r="L288" s="28">
        <f>IF(OR(A288="",D288="Encerrado",H288=""),"",Config!$B$5-H288)</f>
        <v/>
      </c>
      <c r="M288" s="25">
        <f>IF(L288="","",IF(L288&gt;Config!$B$6,"Sim",""))</f>
        <v/>
      </c>
      <c r="N288" s="34">
        <f>IF(M288="Sim",L288-ROW()/100000,0)</f>
        <v>0</v>
      </c>
    </row>
    <row r="289">
      <c r="A289" s="30" t="n"/>
      <c r="B289" s="30" t="n"/>
      <c r="C289" s="32" t="n"/>
      <c r="D289" s="32" t="n"/>
      <c r="E289" s="32" t="n"/>
      <c r="F289" s="30" t="n"/>
      <c r="G289" s="33" t="n"/>
      <c r="H289" s="33" t="n"/>
      <c r="I289" s="30" t="n"/>
      <c r="J289" s="28">
        <f>IF(OR(K289="",K289="Encerrado",K289="Sem próxima ação"),"",G289-Config!$B$5)</f>
        <v/>
      </c>
      <c r="K289" s="25">
        <f>IF(A289="","",IF(D289="Encerrado","Encerrado",IF(G289="","Sem próxima ação",IF(G289&lt;Config!$B$5,"Atrasado",IF(G289=Config!$B$5,"Hoje",IF(G289-Config!$B$5&lt;=7,"Esta semana","Em dia"))))))</f>
        <v/>
      </c>
      <c r="L289" s="28">
        <f>IF(OR(A289="",D289="Encerrado",H289=""),"",Config!$B$5-H289)</f>
        <v/>
      </c>
      <c r="M289" s="25">
        <f>IF(L289="","",IF(L289&gt;Config!$B$6,"Sim",""))</f>
        <v/>
      </c>
      <c r="N289" s="34">
        <f>IF(M289="Sim",L289-ROW()/100000,0)</f>
        <v>0</v>
      </c>
    </row>
    <row r="290">
      <c r="A290" s="30" t="n"/>
      <c r="B290" s="30" t="n"/>
      <c r="C290" s="32" t="n"/>
      <c r="D290" s="32" t="n"/>
      <c r="E290" s="32" t="n"/>
      <c r="F290" s="30" t="n"/>
      <c r="G290" s="33" t="n"/>
      <c r="H290" s="33" t="n"/>
      <c r="I290" s="30" t="n"/>
      <c r="J290" s="28">
        <f>IF(OR(K290="",K290="Encerrado",K290="Sem próxima ação"),"",G290-Config!$B$5)</f>
        <v/>
      </c>
      <c r="K290" s="25">
        <f>IF(A290="","",IF(D290="Encerrado","Encerrado",IF(G290="","Sem próxima ação",IF(G290&lt;Config!$B$5,"Atrasado",IF(G290=Config!$B$5,"Hoje",IF(G290-Config!$B$5&lt;=7,"Esta semana","Em dia"))))))</f>
        <v/>
      </c>
      <c r="L290" s="28">
        <f>IF(OR(A290="",D290="Encerrado",H290=""),"",Config!$B$5-H290)</f>
        <v/>
      </c>
      <c r="M290" s="25">
        <f>IF(L290="","",IF(L290&gt;Config!$B$6,"Sim",""))</f>
        <v/>
      </c>
      <c r="N290" s="34">
        <f>IF(M290="Sim",L290-ROW()/100000,0)</f>
        <v>0</v>
      </c>
    </row>
    <row r="291">
      <c r="A291" s="30" t="n"/>
      <c r="B291" s="30" t="n"/>
      <c r="C291" s="32" t="n"/>
      <c r="D291" s="32" t="n"/>
      <c r="E291" s="32" t="n"/>
      <c r="F291" s="30" t="n"/>
      <c r="G291" s="33" t="n"/>
      <c r="H291" s="33" t="n"/>
      <c r="I291" s="30" t="n"/>
      <c r="J291" s="28">
        <f>IF(OR(K291="",K291="Encerrado",K291="Sem próxima ação"),"",G291-Config!$B$5)</f>
        <v/>
      </c>
      <c r="K291" s="25">
        <f>IF(A291="","",IF(D291="Encerrado","Encerrado",IF(G291="","Sem próxima ação",IF(G291&lt;Config!$B$5,"Atrasado",IF(G291=Config!$B$5,"Hoje",IF(G291-Config!$B$5&lt;=7,"Esta semana","Em dia"))))))</f>
        <v/>
      </c>
      <c r="L291" s="28">
        <f>IF(OR(A291="",D291="Encerrado",H291=""),"",Config!$B$5-H291)</f>
        <v/>
      </c>
      <c r="M291" s="25">
        <f>IF(L291="","",IF(L291&gt;Config!$B$6,"Sim",""))</f>
        <v/>
      </c>
      <c r="N291" s="34">
        <f>IF(M291="Sim",L291-ROW()/100000,0)</f>
        <v>0</v>
      </c>
    </row>
    <row r="292">
      <c r="A292" s="30" t="n"/>
      <c r="B292" s="30" t="n"/>
      <c r="C292" s="32" t="n"/>
      <c r="D292" s="32" t="n"/>
      <c r="E292" s="32" t="n"/>
      <c r="F292" s="30" t="n"/>
      <c r="G292" s="33" t="n"/>
      <c r="H292" s="33" t="n"/>
      <c r="I292" s="30" t="n"/>
      <c r="J292" s="28">
        <f>IF(OR(K292="",K292="Encerrado",K292="Sem próxima ação"),"",G292-Config!$B$5)</f>
        <v/>
      </c>
      <c r="K292" s="25">
        <f>IF(A292="","",IF(D292="Encerrado","Encerrado",IF(G292="","Sem próxima ação",IF(G292&lt;Config!$B$5,"Atrasado",IF(G292=Config!$B$5,"Hoje",IF(G292-Config!$B$5&lt;=7,"Esta semana","Em dia"))))))</f>
        <v/>
      </c>
      <c r="L292" s="28">
        <f>IF(OR(A292="",D292="Encerrado",H292=""),"",Config!$B$5-H292)</f>
        <v/>
      </c>
      <c r="M292" s="25">
        <f>IF(L292="","",IF(L292&gt;Config!$B$6,"Sim",""))</f>
        <v/>
      </c>
      <c r="N292" s="34">
        <f>IF(M292="Sim",L292-ROW()/100000,0)</f>
        <v>0</v>
      </c>
    </row>
    <row r="293">
      <c r="A293" s="30" t="n"/>
      <c r="B293" s="30" t="n"/>
      <c r="C293" s="32" t="n"/>
      <c r="D293" s="32" t="n"/>
      <c r="E293" s="32" t="n"/>
      <c r="F293" s="30" t="n"/>
      <c r="G293" s="33" t="n"/>
      <c r="H293" s="33" t="n"/>
      <c r="I293" s="30" t="n"/>
      <c r="J293" s="28">
        <f>IF(OR(K293="",K293="Encerrado",K293="Sem próxima ação"),"",G293-Config!$B$5)</f>
        <v/>
      </c>
      <c r="K293" s="25">
        <f>IF(A293="","",IF(D293="Encerrado","Encerrado",IF(G293="","Sem próxima ação",IF(G293&lt;Config!$B$5,"Atrasado",IF(G293=Config!$B$5,"Hoje",IF(G293-Config!$B$5&lt;=7,"Esta semana","Em dia"))))))</f>
        <v/>
      </c>
      <c r="L293" s="28">
        <f>IF(OR(A293="",D293="Encerrado",H293=""),"",Config!$B$5-H293)</f>
        <v/>
      </c>
      <c r="M293" s="25">
        <f>IF(L293="","",IF(L293&gt;Config!$B$6,"Sim",""))</f>
        <v/>
      </c>
      <c r="N293" s="34">
        <f>IF(M293="Sim",L293-ROW()/100000,0)</f>
        <v>0</v>
      </c>
    </row>
    <row r="294">
      <c r="A294" s="30" t="n"/>
      <c r="B294" s="30" t="n"/>
      <c r="C294" s="32" t="n"/>
      <c r="D294" s="32" t="n"/>
      <c r="E294" s="32" t="n"/>
      <c r="F294" s="30" t="n"/>
      <c r="G294" s="33" t="n"/>
      <c r="H294" s="33" t="n"/>
      <c r="I294" s="30" t="n"/>
      <c r="J294" s="28">
        <f>IF(OR(K294="",K294="Encerrado",K294="Sem próxima ação"),"",G294-Config!$B$5)</f>
        <v/>
      </c>
      <c r="K294" s="25">
        <f>IF(A294="","",IF(D294="Encerrado","Encerrado",IF(G294="","Sem próxima ação",IF(G294&lt;Config!$B$5,"Atrasado",IF(G294=Config!$B$5,"Hoje",IF(G294-Config!$B$5&lt;=7,"Esta semana","Em dia"))))))</f>
        <v/>
      </c>
      <c r="L294" s="28">
        <f>IF(OR(A294="",D294="Encerrado",H294=""),"",Config!$B$5-H294)</f>
        <v/>
      </c>
      <c r="M294" s="25">
        <f>IF(L294="","",IF(L294&gt;Config!$B$6,"Sim",""))</f>
        <v/>
      </c>
      <c r="N294" s="34">
        <f>IF(M294="Sim",L294-ROW()/100000,0)</f>
        <v>0</v>
      </c>
    </row>
    <row r="295">
      <c r="A295" s="30" t="n"/>
      <c r="B295" s="30" t="n"/>
      <c r="C295" s="32" t="n"/>
      <c r="D295" s="32" t="n"/>
      <c r="E295" s="32" t="n"/>
      <c r="F295" s="30" t="n"/>
      <c r="G295" s="33" t="n"/>
      <c r="H295" s="33" t="n"/>
      <c r="I295" s="30" t="n"/>
      <c r="J295" s="28">
        <f>IF(OR(K295="",K295="Encerrado",K295="Sem próxima ação"),"",G295-Config!$B$5)</f>
        <v/>
      </c>
      <c r="K295" s="25">
        <f>IF(A295="","",IF(D295="Encerrado","Encerrado",IF(G295="","Sem próxima ação",IF(G295&lt;Config!$B$5,"Atrasado",IF(G295=Config!$B$5,"Hoje",IF(G295-Config!$B$5&lt;=7,"Esta semana","Em dia"))))))</f>
        <v/>
      </c>
      <c r="L295" s="28">
        <f>IF(OR(A295="",D295="Encerrado",H295=""),"",Config!$B$5-H295)</f>
        <v/>
      </c>
      <c r="M295" s="25">
        <f>IF(L295="","",IF(L295&gt;Config!$B$6,"Sim",""))</f>
        <v/>
      </c>
      <c r="N295" s="34">
        <f>IF(M295="Sim",L295-ROW()/100000,0)</f>
        <v>0</v>
      </c>
    </row>
    <row r="296">
      <c r="A296" s="30" t="n"/>
      <c r="B296" s="30" t="n"/>
      <c r="C296" s="32" t="n"/>
      <c r="D296" s="32" t="n"/>
      <c r="E296" s="32" t="n"/>
      <c r="F296" s="30" t="n"/>
      <c r="G296" s="33" t="n"/>
      <c r="H296" s="33" t="n"/>
      <c r="I296" s="30" t="n"/>
      <c r="J296" s="28">
        <f>IF(OR(K296="",K296="Encerrado",K296="Sem próxima ação"),"",G296-Config!$B$5)</f>
        <v/>
      </c>
      <c r="K296" s="25">
        <f>IF(A296="","",IF(D296="Encerrado","Encerrado",IF(G296="","Sem próxima ação",IF(G296&lt;Config!$B$5,"Atrasado",IF(G296=Config!$B$5,"Hoje",IF(G296-Config!$B$5&lt;=7,"Esta semana","Em dia"))))))</f>
        <v/>
      </c>
      <c r="L296" s="28">
        <f>IF(OR(A296="",D296="Encerrado",H296=""),"",Config!$B$5-H296)</f>
        <v/>
      </c>
      <c r="M296" s="25">
        <f>IF(L296="","",IF(L296&gt;Config!$B$6,"Sim",""))</f>
        <v/>
      </c>
      <c r="N296" s="34">
        <f>IF(M296="Sim",L296-ROW()/100000,0)</f>
        <v>0</v>
      </c>
    </row>
    <row r="297">
      <c r="A297" s="30" t="n"/>
      <c r="B297" s="30" t="n"/>
      <c r="C297" s="32" t="n"/>
      <c r="D297" s="32" t="n"/>
      <c r="E297" s="32" t="n"/>
      <c r="F297" s="30" t="n"/>
      <c r="G297" s="33" t="n"/>
      <c r="H297" s="33" t="n"/>
      <c r="I297" s="30" t="n"/>
      <c r="J297" s="28">
        <f>IF(OR(K297="",K297="Encerrado",K297="Sem próxima ação"),"",G297-Config!$B$5)</f>
        <v/>
      </c>
      <c r="K297" s="25">
        <f>IF(A297="","",IF(D297="Encerrado","Encerrado",IF(G297="","Sem próxima ação",IF(G297&lt;Config!$B$5,"Atrasado",IF(G297=Config!$B$5,"Hoje",IF(G297-Config!$B$5&lt;=7,"Esta semana","Em dia"))))))</f>
        <v/>
      </c>
      <c r="L297" s="28">
        <f>IF(OR(A297="",D297="Encerrado",H297=""),"",Config!$B$5-H297)</f>
        <v/>
      </c>
      <c r="M297" s="25">
        <f>IF(L297="","",IF(L297&gt;Config!$B$6,"Sim",""))</f>
        <v/>
      </c>
      <c r="N297" s="34">
        <f>IF(M297="Sim",L297-ROW()/100000,0)</f>
        <v>0</v>
      </c>
    </row>
    <row r="298">
      <c r="A298" s="30" t="n"/>
      <c r="B298" s="30" t="n"/>
      <c r="C298" s="32" t="n"/>
      <c r="D298" s="32" t="n"/>
      <c r="E298" s="32" t="n"/>
      <c r="F298" s="30" t="n"/>
      <c r="G298" s="33" t="n"/>
      <c r="H298" s="33" t="n"/>
      <c r="I298" s="30" t="n"/>
      <c r="J298" s="28">
        <f>IF(OR(K298="",K298="Encerrado",K298="Sem próxima ação"),"",G298-Config!$B$5)</f>
        <v/>
      </c>
      <c r="K298" s="25">
        <f>IF(A298="","",IF(D298="Encerrado","Encerrado",IF(G298="","Sem próxima ação",IF(G298&lt;Config!$B$5,"Atrasado",IF(G298=Config!$B$5,"Hoje",IF(G298-Config!$B$5&lt;=7,"Esta semana","Em dia"))))))</f>
        <v/>
      </c>
      <c r="L298" s="28">
        <f>IF(OR(A298="",D298="Encerrado",H298=""),"",Config!$B$5-H298)</f>
        <v/>
      </c>
      <c r="M298" s="25">
        <f>IF(L298="","",IF(L298&gt;Config!$B$6,"Sim",""))</f>
        <v/>
      </c>
      <c r="N298" s="34">
        <f>IF(M298="Sim",L298-ROW()/100000,0)</f>
        <v>0</v>
      </c>
    </row>
    <row r="299">
      <c r="A299" s="30" t="n"/>
      <c r="B299" s="30" t="n"/>
      <c r="C299" s="32" t="n"/>
      <c r="D299" s="32" t="n"/>
      <c r="E299" s="32" t="n"/>
      <c r="F299" s="30" t="n"/>
      <c r="G299" s="33" t="n"/>
      <c r="H299" s="33" t="n"/>
      <c r="I299" s="30" t="n"/>
      <c r="J299" s="28">
        <f>IF(OR(K299="",K299="Encerrado",K299="Sem próxima ação"),"",G299-Config!$B$5)</f>
        <v/>
      </c>
      <c r="K299" s="25">
        <f>IF(A299="","",IF(D299="Encerrado","Encerrado",IF(G299="","Sem próxima ação",IF(G299&lt;Config!$B$5,"Atrasado",IF(G299=Config!$B$5,"Hoje",IF(G299-Config!$B$5&lt;=7,"Esta semana","Em dia"))))))</f>
        <v/>
      </c>
      <c r="L299" s="28">
        <f>IF(OR(A299="",D299="Encerrado",H299=""),"",Config!$B$5-H299)</f>
        <v/>
      </c>
      <c r="M299" s="25">
        <f>IF(L299="","",IF(L299&gt;Config!$B$6,"Sim",""))</f>
        <v/>
      </c>
      <c r="N299" s="34">
        <f>IF(M299="Sim",L299-ROW()/100000,0)</f>
        <v>0</v>
      </c>
    </row>
    <row r="300">
      <c r="A300" s="30" t="n"/>
      <c r="B300" s="30" t="n"/>
      <c r="C300" s="32" t="n"/>
      <c r="D300" s="32" t="n"/>
      <c r="E300" s="32" t="n"/>
      <c r="F300" s="30" t="n"/>
      <c r="G300" s="33" t="n"/>
      <c r="H300" s="33" t="n"/>
      <c r="I300" s="30" t="n"/>
      <c r="J300" s="28">
        <f>IF(OR(K300="",K300="Encerrado",K300="Sem próxima ação"),"",G300-Config!$B$5)</f>
        <v/>
      </c>
      <c r="K300" s="25">
        <f>IF(A300="","",IF(D300="Encerrado","Encerrado",IF(G300="","Sem próxima ação",IF(G300&lt;Config!$B$5,"Atrasado",IF(G300=Config!$B$5,"Hoje",IF(G300-Config!$B$5&lt;=7,"Esta semana","Em dia"))))))</f>
        <v/>
      </c>
      <c r="L300" s="28">
        <f>IF(OR(A300="",D300="Encerrado",H300=""),"",Config!$B$5-H300)</f>
        <v/>
      </c>
      <c r="M300" s="25">
        <f>IF(L300="","",IF(L300&gt;Config!$B$6,"Sim",""))</f>
        <v/>
      </c>
      <c r="N300" s="34">
        <f>IF(M300="Sim",L300-ROW()/100000,0)</f>
        <v>0</v>
      </c>
    </row>
    <row r="301">
      <c r="A301" s="30" t="n"/>
      <c r="B301" s="30" t="n"/>
      <c r="C301" s="32" t="n"/>
      <c r="D301" s="32" t="n"/>
      <c r="E301" s="32" t="n"/>
      <c r="F301" s="30" t="n"/>
      <c r="G301" s="33" t="n"/>
      <c r="H301" s="33" t="n"/>
      <c r="I301" s="30" t="n"/>
      <c r="J301" s="28">
        <f>IF(OR(K301="",K301="Encerrado",K301="Sem próxima ação"),"",G301-Config!$B$5)</f>
        <v/>
      </c>
      <c r="K301" s="25">
        <f>IF(A301="","",IF(D301="Encerrado","Encerrado",IF(G301="","Sem próxima ação",IF(G301&lt;Config!$B$5,"Atrasado",IF(G301=Config!$B$5,"Hoje",IF(G301-Config!$B$5&lt;=7,"Esta semana","Em dia"))))))</f>
        <v/>
      </c>
      <c r="L301" s="28">
        <f>IF(OR(A301="",D301="Encerrado",H301=""),"",Config!$B$5-H301)</f>
        <v/>
      </c>
      <c r="M301" s="25">
        <f>IF(L301="","",IF(L301&gt;Config!$B$6,"Sim",""))</f>
        <v/>
      </c>
      <c r="N301" s="34">
        <f>IF(M301="Sim",L301-ROW()/100000,0)</f>
        <v>0</v>
      </c>
    </row>
    <row r="302">
      <c r="A302" s="30" t="n"/>
      <c r="B302" s="30" t="n"/>
      <c r="C302" s="32" t="n"/>
      <c r="D302" s="32" t="n"/>
      <c r="E302" s="32" t="n"/>
      <c r="F302" s="30" t="n"/>
      <c r="G302" s="33" t="n"/>
      <c r="H302" s="33" t="n"/>
      <c r="I302" s="30" t="n"/>
      <c r="J302" s="28">
        <f>IF(OR(K302="",K302="Encerrado",K302="Sem próxima ação"),"",G302-Config!$B$5)</f>
        <v/>
      </c>
      <c r="K302" s="25">
        <f>IF(A302="","",IF(D302="Encerrado","Encerrado",IF(G302="","Sem próxima ação",IF(G302&lt;Config!$B$5,"Atrasado",IF(G302=Config!$B$5,"Hoje",IF(G302-Config!$B$5&lt;=7,"Esta semana","Em dia"))))))</f>
        <v/>
      </c>
      <c r="L302" s="28">
        <f>IF(OR(A302="",D302="Encerrado",H302=""),"",Config!$B$5-H302)</f>
        <v/>
      </c>
      <c r="M302" s="25">
        <f>IF(L302="","",IF(L302&gt;Config!$B$6,"Sim",""))</f>
        <v/>
      </c>
      <c r="N302" s="34">
        <f>IF(M302="Sim",L302-ROW()/100000,0)</f>
        <v>0</v>
      </c>
    </row>
    <row r="303">
      <c r="A303" s="30" t="n"/>
      <c r="B303" s="30" t="n"/>
      <c r="C303" s="32" t="n"/>
      <c r="D303" s="32" t="n"/>
      <c r="E303" s="32" t="n"/>
      <c r="F303" s="30" t="n"/>
      <c r="G303" s="33" t="n"/>
      <c r="H303" s="33" t="n"/>
      <c r="I303" s="30" t="n"/>
      <c r="J303" s="28">
        <f>IF(OR(K303="",K303="Encerrado",K303="Sem próxima ação"),"",G303-Config!$B$5)</f>
        <v/>
      </c>
      <c r="K303" s="25">
        <f>IF(A303="","",IF(D303="Encerrado","Encerrado",IF(G303="","Sem próxima ação",IF(G303&lt;Config!$B$5,"Atrasado",IF(G303=Config!$B$5,"Hoje",IF(G303-Config!$B$5&lt;=7,"Esta semana","Em dia"))))))</f>
        <v/>
      </c>
      <c r="L303" s="28">
        <f>IF(OR(A303="",D303="Encerrado",H303=""),"",Config!$B$5-H303)</f>
        <v/>
      </c>
      <c r="M303" s="25">
        <f>IF(L303="","",IF(L303&gt;Config!$B$6,"Sim",""))</f>
        <v/>
      </c>
      <c r="N303" s="34">
        <f>IF(M303="Sim",L303-ROW()/100000,0)</f>
        <v>0</v>
      </c>
    </row>
    <row r="304">
      <c r="A304" s="30" t="n"/>
      <c r="B304" s="30" t="n"/>
      <c r="C304" s="32" t="n"/>
      <c r="D304" s="32" t="n"/>
      <c r="E304" s="32" t="n"/>
      <c r="F304" s="30" t="n"/>
      <c r="G304" s="33" t="n"/>
      <c r="H304" s="33" t="n"/>
      <c r="I304" s="30" t="n"/>
      <c r="J304" s="28">
        <f>IF(OR(K304="",K304="Encerrado",K304="Sem próxima ação"),"",G304-Config!$B$5)</f>
        <v/>
      </c>
      <c r="K304" s="25">
        <f>IF(A304="","",IF(D304="Encerrado","Encerrado",IF(G304="","Sem próxima ação",IF(G304&lt;Config!$B$5,"Atrasado",IF(G304=Config!$B$5,"Hoje",IF(G304-Config!$B$5&lt;=7,"Esta semana","Em dia"))))))</f>
        <v/>
      </c>
      <c r="L304" s="28">
        <f>IF(OR(A304="",D304="Encerrado",H304=""),"",Config!$B$5-H304)</f>
        <v/>
      </c>
      <c r="M304" s="25">
        <f>IF(L304="","",IF(L304&gt;Config!$B$6,"Sim",""))</f>
        <v/>
      </c>
      <c r="N304" s="34">
        <f>IF(M304="Sim",L304-ROW()/100000,0)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M304"/>
  <mergeCells count="2">
    <mergeCell ref="A2:N2"/>
    <mergeCell ref="A1:N1"/>
  </mergeCells>
  <conditionalFormatting sqref="A5:M304">
    <cfRule type="expression" priority="1" dxfId="1">
      <formula>$K5="Atrasado"</formula>
    </cfRule>
    <cfRule type="expression" priority="2" dxfId="2">
      <formula>$K5="Hoje"</formula>
    </cfRule>
    <cfRule type="expression" priority="3" dxfId="3">
      <formula>$K5="Esta semana"</formula>
    </cfRule>
    <cfRule type="expression" priority="4" dxfId="4">
      <formula>$K5="Encerrado"</formula>
    </cfRule>
  </conditionalFormatting>
  <conditionalFormatting sqref="M5:M304">
    <cfRule type="expression" priority="5" dxfId="0">
      <formula>$M5="Sim"</formula>
    </cfRule>
  </conditionalFormatting>
  <dataValidations count="4">
    <dataValidation sqref="C5:C304" showDropDown="0" showInputMessage="0" showErrorMessage="1" allowBlank="1" type="list">
      <formula1>=OFFSET(Config!$D$10,0,0,MAX(1,COUNTA(Config!$D$10:$D$19)),1)</formula1>
    </dataValidation>
    <dataValidation sqref="D5:D304" showDropDown="0" showInputMessage="0" showErrorMessage="1" allowBlank="1" type="list">
      <formula1>=OFFSET(Config!$B$10,0,0,MAX(1,COUNTA(Config!$B$10:$B$19)),1)</formula1>
    </dataValidation>
    <dataValidation sqref="E5:E304" showDropDown="0" showInputMessage="0" showErrorMessage="1" allowBlank="1" type="list">
      <formula1>=OFFSET(Config!$F$10,0,0,MAX(1,COUNTA(Config!$F$10:$F$19)),1)</formula1>
    </dataValidation>
    <dataValidation sqref="G5:H304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Andamento por processo · Kit de Gestão para Advogados</dc:title>
  <dcterms:created xmlns:dcterms="http://purl.org/dc/terms/" xmlns:xsi="http://www.w3.org/2001/XMLSchema-instance" xsi:type="dcterms:W3CDTF">2026-09-19T15:22:06Z</dcterms:created>
  <dcterms:modified xmlns:dcterms="http://purl.org/dc/terms/" xmlns:xsi="http://www.w3.org/2001/XMLSchema-instance" xsi:type="dcterms:W3CDTF">2026-09-19T15:22:06Z</dcterms:modified>
</cp:coreProperties>
</file>